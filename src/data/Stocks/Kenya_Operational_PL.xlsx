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athwaysinternationalke-my.sharepoint.com/personal/denis_otieno_pathwaystechnologies_com/Documents/NKG/Logistics Data/New Template/"/>
    </mc:Choice>
  </mc:AlternateContent>
  <xr:revisionPtr revIDLastSave="17" documentId="11_E0CDB76BF2801A8022F4040CF13E1F309660D83E" xr6:coauthVersionLast="47" xr6:coauthVersionMax="47" xr10:uidLastSave="{75A320FC-8EE4-4A64-9F84-FF2D7485EF73}"/>
  <bookViews>
    <workbookView xWindow="-120" yWindow="-120" windowWidth="29040" windowHeight="15720" tabRatio="500" activeTab="1" xr2:uid="{00000000-000D-0000-FFFF-FFFF00000000}"/>
  </bookViews>
  <sheets>
    <sheet name="Variables" sheetId="1" r:id="rId1"/>
    <sheet name="KENYA" sheetId="2" r:id="rId2"/>
  </sheets>
  <definedNames>
    <definedName name="_xlnm._FilterDatabase" localSheetId="1" hidden="1">KENYA!$A$1:$BF$1325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327" i="2" l="1"/>
  <c r="AW528" i="2" l="1" a="1"/>
  <c r="AW528" i="2" s="1"/>
  <c r="X1325" i="2" l="1"/>
  <c r="V1325" i="2"/>
  <c r="I1325" i="2"/>
  <c r="H1325" i="2"/>
  <c r="AQ1325" i="2" s="1"/>
  <c r="X1324" i="2"/>
  <c r="V1324" i="2"/>
  <c r="I1324" i="2"/>
  <c r="H1324" i="2"/>
  <c r="X1323" i="2"/>
  <c r="V1323" i="2"/>
  <c r="I1323" i="2"/>
  <c r="H1323" i="2"/>
  <c r="AA1323" i="2" s="1"/>
  <c r="X1322" i="2"/>
  <c r="V1322" i="2"/>
  <c r="I1322" i="2"/>
  <c r="H1322" i="2"/>
  <c r="X1321" i="2"/>
  <c r="V1321" i="2"/>
  <c r="I1321" i="2"/>
  <c r="H1321" i="2"/>
  <c r="T1321" i="2" s="1"/>
  <c r="X1320" i="2"/>
  <c r="V1320" i="2"/>
  <c r="I1320" i="2"/>
  <c r="H1320" i="2"/>
  <c r="Z1320" i="2" s="1"/>
  <c r="X1319" i="2"/>
  <c r="V1319" i="2"/>
  <c r="I1319" i="2"/>
  <c r="H1319" i="2"/>
  <c r="AQ1319" i="2" s="1"/>
  <c r="X1318" i="2"/>
  <c r="V1318" i="2"/>
  <c r="I1318" i="2"/>
  <c r="H1318" i="2"/>
  <c r="AQ1318" i="2" s="1"/>
  <c r="X1317" i="2"/>
  <c r="V1317" i="2"/>
  <c r="I1317" i="2"/>
  <c r="H1317" i="2"/>
  <c r="X1316" i="2"/>
  <c r="V1316" i="2"/>
  <c r="I1316" i="2"/>
  <c r="H1316" i="2"/>
  <c r="AQ1316" i="2" s="1"/>
  <c r="X1315" i="2"/>
  <c r="V1315" i="2"/>
  <c r="I1315" i="2"/>
  <c r="H1315" i="2"/>
  <c r="AV1315" i="2" s="1"/>
  <c r="X1314" i="2"/>
  <c r="V1314" i="2"/>
  <c r="I1314" i="2"/>
  <c r="H1314" i="2"/>
  <c r="AC1313" i="2"/>
  <c r="AA1313" i="2"/>
  <c r="X1313" i="2"/>
  <c r="V1313" i="2"/>
  <c r="I1313" i="2"/>
  <c r="H1313" i="2"/>
  <c r="AQ1313" i="2" s="1"/>
  <c r="X1312" i="2"/>
  <c r="V1312" i="2"/>
  <c r="I1312" i="2"/>
  <c r="H1312" i="2"/>
  <c r="AV1312" i="2" s="1"/>
  <c r="AW1312" i="2" s="1"/>
  <c r="X1311" i="2"/>
  <c r="V1311" i="2"/>
  <c r="I1311" i="2"/>
  <c r="H1311" i="2"/>
  <c r="Z1311" i="2" s="1"/>
  <c r="X1310" i="2"/>
  <c r="V1310" i="2"/>
  <c r="I1310" i="2"/>
  <c r="H1310" i="2"/>
  <c r="AQ1310" i="2" s="1"/>
  <c r="X1309" i="2"/>
  <c r="V1309" i="2"/>
  <c r="I1309" i="2"/>
  <c r="H1309" i="2"/>
  <c r="X1308" i="2"/>
  <c r="V1308" i="2"/>
  <c r="I1308" i="2"/>
  <c r="H1308" i="2"/>
  <c r="AQ1308" i="2" s="1"/>
  <c r="AQ1307" i="2"/>
  <c r="X1307" i="2"/>
  <c r="V1307" i="2"/>
  <c r="I1307" i="2"/>
  <c r="H1307" i="2"/>
  <c r="AA1307" i="2" s="1"/>
  <c r="X1306" i="2"/>
  <c r="V1306" i="2"/>
  <c r="I1306" i="2"/>
  <c r="H1306" i="2"/>
  <c r="AQ1306" i="2" s="1"/>
  <c r="X1305" i="2"/>
  <c r="V1305" i="2"/>
  <c r="I1305" i="2"/>
  <c r="H1305" i="2"/>
  <c r="X1304" i="2"/>
  <c r="V1304" i="2"/>
  <c r="I1304" i="2"/>
  <c r="H1304" i="2"/>
  <c r="X1303" i="2"/>
  <c r="V1303" i="2"/>
  <c r="I1303" i="2"/>
  <c r="H1303" i="2"/>
  <c r="X1302" i="2"/>
  <c r="V1302" i="2"/>
  <c r="I1302" i="2"/>
  <c r="H1302" i="2"/>
  <c r="AV1302" i="2" s="1"/>
  <c r="AW1302" i="2" s="1"/>
  <c r="AA1301" i="2"/>
  <c r="X1301" i="2"/>
  <c r="V1301" i="2"/>
  <c r="I1301" i="2"/>
  <c r="H1301" i="2"/>
  <c r="AQ1301" i="2" s="1"/>
  <c r="X1300" i="2"/>
  <c r="V1300" i="2"/>
  <c r="I1300" i="2"/>
  <c r="H1300" i="2"/>
  <c r="X1299" i="2"/>
  <c r="V1299" i="2"/>
  <c r="I1299" i="2"/>
  <c r="H1299" i="2"/>
  <c r="AQ1299" i="2" s="1"/>
  <c r="X1298" i="2"/>
  <c r="V1298" i="2"/>
  <c r="I1298" i="2"/>
  <c r="H1298" i="2"/>
  <c r="AA1298" i="2" s="1"/>
  <c r="X1297" i="2"/>
  <c r="V1297" i="2"/>
  <c r="I1297" i="2"/>
  <c r="H1297" i="2"/>
  <c r="AP1297" i="2" s="1"/>
  <c r="X1296" i="2"/>
  <c r="V1296" i="2"/>
  <c r="I1296" i="2"/>
  <c r="H1296" i="2"/>
  <c r="X1295" i="2"/>
  <c r="V1295" i="2"/>
  <c r="I1295" i="2"/>
  <c r="H1295" i="2"/>
  <c r="AQ1295" i="2" s="1"/>
  <c r="X1294" i="2"/>
  <c r="V1294" i="2"/>
  <c r="I1294" i="2"/>
  <c r="H1294" i="2"/>
  <c r="AP1294" i="2" s="1"/>
  <c r="X1293" i="2"/>
  <c r="V1293" i="2"/>
  <c r="I1293" i="2"/>
  <c r="H1293" i="2"/>
  <c r="AC1293" i="2" s="1"/>
  <c r="X1292" i="2"/>
  <c r="V1292" i="2"/>
  <c r="I1292" i="2"/>
  <c r="H1292" i="2"/>
  <c r="X1291" i="2"/>
  <c r="V1291" i="2"/>
  <c r="I1291" i="2"/>
  <c r="H1291" i="2"/>
  <c r="T1291" i="2" s="1"/>
  <c r="I1290" i="2"/>
  <c r="H1290" i="2"/>
  <c r="Z1290" i="2" s="1"/>
  <c r="I1289" i="2"/>
  <c r="H1289" i="2"/>
  <c r="AV1289" i="2" s="1"/>
  <c r="AW1289" i="2" s="1"/>
  <c r="I1288" i="2"/>
  <c r="H1288" i="2"/>
  <c r="AQ1287" i="2"/>
  <c r="AP1287" i="2"/>
  <c r="Z1287" i="2"/>
  <c r="X1287" i="2"/>
  <c r="V1287" i="2"/>
  <c r="I1287" i="2"/>
  <c r="H1287" i="2"/>
  <c r="X1286" i="2"/>
  <c r="V1286" i="2"/>
  <c r="I1286" i="2"/>
  <c r="H1286" i="2"/>
  <c r="X1285" i="2"/>
  <c r="V1285" i="2"/>
  <c r="I1285" i="2"/>
  <c r="H1285" i="2"/>
  <c r="AC1285" i="2" s="1"/>
  <c r="X1284" i="2"/>
  <c r="V1284" i="2"/>
  <c r="I1284" i="2"/>
  <c r="H1284" i="2"/>
  <c r="AP1284" i="2" s="1"/>
  <c r="X1283" i="2"/>
  <c r="V1283" i="2"/>
  <c r="I1283" i="2"/>
  <c r="H1283" i="2"/>
  <c r="AV1283" i="2" s="1"/>
  <c r="AP1282" i="2"/>
  <c r="Z1282" i="2"/>
  <c r="X1282" i="2"/>
  <c r="V1282" i="2"/>
  <c r="I1282" i="2"/>
  <c r="H1282" i="2"/>
  <c r="T1282" i="2" s="1"/>
  <c r="X1281" i="2"/>
  <c r="V1281" i="2"/>
  <c r="I1281" i="2"/>
  <c r="H1281" i="2"/>
  <c r="AQ1281" i="2" s="1"/>
  <c r="AC1280" i="2"/>
  <c r="X1280" i="2"/>
  <c r="V1280" i="2"/>
  <c r="I1280" i="2"/>
  <c r="H1280" i="2"/>
  <c r="T1280" i="2" s="1"/>
  <c r="AV1279" i="2"/>
  <c r="AW1279" i="2" s="1"/>
  <c r="AP1279" i="2"/>
  <c r="AC1279" i="2"/>
  <c r="Z1279" i="2"/>
  <c r="X1279" i="2"/>
  <c r="V1279" i="2"/>
  <c r="T1279" i="2"/>
  <c r="I1279" i="2"/>
  <c r="H1279" i="2"/>
  <c r="AQ1279" i="2" s="1"/>
  <c r="AA1278" i="2"/>
  <c r="X1278" i="2"/>
  <c r="V1278" i="2"/>
  <c r="I1278" i="2"/>
  <c r="H1278" i="2"/>
  <c r="Z1278" i="2" s="1"/>
  <c r="AQ1277" i="2"/>
  <c r="Z1277" i="2"/>
  <c r="X1277" i="2"/>
  <c r="V1277" i="2"/>
  <c r="I1277" i="2"/>
  <c r="H1277" i="2"/>
  <c r="AV1277" i="2" s="1"/>
  <c r="X1276" i="2"/>
  <c r="V1276" i="2"/>
  <c r="I1276" i="2"/>
  <c r="H1276" i="2"/>
  <c r="X1275" i="2"/>
  <c r="V1275" i="2"/>
  <c r="I1275" i="2"/>
  <c r="H1275" i="2"/>
  <c r="X1274" i="2"/>
  <c r="V1274" i="2"/>
  <c r="I1274" i="2"/>
  <c r="H1274" i="2"/>
  <c r="AC1274" i="2" s="1"/>
  <c r="X1273" i="2"/>
  <c r="V1273" i="2"/>
  <c r="I1273" i="2"/>
  <c r="H1273" i="2"/>
  <c r="X1272" i="2"/>
  <c r="V1272" i="2"/>
  <c r="I1272" i="2"/>
  <c r="H1272" i="2"/>
  <c r="AC1272" i="2" s="1"/>
  <c r="X1271" i="2"/>
  <c r="V1271" i="2"/>
  <c r="I1271" i="2"/>
  <c r="H1271" i="2"/>
  <c r="AC1271" i="2" s="1"/>
  <c r="AP1270" i="2"/>
  <c r="X1270" i="2"/>
  <c r="V1270" i="2"/>
  <c r="I1270" i="2"/>
  <c r="H1270" i="2"/>
  <c r="Z1270" i="2" s="1"/>
  <c r="X1269" i="2"/>
  <c r="V1269" i="2"/>
  <c r="I1269" i="2"/>
  <c r="H1269" i="2"/>
  <c r="X1268" i="2"/>
  <c r="V1268" i="2"/>
  <c r="I1268" i="2"/>
  <c r="H1268" i="2"/>
  <c r="AV1268" i="2" s="1"/>
  <c r="X1267" i="2"/>
  <c r="V1267" i="2"/>
  <c r="I1267" i="2"/>
  <c r="H1267" i="2"/>
  <c r="X1266" i="2"/>
  <c r="V1266" i="2"/>
  <c r="I1266" i="2"/>
  <c r="H1266" i="2"/>
  <c r="AP1266" i="2" s="1"/>
  <c r="X1265" i="2"/>
  <c r="V1265" i="2"/>
  <c r="I1265" i="2"/>
  <c r="H1265" i="2"/>
  <c r="AV1265" i="2" s="1"/>
  <c r="AC1264" i="2"/>
  <c r="Z1264" i="2"/>
  <c r="X1264" i="2"/>
  <c r="V1264" i="2"/>
  <c r="I1264" i="2"/>
  <c r="H1264" i="2"/>
  <c r="T1264" i="2" s="1"/>
  <c r="X1263" i="2"/>
  <c r="V1263" i="2"/>
  <c r="I1263" i="2"/>
  <c r="H1263" i="2"/>
  <c r="Z1263" i="2" s="1"/>
  <c r="X1262" i="2"/>
  <c r="V1262" i="2"/>
  <c r="I1262" i="2"/>
  <c r="H1262" i="2"/>
  <c r="X1261" i="2"/>
  <c r="V1261" i="2"/>
  <c r="I1261" i="2"/>
  <c r="H1261" i="2"/>
  <c r="T1261" i="2" s="1"/>
  <c r="X1260" i="2"/>
  <c r="V1260" i="2"/>
  <c r="I1260" i="2"/>
  <c r="H1260" i="2"/>
  <c r="X1259" i="2"/>
  <c r="V1259" i="2"/>
  <c r="I1259" i="2"/>
  <c r="H1259" i="2"/>
  <c r="X1258" i="2"/>
  <c r="V1258" i="2"/>
  <c r="I1258" i="2"/>
  <c r="H1258" i="2"/>
  <c r="X1257" i="2"/>
  <c r="V1257" i="2"/>
  <c r="I1257" i="2"/>
  <c r="H1257" i="2"/>
  <c r="X1256" i="2"/>
  <c r="V1256" i="2"/>
  <c r="I1256" i="2"/>
  <c r="H1256" i="2"/>
  <c r="T1256" i="2" s="1"/>
  <c r="AQ1255" i="2"/>
  <c r="X1255" i="2"/>
  <c r="V1255" i="2"/>
  <c r="I1255" i="2"/>
  <c r="H1255" i="2"/>
  <c r="AA1255" i="2" s="1"/>
  <c r="X1254" i="2"/>
  <c r="V1254" i="2"/>
  <c r="I1254" i="2"/>
  <c r="H1254" i="2"/>
  <c r="AP1254" i="2" s="1"/>
  <c r="X1253" i="2"/>
  <c r="V1253" i="2"/>
  <c r="I1253" i="2"/>
  <c r="H1253" i="2"/>
  <c r="AU1252" i="2"/>
  <c r="AP1252" i="2"/>
  <c r="AC1252" i="2"/>
  <c r="AA1252" i="2"/>
  <c r="X1252" i="2"/>
  <c r="V1252" i="2"/>
  <c r="T1252" i="2"/>
  <c r="I1252" i="2"/>
  <c r="H1252" i="2"/>
  <c r="AT1252" i="2" s="1"/>
  <c r="X1251" i="2"/>
  <c r="V1251" i="2"/>
  <c r="I1251" i="2"/>
  <c r="H1251" i="2"/>
  <c r="X1250" i="2"/>
  <c r="V1250" i="2"/>
  <c r="I1250" i="2"/>
  <c r="H1250" i="2"/>
  <c r="AP1250" i="2" s="1"/>
  <c r="X1249" i="2"/>
  <c r="V1249" i="2"/>
  <c r="I1249" i="2"/>
  <c r="H1249" i="2"/>
  <c r="X1248" i="2"/>
  <c r="V1248" i="2"/>
  <c r="I1248" i="2"/>
  <c r="H1248" i="2"/>
  <c r="X1247" i="2"/>
  <c r="V1247" i="2"/>
  <c r="I1247" i="2"/>
  <c r="H1247" i="2"/>
  <c r="T1247" i="2" s="1"/>
  <c r="X1246" i="2"/>
  <c r="V1246" i="2"/>
  <c r="I1246" i="2"/>
  <c r="H1246" i="2"/>
  <c r="X1245" i="2"/>
  <c r="V1245" i="2"/>
  <c r="I1245" i="2"/>
  <c r="H1245" i="2"/>
  <c r="X1244" i="2"/>
  <c r="V1244" i="2"/>
  <c r="I1244" i="2"/>
  <c r="H1244" i="2"/>
  <c r="X1243" i="2"/>
  <c r="V1243" i="2"/>
  <c r="I1243" i="2"/>
  <c r="H1243" i="2"/>
  <c r="X1242" i="2"/>
  <c r="V1242" i="2"/>
  <c r="I1242" i="2"/>
  <c r="H1242" i="2"/>
  <c r="AV1242" i="2" s="1"/>
  <c r="X1241" i="2"/>
  <c r="V1241" i="2"/>
  <c r="I1241" i="2"/>
  <c r="H1241" i="2"/>
  <c r="X1240" i="2"/>
  <c r="V1240" i="2"/>
  <c r="I1240" i="2"/>
  <c r="H1240" i="2"/>
  <c r="AC1240" i="2" s="1"/>
  <c r="X1239" i="2"/>
  <c r="V1239" i="2"/>
  <c r="I1239" i="2"/>
  <c r="H1239" i="2"/>
  <c r="X1238" i="2"/>
  <c r="V1238" i="2"/>
  <c r="I1238" i="2"/>
  <c r="H1238" i="2"/>
  <c r="X1237" i="2"/>
  <c r="V1237" i="2"/>
  <c r="I1237" i="2"/>
  <c r="H1237" i="2"/>
  <c r="AA1237" i="2" s="1"/>
  <c r="X1236" i="2"/>
  <c r="V1236" i="2"/>
  <c r="I1236" i="2"/>
  <c r="H1236" i="2"/>
  <c r="T1236" i="2" s="1"/>
  <c r="Z1235" i="2"/>
  <c r="X1235" i="2"/>
  <c r="V1235" i="2"/>
  <c r="I1235" i="2"/>
  <c r="H1235" i="2"/>
  <c r="T1235" i="2" s="1"/>
  <c r="AQ1234" i="2"/>
  <c r="X1234" i="2"/>
  <c r="V1234" i="2"/>
  <c r="I1234" i="2"/>
  <c r="H1234" i="2"/>
  <c r="AC1234" i="2" s="1"/>
  <c r="X1233" i="2"/>
  <c r="V1233" i="2"/>
  <c r="I1233" i="2"/>
  <c r="H1233" i="2"/>
  <c r="T1233" i="2" s="1"/>
  <c r="X1232" i="2"/>
  <c r="V1232" i="2"/>
  <c r="I1232" i="2"/>
  <c r="H1232" i="2"/>
  <c r="X1231" i="2"/>
  <c r="V1231" i="2"/>
  <c r="I1231" i="2"/>
  <c r="H1231" i="2"/>
  <c r="AP1231" i="2" s="1"/>
  <c r="X1230" i="2"/>
  <c r="V1230" i="2"/>
  <c r="I1230" i="2"/>
  <c r="H1230" i="2"/>
  <c r="Z1230" i="2" s="1"/>
  <c r="X1229" i="2"/>
  <c r="V1229" i="2"/>
  <c r="I1229" i="2"/>
  <c r="H1229" i="2"/>
  <c r="X1228" i="2"/>
  <c r="V1228" i="2"/>
  <c r="I1228" i="2"/>
  <c r="H1228" i="2"/>
  <c r="T1228" i="2" s="1"/>
  <c r="X1227" i="2"/>
  <c r="V1227" i="2"/>
  <c r="I1227" i="2"/>
  <c r="H1227" i="2"/>
  <c r="Z1227" i="2" s="1"/>
  <c r="AV1226" i="2"/>
  <c r="AP1226" i="2"/>
  <c r="AA1226" i="2"/>
  <c r="X1226" i="2"/>
  <c r="V1226" i="2"/>
  <c r="I1226" i="2"/>
  <c r="H1226" i="2"/>
  <c r="T1226" i="2" s="1"/>
  <c r="X1225" i="2"/>
  <c r="V1225" i="2"/>
  <c r="I1225" i="2"/>
  <c r="H1225" i="2"/>
  <c r="X1224" i="2"/>
  <c r="V1224" i="2"/>
  <c r="I1224" i="2"/>
  <c r="H1224" i="2"/>
  <c r="AA1224" i="2" s="1"/>
  <c r="X1223" i="2"/>
  <c r="V1223" i="2"/>
  <c r="I1223" i="2"/>
  <c r="H1223" i="2"/>
  <c r="AV1222" i="2"/>
  <c r="X1222" i="2"/>
  <c r="V1222" i="2"/>
  <c r="I1222" i="2"/>
  <c r="H1222" i="2"/>
  <c r="AQ1222" i="2" s="1"/>
  <c r="X1221" i="2"/>
  <c r="V1221" i="2"/>
  <c r="I1221" i="2"/>
  <c r="H1221" i="2"/>
  <c r="I1220" i="2"/>
  <c r="H1220" i="2"/>
  <c r="AQ1220" i="2" s="1"/>
  <c r="I1219" i="2"/>
  <c r="H1219" i="2"/>
  <c r="AV1219" i="2" s="1"/>
  <c r="AW1219" i="2" s="1"/>
  <c r="I1218" i="2"/>
  <c r="H1218" i="2"/>
  <c r="AV1217" i="2"/>
  <c r="I1217" i="2"/>
  <c r="H1217" i="2"/>
  <c r="Z1217" i="2" s="1"/>
  <c r="I1216" i="2"/>
  <c r="H1216" i="2"/>
  <c r="X1215" i="2"/>
  <c r="V1215" i="2"/>
  <c r="I1215" i="2"/>
  <c r="H1215" i="2"/>
  <c r="X1214" i="2"/>
  <c r="V1214" i="2"/>
  <c r="I1214" i="2"/>
  <c r="H1214" i="2"/>
  <c r="Z1214" i="2" s="1"/>
  <c r="I1213" i="2"/>
  <c r="H1213" i="2"/>
  <c r="I1212" i="2"/>
  <c r="H1212" i="2"/>
  <c r="AV1212" i="2" s="1"/>
  <c r="I1211" i="2"/>
  <c r="H1211" i="2"/>
  <c r="AP1211" i="2" s="1"/>
  <c r="AP1210" i="2"/>
  <c r="I1210" i="2"/>
  <c r="H1210" i="2"/>
  <c r="X1209" i="2"/>
  <c r="V1209" i="2"/>
  <c r="I1209" i="2"/>
  <c r="H1209" i="2"/>
  <c r="X1208" i="2"/>
  <c r="V1208" i="2"/>
  <c r="I1208" i="2"/>
  <c r="H1208" i="2"/>
  <c r="X1207" i="2"/>
  <c r="V1207" i="2"/>
  <c r="I1207" i="2"/>
  <c r="H1207" i="2"/>
  <c r="X1206" i="2"/>
  <c r="V1206" i="2"/>
  <c r="I1206" i="2"/>
  <c r="H1206" i="2"/>
  <c r="X1205" i="2"/>
  <c r="V1205" i="2"/>
  <c r="I1205" i="2"/>
  <c r="H1205" i="2"/>
  <c r="AP1205" i="2" s="1"/>
  <c r="X1204" i="2"/>
  <c r="V1204" i="2"/>
  <c r="I1204" i="2"/>
  <c r="H1204" i="2"/>
  <c r="T1204" i="2" s="1"/>
  <c r="X1203" i="2"/>
  <c r="V1203" i="2"/>
  <c r="I1203" i="2"/>
  <c r="H1203" i="2"/>
  <c r="AV1202" i="2"/>
  <c r="AW1202" i="2" s="1"/>
  <c r="X1202" i="2"/>
  <c r="V1202" i="2"/>
  <c r="I1202" i="2"/>
  <c r="H1202" i="2"/>
  <c r="AC1202" i="2" s="1"/>
  <c r="X1201" i="2"/>
  <c r="V1201" i="2"/>
  <c r="I1201" i="2"/>
  <c r="H1201" i="2"/>
  <c r="T1201" i="2" s="1"/>
  <c r="X1200" i="2"/>
  <c r="V1200" i="2"/>
  <c r="I1200" i="2"/>
  <c r="H1200" i="2"/>
  <c r="AC1200" i="2" s="1"/>
  <c r="X1199" i="2"/>
  <c r="V1199" i="2"/>
  <c r="I1199" i="2"/>
  <c r="H1199" i="2"/>
  <c r="X1198" i="2"/>
  <c r="V1198" i="2"/>
  <c r="I1198" i="2"/>
  <c r="H1198" i="2"/>
  <c r="T1198" i="2" s="1"/>
  <c r="AC1197" i="2"/>
  <c r="X1197" i="2"/>
  <c r="V1197" i="2"/>
  <c r="I1197" i="2"/>
  <c r="H1197" i="2"/>
  <c r="X1196" i="2"/>
  <c r="V1196" i="2"/>
  <c r="I1196" i="2"/>
  <c r="H1196" i="2"/>
  <c r="AQ1196" i="2" s="1"/>
  <c r="X1195" i="2"/>
  <c r="V1195" i="2"/>
  <c r="I1195" i="2"/>
  <c r="H1195" i="2"/>
  <c r="AP1195" i="2" s="1"/>
  <c r="X1194" i="2"/>
  <c r="V1194" i="2"/>
  <c r="I1194" i="2"/>
  <c r="H1194" i="2"/>
  <c r="X1193" i="2"/>
  <c r="V1193" i="2"/>
  <c r="I1193" i="2"/>
  <c r="H1193" i="2"/>
  <c r="X1192" i="2"/>
  <c r="V1192" i="2"/>
  <c r="I1192" i="2"/>
  <c r="H1192" i="2"/>
  <c r="X1191" i="2"/>
  <c r="V1191" i="2"/>
  <c r="I1191" i="2"/>
  <c r="H1191" i="2"/>
  <c r="X1190" i="2"/>
  <c r="V1190" i="2"/>
  <c r="I1190" i="2"/>
  <c r="H1190" i="2"/>
  <c r="X1189" i="2"/>
  <c r="V1189" i="2"/>
  <c r="I1189" i="2"/>
  <c r="H1189" i="2"/>
  <c r="X1188" i="2"/>
  <c r="V1188" i="2"/>
  <c r="I1188" i="2"/>
  <c r="H1188" i="2"/>
  <c r="T1188" i="2" s="1"/>
  <c r="X1187" i="2"/>
  <c r="V1187" i="2"/>
  <c r="I1187" i="2"/>
  <c r="H1187" i="2"/>
  <c r="X1186" i="2"/>
  <c r="V1186" i="2"/>
  <c r="I1186" i="2"/>
  <c r="H1186" i="2"/>
  <c r="X1185" i="2"/>
  <c r="V1185" i="2"/>
  <c r="I1185" i="2"/>
  <c r="H1185" i="2"/>
  <c r="AV1185" i="2" s="1"/>
  <c r="X1184" i="2"/>
  <c r="V1184" i="2"/>
  <c r="I1184" i="2"/>
  <c r="H1184" i="2"/>
  <c r="AV1184" i="2" s="1"/>
  <c r="AW1184" i="2" s="1"/>
  <c r="AA1183" i="2"/>
  <c r="X1183" i="2"/>
  <c r="V1183" i="2"/>
  <c r="I1183" i="2"/>
  <c r="H1183" i="2"/>
  <c r="AP1183" i="2" s="1"/>
  <c r="AP1182" i="2"/>
  <c r="X1182" i="2"/>
  <c r="V1182" i="2"/>
  <c r="I1182" i="2"/>
  <c r="H1182" i="2"/>
  <c r="AQ1182" i="2" s="1"/>
  <c r="AV1181" i="2"/>
  <c r="X1181" i="2"/>
  <c r="V1181" i="2"/>
  <c r="I1181" i="2"/>
  <c r="H1181" i="2"/>
  <c r="Z1181" i="2" s="1"/>
  <c r="X1180" i="2"/>
  <c r="V1180" i="2"/>
  <c r="I1180" i="2"/>
  <c r="H1180" i="2"/>
  <c r="X1179" i="2"/>
  <c r="V1179" i="2"/>
  <c r="I1179" i="2"/>
  <c r="H1179" i="2"/>
  <c r="AV1179" i="2" s="1"/>
  <c r="X1178" i="2"/>
  <c r="V1178" i="2"/>
  <c r="I1178" i="2"/>
  <c r="H1178" i="2"/>
  <c r="T1178" i="2" s="1"/>
  <c r="X1177" i="2"/>
  <c r="V1177" i="2"/>
  <c r="I1177" i="2"/>
  <c r="H1177" i="2"/>
  <c r="X1176" i="2"/>
  <c r="V1176" i="2"/>
  <c r="I1176" i="2"/>
  <c r="H1176" i="2"/>
  <c r="AP1176" i="2" s="1"/>
  <c r="X1175" i="2"/>
  <c r="V1175" i="2"/>
  <c r="I1175" i="2"/>
  <c r="H1175" i="2"/>
  <c r="X1174" i="2"/>
  <c r="V1174" i="2"/>
  <c r="I1174" i="2"/>
  <c r="H1174" i="2"/>
  <c r="X1173" i="2"/>
  <c r="V1173" i="2"/>
  <c r="I1173" i="2"/>
  <c r="H1173" i="2"/>
  <c r="X1172" i="2"/>
  <c r="V1172" i="2"/>
  <c r="I1172" i="2"/>
  <c r="H1172" i="2"/>
  <c r="T1172" i="2" s="1"/>
  <c r="X1171" i="2"/>
  <c r="V1171" i="2"/>
  <c r="I1171" i="2"/>
  <c r="H1171" i="2"/>
  <c r="X1170" i="2"/>
  <c r="V1170" i="2"/>
  <c r="I1170" i="2"/>
  <c r="H1170" i="2"/>
  <c r="X1169" i="2"/>
  <c r="V1169" i="2"/>
  <c r="I1169" i="2"/>
  <c r="H1169" i="2"/>
  <c r="AP1169" i="2" s="1"/>
  <c r="X1168" i="2"/>
  <c r="V1168" i="2"/>
  <c r="I1168" i="2"/>
  <c r="H1168" i="2"/>
  <c r="X1167" i="2"/>
  <c r="V1167" i="2"/>
  <c r="I1167" i="2"/>
  <c r="H1167" i="2"/>
  <c r="T1167" i="2" s="1"/>
  <c r="X1166" i="2"/>
  <c r="V1166" i="2"/>
  <c r="I1166" i="2"/>
  <c r="H1166" i="2"/>
  <c r="X1165" i="2"/>
  <c r="V1165" i="2"/>
  <c r="I1165" i="2"/>
  <c r="H1165" i="2"/>
  <c r="T1165" i="2" s="1"/>
  <c r="X1164" i="2"/>
  <c r="V1164" i="2"/>
  <c r="I1164" i="2"/>
  <c r="H1164" i="2"/>
  <c r="AQ1164" i="2" s="1"/>
  <c r="X1163" i="2"/>
  <c r="V1163" i="2"/>
  <c r="I1163" i="2"/>
  <c r="H1163" i="2"/>
  <c r="Z1163" i="2" s="1"/>
  <c r="X1162" i="2"/>
  <c r="V1162" i="2"/>
  <c r="I1162" i="2"/>
  <c r="H1162" i="2"/>
  <c r="Z1162" i="2" s="1"/>
  <c r="X1161" i="2"/>
  <c r="V1161" i="2"/>
  <c r="I1161" i="2"/>
  <c r="H1161" i="2"/>
  <c r="X1160" i="2"/>
  <c r="V1160" i="2"/>
  <c r="I1160" i="2"/>
  <c r="H1160" i="2"/>
  <c r="AV1159" i="2"/>
  <c r="X1159" i="2"/>
  <c r="V1159" i="2"/>
  <c r="I1159" i="2"/>
  <c r="H1159" i="2"/>
  <c r="T1159" i="2" s="1"/>
  <c r="AP1158" i="2"/>
  <c r="X1158" i="2"/>
  <c r="V1158" i="2"/>
  <c r="I1158" i="2"/>
  <c r="H1158" i="2"/>
  <c r="AA1158" i="2" s="1"/>
  <c r="X1157" i="2"/>
  <c r="V1157" i="2"/>
  <c r="I1157" i="2"/>
  <c r="H1157" i="2"/>
  <c r="AV1157" i="2" s="1"/>
  <c r="X1156" i="2"/>
  <c r="V1156" i="2"/>
  <c r="I1156" i="2"/>
  <c r="H1156" i="2"/>
  <c r="T1156" i="2" s="1"/>
  <c r="X1155" i="2"/>
  <c r="V1155" i="2"/>
  <c r="I1155" i="2"/>
  <c r="H1155" i="2"/>
  <c r="X1154" i="2"/>
  <c r="V1154" i="2"/>
  <c r="I1154" i="2"/>
  <c r="H1154" i="2"/>
  <c r="AV1154" i="2" s="1"/>
  <c r="AW1154" i="2" s="1"/>
  <c r="X1153" i="2"/>
  <c r="V1153" i="2"/>
  <c r="I1153" i="2"/>
  <c r="H1153" i="2"/>
  <c r="X1152" i="2"/>
  <c r="V1152" i="2"/>
  <c r="I1152" i="2"/>
  <c r="H1152" i="2"/>
  <c r="X1151" i="2"/>
  <c r="V1151" i="2"/>
  <c r="I1151" i="2"/>
  <c r="H1151" i="2"/>
  <c r="X1150" i="2"/>
  <c r="V1150" i="2"/>
  <c r="I1150" i="2"/>
  <c r="H1150" i="2"/>
  <c r="T1150" i="2" s="1"/>
  <c r="X1149" i="2"/>
  <c r="V1149" i="2"/>
  <c r="I1149" i="2"/>
  <c r="H1149" i="2"/>
  <c r="X1148" i="2"/>
  <c r="V1148" i="2"/>
  <c r="I1148" i="2"/>
  <c r="H1148" i="2"/>
  <c r="AV1148" i="2" s="1"/>
  <c r="X1147" i="2"/>
  <c r="V1147" i="2"/>
  <c r="I1147" i="2"/>
  <c r="H1147" i="2"/>
  <c r="X1146" i="2"/>
  <c r="V1146" i="2"/>
  <c r="I1146" i="2"/>
  <c r="H1146" i="2"/>
  <c r="X1145" i="2"/>
  <c r="V1145" i="2"/>
  <c r="I1145" i="2"/>
  <c r="H1145" i="2"/>
  <c r="X1144" i="2"/>
  <c r="V1144" i="2"/>
  <c r="I1144" i="2"/>
  <c r="H1144" i="2"/>
  <c r="X1143" i="2"/>
  <c r="V1143" i="2"/>
  <c r="I1143" i="2"/>
  <c r="H1143" i="2"/>
  <c r="X1142" i="2"/>
  <c r="V1142" i="2"/>
  <c r="I1142" i="2"/>
  <c r="H1142" i="2"/>
  <c r="X1141" i="2"/>
  <c r="V1141" i="2"/>
  <c r="I1141" i="2"/>
  <c r="H1141" i="2"/>
  <c r="AP1140" i="2"/>
  <c r="X1140" i="2"/>
  <c r="V1140" i="2"/>
  <c r="T1140" i="2"/>
  <c r="I1140" i="2"/>
  <c r="H1140" i="2"/>
  <c r="AA1140" i="2" s="1"/>
  <c r="X1139" i="2"/>
  <c r="V1139" i="2"/>
  <c r="I1139" i="2"/>
  <c r="H1139" i="2"/>
  <c r="AP1139" i="2" s="1"/>
  <c r="X1138" i="2"/>
  <c r="V1138" i="2"/>
  <c r="I1138" i="2"/>
  <c r="H1138" i="2"/>
  <c r="X1137" i="2"/>
  <c r="V1137" i="2"/>
  <c r="I1137" i="2"/>
  <c r="H1137" i="2"/>
  <c r="X1136" i="2"/>
  <c r="V1136" i="2"/>
  <c r="I1136" i="2"/>
  <c r="H1136" i="2"/>
  <c r="AC1135" i="2"/>
  <c r="X1135" i="2"/>
  <c r="V1135" i="2"/>
  <c r="I1135" i="2"/>
  <c r="H1135" i="2"/>
  <c r="AQ1134" i="2"/>
  <c r="X1134" i="2"/>
  <c r="V1134" i="2"/>
  <c r="I1134" i="2"/>
  <c r="H1134" i="2"/>
  <c r="T1134" i="2" s="1"/>
  <c r="X1133" i="2"/>
  <c r="V1133" i="2"/>
  <c r="I1133" i="2"/>
  <c r="H1133" i="2"/>
  <c r="Z1133" i="2" s="1"/>
  <c r="X1132" i="2"/>
  <c r="V1132" i="2"/>
  <c r="I1132" i="2"/>
  <c r="H1132" i="2"/>
  <c r="AC1132" i="2" s="1"/>
  <c r="X1131" i="2"/>
  <c r="V1131" i="2"/>
  <c r="I1131" i="2"/>
  <c r="H1131" i="2"/>
  <c r="AQ1131" i="2" s="1"/>
  <c r="X1130" i="2"/>
  <c r="V1130" i="2"/>
  <c r="I1130" i="2"/>
  <c r="H1130" i="2"/>
  <c r="Z1130" i="2" s="1"/>
  <c r="X1129" i="2"/>
  <c r="V1129" i="2"/>
  <c r="T1129" i="2"/>
  <c r="I1129" i="2"/>
  <c r="H1129" i="2"/>
  <c r="X1128" i="2"/>
  <c r="V1128" i="2"/>
  <c r="I1128" i="2"/>
  <c r="H1128" i="2"/>
  <c r="AP1128" i="2" s="1"/>
  <c r="X1127" i="2"/>
  <c r="V1127" i="2"/>
  <c r="I1127" i="2"/>
  <c r="H1127" i="2"/>
  <c r="X1126" i="2"/>
  <c r="V1126" i="2"/>
  <c r="I1126" i="2"/>
  <c r="H1126" i="2"/>
  <c r="AV1126" i="2" s="1"/>
  <c r="X1125" i="2"/>
  <c r="V1125" i="2"/>
  <c r="I1125" i="2"/>
  <c r="H1125" i="2"/>
  <c r="X1124" i="2"/>
  <c r="V1124" i="2"/>
  <c r="I1124" i="2"/>
  <c r="H1124" i="2"/>
  <c r="AV1124" i="2" s="1"/>
  <c r="X1123" i="2"/>
  <c r="V1123" i="2"/>
  <c r="I1123" i="2"/>
  <c r="H1123" i="2"/>
  <c r="X1122" i="2"/>
  <c r="V1122" i="2"/>
  <c r="I1122" i="2"/>
  <c r="H1122" i="2"/>
  <c r="T1122" i="2" s="1"/>
  <c r="X1121" i="2"/>
  <c r="I1121" i="2"/>
  <c r="H1121" i="2"/>
  <c r="I1120" i="2"/>
  <c r="H1120" i="2"/>
  <c r="Z1119" i="2"/>
  <c r="X1119" i="2"/>
  <c r="I1119" i="2"/>
  <c r="H1119" i="2"/>
  <c r="AC1119" i="2" s="1"/>
  <c r="X1118" i="2"/>
  <c r="I1118" i="2"/>
  <c r="H1118" i="2"/>
  <c r="X1117" i="2"/>
  <c r="I1117" i="2"/>
  <c r="H1117" i="2"/>
  <c r="T1117" i="2" s="1"/>
  <c r="I1116" i="2"/>
  <c r="H1116" i="2"/>
  <c r="Z1115" i="2"/>
  <c r="X1115" i="2"/>
  <c r="T1115" i="2"/>
  <c r="I1115" i="2"/>
  <c r="H1115" i="2"/>
  <c r="X1114" i="2"/>
  <c r="I1114" i="2"/>
  <c r="H1114" i="2"/>
  <c r="AP1114" i="2" s="1"/>
  <c r="X1113" i="2"/>
  <c r="I1113" i="2"/>
  <c r="H1113" i="2"/>
  <c r="AQ1113" i="2" s="1"/>
  <c r="X1112" i="2"/>
  <c r="I1112" i="2"/>
  <c r="H1112" i="2"/>
  <c r="X1111" i="2"/>
  <c r="I1111" i="2"/>
  <c r="H1111" i="2"/>
  <c r="X1110" i="2"/>
  <c r="I1110" i="2"/>
  <c r="H1110" i="2"/>
  <c r="AC1110" i="2" s="1"/>
  <c r="X1109" i="2"/>
  <c r="I1109" i="2"/>
  <c r="H1109" i="2"/>
  <c r="X1108" i="2"/>
  <c r="I1108" i="2"/>
  <c r="H1108" i="2"/>
  <c r="AP1107" i="2"/>
  <c r="X1107" i="2"/>
  <c r="T1107" i="2"/>
  <c r="I1107" i="2"/>
  <c r="H1107" i="2"/>
  <c r="AQ1107" i="2" s="1"/>
  <c r="X1106" i="2"/>
  <c r="I1106" i="2"/>
  <c r="H1106" i="2"/>
  <c r="X1105" i="2"/>
  <c r="I1105" i="2"/>
  <c r="H1105" i="2"/>
  <c r="AP1105" i="2" s="1"/>
  <c r="X1104" i="2"/>
  <c r="V1104" i="2"/>
  <c r="I1104" i="2"/>
  <c r="H1104" i="2"/>
  <c r="X1103" i="2"/>
  <c r="V1103" i="2"/>
  <c r="I1103" i="2"/>
  <c r="H1103" i="2"/>
  <c r="AC1103" i="2" s="1"/>
  <c r="X1102" i="2"/>
  <c r="V1102" i="2"/>
  <c r="I1102" i="2"/>
  <c r="H1102" i="2"/>
  <c r="X1101" i="2"/>
  <c r="V1101" i="2"/>
  <c r="I1101" i="2"/>
  <c r="H1101" i="2"/>
  <c r="AV1101" i="2" s="1"/>
  <c r="X1100" i="2"/>
  <c r="V1100" i="2"/>
  <c r="I1100" i="2"/>
  <c r="H1100" i="2"/>
  <c r="AC1100" i="2" s="1"/>
  <c r="X1099" i="2"/>
  <c r="V1099" i="2"/>
  <c r="I1099" i="2"/>
  <c r="H1099" i="2"/>
  <c r="AP1098" i="2"/>
  <c r="X1098" i="2"/>
  <c r="V1098" i="2"/>
  <c r="I1098" i="2"/>
  <c r="H1098" i="2"/>
  <c r="AV1098" i="2" s="1"/>
  <c r="X1097" i="2"/>
  <c r="V1097" i="2"/>
  <c r="I1097" i="2"/>
  <c r="H1097" i="2"/>
  <c r="AQ1097" i="2" s="1"/>
  <c r="X1096" i="2"/>
  <c r="V1096" i="2"/>
  <c r="I1096" i="2"/>
  <c r="H1096" i="2"/>
  <c r="X1095" i="2"/>
  <c r="V1095" i="2"/>
  <c r="I1095" i="2"/>
  <c r="H1095" i="2"/>
  <c r="X1094" i="2"/>
  <c r="I1094" i="2"/>
  <c r="H1094" i="2"/>
  <c r="X1093" i="2"/>
  <c r="I1093" i="2"/>
  <c r="H1093" i="2"/>
  <c r="AV1093" i="2" s="1"/>
  <c r="X1092" i="2"/>
  <c r="V1092" i="2"/>
  <c r="I1092" i="2"/>
  <c r="H1092" i="2"/>
  <c r="X1091" i="2"/>
  <c r="V1091" i="2"/>
  <c r="I1091" i="2"/>
  <c r="H1091" i="2"/>
  <c r="X1090" i="2"/>
  <c r="V1090" i="2"/>
  <c r="I1090" i="2"/>
  <c r="H1090" i="2"/>
  <c r="X1089" i="2"/>
  <c r="V1089" i="2"/>
  <c r="I1089" i="2"/>
  <c r="H1089" i="2"/>
  <c r="AP1088" i="2"/>
  <c r="X1088" i="2"/>
  <c r="V1088" i="2"/>
  <c r="T1088" i="2"/>
  <c r="I1088" i="2"/>
  <c r="H1088" i="2"/>
  <c r="AV1088" i="2" s="1"/>
  <c r="X1087" i="2"/>
  <c r="V1087" i="2"/>
  <c r="T1087" i="2"/>
  <c r="I1087" i="2"/>
  <c r="H1087" i="2"/>
  <c r="X1086" i="2"/>
  <c r="V1086" i="2"/>
  <c r="I1086" i="2"/>
  <c r="H1086" i="2"/>
  <c r="X1085" i="2"/>
  <c r="V1085" i="2"/>
  <c r="I1085" i="2"/>
  <c r="H1085" i="2"/>
  <c r="AV1085" i="2" s="1"/>
  <c r="X1084" i="2"/>
  <c r="V1084" i="2"/>
  <c r="I1084" i="2"/>
  <c r="H1084" i="2"/>
  <c r="T1084" i="2" s="1"/>
  <c r="AC1083" i="2"/>
  <c r="AA1083" i="2"/>
  <c r="X1083" i="2"/>
  <c r="V1083" i="2"/>
  <c r="I1083" i="2"/>
  <c r="H1083" i="2"/>
  <c r="T1083" i="2" s="1"/>
  <c r="X1082" i="2"/>
  <c r="I1082" i="2"/>
  <c r="H1082" i="2"/>
  <c r="AV1082" i="2" s="1"/>
  <c r="X1081" i="2"/>
  <c r="V1081" i="2"/>
  <c r="I1081" i="2"/>
  <c r="H1081" i="2"/>
  <c r="X1080" i="2"/>
  <c r="V1080" i="2"/>
  <c r="I1080" i="2"/>
  <c r="H1080" i="2"/>
  <c r="X1079" i="2"/>
  <c r="V1079" i="2"/>
  <c r="I1079" i="2"/>
  <c r="H1079" i="2"/>
  <c r="X1078" i="2"/>
  <c r="V1078" i="2"/>
  <c r="I1078" i="2"/>
  <c r="H1078" i="2"/>
  <c r="AV1078" i="2" s="1"/>
  <c r="X1077" i="2"/>
  <c r="V1077" i="2"/>
  <c r="I1077" i="2"/>
  <c r="H1077" i="2"/>
  <c r="X1076" i="2"/>
  <c r="V1076" i="2"/>
  <c r="I1076" i="2"/>
  <c r="H1076" i="2"/>
  <c r="X1075" i="2"/>
  <c r="V1075" i="2"/>
  <c r="I1075" i="2"/>
  <c r="H1075" i="2"/>
  <c r="AQ1075" i="2" s="1"/>
  <c r="X1074" i="2"/>
  <c r="V1074" i="2"/>
  <c r="I1074" i="2"/>
  <c r="H1074" i="2"/>
  <c r="X1073" i="2"/>
  <c r="V1073" i="2"/>
  <c r="I1073" i="2"/>
  <c r="H1073" i="2"/>
  <c r="AV1073" i="2" s="1"/>
  <c r="X1072" i="2"/>
  <c r="V1072" i="2"/>
  <c r="I1072" i="2"/>
  <c r="H1072" i="2"/>
  <c r="AV1071" i="2"/>
  <c r="X1071" i="2"/>
  <c r="V1071" i="2"/>
  <c r="I1071" i="2"/>
  <c r="H1071" i="2"/>
  <c r="AC1071" i="2" s="1"/>
  <c r="X1070" i="2"/>
  <c r="V1070" i="2"/>
  <c r="I1070" i="2"/>
  <c r="H1070" i="2"/>
  <c r="Z1070" i="2" s="1"/>
  <c r="X1069" i="2"/>
  <c r="V1069" i="2"/>
  <c r="I1069" i="2"/>
  <c r="H1069" i="2"/>
  <c r="AA1068" i="2"/>
  <c r="X1068" i="2"/>
  <c r="V1068" i="2"/>
  <c r="I1068" i="2"/>
  <c r="H1068" i="2"/>
  <c r="Z1068" i="2" s="1"/>
  <c r="X1067" i="2"/>
  <c r="V1067" i="2"/>
  <c r="I1067" i="2"/>
  <c r="H1067" i="2"/>
  <c r="T1067" i="2" s="1"/>
  <c r="X1066" i="2"/>
  <c r="V1066" i="2"/>
  <c r="I1066" i="2"/>
  <c r="H1066" i="2"/>
  <c r="AQ1066" i="2" s="1"/>
  <c r="X1065" i="2"/>
  <c r="V1065" i="2"/>
  <c r="I1065" i="2"/>
  <c r="H1065" i="2"/>
  <c r="X1064" i="2"/>
  <c r="V1064" i="2"/>
  <c r="I1064" i="2"/>
  <c r="H1064" i="2"/>
  <c r="T1064" i="2" s="1"/>
  <c r="AP1063" i="2"/>
  <c r="X1063" i="2"/>
  <c r="V1063" i="2"/>
  <c r="I1063" i="2"/>
  <c r="H1063" i="2"/>
  <c r="AQ1063" i="2" s="1"/>
  <c r="X1062" i="2"/>
  <c r="V1062" i="2"/>
  <c r="I1062" i="2"/>
  <c r="H1062" i="2"/>
  <c r="T1062" i="2" s="1"/>
  <c r="Z1061" i="2"/>
  <c r="X1061" i="2"/>
  <c r="V1061" i="2"/>
  <c r="I1061" i="2"/>
  <c r="H1061" i="2"/>
  <c r="AQ1060" i="2"/>
  <c r="X1060" i="2"/>
  <c r="V1060" i="2"/>
  <c r="I1060" i="2"/>
  <c r="H1060" i="2"/>
  <c r="X1059" i="2"/>
  <c r="V1059" i="2"/>
  <c r="I1059" i="2"/>
  <c r="H1059" i="2"/>
  <c r="X1058" i="2"/>
  <c r="V1058" i="2"/>
  <c r="I1058" i="2"/>
  <c r="H1058" i="2"/>
  <c r="X1057" i="2"/>
  <c r="V1057" i="2"/>
  <c r="I1057" i="2"/>
  <c r="H1057" i="2"/>
  <c r="Z1057" i="2" s="1"/>
  <c r="X1056" i="2"/>
  <c r="V1056" i="2"/>
  <c r="I1056" i="2"/>
  <c r="H1056" i="2"/>
  <c r="X1055" i="2"/>
  <c r="V1055" i="2"/>
  <c r="I1055" i="2"/>
  <c r="H1055" i="2"/>
  <c r="AA1055" i="2" s="1"/>
  <c r="X1054" i="2"/>
  <c r="V1054" i="2"/>
  <c r="I1054" i="2"/>
  <c r="H1054" i="2"/>
  <c r="X1053" i="2"/>
  <c r="V1053" i="2"/>
  <c r="I1053" i="2"/>
  <c r="H1053" i="2"/>
  <c r="AA1053" i="2" s="1"/>
  <c r="X1052" i="2"/>
  <c r="V1052" i="2"/>
  <c r="I1052" i="2"/>
  <c r="H1052" i="2"/>
  <c r="X1051" i="2"/>
  <c r="V1051" i="2"/>
  <c r="I1051" i="2"/>
  <c r="H1051" i="2"/>
  <c r="AQ1051" i="2" s="1"/>
  <c r="X1050" i="2"/>
  <c r="V1050" i="2"/>
  <c r="I1050" i="2"/>
  <c r="H1050" i="2"/>
  <c r="AV1050" i="2" s="1"/>
  <c r="X1049" i="2"/>
  <c r="V1049" i="2"/>
  <c r="I1049" i="2"/>
  <c r="H1049" i="2"/>
  <c r="X1048" i="2"/>
  <c r="V1048" i="2"/>
  <c r="I1048" i="2"/>
  <c r="H1048" i="2"/>
  <c r="AA1048" i="2" s="1"/>
  <c r="X1047" i="2"/>
  <c r="V1047" i="2"/>
  <c r="I1047" i="2"/>
  <c r="H1047" i="2"/>
  <c r="X1046" i="2"/>
  <c r="V1046" i="2"/>
  <c r="I1046" i="2"/>
  <c r="H1046" i="2"/>
  <c r="X1045" i="2"/>
  <c r="V1045" i="2"/>
  <c r="I1045" i="2"/>
  <c r="H1045" i="2"/>
  <c r="AQ1045" i="2" s="1"/>
  <c r="X1044" i="2"/>
  <c r="V1044" i="2"/>
  <c r="I1044" i="2"/>
  <c r="H1044" i="2"/>
  <c r="AP1043" i="2"/>
  <c r="AA1043" i="2"/>
  <c r="X1043" i="2"/>
  <c r="V1043" i="2"/>
  <c r="I1043" i="2"/>
  <c r="H1043" i="2"/>
  <c r="AQ1043" i="2" s="1"/>
  <c r="X1042" i="2"/>
  <c r="V1042" i="2"/>
  <c r="I1042" i="2"/>
  <c r="H1042" i="2"/>
  <c r="AP1042" i="2" s="1"/>
  <c r="X1041" i="2"/>
  <c r="V1041" i="2"/>
  <c r="I1041" i="2"/>
  <c r="H1041" i="2"/>
  <c r="X1040" i="2"/>
  <c r="V1040" i="2"/>
  <c r="I1040" i="2"/>
  <c r="H1040" i="2"/>
  <c r="X1039" i="2"/>
  <c r="V1039" i="2"/>
  <c r="I1039" i="2"/>
  <c r="H1039" i="2"/>
  <c r="AQ1039" i="2" s="1"/>
  <c r="X1038" i="2"/>
  <c r="V1038" i="2"/>
  <c r="I1038" i="2"/>
  <c r="H1038" i="2"/>
  <c r="T1038" i="2" s="1"/>
  <c r="X1037" i="2"/>
  <c r="V1037" i="2"/>
  <c r="I1037" i="2"/>
  <c r="H1037" i="2"/>
  <c r="AV1037" i="2" s="1"/>
  <c r="X1036" i="2"/>
  <c r="V1036" i="2"/>
  <c r="I1036" i="2"/>
  <c r="H1036" i="2"/>
  <c r="AP1036" i="2" s="1"/>
  <c r="X1035" i="2"/>
  <c r="V1035" i="2"/>
  <c r="I1035" i="2"/>
  <c r="H1035" i="2"/>
  <c r="X1034" i="2"/>
  <c r="V1034" i="2"/>
  <c r="I1034" i="2"/>
  <c r="H1034" i="2"/>
  <c r="X1033" i="2"/>
  <c r="V1033" i="2"/>
  <c r="I1033" i="2"/>
  <c r="H1033" i="2"/>
  <c r="AV1033" i="2" s="1"/>
  <c r="X1032" i="2"/>
  <c r="V1032" i="2"/>
  <c r="I1032" i="2"/>
  <c r="H1032" i="2"/>
  <c r="AC1032" i="2" s="1"/>
  <c r="X1031" i="2"/>
  <c r="V1031" i="2"/>
  <c r="I1031" i="2"/>
  <c r="H1031" i="2"/>
  <c r="T1031" i="2" s="1"/>
  <c r="X1030" i="2"/>
  <c r="V1030" i="2"/>
  <c r="I1030" i="2"/>
  <c r="H1030" i="2"/>
  <c r="X1029" i="2"/>
  <c r="V1029" i="2"/>
  <c r="I1029" i="2"/>
  <c r="H1029" i="2"/>
  <c r="X1028" i="2"/>
  <c r="V1028" i="2"/>
  <c r="I1028" i="2"/>
  <c r="H1028" i="2"/>
  <c r="AV1028" i="2" s="1"/>
  <c r="X1027" i="2"/>
  <c r="V1027" i="2"/>
  <c r="I1027" i="2"/>
  <c r="H1027" i="2"/>
  <c r="AP1026" i="2"/>
  <c r="X1026" i="2"/>
  <c r="V1026" i="2"/>
  <c r="I1026" i="2"/>
  <c r="H1026" i="2"/>
  <c r="AQ1026" i="2" s="1"/>
  <c r="X1025" i="2"/>
  <c r="V1025" i="2"/>
  <c r="T1025" i="2"/>
  <c r="I1025" i="2"/>
  <c r="H1025" i="2"/>
  <c r="AQ1025" i="2" s="1"/>
  <c r="X1024" i="2"/>
  <c r="V1024" i="2"/>
  <c r="I1024" i="2"/>
  <c r="H1024" i="2"/>
  <c r="X1023" i="2"/>
  <c r="V1023" i="2"/>
  <c r="T1023" i="2"/>
  <c r="I1023" i="2"/>
  <c r="H1023" i="2"/>
  <c r="AC1023" i="2" s="1"/>
  <c r="X1022" i="2"/>
  <c r="V1022" i="2"/>
  <c r="I1022" i="2"/>
  <c r="H1022" i="2"/>
  <c r="Z1022" i="2" s="1"/>
  <c r="X1021" i="2"/>
  <c r="V1021" i="2"/>
  <c r="I1021" i="2"/>
  <c r="H1021" i="2"/>
  <c r="AV1021" i="2" s="1"/>
  <c r="X1020" i="2"/>
  <c r="V1020" i="2"/>
  <c r="I1020" i="2"/>
  <c r="H1020" i="2"/>
  <c r="X1019" i="2"/>
  <c r="V1019" i="2"/>
  <c r="I1019" i="2"/>
  <c r="H1019" i="2"/>
  <c r="X1018" i="2"/>
  <c r="V1018" i="2"/>
  <c r="I1018" i="2"/>
  <c r="H1018" i="2"/>
  <c r="X1017" i="2"/>
  <c r="V1017" i="2"/>
  <c r="I1017" i="2"/>
  <c r="H1017" i="2"/>
  <c r="AV1017" i="2" s="1"/>
  <c r="X1016" i="2"/>
  <c r="V1016" i="2"/>
  <c r="I1016" i="2"/>
  <c r="H1016" i="2"/>
  <c r="AV1016" i="2" s="1"/>
  <c r="AQ1015" i="2"/>
  <c r="X1015" i="2"/>
  <c r="V1015" i="2"/>
  <c r="I1015" i="2"/>
  <c r="H1015" i="2"/>
  <c r="X1014" i="2"/>
  <c r="V1014" i="2"/>
  <c r="I1014" i="2"/>
  <c r="H1014" i="2"/>
  <c r="Z1014" i="2" s="1"/>
  <c r="X1013" i="2"/>
  <c r="V1013" i="2"/>
  <c r="I1013" i="2"/>
  <c r="H1013" i="2"/>
  <c r="X1012" i="2"/>
  <c r="V1012" i="2"/>
  <c r="I1012" i="2"/>
  <c r="H1012" i="2"/>
  <c r="AV1012" i="2" s="1"/>
  <c r="X1011" i="2"/>
  <c r="V1011" i="2"/>
  <c r="I1011" i="2"/>
  <c r="H1011" i="2"/>
  <c r="AC1010" i="2"/>
  <c r="X1010" i="2"/>
  <c r="V1010" i="2"/>
  <c r="I1010" i="2"/>
  <c r="H1010" i="2"/>
  <c r="AP1010" i="2" s="1"/>
  <c r="X1009" i="2"/>
  <c r="V1009" i="2"/>
  <c r="I1009" i="2"/>
  <c r="H1009" i="2"/>
  <c r="AQ1009" i="2" s="1"/>
  <c r="X1008" i="2"/>
  <c r="V1008" i="2"/>
  <c r="I1008" i="2"/>
  <c r="H1008" i="2"/>
  <c r="AV1008" i="2" s="1"/>
  <c r="AQ1007" i="2"/>
  <c r="X1007" i="2"/>
  <c r="V1007" i="2"/>
  <c r="I1007" i="2"/>
  <c r="H1007" i="2"/>
  <c r="AA1007" i="2" s="1"/>
  <c r="X1006" i="2"/>
  <c r="V1006" i="2"/>
  <c r="I1006" i="2"/>
  <c r="H1006" i="2"/>
  <c r="X1005" i="2"/>
  <c r="V1005" i="2"/>
  <c r="I1005" i="2"/>
  <c r="H1005" i="2"/>
  <c r="AV1005" i="2" s="1"/>
  <c r="X1004" i="2"/>
  <c r="V1004" i="2"/>
  <c r="I1004" i="2"/>
  <c r="H1004" i="2"/>
  <c r="X1003" i="2"/>
  <c r="V1003" i="2"/>
  <c r="I1003" i="2"/>
  <c r="H1003" i="2"/>
  <c r="X1002" i="2"/>
  <c r="V1002" i="2"/>
  <c r="I1002" i="2"/>
  <c r="H1002" i="2"/>
  <c r="AV1002" i="2" s="1"/>
  <c r="X1001" i="2"/>
  <c r="V1001" i="2"/>
  <c r="I1001" i="2"/>
  <c r="H1001" i="2"/>
  <c r="AV1001" i="2" s="1"/>
  <c r="X1000" i="2"/>
  <c r="V1000" i="2"/>
  <c r="I1000" i="2"/>
  <c r="H1000" i="2"/>
  <c r="T1000" i="2" s="1"/>
  <c r="X999" i="2"/>
  <c r="V999" i="2"/>
  <c r="I999" i="2"/>
  <c r="H999" i="2"/>
  <c r="T999" i="2" s="1"/>
  <c r="X998" i="2"/>
  <c r="V998" i="2"/>
  <c r="I998" i="2"/>
  <c r="H998" i="2"/>
  <c r="X997" i="2"/>
  <c r="V997" i="2"/>
  <c r="I997" i="2"/>
  <c r="H997" i="2"/>
  <c r="AQ997" i="2" s="1"/>
  <c r="X996" i="2"/>
  <c r="V996" i="2"/>
  <c r="I996" i="2"/>
  <c r="H996" i="2"/>
  <c r="X995" i="2"/>
  <c r="V995" i="2"/>
  <c r="I995" i="2"/>
  <c r="H995" i="2"/>
  <c r="AP995" i="2" s="1"/>
  <c r="X994" i="2"/>
  <c r="V994" i="2"/>
  <c r="I994" i="2"/>
  <c r="H994" i="2"/>
  <c r="AV994" i="2" s="1"/>
  <c r="X993" i="2"/>
  <c r="V993" i="2"/>
  <c r="I993" i="2"/>
  <c r="H993" i="2"/>
  <c r="X992" i="2"/>
  <c r="V992" i="2"/>
  <c r="I992" i="2"/>
  <c r="H992" i="2"/>
  <c r="X991" i="2"/>
  <c r="V991" i="2"/>
  <c r="I991" i="2"/>
  <c r="H991" i="2"/>
  <c r="AA991" i="2" s="1"/>
  <c r="X990" i="2"/>
  <c r="V990" i="2"/>
  <c r="I990" i="2"/>
  <c r="H990" i="2"/>
  <c r="X989" i="2"/>
  <c r="V989" i="2"/>
  <c r="I989" i="2"/>
  <c r="H989" i="2"/>
  <c r="X988" i="2"/>
  <c r="V988" i="2"/>
  <c r="I988" i="2"/>
  <c r="H988" i="2"/>
  <c r="X987" i="2"/>
  <c r="V987" i="2"/>
  <c r="I987" i="2"/>
  <c r="H987" i="2"/>
  <c r="X986" i="2"/>
  <c r="V986" i="2"/>
  <c r="I986" i="2"/>
  <c r="H986" i="2"/>
  <c r="AQ986" i="2" s="1"/>
  <c r="X985" i="2"/>
  <c r="V985" i="2"/>
  <c r="I985" i="2"/>
  <c r="H985" i="2"/>
  <c r="X984" i="2"/>
  <c r="V984" i="2"/>
  <c r="I984" i="2"/>
  <c r="H984" i="2"/>
  <c r="AV984" i="2" s="1"/>
  <c r="X983" i="2"/>
  <c r="V983" i="2"/>
  <c r="I983" i="2"/>
  <c r="H983" i="2"/>
  <c r="T983" i="2" s="1"/>
  <c r="X982" i="2"/>
  <c r="V982" i="2"/>
  <c r="I982" i="2"/>
  <c r="H982" i="2"/>
  <c r="X981" i="2"/>
  <c r="V981" i="2"/>
  <c r="I981" i="2"/>
  <c r="H981" i="2"/>
  <c r="X980" i="2"/>
  <c r="V980" i="2"/>
  <c r="I980" i="2"/>
  <c r="H980" i="2"/>
  <c r="AP980" i="2" s="1"/>
  <c r="AC979" i="2"/>
  <c r="X979" i="2"/>
  <c r="V979" i="2"/>
  <c r="I979" i="2"/>
  <c r="H979" i="2"/>
  <c r="AP979" i="2" s="1"/>
  <c r="X978" i="2"/>
  <c r="V978" i="2"/>
  <c r="I978" i="2"/>
  <c r="H978" i="2"/>
  <c r="AA978" i="2" s="1"/>
  <c r="X977" i="2"/>
  <c r="V977" i="2"/>
  <c r="I977" i="2"/>
  <c r="H977" i="2"/>
  <c r="AV977" i="2" s="1"/>
  <c r="X976" i="2"/>
  <c r="V976" i="2"/>
  <c r="I976" i="2"/>
  <c r="H976" i="2"/>
  <c r="AQ976" i="2" s="1"/>
  <c r="X975" i="2"/>
  <c r="V975" i="2"/>
  <c r="I975" i="2"/>
  <c r="H975" i="2"/>
  <c r="X974" i="2"/>
  <c r="V974" i="2"/>
  <c r="I974" i="2"/>
  <c r="H974" i="2"/>
  <c r="T974" i="2" s="1"/>
  <c r="X973" i="2"/>
  <c r="V973" i="2"/>
  <c r="I973" i="2"/>
  <c r="H973" i="2"/>
  <c r="X972" i="2"/>
  <c r="V972" i="2"/>
  <c r="I972" i="2"/>
  <c r="H972" i="2"/>
  <c r="X971" i="2"/>
  <c r="V971" i="2"/>
  <c r="I971" i="2"/>
  <c r="H971" i="2"/>
  <c r="AC970" i="2"/>
  <c r="X970" i="2"/>
  <c r="V970" i="2"/>
  <c r="I970" i="2"/>
  <c r="H970" i="2"/>
  <c r="AQ970" i="2" s="1"/>
  <c r="X969" i="2"/>
  <c r="V969" i="2"/>
  <c r="I969" i="2"/>
  <c r="H969" i="2"/>
  <c r="AV968" i="2"/>
  <c r="AP968" i="2"/>
  <c r="AC968" i="2"/>
  <c r="Z968" i="2"/>
  <c r="X968" i="2"/>
  <c r="V968" i="2"/>
  <c r="I968" i="2"/>
  <c r="H968" i="2"/>
  <c r="X967" i="2"/>
  <c r="V967" i="2"/>
  <c r="I967" i="2"/>
  <c r="H967" i="2"/>
  <c r="AC967" i="2" s="1"/>
  <c r="X966" i="2"/>
  <c r="V966" i="2"/>
  <c r="I966" i="2"/>
  <c r="H966" i="2"/>
  <c r="AP966" i="2" s="1"/>
  <c r="X965" i="2"/>
  <c r="V965" i="2"/>
  <c r="I965" i="2"/>
  <c r="H965" i="2"/>
  <c r="X964" i="2"/>
  <c r="V964" i="2"/>
  <c r="I964" i="2"/>
  <c r="H964" i="2"/>
  <c r="T964" i="2" s="1"/>
  <c r="X963" i="2"/>
  <c r="V963" i="2"/>
  <c r="I963" i="2"/>
  <c r="H963" i="2"/>
  <c r="X962" i="2"/>
  <c r="V962" i="2"/>
  <c r="I962" i="2"/>
  <c r="H962" i="2"/>
  <c r="X961" i="2"/>
  <c r="V961" i="2"/>
  <c r="I961" i="2"/>
  <c r="H961" i="2"/>
  <c r="AV961" i="2" s="1"/>
  <c r="X960" i="2"/>
  <c r="V960" i="2"/>
  <c r="I960" i="2"/>
  <c r="H960" i="2"/>
  <c r="X959" i="2"/>
  <c r="V959" i="2"/>
  <c r="I959" i="2"/>
  <c r="H959" i="2"/>
  <c r="AQ959" i="2" s="1"/>
  <c r="X958" i="2"/>
  <c r="V958" i="2"/>
  <c r="I958" i="2"/>
  <c r="H958" i="2"/>
  <c r="X957" i="2"/>
  <c r="V957" i="2"/>
  <c r="I957" i="2"/>
  <c r="H957" i="2"/>
  <c r="T957" i="2" s="1"/>
  <c r="X956" i="2"/>
  <c r="V956" i="2"/>
  <c r="I956" i="2"/>
  <c r="H956" i="2"/>
  <c r="T956" i="2" s="1"/>
  <c r="X955" i="2"/>
  <c r="V955" i="2"/>
  <c r="I955" i="2"/>
  <c r="H955" i="2"/>
  <c r="X954" i="2"/>
  <c r="V954" i="2"/>
  <c r="I954" i="2"/>
  <c r="H954" i="2"/>
  <c r="AA954" i="2" s="1"/>
  <c r="X953" i="2"/>
  <c r="V953" i="2"/>
  <c r="I953" i="2"/>
  <c r="H953" i="2"/>
  <c r="AP953" i="2" s="1"/>
  <c r="X952" i="2"/>
  <c r="V952" i="2"/>
  <c r="I952" i="2"/>
  <c r="H952" i="2"/>
  <c r="X951" i="2"/>
  <c r="V951" i="2"/>
  <c r="I951" i="2"/>
  <c r="H951" i="2"/>
  <c r="Z951" i="2" s="1"/>
  <c r="X950" i="2"/>
  <c r="V950" i="2"/>
  <c r="I950" i="2"/>
  <c r="H950" i="2"/>
  <c r="X949" i="2"/>
  <c r="V949" i="2"/>
  <c r="I949" i="2"/>
  <c r="H949" i="2"/>
  <c r="AA949" i="2" s="1"/>
  <c r="X948" i="2"/>
  <c r="V948" i="2"/>
  <c r="I948" i="2"/>
  <c r="H948" i="2"/>
  <c r="AC948" i="2" s="1"/>
  <c r="X947" i="2"/>
  <c r="V947" i="2"/>
  <c r="I947" i="2"/>
  <c r="H947" i="2"/>
  <c r="X946" i="2"/>
  <c r="V946" i="2"/>
  <c r="I946" i="2"/>
  <c r="H946" i="2"/>
  <c r="X945" i="2"/>
  <c r="V945" i="2"/>
  <c r="I945" i="2"/>
  <c r="H945" i="2"/>
  <c r="AV945" i="2" s="1"/>
  <c r="Z944" i="2"/>
  <c r="X944" i="2"/>
  <c r="V944" i="2"/>
  <c r="I944" i="2"/>
  <c r="H944" i="2"/>
  <c r="AQ944" i="2" s="1"/>
  <c r="X943" i="2"/>
  <c r="V943" i="2"/>
  <c r="I943" i="2"/>
  <c r="H943" i="2"/>
  <c r="X942" i="2"/>
  <c r="V942" i="2"/>
  <c r="I942" i="2"/>
  <c r="H942" i="2"/>
  <c r="T942" i="2" s="1"/>
  <c r="X941" i="2"/>
  <c r="V941" i="2"/>
  <c r="I941" i="2"/>
  <c r="H941" i="2"/>
  <c r="X940" i="2"/>
  <c r="V940" i="2"/>
  <c r="I940" i="2"/>
  <c r="H940" i="2"/>
  <c r="X939" i="2"/>
  <c r="V939" i="2"/>
  <c r="I939" i="2"/>
  <c r="H939" i="2"/>
  <c r="AA939" i="2" s="1"/>
  <c r="X938" i="2"/>
  <c r="V938" i="2"/>
  <c r="I938" i="2"/>
  <c r="H938" i="2"/>
  <c r="X937" i="2"/>
  <c r="V937" i="2"/>
  <c r="I937" i="2"/>
  <c r="H937" i="2"/>
  <c r="AV937" i="2" s="1"/>
  <c r="X936" i="2"/>
  <c r="V936" i="2"/>
  <c r="I936" i="2"/>
  <c r="H936" i="2"/>
  <c r="AV936" i="2" s="1"/>
  <c r="X935" i="2"/>
  <c r="V935" i="2"/>
  <c r="I935" i="2"/>
  <c r="H935" i="2"/>
  <c r="AA935" i="2" s="1"/>
  <c r="X934" i="2"/>
  <c r="V934" i="2"/>
  <c r="I934" i="2"/>
  <c r="H934" i="2"/>
  <c r="X933" i="2"/>
  <c r="V933" i="2"/>
  <c r="I933" i="2"/>
  <c r="H933" i="2"/>
  <c r="AV933" i="2" s="1"/>
  <c r="X932" i="2"/>
  <c r="V932" i="2"/>
  <c r="I932" i="2"/>
  <c r="H932" i="2"/>
  <c r="X931" i="2"/>
  <c r="V931" i="2"/>
  <c r="I931" i="2"/>
  <c r="H931" i="2"/>
  <c r="AC930" i="2"/>
  <c r="X930" i="2"/>
  <c r="V930" i="2"/>
  <c r="T930" i="2"/>
  <c r="I930" i="2"/>
  <c r="H930" i="2"/>
  <c r="AV930" i="2" s="1"/>
  <c r="X929" i="2"/>
  <c r="V929" i="2"/>
  <c r="I929" i="2"/>
  <c r="H929" i="2"/>
  <c r="X928" i="2"/>
  <c r="V928" i="2"/>
  <c r="I928" i="2"/>
  <c r="H928" i="2"/>
  <c r="T928" i="2" s="1"/>
  <c r="AA927" i="2"/>
  <c r="X927" i="2"/>
  <c r="V927" i="2"/>
  <c r="I927" i="2"/>
  <c r="H927" i="2"/>
  <c r="Z927" i="2" s="1"/>
  <c r="X926" i="2"/>
  <c r="V926" i="2"/>
  <c r="I926" i="2"/>
  <c r="H926" i="2"/>
  <c r="T926" i="2" s="1"/>
  <c r="X925" i="2"/>
  <c r="V925" i="2"/>
  <c r="I925" i="2"/>
  <c r="H925" i="2"/>
  <c r="AV925" i="2" s="1"/>
  <c r="X924" i="2"/>
  <c r="V924" i="2"/>
  <c r="I924" i="2"/>
  <c r="H924" i="2"/>
  <c r="T924" i="2" s="1"/>
  <c r="X923" i="2"/>
  <c r="V923" i="2"/>
  <c r="I923" i="2"/>
  <c r="H923" i="2"/>
  <c r="AA923" i="2" s="1"/>
  <c r="X922" i="2"/>
  <c r="V922" i="2"/>
  <c r="I922" i="2"/>
  <c r="H922" i="2"/>
  <c r="AQ922" i="2" s="1"/>
  <c r="X921" i="2"/>
  <c r="V921" i="2"/>
  <c r="I921" i="2"/>
  <c r="H921" i="2"/>
  <c r="X920" i="2"/>
  <c r="V920" i="2"/>
  <c r="I920" i="2"/>
  <c r="H920" i="2"/>
  <c r="AV920" i="2" s="1"/>
  <c r="X919" i="2"/>
  <c r="V919" i="2"/>
  <c r="I919" i="2"/>
  <c r="H919" i="2"/>
  <c r="X918" i="2"/>
  <c r="V918" i="2"/>
  <c r="I918" i="2"/>
  <c r="H918" i="2"/>
  <c r="AA917" i="2"/>
  <c r="X917" i="2"/>
  <c r="V917" i="2"/>
  <c r="T917" i="2"/>
  <c r="I917" i="2"/>
  <c r="H917" i="2"/>
  <c r="AV917" i="2" s="1"/>
  <c r="X916" i="2"/>
  <c r="V916" i="2"/>
  <c r="I916" i="2"/>
  <c r="H916" i="2"/>
  <c r="AP915" i="2"/>
  <c r="AC915" i="2"/>
  <c r="Z915" i="2"/>
  <c r="X915" i="2"/>
  <c r="V915" i="2"/>
  <c r="T915" i="2"/>
  <c r="I915" i="2"/>
  <c r="H915" i="2"/>
  <c r="X914" i="2"/>
  <c r="V914" i="2"/>
  <c r="I914" i="2"/>
  <c r="H914" i="2"/>
  <c r="AC913" i="2"/>
  <c r="X913" i="2"/>
  <c r="V913" i="2"/>
  <c r="I913" i="2"/>
  <c r="H913" i="2"/>
  <c r="AV913" i="2" s="1"/>
  <c r="X912" i="2"/>
  <c r="V912" i="2"/>
  <c r="I912" i="2"/>
  <c r="H912" i="2"/>
  <c r="X911" i="2"/>
  <c r="V911" i="2"/>
  <c r="T911" i="2"/>
  <c r="I911" i="2"/>
  <c r="H911" i="2"/>
  <c r="AV911" i="2" s="1"/>
  <c r="X910" i="2"/>
  <c r="V910" i="2"/>
  <c r="I910" i="2"/>
  <c r="H910" i="2"/>
  <c r="X909" i="2"/>
  <c r="V909" i="2"/>
  <c r="I909" i="2"/>
  <c r="H909" i="2"/>
  <c r="X908" i="2"/>
  <c r="V908" i="2"/>
  <c r="I908" i="2"/>
  <c r="H908" i="2"/>
  <c r="X907" i="2"/>
  <c r="V907" i="2"/>
  <c r="I907" i="2"/>
  <c r="H907" i="2"/>
  <c r="AV907" i="2" s="1"/>
  <c r="X906" i="2"/>
  <c r="V906" i="2"/>
  <c r="I906" i="2"/>
  <c r="H906" i="2"/>
  <c r="AC906" i="2" s="1"/>
  <c r="X905" i="2"/>
  <c r="V905" i="2"/>
  <c r="I905" i="2"/>
  <c r="H905" i="2"/>
  <c r="AQ905" i="2" s="1"/>
  <c r="X904" i="2"/>
  <c r="V904" i="2"/>
  <c r="I904" i="2"/>
  <c r="H904" i="2"/>
  <c r="T904" i="2" s="1"/>
  <c r="X903" i="2"/>
  <c r="V903" i="2"/>
  <c r="I903" i="2"/>
  <c r="H903" i="2"/>
  <c r="AA903" i="2" s="1"/>
  <c r="X902" i="2"/>
  <c r="V902" i="2"/>
  <c r="I902" i="2"/>
  <c r="H902" i="2"/>
  <c r="X901" i="2"/>
  <c r="V901" i="2"/>
  <c r="I901" i="2"/>
  <c r="H901" i="2"/>
  <c r="AQ901" i="2" s="1"/>
  <c r="X900" i="2"/>
  <c r="V900" i="2"/>
  <c r="I900" i="2"/>
  <c r="H900" i="2"/>
  <c r="Z899" i="2"/>
  <c r="X899" i="2"/>
  <c r="V899" i="2"/>
  <c r="I899" i="2"/>
  <c r="H899" i="2"/>
  <c r="AA899" i="2" s="1"/>
  <c r="X898" i="2"/>
  <c r="V898" i="2"/>
  <c r="I898" i="2"/>
  <c r="H898" i="2"/>
  <c r="AQ897" i="2"/>
  <c r="AA897" i="2"/>
  <c r="X897" i="2"/>
  <c r="V897" i="2"/>
  <c r="I897" i="2"/>
  <c r="H897" i="2"/>
  <c r="T897" i="2" s="1"/>
  <c r="X896" i="2"/>
  <c r="V896" i="2"/>
  <c r="I896" i="2"/>
  <c r="H896" i="2"/>
  <c r="X895" i="2"/>
  <c r="V895" i="2"/>
  <c r="I895" i="2"/>
  <c r="H895" i="2"/>
  <c r="AP895" i="2" s="1"/>
  <c r="X894" i="2"/>
  <c r="V894" i="2"/>
  <c r="I894" i="2"/>
  <c r="H894" i="2"/>
  <c r="AV893" i="2"/>
  <c r="X893" i="2"/>
  <c r="V893" i="2"/>
  <c r="I893" i="2"/>
  <c r="H893" i="2"/>
  <c r="T893" i="2" s="1"/>
  <c r="X892" i="2"/>
  <c r="V892" i="2"/>
  <c r="I892" i="2"/>
  <c r="H892" i="2"/>
  <c r="AQ891" i="2"/>
  <c r="AP891" i="2"/>
  <c r="AC891" i="2"/>
  <c r="X891" i="2"/>
  <c r="V891" i="2"/>
  <c r="T891" i="2"/>
  <c r="I891" i="2"/>
  <c r="H891" i="2"/>
  <c r="AA891" i="2" s="1"/>
  <c r="X890" i="2"/>
  <c r="V890" i="2"/>
  <c r="I890" i="2"/>
  <c r="H890" i="2"/>
  <c r="AV890" i="2" s="1"/>
  <c r="X889" i="2"/>
  <c r="V889" i="2"/>
  <c r="I889" i="2"/>
  <c r="H889" i="2"/>
  <c r="T889" i="2" s="1"/>
  <c r="X888" i="2"/>
  <c r="V888" i="2"/>
  <c r="I888" i="2"/>
  <c r="H888" i="2"/>
  <c r="AV888" i="2" s="1"/>
  <c r="X887" i="2"/>
  <c r="V887" i="2"/>
  <c r="I887" i="2"/>
  <c r="H887" i="2"/>
  <c r="X886" i="2"/>
  <c r="V886" i="2"/>
  <c r="I886" i="2"/>
  <c r="H886" i="2"/>
  <c r="AV886" i="2" s="1"/>
  <c r="X885" i="2"/>
  <c r="V885" i="2"/>
  <c r="I885" i="2"/>
  <c r="H885" i="2"/>
  <c r="AQ885" i="2" s="1"/>
  <c r="X884" i="2"/>
  <c r="V884" i="2"/>
  <c r="I884" i="2"/>
  <c r="H884" i="2"/>
  <c r="X883" i="2"/>
  <c r="V883" i="2"/>
  <c r="I883" i="2"/>
  <c r="H883" i="2"/>
  <c r="X882" i="2"/>
  <c r="V882" i="2"/>
  <c r="I882" i="2"/>
  <c r="H882" i="2"/>
  <c r="T882" i="2" s="1"/>
  <c r="X881" i="2"/>
  <c r="V881" i="2"/>
  <c r="I881" i="2"/>
  <c r="H881" i="2"/>
  <c r="X880" i="2"/>
  <c r="V880" i="2"/>
  <c r="I880" i="2"/>
  <c r="H880" i="2"/>
  <c r="Z880" i="2" s="1"/>
  <c r="X879" i="2"/>
  <c r="V879" i="2"/>
  <c r="I879" i="2"/>
  <c r="H879" i="2"/>
  <c r="AV879" i="2" s="1"/>
  <c r="X878" i="2"/>
  <c r="V878" i="2"/>
  <c r="I878" i="2"/>
  <c r="H878" i="2"/>
  <c r="AC878" i="2" s="1"/>
  <c r="X877" i="2"/>
  <c r="V877" i="2"/>
  <c r="I877" i="2"/>
  <c r="H877" i="2"/>
  <c r="X876" i="2"/>
  <c r="V876" i="2"/>
  <c r="I876" i="2"/>
  <c r="H876" i="2"/>
  <c r="X875" i="2"/>
  <c r="V875" i="2"/>
  <c r="I875" i="2"/>
  <c r="H875" i="2"/>
  <c r="T875" i="2" s="1"/>
  <c r="X874" i="2"/>
  <c r="V874" i="2"/>
  <c r="I874" i="2"/>
  <c r="H874" i="2"/>
  <c r="AV873" i="2"/>
  <c r="X873" i="2"/>
  <c r="V873" i="2"/>
  <c r="I873" i="2"/>
  <c r="H873" i="2"/>
  <c r="X872" i="2"/>
  <c r="V872" i="2"/>
  <c r="I872" i="2"/>
  <c r="H872" i="2"/>
  <c r="X871" i="2"/>
  <c r="V871" i="2"/>
  <c r="I871" i="2"/>
  <c r="H871" i="2"/>
  <c r="AV871" i="2" s="1"/>
  <c r="X870" i="2"/>
  <c r="V870" i="2"/>
  <c r="I870" i="2"/>
  <c r="H870" i="2"/>
  <c r="X869" i="2"/>
  <c r="V869" i="2"/>
  <c r="I869" i="2"/>
  <c r="H869" i="2"/>
  <c r="AQ869" i="2" s="1"/>
  <c r="X868" i="2"/>
  <c r="V868" i="2"/>
  <c r="I868" i="2"/>
  <c r="H868" i="2"/>
  <c r="T868" i="2" s="1"/>
  <c r="X867" i="2"/>
  <c r="V867" i="2"/>
  <c r="I867" i="2"/>
  <c r="H867" i="2"/>
  <c r="X866" i="2"/>
  <c r="V866" i="2"/>
  <c r="I866" i="2"/>
  <c r="H866" i="2"/>
  <c r="X865" i="2"/>
  <c r="V865" i="2"/>
  <c r="I865" i="2"/>
  <c r="H865" i="2"/>
  <c r="X864" i="2"/>
  <c r="V864" i="2"/>
  <c r="I864" i="2"/>
  <c r="H864" i="2"/>
  <c r="X863" i="2"/>
  <c r="V863" i="2"/>
  <c r="I863" i="2"/>
  <c r="H863" i="2"/>
  <c r="X862" i="2"/>
  <c r="V862" i="2"/>
  <c r="I862" i="2"/>
  <c r="H862" i="2"/>
  <c r="X861" i="2"/>
  <c r="V861" i="2"/>
  <c r="I861" i="2"/>
  <c r="H861" i="2"/>
  <c r="AP861" i="2" s="1"/>
  <c r="X860" i="2"/>
  <c r="V860" i="2"/>
  <c r="I860" i="2"/>
  <c r="H860" i="2"/>
  <c r="X859" i="2"/>
  <c r="V859" i="2"/>
  <c r="I859" i="2"/>
  <c r="H859" i="2"/>
  <c r="X858" i="2"/>
  <c r="V858" i="2"/>
  <c r="I858" i="2"/>
  <c r="H858" i="2"/>
  <c r="X857" i="2"/>
  <c r="V857" i="2"/>
  <c r="I857" i="2"/>
  <c r="H857" i="2"/>
  <c r="X856" i="2"/>
  <c r="V856" i="2"/>
  <c r="I856" i="2"/>
  <c r="H856" i="2"/>
  <c r="T856" i="2" s="1"/>
  <c r="X855" i="2"/>
  <c r="V855" i="2"/>
  <c r="I855" i="2"/>
  <c r="H855" i="2"/>
  <c r="AA854" i="2"/>
  <c r="X854" i="2"/>
  <c r="V854" i="2"/>
  <c r="I854" i="2"/>
  <c r="H854" i="2"/>
  <c r="T854" i="2" s="1"/>
  <c r="X853" i="2"/>
  <c r="V853" i="2"/>
  <c r="I853" i="2"/>
  <c r="H853" i="2"/>
  <c r="AA853" i="2" s="1"/>
  <c r="AQ852" i="2"/>
  <c r="AC852" i="2"/>
  <c r="AA852" i="2"/>
  <c r="Z852" i="2"/>
  <c r="X852" i="2"/>
  <c r="V852" i="2"/>
  <c r="I852" i="2"/>
  <c r="H852" i="2"/>
  <c r="T852" i="2" s="1"/>
  <c r="X851" i="2"/>
  <c r="V851" i="2"/>
  <c r="I851" i="2"/>
  <c r="H851" i="2"/>
  <c r="AQ850" i="2"/>
  <c r="X850" i="2"/>
  <c r="V850" i="2"/>
  <c r="I850" i="2"/>
  <c r="H850" i="2"/>
  <c r="AV850" i="2" s="1"/>
  <c r="AV849" i="2"/>
  <c r="X849" i="2"/>
  <c r="V849" i="2"/>
  <c r="I849" i="2"/>
  <c r="H849" i="2"/>
  <c r="X848" i="2"/>
  <c r="V848" i="2"/>
  <c r="I848" i="2"/>
  <c r="H848" i="2"/>
  <c r="X847" i="2"/>
  <c r="V847" i="2"/>
  <c r="I847" i="2"/>
  <c r="H847" i="2"/>
  <c r="AC846" i="2"/>
  <c r="X846" i="2"/>
  <c r="V846" i="2"/>
  <c r="I846" i="2"/>
  <c r="H846" i="2"/>
  <c r="AQ846" i="2" s="1"/>
  <c r="X845" i="2"/>
  <c r="V845" i="2"/>
  <c r="I845" i="2"/>
  <c r="H845" i="2"/>
  <c r="X844" i="2"/>
  <c r="V844" i="2"/>
  <c r="I844" i="2"/>
  <c r="H844" i="2"/>
  <c r="X843" i="2"/>
  <c r="V843" i="2"/>
  <c r="I843" i="2"/>
  <c r="H843" i="2"/>
  <c r="T843" i="2" s="1"/>
  <c r="X842" i="2"/>
  <c r="V842" i="2"/>
  <c r="I842" i="2"/>
  <c r="H842" i="2"/>
  <c r="T842" i="2" s="1"/>
  <c r="X841" i="2"/>
  <c r="V841" i="2"/>
  <c r="I841" i="2"/>
  <c r="H841" i="2"/>
  <c r="Z841" i="2" s="1"/>
  <c r="X840" i="2"/>
  <c r="V840" i="2"/>
  <c r="I840" i="2"/>
  <c r="H840" i="2"/>
  <c r="X839" i="2"/>
  <c r="V839" i="2"/>
  <c r="I839" i="2"/>
  <c r="H839" i="2"/>
  <c r="X838" i="2"/>
  <c r="V838" i="2"/>
  <c r="I838" i="2"/>
  <c r="H838" i="2"/>
  <c r="T838" i="2" s="1"/>
  <c r="X837" i="2"/>
  <c r="V837" i="2"/>
  <c r="I837" i="2"/>
  <c r="H837" i="2"/>
  <c r="AV837" i="2" s="1"/>
  <c r="X836" i="2"/>
  <c r="V836" i="2"/>
  <c r="I836" i="2"/>
  <c r="H836" i="2"/>
  <c r="T836" i="2" s="1"/>
  <c r="X835" i="2"/>
  <c r="V835" i="2"/>
  <c r="I835" i="2"/>
  <c r="H835" i="2"/>
  <c r="X834" i="2"/>
  <c r="V834" i="2"/>
  <c r="I834" i="2"/>
  <c r="H834" i="2"/>
  <c r="AP834" i="2" s="1"/>
  <c r="AP833" i="2"/>
  <c r="X833" i="2"/>
  <c r="V833" i="2"/>
  <c r="I833" i="2"/>
  <c r="H833" i="2"/>
  <c r="AA833" i="2" s="1"/>
  <c r="X832" i="2"/>
  <c r="V832" i="2"/>
  <c r="I832" i="2"/>
  <c r="H832" i="2"/>
  <c r="AV832" i="2" s="1"/>
  <c r="AV831" i="2"/>
  <c r="X831" i="2"/>
  <c r="V831" i="2"/>
  <c r="I831" i="2"/>
  <c r="H831" i="2"/>
  <c r="X830" i="2"/>
  <c r="V830" i="2"/>
  <c r="I830" i="2"/>
  <c r="H830" i="2"/>
  <c r="X829" i="2"/>
  <c r="V829" i="2"/>
  <c r="I829" i="2"/>
  <c r="H829" i="2"/>
  <c r="T829" i="2" s="1"/>
  <c r="X828" i="2"/>
  <c r="V828" i="2"/>
  <c r="I828" i="2"/>
  <c r="H828" i="2"/>
  <c r="AQ828" i="2" s="1"/>
  <c r="X827" i="2"/>
  <c r="V827" i="2"/>
  <c r="I827" i="2"/>
  <c r="H827" i="2"/>
  <c r="AQ827" i="2" s="1"/>
  <c r="AA826" i="2"/>
  <c r="X826" i="2"/>
  <c r="V826" i="2"/>
  <c r="I826" i="2"/>
  <c r="H826" i="2"/>
  <c r="AC826" i="2" s="1"/>
  <c r="X825" i="2"/>
  <c r="V825" i="2"/>
  <c r="I825" i="2"/>
  <c r="H825" i="2"/>
  <c r="T825" i="2" s="1"/>
  <c r="X824" i="2"/>
  <c r="V824" i="2"/>
  <c r="I824" i="2"/>
  <c r="H824" i="2"/>
  <c r="X823" i="2"/>
  <c r="V823" i="2"/>
  <c r="I823" i="2"/>
  <c r="H823" i="2"/>
  <c r="AV822" i="2"/>
  <c r="AA822" i="2"/>
  <c r="X822" i="2"/>
  <c r="V822" i="2"/>
  <c r="I822" i="2"/>
  <c r="H822" i="2"/>
  <c r="Z822" i="2" s="1"/>
  <c r="X821" i="2"/>
  <c r="V821" i="2"/>
  <c r="I821" i="2"/>
  <c r="H821" i="2"/>
  <c r="T821" i="2" s="1"/>
  <c r="X820" i="2"/>
  <c r="V820" i="2"/>
  <c r="I820" i="2"/>
  <c r="H820" i="2"/>
  <c r="T820" i="2" s="1"/>
  <c r="X819" i="2"/>
  <c r="V819" i="2"/>
  <c r="I819" i="2"/>
  <c r="H819" i="2"/>
  <c r="AQ819" i="2" s="1"/>
  <c r="X818" i="2"/>
  <c r="V818" i="2"/>
  <c r="I818" i="2"/>
  <c r="H818" i="2"/>
  <c r="AC818" i="2" s="1"/>
  <c r="X817" i="2"/>
  <c r="V817" i="2"/>
  <c r="I817" i="2"/>
  <c r="H817" i="2"/>
  <c r="X816" i="2"/>
  <c r="V816" i="2"/>
  <c r="I816" i="2"/>
  <c r="H816" i="2"/>
  <c r="X815" i="2"/>
  <c r="V815" i="2"/>
  <c r="I815" i="2"/>
  <c r="H815" i="2"/>
  <c r="X814" i="2"/>
  <c r="V814" i="2"/>
  <c r="I814" i="2"/>
  <c r="H814" i="2"/>
  <c r="X813" i="2"/>
  <c r="V813" i="2"/>
  <c r="I813" i="2"/>
  <c r="H813" i="2"/>
  <c r="AV813" i="2" s="1"/>
  <c r="AP812" i="2"/>
  <c r="AA812" i="2"/>
  <c r="X812" i="2"/>
  <c r="V812" i="2"/>
  <c r="I812" i="2"/>
  <c r="H812" i="2"/>
  <c r="Z812" i="2" s="1"/>
  <c r="X811" i="2"/>
  <c r="V811" i="2"/>
  <c r="I811" i="2"/>
  <c r="H811" i="2"/>
  <c r="AV810" i="2"/>
  <c r="X810" i="2"/>
  <c r="V810" i="2"/>
  <c r="I810" i="2"/>
  <c r="H810" i="2"/>
  <c r="X809" i="2"/>
  <c r="V809" i="2"/>
  <c r="I809" i="2"/>
  <c r="H809" i="2"/>
  <c r="AV809" i="2" s="1"/>
  <c r="X808" i="2"/>
  <c r="V808" i="2"/>
  <c r="I808" i="2"/>
  <c r="H808" i="2"/>
  <c r="X807" i="2"/>
  <c r="V807" i="2"/>
  <c r="I807" i="2"/>
  <c r="H807" i="2"/>
  <c r="X806" i="2"/>
  <c r="V806" i="2"/>
  <c r="I806" i="2"/>
  <c r="H806" i="2"/>
  <c r="X805" i="2"/>
  <c r="V805" i="2"/>
  <c r="I805" i="2"/>
  <c r="H805" i="2"/>
  <c r="Z805" i="2" s="1"/>
  <c r="AV804" i="2"/>
  <c r="AA804" i="2"/>
  <c r="Z804" i="2"/>
  <c r="X804" i="2"/>
  <c r="V804" i="2"/>
  <c r="I804" i="2"/>
  <c r="H804" i="2"/>
  <c r="T804" i="2" s="1"/>
  <c r="X803" i="2"/>
  <c r="V803" i="2"/>
  <c r="I803" i="2"/>
  <c r="H803" i="2"/>
  <c r="X802" i="2"/>
  <c r="V802" i="2"/>
  <c r="I802" i="2"/>
  <c r="H802" i="2"/>
  <c r="X801" i="2"/>
  <c r="V801" i="2"/>
  <c r="T801" i="2"/>
  <c r="I801" i="2"/>
  <c r="H801" i="2"/>
  <c r="AV801" i="2" s="1"/>
  <c r="X800" i="2"/>
  <c r="V800" i="2"/>
  <c r="I800" i="2"/>
  <c r="H800" i="2"/>
  <c r="AV799" i="2"/>
  <c r="AA799" i="2"/>
  <c r="Z799" i="2"/>
  <c r="X799" i="2"/>
  <c r="V799" i="2"/>
  <c r="I799" i="2"/>
  <c r="H799" i="2"/>
  <c r="T799" i="2" s="1"/>
  <c r="X798" i="2"/>
  <c r="V798" i="2"/>
  <c r="I798" i="2"/>
  <c r="H798" i="2"/>
  <c r="Z798" i="2" s="1"/>
  <c r="X797" i="2"/>
  <c r="V797" i="2"/>
  <c r="I797" i="2"/>
  <c r="H797" i="2"/>
  <c r="X796" i="2"/>
  <c r="V796" i="2"/>
  <c r="I796" i="2"/>
  <c r="H796" i="2"/>
  <c r="X795" i="2"/>
  <c r="V795" i="2"/>
  <c r="I795" i="2"/>
  <c r="H795" i="2"/>
  <c r="T795" i="2" s="1"/>
  <c r="X794" i="2"/>
  <c r="V794" i="2"/>
  <c r="I794" i="2"/>
  <c r="H794" i="2"/>
  <c r="X793" i="2"/>
  <c r="V793" i="2"/>
  <c r="I793" i="2"/>
  <c r="H793" i="2"/>
  <c r="X792" i="2"/>
  <c r="V792" i="2"/>
  <c r="I792" i="2"/>
  <c r="H792" i="2"/>
  <c r="AV792" i="2" s="1"/>
  <c r="X791" i="2"/>
  <c r="V791" i="2"/>
  <c r="I791" i="2"/>
  <c r="H791" i="2"/>
  <c r="X790" i="2"/>
  <c r="V790" i="2"/>
  <c r="I790" i="2"/>
  <c r="H790" i="2"/>
  <c r="X789" i="2"/>
  <c r="V789" i="2"/>
  <c r="I789" i="2"/>
  <c r="H789" i="2"/>
  <c r="X788" i="2"/>
  <c r="V788" i="2"/>
  <c r="I788" i="2"/>
  <c r="H788" i="2"/>
  <c r="X787" i="2"/>
  <c r="V787" i="2"/>
  <c r="I787" i="2"/>
  <c r="H787" i="2"/>
  <c r="X786" i="2"/>
  <c r="V786" i="2"/>
  <c r="I786" i="2"/>
  <c r="H786" i="2"/>
  <c r="X785" i="2"/>
  <c r="V785" i="2"/>
  <c r="I785" i="2"/>
  <c r="H785" i="2"/>
  <c r="AQ785" i="2" s="1"/>
  <c r="X784" i="2"/>
  <c r="V784" i="2"/>
  <c r="I784" i="2"/>
  <c r="H784" i="2"/>
  <c r="X783" i="2"/>
  <c r="V783" i="2"/>
  <c r="I783" i="2"/>
  <c r="H783" i="2"/>
  <c r="AV783" i="2" s="1"/>
  <c r="X782" i="2"/>
  <c r="V782" i="2"/>
  <c r="I782" i="2"/>
  <c r="H782" i="2"/>
  <c r="T782" i="2" s="1"/>
  <c r="X781" i="2"/>
  <c r="V781" i="2"/>
  <c r="I781" i="2"/>
  <c r="H781" i="2"/>
  <c r="AA781" i="2" s="1"/>
  <c r="X780" i="2"/>
  <c r="V780" i="2"/>
  <c r="I780" i="2"/>
  <c r="H780" i="2"/>
  <c r="AV780" i="2" s="1"/>
  <c r="X779" i="2"/>
  <c r="V779" i="2"/>
  <c r="I779" i="2"/>
  <c r="H779" i="2"/>
  <c r="AQ779" i="2" s="1"/>
  <c r="AV778" i="2"/>
  <c r="AQ778" i="2"/>
  <c r="AC778" i="2"/>
  <c r="X778" i="2"/>
  <c r="V778" i="2"/>
  <c r="I778" i="2"/>
  <c r="H778" i="2"/>
  <c r="T778" i="2" s="1"/>
  <c r="X777" i="2"/>
  <c r="V777" i="2"/>
  <c r="I777" i="2"/>
  <c r="H777" i="2"/>
  <c r="X776" i="2"/>
  <c r="V776" i="2"/>
  <c r="I776" i="2"/>
  <c r="H776" i="2"/>
  <c r="AV776" i="2" s="1"/>
  <c r="X775" i="2"/>
  <c r="V775" i="2"/>
  <c r="I775" i="2"/>
  <c r="H775" i="2"/>
  <c r="T775" i="2" s="1"/>
  <c r="X774" i="2"/>
  <c r="V774" i="2"/>
  <c r="I774" i="2"/>
  <c r="H774" i="2"/>
  <c r="AV773" i="2"/>
  <c r="AQ773" i="2"/>
  <c r="X773" i="2"/>
  <c r="V773" i="2"/>
  <c r="I773" i="2"/>
  <c r="H773" i="2"/>
  <c r="Z773" i="2" s="1"/>
  <c r="X772" i="2"/>
  <c r="V772" i="2"/>
  <c r="I772" i="2"/>
  <c r="H772" i="2"/>
  <c r="AV771" i="2"/>
  <c r="AQ771" i="2"/>
  <c r="AP771" i="2"/>
  <c r="AA771" i="2"/>
  <c r="X771" i="2"/>
  <c r="V771" i="2"/>
  <c r="I771" i="2"/>
  <c r="H771" i="2"/>
  <c r="AC771" i="2" s="1"/>
  <c r="X770" i="2"/>
  <c r="V770" i="2"/>
  <c r="I770" i="2"/>
  <c r="H770" i="2"/>
  <c r="X769" i="2"/>
  <c r="V769" i="2"/>
  <c r="I769" i="2"/>
  <c r="H769" i="2"/>
  <c r="AV769" i="2" s="1"/>
  <c r="X768" i="2"/>
  <c r="V768" i="2"/>
  <c r="I768" i="2"/>
  <c r="H768" i="2"/>
  <c r="Z767" i="2"/>
  <c r="X767" i="2"/>
  <c r="V767" i="2"/>
  <c r="I767" i="2"/>
  <c r="H767" i="2"/>
  <c r="X766" i="2"/>
  <c r="V766" i="2"/>
  <c r="I766" i="2"/>
  <c r="H766" i="2"/>
  <c r="AV766" i="2" s="1"/>
  <c r="X765" i="2"/>
  <c r="V765" i="2"/>
  <c r="I765" i="2"/>
  <c r="H765" i="2"/>
  <c r="X764" i="2"/>
  <c r="V764" i="2"/>
  <c r="I764" i="2"/>
  <c r="H764" i="2"/>
  <c r="X763" i="2"/>
  <c r="V763" i="2"/>
  <c r="I763" i="2"/>
  <c r="H763" i="2"/>
  <c r="Z763" i="2" s="1"/>
  <c r="AV762" i="2"/>
  <c r="X762" i="2"/>
  <c r="V762" i="2"/>
  <c r="I762" i="2"/>
  <c r="H762" i="2"/>
  <c r="X761" i="2"/>
  <c r="V761" i="2"/>
  <c r="I761" i="2"/>
  <c r="H761" i="2"/>
  <c r="X760" i="2"/>
  <c r="V760" i="2"/>
  <c r="I760" i="2"/>
  <c r="H760" i="2"/>
  <c r="X759" i="2"/>
  <c r="V759" i="2"/>
  <c r="I759" i="2"/>
  <c r="H759" i="2"/>
  <c r="AV759" i="2" s="1"/>
  <c r="AC758" i="2"/>
  <c r="X758" i="2"/>
  <c r="V758" i="2"/>
  <c r="I758" i="2"/>
  <c r="H758" i="2"/>
  <c r="X757" i="2"/>
  <c r="V757" i="2"/>
  <c r="I757" i="2"/>
  <c r="H757" i="2"/>
  <c r="T757" i="2" s="1"/>
  <c r="X756" i="2"/>
  <c r="V756" i="2"/>
  <c r="I756" i="2"/>
  <c r="H756" i="2"/>
  <c r="T756" i="2" s="1"/>
  <c r="X755" i="2"/>
  <c r="V755" i="2"/>
  <c r="I755" i="2"/>
  <c r="H755" i="2"/>
  <c r="X754" i="2"/>
  <c r="V754" i="2"/>
  <c r="I754" i="2"/>
  <c r="H754" i="2"/>
  <c r="X753" i="2"/>
  <c r="V753" i="2"/>
  <c r="I753" i="2"/>
  <c r="H753" i="2"/>
  <c r="Z753" i="2" s="1"/>
  <c r="X752" i="2"/>
  <c r="V752" i="2"/>
  <c r="I752" i="2"/>
  <c r="H752" i="2"/>
  <c r="AC752" i="2" s="1"/>
  <c r="X751" i="2"/>
  <c r="V751" i="2"/>
  <c r="I751" i="2"/>
  <c r="H751" i="2"/>
  <c r="AA750" i="2"/>
  <c r="X750" i="2"/>
  <c r="V750" i="2"/>
  <c r="I750" i="2"/>
  <c r="H750" i="2"/>
  <c r="T750" i="2" s="1"/>
  <c r="X749" i="2"/>
  <c r="V749" i="2"/>
  <c r="I749" i="2"/>
  <c r="H749" i="2"/>
  <c r="X748" i="2"/>
  <c r="V748" i="2"/>
  <c r="I748" i="2"/>
  <c r="H748" i="2"/>
  <c r="X747" i="2"/>
  <c r="V747" i="2"/>
  <c r="I747" i="2"/>
  <c r="H747" i="2"/>
  <c r="T747" i="2" s="1"/>
  <c r="X746" i="2"/>
  <c r="V746" i="2"/>
  <c r="I746" i="2"/>
  <c r="H746" i="2"/>
  <c r="Z746" i="2" s="1"/>
  <c r="X745" i="2"/>
  <c r="V745" i="2"/>
  <c r="I745" i="2"/>
  <c r="H745" i="2"/>
  <c r="X744" i="2"/>
  <c r="V744" i="2"/>
  <c r="I744" i="2"/>
  <c r="H744" i="2"/>
  <c r="AP744" i="2" s="1"/>
  <c r="X743" i="2"/>
  <c r="V743" i="2"/>
  <c r="I743" i="2"/>
  <c r="H743" i="2"/>
  <c r="X742" i="2"/>
  <c r="V742" i="2"/>
  <c r="I742" i="2"/>
  <c r="H742" i="2"/>
  <c r="X741" i="2"/>
  <c r="V741" i="2"/>
  <c r="I741" i="2"/>
  <c r="H741" i="2"/>
  <c r="AP741" i="2" s="1"/>
  <c r="X740" i="2"/>
  <c r="V740" i="2"/>
  <c r="I740" i="2"/>
  <c r="H740" i="2"/>
  <c r="X739" i="2"/>
  <c r="V739" i="2"/>
  <c r="I739" i="2"/>
  <c r="H739" i="2"/>
  <c r="X738" i="2"/>
  <c r="V738" i="2"/>
  <c r="I738" i="2"/>
  <c r="H738" i="2"/>
  <c r="X737" i="2"/>
  <c r="V737" i="2"/>
  <c r="I737" i="2"/>
  <c r="H737" i="2"/>
  <c r="AV737" i="2" s="1"/>
  <c r="X736" i="2"/>
  <c r="V736" i="2"/>
  <c r="I736" i="2"/>
  <c r="H736" i="2"/>
  <c r="Z736" i="2" s="1"/>
  <c r="X735" i="2"/>
  <c r="V735" i="2"/>
  <c r="I735" i="2"/>
  <c r="H735" i="2"/>
  <c r="X734" i="2"/>
  <c r="V734" i="2"/>
  <c r="I734" i="2"/>
  <c r="H734" i="2"/>
  <c r="Z734" i="2" s="1"/>
  <c r="X733" i="2"/>
  <c r="V733" i="2"/>
  <c r="I733" i="2"/>
  <c r="H733" i="2"/>
  <c r="AV733" i="2" s="1"/>
  <c r="AV732" i="2"/>
  <c r="AQ732" i="2"/>
  <c r="AP732" i="2"/>
  <c r="X732" i="2"/>
  <c r="V732" i="2"/>
  <c r="I732" i="2"/>
  <c r="H732" i="2"/>
  <c r="X731" i="2"/>
  <c r="V731" i="2"/>
  <c r="I731" i="2"/>
  <c r="H731" i="2"/>
  <c r="X730" i="2"/>
  <c r="V730" i="2"/>
  <c r="I730" i="2"/>
  <c r="H730" i="2"/>
  <c r="AA730" i="2" s="1"/>
  <c r="X729" i="2"/>
  <c r="V729" i="2"/>
  <c r="I729" i="2"/>
  <c r="H729" i="2"/>
  <c r="Z729" i="2" s="1"/>
  <c r="X728" i="2"/>
  <c r="V728" i="2"/>
  <c r="I728" i="2"/>
  <c r="H728" i="2"/>
  <c r="X727" i="2"/>
  <c r="V727" i="2"/>
  <c r="I727" i="2"/>
  <c r="H727" i="2"/>
  <c r="X726" i="2"/>
  <c r="V726" i="2"/>
  <c r="I726" i="2"/>
  <c r="H726" i="2"/>
  <c r="T726" i="2" s="1"/>
  <c r="X725" i="2"/>
  <c r="V725" i="2"/>
  <c r="I725" i="2"/>
  <c r="H725" i="2"/>
  <c r="X724" i="2"/>
  <c r="V724" i="2"/>
  <c r="I724" i="2"/>
  <c r="H724" i="2"/>
  <c r="T724" i="2" s="1"/>
  <c r="X723" i="2"/>
  <c r="V723" i="2"/>
  <c r="I723" i="2"/>
  <c r="H723" i="2"/>
  <c r="X722" i="2"/>
  <c r="V722" i="2"/>
  <c r="I722" i="2"/>
  <c r="H722" i="2"/>
  <c r="X721" i="2"/>
  <c r="V721" i="2"/>
  <c r="I721" i="2"/>
  <c r="H721" i="2"/>
  <c r="AQ721" i="2" s="1"/>
  <c r="X720" i="2"/>
  <c r="V720" i="2"/>
  <c r="I720" i="2"/>
  <c r="H720" i="2"/>
  <c r="X719" i="2"/>
  <c r="V719" i="2"/>
  <c r="I719" i="2"/>
  <c r="H719" i="2"/>
  <c r="X718" i="2"/>
  <c r="V718" i="2"/>
  <c r="I718" i="2"/>
  <c r="H718" i="2"/>
  <c r="T718" i="2" s="1"/>
  <c r="X717" i="2"/>
  <c r="V717" i="2"/>
  <c r="I717" i="2"/>
  <c r="H717" i="2"/>
  <c r="AV717" i="2" s="1"/>
  <c r="X716" i="2"/>
  <c r="V716" i="2"/>
  <c r="I716" i="2"/>
  <c r="H716" i="2"/>
  <c r="X715" i="2"/>
  <c r="V715" i="2"/>
  <c r="I715" i="2"/>
  <c r="H715" i="2"/>
  <c r="X714" i="2"/>
  <c r="V714" i="2"/>
  <c r="I714" i="2"/>
  <c r="H714" i="2"/>
  <c r="X713" i="2"/>
  <c r="V713" i="2"/>
  <c r="I713" i="2"/>
  <c r="H713" i="2"/>
  <c r="AP713" i="2" s="1"/>
  <c r="AV712" i="2"/>
  <c r="AQ712" i="2"/>
  <c r="AC712" i="2"/>
  <c r="AA712" i="2"/>
  <c r="X712" i="2"/>
  <c r="V712" i="2"/>
  <c r="I712" i="2"/>
  <c r="H712" i="2"/>
  <c r="Z712" i="2" s="1"/>
  <c r="X711" i="2"/>
  <c r="V711" i="2"/>
  <c r="I711" i="2"/>
  <c r="H711" i="2"/>
  <c r="AA711" i="2" s="1"/>
  <c r="X710" i="2"/>
  <c r="V710" i="2"/>
  <c r="I710" i="2"/>
  <c r="H710" i="2"/>
  <c r="Z710" i="2" s="1"/>
  <c r="X709" i="2"/>
  <c r="V709" i="2"/>
  <c r="I709" i="2"/>
  <c r="H709" i="2"/>
  <c r="AV709" i="2" s="1"/>
  <c r="X708" i="2"/>
  <c r="V708" i="2"/>
  <c r="I708" i="2"/>
  <c r="H708" i="2"/>
  <c r="AV708" i="2" s="1"/>
  <c r="X707" i="2"/>
  <c r="V707" i="2"/>
  <c r="I707" i="2"/>
  <c r="H707" i="2"/>
  <c r="X706" i="2"/>
  <c r="V706" i="2"/>
  <c r="I706" i="2"/>
  <c r="H706" i="2"/>
  <c r="X705" i="2"/>
  <c r="V705" i="2"/>
  <c r="I705" i="2"/>
  <c r="H705" i="2"/>
  <c r="AQ704" i="2"/>
  <c r="AC704" i="2"/>
  <c r="X704" i="2"/>
  <c r="V704" i="2"/>
  <c r="I704" i="2"/>
  <c r="H704" i="2"/>
  <c r="AP704" i="2" s="1"/>
  <c r="X703" i="2"/>
  <c r="V703" i="2"/>
  <c r="I703" i="2"/>
  <c r="H703" i="2"/>
  <c r="AV702" i="2"/>
  <c r="AQ702" i="2"/>
  <c r="X702" i="2"/>
  <c r="V702" i="2"/>
  <c r="I702" i="2"/>
  <c r="H702" i="2"/>
  <c r="AC702" i="2" s="1"/>
  <c r="X701" i="2"/>
  <c r="V701" i="2"/>
  <c r="I701" i="2"/>
  <c r="H701" i="2"/>
  <c r="AQ701" i="2" s="1"/>
  <c r="X700" i="2"/>
  <c r="V700" i="2"/>
  <c r="I700" i="2"/>
  <c r="H700" i="2"/>
  <c r="T700" i="2" s="1"/>
  <c r="AS700" i="2" s="1"/>
  <c r="X699" i="2"/>
  <c r="V699" i="2"/>
  <c r="I699" i="2"/>
  <c r="H699" i="2"/>
  <c r="X698" i="2"/>
  <c r="V698" i="2"/>
  <c r="I698" i="2"/>
  <c r="H698" i="2"/>
  <c r="X697" i="2"/>
  <c r="V697" i="2"/>
  <c r="I697" i="2"/>
  <c r="H697" i="2"/>
  <c r="X696" i="2"/>
  <c r="V696" i="2"/>
  <c r="I696" i="2"/>
  <c r="H696" i="2"/>
  <c r="X695" i="2"/>
  <c r="V695" i="2"/>
  <c r="I695" i="2"/>
  <c r="H695" i="2"/>
  <c r="AP695" i="2" s="1"/>
  <c r="X694" i="2"/>
  <c r="V694" i="2"/>
  <c r="I694" i="2"/>
  <c r="H694" i="2"/>
  <c r="X693" i="2"/>
  <c r="V693" i="2"/>
  <c r="I693" i="2"/>
  <c r="H693" i="2"/>
  <c r="X692" i="2"/>
  <c r="V692" i="2"/>
  <c r="I692" i="2"/>
  <c r="H692" i="2"/>
  <c r="X691" i="2"/>
  <c r="V691" i="2"/>
  <c r="I691" i="2"/>
  <c r="H691" i="2"/>
  <c r="X690" i="2"/>
  <c r="V690" i="2"/>
  <c r="I690" i="2"/>
  <c r="H690" i="2"/>
  <c r="X689" i="2"/>
  <c r="V689" i="2"/>
  <c r="I689" i="2"/>
  <c r="H689" i="2"/>
  <c r="X688" i="2"/>
  <c r="V688" i="2"/>
  <c r="I688" i="2"/>
  <c r="H688" i="2"/>
  <c r="X687" i="2"/>
  <c r="V687" i="2"/>
  <c r="I687" i="2"/>
  <c r="H687" i="2"/>
  <c r="X686" i="2"/>
  <c r="V686" i="2"/>
  <c r="I686" i="2"/>
  <c r="H686" i="2"/>
  <c r="AV686" i="2" s="1"/>
  <c r="X685" i="2"/>
  <c r="V685" i="2"/>
  <c r="I685" i="2"/>
  <c r="H685" i="2"/>
  <c r="X684" i="2"/>
  <c r="V684" i="2"/>
  <c r="I684" i="2"/>
  <c r="H684" i="2"/>
  <c r="Z684" i="2" s="1"/>
  <c r="X683" i="2"/>
  <c r="V683" i="2"/>
  <c r="I683" i="2"/>
  <c r="H683" i="2"/>
  <c r="AV683" i="2" s="1"/>
  <c r="X682" i="2"/>
  <c r="V682" i="2"/>
  <c r="I682" i="2"/>
  <c r="H682" i="2"/>
  <c r="X681" i="2"/>
  <c r="V681" i="2"/>
  <c r="I681" i="2"/>
  <c r="H681" i="2"/>
  <c r="AC681" i="2" s="1"/>
  <c r="X680" i="2"/>
  <c r="V680" i="2"/>
  <c r="I680" i="2"/>
  <c r="H680" i="2"/>
  <c r="X679" i="2"/>
  <c r="V679" i="2"/>
  <c r="I679" i="2"/>
  <c r="H679" i="2"/>
  <c r="AV679" i="2" s="1"/>
  <c r="X678" i="2"/>
  <c r="V678" i="2"/>
  <c r="I678" i="2"/>
  <c r="H678" i="2"/>
  <c r="X677" i="2"/>
  <c r="V677" i="2"/>
  <c r="I677" i="2"/>
  <c r="H677" i="2"/>
  <c r="AV677" i="2" s="1"/>
  <c r="X676" i="2"/>
  <c r="V676" i="2"/>
  <c r="I676" i="2"/>
  <c r="H676" i="2"/>
  <c r="X675" i="2"/>
  <c r="V675" i="2"/>
  <c r="I675" i="2"/>
  <c r="H675" i="2"/>
  <c r="X674" i="2"/>
  <c r="V674" i="2"/>
  <c r="I674" i="2"/>
  <c r="H674" i="2"/>
  <c r="X673" i="2"/>
  <c r="V673" i="2"/>
  <c r="I673" i="2"/>
  <c r="H673" i="2"/>
  <c r="X672" i="2"/>
  <c r="V672" i="2"/>
  <c r="I672" i="2"/>
  <c r="H672" i="2"/>
  <c r="AV672" i="2" s="1"/>
  <c r="X671" i="2"/>
  <c r="V671" i="2"/>
  <c r="I671" i="2"/>
  <c r="H671" i="2"/>
  <c r="X670" i="2"/>
  <c r="V670" i="2"/>
  <c r="I670" i="2"/>
  <c r="H670" i="2"/>
  <c r="AQ670" i="2" s="1"/>
  <c r="X669" i="2"/>
  <c r="V669" i="2"/>
  <c r="I669" i="2"/>
  <c r="H669" i="2"/>
  <c r="X668" i="2"/>
  <c r="V668" i="2"/>
  <c r="I668" i="2"/>
  <c r="H668" i="2"/>
  <c r="X667" i="2"/>
  <c r="V667" i="2"/>
  <c r="I667" i="2"/>
  <c r="H667" i="2"/>
  <c r="AV667" i="2" s="1"/>
  <c r="X666" i="2"/>
  <c r="V666" i="2"/>
  <c r="I666" i="2"/>
  <c r="H666" i="2"/>
  <c r="Z666" i="2" s="1"/>
  <c r="X665" i="2"/>
  <c r="V665" i="2"/>
  <c r="I665" i="2"/>
  <c r="H665" i="2"/>
  <c r="X664" i="2"/>
  <c r="V664" i="2"/>
  <c r="I664" i="2"/>
  <c r="H664" i="2"/>
  <c r="AC664" i="2" s="1"/>
  <c r="X663" i="2"/>
  <c r="V663" i="2"/>
  <c r="I663" i="2"/>
  <c r="H663" i="2"/>
  <c r="AV663" i="2" s="1"/>
  <c r="AQ662" i="2"/>
  <c r="X662" i="2"/>
  <c r="V662" i="2"/>
  <c r="I662" i="2"/>
  <c r="H662" i="2"/>
  <c r="AC662" i="2" s="1"/>
  <c r="X661" i="2"/>
  <c r="V661" i="2"/>
  <c r="I661" i="2"/>
  <c r="H661" i="2"/>
  <c r="X660" i="2"/>
  <c r="V660" i="2"/>
  <c r="I660" i="2"/>
  <c r="H660" i="2"/>
  <c r="X659" i="2"/>
  <c r="V659" i="2"/>
  <c r="I659" i="2"/>
  <c r="H659" i="2"/>
  <c r="X658" i="2"/>
  <c r="V658" i="2"/>
  <c r="I658" i="2"/>
  <c r="H658" i="2"/>
  <c r="AV658" i="2" s="1"/>
  <c r="X657" i="2"/>
  <c r="V657" i="2"/>
  <c r="I657" i="2"/>
  <c r="H657" i="2"/>
  <c r="X656" i="2"/>
  <c r="V656" i="2"/>
  <c r="I656" i="2"/>
  <c r="H656" i="2"/>
  <c r="X655" i="2"/>
  <c r="V655" i="2"/>
  <c r="I655" i="2"/>
  <c r="H655" i="2"/>
  <c r="X654" i="2"/>
  <c r="V654" i="2"/>
  <c r="I654" i="2"/>
  <c r="H654" i="2"/>
  <c r="X653" i="2"/>
  <c r="V653" i="2"/>
  <c r="I653" i="2"/>
  <c r="H653" i="2"/>
  <c r="AQ653" i="2" s="1"/>
  <c r="X652" i="2"/>
  <c r="V652" i="2"/>
  <c r="I652" i="2"/>
  <c r="H652" i="2"/>
  <c r="X651" i="2"/>
  <c r="V651" i="2"/>
  <c r="I651" i="2"/>
  <c r="H651" i="2"/>
  <c r="X650" i="2"/>
  <c r="V650" i="2"/>
  <c r="I650" i="2"/>
  <c r="H650" i="2"/>
  <c r="T650" i="2" s="1"/>
  <c r="X649" i="2"/>
  <c r="V649" i="2"/>
  <c r="I649" i="2"/>
  <c r="H649" i="2"/>
  <c r="X648" i="2"/>
  <c r="V648" i="2"/>
  <c r="I648" i="2"/>
  <c r="H648" i="2"/>
  <c r="T648" i="2" s="1"/>
  <c r="X647" i="2"/>
  <c r="V647" i="2"/>
  <c r="I647" i="2"/>
  <c r="H647" i="2"/>
  <c r="T647" i="2" s="1"/>
  <c r="X646" i="2"/>
  <c r="V646" i="2"/>
  <c r="I646" i="2"/>
  <c r="H646" i="2"/>
  <c r="X645" i="2"/>
  <c r="V645" i="2"/>
  <c r="I645" i="2"/>
  <c r="H645" i="2"/>
  <c r="X644" i="2"/>
  <c r="V644" i="2"/>
  <c r="I644" i="2"/>
  <c r="H644" i="2"/>
  <c r="AP644" i="2" s="1"/>
  <c r="X643" i="2"/>
  <c r="V643" i="2"/>
  <c r="I643" i="2"/>
  <c r="H643" i="2"/>
  <c r="X642" i="2"/>
  <c r="V642" i="2"/>
  <c r="I642" i="2"/>
  <c r="H642" i="2"/>
  <c r="X641" i="2"/>
  <c r="V641" i="2"/>
  <c r="I641" i="2"/>
  <c r="H641" i="2"/>
  <c r="X640" i="2"/>
  <c r="V640" i="2"/>
  <c r="I640" i="2"/>
  <c r="H640" i="2"/>
  <c r="AV640" i="2" s="1"/>
  <c r="X639" i="2"/>
  <c r="V639" i="2"/>
  <c r="I639" i="2"/>
  <c r="H639" i="2"/>
  <c r="AV639" i="2" s="1"/>
  <c r="X638" i="2"/>
  <c r="V638" i="2"/>
  <c r="I638" i="2"/>
  <c r="H638" i="2"/>
  <c r="AV638" i="2" s="1"/>
  <c r="X637" i="2"/>
  <c r="V637" i="2"/>
  <c r="I637" i="2"/>
  <c r="H637" i="2"/>
  <c r="AP636" i="2"/>
  <c r="X636" i="2"/>
  <c r="V636" i="2"/>
  <c r="T636" i="2"/>
  <c r="I636" i="2"/>
  <c r="H636" i="2"/>
  <c r="AC636" i="2" s="1"/>
  <c r="X635" i="2"/>
  <c r="V635" i="2"/>
  <c r="I635" i="2"/>
  <c r="H635" i="2"/>
  <c r="AC635" i="2" s="1"/>
  <c r="X634" i="2"/>
  <c r="V634" i="2"/>
  <c r="I634" i="2"/>
  <c r="H634" i="2"/>
  <c r="AA633" i="2"/>
  <c r="X633" i="2"/>
  <c r="V633" i="2"/>
  <c r="I633" i="2"/>
  <c r="H633" i="2"/>
  <c r="Z633" i="2" s="1"/>
  <c r="X632" i="2"/>
  <c r="V632" i="2"/>
  <c r="I632" i="2"/>
  <c r="H632" i="2"/>
  <c r="X631" i="2"/>
  <c r="V631" i="2"/>
  <c r="I631" i="2"/>
  <c r="H631" i="2"/>
  <c r="AV631" i="2" s="1"/>
  <c r="X630" i="2"/>
  <c r="V630" i="2"/>
  <c r="I630" i="2"/>
  <c r="H630" i="2"/>
  <c r="X629" i="2"/>
  <c r="V629" i="2"/>
  <c r="I629" i="2"/>
  <c r="H629" i="2"/>
  <c r="T629" i="2" s="1"/>
  <c r="X628" i="2"/>
  <c r="V628" i="2"/>
  <c r="I628" i="2"/>
  <c r="H628" i="2"/>
  <c r="AV627" i="2"/>
  <c r="X627" i="2"/>
  <c r="V627" i="2"/>
  <c r="I627" i="2"/>
  <c r="H627" i="2"/>
  <c r="AQ627" i="2" s="1"/>
  <c r="X626" i="2"/>
  <c r="V626" i="2"/>
  <c r="I626" i="2"/>
  <c r="H626" i="2"/>
  <c r="T626" i="2" s="1"/>
  <c r="X625" i="2"/>
  <c r="V625" i="2"/>
  <c r="I625" i="2"/>
  <c r="H625" i="2"/>
  <c r="X624" i="2"/>
  <c r="V624" i="2"/>
  <c r="I624" i="2"/>
  <c r="H624" i="2"/>
  <c r="AQ624" i="2" s="1"/>
  <c r="X623" i="2"/>
  <c r="V623" i="2"/>
  <c r="I623" i="2"/>
  <c r="H623" i="2"/>
  <c r="X622" i="2"/>
  <c r="V622" i="2"/>
  <c r="I622" i="2"/>
  <c r="H622" i="2"/>
  <c r="AV622" i="2" s="1"/>
  <c r="X621" i="2"/>
  <c r="V621" i="2"/>
  <c r="I621" i="2"/>
  <c r="H621" i="2"/>
  <c r="X620" i="2"/>
  <c r="V620" i="2"/>
  <c r="I620" i="2"/>
  <c r="H620" i="2"/>
  <c r="X619" i="2"/>
  <c r="V619" i="2"/>
  <c r="I619" i="2"/>
  <c r="H619" i="2"/>
  <c r="AV619" i="2" s="1"/>
  <c r="X618" i="2"/>
  <c r="V618" i="2"/>
  <c r="I618" i="2"/>
  <c r="H618" i="2"/>
  <c r="AQ617" i="2"/>
  <c r="AC617" i="2"/>
  <c r="X617" i="2"/>
  <c r="V617" i="2"/>
  <c r="I617" i="2"/>
  <c r="H617" i="2"/>
  <c r="Z617" i="2" s="1"/>
  <c r="X616" i="2"/>
  <c r="V616" i="2"/>
  <c r="I616" i="2"/>
  <c r="H616" i="2"/>
  <c r="X615" i="2"/>
  <c r="V615" i="2"/>
  <c r="T615" i="2"/>
  <c r="I615" i="2"/>
  <c r="H615" i="2"/>
  <c r="Z615" i="2" s="1"/>
  <c r="X614" i="2"/>
  <c r="V614" i="2"/>
  <c r="I614" i="2"/>
  <c r="H614" i="2"/>
  <c r="T614" i="2" s="1"/>
  <c r="X613" i="2"/>
  <c r="V613" i="2"/>
  <c r="I613" i="2"/>
  <c r="H613" i="2"/>
  <c r="X612" i="2"/>
  <c r="V612" i="2"/>
  <c r="I612" i="2"/>
  <c r="H612" i="2"/>
  <c r="X611" i="2"/>
  <c r="V611" i="2"/>
  <c r="I611" i="2"/>
  <c r="H611" i="2"/>
  <c r="X610" i="2"/>
  <c r="V610" i="2"/>
  <c r="I610" i="2"/>
  <c r="H610" i="2"/>
  <c r="X609" i="2"/>
  <c r="V609" i="2"/>
  <c r="I609" i="2"/>
  <c r="H609" i="2"/>
  <c r="X608" i="2"/>
  <c r="V608" i="2"/>
  <c r="I608" i="2"/>
  <c r="H608" i="2"/>
  <c r="X607" i="2"/>
  <c r="V607" i="2"/>
  <c r="I607" i="2"/>
  <c r="H607" i="2"/>
  <c r="X606" i="2"/>
  <c r="V606" i="2"/>
  <c r="I606" i="2"/>
  <c r="H606" i="2"/>
  <c r="X605" i="2"/>
  <c r="V605" i="2"/>
  <c r="T605" i="2"/>
  <c r="I605" i="2"/>
  <c r="H605" i="2"/>
  <c r="X604" i="2"/>
  <c r="V604" i="2"/>
  <c r="I604" i="2"/>
  <c r="H604" i="2"/>
  <c r="Z603" i="2"/>
  <c r="X603" i="2"/>
  <c r="V603" i="2"/>
  <c r="I603" i="2"/>
  <c r="H603" i="2"/>
  <c r="X602" i="2"/>
  <c r="V602" i="2"/>
  <c r="I602" i="2"/>
  <c r="H602" i="2"/>
  <c r="AV602" i="2" s="1"/>
  <c r="X601" i="2"/>
  <c r="V601" i="2"/>
  <c r="I601" i="2"/>
  <c r="H601" i="2"/>
  <c r="X600" i="2"/>
  <c r="V600" i="2"/>
  <c r="I600" i="2"/>
  <c r="H600" i="2"/>
  <c r="X599" i="2"/>
  <c r="V599" i="2"/>
  <c r="I599" i="2"/>
  <c r="H599" i="2"/>
  <c r="X598" i="2"/>
  <c r="V598" i="2"/>
  <c r="I598" i="2"/>
  <c r="H598" i="2"/>
  <c r="AC598" i="2" s="1"/>
  <c r="X597" i="2"/>
  <c r="V597" i="2"/>
  <c r="I597" i="2"/>
  <c r="H597" i="2"/>
  <c r="X596" i="2"/>
  <c r="V596" i="2"/>
  <c r="T596" i="2"/>
  <c r="I596" i="2"/>
  <c r="H596" i="2"/>
  <c r="AV596" i="2" s="1"/>
  <c r="X595" i="2"/>
  <c r="V595" i="2"/>
  <c r="I595" i="2"/>
  <c r="H595" i="2"/>
  <c r="X594" i="2"/>
  <c r="V594" i="2"/>
  <c r="I594" i="2"/>
  <c r="H594" i="2"/>
  <c r="X593" i="2"/>
  <c r="V593" i="2"/>
  <c r="I593" i="2"/>
  <c r="H593" i="2"/>
  <c r="Z593" i="2" s="1"/>
  <c r="X592" i="2"/>
  <c r="V592" i="2"/>
  <c r="I592" i="2"/>
  <c r="H592" i="2"/>
  <c r="X591" i="2"/>
  <c r="V591" i="2"/>
  <c r="I591" i="2"/>
  <c r="H591" i="2"/>
  <c r="T591" i="2" s="1"/>
  <c r="X590" i="2"/>
  <c r="V590" i="2"/>
  <c r="I590" i="2"/>
  <c r="H590" i="2"/>
  <c r="AA590" i="2" s="1"/>
  <c r="X589" i="2"/>
  <c r="V589" i="2"/>
  <c r="I589" i="2"/>
  <c r="H589" i="2"/>
  <c r="X588" i="2"/>
  <c r="V588" i="2"/>
  <c r="I588" i="2"/>
  <c r="H588" i="2"/>
  <c r="X587" i="2"/>
  <c r="V587" i="2"/>
  <c r="I587" i="2"/>
  <c r="H587" i="2"/>
  <c r="X586" i="2"/>
  <c r="V586" i="2"/>
  <c r="I586" i="2"/>
  <c r="H586" i="2"/>
  <c r="X585" i="2"/>
  <c r="V585" i="2"/>
  <c r="I585" i="2"/>
  <c r="H585" i="2"/>
  <c r="Z585" i="2" s="1"/>
  <c r="X584" i="2"/>
  <c r="V584" i="2"/>
  <c r="I584" i="2"/>
  <c r="H584" i="2"/>
  <c r="T584" i="2" s="1"/>
  <c r="X583" i="2"/>
  <c r="V583" i="2"/>
  <c r="I583" i="2"/>
  <c r="H583" i="2"/>
  <c r="Z583" i="2" s="1"/>
  <c r="X582" i="2"/>
  <c r="V582" i="2"/>
  <c r="I582" i="2"/>
  <c r="H582" i="2"/>
  <c r="X581" i="2"/>
  <c r="V581" i="2"/>
  <c r="I581" i="2"/>
  <c r="H581" i="2"/>
  <c r="X580" i="2"/>
  <c r="V580" i="2"/>
  <c r="I580" i="2"/>
  <c r="H580" i="2"/>
  <c r="X579" i="2"/>
  <c r="I579" i="2"/>
  <c r="H579" i="2"/>
  <c r="X578" i="2"/>
  <c r="V578" i="2"/>
  <c r="I578" i="2"/>
  <c r="H578" i="2"/>
  <c r="AQ578" i="2" s="1"/>
  <c r="X577" i="2"/>
  <c r="V577" i="2"/>
  <c r="I577" i="2"/>
  <c r="H577" i="2"/>
  <c r="X576" i="2"/>
  <c r="V576" i="2"/>
  <c r="I576" i="2"/>
  <c r="H576" i="2"/>
  <c r="AP576" i="2" s="1"/>
  <c r="X575" i="2"/>
  <c r="V575" i="2"/>
  <c r="I575" i="2"/>
  <c r="H575" i="2"/>
  <c r="X574" i="2"/>
  <c r="V574" i="2"/>
  <c r="I574" i="2"/>
  <c r="H574" i="2"/>
  <c r="AV574" i="2" s="1"/>
  <c r="AP573" i="2"/>
  <c r="X573" i="2"/>
  <c r="V573" i="2"/>
  <c r="I573" i="2"/>
  <c r="H573" i="2"/>
  <c r="AV573" i="2" s="1"/>
  <c r="AW573" i="2" s="1"/>
  <c r="AC572" i="2"/>
  <c r="Z572" i="2"/>
  <c r="X572" i="2"/>
  <c r="V572" i="2"/>
  <c r="T572" i="2"/>
  <c r="I572" i="2"/>
  <c r="H572" i="2"/>
  <c r="AV572" i="2" s="1"/>
  <c r="X571" i="2"/>
  <c r="V571" i="2"/>
  <c r="I571" i="2"/>
  <c r="H571" i="2"/>
  <c r="AQ571" i="2" s="1"/>
  <c r="X570" i="2"/>
  <c r="V570" i="2"/>
  <c r="I570" i="2"/>
  <c r="H570" i="2"/>
  <c r="X569" i="2"/>
  <c r="V569" i="2"/>
  <c r="I569" i="2"/>
  <c r="H569" i="2"/>
  <c r="AA569" i="2" s="1"/>
  <c r="X568" i="2"/>
  <c r="V568" i="2"/>
  <c r="I568" i="2"/>
  <c r="H568" i="2"/>
  <c r="AV567" i="2"/>
  <c r="X567" i="2"/>
  <c r="V567" i="2"/>
  <c r="I567" i="2"/>
  <c r="H567" i="2"/>
  <c r="AQ567" i="2" s="1"/>
  <c r="X566" i="2"/>
  <c r="V566" i="2"/>
  <c r="I566" i="2"/>
  <c r="H566" i="2"/>
  <c r="X565" i="2"/>
  <c r="V565" i="2"/>
  <c r="I565" i="2"/>
  <c r="H565" i="2"/>
  <c r="T565" i="2" s="1"/>
  <c r="X564" i="2"/>
  <c r="V564" i="2"/>
  <c r="I564" i="2"/>
  <c r="H564" i="2"/>
  <c r="X563" i="2"/>
  <c r="V563" i="2"/>
  <c r="I563" i="2"/>
  <c r="H563" i="2"/>
  <c r="X562" i="2"/>
  <c r="V562" i="2"/>
  <c r="I562" i="2"/>
  <c r="H562" i="2"/>
  <c r="X561" i="2"/>
  <c r="V561" i="2"/>
  <c r="I561" i="2"/>
  <c r="H561" i="2"/>
  <c r="AQ561" i="2" s="1"/>
  <c r="X560" i="2"/>
  <c r="V560" i="2"/>
  <c r="I560" i="2"/>
  <c r="H560" i="2"/>
  <c r="X559" i="2"/>
  <c r="V559" i="2"/>
  <c r="I559" i="2"/>
  <c r="H559" i="2"/>
  <c r="Z559" i="2" s="1"/>
  <c r="AV558" i="2"/>
  <c r="AC558" i="2"/>
  <c r="Z558" i="2"/>
  <c r="V558" i="2"/>
  <c r="I558" i="2"/>
  <c r="H558" i="2"/>
  <c r="AP558" i="2" s="1"/>
  <c r="X557" i="2"/>
  <c r="V557" i="2"/>
  <c r="I557" i="2"/>
  <c r="H557" i="2"/>
  <c r="X556" i="2"/>
  <c r="V556" i="2"/>
  <c r="I556" i="2"/>
  <c r="H556" i="2"/>
  <c r="X555" i="2"/>
  <c r="V555" i="2"/>
  <c r="I555" i="2"/>
  <c r="H555" i="2"/>
  <c r="AP555" i="2" s="1"/>
  <c r="X554" i="2"/>
  <c r="V554" i="2"/>
  <c r="I554" i="2"/>
  <c r="H554" i="2"/>
  <c r="X553" i="2"/>
  <c r="V553" i="2"/>
  <c r="I553" i="2"/>
  <c r="H553" i="2"/>
  <c r="X552" i="2"/>
  <c r="V552" i="2"/>
  <c r="I552" i="2"/>
  <c r="H552" i="2"/>
  <c r="X551" i="2"/>
  <c r="V551" i="2"/>
  <c r="I551" i="2"/>
  <c r="H551" i="2"/>
  <c r="AA551" i="2" s="1"/>
  <c r="X550" i="2"/>
  <c r="V550" i="2"/>
  <c r="I550" i="2"/>
  <c r="H550" i="2"/>
  <c r="T550" i="2" s="1"/>
  <c r="X549" i="2"/>
  <c r="V549" i="2"/>
  <c r="I549" i="2"/>
  <c r="H549" i="2"/>
  <c r="X548" i="2"/>
  <c r="V548" i="2"/>
  <c r="I548" i="2"/>
  <c r="H548" i="2"/>
  <c r="X547" i="2"/>
  <c r="V547" i="2"/>
  <c r="I547" i="2"/>
  <c r="H547" i="2"/>
  <c r="X546" i="2"/>
  <c r="V546" i="2"/>
  <c r="I546" i="2"/>
  <c r="H546" i="2"/>
  <c r="T546" i="2" s="1"/>
  <c r="X545" i="2"/>
  <c r="V545" i="2"/>
  <c r="I545" i="2"/>
  <c r="H545" i="2"/>
  <c r="AV545" i="2" s="1"/>
  <c r="X544" i="2"/>
  <c r="V544" i="2"/>
  <c r="I544" i="2"/>
  <c r="H544" i="2"/>
  <c r="AC544" i="2" s="1"/>
  <c r="X543" i="2"/>
  <c r="V543" i="2"/>
  <c r="I543" i="2"/>
  <c r="H543" i="2"/>
  <c r="AQ543" i="2" s="1"/>
  <c r="X542" i="2"/>
  <c r="V542" i="2"/>
  <c r="I542" i="2"/>
  <c r="H542" i="2"/>
  <c r="T542" i="2" s="1"/>
  <c r="X541" i="2"/>
  <c r="V541" i="2"/>
  <c r="I541" i="2"/>
  <c r="H541" i="2"/>
  <c r="X540" i="2"/>
  <c r="V540" i="2"/>
  <c r="I540" i="2"/>
  <c r="H540" i="2"/>
  <c r="X539" i="2"/>
  <c r="V539" i="2"/>
  <c r="I539" i="2"/>
  <c r="H539" i="2"/>
  <c r="X538" i="2"/>
  <c r="V538" i="2"/>
  <c r="I538" i="2"/>
  <c r="H538" i="2"/>
  <c r="T538" i="2" s="1"/>
  <c r="AC537" i="2"/>
  <c r="X537" i="2"/>
  <c r="V537" i="2"/>
  <c r="I537" i="2"/>
  <c r="H537" i="2"/>
  <c r="AQ537" i="2" s="1"/>
  <c r="X536" i="2"/>
  <c r="V536" i="2"/>
  <c r="I536" i="2"/>
  <c r="H536" i="2"/>
  <c r="X535" i="2"/>
  <c r="V535" i="2"/>
  <c r="I535" i="2"/>
  <c r="H535" i="2"/>
  <c r="X534" i="2"/>
  <c r="V534" i="2"/>
  <c r="I534" i="2"/>
  <c r="H534" i="2"/>
  <c r="X533" i="2"/>
  <c r="V533" i="2"/>
  <c r="I533" i="2"/>
  <c r="H533" i="2"/>
  <c r="X532" i="2"/>
  <c r="V532" i="2"/>
  <c r="I532" i="2"/>
  <c r="H532" i="2"/>
  <c r="Z532" i="2" s="1"/>
  <c r="X531" i="2"/>
  <c r="V531" i="2"/>
  <c r="I531" i="2"/>
  <c r="H531" i="2"/>
  <c r="AV531" i="2" s="1"/>
  <c r="X530" i="2"/>
  <c r="V530" i="2"/>
  <c r="I530" i="2"/>
  <c r="H530" i="2"/>
  <c r="AA530" i="2" s="1"/>
  <c r="X529" i="2"/>
  <c r="V529" i="2"/>
  <c r="I529" i="2"/>
  <c r="H529" i="2"/>
  <c r="AV529" i="2" s="1"/>
  <c r="X528" i="2"/>
  <c r="V528" i="2"/>
  <c r="I528" i="2"/>
  <c r="H528" i="2"/>
  <c r="X527" i="2"/>
  <c r="V527" i="2"/>
  <c r="I527" i="2"/>
  <c r="H527" i="2"/>
  <c r="AV527" i="2" s="1"/>
  <c r="X526" i="2"/>
  <c r="V526" i="2"/>
  <c r="I526" i="2"/>
  <c r="H526" i="2"/>
  <c r="X525" i="2"/>
  <c r="V525" i="2"/>
  <c r="I525" i="2"/>
  <c r="H525" i="2"/>
  <c r="AC524" i="2"/>
  <c r="X524" i="2"/>
  <c r="V524" i="2"/>
  <c r="I524" i="2"/>
  <c r="H524" i="2"/>
  <c r="AQ524" i="2" s="1"/>
  <c r="X523" i="2"/>
  <c r="V523" i="2"/>
  <c r="I523" i="2"/>
  <c r="H523" i="2"/>
  <c r="T523" i="2" s="1"/>
  <c r="AQ522" i="2"/>
  <c r="X522" i="2"/>
  <c r="V522" i="2"/>
  <c r="I522" i="2"/>
  <c r="H522" i="2"/>
  <c r="AP522" i="2" s="1"/>
  <c r="X521" i="2"/>
  <c r="V521" i="2"/>
  <c r="I521" i="2"/>
  <c r="H521" i="2"/>
  <c r="X520" i="2"/>
  <c r="V520" i="2"/>
  <c r="I520" i="2"/>
  <c r="H520" i="2"/>
  <c r="T520" i="2" s="1"/>
  <c r="X519" i="2"/>
  <c r="V519" i="2"/>
  <c r="I519" i="2"/>
  <c r="H519" i="2"/>
  <c r="X518" i="2"/>
  <c r="V518" i="2"/>
  <c r="I518" i="2"/>
  <c r="H518" i="2"/>
  <c r="AV518" i="2" s="1"/>
  <c r="AW518" i="2" s="1"/>
  <c r="X517" i="2"/>
  <c r="V517" i="2"/>
  <c r="I517" i="2"/>
  <c r="H517" i="2"/>
  <c r="X516" i="2"/>
  <c r="V516" i="2"/>
  <c r="I516" i="2"/>
  <c r="H516" i="2"/>
  <c r="AV516" i="2" s="1"/>
  <c r="X515" i="2"/>
  <c r="V515" i="2"/>
  <c r="I515" i="2"/>
  <c r="H515" i="2"/>
  <c r="AQ514" i="2"/>
  <c r="X514" i="2"/>
  <c r="V514" i="2"/>
  <c r="I514" i="2"/>
  <c r="H514" i="2"/>
  <c r="X513" i="2"/>
  <c r="V513" i="2"/>
  <c r="I513" i="2"/>
  <c r="H513" i="2"/>
  <c r="AV513" i="2" s="1"/>
  <c r="X512" i="2"/>
  <c r="V512" i="2"/>
  <c r="I512" i="2"/>
  <c r="H512" i="2"/>
  <c r="X511" i="2"/>
  <c r="V511" i="2"/>
  <c r="I511" i="2"/>
  <c r="H511" i="2"/>
  <c r="X510" i="2"/>
  <c r="V510" i="2"/>
  <c r="I510" i="2"/>
  <c r="H510" i="2"/>
  <c r="X509" i="2"/>
  <c r="V509" i="2"/>
  <c r="I509" i="2"/>
  <c r="H509" i="2"/>
  <c r="X508" i="2"/>
  <c r="V508" i="2"/>
  <c r="I508" i="2"/>
  <c r="H508" i="2"/>
  <c r="X507" i="2"/>
  <c r="V507" i="2"/>
  <c r="I507" i="2"/>
  <c r="H507" i="2"/>
  <c r="AQ507" i="2" s="1"/>
  <c r="X506" i="2"/>
  <c r="V506" i="2"/>
  <c r="I506" i="2"/>
  <c r="H506" i="2"/>
  <c r="X505" i="2"/>
  <c r="V505" i="2"/>
  <c r="I505" i="2"/>
  <c r="H505" i="2"/>
  <c r="X504" i="2"/>
  <c r="V504" i="2"/>
  <c r="I504" i="2"/>
  <c r="H504" i="2"/>
  <c r="AP504" i="2" s="1"/>
  <c r="X503" i="2"/>
  <c r="V503" i="2"/>
  <c r="I503" i="2"/>
  <c r="H503" i="2"/>
  <c r="X502" i="2"/>
  <c r="V502" i="2"/>
  <c r="I502" i="2"/>
  <c r="H502" i="2"/>
  <c r="AV502" i="2" s="1"/>
  <c r="X501" i="2"/>
  <c r="V501" i="2"/>
  <c r="I501" i="2"/>
  <c r="H501" i="2"/>
  <c r="AC501" i="2" s="1"/>
  <c r="X500" i="2"/>
  <c r="V500" i="2"/>
  <c r="I500" i="2"/>
  <c r="H500" i="2"/>
  <c r="AA499" i="2"/>
  <c r="X499" i="2"/>
  <c r="V499" i="2"/>
  <c r="I499" i="2"/>
  <c r="H499" i="2"/>
  <c r="X498" i="2"/>
  <c r="V498" i="2"/>
  <c r="I498" i="2"/>
  <c r="H498" i="2"/>
  <c r="Z498" i="2" s="1"/>
  <c r="X497" i="2"/>
  <c r="V497" i="2"/>
  <c r="I497" i="2"/>
  <c r="H497" i="2"/>
  <c r="X496" i="2"/>
  <c r="V496" i="2"/>
  <c r="I496" i="2"/>
  <c r="H496" i="2"/>
  <c r="X495" i="2"/>
  <c r="V495" i="2"/>
  <c r="I495" i="2"/>
  <c r="H495" i="2"/>
  <c r="X494" i="2"/>
  <c r="V494" i="2"/>
  <c r="I494" i="2"/>
  <c r="H494" i="2"/>
  <c r="AQ494" i="2" s="1"/>
  <c r="X493" i="2"/>
  <c r="V493" i="2"/>
  <c r="I493" i="2"/>
  <c r="H493" i="2"/>
  <c r="T493" i="2" s="1"/>
  <c r="Z492" i="2"/>
  <c r="X492" i="2"/>
  <c r="V492" i="2"/>
  <c r="I492" i="2"/>
  <c r="H492" i="2"/>
  <c r="X491" i="2"/>
  <c r="V491" i="2"/>
  <c r="I491" i="2"/>
  <c r="H491" i="2"/>
  <c r="X490" i="2"/>
  <c r="V490" i="2"/>
  <c r="I490" i="2"/>
  <c r="H490" i="2"/>
  <c r="AQ489" i="2"/>
  <c r="X489" i="2"/>
  <c r="V489" i="2"/>
  <c r="I489" i="2"/>
  <c r="H489" i="2"/>
  <c r="Z489" i="2" s="1"/>
  <c r="AC488" i="2"/>
  <c r="X488" i="2"/>
  <c r="V488" i="2"/>
  <c r="T488" i="2"/>
  <c r="I488" i="2"/>
  <c r="H488" i="2"/>
  <c r="AP488" i="2" s="1"/>
  <c r="X487" i="2"/>
  <c r="V487" i="2"/>
  <c r="I487" i="2"/>
  <c r="H487" i="2"/>
  <c r="X486" i="2"/>
  <c r="V486" i="2"/>
  <c r="I486" i="2"/>
  <c r="H486" i="2"/>
  <c r="AA486" i="2" s="1"/>
  <c r="X485" i="2"/>
  <c r="V485" i="2"/>
  <c r="I485" i="2"/>
  <c r="H485" i="2"/>
  <c r="AV484" i="2"/>
  <c r="X484" i="2"/>
  <c r="V484" i="2"/>
  <c r="T484" i="2"/>
  <c r="I484" i="2"/>
  <c r="H484" i="2"/>
  <c r="AC484" i="2" s="1"/>
  <c r="X483" i="2"/>
  <c r="V483" i="2"/>
  <c r="I483" i="2"/>
  <c r="H483" i="2"/>
  <c r="AQ482" i="2"/>
  <c r="X482" i="2"/>
  <c r="V482" i="2"/>
  <c r="I482" i="2"/>
  <c r="H482" i="2"/>
  <c r="X481" i="2"/>
  <c r="V481" i="2"/>
  <c r="I481" i="2"/>
  <c r="H481" i="2"/>
  <c r="X480" i="2"/>
  <c r="V480" i="2"/>
  <c r="I480" i="2"/>
  <c r="H480" i="2"/>
  <c r="X479" i="2"/>
  <c r="V479" i="2"/>
  <c r="I479" i="2"/>
  <c r="H479" i="2"/>
  <c r="T479" i="2" s="1"/>
  <c r="X478" i="2"/>
  <c r="V478" i="2"/>
  <c r="I478" i="2"/>
  <c r="H478" i="2"/>
  <c r="AC478" i="2" s="1"/>
  <c r="X477" i="2"/>
  <c r="V477" i="2"/>
  <c r="I477" i="2"/>
  <c r="H477" i="2"/>
  <c r="X476" i="2"/>
  <c r="V476" i="2"/>
  <c r="I476" i="2"/>
  <c r="H476" i="2"/>
  <c r="T476" i="2" s="1"/>
  <c r="X475" i="2"/>
  <c r="V475" i="2"/>
  <c r="I475" i="2"/>
  <c r="H475" i="2"/>
  <c r="AP475" i="2" s="1"/>
  <c r="X474" i="2"/>
  <c r="V474" i="2"/>
  <c r="I474" i="2"/>
  <c r="H474" i="2"/>
  <c r="AQ474" i="2" s="1"/>
  <c r="X473" i="2"/>
  <c r="V473" i="2"/>
  <c r="I473" i="2"/>
  <c r="H473" i="2"/>
  <c r="AQ473" i="2" s="1"/>
  <c r="X472" i="2"/>
  <c r="V472" i="2"/>
  <c r="I472" i="2"/>
  <c r="H472" i="2"/>
  <c r="AV472" i="2" s="1"/>
  <c r="X471" i="2"/>
  <c r="V471" i="2"/>
  <c r="I471" i="2"/>
  <c r="H471" i="2"/>
  <c r="AC471" i="2" s="1"/>
  <c r="X470" i="2"/>
  <c r="V470" i="2"/>
  <c r="I470" i="2"/>
  <c r="H470" i="2"/>
  <c r="X469" i="2"/>
  <c r="V469" i="2"/>
  <c r="I469" i="2"/>
  <c r="H469" i="2"/>
  <c r="AV469" i="2" s="1"/>
  <c r="X468" i="2"/>
  <c r="V468" i="2"/>
  <c r="I468" i="2"/>
  <c r="H468" i="2"/>
  <c r="AQ468" i="2" s="1"/>
  <c r="X467" i="2"/>
  <c r="V467" i="2"/>
  <c r="I467" i="2"/>
  <c r="H467" i="2"/>
  <c r="X466" i="2"/>
  <c r="V466" i="2"/>
  <c r="I466" i="2"/>
  <c r="H466" i="2"/>
  <c r="AC466" i="2" s="1"/>
  <c r="X465" i="2"/>
  <c r="V465" i="2"/>
  <c r="I465" i="2"/>
  <c r="H465" i="2"/>
  <c r="X464" i="2"/>
  <c r="V464" i="2"/>
  <c r="I464" i="2"/>
  <c r="H464" i="2"/>
  <c r="X463" i="2"/>
  <c r="V463" i="2"/>
  <c r="I463" i="2"/>
  <c r="H463" i="2"/>
  <c r="X462" i="2"/>
  <c r="V462" i="2"/>
  <c r="I462" i="2"/>
  <c r="H462" i="2"/>
  <c r="AP462" i="2" s="1"/>
  <c r="X461" i="2"/>
  <c r="V461" i="2"/>
  <c r="I461" i="2"/>
  <c r="H461" i="2"/>
  <c r="X460" i="2"/>
  <c r="V460" i="2"/>
  <c r="I460" i="2"/>
  <c r="H460" i="2"/>
  <c r="X459" i="2"/>
  <c r="V459" i="2"/>
  <c r="I459" i="2"/>
  <c r="H459" i="2"/>
  <c r="X458" i="2"/>
  <c r="V458" i="2"/>
  <c r="I458" i="2"/>
  <c r="H458" i="2"/>
  <c r="X457" i="2"/>
  <c r="V457" i="2"/>
  <c r="I457" i="2"/>
  <c r="H457" i="2"/>
  <c r="X456" i="2"/>
  <c r="V456" i="2"/>
  <c r="I456" i="2"/>
  <c r="H456" i="2"/>
  <c r="X455" i="2"/>
  <c r="V455" i="2"/>
  <c r="I455" i="2"/>
  <c r="H455" i="2"/>
  <c r="AP454" i="2"/>
  <c r="AC454" i="2"/>
  <c r="Z454" i="2"/>
  <c r="X454" i="2"/>
  <c r="V454" i="2"/>
  <c r="I454" i="2"/>
  <c r="H454" i="2"/>
  <c r="AA454" i="2" s="1"/>
  <c r="X453" i="2"/>
  <c r="V453" i="2"/>
  <c r="I453" i="2"/>
  <c r="H453" i="2"/>
  <c r="AP453" i="2" s="1"/>
  <c r="X452" i="2"/>
  <c r="V452" i="2"/>
  <c r="I452" i="2"/>
  <c r="H452" i="2"/>
  <c r="AQ452" i="2" s="1"/>
  <c r="X451" i="2"/>
  <c r="V451" i="2"/>
  <c r="I451" i="2"/>
  <c r="H451" i="2"/>
  <c r="X450" i="2"/>
  <c r="V450" i="2"/>
  <c r="I450" i="2"/>
  <c r="H450" i="2"/>
  <c r="X449" i="2"/>
  <c r="V449" i="2"/>
  <c r="I449" i="2"/>
  <c r="H449" i="2"/>
  <c r="AV449" i="2" s="1"/>
  <c r="X448" i="2"/>
  <c r="V448" i="2"/>
  <c r="I448" i="2"/>
  <c r="H448" i="2"/>
  <c r="AC448" i="2" s="1"/>
  <c r="X447" i="2"/>
  <c r="V447" i="2"/>
  <c r="I447" i="2"/>
  <c r="H447" i="2"/>
  <c r="X446" i="2"/>
  <c r="V446" i="2"/>
  <c r="I446" i="2"/>
  <c r="H446" i="2"/>
  <c r="AV446" i="2" s="1"/>
  <c r="X445" i="2"/>
  <c r="V445" i="2"/>
  <c r="I445" i="2"/>
  <c r="H445" i="2"/>
  <c r="X444" i="2"/>
  <c r="V444" i="2"/>
  <c r="I444" i="2"/>
  <c r="H444" i="2"/>
  <c r="AQ444" i="2" s="1"/>
  <c r="X443" i="2"/>
  <c r="V443" i="2"/>
  <c r="I443" i="2"/>
  <c r="H443" i="2"/>
  <c r="T443" i="2" s="1"/>
  <c r="X442" i="2"/>
  <c r="V442" i="2"/>
  <c r="I442" i="2"/>
  <c r="H442" i="2"/>
  <c r="X441" i="2"/>
  <c r="V441" i="2"/>
  <c r="I441" i="2"/>
  <c r="H441" i="2"/>
  <c r="AQ441" i="2" s="1"/>
  <c r="X440" i="2"/>
  <c r="V440" i="2"/>
  <c r="I440" i="2"/>
  <c r="H440" i="2"/>
  <c r="AV440" i="2" s="1"/>
  <c r="X439" i="2"/>
  <c r="V439" i="2"/>
  <c r="I439" i="2"/>
  <c r="H439" i="2"/>
  <c r="X438" i="2"/>
  <c r="V438" i="2"/>
  <c r="I438" i="2"/>
  <c r="H438" i="2"/>
  <c r="AC438" i="2" s="1"/>
  <c r="X437" i="2"/>
  <c r="V437" i="2"/>
  <c r="I437" i="2"/>
  <c r="H437" i="2"/>
  <c r="X436" i="2"/>
  <c r="V436" i="2"/>
  <c r="I436" i="2"/>
  <c r="H436" i="2"/>
  <c r="T436" i="2" s="1"/>
  <c r="X435" i="2"/>
  <c r="V435" i="2"/>
  <c r="I435" i="2"/>
  <c r="H435" i="2"/>
  <c r="X434" i="2"/>
  <c r="V434" i="2"/>
  <c r="I434" i="2"/>
  <c r="H434" i="2"/>
  <c r="X433" i="2"/>
  <c r="V433" i="2"/>
  <c r="I433" i="2"/>
  <c r="H433" i="2"/>
  <c r="AV433" i="2" s="1"/>
  <c r="X432" i="2"/>
  <c r="V432" i="2"/>
  <c r="I432" i="2"/>
  <c r="H432" i="2"/>
  <c r="AP432" i="2" s="1"/>
  <c r="AQ431" i="2"/>
  <c r="X431" i="2"/>
  <c r="V431" i="2"/>
  <c r="I431" i="2"/>
  <c r="H431" i="2"/>
  <c r="AP431" i="2" s="1"/>
  <c r="X430" i="2"/>
  <c r="V430" i="2"/>
  <c r="I430" i="2"/>
  <c r="H430" i="2"/>
  <c r="AV430" i="2" s="1"/>
  <c r="X429" i="2"/>
  <c r="V429" i="2"/>
  <c r="I429" i="2"/>
  <c r="H429" i="2"/>
  <c r="X428" i="2"/>
  <c r="V428" i="2"/>
  <c r="I428" i="2"/>
  <c r="H428" i="2"/>
  <c r="AV428" i="2" s="1"/>
  <c r="X427" i="2"/>
  <c r="V427" i="2"/>
  <c r="I427" i="2"/>
  <c r="H427" i="2"/>
  <c r="X426" i="2"/>
  <c r="V426" i="2"/>
  <c r="I426" i="2"/>
  <c r="H426" i="2"/>
  <c r="I425" i="2"/>
  <c r="H425" i="2"/>
  <c r="X424" i="2"/>
  <c r="V424" i="2"/>
  <c r="I424" i="2"/>
  <c r="H424" i="2"/>
  <c r="Z424" i="2" s="1"/>
  <c r="X423" i="2"/>
  <c r="V423" i="2"/>
  <c r="I423" i="2"/>
  <c r="H423" i="2"/>
  <c r="X422" i="2"/>
  <c r="V422" i="2"/>
  <c r="I422" i="2"/>
  <c r="H422" i="2"/>
  <c r="T422" i="2" s="1"/>
  <c r="X421" i="2"/>
  <c r="I421" i="2"/>
  <c r="H421" i="2"/>
  <c r="X420" i="2"/>
  <c r="V420" i="2"/>
  <c r="I420" i="2"/>
  <c r="H420" i="2"/>
  <c r="AV420" i="2" s="1"/>
  <c r="X419" i="2"/>
  <c r="V419" i="2"/>
  <c r="I419" i="2"/>
  <c r="H419" i="2"/>
  <c r="AV418" i="2"/>
  <c r="X418" i="2"/>
  <c r="I418" i="2"/>
  <c r="H418" i="2"/>
  <c r="X417" i="2"/>
  <c r="I417" i="2"/>
  <c r="H417" i="2"/>
  <c r="AC417" i="2" s="1"/>
  <c r="AV416" i="2"/>
  <c r="X416" i="2"/>
  <c r="V416" i="2"/>
  <c r="I416" i="2"/>
  <c r="H416" i="2"/>
  <c r="AP416" i="2" s="1"/>
  <c r="X415" i="2"/>
  <c r="V415" i="2"/>
  <c r="I415" i="2"/>
  <c r="H415" i="2"/>
  <c r="AQ415" i="2" s="1"/>
  <c r="X414" i="2"/>
  <c r="V414" i="2"/>
  <c r="I414" i="2"/>
  <c r="H414" i="2"/>
  <c r="AC413" i="2"/>
  <c r="X413" i="2"/>
  <c r="I413" i="2"/>
  <c r="H413" i="2"/>
  <c r="Z413" i="2" s="1"/>
  <c r="AP412" i="2"/>
  <c r="AC412" i="2"/>
  <c r="AA412" i="2"/>
  <c r="X412" i="2"/>
  <c r="I412" i="2"/>
  <c r="H412" i="2"/>
  <c r="T412" i="2" s="1"/>
  <c r="X411" i="2"/>
  <c r="V411" i="2"/>
  <c r="I411" i="2"/>
  <c r="H411" i="2"/>
  <c r="AQ410" i="2"/>
  <c r="AC410" i="2"/>
  <c r="X410" i="2"/>
  <c r="V410" i="2"/>
  <c r="I410" i="2"/>
  <c r="H410" i="2"/>
  <c r="AP410" i="2" s="1"/>
  <c r="X409" i="2"/>
  <c r="V409" i="2"/>
  <c r="I409" i="2"/>
  <c r="H409" i="2"/>
  <c r="T409" i="2" s="1"/>
  <c r="X408" i="2"/>
  <c r="V408" i="2"/>
  <c r="I408" i="2"/>
  <c r="H408" i="2"/>
  <c r="X407" i="2"/>
  <c r="V407" i="2"/>
  <c r="I407" i="2"/>
  <c r="H407" i="2"/>
  <c r="X406" i="2"/>
  <c r="V406" i="2"/>
  <c r="I406" i="2"/>
  <c r="H406" i="2"/>
  <c r="AQ406" i="2" s="1"/>
  <c r="I405" i="2"/>
  <c r="H405" i="2"/>
  <c r="X404" i="2"/>
  <c r="I404" i="2"/>
  <c r="H404" i="2"/>
  <c r="AV404" i="2" s="1"/>
  <c r="AV403" i="2"/>
  <c r="X403" i="2"/>
  <c r="V403" i="2"/>
  <c r="I403" i="2"/>
  <c r="H403" i="2"/>
  <c r="X402" i="2"/>
  <c r="V402" i="2"/>
  <c r="I402" i="2"/>
  <c r="H402" i="2"/>
  <c r="X401" i="2"/>
  <c r="V401" i="2"/>
  <c r="I401" i="2"/>
  <c r="H401" i="2"/>
  <c r="X400" i="2"/>
  <c r="I400" i="2"/>
  <c r="H400" i="2"/>
  <c r="X399" i="2"/>
  <c r="V399" i="2"/>
  <c r="I399" i="2"/>
  <c r="H399" i="2"/>
  <c r="AA399" i="2" s="1"/>
  <c r="X398" i="2"/>
  <c r="I398" i="2"/>
  <c r="H398" i="2"/>
  <c r="Z398" i="2" s="1"/>
  <c r="X397" i="2"/>
  <c r="V397" i="2"/>
  <c r="I397" i="2"/>
  <c r="H397" i="2"/>
  <c r="T397" i="2" s="1"/>
  <c r="V396" i="2"/>
  <c r="I396" i="2"/>
  <c r="H396" i="2"/>
  <c r="X395" i="2"/>
  <c r="V395" i="2"/>
  <c r="I395" i="2"/>
  <c r="H395" i="2"/>
  <c r="AP394" i="2"/>
  <c r="AC394" i="2"/>
  <c r="AA394" i="2"/>
  <c r="X394" i="2"/>
  <c r="I394" i="2"/>
  <c r="H394" i="2"/>
  <c r="AQ394" i="2" s="1"/>
  <c r="X393" i="2"/>
  <c r="I393" i="2"/>
  <c r="H393" i="2"/>
  <c r="AA393" i="2" s="1"/>
  <c r="X392" i="2"/>
  <c r="I392" i="2"/>
  <c r="H392" i="2"/>
  <c r="AV392" i="2" s="1"/>
  <c r="X391" i="2"/>
  <c r="V391" i="2"/>
  <c r="I391" i="2"/>
  <c r="H391" i="2"/>
  <c r="AQ391" i="2" s="1"/>
  <c r="X390" i="2"/>
  <c r="V390" i="2"/>
  <c r="I390" i="2"/>
  <c r="H390" i="2"/>
  <c r="X389" i="2"/>
  <c r="V389" i="2"/>
  <c r="I389" i="2"/>
  <c r="H389" i="2"/>
  <c r="X388" i="2"/>
  <c r="I388" i="2"/>
  <c r="H388" i="2"/>
  <c r="T388" i="2" s="1"/>
  <c r="X387" i="2"/>
  <c r="V387" i="2"/>
  <c r="I387" i="2"/>
  <c r="H387" i="2"/>
  <c r="X386" i="2"/>
  <c r="V386" i="2"/>
  <c r="I386" i="2"/>
  <c r="H386" i="2"/>
  <c r="AA385" i="2"/>
  <c r="X385" i="2"/>
  <c r="V385" i="2"/>
  <c r="I385" i="2"/>
  <c r="H385" i="2"/>
  <c r="AV385" i="2" s="1"/>
  <c r="X384" i="2"/>
  <c r="V384" i="2"/>
  <c r="I384" i="2"/>
  <c r="H384" i="2"/>
  <c r="Z384" i="2" s="1"/>
  <c r="X383" i="2"/>
  <c r="V383" i="2"/>
  <c r="I383" i="2"/>
  <c r="H383" i="2"/>
  <c r="X382" i="2"/>
  <c r="V382" i="2"/>
  <c r="I382" i="2"/>
  <c r="H382" i="2"/>
  <c r="AV382" i="2" s="1"/>
  <c r="X381" i="2"/>
  <c r="V381" i="2"/>
  <c r="I381" i="2"/>
  <c r="H381" i="2"/>
  <c r="AQ380" i="2"/>
  <c r="AP380" i="2"/>
  <c r="AC380" i="2"/>
  <c r="X380" i="2"/>
  <c r="V380" i="2"/>
  <c r="I380" i="2"/>
  <c r="H380" i="2"/>
  <c r="AA380" i="2" s="1"/>
  <c r="X379" i="2"/>
  <c r="V379" i="2"/>
  <c r="I379" i="2"/>
  <c r="H379" i="2"/>
  <c r="X378" i="2"/>
  <c r="V378" i="2"/>
  <c r="I378" i="2"/>
  <c r="H378" i="2"/>
  <c r="AP378" i="2" s="1"/>
  <c r="X377" i="2"/>
  <c r="V377" i="2"/>
  <c r="I377" i="2"/>
  <c r="H377" i="2"/>
  <c r="AC377" i="2" s="1"/>
  <c r="X376" i="2"/>
  <c r="I376" i="2"/>
  <c r="H376" i="2"/>
  <c r="Z376" i="2" s="1"/>
  <c r="X375" i="2"/>
  <c r="V375" i="2"/>
  <c r="I375" i="2"/>
  <c r="H375" i="2"/>
  <c r="T375" i="2" s="1"/>
  <c r="X374" i="2"/>
  <c r="V374" i="2"/>
  <c r="I374" i="2"/>
  <c r="H374" i="2"/>
  <c r="T374" i="2" s="1"/>
  <c r="X373" i="2"/>
  <c r="V373" i="2"/>
  <c r="I373" i="2"/>
  <c r="H373" i="2"/>
  <c r="AC373" i="2" s="1"/>
  <c r="X372" i="2"/>
  <c r="V372" i="2"/>
  <c r="I372" i="2"/>
  <c r="H372" i="2"/>
  <c r="AQ372" i="2" s="1"/>
  <c r="X371" i="2"/>
  <c r="V371" i="2"/>
  <c r="I371" i="2"/>
  <c r="H371" i="2"/>
  <c r="AA371" i="2" s="1"/>
  <c r="X370" i="2"/>
  <c r="V370" i="2"/>
  <c r="I370" i="2"/>
  <c r="H370" i="2"/>
  <c r="AV370" i="2" s="1"/>
  <c r="X369" i="2"/>
  <c r="V369" i="2"/>
  <c r="I369" i="2"/>
  <c r="H369" i="2"/>
  <c r="T369" i="2" s="1"/>
  <c r="X368" i="2"/>
  <c r="V368" i="2"/>
  <c r="I368" i="2"/>
  <c r="H368" i="2"/>
  <c r="X367" i="2"/>
  <c r="V367" i="2"/>
  <c r="I367" i="2"/>
  <c r="H367" i="2"/>
  <c r="AV367" i="2" s="1"/>
  <c r="X366" i="2"/>
  <c r="V366" i="2"/>
  <c r="I366" i="2"/>
  <c r="H366" i="2"/>
  <c r="AV366" i="2" s="1"/>
  <c r="X365" i="2"/>
  <c r="V365" i="2"/>
  <c r="I365" i="2"/>
  <c r="H365" i="2"/>
  <c r="X364" i="2"/>
  <c r="V364" i="2"/>
  <c r="I364" i="2"/>
  <c r="H364" i="2"/>
  <c r="Z364" i="2" s="1"/>
  <c r="X363" i="2"/>
  <c r="V363" i="2"/>
  <c r="I363" i="2"/>
  <c r="H363" i="2"/>
  <c r="X362" i="2"/>
  <c r="V362" i="2"/>
  <c r="I362" i="2"/>
  <c r="H362" i="2"/>
  <c r="T362" i="2" s="1"/>
  <c r="AA361" i="2"/>
  <c r="X361" i="2"/>
  <c r="V361" i="2"/>
  <c r="I361" i="2"/>
  <c r="H361" i="2"/>
  <c r="AV361" i="2" s="1"/>
  <c r="X360" i="2"/>
  <c r="V360" i="2"/>
  <c r="I360" i="2"/>
  <c r="H360" i="2"/>
  <c r="T360" i="2" s="1"/>
  <c r="X359" i="2"/>
  <c r="V359" i="2"/>
  <c r="I359" i="2"/>
  <c r="H359" i="2"/>
  <c r="AV359" i="2" s="1"/>
  <c r="X358" i="2"/>
  <c r="V358" i="2"/>
  <c r="I358" i="2"/>
  <c r="H358" i="2"/>
  <c r="X357" i="2"/>
  <c r="V357" i="2"/>
  <c r="I357" i="2"/>
  <c r="H357" i="2"/>
  <c r="X356" i="2"/>
  <c r="V356" i="2"/>
  <c r="I356" i="2"/>
  <c r="H356" i="2"/>
  <c r="AP356" i="2" s="1"/>
  <c r="X355" i="2"/>
  <c r="I355" i="2"/>
  <c r="H355" i="2"/>
  <c r="X354" i="2"/>
  <c r="V354" i="2"/>
  <c r="I354" i="2"/>
  <c r="H354" i="2"/>
  <c r="AV354" i="2" s="1"/>
  <c r="X353" i="2"/>
  <c r="V353" i="2"/>
  <c r="I353" i="2"/>
  <c r="H353" i="2"/>
  <c r="Z353" i="2" s="1"/>
  <c r="X352" i="2"/>
  <c r="V352" i="2"/>
  <c r="I352" i="2"/>
  <c r="H352" i="2"/>
  <c r="X351" i="2"/>
  <c r="V351" i="2"/>
  <c r="I351" i="2"/>
  <c r="H351" i="2"/>
  <c r="AQ351" i="2" s="1"/>
  <c r="X350" i="2"/>
  <c r="V350" i="2"/>
  <c r="I350" i="2"/>
  <c r="H350" i="2"/>
  <c r="AQ350" i="2" s="1"/>
  <c r="X349" i="2"/>
  <c r="I349" i="2"/>
  <c r="H349" i="2"/>
  <c r="X348" i="2"/>
  <c r="T348" i="2"/>
  <c r="I348" i="2"/>
  <c r="H348" i="2"/>
  <c r="AV348" i="2" s="1"/>
  <c r="X347" i="2"/>
  <c r="V347" i="2"/>
  <c r="I347" i="2"/>
  <c r="H347" i="2"/>
  <c r="AQ347" i="2" s="1"/>
  <c r="X346" i="2"/>
  <c r="V346" i="2"/>
  <c r="I346" i="2"/>
  <c r="H346" i="2"/>
  <c r="X345" i="2"/>
  <c r="V345" i="2"/>
  <c r="I345" i="2"/>
  <c r="H345" i="2"/>
  <c r="AQ345" i="2" s="1"/>
  <c r="X344" i="2"/>
  <c r="V344" i="2"/>
  <c r="I344" i="2"/>
  <c r="H344" i="2"/>
  <c r="X343" i="2"/>
  <c r="V343" i="2"/>
  <c r="I343" i="2"/>
  <c r="H343" i="2"/>
  <c r="X342" i="2"/>
  <c r="V342" i="2"/>
  <c r="I342" i="2"/>
  <c r="H342" i="2"/>
  <c r="X341" i="2"/>
  <c r="V341" i="2"/>
  <c r="I341" i="2"/>
  <c r="H341" i="2"/>
  <c r="X340" i="2"/>
  <c r="V340" i="2"/>
  <c r="I340" i="2"/>
  <c r="H340" i="2"/>
  <c r="AQ340" i="2" s="1"/>
  <c r="X339" i="2"/>
  <c r="V339" i="2"/>
  <c r="I339" i="2"/>
  <c r="H339" i="2"/>
  <c r="AP339" i="2" s="1"/>
  <c r="X338" i="2"/>
  <c r="V338" i="2"/>
  <c r="I338" i="2"/>
  <c r="H338" i="2"/>
  <c r="T338" i="2" s="1"/>
  <c r="X337" i="2"/>
  <c r="V337" i="2"/>
  <c r="I337" i="2"/>
  <c r="H337" i="2"/>
  <c r="AV337" i="2" s="1"/>
  <c r="X336" i="2"/>
  <c r="V336" i="2"/>
  <c r="I336" i="2"/>
  <c r="H336" i="2"/>
  <c r="X335" i="2"/>
  <c r="V335" i="2"/>
  <c r="I335" i="2"/>
  <c r="H335" i="2"/>
  <c r="X334" i="2"/>
  <c r="V334" i="2"/>
  <c r="I334" i="2"/>
  <c r="H334" i="2"/>
  <c r="AV334" i="2" s="1"/>
  <c r="X333" i="2"/>
  <c r="V333" i="2"/>
  <c r="I333" i="2"/>
  <c r="H333" i="2"/>
  <c r="X332" i="2"/>
  <c r="V332" i="2"/>
  <c r="I332" i="2"/>
  <c r="H332" i="2"/>
  <c r="X331" i="2"/>
  <c r="V331" i="2"/>
  <c r="I331" i="2"/>
  <c r="H331" i="2"/>
  <c r="T331" i="2" s="1"/>
  <c r="X330" i="2"/>
  <c r="V330" i="2"/>
  <c r="I330" i="2"/>
  <c r="H330" i="2"/>
  <c r="X329" i="2"/>
  <c r="V329" i="2"/>
  <c r="I329" i="2"/>
  <c r="H329" i="2"/>
  <c r="AP329" i="2" s="1"/>
  <c r="X328" i="2"/>
  <c r="I328" i="2"/>
  <c r="H328" i="2"/>
  <c r="AV328" i="2" s="1"/>
  <c r="X327" i="2"/>
  <c r="I327" i="2"/>
  <c r="H327" i="2"/>
  <c r="X326" i="2"/>
  <c r="V326" i="2"/>
  <c r="I326" i="2"/>
  <c r="H326" i="2"/>
  <c r="AP326" i="2" s="1"/>
  <c r="X325" i="2"/>
  <c r="V325" i="2"/>
  <c r="I325" i="2"/>
  <c r="H325" i="2"/>
  <c r="T325" i="2" s="1"/>
  <c r="X324" i="2"/>
  <c r="V324" i="2"/>
  <c r="I324" i="2"/>
  <c r="H324" i="2"/>
  <c r="X323" i="2"/>
  <c r="V323" i="2"/>
  <c r="I323" i="2"/>
  <c r="H323" i="2"/>
  <c r="AV323" i="2" s="1"/>
  <c r="X322" i="2"/>
  <c r="V322" i="2"/>
  <c r="I322" i="2"/>
  <c r="H322" i="2"/>
  <c r="T322" i="2" s="1"/>
  <c r="X321" i="2"/>
  <c r="V321" i="2"/>
  <c r="I321" i="2"/>
  <c r="H321" i="2"/>
  <c r="AV321" i="2" s="1"/>
  <c r="X320" i="2"/>
  <c r="V320" i="2"/>
  <c r="I320" i="2"/>
  <c r="H320" i="2"/>
  <c r="AQ319" i="2"/>
  <c r="AC319" i="2"/>
  <c r="X319" i="2"/>
  <c r="V319" i="2"/>
  <c r="I319" i="2"/>
  <c r="H319" i="2"/>
  <c r="Z319" i="2" s="1"/>
  <c r="X318" i="2"/>
  <c r="V318" i="2"/>
  <c r="I318" i="2"/>
  <c r="H318" i="2"/>
  <c r="X317" i="2"/>
  <c r="V317" i="2"/>
  <c r="I317" i="2"/>
  <c r="H317" i="2"/>
  <c r="X316" i="2"/>
  <c r="V316" i="2"/>
  <c r="I316" i="2"/>
  <c r="H316" i="2"/>
  <c r="X315" i="2"/>
  <c r="V315" i="2"/>
  <c r="I315" i="2"/>
  <c r="H315" i="2"/>
  <c r="Z315" i="2" s="1"/>
  <c r="X314" i="2"/>
  <c r="V314" i="2"/>
  <c r="I314" i="2"/>
  <c r="H314" i="2"/>
  <c r="T314" i="2" s="1"/>
  <c r="Z313" i="2"/>
  <c r="X313" i="2"/>
  <c r="V313" i="2"/>
  <c r="I313" i="2"/>
  <c r="H313" i="2"/>
  <c r="AP313" i="2" s="1"/>
  <c r="X312" i="2"/>
  <c r="V312" i="2"/>
  <c r="I312" i="2"/>
  <c r="H312" i="2"/>
  <c r="AV312" i="2" s="1"/>
  <c r="X311" i="2"/>
  <c r="V311" i="2"/>
  <c r="I311" i="2"/>
  <c r="H311" i="2"/>
  <c r="T311" i="2" s="1"/>
  <c r="X310" i="2"/>
  <c r="V310" i="2"/>
  <c r="I310" i="2"/>
  <c r="H310" i="2"/>
  <c r="X309" i="2"/>
  <c r="V309" i="2"/>
  <c r="I309" i="2"/>
  <c r="H309" i="2"/>
  <c r="X308" i="2"/>
  <c r="V308" i="2"/>
  <c r="T308" i="2"/>
  <c r="I308" i="2"/>
  <c r="H308" i="2"/>
  <c r="X307" i="2"/>
  <c r="V307" i="2"/>
  <c r="I307" i="2"/>
  <c r="H307" i="2"/>
  <c r="AV306" i="2"/>
  <c r="X306" i="2"/>
  <c r="V306" i="2"/>
  <c r="I306" i="2"/>
  <c r="H306" i="2"/>
  <c r="X305" i="2"/>
  <c r="V305" i="2"/>
  <c r="I305" i="2"/>
  <c r="H305" i="2"/>
  <c r="AV305" i="2" s="1"/>
  <c r="X304" i="2"/>
  <c r="V304" i="2"/>
  <c r="I304" i="2"/>
  <c r="H304" i="2"/>
  <c r="X303" i="2"/>
  <c r="V303" i="2"/>
  <c r="I303" i="2"/>
  <c r="H303" i="2"/>
  <c r="X302" i="2"/>
  <c r="V302" i="2"/>
  <c r="I302" i="2"/>
  <c r="H302" i="2"/>
  <c r="V301" i="2"/>
  <c r="I301" i="2"/>
  <c r="H301" i="2"/>
  <c r="X300" i="2"/>
  <c r="V300" i="2"/>
  <c r="I300" i="2"/>
  <c r="H300" i="2"/>
  <c r="X299" i="2"/>
  <c r="V299" i="2"/>
  <c r="I299" i="2"/>
  <c r="H299" i="2"/>
  <c r="T299" i="2" s="1"/>
  <c r="X298" i="2"/>
  <c r="V298" i="2"/>
  <c r="I298" i="2"/>
  <c r="H298" i="2"/>
  <c r="AV298" i="2" s="1"/>
  <c r="X297" i="2"/>
  <c r="V297" i="2"/>
  <c r="I297" i="2"/>
  <c r="H297" i="2"/>
  <c r="X296" i="2"/>
  <c r="V296" i="2"/>
  <c r="I296" i="2"/>
  <c r="H296" i="2"/>
  <c r="AQ296" i="2" s="1"/>
  <c r="AP295" i="2"/>
  <c r="AA295" i="2"/>
  <c r="X295" i="2"/>
  <c r="V295" i="2"/>
  <c r="I295" i="2"/>
  <c r="H295" i="2"/>
  <c r="AV295" i="2" s="1"/>
  <c r="X294" i="2"/>
  <c r="V294" i="2"/>
  <c r="I294" i="2"/>
  <c r="H294" i="2"/>
  <c r="AQ294" i="2" s="1"/>
  <c r="X293" i="2"/>
  <c r="V293" i="2"/>
  <c r="I293" i="2"/>
  <c r="H293" i="2"/>
  <c r="X292" i="2"/>
  <c r="V292" i="2"/>
  <c r="I292" i="2"/>
  <c r="H292" i="2"/>
  <c r="X291" i="2"/>
  <c r="V291" i="2"/>
  <c r="I291" i="2"/>
  <c r="H291" i="2"/>
  <c r="X290" i="2"/>
  <c r="V290" i="2"/>
  <c r="I290" i="2"/>
  <c r="H290" i="2"/>
  <c r="AQ290" i="2" s="1"/>
  <c r="X289" i="2"/>
  <c r="V289" i="2"/>
  <c r="I289" i="2"/>
  <c r="H289" i="2"/>
  <c r="AA289" i="2" s="1"/>
  <c r="X288" i="2"/>
  <c r="V288" i="2"/>
  <c r="I288" i="2"/>
  <c r="H288" i="2"/>
  <c r="X287" i="2"/>
  <c r="V287" i="2"/>
  <c r="I287" i="2"/>
  <c r="H287" i="2"/>
  <c r="AV287" i="2" s="1"/>
  <c r="X286" i="2"/>
  <c r="V286" i="2"/>
  <c r="I286" i="2"/>
  <c r="H286" i="2"/>
  <c r="AC286" i="2" s="1"/>
  <c r="X285" i="2"/>
  <c r="V285" i="2"/>
  <c r="I285" i="2"/>
  <c r="H285" i="2"/>
  <c r="X284" i="2"/>
  <c r="V284" i="2"/>
  <c r="I284" i="2"/>
  <c r="H284" i="2"/>
  <c r="X283" i="2"/>
  <c r="V283" i="2"/>
  <c r="I283" i="2"/>
  <c r="H283" i="2"/>
  <c r="X282" i="2"/>
  <c r="V282" i="2"/>
  <c r="I282" i="2"/>
  <c r="H282" i="2"/>
  <c r="AV282" i="2" s="1"/>
  <c r="X281" i="2"/>
  <c r="V281" i="2"/>
  <c r="I281" i="2"/>
  <c r="H281" i="2"/>
  <c r="X280" i="2"/>
  <c r="V280" i="2"/>
  <c r="I280" i="2"/>
  <c r="H280" i="2"/>
  <c r="AP280" i="2" s="1"/>
  <c r="X279" i="2"/>
  <c r="V279" i="2"/>
  <c r="I279" i="2"/>
  <c r="H279" i="2"/>
  <c r="AV279" i="2" s="1"/>
  <c r="X278" i="2"/>
  <c r="V278" i="2"/>
  <c r="I278" i="2"/>
  <c r="H278" i="2"/>
  <c r="X277" i="2"/>
  <c r="V277" i="2"/>
  <c r="I277" i="2"/>
  <c r="H277" i="2"/>
  <c r="T277" i="2" s="1"/>
  <c r="X276" i="2"/>
  <c r="V276" i="2"/>
  <c r="I276" i="2"/>
  <c r="H276" i="2"/>
  <c r="AQ276" i="2" s="1"/>
  <c r="X275" i="2"/>
  <c r="V275" i="2"/>
  <c r="I275" i="2"/>
  <c r="H275" i="2"/>
  <c r="T275" i="2" s="1"/>
  <c r="X274" i="2"/>
  <c r="V274" i="2"/>
  <c r="I274" i="2"/>
  <c r="H274" i="2"/>
  <c r="AV274" i="2" s="1"/>
  <c r="X273" i="2"/>
  <c r="V273" i="2"/>
  <c r="I273" i="2"/>
  <c r="H273" i="2"/>
  <c r="X272" i="2"/>
  <c r="V272" i="2"/>
  <c r="I272" i="2"/>
  <c r="H272" i="2"/>
  <c r="X271" i="2"/>
  <c r="V271" i="2"/>
  <c r="I271" i="2"/>
  <c r="H271" i="2"/>
  <c r="AV271" i="2" s="1"/>
  <c r="X270" i="2"/>
  <c r="V270" i="2"/>
  <c r="I270" i="2"/>
  <c r="H270" i="2"/>
  <c r="X269" i="2"/>
  <c r="V269" i="2"/>
  <c r="I269" i="2"/>
  <c r="H269" i="2"/>
  <c r="AC269" i="2" s="1"/>
  <c r="X268" i="2"/>
  <c r="V268" i="2"/>
  <c r="I268" i="2"/>
  <c r="H268" i="2"/>
  <c r="X267" i="2"/>
  <c r="V267" i="2"/>
  <c r="I267" i="2"/>
  <c r="H267" i="2"/>
  <c r="X266" i="2"/>
  <c r="V266" i="2"/>
  <c r="I266" i="2"/>
  <c r="H266" i="2"/>
  <c r="X265" i="2"/>
  <c r="V265" i="2"/>
  <c r="I265" i="2"/>
  <c r="H265" i="2"/>
  <c r="AC264" i="2"/>
  <c r="X264" i="2"/>
  <c r="V264" i="2"/>
  <c r="I264" i="2"/>
  <c r="H264" i="2"/>
  <c r="Z264" i="2" s="1"/>
  <c r="X263" i="2"/>
  <c r="V263" i="2"/>
  <c r="I263" i="2"/>
  <c r="H263" i="2"/>
  <c r="Z262" i="2"/>
  <c r="X262" i="2"/>
  <c r="V262" i="2"/>
  <c r="I262" i="2"/>
  <c r="H262" i="2"/>
  <c r="AV262" i="2" s="1"/>
  <c r="X261" i="2"/>
  <c r="V261" i="2"/>
  <c r="I261" i="2"/>
  <c r="H261" i="2"/>
  <c r="X260" i="2"/>
  <c r="V260" i="2"/>
  <c r="I260" i="2"/>
  <c r="H260" i="2"/>
  <c r="AC260" i="2" s="1"/>
  <c r="X259" i="2"/>
  <c r="V259" i="2"/>
  <c r="I259" i="2"/>
  <c r="H259" i="2"/>
  <c r="AQ259" i="2" s="1"/>
  <c r="X258" i="2"/>
  <c r="V258" i="2"/>
  <c r="I258" i="2"/>
  <c r="H258" i="2"/>
  <c r="X257" i="2"/>
  <c r="V257" i="2"/>
  <c r="I257" i="2"/>
  <c r="H257" i="2"/>
  <c r="AC257" i="2" s="1"/>
  <c r="X256" i="2"/>
  <c r="V256" i="2"/>
  <c r="I256" i="2"/>
  <c r="H256" i="2"/>
  <c r="AC256" i="2" s="1"/>
  <c r="X255" i="2"/>
  <c r="V255" i="2"/>
  <c r="I255" i="2"/>
  <c r="H255" i="2"/>
  <c r="X254" i="2"/>
  <c r="V254" i="2"/>
  <c r="I254" i="2"/>
  <c r="H254" i="2"/>
  <c r="T254" i="2" s="1"/>
  <c r="Z253" i="2"/>
  <c r="X253" i="2"/>
  <c r="V253" i="2"/>
  <c r="I253" i="2"/>
  <c r="H253" i="2"/>
  <c r="X252" i="2"/>
  <c r="V252" i="2"/>
  <c r="I252" i="2"/>
  <c r="H252" i="2"/>
  <c r="AQ252" i="2" s="1"/>
  <c r="X251" i="2"/>
  <c r="V251" i="2"/>
  <c r="I251" i="2"/>
  <c r="H251" i="2"/>
  <c r="AV251" i="2" s="1"/>
  <c r="X250" i="2"/>
  <c r="I250" i="2"/>
  <c r="H250" i="2"/>
  <c r="AC249" i="2"/>
  <c r="X249" i="2"/>
  <c r="V249" i="2"/>
  <c r="I249" i="2"/>
  <c r="H249" i="2"/>
  <c r="Z249" i="2" s="1"/>
  <c r="X248" i="2"/>
  <c r="V248" i="2"/>
  <c r="I248" i="2"/>
  <c r="H248" i="2"/>
  <c r="X247" i="2"/>
  <c r="V247" i="2"/>
  <c r="I247" i="2"/>
  <c r="H247" i="2"/>
  <c r="X246" i="2"/>
  <c r="V246" i="2"/>
  <c r="I246" i="2"/>
  <c r="H246" i="2"/>
  <c r="X245" i="2"/>
  <c r="V245" i="2"/>
  <c r="I245" i="2"/>
  <c r="H245" i="2"/>
  <c r="X244" i="2"/>
  <c r="V244" i="2"/>
  <c r="I244" i="2"/>
  <c r="H244" i="2"/>
  <c r="X243" i="2"/>
  <c r="V243" i="2"/>
  <c r="I243" i="2"/>
  <c r="H243" i="2"/>
  <c r="AP243" i="2" s="1"/>
  <c r="X242" i="2"/>
  <c r="V242" i="2"/>
  <c r="I242" i="2"/>
  <c r="H242" i="2"/>
  <c r="AV242" i="2" s="1"/>
  <c r="X241" i="2"/>
  <c r="V241" i="2"/>
  <c r="I241" i="2"/>
  <c r="H241" i="2"/>
  <c r="X240" i="2"/>
  <c r="I240" i="2"/>
  <c r="H240" i="2"/>
  <c r="X239" i="2"/>
  <c r="V239" i="2"/>
  <c r="I239" i="2"/>
  <c r="H239" i="2"/>
  <c r="X238" i="2"/>
  <c r="V238" i="2"/>
  <c r="I238" i="2"/>
  <c r="H238" i="2"/>
  <c r="X237" i="2"/>
  <c r="V237" i="2"/>
  <c r="I237" i="2"/>
  <c r="H237" i="2"/>
  <c r="X236" i="2"/>
  <c r="V236" i="2"/>
  <c r="I236" i="2"/>
  <c r="H236" i="2"/>
  <c r="AA236" i="2" s="1"/>
  <c r="X235" i="2"/>
  <c r="V235" i="2"/>
  <c r="I235" i="2"/>
  <c r="H235" i="2"/>
  <c r="X234" i="2"/>
  <c r="V234" i="2"/>
  <c r="I234" i="2"/>
  <c r="H234" i="2"/>
  <c r="X233" i="2"/>
  <c r="V233" i="2"/>
  <c r="I233" i="2"/>
  <c r="H233" i="2"/>
  <c r="AV233" i="2" s="1"/>
  <c r="X232" i="2"/>
  <c r="V232" i="2"/>
  <c r="I232" i="2"/>
  <c r="H232" i="2"/>
  <c r="X231" i="2"/>
  <c r="V231" i="2"/>
  <c r="I231" i="2"/>
  <c r="H231" i="2"/>
  <c r="AQ231" i="2" s="1"/>
  <c r="X230" i="2"/>
  <c r="V230" i="2"/>
  <c r="I230" i="2"/>
  <c r="H230" i="2"/>
  <c r="AC230" i="2" s="1"/>
  <c r="X229" i="2"/>
  <c r="V229" i="2"/>
  <c r="I229" i="2"/>
  <c r="H229" i="2"/>
  <c r="T229" i="2" s="1"/>
  <c r="X228" i="2"/>
  <c r="V228" i="2"/>
  <c r="I228" i="2"/>
  <c r="H228" i="2"/>
  <c r="AV228" i="2" s="1"/>
  <c r="AP227" i="2"/>
  <c r="X227" i="2"/>
  <c r="V227" i="2"/>
  <c r="I227" i="2"/>
  <c r="H227" i="2"/>
  <c r="Z227" i="2" s="1"/>
  <c r="X226" i="2"/>
  <c r="V226" i="2"/>
  <c r="I226" i="2"/>
  <c r="H226" i="2"/>
  <c r="AC226" i="2" s="1"/>
  <c r="X225" i="2"/>
  <c r="V225" i="2"/>
  <c r="I225" i="2"/>
  <c r="H225" i="2"/>
  <c r="AV224" i="2"/>
  <c r="X224" i="2"/>
  <c r="V224" i="2"/>
  <c r="I224" i="2"/>
  <c r="H224" i="2"/>
  <c r="AC224" i="2" s="1"/>
  <c r="X223" i="2"/>
  <c r="V223" i="2"/>
  <c r="I223" i="2"/>
  <c r="H223" i="2"/>
  <c r="AQ223" i="2" s="1"/>
  <c r="X222" i="2"/>
  <c r="V222" i="2"/>
  <c r="I222" i="2"/>
  <c r="H222" i="2"/>
  <c r="X221" i="2"/>
  <c r="V221" i="2"/>
  <c r="I221" i="2"/>
  <c r="H221" i="2"/>
  <c r="T221" i="2" s="1"/>
  <c r="X220" i="2"/>
  <c r="V220" i="2"/>
  <c r="I220" i="2"/>
  <c r="H220" i="2"/>
  <c r="T220" i="2" s="1"/>
  <c r="X219" i="2"/>
  <c r="V219" i="2"/>
  <c r="I219" i="2"/>
  <c r="H219" i="2"/>
  <c r="X218" i="2"/>
  <c r="V218" i="2"/>
  <c r="I218" i="2"/>
  <c r="H218" i="2"/>
  <c r="X217" i="2"/>
  <c r="V217" i="2"/>
  <c r="I217" i="2"/>
  <c r="H217" i="2"/>
  <c r="X216" i="2"/>
  <c r="V216" i="2"/>
  <c r="I216" i="2"/>
  <c r="H216" i="2"/>
  <c r="X215" i="2"/>
  <c r="V215" i="2"/>
  <c r="I215" i="2"/>
  <c r="H215" i="2"/>
  <c r="X214" i="2"/>
  <c r="V214" i="2"/>
  <c r="I214" i="2"/>
  <c r="H214" i="2"/>
  <c r="X213" i="2"/>
  <c r="V213" i="2"/>
  <c r="I213" i="2"/>
  <c r="H213" i="2"/>
  <c r="X212" i="2"/>
  <c r="V212" i="2"/>
  <c r="I212" i="2"/>
  <c r="H212" i="2"/>
  <c r="AA212" i="2" s="1"/>
  <c r="X211" i="2"/>
  <c r="V211" i="2"/>
  <c r="I211" i="2"/>
  <c r="H211" i="2"/>
  <c r="X210" i="2"/>
  <c r="V210" i="2"/>
  <c r="I210" i="2"/>
  <c r="H210" i="2"/>
  <c r="X209" i="2"/>
  <c r="I209" i="2"/>
  <c r="H209" i="2"/>
  <c r="X208" i="2"/>
  <c r="I208" i="2"/>
  <c r="H208" i="2"/>
  <c r="T208" i="2" s="1"/>
  <c r="X207" i="2"/>
  <c r="V207" i="2"/>
  <c r="I207" i="2"/>
  <c r="H207" i="2"/>
  <c r="X206" i="2"/>
  <c r="V206" i="2"/>
  <c r="I206" i="2"/>
  <c r="H206" i="2"/>
  <c r="T206" i="2" s="1"/>
  <c r="X205" i="2"/>
  <c r="V205" i="2"/>
  <c r="I205" i="2"/>
  <c r="H205" i="2"/>
  <c r="X204" i="2"/>
  <c r="V204" i="2"/>
  <c r="I204" i="2"/>
  <c r="H204" i="2"/>
  <c r="T204" i="2" s="1"/>
  <c r="X203" i="2"/>
  <c r="V203" i="2"/>
  <c r="I203" i="2"/>
  <c r="H203" i="2"/>
  <c r="X202" i="2"/>
  <c r="V202" i="2"/>
  <c r="I202" i="2"/>
  <c r="H202" i="2"/>
  <c r="X201" i="2"/>
  <c r="V201" i="2"/>
  <c r="I201" i="2"/>
  <c r="H201" i="2"/>
  <c r="AC201" i="2" s="1"/>
  <c r="X200" i="2"/>
  <c r="V200" i="2"/>
  <c r="I200" i="2"/>
  <c r="H200" i="2"/>
  <c r="AV200" i="2" s="1"/>
  <c r="AA199" i="2"/>
  <c r="X199" i="2"/>
  <c r="V199" i="2"/>
  <c r="T199" i="2"/>
  <c r="I199" i="2"/>
  <c r="H199" i="2"/>
  <c r="AC199" i="2" s="1"/>
  <c r="X198" i="2"/>
  <c r="V198" i="2"/>
  <c r="I198" i="2"/>
  <c r="H198" i="2"/>
  <c r="X197" i="2"/>
  <c r="V197" i="2"/>
  <c r="I197" i="2"/>
  <c r="H197" i="2"/>
  <c r="X196" i="2"/>
  <c r="V196" i="2"/>
  <c r="I196" i="2"/>
  <c r="H196" i="2"/>
  <c r="X195" i="2"/>
  <c r="V195" i="2"/>
  <c r="I195" i="2"/>
  <c r="H195" i="2"/>
  <c r="X194" i="2"/>
  <c r="V194" i="2"/>
  <c r="T194" i="2"/>
  <c r="I194" i="2"/>
  <c r="H194" i="2"/>
  <c r="X193" i="2"/>
  <c r="V193" i="2"/>
  <c r="I193" i="2"/>
  <c r="H193" i="2"/>
  <c r="AP193" i="2" s="1"/>
  <c r="X192" i="2"/>
  <c r="V192" i="2"/>
  <c r="I192" i="2"/>
  <c r="H192" i="2"/>
  <c r="X191" i="2"/>
  <c r="I191" i="2"/>
  <c r="H191" i="2"/>
  <c r="X190" i="2"/>
  <c r="V190" i="2"/>
  <c r="I190" i="2"/>
  <c r="H190" i="2"/>
  <c r="X189" i="2"/>
  <c r="V189" i="2"/>
  <c r="I189" i="2"/>
  <c r="H189" i="2"/>
  <c r="X188" i="2"/>
  <c r="V188" i="2"/>
  <c r="I188" i="2"/>
  <c r="H188" i="2"/>
  <c r="X187" i="2"/>
  <c r="V187" i="2"/>
  <c r="I187" i="2"/>
  <c r="H187" i="2"/>
  <c r="AV187" i="2" s="1"/>
  <c r="X186" i="2"/>
  <c r="V186" i="2"/>
  <c r="I186" i="2"/>
  <c r="H186" i="2"/>
  <c r="X185" i="2"/>
  <c r="V185" i="2"/>
  <c r="I185" i="2"/>
  <c r="H185" i="2"/>
  <c r="X184" i="2"/>
  <c r="V184" i="2"/>
  <c r="I184" i="2"/>
  <c r="H184" i="2"/>
  <c r="X183" i="2"/>
  <c r="V183" i="2"/>
  <c r="I183" i="2"/>
  <c r="H183" i="2"/>
  <c r="AV183" i="2" s="1"/>
  <c r="X182" i="2"/>
  <c r="V182" i="2"/>
  <c r="I182" i="2"/>
  <c r="H182" i="2"/>
  <c r="AA182" i="2" s="1"/>
  <c r="AP181" i="2"/>
  <c r="X181" i="2"/>
  <c r="V181" i="2"/>
  <c r="I181" i="2"/>
  <c r="H181" i="2"/>
  <c r="AA181" i="2" s="1"/>
  <c r="X180" i="2"/>
  <c r="V180" i="2"/>
  <c r="I180" i="2"/>
  <c r="H180" i="2"/>
  <c r="AQ179" i="2"/>
  <c r="X179" i="2"/>
  <c r="V179" i="2"/>
  <c r="I179" i="2"/>
  <c r="H179" i="2"/>
  <c r="AP179" i="2" s="1"/>
  <c r="X178" i="2"/>
  <c r="V178" i="2"/>
  <c r="I178" i="2"/>
  <c r="H178" i="2"/>
  <c r="AV177" i="2"/>
  <c r="AC177" i="2"/>
  <c r="AA177" i="2"/>
  <c r="X177" i="2"/>
  <c r="V177" i="2"/>
  <c r="I177" i="2"/>
  <c r="H177" i="2"/>
  <c r="T177" i="2" s="1"/>
  <c r="X176" i="2"/>
  <c r="T176" i="2"/>
  <c r="I176" i="2"/>
  <c r="H176" i="2"/>
  <c r="AQ175" i="2"/>
  <c r="AP175" i="2"/>
  <c r="AA175" i="2"/>
  <c r="X175" i="2"/>
  <c r="I175" i="2"/>
  <c r="H175" i="2"/>
  <c r="Z175" i="2" s="1"/>
  <c r="X174" i="2"/>
  <c r="V174" i="2"/>
  <c r="I174" i="2"/>
  <c r="H174" i="2"/>
  <c r="AV174" i="2" s="1"/>
  <c r="X173" i="2"/>
  <c r="V173" i="2"/>
  <c r="I173" i="2"/>
  <c r="H173" i="2"/>
  <c r="Z173" i="2" s="1"/>
  <c r="X172" i="2"/>
  <c r="V172" i="2"/>
  <c r="I172" i="2"/>
  <c r="H172" i="2"/>
  <c r="X171" i="2"/>
  <c r="V171" i="2"/>
  <c r="I171" i="2"/>
  <c r="H171" i="2"/>
  <c r="AP170" i="2"/>
  <c r="Z170" i="2"/>
  <c r="X170" i="2"/>
  <c r="V170" i="2"/>
  <c r="I170" i="2"/>
  <c r="H170" i="2"/>
  <c r="AC170" i="2" s="1"/>
  <c r="X169" i="2"/>
  <c r="V169" i="2"/>
  <c r="I169" i="2"/>
  <c r="H169" i="2"/>
  <c r="X168" i="2"/>
  <c r="V168" i="2"/>
  <c r="I168" i="2"/>
  <c r="H168" i="2"/>
  <c r="AC168" i="2" s="1"/>
  <c r="X167" i="2"/>
  <c r="V167" i="2"/>
  <c r="I167" i="2"/>
  <c r="H167" i="2"/>
  <c r="Z167" i="2" s="1"/>
  <c r="X166" i="2"/>
  <c r="I166" i="2"/>
  <c r="H166" i="2"/>
  <c r="X165" i="2"/>
  <c r="I165" i="2"/>
  <c r="H165" i="2"/>
  <c r="X164" i="2"/>
  <c r="I164" i="2"/>
  <c r="H164" i="2"/>
  <c r="AA164" i="2" s="1"/>
  <c r="X163" i="2"/>
  <c r="V163" i="2"/>
  <c r="I163" i="2"/>
  <c r="H163" i="2"/>
  <c r="X162" i="2"/>
  <c r="I162" i="2"/>
  <c r="H162" i="2"/>
  <c r="X161" i="2"/>
  <c r="I161" i="2"/>
  <c r="H161" i="2"/>
  <c r="X160" i="2"/>
  <c r="V160" i="2"/>
  <c r="I160" i="2"/>
  <c r="H160" i="2"/>
  <c r="X159" i="2"/>
  <c r="I159" i="2"/>
  <c r="H159" i="2"/>
  <c r="X158" i="2"/>
  <c r="V158" i="2"/>
  <c r="I158" i="2"/>
  <c r="H158" i="2"/>
  <c r="X157" i="2"/>
  <c r="I157" i="2"/>
  <c r="H157" i="2"/>
  <c r="X156" i="2"/>
  <c r="V156" i="2"/>
  <c r="I156" i="2"/>
  <c r="H156" i="2"/>
  <c r="X155" i="2"/>
  <c r="V155" i="2"/>
  <c r="I155" i="2"/>
  <c r="H155" i="2"/>
  <c r="T155" i="2" s="1"/>
  <c r="X154" i="2"/>
  <c r="V154" i="2"/>
  <c r="I154" i="2"/>
  <c r="H154" i="2"/>
  <c r="X153" i="2"/>
  <c r="V153" i="2"/>
  <c r="I153" i="2"/>
  <c r="H153" i="2"/>
  <c r="X152" i="2"/>
  <c r="V152" i="2"/>
  <c r="I152" i="2"/>
  <c r="H152" i="2"/>
  <c r="X151" i="2"/>
  <c r="V151" i="2"/>
  <c r="I151" i="2"/>
  <c r="H151" i="2"/>
  <c r="AA151" i="2" s="1"/>
  <c r="X150" i="2"/>
  <c r="V150" i="2"/>
  <c r="I150" i="2"/>
  <c r="H150" i="2"/>
  <c r="X149" i="2"/>
  <c r="V149" i="2"/>
  <c r="I149" i="2"/>
  <c r="H149" i="2"/>
  <c r="AC149" i="2" s="1"/>
  <c r="X148" i="2"/>
  <c r="V148" i="2"/>
  <c r="I148" i="2"/>
  <c r="H148" i="2"/>
  <c r="T148" i="2" s="1"/>
  <c r="X147" i="2"/>
  <c r="V147" i="2"/>
  <c r="I147" i="2"/>
  <c r="H147" i="2"/>
  <c r="Z147" i="2" s="1"/>
  <c r="X146" i="2"/>
  <c r="V146" i="2"/>
  <c r="I146" i="2"/>
  <c r="H146" i="2"/>
  <c r="AV146" i="2" s="1"/>
  <c r="X145" i="2"/>
  <c r="V145" i="2"/>
  <c r="I145" i="2"/>
  <c r="H145" i="2"/>
  <c r="X144" i="2"/>
  <c r="V144" i="2"/>
  <c r="I144" i="2"/>
  <c r="H144" i="2"/>
  <c r="AV144" i="2" s="1"/>
  <c r="X143" i="2"/>
  <c r="V143" i="2"/>
  <c r="I143" i="2"/>
  <c r="H143" i="2"/>
  <c r="AV143" i="2" s="1"/>
  <c r="X142" i="2"/>
  <c r="V142" i="2"/>
  <c r="I142" i="2"/>
  <c r="H142" i="2"/>
  <c r="AP142" i="2" s="1"/>
  <c r="AC141" i="2"/>
  <c r="AA141" i="2"/>
  <c r="X141" i="2"/>
  <c r="V141" i="2"/>
  <c r="I141" i="2"/>
  <c r="H141" i="2"/>
  <c r="AP141" i="2" s="1"/>
  <c r="X140" i="2"/>
  <c r="V140" i="2"/>
  <c r="I140" i="2"/>
  <c r="H140" i="2"/>
  <c r="Z139" i="2"/>
  <c r="X139" i="2"/>
  <c r="V139" i="2"/>
  <c r="I139" i="2"/>
  <c r="H139" i="2"/>
  <c r="X138" i="2"/>
  <c r="I138" i="2"/>
  <c r="H138" i="2"/>
  <c r="AQ138" i="2" s="1"/>
  <c r="X137" i="2"/>
  <c r="I137" i="2"/>
  <c r="H137" i="2"/>
  <c r="X136" i="2"/>
  <c r="I136" i="2"/>
  <c r="H136" i="2"/>
  <c r="AA136" i="2" s="1"/>
  <c r="X135" i="2"/>
  <c r="V135" i="2"/>
  <c r="I135" i="2"/>
  <c r="H135" i="2"/>
  <c r="AQ135" i="2" s="1"/>
  <c r="X134" i="2"/>
  <c r="V134" i="2"/>
  <c r="I134" i="2"/>
  <c r="H134" i="2"/>
  <c r="AA134" i="2" s="1"/>
  <c r="X133" i="2"/>
  <c r="V133" i="2"/>
  <c r="I133" i="2"/>
  <c r="H133" i="2"/>
  <c r="AA132" i="2"/>
  <c r="Z132" i="2"/>
  <c r="X132" i="2"/>
  <c r="V132" i="2"/>
  <c r="I132" i="2"/>
  <c r="H132" i="2"/>
  <c r="AC132" i="2" s="1"/>
  <c r="X131" i="2"/>
  <c r="V131" i="2"/>
  <c r="I131" i="2"/>
  <c r="H131" i="2"/>
  <c r="AP131" i="2" s="1"/>
  <c r="Z130" i="2"/>
  <c r="X130" i="2"/>
  <c r="V130" i="2"/>
  <c r="I130" i="2"/>
  <c r="H130" i="2"/>
  <c r="T130" i="2" s="1"/>
  <c r="X129" i="2"/>
  <c r="V129" i="2"/>
  <c r="I129" i="2"/>
  <c r="H129" i="2"/>
  <c r="Z128" i="2"/>
  <c r="X128" i="2"/>
  <c r="V128" i="2"/>
  <c r="I128" i="2"/>
  <c r="H128" i="2"/>
  <c r="AC128" i="2" s="1"/>
  <c r="X127" i="2"/>
  <c r="V127" i="2"/>
  <c r="I127" i="2"/>
  <c r="H127" i="2"/>
  <c r="AV127" i="2" s="1"/>
  <c r="X126" i="2"/>
  <c r="V126" i="2"/>
  <c r="I126" i="2"/>
  <c r="H126" i="2"/>
  <c r="X125" i="2"/>
  <c r="V125" i="2"/>
  <c r="I125" i="2"/>
  <c r="H125" i="2"/>
  <c r="AA125" i="2" s="1"/>
  <c r="X124" i="2"/>
  <c r="V124" i="2"/>
  <c r="I124" i="2"/>
  <c r="H124" i="2"/>
  <c r="AP124" i="2" s="1"/>
  <c r="X123" i="2"/>
  <c r="V123" i="2"/>
  <c r="I123" i="2"/>
  <c r="H123" i="2"/>
  <c r="Z123" i="2" s="1"/>
  <c r="X122" i="2"/>
  <c r="V122" i="2"/>
  <c r="I122" i="2"/>
  <c r="H122" i="2"/>
  <c r="X121" i="2"/>
  <c r="V121" i="2"/>
  <c r="I121" i="2"/>
  <c r="H121" i="2"/>
  <c r="T121" i="2" s="1"/>
  <c r="X120" i="2"/>
  <c r="V120" i="2"/>
  <c r="I120" i="2"/>
  <c r="H120" i="2"/>
  <c r="X119" i="2"/>
  <c r="V119" i="2"/>
  <c r="I119" i="2"/>
  <c r="H119" i="2"/>
  <c r="X118" i="2"/>
  <c r="V118" i="2"/>
  <c r="I118" i="2"/>
  <c r="H118" i="2"/>
  <c r="AC118" i="2" s="1"/>
  <c r="X117" i="2"/>
  <c r="V117" i="2"/>
  <c r="I117" i="2"/>
  <c r="H117" i="2"/>
  <c r="AP117" i="2" s="1"/>
  <c r="X116" i="2"/>
  <c r="V116" i="2"/>
  <c r="I116" i="2"/>
  <c r="H116" i="2"/>
  <c r="Z116" i="2" s="1"/>
  <c r="X115" i="2"/>
  <c r="V115" i="2"/>
  <c r="I115" i="2"/>
  <c r="H115" i="2"/>
  <c r="AQ115" i="2" s="1"/>
  <c r="X114" i="2"/>
  <c r="V114" i="2"/>
  <c r="I114" i="2"/>
  <c r="H114" i="2"/>
  <c r="Z114" i="2" s="1"/>
  <c r="X113" i="2"/>
  <c r="V113" i="2"/>
  <c r="I113" i="2"/>
  <c r="H113" i="2"/>
  <c r="AC113" i="2" s="1"/>
  <c r="X112" i="2"/>
  <c r="V112" i="2"/>
  <c r="I112" i="2"/>
  <c r="H112" i="2"/>
  <c r="X111" i="2"/>
  <c r="V111" i="2"/>
  <c r="I111" i="2"/>
  <c r="H111" i="2"/>
  <c r="T111" i="2" s="1"/>
  <c r="X110" i="2"/>
  <c r="V110" i="2"/>
  <c r="I110" i="2"/>
  <c r="H110" i="2"/>
  <c r="AQ110" i="2" s="1"/>
  <c r="X109" i="2"/>
  <c r="V109" i="2"/>
  <c r="I109" i="2"/>
  <c r="H109" i="2"/>
  <c r="X108" i="2"/>
  <c r="V108" i="2"/>
  <c r="I108" i="2"/>
  <c r="H108" i="2"/>
  <c r="X107" i="2"/>
  <c r="V107" i="2"/>
  <c r="I107" i="2"/>
  <c r="H107" i="2"/>
  <c r="X106" i="2"/>
  <c r="V106" i="2"/>
  <c r="I106" i="2"/>
  <c r="H106" i="2"/>
  <c r="X105" i="2"/>
  <c r="V105" i="2"/>
  <c r="I105" i="2"/>
  <c r="H105" i="2"/>
  <c r="X104" i="2"/>
  <c r="V104" i="2"/>
  <c r="I104" i="2"/>
  <c r="H104" i="2"/>
  <c r="X103" i="2"/>
  <c r="V103" i="2"/>
  <c r="I103" i="2"/>
  <c r="H103" i="2"/>
  <c r="X102" i="2"/>
  <c r="V102" i="2"/>
  <c r="I102" i="2"/>
  <c r="H102" i="2"/>
  <c r="X101" i="2"/>
  <c r="V101" i="2"/>
  <c r="I101" i="2"/>
  <c r="H101" i="2"/>
  <c r="AQ101" i="2" s="1"/>
  <c r="X100" i="2"/>
  <c r="V100" i="2"/>
  <c r="I100" i="2"/>
  <c r="H100" i="2"/>
  <c r="AV100" i="2" s="1"/>
  <c r="X99" i="2"/>
  <c r="V99" i="2"/>
  <c r="I99" i="2"/>
  <c r="H99" i="2"/>
  <c r="X98" i="2"/>
  <c r="V98" i="2"/>
  <c r="I98" i="2"/>
  <c r="H98" i="2"/>
  <c r="X97" i="2"/>
  <c r="V97" i="2"/>
  <c r="I97" i="2"/>
  <c r="H97" i="2"/>
  <c r="X96" i="2"/>
  <c r="V96" i="2"/>
  <c r="I96" i="2"/>
  <c r="H96" i="2"/>
  <c r="AQ96" i="2" s="1"/>
  <c r="X95" i="2"/>
  <c r="V95" i="2"/>
  <c r="I95" i="2"/>
  <c r="H95" i="2"/>
  <c r="X94" i="2"/>
  <c r="I94" i="2"/>
  <c r="H94" i="2"/>
  <c r="AV94" i="2" s="1"/>
  <c r="AC93" i="2"/>
  <c r="X93" i="2"/>
  <c r="V93" i="2"/>
  <c r="I93" i="2"/>
  <c r="H93" i="2"/>
  <c r="AV93" i="2" s="1"/>
  <c r="X92" i="2"/>
  <c r="V92" i="2"/>
  <c r="I92" i="2"/>
  <c r="H92" i="2"/>
  <c r="AA92" i="2" s="1"/>
  <c r="X91" i="2"/>
  <c r="V91" i="2"/>
  <c r="I91" i="2"/>
  <c r="H91" i="2"/>
  <c r="X90" i="2"/>
  <c r="V90" i="2"/>
  <c r="I90" i="2"/>
  <c r="H90" i="2"/>
  <c r="X89" i="2"/>
  <c r="I89" i="2"/>
  <c r="H89" i="2"/>
  <c r="AV89" i="2" s="1"/>
  <c r="X88" i="2"/>
  <c r="I88" i="2"/>
  <c r="H88" i="2"/>
  <c r="Z88" i="2" s="1"/>
  <c r="Z87" i="2"/>
  <c r="X87" i="2"/>
  <c r="V87" i="2"/>
  <c r="I87" i="2"/>
  <c r="H87" i="2"/>
  <c r="X86" i="2"/>
  <c r="V86" i="2"/>
  <c r="I86" i="2"/>
  <c r="H86" i="2"/>
  <c r="X85" i="2"/>
  <c r="I85" i="2"/>
  <c r="H85" i="2"/>
  <c r="AV85" i="2" s="1"/>
  <c r="X84" i="2"/>
  <c r="I84" i="2"/>
  <c r="H84" i="2"/>
  <c r="T84" i="2" s="1"/>
  <c r="X83" i="2"/>
  <c r="V83" i="2"/>
  <c r="I83" i="2"/>
  <c r="H83" i="2"/>
  <c r="AV83" i="2" s="1"/>
  <c r="X82" i="2"/>
  <c r="V82" i="2"/>
  <c r="I82" i="2"/>
  <c r="H82" i="2"/>
  <c r="X81" i="2"/>
  <c r="V81" i="2"/>
  <c r="T81" i="2"/>
  <c r="I81" i="2"/>
  <c r="H81" i="2"/>
  <c r="AV81" i="2" s="1"/>
  <c r="X80" i="2"/>
  <c r="I80" i="2"/>
  <c r="H80" i="2"/>
  <c r="T80" i="2" s="1"/>
  <c r="X79" i="2"/>
  <c r="V79" i="2"/>
  <c r="I79" i="2"/>
  <c r="H79" i="2"/>
  <c r="Z79" i="2" s="1"/>
  <c r="X78" i="2"/>
  <c r="V78" i="2"/>
  <c r="I78" i="2"/>
  <c r="H78" i="2"/>
  <c r="X77" i="2"/>
  <c r="V77" i="2"/>
  <c r="I77" i="2"/>
  <c r="H77" i="2"/>
  <c r="AV77" i="2" s="1"/>
  <c r="X76" i="2"/>
  <c r="V76" i="2"/>
  <c r="I76" i="2"/>
  <c r="H76" i="2"/>
  <c r="AV76" i="2" s="1"/>
  <c r="X75" i="2"/>
  <c r="V75" i="2"/>
  <c r="I75" i="2"/>
  <c r="H75" i="2"/>
  <c r="AC74" i="2"/>
  <c r="X74" i="2"/>
  <c r="V74" i="2"/>
  <c r="I74" i="2"/>
  <c r="H74" i="2"/>
  <c r="AA74" i="2" s="1"/>
  <c r="X73" i="2"/>
  <c r="V73" i="2"/>
  <c r="I73" i="2"/>
  <c r="H73" i="2"/>
  <c r="AP73" i="2" s="1"/>
  <c r="X72" i="2"/>
  <c r="V72" i="2"/>
  <c r="I72" i="2"/>
  <c r="H72" i="2"/>
  <c r="AC72" i="2" s="1"/>
  <c r="X71" i="2"/>
  <c r="V71" i="2"/>
  <c r="I71" i="2"/>
  <c r="H71" i="2"/>
  <c r="AP71" i="2" s="1"/>
  <c r="Z70" i="2"/>
  <c r="X70" i="2"/>
  <c r="V70" i="2"/>
  <c r="I70" i="2"/>
  <c r="H70" i="2"/>
  <c r="AP70" i="2" s="1"/>
  <c r="X69" i="2"/>
  <c r="I69" i="2"/>
  <c r="H69" i="2"/>
  <c r="X68" i="2"/>
  <c r="I68" i="2"/>
  <c r="H68" i="2"/>
  <c r="AV68" i="2" s="1"/>
  <c r="X67" i="2"/>
  <c r="V67" i="2"/>
  <c r="I67" i="2"/>
  <c r="H67" i="2"/>
  <c r="Z67" i="2" s="1"/>
  <c r="X66" i="2"/>
  <c r="V66" i="2"/>
  <c r="I66" i="2"/>
  <c r="H66" i="2"/>
  <c r="X65" i="2"/>
  <c r="V65" i="2"/>
  <c r="I65" i="2"/>
  <c r="H65" i="2"/>
  <c r="X64" i="2"/>
  <c r="V64" i="2"/>
  <c r="I64" i="2"/>
  <c r="H64" i="2"/>
  <c r="Z64" i="2" s="1"/>
  <c r="X63" i="2"/>
  <c r="V63" i="2"/>
  <c r="I63" i="2"/>
  <c r="H63" i="2"/>
  <c r="X62" i="2"/>
  <c r="V62" i="2"/>
  <c r="I62" i="2"/>
  <c r="H62" i="2"/>
  <c r="AC62" i="2" s="1"/>
  <c r="X61" i="2"/>
  <c r="V61" i="2"/>
  <c r="I61" i="2"/>
  <c r="H61" i="2"/>
  <c r="AV61" i="2" s="1"/>
  <c r="X60" i="2"/>
  <c r="V60" i="2"/>
  <c r="I60" i="2"/>
  <c r="H60" i="2"/>
  <c r="Z60" i="2" s="1"/>
  <c r="X59" i="2"/>
  <c r="V59" i="2"/>
  <c r="I59" i="2"/>
  <c r="H59" i="2"/>
  <c r="AV59" i="2" s="1"/>
  <c r="AV58" i="2"/>
  <c r="X58" i="2"/>
  <c r="V58" i="2"/>
  <c r="T58" i="2"/>
  <c r="I58" i="2"/>
  <c r="H58" i="2"/>
  <c r="AQ58" i="2" s="1"/>
  <c r="X57" i="2"/>
  <c r="V57" i="2"/>
  <c r="I57" i="2"/>
  <c r="H57" i="2"/>
  <c r="X56" i="2"/>
  <c r="V56" i="2"/>
  <c r="I56" i="2"/>
  <c r="H56" i="2"/>
  <c r="AV56" i="2" s="1"/>
  <c r="X55" i="2"/>
  <c r="V55" i="2"/>
  <c r="I55" i="2"/>
  <c r="H55" i="2"/>
  <c r="Z55" i="2" s="1"/>
  <c r="X54" i="2"/>
  <c r="V54" i="2"/>
  <c r="I54" i="2"/>
  <c r="H54" i="2"/>
  <c r="Z54" i="2" s="1"/>
  <c r="X53" i="2"/>
  <c r="V53" i="2"/>
  <c r="I53" i="2"/>
  <c r="H53" i="2"/>
  <c r="AC53" i="2" s="1"/>
  <c r="X52" i="2"/>
  <c r="V52" i="2"/>
  <c r="I52" i="2"/>
  <c r="H52" i="2"/>
  <c r="AV52" i="2" s="1"/>
  <c r="X51" i="2"/>
  <c r="V51" i="2"/>
  <c r="I51" i="2"/>
  <c r="H51" i="2"/>
  <c r="AV51" i="2" s="1"/>
  <c r="Z50" i="2"/>
  <c r="X50" i="2"/>
  <c r="V50" i="2"/>
  <c r="I50" i="2"/>
  <c r="H50" i="2"/>
  <c r="AP50" i="2" s="1"/>
  <c r="X49" i="2"/>
  <c r="V49" i="2"/>
  <c r="I49" i="2"/>
  <c r="H49" i="2"/>
  <c r="X48" i="2"/>
  <c r="V48" i="2"/>
  <c r="I48" i="2"/>
  <c r="H48" i="2"/>
  <c r="AA48" i="2" s="1"/>
  <c r="X47" i="2"/>
  <c r="V47" i="2"/>
  <c r="I47" i="2"/>
  <c r="H47" i="2"/>
  <c r="AQ47" i="2" s="1"/>
  <c r="X46" i="2"/>
  <c r="V46" i="2"/>
  <c r="I46" i="2"/>
  <c r="H46" i="2"/>
  <c r="X45" i="2"/>
  <c r="V45" i="2"/>
  <c r="I45" i="2"/>
  <c r="H45" i="2"/>
  <c r="AC45" i="2" s="1"/>
  <c r="X44" i="2"/>
  <c r="V44" i="2"/>
  <c r="I44" i="2"/>
  <c r="H44" i="2"/>
  <c r="AP44" i="2" s="1"/>
  <c r="X43" i="2"/>
  <c r="V43" i="2"/>
  <c r="I43" i="2"/>
  <c r="H43" i="2"/>
  <c r="X42" i="2"/>
  <c r="V42" i="2"/>
  <c r="T42" i="2"/>
  <c r="I42" i="2"/>
  <c r="H42" i="2"/>
  <c r="X41" i="2"/>
  <c r="V41" i="2"/>
  <c r="I41" i="2"/>
  <c r="H41" i="2"/>
  <c r="X40" i="2"/>
  <c r="V40" i="2"/>
  <c r="I40" i="2"/>
  <c r="H40" i="2"/>
  <c r="AV40" i="2" s="1"/>
  <c r="X39" i="2"/>
  <c r="V39" i="2"/>
  <c r="I39" i="2"/>
  <c r="H39" i="2"/>
  <c r="X38" i="2"/>
  <c r="V38" i="2"/>
  <c r="I38" i="2"/>
  <c r="H38" i="2"/>
  <c r="X37" i="2"/>
  <c r="V37" i="2"/>
  <c r="I37" i="2"/>
  <c r="H37" i="2"/>
  <c r="AP37" i="2" s="1"/>
  <c r="X36" i="2"/>
  <c r="V36" i="2"/>
  <c r="I36" i="2"/>
  <c r="H36" i="2"/>
  <c r="T36" i="2" s="1"/>
  <c r="AC35" i="2"/>
  <c r="X35" i="2"/>
  <c r="I35" i="2"/>
  <c r="H35" i="2"/>
  <c r="AA35" i="2" s="1"/>
  <c r="X34" i="2"/>
  <c r="V34" i="2"/>
  <c r="I34" i="2"/>
  <c r="H34" i="2"/>
  <c r="AP34" i="2" s="1"/>
  <c r="X33" i="2"/>
  <c r="I33" i="2"/>
  <c r="H33" i="2"/>
  <c r="AC33" i="2" s="1"/>
  <c r="V32" i="2"/>
  <c r="I32" i="2"/>
  <c r="H32" i="2"/>
  <c r="Z32" i="2" s="1"/>
  <c r="AP31" i="2"/>
  <c r="X31" i="2"/>
  <c r="V31" i="2"/>
  <c r="I31" i="2"/>
  <c r="H31" i="2"/>
  <c r="AA31" i="2" s="1"/>
  <c r="X30" i="2"/>
  <c r="V30" i="2"/>
  <c r="I30" i="2"/>
  <c r="H30" i="2"/>
  <c r="AV30" i="2" s="1"/>
  <c r="X29" i="2"/>
  <c r="V29" i="2"/>
  <c r="I29" i="2"/>
  <c r="H29" i="2"/>
  <c r="AQ29" i="2" s="1"/>
  <c r="X28" i="2"/>
  <c r="V28" i="2"/>
  <c r="I28" i="2"/>
  <c r="H28" i="2"/>
  <c r="AC28" i="2" s="1"/>
  <c r="X27" i="2"/>
  <c r="V27" i="2"/>
  <c r="I27" i="2"/>
  <c r="H27" i="2"/>
  <c r="AV27" i="2" s="1"/>
  <c r="Z26" i="2"/>
  <c r="X26" i="2"/>
  <c r="V26" i="2"/>
  <c r="I26" i="2"/>
  <c r="H26" i="2"/>
  <c r="AV26" i="2" s="1"/>
  <c r="X25" i="2"/>
  <c r="V25" i="2"/>
  <c r="I25" i="2"/>
  <c r="H25" i="2"/>
  <c r="AQ25" i="2" s="1"/>
  <c r="X24" i="2"/>
  <c r="V24" i="2"/>
  <c r="I24" i="2"/>
  <c r="H24" i="2"/>
  <c r="X23" i="2"/>
  <c r="V23" i="2"/>
  <c r="I23" i="2"/>
  <c r="H23" i="2"/>
  <c r="AV23" i="2" s="1"/>
  <c r="X22" i="2"/>
  <c r="V22" i="2"/>
  <c r="I22" i="2"/>
  <c r="H22" i="2"/>
  <c r="X21" i="2"/>
  <c r="V21" i="2"/>
  <c r="I21" i="2"/>
  <c r="H21" i="2"/>
  <c r="AQ21" i="2" s="1"/>
  <c r="X20" i="2"/>
  <c r="V20" i="2"/>
  <c r="I20" i="2"/>
  <c r="H20" i="2"/>
  <c r="AA20" i="2" s="1"/>
  <c r="X19" i="2"/>
  <c r="V19" i="2"/>
  <c r="I19" i="2"/>
  <c r="H19" i="2"/>
  <c r="AQ19" i="2" s="1"/>
  <c r="X18" i="2"/>
  <c r="V18" i="2"/>
  <c r="I18" i="2"/>
  <c r="H18" i="2"/>
  <c r="AQ18" i="2" s="1"/>
  <c r="X17" i="2"/>
  <c r="V17" i="2"/>
  <c r="I17" i="2"/>
  <c r="H17" i="2"/>
  <c r="AV17" i="2" s="1"/>
  <c r="X16" i="2"/>
  <c r="V16" i="2"/>
  <c r="I16" i="2"/>
  <c r="H16" i="2"/>
  <c r="AP16" i="2" s="1"/>
  <c r="X15" i="2"/>
  <c r="V15" i="2"/>
  <c r="I15" i="2"/>
  <c r="H15" i="2"/>
  <c r="AQ15" i="2" s="1"/>
  <c r="Z14" i="2"/>
  <c r="X14" i="2"/>
  <c r="V14" i="2"/>
  <c r="I14" i="2"/>
  <c r="H14" i="2"/>
  <c r="AV14" i="2" s="1"/>
  <c r="X13" i="2"/>
  <c r="V13" i="2"/>
  <c r="I13" i="2"/>
  <c r="H13" i="2"/>
  <c r="X12" i="2"/>
  <c r="V12" i="2"/>
  <c r="I12" i="2"/>
  <c r="H12" i="2"/>
  <c r="T12" i="2" s="1"/>
  <c r="X11" i="2"/>
  <c r="V11" i="2"/>
  <c r="I11" i="2"/>
  <c r="H11" i="2"/>
  <c r="AA11" i="2" s="1"/>
  <c r="Z10" i="2"/>
  <c r="X10" i="2"/>
  <c r="V10" i="2"/>
  <c r="I10" i="2"/>
  <c r="H10" i="2"/>
  <c r="AA10" i="2" s="1"/>
  <c r="X9" i="2"/>
  <c r="V9" i="2"/>
  <c r="I9" i="2"/>
  <c r="H9" i="2"/>
  <c r="T9" i="2" s="1"/>
  <c r="X8" i="2"/>
  <c r="V8" i="2"/>
  <c r="I8" i="2"/>
  <c r="H8" i="2"/>
  <c r="AA8" i="2" s="1"/>
  <c r="AC7" i="2"/>
  <c r="X7" i="2"/>
  <c r="V7" i="2"/>
  <c r="I7" i="2"/>
  <c r="H7" i="2"/>
  <c r="AA7" i="2" s="1"/>
  <c r="X6" i="2"/>
  <c r="V6" i="2"/>
  <c r="I6" i="2"/>
  <c r="H6" i="2"/>
  <c r="AQ6" i="2" s="1"/>
  <c r="X5" i="2"/>
  <c r="V5" i="2"/>
  <c r="I5" i="2"/>
  <c r="H5" i="2"/>
  <c r="AV5" i="2" s="1"/>
  <c r="X4" i="2"/>
  <c r="V4" i="2"/>
  <c r="I4" i="2"/>
  <c r="H4" i="2"/>
  <c r="AQ4" i="2" s="1"/>
  <c r="AQ3" i="2"/>
  <c r="X3" i="2"/>
  <c r="V3" i="2"/>
  <c r="I3" i="2"/>
  <c r="H3" i="2"/>
  <c r="AV3" i="2" s="1"/>
  <c r="AV2" i="2"/>
  <c r="X2" i="2"/>
  <c r="V2" i="2"/>
  <c r="I2" i="2"/>
  <c r="H2" i="2"/>
  <c r="T2" i="2" s="1"/>
  <c r="C8" i="1"/>
  <c r="B8" i="1"/>
  <c r="C7" i="1"/>
  <c r="B7" i="1"/>
  <c r="AS591" i="2" s="1"/>
  <c r="C5" i="1"/>
  <c r="B5" i="1"/>
  <c r="AV223" i="2" l="1"/>
  <c r="AP537" i="2"/>
  <c r="T585" i="2"/>
  <c r="AC721" i="2"/>
  <c r="AC879" i="2"/>
  <c r="AV895" i="2"/>
  <c r="AQ979" i="2"/>
  <c r="AP1085" i="2"/>
  <c r="AV1255" i="2"/>
  <c r="AA14" i="2"/>
  <c r="AP438" i="2"/>
  <c r="Z469" i="2"/>
  <c r="Z513" i="2"/>
  <c r="AV537" i="2"/>
  <c r="Z658" i="2"/>
  <c r="T812" i="2"/>
  <c r="Z833" i="2"/>
  <c r="Z903" i="2"/>
  <c r="T1158" i="2"/>
  <c r="T1237" i="2"/>
  <c r="Z1261" i="2"/>
  <c r="Z1272" i="2"/>
  <c r="AA1279" i="2"/>
  <c r="AC1301" i="2"/>
  <c r="AC14" i="2"/>
  <c r="Z74" i="2"/>
  <c r="AQ141" i="2"/>
  <c r="Z181" i="2"/>
  <c r="AP206" i="2"/>
  <c r="Z295" i="2"/>
  <c r="T315" i="2"/>
  <c r="AV369" i="2"/>
  <c r="AW369" i="2" s="1"/>
  <c r="AQ438" i="2"/>
  <c r="AC469" i="2"/>
  <c r="AC513" i="2"/>
  <c r="T530" i="2"/>
  <c r="AA593" i="2"/>
  <c r="Z598" i="2"/>
  <c r="AQ626" i="2"/>
  <c r="AA658" i="2"/>
  <c r="AC695" i="2"/>
  <c r="AC711" i="2"/>
  <c r="Z801" i="2"/>
  <c r="AC833" i="2"/>
  <c r="AP893" i="2"/>
  <c r="AP1272" i="2"/>
  <c r="AP1301" i="2"/>
  <c r="AQ424" i="2"/>
  <c r="AP469" i="2"/>
  <c r="AC502" i="2"/>
  <c r="AP513" i="2"/>
  <c r="AV524" i="2"/>
  <c r="AV585" i="2"/>
  <c r="AP593" i="2"/>
  <c r="AA598" i="2"/>
  <c r="AA631" i="2"/>
  <c r="Z636" i="2"/>
  <c r="AC658" i="2"/>
  <c r="AQ695" i="2"/>
  <c r="AQ769" i="2"/>
  <c r="T953" i="2"/>
  <c r="AC961" i="2"/>
  <c r="T1009" i="2"/>
  <c r="T1045" i="2"/>
  <c r="AV1083" i="2"/>
  <c r="AA1178" i="2"/>
  <c r="AQ1195" i="2"/>
  <c r="AP2" i="2"/>
  <c r="AU2" i="2" s="1"/>
  <c r="Z177" i="2"/>
  <c r="AC290" i="2"/>
  <c r="AC367" i="2"/>
  <c r="AQ413" i="2"/>
  <c r="AC569" i="2"/>
  <c r="Z591" i="2"/>
  <c r="AV593" i="2"/>
  <c r="AA636" i="2"/>
  <c r="AQ644" i="2"/>
  <c r="AV695" i="2"/>
  <c r="AC925" i="2"/>
  <c r="T951" i="2"/>
  <c r="T1017" i="2"/>
  <c r="T1028" i="2"/>
  <c r="T1057" i="2"/>
  <c r="AQ1114" i="2"/>
  <c r="AP256" i="2"/>
  <c r="AQ264" i="2"/>
  <c r="AC315" i="2"/>
  <c r="AP359" i="2"/>
  <c r="AP367" i="2"/>
  <c r="Z416" i="2"/>
  <c r="AQ486" i="2"/>
  <c r="AQ558" i="2"/>
  <c r="AP591" i="2"/>
  <c r="AP624" i="2"/>
  <c r="AP629" i="2"/>
  <c r="AV684" i="2"/>
  <c r="AP750" i="2"/>
  <c r="T899" i="2"/>
  <c r="AQ995" i="2"/>
  <c r="AC1235" i="2"/>
  <c r="Z1310" i="2"/>
  <c r="Z199" i="2"/>
  <c r="AP315" i="2"/>
  <c r="AC416" i="2"/>
  <c r="AQ629" i="2"/>
  <c r="AQ636" i="2"/>
  <c r="T662" i="2"/>
  <c r="Z670" i="2"/>
  <c r="AV750" i="2"/>
  <c r="AV812" i="2"/>
  <c r="T861" i="2"/>
  <c r="AA1009" i="2"/>
  <c r="AA1062" i="2"/>
  <c r="AP1164" i="2"/>
  <c r="T1220" i="2"/>
  <c r="T1234" i="2"/>
  <c r="AQ1235" i="2"/>
  <c r="AQ1254" i="2"/>
  <c r="AP1278" i="2"/>
  <c r="Z1313" i="2"/>
  <c r="AV315" i="2"/>
  <c r="Z394" i="2"/>
  <c r="AQ416" i="2"/>
  <c r="AC431" i="2"/>
  <c r="T537" i="2"/>
  <c r="AV636" i="2"/>
  <c r="AC670" i="2"/>
  <c r="T702" i="2"/>
  <c r="T729" i="2"/>
  <c r="T734" i="2"/>
  <c r="AV756" i="2"/>
  <c r="AQ826" i="2"/>
  <c r="AA951" i="2"/>
  <c r="T979" i="2"/>
  <c r="AV1009" i="2"/>
  <c r="AQ1057" i="2"/>
  <c r="AC1062" i="2"/>
  <c r="AC1220" i="2"/>
  <c r="Z1297" i="2"/>
  <c r="Z1318" i="2"/>
  <c r="AQ50" i="2"/>
  <c r="AQ164" i="2"/>
  <c r="AA170" i="2"/>
  <c r="AQ199" i="2"/>
  <c r="AQ572" i="2"/>
  <c r="AC951" i="2"/>
  <c r="T1005" i="2"/>
  <c r="AP1122" i="2"/>
  <c r="AS1252" i="2"/>
  <c r="AA1285" i="2"/>
  <c r="AQ73" i="2"/>
  <c r="Z223" i="2"/>
  <c r="AC345" i="2"/>
  <c r="AP846" i="2"/>
  <c r="AC861" i="2"/>
  <c r="AA1234" i="2"/>
  <c r="AQ1285" i="2"/>
  <c r="AP1313" i="2"/>
  <c r="AV88" i="2"/>
  <c r="AC223" i="2"/>
  <c r="Z286" i="2"/>
  <c r="AV311" i="2"/>
  <c r="Z348" i="2"/>
  <c r="T513" i="2"/>
  <c r="AA537" i="2"/>
  <c r="AC551" i="2"/>
  <c r="T677" i="2"/>
  <c r="T944" i="2"/>
  <c r="AV954" i="2"/>
  <c r="AA1105" i="2"/>
  <c r="AP1134" i="2"/>
  <c r="AP1234" i="2"/>
  <c r="AV11" i="2"/>
  <c r="AQ16" i="2"/>
  <c r="AV115" i="2"/>
  <c r="AP223" i="2"/>
  <c r="AA249" i="2"/>
  <c r="T295" i="2"/>
  <c r="AQ371" i="2"/>
  <c r="AV412" i="2"/>
  <c r="AW412" i="2" s="1"/>
  <c r="AP911" i="2"/>
  <c r="Z1005" i="2"/>
  <c r="AA1071" i="2"/>
  <c r="Z1306" i="2"/>
  <c r="AV621" i="2"/>
  <c r="AA621" i="2"/>
  <c r="Z621" i="2"/>
  <c r="T621" i="2"/>
  <c r="T1153" i="2"/>
  <c r="AP1153" i="2"/>
  <c r="AV1225" i="2"/>
  <c r="AC1225" i="2"/>
  <c r="AA1267" i="2"/>
  <c r="AV1267" i="2"/>
  <c r="AQ1267" i="2"/>
  <c r="AP1267" i="2"/>
  <c r="T253" i="2"/>
  <c r="AQ253" i="2"/>
  <c r="AP253" i="2"/>
  <c r="AA253" i="2"/>
  <c r="AA564" i="2"/>
  <c r="AV564" i="2"/>
  <c r="AQ564" i="2"/>
  <c r="AP564" i="2"/>
  <c r="AC564" i="2"/>
  <c r="Z564" i="2"/>
  <c r="AQ689" i="2"/>
  <c r="AP689" i="2"/>
  <c r="AC689" i="2"/>
  <c r="AP877" i="2"/>
  <c r="AV877" i="2"/>
  <c r="AA877" i="2"/>
  <c r="T1190" i="2"/>
  <c r="AV1190" i="2"/>
  <c r="AW1190" i="2" s="1"/>
  <c r="T358" i="2"/>
  <c r="AQ358" i="2"/>
  <c r="AP358" i="2"/>
  <c r="AC358" i="2"/>
  <c r="AA358" i="2"/>
  <c r="Z358" i="2"/>
  <c r="AQ534" i="2"/>
  <c r="AV534" i="2"/>
  <c r="AP534" i="2"/>
  <c r="AA534" i="2"/>
  <c r="T37" i="2"/>
  <c r="AQ185" i="2"/>
  <c r="AP185" i="2"/>
  <c r="AC185" i="2"/>
  <c r="AA185" i="2"/>
  <c r="AV207" i="2"/>
  <c r="AC207" i="2"/>
  <c r="AV304" i="2"/>
  <c r="AQ304" i="2"/>
  <c r="AQ408" i="2"/>
  <c r="AA408" i="2"/>
  <c r="AV463" i="2"/>
  <c r="AP463" i="2"/>
  <c r="AA463" i="2"/>
  <c r="Z463" i="2"/>
  <c r="T534" i="2"/>
  <c r="Z589" i="2"/>
  <c r="AC589" i="2"/>
  <c r="AA589" i="2"/>
  <c r="AV656" i="2"/>
  <c r="AQ656" i="2"/>
  <c r="AV675" i="2"/>
  <c r="AA675" i="2"/>
  <c r="AV705" i="2"/>
  <c r="AP705" i="2"/>
  <c r="AP1019" i="2"/>
  <c r="Z1019" i="2"/>
  <c r="AC1090" i="2"/>
  <c r="AQ1090" i="2"/>
  <c r="AP1090" i="2"/>
  <c r="AA1090" i="2"/>
  <c r="Z1090" i="2"/>
  <c r="AP480" i="2"/>
  <c r="AA480" i="2"/>
  <c r="AA581" i="2"/>
  <c r="T581" i="2"/>
  <c r="Z642" i="2"/>
  <c r="AQ642" i="2"/>
  <c r="AP642" i="2"/>
  <c r="AC642" i="2"/>
  <c r="AA642" i="2"/>
  <c r="AC735" i="2"/>
  <c r="AV735" i="2"/>
  <c r="AQ735" i="2"/>
  <c r="AP735" i="2"/>
  <c r="T735" i="2"/>
  <c r="AQ1112" i="2"/>
  <c r="AA1112" i="2"/>
  <c r="AV1145" i="2"/>
  <c r="AP1145" i="2"/>
  <c r="AP1241" i="2"/>
  <c r="AC1241" i="2"/>
  <c r="AA1244" i="2"/>
  <c r="AV1244" i="2"/>
  <c r="AQ1244" i="2"/>
  <c r="AQ1273" i="2"/>
  <c r="AP1273" i="2"/>
  <c r="AC1273" i="2"/>
  <c r="AA1273" i="2"/>
  <c r="Z35" i="2"/>
  <c r="AA57" i="2"/>
  <c r="Z57" i="2"/>
  <c r="AC236" i="2"/>
  <c r="AV236" i="2"/>
  <c r="AV285" i="2"/>
  <c r="AW285" i="2" s="1"/>
  <c r="AQ285" i="2"/>
  <c r="AP285" i="2"/>
  <c r="AC285" i="2"/>
  <c r="Z285" i="2"/>
  <c r="T285" i="2"/>
  <c r="AV320" i="2"/>
  <c r="AQ320" i="2"/>
  <c r="AP320" i="2"/>
  <c r="AA320" i="2"/>
  <c r="AQ611" i="2"/>
  <c r="AP611" i="2"/>
  <c r="T675" i="2"/>
  <c r="AC1153" i="2"/>
  <c r="Z1256" i="2"/>
  <c r="AV722" i="2"/>
  <c r="AQ722" i="2"/>
  <c r="AP722" i="2"/>
  <c r="AP35" i="2"/>
  <c r="AP51" i="2"/>
  <c r="AA207" i="2"/>
  <c r="AC253" i="2"/>
  <c r="AV302" i="2"/>
  <c r="AP302" i="2"/>
  <c r="AQ461" i="2"/>
  <c r="AP461" i="2"/>
  <c r="AC461" i="2"/>
  <c r="T461" i="2"/>
  <c r="AU461" i="2" s="1"/>
  <c r="T611" i="2"/>
  <c r="AV673" i="2"/>
  <c r="AQ673" i="2"/>
  <c r="T701" i="2"/>
  <c r="AP825" i="2"/>
  <c r="AC825" i="2"/>
  <c r="AP843" i="2"/>
  <c r="AC849" i="2"/>
  <c r="AQ849" i="2"/>
  <c r="AA849" i="2"/>
  <c r="Z849" i="2"/>
  <c r="T849" i="2"/>
  <c r="AS849" i="2" s="1"/>
  <c r="T934" i="2"/>
  <c r="AQ934" i="2"/>
  <c r="AC934" i="2"/>
  <c r="AA934" i="2"/>
  <c r="AV1090" i="2"/>
  <c r="AV46" i="2"/>
  <c r="AQ46" i="2"/>
  <c r="AQ335" i="2"/>
  <c r="AA335" i="2"/>
  <c r="AC291" i="2"/>
  <c r="AA291" i="2"/>
  <c r="T333" i="2"/>
  <c r="AV333" i="2"/>
  <c r="AQ333" i="2"/>
  <c r="AV549" i="2"/>
  <c r="AW549" i="2"/>
  <c r="AP549" i="2"/>
  <c r="AC549" i="2"/>
  <c r="AA549" i="2"/>
  <c r="Z549" i="2"/>
  <c r="AV642" i="2"/>
  <c r="AV665" i="2"/>
  <c r="AQ665" i="2"/>
  <c r="AP665" i="2"/>
  <c r="AC665" i="2"/>
  <c r="T776" i="2"/>
  <c r="AP859" i="2"/>
  <c r="AQ859" i="2"/>
  <c r="AQ873" i="2"/>
  <c r="AP873" i="2"/>
  <c r="AC873" i="2"/>
  <c r="AA873" i="2"/>
  <c r="Z873" i="2"/>
  <c r="AP884" i="2"/>
  <c r="AV884" i="2"/>
  <c r="AQ884" i="2"/>
  <c r="AA1042" i="2"/>
  <c r="AV1143" i="2"/>
  <c r="AW1143" i="2" s="1"/>
  <c r="AQ1143" i="2"/>
  <c r="AC1145" i="2"/>
  <c r="AC1212" i="2"/>
  <c r="AU1248" i="2"/>
  <c r="AT1248" i="2"/>
  <c r="AR1248" i="2"/>
  <c r="AA1248" i="2"/>
  <c r="AV258" i="2"/>
  <c r="Z258" i="2"/>
  <c r="T258" i="2"/>
  <c r="AS258" i="2" s="1"/>
  <c r="AP532" i="2"/>
  <c r="AQ532" i="2"/>
  <c r="AC532" i="2"/>
  <c r="AA532" i="2"/>
  <c r="T86" i="2"/>
  <c r="AC86" i="2"/>
  <c r="T511" i="2"/>
  <c r="AV511" i="2"/>
  <c r="AQ511" i="2"/>
  <c r="AC511" i="2"/>
  <c r="AA511" i="2"/>
  <c r="AV830" i="2"/>
  <c r="AP830" i="2"/>
  <c r="AC830" i="2"/>
  <c r="AA830" i="2"/>
  <c r="Z830" i="2"/>
  <c r="AQ35" i="2"/>
  <c r="AP46" i="2"/>
  <c r="AA168" i="2"/>
  <c r="Z7" i="2"/>
  <c r="AQ7" i="2"/>
  <c r="AP7" i="2"/>
  <c r="AQ128" i="2"/>
  <c r="AP128" i="2"/>
  <c r="AA128" i="2"/>
  <c r="AP150" i="2"/>
  <c r="AQ150" i="2"/>
  <c r="AV203" i="2"/>
  <c r="T203" i="2"/>
  <c r="AV206" i="2"/>
  <c r="AQ206" i="2"/>
  <c r="AC206" i="2"/>
  <c r="AA206" i="2"/>
  <c r="Z206" i="2"/>
  <c r="AV283" i="2"/>
  <c r="AQ283" i="2"/>
  <c r="AP283" i="2"/>
  <c r="T286" i="2"/>
  <c r="AV286" i="2"/>
  <c r="AQ286" i="2"/>
  <c r="AP286" i="2"/>
  <c r="AA286" i="2"/>
  <c r="T403" i="2"/>
  <c r="AQ403" i="2"/>
  <c r="AP403" i="2"/>
  <c r="AC403" i="2"/>
  <c r="AA403" i="2"/>
  <c r="Z403" i="2"/>
  <c r="AV436" i="2"/>
  <c r="AP609" i="2"/>
  <c r="AV609" i="2"/>
  <c r="AQ609" i="2"/>
  <c r="AC609" i="2"/>
  <c r="Z609" i="2"/>
  <c r="T696" i="2"/>
  <c r="AV696" i="2"/>
  <c r="AP696" i="2"/>
  <c r="AU696" i="2" s="1"/>
  <c r="AP767" i="2"/>
  <c r="AQ767" i="2"/>
  <c r="Z1015" i="2"/>
  <c r="AP1015" i="2"/>
  <c r="AC1015" i="2"/>
  <c r="AA1015" i="2"/>
  <c r="T1015" i="2"/>
  <c r="T1037" i="2"/>
  <c r="AA1135" i="2"/>
  <c r="AP1135" i="2"/>
  <c r="AC214" i="2"/>
  <c r="AP214" i="2"/>
  <c r="AA214" i="2"/>
  <c r="AV747" i="2"/>
  <c r="AP747" i="2"/>
  <c r="AC747" i="2"/>
  <c r="AA747" i="2"/>
  <c r="Z747" i="2"/>
  <c r="T806" i="2"/>
  <c r="AC806" i="2"/>
  <c r="AA806" i="2"/>
  <c r="Z19" i="2"/>
  <c r="Z31" i="2"/>
  <c r="AQ31" i="2"/>
  <c r="AC31" i="2"/>
  <c r="AQ70" i="2"/>
  <c r="AV70" i="2"/>
  <c r="AC70" i="2"/>
  <c r="AV193" i="2"/>
  <c r="AQ193" i="2"/>
  <c r="T368" i="2"/>
  <c r="AA368" i="2"/>
  <c r="Z400" i="2"/>
  <c r="AA400" i="2"/>
  <c r="Z511" i="2"/>
  <c r="AV536" i="2"/>
  <c r="AW536" i="2" s="1"/>
  <c r="AC536" i="2"/>
  <c r="AA536" i="2"/>
  <c r="Z536" i="2"/>
  <c r="AV552" i="2"/>
  <c r="AP552" i="2"/>
  <c r="AA552" i="2"/>
  <c r="Z552" i="2"/>
  <c r="AA566" i="2"/>
  <c r="AV566" i="2"/>
  <c r="T566" i="2"/>
  <c r="Z806" i="2"/>
  <c r="AQ830" i="2"/>
  <c r="T859" i="2"/>
  <c r="T873" i="2"/>
  <c r="Z923" i="2"/>
  <c r="AA1166" i="2"/>
  <c r="Z1166" i="2"/>
  <c r="AV37" i="2"/>
  <c r="AV331" i="2"/>
  <c r="AC331" i="2"/>
  <c r="AA331" i="2"/>
  <c r="Z331" i="2"/>
  <c r="T423" i="2"/>
  <c r="AQ423" i="2"/>
  <c r="AP423" i="2"/>
  <c r="AQ465" i="2"/>
  <c r="AP465" i="2"/>
  <c r="AC465" i="2"/>
  <c r="Z528" i="2"/>
  <c r="AV528" i="2"/>
  <c r="AQ528" i="2"/>
  <c r="AC528" i="2"/>
  <c r="T839" i="2"/>
  <c r="AQ839" i="2"/>
  <c r="AP839" i="2"/>
  <c r="AV882" i="2"/>
  <c r="AQ882" i="2"/>
  <c r="Z882" i="2"/>
  <c r="AP1035" i="2"/>
  <c r="AC1035" i="2"/>
  <c r="AA1035" i="2"/>
  <c r="AP1100" i="2"/>
  <c r="AA309" i="2"/>
  <c r="T309" i="2"/>
  <c r="AC521" i="2"/>
  <c r="AA521" i="2"/>
  <c r="T335" i="2"/>
  <c r="AP554" i="2"/>
  <c r="AV554" i="2"/>
  <c r="AW554" i="2" s="1"/>
  <c r="AQ554" i="2"/>
  <c r="AC554" i="2"/>
  <c r="Z554" i="2"/>
  <c r="AV648" i="2"/>
  <c r="AQ648" i="2"/>
  <c r="AP648" i="2"/>
  <c r="AC648" i="2"/>
  <c r="AA648" i="2"/>
  <c r="Z648" i="2"/>
  <c r="AV787" i="2"/>
  <c r="AQ787" i="2"/>
  <c r="AC787" i="2"/>
  <c r="T787" i="2"/>
  <c r="T1174" i="2"/>
  <c r="AS1174" i="2" s="1"/>
  <c r="AQ1174" i="2"/>
  <c r="AA19" i="2"/>
  <c r="AQ75" i="2"/>
  <c r="AV75" i="2"/>
  <c r="T75" i="2"/>
  <c r="AP14" i="2"/>
  <c r="AP231" i="2"/>
  <c r="Z495" i="2"/>
  <c r="AQ495" i="2"/>
  <c r="T536" i="2"/>
  <c r="AQ549" i="2"/>
  <c r="AA665" i="2"/>
  <c r="AQ857" i="2"/>
  <c r="AP857" i="2"/>
  <c r="Z1049" i="2"/>
  <c r="AV1049" i="2"/>
  <c r="AP1049" i="2"/>
  <c r="Z1246" i="2"/>
  <c r="AV1246" i="2"/>
  <c r="AQ1246" i="2"/>
  <c r="AA1246" i="2"/>
  <c r="AQ74" i="2"/>
  <c r="AQ170" i="2"/>
  <c r="AQ412" i="2"/>
  <c r="T976" i="2"/>
  <c r="AQ1140" i="2"/>
  <c r="AQ1158" i="2"/>
  <c r="AQ1264" i="2"/>
  <c r="AV1264" i="2"/>
  <c r="AW1264" i="2" s="1"/>
  <c r="T708" i="2"/>
  <c r="AC813" i="2"/>
  <c r="AP906" i="2"/>
  <c r="AA942" i="2"/>
  <c r="Z978" i="2"/>
  <c r="AV80" i="2"/>
  <c r="T393" i="2"/>
  <c r="AS393" i="2" s="1"/>
  <c r="T551" i="2"/>
  <c r="T617" i="2"/>
  <c r="T695" i="2"/>
  <c r="T766" i="2"/>
  <c r="AP813" i="2"/>
  <c r="AQ906" i="2"/>
  <c r="AC942" i="2"/>
  <c r="AA976" i="2"/>
  <c r="T1043" i="2"/>
  <c r="AP1217" i="2"/>
  <c r="T1293" i="2"/>
  <c r="T181" i="2"/>
  <c r="AA224" i="2"/>
  <c r="AA256" i="2"/>
  <c r="AA319" i="2"/>
  <c r="T376" i="2"/>
  <c r="T454" i="2"/>
  <c r="AQ513" i="2"/>
  <c r="Z573" i="2"/>
  <c r="T619" i="2"/>
  <c r="T640" i="2"/>
  <c r="Z750" i="2"/>
  <c r="AQ813" i="2"/>
  <c r="AA834" i="2"/>
  <c r="Z871" i="2"/>
  <c r="AV875" i="2"/>
  <c r="Z897" i="2"/>
  <c r="T945" i="2"/>
  <c r="AC976" i="2"/>
  <c r="AQ983" i="2"/>
  <c r="AA1010" i="2"/>
  <c r="T1068" i="2"/>
  <c r="AA1107" i="2"/>
  <c r="AA1134" i="2"/>
  <c r="AA1164" i="2"/>
  <c r="AC1169" i="2"/>
  <c r="AA1188" i="2"/>
  <c r="AQ1217" i="2"/>
  <c r="AP1255" i="2"/>
  <c r="Z1301" i="2"/>
  <c r="Z1321" i="2"/>
  <c r="Z326" i="2"/>
  <c r="AQ339" i="2"/>
  <c r="AC371" i="2"/>
  <c r="AQ602" i="2"/>
  <c r="AA626" i="2"/>
  <c r="Z711" i="2"/>
  <c r="Z721" i="2"/>
  <c r="AA782" i="2"/>
  <c r="AV974" i="2"/>
  <c r="AP976" i="2"/>
  <c r="AC995" i="2"/>
  <c r="AP1126" i="2"/>
  <c r="AA1159" i="2"/>
  <c r="AP1321" i="2"/>
  <c r="AA227" i="2"/>
  <c r="AA264" i="2"/>
  <c r="AP319" i="2"/>
  <c r="AV326" i="2"/>
  <c r="AA345" i="2"/>
  <c r="AP371" i="2"/>
  <c r="AP413" i="2"/>
  <c r="AA432" i="2"/>
  <c r="AP486" i="2"/>
  <c r="AQ488" i="2"/>
  <c r="Z524" i="2"/>
  <c r="Z551" i="2"/>
  <c r="AA617" i="2"/>
  <c r="AC626" i="2"/>
  <c r="Z695" i="2"/>
  <c r="AA721" i="2"/>
  <c r="AC750" i="2"/>
  <c r="Z766" i="2"/>
  <c r="AV782" i="2"/>
  <c r="AC812" i="2"/>
  <c r="Z826" i="2"/>
  <c r="AP897" i="2"/>
  <c r="AC922" i="2"/>
  <c r="AA961" i="2"/>
  <c r="Z1043" i="2"/>
  <c r="AC1063" i="2"/>
  <c r="AV1114" i="2"/>
  <c r="AC1159" i="2"/>
  <c r="AQ1204" i="2"/>
  <c r="Z1226" i="2"/>
  <c r="AA1235" i="2"/>
  <c r="AC1270" i="2"/>
  <c r="AA1272" i="2"/>
  <c r="Z1280" i="2"/>
  <c r="AC1282" i="2"/>
  <c r="AA1293" i="2"/>
  <c r="T1312" i="2"/>
  <c r="AQ1321" i="2"/>
  <c r="AR1321" i="2" s="1"/>
  <c r="AC181" i="2"/>
  <c r="AV199" i="2"/>
  <c r="AW199" i="2" s="1"/>
  <c r="AA223" i="2"/>
  <c r="AV227" i="2"/>
  <c r="AP264" i="2"/>
  <c r="AA315" i="2"/>
  <c r="AV319" i="2"/>
  <c r="AP345" i="2"/>
  <c r="AV371" i="2"/>
  <c r="T394" i="2"/>
  <c r="T410" i="2"/>
  <c r="Z412" i="2"/>
  <c r="AA484" i="2"/>
  <c r="Z502" i="2"/>
  <c r="Z537" i="2"/>
  <c r="AP551" i="2"/>
  <c r="T598" i="2"/>
  <c r="AQ615" i="2"/>
  <c r="AP617" i="2"/>
  <c r="AV624" i="2"/>
  <c r="AP702" i="2"/>
  <c r="AV741" i="2"/>
  <c r="AQ750" i="2"/>
  <c r="Z780" i="2"/>
  <c r="AQ812" i="2"/>
  <c r="Z893" i="2"/>
  <c r="T933" i="2"/>
  <c r="T1021" i="2"/>
  <c r="AC1036" i="2"/>
  <c r="AC1043" i="2"/>
  <c r="AA1045" i="2"/>
  <c r="AC1068" i="2"/>
  <c r="T1071" i="2"/>
  <c r="AW1124" i="2"/>
  <c r="AA1181" i="2"/>
  <c r="AQ1202" i="2"/>
  <c r="AQ1211" i="2"/>
  <c r="AV1224" i="2"/>
  <c r="AC1226" i="2"/>
  <c r="AP1235" i="2"/>
  <c r="AQ1237" i="2"/>
  <c r="AC1247" i="2"/>
  <c r="AQ1270" i="2"/>
  <c r="AQ1272" i="2"/>
  <c r="AV1280" i="2"/>
  <c r="AP1007" i="2"/>
  <c r="AV1026" i="2"/>
  <c r="AA1122" i="2"/>
  <c r="AP1150" i="2"/>
  <c r="AC1195" i="2"/>
  <c r="AA1200" i="2"/>
  <c r="AP1222" i="2"/>
  <c r="AQ1226" i="2"/>
  <c r="AV1235" i="2"/>
  <c r="AW1235" i="2" s="1"/>
  <c r="Z1254" i="2"/>
  <c r="AA1264" i="2"/>
  <c r="Z1266" i="2"/>
  <c r="AP1285" i="2"/>
  <c r="AP528" i="2"/>
  <c r="AQ159" i="2"/>
  <c r="AP159" i="2"/>
  <c r="AA352" i="2"/>
  <c r="AC352" i="2"/>
  <c r="Z352" i="2"/>
  <c r="AV510" i="2"/>
  <c r="AW510" i="2" s="1"/>
  <c r="AP510" i="2"/>
  <c r="AA510" i="2"/>
  <c r="T993" i="2"/>
  <c r="AS993" i="2" s="1"/>
  <c r="AV993" i="2"/>
  <c r="AV1324" i="2"/>
  <c r="Z1324" i="2"/>
  <c r="AV165" i="2"/>
  <c r="AP165" i="2"/>
  <c r="AA165" i="2"/>
  <c r="Z165" i="2"/>
  <c r="AC372" i="2"/>
  <c r="AA372" i="2"/>
  <c r="Z372" i="2"/>
  <c r="AP490" i="2"/>
  <c r="AA490" i="2"/>
  <c r="T490" i="2"/>
  <c r="T902" i="2"/>
  <c r="AP902" i="2"/>
  <c r="AC902" i="2"/>
  <c r="Z902" i="2"/>
  <c r="AQ608" i="2"/>
  <c r="AP608" i="2"/>
  <c r="Z654" i="2"/>
  <c r="T654" i="2"/>
  <c r="AQ654" i="2"/>
  <c r="AP654" i="2"/>
  <c r="AC654" i="2"/>
  <c r="AT654" i="2" s="1"/>
  <c r="AA654" i="2"/>
  <c r="T68" i="2"/>
  <c r="AW68" i="2" s="1"/>
  <c r="T356" i="2"/>
  <c r="AU356" i="2" s="1"/>
  <c r="T406" i="2"/>
  <c r="AW58" i="2"/>
  <c r="AC73" i="2"/>
  <c r="AA73" i="2"/>
  <c r="Z92" i="2"/>
  <c r="AV92" i="2"/>
  <c r="AQ92" i="2"/>
  <c r="AP92" i="2"/>
  <c r="AU92" i="2" s="1"/>
  <c r="AA97" i="2"/>
  <c r="AV97" i="2"/>
  <c r="AA106" i="2"/>
  <c r="AV106" i="2"/>
  <c r="Z109" i="2"/>
  <c r="AV109" i="2"/>
  <c r="AV196" i="2"/>
  <c r="T196" i="2"/>
  <c r="AS196" i="2" s="1"/>
  <c r="AQ268" i="2"/>
  <c r="AC268" i="2"/>
  <c r="Z268" i="2"/>
  <c r="AW286" i="2"/>
  <c r="T427" i="2"/>
  <c r="AV427" i="2"/>
  <c r="Z567" i="2"/>
  <c r="AP567" i="2"/>
  <c r="AC567" i="2"/>
  <c r="AA567" i="2"/>
  <c r="T567" i="2"/>
  <c r="AR567" i="2" s="1"/>
  <c r="AV579" i="2"/>
  <c r="AW579" i="2" s="1"/>
  <c r="AQ579" i="2"/>
  <c r="AC579" i="2"/>
  <c r="T579" i="2"/>
  <c r="AV592" i="2"/>
  <c r="AC592" i="2"/>
  <c r="AA592" i="2"/>
  <c r="AV678" i="2"/>
  <c r="AP678" i="2"/>
  <c r="AC678" i="2"/>
  <c r="AA678" i="2"/>
  <c r="Z678" i="2"/>
  <c r="AS678" i="2"/>
  <c r="AQ678" i="2"/>
  <c r="T678" i="2"/>
  <c r="AQ694" i="2"/>
  <c r="AC694" i="2"/>
  <c r="AA694" i="2"/>
  <c r="Z694" i="2"/>
  <c r="Z786" i="2"/>
  <c r="AV786" i="2"/>
  <c r="AQ786" i="2"/>
  <c r="AP786" i="2"/>
  <c r="AC786" i="2"/>
  <c r="AA786" i="2"/>
  <c r="AA840" i="2"/>
  <c r="Z840" i="2"/>
  <c r="AV840" i="2"/>
  <c r="AQ840" i="2"/>
  <c r="AP840" i="2"/>
  <c r="AC840" i="2"/>
  <c r="Z845" i="2"/>
  <c r="AV845" i="2"/>
  <c r="T1006" i="2"/>
  <c r="AQ1006" i="2"/>
  <c r="AP1006" i="2"/>
  <c r="AA1006" i="2"/>
  <c r="Z1020" i="2"/>
  <c r="T1020" i="2"/>
  <c r="AA1020" i="2"/>
  <c r="AV1020" i="2"/>
  <c r="AC1020" i="2"/>
  <c r="AP336" i="2"/>
  <c r="AC336" i="2"/>
  <c r="AA336" i="2"/>
  <c r="T336" i="2"/>
  <c r="AA540" i="2"/>
  <c r="AP540" i="2"/>
  <c r="AC540" i="2"/>
  <c r="Z540" i="2"/>
  <c r="T540" i="2"/>
  <c r="AC137" i="2"/>
  <c r="AQ137" i="2"/>
  <c r="AP137" i="2"/>
  <c r="AA137" i="2"/>
  <c r="Z137" i="2"/>
  <c r="AQ32" i="2"/>
  <c r="AV470" i="2"/>
  <c r="AP470" i="2"/>
  <c r="AC470" i="2"/>
  <c r="T527" i="2"/>
  <c r="AW527" i="2" s="1"/>
  <c r="Z599" i="2"/>
  <c r="AP599" i="2"/>
  <c r="AC599" i="2"/>
  <c r="AA599" i="2"/>
  <c r="AQ599" i="2"/>
  <c r="AA630" i="2"/>
  <c r="AP630" i="2"/>
  <c r="AC630" i="2"/>
  <c r="Z630" i="2"/>
  <c r="AV630" i="2"/>
  <c r="AQ630" i="2"/>
  <c r="AR630" i="2" s="1"/>
  <c r="AW37" i="2"/>
  <c r="AV49" i="2"/>
  <c r="AC20" i="2"/>
  <c r="AQ27" i="2"/>
  <c r="AA62" i="2"/>
  <c r="AQ62" i="2"/>
  <c r="T64" i="2"/>
  <c r="AP194" i="2"/>
  <c r="AC194" i="2"/>
  <c r="AA194" i="2"/>
  <c r="Z194" i="2"/>
  <c r="T372" i="2"/>
  <c r="T385" i="2"/>
  <c r="AW385" i="2" s="1"/>
  <c r="AV388" i="2"/>
  <c r="AW388" i="2" s="1"/>
  <c r="AS388" i="2"/>
  <c r="AC399" i="2"/>
  <c r="AV399" i="2"/>
  <c r="AQ399" i="2"/>
  <c r="AP399" i="2"/>
  <c r="Z399" i="2"/>
  <c r="T470" i="2"/>
  <c r="AV525" i="2"/>
  <c r="T525" i="2"/>
  <c r="Z553" i="2"/>
  <c r="AV553" i="2"/>
  <c r="AQ553" i="2"/>
  <c r="AC553" i="2"/>
  <c r="AV563" i="2"/>
  <c r="AP563" i="2"/>
  <c r="T563" i="2"/>
  <c r="AS563" i="2" s="1"/>
  <c r="T630" i="2"/>
  <c r="AV698" i="2"/>
  <c r="AQ698" i="2"/>
  <c r="Z698" i="2"/>
  <c r="T749" i="2"/>
  <c r="AC749" i="2"/>
  <c r="T788" i="2"/>
  <c r="AC788" i="2"/>
  <c r="AA788" i="2"/>
  <c r="Z788" i="2"/>
  <c r="AV838" i="2"/>
  <c r="AQ838" i="2"/>
  <c r="AA838" i="2"/>
  <c r="Z838" i="2"/>
  <c r="AA876" i="2"/>
  <c r="T876" i="2"/>
  <c r="AS876" i="2" s="1"/>
  <c r="AP876" i="2"/>
  <c r="AA883" i="2"/>
  <c r="AC883" i="2"/>
  <c r="AV883" i="2"/>
  <c r="AQ883" i="2"/>
  <c r="AQ211" i="2"/>
  <c r="AA211" i="2"/>
  <c r="Z211" i="2"/>
  <c r="AP703" i="2"/>
  <c r="AQ703" i="2"/>
  <c r="AC703" i="2"/>
  <c r="AA703" i="2"/>
  <c r="Z703" i="2"/>
  <c r="T703" i="2"/>
  <c r="AQ49" i="2"/>
  <c r="AA232" i="2"/>
  <c r="Z232" i="2"/>
  <c r="T40" i="2"/>
  <c r="AQ269" i="2"/>
  <c r="AV67" i="2"/>
  <c r="AC67" i="2"/>
  <c r="AA67" i="2"/>
  <c r="AV29" i="2"/>
  <c r="AP20" i="2"/>
  <c r="T26" i="2"/>
  <c r="AW26" i="2" s="1"/>
  <c r="T67" i="2"/>
  <c r="AS67" i="2" s="1"/>
  <c r="AV84" i="2"/>
  <c r="T92" i="2"/>
  <c r="AV261" i="2"/>
  <c r="AA261" i="2"/>
  <c r="T261" i="2"/>
  <c r="AC284" i="2"/>
  <c r="AQ284" i="2"/>
  <c r="AA284" i="2"/>
  <c r="T305" i="2"/>
  <c r="AW305" i="2" s="1"/>
  <c r="AC308" i="2"/>
  <c r="AT308" i="2" s="1"/>
  <c r="AQ308" i="2"/>
  <c r="AR308" i="2" s="1"/>
  <c r="AP308" i="2"/>
  <c r="AA308" i="2"/>
  <c r="T341" i="2"/>
  <c r="AP341" i="2"/>
  <c r="AC341" i="2"/>
  <c r="Z341" i="2"/>
  <c r="AA383" i="2"/>
  <c r="AQ383" i="2"/>
  <c r="AP383" i="2"/>
  <c r="AA407" i="2"/>
  <c r="AP407" i="2"/>
  <c r="AC407" i="2"/>
  <c r="AP476" i="2"/>
  <c r="AQ476" i="2"/>
  <c r="AP496" i="2"/>
  <c r="AA496" i="2"/>
  <c r="T496" i="2"/>
  <c r="AQ647" i="2"/>
  <c r="AP647" i="2"/>
  <c r="AA647" i="2"/>
  <c r="T694" i="2"/>
  <c r="T786" i="2"/>
  <c r="T840" i="2"/>
  <c r="AP998" i="2"/>
  <c r="AC998" i="2"/>
  <c r="T998" i="2"/>
  <c r="AA998" i="2"/>
  <c r="Z998" i="2"/>
  <c r="AV1175" i="2"/>
  <c r="AC1175" i="2"/>
  <c r="Z1175" i="2"/>
  <c r="Z1194" i="2"/>
  <c r="AP1194" i="2"/>
  <c r="AA1194" i="2"/>
  <c r="AV189" i="2"/>
  <c r="AQ189" i="2"/>
  <c r="AC189" i="2"/>
  <c r="AA189" i="2"/>
  <c r="T588" i="2"/>
  <c r="AQ588" i="2"/>
  <c r="AP588" i="2"/>
  <c r="AC588" i="2"/>
  <c r="AA588" i="2"/>
  <c r="Z588" i="2"/>
  <c r="Z659" i="2"/>
  <c r="AC659" i="2"/>
  <c r="AA659" i="2"/>
  <c r="AV659" i="2"/>
  <c r="AQ659" i="2"/>
  <c r="AV864" i="2"/>
  <c r="AC864" i="2"/>
  <c r="AQ864" i="2"/>
  <c r="AQ88" i="2"/>
  <c r="AP88" i="2"/>
  <c r="AA88" i="2"/>
  <c r="T211" i="2"/>
  <c r="AQ256" i="2"/>
  <c r="AP464" i="2"/>
  <c r="AV464" i="2"/>
  <c r="T510" i="2"/>
  <c r="AV687" i="2"/>
  <c r="Z687" i="2"/>
  <c r="Z2" i="2"/>
  <c r="AC19" i="2"/>
  <c r="AA26" i="2"/>
  <c r="AA32" i="2"/>
  <c r="AA50" i="2"/>
  <c r="AP62" i="2"/>
  <c r="AP67" i="2"/>
  <c r="AA71" i="2"/>
  <c r="AV73" i="2"/>
  <c r="Z85" i="2"/>
  <c r="AC92" i="2"/>
  <c r="AA119" i="2"/>
  <c r="AQ119" i="2"/>
  <c r="AP119" i="2"/>
  <c r="Z151" i="2"/>
  <c r="AV151" i="2"/>
  <c r="Z159" i="2"/>
  <c r="AV180" i="2"/>
  <c r="AQ180" i="2"/>
  <c r="AP180" i="2"/>
  <c r="AC180" i="2"/>
  <c r="AQ194" i="2"/>
  <c r="AR194" i="2" s="1"/>
  <c r="AP226" i="2"/>
  <c r="AP242" i="2"/>
  <c r="AA248" i="2"/>
  <c r="AC248" i="2"/>
  <c r="Z250" i="2"/>
  <c r="AV250" i="2"/>
  <c r="Z291" i="2"/>
  <c r="AQ291" i="2"/>
  <c r="AP291" i="2"/>
  <c r="AP304" i="2"/>
  <c r="AC304" i="2"/>
  <c r="Z304" i="2"/>
  <c r="AQ318" i="2"/>
  <c r="AP318" i="2"/>
  <c r="AQ330" i="2"/>
  <c r="AC330" i="2"/>
  <c r="AA330" i="2"/>
  <c r="AA341" i="2"/>
  <c r="AQ366" i="2"/>
  <c r="AC383" i="2"/>
  <c r="AP568" i="2"/>
  <c r="AQ568" i="2"/>
  <c r="Z568" i="2"/>
  <c r="AV620" i="2"/>
  <c r="T620" i="2"/>
  <c r="AC620" i="2"/>
  <c r="T768" i="2"/>
  <c r="AQ768" i="2"/>
  <c r="AP768" i="2"/>
  <c r="AC768" i="2"/>
  <c r="AA768" i="2"/>
  <c r="AV768" i="2"/>
  <c r="Z768" i="2"/>
  <c r="AP823" i="2"/>
  <c r="AQ823" i="2"/>
  <c r="AA823" i="2"/>
  <c r="AV823" i="2"/>
  <c r="AV1089" i="2"/>
  <c r="T1089" i="2"/>
  <c r="AV1094" i="2"/>
  <c r="AC1094" i="2"/>
  <c r="AA1094" i="2"/>
  <c r="Z1094" i="2"/>
  <c r="T1094" i="2"/>
  <c r="AQ1094" i="2"/>
  <c r="AP1094" i="2"/>
  <c r="AP1218" i="2"/>
  <c r="AQ1218" i="2"/>
  <c r="AC1218" i="2"/>
  <c r="T324" i="2"/>
  <c r="AC324" i="2"/>
  <c r="AA324" i="2"/>
  <c r="Z324" i="2"/>
  <c r="AQ357" i="2"/>
  <c r="AC357" i="2"/>
  <c r="Z357" i="2"/>
  <c r="T751" i="2"/>
  <c r="Z751" i="2"/>
  <c r="AQ751" i="2"/>
  <c r="AR751" i="2" s="1"/>
  <c r="AC751" i="2"/>
  <c r="AA751" i="2"/>
  <c r="AP987" i="2"/>
  <c r="AA987" i="2"/>
  <c r="T987" i="2"/>
  <c r="AV1296" i="2"/>
  <c r="AC1296" i="2"/>
  <c r="AA1296" i="2"/>
  <c r="Z1296" i="2"/>
  <c r="T1296" i="2"/>
  <c r="AT1296" i="2" s="1"/>
  <c r="AQ1296" i="2"/>
  <c r="T519" i="2"/>
  <c r="AC519" i="2"/>
  <c r="AQ519" i="2"/>
  <c r="AP519" i="2"/>
  <c r="AA519" i="2"/>
  <c r="AQ671" i="2"/>
  <c r="AP671" i="2"/>
  <c r="AV774" i="2"/>
  <c r="AP774" i="2"/>
  <c r="Z867" i="2"/>
  <c r="AQ867" i="2"/>
  <c r="AP867" i="2"/>
  <c r="AC867" i="2"/>
  <c r="T49" i="2"/>
  <c r="AS49" i="2" s="1"/>
  <c r="T83" i="2"/>
  <c r="AS83" i="2" s="1"/>
  <c r="Z280" i="2"/>
  <c r="AC280" i="2"/>
  <c r="AA280" i="2"/>
  <c r="Z359" i="2"/>
  <c r="AC359" i="2"/>
  <c r="AA359" i="2"/>
  <c r="AC460" i="2"/>
  <c r="AP460" i="2"/>
  <c r="AA460" i="2"/>
  <c r="AW567" i="2"/>
  <c r="AC1079" i="2"/>
  <c r="AQ1079" i="2"/>
  <c r="AP1079" i="2"/>
  <c r="Z1079" i="2"/>
  <c r="AQ1137" i="2"/>
  <c r="T1137" i="2"/>
  <c r="AV1137" i="2"/>
  <c r="AW1137" i="2" s="1"/>
  <c r="AQ1245" i="2"/>
  <c r="AA1245" i="2"/>
  <c r="AA2" i="2"/>
  <c r="AC8" i="2"/>
  <c r="AP19" i="2"/>
  <c r="AC26" i="2"/>
  <c r="AP28" i="2"/>
  <c r="AC32" i="2"/>
  <c r="AC50" i="2"/>
  <c r="AQ67" i="2"/>
  <c r="AQ71" i="2"/>
  <c r="T88" i="2"/>
  <c r="AW88" i="2" s="1"/>
  <c r="Z124" i="2"/>
  <c r="AA159" i="2"/>
  <c r="Z189" i="2"/>
  <c r="AV194" i="2"/>
  <c r="AQ242" i="2"/>
  <c r="AS308" i="2"/>
  <c r="AC320" i="2"/>
  <c r="Z320" i="2"/>
  <c r="T320" i="2"/>
  <c r="AP324" i="2"/>
  <c r="AQ336" i="2"/>
  <c r="AP352" i="2"/>
  <c r="AA357" i="2"/>
  <c r="T373" i="2"/>
  <c r="AQ379" i="2"/>
  <c r="AP379" i="2"/>
  <c r="AC379" i="2"/>
  <c r="AP487" i="2"/>
  <c r="AC487" i="2"/>
  <c r="AV487" i="2"/>
  <c r="T487" i="2"/>
  <c r="AP492" i="2"/>
  <c r="AA492" i="2"/>
  <c r="AV508" i="2"/>
  <c r="AP508" i="2"/>
  <c r="AC508" i="2"/>
  <c r="Z508" i="2"/>
  <c r="AQ540" i="2"/>
  <c r="T601" i="2"/>
  <c r="AS601" i="2" s="1"/>
  <c r="AV601" i="2"/>
  <c r="AP641" i="2"/>
  <c r="AC641" i="2"/>
  <c r="T641" i="2"/>
  <c r="AV654" i="2"/>
  <c r="T687" i="2"/>
  <c r="AQ731" i="2"/>
  <c r="AP731" i="2"/>
  <c r="AC731" i="2"/>
  <c r="Z731" i="2"/>
  <c r="AV988" i="2"/>
  <c r="AA988" i="2"/>
  <c r="AC988" i="2"/>
  <c r="AQ988" i="2"/>
  <c r="AP988" i="2"/>
  <c r="Z1046" i="2"/>
  <c r="AQ1046" i="2"/>
  <c r="AP1046" i="2"/>
  <c r="AC1046" i="2"/>
  <c r="T1074" i="2"/>
  <c r="AV1074" i="2"/>
  <c r="AA1074" i="2"/>
  <c r="Z1074" i="2"/>
  <c r="T1079" i="2"/>
  <c r="AC2" i="2"/>
  <c r="AP8" i="2"/>
  <c r="AP26" i="2"/>
  <c r="AQ28" i="2"/>
  <c r="AP32" i="2"/>
  <c r="AP49" i="2"/>
  <c r="AA55" i="2"/>
  <c r="AV79" i="2"/>
  <c r="AA79" i="2"/>
  <c r="Z83" i="2"/>
  <c r="AQ149" i="2"/>
  <c r="AP149" i="2"/>
  <c r="T151" i="2"/>
  <c r="AQ157" i="2"/>
  <c r="AC157" i="2"/>
  <c r="AC159" i="2"/>
  <c r="T198" i="2"/>
  <c r="AP198" i="2"/>
  <c r="AC198" i="2"/>
  <c r="Z198" i="2"/>
  <c r="AC211" i="2"/>
  <c r="T248" i="2"/>
  <c r="Z269" i="2"/>
  <c r="AC272" i="2"/>
  <c r="AP272" i="2"/>
  <c r="AA272" i="2"/>
  <c r="Z272" i="2"/>
  <c r="T296" i="2"/>
  <c r="AP296" i="2"/>
  <c r="AC296" i="2"/>
  <c r="Z296" i="2"/>
  <c r="Z309" i="2"/>
  <c r="AP309" i="2"/>
  <c r="AC309" i="2"/>
  <c r="AT309" i="2" s="1"/>
  <c r="AS314" i="2"/>
  <c r="AP314" i="2"/>
  <c r="Z314" i="2"/>
  <c r="AQ324" i="2"/>
  <c r="T330" i="2"/>
  <c r="AQ352" i="2"/>
  <c r="AQ393" i="2"/>
  <c r="AP393" i="2"/>
  <c r="AC393" i="2"/>
  <c r="Z393" i="2"/>
  <c r="Z519" i="2"/>
  <c r="AV540" i="2"/>
  <c r="T568" i="2"/>
  <c r="AV586" i="2"/>
  <c r="T586" i="2"/>
  <c r="AA655" i="2"/>
  <c r="Z655" i="2"/>
  <c r="AV655" i="2"/>
  <c r="AC655" i="2"/>
  <c r="T655" i="2"/>
  <c r="AP659" i="2"/>
  <c r="T685" i="2"/>
  <c r="AQ685" i="2"/>
  <c r="AC685" i="2"/>
  <c r="AA685" i="2"/>
  <c r="T758" i="2"/>
  <c r="AA758" i="2"/>
  <c r="Z758" i="2"/>
  <c r="AV758" i="2"/>
  <c r="AQ758" i="2"/>
  <c r="AP758" i="2"/>
  <c r="AP805" i="2"/>
  <c r="AV805" i="2"/>
  <c r="AQ805" i="2"/>
  <c r="T805" i="2"/>
  <c r="AS805" i="2" s="1"/>
  <c r="AC805" i="2"/>
  <c r="AA805" i="2"/>
  <c r="T816" i="2"/>
  <c r="AV816" i="2"/>
  <c r="AQ816" i="2"/>
  <c r="AP816" i="2"/>
  <c r="AC816" i="2"/>
  <c r="AA816" i="2"/>
  <c r="Z816" i="2"/>
  <c r="AV929" i="2"/>
  <c r="AQ929" i="2"/>
  <c r="AA929" i="2"/>
  <c r="AQ950" i="2"/>
  <c r="Z950" i="2"/>
  <c r="AP960" i="2"/>
  <c r="AA960" i="2"/>
  <c r="T960" i="2"/>
  <c r="AV124" i="2"/>
  <c r="AQ124" i="2"/>
  <c r="T1132" i="2"/>
  <c r="AQ1132" i="2"/>
  <c r="Z1132" i="2"/>
  <c r="AV208" i="2"/>
  <c r="Z208" i="2"/>
  <c r="AP259" i="2"/>
  <c r="T259" i="2"/>
  <c r="AQ277" i="2"/>
  <c r="AA277" i="2"/>
  <c r="AQ397" i="2"/>
  <c r="AC397" i="2"/>
  <c r="AP550" i="2"/>
  <c r="AQ550" i="2"/>
  <c r="AC550" i="2"/>
  <c r="AT550" i="2" s="1"/>
  <c r="AA550" i="2"/>
  <c r="Z550" i="2"/>
  <c r="AA83" i="2"/>
  <c r="AQ243" i="2"/>
  <c r="AA243" i="2"/>
  <c r="AV259" i="2"/>
  <c r="AA269" i="2"/>
  <c r="Z325" i="2"/>
  <c r="AP325" i="2"/>
  <c r="AC325" i="2"/>
  <c r="AA325" i="2"/>
  <c r="AP340" i="2"/>
  <c r="AC340" i="2"/>
  <c r="AA340" i="2"/>
  <c r="Z340" i="2"/>
  <c r="T340" i="2"/>
  <c r="AS340" i="2" s="1"/>
  <c r="AP353" i="2"/>
  <c r="AQ353" i="2"/>
  <c r="AC353" i="2"/>
  <c r="AV356" i="2"/>
  <c r="AW356" i="2" s="1"/>
  <c r="AC356" i="2"/>
  <c r="AT356" i="2" s="1"/>
  <c r="AA356" i="2"/>
  <c r="Z356" i="2"/>
  <c r="AV362" i="2"/>
  <c r="AA362" i="2"/>
  <c r="AP395" i="2"/>
  <c r="AV395" i="2"/>
  <c r="AV445" i="2"/>
  <c r="AP445" i="2"/>
  <c r="AC445" i="2"/>
  <c r="AQ455" i="2"/>
  <c r="AV455" i="2"/>
  <c r="AQ485" i="2"/>
  <c r="AV485" i="2"/>
  <c r="AC485" i="2"/>
  <c r="T485" i="2"/>
  <c r="Z584" i="2"/>
  <c r="AQ584" i="2"/>
  <c r="AP584" i="2"/>
  <c r="AA584" i="2"/>
  <c r="AP618" i="2"/>
  <c r="AV618" i="2"/>
  <c r="AQ618" i="2"/>
  <c r="AC618" i="2"/>
  <c r="T680" i="2"/>
  <c r="AQ680" i="2"/>
  <c r="Z680" i="2"/>
  <c r="AA713" i="2"/>
  <c r="AC713" i="2"/>
  <c r="Z713" i="2"/>
  <c r="AV713" i="2"/>
  <c r="AQ713" i="2"/>
  <c r="T855" i="2"/>
  <c r="AA855" i="2"/>
  <c r="Z855" i="2"/>
  <c r="AV855" i="2"/>
  <c r="AQ855" i="2"/>
  <c r="AP855" i="2"/>
  <c r="AC855" i="2"/>
  <c r="Z1027" i="2"/>
  <c r="AQ1027" i="2"/>
  <c r="T1027" i="2"/>
  <c r="AQ2" i="2"/>
  <c r="T14" i="2"/>
  <c r="AU14" i="2" s="1"/>
  <c r="AV32" i="2"/>
  <c r="T79" i="2"/>
  <c r="AP83" i="2"/>
  <c r="AC88" i="2"/>
  <c r="AC119" i="2"/>
  <c r="AA139" i="2"/>
  <c r="AV139" i="2"/>
  <c r="AP167" i="2"/>
  <c r="AC167" i="2"/>
  <c r="Z180" i="2"/>
  <c r="AV241" i="2"/>
  <c r="T241" i="2"/>
  <c r="AS241" i="2" s="1"/>
  <c r="AP269" i="2"/>
  <c r="AQ280" i="2"/>
  <c r="AQ359" i="2"/>
  <c r="AA365" i="2"/>
  <c r="AV365" i="2"/>
  <c r="AQ365" i="2"/>
  <c r="AP365" i="2"/>
  <c r="AC365" i="2"/>
  <c r="AQ373" i="2"/>
  <c r="Z483" i="2"/>
  <c r="AQ483" i="2"/>
  <c r="AP483" i="2"/>
  <c r="AC483" i="2"/>
  <c r="AA483" i="2"/>
  <c r="AC498" i="2"/>
  <c r="AA498" i="2"/>
  <c r="T506" i="2"/>
  <c r="AP506" i="2"/>
  <c r="AC506" i="2"/>
  <c r="AV604" i="2"/>
  <c r="AA604" i="2"/>
  <c r="T604" i="2"/>
  <c r="AP793" i="2"/>
  <c r="Z793" i="2"/>
  <c r="T793" i="2"/>
  <c r="AQ851" i="2"/>
  <c r="AP851" i="2"/>
  <c r="AC851" i="2"/>
  <c r="AA851" i="2"/>
  <c r="Z851" i="2"/>
  <c r="T929" i="2"/>
  <c r="T950" i="2"/>
  <c r="Z1052" i="2"/>
  <c r="AV1052" i="2"/>
  <c r="AP1052" i="2"/>
  <c r="AW516" i="2"/>
  <c r="AP547" i="2"/>
  <c r="T547" i="2"/>
  <c r="Z606" i="2"/>
  <c r="AV606" i="2"/>
  <c r="AV616" i="2"/>
  <c r="AC616" i="2"/>
  <c r="AP632" i="2"/>
  <c r="T632" i="2"/>
  <c r="AC692" i="2"/>
  <c r="AV692" i="2"/>
  <c r="T740" i="2"/>
  <c r="AS740" i="2" s="1"/>
  <c r="AV740" i="2"/>
  <c r="AQ740" i="2"/>
  <c r="AP740" i="2"/>
  <c r="AC740" i="2"/>
  <c r="AV777" i="2"/>
  <c r="AQ777" i="2"/>
  <c r="AP777" i="2"/>
  <c r="AC777" i="2"/>
  <c r="AP870" i="2"/>
  <c r="AV870" i="2"/>
  <c r="AC870" i="2"/>
  <c r="T870" i="2"/>
  <c r="AU870" i="2" s="1"/>
  <c r="T952" i="2"/>
  <c r="AV952" i="2"/>
  <c r="AQ952" i="2"/>
  <c r="AA962" i="2"/>
  <c r="AQ962" i="2"/>
  <c r="AC962" i="2"/>
  <c r="AQ965" i="2"/>
  <c r="T965" i="2"/>
  <c r="AA1142" i="2"/>
  <c r="AV1142" i="2"/>
  <c r="AW1142" i="2" s="1"/>
  <c r="T1142" i="2"/>
  <c r="Z1142" i="2"/>
  <c r="AP1249" i="2"/>
  <c r="AA1249" i="2"/>
  <c r="T1249" i="2"/>
  <c r="T1258" i="2"/>
  <c r="AV1258" i="2"/>
  <c r="AW1258" i="2" s="1"/>
  <c r="AQ1258" i="2"/>
  <c r="AC1258" i="2"/>
  <c r="AA1258" i="2"/>
  <c r="Z1258" i="2"/>
  <c r="AP1309" i="2"/>
  <c r="Z1309" i="2"/>
  <c r="T1309" i="2"/>
  <c r="AV475" i="2"/>
  <c r="AC475" i="2"/>
  <c r="T516" i="2"/>
  <c r="AA522" i="2"/>
  <c r="AV522" i="2"/>
  <c r="AW522" i="2" s="1"/>
  <c r="AC533" i="2"/>
  <c r="AV533" i="2"/>
  <c r="Z533" i="2"/>
  <c r="AQ557" i="2"/>
  <c r="AC557" i="2"/>
  <c r="T606" i="2"/>
  <c r="T612" i="2"/>
  <c r="AP612" i="2"/>
  <c r="AC612" i="2"/>
  <c r="AA612" i="2"/>
  <c r="AP645" i="2"/>
  <c r="AQ645" i="2"/>
  <c r="T692" i="2"/>
  <c r="T764" i="2"/>
  <c r="AV764" i="2"/>
  <c r="T777" i="2"/>
  <c r="Z860" i="2"/>
  <c r="AC860" i="2"/>
  <c r="AA860" i="2"/>
  <c r="AV910" i="2"/>
  <c r="AQ910" i="2"/>
  <c r="AA910" i="2"/>
  <c r="T910" i="2"/>
  <c r="T1130" i="2"/>
  <c r="AV482" i="2"/>
  <c r="AC482" i="2"/>
  <c r="AC610" i="2"/>
  <c r="AA610" i="2"/>
  <c r="AC627" i="2"/>
  <c r="AA627" i="2"/>
  <c r="Z627" i="2"/>
  <c r="AV690" i="2"/>
  <c r="AW690" i="2" s="1"/>
  <c r="AQ690" i="2"/>
  <c r="AV738" i="2"/>
  <c r="AQ738" i="2"/>
  <c r="T814" i="2"/>
  <c r="AV814" i="2"/>
  <c r="AC814" i="2"/>
  <c r="AP865" i="2"/>
  <c r="AQ865" i="2"/>
  <c r="AC996" i="2"/>
  <c r="AP996" i="2"/>
  <c r="AV1243" i="2"/>
  <c r="AQ1243" i="2"/>
  <c r="AP1243" i="2"/>
  <c r="AC1243" i="2"/>
  <c r="AP331" i="2"/>
  <c r="T367" i="2"/>
  <c r="T371" i="2"/>
  <c r="AU371" i="2" s="1"/>
  <c r="T475" i="2"/>
  <c r="T522" i="2"/>
  <c r="AP524" i="2"/>
  <c r="AA524" i="2"/>
  <c r="AP531" i="2"/>
  <c r="T533" i="2"/>
  <c r="AT533" i="2" s="1"/>
  <c r="AP536" i="2"/>
  <c r="Z547" i="2"/>
  <c r="AV551" i="2"/>
  <c r="AQ555" i="2"/>
  <c r="AV555" i="2"/>
  <c r="AA555" i="2"/>
  <c r="T559" i="2"/>
  <c r="Z561" i="2"/>
  <c r="T590" i="2"/>
  <c r="AQ632" i="2"/>
  <c r="T645" i="2"/>
  <c r="Z664" i="2"/>
  <c r="AV711" i="2"/>
  <c r="AQ711" i="2"/>
  <c r="Z740" i="2"/>
  <c r="AV746" i="2"/>
  <c r="AQ746" i="2"/>
  <c r="AC746" i="2"/>
  <c r="AA746" i="2"/>
  <c r="T746" i="2"/>
  <c r="T832" i="2"/>
  <c r="Z858" i="2"/>
  <c r="AP858" i="2"/>
  <c r="AC858" i="2"/>
  <c r="T860" i="2"/>
  <c r="AP943" i="2"/>
  <c r="AQ943" i="2"/>
  <c r="AA952" i="2"/>
  <c r="AV1034" i="2"/>
  <c r="T1034" i="2"/>
  <c r="Z1041" i="2"/>
  <c r="T1041" i="2"/>
  <c r="AP1041" i="2"/>
  <c r="AA1058" i="2"/>
  <c r="AP1058" i="2"/>
  <c r="Z1058" i="2"/>
  <c r="T1058" i="2"/>
  <c r="AQ1058" i="2"/>
  <c r="Z1120" i="2"/>
  <c r="AU1120" i="2"/>
  <c r="AR1120" i="2"/>
  <c r="AQ1309" i="2"/>
  <c r="AQ1317" i="2"/>
  <c r="AC1317" i="2"/>
  <c r="AA1317" i="2"/>
  <c r="AV1317" i="2"/>
  <c r="AW1317" i="2" s="1"/>
  <c r="T469" i="2"/>
  <c r="AA469" i="2"/>
  <c r="T482" i="2"/>
  <c r="Z516" i="2"/>
  <c r="AA547" i="2"/>
  <c r="T552" i="2"/>
  <c r="AQ552" i="2"/>
  <c r="AC552" i="2"/>
  <c r="AQ583" i="2"/>
  <c r="AP583" i="2"/>
  <c r="AA606" i="2"/>
  <c r="T610" i="2"/>
  <c r="T627" i="2"/>
  <c r="AV633" i="2"/>
  <c r="AW633" i="2" s="1"/>
  <c r="AQ633" i="2"/>
  <c r="AP633" i="2"/>
  <c r="AC633" i="2"/>
  <c r="AA664" i="2"/>
  <c r="T684" i="2"/>
  <c r="AS684" i="2" s="1"/>
  <c r="AQ684" i="2"/>
  <c r="AP684" i="2"/>
  <c r="AC684" i="2"/>
  <c r="AA684" i="2"/>
  <c r="T690" i="2"/>
  <c r="T722" i="2"/>
  <c r="AC722" i="2"/>
  <c r="AA722" i="2"/>
  <c r="Z722" i="2"/>
  <c r="T738" i="2"/>
  <c r="AA740" i="2"/>
  <c r="AP762" i="2"/>
  <c r="T762" i="2"/>
  <c r="Z777" i="2"/>
  <c r="AA837" i="2"/>
  <c r="AC837" i="2"/>
  <c r="Z837" i="2"/>
  <c r="AQ837" i="2"/>
  <c r="AP837" i="2"/>
  <c r="AC880" i="2"/>
  <c r="AA880" i="2"/>
  <c r="T923" i="2"/>
  <c r="AQ923" i="2"/>
  <c r="AP952" i="2"/>
  <c r="AC1177" i="2"/>
  <c r="T1177" i="2"/>
  <c r="T1238" i="2"/>
  <c r="AS1238" i="2" s="1"/>
  <c r="AC1238" i="2"/>
  <c r="AA1238" i="2"/>
  <c r="Z1238" i="2"/>
  <c r="AV1238" i="2"/>
  <c r="AQ1238" i="2"/>
  <c r="AP1238" i="2"/>
  <c r="T1262" i="2"/>
  <c r="Z1262" i="2"/>
  <c r="AP1292" i="2"/>
  <c r="AQ1292" i="2"/>
  <c r="AC1292" i="2"/>
  <c r="Z1292" i="2"/>
  <c r="T170" i="2"/>
  <c r="T224" i="2"/>
  <c r="AW224" i="2" s="1"/>
  <c r="T257" i="2"/>
  <c r="T290" i="2"/>
  <c r="AR290" i="2" s="1"/>
  <c r="T328" i="2"/>
  <c r="AW328" i="2" s="1"/>
  <c r="Z423" i="2"/>
  <c r="T431" i="2"/>
  <c r="Z438" i="2"/>
  <c r="AA462" i="2"/>
  <c r="AA466" i="2"/>
  <c r="AA489" i="2"/>
  <c r="AA495" i="2"/>
  <c r="AC516" i="2"/>
  <c r="Z518" i="2"/>
  <c r="T524" i="2"/>
  <c r="AC547" i="2"/>
  <c r="T555" i="2"/>
  <c r="AU555" i="2" s="1"/>
  <c r="AA557" i="2"/>
  <c r="AC606" i="2"/>
  <c r="Z612" i="2"/>
  <c r="AQ621" i="2"/>
  <c r="AP621" i="2"/>
  <c r="AC621" i="2"/>
  <c r="Z665" i="2"/>
  <c r="T665" i="2"/>
  <c r="Z704" i="2"/>
  <c r="AV704" i="2"/>
  <c r="AA704" i="2"/>
  <c r="T711" i="2"/>
  <c r="AS711" i="2" s="1"/>
  <c r="T717" i="2"/>
  <c r="T736" i="2"/>
  <c r="AQ736" i="2"/>
  <c r="AC736" i="2"/>
  <c r="AA736" i="2"/>
  <c r="AA777" i="2"/>
  <c r="AQ863" i="2"/>
  <c r="AV863" i="2"/>
  <c r="AP863" i="2"/>
  <c r="AC894" i="2"/>
  <c r="AP894" i="2"/>
  <c r="AQ894" i="2"/>
  <c r="T925" i="2"/>
  <c r="AV941" i="2"/>
  <c r="AA941" i="2"/>
  <c r="T941" i="2"/>
  <c r="AP1038" i="2"/>
  <c r="AC1086" i="2"/>
  <c r="AQ1086" i="2"/>
  <c r="AA1086" i="2"/>
  <c r="AP1120" i="2"/>
  <c r="AV1151" i="2"/>
  <c r="AP1151" i="2"/>
  <c r="AC1151" i="2"/>
  <c r="AV1216" i="2"/>
  <c r="AA1216" i="2"/>
  <c r="T207" i="2"/>
  <c r="AW207" i="2" s="1"/>
  <c r="T233" i="2"/>
  <c r="T319" i="2"/>
  <c r="T361" i="2"/>
  <c r="Z367" i="2"/>
  <c r="Z371" i="2"/>
  <c r="AA413" i="2"/>
  <c r="AA423" i="2"/>
  <c r="AA438" i="2"/>
  <c r="AP466" i="2"/>
  <c r="Z475" i="2"/>
  <c r="AC489" i="2"/>
  <c r="AC495" i="2"/>
  <c r="AP516" i="2"/>
  <c r="AU516" i="2" s="1"/>
  <c r="AP518" i="2"/>
  <c r="Z522" i="2"/>
  <c r="T528" i="2"/>
  <c r="AU528" i="2" s="1"/>
  <c r="AQ547" i="2"/>
  <c r="AR547" i="2" s="1"/>
  <c r="AV559" i="2"/>
  <c r="AW559" i="2" s="1"/>
  <c r="AV571" i="2"/>
  <c r="T573" i="2"/>
  <c r="AU573" i="2" s="1"/>
  <c r="T578" i="2"/>
  <c r="T583" i="2"/>
  <c r="AP605" i="2"/>
  <c r="AC605" i="2"/>
  <c r="AP606" i="2"/>
  <c r="AQ612" i="2"/>
  <c r="AA629" i="2"/>
  <c r="T633" i="2"/>
  <c r="AS633" i="2" s="1"/>
  <c r="AQ639" i="2"/>
  <c r="AQ663" i="2"/>
  <c r="AC663" i="2"/>
  <c r="T663" i="2"/>
  <c r="AR663" i="2" s="1"/>
  <c r="AV744" i="2"/>
  <c r="AQ744" i="2"/>
  <c r="T744" i="2"/>
  <c r="T798" i="2"/>
  <c r="AU798" i="2" s="1"/>
  <c r="AQ798" i="2"/>
  <c r="AP798" i="2"/>
  <c r="AC798" i="2"/>
  <c r="AV798" i="2"/>
  <c r="AA798" i="2"/>
  <c r="AA809" i="2"/>
  <c r="Z809" i="2"/>
  <c r="AC832" i="2"/>
  <c r="T837" i="2"/>
  <c r="AQ861" i="2"/>
  <c r="AV861" i="2"/>
  <c r="AA861" i="2"/>
  <c r="Z861" i="2"/>
  <c r="AV892" i="2"/>
  <c r="AQ892" i="2"/>
  <c r="AA892" i="2"/>
  <c r="Z892" i="2"/>
  <c r="T892" i="2"/>
  <c r="AQ989" i="2"/>
  <c r="AV989" i="2"/>
  <c r="T1019" i="2"/>
  <c r="T1039" i="2"/>
  <c r="AP1039" i="2"/>
  <c r="AA1039" i="2"/>
  <c r="AV1102" i="2"/>
  <c r="T1102" i="2"/>
  <c r="AA367" i="2"/>
  <c r="AC423" i="2"/>
  <c r="AT423" i="2" s="1"/>
  <c r="AV466" i="2"/>
  <c r="AA475" i="2"/>
  <c r="AP482" i="2"/>
  <c r="AP489" i="2"/>
  <c r="AP495" i="2"/>
  <c r="AQ516" i="2"/>
  <c r="AC522" i="2"/>
  <c r="AQ536" i="2"/>
  <c r="AV547" i="2"/>
  <c r="AP572" i="2"/>
  <c r="AA572" i="2"/>
  <c r="AQ576" i="2"/>
  <c r="AA576" i="2"/>
  <c r="AP603" i="2"/>
  <c r="AV603" i="2"/>
  <c r="AQ603" i="2"/>
  <c r="AC603" i="2"/>
  <c r="AQ606" i="2"/>
  <c r="AV612" i="2"/>
  <c r="AW612" i="2" s="1"/>
  <c r="AP627" i="2"/>
  <c r="AC629" i="2"/>
  <c r="AV825" i="2"/>
  <c r="AQ825" i="2"/>
  <c r="AR825" i="2" s="1"/>
  <c r="AA825" i="2"/>
  <c r="Z825" i="2"/>
  <c r="AQ832" i="2"/>
  <c r="AA969" i="2"/>
  <c r="AP969" i="2"/>
  <c r="Z1010" i="2"/>
  <c r="T1010" i="2"/>
  <c r="AQ1010" i="2"/>
  <c r="AV1010" i="2"/>
  <c r="AA1034" i="2"/>
  <c r="AV1059" i="2"/>
  <c r="T1059" i="2"/>
  <c r="Z1059" i="2"/>
  <c r="T1141" i="2"/>
  <c r="AP1141" i="2"/>
  <c r="Z1141" i="2"/>
  <c r="AV1141" i="2"/>
  <c r="AW1251" i="2"/>
  <c r="AS1251" i="2"/>
  <c r="AP1251" i="2"/>
  <c r="AC1276" i="2"/>
  <c r="AV1276" i="2"/>
  <c r="AW1276" i="2" s="1"/>
  <c r="AQ1276" i="2"/>
  <c r="AP1276" i="2"/>
  <c r="AA1276" i="2"/>
  <c r="T1276" i="2"/>
  <c r="AQ776" i="2"/>
  <c r="AC776" i="2"/>
  <c r="Z872" i="2"/>
  <c r="AV872" i="2"/>
  <c r="AA898" i="2"/>
  <c r="Z898" i="2"/>
  <c r="AC914" i="2"/>
  <c r="AV914" i="2"/>
  <c r="AP914" i="2"/>
  <c r="AC1067" i="2"/>
  <c r="AA1067" i="2"/>
  <c r="AP1069" i="2"/>
  <c r="AC1069" i="2"/>
  <c r="AA1069" i="2"/>
  <c r="Z1096" i="2"/>
  <c r="AC1096" i="2"/>
  <c r="AQ1201" i="2"/>
  <c r="AV1201" i="2"/>
  <c r="AW1201" i="2" s="1"/>
  <c r="AP1201" i="2"/>
  <c r="Z1201" i="2"/>
  <c r="Z1206" i="2"/>
  <c r="AP1206" i="2"/>
  <c r="AC1206" i="2"/>
  <c r="AA1206" i="2"/>
  <c r="AP1212" i="2"/>
  <c r="Z1212" i="2"/>
  <c r="Z1260" i="2"/>
  <c r="AQ1260" i="2"/>
  <c r="AP1260" i="2"/>
  <c r="AC1260" i="2"/>
  <c r="AQ1266" i="2"/>
  <c r="AP1304" i="2"/>
  <c r="AQ1304" i="2"/>
  <c r="AA1304" i="2"/>
  <c r="Z1304" i="2"/>
  <c r="Z700" i="2"/>
  <c r="AQ747" i="2"/>
  <c r="AP759" i="2"/>
  <c r="AV791" i="2"/>
  <c r="AQ791" i="2"/>
  <c r="AA813" i="2"/>
  <c r="Z813" i="2"/>
  <c r="Z821" i="2"/>
  <c r="AP831" i="2"/>
  <c r="AQ831" i="2"/>
  <c r="AC831" i="2"/>
  <c r="AP872" i="2"/>
  <c r="AC898" i="2"/>
  <c r="T903" i="2"/>
  <c r="AS903" i="2" s="1"/>
  <c r="AQ903" i="2"/>
  <c r="AP903" i="2"/>
  <c r="Z914" i="2"/>
  <c r="AA928" i="2"/>
  <c r="AP967" i="2"/>
  <c r="AC991" i="2"/>
  <c r="AQ1035" i="2"/>
  <c r="Z1035" i="2"/>
  <c r="T1035" i="2"/>
  <c r="AV1069" i="2"/>
  <c r="AV1111" i="2"/>
  <c r="AP1111" i="2"/>
  <c r="AA1111" i="2"/>
  <c r="T1111" i="2"/>
  <c r="AC1126" i="2"/>
  <c r="Z1126" i="2"/>
  <c r="T1126" i="2"/>
  <c r="AA1145" i="2"/>
  <c r="Z1145" i="2"/>
  <c r="AA1172" i="2"/>
  <c r="AQ1206" i="2"/>
  <c r="AA1260" i="2"/>
  <c r="Z1284" i="2"/>
  <c r="AQ1284" i="2"/>
  <c r="AC1288" i="2"/>
  <c r="AQ1288" i="2"/>
  <c r="AQ1320" i="2"/>
  <c r="AV1320" i="2"/>
  <c r="AC1320" i="2"/>
  <c r="AA1320" i="2"/>
  <c r="AC700" i="2"/>
  <c r="Z702" i="2"/>
  <c r="Z735" i="2"/>
  <c r="Z776" i="2"/>
  <c r="AP821" i="2"/>
  <c r="AV891" i="2"/>
  <c r="AW891" i="2" s="1"/>
  <c r="Z891" i="2"/>
  <c r="AQ898" i="2"/>
  <c r="AA914" i="2"/>
  <c r="AC928" i="2"/>
  <c r="AQ958" i="2"/>
  <c r="AP958" i="2"/>
  <c r="T968" i="2"/>
  <c r="AQ968" i="2"/>
  <c r="AV982" i="2"/>
  <c r="T982" i="2"/>
  <c r="AQ992" i="2"/>
  <c r="Z992" i="2"/>
  <c r="AV1018" i="2"/>
  <c r="T1018" i="2"/>
  <c r="Z1063" i="2"/>
  <c r="AA1063" i="2"/>
  <c r="T1063" i="2"/>
  <c r="AV1063" i="2"/>
  <c r="AV1070" i="2"/>
  <c r="AW1070" i="2" s="1"/>
  <c r="AP1070" i="2"/>
  <c r="AC1070" i="2"/>
  <c r="T1070" i="2"/>
  <c r="AP1072" i="2"/>
  <c r="AQ1072" i="2"/>
  <c r="T1118" i="2"/>
  <c r="AV1118" i="2"/>
  <c r="AQ1210" i="2"/>
  <c r="AV1210" i="2"/>
  <c r="T1210" i="2"/>
  <c r="AU1210" i="2" s="1"/>
  <c r="AV1223" i="2"/>
  <c r="AP1223" i="2"/>
  <c r="AA1223" i="2"/>
  <c r="Z1223" i="2"/>
  <c r="Z1241" i="2"/>
  <c r="AQ1241" i="2"/>
  <c r="Z1286" i="2"/>
  <c r="AC1286" i="2"/>
  <c r="T1286" i="2"/>
  <c r="AC1322" i="2"/>
  <c r="AP1322" i="2"/>
  <c r="AA1322" i="2"/>
  <c r="T549" i="2"/>
  <c r="AT549" i="2" s="1"/>
  <c r="T564" i="2"/>
  <c r="T589" i="2"/>
  <c r="T624" i="2"/>
  <c r="T642" i="2"/>
  <c r="AS642" i="2" s="1"/>
  <c r="AA702" i="2"/>
  <c r="AA735" i="2"/>
  <c r="T767" i="2"/>
  <c r="AA776" i="2"/>
  <c r="T780" i="2"/>
  <c r="AP787" i="2"/>
  <c r="AA787" i="2"/>
  <c r="Z787" i="2"/>
  <c r="T813" i="2"/>
  <c r="AQ821" i="2"/>
  <c r="AP827" i="2"/>
  <c r="AC827" i="2"/>
  <c r="AV841" i="2"/>
  <c r="AA841" i="2"/>
  <c r="T888" i="2"/>
  <c r="AC899" i="2"/>
  <c r="AV899" i="2"/>
  <c r="AQ899" i="2"/>
  <c r="AP899" i="2"/>
  <c r="Z913" i="2"/>
  <c r="T913" i="2"/>
  <c r="AP928" i="2"/>
  <c r="Z1042" i="2"/>
  <c r="AQ1042" i="2"/>
  <c r="T1042" i="2"/>
  <c r="AA1051" i="2"/>
  <c r="AP1051" i="2"/>
  <c r="AC1051" i="2"/>
  <c r="AC1061" i="2"/>
  <c r="AV1061" i="2"/>
  <c r="AQ1061" i="2"/>
  <c r="AP1061" i="2"/>
  <c r="AA1061" i="2"/>
  <c r="T1061" i="2"/>
  <c r="AC1108" i="2"/>
  <c r="AQ1108" i="2"/>
  <c r="AP1108" i="2"/>
  <c r="Z1108" i="2"/>
  <c r="T1320" i="2"/>
  <c r="T771" i="2"/>
  <c r="Z771" i="2"/>
  <c r="AP776" i="2"/>
  <c r="AQ804" i="2"/>
  <c r="AR804" i="2" s="1"/>
  <c r="AP804" i="2"/>
  <c r="AC804" i="2"/>
  <c r="T822" i="2"/>
  <c r="AQ822" i="2"/>
  <c r="AP822" i="2"/>
  <c r="AU822" i="2" s="1"/>
  <c r="AC822" i="2"/>
  <c r="T846" i="2"/>
  <c r="AA846" i="2"/>
  <c r="Z846" i="2"/>
  <c r="AC850" i="2"/>
  <c r="T850" i="2"/>
  <c r="AP852" i="2"/>
  <c r="AV852" i="2"/>
  <c r="T866" i="2"/>
  <c r="AA866" i="2"/>
  <c r="AP882" i="2"/>
  <c r="AU882" i="2" s="1"/>
  <c r="AC882" i="2"/>
  <c r="AA882" i="2"/>
  <c r="AQ928" i="2"/>
  <c r="AQ931" i="2"/>
  <c r="AP931" i="2"/>
  <c r="AC931" i="2"/>
  <c r="AC978" i="2"/>
  <c r="T978" i="2"/>
  <c r="T992" i="2"/>
  <c r="T1014" i="2"/>
  <c r="AQ1088" i="2"/>
  <c r="AC1088" i="2"/>
  <c r="AA1088" i="2"/>
  <c r="Z1088" i="2"/>
  <c r="AV1115" i="2"/>
  <c r="AQ1115" i="2"/>
  <c r="AP1115" i="2"/>
  <c r="AC1115" i="2"/>
  <c r="AA1115" i="2"/>
  <c r="T1168" i="2"/>
  <c r="AQ1168" i="2"/>
  <c r="Z1168" i="2"/>
  <c r="T1192" i="2"/>
  <c r="AV1192" i="2"/>
  <c r="AA1210" i="2"/>
  <c r="AC1284" i="2"/>
  <c r="AC1007" i="2"/>
  <c r="Z1062" i="2"/>
  <c r="AA1085" i="2"/>
  <c r="AV1112" i="2"/>
  <c r="AC1162" i="2"/>
  <c r="Z1174" i="2"/>
  <c r="AC1250" i="2"/>
  <c r="AV1273" i="2"/>
  <c r="AA1282" i="2"/>
  <c r="AV1285" i="2"/>
  <c r="AW1285" i="2" s="1"/>
  <c r="AQ1297" i="2"/>
  <c r="AP1306" i="2"/>
  <c r="AA1310" i="2"/>
  <c r="AP1318" i="2"/>
  <c r="AC1310" i="2"/>
  <c r="Z933" i="2"/>
  <c r="Z945" i="2"/>
  <c r="AV953" i="2"/>
  <c r="AA1021" i="2"/>
  <c r="Z1023" i="2"/>
  <c r="Z1025" i="2"/>
  <c r="AV1036" i="2"/>
  <c r="AQ1098" i="2"/>
  <c r="T1219" i="2"/>
  <c r="AP1247" i="2"/>
  <c r="AU1247" i="2" s="1"/>
  <c r="AC1278" i="2"/>
  <c r="AP1310" i="2"/>
  <c r="AA945" i="2"/>
  <c r="AQ1021" i="2"/>
  <c r="AA1023" i="2"/>
  <c r="AP1025" i="2"/>
  <c r="T1101" i="2"/>
  <c r="T1182" i="2"/>
  <c r="AA1211" i="2"/>
  <c r="AA1219" i="2"/>
  <c r="T1222" i="2"/>
  <c r="T1242" i="2"/>
  <c r="AQ1247" i="2"/>
  <c r="T1273" i="2"/>
  <c r="T1285" i="2"/>
  <c r="T884" i="2"/>
  <c r="T1090" i="2"/>
  <c r="AA1114" i="2"/>
  <c r="T1164" i="2"/>
  <c r="T1195" i="2"/>
  <c r="AC1211" i="2"/>
  <c r="AP1219" i="2"/>
  <c r="AV1230" i="2"/>
  <c r="Z1255" i="2"/>
  <c r="Z1267" i="2"/>
  <c r="AQ1278" i="2"/>
  <c r="AC1283" i="2"/>
  <c r="AC1114" i="2"/>
  <c r="Z1135" i="2"/>
  <c r="Z1159" i="2"/>
  <c r="AP1244" i="2"/>
  <c r="AC1255" i="2"/>
  <c r="AC1267" i="2"/>
  <c r="AQ1283" i="2"/>
  <c r="AQ1294" i="2"/>
  <c r="AQ1298" i="2"/>
  <c r="AQ244" i="2"/>
  <c r="AP244" i="2"/>
  <c r="AC244" i="2"/>
  <c r="AA244" i="2"/>
  <c r="Z244" i="2"/>
  <c r="T244" i="2"/>
  <c r="T34" i="2"/>
  <c r="T48" i="2"/>
  <c r="AV150" i="2"/>
  <c r="AQ213" i="2"/>
  <c r="T213" i="2"/>
  <c r="AS213" i="2" s="1"/>
  <c r="AQ234" i="2"/>
  <c r="AP234" i="2"/>
  <c r="AC234" i="2"/>
  <c r="AA234" i="2"/>
  <c r="AV317" i="2"/>
  <c r="AQ317" i="2"/>
  <c r="T317" i="2"/>
  <c r="T5" i="2"/>
  <c r="AW5" i="2" s="1"/>
  <c r="T6" i="2"/>
  <c r="AR6" i="2" s="1"/>
  <c r="T18" i="2"/>
  <c r="AV8" i="2"/>
  <c r="T17" i="2"/>
  <c r="AW17" i="2" s="1"/>
  <c r="AV20" i="2"/>
  <c r="T61" i="2"/>
  <c r="AW61" i="2" s="1"/>
  <c r="T77" i="2"/>
  <c r="AW77" i="2" s="1"/>
  <c r="AW81" i="2"/>
  <c r="T138" i="2"/>
  <c r="AA158" i="2"/>
  <c r="AQ158" i="2"/>
  <c r="AP158" i="2"/>
  <c r="Z158" i="2"/>
  <c r="T158" i="2"/>
  <c r="AC163" i="2"/>
  <c r="Z163" i="2"/>
  <c r="AV172" i="2"/>
  <c r="AP172" i="2"/>
  <c r="AC172" i="2"/>
  <c r="AA172" i="2"/>
  <c r="Z172" i="2"/>
  <c r="T172" i="2"/>
  <c r="AV176" i="2"/>
  <c r="AP176" i="2"/>
  <c r="AC176" i="2"/>
  <c r="AA176" i="2"/>
  <c r="Z176" i="2"/>
  <c r="AQ188" i="2"/>
  <c r="AP188" i="2"/>
  <c r="AA190" i="2"/>
  <c r="AC190" i="2"/>
  <c r="Z190" i="2"/>
  <c r="T190" i="2"/>
  <c r="AV225" i="2"/>
  <c r="AQ225" i="2"/>
  <c r="T225" i="2"/>
  <c r="AS225" i="2" s="1"/>
  <c r="AC281" i="2"/>
  <c r="AQ281" i="2"/>
  <c r="AP281" i="2"/>
  <c r="AA281" i="2"/>
  <c r="Z281" i="2"/>
  <c r="T281" i="2"/>
  <c r="AQ297" i="2"/>
  <c r="AP297" i="2"/>
  <c r="AA297" i="2"/>
  <c r="Z297" i="2"/>
  <c r="AC202" i="2"/>
  <c r="AP202" i="2"/>
  <c r="AA202" i="2"/>
  <c r="Z202" i="2"/>
  <c r="T202" i="2"/>
  <c r="AQ8" i="2"/>
  <c r="AQ20" i="2"/>
  <c r="T11" i="2"/>
  <c r="AW11" i="2" s="1"/>
  <c r="T23" i="2"/>
  <c r="AW23" i="2" s="1"/>
  <c r="T29" i="2"/>
  <c r="T30" i="2"/>
  <c r="AW40" i="2"/>
  <c r="AA45" i="2"/>
  <c r="T52" i="2"/>
  <c r="T56" i="2"/>
  <c r="T76" i="2"/>
  <c r="AA133" i="2"/>
  <c r="AC133" i="2"/>
  <c r="AP136" i="2"/>
  <c r="AV205" i="2"/>
  <c r="AQ205" i="2"/>
  <c r="AP205" i="2"/>
  <c r="AV216" i="2"/>
  <c r="AA216" i="2"/>
  <c r="Z216" i="2"/>
  <c r="T216" i="2"/>
  <c r="AC219" i="2"/>
  <c r="AA219" i="2"/>
  <c r="Z219" i="2"/>
  <c r="T219" i="2"/>
  <c r="AS219" i="2" s="1"/>
  <c r="AV219" i="2"/>
  <c r="AQ303" i="2"/>
  <c r="AR303" i="2" s="1"/>
  <c r="AP303" i="2"/>
  <c r="AC303" i="2"/>
  <c r="AA303" i="2"/>
  <c r="Z303" i="2"/>
  <c r="T303" i="2"/>
  <c r="AV303" i="2"/>
  <c r="AA138" i="2"/>
  <c r="AV186" i="2"/>
  <c r="AC186" i="2"/>
  <c r="AA186" i="2"/>
  <c r="AQ202" i="2"/>
  <c r="AC34" i="2"/>
  <c r="AA61" i="2"/>
  <c r="AC79" i="2"/>
  <c r="T89" i="2"/>
  <c r="AW89" i="2" s="1"/>
  <c r="T97" i="2"/>
  <c r="T106" i="2"/>
  <c r="AA115" i="2"/>
  <c r="AP115" i="2"/>
  <c r="AV118" i="2"/>
  <c r="T133" i="2"/>
  <c r="AC134" i="2"/>
  <c r="AC138" i="2"/>
  <c r="T140" i="2"/>
  <c r="AS140" i="2" s="1"/>
  <c r="Z146" i="2"/>
  <c r="AP146" i="2"/>
  <c r="T146" i="2"/>
  <c r="AS146" i="2" s="1"/>
  <c r="AQ154" i="2"/>
  <c r="AV154" i="2"/>
  <c r="AP154" i="2"/>
  <c r="Z154" i="2"/>
  <c r="AQ156" i="2"/>
  <c r="T156" i="2"/>
  <c r="AV169" i="2"/>
  <c r="Z169" i="2"/>
  <c r="AV202" i="2"/>
  <c r="AP222" i="2"/>
  <c r="AC222" i="2"/>
  <c r="AQ235" i="2"/>
  <c r="AV235" i="2"/>
  <c r="AP235" i="2"/>
  <c r="AC235" i="2"/>
  <c r="AA235" i="2"/>
  <c r="Z235" i="2"/>
  <c r="T235" i="2"/>
  <c r="AQ265" i="2"/>
  <c r="AC265" i="2"/>
  <c r="AA265" i="2"/>
  <c r="Z265" i="2"/>
  <c r="T265" i="2"/>
  <c r="Z6" i="2"/>
  <c r="Z118" i="2"/>
  <c r="AQ136" i="2"/>
  <c r="Z4" i="2"/>
  <c r="AV6" i="2"/>
  <c r="T8" i="2"/>
  <c r="Z11" i="2"/>
  <c r="AA17" i="2"/>
  <c r="AV18" i="2"/>
  <c r="T20" i="2"/>
  <c r="Z23" i="2"/>
  <c r="Z29" i="2"/>
  <c r="Z30" i="2"/>
  <c r="T33" i="2"/>
  <c r="AQ34" i="2"/>
  <c r="AV45" i="2"/>
  <c r="Z47" i="2"/>
  <c r="AC48" i="2"/>
  <c r="AT48" i="2" s="1"/>
  <c r="T51" i="2"/>
  <c r="AW51" i="2" s="1"/>
  <c r="AP52" i="2"/>
  <c r="AP56" i="2"/>
  <c r="Z76" i="2"/>
  <c r="AP79" i="2"/>
  <c r="AU79" i="2" s="1"/>
  <c r="Z101" i="2"/>
  <c r="Z110" i="2"/>
  <c r="AP138" i="2"/>
  <c r="AQ142" i="2"/>
  <c r="AV142" i="2"/>
  <c r="Z142" i="2"/>
  <c r="T142" i="2"/>
  <c r="AR142" i="2" s="1"/>
  <c r="T150" i="2"/>
  <c r="AC158" i="2"/>
  <c r="AA163" i="2"/>
  <c r="AQ172" i="2"/>
  <c r="AQ176" i="2"/>
  <c r="AR176" i="2" s="1"/>
  <c r="T186" i="2"/>
  <c r="AS186" i="2" s="1"/>
  <c r="AP190" i="2"/>
  <c r="AQ346" i="2"/>
  <c r="AP346" i="2"/>
  <c r="AA346" i="2"/>
  <c r="Z346" i="2"/>
  <c r="T346" i="2"/>
  <c r="AS346" i="2" s="1"/>
  <c r="AQ14" i="2"/>
  <c r="Z16" i="2"/>
  <c r="AC17" i="2"/>
  <c r="Z21" i="2"/>
  <c r="AA23" i="2"/>
  <c r="AQ26" i="2"/>
  <c r="AA29" i="2"/>
  <c r="AQ30" i="2"/>
  <c r="AA47" i="2"/>
  <c r="AP48" i="2"/>
  <c r="AQ52" i="2"/>
  <c r="AQ56" i="2"/>
  <c r="Z58" i="2"/>
  <c r="T70" i="2"/>
  <c r="Z75" i="2"/>
  <c r="AA76" i="2"/>
  <c r="AQ79" i="2"/>
  <c r="Z89" i="2"/>
  <c r="AR92" i="2"/>
  <c r="AA101" i="2"/>
  <c r="AA110" i="2"/>
  <c r="T115" i="2"/>
  <c r="AW115" i="2" s="1"/>
  <c r="Z127" i="2"/>
  <c r="AC131" i="2"/>
  <c r="T154" i="2"/>
  <c r="AV158" i="2"/>
  <c r="AP163" i="2"/>
  <c r="T169" i="2"/>
  <c r="AV173" i="2"/>
  <c r="AQ173" i="2"/>
  <c r="AP173" i="2"/>
  <c r="AC173" i="2"/>
  <c r="AA173" i="2"/>
  <c r="AQ174" i="2"/>
  <c r="AQ190" i="2"/>
  <c r="AV195" i="2"/>
  <c r="AC195" i="2"/>
  <c r="AA195" i="2"/>
  <c r="Z195" i="2"/>
  <c r="AP219" i="2"/>
  <c r="AP45" i="2"/>
  <c r="AW2" i="2"/>
  <c r="AA4" i="2"/>
  <c r="AQ5" i="2"/>
  <c r="AC23" i="2"/>
  <c r="Z28" i="2"/>
  <c r="AC29" i="2"/>
  <c r="T32" i="2"/>
  <c r="AS32" i="2" s="1"/>
  <c r="Z33" i="2"/>
  <c r="AC47" i="2"/>
  <c r="AV48" i="2"/>
  <c r="T55" i="2"/>
  <c r="AS55" i="2" s="1"/>
  <c r="AA58" i="2"/>
  <c r="T73" i="2"/>
  <c r="AU73" i="2" s="1"/>
  <c r="AA75" i="2"/>
  <c r="AC76" i="2"/>
  <c r="AA89" i="2"/>
  <c r="Z97" i="2"/>
  <c r="AC101" i="2"/>
  <c r="Z106" i="2"/>
  <c r="AC110" i="2"/>
  <c r="T117" i="2"/>
  <c r="AA124" i="2"/>
  <c r="AC124" i="2"/>
  <c r="AC127" i="2"/>
  <c r="AQ131" i="2"/>
  <c r="Z133" i="2"/>
  <c r="T135" i="2"/>
  <c r="AS135" i="2" s="1"/>
  <c r="AQ140" i="2"/>
  <c r="AQ163" i="2"/>
  <c r="AQ219" i="2"/>
  <c r="AV270" i="2"/>
  <c r="AS270" i="2"/>
  <c r="Z270" i="2"/>
  <c r="T270" i="2"/>
  <c r="AV381" i="2"/>
  <c r="AC381" i="2"/>
  <c r="AA381" i="2"/>
  <c r="Z381" i="2"/>
  <c r="T381" i="2"/>
  <c r="AV12" i="2"/>
  <c r="AW12" i="2" s="1"/>
  <c r="Z17" i="2"/>
  <c r="AC5" i="2"/>
  <c r="AP5" i="2"/>
  <c r="AU5" i="2" s="1"/>
  <c r="AP4" i="2"/>
  <c r="Z8" i="2"/>
  <c r="AP11" i="2"/>
  <c r="AC16" i="2"/>
  <c r="AQ17" i="2"/>
  <c r="Z20" i="2"/>
  <c r="AP23" i="2"/>
  <c r="AA28" i="2"/>
  <c r="AP29" i="2"/>
  <c r="AA33" i="2"/>
  <c r="AC44" i="2"/>
  <c r="AP47" i="2"/>
  <c r="Z51" i="2"/>
  <c r="AC58" i="2"/>
  <c r="Z71" i="2"/>
  <c r="AC75" i="2"/>
  <c r="AP76" i="2"/>
  <c r="AC89" i="2"/>
  <c r="AC97" i="2"/>
  <c r="AP101" i="2"/>
  <c r="AC106" i="2"/>
  <c r="AP110" i="2"/>
  <c r="AP127" i="2"/>
  <c r="AP133" i="2"/>
  <c r="T144" i="2"/>
  <c r="AW144" i="2" s="1"/>
  <c r="AA146" i="2"/>
  <c r="Z150" i="2"/>
  <c r="AV157" i="2"/>
  <c r="AP157" i="2"/>
  <c r="AP164" i="2"/>
  <c r="AC164" i="2"/>
  <c r="Z164" i="2"/>
  <c r="AP168" i="2"/>
  <c r="AV168" i="2"/>
  <c r="AQ168" i="2"/>
  <c r="Z168" i="2"/>
  <c r="T173" i="2"/>
  <c r="AS173" i="2" s="1"/>
  <c r="Z186" i="2"/>
  <c r="T195" i="2"/>
  <c r="AA222" i="2"/>
  <c r="AC231" i="2"/>
  <c r="AA231" i="2"/>
  <c r="Z231" i="2"/>
  <c r="T231" i="2"/>
  <c r="AV231" i="2"/>
  <c r="AP265" i="2"/>
  <c r="AQ316" i="2"/>
  <c r="AR316" i="2" s="1"/>
  <c r="AP316" i="2"/>
  <c r="AC316" i="2"/>
  <c r="AA316" i="2"/>
  <c r="Z316" i="2"/>
  <c r="T316" i="2"/>
  <c r="AV316" i="2"/>
  <c r="AV138" i="2"/>
  <c r="Z138" i="2"/>
  <c r="Z5" i="2"/>
  <c r="Z18" i="2"/>
  <c r="Z48" i="2"/>
  <c r="Z134" i="2"/>
  <c r="AA5" i="2"/>
  <c r="AC4" i="2"/>
  <c r="AC11" i="2"/>
  <c r="AA16" i="2"/>
  <c r="AP17" i="2"/>
  <c r="AQ11" i="2"/>
  <c r="AQ23" i="2"/>
  <c r="AQ44" i="2"/>
  <c r="AA51" i="2"/>
  <c r="AP58" i="2"/>
  <c r="AW67" i="2"/>
  <c r="AP75" i="2"/>
  <c r="AQ76" i="2"/>
  <c r="AP89" i="2"/>
  <c r="AP97" i="2"/>
  <c r="AP106" i="2"/>
  <c r="Z115" i="2"/>
  <c r="Z119" i="2"/>
  <c r="T124" i="2"/>
  <c r="AW124" i="2" s="1"/>
  <c r="AQ133" i="2"/>
  <c r="T139" i="2"/>
  <c r="AV140" i="2"/>
  <c r="AA142" i="2"/>
  <c r="AC146" i="2"/>
  <c r="AA150" i="2"/>
  <c r="AA154" i="2"/>
  <c r="AA169" i="2"/>
  <c r="Z182" i="2"/>
  <c r="AV292" i="2"/>
  <c r="AA292" i="2"/>
  <c r="Z292" i="2"/>
  <c r="T292" i="2"/>
  <c r="AC51" i="2"/>
  <c r="Z62" i="2"/>
  <c r="AA70" i="2"/>
  <c r="AC71" i="2"/>
  <c r="Z73" i="2"/>
  <c r="AQ83" i="2"/>
  <c r="AC83" i="2"/>
  <c r="AQ89" i="2"/>
  <c r="AQ97" i="2"/>
  <c r="AQ106" i="2"/>
  <c r="AC115" i="2"/>
  <c r="Z121" i="2"/>
  <c r="AV133" i="2"/>
  <c r="AP135" i="2"/>
  <c r="AC142" i="2"/>
  <c r="AQ146" i="2"/>
  <c r="AC150" i="2"/>
  <c r="AC154" i="2"/>
  <c r="T164" i="2"/>
  <c r="T168" i="2"/>
  <c r="AS168" i="2" s="1"/>
  <c r="AC169" i="2"/>
  <c r="Z215" i="2"/>
  <c r="AV215" i="2"/>
  <c r="AQ215" i="2"/>
  <c r="AR215" i="2" s="1"/>
  <c r="AP215" i="2"/>
  <c r="AC215" i="2"/>
  <c r="AA215" i="2"/>
  <c r="T215" i="2"/>
  <c r="Z239" i="2"/>
  <c r="AV239" i="2"/>
  <c r="AQ239" i="2"/>
  <c r="AP239" i="2"/>
  <c r="AC239" i="2"/>
  <c r="AA239" i="2"/>
  <c r="T239" i="2"/>
  <c r="AS239" i="2" s="1"/>
  <c r="AQ273" i="2"/>
  <c r="AP273" i="2"/>
  <c r="AC273" i="2"/>
  <c r="AA273" i="2"/>
  <c r="Z273" i="2"/>
  <c r="T273" i="2"/>
  <c r="AV273" i="2"/>
  <c r="AV342" i="2"/>
  <c r="AC342" i="2"/>
  <c r="AA342" i="2"/>
  <c r="T342" i="2"/>
  <c r="T271" i="2"/>
  <c r="T279" i="2"/>
  <c r="T298" i="2"/>
  <c r="AW298" i="2" s="1"/>
  <c r="AQ396" i="2"/>
  <c r="Z396" i="2"/>
  <c r="T396" i="2"/>
  <c r="AQ459" i="2"/>
  <c r="AC459" i="2"/>
  <c r="AP500" i="2"/>
  <c r="T500" i="2"/>
  <c r="Z595" i="2"/>
  <c r="T595" i="2"/>
  <c r="AS595" i="2" s="1"/>
  <c r="AQ651" i="2"/>
  <c r="AP651" i="2"/>
  <c r="AV651" i="2"/>
  <c r="AC651" i="2"/>
  <c r="AA651" i="2"/>
  <c r="Z651" i="2"/>
  <c r="T651" i="2"/>
  <c r="AV742" i="2"/>
  <c r="AC742" i="2"/>
  <c r="AA742" i="2"/>
  <c r="AA167" i="2"/>
  <c r="AP189" i="2"/>
  <c r="AA198" i="2"/>
  <c r="AP199" i="2"/>
  <c r="Z207" i="2"/>
  <c r="Z248" i="2"/>
  <c r="Z261" i="2"/>
  <c r="AA268" i="2"/>
  <c r="AQ272" i="2"/>
  <c r="Z277" i="2"/>
  <c r="T282" i="2"/>
  <c r="Z290" i="2"/>
  <c r="AC295" i="2"/>
  <c r="AT295" i="2" s="1"/>
  <c r="AQ302" i="2"/>
  <c r="T312" i="2"/>
  <c r="AU312" i="2" s="1"/>
  <c r="AQ314" i="2"/>
  <c r="AR314" i="2" s="1"/>
  <c r="Z335" i="2"/>
  <c r="T347" i="2"/>
  <c r="AR347" i="2" s="1"/>
  <c r="Z361" i="2"/>
  <c r="Z362" i="2"/>
  <c r="Z368" i="2"/>
  <c r="T382" i="2"/>
  <c r="AC398" i="2"/>
  <c r="AQ398" i="2"/>
  <c r="AV637" i="2"/>
  <c r="AW637" i="2" s="1"/>
  <c r="T637" i="2"/>
  <c r="AC657" i="2"/>
  <c r="AA657" i="2"/>
  <c r="AV657" i="2"/>
  <c r="AQ657" i="2"/>
  <c r="AP657" i="2"/>
  <c r="Z657" i="2"/>
  <c r="T657" i="2"/>
  <c r="AV715" i="2"/>
  <c r="T715" i="2"/>
  <c r="Z410" i="2"/>
  <c r="T428" i="2"/>
  <c r="AP491" i="2"/>
  <c r="T491" i="2"/>
  <c r="AU491" i="2" s="1"/>
  <c r="AQ517" i="2"/>
  <c r="AA517" i="2"/>
  <c r="AQ525" i="2"/>
  <c r="AR525" i="2" s="1"/>
  <c r="AC525" i="2"/>
  <c r="AA525" i="2"/>
  <c r="AC535" i="2"/>
  <c r="Z535" i="2"/>
  <c r="AQ727" i="2"/>
  <c r="AA727" i="2"/>
  <c r="Z727" i="2"/>
  <c r="T727" i="2"/>
  <c r="AP211" i="2"/>
  <c r="T227" i="2"/>
  <c r="AW227" i="2" s="1"/>
  <c r="T232" i="2"/>
  <c r="AP248" i="2"/>
  <c r="T250" i="2"/>
  <c r="AC261" i="2"/>
  <c r="AP268" i="2"/>
  <c r="AP271" i="2"/>
  <c r="Z276" i="2"/>
  <c r="AC277" i="2"/>
  <c r="AP279" i="2"/>
  <c r="AA285" i="2"/>
  <c r="AP290" i="2"/>
  <c r="AQ295" i="2"/>
  <c r="Z298" i="2"/>
  <c r="T304" i="2"/>
  <c r="AV308" i="2"/>
  <c r="AA313" i="2"/>
  <c r="AP323" i="2"/>
  <c r="AV324" i="2"/>
  <c r="T326" i="2"/>
  <c r="Z329" i="2"/>
  <c r="AC335" i="2"/>
  <c r="AT335" i="2" s="1"/>
  <c r="T353" i="2"/>
  <c r="Z354" i="2"/>
  <c r="AV358" i="2"/>
  <c r="AW358" i="2" s="1"/>
  <c r="AC361" i="2"/>
  <c r="AC362" i="2"/>
  <c r="AC368" i="2"/>
  <c r="AC396" i="2"/>
  <c r="T398" i="2"/>
  <c r="AS398" i="2" s="1"/>
  <c r="AP409" i="2"/>
  <c r="Z409" i="2"/>
  <c r="Z468" i="2"/>
  <c r="AC473" i="2"/>
  <c r="AV479" i="2"/>
  <c r="AQ479" i="2"/>
  <c r="AC481" i="2"/>
  <c r="Z481" i="2"/>
  <c r="T481" i="2"/>
  <c r="AS481" i="2" s="1"/>
  <c r="AV493" i="2"/>
  <c r="AA493" i="2"/>
  <c r="Z504" i="2"/>
  <c r="Z543" i="2"/>
  <c r="AQ546" i="2"/>
  <c r="AR546" i="2" s="1"/>
  <c r="AC546" i="2"/>
  <c r="Z546" i="2"/>
  <c r="AP565" i="2"/>
  <c r="AC565" i="2"/>
  <c r="Z565" i="2"/>
  <c r="AQ167" i="2"/>
  <c r="AQ198" i="2"/>
  <c r="AP207" i="2"/>
  <c r="AV211" i="2"/>
  <c r="AQ248" i="2"/>
  <c r="Z252" i="2"/>
  <c r="Z260" i="2"/>
  <c r="AP261" i="2"/>
  <c r="AQ271" i="2"/>
  <c r="AA276" i="2"/>
  <c r="AP277" i="2"/>
  <c r="AQ279" i="2"/>
  <c r="Z282" i="2"/>
  <c r="AA298" i="2"/>
  <c r="Z312" i="2"/>
  <c r="AC313" i="2"/>
  <c r="AQ323" i="2"/>
  <c r="Z328" i="2"/>
  <c r="AA329" i="2"/>
  <c r="AA334" i="2"/>
  <c r="AP335" i="2"/>
  <c r="AU335" i="2" s="1"/>
  <c r="Z347" i="2"/>
  <c r="AA354" i="2"/>
  <c r="AP361" i="2"/>
  <c r="AP362" i="2"/>
  <c r="AP368" i="2"/>
  <c r="AC382" i="2"/>
  <c r="AP459" i="2"/>
  <c r="AC468" i="2"/>
  <c r="AQ477" i="2"/>
  <c r="AA477" i="2"/>
  <c r="AC504" i="2"/>
  <c r="AC543" i="2"/>
  <c r="AP562" i="2"/>
  <c r="AV562" i="2"/>
  <c r="AC562" i="2"/>
  <c r="Z562" i="2"/>
  <c r="T562" i="2"/>
  <c r="AC600" i="2"/>
  <c r="AA600" i="2"/>
  <c r="Z600" i="2"/>
  <c r="T600" i="2"/>
  <c r="AV600" i="2"/>
  <c r="AV646" i="2"/>
  <c r="AC646" i="2"/>
  <c r="AT646" i="2" s="1"/>
  <c r="AA646" i="2"/>
  <c r="Z646" i="2"/>
  <c r="T646" i="2"/>
  <c r="AQ693" i="2"/>
  <c r="AP693" i="2"/>
  <c r="AC693" i="2"/>
  <c r="AV693" i="2"/>
  <c r="AA693" i="2"/>
  <c r="Z693" i="2"/>
  <c r="T693" i="2"/>
  <c r="AQ760" i="2"/>
  <c r="AC760" i="2"/>
  <c r="T760" i="2"/>
  <c r="AQ765" i="2"/>
  <c r="AP765" i="2"/>
  <c r="AC765" i="2"/>
  <c r="AA765" i="2"/>
  <c r="Z765" i="2"/>
  <c r="AV765" i="2"/>
  <c r="T765" i="2"/>
  <c r="AS765" i="2" s="1"/>
  <c r="Z185" i="2"/>
  <c r="AV198" i="2"/>
  <c r="Z203" i="2"/>
  <c r="Z243" i="2"/>
  <c r="AV248" i="2"/>
  <c r="AA252" i="2"/>
  <c r="Z257" i="2"/>
  <c r="AA260" i="2"/>
  <c r="AQ261" i="2"/>
  <c r="AC276" i="2"/>
  <c r="Z284" i="2"/>
  <c r="AC298" i="2"/>
  <c r="Z305" i="2"/>
  <c r="AA312" i="2"/>
  <c r="AA328" i="2"/>
  <c r="AC329" i="2"/>
  <c r="AP334" i="2"/>
  <c r="AV335" i="2"/>
  <c r="AW335" i="2" s="1"/>
  <c r="AA347" i="2"/>
  <c r="AQ361" i="2"/>
  <c r="AR361" i="2" s="1"/>
  <c r="AQ362" i="2"/>
  <c r="AQ368" i="2"/>
  <c r="AQ370" i="2"/>
  <c r="Z374" i="2"/>
  <c r="AQ382" i="2"/>
  <c r="AS396" i="2"/>
  <c r="AQ467" i="2"/>
  <c r="AC467" i="2"/>
  <c r="AP474" i="2"/>
  <c r="AA474" i="2"/>
  <c r="AP497" i="2"/>
  <c r="T497" i="2"/>
  <c r="AU497" i="2" s="1"/>
  <c r="AQ503" i="2"/>
  <c r="AC503" i="2"/>
  <c r="AP509" i="2"/>
  <c r="AQ509" i="2"/>
  <c r="AP514" i="2"/>
  <c r="AC514" i="2"/>
  <c r="Z514" i="2"/>
  <c r="AQ531" i="2"/>
  <c r="AC531" i="2"/>
  <c r="AA531" i="2"/>
  <c r="AV556" i="2"/>
  <c r="T556" i="2"/>
  <c r="AW556" i="2" s="1"/>
  <c r="AC570" i="2"/>
  <c r="Z570" i="2"/>
  <c r="T570" i="2"/>
  <c r="AS570" i="2" s="1"/>
  <c r="AV570" i="2"/>
  <c r="AV807" i="2"/>
  <c r="AP807" i="2"/>
  <c r="AC807" i="2"/>
  <c r="AA807" i="2"/>
  <c r="Z807" i="2"/>
  <c r="T807" i="2"/>
  <c r="AQ807" i="2"/>
  <c r="AV170" i="2"/>
  <c r="AA203" i="2"/>
  <c r="AC252" i="2"/>
  <c r="AA257" i="2"/>
  <c r="AP260" i="2"/>
  <c r="AP276" i="2"/>
  <c r="AP298" i="2"/>
  <c r="AC312" i="2"/>
  <c r="AC328" i="2"/>
  <c r="AQ334" i="2"/>
  <c r="AC347" i="2"/>
  <c r="AT347" i="2" s="1"/>
  <c r="AQ356" i="2"/>
  <c r="T359" i="2"/>
  <c r="AW359" i="2" s="1"/>
  <c r="AS361" i="2"/>
  <c r="T365" i="2"/>
  <c r="AT365" i="2" s="1"/>
  <c r="AQ367" i="2"/>
  <c r="AV368" i="2"/>
  <c r="AW368" i="2" s="1"/>
  <c r="AA374" i="2"/>
  <c r="T380" i="2"/>
  <c r="T395" i="2"/>
  <c r="AS397" i="2"/>
  <c r="AP397" i="2"/>
  <c r="AA397" i="2"/>
  <c r="AA398" i="2"/>
  <c r="AC491" i="2"/>
  <c r="AP499" i="2"/>
  <c r="Z499" i="2"/>
  <c r="Z517" i="2"/>
  <c r="AA535" i="2"/>
  <c r="AC634" i="2"/>
  <c r="AA634" i="2"/>
  <c r="Z634" i="2"/>
  <c r="T634" i="2"/>
  <c r="T699" i="2"/>
  <c r="AV699" i="2"/>
  <c r="AQ699" i="2"/>
  <c r="AP699" i="2"/>
  <c r="AC699" i="2"/>
  <c r="AA699" i="2"/>
  <c r="Z699" i="2"/>
  <c r="AV167" i="2"/>
  <c r="AC203" i="2"/>
  <c r="AT203" i="2" s="1"/>
  <c r="T223" i="2"/>
  <c r="AC227" i="2"/>
  <c r="AC243" i="2"/>
  <c r="AP252" i="2"/>
  <c r="Z256" i="2"/>
  <c r="AP257" i="2"/>
  <c r="AQ260" i="2"/>
  <c r="T269" i="2"/>
  <c r="AP284" i="2"/>
  <c r="AA304" i="2"/>
  <c r="AP312" i="2"/>
  <c r="AP328" i="2"/>
  <c r="AP347" i="2"/>
  <c r="AA353" i="2"/>
  <c r="AA366" i="2"/>
  <c r="AC374" i="2"/>
  <c r="AT374" i="2" s="1"/>
  <c r="AA376" i="2"/>
  <c r="AP398" i="2"/>
  <c r="AS422" i="2"/>
  <c r="T424" i="2"/>
  <c r="AR424" i="2" s="1"/>
  <c r="AQ440" i="2"/>
  <c r="AC453" i="2"/>
  <c r="T460" i="2"/>
  <c r="T467" i="2"/>
  <c r="AA481" i="2"/>
  <c r="AC490" i="2"/>
  <c r="Z490" i="2"/>
  <c r="AQ491" i="2"/>
  <c r="T503" i="2"/>
  <c r="AU503" i="2" s="1"/>
  <c r="T514" i="2"/>
  <c r="AC517" i="2"/>
  <c r="Z525" i="2"/>
  <c r="T531" i="2"/>
  <c r="AQ535" i="2"/>
  <c r="AC576" i="2"/>
  <c r="Z576" i="2"/>
  <c r="T576" i="2"/>
  <c r="AV576" i="2"/>
  <c r="AW576" i="2" s="1"/>
  <c r="AQ580" i="2"/>
  <c r="AP580" i="2"/>
  <c r="AC580" i="2"/>
  <c r="AA580" i="2"/>
  <c r="Z580" i="2"/>
  <c r="T580" i="2"/>
  <c r="AP203" i="2"/>
  <c r="AW233" i="2"/>
  <c r="AQ257" i="2"/>
  <c r="AR257" i="2" s="1"/>
  <c r="AQ312" i="2"/>
  <c r="AQ328" i="2"/>
  <c r="AV347" i="2"/>
  <c r="Z373" i="2"/>
  <c r="AP374" i="2"/>
  <c r="AU374" i="2" s="1"/>
  <c r="AC376" i="2"/>
  <c r="AP392" i="2"/>
  <c r="AC408" i="2"/>
  <c r="AV408" i="2"/>
  <c r="AP408" i="2"/>
  <c r="Z408" i="2"/>
  <c r="AA409" i="2"/>
  <c r="AQ453" i="2"/>
  <c r="Z472" i="2"/>
  <c r="Z477" i="2"/>
  <c r="AC479" i="2"/>
  <c r="AP481" i="2"/>
  <c r="AP493" i="2"/>
  <c r="AU493" i="2" s="1"/>
  <c r="T499" i="2"/>
  <c r="Z501" i="2"/>
  <c r="AQ518" i="2"/>
  <c r="AC518" i="2"/>
  <c r="AA518" i="2"/>
  <c r="AP525" i="2"/>
  <c r="AA546" i="2"/>
  <c r="AA562" i="2"/>
  <c r="AA565" i="2"/>
  <c r="AV594" i="2"/>
  <c r="AQ594" i="2"/>
  <c r="AP594" i="2"/>
  <c r="AC594" i="2"/>
  <c r="AA594" i="2"/>
  <c r="Z594" i="2"/>
  <c r="T594" i="2"/>
  <c r="AP600" i="2"/>
  <c r="AA697" i="2"/>
  <c r="AC697" i="2"/>
  <c r="AU88" i="2"/>
  <c r="T167" i="2"/>
  <c r="AS167" i="2" s="1"/>
  <c r="AC175" i="2"/>
  <c r="AA180" i="2"/>
  <c r="AQ181" i="2"/>
  <c r="T187" i="2"/>
  <c r="AS187" i="2" s="1"/>
  <c r="AQ227" i="2"/>
  <c r="AR227" i="2" s="1"/>
  <c r="Z308" i="2"/>
  <c r="Z365" i="2"/>
  <c r="AA373" i="2"/>
  <c r="AQ374" i="2"/>
  <c r="AP376" i="2"/>
  <c r="Z380" i="2"/>
  <c r="AQ392" i="2"/>
  <c r="AA395" i="2"/>
  <c r="AQ432" i="2"/>
  <c r="AC432" i="2"/>
  <c r="Z432" i="2"/>
  <c r="AC462" i="2"/>
  <c r="Z462" i="2"/>
  <c r="AC472" i="2"/>
  <c r="Z474" i="2"/>
  <c r="AC476" i="2"/>
  <c r="AV476" i="2"/>
  <c r="AR476" i="2"/>
  <c r="AC477" i="2"/>
  <c r="AQ480" i="2"/>
  <c r="AC480" i="2"/>
  <c r="AV494" i="2"/>
  <c r="AP494" i="2"/>
  <c r="T494" i="2"/>
  <c r="AU494" i="2" s="1"/>
  <c r="AC497" i="2"/>
  <c r="AP501" i="2"/>
  <c r="AC509" i="2"/>
  <c r="AP546" i="2"/>
  <c r="AC556" i="2"/>
  <c r="AQ565" i="2"/>
  <c r="AA570" i="2"/>
  <c r="AV597" i="2"/>
  <c r="AQ597" i="2"/>
  <c r="AP597" i="2"/>
  <c r="AC597" i="2"/>
  <c r="AA597" i="2"/>
  <c r="Z597" i="2"/>
  <c r="T597" i="2"/>
  <c r="AQ600" i="2"/>
  <c r="Z625" i="2"/>
  <c r="AV625" i="2"/>
  <c r="AC625" i="2"/>
  <c r="AA625" i="2"/>
  <c r="T625" i="2"/>
  <c r="AP639" i="2"/>
  <c r="AC639" i="2"/>
  <c r="AA639" i="2"/>
  <c r="Z639" i="2"/>
  <c r="T639" i="2"/>
  <c r="AV660" i="2"/>
  <c r="AW660" i="2" s="1"/>
  <c r="AQ660" i="2"/>
  <c r="AP660" i="2"/>
  <c r="AC660" i="2"/>
  <c r="AA660" i="2"/>
  <c r="Z660" i="2"/>
  <c r="T660" i="2"/>
  <c r="AV706" i="2"/>
  <c r="T706" i="2"/>
  <c r="Z723" i="2"/>
  <c r="T723" i="2"/>
  <c r="AV723" i="2"/>
  <c r="AQ723" i="2"/>
  <c r="AP723" i="2"/>
  <c r="AC723" i="2"/>
  <c r="AA723" i="2"/>
  <c r="AV789" i="2"/>
  <c r="AP789" i="2"/>
  <c r="AC789" i="2"/>
  <c r="AA789" i="2"/>
  <c r="Z789" i="2"/>
  <c r="T789" i="2"/>
  <c r="AS789" i="2" s="1"/>
  <c r="AQ789" i="2"/>
  <c r="AW311" i="2"/>
  <c r="AV374" i="2"/>
  <c r="AW374" i="2" s="1"/>
  <c r="AQ376" i="2"/>
  <c r="Z383" i="2"/>
  <c r="AU394" i="2"/>
  <c r="AC395" i="2"/>
  <c r="T399" i="2"/>
  <c r="T408" i="2"/>
  <c r="AP417" i="2"/>
  <c r="AA424" i="2"/>
  <c r="AP455" i="2"/>
  <c r="Z460" i="2"/>
  <c r="AP467" i="2"/>
  <c r="AP472" i="2"/>
  <c r="AC474" i="2"/>
  <c r="AV478" i="2"/>
  <c r="Z478" i="2"/>
  <c r="T478" i="2"/>
  <c r="AC496" i="2"/>
  <c r="Z496" i="2"/>
  <c r="AQ497" i="2"/>
  <c r="AQ501" i="2"/>
  <c r="AP503" i="2"/>
  <c r="AQ510" i="2"/>
  <c r="AC510" i="2"/>
  <c r="Z510" i="2"/>
  <c r="AA514" i="2"/>
  <c r="T518" i="2"/>
  <c r="AS530" i="2"/>
  <c r="AQ530" i="2"/>
  <c r="AR530" i="2" s="1"/>
  <c r="Z530" i="2"/>
  <c r="Z531" i="2"/>
  <c r="AV546" i="2"/>
  <c r="AV561" i="2"/>
  <c r="AW561" i="2" s="1"/>
  <c r="AP561" i="2"/>
  <c r="AC561" i="2"/>
  <c r="AA561" i="2"/>
  <c r="T561" i="2"/>
  <c r="AR561" i="2" s="1"/>
  <c r="AV565" i="2"/>
  <c r="AP570" i="2"/>
  <c r="AA635" i="2"/>
  <c r="T635" i="2"/>
  <c r="AV635" i="2"/>
  <c r="AC755" i="2"/>
  <c r="AA755" i="2"/>
  <c r="Z755" i="2"/>
  <c r="AQ755" i="2"/>
  <c r="AP755" i="2"/>
  <c r="T755" i="2"/>
  <c r="AP468" i="2"/>
  <c r="AA468" i="2"/>
  <c r="AQ471" i="2"/>
  <c r="Z471" i="2"/>
  <c r="AV473" i="2"/>
  <c r="AP473" i="2"/>
  <c r="AA504" i="2"/>
  <c r="AQ504" i="2"/>
  <c r="AV543" i="2"/>
  <c r="AP543" i="2"/>
  <c r="AA543" i="2"/>
  <c r="T543" i="2"/>
  <c r="Z569" i="2"/>
  <c r="T569" i="2"/>
  <c r="AV569" i="2"/>
  <c r="AP569" i="2"/>
  <c r="AQ570" i="2"/>
  <c r="T666" i="2"/>
  <c r="AV666" i="2"/>
  <c r="AW666" i="2" s="1"/>
  <c r="AQ666" i="2"/>
  <c r="AP666" i="2"/>
  <c r="AC666" i="2"/>
  <c r="AA666" i="2"/>
  <c r="AV720" i="2"/>
  <c r="AQ720" i="2"/>
  <c r="AR720" i="2" s="1"/>
  <c r="AP720" i="2"/>
  <c r="AC720" i="2"/>
  <c r="AA720" i="2"/>
  <c r="Z720" i="2"/>
  <c r="T720" i="2"/>
  <c r="AA568" i="2"/>
  <c r="AA573" i="2"/>
  <c r="AA583" i="2"/>
  <c r="AA591" i="2"/>
  <c r="AQ638" i="2"/>
  <c r="AC737" i="2"/>
  <c r="Z800" i="2"/>
  <c r="AQ800" i="2"/>
  <c r="AP800" i="2"/>
  <c r="AC800" i="2"/>
  <c r="AA800" i="2"/>
  <c r="T800" i="2"/>
  <c r="AC568" i="2"/>
  <c r="AT568" i="2" s="1"/>
  <c r="AC573" i="2"/>
  <c r="AC583" i="2"/>
  <c r="AT583" i="2" s="1"/>
  <c r="AC591" i="2"/>
  <c r="AA605" i="2"/>
  <c r="AA611" i="2"/>
  <c r="AA620" i="2"/>
  <c r="AC632" i="2"/>
  <c r="AA641" i="2"/>
  <c r="AC674" i="2"/>
  <c r="AA674" i="2"/>
  <c r="Z675" i="2"/>
  <c r="AV681" i="2"/>
  <c r="AQ681" i="2"/>
  <c r="AC686" i="2"/>
  <c r="AA686" i="2"/>
  <c r="Z686" i="2"/>
  <c r="AC733" i="2"/>
  <c r="AA733" i="2"/>
  <c r="Z733" i="2"/>
  <c r="AP737" i="2"/>
  <c r="AV753" i="2"/>
  <c r="AQ753" i="2"/>
  <c r="AP753" i="2"/>
  <c r="AC753" i="2"/>
  <c r="AA753" i="2"/>
  <c r="AC774" i="2"/>
  <c r="Z774" i="2"/>
  <c r="T774" i="2"/>
  <c r="AQ792" i="2"/>
  <c r="AP792" i="2"/>
  <c r="AC792" i="2"/>
  <c r="AA792" i="2"/>
  <c r="Z792" i="2"/>
  <c r="AV794" i="2"/>
  <c r="AW794" i="2" s="1"/>
  <c r="AQ794" i="2"/>
  <c r="AP794" i="2"/>
  <c r="AC794" i="2"/>
  <c r="AA794" i="2"/>
  <c r="Z794" i="2"/>
  <c r="AA714" i="2"/>
  <c r="Z714" i="2"/>
  <c r="T714" i="2"/>
  <c r="AU714" i="2" s="1"/>
  <c r="AQ737" i="2"/>
  <c r="Z741" i="2"/>
  <c r="T741" i="2"/>
  <c r="AV413" i="2"/>
  <c r="T416" i="2"/>
  <c r="T420" i="2"/>
  <c r="AW420" i="2" s="1"/>
  <c r="AV423" i="2"/>
  <c r="AA513" i="2"/>
  <c r="AA516" i="2"/>
  <c r="AV519" i="2"/>
  <c r="AW519" i="2" s="1"/>
  <c r="AU552" i="2"/>
  <c r="T554" i="2"/>
  <c r="T558" i="2"/>
  <c r="AQ573" i="2"/>
  <c r="AV588" i="2"/>
  <c r="AQ591" i="2"/>
  <c r="T593" i="2"/>
  <c r="T603" i="2"/>
  <c r="T609" i="2"/>
  <c r="AS609" i="2" s="1"/>
  <c r="T618" i="2"/>
  <c r="AS618" i="2" s="1"/>
  <c r="T656" i="2"/>
  <c r="AP663" i="2"/>
  <c r="AP670" i="2"/>
  <c r="AC675" i="2"/>
  <c r="T681" i="2"/>
  <c r="T686" i="2"/>
  <c r="AQ687" i="2"/>
  <c r="AS701" i="2"/>
  <c r="Z701" i="2"/>
  <c r="AA705" i="2"/>
  <c r="Z705" i="2"/>
  <c r="T705" i="2"/>
  <c r="AU705" i="2" s="1"/>
  <c r="AQ730" i="2"/>
  <c r="AC730" i="2"/>
  <c r="T733" i="2"/>
  <c r="AV745" i="2"/>
  <c r="AQ745" i="2"/>
  <c r="AA745" i="2"/>
  <c r="Z745" i="2"/>
  <c r="T753" i="2"/>
  <c r="AC759" i="2"/>
  <c r="Z759" i="2"/>
  <c r="T759" i="2"/>
  <c r="AS759" i="2" s="1"/>
  <c r="T792" i="2"/>
  <c r="T794" i="2"/>
  <c r="AV803" i="2"/>
  <c r="T803" i="2"/>
  <c r="AS803" i="2" s="1"/>
  <c r="AQ810" i="2"/>
  <c r="AC810" i="2"/>
  <c r="AA810" i="2"/>
  <c r="Z810" i="2"/>
  <c r="T810" i="2"/>
  <c r="AC824" i="2"/>
  <c r="T824" i="2"/>
  <c r="Z579" i="2"/>
  <c r="AV591" i="2"/>
  <c r="AW591" i="2" s="1"/>
  <c r="AP653" i="2"/>
  <c r="Z672" i="2"/>
  <c r="AP690" i="2"/>
  <c r="AC690" i="2"/>
  <c r="AA690" i="2"/>
  <c r="AQ726" i="2"/>
  <c r="AP726" i="2"/>
  <c r="AU726" i="2" s="1"/>
  <c r="AC726" i="2"/>
  <c r="AA726" i="2"/>
  <c r="Z726" i="2"/>
  <c r="AC738" i="2"/>
  <c r="AA738" i="2"/>
  <c r="Z738" i="2"/>
  <c r="AV800" i="2"/>
  <c r="AC808" i="2"/>
  <c r="AA808" i="2"/>
  <c r="Z808" i="2"/>
  <c r="AV819" i="2"/>
  <c r="AP819" i="2"/>
  <c r="AC819" i="2"/>
  <c r="AA819" i="2"/>
  <c r="Z819" i="2"/>
  <c r="T819" i="2"/>
  <c r="AR819" i="2" s="1"/>
  <c r="Z484" i="2"/>
  <c r="AA487" i="2"/>
  <c r="AA502" i="2"/>
  <c r="Z534" i="2"/>
  <c r="Z555" i="2"/>
  <c r="AA579" i="2"/>
  <c r="Z604" i="2"/>
  <c r="Z610" i="2"/>
  <c r="AA615" i="2"/>
  <c r="Z619" i="2"/>
  <c r="Z624" i="2"/>
  <c r="Z640" i="2"/>
  <c r="Z645" i="2"/>
  <c r="AA671" i="2"/>
  <c r="Z671" i="2"/>
  <c r="AA672" i="2"/>
  <c r="Z674" i="2"/>
  <c r="Z696" i="2"/>
  <c r="AA732" i="2"/>
  <c r="Z732" i="2"/>
  <c r="T732" i="2"/>
  <c r="AP769" i="2"/>
  <c r="AC769" i="2"/>
  <c r="Z769" i="2"/>
  <c r="T769" i="2"/>
  <c r="AW769" i="2" s="1"/>
  <c r="AA774" i="2"/>
  <c r="AV781" i="2"/>
  <c r="Z781" i="2"/>
  <c r="AQ783" i="2"/>
  <c r="AP783" i="2"/>
  <c r="AC783" i="2"/>
  <c r="AA783" i="2"/>
  <c r="Z783" i="2"/>
  <c r="AC615" i="2"/>
  <c r="Z618" i="2"/>
  <c r="AA619" i="2"/>
  <c r="AA624" i="2"/>
  <c r="Z629" i="2"/>
  <c r="AV629" i="2"/>
  <c r="AA640" i="2"/>
  <c r="AA645" i="2"/>
  <c r="AA656" i="2"/>
  <c r="AQ672" i="2"/>
  <c r="AP674" i="2"/>
  <c r="AP680" i="2"/>
  <c r="AC680" i="2"/>
  <c r="AT680" i="2" s="1"/>
  <c r="AA680" i="2"/>
  <c r="Z681" i="2"/>
  <c r="AP686" i="2"/>
  <c r="AU686" i="2" s="1"/>
  <c r="AA696" i="2"/>
  <c r="AC714" i="2"/>
  <c r="AV719" i="2"/>
  <c r="T719" i="2"/>
  <c r="AA741" i="2"/>
  <c r="AW756" i="2"/>
  <c r="AQ756" i="2"/>
  <c r="AP756" i="2"/>
  <c r="AC756" i="2"/>
  <c r="AA756" i="2"/>
  <c r="Z756" i="2"/>
  <c r="AP779" i="2"/>
  <c r="AC779" i="2"/>
  <c r="AA779" i="2"/>
  <c r="Z779" i="2"/>
  <c r="AV795" i="2"/>
  <c r="AW795" i="2" s="1"/>
  <c r="AQ795" i="2"/>
  <c r="AP795" i="2"/>
  <c r="AC795" i="2"/>
  <c r="AA795" i="2"/>
  <c r="Z795" i="2"/>
  <c r="AV835" i="2"/>
  <c r="Z835" i="2"/>
  <c r="T400" i="2"/>
  <c r="T413" i="2"/>
  <c r="AA416" i="2"/>
  <c r="AP502" i="2"/>
  <c r="T508" i="2"/>
  <c r="T532" i="2"/>
  <c r="AS532" i="2" s="1"/>
  <c r="AC534" i="2"/>
  <c r="AA554" i="2"/>
  <c r="AC555" i="2"/>
  <c r="AA558" i="2"/>
  <c r="AP579" i="2"/>
  <c r="AC593" i="2"/>
  <c r="T599" i="2"/>
  <c r="AA603" i="2"/>
  <c r="AC604" i="2"/>
  <c r="AA609" i="2"/>
  <c r="AV610" i="2"/>
  <c r="AP615" i="2"/>
  <c r="AA618" i="2"/>
  <c r="AC619" i="2"/>
  <c r="AC624" i="2"/>
  <c r="AC640" i="2"/>
  <c r="AC645" i="2"/>
  <c r="AC656" i="2"/>
  <c r="AT656" i="2" s="1"/>
  <c r="AQ674" i="2"/>
  <c r="AA681" i="2"/>
  <c r="AQ686" i="2"/>
  <c r="AC696" i="2"/>
  <c r="T704" i="2"/>
  <c r="AC705" i="2"/>
  <c r="AP714" i="2"/>
  <c r="AQ717" i="2"/>
  <c r="AP717" i="2"/>
  <c r="AC717" i="2"/>
  <c r="AA717" i="2"/>
  <c r="Z717" i="2"/>
  <c r="Z730" i="2"/>
  <c r="AV734" i="2"/>
  <c r="AQ734" i="2"/>
  <c r="AC741" i="2"/>
  <c r="AC744" i="2"/>
  <c r="AA744" i="2"/>
  <c r="Z744" i="2"/>
  <c r="AQ749" i="2"/>
  <c r="AP749" i="2"/>
  <c r="AA759" i="2"/>
  <c r="AQ762" i="2"/>
  <c r="AC762" i="2"/>
  <c r="AA762" i="2"/>
  <c r="Z762" i="2"/>
  <c r="AQ774" i="2"/>
  <c r="T781" i="2"/>
  <c r="T783" i="2"/>
  <c r="AP810" i="2"/>
  <c r="AQ675" i="2"/>
  <c r="AP675" i="2"/>
  <c r="AQ708" i="2"/>
  <c r="AP708" i="2"/>
  <c r="AC708" i="2"/>
  <c r="AA708" i="2"/>
  <c r="Z708" i="2"/>
  <c r="AQ714" i="2"/>
  <c r="AV729" i="2"/>
  <c r="AW729" i="2" s="1"/>
  <c r="AQ729" i="2"/>
  <c r="AR729" i="2" s="1"/>
  <c r="AP729" i="2"/>
  <c r="AC729" i="2"/>
  <c r="AA729" i="2"/>
  <c r="AA737" i="2"/>
  <c r="Z737" i="2"/>
  <c r="T737" i="2"/>
  <c r="AV752" i="2"/>
  <c r="AA752" i="2"/>
  <c r="Z752" i="2"/>
  <c r="T752" i="2"/>
  <c r="AV828" i="2"/>
  <c r="AP828" i="2"/>
  <c r="AC828" i="2"/>
  <c r="AA828" i="2"/>
  <c r="Z828" i="2"/>
  <c r="T828" i="2"/>
  <c r="AQ909" i="2"/>
  <c r="AV909" i="2"/>
  <c r="AP909" i="2"/>
  <c r="AC909" i="2"/>
  <c r="AT909" i="2" s="1"/>
  <c r="AA909" i="2"/>
  <c r="Z909" i="2"/>
  <c r="T909" i="2"/>
  <c r="AW485" i="2"/>
  <c r="AA528" i="2"/>
  <c r="AC584" i="2"/>
  <c r="AQ593" i="2"/>
  <c r="AV615" i="2"/>
  <c r="AW615" i="2" s="1"/>
  <c r="AV645" i="2"/>
  <c r="AW645" i="2" s="1"/>
  <c r="AA663" i="2"/>
  <c r="Z663" i="2"/>
  <c r="AA670" i="2"/>
  <c r="T670" i="2"/>
  <c r="AC671" i="2"/>
  <c r="AP681" i="2"/>
  <c r="Z685" i="2"/>
  <c r="AP687" i="2"/>
  <c r="AC687" i="2"/>
  <c r="AA687" i="2"/>
  <c r="AA689" i="2"/>
  <c r="Z689" i="2"/>
  <c r="Z690" i="2"/>
  <c r="AP692" i="2"/>
  <c r="AQ696" i="2"/>
  <c r="AR696" i="2" s="1"/>
  <c r="AA698" i="2"/>
  <c r="AQ705" i="2"/>
  <c r="AV714" i="2"/>
  <c r="AV726" i="2"/>
  <c r="AC732" i="2"/>
  <c r="AP738" i="2"/>
  <c r="AQ741" i="2"/>
  <c r="AQ759" i="2"/>
  <c r="AA769" i="2"/>
  <c r="AV811" i="2"/>
  <c r="AQ811" i="2"/>
  <c r="AC811" i="2"/>
  <c r="AA811" i="2"/>
  <c r="AV820" i="2"/>
  <c r="AQ820" i="2"/>
  <c r="AC820" i="2"/>
  <c r="AA820" i="2"/>
  <c r="Z820" i="2"/>
  <c r="AA848" i="2"/>
  <c r="Z848" i="2"/>
  <c r="AV848" i="2"/>
  <c r="AW848" i="2" s="1"/>
  <c r="AQ848" i="2"/>
  <c r="AC848" i="2"/>
  <c r="AV834" i="2"/>
  <c r="AQ834" i="2"/>
  <c r="AP711" i="2"/>
  <c r="AP746" i="2"/>
  <c r="AA766" i="2"/>
  <c r="AA780" i="2"/>
  <c r="AA793" i="2"/>
  <c r="AA801" i="2"/>
  <c r="T827" i="2"/>
  <c r="T831" i="2"/>
  <c r="AR831" i="2" s="1"/>
  <c r="T848" i="2"/>
  <c r="AV896" i="2"/>
  <c r="T896" i="2"/>
  <c r="AC766" i="2"/>
  <c r="AC780" i="2"/>
  <c r="T791" i="2"/>
  <c r="AU791" i="2" s="1"/>
  <c r="AC793" i="2"/>
  <c r="AC801" i="2"/>
  <c r="T823" i="2"/>
  <c r="T834" i="2"/>
  <c r="AQ916" i="2"/>
  <c r="AP916" i="2"/>
  <c r="AC916" i="2"/>
  <c r="AA916" i="2"/>
  <c r="T916" i="2"/>
  <c r="T713" i="2"/>
  <c r="AQ766" i="2"/>
  <c r="AP780" i="2"/>
  <c r="AP785" i="2"/>
  <c r="AQ793" i="2"/>
  <c r="AP801" i="2"/>
  <c r="T830" i="2"/>
  <c r="AQ780" i="2"/>
  <c r="AV793" i="2"/>
  <c r="AW793" i="2" s="1"/>
  <c r="AQ801" i="2"/>
  <c r="Z827" i="2"/>
  <c r="Z831" i="2"/>
  <c r="AP848" i="2"/>
  <c r="AV853" i="2"/>
  <c r="T853" i="2"/>
  <c r="Z853" i="2"/>
  <c r="AP791" i="2"/>
  <c r="Z823" i="2"/>
  <c r="AA827" i="2"/>
  <c r="AA831" i="2"/>
  <c r="Z834" i="2"/>
  <c r="Z839" i="2"/>
  <c r="AC823" i="2"/>
  <c r="AC834" i="2"/>
  <c r="AP841" i="2"/>
  <c r="AQ841" i="2"/>
  <c r="AC841" i="2"/>
  <c r="T841" i="2"/>
  <c r="AA843" i="2"/>
  <c r="Z843" i="2"/>
  <c r="AV843" i="2"/>
  <c r="AW843" i="2" s="1"/>
  <c r="AQ843" i="2"/>
  <c r="AC843" i="2"/>
  <c r="AV900" i="2"/>
  <c r="AQ900" i="2"/>
  <c r="AP900" i="2"/>
  <c r="AC900" i="2"/>
  <c r="AA900" i="2"/>
  <c r="Z900" i="2"/>
  <c r="T900" i="2"/>
  <c r="AQ932" i="2"/>
  <c r="AP932" i="2"/>
  <c r="AC932" i="2"/>
  <c r="AA932" i="2"/>
  <c r="Z932" i="2"/>
  <c r="T932" i="2"/>
  <c r="AV846" i="2"/>
  <c r="AW846" i="2" s="1"/>
  <c r="AP849" i="2"/>
  <c r="AA858" i="2"/>
  <c r="AC859" i="2"/>
  <c r="T864" i="2"/>
  <c r="AR864" i="2" s="1"/>
  <c r="Z866" i="2"/>
  <c r="AA867" i="2"/>
  <c r="AQ870" i="2"/>
  <c r="T872" i="2"/>
  <c r="AC876" i="2"/>
  <c r="AQ877" i="2"/>
  <c r="T879" i="2"/>
  <c r="AV885" i="2"/>
  <c r="AA1136" i="2"/>
  <c r="T1136" i="2"/>
  <c r="AC1147" i="2"/>
  <c r="Z1147" i="2"/>
  <c r="AV1147" i="2"/>
  <c r="Z1171" i="2"/>
  <c r="AP1171" i="2"/>
  <c r="AC1171" i="2"/>
  <c r="T1186" i="2"/>
  <c r="AV1186" i="2"/>
  <c r="AP1186" i="2"/>
  <c r="AA1221" i="2"/>
  <c r="Z1221" i="2"/>
  <c r="AC1221" i="2"/>
  <c r="T1229" i="2"/>
  <c r="AQ1229" i="2"/>
  <c r="AP1229" i="2"/>
  <c r="AC1229" i="2"/>
  <c r="AA1229" i="2"/>
  <c r="Z1229" i="2"/>
  <c r="AA1076" i="2"/>
  <c r="AQ1076" i="2"/>
  <c r="Z1091" i="2"/>
  <c r="AP1091" i="2"/>
  <c r="AA1099" i="2"/>
  <c r="T1099" i="2"/>
  <c r="Z1099" i="2"/>
  <c r="AW1116" i="2"/>
  <c r="AU1116" i="2"/>
  <c r="AA1116" i="2"/>
  <c r="Z1138" i="2"/>
  <c r="AQ1138" i="2"/>
  <c r="AP1138" i="2"/>
  <c r="AQ1173" i="2"/>
  <c r="T1173" i="2"/>
  <c r="AS1173" i="2" s="1"/>
  <c r="AP1189" i="2"/>
  <c r="AC1189" i="2"/>
  <c r="AA1189" i="2"/>
  <c r="T1189" i="2"/>
  <c r="AQ1213" i="2"/>
  <c r="AC1213" i="2"/>
  <c r="T1213" i="2"/>
  <c r="AR1213" i="2" s="1"/>
  <c r="AV859" i="2"/>
  <c r="Z865" i="2"/>
  <c r="AC866" i="2"/>
  <c r="AQ876" i="2"/>
  <c r="AQ893" i="2"/>
  <c r="AV894" i="2"/>
  <c r="AC897" i="2"/>
  <c r="T901" i="2"/>
  <c r="AA902" i="2"/>
  <c r="AC903" i="2"/>
  <c r="AV906" i="2"/>
  <c r="Z911" i="2"/>
  <c r="AC923" i="2"/>
  <c r="AP934" i="2"/>
  <c r="AU934" i="2" s="1"/>
  <c r="AP942" i="2"/>
  <c r="AQ961" i="2"/>
  <c r="AA967" i="2"/>
  <c r="T1012" i="2"/>
  <c r="Z1018" i="2"/>
  <c r="AC1018" i="2"/>
  <c r="AP1032" i="2"/>
  <c r="Z1038" i="2"/>
  <c r="T1055" i="2"/>
  <c r="AV1087" i="2"/>
  <c r="AC1087" i="2"/>
  <c r="AV1129" i="2"/>
  <c r="AA1129" i="2"/>
  <c r="T1147" i="2"/>
  <c r="AV1165" i="2"/>
  <c r="AC1165" i="2"/>
  <c r="AA1165" i="2"/>
  <c r="T1171" i="2"/>
  <c r="AP1209" i="2"/>
  <c r="AC1209" i="2"/>
  <c r="T1221" i="2"/>
  <c r="AS1221" i="2" s="1"/>
  <c r="T1232" i="2"/>
  <c r="AQ1232" i="2"/>
  <c r="AP1232" i="2"/>
  <c r="AC1232" i="2"/>
  <c r="AA1232" i="2"/>
  <c r="Z1232" i="2"/>
  <c r="AQ858" i="2"/>
  <c r="AR858" i="2" s="1"/>
  <c r="Z864" i="2"/>
  <c r="AA865" i="2"/>
  <c r="AP866" i="2"/>
  <c r="AA872" i="2"/>
  <c r="AV876" i="2"/>
  <c r="Z879" i="2"/>
  <c r="AC911" i="2"/>
  <c r="AA913" i="2"/>
  <c r="Z917" i="2"/>
  <c r="AA922" i="2"/>
  <c r="AP923" i="2"/>
  <c r="AA925" i="2"/>
  <c r="Z930" i="2"/>
  <c r="Z941" i="2"/>
  <c r="Z960" i="2"/>
  <c r="AA970" i="2"/>
  <c r="T980" i="2"/>
  <c r="Z987" i="2"/>
  <c r="T997" i="2"/>
  <c r="T1022" i="2"/>
  <c r="AV1032" i="2"/>
  <c r="Z1034" i="2"/>
  <c r="AC1038" i="2"/>
  <c r="AV1046" i="2"/>
  <c r="AW1046" i="2" s="1"/>
  <c r="T1053" i="2"/>
  <c r="Z1067" i="2"/>
  <c r="T1073" i="2"/>
  <c r="T1076" i="2"/>
  <c r="Z1078" i="2"/>
  <c r="T1078" i="2"/>
  <c r="AA1078" i="2"/>
  <c r="AC1085" i="2"/>
  <c r="T1091" i="2"/>
  <c r="AC1107" i="2"/>
  <c r="AC1111" i="2"/>
  <c r="AT1111" i="2" s="1"/>
  <c r="AC1116" i="2"/>
  <c r="AP1121" i="2"/>
  <c r="Z1121" i="2"/>
  <c r="AA1130" i="2"/>
  <c r="T1138" i="2"/>
  <c r="AS1138" i="2" s="1"/>
  <c r="Z1207" i="2"/>
  <c r="AQ1207" i="2"/>
  <c r="AC1207" i="2"/>
  <c r="Z1213" i="2"/>
  <c r="AA1239" i="2"/>
  <c r="AC1239" i="2"/>
  <c r="AC838" i="2"/>
  <c r="AV858" i="2"/>
  <c r="T863" i="2"/>
  <c r="AA864" i="2"/>
  <c r="AC865" i="2"/>
  <c r="AQ866" i="2"/>
  <c r="AV867" i="2"/>
  <c r="T871" i="2"/>
  <c r="AC872" i="2"/>
  <c r="T878" i="2"/>
  <c r="AT878" i="2" s="1"/>
  <c r="AA879" i="2"/>
  <c r="T885" i="2"/>
  <c r="AQ1011" i="2"/>
  <c r="Z1011" i="2"/>
  <c r="AQ1047" i="2"/>
  <c r="Z1047" i="2"/>
  <c r="AA1050" i="2"/>
  <c r="AA1113" i="2"/>
  <c r="AR1116" i="2"/>
  <c r="AP1123" i="2"/>
  <c r="AA1123" i="2"/>
  <c r="T1123" i="2"/>
  <c r="Z1136" i="2"/>
  <c r="AQ1152" i="2"/>
  <c r="AA1152" i="2"/>
  <c r="T1152" i="2"/>
  <c r="AQ1180" i="2"/>
  <c r="AP1180" i="2"/>
  <c r="Z1180" i="2"/>
  <c r="AP1213" i="2"/>
  <c r="AV1229" i="2"/>
  <c r="AV866" i="2"/>
  <c r="Z888" i="2"/>
  <c r="AC892" i="2"/>
  <c r="T895" i="2"/>
  <c r="AR895" i="2" s="1"/>
  <c r="AV897" i="2"/>
  <c r="Z901" i="2"/>
  <c r="AQ902" i="2"/>
  <c r="AR902" i="2" s="1"/>
  <c r="AV903" i="2"/>
  <c r="AC910" i="2"/>
  <c r="AP913" i="2"/>
  <c r="AP922" i="2"/>
  <c r="AA933" i="2"/>
  <c r="AQ941" i="2"/>
  <c r="AA944" i="2"/>
  <c r="AA950" i="2"/>
  <c r="Z959" i="2"/>
  <c r="AC960" i="2"/>
  <c r="T962" i="2"/>
  <c r="T966" i="2"/>
  <c r="T969" i="2"/>
  <c r="AP970" i="2"/>
  <c r="Z986" i="2"/>
  <c r="AC987" i="2"/>
  <c r="AA992" i="2"/>
  <c r="AP1005" i="2"/>
  <c r="T1007" i="2"/>
  <c r="Z1008" i="2"/>
  <c r="AA1012" i="2"/>
  <c r="AA1019" i="2"/>
  <c r="Z1031" i="2"/>
  <c r="AC1034" i="2"/>
  <c r="AT1034" i="2" s="1"/>
  <c r="Z1039" i="2"/>
  <c r="AC1039" i="2"/>
  <c r="AC1042" i="2"/>
  <c r="AC1050" i="2"/>
  <c r="T1052" i="2"/>
  <c r="Z1055" i="2"/>
  <c r="AC1058" i="2"/>
  <c r="Z1064" i="2"/>
  <c r="T1066" i="2"/>
  <c r="AP1067" i="2"/>
  <c r="AA1070" i="2"/>
  <c r="AC1074" i="2"/>
  <c r="AT1074" i="2" s="1"/>
  <c r="AA1079" i="2"/>
  <c r="AQ1085" i="2"/>
  <c r="AQ1093" i="2"/>
  <c r="AC1099" i="2"/>
  <c r="AA1110" i="2"/>
  <c r="AV1110" i="2"/>
  <c r="AP1113" i="2"/>
  <c r="AV1116" i="2"/>
  <c r="T1121" i="2"/>
  <c r="AU1121" i="2" s="1"/>
  <c r="AV1136" i="2"/>
  <c r="AW1136" i="2" s="1"/>
  <c r="AA1147" i="2"/>
  <c r="AA1171" i="2"/>
  <c r="AV1173" i="2"/>
  <c r="AW1173" i="2" s="1"/>
  <c r="Z1178" i="2"/>
  <c r="AV1178" i="2"/>
  <c r="AW1178" i="2" s="1"/>
  <c r="Z1189" i="2"/>
  <c r="T1199" i="2"/>
  <c r="AT1199" i="2" s="1"/>
  <c r="AQ1199" i="2"/>
  <c r="AC1199" i="2"/>
  <c r="T1207" i="2"/>
  <c r="AP864" i="2"/>
  <c r="AV865" i="2"/>
  <c r="AQ872" i="2"/>
  <c r="T877" i="2"/>
  <c r="AW877" i="2" s="1"/>
  <c r="AP879" i="2"/>
  <c r="AC886" i="2"/>
  <c r="AA888" i="2"/>
  <c r="T894" i="2"/>
  <c r="AU894" i="2" s="1"/>
  <c r="AC901" i="2"/>
  <c r="AV902" i="2"/>
  <c r="T906" i="2"/>
  <c r="AP910" i="2"/>
  <c r="AQ913" i="2"/>
  <c r="AR913" i="2" s="1"/>
  <c r="AP933" i="2"/>
  <c r="T935" i="2"/>
  <c r="AC944" i="2"/>
  <c r="AC950" i="2"/>
  <c r="AA959" i="2"/>
  <c r="AP977" i="2"/>
  <c r="Z980" i="2"/>
  <c r="AA986" i="2"/>
  <c r="T989" i="2"/>
  <c r="AC992" i="2"/>
  <c r="T996" i="2"/>
  <c r="AA997" i="2"/>
  <c r="T1001" i="2"/>
  <c r="AS1001" i="2" s="1"/>
  <c r="AA1008" i="2"/>
  <c r="T1011" i="2"/>
  <c r="AP1016" i="2"/>
  <c r="AC1019" i="2"/>
  <c r="AC1022" i="2"/>
  <c r="T1026" i="2"/>
  <c r="AA1031" i="2"/>
  <c r="AP1034" i="2"/>
  <c r="T1047" i="2"/>
  <c r="Z1053" i="2"/>
  <c r="AC1055" i="2"/>
  <c r="AA1064" i="2"/>
  <c r="AQ1067" i="2"/>
  <c r="AR1067" i="2" s="1"/>
  <c r="Z1073" i="2"/>
  <c r="Z1076" i="2"/>
  <c r="AA1091" i="2"/>
  <c r="AP1099" i="2"/>
  <c r="Z1103" i="2"/>
  <c r="AV1113" i="2"/>
  <c r="T1131" i="2"/>
  <c r="AC1138" i="2"/>
  <c r="AP1146" i="2"/>
  <c r="AA1146" i="2"/>
  <c r="AP1147" i="2"/>
  <c r="AQ1170" i="2"/>
  <c r="AP1170" i="2"/>
  <c r="AV1171" i="2"/>
  <c r="AQ1176" i="2"/>
  <c r="AA1176" i="2"/>
  <c r="T1176" i="2"/>
  <c r="AR1176" i="2" s="1"/>
  <c r="AV1189" i="2"/>
  <c r="AQ1205" i="2"/>
  <c r="AA1209" i="2"/>
  <c r="AV1232" i="2"/>
  <c r="Z878" i="2"/>
  <c r="AQ879" i="2"/>
  <c r="Z885" i="2"/>
  <c r="AC888" i="2"/>
  <c r="AT888" i="2" s="1"/>
  <c r="AA907" i="2"/>
  <c r="AA943" i="2"/>
  <c r="AP944" i="2"/>
  <c r="AP950" i="2"/>
  <c r="Z953" i="2"/>
  <c r="AC959" i="2"/>
  <c r="AQ977" i="2"/>
  <c r="AA980" i="2"/>
  <c r="AA982" i="2"/>
  <c r="AP984" i="2"/>
  <c r="AC986" i="2"/>
  <c r="AP992" i="2"/>
  <c r="AP994" i="2"/>
  <c r="AC997" i="2"/>
  <c r="AC1008" i="2"/>
  <c r="AA1018" i="2"/>
  <c r="AQ1019" i="2"/>
  <c r="AR1019" i="2" s="1"/>
  <c r="AP1022" i="2"/>
  <c r="AA1027" i="2"/>
  <c r="AC1031" i="2"/>
  <c r="AQ1034" i="2"/>
  <c r="Z1037" i="2"/>
  <c r="AC1053" i="2"/>
  <c r="AP1055" i="2"/>
  <c r="AU1055" i="2" s="1"/>
  <c r="AA1057" i="2"/>
  <c r="AC1064" i="2"/>
  <c r="AV1067" i="2"/>
  <c r="AA1073" i="2"/>
  <c r="T1075" i="2"/>
  <c r="AA1075" i="2"/>
  <c r="AC1076" i="2"/>
  <c r="AC1078" i="2"/>
  <c r="Z1087" i="2"/>
  <c r="AC1091" i="2"/>
  <c r="AQ1099" i="2"/>
  <c r="AA1103" i="2"/>
  <c r="AV1120" i="2"/>
  <c r="AW1120" i="2"/>
  <c r="AS1120" i="2"/>
  <c r="AQ1120" i="2"/>
  <c r="AA1120" i="2"/>
  <c r="AA1121" i="2"/>
  <c r="Z1129" i="2"/>
  <c r="AV1139" i="2"/>
  <c r="AC1139" i="2"/>
  <c r="Z1139" i="2"/>
  <c r="Z1165" i="2"/>
  <c r="AQ1209" i="2"/>
  <c r="T858" i="2"/>
  <c r="T867" i="2"/>
  <c r="Z870" i="2"/>
  <c r="AA871" i="2"/>
  <c r="AA878" i="2"/>
  <c r="Z884" i="2"/>
  <c r="AA885" i="2"/>
  <c r="AP888" i="2"/>
  <c r="AC890" i="2"/>
  <c r="Z895" i="2"/>
  <c r="AC943" i="2"/>
  <c r="AA953" i="2"/>
  <c r="AP959" i="2"/>
  <c r="Z962" i="2"/>
  <c r="AC966" i="2"/>
  <c r="Z969" i="2"/>
  <c r="AC980" i="2"/>
  <c r="AP986" i="2"/>
  <c r="Z1007" i="2"/>
  <c r="AP1008" i="2"/>
  <c r="AP1018" i="2"/>
  <c r="AQ1022" i="2"/>
  <c r="AC1027" i="2"/>
  <c r="AT1027" i="2" s="1"/>
  <c r="AP1031" i="2"/>
  <c r="AQ1033" i="2"/>
  <c r="T1036" i="2"/>
  <c r="AP1037" i="2"/>
  <c r="AV1042" i="2"/>
  <c r="AW1042" i="2" s="1"/>
  <c r="T1046" i="2"/>
  <c r="AA1052" i="2"/>
  <c r="AQ1055" i="2"/>
  <c r="AC1057" i="2"/>
  <c r="AT1057" i="2" s="1"/>
  <c r="AV1058" i="2"/>
  <c r="AP1064" i="2"/>
  <c r="AP1066" i="2"/>
  <c r="AQ1070" i="2"/>
  <c r="AR1070" i="2" s="1"/>
  <c r="AC1073" i="2"/>
  <c r="AP1076" i="2"/>
  <c r="AP1078" i="2"/>
  <c r="AV1079" i="2"/>
  <c r="AW1079" i="2" s="1"/>
  <c r="AA1087" i="2"/>
  <c r="AQ1091" i="2"/>
  <c r="AV1099" i="2"/>
  <c r="AP1103" i="2"/>
  <c r="T1108" i="2"/>
  <c r="AU1108" i="2" s="1"/>
  <c r="T1112" i="2"/>
  <c r="AC1121" i="2"/>
  <c r="Z1123" i="2"/>
  <c r="AC1129" i="2"/>
  <c r="T1146" i="2"/>
  <c r="AP1152" i="2"/>
  <c r="AP1165" i="2"/>
  <c r="T1170" i="2"/>
  <c r="AC1180" i="2"/>
  <c r="AA1197" i="2"/>
  <c r="Z1197" i="2"/>
  <c r="AQ1197" i="2"/>
  <c r="AP1197" i="2"/>
  <c r="AA1207" i="2"/>
  <c r="AA870" i="2"/>
  <c r="Z877" i="2"/>
  <c r="AA884" i="2"/>
  <c r="AC885" i="2"/>
  <c r="AQ888" i="2"/>
  <c r="AP890" i="2"/>
  <c r="Z894" i="2"/>
  <c r="AA895" i="2"/>
  <c r="Z906" i="2"/>
  <c r="Z935" i="2"/>
  <c r="T961" i="2"/>
  <c r="T988" i="2"/>
  <c r="Z989" i="2"/>
  <c r="Z996" i="2"/>
  <c r="AA1011" i="2"/>
  <c r="AQ1018" i="2"/>
  <c r="AQ1023" i="2"/>
  <c r="AP1023" i="2"/>
  <c r="Z1026" i="2"/>
  <c r="AP1027" i="2"/>
  <c r="AQ1031" i="2"/>
  <c r="AA1047" i="2"/>
  <c r="AC1052" i="2"/>
  <c r="AV1055" i="2"/>
  <c r="AP1057" i="2"/>
  <c r="AQ1064" i="2"/>
  <c r="AP1073" i="2"/>
  <c r="AV1076" i="2"/>
  <c r="AW1076" i="2" s="1"/>
  <c r="AQ1078" i="2"/>
  <c r="AP1083" i="2"/>
  <c r="Z1083" i="2"/>
  <c r="AQ1083" i="2"/>
  <c r="AR1083" i="2" s="1"/>
  <c r="AP1087" i="2"/>
  <c r="AV1091" i="2"/>
  <c r="AQ1103" i="2"/>
  <c r="AP1110" i="2"/>
  <c r="T1114" i="2"/>
  <c r="T1120" i="2"/>
  <c r="AV1121" i="2"/>
  <c r="AC1123" i="2"/>
  <c r="AQ1128" i="2"/>
  <c r="AR1128" i="2" s="1"/>
  <c r="AA1128" i="2"/>
  <c r="T1128" i="2"/>
  <c r="AS1128" i="2" s="1"/>
  <c r="AP1129" i="2"/>
  <c r="AV1153" i="2"/>
  <c r="AA1153" i="2"/>
  <c r="Z1153" i="2"/>
  <c r="AV1180" i="2"/>
  <c r="AV1199" i="2"/>
  <c r="AW1199" i="2" s="1"/>
  <c r="AV1207" i="2"/>
  <c r="Z859" i="2"/>
  <c r="Z876" i="2"/>
  <c r="AC884" i="2"/>
  <c r="AP885" i="2"/>
  <c r="AA894" i="2"/>
  <c r="AC895" i="2"/>
  <c r="AA906" i="2"/>
  <c r="AA989" i="2"/>
  <c r="AA996" i="2"/>
  <c r="AC1011" i="2"/>
  <c r="AA1026" i="2"/>
  <c r="AC1047" i="2"/>
  <c r="AV1064" i="2"/>
  <c r="AQ1073" i="2"/>
  <c r="T1085" i="2"/>
  <c r="AU1085" i="2" s="1"/>
  <c r="Z1085" i="2"/>
  <c r="AQ1087" i="2"/>
  <c r="AV1107" i="2"/>
  <c r="Z1107" i="2"/>
  <c r="AQ1111" i="2"/>
  <c r="Z1111" i="2"/>
  <c r="AV1123" i="2"/>
  <c r="AV1183" i="2"/>
  <c r="AC1183" i="2"/>
  <c r="Z1183" i="2"/>
  <c r="T1183" i="2"/>
  <c r="AA859" i="2"/>
  <c r="T865" i="2"/>
  <c r="AR865" i="2" s="1"/>
  <c r="AC877" i="2"/>
  <c r="AQ895" i="2"/>
  <c r="AP1011" i="2"/>
  <c r="AC1026" i="2"/>
  <c r="AA1036" i="2"/>
  <c r="AP1047" i="2"/>
  <c r="AQ1052" i="2"/>
  <c r="AR1052" i="2" s="1"/>
  <c r="AA1072" i="2"/>
  <c r="AC1075" i="2"/>
  <c r="Z1086" i="2"/>
  <c r="AA1108" i="2"/>
  <c r="AP1112" i="2"/>
  <c r="Z1114" i="2"/>
  <c r="AC1120" i="2"/>
  <c r="AA1139" i="2"/>
  <c r="AQ1146" i="2"/>
  <c r="AA1170" i="2"/>
  <c r="AV1177" i="2"/>
  <c r="AP1177" i="2"/>
  <c r="AA1177" i="2"/>
  <c r="Z1177" i="2"/>
  <c r="AW1179" i="2"/>
  <c r="AQ1179" i="2"/>
  <c r="AA1141" i="2"/>
  <c r="AC1168" i="2"/>
  <c r="AC1174" i="2"/>
  <c r="AC1181" i="2"/>
  <c r="AP1188" i="2"/>
  <c r="AQ1212" i="2"/>
  <c r="AV1218" i="2"/>
  <c r="AW1218" i="2" s="1"/>
  <c r="Z1220" i="2"/>
  <c r="AP1224" i="2"/>
  <c r="AC1230" i="2"/>
  <c r="AA1241" i="2"/>
  <c r="AC1244" i="2"/>
  <c r="AQ1248" i="2"/>
  <c r="AQ1249" i="2"/>
  <c r="Z1252" i="2"/>
  <c r="T1255" i="2"/>
  <c r="T1267" i="2"/>
  <c r="AA1270" i="2"/>
  <c r="Z1273" i="2"/>
  <c r="AA1284" i="2"/>
  <c r="AP1288" i="2"/>
  <c r="Z1294" i="2"/>
  <c r="T1297" i="2"/>
  <c r="AC1298" i="2"/>
  <c r="AC1307" i="2"/>
  <c r="AV1308" i="2"/>
  <c r="AA1311" i="2"/>
  <c r="AQ1122" i="2"/>
  <c r="AR1122" i="2" s="1"/>
  <c r="AP1132" i="2"/>
  <c r="AV1135" i="2"/>
  <c r="AC1141" i="2"/>
  <c r="AP1168" i="2"/>
  <c r="AP1174" i="2"/>
  <c r="AP1181" i="2"/>
  <c r="AQ1188" i="2"/>
  <c r="AA1220" i="2"/>
  <c r="AV1249" i="2"/>
  <c r="Z1251" i="2"/>
  <c r="AP1298" i="2"/>
  <c r="AP1307" i="2"/>
  <c r="AQ1322" i="2"/>
  <c r="AA1201" i="2"/>
  <c r="AP1220" i="2"/>
  <c r="AU1220" i="2" s="1"/>
  <c r="AQ1251" i="2"/>
  <c r="AC1256" i="2"/>
  <c r="AA1261" i="2"/>
  <c r="AP1159" i="2"/>
  <c r="AC1201" i="2"/>
  <c r="AT1201" i="2" s="1"/>
  <c r="Z1219" i="2"/>
  <c r="T1225" i="2"/>
  <c r="AV1241" i="2"/>
  <c r="T1250" i="2"/>
  <c r="AT1250" i="2" s="1"/>
  <c r="AR1251" i="2"/>
  <c r="AQ1252" i="2"/>
  <c r="AP1258" i="2"/>
  <c r="AC1261" i="2"/>
  <c r="AP1264" i="2"/>
  <c r="AV1270" i="2"/>
  <c r="AW1280" i="2"/>
  <c r="Z1283" i="2"/>
  <c r="T1289" i="2"/>
  <c r="AC1304" i="2"/>
  <c r="T1323" i="2"/>
  <c r="AP1261" i="2"/>
  <c r="AU1261" i="2" s="1"/>
  <c r="AP1289" i="2"/>
  <c r="T1299" i="2"/>
  <c r="T1303" i="2"/>
  <c r="AS1303" i="2" s="1"/>
  <c r="T1308" i="2"/>
  <c r="AT1308" i="2" s="1"/>
  <c r="T1135" i="2"/>
  <c r="Z1210" i="2"/>
  <c r="AW1216" i="2"/>
  <c r="AC1219" i="2"/>
  <c r="AT1219" i="2" s="1"/>
  <c r="AC1222" i="2"/>
  <c r="AT1251" i="2"/>
  <c r="AA1254" i="2"/>
  <c r="AQ1261" i="2"/>
  <c r="AA1266" i="2"/>
  <c r="AQ1289" i="2"/>
  <c r="Z1316" i="2"/>
  <c r="Z1319" i="2"/>
  <c r="AV1252" i="2"/>
  <c r="AC1254" i="2"/>
  <c r="AV1261" i="2"/>
  <c r="AW1261" i="2" s="1"/>
  <c r="AC1266" i="2"/>
  <c r="Z1295" i="2"/>
  <c r="AA1316" i="2"/>
  <c r="AA1319" i="2"/>
  <c r="Z1323" i="2"/>
  <c r="Z1325" i="2"/>
  <c r="Z1172" i="2"/>
  <c r="AA1175" i="2"/>
  <c r="AA1182" i="2"/>
  <c r="Z1195" i="2"/>
  <c r="AC1210" i="2"/>
  <c r="T1212" i="2"/>
  <c r="T1216" i="2"/>
  <c r="Z1218" i="2"/>
  <c r="AQ1219" i="2"/>
  <c r="AR1219" i="2" s="1"/>
  <c r="T1224" i="2"/>
  <c r="AP1225" i="2"/>
  <c r="T1230" i="2"/>
  <c r="AT1230" i="2" s="1"/>
  <c r="T1241" i="2"/>
  <c r="AS1241" i="2" s="1"/>
  <c r="T1244" i="2"/>
  <c r="Z1245" i="2"/>
  <c r="Z1248" i="2"/>
  <c r="Z1249" i="2"/>
  <c r="AW1252" i="2"/>
  <c r="T1270" i="2"/>
  <c r="T1288" i="2"/>
  <c r="AA1295" i="2"/>
  <c r="AV1303" i="2"/>
  <c r="AW1303" i="2" s="1"/>
  <c r="Z1308" i="2"/>
  <c r="T1311" i="2"/>
  <c r="AW1315" i="2"/>
  <c r="AC1316" i="2"/>
  <c r="AC1319" i="2"/>
  <c r="AA1325" i="2"/>
  <c r="Z1276" i="2"/>
  <c r="AC1277" i="2"/>
  <c r="Z1281" i="2"/>
  <c r="AQ1282" i="2"/>
  <c r="Z1285" i="2"/>
  <c r="Z1288" i="2"/>
  <c r="AA1292" i="2"/>
  <c r="AC1295" i="2"/>
  <c r="AA1308" i="2"/>
  <c r="AP1316" i="2"/>
  <c r="AP1319" i="2"/>
  <c r="Z1322" i="2"/>
  <c r="AC1325" i="2"/>
  <c r="AV1172" i="2"/>
  <c r="AW1172" i="2" s="1"/>
  <c r="AP1175" i="2"/>
  <c r="AA1212" i="2"/>
  <c r="AQ1216" i="2"/>
  <c r="AP1245" i="2"/>
  <c r="AC1248" i="2"/>
  <c r="AC1249" i="2"/>
  <c r="Z1274" i="2"/>
  <c r="AP1281" i="2"/>
  <c r="AV1282" i="2"/>
  <c r="AW1282" i="2" s="1"/>
  <c r="AA1288" i="2"/>
  <c r="AP1295" i="2"/>
  <c r="Z1298" i="2"/>
  <c r="Z1307" i="2"/>
  <c r="AC1308" i="2"/>
  <c r="T1315" i="2"/>
  <c r="AP1325" i="2"/>
  <c r="Z1244" i="2"/>
  <c r="AP1248" i="2"/>
  <c r="AV22" i="2"/>
  <c r="T22" i="2"/>
  <c r="AS22" i="2" s="1"/>
  <c r="AQ22" i="2"/>
  <c r="AC22" i="2"/>
  <c r="AP22" i="2"/>
  <c r="AA22" i="2"/>
  <c r="Z22" i="2"/>
  <c r="Z210" i="2"/>
  <c r="T210" i="2"/>
  <c r="AV210" i="2"/>
  <c r="AQ210" i="2"/>
  <c r="AP210" i="2"/>
  <c r="AA210" i="2"/>
  <c r="AC210" i="2"/>
  <c r="AA245" i="2"/>
  <c r="AQ245" i="2"/>
  <c r="AP245" i="2"/>
  <c r="AC245" i="2"/>
  <c r="Z245" i="2"/>
  <c r="T245" i="2"/>
  <c r="AV245" i="2"/>
  <c r="AQ457" i="2"/>
  <c r="AC457" i="2"/>
  <c r="Z457" i="2"/>
  <c r="AP457" i="2"/>
  <c r="AA457" i="2"/>
  <c r="T457" i="2"/>
  <c r="AV457" i="2"/>
  <c r="AQ145" i="2"/>
  <c r="Z145" i="2"/>
  <c r="T145" i="2"/>
  <c r="AS145" i="2" s="1"/>
  <c r="AV145" i="2"/>
  <c r="AP145" i="2"/>
  <c r="AC145" i="2"/>
  <c r="AA145" i="2"/>
  <c r="AQ166" i="2"/>
  <c r="AP166" i="2"/>
  <c r="AC166" i="2"/>
  <c r="AA166" i="2"/>
  <c r="AV166" i="2"/>
  <c r="Z166" i="2"/>
  <c r="T166" i="2"/>
  <c r="T349" i="2"/>
  <c r="AQ349" i="2"/>
  <c r="AP349" i="2"/>
  <c r="AC349" i="2"/>
  <c r="AA349" i="2"/>
  <c r="AV349" i="2"/>
  <c r="Z349" i="2"/>
  <c r="AS106" i="2"/>
  <c r="AR106" i="2"/>
  <c r="AC108" i="2"/>
  <c r="AA108" i="2"/>
  <c r="Z108" i="2"/>
  <c r="AQ108" i="2"/>
  <c r="AP108" i="2"/>
  <c r="AV108" i="2"/>
  <c r="T108" i="2"/>
  <c r="T191" i="2"/>
  <c r="AP191" i="2"/>
  <c r="AQ191" i="2"/>
  <c r="AV191" i="2"/>
  <c r="AC191" i="2"/>
  <c r="AA191" i="2"/>
  <c r="Z191" i="2"/>
  <c r="AC263" i="2"/>
  <c r="AP263" i="2"/>
  <c r="AA263" i="2"/>
  <c r="Z263" i="2"/>
  <c r="AQ263" i="2"/>
  <c r="T263" i="2"/>
  <c r="AV263" i="2"/>
  <c r="AS500" i="2"/>
  <c r="AT825" i="2"/>
  <c r="AW1055" i="2"/>
  <c r="AP24" i="2"/>
  <c r="AC24" i="2"/>
  <c r="AA24" i="2"/>
  <c r="AQ24" i="2"/>
  <c r="Z24" i="2"/>
  <c r="AV24" i="2"/>
  <c r="T24" i="2"/>
  <c r="AC126" i="2"/>
  <c r="AA126" i="2"/>
  <c r="Z126" i="2"/>
  <c r="AV126" i="2"/>
  <c r="AQ126" i="2"/>
  <c r="AP126" i="2"/>
  <c r="T126" i="2"/>
  <c r="AA178" i="2"/>
  <c r="AQ178" i="2"/>
  <c r="AP178" i="2"/>
  <c r="AC178" i="2"/>
  <c r="Z178" i="2"/>
  <c r="AV178" i="2"/>
  <c r="T178" i="2"/>
  <c r="AA307" i="2"/>
  <c r="Z307" i="2"/>
  <c r="T307" i="2"/>
  <c r="AQ307" i="2"/>
  <c r="AP307" i="2"/>
  <c r="AC307" i="2"/>
  <c r="AV307" i="2"/>
  <c r="AS331" i="2"/>
  <c r="AW331" i="2"/>
  <c r="AU524" i="2"/>
  <c r="AS524" i="2"/>
  <c r="AV54" i="2"/>
  <c r="T54" i="2"/>
  <c r="AP54" i="2"/>
  <c r="AQ54" i="2"/>
  <c r="AC54" i="2"/>
  <c r="AA54" i="2"/>
  <c r="AA65" i="2"/>
  <c r="AC65" i="2"/>
  <c r="Z65" i="2"/>
  <c r="AQ65" i="2"/>
  <c r="AV65" i="2"/>
  <c r="AP65" i="2"/>
  <c r="T65" i="2"/>
  <c r="AS65" i="2" s="1"/>
  <c r="Z91" i="2"/>
  <c r="T91" i="2"/>
  <c r="AQ91" i="2"/>
  <c r="AP91" i="2"/>
  <c r="AA91" i="2"/>
  <c r="AC91" i="2"/>
  <c r="AV91" i="2"/>
  <c r="T123" i="2"/>
  <c r="AV123" i="2"/>
  <c r="AS123" i="2"/>
  <c r="AQ123" i="2"/>
  <c r="AR123" i="2" s="1"/>
  <c r="AC123" i="2"/>
  <c r="AP123" i="2"/>
  <c r="AA123" i="2"/>
  <c r="AA201" i="2"/>
  <c r="Z201" i="2"/>
  <c r="T201" i="2"/>
  <c r="AR201" i="2" s="1"/>
  <c r="AV201" i="2"/>
  <c r="AQ201" i="2"/>
  <c r="AP201" i="2"/>
  <c r="AA310" i="2"/>
  <c r="AQ310" i="2"/>
  <c r="AP310" i="2"/>
  <c r="AC310" i="2"/>
  <c r="AV310" i="2"/>
  <c r="AW310" i="2" s="1"/>
  <c r="Z310" i="2"/>
  <c r="T310" i="2"/>
  <c r="AS310" i="2" s="1"/>
  <c r="AQ652" i="2"/>
  <c r="AP652" i="2"/>
  <c r="AA652" i="2"/>
  <c r="AC652" i="2"/>
  <c r="Z652" i="2"/>
  <c r="T652" i="2"/>
  <c r="AV652" i="2"/>
  <c r="AW652" i="2" s="1"/>
  <c r="AP355" i="2"/>
  <c r="AQ355" i="2"/>
  <c r="AC355" i="2"/>
  <c r="AA355" i="2"/>
  <c r="AV355" i="2"/>
  <c r="Z355" i="2"/>
  <c r="T355" i="2"/>
  <c r="AS355" i="2" s="1"/>
  <c r="AR359" i="2"/>
  <c r="AV426" i="2"/>
  <c r="T426" i="2"/>
  <c r="AQ426" i="2"/>
  <c r="AP426" i="2"/>
  <c r="AC426" i="2"/>
  <c r="AA426" i="2"/>
  <c r="Z426" i="2"/>
  <c r="AQ238" i="2"/>
  <c r="Z238" i="2"/>
  <c r="AV238" i="2"/>
  <c r="T238" i="2"/>
  <c r="AP238" i="2"/>
  <c r="AC238" i="2"/>
  <c r="AA238" i="2"/>
  <c r="AU1279" i="2"/>
  <c r="AS1280" i="2"/>
  <c r="AU1264" i="2"/>
  <c r="AS1234" i="2"/>
  <c r="AT1247" i="2"/>
  <c r="AS1226" i="2"/>
  <c r="AU1219" i="2"/>
  <c r="AS1164" i="2"/>
  <c r="AR1164" i="2"/>
  <c r="AS1247" i="2"/>
  <c r="AS1170" i="2"/>
  <c r="AS1134" i="2"/>
  <c r="AU1282" i="2"/>
  <c r="AT1280" i="2"/>
  <c r="AR1247" i="2"/>
  <c r="AR1170" i="2"/>
  <c r="AR1134" i="2"/>
  <c r="AW1107" i="2"/>
  <c r="AU1234" i="2"/>
  <c r="AS1189" i="2"/>
  <c r="AS1188" i="2"/>
  <c r="AS1140" i="2"/>
  <c r="AS1108" i="2"/>
  <c r="AT1107" i="2"/>
  <c r="AS1219" i="2"/>
  <c r="AU1195" i="2"/>
  <c r="AR1226" i="2"/>
  <c r="AS1220" i="2"/>
  <c r="AT1195" i="2"/>
  <c r="AR1158" i="2"/>
  <c r="AS1288" i="2"/>
  <c r="AR1220" i="2"/>
  <c r="AS1213" i="2"/>
  <c r="AS1195" i="2"/>
  <c r="AS1256" i="2"/>
  <c r="AR1234" i="2"/>
  <c r="AU1222" i="2"/>
  <c r="AR1188" i="2"/>
  <c r="AS1107" i="2"/>
  <c r="AS1094" i="2"/>
  <c r="AS1083" i="2"/>
  <c r="AS1282" i="2"/>
  <c r="AR1099" i="2"/>
  <c r="AT1062" i="2"/>
  <c r="AS1061" i="2"/>
  <c r="AS1249" i="2"/>
  <c r="AS1158" i="2"/>
  <c r="AS1153" i="2"/>
  <c r="AS1062" i="2"/>
  <c r="AR1140" i="2"/>
  <c r="AS1067" i="2"/>
  <c r="AU1112" i="2"/>
  <c r="AS1111" i="2"/>
  <c r="AS1068" i="2"/>
  <c r="AS1264" i="2"/>
  <c r="AS1075" i="2"/>
  <c r="AS1005" i="2"/>
  <c r="AR950" i="2"/>
  <c r="AT942" i="2"/>
  <c r="AU768" i="2"/>
  <c r="AS1115" i="2"/>
  <c r="AR1075" i="2"/>
  <c r="AS942" i="2"/>
  <c r="AS768" i="2"/>
  <c r="AW1101" i="2"/>
  <c r="AS1057" i="2"/>
  <c r="AR768" i="2"/>
  <c r="AS732" i="2"/>
  <c r="AR1057" i="2"/>
  <c r="AS1019" i="2"/>
  <c r="AT968" i="2"/>
  <c r="AT960" i="2"/>
  <c r="AU858" i="2"/>
  <c r="AU786" i="2"/>
  <c r="AU750" i="2"/>
  <c r="AR732" i="2"/>
  <c r="AS1182" i="2"/>
  <c r="AS1131" i="2"/>
  <c r="AR1107" i="2"/>
  <c r="AT992" i="2"/>
  <c r="AS969" i="2"/>
  <c r="AS968" i="2"/>
  <c r="AT928" i="2"/>
  <c r="AS997" i="2"/>
  <c r="AR983" i="2"/>
  <c r="AR891" i="2"/>
  <c r="AS831" i="2"/>
  <c r="AS825" i="2"/>
  <c r="AS800" i="2"/>
  <c r="AR786" i="2"/>
  <c r="AS1147" i="2"/>
  <c r="AS1123" i="2"/>
  <c r="AS1078" i="2"/>
  <c r="AR997" i="2"/>
  <c r="AW974" i="2"/>
  <c r="AW953" i="2"/>
  <c r="AW805" i="2"/>
  <c r="AR800" i="2"/>
  <c r="AS1201" i="2"/>
  <c r="AS1141" i="2"/>
  <c r="AS1027" i="2"/>
  <c r="AS987" i="2"/>
  <c r="AT930" i="2"/>
  <c r="AR923" i="2"/>
  <c r="AT899" i="2"/>
  <c r="AS830" i="2"/>
  <c r="AT806" i="2"/>
  <c r="AS799" i="2"/>
  <c r="AR750" i="2"/>
  <c r="AS696" i="2"/>
  <c r="AS930" i="2"/>
  <c r="AS871" i="2"/>
  <c r="AS865" i="2"/>
  <c r="AU864" i="2"/>
  <c r="AR830" i="2"/>
  <c r="AS822" i="2"/>
  <c r="AS806" i="2"/>
  <c r="AU804" i="2"/>
  <c r="AS793" i="2"/>
  <c r="AW1273" i="2"/>
  <c r="AW1115" i="2"/>
  <c r="AU1036" i="2"/>
  <c r="AT1018" i="2"/>
  <c r="AT988" i="2"/>
  <c r="AU976" i="2"/>
  <c r="AS974" i="2"/>
  <c r="AT950" i="2"/>
  <c r="AW906" i="2"/>
  <c r="AS894" i="2"/>
  <c r="AS804" i="2"/>
  <c r="AR793" i="2"/>
  <c r="AS792" i="2"/>
  <c r="AU732" i="2"/>
  <c r="AS693" i="2"/>
  <c r="AS1222" i="2"/>
  <c r="AT1038" i="2"/>
  <c r="AR1018" i="2"/>
  <c r="AS992" i="2"/>
  <c r="AS911" i="2"/>
  <c r="AR850" i="2"/>
  <c r="AS839" i="2"/>
  <c r="AT838" i="2"/>
  <c r="AS837" i="2"/>
  <c r="AS778" i="2"/>
  <c r="AR746" i="2"/>
  <c r="AS729" i="2"/>
  <c r="AS703" i="2"/>
  <c r="AS1038" i="2"/>
  <c r="AS1037" i="2"/>
  <c r="AS1017" i="2"/>
  <c r="AR839" i="2"/>
  <c r="AR837" i="2"/>
  <c r="AR778" i="2"/>
  <c r="AU744" i="2"/>
  <c r="AR703" i="2"/>
  <c r="AS983" i="2"/>
  <c r="AT915" i="2"/>
  <c r="AT913" i="2"/>
  <c r="AW875" i="2"/>
  <c r="AS744" i="2"/>
  <c r="AS726" i="2"/>
  <c r="AT1094" i="2"/>
  <c r="AS1041" i="2"/>
  <c r="AT1020" i="2"/>
  <c r="AS915" i="2"/>
  <c r="AS913" i="2"/>
  <c r="AS1276" i="2"/>
  <c r="AS1146" i="2"/>
  <c r="AR1094" i="2"/>
  <c r="AW765" i="2"/>
  <c r="AS750" i="2"/>
  <c r="AS749" i="2"/>
  <c r="AR738" i="2"/>
  <c r="AW1102" i="2"/>
  <c r="AT1071" i="2"/>
  <c r="AS1070" i="2"/>
  <c r="AR1006" i="2"/>
  <c r="AS957" i="2"/>
  <c r="AS858" i="2"/>
  <c r="AU825" i="2"/>
  <c r="AU816" i="2"/>
  <c r="AW752" i="2"/>
  <c r="AU720" i="2"/>
  <c r="AS632" i="2"/>
  <c r="AR617" i="2"/>
  <c r="AS961" i="2"/>
  <c r="AT850" i="2"/>
  <c r="AW837" i="2"/>
  <c r="AT670" i="2"/>
  <c r="AR1111" i="2"/>
  <c r="AT976" i="2"/>
  <c r="AR961" i="2"/>
  <c r="AS910" i="2"/>
  <c r="AS909" i="2"/>
  <c r="AS850" i="2"/>
  <c r="AR749" i="2"/>
  <c r="AR711" i="2"/>
  <c r="AU678" i="2"/>
  <c r="AS670" i="2"/>
  <c r="AR654" i="2"/>
  <c r="AS1122" i="2"/>
  <c r="AS1018" i="2"/>
  <c r="AU1005" i="2"/>
  <c r="AR979" i="2"/>
  <c r="AR897" i="2"/>
  <c r="AR812" i="2"/>
  <c r="AR810" i="2"/>
  <c r="AS786" i="2"/>
  <c r="AS758" i="2"/>
  <c r="AS626" i="2"/>
  <c r="AT625" i="2"/>
  <c r="AR1182" i="2"/>
  <c r="AS875" i="2"/>
  <c r="AS720" i="2"/>
  <c r="AS708" i="2"/>
  <c r="AW636" i="2"/>
  <c r="AW630" i="2"/>
  <c r="AT617" i="2"/>
  <c r="AU996" i="2"/>
  <c r="AS764" i="2"/>
  <c r="AW762" i="2"/>
  <c r="AW744" i="2"/>
  <c r="AS617" i="2"/>
  <c r="AS1112" i="2"/>
  <c r="AS982" i="2"/>
  <c r="AR928" i="2"/>
  <c r="AR909" i="2"/>
  <c r="AU906" i="2"/>
  <c r="AT766" i="2"/>
  <c r="AU735" i="2"/>
  <c r="AU717" i="2"/>
  <c r="AS636" i="2"/>
  <c r="AS630" i="2"/>
  <c r="AU843" i="2"/>
  <c r="AS767" i="2"/>
  <c r="AU758" i="2"/>
  <c r="AR736" i="2"/>
  <c r="AS734" i="2"/>
  <c r="AS717" i="2"/>
  <c r="AR636" i="2"/>
  <c r="AR976" i="2"/>
  <c r="AR846" i="2"/>
  <c r="AR767" i="2"/>
  <c r="AR734" i="2"/>
  <c r="AR717" i="2"/>
  <c r="AR626" i="2"/>
  <c r="AT1036" i="2"/>
  <c r="AS1006" i="2"/>
  <c r="AR678" i="2"/>
  <c r="AR666" i="2"/>
  <c r="AS611" i="2"/>
  <c r="AT610" i="2"/>
  <c r="AT655" i="2"/>
  <c r="AS637" i="2"/>
  <c r="AS1099" i="2"/>
  <c r="AW708" i="2"/>
  <c r="AS1043" i="2"/>
  <c r="AW711" i="2"/>
  <c r="AS615" i="2"/>
  <c r="AR603" i="2"/>
  <c r="AU777" i="2"/>
  <c r="AR621" i="2"/>
  <c r="AS1071" i="2"/>
  <c r="AS979" i="2"/>
  <c r="AW777" i="2"/>
  <c r="AS666" i="2"/>
  <c r="AS760" i="2"/>
  <c r="AR760" i="2"/>
  <c r="AS1183" i="2"/>
  <c r="AT778" i="2"/>
  <c r="AS686" i="2"/>
  <c r="AR684" i="2"/>
  <c r="AS645" i="2"/>
  <c r="AU632" i="2"/>
  <c r="AS610" i="2"/>
  <c r="AU756" i="2"/>
  <c r="AR611" i="2"/>
  <c r="AS810" i="2"/>
  <c r="AW648" i="2"/>
  <c r="AW702" i="2"/>
  <c r="AR647" i="2"/>
  <c r="AT632" i="2"/>
  <c r="AS647" i="2"/>
  <c r="AU810" i="2"/>
  <c r="AS646" i="2"/>
  <c r="AT703" i="2"/>
  <c r="AW606" i="2"/>
  <c r="AS1021" i="2"/>
  <c r="AW801" i="2"/>
  <c r="AW677" i="2"/>
  <c r="AW783" i="2"/>
  <c r="AV57" i="2"/>
  <c r="T57" i="2"/>
  <c r="AS57" i="2" s="1"/>
  <c r="AP57" i="2"/>
  <c r="AQ57" i="2"/>
  <c r="AC57" i="2"/>
  <c r="AQ129" i="2"/>
  <c r="AV129" i="2"/>
  <c r="AC129" i="2"/>
  <c r="AP129" i="2"/>
  <c r="Z129" i="2"/>
  <c r="AA129" i="2"/>
  <c r="T129" i="2"/>
  <c r="AT129" i="2" s="1"/>
  <c r="Z162" i="2"/>
  <c r="AP162" i="2"/>
  <c r="AC162" i="2"/>
  <c r="AA162" i="2"/>
  <c r="T162" i="2"/>
  <c r="AV162" i="2"/>
  <c r="AQ162" i="2"/>
  <c r="Z209" i="2"/>
  <c r="AQ209" i="2"/>
  <c r="AP209" i="2"/>
  <c r="AC209" i="2"/>
  <c r="AA209" i="2"/>
  <c r="T209" i="2"/>
  <c r="AV209" i="2"/>
  <c r="AV240" i="2"/>
  <c r="AQ240" i="2"/>
  <c r="AP240" i="2"/>
  <c r="AA240" i="2"/>
  <c r="AC240" i="2"/>
  <c r="Z240" i="2"/>
  <c r="T240" i="2"/>
  <c r="Z247" i="2"/>
  <c r="T247" i="2"/>
  <c r="AS247" i="2" s="1"/>
  <c r="AV247" i="2"/>
  <c r="AQ247" i="2"/>
  <c r="AC247" i="2"/>
  <c r="AP247" i="2"/>
  <c r="AA247" i="2"/>
  <c r="AS540" i="2"/>
  <c r="AR670" i="2"/>
  <c r="AV63" i="2"/>
  <c r="T63" i="2"/>
  <c r="AS63" i="2" s="1"/>
  <c r="AQ63" i="2"/>
  <c r="AP63" i="2"/>
  <c r="AC63" i="2"/>
  <c r="AA63" i="2"/>
  <c r="Z63" i="2"/>
  <c r="AA434" i="2"/>
  <c r="Z434" i="2"/>
  <c r="AQ434" i="2"/>
  <c r="AP434" i="2"/>
  <c r="AC434" i="2"/>
  <c r="AV434" i="2"/>
  <c r="T434" i="2"/>
  <c r="AA458" i="2"/>
  <c r="Z458" i="2"/>
  <c r="AC458" i="2"/>
  <c r="AQ458" i="2"/>
  <c r="AP458" i="2"/>
  <c r="T458" i="2"/>
  <c r="AV458" i="2"/>
  <c r="Z152" i="2"/>
  <c r="AQ152" i="2"/>
  <c r="AP152" i="2"/>
  <c r="AC152" i="2"/>
  <c r="AA152" i="2"/>
  <c r="T152" i="2"/>
  <c r="AV152" i="2"/>
  <c r="AQ192" i="2"/>
  <c r="AP192" i="2"/>
  <c r="AC192" i="2"/>
  <c r="AA192" i="2"/>
  <c r="Z192" i="2"/>
  <c r="AV192" i="2"/>
  <c r="T192" i="2"/>
  <c r="AQ69" i="2"/>
  <c r="AP69" i="2"/>
  <c r="AC69" i="2"/>
  <c r="AA69" i="2"/>
  <c r="Z69" i="2"/>
  <c r="AV69" i="2"/>
  <c r="T69" i="2"/>
  <c r="AU69" i="2" s="1"/>
  <c r="AC267" i="2"/>
  <c r="AA267" i="2"/>
  <c r="Z267" i="2"/>
  <c r="AV267" i="2"/>
  <c r="AQ267" i="2"/>
  <c r="T267" i="2"/>
  <c r="AS267" i="2" s="1"/>
  <c r="AV288" i="2"/>
  <c r="T288" i="2"/>
  <c r="AS288" i="2" s="1"/>
  <c r="AC288" i="2"/>
  <c r="AP288" i="2"/>
  <c r="AU288" i="2" s="1"/>
  <c r="AA288" i="2"/>
  <c r="Z288" i="2"/>
  <c r="AQ288" i="2"/>
  <c r="AQ39" i="2"/>
  <c r="AP39" i="2"/>
  <c r="Z39" i="2"/>
  <c r="AC39" i="2"/>
  <c r="AA39" i="2"/>
  <c r="AV39" i="2"/>
  <c r="T39" i="2"/>
  <c r="AS39" i="2" s="1"/>
  <c r="AV66" i="2"/>
  <c r="T66" i="2"/>
  <c r="AT66" i="2" s="1"/>
  <c r="AQ66" i="2"/>
  <c r="AA66" i="2"/>
  <c r="AP66" i="2"/>
  <c r="AC66" i="2"/>
  <c r="AA197" i="2"/>
  <c r="Z197" i="2"/>
  <c r="AV197" i="2"/>
  <c r="T197" i="2"/>
  <c r="AS197" i="2" s="1"/>
  <c r="AQ197" i="2"/>
  <c r="AP197" i="2"/>
  <c r="AC197" i="2"/>
  <c r="AC255" i="2"/>
  <c r="AA255" i="2"/>
  <c r="Z255" i="2"/>
  <c r="AP255" i="2"/>
  <c r="AQ255" i="2"/>
  <c r="T255" i="2"/>
  <c r="AR255" i="2" s="1"/>
  <c r="AU76" i="2"/>
  <c r="AS76" i="2"/>
  <c r="AR76" i="2"/>
  <c r="AW76" i="2"/>
  <c r="AS79" i="2"/>
  <c r="AR79" i="2"/>
  <c r="AA103" i="2"/>
  <c r="AQ103" i="2"/>
  <c r="AP103" i="2"/>
  <c r="AC103" i="2"/>
  <c r="Z103" i="2"/>
  <c r="AV103" i="2"/>
  <c r="AW103" i="2" s="1"/>
  <c r="T103" i="2"/>
  <c r="AU103" i="2" s="1"/>
  <c r="AW106" i="2"/>
  <c r="Z153" i="2"/>
  <c r="T153" i="2"/>
  <c r="AV153" i="2"/>
  <c r="AQ153" i="2"/>
  <c r="AP153" i="2"/>
  <c r="AC153" i="2"/>
  <c r="AA153" i="2"/>
  <c r="Z218" i="2"/>
  <c r="AA218" i="2"/>
  <c r="T218" i="2"/>
  <c r="AV218" i="2"/>
  <c r="AQ218" i="2"/>
  <c r="AP218" i="2"/>
  <c r="AC218" i="2"/>
  <c r="AP421" i="2"/>
  <c r="AC421" i="2"/>
  <c r="AQ421" i="2"/>
  <c r="Z421" i="2"/>
  <c r="AA421" i="2"/>
  <c r="AV421" i="2"/>
  <c r="T421" i="2"/>
  <c r="AW897" i="2"/>
  <c r="AU903" i="2"/>
  <c r="AC43" i="2"/>
  <c r="AA43" i="2"/>
  <c r="Z43" i="2"/>
  <c r="AQ43" i="2"/>
  <c r="AP43" i="2"/>
  <c r="T43" i="2"/>
  <c r="AS43" i="2" s="1"/>
  <c r="AV43" i="2"/>
  <c r="AP161" i="2"/>
  <c r="AQ161" i="2"/>
  <c r="AC161" i="2"/>
  <c r="AA161" i="2"/>
  <c r="Z161" i="2"/>
  <c r="AV161" i="2"/>
  <c r="T161" i="2"/>
  <c r="AS161" i="2" s="1"/>
  <c r="AQ217" i="2"/>
  <c r="AP217" i="2"/>
  <c r="AC217" i="2"/>
  <c r="AA217" i="2"/>
  <c r="Z217" i="2"/>
  <c r="T217" i="2"/>
  <c r="AS217" i="2" s="1"/>
  <c r="AV217" i="2"/>
  <c r="AV13" i="2"/>
  <c r="T13" i="2"/>
  <c r="AP13" i="2"/>
  <c r="AC13" i="2"/>
  <c r="AA13" i="2"/>
  <c r="Z13" i="2"/>
  <c r="AQ13" i="2"/>
  <c r="AA112" i="2"/>
  <c r="AQ112" i="2"/>
  <c r="AP112" i="2"/>
  <c r="AC112" i="2"/>
  <c r="Z112" i="2"/>
  <c r="AV112" i="2"/>
  <c r="T112" i="2"/>
  <c r="AR83" i="2"/>
  <c r="AQ90" i="2"/>
  <c r="AC90" i="2"/>
  <c r="AA90" i="2"/>
  <c r="Z90" i="2"/>
  <c r="AP90" i="2"/>
  <c r="AV90" i="2"/>
  <c r="T90" i="2"/>
  <c r="AC99" i="2"/>
  <c r="AA99" i="2"/>
  <c r="Z99" i="2"/>
  <c r="AQ99" i="2"/>
  <c r="AP99" i="2"/>
  <c r="AV99" i="2"/>
  <c r="T99" i="2"/>
  <c r="AS148" i="2"/>
  <c r="AP267" i="2"/>
  <c r="AV419" i="2"/>
  <c r="T419" i="2"/>
  <c r="AS419" i="2" s="1"/>
  <c r="AP419" i="2"/>
  <c r="AQ419" i="2"/>
  <c r="AC419" i="2"/>
  <c r="AA419" i="2"/>
  <c r="Z419" i="2"/>
  <c r="AT704" i="2"/>
  <c r="AQ102" i="2"/>
  <c r="AP102" i="2"/>
  <c r="AC102" i="2"/>
  <c r="AA102" i="2"/>
  <c r="Z102" i="2"/>
  <c r="AV102" i="2"/>
  <c r="T102" i="2"/>
  <c r="AS102" i="2" s="1"/>
  <c r="AT177" i="2"/>
  <c r="AW177" i="2"/>
  <c r="Z66" i="2"/>
  <c r="AW83" i="2"/>
  <c r="AS115" i="2"/>
  <c r="AR115" i="2"/>
  <c r="AQ120" i="2"/>
  <c r="AV120" i="2"/>
  <c r="AP120" i="2"/>
  <c r="AA120" i="2"/>
  <c r="AC120" i="2"/>
  <c r="Z120" i="2"/>
  <c r="T120" i="2"/>
  <c r="AS120" i="2" s="1"/>
  <c r="AV255" i="2"/>
  <c r="AQ344" i="2"/>
  <c r="AV344" i="2"/>
  <c r="AA344" i="2"/>
  <c r="Z344" i="2"/>
  <c r="T344" i="2"/>
  <c r="AS344" i="2" s="1"/>
  <c r="AP344" i="2"/>
  <c r="AC344" i="2"/>
  <c r="AU525" i="2"/>
  <c r="AS525" i="2"/>
  <c r="AS497" i="2"/>
  <c r="AR513" i="2"/>
  <c r="AU513" i="2"/>
  <c r="AS513" i="2"/>
  <c r="AP526" i="2"/>
  <c r="AQ526" i="2"/>
  <c r="AA526" i="2"/>
  <c r="AC526" i="2"/>
  <c r="Z526" i="2"/>
  <c r="AV526" i="2"/>
  <c r="AV869" i="2"/>
  <c r="T869" i="2"/>
  <c r="AS869" i="2" s="1"/>
  <c r="AA869" i="2"/>
  <c r="Z869" i="2"/>
  <c r="AP869" i="2"/>
  <c r="AC869" i="2"/>
  <c r="AQ72" i="2"/>
  <c r="AA72" i="2"/>
  <c r="Z72" i="2"/>
  <c r="T72" i="2"/>
  <c r="AS72" i="2" s="1"/>
  <c r="AV95" i="2"/>
  <c r="T95" i="2"/>
  <c r="AA95" i="2"/>
  <c r="Z95" i="2"/>
  <c r="AQ95" i="2"/>
  <c r="AP95" i="2"/>
  <c r="AC95" i="2"/>
  <c r="AC275" i="2"/>
  <c r="AT275" i="2" s="1"/>
  <c r="AP275" i="2"/>
  <c r="AU275" i="2" s="1"/>
  <c r="AA275" i="2"/>
  <c r="Z275" i="2"/>
  <c r="AS275" i="2"/>
  <c r="AQ275" i="2"/>
  <c r="AR275" i="2" s="1"/>
  <c r="AW333" i="2"/>
  <c r="AP360" i="2"/>
  <c r="AU360" i="2" s="1"/>
  <c r="AQ360" i="2"/>
  <c r="AR360" i="2" s="1"/>
  <c r="AC360" i="2"/>
  <c r="AT360" i="2" s="1"/>
  <c r="AA360" i="2"/>
  <c r="Z360" i="2"/>
  <c r="AV360" i="2"/>
  <c r="AS360" i="2"/>
  <c r="AR394" i="2"/>
  <c r="AT395" i="2"/>
  <c r="AT396" i="2"/>
  <c r="AC411" i="2"/>
  <c r="AV411" i="2"/>
  <c r="AQ411" i="2"/>
  <c r="AP411" i="2"/>
  <c r="AA411" i="2"/>
  <c r="Z411" i="2"/>
  <c r="T411" i="2"/>
  <c r="AQ439" i="2"/>
  <c r="AA439" i="2"/>
  <c r="Z439" i="2"/>
  <c r="T439" i="2"/>
  <c r="AV439" i="2"/>
  <c r="AP439" i="2"/>
  <c r="AC439" i="2"/>
  <c r="AA443" i="2"/>
  <c r="Z443" i="2"/>
  <c r="AP443" i="2"/>
  <c r="AU443" i="2" s="1"/>
  <c r="AQ443" i="2"/>
  <c r="AR443" i="2" s="1"/>
  <c r="AC443" i="2"/>
  <c r="AT443" i="2" s="1"/>
  <c r="AV443" i="2"/>
  <c r="AW443" i="2" s="1"/>
  <c r="AS443" i="2"/>
  <c r="AQ505" i="2"/>
  <c r="AV505" i="2"/>
  <c r="AP505" i="2"/>
  <c r="AC505" i="2"/>
  <c r="AA505" i="2"/>
  <c r="Z505" i="2"/>
  <c r="T505" i="2"/>
  <c r="AS505" i="2" s="1"/>
  <c r="AR534" i="2"/>
  <c r="AU537" i="2"/>
  <c r="AR537" i="2"/>
  <c r="AW537" i="2"/>
  <c r="AS537" i="2"/>
  <c r="AS549" i="2"/>
  <c r="AW558" i="2"/>
  <c r="AT589" i="2"/>
  <c r="AW865" i="2"/>
  <c r="AP889" i="2"/>
  <c r="AU889" i="2" s="1"/>
  <c r="AQ889" i="2"/>
  <c r="AR889" i="2" s="1"/>
  <c r="AC889" i="2"/>
  <c r="AT889" i="2" s="1"/>
  <c r="AA889" i="2"/>
  <c r="Z889" i="2"/>
  <c r="AV889" i="2"/>
  <c r="AW889" i="2" s="1"/>
  <c r="AS889" i="2"/>
  <c r="AQ387" i="2"/>
  <c r="T387" i="2"/>
  <c r="AS387" i="2" s="1"/>
  <c r="AP387" i="2"/>
  <c r="AC387" i="2"/>
  <c r="AA387" i="2"/>
  <c r="Z387" i="2"/>
  <c r="AV387" i="2"/>
  <c r="Z415" i="2"/>
  <c r="T415" i="2"/>
  <c r="AS415" i="2" s="1"/>
  <c r="AP415" i="2"/>
  <c r="AC415" i="2"/>
  <c r="AA415" i="2"/>
  <c r="AV415" i="2"/>
  <c r="AS882" i="2"/>
  <c r="AR882" i="2"/>
  <c r="AW882" i="2"/>
  <c r="AW888" i="2"/>
  <c r="AP9" i="2"/>
  <c r="AU9" i="2" s="1"/>
  <c r="AA9" i="2"/>
  <c r="AC9" i="2"/>
  <c r="AT9" i="2" s="1"/>
  <c r="AV9" i="2"/>
  <c r="AW9" i="2" s="1"/>
  <c r="AS9" i="2"/>
  <c r="AP15" i="2"/>
  <c r="AC15" i="2"/>
  <c r="AA15" i="2"/>
  <c r="Z15" i="2"/>
  <c r="T15" i="2"/>
  <c r="AT15" i="2" s="1"/>
  <c r="AS36" i="2"/>
  <c r="AQ36" i="2"/>
  <c r="AR36" i="2" s="1"/>
  <c r="AV36" i="2"/>
  <c r="AW36" i="2" s="1"/>
  <c r="AP36" i="2"/>
  <c r="AU36" i="2" s="1"/>
  <c r="AC36" i="2"/>
  <c r="AT36" i="2" s="1"/>
  <c r="AS42" i="2"/>
  <c r="AQ42" i="2"/>
  <c r="AR42" i="2" s="1"/>
  <c r="AC42" i="2"/>
  <c r="AA42" i="2"/>
  <c r="Z42" i="2"/>
  <c r="AU75" i="2"/>
  <c r="AS75" i="2"/>
  <c r="AW75" i="2"/>
  <c r="AR75" i="2"/>
  <c r="AT79" i="2"/>
  <c r="AS177" i="2"/>
  <c r="AW588" i="2"/>
  <c r="AS583" i="2"/>
  <c r="AT598" i="2"/>
  <c r="AU510" i="2"/>
  <c r="AS586" i="2"/>
  <c r="AR568" i="2"/>
  <c r="AU564" i="2"/>
  <c r="AU546" i="2"/>
  <c r="AS600" i="2"/>
  <c r="AU536" i="2"/>
  <c r="AR510" i="2"/>
  <c r="AR536" i="2"/>
  <c r="AT503" i="2"/>
  <c r="AU496" i="2"/>
  <c r="AW176" i="2"/>
  <c r="AT496" i="2"/>
  <c r="AS248" i="2"/>
  <c r="AS227" i="2"/>
  <c r="AS223" i="2"/>
  <c r="AS211" i="2"/>
  <c r="AS206" i="2"/>
  <c r="AR503" i="2"/>
  <c r="AS496" i="2"/>
  <c r="AT330" i="2"/>
  <c r="AS324" i="2"/>
  <c r="AT319" i="2"/>
  <c r="AS290" i="2"/>
  <c r="AR231" i="2"/>
  <c r="AS215" i="2"/>
  <c r="AR583" i="2"/>
  <c r="AS564" i="2"/>
  <c r="AS534" i="2"/>
  <c r="AT488" i="2"/>
  <c r="AT475" i="2"/>
  <c r="AT397" i="2"/>
  <c r="AS372" i="2"/>
  <c r="AS367" i="2"/>
  <c r="AR362" i="2"/>
  <c r="AS358" i="2"/>
  <c r="AS303" i="2"/>
  <c r="AR219" i="2"/>
  <c r="AR579" i="2"/>
  <c r="AS578" i="2"/>
  <c r="AR572" i="2"/>
  <c r="AW569" i="2"/>
  <c r="AS568" i="2"/>
  <c r="AS567" i="2"/>
  <c r="AS533" i="2"/>
  <c r="AR518" i="2"/>
  <c r="AS516" i="2"/>
  <c r="AS514" i="2"/>
  <c r="AU376" i="2"/>
  <c r="AR330" i="2"/>
  <c r="AR239" i="2"/>
  <c r="AR167" i="2"/>
  <c r="AR516" i="2"/>
  <c r="AR514" i="2"/>
  <c r="AS484" i="2"/>
  <c r="AS376" i="2"/>
  <c r="AR211" i="2"/>
  <c r="AS202" i="2"/>
  <c r="AR146" i="2"/>
  <c r="AS596" i="2"/>
  <c r="AS585" i="2"/>
  <c r="AT485" i="2"/>
  <c r="AT479" i="2"/>
  <c r="AT478" i="2"/>
  <c r="AT469" i="2"/>
  <c r="AW423" i="2"/>
  <c r="AR416" i="2"/>
  <c r="AR376" i="2"/>
  <c r="AR346" i="2"/>
  <c r="AR340" i="2"/>
  <c r="AS295" i="2"/>
  <c r="AR202" i="2"/>
  <c r="AS598" i="2"/>
  <c r="AS556" i="2"/>
  <c r="AU487" i="2"/>
  <c r="AS485" i="2"/>
  <c r="AS479" i="2"/>
  <c r="AS478" i="2"/>
  <c r="AU470" i="2"/>
  <c r="AU460" i="2"/>
  <c r="AR324" i="2"/>
  <c r="AR488" i="2"/>
  <c r="AS460" i="2"/>
  <c r="AU393" i="2"/>
  <c r="AR206" i="2"/>
  <c r="AR461" i="2"/>
  <c r="AS488" i="2"/>
  <c r="AT487" i="2"/>
  <c r="AR479" i="2"/>
  <c r="AT470" i="2"/>
  <c r="AT460" i="2"/>
  <c r="AU423" i="2"/>
  <c r="AS409" i="2"/>
  <c r="AR408" i="2"/>
  <c r="AR367" i="2"/>
  <c r="AR223" i="2"/>
  <c r="AS158" i="2"/>
  <c r="AS487" i="2"/>
  <c r="AS461" i="2"/>
  <c r="AU454" i="2"/>
  <c r="AS312" i="2"/>
  <c r="AR158" i="2"/>
  <c r="AS454" i="2"/>
  <c r="AR564" i="2"/>
  <c r="AU563" i="2"/>
  <c r="AW547" i="2"/>
  <c r="AT532" i="2"/>
  <c r="AS531" i="2"/>
  <c r="AS528" i="2"/>
  <c r="AS493" i="2"/>
  <c r="AU48" i="2"/>
  <c r="AV60" i="2"/>
  <c r="T60" i="2"/>
  <c r="AP60" i="2"/>
  <c r="AC60" i="2"/>
  <c r="AA60" i="2"/>
  <c r="AQ60" i="2"/>
  <c r="AQ80" i="2"/>
  <c r="AR80" i="2" s="1"/>
  <c r="AC80" i="2"/>
  <c r="AT80" i="2" s="1"/>
  <c r="AP80" i="2"/>
  <c r="AU80" i="2" s="1"/>
  <c r="AS80" i="2"/>
  <c r="AA80" i="2"/>
  <c r="Z80" i="2"/>
  <c r="AA84" i="2"/>
  <c r="AS84" i="2"/>
  <c r="AQ84" i="2"/>
  <c r="AR84" i="2" s="1"/>
  <c r="AP84" i="2"/>
  <c r="AU84" i="2" s="1"/>
  <c r="AC84" i="2"/>
  <c r="AT84" i="2" s="1"/>
  <c r="Z84" i="2"/>
  <c r="AS86" i="2"/>
  <c r="AA86" i="2"/>
  <c r="Z86" i="2"/>
  <c r="AT86" i="2"/>
  <c r="AP86" i="2"/>
  <c r="AU86" i="2" s="1"/>
  <c r="AQ86" i="2"/>
  <c r="AR86" i="2" s="1"/>
  <c r="T105" i="2"/>
  <c r="AU105" i="2" s="1"/>
  <c r="AV105" i="2"/>
  <c r="AQ105" i="2"/>
  <c r="AP105" i="2"/>
  <c r="AC105" i="2"/>
  <c r="Z105" i="2"/>
  <c r="AA105" i="2"/>
  <c r="T114" i="2"/>
  <c r="AV114" i="2"/>
  <c r="AQ114" i="2"/>
  <c r="AP114" i="2"/>
  <c r="AC114" i="2"/>
  <c r="AA114" i="2"/>
  <c r="AC117" i="2"/>
  <c r="AA117" i="2"/>
  <c r="Z117" i="2"/>
  <c r="AV117" i="2"/>
  <c r="AQ117" i="2"/>
  <c r="Z143" i="2"/>
  <c r="AP143" i="2"/>
  <c r="AQ143" i="2"/>
  <c r="AC143" i="2"/>
  <c r="AA143" i="2"/>
  <c r="T143" i="2"/>
  <c r="AW172" i="2"/>
  <c r="AU173" i="2"/>
  <c r="AP183" i="2"/>
  <c r="AC183" i="2"/>
  <c r="AA183" i="2"/>
  <c r="Z183" i="2"/>
  <c r="AQ183" i="2"/>
  <c r="T183" i="2"/>
  <c r="AW183" i="2" s="1"/>
  <c r="AT186" i="2"/>
  <c r="AQ228" i="2"/>
  <c r="AC228" i="2"/>
  <c r="AP228" i="2"/>
  <c r="AA228" i="2"/>
  <c r="Z228" i="2"/>
  <c r="T228" i="2"/>
  <c r="Z230" i="2"/>
  <c r="AA230" i="2"/>
  <c r="AV230" i="2"/>
  <c r="T230" i="2"/>
  <c r="AP230" i="2"/>
  <c r="AQ230" i="2"/>
  <c r="AR259" i="2"/>
  <c r="AV300" i="2"/>
  <c r="T300" i="2"/>
  <c r="AP300" i="2"/>
  <c r="AC300" i="2"/>
  <c r="AA300" i="2"/>
  <c r="Z300" i="2"/>
  <c r="AQ300" i="2"/>
  <c r="AS311" i="2"/>
  <c r="AS322" i="2"/>
  <c r="AA322" i="2"/>
  <c r="AQ322" i="2"/>
  <c r="AR322" i="2" s="1"/>
  <c r="AP322" i="2"/>
  <c r="AU322" i="2" s="1"/>
  <c r="AC322" i="2"/>
  <c r="AT322" i="2" s="1"/>
  <c r="Z322" i="2"/>
  <c r="AV322" i="2"/>
  <c r="AW322" i="2" s="1"/>
  <c r="AQ338" i="2"/>
  <c r="AR338" i="2" s="1"/>
  <c r="AC338" i="2"/>
  <c r="AP338" i="2"/>
  <c r="AU338" i="2" s="1"/>
  <c r="AA338" i="2"/>
  <c r="Z338" i="2"/>
  <c r="AV338" i="2"/>
  <c r="AW338" i="2" s="1"/>
  <c r="AT338" i="2"/>
  <c r="AS338" i="2"/>
  <c r="AT358" i="2"/>
  <c r="AV389" i="2"/>
  <c r="AW389" i="2" s="1"/>
  <c r="T389" i="2"/>
  <c r="AS389" i="2" s="1"/>
  <c r="AP389" i="2"/>
  <c r="AU389" i="2" s="1"/>
  <c r="AC389" i="2"/>
  <c r="AA389" i="2"/>
  <c r="Z389" i="2"/>
  <c r="AQ389" i="2"/>
  <c r="AR389" i="2" s="1"/>
  <c r="AS394" i="2"/>
  <c r="AU395" i="2"/>
  <c r="AU397" i="2"/>
  <c r="AP401" i="2"/>
  <c r="AC401" i="2"/>
  <c r="Z401" i="2"/>
  <c r="AU401" i="2"/>
  <c r="AQ401" i="2"/>
  <c r="AV401" i="2"/>
  <c r="AA401" i="2"/>
  <c r="T401" i="2"/>
  <c r="AS401" i="2" s="1"/>
  <c r="AW403" i="2"/>
  <c r="T526" i="2"/>
  <c r="AC542" i="2"/>
  <c r="AT542" i="2" s="1"/>
  <c r="AA542" i="2"/>
  <c r="Z542" i="2"/>
  <c r="AV542" i="2"/>
  <c r="AW542" i="2" s="1"/>
  <c r="AS542" i="2"/>
  <c r="AP542" i="2"/>
  <c r="AU542" i="2" s="1"/>
  <c r="AQ542" i="2"/>
  <c r="AR542" i="2" s="1"/>
  <c r="AW570" i="2"/>
  <c r="AW585" i="2"/>
  <c r="AP676" i="2"/>
  <c r="AV676" i="2"/>
  <c r="AQ676" i="2"/>
  <c r="AA676" i="2"/>
  <c r="Z676" i="2"/>
  <c r="T676" i="2"/>
  <c r="AC676" i="2"/>
  <c r="AP682" i="2"/>
  <c r="AV682" i="2"/>
  <c r="AC682" i="2"/>
  <c r="AA682" i="2"/>
  <c r="Z682" i="2"/>
  <c r="T682" i="2"/>
  <c r="AS682" i="2" s="1"/>
  <c r="AQ682" i="2"/>
  <c r="AU682" i="2"/>
  <c r="AV53" i="2"/>
  <c r="T53" i="2"/>
  <c r="AR53" i="2" s="1"/>
  <c r="AQ53" i="2"/>
  <c r="AP53" i="2"/>
  <c r="AV122" i="2"/>
  <c r="T122" i="2"/>
  <c r="AA122" i="2"/>
  <c r="Z122" i="2"/>
  <c r="AQ122" i="2"/>
  <c r="AQ160" i="2"/>
  <c r="AP160" i="2"/>
  <c r="AU160" i="2" s="1"/>
  <c r="AC160" i="2"/>
  <c r="AA160" i="2"/>
  <c r="Z160" i="2"/>
  <c r="T160" i="2"/>
  <c r="AA293" i="2"/>
  <c r="Z293" i="2"/>
  <c r="AQ293" i="2"/>
  <c r="AP293" i="2"/>
  <c r="AC293" i="2"/>
  <c r="AV293" i="2"/>
  <c r="T293" i="2"/>
  <c r="AQ343" i="2"/>
  <c r="AP343" i="2"/>
  <c r="AC343" i="2"/>
  <c r="AA343" i="2"/>
  <c r="Z343" i="2"/>
  <c r="T343" i="2"/>
  <c r="AP72" i="2"/>
  <c r="AV78" i="2"/>
  <c r="AW78" i="2" s="1"/>
  <c r="T78" i="2"/>
  <c r="AQ78" i="2"/>
  <c r="AP78" i="2"/>
  <c r="Z78" i="2"/>
  <c r="AC78" i="2"/>
  <c r="AA78" i="2"/>
  <c r="AV82" i="2"/>
  <c r="T82" i="2"/>
  <c r="AP82" i="2"/>
  <c r="AC82" i="2"/>
  <c r="AA82" i="2"/>
  <c r="Z82" i="2"/>
  <c r="AA94" i="2"/>
  <c r="AQ94" i="2"/>
  <c r="AP94" i="2"/>
  <c r="AC94" i="2"/>
  <c r="Z94" i="2"/>
  <c r="T94" i="2"/>
  <c r="AS94" i="2" s="1"/>
  <c r="AV125" i="2"/>
  <c r="T125" i="2"/>
  <c r="AQ125" i="2"/>
  <c r="AP125" i="2"/>
  <c r="AC125" i="2"/>
  <c r="AS133" i="2"/>
  <c r="AQ200" i="2"/>
  <c r="AP200" i="2"/>
  <c r="AC200" i="2"/>
  <c r="AA200" i="2"/>
  <c r="Z200" i="2"/>
  <c r="AT253" i="2"/>
  <c r="AC266" i="2"/>
  <c r="AQ266" i="2"/>
  <c r="AA266" i="2"/>
  <c r="AP266" i="2"/>
  <c r="AV266" i="2"/>
  <c r="Z266" i="2"/>
  <c r="AQ274" i="2"/>
  <c r="AP274" i="2"/>
  <c r="AC274" i="2"/>
  <c r="AA274" i="2"/>
  <c r="Z274" i="2"/>
  <c r="T274" i="2"/>
  <c r="AR274" i="2" s="1"/>
  <c r="AR281" i="2"/>
  <c r="AT286" i="2"/>
  <c r="AW347" i="2"/>
  <c r="AP350" i="2"/>
  <c r="AC350" i="2"/>
  <c r="AA350" i="2"/>
  <c r="Z350" i="2"/>
  <c r="AV350" i="2"/>
  <c r="AW360" i="2"/>
  <c r="AU361" i="2"/>
  <c r="AW362" i="2"/>
  <c r="AR371" i="2"/>
  <c r="AR372" i="2"/>
  <c r="AS374" i="2"/>
  <c r="AR374" i="2"/>
  <c r="AQ384" i="2"/>
  <c r="AV384" i="2"/>
  <c r="AP384" i="2"/>
  <c r="AC384" i="2"/>
  <c r="AA384" i="2"/>
  <c r="AQ390" i="2"/>
  <c r="AC390" i="2"/>
  <c r="AP390" i="2"/>
  <c r="AA390" i="2"/>
  <c r="Z390" i="2"/>
  <c r="AV390" i="2"/>
  <c r="AV402" i="2"/>
  <c r="T402" i="2"/>
  <c r="AQ402" i="2"/>
  <c r="AP402" i="2"/>
  <c r="AC402" i="2"/>
  <c r="AA402" i="2"/>
  <c r="AQ414" i="2"/>
  <c r="AC414" i="2"/>
  <c r="Z414" i="2"/>
  <c r="AP414" i="2"/>
  <c r="AA414" i="2"/>
  <c r="AV414" i="2"/>
  <c r="AR431" i="2"/>
  <c r="AV447" i="2"/>
  <c r="T447" i="2"/>
  <c r="AS447" i="2" s="1"/>
  <c r="AA447" i="2"/>
  <c r="Z447" i="2"/>
  <c r="AQ447" i="2"/>
  <c r="AP447" i="2"/>
  <c r="AC447" i="2"/>
  <c r="AT476" i="2"/>
  <c r="AS510" i="2"/>
  <c r="AP512" i="2"/>
  <c r="AC512" i="2"/>
  <c r="AV512" i="2"/>
  <c r="AW512" i="2" s="1"/>
  <c r="AQ512" i="2"/>
  <c r="AA512" i="2"/>
  <c r="Z512" i="2"/>
  <c r="T512" i="2"/>
  <c r="AS512" i="2" s="1"/>
  <c r="AW531" i="2"/>
  <c r="AS546" i="2"/>
  <c r="AW566" i="2"/>
  <c r="AR629" i="2"/>
  <c r="AT629" i="2"/>
  <c r="AS629" i="2"/>
  <c r="AW629" i="2"/>
  <c r="AW693" i="2"/>
  <c r="AU695" i="2"/>
  <c r="AT695" i="2"/>
  <c r="AW715" i="2"/>
  <c r="AV38" i="2"/>
  <c r="T38" i="2"/>
  <c r="AQ38" i="2"/>
  <c r="AP38" i="2"/>
  <c r="AA38" i="2"/>
  <c r="AC38" i="2"/>
  <c r="AS356" i="2"/>
  <c r="AR356" i="2"/>
  <c r="AQ451" i="2"/>
  <c r="Z451" i="2"/>
  <c r="AP451" i="2"/>
  <c r="AC451" i="2"/>
  <c r="AA451" i="2"/>
  <c r="AV451" i="2"/>
  <c r="AR11" i="2"/>
  <c r="AR18" i="2"/>
  <c r="AQ45" i="2"/>
  <c r="Z45" i="2"/>
  <c r="T45" i="2"/>
  <c r="AU45" i="2" s="1"/>
  <c r="AS97" i="2"/>
  <c r="AV104" i="2"/>
  <c r="AW104" i="2" s="1"/>
  <c r="T104" i="2"/>
  <c r="AS104" i="2" s="1"/>
  <c r="AA104" i="2"/>
  <c r="Z104" i="2"/>
  <c r="AQ104" i="2"/>
  <c r="AC104" i="2"/>
  <c r="AP104" i="2"/>
  <c r="AV113" i="2"/>
  <c r="T113" i="2"/>
  <c r="AA113" i="2"/>
  <c r="Z113" i="2"/>
  <c r="AQ113" i="2"/>
  <c r="AP113" i="2"/>
  <c r="AA127" i="2"/>
  <c r="T127" i="2"/>
  <c r="AW127" i="2" s="1"/>
  <c r="AQ127" i="2"/>
  <c r="AQ147" i="2"/>
  <c r="AP147" i="2"/>
  <c r="AC147" i="2"/>
  <c r="AV147" i="2"/>
  <c r="AA147" i="2"/>
  <c r="AP171" i="2"/>
  <c r="Z171" i="2"/>
  <c r="AV171" i="2"/>
  <c r="T171" i="2"/>
  <c r="AQ171" i="2"/>
  <c r="AC171" i="2"/>
  <c r="AA171" i="2"/>
  <c r="Z212" i="2"/>
  <c r="AQ212" i="2"/>
  <c r="AP212" i="2"/>
  <c r="AV212" i="2"/>
  <c r="AC212" i="2"/>
  <c r="AS231" i="2"/>
  <c r="AW271" i="2"/>
  <c r="AV275" i="2"/>
  <c r="AW275" i="2" s="1"/>
  <c r="AC278" i="2"/>
  <c r="AQ278" i="2"/>
  <c r="AP278" i="2"/>
  <c r="AA278" i="2"/>
  <c r="AV278" i="2"/>
  <c r="Z278" i="2"/>
  <c r="AS282" i="2"/>
  <c r="AQ301" i="2"/>
  <c r="AC301" i="2"/>
  <c r="AA301" i="2"/>
  <c r="Z301" i="2"/>
  <c r="T301" i="2"/>
  <c r="AV301" i="2"/>
  <c r="AW301" i="2" s="1"/>
  <c r="AS317" i="2"/>
  <c r="AQ327" i="2"/>
  <c r="AP327" i="2"/>
  <c r="AC327" i="2"/>
  <c r="AA327" i="2"/>
  <c r="Z327" i="2"/>
  <c r="T327" i="2"/>
  <c r="AQ332" i="2"/>
  <c r="AV332" i="2"/>
  <c r="AP332" i="2"/>
  <c r="AC332" i="2"/>
  <c r="AA332" i="2"/>
  <c r="Z332" i="2"/>
  <c r="AR333" i="2"/>
  <c r="AR335" i="2"/>
  <c r="Z339" i="2"/>
  <c r="AC339" i="2"/>
  <c r="AA339" i="2"/>
  <c r="T339" i="2"/>
  <c r="AU339" i="2" s="1"/>
  <c r="AV339" i="2"/>
  <c r="AT361" i="2"/>
  <c r="AW361" i="2"/>
  <c r="AP363" i="2"/>
  <c r="Z363" i="2"/>
  <c r="AQ363" i="2"/>
  <c r="AV363" i="2"/>
  <c r="AC363" i="2"/>
  <c r="AA363" i="2"/>
  <c r="AR382" i="2"/>
  <c r="AU412" i="2"/>
  <c r="AW427" i="2"/>
  <c r="AS431" i="2"/>
  <c r="T451" i="2"/>
  <c r="AS451" i="2" s="1"/>
  <c r="AT514" i="2"/>
  <c r="AU522" i="2"/>
  <c r="AQ548" i="2"/>
  <c r="AP548" i="2"/>
  <c r="AC548" i="2"/>
  <c r="AA548" i="2"/>
  <c r="AU548" i="2"/>
  <c r="Z548" i="2"/>
  <c r="T548" i="2"/>
  <c r="AV548" i="2"/>
  <c r="AU807" i="2"/>
  <c r="AS807" i="2"/>
  <c r="AR807" i="2"/>
  <c r="AW807" i="2"/>
  <c r="AW945" i="2"/>
  <c r="AU699" i="2"/>
  <c r="AS699" i="2"/>
  <c r="AW699" i="2"/>
  <c r="AR699" i="2"/>
  <c r="AV41" i="2"/>
  <c r="T41" i="2"/>
  <c r="AP41" i="2"/>
  <c r="AC41" i="2"/>
  <c r="AA41" i="2"/>
  <c r="Z41" i="2"/>
  <c r="AV98" i="2"/>
  <c r="T98" i="2"/>
  <c r="AS98" i="2" s="1"/>
  <c r="AQ98" i="2"/>
  <c r="AR98" i="2" s="1"/>
  <c r="AP98" i="2"/>
  <c r="AC98" i="2"/>
  <c r="AA98" i="2"/>
  <c r="Z98" i="2"/>
  <c r="Z155" i="2"/>
  <c r="AS155" i="2"/>
  <c r="AQ155" i="2"/>
  <c r="AR155" i="2" s="1"/>
  <c r="AP155" i="2"/>
  <c r="AU155" i="2" s="1"/>
  <c r="AV155" i="2"/>
  <c r="AW155" i="2" s="1"/>
  <c r="AC155" i="2"/>
  <c r="AT155" i="2" s="1"/>
  <c r="AA155" i="2"/>
  <c r="AQ220" i="2"/>
  <c r="AR220" i="2" s="1"/>
  <c r="AS220" i="2"/>
  <c r="AP220" i="2"/>
  <c r="AC220" i="2"/>
  <c r="AT220" i="2" s="1"/>
  <c r="AV220" i="2"/>
  <c r="AW220" i="2" s="1"/>
  <c r="AU220" i="2"/>
  <c r="AA220" i="2"/>
  <c r="Z220" i="2"/>
  <c r="AT2" i="2"/>
  <c r="AR89" i="2"/>
  <c r="AS89" i="2"/>
  <c r="AP3" i="2"/>
  <c r="AA3" i="2"/>
  <c r="AC3" i="2"/>
  <c r="Z3" i="2"/>
  <c r="T3" i="2"/>
  <c r="AW3" i="2" s="1"/>
  <c r="AQ9" i="2"/>
  <c r="AR9" i="2" s="1"/>
  <c r="AP21" i="2"/>
  <c r="AC21" i="2"/>
  <c r="AA21" i="2"/>
  <c r="AV21" i="2"/>
  <c r="AP27" i="2"/>
  <c r="AA27" i="2"/>
  <c r="AC27" i="2"/>
  <c r="Z27" i="2"/>
  <c r="T27" i="2"/>
  <c r="AW27" i="2" s="1"/>
  <c r="AS33" i="2"/>
  <c r="AA36" i="2"/>
  <c r="AT42" i="2"/>
  <c r="AA59" i="2"/>
  <c r="AQ59" i="2"/>
  <c r="AP59" i="2"/>
  <c r="Z59" i="2"/>
  <c r="AC59" i="2"/>
  <c r="AS88" i="2"/>
  <c r="AR88" i="2"/>
  <c r="AS18" i="2"/>
  <c r="AU34" i="2"/>
  <c r="AC40" i="2"/>
  <c r="AT40" i="2" s="1"/>
  <c r="Z40" i="2"/>
  <c r="AA40" i="2"/>
  <c r="AS40" i="2"/>
  <c r="AQ40" i="2"/>
  <c r="AR40" i="2" s="1"/>
  <c r="AP40" i="2"/>
  <c r="AU40" i="2" s="1"/>
  <c r="Z61" i="2"/>
  <c r="AC61" i="2"/>
  <c r="AQ61" i="2"/>
  <c r="AP61" i="2"/>
  <c r="AU61" i="2" s="1"/>
  <c r="AW80" i="2"/>
  <c r="AW84" i="2"/>
  <c r="AV86" i="2"/>
  <c r="AW86" i="2" s="1"/>
  <c r="AA100" i="2"/>
  <c r="T100" i="2"/>
  <c r="AQ100" i="2"/>
  <c r="AP100" i="2"/>
  <c r="Z100" i="2"/>
  <c r="AC100" i="2"/>
  <c r="AV116" i="2"/>
  <c r="T116" i="2"/>
  <c r="AS116" i="2" s="1"/>
  <c r="AQ116" i="2"/>
  <c r="AP116" i="2"/>
  <c r="AC116" i="2"/>
  <c r="AA116" i="2"/>
  <c r="AW168" i="2"/>
  <c r="AS169" i="2"/>
  <c r="T200" i="2"/>
  <c r="AT200" i="2" s="1"/>
  <c r="AQ229" i="2"/>
  <c r="AR229" i="2" s="1"/>
  <c r="AP229" i="2"/>
  <c r="AU229" i="2" s="1"/>
  <c r="AC229" i="2"/>
  <c r="AT229" i="2" s="1"/>
  <c r="AA229" i="2"/>
  <c r="Z229" i="2"/>
  <c r="AV229" i="2"/>
  <c r="AW229" i="2" s="1"/>
  <c r="AS229" i="2"/>
  <c r="T266" i="2"/>
  <c r="AS266" i="2" s="1"/>
  <c r="AT277" i="2"/>
  <c r="AW308" i="2"/>
  <c r="AR319" i="2"/>
  <c r="AW320" i="2"/>
  <c r="AS330" i="2"/>
  <c r="AS335" i="2"/>
  <c r="AS337" i="2"/>
  <c r="AQ337" i="2"/>
  <c r="AP337" i="2"/>
  <c r="AC337" i="2"/>
  <c r="AA337" i="2"/>
  <c r="Z337" i="2"/>
  <c r="T337" i="2"/>
  <c r="T350" i="2"/>
  <c r="AP377" i="2"/>
  <c r="AA377" i="2"/>
  <c r="Z377" i="2"/>
  <c r="T377" i="2"/>
  <c r="AS377" i="2" s="1"/>
  <c r="AV377" i="2"/>
  <c r="AQ377" i="2"/>
  <c r="AS382" i="2"/>
  <c r="T384" i="2"/>
  <c r="AT384" i="2" s="1"/>
  <c r="AC386" i="2"/>
  <c r="Z386" i="2"/>
  <c r="AQ386" i="2"/>
  <c r="AP386" i="2"/>
  <c r="AA386" i="2"/>
  <c r="AV386" i="2"/>
  <c r="T386" i="2"/>
  <c r="T390" i="2"/>
  <c r="AW390" i="2" s="1"/>
  <c r="AS413" i="2"/>
  <c r="T414" i="2"/>
  <c r="AT431" i="2"/>
  <c r="AV435" i="2"/>
  <c r="T435" i="2"/>
  <c r="AS435" i="2" s="1"/>
  <c r="AP435" i="2"/>
  <c r="AA435" i="2"/>
  <c r="AQ435" i="2"/>
  <c r="AC435" i="2"/>
  <c r="Z435" i="2"/>
  <c r="AS475" i="2"/>
  <c r="AW484" i="2"/>
  <c r="AC582" i="2"/>
  <c r="AA582" i="2"/>
  <c r="Z582" i="2"/>
  <c r="AV582" i="2"/>
  <c r="AW582" i="2" s="1"/>
  <c r="T582" i="2"/>
  <c r="AR582" i="2" s="1"/>
  <c r="AP582" i="2"/>
  <c r="AQ582" i="2"/>
  <c r="AW586" i="2"/>
  <c r="AR615" i="2"/>
  <c r="AW663" i="2"/>
  <c r="AW719" i="2"/>
  <c r="AW911" i="2"/>
  <c r="AW1028" i="2"/>
  <c r="AS111" i="2"/>
  <c r="AQ111" i="2"/>
  <c r="AR111" i="2" s="1"/>
  <c r="AP111" i="2"/>
  <c r="AU111" i="2" s="1"/>
  <c r="AC111" i="2"/>
  <c r="AT111" i="2" s="1"/>
  <c r="Z111" i="2"/>
  <c r="AA111" i="2"/>
  <c r="AS203" i="2"/>
  <c r="AU203" i="2"/>
  <c r="AP237" i="2"/>
  <c r="AC237" i="2"/>
  <c r="AA237" i="2"/>
  <c r="Z237" i="2"/>
  <c r="AQ237" i="2"/>
  <c r="T237" i="2"/>
  <c r="AS237" i="2" s="1"/>
  <c r="AC254" i="2"/>
  <c r="AT254" i="2" s="1"/>
  <c r="AS254" i="2"/>
  <c r="AQ254" i="2"/>
  <c r="AR254" i="2" s="1"/>
  <c r="AA254" i="2"/>
  <c r="AP254" i="2"/>
  <c r="AU254" i="2" s="1"/>
  <c r="AV254" i="2"/>
  <c r="AW254" i="2" s="1"/>
  <c r="Z254" i="2"/>
  <c r="AP375" i="2"/>
  <c r="AU375" i="2" s="1"/>
  <c r="AV375" i="2"/>
  <c r="AW375" i="2" s="1"/>
  <c r="AQ375" i="2"/>
  <c r="AR375" i="2" s="1"/>
  <c r="AC375" i="2"/>
  <c r="AT375" i="2" s="1"/>
  <c r="AA375" i="2"/>
  <c r="Z375" i="2"/>
  <c r="AS375" i="2"/>
  <c r="Z9" i="2"/>
  <c r="AV10" i="2"/>
  <c r="T10" i="2"/>
  <c r="AS10" i="2" s="1"/>
  <c r="AC10" i="2"/>
  <c r="AQ10" i="2"/>
  <c r="AP10" i="2"/>
  <c r="T21" i="2"/>
  <c r="AR21" i="2" s="1"/>
  <c r="AU23" i="2"/>
  <c r="T25" i="2"/>
  <c r="AV25" i="2"/>
  <c r="AP25" i="2"/>
  <c r="AC25" i="2"/>
  <c r="AA25" i="2"/>
  <c r="Z25" i="2"/>
  <c r="AC37" i="2"/>
  <c r="AT37" i="2" s="1"/>
  <c r="AA37" i="2"/>
  <c r="Z37" i="2"/>
  <c r="AU37" i="2"/>
  <c r="AS37" i="2"/>
  <c r="AQ37" i="2"/>
  <c r="AR37" i="2" s="1"/>
  <c r="Z38" i="2"/>
  <c r="AQ41" i="2"/>
  <c r="AR41" i="2" s="1"/>
  <c r="AV42" i="2"/>
  <c r="AW42" i="2" s="1"/>
  <c r="AV44" i="2"/>
  <c r="T44" i="2"/>
  <c r="AA44" i="2"/>
  <c r="Z44" i="2"/>
  <c r="Z53" i="2"/>
  <c r="AT58" i="2"/>
  <c r="AS58" i="2"/>
  <c r="T59" i="2"/>
  <c r="AQ64" i="2"/>
  <c r="AR64" i="2" s="1"/>
  <c r="AP64" i="2"/>
  <c r="AU64" i="2" s="1"/>
  <c r="AC64" i="2"/>
  <c r="AT64" i="2" s="1"/>
  <c r="AV64" i="2"/>
  <c r="AW64" i="2" s="1"/>
  <c r="AS64" i="2"/>
  <c r="AA64" i="2"/>
  <c r="AC68" i="2"/>
  <c r="AT68" i="2"/>
  <c r="AS68" i="2"/>
  <c r="AQ68" i="2"/>
  <c r="AR68" i="2" s="1"/>
  <c r="AP68" i="2"/>
  <c r="AU68" i="2" s="1"/>
  <c r="AA68" i="2"/>
  <c r="Z68" i="2"/>
  <c r="AR70" i="2"/>
  <c r="AV72" i="2"/>
  <c r="AW72" i="2" s="1"/>
  <c r="AR73" i="2"/>
  <c r="Z81" i="2"/>
  <c r="AC81" i="2"/>
  <c r="AT81" i="2" s="1"/>
  <c r="AA81" i="2"/>
  <c r="AS81" i="2"/>
  <c r="AQ81" i="2"/>
  <c r="AR81" i="2" s="1"/>
  <c r="AP81" i="2"/>
  <c r="AU81" i="2" s="1"/>
  <c r="T85" i="2"/>
  <c r="AQ85" i="2"/>
  <c r="AP85" i="2"/>
  <c r="AC85" i="2"/>
  <c r="AA85" i="2"/>
  <c r="AQ93" i="2"/>
  <c r="AP93" i="2"/>
  <c r="AA93" i="2"/>
  <c r="Z93" i="2"/>
  <c r="T93" i="2"/>
  <c r="AS93" i="2" s="1"/>
  <c r="T96" i="2"/>
  <c r="AR96" i="2" s="1"/>
  <c r="AV96" i="2"/>
  <c r="AP96" i="2"/>
  <c r="AC96" i="2"/>
  <c r="AA96" i="2"/>
  <c r="Z96" i="2"/>
  <c r="AV107" i="2"/>
  <c r="T107" i="2"/>
  <c r="AS107" i="2" s="1"/>
  <c r="AP107" i="2"/>
  <c r="AQ107" i="2"/>
  <c r="AC107" i="2"/>
  <c r="AT107" i="2" s="1"/>
  <c r="Z107" i="2"/>
  <c r="AA107" i="2"/>
  <c r="AA118" i="2"/>
  <c r="T118" i="2"/>
  <c r="AP118" i="2"/>
  <c r="AQ118" i="2"/>
  <c r="AC122" i="2"/>
  <c r="AR124" i="2"/>
  <c r="AP144" i="2"/>
  <c r="AU144" i="2" s="1"/>
  <c r="AC144" i="2"/>
  <c r="AT144" i="2" s="1"/>
  <c r="AA144" i="2"/>
  <c r="Z144" i="2"/>
  <c r="AS144" i="2"/>
  <c r="AQ144" i="2"/>
  <c r="AR144" i="2" s="1"/>
  <c r="T147" i="2"/>
  <c r="AA184" i="2"/>
  <c r="Z184" i="2"/>
  <c r="T184" i="2"/>
  <c r="AS184" i="2" s="1"/>
  <c r="AV184" i="2"/>
  <c r="AW184" i="2" s="1"/>
  <c r="AQ184" i="2"/>
  <c r="AP184" i="2"/>
  <c r="AC184" i="2"/>
  <c r="T212" i="2"/>
  <c r="AW241" i="2"/>
  <c r="AW250" i="2"/>
  <c r="T278" i="2"/>
  <c r="AR278" i="2" s="1"/>
  <c r="AA287" i="2"/>
  <c r="AQ287" i="2"/>
  <c r="AP287" i="2"/>
  <c r="AC287" i="2"/>
  <c r="Z287" i="2"/>
  <c r="T287" i="2"/>
  <c r="Z289" i="2"/>
  <c r="T289" i="2"/>
  <c r="AV289" i="2"/>
  <c r="AQ289" i="2"/>
  <c r="AP289" i="2"/>
  <c r="AC289" i="2"/>
  <c r="AW304" i="2"/>
  <c r="AQ321" i="2"/>
  <c r="AP321" i="2"/>
  <c r="AC321" i="2"/>
  <c r="AA321" i="2"/>
  <c r="Z321" i="2"/>
  <c r="T321" i="2"/>
  <c r="AS328" i="2"/>
  <c r="T332" i="2"/>
  <c r="AV343" i="2"/>
  <c r="T363" i="2"/>
  <c r="AS363" i="2" s="1"/>
  <c r="AA406" i="2"/>
  <c r="AP406" i="2"/>
  <c r="AU406" i="2" s="1"/>
  <c r="AC406" i="2"/>
  <c r="AT406" i="2" s="1"/>
  <c r="Z406" i="2"/>
  <c r="AV406" i="2"/>
  <c r="AR406" i="2"/>
  <c r="AS406" i="2"/>
  <c r="AR412" i="2"/>
  <c r="AT412" i="2"/>
  <c r="AU431" i="2"/>
  <c r="AW436" i="2"/>
  <c r="AQ442" i="2"/>
  <c r="AP442" i="2"/>
  <c r="AA442" i="2"/>
  <c r="AC442" i="2"/>
  <c r="Z442" i="2"/>
  <c r="AV442" i="2"/>
  <c r="T442" i="2"/>
  <c r="AW476" i="2"/>
  <c r="AS491" i="2"/>
  <c r="AW513" i="2"/>
  <c r="AQ515" i="2"/>
  <c r="Z515" i="2"/>
  <c r="AC515" i="2"/>
  <c r="AA515" i="2"/>
  <c r="T515" i="2"/>
  <c r="AS515" i="2" s="1"/>
  <c r="AV515" i="2"/>
  <c r="AP515" i="2"/>
  <c r="AU515" i="2" s="1"/>
  <c r="AP520" i="2"/>
  <c r="AU520" i="2" s="1"/>
  <c r="Z520" i="2"/>
  <c r="AC520" i="2"/>
  <c r="AT520" i="2" s="1"/>
  <c r="AV520" i="2"/>
  <c r="AW520" i="2" s="1"/>
  <c r="AS520" i="2"/>
  <c r="AQ520" i="2"/>
  <c r="AR520" i="2" s="1"/>
  <c r="AA520" i="2"/>
  <c r="AT540" i="2"/>
  <c r="AU549" i="2"/>
  <c r="AR550" i="2"/>
  <c r="AT551" i="2"/>
  <c r="AR565" i="2"/>
  <c r="AQ613" i="2"/>
  <c r="AP613" i="2"/>
  <c r="AC613" i="2"/>
  <c r="AA613" i="2"/>
  <c r="T613" i="2"/>
  <c r="AV613" i="2"/>
  <c r="AW613" i="2" s="1"/>
  <c r="Z613" i="2"/>
  <c r="AW621" i="2"/>
  <c r="AV743" i="2"/>
  <c r="T743" i="2"/>
  <c r="AP743" i="2"/>
  <c r="AC743" i="2"/>
  <c r="AA743" i="2"/>
  <c r="Z743" i="2"/>
  <c r="AQ743" i="2"/>
  <c r="AP12" i="2"/>
  <c r="AU12" i="2" s="1"/>
  <c r="AA12" i="2"/>
  <c r="AC12" i="2"/>
  <c r="AT12" i="2" s="1"/>
  <c r="AS12" i="2"/>
  <c r="AQ12" i="2"/>
  <c r="AR12" i="2" s="1"/>
  <c r="Z12" i="2"/>
  <c r="AT26" i="2"/>
  <c r="Z36" i="2"/>
  <c r="AP42" i="2"/>
  <c r="AU42" i="2" s="1"/>
  <c r="AV15" i="2"/>
  <c r="AR20" i="2"/>
  <c r="AW20" i="2"/>
  <c r="AA53" i="2"/>
  <c r="AS73" i="2"/>
  <c r="AP77" i="2"/>
  <c r="AU77" i="2" s="1"/>
  <c r="AA77" i="2"/>
  <c r="Z77" i="2"/>
  <c r="AS77" i="2"/>
  <c r="AQ77" i="2"/>
  <c r="AR77" i="2" s="1"/>
  <c r="AC77" i="2"/>
  <c r="AT77" i="2" s="1"/>
  <c r="AQ82" i="2"/>
  <c r="AC87" i="2"/>
  <c r="T87" i="2"/>
  <c r="AV87" i="2"/>
  <c r="AQ87" i="2"/>
  <c r="AP87" i="2"/>
  <c r="AA87" i="2"/>
  <c r="AS92" i="2"/>
  <c r="AU98" i="2"/>
  <c r="AA109" i="2"/>
  <c r="T109" i="2"/>
  <c r="AQ109" i="2"/>
  <c r="AC109" i="2"/>
  <c r="AP109" i="2"/>
  <c r="AV111" i="2"/>
  <c r="AW111" i="2" s="1"/>
  <c r="AA121" i="2"/>
  <c r="AQ121" i="2"/>
  <c r="AR121" i="2" s="1"/>
  <c r="AP121" i="2"/>
  <c r="AC121" i="2"/>
  <c r="AT121" i="2" s="1"/>
  <c r="AV121" i="2"/>
  <c r="AW121" i="2" s="1"/>
  <c r="AU121" i="2"/>
  <c r="AS121" i="2"/>
  <c r="AP122" i="2"/>
  <c r="Z125" i="2"/>
  <c r="AP156" i="2"/>
  <c r="AU156" i="2" s="1"/>
  <c r="AC156" i="2"/>
  <c r="AT156" i="2" s="1"/>
  <c r="AA156" i="2"/>
  <c r="Z156" i="2"/>
  <c r="AV156" i="2"/>
  <c r="AS156" i="2"/>
  <c r="AV160" i="2"/>
  <c r="AW196" i="2"/>
  <c r="AW208" i="2"/>
  <c r="Z221" i="2"/>
  <c r="AQ221" i="2"/>
  <c r="AR221" i="2" s="1"/>
  <c r="AP221" i="2"/>
  <c r="AU221" i="2" s="1"/>
  <c r="AC221" i="2"/>
  <c r="AT221" i="2" s="1"/>
  <c r="AA221" i="2"/>
  <c r="AV221" i="2"/>
  <c r="AW221" i="2" s="1"/>
  <c r="AS221" i="2"/>
  <c r="AV237" i="2"/>
  <c r="AV246" i="2"/>
  <c r="T246" i="2"/>
  <c r="AP246" i="2"/>
  <c r="AC246" i="2"/>
  <c r="AA246" i="2"/>
  <c r="Z246" i="2"/>
  <c r="AS246" i="2"/>
  <c r="AQ246" i="2"/>
  <c r="AC251" i="2"/>
  <c r="AP251" i="2"/>
  <c r="AA251" i="2"/>
  <c r="Z251" i="2"/>
  <c r="AQ251" i="2"/>
  <c r="T251" i="2"/>
  <c r="AV294" i="2"/>
  <c r="T294" i="2"/>
  <c r="AR294" i="2" s="1"/>
  <c r="AP294" i="2"/>
  <c r="AC294" i="2"/>
  <c r="AA294" i="2"/>
  <c r="Z294" i="2"/>
  <c r="AS299" i="2"/>
  <c r="AP301" i="2"/>
  <c r="AU315" i="2"/>
  <c r="AV327" i="2"/>
  <c r="AT328" i="2"/>
  <c r="AU362" i="2"/>
  <c r="AU399" i="2"/>
  <c r="AS399" i="2"/>
  <c r="Z402" i="2"/>
  <c r="AV429" i="2"/>
  <c r="T429" i="2"/>
  <c r="AA429" i="2"/>
  <c r="AQ429" i="2"/>
  <c r="AP429" i="2"/>
  <c r="AC429" i="2"/>
  <c r="Z429" i="2"/>
  <c r="AA437" i="2"/>
  <c r="Z437" i="2"/>
  <c r="T437" i="2"/>
  <c r="AS437" i="2" s="1"/>
  <c r="AQ437" i="2"/>
  <c r="AP437" i="2"/>
  <c r="AC437" i="2"/>
  <c r="AV437" i="2"/>
  <c r="AQ448" i="2"/>
  <c r="AP448" i="2"/>
  <c r="AA448" i="2"/>
  <c r="Z448" i="2"/>
  <c r="T448" i="2"/>
  <c r="AS448" i="2" s="1"/>
  <c r="AV448" i="2"/>
  <c r="AA452" i="2"/>
  <c r="Z452" i="2"/>
  <c r="AP452" i="2"/>
  <c r="AC452" i="2"/>
  <c r="AT452" i="2" s="1"/>
  <c r="T452" i="2"/>
  <c r="AR452" i="2" s="1"/>
  <c r="AV452" i="2"/>
  <c r="AW452" i="2" s="1"/>
  <c r="AR482" i="2"/>
  <c r="AR528" i="2"/>
  <c r="AP538" i="2"/>
  <c r="AU538" i="2" s="1"/>
  <c r="Z538" i="2"/>
  <c r="AS538" i="2"/>
  <c r="AQ538" i="2"/>
  <c r="AR538" i="2" s="1"/>
  <c r="AC538" i="2"/>
  <c r="AT538" i="2" s="1"/>
  <c r="AA538" i="2"/>
  <c r="AV538" i="2"/>
  <c r="AW538" i="2" s="1"/>
  <c r="AP541" i="2"/>
  <c r="AC541" i="2"/>
  <c r="AA541" i="2"/>
  <c r="T541" i="2"/>
  <c r="AS541" i="2" s="1"/>
  <c r="AQ541" i="2"/>
  <c r="Z541" i="2"/>
  <c r="AV541" i="2"/>
  <c r="AW541" i="2" s="1"/>
  <c r="AS550" i="2"/>
  <c r="AU551" i="2"/>
  <c r="AR552" i="2"/>
  <c r="AW562" i="2"/>
  <c r="AT562" i="2"/>
  <c r="AQ661" i="2"/>
  <c r="AP661" i="2"/>
  <c r="AC661" i="2"/>
  <c r="AV661" i="2"/>
  <c r="AA661" i="2"/>
  <c r="Z661" i="2"/>
  <c r="T661" i="2"/>
  <c r="AS661" i="2" s="1"/>
  <c r="AS508" i="2"/>
  <c r="AT522" i="2"/>
  <c r="AP523" i="2"/>
  <c r="AU523" i="2" s="1"/>
  <c r="AC523" i="2"/>
  <c r="AT523" i="2" s="1"/>
  <c r="AA523" i="2"/>
  <c r="AV523" i="2"/>
  <c r="AS523" i="2"/>
  <c r="AQ523" i="2"/>
  <c r="AR523" i="2" s="1"/>
  <c r="Z523" i="2"/>
  <c r="AW546" i="2"/>
  <c r="Z575" i="2"/>
  <c r="AV575" i="2"/>
  <c r="T575" i="2"/>
  <c r="AS575" i="2" s="1"/>
  <c r="AA575" i="2"/>
  <c r="AQ575" i="2"/>
  <c r="AP575" i="2"/>
  <c r="AC575" i="2"/>
  <c r="AU591" i="2"/>
  <c r="AU606" i="2"/>
  <c r="AQ607" i="2"/>
  <c r="AP607" i="2"/>
  <c r="AC607" i="2"/>
  <c r="AA607" i="2"/>
  <c r="Z607" i="2"/>
  <c r="AV607" i="2"/>
  <c r="T607" i="2"/>
  <c r="AQ649" i="2"/>
  <c r="AP649" i="2"/>
  <c r="AC649" i="2"/>
  <c r="AA649" i="2"/>
  <c r="T649" i="2"/>
  <c r="AV649" i="2"/>
  <c r="AW681" i="2"/>
  <c r="AP775" i="2"/>
  <c r="AU775" i="2" s="1"/>
  <c r="AS775" i="2"/>
  <c r="AQ775" i="2"/>
  <c r="AR775" i="2" s="1"/>
  <c r="AV775" i="2"/>
  <c r="AW775" i="2" s="1"/>
  <c r="AC775" i="2"/>
  <c r="AT775" i="2" s="1"/>
  <c r="AA775" i="2"/>
  <c r="Z775" i="2"/>
  <c r="AP784" i="2"/>
  <c r="AA784" i="2"/>
  <c r="Z784" i="2"/>
  <c r="AV784" i="2"/>
  <c r="AW784" i="2" s="1"/>
  <c r="AQ784" i="2"/>
  <c r="AC784" i="2"/>
  <c r="T784" i="2"/>
  <c r="AS784" i="2" s="1"/>
  <c r="AW849" i="2"/>
  <c r="Z946" i="2"/>
  <c r="AQ946" i="2"/>
  <c r="AP946" i="2"/>
  <c r="AC946" i="2"/>
  <c r="AA946" i="2"/>
  <c r="T946" i="2"/>
  <c r="AV946" i="2"/>
  <c r="AW946" i="2"/>
  <c r="AW1017" i="2"/>
  <c r="AC560" i="2"/>
  <c r="Z560" i="2"/>
  <c r="AQ560" i="2"/>
  <c r="AV560" i="2"/>
  <c r="AW560" i="2" s="1"/>
  <c r="AR591" i="2"/>
  <c r="AR642" i="2"/>
  <c r="AW642" i="2"/>
  <c r="AP688" i="2"/>
  <c r="Z688" i="2"/>
  <c r="T688" i="2"/>
  <c r="AA688" i="2"/>
  <c r="AV688" i="2"/>
  <c r="AQ688" i="2"/>
  <c r="AP802" i="2"/>
  <c r="AQ802" i="2"/>
  <c r="AC802" i="2"/>
  <c r="AA802" i="2"/>
  <c r="AV802" i="2"/>
  <c r="T802" i="2"/>
  <c r="AS802" i="2" s="1"/>
  <c r="Z802" i="2"/>
  <c r="AR2" i="2"/>
  <c r="AR14" i="2"/>
  <c r="AV28" i="2"/>
  <c r="T28" i="2"/>
  <c r="AU28" i="2" s="1"/>
  <c r="AT33" i="2"/>
  <c r="AC46" i="2"/>
  <c r="Z46" i="2"/>
  <c r="AA46" i="2"/>
  <c r="AS56" i="2"/>
  <c r="AS130" i="2"/>
  <c r="AP132" i="2"/>
  <c r="AC165" i="2"/>
  <c r="AQ165" i="2"/>
  <c r="AR173" i="2"/>
  <c r="AT199" i="2"/>
  <c r="AW215" i="2"/>
  <c r="Z236" i="2"/>
  <c r="AP236" i="2"/>
  <c r="AQ236" i="2"/>
  <c r="AT244" i="2"/>
  <c r="AC283" i="2"/>
  <c r="AA283" i="2"/>
  <c r="Z283" i="2"/>
  <c r="AA318" i="2"/>
  <c r="Z318" i="2"/>
  <c r="T318" i="2"/>
  <c r="AV318" i="2"/>
  <c r="AV450" i="2"/>
  <c r="T450" i="2"/>
  <c r="AC450" i="2"/>
  <c r="Z450" i="2"/>
  <c r="AQ450" i="2"/>
  <c r="AP450" i="2"/>
  <c r="AA450" i="2"/>
  <c r="AW620" i="2"/>
  <c r="AP691" i="2"/>
  <c r="AC691" i="2"/>
  <c r="AQ691" i="2"/>
  <c r="AV691" i="2"/>
  <c r="AA691" i="2"/>
  <c r="Z691" i="2"/>
  <c r="T691" i="2"/>
  <c r="AT691" i="2" s="1"/>
  <c r="AT17" i="2"/>
  <c r="AT29" i="2"/>
  <c r="AV47" i="2"/>
  <c r="T47" i="2"/>
  <c r="AU51" i="2"/>
  <c r="Z140" i="2"/>
  <c r="AP140" i="2"/>
  <c r="AU140" i="2" s="1"/>
  <c r="AC140" i="2"/>
  <c r="AT140" i="2" s="1"/>
  <c r="AA140" i="2"/>
  <c r="AV148" i="2"/>
  <c r="AW148" i="2" s="1"/>
  <c r="AS176" i="2"/>
  <c r="AV182" i="2"/>
  <c r="T182" i="2"/>
  <c r="AS182" i="2" s="1"/>
  <c r="AQ182" i="2"/>
  <c r="AC182" i="2"/>
  <c r="AP182" i="2"/>
  <c r="AC196" i="2"/>
  <c r="AQ196" i="2"/>
  <c r="AR196" i="2" s="1"/>
  <c r="AP196" i="2"/>
  <c r="AA196" i="2"/>
  <c r="Z196" i="2"/>
  <c r="AV204" i="2"/>
  <c r="AW204" i="2" s="1"/>
  <c r="AP208" i="2"/>
  <c r="AU208" i="2" s="1"/>
  <c r="AS208" i="2"/>
  <c r="AQ208" i="2"/>
  <c r="AR208" i="2" s="1"/>
  <c r="AC208" i="2"/>
  <c r="AT208" i="2" s="1"/>
  <c r="AA208" i="2"/>
  <c r="AV213" i="2"/>
  <c r="AW213" i="2" s="1"/>
  <c r="AS216" i="2"/>
  <c r="AQ216" i="2"/>
  <c r="AR216" i="2" s="1"/>
  <c r="AP216" i="2"/>
  <c r="AU216" i="2" s="1"/>
  <c r="AC216" i="2"/>
  <c r="AT216" i="2" s="1"/>
  <c r="AP225" i="2"/>
  <c r="AU225" i="2" s="1"/>
  <c r="AC225" i="2"/>
  <c r="AT225" i="2" s="1"/>
  <c r="AA225" i="2"/>
  <c r="Z225" i="2"/>
  <c r="AV232" i="2"/>
  <c r="AW232" i="2" s="1"/>
  <c r="AS261" i="2"/>
  <c r="AC271" i="2"/>
  <c r="AA271" i="2"/>
  <c r="Z271" i="2"/>
  <c r="AS279" i="2"/>
  <c r="AP292" i="2"/>
  <c r="AU292" i="2" s="1"/>
  <c r="AS292" i="2"/>
  <c r="AQ292" i="2"/>
  <c r="AR292" i="2" s="1"/>
  <c r="AC292" i="2"/>
  <c r="AT292" i="2" s="1"/>
  <c r="AA299" i="2"/>
  <c r="AV299" i="2"/>
  <c r="AW299" i="2" s="1"/>
  <c r="AQ299" i="2"/>
  <c r="AR299" i="2" s="1"/>
  <c r="AP299" i="2"/>
  <c r="AU299" i="2" s="1"/>
  <c r="AC299" i="2"/>
  <c r="AT299" i="2" s="1"/>
  <c r="Z299" i="2"/>
  <c r="AC317" i="2"/>
  <c r="AT317" i="2" s="1"/>
  <c r="AR317" i="2"/>
  <c r="AP317" i="2"/>
  <c r="AU317" i="2" s="1"/>
  <c r="AA317" i="2"/>
  <c r="Z317" i="2"/>
  <c r="AW319" i="2"/>
  <c r="AT320" i="2"/>
  <c r="AS320" i="2"/>
  <c r="AR320" i="2"/>
  <c r="AC326" i="2"/>
  <c r="AT326" i="2" s="1"/>
  <c r="AA326" i="2"/>
  <c r="AU326" i="2"/>
  <c r="AS326" i="2"/>
  <c r="AQ326" i="2"/>
  <c r="AR326" i="2" s="1"/>
  <c r="AT336" i="2"/>
  <c r="Z342" i="2"/>
  <c r="AP342" i="2"/>
  <c r="AU342" i="2" s="1"/>
  <c r="AT342" i="2"/>
  <c r="AS342" i="2"/>
  <c r="AQ342" i="2"/>
  <c r="AR342" i="2" s="1"/>
  <c r="AV351" i="2"/>
  <c r="AU365" i="2"/>
  <c r="AS373" i="2"/>
  <c r="AV391" i="2"/>
  <c r="AS403" i="2"/>
  <c r="AC418" i="2"/>
  <c r="AA418" i="2"/>
  <c r="AQ418" i="2"/>
  <c r="AP418" i="2"/>
  <c r="Z418" i="2"/>
  <c r="T418" i="2"/>
  <c r="AV422" i="2"/>
  <c r="AA428" i="2"/>
  <c r="Z428" i="2"/>
  <c r="AQ428" i="2"/>
  <c r="AC428" i="2"/>
  <c r="AP428" i="2"/>
  <c r="AU428" i="2" s="1"/>
  <c r="AQ436" i="2"/>
  <c r="AR436" i="2" s="1"/>
  <c r="AA436" i="2"/>
  <c r="AS436" i="2"/>
  <c r="AP436" i="2"/>
  <c r="AU436" i="2" s="1"/>
  <c r="AC436" i="2"/>
  <c r="AT436" i="2" s="1"/>
  <c r="Z436" i="2"/>
  <c r="AV441" i="2"/>
  <c r="T441" i="2"/>
  <c r="AP441" i="2"/>
  <c r="AC441" i="2"/>
  <c r="AA441" i="2"/>
  <c r="Z441" i="2"/>
  <c r="AQ445" i="2"/>
  <c r="AA445" i="2"/>
  <c r="Z445" i="2"/>
  <c r="T445" i="2"/>
  <c r="AW445" i="2" s="1"/>
  <c r="AU490" i="2"/>
  <c r="AS490" i="2"/>
  <c r="AV498" i="2"/>
  <c r="AW498" i="2" s="1"/>
  <c r="T498" i="2"/>
  <c r="AQ498" i="2"/>
  <c r="AP498" i="2"/>
  <c r="AU558" i="2"/>
  <c r="T560" i="2"/>
  <c r="AS560" i="2" s="1"/>
  <c r="AW572" i="2"/>
  <c r="AU621" i="2"/>
  <c r="Z649" i="2"/>
  <c r="AR681" i="2"/>
  <c r="AU681" i="2"/>
  <c r="AS681" i="2"/>
  <c r="AS771" i="2"/>
  <c r="AU771" i="2"/>
  <c r="AR771" i="2"/>
  <c r="AW771" i="2"/>
  <c r="AT777" i="2"/>
  <c r="AR789" i="2"/>
  <c r="AW789" i="2"/>
  <c r="AU789" i="2"/>
  <c r="AW1005" i="2"/>
  <c r="AA446" i="2"/>
  <c r="Z446" i="2"/>
  <c r="AC446" i="2"/>
  <c r="T446" i="2"/>
  <c r="AR522" i="2"/>
  <c r="AS522" i="2"/>
  <c r="AW534" i="2"/>
  <c r="AW552" i="2"/>
  <c r="AW686" i="2"/>
  <c r="AT848" i="2"/>
  <c r="AT849" i="2"/>
  <c r="AS888" i="2"/>
  <c r="AR888" i="2"/>
  <c r="AS1159" i="2"/>
  <c r="AC1161" i="2"/>
  <c r="Z1161" i="2"/>
  <c r="AP1161" i="2"/>
  <c r="AA1161" i="2"/>
  <c r="AV1161" i="2"/>
  <c r="AW1161" i="2" s="1"/>
  <c r="T1161" i="2"/>
  <c r="AU1161" i="2" s="1"/>
  <c r="AQ1161" i="2"/>
  <c r="AV16" i="2"/>
  <c r="T16" i="2"/>
  <c r="AU16" i="2" s="1"/>
  <c r="AR34" i="2"/>
  <c r="AS52" i="2"/>
  <c r="AP174" i="2"/>
  <c r="AC174" i="2"/>
  <c r="AA174" i="2"/>
  <c r="Z174" i="2"/>
  <c r="AW198" i="2"/>
  <c r="AQ222" i="2"/>
  <c r="AQ226" i="2"/>
  <c r="Z226" i="2"/>
  <c r="T226" i="2"/>
  <c r="AV226" i="2"/>
  <c r="AQ262" i="2"/>
  <c r="AP262" i="2"/>
  <c r="AA262" i="2"/>
  <c r="AC262" i="2"/>
  <c r="AS273" i="2"/>
  <c r="AR279" i="2"/>
  <c r="AS286" i="2"/>
  <c r="AA306" i="2"/>
  <c r="AQ306" i="2"/>
  <c r="AP306" i="2"/>
  <c r="AC306" i="2"/>
  <c r="Z306" i="2"/>
  <c r="AC354" i="2"/>
  <c r="AQ354" i="2"/>
  <c r="AP354" i="2"/>
  <c r="AA370" i="2"/>
  <c r="AP370" i="2"/>
  <c r="AC370" i="2"/>
  <c r="Z370" i="2"/>
  <c r="AC405" i="2"/>
  <c r="AP405" i="2"/>
  <c r="AQ405" i="2"/>
  <c r="AA405" i="2"/>
  <c r="Z405" i="2"/>
  <c r="T405" i="2"/>
  <c r="AS405" i="2" s="1"/>
  <c r="AQ407" i="2"/>
  <c r="AQ433" i="2"/>
  <c r="AC433" i="2"/>
  <c r="AA433" i="2"/>
  <c r="Z433" i="2"/>
  <c r="AV456" i="2"/>
  <c r="T456" i="2"/>
  <c r="AQ456" i="2"/>
  <c r="AC456" i="2"/>
  <c r="AA456" i="2"/>
  <c r="Z456" i="2"/>
  <c r="AV507" i="2"/>
  <c r="T507" i="2"/>
  <c r="AS507" i="2" s="1"/>
  <c r="AP507" i="2"/>
  <c r="AA507" i="2"/>
  <c r="AP529" i="2"/>
  <c r="AA529" i="2"/>
  <c r="Z529" i="2"/>
  <c r="T529" i="2"/>
  <c r="AW529" i="2" s="1"/>
  <c r="AA545" i="2"/>
  <c r="Z545" i="2"/>
  <c r="AQ545" i="2"/>
  <c r="AP545" i="2"/>
  <c r="AC545" i="2"/>
  <c r="AR618" i="2"/>
  <c r="AU675" i="2"/>
  <c r="AS675" i="2"/>
  <c r="AW675" i="2"/>
  <c r="AU753" i="2"/>
  <c r="AR753" i="2"/>
  <c r="AW753" i="2"/>
  <c r="AS753" i="2"/>
  <c r="AT5" i="2"/>
  <c r="AS34" i="2"/>
  <c r="AS48" i="2"/>
  <c r="AQ48" i="2"/>
  <c r="AR48" i="2" s="1"/>
  <c r="AW48" i="2"/>
  <c r="AQ132" i="2"/>
  <c r="Z141" i="2"/>
  <c r="T141" i="2"/>
  <c r="AV141" i="2"/>
  <c r="AQ151" i="2"/>
  <c r="AR151" i="2" s="1"/>
  <c r="AS151" i="2"/>
  <c r="AC151" i="2"/>
  <c r="AT151" i="2" s="1"/>
  <c r="AP151" i="2"/>
  <c r="AU151" i="2" s="1"/>
  <c r="AP6" i="2"/>
  <c r="AU6" i="2" s="1"/>
  <c r="AA6" i="2"/>
  <c r="AC6" i="2"/>
  <c r="AT6" i="2" s="1"/>
  <c r="AP18" i="2"/>
  <c r="AU18" i="2" s="1"/>
  <c r="AA18" i="2"/>
  <c r="AC18" i="2"/>
  <c r="AT18" i="2" s="1"/>
  <c r="AP30" i="2"/>
  <c r="AA30" i="2"/>
  <c r="AC30" i="2"/>
  <c r="AT30" i="2" s="1"/>
  <c r="AV33" i="2"/>
  <c r="AW33" i="2" s="1"/>
  <c r="AT34" i="2"/>
  <c r="T46" i="2"/>
  <c r="AW46" i="2" s="1"/>
  <c r="AC49" i="2"/>
  <c r="AT49" i="2" s="1"/>
  <c r="AA49" i="2"/>
  <c r="Z49" i="2"/>
  <c r="AU52" i="2"/>
  <c r="AV55" i="2"/>
  <c r="AW55" i="2" s="1"/>
  <c r="AP74" i="2"/>
  <c r="T74" i="2"/>
  <c r="AV74" i="2"/>
  <c r="AV135" i="2"/>
  <c r="AW135" i="2" s="1"/>
  <c r="AV136" i="2"/>
  <c r="AQ139" i="2"/>
  <c r="AC139" i="2"/>
  <c r="AP139" i="2"/>
  <c r="AS142" i="2"/>
  <c r="AS150" i="2"/>
  <c r="T165" i="2"/>
  <c r="AS165" i="2" s="1"/>
  <c r="T174" i="2"/>
  <c r="AV188" i="2"/>
  <c r="T188" i="2"/>
  <c r="AC188" i="2"/>
  <c r="AA188" i="2"/>
  <c r="Z188" i="2"/>
  <c r="AW223" i="2"/>
  <c r="Z234" i="2"/>
  <c r="T234" i="2"/>
  <c r="AU234" i="2" s="1"/>
  <c r="AV234" i="2"/>
  <c r="T236" i="2"/>
  <c r="AA242" i="2"/>
  <c r="AC242" i="2"/>
  <c r="Z242" i="2"/>
  <c r="T242" i="2"/>
  <c r="AS250" i="2"/>
  <c r="AQ250" i="2"/>
  <c r="AR250" i="2" s="1"/>
  <c r="AP250" i="2"/>
  <c r="AU250" i="2" s="1"/>
  <c r="AC250" i="2"/>
  <c r="AT250" i="2" s="1"/>
  <c r="AA250" i="2"/>
  <c r="AS259" i="2"/>
  <c r="AC259" i="2"/>
  <c r="AT259" i="2" s="1"/>
  <c r="AA259" i="2"/>
  <c r="Z259" i="2"/>
  <c r="T262" i="2"/>
  <c r="AS262" i="2" s="1"/>
  <c r="AW282" i="2"/>
  <c r="AQ282" i="2"/>
  <c r="AR282" i="2" s="1"/>
  <c r="AP282" i="2"/>
  <c r="AU282" i="2" s="1"/>
  <c r="AC282" i="2"/>
  <c r="AT282" i="2" s="1"/>
  <c r="AA282" i="2"/>
  <c r="T283" i="2"/>
  <c r="T306" i="2"/>
  <c r="AU314" i="2"/>
  <c r="AS315" i="2"/>
  <c r="AU334" i="2"/>
  <c r="AC334" i="2"/>
  <c r="Z334" i="2"/>
  <c r="T334" i="2"/>
  <c r="AW334" i="2" s="1"/>
  <c r="AT353" i="2"/>
  <c r="T354" i="2"/>
  <c r="AW367" i="2"/>
  <c r="T370" i="2"/>
  <c r="AV378" i="2"/>
  <c r="AT382" i="2"/>
  <c r="Z385" i="2"/>
  <c r="AS385" i="2"/>
  <c r="AQ385" i="2"/>
  <c r="AR385" i="2" s="1"/>
  <c r="AP385" i="2"/>
  <c r="AC385" i="2"/>
  <c r="AT385" i="2" s="1"/>
  <c r="AA388" i="2"/>
  <c r="AQ388" i="2"/>
  <c r="AR388" i="2" s="1"/>
  <c r="AP388" i="2"/>
  <c r="AU388" i="2" s="1"/>
  <c r="AC388" i="2"/>
  <c r="AT388" i="2" s="1"/>
  <c r="Z388" i="2"/>
  <c r="AU410" i="2"/>
  <c r="T433" i="2"/>
  <c r="AT454" i="2"/>
  <c r="AA455" i="2"/>
  <c r="Z455" i="2"/>
  <c r="AC455" i="2"/>
  <c r="T455" i="2"/>
  <c r="AW455" i="2" s="1"/>
  <c r="AW493" i="2"/>
  <c r="AR511" i="2"/>
  <c r="AV521" i="2"/>
  <c r="AW521" i="2" s="1"/>
  <c r="T521" i="2"/>
  <c r="Z521" i="2"/>
  <c r="AQ521" i="2"/>
  <c r="AP521" i="2"/>
  <c r="AA527" i="2"/>
  <c r="Z527" i="2"/>
  <c r="AQ527" i="2"/>
  <c r="AR527" i="2" s="1"/>
  <c r="AC527" i="2"/>
  <c r="AT527" i="2" s="1"/>
  <c r="AS527" i="2"/>
  <c r="AP527" i="2"/>
  <c r="AU527" i="2" s="1"/>
  <c r="AV539" i="2"/>
  <c r="T539" i="2"/>
  <c r="AR539" i="2" s="1"/>
  <c r="AP539" i="2"/>
  <c r="AA539" i="2"/>
  <c r="AQ539" i="2"/>
  <c r="AC539" i="2"/>
  <c r="Z539" i="2"/>
  <c r="T545" i="2"/>
  <c r="AT573" i="2"/>
  <c r="AP574" i="2"/>
  <c r="AQ574" i="2"/>
  <c r="AC574" i="2"/>
  <c r="AA574" i="2"/>
  <c r="Z574" i="2"/>
  <c r="T574" i="2"/>
  <c r="AW574" i="2"/>
  <c r="AP577" i="2"/>
  <c r="AQ577" i="2"/>
  <c r="AC577" i="2"/>
  <c r="AA577" i="2"/>
  <c r="Z577" i="2"/>
  <c r="AV577" i="2"/>
  <c r="T577" i="2"/>
  <c r="AU577" i="2" s="1"/>
  <c r="AQ595" i="2"/>
  <c r="AP595" i="2"/>
  <c r="AC595" i="2"/>
  <c r="AT595" i="2" s="1"/>
  <c r="AA595" i="2"/>
  <c r="AV595" i="2"/>
  <c r="AQ622" i="2"/>
  <c r="AP622" i="2"/>
  <c r="AC622" i="2"/>
  <c r="AA622" i="2"/>
  <c r="Z622" i="2"/>
  <c r="T622" i="2"/>
  <c r="AW622" i="2" s="1"/>
  <c r="AW687" i="2"/>
  <c r="AW733" i="2"/>
  <c r="AS733" i="2"/>
  <c r="AS756" i="2"/>
  <c r="AR756" i="2"/>
  <c r="AV4" i="2"/>
  <c r="T4" i="2"/>
  <c r="AR26" i="2"/>
  <c r="AR5" i="2"/>
  <c r="AV7" i="2"/>
  <c r="T7" i="2"/>
  <c r="AR17" i="2"/>
  <c r="AV19" i="2"/>
  <c r="T19" i="2"/>
  <c r="AR29" i="2"/>
  <c r="AV31" i="2"/>
  <c r="T31" i="2"/>
  <c r="AS31" i="2" s="1"/>
  <c r="AV50" i="2"/>
  <c r="T50" i="2"/>
  <c r="AS51" i="2"/>
  <c r="AQ51" i="2"/>
  <c r="AR51" i="2" s="1"/>
  <c r="AT75" i="2"/>
  <c r="AV130" i="2"/>
  <c r="AW130" i="2" s="1"/>
  <c r="AU138" i="2"/>
  <c r="Z149" i="2"/>
  <c r="AA149" i="2"/>
  <c r="AV149" i="2"/>
  <c r="T149" i="2"/>
  <c r="AU149" i="2" s="1"/>
  <c r="AU164" i="2"/>
  <c r="AC205" i="2"/>
  <c r="AA205" i="2"/>
  <c r="Z205" i="2"/>
  <c r="T205" i="2"/>
  <c r="AQ214" i="2"/>
  <c r="Z214" i="2"/>
  <c r="AV214" i="2"/>
  <c r="T214" i="2"/>
  <c r="AU214" i="2" s="1"/>
  <c r="Z224" i="2"/>
  <c r="AT224" i="2"/>
  <c r="AS224" i="2"/>
  <c r="AQ224" i="2"/>
  <c r="AR224" i="2" s="1"/>
  <c r="AP224" i="2"/>
  <c r="AU224" i="2" s="1"/>
  <c r="Z233" i="2"/>
  <c r="AQ233" i="2"/>
  <c r="AP233" i="2"/>
  <c r="AU233" i="2" s="1"/>
  <c r="AC233" i="2"/>
  <c r="AA233" i="2"/>
  <c r="AW270" i="2"/>
  <c r="AQ270" i="2"/>
  <c r="AR270" i="2" s="1"/>
  <c r="AP270" i="2"/>
  <c r="AU270" i="2" s="1"/>
  <c r="AC270" i="2"/>
  <c r="AT270" i="2" s="1"/>
  <c r="AA270" i="2"/>
  <c r="AU279" i="2"/>
  <c r="AC305" i="2"/>
  <c r="AT305" i="2" s="1"/>
  <c r="AS305" i="2"/>
  <c r="AQ305" i="2"/>
  <c r="AR305" i="2" s="1"/>
  <c r="AP305" i="2"/>
  <c r="AU305" i="2" s="1"/>
  <c r="AA305" i="2"/>
  <c r="AC311" i="2"/>
  <c r="AT311" i="2" s="1"/>
  <c r="AQ311" i="2"/>
  <c r="AR311" i="2" s="1"/>
  <c r="AP311" i="2"/>
  <c r="AU311" i="2" s="1"/>
  <c r="AA311" i="2"/>
  <c r="Z311" i="2"/>
  <c r="Z333" i="2"/>
  <c r="AS333" i="2"/>
  <c r="AP333" i="2"/>
  <c r="AU333" i="2" s="1"/>
  <c r="AC333" i="2"/>
  <c r="AT333" i="2" s="1"/>
  <c r="AA333" i="2"/>
  <c r="AA348" i="2"/>
  <c r="AW348" i="2"/>
  <c r="AS348" i="2"/>
  <c r="AQ348" i="2"/>
  <c r="AR348" i="2" s="1"/>
  <c r="AP348" i="2"/>
  <c r="AU348" i="2" s="1"/>
  <c r="AC348" i="2"/>
  <c r="AT348" i="2" s="1"/>
  <c r="AT367" i="2"/>
  <c r="AP369" i="2"/>
  <c r="AU369" i="2" s="1"/>
  <c r="AS369" i="2"/>
  <c r="AQ369" i="2"/>
  <c r="AR369" i="2" s="1"/>
  <c r="AC369" i="2"/>
  <c r="AT369" i="2" s="1"/>
  <c r="AA369" i="2"/>
  <c r="Z369" i="2"/>
  <c r="AP400" i="2"/>
  <c r="AU400" i="2" s="1"/>
  <c r="AV400" i="2"/>
  <c r="AW400" i="2" s="1"/>
  <c r="AS400" i="2"/>
  <c r="AQ400" i="2"/>
  <c r="AR400" i="2" s="1"/>
  <c r="AC400" i="2"/>
  <c r="AT400" i="2" s="1"/>
  <c r="AW408" i="2"/>
  <c r="AP420" i="2"/>
  <c r="AA420" i="2"/>
  <c r="AQ420" i="2"/>
  <c r="AC420" i="2"/>
  <c r="AT420" i="2" s="1"/>
  <c r="Z420" i="2"/>
  <c r="AP446" i="2"/>
  <c r="AA449" i="2"/>
  <c r="Z449" i="2"/>
  <c r="AP449" i="2"/>
  <c r="AQ449" i="2"/>
  <c r="AC449" i="2"/>
  <c r="T449" i="2"/>
  <c r="AW470" i="2"/>
  <c r="AW523" i="2"/>
  <c r="AT558" i="2"/>
  <c r="AT572" i="2"/>
  <c r="AS621" i="2"/>
  <c r="AU666" i="2"/>
  <c r="AC688" i="2"/>
  <c r="AS713" i="2"/>
  <c r="AR713" i="2"/>
  <c r="AS723" i="2"/>
  <c r="AU723" i="2"/>
  <c r="AT740" i="2"/>
  <c r="AS777" i="2"/>
  <c r="AR777" i="2"/>
  <c r="AT8" i="2"/>
  <c r="AT20" i="2"/>
  <c r="AU32" i="2"/>
  <c r="AQ33" i="2"/>
  <c r="AR33" i="2" s="1"/>
  <c r="AP33" i="2"/>
  <c r="AU33" i="2" s="1"/>
  <c r="AA34" i="2"/>
  <c r="Z34" i="2"/>
  <c r="AV34" i="2"/>
  <c r="AW34" i="2" s="1"/>
  <c r="AC52" i="2"/>
  <c r="AT52" i="2" s="1"/>
  <c r="Z52" i="2"/>
  <c r="AA52" i="2"/>
  <c r="AW52" i="2"/>
  <c r="AQ55" i="2"/>
  <c r="AR55" i="2" s="1"/>
  <c r="AP55" i="2"/>
  <c r="AU55" i="2" s="1"/>
  <c r="AC55" i="2"/>
  <c r="AT55" i="2" s="1"/>
  <c r="AA56" i="2"/>
  <c r="AC56" i="2"/>
  <c r="AT56" i="2" s="1"/>
  <c r="Z56" i="2"/>
  <c r="AW56" i="2"/>
  <c r="AT76" i="2"/>
  <c r="AR135" i="2"/>
  <c r="AC135" i="2"/>
  <c r="AT135" i="2" s="1"/>
  <c r="Z135" i="2"/>
  <c r="AA135" i="2"/>
  <c r="AC136" i="2"/>
  <c r="Z136" i="2"/>
  <c r="T136" i="2"/>
  <c r="AQ148" i="2"/>
  <c r="AR148" i="2" s="1"/>
  <c r="AP148" i="2"/>
  <c r="AU148" i="2" s="1"/>
  <c r="AC148" i="2"/>
  <c r="AT148" i="2" s="1"/>
  <c r="AA148" i="2"/>
  <c r="Z148" i="2"/>
  <c r="AR150" i="2"/>
  <c r="AA187" i="2"/>
  <c r="AQ187" i="2"/>
  <c r="AR187" i="2" s="1"/>
  <c r="AP187" i="2"/>
  <c r="AU187" i="2" s="1"/>
  <c r="AC187" i="2"/>
  <c r="AT187" i="2" s="1"/>
  <c r="Z187" i="2"/>
  <c r="AC193" i="2"/>
  <c r="AA193" i="2"/>
  <c r="Z193" i="2"/>
  <c r="T193" i="2"/>
  <c r="AU206" i="2"/>
  <c r="AT207" i="2"/>
  <c r="AP213" i="2"/>
  <c r="AU213" i="2" s="1"/>
  <c r="AC213" i="2"/>
  <c r="AA213" i="2"/>
  <c r="Z213" i="2"/>
  <c r="AA226" i="2"/>
  <c r="AW231" i="2"/>
  <c r="AQ241" i="2"/>
  <c r="AP241" i="2"/>
  <c r="AU241" i="2" s="1"/>
  <c r="AC241" i="2"/>
  <c r="AT241" i="2" s="1"/>
  <c r="Z241" i="2"/>
  <c r="AA241" i="2"/>
  <c r="AW248" i="2"/>
  <c r="AW258" i="2"/>
  <c r="AQ258" i="2"/>
  <c r="AR258" i="2" s="1"/>
  <c r="AP258" i="2"/>
  <c r="AU258" i="2" s="1"/>
  <c r="AC258" i="2"/>
  <c r="AT258" i="2" s="1"/>
  <c r="AA258" i="2"/>
  <c r="AT298" i="2"/>
  <c r="AC302" i="2"/>
  <c r="AA302" i="2"/>
  <c r="Z302" i="2"/>
  <c r="T302" i="2"/>
  <c r="AW302" i="2" s="1"/>
  <c r="AC318" i="2"/>
  <c r="AU325" i="2"/>
  <c r="AU341" i="2"/>
  <c r="AC351" i="2"/>
  <c r="AP351" i="2"/>
  <c r="AA351" i="2"/>
  <c r="Z351" i="2"/>
  <c r="T351" i="2"/>
  <c r="AR365" i="2"/>
  <c r="AP366" i="2"/>
  <c r="AC366" i="2"/>
  <c r="Z366" i="2"/>
  <c r="T366" i="2"/>
  <c r="AW366" i="2" s="1"/>
  <c r="AA391" i="2"/>
  <c r="AC391" i="2"/>
  <c r="AP391" i="2"/>
  <c r="Z391" i="2"/>
  <c r="T391" i="2"/>
  <c r="AR399" i="2"/>
  <c r="AQ404" i="2"/>
  <c r="AP404" i="2"/>
  <c r="AC404" i="2"/>
  <c r="AA404" i="2"/>
  <c r="Z404" i="2"/>
  <c r="T404" i="2"/>
  <c r="AW404" i="2" s="1"/>
  <c r="AV405" i="2"/>
  <c r="AW405" i="2" s="1"/>
  <c r="AU409" i="2"/>
  <c r="AR410" i="2"/>
  <c r="AW416" i="2"/>
  <c r="AA425" i="2"/>
  <c r="Z425" i="2"/>
  <c r="AV425" i="2"/>
  <c r="AQ425" i="2"/>
  <c r="AP425" i="2"/>
  <c r="AC425" i="2"/>
  <c r="T425" i="2"/>
  <c r="AQ430" i="2"/>
  <c r="T430" i="2"/>
  <c r="AS430" i="2" s="1"/>
  <c r="AP430" i="2"/>
  <c r="AC430" i="2"/>
  <c r="AA430" i="2"/>
  <c r="Z430" i="2"/>
  <c r="AA440" i="2"/>
  <c r="Z440" i="2"/>
  <c r="AP440" i="2"/>
  <c r="AC440" i="2"/>
  <c r="T440" i="2"/>
  <c r="AW440" i="2" s="1"/>
  <c r="AV444" i="2"/>
  <c r="T444" i="2"/>
  <c r="Z444" i="2"/>
  <c r="AP444" i="2"/>
  <c r="AC444" i="2"/>
  <c r="AA444" i="2"/>
  <c r="AQ446" i="2"/>
  <c r="AR446" i="2" s="1"/>
  <c r="AV453" i="2"/>
  <c r="T453" i="2"/>
  <c r="AT453" i="2" s="1"/>
  <c r="AA453" i="2"/>
  <c r="Z453" i="2"/>
  <c r="AP456" i="2"/>
  <c r="AV459" i="2"/>
  <c r="T459" i="2"/>
  <c r="AU459" i="2" s="1"/>
  <c r="AA459" i="2"/>
  <c r="Z459" i="2"/>
  <c r="AW469" i="2"/>
  <c r="AU481" i="2"/>
  <c r="AS482" i="2"/>
  <c r="AU488" i="2"/>
  <c r="Z507" i="2"/>
  <c r="AA509" i="2"/>
  <c r="Z509" i="2"/>
  <c r="T509" i="2"/>
  <c r="AV509" i="2"/>
  <c r="AW509" i="2" s="1"/>
  <c r="AR524" i="2"/>
  <c r="AC529" i="2"/>
  <c r="AP544" i="2"/>
  <c r="AQ544" i="2"/>
  <c r="AV544" i="2"/>
  <c r="AW544" i="2" s="1"/>
  <c r="AA544" i="2"/>
  <c r="Z544" i="2"/>
  <c r="T544" i="2"/>
  <c r="AT544" i="2" s="1"/>
  <c r="AA560" i="2"/>
  <c r="AR680" i="2"/>
  <c r="AS680" i="2"/>
  <c r="AW705" i="2"/>
  <c r="AQ728" i="2"/>
  <c r="AA728" i="2"/>
  <c r="Z728" i="2"/>
  <c r="AV728" i="2"/>
  <c r="T728" i="2"/>
  <c r="AP728" i="2"/>
  <c r="AC728" i="2"/>
  <c r="AW747" i="2"/>
  <c r="AA130" i="2"/>
  <c r="AQ130" i="2"/>
  <c r="AR130" i="2" s="1"/>
  <c r="AP130" i="2"/>
  <c r="AU130" i="2" s="1"/>
  <c r="AC130" i="2"/>
  <c r="AT130" i="2" s="1"/>
  <c r="AV131" i="2"/>
  <c r="T131" i="2"/>
  <c r="AU131" i="2" s="1"/>
  <c r="AA131" i="2"/>
  <c r="Z131" i="2"/>
  <c r="AV132" i="2"/>
  <c r="T132" i="2"/>
  <c r="AT132" i="2" s="1"/>
  <c r="AV134" i="2"/>
  <c r="T134" i="2"/>
  <c r="AQ134" i="2"/>
  <c r="AP134" i="2"/>
  <c r="AS138" i="2"/>
  <c r="AR138" i="2"/>
  <c r="AW146" i="2"/>
  <c r="AA157" i="2"/>
  <c r="Z157" i="2"/>
  <c r="T157" i="2"/>
  <c r="AR157" i="2" s="1"/>
  <c r="AV179" i="2"/>
  <c r="T179" i="2"/>
  <c r="AR179" i="2" s="1"/>
  <c r="AC179" i="2"/>
  <c r="AA179" i="2"/>
  <c r="Z179" i="2"/>
  <c r="AU194" i="2"/>
  <c r="AT195" i="2"/>
  <c r="AS204" i="2"/>
  <c r="AQ204" i="2"/>
  <c r="AR204" i="2" s="1"/>
  <c r="AP204" i="2"/>
  <c r="AU204" i="2" s="1"/>
  <c r="AC204" i="2"/>
  <c r="AT204" i="2" s="1"/>
  <c r="AA204" i="2"/>
  <c r="Z204" i="2"/>
  <c r="AW211" i="2"/>
  <c r="Z222" i="2"/>
  <c r="T222" i="2"/>
  <c r="AT222" i="2" s="1"/>
  <c r="AV222" i="2"/>
  <c r="AQ232" i="2"/>
  <c r="AR232" i="2" s="1"/>
  <c r="AS232" i="2"/>
  <c r="AP232" i="2"/>
  <c r="AU232" i="2" s="1"/>
  <c r="AC232" i="2"/>
  <c r="AT232" i="2" s="1"/>
  <c r="AV249" i="2"/>
  <c r="T249" i="2"/>
  <c r="AP249" i="2"/>
  <c r="AQ249" i="2"/>
  <c r="AW279" i="2"/>
  <c r="AC279" i="2"/>
  <c r="AT279" i="2" s="1"/>
  <c r="AA279" i="2"/>
  <c r="Z279" i="2"/>
  <c r="AW295" i="2"/>
  <c r="AU303" i="2"/>
  <c r="AR304" i="2"/>
  <c r="AC323" i="2"/>
  <c r="AA323" i="2"/>
  <c r="Z323" i="2"/>
  <c r="T323" i="2"/>
  <c r="AV364" i="2"/>
  <c r="T364" i="2"/>
  <c r="AQ364" i="2"/>
  <c r="AP364" i="2"/>
  <c r="AC364" i="2"/>
  <c r="AA364" i="2"/>
  <c r="AU367" i="2"/>
  <c r="AU368" i="2"/>
  <c r="AS368" i="2"/>
  <c r="AR368" i="2"/>
  <c r="AQ378" i="2"/>
  <c r="AC378" i="2"/>
  <c r="AT378" i="2" s="1"/>
  <c r="Z378" i="2"/>
  <c r="AA378" i="2"/>
  <c r="T378" i="2"/>
  <c r="AU403" i="2"/>
  <c r="AR403" i="2"/>
  <c r="AV407" i="2"/>
  <c r="Z407" i="2"/>
  <c r="T407" i="2"/>
  <c r="AU416" i="2"/>
  <c r="AQ417" i="2"/>
  <c r="AV417" i="2"/>
  <c r="AA417" i="2"/>
  <c r="Z417" i="2"/>
  <c r="T417" i="2"/>
  <c r="AW422" i="2"/>
  <c r="Z422" i="2"/>
  <c r="AQ422" i="2"/>
  <c r="AR422" i="2" s="1"/>
  <c r="AP422" i="2"/>
  <c r="AU422" i="2" s="1"/>
  <c r="AC422" i="2"/>
  <c r="AT422" i="2" s="1"/>
  <c r="AA422" i="2"/>
  <c r="AQ427" i="2"/>
  <c r="AR427" i="2" s="1"/>
  <c r="AS427" i="2"/>
  <c r="AC427" i="2"/>
  <c r="AT427" i="2" s="1"/>
  <c r="AP427" i="2"/>
  <c r="AU427" i="2" s="1"/>
  <c r="AA427" i="2"/>
  <c r="Z427" i="2"/>
  <c r="AP433" i="2"/>
  <c r="AW478" i="2"/>
  <c r="AT497" i="2"/>
  <c r="AA506" i="2"/>
  <c r="Z506" i="2"/>
  <c r="AS506" i="2"/>
  <c r="AQ506" i="2"/>
  <c r="AR506" i="2" s="1"/>
  <c r="AV506" i="2"/>
  <c r="AW506" i="2" s="1"/>
  <c r="AU506" i="2"/>
  <c r="AT506" i="2"/>
  <c r="AC507" i="2"/>
  <c r="AT513" i="2"/>
  <c r="AQ529" i="2"/>
  <c r="AS558" i="2"/>
  <c r="AR558" i="2"/>
  <c r="AP560" i="2"/>
  <c r="AS594" i="2"/>
  <c r="AR594" i="2"/>
  <c r="AW594" i="2"/>
  <c r="AU615" i="2"/>
  <c r="AW720" i="2"/>
  <c r="AW746" i="2"/>
  <c r="AP748" i="2"/>
  <c r="AC748" i="2"/>
  <c r="AA748" i="2"/>
  <c r="Z748" i="2"/>
  <c r="AV748" i="2"/>
  <c r="T748" i="2"/>
  <c r="AQ748" i="2"/>
  <c r="AU576" i="2"/>
  <c r="AS576" i="2"/>
  <c r="AR576" i="2"/>
  <c r="Z587" i="2"/>
  <c r="AA587" i="2"/>
  <c r="T587" i="2"/>
  <c r="AS587" i="2" s="1"/>
  <c r="AV587" i="2"/>
  <c r="AW593" i="2"/>
  <c r="AR606" i="2"/>
  <c r="AS606" i="2"/>
  <c r="Z623" i="2"/>
  <c r="T623" i="2"/>
  <c r="AC623" i="2"/>
  <c r="AA623" i="2"/>
  <c r="AP623" i="2"/>
  <c r="AS651" i="2"/>
  <c r="AR651" i="2"/>
  <c r="AV668" i="2"/>
  <c r="T668" i="2"/>
  <c r="AC668" i="2"/>
  <c r="AA668" i="2"/>
  <c r="AQ668" i="2"/>
  <c r="Z668" i="2"/>
  <c r="AP668" i="2"/>
  <c r="AP716" i="2"/>
  <c r="AU716" i="2" s="1"/>
  <c r="Z716" i="2"/>
  <c r="AS716" i="2"/>
  <c r="AQ716" i="2"/>
  <c r="AC716" i="2"/>
  <c r="AA716" i="2"/>
  <c r="T716" i="2"/>
  <c r="AV725" i="2"/>
  <c r="T725" i="2"/>
  <c r="Z725" i="2"/>
  <c r="AQ725" i="2"/>
  <c r="AP725" i="2"/>
  <c r="AW776" i="2"/>
  <c r="AU783" i="2"/>
  <c r="AS783" i="2"/>
  <c r="AR783" i="2"/>
  <c r="AP790" i="2"/>
  <c r="T790" i="2"/>
  <c r="AV790" i="2"/>
  <c r="AQ790" i="2"/>
  <c r="AC790" i="2"/>
  <c r="AA790" i="2"/>
  <c r="Z790" i="2"/>
  <c r="AT810" i="2"/>
  <c r="Z940" i="2"/>
  <c r="T940" i="2"/>
  <c r="AV940" i="2"/>
  <c r="AQ940" i="2"/>
  <c r="AP940" i="2"/>
  <c r="AC940" i="2"/>
  <c r="AA940" i="2"/>
  <c r="AT158" i="2"/>
  <c r="AP169" i="2"/>
  <c r="AU169" i="2" s="1"/>
  <c r="AV175" i="2"/>
  <c r="AR190" i="2"/>
  <c r="AT198" i="2"/>
  <c r="AQ313" i="2"/>
  <c r="AV313" i="2"/>
  <c r="AQ329" i="2"/>
  <c r="AV329" i="2"/>
  <c r="Z345" i="2"/>
  <c r="AV345" i="2"/>
  <c r="AP357" i="2"/>
  <c r="AV357" i="2"/>
  <c r="AT371" i="2"/>
  <c r="Z379" i="2"/>
  <c r="T379" i="2"/>
  <c r="AV379" i="2"/>
  <c r="T392" i="2"/>
  <c r="AW392" i="2" s="1"/>
  <c r="Z392" i="2"/>
  <c r="AQ463" i="2"/>
  <c r="AC463" i="2"/>
  <c r="AA464" i="2"/>
  <c r="Z464" i="2"/>
  <c r="AQ464" i="2"/>
  <c r="AC464" i="2"/>
  <c r="AV465" i="2"/>
  <c r="T465" i="2"/>
  <c r="AU465" i="2" s="1"/>
  <c r="AA465" i="2"/>
  <c r="AQ466" i="2"/>
  <c r="T466" i="2"/>
  <c r="AQ472" i="2"/>
  <c r="AA472" i="2"/>
  <c r="AT552" i="2"/>
  <c r="AT554" i="2"/>
  <c r="AU567" i="2"/>
  <c r="AR570" i="2"/>
  <c r="AP571" i="2"/>
  <c r="AA571" i="2"/>
  <c r="Z571" i="2"/>
  <c r="T571" i="2"/>
  <c r="AC587" i="2"/>
  <c r="AW596" i="2"/>
  <c r="AQ623" i="2"/>
  <c r="AQ628" i="2"/>
  <c r="AP628" i="2"/>
  <c r="T628" i="2"/>
  <c r="AC628" i="2"/>
  <c r="AV628" i="2"/>
  <c r="AW628" i="2" s="1"/>
  <c r="AA628" i="2"/>
  <c r="AU663" i="2"/>
  <c r="AS665" i="2"/>
  <c r="Z683" i="2"/>
  <c r="AA683" i="2"/>
  <c r="T683" i="2"/>
  <c r="AQ683" i="2"/>
  <c r="AP683" i="2"/>
  <c r="AV716" i="2"/>
  <c r="AA725" i="2"/>
  <c r="AW737" i="2"/>
  <c r="AP739" i="2"/>
  <c r="AA739" i="2"/>
  <c r="Z739" i="2"/>
  <c r="AC739" i="2"/>
  <c r="AV739" i="2"/>
  <c r="AQ739" i="2"/>
  <c r="AW768" i="2"/>
  <c r="AQ770" i="2"/>
  <c r="AP770" i="2"/>
  <c r="AC770" i="2"/>
  <c r="AA770" i="2"/>
  <c r="Z770" i="2"/>
  <c r="AV770" i="2"/>
  <c r="T770" i="2"/>
  <c r="AS853" i="2"/>
  <c r="AQ881" i="2"/>
  <c r="AP881" i="2"/>
  <c r="AC881" i="2"/>
  <c r="Z881" i="2"/>
  <c r="T881" i="2"/>
  <c r="AV881" i="2"/>
  <c r="AA881" i="2"/>
  <c r="AC908" i="2"/>
  <c r="Z908" i="2"/>
  <c r="AA908" i="2"/>
  <c r="T908" i="2"/>
  <c r="AQ908" i="2"/>
  <c r="AP908" i="2"/>
  <c r="AV908" i="2"/>
  <c r="Z973" i="2"/>
  <c r="AP973" i="2"/>
  <c r="AQ973" i="2"/>
  <c r="AC973" i="2"/>
  <c r="AV973" i="2"/>
  <c r="AA973" i="2"/>
  <c r="T973" i="2"/>
  <c r="AC1300" i="2"/>
  <c r="AA1300" i="2"/>
  <c r="AP1300" i="2"/>
  <c r="AV1300" i="2"/>
  <c r="AW1300" i="2" s="1"/>
  <c r="AQ1300" i="2"/>
  <c r="Z1300" i="2"/>
  <c r="T1300" i="2"/>
  <c r="AS164" i="2"/>
  <c r="AP177" i="2"/>
  <c r="AU177" i="2" s="1"/>
  <c r="AR181" i="2"/>
  <c r="AP186" i="2"/>
  <c r="AU186" i="2" s="1"/>
  <c r="AP195" i="2"/>
  <c r="AU195" i="2" s="1"/>
  <c r="AT202" i="2"/>
  <c r="AS2" i="2"/>
  <c r="AS5" i="2"/>
  <c r="AS8" i="2"/>
  <c r="AS11" i="2"/>
  <c r="AS14" i="2"/>
  <c r="AS20" i="2"/>
  <c r="AS23" i="2"/>
  <c r="AS26" i="2"/>
  <c r="AS29" i="2"/>
  <c r="AT32" i="2"/>
  <c r="AV35" i="2"/>
  <c r="AR58" i="2"/>
  <c r="AU58" i="2"/>
  <c r="AV62" i="2"/>
  <c r="AR67" i="2"/>
  <c r="AU67" i="2"/>
  <c r="AV71" i="2"/>
  <c r="AT83" i="2"/>
  <c r="AT88" i="2"/>
  <c r="AT92" i="2"/>
  <c r="AT97" i="2"/>
  <c r="AV101" i="2"/>
  <c r="T101" i="2"/>
  <c r="AU101" i="2" s="1"/>
  <c r="AT106" i="2"/>
  <c r="AV110" i="2"/>
  <c r="AW110" i="2" s="1"/>
  <c r="T110" i="2"/>
  <c r="AU110" i="2" s="1"/>
  <c r="AT115" i="2"/>
  <c r="AV119" i="2"/>
  <c r="T119" i="2"/>
  <c r="AU119" i="2" s="1"/>
  <c r="AT124" i="2"/>
  <c r="AV128" i="2"/>
  <c r="T128" i="2"/>
  <c r="AU128" i="2" s="1"/>
  <c r="AT133" i="2"/>
  <c r="AV137" i="2"/>
  <c r="AT142" i="2"/>
  <c r="AT146" i="2"/>
  <c r="AT154" i="2"/>
  <c r="AU158" i="2"/>
  <c r="AV163" i="2"/>
  <c r="AW163" i="2" s="1"/>
  <c r="AT164" i="2"/>
  <c r="AU168" i="2"/>
  <c r="AQ169" i="2"/>
  <c r="AR169" i="2" s="1"/>
  <c r="AS172" i="2"/>
  <c r="AT176" i="2"/>
  <c r="AQ177" i="2"/>
  <c r="AS181" i="2"/>
  <c r="AQ186" i="2"/>
  <c r="AR186" i="2" s="1"/>
  <c r="AS190" i="2"/>
  <c r="AW194" i="2"/>
  <c r="AT194" i="2"/>
  <c r="AQ195" i="2"/>
  <c r="AR195" i="2" s="1"/>
  <c r="AS198" i="2"/>
  <c r="AU198" i="2"/>
  <c r="AR199" i="2"/>
  <c r="AU202" i="2"/>
  <c r="AQ203" i="2"/>
  <c r="AR203" i="2" s="1"/>
  <c r="AW206" i="2"/>
  <c r="AT206" i="2"/>
  <c r="AQ207" i="2"/>
  <c r="AR207" i="2" s="1"/>
  <c r="AT211" i="2"/>
  <c r="AT215" i="2"/>
  <c r="AT223" i="2"/>
  <c r="AT227" i="2"/>
  <c r="AT235" i="2"/>
  <c r="AT239" i="2"/>
  <c r="AV243" i="2"/>
  <c r="T243" i="2"/>
  <c r="AU243" i="2" s="1"/>
  <c r="AS244" i="2"/>
  <c r="AT248" i="2"/>
  <c r="AR253" i="2"/>
  <c r="AV256" i="2"/>
  <c r="AS257" i="2"/>
  <c r="AV260" i="2"/>
  <c r="AR261" i="2"/>
  <c r="AR265" i="2"/>
  <c r="AV268" i="2"/>
  <c r="AW268" i="2" s="1"/>
  <c r="AV272" i="2"/>
  <c r="AR273" i="2"/>
  <c r="AR277" i="2"/>
  <c r="AV280" i="2"/>
  <c r="AW280" i="2" s="1"/>
  <c r="AS281" i="2"/>
  <c r="AV284" i="2"/>
  <c r="AR285" i="2"/>
  <c r="AA296" i="2"/>
  <c r="AR296" i="2"/>
  <c r="AV296" i="2"/>
  <c r="AW296" i="2" s="1"/>
  <c r="AQ298" i="2"/>
  <c r="AR298" i="2" s="1"/>
  <c r="AW303" i="2"/>
  <c r="AT303" i="2"/>
  <c r="AS309" i="2"/>
  <c r="AQ315" i="2"/>
  <c r="AR315" i="2" s="1"/>
  <c r="AS319" i="2"/>
  <c r="AU319" i="2"/>
  <c r="AT325" i="2"/>
  <c r="AQ331" i="2"/>
  <c r="AR331" i="2" s="1"/>
  <c r="AR336" i="2"/>
  <c r="AU340" i="2"/>
  <c r="AV340" i="2"/>
  <c r="AW340" i="2" s="1"/>
  <c r="AT341" i="2"/>
  <c r="AR353" i="2"/>
  <c r="AS362" i="2"/>
  <c r="AW371" i="2"/>
  <c r="AT373" i="2"/>
  <c r="AV380" i="2"/>
  <c r="AW380" i="2" s="1"/>
  <c r="Z395" i="2"/>
  <c r="AS395" i="2"/>
  <c r="AQ395" i="2"/>
  <c r="AR395" i="2" s="1"/>
  <c r="AW395" i="2"/>
  <c r="AT410" i="2"/>
  <c r="AS416" i="2"/>
  <c r="AT461" i="2"/>
  <c r="AV462" i="2"/>
  <c r="T462" i="2"/>
  <c r="AQ462" i="2"/>
  <c r="AQ469" i="2"/>
  <c r="AR469" i="2" s="1"/>
  <c r="AU469" i="2"/>
  <c r="AS469" i="2"/>
  <c r="AA470" i="2"/>
  <c r="Z470" i="2"/>
  <c r="AS470" i="2"/>
  <c r="AQ470" i="2"/>
  <c r="AR470" i="2" s="1"/>
  <c r="AV471" i="2"/>
  <c r="T471" i="2"/>
  <c r="AP471" i="2"/>
  <c r="AA471" i="2"/>
  <c r="AA473" i="2"/>
  <c r="Z473" i="2"/>
  <c r="T473" i="2"/>
  <c r="AQ478" i="2"/>
  <c r="AR478" i="2" s="1"/>
  <c r="AP478" i="2"/>
  <c r="AU478" i="2" s="1"/>
  <c r="AA478" i="2"/>
  <c r="AA479" i="2"/>
  <c r="Z479" i="2"/>
  <c r="AP479" i="2"/>
  <c r="AU479" i="2" s="1"/>
  <c r="AW479" i="2"/>
  <c r="AT482" i="2"/>
  <c r="AQ487" i="2"/>
  <c r="AR487" i="2" s="1"/>
  <c r="Z487" i="2"/>
  <c r="AW487" i="2"/>
  <c r="AV491" i="2"/>
  <c r="AW491" i="2" s="1"/>
  <c r="AU499" i="2"/>
  <c r="AU500" i="2"/>
  <c r="AT508" i="2"/>
  <c r="AT518" i="2"/>
  <c r="AQ533" i="2"/>
  <c r="AR533" i="2" s="1"/>
  <c r="AP533" i="2"/>
  <c r="AU533" i="2" s="1"/>
  <c r="AA533" i="2"/>
  <c r="AT534" i="2"/>
  <c r="AU534" i="2"/>
  <c r="AU543" i="2"/>
  <c r="AW564" i="2"/>
  <c r="AS566" i="2"/>
  <c r="AQ566" i="2"/>
  <c r="AR566" i="2" s="1"/>
  <c r="AP566" i="2"/>
  <c r="AU566" i="2" s="1"/>
  <c r="AC566" i="2"/>
  <c r="AT566" i="2" s="1"/>
  <c r="Z566" i="2"/>
  <c r="AP587" i="2"/>
  <c r="AT634" i="2"/>
  <c r="AS634" i="2"/>
  <c r="AW639" i="2"/>
  <c r="Z650" i="2"/>
  <c r="AS650" i="2"/>
  <c r="AQ650" i="2"/>
  <c r="AR650" i="2" s="1"/>
  <c r="AP650" i="2"/>
  <c r="AU650" i="2" s="1"/>
  <c r="AC650" i="2"/>
  <c r="AT650" i="2" s="1"/>
  <c r="AA650" i="2"/>
  <c r="AV650" i="2"/>
  <c r="AW650" i="2" s="1"/>
  <c r="Z653" i="2"/>
  <c r="T653" i="2"/>
  <c r="AC653" i="2"/>
  <c r="AA653" i="2"/>
  <c r="AV653" i="2"/>
  <c r="AA669" i="2"/>
  <c r="AQ669" i="2"/>
  <c r="AP669" i="2"/>
  <c r="AC669" i="2"/>
  <c r="Z669" i="2"/>
  <c r="AV669" i="2"/>
  <c r="T669" i="2"/>
  <c r="AP715" i="2"/>
  <c r="AU715" i="2" s="1"/>
  <c r="AT715" i="2"/>
  <c r="AC715" i="2"/>
  <c r="AA715" i="2"/>
  <c r="AS715" i="2"/>
  <c r="AQ715" i="2"/>
  <c r="AR715" i="2" s="1"/>
  <c r="Z715" i="2"/>
  <c r="AC725" i="2"/>
  <c r="AV797" i="2"/>
  <c r="T797" i="2"/>
  <c r="AS797" i="2" s="1"/>
  <c r="AA797" i="2"/>
  <c r="Z797" i="2"/>
  <c r="AQ797" i="2"/>
  <c r="AP797" i="2"/>
  <c r="AC797" i="2"/>
  <c r="AW816" i="2"/>
  <c r="Z836" i="2"/>
  <c r="AQ836" i="2"/>
  <c r="AR836" i="2" s="1"/>
  <c r="AP836" i="2"/>
  <c r="AU836" i="2" s="1"/>
  <c r="AC836" i="2"/>
  <c r="AT836" i="2" s="1"/>
  <c r="AA836" i="2"/>
  <c r="AS836" i="2"/>
  <c r="AV836" i="2"/>
  <c r="AW836" i="2" s="1"/>
  <c r="AT168" i="2"/>
  <c r="AS194" i="2"/>
  <c r="T35" i="2"/>
  <c r="T62" i="2"/>
  <c r="T71" i="2"/>
  <c r="AU71" i="2" s="1"/>
  <c r="AU83" i="2"/>
  <c r="AU97" i="2"/>
  <c r="AU106" i="2"/>
  <c r="AU115" i="2"/>
  <c r="AU124" i="2"/>
  <c r="T137" i="2"/>
  <c r="AU142" i="2"/>
  <c r="AU146" i="2"/>
  <c r="AU150" i="2"/>
  <c r="AT150" i="2"/>
  <c r="T163" i="2"/>
  <c r="AU163" i="2" s="1"/>
  <c r="T175" i="2"/>
  <c r="AU176" i="2"/>
  <c r="T180" i="2"/>
  <c r="AT181" i="2"/>
  <c r="AV185" i="2"/>
  <c r="T185" i="2"/>
  <c r="T189" i="2"/>
  <c r="AR189" i="2" s="1"/>
  <c r="AT190" i="2"/>
  <c r="AS199" i="2"/>
  <c r="AU211" i="2"/>
  <c r="AU215" i="2"/>
  <c r="AU219" i="2"/>
  <c r="AT219" i="2"/>
  <c r="AU223" i="2"/>
  <c r="AU227" i="2"/>
  <c r="AU231" i="2"/>
  <c r="AT231" i="2"/>
  <c r="AU235" i="2"/>
  <c r="AU239" i="2"/>
  <c r="AU248" i="2"/>
  <c r="T252" i="2"/>
  <c r="AT252" i="2" s="1"/>
  <c r="AV252" i="2"/>
  <c r="T256" i="2"/>
  <c r="AS256" i="2" s="1"/>
  <c r="AT257" i="2"/>
  <c r="T260" i="2"/>
  <c r="T264" i="2"/>
  <c r="AV264" i="2"/>
  <c r="T268" i="2"/>
  <c r="AS268" i="2" s="1"/>
  <c r="AT269" i="2"/>
  <c r="T272" i="2"/>
  <c r="AU272" i="2" s="1"/>
  <c r="T276" i="2"/>
  <c r="AU276" i="2" s="1"/>
  <c r="AV276" i="2"/>
  <c r="T280" i="2"/>
  <c r="AT281" i="2"/>
  <c r="T284" i="2"/>
  <c r="AS285" i="2"/>
  <c r="AA290" i="2"/>
  <c r="AV290" i="2"/>
  <c r="AW290" i="2" s="1"/>
  <c r="AU290" i="2"/>
  <c r="T313" i="2"/>
  <c r="AS313" i="2" s="1"/>
  <c r="AC314" i="2"/>
  <c r="AT314" i="2" s="1"/>
  <c r="AA314" i="2"/>
  <c r="AV314" i="2"/>
  <c r="AW314" i="2" s="1"/>
  <c r="T329" i="2"/>
  <c r="AS329" i="2" s="1"/>
  <c r="Z330" i="2"/>
  <c r="AP330" i="2"/>
  <c r="AU330" i="2" s="1"/>
  <c r="AV330" i="2"/>
  <c r="AW330" i="2" s="1"/>
  <c r="AS336" i="2"/>
  <c r="T345" i="2"/>
  <c r="AU346" i="2"/>
  <c r="AC346" i="2"/>
  <c r="AT346" i="2" s="1"/>
  <c r="AV346" i="2"/>
  <c r="AW346" i="2" s="1"/>
  <c r="AS347" i="2"/>
  <c r="T352" i="2"/>
  <c r="AU352" i="2" s="1"/>
  <c r="AV352" i="2"/>
  <c r="T357" i="2"/>
  <c r="AR358" i="2"/>
  <c r="AU358" i="2"/>
  <c r="AT362" i="2"/>
  <c r="AP372" i="2"/>
  <c r="AU372" i="2" s="1"/>
  <c r="AV372" i="2"/>
  <c r="AW372" i="2" s="1"/>
  <c r="AT372" i="2"/>
  <c r="AQ381" i="2"/>
  <c r="AR381" i="2" s="1"/>
  <c r="AS381" i="2"/>
  <c r="AP381" i="2"/>
  <c r="AU381" i="2" s="1"/>
  <c r="AW381" i="2"/>
  <c r="AV396" i="2"/>
  <c r="AW396" i="2" s="1"/>
  <c r="AP396" i="2"/>
  <c r="AU396" i="2" s="1"/>
  <c r="AA396" i="2"/>
  <c r="AR397" i="2"/>
  <c r="Z397" i="2"/>
  <c r="AV397" i="2"/>
  <c r="AW397" i="2" s="1"/>
  <c r="AQ409" i="2"/>
  <c r="AR409" i="2" s="1"/>
  <c r="AC409" i="2"/>
  <c r="AT409" i="2" s="1"/>
  <c r="AV409" i="2"/>
  <c r="AW409" i="2" s="1"/>
  <c r="T463" i="2"/>
  <c r="T464" i="2"/>
  <c r="T472" i="2"/>
  <c r="AQ475" i="2"/>
  <c r="AR475" i="2" s="1"/>
  <c r="AW475" i="2"/>
  <c r="AU475" i="2"/>
  <c r="AA476" i="2"/>
  <c r="Z476" i="2"/>
  <c r="AU476" i="2"/>
  <c r="AS476" i="2"/>
  <c r="AV477" i="2"/>
  <c r="T477" i="2"/>
  <c r="AR477" i="2" s="1"/>
  <c r="AP477" i="2"/>
  <c r="AV480" i="2"/>
  <c r="T480" i="2"/>
  <c r="AU480" i="2" s="1"/>
  <c r="Z480" i="2"/>
  <c r="AQ481" i="2"/>
  <c r="AR481" i="2" s="1"/>
  <c r="AV481" i="2"/>
  <c r="AW481" i="2" s="1"/>
  <c r="AQ484" i="2"/>
  <c r="AR484" i="2" s="1"/>
  <c r="AT484" i="2"/>
  <c r="AP484" i="2"/>
  <c r="AU484" i="2" s="1"/>
  <c r="AA485" i="2"/>
  <c r="Z485" i="2"/>
  <c r="AR485" i="2"/>
  <c r="AP485" i="2"/>
  <c r="AU485" i="2" s="1"/>
  <c r="AV486" i="2"/>
  <c r="T486" i="2"/>
  <c r="AU486" i="2" s="1"/>
  <c r="AC486" i="2"/>
  <c r="Z486" i="2"/>
  <c r="AA488" i="2"/>
  <c r="Z488" i="2"/>
  <c r="AV488" i="2"/>
  <c r="AW488" i="2" s="1"/>
  <c r="AQ493" i="2"/>
  <c r="AR493" i="2" s="1"/>
  <c r="AC493" i="2"/>
  <c r="AT493" i="2" s="1"/>
  <c r="Z493" i="2"/>
  <c r="AA494" i="2"/>
  <c r="Z494" i="2"/>
  <c r="AC494" i="2"/>
  <c r="AT494" i="2" s="1"/>
  <c r="AW494" i="2"/>
  <c r="AV499" i="2"/>
  <c r="AW499" i="2" s="1"/>
  <c r="AV500" i="2"/>
  <c r="AW500" i="2" s="1"/>
  <c r="AU531" i="2"/>
  <c r="AS552" i="2"/>
  <c r="AP553" i="2"/>
  <c r="AA553" i="2"/>
  <c r="T553" i="2"/>
  <c r="AW553" i="2" s="1"/>
  <c r="AC578" i="2"/>
  <c r="AT578" i="2" s="1"/>
  <c r="AA578" i="2"/>
  <c r="Z578" i="2"/>
  <c r="AR578" i="2"/>
  <c r="AP578" i="2"/>
  <c r="AU578" i="2" s="1"/>
  <c r="AV578" i="2"/>
  <c r="AW578" i="2" s="1"/>
  <c r="AQ587" i="2"/>
  <c r="Z638" i="2"/>
  <c r="AC638" i="2"/>
  <c r="AA638" i="2"/>
  <c r="T638" i="2"/>
  <c r="AP638" i="2"/>
  <c r="AS660" i="2"/>
  <c r="AR660" i="2"/>
  <c r="AT717" i="2"/>
  <c r="AW722" i="2"/>
  <c r="AW723" i="2"/>
  <c r="T739" i="2"/>
  <c r="AW741" i="2"/>
  <c r="AW758" i="2"/>
  <c r="AP817" i="2"/>
  <c r="AQ817" i="2"/>
  <c r="AC817" i="2"/>
  <c r="AA817" i="2"/>
  <c r="Z817" i="2"/>
  <c r="AV817" i="2"/>
  <c r="T817" i="2"/>
  <c r="AS841" i="2"/>
  <c r="AR841" i="2"/>
  <c r="AW841" i="2"/>
  <c r="AU867" i="2"/>
  <c r="AS867" i="2"/>
  <c r="AR867" i="2"/>
  <c r="AW867" i="2"/>
  <c r="AP874" i="2"/>
  <c r="AQ874" i="2"/>
  <c r="AC874" i="2"/>
  <c r="AA874" i="2"/>
  <c r="AV874" i="2"/>
  <c r="Z874" i="2"/>
  <c r="T874" i="2"/>
  <c r="AC1013" i="2"/>
  <c r="AA1013" i="2"/>
  <c r="AQ1013" i="2"/>
  <c r="AP1013" i="2"/>
  <c r="AV1013" i="2"/>
  <c r="Z1013" i="2"/>
  <c r="T1013" i="2"/>
  <c r="AS1013" i="2" s="1"/>
  <c r="AU1066" i="2"/>
  <c r="AS1066" i="2"/>
  <c r="AR1066" i="2"/>
  <c r="AC1125" i="2"/>
  <c r="Z1125" i="2"/>
  <c r="AP1125" i="2"/>
  <c r="AA1125" i="2"/>
  <c r="AV1125" i="2"/>
  <c r="AW1125" i="2" s="1"/>
  <c r="T1125" i="2"/>
  <c r="AQ1125" i="2"/>
  <c r="AR164" i="2"/>
  <c r="AV164" i="2"/>
  <c r="AW164" i="2" s="1"/>
  <c r="AU181" i="2"/>
  <c r="AU190" i="2"/>
  <c r="AR244" i="2"/>
  <c r="AU244" i="2"/>
  <c r="AS253" i="2"/>
  <c r="AU253" i="2"/>
  <c r="AU257" i="2"/>
  <c r="AW261" i="2"/>
  <c r="AT261" i="2"/>
  <c r="AS265" i="2"/>
  <c r="AU265" i="2"/>
  <c r="AU269" i="2"/>
  <c r="AW273" i="2"/>
  <c r="AT273" i="2"/>
  <c r="AS277" i="2"/>
  <c r="AU277" i="2"/>
  <c r="AU281" i="2"/>
  <c r="AT285" i="2"/>
  <c r="AV297" i="2"/>
  <c r="T297" i="2"/>
  <c r="AC297" i="2"/>
  <c r="AQ309" i="2"/>
  <c r="AR309" i="2" s="1"/>
  <c r="AU309" i="2"/>
  <c r="AS325" i="2"/>
  <c r="AQ325" i="2"/>
  <c r="AR325" i="2" s="1"/>
  <c r="AV325" i="2"/>
  <c r="AW325" i="2" s="1"/>
  <c r="AQ341" i="2"/>
  <c r="AR341" i="2" s="1"/>
  <c r="AS341" i="2"/>
  <c r="AV341" i="2"/>
  <c r="AW341" i="2" s="1"/>
  <c r="AS353" i="2"/>
  <c r="AV353" i="2"/>
  <c r="AW353" i="2" s="1"/>
  <c r="AU353" i="2"/>
  <c r="AP373" i="2"/>
  <c r="AU373" i="2" s="1"/>
  <c r="AV373" i="2"/>
  <c r="AW373" i="2" s="1"/>
  <c r="Z382" i="2"/>
  <c r="AP382" i="2"/>
  <c r="AU382" i="2" s="1"/>
  <c r="AA382" i="2"/>
  <c r="AW382" i="2"/>
  <c r="AA392" i="2"/>
  <c r="AS410" i="2"/>
  <c r="AA410" i="2"/>
  <c r="AV410" i="2"/>
  <c r="AW410" i="2" s="1"/>
  <c r="AA482" i="2"/>
  <c r="Z482" i="2"/>
  <c r="AW482" i="2"/>
  <c r="AU482" i="2"/>
  <c r="AV483" i="2"/>
  <c r="T483" i="2"/>
  <c r="AS483" i="2" s="1"/>
  <c r="AV489" i="2"/>
  <c r="AW489" i="2" s="1"/>
  <c r="T489" i="2"/>
  <c r="AT490" i="2"/>
  <c r="AA491" i="2"/>
  <c r="Z491" i="2"/>
  <c r="AT491" i="2"/>
  <c r="AR491" i="2"/>
  <c r="AV492" i="2"/>
  <c r="T492" i="2"/>
  <c r="AU492" i="2" s="1"/>
  <c r="AQ492" i="2"/>
  <c r="AC492" i="2"/>
  <c r="AV495" i="2"/>
  <c r="AW495" i="2" s="1"/>
  <c r="T495" i="2"/>
  <c r="AR495" i="2" s="1"/>
  <c r="AS518" i="2"/>
  <c r="AU518" i="2"/>
  <c r="AR532" i="2"/>
  <c r="AW603" i="2"/>
  <c r="Z614" i="2"/>
  <c r="AQ614" i="2"/>
  <c r="AR614" i="2" s="1"/>
  <c r="AP614" i="2"/>
  <c r="AU614" i="2" s="1"/>
  <c r="AC614" i="2"/>
  <c r="AT614" i="2" s="1"/>
  <c r="AA614" i="2"/>
  <c r="AV614" i="2"/>
  <c r="AW614" i="2" s="1"/>
  <c r="AS614" i="2"/>
  <c r="AS627" i="2"/>
  <c r="AR627" i="2"/>
  <c r="AW627" i="2"/>
  <c r="AU636" i="2"/>
  <c r="AA692" i="2"/>
  <c r="Z692" i="2"/>
  <c r="AW692" i="2"/>
  <c r="AU692" i="2"/>
  <c r="AS692" i="2"/>
  <c r="AQ692" i="2"/>
  <c r="AR692" i="2" s="1"/>
  <c r="AP724" i="2"/>
  <c r="AU724" i="2" s="1"/>
  <c r="Z724" i="2"/>
  <c r="AC724" i="2"/>
  <c r="AT724" i="2" s="1"/>
  <c r="AA724" i="2"/>
  <c r="AS724" i="2"/>
  <c r="AV724" i="2"/>
  <c r="AW724" i="2" s="1"/>
  <c r="AQ724" i="2"/>
  <c r="AR724" i="2" s="1"/>
  <c r="AS727" i="2"/>
  <c r="AR727" i="2"/>
  <c r="AW735" i="2"/>
  <c r="AU738" i="2"/>
  <c r="AT758" i="2"/>
  <c r="AP772" i="2"/>
  <c r="T772" i="2"/>
  <c r="AS772" i="2" s="1"/>
  <c r="AV772" i="2"/>
  <c r="AW772" i="2" s="1"/>
  <c r="Z772" i="2"/>
  <c r="AQ772" i="2"/>
  <c r="AC772" i="2"/>
  <c r="AA772" i="2"/>
  <c r="AT816" i="2"/>
  <c r="AS829" i="2"/>
  <c r="AW903" i="2"/>
  <c r="AV971" i="2"/>
  <c r="AQ971" i="2"/>
  <c r="AP971" i="2"/>
  <c r="Z971" i="2"/>
  <c r="T971" i="2"/>
  <c r="AS971" i="2" s="1"/>
  <c r="AC971" i="2"/>
  <c r="AA971" i="2"/>
  <c r="Z1081" i="2"/>
  <c r="AP1081" i="2"/>
  <c r="AC1081" i="2"/>
  <c r="AA1081" i="2"/>
  <c r="T1081" i="2"/>
  <c r="AV1081" i="2"/>
  <c r="AQ1081" i="2"/>
  <c r="T159" i="2"/>
  <c r="AU159" i="2" s="1"/>
  <c r="AV159" i="2"/>
  <c r="AR177" i="2"/>
  <c r="AV181" i="2"/>
  <c r="AW181" i="2" s="1"/>
  <c r="AV190" i="2"/>
  <c r="AW190" i="2" s="1"/>
  <c r="AS195" i="2"/>
  <c r="AU199" i="2"/>
  <c r="AW203" i="2"/>
  <c r="AS207" i="2"/>
  <c r="AU207" i="2"/>
  <c r="AV244" i="2"/>
  <c r="AW244" i="2" s="1"/>
  <c r="AV253" i="2"/>
  <c r="AW253" i="2" s="1"/>
  <c r="AV257" i="2"/>
  <c r="AW257" i="2" s="1"/>
  <c r="AU261" i="2"/>
  <c r="AV265" i="2"/>
  <c r="AW265" i="2" s="1"/>
  <c r="AV269" i="2"/>
  <c r="AU273" i="2"/>
  <c r="AV277" i="2"/>
  <c r="AW277" i="2" s="1"/>
  <c r="AV281" i="2"/>
  <c r="AW281" i="2" s="1"/>
  <c r="AU285" i="2"/>
  <c r="AV291" i="2"/>
  <c r="T291" i="2"/>
  <c r="AT291" i="2" s="1"/>
  <c r="AU298" i="2"/>
  <c r="AV309" i="2"/>
  <c r="AW309" i="2" s="1"/>
  <c r="AW315" i="2"/>
  <c r="AT315" i="2"/>
  <c r="AU331" i="2"/>
  <c r="AT331" i="2"/>
  <c r="Z336" i="2"/>
  <c r="AV336" i="2"/>
  <c r="AW336" i="2" s="1"/>
  <c r="AU336" i="2"/>
  <c r="AU347" i="2"/>
  <c r="AA379" i="2"/>
  <c r="T383" i="2"/>
  <c r="AV383" i="2"/>
  <c r="AC392" i="2"/>
  <c r="Z465" i="2"/>
  <c r="Z466" i="2"/>
  <c r="AQ499" i="2"/>
  <c r="AR499" i="2" s="1"/>
  <c r="AS499" i="2"/>
  <c r="AC499" i="2"/>
  <c r="AT499" i="2" s="1"/>
  <c r="AA500" i="2"/>
  <c r="Z500" i="2"/>
  <c r="AQ500" i="2"/>
  <c r="AR500" i="2" s="1"/>
  <c r="AC500" i="2"/>
  <c r="AT500" i="2" s="1"/>
  <c r="AV501" i="2"/>
  <c r="T501" i="2"/>
  <c r="AS501" i="2" s="1"/>
  <c r="AA501" i="2"/>
  <c r="AQ502" i="2"/>
  <c r="T502" i="2"/>
  <c r="AQ508" i="2"/>
  <c r="AR508" i="2" s="1"/>
  <c r="AA508" i="2"/>
  <c r="AW508" i="2"/>
  <c r="AP535" i="2"/>
  <c r="T535" i="2"/>
  <c r="AS535" i="2" s="1"/>
  <c r="AV535" i="2"/>
  <c r="AC571" i="2"/>
  <c r="Z602" i="2"/>
  <c r="AC602" i="2"/>
  <c r="AA602" i="2"/>
  <c r="T602" i="2"/>
  <c r="AP602" i="2"/>
  <c r="AV623" i="2"/>
  <c r="Z628" i="2"/>
  <c r="AU630" i="2"/>
  <c r="AU642" i="2"/>
  <c r="AQ643" i="2"/>
  <c r="AP643" i="2"/>
  <c r="AC643" i="2"/>
  <c r="AA643" i="2"/>
  <c r="Z643" i="2"/>
  <c r="AV643" i="2"/>
  <c r="AW643" i="2" s="1"/>
  <c r="T643" i="2"/>
  <c r="AT681" i="2"/>
  <c r="AC683" i="2"/>
  <c r="AP697" i="2"/>
  <c r="Z697" i="2"/>
  <c r="AQ697" i="2"/>
  <c r="AV697" i="2"/>
  <c r="T697" i="2"/>
  <c r="AS697" i="2" s="1"/>
  <c r="AW704" i="2"/>
  <c r="AP718" i="2"/>
  <c r="AU718" i="2" s="1"/>
  <c r="AV718" i="2"/>
  <c r="AW718" i="2" s="1"/>
  <c r="AS718" i="2"/>
  <c r="Z718" i="2"/>
  <c r="AQ718" i="2"/>
  <c r="AR718" i="2" s="1"/>
  <c r="AC718" i="2"/>
  <c r="AT718" i="2" s="1"/>
  <c r="AA718" i="2"/>
  <c r="AP754" i="2"/>
  <c r="AV754" i="2"/>
  <c r="T754" i="2"/>
  <c r="AS754" i="2" s="1"/>
  <c r="AQ754" i="2"/>
  <c r="AC754" i="2"/>
  <c r="AA754" i="2"/>
  <c r="Z754" i="2"/>
  <c r="AT762" i="2"/>
  <c r="AP763" i="2"/>
  <c r="AQ763" i="2"/>
  <c r="AC763" i="2"/>
  <c r="AA763" i="2"/>
  <c r="T763" i="2"/>
  <c r="AV763" i="2"/>
  <c r="AW764" i="2"/>
  <c r="AS828" i="2"/>
  <c r="AR828" i="2"/>
  <c r="AW828" i="2"/>
  <c r="AU828" i="2"/>
  <c r="AR861" i="2"/>
  <c r="AU861" i="2"/>
  <c r="AS861" i="2"/>
  <c r="AW861" i="2"/>
  <c r="AU855" i="2"/>
  <c r="AS855" i="2"/>
  <c r="AR855" i="2"/>
  <c r="AW855" i="2"/>
  <c r="AP868" i="2"/>
  <c r="AA868" i="2"/>
  <c r="Z868" i="2"/>
  <c r="AQ868" i="2"/>
  <c r="AR868" i="2" s="1"/>
  <c r="AC868" i="2"/>
  <c r="AT868" i="2" s="1"/>
  <c r="AV868" i="2"/>
  <c r="AW868" i="2" s="1"/>
  <c r="AU868" i="2"/>
  <c r="AS868" i="2"/>
  <c r="AU900" i="2"/>
  <c r="AW1001" i="2"/>
  <c r="AQ1056" i="2"/>
  <c r="AP1056" i="2"/>
  <c r="T1056" i="2"/>
  <c r="AA1056" i="2"/>
  <c r="Z1056" i="2"/>
  <c r="AV1056" i="2"/>
  <c r="AC1056" i="2"/>
  <c r="AU1061" i="2"/>
  <c r="AT546" i="2"/>
  <c r="AU554" i="2"/>
  <c r="AS554" i="2"/>
  <c r="AS555" i="2"/>
  <c r="AP556" i="2"/>
  <c r="AU556" i="2" s="1"/>
  <c r="AQ556" i="2"/>
  <c r="AA556" i="2"/>
  <c r="Z556" i="2"/>
  <c r="Z557" i="2"/>
  <c r="AV557" i="2"/>
  <c r="T557" i="2"/>
  <c r="AP559" i="2"/>
  <c r="AU559" i="2" s="1"/>
  <c r="AS559" i="2"/>
  <c r="AQ559" i="2"/>
  <c r="AR559" i="2" s="1"/>
  <c r="AC559" i="2"/>
  <c r="AT559" i="2" s="1"/>
  <c r="AA559" i="2"/>
  <c r="AQ563" i="2"/>
  <c r="AR563" i="2" s="1"/>
  <c r="AC563" i="2"/>
  <c r="AT563" i="2" s="1"/>
  <c r="AA563" i="2"/>
  <c r="Z563" i="2"/>
  <c r="AT564" i="2"/>
  <c r="AW565" i="2"/>
  <c r="AT567" i="2"/>
  <c r="Z581" i="2"/>
  <c r="AS581" i="2"/>
  <c r="AQ581" i="2"/>
  <c r="AR581" i="2" s="1"/>
  <c r="AP581" i="2"/>
  <c r="AU581" i="2" s="1"/>
  <c r="AC581" i="2"/>
  <c r="AT581" i="2" s="1"/>
  <c r="Z590" i="2"/>
  <c r="AS590" i="2"/>
  <c r="AQ590" i="2"/>
  <c r="AR590" i="2" s="1"/>
  <c r="AP590" i="2"/>
  <c r="AU590" i="2" s="1"/>
  <c r="AC590" i="2"/>
  <c r="AQ592" i="2"/>
  <c r="AP592" i="2"/>
  <c r="Z592" i="2"/>
  <c r="T592" i="2"/>
  <c r="AU605" i="2"/>
  <c r="AQ616" i="2"/>
  <c r="AP616" i="2"/>
  <c r="AA616" i="2"/>
  <c r="Z616" i="2"/>
  <c r="T616" i="2"/>
  <c r="AQ631" i="2"/>
  <c r="AP631" i="2"/>
  <c r="AC631" i="2"/>
  <c r="Z631" i="2"/>
  <c r="T631" i="2"/>
  <c r="AS631" i="2" s="1"/>
  <c r="AU641" i="2"/>
  <c r="AP710" i="2"/>
  <c r="AC710" i="2"/>
  <c r="T710" i="2"/>
  <c r="AS710" i="2" s="1"/>
  <c r="AQ710" i="2"/>
  <c r="AA710" i="2"/>
  <c r="AU749" i="2"/>
  <c r="AW813" i="2"/>
  <c r="AU848" i="2"/>
  <c r="AR848" i="2"/>
  <c r="AS848" i="2"/>
  <c r="AR849" i="2"/>
  <c r="AQ921" i="2"/>
  <c r="AC921" i="2"/>
  <c r="Z921" i="2"/>
  <c r="T921" i="2"/>
  <c r="AP921" i="2"/>
  <c r="AA921" i="2"/>
  <c r="AV921" i="2"/>
  <c r="AQ981" i="2"/>
  <c r="AC981" i="2"/>
  <c r="AP981" i="2"/>
  <c r="AV981" i="2"/>
  <c r="AA981" i="2"/>
  <c r="Z981" i="2"/>
  <c r="T981" i="2"/>
  <c r="AS981" i="2" s="1"/>
  <c r="Z1024" i="2"/>
  <c r="T1024" i="2"/>
  <c r="AV1024" i="2"/>
  <c r="AQ1024" i="2"/>
  <c r="AP1024" i="2"/>
  <c r="AC1024" i="2"/>
  <c r="AA1024" i="2"/>
  <c r="AU1128" i="2"/>
  <c r="AR286" i="2"/>
  <c r="AU286" i="2"/>
  <c r="AR295" i="2"/>
  <c r="AU295" i="2"/>
  <c r="AS304" i="2"/>
  <c r="AU304" i="2"/>
  <c r="AU308" i="2"/>
  <c r="AW312" i="2"/>
  <c r="AT312" i="2"/>
  <c r="AS316" i="2"/>
  <c r="AU316" i="2"/>
  <c r="AU320" i="2"/>
  <c r="AW324" i="2"/>
  <c r="AT324" i="2"/>
  <c r="AU328" i="2"/>
  <c r="AT368" i="2"/>
  <c r="AT376" i="2"/>
  <c r="AT393" i="2"/>
  <c r="AV393" i="2"/>
  <c r="AW393" i="2" s="1"/>
  <c r="AT394" i="2"/>
  <c r="AV398" i="2"/>
  <c r="AW398" i="2" s="1"/>
  <c r="AS408" i="2"/>
  <c r="AS412" i="2"/>
  <c r="AA431" i="2"/>
  <c r="Z431" i="2"/>
  <c r="AV431" i="2"/>
  <c r="AW431" i="2" s="1"/>
  <c r="AV438" i="2"/>
  <c r="T438" i="2"/>
  <c r="AU438" i="2" s="1"/>
  <c r="AQ460" i="2"/>
  <c r="AR460" i="2" s="1"/>
  <c r="AV460" i="2"/>
  <c r="AW460" i="2" s="1"/>
  <c r="AA467" i="2"/>
  <c r="Z467" i="2"/>
  <c r="AV467" i="2"/>
  <c r="AV474" i="2"/>
  <c r="T474" i="2"/>
  <c r="AU474" i="2" s="1"/>
  <c r="AQ496" i="2"/>
  <c r="AR496" i="2" s="1"/>
  <c r="AV496" i="2"/>
  <c r="AW496" i="2" s="1"/>
  <c r="AA503" i="2"/>
  <c r="Z503" i="2"/>
  <c r="AV503" i="2"/>
  <c r="AW503" i="2" s="1"/>
  <c r="AT510" i="2"/>
  <c r="AP530" i="2"/>
  <c r="AU530" i="2" s="1"/>
  <c r="AC530" i="2"/>
  <c r="AT530" i="2" s="1"/>
  <c r="AV530" i="2"/>
  <c r="AW530" i="2" s="1"/>
  <c r="AT536" i="2"/>
  <c r="AS551" i="2"/>
  <c r="AQ551" i="2"/>
  <c r="AR551" i="2" s="1"/>
  <c r="AW551" i="2"/>
  <c r="AR556" i="2"/>
  <c r="AP557" i="2"/>
  <c r="AU572" i="2"/>
  <c r="AS573" i="2"/>
  <c r="AR573" i="2"/>
  <c r="AQ586" i="2"/>
  <c r="AR586" i="2" s="1"/>
  <c r="AP586" i="2"/>
  <c r="AU586" i="2" s="1"/>
  <c r="AC586" i="2"/>
  <c r="AT586" i="2" s="1"/>
  <c r="AA586" i="2"/>
  <c r="Z586" i="2"/>
  <c r="AS588" i="2"/>
  <c r="AT590" i="2"/>
  <c r="AQ601" i="2"/>
  <c r="AR601" i="2" s="1"/>
  <c r="AP601" i="2"/>
  <c r="AU601" i="2" s="1"/>
  <c r="AC601" i="2"/>
  <c r="AT601" i="2" s="1"/>
  <c r="AA601" i="2"/>
  <c r="Z601" i="2"/>
  <c r="AW609" i="2"/>
  <c r="Z620" i="2"/>
  <c r="AT620" i="2"/>
  <c r="AS620" i="2"/>
  <c r="AQ620" i="2"/>
  <c r="AR620" i="2" s="1"/>
  <c r="AP620" i="2"/>
  <c r="AU620" i="2" s="1"/>
  <c r="AQ637" i="2"/>
  <c r="AR637" i="2" s="1"/>
  <c r="AP637" i="2"/>
  <c r="AU637" i="2" s="1"/>
  <c r="Z637" i="2"/>
  <c r="AC637" i="2"/>
  <c r="AT637" i="2" s="1"/>
  <c r="AA637" i="2"/>
  <c r="AA667" i="2"/>
  <c r="AQ667" i="2"/>
  <c r="AP667" i="2"/>
  <c r="Z667" i="2"/>
  <c r="AC667" i="2"/>
  <c r="T667" i="2"/>
  <c r="AT678" i="2"/>
  <c r="AV710" i="2"/>
  <c r="AU722" i="2"/>
  <c r="AS722" i="2"/>
  <c r="AR722" i="2"/>
  <c r="AU776" i="2"/>
  <c r="AR776" i="2"/>
  <c r="AS776" i="2"/>
  <c r="Z818" i="2"/>
  <c r="AA818" i="2"/>
  <c r="T818" i="2"/>
  <c r="AQ818" i="2"/>
  <c r="AP818" i="2"/>
  <c r="AV818" i="2"/>
  <c r="AS823" i="2"/>
  <c r="AW830" i="2"/>
  <c r="AT843" i="2"/>
  <c r="AP847" i="2"/>
  <c r="AQ847" i="2"/>
  <c r="AV847" i="2"/>
  <c r="AC847" i="2"/>
  <c r="AA847" i="2"/>
  <c r="Z847" i="2"/>
  <c r="T847" i="2"/>
  <c r="AQ912" i="2"/>
  <c r="AC912" i="2"/>
  <c r="AA912" i="2"/>
  <c r="T912" i="2"/>
  <c r="AP912" i="2"/>
  <c r="Z912" i="2"/>
  <c r="AV912" i="2"/>
  <c r="AQ963" i="2"/>
  <c r="AV963" i="2"/>
  <c r="Z963" i="2"/>
  <c r="AP963" i="2"/>
  <c r="AC963" i="2"/>
  <c r="AT963" i="2" s="1"/>
  <c r="AA963" i="2"/>
  <c r="T963" i="2"/>
  <c r="AS963" i="2" s="1"/>
  <c r="AT1015" i="2"/>
  <c r="AS1015" i="2"/>
  <c r="AR1015" i="2"/>
  <c r="Z1030" i="2"/>
  <c r="AC1030" i="2"/>
  <c r="AQ1030" i="2"/>
  <c r="AP1030" i="2"/>
  <c r="AA1030" i="2"/>
  <c r="AV1030" i="2"/>
  <c r="T1030" i="2"/>
  <c r="AU1030" i="2" s="1"/>
  <c r="AR600" i="2"/>
  <c r="AU611" i="2"/>
  <c r="AS612" i="2"/>
  <c r="AR612" i="2"/>
  <c r="Z635" i="2"/>
  <c r="AS635" i="2"/>
  <c r="AT635" i="2"/>
  <c r="AQ635" i="2"/>
  <c r="AR635" i="2" s="1"/>
  <c r="AP635" i="2"/>
  <c r="AU635" i="2" s="1"/>
  <c r="AU647" i="2"/>
  <c r="AS648" i="2"/>
  <c r="AR648" i="2"/>
  <c r="AW654" i="2"/>
  <c r="AU702" i="2"/>
  <c r="AS702" i="2"/>
  <c r="AR702" i="2"/>
  <c r="AR708" i="2"/>
  <c r="AU708" i="2"/>
  <c r="AW713" i="2"/>
  <c r="AT756" i="2"/>
  <c r="AS762" i="2"/>
  <c r="AR762" i="2"/>
  <c r="AU762" i="2"/>
  <c r="AC785" i="2"/>
  <c r="AA785" i="2"/>
  <c r="Z785" i="2"/>
  <c r="T785" i="2"/>
  <c r="AT785" i="2" s="1"/>
  <c r="AV785" i="2"/>
  <c r="AW800" i="2"/>
  <c r="AW825" i="2"/>
  <c r="AP844" i="2"/>
  <c r="T844" i="2"/>
  <c r="AV844" i="2"/>
  <c r="Z844" i="2"/>
  <c r="AQ844" i="2"/>
  <c r="AC844" i="2"/>
  <c r="AA844" i="2"/>
  <c r="AQ918" i="2"/>
  <c r="AC918" i="2"/>
  <c r="AA918" i="2"/>
  <c r="Z918" i="2"/>
  <c r="T918" i="2"/>
  <c r="AV918" i="2"/>
  <c r="AP918" i="2"/>
  <c r="AQ990" i="2"/>
  <c r="Z990" i="2"/>
  <c r="AV990" i="2"/>
  <c r="AP990" i="2"/>
  <c r="AC990" i="2"/>
  <c r="AA990" i="2"/>
  <c r="T990" i="2"/>
  <c r="AS1171" i="2"/>
  <c r="AV376" i="2"/>
  <c r="AW376" i="2" s="1"/>
  <c r="AV394" i="2"/>
  <c r="AW394" i="2" s="1"/>
  <c r="AW399" i="2"/>
  <c r="AT399" i="2"/>
  <c r="AT403" i="2"/>
  <c r="AU408" i="2"/>
  <c r="AS423" i="2"/>
  <c r="AP424" i="2"/>
  <c r="AU424" i="2" s="1"/>
  <c r="AC424" i="2"/>
  <c r="AV424" i="2"/>
  <c r="AW424" i="2" s="1"/>
  <c r="AV432" i="2"/>
  <c r="T432" i="2"/>
  <c r="AQ454" i="2"/>
  <c r="AR454" i="2" s="1"/>
  <c r="AV454" i="2"/>
  <c r="AW454" i="2" s="1"/>
  <c r="AA461" i="2"/>
  <c r="Z461" i="2"/>
  <c r="AV461" i="2"/>
  <c r="AW461" i="2" s="1"/>
  <c r="AV468" i="2"/>
  <c r="T468" i="2"/>
  <c r="AS468" i="2" s="1"/>
  <c r="AQ490" i="2"/>
  <c r="AR490" i="2" s="1"/>
  <c r="AV490" i="2"/>
  <c r="AW490" i="2" s="1"/>
  <c r="AA497" i="2"/>
  <c r="Z497" i="2"/>
  <c r="AV497" i="2"/>
  <c r="AW497" i="2" s="1"/>
  <c r="AV504" i="2"/>
  <c r="T504" i="2"/>
  <c r="AU504" i="2" s="1"/>
  <c r="AP511" i="2"/>
  <c r="AU511" i="2" s="1"/>
  <c r="AT511" i="2"/>
  <c r="AS511" i="2"/>
  <c r="AW511" i="2"/>
  <c r="AP517" i="2"/>
  <c r="T517" i="2"/>
  <c r="AV517" i="2"/>
  <c r="AW524" i="2"/>
  <c r="AT524" i="2"/>
  <c r="AT531" i="2"/>
  <c r="AS536" i="2"/>
  <c r="AT537" i="2"/>
  <c r="AR554" i="2"/>
  <c r="AR555" i="2"/>
  <c r="AT556" i="2"/>
  <c r="AR557" i="2"/>
  <c r="AV581" i="2"/>
  <c r="AW581" i="2" s="1"/>
  <c r="AQ585" i="2"/>
  <c r="AR585" i="2" s="1"/>
  <c r="AP585" i="2"/>
  <c r="AU585" i="2" s="1"/>
  <c r="AC585" i="2"/>
  <c r="AT585" i="2" s="1"/>
  <c r="AA585" i="2"/>
  <c r="AV590" i="2"/>
  <c r="AW590" i="2" s="1"/>
  <c r="Z596" i="2"/>
  <c r="AQ596" i="2"/>
  <c r="AR596" i="2" s="1"/>
  <c r="AP596" i="2"/>
  <c r="AU596" i="2" s="1"/>
  <c r="AC596" i="2"/>
  <c r="AT596" i="2" s="1"/>
  <c r="AA596" i="2"/>
  <c r="Z608" i="2"/>
  <c r="AV608" i="2"/>
  <c r="AC608" i="2"/>
  <c r="AA608" i="2"/>
  <c r="T608" i="2"/>
  <c r="Z644" i="2"/>
  <c r="AV644" i="2"/>
  <c r="AW644" i="2" s="1"/>
  <c r="AC644" i="2"/>
  <c r="AA644" i="2"/>
  <c r="T644" i="2"/>
  <c r="Z662" i="2"/>
  <c r="AP662" i="2"/>
  <c r="AU662" i="2" s="1"/>
  <c r="AA662" i="2"/>
  <c r="AV662" i="2"/>
  <c r="AW662" i="2" s="1"/>
  <c r="AT662" i="2"/>
  <c r="AS662" i="2"/>
  <c r="AR662" i="2"/>
  <c r="AP679" i="2"/>
  <c r="T679" i="2"/>
  <c r="AQ679" i="2"/>
  <c r="AA679" i="2"/>
  <c r="AS679" i="2"/>
  <c r="AC679" i="2"/>
  <c r="Z679" i="2"/>
  <c r="AT736" i="2"/>
  <c r="AW740" i="2"/>
  <c r="AS832" i="2"/>
  <c r="AR832" i="2"/>
  <c r="AS843" i="2"/>
  <c r="AR843" i="2"/>
  <c r="AP856" i="2"/>
  <c r="AU856" i="2" s="1"/>
  <c r="AS856" i="2"/>
  <c r="AA856" i="2"/>
  <c r="Z856" i="2"/>
  <c r="AV856" i="2"/>
  <c r="AW856" i="2" s="1"/>
  <c r="AQ856" i="2"/>
  <c r="AR856" i="2" s="1"/>
  <c r="AC856" i="2"/>
  <c r="AT856" i="2" s="1"/>
  <c r="T938" i="2"/>
  <c r="AC938" i="2"/>
  <c r="Z938" i="2"/>
  <c r="AQ938" i="2"/>
  <c r="AP938" i="2"/>
  <c r="AA938" i="2"/>
  <c r="AV938" i="2"/>
  <c r="AS1009" i="2"/>
  <c r="AR1009" i="2"/>
  <c r="AA677" i="2"/>
  <c r="AQ677" i="2"/>
  <c r="AR677" i="2" s="1"/>
  <c r="AP677" i="2"/>
  <c r="AU677" i="2" s="1"/>
  <c r="AS677" i="2"/>
  <c r="AW678" i="2"/>
  <c r="AT694" i="2"/>
  <c r="AR704" i="2"/>
  <c r="AU704" i="2"/>
  <c r="AS705" i="2"/>
  <c r="AP706" i="2"/>
  <c r="AU706" i="2" s="1"/>
  <c r="Z706" i="2"/>
  <c r="AC706" i="2"/>
  <c r="AT706" i="2" s="1"/>
  <c r="AV707" i="2"/>
  <c r="T707" i="2"/>
  <c r="AW707" i="2" s="1"/>
  <c r="AC707" i="2"/>
  <c r="Z707" i="2"/>
  <c r="AP709" i="2"/>
  <c r="AC709" i="2"/>
  <c r="T709" i="2"/>
  <c r="AW709" i="2" s="1"/>
  <c r="AT714" i="2"/>
  <c r="AW714" i="2"/>
  <c r="AW717" i="2"/>
  <c r="AQ719" i="2"/>
  <c r="AR719" i="2" s="1"/>
  <c r="AP719" i="2"/>
  <c r="AU719" i="2" s="1"/>
  <c r="Z719" i="2"/>
  <c r="AT720" i="2"/>
  <c r="AT723" i="2"/>
  <c r="AU747" i="2"/>
  <c r="AS747" i="2"/>
  <c r="AP757" i="2"/>
  <c r="AU757" i="2" s="1"/>
  <c r="AQ757" i="2"/>
  <c r="AR757" i="2" s="1"/>
  <c r="AC757" i="2"/>
  <c r="AT757" i="2" s="1"/>
  <c r="AA757" i="2"/>
  <c r="AS757" i="2"/>
  <c r="Z757" i="2"/>
  <c r="AV761" i="2"/>
  <c r="T761" i="2"/>
  <c r="AS761" i="2"/>
  <c r="AQ761" i="2"/>
  <c r="AA761" i="2"/>
  <c r="AU801" i="2"/>
  <c r="AS801" i="2"/>
  <c r="AR801" i="2"/>
  <c r="AW810" i="2"/>
  <c r="AU866" i="2"/>
  <c r="AS866" i="2"/>
  <c r="AR866" i="2"/>
  <c r="AP904" i="2"/>
  <c r="AU904" i="2" s="1"/>
  <c r="AQ904" i="2"/>
  <c r="AR904" i="2" s="1"/>
  <c r="AA904" i="2"/>
  <c r="Z904" i="2"/>
  <c r="AC904" i="2"/>
  <c r="AT904" i="2" s="1"/>
  <c r="AV904" i="2"/>
  <c r="AW904" i="2" s="1"/>
  <c r="AU926" i="2"/>
  <c r="Z926" i="2"/>
  <c r="AQ926" i="2"/>
  <c r="AR926" i="2" s="1"/>
  <c r="AV926" i="2"/>
  <c r="AW926" i="2" s="1"/>
  <c r="AS926" i="2"/>
  <c r="AP926" i="2"/>
  <c r="AC926" i="2"/>
  <c r="AT926" i="2" s="1"/>
  <c r="AW929" i="2"/>
  <c r="AQ956" i="2"/>
  <c r="AR956" i="2" s="1"/>
  <c r="AC956" i="2"/>
  <c r="AT956" i="2" s="1"/>
  <c r="AA956" i="2"/>
  <c r="Z956" i="2"/>
  <c r="AV956" i="2"/>
  <c r="AW956" i="2" s="1"/>
  <c r="AS956" i="2"/>
  <c r="AS980" i="2"/>
  <c r="AQ1004" i="2"/>
  <c r="T1004" i="2"/>
  <c r="AP1004" i="2"/>
  <c r="AC1004" i="2"/>
  <c r="AA1004" i="2"/>
  <c r="Z1004" i="2"/>
  <c r="AV1004" i="2"/>
  <c r="AR1168" i="2"/>
  <c r="AT416" i="2"/>
  <c r="AU514" i="2"/>
  <c r="AU532" i="2"/>
  <c r="AS547" i="2"/>
  <c r="AU550" i="2"/>
  <c r="AQ562" i="2"/>
  <c r="AR562" i="2" s="1"/>
  <c r="AS565" i="2"/>
  <c r="AU568" i="2"/>
  <c r="AQ569" i="2"/>
  <c r="AS572" i="2"/>
  <c r="AR580" i="2"/>
  <c r="AU583" i="2"/>
  <c r="AR584" i="2"/>
  <c r="AR588" i="2"/>
  <c r="AT593" i="2"/>
  <c r="AS603" i="2"/>
  <c r="AS604" i="2"/>
  <c r="AU609" i="2"/>
  <c r="AU617" i="2"/>
  <c r="AT626" i="2"/>
  <c r="Z632" i="2"/>
  <c r="AA632" i="2"/>
  <c r="AV632" i="2"/>
  <c r="AW632" i="2" s="1"/>
  <c r="AS639" i="2"/>
  <c r="AS640" i="2"/>
  <c r="AU645" i="2"/>
  <c r="AU654" i="2"/>
  <c r="AQ655" i="2"/>
  <c r="AR655" i="2" s="1"/>
  <c r="AP655" i="2"/>
  <c r="AU655" i="2" s="1"/>
  <c r="AS655" i="2"/>
  <c r="Z656" i="2"/>
  <c r="AP656" i="2"/>
  <c r="AW656" i="2"/>
  <c r="AS657" i="2"/>
  <c r="AT684" i="2"/>
  <c r="AT686" i="2"/>
  <c r="AR687" i="2"/>
  <c r="AT700" i="2"/>
  <c r="AA707" i="2"/>
  <c r="Z709" i="2"/>
  <c r="AS736" i="2"/>
  <c r="Z761" i="2"/>
  <c r="AW791" i="2"/>
  <c r="AP796" i="2"/>
  <c r="AA796" i="2"/>
  <c r="Z796" i="2"/>
  <c r="AQ796" i="2"/>
  <c r="AC796" i="2"/>
  <c r="AV796" i="2"/>
  <c r="AT798" i="2"/>
  <c r="AW803" i="2"/>
  <c r="AS816" i="2"/>
  <c r="AR816" i="2"/>
  <c r="AW831" i="2"/>
  <c r="AW859" i="2"/>
  <c r="AS859" i="2"/>
  <c r="AR859" i="2"/>
  <c r="AS902" i="2"/>
  <c r="AA920" i="2"/>
  <c r="AC920" i="2"/>
  <c r="AQ920" i="2"/>
  <c r="AP920" i="2"/>
  <c r="Z920" i="2"/>
  <c r="T920" i="2"/>
  <c r="AW920" i="2" s="1"/>
  <c r="AU928" i="2"/>
  <c r="AQ972" i="2"/>
  <c r="AP972" i="2"/>
  <c r="AC972" i="2"/>
  <c r="AV972" i="2"/>
  <c r="AA972" i="2"/>
  <c r="Z972" i="2"/>
  <c r="Z985" i="2"/>
  <c r="AP985" i="2"/>
  <c r="AA985" i="2"/>
  <c r="T985" i="2"/>
  <c r="AS985" i="2" s="1"/>
  <c r="AQ985" i="2"/>
  <c r="AC985" i="2"/>
  <c r="AV985" i="2"/>
  <c r="AW1083" i="2"/>
  <c r="AW1099" i="2"/>
  <c r="AV514" i="2"/>
  <c r="AW514" i="2" s="1"/>
  <c r="AT525" i="2"/>
  <c r="AV532" i="2"/>
  <c r="AW532" i="2" s="1"/>
  <c r="AT543" i="2"/>
  <c r="AT547" i="2"/>
  <c r="AV550" i="2"/>
  <c r="AW550" i="2" s="1"/>
  <c r="AT561" i="2"/>
  <c r="AT565" i="2"/>
  <c r="AV568" i="2"/>
  <c r="AW568" i="2" s="1"/>
  <c r="AR569" i="2"/>
  <c r="AS580" i="2"/>
  <c r="AV583" i="2"/>
  <c r="AW583" i="2" s="1"/>
  <c r="AS584" i="2"/>
  <c r="AS589" i="2"/>
  <c r="AU593" i="2"/>
  <c r="AQ598" i="2"/>
  <c r="AR598" i="2" s="1"/>
  <c r="AP598" i="2"/>
  <c r="AU598" i="2" s="1"/>
  <c r="AV598" i="2"/>
  <c r="AW598" i="2" s="1"/>
  <c r="AS605" i="2"/>
  <c r="AQ610" i="2"/>
  <c r="AR610" i="2" s="1"/>
  <c r="AP610" i="2"/>
  <c r="AU610" i="2" s="1"/>
  <c r="AW610" i="2"/>
  <c r="AV617" i="2"/>
  <c r="AW617" i="2" s="1"/>
  <c r="AS619" i="2"/>
  <c r="AQ625" i="2"/>
  <c r="AR625" i="2" s="1"/>
  <c r="AP625" i="2"/>
  <c r="AU625" i="2" s="1"/>
  <c r="AS625" i="2"/>
  <c r="AW625" i="2"/>
  <c r="AS641" i="2"/>
  <c r="AQ646" i="2"/>
  <c r="AR646" i="2" s="1"/>
  <c r="AP646" i="2"/>
  <c r="AU646" i="2" s="1"/>
  <c r="AW646" i="2"/>
  <c r="AU657" i="2"/>
  <c r="Z677" i="2"/>
  <c r="AP685" i="2"/>
  <c r="AT685" i="2"/>
  <c r="AV685" i="2"/>
  <c r="AS687" i="2"/>
  <c r="AV701" i="2"/>
  <c r="AW701" i="2" s="1"/>
  <c r="AA706" i="2"/>
  <c r="AP707" i="2"/>
  <c r="AA709" i="2"/>
  <c r="AA719" i="2"/>
  <c r="AT735" i="2"/>
  <c r="AS738" i="2"/>
  <c r="AC761" i="2"/>
  <c r="AS769" i="2"/>
  <c r="AR769" i="2"/>
  <c r="T773" i="2"/>
  <c r="AS773" i="2" s="1"/>
  <c r="AP773" i="2"/>
  <c r="AC773" i="2"/>
  <c r="AA773" i="2"/>
  <c r="AS781" i="2"/>
  <c r="AU873" i="2"/>
  <c r="AS873" i="2"/>
  <c r="AR873" i="2"/>
  <c r="AW873" i="2"/>
  <c r="Z890" i="2"/>
  <c r="AA890" i="2"/>
  <c r="T890" i="2"/>
  <c r="AQ890" i="2"/>
  <c r="AS904" i="2"/>
  <c r="AA926" i="2"/>
  <c r="AP956" i="2"/>
  <c r="AU956" i="2" s="1"/>
  <c r="AQ1044" i="2"/>
  <c r="AP1044" i="2"/>
  <c r="T1044" i="2"/>
  <c r="AS1044" i="2" s="1"/>
  <c r="AV1044" i="2"/>
  <c r="AC1044" i="2"/>
  <c r="AA1044" i="2"/>
  <c r="Z1044" i="2"/>
  <c r="AR1055" i="2"/>
  <c r="AS1055" i="2"/>
  <c r="AS1084" i="2"/>
  <c r="AQ1084" i="2"/>
  <c r="AR1084" i="2" s="1"/>
  <c r="AP1084" i="2"/>
  <c r="AU1084" i="2" s="1"/>
  <c r="Z1084" i="2"/>
  <c r="AC1084" i="2"/>
  <c r="AT1084" i="2" s="1"/>
  <c r="AA1084" i="2"/>
  <c r="AV1084" i="2"/>
  <c r="AW1084" i="2" s="1"/>
  <c r="AU1088" i="2"/>
  <c r="AS1088" i="2"/>
  <c r="AR1088" i="2"/>
  <c r="AW1088" i="2"/>
  <c r="AS1216" i="2"/>
  <c r="AR1216" i="2"/>
  <c r="AT1225" i="2"/>
  <c r="AS1225" i="2"/>
  <c r="AU1225" i="2"/>
  <c r="AU547" i="2"/>
  <c r="AS562" i="2"/>
  <c r="AU565" i="2"/>
  <c r="AS569" i="2"/>
  <c r="AT580" i="2"/>
  <c r="AT584" i="2"/>
  <c r="AU588" i="2"/>
  <c r="AT605" i="2"/>
  <c r="AR609" i="2"/>
  <c r="Z611" i="2"/>
  <c r="AC611" i="2"/>
  <c r="AT611" i="2" s="1"/>
  <c r="AV611" i="2"/>
  <c r="AW611" i="2" s="1"/>
  <c r="AT619" i="2"/>
  <c r="Z626" i="2"/>
  <c r="AP626" i="2"/>
  <c r="AU626" i="2" s="1"/>
  <c r="AV626" i="2"/>
  <c r="AW626" i="2" s="1"/>
  <c r="AU633" i="2"/>
  <c r="AT641" i="2"/>
  <c r="AR645" i="2"/>
  <c r="Z647" i="2"/>
  <c r="AC647" i="2"/>
  <c r="AT647" i="2" s="1"/>
  <c r="AV647" i="2"/>
  <c r="AW647" i="2" s="1"/>
  <c r="AS654" i="2"/>
  <c r="AC677" i="2"/>
  <c r="AT677" i="2" s="1"/>
  <c r="AR686" i="2"/>
  <c r="AT687" i="2"/>
  <c r="AU687" i="2"/>
  <c r="AQ706" i="2"/>
  <c r="AR706" i="2" s="1"/>
  <c r="AQ707" i="2"/>
  <c r="AQ709" i="2"/>
  <c r="AC719" i="2"/>
  <c r="AR737" i="2"/>
  <c r="AT738" i="2"/>
  <c r="AP761" i="2"/>
  <c r="AU761" i="2" s="1"/>
  <c r="Z764" i="2"/>
  <c r="AP764" i="2"/>
  <c r="AU764" i="2" s="1"/>
  <c r="AC764" i="2"/>
  <c r="AT764" i="2" s="1"/>
  <c r="AA764" i="2"/>
  <c r="AQ764" i="2"/>
  <c r="AR764" i="2" s="1"/>
  <c r="Z782" i="2"/>
  <c r="AS782" i="2"/>
  <c r="AQ782" i="2"/>
  <c r="AR782" i="2" s="1"/>
  <c r="AW782" i="2"/>
  <c r="AP782" i="2"/>
  <c r="AU782" i="2" s="1"/>
  <c r="AC782" i="2"/>
  <c r="AT782" i="2" s="1"/>
  <c r="AU794" i="2"/>
  <c r="AU795" i="2"/>
  <c r="AS795" i="2"/>
  <c r="AR795" i="2"/>
  <c r="T796" i="2"/>
  <c r="AU796" i="2" s="1"/>
  <c r="AW823" i="2"/>
  <c r="AU879" i="2"/>
  <c r="AS879" i="2"/>
  <c r="AR879" i="2"/>
  <c r="AW879" i="2"/>
  <c r="AV887" i="2"/>
  <c r="T887" i="2"/>
  <c r="AQ887" i="2"/>
  <c r="AP887" i="2"/>
  <c r="AC887" i="2"/>
  <c r="AA887" i="2"/>
  <c r="Z887" i="2"/>
  <c r="AV947" i="2"/>
  <c r="Z947" i="2"/>
  <c r="AP947" i="2"/>
  <c r="AC947" i="2"/>
  <c r="AA947" i="2"/>
  <c r="AQ947" i="2"/>
  <c r="Z949" i="2"/>
  <c r="AP949" i="2"/>
  <c r="AW949" i="2"/>
  <c r="T949" i="2"/>
  <c r="AU949" i="2"/>
  <c r="AT949" i="2"/>
  <c r="AS949" i="2"/>
  <c r="AR949" i="2"/>
  <c r="AQ949" i="2"/>
  <c r="AV949" i="2"/>
  <c r="AC949" i="2"/>
  <c r="T972" i="2"/>
  <c r="AQ1040" i="2"/>
  <c r="T1040" i="2"/>
  <c r="AV1040" i="2"/>
  <c r="AS1040" i="2"/>
  <c r="AP1040" i="2"/>
  <c r="AC1040" i="2"/>
  <c r="AA1040" i="2"/>
  <c r="Z1040" i="2"/>
  <c r="AV1095" i="2"/>
  <c r="T1095" i="2"/>
  <c r="AQ1095" i="2"/>
  <c r="AP1095" i="2"/>
  <c r="AC1095" i="2"/>
  <c r="AA1095" i="2"/>
  <c r="Z1095" i="2"/>
  <c r="AT569" i="2"/>
  <c r="AU580" i="2"/>
  <c r="AU584" i="2"/>
  <c r="AQ604" i="2"/>
  <c r="AR604" i="2" s="1"/>
  <c r="AP604" i="2"/>
  <c r="AU604" i="2" s="1"/>
  <c r="AT604" i="2"/>
  <c r="AW604" i="2"/>
  <c r="AU618" i="2"/>
  <c r="AW618" i="2"/>
  <c r="AQ640" i="2"/>
  <c r="AR640" i="2" s="1"/>
  <c r="AP640" i="2"/>
  <c r="AU640" i="2" s="1"/>
  <c r="AT640" i="2"/>
  <c r="AW640" i="2"/>
  <c r="AQ658" i="2"/>
  <c r="AP658" i="2"/>
  <c r="T658" i="2"/>
  <c r="AS694" i="2"/>
  <c r="AR701" i="2"/>
  <c r="AC701" i="2"/>
  <c r="AT701" i="2" s="1"/>
  <c r="AA701" i="2"/>
  <c r="AP701" i="2"/>
  <c r="AU701" i="2" s="1"/>
  <c r="AT702" i="2"/>
  <c r="AS706" i="2"/>
  <c r="AS719" i="2"/>
  <c r="AS735" i="2"/>
  <c r="AR735" i="2"/>
  <c r="AT761" i="2"/>
  <c r="AW787" i="2"/>
  <c r="AS787" i="2"/>
  <c r="AR787" i="2"/>
  <c r="AT793" i="2"/>
  <c r="AW819" i="2"/>
  <c r="AQ824" i="2"/>
  <c r="AR824" i="2" s="1"/>
  <c r="AP824" i="2"/>
  <c r="AU824" i="2" s="1"/>
  <c r="AA824" i="2"/>
  <c r="Z824" i="2"/>
  <c r="AV824" i="2"/>
  <c r="AW824" i="2" s="1"/>
  <c r="AT824" i="2"/>
  <c r="AS824" i="2"/>
  <c r="Z854" i="2"/>
  <c r="AS854" i="2"/>
  <c r="AQ854" i="2"/>
  <c r="AR854" i="2" s="1"/>
  <c r="AV854" i="2"/>
  <c r="AW854" i="2" s="1"/>
  <c r="AP854" i="2"/>
  <c r="AU854" i="2" s="1"/>
  <c r="AC854" i="2"/>
  <c r="AT854" i="2" s="1"/>
  <c r="AC857" i="2"/>
  <c r="AA857" i="2"/>
  <c r="Z857" i="2"/>
  <c r="T857" i="2"/>
  <c r="AS857" i="2" s="1"/>
  <c r="AV857" i="2"/>
  <c r="AW872" i="2"/>
  <c r="AT882" i="2"/>
  <c r="AW913" i="2"/>
  <c r="AR952" i="2"/>
  <c r="Z1003" i="2"/>
  <c r="AV1003" i="2"/>
  <c r="AA1003" i="2"/>
  <c r="T1003" i="2"/>
  <c r="AQ1003" i="2"/>
  <c r="AP1003" i="2"/>
  <c r="AC1003" i="2"/>
  <c r="AT1087" i="2"/>
  <c r="AW1091" i="2"/>
  <c r="AU1134" i="2"/>
  <c r="AU562" i="2"/>
  <c r="AV580" i="2"/>
  <c r="AW580" i="2" s="1"/>
  <c r="AV584" i="2"/>
  <c r="AW584" i="2" s="1"/>
  <c r="AQ589" i="2"/>
  <c r="AR589" i="2" s="1"/>
  <c r="AP589" i="2"/>
  <c r="AU589" i="2" s="1"/>
  <c r="AV589" i="2"/>
  <c r="AW589" i="2" s="1"/>
  <c r="AU594" i="2"/>
  <c r="AV599" i="2"/>
  <c r="AW599" i="2" s="1"/>
  <c r="Z605" i="2"/>
  <c r="AQ605" i="2"/>
  <c r="AR605" i="2" s="1"/>
  <c r="AV605" i="2"/>
  <c r="AW605" i="2" s="1"/>
  <c r="AU612" i="2"/>
  <c r="AQ619" i="2"/>
  <c r="AR619" i="2" s="1"/>
  <c r="AP619" i="2"/>
  <c r="AU619" i="2" s="1"/>
  <c r="AW619" i="2"/>
  <c r="AU627" i="2"/>
  <c r="Z641" i="2"/>
  <c r="AQ641" i="2"/>
  <c r="AR641" i="2" s="1"/>
  <c r="AV641" i="2"/>
  <c r="AW641" i="2" s="1"/>
  <c r="AU648" i="2"/>
  <c r="AU660" i="2"/>
  <c r="AT690" i="2"/>
  <c r="AT696" i="2"/>
  <c r="AW696" i="2"/>
  <c r="AP698" i="2"/>
  <c r="T698" i="2"/>
  <c r="AC698" i="2"/>
  <c r="AP700" i="2"/>
  <c r="AU700" i="2" s="1"/>
  <c r="AV700" i="2"/>
  <c r="AW700" i="2" s="1"/>
  <c r="AQ700" i="2"/>
  <c r="AR700" i="2" s="1"/>
  <c r="AA700" i="2"/>
  <c r="AS704" i="2"/>
  <c r="AR705" i="2"/>
  <c r="AT719" i="2"/>
  <c r="AT726" i="2"/>
  <c r="AW726" i="2"/>
  <c r="AT744" i="2"/>
  <c r="AR747" i="2"/>
  <c r="AV757" i="2"/>
  <c r="AW757" i="2" s="1"/>
  <c r="AT771" i="2"/>
  <c r="AT776" i="2"/>
  <c r="AV815" i="2"/>
  <c r="T815" i="2"/>
  <c r="AS815" i="2" s="1"/>
  <c r="AQ815" i="2"/>
  <c r="AP815" i="2"/>
  <c r="AC815" i="2"/>
  <c r="AA815" i="2"/>
  <c r="Z815" i="2"/>
  <c r="AQ842" i="2"/>
  <c r="AR842" i="2" s="1"/>
  <c r="AP842" i="2"/>
  <c r="AU842" i="2" s="1"/>
  <c r="AS842" i="2"/>
  <c r="AC842" i="2"/>
  <c r="AT842" i="2" s="1"/>
  <c r="AA842" i="2"/>
  <c r="AV842" i="2"/>
  <c r="AW842" i="2" s="1"/>
  <c r="Z842" i="2"/>
  <c r="T845" i="2"/>
  <c r="AS845" i="2" s="1"/>
  <c r="AQ845" i="2"/>
  <c r="AP845" i="2"/>
  <c r="AC845" i="2"/>
  <c r="AA845" i="2"/>
  <c r="AP862" i="2"/>
  <c r="T862" i="2"/>
  <c r="AV862" i="2"/>
  <c r="AQ862" i="2"/>
  <c r="AC862" i="2"/>
  <c r="AA862" i="2"/>
  <c r="Z862" i="2"/>
  <c r="AW866" i="2"/>
  <c r="AW870" i="2"/>
  <c r="AW893" i="2"/>
  <c r="T947" i="2"/>
  <c r="AU947" i="2" s="1"/>
  <c r="AC965" i="2"/>
  <c r="AT965" i="2" s="1"/>
  <c r="AP965" i="2"/>
  <c r="AU965" i="2" s="1"/>
  <c r="AA965" i="2"/>
  <c r="Z965" i="2"/>
  <c r="AV965" i="2"/>
  <c r="AW965" i="2" s="1"/>
  <c r="AS965" i="2"/>
  <c r="AR965" i="2"/>
  <c r="Z1000" i="2"/>
  <c r="AS1000" i="2"/>
  <c r="AC1000" i="2"/>
  <c r="AT1000" i="2" s="1"/>
  <c r="AQ1000" i="2"/>
  <c r="AR1000" i="2" s="1"/>
  <c r="AP1000" i="2"/>
  <c r="AU1000" i="2" s="1"/>
  <c r="AV1000" i="2"/>
  <c r="AW1000" i="2" s="1"/>
  <c r="AA1000" i="2"/>
  <c r="AW1242" i="2"/>
  <c r="AS1242" i="2"/>
  <c r="AQ664" i="2"/>
  <c r="AP664" i="2"/>
  <c r="AV664" i="2"/>
  <c r="AV671" i="2"/>
  <c r="T671" i="2"/>
  <c r="AS671" i="2" s="1"/>
  <c r="AP672" i="2"/>
  <c r="AC672" i="2"/>
  <c r="AP673" i="2"/>
  <c r="AC673" i="2"/>
  <c r="AA673" i="2"/>
  <c r="Z673" i="2"/>
  <c r="AR690" i="2"/>
  <c r="AS690" i="2"/>
  <c r="AU729" i="2"/>
  <c r="AP730" i="2"/>
  <c r="AV730" i="2"/>
  <c r="AP742" i="2"/>
  <c r="Z742" i="2"/>
  <c r="AQ742" i="2"/>
  <c r="AR744" i="2"/>
  <c r="AP745" i="2"/>
  <c r="AC745" i="2"/>
  <c r="T745" i="2"/>
  <c r="AW745" i="2" s="1"/>
  <c r="AT746" i="2"/>
  <c r="AT749" i="2"/>
  <c r="AT752" i="2"/>
  <c r="AU767" i="2"/>
  <c r="AS780" i="2"/>
  <c r="AR780" i="2"/>
  <c r="AW780" i="2"/>
  <c r="AU780" i="2"/>
  <c r="AQ809" i="2"/>
  <c r="AP809" i="2"/>
  <c r="AC809" i="2"/>
  <c r="AV821" i="2"/>
  <c r="AW821" i="2" s="1"/>
  <c r="AT834" i="2"/>
  <c r="AP835" i="2"/>
  <c r="AQ835" i="2"/>
  <c r="AC835" i="2"/>
  <c r="AA835" i="2"/>
  <c r="AU839" i="2"/>
  <c r="AS852" i="2"/>
  <c r="AR852" i="2"/>
  <c r="AW852" i="2"/>
  <c r="AU852" i="2"/>
  <c r="AT876" i="2"/>
  <c r="AP883" i="2"/>
  <c r="Z883" i="2"/>
  <c r="T883" i="2"/>
  <c r="AW883" i="2" s="1"/>
  <c r="AP886" i="2"/>
  <c r="AA886" i="2"/>
  <c r="Z886" i="2"/>
  <c r="AQ886" i="2"/>
  <c r="AS897" i="2"/>
  <c r="AV901" i="2"/>
  <c r="AW901" i="2" s="1"/>
  <c r="AT906" i="2"/>
  <c r="AS925" i="2"/>
  <c r="Z937" i="2"/>
  <c r="AP937" i="2"/>
  <c r="AC937" i="2"/>
  <c r="AA937" i="2"/>
  <c r="AQ937" i="2"/>
  <c r="AU942" i="2"/>
  <c r="AQ948" i="2"/>
  <c r="AA948" i="2"/>
  <c r="Z948" i="2"/>
  <c r="AV948" i="2"/>
  <c r="AP948" i="2"/>
  <c r="Z955" i="2"/>
  <c r="AV955" i="2"/>
  <c r="AQ955" i="2"/>
  <c r="AP955" i="2"/>
  <c r="AC955" i="2"/>
  <c r="AA955" i="2"/>
  <c r="AU979" i="2"/>
  <c r="AT980" i="2"/>
  <c r="AQ1029" i="2"/>
  <c r="AC1029" i="2"/>
  <c r="AA1029" i="2"/>
  <c r="AP1029" i="2"/>
  <c r="Z1029" i="2"/>
  <c r="AV1029" i="2"/>
  <c r="AS1058" i="2"/>
  <c r="AR1058" i="2"/>
  <c r="AW1058" i="2"/>
  <c r="AQ1077" i="2"/>
  <c r="AP1077" i="2"/>
  <c r="T1077" i="2"/>
  <c r="AU1077" i="2" s="1"/>
  <c r="AC1077" i="2"/>
  <c r="Z1077" i="2"/>
  <c r="AA1077" i="2"/>
  <c r="AT1083" i="2"/>
  <c r="AC1109" i="2"/>
  <c r="T1109" i="2"/>
  <c r="AS1109" i="2" s="1"/>
  <c r="AV1109" i="2"/>
  <c r="AQ1109" i="2"/>
  <c r="AP1109" i="2"/>
  <c r="AA1109" i="2"/>
  <c r="Z1109" i="2"/>
  <c r="AU1158" i="2"/>
  <c r="AP1259" i="2"/>
  <c r="AA1259" i="2"/>
  <c r="T1259" i="2"/>
  <c r="AW1259" i="2"/>
  <c r="AQ1259" i="2"/>
  <c r="Z1259" i="2"/>
  <c r="AV1259" i="2"/>
  <c r="AC1259" i="2"/>
  <c r="AU1321" i="2"/>
  <c r="AP721" i="2"/>
  <c r="T721" i="2"/>
  <c r="AV721" i="2"/>
  <c r="AW732" i="2"/>
  <c r="AP760" i="2"/>
  <c r="AU760" i="2" s="1"/>
  <c r="AA760" i="2"/>
  <c r="Z760" i="2"/>
  <c r="AV760" i="2"/>
  <c r="AW760" i="2" s="1"/>
  <c r="AT760" i="2"/>
  <c r="AT792" i="2"/>
  <c r="AT804" i="2"/>
  <c r="AP811" i="2"/>
  <c r="Z811" i="2"/>
  <c r="T811" i="2"/>
  <c r="AW811" i="2" s="1"/>
  <c r="AP814" i="2"/>
  <c r="AU814" i="2" s="1"/>
  <c r="AA814" i="2"/>
  <c r="Z814" i="2"/>
  <c r="AT814" i="2"/>
  <c r="AS814" i="2"/>
  <c r="AR814" i="2"/>
  <c r="AQ814" i="2"/>
  <c r="AV829" i="2"/>
  <c r="AW829" i="2" s="1"/>
  <c r="AT864" i="2"/>
  <c r="AW876" i="2"/>
  <c r="AT894" i="2"/>
  <c r="AT897" i="2"/>
  <c r="AU897" i="2"/>
  <c r="AP907" i="2"/>
  <c r="AQ907" i="2"/>
  <c r="AC907" i="2"/>
  <c r="Z907" i="2"/>
  <c r="T907" i="2"/>
  <c r="AS907" i="2" s="1"/>
  <c r="AS933" i="2"/>
  <c r="Z964" i="2"/>
  <c r="AS964" i="2"/>
  <c r="AQ964" i="2"/>
  <c r="AR964" i="2" s="1"/>
  <c r="AP964" i="2"/>
  <c r="AU964" i="2" s="1"/>
  <c r="AC964" i="2"/>
  <c r="AT964" i="2" s="1"/>
  <c r="AV964" i="2"/>
  <c r="AW964" i="2" s="1"/>
  <c r="AA964" i="2"/>
  <c r="AW982" i="2"/>
  <c r="AW1018" i="2"/>
  <c r="AU1038" i="2"/>
  <c r="AW1064" i="2"/>
  <c r="AT1091" i="2"/>
  <c r="AP1092" i="2"/>
  <c r="AQ1092" i="2"/>
  <c r="AA1092" i="2"/>
  <c r="Z1092" i="2"/>
  <c r="T1092" i="2"/>
  <c r="AC1092" i="2"/>
  <c r="AV1092" i="2"/>
  <c r="AW1114" i="2"/>
  <c r="AV1203" i="2"/>
  <c r="AW1203" i="2" s="1"/>
  <c r="T1203" i="2"/>
  <c r="AQ1203" i="2"/>
  <c r="AC1203" i="2"/>
  <c r="AP1203" i="2"/>
  <c r="Z1203" i="2"/>
  <c r="AA1203" i="2"/>
  <c r="AS1203" i="2"/>
  <c r="AP1215" i="2"/>
  <c r="AA1215" i="2"/>
  <c r="AV1215" i="2"/>
  <c r="AW1215" i="2" s="1"/>
  <c r="AQ1215" i="2"/>
  <c r="T1215" i="2"/>
  <c r="AC1215" i="2"/>
  <c r="Z1215" i="2"/>
  <c r="AU603" i="2"/>
  <c r="AU629" i="2"/>
  <c r="AQ634" i="2"/>
  <c r="AR634" i="2" s="1"/>
  <c r="AP634" i="2"/>
  <c r="AU634" i="2" s="1"/>
  <c r="AV634" i="2"/>
  <c r="AW634" i="2" s="1"/>
  <c r="AU639" i="2"/>
  <c r="T659" i="2"/>
  <c r="T664" i="2"/>
  <c r="T672" i="2"/>
  <c r="T673" i="2"/>
  <c r="T674" i="2"/>
  <c r="AT674" i="2" s="1"/>
  <c r="AV674" i="2"/>
  <c r="AW684" i="2"/>
  <c r="AA695" i="2"/>
  <c r="AS695" i="2"/>
  <c r="AR695" i="2"/>
  <c r="AW695" i="2"/>
  <c r="AU711" i="2"/>
  <c r="AP712" i="2"/>
  <c r="T712" i="2"/>
  <c r="AW712" i="2" s="1"/>
  <c r="T730" i="2"/>
  <c r="AR730" i="2" s="1"/>
  <c r="AA731" i="2"/>
  <c r="T731" i="2"/>
  <c r="AV731" i="2"/>
  <c r="AT732" i="2"/>
  <c r="AP733" i="2"/>
  <c r="AU733" i="2" s="1"/>
  <c r="AT733" i="2"/>
  <c r="AQ733" i="2"/>
  <c r="AR733" i="2" s="1"/>
  <c r="AP734" i="2"/>
  <c r="AU734" i="2" s="1"/>
  <c r="AC734" i="2"/>
  <c r="AT734" i="2" s="1"/>
  <c r="AA734" i="2"/>
  <c r="AW734" i="2"/>
  <c r="AU741" i="2"/>
  <c r="AS741" i="2"/>
  <c r="AR741" i="2"/>
  <c r="T742" i="2"/>
  <c r="AU746" i="2"/>
  <c r="AS746" i="2"/>
  <c r="AA749" i="2"/>
  <c r="Z749" i="2"/>
  <c r="AV749" i="2"/>
  <c r="AW749" i="2" s="1"/>
  <c r="AW759" i="2"/>
  <c r="AS791" i="2"/>
  <c r="AR791" i="2"/>
  <c r="AC791" i="2"/>
  <c r="AT791" i="2" s="1"/>
  <c r="AA791" i="2"/>
  <c r="Z791" i="2"/>
  <c r="AW792" i="2"/>
  <c r="AW804" i="2"/>
  <c r="T809" i="2"/>
  <c r="AS809" i="2" s="1"/>
  <c r="AT822" i="2"/>
  <c r="AS834" i="2"/>
  <c r="AR834" i="2"/>
  <c r="AU834" i="2"/>
  <c r="T835" i="2"/>
  <c r="AS863" i="2"/>
  <c r="AR863" i="2"/>
  <c r="AC863" i="2"/>
  <c r="AT863" i="2" s="1"/>
  <c r="AA863" i="2"/>
  <c r="Z863" i="2"/>
  <c r="AW864" i="2"/>
  <c r="AC875" i="2"/>
  <c r="AT875" i="2" s="1"/>
  <c r="AA875" i="2"/>
  <c r="AQ875" i="2"/>
  <c r="AR875" i="2" s="1"/>
  <c r="AP875" i="2"/>
  <c r="AU875" i="2" s="1"/>
  <c r="Z875" i="2"/>
  <c r="AW884" i="2"/>
  <c r="AU885" i="2"/>
  <c r="AS885" i="2"/>
  <c r="AR885" i="2"/>
  <c r="T886" i="2"/>
  <c r="AW895" i="2"/>
  <c r="AT902" i="2"/>
  <c r="AW902" i="2"/>
  <c r="AS906" i="2"/>
  <c r="AR906" i="2"/>
  <c r="T937" i="2"/>
  <c r="AQ939" i="2"/>
  <c r="AV939" i="2"/>
  <c r="Z939" i="2"/>
  <c r="T939" i="2"/>
  <c r="AS939" i="2" s="1"/>
  <c r="AP939" i="2"/>
  <c r="AC939" i="2"/>
  <c r="T948" i="2"/>
  <c r="AS948" i="2" s="1"/>
  <c r="T955" i="2"/>
  <c r="AC977" i="2"/>
  <c r="T977" i="2"/>
  <c r="AU977" i="2" s="1"/>
  <c r="AA977" i="2"/>
  <c r="Z977" i="2"/>
  <c r="AW1010" i="2"/>
  <c r="AQ1014" i="2"/>
  <c r="AR1014" i="2" s="1"/>
  <c r="AA1014" i="2"/>
  <c r="AS1014" i="2"/>
  <c r="AP1014" i="2"/>
  <c r="AU1014" i="2" s="1"/>
  <c r="AC1014" i="2"/>
  <c r="AT1014" i="2" s="1"/>
  <c r="AV1014" i="2"/>
  <c r="AW1014" i="2" s="1"/>
  <c r="T1029" i="2"/>
  <c r="AS1031" i="2"/>
  <c r="AR1031" i="2"/>
  <c r="AQ1065" i="2"/>
  <c r="AP1065" i="2"/>
  <c r="AC1065" i="2"/>
  <c r="AA1065" i="2"/>
  <c r="Z1065" i="2"/>
  <c r="AV1065" i="2"/>
  <c r="T1065" i="2"/>
  <c r="AR1076" i="2"/>
  <c r="AS1076" i="2"/>
  <c r="AQ1106" i="2"/>
  <c r="AC1106" i="2"/>
  <c r="AA1106" i="2"/>
  <c r="AP1106" i="2"/>
  <c r="Z1106" i="2"/>
  <c r="T1106" i="2"/>
  <c r="AS1106" i="2" s="1"/>
  <c r="AV1106" i="2"/>
  <c r="AW1106" i="2" s="1"/>
  <c r="AC803" i="2"/>
  <c r="AT803" i="2" s="1"/>
  <c r="AA803" i="2"/>
  <c r="AQ803" i="2"/>
  <c r="AR803" i="2" s="1"/>
  <c r="AP803" i="2"/>
  <c r="AU803" i="2" s="1"/>
  <c r="Z803" i="2"/>
  <c r="AW812" i="2"/>
  <c r="AU813" i="2"/>
  <c r="AS813" i="2"/>
  <c r="AR813" i="2"/>
  <c r="AW822" i="2"/>
  <c r="AT828" i="2"/>
  <c r="AT830" i="2"/>
  <c r="AV833" i="2"/>
  <c r="T833" i="2"/>
  <c r="AT833" i="2" s="1"/>
  <c r="AQ833" i="2"/>
  <c r="AT866" i="2"/>
  <c r="AP880" i="2"/>
  <c r="T880" i="2"/>
  <c r="AS880" i="2" s="1"/>
  <c r="AV880" i="2"/>
  <c r="AT880" i="2"/>
  <c r="AQ880" i="2"/>
  <c r="AC893" i="2"/>
  <c r="AT893" i="2" s="1"/>
  <c r="AA893" i="2"/>
  <c r="AU893" i="2"/>
  <c r="AS893" i="2"/>
  <c r="AR893" i="2"/>
  <c r="AQ896" i="2"/>
  <c r="AP896" i="2"/>
  <c r="AC896" i="2"/>
  <c r="AT896" i="2" s="1"/>
  <c r="AA896" i="2"/>
  <c r="Z896" i="2"/>
  <c r="AW900" i="2"/>
  <c r="AT903" i="2"/>
  <c r="Z905" i="2"/>
  <c r="AV905" i="2"/>
  <c r="T905" i="2"/>
  <c r="AP905" i="2"/>
  <c r="AC905" i="2"/>
  <c r="AA905" i="2"/>
  <c r="Z919" i="2"/>
  <c r="AV919" i="2"/>
  <c r="AQ919" i="2"/>
  <c r="AP919" i="2"/>
  <c r="AA919" i="2"/>
  <c r="AC919" i="2"/>
  <c r="T919" i="2"/>
  <c r="AQ924" i="2"/>
  <c r="AR924" i="2" s="1"/>
  <c r="AS924" i="2"/>
  <c r="AV924" i="2"/>
  <c r="AW924" i="2" s="1"/>
  <c r="AP924" i="2"/>
  <c r="AU924" i="2" s="1"/>
  <c r="AC924" i="2"/>
  <c r="AT924" i="2" s="1"/>
  <c r="AA924" i="2"/>
  <c r="Z924" i="2"/>
  <c r="AT932" i="2"/>
  <c r="AS932" i="2"/>
  <c r="AS951" i="2"/>
  <c r="AR989" i="2"/>
  <c r="AQ999" i="2"/>
  <c r="AR999" i="2" s="1"/>
  <c r="AV999" i="2"/>
  <c r="AW999" i="2" s="1"/>
  <c r="AP999" i="2"/>
  <c r="AU999" i="2" s="1"/>
  <c r="AS999" i="2"/>
  <c r="AC999" i="2"/>
  <c r="AT999" i="2" s="1"/>
  <c r="AA999" i="2"/>
  <c r="Z999" i="2"/>
  <c r="AS1007" i="2"/>
  <c r="AR1007" i="2"/>
  <c r="Z1054" i="2"/>
  <c r="AQ1054" i="2"/>
  <c r="AP1054" i="2"/>
  <c r="AV1054" i="2"/>
  <c r="AA1054" i="2"/>
  <c r="T1054" i="2"/>
  <c r="AC1054" i="2"/>
  <c r="AQ1127" i="2"/>
  <c r="T1127" i="2"/>
  <c r="AP1127" i="2"/>
  <c r="AV1127" i="2"/>
  <c r="AW1127" i="2" s="1"/>
  <c r="AA1127" i="2"/>
  <c r="Z1127" i="2"/>
  <c r="AC1127" i="2"/>
  <c r="AT1127" i="2" s="1"/>
  <c r="AS1156" i="2"/>
  <c r="AP752" i="2"/>
  <c r="AU752" i="2" s="1"/>
  <c r="AS752" i="2"/>
  <c r="AQ752" i="2"/>
  <c r="AR752" i="2" s="1"/>
  <c r="AT753" i="2"/>
  <c r="AT789" i="2"/>
  <c r="AT794" i="2"/>
  <c r="AT795" i="2"/>
  <c r="AP808" i="2"/>
  <c r="T808" i="2"/>
  <c r="AV808" i="2"/>
  <c r="AQ808" i="2"/>
  <c r="AC821" i="2"/>
  <c r="AT821" i="2" s="1"/>
  <c r="AA821" i="2"/>
  <c r="AU821" i="2"/>
  <c r="AS821" i="2"/>
  <c r="AR821" i="2"/>
  <c r="AP829" i="2"/>
  <c r="AU829" i="2" s="1"/>
  <c r="AQ829" i="2"/>
  <c r="AR829" i="2" s="1"/>
  <c r="AC829" i="2"/>
  <c r="AT829" i="2" s="1"/>
  <c r="AA829" i="2"/>
  <c r="Z829" i="2"/>
  <c r="AT861" i="2"/>
  <c r="AT870" i="2"/>
  <c r="AP901" i="2"/>
  <c r="AU901" i="2" s="1"/>
  <c r="AA901" i="2"/>
  <c r="AT901" i="2"/>
  <c r="AS901" i="2"/>
  <c r="AR901" i="2"/>
  <c r="AU902" i="2"/>
  <c r="AT923" i="2"/>
  <c r="AQ936" i="2"/>
  <c r="AA936" i="2"/>
  <c r="AP936" i="2"/>
  <c r="AC936" i="2"/>
  <c r="Z936" i="2"/>
  <c r="T936" i="2"/>
  <c r="AS936" i="2" s="1"/>
  <c r="AU960" i="2"/>
  <c r="AU987" i="2"/>
  <c r="AW1026" i="2"/>
  <c r="Z1048" i="2"/>
  <c r="T1048" i="2"/>
  <c r="AQ1048" i="2"/>
  <c r="AV1048" i="2"/>
  <c r="AP1048" i="2"/>
  <c r="AC1048" i="2"/>
  <c r="AV1077" i="2"/>
  <c r="AV1104" i="2"/>
  <c r="T1104" i="2"/>
  <c r="AP1104" i="2"/>
  <c r="AC1104" i="2"/>
  <c r="AT1104" i="2" s="1"/>
  <c r="AA1104" i="2"/>
  <c r="Z1104" i="2"/>
  <c r="AQ1104" i="2"/>
  <c r="AQ954" i="2"/>
  <c r="T954" i="2"/>
  <c r="AS954" i="2" s="1"/>
  <c r="AP954" i="2"/>
  <c r="AC954" i="2"/>
  <c r="AS962" i="2"/>
  <c r="AQ975" i="2"/>
  <c r="AV975" i="2"/>
  <c r="T975" i="2"/>
  <c r="AC975" i="2"/>
  <c r="AA975" i="2"/>
  <c r="Z975" i="2"/>
  <c r="AQ984" i="2"/>
  <c r="AA984" i="2"/>
  <c r="AC984" i="2"/>
  <c r="Z984" i="2"/>
  <c r="Z994" i="2"/>
  <c r="AQ994" i="2"/>
  <c r="AC994" i="2"/>
  <c r="AA994" i="2"/>
  <c r="AV995" i="2"/>
  <c r="Z995" i="2"/>
  <c r="T995" i="2"/>
  <c r="AU995" i="2" s="1"/>
  <c r="AT998" i="2"/>
  <c r="AQ1002" i="2"/>
  <c r="T1002" i="2"/>
  <c r="AW1002" i="2" s="1"/>
  <c r="AC1002" i="2"/>
  <c r="AA1002" i="2"/>
  <c r="Z1002" i="2"/>
  <c r="AT1022" i="2"/>
  <c r="AW1037" i="2"/>
  <c r="AT1039" i="2"/>
  <c r="AS1039" i="2"/>
  <c r="AR1039" i="2"/>
  <c r="AR1043" i="2"/>
  <c r="AR1047" i="2"/>
  <c r="AT1047" i="2"/>
  <c r="AS1047" i="2"/>
  <c r="Z1060" i="2"/>
  <c r="AP1060" i="2"/>
  <c r="AC1060" i="2"/>
  <c r="AA1060" i="2"/>
  <c r="AV1060" i="2"/>
  <c r="AU1079" i="2"/>
  <c r="AQ1080" i="2"/>
  <c r="AP1080" i="2"/>
  <c r="AC1080" i="2"/>
  <c r="T1080" i="2"/>
  <c r="AV1080" i="2"/>
  <c r="AA1080" i="2"/>
  <c r="AU1164" i="2"/>
  <c r="AQ1169" i="2"/>
  <c r="T1169" i="2"/>
  <c r="AU1169" i="2" s="1"/>
  <c r="AV1169" i="2"/>
  <c r="AW1169" i="2" s="1"/>
  <c r="Z1169" i="2"/>
  <c r="AA1193" i="2"/>
  <c r="T1193" i="2"/>
  <c r="AS1193" i="2" s="1"/>
  <c r="AQ1193" i="2"/>
  <c r="AP1193" i="2"/>
  <c r="AC1193" i="2"/>
  <c r="Z1193" i="2"/>
  <c r="AV1193" i="2"/>
  <c r="AW1193" i="2" s="1"/>
  <c r="AA1208" i="2"/>
  <c r="AP1208" i="2"/>
  <c r="Z1208" i="2"/>
  <c r="AV1208" i="2"/>
  <c r="AW1208" i="2" s="1"/>
  <c r="AQ1208" i="2"/>
  <c r="AC1208" i="2"/>
  <c r="T1208" i="2"/>
  <c r="AS1208" i="2" s="1"/>
  <c r="AT588" i="2"/>
  <c r="AT591" i="2"/>
  <c r="AT594" i="2"/>
  <c r="AT597" i="2"/>
  <c r="AT600" i="2"/>
  <c r="AT603" i="2"/>
  <c r="AT606" i="2"/>
  <c r="AT609" i="2"/>
  <c r="AT612" i="2"/>
  <c r="AT615" i="2"/>
  <c r="AT618" i="2"/>
  <c r="AT621" i="2"/>
  <c r="AT630" i="2"/>
  <c r="AT633" i="2"/>
  <c r="AT636" i="2"/>
  <c r="AT639" i="2"/>
  <c r="AT642" i="2"/>
  <c r="AT645" i="2"/>
  <c r="AT648" i="2"/>
  <c r="AT651" i="2"/>
  <c r="AT657" i="2"/>
  <c r="AT660" i="2"/>
  <c r="AT663" i="2"/>
  <c r="AT666" i="2"/>
  <c r="AU670" i="2"/>
  <c r="AU680" i="2"/>
  <c r="AU703" i="2"/>
  <c r="AP736" i="2"/>
  <c r="AU736" i="2" s="1"/>
  <c r="AV736" i="2"/>
  <c r="AW736" i="2" s="1"/>
  <c r="AS737" i="2"/>
  <c r="AT750" i="2"/>
  <c r="AS751" i="2"/>
  <c r="AR755" i="2"/>
  <c r="AT759" i="2"/>
  <c r="AU759" i="2"/>
  <c r="AU765" i="2"/>
  <c r="AP766" i="2"/>
  <c r="AU766" i="2" s="1"/>
  <c r="AS766" i="2"/>
  <c r="AR766" i="2"/>
  <c r="AW766" i="2"/>
  <c r="AP778" i="2"/>
  <c r="AU778" i="2" s="1"/>
  <c r="AA778" i="2"/>
  <c r="Z778" i="2"/>
  <c r="AW778" i="2"/>
  <c r="AT786" i="2"/>
  <c r="AS788" i="2"/>
  <c r="AP799" i="2"/>
  <c r="AU799" i="2" s="1"/>
  <c r="AQ799" i="2"/>
  <c r="AR799" i="2" s="1"/>
  <c r="AC799" i="2"/>
  <c r="AT799" i="2" s="1"/>
  <c r="AW799" i="2"/>
  <c r="AT800" i="2"/>
  <c r="AQ806" i="2"/>
  <c r="AR806" i="2" s="1"/>
  <c r="AP806" i="2"/>
  <c r="AU806" i="2" s="1"/>
  <c r="AV806" i="2"/>
  <c r="AW806" i="2" s="1"/>
  <c r="AS812" i="2"/>
  <c r="AS819" i="2"/>
  <c r="AT820" i="2"/>
  <c r="AT827" i="2"/>
  <c r="AU830" i="2"/>
  <c r="AU831" i="2"/>
  <c r="AT832" i="2"/>
  <c r="AU837" i="2"/>
  <c r="AP838" i="2"/>
  <c r="AU838" i="2" s="1"/>
  <c r="AS838" i="2"/>
  <c r="AR838" i="2"/>
  <c r="AW838" i="2"/>
  <c r="AS846" i="2"/>
  <c r="AP850" i="2"/>
  <c r="AU850" i="2" s="1"/>
  <c r="AA850" i="2"/>
  <c r="Z850" i="2"/>
  <c r="AW850" i="2"/>
  <c r="AT858" i="2"/>
  <c r="AS860" i="2"/>
  <c r="AT865" i="2"/>
  <c r="AP871" i="2"/>
  <c r="AU871" i="2" s="1"/>
  <c r="AQ871" i="2"/>
  <c r="AR871" i="2" s="1"/>
  <c r="AC871" i="2"/>
  <c r="AT871" i="2" s="1"/>
  <c r="AW871" i="2"/>
  <c r="AT872" i="2"/>
  <c r="AQ878" i="2"/>
  <c r="AR878" i="2" s="1"/>
  <c r="AP878" i="2"/>
  <c r="AU878" i="2" s="1"/>
  <c r="AV878" i="2"/>
  <c r="AW878" i="2" s="1"/>
  <c r="AS884" i="2"/>
  <c r="AS891" i="2"/>
  <c r="AT892" i="2"/>
  <c r="AP898" i="2"/>
  <c r="T898" i="2"/>
  <c r="AV898" i="2"/>
  <c r="AU899" i="2"/>
  <c r="AS899" i="2"/>
  <c r="AR899" i="2"/>
  <c r="AW899" i="2"/>
  <c r="AS900" i="2"/>
  <c r="AU911" i="2"/>
  <c r="AA911" i="2"/>
  <c r="AT911" i="2"/>
  <c r="AQ911" i="2"/>
  <c r="AR911" i="2" s="1"/>
  <c r="AC917" i="2"/>
  <c r="AT917" i="2" s="1"/>
  <c r="AW917" i="2"/>
  <c r="AS917" i="2"/>
  <c r="AQ917" i="2"/>
  <c r="AR917" i="2" s="1"/>
  <c r="AP917" i="2"/>
  <c r="AU917" i="2" s="1"/>
  <c r="AV935" i="2"/>
  <c r="AW935" i="2" s="1"/>
  <c r="AP935" i="2"/>
  <c r="AU935" i="2" s="1"/>
  <c r="AS935" i="2"/>
  <c r="AQ935" i="2"/>
  <c r="AR935" i="2" s="1"/>
  <c r="AC935" i="2"/>
  <c r="AT935" i="2" s="1"/>
  <c r="AQ945" i="2"/>
  <c r="AR945" i="2" s="1"/>
  <c r="AC945" i="2"/>
  <c r="AT945" i="2" s="1"/>
  <c r="AS945" i="2"/>
  <c r="AP945" i="2"/>
  <c r="AU945" i="2" s="1"/>
  <c r="AV957" i="2"/>
  <c r="AW957" i="2" s="1"/>
  <c r="AV958" i="2"/>
  <c r="AV966" i="2"/>
  <c r="Z1012" i="2"/>
  <c r="AS1012" i="2"/>
  <c r="AQ1012" i="2"/>
  <c r="AR1012" i="2" s="1"/>
  <c r="AP1012" i="2"/>
  <c r="AC1012" i="2"/>
  <c r="AQ1017" i="2"/>
  <c r="AR1017" i="2" s="1"/>
  <c r="AC1017" i="2"/>
  <c r="AT1017" i="2" s="1"/>
  <c r="AA1017" i="2"/>
  <c r="AP1017" i="2"/>
  <c r="AU1017" i="2" s="1"/>
  <c r="Z1017" i="2"/>
  <c r="AW1021" i="2"/>
  <c r="AT1023" i="2"/>
  <c r="AS1023" i="2"/>
  <c r="AR1023" i="2"/>
  <c r="AQ1028" i="2"/>
  <c r="AR1028" i="2" s="1"/>
  <c r="AP1028" i="2"/>
  <c r="AU1028" i="2" s="1"/>
  <c r="AS1028" i="2"/>
  <c r="AC1028" i="2"/>
  <c r="AT1028" i="2" s="1"/>
  <c r="AA1028" i="2"/>
  <c r="Z1028" i="2"/>
  <c r="AW1034" i="2"/>
  <c r="AW1036" i="2"/>
  <c r="AT1042" i="2"/>
  <c r="AS1042" i="2"/>
  <c r="AR1042" i="2"/>
  <c r="AS1064" i="2"/>
  <c r="AR1064" i="2"/>
  <c r="AS1090" i="2"/>
  <c r="AS1091" i="2"/>
  <c r="AU1091" i="2"/>
  <c r="AR1091" i="2"/>
  <c r="AT1132" i="2"/>
  <c r="AS1177" i="2"/>
  <c r="AQ1184" i="2"/>
  <c r="AP1184" i="2"/>
  <c r="AU1184" i="2" s="1"/>
  <c r="AC1184" i="2"/>
  <c r="T1184" i="2"/>
  <c r="AS1184" i="2" s="1"/>
  <c r="AA1184" i="2"/>
  <c r="Z1184" i="2"/>
  <c r="AV670" i="2"/>
  <c r="AW670" i="2" s="1"/>
  <c r="AV680" i="2"/>
  <c r="AW680" i="2" s="1"/>
  <c r="AV689" i="2"/>
  <c r="T689" i="2"/>
  <c r="AU693" i="2"/>
  <c r="AP694" i="2"/>
  <c r="AU694" i="2" s="1"/>
  <c r="AV694" i="2"/>
  <c r="AW694" i="2" s="1"/>
  <c r="AT699" i="2"/>
  <c r="AV703" i="2"/>
  <c r="AW703" i="2" s="1"/>
  <c r="AT708" i="2"/>
  <c r="AU713" i="2"/>
  <c r="AT722" i="2"/>
  <c r="AR726" i="2"/>
  <c r="AP727" i="2"/>
  <c r="AU727" i="2" s="1"/>
  <c r="AC727" i="2"/>
  <c r="AT727" i="2" s="1"/>
  <c r="AV727" i="2"/>
  <c r="AW727" i="2" s="1"/>
  <c r="AT737" i="2"/>
  <c r="AW750" i="2"/>
  <c r="AV755" i="2"/>
  <c r="AW755" i="2" s="1"/>
  <c r="AC767" i="2"/>
  <c r="AT767" i="2" s="1"/>
  <c r="AA767" i="2"/>
  <c r="AV767" i="2"/>
  <c r="AW767" i="2" s="1"/>
  <c r="AV779" i="2"/>
  <c r="T779" i="2"/>
  <c r="AU779" i="2" s="1"/>
  <c r="AW786" i="2"/>
  <c r="AT788" i="2"/>
  <c r="AU793" i="2"/>
  <c r="AS798" i="2"/>
  <c r="AR798" i="2"/>
  <c r="AU800" i="2"/>
  <c r="AT812" i="2"/>
  <c r="AC839" i="2"/>
  <c r="AT839" i="2" s="1"/>
  <c r="AA839" i="2"/>
  <c r="AV839" i="2"/>
  <c r="AW839" i="2" s="1"/>
  <c r="AT846" i="2"/>
  <c r="AU846" i="2"/>
  <c r="AV851" i="2"/>
  <c r="T851" i="2"/>
  <c r="AU851" i="2" s="1"/>
  <c r="AW858" i="2"/>
  <c r="AT860" i="2"/>
  <c r="AU865" i="2"/>
  <c r="AS870" i="2"/>
  <c r="AR870" i="2"/>
  <c r="AU872" i="2"/>
  <c r="AT884" i="2"/>
  <c r="AT900" i="2"/>
  <c r="Z910" i="2"/>
  <c r="AR910" i="2"/>
  <c r="AW910" i="2"/>
  <c r="AU910" i="2"/>
  <c r="AT910" i="2"/>
  <c r="AQ914" i="2"/>
  <c r="T914" i="2"/>
  <c r="AW914" i="2" s="1"/>
  <c r="AU915" i="2"/>
  <c r="AQ930" i="2"/>
  <c r="AR930" i="2" s="1"/>
  <c r="AP930" i="2"/>
  <c r="AU930" i="2" s="1"/>
  <c r="AA930" i="2"/>
  <c r="AW930" i="2"/>
  <c r="AS934" i="2"/>
  <c r="AU953" i="2"/>
  <c r="AC953" i="2"/>
  <c r="AT953" i="2" s="1"/>
  <c r="AS953" i="2"/>
  <c r="AQ953" i="2"/>
  <c r="AR953" i="2" s="1"/>
  <c r="AT962" i="2"/>
  <c r="Z974" i="2"/>
  <c r="AQ974" i="2"/>
  <c r="AR974" i="2" s="1"/>
  <c r="AP974" i="2"/>
  <c r="AU974" i="2" s="1"/>
  <c r="AC974" i="2"/>
  <c r="AT974" i="2" s="1"/>
  <c r="AA974" i="2"/>
  <c r="AV983" i="2"/>
  <c r="AW983" i="2" s="1"/>
  <c r="AP983" i="2"/>
  <c r="AU983" i="2" s="1"/>
  <c r="AC983" i="2"/>
  <c r="AT983" i="2" s="1"/>
  <c r="AA983" i="2"/>
  <c r="Z983" i="2"/>
  <c r="T984" i="2"/>
  <c r="AS984" i="2" s="1"/>
  <c r="AQ993" i="2"/>
  <c r="AC993" i="2"/>
  <c r="AT993" i="2" s="1"/>
  <c r="AP993" i="2"/>
  <c r="AU993" i="2" s="1"/>
  <c r="AA993" i="2"/>
  <c r="Z993" i="2"/>
  <c r="T994" i="2"/>
  <c r="AC1001" i="2"/>
  <c r="AT1001" i="2" s="1"/>
  <c r="AQ1001" i="2"/>
  <c r="AR1001" i="2" s="1"/>
  <c r="AP1001" i="2"/>
  <c r="AU1001" i="2" s="1"/>
  <c r="AA1001" i="2"/>
  <c r="Z1001" i="2"/>
  <c r="AW1020" i="2"/>
  <c r="Z1033" i="2"/>
  <c r="AP1033" i="2"/>
  <c r="AC1033" i="2"/>
  <c r="AA1033" i="2"/>
  <c r="T1033" i="2"/>
  <c r="AS1046" i="2"/>
  <c r="AR1046" i="2"/>
  <c r="T1060" i="2"/>
  <c r="AS1060" i="2" s="1"/>
  <c r="AW1078" i="2"/>
  <c r="AR1078" i="2"/>
  <c r="AS1079" i="2"/>
  <c r="AR1079" i="2"/>
  <c r="AP1117" i="2"/>
  <c r="AU1117" i="2" s="1"/>
  <c r="AC1117" i="2"/>
  <c r="AT1117" i="2" s="1"/>
  <c r="AA1117" i="2"/>
  <c r="AQ1117" i="2"/>
  <c r="AR1117" i="2" s="1"/>
  <c r="Z1117" i="2"/>
  <c r="AS1117" i="2"/>
  <c r="AV1117" i="2"/>
  <c r="AW1117" i="2" s="1"/>
  <c r="AU1140" i="2"/>
  <c r="AA1144" i="2"/>
  <c r="T1144" i="2"/>
  <c r="AC1144" i="2"/>
  <c r="Z1144" i="2"/>
  <c r="AQ1144" i="2"/>
  <c r="AV1144" i="2"/>
  <c r="AW1144" i="2" s="1"/>
  <c r="AP1144" i="2"/>
  <c r="AC1155" i="2"/>
  <c r="Z1155" i="2"/>
  <c r="AP1155" i="2"/>
  <c r="AA1155" i="2"/>
  <c r="AQ1155" i="2"/>
  <c r="AV1155" i="2"/>
  <c r="AW1155" i="2" s="1"/>
  <c r="T1155" i="2"/>
  <c r="AS1155" i="2" s="1"/>
  <c r="AQ1160" i="2"/>
  <c r="AP1160" i="2"/>
  <c r="AC1160" i="2"/>
  <c r="AA1160" i="2"/>
  <c r="Z1160" i="2"/>
  <c r="AV1160" i="2"/>
  <c r="AW1160" i="2" s="1"/>
  <c r="T1160" i="2"/>
  <c r="AC1191" i="2"/>
  <c r="Z1191" i="2"/>
  <c r="AP1191" i="2"/>
  <c r="AA1191" i="2"/>
  <c r="AQ1191" i="2"/>
  <c r="T1191" i="2"/>
  <c r="AS1191" i="2" s="1"/>
  <c r="AV1191" i="2"/>
  <c r="AW1191" i="2" s="1"/>
  <c r="AR1198" i="2"/>
  <c r="AS1198" i="2"/>
  <c r="AP1198" i="2"/>
  <c r="AU1198" i="2" s="1"/>
  <c r="AV1198" i="2"/>
  <c r="AW1198" i="2" s="1"/>
  <c r="AQ1198" i="2"/>
  <c r="AC1198" i="2"/>
  <c r="AT1198" i="2" s="1"/>
  <c r="AA1198" i="2"/>
  <c r="Z1198" i="2"/>
  <c r="AU737" i="2"/>
  <c r="AT741" i="2"/>
  <c r="AP751" i="2"/>
  <c r="AU751" i="2" s="1"/>
  <c r="AT751" i="2"/>
  <c r="AV751" i="2"/>
  <c r="AW751" i="2" s="1"/>
  <c r="AT780" i="2"/>
  <c r="AP826" i="2"/>
  <c r="T826" i="2"/>
  <c r="AV826" i="2"/>
  <c r="AW826" i="2" s="1"/>
  <c r="AS827" i="2"/>
  <c r="AR827" i="2"/>
  <c r="AV827" i="2"/>
  <c r="AW827" i="2" s="1"/>
  <c r="AT852" i="2"/>
  <c r="AT879" i="2"/>
  <c r="AW909" i="2"/>
  <c r="AC929" i="2"/>
  <c r="AT929" i="2" s="1"/>
  <c r="AS929" i="2"/>
  <c r="AP929" i="2"/>
  <c r="AU929" i="2" s="1"/>
  <c r="Z929" i="2"/>
  <c r="Z931" i="2"/>
  <c r="AV931" i="2"/>
  <c r="AA931" i="2"/>
  <c r="T931" i="2"/>
  <c r="AQ933" i="2"/>
  <c r="AR933" i="2" s="1"/>
  <c r="AC933" i="2"/>
  <c r="AT933" i="2" s="1"/>
  <c r="AW933" i="2"/>
  <c r="AU933" i="2"/>
  <c r="Z958" i="2"/>
  <c r="AA958" i="2"/>
  <c r="AC958" i="2"/>
  <c r="T958" i="2"/>
  <c r="AQ966" i="2"/>
  <c r="AT966" i="2"/>
  <c r="AA966" i="2"/>
  <c r="Z966" i="2"/>
  <c r="Z967" i="2"/>
  <c r="AV967" i="2"/>
  <c r="AQ967" i="2"/>
  <c r="T967" i="2"/>
  <c r="AU969" i="2"/>
  <c r="AS1026" i="2"/>
  <c r="AR1026" i="2"/>
  <c r="AQ1041" i="2"/>
  <c r="AR1041" i="2" s="1"/>
  <c r="AC1041" i="2"/>
  <c r="AT1041" i="2" s="1"/>
  <c r="AA1041" i="2"/>
  <c r="AV1041" i="2"/>
  <c r="AW1041" i="2" s="1"/>
  <c r="AU1041" i="2"/>
  <c r="AR1063" i="2"/>
  <c r="AA1096" i="2"/>
  <c r="AS1096" i="2"/>
  <c r="AQ1096" i="2"/>
  <c r="AP1096" i="2"/>
  <c r="T1096" i="2"/>
  <c r="AT1096" i="2" s="1"/>
  <c r="AV1096" i="2"/>
  <c r="AW1096" i="2" s="1"/>
  <c r="AR1132" i="2"/>
  <c r="AS1204" i="2"/>
  <c r="Z1228" i="2"/>
  <c r="AV1228" i="2"/>
  <c r="AW1228" i="2" s="1"/>
  <c r="AS1228" i="2"/>
  <c r="AQ1228" i="2"/>
  <c r="AR1228" i="2" s="1"/>
  <c r="AP1228" i="2"/>
  <c r="AU1228" i="2" s="1"/>
  <c r="AC1228" i="2"/>
  <c r="AT1228" i="2" s="1"/>
  <c r="AA1228" i="2"/>
  <c r="AT768" i="2"/>
  <c r="AP781" i="2"/>
  <c r="AU781" i="2" s="1"/>
  <c r="AQ781" i="2"/>
  <c r="AR781" i="2" s="1"/>
  <c r="AC781" i="2"/>
  <c r="AT781" i="2" s="1"/>
  <c r="AW781" i="2"/>
  <c r="AQ788" i="2"/>
  <c r="AP788" i="2"/>
  <c r="AU788" i="2" s="1"/>
  <c r="AV788" i="2"/>
  <c r="AW788" i="2" s="1"/>
  <c r="AU812" i="2"/>
  <c r="AT813" i="2"/>
  <c r="AU819" i="2"/>
  <c r="AP820" i="2"/>
  <c r="AU820" i="2" s="1"/>
  <c r="AS820" i="2"/>
  <c r="AR820" i="2"/>
  <c r="AW820" i="2"/>
  <c r="AP832" i="2"/>
  <c r="AU832" i="2" s="1"/>
  <c r="AA832" i="2"/>
  <c r="Z832" i="2"/>
  <c r="AW832" i="2"/>
  <c r="AT840" i="2"/>
  <c r="AP853" i="2"/>
  <c r="AU853" i="2" s="1"/>
  <c r="AQ853" i="2"/>
  <c r="AR853" i="2" s="1"/>
  <c r="AC853" i="2"/>
  <c r="AT853" i="2" s="1"/>
  <c r="AW853" i="2"/>
  <c r="AQ860" i="2"/>
  <c r="AR860" i="2" s="1"/>
  <c r="AP860" i="2"/>
  <c r="AU860" i="2" s="1"/>
  <c r="AV860" i="2"/>
  <c r="AW860" i="2" s="1"/>
  <c r="AU884" i="2"/>
  <c r="AT885" i="2"/>
  <c r="AU891" i="2"/>
  <c r="AP892" i="2"/>
  <c r="AU892" i="2" s="1"/>
  <c r="AS892" i="2"/>
  <c r="AR892" i="2"/>
  <c r="AW892" i="2"/>
  <c r="AQ927" i="2"/>
  <c r="AV927" i="2"/>
  <c r="T927" i="2"/>
  <c r="AP927" i="2"/>
  <c r="AC927" i="2"/>
  <c r="AT944" i="2"/>
  <c r="AS944" i="2"/>
  <c r="AU952" i="2"/>
  <c r="Z954" i="2"/>
  <c r="AQ957" i="2"/>
  <c r="AR957" i="2" s="1"/>
  <c r="AC957" i="2"/>
  <c r="AT957" i="2" s="1"/>
  <c r="AP957" i="2"/>
  <c r="AU957" i="2" s="1"/>
  <c r="AA957" i="2"/>
  <c r="Z957" i="2"/>
  <c r="AP975" i="2"/>
  <c r="Z982" i="2"/>
  <c r="AQ982" i="2"/>
  <c r="AR982" i="2" s="1"/>
  <c r="AP982" i="2"/>
  <c r="AU982" i="2" s="1"/>
  <c r="AC982" i="2"/>
  <c r="AT982" i="2" s="1"/>
  <c r="Z991" i="2"/>
  <c r="AV991" i="2"/>
  <c r="T991" i="2"/>
  <c r="AS991" i="2" s="1"/>
  <c r="AQ991" i="2"/>
  <c r="AP991" i="2"/>
  <c r="AA995" i="2"/>
  <c r="AP1002" i="2"/>
  <c r="AS1010" i="2"/>
  <c r="AR1010" i="2"/>
  <c r="AS1011" i="2"/>
  <c r="AQ1016" i="2"/>
  <c r="T1016" i="2"/>
  <c r="AW1016" i="2" s="1"/>
  <c r="AC1016" i="2"/>
  <c r="AA1016" i="2"/>
  <c r="Z1016" i="2"/>
  <c r="AU1025" i="2"/>
  <c r="AC1025" i="2"/>
  <c r="AT1025" i="2" s="1"/>
  <c r="AA1025" i="2"/>
  <c r="AV1025" i="2"/>
  <c r="AW1025" i="2" s="1"/>
  <c r="AS1025" i="2"/>
  <c r="AR1025" i="2"/>
  <c r="AQ1032" i="2"/>
  <c r="T1032" i="2"/>
  <c r="AA1032" i="2"/>
  <c r="Z1032" i="2"/>
  <c r="Z1045" i="2"/>
  <c r="AP1045" i="2"/>
  <c r="AU1045" i="2" s="1"/>
  <c r="AC1045" i="2"/>
  <c r="AT1045" i="2" s="1"/>
  <c r="AS1045" i="2"/>
  <c r="AR1045" i="2"/>
  <c r="AV1045" i="2"/>
  <c r="AW1045" i="2" s="1"/>
  <c r="AW1061" i="2"/>
  <c r="Z1080" i="2"/>
  <c r="AA1169" i="2"/>
  <c r="AT675" i="2"/>
  <c r="AT693" i="2"/>
  <c r="AT711" i="2"/>
  <c r="AT729" i="2"/>
  <c r="AT747" i="2"/>
  <c r="AT765" i="2"/>
  <c r="AT769" i="2"/>
  <c r="AT783" i="2"/>
  <c r="AT787" i="2"/>
  <c r="AT801" i="2"/>
  <c r="AT805" i="2"/>
  <c r="AT819" i="2"/>
  <c r="AT823" i="2"/>
  <c r="AT837" i="2"/>
  <c r="AT841" i="2"/>
  <c r="AT855" i="2"/>
  <c r="AT859" i="2"/>
  <c r="AT873" i="2"/>
  <c r="AT891" i="2"/>
  <c r="AT895" i="2"/>
  <c r="AR916" i="2"/>
  <c r="Z922" i="2"/>
  <c r="T922" i="2"/>
  <c r="AV922" i="2"/>
  <c r="AT925" i="2"/>
  <c r="AU932" i="2"/>
  <c r="AR932" i="2"/>
  <c r="AV932" i="2"/>
  <c r="AW932" i="2" s="1"/>
  <c r="AR934" i="2"/>
  <c r="AC941" i="2"/>
  <c r="AT941" i="2" s="1"/>
  <c r="AP941" i="2"/>
  <c r="AU941" i="2" s="1"/>
  <c r="AW941" i="2"/>
  <c r="AU950" i="2"/>
  <c r="AS950" i="2"/>
  <c r="AV950" i="2"/>
  <c r="AW950" i="2" s="1"/>
  <c r="AT951" i="2"/>
  <c r="AV959" i="2"/>
  <c r="T959" i="2"/>
  <c r="AU959" i="2" s="1"/>
  <c r="AR962" i="2"/>
  <c r="AU968" i="2"/>
  <c r="AR968" i="2"/>
  <c r="AA968" i="2"/>
  <c r="AW968" i="2"/>
  <c r="AQ978" i="2"/>
  <c r="AR978" i="2" s="1"/>
  <c r="AP978" i="2"/>
  <c r="AU978" i="2" s="1"/>
  <c r="AV978" i="2"/>
  <c r="AW978" i="2" s="1"/>
  <c r="AT979" i="2"/>
  <c r="AQ980" i="2"/>
  <c r="AR980" i="2" s="1"/>
  <c r="T986" i="2"/>
  <c r="AV986" i="2"/>
  <c r="AU988" i="2"/>
  <c r="AS989" i="2"/>
  <c r="AQ996" i="2"/>
  <c r="AR996" i="2" s="1"/>
  <c r="AS996" i="2"/>
  <c r="AV996" i="2"/>
  <c r="AW996" i="2" s="1"/>
  <c r="AT997" i="2"/>
  <c r="AQ998" i="2"/>
  <c r="AR998" i="2" s="1"/>
  <c r="AQ1005" i="2"/>
  <c r="AR1005" i="2" s="1"/>
  <c r="AC1005" i="2"/>
  <c r="AT1005" i="2" s="1"/>
  <c r="AA1005" i="2"/>
  <c r="Z1006" i="2"/>
  <c r="AC1006" i="2"/>
  <c r="AT1006" i="2" s="1"/>
  <c r="AV1006" i="2"/>
  <c r="AW1006" i="2" s="1"/>
  <c r="AQ1053" i="2"/>
  <c r="AR1053" i="2" s="1"/>
  <c r="AP1053" i="2"/>
  <c r="AU1053" i="2" s="1"/>
  <c r="AT1053" i="2"/>
  <c r="AS1053" i="2"/>
  <c r="AV1053" i="2"/>
  <c r="AW1053" i="2" s="1"/>
  <c r="AV1066" i="2"/>
  <c r="AW1066" i="2" s="1"/>
  <c r="AU1070" i="2"/>
  <c r="AC1105" i="2"/>
  <c r="AQ1105" i="2"/>
  <c r="Z1105" i="2"/>
  <c r="T1105" i="2"/>
  <c r="AV1105" i="2"/>
  <c r="AW1105" i="2" s="1"/>
  <c r="AQ1124" i="2"/>
  <c r="AP1124" i="2"/>
  <c r="AC1124" i="2"/>
  <c r="AA1124" i="2"/>
  <c r="Z1124" i="2"/>
  <c r="T1124" i="2"/>
  <c r="AS1165" i="2"/>
  <c r="AC1185" i="2"/>
  <c r="Z1185" i="2"/>
  <c r="AP1185" i="2"/>
  <c r="AA1185" i="2"/>
  <c r="AQ1185" i="2"/>
  <c r="T1185" i="2"/>
  <c r="AW1185" i="2"/>
  <c r="AQ1227" i="2"/>
  <c r="AP1227" i="2"/>
  <c r="AU1227" i="2" s="1"/>
  <c r="AV1227" i="2"/>
  <c r="AC1227" i="2"/>
  <c r="AA1227" i="2"/>
  <c r="T1227" i="2"/>
  <c r="AS1227" i="2" s="1"/>
  <c r="AR1229" i="2"/>
  <c r="AS1229" i="2"/>
  <c r="AW1229" i="2"/>
  <c r="AP1253" i="2"/>
  <c r="AU1253" i="2" s="1"/>
  <c r="AA1253" i="2"/>
  <c r="T1253" i="2"/>
  <c r="AV1253" i="2"/>
  <c r="AW1253" i="2" s="1"/>
  <c r="AQ1253" i="2"/>
  <c r="Z1253" i="2"/>
  <c r="AC1253" i="2"/>
  <c r="AU769" i="2"/>
  <c r="AU787" i="2"/>
  <c r="AU805" i="2"/>
  <c r="AU823" i="2"/>
  <c r="AU841" i="2"/>
  <c r="AU859" i="2"/>
  <c r="AU877" i="2"/>
  <c r="AU895" i="2"/>
  <c r="AQ915" i="2"/>
  <c r="AR915" i="2" s="1"/>
  <c r="AA915" i="2"/>
  <c r="AV915" i="2"/>
  <c r="AW915" i="2" s="1"/>
  <c r="AU923" i="2"/>
  <c r="AV923" i="2"/>
  <c r="AW923" i="2" s="1"/>
  <c r="AS923" i="2"/>
  <c r="AQ942" i="2"/>
  <c r="AR942" i="2" s="1"/>
  <c r="Z942" i="2"/>
  <c r="AV942" i="2"/>
  <c r="AW942" i="2" s="1"/>
  <c r="AQ969" i="2"/>
  <c r="AR969" i="2" s="1"/>
  <c r="AC969" i="2"/>
  <c r="AT969" i="2" s="1"/>
  <c r="AV969" i="2"/>
  <c r="AW969" i="2" s="1"/>
  <c r="AQ987" i="2"/>
  <c r="AR987" i="2" s="1"/>
  <c r="AV987" i="2"/>
  <c r="AW987" i="2" s="1"/>
  <c r="AT987" i="2"/>
  <c r="AQ1020" i="2"/>
  <c r="AR1020" i="2" s="1"/>
  <c r="AS1020" i="2"/>
  <c r="AP1020" i="2"/>
  <c r="AU1020" i="2" s="1"/>
  <c r="Z1021" i="2"/>
  <c r="AP1021" i="2"/>
  <c r="AU1021" i="2" s="1"/>
  <c r="AC1021" i="2"/>
  <c r="AT1021" i="2" s="1"/>
  <c r="AR1021" i="2"/>
  <c r="AU1022" i="2"/>
  <c r="AA1022" i="2"/>
  <c r="AV1022" i="2"/>
  <c r="AW1022" i="2" s="1"/>
  <c r="Z1036" i="2"/>
  <c r="AS1036" i="2"/>
  <c r="AQ1036" i="2"/>
  <c r="AR1036" i="2" s="1"/>
  <c r="AU1037" i="2"/>
  <c r="AC1037" i="2"/>
  <c r="AT1037" i="2" s="1"/>
  <c r="AA1037" i="2"/>
  <c r="AQ1037" i="2"/>
  <c r="AR1037" i="2" s="1"/>
  <c r="AQ1038" i="2"/>
  <c r="AR1038" i="2" s="1"/>
  <c r="AA1038" i="2"/>
  <c r="AV1038" i="2"/>
  <c r="AW1038" i="2" s="1"/>
  <c r="AQ1050" i="2"/>
  <c r="AP1050" i="2"/>
  <c r="Z1050" i="2"/>
  <c r="T1050" i="2"/>
  <c r="AQ1101" i="2"/>
  <c r="AR1101" i="2" s="1"/>
  <c r="AC1101" i="2"/>
  <c r="AT1101" i="2" s="1"/>
  <c r="AA1101" i="2"/>
  <c r="AP1101" i="2"/>
  <c r="AU1101" i="2" s="1"/>
  <c r="Z1101" i="2"/>
  <c r="AS1101" i="2"/>
  <c r="AW1112" i="2"/>
  <c r="AQ1148" i="2"/>
  <c r="AP1148" i="2"/>
  <c r="AC1148" i="2"/>
  <c r="T1148" i="2"/>
  <c r="AA1148" i="2"/>
  <c r="Z1148" i="2"/>
  <c r="AU1170" i="2"/>
  <c r="AQ1187" i="2"/>
  <c r="T1187" i="2"/>
  <c r="AS1187" i="2" s="1"/>
  <c r="AA1187" i="2"/>
  <c r="Z1187" i="2"/>
  <c r="AV1187" i="2"/>
  <c r="AW1187" i="2" s="1"/>
  <c r="AP1187" i="2"/>
  <c r="AU1187" i="2" s="1"/>
  <c r="AC1187" i="2"/>
  <c r="AW1232" i="2"/>
  <c r="AR1258" i="2"/>
  <c r="AS1258" i="2"/>
  <c r="AU1258" i="2"/>
  <c r="AQ951" i="2"/>
  <c r="AR951" i="2" s="1"/>
  <c r="AV951" i="2"/>
  <c r="AW951" i="2" s="1"/>
  <c r="AP951" i="2"/>
  <c r="AU951" i="2" s="1"/>
  <c r="Z961" i="2"/>
  <c r="AP961" i="2"/>
  <c r="AU961" i="2" s="1"/>
  <c r="AT961" i="2"/>
  <c r="AW961" i="2"/>
  <c r="Z979" i="2"/>
  <c r="AV979" i="2"/>
  <c r="AW979" i="2" s="1"/>
  <c r="AA979" i="2"/>
  <c r="Z988" i="2"/>
  <c r="AS988" i="2"/>
  <c r="AR988" i="2"/>
  <c r="Z997" i="2"/>
  <c r="AP997" i="2"/>
  <c r="AU997" i="2" s="1"/>
  <c r="AV997" i="2"/>
  <c r="AW997" i="2" s="1"/>
  <c r="AS1052" i="2"/>
  <c r="AW1052" i="2"/>
  <c r="AW1063" i="2"/>
  <c r="Z1066" i="2"/>
  <c r="AA1066" i="2"/>
  <c r="AC1066" i="2"/>
  <c r="AT1066" i="2" s="1"/>
  <c r="AW1067" i="2"/>
  <c r="Z1069" i="2"/>
  <c r="AQ1069" i="2"/>
  <c r="T1069" i="2"/>
  <c r="AU1069" i="2" s="1"/>
  <c r="AT1085" i="2"/>
  <c r="AP1089" i="2"/>
  <c r="AU1089" i="2" s="1"/>
  <c r="AA1089" i="2"/>
  <c r="AS1089" i="2"/>
  <c r="AQ1089" i="2"/>
  <c r="AR1089" i="2" s="1"/>
  <c r="AC1089" i="2"/>
  <c r="AT1089" i="2" s="1"/>
  <c r="Z1089" i="2"/>
  <c r="AW1089" i="2"/>
  <c r="AS1130" i="2"/>
  <c r="AQ1130" i="2"/>
  <c r="AR1130" i="2" s="1"/>
  <c r="AP1130" i="2"/>
  <c r="AU1130" i="2" s="1"/>
  <c r="AC1130" i="2"/>
  <c r="AT1130" i="2" s="1"/>
  <c r="AV1130" i="2"/>
  <c r="AW1130" i="2" s="1"/>
  <c r="AU1150" i="2"/>
  <c r="AA1150" i="2"/>
  <c r="AC1150" i="2"/>
  <c r="AT1150" i="2" s="1"/>
  <c r="Z1150" i="2"/>
  <c r="AV1150" i="2"/>
  <c r="AW1150" i="2" s="1"/>
  <c r="AS1150" i="2"/>
  <c r="AQ1150" i="2"/>
  <c r="AR1150" i="2" s="1"/>
  <c r="AA1162" i="2"/>
  <c r="AQ1162" i="2"/>
  <c r="AP1162" i="2"/>
  <c r="T1162" i="2"/>
  <c r="AT1162" i="2" s="1"/>
  <c r="AV1162" i="2"/>
  <c r="AW1162" i="2" s="1"/>
  <c r="AA1196" i="2"/>
  <c r="AV1196" i="2"/>
  <c r="AW1196" i="2" s="1"/>
  <c r="AP1196" i="2"/>
  <c r="AC1196" i="2"/>
  <c r="Z1196" i="2"/>
  <c r="T1196" i="2"/>
  <c r="AQ1233" i="2"/>
  <c r="AR1233" i="2" s="1"/>
  <c r="AP1233" i="2"/>
  <c r="AU1233" i="2" s="1"/>
  <c r="AS1233" i="2"/>
  <c r="AA1233" i="2"/>
  <c r="Z1233" i="2"/>
  <c r="AV1233" i="2"/>
  <c r="AW1233" i="2" s="1"/>
  <c r="AC1233" i="2"/>
  <c r="AT1233" i="2" s="1"/>
  <c r="Z916" i="2"/>
  <c r="AS916" i="2"/>
  <c r="AV916" i="2"/>
  <c r="AW916" i="2" s="1"/>
  <c r="Z925" i="2"/>
  <c r="AP925" i="2"/>
  <c r="AU925" i="2" s="1"/>
  <c r="AQ925" i="2"/>
  <c r="AR925" i="2" s="1"/>
  <c r="AW925" i="2"/>
  <c r="Z934" i="2"/>
  <c r="AT934" i="2"/>
  <c r="AV934" i="2"/>
  <c r="AW934" i="2" s="1"/>
  <c r="Z943" i="2"/>
  <c r="AV943" i="2"/>
  <c r="T943" i="2"/>
  <c r="AS943" i="2" s="1"/>
  <c r="Z952" i="2"/>
  <c r="AS952" i="2"/>
  <c r="AC952" i="2"/>
  <c r="AT952" i="2" s="1"/>
  <c r="AW952" i="2"/>
  <c r="AP962" i="2"/>
  <c r="AU962" i="2" s="1"/>
  <c r="AV962" i="2"/>
  <c r="AW962" i="2" s="1"/>
  <c r="Z970" i="2"/>
  <c r="T970" i="2"/>
  <c r="AS970" i="2" s="1"/>
  <c r="AV970" i="2"/>
  <c r="AU980" i="2"/>
  <c r="AV980" i="2"/>
  <c r="AW980" i="2" s="1"/>
  <c r="AC989" i="2"/>
  <c r="AT989" i="2" s="1"/>
  <c r="AP989" i="2"/>
  <c r="AU989" i="2" s="1"/>
  <c r="AW989" i="2"/>
  <c r="AU998" i="2"/>
  <c r="AS998" i="2"/>
  <c r="AV998" i="2"/>
  <c r="AW998" i="2" s="1"/>
  <c r="AQ1008" i="2"/>
  <c r="T1008" i="2"/>
  <c r="AT1008" i="2" s="1"/>
  <c r="Z1009" i="2"/>
  <c r="AP1009" i="2"/>
  <c r="AU1009" i="2" s="1"/>
  <c r="AC1009" i="2"/>
  <c r="AT1009" i="2" s="1"/>
  <c r="AW1009" i="2"/>
  <c r="AR1035" i="2"/>
  <c r="AC1049" i="2"/>
  <c r="AA1049" i="2"/>
  <c r="T1049" i="2"/>
  <c r="AW1049" i="2" s="1"/>
  <c r="AQ1049" i="2"/>
  <c r="AU1064" i="2"/>
  <c r="AU1232" i="2"/>
  <c r="AU1046" i="2"/>
  <c r="AT1046" i="2"/>
  <c r="AU1058" i="2"/>
  <c r="AQ1059" i="2"/>
  <c r="AR1059" i="2" s="1"/>
  <c r="AP1059" i="2"/>
  <c r="AS1059" i="2"/>
  <c r="AC1059" i="2"/>
  <c r="AT1059" i="2" s="1"/>
  <c r="AC1072" i="2"/>
  <c r="AW1085" i="2"/>
  <c r="AC1167" i="2"/>
  <c r="AT1167" i="2" s="1"/>
  <c r="Z1167" i="2"/>
  <c r="AP1167" i="2"/>
  <c r="AU1167" i="2" s="1"/>
  <c r="AA1167" i="2"/>
  <c r="AV1167" i="2"/>
  <c r="AW1167" i="2" s="1"/>
  <c r="AS1167" i="2"/>
  <c r="AU1176" i="2"/>
  <c r="AC1149" i="2"/>
  <c r="Z1149" i="2"/>
  <c r="AP1149" i="2"/>
  <c r="AA1149" i="2"/>
  <c r="AQ1149" i="2"/>
  <c r="T1149" i="2"/>
  <c r="AV1149" i="2"/>
  <c r="AW1149" i="2" s="1"/>
  <c r="AQ1154" i="2"/>
  <c r="AP1154" i="2"/>
  <c r="AC1154" i="2"/>
  <c r="AA1154" i="2"/>
  <c r="Z1154" i="2"/>
  <c r="T1154" i="2"/>
  <c r="AQ1167" i="2"/>
  <c r="AR1167" i="2" s="1"/>
  <c r="AV1211" i="2"/>
  <c r="AW1211" i="2" s="1"/>
  <c r="AP1271" i="2"/>
  <c r="AA1271" i="2"/>
  <c r="T1271" i="2"/>
  <c r="Z1271" i="2"/>
  <c r="AQ1271" i="2"/>
  <c r="AV1271" i="2"/>
  <c r="AS1309" i="2"/>
  <c r="AR1309" i="2"/>
  <c r="AU909" i="2"/>
  <c r="AU913" i="2"/>
  <c r="Z928" i="2"/>
  <c r="AS928" i="2"/>
  <c r="AV928" i="2"/>
  <c r="AW928" i="2" s="1"/>
  <c r="AU944" i="2"/>
  <c r="AR944" i="2"/>
  <c r="AV944" i="2"/>
  <c r="AW944" i="2" s="1"/>
  <c r="AQ960" i="2"/>
  <c r="AR960" i="2" s="1"/>
  <c r="AS960" i="2"/>
  <c r="AV960" i="2"/>
  <c r="AW960" i="2" s="1"/>
  <c r="Z976" i="2"/>
  <c r="AS976" i="2"/>
  <c r="AV976" i="2"/>
  <c r="AW976" i="2" s="1"/>
  <c r="AU992" i="2"/>
  <c r="AR992" i="2"/>
  <c r="AV992" i="2"/>
  <c r="AW992" i="2" s="1"/>
  <c r="AU1010" i="2"/>
  <c r="AT1010" i="2"/>
  <c r="AU1018" i="2"/>
  <c r="AU1026" i="2"/>
  <c r="AU1034" i="2"/>
  <c r="AU1042" i="2"/>
  <c r="AA1046" i="2"/>
  <c r="Z1051" i="2"/>
  <c r="T1051" i="2"/>
  <c r="AV1051" i="2"/>
  <c r="AW1051" i="2" s="1"/>
  <c r="AA1059" i="2"/>
  <c r="AQ1071" i="2"/>
  <c r="AR1071" i="2" s="1"/>
  <c r="AP1071" i="2"/>
  <c r="AU1071" i="2" s="1"/>
  <c r="Z1071" i="2"/>
  <c r="AW1071" i="2"/>
  <c r="AV1097" i="2"/>
  <c r="T1097" i="2"/>
  <c r="AP1097" i="2"/>
  <c r="AA1097" i="2"/>
  <c r="Z1097" i="2"/>
  <c r="AC1097" i="2"/>
  <c r="AA1102" i="2"/>
  <c r="AC1102" i="2"/>
  <c r="AT1102" i="2" s="1"/>
  <c r="AP1102" i="2"/>
  <c r="AU1102" i="2" s="1"/>
  <c r="Z1102" i="2"/>
  <c r="AS1102" i="2"/>
  <c r="AQ1102" i="2"/>
  <c r="AR1102" i="2" s="1"/>
  <c r="AU1111" i="2"/>
  <c r="AW1111" i="2"/>
  <c r="AQ1133" i="2"/>
  <c r="T1133" i="2"/>
  <c r="AV1133" i="2"/>
  <c r="AW1133" i="2" s="1"/>
  <c r="AP1133" i="2"/>
  <c r="AC1133" i="2"/>
  <c r="AA1133" i="2"/>
  <c r="AS1137" i="2"/>
  <c r="AS1163" i="2"/>
  <c r="AQ1163" i="2"/>
  <c r="T1163" i="2"/>
  <c r="AT1163" i="2" s="1"/>
  <c r="AW1163" i="2"/>
  <c r="AP1163" i="2"/>
  <c r="AC1163" i="2"/>
  <c r="AV1163" i="2"/>
  <c r="AA1163" i="2"/>
  <c r="AQ1166" i="2"/>
  <c r="AP1166" i="2"/>
  <c r="AC1166" i="2"/>
  <c r="AV1166" i="2"/>
  <c r="AW1166" i="2" s="1"/>
  <c r="T1166" i="2"/>
  <c r="AS1166" i="2" s="1"/>
  <c r="AW1186" i="2"/>
  <c r="AU1186" i="2"/>
  <c r="AA1186" i="2"/>
  <c r="AC1186" i="2"/>
  <c r="AT1186" i="2" s="1"/>
  <c r="Z1186" i="2"/>
  <c r="AS1186" i="2"/>
  <c r="AQ1186" i="2"/>
  <c r="AR1186" i="2" s="1"/>
  <c r="AW1222" i="2"/>
  <c r="AU1224" i="2"/>
  <c r="AS1224" i="2"/>
  <c r="AW1224" i="2"/>
  <c r="AQ1236" i="2"/>
  <c r="AR1236" i="2" s="1"/>
  <c r="AP1236" i="2"/>
  <c r="AU1236" i="2" s="1"/>
  <c r="AA1236" i="2"/>
  <c r="AS1236" i="2"/>
  <c r="AV1236" i="2"/>
  <c r="AW1236" i="2" s="1"/>
  <c r="AC1236" i="2"/>
  <c r="AT1236" i="2" s="1"/>
  <c r="Z1236" i="2"/>
  <c r="AV1275" i="2"/>
  <c r="AW1275" i="2" s="1"/>
  <c r="T1275" i="2"/>
  <c r="AC1275" i="2"/>
  <c r="AA1275" i="2"/>
  <c r="Z1275" i="2"/>
  <c r="AQ1275" i="2"/>
  <c r="AP1275" i="2"/>
  <c r="Z1072" i="2"/>
  <c r="T1072" i="2"/>
  <c r="AV1072" i="2"/>
  <c r="AW1073" i="2"/>
  <c r="AU1076" i="2"/>
  <c r="T1082" i="2"/>
  <c r="AW1082" i="2" s="1"/>
  <c r="AC1082" i="2"/>
  <c r="AA1082" i="2"/>
  <c r="Z1082" i="2"/>
  <c r="AQ1082" i="2"/>
  <c r="AP1082" i="2"/>
  <c r="AU1090" i="2"/>
  <c r="AW1090" i="2"/>
  <c r="Z1093" i="2"/>
  <c r="AC1093" i="2"/>
  <c r="T1093" i="2"/>
  <c r="AP1093" i="2"/>
  <c r="AA1093" i="2"/>
  <c r="AC1118" i="2"/>
  <c r="AT1118" i="2" s="1"/>
  <c r="Z1118" i="2"/>
  <c r="AQ1118" i="2"/>
  <c r="AR1118" i="2" s="1"/>
  <c r="AA1118" i="2"/>
  <c r="AS1118" i="2"/>
  <c r="AP1118" i="2"/>
  <c r="AU1118" i="2" s="1"/>
  <c r="AW1118" i="2"/>
  <c r="AS1129" i="2"/>
  <c r="AA1156" i="2"/>
  <c r="AQ1156" i="2"/>
  <c r="AR1156" i="2" s="1"/>
  <c r="AP1156" i="2"/>
  <c r="AU1156" i="2" s="1"/>
  <c r="AC1156" i="2"/>
  <c r="AT1156" i="2" s="1"/>
  <c r="Z1156" i="2"/>
  <c r="AV1156" i="2"/>
  <c r="AW1156" i="2" s="1"/>
  <c r="T1211" i="2"/>
  <c r="AR1211" i="2" s="1"/>
  <c r="AV1214" i="2"/>
  <c r="AW1214" i="2" s="1"/>
  <c r="T1214" i="2"/>
  <c r="AU1214" i="2" s="1"/>
  <c r="AQ1214" i="2"/>
  <c r="AP1214" i="2"/>
  <c r="AC1214" i="2"/>
  <c r="AA1214" i="2"/>
  <c r="AW1238" i="2"/>
  <c r="AV1257" i="2"/>
  <c r="AW1257" i="2" s="1"/>
  <c r="T1257" i="2"/>
  <c r="AS1257" i="2" s="1"/>
  <c r="AC1257" i="2"/>
  <c r="AA1257" i="2"/>
  <c r="Z1257" i="2"/>
  <c r="AQ1257" i="2"/>
  <c r="AP1257" i="2"/>
  <c r="AR1267" i="2"/>
  <c r="AS1267" i="2"/>
  <c r="AU1267" i="2"/>
  <c r="AW1267" i="2"/>
  <c r="AR1270" i="2"/>
  <c r="AS1270" i="2"/>
  <c r="AU1270" i="2"/>
  <c r="AS1291" i="2"/>
  <c r="AW1192" i="2"/>
  <c r="AA1192" i="2"/>
  <c r="AQ1192" i="2"/>
  <c r="AR1192" i="2" s="1"/>
  <c r="AP1192" i="2"/>
  <c r="AU1192" i="2" s="1"/>
  <c r="AC1192" i="2"/>
  <c r="AT1192" i="2" s="1"/>
  <c r="Z1192" i="2"/>
  <c r="AS1192" i="2"/>
  <c r="AR1204" i="2"/>
  <c r="AA1204" i="2"/>
  <c r="AC1204" i="2"/>
  <c r="AT1204" i="2" s="1"/>
  <c r="AP1204" i="2"/>
  <c r="AU1204" i="2" s="1"/>
  <c r="Z1204" i="2"/>
  <c r="AV1204" i="2"/>
  <c r="AW1204" i="2" s="1"/>
  <c r="Z1211" i="2"/>
  <c r="AR1235" i="2"/>
  <c r="AS1235" i="2"/>
  <c r="AV1263" i="2"/>
  <c r="AW1263" i="2" s="1"/>
  <c r="T1263" i="2"/>
  <c r="AC1263" i="2"/>
  <c r="AA1263" i="2"/>
  <c r="AQ1263" i="2"/>
  <c r="AP1263" i="2"/>
  <c r="AP1305" i="2"/>
  <c r="Z1305" i="2"/>
  <c r="T1305" i="2"/>
  <c r="AS1305" i="2" s="1"/>
  <c r="AQ1305" i="2"/>
  <c r="AC1305" i="2"/>
  <c r="AA1305" i="2"/>
  <c r="AV1305" i="2"/>
  <c r="AW1305" i="2" s="1"/>
  <c r="AU1007" i="2"/>
  <c r="AT1007" i="2"/>
  <c r="AU1011" i="2"/>
  <c r="AU1015" i="2"/>
  <c r="AU1019" i="2"/>
  <c r="AT1019" i="2"/>
  <c r="AU1023" i="2"/>
  <c r="AU1027" i="2"/>
  <c r="AU1031" i="2"/>
  <c r="AT1031" i="2"/>
  <c r="AU1039" i="2"/>
  <c r="AU1043" i="2"/>
  <c r="AT1043" i="2"/>
  <c r="AU1047" i="2"/>
  <c r="AU1057" i="2"/>
  <c r="AQ1062" i="2"/>
  <c r="AR1062" i="2" s="1"/>
  <c r="AP1062" i="2"/>
  <c r="AU1062" i="2" s="1"/>
  <c r="AV1062" i="2"/>
  <c r="AW1062" i="2" s="1"/>
  <c r="AS1063" i="2"/>
  <c r="AU1067" i="2"/>
  <c r="AT1068" i="2"/>
  <c r="AU1073" i="2"/>
  <c r="AT1075" i="2"/>
  <c r="AV1100" i="2"/>
  <c r="T1100" i="2"/>
  <c r="AT1100" i="2" s="1"/>
  <c r="AQ1100" i="2"/>
  <c r="AA1100" i="2"/>
  <c r="Z1100" i="2"/>
  <c r="AU1114" i="2"/>
  <c r="AU1115" i="2"/>
  <c r="AS1116" i="2"/>
  <c r="AT1116" i="2"/>
  <c r="AQ1116" i="2"/>
  <c r="AP1116" i="2"/>
  <c r="Z1116" i="2"/>
  <c r="T1116" i="2"/>
  <c r="AU1122" i="2"/>
  <c r="AC1131" i="2"/>
  <c r="AT1131" i="2" s="1"/>
  <c r="Z1131" i="2"/>
  <c r="AR1131" i="2"/>
  <c r="AP1131" i="2"/>
  <c r="AU1131" i="2" s="1"/>
  <c r="AA1131" i="2"/>
  <c r="AV1131" i="2"/>
  <c r="AW1131" i="2" s="1"/>
  <c r="AW1180" i="2"/>
  <c r="AA1180" i="2"/>
  <c r="T1180" i="2"/>
  <c r="AU1180" i="2" s="1"/>
  <c r="Z1240" i="2"/>
  <c r="AA1240" i="2"/>
  <c r="T1240" i="2"/>
  <c r="AT1240" i="2" s="1"/>
  <c r="AV1240" i="2"/>
  <c r="AQ1240" i="2"/>
  <c r="AP1240" i="2"/>
  <c r="AT1261" i="2"/>
  <c r="AP1314" i="2"/>
  <c r="AQ1314" i="2"/>
  <c r="AC1314" i="2"/>
  <c r="AA1314" i="2"/>
  <c r="Z1314" i="2"/>
  <c r="AV1314" i="2"/>
  <c r="AW1314" i="2" s="1"/>
  <c r="T1314" i="2"/>
  <c r="AV1007" i="2"/>
  <c r="AW1007" i="2" s="1"/>
  <c r="AV1011" i="2"/>
  <c r="AW1011" i="2" s="1"/>
  <c r="AV1015" i="2"/>
  <c r="AW1015" i="2" s="1"/>
  <c r="AV1019" i="2"/>
  <c r="AW1019" i="2" s="1"/>
  <c r="AV1023" i="2"/>
  <c r="AW1023" i="2" s="1"/>
  <c r="AV1027" i="2"/>
  <c r="AW1027" i="2" s="1"/>
  <c r="AV1031" i="2"/>
  <c r="AW1031" i="2" s="1"/>
  <c r="AV1035" i="2"/>
  <c r="AW1035" i="2" s="1"/>
  <c r="AV1039" i="2"/>
  <c r="AW1039" i="2" s="1"/>
  <c r="AV1043" i="2"/>
  <c r="AW1043" i="2" s="1"/>
  <c r="AV1047" i="2"/>
  <c r="AW1047" i="2" s="1"/>
  <c r="AU1052" i="2"/>
  <c r="AV1057" i="2"/>
  <c r="AW1057" i="2" s="1"/>
  <c r="AT1063" i="2"/>
  <c r="AQ1074" i="2"/>
  <c r="AR1074" i="2" s="1"/>
  <c r="AP1074" i="2"/>
  <c r="AU1074" i="2" s="1"/>
  <c r="AS1074" i="2"/>
  <c r="AW1074" i="2"/>
  <c r="AU1107" i="2"/>
  <c r="AQ1110" i="2"/>
  <c r="Z1110" i="2"/>
  <c r="T1110" i="2"/>
  <c r="AV1119" i="2"/>
  <c r="AA1119" i="2"/>
  <c r="T1119" i="2"/>
  <c r="AQ1119" i="2"/>
  <c r="AP1119" i="2"/>
  <c r="AW1126" i="2"/>
  <c r="AU1126" i="2"/>
  <c r="AA1126" i="2"/>
  <c r="AS1126" i="2"/>
  <c r="AQ1126" i="2"/>
  <c r="AR1126" i="2" s="1"/>
  <c r="AQ1157" i="2"/>
  <c r="T1157" i="2"/>
  <c r="AW1157" i="2"/>
  <c r="AP1157" i="2"/>
  <c r="AC1157" i="2"/>
  <c r="AA1157" i="2"/>
  <c r="Z1157" i="2"/>
  <c r="AP1290" i="2"/>
  <c r="AQ1290" i="2"/>
  <c r="AC1290" i="2"/>
  <c r="AA1290" i="2"/>
  <c r="T1290" i="2"/>
  <c r="AU1290" i="2" s="1"/>
  <c r="AV1290" i="2"/>
  <c r="AW1290" i="2" s="1"/>
  <c r="AU1063" i="2"/>
  <c r="AQ1068" i="2"/>
  <c r="AR1068" i="2" s="1"/>
  <c r="AP1068" i="2"/>
  <c r="AU1068" i="2" s="1"/>
  <c r="AV1068" i="2"/>
  <c r="AW1068" i="2" s="1"/>
  <c r="AS1073" i="2"/>
  <c r="Z1075" i="2"/>
  <c r="AP1075" i="2"/>
  <c r="AU1075" i="2" s="1"/>
  <c r="AV1075" i="2"/>
  <c r="AW1075" i="2" s="1"/>
  <c r="Z1098" i="2"/>
  <c r="T1098" i="2"/>
  <c r="AR1098" i="2" s="1"/>
  <c r="AC1098" i="2"/>
  <c r="AA1098" i="2"/>
  <c r="AT1099" i="2"/>
  <c r="AS1135" i="2"/>
  <c r="AQ1151" i="2"/>
  <c r="T1151" i="2"/>
  <c r="AW1151" i="2" s="1"/>
  <c r="AA1151" i="2"/>
  <c r="Z1151" i="2"/>
  <c r="AT1168" i="2"/>
  <c r="AS1190" i="2"/>
  <c r="AQ1190" i="2"/>
  <c r="AR1190" i="2" s="1"/>
  <c r="AP1190" i="2"/>
  <c r="AU1190" i="2" s="1"/>
  <c r="AC1190" i="2"/>
  <c r="AT1190" i="2" s="1"/>
  <c r="AA1190" i="2"/>
  <c r="Z1190" i="2"/>
  <c r="AA1205" i="2"/>
  <c r="AV1205" i="2"/>
  <c r="AW1205" i="2" s="1"/>
  <c r="T1205" i="2"/>
  <c r="AC1205" i="2"/>
  <c r="Z1205" i="2"/>
  <c r="AC1143" i="2"/>
  <c r="Z1143" i="2"/>
  <c r="AP1143" i="2"/>
  <c r="AA1143" i="2"/>
  <c r="AQ1145" i="2"/>
  <c r="T1145" i="2"/>
  <c r="AS1145" i="2" s="1"/>
  <c r="AW1145" i="2"/>
  <c r="AC1179" i="2"/>
  <c r="Z1179" i="2"/>
  <c r="AP1179" i="2"/>
  <c r="AA1179" i="2"/>
  <c r="AQ1181" i="2"/>
  <c r="T1181" i="2"/>
  <c r="AS1181" i="2" s="1"/>
  <c r="AW1181" i="2"/>
  <c r="AU1188" i="2"/>
  <c r="AA1202" i="2"/>
  <c r="AP1202" i="2"/>
  <c r="Z1202" i="2"/>
  <c r="Z1231" i="2"/>
  <c r="AC1231" i="2"/>
  <c r="AQ1231" i="2"/>
  <c r="AA1231" i="2"/>
  <c r="AV1231" i="2"/>
  <c r="AS1232" i="2"/>
  <c r="AR1232" i="2"/>
  <c r="AU1238" i="2"/>
  <c r="AQ1239" i="2"/>
  <c r="AP1239" i="2"/>
  <c r="Z1239" i="2"/>
  <c r="T1239" i="2"/>
  <c r="AT1239" i="2" s="1"/>
  <c r="AV1239" i="2"/>
  <c r="AV1269" i="2"/>
  <c r="T1269" i="2"/>
  <c r="AC1269" i="2"/>
  <c r="AA1269" i="2"/>
  <c r="AQ1269" i="2"/>
  <c r="AP1269" i="2"/>
  <c r="Z1269" i="2"/>
  <c r="AR1273" i="2"/>
  <c r="AS1273" i="2"/>
  <c r="AU1273" i="2"/>
  <c r="AR1285" i="2"/>
  <c r="AS1285" i="2"/>
  <c r="AU1285" i="2"/>
  <c r="AS1286" i="2"/>
  <c r="AT1286" i="2"/>
  <c r="AU1078" i="2"/>
  <c r="AR1112" i="2"/>
  <c r="AC1112" i="2"/>
  <c r="AT1112" i="2" s="1"/>
  <c r="Z1112" i="2"/>
  <c r="AC1113" i="2"/>
  <c r="Z1113" i="2"/>
  <c r="T1113" i="2"/>
  <c r="AW1113" i="2" s="1"/>
  <c r="AS1132" i="2"/>
  <c r="AU1138" i="2"/>
  <c r="AA1138" i="2"/>
  <c r="AV1138" i="2"/>
  <c r="AW1138" i="2" s="1"/>
  <c r="AS1142" i="2"/>
  <c r="AQ1142" i="2"/>
  <c r="AR1142" i="2" s="1"/>
  <c r="AP1142" i="2"/>
  <c r="AU1142" i="2" s="1"/>
  <c r="AC1142" i="2"/>
  <c r="AT1142" i="2" s="1"/>
  <c r="AS1168" i="2"/>
  <c r="AU1174" i="2"/>
  <c r="AA1174" i="2"/>
  <c r="AV1174" i="2"/>
  <c r="AW1174" i="2" s="1"/>
  <c r="AS1178" i="2"/>
  <c r="AQ1178" i="2"/>
  <c r="AR1178" i="2" s="1"/>
  <c r="AP1178" i="2"/>
  <c r="AU1178" i="2" s="1"/>
  <c r="AC1178" i="2"/>
  <c r="AT1178" i="2" s="1"/>
  <c r="AV1200" i="2"/>
  <c r="AW1200" i="2" s="1"/>
  <c r="T1200" i="2"/>
  <c r="Z1200" i="2"/>
  <c r="AQ1200" i="2"/>
  <c r="AP1200" i="2"/>
  <c r="AW1241" i="2"/>
  <c r="AT1255" i="2"/>
  <c r="AS1289" i="2"/>
  <c r="AP1086" i="2"/>
  <c r="T1086" i="2"/>
  <c r="AV1086" i="2"/>
  <c r="AU1087" i="2"/>
  <c r="AS1087" i="2"/>
  <c r="AR1087" i="2"/>
  <c r="AW1087" i="2"/>
  <c r="AT1115" i="2"/>
  <c r="AR1115" i="2"/>
  <c r="AC1137" i="2"/>
  <c r="AT1137" i="2" s="1"/>
  <c r="Z1137" i="2"/>
  <c r="AR1137" i="2"/>
  <c r="AP1137" i="2"/>
  <c r="AU1137" i="2" s="1"/>
  <c r="AA1137" i="2"/>
  <c r="AQ1139" i="2"/>
  <c r="T1139" i="2"/>
  <c r="AS1139" i="2" s="1"/>
  <c r="AW1139" i="2"/>
  <c r="T1143" i="2"/>
  <c r="AU1146" i="2"/>
  <c r="AC1173" i="2"/>
  <c r="AT1173" i="2" s="1"/>
  <c r="Z1173" i="2"/>
  <c r="AR1173" i="2"/>
  <c r="AP1173" i="2"/>
  <c r="AU1173" i="2" s="1"/>
  <c r="AA1173" i="2"/>
  <c r="AQ1175" i="2"/>
  <c r="T1175" i="2"/>
  <c r="AS1175" i="2" s="1"/>
  <c r="AW1175" i="2"/>
  <c r="T1179" i="2"/>
  <c r="AU1182" i="2"/>
  <c r="T1202" i="2"/>
  <c r="AA1217" i="2"/>
  <c r="AC1217" i="2"/>
  <c r="T1217" i="2"/>
  <c r="AW1217" i="2"/>
  <c r="AU1229" i="2"/>
  <c r="AW1230" i="2"/>
  <c r="T1231" i="2"/>
  <c r="AR1238" i="2"/>
  <c r="AT1088" i="2"/>
  <c r="AU1132" i="2"/>
  <c r="AA1132" i="2"/>
  <c r="AV1132" i="2"/>
  <c r="AW1132" i="2" s="1"/>
  <c r="AS1136" i="2"/>
  <c r="AQ1136" i="2"/>
  <c r="AR1136" i="2" s="1"/>
  <c r="AP1136" i="2"/>
  <c r="AU1136" i="2" s="1"/>
  <c r="AC1136" i="2"/>
  <c r="AT1136" i="2" s="1"/>
  <c r="AU1168" i="2"/>
  <c r="AA1168" i="2"/>
  <c r="AV1168" i="2"/>
  <c r="AW1168" i="2" s="1"/>
  <c r="AS1172" i="2"/>
  <c r="AQ1172" i="2"/>
  <c r="AR1172" i="2" s="1"/>
  <c r="AP1172" i="2"/>
  <c r="AU1172" i="2" s="1"/>
  <c r="AC1172" i="2"/>
  <c r="AT1172" i="2" s="1"/>
  <c r="AA1199" i="2"/>
  <c r="AP1199" i="2"/>
  <c r="AU1199" i="2" s="1"/>
  <c r="Z1199" i="2"/>
  <c r="AS1199" i="2"/>
  <c r="AR1199" i="2"/>
  <c r="AT1212" i="2"/>
  <c r="AS1212" i="2"/>
  <c r="Z1237" i="2"/>
  <c r="AR1237" i="2"/>
  <c r="AP1237" i="2"/>
  <c r="AU1237" i="2" s="1"/>
  <c r="AC1237" i="2"/>
  <c r="AT1237" i="2" s="1"/>
  <c r="AV1237" i="2"/>
  <c r="AW1237" i="2" s="1"/>
  <c r="AS1237" i="2"/>
  <c r="AT1241" i="2"/>
  <c r="AR1255" i="2"/>
  <c r="AS1255" i="2"/>
  <c r="AU1255" i="2"/>
  <c r="AW1255" i="2"/>
  <c r="AT1052" i="2"/>
  <c r="AT1055" i="2"/>
  <c r="AT1058" i="2"/>
  <c r="AT1061" i="2"/>
  <c r="AT1064" i="2"/>
  <c r="AT1067" i="2"/>
  <c r="AT1070" i="2"/>
  <c r="AT1073" i="2"/>
  <c r="AT1076" i="2"/>
  <c r="AT1079" i="2"/>
  <c r="AT1090" i="2"/>
  <c r="AU1094" i="2"/>
  <c r="AV1103" i="2"/>
  <c r="T1103" i="2"/>
  <c r="AR1108" i="2"/>
  <c r="AV1108" i="2"/>
  <c r="AS1121" i="2"/>
  <c r="AQ1121" i="2"/>
  <c r="AR1121" i="2" s="1"/>
  <c r="AW1121" i="2"/>
  <c r="AQ1123" i="2"/>
  <c r="AR1123" i="2" s="1"/>
  <c r="AQ1129" i="2"/>
  <c r="AR1129" i="2" s="1"/>
  <c r="AQ1135" i="2"/>
  <c r="AR1135" i="2" s="1"/>
  <c r="AQ1141" i="2"/>
  <c r="AR1141" i="2" s="1"/>
  <c r="AQ1147" i="2"/>
  <c r="AR1147" i="2" s="1"/>
  <c r="AQ1153" i="2"/>
  <c r="AR1153" i="2" s="1"/>
  <c r="AQ1159" i="2"/>
  <c r="AR1159" i="2" s="1"/>
  <c r="AQ1165" i="2"/>
  <c r="AR1165" i="2" s="1"/>
  <c r="AQ1171" i="2"/>
  <c r="AR1171" i="2" s="1"/>
  <c r="AQ1177" i="2"/>
  <c r="AR1177" i="2" s="1"/>
  <c r="AQ1183" i="2"/>
  <c r="AR1183" i="2" s="1"/>
  <c r="AQ1189" i="2"/>
  <c r="AR1189" i="2" s="1"/>
  <c r="AV1194" i="2"/>
  <c r="AW1194" i="2" s="1"/>
  <c r="T1194" i="2"/>
  <c r="AQ1194" i="2"/>
  <c r="AC1194" i="2"/>
  <c r="AR1195" i="2"/>
  <c r="AA1195" i="2"/>
  <c r="AV1195" i="2"/>
  <c r="AW1195" i="2" s="1"/>
  <c r="AU1213" i="2"/>
  <c r="AQ1224" i="2"/>
  <c r="AR1224" i="2" s="1"/>
  <c r="AC1224" i="2"/>
  <c r="AT1224" i="2" s="1"/>
  <c r="Z1224" i="2"/>
  <c r="Z1225" i="2"/>
  <c r="AQ1225" i="2"/>
  <c r="AR1225" i="2" s="1"/>
  <c r="AA1225" i="2"/>
  <c r="AW1225" i="2"/>
  <c r="AP1262" i="2"/>
  <c r="AU1262" i="2" s="1"/>
  <c r="AA1262" i="2"/>
  <c r="AQ1262" i="2"/>
  <c r="AR1262" i="2" s="1"/>
  <c r="AS1262" i="2"/>
  <c r="AC1262" i="2"/>
  <c r="AT1262" i="2" s="1"/>
  <c r="AV1262" i="2"/>
  <c r="AW1262" i="2" s="1"/>
  <c r="AT1273" i="2"/>
  <c r="AP1274" i="2"/>
  <c r="AA1274" i="2"/>
  <c r="AQ1274" i="2"/>
  <c r="T1274" i="2"/>
  <c r="AV1274" i="2"/>
  <c r="AW1274" i="2" s="1"/>
  <c r="AT1288" i="2"/>
  <c r="AU1309" i="2"/>
  <c r="AU1083" i="2"/>
  <c r="AW1094" i="2"/>
  <c r="AU1099" i="2"/>
  <c r="AW1108" i="2"/>
  <c r="AC1122" i="2"/>
  <c r="AT1122" i="2" s="1"/>
  <c r="Z1122" i="2"/>
  <c r="AV1122" i="2"/>
  <c r="AW1122" i="2" s="1"/>
  <c r="AC1128" i="2"/>
  <c r="AT1128" i="2" s="1"/>
  <c r="Z1128" i="2"/>
  <c r="AV1128" i="2"/>
  <c r="AW1128" i="2" s="1"/>
  <c r="AC1134" i="2"/>
  <c r="AT1134" i="2" s="1"/>
  <c r="Z1134" i="2"/>
  <c r="AV1134" i="2"/>
  <c r="AW1134" i="2" s="1"/>
  <c r="AC1140" i="2"/>
  <c r="AT1140" i="2" s="1"/>
  <c r="Z1140" i="2"/>
  <c r="AV1140" i="2"/>
  <c r="AW1140" i="2" s="1"/>
  <c r="AC1146" i="2"/>
  <c r="AT1146" i="2" s="1"/>
  <c r="Z1146" i="2"/>
  <c r="AV1146" i="2"/>
  <c r="AW1146" i="2" s="1"/>
  <c r="AC1152" i="2"/>
  <c r="AT1152" i="2" s="1"/>
  <c r="Z1152" i="2"/>
  <c r="AV1152" i="2"/>
  <c r="AW1152" i="2" s="1"/>
  <c r="AC1158" i="2"/>
  <c r="AT1158" i="2" s="1"/>
  <c r="Z1158" i="2"/>
  <c r="AV1158" i="2"/>
  <c r="AW1158" i="2" s="1"/>
  <c r="AC1164" i="2"/>
  <c r="AT1164" i="2" s="1"/>
  <c r="Z1164" i="2"/>
  <c r="AV1164" i="2"/>
  <c r="AW1164" i="2" s="1"/>
  <c r="AC1170" i="2"/>
  <c r="AT1170" i="2" s="1"/>
  <c r="Z1170" i="2"/>
  <c r="AV1170" i="2"/>
  <c r="AW1170" i="2" s="1"/>
  <c r="AC1176" i="2"/>
  <c r="AT1176" i="2" s="1"/>
  <c r="Z1176" i="2"/>
  <c r="AV1176" i="2"/>
  <c r="AW1176" i="2" s="1"/>
  <c r="AC1182" i="2"/>
  <c r="AT1182" i="2" s="1"/>
  <c r="Z1182" i="2"/>
  <c r="AV1182" i="2"/>
  <c r="AW1182" i="2" s="1"/>
  <c r="AC1188" i="2"/>
  <c r="AT1188" i="2" s="1"/>
  <c r="Z1188" i="2"/>
  <c r="AV1188" i="2"/>
  <c r="AW1188" i="2" s="1"/>
  <c r="AR1207" i="2"/>
  <c r="AS1207" i="2"/>
  <c r="AP1207" i="2"/>
  <c r="AU1207" i="2" s="1"/>
  <c r="AW1207" i="2"/>
  <c r="T1218" i="2"/>
  <c r="AA1218" i="2"/>
  <c r="AT1220" i="2"/>
  <c r="AV1220" i="2"/>
  <c r="AW1220" i="2" s="1"/>
  <c r="AT1221" i="2"/>
  <c r="Z1222" i="2"/>
  <c r="AA1222" i="2"/>
  <c r="AT1222" i="2"/>
  <c r="AR1222" i="2"/>
  <c r="T1223" i="2"/>
  <c r="AQ1223" i="2"/>
  <c r="AC1223" i="2"/>
  <c r="AU1226" i="2"/>
  <c r="AW1226" i="2"/>
  <c r="AP1256" i="2"/>
  <c r="AU1256" i="2" s="1"/>
  <c r="AA1256" i="2"/>
  <c r="AQ1256" i="2"/>
  <c r="AR1256" i="2" s="1"/>
  <c r="AV1256" i="2"/>
  <c r="AW1256" i="2" s="1"/>
  <c r="AT1256" i="2"/>
  <c r="AR1261" i="2"/>
  <c r="AS1261" i="2"/>
  <c r="AT1279" i="2"/>
  <c r="AS1293" i="2"/>
  <c r="AP1293" i="2"/>
  <c r="AU1293" i="2" s="1"/>
  <c r="Z1293" i="2"/>
  <c r="AV1293" i="2"/>
  <c r="AW1293" i="2" s="1"/>
  <c r="AT1293" i="2"/>
  <c r="AQ1293" i="2"/>
  <c r="AR1293" i="2" s="1"/>
  <c r="AC1312" i="2"/>
  <c r="AT1312" i="2" s="1"/>
  <c r="AA1312" i="2"/>
  <c r="AS1312" i="2"/>
  <c r="AQ1312" i="2"/>
  <c r="AR1312" i="2" s="1"/>
  <c r="AP1312" i="2"/>
  <c r="AU1312" i="2" s="1"/>
  <c r="Z1312" i="2"/>
  <c r="AW1123" i="2"/>
  <c r="AU1123" i="2"/>
  <c r="AT1123" i="2"/>
  <c r="AW1129" i="2"/>
  <c r="AU1129" i="2"/>
  <c r="AT1129" i="2"/>
  <c r="AW1135" i="2"/>
  <c r="AU1135" i="2"/>
  <c r="AT1135" i="2"/>
  <c r="AW1141" i="2"/>
  <c r="AU1141" i="2"/>
  <c r="AT1141" i="2"/>
  <c r="AW1147" i="2"/>
  <c r="AU1147" i="2"/>
  <c r="AT1147" i="2"/>
  <c r="AW1153" i="2"/>
  <c r="AU1153" i="2"/>
  <c r="AT1153" i="2"/>
  <c r="AW1159" i="2"/>
  <c r="AU1159" i="2"/>
  <c r="AT1159" i="2"/>
  <c r="AW1165" i="2"/>
  <c r="AU1165" i="2"/>
  <c r="AT1165" i="2"/>
  <c r="AW1171" i="2"/>
  <c r="AU1171" i="2"/>
  <c r="AT1171" i="2"/>
  <c r="AW1177" i="2"/>
  <c r="AU1177" i="2"/>
  <c r="AT1177" i="2"/>
  <c r="AW1183" i="2"/>
  <c r="AU1183" i="2"/>
  <c r="AT1183" i="2"/>
  <c r="AW1189" i="2"/>
  <c r="AU1189" i="2"/>
  <c r="AT1189" i="2"/>
  <c r="AV1209" i="2"/>
  <c r="AW1209" i="2" s="1"/>
  <c r="T1209" i="2"/>
  <c r="Z1209" i="2"/>
  <c r="AA1213" i="2"/>
  <c r="AV1213" i="2"/>
  <c r="AW1213" i="2" s="1"/>
  <c r="AT1213" i="2"/>
  <c r="AP1216" i="2"/>
  <c r="AU1216" i="2" s="1"/>
  <c r="AC1216" i="2"/>
  <c r="AT1216" i="2" s="1"/>
  <c r="Z1216" i="2"/>
  <c r="AQ1230" i="2"/>
  <c r="AR1230" i="2" s="1"/>
  <c r="AP1230" i="2"/>
  <c r="AU1230" i="2" s="1"/>
  <c r="AS1230" i="2"/>
  <c r="AA1230" i="2"/>
  <c r="Z1243" i="2"/>
  <c r="AA1243" i="2"/>
  <c r="T1243" i="2"/>
  <c r="AU1243" i="2" s="1"/>
  <c r="AP1268" i="2"/>
  <c r="AA1268" i="2"/>
  <c r="AQ1268" i="2"/>
  <c r="AC1268" i="2"/>
  <c r="Z1268" i="2"/>
  <c r="T1268" i="2"/>
  <c r="AS1297" i="2"/>
  <c r="AR1297" i="2"/>
  <c r="AS1315" i="2"/>
  <c r="AU1241" i="2"/>
  <c r="AQ1242" i="2"/>
  <c r="AR1242" i="2" s="1"/>
  <c r="AP1242" i="2"/>
  <c r="AU1242" i="2" s="1"/>
  <c r="Z1242" i="2"/>
  <c r="AC1242" i="2"/>
  <c r="AT1242" i="2" s="1"/>
  <c r="AA1242" i="2"/>
  <c r="AP1246" i="2"/>
  <c r="AC1246" i="2"/>
  <c r="T1246" i="2"/>
  <c r="AR1246" i="2" s="1"/>
  <c r="AC1291" i="2"/>
  <c r="AT1291" i="2" s="1"/>
  <c r="AA1291" i="2"/>
  <c r="AQ1291" i="2"/>
  <c r="AR1291" i="2" s="1"/>
  <c r="AP1291" i="2"/>
  <c r="AU1291" i="2" s="1"/>
  <c r="Z1291" i="2"/>
  <c r="AV1291" i="2"/>
  <c r="AW1291" i="2" s="1"/>
  <c r="AS1321" i="2"/>
  <c r="AC1324" i="2"/>
  <c r="AA1324" i="2"/>
  <c r="AW1324" i="2"/>
  <c r="AQ1324" i="2"/>
  <c r="AP1324" i="2"/>
  <c r="T1324" i="2"/>
  <c r="AS1324" i="2" s="1"/>
  <c r="AT1120" i="2"/>
  <c r="AR1201" i="2"/>
  <c r="AU1201" i="2"/>
  <c r="AT1210" i="2"/>
  <c r="AW1210" i="2"/>
  <c r="AU1212" i="2"/>
  <c r="Z1234" i="2"/>
  <c r="AT1234" i="2"/>
  <c r="AV1234" i="2"/>
  <c r="AW1234" i="2" s="1"/>
  <c r="AW1249" i="2"/>
  <c r="AR1264" i="2"/>
  <c r="AP1265" i="2"/>
  <c r="AA1265" i="2"/>
  <c r="T1265" i="2"/>
  <c r="AW1265" i="2"/>
  <c r="AQ1265" i="2"/>
  <c r="AC1265" i="2"/>
  <c r="Z1265" i="2"/>
  <c r="AP1302" i="2"/>
  <c r="AQ1302" i="2"/>
  <c r="AC1302" i="2"/>
  <c r="AA1302" i="2"/>
  <c r="Z1302" i="2"/>
  <c r="AS1299" i="2"/>
  <c r="AR1299" i="2"/>
  <c r="AP1299" i="2"/>
  <c r="AU1299" i="2" s="1"/>
  <c r="AV1299" i="2"/>
  <c r="AW1299" i="2" s="1"/>
  <c r="AC1299" i="2"/>
  <c r="AT1299" i="2" s="1"/>
  <c r="AA1299" i="2"/>
  <c r="Z1299" i="2"/>
  <c r="AV1197" i="2"/>
  <c r="AW1197" i="2" s="1"/>
  <c r="T1197" i="2"/>
  <c r="AU1197" i="2" s="1"/>
  <c r="AV1206" i="2"/>
  <c r="AW1206" i="2" s="1"/>
  <c r="T1206" i="2"/>
  <c r="AS1206" i="2" s="1"/>
  <c r="AW1212" i="2"/>
  <c r="AQ1221" i="2"/>
  <c r="AR1221" i="2" s="1"/>
  <c r="AP1221" i="2"/>
  <c r="AU1221" i="2" s="1"/>
  <c r="AV1221" i="2"/>
  <c r="AW1221" i="2" s="1"/>
  <c r="AU1235" i="2"/>
  <c r="T1302" i="2"/>
  <c r="AV1245" i="2"/>
  <c r="T1245" i="2"/>
  <c r="AS1245" i="2" s="1"/>
  <c r="AC1245" i="2"/>
  <c r="AA1247" i="2"/>
  <c r="Z1247" i="2"/>
  <c r="AV1247" i="2"/>
  <c r="AW1247" i="2" s="1"/>
  <c r="AV1250" i="2"/>
  <c r="AW1250" i="2" s="1"/>
  <c r="AU1251" i="2"/>
  <c r="AR1276" i="2"/>
  <c r="AP1277" i="2"/>
  <c r="AA1277" i="2"/>
  <c r="T1277" i="2"/>
  <c r="AT1277" i="2" s="1"/>
  <c r="AW1277" i="2"/>
  <c r="AP1280" i="2"/>
  <c r="AU1280" i="2" s="1"/>
  <c r="AA1280" i="2"/>
  <c r="AQ1280" i="2"/>
  <c r="AR1280" i="2" s="1"/>
  <c r="AV1281" i="2"/>
  <c r="AW1281" i="2" s="1"/>
  <c r="T1281" i="2"/>
  <c r="AC1281" i="2"/>
  <c r="AA1281" i="2"/>
  <c r="AV1286" i="2"/>
  <c r="AW1286" i="2" s="1"/>
  <c r="AC1303" i="2"/>
  <c r="AT1303" i="2" s="1"/>
  <c r="AA1303" i="2"/>
  <c r="AQ1303" i="2"/>
  <c r="AR1303" i="2" s="1"/>
  <c r="AP1303" i="2"/>
  <c r="AU1303" i="2" s="1"/>
  <c r="Z1303" i="2"/>
  <c r="AS1311" i="2"/>
  <c r="AP1311" i="2"/>
  <c r="AU1311" i="2" s="1"/>
  <c r="AV1311" i="2"/>
  <c r="AW1311" i="2" s="1"/>
  <c r="AQ1311" i="2"/>
  <c r="AR1311" i="2" s="1"/>
  <c r="AC1311" i="2"/>
  <c r="AT1311" i="2" s="1"/>
  <c r="AR1244" i="2"/>
  <c r="AV1248" i="2"/>
  <c r="T1248" i="2"/>
  <c r="AW1248" i="2"/>
  <c r="AS1248" i="2"/>
  <c r="AT1249" i="2"/>
  <c r="AR1279" i="2"/>
  <c r="AS1279" i="2"/>
  <c r="AT1285" i="2"/>
  <c r="AU1289" i="2"/>
  <c r="AR1289" i="2"/>
  <c r="AC1289" i="2"/>
  <c r="AT1289" i="2" s="1"/>
  <c r="AA1289" i="2"/>
  <c r="Z1289" i="2"/>
  <c r="AU1297" i="2"/>
  <c r="AP1317" i="2"/>
  <c r="Z1317" i="2"/>
  <c r="T1317" i="2"/>
  <c r="AA1250" i="2"/>
  <c r="AQ1250" i="2"/>
  <c r="AR1250" i="2" s="1"/>
  <c r="Z1250" i="2"/>
  <c r="AV1251" i="2"/>
  <c r="T1251" i="2"/>
  <c r="AC1251" i="2"/>
  <c r="AA1251" i="2"/>
  <c r="AR1282" i="2"/>
  <c r="AP1283" i="2"/>
  <c r="AA1283" i="2"/>
  <c r="T1283" i="2"/>
  <c r="AT1283" i="2" s="1"/>
  <c r="AW1283" i="2"/>
  <c r="AP1286" i="2"/>
  <c r="AU1286" i="2" s="1"/>
  <c r="AA1286" i="2"/>
  <c r="AQ1286" i="2"/>
  <c r="AR1286" i="2" s="1"/>
  <c r="AV1287" i="2"/>
  <c r="AW1287" i="2" s="1"/>
  <c r="T1287" i="2"/>
  <c r="AU1287" i="2" s="1"/>
  <c r="AC1287" i="2"/>
  <c r="AA1287" i="2"/>
  <c r="AC1315" i="2"/>
  <c r="AT1315" i="2" s="1"/>
  <c r="AA1315" i="2"/>
  <c r="AQ1315" i="2"/>
  <c r="AR1315" i="2" s="1"/>
  <c r="AP1315" i="2"/>
  <c r="AU1315" i="2" s="1"/>
  <c r="Z1315" i="2"/>
  <c r="AS1323" i="2"/>
  <c r="AP1323" i="2"/>
  <c r="AU1323" i="2" s="1"/>
  <c r="AV1323" i="2"/>
  <c r="AW1323" i="2" s="1"/>
  <c r="AQ1323" i="2"/>
  <c r="AR1323" i="2" s="1"/>
  <c r="AC1323" i="2"/>
  <c r="AT1323" i="2" s="1"/>
  <c r="AT1258" i="2"/>
  <c r="AT1264" i="2"/>
  <c r="AT1270" i="2"/>
  <c r="AT1276" i="2"/>
  <c r="AT1282" i="2"/>
  <c r="AC1294" i="2"/>
  <c r="AA1294" i="2"/>
  <c r="AV1294" i="2"/>
  <c r="AW1294" i="2" s="1"/>
  <c r="AC1306" i="2"/>
  <c r="AA1306" i="2"/>
  <c r="AV1306" i="2"/>
  <c r="AW1306" i="2" s="1"/>
  <c r="AC1318" i="2"/>
  <c r="AA1318" i="2"/>
  <c r="AV1318" i="2"/>
  <c r="AW1318" i="2" s="1"/>
  <c r="T1294" i="2"/>
  <c r="AS1296" i="2"/>
  <c r="AR1296" i="2"/>
  <c r="AP1296" i="2"/>
  <c r="AU1296" i="2" s="1"/>
  <c r="AW1296" i="2"/>
  <c r="T1306" i="2"/>
  <c r="AS1308" i="2"/>
  <c r="AR1308" i="2"/>
  <c r="AP1308" i="2"/>
  <c r="AU1308" i="2" s="1"/>
  <c r="AW1308" i="2"/>
  <c r="T1318" i="2"/>
  <c r="AS1320" i="2"/>
  <c r="AR1320" i="2"/>
  <c r="AP1320" i="2"/>
  <c r="AU1320" i="2" s="1"/>
  <c r="AW1320" i="2"/>
  <c r="AT1226" i="2"/>
  <c r="AT1229" i="2"/>
  <c r="AT1232" i="2"/>
  <c r="AT1235" i="2"/>
  <c r="AT1238" i="2"/>
  <c r="AU1244" i="2"/>
  <c r="AC1297" i="2"/>
  <c r="AT1297" i="2" s="1"/>
  <c r="AA1297" i="2"/>
  <c r="AV1297" i="2"/>
  <c r="AW1297" i="2" s="1"/>
  <c r="AC1309" i="2"/>
  <c r="AT1309" i="2" s="1"/>
  <c r="AA1309" i="2"/>
  <c r="AV1309" i="2"/>
  <c r="AW1309" i="2" s="1"/>
  <c r="AC1321" i="2"/>
  <c r="AT1321" i="2" s="1"/>
  <c r="AA1321" i="2"/>
  <c r="AV1321" i="2"/>
  <c r="AW1321" i="2" s="1"/>
  <c r="AR1249" i="2"/>
  <c r="AU1249" i="2"/>
  <c r="AV1254" i="2"/>
  <c r="AW1254" i="2" s="1"/>
  <c r="T1254" i="2"/>
  <c r="AT1254" i="2" s="1"/>
  <c r="AV1260" i="2"/>
  <c r="AW1260" i="2" s="1"/>
  <c r="T1260" i="2"/>
  <c r="AU1260" i="2" s="1"/>
  <c r="AV1266" i="2"/>
  <c r="AW1266" i="2" s="1"/>
  <c r="T1266" i="2"/>
  <c r="AT1266" i="2" s="1"/>
  <c r="AV1272" i="2"/>
  <c r="T1272" i="2"/>
  <c r="AU1272" i="2" s="1"/>
  <c r="AV1278" i="2"/>
  <c r="AW1278" i="2" s="1"/>
  <c r="T1278" i="2"/>
  <c r="AT1278" i="2" s="1"/>
  <c r="AV1284" i="2"/>
  <c r="AW1284" i="2" s="1"/>
  <c r="T1284" i="2"/>
  <c r="AU1284" i="2" s="1"/>
  <c r="AR1252" i="2"/>
  <c r="AV1288" i="2"/>
  <c r="AW1288" i="2" s="1"/>
  <c r="T1292" i="2"/>
  <c r="AT1292" i="2" s="1"/>
  <c r="AV1292" i="2"/>
  <c r="AW1292" i="2" s="1"/>
  <c r="T1295" i="2"/>
  <c r="AV1295" i="2"/>
  <c r="AW1295" i="2" s="1"/>
  <c r="T1298" i="2"/>
  <c r="AV1298" i="2"/>
  <c r="AW1298" i="2" s="1"/>
  <c r="T1301" i="2"/>
  <c r="AV1301" i="2"/>
  <c r="AW1301" i="2" s="1"/>
  <c r="T1304" i="2"/>
  <c r="AT1304" i="2" s="1"/>
  <c r="AV1304" i="2"/>
  <c r="AW1304" i="2" s="1"/>
  <c r="T1307" i="2"/>
  <c r="AT1307" i="2" s="1"/>
  <c r="AV1307" i="2"/>
  <c r="AW1307" i="2" s="1"/>
  <c r="T1310" i="2"/>
  <c r="AT1310" i="2" s="1"/>
  <c r="AV1310" i="2"/>
  <c r="AW1310" i="2" s="1"/>
  <c r="T1313" i="2"/>
  <c r="AV1313" i="2"/>
  <c r="AW1313" i="2" s="1"/>
  <c r="T1316" i="2"/>
  <c r="AV1316" i="2"/>
  <c r="AW1316" i="2" s="1"/>
  <c r="T1319" i="2"/>
  <c r="AT1319" i="2" s="1"/>
  <c r="AV1319" i="2"/>
  <c r="T1322" i="2"/>
  <c r="AV1322" i="2"/>
  <c r="AW1322" i="2" s="1"/>
  <c r="T1325" i="2"/>
  <c r="AR1325" i="2" s="1"/>
  <c r="AV1325" i="2"/>
  <c r="AW1325" i="2" s="1"/>
  <c r="AW970" i="2" l="1"/>
  <c r="AW958" i="2"/>
  <c r="AW985" i="2"/>
  <c r="AR963" i="2"/>
  <c r="AW847" i="2"/>
  <c r="AU201" i="2"/>
  <c r="AW29" i="2"/>
  <c r="AT679" i="2"/>
  <c r="AW276" i="2"/>
  <c r="AU973" i="2"/>
  <c r="AT352" i="2"/>
  <c r="AR790" i="2"/>
  <c r="AU405" i="2"/>
  <c r="AU688" i="2"/>
  <c r="AT442" i="2"/>
  <c r="AW363" i="2"/>
  <c r="AS127" i="2"/>
  <c r="AU38" i="2"/>
  <c r="AW293" i="2"/>
  <c r="AS561" i="2"/>
  <c r="AW129" i="2"/>
  <c r="AR714" i="2"/>
  <c r="AU1250" i="2"/>
  <c r="AS714" i="2"/>
  <c r="AU359" i="2"/>
  <c r="AW18" i="2"/>
  <c r="AR929" i="2"/>
  <c r="AW79" i="2"/>
  <c r="AU1054" i="2"/>
  <c r="AU1278" i="2"/>
  <c r="AT1284" i="2"/>
  <c r="AW1239" i="2"/>
  <c r="AR1214" i="2"/>
  <c r="AS1008" i="2"/>
  <c r="AU857" i="2"/>
  <c r="AT1040" i="2"/>
  <c r="AW352" i="2"/>
  <c r="AT405" i="2"/>
  <c r="AU429" i="2"/>
  <c r="AT127" i="2"/>
  <c r="AW411" i="2"/>
  <c r="AR103" i="2"/>
  <c r="AU561" i="2"/>
  <c r="AR633" i="2"/>
  <c r="AS1085" i="2"/>
  <c r="AT201" i="2"/>
  <c r="AT576" i="2"/>
  <c r="AU863" i="2"/>
  <c r="AU690" i="2"/>
  <c r="AR632" i="2"/>
  <c r="AT627" i="2"/>
  <c r="AT692" i="2"/>
  <c r="AR373" i="2"/>
  <c r="AR1027" i="2"/>
  <c r="AT713" i="2"/>
  <c r="AT67" i="2"/>
  <c r="AW857" i="2"/>
  <c r="AW785" i="2"/>
  <c r="AW377" i="2"/>
  <c r="AU127" i="2"/>
  <c r="AW105" i="2"/>
  <c r="AR60" i="2"/>
  <c r="AW419" i="2"/>
  <c r="AR129" i="2"/>
  <c r="AS864" i="2"/>
  <c r="AU245" i="2"/>
  <c r="AU1288" i="2"/>
  <c r="AR900" i="2"/>
  <c r="AU569" i="2"/>
  <c r="AR140" i="2"/>
  <c r="AR154" i="2"/>
  <c r="AW150" i="2"/>
  <c r="AR235" i="2"/>
  <c r="AR156" i="2"/>
  <c r="AR133" i="2"/>
  <c r="AW202" i="2"/>
  <c r="AW8" i="2"/>
  <c r="AR639" i="2"/>
  <c r="AT1166" i="2"/>
  <c r="AT1196" i="2"/>
  <c r="AW159" i="2"/>
  <c r="AR463" i="2"/>
  <c r="AR1073" i="2"/>
  <c r="AT528" i="2"/>
  <c r="AR269" i="2"/>
  <c r="AU135" i="2"/>
  <c r="AW140" i="2"/>
  <c r="AR52" i="2"/>
  <c r="AR758" i="2"/>
  <c r="AW655" i="2"/>
  <c r="AT296" i="2"/>
  <c r="AW967" i="2"/>
  <c r="AT1208" i="2"/>
  <c r="AW664" i="2"/>
  <c r="AU468" i="2"/>
  <c r="AW981" i="2"/>
  <c r="AT483" i="2"/>
  <c r="AR458" i="2"/>
  <c r="AT1138" i="2"/>
  <c r="AT126" i="2"/>
  <c r="AW1270" i="2"/>
  <c r="AT408" i="2"/>
  <c r="AR693" i="2"/>
  <c r="AW131" i="2"/>
  <c r="AT246" i="2"/>
  <c r="AW288" i="2"/>
  <c r="AS201" i="2"/>
  <c r="AW834" i="2"/>
  <c r="AU792" i="2"/>
  <c r="AW557" i="2"/>
  <c r="AW483" i="2"/>
  <c r="AS15" i="2"/>
  <c r="AW894" i="2"/>
  <c r="AR884" i="2"/>
  <c r="AW779" i="2"/>
  <c r="AW344" i="2"/>
  <c r="AS1176" i="2"/>
  <c r="AU426" i="2"/>
  <c r="AW706" i="2"/>
  <c r="AW317" i="2"/>
  <c r="AT978" i="2"/>
  <c r="AR1061" i="2"/>
  <c r="AT1126" i="2"/>
  <c r="AW601" i="2"/>
  <c r="AU540" i="2"/>
  <c r="AR549" i="2"/>
  <c r="AW931" i="2"/>
  <c r="AR981" i="2"/>
  <c r="AR218" i="2"/>
  <c r="AR593" i="2"/>
  <c r="AR531" i="2"/>
  <c r="AT169" i="2"/>
  <c r="AT867" i="2"/>
  <c r="AR823" i="2"/>
  <c r="AU20" i="2"/>
  <c r="AW922" i="2"/>
  <c r="AW919" i="2"/>
  <c r="AU862" i="2"/>
  <c r="AW963" i="2"/>
  <c r="AU1056" i="2"/>
  <c r="AU1013" i="2"/>
  <c r="AU770" i="2"/>
  <c r="AW357" i="2"/>
  <c r="AW16" i="2"/>
  <c r="AW661" i="2"/>
  <c r="AW349" i="2"/>
  <c r="AR1146" i="2"/>
  <c r="AT1026" i="2"/>
  <c r="AR894" i="2"/>
  <c r="AU259" i="2"/>
  <c r="AW540" i="2"/>
  <c r="AR540" i="2"/>
  <c r="AW525" i="2"/>
  <c r="AR423" i="2"/>
  <c r="AR675" i="2"/>
  <c r="AW425" i="2"/>
  <c r="AW133" i="2"/>
  <c r="AT51" i="2"/>
  <c r="AU133" i="2"/>
  <c r="AR8" i="2"/>
  <c r="AT304" i="2"/>
  <c r="AU1006" i="2"/>
  <c r="AR1110" i="2"/>
  <c r="AU1097" i="2"/>
  <c r="AW943" i="2"/>
  <c r="AW468" i="2"/>
  <c r="AT847" i="2"/>
  <c r="AW189" i="2"/>
  <c r="AT587" i="2"/>
  <c r="AW379" i="2"/>
  <c r="AR541" i="2"/>
  <c r="AT429" i="2"/>
  <c r="AU94" i="2"/>
  <c r="AW442" i="2"/>
  <c r="AT435" i="2"/>
  <c r="AT72" i="2"/>
  <c r="AT512" i="2"/>
  <c r="AS274" i="2"/>
  <c r="AT705" i="2"/>
  <c r="AR328" i="2"/>
  <c r="AS235" i="2"/>
  <c r="AU13" i="2"/>
  <c r="AR903" i="2"/>
  <c r="AS663" i="2"/>
  <c r="AT1174" i="2"/>
  <c r="AS359" i="2"/>
  <c r="AW123" i="2"/>
  <c r="AR497" i="2"/>
  <c r="AW6" i="2"/>
  <c r="AW186" i="2"/>
  <c r="AR805" i="2"/>
  <c r="AW988" i="2"/>
  <c r="AW260" i="2"/>
  <c r="AR676" i="2"/>
  <c r="AT340" i="2"/>
  <c r="AR1185" i="2"/>
  <c r="AU1127" i="2"/>
  <c r="AW474" i="2"/>
  <c r="AT213" i="2"/>
  <c r="AW378" i="2"/>
  <c r="AS298" i="2"/>
  <c r="AW156" i="2"/>
  <c r="AW406" i="2"/>
  <c r="AS124" i="2"/>
  <c r="AW21" i="2"/>
  <c r="AU78" i="2"/>
  <c r="AT293" i="2"/>
  <c r="AW533" i="2"/>
  <c r="AT290" i="2"/>
  <c r="AS6" i="2"/>
  <c r="AT359" i="2"/>
  <c r="AW255" i="2"/>
  <c r="AW217" i="2"/>
  <c r="AU153" i="2"/>
  <c r="AW192" i="2"/>
  <c r="AR792" i="2"/>
  <c r="AU740" i="2"/>
  <c r="AW263" i="2"/>
  <c r="AU888" i="2"/>
  <c r="AT1078" i="2"/>
  <c r="AT996" i="2"/>
  <c r="AT1207" i="2"/>
  <c r="AR1022" i="2"/>
  <c r="AR1138" i="2"/>
  <c r="AR872" i="2"/>
  <c r="AR759" i="2"/>
  <c r="AT555" i="2"/>
  <c r="AT14" i="2"/>
  <c r="AT23" i="2"/>
  <c r="AT1267" i="2"/>
  <c r="AR822" i="2"/>
  <c r="AT1108" i="2"/>
  <c r="AU827" i="2"/>
  <c r="AT831" i="2"/>
  <c r="AU1276" i="2"/>
  <c r="AW1059" i="2"/>
  <c r="AW798" i="2"/>
  <c r="AW863" i="2"/>
  <c r="AT516" i="2"/>
  <c r="AT1110" i="2"/>
  <c r="AR1305" i="2"/>
  <c r="AU985" i="2"/>
  <c r="AW918" i="2"/>
  <c r="AS495" i="2"/>
  <c r="AU256" i="2"/>
  <c r="AT541" i="2"/>
  <c r="AU301" i="2"/>
  <c r="AS442" i="2"/>
  <c r="AS154" i="2"/>
  <c r="AR94" i="2"/>
  <c r="AR78" i="2"/>
  <c r="AR114" i="2"/>
  <c r="AT481" i="2"/>
  <c r="AS503" i="2"/>
  <c r="AW95" i="2"/>
  <c r="AR161" i="2"/>
  <c r="AU876" i="2"/>
  <c r="AS895" i="2"/>
  <c r="AR1174" i="2"/>
  <c r="AW355" i="2"/>
  <c r="AU108" i="2"/>
  <c r="AT145" i="2"/>
  <c r="AT381" i="2"/>
  <c r="AT638" i="2"/>
  <c r="AU541" i="2"/>
  <c r="AR118" i="2"/>
  <c r="AR494" i="2"/>
  <c r="AS494" i="2"/>
  <c r="AR267" i="2"/>
  <c r="AR740" i="2"/>
  <c r="AT807" i="2"/>
  <c r="AS1162" i="2"/>
  <c r="AR1032" i="2"/>
  <c r="AR1203" i="2"/>
  <c r="AW697" i="2"/>
  <c r="AW725" i="2"/>
  <c r="AR430" i="2"/>
  <c r="AW87" i="2"/>
  <c r="AU442" i="2"/>
  <c r="AW451" i="2"/>
  <c r="AU15" i="2"/>
  <c r="AW458" i="2"/>
  <c r="AU8" i="2"/>
  <c r="AW145" i="2"/>
  <c r="AR393" i="2"/>
  <c r="AR312" i="2"/>
  <c r="AW326" i="2"/>
  <c r="AR1034" i="2"/>
  <c r="AW814" i="2"/>
  <c r="AW365" i="2"/>
  <c r="AW307" i="2"/>
  <c r="AR1090" i="2"/>
  <c r="AT1320" i="2"/>
  <c r="AR233" i="2"/>
  <c r="AR941" i="2"/>
  <c r="AR761" i="2"/>
  <c r="AR668" i="2"/>
  <c r="AT425" i="2"/>
  <c r="AR456" i="2"/>
  <c r="AU17" i="2"/>
  <c r="AR442" i="2"/>
  <c r="AT414" i="2"/>
  <c r="AW235" i="2"/>
  <c r="AR15" i="2"/>
  <c r="AW682" i="2"/>
  <c r="AT217" i="2"/>
  <c r="AR213" i="2"/>
  <c r="AR32" i="2"/>
  <c r="AU849" i="2"/>
  <c r="AU600" i="2"/>
  <c r="AW167" i="2"/>
  <c r="AR248" i="2"/>
  <c r="AW657" i="2"/>
  <c r="AU651" i="2"/>
  <c r="AW92" i="2"/>
  <c r="AW563" i="2"/>
  <c r="AR694" i="2"/>
  <c r="AR1269" i="2"/>
  <c r="AW761" i="2"/>
  <c r="AU697" i="2"/>
  <c r="AT507" i="2"/>
  <c r="AS440" i="2"/>
  <c r="AR455" i="2"/>
  <c r="AR661" i="2"/>
  <c r="AW15" i="2"/>
  <c r="AU72" i="2"/>
  <c r="AT125" i="2"/>
  <c r="AW32" i="2"/>
  <c r="AR876" i="2"/>
  <c r="AR1288" i="2"/>
  <c r="AU123" i="2"/>
  <c r="AR723" i="2"/>
  <c r="AU56" i="2"/>
  <c r="AT265" i="2"/>
  <c r="AT138" i="2"/>
  <c r="AT11" i="2"/>
  <c r="AW14" i="2"/>
  <c r="AW1227" i="2"/>
  <c r="AW1104" i="2"/>
  <c r="AW1054" i="2"/>
  <c r="AR1077" i="2"/>
  <c r="AW947" i="2"/>
  <c r="AT424" i="2"/>
  <c r="AW623" i="2"/>
  <c r="AW269" i="2"/>
  <c r="AU1125" i="2"/>
  <c r="AW739" i="2"/>
  <c r="AW252" i="2"/>
  <c r="AU154" i="2"/>
  <c r="AS269" i="2"/>
  <c r="AS17" i="2"/>
  <c r="AT716" i="2"/>
  <c r="AR364" i="2"/>
  <c r="AR241" i="2"/>
  <c r="AU385" i="2"/>
  <c r="AS529" i="2"/>
  <c r="AU196" i="2"/>
  <c r="AR784" i="2"/>
  <c r="AU212" i="2"/>
  <c r="AW96" i="2"/>
  <c r="AR72" i="2"/>
  <c r="AR217" i="2"/>
  <c r="AT458" i="2"/>
  <c r="AT63" i="2"/>
  <c r="AT1121" i="2"/>
  <c r="AT123" i="2"/>
  <c r="AU126" i="2"/>
  <c r="AW158" i="2"/>
  <c r="AW70" i="2"/>
  <c r="AW169" i="2"/>
  <c r="AW219" i="2"/>
  <c r="AW49" i="2"/>
  <c r="AS624" i="2"/>
  <c r="AR624" i="2"/>
  <c r="AU624" i="2"/>
  <c r="AT624" i="2"/>
  <c r="AW624" i="2"/>
  <c r="AU1035" i="2"/>
  <c r="AT1035" i="2"/>
  <c r="AS1035" i="2"/>
  <c r="AW665" i="2"/>
  <c r="AT665" i="2"/>
  <c r="AU665" i="2"/>
  <c r="AR665" i="2"/>
  <c r="AT170" i="2"/>
  <c r="AR170" i="2"/>
  <c r="AU170" i="2"/>
  <c r="AS170" i="2"/>
  <c r="AU1206" i="2"/>
  <c r="AW927" i="2"/>
  <c r="AS927" i="2"/>
  <c r="AT908" i="2"/>
  <c r="AU908" i="2"/>
  <c r="AT24" i="2"/>
  <c r="AS24" i="2"/>
  <c r="AW428" i="2"/>
  <c r="AS428" i="2"/>
  <c r="AU1266" i="2"/>
  <c r="AR1065" i="2"/>
  <c r="AR886" i="2"/>
  <c r="AS886" i="2"/>
  <c r="AW1004" i="2"/>
  <c r="AW770" i="2"/>
  <c r="AU172" i="2"/>
  <c r="AR172" i="2"/>
  <c r="AW1240" i="2"/>
  <c r="AT1082" i="2"/>
  <c r="AU1185" i="2"/>
  <c r="AR380" i="2"/>
  <c r="AU380" i="2"/>
  <c r="AS380" i="2"/>
  <c r="AT380" i="2"/>
  <c r="AS30" i="2"/>
  <c r="AW30" i="2"/>
  <c r="AU607" i="2"/>
  <c r="AS607" i="2"/>
  <c r="AR467" i="2"/>
  <c r="AT467" i="2"/>
  <c r="AU467" i="2"/>
  <c r="AS467" i="2"/>
  <c r="AW1319" i="2"/>
  <c r="AS91" i="2"/>
  <c r="AT91" i="2"/>
  <c r="AW840" i="2"/>
  <c r="AU579" i="2"/>
  <c r="AT579" i="2"/>
  <c r="AS579" i="2"/>
  <c r="AT1154" i="2"/>
  <c r="AR1187" i="2"/>
  <c r="AS463" i="2"/>
  <c r="AS543" i="2"/>
  <c r="AR543" i="2"/>
  <c r="AW543" i="2"/>
  <c r="AT755" i="2"/>
  <c r="AS755" i="2"/>
  <c r="AU755" i="2"/>
  <c r="AU597" i="2"/>
  <c r="AW597" i="2"/>
  <c r="AS597" i="2"/>
  <c r="AR597" i="2"/>
  <c r="AW1072" i="2"/>
  <c r="AS1004" i="2"/>
  <c r="AT1004" i="2"/>
  <c r="AR545" i="2"/>
  <c r="AS545" i="2"/>
  <c r="AT413" i="2"/>
  <c r="AU413" i="2"/>
  <c r="AR413" i="2"/>
  <c r="AS794" i="2"/>
  <c r="AR794" i="2"/>
  <c r="AS656" i="2"/>
  <c r="AR656" i="2"/>
  <c r="AT774" i="2"/>
  <c r="AU774" i="2"/>
  <c r="AS774" i="2"/>
  <c r="AW774" i="2"/>
  <c r="AR774" i="2"/>
  <c r="AU117" i="2"/>
  <c r="AS117" i="2"/>
  <c r="AW1231" i="2"/>
  <c r="AT607" i="2"/>
  <c r="AW152" i="2"/>
  <c r="AR152" i="2"/>
  <c r="AR1114" i="2"/>
  <c r="AS1114" i="2"/>
  <c r="AT1114" i="2"/>
  <c r="AT1011" i="2"/>
  <c r="AR1011" i="2"/>
  <c r="AT877" i="2"/>
  <c r="AS877" i="2"/>
  <c r="AR877" i="2"/>
  <c r="AS966" i="2"/>
  <c r="AU966" i="2"/>
  <c r="AR1152" i="2"/>
  <c r="AS1152" i="2"/>
  <c r="AU1152" i="2"/>
  <c r="AT1012" i="2"/>
  <c r="AW1012" i="2"/>
  <c r="AT916" i="2"/>
  <c r="AU916" i="2"/>
  <c r="AS896" i="2"/>
  <c r="AW896" i="2"/>
  <c r="AS599" i="2"/>
  <c r="AT599" i="2"/>
  <c r="AU599" i="2"/>
  <c r="AR599" i="2"/>
  <c r="AS1196" i="2"/>
  <c r="AS238" i="2"/>
  <c r="AT238" i="2"/>
  <c r="AW238" i="2"/>
  <c r="AT1244" i="2"/>
  <c r="AS1244" i="2"/>
  <c r="AW1244" i="2"/>
  <c r="AW139" i="2"/>
  <c r="AS139" i="2"/>
  <c r="AR519" i="2"/>
  <c r="AT519" i="2"/>
  <c r="AS519" i="2"/>
  <c r="AU519" i="2"/>
  <c r="AR840" i="2"/>
  <c r="AS840" i="2"/>
  <c r="AU840" i="2"/>
  <c r="AT1144" i="2"/>
  <c r="AS1144" i="2"/>
  <c r="AW1103" i="2"/>
  <c r="AT1265" i="2"/>
  <c r="AR1239" i="2"/>
  <c r="AR1314" i="2"/>
  <c r="AW571" i="2"/>
  <c r="AS571" i="2"/>
  <c r="AT249" i="2"/>
  <c r="AS249" i="2"/>
  <c r="AR433" i="2"/>
  <c r="AU433" i="2"/>
  <c r="AS685" i="2"/>
  <c r="AR685" i="2"/>
  <c r="AS1239" i="2"/>
  <c r="AU1305" i="2"/>
  <c r="AT545" i="2"/>
  <c r="AS271" i="2"/>
  <c r="AU271" i="2"/>
  <c r="AU685" i="2"/>
  <c r="AR1004" i="2"/>
  <c r="AW908" i="2"/>
  <c r="AW249" i="2"/>
  <c r="AR132" i="2"/>
  <c r="AW456" i="2"/>
  <c r="AU47" i="2"/>
  <c r="AW607" i="2"/>
  <c r="AS371" i="2"/>
  <c r="AT117" i="2"/>
  <c r="AU398" i="2"/>
  <c r="AU161" i="2"/>
  <c r="AT421" i="2"/>
  <c r="AU63" i="2"/>
  <c r="AW138" i="2"/>
  <c r="AT921" i="2"/>
  <c r="AW62" i="2"/>
  <c r="AW132" i="2"/>
  <c r="AT728" i="2"/>
  <c r="AT688" i="2"/>
  <c r="AW4" i="2"/>
  <c r="AW595" i="2"/>
  <c r="AW575" i="2"/>
  <c r="AW98" i="2"/>
  <c r="AU82" i="2"/>
  <c r="AR105" i="2"/>
  <c r="AU570" i="2"/>
  <c r="AU99" i="2"/>
  <c r="AW39" i="2"/>
  <c r="AT288" i="2"/>
  <c r="AR69" i="2"/>
  <c r="AU57" i="2"/>
  <c r="AR765" i="2"/>
  <c r="AR1210" i="2"/>
  <c r="AU65" i="2"/>
  <c r="AW108" i="2"/>
  <c r="AR1212" i="2"/>
  <c r="AT167" i="2"/>
  <c r="AU1240" i="2"/>
  <c r="AR1163" i="2"/>
  <c r="AU1059" i="2"/>
  <c r="AR1069" i="2"/>
  <c r="AT1253" i="2"/>
  <c r="AR1227" i="2"/>
  <c r="AR788" i="2"/>
  <c r="AW966" i="2"/>
  <c r="AW808" i="2"/>
  <c r="AW1065" i="2"/>
  <c r="AU1203" i="2"/>
  <c r="AW818" i="2"/>
  <c r="AR754" i="2"/>
  <c r="AW638" i="2"/>
  <c r="AW464" i="2"/>
  <c r="AW797" i="2"/>
  <c r="AU189" i="2"/>
  <c r="AW790" i="2"/>
  <c r="AW728" i="2"/>
  <c r="AW149" i="2"/>
  <c r="AW188" i="2"/>
  <c r="AR1161" i="2"/>
  <c r="AU802" i="2"/>
  <c r="AS452" i="2"/>
  <c r="AR10" i="2"/>
  <c r="AU386" i="2"/>
  <c r="AW116" i="2"/>
  <c r="AS233" i="2"/>
  <c r="AS53" i="2"/>
  <c r="AU296" i="2"/>
  <c r="AR398" i="2"/>
  <c r="AW651" i="2"/>
  <c r="AS978" i="2"/>
  <c r="AR657" i="2"/>
  <c r="AS872" i="2"/>
  <c r="AR24" i="2"/>
  <c r="AT172" i="2"/>
  <c r="AU152" i="2"/>
  <c r="AT247" i="2"/>
  <c r="AR238" i="2"/>
  <c r="AR1193" i="2"/>
  <c r="AT1215" i="2"/>
  <c r="AT857" i="2"/>
  <c r="AR709" i="2"/>
  <c r="AU1040" i="2"/>
  <c r="AU656" i="2"/>
  <c r="AW993" i="2"/>
  <c r="AT754" i="2"/>
  <c r="AW940" i="2"/>
  <c r="AR716" i="2"/>
  <c r="AU521" i="2"/>
  <c r="AU446" i="2"/>
  <c r="AU743" i="2"/>
  <c r="AR93" i="2"/>
  <c r="AW10" i="2"/>
  <c r="AR61" i="2"/>
  <c r="AT676" i="2"/>
  <c r="AS296" i="2"/>
  <c r="AS593" i="2"/>
  <c r="AW387" i="2"/>
  <c r="AR197" i="2"/>
  <c r="AT3" i="2"/>
  <c r="AW197" i="2"/>
  <c r="AW63" i="2"/>
  <c r="AT57" i="2"/>
  <c r="AS1034" i="2"/>
  <c r="AS941" i="2"/>
  <c r="AR1241" i="2"/>
  <c r="AU54" i="2"/>
  <c r="AS108" i="2"/>
  <c r="AW142" i="2"/>
  <c r="AW555" i="2"/>
  <c r="AW151" i="2"/>
  <c r="AT602" i="2"/>
  <c r="AU595" i="2"/>
  <c r="AU30" i="2"/>
  <c r="AT428" i="2"/>
  <c r="AR607" i="2"/>
  <c r="AT61" i="2"/>
  <c r="AW53" i="2"/>
  <c r="AU255" i="2"/>
  <c r="AU684" i="2"/>
  <c r="AS126" i="2"/>
  <c r="AW413" i="2"/>
  <c r="AW170" i="2"/>
  <c r="AR993" i="2"/>
  <c r="AW689" i="2"/>
  <c r="AW880" i="2"/>
  <c r="AU1106" i="2"/>
  <c r="AW1040" i="2"/>
  <c r="AS709" i="2"/>
  <c r="AR159" i="2"/>
  <c r="AT797" i="2"/>
  <c r="AW471" i="2"/>
  <c r="AW364" i="2"/>
  <c r="AW222" i="2"/>
  <c r="AR420" i="2"/>
  <c r="AR595" i="2"/>
  <c r="AW539" i="2"/>
  <c r="AW507" i="2"/>
  <c r="AW446" i="2"/>
  <c r="AR428" i="2"/>
  <c r="AR802" i="2"/>
  <c r="AU452" i="2"/>
  <c r="AW429" i="2"/>
  <c r="AW743" i="2"/>
  <c r="AS61" i="2"/>
  <c r="AU364" i="2"/>
  <c r="AW57" i="2"/>
  <c r="AS1022" i="2"/>
  <c r="AS878" i="2"/>
  <c r="AS1250" i="2"/>
  <c r="AT65" i="2"/>
  <c r="AU166" i="2"/>
  <c r="AW635" i="2"/>
  <c r="AT570" i="2"/>
  <c r="AR198" i="2"/>
  <c r="AR396" i="2"/>
  <c r="AU89" i="2"/>
  <c r="AT316" i="2"/>
  <c r="AR30" i="2"/>
  <c r="AW738" i="2"/>
  <c r="AW259" i="2"/>
  <c r="AW990" i="2"/>
  <c r="AW256" i="2"/>
  <c r="AU139" i="2"/>
  <c r="AT98" i="2"/>
  <c r="AU278" i="2"/>
  <c r="AR117" i="2"/>
  <c r="AS365" i="2"/>
  <c r="AT398" i="2"/>
  <c r="AU95" i="2"/>
  <c r="AT120" i="2"/>
  <c r="AW161" i="2"/>
  <c r="AS1210" i="2"/>
  <c r="AR178" i="2"/>
  <c r="AW126" i="2"/>
  <c r="AR1008" i="2"/>
  <c r="AU1096" i="2"/>
  <c r="AR966" i="2"/>
  <c r="AW975" i="2"/>
  <c r="AU1104" i="2"/>
  <c r="AU896" i="2"/>
  <c r="AT1106" i="2"/>
  <c r="AR1040" i="2"/>
  <c r="AR844" i="2"/>
  <c r="AW467" i="2"/>
  <c r="AT981" i="2"/>
  <c r="AU631" i="2"/>
  <c r="AW1056" i="2"/>
  <c r="AW754" i="2"/>
  <c r="AR697" i="2"/>
  <c r="AU501" i="2"/>
  <c r="AW264" i="2"/>
  <c r="AS973" i="2"/>
  <c r="AW716" i="2"/>
  <c r="AS790" i="2"/>
  <c r="AU725" i="2"/>
  <c r="AW417" i="2"/>
  <c r="AU420" i="2"/>
  <c r="AW205" i="2"/>
  <c r="AR574" i="2"/>
  <c r="AT139" i="2"/>
  <c r="AS1161" i="2"/>
  <c r="AT271" i="2"/>
  <c r="AT196" i="2"/>
  <c r="AW691" i="2"/>
  <c r="AW318" i="2"/>
  <c r="AT575" i="2"/>
  <c r="AT437" i="2"/>
  <c r="AS38" i="2"/>
  <c r="AR237" i="2"/>
  <c r="AT233" i="2"/>
  <c r="AU447" i="2"/>
  <c r="AR682" i="2"/>
  <c r="AW676" i="2"/>
  <c r="AR344" i="2"/>
  <c r="AW102" i="2"/>
  <c r="AU90" i="2"/>
  <c r="AR288" i="2"/>
  <c r="AW267" i="2"/>
  <c r="AU192" i="2"/>
  <c r="AT355" i="2"/>
  <c r="AR108" i="2"/>
  <c r="AU508" i="2"/>
  <c r="AU324" i="2"/>
  <c r="AT1187" i="2"/>
  <c r="AU1012" i="2"/>
  <c r="AR1104" i="2"/>
  <c r="AR896" i="2"/>
  <c r="AR857" i="2"/>
  <c r="AU972" i="2"/>
  <c r="AW685" i="2"/>
  <c r="AR990" i="2"/>
  <c r="AR797" i="2"/>
  <c r="AR973" i="2"/>
  <c r="AW175" i="2"/>
  <c r="AR417" i="2"/>
  <c r="AU222" i="2"/>
  <c r="AS420" i="2"/>
  <c r="AS222" i="2"/>
  <c r="AR262" i="2"/>
  <c r="AT1161" i="2"/>
  <c r="AW187" i="2"/>
  <c r="AT337" i="2"/>
  <c r="AR45" i="2"/>
  <c r="AU274" i="2"/>
  <c r="AW117" i="2"/>
  <c r="AS424" i="2"/>
  <c r="AR1085" i="2"/>
  <c r="AR1148" i="2"/>
  <c r="AS1104" i="2"/>
  <c r="AT936" i="2"/>
  <c r="AR1029" i="2"/>
  <c r="AR1092" i="2"/>
  <c r="AW862" i="2"/>
  <c r="AW815" i="2"/>
  <c r="AS947" i="2"/>
  <c r="AU1004" i="2"/>
  <c r="AT697" i="2"/>
  <c r="AW501" i="2"/>
  <c r="AW383" i="2"/>
  <c r="AU797" i="2"/>
  <c r="AT276" i="2"/>
  <c r="AT193" i="2"/>
  <c r="AT455" i="2"/>
  <c r="AU354" i="2"/>
  <c r="AR139" i="2"/>
  <c r="AS131" i="2"/>
  <c r="AR613" i="2"/>
  <c r="AS21" i="2"/>
  <c r="AR127" i="2"/>
  <c r="AW384" i="2"/>
  <c r="AU300" i="2"/>
  <c r="AR505" i="2"/>
  <c r="AT439" i="2"/>
  <c r="AW120" i="2"/>
  <c r="AT161" i="2"/>
  <c r="AU247" i="2"/>
  <c r="AR91" i="2"/>
  <c r="AU49" i="2"/>
  <c r="AU26" i="2"/>
  <c r="AR49" i="2"/>
  <c r="AR1060" i="2"/>
  <c r="AR1215" i="2"/>
  <c r="AU1215" i="2"/>
  <c r="AU887" i="2"/>
  <c r="AT887" i="2"/>
  <c r="AR887" i="2"/>
  <c r="AW432" i="2"/>
  <c r="AU134" i="2"/>
  <c r="AT134" i="2"/>
  <c r="AR287" i="2"/>
  <c r="AS287" i="2"/>
  <c r="AW1060" i="2"/>
  <c r="AW658" i="2"/>
  <c r="AU658" i="2"/>
  <c r="AT1095" i="2"/>
  <c r="AS1095" i="2"/>
  <c r="AT407" i="2"/>
  <c r="AS407" i="2"/>
  <c r="AR407" i="2"/>
  <c r="AU407" i="2"/>
  <c r="AS109" i="2"/>
  <c r="AR109" i="2"/>
  <c r="AU122" i="2"/>
  <c r="AT122" i="2"/>
  <c r="AT1049" i="2"/>
  <c r="AW730" i="2"/>
  <c r="AT1260" i="2"/>
  <c r="AU1254" i="2"/>
  <c r="AU1166" i="2"/>
  <c r="AU1049" i="2"/>
  <c r="AS1069" i="2"/>
  <c r="AR991" i="2"/>
  <c r="AR1184" i="2"/>
  <c r="AW898" i="2"/>
  <c r="AT1193" i="2"/>
  <c r="AS1169" i="2"/>
  <c r="AR1048" i="2"/>
  <c r="AW1092" i="2"/>
  <c r="AU785" i="2"/>
  <c r="AS785" i="2"/>
  <c r="AR785" i="2"/>
  <c r="AU557" i="2"/>
  <c r="AW763" i="2"/>
  <c r="AU477" i="2"/>
  <c r="AW407" i="2"/>
  <c r="AR796" i="2"/>
  <c r="AS938" i="2"/>
  <c r="AR938" i="2"/>
  <c r="AS763" i="2"/>
  <c r="AT763" i="2"/>
  <c r="AR587" i="2"/>
  <c r="AR946" i="2"/>
  <c r="AT946" i="2"/>
  <c r="AS946" i="2"/>
  <c r="AS160" i="2"/>
  <c r="AT160" i="2"/>
  <c r="AR160" i="2"/>
  <c r="AR1253" i="2"/>
  <c r="AR845" i="2"/>
  <c r="AW938" i="2"/>
  <c r="AS739" i="2"/>
  <c r="AU739" i="2"/>
  <c r="AT739" i="2"/>
  <c r="AR1245" i="2"/>
  <c r="AW1098" i="2"/>
  <c r="AR1162" i="2"/>
  <c r="AU1008" i="2"/>
  <c r="AW991" i="2"/>
  <c r="AU1193" i="2"/>
  <c r="AW1080" i="2"/>
  <c r="AR1127" i="2"/>
  <c r="AR1106" i="2"/>
  <c r="AU938" i="2"/>
  <c r="AR19" i="2"/>
  <c r="AT19" i="2"/>
  <c r="AU19" i="2"/>
  <c r="AR434" i="2"/>
  <c r="AT434" i="2"/>
  <c r="AU1163" i="2"/>
  <c r="AR1016" i="2"/>
  <c r="AU1095" i="2"/>
  <c r="AS887" i="2"/>
  <c r="AW391" i="2"/>
  <c r="AU230" i="2"/>
  <c r="AT230" i="2"/>
  <c r="AS230" i="2"/>
  <c r="AR230" i="2"/>
  <c r="AU183" i="2"/>
  <c r="AT183" i="2"/>
  <c r="AS183" i="2"/>
  <c r="AR183" i="2"/>
  <c r="AW434" i="2"/>
  <c r="AT1184" i="2"/>
  <c r="AT844" i="2"/>
  <c r="AS844" i="2"/>
  <c r="AU817" i="2"/>
  <c r="AS817" i="2"/>
  <c r="AR817" i="2"/>
  <c r="AU180" i="2"/>
  <c r="AR180" i="2"/>
  <c r="AW180" i="2"/>
  <c r="AR1300" i="2"/>
  <c r="AU450" i="2"/>
  <c r="AS450" i="2"/>
  <c r="AR450" i="2"/>
  <c r="AR147" i="2"/>
  <c r="AS147" i="2"/>
  <c r="AT147" i="2"/>
  <c r="AU147" i="2"/>
  <c r="AR337" i="2"/>
  <c r="AW147" i="2"/>
  <c r="AW1245" i="2"/>
  <c r="AU1239" i="2"/>
  <c r="AU1162" i="2"/>
  <c r="AS1253" i="2"/>
  <c r="AW986" i="2"/>
  <c r="AS1054" i="2"/>
  <c r="AR1054" i="2"/>
  <c r="AU880" i="2"/>
  <c r="AR880" i="2"/>
  <c r="AS1077" i="2"/>
  <c r="AW535" i="2"/>
  <c r="AT383" i="2"/>
  <c r="AR383" i="2"/>
  <c r="AS383" i="2"/>
  <c r="AU383" i="2"/>
  <c r="AW817" i="2"/>
  <c r="AU441" i="2"/>
  <c r="AR441" i="2"/>
  <c r="AR1100" i="2"/>
  <c r="AR1169" i="2"/>
  <c r="AR1274" i="2"/>
  <c r="AR1166" i="2"/>
  <c r="AT1069" i="2"/>
  <c r="AT1169" i="2"/>
  <c r="AU773" i="2"/>
  <c r="AW773" i="2"/>
  <c r="AR773" i="2"/>
  <c r="AU432" i="2"/>
  <c r="AS432" i="2"/>
  <c r="AW710" i="2"/>
  <c r="AS548" i="2"/>
  <c r="AT548" i="2"/>
  <c r="AT131" i="2"/>
  <c r="AU451" i="2"/>
  <c r="AR293" i="2"/>
  <c r="AU421" i="2"/>
  <c r="AW337" i="2"/>
  <c r="AW600" i="2"/>
  <c r="AU709" i="2"/>
  <c r="AR947" i="2"/>
  <c r="AT709" i="2"/>
  <c r="AU981" i="2"/>
  <c r="AT710" i="2"/>
  <c r="AW291" i="2"/>
  <c r="AR483" i="2"/>
  <c r="AT1013" i="2"/>
  <c r="AT817" i="2"/>
  <c r="AW653" i="2"/>
  <c r="AW243" i="2"/>
  <c r="AT159" i="2"/>
  <c r="AW74" i="2"/>
  <c r="AU193" i="2"/>
  <c r="AW688" i="2"/>
  <c r="AS294" i="2"/>
  <c r="AW246" i="2"/>
  <c r="AW435" i="2"/>
  <c r="AT21" i="2"/>
  <c r="AR363" i="2"/>
  <c r="AW171" i="2"/>
  <c r="AW38" i="2"/>
  <c r="AT274" i="2"/>
  <c r="AS293" i="2"/>
  <c r="AT31" i="2"/>
  <c r="AT415" i="2"/>
  <c r="AT387" i="2"/>
  <c r="AU217" i="2"/>
  <c r="AS152" i="2"/>
  <c r="AR225" i="2"/>
  <c r="AW486" i="2"/>
  <c r="AU471" i="2"/>
  <c r="AW973" i="2"/>
  <c r="AW668" i="2"/>
  <c r="AW587" i="2"/>
  <c r="AW193" i="2"/>
  <c r="AW234" i="2"/>
  <c r="AR498" i="2"/>
  <c r="AW237" i="2"/>
  <c r="AW278" i="2"/>
  <c r="AR512" i="2"/>
  <c r="AW414" i="2"/>
  <c r="AU415" i="2"/>
  <c r="AU387" i="2"/>
  <c r="AS178" i="2"/>
  <c r="AU263" i="2"/>
  <c r="AT245" i="2"/>
  <c r="AW173" i="2"/>
  <c r="AW731" i="2"/>
  <c r="AT947" i="2"/>
  <c r="AU990" i="2"/>
  <c r="AR1030" i="2"/>
  <c r="AT622" i="2"/>
  <c r="AS429" i="2"/>
  <c r="AU132" i="2"/>
  <c r="AU414" i="2"/>
  <c r="AW548" i="2"/>
  <c r="AR451" i="2"/>
  <c r="AR401" i="2"/>
  <c r="AW415" i="2"/>
  <c r="AW439" i="2"/>
  <c r="AT45" i="2"/>
  <c r="AU238" i="2"/>
  <c r="AW201" i="2"/>
  <c r="AW93" i="2"/>
  <c r="AW178" i="2"/>
  <c r="AW885" i="2"/>
  <c r="AT173" i="2"/>
  <c r="AW154" i="2"/>
  <c r="AU29" i="2"/>
  <c r="AW225" i="2"/>
  <c r="AU167" i="2"/>
  <c r="AR166" i="2"/>
  <c r="AW292" i="2"/>
  <c r="AR97" i="2"/>
  <c r="AR23" i="2"/>
  <c r="AW97" i="2"/>
  <c r="AU939" i="2"/>
  <c r="AW721" i="2"/>
  <c r="AT938" i="2"/>
  <c r="AT990" i="2"/>
  <c r="AS159" i="2"/>
  <c r="AT973" i="2"/>
  <c r="AR249" i="2"/>
  <c r="AW179" i="2"/>
  <c r="AR134" i="2"/>
  <c r="AT529" i="2"/>
  <c r="AU545" i="2"/>
  <c r="AW441" i="2"/>
  <c r="AR182" i="2"/>
  <c r="AW450" i="2"/>
  <c r="AR448" i="2"/>
  <c r="AR246" i="2"/>
  <c r="AU613" i="2"/>
  <c r="AT237" i="2"/>
  <c r="AW25" i="2"/>
  <c r="AU237" i="2"/>
  <c r="AU337" i="2"/>
  <c r="AU21" i="2"/>
  <c r="AR212" i="2"/>
  <c r="AS45" i="2"/>
  <c r="AW401" i="2"/>
  <c r="AW230" i="2"/>
  <c r="AU505" i="2"/>
  <c r="AT153" i="2"/>
  <c r="AW162" i="2"/>
  <c r="AW91" i="2"/>
  <c r="AR65" i="2"/>
  <c r="AT54" i="2"/>
  <c r="AT178" i="2"/>
  <c r="AU349" i="2"/>
  <c r="AU145" i="2"/>
  <c r="AW342" i="2"/>
  <c r="AR168" i="2"/>
  <c r="AT89" i="2"/>
  <c r="AU11" i="2"/>
  <c r="AU178" i="2"/>
  <c r="AR245" i="2"/>
  <c r="AW239" i="2"/>
  <c r="AW669" i="2"/>
  <c r="AW134" i="2"/>
  <c r="AW459" i="2"/>
  <c r="AW19" i="2"/>
  <c r="AW437" i="2"/>
  <c r="AU294" i="2"/>
  <c r="AT287" i="2"/>
  <c r="AW332" i="2"/>
  <c r="AR439" i="2"/>
  <c r="AW421" i="2"/>
  <c r="AW191" i="2"/>
  <c r="AS245" i="2"/>
  <c r="AW195" i="2"/>
  <c r="AS70" i="2"/>
  <c r="AU70" i="2"/>
  <c r="AW73" i="2"/>
  <c r="AU252" i="2"/>
  <c r="AW881" i="2"/>
  <c r="AW329" i="2"/>
  <c r="AW157" i="2"/>
  <c r="AU728" i="2"/>
  <c r="AW444" i="2"/>
  <c r="AW141" i="2"/>
  <c r="AT495" i="2"/>
  <c r="AU366" i="2"/>
  <c r="AW47" i="2"/>
  <c r="AT802" i="2"/>
  <c r="AT784" i="2"/>
  <c r="AR575" i="2"/>
  <c r="AW294" i="2"/>
  <c r="AT515" i="2"/>
  <c r="AW107" i="2"/>
  <c r="AR435" i="2"/>
  <c r="AW339" i="2"/>
  <c r="AT451" i="2"/>
  <c r="AT401" i="2"/>
  <c r="AU102" i="2"/>
  <c r="AT419" i="2"/>
  <c r="AW153" i="2"/>
  <c r="AT152" i="2"/>
  <c r="AW247" i="2"/>
  <c r="AR54" i="2"/>
  <c r="AU24" i="2"/>
  <c r="AW316" i="2"/>
  <c r="AT73" i="2"/>
  <c r="AT70" i="2"/>
  <c r="AT1203" i="2"/>
  <c r="AR948" i="2"/>
  <c r="AW887" i="2"/>
  <c r="AT773" i="2"/>
  <c r="AS990" i="2"/>
  <c r="AT1030" i="2"/>
  <c r="AW438" i="2"/>
  <c r="AR921" i="2"/>
  <c r="AU616" i="2"/>
  <c r="AU772" i="2"/>
  <c r="AR725" i="2"/>
  <c r="AR521" i="2"/>
  <c r="AR354" i="2"/>
  <c r="AU437" i="2"/>
  <c r="AU184" i="2"/>
  <c r="AR421" i="2"/>
  <c r="AU355" i="2"/>
  <c r="AU91" i="2"/>
  <c r="AS54" i="2"/>
  <c r="AW216" i="2"/>
  <c r="AR919" i="2"/>
  <c r="AT862" i="2"/>
  <c r="AW1003" i="2"/>
  <c r="AW796" i="2"/>
  <c r="AW504" i="2"/>
  <c r="AS616" i="2"/>
  <c r="AS921" i="2"/>
  <c r="AU495" i="2"/>
  <c r="AW297" i="2"/>
  <c r="AW477" i="2"/>
  <c r="AW71" i="2"/>
  <c r="AW137" i="2"/>
  <c r="AR908" i="2"/>
  <c r="AW465" i="2"/>
  <c r="AS728" i="2"/>
  <c r="AW7" i="2"/>
  <c r="AT354" i="2"/>
  <c r="AR445" i="2"/>
  <c r="AR165" i="2"/>
  <c r="AW28" i="2"/>
  <c r="AU946" i="2"/>
  <c r="AS613" i="2"/>
  <c r="AW515" i="2"/>
  <c r="AR184" i="2"/>
  <c r="AT116" i="2"/>
  <c r="AR548" i="2"/>
  <c r="AR38" i="2"/>
  <c r="AU512" i="2"/>
  <c r="AW266" i="2"/>
  <c r="AR125" i="2"/>
  <c r="AT389" i="2"/>
  <c r="AW114" i="2"/>
  <c r="AT505" i="2"/>
  <c r="AW545" i="2"/>
  <c r="AU419" i="2"/>
  <c r="AW112" i="2"/>
  <c r="AS421" i="2"/>
  <c r="AW218" i="2"/>
  <c r="AT197" i="2"/>
  <c r="AW24" i="2"/>
  <c r="AR56" i="2"/>
  <c r="AW608" i="2"/>
  <c r="AT1056" i="2"/>
  <c r="AS291" i="2"/>
  <c r="AW272" i="2"/>
  <c r="AS908" i="2"/>
  <c r="AU440" i="2"/>
  <c r="AS622" i="2"/>
  <c r="AS132" i="2"/>
  <c r="AR437" i="2"/>
  <c r="AU246" i="2"/>
  <c r="AT743" i="2"/>
  <c r="AT613" i="2"/>
  <c r="AT582" i="2"/>
  <c r="AU435" i="2"/>
  <c r="AT339" i="2"/>
  <c r="AU293" i="2"/>
  <c r="AR120" i="2"/>
  <c r="AR247" i="2"/>
  <c r="AW45" i="2"/>
  <c r="AW54" i="2"/>
  <c r="AW166" i="2"/>
  <c r="AW245" i="2"/>
  <c r="AR271" i="2"/>
  <c r="AU1298" i="2"/>
  <c r="AS1298" i="2"/>
  <c r="AR1298" i="2"/>
  <c r="AT1298" i="2"/>
  <c r="AR1157" i="2"/>
  <c r="AT1157" i="2"/>
  <c r="AU1157" i="2"/>
  <c r="AU712" i="2"/>
  <c r="AT712" i="2"/>
  <c r="AS712" i="2"/>
  <c r="AR712" i="2"/>
  <c r="AR50" i="2"/>
  <c r="AS50" i="2"/>
  <c r="AS1295" i="2"/>
  <c r="AU1295" i="2"/>
  <c r="AR1295" i="2"/>
  <c r="AU1179" i="2"/>
  <c r="AT1179" i="2"/>
  <c r="AS1179" i="2"/>
  <c r="AR1179" i="2"/>
  <c r="AU1143" i="2"/>
  <c r="AT1143" i="2"/>
  <c r="AS1143" i="2"/>
  <c r="AS1290" i="2"/>
  <c r="AR1290" i="2"/>
  <c r="AW1119" i="2"/>
  <c r="AU1100" i="2"/>
  <c r="AS1100" i="2"/>
  <c r="AT1263" i="2"/>
  <c r="AU1263" i="2"/>
  <c r="AS826" i="2"/>
  <c r="AR826" i="2"/>
  <c r="AT826" i="2"/>
  <c r="AT1155" i="2"/>
  <c r="AR1155" i="2"/>
  <c r="AU1155" i="2"/>
  <c r="AU1033" i="2"/>
  <c r="AT1033" i="2"/>
  <c r="AS1033" i="2"/>
  <c r="AR1033" i="2"/>
  <c r="AW1033" i="2"/>
  <c r="AT994" i="2"/>
  <c r="AS994" i="2"/>
  <c r="AR994" i="2"/>
  <c r="AW994" i="2"/>
  <c r="AU994" i="2"/>
  <c r="AS1080" i="2"/>
  <c r="AR1080" i="2"/>
  <c r="AU1080" i="2"/>
  <c r="AT1080" i="2"/>
  <c r="AW833" i="2"/>
  <c r="AT1065" i="2"/>
  <c r="AU1065" i="2"/>
  <c r="AS1065" i="2"/>
  <c r="AU937" i="2"/>
  <c r="AW937" i="2"/>
  <c r="AT937" i="2"/>
  <c r="AS937" i="2"/>
  <c r="AR937" i="2"/>
  <c r="AT1077" i="2"/>
  <c r="AW1029" i="2"/>
  <c r="AU472" i="2"/>
  <c r="AT472" i="2"/>
  <c r="AS472" i="2"/>
  <c r="AR472" i="2"/>
  <c r="AW472" i="2"/>
  <c r="AW50" i="2"/>
  <c r="AU236" i="2"/>
  <c r="AW236" i="2"/>
  <c r="AT236" i="2"/>
  <c r="AS236" i="2"/>
  <c r="AR236" i="2"/>
  <c r="AT426" i="2"/>
  <c r="AR426" i="2"/>
  <c r="AS426" i="2"/>
  <c r="AU1259" i="2"/>
  <c r="AT1259" i="2"/>
  <c r="AS1259" i="2"/>
  <c r="AR1259" i="2"/>
  <c r="AT284" i="2"/>
  <c r="AS284" i="2"/>
  <c r="AR284" i="2"/>
  <c r="AU284" i="2"/>
  <c r="AU1048" i="2"/>
  <c r="AT1048" i="2"/>
  <c r="AS1048" i="2"/>
  <c r="AT59" i="2"/>
  <c r="AU59" i="2"/>
  <c r="AW59" i="2"/>
  <c r="AS59" i="2"/>
  <c r="AR1313" i="2"/>
  <c r="AU1313" i="2"/>
  <c r="AS1313" i="2"/>
  <c r="AT1295" i="2"/>
  <c r="AU1277" i="2"/>
  <c r="AR1277" i="2"/>
  <c r="AS1277" i="2"/>
  <c r="AT1214" i="2"/>
  <c r="AS1214" i="2"/>
  <c r="AR1275" i="2"/>
  <c r="AU1275" i="2"/>
  <c r="AU517" i="2"/>
  <c r="AR517" i="2"/>
  <c r="AS517" i="2"/>
  <c r="AT517" i="2"/>
  <c r="AW517" i="2"/>
  <c r="AS466" i="2"/>
  <c r="AU466" i="2"/>
  <c r="AT466" i="2"/>
  <c r="AW466" i="2"/>
  <c r="AR466" i="2"/>
  <c r="AS1119" i="2"/>
  <c r="AU1119" i="2"/>
  <c r="AT1119" i="2"/>
  <c r="AT1032" i="2"/>
  <c r="AU1032" i="2"/>
  <c r="AS1032" i="2"/>
  <c r="AW1032" i="2"/>
  <c r="AT1268" i="2"/>
  <c r="AU1268" i="2"/>
  <c r="AW1268" i="2"/>
  <c r="AU808" i="2"/>
  <c r="AT808" i="2"/>
  <c r="AS808" i="2"/>
  <c r="AU833" i="2"/>
  <c r="AS833" i="2"/>
  <c r="AR833" i="2"/>
  <c r="AU835" i="2"/>
  <c r="AW835" i="2"/>
  <c r="AS835" i="2"/>
  <c r="AU1029" i="2"/>
  <c r="AU251" i="2"/>
  <c r="AT251" i="2"/>
  <c r="AS251" i="2"/>
  <c r="AW251" i="2"/>
  <c r="AR251" i="2"/>
  <c r="AT90" i="2"/>
  <c r="AS90" i="2"/>
  <c r="AR90" i="2"/>
  <c r="AU1265" i="2"/>
  <c r="AR1265" i="2"/>
  <c r="AS1265" i="2"/>
  <c r="AS1268" i="2"/>
  <c r="AU1209" i="2"/>
  <c r="AR1209" i="2"/>
  <c r="AR1145" i="2"/>
  <c r="AU1145" i="2"/>
  <c r="AT1145" i="2"/>
  <c r="AS1205" i="2"/>
  <c r="AU1205" i="2"/>
  <c r="AT1205" i="2"/>
  <c r="AR1205" i="2"/>
  <c r="AS1157" i="2"/>
  <c r="AW1100" i="2"/>
  <c r="AR1133" i="2"/>
  <c r="AU1133" i="2"/>
  <c r="AT1133" i="2"/>
  <c r="AS1133" i="2"/>
  <c r="AT959" i="2"/>
  <c r="AS959" i="2"/>
  <c r="AR959" i="2"/>
  <c r="AU958" i="2"/>
  <c r="AT958" i="2"/>
  <c r="AS958" i="2"/>
  <c r="AR958" i="2"/>
  <c r="AT659" i="2"/>
  <c r="AS659" i="2"/>
  <c r="AR659" i="2"/>
  <c r="AU659" i="2"/>
  <c r="AW659" i="2"/>
  <c r="AT721" i="2"/>
  <c r="AS721" i="2"/>
  <c r="AR721" i="2"/>
  <c r="AU721" i="2"/>
  <c r="AU1245" i="2"/>
  <c r="AT1245" i="2"/>
  <c r="AR1197" i="2"/>
  <c r="AT1197" i="2"/>
  <c r="AS1197" i="2"/>
  <c r="AU1324" i="2"/>
  <c r="AR1324" i="2"/>
  <c r="AR1194" i="2"/>
  <c r="AU1194" i="2"/>
  <c r="AT1194" i="2"/>
  <c r="AS1194" i="2"/>
  <c r="AW1269" i="2"/>
  <c r="AU1314" i="2"/>
  <c r="AT1314" i="2"/>
  <c r="AS1314" i="2"/>
  <c r="AT1305" i="2"/>
  <c r="AR1072" i="2"/>
  <c r="AS1072" i="2"/>
  <c r="AT1072" i="2"/>
  <c r="AU1072" i="2"/>
  <c r="AT986" i="2"/>
  <c r="AS986" i="2"/>
  <c r="AR986" i="2"/>
  <c r="AU986" i="2"/>
  <c r="AW959" i="2"/>
  <c r="AT955" i="2"/>
  <c r="AU955" i="2"/>
  <c r="AS955" i="2"/>
  <c r="AR955" i="2"/>
  <c r="AU845" i="2"/>
  <c r="AW845" i="2"/>
  <c r="AT845" i="2"/>
  <c r="AR918" i="2"/>
  <c r="AU918" i="2"/>
  <c r="AT918" i="2"/>
  <c r="AS918" i="2"/>
  <c r="AU351" i="2"/>
  <c r="AR351" i="2"/>
  <c r="AT351" i="2"/>
  <c r="AS351" i="2"/>
  <c r="AU100" i="2"/>
  <c r="AT100" i="2"/>
  <c r="AS100" i="2"/>
  <c r="AW100" i="2"/>
  <c r="AR100" i="2"/>
  <c r="AU1274" i="2"/>
  <c r="AT1274" i="2"/>
  <c r="AS1274" i="2"/>
  <c r="AS1202" i="2"/>
  <c r="AU1202" i="2"/>
  <c r="AT1202" i="2"/>
  <c r="AR1202" i="2"/>
  <c r="AR1206" i="2"/>
  <c r="AT1206" i="2"/>
  <c r="AS1272" i="2"/>
  <c r="AR1272" i="2"/>
  <c r="AT1149" i="2"/>
  <c r="AS1149" i="2"/>
  <c r="AU1149" i="2"/>
  <c r="AU954" i="2"/>
  <c r="AT954" i="2"/>
  <c r="AR954" i="2"/>
  <c r="AW954" i="2"/>
  <c r="AS881" i="2"/>
  <c r="AR881" i="2"/>
  <c r="AT881" i="2"/>
  <c r="AU881" i="2"/>
  <c r="AU1325" i="2"/>
  <c r="AS1325" i="2"/>
  <c r="AU1317" i="2"/>
  <c r="AT1317" i="2"/>
  <c r="AS1317" i="2"/>
  <c r="AU1302" i="2"/>
  <c r="AT1302" i="2"/>
  <c r="AR1302" i="2"/>
  <c r="AS502" i="2"/>
  <c r="AW502" i="2"/>
  <c r="AT502" i="2"/>
  <c r="AU502" i="2"/>
  <c r="AR502" i="2"/>
  <c r="AU509" i="2"/>
  <c r="AT509" i="2"/>
  <c r="AS509" i="2"/>
  <c r="AR509" i="2"/>
  <c r="AT50" i="2"/>
  <c r="AU652" i="2"/>
  <c r="AT652" i="2"/>
  <c r="AR652" i="2"/>
  <c r="AS652" i="2"/>
  <c r="AR1306" i="2"/>
  <c r="AU1306" i="2"/>
  <c r="AS1306" i="2"/>
  <c r="AT1306" i="2"/>
  <c r="AS1223" i="2"/>
  <c r="AR1223" i="2"/>
  <c r="AT1223" i="2"/>
  <c r="AU1223" i="2"/>
  <c r="AW1223" i="2"/>
  <c r="AR1103" i="2"/>
  <c r="AS1103" i="2"/>
  <c r="AT1103" i="2"/>
  <c r="AS1271" i="2"/>
  <c r="AR1271" i="2"/>
  <c r="AW1271" i="2"/>
  <c r="AT1271" i="2"/>
  <c r="AT1124" i="2"/>
  <c r="AU1124" i="2"/>
  <c r="AR1124" i="2"/>
  <c r="AS1124" i="2"/>
  <c r="AW457" i="2"/>
  <c r="AU457" i="2"/>
  <c r="AT457" i="2"/>
  <c r="AS457" i="2"/>
  <c r="AR457" i="2"/>
  <c r="AU1307" i="2"/>
  <c r="AS1307" i="2"/>
  <c r="AR1307" i="2"/>
  <c r="AR1200" i="2"/>
  <c r="AT1200" i="2"/>
  <c r="AU1200" i="2"/>
  <c r="AS1200" i="2"/>
  <c r="AU1257" i="2"/>
  <c r="AT1257" i="2"/>
  <c r="AR1257" i="2"/>
  <c r="AU1160" i="2"/>
  <c r="AS1160" i="2"/>
  <c r="AT1160" i="2"/>
  <c r="AU1144" i="2"/>
  <c r="AR1144" i="2"/>
  <c r="AT1029" i="2"/>
  <c r="AR327" i="2"/>
  <c r="AT327" i="2"/>
  <c r="AS327" i="2"/>
  <c r="AU327" i="2"/>
  <c r="AT1269" i="2"/>
  <c r="AS1097" i="2"/>
  <c r="AT1097" i="2"/>
  <c r="AR1097" i="2"/>
  <c r="AW1097" i="2"/>
  <c r="AR905" i="2"/>
  <c r="AS905" i="2"/>
  <c r="AU905" i="2"/>
  <c r="AT905" i="2"/>
  <c r="AU1322" i="2"/>
  <c r="AS1322" i="2"/>
  <c r="AR1322" i="2"/>
  <c r="AU1304" i="2"/>
  <c r="AS1304" i="2"/>
  <c r="AR1304" i="2"/>
  <c r="AT1322" i="2"/>
  <c r="AS1266" i="2"/>
  <c r="AR1266" i="2"/>
  <c r="AS1302" i="2"/>
  <c r="AT1324" i="2"/>
  <c r="AS1269" i="2"/>
  <c r="AR1143" i="2"/>
  <c r="AU1050" i="2"/>
  <c r="AT1050" i="2"/>
  <c r="AS1050" i="2"/>
  <c r="AW1050" i="2"/>
  <c r="AR1050" i="2"/>
  <c r="AU742" i="2"/>
  <c r="AT742" i="2"/>
  <c r="AS742" i="2"/>
  <c r="AR742" i="2"/>
  <c r="AW742" i="2"/>
  <c r="AW890" i="2"/>
  <c r="AR890" i="2"/>
  <c r="AU890" i="2"/>
  <c r="AT890" i="2"/>
  <c r="AS890" i="2"/>
  <c r="AU818" i="2"/>
  <c r="AT818" i="2"/>
  <c r="AS818" i="2"/>
  <c r="AR818" i="2"/>
  <c r="AU667" i="2"/>
  <c r="AS667" i="2"/>
  <c r="AT667" i="2"/>
  <c r="AW667" i="2"/>
  <c r="AR667" i="2"/>
  <c r="AS592" i="2"/>
  <c r="AU592" i="2"/>
  <c r="AW592" i="2"/>
  <c r="AR592" i="2"/>
  <c r="AT592" i="2"/>
  <c r="AU628" i="2"/>
  <c r="AS628" i="2"/>
  <c r="AR628" i="2"/>
  <c r="AT628" i="2"/>
  <c r="AU748" i="2"/>
  <c r="AR748" i="2"/>
  <c r="AW748" i="2"/>
  <c r="AT748" i="2"/>
  <c r="AU1316" i="2"/>
  <c r="AS1316" i="2"/>
  <c r="AR1316" i="2"/>
  <c r="AW1093" i="2"/>
  <c r="AU1093" i="2"/>
  <c r="AT1093" i="2"/>
  <c r="AS1093" i="2"/>
  <c r="AR1093" i="2"/>
  <c r="AT1151" i="2"/>
  <c r="AR1151" i="2"/>
  <c r="AU1151" i="2"/>
  <c r="AS1151" i="2"/>
  <c r="AS1211" i="2"/>
  <c r="AT1211" i="2"/>
  <c r="AU1211" i="2"/>
  <c r="AT623" i="2"/>
  <c r="AU623" i="2"/>
  <c r="AR623" i="2"/>
  <c r="AS623" i="2"/>
  <c r="AR1268" i="2"/>
  <c r="AR835" i="2"/>
  <c r="AT1325" i="2"/>
  <c r="AT44" i="2"/>
  <c r="AS44" i="2"/>
  <c r="AR44" i="2"/>
  <c r="AU44" i="2"/>
  <c r="AR1317" i="2"/>
  <c r="AT1272" i="2"/>
  <c r="AT1086" i="2"/>
  <c r="AS1086" i="2"/>
  <c r="AR1086" i="2"/>
  <c r="AU1086" i="2"/>
  <c r="AU1269" i="2"/>
  <c r="AR1240" i="2"/>
  <c r="AS1275" i="2"/>
  <c r="AR1149" i="2"/>
  <c r="AU922" i="2"/>
  <c r="AT922" i="2"/>
  <c r="AS922" i="2"/>
  <c r="AR922" i="2"/>
  <c r="AT689" i="2"/>
  <c r="AS689" i="2"/>
  <c r="AR689" i="2"/>
  <c r="AU689" i="2"/>
  <c r="AW905" i="2"/>
  <c r="AU886" i="2"/>
  <c r="AW886" i="2"/>
  <c r="AT886" i="2"/>
  <c r="AW1109" i="2"/>
  <c r="AU826" i="2"/>
  <c r="AT1081" i="2"/>
  <c r="AU874" i="2"/>
  <c r="AR874" i="2"/>
  <c r="AT874" i="2"/>
  <c r="AW874" i="2"/>
  <c r="AS874" i="2"/>
  <c r="AT462" i="2"/>
  <c r="AR462" i="2"/>
  <c r="AU462" i="2"/>
  <c r="AS462" i="2"/>
  <c r="AT940" i="2"/>
  <c r="AS748" i="2"/>
  <c r="AU384" i="2"/>
  <c r="AR384" i="2"/>
  <c r="AS384" i="2"/>
  <c r="AU113" i="2"/>
  <c r="AT113" i="2"/>
  <c r="AS113" i="2"/>
  <c r="AR113" i="2"/>
  <c r="AU60" i="2"/>
  <c r="AT60" i="2"/>
  <c r="AS60" i="2"/>
  <c r="AU411" i="2"/>
  <c r="AT411" i="2"/>
  <c r="AS411" i="2"/>
  <c r="AR411" i="2"/>
  <c r="AR869" i="2"/>
  <c r="AU869" i="2"/>
  <c r="AT869" i="2"/>
  <c r="AW672" i="2"/>
  <c r="AU672" i="2"/>
  <c r="AS672" i="2"/>
  <c r="AT672" i="2"/>
  <c r="AS1105" i="2"/>
  <c r="AT1105" i="2"/>
  <c r="AR1105" i="2"/>
  <c r="AU1105" i="2"/>
  <c r="AS1029" i="2"/>
  <c r="AU971" i="2"/>
  <c r="AT971" i="2"/>
  <c r="AR971" i="2"/>
  <c r="AT473" i="2"/>
  <c r="AU473" i="2"/>
  <c r="AS473" i="2"/>
  <c r="AR473" i="2"/>
  <c r="AW473" i="2"/>
  <c r="AU649" i="2"/>
  <c r="AT649" i="2"/>
  <c r="AS649" i="2"/>
  <c r="AW649" i="2"/>
  <c r="AR649" i="2"/>
  <c r="AW1272" i="2"/>
  <c r="AR1283" i="2"/>
  <c r="AU1283" i="2"/>
  <c r="AS1283" i="2"/>
  <c r="AU809" i="2"/>
  <c r="AW809" i="2"/>
  <c r="AR809" i="2"/>
  <c r="AT809" i="2"/>
  <c r="AU507" i="2"/>
  <c r="AT350" i="2"/>
  <c r="AS350" i="2"/>
  <c r="AR350" i="2"/>
  <c r="AU350" i="2"/>
  <c r="AS228" i="2"/>
  <c r="AR228" i="2"/>
  <c r="AT228" i="2"/>
  <c r="AW228" i="2"/>
  <c r="AU1148" i="2"/>
  <c r="AW1148" i="2"/>
  <c r="AS1148" i="2"/>
  <c r="AT1148" i="2"/>
  <c r="AU1208" i="2"/>
  <c r="AR1208" i="2"/>
  <c r="AT835" i="2"/>
  <c r="AS698" i="2"/>
  <c r="AU698" i="2"/>
  <c r="AR698" i="2"/>
  <c r="AT698" i="2"/>
  <c r="AW698" i="2"/>
  <c r="AU289" i="2"/>
  <c r="AR289" i="2"/>
  <c r="AW289" i="2"/>
  <c r="AT289" i="2"/>
  <c r="AS289" i="2"/>
  <c r="AT41" i="2"/>
  <c r="AS41" i="2"/>
  <c r="AU41" i="2"/>
  <c r="AT1243" i="2"/>
  <c r="AS1243" i="2"/>
  <c r="AW1243" i="2"/>
  <c r="AR1243" i="2"/>
  <c r="AT1218" i="2"/>
  <c r="AS1218" i="2"/>
  <c r="AR1218" i="2"/>
  <c r="AU1218" i="2"/>
  <c r="AS1217" i="2"/>
  <c r="AR1217" i="2"/>
  <c r="AU1217" i="2"/>
  <c r="AT1217" i="2"/>
  <c r="AU1319" i="2"/>
  <c r="AS1319" i="2"/>
  <c r="AR1319" i="2"/>
  <c r="AU1301" i="2"/>
  <c r="AS1301" i="2"/>
  <c r="AR1301" i="2"/>
  <c r="AT1301" i="2"/>
  <c r="AT1316" i="2"/>
  <c r="AU1246" i="2"/>
  <c r="AT1246" i="2"/>
  <c r="AS1246" i="2"/>
  <c r="AW1246" i="2"/>
  <c r="AS1209" i="2"/>
  <c r="AW1086" i="2"/>
  <c r="AS1240" i="2"/>
  <c r="AR1263" i="2"/>
  <c r="AT1275" i="2"/>
  <c r="AT1209" i="2"/>
  <c r="AR1160" i="2"/>
  <c r="AU975" i="2"/>
  <c r="AT975" i="2"/>
  <c r="AS975" i="2"/>
  <c r="AR975" i="2"/>
  <c r="AR939" i="2"/>
  <c r="AT939" i="2"/>
  <c r="AS1092" i="2"/>
  <c r="AU1092" i="2"/>
  <c r="AT1092" i="2"/>
  <c r="AU1109" i="2"/>
  <c r="AT1109" i="2"/>
  <c r="AR1109" i="2"/>
  <c r="AR672" i="2"/>
  <c r="AU921" i="2"/>
  <c r="AT137" i="2"/>
  <c r="AS137" i="2"/>
  <c r="AR137" i="2"/>
  <c r="AU137" i="2"/>
  <c r="AU1300" i="2"/>
  <c r="AT1300" i="2"/>
  <c r="AS1300" i="2"/>
  <c r="AS668" i="2"/>
  <c r="AU668" i="2"/>
  <c r="AT668" i="2"/>
  <c r="AS453" i="2"/>
  <c r="AR453" i="2"/>
  <c r="AU453" i="2"/>
  <c r="AR7" i="2"/>
  <c r="AU7" i="2"/>
  <c r="AS7" i="2"/>
  <c r="AR59" i="2"/>
  <c r="AW113" i="2"/>
  <c r="AS402" i="2"/>
  <c r="AU402" i="2"/>
  <c r="AR402" i="2"/>
  <c r="AT402" i="2"/>
  <c r="AW350" i="2"/>
  <c r="AU526" i="2"/>
  <c r="AW526" i="2"/>
  <c r="AT526" i="2"/>
  <c r="AS526" i="2"/>
  <c r="AR526" i="2"/>
  <c r="AW869" i="2"/>
  <c r="AT1313" i="2"/>
  <c r="AR1284" i="2"/>
  <c r="AS1284" i="2"/>
  <c r="AR1260" i="2"/>
  <c r="AS1260" i="2"/>
  <c r="AU1103" i="2"/>
  <c r="AT1098" i="2"/>
  <c r="AS1098" i="2"/>
  <c r="AU1098" i="2"/>
  <c r="AT1290" i="2"/>
  <c r="AR1119" i="2"/>
  <c r="AS1263" i="2"/>
  <c r="AU1082" i="2"/>
  <c r="AR1082" i="2"/>
  <c r="AS1082" i="2"/>
  <c r="AU1271" i="2"/>
  <c r="AT931" i="2"/>
  <c r="AS931" i="2"/>
  <c r="AR931" i="2"/>
  <c r="AU931" i="2"/>
  <c r="AT1191" i="2"/>
  <c r="AR1191" i="2"/>
  <c r="AU1191" i="2"/>
  <c r="AT914" i="2"/>
  <c r="AS914" i="2"/>
  <c r="AR914" i="2"/>
  <c r="AU914" i="2"/>
  <c r="AR808" i="2"/>
  <c r="AS673" i="2"/>
  <c r="AR673" i="2"/>
  <c r="AU673" i="2"/>
  <c r="AT673" i="2"/>
  <c r="AW673" i="2"/>
  <c r="AT912" i="2"/>
  <c r="AS912" i="2"/>
  <c r="AR912" i="2"/>
  <c r="AU912" i="2"/>
  <c r="AS1024" i="2"/>
  <c r="AR1024" i="2"/>
  <c r="AT1024" i="2"/>
  <c r="AW1024" i="2"/>
  <c r="AU1024" i="2"/>
  <c r="AS264" i="2"/>
  <c r="AR264" i="2"/>
  <c r="AT264" i="2"/>
  <c r="AU264" i="2"/>
  <c r="AU683" i="2"/>
  <c r="AR683" i="2"/>
  <c r="AW683" i="2"/>
  <c r="AS683" i="2"/>
  <c r="AT683" i="2"/>
  <c r="AU560" i="2"/>
  <c r="AT560" i="2"/>
  <c r="AR560" i="2"/>
  <c r="AW327" i="2"/>
  <c r="AT7" i="2"/>
  <c r="AS343" i="2"/>
  <c r="AR343" i="2"/>
  <c r="AU343" i="2"/>
  <c r="AT343" i="2"/>
  <c r="AU50" i="2"/>
  <c r="AU228" i="2"/>
  <c r="AR112" i="2"/>
  <c r="AU112" i="2"/>
  <c r="AT112" i="2"/>
  <c r="AS112" i="2"/>
  <c r="AU1154" i="2"/>
  <c r="AR1154" i="2"/>
  <c r="AU984" i="2"/>
  <c r="AT984" i="2"/>
  <c r="AR984" i="2"/>
  <c r="AW984" i="2"/>
  <c r="AU898" i="2"/>
  <c r="AT898" i="2"/>
  <c r="AS898" i="2"/>
  <c r="AR898" i="2"/>
  <c r="AS995" i="2"/>
  <c r="AR995" i="2"/>
  <c r="AT995" i="2"/>
  <c r="AT948" i="2"/>
  <c r="AR707" i="2"/>
  <c r="AW1095" i="2"/>
  <c r="AT1044" i="2"/>
  <c r="AS920" i="2"/>
  <c r="AT920" i="2"/>
  <c r="AU920" i="2"/>
  <c r="AR920" i="2"/>
  <c r="AW921" i="2"/>
  <c r="AT631" i="2"/>
  <c r="AR631" i="2"/>
  <c r="AW631" i="2"/>
  <c r="AU602" i="2"/>
  <c r="AS602" i="2"/>
  <c r="AR602" i="2"/>
  <c r="AW602" i="2"/>
  <c r="AR62" i="2"/>
  <c r="AT62" i="2"/>
  <c r="AS62" i="2"/>
  <c r="AU62" i="2"/>
  <c r="AR323" i="2"/>
  <c r="AW323" i="2"/>
  <c r="AU444" i="2"/>
  <c r="AT433" i="2"/>
  <c r="AW433" i="2"/>
  <c r="AS433" i="2"/>
  <c r="AT242" i="2"/>
  <c r="AS242" i="2"/>
  <c r="AR242" i="2"/>
  <c r="AU242" i="2"/>
  <c r="AW242" i="2"/>
  <c r="AW136" i="2"/>
  <c r="AT141" i="2"/>
  <c r="AS141" i="2"/>
  <c r="AR141" i="2"/>
  <c r="AW802" i="2"/>
  <c r="AU448" i="2"/>
  <c r="AT448" i="2"/>
  <c r="AU87" i="2"/>
  <c r="AT87" i="2"/>
  <c r="AR87" i="2"/>
  <c r="AT321" i="2"/>
  <c r="AS321" i="2"/>
  <c r="AR321" i="2"/>
  <c r="AT212" i="2"/>
  <c r="AS212" i="2"/>
  <c r="AW44" i="2"/>
  <c r="AS390" i="2"/>
  <c r="AU390" i="2"/>
  <c r="AW41" i="2"/>
  <c r="AW402" i="2"/>
  <c r="AT210" i="2"/>
  <c r="AU210" i="2"/>
  <c r="AS210" i="2"/>
  <c r="AU1181" i="2"/>
  <c r="AT1181" i="2"/>
  <c r="AR1181" i="2"/>
  <c r="AU1051" i="2"/>
  <c r="AT1051" i="2"/>
  <c r="AS1051" i="2"/>
  <c r="AR1051" i="2"/>
  <c r="AR1096" i="2"/>
  <c r="AT970" i="2"/>
  <c r="AT851" i="2"/>
  <c r="AS851" i="2"/>
  <c r="AR851" i="2"/>
  <c r="AU948" i="2"/>
  <c r="AU745" i="2"/>
  <c r="AT745" i="2"/>
  <c r="AS745" i="2"/>
  <c r="AR745" i="2"/>
  <c r="AS707" i="2"/>
  <c r="AT1003" i="2"/>
  <c r="AR1095" i="2"/>
  <c r="AR1044" i="2"/>
  <c r="AW1069" i="2"/>
  <c r="AU345" i="2"/>
  <c r="AT345" i="2"/>
  <c r="AR345" i="2"/>
  <c r="AS345" i="2"/>
  <c r="AS185" i="2"/>
  <c r="AR185" i="2"/>
  <c r="AT185" i="2"/>
  <c r="AU185" i="2"/>
  <c r="AT35" i="2"/>
  <c r="AS35" i="2"/>
  <c r="AR35" i="2"/>
  <c r="AU35" i="2"/>
  <c r="AT101" i="2"/>
  <c r="AS101" i="2"/>
  <c r="AR101" i="2"/>
  <c r="AS770" i="2"/>
  <c r="AR770" i="2"/>
  <c r="AT770" i="2"/>
  <c r="AT521" i="2"/>
  <c r="AS521" i="2"/>
  <c r="AT109" i="2"/>
  <c r="AU109" i="2"/>
  <c r="AU85" i="2"/>
  <c r="AT85" i="2"/>
  <c r="AW85" i="2"/>
  <c r="AW386" i="2"/>
  <c r="AS386" i="2"/>
  <c r="AT390" i="2"/>
  <c r="AU53" i="2"/>
  <c r="AT53" i="2"/>
  <c r="AU143" i="2"/>
  <c r="AT143" i="2"/>
  <c r="AW143" i="2"/>
  <c r="AT114" i="2"/>
  <c r="AS114" i="2"/>
  <c r="AU114" i="2"/>
  <c r="AR419" i="2"/>
  <c r="AS218" i="2"/>
  <c r="AT218" i="2"/>
  <c r="AU240" i="2"/>
  <c r="AS240" i="2"/>
  <c r="AR240" i="2"/>
  <c r="AT263" i="2"/>
  <c r="AS263" i="2"/>
  <c r="AR263" i="2"/>
  <c r="AW210" i="2"/>
  <c r="AU1060" i="2"/>
  <c r="AW851" i="2"/>
  <c r="AT1060" i="2"/>
  <c r="AW995" i="2"/>
  <c r="AW1077" i="2"/>
  <c r="AS1127" i="2"/>
  <c r="AS1215" i="2"/>
  <c r="AR811" i="2"/>
  <c r="AT811" i="2"/>
  <c r="AS811" i="2"/>
  <c r="AU811" i="2"/>
  <c r="AW948" i="2"/>
  <c r="AU671" i="2"/>
  <c r="AT671" i="2"/>
  <c r="AR671" i="2"/>
  <c r="AW972" i="2"/>
  <c r="AS972" i="2"/>
  <c r="AR972" i="2"/>
  <c r="AS1030" i="2"/>
  <c r="AW1030" i="2"/>
  <c r="AW912" i="2"/>
  <c r="AT474" i="2"/>
  <c r="AS474" i="2"/>
  <c r="AR474" i="2"/>
  <c r="AU291" i="2"/>
  <c r="AR291" i="2"/>
  <c r="AT492" i="2"/>
  <c r="AR492" i="2"/>
  <c r="AS492" i="2"/>
  <c r="AW492" i="2"/>
  <c r="AT480" i="2"/>
  <c r="AS480" i="2"/>
  <c r="AR480" i="2"/>
  <c r="AW185" i="2"/>
  <c r="AT128" i="2"/>
  <c r="AS128" i="2"/>
  <c r="AR128" i="2"/>
  <c r="AS725" i="2"/>
  <c r="AU323" i="2"/>
  <c r="AU188" i="2"/>
  <c r="AT188" i="2"/>
  <c r="AS188" i="2"/>
  <c r="AR188" i="2"/>
  <c r="AU141" i="2"/>
  <c r="AU691" i="2"/>
  <c r="AS691" i="2"/>
  <c r="AR691" i="2"/>
  <c r="AR429" i="2"/>
  <c r="AW109" i="2"/>
  <c r="AW480" i="2"/>
  <c r="AU321" i="2"/>
  <c r="AR107" i="2"/>
  <c r="AU10" i="2"/>
  <c r="AT10" i="2"/>
  <c r="AS582" i="2"/>
  <c r="AT386" i="2"/>
  <c r="AT377" i="2"/>
  <c r="AR339" i="2"/>
  <c r="AS339" i="2"/>
  <c r="AW212" i="2"/>
  <c r="AS300" i="2"/>
  <c r="AT300" i="2"/>
  <c r="AR300" i="2"/>
  <c r="AS95" i="2"/>
  <c r="AR95" i="2"/>
  <c r="AT95" i="2"/>
  <c r="AT69" i="2"/>
  <c r="AW69" i="2"/>
  <c r="AS434" i="2"/>
  <c r="AU434" i="2"/>
  <c r="AU129" i="2"/>
  <c r="AS129" i="2"/>
  <c r="AT191" i="2"/>
  <c r="AS191" i="2"/>
  <c r="AR191" i="2"/>
  <c r="AT349" i="2"/>
  <c r="AS349" i="2"/>
  <c r="AR349" i="2"/>
  <c r="AU260" i="2"/>
  <c r="AT260" i="2"/>
  <c r="AR260" i="2"/>
  <c r="AS260" i="2"/>
  <c r="AS136" i="2"/>
  <c r="AR136" i="2"/>
  <c r="AU136" i="2"/>
  <c r="AU449" i="2"/>
  <c r="AT449" i="2"/>
  <c r="AS449" i="2"/>
  <c r="AR449" i="2"/>
  <c r="AW165" i="2"/>
  <c r="AU165" i="2"/>
  <c r="AT165" i="2"/>
  <c r="AT447" i="2"/>
  <c r="AR447" i="2"/>
  <c r="AU267" i="2"/>
  <c r="AT1287" i="2"/>
  <c r="AS1287" i="2"/>
  <c r="AR1287" i="2"/>
  <c r="AT1016" i="2"/>
  <c r="AS1016" i="2"/>
  <c r="AU1016" i="2"/>
  <c r="AS1081" i="2"/>
  <c r="AR1125" i="2"/>
  <c r="AS1125" i="2"/>
  <c r="AR357" i="2"/>
  <c r="AT357" i="2"/>
  <c r="AS357" i="2"/>
  <c r="AU357" i="2"/>
  <c r="AT329" i="2"/>
  <c r="AR329" i="2"/>
  <c r="AU329" i="2"/>
  <c r="AT280" i="2"/>
  <c r="AR280" i="2"/>
  <c r="AS280" i="2"/>
  <c r="AU280" i="2"/>
  <c r="AT119" i="2"/>
  <c r="AR119" i="2"/>
  <c r="AS119" i="2"/>
  <c r="AT366" i="2"/>
  <c r="AR366" i="2"/>
  <c r="AS366" i="2"/>
  <c r="AT214" i="2"/>
  <c r="AS214" i="2"/>
  <c r="AR214" i="2"/>
  <c r="AU226" i="2"/>
  <c r="AT226" i="2"/>
  <c r="AS226" i="2"/>
  <c r="AR226" i="2"/>
  <c r="AW351" i="2"/>
  <c r="AU182" i="2"/>
  <c r="AT182" i="2"/>
  <c r="AT136" i="2"/>
  <c r="AU784" i="2"/>
  <c r="AT278" i="2"/>
  <c r="AS278" i="2"/>
  <c r="AW447" i="2"/>
  <c r="AS676" i="2"/>
  <c r="AU676" i="2"/>
  <c r="AR143" i="2"/>
  <c r="AU439" i="2"/>
  <c r="AS439" i="2"/>
  <c r="AU344" i="2"/>
  <c r="AT344" i="2"/>
  <c r="AT99" i="2"/>
  <c r="AS99" i="2"/>
  <c r="AR99" i="2"/>
  <c r="AT13" i="2"/>
  <c r="AS13" i="2"/>
  <c r="AR13" i="2"/>
  <c r="AU66" i="2"/>
  <c r="AS66" i="2"/>
  <c r="AR66" i="2"/>
  <c r="AR162" i="2"/>
  <c r="AU379" i="2"/>
  <c r="AS379" i="2"/>
  <c r="AT379" i="2"/>
  <c r="AR379" i="2"/>
  <c r="AW453" i="2"/>
  <c r="AR306" i="2"/>
  <c r="AU306" i="2"/>
  <c r="AT306" i="2"/>
  <c r="AS306" i="2"/>
  <c r="AU74" i="2"/>
  <c r="AT74" i="2"/>
  <c r="AS74" i="2"/>
  <c r="AR74" i="2"/>
  <c r="AT418" i="2"/>
  <c r="AR418" i="2"/>
  <c r="AW418" i="2"/>
  <c r="AU418" i="2"/>
  <c r="AS418" i="2"/>
  <c r="AU118" i="2"/>
  <c r="AW118" i="2"/>
  <c r="AT118" i="2"/>
  <c r="AS118" i="2"/>
  <c r="AS27" i="2"/>
  <c r="AU27" i="2"/>
  <c r="AR27" i="2"/>
  <c r="AT27" i="2"/>
  <c r="AW90" i="2"/>
  <c r="AW426" i="2"/>
  <c r="AT1281" i="2"/>
  <c r="AR1281" i="2"/>
  <c r="AS1281" i="2"/>
  <c r="AU1281" i="2"/>
  <c r="AW1110" i="2"/>
  <c r="AU1110" i="2"/>
  <c r="AS1110" i="2"/>
  <c r="AS1185" i="2"/>
  <c r="AU927" i="2"/>
  <c r="AR927" i="2"/>
  <c r="AT927" i="2"/>
  <c r="AW936" i="2"/>
  <c r="AU936" i="2"/>
  <c r="AR936" i="2"/>
  <c r="AT1054" i="2"/>
  <c r="AT977" i="2"/>
  <c r="AR977" i="2"/>
  <c r="AW977" i="2"/>
  <c r="AU731" i="2"/>
  <c r="AT731" i="2"/>
  <c r="AS731" i="2"/>
  <c r="AR731" i="2"/>
  <c r="AT796" i="2"/>
  <c r="AS796" i="2"/>
  <c r="AU1310" i="2"/>
  <c r="AS1310" i="2"/>
  <c r="AR1310" i="2"/>
  <c r="AU1292" i="2"/>
  <c r="AS1292" i="2"/>
  <c r="AR1292" i="2"/>
  <c r="AS1278" i="2"/>
  <c r="AR1278" i="2"/>
  <c r="AS1254" i="2"/>
  <c r="AR1254" i="2"/>
  <c r="AU1318" i="2"/>
  <c r="AT1318" i="2"/>
  <c r="AS1318" i="2"/>
  <c r="AR1318" i="2"/>
  <c r="AU1294" i="2"/>
  <c r="AT1294" i="2"/>
  <c r="AR1294" i="2"/>
  <c r="AS1294" i="2"/>
  <c r="AS1231" i="2"/>
  <c r="AU1231" i="2"/>
  <c r="AT1231" i="2"/>
  <c r="AR1231" i="2"/>
  <c r="AU1175" i="2"/>
  <c r="AR1175" i="2"/>
  <c r="AT1175" i="2"/>
  <c r="AU1139" i="2"/>
  <c r="AT1139" i="2"/>
  <c r="AR1139" i="2"/>
  <c r="AS1154" i="2"/>
  <c r="AU943" i="2"/>
  <c r="AR943" i="2"/>
  <c r="AT943" i="2"/>
  <c r="AU1196" i="2"/>
  <c r="AR1196" i="2"/>
  <c r="AT1227" i="2"/>
  <c r="AT1185" i="2"/>
  <c r="AU1002" i="2"/>
  <c r="AT1002" i="2"/>
  <c r="AS1002" i="2"/>
  <c r="AR1002" i="2"/>
  <c r="AS977" i="2"/>
  <c r="AR907" i="2"/>
  <c r="AW907" i="2"/>
  <c r="AT907" i="2"/>
  <c r="AU907" i="2"/>
  <c r="AR862" i="2"/>
  <c r="AS862" i="2"/>
  <c r="AR1003" i="2"/>
  <c r="AT972" i="2"/>
  <c r="AT504" i="2"/>
  <c r="AR504" i="2"/>
  <c r="AS504" i="2"/>
  <c r="AW844" i="2"/>
  <c r="AR1056" i="2"/>
  <c r="AU763" i="2"/>
  <c r="AR763" i="2"/>
  <c r="AR501" i="2"/>
  <c r="AT501" i="2"/>
  <c r="AS297" i="2"/>
  <c r="AR297" i="2"/>
  <c r="AT297" i="2"/>
  <c r="AU297" i="2"/>
  <c r="AR1013" i="2"/>
  <c r="AW1013" i="2"/>
  <c r="AS477" i="2"/>
  <c r="AT477" i="2"/>
  <c r="AR464" i="2"/>
  <c r="AU464" i="2"/>
  <c r="AT464" i="2"/>
  <c r="AS464" i="2"/>
  <c r="AU175" i="2"/>
  <c r="AT175" i="2"/>
  <c r="AS175" i="2"/>
  <c r="AR175" i="2"/>
  <c r="AS653" i="2"/>
  <c r="AT653" i="2"/>
  <c r="AR653" i="2"/>
  <c r="AU653" i="2"/>
  <c r="AW284" i="2"/>
  <c r="AW119" i="2"/>
  <c r="AU790" i="2"/>
  <c r="AU417" i="2"/>
  <c r="AS417" i="2"/>
  <c r="AT417" i="2"/>
  <c r="AS157" i="2"/>
  <c r="AT157" i="2"/>
  <c r="AU157" i="2"/>
  <c r="AW214" i="2"/>
  <c r="AR31" i="2"/>
  <c r="AW31" i="2"/>
  <c r="AU31" i="2"/>
  <c r="AU574" i="2"/>
  <c r="AS574" i="2"/>
  <c r="AT574" i="2"/>
  <c r="AW283" i="2"/>
  <c r="AR283" i="2"/>
  <c r="AU283" i="2"/>
  <c r="AT283" i="2"/>
  <c r="AS283" i="2"/>
  <c r="AR405" i="2"/>
  <c r="AW306" i="2"/>
  <c r="AW226" i="2"/>
  <c r="AT323" i="2"/>
  <c r="AS134" i="2"/>
  <c r="AS743" i="2"/>
  <c r="AR743" i="2"/>
  <c r="AU363" i="2"/>
  <c r="AT363" i="2"/>
  <c r="AW321" i="2"/>
  <c r="AU582" i="2"/>
  <c r="AR386" i="2"/>
  <c r="AS125" i="2"/>
  <c r="AW125" i="2"/>
  <c r="AU125" i="2"/>
  <c r="AS143" i="2"/>
  <c r="AU218" i="2"/>
  <c r="AW66" i="2"/>
  <c r="AS69" i="2"/>
  <c r="AT240" i="2"/>
  <c r="AU310" i="2"/>
  <c r="AR1113" i="2"/>
  <c r="AU1113" i="2"/>
  <c r="AT1113" i="2"/>
  <c r="AS1113" i="2"/>
  <c r="AT1180" i="2"/>
  <c r="AS1180" i="2"/>
  <c r="AR1180" i="2"/>
  <c r="AS1049" i="2"/>
  <c r="AR1049" i="2"/>
  <c r="AU970" i="2"/>
  <c r="AR970" i="2"/>
  <c r="AT779" i="2"/>
  <c r="AS779" i="2"/>
  <c r="AR779" i="2"/>
  <c r="AW1048" i="2"/>
  <c r="AW939" i="2"/>
  <c r="AW674" i="2"/>
  <c r="AS1003" i="2"/>
  <c r="AU1044" i="2"/>
  <c r="AU844" i="2"/>
  <c r="AR710" i="2"/>
  <c r="AS1056" i="2"/>
  <c r="AR535" i="2"/>
  <c r="AT535" i="2"/>
  <c r="AU535" i="2"/>
  <c r="AW1081" i="2"/>
  <c r="AT1125" i="2"/>
  <c r="AS638" i="2"/>
  <c r="AU638" i="2"/>
  <c r="AR638" i="2"/>
  <c r="AT463" i="2"/>
  <c r="AU463" i="2"/>
  <c r="AW463" i="2"/>
  <c r="AT302" i="2"/>
  <c r="AS302" i="2"/>
  <c r="AR302" i="2"/>
  <c r="AU302" i="2"/>
  <c r="AW354" i="2"/>
  <c r="AS354" i="2"/>
  <c r="AR688" i="2"/>
  <c r="AU661" i="2"/>
  <c r="AT661" i="2"/>
  <c r="AW343" i="2"/>
  <c r="AR85" i="2"/>
  <c r="AR266" i="2"/>
  <c r="AU266" i="2"/>
  <c r="AT266" i="2"/>
  <c r="AU200" i="2"/>
  <c r="AS200" i="2"/>
  <c r="AR200" i="2"/>
  <c r="AR116" i="2"/>
  <c r="AU116" i="2"/>
  <c r="AW200" i="2"/>
  <c r="AW99" i="2"/>
  <c r="AW13" i="2"/>
  <c r="AU43" i="2"/>
  <c r="AR43" i="2"/>
  <c r="AT43" i="2"/>
  <c r="AW43" i="2"/>
  <c r="AT255" i="2"/>
  <c r="AU39" i="2"/>
  <c r="AR39" i="2"/>
  <c r="AT39" i="2"/>
  <c r="AR192" i="2"/>
  <c r="AS192" i="2"/>
  <c r="AT192" i="2"/>
  <c r="AS458" i="2"/>
  <c r="AU458" i="2"/>
  <c r="AR63" i="2"/>
  <c r="AW240" i="2"/>
  <c r="AT307" i="2"/>
  <c r="AU307" i="2"/>
  <c r="AS307" i="2"/>
  <c r="AR307" i="2"/>
  <c r="AT730" i="2"/>
  <c r="AS730" i="2"/>
  <c r="AU730" i="2"/>
  <c r="AU674" i="2"/>
  <c r="AS674" i="2"/>
  <c r="AR674" i="2"/>
  <c r="AU1003" i="2"/>
  <c r="AW1044" i="2"/>
  <c r="AR1081" i="2"/>
  <c r="AU1081" i="2"/>
  <c r="AR489" i="2"/>
  <c r="AS489" i="2"/>
  <c r="AU489" i="2"/>
  <c r="AT489" i="2"/>
  <c r="AS163" i="2"/>
  <c r="AR163" i="2"/>
  <c r="AU669" i="2"/>
  <c r="AT669" i="2"/>
  <c r="AS669" i="2"/>
  <c r="AR669" i="2"/>
  <c r="AW345" i="2"/>
  <c r="AU940" i="2"/>
  <c r="AS940" i="2"/>
  <c r="AR940" i="2"/>
  <c r="AT725" i="2"/>
  <c r="AT163" i="2"/>
  <c r="AT498" i="2"/>
  <c r="AU498" i="2"/>
  <c r="AS498" i="2"/>
  <c r="AS323" i="2"/>
  <c r="AS688" i="2"/>
  <c r="AW449" i="2"/>
  <c r="AS332" i="2"/>
  <c r="AR332" i="2"/>
  <c r="AT332" i="2"/>
  <c r="AU332" i="2"/>
  <c r="AS96" i="2"/>
  <c r="AU96" i="2"/>
  <c r="AT96" i="2"/>
  <c r="AS85" i="2"/>
  <c r="AR377" i="2"/>
  <c r="AR390" i="2"/>
  <c r="AW94" i="2"/>
  <c r="AT94" i="2"/>
  <c r="AT82" i="2"/>
  <c r="AR82" i="2"/>
  <c r="AS82" i="2"/>
  <c r="AW209" i="2"/>
  <c r="AU162" i="2"/>
  <c r="AT162" i="2"/>
  <c r="AS162" i="2"/>
  <c r="AR126" i="2"/>
  <c r="AU22" i="2"/>
  <c r="AT22" i="2"/>
  <c r="AR22" i="2"/>
  <c r="AT815" i="2"/>
  <c r="AU815" i="2"/>
  <c r="AR815" i="2"/>
  <c r="AS658" i="2"/>
  <c r="AR658" i="2"/>
  <c r="AT658" i="2"/>
  <c r="AT707" i="2"/>
  <c r="AU707" i="2"/>
  <c r="AU847" i="2"/>
  <c r="AS847" i="2"/>
  <c r="AR847" i="2"/>
  <c r="AS438" i="2"/>
  <c r="AR438" i="2"/>
  <c r="AT438" i="2"/>
  <c r="AR553" i="2"/>
  <c r="AT553" i="2"/>
  <c r="AU553" i="2"/>
  <c r="AS553" i="2"/>
  <c r="AU313" i="2"/>
  <c r="AT313" i="2"/>
  <c r="AR313" i="2"/>
  <c r="AS471" i="2"/>
  <c r="AT471" i="2"/>
  <c r="AR471" i="2"/>
  <c r="AW313" i="2"/>
  <c r="AS364" i="2"/>
  <c r="AT364" i="2"/>
  <c r="AR728" i="2"/>
  <c r="AS459" i="2"/>
  <c r="AR459" i="2"/>
  <c r="AT459" i="2"/>
  <c r="AU205" i="2"/>
  <c r="AR205" i="2"/>
  <c r="AT205" i="2"/>
  <c r="AS205" i="2"/>
  <c r="AT577" i="2"/>
  <c r="AW577" i="2"/>
  <c r="AS577" i="2"/>
  <c r="AR577" i="2"/>
  <c r="AT539" i="2"/>
  <c r="AU539" i="2"/>
  <c r="AS539" i="2"/>
  <c r="AT456" i="2"/>
  <c r="AS456" i="2"/>
  <c r="AU456" i="2"/>
  <c r="AW448" i="2"/>
  <c r="AS87" i="2"/>
  <c r="AW35" i="2"/>
  <c r="AU377" i="2"/>
  <c r="AW82" i="2"/>
  <c r="AT682" i="2"/>
  <c r="AU209" i="2"/>
  <c r="AT209" i="2"/>
  <c r="AS209" i="2"/>
  <c r="AR209" i="2"/>
  <c r="AU191" i="2"/>
  <c r="AR210" i="2"/>
  <c r="AW22" i="2"/>
  <c r="AU644" i="2"/>
  <c r="AS644" i="2"/>
  <c r="AT644" i="2"/>
  <c r="AR644" i="2"/>
  <c r="AS643" i="2"/>
  <c r="AU643" i="2"/>
  <c r="AT643" i="2"/>
  <c r="AT268" i="2"/>
  <c r="AR268" i="2"/>
  <c r="AT189" i="2"/>
  <c r="AS189" i="2"/>
  <c r="AW128" i="2"/>
  <c r="AW101" i="2"/>
  <c r="AR739" i="2"/>
  <c r="AS392" i="2"/>
  <c r="AR392" i="2"/>
  <c r="AU392" i="2"/>
  <c r="AT392" i="2"/>
  <c r="AS544" i="2"/>
  <c r="AU544" i="2"/>
  <c r="AU425" i="2"/>
  <c r="AS425" i="2"/>
  <c r="AR425" i="2"/>
  <c r="AT149" i="2"/>
  <c r="AS149" i="2"/>
  <c r="AR149" i="2"/>
  <c r="AT4" i="2"/>
  <c r="AS4" i="2"/>
  <c r="AR4" i="2"/>
  <c r="AU622" i="2"/>
  <c r="AU262" i="2"/>
  <c r="AT262" i="2"/>
  <c r="AW262" i="2"/>
  <c r="AR507" i="2"/>
  <c r="AS19" i="2"/>
  <c r="AU575" i="2"/>
  <c r="AW160" i="2"/>
  <c r="AR515" i="2"/>
  <c r="AT105" i="2"/>
  <c r="AS105" i="2"/>
  <c r="AW60" i="2"/>
  <c r="AR415" i="2"/>
  <c r="AS255" i="2"/>
  <c r="AT267" i="2"/>
  <c r="AU679" i="2"/>
  <c r="AR71" i="2"/>
  <c r="AT71" i="2"/>
  <c r="AS71" i="2"/>
  <c r="AT465" i="2"/>
  <c r="AS465" i="2"/>
  <c r="AR465" i="2"/>
  <c r="AS378" i="2"/>
  <c r="AR378" i="2"/>
  <c r="AR404" i="2"/>
  <c r="AU404" i="2"/>
  <c r="AT404" i="2"/>
  <c r="AU370" i="2"/>
  <c r="AR370" i="2"/>
  <c r="AT370" i="2"/>
  <c r="AS370" i="2"/>
  <c r="AS446" i="2"/>
  <c r="AT446" i="2"/>
  <c r="AU378" i="2"/>
  <c r="AR222" i="2"/>
  <c r="AT450" i="2"/>
  <c r="AS179" i="2"/>
  <c r="AR131" i="2"/>
  <c r="AR301" i="2"/>
  <c r="AU104" i="2"/>
  <c r="AT104" i="2"/>
  <c r="AR414" i="2"/>
  <c r="AU249" i="2"/>
  <c r="AW122" i="2"/>
  <c r="AW65" i="2"/>
  <c r="AT991" i="2"/>
  <c r="AU991" i="2"/>
  <c r="AT967" i="2"/>
  <c r="AS967" i="2"/>
  <c r="AR967" i="2"/>
  <c r="AU967" i="2"/>
  <c r="AS919" i="2"/>
  <c r="AU919" i="2"/>
  <c r="AT919" i="2"/>
  <c r="AS664" i="2"/>
  <c r="AR664" i="2"/>
  <c r="AT664" i="2"/>
  <c r="AU664" i="2"/>
  <c r="AU883" i="2"/>
  <c r="AT883" i="2"/>
  <c r="AS883" i="2"/>
  <c r="AR883" i="2"/>
  <c r="AR985" i="2"/>
  <c r="AT985" i="2"/>
  <c r="AU963" i="2"/>
  <c r="AR643" i="2"/>
  <c r="AW971" i="2"/>
  <c r="AU483" i="2"/>
  <c r="AS352" i="2"/>
  <c r="AR352" i="2"/>
  <c r="AT180" i="2"/>
  <c r="AS180" i="2"/>
  <c r="AU268" i="2"/>
  <c r="AW462" i="2"/>
  <c r="AU571" i="2"/>
  <c r="AT571" i="2"/>
  <c r="AR571" i="2"/>
  <c r="AT790" i="2"/>
  <c r="AU587" i="2"/>
  <c r="AR544" i="2"/>
  <c r="AS404" i="2"/>
  <c r="AT234" i="2"/>
  <c r="AS234" i="2"/>
  <c r="AR234" i="2"/>
  <c r="AU179" i="2"/>
  <c r="AR529" i="2"/>
  <c r="AU529" i="2"/>
  <c r="AW182" i="2"/>
  <c r="AT47" i="2"/>
  <c r="AR47" i="2"/>
  <c r="AS47" i="2"/>
  <c r="AU318" i="2"/>
  <c r="AT318" i="2"/>
  <c r="AS318" i="2"/>
  <c r="AR318" i="2"/>
  <c r="AT294" i="2"/>
  <c r="AU287" i="2"/>
  <c r="AW287" i="2"/>
  <c r="AT184" i="2"/>
  <c r="AS301" i="2"/>
  <c r="AT78" i="2"/>
  <c r="AS78" i="2"/>
  <c r="AR122" i="2"/>
  <c r="AR387" i="2"/>
  <c r="AU120" i="2"/>
  <c r="AT102" i="2"/>
  <c r="AS103" i="2"/>
  <c r="AR355" i="2"/>
  <c r="AT108" i="2"/>
  <c r="AW274" i="2"/>
  <c r="AS608" i="2"/>
  <c r="AU608" i="2"/>
  <c r="AR608" i="2"/>
  <c r="AT608" i="2"/>
  <c r="AT432" i="2"/>
  <c r="AR432" i="2"/>
  <c r="AT616" i="2"/>
  <c r="AR616" i="2"/>
  <c r="AW616" i="2"/>
  <c r="AT557" i="2"/>
  <c r="AS557" i="2"/>
  <c r="AT486" i="2"/>
  <c r="AS486" i="2"/>
  <c r="AR486" i="2"/>
  <c r="AS276" i="2"/>
  <c r="AR276" i="2"/>
  <c r="AT256" i="2"/>
  <c r="AR256" i="2"/>
  <c r="AT110" i="2"/>
  <c r="AR110" i="2"/>
  <c r="AS110" i="2"/>
  <c r="AT444" i="2"/>
  <c r="AS444" i="2"/>
  <c r="AR444" i="2"/>
  <c r="AT334" i="2"/>
  <c r="AS334" i="2"/>
  <c r="AR334" i="2"/>
  <c r="AR174" i="2"/>
  <c r="AU174" i="2"/>
  <c r="AW174" i="2"/>
  <c r="AT174" i="2"/>
  <c r="AS174" i="2"/>
  <c r="AU445" i="2"/>
  <c r="AT445" i="2"/>
  <c r="AS445" i="2"/>
  <c r="AT441" i="2"/>
  <c r="AS441" i="2"/>
  <c r="AT179" i="2"/>
  <c r="AW1008" i="2"/>
  <c r="AU107" i="2"/>
  <c r="AT93" i="2"/>
  <c r="AU93" i="2"/>
  <c r="AU25" i="2"/>
  <c r="AR25" i="2"/>
  <c r="AT25" i="2"/>
  <c r="AS25" i="2"/>
  <c r="AS3" i="2"/>
  <c r="AU3" i="2"/>
  <c r="AR3" i="2"/>
  <c r="AS414" i="2"/>
  <c r="AS122" i="2"/>
  <c r="AW505" i="2"/>
  <c r="AR102" i="2"/>
  <c r="AT103" i="2"/>
  <c r="AU197" i="2"/>
  <c r="AW370" i="2"/>
  <c r="AR57" i="2"/>
  <c r="AR310" i="2"/>
  <c r="AS166" i="2"/>
  <c r="AS153" i="2"/>
  <c r="AR153" i="2"/>
  <c r="AT310" i="2"/>
  <c r="AT166" i="2"/>
  <c r="AR145" i="2"/>
  <c r="AW955" i="2"/>
  <c r="AW671" i="2"/>
  <c r="AR679" i="2"/>
  <c r="AT468" i="2"/>
  <c r="AR468" i="2"/>
  <c r="AU710" i="2"/>
  <c r="AU754" i="2"/>
  <c r="AT772" i="2"/>
  <c r="AR772" i="2"/>
  <c r="AT272" i="2"/>
  <c r="AS272" i="2"/>
  <c r="AR272" i="2"/>
  <c r="AS252" i="2"/>
  <c r="AR252" i="2"/>
  <c r="AT243" i="2"/>
  <c r="AR243" i="2"/>
  <c r="AS243" i="2"/>
  <c r="AR440" i="2"/>
  <c r="AT440" i="2"/>
  <c r="AW430" i="2"/>
  <c r="AU430" i="2"/>
  <c r="AT430" i="2"/>
  <c r="AU391" i="2"/>
  <c r="AR391" i="2"/>
  <c r="AT391" i="2"/>
  <c r="AS391" i="2"/>
  <c r="AS193" i="2"/>
  <c r="AR193" i="2"/>
  <c r="AR622" i="2"/>
  <c r="AU455" i="2"/>
  <c r="AS455" i="2"/>
  <c r="AT46" i="2"/>
  <c r="AS46" i="2"/>
  <c r="AU46" i="2"/>
  <c r="AR46" i="2"/>
  <c r="AS16" i="2"/>
  <c r="AR16" i="2"/>
  <c r="AT16" i="2"/>
  <c r="AW679" i="2"/>
  <c r="AT28" i="2"/>
  <c r="AS28" i="2"/>
  <c r="AR28" i="2"/>
  <c r="AU4" i="2"/>
  <c r="AT301" i="2"/>
  <c r="AT171" i="2"/>
  <c r="AS171" i="2"/>
  <c r="AR171" i="2"/>
  <c r="AR104" i="2"/>
  <c r="AT38" i="2"/>
  <c r="AW300" i="2"/>
  <c r="AU17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<sst xmlns="http://schemas.openxmlformats.org/spreadsheetml/2006/main" count="16074" uniqueCount="2801">
  <si>
    <t>Arabica - Commercial</t>
  </si>
  <si>
    <t>Arabica - Micro-Lots</t>
  </si>
  <si>
    <t>Robusta</t>
  </si>
  <si>
    <t>Parameter</t>
  </si>
  <si>
    <t>Arabica (Commercial)</t>
  </si>
  <si>
    <t>Arabica (Micro-Lots)</t>
  </si>
  <si>
    <t>Unit</t>
  </si>
  <si>
    <t>Avg value of Coffee</t>
  </si>
  <si>
    <t>N/A</t>
  </si>
  <si>
    <t>USD/MT</t>
  </si>
  <si>
    <t>Avg NY value</t>
  </si>
  <si>
    <t>USD cents/lb</t>
  </si>
  <si>
    <t>Cost of financing per annum</t>
  </si>
  <si>
    <t>% p.a.</t>
  </si>
  <si>
    <t>Cost of storage (USD/MT/Day)</t>
  </si>
  <si>
    <t>USD/MT/day</t>
  </si>
  <si>
    <t>Cost of Insurance per annum</t>
  </si>
  <si>
    <t>Value</t>
  </si>
  <si>
    <t>Days before shipment to ship contract</t>
  </si>
  <si>
    <t>days</t>
  </si>
  <si>
    <t>Days before shipment for sample approval</t>
  </si>
  <si>
    <t>Days to move coffee to warehouse</t>
  </si>
  <si>
    <t>Days to process coffee</t>
  </si>
  <si>
    <t>Days to stuff coffee</t>
  </si>
  <si>
    <t>Days to ship after stuffing</t>
  </si>
  <si>
    <t>Days to dispatch docs after sailing</t>
  </si>
  <si>
    <t>Origin Country</t>
  </si>
  <si>
    <t>Type (Arabica / Robusta)</t>
  </si>
  <si>
    <t>Subtype (Commercial / Micro-Lots)</t>
  </si>
  <si>
    <t>Contract Date</t>
  </si>
  <si>
    <t>Shipment Start Date</t>
  </si>
  <si>
    <t>Shipment End Date</t>
  </si>
  <si>
    <t>Sale Contract Ref</t>
  </si>
  <si>
    <t>Contract Status (Open / Cancelled / Closed)</t>
  </si>
  <si>
    <t>Reason for Open Contracts Status</t>
  </si>
  <si>
    <t>Buyer</t>
  </si>
  <si>
    <t>Parcel No</t>
  </si>
  <si>
    <t>Bags</t>
  </si>
  <si>
    <t>Description</t>
  </si>
  <si>
    <t>Quality Basket / Grade</t>
  </si>
  <si>
    <t>Certification</t>
  </si>
  <si>
    <t>Packaging Type</t>
  </si>
  <si>
    <t>Differential</t>
  </si>
  <si>
    <t>Sample Type</t>
  </si>
  <si>
    <t>Destination</t>
  </si>
  <si>
    <t>USD Value of Shipment</t>
  </si>
  <si>
    <t>PSS Date</t>
  </si>
  <si>
    <t>PSS Status</t>
  </si>
  <si>
    <t>Sample Approval Date</t>
  </si>
  <si>
    <t>Sample Approval Status</t>
  </si>
  <si>
    <t>Bulk Instruction Date</t>
  </si>
  <si>
    <t>Expected Shipment Period</t>
  </si>
  <si>
    <t>Trade &amp; QC Days Lost</t>
  </si>
  <si>
    <t>Stuffing Date</t>
  </si>
  <si>
    <t>Operational Days Lost</t>
  </si>
  <si>
    <t>Shipping Line</t>
  </si>
  <si>
    <t>Vessel</t>
  </si>
  <si>
    <t>ETD</t>
  </si>
  <si>
    <t>ETA</t>
  </si>
  <si>
    <t>Landing Port</t>
  </si>
  <si>
    <t>B/L No</t>
  </si>
  <si>
    <t>Waybill No</t>
  </si>
  <si>
    <t>Sailing Date</t>
  </si>
  <si>
    <t>Shipping Advice Sent Date</t>
  </si>
  <si>
    <t>Docs Dispatch Date</t>
  </si>
  <si>
    <t>Shipment Status</t>
  </si>
  <si>
    <t>Notes / Description</t>
  </si>
  <si>
    <t>Inspection &amp; Release Days Lost</t>
  </si>
  <si>
    <t>Traffic Days Lost</t>
  </si>
  <si>
    <t>USD Loss/Gain from Docs</t>
  </si>
  <si>
    <t>P&amp;L Impact on Sample Approval</t>
  </si>
  <si>
    <t>USD Saved/Lost on Processing</t>
  </si>
  <si>
    <t>USD Saved/Lost on Shipping</t>
  </si>
  <si>
    <t>Days Late / Early</t>
  </si>
  <si>
    <t>Cost</t>
  </si>
  <si>
    <t>C&amp;F Agent</t>
  </si>
  <si>
    <t>Estimated Flat Price</t>
  </si>
  <si>
    <t>Shipping Instructions Received</t>
  </si>
  <si>
    <t>Bulk Ref</t>
  </si>
  <si>
    <t>Samples Received from Warehouse</t>
  </si>
  <si>
    <t>Payment Received</t>
  </si>
  <si>
    <t>Purchase Ref</t>
  </si>
  <si>
    <t>Client Ref</t>
  </si>
  <si>
    <t>Ibero</t>
  </si>
  <si>
    <t>Kenya</t>
  </si>
  <si>
    <t>Arabica</t>
  </si>
  <si>
    <t>Commercial</t>
  </si>
  <si>
    <t>Thirty Second</t>
  </si>
  <si>
    <t>AA/AB Highlands, SAS, Packed in 60kg Ecotact bags, CIF Sydney</t>
  </si>
  <si>
    <t>AA/AB TOP</t>
  </si>
  <si>
    <t>SAS</t>
  </si>
  <si>
    <t>Sydney</t>
  </si>
  <si>
    <t>ONE FCL/FCL</t>
  </si>
  <si>
    <t>Kota Kamil</t>
  </si>
  <si>
    <t>ONEYMBAE00007500</t>
  </si>
  <si>
    <t>Documents dispatched</t>
  </si>
  <si>
    <t>Kota kamil</t>
  </si>
  <si>
    <t>ONEYMBAE00008600</t>
  </si>
  <si>
    <t>Kota Karim</t>
  </si>
  <si>
    <t>ONEYMBAE00099900</t>
  </si>
  <si>
    <t>Kota Lagu</t>
  </si>
  <si>
    <t>ONEYMBAE00272900</t>
  </si>
  <si>
    <t>BR</t>
  </si>
  <si>
    <t>4703A</t>
  </si>
  <si>
    <t>AB RA Certified</t>
  </si>
  <si>
    <t>ABC Certified</t>
  </si>
  <si>
    <t>Hamburg</t>
  </si>
  <si>
    <t>MSC FCL/FCL</t>
  </si>
  <si>
    <t>MSC Martina</t>
  </si>
  <si>
    <t>MEDUM2614326</t>
  </si>
  <si>
    <t>4703B</t>
  </si>
  <si>
    <t>MEDUM2614334</t>
  </si>
  <si>
    <t>Jobin</t>
  </si>
  <si>
    <t xml:space="preserve">Congo Kivu 4 </t>
  </si>
  <si>
    <t>AA</t>
  </si>
  <si>
    <t>MSC Aria III</t>
  </si>
  <si>
    <t>MEDUM2628615</t>
  </si>
  <si>
    <t>Lehavre</t>
  </si>
  <si>
    <t>Msc Precision</t>
  </si>
  <si>
    <t>MEDUM2649587</t>
  </si>
  <si>
    <t>Dong Suh</t>
  </si>
  <si>
    <t>ABC FAQ</t>
  </si>
  <si>
    <t>ABC Minus</t>
  </si>
  <si>
    <t>Busan</t>
  </si>
  <si>
    <t>Maersk/ONE FCL/FCL</t>
  </si>
  <si>
    <t>ONEYMBAE00232500</t>
  </si>
  <si>
    <t>AB FAQ</t>
  </si>
  <si>
    <t>Kota Krim</t>
  </si>
  <si>
    <t>ONEYMBAE00665800</t>
  </si>
  <si>
    <t>7766 8468 8718</t>
  </si>
  <si>
    <t>Evergreen FCL/FCL</t>
  </si>
  <si>
    <t>Ever Dainty</t>
  </si>
  <si>
    <t>321400001449</t>
  </si>
  <si>
    <t>7769 3681 8540</t>
  </si>
  <si>
    <t>New Jersey Trader</t>
  </si>
  <si>
    <t>ONEYMBAE00994600</t>
  </si>
  <si>
    <t>25 8936 6216</t>
  </si>
  <si>
    <t>ONEYMBAE00993500</t>
  </si>
  <si>
    <t>ONEYMBAE01173300</t>
  </si>
  <si>
    <t>20 8259 2293</t>
  </si>
  <si>
    <t>Ever Vow</t>
  </si>
  <si>
    <t>321400002241</t>
  </si>
  <si>
    <t>12 6709 7064</t>
  </si>
  <si>
    <t>Congo Kivu 4</t>
  </si>
  <si>
    <t>Msc Mediterranean</t>
  </si>
  <si>
    <t>MEDUTZ276873</t>
  </si>
  <si>
    <t>96 6489 0793</t>
  </si>
  <si>
    <t xml:space="preserve">Serengeti </t>
  </si>
  <si>
    <t>AB FAQ. SAS on replacement basis.</t>
  </si>
  <si>
    <t>AB/PB FAQ</t>
  </si>
  <si>
    <t>New York</t>
  </si>
  <si>
    <t>CMA-CGM FCL/FCL</t>
  </si>
  <si>
    <t>GH Tramontane</t>
  </si>
  <si>
    <t>NBI0119317</t>
  </si>
  <si>
    <t>IAC US</t>
  </si>
  <si>
    <t>AB Faq, Packed in 60kg Grain Pro bags, SAS</t>
  </si>
  <si>
    <t>Shanghai</t>
  </si>
  <si>
    <t>ONE/CMA/Maersk FCL/FCL</t>
  </si>
  <si>
    <t>Kota Kaya</t>
  </si>
  <si>
    <t>ONEYMBAE00200700</t>
  </si>
  <si>
    <t>Grinder</t>
  </si>
  <si>
    <t>Grinder plus</t>
  </si>
  <si>
    <t>Bremen</t>
  </si>
  <si>
    <t>Maersk FCL/FCL</t>
  </si>
  <si>
    <t>Marathopolis</t>
  </si>
  <si>
    <t>WEC FCL/FCL</t>
  </si>
  <si>
    <t>MSC Shaula</t>
  </si>
  <si>
    <t>WECC2488GRE1014</t>
  </si>
  <si>
    <t>Safi A</t>
  </si>
  <si>
    <t>MEDUM2624184</t>
  </si>
  <si>
    <t>Msc Lome V</t>
  </si>
  <si>
    <t>MEDUM2631544</t>
  </si>
  <si>
    <t>Gaevle</t>
  </si>
  <si>
    <t>Maersk/WEC FCL/FCL</t>
  </si>
  <si>
    <t>MSC Prelude</t>
  </si>
  <si>
    <t>WECC2488GVX1003</t>
  </si>
  <si>
    <t>Msc Diego</t>
  </si>
  <si>
    <t>MEDUM2629571</t>
  </si>
  <si>
    <t>Rotterdam</t>
  </si>
  <si>
    <t>Kyparissa</t>
  </si>
  <si>
    <t>Hapag FCL/FCL</t>
  </si>
  <si>
    <t>Kota Lambang</t>
  </si>
  <si>
    <t>HLCUMB1240501874</t>
  </si>
  <si>
    <t>Antwerp</t>
  </si>
  <si>
    <t>MSC Regina</t>
  </si>
  <si>
    <t>MEDUM2645700</t>
  </si>
  <si>
    <t>Ally Coffee</t>
  </si>
  <si>
    <t>AB Faq</t>
  </si>
  <si>
    <t>Durban</t>
  </si>
  <si>
    <t>MSC Singapore</t>
  </si>
  <si>
    <t>MEDUM2643259</t>
  </si>
  <si>
    <t>MSC Beira</t>
  </si>
  <si>
    <t>MEDUM2662655</t>
  </si>
  <si>
    <t>J. Wolff</t>
  </si>
  <si>
    <t>Type Biashara. APS 5961.(BULK)</t>
  </si>
  <si>
    <t>APS</t>
  </si>
  <si>
    <t>WECC2488BRE1015</t>
  </si>
  <si>
    <t>Type Biashara. APS 5961.</t>
  </si>
  <si>
    <t>MSC Diego</t>
  </si>
  <si>
    <t>WECC2488DUR1004</t>
  </si>
  <si>
    <t>Ishimitsu</t>
  </si>
  <si>
    <t>C Grade. Packed in 60Kg GrainPro bags</t>
  </si>
  <si>
    <t>NANS</t>
  </si>
  <si>
    <t>Xin Huang Pu</t>
  </si>
  <si>
    <t>Royal</t>
  </si>
  <si>
    <t>AA Faq.Packed in 60Kg Grainpro bags</t>
  </si>
  <si>
    <t>AA Faq</t>
  </si>
  <si>
    <t>Oakland</t>
  </si>
  <si>
    <t>Maersk/CMA FCL/FCL</t>
  </si>
  <si>
    <t>BFAD Southern</t>
  </si>
  <si>
    <t>Serengeti</t>
  </si>
  <si>
    <t>FAQ "Biashara" C&amp;F. SAS on replacement basis.</t>
  </si>
  <si>
    <t>MARATHOPOLIS</t>
  </si>
  <si>
    <t>Kenya SAFI A</t>
  </si>
  <si>
    <t>ONEYMBAE00001600</t>
  </si>
  <si>
    <t>Barcelona</t>
  </si>
  <si>
    <t>CMA-CGM FCL</t>
  </si>
  <si>
    <t>CMA CGM LEBU</t>
  </si>
  <si>
    <t>MOB141747</t>
  </si>
  <si>
    <t>Maersk Cape Town</t>
  </si>
  <si>
    <t>Msc Shaula</t>
  </si>
  <si>
    <t>WECC2488ANR1019</t>
  </si>
  <si>
    <t>Type Mara RA-IP</t>
  </si>
  <si>
    <t>MSC Nassau</t>
  </si>
  <si>
    <t>WECC2488HAM1032</t>
  </si>
  <si>
    <t>Bric Russia</t>
  </si>
  <si>
    <t>Burundi Natural, Packed in 60Kg Grainpro bags</t>
  </si>
  <si>
    <t>AA faq</t>
  </si>
  <si>
    <t>Riga</t>
  </si>
  <si>
    <t>Kotka</t>
  </si>
  <si>
    <t>MEDUM2619176</t>
  </si>
  <si>
    <t xml:space="preserve">AA FAQ </t>
  </si>
  <si>
    <t>MEDUM2616834</t>
  </si>
  <si>
    <t>FAQ Folger Spec. C&amp;F New Orleans</t>
  </si>
  <si>
    <t>New Orleans</t>
  </si>
  <si>
    <t>IAC HH</t>
  </si>
  <si>
    <t>AA Mount Kenya Selection *BLOOM CERTIFIED*, Packed in 60Kg Ecotact bags</t>
  </si>
  <si>
    <t>AA Plus</t>
  </si>
  <si>
    <t>MSC Nora</t>
  </si>
  <si>
    <t>MEDUM2618954</t>
  </si>
  <si>
    <t>Bero Italia</t>
  </si>
  <si>
    <t>Type Billy</t>
  </si>
  <si>
    <t>ML</t>
  </si>
  <si>
    <t>Trieste</t>
  </si>
  <si>
    <t>Maersk Cape Verde</t>
  </si>
  <si>
    <t xml:space="preserve">MSC MARTINA </t>
  </si>
  <si>
    <t>MEDUM2668942</t>
  </si>
  <si>
    <t>MSC/Maersk FCL/FCL</t>
  </si>
  <si>
    <t>MEDUM2678438</t>
  </si>
  <si>
    <t>AB Biashara, SAS-On replacement basis, quality as approved in type &amp; preshipment samples. One sample per container. C&amp; F New York</t>
  </si>
  <si>
    <t>Type Biashara, SAS</t>
  </si>
  <si>
    <t>Lori</t>
  </si>
  <si>
    <t>WECC2488DUR1005</t>
  </si>
  <si>
    <t>ABC Biashara, C &amp; F New York</t>
  </si>
  <si>
    <t>Merkur Ocean</t>
  </si>
  <si>
    <t>HLCUMB1240500480</t>
  </si>
  <si>
    <t>754 187 4266</t>
  </si>
  <si>
    <t>IAC London</t>
  </si>
  <si>
    <t>JEBEL ALI</t>
  </si>
  <si>
    <t>Yokohama Star</t>
  </si>
  <si>
    <t>HLCUMB1240202839</t>
  </si>
  <si>
    <t>Biashara</t>
  </si>
  <si>
    <t>WECC2488ANR1023</t>
  </si>
  <si>
    <t>HLCUMB1240402009</t>
  </si>
  <si>
    <t>Rothfos Corporation</t>
  </si>
  <si>
    <t>Kenya AB FAQ TH</t>
  </si>
  <si>
    <t>ABC FAQ Main Crop</t>
  </si>
  <si>
    <t>AS Carlotta</t>
  </si>
  <si>
    <t>HLCUMB1240203959</t>
  </si>
  <si>
    <t>Montreal</t>
  </si>
  <si>
    <t>MEDUM2625439</t>
  </si>
  <si>
    <t>Kenya AA Nguvu, Packed in 60Kg Grainpro bags</t>
  </si>
  <si>
    <t>Hapap FCL/FCL</t>
  </si>
  <si>
    <t>HLCUMB1240300619</t>
  </si>
  <si>
    <t>CMA/Maesk/Hapag FCL/FCL</t>
  </si>
  <si>
    <t>Spil Nita</t>
  </si>
  <si>
    <t>NBI0119027</t>
  </si>
  <si>
    <t>HLCUMB1240302245</t>
  </si>
  <si>
    <t>MEDUM2642186</t>
  </si>
  <si>
    <t>HLCUMB1240403173</t>
  </si>
  <si>
    <t>MEDUM2651252</t>
  </si>
  <si>
    <t>HLCUMB1240505049</t>
  </si>
  <si>
    <t>HLCUMB1240602016</t>
  </si>
  <si>
    <t>AB Kraft Spec</t>
  </si>
  <si>
    <t>Jacksonville,FL</t>
  </si>
  <si>
    <t>HLCUMB1240300960</t>
  </si>
  <si>
    <t>Coprocafe</t>
  </si>
  <si>
    <t>AA. APS 2692.</t>
  </si>
  <si>
    <t>WECC2488BCN1013</t>
  </si>
  <si>
    <t>Type Biashara. APS 2694.</t>
  </si>
  <si>
    <t>SAfi A, BULK</t>
  </si>
  <si>
    <t>Ren Jian 8</t>
  </si>
  <si>
    <t>MOB0143989</t>
  </si>
  <si>
    <t>Bergen</t>
  </si>
  <si>
    <t>Maersk/Wec FCL/FCL</t>
  </si>
  <si>
    <t>WECC2488BGO1001</t>
  </si>
  <si>
    <t>HLCUMB1240502274</t>
  </si>
  <si>
    <t>HLCUMB1240600720</t>
  </si>
  <si>
    <t>MSC Precision</t>
  </si>
  <si>
    <t>WECC2488RTM1057</t>
  </si>
  <si>
    <t xml:space="preserve">Maersk Cape town </t>
  </si>
  <si>
    <t>MSC Rafaela</t>
  </si>
  <si>
    <t>MEDUM2668637</t>
  </si>
  <si>
    <t>IAC Australia</t>
  </si>
  <si>
    <t>AB FAQ Kirinyaga. Inc.Grainpro &amp; Fumigation.</t>
  </si>
  <si>
    <t>PIL FCL/FCL</t>
  </si>
  <si>
    <t>MBA400075100</t>
  </si>
  <si>
    <t>8986 269 504</t>
  </si>
  <si>
    <t>Tchibo</t>
  </si>
  <si>
    <t>AA/AB RA Certified APS 3290, bulk</t>
  </si>
  <si>
    <t>AA/AB/PB certified</t>
  </si>
  <si>
    <t>WECC2488HAM1066</t>
  </si>
  <si>
    <t>Melbourne</t>
  </si>
  <si>
    <t>MBA400072500</t>
  </si>
  <si>
    <t>MBA400100600</t>
  </si>
  <si>
    <t>5050A</t>
  </si>
  <si>
    <t>PIL/Hapag FCL/FCL</t>
  </si>
  <si>
    <t>MBA400127500</t>
  </si>
  <si>
    <t>DEK</t>
  </si>
  <si>
    <t>Grinder. APS 3339.</t>
  </si>
  <si>
    <t>Adelina D</t>
  </si>
  <si>
    <t>NBI0119025</t>
  </si>
  <si>
    <t>Bero Singapore</t>
  </si>
  <si>
    <t>AB FAQ. Packed in 60Kg Grainpro Bags.</t>
  </si>
  <si>
    <t>Cosco Sao Paulo</t>
  </si>
  <si>
    <t>Type Mara</t>
  </si>
  <si>
    <t>WEC/MSC FCL/FCL</t>
  </si>
  <si>
    <t>MEDUM2631080</t>
  </si>
  <si>
    <t>MEDUM2631783</t>
  </si>
  <si>
    <t>Type Biashara. Rainforest Certified RA-IP, APS.</t>
  </si>
  <si>
    <t>WECC2488ANR1036</t>
  </si>
  <si>
    <t>WECC2488ANR1035</t>
  </si>
  <si>
    <t>Blaser Trading</t>
  </si>
  <si>
    <t>AA FAQ New Crop. Packed in Grainpro Bags.</t>
  </si>
  <si>
    <t>AA FAQ</t>
  </si>
  <si>
    <t>Jebel Ali</t>
  </si>
  <si>
    <t>Norderney</t>
  </si>
  <si>
    <t>ONEYMBAE00496300</t>
  </si>
  <si>
    <t>Incheon, Korea</t>
  </si>
  <si>
    <t>MEDUM2631759</t>
  </si>
  <si>
    <t>AA Mount Kenya Selection Crop 23/24, Packed in Grainpro bags.</t>
  </si>
  <si>
    <t>MEDUM2634332</t>
  </si>
  <si>
    <t>AB Kirinyaga Packed in 20*1mT bags (Big bags)</t>
  </si>
  <si>
    <t>MBA400129800</t>
  </si>
  <si>
    <t>Cafea Fortuna</t>
  </si>
  <si>
    <t>AA/AB Top Packed in 60Kg Grainpro Bags. APS 3484</t>
  </si>
  <si>
    <t>AA Top</t>
  </si>
  <si>
    <t>Constanta</t>
  </si>
  <si>
    <t xml:space="preserve">Marathopolis </t>
  </si>
  <si>
    <t>490 4803 036</t>
  </si>
  <si>
    <t>Type Biashara NANS</t>
  </si>
  <si>
    <t>ONEYMBAE00666900</t>
  </si>
  <si>
    <t>ONE/MSC FCL/FCL</t>
  </si>
  <si>
    <t>MEDUM2666581</t>
  </si>
  <si>
    <t>2463 235 946</t>
  </si>
  <si>
    <t>Sojitz</t>
  </si>
  <si>
    <t>AA FAQ Q-Grade Certificate required</t>
  </si>
  <si>
    <t>Kobe</t>
  </si>
  <si>
    <t>Derby D</t>
  </si>
  <si>
    <t>321400001520</t>
  </si>
  <si>
    <t>Langdon</t>
  </si>
  <si>
    <t>AB FAQ. Packed in Grainpro</t>
  </si>
  <si>
    <t>Celsius Brickell</t>
  </si>
  <si>
    <t>PB .Packed in Grainpro</t>
  </si>
  <si>
    <t>MSC Shahar</t>
  </si>
  <si>
    <t>WECC2488HAM1081</t>
  </si>
  <si>
    <t>1930 132 433</t>
  </si>
  <si>
    <t>Royal Coffee</t>
  </si>
  <si>
    <t>AA Faq. Packed in 60Kg Grainpro. SAS on replacement basis</t>
  </si>
  <si>
    <t>CMA/Maersk FCL/FCL</t>
  </si>
  <si>
    <t>AB FAQ RA-IP Gusii project</t>
  </si>
  <si>
    <t>MEDUM2638069</t>
  </si>
  <si>
    <t>CMA CGM Kailas</t>
  </si>
  <si>
    <t>MOB0144812</t>
  </si>
  <si>
    <t>MSC Alexa</t>
  </si>
  <si>
    <t>MEDUM2658224</t>
  </si>
  <si>
    <t>MEDUM2662622</t>
  </si>
  <si>
    <t>MEDUM2668660</t>
  </si>
  <si>
    <t>AB Highlands.(Packed in 60Kg Grainpro).CIF Sydney.</t>
  </si>
  <si>
    <t>AB/PB Top</t>
  </si>
  <si>
    <t>ONEYMBAE00618600</t>
  </si>
  <si>
    <t>ONEYMBAE00699800</t>
  </si>
  <si>
    <t>ONEYMBAE00729900</t>
  </si>
  <si>
    <t>ONEYMBAE00696500</t>
  </si>
  <si>
    <t>ONEYMBAE01187800</t>
  </si>
  <si>
    <t>2082 5922 93</t>
  </si>
  <si>
    <t xml:space="preserve">Mbuni  </t>
  </si>
  <si>
    <t>MH</t>
  </si>
  <si>
    <t>MEDUM2636972</t>
  </si>
  <si>
    <t>FAQ Folger Spec. CIF New Orleans.</t>
  </si>
  <si>
    <t>ABC Main crop</t>
  </si>
  <si>
    <t>HLCUMB1240802458</t>
  </si>
  <si>
    <t>Genova</t>
  </si>
  <si>
    <t>MSC/CMA-CGM FCL/FCL</t>
  </si>
  <si>
    <t>MEDUM2669601</t>
  </si>
  <si>
    <t>Safi A, BULK</t>
  </si>
  <si>
    <t>MEDUM2635644</t>
  </si>
  <si>
    <t xml:space="preserve">XIN HUANG PU </t>
  </si>
  <si>
    <t>XIN YANG SHAN</t>
  </si>
  <si>
    <t>Type Tata, PROMPT</t>
  </si>
  <si>
    <t>Low grades</t>
  </si>
  <si>
    <t>Tuticorin</t>
  </si>
  <si>
    <t>MEDUM2645825</t>
  </si>
  <si>
    <t>7767 4722 6740</t>
  </si>
  <si>
    <t>Rwanda Ingagi Scr. 15 up</t>
  </si>
  <si>
    <t>Rwanda Scr 15 up</t>
  </si>
  <si>
    <t>MEDUM2658281</t>
  </si>
  <si>
    <t xml:space="preserve">Grinder. </t>
  </si>
  <si>
    <t xml:space="preserve">Maersk Cabo Verde </t>
  </si>
  <si>
    <t>Safi B</t>
  </si>
  <si>
    <t>HLCUMB1240603348</t>
  </si>
  <si>
    <t>MSC Mattina</t>
  </si>
  <si>
    <t>WECC2488BRE1066</t>
  </si>
  <si>
    <t>5002A</t>
  </si>
  <si>
    <t>Msc FCL/FCL</t>
  </si>
  <si>
    <t>MEDUM2662002</t>
  </si>
  <si>
    <t>5002B</t>
  </si>
  <si>
    <t>CMA-CGM Fuzhou</t>
  </si>
  <si>
    <t>MOB0145344</t>
  </si>
  <si>
    <t>5043A</t>
  </si>
  <si>
    <t>MEDUM2668710</t>
  </si>
  <si>
    <t>5043B</t>
  </si>
  <si>
    <t>WECC2488BRE1072</t>
  </si>
  <si>
    <t>5044A</t>
  </si>
  <si>
    <t>WECC2488RTM1093</t>
  </si>
  <si>
    <t>5044B</t>
  </si>
  <si>
    <t>MEDUM2668728</t>
  </si>
  <si>
    <t>MSC alexa</t>
  </si>
  <si>
    <t>MEDUM2674585</t>
  </si>
  <si>
    <t>5065A</t>
  </si>
  <si>
    <t>5065B</t>
  </si>
  <si>
    <t>Endebess AA/AB . RA-IP, Crop 2023/2024. Packed in Grainpro</t>
  </si>
  <si>
    <t>AA/AB Certified</t>
  </si>
  <si>
    <t>WECC2488HAM1090</t>
  </si>
  <si>
    <t>AA/AB RA-IP APS 3939 *Bulk</t>
  </si>
  <si>
    <t>WECC2488HAM1088</t>
  </si>
  <si>
    <t>WECC24HAM1115</t>
  </si>
  <si>
    <t>WECC24HAM1129</t>
  </si>
  <si>
    <t>Fully Washed Scr. 15 up</t>
  </si>
  <si>
    <t xml:space="preserve">MSC SINGAPORE </t>
  </si>
  <si>
    <t>MEDUM2664529</t>
  </si>
  <si>
    <t>827 466 8710</t>
  </si>
  <si>
    <t>Stocklot.Packed in 20*1mT bags (Big bags)</t>
  </si>
  <si>
    <t>Valencia</t>
  </si>
  <si>
    <t>WECC2488VLC1009</t>
  </si>
  <si>
    <t>4933 169 824</t>
  </si>
  <si>
    <t>MSC Spring III</t>
  </si>
  <si>
    <t>WECC2488VL1012</t>
  </si>
  <si>
    <t>2964 743 972</t>
  </si>
  <si>
    <t>Cgrade(3881).Packed in 60Kg Grainpro</t>
  </si>
  <si>
    <t>ABC MINUS</t>
  </si>
  <si>
    <t>6337 857 046</t>
  </si>
  <si>
    <t>AB FAQ Scr 15+.SAS on replacement basis.</t>
  </si>
  <si>
    <t>4999A</t>
  </si>
  <si>
    <t>Sc. 15+ SBUX Quality,WAF01,C.A.F.E Practices. Crop year 2023/2024.</t>
  </si>
  <si>
    <t>AA/AB/PB Plus certified</t>
  </si>
  <si>
    <t xml:space="preserve">CELCIUS BRICKELL </t>
  </si>
  <si>
    <t>4999B</t>
  </si>
  <si>
    <t>Seattle</t>
  </si>
  <si>
    <t>EMMANUEL P</t>
  </si>
  <si>
    <t>CKEN558965</t>
  </si>
  <si>
    <t>4999C</t>
  </si>
  <si>
    <t>Savannah</t>
  </si>
  <si>
    <t xml:space="preserve">MAERSK CAPE TOWN </t>
  </si>
  <si>
    <t>4999D</t>
  </si>
  <si>
    <t>Baltimore</t>
  </si>
  <si>
    <t xml:space="preserve">REN JIAN 8 </t>
  </si>
  <si>
    <t>CKEN558967</t>
  </si>
  <si>
    <t>Safi A.</t>
  </si>
  <si>
    <t>Thessaloniki</t>
  </si>
  <si>
    <t>CMA-CGM Suez</t>
  </si>
  <si>
    <t>MOB0145078</t>
  </si>
  <si>
    <t>AB Faq.</t>
  </si>
  <si>
    <t>MOB0145077</t>
  </si>
  <si>
    <t xml:space="preserve">Grinder.  </t>
  </si>
  <si>
    <t>MEDUM2661913</t>
  </si>
  <si>
    <t>5045A</t>
  </si>
  <si>
    <t>MSC Sarya</t>
  </si>
  <si>
    <t>WECC2488ANR1153</t>
  </si>
  <si>
    <t>5045B</t>
  </si>
  <si>
    <t xml:space="preserve">Maersk Cairo </t>
  </si>
  <si>
    <t>5045C</t>
  </si>
  <si>
    <t>5064A</t>
  </si>
  <si>
    <t>MEDUM2682646</t>
  </si>
  <si>
    <t>5064B</t>
  </si>
  <si>
    <t>AA/AB RA-IP APS 4023</t>
  </si>
  <si>
    <t>WECC2488HAM</t>
  </si>
  <si>
    <t>ABC</t>
  </si>
  <si>
    <t>Lady Jane</t>
  </si>
  <si>
    <t>321400002968</t>
  </si>
  <si>
    <t>Grinder Rainforest certified RA-IP. APS 4021</t>
  </si>
  <si>
    <t>Grinder Certified</t>
  </si>
  <si>
    <t>WECC2488ANR1120</t>
  </si>
  <si>
    <t>96 6491 6461</t>
  </si>
  <si>
    <t>IAC USA</t>
  </si>
  <si>
    <t>AA Nguvu.Packed in 60kg Grainpro bags</t>
  </si>
  <si>
    <t>CMA-CGM/HAPAG/Maersk FCL/FCL</t>
  </si>
  <si>
    <t>Emmanuel P</t>
  </si>
  <si>
    <t>NBI0119466</t>
  </si>
  <si>
    <t>Type Biashara, APS 4049.</t>
  </si>
  <si>
    <t>WECC2488DUR1022</t>
  </si>
  <si>
    <t>5003B</t>
  </si>
  <si>
    <t>Type Mara RFA IP. APS 3786081.</t>
  </si>
  <si>
    <t>WECC2488HAM1110</t>
  </si>
  <si>
    <t xml:space="preserve">AB FAQ RFA IP </t>
  </si>
  <si>
    <t>WECC2488HAM1127</t>
  </si>
  <si>
    <t>Type Biashara,(20MT Packed in Big bags).</t>
  </si>
  <si>
    <t>Approved</t>
  </si>
  <si>
    <t>4933 166 210</t>
  </si>
  <si>
    <t>Stocklot, APS 4070. C&amp;F New York.</t>
  </si>
  <si>
    <t>HLCUMB1240702036</t>
  </si>
  <si>
    <t>20 825 922 93</t>
  </si>
  <si>
    <t>DEK Berlin</t>
  </si>
  <si>
    <t>Grinder Rainforest certified RA-IP. APS 3339</t>
  </si>
  <si>
    <t>WECC2488HAM1130</t>
  </si>
  <si>
    <t>AA FAQ (Packed in Grainpro)</t>
  </si>
  <si>
    <t>Cosco FCL/FCL</t>
  </si>
  <si>
    <t xml:space="preserve">CELCIUS BRICKEL </t>
  </si>
  <si>
    <t>COSU6390289360</t>
  </si>
  <si>
    <t>12 7111 9614</t>
  </si>
  <si>
    <t>PB  (Packed in Grainpro)</t>
  </si>
  <si>
    <t>Type Biashara</t>
  </si>
  <si>
    <t>MEDUM2666755</t>
  </si>
  <si>
    <t>AA Faq. Packed in 60Kg Grainpro.</t>
  </si>
  <si>
    <t>MEDUM2670807</t>
  </si>
  <si>
    <t>6921 593 593</t>
  </si>
  <si>
    <t>5052A</t>
  </si>
  <si>
    <t>ONE/CMA-CGM</t>
  </si>
  <si>
    <t>ONEYMBAE01405800</t>
  </si>
  <si>
    <t>995 205 7393</t>
  </si>
  <si>
    <t>AB Biashara,  C&amp;F New York.</t>
  </si>
  <si>
    <t>HLCUMB1240800101</t>
  </si>
  <si>
    <t>ESL A sante</t>
  </si>
  <si>
    <t>HLCUMB1240802999</t>
  </si>
  <si>
    <t>Passir Gudang, Malaysia</t>
  </si>
  <si>
    <t>ONEYMBAE01244900</t>
  </si>
  <si>
    <t>98 7976 4705</t>
  </si>
  <si>
    <t>Strauss</t>
  </si>
  <si>
    <t>Gdansk</t>
  </si>
  <si>
    <t>Maersk/WEC  FCL/FCL</t>
  </si>
  <si>
    <t xml:space="preserve">MSC SINGAPORE IV </t>
  </si>
  <si>
    <t>WECC2488GDY1031</t>
  </si>
  <si>
    <t>AA.ApS 4084</t>
  </si>
  <si>
    <t>AA Minus</t>
  </si>
  <si>
    <t>WECC2488DUR1026</t>
  </si>
  <si>
    <t>WECC2488DUR1027</t>
  </si>
  <si>
    <t>4933 160 186</t>
  </si>
  <si>
    <t>Royal coffee</t>
  </si>
  <si>
    <t>AA FAQ. Packed in 60Kg Grainpro.</t>
  </si>
  <si>
    <t>CMA-CGM/Maersk FCL/FCL</t>
  </si>
  <si>
    <t xml:space="preserve">BALTIC NORTH </t>
  </si>
  <si>
    <t>NBI0119516</t>
  </si>
  <si>
    <t>5058A</t>
  </si>
  <si>
    <t>Type Mara.(500 MT) packed in big bags</t>
  </si>
  <si>
    <t>Gdynia</t>
  </si>
  <si>
    <t>MSC Gabriella</t>
  </si>
  <si>
    <t>MEDUM2678347</t>
  </si>
  <si>
    <t>MEDUM2687108</t>
  </si>
  <si>
    <t>5058B</t>
  </si>
  <si>
    <t>MSC Hellena</t>
  </si>
  <si>
    <t>MEDUM2678362</t>
  </si>
  <si>
    <t>5058C</t>
  </si>
  <si>
    <t>MEDUM2678370</t>
  </si>
  <si>
    <t>AB Sample#3. Packed in 60Kg of Grainpro</t>
  </si>
  <si>
    <t xml:space="preserve">MAERSK CAIRO </t>
  </si>
  <si>
    <t>5048A</t>
  </si>
  <si>
    <t>5048B</t>
  </si>
  <si>
    <t>NBI0119705</t>
  </si>
  <si>
    <t>NBI0119706</t>
  </si>
  <si>
    <t>Type tata 101A Spec</t>
  </si>
  <si>
    <t>MEDUM2674635</t>
  </si>
  <si>
    <t>2037 532 641</t>
  </si>
  <si>
    <t>MEDUM2681796</t>
  </si>
  <si>
    <t>Congo Kivu 3.RWH(Coffee Circle),Organic.</t>
  </si>
  <si>
    <t>Kivu K3</t>
  </si>
  <si>
    <t>MSC Patnaree III</t>
  </si>
  <si>
    <t>WECC2437HAM1058</t>
  </si>
  <si>
    <t>AA FAQ, Crop 2023/2024 sample#4090 Grainpro</t>
  </si>
  <si>
    <t>Yokohama</t>
  </si>
  <si>
    <t>Ever Vim</t>
  </si>
  <si>
    <t>321400002712</t>
  </si>
  <si>
    <t>4920 810 193</t>
  </si>
  <si>
    <t>5061A</t>
  </si>
  <si>
    <t>AA Nguvu.Packed in 60kg Ecotact bags</t>
  </si>
  <si>
    <t>Maersk Cabo Verde</t>
  </si>
  <si>
    <t>5061C</t>
  </si>
  <si>
    <t>Houston</t>
  </si>
  <si>
    <t>5056A-B</t>
  </si>
  <si>
    <t>AA FAQ, Packed in ecotact bags</t>
  </si>
  <si>
    <t>Northern Dependant</t>
  </si>
  <si>
    <t>5062A</t>
  </si>
  <si>
    <t>Grinders.</t>
  </si>
  <si>
    <t>WECC2488BCN1069</t>
  </si>
  <si>
    <t>7516 4190 50</t>
  </si>
  <si>
    <t>5062B</t>
  </si>
  <si>
    <t>Grinders RA-IP.</t>
  </si>
  <si>
    <t>5082A</t>
  </si>
  <si>
    <t>5082B</t>
  </si>
  <si>
    <t>Maersk Cairo</t>
  </si>
  <si>
    <t>5063A</t>
  </si>
  <si>
    <t>Congo K4</t>
  </si>
  <si>
    <t>WECC2488LEH1018</t>
  </si>
  <si>
    <t>2964 750 095</t>
  </si>
  <si>
    <t>AA plus</t>
  </si>
  <si>
    <t>MSC Aria</t>
  </si>
  <si>
    <t>WECC2437LEH1001</t>
  </si>
  <si>
    <t>2338 582 400</t>
  </si>
  <si>
    <t>SAFI B</t>
  </si>
  <si>
    <t>Maersk/MSC/WEC FCL/FCL</t>
  </si>
  <si>
    <t>MEDUM26884147</t>
  </si>
  <si>
    <t>5080A</t>
  </si>
  <si>
    <t>AB-Peets quality. Packed in Grainpro.</t>
  </si>
  <si>
    <t>NBI0119698</t>
  </si>
  <si>
    <t>5080B</t>
  </si>
  <si>
    <t>NBI0119699</t>
  </si>
  <si>
    <t>5080C</t>
  </si>
  <si>
    <t>NBI0119700</t>
  </si>
  <si>
    <t>5080D</t>
  </si>
  <si>
    <t>NBI0119701</t>
  </si>
  <si>
    <t>5061B</t>
  </si>
  <si>
    <t>Endebess Natural APS Packed in 60 kg Grainpro bags</t>
  </si>
  <si>
    <t>AA PLUS</t>
  </si>
  <si>
    <t>5061D</t>
  </si>
  <si>
    <t>5083A</t>
  </si>
  <si>
    <t>Type Billy, 1 container in bulk(360 bags)  and 1 container in bags (320 bags )</t>
  </si>
  <si>
    <t xml:space="preserve">Trieste </t>
  </si>
  <si>
    <t>5083B</t>
  </si>
  <si>
    <t>MEDUM2683339</t>
  </si>
  <si>
    <t xml:space="preserve">Grinders EUDR Aligned </t>
  </si>
  <si>
    <t>Grinder PLus</t>
  </si>
  <si>
    <t>Low grade( Stocklot)</t>
  </si>
  <si>
    <t>HLCUMB1240803037</t>
  </si>
  <si>
    <t>5162 271 192</t>
  </si>
  <si>
    <t>Kenya Kirinyaga. AB FAQ. Packed in Grainpro and Fumigation</t>
  </si>
  <si>
    <t>HLCUMB1240802470</t>
  </si>
  <si>
    <t xml:space="preserve">Type Tata 101A Spec  </t>
  </si>
  <si>
    <t>MEDUM2683966</t>
  </si>
  <si>
    <t>1263 751 543</t>
  </si>
  <si>
    <t>Stocklot,CFR Houston</t>
  </si>
  <si>
    <t xml:space="preserve">Kota Karim </t>
  </si>
  <si>
    <t xml:space="preserve"> HLCUMB1240802151</t>
  </si>
  <si>
    <t>2037 526 396</t>
  </si>
  <si>
    <t>MEDUM2683958</t>
  </si>
  <si>
    <t>AB. (20 Defects,Max 5% below Sc14 and atleast 50% above Sc 15).</t>
  </si>
  <si>
    <t>AB FAQ Kirinyaga. Inc.Ecotact &amp; Fumigation.</t>
  </si>
  <si>
    <t>GSL Rossi</t>
  </si>
  <si>
    <t>HLCUMB1240901219</t>
  </si>
  <si>
    <t>Stocklot,CFR New York</t>
  </si>
  <si>
    <t>HLCUMB1240803300</t>
  </si>
  <si>
    <t>AB</t>
  </si>
  <si>
    <t>Maersk/Hapag FCL/FCL</t>
  </si>
  <si>
    <t>Mbuni</t>
  </si>
  <si>
    <t>MEDUM2684857</t>
  </si>
  <si>
    <t>6189 106 453</t>
  </si>
  <si>
    <t>MEDUM2685805</t>
  </si>
  <si>
    <t xml:space="preserve">JDE AB FAQ EUDR Aligned </t>
  </si>
  <si>
    <t>Fos</t>
  </si>
  <si>
    <t>5140A</t>
  </si>
  <si>
    <t xml:space="preserve">JDE Grinders EUDR Aligned  </t>
  </si>
  <si>
    <t>CMA-CGM Gulf Express</t>
  </si>
  <si>
    <t>MOB0148600</t>
  </si>
  <si>
    <t>5140B</t>
  </si>
  <si>
    <t>MSC Nuria</t>
  </si>
  <si>
    <t>MEDUM2708938</t>
  </si>
  <si>
    <t>5141B</t>
  </si>
  <si>
    <t xml:space="preserve">JDE SAFI A EUDR ALIGNED </t>
  </si>
  <si>
    <t>CMA CGM Gulf Express</t>
  </si>
  <si>
    <t>MOB0148506</t>
  </si>
  <si>
    <t>5141A</t>
  </si>
  <si>
    <t>5142A</t>
  </si>
  <si>
    <t xml:space="preserve">JDE SAFI B EUDR ALIGNED </t>
  </si>
  <si>
    <t>MEDUM2708953</t>
  </si>
  <si>
    <t>5142B</t>
  </si>
  <si>
    <t>Oceana</t>
  </si>
  <si>
    <t>ONEYMBAE02212500</t>
  </si>
  <si>
    <t>MSC Love V</t>
  </si>
  <si>
    <t>WECC2588RTM1041</t>
  </si>
  <si>
    <t>5159A</t>
  </si>
  <si>
    <t>MSC Lome v</t>
  </si>
  <si>
    <t>WECC2588FOS1007</t>
  </si>
  <si>
    <t>5159B</t>
  </si>
  <si>
    <t>WECC2588HAM1051</t>
  </si>
  <si>
    <t>5156A</t>
  </si>
  <si>
    <t>5156B</t>
  </si>
  <si>
    <t>MSC Lome V</t>
  </si>
  <si>
    <t>WECC2588FOS1009</t>
  </si>
  <si>
    <t>5195A</t>
  </si>
  <si>
    <t>WECC2588FOS1022</t>
  </si>
  <si>
    <t>5195C</t>
  </si>
  <si>
    <t>5195B</t>
  </si>
  <si>
    <t>CMA-CGM Pegasus</t>
  </si>
  <si>
    <t>NBI0120527</t>
  </si>
  <si>
    <t>Type Tata 101A Spec. As Per Sample 5923</t>
  </si>
  <si>
    <t>MSC Langsar</t>
  </si>
  <si>
    <t>MEDUM2689278</t>
  </si>
  <si>
    <t>1324 151 264</t>
  </si>
  <si>
    <t>ABC FAQ, PSS to be drawn by SGS &amp; sampling offer to be inclusive in the offer</t>
  </si>
  <si>
    <t>321500000746</t>
  </si>
  <si>
    <t>6280 6294 23</t>
  </si>
  <si>
    <t>Kota Selamat</t>
  </si>
  <si>
    <t>ONEYMBAF00212400</t>
  </si>
  <si>
    <t>30 8583 5222</t>
  </si>
  <si>
    <t>ONEYMBAF00365600</t>
  </si>
  <si>
    <t>Calandra</t>
  </si>
  <si>
    <t>ONEYMBAF00481500</t>
  </si>
  <si>
    <t>94 2132 4802</t>
  </si>
  <si>
    <t>AB FAQ, PSS to be drawn by SGS &amp; sampling offer to be inclusive in the offer</t>
  </si>
  <si>
    <t>Kota Sahabat</t>
  </si>
  <si>
    <t>ONEYMBAF00628800</t>
  </si>
  <si>
    <t>67 5733 1151</t>
  </si>
  <si>
    <t>321500001858</t>
  </si>
  <si>
    <t>ONEYMBAF00683900</t>
  </si>
  <si>
    <t>Kota Sejarah</t>
  </si>
  <si>
    <t>ONEYMBAF00842600</t>
  </si>
  <si>
    <t>24 1668 4745</t>
  </si>
  <si>
    <t>One Atlas</t>
  </si>
  <si>
    <t>ONEYMBAF01244300</t>
  </si>
  <si>
    <t>2832 306 326</t>
  </si>
  <si>
    <t>Covoya USA</t>
  </si>
  <si>
    <t xml:space="preserve"> AB           APS 4135     Prompt. Packed in 60Kg Ecotact bags</t>
  </si>
  <si>
    <t>HONGKONG BRIDGE</t>
  </si>
  <si>
    <t>HLCUMB1240901208</t>
  </si>
  <si>
    <t xml:space="preserve">Type Mara </t>
  </si>
  <si>
    <t>Safi A JDE Type EUDR Aligned</t>
  </si>
  <si>
    <t>Maesk Cabo Verde</t>
  </si>
  <si>
    <t>5144A</t>
  </si>
  <si>
    <t>Safi B JDE Type EUDR Aligned</t>
  </si>
  <si>
    <t>5144B</t>
  </si>
  <si>
    <t>AB FAQ JDE Type EUDR Aligned</t>
  </si>
  <si>
    <t>Nordpanther</t>
  </si>
  <si>
    <t>MOB0148499</t>
  </si>
  <si>
    <t>AB EUDR Aligned, Crop 2024/2025</t>
  </si>
  <si>
    <t>WECC2588HAM1025</t>
  </si>
  <si>
    <t>MSC Conakry</t>
  </si>
  <si>
    <t>WECC2588HAM1026</t>
  </si>
  <si>
    <t>AA FAQ. Packed in 60KG Grainpro.</t>
  </si>
  <si>
    <t>ONEYMBAF00179900</t>
  </si>
  <si>
    <t>9566 5705 06</t>
  </si>
  <si>
    <t>AB FAQ. Packed in 60KG Grainpro.</t>
  </si>
  <si>
    <t>ONEYMBAF00192400</t>
  </si>
  <si>
    <t>12 7415 9552</t>
  </si>
  <si>
    <t>Kota Ganding</t>
  </si>
  <si>
    <t>ONEYMBAF00370900</t>
  </si>
  <si>
    <t>41 4826 6570</t>
  </si>
  <si>
    <t>AA FAQ. Packed in 60KG Ecotact.</t>
  </si>
  <si>
    <t>Kota Sempena</t>
  </si>
  <si>
    <t>ONEYMBAE02262300</t>
  </si>
  <si>
    <t>3273 734 564</t>
  </si>
  <si>
    <t>ONEYMBAF00180800</t>
  </si>
  <si>
    <t>CMA CGM Fuzhou</t>
  </si>
  <si>
    <t>GEN1868378</t>
  </si>
  <si>
    <t>5153A</t>
  </si>
  <si>
    <t>SC 15+ SBUX Quality, WAF01, C.A.F.E Practices, crop year 2024/25. (200*1000-Packed in Big Bags)</t>
  </si>
  <si>
    <t>Charleston</t>
  </si>
  <si>
    <t>MOB0149068</t>
  </si>
  <si>
    <t>5153B</t>
  </si>
  <si>
    <t>MOB0149048</t>
  </si>
  <si>
    <t>5155C</t>
  </si>
  <si>
    <t>SC 15+ SBUX Quality, WAF01, C.A.F.E Practices, crop year 2024/25. (100*1000-Packed in Big Bags)</t>
  </si>
  <si>
    <t>Tacoma</t>
  </si>
  <si>
    <t>Spil Caya</t>
  </si>
  <si>
    <t>5155A</t>
  </si>
  <si>
    <t>Not Found</t>
  </si>
  <si>
    <t>CKEN593330</t>
  </si>
  <si>
    <t>5155B</t>
  </si>
  <si>
    <t>ESL Asante</t>
  </si>
  <si>
    <t>CKEN593328</t>
  </si>
  <si>
    <t>5179A</t>
  </si>
  <si>
    <t>SC 15+ SBUX Quality, WAF01, C.A.F.E Practices, crop year 2024/25. (180*1000-Packed in Big Bags)</t>
  </si>
  <si>
    <t>BSG Barbados</t>
  </si>
  <si>
    <t>Irenes Southern</t>
  </si>
  <si>
    <t>5179B</t>
  </si>
  <si>
    <t>CMA-CGM</t>
  </si>
  <si>
    <t>Seaspan New Delhi</t>
  </si>
  <si>
    <t>MOB0149639</t>
  </si>
  <si>
    <t xml:space="preserve">ABC NKG Verified EUDR </t>
  </si>
  <si>
    <t>Gothenberg</t>
  </si>
  <si>
    <t>MSC Gina</t>
  </si>
  <si>
    <t>WECC2588GOT1003</t>
  </si>
  <si>
    <t>5154A-E</t>
  </si>
  <si>
    <t>AB(TP Quality). Packed in exchange grade Jute bags.</t>
  </si>
  <si>
    <t>Norfolk</t>
  </si>
  <si>
    <t>Grinder sc13 up. APS</t>
  </si>
  <si>
    <t>WECC2588HAM1024</t>
  </si>
  <si>
    <t>WECC2588HAM1049</t>
  </si>
  <si>
    <t>5167A</t>
  </si>
  <si>
    <t>AB TH Spec</t>
  </si>
  <si>
    <t>MEDUM2729496</t>
  </si>
  <si>
    <t>5167B</t>
  </si>
  <si>
    <t>MEDUM2729462</t>
  </si>
  <si>
    <t>MEDUM2736541</t>
  </si>
  <si>
    <t xml:space="preserve">MSC Mediterranian </t>
  </si>
  <si>
    <t>MEDUM2750765</t>
  </si>
  <si>
    <t xml:space="preserve">MSC LOME </t>
  </si>
  <si>
    <t>MEDUM2758768</t>
  </si>
  <si>
    <t>Nyeri AA. PSS to be drawn by SGS &amp; sampling offer to be inclusive in the offer. Packed in grainpro.</t>
  </si>
  <si>
    <t>MBAF00329600</t>
  </si>
  <si>
    <t>41 4827 0291</t>
  </si>
  <si>
    <t>Kota Singa</t>
  </si>
  <si>
    <t>ONEYMBAF01136300</t>
  </si>
  <si>
    <t>4827 8334 63</t>
  </si>
  <si>
    <t>Grinders</t>
  </si>
  <si>
    <t>WECC2588FOS1019</t>
  </si>
  <si>
    <t>5197A</t>
  </si>
  <si>
    <t xml:space="preserve">Safi A   </t>
  </si>
  <si>
    <t>5197B</t>
  </si>
  <si>
    <t xml:space="preserve">MSC Prelude </t>
  </si>
  <si>
    <t>MEDUM2752951</t>
  </si>
  <si>
    <t>5228B</t>
  </si>
  <si>
    <t>MEDUM2747936</t>
  </si>
  <si>
    <t>5228A</t>
  </si>
  <si>
    <t>Kota Sempana</t>
  </si>
  <si>
    <t>ONEYMBAF00501500</t>
  </si>
  <si>
    <t>5163A</t>
  </si>
  <si>
    <t>WECC2588BCN1011</t>
  </si>
  <si>
    <t>4780 1877 75</t>
  </si>
  <si>
    <t>5163B</t>
  </si>
  <si>
    <t>5163C</t>
  </si>
  <si>
    <t>Lucky Blessing</t>
  </si>
  <si>
    <t>MEDUM2740410</t>
  </si>
  <si>
    <t>SC.15 SBUX Quality KEN01 CC.A.F.E Practice, Crop 2024/2025.Packed in Ecotact/Grainpro.</t>
  </si>
  <si>
    <t>Chennai</t>
  </si>
  <si>
    <t>MEDUM2733340</t>
  </si>
  <si>
    <t>422 946 3136</t>
  </si>
  <si>
    <t>5244A</t>
  </si>
  <si>
    <t>Triste</t>
  </si>
  <si>
    <t>MSS Prelude</t>
  </si>
  <si>
    <t>MEDUM2750773</t>
  </si>
  <si>
    <t>SAFI A</t>
  </si>
  <si>
    <t>WECC2588RTM1060</t>
  </si>
  <si>
    <t>5178A</t>
  </si>
  <si>
    <t>SBUX Endebess Estate AA C.A.F.E practices verified-crop 2024/2025. Quality(KEN83)  APS 4277 cupped 11th Dec'24. Packed in grainpro</t>
  </si>
  <si>
    <t>5178B</t>
  </si>
  <si>
    <t>SBUX Endebess Estate AA C.A.F.E practices verified-crop 2024/2025. Quality (KEN83). 1 Bag of 40kg Packed in grainpro. FCA JKIA Nairobi, KE. No PSS required but must wait for PSS approval of PO 60028052 &amp; SCTC Traffic confirmation before shipment</t>
  </si>
  <si>
    <t>Airfreight</t>
  </si>
  <si>
    <t>Bag Airlifted on 14.03.25</t>
  </si>
  <si>
    <t>MH, Prompt</t>
  </si>
  <si>
    <t>MEDUM2724216</t>
  </si>
  <si>
    <t>Type Mara. APS 6028.bulk</t>
  </si>
  <si>
    <t>GDANSK</t>
  </si>
  <si>
    <t>MEDUM2725908</t>
  </si>
  <si>
    <t xml:space="preserve">Wiking </t>
  </si>
  <si>
    <t>5190A</t>
  </si>
  <si>
    <t>AB Kirinyaga, Packed in Grainpro. *Remaining 48 bags space to be filled with microlots to be selected Jan/Feb</t>
  </si>
  <si>
    <t>GSL Melina</t>
  </si>
  <si>
    <t>ABC Kifaru</t>
  </si>
  <si>
    <t>Ashdod</t>
  </si>
  <si>
    <t>Wiking</t>
  </si>
  <si>
    <t>5176A</t>
  </si>
  <si>
    <t>CKEN597817</t>
  </si>
  <si>
    <t>5176B</t>
  </si>
  <si>
    <t>5176D</t>
  </si>
  <si>
    <t>5176C</t>
  </si>
  <si>
    <t>CKEN597960</t>
  </si>
  <si>
    <t>5176E</t>
  </si>
  <si>
    <t>CKEN597948</t>
  </si>
  <si>
    <t>5213A</t>
  </si>
  <si>
    <t>Ren Jian8</t>
  </si>
  <si>
    <t>MOB0150662</t>
  </si>
  <si>
    <t>5213B</t>
  </si>
  <si>
    <t>MOB0150664</t>
  </si>
  <si>
    <t>5213C</t>
  </si>
  <si>
    <t>5272A</t>
  </si>
  <si>
    <t>Amsterdam</t>
  </si>
  <si>
    <t>5272B</t>
  </si>
  <si>
    <t xml:space="preserve">Oakland </t>
  </si>
  <si>
    <t>MOB0151423/CKEN610305</t>
  </si>
  <si>
    <t>5174B</t>
  </si>
  <si>
    <t>ABC Faq</t>
  </si>
  <si>
    <t>MEDUM2728753</t>
  </si>
  <si>
    <t>5174A</t>
  </si>
  <si>
    <t>MEDUM2728746</t>
  </si>
  <si>
    <t>ONEYMBAF00178800</t>
  </si>
  <si>
    <t>Maersk/WEC/MSC</t>
  </si>
  <si>
    <t>AB FAQ. Packed in 60Kg Grainpro.</t>
  </si>
  <si>
    <t>ONEYMBAF00364500</t>
  </si>
  <si>
    <t>57 2040 7556</t>
  </si>
  <si>
    <t>5171A</t>
  </si>
  <si>
    <t>AB FAQ.As Per Sample 4152.Packed in Grainpro.</t>
  </si>
  <si>
    <t>SC Montreaus</t>
  </si>
  <si>
    <t>NBI0120391</t>
  </si>
  <si>
    <t>5171B</t>
  </si>
  <si>
    <t>NBI0120392</t>
  </si>
  <si>
    <t xml:space="preserve">AB.(Packed in 60Kg Ecotact bags.) </t>
  </si>
  <si>
    <t>Hapag Lloyd FCL/FCL</t>
  </si>
  <si>
    <t>HLCUMB1250500800</t>
  </si>
  <si>
    <t>5288A</t>
  </si>
  <si>
    <t>NBI020844</t>
  </si>
  <si>
    <t>5288B</t>
  </si>
  <si>
    <t>NBI020845</t>
  </si>
  <si>
    <t>5305A</t>
  </si>
  <si>
    <t>NBI0120984</t>
  </si>
  <si>
    <t>5305B</t>
  </si>
  <si>
    <t>NBI0120985</t>
  </si>
  <si>
    <t>5308A</t>
  </si>
  <si>
    <t>CMA CGM Tarragona</t>
  </si>
  <si>
    <t>NBI0121492</t>
  </si>
  <si>
    <t>5308B</t>
  </si>
  <si>
    <t>NBI0121493</t>
  </si>
  <si>
    <t>5323A</t>
  </si>
  <si>
    <t>CMA-CGM MoMBASA</t>
  </si>
  <si>
    <t>NBI0121498A</t>
  </si>
  <si>
    <t>5323B</t>
  </si>
  <si>
    <t>NBI0121498B</t>
  </si>
  <si>
    <t>5335A-B</t>
  </si>
  <si>
    <t>Lobivia</t>
  </si>
  <si>
    <t>NBI0121502/6</t>
  </si>
  <si>
    <t>5348A</t>
  </si>
  <si>
    <t>CMA-CGM Cleveland</t>
  </si>
  <si>
    <t>NBI0121522</t>
  </si>
  <si>
    <t>5348B</t>
  </si>
  <si>
    <t>CMA-CGM Mombasa</t>
  </si>
  <si>
    <t>NBI0121523</t>
  </si>
  <si>
    <t>TP Quality. Coffee to be packed in exchange grade bags.</t>
  </si>
  <si>
    <t>WECC2588HAM1072</t>
  </si>
  <si>
    <t>5247A</t>
  </si>
  <si>
    <t>AB Kirinyaga. Packed in 60Kg Grainpro.</t>
  </si>
  <si>
    <t xml:space="preserve">SC 15+ SBUX Quality, WAF01, C.A.F.E Practices, crop year 2024/25. (60*1000-Packed in Big Bags)subject to approval of sample on replacement basis.
repeat and arrival sample      </t>
  </si>
  <si>
    <t>SCI Mumbai</t>
  </si>
  <si>
    <t>CKEN602607</t>
  </si>
  <si>
    <t>AA/AB Plus, RA-IP</t>
  </si>
  <si>
    <t>WECC2588HAM1096</t>
  </si>
  <si>
    <t>AA/AB Plus.</t>
  </si>
  <si>
    <t>WECC2588HAM1095</t>
  </si>
  <si>
    <t xml:space="preserve">Hao Bo 01 </t>
  </si>
  <si>
    <t>WECC2588HAM1128</t>
  </si>
  <si>
    <t>AB Plus.</t>
  </si>
  <si>
    <t>AB/PB Plus</t>
  </si>
  <si>
    <t>WECC2588HAM1127</t>
  </si>
  <si>
    <t>AA PLUS. Packed in 60Kg Grainpro.</t>
  </si>
  <si>
    <t>APPROVED</t>
  </si>
  <si>
    <t>42 2421 3453</t>
  </si>
  <si>
    <t xml:space="preserve">AB PLUS.  Packed in 60Kg Grainpro </t>
  </si>
  <si>
    <t xml:space="preserve"> ABC TP</t>
  </si>
  <si>
    <t>ABC TP</t>
  </si>
  <si>
    <t>5200A</t>
  </si>
  <si>
    <t xml:space="preserve">AB Kitale </t>
  </si>
  <si>
    <t>5200B</t>
  </si>
  <si>
    <t>AB FAQ JDE Quality.</t>
  </si>
  <si>
    <t>MEDUM2742754</t>
  </si>
  <si>
    <t xml:space="preserve">AB FAQ. Packed in 60Kg Grainpro </t>
  </si>
  <si>
    <t>Maersk/CMA/MSC/Happag/WEC</t>
  </si>
  <si>
    <t>Lucky blessing</t>
  </si>
  <si>
    <t>WECC2588RIX1002</t>
  </si>
  <si>
    <t>5138 505 271</t>
  </si>
  <si>
    <t>AB Plus RA-IP (Paulig quality) *BULK.</t>
  </si>
  <si>
    <t>Helsinki</t>
  </si>
  <si>
    <t>AB Plus RA-IP (Paulig quality) * BULK</t>
  </si>
  <si>
    <t xml:space="preserve">Spil Caya </t>
  </si>
  <si>
    <t>Type Mara, BULK.</t>
  </si>
  <si>
    <t>BSG Berbados</t>
  </si>
  <si>
    <t>NBI0120852</t>
  </si>
  <si>
    <t>310 949 4894</t>
  </si>
  <si>
    <t>Mara RA-IP . Bulk.</t>
  </si>
  <si>
    <t>Maesrk FCL/FCL</t>
  </si>
  <si>
    <t>Xin Yang Shan</t>
  </si>
  <si>
    <t>AA  FAQ</t>
  </si>
  <si>
    <t xml:space="preserve">Maersk Cape Town </t>
  </si>
  <si>
    <t>8410 1442 12</t>
  </si>
  <si>
    <t>Rwanda Ingagi.Scr 15 UP.</t>
  </si>
  <si>
    <t>Scr 15 up</t>
  </si>
  <si>
    <t>WECC2537LEH1003</t>
  </si>
  <si>
    <t>4631 130 663</t>
  </si>
  <si>
    <t>Docs dispatched (Rwanda)</t>
  </si>
  <si>
    <t>Napoli</t>
  </si>
  <si>
    <t>MSC Cairo IV</t>
  </si>
  <si>
    <t>MEDUM2761317</t>
  </si>
  <si>
    <t>Grinders , BULK</t>
  </si>
  <si>
    <t>Grinder Plus</t>
  </si>
  <si>
    <t>Cairo Pyramid</t>
  </si>
  <si>
    <t>WECC2588HAM1163</t>
  </si>
  <si>
    <t>Grinders RA-IP</t>
  </si>
  <si>
    <t>Grinder certified</t>
  </si>
  <si>
    <t>NBI0120851</t>
  </si>
  <si>
    <t>Grinders,  BULK</t>
  </si>
  <si>
    <t>MEDUM2777008</t>
  </si>
  <si>
    <t>Type Billy,</t>
  </si>
  <si>
    <t>MEDUM2780242</t>
  </si>
  <si>
    <t>WECC2588HAM1161</t>
  </si>
  <si>
    <t>5238A</t>
  </si>
  <si>
    <t>JDE Type Safi A</t>
  </si>
  <si>
    <t>Msc Cairo</t>
  </si>
  <si>
    <t>MEDUM2745039</t>
  </si>
  <si>
    <t>5238B</t>
  </si>
  <si>
    <t>MEDUM2744602</t>
  </si>
  <si>
    <t>AB FAQ, No PSS needed. Packed in GrainPro.</t>
  </si>
  <si>
    <t>NO PSS</t>
  </si>
  <si>
    <t xml:space="preserve">Maersk </t>
  </si>
  <si>
    <t>67 8523 1224</t>
  </si>
  <si>
    <t xml:space="preserve">Grinders   </t>
  </si>
  <si>
    <t>Maersk</t>
  </si>
  <si>
    <t>JDE AB FAQ</t>
  </si>
  <si>
    <t>5283A</t>
  </si>
  <si>
    <t>JDE Grinders</t>
  </si>
  <si>
    <t>HLCUMB1250605655</t>
  </si>
  <si>
    <t>5283B</t>
  </si>
  <si>
    <t>MSC Cairo</t>
  </si>
  <si>
    <t>MEDUM2771183</t>
  </si>
  <si>
    <t>MEDUM2765508</t>
  </si>
  <si>
    <t>5282A</t>
  </si>
  <si>
    <t>JDE SAFI A</t>
  </si>
  <si>
    <t>HLCUMB1250501919</t>
  </si>
  <si>
    <t>5282B</t>
  </si>
  <si>
    <t>5282C</t>
  </si>
  <si>
    <t>5282D</t>
  </si>
  <si>
    <t>HLCUMB1250502458</t>
  </si>
  <si>
    <t>Mbuni MH,APS 4924.PROMPT.</t>
  </si>
  <si>
    <t>Biashara RA-IP</t>
  </si>
  <si>
    <t>WECC2588HEL1009</t>
  </si>
  <si>
    <t>229 6533 864</t>
  </si>
  <si>
    <t>Biashara RA-IP.</t>
  </si>
  <si>
    <t>WECC2588ANR1123</t>
  </si>
  <si>
    <t>SBUX Quality WAF01 Sc.15+ C.A.F.E Practices, crop 2024/25.Packed in 60Kg Grainpro.</t>
  </si>
  <si>
    <t>AA/AB/PB Plus Certified</t>
  </si>
  <si>
    <t>MEDUM2771480</t>
  </si>
  <si>
    <t>27 6856 1810</t>
  </si>
  <si>
    <t>Awaiting Docs dispatch</t>
  </si>
  <si>
    <t>Stocklot,As Per Sample 5993</t>
  </si>
  <si>
    <t>Low Grade</t>
  </si>
  <si>
    <t>MEDUM2748397</t>
  </si>
  <si>
    <t>MEDUM2755921</t>
  </si>
  <si>
    <t>Lavazza</t>
  </si>
  <si>
    <t>No PSS Needed</t>
  </si>
  <si>
    <t>Messina FCL/FCL</t>
  </si>
  <si>
    <t>Jolly Giada</t>
  </si>
  <si>
    <t>MB525979</t>
  </si>
  <si>
    <t>Maersk/MSC FCL/FCL</t>
  </si>
  <si>
    <t>No SAS</t>
  </si>
  <si>
    <t>MEDUM2792601</t>
  </si>
  <si>
    <t>MEDUM2798251</t>
  </si>
  <si>
    <t>Grinders Toto,APS 4926</t>
  </si>
  <si>
    <t>AB Top RA-IP. APS 5219/5220</t>
  </si>
  <si>
    <t>Oslo</t>
  </si>
  <si>
    <t>WECC2588OSL1003</t>
  </si>
  <si>
    <t>AB, Packed in 60kg ecotact</t>
  </si>
  <si>
    <t>AB/PB Minus</t>
  </si>
  <si>
    <t>HLCUMB1250500810</t>
  </si>
  <si>
    <t>AA/AB Plus. APS 6012</t>
  </si>
  <si>
    <t>WECC2588HAM1132</t>
  </si>
  <si>
    <t>AB, Ex warehouse NJ</t>
  </si>
  <si>
    <t>Spot</t>
  </si>
  <si>
    <t>5259A</t>
  </si>
  <si>
    <t>AA Jambo Jambo. SAS-NANS.( Packed in 60kg Grainpro).Above screen 17 &amp; 1kg PSS to be provided</t>
  </si>
  <si>
    <t>WECC2588HAM1162</t>
  </si>
  <si>
    <t>Kenya Kubwa</t>
  </si>
  <si>
    <t>MEDUM2771159</t>
  </si>
  <si>
    <t>MEDUM2778121</t>
  </si>
  <si>
    <t>5269A</t>
  </si>
  <si>
    <t>NBI0120823</t>
  </si>
  <si>
    <t>Mara Minus RA-IP</t>
  </si>
  <si>
    <t>MEDUM2763800</t>
  </si>
  <si>
    <t>5279A</t>
  </si>
  <si>
    <t>AA Rift Valley. Packed in 60kg Grainpro Bags</t>
  </si>
  <si>
    <t>Gydnia</t>
  </si>
  <si>
    <t>MSC Lome</t>
  </si>
  <si>
    <t>MEDUM2764725</t>
  </si>
  <si>
    <t>5268A</t>
  </si>
  <si>
    <t>Black beans, APS 6013</t>
  </si>
  <si>
    <t>UG1 HP Mixed</t>
  </si>
  <si>
    <t>MEDUM2758289</t>
  </si>
  <si>
    <t>15 8943 7371</t>
  </si>
  <si>
    <t>5268B</t>
  </si>
  <si>
    <t>MEDUM2758297</t>
  </si>
  <si>
    <t>MEDUM2763784</t>
  </si>
  <si>
    <t>Rwanda Washed Ingagi</t>
  </si>
  <si>
    <t>WECC2537ANR1038</t>
  </si>
  <si>
    <t>Low grades, APS 6047</t>
  </si>
  <si>
    <t>WECC2588HAM1196</t>
  </si>
  <si>
    <t>Kenya blacks, APS 6046</t>
  </si>
  <si>
    <t>WECC2588HAM1201</t>
  </si>
  <si>
    <t>3786921</t>
  </si>
  <si>
    <t>AB FAQ, Packed in 60kg ecotact</t>
  </si>
  <si>
    <t>0</t>
  </si>
  <si>
    <t>Maersk/CMA/ONE FCL/FCL</t>
  </si>
  <si>
    <t>9451 287 646</t>
  </si>
  <si>
    <t>Kenya Stock-lot Copro type. 20 bags packed in big(1MT) bags</t>
  </si>
  <si>
    <t>WECC2588VLC1021</t>
  </si>
  <si>
    <t>Mara minus RA-IP APS</t>
  </si>
  <si>
    <t>MEDUM2769674</t>
  </si>
  <si>
    <t>5327A-B</t>
  </si>
  <si>
    <t>Irene Southern</t>
  </si>
  <si>
    <t>AB Peets quality. Packed in 60kg Ecotact</t>
  </si>
  <si>
    <t>MSC Felixstowe</t>
  </si>
  <si>
    <t>MEDUM2812078</t>
  </si>
  <si>
    <t>Rwanda Gwira, coffee will be checked for EUDR alignment,please provide Geodata prior to the shipment.</t>
  </si>
  <si>
    <t>Cussler</t>
  </si>
  <si>
    <t>Documents dispatched (Rwanda)</t>
  </si>
  <si>
    <t>Mbuni, PROMPT</t>
  </si>
  <si>
    <t>WECC2588LEH1015</t>
  </si>
  <si>
    <t>3660 4377 34</t>
  </si>
  <si>
    <t>Mbuni, EUDR Aligned</t>
  </si>
  <si>
    <t>MEDUM2798533</t>
  </si>
  <si>
    <t>1622 814 701</t>
  </si>
  <si>
    <t>AA Jambo Jambo. Packed in Grainpro. EUDR Aligned.</t>
  </si>
  <si>
    <t>WECC2588HAM1284</t>
  </si>
  <si>
    <t>GSC International</t>
  </si>
  <si>
    <t>AA FAQ Kirinyaga. Packed in 60Kg Grainpro</t>
  </si>
  <si>
    <t>ONEYMBAF01465800</t>
  </si>
  <si>
    <t>CMA/MSC/Maersk/WEC</t>
  </si>
  <si>
    <t>MEDUM2788500</t>
  </si>
  <si>
    <t xml:space="preserve">JDE AB FAQ RA-IP </t>
  </si>
  <si>
    <t>5312B</t>
  </si>
  <si>
    <t xml:space="preserve">JDE AB FAQ </t>
  </si>
  <si>
    <t>MSC ALVA</t>
  </si>
  <si>
    <t>MEDUM2782073</t>
  </si>
  <si>
    <t>5312A</t>
  </si>
  <si>
    <t>Kenya Stock lot</t>
  </si>
  <si>
    <t>low Grade</t>
  </si>
  <si>
    <t>WECC2588ANR1189</t>
  </si>
  <si>
    <t>1134 192 146</t>
  </si>
  <si>
    <t>Kenya Stocklot Copro type, No approval no sale</t>
  </si>
  <si>
    <t>1870 842 794</t>
  </si>
  <si>
    <t>AB FAQ, To be marked Kenya AB Mount Kenya Selection</t>
  </si>
  <si>
    <t>MEDUM2798244</t>
  </si>
  <si>
    <t>SC.15 SBUX Quality KEN01 C.A.F.E Practice, Crop 2024/2025.Packed in Ecotact/Grainpro. As per sample 6211 cupped on 30/07/2025</t>
  </si>
  <si>
    <t>MSC Banjul IV</t>
  </si>
  <si>
    <t>MEDUM2800990</t>
  </si>
  <si>
    <t>7013 053 692</t>
  </si>
  <si>
    <t>5328A</t>
  </si>
  <si>
    <t>AB Honey Bush. Packed in Grainpro.</t>
  </si>
  <si>
    <t>AB Minus</t>
  </si>
  <si>
    <t>London</t>
  </si>
  <si>
    <t>WECC2588LGP1027</t>
  </si>
  <si>
    <t>5328B</t>
  </si>
  <si>
    <t>AA Samburu. Packed in Grainpro.</t>
  </si>
  <si>
    <t>5328C</t>
  </si>
  <si>
    <t>PB Kisii. Packed in Grainpro.</t>
  </si>
  <si>
    <t>PB FAQ</t>
  </si>
  <si>
    <t>ONEYMBAF01453500</t>
  </si>
  <si>
    <t>AA Jambo Jambo.EUDR Aligned.( Packed in 60kg Grainpro).Jambo Jambo Logo on the bags.</t>
  </si>
  <si>
    <t>AB PLUS</t>
  </si>
  <si>
    <t>WECC2588HAM1304</t>
  </si>
  <si>
    <t>ABC Crop 24/25 APS 6078</t>
  </si>
  <si>
    <t>WECC2588HAM1281</t>
  </si>
  <si>
    <t>ABC Crop 24/25 APS 6078.  EUDR documentation to be provided if required at a premium of 2 c/lb.</t>
  </si>
  <si>
    <t>WECC2588HAM1285</t>
  </si>
  <si>
    <t>Burundi FW SCr 15 PROMPT</t>
  </si>
  <si>
    <t>Burundi Natural</t>
  </si>
  <si>
    <t>WECC2588HAM1269</t>
  </si>
  <si>
    <t>5341A</t>
  </si>
  <si>
    <t>SC 15+ SBUX Quality, WAF01, C.A.F.E Practices, crop year 2025/26. (100*1000-Packed in Big Bags).PO 60029136</t>
  </si>
  <si>
    <t>5341B</t>
  </si>
  <si>
    <t>ABC Crop 25/26.  EUDR documentation to be provided if required at a premium of 3 c/lb.</t>
  </si>
  <si>
    <t>WECC2588HAM1296</t>
  </si>
  <si>
    <t>AA FAQ. Packed in 60kg Grainpro.</t>
  </si>
  <si>
    <t>Kota Segar</t>
  </si>
  <si>
    <t>ONEYMBAF01541300</t>
  </si>
  <si>
    <t>51 0557 1586</t>
  </si>
  <si>
    <t xml:space="preserve">FOS </t>
  </si>
  <si>
    <t>JDE AB Plus Kitale</t>
  </si>
  <si>
    <t>FOS</t>
  </si>
  <si>
    <t>Maersk  FCL/FCL</t>
  </si>
  <si>
    <t>ABC EUDR. Crop 25/26.</t>
  </si>
  <si>
    <t>WECC2588HAM1331</t>
  </si>
  <si>
    <t xml:space="preserve">US prep Neutral Blender 80/81. SAS NANS PSS  </t>
  </si>
  <si>
    <t>MOB0154560</t>
  </si>
  <si>
    <t xml:space="preserve">US prep Neutral Blender 80/81.NKG Verified.SAS NANS PSS .   </t>
  </si>
  <si>
    <t>MOB0154566</t>
  </si>
  <si>
    <t>ABC. Crop 25/26</t>
  </si>
  <si>
    <t>WECC2588HAM1329</t>
  </si>
  <si>
    <t>AB.*Packed in ecotact.</t>
  </si>
  <si>
    <t>Hapag Lloyd</t>
  </si>
  <si>
    <t>Nordia</t>
  </si>
  <si>
    <t>HLCUMB1251101272</t>
  </si>
  <si>
    <t>St. Petersburg</t>
  </si>
  <si>
    <t>MEDUM2820055</t>
  </si>
  <si>
    <t>AB Plus EUDR. (20MT Packed in 1 tonne bags)</t>
  </si>
  <si>
    <t>Grinders.*Eudr Aligned</t>
  </si>
  <si>
    <t>Holsatia</t>
  </si>
  <si>
    <t>AB FAQ*Eudr Aligned</t>
  </si>
  <si>
    <t>5362A</t>
  </si>
  <si>
    <t>A</t>
  </si>
  <si>
    <t>MEDUM2830674</t>
  </si>
  <si>
    <t>5362B</t>
  </si>
  <si>
    <t>5362C</t>
  </si>
  <si>
    <t>5363A</t>
  </si>
  <si>
    <t>MEDUM2830682</t>
  </si>
  <si>
    <t>5363B</t>
  </si>
  <si>
    <t>5356A</t>
  </si>
  <si>
    <t>CMA CGM Vila Do Conde</t>
  </si>
  <si>
    <t>NBI0121526</t>
  </si>
  <si>
    <t>Mara RA-IP EUDR Aligned</t>
  </si>
  <si>
    <t>MSC/WEC/Maersk FCL/FCL</t>
  </si>
  <si>
    <t>MEDUM2825617</t>
  </si>
  <si>
    <t>MH Plus</t>
  </si>
  <si>
    <t>KMTC Tianjin</t>
  </si>
  <si>
    <t>321600000322</t>
  </si>
  <si>
    <t>Rwanda Gwira EUDR Aligned</t>
  </si>
  <si>
    <t>Awaiting bulking instructions</t>
  </si>
  <si>
    <t>SC 15+ SBUX Quality, WAF01, C.A.F.E Practices, crop year 2025/26. (40*1000-Packed in Big Bags).</t>
  </si>
  <si>
    <t>MOB0155242</t>
  </si>
  <si>
    <t xml:space="preserve">Kenya Kubwa   </t>
  </si>
  <si>
    <t>Wiking 610N</t>
  </si>
  <si>
    <t>Vessel Sailed . Documents Dispatched</t>
  </si>
  <si>
    <t>5381A</t>
  </si>
  <si>
    <t>ONEYMBAG0011570</t>
  </si>
  <si>
    <t>48 7537 7662</t>
  </si>
  <si>
    <t>5381B</t>
  </si>
  <si>
    <t>PB FAQ. Packed in 60kg Grainpro.</t>
  </si>
  <si>
    <t>AA FAQ EUDR Aligned</t>
  </si>
  <si>
    <t>WECC2588BCN1094</t>
  </si>
  <si>
    <t>Evergreen</t>
  </si>
  <si>
    <t>Ever Vera</t>
  </si>
  <si>
    <t>321500004512</t>
  </si>
  <si>
    <t>1670 187 573</t>
  </si>
  <si>
    <t>documents dispatched</t>
  </si>
  <si>
    <t>321600000306</t>
  </si>
  <si>
    <t>5367A</t>
  </si>
  <si>
    <t>CMA-CGM Africa Two</t>
  </si>
  <si>
    <t>MOB0155651</t>
  </si>
  <si>
    <t>5367B</t>
  </si>
  <si>
    <t>5368A</t>
  </si>
  <si>
    <t>SC 15+ SBUX Quality, WAF01, C.A.F.E Practices, crop year 2025/26. (80*1000-Packed in Big Bags).</t>
  </si>
  <si>
    <t>Maersk FCL./FCL</t>
  </si>
  <si>
    <t>5368B</t>
  </si>
  <si>
    <t>5396A</t>
  </si>
  <si>
    <t>MAERSK CAPE TOWN 609N</t>
  </si>
  <si>
    <t>ETD 25.02.26</t>
  </si>
  <si>
    <t>Awaiting vessel to sail ETD 25,02.26</t>
  </si>
  <si>
    <t>5396B</t>
  </si>
  <si>
    <t>MOB0156262/CKEN657157</t>
  </si>
  <si>
    <t>ETD 23.02.26</t>
  </si>
  <si>
    <t>Awaiting vessel to sail ETD 23.02.26</t>
  </si>
  <si>
    <t>Type Kubwa, bulk</t>
  </si>
  <si>
    <t>CMA CGM FCL/FCL</t>
  </si>
  <si>
    <t>HYUNDAI BUSAN / 0K12EE1MA</t>
  </si>
  <si>
    <t>MOB0157338</t>
  </si>
  <si>
    <t>Awaiting vessel to sail ETD 10.03.26</t>
  </si>
  <si>
    <t>Kenya AB,Peets. Packed in grainpro</t>
  </si>
  <si>
    <t>X-PRESS ANTARES 26015E</t>
  </si>
  <si>
    <t>5424A</t>
  </si>
  <si>
    <t>AA Top.Packed in Grainpro.</t>
  </si>
  <si>
    <t>KOTA SAHABAT 605E</t>
  </si>
  <si>
    <t>ONEYMBAG00446700</t>
  </si>
  <si>
    <t>Vessel Sailed. To finalize on Documents</t>
  </si>
  <si>
    <t>5424B</t>
  </si>
  <si>
    <t>AA FAQ.Packed in Grainpro.</t>
  </si>
  <si>
    <t>Blaser trading</t>
  </si>
  <si>
    <t>Ever Brace</t>
  </si>
  <si>
    <t>ONEYMBAF01834800</t>
  </si>
  <si>
    <t>1840 946 855</t>
  </si>
  <si>
    <t>AA FAQ.EUDR Aligned. Packed in 60kg Grainpro.</t>
  </si>
  <si>
    <t>Tallinn</t>
  </si>
  <si>
    <t>330 641 3596</t>
  </si>
  <si>
    <t>5356B</t>
  </si>
  <si>
    <t>AA Nguvu. Packed in  60kg Grainpro</t>
  </si>
  <si>
    <t>5435A</t>
  </si>
  <si>
    <t>Evegreen FCL/FCL</t>
  </si>
  <si>
    <t>Lady Jane 042E</t>
  </si>
  <si>
    <t>Stuffed.Working on draft docs</t>
  </si>
  <si>
    <t>AB Gakuyuini OT 14IM0058, EX Warehouse annex, . Packed in 60kg Grainpro</t>
  </si>
  <si>
    <t>AB Top</t>
  </si>
  <si>
    <t>Spot coffee</t>
  </si>
  <si>
    <t>Kenya Tembo. Packed in Grainpro</t>
  </si>
  <si>
    <t>5388A</t>
  </si>
  <si>
    <t>WECC2688BREM1004</t>
  </si>
  <si>
    <t>5388B</t>
  </si>
  <si>
    <t>5424C</t>
  </si>
  <si>
    <t>AB FAQ.Packed in Grainpro.</t>
  </si>
  <si>
    <t>5398A</t>
  </si>
  <si>
    <t>SC 15+ SBUX Quality, WAF01, C.A.F.E Practices, crop year 2025/26. (100*1000-Packed in Big Bags).</t>
  </si>
  <si>
    <t>WIKING 610N</t>
  </si>
  <si>
    <t>5378A</t>
  </si>
  <si>
    <t>CMA CGM Dolphin</t>
  </si>
  <si>
    <t>MOB0155934</t>
  </si>
  <si>
    <t>5378B</t>
  </si>
  <si>
    <t>MSC Tia</t>
  </si>
  <si>
    <t>MEDUM2842885</t>
  </si>
  <si>
    <t>5397A</t>
  </si>
  <si>
    <t>SC 15+ SBUX Quality, WAF01, C.A.F.E Practices, crop year 2025/26. (220*1000-Packed in Big Bags).</t>
  </si>
  <si>
    <t>MYNY 0K126E1MA</t>
  </si>
  <si>
    <t>MOB0156263</t>
  </si>
  <si>
    <t>Awaiting vessel to sail etd 27.02.26</t>
  </si>
  <si>
    <t>5397B</t>
  </si>
  <si>
    <t>Awaiting vessel to sail etd 03.02.26</t>
  </si>
  <si>
    <t>5397C</t>
  </si>
  <si>
    <t>Awaiting vessel to sail etd 26.02.26</t>
  </si>
  <si>
    <t>5397D</t>
  </si>
  <si>
    <t>5397E</t>
  </si>
  <si>
    <t>Awaiting vessel to sail etd 28.02.26</t>
  </si>
  <si>
    <t>5421A</t>
  </si>
  <si>
    <t>HOLSATIA 612E</t>
  </si>
  <si>
    <t>Vessel Sailed.To finalize on Documents</t>
  </si>
  <si>
    <t>5421B</t>
  </si>
  <si>
    <t>HENG HUI 6 0K128E1MA</t>
  </si>
  <si>
    <t>TBA</t>
  </si>
  <si>
    <t>MOB0156857/CKEN662797</t>
  </si>
  <si>
    <t>5421C</t>
  </si>
  <si>
    <t>Marathopolis 611N</t>
  </si>
  <si>
    <t>5421D</t>
  </si>
  <si>
    <t>266895293 </t>
  </si>
  <si>
    <t>AB Kirinyaga. Packed in Grainpro.</t>
  </si>
  <si>
    <t>Awaiting vessel to sail ETD 25.02.26</t>
  </si>
  <si>
    <t>Kenya ABC</t>
  </si>
  <si>
    <t>Lucky Blessing 0011N</t>
  </si>
  <si>
    <t>27-02-26</t>
  </si>
  <si>
    <t>Rwanda Gwira. EUDR Aligned</t>
  </si>
  <si>
    <t>Awaiting vessel to sail etd 18.02.26</t>
  </si>
  <si>
    <t>Awaiting vessel to sail etd 07.02.26</t>
  </si>
  <si>
    <t>Awaiting Vessel to sail etd 10.02.26</t>
  </si>
  <si>
    <t>SC 15+ SBUX Quality, WAF01, C.A.F.E Practices, crop year 2025/26. (200*1000-Packed in Big Bags).</t>
  </si>
  <si>
    <t>Awaiting vessel to sail ETD 01.03.26</t>
  </si>
  <si>
    <t> Natural Arabica Green Coffee Kenya Endebess Esate Starbucks Quality (KEN90) , C.A.F.E Practices verified – crop 25/26.EUDR Aligned. NA Replace on PSS. NA No Replacement on arrival.</t>
  </si>
  <si>
    <t>Vessel sailed. To finalize on Documents</t>
  </si>
  <si>
    <t>5405A</t>
  </si>
  <si>
    <t>SPIL CAYA 614E</t>
  </si>
  <si>
    <t>Stuffed</t>
  </si>
  <si>
    <t>TP Quality.  (option to upgrade to RA by paying a 15 c/lb premium)</t>
  </si>
  <si>
    <t>WECC2588HAM1366</t>
  </si>
  <si>
    <t xml:space="preserve">Mara RA-IP </t>
  </si>
  <si>
    <t>WECC2588HAM1367</t>
  </si>
  <si>
    <t>Kenya AB,Peets. Packed in grainpro. PROMPT</t>
  </si>
  <si>
    <t>321600000349</t>
  </si>
  <si>
    <t>MSC</t>
  </si>
  <si>
    <t>MSC MANHATTAN V OM608R</t>
  </si>
  <si>
    <t>074IMB0014474/MEDUM2847504</t>
  </si>
  <si>
    <t>Awaiting vessel to sail ETD 08.03.26</t>
  </si>
  <si>
    <t>Kenya Stocklot. APS 6144.</t>
  </si>
  <si>
    <t>WECC2688HAM018</t>
  </si>
  <si>
    <t>Kenya black beans. APS 6193</t>
  </si>
  <si>
    <t>WECC2688HAM019</t>
  </si>
  <si>
    <t>5434A</t>
  </si>
  <si>
    <t>5434B</t>
  </si>
  <si>
    <t>WIKING 614N</t>
  </si>
  <si>
    <t>5434C</t>
  </si>
  <si>
    <t>CMA CGM ZANZIBAR 02SOJN1MA</t>
  </si>
  <si>
    <t>MOB0157085/CKEN664623</t>
  </si>
  <si>
    <t>5434D</t>
  </si>
  <si>
    <t>CMA CGM SEMARANG</t>
  </si>
  <si>
    <t>MOB0157093/CKEN664596</t>
  </si>
  <si>
    <t>AA FAQ. Packed in Grainpro.PROMPT</t>
  </si>
  <si>
    <t>ESL Dubai</t>
  </si>
  <si>
    <t>HLCUMB1260101976</t>
  </si>
  <si>
    <t>Fremantle</t>
  </si>
  <si>
    <t>Kota Sejarah 601E</t>
  </si>
  <si>
    <t>MBA600020400</t>
  </si>
  <si>
    <t>Awaiting vessel to sail ETD 20.02.26</t>
  </si>
  <si>
    <t>321600000357</t>
  </si>
  <si>
    <t>5405B</t>
  </si>
  <si>
    <t> Natural Arabica Green Coffee Kenya Endebess Esate Starbucks Quality (KEN90) , C.A.F.E Practices verified – crop 25/26.EUDR Aligned. NA Replace on PSS. NA No Replacement on arrival. 1 Bag of 40kg Packed in grainpro.. DDP Starbucks Pilot</t>
  </si>
  <si>
    <t>Airlifted</t>
  </si>
  <si>
    <t>Paragon Trading</t>
  </si>
  <si>
    <t>CMA CGM Manta Ray 0K122E1MA</t>
  </si>
  <si>
    <t>NBI0121822</t>
  </si>
  <si>
    <t>MAERSK CAIRO 608N</t>
  </si>
  <si>
    <t>Awaiting Vessel to sail ETD 20.02.26</t>
  </si>
  <si>
    <t>5389A</t>
  </si>
  <si>
    <t>JDE Safi A</t>
  </si>
  <si>
    <t>Lucky Blessing 0012N</t>
  </si>
  <si>
    <t>WECC2688RTM1021</t>
  </si>
  <si>
    <t>Vessel sailed. Pending SWB</t>
  </si>
  <si>
    <t>5389B</t>
  </si>
  <si>
    <t xml:space="preserve">GFS Ranna </t>
  </si>
  <si>
    <t>WECC2688HAM1055</t>
  </si>
  <si>
    <t>5389C</t>
  </si>
  <si>
    <t>MEDUM2853452</t>
  </si>
  <si>
    <t>5389D</t>
  </si>
  <si>
    <t>WECC2688BCN1006</t>
  </si>
  <si>
    <t>5390A</t>
  </si>
  <si>
    <t>JDE Grinders.</t>
  </si>
  <si>
    <t>Vessel Sailed</t>
  </si>
  <si>
    <t>5390B</t>
  </si>
  <si>
    <t>5398B</t>
  </si>
  <si>
    <t>CMA CGM MOMBASA 02SOBN1MA</t>
  </si>
  <si>
    <t>MOB0156266/CKEN661306</t>
  </si>
  <si>
    <t>Awaiting Vessel to sail etd 05.02.26</t>
  </si>
  <si>
    <t>Mitsui</t>
  </si>
  <si>
    <t>AA FAQ. 90% above SC18 &amp; 12 defects  ( packed in Grainpro plus Korean label)</t>
  </si>
  <si>
    <t>MSC/ONE FCL/FCL</t>
  </si>
  <si>
    <t>MSC Beira IV HI606R</t>
  </si>
  <si>
    <t>074IMB0014569 / MEDUM2850391</t>
  </si>
  <si>
    <t>Awaiting Vessel to sail ETD 17.02.26</t>
  </si>
  <si>
    <t>AA Jambo Jambo. SAS.( Packed in 60kg Grainpro).Above screen 17.</t>
  </si>
  <si>
    <t>MSC/Maersk/WEC FCL/FCL</t>
  </si>
  <si>
    <t>Awaiting vessel to sail etd 11.02.26</t>
  </si>
  <si>
    <t>5398C</t>
  </si>
  <si>
    <t xml:space="preserve">MOB0156265/ CKEN661758 </t>
  </si>
  <si>
    <t>Vessel Sailed .To finalize on documents</t>
  </si>
  <si>
    <t>5398D</t>
  </si>
  <si>
    <t>HENG HUI 6 0K128E1MA</t>
  </si>
  <si>
    <t>MOB0156264/CKEN661803</t>
  </si>
  <si>
    <t>AB TOP RA-IP EUDR Aligned. Packed in Grainpro.Bulk.</t>
  </si>
  <si>
    <t>Awaiting PSS approval</t>
  </si>
  <si>
    <t>5419A</t>
  </si>
  <si>
    <t>MAERSK CAIRO 612N</t>
  </si>
  <si>
    <t>5419B</t>
  </si>
  <si>
    <t>CMA CGM SEMARANG ( 02SOHN1MA)</t>
  </si>
  <si>
    <t>MOB0156946/CKEN662884</t>
  </si>
  <si>
    <t>SC 15+ SBUX Quality, WAF01, C.A.F.E Practices, crop year 2025/26.BULK.</t>
  </si>
  <si>
    <t>Maersk Cairo 612N</t>
  </si>
  <si>
    <t>AA/AB Plus</t>
  </si>
  <si>
    <t>GFS Ranna 0061N</t>
  </si>
  <si>
    <t>Tata consumers</t>
  </si>
  <si>
    <t>Type Tata 101A Spec. C&amp;F Tuticorin</t>
  </si>
  <si>
    <t>Awaiting vessel to sail etd 20.02.26</t>
  </si>
  <si>
    <t>Atlas</t>
  </si>
  <si>
    <t>5417A</t>
  </si>
  <si>
    <t>AB FAQ (Traceable) Prompt. Packed in 60Kg Grainpro</t>
  </si>
  <si>
    <t>NBI0121926</t>
  </si>
  <si>
    <t>5429A</t>
  </si>
  <si>
    <t>MAERSK CAPE TOWN 613N</t>
  </si>
  <si>
    <t>5446A</t>
  </si>
  <si>
    <t>PB Kisi. EUDR aligned. Packed in 60kg Grainpro.</t>
  </si>
  <si>
    <t>WEC</t>
  </si>
  <si>
    <t>MSC Vidhi OM614R</t>
  </si>
  <si>
    <t>5446B</t>
  </si>
  <si>
    <t>AB Honey Bush. EUDR Aligned. Packed in 60kg Grainpro</t>
  </si>
  <si>
    <t>5446C</t>
  </si>
  <si>
    <t>AA samburu. EUDR Aligned. Packed in 60kg Grainpro.</t>
  </si>
  <si>
    <t>5429B</t>
  </si>
  <si>
    <t xml:space="preserve">Tacoma </t>
  </si>
  <si>
    <t>Stuffed.To finalize on Documents</t>
  </si>
  <si>
    <t>5430A</t>
  </si>
  <si>
    <t>SC 15+ SBUX Quality, WAF02, C.A.F.E Practices, crop year 2025/26. (Packed in Big Bags).</t>
  </si>
  <si>
    <t>REN JIAN 26 615N</t>
  </si>
  <si>
    <t>5430B</t>
  </si>
  <si>
    <t>Awaiting vessel to sail etd 10.04.26</t>
  </si>
  <si>
    <t>5430C</t>
  </si>
  <si>
    <t>5433B</t>
  </si>
  <si>
    <t>COSCO SAO PAULO 615E</t>
  </si>
  <si>
    <t>5433A</t>
  </si>
  <si>
    <t>REN JIAN 26</t>
  </si>
  <si>
    <t>Awaiting vessel to sail etd 12.04.26</t>
  </si>
  <si>
    <t>Singe Origin</t>
  </si>
  <si>
    <t>AB Type Wendy. APS 6324.CIF Sydney, Packed in 60Kg Grainpro</t>
  </si>
  <si>
    <t>AB//PB Plus</t>
  </si>
  <si>
    <t>MSC Manhattan V - OM608R</t>
  </si>
  <si>
    <t>MEDUM2849781</t>
  </si>
  <si>
    <t>Twiga</t>
  </si>
  <si>
    <t>Kenya Good Cup</t>
  </si>
  <si>
    <t>Stuffing 08.04.26</t>
  </si>
  <si>
    <t>AB Top. Packed in Grainpro.</t>
  </si>
  <si>
    <t>MSC AQUARIUS VII OM613R</t>
  </si>
  <si>
    <t>074IMB0015275/MEDUM2868906</t>
  </si>
  <si>
    <t>1.0 RA-IP SAS. EUDR Aligned.</t>
  </si>
  <si>
    <t>Helsingborg</t>
  </si>
  <si>
    <t>ABC RA-IP SAS. No PSS required.</t>
  </si>
  <si>
    <t>MSC VIDHI OM614R</t>
  </si>
  <si>
    <t>074IMB0015283/MEDUM2869227</t>
  </si>
  <si>
    <t xml:space="preserve">BR </t>
  </si>
  <si>
    <t>AA Top. APS 6407 (20 packed in 1 tonne bags)</t>
  </si>
  <si>
    <t>Kenya Stocklot EUDR Aligned. (20 Packed in big bags on pallets)</t>
  </si>
  <si>
    <t>Mara Natural. Packed in Grainpro.</t>
  </si>
  <si>
    <t>5447D</t>
  </si>
  <si>
    <t>AB FAQ Kirinyaga. Packed in grainpro. To be shipped with selected microlots.</t>
  </si>
  <si>
    <t>Stuffing 07.04.26</t>
  </si>
  <si>
    <t>5440A</t>
  </si>
  <si>
    <t>074IMB0015077/MEDUM2863980</t>
  </si>
  <si>
    <t>5440B</t>
  </si>
  <si>
    <t>AA Jambo Jambo. Packed in Grainpro.</t>
  </si>
  <si>
    <t>5466A</t>
  </si>
  <si>
    <t>CMA CGM DOLPHIN / 0K12GE1MA</t>
  </si>
  <si>
    <t>NBI0122125</t>
  </si>
  <si>
    <t>5466B</t>
  </si>
  <si>
    <t>074IMB0015096/MEDUM2865027</t>
  </si>
  <si>
    <t>Royal USA</t>
  </si>
  <si>
    <t>5451A</t>
  </si>
  <si>
    <t>AA FAQ. Packed in Grainpro.</t>
  </si>
  <si>
    <t xml:space="preserve">MSC </t>
  </si>
  <si>
    <t>MSC GUERNSEY V</t>
  </si>
  <si>
    <t>074IMB0015197/MEDUM2866918</t>
  </si>
  <si>
    <t>5452A</t>
  </si>
  <si>
    <t>074IMB0015195/MEDUM2866900</t>
  </si>
  <si>
    <t>Kenya FAQ</t>
  </si>
  <si>
    <t>AB Folgers type</t>
  </si>
  <si>
    <t>5445A</t>
  </si>
  <si>
    <t>Kenya Peaberry (Important - please separate the qualities inside the container with a bulkhead/cardboard, etc,  so the warehouse does not charge us for segregation)</t>
  </si>
  <si>
    <t>074IMB0015207/MEDUM2867239</t>
  </si>
  <si>
    <t>5445B</t>
  </si>
  <si>
    <t>AB Folgers type (Important - please separate the qualities inside the container with a bulkhead/cardboard, etc,  so the warehouse does not charge us for segregation)</t>
  </si>
  <si>
    <t>5464A</t>
  </si>
  <si>
    <t>AB Folgers type (Millstone Spec" 90% Scr15up.  Full FAQ in Cup and Color.  Max 12 defects per 350gr.)</t>
  </si>
  <si>
    <t>MSC AQUARIUS VII</t>
  </si>
  <si>
    <t>074IMB0015274/MEDUM2868922</t>
  </si>
  <si>
    <t>5464B</t>
  </si>
  <si>
    <t>WECC2688HAM1054</t>
  </si>
  <si>
    <t>AA/AB plus</t>
  </si>
  <si>
    <t>MSC Aquarius VIII OM613R</t>
  </si>
  <si>
    <t>Awaiting vessel to sail etd 04.04.26</t>
  </si>
  <si>
    <t>AA/AB plus RA-IP</t>
  </si>
  <si>
    <t>WECC2688HAM1056</t>
  </si>
  <si>
    <t>GFS Ranna 0062N</t>
  </si>
  <si>
    <t>WECC2688HAM1067</t>
  </si>
  <si>
    <t>AA/AB Plus RA-IP SAS</t>
  </si>
  <si>
    <t>Cairo Pyramid 0013N</t>
  </si>
  <si>
    <t>Stuffed. To finalize on Documents</t>
  </si>
  <si>
    <t>Micro-Lots</t>
  </si>
  <si>
    <t>Nordic Approach</t>
  </si>
  <si>
    <t>AB Kiangoi #028. APS 3220.(114 Boxes of 30Kg Vacuum Pack).</t>
  </si>
  <si>
    <t>CMA CGM</t>
  </si>
  <si>
    <t>ORNELLA</t>
  </si>
  <si>
    <t>NBI0118836</t>
  </si>
  <si>
    <t>Documents Dispatched</t>
  </si>
  <si>
    <t>AB Kirimikui #029. APS 3221.(100 Boxes of 30Kg Vacuum Pack).</t>
  </si>
  <si>
    <t>AA Kangocho #003.APS 3256.(168 Boxes of 30Kg Vacuum Pack).</t>
  </si>
  <si>
    <t>AA Machure #037. APS(30 Boxes of 30Kg Vacuum Pack).</t>
  </si>
  <si>
    <t>AA Kiringa #005. APS 3253.(80 Boxes of 30Kg Vacuum Pack).</t>
  </si>
  <si>
    <t>NBI0118846</t>
  </si>
  <si>
    <t>AA Kiangoi #028. APS 3225.(58 Boxes of 30Kg Vacuum Pack).</t>
  </si>
  <si>
    <t>AB Gathithi #046. APS 3257.(136 Boxes of 30Kg Vacuum Pack).</t>
  </si>
  <si>
    <t>AB Muchagara #075. APS 3267.(78 Boxes of 30Kg Vacuum Pack).</t>
  </si>
  <si>
    <t>AAKirimikui #020. APS 3273.(60 Boxes of 30Kg Vacuum Pack).</t>
  </si>
  <si>
    <t>PB Kiangoi #028. APS 3222.(Packed in 60Kg Grainpro).</t>
  </si>
  <si>
    <t>MSC REGINA</t>
  </si>
  <si>
    <t>MEDUM2651724</t>
  </si>
  <si>
    <t>6192 711 825</t>
  </si>
  <si>
    <t>AA Kiringa #005. APS 3253.(20 Boxes of 30Kg Vacuum Pack).</t>
  </si>
  <si>
    <t>Airfreight collected 18.06.24</t>
  </si>
  <si>
    <t>AAKirimikui #020. APS 3273.(20 Boxes of 30Kg Vacuum Pack).</t>
  </si>
  <si>
    <t>Airfreighted collected 19.06.24</t>
  </si>
  <si>
    <t>AB Kii #015. APS 3264.(82 Boxes of 30Kg Vacuum Pack).</t>
  </si>
  <si>
    <t>Rung'eto PB, 20 Boxes of 30kg vacuum, APS 1</t>
  </si>
  <si>
    <t>MEDUM2657655</t>
  </si>
  <si>
    <t>Karimikui PB, APS 3</t>
  </si>
  <si>
    <t>Karimikui AA, 16 Boxes of 30Kg vacuum, APS 5</t>
  </si>
  <si>
    <t>Inoi Ndimi AB, APS 17</t>
  </si>
  <si>
    <t>Kii AB APS 19</t>
  </si>
  <si>
    <t>Karimikui AB, 10 Boxes of 30Kg vacuum, APS 20</t>
  </si>
  <si>
    <t>C Tekangu, APS</t>
  </si>
  <si>
    <t>AB Kaguyu #033 15KN0033  10 boxes of 30 kg vacuum</t>
  </si>
  <si>
    <t>AA Komothai Barikongo #003 17KM0003 10 boxes of 30Kg vacuum</t>
  </si>
  <si>
    <t>MEDUM2634324</t>
  </si>
  <si>
    <t>AB Kaguyu #033 15KN0033 50 boxes of 30Kg vacuum</t>
  </si>
  <si>
    <t>RGF0099</t>
  </si>
  <si>
    <t>AB Rung'eto Kii #019 15KN0019 50 boxes of 30Kg vacuum</t>
  </si>
  <si>
    <t>AA Rung'eto Kii #022  15KN0022  50 boxes of 30Kg vacuum</t>
  </si>
  <si>
    <t>AA Komothai Barikongo #003 17KM0003 40 boxes of 30Kg vacuum</t>
  </si>
  <si>
    <t>AB Kii #015 15KN0015 18 boxes of 30 kg vacuum</t>
  </si>
  <si>
    <t>AB Kaguyu #033 15KN0033  40 boxes of 30 kg vacuum</t>
  </si>
  <si>
    <t>AA Kiangoi  #28 12KN0028 10 boxes of 30 kg vacuum</t>
  </si>
  <si>
    <t>AA Komothai  #003  17KM0003 40  boxes of 30 kg vacuum</t>
  </si>
  <si>
    <t>AA Kibirigwi Ragati #001 18KN0001 22 boxes of 30 kg vacuum</t>
  </si>
  <si>
    <t>AB Rung'eto Kii #019 15KN0019 20 boxes of 30Kg vacuum</t>
  </si>
  <si>
    <t>coffee is in the warehouse</t>
  </si>
  <si>
    <t>AA Rung'eto Kii #022  15KN0022  16 boxes of 30Kg vacuum</t>
  </si>
  <si>
    <t>AA Mugaga Gatina 12SM0021 APS 3378. Packed in 60Kg  Grainpro</t>
  </si>
  <si>
    <t xml:space="preserve">HAMBURG </t>
  </si>
  <si>
    <t>MEDUM2639059</t>
  </si>
  <si>
    <t>AA Rung'eto Kiangoi 15KN0014 APS 3379. Packed in 60Kg  Grainpro</t>
  </si>
  <si>
    <t>AA Rung'eto Karimikui. Packed in 60Kg  Grainpro. APS</t>
  </si>
  <si>
    <t>AA Rung'eto Karimikui.  20 boxes of  30Kg  Vacuum. APS</t>
  </si>
  <si>
    <t>MEDUM2639042</t>
  </si>
  <si>
    <t>Kieni AA 12SM0028.  120 boxes of  30Kg Vacuum pack</t>
  </si>
  <si>
    <t>Kieni AA 13SM0017. 133 boxes of  30Kg Vacuum pack</t>
  </si>
  <si>
    <t>Kieni AA 12SM0037 .  120 boxes of  30Kg Vacuum pack</t>
  </si>
  <si>
    <t>Kieni AB 12SM0037 . 143 boxes of  30Kg Vacuum pack</t>
  </si>
  <si>
    <t>Kieni AA 13SM0017. 1 boxes of  30Kg Vacuum pack</t>
  </si>
  <si>
    <t>AIRFREIGHT</t>
  </si>
  <si>
    <t>Airfreighted 25.04.24</t>
  </si>
  <si>
    <t>Kieni AB 12SM0037 . 1 boxes of  30Kg Vacuum pack</t>
  </si>
  <si>
    <t xml:space="preserve">AIRFREIGHT </t>
  </si>
  <si>
    <t>Gichathaini AA 18GF0001. 1 boxes of  30Kg Vacuum pack</t>
  </si>
  <si>
    <t>COVOYA USA</t>
  </si>
  <si>
    <t>AA Gikanda Ndaroi-ini APS 3418 16LE0019. (90 Bags of 30Kg Grainpro).</t>
  </si>
  <si>
    <t>HLCUMB1240403151</t>
  </si>
  <si>
    <t>AA Kamothai Barikongo APS 3414 17KM0003. Packed in Grainpro</t>
  </si>
  <si>
    <t>AA Inoi Kianderi 18KN0023 APS 3373 Packed in 60Kg  Grainpro</t>
  </si>
  <si>
    <t xml:space="preserve">MSC Martina </t>
  </si>
  <si>
    <t>MEDUM2644638</t>
  </si>
  <si>
    <t>AA Rung'eto Kii 16KN0001 APS 3375. Packed in 60Kg  Grainpro</t>
  </si>
  <si>
    <t>Gichathaini AA 18GF0001. 133 boxes of  30Kg Vacuum pack</t>
  </si>
  <si>
    <t>Starlight, APS, Packed in 60kg grainpro</t>
  </si>
  <si>
    <t>AA Karimikui #013 APS 3743 (100 Boxes of 30Kg Vacuum)</t>
  </si>
  <si>
    <t>MEDUM2647003</t>
  </si>
  <si>
    <t>AA Tambaya #043 APS 3732 (82 Boxes of 30Kg Vacuum)</t>
  </si>
  <si>
    <t>AB Kabingara #013 APS 3728 (100 Boxes of 30Kg Vacuum)</t>
  </si>
  <si>
    <t>AB Kaguyu #022 APS 3734 (100 Boxes of 30Kg Vacuum)</t>
  </si>
  <si>
    <t>AB Kiri #046 APS 3746 (50 Boxes of 30Kg Vacuum)</t>
  </si>
  <si>
    <t>AB Rung'eto #026 APS 3737 (68 Boxes of 30Kg Vacuum)</t>
  </si>
  <si>
    <t>Komothai Barikongo AB,  Lot 17KM0003. (Packed in 60kg Grainpro)</t>
  </si>
  <si>
    <t>Kabingara AA , Lot 17KN0003 (Packed in 60Kg Grainpro)</t>
  </si>
  <si>
    <t>Inoi Ndimi AB,Lot 15SM0034(Packed in 60Kg grainpro)</t>
  </si>
  <si>
    <t>Kieni AA,Lot 14SM5074 (30Kg Vacuum-Packed)</t>
  </si>
  <si>
    <t>Kiamabara AA, Lot 15SM0073.(30Kg Vacuum-Packed)</t>
  </si>
  <si>
    <t>Inoi Ndimi AA,Lot 15SM0034(30Kg Vacuum-Packed)</t>
  </si>
  <si>
    <t>AA Mugaga Kagumoini 15SM000.(Packed in 60Kg Grainpro)</t>
  </si>
  <si>
    <t>WECC2488LGP1012</t>
  </si>
  <si>
    <t>AA Gakuyuini 18KN0002. APS 3346.(Packed in 60Kg Grainpro.)</t>
  </si>
  <si>
    <t>MEDUM2645932</t>
  </si>
  <si>
    <t>AB Gakuyuini 18KN0002  APS 3347. (Packed in 60Kg Grainpro.)</t>
  </si>
  <si>
    <t>AA Gikanda Kangocho 16GF0002. APS 3352.(Packed in 60Kg Grainpro.)</t>
  </si>
  <si>
    <t>AA Rungeto Kiangoi 15KN0014 APS 3560. (Packed in 60Kg Grainpro)</t>
  </si>
  <si>
    <t>AA Rungeto Karimikui 15KN0020 APS 3561.(40Bags of 30Kg Grainpro)</t>
  </si>
  <si>
    <t>AA Rungeto Kiangoi 15KN0018 APS 3657. (Packed in 60Kg Grainpro)</t>
  </si>
  <si>
    <t>AA Rungeto Kii 15KN0022 APS 3658. (40Bags of 30Kg Grainpro)</t>
  </si>
  <si>
    <t>AB Kaguyu 18KN0022. APS 3663.(20Bags of 30Kg Grainpro)</t>
  </si>
  <si>
    <t>AB Rungeto Kii APS 3662.(20Bags of 30Kg Grainpro)</t>
  </si>
  <si>
    <t>AA Karimikui APS 3494 15KN0027.(20 Bags of 30Kg Grainpro)</t>
  </si>
  <si>
    <t>PB Inoi APS 3549.(10Bags of 30Kg Grainpro)</t>
  </si>
  <si>
    <t>AB Baragwi Nyanja APS 3348. (Packed in 60Kg Grainpro).</t>
  </si>
  <si>
    <t>AA Kabare Karani APS 3558. (Packed in 60Kg Grainpro)</t>
  </si>
  <si>
    <t>AA Rungeto Kii 16KN0001 APS 3559. (Packed in 60Kg Grainpro)</t>
  </si>
  <si>
    <t>Ataka</t>
  </si>
  <si>
    <t>AB Rung'eto Karimikui  12KN0029 APS 3302 Packed in 20kgs of 30Kg Grainpro</t>
  </si>
  <si>
    <t>HLCUMB1240502380</t>
  </si>
  <si>
    <t>7767 4700 9557</t>
  </si>
  <si>
    <t>AB Baragwi Muchagara 12SM0075 APS 3310 Packed in 14Bags of 30Kg Grainpro</t>
  </si>
  <si>
    <t>AB Inoi Ndimi #034. (50 Boxes of 30Kg Vacuum Pack).</t>
  </si>
  <si>
    <t>AA Inoi Ndimi #034. 15KN0034. (20 Boxes of 30Kg Vacuum Pack).</t>
  </si>
  <si>
    <t>AA Mwirua Riakiania#009. 19KN0009. (40 Boxes of 30Kg Vacuum Pack).</t>
  </si>
  <si>
    <t>AA Rung'eto Kii #019. 15KN0019. (20 Boxes of 30Kg Vacuum Pack).</t>
  </si>
  <si>
    <t>AB Gikanda Ndaroi-ini #019. (50 Boxes of 30Kg Vacuum Pack).</t>
  </si>
  <si>
    <t>AA Inoi Kianderi #023. (30 Boxes of 30Kg Vacuum Pack).</t>
  </si>
  <si>
    <t>AA Thirikwa Gakuyini #002. 18KN0002. (30 Boxes of 30Kg Vacuum Pack).</t>
  </si>
  <si>
    <t>AA Rungeto Kii #001. 16KN0001. (20 Boxes of 30Kg Vacuum Pack).</t>
  </si>
  <si>
    <t>AA Rungeto Karimikui #025. 15KN0025. (40 Boxes of 30Kg Vacuum Pack).</t>
  </si>
  <si>
    <t>AB Muchagara 12SM0075. (Packed in 60Kg Grainpro).</t>
  </si>
  <si>
    <t>AA Kiangoi 12KN0028. (Packed in 60Kg Grainpro).</t>
  </si>
  <si>
    <t>AA Karimikui 15KN0020. (Packed in 60Kg Grainpro).</t>
  </si>
  <si>
    <t>Endebess. (Packed in 60Kg Grainpro).</t>
  </si>
  <si>
    <t>Matunda Natural. (Packed in 60Kg Grainpro).</t>
  </si>
  <si>
    <t>AA Rungeto Kiangoi 12KN0028 APS 3303. Packed in 60kg grainpro bags</t>
  </si>
  <si>
    <t>AA Rung'eto Kiangoi 12KN0028 APS 3303. 30 bags packed in 30kg Grainpro bags</t>
  </si>
  <si>
    <t>AA Gikanda Kiangocho 16GF0002.  APS 3312.  30 bags packed in 30kg Grainpro bags</t>
  </si>
  <si>
    <t>AA Rung'eto APS(3491,3493,3391) 174boxes of 30Kg vacuum</t>
  </si>
  <si>
    <t>7144 566 365</t>
  </si>
  <si>
    <t>AA Mugaga Kieni-12SM0028. APS 3331.(6 Boxes of 30Kg Vacuum Pack)</t>
  </si>
  <si>
    <t>AA Rungeto Kii-15KN0022. APS 3326.(6 Boxes of 30Kg Vacuum Pack)</t>
  </si>
  <si>
    <t>AB Rung'eto Kii #019 15KN0019. 80 boxes of 30Kg vacuum. APS</t>
  </si>
  <si>
    <t>AA Rung'eto Kiangoi #028 15KN0028. 46 boxes of 30kg vacuum. APS</t>
  </si>
  <si>
    <t>AA Rung'eto Kii #022  15KN0022  82 boxes of 30Kg vacuum.APS</t>
  </si>
  <si>
    <t>AA New Kirimiri 18SM0204 .Packed in 50bags of 30kg Grainpro. APS</t>
  </si>
  <si>
    <t>As Carlotta</t>
  </si>
  <si>
    <t>HLCUMBA1240403151</t>
  </si>
  <si>
    <t>AB Gikanda Kangocho 19GF0002. Packed in 60Kg Grainpro. APS</t>
  </si>
  <si>
    <t>AA Thirikwa Gakuyuini 18KN0002. 60 bags of 30Kg Grainpro. APS</t>
  </si>
  <si>
    <t>AB Komothai Barikongo 17KM0003 (MISHA) APS 2. (Packed in 60Kg Grainpro)</t>
  </si>
  <si>
    <t>RIGA</t>
  </si>
  <si>
    <t>MEDUM2640834</t>
  </si>
  <si>
    <t>AB New Kirimiri 12SM0127 (MISHA) APS 10.(Packed in 60Kg Grainpro)</t>
  </si>
  <si>
    <t>AA Thirikwa Gakuyuini 18KN0002 (MISHA) APS 15. (Packed in 60Kg Grainpro).</t>
  </si>
  <si>
    <t>AB TYPE 1 (Misha) APS 20.(Packed in 60Kg Grainpro).</t>
  </si>
  <si>
    <t>AB Inoi Kianderi 20KN0025 (MISHA) APS 25.(Packed in 60Kg Grainpro).</t>
  </si>
  <si>
    <t>AA Solai 17SM0097 (MISHA) APS 29.(Packed in 60Kg Grainpro).</t>
  </si>
  <si>
    <t>Misha AA Starlight.(Packed in 60Kg Grainpro).</t>
  </si>
  <si>
    <t>4828A</t>
  </si>
  <si>
    <t>Starlight (DIMA), APS 24. Packed in 60kg grainpro.</t>
  </si>
  <si>
    <t>MEDUM2644208</t>
  </si>
  <si>
    <t>Mara Natural (DIMA) APS 26.Packed in 60kg grainpro</t>
  </si>
  <si>
    <t>AB Inoi Kaguyu, 18KN0022 (DIMA) APS  2. Packed in 30kg Vacuum Pack.</t>
  </si>
  <si>
    <t>AB Inoi ndimi 15KN0034 (DIMA) APS 6. Packed in 30Kg Vacuum Pack</t>
  </si>
  <si>
    <t>AB Muhathi 15LE0028 (DIMA) APS 8.(20 Boxes of 30Kg Cacuum Pack).</t>
  </si>
  <si>
    <t>PB Rungeto Kiangoi 15KN00028 (DIMA) APS 11. (22 Boxes of 30Kg Vacuum Pack.)</t>
  </si>
  <si>
    <t>AA Thirikwa Gakuyuini 18KN0002 (DIMA) APS 14.(20 Boxes of 30Kg Vacuum Pack.)</t>
  </si>
  <si>
    <t>AA Rungeto Kii 15KN0019 (DIMA) APS 18.(30 Boxes of 30Kg Vacuum Pack.)</t>
  </si>
  <si>
    <t>AA Ruchu 20US0270 (DIMA) APS 29.(32 Boxes of 30Kg Vacuum Pack.)</t>
  </si>
  <si>
    <t>PB Rungeto Karimikui 23KN0013 (DIMA) APS 34.(20 Boxes of 30Kg Vacuum Pack.)</t>
  </si>
  <si>
    <t>AA Ndaroini (DIMA) APS 35.(20 Boxes of 30Kg Vacuum Pack.)</t>
  </si>
  <si>
    <t>AA Inoi Kerogoya 18KN0031 (DIMA) APS 42.(20 Boxes of 30Kg Vacuum Pack.)</t>
  </si>
  <si>
    <t>AA Rungeto Karimikui 20KN0013 (DIMA) APS 46. (30 Boxes of 30Kg Vacuum Pack).</t>
  </si>
  <si>
    <t>Jokimu (DIMA) APS 47.Packed in 60kg grainpro</t>
  </si>
  <si>
    <t xml:space="preserve"> AB Komothai Barikongo </t>
  </si>
  <si>
    <t>remained behind</t>
  </si>
  <si>
    <t>Bennetts</t>
  </si>
  <si>
    <t>Endebess natural. (156 Boxes Packed in 30Kg Grainpro )</t>
  </si>
  <si>
    <t>ONEYMBAE01125700</t>
  </si>
  <si>
    <t>354 274 1090</t>
  </si>
  <si>
    <t>PB.</t>
  </si>
  <si>
    <t>AA (Packed in 60Kg Grainpro )</t>
  </si>
  <si>
    <t>AB. (Packed in 60Kg Grainpro )</t>
  </si>
  <si>
    <t>AA Kiamugumo 18KN0007 APS 3479.( 40bags of  30Kg Grainpro).</t>
  </si>
  <si>
    <t>AA Karimikui 20KN0014 APS 3750.(50 bags of 30Kg Grainpro).</t>
  </si>
  <si>
    <t>AA Kii 12KN0027 APS 3751. (50bags of  30Kg Grainpro).</t>
  </si>
  <si>
    <t>AB Kii 16KN0006 APS 3753.Packed in 60Kg Grainpro.</t>
  </si>
  <si>
    <t>AA Rung'eto Kii 15KN0019 APS 3320 (94Boxes of 30kg Vacuum)</t>
  </si>
  <si>
    <t>ONEYMBAE00723300</t>
  </si>
  <si>
    <t>7767 4712 4310</t>
  </si>
  <si>
    <t>AA Riasuta 10GS0044 APS 3575 (40Boxes of 30kg Vacuum)</t>
  </si>
  <si>
    <t>AA Kiaragana 16KN0033 APS 3571 (80Boxes of 30kg Vacuum)</t>
  </si>
  <si>
    <t>AA Nyangoko 10GS0041 APS 3574 (42Boxes of 30kg Vacuum)</t>
  </si>
  <si>
    <t>AA Rung'eto Kii 15KN0022 APS 3319 (122Boxes of 30kg Vacuum)</t>
  </si>
  <si>
    <t>AA Nyaturubo 12GS0115 APS 3576 (30Boxes of 30kg Vacuum)</t>
  </si>
  <si>
    <t>AA Kibirigwi Kiangai 16KN0043.</t>
  </si>
  <si>
    <t xml:space="preserve"> AA Gikanda Kangocho 19GF0003. APS 3706. Packed in 60Kg Grainpro.</t>
  </si>
  <si>
    <t xml:space="preserve"> AA Getuya-19KN0019.APS 3707. Packed in 60Kg Grainpro.</t>
  </si>
  <si>
    <t>AB Baragwi Nyanja-12SM0074. APS 3709. Packed in 60Kg Grainpro.</t>
  </si>
  <si>
    <t>AB Rung'eto Kiii 15KN0019. APS 3710. Packed in 60Kg Grainpro.</t>
  </si>
  <si>
    <t>AB Rianjagi 19TY0001. APS 3713. Packed in 60Kg Grainpro.</t>
  </si>
  <si>
    <t>PB Rung'eto APS 3675 (156Bags of 30kg Grainpro)</t>
  </si>
  <si>
    <t>AA Baragwi Gachami 20KN0073 APS 3668 (6Bags of 30Kg Grainpro)</t>
  </si>
  <si>
    <t>AB Murue Kavutiri 18EC0016 APS 3647(20Bags of 30Kg Grainpro)</t>
  </si>
  <si>
    <t>AB Rung'eto Kii 16KN0001 APS 3637. Packed in 60kg Grainpro</t>
  </si>
  <si>
    <t>AA Rung'eto Kii 15KN0017 APS 3672. Packed in 60kg Grainpro</t>
  </si>
  <si>
    <t xml:space="preserve">MSC Regina </t>
  </si>
  <si>
    <t>AA Thirikwa Gakuyu-ini 18SM0063 APS(1  Boxes of 30Kg Vacuum)</t>
  </si>
  <si>
    <t>AA Thirikwa Gakuyu-ini 18SM0063 APS(119 Boxes of 30Kg Vacuum)</t>
  </si>
  <si>
    <t>MEDUM2656525</t>
  </si>
  <si>
    <t>AA Kieni 14SM0074 APS(120 Boxes of 30Kg Vacuum)</t>
  </si>
  <si>
    <t>AA Baragwi Guama 14SM0056, APS,(12 boxes packed in 30Kg Vacuum pack)</t>
  </si>
  <si>
    <t>4947A</t>
  </si>
  <si>
    <t>AB Kiangoi 15KN0014 APS.(Packed in 60Kg Grainpro).</t>
  </si>
  <si>
    <t>4947B</t>
  </si>
  <si>
    <t>AB Kimandi 15KN0002 APS.(Packed in 60Kg Grainpro).</t>
  </si>
  <si>
    <t>4947C</t>
  </si>
  <si>
    <t>AB Kagongo 13KN0002 APS.(Packed in 60Kg Grainpro).</t>
  </si>
  <si>
    <t>4947D</t>
  </si>
  <si>
    <t>AB Thimu 10SM0039 APS.(Packed in 60Kg Grainpro).</t>
  </si>
  <si>
    <t>4947E</t>
  </si>
  <si>
    <t>AB Kangocho 16GF0002 APS.(Packed in 60Kg Grainpro).</t>
  </si>
  <si>
    <t>4947F</t>
  </si>
  <si>
    <t>AA Inoi Ndimi APS 3280. (10Boxes of 30Kg vacuum)</t>
  </si>
  <si>
    <t>4947G</t>
  </si>
  <si>
    <t>AA Kibirigwi Kiangai APS 3283.  (10Boxes of 30Kg vacuum)</t>
  </si>
  <si>
    <t>PB Rung'eto APS  (Packed in 60Kg Grainpro)</t>
  </si>
  <si>
    <t>AA THIMU - 14SM0049. (Packed in 20 bags of 30kg grainpro)</t>
  </si>
  <si>
    <t xml:space="preserve"> AA MUCHAGARA – 20KN0056. (Packed in 30 bags of 30kg grainpro)</t>
  </si>
  <si>
    <t xml:space="preserve"> AA Samburu . (Packed in 60kg jute bags)</t>
  </si>
  <si>
    <t>Kenya AB Honey Bush. (packed in 60kg jute bags)</t>
  </si>
  <si>
    <t>Kenya PB Kisii (packed in 60kg jute bags)</t>
  </si>
  <si>
    <t>Kenya AA Plus Mt Kenya Selection  (packed in 60kg grainpro bags)</t>
  </si>
  <si>
    <t>4947H</t>
  </si>
  <si>
    <t>AA Kii APS (Packed in 60Kg Grainpro)</t>
  </si>
  <si>
    <t>4947I</t>
  </si>
  <si>
    <t>AA Mugaga/Kagumoini APS  (Packed in 60Kg Grainpro)</t>
  </si>
  <si>
    <t>4947J</t>
  </si>
  <si>
    <t>AB Kiangoi APS (Packed in 60Kg Grainpro)</t>
  </si>
  <si>
    <t>4947K</t>
  </si>
  <si>
    <t>PB Inoi APS  (Packed in 60Kg Grainpro)</t>
  </si>
  <si>
    <t>AA RUNGETO KARIMIKUI 20KN0013, APS 3883.(4 bags of 30kgs grainpro)</t>
  </si>
  <si>
    <t>AB BARAGWI MUCHAGARA 12SM0075, APS 3310.( 2 bags of 30kg grainpro)</t>
  </si>
  <si>
    <t>AA Rungeto Karimikui 20KN0013, APS 3858, 20 bags.( Packed in 60kg Grainpro) </t>
  </si>
  <si>
    <t>AA Baragwi Guama, 14SM0057, APS3849.(Packed in 60kg Grainpro)</t>
  </si>
  <si>
    <t xml:space="preserve"> AB Mutheka Muthuaini, APS. (7 boxes of 30kg vacuum )</t>
  </si>
  <si>
    <t>AB Kabingara 17KN0003. APS 3514. (Packed in 60Kg Grainpro)</t>
  </si>
  <si>
    <t>AA Rung'eto 15KN0019 APS 3511. (Packed in 60Kg Grainpro)</t>
  </si>
  <si>
    <t>AA Rung'eto Kiangoi APS.( Packed in 60Kg Grainpro)</t>
  </si>
  <si>
    <t>AB Thiriku. APS 3904.(Packed in 60Kg Grainpro Bags)</t>
  </si>
  <si>
    <t>AA Mugaga Kagumoini APS 3940.(10 Boxes packed in Vacuum)</t>
  </si>
  <si>
    <t>5033A</t>
  </si>
  <si>
    <t>Starlight APS 77. (Packed in 60Kg grainpro)</t>
  </si>
  <si>
    <t>Northern Democrat</t>
  </si>
  <si>
    <t>5033B</t>
  </si>
  <si>
    <t xml:space="preserve">AA Baragwi Muchagara </t>
  </si>
  <si>
    <t>AA Inoi Ndimi 15KN0034, (30 boxes packed in 30kg vacuum)</t>
  </si>
  <si>
    <t>AA Rungeto Kii 15kn0022, (45 boxes  packed in 30kg vacuum)</t>
  </si>
  <si>
    <t>AA Murue Kianyangi, 15EC0002, (20 boxes  packed in 30kg vacuum)</t>
  </si>
  <si>
    <t>AA Mugaga Kieni 15SM0058.(Packed in 60Kg Grainpro)</t>
  </si>
  <si>
    <t>Obscura</t>
  </si>
  <si>
    <t>4926A</t>
  </si>
  <si>
    <t>AA Mugaga Gatina 12SM0021.( 45 Bags.Packed in 30Kg Grainpro)</t>
  </si>
  <si>
    <t>4926B</t>
  </si>
  <si>
    <t>AB INOI KAGUYU 18KN0022.(40 Bags.Packed in 30Kg Grainpro)</t>
  </si>
  <si>
    <t>4926C</t>
  </si>
  <si>
    <t>AA Kariaini 19KN0010.(30 Bags.Packed in 30Kg Grainpro)</t>
  </si>
  <si>
    <t>4926D</t>
  </si>
  <si>
    <t>AA Thiriku FCS 17SM0155.(97 Bags.Packed in 30Kg Grainpro)</t>
  </si>
  <si>
    <t>4926E</t>
  </si>
  <si>
    <t>AB Kieni 15SM0058.(117 Bags.Packed in 30Kg Grainpro)</t>
  </si>
  <si>
    <t>4926F</t>
  </si>
  <si>
    <t>AA Kieni 15SM0058.(30 Bags.Packed in 30Kg Grainpro)</t>
  </si>
  <si>
    <t>4926G</t>
  </si>
  <si>
    <t>AA Kii 22KN0009.APS 3930.(30 Bags.Packed in 30Kg Grainpro)</t>
  </si>
  <si>
    <t>4926H</t>
  </si>
  <si>
    <t>AA Baragwi Guama 14SM0056.APS 3931.(55 Bags.Packed in 30Kg Grainpro)</t>
  </si>
  <si>
    <t>4926I</t>
  </si>
  <si>
    <t>AA Kianjiru 16SM0058. APS 3935.(45 Bags.Packed in 30Kg Grainpro)</t>
  </si>
  <si>
    <t>4926J</t>
  </si>
  <si>
    <t>Mara Natural. APS 3938. (30 Bags.Packed in 30Kg Grainpro)</t>
  </si>
  <si>
    <t xml:space="preserve">AA Faq </t>
  </si>
  <si>
    <t>MOB0145434</t>
  </si>
  <si>
    <t>AB Thiriku FCS 17SM0155 APS 4010</t>
  </si>
  <si>
    <t>AA KII-22KN0009   APS 3960. (40 Packed in 30Kg Grainpro)</t>
  </si>
  <si>
    <t>AB GAKUYUINI-18SM0063. APS 3970.(32 Packed in 30Kg Grainpro)</t>
  </si>
  <si>
    <t xml:space="preserve"> AA THIRIKU FCS-17SM0155 APS 3974, (32 Packed in 30Kg Grainpro)</t>
  </si>
  <si>
    <t xml:space="preserve"> AA KARIMIKUI-20KN0014 .APS 3975 (32 Packed in 30Kg Grainpro)</t>
  </si>
  <si>
    <t>AB-10MM1003, APS. Packed in 60Kg Grainpro.(Thangatha Estate). 21Bags 44Pckt</t>
  </si>
  <si>
    <t>AB-40MM0020,APS. Packed in 60Kg Grainpro.(Thangatha Estate). 13Bags 35Pckt</t>
  </si>
  <si>
    <t>AA-10MM1003, APS. Packed in 60Kg Grainpro.(Thangatha Estate). 14 Bags 35Pckt</t>
  </si>
  <si>
    <t>AA-40MM0020, APS. Packed in 60Kg Grainpro.(Thangatha Estate). 2 Bags 46Pckt</t>
  </si>
  <si>
    <t>4954A</t>
  </si>
  <si>
    <t>AB-10MM1004, APS. Packed in 60Kg Grainpro.(Thangatha Estate) 5 Bags 5Pckt</t>
  </si>
  <si>
    <t>4955A</t>
  </si>
  <si>
    <t>AA-10MM1004, APS. Packed in 60Kg Grainpro.(Thangatha Estate) 2 Bags 49Pckt</t>
  </si>
  <si>
    <t xml:space="preserve">Endebess natural, APS 3558.Packed in 30Kg Grainpro </t>
  </si>
  <si>
    <t>MEDUM2661335</t>
  </si>
  <si>
    <t>5003A</t>
  </si>
  <si>
    <t>Endebess Natural APS 30 boxes Packed in 30 kg vacuum</t>
  </si>
  <si>
    <t>Mount Kenya Selection.(Packed in 60Kg  Grainpro)</t>
  </si>
  <si>
    <t>HAMBURG</t>
  </si>
  <si>
    <t>MEDUM2665419</t>
  </si>
  <si>
    <t>AA Rung'eto Karimikui APS 3842.(Packed in 60Kg Grainpro)</t>
  </si>
  <si>
    <t>AA Faq(Rift Valley). Packed in 60Kg Grainpro.</t>
  </si>
  <si>
    <t>AA Kieni #074.APS 3786.Packed in 60Kg Grainpro</t>
  </si>
  <si>
    <t>Bfad Southern</t>
  </si>
  <si>
    <t>5229 230 156</t>
  </si>
  <si>
    <t>AA Muchagara #034, APS 3784.Packed in 60Kg Grainpro</t>
  </si>
  <si>
    <t>AA Kii, #027,APS 3741.Packed in 60Kg Grainpro</t>
  </si>
  <si>
    <t>AA Kii, APS3526. Packed in 60Kg Grainpro.</t>
  </si>
  <si>
    <t>Ever vim</t>
  </si>
  <si>
    <t>NBI0119375</t>
  </si>
  <si>
    <t>AA Karimikui, APS3525.Packed in 60Kg Grainpro</t>
  </si>
  <si>
    <t>AA Gakuyuini. APS 3531.Packed in 60Kg Grainpro</t>
  </si>
  <si>
    <t>PB Rungeto APS 3552.Packed in 60Kg Grainpro</t>
  </si>
  <si>
    <t>AA Kii 15KN0019. APS.30 Boxes of 30Kg Vacuum Pack</t>
  </si>
  <si>
    <t>Gichuna Estate,(A/AB/C/PB Blend).Packed in 60kg Grainpro bags</t>
  </si>
  <si>
    <t>AB Barikongo FCS. (Lot 17KM0003).Packed in 60kg Grainpro bags</t>
  </si>
  <si>
    <t>AB Rungeto Karimikui FCS.(Lot 15KN0027).Packed in 60kg Grainpro bags</t>
  </si>
  <si>
    <t>AA Kangiri FCS.(Lot 17SM0143).Packed in 60kg Grainpro bags</t>
  </si>
  <si>
    <t>AB Thiriku FCS 17SM0155.Packed in 60kg Grainpro bags. PSS Needed.</t>
  </si>
  <si>
    <t xml:space="preserve">  AA Kabare Karani  , APS (Packed in  60Kg Grainpro)
                    </t>
  </si>
  <si>
    <t>5059A</t>
  </si>
  <si>
    <t>MEDUM2673306</t>
  </si>
  <si>
    <t>811 493 8753</t>
  </si>
  <si>
    <t>5037A</t>
  </si>
  <si>
    <t>AB .( packed in 60kg grainpro)</t>
  </si>
  <si>
    <t xml:space="preserve">KOTA KAYA </t>
  </si>
  <si>
    <t>HLCUMB1240703083</t>
  </si>
  <si>
    <t>6308 520 934</t>
  </si>
  <si>
    <t>5037B</t>
  </si>
  <si>
    <t xml:space="preserve"> AA  (packed in 60kg grainpro )</t>
  </si>
  <si>
    <t>5037C</t>
  </si>
  <si>
    <t xml:space="preserve"> AB ( packed in 60kg grainpro )</t>
  </si>
  <si>
    <t>5037D</t>
  </si>
  <si>
    <t xml:space="preserve"> AA  ( packed in 60kg grainpro )</t>
  </si>
  <si>
    <t>5037E</t>
  </si>
  <si>
    <t>Starlight (96 packed in 30kg grainpro )</t>
  </si>
  <si>
    <t>5037F</t>
  </si>
  <si>
    <t xml:space="preserve">AA Thiriku FCS 17SM0115  APS 3974, (30 bags of 30kg grainpro) </t>
  </si>
  <si>
    <t>AB Plus.Packed in 60Kg Grainpro</t>
  </si>
  <si>
    <t>5059B</t>
  </si>
  <si>
    <t>AA Top Thiriku FCS-17SM0155.Packed in Grainpro bags.To ship with 27308.</t>
  </si>
  <si>
    <t>Mount Kenya Selection.(Packed in 60Kg  Ecotact)</t>
  </si>
  <si>
    <t>5033C</t>
  </si>
  <si>
    <t>5050B</t>
  </si>
  <si>
    <t>AA Inoi ndimi-Lot 15KN0034.(Packed in 60Kg Grainpro Bags).To be shipped with U1-50464.</t>
  </si>
  <si>
    <t>Mara Natural, As Per Sample 4055.(Packed in 60kg Grainpro).</t>
  </si>
  <si>
    <t>Jeddah</t>
  </si>
  <si>
    <t>Esl Asante</t>
  </si>
  <si>
    <t>NBI0119594</t>
  </si>
  <si>
    <t>5052B</t>
  </si>
  <si>
    <t>AA Baragwi Kariru 17SM0014 APS(Packed in 60kg Grainpro).</t>
  </si>
  <si>
    <t>ONE/CMA-CGM FCL/FCL</t>
  </si>
  <si>
    <t>5059C</t>
  </si>
  <si>
    <t>5049A</t>
  </si>
  <si>
    <t>AA FAQ, Crop 2023/2024. APS 4090</t>
  </si>
  <si>
    <t>Mara Natural, As Per Sample.</t>
  </si>
  <si>
    <t>5152F</t>
  </si>
  <si>
    <t>AA Kamwenja#045.As Per Sample 4236.(120 Bags Packed in 30Kg Vacuum Pack.)</t>
  </si>
  <si>
    <t>MEDUM2716477</t>
  </si>
  <si>
    <t>2832 4308 56</t>
  </si>
  <si>
    <t>5150A</t>
  </si>
  <si>
    <t>AB Rung'eto Karimikui #006 APS 4230 (74*30Kgs )</t>
  </si>
  <si>
    <t>MEDUM2715388</t>
  </si>
  <si>
    <t>5150B</t>
  </si>
  <si>
    <t>AA Rung'eto Karimikui #004 APS 4227(80*30Kgs)</t>
  </si>
  <si>
    <t>5150C</t>
  </si>
  <si>
    <t>AA Rung'eto Kii #015 APS 4231 (86*30Kgs)</t>
  </si>
  <si>
    <t>5150D</t>
  </si>
  <si>
    <t>AA Baragwi Karumandi #009 APS 4219 (80*30Kgs)</t>
  </si>
  <si>
    <t>5150E</t>
  </si>
  <si>
    <t>AB Rung'eto Kii #015 APS 4232 (90*30Kgs)</t>
  </si>
  <si>
    <t>5150F</t>
  </si>
  <si>
    <t>AB Baragwi Karumandi #009 APS 4220 (90*30Kgs)</t>
  </si>
  <si>
    <t>5152A</t>
  </si>
  <si>
    <t>AA Kamwenja#70. As Per Sample 4225. (80 Bags Packed in 30Kg Vacuum Pack.)</t>
  </si>
  <si>
    <t>5152B</t>
  </si>
  <si>
    <t>AA Kamwenja#006.As Per Sample 4245. (60 Bags Packed in 30Kg Vacuum Pack.)</t>
  </si>
  <si>
    <t>5152C</t>
  </si>
  <si>
    <t>AB Kamwenja #047.As Per Sample 4243.(30 Bags Packed in 30Kg Vacuum Pack.)</t>
  </si>
  <si>
    <t>5152D</t>
  </si>
  <si>
    <t>AB Kamwenja #046.As Per Sample 4240.(80 Bags Packed in 30Kg Vacuum Pack.)</t>
  </si>
  <si>
    <t>5152E</t>
  </si>
  <si>
    <t xml:space="preserve"> AA Kamwenja#046.As Per Sample 4239.(80 Bags Packed in 30Kg Vacuum Pack.)</t>
  </si>
  <si>
    <t>5152G</t>
  </si>
  <si>
    <t>AB Kamwenja#045.As Per sample 4237.(60 Bags Packed in 30Kg Vacuum Pack.)</t>
  </si>
  <si>
    <t>5169B</t>
  </si>
  <si>
    <t>AB Baragwi Kariru - 08SM0017 - washed(96 boxes packed in 30kg vacuum)</t>
  </si>
  <si>
    <t>MEDUM2722533</t>
  </si>
  <si>
    <t>5169C</t>
  </si>
  <si>
    <t>AA Thiririka Kiganjo - 09KF0004 - washed(90 boxes packed in 30kg vacuum)</t>
  </si>
  <si>
    <t>5169D</t>
  </si>
  <si>
    <t>AB Inoi Ndimi - 09KN0031 - washed(104 boxes packed in 30kg vacuum)</t>
  </si>
  <si>
    <t>5169E</t>
  </si>
  <si>
    <t>AA Inoi Ndimi - 09KN0031 - washed(90 boxes packed in 30kg vacuum)</t>
  </si>
  <si>
    <t>5172A</t>
  </si>
  <si>
    <t>AA Top Baragwi FCS Kariru-08SM0017. APS 4282. Packed in 60Kg Grainpro.</t>
  </si>
  <si>
    <t>5172B</t>
  </si>
  <si>
    <t>AB Top Baragwi FCS Kariru-08SM0017. APS 4283. Packed in 60Kg Grainpro.</t>
  </si>
  <si>
    <t>5170A</t>
  </si>
  <si>
    <t>AA Weithaga 09im0016 - washed(44 boxes packed in 30kg vacuum)</t>
  </si>
  <si>
    <t>MEDUM2722525</t>
  </si>
  <si>
    <t>5170B</t>
  </si>
  <si>
    <t>AA Kianderi 09im0020 - washed(20 boxes packed in 30kg vacuum)</t>
  </si>
  <si>
    <t>5170C</t>
  </si>
  <si>
    <t>AB Baragwi Thimu - 10SM0034(90 boxes packed in 30kg vacuum)</t>
  </si>
  <si>
    <t>5170D</t>
  </si>
  <si>
    <t>AB Inoi Ndimi - 11KN0055(90 boxes packed in 30kg vacuum)</t>
  </si>
  <si>
    <t>5170E</t>
  </si>
  <si>
    <t>AA Baragwi Thimu - 10SM0034.(84 boxes packed in 30kg vacuum)</t>
  </si>
  <si>
    <t>5170F</t>
  </si>
  <si>
    <t>AA Baragwi Guama - 10SM0039(90 boxes packed in 30kg vacuum)</t>
  </si>
  <si>
    <t>5170G</t>
  </si>
  <si>
    <t>AA Inoi Ndimi - 11KN0055(82 boxes packed in 30kg vacuum)</t>
  </si>
  <si>
    <t>5169F</t>
  </si>
  <si>
    <t>AB THIKAGIKI THITHI.12IM0077 (80 Boxes of 30Kg Vacuum Pack)</t>
  </si>
  <si>
    <t>IAC UK</t>
  </si>
  <si>
    <t>5189A</t>
  </si>
  <si>
    <t>AB BARAGWI MUSHAGARA-13SM0011. As Per Sample 4607.Packed in 60Kg Grainpro</t>
  </si>
  <si>
    <t>5189B</t>
  </si>
  <si>
    <t>AA RUNGETO KIANGOI-06KN0031.As Per Sample 4594.Packed in 60Kg Grainpro</t>
  </si>
  <si>
    <t>5189C</t>
  </si>
  <si>
    <t xml:space="preserve">AA THIRIRIKA GITHEMBE 09KF0005.As Per Sample 4590.Packed in 60Kg Grainpro </t>
  </si>
  <si>
    <t>5189D</t>
  </si>
  <si>
    <t>AB BARAGWI KARIRU-10SM0037.As Per Sample 4598.Packed in 60Kg Ecotact.</t>
  </si>
  <si>
    <t>5189E</t>
  </si>
  <si>
    <t>AA THIRIRIKA KIGANJO-09KF0004.As Per Sample 4186.(20Boxes of 30Kg Vacuum Pack)</t>
  </si>
  <si>
    <t>5189F</t>
  </si>
  <si>
    <t>PB Kisii. Packed in 60Kg Grainpro.</t>
  </si>
  <si>
    <t>5189G</t>
  </si>
  <si>
    <t>AA BARAGWI GUAMA 09SM0006.APS 4179.Packed in 60Kg Grainpro.</t>
  </si>
  <si>
    <t>5189H</t>
  </si>
  <si>
    <t>AA Thiririka Kiganjo-09KF0004.APS 4186.Packed in 60Kg Grainpro.</t>
  </si>
  <si>
    <t>5189I</t>
  </si>
  <si>
    <t xml:space="preserve"> AA BARAGWI NYANJA 06SM0037.APS 4187.Packed in 60Kg Grainpro.</t>
  </si>
  <si>
    <t>5189J</t>
  </si>
  <si>
    <t>AA THIRIRIKA GITHEMBE 09KF0005.APS 4190.(15 Boxes of 30Kg Vacuum Pack)</t>
  </si>
  <si>
    <t>5189K</t>
  </si>
  <si>
    <t>PB RUNGETO.APS 4592.Packed in 60Kg Grainpro.</t>
  </si>
  <si>
    <t>5189L</t>
  </si>
  <si>
    <t>AB INOI KIANDERI-12KN0072.  As Per Sample 4600.10 Boxes Packed in 30Kg Vacuum pack</t>
  </si>
  <si>
    <t>5189N</t>
  </si>
  <si>
    <t>AA Baragwi Mushagara,APS.Packed in grainpro.</t>
  </si>
  <si>
    <t>5188A</t>
  </si>
  <si>
    <t>AB TOP GAKUYUINI-14IM0058, APS 4662. Packed in 60Kg Grainpro.</t>
  </si>
  <si>
    <t>5188B</t>
  </si>
  <si>
    <t>AA TOP GIKANDA KANGOCHO-13GF0002.APS 4663.Packed in 60Kg Grainpro.</t>
  </si>
  <si>
    <t>5188C</t>
  </si>
  <si>
    <t xml:space="preserve"> AA TOP GIKIRIMA-14IM0030,APS 4669.Packed in 60Kg Grainpro.</t>
  </si>
  <si>
    <t>5188D</t>
  </si>
  <si>
    <t>AA TOP GUAMA-10SM0006, APS 4660.Packed in 60Kg Grainpro.</t>
  </si>
  <si>
    <t>5188E</t>
  </si>
  <si>
    <t>AA KIANJIRU-08SM0023, APS 4667.Packed in 60Kg Grainpro.</t>
  </si>
  <si>
    <t>5188F</t>
  </si>
  <si>
    <t>AB TOP MIHUTI-13IM0005. APS 4661.Packed in 60Kg Grainpro.</t>
  </si>
  <si>
    <t>5188G</t>
  </si>
  <si>
    <t>AA TOP NDAROINI-13TY0005, APS 4665.Packed in 60Kg Grainpro.</t>
  </si>
  <si>
    <t>5188H</t>
  </si>
  <si>
    <t>PB TOP NDAROINI-13TY0005,APS 4664. Packed in 60Kg Grainpro.</t>
  </si>
  <si>
    <t>5188I</t>
  </si>
  <si>
    <t>AA TOP RUNG'ETO KII-12KN0023.APS 4672.Packed in 60Kg Grainpro.</t>
  </si>
  <si>
    <t>5188J</t>
  </si>
  <si>
    <t>AB TOP RUNG'ETO KII-12KN0005,APS 4671.Packed in 60Kg Grainpro.</t>
  </si>
  <si>
    <t>5188K</t>
  </si>
  <si>
    <t>AB TOP RUNG'ETO KII-13KN0010, APS 4673.Packed in 60Kg Grainpro.</t>
  </si>
  <si>
    <t>5188L</t>
  </si>
  <si>
    <t>AB TOP,APS.(1 bag of 65Kgs)</t>
  </si>
  <si>
    <t>5189M</t>
  </si>
  <si>
    <t>AA Inoi Kianderi ,APS. Packed in Grainpro.</t>
  </si>
  <si>
    <t>5187C</t>
  </si>
  <si>
    <t>AA Top THIRIKU-10SM0006, APS 4410. Packed in 60Kg Grainpro.</t>
  </si>
  <si>
    <t>5187D</t>
  </si>
  <si>
    <t>AB Top THIRIKU-10SM0006, APS 4411. Packed in 60Kg Grainpro.</t>
  </si>
  <si>
    <t>5187A</t>
  </si>
  <si>
    <t>AA TOP RUNGETO BLEND.SAS. (230 Boxes of 30Kg Vacuum Pack)</t>
  </si>
  <si>
    <t>5187B</t>
  </si>
  <si>
    <t>AB BILASHAKA.Packed in 60Kg Ecotact</t>
  </si>
  <si>
    <t>5205A</t>
  </si>
  <si>
    <t>AA TOP RUNG'ETO KII-06KN0024. APS 4188. Packed in 60Kg Ecotact.</t>
  </si>
  <si>
    <t>5205B</t>
  </si>
  <si>
    <t>AA TOP RUNG'ETO KARIMIKUI-12KN0034.APS 4191.Packed in 60Kg Ecotact.</t>
  </si>
  <si>
    <t>5205C</t>
  </si>
  <si>
    <t>PB TOP BARAGWI.APS 4167.Packed in 60Kg Ecotact.</t>
  </si>
  <si>
    <t>Heinrich Christen</t>
  </si>
  <si>
    <t>5234A</t>
  </si>
  <si>
    <t>AA FAQ. SAS on replacement basis. Packed in Grainpro.</t>
  </si>
  <si>
    <t>Toronto</t>
  </si>
  <si>
    <t>MSC Mediterranean</t>
  </si>
  <si>
    <t>MEDUM2745963</t>
  </si>
  <si>
    <t>5234B</t>
  </si>
  <si>
    <t>AB FAQ. SAS on replacement basis. Packed in Grainpro.</t>
  </si>
  <si>
    <t>5297A</t>
  </si>
  <si>
    <t>AA TOP RUNG'ETO KIANGOI-13KN0014.APS 4189.Packed in 60Kg Ecotact.</t>
  </si>
  <si>
    <t>Wec FCL/FCL</t>
  </si>
  <si>
    <t>WECC2588HAM1215</t>
  </si>
  <si>
    <t>5297B</t>
  </si>
  <si>
    <t>AA TOP BARAGWI KIANJIRU-10SM0041. APS 4165.Packed in 60Kg Ecotact.</t>
  </si>
  <si>
    <t>5297C</t>
  </si>
  <si>
    <t>AA TOP KANGIRI KANGURUMAI-09SM0009.APS 4170.Packed in 60Kg Ecotact.</t>
  </si>
  <si>
    <t>5204A</t>
  </si>
  <si>
    <t>KENYA AA INOI FCS NDIMI-09KN0031.APS 4325.Packed in 60Kg Grainpro.</t>
  </si>
  <si>
    <t>MEDU2742689</t>
  </si>
  <si>
    <t>5204B</t>
  </si>
  <si>
    <t>KENYA AB INOI FCS NDIMI-09KN0031.APS 4326.Packed in 60Kg Grainpro.</t>
  </si>
  <si>
    <t>5204C</t>
  </si>
  <si>
    <t>KENYA AA INOI FCS KAGUYU-09KN0034.APS 4333.Packed in 60Kg Grainpro.</t>
  </si>
  <si>
    <t>5204D</t>
  </si>
  <si>
    <t>KENYA AB INOI FCS KAGUYU-09KN0033.APS 4328.30 Bags Packed in 30Kg Grainpro.</t>
  </si>
  <si>
    <t>5204E</t>
  </si>
  <si>
    <t>KENYA AA KANGIRI FCS GATUMBI-09SM0010.APS 4347. Packed in 60Kg Grainpro.</t>
  </si>
  <si>
    <t>5204F</t>
  </si>
  <si>
    <t>KENYA AA KANGIRI FCS KANGURUMAI-09SM0009.APS 4349.30 Bags Packed in 30Kg Grainpro.</t>
  </si>
  <si>
    <t>5204G</t>
  </si>
  <si>
    <t>KENYA AA BARAGWI FCS GUAMA-09SM0006. APS 4351.Packed in 60Kg Grainpro.</t>
  </si>
  <si>
    <t>5204H</t>
  </si>
  <si>
    <t>KENYA AA BARAGWI FCS RWAMBITI-09SM0003.APS 4353. 32 Bags Packed in 30Kg Grainpro</t>
  </si>
  <si>
    <t>5204I</t>
  </si>
  <si>
    <t>KENYA AA NEW GIKARU KAHURO-08SM0030APS 4363. 30 Bags Packed in 30Kg Grainpro.</t>
  </si>
  <si>
    <t>5204J</t>
  </si>
  <si>
    <t>KENYA AB INOI FCS-10KN100.APS 4340. Packed in 60Kg Grainipro.</t>
  </si>
  <si>
    <t>5204K</t>
  </si>
  <si>
    <t>KENYA AA KANGIRI FCS GATUMBI-09SM0010.APS 4347.20 Boxes Packed in 30Kg Vacuum Pack.</t>
  </si>
  <si>
    <t>5204L</t>
  </si>
  <si>
    <t>KENYA AA BARAGWI FCS RWAMBITI-09SM0003APS 4353.20 Boxes Packed in 30Kg Vacuum Pack.</t>
  </si>
  <si>
    <t>5204M</t>
  </si>
  <si>
    <t>KENYA AB KANGIRI FCS KANGURUMAI-09SM0009APS 4353.4 Boxes Packed in 30Kg Vacuum Pack.</t>
  </si>
  <si>
    <t>5204N</t>
  </si>
  <si>
    <t>KENYA AA NEW GIKARU KAHURO-08SM0030.APS 4363.Packed in 30Kg Vacuum Pack.</t>
  </si>
  <si>
    <t>5204O</t>
  </si>
  <si>
    <t>KENYA AB NEW GIKARU KAHURO-08SM0030APS 4347.Packed in 30Kg Vacuum Pack.</t>
  </si>
  <si>
    <t>5198A</t>
  </si>
  <si>
    <t>AA Kamacharia Wahundura#129 ,12IM0129.APS.(50 Boxes of 30Kg Vacuum Pack).</t>
  </si>
  <si>
    <t>78 2417 9344</t>
  </si>
  <si>
    <t>5198B</t>
  </si>
  <si>
    <t>AA Thiririka Githembera#028,11KF0028.APS.(52 Boxes of 30Kg Vacuum Pack).</t>
  </si>
  <si>
    <t>5198C</t>
  </si>
  <si>
    <t>AA Kamacharia Kagumoini#093,12IM0093.APS.(70 Boxes of 30Kg Vacuum Pack).</t>
  </si>
  <si>
    <t>5198D</t>
  </si>
  <si>
    <t>AA New Weithagakianderi#035,11IM0035.APS.(40 Boxes of 30Kg Vacuum Pack).</t>
  </si>
  <si>
    <t>5198E</t>
  </si>
  <si>
    <t>AA Gikanda Ndaroini#005,13TY0005.APS.(50 Boxes of 30Kg Vacuum Pack).</t>
  </si>
  <si>
    <t>5198F</t>
  </si>
  <si>
    <t>AB Thikagiki Thithi #077,12IM0077.APS.(70 Boxes of 30Kg Vacuum Pack).</t>
  </si>
  <si>
    <t>5198G</t>
  </si>
  <si>
    <t>AB New Weithagakianderi #035,11IM0035.APS.(62 Boxes of 30Kg Vacuum Pack).</t>
  </si>
  <si>
    <t>5198H</t>
  </si>
  <si>
    <t>AA Tekangu Ngunguru#101,12IM0101,APS.(52 Boxes of 30Kg Vacuum Pack).</t>
  </si>
  <si>
    <t>5190B</t>
  </si>
  <si>
    <t>AB RUNG'ETO KARIMIKUI-06KN0008, APS 4501.Packed in 60Kg Grainpro</t>
  </si>
  <si>
    <t>5190C</t>
  </si>
  <si>
    <t>AB KIENI-14IM0002,APS 4683.Packed in 60Kg Grainpro</t>
  </si>
  <si>
    <t>5190D</t>
  </si>
  <si>
    <t>KENYA AB RUNG'ETO KARIMIKUI-06KN0008,APS 4501.Packed in 60Kg Grainpro</t>
  </si>
  <si>
    <t>Cancelled</t>
  </si>
  <si>
    <t>5204P</t>
  </si>
  <si>
    <t>AA Rungeto Karimikui-12KN0034,APS 4751.Packed in 60Kg Grainpro.</t>
  </si>
  <si>
    <t>5204Q</t>
  </si>
  <si>
    <t xml:space="preserve"> AB RUNGETO KII-12KN0019,APS 4752.(30 Bags packed in 30Kg Grainpro.)</t>
  </si>
  <si>
    <t>5204R</t>
  </si>
  <si>
    <t>AB RUNGETO KIANGOI-12KN0027.APS 4753.Packed in 60Kg Grainpro.</t>
  </si>
  <si>
    <t>5204S</t>
  </si>
  <si>
    <t>AA Rungeto Kii-15KN0074, APS 4756.Packed in 60KgGrainpro.</t>
  </si>
  <si>
    <t>5204T</t>
  </si>
  <si>
    <t xml:space="preserve">AA/Rift Valley,APS 3022 .Packed in 60Kg Grainpro </t>
  </si>
  <si>
    <t>5198J</t>
  </si>
  <si>
    <t>AA Murue Kianyangi003,12EC0003. As Per Sample.(54 Boxes of 30Kg Vacuum Pack).</t>
  </si>
  <si>
    <t>5190E</t>
  </si>
  <si>
    <t>KENYA AB KIENI-14IM0002,APS 4683.4 boxes of 30Kg Vacuum Pack</t>
  </si>
  <si>
    <t>5190F</t>
  </si>
  <si>
    <t>AA RUNG'ETO KARIMIKUI-06KN0006,APS 4674.12 boxes of 30Kg Vacuum Pack</t>
  </si>
  <si>
    <t>5190G</t>
  </si>
  <si>
    <t xml:space="preserve"> AA KAHUNYO-10IM0039,APS 4678. 16 boxes of 30Kg Vacuum Pack</t>
  </si>
  <si>
    <t>5190H</t>
  </si>
  <si>
    <t>AA RUNG'ETO KII-06KN0024,APS 4675.4 boxes of 30Kg Vacuum Pack</t>
  </si>
  <si>
    <t>5190I</t>
  </si>
  <si>
    <t>MARA NATURAL,APS 4527. Packed in 60Kg Grainpro</t>
  </si>
  <si>
    <t>5203A</t>
  </si>
  <si>
    <t>AB KABARE KARANI 11KN0010,APS. 50 boxes of 30Kg Vacuum Pack.</t>
  </si>
  <si>
    <t>16 9768 0180</t>
  </si>
  <si>
    <t>5203B</t>
  </si>
  <si>
    <t>AB THIRIKWA GAKUYUINI 12IM0082,APS. 50 boxes of 30Kg Vacuum Pack.</t>
  </si>
  <si>
    <t>5203C</t>
  </si>
  <si>
    <t>AB MUGAGA KAGUMOINI 16IM0115,APS.50 boxes of 30Kg Vacuum Pack</t>
  </si>
  <si>
    <t>5203D</t>
  </si>
  <si>
    <t>AB KOMOTHAI KAGWANJA 11KN0002,APS.50 boxes of 30Kg Vacuum Pack</t>
  </si>
  <si>
    <t>5203E</t>
  </si>
  <si>
    <t>AB RUNGETO KII 12KN0015,APS.50 boxes of 30Kg Vacuum Pack</t>
  </si>
  <si>
    <t>5203F</t>
  </si>
  <si>
    <t>PB KIRINYAGA,APS.Packed in 60Kg Grainpro</t>
  </si>
  <si>
    <t>5203G</t>
  </si>
  <si>
    <t>PB Nyeri,APS.Packed in 60Kg Grainpro</t>
  </si>
  <si>
    <t>5203H</t>
  </si>
  <si>
    <t>AA JOKIMU ESTATE 12KF0132,APS.30 boxes of 30Kg Vacuum Pack</t>
  </si>
  <si>
    <t>5203I</t>
  </si>
  <si>
    <t>AA THIRIRIKA KIGANJO 12KF0220,APS.30 boxes of 30Kg Vacuum Pack</t>
  </si>
  <si>
    <t>5203J</t>
  </si>
  <si>
    <t>AA BARAGWI KIANYAGA 10SM0032,APS. 30 boxes of 30Kg Vacuum Pack</t>
  </si>
  <si>
    <t>5203K</t>
  </si>
  <si>
    <t>AA KABARE KARANI 11KN0010,APS. 30 boxes of 30Kg Vacuum Pack</t>
  </si>
  <si>
    <t>5203L</t>
  </si>
  <si>
    <t>AA RUNGETO KARIMIKUI 12KN0034,APS.30 boxes of 30Kg Vacuum Pack</t>
  </si>
  <si>
    <t>5203M</t>
  </si>
  <si>
    <t>NH NATURAL 1 (kilombe) 17LE0007,APS.Packed in 60Kg Grainpro</t>
  </si>
  <si>
    <t>5203N</t>
  </si>
  <si>
    <t>NH NATURAL 2 (kilombe) 17LE0011,APS.Packed in 60Kg Grainpro</t>
  </si>
  <si>
    <t>5203O</t>
  </si>
  <si>
    <t>NH NATURAL 3 (kilombe) 17LE00013,APS.Packed in 60Kg Grainpro</t>
  </si>
  <si>
    <t>5205D</t>
  </si>
  <si>
    <t>AA TOP NYERI HILL,16SM0082. Packed in 60Kg Grainpro.</t>
  </si>
  <si>
    <t>5205E</t>
  </si>
  <si>
    <t>5205F</t>
  </si>
  <si>
    <t>AB TOP NYERI HILL,16SM0082. Packed in 60Kg Grainpro.</t>
  </si>
  <si>
    <t>5205G</t>
  </si>
  <si>
    <t>OBSCURA</t>
  </si>
  <si>
    <t>5220A</t>
  </si>
  <si>
    <t>AA RUNG'ETO KII-06KN0024,APS 4642.73 boxes of 30Kg Vacuum Pack</t>
  </si>
  <si>
    <t>5220B</t>
  </si>
  <si>
    <t>AA RUNG'ETO KARIMIKUI-06KN0008,APS 4643.40 boxes of 30Kg Vacuum Pack</t>
  </si>
  <si>
    <t>5220C</t>
  </si>
  <si>
    <t xml:space="preserve">AB MUGAGA KIENI-09IM0002,APS 4644.56 boxes of 30Kg Vacuum Pack        </t>
  </si>
  <si>
    <t>5220D</t>
  </si>
  <si>
    <t xml:space="preserve">AA INOI KAGUYU-11KN0052,APS 4646. 80 boxes of 30Kg Vacuum Pack </t>
  </si>
  <si>
    <t>5220E</t>
  </si>
  <si>
    <t xml:space="preserve">AA KIANJEGE-11KN0016,APS 4647. 40 boxes of 30Kg Vacuum Pack </t>
  </si>
  <si>
    <t>5220F</t>
  </si>
  <si>
    <t>AA BARAGWI GUAMA-09SM0006,APS 4651. 140 boxes of 30Kg Vacuum Pack</t>
  </si>
  <si>
    <t>5220G</t>
  </si>
  <si>
    <t xml:space="preserve">AA KIANJIRU-08SM0023,APS 4653.35 boxes of 30Kg Vacuum Pack </t>
  </si>
  <si>
    <t>5220H</t>
  </si>
  <si>
    <t>AA BARAGWI NYANJA-06SM0037,APS 4654. 56 boxes of 30Kg Vacuum Pack</t>
  </si>
  <si>
    <t>5220I</t>
  </si>
  <si>
    <t>AB RUNG'ETO KII-12KN0015,APS 4657.100 boxes of 30Kg Vacuum Pack</t>
  </si>
  <si>
    <t>5220J</t>
  </si>
  <si>
    <t>ENDEBESS NATURAL,APS 4795. 46 boxes of 30Kg Vacuum Pack</t>
  </si>
  <si>
    <t>5203P</t>
  </si>
  <si>
    <t xml:space="preserve">AB THIRIKWA GAKUYUINI, 12IM0082. APS. Packed in 60Kg GrainPro </t>
  </si>
  <si>
    <t>5203Q</t>
  </si>
  <si>
    <t xml:space="preserve">AB RUNGETO KII, 12KN0015. APS. Packed in 60Kg GrainPro </t>
  </si>
  <si>
    <t>5203R</t>
  </si>
  <si>
    <t xml:space="preserve">AA RUNGETO KARIMIKUI,12KN0034.APS.Packed in 60Kg GrainPro </t>
  </si>
  <si>
    <t>Nordic</t>
  </si>
  <si>
    <t>5221A</t>
  </si>
  <si>
    <t>AA Baragwi Thimu,  10SM0034  ,  As Per Sample 4123 ( 32 boxes  Packed in 30Kg vacuum Pack )</t>
  </si>
  <si>
    <t>Tokyo</t>
  </si>
  <si>
    <t>5739 910 842</t>
  </si>
  <si>
    <t>5221B</t>
  </si>
  <si>
    <t xml:space="preserve">AA Tekangu Ngunguru ,  12IM0101 , As Per Sample ( 34 boxes  Packed in 30Kg vacuum Pack)   </t>
  </si>
  <si>
    <t>5221C</t>
  </si>
  <si>
    <t xml:space="preserve"> AB Thiririka Githembe,   11KF00028 , APS 4908 ( 50 boxes                  
 Packed in 30Kg vacuum Pack  )    </t>
  </si>
  <si>
    <t>5221D</t>
  </si>
  <si>
    <t>AA. Thiririka Githembe, 09KF0009 , As Per Sample 4909  (30 boxes             
 Packed in 30Kg vacuum Pack)</t>
  </si>
  <si>
    <t>5221E</t>
  </si>
  <si>
    <t xml:space="preserve"> AA Thiririka Githembe , 09KF0009 ,  As Per Sample 4909 ( 10 boxes  Packed in 30Kg vacuum Pack )</t>
  </si>
  <si>
    <t>5221F</t>
  </si>
  <si>
    <t>AA Kiawanduma, 12KF1002   ,  As Per Sample 4914  ( 32 boxes  Packed in 30Kg vacuum Pack )</t>
  </si>
  <si>
    <t>5221G</t>
  </si>
  <si>
    <t>AA Kiawanduma, 12KF1002   ,  As Per Sample 4914  ( 10 boxes  Packed in 30Kg vacuum Pack )</t>
  </si>
  <si>
    <t>5221H</t>
  </si>
  <si>
    <t>AB Kiawanduma, 12KF1002   ,  As Per Sample 4915 ( 40 boxes  Packed in 30Kg vacuum Pack )</t>
  </si>
  <si>
    <t>5221I</t>
  </si>
  <si>
    <t>AA Tekangu Karogoto,  12GF0002 ,  As Per Sample 4920 ( 50 boxes  Packed in 30Kg vacuum Pack )</t>
  </si>
  <si>
    <t>5221J</t>
  </si>
  <si>
    <t>AA Tekangu Karogoto,  12GF0002 ,  As Per Sample 4920 ( 10 boxes Packed in 30Kg vacuum Pack )</t>
  </si>
  <si>
    <t>5221K</t>
  </si>
  <si>
    <t>AB  Mutheka Muthuaini , 12SM0017  ,  As Per Sample 4905 ( 35 boxes Packed in 30Kg vacuum Pack )</t>
  </si>
  <si>
    <t>5219A</t>
  </si>
  <si>
    <t>AA Rung'eto Karimikui#034,  As Per Sample 4901 ( 120 Boxes Packed in 30Kg vacuum Pack )</t>
  </si>
  <si>
    <t>CMA/CGM FCL/FCL</t>
  </si>
  <si>
    <t xml:space="preserve">Ubena </t>
  </si>
  <si>
    <t>NBI0120633</t>
  </si>
  <si>
    <t>5219B</t>
  </si>
  <si>
    <t>AB  Karogoto #010,  17IM0010   ,  As Per Sample 5027 (60 Boxes  Packed in 30Kg vacuum Pack )</t>
  </si>
  <si>
    <t>5219C</t>
  </si>
  <si>
    <t>AB   Gacherori #095,  18IM0095    ,  As Per Sample 5026 (60 Boxes  Packed in 30Kg vacuum Pack )</t>
  </si>
  <si>
    <t>5219D</t>
  </si>
  <si>
    <t xml:space="preserve"> AA Iyego #010,  As Per Sample 5040 ( 40 boxes of 30Kg vacuum Pack)</t>
  </si>
  <si>
    <t>5219E</t>
  </si>
  <si>
    <t xml:space="preserve"> AA Ichamara #095,   15SM0095  ,  As Per Sample 5035   ( 60 boxes of 30 kg vacuum Pack  )</t>
  </si>
  <si>
    <t>5219F</t>
  </si>
  <si>
    <t>AB  Kabingara #057,  15KN0057 , As Per Sample 5043 (  60 boxes of 30 kg  vacuum Pack )</t>
  </si>
  <si>
    <t>5219G</t>
  </si>
  <si>
    <t>AB Kagumoini #083 , 17IM0083 , As Per Sample 5031 ( 60 boxes of 30 kg  vacuum Pack )</t>
  </si>
  <si>
    <t>5218D</t>
  </si>
  <si>
    <t>AB  Gikirima #163,  As Per Sample 5023 ( 60 boxes of 30 kg  vacuum Pack  )</t>
  </si>
  <si>
    <t>5259B</t>
  </si>
  <si>
    <t>AA IYEGO-10SM0025 .APS 5083 .Packed in 60Kg GrainPro.PSS Needed.</t>
  </si>
  <si>
    <t>5259c</t>
  </si>
  <si>
    <t>AA NGERWE-13IM0045, APS 5084.Packed in 60Kg GrainPro.PSS Needed.</t>
  </si>
  <si>
    <t>5218A</t>
  </si>
  <si>
    <t>Endebess natural  ,  As Per Sample 5074 ( 120 boxes Packed in 30Kg vacuum Pack )</t>
  </si>
  <si>
    <t>MEDUM2761044</t>
  </si>
  <si>
    <t>70 2316 5564</t>
  </si>
  <si>
    <t>5218B</t>
  </si>
  <si>
    <t>AB Rung'eto Kii,  13KN0010,  As Per Sample  ( 40 boxes of 30 kg vacuum Pack )</t>
  </si>
  <si>
    <t>5218C</t>
  </si>
  <si>
    <t>AA Rung'eto Kiangoi , 06KN0009  , As Per Sample ( 50 boxes of 30 kg vacuum Pack )</t>
  </si>
  <si>
    <t>5259D</t>
  </si>
  <si>
    <t>Endebess Natural. APS 5049 (30bags Packed in 30kg Vacuum Pack).</t>
  </si>
  <si>
    <t xml:space="preserve">Atlas </t>
  </si>
  <si>
    <t>5245A</t>
  </si>
  <si>
    <t>KENYA AB RUNG'ETO KII-12KN0015.Packed in 60Kg Grainpro.PSS Needed.</t>
  </si>
  <si>
    <t>MEDUM2757836</t>
  </si>
  <si>
    <t>5245B</t>
  </si>
  <si>
    <t>KENYA AA THIRIKWA GAKUYUINI-12IM0095.Packed in 60Kg Grainpro.PSS Needed.</t>
  </si>
  <si>
    <t>5245C</t>
  </si>
  <si>
    <t>KENYA PB KII.Packed in 60Kg Grainpro.PSS Needed.</t>
  </si>
  <si>
    <t>5245D</t>
  </si>
  <si>
    <t>KENYA AA THIRIKU-16SM0075.Packed in 60Kg Grainpro.PSS Needed.</t>
  </si>
  <si>
    <t>5245E</t>
  </si>
  <si>
    <t>KENYA AA  GICHIKA-10KF0088.Packed in 60Kg Grainpro.PSS Needed.</t>
  </si>
  <si>
    <t>5245F</t>
  </si>
  <si>
    <t>ENDEBESS NATURAL.Packed in 60Kg Grainpro.PSS Needed.</t>
  </si>
  <si>
    <t>5245G</t>
  </si>
  <si>
    <t>AA Gichuna. Packed in 60Kg GrainPro.PSS needed.</t>
  </si>
  <si>
    <t>5222A</t>
  </si>
  <si>
    <t>AA MWIRUA MITONDO,  09KN0011   , As Per Sample  ( 14 boxes  Packed in 30Kg Vacuum Pack )</t>
  </si>
  <si>
    <t>5222B</t>
  </si>
  <si>
    <t xml:space="preserve"> AB MUTHEKA FCS KIANDU,  17SM0002,  As Per Sample , (18 boxes Packed in 30Kg Vacuum Pack )</t>
  </si>
  <si>
    <t>5222C</t>
  </si>
  <si>
    <t xml:space="preserve"> AA RUGI FCS GUMBA  , 08SM00015 ,  As Per Sample , (18 boxes  Packed in 30Kg Vacuum Pack )</t>
  </si>
  <si>
    <t>5222D</t>
  </si>
  <si>
    <t>PB NYERI HILLS,  11SM0057 ,  As Per Sample ( 20 boxes  Packed in 30Kg Vacuum Pack )</t>
  </si>
  <si>
    <t>5222E</t>
  </si>
  <si>
    <t xml:space="preserve"> AA BARAGWI KARUMANDI ,  12SM0028 , As Per Sample ( 16 boxes  Packed in 30Kg Vacuum Pack )</t>
  </si>
  <si>
    <t>5222F</t>
  </si>
  <si>
    <t>AA BARAGWI THIMU, 11SM0038  ,  As Per Sample ( 16 boxes  Packed in 30Kg Vacuum Pack )</t>
  </si>
  <si>
    <t>5222G</t>
  </si>
  <si>
    <t xml:space="preserve"> AB RUNGETO KARIMIKUI, 12KN0037 , As Per Sample ( 14 boxes Packed in 30Kg Vacuum Pack )</t>
  </si>
  <si>
    <t>5222H</t>
  </si>
  <si>
    <t>AA RUNGETO KII 12KN0017, As Per Sample ( 16 boxes Packed in 30Kg Vacuum Pack)</t>
  </si>
  <si>
    <t>5222I</t>
  </si>
  <si>
    <t xml:space="preserve"> KABARE PB 11KN0010/KARANI/XAD02F03,  As Per Sample ( 40 boxes  Packed in 30Kg Vacuum Pack)</t>
  </si>
  <si>
    <t>5222J</t>
  </si>
  <si>
    <t>AA MARA NATURAL, As Per Sample(  14 boxes   Packed in 30Kg Vacuum Pack )</t>
  </si>
  <si>
    <t>5222K</t>
  </si>
  <si>
    <t xml:space="preserve"> C INOI 09KN0035,  As Per Sample ( 20 bags of 60Kg GrainPro ) </t>
  </si>
  <si>
    <t>5222L</t>
  </si>
  <si>
    <t xml:space="preserve">  AA MUTHEKA FCS KIANDU ,  17SM0002 ,  As Per Sample ( 23 bags of 60Kg GrainPro ) </t>
  </si>
  <si>
    <t>5222M</t>
  </si>
  <si>
    <t xml:space="preserve">  AB NDUNDU 12KF0219,  As Per Sample (  15 bags of 60 kg  GrainPro)</t>
  </si>
  <si>
    <t>5222N</t>
  </si>
  <si>
    <t xml:space="preserve"> AA RUGI FCS GUMBA,  12SM0114 , As Per Sample  ( 5 bags of 60 kg GrainPro )</t>
  </si>
  <si>
    <t>5222O</t>
  </si>
  <si>
    <t xml:space="preserve"> AB INOI FCS KIANDIERI 12SM0018,  As Per Sample (  5 bags of 60 kg GrainPro ) </t>
  </si>
  <si>
    <t>5222P</t>
  </si>
  <si>
    <t xml:space="preserve">  AB MUTHEKA FCS KIANDU 17SM0002,   As Per Sample   ( 5 bags of 60 kg</t>
  </si>
  <si>
    <t>5222Q</t>
  </si>
  <si>
    <t xml:space="preserve"> AA BARAGWI KARUMANDI-12SM0028 , As Per Sample (  5 bags of 60 kg GrainPro )</t>
  </si>
  <si>
    <t>5222R</t>
  </si>
  <si>
    <t xml:space="preserve"> AA RUNGETO KARIMIKUI-12KN0037 , As Per Sample ( 10 boxes of 30 kg Vacuum Pack)</t>
  </si>
  <si>
    <t>5222S</t>
  </si>
  <si>
    <t xml:space="preserve">  AB BARAGWI KARUMANDI-12SM0028 ,  As Per Sample ( 5 bags of 60 kg GrainPro )</t>
  </si>
  <si>
    <t>5222T</t>
  </si>
  <si>
    <t xml:space="preserve">  AB MUGAGA KAGUMOINI 16IM0115 , As Per Sample ( 10 bags of 30 kg Vacuum Pack)</t>
  </si>
  <si>
    <t>5222U</t>
  </si>
  <si>
    <t xml:space="preserve"> AB RUNGETO KII 12KN0019,  As Per Sample  ( 5 boxes of 60 kg  GrainPro )</t>
  </si>
  <si>
    <t>5222V</t>
  </si>
  <si>
    <t>MARA NATURAL, As Per Sample ( 5 bags of 60 kg GrainPro )</t>
  </si>
  <si>
    <t>5222W</t>
  </si>
  <si>
    <t xml:space="preserve"> PB BARAGWI KARUMANDI-12SM0028,   As Per Sample (  5 boxes of 30 kg Vacuum Pack ) </t>
  </si>
  <si>
    <t>5222X</t>
  </si>
  <si>
    <t>AA RUNGETO KARIMIKUI-12KN0037,   As Per Sample ( 10 bags of 60 kg GrainPro )</t>
  </si>
  <si>
    <t>5222Y</t>
  </si>
  <si>
    <t xml:space="preserve"> PB RUNGETO 17EC0008,  As Per Sample ( 15 bags of 60 kg GrainPro )</t>
  </si>
  <si>
    <t>5222Z</t>
  </si>
  <si>
    <t xml:space="preserve"> AA RUNGETO 06KN0015,  As Per Sample 4295  ( 45 bags of 60 kg GrainPro )</t>
  </si>
  <si>
    <t>5260C</t>
  </si>
  <si>
    <t>AA KII-12KN0019.APS 5146. 42 Boxes Packed in 30Kg Vacuum Pack.PSS needed.</t>
  </si>
  <si>
    <t>Kota Gandang</t>
  </si>
  <si>
    <t>HLCUMB1250500675</t>
  </si>
  <si>
    <t>31 6715 2785</t>
  </si>
  <si>
    <t>5260A</t>
  </si>
  <si>
    <t>AB,  KATHAKWA/XBD01F01.14IM0031.APS 6056. 130 boxes of 30Kg Vacuum Pack.PSS Needed.</t>
  </si>
  <si>
    <t>5260B</t>
  </si>
  <si>
    <t>AA, KIRIMAHIGA/XAB72F03.11KF0012.APS 6318.60 boxes of 30Kg Vacuum PackPSS Needed.</t>
  </si>
  <si>
    <t xml:space="preserve"> ATAKA </t>
  </si>
  <si>
    <t>5242A</t>
  </si>
  <si>
    <t>AB MURUE KIANYANGI 12EC0003,APS 4823. Packed in 60Kg Grainpro</t>
  </si>
  <si>
    <t>Hapag FCL/FCL 40' Reefer Container</t>
  </si>
  <si>
    <t>HLCUMB1250402131</t>
  </si>
  <si>
    <t>19 5728 3996</t>
  </si>
  <si>
    <t>5242B</t>
  </si>
  <si>
    <t>AB MURUE NGURUERI 12EC0010.APS 4824.Packed in 60Kg Grainpro</t>
  </si>
  <si>
    <t>5242C</t>
  </si>
  <si>
    <t xml:space="preserve"> AB GIKARU ICHAMARA 15SM0095.APS 4817.10 Bags Packed in 30Kg Grainpro</t>
  </si>
  <si>
    <t>5242D</t>
  </si>
  <si>
    <t>AB BARICHU KARATINA 15IM0059,APS 4821.10 Bags Packed in 30Kg Grainpro</t>
  </si>
  <si>
    <t>5242E</t>
  </si>
  <si>
    <t>Endebess Natural,APS 5097.20 Bags Packed in 30Kg Grainpro</t>
  </si>
  <si>
    <t>5242F</t>
  </si>
  <si>
    <t>AA GIKARU ICHAMARA 15SM0095,APS 4816.Packed in 60Kg Grainpro.</t>
  </si>
  <si>
    <t>5242G</t>
  </si>
  <si>
    <t>AB RUNGETO KARIMIKUI 12KN0031,APS 4949.2 BagsPacked in 30Kg GrainPro</t>
  </si>
  <si>
    <t>5242H</t>
  </si>
  <si>
    <t>AB RUNGETO KARIMIKUI 12KN0031,APS 4949.2 Bags Packed in 30Kg GrainPro</t>
  </si>
  <si>
    <t>5242I</t>
  </si>
  <si>
    <t>AB BARAGWI GACHAMI 16SM0071,APS 4944.6 Bags Packed in 30Kg GrainPro</t>
  </si>
  <si>
    <t>5242J</t>
  </si>
  <si>
    <t>AA GIKARU ICHAMARA 15SM0095. APS 4816. 10 Bags Packed in 30Kg GrainPro</t>
  </si>
  <si>
    <t>5242K</t>
  </si>
  <si>
    <t>AA THAMBANA KIUNGU 16SM0013 APS 5055.10 Bags Packed in 30Kg GrainPro</t>
  </si>
  <si>
    <t>5242L</t>
  </si>
  <si>
    <t>AA TEKANGU KANGOCHO 13GF0002 APS 5121.10 Bags Packed in 30Kg GrainPro</t>
  </si>
  <si>
    <t>5242M</t>
  </si>
  <si>
    <t>AA BARAGWI THIMU 05SM0009.APS 5096.60 Bags Packed in 30Kg GrainPro</t>
  </si>
  <si>
    <t>5242N</t>
  </si>
  <si>
    <t>AA THAMBANA KIUNGU 16SM0013.APS 5055.10 Bags Packed in 30Kg GrainPro</t>
  </si>
  <si>
    <t>5242O</t>
  </si>
  <si>
    <t>AA TEKANGU KANGOCHO 13GF0002, APS 5121.60 Bags Packed in 30Kg GrainPro</t>
  </si>
  <si>
    <t>5242P</t>
  </si>
  <si>
    <t>AB BARAGWI GACHAMI 16SM0071,APS 4944.8 Bags Packed in 30Kg GrainPro</t>
  </si>
  <si>
    <t>Diamond</t>
  </si>
  <si>
    <t>AA Ndundu,APS.</t>
  </si>
  <si>
    <t>Collected</t>
  </si>
  <si>
    <t>AA Kiganjo,APS.</t>
  </si>
  <si>
    <t>5242Q</t>
  </si>
  <si>
    <t xml:space="preserve"> AA Karimikui-12KN0030,  APS 4952 ,( 10 bags of 30 kg GrainPro,) For TOMACAFE </t>
  </si>
  <si>
    <t>5242R</t>
  </si>
  <si>
    <t xml:space="preserve">AA Karimikui-12KN0031, APS 4953,  (10 bags of 30 kg GrainPro,)  For TOMACAFE  </t>
  </si>
  <si>
    <t>5245H</t>
  </si>
  <si>
    <t xml:space="preserve"> AA Kii-13KN0010,   APS 5208 ,( 15 bags of 60 kg Grainpro )</t>
  </si>
  <si>
    <t>5261A</t>
  </si>
  <si>
    <t>AA Top, SAS-Replacement basis.Packed in Grainpro.</t>
  </si>
  <si>
    <t>ONEYMBAF00555700</t>
  </si>
  <si>
    <t>5261B</t>
  </si>
  <si>
    <t>AB Top, SAS-Replacement basis.Packed in Grainpro.</t>
  </si>
  <si>
    <t>5259E</t>
  </si>
  <si>
    <t>AA Mutheka- Muthuaini 17KF0147, APS, (7 Bags packed in 30Kg Grainpro)</t>
  </si>
  <si>
    <t>5242S</t>
  </si>
  <si>
    <t>AA GACHAMI-16SM0071,APS 4942. Packed in 60Kg Grainpro</t>
  </si>
  <si>
    <t>5256A</t>
  </si>
  <si>
    <t xml:space="preserve"> AB Iyego-10SM0025 , As Per Sample 4906 (5 Packed in 30kg Vacuum Pack).FCA JKIA Nairobi, KE</t>
  </si>
  <si>
    <t>0000453NBO</t>
  </si>
  <si>
    <t>5256B</t>
  </si>
  <si>
    <t xml:space="preserve"> AA Rung'eto Kii-12KN0015, As per sample 4916(76 packed in 30kg Vacuum pack).FCA JKIA Nairobi, KE</t>
  </si>
  <si>
    <t>5256C</t>
  </si>
  <si>
    <t xml:space="preserve"> AA Tekangu Ngunguru 12IM0101, As per sample 4889 (34 packed in 30kg Vacuum pack).FCA JKIA Nairobi, KE</t>
  </si>
  <si>
    <t>5218E</t>
  </si>
  <si>
    <t>AA KII-15KN0076 ,APS 5985. (82 Boxes Packed in 30Kg Vacuum Pack.)</t>
  </si>
  <si>
    <t>Mara Natural, As Per Sample 5075 ( 200 bags of 30 kg GrainPro )-PROMPT</t>
  </si>
  <si>
    <t>ONE Atlas</t>
  </si>
  <si>
    <t>ONEYMBAF00569500</t>
  </si>
  <si>
    <t>5247B</t>
  </si>
  <si>
    <t>AA GAKUYUINI 15SM0107,APS 5063.Packed in 60kg GrainPro PSS needed.</t>
  </si>
  <si>
    <t>5294A</t>
  </si>
  <si>
    <t xml:space="preserve"> AA Kibirigwi Kiangai-16KN0026,  APS 4876   ( 64 bags of 30 kg  Grainpro )</t>
  </si>
  <si>
    <t>5294B</t>
  </si>
  <si>
    <t xml:space="preserve"> AB Kibirigwi Kiangai-16KN0026,  APS 4877   ( 64 bags of 30 kg  Grainpro )</t>
  </si>
  <si>
    <t>5294C</t>
  </si>
  <si>
    <t>AA Rung'eto Kii-17KN0026,  APS 4879 ( 32 bags of 30 kg Grainpro )</t>
  </si>
  <si>
    <t>5247C</t>
  </si>
  <si>
    <t>Natural, APS 5960Packed in 60Kg Grainpro</t>
  </si>
  <si>
    <t>5260D</t>
  </si>
  <si>
    <t>AA Mutheka- Muthuaini 17KF0147, APS 5189, (18 Bags packed in 30Kg Grainpro)</t>
  </si>
  <si>
    <t>5260E</t>
  </si>
  <si>
    <t>Natural, APS 5960.  (390boxes packed in 30kg vacuum pack)</t>
  </si>
  <si>
    <t>5279B</t>
  </si>
  <si>
    <t>Endebess Natural.  (20bags Packed in 30kg Grainpro).</t>
  </si>
  <si>
    <t>5279C</t>
  </si>
  <si>
    <t>5269B</t>
  </si>
  <si>
    <t>AB Rungeto 13KN0010. APS 9 (20 Boxes Packed in 30Kg Vacuum Pack.)</t>
  </si>
  <si>
    <t>5269C</t>
  </si>
  <si>
    <t>AA Kiangoi 06KN0009, APS 25 (30 Boxes Packed in 30Kg Vacuum Pack.)</t>
  </si>
  <si>
    <t>5269D</t>
  </si>
  <si>
    <t>Endebess Natural, APS 4954. Packed in 60Kg Grainpro. 350g PSS Required.</t>
  </si>
  <si>
    <t>5287B</t>
  </si>
  <si>
    <t>Endebess Natural. Packed in 60kg GP APS 4954</t>
  </si>
  <si>
    <t>MSC Wind II</t>
  </si>
  <si>
    <t>MEDUM2764428</t>
  </si>
  <si>
    <t>5287A</t>
  </si>
  <si>
    <t>AA Nguvu, Packed in 60kg Grainpro Bags</t>
  </si>
  <si>
    <t>5287C</t>
  </si>
  <si>
    <t xml:space="preserve">AA Nguvu, Packed in 60kg Grainpro Bags </t>
  </si>
  <si>
    <t>5295D</t>
  </si>
  <si>
    <t>AA FAQ. Packed in Grainpro</t>
  </si>
  <si>
    <t>5295E</t>
  </si>
  <si>
    <t>AB FAQ. Packed in Grainpro.</t>
  </si>
  <si>
    <t xml:space="preserve">Bomu la matunda Endebess Natural. </t>
  </si>
  <si>
    <t>MEDUM2769773</t>
  </si>
  <si>
    <t>5297D</t>
  </si>
  <si>
    <t>AA Baragwi Thimu, APS 6051, Packed Vacuum</t>
  </si>
  <si>
    <t>5297E</t>
  </si>
  <si>
    <t>PB Kirinyaga, APS 6055, Packed in Grainpro</t>
  </si>
  <si>
    <t>5297F</t>
  </si>
  <si>
    <t>AA Jambo Jambo. NANS.( Packed in 60kg Grainpro).Jambo Jambo Logo on the bags.</t>
  </si>
  <si>
    <t>5332A</t>
  </si>
  <si>
    <t>AB NEW NGARIAMA KAMWANGI-44KN0019. APS 6063.PROMPT( 60 Bags packed in 30kg Vacuum Pack.)</t>
  </si>
  <si>
    <t>4086 065 734</t>
  </si>
  <si>
    <t>5332B</t>
  </si>
  <si>
    <t>AA RUNG'ETO KARIMIKUI-44IM0008. APS 6070.PROMPT(18 Bags packed in 30kg Vacuum Pack.)</t>
  </si>
  <si>
    <t>5332C</t>
  </si>
  <si>
    <t>AB RUNG'ETO KARIMIKUI-44IM0008.APS 6071.PROMPT( 60 Bags packed in 30kg Vacuum Pack.)</t>
  </si>
  <si>
    <t>5332D</t>
  </si>
  <si>
    <t>AA RUNG'ETO KII-14IM0015.APS 6074.PROMPT( 34 Bags packed in 30kg Vacuum Pack.)</t>
  </si>
  <si>
    <t>5332E</t>
  </si>
  <si>
    <t>AB RUNG'ETO KII-14IM0011. APS 6073. PROMPT (26 Bags packed in 30kg Vacuum Pack.)</t>
  </si>
  <si>
    <t>5332F</t>
  </si>
  <si>
    <t>AA INOI KINDIERI-44KN0035. APS 6076. PROMPT (24 Bags packed in 30kg Vacuum Pack.)</t>
  </si>
  <si>
    <t>5332G</t>
  </si>
  <si>
    <t>AA THIRIKWA GAKUYUINI-46IM0032.APS 6101. PROMPT (20 Bags packed in 30kg Vacuum Pack.)</t>
  </si>
  <si>
    <t>5332H</t>
  </si>
  <si>
    <t>PB THIRIKWA GAKUYUINI-46IM0032. APS 6103. PROMPT (12 Bags packed in 30kg Vacuum Pack.)</t>
  </si>
  <si>
    <t>5332I</t>
  </si>
  <si>
    <t>AB THIRIKWA GAKUYUINI-46IM0032. APS 6102. PROMPT(60 Bags packed in 30kg Vacuum Pack.)</t>
  </si>
  <si>
    <t>5359G</t>
  </si>
  <si>
    <t xml:space="preserve">AA Kibirigwi-04KN0023   , EUDR Aligned , As Per Sample 6183. (80 boxes of 30Kg  Vacuum Pack). THUNGURI EUDR-factory </t>
  </si>
  <si>
    <t>HLCUMB1251200625</t>
  </si>
  <si>
    <t>407 0446 564</t>
  </si>
  <si>
    <t>5359H</t>
  </si>
  <si>
    <t xml:space="preserve">AA Mwirua-05KN0002   , EUDR Aligned , As Per Sample 6184. (114 boxes of 30Kg  Vacuum Pack). MITONDO EUDR-factory </t>
  </si>
  <si>
    <t xml:space="preserve">AB MUGAGA Gatina-06iM0001     , EUDR Aligned , As Per Sample 6177. (42 boxes of 30Kg  Vacuum Pack). </t>
  </si>
  <si>
    <t>5359F</t>
  </si>
  <si>
    <t xml:space="preserve"> AB MWIRUA Getuya-05KN0006     , EUDR Aligned , As Per Sample 6182. (74 boxes of 30Kg  Vacuum Pack).</t>
  </si>
  <si>
    <t>5359A</t>
  </si>
  <si>
    <t>AB THIRIRIKA-05iM1004  , EUDR Aligned , As Per Sample 6155 . ( 74 boxes of 30Kg  Vacuum Pack). THIRIRIKA EUDR-factory.</t>
  </si>
  <si>
    <t>5359B</t>
  </si>
  <si>
    <t>AA Gathaithi-03iM0021   , EUDR Aligned , As Per Sample 6157. (36 boxes of 30Kg  Vacuum Pack). GATHAITHI EUDR-factory.</t>
  </si>
  <si>
    <t xml:space="preserve">AA Thirikwa Gakuyu-Ini-04iM0028    , EUDR Aligned , As Per Sample 6159. (36 boxes of 30Kg  Vacuum Pack). </t>
  </si>
  <si>
    <t>5359D</t>
  </si>
  <si>
    <t xml:space="preserve">AA Thiririka-05iM1004     , EUDR Aligned , As Per Sample 6161. (78 boxes of 30Kg  Vacuum Pack). THIRIRIKA EUDR-factory </t>
  </si>
  <si>
    <t>BRIC RUSSIA</t>
  </si>
  <si>
    <t>5385A</t>
  </si>
  <si>
    <t>AA Baragwi Kariru. 06KN0017.APS 6749. Packed in 60KG Grainpro.</t>
  </si>
  <si>
    <t>Awaiting vessel to sail etd 31.01.26</t>
  </si>
  <si>
    <t>5385B</t>
  </si>
  <si>
    <t>AA Baragwi Kagongo. 06KN0012.APS 6744. Packed in 60KG Grainpro.</t>
  </si>
  <si>
    <t>5385C</t>
  </si>
  <si>
    <t>AA Baragwi Kianjiru. 07SM0014.APS 6083. Packed in 60KG Grainpro.</t>
  </si>
  <si>
    <t>5385D</t>
  </si>
  <si>
    <t>AA Mwirua Mitondo. 07KN0020.APS 6799. Packed in 60KG Grainpro.</t>
  </si>
  <si>
    <t>5385F</t>
  </si>
  <si>
    <t>AA Iyego Gitura. 07KF0093.APS 6109. Packed in 60KG Grainpro.</t>
  </si>
  <si>
    <t>5385H</t>
  </si>
  <si>
    <t>AB Baragwi Kariru. 06KN0017.APS 6658. Packed in 60KG Grainpro.</t>
  </si>
  <si>
    <t>5385I</t>
  </si>
  <si>
    <t>AB Mugaga Kieni. 07im0002.APS 5960. Packed in 60KG Grainpro.</t>
  </si>
  <si>
    <t>5385J</t>
  </si>
  <si>
    <t>AB Kabare Konyu. 07im0028.APS 5976. Packed in 60KG Grainpro.</t>
  </si>
  <si>
    <t>5385K</t>
  </si>
  <si>
    <t>AB Kaganda Kaganda. 07im0044.APS 5988. Packed in 60KG Grainpro.</t>
  </si>
  <si>
    <t>5385E</t>
  </si>
  <si>
    <t>AA Kaganda Kaganda. 07im0044.APS 6114. Packed in 60KG Grainpro.</t>
  </si>
  <si>
    <t>5386C</t>
  </si>
  <si>
    <t>AB THIRIRIKA-07iM0004 , GITHEMBE factory. As per sample 6196.(32 Boxes packed in 30kg Vacuum pack)</t>
  </si>
  <si>
    <t>Awaiting vessel to sail etd 06.02.26</t>
  </si>
  <si>
    <t>5386D</t>
  </si>
  <si>
    <t>AB RUNGETO-08KN0018, KIANGOI factory. As per sample 6351.(88 Boxes packed in 30kg Vacuum pack)</t>
  </si>
  <si>
    <t>5386E</t>
  </si>
  <si>
    <t>AA THIRIKWA-07KN0016, GAKUYU-INI factory. As per sample 6361.(50 Boxes packed in 30kg Vacuum pack)</t>
  </si>
  <si>
    <t>5386F</t>
  </si>
  <si>
    <t>AB THIRIKWA-07KN0016, GAKUYU-INI factory. As per sample 6359.(40 Boxes packed in 30kg Vacuum pack)</t>
  </si>
  <si>
    <t>5386G</t>
  </si>
  <si>
    <t>PB THIRIKWA-07KN0016, GAKUYU-INI factory. As per sample 6358.(20 Boxes packed in 30kg Vacuum pack)</t>
  </si>
  <si>
    <t>5386H</t>
  </si>
  <si>
    <t>AB KAGANDA-07IM0044, KAGANDA factory. As per sample 6341.(44 Boxes packed in 30kg Vacuum pack)</t>
  </si>
  <si>
    <t>5386I</t>
  </si>
  <si>
    <t>AA THIRIRIKA-08IM0002, NDUNDU factory. As per sample 6350.(80 Boxes packed in 30kg Vacuum pack)</t>
  </si>
  <si>
    <t>5386J</t>
  </si>
  <si>
    <t>AA GIKANDA-05TY0006, NDAROINI factory. As per sample 6208.(12 Boxes packed in 30kg Vacuum pack)</t>
  </si>
  <si>
    <t>5385G</t>
  </si>
  <si>
    <t>AA New Ngariama Kamwangi. 08KN0031.APS 6700. Packed in 60KG Grainpro.</t>
  </si>
  <si>
    <t>Stuffing 20.01.26</t>
  </si>
  <si>
    <t>AA/AB Kamwenja FCA Riga (158 Packed in 30kg boxes)</t>
  </si>
  <si>
    <t>KENYA AA GATHACHA FCS- 07IM0006. APS 6267. (100 boxes packed in 30kg Vacuum pack)</t>
  </si>
  <si>
    <t>KENYA AB MUGAGA KIENI-06IM0004. APS 6264. (34 boxes packed in 30kg Vacuum pack)</t>
  </si>
  <si>
    <t>KENYA AA MUGAGA GATINA-06IM0001. APS 6269. (88 boxes packed in 30kg Vacuum pack)</t>
  </si>
  <si>
    <t>KENYA AB TEKANGU KAROGOTO-07IM0023. APS 6271. (48 boxes packed in 30kg Vacuum pack)</t>
  </si>
  <si>
    <t>KENYA AB INOIKAGUYU-06KN0039. APS 6273. (67 boxes packed in 30kg Vacuum pack)</t>
  </si>
  <si>
    <t>KENYA AA BARAGWI GUAMA-07SM0019. APS 6265. (198 boxes packed in 30kg Vacuum pack)</t>
  </si>
  <si>
    <t>KENYA AB BARAGWI  NYANJA-06KN0018. APS 6262. (70 boxes packed in 30kg Vacuum pack)</t>
  </si>
  <si>
    <t>XIN Huang Pu 613E</t>
  </si>
  <si>
    <t>KENYA AA BARAGWI KIANJIRU-07SM0014. APS 6272. (67 boxes packed in 30kg Vacuum pack)</t>
  </si>
  <si>
    <t>Pebble Coffee</t>
  </si>
  <si>
    <t>AA FAQ. (275 packed in  30Kg Grainpro). APS 6223</t>
  </si>
  <si>
    <t>Protostar 101E</t>
  </si>
  <si>
    <t>Stuffed. Working on docs</t>
  </si>
  <si>
    <t>AA FAQ. (175 packed in  30Kg Grainpro)APS 6224</t>
  </si>
  <si>
    <t>5417B</t>
  </si>
  <si>
    <t>AA Rungeto Kii-13IM0034.APS 34. Packed in 60KG Grainpro</t>
  </si>
  <si>
    <t>5417E</t>
  </si>
  <si>
    <t>AA Mutira Mugaya-07KN0014. APS 37. Packed in 60KG Grainpro.</t>
  </si>
  <si>
    <t>5417C</t>
  </si>
  <si>
    <t>5417D</t>
  </si>
  <si>
    <t>PB Rungeto Karimikui-13KN0036. APS 20. Packed in 60Kg Grainpro</t>
  </si>
  <si>
    <t>5415C</t>
  </si>
  <si>
    <t xml:space="preserve"> AB BARAGWI KIANJIRU-09SM0008 . APS  14. (40  Packed in 30Kg Vacuum pack )</t>
  </si>
  <si>
    <t>Awaiting vessel to sail etd 07.03.26</t>
  </si>
  <si>
    <t>5415D</t>
  </si>
  <si>
    <t xml:space="preserve">  AB MUTHEKA MUTHUAINI-09KF0078-13IM0032. APS 18. (40  Packed in 30Kg Vacuum pack )</t>
  </si>
  <si>
    <t>5415E</t>
  </si>
  <si>
    <t xml:space="preserve">  AB RUNGETI KII-13IM0034      . APS  20. (40  Packed in 30Kg Vacuum pack )</t>
  </si>
  <si>
    <t>5415F</t>
  </si>
  <si>
    <t xml:space="preserve"> AB RUNGETO KARIMIKUI-13IM0037. APS  21. (34  Packed in 30Kg Vacuum pack )</t>
  </si>
  <si>
    <t>5415A</t>
  </si>
  <si>
    <t xml:space="preserve"> AA RUNGETO KIANGOI-13IM0032. APS  32. (40Packed in 30Kg Vacuum pack )</t>
  </si>
  <si>
    <t>5415G</t>
  </si>
  <si>
    <t xml:space="preserve"> AA KAGANDA-09IM0011   . APS  25. ( 34 Packed in 30Kg Vacuum pack )</t>
  </si>
  <si>
    <t>5415H</t>
  </si>
  <si>
    <t xml:space="preserve">  AA GIKANDA NDAROINI-08TY0005 . APS  26. (40  Packed in 30Kg Vacuum pack )</t>
  </si>
  <si>
    <t>5415I</t>
  </si>
  <si>
    <t xml:space="preserve"> AA THIRIRIKA GITHEMBE-08IM0060. APS  27. (14  Packed in 30Kg Vacuum pack )</t>
  </si>
  <si>
    <t>5415J</t>
  </si>
  <si>
    <t xml:space="preserve">  AA MUGAGA KAGUMOINI-09IM0068  . APS  30. (40  Packed in 30Kg Vacuum pack )</t>
  </si>
  <si>
    <t>5415K</t>
  </si>
  <si>
    <t xml:space="preserve"> AA BARAGWI KIANJIRU-06KN0016  . APS  31. ( 30 Packed in 30Kg Vacuum pack )</t>
  </si>
  <si>
    <t>5415B</t>
  </si>
  <si>
    <t xml:space="preserve"> PB IYEGO GATUBU-09KF0027 . APS  12. ( 22 Packed in 30Kg Vacuum pack )</t>
  </si>
  <si>
    <t>5415L</t>
  </si>
  <si>
    <t xml:space="preserve"> MARA NATURAL -05MM0007. APS. ( 40 Packed in 30Kg Vacuum pack )</t>
  </si>
  <si>
    <t>5415M</t>
  </si>
  <si>
    <t xml:space="preserve"> MARA NATURAL -05MM0007. APS . (Packed in Grainpro)</t>
  </si>
  <si>
    <t>5386K</t>
  </si>
  <si>
    <t xml:space="preserve"> AA TEKENGU TEGU-09IM0024  (60 Packed in 30Kg Vacuum Pack.) </t>
  </si>
  <si>
    <t>5386L</t>
  </si>
  <si>
    <t xml:space="preserve"> AA KAGANDA-07IM0044   (58 Packed in 30Kg Vacuum Pack.) </t>
  </si>
  <si>
    <t>5386M</t>
  </si>
  <si>
    <t xml:space="preserve"> AA KOMOTHAI KANAKE-09KM0015  (16 Packed in 30Kg Vacuum Pack.)   </t>
  </si>
  <si>
    <t>5416A</t>
  </si>
  <si>
    <t>AB KIBUGU GICHERORI. APS 2. (50 Packed in 30Kg Vacuum pack)*FOR WELDER CATHERINE.</t>
  </si>
  <si>
    <t>DFS Ranna</t>
  </si>
  <si>
    <t>Awaiting vessel to sail etd 17.03.26</t>
  </si>
  <si>
    <t>5416B</t>
  </si>
  <si>
    <t>AB INOI KAGUYU.APS 4. (50 Packed in 30Kg Vacuum pack) *FOR WELDER CATHERINE.</t>
  </si>
  <si>
    <t>5416C</t>
  </si>
  <si>
    <t>AB KABARE KARANI.APS 5. (50 Packed in 30Kg Vacuum pack) *FOR WELDER CATHERINE.</t>
  </si>
  <si>
    <t>5416D</t>
  </si>
  <si>
    <t>AB INOI KAGUYU.APS 6. (50 Packed in 30Kg Vacuum pack) *FOR WELDER CATHERINE.</t>
  </si>
  <si>
    <t>5416E</t>
  </si>
  <si>
    <t>AA BARAGWI KIANJIRU.APS 11. (50 Packed in 30Kg Vacuum pack) *FOR WELDER CATHERINE.</t>
  </si>
  <si>
    <t>5416F</t>
  </si>
  <si>
    <t>AA KABARE KIANGOMBE.APS 12. (50 Packed in 30Kg Vacuum pack) *FOR WELDER CATHERINE.</t>
  </si>
  <si>
    <t>5416G</t>
  </si>
  <si>
    <t>AA CENTRAL NGANDORI MWIRIA.APS 14. (50 Packed in 30Kg Vacuum pack) *FOR WELDER CATHERINE.</t>
  </si>
  <si>
    <t>5416H</t>
  </si>
  <si>
    <t>AA BARICHU GATOMBOYA.APS 15. ( 50 Packed in 30Kg Vacuum pack) *FOR WELDER CATHERINE.</t>
  </si>
  <si>
    <t>5414A</t>
  </si>
  <si>
    <t>AA THIRIKWA GAKUYUINI.APS 17. (Packed in Grainpro) *FOR WELDER CATHERINE.</t>
  </si>
  <si>
    <t>Awaiting Vessel to sail etd 07.03.26</t>
  </si>
  <si>
    <t>5416I</t>
  </si>
  <si>
    <t>AA KABARE KARANI.APS 19. (50 Packed in 30Kg Vacuum pack) *FOR WELDER CATHERINE.</t>
  </si>
  <si>
    <t>5414B</t>
  </si>
  <si>
    <t>KABARE PB BLEND.APS 21. (Packed in Grainpro) *FOR WELDER CATHERINE.</t>
  </si>
  <si>
    <t>5415N</t>
  </si>
  <si>
    <t>AA MUGAGA KAGUMOINI-09IM0068. APS 30. Packed in 60Kg Grainpro.</t>
  </si>
  <si>
    <t>5414E</t>
  </si>
  <si>
    <t>AB KABARE KARANI..APS  5. (Packed in Grainpro) *FOR WELDER CATHERINE.</t>
  </si>
  <si>
    <t>5415O</t>
  </si>
  <si>
    <t>AB RUNGETO KARIMIKUI-13IM0037. APS 21. (16 Packed in 30kg Vacuum Pack)</t>
  </si>
  <si>
    <t>5415P</t>
  </si>
  <si>
    <t>AB RUNGETI KII-13IM0034. APS 20. Packed in 60Kg Grainpro.</t>
  </si>
  <si>
    <t>5416J</t>
  </si>
  <si>
    <t>BARAGWI PB BLEND.APS 22. (50 Packed in 30Kg Vacuum pack) *FOR WELDER CATHERINE.</t>
  </si>
  <si>
    <t>5414C</t>
  </si>
  <si>
    <t>INOI PB BLEND.APS 23. (Packed in Grainpro) *FOR WELDER CATHERINE.</t>
  </si>
  <si>
    <t>5414D</t>
  </si>
  <si>
    <t>C STARLIGHT.APS 24. (Packed in Grainpro) *FOR WELDER CATHERINE.</t>
  </si>
  <si>
    <t>5413A</t>
  </si>
  <si>
    <t>PB BARAGWI BLEND. Packed in 60KG Grainpro.</t>
  </si>
  <si>
    <t>Awaiting vessel to sail etd 06.03.26</t>
  </si>
  <si>
    <t>5412E</t>
  </si>
  <si>
    <t>RUNG'ETO KIANGOI-13KN0056 (40 Packed in 30Kg Vacuum pack)</t>
  </si>
  <si>
    <t>5413B</t>
  </si>
  <si>
    <t>AA INOI NDIMI-12KN0034. (100 Packed 30Kg vacuum pack)</t>
  </si>
  <si>
    <t>5412A</t>
  </si>
  <si>
    <t xml:space="preserve"> AA BARAGWI KARUMANDI-11SM0023. (80 Packed in 30Kg Vacuum pack)</t>
  </si>
  <si>
    <t>5412C</t>
  </si>
  <si>
    <t>AA INOI KIANDIERI-10KN0043 (80 Packed in 30Kg Vacuum pack)</t>
  </si>
  <si>
    <t>5412D</t>
  </si>
  <si>
    <t>AA INOI KERUGOYA -12KN0026(80 Packed in 30Kg Vacuum pack)</t>
  </si>
  <si>
    <t>5412F</t>
  </si>
  <si>
    <t>AA INOI KAGUYU-15KN0035 (50 Packed in 30Kg Vacuum pack)</t>
  </si>
  <si>
    <t>5413C</t>
  </si>
  <si>
    <t>AB INOI KERUGOYA-12KN0026. (60 Packed in 30Kg Vacuum pack)</t>
  </si>
  <si>
    <t>5412B</t>
  </si>
  <si>
    <t>AB INOI KIANDIERI -10KN0043(80 Packed in 30Kg Vacuum pack)</t>
  </si>
  <si>
    <t>5412G</t>
  </si>
  <si>
    <t>AB BARAGWI KARIRU-10KN0020 (50 Packed in 30Kg Vacuum pack)</t>
  </si>
  <si>
    <t>5427A</t>
  </si>
  <si>
    <t>INOI C BLEND . APS . ( Packed in Grainpro )</t>
  </si>
  <si>
    <t>GFS Ranna</t>
  </si>
  <si>
    <t>Awaiting vessel to sail etd 19.03.26</t>
  </si>
  <si>
    <t>5427B</t>
  </si>
  <si>
    <t>09I</t>
  </si>
  <si>
    <t>5427F</t>
  </si>
  <si>
    <t>AA KAGANDA-09IM0011. APS 25. Packed in 60Kg Grainpro.</t>
  </si>
  <si>
    <t>5427C</t>
  </si>
  <si>
    <t>AB MUTHEKA MUTHUAINI-09KF0078. APS 18. Packed in 60Kg Grainpro.</t>
  </si>
  <si>
    <t>5427D</t>
  </si>
  <si>
    <t>AB RUNGETO KIANGOI-13IM0032. APS 19. Packed in 60Kg Grainpro.</t>
  </si>
  <si>
    <t>5427E</t>
  </si>
  <si>
    <t>AB RUNGETO KARIMIKUI-13IM0037. APS 21. Packed in 60Kg Grainpro.</t>
  </si>
  <si>
    <t>5427G</t>
  </si>
  <si>
    <t>AA RUNG'ETO KARIMIKUI-13IM0037. APS 16.(Packed in Grainpro) *FOR OBSCURA</t>
  </si>
  <si>
    <t>5413D</t>
  </si>
  <si>
    <t>AB BARICHU KARINDUNDU-10IM0053.  APS 56. (55 Packed in 30kg Vacuum pack)</t>
  </si>
  <si>
    <t>Awaiting Vessel to sail etd 05.03.26</t>
  </si>
  <si>
    <t>5413E</t>
  </si>
  <si>
    <t>AA MUGAGA KAGUMOINI-09IM0068. APS 73. (40 packed in  30Kg Vacuum pack)</t>
  </si>
  <si>
    <t>5412H</t>
  </si>
  <si>
    <t>AA RUNG'ETO KII-12KN0040. APS 37. (40 Boxes of 30Kg Vacuum Pack)</t>
  </si>
  <si>
    <t>5447E</t>
  </si>
  <si>
    <t xml:space="preserve"> AA THIRIKWA GAKUYU-INI-14KN0014 . (Packed in Grainpro)</t>
  </si>
  <si>
    <t>5447G</t>
  </si>
  <si>
    <t>AA RUNG'ETO KII-12KN0040(Packed in Grainpro)</t>
  </si>
  <si>
    <t>5447H</t>
  </si>
  <si>
    <t xml:space="preserve"> AA INOI FCS THAITA-13KN0021  (Packed in Grainpro)</t>
  </si>
  <si>
    <t>5447F</t>
  </si>
  <si>
    <t>AB INOI NDIMI-12KN0034 (Packed in Grainpro)</t>
  </si>
  <si>
    <t>5447N</t>
  </si>
  <si>
    <t xml:space="preserve">  AA INOI FCS THAITA-13KN0021 (32 Packed in 30Kg Vacuum Pack.)</t>
  </si>
  <si>
    <t>5447O</t>
  </si>
  <si>
    <t xml:space="preserve">  AA RUNG'ETO KII-12KN0040  (4 Packed in 30Kg Vacuum Pack.) </t>
  </si>
  <si>
    <t>5447I</t>
  </si>
  <si>
    <t xml:space="preserve"> AB GITITU KAIMBU-07KM0026 (Packed in Grainpro)</t>
  </si>
  <si>
    <t>5447J</t>
  </si>
  <si>
    <t xml:space="preserve">  AB KOMOTHAI RIAKAHARA-08KM0020   (Packed in Grainpro)</t>
  </si>
  <si>
    <t>5447K</t>
  </si>
  <si>
    <t xml:space="preserve">  AB RWAMA KIMATU-12iM0045 (Packed in Grainpro)</t>
  </si>
  <si>
    <t>5447L</t>
  </si>
  <si>
    <t xml:space="preserve">  AA BARAGWI MUCHAGARA-10KN0018 (Packed in Grainpro)   </t>
  </si>
  <si>
    <t>5447M</t>
  </si>
  <si>
    <t xml:space="preserve">  AA BARAGWI NYANJA-11SM0028 (Packed in Grainpro)</t>
  </si>
  <si>
    <t>5418B</t>
  </si>
  <si>
    <t>KENYA AA THIRIKU THIRIKU-06IM1007. APS 6234. Packed in 60KG Grainpro</t>
  </si>
  <si>
    <t>GFS RANNA 0062N</t>
  </si>
  <si>
    <t>MEDUM2862271</t>
  </si>
  <si>
    <t>Stuffed . Working on Docs</t>
  </si>
  <si>
    <t>5418E</t>
  </si>
  <si>
    <t>KENYA AA NGIRIAMBU KEGWA-08KN0004. APS 6245. Packed in 60KG Grainpro</t>
  </si>
  <si>
    <t>5418A</t>
  </si>
  <si>
    <t>KENYA AB THIRIKU THIRIKU-06IM1007. APS 6233. Packed in 60KG Grainpro</t>
  </si>
  <si>
    <t>5418C</t>
  </si>
  <si>
    <t>KENYA AB MUTIRA MUTITU-06KN0021. APS 6240. Packed in 60KG Grainpro</t>
  </si>
  <si>
    <t>5418G</t>
  </si>
  <si>
    <t>KENYA AA KIAMA GACHUIRO-09IM0101.APS 6386. Packed in 60 Kg Grainpro.</t>
  </si>
  <si>
    <t>5418H</t>
  </si>
  <si>
    <t>KENYA AA BARICHU GATOMBOYA-08IM0073.APS 6387. Packed in 60 Kg Grainpro.</t>
  </si>
  <si>
    <t>5418I</t>
  </si>
  <si>
    <t>KENYA AA KOMOTHAI RIAKAHARA-08KM0020. APS 6388. Packed in 60 Kg Grainpro.</t>
  </si>
  <si>
    <t>5418J</t>
  </si>
  <si>
    <t>KENYA AA GIKANDA NDAROINI-08TY0005. APS 6389. Packed in 60 Kg Grainpro.</t>
  </si>
  <si>
    <t>5418K</t>
  </si>
  <si>
    <t>KENYA AA GAKUNDU GAKUI-09SM0035. APS 6378. Packed in 60 Kg Grainpro.</t>
  </si>
  <si>
    <t>5418L</t>
  </si>
  <si>
    <t>KENYA AA INOI NDIMI-10KN0044.APS 6419. (20 Packed in 30Kg Vacuum) * FOR COFFEEMAX GREEN</t>
  </si>
  <si>
    <t>5418M</t>
  </si>
  <si>
    <t>KENYA AA INOI KAGUYU-10KN0045.APS 6421. (10 Packed in 30Kg Vacuum) * FOR COFFEEMAX GREEN</t>
  </si>
  <si>
    <t>5418N</t>
  </si>
  <si>
    <t>KENYA AB INOI KAGUYU-10KN0045.APS 6422. (20 Packed in 30Kg Vacuum) * FOR COFFEEMAX GREEN</t>
  </si>
  <si>
    <t>5458A</t>
  </si>
  <si>
    <t>KENYA AB RUNG'ETO KII/XAD14F01-15IM0144. APS 6579. (Packed in Grainpro)</t>
  </si>
  <si>
    <t>MEDUM2870423</t>
  </si>
  <si>
    <t>Awaiting Vessel to sail etd 11.04.26</t>
  </si>
  <si>
    <t>5457B</t>
  </si>
  <si>
    <t>KENYA AB RUNG'ETO KARIMIKUI/XAD14F02-13IM0037. APS 6583. 80 packed in 30KG Vacuum pack)</t>
  </si>
  <si>
    <t>5457C</t>
  </si>
  <si>
    <t>KENYA AB RUNG'ETO KII/XAD14F01-13IM0034. APS 6584. (Packed in Grainpro.)</t>
  </si>
  <si>
    <t>5457D</t>
  </si>
  <si>
    <t>KENYA AA RUNG'ETO KIANGOI/XAD14F03-13IM0032. APS 6586.( Packed in 60Kg Grainpro.)</t>
  </si>
  <si>
    <t>5457E</t>
  </si>
  <si>
    <t>KENYA AB RUNG'ETO KARIMIKUI. Aps 6567. (118 Packed in 30Kg Boxes).  *FOR COFFEE CIRCLE</t>
  </si>
  <si>
    <t>5418D</t>
  </si>
  <si>
    <t>KENYA AB BARAGWI GUAMA-06KN0019. APS 6241. Packed in 60KG Grainpro</t>
  </si>
  <si>
    <t>5418F</t>
  </si>
  <si>
    <t>KENYA AB BARAGWI KAGONGO-09SM0015. APS 6380. Packed in 60 Kg Grainpro.</t>
  </si>
  <si>
    <t>5418O</t>
  </si>
  <si>
    <t>KENYA AB BARAGWI MUSHAGARA-11SM0029.APS 6430. (10 Packed in 30Kg Vacuum) * FOR COFFEEMAX GREEN</t>
  </si>
  <si>
    <t>5446D</t>
  </si>
  <si>
    <t>AA Thiririka Githembe 08IM0060 in (14 packed in 30kg Vacuum Pack Boxes). APS 6455</t>
  </si>
  <si>
    <t>MSC VidhiOM614R</t>
  </si>
  <si>
    <t>5446G</t>
  </si>
  <si>
    <t>AA GACHATHA-07IM0006.Sample ref 6452.Packed in 60Kg Grainpro.</t>
  </si>
  <si>
    <t>5446E</t>
  </si>
  <si>
    <t>AB THIRIKWA GAKUYUINI-07KN0016.Sample ref 6453. Packed in 60Kg Grainpro.</t>
  </si>
  <si>
    <t>5446F</t>
  </si>
  <si>
    <t>AB RUNG'ETO KARIMIKUI-13IM0033.Sample ref 6446.Packed in 60Kg Grainpro.</t>
  </si>
  <si>
    <t>5446I</t>
  </si>
  <si>
    <t>KENYA    AA RUNG'ETO KARIMIKUI-13IM0033 . APS 6447. Packed in 60Kg Grainpro.</t>
  </si>
  <si>
    <t>5446J</t>
  </si>
  <si>
    <t>KENYA AA THIRIRIKA GITHEMBE-11IM0074. APS 6456. Packed in Grainpro.</t>
  </si>
  <si>
    <t>5446K</t>
  </si>
  <si>
    <t>AA MUGAGA KAGUMOINI-09IM006874. APS 18. Packed in Grainpro. *FOR ORIGIN COFFEE.</t>
  </si>
  <si>
    <t xml:space="preserve"> C INOI  BLEND. APS 15.Packed in Grainpro. *FOR ORIGIN COFFEE.</t>
  </si>
  <si>
    <t>5446H</t>
  </si>
  <si>
    <t>AA BARAGWI KARIRU-09SM0024 Sample ref 6450. Packed in 60Kg Grainpro.</t>
  </si>
  <si>
    <t>AA RUTHAKA KAMUCHUNI-10SM0030 (40 Packed in 30Kg Vacuum pack)</t>
  </si>
  <si>
    <t>AB GIKIRIMA-10IM0098. (100 Packed in 30Kg Vacuum pack)</t>
  </si>
  <si>
    <t>AB BARAGWI MUCHAGARA-09SM0020. (100 Packed in 30Kg vacuum pack)</t>
  </si>
  <si>
    <t>AA RUNG'ETO KIANGOI-13IM0032. APS 6586. (74 Boxees of 30Kg Vacuum Pack.</t>
  </si>
  <si>
    <t>AB BARAGWI KAGONGO-13SM0030. APS 6581.(60 Boxees of 30Kg Vacuum Pack).</t>
  </si>
  <si>
    <t>KENYA AB WINDRUSH-08GT0002. APS 6433. (50 Packed in 30Kg Grainpro). PROMPT</t>
  </si>
  <si>
    <t>KENYA AB WINDRUSH-09GT0001. APS 6435. (50 Packed in 30Kg Grainpro). PROMPT</t>
  </si>
  <si>
    <t>KENYA AA BARICHU GATURIRI-10IM0052. APS 6468. Packed in Grainpro.</t>
  </si>
  <si>
    <t>Bero Polska</t>
  </si>
  <si>
    <t>5456B</t>
  </si>
  <si>
    <t>KENYA AA BARAGWI  KARUMANDI-09SM0018. APS 6496( 60 Packed in 30KG Vacuum pack)</t>
  </si>
  <si>
    <t>5456C</t>
  </si>
  <si>
    <t>KENYA AB BARAGWI  KARUMANDI-09SM0018. APS 6497(Packed in 60KG Grainpro)</t>
  </si>
  <si>
    <t>5456I</t>
  </si>
  <si>
    <t>KENYA AA BARAGWI MUSHAGARA-11SM0029. APS 6429(50 Packed in 30KG Vacuum pack)</t>
  </si>
  <si>
    <t>5456A</t>
  </si>
  <si>
    <t>KENYA AB KANGIRI  GATUMBI-09SM0050. APS 6493. (Packed in 60KG Grainpro)</t>
  </si>
  <si>
    <t>5456D</t>
  </si>
  <si>
    <t>KENYA AA IYEGO GATUBU-11KF0036. APS 6499(Packed in 60KG Grainpro)</t>
  </si>
  <si>
    <t>5456E</t>
  </si>
  <si>
    <t>KENYA AB INOI FCS NDIMI-10KN0044. APS 6501( 70 Packed in 30KG Vacuum pack)</t>
  </si>
  <si>
    <t>5456F</t>
  </si>
  <si>
    <t>KENYA AA INOI FCS NDIMI-10KN0044. APS 6503(Packed in 60KG Grainpro)</t>
  </si>
  <si>
    <t>5456G</t>
  </si>
  <si>
    <t>KENYA AA INOI KAGUYU-10KN0045. APS 6421(Packed in 60KG Grainpro)</t>
  </si>
  <si>
    <t>5456H</t>
  </si>
  <si>
    <t>KENYA AA INOI THAITA-10KN0055. APS 6423( 78 Packed in 30KG Vacuum pack)</t>
  </si>
  <si>
    <t>AA FAQ. Packed in  60kg Grainpro.</t>
  </si>
  <si>
    <t>AA Plus. Packed in  60kg Grainpro.</t>
  </si>
  <si>
    <t>AA Top Kabare Kiang'ombe. Packed in  60kg Grainpro.</t>
  </si>
  <si>
    <t>PB Top Iyego Gatubu. Packed in  60kg Grainpro.</t>
  </si>
  <si>
    <t>5435B</t>
  </si>
  <si>
    <t>KENYA AA TOP KANGIRI NEW IRATI. APS 6401. (Packed in Grainpro)</t>
  </si>
  <si>
    <t>5435C</t>
  </si>
  <si>
    <t>KENYA AA TOP KABARE KIANG'OMBE. APS 6402. (Packed in Grainpro)</t>
  </si>
  <si>
    <t>5435D</t>
  </si>
  <si>
    <t>KENYA PB TOP IYEGO GATUBU. APS 6405. (Packed in Grainpro)</t>
  </si>
  <si>
    <t>5427H</t>
  </si>
  <si>
    <t>AB BARAGWI NYANJA 11SM0028 APS.Packed in 60Kg Grainpro</t>
  </si>
  <si>
    <t>5427L</t>
  </si>
  <si>
    <t>PB IYEGO MARIMIRA  14KF0047 APS.Packed in 60Kg Grainpro</t>
  </si>
  <si>
    <t>5427I</t>
  </si>
  <si>
    <t>PB KARITHATHI KIUNYU 16KN0076 APS.Packed in 60Kg Grainpro</t>
  </si>
  <si>
    <t>5427J</t>
  </si>
  <si>
    <t>PB KARITHATHI KABINGARA 16KN0078 APS.Packed in 60Kg Grainpro</t>
  </si>
  <si>
    <t>5427K</t>
  </si>
  <si>
    <t>AA MUTHEKA KIANDU 16IM0009 APS.Packed in 60Kg Grainpro</t>
  </si>
  <si>
    <t>5427M</t>
  </si>
  <si>
    <t>AA RUNGETO KII 15IM0152. APS.Packed in 60Kg Grainpro</t>
  </si>
  <si>
    <t>5448D</t>
  </si>
  <si>
    <t>KENYA AB BARAGWI MUCHAGARA/XAD03F01-09SM0020. APS 6605. Packed in Grainpro.</t>
  </si>
  <si>
    <t>5448A</t>
  </si>
  <si>
    <t>KENYA AA GIKANDA NDAROINI/XAC09F02-08TY0005. APS 6600. Packed in Grainpro.</t>
  </si>
  <si>
    <t>5448B</t>
  </si>
  <si>
    <t>KENYA PB GIKANDA NDAROINI/XAC09F02-08TY0010. APS 6602. Packed in Grainpro.</t>
  </si>
  <si>
    <t>5448C</t>
  </si>
  <si>
    <t>KENYA AA KOMOTHAI GATHIRUINI/XAA03F02-06KM0029. APS 6603. Packed in Grainpro.</t>
  </si>
  <si>
    <t>5448E</t>
  </si>
  <si>
    <t>KENYA AA THIRIKWA GAKUYU-INI/XAD16F01-07KN0016. APS 6606. Packed in Grainpro.</t>
  </si>
  <si>
    <t>5448F</t>
  </si>
  <si>
    <t>KENYA AB THIRIKWA GAKUYU-INI/XAD16F01-07KN0016. APS 6607. Packed in Grainpro.</t>
  </si>
  <si>
    <t>5448G</t>
  </si>
  <si>
    <t>KENYA AA INOI FCS KIANDIERI-12KN0027. APS 6608. Packed in Grainpro.</t>
  </si>
  <si>
    <t>5448H</t>
  </si>
  <si>
    <t>KENYA AB INOI FCSKIANDIERI-12KN0027. APS 6609. Packed in Grainpro</t>
  </si>
  <si>
    <t>5447A</t>
  </si>
  <si>
    <t xml:space="preserve">  AA Gakuyu-Ini-04iM0028,  As Per Sample 6167  (32 bags packed in 30kg vacuum pack)</t>
  </si>
  <si>
    <t>5447B</t>
  </si>
  <si>
    <t xml:space="preserve"> AA Gathaithi-03iM0021,As Per Sample 6165  (32bags packed in  30kg vacuum pack)</t>
  </si>
  <si>
    <t>5447C</t>
  </si>
  <si>
    <t>5457A</t>
  </si>
  <si>
    <t>AB Bilashaka. Packed in  60kg Grainpro.</t>
  </si>
  <si>
    <t>Awaiting sample Dispatch</t>
  </si>
  <si>
    <t>5458B</t>
  </si>
  <si>
    <t>PB KATHAKWA-12IM0070 APS 6830.Packed in 60kg Grainpro</t>
  </si>
  <si>
    <t>Awaiting vessel to sail etd 11.04.26</t>
  </si>
  <si>
    <t>5457F</t>
  </si>
  <si>
    <t>PB GAKUNDU-09SM0033 APS 6725. Packed in 60kg Grainpro</t>
  </si>
  <si>
    <t>5457G</t>
  </si>
  <si>
    <t>Endebess Natural APS 6726.(20 Boxes of 30Kg Vacuum Pack).</t>
  </si>
  <si>
    <t>5458C</t>
  </si>
  <si>
    <t>PB MARIMIRA-14KF0047,APS 6723.Packed in 60Kg Grainpro.</t>
  </si>
  <si>
    <t>5458D</t>
  </si>
  <si>
    <t>PB KATHIMA-16EC0003, APS 6724.Packed in 60Kg Grainpro</t>
  </si>
  <si>
    <t>5457H</t>
  </si>
  <si>
    <t>AB MUTHEKA MUTHUAINI-09KF0078 .(7 packed in 30kG Grainpro.)</t>
  </si>
  <si>
    <t>Awaiting sample dispatch</t>
  </si>
  <si>
    <t>5449B</t>
  </si>
  <si>
    <t>KENYA AA KAGANDA KAGANDA-09IM0011. APS 6510. Packed in Grainpro. *FOR IAC SAN DIEGO</t>
  </si>
  <si>
    <t>5450E</t>
  </si>
  <si>
    <t>Kenya AA Nguvu. Packed in Grainpro. *FOR IAC NEW JERSEY.</t>
  </si>
  <si>
    <t>5449F</t>
  </si>
  <si>
    <t>Kenya AA Nguvu. Packed in Grainpro. *FOR IAC SAN DIEGO</t>
  </si>
  <si>
    <t>5449A</t>
  </si>
  <si>
    <t>KENYA AA TEKANGUTEGU-09IM0024. APS 6506. Packed in Grainpro. *FOR IAC NEW JERSEY.</t>
  </si>
  <si>
    <t>5450F</t>
  </si>
  <si>
    <t>KENYA AA TEKANGUTEGU-09IM0024. APS 6506. Packed in Grainpro. *FOR IAC SAN DIEGO</t>
  </si>
  <si>
    <t>5450B</t>
  </si>
  <si>
    <t>KENYA AB BARAGWI KAGONGO-09SM0015. APS 6509. Packed in Grainpro. *FOR IAC NEW JERSEY.</t>
  </si>
  <si>
    <t>NBI0122143</t>
  </si>
  <si>
    <t>5449D</t>
  </si>
  <si>
    <t>KENYA AB BARAGWI KAGONGO-09SM0015. APS 6509. Packed in Grainpro. *FOR IAC SAN DIEGO</t>
  </si>
  <si>
    <t>5450A</t>
  </si>
  <si>
    <t>KENYA AB BARAGWI KARUMANDI-09SM0018. APS 6508. Packed in Grainpro. *FOR IAC NEW JERSEY.</t>
  </si>
  <si>
    <t>5449C</t>
  </si>
  <si>
    <t>KENYA AB  THIRIRIKA KIGANJO-08IM0004. APS 6513. Packed in Grainpro. *FOR IAC SAN DIEGO</t>
  </si>
  <si>
    <t>5450C</t>
  </si>
  <si>
    <t>KENYA AB  THIRIRIKA KIGANJO-08IM0004. APS 6513. Packed in Grainpro.*FOR IAC NEW JERSEY.</t>
  </si>
  <si>
    <t>5450D</t>
  </si>
  <si>
    <t>Kenya PB Ndogo. Packed in Grainpro. *FOR IAC NEW JERSEY.</t>
  </si>
  <si>
    <t>5449E</t>
  </si>
  <si>
    <t>Kenya PB Ndogo. Packed in Grainpro. *FOR IAC SAN DIEGO</t>
  </si>
  <si>
    <t>5455A</t>
  </si>
  <si>
    <t>AB  MURUE. APS 6413. (240 packed in 30Kg Vacuum pack)</t>
  </si>
  <si>
    <t>5454A</t>
  </si>
  <si>
    <t>AB TOP MURUE BLEND. (60 packed in 30Kg Vacuum pack) *3Kg PSS needed</t>
  </si>
  <si>
    <t>5454C</t>
  </si>
  <si>
    <t>AB INOI KAGUYU-12KN0028. APS 39. (54 PACKED IN 30Kg Grainpro)</t>
  </si>
  <si>
    <t>5454D</t>
  </si>
  <si>
    <t>AB INOI KARIA-	12KN0031. APS 10. (52 PACKED IN 30Kg Grainpro)</t>
  </si>
  <si>
    <t>5454E</t>
  </si>
  <si>
    <t>AB MURUE KAVUTIRI-09EC0004. APS 65. (60 PACKED IN 30Kg Grainpro)</t>
  </si>
  <si>
    <t>5454B</t>
  </si>
  <si>
    <t>AB BARAGWI GACHAMI. 10KN0026. APS 23. (80 PACKED IN 30Kg Grainpro)</t>
  </si>
  <si>
    <t>5454F</t>
  </si>
  <si>
    <t>KENYA AA BARAGWI FCS THIMU-14SM0015. APS 6795. (22 packed in 30Kg Vacum pack)</t>
  </si>
  <si>
    <t>5454G</t>
  </si>
  <si>
    <t>KENYA AA MUTHEKA KIANDU 16iM0009. APS 6806. (50 packed in 30Kg Vacuum pack)</t>
  </si>
  <si>
    <t xml:space="preserve"> PB KIBUGU KATHAKWA-12IM0070. APS 8. Packed in Grainpro.</t>
  </si>
  <si>
    <t>5452B</t>
  </si>
  <si>
    <t>5454H</t>
  </si>
  <si>
    <t>KENYA AB KIBUGU GIKIRIMA-15IM0165, APS 6802. (60 packed in 30Kg Vacuum pack)</t>
  </si>
  <si>
    <t>KENYA AA RUTHAKA NDUMA-10SM0028. APS 6464. Packed in Grainpro.</t>
  </si>
  <si>
    <t>KENYA AA TEKANGU TEGU-09IM0024. APS 6460. Packed in Grainpro.</t>
  </si>
  <si>
    <t>KENYA AB BARAGWI KARUMANDI-09SM0018. APS 6539. (94 Packed in 30Kg Vacuum pack)</t>
  </si>
  <si>
    <t>KENYA AB THIRIRIKA NDUNDU-08IM0058. APS 6538 (94 Packed in 30Kg Vacuum pack)</t>
  </si>
  <si>
    <t>KENYA PB RUNGETO BLEND. APS 6542. (167 Packed in 30Kg Vacuum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</si>
</sst>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%"/>
    <numFmt numFmtId="166" formatCode="dd\-mmm\-yyyy"/>
    <numFmt numFmtId="167" formatCode="\$#,##0;&quot;($&quot;#,##0\);\-"/>
  </numFmts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1F4E78"/>
      <name val="Arial"/>
      <charset val="1"/>
    </font>
    <font>
      <i/>
      <sz val="9"/>
      <color rgb="FFA6A6A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164" fontId="4" fillId="4" borderId="1" xfId="0" applyNumberFormat="1" applyFont="1" applyFill="1" applyBorder="1"/>
    <xf numFmtId="0" fontId="5" fillId="0" borderId="1" xfId="0" applyFont="1" applyBorder="1" applyAlignment="1">
      <alignment horizontal="center"/>
    </xf>
    <xf numFmtId="164" fontId="3" fillId="0" borderId="1" xfId="0" applyNumberFormat="1" applyFont="1" applyBorder="1"/>
    <xf numFmtId="165" fontId="4" fillId="4" borderId="1" xfId="0" applyNumberFormat="1" applyFont="1" applyFill="1" applyBorder="1"/>
    <xf numFmtId="165" fontId="3" fillId="0" borderId="1" xfId="0" applyNumberFormat="1" applyFont="1" applyBorder="1"/>
    <xf numFmtId="0" fontId="3" fillId="0" borderId="0" xfId="0" applyFont="1"/>
    <xf numFmtId="166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  <xf numFmtId="0" fontId="3" fillId="0" borderId="0" xfId="0" applyFont="1" applyAlignment="1">
      <alignment wrapText="1"/>
    </xf>
    <xf numFmtId="4" fontId="3" fillId="0" borderId="1" xfId="0" applyNumberFormat="1" applyFont="1" applyBorder="1"/>
    <xf numFmtId="0" fontId="2" fillId="3" borderId="1" xfId="0" applyFont="1" applyFill="1" applyBorder="1" applyAlignment="1">
      <alignment horizontal="center" vertical="center"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zoomScaleNormal="100" workbookViewId="0">
      <selection activeCell="A18" sqref="A18"/>
    </sheetView>
  </sheetViews>
  <sheetFormatPr defaultColWidth="8.7109375" defaultRowHeight="15" x14ac:dyDescent="0.25"/>
  <cols>
    <col min="1" max="1" width="30" customWidth="1"/>
    <col min="2" max="4" width="18" customWidth="1"/>
    <col min="5" max="5" width="12" customWidth="1"/>
  </cols>
  <sheetData>
    <row r="1" spans="1:5" x14ac:dyDescent="0.25">
      <c r="B1" s="2" t="s">
        <v>0</v>
      </c>
      <c r="C1" s="2" t="s">
        <v>1</v>
      </c>
      <c r="D1" s="2" t="s">
        <v>2</v>
      </c>
    </row>
    <row r="3" spans="1:5" ht="25.5" x14ac:dyDescent="0.25">
      <c r="A3" s="1" t="s">
        <v>3</v>
      </c>
      <c r="B3" s="1" t="s">
        <v>4</v>
      </c>
      <c r="C3" s="1" t="s">
        <v>5</v>
      </c>
      <c r="D3" s="1" t="s">
        <v>2</v>
      </c>
      <c r="E3" s="1" t="s">
        <v>6</v>
      </c>
    </row>
    <row r="5" spans="1:5" x14ac:dyDescent="0.25">
      <c r="A5" s="3" t="s">
        <v>7</v>
      </c>
      <c r="B5" s="4">
        <f>443*1000/60</f>
        <v>7383.333333333333</v>
      </c>
      <c r="C5" s="4">
        <f>505*16.67</f>
        <v>8418.35</v>
      </c>
      <c r="D5" s="5" t="s">
        <v>8</v>
      </c>
      <c r="E5" s="3" t="s">
        <v>9</v>
      </c>
    </row>
    <row r="6" spans="1:5" x14ac:dyDescent="0.25">
      <c r="A6" s="3" t="s">
        <v>10</v>
      </c>
      <c r="B6" s="6">
        <v>290.8</v>
      </c>
      <c r="C6" s="6">
        <v>290.8</v>
      </c>
      <c r="D6" s="5" t="s">
        <v>8</v>
      </c>
      <c r="E6" s="3" t="s">
        <v>11</v>
      </c>
    </row>
    <row r="7" spans="1:5" x14ac:dyDescent="0.25">
      <c r="A7" s="3" t="s">
        <v>12</v>
      </c>
      <c r="B7" s="7">
        <f>(3.08+3.36822)/100</f>
        <v>6.4482200000000003E-2</v>
      </c>
      <c r="C7" s="7">
        <f>(3.08+3.36822)/100</f>
        <v>6.4482200000000003E-2</v>
      </c>
      <c r="D7" s="5" t="s">
        <v>8</v>
      </c>
      <c r="E7" s="3" t="s">
        <v>13</v>
      </c>
    </row>
    <row r="8" spans="1:5" x14ac:dyDescent="0.25">
      <c r="A8" s="3" t="s">
        <v>14</v>
      </c>
      <c r="B8" s="4">
        <f>0.05*16.67</f>
        <v>0.83350000000000013</v>
      </c>
      <c r="C8" s="4">
        <f>0.05*16.67</f>
        <v>0.83350000000000013</v>
      </c>
      <c r="D8" s="5" t="s">
        <v>8</v>
      </c>
      <c r="E8" s="3" t="s">
        <v>15</v>
      </c>
    </row>
    <row r="9" spans="1:5" x14ac:dyDescent="0.25">
      <c r="A9" s="3" t="s">
        <v>16</v>
      </c>
      <c r="B9" s="8">
        <v>8.3129999999999999E-4</v>
      </c>
      <c r="C9" s="8">
        <v>8.3129999999999999E-4</v>
      </c>
      <c r="D9" s="5" t="s">
        <v>8</v>
      </c>
      <c r="E9" s="3" t="s">
        <v>13</v>
      </c>
    </row>
    <row r="11" spans="1:5" ht="15" customHeight="1" x14ac:dyDescent="0.25">
      <c r="A11" s="1" t="s">
        <v>3</v>
      </c>
      <c r="B11" s="15" t="s">
        <v>17</v>
      </c>
      <c r="C11" s="15"/>
      <c r="D11" s="15"/>
      <c r="E11" s="1" t="s">
        <v>6</v>
      </c>
    </row>
    <row r="13" spans="1:5" x14ac:dyDescent="0.25">
      <c r="A13" s="3" t="s">
        <v>18</v>
      </c>
      <c r="B13" s="14">
        <v>15</v>
      </c>
      <c r="C13" s="14"/>
      <c r="D13" s="14"/>
      <c r="E13" s="3" t="s">
        <v>19</v>
      </c>
    </row>
    <row r="14" spans="1:5" x14ac:dyDescent="0.25">
      <c r="A14" s="3" t="s">
        <v>20</v>
      </c>
      <c r="B14" s="14">
        <v>30</v>
      </c>
      <c r="C14" s="14"/>
      <c r="D14" s="14"/>
      <c r="E14" s="3" t="s">
        <v>19</v>
      </c>
    </row>
    <row r="15" spans="1:5" x14ac:dyDescent="0.25">
      <c r="A15" s="3" t="s">
        <v>21</v>
      </c>
      <c r="B15" s="14">
        <v>7</v>
      </c>
      <c r="C15" s="14"/>
      <c r="D15" s="14"/>
      <c r="E15" s="3" t="s">
        <v>19</v>
      </c>
    </row>
    <row r="16" spans="1:5" x14ac:dyDescent="0.25">
      <c r="A16" s="3" t="s">
        <v>22</v>
      </c>
      <c r="B16" s="14">
        <v>5</v>
      </c>
      <c r="C16" s="14"/>
      <c r="D16" s="14"/>
      <c r="E16" s="3" t="s">
        <v>19</v>
      </c>
    </row>
    <row r="17" spans="1:5" x14ac:dyDescent="0.25">
      <c r="A17" s="3" t="s">
        <v>23</v>
      </c>
      <c r="B17" s="14">
        <v>3</v>
      </c>
      <c r="C17" s="14"/>
      <c r="D17" s="14"/>
      <c r="E17" s="3" t="s">
        <v>19</v>
      </c>
    </row>
    <row r="18" spans="1:5" x14ac:dyDescent="0.25">
      <c r="A18" s="3" t="s">
        <v>24</v>
      </c>
      <c r="B18" s="14">
        <v>7</v>
      </c>
      <c r="C18" s="14"/>
      <c r="D18" s="14"/>
      <c r="E18" s="3" t="s">
        <v>19</v>
      </c>
    </row>
    <row r="19" spans="1:5" x14ac:dyDescent="0.25">
      <c r="A19" s="3" t="s">
        <v>25</v>
      </c>
      <c r="B19" s="14">
        <v>5</v>
      </c>
      <c r="C19" s="14"/>
      <c r="D19" s="14"/>
      <c r="E19" s="3" t="s">
        <v>19</v>
      </c>
    </row>
  </sheetData>
  <mergeCells count="8">
    <mergeCell ref="B17:D17"/>
    <mergeCell ref="B18:D18"/>
    <mergeCell ref="B19:D19"/>
    <mergeCell ref="B11:D11"/>
    <mergeCell ref="B13:D13"/>
    <mergeCell ref="B14:D14"/>
    <mergeCell ref="B15:D15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327"/>
  <sheetViews>
    <sheetView tabSelected="1" topLeftCell="K1" zoomScaleNormal="100" workbookViewId="0">
      <pane ySplit="1" topLeftCell="A1314" activePane="bottomLeft" state="frozen"/>
      <selection pane="bottomLeft" activeCell="T1328" sqref="T1328"/>
    </sheetView>
  </sheetViews>
  <sheetFormatPr defaultColWidth="8.7109375" defaultRowHeight="15" x14ac:dyDescent="0.25"/>
  <cols>
    <col min="1" max="1" width="14" customWidth="1"/>
    <col min="2" max="2" width="22" customWidth="1"/>
    <col min="3" max="3" width="26" customWidth="1"/>
    <col min="4" max="4" width="14" customWidth="1"/>
    <col min="5" max="6" width="16" customWidth="1"/>
    <col min="7" max="7" width="18" customWidth="1"/>
    <col min="8" max="8" width="26" customWidth="1"/>
    <col min="9" max="9" width="42" customWidth="1"/>
    <col min="10" max="10" width="18" customWidth="1"/>
    <col min="11" max="11" width="14" customWidth="1"/>
    <col min="12" max="12" width="10" customWidth="1"/>
    <col min="13" max="13" width="22" customWidth="1"/>
    <col min="14" max="14" width="18" customWidth="1"/>
    <col min="15" max="16" width="16" customWidth="1"/>
    <col min="17" max="18" width="14" customWidth="1"/>
    <col min="19" max="19" width="16" customWidth="1"/>
    <col min="20" max="20" width="18" customWidth="1"/>
    <col min="21" max="21" width="14" customWidth="1"/>
    <col min="22" max="23" width="16" customWidth="1"/>
    <col min="24" max="24" width="20" customWidth="1"/>
    <col min="25" max="25" width="16" customWidth="1"/>
    <col min="26" max="26" width="18" customWidth="1"/>
    <col min="27" max="27" width="16" customWidth="1"/>
    <col min="28" max="28" width="14" customWidth="1"/>
    <col min="29" max="31" width="16" customWidth="1"/>
    <col min="32" max="33" width="12" customWidth="1"/>
    <col min="34" max="34" width="16" customWidth="1"/>
    <col min="35" max="37" width="14" customWidth="1"/>
    <col min="38" max="38" width="18" customWidth="1"/>
    <col min="39" max="40" width="16" customWidth="1"/>
    <col min="41" max="41" width="30" customWidth="1"/>
    <col min="42" max="42" width="18" customWidth="1"/>
    <col min="43" max="43" width="14" customWidth="1"/>
    <col min="44" max="44" width="18" customWidth="1"/>
    <col min="45" max="47" width="20" customWidth="1"/>
    <col min="48" max="48" width="14" customWidth="1"/>
    <col min="49" max="49" width="12" customWidth="1"/>
    <col min="50" max="51" width="16" customWidth="1"/>
    <col min="52" max="52" width="20" customWidth="1"/>
    <col min="53" max="53" width="14" customWidth="1"/>
    <col min="54" max="54" width="20" customWidth="1"/>
    <col min="55" max="55" width="16" customWidth="1"/>
    <col min="56" max="57" width="14" customWidth="1"/>
    <col min="58" max="58" width="12" customWidth="1"/>
  </cols>
  <sheetData>
    <row r="1" spans="1:58" ht="30" customHeigh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</row>
    <row r="2" spans="1:58" x14ac:dyDescent="0.25">
      <c r="A2" s="9" t="s">
        <v>84</v>
      </c>
      <c r="B2" s="9" t="s">
        <v>85</v>
      </c>
      <c r="C2" s="9" t="s">
        <v>86</v>
      </c>
      <c r="D2" s="10">
        <v>44945</v>
      </c>
      <c r="E2" s="10">
        <v>45292</v>
      </c>
      <c r="F2" s="10">
        <v>45322</v>
      </c>
      <c r="G2" s="9">
        <v>3785573</v>
      </c>
      <c r="H2" s="9" t="str">
        <f t="shared" ref="H2:H65" si="0">IF(ISNUMBER(SEARCH("cancel",AN2)),"Cancelled",IF(AND(AK2&lt;&gt;"",AL2&lt;&gt;"",AM2&lt;&gt;""),"Closed","Open"))</f>
        <v>Closed</v>
      </c>
      <c r="I2" s="9" t="str">
        <f t="shared" ref="I2:I65" si="1">IF(AND(AK2&lt;&gt;"",AL2&lt;&gt;"",AM2&lt;&gt;""),"All dates received",_xlfn.TEXTJOIN(" and ",TRUE(),IF(AK2="","No sailing date",""),IF(AL2="","No shipping advice sent",""),IF(AM2="","No docs dispatch date","")))</f>
        <v>All dates received</v>
      </c>
      <c r="J2" s="9" t="s">
        <v>87</v>
      </c>
      <c r="K2" s="9">
        <v>4653</v>
      </c>
      <c r="L2" s="11">
        <v>320</v>
      </c>
      <c r="M2" s="9" t="s">
        <v>88</v>
      </c>
      <c r="N2" s="9" t="s">
        <v>89</v>
      </c>
      <c r="O2" s="9"/>
      <c r="P2" s="9"/>
      <c r="Q2" s="11"/>
      <c r="R2" s="9" t="s">
        <v>90</v>
      </c>
      <c r="S2" s="9" t="s">
        <v>91</v>
      </c>
      <c r="T2" s="12">
        <f>IF($H2="Cancelled","",IFERROR(((Q2+INDEX(Variables!$B$6:$D$6,IFERROR(MATCH(IF($B2="Robusta","Robusta",(IF($B2="","Arabica",$B2))&amp;" - "&amp;(IF($C2="","Commercial",$C2))),Variables!$B$1:$D$1,0),1)))*22.0462)*(L2/16.67),""))</f>
        <v>123067.25778044391</v>
      </c>
      <c r="U2" s="10">
        <v>45203</v>
      </c>
      <c r="V2" s="9" t="str">
        <f t="shared" ref="V2:V32" si="2">IF(ISNUMBER(U2),"Sent","")</f>
        <v>Sent</v>
      </c>
      <c r="W2" s="10">
        <v>45212</v>
      </c>
      <c r="X2" s="9" t="str">
        <f t="shared" ref="X2:X31" si="3">IF(ISNUMBER(W2),"Approved","")</f>
        <v>Approved</v>
      </c>
      <c r="Y2" s="10"/>
      <c r="Z2" s="10">
        <f>IF($H2="Cancelled","",IFERROR(IF(F2="","",F2-Variables!$B$13),""))</f>
        <v>45307</v>
      </c>
      <c r="AA2" s="11">
        <f>IF($H2="Cancelled","",IFERROR(IF(W2="","",(AVERAGE(E2:F2)-W2)-Variables!$B$14),""))</f>
        <v>65</v>
      </c>
      <c r="AB2" s="10">
        <v>45070</v>
      </c>
      <c r="AC2" s="11">
        <f>IF($H2="Cancelled","",IFERROR(IF(AB2="","",IF(AND(W2="",Y2=""),"",IF(Y2&gt;W2,Y2+Variables!$B$15+Variables!$B$16+Variables!$B$17-AB2,W2+Variables!$B$16+Variables!$B$17-AB2))),""))</f>
        <v>150</v>
      </c>
      <c r="AD2" s="9" t="s">
        <v>92</v>
      </c>
      <c r="AE2" s="9" t="s">
        <v>93</v>
      </c>
      <c r="AF2" s="10"/>
      <c r="AG2" s="10"/>
      <c r="AH2" s="9"/>
      <c r="AI2" s="9" t="s">
        <v>94</v>
      </c>
      <c r="AJ2" s="9">
        <v>3090318965</v>
      </c>
      <c r="AK2" s="10">
        <v>45317</v>
      </c>
      <c r="AL2" s="10">
        <v>45320</v>
      </c>
      <c r="AM2" s="10">
        <v>45328</v>
      </c>
      <c r="AN2" s="9" t="s">
        <v>95</v>
      </c>
      <c r="AO2" s="9"/>
      <c r="AP2" s="11">
        <f>IF($H2="Cancelled","",IFERROR(IF(OR(AK2="",AB2=""),"",(AB2+Variables!$B$18-AK2)),""))</f>
        <v>-240</v>
      </c>
      <c r="AQ2" s="11">
        <f>IF($H2="Cancelled","",IFERROR(IF(OR(AM2="",AK2=""),"",(AK2+Variables!$B$19)-AM2),""))</f>
        <v>-6</v>
      </c>
      <c r="AR2" s="12">
        <f>IF($H2="Cancelled","",IFERROR(T2*INDEX(Variables!$B$7:$D$7,IFERROR(MATCH(IF($B2="Robusta","Robusta",(IF($B2="","Arabica",$B2))&amp;" - "&amp;(IF($C2="","Commercial",$C2))),Variables!$B$1:$D$1,0),1))*(AQ2/365),""))</f>
        <v>-130.44900048739956</v>
      </c>
      <c r="AS2" s="12">
        <f>IF($H2="Cancelled","",IFERROR((T2*INDEX(Variables!$B$7:$D$7,IFERROR(MATCH(IF($B2="Robusta","Robusta",(IF($B2="","Arabica",$B2))&amp;" - "&amp;(IF($C2="","Commercial",$C2))),Variables!$B$1:$D$1,0),1))*IFERROR(IF(W2="","",(AVERAGE(E2:F2)-W2)-Variables!$B$14),"")/365)+(L2/16.67*INDEX(Variables!$B$8:$D$8,IFERROR(MATCH(IF($B2="Robusta","Robusta",(IF($B2="","Arabica",$B2))&amp;" - "&amp;(IF($C2="","Commercial",$C2))),Variables!$B$1:$D$1,0),1))*IFERROR(IF(W2="","",(AVERAGE(E2:F2)-W2)-Variables!$B$14),""))+(T2*INDEX(Variables!$B$9:$D$9,IFERROR(MATCH(IF($B2="Robusta","Robusta",(IF($B2="","Arabica",$B2))&amp;" - "&amp;(IF($C2="","Commercial",$C2))),Variables!$B$1:$D$1,0),1))*IFERROR(IF(W2="","",(AVERAGE(E2:F2)-W2)-Variables!$B$14),"")/365),""))</f>
        <v>2471.4163484049218</v>
      </c>
      <c r="AT2" s="12">
        <f>IF($H2="Cancelled","",IFERROR((T2*INDEX(Variables!$B$7:$D$7,IFERROR(MATCH(IF($B2="Robusta","Robusta",(IF($B2="","Arabica",$B2))&amp;" - "&amp;(IF($C2="","Commercial",$C2))),Variables!$B$1:$D$1,0),1))*AC2/365)+(L2/16.67*INDEX(Variables!$B$8:$D$8,IFERROR(MATCH(IF($B2="Robusta","Robusta",(IF($B2="","Arabica",$B2))&amp;" - "&amp;(IF($C2="","Commercial",$C2))),Variables!$B$1:$D$1,0),1))*AC2)+(T2*INDEX(Variables!$B$9:$D$9,IFERROR(MATCH(IF($B2="Robusta","Robusta",(IF($B2="","Arabica",$B2))&amp;" - "&amp;(IF($C2="","Commercial",$C2))),Variables!$B$1:$D$1,0),1))*AC2/365),""))</f>
        <v>5703.2684963190495</v>
      </c>
      <c r="AU2" s="12">
        <f>IF($H2="Cancelled","",IFERROR((T2*INDEX(Variables!$B$7:$D$7,IFERROR(MATCH(IF($B2="Robusta","Robusta",(IF($B2="","Arabica",$B2))&amp;" - "&amp;(IF($C2="","Commercial",$C2))),Variables!$B$1:$D$1,0),1))*AP2/365)+(L2/16.67*INDEX(Variables!$B$8:$D$8,IFERROR(MATCH(IF($B2="Robusta","Robusta",(IF($B2="","Arabica",$B2))&amp;" - "&amp;(IF($C2="","Commercial",$C2))),Variables!$B$1:$D$1,0),1))*AP2)+(T2*INDEX(Variables!$B$9:$D$9,IFERROR(MATCH(IF($B2="Robusta","Robusta",(IF($B2="","Arabica",$B2))&amp;" - "&amp;(IF($C2="","Commercial",$C2))),Variables!$B$1:$D$1,0),1))*AP2/365),""))</f>
        <v>-9125.2295941104803</v>
      </c>
      <c r="AV2" s="11">
        <f t="shared" ref="AV2:AV65" si="4">IF($H2="Cancelled","",IFERROR(IF(AK2="","",F2-AK2),""))</f>
        <v>5</v>
      </c>
      <c r="AW2" s="12">
        <f>IF($H2="Cancelled","",IFERROR(IF(AV2="","",(T2*INDEX(Variables!$B$7:$D$7,IFERROR(MATCH(IF($B2="Robusta","Robusta",(IF($B2="","Arabica",$B2))&amp;" - "&amp;(IF($C2="","Commercial",$C2))),Variables!$B$1:$D$1,0),1))*(AV2/365))+(T2*INDEX(Variables!$B$9:$D$9,IFERROR(MATCH(IF($B2="Robusta","Robusta",(IF($B2="","Arabica",$B2))&amp;" - "&amp;(IF($C2="","Commercial",$C2))),Variables!$B$1:$D$1,0),1))*(AV2/365))+(INDEX(Variables!$B$8:$D$8,IFERROR(MATCH(IF($B2="Robusta","Robusta",(IF($B2="","Arabica",$B2))&amp;" - "&amp;(IF($C2="","Commercial",$C2))),Variables!$B$1:$D$1,0),1))*L2/16.67)),""))</f>
        <v>126.10894987730168</v>
      </c>
      <c r="AX2" s="9"/>
      <c r="AY2" s="12"/>
      <c r="AZ2" s="10"/>
      <c r="BA2" s="9"/>
      <c r="BB2" s="10"/>
      <c r="BC2" s="9"/>
      <c r="BD2" s="9"/>
      <c r="BE2" s="9"/>
      <c r="BF2" s="9"/>
    </row>
    <row r="3" spans="1:58" x14ac:dyDescent="0.25">
      <c r="A3" s="9" t="s">
        <v>84</v>
      </c>
      <c r="B3" s="9" t="s">
        <v>85</v>
      </c>
      <c r="C3" s="9" t="s">
        <v>86</v>
      </c>
      <c r="D3" s="10">
        <v>44945</v>
      </c>
      <c r="E3" s="10">
        <v>45292</v>
      </c>
      <c r="F3" s="10">
        <v>45322</v>
      </c>
      <c r="G3" s="9">
        <v>3785574</v>
      </c>
      <c r="H3" s="9" t="str">
        <f t="shared" si="0"/>
        <v>Closed</v>
      </c>
      <c r="I3" s="9" t="str">
        <f t="shared" si="1"/>
        <v>All dates received</v>
      </c>
      <c r="J3" s="9" t="s">
        <v>87</v>
      </c>
      <c r="K3" s="9">
        <v>4654</v>
      </c>
      <c r="L3" s="11">
        <v>320</v>
      </c>
      <c r="M3" s="9" t="s">
        <v>88</v>
      </c>
      <c r="N3" s="9" t="s">
        <v>89</v>
      </c>
      <c r="O3" s="9"/>
      <c r="P3" s="9"/>
      <c r="Q3" s="11"/>
      <c r="R3" s="9" t="s">
        <v>90</v>
      </c>
      <c r="S3" s="9" t="s">
        <v>91</v>
      </c>
      <c r="T3" s="12">
        <f>IF($H3="Cancelled","",IFERROR(((Q3+INDEX(Variables!$B$6:$D$6,IFERROR(MATCH(IF($B3="Robusta","Robusta",(IF($B3="","Arabica",$B3))&amp;" - "&amp;(IF($C3="","Commercial",$C3))),Variables!$B$1:$D$1,0),1)))*22.0462)*(L3/16.67),""))</f>
        <v>123067.25778044391</v>
      </c>
      <c r="U3" s="10">
        <v>45281</v>
      </c>
      <c r="V3" s="9" t="str">
        <f t="shared" si="2"/>
        <v>Sent</v>
      </c>
      <c r="W3" s="10">
        <v>45296</v>
      </c>
      <c r="X3" s="9" t="str">
        <f t="shared" si="3"/>
        <v>Approved</v>
      </c>
      <c r="Y3" s="10"/>
      <c r="Z3" s="10">
        <f>IF($H3="Cancelled","",IFERROR(IF(F3="","",F3-Variables!$B$13),""))</f>
        <v>45307</v>
      </c>
      <c r="AA3" s="11">
        <f>IF($H3="Cancelled","",IFERROR(IF(W3="","",(AVERAGE(E3:F3)-W3)-Variables!$B$14),""))</f>
        <v>-19</v>
      </c>
      <c r="AB3" s="10">
        <v>45071</v>
      </c>
      <c r="AC3" s="11">
        <f>IF($H3="Cancelled","",IFERROR(IF(AB3="","",IF(AND(W3="",Y3=""),"",IF(Y3&gt;W3,Y3+Variables!$B$15+Variables!$B$16+Variables!$B$17-AB3,W3+Variables!$B$16+Variables!$B$17-AB3))),""))</f>
        <v>233</v>
      </c>
      <c r="AD3" s="9" t="s">
        <v>92</v>
      </c>
      <c r="AE3" s="9" t="s">
        <v>96</v>
      </c>
      <c r="AF3" s="10"/>
      <c r="AG3" s="10"/>
      <c r="AH3" s="9"/>
      <c r="AI3" s="9" t="s">
        <v>97</v>
      </c>
      <c r="AJ3" s="9">
        <v>3090318965</v>
      </c>
      <c r="AK3" s="10">
        <v>45317</v>
      </c>
      <c r="AL3" s="10">
        <v>45320</v>
      </c>
      <c r="AM3" s="10">
        <v>45328</v>
      </c>
      <c r="AN3" s="9" t="s">
        <v>95</v>
      </c>
      <c r="AO3" s="9"/>
      <c r="AP3" s="11">
        <f>IF($H3="Cancelled","",IFERROR(IF(OR(AK3="",AB3=""),"",(AB3+Variables!$B$18-AK3)),""))</f>
        <v>-239</v>
      </c>
      <c r="AQ3" s="11">
        <f>IF($H3="Cancelled","",IFERROR(IF(OR(AM3="",AK3=""),"",(AK3+Variables!$B$19)-AM3),""))</f>
        <v>-6</v>
      </c>
      <c r="AR3" s="12">
        <f>IF($H3="Cancelled","",IFERROR(T3*INDEX(Variables!$B$7:$D$7,IFERROR(MATCH(IF($B3="Robusta","Robusta",(IF($B3="","Arabica",$B3))&amp;" - "&amp;(IF($C3="","Commercial",$C3))),Variables!$B$1:$D$1,0),1))*(AQ3/365),""))</f>
        <v>-130.44900048739956</v>
      </c>
      <c r="AS3" s="12">
        <f>IF($H3="Cancelled","",IFERROR((T3*INDEX(Variables!$B$7:$D$7,IFERROR(MATCH(IF($B3="Robusta","Robusta",(IF($B3="","Arabica",$B3))&amp;" - "&amp;(IF($C3="","Commercial",$C3))),Variables!$B$1:$D$1,0),1))*IFERROR(IF(W3="","",(AVERAGE(E3:F3)-W3)-Variables!$B$14),"")/365)+(L3/16.67*INDEX(Variables!$B$8:$D$8,IFERROR(MATCH(IF($B3="Robusta","Robusta",(IF($B3="","Arabica",$B3))&amp;" - "&amp;(IF($C3="","Commercial",$C3))),Variables!$B$1:$D$1,0),1))*IFERROR(IF(W3="","",(AVERAGE(E3:F3)-W3)-Variables!$B$14),""))+(T3*INDEX(Variables!$B$9:$D$9,IFERROR(MATCH(IF($B3="Robusta","Robusta",(IF($B3="","Arabica",$B3))&amp;" - "&amp;(IF($C3="","Commercial",$C3))),Variables!$B$1:$D$1,0),1))*IFERROR(IF(W3="","",(AVERAGE(E3:F3)-W3)-Variables!$B$14),"")/365),""))</f>
        <v>-722.41400953374648</v>
      </c>
      <c r="AT3" s="12">
        <f>IF($H3="Cancelled","",IFERROR((T3*INDEX(Variables!$B$7:$D$7,IFERROR(MATCH(IF($B3="Robusta","Robusta",(IF($B3="","Arabica",$B3))&amp;" - "&amp;(IF($C3="","Commercial",$C3))),Variables!$B$1:$D$1,0),1))*AC3/365)+(L3/16.67*INDEX(Variables!$B$8:$D$8,IFERROR(MATCH(IF($B3="Robusta","Robusta",(IF($B3="","Arabica",$B3))&amp;" - "&amp;(IF($C3="","Commercial",$C3))),Variables!$B$1:$D$1,0),1))*AC3)+(T3*INDEX(Variables!$B$9:$D$9,IFERROR(MATCH(IF($B3="Robusta","Robusta",(IF($B3="","Arabica",$B3))&amp;" - "&amp;(IF($C3="","Commercial",$C3))),Variables!$B$1:$D$1,0),1))*AC3/365),""))</f>
        <v>8859.077064282259</v>
      </c>
      <c r="AU3" s="12">
        <f>IF($H3="Cancelled","",IFERROR((T3*INDEX(Variables!$B$7:$D$7,IFERROR(MATCH(IF($B3="Robusta","Robusta",(IF($B3="","Arabica",$B3))&amp;" - "&amp;(IF($C3="","Commercial",$C3))),Variables!$B$1:$D$1,0),1))*AP3/365)+(L3/16.67*INDEX(Variables!$B$8:$D$8,IFERROR(MATCH(IF($B3="Robusta","Robusta",(IF($B3="","Arabica",$B3))&amp;" - "&amp;(IF($C3="","Commercial",$C3))),Variables!$B$1:$D$1,0),1))*AP3)+(T3*INDEX(Variables!$B$9:$D$9,IFERROR(MATCH(IF($B3="Robusta","Robusta",(IF($B3="","Arabica",$B3))&amp;" - "&amp;(IF($C3="","Commercial",$C3))),Variables!$B$1:$D$1,0),1))*AP3/365),""))</f>
        <v>-9087.2078041350214</v>
      </c>
      <c r="AV3" s="11">
        <f t="shared" si="4"/>
        <v>5</v>
      </c>
      <c r="AW3" s="12">
        <f>IF($H3="Cancelled","",IFERROR(IF(AV3="","",(T3*INDEX(Variables!$B$7:$D$7,IFERROR(MATCH(IF($B3="Robusta","Robusta",(IF($B3="","Arabica",$B3))&amp;" - "&amp;(IF($C3="","Commercial",$C3))),Variables!$B$1:$D$1,0),1))*(AV3/365))+(T3*INDEX(Variables!$B$9:$D$9,IFERROR(MATCH(IF($B3="Robusta","Robusta",(IF($B3="","Arabica",$B3))&amp;" - "&amp;(IF($C3="","Commercial",$C3))),Variables!$B$1:$D$1,0),1))*(AV3/365))+(INDEX(Variables!$B$8:$D$8,IFERROR(MATCH(IF($B3="Robusta","Robusta",(IF($B3="","Arabica",$B3))&amp;" - "&amp;(IF($C3="","Commercial",$C3))),Variables!$B$1:$D$1,0),1))*L3/16.67)),""))</f>
        <v>126.10894987730168</v>
      </c>
      <c r="AX3" s="9"/>
      <c r="AY3" s="12"/>
      <c r="AZ3" s="10"/>
      <c r="BA3" s="9"/>
      <c r="BB3" s="10"/>
      <c r="BC3" s="9"/>
      <c r="BD3" s="9"/>
      <c r="BE3" s="9"/>
      <c r="BF3" s="9"/>
    </row>
    <row r="4" spans="1:58" x14ac:dyDescent="0.25">
      <c r="A4" s="9" t="s">
        <v>84</v>
      </c>
      <c r="B4" s="9" t="s">
        <v>85</v>
      </c>
      <c r="C4" s="9" t="s">
        <v>86</v>
      </c>
      <c r="D4" s="10">
        <v>44945</v>
      </c>
      <c r="E4" s="10">
        <v>45323</v>
      </c>
      <c r="F4" s="10">
        <v>45351</v>
      </c>
      <c r="G4" s="9">
        <v>3785575</v>
      </c>
      <c r="H4" s="9" t="str">
        <f t="shared" si="0"/>
        <v>Closed</v>
      </c>
      <c r="I4" s="9" t="str">
        <f t="shared" si="1"/>
        <v>All dates received</v>
      </c>
      <c r="J4" s="9" t="s">
        <v>87</v>
      </c>
      <c r="K4" s="9">
        <v>4655</v>
      </c>
      <c r="L4" s="11">
        <v>320</v>
      </c>
      <c r="M4" s="9" t="s">
        <v>88</v>
      </c>
      <c r="N4" s="9" t="s">
        <v>89</v>
      </c>
      <c r="O4" s="9"/>
      <c r="P4" s="9"/>
      <c r="Q4" s="11"/>
      <c r="R4" s="9" t="s">
        <v>90</v>
      </c>
      <c r="S4" s="9" t="s">
        <v>91</v>
      </c>
      <c r="T4" s="12">
        <f>IF($H4="Cancelled","",IFERROR(((Q4+INDEX(Variables!$B$6:$D$6,IFERROR(MATCH(IF($B4="Robusta","Robusta",(IF($B4="","Arabica",$B4))&amp;" - "&amp;(IF($C4="","Commercial",$C4))),Variables!$B$1:$D$1,0),1)))*22.0462)*(L4/16.67),""))</f>
        <v>123067.25778044391</v>
      </c>
      <c r="U4" s="10">
        <v>45281</v>
      </c>
      <c r="V4" s="9" t="str">
        <f t="shared" si="2"/>
        <v>Sent</v>
      </c>
      <c r="W4" s="10">
        <v>45303</v>
      </c>
      <c r="X4" s="9" t="str">
        <f t="shared" si="3"/>
        <v>Approved</v>
      </c>
      <c r="Y4" s="10"/>
      <c r="Z4" s="10">
        <f>IF($H4="Cancelled","",IFERROR(IF(F4="","",F4-Variables!$B$13),""))</f>
        <v>45336</v>
      </c>
      <c r="AA4" s="11">
        <f>IF($H4="Cancelled","",IFERROR(IF(W4="","",(AVERAGE(E4:F4)-W4)-Variables!$B$14),""))</f>
        <v>4</v>
      </c>
      <c r="AB4" s="10">
        <v>45072</v>
      </c>
      <c r="AC4" s="11">
        <f>IF($H4="Cancelled","",IFERROR(IF(AB4="","",IF(AND(W4="",Y4=""),"",IF(Y4&gt;W4,Y4+Variables!$B$15+Variables!$B$16+Variables!$B$17-AB4,W4+Variables!$B$16+Variables!$B$17-AB4))),""))</f>
        <v>239</v>
      </c>
      <c r="AD4" s="9" t="s">
        <v>92</v>
      </c>
      <c r="AE4" s="9" t="s">
        <v>98</v>
      </c>
      <c r="AF4" s="10"/>
      <c r="AG4" s="10"/>
      <c r="AH4" s="9"/>
      <c r="AI4" s="9" t="s">
        <v>99</v>
      </c>
      <c r="AJ4" s="9">
        <v>1802448513</v>
      </c>
      <c r="AK4" s="10">
        <v>45331</v>
      </c>
      <c r="AL4" s="10">
        <v>45334</v>
      </c>
      <c r="AM4" s="10">
        <v>45342</v>
      </c>
      <c r="AN4" s="9" t="s">
        <v>95</v>
      </c>
      <c r="AO4" s="9"/>
      <c r="AP4" s="11">
        <f>IF($H4="Cancelled","",IFERROR(IF(OR(AK4="",AB4=""),"",(AB4+Variables!$B$18-AK4)),""))</f>
        <v>-252</v>
      </c>
      <c r="AQ4" s="11">
        <f>IF($H4="Cancelled","",IFERROR(IF(OR(AM4="",AK4=""),"",(AK4+Variables!$B$19)-AM4),""))</f>
        <v>-6</v>
      </c>
      <c r="AR4" s="12">
        <f>IF($H4="Cancelled","",IFERROR(T4*INDEX(Variables!$B$7:$D$7,IFERROR(MATCH(IF($B4="Robusta","Robusta",(IF($B4="","Arabica",$B4))&amp;" - "&amp;(IF($C4="","Commercial",$C4))),Variables!$B$1:$D$1,0),1))*(AQ4/365),""))</f>
        <v>-130.44900048739956</v>
      </c>
      <c r="AS4" s="12">
        <f>IF($H4="Cancelled","",IFERROR((T4*INDEX(Variables!$B$7:$D$7,IFERROR(MATCH(IF($B4="Robusta","Robusta",(IF($B4="","Arabica",$B4))&amp;" - "&amp;(IF($C4="","Commercial",$C4))),Variables!$B$1:$D$1,0),1))*IFERROR(IF(W4="","",(AVERAGE(E4:F4)-W4)-Variables!$B$14),"")/365)+(L4/16.67*INDEX(Variables!$B$8:$D$8,IFERROR(MATCH(IF($B4="Robusta","Robusta",(IF($B4="","Arabica",$B4))&amp;" - "&amp;(IF($C4="","Commercial",$C4))),Variables!$B$1:$D$1,0),1))*IFERROR(IF(W4="","",(AVERAGE(E4:F4)-W4)-Variables!$B$14),""))+(T4*INDEX(Variables!$B$9:$D$9,IFERROR(MATCH(IF($B4="Robusta","Robusta",(IF($B4="","Arabica",$B4))&amp;" - "&amp;(IF($C4="","Commercial",$C4))),Variables!$B$1:$D$1,0),1))*IFERROR(IF(W4="","",(AVERAGE(E4:F4)-W4)-Variables!$B$14),"")/365),""))</f>
        <v>152.08715990184135</v>
      </c>
      <c r="AT4" s="12">
        <f>IF($H4="Cancelled","",IFERROR((T4*INDEX(Variables!$B$7:$D$7,IFERROR(MATCH(IF($B4="Robusta","Robusta",(IF($B4="","Arabica",$B4))&amp;" - "&amp;(IF($C4="","Commercial",$C4))),Variables!$B$1:$D$1,0),1))*AC4/365)+(L4/16.67*INDEX(Variables!$B$8:$D$8,IFERROR(MATCH(IF($B4="Robusta","Robusta",(IF($B4="","Arabica",$B4))&amp;" - "&amp;(IF($C4="","Commercial",$C4))),Variables!$B$1:$D$1,0),1))*AC4)+(T4*INDEX(Variables!$B$9:$D$9,IFERROR(MATCH(IF($B4="Robusta","Robusta",(IF($B4="","Arabica",$B4))&amp;" - "&amp;(IF($C4="","Commercial",$C4))),Variables!$B$1:$D$1,0),1))*AC4/365),""))</f>
        <v>9087.2078041350214</v>
      </c>
      <c r="AU4" s="12">
        <f>IF($H4="Cancelled","",IFERROR((T4*INDEX(Variables!$B$7:$D$7,IFERROR(MATCH(IF($B4="Robusta","Robusta",(IF($B4="","Arabica",$B4))&amp;" - "&amp;(IF($C4="","Commercial",$C4))),Variables!$B$1:$D$1,0),1))*AP4/365)+(L4/16.67*INDEX(Variables!$B$8:$D$8,IFERROR(MATCH(IF($B4="Robusta","Robusta",(IF($B4="","Arabica",$B4))&amp;" - "&amp;(IF($C4="","Commercial",$C4))),Variables!$B$1:$D$1,0),1))*AP4)+(T4*INDEX(Variables!$B$9:$D$9,IFERROR(MATCH(IF($B4="Robusta","Robusta",(IF($B4="","Arabica",$B4))&amp;" - "&amp;(IF($C4="","Commercial",$C4))),Variables!$B$1:$D$1,0),1))*AP4/365),""))</f>
        <v>-9581.491073816007</v>
      </c>
      <c r="AV4" s="11">
        <f t="shared" si="4"/>
        <v>20</v>
      </c>
      <c r="AW4" s="12">
        <f>IF($H4="Cancelled","",IFERROR(IF(AV4="","",(T4*INDEX(Variables!$B$7:$D$7,IFERROR(MATCH(IF($B4="Robusta","Robusta",(IF($B4="","Arabica",$B4))&amp;" - "&amp;(IF($C4="","Commercial",$C4))),Variables!$B$1:$D$1,0),1))*(AV4/365))+(T4*INDEX(Variables!$B$9:$D$9,IFERROR(MATCH(IF($B4="Robusta","Robusta",(IF($B4="","Arabica",$B4))&amp;" - "&amp;(IF($C4="","Commercial",$C4))),Variables!$B$1:$D$1,0),1))*(AV4/365))+(INDEX(Variables!$B$8:$D$8,IFERROR(MATCH(IF($B4="Robusta","Robusta",(IF($B4="","Arabica",$B4))&amp;" - "&amp;(IF($C4="","Commercial",$C4))),Variables!$B$1:$D$1,0),1))*L4/16.67)),""))</f>
        <v>456.43579950920673</v>
      </c>
      <c r="AX4" s="9"/>
      <c r="AY4" s="12"/>
      <c r="AZ4" s="10"/>
      <c r="BA4" s="9"/>
      <c r="BB4" s="10"/>
      <c r="BC4" s="9"/>
      <c r="BD4" s="9"/>
      <c r="BE4" s="9"/>
      <c r="BF4" s="9"/>
    </row>
    <row r="5" spans="1:58" x14ac:dyDescent="0.25">
      <c r="A5" s="9" t="s">
        <v>84</v>
      </c>
      <c r="B5" s="9" t="s">
        <v>85</v>
      </c>
      <c r="C5" s="9" t="s">
        <v>86</v>
      </c>
      <c r="D5" s="10">
        <v>44945</v>
      </c>
      <c r="E5" s="10">
        <v>45352</v>
      </c>
      <c r="F5" s="10">
        <v>45382</v>
      </c>
      <c r="G5" s="9">
        <v>3785576</v>
      </c>
      <c r="H5" s="9" t="str">
        <f t="shared" si="0"/>
        <v>Closed</v>
      </c>
      <c r="I5" s="9" t="str">
        <f t="shared" si="1"/>
        <v>All dates received</v>
      </c>
      <c r="J5" s="9" t="s">
        <v>87</v>
      </c>
      <c r="K5" s="9">
        <v>4656</v>
      </c>
      <c r="L5" s="11">
        <v>320</v>
      </c>
      <c r="M5" s="9" t="s">
        <v>88</v>
      </c>
      <c r="N5" s="9" t="s">
        <v>89</v>
      </c>
      <c r="O5" s="9"/>
      <c r="P5" s="9"/>
      <c r="Q5" s="11"/>
      <c r="R5" s="9" t="s">
        <v>90</v>
      </c>
      <c r="S5" s="9" t="s">
        <v>91</v>
      </c>
      <c r="T5" s="12">
        <f>IF($H5="Cancelled","",IFERROR(((Q5+INDEX(Variables!$B$6:$D$6,IFERROR(MATCH(IF($B5="Robusta","Robusta",(IF($B5="","Arabica",$B5))&amp;" - "&amp;(IF($C5="","Commercial",$C5))),Variables!$B$1:$D$1,0),1)))*22.0462)*(L5/16.67),""))</f>
        <v>123067.25778044391</v>
      </c>
      <c r="U5" s="10">
        <v>45281</v>
      </c>
      <c r="V5" s="9" t="str">
        <f t="shared" si="2"/>
        <v>Sent</v>
      </c>
      <c r="W5" s="10">
        <v>45303</v>
      </c>
      <c r="X5" s="9" t="str">
        <f t="shared" si="3"/>
        <v>Approved</v>
      </c>
      <c r="Y5" s="10"/>
      <c r="Z5" s="10">
        <f>IF($H5="Cancelled","",IFERROR(IF(F5="","",F5-Variables!$B$13),""))</f>
        <v>45367</v>
      </c>
      <c r="AA5" s="11">
        <f>IF($H5="Cancelled","",IFERROR(IF(W5="","",(AVERAGE(E5:F5)-W5)-Variables!$B$14),""))</f>
        <v>34</v>
      </c>
      <c r="AB5" s="10">
        <v>45072</v>
      </c>
      <c r="AC5" s="11">
        <f>IF($H5="Cancelled","",IFERROR(IF(AB5="","",IF(AND(W5="",Y5=""),"",IF(Y5&gt;W5,Y5+Variables!$B$15+Variables!$B$16+Variables!$B$17-AB5,W5+Variables!$B$16+Variables!$B$17-AB5))),""))</f>
        <v>239</v>
      </c>
      <c r="AD5" s="9" t="s">
        <v>92</v>
      </c>
      <c r="AE5" s="9" t="s">
        <v>100</v>
      </c>
      <c r="AF5" s="10"/>
      <c r="AG5" s="10"/>
      <c r="AH5" s="9"/>
      <c r="AI5" s="9" t="s">
        <v>101</v>
      </c>
      <c r="AJ5" s="9">
        <v>8945906211</v>
      </c>
      <c r="AK5" s="10">
        <v>45357</v>
      </c>
      <c r="AL5" s="10">
        <v>45357</v>
      </c>
      <c r="AM5" s="10">
        <v>45366</v>
      </c>
      <c r="AN5" s="9" t="s">
        <v>95</v>
      </c>
      <c r="AO5" s="9"/>
      <c r="AP5" s="11">
        <f>IF($H5="Cancelled","",IFERROR(IF(OR(AK5="",AB5=""),"",(AB5+Variables!$B$18-AK5)),""))</f>
        <v>-278</v>
      </c>
      <c r="AQ5" s="11">
        <f>IF($H5="Cancelled","",IFERROR(IF(OR(AM5="",AK5=""),"",(AK5+Variables!$B$19)-AM5),""))</f>
        <v>-4</v>
      </c>
      <c r="AR5" s="12">
        <f>IF($H5="Cancelled","",IFERROR(T5*INDEX(Variables!$B$7:$D$7,IFERROR(MATCH(IF($B5="Robusta","Robusta",(IF($B5="","Arabica",$B5))&amp;" - "&amp;(IF($C5="","Commercial",$C5))),Variables!$B$1:$D$1,0),1))*(AQ5/365),""))</f>
        <v>-86.966000324933049</v>
      </c>
      <c r="AS5" s="12">
        <f>IF($H5="Cancelled","",IFERROR((T5*INDEX(Variables!$B$7:$D$7,IFERROR(MATCH(IF($B5="Robusta","Robusta",(IF($B5="","Arabica",$B5))&amp;" - "&amp;(IF($C5="","Commercial",$C5))),Variables!$B$1:$D$1,0),1))*IFERROR(IF(W5="","",(AVERAGE(E5:F5)-W5)-Variables!$B$14),"")/365)+(L5/16.67*INDEX(Variables!$B$8:$D$8,IFERROR(MATCH(IF($B5="Robusta","Robusta",(IF($B5="","Arabica",$B5))&amp;" - "&amp;(IF($C5="","Commercial",$C5))),Variables!$B$1:$D$1,0),1))*IFERROR(IF(W5="","",(AVERAGE(E5:F5)-W5)-Variables!$B$14),""))+(T5*INDEX(Variables!$B$9:$D$9,IFERROR(MATCH(IF($B5="Robusta","Robusta",(IF($B5="","Arabica",$B5))&amp;" - "&amp;(IF($C5="","Commercial",$C5))),Variables!$B$1:$D$1,0),1))*IFERROR(IF(W5="","",(AVERAGE(E5:F5)-W5)-Variables!$B$14),"")/365),""))</f>
        <v>1292.7408591656517</v>
      </c>
      <c r="AT5" s="12">
        <f>IF($H5="Cancelled","",IFERROR((T5*INDEX(Variables!$B$7:$D$7,IFERROR(MATCH(IF($B5="Robusta","Robusta",(IF($B5="","Arabica",$B5))&amp;" - "&amp;(IF($C5="","Commercial",$C5))),Variables!$B$1:$D$1,0),1))*AC5/365)+(L5/16.67*INDEX(Variables!$B$8:$D$8,IFERROR(MATCH(IF($B5="Robusta","Robusta",(IF($B5="","Arabica",$B5))&amp;" - "&amp;(IF($C5="","Commercial",$C5))),Variables!$B$1:$D$1,0),1))*AC5)+(T5*INDEX(Variables!$B$9:$D$9,IFERROR(MATCH(IF($B5="Robusta","Robusta",(IF($B5="","Arabica",$B5))&amp;" - "&amp;(IF($C5="","Commercial",$C5))),Variables!$B$1:$D$1,0),1))*AC5/365),""))</f>
        <v>9087.2078041350214</v>
      </c>
      <c r="AU5" s="12">
        <f>IF($H5="Cancelled","",IFERROR((T5*INDEX(Variables!$B$7:$D$7,IFERROR(MATCH(IF($B5="Robusta","Robusta",(IF($B5="","Arabica",$B5))&amp;" - "&amp;(IF($C5="","Commercial",$C5))),Variables!$B$1:$D$1,0),1))*AP5/365)+(L5/16.67*INDEX(Variables!$B$8:$D$8,IFERROR(MATCH(IF($B5="Robusta","Robusta",(IF($B5="","Arabica",$B5))&amp;" - "&amp;(IF($C5="","Commercial",$C5))),Variables!$B$1:$D$1,0),1))*AP5)+(T5*INDEX(Variables!$B$9:$D$9,IFERROR(MATCH(IF($B5="Robusta","Robusta",(IF($B5="","Arabica",$B5))&amp;" - "&amp;(IF($C5="","Commercial",$C5))),Variables!$B$1:$D$1,0),1))*AP5/365),""))</f>
        <v>-10570.057613177974</v>
      </c>
      <c r="AV5" s="11">
        <f t="shared" si="4"/>
        <v>25</v>
      </c>
      <c r="AW5" s="12">
        <f>IF($H5="Cancelled","",IFERROR(IF(AV5="","",(T5*INDEX(Variables!$B$7:$D$7,IFERROR(MATCH(IF($B5="Robusta","Robusta",(IF($B5="","Arabica",$B5))&amp;" - "&amp;(IF($C5="","Commercial",$C5))),Variables!$B$1:$D$1,0),1))*(AV5/365))+(T5*INDEX(Variables!$B$9:$D$9,IFERROR(MATCH(IF($B5="Robusta","Robusta",(IF($B5="","Arabica",$B5))&amp;" - "&amp;(IF($C5="","Commercial",$C5))),Variables!$B$1:$D$1,0),1))*(AV5/365))+(INDEX(Variables!$B$8:$D$8,IFERROR(MATCH(IF($B5="Robusta","Robusta",(IF($B5="","Arabica",$B5))&amp;" - "&amp;(IF($C5="","Commercial",$C5))),Variables!$B$1:$D$1,0),1))*L5/16.67)),""))</f>
        <v>566.54474938650844</v>
      </c>
      <c r="AX5" s="9"/>
      <c r="AY5" s="12"/>
      <c r="AZ5" s="10"/>
      <c r="BA5" s="9"/>
      <c r="BB5" s="10"/>
      <c r="BC5" s="9"/>
      <c r="BD5" s="9"/>
      <c r="BE5" s="9"/>
      <c r="BF5" s="9"/>
    </row>
    <row r="6" spans="1:58" x14ac:dyDescent="0.25">
      <c r="A6" s="9" t="s">
        <v>84</v>
      </c>
      <c r="B6" s="9" t="s">
        <v>85</v>
      </c>
      <c r="C6" s="9" t="s">
        <v>86</v>
      </c>
      <c r="D6" s="10">
        <v>45069</v>
      </c>
      <c r="E6" s="10">
        <v>45292</v>
      </c>
      <c r="F6" s="10">
        <v>45322</v>
      </c>
      <c r="G6" s="9">
        <v>3785999</v>
      </c>
      <c r="H6" s="9" t="str">
        <f t="shared" si="0"/>
        <v>Closed</v>
      </c>
      <c r="I6" s="9" t="str">
        <f t="shared" si="1"/>
        <v>All dates received</v>
      </c>
      <c r="J6" s="9" t="s">
        <v>102</v>
      </c>
      <c r="K6" s="9" t="s">
        <v>103</v>
      </c>
      <c r="L6" s="11">
        <v>360</v>
      </c>
      <c r="M6" s="9" t="s">
        <v>104</v>
      </c>
      <c r="N6" s="9" t="s">
        <v>105</v>
      </c>
      <c r="O6" s="9"/>
      <c r="P6" s="9"/>
      <c r="Q6" s="11"/>
      <c r="R6" s="9" t="s">
        <v>90</v>
      </c>
      <c r="S6" s="9" t="s">
        <v>106</v>
      </c>
      <c r="T6" s="12">
        <f>IF($H6="Cancelled","",IFERROR(((Q6+INDEX(Variables!$B$6:$D$6,IFERROR(MATCH(IF($B6="Robusta","Robusta",(IF($B6="","Arabica",$B6))&amp;" - "&amp;(IF($C6="","Commercial",$C6))),Variables!$B$1:$D$1,0),1)))*22.0462)*(L6/16.67),""))</f>
        <v>138450.66500299939</v>
      </c>
      <c r="U6" s="10">
        <v>45281</v>
      </c>
      <c r="V6" s="9" t="str">
        <f t="shared" si="2"/>
        <v>Sent</v>
      </c>
      <c r="W6" s="10">
        <v>45287</v>
      </c>
      <c r="X6" s="9" t="str">
        <f t="shared" si="3"/>
        <v>Approved</v>
      </c>
      <c r="Y6" s="10"/>
      <c r="Z6" s="10">
        <f>IF($H6="Cancelled","",IFERROR(IF(F6="","",F6-Variables!$B$13),""))</f>
        <v>45307</v>
      </c>
      <c r="AA6" s="11">
        <f>IF($H6="Cancelled","",IFERROR(IF(W6="","",(AVERAGE(E6:F6)-W6)-Variables!$B$14),""))</f>
        <v>-10</v>
      </c>
      <c r="AB6" s="10">
        <v>45331</v>
      </c>
      <c r="AC6" s="11">
        <f>IF($H6="Cancelled","",IFERROR(IF(AB6="","",IF(AND(W6="",Y6=""),"",IF(Y6&gt;W6,Y6+Variables!$B$15+Variables!$B$16+Variables!$B$17-AB6,W6+Variables!$B$16+Variables!$B$17-AB6))),""))</f>
        <v>-36</v>
      </c>
      <c r="AD6" s="9" t="s">
        <v>107</v>
      </c>
      <c r="AE6" s="9" t="s">
        <v>108</v>
      </c>
      <c r="AF6" s="10"/>
      <c r="AG6" s="10"/>
      <c r="AH6" s="9"/>
      <c r="AI6" s="9" t="s">
        <v>109</v>
      </c>
      <c r="AJ6" s="9">
        <v>3421511435</v>
      </c>
      <c r="AK6" s="10">
        <v>45331</v>
      </c>
      <c r="AL6" s="10">
        <v>45334</v>
      </c>
      <c r="AM6" s="10">
        <v>45336</v>
      </c>
      <c r="AN6" s="9" t="s">
        <v>95</v>
      </c>
      <c r="AO6" s="9"/>
      <c r="AP6" s="11">
        <f>IF($H6="Cancelled","",IFERROR(IF(OR(AK6="",AB6=""),"",(AB6+Variables!$B$18-AK6)),""))</f>
        <v>7</v>
      </c>
      <c r="AQ6" s="11">
        <f>IF($H6="Cancelled","",IFERROR(IF(OR(AM6="",AK6=""),"",(AK6+Variables!$B$19)-AM6),""))</f>
        <v>0</v>
      </c>
      <c r="AR6" s="12">
        <f>IF($H6="Cancelled","",IFERROR(T6*INDEX(Variables!$B$7:$D$7,IFERROR(MATCH(IF($B6="Robusta","Robusta",(IF($B6="","Arabica",$B6))&amp;" - "&amp;(IF($C6="","Commercial",$C6))),Variables!$B$1:$D$1,0),1))*(AQ6/365),""))</f>
        <v>0</v>
      </c>
      <c r="AS6" s="12">
        <f>IF($H6="Cancelled","",IFERROR((T6*INDEX(Variables!$B$7:$D$7,IFERROR(MATCH(IF($B6="Robusta","Robusta",(IF($B6="","Arabica",$B6))&amp;" - "&amp;(IF($C6="","Commercial",$C6))),Variables!$B$1:$D$1,0),1))*IFERROR(IF(W6="","",(AVERAGE(E6:F6)-W6)-Variables!$B$14),"")/365)+(L6/16.67*INDEX(Variables!$B$8:$D$8,IFERROR(MATCH(IF($B6="Robusta","Robusta",(IF($B6="","Arabica",$B6))&amp;" - "&amp;(IF($C6="","Commercial",$C6))),Variables!$B$1:$D$1,0),1))*IFERROR(IF(W6="","",(AVERAGE(E6:F6)-W6)-Variables!$B$14),""))+(T6*INDEX(Variables!$B$9:$D$9,IFERROR(MATCH(IF($B6="Robusta","Robusta",(IF($B6="","Arabica",$B6))&amp;" - "&amp;(IF($C6="","Commercial",$C6))),Variables!$B$1:$D$1,0),1))*IFERROR(IF(W6="","",(AVERAGE(E6:F6)-W6)-Variables!$B$14),"")/365),""))</f>
        <v>-427.74513722392885</v>
      </c>
      <c r="AT6" s="12">
        <f>IF($H6="Cancelled","",IFERROR((T6*INDEX(Variables!$B$7:$D$7,IFERROR(MATCH(IF($B6="Robusta","Robusta",(IF($B6="","Arabica",$B6))&amp;" - "&amp;(IF($C6="","Commercial",$C6))),Variables!$B$1:$D$1,0),1))*AC6/365)+(L6/16.67*INDEX(Variables!$B$8:$D$8,IFERROR(MATCH(IF($B6="Robusta","Robusta",(IF($B6="","Arabica",$B6))&amp;" - "&amp;(IF($C6="","Commercial",$C6))),Variables!$B$1:$D$1,0),1))*AC6)+(T6*INDEX(Variables!$B$9:$D$9,IFERROR(MATCH(IF($B6="Robusta","Robusta",(IF($B6="","Arabica",$B6))&amp;" - "&amp;(IF($C6="","Commercial",$C6))),Variables!$B$1:$D$1,0),1))*AC6/365),""))</f>
        <v>-1539.8824940061438</v>
      </c>
      <c r="AU6" s="12">
        <f>IF($H6="Cancelled","",IFERROR((T6*INDEX(Variables!$B$7:$D$7,IFERROR(MATCH(IF($B6="Robusta","Robusta",(IF($B6="","Arabica",$B6))&amp;" - "&amp;(IF($C6="","Commercial",$C6))),Variables!$B$1:$D$1,0),1))*AP6/365)+(L6/16.67*INDEX(Variables!$B$8:$D$8,IFERROR(MATCH(IF($B6="Robusta","Robusta",(IF($B6="","Arabica",$B6))&amp;" - "&amp;(IF($C6="","Commercial",$C6))),Variables!$B$1:$D$1,0),1))*AP6)+(T6*INDEX(Variables!$B$9:$D$9,IFERROR(MATCH(IF($B6="Robusta","Robusta",(IF($B6="","Arabica",$B6))&amp;" - "&amp;(IF($C6="","Commercial",$C6))),Variables!$B$1:$D$1,0),1))*AP6/365),""))</f>
        <v>299.42159605675022</v>
      </c>
      <c r="AV6" s="11">
        <f t="shared" si="4"/>
        <v>-9</v>
      </c>
      <c r="AW6" s="12">
        <f>IF($H6="Cancelled","",IFERROR(IF(AV6="","",(T6*INDEX(Variables!$B$7:$D$7,IFERROR(MATCH(IF($B6="Robusta","Robusta",(IF($B6="","Arabica",$B6))&amp;" - "&amp;(IF($C6="","Commercial",$C6))),Variables!$B$1:$D$1,0),1))*(AV6/365))+(T6*INDEX(Variables!$B$9:$D$9,IFERROR(MATCH(IF($B6="Robusta","Robusta",(IF($B6="","Arabica",$B6))&amp;" - "&amp;(IF($C6="","Commercial",$C6))),Variables!$B$1:$D$1,0),1))*(AV6/365))+(INDEX(Variables!$B$8:$D$8,IFERROR(MATCH(IF($B6="Robusta","Robusta",(IF($B6="","Arabica",$B6))&amp;" - "&amp;(IF($C6="","Commercial",$C6))),Variables!$B$1:$D$1,0),1))*L6/16.67)),""))</f>
        <v>-204.9706235015359</v>
      </c>
      <c r="AX6" s="9"/>
      <c r="AY6" s="12"/>
      <c r="AZ6" s="10"/>
      <c r="BA6" s="9"/>
      <c r="BB6" s="10"/>
      <c r="BC6" s="9"/>
      <c r="BD6" s="9"/>
      <c r="BE6" s="9"/>
      <c r="BF6" s="9"/>
    </row>
    <row r="7" spans="1:58" x14ac:dyDescent="0.25">
      <c r="A7" s="9" t="s">
        <v>84</v>
      </c>
      <c r="B7" s="9" t="s">
        <v>85</v>
      </c>
      <c r="C7" s="9" t="s">
        <v>86</v>
      </c>
      <c r="D7" s="10">
        <v>45069</v>
      </c>
      <c r="E7" s="10">
        <v>45292</v>
      </c>
      <c r="F7" s="10">
        <v>45322</v>
      </c>
      <c r="G7" s="9">
        <v>3785999</v>
      </c>
      <c r="H7" s="9" t="str">
        <f t="shared" si="0"/>
        <v>Closed</v>
      </c>
      <c r="I7" s="9" t="str">
        <f t="shared" si="1"/>
        <v>All dates received</v>
      </c>
      <c r="J7" s="9" t="s">
        <v>102</v>
      </c>
      <c r="K7" s="9" t="s">
        <v>110</v>
      </c>
      <c r="L7" s="11">
        <v>360</v>
      </c>
      <c r="M7" s="9" t="s">
        <v>104</v>
      </c>
      <c r="N7" s="9" t="s">
        <v>105</v>
      </c>
      <c r="O7" s="9"/>
      <c r="P7" s="9"/>
      <c r="Q7" s="11"/>
      <c r="R7" s="9" t="s">
        <v>90</v>
      </c>
      <c r="S7" s="9" t="s">
        <v>106</v>
      </c>
      <c r="T7" s="12">
        <f>IF($H7="Cancelled","",IFERROR(((Q7+INDEX(Variables!$B$6:$D$6,IFERROR(MATCH(IF($B7="Robusta","Robusta",(IF($B7="","Arabica",$B7))&amp;" - "&amp;(IF($C7="","Commercial",$C7))),Variables!$B$1:$D$1,0),1)))*22.0462)*(L7/16.67),""))</f>
        <v>138450.66500299939</v>
      </c>
      <c r="U7" s="10">
        <v>45281</v>
      </c>
      <c r="V7" s="9" t="str">
        <f t="shared" si="2"/>
        <v>Sent</v>
      </c>
      <c r="W7" s="10">
        <v>45287</v>
      </c>
      <c r="X7" s="9" t="str">
        <f t="shared" si="3"/>
        <v>Approved</v>
      </c>
      <c r="Y7" s="10"/>
      <c r="Z7" s="10">
        <f>IF($H7="Cancelled","",IFERROR(IF(F7="","",F7-Variables!$B$13),""))</f>
        <v>45307</v>
      </c>
      <c r="AA7" s="11">
        <f>IF($H7="Cancelled","",IFERROR(IF(W7="","",(AVERAGE(E7:F7)-W7)-Variables!$B$14),""))</f>
        <v>-10</v>
      </c>
      <c r="AB7" s="10">
        <v>45336</v>
      </c>
      <c r="AC7" s="11">
        <f>IF($H7="Cancelled","",IFERROR(IF(AB7="","",IF(AND(W7="",Y7=""),"",IF(Y7&gt;W7,Y7+Variables!$B$15+Variables!$B$16+Variables!$B$17-AB7,W7+Variables!$B$16+Variables!$B$17-AB7))),""))</f>
        <v>-41</v>
      </c>
      <c r="AD7" s="9" t="s">
        <v>107</v>
      </c>
      <c r="AE7" s="9" t="s">
        <v>108</v>
      </c>
      <c r="AF7" s="10"/>
      <c r="AG7" s="10"/>
      <c r="AH7" s="9"/>
      <c r="AI7" s="9" t="s">
        <v>111</v>
      </c>
      <c r="AJ7" s="9">
        <v>3421511435</v>
      </c>
      <c r="AK7" s="10">
        <v>45331</v>
      </c>
      <c r="AL7" s="10">
        <v>45334</v>
      </c>
      <c r="AM7" s="10">
        <v>45336</v>
      </c>
      <c r="AN7" s="9" t="s">
        <v>95</v>
      </c>
      <c r="AO7" s="9"/>
      <c r="AP7" s="11">
        <f>IF($H7="Cancelled","",IFERROR(IF(OR(AK7="",AB7=""),"",(AB7+Variables!$B$18-AK7)),""))</f>
        <v>12</v>
      </c>
      <c r="AQ7" s="11">
        <f>IF($H7="Cancelled","",IFERROR(IF(OR(AM7="",AK7=""),"",(AK7+Variables!$B$19)-AM7),""))</f>
        <v>0</v>
      </c>
      <c r="AR7" s="12">
        <f>IF($H7="Cancelled","",IFERROR(T7*INDEX(Variables!$B$7:$D$7,IFERROR(MATCH(IF($B7="Robusta","Robusta",(IF($B7="","Arabica",$B7))&amp;" - "&amp;(IF($C7="","Commercial",$C7))),Variables!$B$1:$D$1,0),1))*(AQ7/365),""))</f>
        <v>0</v>
      </c>
      <c r="AS7" s="12">
        <f>IF($H7="Cancelled","",IFERROR((T7*INDEX(Variables!$B$7:$D$7,IFERROR(MATCH(IF($B7="Robusta","Robusta",(IF($B7="","Arabica",$B7))&amp;" - "&amp;(IF($C7="","Commercial",$C7))),Variables!$B$1:$D$1,0),1))*IFERROR(IF(W7="","",(AVERAGE(E7:F7)-W7)-Variables!$B$14),"")/365)+(L7/16.67*INDEX(Variables!$B$8:$D$8,IFERROR(MATCH(IF($B7="Robusta","Robusta",(IF($B7="","Arabica",$B7))&amp;" - "&amp;(IF($C7="","Commercial",$C7))),Variables!$B$1:$D$1,0),1))*IFERROR(IF(W7="","",(AVERAGE(E7:F7)-W7)-Variables!$B$14),""))+(T7*INDEX(Variables!$B$9:$D$9,IFERROR(MATCH(IF($B7="Robusta","Robusta",(IF($B7="","Arabica",$B7))&amp;" - "&amp;(IF($C7="","Commercial",$C7))),Variables!$B$1:$D$1,0),1))*IFERROR(IF(W7="","",(AVERAGE(E7:F7)-W7)-Variables!$B$14),"")/365),""))</f>
        <v>-427.74513722392885</v>
      </c>
      <c r="AT7" s="12">
        <f>IF($H7="Cancelled","",IFERROR((T7*INDEX(Variables!$B$7:$D$7,IFERROR(MATCH(IF($B7="Robusta","Robusta",(IF($B7="","Arabica",$B7))&amp;" - "&amp;(IF($C7="","Commercial",$C7))),Variables!$B$1:$D$1,0),1))*AC7/365)+(L7/16.67*INDEX(Variables!$B$8:$D$8,IFERROR(MATCH(IF($B7="Robusta","Robusta",(IF($B7="","Arabica",$B7))&amp;" - "&amp;(IF($C7="","Commercial",$C7))),Variables!$B$1:$D$1,0),1))*AC7)+(T7*INDEX(Variables!$B$9:$D$9,IFERROR(MATCH(IF($B7="Robusta","Robusta",(IF($B7="","Arabica",$B7))&amp;" - "&amp;(IF($C7="","Commercial",$C7))),Variables!$B$1:$D$1,0),1))*AC7/365),""))</f>
        <v>-1753.7550626181082</v>
      </c>
      <c r="AU7" s="12">
        <f>IF($H7="Cancelled","",IFERROR((T7*INDEX(Variables!$B$7:$D$7,IFERROR(MATCH(IF($B7="Robusta","Robusta",(IF($B7="","Arabica",$B7))&amp;" - "&amp;(IF($C7="","Commercial",$C7))),Variables!$B$1:$D$1,0),1))*AP7/365)+(L7/16.67*INDEX(Variables!$B$8:$D$8,IFERROR(MATCH(IF($B7="Robusta","Robusta",(IF($B7="","Arabica",$B7))&amp;" - "&amp;(IF($C7="","Commercial",$C7))),Variables!$B$1:$D$1,0),1))*AP7)+(T7*INDEX(Variables!$B$9:$D$9,IFERROR(MATCH(IF($B7="Robusta","Robusta",(IF($B7="","Arabica",$B7))&amp;" - "&amp;(IF($C7="","Commercial",$C7))),Variables!$B$1:$D$1,0),1))*AP7/365),""))</f>
        <v>513.29416466871464</v>
      </c>
      <c r="AV7" s="11">
        <f t="shared" si="4"/>
        <v>-9</v>
      </c>
      <c r="AW7" s="12">
        <f>IF($H7="Cancelled","",IFERROR(IF(AV7="","",(T7*INDEX(Variables!$B$7:$D$7,IFERROR(MATCH(IF($B7="Robusta","Robusta",(IF($B7="","Arabica",$B7))&amp;" - "&amp;(IF($C7="","Commercial",$C7))),Variables!$B$1:$D$1,0),1))*(AV7/365))+(T7*INDEX(Variables!$B$9:$D$9,IFERROR(MATCH(IF($B7="Robusta","Robusta",(IF($B7="","Arabica",$B7))&amp;" - "&amp;(IF($C7="","Commercial",$C7))),Variables!$B$1:$D$1,0),1))*(AV7/365))+(INDEX(Variables!$B$8:$D$8,IFERROR(MATCH(IF($B7="Robusta","Robusta",(IF($B7="","Arabica",$B7))&amp;" - "&amp;(IF($C7="","Commercial",$C7))),Variables!$B$1:$D$1,0),1))*L7/16.67)),""))</f>
        <v>-204.9706235015359</v>
      </c>
      <c r="AX7" s="9"/>
      <c r="AY7" s="12"/>
      <c r="AZ7" s="10"/>
      <c r="BA7" s="9"/>
      <c r="BB7" s="10"/>
      <c r="BC7" s="9"/>
      <c r="BD7" s="9"/>
      <c r="BE7" s="9"/>
      <c r="BF7" s="9"/>
    </row>
    <row r="8" spans="1:58" x14ac:dyDescent="0.25">
      <c r="A8" s="9" t="s">
        <v>84</v>
      </c>
      <c r="B8" s="9" t="s">
        <v>85</v>
      </c>
      <c r="C8" s="9" t="s">
        <v>86</v>
      </c>
      <c r="D8" s="10">
        <v>45133</v>
      </c>
      <c r="E8" s="10">
        <v>45292</v>
      </c>
      <c r="F8" s="10">
        <v>45322</v>
      </c>
      <c r="G8" s="9">
        <v>3786046</v>
      </c>
      <c r="H8" s="9" t="str">
        <f t="shared" si="0"/>
        <v>Open</v>
      </c>
      <c r="I8" s="9" t="str">
        <f t="shared" si="1"/>
        <v>No shipping advice sent</v>
      </c>
      <c r="J8" s="9" t="s">
        <v>112</v>
      </c>
      <c r="K8" s="9"/>
      <c r="L8" s="11">
        <v>320</v>
      </c>
      <c r="M8" s="9" t="s">
        <v>113</v>
      </c>
      <c r="N8" s="9" t="s">
        <v>114</v>
      </c>
      <c r="O8" s="9"/>
      <c r="P8" s="9"/>
      <c r="Q8" s="11"/>
      <c r="R8" s="9" t="s">
        <v>90</v>
      </c>
      <c r="S8" s="9" t="s">
        <v>106</v>
      </c>
      <c r="T8" s="12">
        <f>IF($H8="Cancelled","",IFERROR(((Q8+INDEX(Variables!$B$6:$D$6,IFERROR(MATCH(IF($B8="Robusta","Robusta",(IF($B8="","Arabica",$B8))&amp;" - "&amp;(IF($C8="","Commercial",$C8))),Variables!$B$1:$D$1,0),1)))*22.0462)*(L8/16.67),""))</f>
        <v>123067.25778044391</v>
      </c>
      <c r="U8" s="10">
        <v>45265</v>
      </c>
      <c r="V8" s="9" t="str">
        <f t="shared" si="2"/>
        <v>Sent</v>
      </c>
      <c r="W8" s="10">
        <v>45271</v>
      </c>
      <c r="X8" s="9" t="str">
        <f t="shared" si="3"/>
        <v>Approved</v>
      </c>
      <c r="Y8" s="10"/>
      <c r="Z8" s="10">
        <f>IF($H8="Cancelled","",IFERROR(IF(F8="","",F8-Variables!$B$13),""))</f>
        <v>45307</v>
      </c>
      <c r="AA8" s="11">
        <f>IF($H8="Cancelled","",IFERROR(IF(W8="","",(AVERAGE(E8:F8)-W8)-Variables!$B$14),""))</f>
        <v>6</v>
      </c>
      <c r="AB8" s="10">
        <v>45390</v>
      </c>
      <c r="AC8" s="11">
        <f>IF($H8="Cancelled","",IFERROR(IF(AB8="","",IF(AND(W8="",Y8=""),"",IF(Y8&gt;W8,Y8+Variables!$B$15+Variables!$B$16+Variables!$B$17-AB8,W8+Variables!$B$16+Variables!$B$17-AB8))),""))</f>
        <v>-111</v>
      </c>
      <c r="AD8" s="9" t="s">
        <v>107</v>
      </c>
      <c r="AE8" s="9" t="s">
        <v>115</v>
      </c>
      <c r="AF8" s="10"/>
      <c r="AG8" s="10"/>
      <c r="AH8" s="9"/>
      <c r="AI8" s="9" t="s">
        <v>116</v>
      </c>
      <c r="AJ8" s="9" t="s">
        <v>8</v>
      </c>
      <c r="AK8" s="10">
        <v>45343</v>
      </c>
      <c r="AL8" s="10"/>
      <c r="AM8" s="10">
        <v>45379</v>
      </c>
      <c r="AN8" s="9" t="s">
        <v>95</v>
      </c>
      <c r="AO8" s="9"/>
      <c r="AP8" s="11">
        <f>IF($H8="Cancelled","",IFERROR(IF(OR(AK8="",AB8=""),"",(AB8+Variables!$B$18-AK8)),""))</f>
        <v>54</v>
      </c>
      <c r="AQ8" s="11">
        <f>IF($H8="Cancelled","",IFERROR(IF(OR(AM8="",AK8=""),"",(AK8+Variables!$B$19)-AM8),""))</f>
        <v>-31</v>
      </c>
      <c r="AR8" s="12">
        <f>IF($H8="Cancelled","",IFERROR(T8*INDEX(Variables!$B$7:$D$7,IFERROR(MATCH(IF($B8="Robusta","Robusta",(IF($B8="","Arabica",$B8))&amp;" - "&amp;(IF($C8="","Commercial",$C8))),Variables!$B$1:$D$1,0),1))*(AQ8/365),""))</f>
        <v>-673.98650251823108</v>
      </c>
      <c r="AS8" s="12">
        <f>IF($H8="Cancelled","",IFERROR((T8*INDEX(Variables!$B$7:$D$7,IFERROR(MATCH(IF($B8="Robusta","Robusta",(IF($B8="","Arabica",$B8))&amp;" - "&amp;(IF($C8="","Commercial",$C8))),Variables!$B$1:$D$1,0),1))*IFERROR(IF(W8="","",(AVERAGE(E8:F8)-W8)-Variables!$B$14),"")/365)+(L8/16.67*INDEX(Variables!$B$8:$D$8,IFERROR(MATCH(IF($B8="Robusta","Robusta",(IF($B8="","Arabica",$B8))&amp;" - "&amp;(IF($C8="","Commercial",$C8))),Variables!$B$1:$D$1,0),1))*IFERROR(IF(W8="","",(AVERAGE(E8:F8)-W8)-Variables!$B$14),""))+(T8*INDEX(Variables!$B$9:$D$9,IFERROR(MATCH(IF($B8="Robusta","Robusta",(IF($B8="","Arabica",$B8))&amp;" - "&amp;(IF($C8="","Commercial",$C8))),Variables!$B$1:$D$1,0),1))*IFERROR(IF(W8="","",(AVERAGE(E8:F8)-W8)-Variables!$B$14),"")/365),""))</f>
        <v>228.13073985276202</v>
      </c>
      <c r="AT8" s="12">
        <f>IF($H8="Cancelled","",IFERROR((T8*INDEX(Variables!$B$7:$D$7,IFERROR(MATCH(IF($B8="Robusta","Robusta",(IF($B8="","Arabica",$B8))&amp;" - "&amp;(IF($C8="","Commercial",$C8))),Variables!$B$1:$D$1,0),1))*AC8/365)+(L8/16.67*INDEX(Variables!$B$8:$D$8,IFERROR(MATCH(IF($B8="Robusta","Robusta",(IF($B8="","Arabica",$B8))&amp;" - "&amp;(IF($C8="","Commercial",$C8))),Variables!$B$1:$D$1,0),1))*AC8)+(T8*INDEX(Variables!$B$9:$D$9,IFERROR(MATCH(IF($B8="Robusta","Robusta",(IF($B8="","Arabica",$B8))&amp;" - "&amp;(IF($C8="","Commercial",$C8))),Variables!$B$1:$D$1,0),1))*AC8/365),""))</f>
        <v>-4220.4186872760974</v>
      </c>
      <c r="AU8" s="12">
        <f>IF($H8="Cancelled","",IFERROR((T8*INDEX(Variables!$B$7:$D$7,IFERROR(MATCH(IF($B8="Robusta","Robusta",(IF($B8="","Arabica",$B8))&amp;" - "&amp;(IF($C8="","Commercial",$C8))),Variables!$B$1:$D$1,0),1))*AP8/365)+(L8/16.67*INDEX(Variables!$B$8:$D$8,IFERROR(MATCH(IF($B8="Robusta","Robusta",(IF($B8="","Arabica",$B8))&amp;" - "&amp;(IF($C8="","Commercial",$C8))),Variables!$B$1:$D$1,0),1))*AP8)+(T8*INDEX(Variables!$B$9:$D$9,IFERROR(MATCH(IF($B8="Robusta","Robusta",(IF($B8="","Arabica",$B8))&amp;" - "&amp;(IF($C8="","Commercial",$C8))),Variables!$B$1:$D$1,0),1))*AP8/365),""))</f>
        <v>2053.1766586748581</v>
      </c>
      <c r="AV8" s="11">
        <f t="shared" si="4"/>
        <v>-21</v>
      </c>
      <c r="AW8" s="12">
        <f>IF($H8="Cancelled","",IFERROR(IF(AV8="","",(T8*INDEX(Variables!$B$7:$D$7,IFERROR(MATCH(IF($B8="Robusta","Robusta",(IF($B8="","Arabica",$B8))&amp;" - "&amp;(IF($C8="","Commercial",$C8))),Variables!$B$1:$D$1,0),1))*(AV8/365))+(T8*INDEX(Variables!$B$9:$D$9,IFERROR(MATCH(IF($B8="Robusta","Robusta",(IF($B8="","Arabica",$B8))&amp;" - "&amp;(IF($C8="","Commercial",$C8))),Variables!$B$1:$D$1,0),1))*(AV8/365))+(INDEX(Variables!$B$8:$D$8,IFERROR(MATCH(IF($B8="Robusta","Robusta",(IF($B8="","Arabica",$B8))&amp;" - "&amp;(IF($C8="","Commercial",$C8))),Variables!$B$1:$D$1,0),1))*L8/16.67)),""))</f>
        <v>-446.4575894846671</v>
      </c>
      <c r="AX8" s="9"/>
      <c r="AY8" s="12"/>
      <c r="AZ8" s="10"/>
      <c r="BA8" s="9"/>
      <c r="BB8" s="10"/>
      <c r="BC8" s="9"/>
      <c r="BD8" s="9"/>
      <c r="BE8" s="9"/>
      <c r="BF8" s="9"/>
    </row>
    <row r="9" spans="1:58" x14ac:dyDescent="0.25">
      <c r="A9" s="9" t="s">
        <v>84</v>
      </c>
      <c r="B9" s="9" t="s">
        <v>85</v>
      </c>
      <c r="C9" s="9" t="s">
        <v>86</v>
      </c>
      <c r="D9" s="10">
        <v>45133</v>
      </c>
      <c r="E9" s="10">
        <v>45323</v>
      </c>
      <c r="F9" s="10">
        <v>45351</v>
      </c>
      <c r="G9" s="9">
        <v>3786047</v>
      </c>
      <c r="H9" s="9" t="str">
        <f t="shared" si="0"/>
        <v>Closed</v>
      </c>
      <c r="I9" s="9" t="str">
        <f t="shared" si="1"/>
        <v>All dates received</v>
      </c>
      <c r="J9" s="9" t="s">
        <v>112</v>
      </c>
      <c r="K9" s="9"/>
      <c r="L9" s="11">
        <v>320</v>
      </c>
      <c r="M9" s="9" t="s">
        <v>113</v>
      </c>
      <c r="N9" s="9" t="s">
        <v>114</v>
      </c>
      <c r="O9" s="9"/>
      <c r="P9" s="9"/>
      <c r="Q9" s="11"/>
      <c r="R9" s="9" t="s">
        <v>90</v>
      </c>
      <c r="S9" s="9" t="s">
        <v>117</v>
      </c>
      <c r="T9" s="12">
        <f>IF($H9="Cancelled","",IFERROR(((Q9+INDEX(Variables!$B$6:$D$6,IFERROR(MATCH(IF($B9="Robusta","Robusta",(IF($B9="","Arabica",$B9))&amp;" - "&amp;(IF($C9="","Commercial",$C9))),Variables!$B$1:$D$1,0),1)))*22.0462)*(L9/16.67),""))</f>
        <v>123067.25778044391</v>
      </c>
      <c r="U9" s="10"/>
      <c r="V9" s="9" t="str">
        <f t="shared" si="2"/>
        <v/>
      </c>
      <c r="W9" s="10">
        <v>45307</v>
      </c>
      <c r="X9" s="9" t="str">
        <f t="shared" si="3"/>
        <v>Approved</v>
      </c>
      <c r="Y9" s="10">
        <v>45379</v>
      </c>
      <c r="Z9" s="10">
        <f>IF($H9="Cancelled","",IFERROR(IF(F9="","",F9-Variables!$B$13),""))</f>
        <v>45336</v>
      </c>
      <c r="AA9" s="11">
        <f>IF($H9="Cancelled","",IFERROR(IF(W9="","",(AVERAGE(E9:F9)-W9)-Variables!$B$14),""))</f>
        <v>0</v>
      </c>
      <c r="AB9" s="10">
        <v>45390</v>
      </c>
      <c r="AC9" s="11">
        <f>IF($H9="Cancelled","",IFERROR(IF(AB9="","",IF(AND(W9="",Y9=""),"",IF(Y9&gt;W9,Y9+Variables!$B$15+Variables!$B$16+Variables!$B$17-AB9,W9+Variables!$B$16+Variables!$B$17-AB9))),""))</f>
        <v>4</v>
      </c>
      <c r="AD9" s="9" t="s">
        <v>107</v>
      </c>
      <c r="AE9" s="9" t="s">
        <v>118</v>
      </c>
      <c r="AF9" s="10"/>
      <c r="AG9" s="10"/>
      <c r="AH9" s="9"/>
      <c r="AI9" s="9" t="s">
        <v>119</v>
      </c>
      <c r="AJ9" s="9" t="s">
        <v>8</v>
      </c>
      <c r="AK9" s="10">
        <v>45468</v>
      </c>
      <c r="AL9" s="10">
        <v>45471</v>
      </c>
      <c r="AM9" s="10">
        <v>45474</v>
      </c>
      <c r="AN9" s="9" t="s">
        <v>95</v>
      </c>
      <c r="AO9" s="9"/>
      <c r="AP9" s="11">
        <f>IF($H9="Cancelled","",IFERROR(IF(OR(AK9="",AB9=""),"",(AB9+Variables!$B$18-AK9)),""))</f>
        <v>-71</v>
      </c>
      <c r="AQ9" s="11">
        <f>IF($H9="Cancelled","",IFERROR(IF(OR(AM9="",AK9=""),"",(AK9+Variables!$B$19)-AM9),""))</f>
        <v>-1</v>
      </c>
      <c r="AR9" s="12">
        <f>IF($H9="Cancelled","",IFERROR(T9*INDEX(Variables!$B$7:$D$7,IFERROR(MATCH(IF($B9="Robusta","Robusta",(IF($B9="","Arabica",$B9))&amp;" - "&amp;(IF($C9="","Commercial",$C9))),Variables!$B$1:$D$1,0),1))*(AQ9/365),""))</f>
        <v>-21.741500081233262</v>
      </c>
      <c r="AS9" s="12">
        <f>IF($H9="Cancelled","",IFERROR((T9*INDEX(Variables!$B$7:$D$7,IFERROR(MATCH(IF($B9="Robusta","Robusta",(IF($B9="","Arabica",$B9))&amp;" - "&amp;(IF($C9="","Commercial",$C9))),Variables!$B$1:$D$1,0),1))*IFERROR(IF(W9="","",(AVERAGE(E9:F9)-W9)-Variables!$B$14),"")/365)+(L9/16.67*INDEX(Variables!$B$8:$D$8,IFERROR(MATCH(IF($B9="Robusta","Robusta",(IF($B9="","Arabica",$B9))&amp;" - "&amp;(IF($C9="","Commercial",$C9))),Variables!$B$1:$D$1,0),1))*IFERROR(IF(W9="","",(AVERAGE(E9:F9)-W9)-Variables!$B$14),""))+(T9*INDEX(Variables!$B$9:$D$9,IFERROR(MATCH(IF($B9="Robusta","Robusta",(IF($B9="","Arabica",$B9))&amp;" - "&amp;(IF($C9="","Commercial",$C9))),Variables!$B$1:$D$1,0),1))*IFERROR(IF(W9="","",(AVERAGE(E9:F9)-W9)-Variables!$B$14),"")/365),""))</f>
        <v>0</v>
      </c>
      <c r="AT9" s="12">
        <f>IF($H9="Cancelled","",IFERROR((T9*INDEX(Variables!$B$7:$D$7,IFERROR(MATCH(IF($B9="Robusta","Robusta",(IF($B9="","Arabica",$B9))&amp;" - "&amp;(IF($C9="","Commercial",$C9))),Variables!$B$1:$D$1,0),1))*AC9/365)+(L9/16.67*INDEX(Variables!$B$8:$D$8,IFERROR(MATCH(IF($B9="Robusta","Robusta",(IF($B9="","Arabica",$B9))&amp;" - "&amp;(IF($C9="","Commercial",$C9))),Variables!$B$1:$D$1,0),1))*AC9)+(T9*INDEX(Variables!$B$9:$D$9,IFERROR(MATCH(IF($B9="Robusta","Robusta",(IF($B9="","Arabica",$B9))&amp;" - "&amp;(IF($C9="","Commercial",$C9))),Variables!$B$1:$D$1,0),1))*AC9/365),""))</f>
        <v>152.08715990184135</v>
      </c>
      <c r="AU9" s="12">
        <f>IF($H9="Cancelled","",IFERROR((T9*INDEX(Variables!$B$7:$D$7,IFERROR(MATCH(IF($B9="Robusta","Robusta",(IF($B9="","Arabica",$B9))&amp;" - "&amp;(IF($C9="","Commercial",$C9))),Variables!$B$1:$D$1,0),1))*AP9/365)+(L9/16.67*INDEX(Variables!$B$8:$D$8,IFERROR(MATCH(IF($B9="Robusta","Robusta",(IF($B9="","Arabica",$B9))&amp;" - "&amp;(IF($C9="","Commercial",$C9))),Variables!$B$1:$D$1,0),1))*AP9)+(T9*INDEX(Variables!$B$9:$D$9,IFERROR(MATCH(IF($B9="Robusta","Robusta",(IF($B9="","Arabica",$B9))&amp;" - "&amp;(IF($C9="","Commercial",$C9))),Variables!$B$1:$D$1,0),1))*AP9/365),""))</f>
        <v>-2699.5470882576838</v>
      </c>
      <c r="AV9" s="11">
        <f t="shared" si="4"/>
        <v>-117</v>
      </c>
      <c r="AW9" s="12">
        <f>IF($H9="Cancelled","",IFERROR(IF(AV9="","",(T9*INDEX(Variables!$B$7:$D$7,IFERROR(MATCH(IF($B9="Robusta","Robusta",(IF($B9="","Arabica",$B9))&amp;" - "&amp;(IF($C9="","Commercial",$C9))),Variables!$B$1:$D$1,0),1))*(AV9/365))+(T9*INDEX(Variables!$B$9:$D$9,IFERROR(MATCH(IF($B9="Robusta","Robusta",(IF($B9="","Arabica",$B9))&amp;" - "&amp;(IF($C9="","Commercial",$C9))),Variables!$B$1:$D$1,0),1))*(AV9/365))+(INDEX(Variables!$B$8:$D$8,IFERROR(MATCH(IF($B9="Robusta","Robusta",(IF($B9="","Arabica",$B9))&amp;" - "&amp;(IF($C9="","Commercial",$C9))),Variables!$B$1:$D$1,0),1))*L9/16.67)),""))</f>
        <v>-2560.5494271288599</v>
      </c>
      <c r="AX9" s="9"/>
      <c r="AY9" s="12"/>
      <c r="AZ9" s="10"/>
      <c r="BA9" s="9"/>
      <c r="BB9" s="10"/>
      <c r="BC9" s="9"/>
      <c r="BD9" s="9"/>
      <c r="BE9" s="9"/>
      <c r="BF9" s="9"/>
    </row>
    <row r="10" spans="1:58" x14ac:dyDescent="0.25">
      <c r="A10" s="9" t="s">
        <v>84</v>
      </c>
      <c r="B10" s="9" t="s">
        <v>85</v>
      </c>
      <c r="C10" s="9" t="s">
        <v>86</v>
      </c>
      <c r="D10" s="10">
        <v>45134</v>
      </c>
      <c r="E10" s="10">
        <v>45352</v>
      </c>
      <c r="F10" s="10">
        <v>45382</v>
      </c>
      <c r="G10" s="9">
        <v>3786053</v>
      </c>
      <c r="H10" s="9" t="str">
        <f t="shared" si="0"/>
        <v>Closed</v>
      </c>
      <c r="I10" s="9" t="str">
        <f t="shared" si="1"/>
        <v>All dates received</v>
      </c>
      <c r="J10" s="9" t="s">
        <v>120</v>
      </c>
      <c r="K10" s="9">
        <v>4719</v>
      </c>
      <c r="L10" s="11">
        <v>840</v>
      </c>
      <c r="M10" s="9" t="s">
        <v>121</v>
      </c>
      <c r="N10" s="9" t="s">
        <v>122</v>
      </c>
      <c r="O10" s="9"/>
      <c r="P10" s="9"/>
      <c r="Q10" s="11"/>
      <c r="R10" s="9" t="s">
        <v>90</v>
      </c>
      <c r="S10" s="9" t="s">
        <v>123</v>
      </c>
      <c r="T10" s="12">
        <f>IF($H10="Cancelled","",IFERROR(((Q10+INDEX(Variables!$B$6:$D$6,IFERROR(MATCH(IF($B10="Robusta","Robusta",(IF($B10="","Arabica",$B10))&amp;" - "&amp;(IF($C10="","Commercial",$C10))),Variables!$B$1:$D$1,0),1)))*22.0462)*(L10/16.67),""))</f>
        <v>323051.55167366524</v>
      </c>
      <c r="U10" s="10">
        <v>45328</v>
      </c>
      <c r="V10" s="9" t="str">
        <f t="shared" si="2"/>
        <v>Sent</v>
      </c>
      <c r="W10" s="10">
        <v>45359</v>
      </c>
      <c r="X10" s="9" t="str">
        <f t="shared" si="3"/>
        <v>Approved</v>
      </c>
      <c r="Y10" s="10"/>
      <c r="Z10" s="10">
        <f>IF($H10="Cancelled","",IFERROR(IF(F10="","",F10-Variables!$B$13),""))</f>
        <v>45367</v>
      </c>
      <c r="AA10" s="11">
        <f>IF($H10="Cancelled","",IFERROR(IF(W10="","",(AVERAGE(E10:F10)-W10)-Variables!$B$14),""))</f>
        <v>-22</v>
      </c>
      <c r="AB10" s="10">
        <v>45397</v>
      </c>
      <c r="AC10" s="11">
        <f>IF($H10="Cancelled","",IFERROR(IF(AB10="","",IF(AND(W10="",Y10=""),"",IF(Y10&gt;W10,Y10+Variables!$B$15+Variables!$B$16+Variables!$B$17-AB10,W10+Variables!$B$16+Variables!$B$17-AB10))),""))</f>
        <v>-30</v>
      </c>
      <c r="AD10" s="9" t="s">
        <v>124</v>
      </c>
      <c r="AE10" s="9" t="s">
        <v>98</v>
      </c>
      <c r="AF10" s="10"/>
      <c r="AG10" s="10"/>
      <c r="AH10" s="9"/>
      <c r="AI10" s="9" t="s">
        <v>125</v>
      </c>
      <c r="AJ10" s="9">
        <v>6427984430</v>
      </c>
      <c r="AK10" s="10">
        <v>45384</v>
      </c>
      <c r="AL10" s="10">
        <v>45386</v>
      </c>
      <c r="AM10" s="10">
        <v>45397</v>
      </c>
      <c r="AN10" s="9" t="s">
        <v>95</v>
      </c>
      <c r="AO10" s="9"/>
      <c r="AP10" s="11">
        <f>IF($H10="Cancelled","",IFERROR(IF(OR(AK10="",AB10=""),"",(AB10+Variables!$B$18-AK10)),""))</f>
        <v>20</v>
      </c>
      <c r="AQ10" s="11">
        <f>IF($H10="Cancelled","",IFERROR(IF(OR(AM10="",AK10=""),"",(AK10+Variables!$B$19)-AM10),""))</f>
        <v>-8</v>
      </c>
      <c r="AR10" s="12">
        <f>IF($H10="Cancelled","",IFERROR(T10*INDEX(Variables!$B$7:$D$7,IFERROR(MATCH(IF($B10="Robusta","Robusta",(IF($B10="","Arabica",$B10))&amp;" - "&amp;(IF($C10="","Commercial",$C10))),Variables!$B$1:$D$1,0),1))*(AQ10/365),""))</f>
        <v>-456.57150170589847</v>
      </c>
      <c r="AS10" s="12">
        <f>IF($H10="Cancelled","",IFERROR((T10*INDEX(Variables!$B$7:$D$7,IFERROR(MATCH(IF($B10="Robusta","Robusta",(IF($B10="","Arabica",$B10))&amp;" - "&amp;(IF($C10="","Commercial",$C10))),Variables!$B$1:$D$1,0),1))*IFERROR(IF(W10="","",(AVERAGE(E10:F10)-W10)-Variables!$B$14),"")/365)+(L10/16.67*INDEX(Variables!$B$8:$D$8,IFERROR(MATCH(IF($B10="Robusta","Robusta",(IF($B10="","Arabica",$B10))&amp;" - "&amp;(IF($C10="","Commercial",$C10))),Variables!$B$1:$D$1,0),1))*IFERROR(IF(W10="","",(AVERAGE(E10:F10)-W10)-Variables!$B$14),""))+(T10*INDEX(Variables!$B$9:$D$9,IFERROR(MATCH(IF($B10="Robusta","Robusta",(IF($B10="","Arabica",$B10))&amp;" - "&amp;(IF($C10="","Commercial",$C10))),Variables!$B$1:$D$1,0),1))*IFERROR(IF(W10="","",(AVERAGE(E10:F10)-W10)-Variables!$B$14),"")/365),""))</f>
        <v>-2195.7583710828344</v>
      </c>
      <c r="AT10" s="12">
        <f>IF($H10="Cancelled","",IFERROR((T10*INDEX(Variables!$B$7:$D$7,IFERROR(MATCH(IF($B10="Robusta","Robusta",(IF($B10="","Arabica",$B10))&amp;" - "&amp;(IF($C10="","Commercial",$C10))),Variables!$B$1:$D$1,0),1))*AC10/365)+(L10/16.67*INDEX(Variables!$B$8:$D$8,IFERROR(MATCH(IF($B10="Robusta","Robusta",(IF($B10="","Arabica",$B10))&amp;" - "&amp;(IF($C10="","Commercial",$C10))),Variables!$B$1:$D$1,0),1))*AC10)+(T10*INDEX(Variables!$B$9:$D$9,IFERROR(MATCH(IF($B10="Robusta","Robusta",(IF($B10="","Arabica",$B10))&amp;" - "&amp;(IF($C10="","Commercial",$C10))),Variables!$B$1:$D$1,0),1))*AC10/365),""))</f>
        <v>-2994.215960567501</v>
      </c>
      <c r="AU10" s="12">
        <f>IF($H10="Cancelled","",IFERROR((T10*INDEX(Variables!$B$7:$D$7,IFERROR(MATCH(IF($B10="Robusta","Robusta",(IF($B10="","Arabica",$B10))&amp;" - "&amp;(IF($C10="","Commercial",$C10))),Variables!$B$1:$D$1,0),1))*AP10/365)+(L10/16.67*INDEX(Variables!$B$8:$D$8,IFERROR(MATCH(IF($B10="Robusta","Robusta",(IF($B10="","Arabica",$B10))&amp;" - "&amp;(IF($C10="","Commercial",$C10))),Variables!$B$1:$D$1,0),1))*AP10)+(T10*INDEX(Variables!$B$9:$D$9,IFERROR(MATCH(IF($B10="Robusta","Robusta",(IF($B10="","Arabica",$B10))&amp;" - "&amp;(IF($C10="","Commercial",$C10))),Variables!$B$1:$D$1,0),1))*AP10/365),""))</f>
        <v>1996.1439737116677</v>
      </c>
      <c r="AV10" s="11">
        <f t="shared" si="4"/>
        <v>-2</v>
      </c>
      <c r="AW10" s="12">
        <f>IF($H10="Cancelled","",IFERROR(IF(AV10="","",(T10*INDEX(Variables!$B$7:$D$7,IFERROR(MATCH(IF($B10="Robusta","Robusta",(IF($B10="","Arabica",$B10))&amp;" - "&amp;(IF($C10="","Commercial",$C10))),Variables!$B$1:$D$1,0),1))*(AV10/365))+(T10*INDEX(Variables!$B$9:$D$9,IFERROR(MATCH(IF($B10="Robusta","Robusta",(IF($B10="","Arabica",$B10))&amp;" - "&amp;(IF($C10="","Commercial",$C10))),Variables!$B$1:$D$1,0),1))*(AV10/365))+(INDEX(Variables!$B$8:$D$8,IFERROR(MATCH(IF($B10="Robusta","Robusta",(IF($B10="","Arabica",$B10))&amp;" - "&amp;(IF($C10="","Commercial",$C10))),Variables!$B$1:$D$1,0),1))*L10/16.67)),""))</f>
        <v>-73.614397371166774</v>
      </c>
      <c r="AX10" s="9"/>
      <c r="AY10" s="12"/>
      <c r="AZ10" s="10"/>
      <c r="BA10" s="9"/>
      <c r="BB10" s="10"/>
      <c r="BC10" s="9"/>
      <c r="BD10" s="9"/>
      <c r="BE10" s="9"/>
      <c r="BF10" s="9"/>
    </row>
    <row r="11" spans="1:58" x14ac:dyDescent="0.25">
      <c r="A11" s="9" t="s">
        <v>84</v>
      </c>
      <c r="B11" s="9" t="s">
        <v>85</v>
      </c>
      <c r="C11" s="9" t="s">
        <v>86</v>
      </c>
      <c r="D11" s="10">
        <v>45134</v>
      </c>
      <c r="E11" s="10">
        <v>45383</v>
      </c>
      <c r="F11" s="10">
        <v>45412</v>
      </c>
      <c r="G11" s="9">
        <v>3786051</v>
      </c>
      <c r="H11" s="9" t="str">
        <f t="shared" si="0"/>
        <v>Closed</v>
      </c>
      <c r="I11" s="9" t="str">
        <f t="shared" si="1"/>
        <v>All dates received</v>
      </c>
      <c r="J11" s="9" t="s">
        <v>120</v>
      </c>
      <c r="K11" s="9">
        <v>4834</v>
      </c>
      <c r="L11" s="11">
        <v>840</v>
      </c>
      <c r="M11" s="9" t="s">
        <v>126</v>
      </c>
      <c r="N11" s="9" t="s">
        <v>121</v>
      </c>
      <c r="O11" s="9"/>
      <c r="P11" s="9"/>
      <c r="Q11" s="11"/>
      <c r="R11" s="9" t="s">
        <v>90</v>
      </c>
      <c r="S11" s="9" t="s">
        <v>123</v>
      </c>
      <c r="T11" s="12">
        <f>IF($H11="Cancelled","",IFERROR(((Q11+INDEX(Variables!$B$6:$D$6,IFERROR(MATCH(IF($B11="Robusta","Robusta",(IF($B11="","Arabica",$B11))&amp;" - "&amp;(IF($C11="","Commercial",$C11))),Variables!$B$1:$D$1,0),1)))*22.0462)*(L11/16.67),""))</f>
        <v>323051.55167366524</v>
      </c>
      <c r="U11" s="10">
        <v>45362</v>
      </c>
      <c r="V11" s="9" t="str">
        <f t="shared" si="2"/>
        <v>Sent</v>
      </c>
      <c r="W11" s="10">
        <v>45421</v>
      </c>
      <c r="X11" s="9" t="str">
        <f t="shared" si="3"/>
        <v>Approved</v>
      </c>
      <c r="Y11" s="10"/>
      <c r="Z11" s="10">
        <f>IF($H11="Cancelled","",IFERROR(IF(F11="","",F11-Variables!$B$13),""))</f>
        <v>45397</v>
      </c>
      <c r="AA11" s="11">
        <f>IF($H11="Cancelled","",IFERROR(IF(W11="","",(AVERAGE(E11:F11)-W11)-Variables!$B$14),""))</f>
        <v>-53.5</v>
      </c>
      <c r="AB11" s="10">
        <v>45398</v>
      </c>
      <c r="AC11" s="11">
        <f>IF($H11="Cancelled","",IFERROR(IF(AB11="","",IF(AND(W11="",Y11=""),"",IF(Y11&gt;W11,Y11+Variables!$B$15+Variables!$B$16+Variables!$B$17-AB11,W11+Variables!$B$16+Variables!$B$17-AB11))),""))</f>
        <v>31</v>
      </c>
      <c r="AD11" s="9" t="s">
        <v>92</v>
      </c>
      <c r="AE11" s="9" t="s">
        <v>127</v>
      </c>
      <c r="AF11" s="10"/>
      <c r="AG11" s="10"/>
      <c r="AH11" s="9"/>
      <c r="AI11" s="9" t="s">
        <v>128</v>
      </c>
      <c r="AJ11" s="9" t="s">
        <v>129</v>
      </c>
      <c r="AK11" s="10">
        <v>45437</v>
      </c>
      <c r="AL11" s="10">
        <v>45439</v>
      </c>
      <c r="AM11" s="10">
        <v>45447</v>
      </c>
      <c r="AN11" s="9" t="s">
        <v>95</v>
      </c>
      <c r="AO11" s="9"/>
      <c r="AP11" s="11">
        <f>IF($H11="Cancelled","",IFERROR(IF(OR(AK11="",AB11=""),"",(AB11+Variables!$B$18-AK11)),""))</f>
        <v>-32</v>
      </c>
      <c r="AQ11" s="11">
        <f>IF($H11="Cancelled","",IFERROR(IF(OR(AM11="",AK11=""),"",(AK11+Variables!$B$19)-AM11),""))</f>
        <v>-5</v>
      </c>
      <c r="AR11" s="12">
        <f>IF($H11="Cancelled","",IFERROR(T11*INDEX(Variables!$B$7:$D$7,IFERROR(MATCH(IF($B11="Robusta","Robusta",(IF($B11="","Arabica",$B11))&amp;" - "&amp;(IF($C11="","Commercial",$C11))),Variables!$B$1:$D$1,0),1))*(AQ11/365),""))</f>
        <v>-285.35718856618655</v>
      </c>
      <c r="AS11" s="12">
        <f>IF($H11="Cancelled","",IFERROR((T11*INDEX(Variables!$B$7:$D$7,IFERROR(MATCH(IF($B11="Robusta","Robusta",(IF($B11="","Arabica",$B11))&amp;" - "&amp;(IF($C11="","Commercial",$C11))),Variables!$B$1:$D$1,0),1))*IFERROR(IF(W11="","",(AVERAGE(E11:F11)-W11)-Variables!$B$14),"")/365)+(L11/16.67*INDEX(Variables!$B$8:$D$8,IFERROR(MATCH(IF($B11="Robusta","Robusta",(IF($B11="","Arabica",$B11))&amp;" - "&amp;(IF($C11="","Commercial",$C11))),Variables!$B$1:$D$1,0),1))*IFERROR(IF(W11="","",(AVERAGE(E11:F11)-W11)-Variables!$B$14),""))+(T11*INDEX(Variables!$B$9:$D$9,IFERROR(MATCH(IF($B11="Robusta","Robusta",(IF($B11="","Arabica",$B11))&amp;" - "&amp;(IF($C11="","Commercial",$C11))),Variables!$B$1:$D$1,0),1))*IFERROR(IF(W11="","",(AVERAGE(E11:F11)-W11)-Variables!$B$14),"")/365),""))</f>
        <v>-5339.6851296787108</v>
      </c>
      <c r="AT11" s="12">
        <f>IF($H11="Cancelled","",IFERROR((T11*INDEX(Variables!$B$7:$D$7,IFERROR(MATCH(IF($B11="Robusta","Robusta",(IF($B11="","Arabica",$B11))&amp;" - "&amp;(IF($C11="","Commercial",$C11))),Variables!$B$1:$D$1,0),1))*AC11/365)+(L11/16.67*INDEX(Variables!$B$8:$D$8,IFERROR(MATCH(IF($B11="Robusta","Robusta",(IF($B11="","Arabica",$B11))&amp;" - "&amp;(IF($C11="","Commercial",$C11))),Variables!$B$1:$D$1,0),1))*AC11)+(T11*INDEX(Variables!$B$9:$D$9,IFERROR(MATCH(IF($B11="Robusta","Robusta",(IF($B11="","Arabica",$B11))&amp;" - "&amp;(IF($C11="","Commercial",$C11))),Variables!$B$1:$D$1,0),1))*AC11/365),""))</f>
        <v>3094.0231592530854</v>
      </c>
      <c r="AU11" s="12">
        <f>IF($H11="Cancelled","",IFERROR((T11*INDEX(Variables!$B$7:$D$7,IFERROR(MATCH(IF($B11="Robusta","Robusta",(IF($B11="","Arabica",$B11))&amp;" - "&amp;(IF($C11="","Commercial",$C11))),Variables!$B$1:$D$1,0),1))*AP11/365)+(L11/16.67*INDEX(Variables!$B$8:$D$8,IFERROR(MATCH(IF($B11="Robusta","Robusta",(IF($B11="","Arabica",$B11))&amp;" - "&amp;(IF($C11="","Commercial",$C11))),Variables!$B$1:$D$1,0),1))*AP11)+(T11*INDEX(Variables!$B$9:$D$9,IFERROR(MATCH(IF($B11="Robusta","Robusta",(IF($B11="","Arabica",$B11))&amp;" - "&amp;(IF($C11="","Commercial",$C11))),Variables!$B$1:$D$1,0),1))*AP11/365),""))</f>
        <v>-3193.8303579386684</v>
      </c>
      <c r="AV11" s="11">
        <f t="shared" si="4"/>
        <v>-25</v>
      </c>
      <c r="AW11" s="12">
        <f>IF($H11="Cancelled","",IFERROR(IF(AV11="","",(T11*INDEX(Variables!$B$7:$D$7,IFERROR(MATCH(IF($B11="Robusta","Robusta",(IF($B11="","Arabica",$B11))&amp;" - "&amp;(IF($C11="","Commercial",$C11))),Variables!$B$1:$D$1,0),1))*(AV11/365))+(T11*INDEX(Variables!$B$9:$D$9,IFERROR(MATCH(IF($B11="Robusta","Robusta",(IF($B11="","Arabica",$B11))&amp;" - "&amp;(IF($C11="","Commercial",$C11))),Variables!$B$1:$D$1,0),1))*(AV11/365))+(INDEX(Variables!$B$8:$D$8,IFERROR(MATCH(IF($B11="Robusta","Robusta",(IF($B11="","Arabica",$B11))&amp;" - "&amp;(IF($C11="","Commercial",$C11))),Variables!$B$1:$D$1,0),1))*L11/16.67)),""))</f>
        <v>-1403.1799671395845</v>
      </c>
      <c r="AX11" s="9"/>
      <c r="AY11" s="12"/>
      <c r="AZ11" s="10"/>
      <c r="BA11" s="9"/>
      <c r="BB11" s="10"/>
      <c r="BC11" s="9"/>
      <c r="BD11" s="9"/>
      <c r="BE11" s="9"/>
      <c r="BF11" s="9"/>
    </row>
    <row r="12" spans="1:58" x14ac:dyDescent="0.25">
      <c r="A12" s="9" t="s">
        <v>84</v>
      </c>
      <c r="B12" s="9" t="s">
        <v>85</v>
      </c>
      <c r="C12" s="9" t="s">
        <v>86</v>
      </c>
      <c r="D12" s="10">
        <v>45134</v>
      </c>
      <c r="E12" s="10">
        <v>45383</v>
      </c>
      <c r="F12" s="10">
        <v>45412</v>
      </c>
      <c r="G12" s="9">
        <v>3786054</v>
      </c>
      <c r="H12" s="9" t="str">
        <f t="shared" si="0"/>
        <v>Closed</v>
      </c>
      <c r="I12" s="9" t="str">
        <f t="shared" si="1"/>
        <v>All dates received</v>
      </c>
      <c r="J12" s="9" t="s">
        <v>120</v>
      </c>
      <c r="K12" s="9">
        <v>4835</v>
      </c>
      <c r="L12" s="11">
        <v>840</v>
      </c>
      <c r="M12" s="9" t="s">
        <v>121</v>
      </c>
      <c r="N12" s="9" t="s">
        <v>122</v>
      </c>
      <c r="O12" s="9"/>
      <c r="P12" s="9"/>
      <c r="Q12" s="11"/>
      <c r="R12" s="9" t="s">
        <v>90</v>
      </c>
      <c r="S12" s="9" t="s">
        <v>123</v>
      </c>
      <c r="T12" s="12">
        <f>IF($H12="Cancelled","",IFERROR(((Q12+INDEX(Variables!$B$6:$D$6,IFERROR(MATCH(IF($B12="Robusta","Robusta",(IF($B12="","Arabica",$B12))&amp;" - "&amp;(IF($C12="","Commercial",$C12))),Variables!$B$1:$D$1,0),1)))*22.0462)*(L12/16.67),""))</f>
        <v>323051.55167366524</v>
      </c>
      <c r="U12" s="10">
        <v>45362</v>
      </c>
      <c r="V12" s="9" t="str">
        <f t="shared" si="2"/>
        <v>Sent</v>
      </c>
      <c r="W12" s="10">
        <v>45421</v>
      </c>
      <c r="X12" s="9" t="str">
        <f t="shared" si="3"/>
        <v>Approved</v>
      </c>
      <c r="Y12" s="10"/>
      <c r="Z12" s="10">
        <f>IF($H12="Cancelled","",IFERROR(IF(F12="","",F12-Variables!$B$13),""))</f>
        <v>45397</v>
      </c>
      <c r="AA12" s="11">
        <f>IF($H12="Cancelled","",IFERROR(IF(W12="","",(AVERAGE(E12:F12)-W12)-Variables!$B$14),""))</f>
        <v>-53.5</v>
      </c>
      <c r="AB12" s="10">
        <v>45397</v>
      </c>
      <c r="AC12" s="11">
        <f>IF($H12="Cancelled","",IFERROR(IF(AB12="","",IF(AND(W12="",Y12=""),"",IF(Y12&gt;W12,Y12+Variables!$B$15+Variables!$B$16+Variables!$B$17-AB12,W12+Variables!$B$16+Variables!$B$17-AB12))),""))</f>
        <v>32</v>
      </c>
      <c r="AD12" s="9" t="s">
        <v>130</v>
      </c>
      <c r="AE12" s="9" t="s">
        <v>131</v>
      </c>
      <c r="AF12" s="10"/>
      <c r="AG12" s="10"/>
      <c r="AH12" s="9"/>
      <c r="AI12" s="9" t="s">
        <v>132</v>
      </c>
      <c r="AJ12" s="9" t="s">
        <v>133</v>
      </c>
      <c r="AK12" s="10">
        <v>45445</v>
      </c>
      <c r="AL12" s="10">
        <v>45448</v>
      </c>
      <c r="AM12" s="10">
        <v>45462</v>
      </c>
      <c r="AN12" s="9" t="s">
        <v>95</v>
      </c>
      <c r="AO12" s="9"/>
      <c r="AP12" s="11">
        <f>IF($H12="Cancelled","",IFERROR(IF(OR(AK12="",AB12=""),"",(AB12+Variables!$B$18-AK12)),""))</f>
        <v>-41</v>
      </c>
      <c r="AQ12" s="11">
        <f>IF($H12="Cancelled","",IFERROR(IF(OR(AM12="",AK12=""),"",(AK12+Variables!$B$19)-AM12),""))</f>
        <v>-12</v>
      </c>
      <c r="AR12" s="12">
        <f>IF($H12="Cancelled","",IFERROR(T12*INDEX(Variables!$B$7:$D$7,IFERROR(MATCH(IF($B12="Robusta","Robusta",(IF($B12="","Arabica",$B12))&amp;" - "&amp;(IF($C12="","Commercial",$C12))),Variables!$B$1:$D$1,0),1))*(AQ12/365),""))</f>
        <v>-684.85725255884768</v>
      </c>
      <c r="AS12" s="12">
        <f>IF($H12="Cancelled","",IFERROR((T12*INDEX(Variables!$B$7:$D$7,IFERROR(MATCH(IF($B12="Robusta","Robusta",(IF($B12="","Arabica",$B12))&amp;" - "&amp;(IF($C12="","Commercial",$C12))),Variables!$B$1:$D$1,0),1))*IFERROR(IF(W12="","",(AVERAGE(E12:F12)-W12)-Variables!$B$14),"")/365)+(L12/16.67*INDEX(Variables!$B$8:$D$8,IFERROR(MATCH(IF($B12="Robusta","Robusta",(IF($B12="","Arabica",$B12))&amp;" - "&amp;(IF($C12="","Commercial",$C12))),Variables!$B$1:$D$1,0),1))*IFERROR(IF(W12="","",(AVERAGE(E12:F12)-W12)-Variables!$B$14),""))+(T12*INDEX(Variables!$B$9:$D$9,IFERROR(MATCH(IF($B12="Robusta","Robusta",(IF($B12="","Arabica",$B12))&amp;" - "&amp;(IF($C12="","Commercial",$C12))),Variables!$B$1:$D$1,0),1))*IFERROR(IF(W12="","",(AVERAGE(E12:F12)-W12)-Variables!$B$14),"")/365),""))</f>
        <v>-5339.6851296787108</v>
      </c>
      <c r="AT12" s="12">
        <f>IF($H12="Cancelled","",IFERROR((T12*INDEX(Variables!$B$7:$D$7,IFERROR(MATCH(IF($B12="Robusta","Robusta",(IF($B12="","Arabica",$B12))&amp;" - "&amp;(IF($C12="","Commercial",$C12))),Variables!$B$1:$D$1,0),1))*AC12/365)+(L12/16.67*INDEX(Variables!$B$8:$D$8,IFERROR(MATCH(IF($B12="Robusta","Robusta",(IF($B12="","Arabica",$B12))&amp;" - "&amp;(IF($C12="","Commercial",$C12))),Variables!$B$1:$D$1,0),1))*AC12)+(T12*INDEX(Variables!$B$9:$D$9,IFERROR(MATCH(IF($B12="Robusta","Robusta",(IF($B12="","Arabica",$B12))&amp;" - "&amp;(IF($C12="","Commercial",$C12))),Variables!$B$1:$D$1,0),1))*AC12/365),""))</f>
        <v>3193.8303579386684</v>
      </c>
      <c r="AU12" s="12">
        <f>IF($H12="Cancelled","",IFERROR((T12*INDEX(Variables!$B$7:$D$7,IFERROR(MATCH(IF($B12="Robusta","Robusta",(IF($B12="","Arabica",$B12))&amp;" - "&amp;(IF($C12="","Commercial",$C12))),Variables!$B$1:$D$1,0),1))*AP12/365)+(L12/16.67*INDEX(Variables!$B$8:$D$8,IFERROR(MATCH(IF($B12="Robusta","Robusta",(IF($B12="","Arabica",$B12))&amp;" - "&amp;(IF($C12="","Commercial",$C12))),Variables!$B$1:$D$1,0),1))*AP12)+(T12*INDEX(Variables!$B$9:$D$9,IFERROR(MATCH(IF($B12="Robusta","Robusta",(IF($B12="","Arabica",$B12))&amp;" - "&amp;(IF($C12="","Commercial",$C12))),Variables!$B$1:$D$1,0),1))*AP12/365),""))</f>
        <v>-4092.0951461089189</v>
      </c>
      <c r="AV12" s="11">
        <f t="shared" si="4"/>
        <v>-33</v>
      </c>
      <c r="AW12" s="12">
        <f>IF($H12="Cancelled","",IFERROR(IF(AV12="","",(T12*INDEX(Variables!$B$7:$D$7,IFERROR(MATCH(IF($B12="Robusta","Robusta",(IF($B12="","Arabica",$B12))&amp;" - "&amp;(IF($C12="","Commercial",$C12))),Variables!$B$1:$D$1,0),1))*(AV12/365))+(T12*INDEX(Variables!$B$9:$D$9,IFERROR(MATCH(IF($B12="Robusta","Robusta",(IF($B12="","Arabica",$B12))&amp;" - "&amp;(IF($C12="","Commercial",$C12))),Variables!$B$1:$D$1,0),1))*(AV12/365))+(INDEX(Variables!$B$8:$D$8,IFERROR(MATCH(IF($B12="Robusta","Robusta",(IF($B12="","Arabica",$B12))&amp;" - "&amp;(IF($C12="","Commercial",$C12))),Variables!$B$1:$D$1,0),1))*L12/16.67)),""))</f>
        <v>-1865.6375566242518</v>
      </c>
      <c r="AX12" s="9"/>
      <c r="AY12" s="12"/>
      <c r="AZ12" s="10"/>
      <c r="BA12" s="9"/>
      <c r="BB12" s="10"/>
      <c r="BC12" s="9"/>
      <c r="BD12" s="9"/>
      <c r="BE12" s="9"/>
      <c r="BF12" s="9"/>
    </row>
    <row r="13" spans="1:58" x14ac:dyDescent="0.25">
      <c r="A13" s="9" t="s">
        <v>84</v>
      </c>
      <c r="B13" s="9" t="s">
        <v>85</v>
      </c>
      <c r="C13" s="9" t="s">
        <v>86</v>
      </c>
      <c r="D13" s="10">
        <v>45134</v>
      </c>
      <c r="E13" s="10">
        <v>45413</v>
      </c>
      <c r="F13" s="10">
        <v>45443</v>
      </c>
      <c r="G13" s="9">
        <v>3786052</v>
      </c>
      <c r="H13" s="9" t="str">
        <f t="shared" si="0"/>
        <v>Closed</v>
      </c>
      <c r="I13" s="9" t="str">
        <f t="shared" si="1"/>
        <v>All dates received</v>
      </c>
      <c r="J13" s="9" t="s">
        <v>120</v>
      </c>
      <c r="K13" s="9">
        <v>4962</v>
      </c>
      <c r="L13" s="11">
        <v>560</v>
      </c>
      <c r="M13" s="9" t="s">
        <v>126</v>
      </c>
      <c r="N13" s="9" t="s">
        <v>121</v>
      </c>
      <c r="O13" s="9"/>
      <c r="P13" s="9"/>
      <c r="Q13" s="11"/>
      <c r="R13" s="9" t="s">
        <v>90</v>
      </c>
      <c r="S13" s="9" t="s">
        <v>123</v>
      </c>
      <c r="T13" s="12">
        <f>IF($H13="Cancelled","",IFERROR(((Q13+INDEX(Variables!$B$6:$D$6,IFERROR(MATCH(IF($B13="Robusta","Robusta",(IF($B13="","Arabica",$B13))&amp;" - "&amp;(IF($C13="","Commercial",$C13))),Variables!$B$1:$D$1,0),1)))*22.0462)*(L13/16.67),""))</f>
        <v>215367.70111577681</v>
      </c>
      <c r="U13" s="10">
        <v>45390</v>
      </c>
      <c r="V13" s="9" t="str">
        <f t="shared" si="2"/>
        <v>Sent</v>
      </c>
      <c r="W13" s="10"/>
      <c r="X13" s="9" t="str">
        <f t="shared" si="3"/>
        <v/>
      </c>
      <c r="Y13" s="10"/>
      <c r="Z13" s="10">
        <f>IF($H13="Cancelled","",IFERROR(IF(F13="","",F13-Variables!$B$13),""))</f>
        <v>45428</v>
      </c>
      <c r="AA13" s="11" t="str">
        <f>IF($H13="Cancelled","",IFERROR(IF(W13="","",(AVERAGE(E13:F13)-W13)-Variables!$B$14),""))</f>
        <v/>
      </c>
      <c r="AB13" s="10">
        <v>45401</v>
      </c>
      <c r="AC13" s="11" t="str">
        <f>IF($H13="Cancelled","",IFERROR(IF(AB13="","",IF(AND(W13="",Y13=""),"",IF(Y13&gt;W13,Y13+Variables!$B$15+Variables!$B$16+Variables!$B$17-AB13,W13+Variables!$B$16+Variables!$B$17-AB13))),""))</f>
        <v/>
      </c>
      <c r="AD13" s="9" t="s">
        <v>92</v>
      </c>
      <c r="AE13" s="9" t="s">
        <v>134</v>
      </c>
      <c r="AF13" s="10"/>
      <c r="AG13" s="10"/>
      <c r="AH13" s="9"/>
      <c r="AI13" s="9" t="s">
        <v>135</v>
      </c>
      <c r="AJ13" s="9" t="s">
        <v>136</v>
      </c>
      <c r="AK13" s="10">
        <v>45462</v>
      </c>
      <c r="AL13" s="10">
        <v>45464</v>
      </c>
      <c r="AM13" s="10">
        <v>45477</v>
      </c>
      <c r="AN13" s="9" t="s">
        <v>95</v>
      </c>
      <c r="AO13" s="9"/>
      <c r="AP13" s="11">
        <f>IF($H13="Cancelled","",IFERROR(IF(OR(AK13="",AB13=""),"",(AB13+Variables!$B$18-AK13)),""))</f>
        <v>-54</v>
      </c>
      <c r="AQ13" s="11">
        <f>IF($H13="Cancelled","",IFERROR(IF(OR(AM13="",AK13=""),"",(AK13+Variables!$B$19)-AM13),""))</f>
        <v>-10</v>
      </c>
      <c r="AR13" s="12">
        <f>IF($H13="Cancelled","",IFERROR(T13*INDEX(Variables!$B$7:$D$7,IFERROR(MATCH(IF($B13="Robusta","Robusta",(IF($B13="","Arabica",$B13))&amp;" - "&amp;(IF($C13="","Commercial",$C13))),Variables!$B$1:$D$1,0),1))*(AQ13/365),""))</f>
        <v>-380.47625142158199</v>
      </c>
      <c r="AS13" s="12" t="str">
        <f>IF($H13="Cancelled","",IFERROR((T13*INDEX(Variables!$B$7:$D$7,IFERROR(MATCH(IF($B13="Robusta","Robusta",(IF($B13="","Arabica",$B13))&amp;" - "&amp;(IF($C13="","Commercial",$C13))),Variables!$B$1:$D$1,0),1))*IFERROR(IF(W13="","",(AVERAGE(E13:F13)-W13)-Variables!$B$14),"")/365)+(L13/16.67*INDEX(Variables!$B$8:$D$8,IFERROR(MATCH(IF($B13="Robusta","Robusta",(IF($B13="","Arabica",$B13))&amp;" - "&amp;(IF($C13="","Commercial",$C13))),Variables!$B$1:$D$1,0),1))*IFERROR(IF(W13="","",(AVERAGE(E13:F13)-W13)-Variables!$B$14),""))+(T13*INDEX(Variables!$B$9:$D$9,IFERROR(MATCH(IF($B13="Robusta","Robusta",(IF($B13="","Arabica",$B13))&amp;" - "&amp;(IF($C13="","Commercial",$C13))),Variables!$B$1:$D$1,0),1))*IFERROR(IF(W13="","",(AVERAGE(E13:F13)-W13)-Variables!$B$14),"")/365),""))</f>
        <v/>
      </c>
      <c r="AT13" s="12" t="str">
        <f>IF($H13="Cancelled","",IFERROR((T13*INDEX(Variables!$B$7:$D$7,IFERROR(MATCH(IF($B13="Robusta","Robusta",(IF($B13="","Arabica",$B13))&amp;" - "&amp;(IF($C13="","Commercial",$C13))),Variables!$B$1:$D$1,0),1))*AC13/365)+(L13/16.67*INDEX(Variables!$B$8:$D$8,IFERROR(MATCH(IF($B13="Robusta","Robusta",(IF($B13="","Arabica",$B13))&amp;" - "&amp;(IF($C13="","Commercial",$C13))),Variables!$B$1:$D$1,0),1))*AC13)+(T13*INDEX(Variables!$B$9:$D$9,IFERROR(MATCH(IF($B13="Robusta","Robusta",(IF($B13="","Arabica",$B13))&amp;" - "&amp;(IF($C13="","Commercial",$C13))),Variables!$B$1:$D$1,0),1))*AC13/365),""))</f>
        <v/>
      </c>
      <c r="AU13" s="12">
        <f>IF($H13="Cancelled","",IFERROR((T13*INDEX(Variables!$B$7:$D$7,IFERROR(MATCH(IF($B13="Robusta","Robusta",(IF($B13="","Arabica",$B13))&amp;" - "&amp;(IF($C13="","Commercial",$C13))),Variables!$B$1:$D$1,0),1))*AP13/365)+(L13/16.67*INDEX(Variables!$B$8:$D$8,IFERROR(MATCH(IF($B13="Robusta","Robusta",(IF($B13="","Arabica",$B13))&amp;" - "&amp;(IF($C13="","Commercial",$C13))),Variables!$B$1:$D$1,0),1))*AP13)+(T13*INDEX(Variables!$B$9:$D$9,IFERROR(MATCH(IF($B13="Robusta","Robusta",(IF($B13="","Arabica",$B13))&amp;" - "&amp;(IF($C13="","Commercial",$C13))),Variables!$B$1:$D$1,0),1))*AP13/365),""))</f>
        <v>-3593.0591526810017</v>
      </c>
      <c r="AV13" s="11">
        <f t="shared" si="4"/>
        <v>-19</v>
      </c>
      <c r="AW13" s="12">
        <f>IF($H13="Cancelled","",IFERROR(IF(AV13="","",(T13*INDEX(Variables!$B$7:$D$7,IFERROR(MATCH(IF($B13="Robusta","Robusta",(IF($B13="","Arabica",$B13))&amp;" - "&amp;(IF($C13="","Commercial",$C13))),Variables!$B$1:$D$1,0),1))*(AV13/365))+(T13*INDEX(Variables!$B$9:$D$9,IFERROR(MATCH(IF($B13="Robusta","Robusta",(IF($B13="","Arabica",$B13))&amp;" - "&amp;(IF($C13="","Commercial",$C13))),Variables!$B$1:$D$1,0),1))*(AV13/365))+(INDEX(Variables!$B$8:$D$8,IFERROR(MATCH(IF($B13="Robusta","Robusta",(IF($B13="","Arabica",$B13))&amp;" - "&amp;(IF($C13="","Commercial",$C13))),Variables!$B$1:$D$1,0),1))*L13/16.67)),""))</f>
        <v>-704.2245166840562</v>
      </c>
      <c r="AX13" s="9"/>
      <c r="AY13" s="12"/>
      <c r="AZ13" s="10"/>
      <c r="BA13" s="9"/>
      <c r="BB13" s="10"/>
      <c r="BC13" s="9"/>
      <c r="BD13" s="9"/>
      <c r="BE13" s="9"/>
      <c r="BF13" s="9"/>
    </row>
    <row r="14" spans="1:58" x14ac:dyDescent="0.25">
      <c r="A14" s="9" t="s">
        <v>84</v>
      </c>
      <c r="B14" s="9" t="s">
        <v>85</v>
      </c>
      <c r="C14" s="9" t="s">
        <v>86</v>
      </c>
      <c r="D14" s="10">
        <v>45134</v>
      </c>
      <c r="E14" s="10">
        <v>45413</v>
      </c>
      <c r="F14" s="10">
        <v>45443</v>
      </c>
      <c r="G14" s="9">
        <v>3786055</v>
      </c>
      <c r="H14" s="9" t="str">
        <f t="shared" si="0"/>
        <v>Closed</v>
      </c>
      <c r="I14" s="9" t="str">
        <f t="shared" si="1"/>
        <v>All dates received</v>
      </c>
      <c r="J14" s="9" t="s">
        <v>120</v>
      </c>
      <c r="K14" s="9">
        <v>4963</v>
      </c>
      <c r="L14" s="11">
        <v>840</v>
      </c>
      <c r="M14" s="9" t="s">
        <v>121</v>
      </c>
      <c r="N14" s="9" t="s">
        <v>122</v>
      </c>
      <c r="O14" s="9"/>
      <c r="P14" s="9"/>
      <c r="Q14" s="11"/>
      <c r="R14" s="9" t="s">
        <v>90</v>
      </c>
      <c r="S14" s="9" t="s">
        <v>123</v>
      </c>
      <c r="T14" s="12">
        <f>IF($H14="Cancelled","",IFERROR(((Q14+INDEX(Variables!$B$6:$D$6,IFERROR(MATCH(IF($B14="Robusta","Robusta",(IF($B14="","Arabica",$B14))&amp;" - "&amp;(IF($C14="","Commercial",$C14))),Variables!$B$1:$D$1,0),1)))*22.0462)*(L14/16.67),""))</f>
        <v>323051.55167366524</v>
      </c>
      <c r="U14" s="10">
        <v>45390</v>
      </c>
      <c r="V14" s="9" t="str">
        <f t="shared" si="2"/>
        <v>Sent</v>
      </c>
      <c r="W14" s="10"/>
      <c r="X14" s="9" t="str">
        <f t="shared" si="3"/>
        <v/>
      </c>
      <c r="Y14" s="10"/>
      <c r="Z14" s="10">
        <f>IF($H14="Cancelled","",IFERROR(IF(F14="","",F14-Variables!$B$13),""))</f>
        <v>45428</v>
      </c>
      <c r="AA14" s="11" t="str">
        <f>IF($H14="Cancelled","",IFERROR(IF(W14="","",(AVERAGE(E14:F14)-W14)-Variables!$B$14),""))</f>
        <v/>
      </c>
      <c r="AB14" s="10">
        <v>45405</v>
      </c>
      <c r="AC14" s="11" t="str">
        <f>IF($H14="Cancelled","",IFERROR(IF(AB14="","",IF(AND(W14="",Y14=""),"",IF(Y14&gt;W14,Y14+Variables!$B$15+Variables!$B$16+Variables!$B$17-AB14,W14+Variables!$B$16+Variables!$B$17-AB14))),""))</f>
        <v/>
      </c>
      <c r="AD14" s="9" t="s">
        <v>92</v>
      </c>
      <c r="AE14" s="9" t="s">
        <v>134</v>
      </c>
      <c r="AF14" s="10"/>
      <c r="AG14" s="10"/>
      <c r="AH14" s="9"/>
      <c r="AI14" s="9" t="s">
        <v>137</v>
      </c>
      <c r="AJ14" s="9" t="s">
        <v>136</v>
      </c>
      <c r="AK14" s="10">
        <v>45462</v>
      </c>
      <c r="AL14" s="10">
        <v>45464</v>
      </c>
      <c r="AM14" s="10">
        <v>45477</v>
      </c>
      <c r="AN14" s="9" t="s">
        <v>95</v>
      </c>
      <c r="AO14" s="9"/>
      <c r="AP14" s="11">
        <f>IF($H14="Cancelled","",IFERROR(IF(OR(AK14="",AB14=""),"",(AB14+Variables!$B$18-AK14)),""))</f>
        <v>-50</v>
      </c>
      <c r="AQ14" s="11">
        <f>IF($H14="Cancelled","",IFERROR(IF(OR(AM14="",AK14=""),"",(AK14+Variables!$B$19)-AM14),""))</f>
        <v>-10</v>
      </c>
      <c r="AR14" s="12">
        <f>IF($H14="Cancelled","",IFERROR(T14*INDEX(Variables!$B$7:$D$7,IFERROR(MATCH(IF($B14="Robusta","Robusta",(IF($B14="","Arabica",$B14))&amp;" - "&amp;(IF($C14="","Commercial",$C14))),Variables!$B$1:$D$1,0),1))*(AQ14/365),""))</f>
        <v>-570.7143771323731</v>
      </c>
      <c r="AS14" s="12" t="str">
        <f>IF($H14="Cancelled","",IFERROR((T14*INDEX(Variables!$B$7:$D$7,IFERROR(MATCH(IF($B14="Robusta","Robusta",(IF($B14="","Arabica",$B14))&amp;" - "&amp;(IF($C14="","Commercial",$C14))),Variables!$B$1:$D$1,0),1))*IFERROR(IF(W14="","",(AVERAGE(E14:F14)-W14)-Variables!$B$14),"")/365)+(L14/16.67*INDEX(Variables!$B$8:$D$8,IFERROR(MATCH(IF($B14="Robusta","Robusta",(IF($B14="","Arabica",$B14))&amp;" - "&amp;(IF($C14="","Commercial",$C14))),Variables!$B$1:$D$1,0),1))*IFERROR(IF(W14="","",(AVERAGE(E14:F14)-W14)-Variables!$B$14),""))+(T14*INDEX(Variables!$B$9:$D$9,IFERROR(MATCH(IF($B14="Robusta","Robusta",(IF($B14="","Arabica",$B14))&amp;" - "&amp;(IF($C14="","Commercial",$C14))),Variables!$B$1:$D$1,0),1))*IFERROR(IF(W14="","",(AVERAGE(E14:F14)-W14)-Variables!$B$14),"")/365),""))</f>
        <v/>
      </c>
      <c r="AT14" s="12" t="str">
        <f>IF($H14="Cancelled","",IFERROR((T14*INDEX(Variables!$B$7:$D$7,IFERROR(MATCH(IF($B14="Robusta","Robusta",(IF($B14="","Arabica",$B14))&amp;" - "&amp;(IF($C14="","Commercial",$C14))),Variables!$B$1:$D$1,0),1))*AC14/365)+(L14/16.67*INDEX(Variables!$B$8:$D$8,IFERROR(MATCH(IF($B14="Robusta","Robusta",(IF($B14="","Arabica",$B14))&amp;" - "&amp;(IF($C14="","Commercial",$C14))),Variables!$B$1:$D$1,0),1))*AC14)+(T14*INDEX(Variables!$B$9:$D$9,IFERROR(MATCH(IF($B14="Robusta","Robusta",(IF($B14="","Arabica",$B14))&amp;" - "&amp;(IF($C14="","Commercial",$C14))),Variables!$B$1:$D$1,0),1))*AC14/365),""))</f>
        <v/>
      </c>
      <c r="AU14" s="12">
        <f>IF($H14="Cancelled","",IFERROR((T14*INDEX(Variables!$B$7:$D$7,IFERROR(MATCH(IF($B14="Robusta","Robusta",(IF($B14="","Arabica",$B14))&amp;" - "&amp;(IF($C14="","Commercial",$C14))),Variables!$B$1:$D$1,0),1))*AP14/365)+(L14/16.67*INDEX(Variables!$B$8:$D$8,IFERROR(MATCH(IF($B14="Robusta","Robusta",(IF($B14="","Arabica",$B14))&amp;" - "&amp;(IF($C14="","Commercial",$C14))),Variables!$B$1:$D$1,0),1))*AP14)+(T14*INDEX(Variables!$B$9:$D$9,IFERROR(MATCH(IF($B14="Robusta","Robusta",(IF($B14="","Arabica",$B14))&amp;" - "&amp;(IF($C14="","Commercial",$C14))),Variables!$B$1:$D$1,0),1))*AP14/365),""))</f>
        <v>-4990.3599342791695</v>
      </c>
      <c r="AV14" s="11">
        <f t="shared" si="4"/>
        <v>-19</v>
      </c>
      <c r="AW14" s="12">
        <f>IF($H14="Cancelled","",IFERROR(IF(AV14="","",(T14*INDEX(Variables!$B$7:$D$7,IFERROR(MATCH(IF($B14="Robusta","Robusta",(IF($B14="","Arabica",$B14))&amp;" - "&amp;(IF($C14="","Commercial",$C14))),Variables!$B$1:$D$1,0),1))*(AV14/365))+(T14*INDEX(Variables!$B$9:$D$9,IFERROR(MATCH(IF($B14="Robusta","Robusta",(IF($B14="","Arabica",$B14))&amp;" - "&amp;(IF($C14="","Commercial",$C14))),Variables!$B$1:$D$1,0),1))*(AV14/365))+(INDEX(Variables!$B$8:$D$8,IFERROR(MATCH(IF($B14="Robusta","Robusta",(IF($B14="","Arabica",$B14))&amp;" - "&amp;(IF($C14="","Commercial",$C14))),Variables!$B$1:$D$1,0),1))*L14/16.67)),""))</f>
        <v>-1056.3367750260843</v>
      </c>
      <c r="AX14" s="9"/>
      <c r="AY14" s="12"/>
      <c r="AZ14" s="10"/>
      <c r="BA14" s="9"/>
      <c r="BB14" s="10"/>
      <c r="BC14" s="9"/>
      <c r="BD14" s="9"/>
      <c r="BE14" s="9"/>
      <c r="BF14" s="9"/>
    </row>
    <row r="15" spans="1:58" x14ac:dyDescent="0.25">
      <c r="A15" s="9" t="s">
        <v>84</v>
      </c>
      <c r="B15" s="9" t="s">
        <v>85</v>
      </c>
      <c r="C15" s="9" t="s">
        <v>86</v>
      </c>
      <c r="D15" s="10">
        <v>45134</v>
      </c>
      <c r="E15" s="10">
        <v>45444</v>
      </c>
      <c r="F15" s="10">
        <v>45473</v>
      </c>
      <c r="G15" s="9">
        <v>3786056</v>
      </c>
      <c r="H15" s="9" t="str">
        <f t="shared" si="0"/>
        <v>Closed</v>
      </c>
      <c r="I15" s="9" t="str">
        <f t="shared" si="1"/>
        <v>All dates received</v>
      </c>
      <c r="J15" s="9" t="s">
        <v>120</v>
      </c>
      <c r="K15" s="9">
        <v>5009</v>
      </c>
      <c r="L15" s="11">
        <v>840</v>
      </c>
      <c r="M15" s="9" t="s">
        <v>121</v>
      </c>
      <c r="N15" s="9" t="s">
        <v>122</v>
      </c>
      <c r="O15" s="9"/>
      <c r="P15" s="9"/>
      <c r="Q15" s="11"/>
      <c r="R15" s="9" t="s">
        <v>90</v>
      </c>
      <c r="S15" s="9" t="s">
        <v>123</v>
      </c>
      <c r="T15" s="12">
        <f>IF($H15="Cancelled","",IFERROR(((Q15+INDEX(Variables!$B$6:$D$6,IFERROR(MATCH(IF($B15="Robusta","Robusta",(IF($B15="","Arabica",$B15))&amp;" - "&amp;(IF($C15="","Commercial",$C15))),Variables!$B$1:$D$1,0),1)))*22.0462)*(L15/16.67),""))</f>
        <v>323051.55167366524</v>
      </c>
      <c r="U15" s="10">
        <v>45454</v>
      </c>
      <c r="V15" s="9" t="str">
        <f t="shared" si="2"/>
        <v>Sent</v>
      </c>
      <c r="W15" s="10">
        <v>45470</v>
      </c>
      <c r="X15" s="9" t="str">
        <f t="shared" si="3"/>
        <v>Approved</v>
      </c>
      <c r="Y15" s="10"/>
      <c r="Z15" s="10">
        <f>IF($H15="Cancelled","",IFERROR(IF(F15="","",F15-Variables!$B$13),""))</f>
        <v>45458</v>
      </c>
      <c r="AA15" s="11">
        <f>IF($H15="Cancelled","",IFERROR(IF(W15="","",(AVERAGE(E15:F15)-W15)-Variables!$B$14),""))</f>
        <v>-41.5</v>
      </c>
      <c r="AB15" s="10">
        <v>45405</v>
      </c>
      <c r="AC15" s="11">
        <f>IF($H15="Cancelled","",IFERROR(IF(AB15="","",IF(AND(W15="",Y15=""),"",IF(Y15&gt;W15,Y15+Variables!$B$15+Variables!$B$16+Variables!$B$17-AB15,W15+Variables!$B$16+Variables!$B$17-AB15))),""))</f>
        <v>73</v>
      </c>
      <c r="AD15" s="9" t="s">
        <v>92</v>
      </c>
      <c r="AE15" s="9" t="s">
        <v>93</v>
      </c>
      <c r="AF15" s="10"/>
      <c r="AG15" s="10"/>
      <c r="AH15" s="9"/>
      <c r="AI15" s="9" t="s">
        <v>138</v>
      </c>
      <c r="AJ15" s="9" t="s">
        <v>139</v>
      </c>
      <c r="AK15" s="10">
        <v>45489</v>
      </c>
      <c r="AL15" s="10">
        <v>45491</v>
      </c>
      <c r="AM15" s="10">
        <v>45510</v>
      </c>
      <c r="AN15" s="9" t="s">
        <v>95</v>
      </c>
      <c r="AO15" s="9"/>
      <c r="AP15" s="11">
        <f>IF($H15="Cancelled","",IFERROR(IF(OR(AK15="",AB15=""),"",(AB15+Variables!$B$18-AK15)),""))</f>
        <v>-77</v>
      </c>
      <c r="AQ15" s="11">
        <f>IF($H15="Cancelled","",IFERROR(IF(OR(AM15="",AK15=""),"",(AK15+Variables!$B$19)-AM15),""))</f>
        <v>-16</v>
      </c>
      <c r="AR15" s="12">
        <f>IF($H15="Cancelled","",IFERROR(T15*INDEX(Variables!$B$7:$D$7,IFERROR(MATCH(IF($B15="Robusta","Robusta",(IF($B15="","Arabica",$B15))&amp;" - "&amp;(IF($C15="","Commercial",$C15))),Variables!$B$1:$D$1,0),1))*(AQ15/365),""))</f>
        <v>-913.14300341179694</v>
      </c>
      <c r="AS15" s="12">
        <f>IF($H15="Cancelled","",IFERROR((T15*INDEX(Variables!$B$7:$D$7,IFERROR(MATCH(IF($B15="Robusta","Robusta",(IF($B15="","Arabica",$B15))&amp;" - "&amp;(IF($C15="","Commercial",$C15))),Variables!$B$1:$D$1,0),1))*IFERROR(IF(W15="","",(AVERAGE(E15:F15)-W15)-Variables!$B$14),"")/365)+(L15/16.67*INDEX(Variables!$B$8:$D$8,IFERROR(MATCH(IF($B15="Robusta","Robusta",(IF($B15="","Arabica",$B15))&amp;" - "&amp;(IF($C15="","Commercial",$C15))),Variables!$B$1:$D$1,0),1))*IFERROR(IF(W15="","",(AVERAGE(E15:F15)-W15)-Variables!$B$14),""))+(T15*INDEX(Variables!$B$9:$D$9,IFERROR(MATCH(IF($B15="Robusta","Robusta",(IF($B15="","Arabica",$B15))&amp;" - "&amp;(IF($C15="","Commercial",$C15))),Variables!$B$1:$D$1,0),1))*IFERROR(IF(W15="","",(AVERAGE(E15:F15)-W15)-Variables!$B$14),"")/365),""))</f>
        <v>-4141.9987454517104</v>
      </c>
      <c r="AT15" s="12">
        <f>IF($H15="Cancelled","",IFERROR((T15*INDEX(Variables!$B$7:$D$7,IFERROR(MATCH(IF($B15="Robusta","Robusta",(IF($B15="","Arabica",$B15))&amp;" - "&amp;(IF($C15="","Commercial",$C15))),Variables!$B$1:$D$1,0),1))*AC15/365)+(L15/16.67*INDEX(Variables!$B$8:$D$8,IFERROR(MATCH(IF($B15="Robusta","Robusta",(IF($B15="","Arabica",$B15))&amp;" - "&amp;(IF($C15="","Commercial",$C15))),Variables!$B$1:$D$1,0),1))*AC15)+(T15*INDEX(Variables!$B$9:$D$9,IFERROR(MATCH(IF($B15="Robusta","Robusta",(IF($B15="","Arabica",$B15))&amp;" - "&amp;(IF($C15="","Commercial",$C15))),Variables!$B$1:$D$1,0),1))*AC15/365),""))</f>
        <v>7285.9255040475873</v>
      </c>
      <c r="AU15" s="12">
        <f>IF($H15="Cancelled","",IFERROR((T15*INDEX(Variables!$B$7:$D$7,IFERROR(MATCH(IF($B15="Robusta","Robusta",(IF($B15="","Arabica",$B15))&amp;" - "&amp;(IF($C15="","Commercial",$C15))),Variables!$B$1:$D$1,0),1))*AP15/365)+(L15/16.67*INDEX(Variables!$B$8:$D$8,IFERROR(MATCH(IF($B15="Robusta","Robusta",(IF($B15="","Arabica",$B15))&amp;" - "&amp;(IF($C15="","Commercial",$C15))),Variables!$B$1:$D$1,0),1))*AP15)+(T15*INDEX(Variables!$B$9:$D$9,IFERROR(MATCH(IF($B15="Robusta","Robusta",(IF($B15="","Arabica",$B15))&amp;" - "&amp;(IF($C15="","Commercial",$C15))),Variables!$B$1:$D$1,0),1))*AP15/365),""))</f>
        <v>-7685.1542987899202</v>
      </c>
      <c r="AV15" s="11">
        <f t="shared" si="4"/>
        <v>-16</v>
      </c>
      <c r="AW15" s="12">
        <f>IF($H15="Cancelled","",IFERROR(IF(AV15="","",(T15*INDEX(Variables!$B$7:$D$7,IFERROR(MATCH(IF($B15="Robusta","Robusta",(IF($B15="","Arabica",$B15))&amp;" - "&amp;(IF($C15="","Commercial",$C15))),Variables!$B$1:$D$1,0),1))*(AV15/365))+(T15*INDEX(Variables!$B$9:$D$9,IFERROR(MATCH(IF($B15="Robusta","Robusta",(IF($B15="","Arabica",$B15))&amp;" - "&amp;(IF($C15="","Commercial",$C15))),Variables!$B$1:$D$1,0),1))*(AV15/365))+(INDEX(Variables!$B$8:$D$8,IFERROR(MATCH(IF($B15="Robusta","Robusta",(IF($B15="","Arabica",$B15))&amp;" - "&amp;(IF($C15="","Commercial",$C15))),Variables!$B$1:$D$1,0),1))*L15/16.67)),""))</f>
        <v>-882.91517896933419</v>
      </c>
      <c r="AX15" s="9"/>
      <c r="AY15" s="12"/>
      <c r="AZ15" s="10"/>
      <c r="BA15" s="9"/>
      <c r="BB15" s="10"/>
      <c r="BC15" s="9"/>
      <c r="BD15" s="9"/>
      <c r="BE15" s="9"/>
      <c r="BF15" s="9"/>
    </row>
    <row r="16" spans="1:58" x14ac:dyDescent="0.25">
      <c r="A16" s="9" t="s">
        <v>84</v>
      </c>
      <c r="B16" s="9" t="s">
        <v>85</v>
      </c>
      <c r="C16" s="9" t="s">
        <v>86</v>
      </c>
      <c r="D16" s="10">
        <v>45134</v>
      </c>
      <c r="E16" s="10">
        <v>45444</v>
      </c>
      <c r="F16" s="10">
        <v>45473</v>
      </c>
      <c r="G16" s="9">
        <v>3786057</v>
      </c>
      <c r="H16" s="9" t="str">
        <f t="shared" si="0"/>
        <v>Closed</v>
      </c>
      <c r="I16" s="9" t="str">
        <f t="shared" si="1"/>
        <v>All dates received</v>
      </c>
      <c r="J16" s="9" t="s">
        <v>120</v>
      </c>
      <c r="K16" s="9">
        <v>5008</v>
      </c>
      <c r="L16" s="11">
        <v>840</v>
      </c>
      <c r="M16" s="9" t="s">
        <v>121</v>
      </c>
      <c r="N16" s="9" t="s">
        <v>122</v>
      </c>
      <c r="O16" s="9"/>
      <c r="P16" s="9"/>
      <c r="Q16" s="11"/>
      <c r="R16" s="9" t="s">
        <v>90</v>
      </c>
      <c r="S16" s="9" t="s">
        <v>123</v>
      </c>
      <c r="T16" s="12">
        <f>IF($H16="Cancelled","",IFERROR(((Q16+INDEX(Variables!$B$6:$D$6,IFERROR(MATCH(IF($B16="Robusta","Robusta",(IF($B16="","Arabica",$B16))&amp;" - "&amp;(IF($C16="","Commercial",$C16))),Variables!$B$1:$D$1,0),1)))*22.0462)*(L16/16.67),""))</f>
        <v>323051.55167366524</v>
      </c>
      <c r="U16" s="10">
        <v>45454</v>
      </c>
      <c r="V16" s="9" t="str">
        <f t="shared" si="2"/>
        <v>Sent</v>
      </c>
      <c r="W16" s="10">
        <v>45470</v>
      </c>
      <c r="X16" s="9" t="str">
        <f t="shared" si="3"/>
        <v>Approved</v>
      </c>
      <c r="Y16" s="10"/>
      <c r="Z16" s="10">
        <f>IF($H16="Cancelled","",IFERROR(IF(F16="","",F16-Variables!$B$13),""))</f>
        <v>45458</v>
      </c>
      <c r="AA16" s="11">
        <f>IF($H16="Cancelled","",IFERROR(IF(W16="","",(AVERAGE(E16:F16)-W16)-Variables!$B$14),""))</f>
        <v>-41.5</v>
      </c>
      <c r="AB16" s="10">
        <v>45406</v>
      </c>
      <c r="AC16" s="11">
        <f>IF($H16="Cancelled","",IFERROR(IF(AB16="","",IF(AND(W16="",Y16=""),"",IF(Y16&gt;W16,Y16+Variables!$B$15+Variables!$B$16+Variables!$B$17-AB16,W16+Variables!$B$16+Variables!$B$17-AB16))),""))</f>
        <v>72</v>
      </c>
      <c r="AD16" s="9" t="s">
        <v>130</v>
      </c>
      <c r="AE16" s="9" t="s">
        <v>140</v>
      </c>
      <c r="AF16" s="10"/>
      <c r="AG16" s="10"/>
      <c r="AH16" s="9"/>
      <c r="AI16" s="9" t="s">
        <v>141</v>
      </c>
      <c r="AJ16" s="9" t="s">
        <v>142</v>
      </c>
      <c r="AK16" s="10">
        <v>45497</v>
      </c>
      <c r="AL16" s="10">
        <v>45499</v>
      </c>
      <c r="AM16" s="10">
        <v>45518</v>
      </c>
      <c r="AN16" s="9" t="s">
        <v>95</v>
      </c>
      <c r="AO16" s="9"/>
      <c r="AP16" s="11">
        <f>IF($H16="Cancelled","",IFERROR(IF(OR(AK16="",AB16=""),"",(AB16+Variables!$B$18-AK16)),""))</f>
        <v>-84</v>
      </c>
      <c r="AQ16" s="11">
        <f>IF($H16="Cancelled","",IFERROR(IF(OR(AM16="",AK16=""),"",(AK16+Variables!$B$19)-AM16),""))</f>
        <v>-16</v>
      </c>
      <c r="AR16" s="12">
        <f>IF($H16="Cancelled","",IFERROR(T16*INDEX(Variables!$B$7:$D$7,IFERROR(MATCH(IF($B16="Robusta","Robusta",(IF($B16="","Arabica",$B16))&amp;" - "&amp;(IF($C16="","Commercial",$C16))),Variables!$B$1:$D$1,0),1))*(AQ16/365),""))</f>
        <v>-913.14300341179694</v>
      </c>
      <c r="AS16" s="12">
        <f>IF($H16="Cancelled","",IFERROR((T16*INDEX(Variables!$B$7:$D$7,IFERROR(MATCH(IF($B16="Robusta","Robusta",(IF($B16="","Arabica",$B16))&amp;" - "&amp;(IF($C16="","Commercial",$C16))),Variables!$B$1:$D$1,0),1))*IFERROR(IF(W16="","",(AVERAGE(E16:F16)-W16)-Variables!$B$14),"")/365)+(L16/16.67*INDEX(Variables!$B$8:$D$8,IFERROR(MATCH(IF($B16="Robusta","Robusta",(IF($B16="","Arabica",$B16))&amp;" - "&amp;(IF($C16="","Commercial",$C16))),Variables!$B$1:$D$1,0),1))*IFERROR(IF(W16="","",(AVERAGE(E16:F16)-W16)-Variables!$B$14),""))+(T16*INDEX(Variables!$B$9:$D$9,IFERROR(MATCH(IF($B16="Robusta","Robusta",(IF($B16="","Arabica",$B16))&amp;" - "&amp;(IF($C16="","Commercial",$C16))),Variables!$B$1:$D$1,0),1))*IFERROR(IF(W16="","",(AVERAGE(E16:F16)-W16)-Variables!$B$14),"")/365),""))</f>
        <v>-4141.9987454517104</v>
      </c>
      <c r="AT16" s="12">
        <f>IF($H16="Cancelled","",IFERROR((T16*INDEX(Variables!$B$7:$D$7,IFERROR(MATCH(IF($B16="Robusta","Robusta",(IF($B16="","Arabica",$B16))&amp;" - "&amp;(IF($C16="","Commercial",$C16))),Variables!$B$1:$D$1,0),1))*AC16/365)+(L16/16.67*INDEX(Variables!$B$8:$D$8,IFERROR(MATCH(IF($B16="Robusta","Robusta",(IF($B16="","Arabica",$B16))&amp;" - "&amp;(IF($C16="","Commercial",$C16))),Variables!$B$1:$D$1,0),1))*AC16)+(T16*INDEX(Variables!$B$9:$D$9,IFERROR(MATCH(IF($B16="Robusta","Robusta",(IF($B16="","Arabica",$B16))&amp;" - "&amp;(IF($C16="","Commercial",$C16))),Variables!$B$1:$D$1,0),1))*AC16/365),""))</f>
        <v>7186.1183053620034</v>
      </c>
      <c r="AU16" s="12">
        <f>IF($H16="Cancelled","",IFERROR((T16*INDEX(Variables!$B$7:$D$7,IFERROR(MATCH(IF($B16="Robusta","Robusta",(IF($B16="","Arabica",$B16))&amp;" - "&amp;(IF($C16="","Commercial",$C16))),Variables!$B$1:$D$1,0),1))*AP16/365)+(L16/16.67*INDEX(Variables!$B$8:$D$8,IFERROR(MATCH(IF($B16="Robusta","Robusta",(IF($B16="","Arabica",$B16))&amp;" - "&amp;(IF($C16="","Commercial",$C16))),Variables!$B$1:$D$1,0),1))*AP16)+(T16*INDEX(Variables!$B$9:$D$9,IFERROR(MATCH(IF($B16="Robusta","Robusta",(IF($B16="","Arabica",$B16))&amp;" - "&amp;(IF($C16="","Commercial",$C16))),Variables!$B$1:$D$1,0),1))*AP16/365),""))</f>
        <v>-8383.8046895890038</v>
      </c>
      <c r="AV16" s="11">
        <f t="shared" si="4"/>
        <v>-24</v>
      </c>
      <c r="AW16" s="12">
        <f>IF($H16="Cancelled","",IFERROR(IF(AV16="","",(T16*INDEX(Variables!$B$7:$D$7,IFERROR(MATCH(IF($B16="Robusta","Robusta",(IF($B16="","Arabica",$B16))&amp;" - "&amp;(IF($C16="","Commercial",$C16))),Variables!$B$1:$D$1,0),1))*(AV16/365))+(T16*INDEX(Variables!$B$9:$D$9,IFERROR(MATCH(IF($B16="Robusta","Robusta",(IF($B16="","Arabica",$B16))&amp;" - "&amp;(IF($C16="","Commercial",$C16))),Variables!$B$1:$D$1,0),1))*(AV16/365))+(INDEX(Variables!$B$8:$D$8,IFERROR(MATCH(IF($B16="Robusta","Robusta",(IF($B16="","Arabica",$B16))&amp;" - "&amp;(IF($C16="","Commercial",$C16))),Variables!$B$1:$D$1,0),1))*L16/16.67)),""))</f>
        <v>-1345.3727684540013</v>
      </c>
      <c r="AX16" s="9"/>
      <c r="AY16" s="12"/>
      <c r="AZ16" s="10"/>
      <c r="BA16" s="9"/>
      <c r="BB16" s="10"/>
      <c r="BC16" s="9"/>
      <c r="BD16" s="9"/>
      <c r="BE16" s="9"/>
      <c r="BF16" s="9"/>
    </row>
    <row r="17" spans="1:58" x14ac:dyDescent="0.25">
      <c r="A17" s="9" t="s">
        <v>84</v>
      </c>
      <c r="B17" s="9" t="s">
        <v>85</v>
      </c>
      <c r="C17" s="9" t="s">
        <v>86</v>
      </c>
      <c r="D17" s="10">
        <v>45201</v>
      </c>
      <c r="E17" s="10">
        <v>45292</v>
      </c>
      <c r="F17" s="10">
        <v>45322</v>
      </c>
      <c r="G17" s="9">
        <v>3786061</v>
      </c>
      <c r="H17" s="9" t="str">
        <f t="shared" si="0"/>
        <v>Closed</v>
      </c>
      <c r="I17" s="9" t="str">
        <f t="shared" si="1"/>
        <v>All dates received</v>
      </c>
      <c r="J17" s="9" t="s">
        <v>112</v>
      </c>
      <c r="K17" s="9"/>
      <c r="L17" s="11">
        <v>640</v>
      </c>
      <c r="M17" s="9" t="s">
        <v>143</v>
      </c>
      <c r="N17" s="9" t="s">
        <v>114</v>
      </c>
      <c r="O17" s="9"/>
      <c r="P17" s="9"/>
      <c r="Q17" s="11"/>
      <c r="R17" s="9" t="s">
        <v>90</v>
      </c>
      <c r="S17" s="9" t="s">
        <v>117</v>
      </c>
      <c r="T17" s="12">
        <f>IF($H17="Cancelled","",IFERROR(((Q17+INDEX(Variables!$B$6:$D$6,IFERROR(MATCH(IF($B17="Robusta","Robusta",(IF($B17="","Arabica",$B17))&amp;" - "&amp;(IF($C17="","Commercial",$C17))),Variables!$B$1:$D$1,0),1)))*22.0462)*(L17/16.67),""))</f>
        <v>246134.51556088781</v>
      </c>
      <c r="U17" s="10">
        <v>45265</v>
      </c>
      <c r="V17" s="9" t="str">
        <f t="shared" si="2"/>
        <v>Sent</v>
      </c>
      <c r="W17" s="10">
        <v>45271</v>
      </c>
      <c r="X17" s="9" t="str">
        <f t="shared" si="3"/>
        <v>Approved</v>
      </c>
      <c r="Y17" s="10"/>
      <c r="Z17" s="10">
        <f>IF($H17="Cancelled","",IFERROR(IF(F17="","",F17-Variables!$B$13),""))</f>
        <v>45307</v>
      </c>
      <c r="AA17" s="11">
        <f>IF($H17="Cancelled","",IFERROR(IF(W17="","",(AVERAGE(E17:F17)-W17)-Variables!$B$14),""))</f>
        <v>6</v>
      </c>
      <c r="AB17" s="10">
        <v>45408</v>
      </c>
      <c r="AC17" s="11">
        <f>IF($H17="Cancelled","",IFERROR(IF(AB17="","",IF(AND(W17="",Y17=""),"",IF(Y17&gt;W17,Y17+Variables!$B$15+Variables!$B$16+Variables!$B$17-AB17,W17+Variables!$B$16+Variables!$B$17-AB17))),""))</f>
        <v>-129</v>
      </c>
      <c r="AD17" s="9" t="s">
        <v>107</v>
      </c>
      <c r="AE17" s="9" t="s">
        <v>144</v>
      </c>
      <c r="AF17" s="10"/>
      <c r="AG17" s="10"/>
      <c r="AH17" s="9"/>
      <c r="AI17" s="9" t="s">
        <v>145</v>
      </c>
      <c r="AJ17" s="9" t="s">
        <v>146</v>
      </c>
      <c r="AK17" s="10">
        <v>45505</v>
      </c>
      <c r="AL17" s="10">
        <v>45509</v>
      </c>
      <c r="AM17" s="10">
        <v>45517</v>
      </c>
      <c r="AN17" s="9" t="s">
        <v>95</v>
      </c>
      <c r="AO17" s="9"/>
      <c r="AP17" s="11">
        <f>IF($H17="Cancelled","",IFERROR(IF(OR(AK17="",AB17=""),"",(AB17+Variables!$B$18-AK17)),""))</f>
        <v>-90</v>
      </c>
      <c r="AQ17" s="11">
        <f>IF($H17="Cancelled","",IFERROR(IF(OR(AM17="",AK17=""),"",(AK17+Variables!$B$19)-AM17),""))</f>
        <v>-7</v>
      </c>
      <c r="AR17" s="12">
        <f>IF($H17="Cancelled","",IFERROR(T17*INDEX(Variables!$B$7:$D$7,IFERROR(MATCH(IF($B17="Robusta","Robusta",(IF($B17="","Arabica",$B17))&amp;" - "&amp;(IF($C17="","Commercial",$C17))),Variables!$B$1:$D$1,0),1))*(AQ17/365),""))</f>
        <v>-304.38100113726568</v>
      </c>
      <c r="AS17" s="12">
        <f>IF($H17="Cancelled","",IFERROR((T17*INDEX(Variables!$B$7:$D$7,IFERROR(MATCH(IF($B17="Robusta","Robusta",(IF($B17="","Arabica",$B17))&amp;" - "&amp;(IF($C17="","Commercial",$C17))),Variables!$B$1:$D$1,0),1))*IFERROR(IF(W17="","",(AVERAGE(E17:F17)-W17)-Variables!$B$14),"")/365)+(L17/16.67*INDEX(Variables!$B$8:$D$8,IFERROR(MATCH(IF($B17="Robusta","Robusta",(IF($B17="","Arabica",$B17))&amp;" - "&amp;(IF($C17="","Commercial",$C17))),Variables!$B$1:$D$1,0),1))*IFERROR(IF(W17="","",(AVERAGE(E17:F17)-W17)-Variables!$B$14),""))+(T17*INDEX(Variables!$B$9:$D$9,IFERROR(MATCH(IF($B17="Robusta","Robusta",(IF($B17="","Arabica",$B17))&amp;" - "&amp;(IF($C17="","Commercial",$C17))),Variables!$B$1:$D$1,0),1))*IFERROR(IF(W17="","",(AVERAGE(E17:F17)-W17)-Variables!$B$14),"")/365),""))</f>
        <v>456.26147970552404</v>
      </c>
      <c r="AT17" s="12">
        <f>IF($H17="Cancelled","",IFERROR((T17*INDEX(Variables!$B$7:$D$7,IFERROR(MATCH(IF($B17="Robusta","Robusta",(IF($B17="","Arabica",$B17))&amp;" - "&amp;(IF($C17="","Commercial",$C17))),Variables!$B$1:$D$1,0),1))*AC17/365)+(L17/16.67*INDEX(Variables!$B$8:$D$8,IFERROR(MATCH(IF($B17="Robusta","Robusta",(IF($B17="","Arabica",$B17))&amp;" - "&amp;(IF($C17="","Commercial",$C17))),Variables!$B$1:$D$1,0),1))*AC17)+(T17*INDEX(Variables!$B$9:$D$9,IFERROR(MATCH(IF($B17="Robusta","Robusta",(IF($B17="","Arabica",$B17))&amp;" - "&amp;(IF($C17="","Commercial",$C17))),Variables!$B$1:$D$1,0),1))*AC17/365),""))</f>
        <v>-9809.6218136687676</v>
      </c>
      <c r="AU17" s="12">
        <f>IF($H17="Cancelled","",IFERROR((T17*INDEX(Variables!$B$7:$D$7,IFERROR(MATCH(IF($B17="Robusta","Robusta",(IF($B17="","Arabica",$B17))&amp;" - "&amp;(IF($C17="","Commercial",$C17))),Variables!$B$1:$D$1,0),1))*AP17/365)+(L17/16.67*INDEX(Variables!$B$8:$D$8,IFERROR(MATCH(IF($B17="Robusta","Robusta",(IF($B17="","Arabica",$B17))&amp;" - "&amp;(IF($C17="","Commercial",$C17))),Variables!$B$1:$D$1,0),1))*AP17)+(T17*INDEX(Variables!$B$9:$D$9,IFERROR(MATCH(IF($B17="Robusta","Robusta",(IF($B17="","Arabica",$B17))&amp;" - "&amp;(IF($C17="","Commercial",$C17))),Variables!$B$1:$D$1,0),1))*AP17/365),""))</f>
        <v>-6843.9221955828616</v>
      </c>
      <c r="AV17" s="11">
        <f t="shared" si="4"/>
        <v>-183</v>
      </c>
      <c r="AW17" s="12">
        <f>IF($H17="Cancelled","",IFERROR(IF(AV17="","",(T17*INDEX(Variables!$B$7:$D$7,IFERROR(MATCH(IF($B17="Robusta","Robusta",(IF($B17="","Arabica",$B17))&amp;" - "&amp;(IF($C17="","Commercial",$C17))),Variables!$B$1:$D$1,0),1))*(AV17/365))+(T17*INDEX(Variables!$B$9:$D$9,IFERROR(MATCH(IF($B17="Robusta","Robusta",(IF($B17="","Arabica",$B17))&amp;" - "&amp;(IF($C17="","Commercial",$C17))),Variables!$B$1:$D$1,0),1))*(AV17/365))+(INDEX(Variables!$B$8:$D$8,IFERROR(MATCH(IF($B17="Robusta","Robusta",(IF($B17="","Arabica",$B17))&amp;" - "&amp;(IF($C17="","Commercial",$C17))),Variables!$B$1:$D$1,0),1))*L17/16.67)),""))</f>
        <v>-8027.9751310184847</v>
      </c>
      <c r="AX17" s="9"/>
      <c r="AY17" s="12"/>
      <c r="AZ17" s="10"/>
      <c r="BA17" s="9"/>
      <c r="BB17" s="10"/>
      <c r="BC17" s="9"/>
      <c r="BD17" s="9"/>
      <c r="BE17" s="9"/>
      <c r="BF17" s="9"/>
    </row>
    <row r="18" spans="1:58" x14ac:dyDescent="0.25">
      <c r="A18" s="9" t="s">
        <v>84</v>
      </c>
      <c r="B18" s="9" t="s">
        <v>85</v>
      </c>
      <c r="C18" s="9" t="s">
        <v>86</v>
      </c>
      <c r="D18" s="10">
        <v>45201</v>
      </c>
      <c r="E18" s="10">
        <v>45444</v>
      </c>
      <c r="F18" s="10">
        <v>45473</v>
      </c>
      <c r="G18" s="9">
        <v>3786060</v>
      </c>
      <c r="H18" s="9" t="str">
        <f t="shared" si="0"/>
        <v>Closed</v>
      </c>
      <c r="I18" s="9" t="str">
        <f t="shared" si="1"/>
        <v>All dates received</v>
      </c>
      <c r="J18" s="9" t="s">
        <v>147</v>
      </c>
      <c r="K18" s="9">
        <v>4990</v>
      </c>
      <c r="L18" s="11">
        <v>320</v>
      </c>
      <c r="M18" s="9" t="s">
        <v>148</v>
      </c>
      <c r="N18" s="9" t="s">
        <v>149</v>
      </c>
      <c r="O18" s="9"/>
      <c r="P18" s="9"/>
      <c r="Q18" s="11"/>
      <c r="R18" s="9" t="s">
        <v>90</v>
      </c>
      <c r="S18" s="9" t="s">
        <v>150</v>
      </c>
      <c r="T18" s="12">
        <f>IF($H18="Cancelled","",IFERROR(((Q18+INDEX(Variables!$B$6:$D$6,IFERROR(MATCH(IF($B18="Robusta","Robusta",(IF($B18="","Arabica",$B18))&amp;" - "&amp;(IF($C18="","Commercial",$C18))),Variables!$B$1:$D$1,0),1)))*22.0462)*(L18/16.67),""))</f>
        <v>123067.25778044391</v>
      </c>
      <c r="U18" s="10">
        <v>45411</v>
      </c>
      <c r="V18" s="9" t="str">
        <f t="shared" si="2"/>
        <v>Sent</v>
      </c>
      <c r="W18" s="10">
        <v>45453</v>
      </c>
      <c r="X18" s="9" t="str">
        <f t="shared" si="3"/>
        <v>Approved</v>
      </c>
      <c r="Y18" s="10"/>
      <c r="Z18" s="10">
        <f>IF($H18="Cancelled","",IFERROR(IF(F18="","",F18-Variables!$B$13),""))</f>
        <v>45458</v>
      </c>
      <c r="AA18" s="11">
        <f>IF($H18="Cancelled","",IFERROR(IF(W18="","",(AVERAGE(E18:F18)-W18)-Variables!$B$14),""))</f>
        <v>-24.5</v>
      </c>
      <c r="AB18" s="10">
        <v>45412</v>
      </c>
      <c r="AC18" s="11">
        <f>IF($H18="Cancelled","",IFERROR(IF(AB18="","",IF(AND(W18="",Y18=""),"",IF(Y18&gt;W18,Y18+Variables!$B$15+Variables!$B$16+Variables!$B$17-AB18,W18+Variables!$B$16+Variables!$B$17-AB18))),""))</f>
        <v>49</v>
      </c>
      <c r="AD18" s="9" t="s">
        <v>151</v>
      </c>
      <c r="AE18" s="9" t="s">
        <v>152</v>
      </c>
      <c r="AF18" s="10"/>
      <c r="AG18" s="10"/>
      <c r="AH18" s="9"/>
      <c r="AI18" s="9" t="s">
        <v>153</v>
      </c>
      <c r="AJ18" s="9" t="s">
        <v>8</v>
      </c>
      <c r="AK18" s="10">
        <v>45475</v>
      </c>
      <c r="AL18" s="10">
        <v>45483</v>
      </c>
      <c r="AM18" s="10">
        <v>45490</v>
      </c>
      <c r="AN18" s="9" t="s">
        <v>95</v>
      </c>
      <c r="AO18" s="9"/>
      <c r="AP18" s="11">
        <f>IF($H18="Cancelled","",IFERROR(IF(OR(AK18="",AB18=""),"",(AB18+Variables!$B$18-AK18)),""))</f>
        <v>-56</v>
      </c>
      <c r="AQ18" s="11">
        <f>IF($H18="Cancelled","",IFERROR(IF(OR(AM18="",AK18=""),"",(AK18+Variables!$B$19)-AM18),""))</f>
        <v>-10</v>
      </c>
      <c r="AR18" s="12">
        <f>IF($H18="Cancelled","",IFERROR(T18*INDEX(Variables!$B$7:$D$7,IFERROR(MATCH(IF($B18="Robusta","Robusta",(IF($B18="","Arabica",$B18))&amp;" - "&amp;(IF($C18="","Commercial",$C18))),Variables!$B$1:$D$1,0),1))*(AQ18/365),""))</f>
        <v>-217.41500081233261</v>
      </c>
      <c r="AS18" s="12">
        <f>IF($H18="Cancelled","",IFERROR((T18*INDEX(Variables!$B$7:$D$7,IFERROR(MATCH(IF($B18="Robusta","Robusta",(IF($B18="","Arabica",$B18))&amp;" - "&amp;(IF($C18="","Commercial",$C18))),Variables!$B$1:$D$1,0),1))*IFERROR(IF(W18="","",(AVERAGE(E18:F18)-W18)-Variables!$B$14),"")/365)+(L18/16.67*INDEX(Variables!$B$8:$D$8,IFERROR(MATCH(IF($B18="Robusta","Robusta",(IF($B18="","Arabica",$B18))&amp;" - "&amp;(IF($C18="","Commercial",$C18))),Variables!$B$1:$D$1,0),1))*IFERROR(IF(W18="","",(AVERAGE(E18:F18)-W18)-Variables!$B$14),""))+(T18*INDEX(Variables!$B$9:$D$9,IFERROR(MATCH(IF($B18="Robusta","Robusta",(IF($B18="","Arabica",$B18))&amp;" - "&amp;(IF($C18="","Commercial",$C18))),Variables!$B$1:$D$1,0),1))*IFERROR(IF(W18="","",(AVERAGE(E18:F18)-W18)-Variables!$B$14),"")/365),""))</f>
        <v>-931.5338543987782</v>
      </c>
      <c r="AT18" s="12">
        <f>IF($H18="Cancelled","",IFERROR((T18*INDEX(Variables!$B$7:$D$7,IFERROR(MATCH(IF($B18="Robusta","Robusta",(IF($B18="","Arabica",$B18))&amp;" - "&amp;(IF($C18="","Commercial",$C18))),Variables!$B$1:$D$1,0),1))*AC18/365)+(L18/16.67*INDEX(Variables!$B$8:$D$8,IFERROR(MATCH(IF($B18="Robusta","Robusta",(IF($B18="","Arabica",$B18))&amp;" - "&amp;(IF($C18="","Commercial",$C18))),Variables!$B$1:$D$1,0),1))*AC18)+(T18*INDEX(Variables!$B$9:$D$9,IFERROR(MATCH(IF($B18="Robusta","Robusta",(IF($B18="","Arabica",$B18))&amp;" - "&amp;(IF($C18="","Commercial",$C18))),Variables!$B$1:$D$1,0),1))*AC18/365),""))</f>
        <v>1863.0677087975564</v>
      </c>
      <c r="AU18" s="12">
        <f>IF($H18="Cancelled","",IFERROR((T18*INDEX(Variables!$B$7:$D$7,IFERROR(MATCH(IF($B18="Robusta","Robusta",(IF($B18="","Arabica",$B18))&amp;" - "&amp;(IF($C18="","Commercial",$C18))),Variables!$B$1:$D$1,0),1))*AP18/365)+(L18/16.67*INDEX(Variables!$B$8:$D$8,IFERROR(MATCH(IF($B18="Robusta","Robusta",(IF($B18="","Arabica",$B18))&amp;" - "&amp;(IF($C18="","Commercial",$C18))),Variables!$B$1:$D$1,0),1))*AP18)+(T18*INDEX(Variables!$B$9:$D$9,IFERROR(MATCH(IF($B18="Robusta","Robusta",(IF($B18="","Arabica",$B18))&amp;" - "&amp;(IF($C18="","Commercial",$C18))),Variables!$B$1:$D$1,0),1))*AP18/365),""))</f>
        <v>-2129.2202386257791</v>
      </c>
      <c r="AV18" s="11">
        <f t="shared" si="4"/>
        <v>-2</v>
      </c>
      <c r="AW18" s="12">
        <f>IF($H18="Cancelled","",IFERROR(IF(AV18="","",(T18*INDEX(Variables!$B$7:$D$7,IFERROR(MATCH(IF($B18="Robusta","Robusta",(IF($B18="","Arabica",$B18))&amp;" - "&amp;(IF($C18="","Commercial",$C18))),Variables!$B$1:$D$1,0),1))*(AV18/365))+(T18*INDEX(Variables!$B$9:$D$9,IFERROR(MATCH(IF($B18="Robusta","Robusta",(IF($B18="","Arabica",$B18))&amp;" - "&amp;(IF($C18="","Commercial",$C18))),Variables!$B$1:$D$1,0),1))*(AV18/365))+(INDEX(Variables!$B$8:$D$8,IFERROR(MATCH(IF($B18="Robusta","Robusta",(IF($B18="","Arabica",$B18))&amp;" - "&amp;(IF($C18="","Commercial",$C18))),Variables!$B$1:$D$1,0),1))*L18/16.67)),""))</f>
        <v>-28.04357995092068</v>
      </c>
      <c r="AX18" s="9"/>
      <c r="AY18" s="12"/>
      <c r="AZ18" s="10"/>
      <c r="BA18" s="9"/>
      <c r="BB18" s="10"/>
      <c r="BC18" s="9"/>
      <c r="BD18" s="9"/>
      <c r="BE18" s="9"/>
      <c r="BF18" s="9"/>
    </row>
    <row r="19" spans="1:58" x14ac:dyDescent="0.25">
      <c r="A19" s="9" t="s">
        <v>84</v>
      </c>
      <c r="B19" s="9" t="s">
        <v>85</v>
      </c>
      <c r="C19" s="9" t="s">
        <v>86</v>
      </c>
      <c r="D19" s="10">
        <v>45259</v>
      </c>
      <c r="E19" s="10">
        <v>45323</v>
      </c>
      <c r="F19" s="10">
        <v>45351</v>
      </c>
      <c r="G19" s="9">
        <v>3786063</v>
      </c>
      <c r="H19" s="9" t="str">
        <f t="shared" si="0"/>
        <v>Closed</v>
      </c>
      <c r="I19" s="9" t="str">
        <f t="shared" si="1"/>
        <v>All dates received</v>
      </c>
      <c r="J19" s="9" t="s">
        <v>154</v>
      </c>
      <c r="K19" s="9">
        <v>4709</v>
      </c>
      <c r="L19" s="11">
        <v>320</v>
      </c>
      <c r="M19" s="9" t="s">
        <v>155</v>
      </c>
      <c r="N19" s="9" t="s">
        <v>126</v>
      </c>
      <c r="O19" s="9"/>
      <c r="P19" s="9"/>
      <c r="Q19" s="11"/>
      <c r="R19" s="9" t="s">
        <v>90</v>
      </c>
      <c r="S19" s="9" t="s">
        <v>156</v>
      </c>
      <c r="T19" s="12">
        <f>IF($H19="Cancelled","",IFERROR(((Q19+INDEX(Variables!$B$6:$D$6,IFERROR(MATCH(IF($B19="Robusta","Robusta",(IF($B19="","Arabica",$B19))&amp;" - "&amp;(IF($C19="","Commercial",$C19))),Variables!$B$1:$D$1,0),1)))*22.0462)*(L19/16.67),""))</f>
        <v>123067.25778044391</v>
      </c>
      <c r="U19" s="10">
        <v>45310</v>
      </c>
      <c r="V19" s="9" t="str">
        <f t="shared" si="2"/>
        <v>Sent</v>
      </c>
      <c r="W19" s="10">
        <v>45315</v>
      </c>
      <c r="X19" s="9" t="str">
        <f t="shared" si="3"/>
        <v>Approved</v>
      </c>
      <c r="Y19" s="10"/>
      <c r="Z19" s="10">
        <f>IF($H19="Cancelled","",IFERROR(IF(F19="","",F19-Variables!$B$13),""))</f>
        <v>45336</v>
      </c>
      <c r="AA19" s="11">
        <f>IF($H19="Cancelled","",IFERROR(IF(W19="","",(AVERAGE(E19:F19)-W19)-Variables!$B$14),""))</f>
        <v>-8</v>
      </c>
      <c r="AB19" s="10">
        <v>45412</v>
      </c>
      <c r="AC19" s="11">
        <f>IF($H19="Cancelled","",IFERROR(IF(AB19="","",IF(AND(W19="",Y19=""),"",IF(Y19&gt;W19,Y19+Variables!$B$15+Variables!$B$16+Variables!$B$17-AB19,W19+Variables!$B$16+Variables!$B$17-AB19))),""))</f>
        <v>-89</v>
      </c>
      <c r="AD19" s="9" t="s">
        <v>157</v>
      </c>
      <c r="AE19" s="9" t="s">
        <v>158</v>
      </c>
      <c r="AF19" s="10"/>
      <c r="AG19" s="10"/>
      <c r="AH19" s="9"/>
      <c r="AI19" s="9" t="s">
        <v>159</v>
      </c>
      <c r="AJ19" s="9">
        <v>1825453221</v>
      </c>
      <c r="AK19" s="10">
        <v>45340</v>
      </c>
      <c r="AL19" s="10">
        <v>45341</v>
      </c>
      <c r="AM19" s="10">
        <v>45366</v>
      </c>
      <c r="AN19" s="9" t="s">
        <v>95</v>
      </c>
      <c r="AO19" s="9"/>
      <c r="AP19" s="11">
        <f>IF($H19="Cancelled","",IFERROR(IF(OR(AK19="",AB19=""),"",(AB19+Variables!$B$18-AK19)),""))</f>
        <v>79</v>
      </c>
      <c r="AQ19" s="11">
        <f>IF($H19="Cancelled","",IFERROR(IF(OR(AM19="",AK19=""),"",(AK19+Variables!$B$19)-AM19),""))</f>
        <v>-21</v>
      </c>
      <c r="AR19" s="12">
        <f>IF($H19="Cancelled","",IFERROR(T19*INDEX(Variables!$B$7:$D$7,IFERROR(MATCH(IF($B19="Robusta","Robusta",(IF($B19="","Arabica",$B19))&amp;" - "&amp;(IF($C19="","Commercial",$C19))),Variables!$B$1:$D$1,0),1))*(AQ19/365),""))</f>
        <v>-456.57150170589847</v>
      </c>
      <c r="AS19" s="12">
        <f>IF($H19="Cancelled","",IFERROR((T19*INDEX(Variables!$B$7:$D$7,IFERROR(MATCH(IF($B19="Robusta","Robusta",(IF($B19="","Arabica",$B19))&amp;" - "&amp;(IF($C19="","Commercial",$C19))),Variables!$B$1:$D$1,0),1))*IFERROR(IF(W19="","",(AVERAGE(E19:F19)-W19)-Variables!$B$14),"")/365)+(L19/16.67*INDEX(Variables!$B$8:$D$8,IFERROR(MATCH(IF($B19="Robusta","Robusta",(IF($B19="","Arabica",$B19))&amp;" - "&amp;(IF($C19="","Commercial",$C19))),Variables!$B$1:$D$1,0),1))*IFERROR(IF(W19="","",(AVERAGE(E19:F19)-W19)-Variables!$B$14),""))+(T19*INDEX(Variables!$B$9:$D$9,IFERROR(MATCH(IF($B19="Robusta","Robusta",(IF($B19="","Arabica",$B19))&amp;" - "&amp;(IF($C19="","Commercial",$C19))),Variables!$B$1:$D$1,0),1))*IFERROR(IF(W19="","",(AVERAGE(E19:F19)-W19)-Variables!$B$14),"")/365),""))</f>
        <v>-304.17431980368269</v>
      </c>
      <c r="AT19" s="12">
        <f>IF($H19="Cancelled","",IFERROR((T19*INDEX(Variables!$B$7:$D$7,IFERROR(MATCH(IF($B19="Robusta","Robusta",(IF($B19="","Arabica",$B19))&amp;" - "&amp;(IF($C19="","Commercial",$C19))),Variables!$B$1:$D$1,0),1))*AC19/365)+(L19/16.67*INDEX(Variables!$B$8:$D$8,IFERROR(MATCH(IF($B19="Robusta","Robusta",(IF($B19="","Arabica",$B19))&amp;" - "&amp;(IF($C19="","Commercial",$C19))),Variables!$B$1:$D$1,0),1))*AC19)+(T19*INDEX(Variables!$B$9:$D$9,IFERROR(MATCH(IF($B19="Robusta","Robusta",(IF($B19="","Arabica",$B19))&amp;" - "&amp;(IF($C19="","Commercial",$C19))),Variables!$B$1:$D$1,0),1))*AC19/365),""))</f>
        <v>-3383.9393078159701</v>
      </c>
      <c r="AU19" s="12">
        <f>IF($H19="Cancelled","",IFERROR((T19*INDEX(Variables!$B$7:$D$7,IFERROR(MATCH(IF($B19="Robusta","Robusta",(IF($B19="","Arabica",$B19))&amp;" - "&amp;(IF($C19="","Commercial",$C19))),Variables!$B$1:$D$1,0),1))*AP19/365)+(L19/16.67*INDEX(Variables!$B$8:$D$8,IFERROR(MATCH(IF($B19="Robusta","Robusta",(IF($B19="","Arabica",$B19))&amp;" - "&amp;(IF($C19="","Commercial",$C19))),Variables!$B$1:$D$1,0),1))*AP19)+(T19*INDEX(Variables!$B$9:$D$9,IFERROR(MATCH(IF($B19="Robusta","Robusta",(IF($B19="","Arabica",$B19))&amp;" - "&amp;(IF($C19="","Commercial",$C19))),Variables!$B$1:$D$1,0),1))*AP19/365),""))</f>
        <v>3003.7214080613671</v>
      </c>
      <c r="AV19" s="11">
        <f t="shared" si="4"/>
        <v>11</v>
      </c>
      <c r="AW19" s="12">
        <f>IF($H19="Cancelled","",IFERROR(IF(AV19="","",(T19*INDEX(Variables!$B$7:$D$7,IFERROR(MATCH(IF($B19="Robusta","Robusta",(IF($B19="","Arabica",$B19))&amp;" - "&amp;(IF($C19="","Commercial",$C19))),Variables!$B$1:$D$1,0),1))*(AV19/365))+(T19*INDEX(Variables!$B$9:$D$9,IFERROR(MATCH(IF($B19="Robusta","Robusta",(IF($B19="","Arabica",$B19))&amp;" - "&amp;(IF($C19="","Commercial",$C19))),Variables!$B$1:$D$1,0),1))*(AV19/365))+(INDEX(Variables!$B$8:$D$8,IFERROR(MATCH(IF($B19="Robusta","Robusta",(IF($B19="","Arabica",$B19))&amp;" - "&amp;(IF($C19="","Commercial",$C19))),Variables!$B$1:$D$1,0),1))*L19/16.67)),""))</f>
        <v>258.23968973006373</v>
      </c>
      <c r="AX19" s="9"/>
      <c r="AY19" s="12"/>
      <c r="AZ19" s="10"/>
      <c r="BA19" s="9"/>
      <c r="BB19" s="10"/>
      <c r="BC19" s="9"/>
      <c r="BD19" s="9"/>
      <c r="BE19" s="9"/>
      <c r="BF19" s="9"/>
    </row>
    <row r="20" spans="1:58" x14ac:dyDescent="0.25">
      <c r="A20" s="9" t="s">
        <v>84</v>
      </c>
      <c r="B20" s="9" t="s">
        <v>85</v>
      </c>
      <c r="C20" s="9" t="s">
        <v>86</v>
      </c>
      <c r="D20" s="10">
        <v>45261</v>
      </c>
      <c r="E20" s="10">
        <v>45292</v>
      </c>
      <c r="F20" s="10">
        <v>45322</v>
      </c>
      <c r="G20" s="9">
        <v>3786067</v>
      </c>
      <c r="H20" s="9" t="str">
        <f t="shared" si="0"/>
        <v>Closed</v>
      </c>
      <c r="I20" s="9" t="str">
        <f t="shared" si="1"/>
        <v>All dates received</v>
      </c>
      <c r="J20" s="9" t="s">
        <v>102</v>
      </c>
      <c r="K20" s="9">
        <v>4701</v>
      </c>
      <c r="L20" s="11">
        <v>1800</v>
      </c>
      <c r="M20" s="9" t="s">
        <v>160</v>
      </c>
      <c r="N20" s="9" t="s">
        <v>161</v>
      </c>
      <c r="O20" s="9"/>
      <c r="P20" s="9"/>
      <c r="Q20" s="11"/>
      <c r="R20" s="9" t="s">
        <v>90</v>
      </c>
      <c r="S20" s="9" t="s">
        <v>162</v>
      </c>
      <c r="T20" s="12">
        <f>IF($H20="Cancelled","",IFERROR(((Q20+INDEX(Variables!$B$6:$D$6,IFERROR(MATCH(IF($B20="Robusta","Robusta",(IF($B20="","Arabica",$B20))&amp;" - "&amp;(IF($C20="","Commercial",$C20))),Variables!$B$1:$D$1,0),1)))*22.0462)*(L20/16.67),""))</f>
        <v>692253.32501499692</v>
      </c>
      <c r="U20" s="10">
        <v>45271</v>
      </c>
      <c r="V20" s="9" t="str">
        <f t="shared" si="2"/>
        <v>Sent</v>
      </c>
      <c r="W20" s="10">
        <v>45279</v>
      </c>
      <c r="X20" s="9" t="str">
        <f t="shared" si="3"/>
        <v>Approved</v>
      </c>
      <c r="Y20" s="10"/>
      <c r="Z20" s="10">
        <f>IF($H20="Cancelled","",IFERROR(IF(F20="","",F20-Variables!$B$13),""))</f>
        <v>45307</v>
      </c>
      <c r="AA20" s="11">
        <f>IF($H20="Cancelled","",IFERROR(IF(W20="","",(AVERAGE(E20:F20)-W20)-Variables!$B$14),""))</f>
        <v>-2</v>
      </c>
      <c r="AB20" s="10">
        <v>45412</v>
      </c>
      <c r="AC20" s="11">
        <f>IF($H20="Cancelled","",IFERROR(IF(AB20="","",IF(AND(W20="",Y20=""),"",IF(Y20&gt;W20,Y20+Variables!$B$15+Variables!$B$16+Variables!$B$17-AB20,W20+Variables!$B$16+Variables!$B$17-AB20))),""))</f>
        <v>-125</v>
      </c>
      <c r="AD20" s="9" t="s">
        <v>163</v>
      </c>
      <c r="AE20" s="9" t="s">
        <v>164</v>
      </c>
      <c r="AF20" s="10"/>
      <c r="AG20" s="10"/>
      <c r="AH20" s="9"/>
      <c r="AI20" s="9">
        <v>234610038</v>
      </c>
      <c r="AJ20" s="9" t="s">
        <v>8</v>
      </c>
      <c r="AK20" s="10">
        <v>45311</v>
      </c>
      <c r="AL20" s="10">
        <v>45313</v>
      </c>
      <c r="AM20" s="10">
        <v>45313</v>
      </c>
      <c r="AN20" s="9" t="s">
        <v>95</v>
      </c>
      <c r="AO20" s="9"/>
      <c r="AP20" s="11">
        <f>IF($H20="Cancelled","",IFERROR(IF(OR(AK20="",AB20=""),"",(AB20+Variables!$B$18-AK20)),""))</f>
        <v>108</v>
      </c>
      <c r="AQ20" s="11">
        <f>IF($H20="Cancelled","",IFERROR(IF(OR(AM20="",AK20=""),"",(AK20+Variables!$B$19)-AM20),""))</f>
        <v>3</v>
      </c>
      <c r="AR20" s="12">
        <f>IF($H20="Cancelled","",IFERROR(T20*INDEX(Variables!$B$7:$D$7,IFERROR(MATCH(IF($B20="Robusta","Robusta",(IF($B20="","Arabica",$B20))&amp;" - "&amp;(IF($C20="","Commercial",$C20))),Variables!$B$1:$D$1,0),1))*(AQ20/365),""))</f>
        <v>366.88781387081121</v>
      </c>
      <c r="AS20" s="12">
        <f>IF($H20="Cancelled","",IFERROR((T20*INDEX(Variables!$B$7:$D$7,IFERROR(MATCH(IF($B20="Robusta","Robusta",(IF($B20="","Arabica",$B20))&amp;" - "&amp;(IF($C20="","Commercial",$C20))),Variables!$B$1:$D$1,0),1))*IFERROR(IF(W20="","",(AVERAGE(E20:F20)-W20)-Variables!$B$14),"")/365)+(L20/16.67*INDEX(Variables!$B$8:$D$8,IFERROR(MATCH(IF($B20="Robusta","Robusta",(IF($B20="","Arabica",$B20))&amp;" - "&amp;(IF($C20="","Commercial",$C20))),Variables!$B$1:$D$1,0),1))*IFERROR(IF(W20="","",(AVERAGE(E20:F20)-W20)-Variables!$B$14),""))+(T20*INDEX(Variables!$B$9:$D$9,IFERROR(MATCH(IF($B20="Robusta","Robusta",(IF($B20="","Arabica",$B20))&amp;" - "&amp;(IF($C20="","Commercial",$C20))),Variables!$B$1:$D$1,0),1))*IFERROR(IF(W20="","",(AVERAGE(E20:F20)-W20)-Variables!$B$14),"")/365),""))</f>
        <v>-427.74513722392879</v>
      </c>
      <c r="AT20" s="12">
        <f>IF($H20="Cancelled","",IFERROR((T20*INDEX(Variables!$B$7:$D$7,IFERROR(MATCH(IF($B20="Robusta","Robusta",(IF($B20="","Arabica",$B20))&amp;" - "&amp;(IF($C20="","Commercial",$C20))),Variables!$B$1:$D$1,0),1))*AC20/365)+(L20/16.67*INDEX(Variables!$B$8:$D$8,IFERROR(MATCH(IF($B20="Robusta","Robusta",(IF($B20="","Arabica",$B20))&amp;" - "&amp;(IF($C20="","Commercial",$C20))),Variables!$B$1:$D$1,0),1))*AC20)+(T20*INDEX(Variables!$B$9:$D$9,IFERROR(MATCH(IF($B20="Robusta","Robusta",(IF($B20="","Arabica",$B20))&amp;" - "&amp;(IF($C20="","Commercial",$C20))),Variables!$B$1:$D$1,0),1))*AC20/365),""))</f>
        <v>-26734.071076495547</v>
      </c>
      <c r="AU20" s="12">
        <f>IF($H20="Cancelled","",IFERROR((T20*INDEX(Variables!$B$7:$D$7,IFERROR(MATCH(IF($B20="Robusta","Robusta",(IF($B20="","Arabica",$B20))&amp;" - "&amp;(IF($C20="","Commercial",$C20))),Variables!$B$1:$D$1,0),1))*AP20/365)+(L20/16.67*INDEX(Variables!$B$8:$D$8,IFERROR(MATCH(IF($B20="Robusta","Robusta",(IF($B20="","Arabica",$B20))&amp;" - "&amp;(IF($C20="","Commercial",$C20))),Variables!$B$1:$D$1,0),1))*AP20)+(T20*INDEX(Variables!$B$9:$D$9,IFERROR(MATCH(IF($B20="Robusta","Robusta",(IF($B20="","Arabica",$B20))&amp;" - "&amp;(IF($C20="","Commercial",$C20))),Variables!$B$1:$D$1,0),1))*AP20/365),""))</f>
        <v>23098.237410092155</v>
      </c>
      <c r="AV20" s="11">
        <f t="shared" si="4"/>
        <v>11</v>
      </c>
      <c r="AW20" s="12">
        <f>IF($H20="Cancelled","",IFERROR(IF(AV20="","",(T20*INDEX(Variables!$B$7:$D$7,IFERROR(MATCH(IF($B20="Robusta","Robusta",(IF($B20="","Arabica",$B20))&amp;" - "&amp;(IF($C20="","Commercial",$C20))),Variables!$B$1:$D$1,0),1))*(AV20/365))+(T20*INDEX(Variables!$B$9:$D$9,IFERROR(MATCH(IF($B20="Robusta","Robusta",(IF($B20="","Arabica",$B20))&amp;" - "&amp;(IF($C20="","Commercial",$C20))),Variables!$B$1:$D$1,0),1))*(AV20/365))+(INDEX(Variables!$B$8:$D$8,IFERROR(MATCH(IF($B20="Robusta","Robusta",(IF($B20="","Arabica",$B20))&amp;" - "&amp;(IF($C20="","Commercial",$C20))),Variables!$B$1:$D$1,0),1))*L20/16.67)),""))</f>
        <v>1452.5982547316082</v>
      </c>
      <c r="AX20" s="9"/>
      <c r="AY20" s="12"/>
      <c r="AZ20" s="10"/>
      <c r="BA20" s="9"/>
      <c r="BB20" s="10"/>
      <c r="BC20" s="9"/>
      <c r="BD20" s="9"/>
      <c r="BE20" s="9"/>
      <c r="BF20" s="9"/>
    </row>
    <row r="21" spans="1:58" x14ac:dyDescent="0.25">
      <c r="A21" s="9" t="s">
        <v>84</v>
      </c>
      <c r="B21" s="9" t="s">
        <v>85</v>
      </c>
      <c r="C21" s="9" t="s">
        <v>86</v>
      </c>
      <c r="D21" s="10">
        <v>45261</v>
      </c>
      <c r="E21" s="10">
        <v>45323</v>
      </c>
      <c r="F21" s="10">
        <v>45351</v>
      </c>
      <c r="G21" s="9">
        <v>3786068</v>
      </c>
      <c r="H21" s="9" t="str">
        <f t="shared" si="0"/>
        <v>Closed</v>
      </c>
      <c r="I21" s="9" t="str">
        <f t="shared" si="1"/>
        <v>All dates received</v>
      </c>
      <c r="J21" s="9" t="s">
        <v>102</v>
      </c>
      <c r="K21" s="9">
        <v>4711</v>
      </c>
      <c r="L21" s="11">
        <v>720</v>
      </c>
      <c r="M21" s="9" t="s">
        <v>160</v>
      </c>
      <c r="N21" s="9" t="s">
        <v>161</v>
      </c>
      <c r="O21" s="9"/>
      <c r="P21" s="9"/>
      <c r="Q21" s="11"/>
      <c r="R21" s="9" t="s">
        <v>90</v>
      </c>
      <c r="S21" s="9" t="s">
        <v>162</v>
      </c>
      <c r="T21" s="12">
        <f>IF($H21="Cancelled","",IFERROR(((Q21+INDEX(Variables!$B$6:$D$6,IFERROR(MATCH(IF($B21="Robusta","Robusta",(IF($B21="","Arabica",$B21))&amp;" - "&amp;(IF($C21="","Commercial",$C21))),Variables!$B$1:$D$1,0),1)))*22.0462)*(L21/16.67),""))</f>
        <v>276901.33000599878</v>
      </c>
      <c r="U21" s="10">
        <v>45301</v>
      </c>
      <c r="V21" s="9" t="str">
        <f t="shared" si="2"/>
        <v>Sent</v>
      </c>
      <c r="W21" s="10">
        <v>45309</v>
      </c>
      <c r="X21" s="9" t="str">
        <f t="shared" si="3"/>
        <v>Approved</v>
      </c>
      <c r="Y21" s="10"/>
      <c r="Z21" s="10">
        <f>IF($H21="Cancelled","",IFERROR(IF(F21="","",F21-Variables!$B$13),""))</f>
        <v>45336</v>
      </c>
      <c r="AA21" s="11">
        <f>IF($H21="Cancelled","",IFERROR(IF(W21="","",(AVERAGE(E21:F21)-W21)-Variables!$B$14),""))</f>
        <v>-2</v>
      </c>
      <c r="AB21" s="10">
        <v>45418</v>
      </c>
      <c r="AC21" s="11">
        <f>IF($H21="Cancelled","",IFERROR(IF(AB21="","",IF(AND(W21="",Y21=""),"",IF(Y21&gt;W21,Y21+Variables!$B$15+Variables!$B$16+Variables!$B$17-AB21,W21+Variables!$B$16+Variables!$B$17-AB21))),""))</f>
        <v>-101</v>
      </c>
      <c r="AD21" s="9" t="s">
        <v>165</v>
      </c>
      <c r="AE21" s="9" t="s">
        <v>166</v>
      </c>
      <c r="AF21" s="10"/>
      <c r="AG21" s="10"/>
      <c r="AH21" s="9"/>
      <c r="AI21" s="9" t="s">
        <v>167</v>
      </c>
      <c r="AJ21" s="9" t="s">
        <v>8</v>
      </c>
      <c r="AK21" s="10">
        <v>45341</v>
      </c>
      <c r="AL21" s="10">
        <v>45342</v>
      </c>
      <c r="AM21" s="10">
        <v>45344</v>
      </c>
      <c r="AN21" s="9" t="s">
        <v>95</v>
      </c>
      <c r="AO21" s="9"/>
      <c r="AP21" s="11">
        <f>IF($H21="Cancelled","",IFERROR(IF(OR(AK21="",AB21=""),"",(AB21+Variables!$B$18-AK21)),""))</f>
        <v>84</v>
      </c>
      <c r="AQ21" s="11">
        <f>IF($H21="Cancelled","",IFERROR(IF(OR(AM21="",AK21=""),"",(AK21+Variables!$B$19)-AM21),""))</f>
        <v>2</v>
      </c>
      <c r="AR21" s="12">
        <f>IF($H21="Cancelled","",IFERROR(T21*INDEX(Variables!$B$7:$D$7,IFERROR(MATCH(IF($B21="Robusta","Robusta",(IF($B21="","Arabica",$B21))&amp;" - "&amp;(IF($C21="","Commercial",$C21))),Variables!$B$1:$D$1,0),1))*(AQ21/365),""))</f>
        <v>97.836750365549676</v>
      </c>
      <c r="AS21" s="12">
        <f>IF($H21="Cancelled","",IFERROR((T21*INDEX(Variables!$B$7:$D$7,IFERROR(MATCH(IF($B21="Robusta","Robusta",(IF($B21="","Arabica",$B21))&amp;" - "&amp;(IF($C21="","Commercial",$C21))),Variables!$B$1:$D$1,0),1))*IFERROR(IF(W21="","",(AVERAGE(E21:F21)-W21)-Variables!$B$14),"")/365)+(L21/16.67*INDEX(Variables!$B$8:$D$8,IFERROR(MATCH(IF($B21="Robusta","Robusta",(IF($B21="","Arabica",$B21))&amp;" - "&amp;(IF($C21="","Commercial",$C21))),Variables!$B$1:$D$1,0),1))*IFERROR(IF(W21="","",(AVERAGE(E21:F21)-W21)-Variables!$B$14),""))+(T21*INDEX(Variables!$B$9:$D$9,IFERROR(MATCH(IF($B21="Robusta","Robusta",(IF($B21="","Arabica",$B21))&amp;" - "&amp;(IF($C21="","Commercial",$C21))),Variables!$B$1:$D$1,0),1))*IFERROR(IF(W21="","",(AVERAGE(E21:F21)-W21)-Variables!$B$14),"")/365),""))</f>
        <v>-171.09805488957153</v>
      </c>
      <c r="AT21" s="12">
        <f>IF($H21="Cancelled","",IFERROR((T21*INDEX(Variables!$B$7:$D$7,IFERROR(MATCH(IF($B21="Robusta","Robusta",(IF($B21="","Arabica",$B21))&amp;" - "&amp;(IF($C21="","Commercial",$C21))),Variables!$B$1:$D$1,0),1))*AC21/365)+(L21/16.67*INDEX(Variables!$B$8:$D$8,IFERROR(MATCH(IF($B21="Robusta","Robusta",(IF($B21="","Arabica",$B21))&amp;" - "&amp;(IF($C21="","Commercial",$C21))),Variables!$B$1:$D$1,0),1))*AC21)+(T21*INDEX(Variables!$B$9:$D$9,IFERROR(MATCH(IF($B21="Robusta","Robusta",(IF($B21="","Arabica",$B21))&amp;" - "&amp;(IF($C21="","Commercial",$C21))),Variables!$B$1:$D$1,0),1))*AC21/365),""))</f>
        <v>-8640.4517719233627</v>
      </c>
      <c r="AU21" s="12">
        <f>IF($H21="Cancelled","",IFERROR((T21*INDEX(Variables!$B$7:$D$7,IFERROR(MATCH(IF($B21="Robusta","Robusta",(IF($B21="","Arabica",$B21))&amp;" - "&amp;(IF($C21="","Commercial",$C21))),Variables!$B$1:$D$1,0),1))*AP21/365)+(L21/16.67*INDEX(Variables!$B$8:$D$8,IFERROR(MATCH(IF($B21="Robusta","Robusta",(IF($B21="","Arabica",$B21))&amp;" - "&amp;(IF($C21="","Commercial",$C21))),Variables!$B$1:$D$1,0),1))*AP21)+(T21*INDEX(Variables!$B$9:$D$9,IFERROR(MATCH(IF($B21="Robusta","Robusta",(IF($B21="","Arabica",$B21))&amp;" - "&amp;(IF($C21="","Commercial",$C21))),Variables!$B$1:$D$1,0),1))*AP21/365),""))</f>
        <v>7186.1183053620034</v>
      </c>
      <c r="AV21" s="11">
        <f t="shared" si="4"/>
        <v>10</v>
      </c>
      <c r="AW21" s="12">
        <f>IF($H21="Cancelled","",IFERROR(IF(AV21="","",(T21*INDEX(Variables!$B$7:$D$7,IFERROR(MATCH(IF($B21="Robusta","Robusta",(IF($B21="","Arabica",$B21))&amp;" - "&amp;(IF($C21="","Commercial",$C21))),Variables!$B$1:$D$1,0),1))*(AV21/365))+(T21*INDEX(Variables!$B$9:$D$9,IFERROR(MATCH(IF($B21="Robusta","Robusta",(IF($B21="","Arabica",$B21))&amp;" - "&amp;(IF($C21="","Commercial",$C21))),Variables!$B$1:$D$1,0),1))*(AV21/365))+(INDEX(Variables!$B$8:$D$8,IFERROR(MATCH(IF($B21="Robusta","Robusta",(IF($B21="","Arabica",$B21))&amp;" - "&amp;(IF($C21="","Commercial",$C21))),Variables!$B$1:$D$1,0),1))*L21/16.67)),""))</f>
        <v>531.49027444785747</v>
      </c>
      <c r="AX21" s="9"/>
      <c r="AY21" s="12"/>
      <c r="AZ21" s="10"/>
      <c r="BA21" s="9"/>
      <c r="BB21" s="10"/>
      <c r="BC21" s="9"/>
      <c r="BD21" s="9"/>
      <c r="BE21" s="9"/>
      <c r="BF21" s="9"/>
    </row>
    <row r="22" spans="1:58" x14ac:dyDescent="0.25">
      <c r="A22" s="9" t="s">
        <v>84</v>
      </c>
      <c r="B22" s="9" t="s">
        <v>85</v>
      </c>
      <c r="C22" s="9" t="s">
        <v>86</v>
      </c>
      <c r="D22" s="10">
        <v>45261</v>
      </c>
      <c r="E22" s="10">
        <v>45352</v>
      </c>
      <c r="F22" s="10">
        <v>45382</v>
      </c>
      <c r="G22" s="9">
        <v>3786064</v>
      </c>
      <c r="H22" s="9" t="str">
        <f t="shared" si="0"/>
        <v>Closed</v>
      </c>
      <c r="I22" s="9" t="str">
        <f t="shared" si="1"/>
        <v>All dates received</v>
      </c>
      <c r="J22" s="9" t="s">
        <v>102</v>
      </c>
      <c r="K22" s="9">
        <v>4718</v>
      </c>
      <c r="L22" s="11">
        <v>720</v>
      </c>
      <c r="M22" s="9" t="s">
        <v>168</v>
      </c>
      <c r="N22" s="9" t="s">
        <v>122</v>
      </c>
      <c r="O22" s="9"/>
      <c r="P22" s="9"/>
      <c r="Q22" s="11"/>
      <c r="R22" s="9" t="s">
        <v>90</v>
      </c>
      <c r="S22" s="9" t="s">
        <v>106</v>
      </c>
      <c r="T22" s="12">
        <f>IF($H22="Cancelled","",IFERROR(((Q22+INDEX(Variables!$B$6:$D$6,IFERROR(MATCH(IF($B22="Robusta","Robusta",(IF($B22="","Arabica",$B22))&amp;" - "&amp;(IF($C22="","Commercial",$C22))),Variables!$B$1:$D$1,0),1)))*22.0462)*(L22/16.67),""))</f>
        <v>276901.33000599878</v>
      </c>
      <c r="U22" s="10">
        <v>45323</v>
      </c>
      <c r="V22" s="9" t="str">
        <f t="shared" si="2"/>
        <v>Sent</v>
      </c>
      <c r="W22" s="10">
        <v>45330</v>
      </c>
      <c r="X22" s="9" t="str">
        <f t="shared" si="3"/>
        <v>Approved</v>
      </c>
      <c r="Y22" s="10"/>
      <c r="Z22" s="10">
        <f>IF($H22="Cancelled","",IFERROR(IF(F22="","",F22-Variables!$B$13),""))</f>
        <v>45367</v>
      </c>
      <c r="AA22" s="11">
        <f>IF($H22="Cancelled","",IFERROR(IF(W22="","",(AVERAGE(E22:F22)-W22)-Variables!$B$14),""))</f>
        <v>7</v>
      </c>
      <c r="AB22" s="10">
        <v>45419</v>
      </c>
      <c r="AC22" s="11">
        <f>IF($H22="Cancelled","",IFERROR(IF(AB22="","",IF(AND(W22="",Y22=""),"",IF(Y22&gt;W22,Y22+Variables!$B$15+Variables!$B$16+Variables!$B$17-AB22,W22+Variables!$B$16+Variables!$B$17-AB22))),""))</f>
        <v>-81</v>
      </c>
      <c r="AD22" s="9" t="s">
        <v>107</v>
      </c>
      <c r="AE22" s="9" t="s">
        <v>115</v>
      </c>
      <c r="AF22" s="10"/>
      <c r="AG22" s="10"/>
      <c r="AH22" s="9"/>
      <c r="AI22" s="9" t="s">
        <v>169</v>
      </c>
      <c r="AJ22" s="9" t="s">
        <v>8</v>
      </c>
      <c r="AK22" s="10">
        <v>45372</v>
      </c>
      <c r="AL22" s="10">
        <v>45373</v>
      </c>
      <c r="AM22" s="10">
        <v>45378</v>
      </c>
      <c r="AN22" s="9" t="s">
        <v>95</v>
      </c>
      <c r="AO22" s="9"/>
      <c r="AP22" s="11">
        <f>IF($H22="Cancelled","",IFERROR(IF(OR(AK22="",AB22=""),"",(AB22+Variables!$B$18-AK22)),""))</f>
        <v>54</v>
      </c>
      <c r="AQ22" s="11">
        <f>IF($H22="Cancelled","",IFERROR(IF(OR(AM22="",AK22=""),"",(AK22+Variables!$B$19)-AM22),""))</f>
        <v>-1</v>
      </c>
      <c r="AR22" s="12">
        <f>IF($H22="Cancelled","",IFERROR(T22*INDEX(Variables!$B$7:$D$7,IFERROR(MATCH(IF($B22="Robusta","Robusta",(IF($B22="","Arabica",$B22))&amp;" - "&amp;(IF($C22="","Commercial",$C22))),Variables!$B$1:$D$1,0),1))*(AQ22/365),""))</f>
        <v>-48.918375182774838</v>
      </c>
      <c r="AS22" s="12">
        <f>IF($H22="Cancelled","",IFERROR((T22*INDEX(Variables!$B$7:$D$7,IFERROR(MATCH(IF($B22="Robusta","Robusta",(IF($B22="","Arabica",$B22))&amp;" - "&amp;(IF($C22="","Commercial",$C22))),Variables!$B$1:$D$1,0),1))*IFERROR(IF(W22="","",(AVERAGE(E22:F22)-W22)-Variables!$B$14),"")/365)+(L22/16.67*INDEX(Variables!$B$8:$D$8,IFERROR(MATCH(IF($B22="Robusta","Robusta",(IF($B22="","Arabica",$B22))&amp;" - "&amp;(IF($C22="","Commercial",$C22))),Variables!$B$1:$D$1,0),1))*IFERROR(IF(W22="","",(AVERAGE(E22:F22)-W22)-Variables!$B$14),""))+(T22*INDEX(Variables!$B$9:$D$9,IFERROR(MATCH(IF($B22="Robusta","Robusta",(IF($B22="","Arabica",$B22))&amp;" - "&amp;(IF($C22="","Commercial",$C22))),Variables!$B$1:$D$1,0),1))*IFERROR(IF(W22="","",(AVERAGE(E22:F22)-W22)-Variables!$B$14),"")/365),""))</f>
        <v>598.84319211350044</v>
      </c>
      <c r="AT22" s="12">
        <f>IF($H22="Cancelled","",IFERROR((T22*INDEX(Variables!$B$7:$D$7,IFERROR(MATCH(IF($B22="Robusta","Robusta",(IF($B22="","Arabica",$B22))&amp;" - "&amp;(IF($C22="","Commercial",$C22))),Variables!$B$1:$D$1,0),1))*AC22/365)+(L22/16.67*INDEX(Variables!$B$8:$D$8,IFERROR(MATCH(IF($B22="Robusta","Robusta",(IF($B22="","Arabica",$B22))&amp;" - "&amp;(IF($C22="","Commercial",$C22))),Variables!$B$1:$D$1,0),1))*AC22)+(T22*INDEX(Variables!$B$9:$D$9,IFERROR(MATCH(IF($B22="Robusta","Robusta",(IF($B22="","Arabica",$B22))&amp;" - "&amp;(IF($C22="","Commercial",$C22))),Variables!$B$1:$D$1,0),1))*AC22/365),""))</f>
        <v>-6929.4712230276473</v>
      </c>
      <c r="AU22" s="12">
        <f>IF($H22="Cancelled","",IFERROR((T22*INDEX(Variables!$B$7:$D$7,IFERROR(MATCH(IF($B22="Robusta","Robusta",(IF($B22="","Arabica",$B22))&amp;" - "&amp;(IF($C22="","Commercial",$C22))),Variables!$B$1:$D$1,0),1))*AP22/365)+(L22/16.67*INDEX(Variables!$B$8:$D$8,IFERROR(MATCH(IF($B22="Robusta","Robusta",(IF($B22="","Arabica",$B22))&amp;" - "&amp;(IF($C22="","Commercial",$C22))),Variables!$B$1:$D$1,0),1))*AP22)+(T22*INDEX(Variables!$B$9:$D$9,IFERROR(MATCH(IF($B22="Robusta","Robusta",(IF($B22="","Arabica",$B22))&amp;" - "&amp;(IF($C22="","Commercial",$C22))),Variables!$B$1:$D$1,0),1))*AP22/365),""))</f>
        <v>4619.6474820184312</v>
      </c>
      <c r="AV22" s="11">
        <f t="shared" si="4"/>
        <v>10</v>
      </c>
      <c r="AW22" s="12">
        <f>IF($H22="Cancelled","",IFERROR(IF(AV22="","",(T22*INDEX(Variables!$B$7:$D$7,IFERROR(MATCH(IF($B22="Robusta","Robusta",(IF($B22="","Arabica",$B22))&amp;" - "&amp;(IF($C22="","Commercial",$C22))),Variables!$B$1:$D$1,0),1))*(AV22/365))+(T22*INDEX(Variables!$B$9:$D$9,IFERROR(MATCH(IF($B22="Robusta","Robusta",(IF($B22="","Arabica",$B22))&amp;" - "&amp;(IF($C22="","Commercial",$C22))),Variables!$B$1:$D$1,0),1))*(AV22/365))+(INDEX(Variables!$B$8:$D$8,IFERROR(MATCH(IF($B22="Robusta","Robusta",(IF($B22="","Arabica",$B22))&amp;" - "&amp;(IF($C22="","Commercial",$C22))),Variables!$B$1:$D$1,0),1))*L22/16.67)),""))</f>
        <v>531.49027444785747</v>
      </c>
      <c r="AX22" s="9"/>
      <c r="AY22" s="12"/>
      <c r="AZ22" s="10"/>
      <c r="BA22" s="9"/>
      <c r="BB22" s="10"/>
      <c r="BC22" s="9"/>
      <c r="BD22" s="9"/>
      <c r="BE22" s="9"/>
      <c r="BF22" s="9"/>
    </row>
    <row r="23" spans="1:58" x14ac:dyDescent="0.25">
      <c r="A23" s="9" t="s">
        <v>84</v>
      </c>
      <c r="B23" s="9" t="s">
        <v>85</v>
      </c>
      <c r="C23" s="9" t="s">
        <v>86</v>
      </c>
      <c r="D23" s="10">
        <v>45261</v>
      </c>
      <c r="E23" s="10">
        <v>45352</v>
      </c>
      <c r="F23" s="10">
        <v>45382</v>
      </c>
      <c r="G23" s="9">
        <v>3786064</v>
      </c>
      <c r="H23" s="9" t="str">
        <f t="shared" si="0"/>
        <v>Closed</v>
      </c>
      <c r="I23" s="9" t="str">
        <f t="shared" si="1"/>
        <v>All dates received</v>
      </c>
      <c r="J23" s="9" t="s">
        <v>102</v>
      </c>
      <c r="K23" s="9">
        <v>4718</v>
      </c>
      <c r="L23" s="11">
        <v>360</v>
      </c>
      <c r="M23" s="9" t="s">
        <v>168</v>
      </c>
      <c r="N23" s="9" t="s">
        <v>122</v>
      </c>
      <c r="O23" s="9"/>
      <c r="P23" s="9"/>
      <c r="Q23" s="11"/>
      <c r="R23" s="9" t="s">
        <v>90</v>
      </c>
      <c r="S23" s="9" t="s">
        <v>106</v>
      </c>
      <c r="T23" s="12">
        <f>IF($H23="Cancelled","",IFERROR(((Q23+INDEX(Variables!$B$6:$D$6,IFERROR(MATCH(IF($B23="Robusta","Robusta",(IF($B23="","Arabica",$B23))&amp;" - "&amp;(IF($C23="","Commercial",$C23))),Variables!$B$1:$D$1,0),1)))*22.0462)*(L23/16.67),""))</f>
        <v>138450.66500299939</v>
      </c>
      <c r="U23" s="10">
        <v>45323</v>
      </c>
      <c r="V23" s="9" t="str">
        <f t="shared" si="2"/>
        <v>Sent</v>
      </c>
      <c r="W23" s="10">
        <v>45330</v>
      </c>
      <c r="X23" s="9" t="str">
        <f t="shared" si="3"/>
        <v>Approved</v>
      </c>
      <c r="Y23" s="10"/>
      <c r="Z23" s="10">
        <f>IF($H23="Cancelled","",IFERROR(IF(F23="","",F23-Variables!$B$13),""))</f>
        <v>45367</v>
      </c>
      <c r="AA23" s="11">
        <f>IF($H23="Cancelled","",IFERROR(IF(W23="","",(AVERAGE(E23:F23)-W23)-Variables!$B$14),""))</f>
        <v>7</v>
      </c>
      <c r="AB23" s="10">
        <v>45420</v>
      </c>
      <c r="AC23" s="11">
        <f>IF($H23="Cancelled","",IFERROR(IF(AB23="","",IF(AND(W23="",Y23=""),"",IF(Y23&gt;W23,Y23+Variables!$B$15+Variables!$B$16+Variables!$B$17-AB23,W23+Variables!$B$16+Variables!$B$17-AB23))),""))</f>
        <v>-82</v>
      </c>
      <c r="AD23" s="9" t="s">
        <v>107</v>
      </c>
      <c r="AE23" s="9" t="s">
        <v>170</v>
      </c>
      <c r="AF23" s="10"/>
      <c r="AG23" s="10"/>
      <c r="AH23" s="9"/>
      <c r="AI23" s="9" t="s">
        <v>171</v>
      </c>
      <c r="AJ23" s="9" t="s">
        <v>8</v>
      </c>
      <c r="AK23" s="10">
        <v>45392</v>
      </c>
      <c r="AL23" s="10">
        <v>45394</v>
      </c>
      <c r="AM23" s="10">
        <v>45401</v>
      </c>
      <c r="AN23" s="9" t="s">
        <v>95</v>
      </c>
      <c r="AO23" s="9"/>
      <c r="AP23" s="11">
        <f>IF($H23="Cancelled","",IFERROR(IF(OR(AK23="",AB23=""),"",(AB23+Variables!$B$18-AK23)),""))</f>
        <v>35</v>
      </c>
      <c r="AQ23" s="11">
        <f>IF($H23="Cancelled","",IFERROR(IF(OR(AM23="",AK23=""),"",(AK23+Variables!$B$19)-AM23),""))</f>
        <v>-4</v>
      </c>
      <c r="AR23" s="12">
        <f>IF($H23="Cancelled","",IFERROR(T23*INDEX(Variables!$B$7:$D$7,IFERROR(MATCH(IF($B23="Robusta","Robusta",(IF($B23="","Arabica",$B23))&amp;" - "&amp;(IF($C23="","Commercial",$C23))),Variables!$B$1:$D$1,0),1))*(AQ23/365),""))</f>
        <v>-97.836750365549676</v>
      </c>
      <c r="AS23" s="12">
        <f>IF($H23="Cancelled","",IFERROR((T23*INDEX(Variables!$B$7:$D$7,IFERROR(MATCH(IF($B23="Robusta","Robusta",(IF($B23="","Arabica",$B23))&amp;" - "&amp;(IF($C23="","Commercial",$C23))),Variables!$B$1:$D$1,0),1))*IFERROR(IF(W23="","",(AVERAGE(E23:F23)-W23)-Variables!$B$14),"")/365)+(L23/16.67*INDEX(Variables!$B$8:$D$8,IFERROR(MATCH(IF($B23="Robusta","Robusta",(IF($B23="","Arabica",$B23))&amp;" - "&amp;(IF($C23="","Commercial",$C23))),Variables!$B$1:$D$1,0),1))*IFERROR(IF(W23="","",(AVERAGE(E23:F23)-W23)-Variables!$B$14),""))+(T23*INDEX(Variables!$B$9:$D$9,IFERROR(MATCH(IF($B23="Robusta","Robusta",(IF($B23="","Arabica",$B23))&amp;" - "&amp;(IF($C23="","Commercial",$C23))),Variables!$B$1:$D$1,0),1))*IFERROR(IF(W23="","",(AVERAGE(E23:F23)-W23)-Variables!$B$14),"")/365),""))</f>
        <v>299.42159605675022</v>
      </c>
      <c r="AT23" s="12">
        <f>IF($H23="Cancelled","",IFERROR((T23*INDEX(Variables!$B$7:$D$7,IFERROR(MATCH(IF($B23="Robusta","Robusta",(IF($B23="","Arabica",$B23))&amp;" - "&amp;(IF($C23="","Commercial",$C23))),Variables!$B$1:$D$1,0),1))*AC23/365)+(L23/16.67*INDEX(Variables!$B$8:$D$8,IFERROR(MATCH(IF($B23="Robusta","Robusta",(IF($B23="","Arabica",$B23))&amp;" - "&amp;(IF($C23="","Commercial",$C23))),Variables!$B$1:$D$1,0),1))*AC23)+(T23*INDEX(Variables!$B$9:$D$9,IFERROR(MATCH(IF($B23="Robusta","Robusta",(IF($B23="","Arabica",$B23))&amp;" - "&amp;(IF($C23="","Commercial",$C23))),Variables!$B$1:$D$1,0),1))*AC23/365),""))</f>
        <v>-3507.5101252362165</v>
      </c>
      <c r="AU23" s="12">
        <f>IF($H23="Cancelled","",IFERROR((T23*INDEX(Variables!$B$7:$D$7,IFERROR(MATCH(IF($B23="Robusta","Robusta",(IF($B23="","Arabica",$B23))&amp;" - "&amp;(IF($C23="","Commercial",$C23))),Variables!$B$1:$D$1,0),1))*AP23/365)+(L23/16.67*INDEX(Variables!$B$8:$D$8,IFERROR(MATCH(IF($B23="Robusta","Robusta",(IF($B23="","Arabica",$B23))&amp;" - "&amp;(IF($C23="","Commercial",$C23))),Variables!$B$1:$D$1,0),1))*AP23)+(T23*INDEX(Variables!$B$9:$D$9,IFERROR(MATCH(IF($B23="Robusta","Robusta",(IF($B23="","Arabica",$B23))&amp;" - "&amp;(IF($C23="","Commercial",$C23))),Variables!$B$1:$D$1,0),1))*AP23/365),""))</f>
        <v>1497.1079802837507</v>
      </c>
      <c r="AV23" s="11">
        <f t="shared" si="4"/>
        <v>-10</v>
      </c>
      <c r="AW23" s="12">
        <f>IF($H23="Cancelled","",IFERROR(IF(AV23="","",(T23*INDEX(Variables!$B$7:$D$7,IFERROR(MATCH(IF($B23="Robusta","Robusta",(IF($B23="","Arabica",$B23))&amp;" - "&amp;(IF($C23="","Commercial",$C23))),Variables!$B$1:$D$1,0),1))*(AV23/365))+(T23*INDEX(Variables!$B$9:$D$9,IFERROR(MATCH(IF($B23="Robusta","Robusta",(IF($B23="","Arabica",$B23))&amp;" - "&amp;(IF($C23="","Commercial",$C23))),Variables!$B$1:$D$1,0),1))*(AV23/365))+(INDEX(Variables!$B$8:$D$8,IFERROR(MATCH(IF($B23="Robusta","Robusta",(IF($B23="","Arabica",$B23))&amp;" - "&amp;(IF($C23="","Commercial",$C23))),Variables!$B$1:$D$1,0),1))*L23/16.67)),""))</f>
        <v>-229.74513722392877</v>
      </c>
      <c r="AX23" s="9"/>
      <c r="AY23" s="12"/>
      <c r="AZ23" s="10"/>
      <c r="BA23" s="9"/>
      <c r="BB23" s="10"/>
      <c r="BC23" s="9"/>
      <c r="BD23" s="9"/>
      <c r="BE23" s="9"/>
      <c r="BF23" s="9"/>
    </row>
    <row r="24" spans="1:58" x14ac:dyDescent="0.25">
      <c r="A24" s="9" t="s">
        <v>84</v>
      </c>
      <c r="B24" s="9" t="s">
        <v>85</v>
      </c>
      <c r="C24" s="9" t="s">
        <v>86</v>
      </c>
      <c r="D24" s="10">
        <v>45261</v>
      </c>
      <c r="E24" s="10">
        <v>45352</v>
      </c>
      <c r="F24" s="10">
        <v>45382</v>
      </c>
      <c r="G24" s="9">
        <v>3786069</v>
      </c>
      <c r="H24" s="9" t="str">
        <f t="shared" si="0"/>
        <v>Closed</v>
      </c>
      <c r="I24" s="9" t="str">
        <f t="shared" si="1"/>
        <v>All dates received</v>
      </c>
      <c r="J24" s="9" t="s">
        <v>102</v>
      </c>
      <c r="K24" s="9">
        <v>4720</v>
      </c>
      <c r="L24" s="11">
        <v>1080</v>
      </c>
      <c r="M24" s="9" t="s">
        <v>160</v>
      </c>
      <c r="N24" s="9" t="s">
        <v>161</v>
      </c>
      <c r="O24" s="9"/>
      <c r="P24" s="9"/>
      <c r="Q24" s="11"/>
      <c r="R24" s="9" t="s">
        <v>90</v>
      </c>
      <c r="S24" s="9" t="s">
        <v>172</v>
      </c>
      <c r="T24" s="12">
        <f>IF($H24="Cancelled","",IFERROR(((Q24+INDEX(Variables!$B$6:$D$6,IFERROR(MATCH(IF($B24="Robusta","Robusta",(IF($B24="","Arabica",$B24))&amp;" - "&amp;(IF($C24="","Commercial",$C24))),Variables!$B$1:$D$1,0),1)))*22.0462)*(L24/16.67),""))</f>
        <v>415351.99500899814</v>
      </c>
      <c r="U24" s="10">
        <v>45336</v>
      </c>
      <c r="V24" s="9" t="str">
        <f t="shared" si="2"/>
        <v>Sent</v>
      </c>
      <c r="W24" s="10">
        <v>45344</v>
      </c>
      <c r="X24" s="9" t="str">
        <f t="shared" si="3"/>
        <v>Approved</v>
      </c>
      <c r="Y24" s="10"/>
      <c r="Z24" s="10">
        <f>IF($H24="Cancelled","",IFERROR(IF(F24="","",F24-Variables!$B$13),""))</f>
        <v>45367</v>
      </c>
      <c r="AA24" s="11">
        <f>IF($H24="Cancelled","",IFERROR(IF(W24="","",(AVERAGE(E24:F24)-W24)-Variables!$B$14),""))</f>
        <v>-7</v>
      </c>
      <c r="AB24" s="10">
        <v>45419</v>
      </c>
      <c r="AC24" s="11">
        <f>IF($H24="Cancelled","",IFERROR(IF(AB24="","",IF(AND(W24="",Y24=""),"",IF(Y24&gt;W24,Y24+Variables!$B$15+Variables!$B$16+Variables!$B$17-AB24,W24+Variables!$B$16+Variables!$B$17-AB24))),""))</f>
        <v>-67</v>
      </c>
      <c r="AD24" s="9" t="s">
        <v>173</v>
      </c>
      <c r="AE24" s="9" t="s">
        <v>174</v>
      </c>
      <c r="AF24" s="10"/>
      <c r="AG24" s="10"/>
      <c r="AH24" s="9"/>
      <c r="AI24" s="9" t="s">
        <v>175</v>
      </c>
      <c r="AJ24" s="9" t="s">
        <v>8</v>
      </c>
      <c r="AK24" s="10">
        <v>45367</v>
      </c>
      <c r="AL24" s="10">
        <v>45369</v>
      </c>
      <c r="AM24" s="10">
        <v>45370</v>
      </c>
      <c r="AN24" s="9" t="s">
        <v>95</v>
      </c>
      <c r="AO24" s="9"/>
      <c r="AP24" s="11">
        <f>IF($H24="Cancelled","",IFERROR(IF(OR(AK24="",AB24=""),"",(AB24+Variables!$B$18-AK24)),""))</f>
        <v>59</v>
      </c>
      <c r="AQ24" s="11">
        <f>IF($H24="Cancelled","",IFERROR(IF(OR(AM24="",AK24=""),"",(AK24+Variables!$B$19)-AM24),""))</f>
        <v>2</v>
      </c>
      <c r="AR24" s="12">
        <f>IF($H24="Cancelled","",IFERROR(T24*INDEX(Variables!$B$7:$D$7,IFERROR(MATCH(IF($B24="Robusta","Robusta",(IF($B24="","Arabica",$B24))&amp;" - "&amp;(IF($C24="","Commercial",$C24))),Variables!$B$1:$D$1,0),1))*(AQ24/365),""))</f>
        <v>146.75512554832451</v>
      </c>
      <c r="AS24" s="12">
        <f>IF($H24="Cancelled","",IFERROR((T24*INDEX(Variables!$B$7:$D$7,IFERROR(MATCH(IF($B24="Robusta","Robusta",(IF($B24="","Arabica",$B24))&amp;" - "&amp;(IF($C24="","Commercial",$C24))),Variables!$B$1:$D$1,0),1))*IFERROR(IF(W24="","",(AVERAGE(E24:F24)-W24)-Variables!$B$14),"")/365)+(L24/16.67*INDEX(Variables!$B$8:$D$8,IFERROR(MATCH(IF($B24="Robusta","Robusta",(IF($B24="","Arabica",$B24))&amp;" - "&amp;(IF($C24="","Commercial",$C24))),Variables!$B$1:$D$1,0),1))*IFERROR(IF(W24="","",(AVERAGE(E24:F24)-W24)-Variables!$B$14),""))+(T24*INDEX(Variables!$B$9:$D$9,IFERROR(MATCH(IF($B24="Robusta","Robusta",(IF($B24="","Arabica",$B24))&amp;" - "&amp;(IF($C24="","Commercial",$C24))),Variables!$B$1:$D$1,0),1))*IFERROR(IF(W24="","",(AVERAGE(E24:F24)-W24)-Variables!$B$14),"")/365),""))</f>
        <v>-898.26478817025043</v>
      </c>
      <c r="AT24" s="12">
        <f>IF($H24="Cancelled","",IFERROR((T24*INDEX(Variables!$B$7:$D$7,IFERROR(MATCH(IF($B24="Robusta","Robusta",(IF($B24="","Arabica",$B24))&amp;" - "&amp;(IF($C24="","Commercial",$C24))),Variables!$B$1:$D$1,0),1))*AC24/365)+(L24/16.67*INDEX(Variables!$B$8:$D$8,IFERROR(MATCH(IF($B24="Robusta","Robusta",(IF($B24="","Arabica",$B24))&amp;" - "&amp;(IF($C24="","Commercial",$C24))),Variables!$B$1:$D$1,0),1))*AC24)+(T24*INDEX(Variables!$B$9:$D$9,IFERROR(MATCH(IF($B24="Robusta","Robusta",(IF($B24="","Arabica",$B24))&amp;" - "&amp;(IF($C24="","Commercial",$C24))),Variables!$B$1:$D$1,0),1))*AC24/365),""))</f>
        <v>-8597.6772582009671</v>
      </c>
      <c r="AU24" s="12">
        <f>IF($H24="Cancelled","",IFERROR((T24*INDEX(Variables!$B$7:$D$7,IFERROR(MATCH(IF($B24="Robusta","Robusta",(IF($B24="","Arabica",$B24))&amp;" - "&amp;(IF($C24="","Commercial",$C24))),Variables!$B$1:$D$1,0),1))*AP24/365)+(L24/16.67*INDEX(Variables!$B$8:$D$8,IFERROR(MATCH(IF($B24="Robusta","Robusta",(IF($B24="","Arabica",$B24))&amp;" - "&amp;(IF($C24="","Commercial",$C24))),Variables!$B$1:$D$1,0),1))*AP24)+(T24*INDEX(Variables!$B$9:$D$9,IFERROR(MATCH(IF($B24="Robusta","Robusta",(IF($B24="","Arabica",$B24))&amp;" - "&amp;(IF($C24="","Commercial",$C24))),Variables!$B$1:$D$1,0),1))*AP24/365),""))</f>
        <v>7571.0889288635399</v>
      </c>
      <c r="AV24" s="11">
        <f t="shared" si="4"/>
        <v>15</v>
      </c>
      <c r="AW24" s="12">
        <f>IF($H24="Cancelled","",IFERROR(IF(AV24="","",(T24*INDEX(Variables!$B$7:$D$7,IFERROR(MATCH(IF($B24="Robusta","Robusta",(IF($B24="","Arabica",$B24))&amp;" - "&amp;(IF($C24="","Commercial",$C24))),Variables!$B$1:$D$1,0),1))*(AV24/365))+(T24*INDEX(Variables!$B$9:$D$9,IFERROR(MATCH(IF($B24="Robusta","Robusta",(IF($B24="","Arabica",$B24))&amp;" - "&amp;(IF($C24="","Commercial",$C24))),Variables!$B$1:$D$1,0),1))*(AV24/365))+(INDEX(Variables!$B$8:$D$8,IFERROR(MATCH(IF($B24="Robusta","Robusta",(IF($B24="","Arabica",$B24))&amp;" - "&amp;(IF($C24="","Commercial",$C24))),Variables!$B$1:$D$1,0),1))*L24/16.67)),""))</f>
        <v>1168.8531175076794</v>
      </c>
      <c r="AX24" s="9"/>
      <c r="AY24" s="12"/>
      <c r="AZ24" s="10"/>
      <c r="BA24" s="9"/>
      <c r="BB24" s="10"/>
      <c r="BC24" s="9"/>
      <c r="BD24" s="9"/>
      <c r="BE24" s="9"/>
      <c r="BF24" s="9"/>
    </row>
    <row r="25" spans="1:58" x14ac:dyDescent="0.25">
      <c r="A25" s="9" t="s">
        <v>84</v>
      </c>
      <c r="B25" s="9" t="s">
        <v>85</v>
      </c>
      <c r="C25" s="9" t="s">
        <v>86</v>
      </c>
      <c r="D25" s="10">
        <v>45261</v>
      </c>
      <c r="E25" s="10">
        <v>45383</v>
      </c>
      <c r="F25" s="10">
        <v>45412</v>
      </c>
      <c r="G25" s="9">
        <v>3786065</v>
      </c>
      <c r="H25" s="9" t="str">
        <f t="shared" si="0"/>
        <v>Closed</v>
      </c>
      <c r="I25" s="9" t="str">
        <f t="shared" si="1"/>
        <v>All dates received</v>
      </c>
      <c r="J25" s="9" t="s">
        <v>102</v>
      </c>
      <c r="K25" s="9">
        <v>4763</v>
      </c>
      <c r="L25" s="11">
        <v>1080</v>
      </c>
      <c r="M25" s="9" t="s">
        <v>168</v>
      </c>
      <c r="N25" s="9" t="s">
        <v>122</v>
      </c>
      <c r="O25" s="9"/>
      <c r="P25" s="9"/>
      <c r="Q25" s="11"/>
      <c r="R25" s="9" t="s">
        <v>90</v>
      </c>
      <c r="S25" s="9" t="s">
        <v>106</v>
      </c>
      <c r="T25" s="12">
        <f>IF($H25="Cancelled","",IFERROR(((Q25+INDEX(Variables!$B$6:$D$6,IFERROR(MATCH(IF($B25="Robusta","Robusta",(IF($B25="","Arabica",$B25))&amp;" - "&amp;(IF($C25="","Commercial",$C25))),Variables!$B$1:$D$1,0),1)))*22.0462)*(L25/16.67),""))</f>
        <v>415351.99500899814</v>
      </c>
      <c r="U25" s="10">
        <v>45362</v>
      </c>
      <c r="V25" s="9" t="str">
        <f t="shared" si="2"/>
        <v>Sent</v>
      </c>
      <c r="W25" s="10">
        <v>45369</v>
      </c>
      <c r="X25" s="9" t="str">
        <f t="shared" si="3"/>
        <v>Approved</v>
      </c>
      <c r="Y25" s="10"/>
      <c r="Z25" s="10">
        <f>IF($H25="Cancelled","",IFERROR(IF(F25="","",F25-Variables!$B$13),""))</f>
        <v>45397</v>
      </c>
      <c r="AA25" s="11">
        <f>IF($H25="Cancelled","",IFERROR(IF(W25="","",(AVERAGE(E25:F25)-W25)-Variables!$B$14),""))</f>
        <v>-1.5</v>
      </c>
      <c r="AB25" s="10">
        <v>45426</v>
      </c>
      <c r="AC25" s="11">
        <f>IF($H25="Cancelled","",IFERROR(IF(AB25="","",IF(AND(W25="",Y25=""),"",IF(Y25&gt;W25,Y25+Variables!$B$15+Variables!$B$16+Variables!$B$17-AB25,W25+Variables!$B$16+Variables!$B$17-AB25))),""))</f>
        <v>-49</v>
      </c>
      <c r="AD25" s="9" t="s">
        <v>107</v>
      </c>
      <c r="AE25" s="9" t="s">
        <v>176</v>
      </c>
      <c r="AF25" s="10"/>
      <c r="AG25" s="10"/>
      <c r="AH25" s="9"/>
      <c r="AI25" s="9" t="s">
        <v>177</v>
      </c>
      <c r="AJ25" s="9" t="s">
        <v>8</v>
      </c>
      <c r="AK25" s="10">
        <v>45399</v>
      </c>
      <c r="AL25" s="10">
        <v>45401</v>
      </c>
      <c r="AM25" s="10">
        <v>45405</v>
      </c>
      <c r="AN25" s="9" t="s">
        <v>95</v>
      </c>
      <c r="AO25" s="9"/>
      <c r="AP25" s="11">
        <f>IF($H25="Cancelled","",IFERROR(IF(OR(AK25="",AB25=""),"",(AB25+Variables!$B$18-AK25)),""))</f>
        <v>34</v>
      </c>
      <c r="AQ25" s="11">
        <f>IF($H25="Cancelled","",IFERROR(IF(OR(AM25="",AK25=""),"",(AK25+Variables!$B$19)-AM25),""))</f>
        <v>-1</v>
      </c>
      <c r="AR25" s="12">
        <f>IF($H25="Cancelled","",IFERROR(T25*INDEX(Variables!$B$7:$D$7,IFERROR(MATCH(IF($B25="Robusta","Robusta",(IF($B25="","Arabica",$B25))&amp;" - "&amp;(IF($C25="","Commercial",$C25))),Variables!$B$1:$D$1,0),1))*(AQ25/365),""))</f>
        <v>-73.377562774162257</v>
      </c>
      <c r="AS25" s="12">
        <f>IF($H25="Cancelled","",IFERROR((T25*INDEX(Variables!$B$7:$D$7,IFERROR(MATCH(IF($B25="Robusta","Robusta",(IF($B25="","Arabica",$B25))&amp;" - "&amp;(IF($C25="","Commercial",$C25))),Variables!$B$1:$D$1,0),1))*IFERROR(IF(W25="","",(AVERAGE(E25:F25)-W25)-Variables!$B$14),"")/365)+(L25/16.67*INDEX(Variables!$B$8:$D$8,IFERROR(MATCH(IF($B25="Robusta","Robusta",(IF($B25="","Arabica",$B25))&amp;" - "&amp;(IF($C25="","Commercial",$C25))),Variables!$B$1:$D$1,0),1))*IFERROR(IF(W25="","",(AVERAGE(E25:F25)-W25)-Variables!$B$14),""))+(T25*INDEX(Variables!$B$9:$D$9,IFERROR(MATCH(IF($B25="Robusta","Robusta",(IF($B25="","Arabica",$B25))&amp;" - "&amp;(IF($C25="","Commercial",$C25))),Variables!$B$1:$D$1,0),1))*IFERROR(IF(W25="","",(AVERAGE(E25:F25)-W25)-Variables!$B$14),"")/365),""))</f>
        <v>-192.48531175076795</v>
      </c>
      <c r="AT25" s="12">
        <f>IF($H25="Cancelled","",IFERROR((T25*INDEX(Variables!$B$7:$D$7,IFERROR(MATCH(IF($B25="Robusta","Robusta",(IF($B25="","Arabica",$B25))&amp;" - "&amp;(IF($C25="","Commercial",$C25))),Variables!$B$1:$D$1,0),1))*AC25/365)+(L25/16.67*INDEX(Variables!$B$8:$D$8,IFERROR(MATCH(IF($B25="Robusta","Robusta",(IF($B25="","Arabica",$B25))&amp;" - "&amp;(IF($C25="","Commercial",$C25))),Variables!$B$1:$D$1,0),1))*AC25)+(T25*INDEX(Variables!$B$9:$D$9,IFERROR(MATCH(IF($B25="Robusta","Robusta",(IF($B25="","Arabica",$B25))&amp;" - "&amp;(IF($C25="","Commercial",$C25))),Variables!$B$1:$D$1,0),1))*AC25/365),""))</f>
        <v>-6287.8535171917538</v>
      </c>
      <c r="AU25" s="12">
        <f>IF($H25="Cancelled","",IFERROR((T25*INDEX(Variables!$B$7:$D$7,IFERROR(MATCH(IF($B25="Robusta","Robusta",(IF($B25="","Arabica",$B25))&amp;" - "&amp;(IF($C25="","Commercial",$C25))),Variables!$B$1:$D$1,0),1))*AP25/365)+(L25/16.67*INDEX(Variables!$B$8:$D$8,IFERROR(MATCH(IF($B25="Robusta","Robusta",(IF($B25="","Arabica",$B25))&amp;" - "&amp;(IF($C25="","Commercial",$C25))),Variables!$B$1:$D$1,0),1))*AP25)+(T25*INDEX(Variables!$B$9:$D$9,IFERROR(MATCH(IF($B25="Robusta","Robusta",(IF($B25="","Arabica",$B25))&amp;" - "&amp;(IF($C25="","Commercial",$C25))),Variables!$B$1:$D$1,0),1))*AP25/365),""))</f>
        <v>4363.0003996840742</v>
      </c>
      <c r="AV25" s="11">
        <f t="shared" si="4"/>
        <v>13</v>
      </c>
      <c r="AW25" s="12">
        <f>IF($H25="Cancelled","",IFERROR(IF(AV25="","",(T25*INDEX(Variables!$B$7:$D$7,IFERROR(MATCH(IF($B25="Robusta","Robusta",(IF($B25="","Arabica",$B25))&amp;" - "&amp;(IF($C25="","Commercial",$C25))),Variables!$B$1:$D$1,0),1))*(AV25/365))+(T25*INDEX(Variables!$B$9:$D$9,IFERROR(MATCH(IF($B25="Robusta","Robusta",(IF($B25="","Arabica",$B25))&amp;" - "&amp;(IF($C25="","Commercial",$C25))),Variables!$B$1:$D$1,0),1))*(AV25/365))+(INDEX(Variables!$B$8:$D$8,IFERROR(MATCH(IF($B25="Robusta","Robusta",(IF($B25="","Arabica",$B25))&amp;" - "&amp;(IF($C25="","Commercial",$C25))),Variables!$B$1:$D$1,0),1))*L25/16.67)),""))</f>
        <v>1020.2060351733222</v>
      </c>
      <c r="AX25" s="9"/>
      <c r="AY25" s="12"/>
      <c r="AZ25" s="10"/>
      <c r="BA25" s="9"/>
      <c r="BB25" s="10"/>
      <c r="BC25" s="9"/>
      <c r="BD25" s="9"/>
      <c r="BE25" s="9"/>
      <c r="BF25" s="9"/>
    </row>
    <row r="26" spans="1:58" x14ac:dyDescent="0.25">
      <c r="A26" s="9" t="s">
        <v>84</v>
      </c>
      <c r="B26" s="9" t="s">
        <v>85</v>
      </c>
      <c r="C26" s="9" t="s">
        <v>86</v>
      </c>
      <c r="D26" s="10">
        <v>45261</v>
      </c>
      <c r="E26" s="10">
        <v>45383</v>
      </c>
      <c r="F26" s="10">
        <v>45412</v>
      </c>
      <c r="G26" s="9">
        <v>3786070</v>
      </c>
      <c r="H26" s="9" t="str">
        <f t="shared" si="0"/>
        <v>Closed</v>
      </c>
      <c r="I26" s="9" t="str">
        <f t="shared" si="1"/>
        <v>All dates received</v>
      </c>
      <c r="J26" s="9" t="s">
        <v>102</v>
      </c>
      <c r="K26" s="9">
        <v>4768</v>
      </c>
      <c r="L26" s="11">
        <v>1080</v>
      </c>
      <c r="M26" s="9" t="s">
        <v>160</v>
      </c>
      <c r="N26" s="9" t="s">
        <v>161</v>
      </c>
      <c r="O26" s="9"/>
      <c r="P26" s="9"/>
      <c r="Q26" s="11"/>
      <c r="R26" s="9" t="s">
        <v>90</v>
      </c>
      <c r="S26" s="9" t="s">
        <v>178</v>
      </c>
      <c r="T26" s="12">
        <f>IF($H26="Cancelled","",IFERROR(((Q26+INDEX(Variables!$B$6:$D$6,IFERROR(MATCH(IF($B26="Robusta","Robusta",(IF($B26="","Arabica",$B26))&amp;" - "&amp;(IF($C26="","Commercial",$C26))),Variables!$B$1:$D$1,0),1)))*22.0462)*(L26/16.67),""))</f>
        <v>415351.99500899814</v>
      </c>
      <c r="U26" s="10">
        <v>45362</v>
      </c>
      <c r="V26" s="9" t="str">
        <f t="shared" si="2"/>
        <v>Sent</v>
      </c>
      <c r="W26" s="10">
        <v>45369</v>
      </c>
      <c r="X26" s="9" t="str">
        <f t="shared" si="3"/>
        <v>Approved</v>
      </c>
      <c r="Y26" s="10"/>
      <c r="Z26" s="10">
        <f>IF($H26="Cancelled","",IFERROR(IF(F26="","",F26-Variables!$B$13),""))</f>
        <v>45397</v>
      </c>
      <c r="AA26" s="11">
        <f>IF($H26="Cancelled","",IFERROR(IF(W26="","",(AVERAGE(E26:F26)-W26)-Variables!$B$14),""))</f>
        <v>-1.5</v>
      </c>
      <c r="AB26" s="10">
        <v>45427</v>
      </c>
      <c r="AC26" s="11">
        <f>IF($H26="Cancelled","",IFERROR(IF(AB26="","",IF(AND(W26="",Y26=""),"",IF(Y26&gt;W26,Y26+Variables!$B$15+Variables!$B$16+Variables!$B$17-AB26,W26+Variables!$B$16+Variables!$B$17-AB26))),""))</f>
        <v>-50</v>
      </c>
      <c r="AD26" s="9" t="s">
        <v>163</v>
      </c>
      <c r="AE26" s="9" t="s">
        <v>179</v>
      </c>
      <c r="AF26" s="10"/>
      <c r="AG26" s="10"/>
      <c r="AH26" s="9"/>
      <c r="AI26" s="9">
        <v>237421967</v>
      </c>
      <c r="AJ26" s="9" t="s">
        <v>8</v>
      </c>
      <c r="AK26" s="10">
        <v>45401</v>
      </c>
      <c r="AL26" s="10">
        <v>45401</v>
      </c>
      <c r="AM26" s="10">
        <v>45401</v>
      </c>
      <c r="AN26" s="9" t="s">
        <v>95</v>
      </c>
      <c r="AO26" s="9"/>
      <c r="AP26" s="11">
        <f>IF($H26="Cancelled","",IFERROR(IF(OR(AK26="",AB26=""),"",(AB26+Variables!$B$18-AK26)),""))</f>
        <v>33</v>
      </c>
      <c r="AQ26" s="11">
        <f>IF($H26="Cancelled","",IFERROR(IF(OR(AM26="",AK26=""),"",(AK26+Variables!$B$19)-AM26),""))</f>
        <v>5</v>
      </c>
      <c r="AR26" s="12">
        <f>IF($H26="Cancelled","",IFERROR(T26*INDEX(Variables!$B$7:$D$7,IFERROR(MATCH(IF($B26="Robusta","Robusta",(IF($B26="","Arabica",$B26))&amp;" - "&amp;(IF($C26="","Commercial",$C26))),Variables!$B$1:$D$1,0),1))*(AQ26/365),""))</f>
        <v>366.88781387081127</v>
      </c>
      <c r="AS26" s="12">
        <f>IF($H26="Cancelled","",IFERROR((T26*INDEX(Variables!$B$7:$D$7,IFERROR(MATCH(IF($B26="Robusta","Robusta",(IF($B26="","Arabica",$B26))&amp;" - "&amp;(IF($C26="","Commercial",$C26))),Variables!$B$1:$D$1,0),1))*IFERROR(IF(W26="","",(AVERAGE(E26:F26)-W26)-Variables!$B$14),"")/365)+(L26/16.67*INDEX(Variables!$B$8:$D$8,IFERROR(MATCH(IF($B26="Robusta","Robusta",(IF($B26="","Arabica",$B26))&amp;" - "&amp;(IF($C26="","Commercial",$C26))),Variables!$B$1:$D$1,0),1))*IFERROR(IF(W26="","",(AVERAGE(E26:F26)-W26)-Variables!$B$14),""))+(T26*INDEX(Variables!$B$9:$D$9,IFERROR(MATCH(IF($B26="Robusta","Robusta",(IF($B26="","Arabica",$B26))&amp;" - "&amp;(IF($C26="","Commercial",$C26))),Variables!$B$1:$D$1,0),1))*IFERROR(IF(W26="","",(AVERAGE(E26:F26)-W26)-Variables!$B$14),"")/365),""))</f>
        <v>-192.48531175076795</v>
      </c>
      <c r="AT26" s="12">
        <f>IF($H26="Cancelled","",IFERROR((T26*INDEX(Variables!$B$7:$D$7,IFERROR(MATCH(IF($B26="Robusta","Robusta",(IF($B26="","Arabica",$B26))&amp;" - "&amp;(IF($C26="","Commercial",$C26))),Variables!$B$1:$D$1,0),1))*AC26/365)+(L26/16.67*INDEX(Variables!$B$8:$D$8,IFERROR(MATCH(IF($B26="Robusta","Robusta",(IF($B26="","Arabica",$B26))&amp;" - "&amp;(IF($C26="","Commercial",$C26))),Variables!$B$1:$D$1,0),1))*AC26)+(T26*INDEX(Variables!$B$9:$D$9,IFERROR(MATCH(IF($B26="Robusta","Robusta",(IF($B26="","Arabica",$B26))&amp;" - "&amp;(IF($C26="","Commercial",$C26))),Variables!$B$1:$D$1,0),1))*AC26/365),""))</f>
        <v>-6416.1770583589314</v>
      </c>
      <c r="AU26" s="12">
        <f>IF($H26="Cancelled","",IFERROR((T26*INDEX(Variables!$B$7:$D$7,IFERROR(MATCH(IF($B26="Robusta","Robusta",(IF($B26="","Arabica",$B26))&amp;" - "&amp;(IF($C26="","Commercial",$C26))),Variables!$B$1:$D$1,0),1))*AP26/365)+(L26/16.67*INDEX(Variables!$B$8:$D$8,IFERROR(MATCH(IF($B26="Robusta","Robusta",(IF($B26="","Arabica",$B26))&amp;" - "&amp;(IF($C26="","Commercial",$C26))),Variables!$B$1:$D$1,0),1))*AP26)+(T26*INDEX(Variables!$B$9:$D$9,IFERROR(MATCH(IF($B26="Robusta","Robusta",(IF($B26="","Arabica",$B26))&amp;" - "&amp;(IF($C26="","Commercial",$C26))),Variables!$B$1:$D$1,0),1))*AP26/365),""))</f>
        <v>4234.6768585168948</v>
      </c>
      <c r="AV26" s="11">
        <f t="shared" si="4"/>
        <v>11</v>
      </c>
      <c r="AW26" s="12">
        <f>IF($H26="Cancelled","",IFERROR(IF(AV26="","",(T26*INDEX(Variables!$B$7:$D$7,IFERROR(MATCH(IF($B26="Robusta","Robusta",(IF($B26="","Arabica",$B26))&amp;" - "&amp;(IF($C26="","Commercial",$C26))),Variables!$B$1:$D$1,0),1))*(AV26/365))+(T26*INDEX(Variables!$B$9:$D$9,IFERROR(MATCH(IF($B26="Robusta","Robusta",(IF($B26="","Arabica",$B26))&amp;" - "&amp;(IF($C26="","Commercial",$C26))),Variables!$B$1:$D$1,0),1))*(AV26/365))+(INDEX(Variables!$B$8:$D$8,IFERROR(MATCH(IF($B26="Robusta","Robusta",(IF($B26="","Arabica",$B26))&amp;" - "&amp;(IF($C26="","Commercial",$C26))),Variables!$B$1:$D$1,0),1))*L26/16.67)),""))</f>
        <v>871.55895283896496</v>
      </c>
      <c r="AX26" s="9"/>
      <c r="AY26" s="12"/>
      <c r="AZ26" s="10"/>
      <c r="BA26" s="9"/>
      <c r="BB26" s="10"/>
      <c r="BC26" s="9"/>
      <c r="BD26" s="9"/>
      <c r="BE26" s="9"/>
      <c r="BF26" s="9"/>
    </row>
    <row r="27" spans="1:58" x14ac:dyDescent="0.25">
      <c r="A27" s="9" t="s">
        <v>84</v>
      </c>
      <c r="B27" s="9" t="s">
        <v>85</v>
      </c>
      <c r="C27" s="9" t="s">
        <v>86</v>
      </c>
      <c r="D27" s="10">
        <v>45261</v>
      </c>
      <c r="E27" s="10">
        <v>45413</v>
      </c>
      <c r="F27" s="10">
        <v>45443</v>
      </c>
      <c r="G27" s="9">
        <v>3786066</v>
      </c>
      <c r="H27" s="9" t="str">
        <f t="shared" si="0"/>
        <v>Closed</v>
      </c>
      <c r="I27" s="9" t="str">
        <f t="shared" si="1"/>
        <v>All dates received</v>
      </c>
      <c r="J27" s="9" t="s">
        <v>102</v>
      </c>
      <c r="K27" s="9">
        <v>4857</v>
      </c>
      <c r="L27" s="11">
        <v>1440</v>
      </c>
      <c r="M27" s="9" t="s">
        <v>168</v>
      </c>
      <c r="N27" s="9" t="s">
        <v>122</v>
      </c>
      <c r="O27" s="9"/>
      <c r="P27" s="9"/>
      <c r="Q27" s="11"/>
      <c r="R27" s="9" t="s">
        <v>90</v>
      </c>
      <c r="S27" s="9" t="s">
        <v>106</v>
      </c>
      <c r="T27" s="12">
        <f>IF($H27="Cancelled","",IFERROR(((Q27+INDEX(Variables!$B$6:$D$6,IFERROR(MATCH(IF($B27="Robusta","Robusta",(IF($B27="","Arabica",$B27))&amp;" - "&amp;(IF($C27="","Commercial",$C27))),Variables!$B$1:$D$1,0),1)))*22.0462)*(L27/16.67),""))</f>
        <v>553802.66001199756</v>
      </c>
      <c r="U27" s="10">
        <v>45390</v>
      </c>
      <c r="V27" s="9" t="str">
        <f t="shared" si="2"/>
        <v>Sent</v>
      </c>
      <c r="W27" s="10">
        <v>45406</v>
      </c>
      <c r="X27" s="9" t="str">
        <f t="shared" si="3"/>
        <v>Approved</v>
      </c>
      <c r="Y27" s="10"/>
      <c r="Z27" s="10">
        <f>IF($H27="Cancelled","",IFERROR(IF(F27="","",F27-Variables!$B$13),""))</f>
        <v>45428</v>
      </c>
      <c r="AA27" s="11">
        <f>IF($H27="Cancelled","",IFERROR(IF(W27="","",(AVERAGE(E27:F27)-W27)-Variables!$B$14),""))</f>
        <v>-8</v>
      </c>
      <c r="AB27" s="10">
        <v>45429</v>
      </c>
      <c r="AC27" s="11">
        <f>IF($H27="Cancelled","",IFERROR(IF(AB27="","",IF(AND(W27="",Y27=""),"",IF(Y27&gt;W27,Y27+Variables!$B$15+Variables!$B$16+Variables!$B$17-AB27,W27+Variables!$B$16+Variables!$B$17-AB27))),""))</f>
        <v>-15</v>
      </c>
      <c r="AD27" s="9" t="s">
        <v>180</v>
      </c>
      <c r="AE27" s="9" t="s">
        <v>181</v>
      </c>
      <c r="AF27" s="10"/>
      <c r="AG27" s="10"/>
      <c r="AH27" s="9"/>
      <c r="AI27" s="9" t="s">
        <v>182</v>
      </c>
      <c r="AJ27" s="9" t="s">
        <v>8</v>
      </c>
      <c r="AK27" s="10">
        <v>45442</v>
      </c>
      <c r="AL27" s="10">
        <v>45443</v>
      </c>
      <c r="AM27" s="10">
        <v>45450</v>
      </c>
      <c r="AN27" s="9" t="s">
        <v>95</v>
      </c>
      <c r="AO27" s="9"/>
      <c r="AP27" s="11">
        <f>IF($H27="Cancelled","",IFERROR(IF(OR(AK27="",AB27=""),"",(AB27+Variables!$B$18-AK27)),""))</f>
        <v>-6</v>
      </c>
      <c r="AQ27" s="11">
        <f>IF($H27="Cancelled","",IFERROR(IF(OR(AM27="",AK27=""),"",(AK27+Variables!$B$19)-AM27),""))</f>
        <v>-3</v>
      </c>
      <c r="AR27" s="12">
        <f>IF($H27="Cancelled","",IFERROR(T27*INDEX(Variables!$B$7:$D$7,IFERROR(MATCH(IF($B27="Robusta","Robusta",(IF($B27="","Arabica",$B27))&amp;" - "&amp;(IF($C27="","Commercial",$C27))),Variables!$B$1:$D$1,0),1))*(AQ27/365),""))</f>
        <v>-293.51025109664897</v>
      </c>
      <c r="AS27" s="12">
        <f>IF($H27="Cancelled","",IFERROR((T27*INDEX(Variables!$B$7:$D$7,IFERROR(MATCH(IF($B27="Robusta","Robusta",(IF($B27="","Arabica",$B27))&amp;" - "&amp;(IF($C27="","Commercial",$C27))),Variables!$B$1:$D$1,0),1))*IFERROR(IF(W27="","",(AVERAGE(E27:F27)-W27)-Variables!$B$14),"")/365)+(L27/16.67*INDEX(Variables!$B$8:$D$8,IFERROR(MATCH(IF($B27="Robusta","Robusta",(IF($B27="","Arabica",$B27))&amp;" - "&amp;(IF($C27="","Commercial",$C27))),Variables!$B$1:$D$1,0),1))*IFERROR(IF(W27="","",(AVERAGE(E27:F27)-W27)-Variables!$B$14),""))+(T27*INDEX(Variables!$B$9:$D$9,IFERROR(MATCH(IF($B27="Robusta","Robusta",(IF($B27="","Arabica",$B27))&amp;" - "&amp;(IF($C27="","Commercial",$C27))),Variables!$B$1:$D$1,0),1))*IFERROR(IF(W27="","",(AVERAGE(E27:F27)-W27)-Variables!$B$14),"")/365),""))</f>
        <v>-1368.7844391165722</v>
      </c>
      <c r="AT27" s="12">
        <f>IF($H27="Cancelled","",IFERROR((T27*INDEX(Variables!$B$7:$D$7,IFERROR(MATCH(IF($B27="Robusta","Robusta",(IF($B27="","Arabica",$B27))&amp;" - "&amp;(IF($C27="","Commercial",$C27))),Variables!$B$1:$D$1,0),1))*AC27/365)+(L27/16.67*INDEX(Variables!$B$8:$D$8,IFERROR(MATCH(IF($B27="Robusta","Robusta",(IF($B27="","Arabica",$B27))&amp;" - "&amp;(IF($C27="","Commercial",$C27))),Variables!$B$1:$D$1,0),1))*AC27)+(T27*INDEX(Variables!$B$9:$D$9,IFERROR(MATCH(IF($B27="Robusta","Robusta",(IF($B27="","Arabica",$B27))&amp;" - "&amp;(IF($C27="","Commercial",$C27))),Variables!$B$1:$D$1,0),1))*AC27/365),""))</f>
        <v>-2566.4708233435731</v>
      </c>
      <c r="AU27" s="12">
        <f>IF($H27="Cancelled","",IFERROR((T27*INDEX(Variables!$B$7:$D$7,IFERROR(MATCH(IF($B27="Robusta","Robusta",(IF($B27="","Arabica",$B27))&amp;" - "&amp;(IF($C27="","Commercial",$C27))),Variables!$B$1:$D$1,0),1))*AP27/365)+(L27/16.67*INDEX(Variables!$B$8:$D$8,IFERROR(MATCH(IF($B27="Robusta","Robusta",(IF($B27="","Arabica",$B27))&amp;" - "&amp;(IF($C27="","Commercial",$C27))),Variables!$B$1:$D$1,0),1))*AP27)+(T27*INDEX(Variables!$B$9:$D$9,IFERROR(MATCH(IF($B27="Robusta","Robusta",(IF($B27="","Arabica",$B27))&amp;" - "&amp;(IF($C27="","Commercial",$C27))),Variables!$B$1:$D$1,0),1))*AP27/365),""))</f>
        <v>-1026.5883293374293</v>
      </c>
      <c r="AV27" s="11">
        <f t="shared" si="4"/>
        <v>1</v>
      </c>
      <c r="AW27" s="12">
        <f>IF($H27="Cancelled","",IFERROR(IF(AV27="","",(T27*INDEX(Variables!$B$7:$D$7,IFERROR(MATCH(IF($B27="Robusta","Robusta",(IF($B27="","Arabica",$B27))&amp;" - "&amp;(IF($C27="","Commercial",$C27))),Variables!$B$1:$D$1,0),1))*(AV27/365))+(T27*INDEX(Variables!$B$9:$D$9,IFERROR(MATCH(IF($B27="Robusta","Robusta",(IF($B27="","Arabica",$B27))&amp;" - "&amp;(IF($C27="","Commercial",$C27))),Variables!$B$1:$D$1,0),1))*(AV27/365))+(INDEX(Variables!$B$8:$D$8,IFERROR(MATCH(IF($B27="Robusta","Robusta",(IF($B27="","Arabica",$B27))&amp;" - "&amp;(IF($C27="","Commercial",$C27))),Variables!$B$1:$D$1,0),1))*L27/16.67)),""))</f>
        <v>171.09805488957153</v>
      </c>
      <c r="AX27" s="9"/>
      <c r="AY27" s="12"/>
      <c r="AZ27" s="10"/>
      <c r="BA27" s="9"/>
      <c r="BB27" s="10"/>
      <c r="BC27" s="9"/>
      <c r="BD27" s="9"/>
      <c r="BE27" s="9"/>
      <c r="BF27" s="9"/>
    </row>
    <row r="28" spans="1:58" x14ac:dyDescent="0.25">
      <c r="A28" s="9" t="s">
        <v>84</v>
      </c>
      <c r="B28" s="9" t="s">
        <v>85</v>
      </c>
      <c r="C28" s="9" t="s">
        <v>86</v>
      </c>
      <c r="D28" s="10">
        <v>45261</v>
      </c>
      <c r="E28" s="10">
        <v>45413</v>
      </c>
      <c r="F28" s="10">
        <v>45443</v>
      </c>
      <c r="G28" s="9">
        <v>3786071</v>
      </c>
      <c r="H28" s="9" t="str">
        <f t="shared" si="0"/>
        <v>Closed</v>
      </c>
      <c r="I28" s="9" t="str">
        <f t="shared" si="1"/>
        <v>All dates received</v>
      </c>
      <c r="J28" s="9" t="s">
        <v>102</v>
      </c>
      <c r="K28" s="9">
        <v>4858</v>
      </c>
      <c r="L28" s="11">
        <v>720</v>
      </c>
      <c r="M28" s="9" t="s">
        <v>160</v>
      </c>
      <c r="N28" s="9" t="s">
        <v>161</v>
      </c>
      <c r="O28" s="9"/>
      <c r="P28" s="9"/>
      <c r="Q28" s="11"/>
      <c r="R28" s="9" t="s">
        <v>90</v>
      </c>
      <c r="S28" s="9" t="s">
        <v>178</v>
      </c>
      <c r="T28" s="12">
        <f>IF($H28="Cancelled","",IFERROR(((Q28+INDEX(Variables!$B$6:$D$6,IFERROR(MATCH(IF($B28="Robusta","Robusta",(IF($B28="","Arabica",$B28))&amp;" - "&amp;(IF($C28="","Commercial",$C28))),Variables!$B$1:$D$1,0),1)))*22.0462)*(L28/16.67),""))</f>
        <v>276901.33000599878</v>
      </c>
      <c r="U28" s="10">
        <v>45390</v>
      </c>
      <c r="V28" s="9" t="str">
        <f t="shared" si="2"/>
        <v>Sent</v>
      </c>
      <c r="W28" s="10">
        <v>45394</v>
      </c>
      <c r="X28" s="9" t="str">
        <f t="shared" si="3"/>
        <v>Approved</v>
      </c>
      <c r="Y28" s="10"/>
      <c r="Z28" s="10">
        <f>IF($H28="Cancelled","",IFERROR(IF(F28="","",F28-Variables!$B$13),""))</f>
        <v>45428</v>
      </c>
      <c r="AA28" s="11">
        <f>IF($H28="Cancelled","",IFERROR(IF(W28="","",(AVERAGE(E28:F28)-W28)-Variables!$B$14),""))</f>
        <v>4</v>
      </c>
      <c r="AB28" s="10">
        <v>45428</v>
      </c>
      <c r="AC28" s="11">
        <f>IF($H28="Cancelled","",IFERROR(IF(AB28="","",IF(AND(W28="",Y28=""),"",IF(Y28&gt;W28,Y28+Variables!$B$15+Variables!$B$16+Variables!$B$17-AB28,W28+Variables!$B$16+Variables!$B$17-AB28))),""))</f>
        <v>-26</v>
      </c>
      <c r="AD28" s="9" t="s">
        <v>163</v>
      </c>
      <c r="AE28" s="9" t="s">
        <v>164</v>
      </c>
      <c r="AF28" s="10"/>
      <c r="AG28" s="10"/>
      <c r="AH28" s="9"/>
      <c r="AI28" s="9">
        <v>238367109</v>
      </c>
      <c r="AJ28" s="9" t="s">
        <v>8</v>
      </c>
      <c r="AK28" s="10">
        <v>45421</v>
      </c>
      <c r="AL28" s="10">
        <v>45426</v>
      </c>
      <c r="AM28" s="10">
        <v>45426</v>
      </c>
      <c r="AN28" s="9" t="s">
        <v>95</v>
      </c>
      <c r="AO28" s="9"/>
      <c r="AP28" s="11">
        <f>IF($H28="Cancelled","",IFERROR(IF(OR(AK28="",AB28=""),"",(AB28+Variables!$B$18-AK28)),""))</f>
        <v>14</v>
      </c>
      <c r="AQ28" s="11">
        <f>IF($H28="Cancelled","",IFERROR(IF(OR(AM28="",AK28=""),"",(AK28+Variables!$B$19)-AM28),""))</f>
        <v>0</v>
      </c>
      <c r="AR28" s="12">
        <f>IF($H28="Cancelled","",IFERROR(T28*INDEX(Variables!$B$7:$D$7,IFERROR(MATCH(IF($B28="Robusta","Robusta",(IF($B28="","Arabica",$B28))&amp;" - "&amp;(IF($C28="","Commercial",$C28))),Variables!$B$1:$D$1,0),1))*(AQ28/365),""))</f>
        <v>0</v>
      </c>
      <c r="AS28" s="12">
        <f>IF($H28="Cancelled","",IFERROR((T28*INDEX(Variables!$B$7:$D$7,IFERROR(MATCH(IF($B28="Robusta","Robusta",(IF($B28="","Arabica",$B28))&amp;" - "&amp;(IF($C28="","Commercial",$C28))),Variables!$B$1:$D$1,0),1))*IFERROR(IF(W28="","",(AVERAGE(E28:F28)-W28)-Variables!$B$14),"")/365)+(L28/16.67*INDEX(Variables!$B$8:$D$8,IFERROR(MATCH(IF($B28="Robusta","Robusta",(IF($B28="","Arabica",$B28))&amp;" - "&amp;(IF($C28="","Commercial",$C28))),Variables!$B$1:$D$1,0),1))*IFERROR(IF(W28="","",(AVERAGE(E28:F28)-W28)-Variables!$B$14),""))+(T28*INDEX(Variables!$B$9:$D$9,IFERROR(MATCH(IF($B28="Robusta","Robusta",(IF($B28="","Arabica",$B28))&amp;" - "&amp;(IF($C28="","Commercial",$C28))),Variables!$B$1:$D$1,0),1))*IFERROR(IF(W28="","",(AVERAGE(E28:F28)-W28)-Variables!$B$14),"")/365),""))</f>
        <v>342.19610977914306</v>
      </c>
      <c r="AT28" s="12">
        <f>IF($H28="Cancelled","",IFERROR((T28*INDEX(Variables!$B$7:$D$7,IFERROR(MATCH(IF($B28="Robusta","Robusta",(IF($B28="","Arabica",$B28))&amp;" - "&amp;(IF($C28="","Commercial",$C28))),Variables!$B$1:$D$1,0),1))*AC28/365)+(L28/16.67*INDEX(Variables!$B$8:$D$8,IFERROR(MATCH(IF($B28="Robusta","Robusta",(IF($B28="","Arabica",$B28))&amp;" - "&amp;(IF($C28="","Commercial",$C28))),Variables!$B$1:$D$1,0),1))*AC28)+(T28*INDEX(Variables!$B$9:$D$9,IFERROR(MATCH(IF($B28="Robusta","Robusta",(IF($B28="","Arabica",$B28))&amp;" - "&amp;(IF($C28="","Commercial",$C28))),Variables!$B$1:$D$1,0),1))*AC28/365),""))</f>
        <v>-2224.2747135644299</v>
      </c>
      <c r="AU28" s="12">
        <f>IF($H28="Cancelled","",IFERROR((T28*INDEX(Variables!$B$7:$D$7,IFERROR(MATCH(IF($B28="Robusta","Robusta",(IF($B28="","Arabica",$B28))&amp;" - "&amp;(IF($C28="","Commercial",$C28))),Variables!$B$1:$D$1,0),1))*AP28/365)+(L28/16.67*INDEX(Variables!$B$8:$D$8,IFERROR(MATCH(IF($B28="Robusta","Robusta",(IF($B28="","Arabica",$B28))&amp;" - "&amp;(IF($C28="","Commercial",$C28))),Variables!$B$1:$D$1,0),1))*AP28)+(T28*INDEX(Variables!$B$9:$D$9,IFERROR(MATCH(IF($B28="Robusta","Robusta",(IF($B28="","Arabica",$B28))&amp;" - "&amp;(IF($C28="","Commercial",$C28))),Variables!$B$1:$D$1,0),1))*AP28/365),""))</f>
        <v>1197.6863842270009</v>
      </c>
      <c r="AV28" s="11">
        <f t="shared" si="4"/>
        <v>22</v>
      </c>
      <c r="AW28" s="12">
        <f>IF($H28="Cancelled","",IFERROR(IF(AV28="","",(T28*INDEX(Variables!$B$7:$D$7,IFERROR(MATCH(IF($B28="Robusta","Robusta",(IF($B28="","Arabica",$B28))&amp;" - "&amp;(IF($C28="","Commercial",$C28))),Variables!$B$1:$D$1,0),1))*(AV28/365))+(T28*INDEX(Variables!$B$9:$D$9,IFERROR(MATCH(IF($B28="Robusta","Robusta",(IF($B28="","Arabica",$B28))&amp;" - "&amp;(IF($C28="","Commercial",$C28))),Variables!$B$1:$D$1,0),1))*(AV28/365))+(INDEX(Variables!$B$8:$D$8,IFERROR(MATCH(IF($B28="Robusta","Robusta",(IF($B28="","Arabica",$B28))&amp;" - "&amp;(IF($C28="","Commercial",$C28))),Variables!$B$1:$D$1,0),1))*L28/16.67)),""))</f>
        <v>1126.0786037852868</v>
      </c>
      <c r="AX28" s="9"/>
      <c r="AY28" s="12"/>
      <c r="AZ28" s="10"/>
      <c r="BA28" s="9"/>
      <c r="BB28" s="10"/>
      <c r="BC28" s="9"/>
      <c r="BD28" s="9"/>
      <c r="BE28" s="9"/>
      <c r="BF28" s="9"/>
    </row>
    <row r="29" spans="1:58" x14ac:dyDescent="0.25">
      <c r="A29" s="9" t="s">
        <v>84</v>
      </c>
      <c r="B29" s="9" t="s">
        <v>85</v>
      </c>
      <c r="C29" s="9" t="s">
        <v>86</v>
      </c>
      <c r="D29" s="10">
        <v>45261</v>
      </c>
      <c r="E29" s="10">
        <v>45444</v>
      </c>
      <c r="F29" s="10">
        <v>45473</v>
      </c>
      <c r="G29" s="9">
        <v>3786072</v>
      </c>
      <c r="H29" s="9" t="str">
        <f t="shared" si="0"/>
        <v>Closed</v>
      </c>
      <c r="I29" s="9" t="str">
        <f t="shared" si="1"/>
        <v>All dates received</v>
      </c>
      <c r="J29" s="9" t="s">
        <v>102</v>
      </c>
      <c r="K29" s="9">
        <v>4926</v>
      </c>
      <c r="L29" s="11">
        <v>720</v>
      </c>
      <c r="M29" s="9" t="s">
        <v>160</v>
      </c>
      <c r="N29" s="9" t="s">
        <v>161</v>
      </c>
      <c r="O29" s="9"/>
      <c r="P29" s="9"/>
      <c r="Q29" s="11"/>
      <c r="R29" s="9" t="s">
        <v>90</v>
      </c>
      <c r="S29" s="9" t="s">
        <v>183</v>
      </c>
      <c r="T29" s="12">
        <f>IF($H29="Cancelled","",IFERROR(((Q29+INDEX(Variables!$B$6:$D$6,IFERROR(MATCH(IF($B29="Robusta","Robusta",(IF($B29="","Arabica",$B29))&amp;" - "&amp;(IF($C29="","Commercial",$C29))),Variables!$B$1:$D$1,0),1)))*22.0462)*(L29/16.67),""))</f>
        <v>276901.33000599878</v>
      </c>
      <c r="U29" s="10">
        <v>45411</v>
      </c>
      <c r="V29" s="9" t="str">
        <f t="shared" si="2"/>
        <v>Sent</v>
      </c>
      <c r="W29" s="10">
        <v>45418</v>
      </c>
      <c r="X29" s="9" t="str">
        <f t="shared" si="3"/>
        <v>Approved</v>
      </c>
      <c r="Y29" s="10"/>
      <c r="Z29" s="10">
        <f>IF($H29="Cancelled","",IFERROR(IF(F29="","",F29-Variables!$B$13),""))</f>
        <v>45458</v>
      </c>
      <c r="AA29" s="11">
        <f>IF($H29="Cancelled","",IFERROR(IF(W29="","",(AVERAGE(E29:F29)-W29)-Variables!$B$14),""))</f>
        <v>10.5</v>
      </c>
      <c r="AB29" s="10">
        <v>45429</v>
      </c>
      <c r="AC29" s="11">
        <f>IF($H29="Cancelled","",IFERROR(IF(AB29="","",IF(AND(W29="",Y29=""),"",IF(Y29&gt;W29,Y29+Variables!$B$15+Variables!$B$16+Variables!$B$17-AB29,W29+Variables!$B$16+Variables!$B$17-AB29))),""))</f>
        <v>-3</v>
      </c>
      <c r="AD29" s="9" t="s">
        <v>107</v>
      </c>
      <c r="AE29" s="9" t="s">
        <v>184</v>
      </c>
      <c r="AF29" s="10"/>
      <c r="AG29" s="10"/>
      <c r="AH29" s="9"/>
      <c r="AI29" s="9" t="s">
        <v>185</v>
      </c>
      <c r="AJ29" s="9" t="s">
        <v>8</v>
      </c>
      <c r="AK29" s="10">
        <v>45454</v>
      </c>
      <c r="AL29" s="10">
        <v>45457</v>
      </c>
      <c r="AM29" s="10">
        <v>45461</v>
      </c>
      <c r="AN29" s="9" t="s">
        <v>95</v>
      </c>
      <c r="AO29" s="9"/>
      <c r="AP29" s="11">
        <f>IF($H29="Cancelled","",IFERROR(IF(OR(AK29="",AB29=""),"",(AB29+Variables!$B$18-AK29)),""))</f>
        <v>-18</v>
      </c>
      <c r="AQ29" s="11">
        <f>IF($H29="Cancelled","",IFERROR(IF(OR(AM29="",AK29=""),"",(AK29+Variables!$B$19)-AM29),""))</f>
        <v>-2</v>
      </c>
      <c r="AR29" s="12">
        <f>IF($H29="Cancelled","",IFERROR(T29*INDEX(Variables!$B$7:$D$7,IFERROR(MATCH(IF($B29="Robusta","Robusta",(IF($B29="","Arabica",$B29))&amp;" - "&amp;(IF($C29="","Commercial",$C29))),Variables!$B$1:$D$1,0),1))*(AQ29/365),""))</f>
        <v>-97.836750365549676</v>
      </c>
      <c r="AS29" s="12">
        <f>IF($H29="Cancelled","",IFERROR((T29*INDEX(Variables!$B$7:$D$7,IFERROR(MATCH(IF($B29="Robusta","Robusta",(IF($B29="","Arabica",$B29))&amp;" - "&amp;(IF($C29="","Commercial",$C29))),Variables!$B$1:$D$1,0),1))*IFERROR(IF(W29="","",(AVERAGE(E29:F29)-W29)-Variables!$B$14),"")/365)+(L29/16.67*INDEX(Variables!$B$8:$D$8,IFERROR(MATCH(IF($B29="Robusta","Robusta",(IF($B29="","Arabica",$B29))&amp;" - "&amp;(IF($C29="","Commercial",$C29))),Variables!$B$1:$D$1,0),1))*IFERROR(IF(W29="","",(AVERAGE(E29:F29)-W29)-Variables!$B$14),""))+(T29*INDEX(Variables!$B$9:$D$9,IFERROR(MATCH(IF($B29="Robusta","Robusta",(IF($B29="","Arabica",$B29))&amp;" - "&amp;(IF($C29="","Commercial",$C29))),Variables!$B$1:$D$1,0),1))*IFERROR(IF(W29="","",(AVERAGE(E29:F29)-W29)-Variables!$B$14),"")/365),""))</f>
        <v>898.26478817025043</v>
      </c>
      <c r="AT29" s="12">
        <f>IF($H29="Cancelled","",IFERROR((T29*INDEX(Variables!$B$7:$D$7,IFERROR(MATCH(IF($B29="Robusta","Robusta",(IF($B29="","Arabica",$B29))&amp;" - "&amp;(IF($C29="","Commercial",$C29))),Variables!$B$1:$D$1,0),1))*AC29/365)+(L29/16.67*INDEX(Variables!$B$8:$D$8,IFERROR(MATCH(IF($B29="Robusta","Robusta",(IF($B29="","Arabica",$B29))&amp;" - "&amp;(IF($C29="","Commercial",$C29))),Variables!$B$1:$D$1,0),1))*AC29)+(T29*INDEX(Variables!$B$9:$D$9,IFERROR(MATCH(IF($B29="Robusta","Robusta",(IF($B29="","Arabica",$B29))&amp;" - "&amp;(IF($C29="","Commercial",$C29))),Variables!$B$1:$D$1,0),1))*AC29/365),""))</f>
        <v>-256.64708233435732</v>
      </c>
      <c r="AU29" s="12">
        <f>IF($H29="Cancelled","",IFERROR((T29*INDEX(Variables!$B$7:$D$7,IFERROR(MATCH(IF($B29="Robusta","Robusta",(IF($B29="","Arabica",$B29))&amp;" - "&amp;(IF($C29="","Commercial",$C29))),Variables!$B$1:$D$1,0),1))*AP29/365)+(L29/16.67*INDEX(Variables!$B$8:$D$8,IFERROR(MATCH(IF($B29="Robusta","Robusta",(IF($B29="","Arabica",$B29))&amp;" - "&amp;(IF($C29="","Commercial",$C29))),Variables!$B$1:$D$1,0),1))*AP29)+(T29*INDEX(Variables!$B$9:$D$9,IFERROR(MATCH(IF($B29="Robusta","Robusta",(IF($B29="","Arabica",$B29))&amp;" - "&amp;(IF($C29="","Commercial",$C29))),Variables!$B$1:$D$1,0),1))*AP29/365),""))</f>
        <v>-1539.8824940061438</v>
      </c>
      <c r="AV29" s="11">
        <f t="shared" si="4"/>
        <v>19</v>
      </c>
      <c r="AW29" s="12">
        <f>IF($H29="Cancelled","",IFERROR(IF(AV29="","",(T29*INDEX(Variables!$B$7:$D$7,IFERROR(MATCH(IF($B29="Robusta","Robusta",(IF($B29="","Arabica",$B29))&amp;" - "&amp;(IF($C29="","Commercial",$C29))),Variables!$B$1:$D$1,0),1))*(AV29/365))+(T29*INDEX(Variables!$B$9:$D$9,IFERROR(MATCH(IF($B29="Robusta","Robusta",(IF($B29="","Arabica",$B29))&amp;" - "&amp;(IF($C29="","Commercial",$C29))),Variables!$B$1:$D$1,0),1))*(AV29/365))+(INDEX(Variables!$B$8:$D$8,IFERROR(MATCH(IF($B29="Robusta","Robusta",(IF($B29="","Arabica",$B29))&amp;" - "&amp;(IF($C29="","Commercial",$C29))),Variables!$B$1:$D$1,0),1))*L29/16.67)),""))</f>
        <v>977.43152145092938</v>
      </c>
      <c r="AX29" s="9"/>
      <c r="AY29" s="12"/>
      <c r="AZ29" s="10"/>
      <c r="BA29" s="9"/>
      <c r="BB29" s="10"/>
      <c r="BC29" s="9"/>
      <c r="BD29" s="9"/>
      <c r="BE29" s="9"/>
      <c r="BF29" s="9"/>
    </row>
    <row r="30" spans="1:58" x14ac:dyDescent="0.25">
      <c r="A30" s="9" t="s">
        <v>84</v>
      </c>
      <c r="B30" s="9" t="s">
        <v>85</v>
      </c>
      <c r="C30" s="9" t="s">
        <v>86</v>
      </c>
      <c r="D30" s="10">
        <v>45267</v>
      </c>
      <c r="E30" s="10">
        <v>45383</v>
      </c>
      <c r="F30" s="10">
        <v>45397</v>
      </c>
      <c r="G30" s="9">
        <v>3786073</v>
      </c>
      <c r="H30" s="9" t="str">
        <f t="shared" si="0"/>
        <v>Closed</v>
      </c>
      <c r="I30" s="9" t="str">
        <f t="shared" si="1"/>
        <v>All dates received</v>
      </c>
      <c r="J30" s="9" t="s">
        <v>186</v>
      </c>
      <c r="K30" s="9">
        <v>4890</v>
      </c>
      <c r="L30" s="11">
        <v>320</v>
      </c>
      <c r="M30" s="9" t="s">
        <v>187</v>
      </c>
      <c r="N30" s="9" t="s">
        <v>126</v>
      </c>
      <c r="O30" s="9"/>
      <c r="P30" s="9"/>
      <c r="Q30" s="11"/>
      <c r="R30" s="9" t="s">
        <v>90</v>
      </c>
      <c r="S30" s="9" t="s">
        <v>188</v>
      </c>
      <c r="T30" s="12">
        <f>IF($H30="Cancelled","",IFERROR(((Q30+INDEX(Variables!$B$6:$D$6,IFERROR(MATCH(IF($B30="Robusta","Robusta",(IF($B30="","Arabica",$B30))&amp;" - "&amp;(IF($C30="","Commercial",$C30))),Variables!$B$1:$D$1,0),1)))*22.0462)*(L30/16.67),""))</f>
        <v>123067.25778044391</v>
      </c>
      <c r="U30" s="10">
        <v>45357</v>
      </c>
      <c r="V30" s="9" t="str">
        <f t="shared" si="2"/>
        <v>Sent</v>
      </c>
      <c r="W30" s="10">
        <v>45397</v>
      </c>
      <c r="X30" s="9" t="str">
        <f t="shared" si="3"/>
        <v>Approved</v>
      </c>
      <c r="Y30" s="10"/>
      <c r="Z30" s="10">
        <f>IF($H30="Cancelled","",IFERROR(IF(F30="","",F30-Variables!$B$13),""))</f>
        <v>45382</v>
      </c>
      <c r="AA30" s="11">
        <f>IF($H30="Cancelled","",IFERROR(IF(W30="","",(AVERAGE(E30:F30)-W30)-Variables!$B$14),""))</f>
        <v>-37</v>
      </c>
      <c r="AB30" s="10">
        <v>45432</v>
      </c>
      <c r="AC30" s="11">
        <f>IF($H30="Cancelled","",IFERROR(IF(AB30="","",IF(AND(W30="",Y30=""),"",IF(Y30&gt;W30,Y30+Variables!$B$15+Variables!$B$16+Variables!$B$17-AB30,W30+Variables!$B$16+Variables!$B$17-AB30))),""))</f>
        <v>-27</v>
      </c>
      <c r="AD30" s="9" t="s">
        <v>107</v>
      </c>
      <c r="AE30" s="9" t="s">
        <v>189</v>
      </c>
      <c r="AF30" s="10"/>
      <c r="AG30" s="10"/>
      <c r="AH30" s="9"/>
      <c r="AI30" s="9" t="s">
        <v>190</v>
      </c>
      <c r="AJ30" s="9" t="s">
        <v>8</v>
      </c>
      <c r="AK30" s="10">
        <v>45428</v>
      </c>
      <c r="AL30" s="10">
        <v>45429</v>
      </c>
      <c r="AM30" s="10">
        <v>45436</v>
      </c>
      <c r="AN30" s="9" t="s">
        <v>95</v>
      </c>
      <c r="AO30" s="9"/>
      <c r="AP30" s="11">
        <f>IF($H30="Cancelled","",IFERROR(IF(OR(AK30="",AB30=""),"",(AB30+Variables!$B$18-AK30)),""))</f>
        <v>11</v>
      </c>
      <c r="AQ30" s="11">
        <f>IF($H30="Cancelled","",IFERROR(IF(OR(AM30="",AK30=""),"",(AK30+Variables!$B$19)-AM30),""))</f>
        <v>-3</v>
      </c>
      <c r="AR30" s="12">
        <f>IF($H30="Cancelled","",IFERROR(T30*INDEX(Variables!$B$7:$D$7,IFERROR(MATCH(IF($B30="Robusta","Robusta",(IF($B30="","Arabica",$B30))&amp;" - "&amp;(IF($C30="","Commercial",$C30))),Variables!$B$1:$D$1,0),1))*(AQ30/365),""))</f>
        <v>-65.224500243699779</v>
      </c>
      <c r="AS30" s="12">
        <f>IF($H30="Cancelled","",IFERROR((T30*INDEX(Variables!$B$7:$D$7,IFERROR(MATCH(IF($B30="Robusta","Robusta",(IF($B30="","Arabica",$B30))&amp;" - "&amp;(IF($C30="","Commercial",$C30))),Variables!$B$1:$D$1,0),1))*IFERROR(IF(W30="","",(AVERAGE(E30:F30)-W30)-Variables!$B$14),"")/365)+(L30/16.67*INDEX(Variables!$B$8:$D$8,IFERROR(MATCH(IF($B30="Robusta","Robusta",(IF($B30="","Arabica",$B30))&amp;" - "&amp;(IF($C30="","Commercial",$C30))),Variables!$B$1:$D$1,0),1))*IFERROR(IF(W30="","",(AVERAGE(E30:F30)-W30)-Variables!$B$14),""))+(T30*INDEX(Variables!$B$9:$D$9,IFERROR(MATCH(IF($B30="Robusta","Robusta",(IF($B30="","Arabica",$B30))&amp;" - "&amp;(IF($C30="","Commercial",$C30))),Variables!$B$1:$D$1,0),1))*IFERROR(IF(W30="","",(AVERAGE(E30:F30)-W30)-Variables!$B$14),"")/365),""))</f>
        <v>-1406.8062290920325</v>
      </c>
      <c r="AT30" s="12">
        <f>IF($H30="Cancelled","",IFERROR((T30*INDEX(Variables!$B$7:$D$7,IFERROR(MATCH(IF($B30="Robusta","Robusta",(IF($B30="","Arabica",$B30))&amp;" - "&amp;(IF($C30="","Commercial",$C30))),Variables!$B$1:$D$1,0),1))*AC30/365)+(L30/16.67*INDEX(Variables!$B$8:$D$8,IFERROR(MATCH(IF($B30="Robusta","Robusta",(IF($B30="","Arabica",$B30))&amp;" - "&amp;(IF($C30="","Commercial",$C30))),Variables!$B$1:$D$1,0),1))*AC30)+(T30*INDEX(Variables!$B$9:$D$9,IFERROR(MATCH(IF($B30="Robusta","Robusta",(IF($B30="","Arabica",$B30))&amp;" - "&amp;(IF($C30="","Commercial",$C30))),Variables!$B$1:$D$1,0),1))*AC30/365),""))</f>
        <v>-1026.5883293374291</v>
      </c>
      <c r="AU30" s="12">
        <f>IF($H30="Cancelled","",IFERROR((T30*INDEX(Variables!$B$7:$D$7,IFERROR(MATCH(IF($B30="Robusta","Robusta",(IF($B30="","Arabica",$B30))&amp;" - "&amp;(IF($C30="","Commercial",$C30))),Variables!$B$1:$D$1,0),1))*AP30/365)+(L30/16.67*INDEX(Variables!$B$8:$D$8,IFERROR(MATCH(IF($B30="Robusta","Robusta",(IF($B30="","Arabica",$B30))&amp;" - "&amp;(IF($C30="","Commercial",$C30))),Variables!$B$1:$D$1,0),1))*AP30)+(T30*INDEX(Variables!$B$9:$D$9,IFERROR(MATCH(IF($B30="Robusta","Robusta",(IF($B30="","Arabica",$B30))&amp;" - "&amp;(IF($C30="","Commercial",$C30))),Variables!$B$1:$D$1,0),1))*AP30/365),""))</f>
        <v>418.23968973006373</v>
      </c>
      <c r="AV30" s="11">
        <f t="shared" si="4"/>
        <v>-31</v>
      </c>
      <c r="AW30" s="12">
        <f>IF($H30="Cancelled","",IFERROR(IF(AV30="","",(T30*INDEX(Variables!$B$7:$D$7,IFERROR(MATCH(IF($B30="Robusta","Robusta",(IF($B30="","Arabica",$B30))&amp;" - "&amp;(IF($C30="","Commercial",$C30))),Variables!$B$1:$D$1,0),1))*(AV30/365))+(T30*INDEX(Variables!$B$9:$D$9,IFERROR(MATCH(IF($B30="Robusta","Robusta",(IF($B30="","Arabica",$B30))&amp;" - "&amp;(IF($C30="","Commercial",$C30))),Variables!$B$1:$D$1,0),1))*(AV30/365))+(INDEX(Variables!$B$8:$D$8,IFERROR(MATCH(IF($B30="Robusta","Robusta",(IF($B30="","Arabica",$B30))&amp;" - "&amp;(IF($C30="","Commercial",$C30))),Variables!$B$1:$D$1,0),1))*L30/16.67)),""))</f>
        <v>-666.67548923927041</v>
      </c>
      <c r="AX30" s="9"/>
      <c r="AY30" s="12"/>
      <c r="AZ30" s="10"/>
      <c r="BA30" s="9"/>
      <c r="BB30" s="10"/>
      <c r="BC30" s="9"/>
      <c r="BD30" s="9"/>
      <c r="BE30" s="9"/>
      <c r="BF30" s="9"/>
    </row>
    <row r="31" spans="1:58" x14ac:dyDescent="0.25">
      <c r="A31" s="9" t="s">
        <v>84</v>
      </c>
      <c r="B31" s="9" t="s">
        <v>85</v>
      </c>
      <c r="C31" s="9" t="s">
        <v>86</v>
      </c>
      <c r="D31" s="10">
        <v>45267</v>
      </c>
      <c r="E31" s="10">
        <v>45444</v>
      </c>
      <c r="F31" s="10">
        <v>45458</v>
      </c>
      <c r="G31" s="9">
        <v>3786074</v>
      </c>
      <c r="H31" s="9" t="str">
        <f t="shared" si="0"/>
        <v>Closed</v>
      </c>
      <c r="I31" s="9" t="str">
        <f t="shared" si="1"/>
        <v>All dates received</v>
      </c>
      <c r="J31" s="9" t="s">
        <v>186</v>
      </c>
      <c r="K31" s="9">
        <v>5030</v>
      </c>
      <c r="L31" s="11">
        <v>320</v>
      </c>
      <c r="M31" s="9" t="s">
        <v>187</v>
      </c>
      <c r="N31" s="9" t="s">
        <v>126</v>
      </c>
      <c r="O31" s="9"/>
      <c r="P31" s="9"/>
      <c r="Q31" s="11"/>
      <c r="R31" s="9" t="s">
        <v>90</v>
      </c>
      <c r="S31" s="9" t="s">
        <v>188</v>
      </c>
      <c r="T31" s="12">
        <f>IF($H31="Cancelled","",IFERROR(((Q31+INDEX(Variables!$B$6:$D$6,IFERROR(MATCH(IF($B31="Robusta","Robusta",(IF($B31="","Arabica",$B31))&amp;" - "&amp;(IF($C31="","Commercial",$C31))),Variables!$B$1:$D$1,0),1)))*22.0462)*(L31/16.67),""))</f>
        <v>123067.25778044391</v>
      </c>
      <c r="U31" s="10">
        <v>45411</v>
      </c>
      <c r="V31" s="9" t="str">
        <f t="shared" si="2"/>
        <v>Sent</v>
      </c>
      <c r="W31" s="10">
        <v>45456</v>
      </c>
      <c r="X31" s="9" t="str">
        <f t="shared" si="3"/>
        <v>Approved</v>
      </c>
      <c r="Y31" s="10"/>
      <c r="Z31" s="10">
        <f>IF($H31="Cancelled","",IFERROR(IF(F31="","",F31-Variables!$B$13),""))</f>
        <v>45443</v>
      </c>
      <c r="AA31" s="11">
        <f>IF($H31="Cancelled","",IFERROR(IF(W31="","",(AVERAGE(E31:F31)-W31)-Variables!$B$14),""))</f>
        <v>-35</v>
      </c>
      <c r="AB31" s="10">
        <v>45432</v>
      </c>
      <c r="AC31" s="11">
        <f>IF($H31="Cancelled","",IFERROR(IF(AB31="","",IF(AND(W31="",Y31=""),"",IF(Y31&gt;W31,Y31+Variables!$B$15+Variables!$B$16+Variables!$B$17-AB31,W31+Variables!$B$16+Variables!$B$17-AB31))),""))</f>
        <v>32</v>
      </c>
      <c r="AD31" s="9" t="s">
        <v>107</v>
      </c>
      <c r="AE31" s="9" t="s">
        <v>191</v>
      </c>
      <c r="AF31" s="10"/>
      <c r="AG31" s="10"/>
      <c r="AH31" s="9"/>
      <c r="AI31" s="9" t="s">
        <v>192</v>
      </c>
      <c r="AJ31" s="9" t="s">
        <v>8</v>
      </c>
      <c r="AK31" s="10">
        <v>45492</v>
      </c>
      <c r="AL31" s="10">
        <v>45495</v>
      </c>
      <c r="AM31" s="10">
        <v>45504</v>
      </c>
      <c r="AN31" s="9" t="s">
        <v>95</v>
      </c>
      <c r="AO31" s="9"/>
      <c r="AP31" s="11">
        <f>IF($H31="Cancelled","",IFERROR(IF(OR(AK31="",AB31=""),"",(AB31+Variables!$B$18-AK31)),""))</f>
        <v>-53</v>
      </c>
      <c r="AQ31" s="11">
        <f>IF($H31="Cancelled","",IFERROR(IF(OR(AM31="",AK31=""),"",(AK31+Variables!$B$19)-AM31),""))</f>
        <v>-7</v>
      </c>
      <c r="AR31" s="12">
        <f>IF($H31="Cancelled","",IFERROR(T31*INDEX(Variables!$B$7:$D$7,IFERROR(MATCH(IF($B31="Robusta","Robusta",(IF($B31="","Arabica",$B31))&amp;" - "&amp;(IF($C31="","Commercial",$C31))),Variables!$B$1:$D$1,0),1))*(AQ31/365),""))</f>
        <v>-152.19050056863284</v>
      </c>
      <c r="AS31" s="12">
        <f>IF($H31="Cancelled","",IFERROR((T31*INDEX(Variables!$B$7:$D$7,IFERROR(MATCH(IF($B31="Robusta","Robusta",(IF($B31="","Arabica",$B31))&amp;" - "&amp;(IF($C31="","Commercial",$C31))),Variables!$B$1:$D$1,0),1))*IFERROR(IF(W31="","",(AVERAGE(E31:F31)-W31)-Variables!$B$14),"")/365)+(L31/16.67*INDEX(Variables!$B$8:$D$8,IFERROR(MATCH(IF($B31="Robusta","Robusta",(IF($B31="","Arabica",$B31))&amp;" - "&amp;(IF($C31="","Commercial",$C31))),Variables!$B$1:$D$1,0),1))*IFERROR(IF(W31="","",(AVERAGE(E31:F31)-W31)-Variables!$B$14),""))+(T31*INDEX(Variables!$B$9:$D$9,IFERROR(MATCH(IF($B31="Robusta","Robusta",(IF($B31="","Arabica",$B31))&amp;" - "&amp;(IF($C31="","Commercial",$C31))),Variables!$B$1:$D$1,0),1))*IFERROR(IF(W31="","",(AVERAGE(E31:F31)-W31)-Variables!$B$14),"")/365),""))</f>
        <v>-1330.7626491411118</v>
      </c>
      <c r="AT31" s="12">
        <f>IF($H31="Cancelled","",IFERROR((T31*INDEX(Variables!$B$7:$D$7,IFERROR(MATCH(IF($B31="Robusta","Robusta",(IF($B31="","Arabica",$B31))&amp;" - "&amp;(IF($C31="","Commercial",$C31))),Variables!$B$1:$D$1,0),1))*AC31/365)+(L31/16.67*INDEX(Variables!$B$8:$D$8,IFERROR(MATCH(IF($B31="Robusta","Robusta",(IF($B31="","Arabica",$B31))&amp;" - "&amp;(IF($C31="","Commercial",$C31))),Variables!$B$1:$D$1,0),1))*AC31)+(T31*INDEX(Variables!$B$9:$D$9,IFERROR(MATCH(IF($B31="Robusta","Robusta",(IF($B31="","Arabica",$B31))&amp;" - "&amp;(IF($C31="","Commercial",$C31))),Variables!$B$1:$D$1,0),1))*AC31/365),""))</f>
        <v>1216.6972792147308</v>
      </c>
      <c r="AU31" s="12">
        <f>IF($H31="Cancelled","",IFERROR((T31*INDEX(Variables!$B$7:$D$7,IFERROR(MATCH(IF($B31="Robusta","Robusta",(IF($B31="","Arabica",$B31))&amp;" - "&amp;(IF($C31="","Commercial",$C31))),Variables!$B$1:$D$1,0),1))*AP31/365)+(L31/16.67*INDEX(Variables!$B$8:$D$8,IFERROR(MATCH(IF($B31="Robusta","Robusta",(IF($B31="","Arabica",$B31))&amp;" - "&amp;(IF($C31="","Commercial",$C31))),Variables!$B$1:$D$1,0),1))*AP31)+(T31*INDEX(Variables!$B$9:$D$9,IFERROR(MATCH(IF($B31="Robusta","Robusta",(IF($B31="","Arabica",$B31))&amp;" - "&amp;(IF($C31="","Commercial",$C31))),Variables!$B$1:$D$1,0),1))*AP31/365),""))</f>
        <v>-2015.1548686993981</v>
      </c>
      <c r="AV31" s="11">
        <f t="shared" si="4"/>
        <v>-34</v>
      </c>
      <c r="AW31" s="12">
        <f>IF($H31="Cancelled","",IFERROR(IF(AV31="","",(T31*INDEX(Variables!$B$7:$D$7,IFERROR(MATCH(IF($B31="Robusta","Robusta",(IF($B31="","Arabica",$B31))&amp;" - "&amp;(IF($C31="","Commercial",$C31))),Variables!$B$1:$D$1,0),1))*(AV31/365))+(T31*INDEX(Variables!$B$9:$D$9,IFERROR(MATCH(IF($B31="Robusta","Robusta",(IF($B31="","Arabica",$B31))&amp;" - "&amp;(IF($C31="","Commercial",$C31))),Variables!$B$1:$D$1,0),1))*(AV31/365))+(INDEX(Variables!$B$8:$D$8,IFERROR(MATCH(IF($B31="Robusta","Robusta",(IF($B31="","Arabica",$B31))&amp;" - "&amp;(IF($C31="","Commercial",$C31))),Variables!$B$1:$D$1,0),1))*L31/16.67)),""))</f>
        <v>-732.7408591656515</v>
      </c>
      <c r="AX31" s="9"/>
      <c r="AY31" s="12"/>
      <c r="AZ31" s="10"/>
      <c r="BA31" s="9"/>
      <c r="BB31" s="10"/>
      <c r="BC31" s="9"/>
      <c r="BD31" s="9"/>
      <c r="BE31" s="9"/>
      <c r="BF31" s="9"/>
    </row>
    <row r="32" spans="1:58" x14ac:dyDescent="0.25">
      <c r="A32" s="9" t="s">
        <v>84</v>
      </c>
      <c r="B32" s="9" t="s">
        <v>85</v>
      </c>
      <c r="C32" s="9" t="s">
        <v>86</v>
      </c>
      <c r="D32" s="10">
        <v>45272</v>
      </c>
      <c r="E32" s="10">
        <v>45292</v>
      </c>
      <c r="F32" s="10">
        <v>45306</v>
      </c>
      <c r="G32" s="9">
        <v>3786075</v>
      </c>
      <c r="H32" s="9" t="str">
        <f t="shared" si="0"/>
        <v>Closed</v>
      </c>
      <c r="I32" s="9" t="str">
        <f t="shared" si="1"/>
        <v>All dates received</v>
      </c>
      <c r="J32" s="9" t="s">
        <v>193</v>
      </c>
      <c r="K32" s="9">
        <v>4702</v>
      </c>
      <c r="L32" s="11">
        <v>960</v>
      </c>
      <c r="M32" s="9" t="s">
        <v>194</v>
      </c>
      <c r="N32" s="9" t="s">
        <v>122</v>
      </c>
      <c r="O32" s="9"/>
      <c r="P32" s="9"/>
      <c r="Q32" s="11"/>
      <c r="R32" s="9" t="s">
        <v>195</v>
      </c>
      <c r="S32" s="9" t="s">
        <v>162</v>
      </c>
      <c r="T32" s="12">
        <f>IF($H32="Cancelled","",IFERROR(((Q32+INDEX(Variables!$B$6:$D$6,IFERROR(MATCH(IF($B32="Robusta","Robusta",(IF($B32="","Arabica",$B32))&amp;" - "&amp;(IF($C32="","Commercial",$C32))),Variables!$B$1:$D$1,0),1)))*22.0462)*(L32/16.67),""))</f>
        <v>369201.77334133169</v>
      </c>
      <c r="U32" s="10">
        <v>20</v>
      </c>
      <c r="V32" s="9" t="str">
        <f t="shared" si="2"/>
        <v>Sent</v>
      </c>
      <c r="W32" s="10"/>
      <c r="X32" s="9" t="s">
        <v>195</v>
      </c>
      <c r="Y32" s="10"/>
      <c r="Z32" s="10">
        <f>IF($H32="Cancelled","",IFERROR(IF(F32="","",F32-Variables!$B$13),""))</f>
        <v>45291</v>
      </c>
      <c r="AA32" s="11" t="str">
        <f>IF($H32="Cancelled","",IFERROR(IF(W32="","",(AVERAGE(E32:F32)-W32)-Variables!$B$14),""))</f>
        <v/>
      </c>
      <c r="AB32" s="10">
        <v>45436</v>
      </c>
      <c r="AC32" s="11" t="str">
        <f>IF($H32="Cancelled","",IFERROR(IF(AB32="","",IF(AND(W32="",Y32=""),"",IF(Y32&gt;W32,Y32+Variables!$B$15+Variables!$B$16+Variables!$B$17-AB32,W32+Variables!$B$16+Variables!$B$17-AB32))),""))</f>
        <v/>
      </c>
      <c r="AD32" s="9" t="s">
        <v>165</v>
      </c>
      <c r="AE32" s="9" t="s">
        <v>166</v>
      </c>
      <c r="AF32" s="10"/>
      <c r="AG32" s="10"/>
      <c r="AH32" s="9"/>
      <c r="AI32" s="9" t="s">
        <v>196</v>
      </c>
      <c r="AJ32" s="9">
        <v>4976364691</v>
      </c>
      <c r="AK32" s="10">
        <v>45341</v>
      </c>
      <c r="AL32" s="10">
        <v>45341</v>
      </c>
      <c r="AM32" s="10">
        <v>45344</v>
      </c>
      <c r="AN32" s="9" t="s">
        <v>95</v>
      </c>
      <c r="AO32" s="9"/>
      <c r="AP32" s="11">
        <f>IF($H32="Cancelled","",IFERROR(IF(OR(AK32="",AB32=""),"",(AB32+Variables!$B$18-AK32)),""))</f>
        <v>102</v>
      </c>
      <c r="AQ32" s="11">
        <f>IF($H32="Cancelled","",IFERROR(IF(OR(AM32="",AK32=""),"",(AK32+Variables!$B$19)-AM32),""))</f>
        <v>2</v>
      </c>
      <c r="AR32" s="12">
        <f>IF($H32="Cancelled","",IFERROR(T32*INDEX(Variables!$B$7:$D$7,IFERROR(MATCH(IF($B32="Robusta","Robusta",(IF($B32="","Arabica",$B32))&amp;" - "&amp;(IF($C32="","Commercial",$C32))),Variables!$B$1:$D$1,0),1))*(AQ32/365),""))</f>
        <v>130.44900048739956</v>
      </c>
      <c r="AS32" s="12" t="str">
        <f>IF($H32="Cancelled","",IFERROR((T32*INDEX(Variables!$B$7:$D$7,IFERROR(MATCH(IF($B32="Robusta","Robusta",(IF($B32="","Arabica",$B32))&amp;" - "&amp;(IF($C32="","Commercial",$C32))),Variables!$B$1:$D$1,0),1))*IFERROR(IF(W32="","",(AVERAGE(E32:F32)-W32)-Variables!$B$14),"")/365)+(L32/16.67*INDEX(Variables!$B$8:$D$8,IFERROR(MATCH(IF($B32="Robusta","Robusta",(IF($B32="","Arabica",$B32))&amp;" - "&amp;(IF($C32="","Commercial",$C32))),Variables!$B$1:$D$1,0),1))*IFERROR(IF(W32="","",(AVERAGE(E32:F32)-W32)-Variables!$B$14),""))+(T32*INDEX(Variables!$B$9:$D$9,IFERROR(MATCH(IF($B32="Robusta","Robusta",(IF($B32="","Arabica",$B32))&amp;" - "&amp;(IF($C32="","Commercial",$C32))),Variables!$B$1:$D$1,0),1))*IFERROR(IF(W32="","",(AVERAGE(E32:F32)-W32)-Variables!$B$14),"")/365),""))</f>
        <v/>
      </c>
      <c r="AT32" s="12" t="str">
        <f>IF($H32="Cancelled","",IFERROR((T32*INDEX(Variables!$B$7:$D$7,IFERROR(MATCH(IF($B32="Robusta","Robusta",(IF($B32="","Arabica",$B32))&amp;" - "&amp;(IF($C32="","Commercial",$C32))),Variables!$B$1:$D$1,0),1))*AC32/365)+(L32/16.67*INDEX(Variables!$B$8:$D$8,IFERROR(MATCH(IF($B32="Robusta","Robusta",(IF($B32="","Arabica",$B32))&amp;" - "&amp;(IF($C32="","Commercial",$C32))),Variables!$B$1:$D$1,0),1))*AC32)+(T32*INDEX(Variables!$B$9:$D$9,IFERROR(MATCH(IF($B32="Robusta","Robusta",(IF($B32="","Arabica",$B32))&amp;" - "&amp;(IF($C32="","Commercial",$C32))),Variables!$B$1:$D$1,0),1))*AC32/365),""))</f>
        <v/>
      </c>
      <c r="AU32" s="12">
        <f>IF($H32="Cancelled","",IFERROR((T32*INDEX(Variables!$B$7:$D$7,IFERROR(MATCH(IF($B32="Robusta","Robusta",(IF($B32="","Arabica",$B32))&amp;" - "&amp;(IF($C32="","Commercial",$C32))),Variables!$B$1:$D$1,0),1))*AP32/365)+(L32/16.67*INDEX(Variables!$B$8:$D$8,IFERROR(MATCH(IF($B32="Robusta","Robusta",(IF($B32="","Arabica",$B32))&amp;" - "&amp;(IF($C32="","Commercial",$C32))),Variables!$B$1:$D$1,0),1))*AP32)+(T32*INDEX(Variables!$B$9:$D$9,IFERROR(MATCH(IF($B32="Robusta","Robusta",(IF($B32="","Arabica",$B32))&amp;" - "&amp;(IF($C32="","Commercial",$C32))),Variables!$B$1:$D$1,0),1))*AP32/365),""))</f>
        <v>11634.667732490865</v>
      </c>
      <c r="AV32" s="11">
        <f t="shared" si="4"/>
        <v>-35</v>
      </c>
      <c r="AW32" s="12">
        <f>IF($H32="Cancelled","",IFERROR(IF(AV32="","",(T32*INDEX(Variables!$B$7:$D$7,IFERROR(MATCH(IF($B32="Robusta","Robusta",(IF($B32="","Arabica",$B32))&amp;" - "&amp;(IF($C32="","Commercial",$C32))),Variables!$B$1:$D$1,0),1))*(AV32/365))+(T32*INDEX(Variables!$B$9:$D$9,IFERROR(MATCH(IF($B32="Robusta","Robusta",(IF($B32="","Arabica",$B32))&amp;" - "&amp;(IF($C32="","Commercial",$C32))),Variables!$B$1:$D$1,0),1))*(AV32/365))+(INDEX(Variables!$B$8:$D$8,IFERROR(MATCH(IF($B32="Robusta","Robusta",(IF($B32="","Arabica",$B32))&amp;" - "&amp;(IF($C32="","Commercial",$C32))),Variables!$B$1:$D$1,0),1))*L32/16.67)),""))</f>
        <v>-2264.2879474233355</v>
      </c>
      <c r="AX32" s="9"/>
      <c r="AY32" s="12"/>
      <c r="AZ32" s="10"/>
      <c r="BA32" s="9"/>
      <c r="BB32" s="10"/>
      <c r="BC32" s="9"/>
      <c r="BD32" s="9"/>
      <c r="BE32" s="9"/>
      <c r="BF32" s="9"/>
    </row>
    <row r="33" spans="1:58" x14ac:dyDescent="0.25">
      <c r="A33" s="9" t="s">
        <v>84</v>
      </c>
      <c r="B33" s="9" t="s">
        <v>85</v>
      </c>
      <c r="C33" s="9" t="s">
        <v>86</v>
      </c>
      <c r="D33" s="10">
        <v>45272</v>
      </c>
      <c r="E33" s="10">
        <v>45292</v>
      </c>
      <c r="F33" s="10">
        <v>45322</v>
      </c>
      <c r="G33" s="9">
        <v>3786076</v>
      </c>
      <c r="H33" s="9" t="str">
        <f t="shared" si="0"/>
        <v>Closed</v>
      </c>
      <c r="I33" s="9" t="str">
        <f t="shared" si="1"/>
        <v>All dates received</v>
      </c>
      <c r="J33" s="9" t="s">
        <v>193</v>
      </c>
      <c r="K33" s="9">
        <v>4704</v>
      </c>
      <c r="L33" s="11">
        <v>300</v>
      </c>
      <c r="M33" s="9" t="s">
        <v>197</v>
      </c>
      <c r="N33" s="9" t="s">
        <v>122</v>
      </c>
      <c r="O33" s="9"/>
      <c r="P33" s="9"/>
      <c r="Q33" s="11"/>
      <c r="R33" s="9" t="s">
        <v>195</v>
      </c>
      <c r="S33" s="9" t="s">
        <v>188</v>
      </c>
      <c r="T33" s="12">
        <f>IF($H33="Cancelled","",IFERROR(((Q33+INDEX(Variables!$B$6:$D$6,IFERROR(MATCH(IF($B33="Robusta","Robusta",(IF($B33="","Arabica",$B33))&amp;" - "&amp;(IF($C33="","Commercial",$C33))),Variables!$B$1:$D$1,0),1)))*22.0462)*(L33/16.67),""))</f>
        <v>115375.55416916615</v>
      </c>
      <c r="U33" s="10"/>
      <c r="V33" s="9" t="s">
        <v>195</v>
      </c>
      <c r="W33" s="10">
        <v>45277</v>
      </c>
      <c r="X33" s="9" t="str">
        <f t="shared" ref="X33:X96" si="5">IF(ISNUMBER(W33),"Approved","")</f>
        <v>Approved</v>
      </c>
      <c r="Y33" s="10">
        <v>45440</v>
      </c>
      <c r="Z33" s="10">
        <f>IF($H33="Cancelled","",IFERROR(IF(F33="","",F33-Variables!$B$13),""))</f>
        <v>45307</v>
      </c>
      <c r="AA33" s="11">
        <f>IF($H33="Cancelled","",IFERROR(IF(W33="","",(AVERAGE(E33:F33)-W33)-Variables!$B$14),""))</f>
        <v>0</v>
      </c>
      <c r="AB33" s="10">
        <v>45439</v>
      </c>
      <c r="AC33" s="11">
        <f>IF($H33="Cancelled","",IFERROR(IF(AB33="","",IF(AND(W33="",Y33=""),"",IF(Y33&gt;W33,Y33+Variables!$B$15+Variables!$B$16+Variables!$B$17-AB33,W33+Variables!$B$16+Variables!$B$17-AB33))),""))</f>
        <v>16</v>
      </c>
      <c r="AD33" s="9" t="s">
        <v>165</v>
      </c>
      <c r="AE33" s="9" t="s">
        <v>198</v>
      </c>
      <c r="AF33" s="10"/>
      <c r="AG33" s="10"/>
      <c r="AH33" s="9"/>
      <c r="AI33" s="9" t="s">
        <v>199</v>
      </c>
      <c r="AJ33" s="9">
        <v>3408549830</v>
      </c>
      <c r="AK33" s="10">
        <v>45318</v>
      </c>
      <c r="AL33" s="10">
        <v>45320</v>
      </c>
      <c r="AM33" s="10">
        <v>45320</v>
      </c>
      <c r="AN33" s="9" t="s">
        <v>95</v>
      </c>
      <c r="AO33" s="9"/>
      <c r="AP33" s="11">
        <f>IF($H33="Cancelled","",IFERROR(IF(OR(AK33="",AB33=""),"",(AB33+Variables!$B$18-AK33)),""))</f>
        <v>128</v>
      </c>
      <c r="AQ33" s="11">
        <f>IF($H33="Cancelled","",IFERROR(IF(OR(AM33="",AK33=""),"",(AK33+Variables!$B$19)-AM33),""))</f>
        <v>3</v>
      </c>
      <c r="AR33" s="12">
        <f>IF($H33="Cancelled","",IFERROR(T33*INDEX(Variables!$B$7:$D$7,IFERROR(MATCH(IF($B33="Robusta","Robusta",(IF($B33="","Arabica",$B33))&amp;" - "&amp;(IF($C33="","Commercial",$C33))),Variables!$B$1:$D$1,0),1))*(AQ33/365),""))</f>
        <v>61.147968978468541</v>
      </c>
      <c r="AS33" s="12">
        <f>IF($H33="Cancelled","",IFERROR((T33*INDEX(Variables!$B$7:$D$7,IFERROR(MATCH(IF($B33="Robusta","Robusta",(IF($B33="","Arabica",$B33))&amp;" - "&amp;(IF($C33="","Commercial",$C33))),Variables!$B$1:$D$1,0),1))*IFERROR(IF(W33="","",(AVERAGE(E33:F33)-W33)-Variables!$B$14),"")/365)+(L33/16.67*INDEX(Variables!$B$8:$D$8,IFERROR(MATCH(IF($B33="Robusta","Robusta",(IF($B33="","Arabica",$B33))&amp;" - "&amp;(IF($C33="","Commercial",$C33))),Variables!$B$1:$D$1,0),1))*IFERROR(IF(W33="","",(AVERAGE(E33:F33)-W33)-Variables!$B$14),""))+(T33*INDEX(Variables!$B$9:$D$9,IFERROR(MATCH(IF($B33="Robusta","Robusta",(IF($B33="","Arabica",$B33))&amp;" - "&amp;(IF($C33="","Commercial",$C33))),Variables!$B$1:$D$1,0),1))*IFERROR(IF(W33="","",(AVERAGE(E33:F33)-W33)-Variables!$B$14),"")/365),""))</f>
        <v>0</v>
      </c>
      <c r="AT33" s="12">
        <f>IF($H33="Cancelled","",IFERROR((T33*INDEX(Variables!$B$7:$D$7,IFERROR(MATCH(IF($B33="Robusta","Robusta",(IF($B33="","Arabica",$B33))&amp;" - "&amp;(IF($C33="","Commercial",$C33))),Variables!$B$1:$D$1,0),1))*AC33/365)+(L33/16.67*INDEX(Variables!$B$8:$D$8,IFERROR(MATCH(IF($B33="Robusta","Robusta",(IF($B33="","Arabica",$B33))&amp;" - "&amp;(IF($C33="","Commercial",$C33))),Variables!$B$1:$D$1,0),1))*AC33)+(T33*INDEX(Variables!$B$9:$D$9,IFERROR(MATCH(IF($B33="Robusta","Robusta",(IF($B33="","Arabica",$B33))&amp;" - "&amp;(IF($C33="","Commercial",$C33))),Variables!$B$1:$D$1,0),1))*AC33/365),""))</f>
        <v>570.32684963190502</v>
      </c>
      <c r="AU33" s="12">
        <f>IF($H33="Cancelled","",IFERROR((T33*INDEX(Variables!$B$7:$D$7,IFERROR(MATCH(IF($B33="Robusta","Robusta",(IF($B33="","Arabica",$B33))&amp;" - "&amp;(IF($C33="","Commercial",$C33))),Variables!$B$1:$D$1,0),1))*AP33/365)+(L33/16.67*INDEX(Variables!$B$8:$D$8,IFERROR(MATCH(IF($B33="Robusta","Robusta",(IF($B33="","Arabica",$B33))&amp;" - "&amp;(IF($C33="","Commercial",$C33))),Variables!$B$1:$D$1,0),1))*AP33)+(T33*INDEX(Variables!$B$9:$D$9,IFERROR(MATCH(IF($B33="Robusta","Robusta",(IF($B33="","Arabica",$B33))&amp;" - "&amp;(IF($C33="","Commercial",$C33))),Variables!$B$1:$D$1,0),1))*AP33/365),""))</f>
        <v>4562.6147970552402</v>
      </c>
      <c r="AV33" s="11">
        <f t="shared" si="4"/>
        <v>4</v>
      </c>
      <c r="AW33" s="12">
        <f>IF($H33="Cancelled","",IFERROR(IF(AV33="","",(T33*INDEX(Variables!$B$7:$D$7,IFERROR(MATCH(IF($B33="Robusta","Robusta",(IF($B33="","Arabica",$B33))&amp;" - "&amp;(IF($C33="","Commercial",$C33))),Variables!$B$1:$D$1,0),1))*(AV33/365))+(T33*INDEX(Variables!$B$9:$D$9,IFERROR(MATCH(IF($B33="Robusta","Robusta",(IF($B33="","Arabica",$B33))&amp;" - "&amp;(IF($C33="","Commercial",$C33))),Variables!$B$1:$D$1,0),1))*(AV33/365))+(INDEX(Variables!$B$8:$D$8,IFERROR(MATCH(IF($B33="Robusta","Robusta",(IF($B33="","Arabica",$B33))&amp;" - "&amp;(IF($C33="","Commercial",$C33))),Variables!$B$1:$D$1,0),1))*L33/16.67)),""))</f>
        <v>97.581712407976255</v>
      </c>
      <c r="AX33" s="9"/>
      <c r="AY33" s="12"/>
      <c r="AZ33" s="10"/>
      <c r="BA33" s="9"/>
      <c r="BB33" s="10"/>
      <c r="BC33" s="9"/>
      <c r="BD33" s="9"/>
      <c r="BE33" s="9"/>
      <c r="BF33" s="9"/>
    </row>
    <row r="34" spans="1:58" x14ac:dyDescent="0.25">
      <c r="A34" s="9" t="s">
        <v>84</v>
      </c>
      <c r="B34" s="9" t="s">
        <v>85</v>
      </c>
      <c r="C34" s="9" t="s">
        <v>86</v>
      </c>
      <c r="D34" s="10">
        <v>45273</v>
      </c>
      <c r="E34" s="10">
        <v>45292</v>
      </c>
      <c r="F34" s="10">
        <v>45322</v>
      </c>
      <c r="G34" s="9">
        <v>3786077</v>
      </c>
      <c r="H34" s="9" t="str">
        <f t="shared" si="0"/>
        <v>Closed</v>
      </c>
      <c r="I34" s="9" t="str">
        <f t="shared" si="1"/>
        <v>All dates received</v>
      </c>
      <c r="J34" s="9" t="s">
        <v>200</v>
      </c>
      <c r="K34" s="9">
        <v>4705</v>
      </c>
      <c r="L34" s="11">
        <v>300</v>
      </c>
      <c r="M34" s="9" t="s">
        <v>201</v>
      </c>
      <c r="N34" s="9" t="s">
        <v>122</v>
      </c>
      <c r="O34" s="9"/>
      <c r="P34" s="9"/>
      <c r="Q34" s="11"/>
      <c r="R34" s="9" t="s">
        <v>202</v>
      </c>
      <c r="S34" s="9" t="s">
        <v>156</v>
      </c>
      <c r="T34" s="12">
        <f>IF($H34="Cancelled","",IFERROR(((Q34+INDEX(Variables!$B$6:$D$6,IFERROR(MATCH(IF($B34="Robusta","Robusta",(IF($B34="","Arabica",$B34))&amp;" - "&amp;(IF($C34="","Commercial",$C34))),Variables!$B$1:$D$1,0),1)))*22.0462)*(L34/16.67),""))</f>
        <v>115375.55416916615</v>
      </c>
      <c r="U34" s="10">
        <v>45273</v>
      </c>
      <c r="V34" s="9" t="str">
        <f>IF(ISNUMBER(U34),"Sent","")</f>
        <v>Sent</v>
      </c>
      <c r="W34" s="10">
        <v>45280</v>
      </c>
      <c r="X34" s="9" t="str">
        <f t="shared" si="5"/>
        <v>Approved</v>
      </c>
      <c r="Y34" s="10"/>
      <c r="Z34" s="10">
        <f>IF($H34="Cancelled","",IFERROR(IF(F34="","",F34-Variables!$B$13),""))</f>
        <v>45307</v>
      </c>
      <c r="AA34" s="11">
        <f>IF($H34="Cancelled","",IFERROR(IF(W34="","",(AVERAGE(E34:F34)-W34)-Variables!$B$14),""))</f>
        <v>-3</v>
      </c>
      <c r="AB34" s="10">
        <v>45439</v>
      </c>
      <c r="AC34" s="11">
        <f>IF($H34="Cancelled","",IFERROR(IF(AB34="","",IF(AND(W34="",Y34=""),"",IF(Y34&gt;W34,Y34+Variables!$B$15+Variables!$B$16+Variables!$B$17-AB34,W34+Variables!$B$16+Variables!$B$17-AB34))),""))</f>
        <v>-151</v>
      </c>
      <c r="AD34" s="9" t="s">
        <v>124</v>
      </c>
      <c r="AE34" s="9" t="s">
        <v>203</v>
      </c>
      <c r="AF34" s="10"/>
      <c r="AG34" s="10"/>
      <c r="AH34" s="9"/>
      <c r="AI34" s="9">
        <v>235292896</v>
      </c>
      <c r="AJ34" s="9">
        <v>6586500756</v>
      </c>
      <c r="AK34" s="10">
        <v>45317</v>
      </c>
      <c r="AL34" s="10">
        <v>45321</v>
      </c>
      <c r="AM34" s="10">
        <v>45322</v>
      </c>
      <c r="AN34" s="9" t="s">
        <v>95</v>
      </c>
      <c r="AO34" s="9"/>
      <c r="AP34" s="11">
        <f>IF($H34="Cancelled","",IFERROR(IF(OR(AK34="",AB34=""),"",(AB34+Variables!$B$18-AK34)),""))</f>
        <v>129</v>
      </c>
      <c r="AQ34" s="11">
        <f>IF($H34="Cancelled","",IFERROR(IF(OR(AM34="",AK34=""),"",(AK34+Variables!$B$19)-AM34),""))</f>
        <v>0</v>
      </c>
      <c r="AR34" s="12">
        <f>IF($H34="Cancelled","",IFERROR(T34*INDEX(Variables!$B$7:$D$7,IFERROR(MATCH(IF($B34="Robusta","Robusta",(IF($B34="","Arabica",$B34))&amp;" - "&amp;(IF($C34="","Commercial",$C34))),Variables!$B$1:$D$1,0),1))*(AQ34/365),""))</f>
        <v>0</v>
      </c>
      <c r="AS34" s="12">
        <f>IF($H34="Cancelled","",IFERROR((T34*INDEX(Variables!$B$7:$D$7,IFERROR(MATCH(IF($B34="Robusta","Robusta",(IF($B34="","Arabica",$B34))&amp;" - "&amp;(IF($C34="","Commercial",$C34))),Variables!$B$1:$D$1,0),1))*IFERROR(IF(W34="","",(AVERAGE(E34:F34)-W34)-Variables!$B$14),"")/365)+(L34/16.67*INDEX(Variables!$B$8:$D$8,IFERROR(MATCH(IF($B34="Robusta","Robusta",(IF($B34="","Arabica",$B34))&amp;" - "&amp;(IF($C34="","Commercial",$C34))),Variables!$B$1:$D$1,0),1))*IFERROR(IF(W34="","",(AVERAGE(E34:F34)-W34)-Variables!$B$14),""))+(T34*INDEX(Variables!$B$9:$D$9,IFERROR(MATCH(IF($B34="Robusta","Robusta",(IF($B34="","Arabica",$B34))&amp;" - "&amp;(IF($C34="","Commercial",$C34))),Variables!$B$1:$D$1,0),1))*IFERROR(IF(W34="","",(AVERAGE(E34:F34)-W34)-Variables!$B$14),"")/365),""))</f>
        <v>-106.93628430598221</v>
      </c>
      <c r="AT34" s="12">
        <f>IF($H34="Cancelled","",IFERROR((T34*INDEX(Variables!$B$7:$D$7,IFERROR(MATCH(IF($B34="Robusta","Robusta",(IF($B34="","Arabica",$B34))&amp;" - "&amp;(IF($C34="","Commercial",$C34))),Variables!$B$1:$D$1,0),1))*AC34/365)+(L34/16.67*INDEX(Variables!$B$8:$D$8,IFERROR(MATCH(IF($B34="Robusta","Robusta",(IF($B34="","Arabica",$B34))&amp;" - "&amp;(IF($C34="","Commercial",$C34))),Variables!$B$1:$D$1,0),1))*AC34)+(T34*INDEX(Variables!$B$9:$D$9,IFERROR(MATCH(IF($B34="Robusta","Robusta",(IF($B34="","Arabica",$B34))&amp;" - "&amp;(IF($C34="","Commercial",$C34))),Variables!$B$1:$D$1,0),1))*AC34/365),""))</f>
        <v>-5382.4596434011037</v>
      </c>
      <c r="AU34" s="12">
        <f>IF($H34="Cancelled","",IFERROR((T34*INDEX(Variables!$B$7:$D$7,IFERROR(MATCH(IF($B34="Robusta","Robusta",(IF($B34="","Arabica",$B34))&amp;" - "&amp;(IF($C34="","Commercial",$C34))),Variables!$B$1:$D$1,0),1))*AP34/365)+(L34/16.67*INDEX(Variables!$B$8:$D$8,IFERROR(MATCH(IF($B34="Robusta","Robusta",(IF($B34="","Arabica",$B34))&amp;" - "&amp;(IF($C34="","Commercial",$C34))),Variables!$B$1:$D$1,0),1))*AP34)+(T34*INDEX(Variables!$B$9:$D$9,IFERROR(MATCH(IF($B34="Robusta","Robusta",(IF($B34="","Arabica",$B34))&amp;" - "&amp;(IF($C34="","Commercial",$C34))),Variables!$B$1:$D$1,0),1))*AP34/365),""))</f>
        <v>4598.2602251572343</v>
      </c>
      <c r="AV34" s="11">
        <f t="shared" si="4"/>
        <v>5</v>
      </c>
      <c r="AW34" s="12">
        <f>IF($H34="Cancelled","",IFERROR(IF(AV34="","",(T34*INDEX(Variables!$B$7:$D$7,IFERROR(MATCH(IF($B34="Robusta","Robusta",(IF($B34="","Arabica",$B34))&amp;" - "&amp;(IF($C34="","Commercial",$C34))),Variables!$B$1:$D$1,0),1))*(AV34/365))+(T34*INDEX(Variables!$B$9:$D$9,IFERROR(MATCH(IF($B34="Robusta","Robusta",(IF($B34="","Arabica",$B34))&amp;" - "&amp;(IF($C34="","Commercial",$C34))),Variables!$B$1:$D$1,0),1))*(AV34/365))+(INDEX(Variables!$B$8:$D$8,IFERROR(MATCH(IF($B34="Robusta","Robusta",(IF($B34="","Arabica",$B34))&amp;" - "&amp;(IF($C34="","Commercial",$C34))),Variables!$B$1:$D$1,0),1))*L34/16.67)),""))</f>
        <v>118.22714050997033</v>
      </c>
      <c r="AX34" s="9"/>
      <c r="AY34" s="12"/>
      <c r="AZ34" s="10"/>
      <c r="BA34" s="9"/>
      <c r="BB34" s="10"/>
      <c r="BC34" s="9"/>
      <c r="BD34" s="9"/>
      <c r="BE34" s="9"/>
      <c r="BF34" s="9"/>
    </row>
    <row r="35" spans="1:58" x14ac:dyDescent="0.25">
      <c r="A35" s="9" t="s">
        <v>84</v>
      </c>
      <c r="B35" s="9" t="s">
        <v>85</v>
      </c>
      <c r="C35" s="9" t="s">
        <v>86</v>
      </c>
      <c r="D35" s="10">
        <v>45274</v>
      </c>
      <c r="E35" s="10">
        <v>45292</v>
      </c>
      <c r="F35" s="10">
        <v>45322</v>
      </c>
      <c r="G35" s="9">
        <v>3786078</v>
      </c>
      <c r="H35" s="9" t="str">
        <f t="shared" si="0"/>
        <v>Closed</v>
      </c>
      <c r="I35" s="9" t="str">
        <f t="shared" si="1"/>
        <v>All dates received</v>
      </c>
      <c r="J35" s="9" t="s">
        <v>204</v>
      </c>
      <c r="K35" s="9">
        <v>4708</v>
      </c>
      <c r="L35" s="11">
        <v>640</v>
      </c>
      <c r="M35" s="9" t="s">
        <v>205</v>
      </c>
      <c r="N35" s="9" t="s">
        <v>206</v>
      </c>
      <c r="O35" s="9"/>
      <c r="P35" s="9"/>
      <c r="Q35" s="11"/>
      <c r="R35" s="9" t="s">
        <v>195</v>
      </c>
      <c r="S35" s="9" t="s">
        <v>207</v>
      </c>
      <c r="T35" s="12">
        <f>IF($H35="Cancelled","",IFERROR(((Q35+INDEX(Variables!$B$6:$D$6,IFERROR(MATCH(IF($B35="Robusta","Robusta",(IF($B35="","Arabica",$B35))&amp;" - "&amp;(IF($C35="","Commercial",$C35))),Variables!$B$1:$D$1,0),1)))*22.0462)*(L35/16.67),""))</f>
        <v>246134.51556088781</v>
      </c>
      <c r="U35" s="10"/>
      <c r="V35" s="9" t="s">
        <v>195</v>
      </c>
      <c r="W35" s="10">
        <v>45277</v>
      </c>
      <c r="X35" s="9" t="str">
        <f t="shared" si="5"/>
        <v>Approved</v>
      </c>
      <c r="Y35" s="10">
        <v>45464</v>
      </c>
      <c r="Z35" s="10">
        <f>IF($H35="Cancelled","",IFERROR(IF(F35="","",F35-Variables!$B$13),""))</f>
        <v>45307</v>
      </c>
      <c r="AA35" s="11">
        <f>IF($H35="Cancelled","",IFERROR(IF(W35="","",(AVERAGE(E35:F35)-W35)-Variables!$B$14),""))</f>
        <v>0</v>
      </c>
      <c r="AB35" s="10">
        <v>45448</v>
      </c>
      <c r="AC35" s="11">
        <f>IF($H35="Cancelled","",IFERROR(IF(AB35="","",IF(AND(W35="",Y35=""),"",IF(Y35&gt;W35,Y35+Variables!$B$15+Variables!$B$16+Variables!$B$17-AB35,W35+Variables!$B$16+Variables!$B$17-AB35))),""))</f>
        <v>31</v>
      </c>
      <c r="AD35" s="9" t="s">
        <v>208</v>
      </c>
      <c r="AE35" s="9" t="s">
        <v>209</v>
      </c>
      <c r="AF35" s="10"/>
      <c r="AG35" s="10"/>
      <c r="AH35" s="9"/>
      <c r="AI35" s="9">
        <v>235147961</v>
      </c>
      <c r="AJ35" s="9"/>
      <c r="AK35" s="10">
        <v>45306</v>
      </c>
      <c r="AL35" s="10">
        <v>45308</v>
      </c>
      <c r="AM35" s="10">
        <v>45309</v>
      </c>
      <c r="AN35" s="9" t="s">
        <v>95</v>
      </c>
      <c r="AO35" s="9"/>
      <c r="AP35" s="11">
        <f>IF($H35="Cancelled","",IFERROR(IF(OR(AK35="",AB35=""),"",(AB35+Variables!$B$18-AK35)),""))</f>
        <v>149</v>
      </c>
      <c r="AQ35" s="11">
        <f>IF($H35="Cancelled","",IFERROR(IF(OR(AM35="",AK35=""),"",(AK35+Variables!$B$19)-AM35),""))</f>
        <v>2</v>
      </c>
      <c r="AR35" s="12">
        <f>IF($H35="Cancelled","",IFERROR(T35*INDEX(Variables!$B$7:$D$7,IFERROR(MATCH(IF($B35="Robusta","Robusta",(IF($B35="","Arabica",$B35))&amp;" - "&amp;(IF($C35="","Commercial",$C35))),Variables!$B$1:$D$1,0),1))*(AQ35/365),""))</f>
        <v>86.966000324933049</v>
      </c>
      <c r="AS35" s="12">
        <f>IF($H35="Cancelled","",IFERROR((T35*INDEX(Variables!$B$7:$D$7,IFERROR(MATCH(IF($B35="Robusta","Robusta",(IF($B35="","Arabica",$B35))&amp;" - "&amp;(IF($C35="","Commercial",$C35))),Variables!$B$1:$D$1,0),1))*IFERROR(IF(W35="","",(AVERAGE(E35:F35)-W35)-Variables!$B$14),"")/365)+(L35/16.67*INDEX(Variables!$B$8:$D$8,IFERROR(MATCH(IF($B35="Robusta","Robusta",(IF($B35="","Arabica",$B35))&amp;" - "&amp;(IF($C35="","Commercial",$C35))),Variables!$B$1:$D$1,0),1))*IFERROR(IF(W35="","",(AVERAGE(E35:F35)-W35)-Variables!$B$14),""))+(T35*INDEX(Variables!$B$9:$D$9,IFERROR(MATCH(IF($B35="Robusta","Robusta",(IF($B35="","Arabica",$B35))&amp;" - "&amp;(IF($C35="","Commercial",$C35))),Variables!$B$1:$D$1,0),1))*IFERROR(IF(W35="","",(AVERAGE(E35:F35)-W35)-Variables!$B$14),"")/365),""))</f>
        <v>0</v>
      </c>
      <c r="AT35" s="12">
        <f>IF($H35="Cancelled","",IFERROR((T35*INDEX(Variables!$B$7:$D$7,IFERROR(MATCH(IF($B35="Robusta","Robusta",(IF($B35="","Arabica",$B35))&amp;" - "&amp;(IF($C35="","Commercial",$C35))),Variables!$B$1:$D$1,0),1))*AC35/365)+(L35/16.67*INDEX(Variables!$B$8:$D$8,IFERROR(MATCH(IF($B35="Robusta","Robusta",(IF($B35="","Arabica",$B35))&amp;" - "&amp;(IF($C35="","Commercial",$C35))),Variables!$B$1:$D$1,0),1))*AC35)+(T35*INDEX(Variables!$B$9:$D$9,IFERROR(MATCH(IF($B35="Robusta","Robusta",(IF($B35="","Arabica",$B35))&amp;" - "&amp;(IF($C35="","Commercial",$C35))),Variables!$B$1:$D$1,0),1))*AC35/365),""))</f>
        <v>2357.350978478541</v>
      </c>
      <c r="AU35" s="12">
        <f>IF($H35="Cancelled","",IFERROR((T35*INDEX(Variables!$B$7:$D$7,IFERROR(MATCH(IF($B35="Robusta","Robusta",(IF($B35="","Arabica",$B35))&amp;" - "&amp;(IF($C35="","Commercial",$C35))),Variables!$B$1:$D$1,0),1))*AP35/365)+(L35/16.67*INDEX(Variables!$B$8:$D$8,IFERROR(MATCH(IF($B35="Robusta","Robusta",(IF($B35="","Arabica",$B35))&amp;" - "&amp;(IF($C35="","Commercial",$C35))),Variables!$B$1:$D$1,0),1))*AP35)+(T35*INDEX(Variables!$B$9:$D$9,IFERROR(MATCH(IF($B35="Robusta","Robusta",(IF($B35="","Arabica",$B35))&amp;" - "&amp;(IF($C35="","Commercial",$C35))),Variables!$B$1:$D$1,0),1))*AP35/365),""))</f>
        <v>11330.493412687181</v>
      </c>
      <c r="AV35" s="11">
        <f t="shared" si="4"/>
        <v>16</v>
      </c>
      <c r="AW35" s="12">
        <f>IF($H35="Cancelled","",IFERROR(IF(AV35="","",(T35*INDEX(Variables!$B$7:$D$7,IFERROR(MATCH(IF($B35="Robusta","Robusta",(IF($B35="","Arabica",$B35))&amp;" - "&amp;(IF($C35="","Commercial",$C35))),Variables!$B$1:$D$1,0),1))*(AV35/365))+(T35*INDEX(Variables!$B$9:$D$9,IFERROR(MATCH(IF($B35="Robusta","Robusta",(IF($B35="","Arabica",$B35))&amp;" - "&amp;(IF($C35="","Commercial",$C35))),Variables!$B$1:$D$1,0),1))*(AV35/365))+(INDEX(Variables!$B$8:$D$8,IFERROR(MATCH(IF($B35="Robusta","Robusta",(IF($B35="","Arabica",$B35))&amp;" - "&amp;(IF($C35="","Commercial",$C35))),Variables!$B$1:$D$1,0),1))*L35/16.67)),""))</f>
        <v>736.69727921473088</v>
      </c>
      <c r="AX35" s="9"/>
      <c r="AY35" s="12"/>
      <c r="AZ35" s="10"/>
      <c r="BA35" s="9"/>
      <c r="BB35" s="10"/>
      <c r="BC35" s="9"/>
      <c r="BD35" s="9"/>
      <c r="BE35" s="9"/>
      <c r="BF35" s="9"/>
    </row>
    <row r="36" spans="1:58" x14ac:dyDescent="0.25">
      <c r="A36" s="9" t="s">
        <v>84</v>
      </c>
      <c r="B36" s="9" t="s">
        <v>85</v>
      </c>
      <c r="C36" s="9" t="s">
        <v>86</v>
      </c>
      <c r="D36" s="10">
        <v>45274</v>
      </c>
      <c r="E36" s="10">
        <v>45292</v>
      </c>
      <c r="F36" s="10">
        <v>45322</v>
      </c>
      <c r="G36" s="9">
        <v>3786079</v>
      </c>
      <c r="H36" s="9" t="str">
        <f t="shared" si="0"/>
        <v>Closed</v>
      </c>
      <c r="I36" s="9" t="str">
        <f t="shared" si="1"/>
        <v>All dates received</v>
      </c>
      <c r="J36" s="9" t="s">
        <v>210</v>
      </c>
      <c r="K36" s="9">
        <v>4706</v>
      </c>
      <c r="L36" s="11">
        <v>640</v>
      </c>
      <c r="M36" s="9" t="s">
        <v>211</v>
      </c>
      <c r="N36" s="9" t="s">
        <v>122</v>
      </c>
      <c r="O36" s="9"/>
      <c r="P36" s="9"/>
      <c r="Q36" s="11"/>
      <c r="R36" s="9" t="s">
        <v>90</v>
      </c>
      <c r="S36" s="9" t="s">
        <v>150</v>
      </c>
      <c r="T36" s="12">
        <f>IF($H36="Cancelled","",IFERROR(((Q36+INDEX(Variables!$B$6:$D$6,IFERROR(MATCH(IF($B36="Robusta","Robusta",(IF($B36="","Arabica",$B36))&amp;" - "&amp;(IF($C36="","Commercial",$C36))),Variables!$B$1:$D$1,0),1)))*22.0462)*(L36/16.67),""))</f>
        <v>246134.51556088781</v>
      </c>
      <c r="U36" s="10">
        <v>45281</v>
      </c>
      <c r="V36" s="9" t="str">
        <f t="shared" ref="V36:V67" si="6">IF(ISNUMBER(U36),"Sent","")</f>
        <v>Sent</v>
      </c>
      <c r="W36" s="10">
        <v>45289</v>
      </c>
      <c r="X36" s="9" t="str">
        <f t="shared" si="5"/>
        <v>Approved</v>
      </c>
      <c r="Y36" s="10"/>
      <c r="Z36" s="10">
        <f>IF($H36="Cancelled","",IFERROR(IF(F36="","",F36-Variables!$B$13),""))</f>
        <v>45307</v>
      </c>
      <c r="AA36" s="11">
        <f>IF($H36="Cancelled","",IFERROR(IF(W36="","",(AVERAGE(E36:F36)-W36)-Variables!$B$14),""))</f>
        <v>-12</v>
      </c>
      <c r="AB36" s="10">
        <v>45450</v>
      </c>
      <c r="AC36" s="11">
        <f>IF($H36="Cancelled","",IFERROR(IF(AB36="","",IF(AND(W36="",Y36=""),"",IF(Y36&gt;W36,Y36+Variables!$B$15+Variables!$B$16+Variables!$B$17-AB36,W36+Variables!$B$16+Variables!$B$17-AB36))),""))</f>
        <v>-153</v>
      </c>
      <c r="AD36" s="9" t="s">
        <v>163</v>
      </c>
      <c r="AE36" s="9" t="s">
        <v>212</v>
      </c>
      <c r="AF36" s="10"/>
      <c r="AG36" s="10"/>
      <c r="AH36" s="9"/>
      <c r="AI36" s="9">
        <v>236024545</v>
      </c>
      <c r="AJ36" s="9">
        <v>3860193035</v>
      </c>
      <c r="AK36" s="10">
        <v>45351</v>
      </c>
      <c r="AL36" s="10">
        <v>45352</v>
      </c>
      <c r="AM36" s="10">
        <v>45356</v>
      </c>
      <c r="AN36" s="9" t="s">
        <v>95</v>
      </c>
      <c r="AO36" s="9"/>
      <c r="AP36" s="11">
        <f>IF($H36="Cancelled","",IFERROR(IF(OR(AK36="",AB36=""),"",(AB36+Variables!$B$18-AK36)),""))</f>
        <v>106</v>
      </c>
      <c r="AQ36" s="11">
        <f>IF($H36="Cancelled","",IFERROR(IF(OR(AM36="",AK36=""),"",(AK36+Variables!$B$19)-AM36),""))</f>
        <v>0</v>
      </c>
      <c r="AR36" s="12">
        <f>IF($H36="Cancelled","",IFERROR(T36*INDEX(Variables!$B$7:$D$7,IFERROR(MATCH(IF($B36="Robusta","Robusta",(IF($B36="","Arabica",$B36))&amp;" - "&amp;(IF($C36="","Commercial",$C36))),Variables!$B$1:$D$1,0),1))*(AQ36/365),""))</f>
        <v>0</v>
      </c>
      <c r="AS36" s="12">
        <f>IF($H36="Cancelled","",IFERROR((T36*INDEX(Variables!$B$7:$D$7,IFERROR(MATCH(IF($B36="Robusta","Robusta",(IF($B36="","Arabica",$B36))&amp;" - "&amp;(IF($C36="","Commercial",$C36))),Variables!$B$1:$D$1,0),1))*IFERROR(IF(W36="","",(AVERAGE(E36:F36)-W36)-Variables!$B$14),"")/365)+(L36/16.67*INDEX(Variables!$B$8:$D$8,IFERROR(MATCH(IF($B36="Robusta","Robusta",(IF($B36="","Arabica",$B36))&amp;" - "&amp;(IF($C36="","Commercial",$C36))),Variables!$B$1:$D$1,0),1))*IFERROR(IF(W36="","",(AVERAGE(E36:F36)-W36)-Variables!$B$14),""))+(T36*INDEX(Variables!$B$9:$D$9,IFERROR(MATCH(IF($B36="Robusta","Robusta",(IF($B36="","Arabica",$B36))&amp;" - "&amp;(IF($C36="","Commercial",$C36))),Variables!$B$1:$D$1,0),1))*IFERROR(IF(W36="","",(AVERAGE(E36:F36)-W36)-Variables!$B$14),"")/365),""))</f>
        <v>-912.52295941104808</v>
      </c>
      <c r="AT36" s="12">
        <f>IF($H36="Cancelled","",IFERROR((T36*INDEX(Variables!$B$7:$D$7,IFERROR(MATCH(IF($B36="Robusta","Robusta",(IF($B36="","Arabica",$B36))&amp;" - "&amp;(IF($C36="","Commercial",$C36))),Variables!$B$1:$D$1,0),1))*AC36/365)+(L36/16.67*INDEX(Variables!$B$8:$D$8,IFERROR(MATCH(IF($B36="Robusta","Robusta",(IF($B36="","Arabica",$B36))&amp;" - "&amp;(IF($C36="","Commercial",$C36))),Variables!$B$1:$D$1,0),1))*AC36)+(T36*INDEX(Variables!$B$9:$D$9,IFERROR(MATCH(IF($B36="Robusta","Robusta",(IF($B36="","Arabica",$B36))&amp;" - "&amp;(IF($C36="","Commercial",$C36))),Variables!$B$1:$D$1,0),1))*AC36/365),""))</f>
        <v>-11634.667732490865</v>
      </c>
      <c r="AU36" s="12">
        <f>IF($H36="Cancelled","",IFERROR((T36*INDEX(Variables!$B$7:$D$7,IFERROR(MATCH(IF($B36="Robusta","Robusta",(IF($B36="","Arabica",$B36))&amp;" - "&amp;(IF($C36="","Commercial",$C36))),Variables!$B$1:$D$1,0),1))*AP36/365)+(L36/16.67*INDEX(Variables!$B$8:$D$8,IFERROR(MATCH(IF($B36="Robusta","Robusta",(IF($B36="","Arabica",$B36))&amp;" - "&amp;(IF($C36="","Commercial",$C36))),Variables!$B$1:$D$1,0),1))*AP36)+(T36*INDEX(Variables!$B$9:$D$9,IFERROR(MATCH(IF($B36="Robusta","Robusta",(IF($B36="","Arabica",$B36))&amp;" - "&amp;(IF($C36="","Commercial",$C36))),Variables!$B$1:$D$1,0),1))*AP36/365),""))</f>
        <v>8060.6194747975924</v>
      </c>
      <c r="AV36" s="11">
        <f t="shared" si="4"/>
        <v>-29</v>
      </c>
      <c r="AW36" s="12">
        <f>IF($H36="Cancelled","",IFERROR(IF(AV36="","",(T36*INDEX(Variables!$B$7:$D$7,IFERROR(MATCH(IF($B36="Robusta","Robusta",(IF($B36="","Arabica",$B36))&amp;" - "&amp;(IF($C36="","Commercial",$C36))),Variables!$B$1:$D$1,0),1))*(AV36/365))+(T36*INDEX(Variables!$B$9:$D$9,IFERROR(MATCH(IF($B36="Robusta","Robusta",(IF($B36="","Arabica",$B36))&amp;" - "&amp;(IF($C36="","Commercial",$C36))),Variables!$B$1:$D$1,0),1))*(AV36/365))+(INDEX(Variables!$B$8:$D$8,IFERROR(MATCH(IF($B36="Robusta","Robusta",(IF($B36="","Arabica",$B36))&amp;" - "&amp;(IF($C36="","Commercial",$C36))),Variables!$B$1:$D$1,0),1))*L36/16.67)),""))</f>
        <v>-1245.2638185766998</v>
      </c>
      <c r="AX36" s="9"/>
      <c r="AY36" s="12"/>
      <c r="AZ36" s="10"/>
      <c r="BA36" s="9"/>
      <c r="BB36" s="10"/>
      <c r="BC36" s="9"/>
      <c r="BD36" s="9"/>
      <c r="BE36" s="9"/>
      <c r="BF36" s="9"/>
    </row>
    <row r="37" spans="1:58" x14ac:dyDescent="0.25">
      <c r="A37" s="9" t="s">
        <v>84</v>
      </c>
      <c r="B37" s="9" t="s">
        <v>85</v>
      </c>
      <c r="C37" s="9" t="s">
        <v>86</v>
      </c>
      <c r="D37" s="10">
        <v>45274</v>
      </c>
      <c r="E37" s="10">
        <v>45292</v>
      </c>
      <c r="F37" s="10">
        <v>45322</v>
      </c>
      <c r="G37" s="9">
        <v>3786080</v>
      </c>
      <c r="H37" s="9" t="str">
        <f t="shared" si="0"/>
        <v>Closed</v>
      </c>
      <c r="I37" s="9" t="str">
        <f t="shared" si="1"/>
        <v>All dates received</v>
      </c>
      <c r="J37" s="9" t="s">
        <v>102</v>
      </c>
      <c r="K37" s="9">
        <v>4698</v>
      </c>
      <c r="L37" s="11">
        <v>720</v>
      </c>
      <c r="M37" s="9" t="s">
        <v>213</v>
      </c>
      <c r="N37" s="9" t="s">
        <v>122</v>
      </c>
      <c r="O37" s="9"/>
      <c r="P37" s="9"/>
      <c r="Q37" s="11"/>
      <c r="R37" s="9" t="s">
        <v>90</v>
      </c>
      <c r="S37" s="9" t="s">
        <v>178</v>
      </c>
      <c r="T37" s="12">
        <f>IF($H37="Cancelled","",IFERROR(((Q37+INDEX(Variables!$B$6:$D$6,IFERROR(MATCH(IF($B37="Robusta","Robusta",(IF($B37="","Arabica",$B37))&amp;" - "&amp;(IF($C37="","Commercial",$C37))),Variables!$B$1:$D$1,0),1)))*22.0462)*(L37/16.67),""))</f>
        <v>276901.33000599878</v>
      </c>
      <c r="U37" s="10">
        <v>45280</v>
      </c>
      <c r="V37" s="9" t="str">
        <f t="shared" si="6"/>
        <v>Sent</v>
      </c>
      <c r="W37" s="10">
        <v>45289</v>
      </c>
      <c r="X37" s="9" t="str">
        <f t="shared" si="5"/>
        <v>Approved</v>
      </c>
      <c r="Y37" s="10"/>
      <c r="Z37" s="10">
        <f>IF($H37="Cancelled","",IFERROR(IF(F37="","",F37-Variables!$B$13),""))</f>
        <v>45307</v>
      </c>
      <c r="AA37" s="11">
        <f>IF($H37="Cancelled","",IFERROR(IF(W37="","",(AVERAGE(E37:F37)-W37)-Variables!$B$14),""))</f>
        <v>-12</v>
      </c>
      <c r="AB37" s="10">
        <v>45442</v>
      </c>
      <c r="AC37" s="11">
        <f>IF($H37="Cancelled","",IFERROR(IF(AB37="","",IF(AND(W37="",Y37=""),"",IF(Y37&gt;W37,Y37+Variables!$B$15+Variables!$B$16+Variables!$B$17-AB37,W37+Variables!$B$16+Variables!$B$17-AB37))),""))</f>
        <v>-145</v>
      </c>
      <c r="AD37" s="9" t="s">
        <v>92</v>
      </c>
      <c r="AE37" s="9" t="s">
        <v>158</v>
      </c>
      <c r="AF37" s="10"/>
      <c r="AG37" s="10"/>
      <c r="AH37" s="9"/>
      <c r="AI37" s="9" t="s">
        <v>214</v>
      </c>
      <c r="AJ37" s="9" t="s">
        <v>8</v>
      </c>
      <c r="AK37" s="10">
        <v>45340</v>
      </c>
      <c r="AL37" s="10">
        <v>45341</v>
      </c>
      <c r="AM37" s="10">
        <v>45344</v>
      </c>
      <c r="AN37" s="9" t="s">
        <v>95</v>
      </c>
      <c r="AO37" s="9"/>
      <c r="AP37" s="11">
        <f>IF($H37="Cancelled","",IFERROR(IF(OR(AK37="",AB37=""),"",(AB37+Variables!$B$18-AK37)),""))</f>
        <v>109</v>
      </c>
      <c r="AQ37" s="11">
        <f>IF($H37="Cancelled","",IFERROR(IF(OR(AM37="",AK37=""),"",(AK37+Variables!$B$19)-AM37),""))</f>
        <v>1</v>
      </c>
      <c r="AR37" s="12">
        <f>IF($H37="Cancelled","",IFERROR(T37*INDEX(Variables!$B$7:$D$7,IFERROR(MATCH(IF($B37="Robusta","Robusta",(IF($B37="","Arabica",$B37))&amp;" - "&amp;(IF($C37="","Commercial",$C37))),Variables!$B$1:$D$1,0),1))*(AQ37/365),""))</f>
        <v>48.918375182774838</v>
      </c>
      <c r="AS37" s="12">
        <f>IF($H37="Cancelled","",IFERROR((T37*INDEX(Variables!$B$7:$D$7,IFERROR(MATCH(IF($B37="Robusta","Robusta",(IF($B37="","Arabica",$B37))&amp;" - "&amp;(IF($C37="","Commercial",$C37))),Variables!$B$1:$D$1,0),1))*IFERROR(IF(W37="","",(AVERAGE(E37:F37)-W37)-Variables!$B$14),"")/365)+(L37/16.67*INDEX(Variables!$B$8:$D$8,IFERROR(MATCH(IF($B37="Robusta","Robusta",(IF($B37="","Arabica",$B37))&amp;" - "&amp;(IF($C37="","Commercial",$C37))),Variables!$B$1:$D$1,0),1))*IFERROR(IF(W37="","",(AVERAGE(E37:F37)-W37)-Variables!$B$14),""))+(T37*INDEX(Variables!$B$9:$D$9,IFERROR(MATCH(IF($B37="Robusta","Robusta",(IF($B37="","Arabica",$B37))&amp;" - "&amp;(IF($C37="","Commercial",$C37))),Variables!$B$1:$D$1,0),1))*IFERROR(IF(W37="","",(AVERAGE(E37:F37)-W37)-Variables!$B$14),"")/365),""))</f>
        <v>-1026.5883293374293</v>
      </c>
      <c r="AT37" s="12">
        <f>IF($H37="Cancelled","",IFERROR((T37*INDEX(Variables!$B$7:$D$7,IFERROR(MATCH(IF($B37="Robusta","Robusta",(IF($B37="","Arabica",$B37))&amp;" - "&amp;(IF($C37="","Commercial",$C37))),Variables!$B$1:$D$1,0),1))*AC37/365)+(L37/16.67*INDEX(Variables!$B$8:$D$8,IFERROR(MATCH(IF($B37="Robusta","Robusta",(IF($B37="","Arabica",$B37))&amp;" - "&amp;(IF($C37="","Commercial",$C37))),Variables!$B$1:$D$1,0),1))*AC37)+(T37*INDEX(Variables!$B$9:$D$9,IFERROR(MATCH(IF($B37="Robusta","Robusta",(IF($B37="","Arabica",$B37))&amp;" - "&amp;(IF($C37="","Commercial",$C37))),Variables!$B$1:$D$1,0),1))*AC37/365),""))</f>
        <v>-12404.608979493936</v>
      </c>
      <c r="AU37" s="12">
        <f>IF($H37="Cancelled","",IFERROR((T37*INDEX(Variables!$B$7:$D$7,IFERROR(MATCH(IF($B37="Robusta","Robusta",(IF($B37="","Arabica",$B37))&amp;" - "&amp;(IF($C37="","Commercial",$C37))),Variables!$B$1:$D$1,0),1))*AP37/365)+(L37/16.67*INDEX(Variables!$B$8:$D$8,IFERROR(MATCH(IF($B37="Robusta","Robusta",(IF($B37="","Arabica",$B37))&amp;" - "&amp;(IF($C37="","Commercial",$C37))),Variables!$B$1:$D$1,0),1))*AP37)+(T37*INDEX(Variables!$B$9:$D$9,IFERROR(MATCH(IF($B37="Robusta","Robusta",(IF($B37="","Arabica",$B37))&amp;" - "&amp;(IF($C37="","Commercial",$C37))),Variables!$B$1:$D$1,0),1))*AP37/365),""))</f>
        <v>9324.8439914816463</v>
      </c>
      <c r="AV37" s="11">
        <f t="shared" si="4"/>
        <v>-18</v>
      </c>
      <c r="AW37" s="12">
        <f>IF($H37="Cancelled","",IFERROR(IF(AV37="","",(T37*INDEX(Variables!$B$7:$D$7,IFERROR(MATCH(IF($B37="Robusta","Robusta",(IF($B37="","Arabica",$B37))&amp;" - "&amp;(IF($C37="","Commercial",$C37))),Variables!$B$1:$D$1,0),1))*(AV37/365))+(T37*INDEX(Variables!$B$9:$D$9,IFERROR(MATCH(IF($B37="Robusta","Robusta",(IF($B37="","Arabica",$B37))&amp;" - "&amp;(IF($C37="","Commercial",$C37))),Variables!$B$1:$D$1,0),1))*(AV37/365))+(INDEX(Variables!$B$8:$D$8,IFERROR(MATCH(IF($B37="Robusta","Robusta",(IF($B37="","Arabica",$B37))&amp;" - "&amp;(IF($C37="","Commercial",$C37))),Variables!$B$1:$D$1,0),1))*L37/16.67)),""))</f>
        <v>-855.88249400614359</v>
      </c>
      <c r="AX37" s="9"/>
      <c r="AY37" s="12"/>
      <c r="AZ37" s="10"/>
      <c r="BA37" s="9"/>
      <c r="BB37" s="10"/>
      <c r="BC37" s="9"/>
      <c r="BD37" s="9"/>
      <c r="BE37" s="9"/>
      <c r="BF37" s="9"/>
    </row>
    <row r="38" spans="1:58" x14ac:dyDescent="0.25">
      <c r="A38" s="9" t="s">
        <v>84</v>
      </c>
      <c r="B38" s="9" t="s">
        <v>85</v>
      </c>
      <c r="C38" s="9" t="s">
        <v>86</v>
      </c>
      <c r="D38" s="10">
        <v>45274</v>
      </c>
      <c r="E38" s="10">
        <v>45292</v>
      </c>
      <c r="F38" s="10">
        <v>45322</v>
      </c>
      <c r="G38" s="9">
        <v>3786080</v>
      </c>
      <c r="H38" s="9" t="str">
        <f t="shared" si="0"/>
        <v>Closed</v>
      </c>
      <c r="I38" s="9" t="str">
        <f t="shared" si="1"/>
        <v>All dates received</v>
      </c>
      <c r="J38" s="9" t="s">
        <v>102</v>
      </c>
      <c r="K38" s="9">
        <v>4696</v>
      </c>
      <c r="L38" s="11">
        <v>1080</v>
      </c>
      <c r="M38" s="9" t="s">
        <v>213</v>
      </c>
      <c r="N38" s="9" t="s">
        <v>122</v>
      </c>
      <c r="O38" s="9"/>
      <c r="P38" s="9"/>
      <c r="Q38" s="11"/>
      <c r="R38" s="9" t="s">
        <v>90</v>
      </c>
      <c r="S38" s="9" t="s">
        <v>215</v>
      </c>
      <c r="T38" s="12">
        <f>IF($H38="Cancelled","",IFERROR(((Q38+INDEX(Variables!$B$6:$D$6,IFERROR(MATCH(IF($B38="Robusta","Robusta",(IF($B38="","Arabica",$B38))&amp;" - "&amp;(IF($C38="","Commercial",$C38))),Variables!$B$1:$D$1,0),1)))*22.0462)*(L38/16.67),""))</f>
        <v>415351.99500899814</v>
      </c>
      <c r="U38" s="10">
        <v>45280</v>
      </c>
      <c r="V38" s="9" t="str">
        <f t="shared" si="6"/>
        <v>Sent</v>
      </c>
      <c r="W38" s="10">
        <v>45289</v>
      </c>
      <c r="X38" s="9" t="str">
        <f t="shared" si="5"/>
        <v>Approved</v>
      </c>
      <c r="Y38" s="10"/>
      <c r="Z38" s="10">
        <f>IF($H38="Cancelled","",IFERROR(IF(F38="","",F38-Variables!$B$13),""))</f>
        <v>45307</v>
      </c>
      <c r="AA38" s="11">
        <f>IF($H38="Cancelled","",IFERROR(IF(W38="","",(AVERAGE(E38:F38)-W38)-Variables!$B$14),""))</f>
        <v>-12</v>
      </c>
      <c r="AB38" s="10">
        <v>45442</v>
      </c>
      <c r="AC38" s="11">
        <f>IF($H38="Cancelled","",IFERROR(IF(AB38="","",IF(AND(W38="",Y38=""),"",IF(Y38&gt;W38,Y38+Variables!$B$15+Variables!$B$16+Variables!$B$17-AB38,W38+Variables!$B$16+Variables!$B$17-AB38))),""))</f>
        <v>-145</v>
      </c>
      <c r="AD38" s="9" t="s">
        <v>216</v>
      </c>
      <c r="AE38" s="9" t="s">
        <v>217</v>
      </c>
      <c r="AF38" s="10"/>
      <c r="AG38" s="10"/>
      <c r="AH38" s="9"/>
      <c r="AI38" s="9" t="s">
        <v>218</v>
      </c>
      <c r="AJ38" s="9" t="s">
        <v>8</v>
      </c>
      <c r="AK38" s="10">
        <v>45340</v>
      </c>
      <c r="AL38" s="10">
        <v>45341</v>
      </c>
      <c r="AM38" s="10">
        <v>45348</v>
      </c>
      <c r="AN38" s="9" t="s">
        <v>95</v>
      </c>
      <c r="AO38" s="9"/>
      <c r="AP38" s="11">
        <f>IF($H38="Cancelled","",IFERROR(IF(OR(AK38="",AB38=""),"",(AB38+Variables!$B$18-AK38)),""))</f>
        <v>109</v>
      </c>
      <c r="AQ38" s="11">
        <f>IF($H38="Cancelled","",IFERROR(IF(OR(AM38="",AK38=""),"",(AK38+Variables!$B$19)-AM38),""))</f>
        <v>-3</v>
      </c>
      <c r="AR38" s="12">
        <f>IF($H38="Cancelled","",IFERROR(T38*INDEX(Variables!$B$7:$D$7,IFERROR(MATCH(IF($B38="Robusta","Robusta",(IF($B38="","Arabica",$B38))&amp;" - "&amp;(IF($C38="","Commercial",$C38))),Variables!$B$1:$D$1,0),1))*(AQ38/365),""))</f>
        <v>-220.13268832248673</v>
      </c>
      <c r="AS38" s="12">
        <f>IF($H38="Cancelled","",IFERROR((T38*INDEX(Variables!$B$7:$D$7,IFERROR(MATCH(IF($B38="Robusta","Robusta",(IF($B38="","Arabica",$B38))&amp;" - "&amp;(IF($C38="","Commercial",$C38))),Variables!$B$1:$D$1,0),1))*IFERROR(IF(W38="","",(AVERAGE(E38:F38)-W38)-Variables!$B$14),"")/365)+(L38/16.67*INDEX(Variables!$B$8:$D$8,IFERROR(MATCH(IF($B38="Robusta","Robusta",(IF($B38="","Arabica",$B38))&amp;" - "&amp;(IF($C38="","Commercial",$C38))),Variables!$B$1:$D$1,0),1))*IFERROR(IF(W38="","",(AVERAGE(E38:F38)-W38)-Variables!$B$14),""))+(T38*INDEX(Variables!$B$9:$D$9,IFERROR(MATCH(IF($B38="Robusta","Robusta",(IF($B38="","Arabica",$B38))&amp;" - "&amp;(IF($C38="","Commercial",$C38))),Variables!$B$1:$D$1,0),1))*IFERROR(IF(W38="","",(AVERAGE(E38:F38)-W38)-Variables!$B$14),"")/365),""))</f>
        <v>-1539.8824940061436</v>
      </c>
      <c r="AT38" s="12">
        <f>IF($H38="Cancelled","",IFERROR((T38*INDEX(Variables!$B$7:$D$7,IFERROR(MATCH(IF($B38="Robusta","Robusta",(IF($B38="","Arabica",$B38))&amp;" - "&amp;(IF($C38="","Commercial",$C38))),Variables!$B$1:$D$1,0),1))*AC38/365)+(L38/16.67*INDEX(Variables!$B$8:$D$8,IFERROR(MATCH(IF($B38="Robusta","Robusta",(IF($B38="","Arabica",$B38))&amp;" - "&amp;(IF($C38="","Commercial",$C38))),Variables!$B$1:$D$1,0),1))*AC38)+(T38*INDEX(Variables!$B$9:$D$9,IFERROR(MATCH(IF($B38="Robusta","Robusta",(IF($B38="","Arabica",$B38))&amp;" - "&amp;(IF($C38="","Commercial",$C38))),Variables!$B$1:$D$1,0),1))*AC38/365),""))</f>
        <v>-18606.913469240902</v>
      </c>
      <c r="AU38" s="12">
        <f>IF($H38="Cancelled","",IFERROR((T38*INDEX(Variables!$B$7:$D$7,IFERROR(MATCH(IF($B38="Robusta","Robusta",(IF($B38="","Arabica",$B38))&amp;" - "&amp;(IF($C38="","Commercial",$C38))),Variables!$B$1:$D$1,0),1))*AP38/365)+(L38/16.67*INDEX(Variables!$B$8:$D$8,IFERROR(MATCH(IF($B38="Robusta","Robusta",(IF($B38="","Arabica",$B38))&amp;" - "&amp;(IF($C38="","Commercial",$C38))),Variables!$B$1:$D$1,0),1))*AP38)+(T38*INDEX(Variables!$B$9:$D$9,IFERROR(MATCH(IF($B38="Robusta","Robusta",(IF($B38="","Arabica",$B38))&amp;" - "&amp;(IF($C38="","Commercial",$C38))),Variables!$B$1:$D$1,0),1))*AP38/365),""))</f>
        <v>13987.26598722247</v>
      </c>
      <c r="AV38" s="11">
        <f t="shared" si="4"/>
        <v>-18</v>
      </c>
      <c r="AW38" s="12">
        <f>IF($H38="Cancelled","",IFERROR(IF(AV38="","",(T38*INDEX(Variables!$B$7:$D$7,IFERROR(MATCH(IF($B38="Robusta","Robusta",(IF($B38="","Arabica",$B38))&amp;" - "&amp;(IF($C38="","Commercial",$C38))),Variables!$B$1:$D$1,0),1))*(AV38/365))+(T38*INDEX(Variables!$B$9:$D$9,IFERROR(MATCH(IF($B38="Robusta","Robusta",(IF($B38="","Arabica",$B38))&amp;" - "&amp;(IF($C38="","Commercial",$C38))),Variables!$B$1:$D$1,0),1))*(AV38/365))+(INDEX(Variables!$B$8:$D$8,IFERROR(MATCH(IF($B38="Robusta","Robusta",(IF($B38="","Arabica",$B38))&amp;" - "&amp;(IF($C38="","Commercial",$C38))),Variables!$B$1:$D$1,0),1))*L38/16.67)),""))</f>
        <v>-1283.8237410092156</v>
      </c>
      <c r="AX38" s="9"/>
      <c r="AY38" s="12"/>
      <c r="AZ38" s="10"/>
      <c r="BA38" s="9"/>
      <c r="BB38" s="10"/>
      <c r="BC38" s="9"/>
      <c r="BD38" s="9"/>
      <c r="BE38" s="9"/>
      <c r="BF38" s="9"/>
    </row>
    <row r="39" spans="1:58" x14ac:dyDescent="0.25">
      <c r="A39" s="9" t="s">
        <v>84</v>
      </c>
      <c r="B39" s="9" t="s">
        <v>85</v>
      </c>
      <c r="C39" s="9" t="s">
        <v>86</v>
      </c>
      <c r="D39" s="10">
        <v>45274</v>
      </c>
      <c r="E39" s="10">
        <v>45292</v>
      </c>
      <c r="F39" s="10">
        <v>45322</v>
      </c>
      <c r="G39" s="9">
        <v>3786080</v>
      </c>
      <c r="H39" s="9" t="str">
        <f t="shared" si="0"/>
        <v>Closed</v>
      </c>
      <c r="I39" s="9" t="str">
        <f t="shared" si="1"/>
        <v>All dates received</v>
      </c>
      <c r="J39" s="9" t="s">
        <v>102</v>
      </c>
      <c r="K39" s="9">
        <v>4699</v>
      </c>
      <c r="L39" s="11">
        <v>720</v>
      </c>
      <c r="M39" s="9" t="s">
        <v>213</v>
      </c>
      <c r="N39" s="9" t="s">
        <v>122</v>
      </c>
      <c r="O39" s="9"/>
      <c r="P39" s="9"/>
      <c r="Q39" s="11"/>
      <c r="R39" s="9" t="s">
        <v>90</v>
      </c>
      <c r="S39" s="9" t="s">
        <v>106</v>
      </c>
      <c r="T39" s="12">
        <f>IF($H39="Cancelled","",IFERROR(((Q39+INDEX(Variables!$B$6:$D$6,IFERROR(MATCH(IF($B39="Robusta","Robusta",(IF($B39="","Arabica",$B39))&amp;" - "&amp;(IF($C39="","Commercial",$C39))),Variables!$B$1:$D$1,0),1)))*22.0462)*(L39/16.67),""))</f>
        <v>276901.33000599878</v>
      </c>
      <c r="U39" s="10">
        <v>45280</v>
      </c>
      <c r="V39" s="9" t="str">
        <f t="shared" si="6"/>
        <v>Sent</v>
      </c>
      <c r="W39" s="10">
        <v>45289</v>
      </c>
      <c r="X39" s="9" t="str">
        <f t="shared" si="5"/>
        <v>Approved</v>
      </c>
      <c r="Y39" s="10"/>
      <c r="Z39" s="10">
        <f>IF($H39="Cancelled","",IFERROR(IF(F39="","",F39-Variables!$B$13),""))</f>
        <v>45307</v>
      </c>
      <c r="AA39" s="11">
        <f>IF($H39="Cancelled","",IFERROR(IF(W39="","",(AVERAGE(E39:F39)-W39)-Variables!$B$14),""))</f>
        <v>-12</v>
      </c>
      <c r="AB39" s="10">
        <v>45442</v>
      </c>
      <c r="AC39" s="11">
        <f>IF($H39="Cancelled","",IFERROR(IF(AB39="","",IF(AND(W39="",Y39=""),"",IF(Y39&gt;W39,Y39+Variables!$B$15+Variables!$B$16+Variables!$B$17-AB39,W39+Variables!$B$16+Variables!$B$17-AB39))),""))</f>
        <v>-145</v>
      </c>
      <c r="AD39" s="9" t="s">
        <v>163</v>
      </c>
      <c r="AE39" s="9" t="s">
        <v>219</v>
      </c>
      <c r="AF39" s="10"/>
      <c r="AG39" s="10"/>
      <c r="AH39" s="9"/>
      <c r="AI39" s="9">
        <v>234996168</v>
      </c>
      <c r="AJ39" s="9" t="s">
        <v>8</v>
      </c>
      <c r="AK39" s="10">
        <v>45351</v>
      </c>
      <c r="AL39" s="10">
        <v>45352</v>
      </c>
      <c r="AM39" s="10">
        <v>45356</v>
      </c>
      <c r="AN39" s="9" t="s">
        <v>95</v>
      </c>
      <c r="AO39" s="9"/>
      <c r="AP39" s="11">
        <f>IF($H39="Cancelled","",IFERROR(IF(OR(AK39="",AB39=""),"",(AB39+Variables!$B$18-AK39)),""))</f>
        <v>98</v>
      </c>
      <c r="AQ39" s="11">
        <f>IF($H39="Cancelled","",IFERROR(IF(OR(AM39="",AK39=""),"",(AK39+Variables!$B$19)-AM39),""))</f>
        <v>0</v>
      </c>
      <c r="AR39" s="12">
        <f>IF($H39="Cancelled","",IFERROR(T39*INDEX(Variables!$B$7:$D$7,IFERROR(MATCH(IF($B39="Robusta","Robusta",(IF($B39="","Arabica",$B39))&amp;" - "&amp;(IF($C39="","Commercial",$C39))),Variables!$B$1:$D$1,0),1))*(AQ39/365),""))</f>
        <v>0</v>
      </c>
      <c r="AS39" s="12">
        <f>IF($H39="Cancelled","",IFERROR((T39*INDEX(Variables!$B$7:$D$7,IFERROR(MATCH(IF($B39="Robusta","Robusta",(IF($B39="","Arabica",$B39))&amp;" - "&amp;(IF($C39="","Commercial",$C39))),Variables!$B$1:$D$1,0),1))*IFERROR(IF(W39="","",(AVERAGE(E39:F39)-W39)-Variables!$B$14),"")/365)+(L39/16.67*INDEX(Variables!$B$8:$D$8,IFERROR(MATCH(IF($B39="Robusta","Robusta",(IF($B39="","Arabica",$B39))&amp;" - "&amp;(IF($C39="","Commercial",$C39))),Variables!$B$1:$D$1,0),1))*IFERROR(IF(W39="","",(AVERAGE(E39:F39)-W39)-Variables!$B$14),""))+(T39*INDEX(Variables!$B$9:$D$9,IFERROR(MATCH(IF($B39="Robusta","Robusta",(IF($B39="","Arabica",$B39))&amp;" - "&amp;(IF($C39="","Commercial",$C39))),Variables!$B$1:$D$1,0),1))*IFERROR(IF(W39="","",(AVERAGE(E39:F39)-W39)-Variables!$B$14),"")/365),""))</f>
        <v>-1026.5883293374293</v>
      </c>
      <c r="AT39" s="12">
        <f>IF($H39="Cancelled","",IFERROR((T39*INDEX(Variables!$B$7:$D$7,IFERROR(MATCH(IF($B39="Robusta","Robusta",(IF($B39="","Arabica",$B39))&amp;" - "&amp;(IF($C39="","Commercial",$C39))),Variables!$B$1:$D$1,0),1))*AC39/365)+(L39/16.67*INDEX(Variables!$B$8:$D$8,IFERROR(MATCH(IF($B39="Robusta","Robusta",(IF($B39="","Arabica",$B39))&amp;" - "&amp;(IF($C39="","Commercial",$C39))),Variables!$B$1:$D$1,0),1))*AC39)+(T39*INDEX(Variables!$B$9:$D$9,IFERROR(MATCH(IF($B39="Robusta","Robusta",(IF($B39="","Arabica",$B39))&amp;" - "&amp;(IF($C39="","Commercial",$C39))),Variables!$B$1:$D$1,0),1))*AC39/365),""))</f>
        <v>-12404.608979493936</v>
      </c>
      <c r="AU39" s="12">
        <f>IF($H39="Cancelled","",IFERROR((T39*INDEX(Variables!$B$7:$D$7,IFERROR(MATCH(IF($B39="Robusta","Robusta",(IF($B39="","Arabica",$B39))&amp;" - "&amp;(IF($C39="","Commercial",$C39))),Variables!$B$1:$D$1,0),1))*AP39/365)+(L39/16.67*INDEX(Variables!$B$8:$D$8,IFERROR(MATCH(IF($B39="Robusta","Robusta",(IF($B39="","Arabica",$B39))&amp;" - "&amp;(IF($C39="","Commercial",$C39))),Variables!$B$1:$D$1,0),1))*AP39)+(T39*INDEX(Variables!$B$9:$D$9,IFERROR(MATCH(IF($B39="Robusta","Robusta",(IF($B39="","Arabica",$B39))&amp;" - "&amp;(IF($C39="","Commercial",$C39))),Variables!$B$1:$D$1,0),1))*AP39/365),""))</f>
        <v>8383.8046895890038</v>
      </c>
      <c r="AV39" s="11">
        <f t="shared" si="4"/>
        <v>-29</v>
      </c>
      <c r="AW39" s="12">
        <f>IF($H39="Cancelled","",IFERROR(IF(AV39="","",(T39*INDEX(Variables!$B$7:$D$7,IFERROR(MATCH(IF($B39="Robusta","Robusta",(IF($B39="","Arabica",$B39))&amp;" - "&amp;(IF($C39="","Commercial",$C39))),Variables!$B$1:$D$1,0),1))*(AV39/365))+(T39*INDEX(Variables!$B$9:$D$9,IFERROR(MATCH(IF($B39="Robusta","Robusta",(IF($B39="","Arabica",$B39))&amp;" - "&amp;(IF($C39="","Commercial",$C39))),Variables!$B$1:$D$1,0),1))*(AV39/365))+(INDEX(Variables!$B$8:$D$8,IFERROR(MATCH(IF($B39="Robusta","Robusta",(IF($B39="","Arabica",$B39))&amp;" - "&amp;(IF($C39="","Commercial",$C39))),Variables!$B$1:$D$1,0),1))*L39/16.67)),""))</f>
        <v>-1400.9217958987872</v>
      </c>
      <c r="AX39" s="9"/>
      <c r="AY39" s="12"/>
      <c r="AZ39" s="10"/>
      <c r="BA39" s="9"/>
      <c r="BB39" s="10"/>
      <c r="BC39" s="9"/>
      <c r="BD39" s="9"/>
      <c r="BE39" s="9"/>
      <c r="BF39" s="9"/>
    </row>
    <row r="40" spans="1:58" x14ac:dyDescent="0.25">
      <c r="A40" s="9" t="s">
        <v>84</v>
      </c>
      <c r="B40" s="9" t="s">
        <v>85</v>
      </c>
      <c r="C40" s="9" t="s">
        <v>86</v>
      </c>
      <c r="D40" s="10">
        <v>45274</v>
      </c>
      <c r="E40" s="10">
        <v>45292</v>
      </c>
      <c r="F40" s="10">
        <v>45322</v>
      </c>
      <c r="G40" s="9">
        <v>3786080</v>
      </c>
      <c r="H40" s="9" t="str">
        <f t="shared" si="0"/>
        <v>Closed</v>
      </c>
      <c r="I40" s="9" t="str">
        <f t="shared" si="1"/>
        <v>All dates received</v>
      </c>
      <c r="J40" s="9" t="s">
        <v>102</v>
      </c>
      <c r="K40" s="9">
        <v>4700</v>
      </c>
      <c r="L40" s="11">
        <v>720</v>
      </c>
      <c r="M40" s="9" t="s">
        <v>213</v>
      </c>
      <c r="N40" s="9" t="s">
        <v>122</v>
      </c>
      <c r="O40" s="9"/>
      <c r="P40" s="9"/>
      <c r="Q40" s="11"/>
      <c r="R40" s="9" t="s">
        <v>90</v>
      </c>
      <c r="S40" s="9" t="s">
        <v>183</v>
      </c>
      <c r="T40" s="12">
        <f>IF($H40="Cancelled","",IFERROR(((Q40+INDEX(Variables!$B$6:$D$6,IFERROR(MATCH(IF($B40="Robusta","Robusta",(IF($B40="","Arabica",$B40))&amp;" - "&amp;(IF($C40="","Commercial",$C40))),Variables!$B$1:$D$1,0),1)))*22.0462)*(L40/16.67),""))</f>
        <v>276901.33000599878</v>
      </c>
      <c r="U40" s="10">
        <v>45280</v>
      </c>
      <c r="V40" s="9" t="str">
        <f t="shared" si="6"/>
        <v>Sent</v>
      </c>
      <c r="W40" s="10">
        <v>45289</v>
      </c>
      <c r="X40" s="9" t="str">
        <f t="shared" si="5"/>
        <v>Approved</v>
      </c>
      <c r="Y40" s="10"/>
      <c r="Z40" s="10">
        <f>IF($H40="Cancelled","",IFERROR(IF(F40="","",F40-Variables!$B$13),""))</f>
        <v>45307</v>
      </c>
      <c r="AA40" s="11">
        <f>IF($H40="Cancelled","",IFERROR(IF(W40="","",(AVERAGE(E40:F40)-W40)-Variables!$B$14),""))</f>
        <v>-12</v>
      </c>
      <c r="AB40" s="10">
        <v>45446</v>
      </c>
      <c r="AC40" s="11">
        <f>IF($H40="Cancelled","",IFERROR(IF(AB40="","",IF(AND(W40="",Y40=""),"",IF(Y40&gt;W40,Y40+Variables!$B$15+Variables!$B$16+Variables!$B$17-AB40,W40+Variables!$B$16+Variables!$B$17-AB40))),""))</f>
        <v>-149</v>
      </c>
      <c r="AD40" s="9" t="s">
        <v>163</v>
      </c>
      <c r="AE40" s="9" t="s">
        <v>219</v>
      </c>
      <c r="AF40" s="10"/>
      <c r="AG40" s="10"/>
      <c r="AH40" s="9"/>
      <c r="AI40" s="9">
        <v>234996167</v>
      </c>
      <c r="AJ40" s="9" t="s">
        <v>8</v>
      </c>
      <c r="AK40" s="10">
        <v>45351</v>
      </c>
      <c r="AL40" s="10">
        <v>45352</v>
      </c>
      <c r="AM40" s="10">
        <v>45356</v>
      </c>
      <c r="AN40" s="9" t="s">
        <v>95</v>
      </c>
      <c r="AO40" s="9"/>
      <c r="AP40" s="11">
        <f>IF($H40="Cancelled","",IFERROR(IF(OR(AK40="",AB40=""),"",(AB40+Variables!$B$18-AK40)),""))</f>
        <v>102</v>
      </c>
      <c r="AQ40" s="11">
        <f>IF($H40="Cancelled","",IFERROR(IF(OR(AM40="",AK40=""),"",(AK40+Variables!$B$19)-AM40),""))</f>
        <v>0</v>
      </c>
      <c r="AR40" s="12">
        <f>IF($H40="Cancelled","",IFERROR(T40*INDEX(Variables!$B$7:$D$7,IFERROR(MATCH(IF($B40="Robusta","Robusta",(IF($B40="","Arabica",$B40))&amp;" - "&amp;(IF($C40="","Commercial",$C40))),Variables!$B$1:$D$1,0),1))*(AQ40/365),""))</f>
        <v>0</v>
      </c>
      <c r="AS40" s="12">
        <f>IF($H40="Cancelled","",IFERROR((T40*INDEX(Variables!$B$7:$D$7,IFERROR(MATCH(IF($B40="Robusta","Robusta",(IF($B40="","Arabica",$B40))&amp;" - "&amp;(IF($C40="","Commercial",$C40))),Variables!$B$1:$D$1,0),1))*IFERROR(IF(W40="","",(AVERAGE(E40:F40)-W40)-Variables!$B$14),"")/365)+(L40/16.67*INDEX(Variables!$B$8:$D$8,IFERROR(MATCH(IF($B40="Robusta","Robusta",(IF($B40="","Arabica",$B40))&amp;" - "&amp;(IF($C40="","Commercial",$C40))),Variables!$B$1:$D$1,0),1))*IFERROR(IF(W40="","",(AVERAGE(E40:F40)-W40)-Variables!$B$14),""))+(T40*INDEX(Variables!$B$9:$D$9,IFERROR(MATCH(IF($B40="Robusta","Robusta",(IF($B40="","Arabica",$B40))&amp;" - "&amp;(IF($C40="","Commercial",$C40))),Variables!$B$1:$D$1,0),1))*IFERROR(IF(W40="","",(AVERAGE(E40:F40)-W40)-Variables!$B$14),"")/365),""))</f>
        <v>-1026.5883293374293</v>
      </c>
      <c r="AT40" s="12">
        <f>IF($H40="Cancelled","",IFERROR((T40*INDEX(Variables!$B$7:$D$7,IFERROR(MATCH(IF($B40="Robusta","Robusta",(IF($B40="","Arabica",$B40))&amp;" - "&amp;(IF($C40="","Commercial",$C40))),Variables!$B$1:$D$1,0),1))*AC40/365)+(L40/16.67*INDEX(Variables!$B$8:$D$8,IFERROR(MATCH(IF($B40="Robusta","Robusta",(IF($B40="","Arabica",$B40))&amp;" - "&amp;(IF($C40="","Commercial",$C40))),Variables!$B$1:$D$1,0),1))*AC40)+(T40*INDEX(Variables!$B$9:$D$9,IFERROR(MATCH(IF($B40="Robusta","Robusta",(IF($B40="","Arabica",$B40))&amp;" - "&amp;(IF($C40="","Commercial",$C40))),Variables!$B$1:$D$1,0),1))*AC40/365),""))</f>
        <v>-12746.805089273079</v>
      </c>
      <c r="AU40" s="12">
        <f>IF($H40="Cancelled","",IFERROR((T40*INDEX(Variables!$B$7:$D$7,IFERROR(MATCH(IF($B40="Robusta","Robusta",(IF($B40="","Arabica",$B40))&amp;" - "&amp;(IF($C40="","Commercial",$C40))),Variables!$B$1:$D$1,0),1))*AP40/365)+(L40/16.67*INDEX(Variables!$B$8:$D$8,IFERROR(MATCH(IF($B40="Robusta","Robusta",(IF($B40="","Arabica",$B40))&amp;" - "&amp;(IF($C40="","Commercial",$C40))),Variables!$B$1:$D$1,0),1))*AP40)+(T40*INDEX(Variables!$B$9:$D$9,IFERROR(MATCH(IF($B40="Robusta","Robusta",(IF($B40="","Arabica",$B40))&amp;" - "&amp;(IF($C40="","Commercial",$C40))),Variables!$B$1:$D$1,0),1))*AP40/365),""))</f>
        <v>8726.0007993681484</v>
      </c>
      <c r="AV40" s="11">
        <f t="shared" si="4"/>
        <v>-29</v>
      </c>
      <c r="AW40" s="12">
        <f>IF($H40="Cancelled","",IFERROR(IF(AV40="","",(T40*INDEX(Variables!$B$7:$D$7,IFERROR(MATCH(IF($B40="Robusta","Robusta",(IF($B40="","Arabica",$B40))&amp;" - "&amp;(IF($C40="","Commercial",$C40))),Variables!$B$1:$D$1,0),1))*(AV40/365))+(T40*INDEX(Variables!$B$9:$D$9,IFERROR(MATCH(IF($B40="Robusta","Robusta",(IF($B40="","Arabica",$B40))&amp;" - "&amp;(IF($C40="","Commercial",$C40))),Variables!$B$1:$D$1,0),1))*(AV40/365))+(INDEX(Variables!$B$8:$D$8,IFERROR(MATCH(IF($B40="Robusta","Robusta",(IF($B40="","Arabica",$B40))&amp;" - "&amp;(IF($C40="","Commercial",$C40))),Variables!$B$1:$D$1,0),1))*L40/16.67)),""))</f>
        <v>-1400.9217958987872</v>
      </c>
      <c r="AX40" s="9"/>
      <c r="AY40" s="12"/>
      <c r="AZ40" s="10"/>
      <c r="BA40" s="9"/>
      <c r="BB40" s="10"/>
      <c r="BC40" s="9"/>
      <c r="BD40" s="9"/>
      <c r="BE40" s="9"/>
      <c r="BF40" s="9"/>
    </row>
    <row r="41" spans="1:58" x14ac:dyDescent="0.25">
      <c r="A41" s="9" t="s">
        <v>84</v>
      </c>
      <c r="B41" s="9" t="s">
        <v>85</v>
      </c>
      <c r="C41" s="9" t="s">
        <v>86</v>
      </c>
      <c r="D41" s="10">
        <v>45274</v>
      </c>
      <c r="E41" s="10">
        <v>45292</v>
      </c>
      <c r="F41" s="10">
        <v>45322</v>
      </c>
      <c r="G41" s="9">
        <v>3786080</v>
      </c>
      <c r="H41" s="9" t="str">
        <f t="shared" si="0"/>
        <v>Closed</v>
      </c>
      <c r="I41" s="9" t="str">
        <f t="shared" si="1"/>
        <v>All dates received</v>
      </c>
      <c r="J41" s="9" t="s">
        <v>102</v>
      </c>
      <c r="K41" s="9">
        <v>4697</v>
      </c>
      <c r="L41" s="11">
        <v>360</v>
      </c>
      <c r="M41" s="9" t="s">
        <v>213</v>
      </c>
      <c r="N41" s="9" t="s">
        <v>122</v>
      </c>
      <c r="O41" s="9"/>
      <c r="P41" s="9"/>
      <c r="Q41" s="11"/>
      <c r="R41" s="9" t="s">
        <v>90</v>
      </c>
      <c r="S41" s="9" t="s">
        <v>183</v>
      </c>
      <c r="T41" s="12">
        <f>IF($H41="Cancelled","",IFERROR(((Q41+INDEX(Variables!$B$6:$D$6,IFERROR(MATCH(IF($B41="Robusta","Robusta",(IF($B41="","Arabica",$B41))&amp;" - "&amp;(IF($C41="","Commercial",$C41))),Variables!$B$1:$D$1,0),1)))*22.0462)*(L41/16.67),""))</f>
        <v>138450.66500299939</v>
      </c>
      <c r="U41" s="10">
        <v>45280</v>
      </c>
      <c r="V41" s="9" t="str">
        <f t="shared" si="6"/>
        <v>Sent</v>
      </c>
      <c r="W41" s="10">
        <v>45289</v>
      </c>
      <c r="X41" s="9" t="str">
        <f t="shared" si="5"/>
        <v>Approved</v>
      </c>
      <c r="Y41" s="10"/>
      <c r="Z41" s="10">
        <f>IF($H41="Cancelled","",IFERROR(IF(F41="","",F41-Variables!$B$13),""))</f>
        <v>45307</v>
      </c>
      <c r="AA41" s="11">
        <f>IF($H41="Cancelled","",IFERROR(IF(W41="","",(AVERAGE(E41:F41)-W41)-Variables!$B$14),""))</f>
        <v>-12</v>
      </c>
      <c r="AB41" s="10">
        <v>45448</v>
      </c>
      <c r="AC41" s="11">
        <f>IF($H41="Cancelled","",IFERROR(IF(AB41="","",IF(AND(W41="",Y41=""),"",IF(Y41&gt;W41,Y41+Variables!$B$15+Variables!$B$16+Variables!$B$17-AB41,W41+Variables!$B$16+Variables!$B$17-AB41))),""))</f>
        <v>-151</v>
      </c>
      <c r="AD41" s="9" t="s">
        <v>163</v>
      </c>
      <c r="AE41" s="9" t="s">
        <v>220</v>
      </c>
      <c r="AF41" s="10"/>
      <c r="AG41" s="10"/>
      <c r="AH41" s="9"/>
      <c r="AI41" s="9" t="s">
        <v>221</v>
      </c>
      <c r="AJ41" s="9" t="s">
        <v>8</v>
      </c>
      <c r="AK41" s="10">
        <v>45341</v>
      </c>
      <c r="AL41" s="10">
        <v>45341</v>
      </c>
      <c r="AM41" s="10">
        <v>45344</v>
      </c>
      <c r="AN41" s="9" t="s">
        <v>95</v>
      </c>
      <c r="AO41" s="9"/>
      <c r="AP41" s="11">
        <f>IF($H41="Cancelled","",IFERROR(IF(OR(AK41="",AB41=""),"",(AB41+Variables!$B$18-AK41)),""))</f>
        <v>114</v>
      </c>
      <c r="AQ41" s="11">
        <f>IF($H41="Cancelled","",IFERROR(IF(OR(AM41="",AK41=""),"",(AK41+Variables!$B$19)-AM41),""))</f>
        <v>2</v>
      </c>
      <c r="AR41" s="12">
        <f>IF($H41="Cancelled","",IFERROR(T41*INDEX(Variables!$B$7:$D$7,IFERROR(MATCH(IF($B41="Robusta","Robusta",(IF($B41="","Arabica",$B41))&amp;" - "&amp;(IF($C41="","Commercial",$C41))),Variables!$B$1:$D$1,0),1))*(AQ41/365),""))</f>
        <v>48.918375182774838</v>
      </c>
      <c r="AS41" s="12">
        <f>IF($H41="Cancelled","",IFERROR((T41*INDEX(Variables!$B$7:$D$7,IFERROR(MATCH(IF($B41="Robusta","Robusta",(IF($B41="","Arabica",$B41))&amp;" - "&amp;(IF($C41="","Commercial",$C41))),Variables!$B$1:$D$1,0),1))*IFERROR(IF(W41="","",(AVERAGE(E41:F41)-W41)-Variables!$B$14),"")/365)+(L41/16.67*INDEX(Variables!$B$8:$D$8,IFERROR(MATCH(IF($B41="Robusta","Robusta",(IF($B41="","Arabica",$B41))&amp;" - "&amp;(IF($C41="","Commercial",$C41))),Variables!$B$1:$D$1,0),1))*IFERROR(IF(W41="","",(AVERAGE(E41:F41)-W41)-Variables!$B$14),""))+(T41*INDEX(Variables!$B$9:$D$9,IFERROR(MATCH(IF($B41="Robusta","Robusta",(IF($B41="","Arabica",$B41))&amp;" - "&amp;(IF($C41="","Commercial",$C41))),Variables!$B$1:$D$1,0),1))*IFERROR(IF(W41="","",(AVERAGE(E41:F41)-W41)-Variables!$B$14),"")/365),""))</f>
        <v>-513.29416466871464</v>
      </c>
      <c r="AT41" s="12">
        <f>IF($H41="Cancelled","",IFERROR((T41*INDEX(Variables!$B$7:$D$7,IFERROR(MATCH(IF($B41="Robusta","Robusta",(IF($B41="","Arabica",$B41))&amp;" - "&amp;(IF($C41="","Commercial",$C41))),Variables!$B$1:$D$1,0),1))*AC41/365)+(L41/16.67*INDEX(Variables!$B$8:$D$8,IFERROR(MATCH(IF($B41="Robusta","Robusta",(IF($B41="","Arabica",$B41))&amp;" - "&amp;(IF($C41="","Commercial",$C41))),Variables!$B$1:$D$1,0),1))*AC41)+(T41*INDEX(Variables!$B$9:$D$9,IFERROR(MATCH(IF($B41="Robusta","Robusta",(IF($B41="","Arabica",$B41))&amp;" - "&amp;(IF($C41="","Commercial",$C41))),Variables!$B$1:$D$1,0),1))*AC41/365),""))</f>
        <v>-6458.951572081326</v>
      </c>
      <c r="AU41" s="12">
        <f>IF($H41="Cancelled","",IFERROR((T41*INDEX(Variables!$B$7:$D$7,IFERROR(MATCH(IF($B41="Robusta","Robusta",(IF($B41="","Arabica",$B41))&amp;" - "&amp;(IF($C41="","Commercial",$C41))),Variables!$B$1:$D$1,0),1))*AP41/365)+(L41/16.67*INDEX(Variables!$B$8:$D$8,IFERROR(MATCH(IF($B41="Robusta","Robusta",(IF($B41="","Arabica",$B41))&amp;" - "&amp;(IF($C41="","Commercial",$C41))),Variables!$B$1:$D$1,0),1))*AP41)+(T41*INDEX(Variables!$B$9:$D$9,IFERROR(MATCH(IF($B41="Robusta","Robusta",(IF($B41="","Arabica",$B41))&amp;" - "&amp;(IF($C41="","Commercial",$C41))),Variables!$B$1:$D$1,0),1))*AP41/365),""))</f>
        <v>4876.2945643527892</v>
      </c>
      <c r="AV41" s="11">
        <f t="shared" si="4"/>
        <v>-19</v>
      </c>
      <c r="AW41" s="12">
        <f>IF($H41="Cancelled","",IFERROR(IF(AV41="","",(T41*INDEX(Variables!$B$7:$D$7,IFERROR(MATCH(IF($B41="Robusta","Robusta",(IF($B41="","Arabica",$B41))&amp;" - "&amp;(IF($C41="","Commercial",$C41))),Variables!$B$1:$D$1,0),1))*(AV41/365))+(T41*INDEX(Variables!$B$9:$D$9,IFERROR(MATCH(IF($B41="Robusta","Robusta",(IF($B41="","Arabica",$B41))&amp;" - "&amp;(IF($C41="","Commercial",$C41))),Variables!$B$1:$D$1,0),1))*(AV41/365))+(INDEX(Variables!$B$8:$D$8,IFERROR(MATCH(IF($B41="Robusta","Robusta",(IF($B41="","Arabica",$B41))&amp;" - "&amp;(IF($C41="","Commercial",$C41))),Variables!$B$1:$D$1,0),1))*L41/16.67)),""))</f>
        <v>-452.71576072546469</v>
      </c>
      <c r="AX41" s="9"/>
      <c r="AY41" s="12"/>
      <c r="AZ41" s="10"/>
      <c r="BA41" s="9"/>
      <c r="BB41" s="10"/>
      <c r="BC41" s="9"/>
      <c r="BD41" s="9"/>
      <c r="BE41" s="9"/>
      <c r="BF41" s="9"/>
    </row>
    <row r="42" spans="1:58" x14ac:dyDescent="0.25">
      <c r="A42" s="9" t="s">
        <v>84</v>
      </c>
      <c r="B42" s="9" t="s">
        <v>85</v>
      </c>
      <c r="C42" s="9" t="s">
        <v>86</v>
      </c>
      <c r="D42" s="10">
        <v>45279</v>
      </c>
      <c r="E42" s="10">
        <v>45292</v>
      </c>
      <c r="F42" s="10">
        <v>45322</v>
      </c>
      <c r="G42" s="9">
        <v>3786081</v>
      </c>
      <c r="H42" s="9" t="str">
        <f t="shared" si="0"/>
        <v>Closed</v>
      </c>
      <c r="I42" s="9" t="str">
        <f t="shared" si="1"/>
        <v>All dates received</v>
      </c>
      <c r="J42" s="9" t="s">
        <v>102</v>
      </c>
      <c r="K42" s="9">
        <v>4707</v>
      </c>
      <c r="L42" s="11">
        <v>1800</v>
      </c>
      <c r="M42" s="9" t="s">
        <v>222</v>
      </c>
      <c r="N42" s="9" t="s">
        <v>161</v>
      </c>
      <c r="O42" s="9"/>
      <c r="P42" s="9"/>
      <c r="Q42" s="11"/>
      <c r="R42" s="9" t="s">
        <v>90</v>
      </c>
      <c r="S42" s="9" t="s">
        <v>106</v>
      </c>
      <c r="T42" s="12">
        <f>IF($H42="Cancelled","",IFERROR(((Q42+INDEX(Variables!$B$6:$D$6,IFERROR(MATCH(IF($B42="Robusta","Robusta",(IF($B42="","Arabica",$B42))&amp;" - "&amp;(IF($C42="","Commercial",$C42))),Variables!$B$1:$D$1,0),1)))*22.0462)*(L42/16.67),""))</f>
        <v>692253.32501499692</v>
      </c>
      <c r="U42" s="10">
        <v>45281</v>
      </c>
      <c r="V42" s="9" t="str">
        <f t="shared" si="6"/>
        <v>Sent</v>
      </c>
      <c r="W42" s="10">
        <v>45287</v>
      </c>
      <c r="X42" s="9" t="str">
        <f t="shared" si="5"/>
        <v>Approved</v>
      </c>
      <c r="Y42" s="10"/>
      <c r="Z42" s="10">
        <f>IF($H42="Cancelled","",IFERROR(IF(F42="","",F42-Variables!$B$13),""))</f>
        <v>45307</v>
      </c>
      <c r="AA42" s="11">
        <f>IF($H42="Cancelled","",IFERROR(IF(W42="","",(AVERAGE(E42:F42)-W42)-Variables!$B$14),""))</f>
        <v>-10</v>
      </c>
      <c r="AB42" s="10">
        <v>45450</v>
      </c>
      <c r="AC42" s="11">
        <f>IF($H42="Cancelled","",IFERROR(IF(AB42="","",IF(AND(W42="",Y42=""),"",IF(Y42&gt;W42,Y42+Variables!$B$15+Variables!$B$16+Variables!$B$17-AB42,W42+Variables!$B$16+Variables!$B$17-AB42))),""))</f>
        <v>-155</v>
      </c>
      <c r="AD42" s="9" t="s">
        <v>165</v>
      </c>
      <c r="AE42" s="9" t="s">
        <v>223</v>
      </c>
      <c r="AF42" s="10"/>
      <c r="AG42" s="10"/>
      <c r="AH42" s="9"/>
      <c r="AI42" s="9" t="s">
        <v>224</v>
      </c>
      <c r="AJ42" s="9">
        <v>7381109282</v>
      </c>
      <c r="AK42" s="10">
        <v>45327</v>
      </c>
      <c r="AL42" s="10">
        <v>45328</v>
      </c>
      <c r="AM42" s="10">
        <v>45330</v>
      </c>
      <c r="AN42" s="9" t="s">
        <v>95</v>
      </c>
      <c r="AO42" s="9"/>
      <c r="AP42" s="11">
        <f>IF($H42="Cancelled","",IFERROR(IF(OR(AK42="",AB42=""),"",(AB42+Variables!$B$18-AK42)),""))</f>
        <v>130</v>
      </c>
      <c r="AQ42" s="11">
        <f>IF($H42="Cancelled","",IFERROR(IF(OR(AM42="",AK42=""),"",(AK42+Variables!$B$19)-AM42),""))</f>
        <v>2</v>
      </c>
      <c r="AR42" s="12">
        <f>IF($H42="Cancelled","",IFERROR(T42*INDEX(Variables!$B$7:$D$7,IFERROR(MATCH(IF($B42="Robusta","Robusta",(IF($B42="","Arabica",$B42))&amp;" - "&amp;(IF($C42="","Commercial",$C42))),Variables!$B$1:$D$1,0),1))*(AQ42/365),""))</f>
        <v>244.59187591387416</v>
      </c>
      <c r="AS42" s="12">
        <f>IF($H42="Cancelled","",IFERROR((T42*INDEX(Variables!$B$7:$D$7,IFERROR(MATCH(IF($B42="Robusta","Robusta",(IF($B42="","Arabica",$B42))&amp;" - "&amp;(IF($C42="","Commercial",$C42))),Variables!$B$1:$D$1,0),1))*IFERROR(IF(W42="","",(AVERAGE(E42:F42)-W42)-Variables!$B$14),"")/365)+(L42/16.67*INDEX(Variables!$B$8:$D$8,IFERROR(MATCH(IF($B42="Robusta","Robusta",(IF($B42="","Arabica",$B42))&amp;" - "&amp;(IF($C42="","Commercial",$C42))),Variables!$B$1:$D$1,0),1))*IFERROR(IF(W42="","",(AVERAGE(E42:F42)-W42)-Variables!$B$14),""))+(T42*INDEX(Variables!$B$9:$D$9,IFERROR(MATCH(IF($B42="Robusta","Robusta",(IF($B42="","Arabica",$B42))&amp;" - "&amp;(IF($C42="","Commercial",$C42))),Variables!$B$1:$D$1,0),1))*IFERROR(IF(W42="","",(AVERAGE(E42:F42)-W42)-Variables!$B$14),"")/365),""))</f>
        <v>-2138.7256861196438</v>
      </c>
      <c r="AT42" s="12">
        <f>IF($H42="Cancelled","",IFERROR((T42*INDEX(Variables!$B$7:$D$7,IFERROR(MATCH(IF($B42="Robusta","Robusta",(IF($B42="","Arabica",$B42))&amp;" - "&amp;(IF($C42="","Commercial",$C42))),Variables!$B$1:$D$1,0),1))*AC42/365)+(L42/16.67*INDEX(Variables!$B$8:$D$8,IFERROR(MATCH(IF($B42="Robusta","Robusta",(IF($B42="","Arabica",$B42))&amp;" - "&amp;(IF($C42="","Commercial",$C42))),Variables!$B$1:$D$1,0),1))*AC42)+(T42*INDEX(Variables!$B$9:$D$9,IFERROR(MATCH(IF($B42="Robusta","Robusta",(IF($B42="","Arabica",$B42))&amp;" - "&amp;(IF($C42="","Commercial",$C42))),Variables!$B$1:$D$1,0),1))*AC42/365),""))</f>
        <v>-33150.248134854482</v>
      </c>
      <c r="AU42" s="12">
        <f>IF($H42="Cancelled","",IFERROR((T42*INDEX(Variables!$B$7:$D$7,IFERROR(MATCH(IF($B42="Robusta","Robusta",(IF($B42="","Arabica",$B42))&amp;" - "&amp;(IF($C42="","Commercial",$C42))),Variables!$B$1:$D$1,0),1))*AP42/365)+(L42/16.67*INDEX(Variables!$B$8:$D$8,IFERROR(MATCH(IF($B42="Robusta","Robusta",(IF($B42="","Arabica",$B42))&amp;" - "&amp;(IF($C42="","Commercial",$C42))),Variables!$B$1:$D$1,0),1))*AP42)+(T42*INDEX(Variables!$B$9:$D$9,IFERROR(MATCH(IF($B42="Robusta","Robusta",(IF($B42="","Arabica",$B42))&amp;" - "&amp;(IF($C42="","Commercial",$C42))),Variables!$B$1:$D$1,0),1))*AP42/365),""))</f>
        <v>27803.433919555373</v>
      </c>
      <c r="AV42" s="11">
        <f t="shared" si="4"/>
        <v>-5</v>
      </c>
      <c r="AW42" s="12">
        <f>IF($H42="Cancelled","",IFERROR(IF(AV42="","",(T42*INDEX(Variables!$B$7:$D$7,IFERROR(MATCH(IF($B42="Robusta","Robusta",(IF($B42="","Arabica",$B42))&amp;" - "&amp;(IF($C42="","Commercial",$C42))),Variables!$B$1:$D$1,0),1))*(AV42/365))+(T42*INDEX(Variables!$B$9:$D$9,IFERROR(MATCH(IF($B42="Robusta","Robusta",(IF($B42="","Arabica",$B42))&amp;" - "&amp;(IF($C42="","Commercial",$C42))),Variables!$B$1:$D$1,0),1))*(AV42/365))+(INDEX(Variables!$B$8:$D$8,IFERROR(MATCH(IF($B42="Robusta","Robusta",(IF($B42="","Arabica",$B42))&amp;" - "&amp;(IF($C42="","Commercial",$C42))),Variables!$B$1:$D$1,0),1))*L42/16.67)),""))</f>
        <v>-529.3628430598219</v>
      </c>
      <c r="AX42" s="9"/>
      <c r="AY42" s="12"/>
      <c r="AZ42" s="10"/>
      <c r="BA42" s="9"/>
      <c r="BB42" s="10"/>
      <c r="BC42" s="9"/>
      <c r="BD42" s="9"/>
      <c r="BE42" s="9"/>
      <c r="BF42" s="9"/>
    </row>
    <row r="43" spans="1:58" x14ac:dyDescent="0.25">
      <c r="A43" s="9" t="s">
        <v>84</v>
      </c>
      <c r="B43" s="9" t="s">
        <v>85</v>
      </c>
      <c r="C43" s="9" t="s">
        <v>86</v>
      </c>
      <c r="D43" s="10">
        <v>45280</v>
      </c>
      <c r="E43" s="10">
        <v>45292</v>
      </c>
      <c r="F43" s="10">
        <v>45351</v>
      </c>
      <c r="G43" s="9">
        <v>3786082</v>
      </c>
      <c r="H43" s="9" t="str">
        <f t="shared" si="0"/>
        <v>Closed</v>
      </c>
      <c r="I43" s="9" t="str">
        <f t="shared" si="1"/>
        <v>All dates received</v>
      </c>
      <c r="J43" s="9" t="s">
        <v>225</v>
      </c>
      <c r="K43" s="9"/>
      <c r="L43" s="11">
        <v>320</v>
      </c>
      <c r="M43" s="9" t="s">
        <v>226</v>
      </c>
      <c r="N43" s="9" t="s">
        <v>227</v>
      </c>
      <c r="O43" s="9"/>
      <c r="P43" s="9"/>
      <c r="Q43" s="11"/>
      <c r="R43" s="9" t="s">
        <v>90</v>
      </c>
      <c r="S43" s="9" t="s">
        <v>228</v>
      </c>
      <c r="T43" s="12">
        <f>IF($H43="Cancelled","",IFERROR(((Q43+INDEX(Variables!$B$6:$D$6,IFERROR(MATCH(IF($B43="Robusta","Robusta",(IF($B43="","Arabica",$B43))&amp;" - "&amp;(IF($C43="","Commercial",$C43))),Variables!$B$1:$D$1,0),1)))*22.0462)*(L43/16.67),""))</f>
        <v>123067.25778044391</v>
      </c>
      <c r="U43" s="10"/>
      <c r="V43" s="9" t="str">
        <f t="shared" si="6"/>
        <v/>
      </c>
      <c r="W43" s="10">
        <v>45290</v>
      </c>
      <c r="X43" s="9" t="str">
        <f t="shared" si="5"/>
        <v>Approved</v>
      </c>
      <c r="Y43" s="10">
        <v>45464</v>
      </c>
      <c r="Z43" s="10">
        <f>IF($H43="Cancelled","",IFERROR(IF(F43="","",F43-Variables!$B$13),""))</f>
        <v>45336</v>
      </c>
      <c r="AA43" s="11">
        <f>IF($H43="Cancelled","",IFERROR(IF(W43="","",(AVERAGE(E43:F43)-W43)-Variables!$B$14),""))</f>
        <v>1.5</v>
      </c>
      <c r="AB43" s="10">
        <v>45450</v>
      </c>
      <c r="AC43" s="11">
        <f>IF($H43="Cancelled","",IFERROR(IF(AB43="","",IF(AND(W43="",Y43=""),"",IF(Y43&gt;W43,Y43+Variables!$B$15+Variables!$B$16+Variables!$B$17-AB43,W43+Variables!$B$16+Variables!$B$17-AB43))),""))</f>
        <v>29</v>
      </c>
      <c r="AD43" s="9" t="s">
        <v>107</v>
      </c>
      <c r="AE43" s="9" t="s">
        <v>229</v>
      </c>
      <c r="AF43" s="10"/>
      <c r="AG43" s="10"/>
      <c r="AH43" s="9"/>
      <c r="AI43" s="9" t="s">
        <v>230</v>
      </c>
      <c r="AJ43" s="9" t="s">
        <v>8</v>
      </c>
      <c r="AK43" s="10">
        <v>45356</v>
      </c>
      <c r="AL43" s="10">
        <v>45356</v>
      </c>
      <c r="AM43" s="10">
        <v>45363</v>
      </c>
      <c r="AN43" s="9" t="s">
        <v>95</v>
      </c>
      <c r="AO43" s="9"/>
      <c r="AP43" s="11">
        <f>IF($H43="Cancelled","",IFERROR(IF(OR(AK43="",AB43=""),"",(AB43+Variables!$B$18-AK43)),""))</f>
        <v>101</v>
      </c>
      <c r="AQ43" s="11">
        <f>IF($H43="Cancelled","",IFERROR(IF(OR(AM43="",AK43=""),"",(AK43+Variables!$B$19)-AM43),""))</f>
        <v>-2</v>
      </c>
      <c r="AR43" s="12">
        <f>IF($H43="Cancelled","",IFERROR(T43*INDEX(Variables!$B$7:$D$7,IFERROR(MATCH(IF($B43="Robusta","Robusta",(IF($B43="","Arabica",$B43))&amp;" - "&amp;(IF($C43="","Commercial",$C43))),Variables!$B$1:$D$1,0),1))*(AQ43/365),""))</f>
        <v>-43.483000162466524</v>
      </c>
      <c r="AS43" s="12">
        <f>IF($H43="Cancelled","",IFERROR((T43*INDEX(Variables!$B$7:$D$7,IFERROR(MATCH(IF($B43="Robusta","Robusta",(IF($B43="","Arabica",$B43))&amp;" - "&amp;(IF($C43="","Commercial",$C43))),Variables!$B$1:$D$1,0),1))*IFERROR(IF(W43="","",(AVERAGE(E43:F43)-W43)-Variables!$B$14),"")/365)+(L43/16.67*INDEX(Variables!$B$8:$D$8,IFERROR(MATCH(IF($B43="Robusta","Robusta",(IF($B43="","Arabica",$B43))&amp;" - "&amp;(IF($C43="","Commercial",$C43))),Variables!$B$1:$D$1,0),1))*IFERROR(IF(W43="","",(AVERAGE(E43:F43)-W43)-Variables!$B$14),""))+(T43*INDEX(Variables!$B$9:$D$9,IFERROR(MATCH(IF($B43="Robusta","Robusta",(IF($B43="","Arabica",$B43))&amp;" - "&amp;(IF($C43="","Commercial",$C43))),Variables!$B$1:$D$1,0),1))*IFERROR(IF(W43="","",(AVERAGE(E43:F43)-W43)-Variables!$B$14),"")/365),""))</f>
        <v>57.032684963190505</v>
      </c>
      <c r="AT43" s="12">
        <f>IF($H43="Cancelled","",IFERROR((T43*INDEX(Variables!$B$7:$D$7,IFERROR(MATCH(IF($B43="Robusta","Robusta",(IF($B43="","Arabica",$B43))&amp;" - "&amp;(IF($C43="","Commercial",$C43))),Variables!$B$1:$D$1,0),1))*AC43/365)+(L43/16.67*INDEX(Variables!$B$8:$D$8,IFERROR(MATCH(IF($B43="Robusta","Robusta",(IF($B43="","Arabica",$B43))&amp;" - "&amp;(IF($C43="","Commercial",$C43))),Variables!$B$1:$D$1,0),1))*AC43)+(T43*INDEX(Variables!$B$9:$D$9,IFERROR(MATCH(IF($B43="Robusta","Robusta",(IF($B43="","Arabica",$B43))&amp;" - "&amp;(IF($C43="","Commercial",$C43))),Variables!$B$1:$D$1,0),1))*AC43/365),""))</f>
        <v>1102.6319092883498</v>
      </c>
      <c r="AU43" s="12">
        <f>IF($H43="Cancelled","",IFERROR((T43*INDEX(Variables!$B$7:$D$7,IFERROR(MATCH(IF($B43="Robusta","Robusta",(IF($B43="","Arabica",$B43))&amp;" - "&amp;(IF($C43="","Commercial",$C43))),Variables!$B$1:$D$1,0),1))*AP43/365)+(L43/16.67*INDEX(Variables!$B$8:$D$8,IFERROR(MATCH(IF($B43="Robusta","Robusta",(IF($B43="","Arabica",$B43))&amp;" - "&amp;(IF($C43="","Commercial",$C43))),Variables!$B$1:$D$1,0),1))*AP43)+(T43*INDEX(Variables!$B$9:$D$9,IFERROR(MATCH(IF($B43="Robusta","Robusta",(IF($B43="","Arabica",$B43))&amp;" - "&amp;(IF($C43="","Commercial",$C43))),Variables!$B$1:$D$1,0),1))*AP43/365),""))</f>
        <v>3840.2007875214945</v>
      </c>
      <c r="AV43" s="11">
        <f t="shared" si="4"/>
        <v>-5</v>
      </c>
      <c r="AW43" s="12">
        <f>IF($H43="Cancelled","",IFERROR(IF(AV43="","",(T43*INDEX(Variables!$B$7:$D$7,IFERROR(MATCH(IF($B43="Robusta","Robusta",(IF($B43="","Arabica",$B43))&amp;" - "&amp;(IF($C43="","Commercial",$C43))),Variables!$B$1:$D$1,0),1))*(AV43/365))+(T43*INDEX(Variables!$B$9:$D$9,IFERROR(MATCH(IF($B43="Robusta","Robusta",(IF($B43="","Arabica",$B43))&amp;" - "&amp;(IF($C43="","Commercial",$C43))),Variables!$B$1:$D$1,0),1))*(AV43/365))+(INDEX(Variables!$B$8:$D$8,IFERROR(MATCH(IF($B43="Robusta","Robusta",(IF($B43="","Arabica",$B43))&amp;" - "&amp;(IF($C43="","Commercial",$C43))),Variables!$B$1:$D$1,0),1))*L43/16.67)),""))</f>
        <v>-94.108949877301683</v>
      </c>
      <c r="AX43" s="9"/>
      <c r="AY43" s="12"/>
      <c r="AZ43" s="10"/>
      <c r="BA43" s="9"/>
      <c r="BB43" s="10"/>
      <c r="BC43" s="9"/>
      <c r="BD43" s="9"/>
      <c r="BE43" s="9"/>
      <c r="BF43" s="9"/>
    </row>
    <row r="44" spans="1:58" x14ac:dyDescent="0.25">
      <c r="A44" s="9" t="s">
        <v>84</v>
      </c>
      <c r="B44" s="9" t="s">
        <v>85</v>
      </c>
      <c r="C44" s="9" t="s">
        <v>86</v>
      </c>
      <c r="D44" s="10">
        <v>45294</v>
      </c>
      <c r="E44" s="10">
        <v>45323</v>
      </c>
      <c r="F44" s="10">
        <v>45351</v>
      </c>
      <c r="G44" s="9">
        <v>3786083</v>
      </c>
      <c r="H44" s="9" t="str">
        <f t="shared" si="0"/>
        <v>Closed</v>
      </c>
      <c r="I44" s="9" t="str">
        <f t="shared" si="1"/>
        <v>All dates received</v>
      </c>
      <c r="J44" s="9" t="s">
        <v>112</v>
      </c>
      <c r="K44" s="9">
        <v>4712</v>
      </c>
      <c r="L44" s="11">
        <v>320</v>
      </c>
      <c r="M44" s="9" t="s">
        <v>231</v>
      </c>
      <c r="N44" s="9" t="s">
        <v>227</v>
      </c>
      <c r="O44" s="9"/>
      <c r="P44" s="9"/>
      <c r="Q44" s="11"/>
      <c r="R44" s="9" t="s">
        <v>90</v>
      </c>
      <c r="S44" s="9" t="s">
        <v>117</v>
      </c>
      <c r="T44" s="12">
        <f>IF($H44="Cancelled","",IFERROR(((Q44+INDEX(Variables!$B$6:$D$6,IFERROR(MATCH(IF($B44="Robusta","Robusta",(IF($B44="","Arabica",$B44))&amp;" - "&amp;(IF($C44="","Commercial",$C44))),Variables!$B$1:$D$1,0),1)))*22.0462)*(L44/16.67),""))</f>
        <v>123067.25778044391</v>
      </c>
      <c r="U44" s="10">
        <v>45295</v>
      </c>
      <c r="V44" s="9" t="str">
        <f t="shared" si="6"/>
        <v>Sent</v>
      </c>
      <c r="W44" s="10">
        <v>45301</v>
      </c>
      <c r="X44" s="9" t="str">
        <f t="shared" si="5"/>
        <v>Approved</v>
      </c>
      <c r="Y44" s="10"/>
      <c r="Z44" s="10">
        <f>IF($H44="Cancelled","",IFERROR(IF(F44="","",F44-Variables!$B$13),""))</f>
        <v>45336</v>
      </c>
      <c r="AA44" s="11">
        <f>IF($H44="Cancelled","",IFERROR(IF(W44="","",(AVERAGE(E44:F44)-W44)-Variables!$B$14),""))</f>
        <v>6</v>
      </c>
      <c r="AB44" s="10">
        <v>45454</v>
      </c>
      <c r="AC44" s="11">
        <f>IF($H44="Cancelled","",IFERROR(IF(AB44="","",IF(AND(W44="",Y44=""),"",IF(Y44&gt;W44,Y44+Variables!$B$15+Variables!$B$16+Variables!$B$17-AB44,W44+Variables!$B$16+Variables!$B$17-AB44))),""))</f>
        <v>-145</v>
      </c>
      <c r="AD44" s="9" t="s">
        <v>107</v>
      </c>
      <c r="AE44" s="9" t="s">
        <v>166</v>
      </c>
      <c r="AF44" s="10"/>
      <c r="AG44" s="10"/>
      <c r="AH44" s="9"/>
      <c r="AI44" s="9" t="s">
        <v>232</v>
      </c>
      <c r="AJ44" s="9">
        <v>1802556840</v>
      </c>
      <c r="AK44" s="10">
        <v>45341</v>
      </c>
      <c r="AL44" s="10">
        <v>45341</v>
      </c>
      <c r="AM44" s="10">
        <v>45342</v>
      </c>
      <c r="AN44" s="9" t="s">
        <v>95</v>
      </c>
      <c r="AO44" s="9"/>
      <c r="AP44" s="11">
        <f>IF($H44="Cancelled","",IFERROR(IF(OR(AK44="",AB44=""),"",(AB44+Variables!$B$18-AK44)),""))</f>
        <v>120</v>
      </c>
      <c r="AQ44" s="11">
        <f>IF($H44="Cancelled","",IFERROR(IF(OR(AM44="",AK44=""),"",(AK44+Variables!$B$19)-AM44),""))</f>
        <v>4</v>
      </c>
      <c r="AR44" s="12">
        <f>IF($H44="Cancelled","",IFERROR(T44*INDEX(Variables!$B$7:$D$7,IFERROR(MATCH(IF($B44="Robusta","Robusta",(IF($B44="","Arabica",$B44))&amp;" - "&amp;(IF($C44="","Commercial",$C44))),Variables!$B$1:$D$1,0),1))*(AQ44/365),""))</f>
        <v>86.966000324933049</v>
      </c>
      <c r="AS44" s="12">
        <f>IF($H44="Cancelled","",IFERROR((T44*INDEX(Variables!$B$7:$D$7,IFERROR(MATCH(IF($B44="Robusta","Robusta",(IF($B44="","Arabica",$B44))&amp;" - "&amp;(IF($C44="","Commercial",$C44))),Variables!$B$1:$D$1,0),1))*IFERROR(IF(W44="","",(AVERAGE(E44:F44)-W44)-Variables!$B$14),"")/365)+(L44/16.67*INDEX(Variables!$B$8:$D$8,IFERROR(MATCH(IF($B44="Robusta","Robusta",(IF($B44="","Arabica",$B44))&amp;" - "&amp;(IF($C44="","Commercial",$C44))),Variables!$B$1:$D$1,0),1))*IFERROR(IF(W44="","",(AVERAGE(E44:F44)-W44)-Variables!$B$14),""))+(T44*INDEX(Variables!$B$9:$D$9,IFERROR(MATCH(IF($B44="Robusta","Robusta",(IF($B44="","Arabica",$B44))&amp;" - "&amp;(IF($C44="","Commercial",$C44))),Variables!$B$1:$D$1,0),1))*IFERROR(IF(W44="","",(AVERAGE(E44:F44)-W44)-Variables!$B$14),"")/365),""))</f>
        <v>228.13073985276202</v>
      </c>
      <c r="AT44" s="12">
        <f>IF($H44="Cancelled","",IFERROR((T44*INDEX(Variables!$B$7:$D$7,IFERROR(MATCH(IF($B44="Robusta","Robusta",(IF($B44="","Arabica",$B44))&amp;" - "&amp;(IF($C44="","Commercial",$C44))),Variables!$B$1:$D$1,0),1))*AC44/365)+(L44/16.67*INDEX(Variables!$B$8:$D$8,IFERROR(MATCH(IF($B44="Robusta","Robusta",(IF($B44="","Arabica",$B44))&amp;" - "&amp;(IF($C44="","Commercial",$C44))),Variables!$B$1:$D$1,0),1))*AC44)+(T44*INDEX(Variables!$B$9:$D$9,IFERROR(MATCH(IF($B44="Robusta","Robusta",(IF($B44="","Arabica",$B44))&amp;" - "&amp;(IF($C44="","Commercial",$C44))),Variables!$B$1:$D$1,0),1))*AC44/365),""))</f>
        <v>-5513.1595464417496</v>
      </c>
      <c r="AU44" s="12">
        <f>IF($H44="Cancelled","",IFERROR((T44*INDEX(Variables!$B$7:$D$7,IFERROR(MATCH(IF($B44="Robusta","Robusta",(IF($B44="","Arabica",$B44))&amp;" - "&amp;(IF($C44="","Commercial",$C44))),Variables!$B$1:$D$1,0),1))*AP44/365)+(L44/16.67*INDEX(Variables!$B$8:$D$8,IFERROR(MATCH(IF($B44="Robusta","Robusta",(IF($B44="","Arabica",$B44))&amp;" - "&amp;(IF($C44="","Commercial",$C44))),Variables!$B$1:$D$1,0),1))*AP44)+(T44*INDEX(Variables!$B$9:$D$9,IFERROR(MATCH(IF($B44="Robusta","Robusta",(IF($B44="","Arabica",$B44))&amp;" - "&amp;(IF($C44="","Commercial",$C44))),Variables!$B$1:$D$1,0),1))*AP44/365),""))</f>
        <v>4562.6147970552402</v>
      </c>
      <c r="AV44" s="11">
        <f t="shared" si="4"/>
        <v>10</v>
      </c>
      <c r="AW44" s="12">
        <f>IF($H44="Cancelled","",IFERROR(IF(AV44="","",(T44*INDEX(Variables!$B$7:$D$7,IFERROR(MATCH(IF($B44="Robusta","Robusta",(IF($B44="","Arabica",$B44))&amp;" - "&amp;(IF($C44="","Commercial",$C44))),Variables!$B$1:$D$1,0),1))*(AV44/365))+(T44*INDEX(Variables!$B$9:$D$9,IFERROR(MATCH(IF($B44="Robusta","Robusta",(IF($B44="","Arabica",$B44))&amp;" - "&amp;(IF($C44="","Commercial",$C44))),Variables!$B$1:$D$1,0),1))*(AV44/365))+(INDEX(Variables!$B$8:$D$8,IFERROR(MATCH(IF($B44="Robusta","Robusta",(IF($B44="","Arabica",$B44))&amp;" - "&amp;(IF($C44="","Commercial",$C44))),Variables!$B$1:$D$1,0),1))*L44/16.67)),""))</f>
        <v>236.21789975460337</v>
      </c>
      <c r="AX44" s="9"/>
      <c r="AY44" s="12"/>
      <c r="AZ44" s="10"/>
      <c r="BA44" s="9"/>
      <c r="BB44" s="10"/>
      <c r="BC44" s="9"/>
      <c r="BD44" s="9"/>
      <c r="BE44" s="9"/>
      <c r="BF44" s="9"/>
    </row>
    <row r="45" spans="1:58" x14ac:dyDescent="0.25">
      <c r="A45" s="9" t="s">
        <v>84</v>
      </c>
      <c r="B45" s="9" t="s">
        <v>85</v>
      </c>
      <c r="C45" s="9" t="s">
        <v>86</v>
      </c>
      <c r="D45" s="10">
        <v>45300</v>
      </c>
      <c r="E45" s="10">
        <v>45292</v>
      </c>
      <c r="F45" s="10">
        <v>45351</v>
      </c>
      <c r="G45" s="9">
        <v>3786084</v>
      </c>
      <c r="H45" s="9" t="str">
        <f t="shared" si="0"/>
        <v>Closed</v>
      </c>
      <c r="I45" s="9" t="str">
        <f t="shared" si="1"/>
        <v>All dates received</v>
      </c>
      <c r="J45" s="9" t="s">
        <v>210</v>
      </c>
      <c r="K45" s="9">
        <v>4710</v>
      </c>
      <c r="L45" s="11">
        <v>320</v>
      </c>
      <c r="M45" s="9" t="s">
        <v>233</v>
      </c>
      <c r="N45" s="9" t="s">
        <v>121</v>
      </c>
      <c r="O45" s="9"/>
      <c r="P45" s="9"/>
      <c r="Q45" s="11"/>
      <c r="R45" s="9" t="s">
        <v>90</v>
      </c>
      <c r="S45" s="9" t="s">
        <v>234</v>
      </c>
      <c r="T45" s="12">
        <f>IF($H45="Cancelled","",IFERROR(((Q45+INDEX(Variables!$B$6:$D$6,IFERROR(MATCH(IF($B45="Robusta","Robusta",(IF($B45="","Arabica",$B45))&amp;" - "&amp;(IF($C45="","Commercial",$C45))),Variables!$B$1:$D$1,0),1)))*22.0462)*(L45/16.67),""))</f>
        <v>123067.25778044391</v>
      </c>
      <c r="U45" s="10">
        <v>45307</v>
      </c>
      <c r="V45" s="9" t="str">
        <f t="shared" si="6"/>
        <v>Sent</v>
      </c>
      <c r="W45" s="10">
        <v>45310</v>
      </c>
      <c r="X45" s="9" t="str">
        <f t="shared" si="5"/>
        <v>Approved</v>
      </c>
      <c r="Y45" s="10"/>
      <c r="Z45" s="10">
        <f>IF($H45="Cancelled","",IFERROR(IF(F45="","",F45-Variables!$B$13),""))</f>
        <v>45336</v>
      </c>
      <c r="AA45" s="11">
        <f>IF($H45="Cancelled","",IFERROR(IF(W45="","",(AVERAGE(E45:F45)-W45)-Variables!$B$14),""))</f>
        <v>-18.5</v>
      </c>
      <c r="AB45" s="10">
        <v>45454</v>
      </c>
      <c r="AC45" s="11">
        <f>IF($H45="Cancelled","",IFERROR(IF(AB45="","",IF(AND(W45="",Y45=""),"",IF(Y45&gt;W45,Y45+Variables!$B$15+Variables!$B$16+Variables!$B$17-AB45,W45+Variables!$B$16+Variables!$B$17-AB45))),""))</f>
        <v>-136</v>
      </c>
      <c r="AD45" s="9" t="s">
        <v>163</v>
      </c>
      <c r="AE45" s="9" t="s">
        <v>219</v>
      </c>
      <c r="AF45" s="10"/>
      <c r="AG45" s="10"/>
      <c r="AH45" s="9"/>
      <c r="AI45" s="9">
        <v>236331007</v>
      </c>
      <c r="AJ45" s="9">
        <v>3860193035</v>
      </c>
      <c r="AK45" s="10">
        <v>45351</v>
      </c>
      <c r="AL45" s="10">
        <v>45352</v>
      </c>
      <c r="AM45" s="10">
        <v>45356</v>
      </c>
      <c r="AN45" s="9" t="s">
        <v>95</v>
      </c>
      <c r="AO45" s="9"/>
      <c r="AP45" s="11">
        <f>IF($H45="Cancelled","",IFERROR(IF(OR(AK45="",AB45=""),"",(AB45+Variables!$B$18-AK45)),""))</f>
        <v>110</v>
      </c>
      <c r="AQ45" s="11">
        <f>IF($H45="Cancelled","",IFERROR(IF(OR(AM45="",AK45=""),"",(AK45+Variables!$B$19)-AM45),""))</f>
        <v>0</v>
      </c>
      <c r="AR45" s="12">
        <f>IF($H45="Cancelled","",IFERROR(T45*INDEX(Variables!$B$7:$D$7,IFERROR(MATCH(IF($B45="Robusta","Robusta",(IF($B45="","Arabica",$B45))&amp;" - "&amp;(IF($C45="","Commercial",$C45))),Variables!$B$1:$D$1,0),1))*(AQ45/365),""))</f>
        <v>0</v>
      </c>
      <c r="AS45" s="12">
        <f>IF($H45="Cancelled","",IFERROR((T45*INDEX(Variables!$B$7:$D$7,IFERROR(MATCH(IF($B45="Robusta","Robusta",(IF($B45="","Arabica",$B45))&amp;" - "&amp;(IF($C45="","Commercial",$C45))),Variables!$B$1:$D$1,0),1))*IFERROR(IF(W45="","",(AVERAGE(E45:F45)-W45)-Variables!$B$14),"")/365)+(L45/16.67*INDEX(Variables!$B$8:$D$8,IFERROR(MATCH(IF($B45="Robusta","Robusta",(IF($B45="","Arabica",$B45))&amp;" - "&amp;(IF($C45="","Commercial",$C45))),Variables!$B$1:$D$1,0),1))*IFERROR(IF(W45="","",(AVERAGE(E45:F45)-W45)-Variables!$B$14),""))+(T45*INDEX(Variables!$B$9:$D$9,IFERROR(MATCH(IF($B45="Robusta","Robusta",(IF($B45="","Arabica",$B45))&amp;" - "&amp;(IF($C45="","Commercial",$C45))),Variables!$B$1:$D$1,0),1))*IFERROR(IF(W45="","",(AVERAGE(E45:F45)-W45)-Variables!$B$14),"")/365),""))</f>
        <v>-703.40311454601624</v>
      </c>
      <c r="AT45" s="12">
        <f>IF($H45="Cancelled","",IFERROR((T45*INDEX(Variables!$B$7:$D$7,IFERROR(MATCH(IF($B45="Robusta","Robusta",(IF($B45="","Arabica",$B45))&amp;" - "&amp;(IF($C45="","Commercial",$C45))),Variables!$B$1:$D$1,0),1))*AC45/365)+(L45/16.67*INDEX(Variables!$B$8:$D$8,IFERROR(MATCH(IF($B45="Robusta","Robusta",(IF($B45="","Arabica",$B45))&amp;" - "&amp;(IF($C45="","Commercial",$C45))),Variables!$B$1:$D$1,0),1))*AC45)+(T45*INDEX(Variables!$B$9:$D$9,IFERROR(MATCH(IF($B45="Robusta","Robusta",(IF($B45="","Arabica",$B45))&amp;" - "&amp;(IF($C45="","Commercial",$C45))),Variables!$B$1:$D$1,0),1))*AC45/365),""))</f>
        <v>-5170.9634366626069</v>
      </c>
      <c r="AU45" s="12">
        <f>IF($H45="Cancelled","",IFERROR((T45*INDEX(Variables!$B$7:$D$7,IFERROR(MATCH(IF($B45="Robusta","Robusta",(IF($B45="","Arabica",$B45))&amp;" - "&amp;(IF($C45="","Commercial",$C45))),Variables!$B$1:$D$1,0),1))*AP45/365)+(L45/16.67*INDEX(Variables!$B$8:$D$8,IFERROR(MATCH(IF($B45="Robusta","Robusta",(IF($B45="","Arabica",$B45))&amp;" - "&amp;(IF($C45="","Commercial",$C45))),Variables!$B$1:$D$1,0),1))*AP45)+(T45*INDEX(Variables!$B$9:$D$9,IFERROR(MATCH(IF($B45="Robusta","Robusta",(IF($B45="","Arabica",$B45))&amp;" - "&amp;(IF($C45="","Commercial",$C45))),Variables!$B$1:$D$1,0),1))*AP45/365),""))</f>
        <v>4182.3968973006367</v>
      </c>
      <c r="AV45" s="11">
        <f t="shared" si="4"/>
        <v>0</v>
      </c>
      <c r="AW45" s="12">
        <f>IF($H45="Cancelled","",IFERROR(IF(AV45="","",(T45*INDEX(Variables!$B$7:$D$7,IFERROR(MATCH(IF($B45="Robusta","Robusta",(IF($B45="","Arabica",$B45))&amp;" - "&amp;(IF($C45="","Commercial",$C45))),Variables!$B$1:$D$1,0),1))*(AV45/365))+(T45*INDEX(Variables!$B$9:$D$9,IFERROR(MATCH(IF($B45="Robusta","Robusta",(IF($B45="","Arabica",$B45))&amp;" - "&amp;(IF($C45="","Commercial",$C45))),Variables!$B$1:$D$1,0),1))*(AV45/365))+(INDEX(Variables!$B$8:$D$8,IFERROR(MATCH(IF($B45="Robusta","Robusta",(IF($B45="","Arabica",$B45))&amp;" - "&amp;(IF($C45="","Commercial",$C45))),Variables!$B$1:$D$1,0),1))*L45/16.67)),""))</f>
        <v>16</v>
      </c>
      <c r="AX45" s="9"/>
      <c r="AY45" s="12"/>
      <c r="AZ45" s="10"/>
      <c r="BA45" s="9"/>
      <c r="BB45" s="10"/>
      <c r="BC45" s="9"/>
      <c r="BD45" s="9"/>
      <c r="BE45" s="9"/>
      <c r="BF45" s="9"/>
    </row>
    <row r="46" spans="1:58" x14ac:dyDescent="0.25">
      <c r="A46" s="9" t="s">
        <v>84</v>
      </c>
      <c r="B46" s="9" t="s">
        <v>85</v>
      </c>
      <c r="C46" s="9" t="s">
        <v>86</v>
      </c>
      <c r="D46" s="10">
        <v>45300</v>
      </c>
      <c r="E46" s="10">
        <v>45323</v>
      </c>
      <c r="F46" s="10">
        <v>45351</v>
      </c>
      <c r="G46" s="9">
        <v>3786085</v>
      </c>
      <c r="H46" s="9" t="str">
        <f t="shared" si="0"/>
        <v>Closed</v>
      </c>
      <c r="I46" s="9" t="str">
        <f t="shared" si="1"/>
        <v>All dates received</v>
      </c>
      <c r="J46" s="9" t="s">
        <v>235</v>
      </c>
      <c r="K46" s="9">
        <v>4714</v>
      </c>
      <c r="L46" s="11">
        <v>320</v>
      </c>
      <c r="M46" s="9" t="s">
        <v>236</v>
      </c>
      <c r="N46" s="9" t="s">
        <v>237</v>
      </c>
      <c r="O46" s="9"/>
      <c r="P46" s="9"/>
      <c r="Q46" s="11"/>
      <c r="R46" s="9" t="s">
        <v>90</v>
      </c>
      <c r="S46" s="9" t="s">
        <v>106</v>
      </c>
      <c r="T46" s="12">
        <f>IF($H46="Cancelled","",IFERROR(((Q46+INDEX(Variables!$B$6:$D$6,IFERROR(MATCH(IF($B46="Robusta","Robusta",(IF($B46="","Arabica",$B46))&amp;" - "&amp;(IF($C46="","Commercial",$C46))),Variables!$B$1:$D$1,0),1)))*22.0462)*(L46/16.67),""))</f>
        <v>123067.25778044391</v>
      </c>
      <c r="U46" s="10">
        <v>45307</v>
      </c>
      <c r="V46" s="9" t="str">
        <f t="shared" si="6"/>
        <v>Sent</v>
      </c>
      <c r="W46" s="10">
        <v>45322</v>
      </c>
      <c r="X46" s="9" t="str">
        <f t="shared" si="5"/>
        <v>Approved</v>
      </c>
      <c r="Y46" s="10"/>
      <c r="Z46" s="10">
        <f>IF($H46="Cancelled","",IFERROR(IF(F46="","",F46-Variables!$B$13),""))</f>
        <v>45336</v>
      </c>
      <c r="AA46" s="11">
        <f>IF($H46="Cancelled","",IFERROR(IF(W46="","",(AVERAGE(E46:F46)-W46)-Variables!$B$14),""))</f>
        <v>-15</v>
      </c>
      <c r="AB46" s="10">
        <v>45454</v>
      </c>
      <c r="AC46" s="11">
        <f>IF($H46="Cancelled","",IFERROR(IF(AB46="","",IF(AND(W46="",Y46=""),"",IF(Y46&gt;W46,Y46+Variables!$B$15+Variables!$B$16+Variables!$B$17-AB46,W46+Variables!$B$16+Variables!$B$17-AB46))),""))</f>
        <v>-124</v>
      </c>
      <c r="AD46" s="9" t="s">
        <v>107</v>
      </c>
      <c r="AE46" s="9" t="s">
        <v>238</v>
      </c>
      <c r="AF46" s="10"/>
      <c r="AG46" s="10"/>
      <c r="AH46" s="9"/>
      <c r="AI46" s="9" t="s">
        <v>239</v>
      </c>
      <c r="AJ46" s="9">
        <v>2606283805</v>
      </c>
      <c r="AK46" s="10">
        <v>45345</v>
      </c>
      <c r="AL46" s="10">
        <v>45345</v>
      </c>
      <c r="AM46" s="10">
        <v>45348</v>
      </c>
      <c r="AN46" s="9" t="s">
        <v>95</v>
      </c>
      <c r="AO46" s="9"/>
      <c r="AP46" s="11">
        <f>IF($H46="Cancelled","",IFERROR(IF(OR(AK46="",AB46=""),"",(AB46+Variables!$B$18-AK46)),""))</f>
        <v>116</v>
      </c>
      <c r="AQ46" s="11">
        <f>IF($H46="Cancelled","",IFERROR(IF(OR(AM46="",AK46=""),"",(AK46+Variables!$B$19)-AM46),""))</f>
        <v>2</v>
      </c>
      <c r="AR46" s="12">
        <f>IF($H46="Cancelled","",IFERROR(T46*INDEX(Variables!$B$7:$D$7,IFERROR(MATCH(IF($B46="Robusta","Robusta",(IF($B46="","Arabica",$B46))&amp;" - "&amp;(IF($C46="","Commercial",$C46))),Variables!$B$1:$D$1,0),1))*(AQ46/365),""))</f>
        <v>43.483000162466524</v>
      </c>
      <c r="AS46" s="12">
        <f>IF($H46="Cancelled","",IFERROR((T46*INDEX(Variables!$B$7:$D$7,IFERROR(MATCH(IF($B46="Robusta","Robusta",(IF($B46="","Arabica",$B46))&amp;" - "&amp;(IF($C46="","Commercial",$C46))),Variables!$B$1:$D$1,0),1))*IFERROR(IF(W46="","",(AVERAGE(E46:F46)-W46)-Variables!$B$14),"")/365)+(L46/16.67*INDEX(Variables!$B$8:$D$8,IFERROR(MATCH(IF($B46="Robusta","Robusta",(IF($B46="","Arabica",$B46))&amp;" - "&amp;(IF($C46="","Commercial",$C46))),Variables!$B$1:$D$1,0),1))*IFERROR(IF(W46="","",(AVERAGE(E46:F46)-W46)-Variables!$B$14),""))+(T46*INDEX(Variables!$B$9:$D$9,IFERROR(MATCH(IF($B46="Robusta","Robusta",(IF($B46="","Arabica",$B46))&amp;" - "&amp;(IF($C46="","Commercial",$C46))),Variables!$B$1:$D$1,0),1))*IFERROR(IF(W46="","",(AVERAGE(E46:F46)-W46)-Variables!$B$14),"")/365),""))</f>
        <v>-570.32684963190502</v>
      </c>
      <c r="AT46" s="12">
        <f>IF($H46="Cancelled","",IFERROR((T46*INDEX(Variables!$B$7:$D$7,IFERROR(MATCH(IF($B46="Robusta","Robusta",(IF($B46="","Arabica",$B46))&amp;" - "&amp;(IF($C46="","Commercial",$C46))),Variables!$B$1:$D$1,0),1))*AC46/365)+(L46/16.67*INDEX(Variables!$B$8:$D$8,IFERROR(MATCH(IF($B46="Robusta","Robusta",(IF($B46="","Arabica",$B46))&amp;" - "&amp;(IF($C46="","Commercial",$C46))),Variables!$B$1:$D$1,0),1))*AC46)+(T46*INDEX(Variables!$B$9:$D$9,IFERROR(MATCH(IF($B46="Robusta","Robusta",(IF($B46="","Arabica",$B46))&amp;" - "&amp;(IF($C46="","Commercial",$C46))),Variables!$B$1:$D$1,0),1))*AC46/365),""))</f>
        <v>-4714.7019569570821</v>
      </c>
      <c r="AU46" s="12">
        <f>IF($H46="Cancelled","",IFERROR((T46*INDEX(Variables!$B$7:$D$7,IFERROR(MATCH(IF($B46="Robusta","Robusta",(IF($B46="","Arabica",$B46))&amp;" - "&amp;(IF($C46="","Commercial",$C46))),Variables!$B$1:$D$1,0),1))*AP46/365)+(L46/16.67*INDEX(Variables!$B$8:$D$8,IFERROR(MATCH(IF($B46="Robusta","Robusta",(IF($B46="","Arabica",$B46))&amp;" - "&amp;(IF($C46="","Commercial",$C46))),Variables!$B$1:$D$1,0),1))*AP46)+(T46*INDEX(Variables!$B$9:$D$9,IFERROR(MATCH(IF($B46="Robusta","Robusta",(IF($B46="","Arabica",$B46))&amp;" - "&amp;(IF($C46="","Commercial",$C46))),Variables!$B$1:$D$1,0),1))*AP46/365),""))</f>
        <v>4410.5276371533992</v>
      </c>
      <c r="AV46" s="11">
        <f t="shared" si="4"/>
        <v>6</v>
      </c>
      <c r="AW46" s="12">
        <f>IF($H46="Cancelled","",IFERROR(IF(AV46="","",(T46*INDEX(Variables!$B$7:$D$7,IFERROR(MATCH(IF($B46="Robusta","Robusta",(IF($B46="","Arabica",$B46))&amp;" - "&amp;(IF($C46="","Commercial",$C46))),Variables!$B$1:$D$1,0),1))*(AV46/365))+(T46*INDEX(Variables!$B$9:$D$9,IFERROR(MATCH(IF($B46="Robusta","Robusta",(IF($B46="","Arabica",$B46))&amp;" - "&amp;(IF($C46="","Commercial",$C46))),Variables!$B$1:$D$1,0),1))*(AV46/365))+(INDEX(Variables!$B$8:$D$8,IFERROR(MATCH(IF($B46="Robusta","Robusta",(IF($B46="","Arabica",$B46))&amp;" - "&amp;(IF($C46="","Commercial",$C46))),Variables!$B$1:$D$1,0),1))*L46/16.67)),""))</f>
        <v>148.13073985276202</v>
      </c>
      <c r="AX46" s="9"/>
      <c r="AY46" s="12"/>
      <c r="AZ46" s="10"/>
      <c r="BA46" s="9"/>
      <c r="BB46" s="10"/>
      <c r="BC46" s="9"/>
      <c r="BD46" s="9"/>
      <c r="BE46" s="9"/>
      <c r="BF46" s="9"/>
    </row>
    <row r="47" spans="1:58" x14ac:dyDescent="0.25">
      <c r="A47" s="9" t="s">
        <v>84</v>
      </c>
      <c r="B47" s="9" t="s">
        <v>85</v>
      </c>
      <c r="C47" s="9" t="s">
        <v>86</v>
      </c>
      <c r="D47" s="10">
        <v>45301</v>
      </c>
      <c r="E47" s="10">
        <v>45444</v>
      </c>
      <c r="F47" s="10">
        <v>45473</v>
      </c>
      <c r="G47" s="9">
        <v>3786086</v>
      </c>
      <c r="H47" s="9" t="str">
        <f t="shared" si="0"/>
        <v>Closed</v>
      </c>
      <c r="I47" s="9" t="str">
        <f t="shared" si="1"/>
        <v>All dates received</v>
      </c>
      <c r="J47" s="9" t="s">
        <v>240</v>
      </c>
      <c r="K47" s="9">
        <v>4958</v>
      </c>
      <c r="L47" s="11">
        <v>360</v>
      </c>
      <c r="M47" s="9" t="s">
        <v>241</v>
      </c>
      <c r="N47" s="9" t="s">
        <v>242</v>
      </c>
      <c r="O47" s="9"/>
      <c r="P47" s="9"/>
      <c r="Q47" s="11"/>
      <c r="R47" s="9" t="s">
        <v>90</v>
      </c>
      <c r="S47" s="9" t="s">
        <v>243</v>
      </c>
      <c r="T47" s="12">
        <f>IF($H47="Cancelled","",IFERROR(((Q47+INDEX(Variables!$B$6:$D$6,IFERROR(MATCH(IF($B47="Robusta","Robusta",(IF($B47="","Arabica",$B47))&amp;" - "&amp;(IF($C47="","Commercial",$C47))),Variables!$B$1:$D$1,0),1)))*22.0462)*(L47/16.67),""))</f>
        <v>138450.66500299939</v>
      </c>
      <c r="U47" s="10">
        <v>45425</v>
      </c>
      <c r="V47" s="9" t="str">
        <f t="shared" si="6"/>
        <v>Sent</v>
      </c>
      <c r="W47" s="10">
        <v>45428</v>
      </c>
      <c r="X47" s="9" t="str">
        <f t="shared" si="5"/>
        <v>Approved</v>
      </c>
      <c r="Y47" s="10"/>
      <c r="Z47" s="10">
        <f>IF($H47="Cancelled","",IFERROR(IF(F47="","",F47-Variables!$B$13),""))</f>
        <v>45458</v>
      </c>
      <c r="AA47" s="11">
        <f>IF($H47="Cancelled","",IFERROR(IF(W47="","",(AVERAGE(E47:F47)-W47)-Variables!$B$14),""))</f>
        <v>0.5</v>
      </c>
      <c r="AB47" s="10">
        <v>45454</v>
      </c>
      <c r="AC47" s="11">
        <f>IF($H47="Cancelled","",IFERROR(IF(AB47="","",IF(AND(W47="",Y47=""),"",IF(Y47&gt;W47,Y47+Variables!$B$15+Variables!$B$16+Variables!$B$17-AB47,W47+Variables!$B$16+Variables!$B$17-AB47))),""))</f>
        <v>-18</v>
      </c>
      <c r="AD47" s="9" t="s">
        <v>163</v>
      </c>
      <c r="AE47" s="9" t="s">
        <v>244</v>
      </c>
      <c r="AF47" s="10"/>
      <c r="AG47" s="10"/>
      <c r="AH47" s="9"/>
      <c r="AI47" s="9">
        <v>241186949</v>
      </c>
      <c r="AJ47" s="9" t="s">
        <v>8</v>
      </c>
      <c r="AK47" s="10">
        <v>45469</v>
      </c>
      <c r="AL47" s="10">
        <v>45470</v>
      </c>
      <c r="AM47" s="10">
        <v>45483</v>
      </c>
      <c r="AN47" s="9" t="s">
        <v>95</v>
      </c>
      <c r="AO47" s="9"/>
      <c r="AP47" s="11">
        <f>IF($H47="Cancelled","",IFERROR(IF(OR(AK47="",AB47=""),"",(AB47+Variables!$B$18-AK47)),""))</f>
        <v>-8</v>
      </c>
      <c r="AQ47" s="11">
        <f>IF($H47="Cancelled","",IFERROR(IF(OR(AM47="",AK47=""),"",(AK47+Variables!$B$19)-AM47),""))</f>
        <v>-9</v>
      </c>
      <c r="AR47" s="12">
        <f>IF($H47="Cancelled","",IFERROR(T47*INDEX(Variables!$B$7:$D$7,IFERROR(MATCH(IF($B47="Robusta","Robusta",(IF($B47="","Arabica",$B47))&amp;" - "&amp;(IF($C47="","Commercial",$C47))),Variables!$B$1:$D$1,0),1))*(AQ47/365),""))</f>
        <v>-220.13268832248676</v>
      </c>
      <c r="AS47" s="12">
        <f>IF($H47="Cancelled","",IFERROR((T47*INDEX(Variables!$B$7:$D$7,IFERROR(MATCH(IF($B47="Robusta","Robusta",(IF($B47="","Arabica",$B47))&amp;" - "&amp;(IF($C47="","Commercial",$C47))),Variables!$B$1:$D$1,0),1))*IFERROR(IF(W47="","",(AVERAGE(E47:F47)-W47)-Variables!$B$14),"")/365)+(L47/16.67*INDEX(Variables!$B$8:$D$8,IFERROR(MATCH(IF($B47="Robusta","Robusta",(IF($B47="","Arabica",$B47))&amp;" - "&amp;(IF($C47="","Commercial",$C47))),Variables!$B$1:$D$1,0),1))*IFERROR(IF(W47="","",(AVERAGE(E47:F47)-W47)-Variables!$B$14),""))+(T47*INDEX(Variables!$B$9:$D$9,IFERROR(MATCH(IF($B47="Robusta","Robusta",(IF($B47="","Arabica",$B47))&amp;" - "&amp;(IF($C47="","Commercial",$C47))),Variables!$B$1:$D$1,0),1))*IFERROR(IF(W47="","",(AVERAGE(E47:F47)-W47)-Variables!$B$14),"")/365),""))</f>
        <v>21.387256861196441</v>
      </c>
      <c r="AT47" s="12">
        <f>IF($H47="Cancelled","",IFERROR((T47*INDEX(Variables!$B$7:$D$7,IFERROR(MATCH(IF($B47="Robusta","Robusta",(IF($B47="","Arabica",$B47))&amp;" - "&amp;(IF($C47="","Commercial",$C47))),Variables!$B$1:$D$1,0),1))*AC47/365)+(L47/16.67*INDEX(Variables!$B$8:$D$8,IFERROR(MATCH(IF($B47="Robusta","Robusta",(IF($B47="","Arabica",$B47))&amp;" - "&amp;(IF($C47="","Commercial",$C47))),Variables!$B$1:$D$1,0),1))*AC47)+(T47*INDEX(Variables!$B$9:$D$9,IFERROR(MATCH(IF($B47="Robusta","Robusta",(IF($B47="","Arabica",$B47))&amp;" - "&amp;(IF($C47="","Commercial",$C47))),Variables!$B$1:$D$1,0),1))*AC47/365),""))</f>
        <v>-769.94124700307191</v>
      </c>
      <c r="AU47" s="12">
        <f>IF($H47="Cancelled","",IFERROR((T47*INDEX(Variables!$B$7:$D$7,IFERROR(MATCH(IF($B47="Robusta","Robusta",(IF($B47="","Arabica",$B47))&amp;" - "&amp;(IF($C47="","Commercial",$C47))),Variables!$B$1:$D$1,0),1))*AP47/365)+(L47/16.67*INDEX(Variables!$B$8:$D$8,IFERROR(MATCH(IF($B47="Robusta","Robusta",(IF($B47="","Arabica",$B47))&amp;" - "&amp;(IF($C47="","Commercial",$C47))),Variables!$B$1:$D$1,0),1))*AP47)+(T47*INDEX(Variables!$B$9:$D$9,IFERROR(MATCH(IF($B47="Robusta","Robusta",(IF($B47="","Arabica",$B47))&amp;" - "&amp;(IF($C47="","Commercial",$C47))),Variables!$B$1:$D$1,0),1))*AP47/365),""))</f>
        <v>-342.19610977914306</v>
      </c>
      <c r="AV47" s="11">
        <f t="shared" si="4"/>
        <v>4</v>
      </c>
      <c r="AW47" s="12">
        <f>IF($H47="Cancelled","",IFERROR(IF(AV47="","",(T47*INDEX(Variables!$B$7:$D$7,IFERROR(MATCH(IF($B47="Robusta","Robusta",(IF($B47="","Arabica",$B47))&amp;" - "&amp;(IF($C47="","Commercial",$C47))),Variables!$B$1:$D$1,0),1))*(AV47/365))+(T47*INDEX(Variables!$B$9:$D$9,IFERROR(MATCH(IF($B47="Robusta","Robusta",(IF($B47="","Arabica",$B47))&amp;" - "&amp;(IF($C47="","Commercial",$C47))),Variables!$B$1:$D$1,0),1))*(AV47/365))+(INDEX(Variables!$B$8:$D$8,IFERROR(MATCH(IF($B47="Robusta","Robusta",(IF($B47="","Arabica",$B47))&amp;" - "&amp;(IF($C47="","Commercial",$C47))),Variables!$B$1:$D$1,0),1))*L47/16.67)),""))</f>
        <v>117.09805488957153</v>
      </c>
      <c r="AX47" s="9"/>
      <c r="AY47" s="12"/>
      <c r="AZ47" s="10"/>
      <c r="BA47" s="9"/>
      <c r="BB47" s="10"/>
      <c r="BC47" s="9"/>
      <c r="BD47" s="9"/>
      <c r="BE47" s="9"/>
      <c r="BF47" s="9"/>
    </row>
    <row r="48" spans="1:58" x14ac:dyDescent="0.25">
      <c r="A48" s="9" t="s">
        <v>84</v>
      </c>
      <c r="B48" s="9" t="s">
        <v>85</v>
      </c>
      <c r="C48" s="9" t="s">
        <v>86</v>
      </c>
      <c r="D48" s="10">
        <v>45301</v>
      </c>
      <c r="E48" s="10">
        <v>45474</v>
      </c>
      <c r="F48" s="10">
        <v>45504</v>
      </c>
      <c r="G48" s="9">
        <v>3786087</v>
      </c>
      <c r="H48" s="9" t="str">
        <f t="shared" si="0"/>
        <v>Closed</v>
      </c>
      <c r="I48" s="9" t="str">
        <f t="shared" si="1"/>
        <v>All dates received</v>
      </c>
      <c r="J48" s="9" t="s">
        <v>240</v>
      </c>
      <c r="K48" s="9">
        <v>5025</v>
      </c>
      <c r="L48" s="11">
        <v>360</v>
      </c>
      <c r="M48" s="9" t="s">
        <v>241</v>
      </c>
      <c r="N48" s="9" t="s">
        <v>242</v>
      </c>
      <c r="O48" s="9"/>
      <c r="P48" s="9"/>
      <c r="Q48" s="11"/>
      <c r="R48" s="9" t="s">
        <v>90</v>
      </c>
      <c r="S48" s="9" t="s">
        <v>243</v>
      </c>
      <c r="T48" s="12">
        <f>IF($H48="Cancelled","",IFERROR(((Q48+INDEX(Variables!$B$6:$D$6,IFERROR(MATCH(IF($B48="Robusta","Robusta",(IF($B48="","Arabica",$B48))&amp;" - "&amp;(IF($C48="","Commercial",$C48))),Variables!$B$1:$D$1,0),1)))*22.0462)*(L48/16.67),""))</f>
        <v>138450.66500299939</v>
      </c>
      <c r="U48" s="10">
        <v>45441</v>
      </c>
      <c r="V48" s="9" t="str">
        <f t="shared" si="6"/>
        <v>Sent</v>
      </c>
      <c r="W48" s="10">
        <v>45450</v>
      </c>
      <c r="X48" s="9" t="str">
        <f t="shared" si="5"/>
        <v>Approved</v>
      </c>
      <c r="Y48" s="10"/>
      <c r="Z48" s="10">
        <f>IF($H48="Cancelled","",IFERROR(IF(F48="","",F48-Variables!$B$13),""))</f>
        <v>45489</v>
      </c>
      <c r="AA48" s="11">
        <f>IF($H48="Cancelled","",IFERROR(IF(W48="","",(AVERAGE(E48:F48)-W48)-Variables!$B$14),""))</f>
        <v>9</v>
      </c>
      <c r="AB48" s="10">
        <v>45455</v>
      </c>
      <c r="AC48" s="11">
        <f>IF($H48="Cancelled","",IFERROR(IF(AB48="","",IF(AND(W48="",Y48=""),"",IF(Y48&gt;W48,Y48+Variables!$B$15+Variables!$B$16+Variables!$B$17-AB48,W48+Variables!$B$16+Variables!$B$17-AB48))),""))</f>
        <v>3</v>
      </c>
      <c r="AD48" s="9" t="s">
        <v>163</v>
      </c>
      <c r="AE48" s="9" t="s">
        <v>219</v>
      </c>
      <c r="AF48" s="10"/>
      <c r="AG48" s="10"/>
      <c r="AH48" s="9"/>
      <c r="AI48" s="9">
        <v>241769537</v>
      </c>
      <c r="AJ48" s="9" t="s">
        <v>8</v>
      </c>
      <c r="AK48" s="10">
        <v>45491</v>
      </c>
      <c r="AL48" s="10">
        <v>45495</v>
      </c>
      <c r="AM48" s="10">
        <v>45504</v>
      </c>
      <c r="AN48" s="9" t="s">
        <v>95</v>
      </c>
      <c r="AO48" s="9"/>
      <c r="AP48" s="11">
        <f>IF($H48="Cancelled","",IFERROR(IF(OR(AK48="",AB48=""),"",(AB48+Variables!$B$18-AK48)),""))</f>
        <v>-29</v>
      </c>
      <c r="AQ48" s="11">
        <f>IF($H48="Cancelled","",IFERROR(IF(OR(AM48="",AK48=""),"",(AK48+Variables!$B$19)-AM48),""))</f>
        <v>-8</v>
      </c>
      <c r="AR48" s="12">
        <f>IF($H48="Cancelled","",IFERROR(T48*INDEX(Variables!$B$7:$D$7,IFERROR(MATCH(IF($B48="Robusta","Robusta",(IF($B48="","Arabica",$B48))&amp;" - "&amp;(IF($C48="","Commercial",$C48))),Variables!$B$1:$D$1,0),1))*(AQ48/365),""))</f>
        <v>-195.67350073109935</v>
      </c>
      <c r="AS48" s="12">
        <f>IF($H48="Cancelled","",IFERROR((T48*INDEX(Variables!$B$7:$D$7,IFERROR(MATCH(IF($B48="Robusta","Robusta",(IF($B48="","Arabica",$B48))&amp;" - "&amp;(IF($C48="","Commercial",$C48))),Variables!$B$1:$D$1,0),1))*IFERROR(IF(W48="","",(AVERAGE(E48:F48)-W48)-Variables!$B$14),"")/365)+(L48/16.67*INDEX(Variables!$B$8:$D$8,IFERROR(MATCH(IF($B48="Robusta","Robusta",(IF($B48="","Arabica",$B48))&amp;" - "&amp;(IF($C48="","Commercial",$C48))),Variables!$B$1:$D$1,0),1))*IFERROR(IF(W48="","",(AVERAGE(E48:F48)-W48)-Variables!$B$14),""))+(T48*INDEX(Variables!$B$9:$D$9,IFERROR(MATCH(IF($B48="Robusta","Robusta",(IF($B48="","Arabica",$B48))&amp;" - "&amp;(IF($C48="","Commercial",$C48))),Variables!$B$1:$D$1,0),1))*IFERROR(IF(W48="","",(AVERAGE(E48:F48)-W48)-Variables!$B$14),"")/365),""))</f>
        <v>384.97062350153595</v>
      </c>
      <c r="AT48" s="12">
        <f>IF($H48="Cancelled","",IFERROR((T48*INDEX(Variables!$B$7:$D$7,IFERROR(MATCH(IF($B48="Robusta","Robusta",(IF($B48="","Arabica",$B48))&amp;" - "&amp;(IF($C48="","Commercial",$C48))),Variables!$B$1:$D$1,0),1))*AC48/365)+(L48/16.67*INDEX(Variables!$B$8:$D$8,IFERROR(MATCH(IF($B48="Robusta","Robusta",(IF($B48="","Arabica",$B48))&amp;" - "&amp;(IF($C48="","Commercial",$C48))),Variables!$B$1:$D$1,0),1))*AC48)+(T48*INDEX(Variables!$B$9:$D$9,IFERROR(MATCH(IF($B48="Robusta","Robusta",(IF($B48="","Arabica",$B48))&amp;" - "&amp;(IF($C48="","Commercial",$C48))),Variables!$B$1:$D$1,0),1))*AC48/365),""))</f>
        <v>128.32354116717866</v>
      </c>
      <c r="AU48" s="12">
        <f>IF($H48="Cancelled","",IFERROR((T48*INDEX(Variables!$B$7:$D$7,IFERROR(MATCH(IF($B48="Robusta","Robusta",(IF($B48="","Arabica",$B48))&amp;" - "&amp;(IF($C48="","Commercial",$C48))),Variables!$B$1:$D$1,0),1))*AP48/365)+(L48/16.67*INDEX(Variables!$B$8:$D$8,IFERROR(MATCH(IF($B48="Robusta","Robusta",(IF($B48="","Arabica",$B48))&amp;" - "&amp;(IF($C48="","Commercial",$C48))),Variables!$B$1:$D$1,0),1))*AP48)+(T48*INDEX(Variables!$B$9:$D$9,IFERROR(MATCH(IF($B48="Robusta","Robusta",(IF($B48="","Arabica",$B48))&amp;" - "&amp;(IF($C48="","Commercial",$C48))),Variables!$B$1:$D$1,0),1))*AP48/365),""))</f>
        <v>-1240.4608979493935</v>
      </c>
      <c r="AV48" s="11">
        <f t="shared" si="4"/>
        <v>13</v>
      </c>
      <c r="AW48" s="12">
        <f>IF($H48="Cancelled","",IFERROR(IF(AV48="","",(T48*INDEX(Variables!$B$7:$D$7,IFERROR(MATCH(IF($B48="Robusta","Robusta",(IF($B48="","Arabica",$B48))&amp;" - "&amp;(IF($C48="","Commercial",$C48))),Variables!$B$1:$D$1,0),1))*(AV48/365))+(T48*INDEX(Variables!$B$9:$D$9,IFERROR(MATCH(IF($B48="Robusta","Robusta",(IF($B48="","Arabica",$B48))&amp;" - "&amp;(IF($C48="","Commercial",$C48))),Variables!$B$1:$D$1,0),1))*(AV48/365))+(INDEX(Variables!$B$8:$D$8,IFERROR(MATCH(IF($B48="Robusta","Robusta",(IF($B48="","Arabica",$B48))&amp;" - "&amp;(IF($C48="","Commercial",$C48))),Variables!$B$1:$D$1,0),1))*L48/16.67)),""))</f>
        <v>340.06867839110743</v>
      </c>
      <c r="AX48" s="9"/>
      <c r="AY48" s="12"/>
      <c r="AZ48" s="10"/>
      <c r="BA48" s="9"/>
      <c r="BB48" s="10"/>
      <c r="BC48" s="9"/>
      <c r="BD48" s="9"/>
      <c r="BE48" s="9"/>
      <c r="BF48" s="9"/>
    </row>
    <row r="49" spans="1:58" x14ac:dyDescent="0.25">
      <c r="A49" s="9" t="s">
        <v>84</v>
      </c>
      <c r="B49" s="9" t="s">
        <v>85</v>
      </c>
      <c r="C49" s="9" t="s">
        <v>86</v>
      </c>
      <c r="D49" s="10">
        <v>45301</v>
      </c>
      <c r="E49" s="10">
        <v>45505</v>
      </c>
      <c r="F49" s="10">
        <v>45535</v>
      </c>
      <c r="G49" s="9">
        <v>3786088</v>
      </c>
      <c r="H49" s="9" t="str">
        <f t="shared" si="0"/>
        <v>Closed</v>
      </c>
      <c r="I49" s="9" t="str">
        <f t="shared" si="1"/>
        <v>All dates received</v>
      </c>
      <c r="J49" s="9" t="s">
        <v>240</v>
      </c>
      <c r="K49" s="9">
        <v>5034</v>
      </c>
      <c r="L49" s="11">
        <v>360</v>
      </c>
      <c r="M49" s="9" t="s">
        <v>241</v>
      </c>
      <c r="N49" s="9" t="s">
        <v>242</v>
      </c>
      <c r="O49" s="9"/>
      <c r="P49" s="9"/>
      <c r="Q49" s="11"/>
      <c r="R49" s="9" t="s">
        <v>90</v>
      </c>
      <c r="S49" s="9" t="s">
        <v>243</v>
      </c>
      <c r="T49" s="12">
        <f>IF($H49="Cancelled","",IFERROR(((Q49+INDEX(Variables!$B$6:$D$6,IFERROR(MATCH(IF($B49="Robusta","Robusta",(IF($B49="","Arabica",$B49))&amp;" - "&amp;(IF($C49="","Commercial",$C49))),Variables!$B$1:$D$1,0),1)))*22.0462)*(L49/16.67),""))</f>
        <v>138450.66500299939</v>
      </c>
      <c r="U49" s="10">
        <v>45462</v>
      </c>
      <c r="V49" s="9" t="str">
        <f t="shared" si="6"/>
        <v>Sent</v>
      </c>
      <c r="W49" s="10">
        <v>45468</v>
      </c>
      <c r="X49" s="9" t="str">
        <f t="shared" si="5"/>
        <v>Approved</v>
      </c>
      <c r="Y49" s="10"/>
      <c r="Z49" s="10">
        <f>IF($H49="Cancelled","",IFERROR(IF(F49="","",F49-Variables!$B$13),""))</f>
        <v>45520</v>
      </c>
      <c r="AA49" s="11">
        <f>IF($H49="Cancelled","",IFERROR(IF(W49="","",(AVERAGE(E49:F49)-W49)-Variables!$B$14),""))</f>
        <v>22</v>
      </c>
      <c r="AB49" s="10">
        <v>45455</v>
      </c>
      <c r="AC49" s="11">
        <f>IF($H49="Cancelled","",IFERROR(IF(AB49="","",IF(AND(W49="",Y49=""),"",IF(Y49&gt;W49,Y49+Variables!$B$15+Variables!$B$16+Variables!$B$17-AB49,W49+Variables!$B$16+Variables!$B$17-AB49))),""))</f>
        <v>21</v>
      </c>
      <c r="AD49" s="9" t="s">
        <v>107</v>
      </c>
      <c r="AE49" s="9" t="s">
        <v>245</v>
      </c>
      <c r="AF49" s="10"/>
      <c r="AG49" s="10"/>
      <c r="AH49" s="9"/>
      <c r="AI49" s="9" t="s">
        <v>246</v>
      </c>
      <c r="AJ49" s="9" t="s">
        <v>8</v>
      </c>
      <c r="AK49" s="10">
        <v>45512</v>
      </c>
      <c r="AL49" s="10">
        <v>45519</v>
      </c>
      <c r="AM49" s="10">
        <v>45532</v>
      </c>
      <c r="AN49" s="9" t="s">
        <v>95</v>
      </c>
      <c r="AO49" s="9"/>
      <c r="AP49" s="11">
        <f>IF($H49="Cancelled","",IFERROR(IF(OR(AK49="",AB49=""),"",(AB49+Variables!$B$18-AK49)),""))</f>
        <v>-50</v>
      </c>
      <c r="AQ49" s="11">
        <f>IF($H49="Cancelled","",IFERROR(IF(OR(AM49="",AK49=""),"",(AK49+Variables!$B$19)-AM49),""))</f>
        <v>-15</v>
      </c>
      <c r="AR49" s="12">
        <f>IF($H49="Cancelled","",IFERROR(T49*INDEX(Variables!$B$7:$D$7,IFERROR(MATCH(IF($B49="Robusta","Robusta",(IF($B49="","Arabica",$B49))&amp;" - "&amp;(IF($C49="","Commercial",$C49))),Variables!$B$1:$D$1,0),1))*(AQ49/365),""))</f>
        <v>-366.88781387081127</v>
      </c>
      <c r="AS49" s="12">
        <f>IF($H49="Cancelled","",IFERROR((T49*INDEX(Variables!$B$7:$D$7,IFERROR(MATCH(IF($B49="Robusta","Robusta",(IF($B49="","Arabica",$B49))&amp;" - "&amp;(IF($C49="","Commercial",$C49))),Variables!$B$1:$D$1,0),1))*IFERROR(IF(W49="","",(AVERAGE(E49:F49)-W49)-Variables!$B$14),"")/365)+(L49/16.67*INDEX(Variables!$B$8:$D$8,IFERROR(MATCH(IF($B49="Robusta","Robusta",(IF($B49="","Arabica",$B49))&amp;" - "&amp;(IF($C49="","Commercial",$C49))),Variables!$B$1:$D$1,0),1))*IFERROR(IF(W49="","",(AVERAGE(E49:F49)-W49)-Variables!$B$14),""))+(T49*INDEX(Variables!$B$9:$D$9,IFERROR(MATCH(IF($B49="Robusta","Robusta",(IF($B49="","Arabica",$B49))&amp;" - "&amp;(IF($C49="","Commercial",$C49))),Variables!$B$1:$D$1,0),1))*IFERROR(IF(W49="","",(AVERAGE(E49:F49)-W49)-Variables!$B$14),"")/365),""))</f>
        <v>941.03930189264338</v>
      </c>
      <c r="AT49" s="12">
        <f>IF($H49="Cancelled","",IFERROR((T49*INDEX(Variables!$B$7:$D$7,IFERROR(MATCH(IF($B49="Robusta","Robusta",(IF($B49="","Arabica",$B49))&amp;" - "&amp;(IF($C49="","Commercial",$C49))),Variables!$B$1:$D$1,0),1))*AC49/365)+(L49/16.67*INDEX(Variables!$B$8:$D$8,IFERROR(MATCH(IF($B49="Robusta","Robusta",(IF($B49="","Arabica",$B49))&amp;" - "&amp;(IF($C49="","Commercial",$C49))),Variables!$B$1:$D$1,0),1))*AC49)+(T49*INDEX(Variables!$B$9:$D$9,IFERROR(MATCH(IF($B49="Robusta","Robusta",(IF($B49="","Arabica",$B49))&amp;" - "&amp;(IF($C49="","Commercial",$C49))),Variables!$B$1:$D$1,0),1))*AC49/365),""))</f>
        <v>898.26478817025043</v>
      </c>
      <c r="AU49" s="12">
        <f>IF($H49="Cancelled","",IFERROR((T49*INDEX(Variables!$B$7:$D$7,IFERROR(MATCH(IF($B49="Robusta","Robusta",(IF($B49="","Arabica",$B49))&amp;" - "&amp;(IF($C49="","Commercial",$C49))),Variables!$B$1:$D$1,0),1))*AP49/365)+(L49/16.67*INDEX(Variables!$B$8:$D$8,IFERROR(MATCH(IF($B49="Robusta","Robusta",(IF($B49="","Arabica",$B49))&amp;" - "&amp;(IF($C49="","Commercial",$C49))),Variables!$B$1:$D$1,0),1))*AP49)+(T49*INDEX(Variables!$B$9:$D$9,IFERROR(MATCH(IF($B49="Robusta","Robusta",(IF($B49="","Arabica",$B49))&amp;" - "&amp;(IF($C49="","Commercial",$C49))),Variables!$B$1:$D$1,0),1))*AP49/365),""))</f>
        <v>-2138.7256861196438</v>
      </c>
      <c r="AV49" s="11">
        <f t="shared" si="4"/>
        <v>23</v>
      </c>
      <c r="AW49" s="12">
        <f>IF($H49="Cancelled","",IFERROR(IF(AV49="","",(T49*INDEX(Variables!$B$7:$D$7,IFERROR(MATCH(IF($B49="Robusta","Robusta",(IF($B49="","Arabica",$B49))&amp;" - "&amp;(IF($C49="","Commercial",$C49))),Variables!$B$1:$D$1,0),1))*(AV49/365))+(T49*INDEX(Variables!$B$9:$D$9,IFERROR(MATCH(IF($B49="Robusta","Robusta",(IF($B49="","Arabica",$B49))&amp;" - "&amp;(IF($C49="","Commercial",$C49))),Variables!$B$1:$D$1,0),1))*(AV49/365))+(INDEX(Variables!$B$8:$D$8,IFERROR(MATCH(IF($B49="Robusta","Robusta",(IF($B49="","Arabica",$B49))&amp;" - "&amp;(IF($C49="","Commercial",$C49))),Variables!$B$1:$D$1,0),1))*L49/16.67)),""))</f>
        <v>587.81381561503633</v>
      </c>
      <c r="AX49" s="9"/>
      <c r="AY49" s="12"/>
      <c r="AZ49" s="10"/>
      <c r="BA49" s="9"/>
      <c r="BB49" s="10"/>
      <c r="BC49" s="9"/>
      <c r="BD49" s="9"/>
      <c r="BE49" s="9"/>
      <c r="BF49" s="9"/>
    </row>
    <row r="50" spans="1:58" x14ac:dyDescent="0.25">
      <c r="A50" s="9" t="s">
        <v>84</v>
      </c>
      <c r="B50" s="9" t="s">
        <v>85</v>
      </c>
      <c r="C50" s="9" t="s">
        <v>86</v>
      </c>
      <c r="D50" s="10">
        <v>45301</v>
      </c>
      <c r="E50" s="10">
        <v>45536</v>
      </c>
      <c r="F50" s="10">
        <v>45565</v>
      </c>
      <c r="G50" s="9">
        <v>3786089</v>
      </c>
      <c r="H50" s="9" t="str">
        <f t="shared" si="0"/>
        <v>Closed</v>
      </c>
      <c r="I50" s="9" t="str">
        <f t="shared" si="1"/>
        <v>All dates received</v>
      </c>
      <c r="J50" s="9" t="s">
        <v>240</v>
      </c>
      <c r="K50" s="9">
        <v>5069</v>
      </c>
      <c r="L50" s="11">
        <v>360</v>
      </c>
      <c r="M50" s="9" t="s">
        <v>241</v>
      </c>
      <c r="N50" s="9" t="s">
        <v>242</v>
      </c>
      <c r="O50" s="9"/>
      <c r="P50" s="9"/>
      <c r="Q50" s="11"/>
      <c r="R50" s="9" t="s">
        <v>90</v>
      </c>
      <c r="S50" s="9" t="s">
        <v>243</v>
      </c>
      <c r="T50" s="12">
        <f>IF($H50="Cancelled","",IFERROR(((Q50+INDEX(Variables!$B$6:$D$6,IFERROR(MATCH(IF($B50="Robusta","Robusta",(IF($B50="","Arabica",$B50))&amp;" - "&amp;(IF($C50="","Commercial",$C50))),Variables!$B$1:$D$1,0),1)))*22.0462)*(L50/16.67),""))</f>
        <v>138450.66500299939</v>
      </c>
      <c r="U50" s="10">
        <v>45482</v>
      </c>
      <c r="V50" s="9" t="str">
        <f t="shared" si="6"/>
        <v>Sent</v>
      </c>
      <c r="W50" s="10">
        <v>45491</v>
      </c>
      <c r="X50" s="9" t="str">
        <f t="shared" si="5"/>
        <v>Approved</v>
      </c>
      <c r="Y50" s="10"/>
      <c r="Z50" s="10">
        <f>IF($H50="Cancelled","",IFERROR(IF(F50="","",F50-Variables!$B$13),""))</f>
        <v>45550</v>
      </c>
      <c r="AA50" s="11">
        <f>IF($H50="Cancelled","",IFERROR(IF(W50="","",(AVERAGE(E50:F50)-W50)-Variables!$B$14),""))</f>
        <v>29.5</v>
      </c>
      <c r="AB50" s="10">
        <v>45457</v>
      </c>
      <c r="AC50" s="11">
        <f>IF($H50="Cancelled","",IFERROR(IF(AB50="","",IF(AND(W50="",Y50=""),"",IF(Y50&gt;W50,Y50+Variables!$B$15+Variables!$B$16+Variables!$B$17-AB50,W50+Variables!$B$16+Variables!$B$17-AB50))),""))</f>
        <v>42</v>
      </c>
      <c r="AD50" s="9" t="s">
        <v>247</v>
      </c>
      <c r="AE50" s="9" t="s">
        <v>174</v>
      </c>
      <c r="AF50" s="10"/>
      <c r="AG50" s="10"/>
      <c r="AH50" s="9"/>
      <c r="AI50" s="9" t="s">
        <v>248</v>
      </c>
      <c r="AJ50" s="9" t="s">
        <v>8</v>
      </c>
      <c r="AK50" s="10">
        <v>45537</v>
      </c>
      <c r="AL50" s="10">
        <v>45545</v>
      </c>
      <c r="AM50" s="10">
        <v>45547</v>
      </c>
      <c r="AN50" s="9" t="s">
        <v>95</v>
      </c>
      <c r="AO50" s="9"/>
      <c r="AP50" s="11">
        <f>IF($H50="Cancelled","",IFERROR(IF(OR(AK50="",AB50=""),"",(AB50+Variables!$B$18-AK50)),""))</f>
        <v>-73</v>
      </c>
      <c r="AQ50" s="11">
        <f>IF($H50="Cancelled","",IFERROR(IF(OR(AM50="",AK50=""),"",(AK50+Variables!$B$19)-AM50),""))</f>
        <v>-5</v>
      </c>
      <c r="AR50" s="12">
        <f>IF($H50="Cancelled","",IFERROR(T50*INDEX(Variables!$B$7:$D$7,IFERROR(MATCH(IF($B50="Robusta","Robusta",(IF($B50="","Arabica",$B50))&amp;" - "&amp;(IF($C50="","Commercial",$C50))),Variables!$B$1:$D$1,0),1))*(AQ50/365),""))</f>
        <v>-122.29593795693708</v>
      </c>
      <c r="AS50" s="12">
        <f>IF($H50="Cancelled","",IFERROR((T50*INDEX(Variables!$B$7:$D$7,IFERROR(MATCH(IF($B50="Robusta","Robusta",(IF($B50="","Arabica",$B50))&amp;" - "&amp;(IF($C50="","Commercial",$C50))),Variables!$B$1:$D$1,0),1))*IFERROR(IF(W50="","",(AVERAGE(E50:F50)-W50)-Variables!$B$14),"")/365)+(L50/16.67*INDEX(Variables!$B$8:$D$8,IFERROR(MATCH(IF($B50="Robusta","Robusta",(IF($B50="","Arabica",$B50))&amp;" - "&amp;(IF($C50="","Commercial",$C50))),Variables!$B$1:$D$1,0),1))*IFERROR(IF(W50="","",(AVERAGE(E50:F50)-W50)-Variables!$B$14),""))+(T50*INDEX(Variables!$B$9:$D$9,IFERROR(MATCH(IF($B50="Robusta","Robusta",(IF($B50="","Arabica",$B50))&amp;" - "&amp;(IF($C50="","Commercial",$C50))),Variables!$B$1:$D$1,0),1))*IFERROR(IF(W50="","",(AVERAGE(E50:F50)-W50)-Variables!$B$14),"")/365),""))</f>
        <v>1261.8481548105901</v>
      </c>
      <c r="AT50" s="12">
        <f>IF($H50="Cancelled","",IFERROR((T50*INDEX(Variables!$B$7:$D$7,IFERROR(MATCH(IF($B50="Robusta","Robusta",(IF($B50="","Arabica",$B50))&amp;" - "&amp;(IF($C50="","Commercial",$C50))),Variables!$B$1:$D$1,0),1))*AC50/365)+(L50/16.67*INDEX(Variables!$B$8:$D$8,IFERROR(MATCH(IF($B50="Robusta","Robusta",(IF($B50="","Arabica",$B50))&amp;" - "&amp;(IF($C50="","Commercial",$C50))),Variables!$B$1:$D$1,0),1))*AC50)+(T50*INDEX(Variables!$B$9:$D$9,IFERROR(MATCH(IF($B50="Robusta","Robusta",(IF($B50="","Arabica",$B50))&amp;" - "&amp;(IF($C50="","Commercial",$C50))),Variables!$B$1:$D$1,0),1))*AC50/365),""))</f>
        <v>1796.5295763405009</v>
      </c>
      <c r="AU50" s="12">
        <f>IF($H50="Cancelled","",IFERROR((T50*INDEX(Variables!$B$7:$D$7,IFERROR(MATCH(IF($B50="Robusta","Robusta",(IF($B50="","Arabica",$B50))&amp;" - "&amp;(IF($C50="","Commercial",$C50))),Variables!$B$1:$D$1,0),1))*AP50/365)+(L50/16.67*INDEX(Variables!$B$8:$D$8,IFERROR(MATCH(IF($B50="Robusta","Robusta",(IF($B50="","Arabica",$B50))&amp;" - "&amp;(IF($C50="","Commercial",$C50))),Variables!$B$1:$D$1,0),1))*AP50)+(T50*INDEX(Variables!$B$9:$D$9,IFERROR(MATCH(IF($B50="Robusta","Robusta",(IF($B50="","Arabica",$B50))&amp;" - "&amp;(IF($C50="","Commercial",$C50))),Variables!$B$1:$D$1,0),1))*AP50/365),""))</f>
        <v>-3122.53950173468</v>
      </c>
      <c r="AV50" s="11">
        <f t="shared" si="4"/>
        <v>28</v>
      </c>
      <c r="AW50" s="12">
        <f>IF($H50="Cancelled","",IFERROR(IF(AV50="","",(T50*INDEX(Variables!$B$7:$D$7,IFERROR(MATCH(IF($B50="Robusta","Robusta",(IF($B50="","Arabica",$B50))&amp;" - "&amp;(IF($C50="","Commercial",$C50))),Variables!$B$1:$D$1,0),1))*(AV50/365))+(T50*INDEX(Variables!$B$9:$D$9,IFERROR(MATCH(IF($B50="Robusta","Robusta",(IF($B50="","Arabica",$B50))&amp;" - "&amp;(IF($C50="","Commercial",$C50))),Variables!$B$1:$D$1,0),1))*(AV50/365))+(INDEX(Variables!$B$8:$D$8,IFERROR(MATCH(IF($B50="Robusta","Robusta",(IF($B50="","Arabica",$B50))&amp;" - "&amp;(IF($C50="","Commercial",$C50))),Variables!$B$1:$D$1,0),1))*L50/16.67)),""))</f>
        <v>711.68638422700076</v>
      </c>
      <c r="AX50" s="9"/>
      <c r="AY50" s="12"/>
      <c r="AZ50" s="10"/>
      <c r="BA50" s="9"/>
      <c r="BB50" s="10"/>
      <c r="BC50" s="9"/>
      <c r="BD50" s="9"/>
      <c r="BE50" s="9"/>
      <c r="BF50" s="9"/>
    </row>
    <row r="51" spans="1:58" x14ac:dyDescent="0.25">
      <c r="A51" s="9" t="s">
        <v>84</v>
      </c>
      <c r="B51" s="9" t="s">
        <v>85</v>
      </c>
      <c r="C51" s="9" t="s">
        <v>86</v>
      </c>
      <c r="D51" s="10">
        <v>45308</v>
      </c>
      <c r="E51" s="10">
        <v>45309</v>
      </c>
      <c r="F51" s="10">
        <v>45351</v>
      </c>
      <c r="G51" s="9">
        <v>3786090</v>
      </c>
      <c r="H51" s="9" t="str">
        <f t="shared" si="0"/>
        <v>Closed</v>
      </c>
      <c r="I51" s="9" t="str">
        <f t="shared" si="1"/>
        <v>All dates received</v>
      </c>
      <c r="J51" s="9" t="s">
        <v>210</v>
      </c>
      <c r="K51" s="9">
        <v>4713</v>
      </c>
      <c r="L51" s="11">
        <v>960</v>
      </c>
      <c r="M51" s="9" t="s">
        <v>249</v>
      </c>
      <c r="N51" s="9" t="s">
        <v>122</v>
      </c>
      <c r="O51" s="9"/>
      <c r="P51" s="9"/>
      <c r="Q51" s="11"/>
      <c r="R51" s="9" t="s">
        <v>90</v>
      </c>
      <c r="S51" s="9" t="s">
        <v>150</v>
      </c>
      <c r="T51" s="12">
        <f>IF($H51="Cancelled","",IFERROR(((Q51+INDEX(Variables!$B$6:$D$6,IFERROR(MATCH(IF($B51="Robusta","Robusta",(IF($B51="","Arabica",$B51))&amp;" - "&amp;(IF($C51="","Commercial",$C51))),Variables!$B$1:$D$1,0),1)))*22.0462)*(L51/16.67),""))</f>
        <v>369201.77334133169</v>
      </c>
      <c r="U51" s="10">
        <v>45309</v>
      </c>
      <c r="V51" s="9" t="str">
        <f t="shared" si="6"/>
        <v>Sent</v>
      </c>
      <c r="W51" s="10">
        <v>45315</v>
      </c>
      <c r="X51" s="9" t="str">
        <f t="shared" si="5"/>
        <v>Approved</v>
      </c>
      <c r="Y51" s="10"/>
      <c r="Z51" s="10">
        <f>IF($H51="Cancelled","",IFERROR(IF(F51="","",F51-Variables!$B$13),""))</f>
        <v>45336</v>
      </c>
      <c r="AA51" s="11">
        <f>IF($H51="Cancelled","",IFERROR(IF(W51="","",(AVERAGE(E51:F51)-W51)-Variables!$B$14),""))</f>
        <v>-15</v>
      </c>
      <c r="AB51" s="10">
        <v>45457</v>
      </c>
      <c r="AC51" s="11">
        <f>IF($H51="Cancelled","",IFERROR(IF(AB51="","",IF(AND(W51="",Y51=""),"",IF(Y51&gt;W51,Y51+Variables!$B$15+Variables!$B$16+Variables!$B$17-AB51,W51+Variables!$B$16+Variables!$B$17-AB51))),""))</f>
        <v>-134</v>
      </c>
      <c r="AD51" s="9" t="s">
        <v>163</v>
      </c>
      <c r="AE51" s="9" t="s">
        <v>219</v>
      </c>
      <c r="AF51" s="10"/>
      <c r="AG51" s="10"/>
      <c r="AH51" s="9"/>
      <c r="AI51" s="9">
        <v>236343087</v>
      </c>
      <c r="AJ51" s="9">
        <v>3860193035</v>
      </c>
      <c r="AK51" s="10">
        <v>45351</v>
      </c>
      <c r="AL51" s="10">
        <v>45352</v>
      </c>
      <c r="AM51" s="10">
        <v>45356</v>
      </c>
      <c r="AN51" s="9" t="s">
        <v>95</v>
      </c>
      <c r="AO51" s="9"/>
      <c r="AP51" s="11">
        <f>IF($H51="Cancelled","",IFERROR(IF(OR(AK51="",AB51=""),"",(AB51+Variables!$B$18-AK51)),""))</f>
        <v>113</v>
      </c>
      <c r="AQ51" s="11">
        <f>IF($H51="Cancelled","",IFERROR(IF(OR(AM51="",AK51=""),"",(AK51+Variables!$B$19)-AM51),""))</f>
        <v>0</v>
      </c>
      <c r="AR51" s="12">
        <f>IF($H51="Cancelled","",IFERROR(T51*INDEX(Variables!$B$7:$D$7,IFERROR(MATCH(IF($B51="Robusta","Robusta",(IF($B51="","Arabica",$B51))&amp;" - "&amp;(IF($C51="","Commercial",$C51))),Variables!$B$1:$D$1,0),1))*(AQ51/365),""))</f>
        <v>0</v>
      </c>
      <c r="AS51" s="12">
        <f>IF($H51="Cancelled","",IFERROR((T51*INDEX(Variables!$B$7:$D$7,IFERROR(MATCH(IF($B51="Robusta","Robusta",(IF($B51="","Arabica",$B51))&amp;" - "&amp;(IF($C51="","Commercial",$C51))),Variables!$B$1:$D$1,0),1))*IFERROR(IF(W51="","",(AVERAGE(E51:F51)-W51)-Variables!$B$14),"")/365)+(L51/16.67*INDEX(Variables!$B$8:$D$8,IFERROR(MATCH(IF($B51="Robusta","Robusta",(IF($B51="","Arabica",$B51))&amp;" - "&amp;(IF($C51="","Commercial",$C51))),Variables!$B$1:$D$1,0),1))*IFERROR(IF(W51="","",(AVERAGE(E51:F51)-W51)-Variables!$B$14),""))+(T51*INDEX(Variables!$B$9:$D$9,IFERROR(MATCH(IF($B51="Robusta","Robusta",(IF($B51="","Arabica",$B51))&amp;" - "&amp;(IF($C51="","Commercial",$C51))),Variables!$B$1:$D$1,0),1))*IFERROR(IF(W51="","",(AVERAGE(E51:F51)-W51)-Variables!$B$14),"")/365),""))</f>
        <v>-1710.9805488957154</v>
      </c>
      <c r="AT51" s="12">
        <f>IF($H51="Cancelled","",IFERROR((T51*INDEX(Variables!$B$7:$D$7,IFERROR(MATCH(IF($B51="Robusta","Robusta",(IF($B51="","Arabica",$B51))&amp;" - "&amp;(IF($C51="","Commercial",$C51))),Variables!$B$1:$D$1,0),1))*AC51/365)+(L51/16.67*INDEX(Variables!$B$8:$D$8,IFERROR(MATCH(IF($B51="Robusta","Robusta",(IF($B51="","Arabica",$B51))&amp;" - "&amp;(IF($C51="","Commercial",$C51))),Variables!$B$1:$D$1,0),1))*AC51)+(T51*INDEX(Variables!$B$9:$D$9,IFERROR(MATCH(IF($B51="Robusta","Robusta",(IF($B51="","Arabica",$B51))&amp;" - "&amp;(IF($C51="","Commercial",$C51))),Variables!$B$1:$D$1,0),1))*AC51/365),""))</f>
        <v>-15284.759570135056</v>
      </c>
      <c r="AU51" s="12">
        <f>IF($H51="Cancelled","",IFERROR((T51*INDEX(Variables!$B$7:$D$7,IFERROR(MATCH(IF($B51="Robusta","Robusta",(IF($B51="","Arabica",$B51))&amp;" - "&amp;(IF($C51="","Commercial",$C51))),Variables!$B$1:$D$1,0),1))*AP51/365)+(L51/16.67*INDEX(Variables!$B$8:$D$8,IFERROR(MATCH(IF($B51="Robusta","Robusta",(IF($B51="","Arabica",$B51))&amp;" - "&amp;(IF($C51="","Commercial",$C51))),Variables!$B$1:$D$1,0),1))*AP51)+(T51*INDEX(Variables!$B$9:$D$9,IFERROR(MATCH(IF($B51="Robusta","Robusta",(IF($B51="","Arabica",$B51))&amp;" - "&amp;(IF($C51="","Commercial",$C51))),Variables!$B$1:$D$1,0),1))*AP51/365),""))</f>
        <v>12889.386801681056</v>
      </c>
      <c r="AV51" s="11">
        <f t="shared" si="4"/>
        <v>0</v>
      </c>
      <c r="AW51" s="12">
        <f>IF($H51="Cancelled","",IFERROR(IF(AV51="","",(T51*INDEX(Variables!$B$7:$D$7,IFERROR(MATCH(IF($B51="Robusta","Robusta",(IF($B51="","Arabica",$B51))&amp;" - "&amp;(IF($C51="","Commercial",$C51))),Variables!$B$1:$D$1,0),1))*(AV51/365))+(T51*INDEX(Variables!$B$9:$D$9,IFERROR(MATCH(IF($B51="Robusta","Robusta",(IF($B51="","Arabica",$B51))&amp;" - "&amp;(IF($C51="","Commercial",$C51))),Variables!$B$1:$D$1,0),1))*(AV51/365))+(INDEX(Variables!$B$8:$D$8,IFERROR(MATCH(IF($B51="Robusta","Robusta",(IF($B51="","Arabica",$B51))&amp;" - "&amp;(IF($C51="","Commercial",$C51))),Variables!$B$1:$D$1,0),1))*L51/16.67)),""))</f>
        <v>48</v>
      </c>
      <c r="AX51" s="9"/>
      <c r="AY51" s="12"/>
      <c r="AZ51" s="10"/>
      <c r="BA51" s="9"/>
      <c r="BB51" s="10"/>
      <c r="BC51" s="9"/>
      <c r="BD51" s="9"/>
      <c r="BE51" s="9"/>
      <c r="BF51" s="9"/>
    </row>
    <row r="52" spans="1:58" x14ac:dyDescent="0.25">
      <c r="A52" s="9" t="s">
        <v>84</v>
      </c>
      <c r="B52" s="9" t="s">
        <v>85</v>
      </c>
      <c r="C52" s="9" t="s">
        <v>86</v>
      </c>
      <c r="D52" s="10">
        <v>45309</v>
      </c>
      <c r="E52" s="10">
        <v>45352</v>
      </c>
      <c r="F52" s="10">
        <v>45382</v>
      </c>
      <c r="G52" s="9">
        <v>3786091</v>
      </c>
      <c r="H52" s="9" t="str">
        <f t="shared" si="0"/>
        <v>Closed</v>
      </c>
      <c r="I52" s="9" t="str">
        <f t="shared" si="1"/>
        <v>All dates received</v>
      </c>
      <c r="J52" s="9" t="s">
        <v>193</v>
      </c>
      <c r="K52" s="9">
        <v>4716</v>
      </c>
      <c r="L52" s="11">
        <v>320</v>
      </c>
      <c r="M52" s="9" t="s">
        <v>250</v>
      </c>
      <c r="N52" s="9" t="s">
        <v>122</v>
      </c>
      <c r="O52" s="9"/>
      <c r="P52" s="9"/>
      <c r="Q52" s="11"/>
      <c r="R52" s="9" t="s">
        <v>90</v>
      </c>
      <c r="S52" s="9" t="s">
        <v>188</v>
      </c>
      <c r="T52" s="12">
        <f>IF($H52="Cancelled","",IFERROR(((Q52+INDEX(Variables!$B$6:$D$6,IFERROR(MATCH(IF($B52="Robusta","Robusta",(IF($B52="","Arabica",$B52))&amp;" - "&amp;(IF($C52="","Commercial",$C52))),Variables!$B$1:$D$1,0),1)))*22.0462)*(L52/16.67),""))</f>
        <v>123067.25778044391</v>
      </c>
      <c r="U52" s="10">
        <v>45333</v>
      </c>
      <c r="V52" s="9" t="str">
        <f t="shared" si="6"/>
        <v>Sent</v>
      </c>
      <c r="W52" s="10">
        <v>45350</v>
      </c>
      <c r="X52" s="9" t="str">
        <f t="shared" si="5"/>
        <v>Approved</v>
      </c>
      <c r="Y52" s="10"/>
      <c r="Z52" s="10">
        <f>IF($H52="Cancelled","",IFERROR(IF(F52="","",F52-Variables!$B$13),""))</f>
        <v>45367</v>
      </c>
      <c r="AA52" s="11">
        <f>IF($H52="Cancelled","",IFERROR(IF(W52="","",(AVERAGE(E52:F52)-W52)-Variables!$B$14),""))</f>
        <v>-13</v>
      </c>
      <c r="AB52" s="10">
        <v>45457</v>
      </c>
      <c r="AC52" s="11">
        <f>IF($H52="Cancelled","",IFERROR(IF(AB52="","",IF(AND(W52="",Y52=""),"",IF(Y52&gt;W52,Y52+Variables!$B$15+Variables!$B$16+Variables!$B$17-AB52,W52+Variables!$B$16+Variables!$B$17-AB52))),""))</f>
        <v>-99</v>
      </c>
      <c r="AD52" s="9" t="s">
        <v>165</v>
      </c>
      <c r="AE52" s="9" t="s">
        <v>251</v>
      </c>
      <c r="AF52" s="10"/>
      <c r="AG52" s="10"/>
      <c r="AH52" s="9"/>
      <c r="AI52" s="9" t="s">
        <v>252</v>
      </c>
      <c r="AJ52" s="9">
        <v>5980991763</v>
      </c>
      <c r="AK52" s="10">
        <v>45353</v>
      </c>
      <c r="AL52" s="10">
        <v>45356</v>
      </c>
      <c r="AM52" s="10">
        <v>45357</v>
      </c>
      <c r="AN52" s="9" t="s">
        <v>95</v>
      </c>
      <c r="AO52" s="9"/>
      <c r="AP52" s="11">
        <f>IF($H52="Cancelled","",IFERROR(IF(OR(AK52="",AB52=""),"",(AB52+Variables!$B$18-AK52)),""))</f>
        <v>111</v>
      </c>
      <c r="AQ52" s="11">
        <f>IF($H52="Cancelled","",IFERROR(IF(OR(AM52="",AK52=""),"",(AK52+Variables!$B$19)-AM52),""))</f>
        <v>1</v>
      </c>
      <c r="AR52" s="12">
        <f>IF($H52="Cancelled","",IFERROR(T52*INDEX(Variables!$B$7:$D$7,IFERROR(MATCH(IF($B52="Robusta","Robusta",(IF($B52="","Arabica",$B52))&amp;" - "&amp;(IF($C52="","Commercial",$C52))),Variables!$B$1:$D$1,0),1))*(AQ52/365),""))</f>
        <v>21.741500081233262</v>
      </c>
      <c r="AS52" s="12">
        <f>IF($H52="Cancelled","",IFERROR((T52*INDEX(Variables!$B$7:$D$7,IFERROR(MATCH(IF($B52="Robusta","Robusta",(IF($B52="","Arabica",$B52))&amp;" - "&amp;(IF($C52="","Commercial",$C52))),Variables!$B$1:$D$1,0),1))*IFERROR(IF(W52="","",(AVERAGE(E52:F52)-W52)-Variables!$B$14),"")/365)+(L52/16.67*INDEX(Variables!$B$8:$D$8,IFERROR(MATCH(IF($B52="Robusta","Robusta",(IF($B52="","Arabica",$B52))&amp;" - "&amp;(IF($C52="","Commercial",$C52))),Variables!$B$1:$D$1,0),1))*IFERROR(IF(W52="","",(AVERAGE(E52:F52)-W52)-Variables!$B$14),""))+(T52*INDEX(Variables!$B$9:$D$9,IFERROR(MATCH(IF($B52="Robusta","Robusta",(IF($B52="","Arabica",$B52))&amp;" - "&amp;(IF($C52="","Commercial",$C52))),Variables!$B$1:$D$1,0),1))*IFERROR(IF(W52="","",(AVERAGE(E52:F52)-W52)-Variables!$B$14),"")/365),""))</f>
        <v>-494.28326968098435</v>
      </c>
      <c r="AT52" s="12">
        <f>IF($H52="Cancelled","",IFERROR((T52*INDEX(Variables!$B$7:$D$7,IFERROR(MATCH(IF($B52="Robusta","Robusta",(IF($B52="","Arabica",$B52))&amp;" - "&amp;(IF($C52="","Commercial",$C52))),Variables!$B$1:$D$1,0),1))*AC52/365)+(L52/16.67*INDEX(Variables!$B$8:$D$8,IFERROR(MATCH(IF($B52="Robusta","Robusta",(IF($B52="","Arabica",$B52))&amp;" - "&amp;(IF($C52="","Commercial",$C52))),Variables!$B$1:$D$1,0),1))*AC52)+(T52*INDEX(Variables!$B$9:$D$9,IFERROR(MATCH(IF($B52="Robusta","Robusta",(IF($B52="","Arabica",$B52))&amp;" - "&amp;(IF($C52="","Commercial",$C52))),Variables!$B$1:$D$1,0),1))*AC52/365),""))</f>
        <v>-3764.157207570574</v>
      </c>
      <c r="AU52" s="12">
        <f>IF($H52="Cancelled","",IFERROR((T52*INDEX(Variables!$B$7:$D$7,IFERROR(MATCH(IF($B52="Robusta","Robusta",(IF($B52="","Arabica",$B52))&amp;" - "&amp;(IF($C52="","Commercial",$C52))),Variables!$B$1:$D$1,0),1))*AP52/365)+(L52/16.67*INDEX(Variables!$B$8:$D$8,IFERROR(MATCH(IF($B52="Robusta","Robusta",(IF($B52="","Arabica",$B52))&amp;" - "&amp;(IF($C52="","Commercial",$C52))),Variables!$B$1:$D$1,0),1))*AP52)+(T52*INDEX(Variables!$B$9:$D$9,IFERROR(MATCH(IF($B52="Robusta","Robusta",(IF($B52="","Arabica",$B52))&amp;" - "&amp;(IF($C52="","Commercial",$C52))),Variables!$B$1:$D$1,0),1))*AP52/365),""))</f>
        <v>4220.4186872760974</v>
      </c>
      <c r="AV52" s="11">
        <f t="shared" si="4"/>
        <v>29</v>
      </c>
      <c r="AW52" s="12">
        <f>IF($H52="Cancelled","",IFERROR(IF(AV52="","",(T52*INDEX(Variables!$B$7:$D$7,IFERROR(MATCH(IF($B52="Robusta","Robusta",(IF($B52="","Arabica",$B52))&amp;" - "&amp;(IF($C52="","Commercial",$C52))),Variables!$B$1:$D$1,0),1))*(AV52/365))+(T52*INDEX(Variables!$B$9:$D$9,IFERROR(MATCH(IF($B52="Robusta","Robusta",(IF($B52="","Arabica",$B52))&amp;" - "&amp;(IF($C52="","Commercial",$C52))),Variables!$B$1:$D$1,0),1))*(AV52/365))+(INDEX(Variables!$B$8:$D$8,IFERROR(MATCH(IF($B52="Robusta","Robusta",(IF($B52="","Arabica",$B52))&amp;" - "&amp;(IF($C52="","Commercial",$C52))),Variables!$B$1:$D$1,0),1))*L52/16.67)),""))</f>
        <v>654.6319092883499</v>
      </c>
      <c r="AX52" s="9"/>
      <c r="AY52" s="12"/>
      <c r="AZ52" s="10"/>
      <c r="BA52" s="9"/>
      <c r="BB52" s="10"/>
      <c r="BC52" s="9"/>
      <c r="BD52" s="9"/>
      <c r="BE52" s="9"/>
      <c r="BF52" s="9"/>
    </row>
    <row r="53" spans="1:58" x14ac:dyDescent="0.25">
      <c r="A53" s="9" t="s">
        <v>84</v>
      </c>
      <c r="B53" s="9" t="s">
        <v>85</v>
      </c>
      <c r="C53" s="9" t="s">
        <v>86</v>
      </c>
      <c r="D53" s="10">
        <v>45310</v>
      </c>
      <c r="E53" s="10">
        <v>45413</v>
      </c>
      <c r="F53" s="10">
        <v>45443</v>
      </c>
      <c r="G53" s="9">
        <v>3786092</v>
      </c>
      <c r="H53" s="9" t="str">
        <f t="shared" si="0"/>
        <v>Closed</v>
      </c>
      <c r="I53" s="9" t="str">
        <f t="shared" si="1"/>
        <v>All dates received</v>
      </c>
      <c r="J53" s="9" t="s">
        <v>210</v>
      </c>
      <c r="K53" s="9">
        <v>4864</v>
      </c>
      <c r="L53" s="11">
        <v>960</v>
      </c>
      <c r="M53" s="9" t="s">
        <v>253</v>
      </c>
      <c r="N53" s="9" t="s">
        <v>122</v>
      </c>
      <c r="O53" s="9"/>
      <c r="P53" s="9"/>
      <c r="Q53" s="11"/>
      <c r="R53" s="9" t="s">
        <v>90</v>
      </c>
      <c r="S53" s="9" t="s">
        <v>150</v>
      </c>
      <c r="T53" s="12">
        <f>IF($H53="Cancelled","",IFERROR(((Q53+INDEX(Variables!$B$6:$D$6,IFERROR(MATCH(IF($B53="Robusta","Robusta",(IF($B53="","Arabica",$B53))&amp;" - "&amp;(IF($C53="","Commercial",$C53))),Variables!$B$1:$D$1,0),1)))*22.0462)*(L53/16.67),""))</f>
        <v>369201.77334133169</v>
      </c>
      <c r="U53" s="10">
        <v>45390</v>
      </c>
      <c r="V53" s="9" t="str">
        <f t="shared" si="6"/>
        <v>Sent</v>
      </c>
      <c r="W53" s="10">
        <v>45392</v>
      </c>
      <c r="X53" s="9" t="str">
        <f t="shared" si="5"/>
        <v>Approved</v>
      </c>
      <c r="Y53" s="10"/>
      <c r="Z53" s="10">
        <f>IF($H53="Cancelled","",IFERROR(IF(F53="","",F53-Variables!$B$13),""))</f>
        <v>45428</v>
      </c>
      <c r="AA53" s="11">
        <f>IF($H53="Cancelled","",IFERROR(IF(W53="","",(AVERAGE(E53:F53)-W53)-Variables!$B$14),""))</f>
        <v>6</v>
      </c>
      <c r="AB53" s="10">
        <v>45457</v>
      </c>
      <c r="AC53" s="11">
        <f>IF($H53="Cancelled","",IFERROR(IF(AB53="","",IF(AND(W53="",Y53=""),"",IF(Y53&gt;W53,Y53+Variables!$B$15+Variables!$B$16+Variables!$B$17-AB53,W53+Variables!$B$16+Variables!$B$17-AB53))),""))</f>
        <v>-57</v>
      </c>
      <c r="AD53" s="9" t="s">
        <v>180</v>
      </c>
      <c r="AE53" s="9" t="s">
        <v>254</v>
      </c>
      <c r="AF53" s="10"/>
      <c r="AG53" s="10"/>
      <c r="AH53" s="9"/>
      <c r="AI53" s="9" t="s">
        <v>255</v>
      </c>
      <c r="AJ53" s="9" t="s">
        <v>256</v>
      </c>
      <c r="AK53" s="10">
        <v>45429</v>
      </c>
      <c r="AL53" s="10">
        <v>45433</v>
      </c>
      <c r="AM53" s="10">
        <v>45440</v>
      </c>
      <c r="AN53" s="9" t="s">
        <v>95</v>
      </c>
      <c r="AO53" s="9"/>
      <c r="AP53" s="11">
        <f>IF($H53="Cancelled","",IFERROR(IF(OR(AK53="",AB53=""),"",(AB53+Variables!$B$18-AK53)),""))</f>
        <v>35</v>
      </c>
      <c r="AQ53" s="11">
        <f>IF($H53="Cancelled","",IFERROR(IF(OR(AM53="",AK53=""),"",(AK53+Variables!$B$19)-AM53),""))</f>
        <v>-6</v>
      </c>
      <c r="AR53" s="12">
        <f>IF($H53="Cancelled","",IFERROR(T53*INDEX(Variables!$B$7:$D$7,IFERROR(MATCH(IF($B53="Robusta","Robusta",(IF($B53="","Arabica",$B53))&amp;" - "&amp;(IF($C53="","Commercial",$C53))),Variables!$B$1:$D$1,0),1))*(AQ53/365),""))</f>
        <v>-391.34700146219865</v>
      </c>
      <c r="AS53" s="12">
        <f>IF($H53="Cancelled","",IFERROR((T53*INDEX(Variables!$B$7:$D$7,IFERROR(MATCH(IF($B53="Robusta","Robusta",(IF($B53="","Arabica",$B53))&amp;" - "&amp;(IF($C53="","Commercial",$C53))),Variables!$B$1:$D$1,0),1))*IFERROR(IF(W53="","",(AVERAGE(E53:F53)-W53)-Variables!$B$14),"")/365)+(L53/16.67*INDEX(Variables!$B$8:$D$8,IFERROR(MATCH(IF($B53="Robusta","Robusta",(IF($B53="","Arabica",$B53))&amp;" - "&amp;(IF($C53="","Commercial",$C53))),Variables!$B$1:$D$1,0),1))*IFERROR(IF(W53="","",(AVERAGE(E53:F53)-W53)-Variables!$B$14),""))+(T53*INDEX(Variables!$B$9:$D$9,IFERROR(MATCH(IF($B53="Robusta","Robusta",(IF($B53="","Arabica",$B53))&amp;" - "&amp;(IF($C53="","Commercial",$C53))),Variables!$B$1:$D$1,0),1))*IFERROR(IF(W53="","",(AVERAGE(E53:F53)-W53)-Variables!$B$14),"")/365),""))</f>
        <v>684.39221955828611</v>
      </c>
      <c r="AT53" s="12">
        <f>IF($H53="Cancelled","",IFERROR((T53*INDEX(Variables!$B$7:$D$7,IFERROR(MATCH(IF($B53="Robusta","Robusta",(IF($B53="","Arabica",$B53))&amp;" - "&amp;(IF($C53="","Commercial",$C53))),Variables!$B$1:$D$1,0),1))*AC53/365)+(L53/16.67*INDEX(Variables!$B$8:$D$8,IFERROR(MATCH(IF($B53="Robusta","Robusta",(IF($B53="","Arabica",$B53))&amp;" - "&amp;(IF($C53="","Commercial",$C53))),Variables!$B$1:$D$1,0),1))*AC53)+(T53*INDEX(Variables!$B$9:$D$9,IFERROR(MATCH(IF($B53="Robusta","Robusta",(IF($B53="","Arabica",$B53))&amp;" - "&amp;(IF($C53="","Commercial",$C53))),Variables!$B$1:$D$1,0),1))*AC53/365),""))</f>
        <v>-6501.726085803718</v>
      </c>
      <c r="AU53" s="12">
        <f>IF($H53="Cancelled","",IFERROR((T53*INDEX(Variables!$B$7:$D$7,IFERROR(MATCH(IF($B53="Robusta","Robusta",(IF($B53="","Arabica",$B53))&amp;" - "&amp;(IF($C53="","Commercial",$C53))),Variables!$B$1:$D$1,0),1))*AP53/365)+(L53/16.67*INDEX(Variables!$B$8:$D$8,IFERROR(MATCH(IF($B53="Robusta","Robusta",(IF($B53="","Arabica",$B53))&amp;" - "&amp;(IF($C53="","Commercial",$C53))),Variables!$B$1:$D$1,0),1))*AP53)+(T53*INDEX(Variables!$B$9:$D$9,IFERROR(MATCH(IF($B53="Robusta","Robusta",(IF($B53="","Arabica",$B53))&amp;" - "&amp;(IF($C53="","Commercial",$C53))),Variables!$B$1:$D$1,0),1))*AP53/365),""))</f>
        <v>3992.2879474233355</v>
      </c>
      <c r="AV53" s="11">
        <f t="shared" si="4"/>
        <v>14</v>
      </c>
      <c r="AW53" s="12">
        <f>IF($H53="Cancelled","",IFERROR(IF(AV53="","",(T53*INDEX(Variables!$B$7:$D$7,IFERROR(MATCH(IF($B53="Robusta","Robusta",(IF($B53="","Arabica",$B53))&amp;" - "&amp;(IF($C53="","Commercial",$C53))),Variables!$B$1:$D$1,0),1))*(AV53/365))+(T53*INDEX(Variables!$B$9:$D$9,IFERROR(MATCH(IF($B53="Robusta","Robusta",(IF($B53="","Arabica",$B53))&amp;" - "&amp;(IF($C53="","Commercial",$C53))),Variables!$B$1:$D$1,0),1))*(AV53/365))+(INDEX(Variables!$B$8:$D$8,IFERROR(MATCH(IF($B53="Robusta","Robusta",(IF($B53="","Arabica",$B53))&amp;" - "&amp;(IF($C53="","Commercial",$C53))),Variables!$B$1:$D$1,0),1))*L53/16.67)),""))</f>
        <v>972.91517896933419</v>
      </c>
      <c r="AX53" s="9"/>
      <c r="AY53" s="12"/>
      <c r="AZ53" s="10"/>
      <c r="BA53" s="9"/>
      <c r="BB53" s="10"/>
      <c r="BC53" s="9"/>
      <c r="BD53" s="9"/>
      <c r="BE53" s="9"/>
      <c r="BF53" s="9"/>
    </row>
    <row r="54" spans="1:58" x14ac:dyDescent="0.25">
      <c r="A54" s="9" t="s">
        <v>84</v>
      </c>
      <c r="B54" s="9" t="s">
        <v>85</v>
      </c>
      <c r="C54" s="9" t="s">
        <v>86</v>
      </c>
      <c r="D54" s="10">
        <v>45315</v>
      </c>
      <c r="E54" s="10">
        <v>45323</v>
      </c>
      <c r="F54" s="10">
        <v>45351</v>
      </c>
      <c r="G54" s="9">
        <v>3786093</v>
      </c>
      <c r="H54" s="9" t="str">
        <f t="shared" si="0"/>
        <v>Closed</v>
      </c>
      <c r="I54" s="9" t="str">
        <f t="shared" si="1"/>
        <v>All dates received</v>
      </c>
      <c r="J54" s="9" t="s">
        <v>257</v>
      </c>
      <c r="K54" s="9">
        <v>4715</v>
      </c>
      <c r="L54" s="11">
        <v>320</v>
      </c>
      <c r="M54" s="9" t="s">
        <v>114</v>
      </c>
      <c r="N54" s="9" t="s">
        <v>227</v>
      </c>
      <c r="O54" s="9"/>
      <c r="P54" s="9"/>
      <c r="Q54" s="11"/>
      <c r="R54" s="9" t="s">
        <v>90</v>
      </c>
      <c r="S54" s="9" t="s">
        <v>258</v>
      </c>
      <c r="T54" s="12">
        <f>IF($H54="Cancelled","",IFERROR(((Q54+INDEX(Variables!$B$6:$D$6,IFERROR(MATCH(IF($B54="Robusta","Robusta",(IF($B54="","Arabica",$B54))&amp;" - "&amp;(IF($C54="","Commercial",$C54))),Variables!$B$1:$D$1,0),1)))*22.0462)*(L54/16.67),""))</f>
        <v>123067.25778044391</v>
      </c>
      <c r="U54" s="10">
        <v>45316</v>
      </c>
      <c r="V54" s="9" t="str">
        <f t="shared" si="6"/>
        <v>Sent</v>
      </c>
      <c r="W54" s="10">
        <v>45324</v>
      </c>
      <c r="X54" s="9" t="str">
        <f t="shared" si="5"/>
        <v>Approved</v>
      </c>
      <c r="Y54" s="10"/>
      <c r="Z54" s="10">
        <f>IF($H54="Cancelled","",IFERROR(IF(F54="","",F54-Variables!$B$13),""))</f>
        <v>45336</v>
      </c>
      <c r="AA54" s="11">
        <f>IF($H54="Cancelled","",IFERROR(IF(W54="","",(AVERAGE(E54:F54)-W54)-Variables!$B$14),""))</f>
        <v>-17</v>
      </c>
      <c r="AB54" s="10">
        <v>45457</v>
      </c>
      <c r="AC54" s="11">
        <f>IF($H54="Cancelled","",IFERROR(IF(AB54="","",IF(AND(W54="",Y54=""),"",IF(Y54&gt;W54,Y54+Variables!$B$15+Variables!$B$16+Variables!$B$17-AB54,W54+Variables!$B$16+Variables!$B$17-AB54))),""))</f>
        <v>-125</v>
      </c>
      <c r="AD54" s="9" t="s">
        <v>180</v>
      </c>
      <c r="AE54" s="9" t="s">
        <v>259</v>
      </c>
      <c r="AF54" s="10"/>
      <c r="AG54" s="10"/>
      <c r="AH54" s="9"/>
      <c r="AI54" s="9" t="s">
        <v>260</v>
      </c>
      <c r="AJ54" s="9">
        <v>9665693995</v>
      </c>
      <c r="AK54" s="10">
        <v>45366</v>
      </c>
      <c r="AL54" s="10">
        <v>45369</v>
      </c>
      <c r="AM54" s="10">
        <v>45378</v>
      </c>
      <c r="AN54" s="9" t="s">
        <v>95</v>
      </c>
      <c r="AO54" s="9"/>
      <c r="AP54" s="11">
        <f>IF($H54="Cancelled","",IFERROR(IF(OR(AK54="",AB54=""),"",(AB54+Variables!$B$18-AK54)),""))</f>
        <v>98</v>
      </c>
      <c r="AQ54" s="11">
        <f>IF($H54="Cancelled","",IFERROR(IF(OR(AM54="",AK54=""),"",(AK54+Variables!$B$19)-AM54),""))</f>
        <v>-7</v>
      </c>
      <c r="AR54" s="12">
        <f>IF($H54="Cancelled","",IFERROR(T54*INDEX(Variables!$B$7:$D$7,IFERROR(MATCH(IF($B54="Robusta","Robusta",(IF($B54="","Arabica",$B54))&amp;" - "&amp;(IF($C54="","Commercial",$C54))),Variables!$B$1:$D$1,0),1))*(AQ54/365),""))</f>
        <v>-152.19050056863284</v>
      </c>
      <c r="AS54" s="12">
        <f>IF($H54="Cancelled","",IFERROR((T54*INDEX(Variables!$B$7:$D$7,IFERROR(MATCH(IF($B54="Robusta","Robusta",(IF($B54="","Arabica",$B54))&amp;" - "&amp;(IF($C54="","Commercial",$C54))),Variables!$B$1:$D$1,0),1))*IFERROR(IF(W54="","",(AVERAGE(E54:F54)-W54)-Variables!$B$14),"")/365)+(L54/16.67*INDEX(Variables!$B$8:$D$8,IFERROR(MATCH(IF($B54="Robusta","Robusta",(IF($B54="","Arabica",$B54))&amp;" - "&amp;(IF($C54="","Commercial",$C54))),Variables!$B$1:$D$1,0),1))*IFERROR(IF(W54="","",(AVERAGE(E54:F54)-W54)-Variables!$B$14),""))+(T54*INDEX(Variables!$B$9:$D$9,IFERROR(MATCH(IF($B54="Robusta","Robusta",(IF($B54="","Arabica",$B54))&amp;" - "&amp;(IF($C54="","Commercial",$C54))),Variables!$B$1:$D$1,0),1))*IFERROR(IF(W54="","",(AVERAGE(E54:F54)-W54)-Variables!$B$14),"")/365),""))</f>
        <v>-646.37042958282586</v>
      </c>
      <c r="AT54" s="12">
        <f>IF($H54="Cancelled","",IFERROR((T54*INDEX(Variables!$B$7:$D$7,IFERROR(MATCH(IF($B54="Robusta","Robusta",(IF($B54="","Arabica",$B54))&amp;" - "&amp;(IF($C54="","Commercial",$C54))),Variables!$B$1:$D$1,0),1))*AC54/365)+(L54/16.67*INDEX(Variables!$B$8:$D$8,IFERROR(MATCH(IF($B54="Robusta","Robusta",(IF($B54="","Arabica",$B54))&amp;" - "&amp;(IF($C54="","Commercial",$C54))),Variables!$B$1:$D$1,0),1))*AC54)+(T54*INDEX(Variables!$B$9:$D$9,IFERROR(MATCH(IF($B54="Robusta","Robusta",(IF($B54="","Arabica",$B54))&amp;" - "&amp;(IF($C54="","Commercial",$C54))),Variables!$B$1:$D$1,0),1))*AC54/365),""))</f>
        <v>-4752.7237469325419</v>
      </c>
      <c r="AU54" s="12">
        <f>IF($H54="Cancelled","",IFERROR((T54*INDEX(Variables!$B$7:$D$7,IFERROR(MATCH(IF($B54="Robusta","Robusta",(IF($B54="","Arabica",$B54))&amp;" - "&amp;(IF($C54="","Commercial",$C54))),Variables!$B$1:$D$1,0),1))*AP54/365)+(L54/16.67*INDEX(Variables!$B$8:$D$8,IFERROR(MATCH(IF($B54="Robusta","Robusta",(IF($B54="","Arabica",$B54))&amp;" - "&amp;(IF($C54="","Commercial",$C54))),Variables!$B$1:$D$1,0),1))*AP54)+(T54*INDEX(Variables!$B$9:$D$9,IFERROR(MATCH(IF($B54="Robusta","Robusta",(IF($B54="","Arabica",$B54))&amp;" - "&amp;(IF($C54="","Commercial",$C54))),Variables!$B$1:$D$1,0),1))*AP54/365),""))</f>
        <v>3726.1354175951128</v>
      </c>
      <c r="AV54" s="11">
        <f t="shared" si="4"/>
        <v>-15</v>
      </c>
      <c r="AW54" s="12">
        <f>IF($H54="Cancelled","",IFERROR(IF(AV54="","",(T54*INDEX(Variables!$B$7:$D$7,IFERROR(MATCH(IF($B54="Robusta","Robusta",(IF($B54="","Arabica",$B54))&amp;" - "&amp;(IF($C54="","Commercial",$C54))),Variables!$B$1:$D$1,0),1))*(AV54/365))+(T54*INDEX(Variables!$B$9:$D$9,IFERROR(MATCH(IF($B54="Robusta","Robusta",(IF($B54="","Arabica",$B54))&amp;" - "&amp;(IF($C54="","Commercial",$C54))),Variables!$B$1:$D$1,0),1))*(AV54/365))+(INDEX(Variables!$B$8:$D$8,IFERROR(MATCH(IF($B54="Robusta","Robusta",(IF($B54="","Arabica",$B54))&amp;" - "&amp;(IF($C54="","Commercial",$C54))),Variables!$B$1:$D$1,0),1))*L54/16.67)),""))</f>
        <v>-314.32684963190502</v>
      </c>
      <c r="AX54" s="9"/>
      <c r="AY54" s="12"/>
      <c r="AZ54" s="10"/>
      <c r="BA54" s="9"/>
      <c r="BB54" s="10"/>
      <c r="BC54" s="9"/>
      <c r="BD54" s="9"/>
      <c r="BE54" s="9"/>
      <c r="BF54" s="9"/>
    </row>
    <row r="55" spans="1:58" x14ac:dyDescent="0.25">
      <c r="A55" s="9" t="s">
        <v>84</v>
      </c>
      <c r="B55" s="9" t="s">
        <v>85</v>
      </c>
      <c r="C55" s="9" t="s">
        <v>86</v>
      </c>
      <c r="D55" s="10">
        <v>45315</v>
      </c>
      <c r="E55" s="10">
        <v>45352</v>
      </c>
      <c r="F55" s="10">
        <v>45382</v>
      </c>
      <c r="G55" s="9">
        <v>3786095</v>
      </c>
      <c r="H55" s="9" t="str">
        <f t="shared" si="0"/>
        <v>Closed</v>
      </c>
      <c r="I55" s="9" t="str">
        <f t="shared" si="1"/>
        <v>All dates received</v>
      </c>
      <c r="J55" s="9" t="s">
        <v>193</v>
      </c>
      <c r="K55" s="9">
        <v>4717</v>
      </c>
      <c r="L55" s="11">
        <v>640</v>
      </c>
      <c r="M55" s="9" t="s">
        <v>261</v>
      </c>
      <c r="N55" s="9" t="s">
        <v>122</v>
      </c>
      <c r="O55" s="9"/>
      <c r="P55" s="9"/>
      <c r="Q55" s="11"/>
      <c r="R55" s="9" t="s">
        <v>90</v>
      </c>
      <c r="S55" s="9" t="s">
        <v>183</v>
      </c>
      <c r="T55" s="12">
        <f>IF($H55="Cancelled","",IFERROR(((Q55+INDEX(Variables!$B$6:$D$6,IFERROR(MATCH(IF($B55="Robusta","Robusta",(IF($B55="","Arabica",$B55))&amp;" - "&amp;(IF($C55="","Commercial",$C55))),Variables!$B$1:$D$1,0),1)))*22.0462)*(L55/16.67),""))</f>
        <v>246134.51556088781</v>
      </c>
      <c r="U55" s="10">
        <v>45333</v>
      </c>
      <c r="V55" s="9" t="str">
        <f t="shared" si="6"/>
        <v>Sent</v>
      </c>
      <c r="W55" s="10">
        <v>45350</v>
      </c>
      <c r="X55" s="9" t="str">
        <f t="shared" si="5"/>
        <v>Approved</v>
      </c>
      <c r="Y55" s="10"/>
      <c r="Z55" s="10">
        <f>IF($H55="Cancelled","",IFERROR(IF(F55="","",F55-Variables!$B$13),""))</f>
        <v>45367</v>
      </c>
      <c r="AA55" s="11">
        <f>IF($H55="Cancelled","",IFERROR(IF(W55="","",(AVERAGE(E55:F55)-W55)-Variables!$B$14),""))</f>
        <v>-13</v>
      </c>
      <c r="AB55" s="10">
        <v>45463</v>
      </c>
      <c r="AC55" s="11">
        <f>IF($H55="Cancelled","",IFERROR(IF(AB55="","",IF(AND(W55="",Y55=""),"",IF(Y55&gt;W55,Y55+Variables!$B$15+Variables!$B$16+Variables!$B$17-AB55,W55+Variables!$B$16+Variables!$B$17-AB55))),""))</f>
        <v>-105</v>
      </c>
      <c r="AD55" s="9" t="s">
        <v>165</v>
      </c>
      <c r="AE55" s="9" t="s">
        <v>229</v>
      </c>
      <c r="AF55" s="10"/>
      <c r="AG55" s="10"/>
      <c r="AH55" s="9"/>
      <c r="AI55" s="9" t="s">
        <v>262</v>
      </c>
      <c r="AJ55" s="9">
        <v>8602242412</v>
      </c>
      <c r="AK55" s="10">
        <v>45355</v>
      </c>
      <c r="AL55" s="10">
        <v>45356</v>
      </c>
      <c r="AM55" s="10">
        <v>45359</v>
      </c>
      <c r="AN55" s="9" t="s">
        <v>95</v>
      </c>
      <c r="AO55" s="9"/>
      <c r="AP55" s="11">
        <f>IF($H55="Cancelled","",IFERROR(IF(OR(AK55="",AB55=""),"",(AB55+Variables!$B$18-AK55)),""))</f>
        <v>115</v>
      </c>
      <c r="AQ55" s="11">
        <f>IF($H55="Cancelled","",IFERROR(IF(OR(AM55="",AK55=""),"",(AK55+Variables!$B$19)-AM55),""))</f>
        <v>1</v>
      </c>
      <c r="AR55" s="12">
        <f>IF($H55="Cancelled","",IFERROR(T55*INDEX(Variables!$B$7:$D$7,IFERROR(MATCH(IF($B55="Robusta","Robusta",(IF($B55="","Arabica",$B55))&amp;" - "&amp;(IF($C55="","Commercial",$C55))),Variables!$B$1:$D$1,0),1))*(AQ55/365),""))</f>
        <v>43.483000162466524</v>
      </c>
      <c r="AS55" s="12">
        <f>IF($H55="Cancelled","",IFERROR((T55*INDEX(Variables!$B$7:$D$7,IFERROR(MATCH(IF($B55="Robusta","Robusta",(IF($B55="","Arabica",$B55))&amp;" - "&amp;(IF($C55="","Commercial",$C55))),Variables!$B$1:$D$1,0),1))*IFERROR(IF(W55="","",(AVERAGE(E55:F55)-W55)-Variables!$B$14),"")/365)+(L55/16.67*INDEX(Variables!$B$8:$D$8,IFERROR(MATCH(IF($B55="Robusta","Robusta",(IF($B55="","Arabica",$B55))&amp;" - "&amp;(IF($C55="","Commercial",$C55))),Variables!$B$1:$D$1,0),1))*IFERROR(IF(W55="","",(AVERAGE(E55:F55)-W55)-Variables!$B$14),""))+(T55*INDEX(Variables!$B$9:$D$9,IFERROR(MATCH(IF($B55="Robusta","Robusta",(IF($B55="","Arabica",$B55))&amp;" - "&amp;(IF($C55="","Commercial",$C55))),Variables!$B$1:$D$1,0),1))*IFERROR(IF(W55="","",(AVERAGE(E55:F55)-W55)-Variables!$B$14),"")/365),""))</f>
        <v>-988.56653936196869</v>
      </c>
      <c r="AT55" s="12">
        <f>IF($H55="Cancelled","",IFERROR((T55*INDEX(Variables!$B$7:$D$7,IFERROR(MATCH(IF($B55="Robusta","Robusta",(IF($B55="","Arabica",$B55))&amp;" - "&amp;(IF($C55="","Commercial",$C55))),Variables!$B$1:$D$1,0),1))*AC55/365)+(L55/16.67*INDEX(Variables!$B$8:$D$8,IFERROR(MATCH(IF($B55="Robusta","Robusta",(IF($B55="","Arabica",$B55))&amp;" - "&amp;(IF($C55="","Commercial",$C55))),Variables!$B$1:$D$1,0),1))*AC55)+(T55*INDEX(Variables!$B$9:$D$9,IFERROR(MATCH(IF($B55="Robusta","Robusta",(IF($B55="","Arabica",$B55))&amp;" - "&amp;(IF($C55="","Commercial",$C55))),Variables!$B$1:$D$1,0),1))*AC55/365),""))</f>
        <v>-7984.575894846671</v>
      </c>
      <c r="AU55" s="12">
        <f>IF($H55="Cancelled","",IFERROR((T55*INDEX(Variables!$B$7:$D$7,IFERROR(MATCH(IF($B55="Robusta","Robusta",(IF($B55="","Arabica",$B55))&amp;" - "&amp;(IF($C55="","Commercial",$C55))),Variables!$B$1:$D$1,0),1))*AP55/365)+(L55/16.67*INDEX(Variables!$B$8:$D$8,IFERROR(MATCH(IF($B55="Robusta","Robusta",(IF($B55="","Arabica",$B55))&amp;" - "&amp;(IF($C55="","Commercial",$C55))),Variables!$B$1:$D$1,0),1))*AP55)+(T55*INDEX(Variables!$B$9:$D$9,IFERROR(MATCH(IF($B55="Robusta","Robusta",(IF($B55="","Arabica",$B55))&amp;" - "&amp;(IF($C55="","Commercial",$C55))),Variables!$B$1:$D$1,0),1))*AP55/365),""))</f>
        <v>8745.0116943558769</v>
      </c>
      <c r="AV55" s="11">
        <f t="shared" si="4"/>
        <v>27</v>
      </c>
      <c r="AW55" s="12">
        <f>IF($H55="Cancelled","",IFERROR(IF(AV55="","",(T55*INDEX(Variables!$B$7:$D$7,IFERROR(MATCH(IF($B55="Robusta","Robusta",(IF($B55="","Arabica",$B55))&amp;" - "&amp;(IF($C55="","Commercial",$C55))),Variables!$B$1:$D$1,0),1))*(AV55/365))+(T55*INDEX(Variables!$B$9:$D$9,IFERROR(MATCH(IF($B55="Robusta","Robusta",(IF($B55="","Arabica",$B55))&amp;" - "&amp;(IF($C55="","Commercial",$C55))),Variables!$B$1:$D$1,0),1))*(AV55/365))+(INDEX(Variables!$B$8:$D$8,IFERROR(MATCH(IF($B55="Robusta","Robusta",(IF($B55="","Arabica",$B55))&amp;" - "&amp;(IF($C55="","Commercial",$C55))),Variables!$B$1:$D$1,0),1))*L55/16.67)),""))</f>
        <v>1221.1766586748583</v>
      </c>
      <c r="AX55" s="9"/>
      <c r="AY55" s="12"/>
      <c r="AZ55" s="10"/>
      <c r="BA55" s="9"/>
      <c r="BB55" s="10"/>
      <c r="BC55" s="9"/>
      <c r="BD55" s="9"/>
      <c r="BE55" s="9"/>
      <c r="BF55" s="9"/>
    </row>
    <row r="56" spans="1:58" x14ac:dyDescent="0.25">
      <c r="A56" s="9" t="s">
        <v>84</v>
      </c>
      <c r="B56" s="9" t="s">
        <v>85</v>
      </c>
      <c r="C56" s="9" t="s">
        <v>86</v>
      </c>
      <c r="D56" s="10">
        <v>45315</v>
      </c>
      <c r="E56" s="10">
        <v>45383</v>
      </c>
      <c r="F56" s="10">
        <v>45412</v>
      </c>
      <c r="G56" s="9">
        <v>3786094</v>
      </c>
      <c r="H56" s="9" t="str">
        <f t="shared" si="0"/>
        <v>Closed</v>
      </c>
      <c r="I56" s="9" t="str">
        <f t="shared" si="1"/>
        <v>All dates received</v>
      </c>
      <c r="J56" s="9" t="s">
        <v>257</v>
      </c>
      <c r="K56" s="9">
        <v>4760</v>
      </c>
      <c r="L56" s="11">
        <v>320</v>
      </c>
      <c r="M56" s="9" t="s">
        <v>114</v>
      </c>
      <c r="N56" s="9" t="s">
        <v>227</v>
      </c>
      <c r="O56" s="9"/>
      <c r="P56" s="9"/>
      <c r="Q56" s="11"/>
      <c r="R56" s="9" t="s">
        <v>90</v>
      </c>
      <c r="S56" s="9" t="s">
        <v>258</v>
      </c>
      <c r="T56" s="12">
        <f>IF($H56="Cancelled","",IFERROR(((Q56+INDEX(Variables!$B$6:$D$6,IFERROR(MATCH(IF($B56="Robusta","Robusta",(IF($B56="","Arabica",$B56))&amp;" - "&amp;(IF($C56="","Commercial",$C56))),Variables!$B$1:$D$1,0),1)))*22.0462)*(L56/16.67),""))</f>
        <v>123067.25778044391</v>
      </c>
      <c r="U56" s="10">
        <v>45316</v>
      </c>
      <c r="V56" s="9" t="str">
        <f t="shared" si="6"/>
        <v>Sent</v>
      </c>
      <c r="W56" s="10">
        <v>45324</v>
      </c>
      <c r="X56" s="9" t="str">
        <f t="shared" si="5"/>
        <v>Approved</v>
      </c>
      <c r="Y56" s="10"/>
      <c r="Z56" s="10">
        <f>IF($H56="Cancelled","",IFERROR(IF(F56="","",F56-Variables!$B$13),""))</f>
        <v>45397</v>
      </c>
      <c r="AA56" s="11">
        <f>IF($H56="Cancelled","",IFERROR(IF(W56="","",(AVERAGE(E56:F56)-W56)-Variables!$B$14),""))</f>
        <v>43.5</v>
      </c>
      <c r="AB56" s="10">
        <v>45464</v>
      </c>
      <c r="AC56" s="11">
        <f>IF($H56="Cancelled","",IFERROR(IF(AB56="","",IF(AND(W56="",Y56=""),"",IF(Y56&gt;W56,Y56+Variables!$B$15+Variables!$B$16+Variables!$B$17-AB56,W56+Variables!$B$16+Variables!$B$17-AB56))),""))</f>
        <v>-132</v>
      </c>
      <c r="AD56" s="9" t="s">
        <v>180</v>
      </c>
      <c r="AE56" s="9" t="s">
        <v>152</v>
      </c>
      <c r="AF56" s="10"/>
      <c r="AG56" s="10"/>
      <c r="AH56" s="9"/>
      <c r="AI56" s="9" t="s">
        <v>263</v>
      </c>
      <c r="AJ56" s="9">
        <v>1376464670</v>
      </c>
      <c r="AK56" s="10">
        <v>45406</v>
      </c>
      <c r="AL56" s="10">
        <v>45407</v>
      </c>
      <c r="AM56" s="10">
        <v>45415</v>
      </c>
      <c r="AN56" s="9" t="s">
        <v>95</v>
      </c>
      <c r="AO56" s="9"/>
      <c r="AP56" s="11">
        <f>IF($H56="Cancelled","",IFERROR(IF(OR(AK56="",AB56=""),"",(AB56+Variables!$B$18-AK56)),""))</f>
        <v>65</v>
      </c>
      <c r="AQ56" s="11">
        <f>IF($H56="Cancelled","",IFERROR(IF(OR(AM56="",AK56=""),"",(AK56+Variables!$B$19)-AM56),""))</f>
        <v>-4</v>
      </c>
      <c r="AR56" s="12">
        <f>IF($H56="Cancelled","",IFERROR(T56*INDEX(Variables!$B$7:$D$7,IFERROR(MATCH(IF($B56="Robusta","Robusta",(IF($B56="","Arabica",$B56))&amp;" - "&amp;(IF($C56="","Commercial",$C56))),Variables!$B$1:$D$1,0),1))*(AQ56/365),""))</f>
        <v>-86.966000324933049</v>
      </c>
      <c r="AS56" s="12">
        <f>IF($H56="Cancelled","",IFERROR((T56*INDEX(Variables!$B$7:$D$7,IFERROR(MATCH(IF($B56="Robusta","Robusta",(IF($B56="","Arabica",$B56))&amp;" - "&amp;(IF($C56="","Commercial",$C56))),Variables!$B$1:$D$1,0),1))*IFERROR(IF(W56="","",(AVERAGE(E56:F56)-W56)-Variables!$B$14),"")/365)+(L56/16.67*INDEX(Variables!$B$8:$D$8,IFERROR(MATCH(IF($B56="Robusta","Robusta",(IF($B56="","Arabica",$B56))&amp;" - "&amp;(IF($C56="","Commercial",$C56))),Variables!$B$1:$D$1,0),1))*IFERROR(IF(W56="","",(AVERAGE(E56:F56)-W56)-Variables!$B$14),""))+(T56*INDEX(Variables!$B$9:$D$9,IFERROR(MATCH(IF($B56="Robusta","Robusta",(IF($B56="","Arabica",$B56))&amp;" - "&amp;(IF($C56="","Commercial",$C56))),Variables!$B$1:$D$1,0),1))*IFERROR(IF(W56="","",(AVERAGE(E56:F56)-W56)-Variables!$B$14),"")/365),""))</f>
        <v>1653.9478639325246</v>
      </c>
      <c r="AT56" s="12">
        <f>IF($H56="Cancelled","",IFERROR((T56*INDEX(Variables!$B$7:$D$7,IFERROR(MATCH(IF($B56="Robusta","Robusta",(IF($B56="","Arabica",$B56))&amp;" - "&amp;(IF($C56="","Commercial",$C56))),Variables!$B$1:$D$1,0),1))*AC56/365)+(L56/16.67*INDEX(Variables!$B$8:$D$8,IFERROR(MATCH(IF($B56="Robusta","Robusta",(IF($B56="","Arabica",$B56))&amp;" - "&amp;(IF($C56="","Commercial",$C56))),Variables!$B$1:$D$1,0),1))*AC56)+(T56*INDEX(Variables!$B$9:$D$9,IFERROR(MATCH(IF($B56="Robusta","Robusta",(IF($B56="","Arabica",$B56))&amp;" - "&amp;(IF($C56="","Commercial",$C56))),Variables!$B$1:$D$1,0),1))*AC56/365),""))</f>
        <v>-5018.8762767607641</v>
      </c>
      <c r="AU56" s="12">
        <f>IF($H56="Cancelled","",IFERROR((T56*INDEX(Variables!$B$7:$D$7,IFERROR(MATCH(IF($B56="Robusta","Robusta",(IF($B56="","Arabica",$B56))&amp;" - "&amp;(IF($C56="","Commercial",$C56))),Variables!$B$1:$D$1,0),1))*AP56/365)+(L56/16.67*INDEX(Variables!$B$8:$D$8,IFERROR(MATCH(IF($B56="Robusta","Robusta",(IF($B56="","Arabica",$B56))&amp;" - "&amp;(IF($C56="","Commercial",$C56))),Variables!$B$1:$D$1,0),1))*AP56)+(T56*INDEX(Variables!$B$9:$D$9,IFERROR(MATCH(IF($B56="Robusta","Robusta",(IF($B56="","Arabica",$B56))&amp;" - "&amp;(IF($C56="","Commercial",$C56))),Variables!$B$1:$D$1,0),1))*AP56/365),""))</f>
        <v>2471.4163484049218</v>
      </c>
      <c r="AV56" s="11">
        <f t="shared" si="4"/>
        <v>6</v>
      </c>
      <c r="AW56" s="12">
        <f>IF($H56="Cancelled","",IFERROR(IF(AV56="","",(T56*INDEX(Variables!$B$7:$D$7,IFERROR(MATCH(IF($B56="Robusta","Robusta",(IF($B56="","Arabica",$B56))&amp;" - "&amp;(IF($C56="","Commercial",$C56))),Variables!$B$1:$D$1,0),1))*(AV56/365))+(T56*INDEX(Variables!$B$9:$D$9,IFERROR(MATCH(IF($B56="Robusta","Robusta",(IF($B56="","Arabica",$B56))&amp;" - "&amp;(IF($C56="","Commercial",$C56))),Variables!$B$1:$D$1,0),1))*(AV56/365))+(INDEX(Variables!$B$8:$D$8,IFERROR(MATCH(IF($B56="Robusta","Robusta",(IF($B56="","Arabica",$B56))&amp;" - "&amp;(IF($C56="","Commercial",$C56))),Variables!$B$1:$D$1,0),1))*L56/16.67)),""))</f>
        <v>148.13073985276202</v>
      </c>
      <c r="AX56" s="9"/>
      <c r="AY56" s="12"/>
      <c r="AZ56" s="10"/>
      <c r="BA56" s="9"/>
      <c r="BB56" s="10"/>
      <c r="BC56" s="9"/>
      <c r="BD56" s="9"/>
      <c r="BE56" s="9"/>
      <c r="BF56" s="9"/>
    </row>
    <row r="57" spans="1:58" x14ac:dyDescent="0.25">
      <c r="A57" s="9" t="s">
        <v>84</v>
      </c>
      <c r="B57" s="9" t="s">
        <v>85</v>
      </c>
      <c r="C57" s="9" t="s">
        <v>86</v>
      </c>
      <c r="D57" s="10">
        <v>45316</v>
      </c>
      <c r="E57" s="10">
        <v>45323</v>
      </c>
      <c r="F57" s="10">
        <v>45351</v>
      </c>
      <c r="G57" s="9">
        <v>3786096</v>
      </c>
      <c r="H57" s="9" t="str">
        <f t="shared" si="0"/>
        <v>Closed</v>
      </c>
      <c r="I57" s="9" t="str">
        <f t="shared" si="1"/>
        <v>All dates received</v>
      </c>
      <c r="J57" s="9" t="s">
        <v>264</v>
      </c>
      <c r="K57" s="9">
        <v>4739</v>
      </c>
      <c r="L57" s="11">
        <v>960</v>
      </c>
      <c r="M57" s="9" t="s">
        <v>265</v>
      </c>
      <c r="N57" s="9" t="s">
        <v>266</v>
      </c>
      <c r="O57" s="9"/>
      <c r="P57" s="9"/>
      <c r="Q57" s="11"/>
      <c r="R57" s="9" t="s">
        <v>90</v>
      </c>
      <c r="S57" s="9" t="s">
        <v>150</v>
      </c>
      <c r="T57" s="12">
        <f>IF($H57="Cancelled","",IFERROR(((Q57+INDEX(Variables!$B$6:$D$6,IFERROR(MATCH(IF($B57="Robusta","Robusta",(IF($B57="","Arabica",$B57))&amp;" - "&amp;(IF($C57="","Commercial",$C57))),Variables!$B$1:$D$1,0),1)))*22.0462)*(L57/16.67),""))</f>
        <v>369201.77334133169</v>
      </c>
      <c r="U57" s="10">
        <v>45321</v>
      </c>
      <c r="V57" s="9" t="str">
        <f t="shared" si="6"/>
        <v>Sent</v>
      </c>
      <c r="W57" s="10">
        <v>45351</v>
      </c>
      <c r="X57" s="9" t="str">
        <f t="shared" si="5"/>
        <v>Approved</v>
      </c>
      <c r="Y57" s="10"/>
      <c r="Z57" s="10">
        <f>IF($H57="Cancelled","",IFERROR(IF(F57="","",F57-Variables!$B$13),""))</f>
        <v>45336</v>
      </c>
      <c r="AA57" s="11">
        <f>IF($H57="Cancelled","",IFERROR(IF(W57="","",(AVERAGE(E57:F57)-W57)-Variables!$B$14),""))</f>
        <v>-44</v>
      </c>
      <c r="AB57" s="10">
        <v>45472</v>
      </c>
      <c r="AC57" s="11">
        <f>IF($H57="Cancelled","",IFERROR(IF(AB57="","",IF(AND(W57="",Y57=""),"",IF(Y57&gt;W57,Y57+Variables!$B$15+Variables!$B$16+Variables!$B$17-AB57,W57+Variables!$B$16+Variables!$B$17-AB57))),""))</f>
        <v>-113</v>
      </c>
      <c r="AD57" s="9" t="s">
        <v>180</v>
      </c>
      <c r="AE57" s="9" t="s">
        <v>267</v>
      </c>
      <c r="AF57" s="10"/>
      <c r="AG57" s="10"/>
      <c r="AH57" s="9"/>
      <c r="AI57" s="9" t="s">
        <v>268</v>
      </c>
      <c r="AJ57" s="9" t="s">
        <v>8</v>
      </c>
      <c r="AK57" s="10">
        <v>45365</v>
      </c>
      <c r="AL57" s="10">
        <v>45365</v>
      </c>
      <c r="AM57" s="10">
        <v>45378</v>
      </c>
      <c r="AN57" s="9" t="s">
        <v>95</v>
      </c>
      <c r="AO57" s="9"/>
      <c r="AP57" s="11">
        <f>IF($H57="Cancelled","",IFERROR(IF(OR(AK57="",AB57=""),"",(AB57+Variables!$B$18-AK57)),""))</f>
        <v>114</v>
      </c>
      <c r="AQ57" s="11">
        <f>IF($H57="Cancelled","",IFERROR(IF(OR(AM57="",AK57=""),"",(AK57+Variables!$B$19)-AM57),""))</f>
        <v>-8</v>
      </c>
      <c r="AR57" s="12">
        <f>IF($H57="Cancelled","",IFERROR(T57*INDEX(Variables!$B$7:$D$7,IFERROR(MATCH(IF($B57="Robusta","Robusta",(IF($B57="","Arabica",$B57))&amp;" - "&amp;(IF($C57="","Commercial",$C57))),Variables!$B$1:$D$1,0),1))*(AQ57/365),""))</f>
        <v>-521.79600194959824</v>
      </c>
      <c r="AS57" s="12">
        <f>IF($H57="Cancelled","",IFERROR((T57*INDEX(Variables!$B$7:$D$7,IFERROR(MATCH(IF($B57="Robusta","Robusta",(IF($B57="","Arabica",$B57))&amp;" - "&amp;(IF($C57="","Commercial",$C57))),Variables!$B$1:$D$1,0),1))*IFERROR(IF(W57="","",(AVERAGE(E57:F57)-W57)-Variables!$B$14),"")/365)+(L57/16.67*INDEX(Variables!$B$8:$D$8,IFERROR(MATCH(IF($B57="Robusta","Robusta",(IF($B57="","Arabica",$B57))&amp;" - "&amp;(IF($C57="","Commercial",$C57))),Variables!$B$1:$D$1,0),1))*IFERROR(IF(W57="","",(AVERAGE(E57:F57)-W57)-Variables!$B$14),""))+(T57*INDEX(Variables!$B$9:$D$9,IFERROR(MATCH(IF($B57="Robusta","Robusta",(IF($B57="","Arabica",$B57))&amp;" - "&amp;(IF($C57="","Commercial",$C57))),Variables!$B$1:$D$1,0),1))*IFERROR(IF(W57="","",(AVERAGE(E57:F57)-W57)-Variables!$B$14),"")/365),""))</f>
        <v>-5018.8762767607641</v>
      </c>
      <c r="AT57" s="12">
        <f>IF($H57="Cancelled","",IFERROR((T57*INDEX(Variables!$B$7:$D$7,IFERROR(MATCH(IF($B57="Robusta","Robusta",(IF($B57="","Arabica",$B57))&amp;" - "&amp;(IF($C57="","Commercial",$C57))),Variables!$B$1:$D$1,0),1))*AC57/365)+(L57/16.67*INDEX(Variables!$B$8:$D$8,IFERROR(MATCH(IF($B57="Robusta","Robusta",(IF($B57="","Arabica",$B57))&amp;" - "&amp;(IF($C57="","Commercial",$C57))),Variables!$B$1:$D$1,0),1))*AC57)+(T57*INDEX(Variables!$B$9:$D$9,IFERROR(MATCH(IF($B57="Robusta","Robusta",(IF($B57="","Arabica",$B57))&amp;" - "&amp;(IF($C57="","Commercial",$C57))),Variables!$B$1:$D$1,0),1))*AC57/365),""))</f>
        <v>-12889.386801681056</v>
      </c>
      <c r="AU57" s="12">
        <f>IF($H57="Cancelled","",IFERROR((T57*INDEX(Variables!$B$7:$D$7,IFERROR(MATCH(IF($B57="Robusta","Robusta",(IF($B57="","Arabica",$B57))&amp;" - "&amp;(IF($C57="","Commercial",$C57))),Variables!$B$1:$D$1,0),1))*AP57/365)+(L57/16.67*INDEX(Variables!$B$8:$D$8,IFERROR(MATCH(IF($B57="Robusta","Robusta",(IF($B57="","Arabica",$B57))&amp;" - "&amp;(IF($C57="","Commercial",$C57))),Variables!$B$1:$D$1,0),1))*AP57)+(T57*INDEX(Variables!$B$9:$D$9,IFERROR(MATCH(IF($B57="Robusta","Robusta",(IF($B57="","Arabica",$B57))&amp;" - "&amp;(IF($C57="","Commercial",$C57))),Variables!$B$1:$D$1,0),1))*AP57/365),""))</f>
        <v>13003.452171607436</v>
      </c>
      <c r="AV57" s="11">
        <f t="shared" si="4"/>
        <v>-14</v>
      </c>
      <c r="AW57" s="12">
        <f>IF($H57="Cancelled","",IFERROR(IF(AV57="","",(T57*INDEX(Variables!$B$7:$D$7,IFERROR(MATCH(IF($B57="Robusta","Robusta",(IF($B57="","Arabica",$B57))&amp;" - "&amp;(IF($C57="","Commercial",$C57))),Variables!$B$1:$D$1,0),1))*(AV57/365))+(T57*INDEX(Variables!$B$9:$D$9,IFERROR(MATCH(IF($B57="Robusta","Robusta",(IF($B57="","Arabica",$B57))&amp;" - "&amp;(IF($C57="","Commercial",$C57))),Variables!$B$1:$D$1,0),1))*(AV57/365))+(INDEX(Variables!$B$8:$D$8,IFERROR(MATCH(IF($B57="Robusta","Robusta",(IF($B57="","Arabica",$B57))&amp;" - "&amp;(IF($C57="","Commercial",$C57))),Variables!$B$1:$D$1,0),1))*L57/16.67)),""))</f>
        <v>-876.91517896933419</v>
      </c>
      <c r="AX57" s="9"/>
      <c r="AY57" s="12"/>
      <c r="AZ57" s="10"/>
      <c r="BA57" s="9"/>
      <c r="BB57" s="10"/>
      <c r="BC57" s="9"/>
      <c r="BD57" s="9"/>
      <c r="BE57" s="9"/>
      <c r="BF57" s="9"/>
    </row>
    <row r="58" spans="1:58" x14ac:dyDescent="0.25">
      <c r="A58" s="9" t="s">
        <v>84</v>
      </c>
      <c r="B58" s="9" t="s">
        <v>85</v>
      </c>
      <c r="C58" s="9" t="s">
        <v>86</v>
      </c>
      <c r="D58" s="10">
        <v>45316</v>
      </c>
      <c r="E58" s="10">
        <v>45323</v>
      </c>
      <c r="F58" s="10">
        <v>45351</v>
      </c>
      <c r="G58" s="9">
        <v>3786096</v>
      </c>
      <c r="H58" s="9" t="str">
        <f t="shared" si="0"/>
        <v>Closed</v>
      </c>
      <c r="I58" s="9" t="str">
        <f t="shared" si="1"/>
        <v>All dates received</v>
      </c>
      <c r="J58" s="9" t="s">
        <v>264</v>
      </c>
      <c r="K58" s="9">
        <v>4738</v>
      </c>
      <c r="L58" s="11">
        <v>1600</v>
      </c>
      <c r="M58" s="9" t="s">
        <v>265</v>
      </c>
      <c r="N58" s="9" t="s">
        <v>266</v>
      </c>
      <c r="O58" s="9"/>
      <c r="P58" s="9"/>
      <c r="Q58" s="11"/>
      <c r="R58" s="9" t="s">
        <v>90</v>
      </c>
      <c r="S58" s="9" t="s">
        <v>269</v>
      </c>
      <c r="T58" s="12">
        <f>IF($H58="Cancelled","",IFERROR(((Q58+INDEX(Variables!$B$6:$D$6,IFERROR(MATCH(IF($B58="Robusta","Robusta",(IF($B58="","Arabica",$B58))&amp;" - "&amp;(IF($C58="","Commercial",$C58))),Variables!$B$1:$D$1,0),1)))*22.0462)*(L58/16.67),""))</f>
        <v>615336.2889022195</v>
      </c>
      <c r="U58" s="10">
        <v>45321</v>
      </c>
      <c r="V58" s="9" t="str">
        <f t="shared" si="6"/>
        <v>Sent</v>
      </c>
      <c r="W58" s="10">
        <v>45351</v>
      </c>
      <c r="X58" s="9" t="str">
        <f t="shared" si="5"/>
        <v>Approved</v>
      </c>
      <c r="Y58" s="10"/>
      <c r="Z58" s="10">
        <f>IF($H58="Cancelled","",IFERROR(IF(F58="","",F58-Variables!$B$13),""))</f>
        <v>45336</v>
      </c>
      <c r="AA58" s="11">
        <f>IF($H58="Cancelled","",IFERROR(IF(W58="","",(AVERAGE(E58:F58)-W58)-Variables!$B$14),""))</f>
        <v>-44</v>
      </c>
      <c r="AB58" s="10">
        <v>45474</v>
      </c>
      <c r="AC58" s="11">
        <f>IF($H58="Cancelled","",IFERROR(IF(AB58="","",IF(AND(W58="",Y58=""),"",IF(Y58&gt;W58,Y58+Variables!$B$15+Variables!$B$16+Variables!$B$17-AB58,W58+Variables!$B$16+Variables!$B$17-AB58))),""))</f>
        <v>-115</v>
      </c>
      <c r="AD58" s="9" t="s">
        <v>107</v>
      </c>
      <c r="AE58" s="9" t="s">
        <v>115</v>
      </c>
      <c r="AF58" s="10"/>
      <c r="AG58" s="10"/>
      <c r="AH58" s="9"/>
      <c r="AI58" s="9" t="s">
        <v>270</v>
      </c>
      <c r="AJ58" s="9" t="s">
        <v>8</v>
      </c>
      <c r="AK58" s="10">
        <v>45372</v>
      </c>
      <c r="AL58" s="10">
        <v>45377</v>
      </c>
      <c r="AM58" s="10">
        <v>45378</v>
      </c>
      <c r="AN58" s="9" t="s">
        <v>95</v>
      </c>
      <c r="AO58" s="9"/>
      <c r="AP58" s="11">
        <f>IF($H58="Cancelled","",IFERROR(IF(OR(AK58="",AB58=""),"",(AB58+Variables!$B$18-AK58)),""))</f>
        <v>109</v>
      </c>
      <c r="AQ58" s="11">
        <f>IF($H58="Cancelled","",IFERROR(IF(OR(AM58="",AK58=""),"",(AK58+Variables!$B$19)-AM58),""))</f>
        <v>-1</v>
      </c>
      <c r="AR58" s="12">
        <f>IF($H58="Cancelled","",IFERROR(T58*INDEX(Variables!$B$7:$D$7,IFERROR(MATCH(IF($B58="Robusta","Robusta",(IF($B58="","Arabica",$B58))&amp;" - "&amp;(IF($C58="","Commercial",$C58))),Variables!$B$1:$D$1,0),1))*(AQ58/365),""))</f>
        <v>-108.7075004061663</v>
      </c>
      <c r="AS58" s="12">
        <f>IF($H58="Cancelled","",IFERROR((T58*INDEX(Variables!$B$7:$D$7,IFERROR(MATCH(IF($B58="Robusta","Robusta",(IF($B58="","Arabica",$B58))&amp;" - "&amp;(IF($C58="","Commercial",$C58))),Variables!$B$1:$D$1,0),1))*IFERROR(IF(W58="","",(AVERAGE(E58:F58)-W58)-Variables!$B$14),"")/365)+(L58/16.67*INDEX(Variables!$B$8:$D$8,IFERROR(MATCH(IF($B58="Robusta","Robusta",(IF($B58="","Arabica",$B58))&amp;" - "&amp;(IF($C58="","Commercial",$C58))),Variables!$B$1:$D$1,0),1))*IFERROR(IF(W58="","",(AVERAGE(E58:F58)-W58)-Variables!$B$14),""))+(T58*INDEX(Variables!$B$9:$D$9,IFERROR(MATCH(IF($B58="Robusta","Robusta",(IF($B58="","Arabica",$B58))&amp;" - "&amp;(IF($C58="","Commercial",$C58))),Variables!$B$1:$D$1,0),1))*IFERROR(IF(W58="","",(AVERAGE(E58:F58)-W58)-Variables!$B$14),"")/365),""))</f>
        <v>-8364.7937946012735</v>
      </c>
      <c r="AT58" s="12">
        <f>IF($H58="Cancelled","",IFERROR((T58*INDEX(Variables!$B$7:$D$7,IFERROR(MATCH(IF($B58="Robusta","Robusta",(IF($B58="","Arabica",$B58))&amp;" - "&amp;(IF($C58="","Commercial",$C58))),Variables!$B$1:$D$1,0),1))*AC58/365)+(L58/16.67*INDEX(Variables!$B$8:$D$8,IFERROR(MATCH(IF($B58="Robusta","Robusta",(IF($B58="","Arabica",$B58))&amp;" - "&amp;(IF($C58="","Commercial",$C58))),Variables!$B$1:$D$1,0),1))*AC58)+(T58*INDEX(Variables!$B$9:$D$9,IFERROR(MATCH(IF($B58="Robusta","Robusta",(IF($B58="","Arabica",$B58))&amp;" - "&amp;(IF($C58="","Commercial",$C58))),Variables!$B$1:$D$1,0),1))*AC58/365),""))</f>
        <v>-21862.529235889695</v>
      </c>
      <c r="AU58" s="12">
        <f>IF($H58="Cancelled","",IFERROR((T58*INDEX(Variables!$B$7:$D$7,IFERROR(MATCH(IF($B58="Robusta","Robusta",(IF($B58="","Arabica",$B58))&amp;" - "&amp;(IF($C58="","Commercial",$C58))),Variables!$B$1:$D$1,0),1))*AP58/365)+(L58/16.67*INDEX(Variables!$B$8:$D$8,IFERROR(MATCH(IF($B58="Robusta","Robusta",(IF($B58="","Arabica",$B58))&amp;" - "&amp;(IF($C58="","Commercial",$C58))),Variables!$B$1:$D$1,0),1))*AP58)+(T58*INDEX(Variables!$B$9:$D$9,IFERROR(MATCH(IF($B58="Robusta","Robusta",(IF($B58="","Arabica",$B58))&amp;" - "&amp;(IF($C58="","Commercial",$C58))),Variables!$B$1:$D$1,0),1))*AP58/365),""))</f>
        <v>20721.875536625885</v>
      </c>
      <c r="AV58" s="11">
        <f t="shared" si="4"/>
        <v>-21</v>
      </c>
      <c r="AW58" s="12">
        <f>IF($H58="Cancelled","",IFERROR(IF(AV58="","",(T58*INDEX(Variables!$B$7:$D$7,IFERROR(MATCH(IF($B58="Robusta","Robusta",(IF($B58="","Arabica",$B58))&amp;" - "&amp;(IF($C58="","Commercial",$C58))),Variables!$B$1:$D$1,0),1))*(AV58/365))+(T58*INDEX(Variables!$B$9:$D$9,IFERROR(MATCH(IF($B58="Robusta","Robusta",(IF($B58="","Arabica",$B58))&amp;" - "&amp;(IF($C58="","Commercial",$C58))),Variables!$B$1:$D$1,0),1))*(AV58/365))+(INDEX(Variables!$B$8:$D$8,IFERROR(MATCH(IF($B58="Robusta","Robusta",(IF($B58="","Arabica",$B58))&amp;" - "&amp;(IF($C58="","Commercial",$C58))),Variables!$B$1:$D$1,0),1))*L58/16.67)),""))</f>
        <v>-2232.2879474233355</v>
      </c>
      <c r="AX58" s="9"/>
      <c r="AY58" s="12"/>
      <c r="AZ58" s="10"/>
      <c r="BA58" s="9"/>
      <c r="BB58" s="10"/>
      <c r="BC58" s="9"/>
      <c r="BD58" s="9"/>
      <c r="BE58" s="9"/>
      <c r="BF58" s="9"/>
    </row>
    <row r="59" spans="1:58" x14ac:dyDescent="0.25">
      <c r="A59" s="9" t="s">
        <v>84</v>
      </c>
      <c r="B59" s="9" t="s">
        <v>85</v>
      </c>
      <c r="C59" s="9" t="s">
        <v>86</v>
      </c>
      <c r="D59" s="10">
        <v>45316</v>
      </c>
      <c r="E59" s="10">
        <v>45323</v>
      </c>
      <c r="F59" s="10">
        <v>45351</v>
      </c>
      <c r="G59" s="9">
        <v>3786101</v>
      </c>
      <c r="H59" s="9" t="str">
        <f t="shared" si="0"/>
        <v>Closed</v>
      </c>
      <c r="I59" s="9" t="str">
        <f t="shared" si="1"/>
        <v>All dates received</v>
      </c>
      <c r="J59" s="9" t="s">
        <v>154</v>
      </c>
      <c r="K59" s="9">
        <v>4736</v>
      </c>
      <c r="L59" s="11">
        <v>320</v>
      </c>
      <c r="M59" s="9" t="s">
        <v>271</v>
      </c>
      <c r="N59" s="9" t="s">
        <v>237</v>
      </c>
      <c r="O59" s="9"/>
      <c r="P59" s="9"/>
      <c r="Q59" s="11"/>
      <c r="R59" s="9" t="s">
        <v>90</v>
      </c>
      <c r="S59" s="9" t="s">
        <v>150</v>
      </c>
      <c r="T59" s="12">
        <f>IF($H59="Cancelled","",IFERROR(((Q59+INDEX(Variables!$B$6:$D$6,IFERROR(MATCH(IF($B59="Robusta","Robusta",(IF($B59="","Arabica",$B59))&amp;" - "&amp;(IF($C59="","Commercial",$C59))),Variables!$B$1:$D$1,0),1)))*22.0462)*(L59/16.67),""))</f>
        <v>123067.25778044391</v>
      </c>
      <c r="U59" s="10">
        <v>45321</v>
      </c>
      <c r="V59" s="9" t="str">
        <f t="shared" si="6"/>
        <v>Sent</v>
      </c>
      <c r="W59" s="10">
        <v>45331</v>
      </c>
      <c r="X59" s="9" t="str">
        <f t="shared" si="5"/>
        <v>Approved</v>
      </c>
      <c r="Y59" s="10"/>
      <c r="Z59" s="10">
        <f>IF($H59="Cancelled","",IFERROR(IF(F59="","",F59-Variables!$B$13),""))</f>
        <v>45336</v>
      </c>
      <c r="AA59" s="11">
        <f>IF($H59="Cancelled","",IFERROR(IF(W59="","",(AVERAGE(E59:F59)-W59)-Variables!$B$14),""))</f>
        <v>-24</v>
      </c>
      <c r="AB59" s="10">
        <v>45467</v>
      </c>
      <c r="AC59" s="11">
        <f>IF($H59="Cancelled","",IFERROR(IF(AB59="","",IF(AND(W59="",Y59=""),"",IF(Y59&gt;W59,Y59+Variables!$B$15+Variables!$B$16+Variables!$B$17-AB59,W59+Variables!$B$16+Variables!$B$17-AB59))),""))</f>
        <v>-128</v>
      </c>
      <c r="AD59" s="9" t="s">
        <v>272</v>
      </c>
      <c r="AE59" s="9" t="s">
        <v>254</v>
      </c>
      <c r="AF59" s="10"/>
      <c r="AG59" s="10"/>
      <c r="AH59" s="9"/>
      <c r="AI59" s="9" t="s">
        <v>273</v>
      </c>
      <c r="AJ59" s="9" t="s">
        <v>8</v>
      </c>
      <c r="AK59" s="10">
        <v>45377</v>
      </c>
      <c r="AL59" s="10">
        <v>45377</v>
      </c>
      <c r="AM59" s="10">
        <v>45387</v>
      </c>
      <c r="AN59" s="9" t="s">
        <v>95</v>
      </c>
      <c r="AO59" s="9"/>
      <c r="AP59" s="11">
        <f>IF($H59="Cancelled","",IFERROR(IF(OR(AK59="",AB59=""),"",(AB59+Variables!$B$18-AK59)),""))</f>
        <v>97</v>
      </c>
      <c r="AQ59" s="11">
        <f>IF($H59="Cancelled","",IFERROR(IF(OR(AM59="",AK59=""),"",(AK59+Variables!$B$19)-AM59),""))</f>
        <v>-5</v>
      </c>
      <c r="AR59" s="12">
        <f>IF($H59="Cancelled","",IFERROR(T59*INDEX(Variables!$B$7:$D$7,IFERROR(MATCH(IF($B59="Robusta","Robusta",(IF($B59="","Arabica",$B59))&amp;" - "&amp;(IF($C59="","Commercial",$C59))),Variables!$B$1:$D$1,0),1))*(AQ59/365),""))</f>
        <v>-108.7075004061663</v>
      </c>
      <c r="AS59" s="12">
        <f>IF($H59="Cancelled","",IFERROR((T59*INDEX(Variables!$B$7:$D$7,IFERROR(MATCH(IF($B59="Robusta","Robusta",(IF($B59="","Arabica",$B59))&amp;" - "&amp;(IF($C59="","Commercial",$C59))),Variables!$B$1:$D$1,0),1))*IFERROR(IF(W59="","",(AVERAGE(E59:F59)-W59)-Variables!$B$14),"")/365)+(L59/16.67*INDEX(Variables!$B$8:$D$8,IFERROR(MATCH(IF($B59="Robusta","Robusta",(IF($B59="","Arabica",$B59))&amp;" - "&amp;(IF($C59="","Commercial",$C59))),Variables!$B$1:$D$1,0),1))*IFERROR(IF(W59="","",(AVERAGE(E59:F59)-W59)-Variables!$B$14),""))+(T59*INDEX(Variables!$B$9:$D$9,IFERROR(MATCH(IF($B59="Robusta","Robusta",(IF($B59="","Arabica",$B59))&amp;" - "&amp;(IF($C59="","Commercial",$C59))),Variables!$B$1:$D$1,0),1))*IFERROR(IF(W59="","",(AVERAGE(E59:F59)-W59)-Variables!$B$14),"")/365),""))</f>
        <v>-912.52295941104808</v>
      </c>
      <c r="AT59" s="12">
        <f>IF($H59="Cancelled","",IFERROR((T59*INDEX(Variables!$B$7:$D$7,IFERROR(MATCH(IF($B59="Robusta","Robusta",(IF($B59="","Arabica",$B59))&amp;" - "&amp;(IF($C59="","Commercial",$C59))),Variables!$B$1:$D$1,0),1))*AC59/365)+(L59/16.67*INDEX(Variables!$B$8:$D$8,IFERROR(MATCH(IF($B59="Robusta","Robusta",(IF($B59="","Arabica",$B59))&amp;" - "&amp;(IF($C59="","Commercial",$C59))),Variables!$B$1:$D$1,0),1))*AC59)+(T59*INDEX(Variables!$B$9:$D$9,IFERROR(MATCH(IF($B59="Robusta","Robusta",(IF($B59="","Arabica",$B59))&amp;" - "&amp;(IF($C59="","Commercial",$C59))),Variables!$B$1:$D$1,0),1))*AC59/365),""))</f>
        <v>-4866.7891168589231</v>
      </c>
      <c r="AU59" s="12">
        <f>IF($H59="Cancelled","",IFERROR((T59*INDEX(Variables!$B$7:$D$7,IFERROR(MATCH(IF($B59="Robusta","Robusta",(IF($B59="","Arabica",$B59))&amp;" - "&amp;(IF($C59="","Commercial",$C59))),Variables!$B$1:$D$1,0),1))*AP59/365)+(L59/16.67*INDEX(Variables!$B$8:$D$8,IFERROR(MATCH(IF($B59="Robusta","Robusta",(IF($B59="","Arabica",$B59))&amp;" - "&amp;(IF($C59="","Commercial",$C59))),Variables!$B$1:$D$1,0),1))*AP59)+(T59*INDEX(Variables!$B$9:$D$9,IFERROR(MATCH(IF($B59="Robusta","Robusta",(IF($B59="","Arabica",$B59))&amp;" - "&amp;(IF($C59="","Commercial",$C59))),Variables!$B$1:$D$1,0),1))*AP59/365),""))</f>
        <v>3688.113627619653</v>
      </c>
      <c r="AV59" s="11">
        <f t="shared" si="4"/>
        <v>-26</v>
      </c>
      <c r="AW59" s="12">
        <f>IF($H59="Cancelled","",IFERROR(IF(AV59="","",(T59*INDEX(Variables!$B$7:$D$7,IFERROR(MATCH(IF($B59="Robusta","Robusta",(IF($B59="","Arabica",$B59))&amp;" - "&amp;(IF($C59="","Commercial",$C59))),Variables!$B$1:$D$1,0),1))*(AV59/365))+(T59*INDEX(Variables!$B$9:$D$9,IFERROR(MATCH(IF($B59="Robusta","Robusta",(IF($B59="","Arabica",$B59))&amp;" - "&amp;(IF($C59="","Commercial",$C59))),Variables!$B$1:$D$1,0),1))*(AV59/365))+(INDEX(Variables!$B$8:$D$8,IFERROR(MATCH(IF($B59="Robusta","Robusta",(IF($B59="","Arabica",$B59))&amp;" - "&amp;(IF($C59="","Commercial",$C59))),Variables!$B$1:$D$1,0),1))*L59/16.67)),""))</f>
        <v>-556.56653936196869</v>
      </c>
      <c r="AX59" s="9"/>
      <c r="AY59" s="12"/>
      <c r="AZ59" s="10"/>
      <c r="BA59" s="9"/>
      <c r="BB59" s="10"/>
      <c r="BC59" s="9"/>
      <c r="BD59" s="9"/>
      <c r="BE59" s="9"/>
      <c r="BF59" s="9"/>
    </row>
    <row r="60" spans="1:58" x14ac:dyDescent="0.25">
      <c r="A60" s="9" t="s">
        <v>84</v>
      </c>
      <c r="B60" s="9" t="s">
        <v>85</v>
      </c>
      <c r="C60" s="9" t="s">
        <v>86</v>
      </c>
      <c r="D60" s="10">
        <v>45316</v>
      </c>
      <c r="E60" s="10">
        <v>45323</v>
      </c>
      <c r="F60" s="10">
        <v>45351</v>
      </c>
      <c r="G60" s="9">
        <v>3786102</v>
      </c>
      <c r="H60" s="9" t="str">
        <f t="shared" si="0"/>
        <v>Closed</v>
      </c>
      <c r="I60" s="9" t="str">
        <f t="shared" si="1"/>
        <v>All dates received</v>
      </c>
      <c r="J60" s="9" t="s">
        <v>154</v>
      </c>
      <c r="K60" s="9">
        <v>4735</v>
      </c>
      <c r="L60" s="11">
        <v>320</v>
      </c>
      <c r="M60" s="9" t="s">
        <v>271</v>
      </c>
      <c r="N60" s="9" t="s">
        <v>237</v>
      </c>
      <c r="O60" s="9"/>
      <c r="P60" s="9"/>
      <c r="Q60" s="11"/>
      <c r="R60" s="9" t="s">
        <v>90</v>
      </c>
      <c r="S60" s="9" t="s">
        <v>207</v>
      </c>
      <c r="T60" s="12">
        <f>IF($H60="Cancelled","",IFERROR(((Q60+INDEX(Variables!$B$6:$D$6,IFERROR(MATCH(IF($B60="Robusta","Robusta",(IF($B60="","Arabica",$B60))&amp;" - "&amp;(IF($C60="","Commercial",$C60))),Variables!$B$1:$D$1,0),1)))*22.0462)*(L60/16.67),""))</f>
        <v>123067.25778044391</v>
      </c>
      <c r="U60" s="10">
        <v>45321</v>
      </c>
      <c r="V60" s="9" t="str">
        <f t="shared" si="6"/>
        <v>Sent</v>
      </c>
      <c r="W60" s="10">
        <v>45331</v>
      </c>
      <c r="X60" s="9" t="str">
        <f t="shared" si="5"/>
        <v>Approved</v>
      </c>
      <c r="Y60" s="10"/>
      <c r="Z60" s="10">
        <f>IF($H60="Cancelled","",IFERROR(IF(F60="","",F60-Variables!$B$13),""))</f>
        <v>45336</v>
      </c>
      <c r="AA60" s="11">
        <f>IF($H60="Cancelled","",IFERROR(IF(W60="","",(AVERAGE(E60:F60)-W60)-Variables!$B$14),""))</f>
        <v>-24</v>
      </c>
      <c r="AB60" s="10">
        <v>45467</v>
      </c>
      <c r="AC60" s="11">
        <f>IF($H60="Cancelled","",IFERROR(IF(AB60="","",IF(AND(W60="",Y60=""),"",IF(Y60&gt;W60,Y60+Variables!$B$15+Variables!$B$16+Variables!$B$17-AB60,W60+Variables!$B$16+Variables!$B$17-AB60))),""))</f>
        <v>-128</v>
      </c>
      <c r="AD60" s="9" t="s">
        <v>274</v>
      </c>
      <c r="AE60" s="9" t="s">
        <v>275</v>
      </c>
      <c r="AF60" s="10"/>
      <c r="AG60" s="10"/>
      <c r="AH60" s="9"/>
      <c r="AI60" s="9" t="s">
        <v>276</v>
      </c>
      <c r="AJ60" s="9" t="s">
        <v>8</v>
      </c>
      <c r="AK60" s="10">
        <v>45374</v>
      </c>
      <c r="AL60" s="10">
        <v>45377</v>
      </c>
      <c r="AM60" s="10">
        <v>45387</v>
      </c>
      <c r="AN60" s="9" t="s">
        <v>95</v>
      </c>
      <c r="AO60" s="9"/>
      <c r="AP60" s="11">
        <f>IF($H60="Cancelled","",IFERROR(IF(OR(AK60="",AB60=""),"",(AB60+Variables!$B$18-AK60)),""))</f>
        <v>100</v>
      </c>
      <c r="AQ60" s="11">
        <f>IF($H60="Cancelled","",IFERROR(IF(OR(AM60="",AK60=""),"",(AK60+Variables!$B$19)-AM60),""))</f>
        <v>-8</v>
      </c>
      <c r="AR60" s="12">
        <f>IF($H60="Cancelled","",IFERROR(T60*INDEX(Variables!$B$7:$D$7,IFERROR(MATCH(IF($B60="Robusta","Robusta",(IF($B60="","Arabica",$B60))&amp;" - "&amp;(IF($C60="","Commercial",$C60))),Variables!$B$1:$D$1,0),1))*(AQ60/365),""))</f>
        <v>-173.9320006498661</v>
      </c>
      <c r="AS60" s="12">
        <f>IF($H60="Cancelled","",IFERROR((T60*INDEX(Variables!$B$7:$D$7,IFERROR(MATCH(IF($B60="Robusta","Robusta",(IF($B60="","Arabica",$B60))&amp;" - "&amp;(IF($C60="","Commercial",$C60))),Variables!$B$1:$D$1,0),1))*IFERROR(IF(W60="","",(AVERAGE(E60:F60)-W60)-Variables!$B$14),"")/365)+(L60/16.67*INDEX(Variables!$B$8:$D$8,IFERROR(MATCH(IF($B60="Robusta","Robusta",(IF($B60="","Arabica",$B60))&amp;" - "&amp;(IF($C60="","Commercial",$C60))),Variables!$B$1:$D$1,0),1))*IFERROR(IF(W60="","",(AVERAGE(E60:F60)-W60)-Variables!$B$14),""))+(T60*INDEX(Variables!$B$9:$D$9,IFERROR(MATCH(IF($B60="Robusta","Robusta",(IF($B60="","Arabica",$B60))&amp;" - "&amp;(IF($C60="","Commercial",$C60))),Variables!$B$1:$D$1,0),1))*IFERROR(IF(W60="","",(AVERAGE(E60:F60)-W60)-Variables!$B$14),"")/365),""))</f>
        <v>-912.52295941104808</v>
      </c>
      <c r="AT60" s="12">
        <f>IF($H60="Cancelled","",IFERROR((T60*INDEX(Variables!$B$7:$D$7,IFERROR(MATCH(IF($B60="Robusta","Robusta",(IF($B60="","Arabica",$B60))&amp;" - "&amp;(IF($C60="","Commercial",$C60))),Variables!$B$1:$D$1,0),1))*AC60/365)+(L60/16.67*INDEX(Variables!$B$8:$D$8,IFERROR(MATCH(IF($B60="Robusta","Robusta",(IF($B60="","Arabica",$B60))&amp;" - "&amp;(IF($C60="","Commercial",$C60))),Variables!$B$1:$D$1,0),1))*AC60)+(T60*INDEX(Variables!$B$9:$D$9,IFERROR(MATCH(IF($B60="Robusta","Robusta",(IF($B60="","Arabica",$B60))&amp;" - "&amp;(IF($C60="","Commercial",$C60))),Variables!$B$1:$D$1,0),1))*AC60/365),""))</f>
        <v>-4866.7891168589231</v>
      </c>
      <c r="AU60" s="12">
        <f>IF($H60="Cancelled","",IFERROR((T60*INDEX(Variables!$B$7:$D$7,IFERROR(MATCH(IF($B60="Robusta","Robusta",(IF($B60="","Arabica",$B60))&amp;" - "&amp;(IF($C60="","Commercial",$C60))),Variables!$B$1:$D$1,0),1))*AP60/365)+(L60/16.67*INDEX(Variables!$B$8:$D$8,IFERROR(MATCH(IF($B60="Robusta","Robusta",(IF($B60="","Arabica",$B60))&amp;" - "&amp;(IF($C60="","Commercial",$C60))),Variables!$B$1:$D$1,0),1))*AP60)+(T60*INDEX(Variables!$B$9:$D$9,IFERROR(MATCH(IF($B60="Robusta","Robusta",(IF($B60="","Arabica",$B60))&amp;" - "&amp;(IF($C60="","Commercial",$C60))),Variables!$B$1:$D$1,0),1))*AP60/365),""))</f>
        <v>3802.1789975460338</v>
      </c>
      <c r="AV60" s="11">
        <f t="shared" si="4"/>
        <v>-23</v>
      </c>
      <c r="AW60" s="12">
        <f>IF($H60="Cancelled","",IFERROR(IF(AV60="","",(T60*INDEX(Variables!$B$7:$D$7,IFERROR(MATCH(IF($B60="Robusta","Robusta",(IF($B60="","Arabica",$B60))&amp;" - "&amp;(IF($C60="","Commercial",$C60))),Variables!$B$1:$D$1,0),1))*(AV60/365))+(T60*INDEX(Variables!$B$9:$D$9,IFERROR(MATCH(IF($B60="Robusta","Robusta",(IF($B60="","Arabica",$B60))&amp;" - "&amp;(IF($C60="","Commercial",$C60))),Variables!$B$1:$D$1,0),1))*(AV60/365))+(INDEX(Variables!$B$8:$D$8,IFERROR(MATCH(IF($B60="Robusta","Robusta",(IF($B60="","Arabica",$B60))&amp;" - "&amp;(IF($C60="","Commercial",$C60))),Variables!$B$1:$D$1,0),1))*L60/16.67)),""))</f>
        <v>-490.50116943558783</v>
      </c>
      <c r="AX60" s="9"/>
      <c r="AY60" s="12"/>
      <c r="AZ60" s="10"/>
      <c r="BA60" s="9"/>
      <c r="BB60" s="10"/>
      <c r="BC60" s="9"/>
      <c r="BD60" s="9"/>
      <c r="BE60" s="9"/>
      <c r="BF60" s="9"/>
    </row>
    <row r="61" spans="1:58" x14ac:dyDescent="0.25">
      <c r="A61" s="9" t="s">
        <v>84</v>
      </c>
      <c r="B61" s="9" t="s">
        <v>85</v>
      </c>
      <c r="C61" s="9" t="s">
        <v>86</v>
      </c>
      <c r="D61" s="10">
        <v>45316</v>
      </c>
      <c r="E61" s="10">
        <v>45352</v>
      </c>
      <c r="F61" s="10">
        <v>45382</v>
      </c>
      <c r="G61" s="9">
        <v>3786097</v>
      </c>
      <c r="H61" s="9" t="str">
        <f t="shared" si="0"/>
        <v>Closed</v>
      </c>
      <c r="I61" s="9" t="str">
        <f t="shared" si="1"/>
        <v>All dates received</v>
      </c>
      <c r="J61" s="9" t="s">
        <v>264</v>
      </c>
      <c r="K61" s="9">
        <v>4742</v>
      </c>
      <c r="L61" s="11">
        <v>960</v>
      </c>
      <c r="M61" s="9" t="s">
        <v>265</v>
      </c>
      <c r="N61" s="9" t="s">
        <v>266</v>
      </c>
      <c r="O61" s="9"/>
      <c r="P61" s="9"/>
      <c r="Q61" s="11"/>
      <c r="R61" s="9" t="s">
        <v>90</v>
      </c>
      <c r="S61" s="9" t="s">
        <v>150</v>
      </c>
      <c r="T61" s="12">
        <f>IF($H61="Cancelled","",IFERROR(((Q61+INDEX(Variables!$B$6:$D$6,IFERROR(MATCH(IF($B61="Robusta","Robusta",(IF($B61="","Arabica",$B61))&amp;" - "&amp;(IF($C61="","Commercial",$C61))),Variables!$B$1:$D$1,0),1)))*22.0462)*(L61/16.67),""))</f>
        <v>369201.77334133169</v>
      </c>
      <c r="U61" s="10">
        <v>45324</v>
      </c>
      <c r="V61" s="9" t="str">
        <f t="shared" si="6"/>
        <v>Sent</v>
      </c>
      <c r="W61" s="10">
        <v>45351</v>
      </c>
      <c r="X61" s="9" t="str">
        <f t="shared" si="5"/>
        <v>Approved</v>
      </c>
      <c r="Y61" s="10"/>
      <c r="Z61" s="10">
        <f>IF($H61="Cancelled","",IFERROR(IF(F61="","",F61-Variables!$B$13),""))</f>
        <v>45367</v>
      </c>
      <c r="AA61" s="11">
        <f>IF($H61="Cancelled","",IFERROR(IF(W61="","",(AVERAGE(E61:F61)-W61)-Variables!$B$14),""))</f>
        <v>-14</v>
      </c>
      <c r="AB61" s="10">
        <v>45476</v>
      </c>
      <c r="AC61" s="11">
        <f>IF($H61="Cancelled","",IFERROR(IF(AB61="","",IF(AND(W61="",Y61=""),"",IF(Y61&gt;W61,Y61+Variables!$B$15+Variables!$B$16+Variables!$B$17-AB61,W61+Variables!$B$16+Variables!$B$17-AB61))),""))</f>
        <v>-117</v>
      </c>
      <c r="AD61" s="9" t="s">
        <v>180</v>
      </c>
      <c r="AE61" s="9" t="s">
        <v>98</v>
      </c>
      <c r="AF61" s="10"/>
      <c r="AG61" s="10"/>
      <c r="AH61" s="9"/>
      <c r="AI61" s="9" t="s">
        <v>277</v>
      </c>
      <c r="AJ61" s="9" t="s">
        <v>8</v>
      </c>
      <c r="AK61" s="10">
        <v>45384</v>
      </c>
      <c r="AL61" s="10">
        <v>45386</v>
      </c>
      <c r="AM61" s="10">
        <v>45393</v>
      </c>
      <c r="AN61" s="9" t="s">
        <v>95</v>
      </c>
      <c r="AO61" s="9"/>
      <c r="AP61" s="11">
        <f>IF($H61="Cancelled","",IFERROR(IF(OR(AK61="",AB61=""),"",(AB61+Variables!$B$18-AK61)),""))</f>
        <v>99</v>
      </c>
      <c r="AQ61" s="11">
        <f>IF($H61="Cancelled","",IFERROR(IF(OR(AM61="",AK61=""),"",(AK61+Variables!$B$19)-AM61),""))</f>
        <v>-4</v>
      </c>
      <c r="AR61" s="12">
        <f>IF($H61="Cancelled","",IFERROR(T61*INDEX(Variables!$B$7:$D$7,IFERROR(MATCH(IF($B61="Robusta","Robusta",(IF($B61="","Arabica",$B61))&amp;" - "&amp;(IF($C61="","Commercial",$C61))),Variables!$B$1:$D$1,0),1))*(AQ61/365),""))</f>
        <v>-260.89800097479912</v>
      </c>
      <c r="AS61" s="12">
        <f>IF($H61="Cancelled","",IFERROR((T61*INDEX(Variables!$B$7:$D$7,IFERROR(MATCH(IF($B61="Robusta","Robusta",(IF($B61="","Arabica",$B61))&amp;" - "&amp;(IF($C61="","Commercial",$C61))),Variables!$B$1:$D$1,0),1))*IFERROR(IF(W61="","",(AVERAGE(E61:F61)-W61)-Variables!$B$14),"")/365)+(L61/16.67*INDEX(Variables!$B$8:$D$8,IFERROR(MATCH(IF($B61="Robusta","Robusta",(IF($B61="","Arabica",$B61))&amp;" - "&amp;(IF($C61="","Commercial",$C61))),Variables!$B$1:$D$1,0),1))*IFERROR(IF(W61="","",(AVERAGE(E61:F61)-W61)-Variables!$B$14),""))+(T61*INDEX(Variables!$B$9:$D$9,IFERROR(MATCH(IF($B61="Robusta","Robusta",(IF($B61="","Arabica",$B61))&amp;" - "&amp;(IF($C61="","Commercial",$C61))),Variables!$B$1:$D$1,0),1))*IFERROR(IF(W61="","",(AVERAGE(E61:F61)-W61)-Variables!$B$14),"")/365),""))</f>
        <v>-1596.9151789693342</v>
      </c>
      <c r="AT61" s="12">
        <f>IF($H61="Cancelled","",IFERROR((T61*INDEX(Variables!$B$7:$D$7,IFERROR(MATCH(IF($B61="Robusta","Robusta",(IF($B61="","Arabica",$B61))&amp;" - "&amp;(IF($C61="","Commercial",$C61))),Variables!$B$1:$D$1,0),1))*AC61/365)+(L61/16.67*INDEX(Variables!$B$8:$D$8,IFERROR(MATCH(IF($B61="Robusta","Robusta",(IF($B61="","Arabica",$B61))&amp;" - "&amp;(IF($C61="","Commercial",$C61))),Variables!$B$1:$D$1,0),1))*AC61)+(T61*INDEX(Variables!$B$9:$D$9,IFERROR(MATCH(IF($B61="Robusta","Robusta",(IF($B61="","Arabica",$B61))&amp;" - "&amp;(IF($C61="","Commercial",$C61))),Variables!$B$1:$D$1,0),1))*AC61/365),""))</f>
        <v>-13345.648281386579</v>
      </c>
      <c r="AU61" s="12">
        <f>IF($H61="Cancelled","",IFERROR((T61*INDEX(Variables!$B$7:$D$7,IFERROR(MATCH(IF($B61="Robusta","Robusta",(IF($B61="","Arabica",$B61))&amp;" - "&amp;(IF($C61="","Commercial",$C61))),Variables!$B$1:$D$1,0),1))*AP61/365)+(L61/16.67*INDEX(Variables!$B$8:$D$8,IFERROR(MATCH(IF($B61="Robusta","Robusta",(IF($B61="","Arabica",$B61))&amp;" - "&amp;(IF($C61="","Commercial",$C61))),Variables!$B$1:$D$1,0),1))*AP61)+(T61*INDEX(Variables!$B$9:$D$9,IFERROR(MATCH(IF($B61="Robusta","Robusta",(IF($B61="","Arabica",$B61))&amp;" - "&amp;(IF($C61="","Commercial",$C61))),Variables!$B$1:$D$1,0),1))*AP61/365),""))</f>
        <v>11292.471622711719</v>
      </c>
      <c r="AV61" s="11">
        <f t="shared" si="4"/>
        <v>-2</v>
      </c>
      <c r="AW61" s="12">
        <f>IF($H61="Cancelled","",IFERROR(IF(AV61="","",(T61*INDEX(Variables!$B$7:$D$7,IFERROR(MATCH(IF($B61="Robusta","Robusta",(IF($B61="","Arabica",$B61))&amp;" - "&amp;(IF($C61="","Commercial",$C61))),Variables!$B$1:$D$1,0),1))*(AV61/365))+(T61*INDEX(Variables!$B$9:$D$9,IFERROR(MATCH(IF($B61="Robusta","Robusta",(IF($B61="","Arabica",$B61))&amp;" - "&amp;(IF($C61="","Commercial",$C61))),Variables!$B$1:$D$1,0),1))*(AV61/365))+(INDEX(Variables!$B$8:$D$8,IFERROR(MATCH(IF($B61="Robusta","Robusta",(IF($B61="","Arabica",$B61))&amp;" - "&amp;(IF($C61="","Commercial",$C61))),Variables!$B$1:$D$1,0),1))*L61/16.67)),""))</f>
        <v>-84.130739852762019</v>
      </c>
      <c r="AX61" s="9"/>
      <c r="AY61" s="12"/>
      <c r="AZ61" s="10"/>
      <c r="BA61" s="9"/>
      <c r="BB61" s="10"/>
      <c r="BC61" s="9"/>
      <c r="BD61" s="9"/>
      <c r="BE61" s="9"/>
      <c r="BF61" s="9"/>
    </row>
    <row r="62" spans="1:58" x14ac:dyDescent="0.25">
      <c r="A62" s="9" t="s">
        <v>84</v>
      </c>
      <c r="B62" s="9" t="s">
        <v>85</v>
      </c>
      <c r="C62" s="9" t="s">
        <v>86</v>
      </c>
      <c r="D62" s="10">
        <v>45316</v>
      </c>
      <c r="E62" s="10">
        <v>45383</v>
      </c>
      <c r="F62" s="10">
        <v>45412</v>
      </c>
      <c r="G62" s="9">
        <v>3786098</v>
      </c>
      <c r="H62" s="9" t="str">
        <f t="shared" si="0"/>
        <v>Closed</v>
      </c>
      <c r="I62" s="9" t="str">
        <f t="shared" si="1"/>
        <v>All dates received</v>
      </c>
      <c r="J62" s="9" t="s">
        <v>264</v>
      </c>
      <c r="K62" s="9">
        <v>4883</v>
      </c>
      <c r="L62" s="11">
        <v>1920</v>
      </c>
      <c r="M62" s="9" t="s">
        <v>265</v>
      </c>
      <c r="N62" s="9" t="s">
        <v>266</v>
      </c>
      <c r="O62" s="9"/>
      <c r="P62" s="9"/>
      <c r="Q62" s="11"/>
      <c r="R62" s="9" t="s">
        <v>90</v>
      </c>
      <c r="S62" s="9" t="s">
        <v>269</v>
      </c>
      <c r="T62" s="12">
        <f>IF($H62="Cancelled","",IFERROR(((Q62+INDEX(Variables!$B$6:$D$6,IFERROR(MATCH(IF($B62="Robusta","Robusta",(IF($B62="","Arabica",$B62))&amp;" - "&amp;(IF($C62="","Commercial",$C62))),Variables!$B$1:$D$1,0),1)))*22.0462)*(L62/16.67),""))</f>
        <v>738403.54668266338</v>
      </c>
      <c r="U62" s="10">
        <v>45390</v>
      </c>
      <c r="V62" s="9" t="str">
        <f t="shared" si="6"/>
        <v>Sent</v>
      </c>
      <c r="W62" s="10">
        <v>45394</v>
      </c>
      <c r="X62" s="9" t="str">
        <f t="shared" si="5"/>
        <v>Approved</v>
      </c>
      <c r="Y62" s="10"/>
      <c r="Z62" s="10">
        <f>IF($H62="Cancelled","",IFERROR(IF(F62="","",F62-Variables!$B$13),""))</f>
        <v>45397</v>
      </c>
      <c r="AA62" s="11">
        <f>IF($H62="Cancelled","",IFERROR(IF(W62="","",(AVERAGE(E62:F62)-W62)-Variables!$B$14),""))</f>
        <v>-26.5</v>
      </c>
      <c r="AB62" s="10">
        <v>45477</v>
      </c>
      <c r="AC62" s="11">
        <f>IF($H62="Cancelled","",IFERROR(IF(AB62="","",IF(AND(W62="",Y62=""),"",IF(Y62&gt;W62,Y62+Variables!$B$15+Variables!$B$16+Variables!$B$17-AB62,W62+Variables!$B$16+Variables!$B$17-AB62))),""))</f>
        <v>-75</v>
      </c>
      <c r="AD62" s="9" t="s">
        <v>107</v>
      </c>
      <c r="AE62" s="9" t="s">
        <v>189</v>
      </c>
      <c r="AF62" s="10"/>
      <c r="AG62" s="10"/>
      <c r="AH62" s="9"/>
      <c r="AI62" s="9" t="s">
        <v>278</v>
      </c>
      <c r="AJ62" s="9" t="s">
        <v>8</v>
      </c>
      <c r="AK62" s="10">
        <v>45428</v>
      </c>
      <c r="AL62" s="10">
        <v>45430</v>
      </c>
      <c r="AM62" s="10">
        <v>45433</v>
      </c>
      <c r="AN62" s="9" t="s">
        <v>95</v>
      </c>
      <c r="AO62" s="9"/>
      <c r="AP62" s="11">
        <f>IF($H62="Cancelled","",IFERROR(IF(OR(AK62="",AB62=""),"",(AB62+Variables!$B$18-AK62)),""))</f>
        <v>56</v>
      </c>
      <c r="AQ62" s="11">
        <f>IF($H62="Cancelled","",IFERROR(IF(OR(AM62="",AK62=""),"",(AK62+Variables!$B$19)-AM62),""))</f>
        <v>0</v>
      </c>
      <c r="AR62" s="12">
        <f>IF($H62="Cancelled","",IFERROR(T62*INDEX(Variables!$B$7:$D$7,IFERROR(MATCH(IF($B62="Robusta","Robusta",(IF($B62="","Arabica",$B62))&amp;" - "&amp;(IF($C62="","Commercial",$C62))),Variables!$B$1:$D$1,0),1))*(AQ62/365),""))</f>
        <v>0</v>
      </c>
      <c r="AS62" s="12">
        <f>IF($H62="Cancelled","",IFERROR((T62*INDEX(Variables!$B$7:$D$7,IFERROR(MATCH(IF($B62="Robusta","Robusta",(IF($B62="","Arabica",$B62))&amp;" - "&amp;(IF($C62="","Commercial",$C62))),Variables!$B$1:$D$1,0),1))*IFERROR(IF(W62="","",(AVERAGE(E62:F62)-W62)-Variables!$B$14),"")/365)+(L62/16.67*INDEX(Variables!$B$8:$D$8,IFERROR(MATCH(IF($B62="Robusta","Robusta",(IF($B62="","Arabica",$B62))&amp;" - "&amp;(IF($C62="","Commercial",$C62))),Variables!$B$1:$D$1,0),1))*IFERROR(IF(W62="","",(AVERAGE(E62:F62)-W62)-Variables!$B$14),""))+(T62*INDEX(Variables!$B$9:$D$9,IFERROR(MATCH(IF($B62="Robusta","Robusta",(IF($B62="","Arabica",$B62))&amp;" - "&amp;(IF($C62="","Commercial",$C62))),Variables!$B$1:$D$1,0),1))*IFERROR(IF(W62="","",(AVERAGE(E62:F62)-W62)-Variables!$B$14),"")/365),""))</f>
        <v>-6045.4646060981931</v>
      </c>
      <c r="AT62" s="12">
        <f>IF($H62="Cancelled","",IFERROR((T62*INDEX(Variables!$B$7:$D$7,IFERROR(MATCH(IF($B62="Robusta","Robusta",(IF($B62="","Arabica",$B62))&amp;" - "&amp;(IF($C62="","Commercial",$C62))),Variables!$B$1:$D$1,0),1))*AC62/365)+(L62/16.67*INDEX(Variables!$B$8:$D$8,IFERROR(MATCH(IF($B62="Robusta","Robusta",(IF($B62="","Arabica",$B62))&amp;" - "&amp;(IF($C62="","Commercial",$C62))),Variables!$B$1:$D$1,0),1))*AC62)+(T62*INDEX(Variables!$B$9:$D$9,IFERROR(MATCH(IF($B62="Robusta","Robusta",(IF($B62="","Arabica",$B62))&amp;" - "&amp;(IF($C62="","Commercial",$C62))),Variables!$B$1:$D$1,0),1))*AC62/365),""))</f>
        <v>-17109.80548895715</v>
      </c>
      <c r="AU62" s="12">
        <f>IF($H62="Cancelled","",IFERROR((T62*INDEX(Variables!$B$7:$D$7,IFERROR(MATCH(IF($B62="Robusta","Robusta",(IF($B62="","Arabica",$B62))&amp;" - "&amp;(IF($C62="","Commercial",$C62))),Variables!$B$1:$D$1,0),1))*AP62/365)+(L62/16.67*INDEX(Variables!$B$8:$D$8,IFERROR(MATCH(IF($B62="Robusta","Robusta",(IF($B62="","Arabica",$B62))&amp;" - "&amp;(IF($C62="","Commercial",$C62))),Variables!$B$1:$D$1,0),1))*AP62)+(T62*INDEX(Variables!$B$9:$D$9,IFERROR(MATCH(IF($B62="Robusta","Robusta",(IF($B62="","Arabica",$B62))&amp;" - "&amp;(IF($C62="","Commercial",$C62))),Variables!$B$1:$D$1,0),1))*AP62/365),""))</f>
        <v>12775.321431754674</v>
      </c>
      <c r="AV62" s="11">
        <f t="shared" si="4"/>
        <v>-16</v>
      </c>
      <c r="AW62" s="12">
        <f>IF($H62="Cancelled","",IFERROR(IF(AV62="","",(T62*INDEX(Variables!$B$7:$D$7,IFERROR(MATCH(IF($B62="Robusta","Robusta",(IF($B62="","Arabica",$B62))&amp;" - "&amp;(IF($C62="","Commercial",$C62))),Variables!$B$1:$D$1,0),1))*(AV62/365))+(T62*INDEX(Variables!$B$9:$D$9,IFERROR(MATCH(IF($B62="Robusta","Robusta",(IF($B62="","Arabica",$B62))&amp;" - "&amp;(IF($C62="","Commercial",$C62))),Variables!$B$1:$D$1,0),1))*(AV62/365))+(INDEX(Variables!$B$8:$D$8,IFERROR(MATCH(IF($B62="Robusta","Robusta",(IF($B62="","Arabica",$B62))&amp;" - "&amp;(IF($C62="","Commercial",$C62))),Variables!$B$1:$D$1,0),1))*L62/16.67)),""))</f>
        <v>-2018.0918376441923</v>
      </c>
      <c r="AX62" s="9"/>
      <c r="AY62" s="12"/>
      <c r="AZ62" s="10"/>
      <c r="BA62" s="9"/>
      <c r="BB62" s="10"/>
      <c r="BC62" s="9"/>
      <c r="BD62" s="9"/>
      <c r="BE62" s="9"/>
      <c r="BF62" s="9"/>
    </row>
    <row r="63" spans="1:58" x14ac:dyDescent="0.25">
      <c r="A63" s="9" t="s">
        <v>84</v>
      </c>
      <c r="B63" s="9" t="s">
        <v>85</v>
      </c>
      <c r="C63" s="9" t="s">
        <v>86</v>
      </c>
      <c r="D63" s="10">
        <v>45316</v>
      </c>
      <c r="E63" s="10">
        <v>45383</v>
      </c>
      <c r="F63" s="10">
        <v>45412</v>
      </c>
      <c r="G63" s="9">
        <v>3786098</v>
      </c>
      <c r="H63" s="9" t="str">
        <f t="shared" si="0"/>
        <v>Closed</v>
      </c>
      <c r="I63" s="9" t="str">
        <f t="shared" si="1"/>
        <v>All dates received</v>
      </c>
      <c r="J63" s="9" t="s">
        <v>264</v>
      </c>
      <c r="K63" s="9">
        <v>4884</v>
      </c>
      <c r="L63" s="11">
        <v>640</v>
      </c>
      <c r="M63" s="9" t="s">
        <v>265</v>
      </c>
      <c r="N63" s="9" t="s">
        <v>266</v>
      </c>
      <c r="O63" s="9"/>
      <c r="P63" s="9"/>
      <c r="Q63" s="11"/>
      <c r="R63" s="9" t="s">
        <v>90</v>
      </c>
      <c r="S63" s="9" t="s">
        <v>150</v>
      </c>
      <c r="T63" s="12">
        <f>IF($H63="Cancelled","",IFERROR(((Q63+INDEX(Variables!$B$6:$D$6,IFERROR(MATCH(IF($B63="Robusta","Robusta",(IF($B63="","Arabica",$B63))&amp;" - "&amp;(IF($C63="","Commercial",$C63))),Variables!$B$1:$D$1,0),1)))*22.0462)*(L63/16.67),""))</f>
        <v>246134.51556088781</v>
      </c>
      <c r="U63" s="10">
        <v>45390</v>
      </c>
      <c r="V63" s="9" t="str">
        <f t="shared" si="6"/>
        <v>Sent</v>
      </c>
      <c r="W63" s="10">
        <v>45394</v>
      </c>
      <c r="X63" s="9" t="str">
        <f t="shared" si="5"/>
        <v>Approved</v>
      </c>
      <c r="Y63" s="10"/>
      <c r="Z63" s="10">
        <f>IF($H63="Cancelled","",IFERROR(IF(F63="","",F63-Variables!$B$13),""))</f>
        <v>45397</v>
      </c>
      <c r="AA63" s="11">
        <f>IF($H63="Cancelled","",IFERROR(IF(W63="","",(AVERAGE(E63:F63)-W63)-Variables!$B$14),""))</f>
        <v>-26.5</v>
      </c>
      <c r="AB63" s="10">
        <v>45477</v>
      </c>
      <c r="AC63" s="11">
        <f>IF($H63="Cancelled","",IFERROR(IF(AB63="","",IF(AND(W63="",Y63=""),"",IF(Y63&gt;W63,Y63+Variables!$B$15+Variables!$B$16+Variables!$B$17-AB63,W63+Variables!$B$16+Variables!$B$17-AB63))),""))</f>
        <v>-75</v>
      </c>
      <c r="AD63" s="9" t="s">
        <v>180</v>
      </c>
      <c r="AE63" s="9" t="s">
        <v>267</v>
      </c>
      <c r="AF63" s="10"/>
      <c r="AG63" s="10"/>
      <c r="AH63" s="9"/>
      <c r="AI63" s="9" t="s">
        <v>279</v>
      </c>
      <c r="AJ63" s="9" t="s">
        <v>8</v>
      </c>
      <c r="AK63" s="10">
        <v>45420</v>
      </c>
      <c r="AL63" s="10">
        <v>45421</v>
      </c>
      <c r="AM63" s="10">
        <v>45433</v>
      </c>
      <c r="AN63" s="9" t="s">
        <v>95</v>
      </c>
      <c r="AO63" s="9"/>
      <c r="AP63" s="11">
        <f>IF($H63="Cancelled","",IFERROR(IF(OR(AK63="",AB63=""),"",(AB63+Variables!$B$18-AK63)),""))</f>
        <v>64</v>
      </c>
      <c r="AQ63" s="11">
        <f>IF($H63="Cancelled","",IFERROR(IF(OR(AM63="",AK63=""),"",(AK63+Variables!$B$19)-AM63),""))</f>
        <v>-8</v>
      </c>
      <c r="AR63" s="12">
        <f>IF($H63="Cancelled","",IFERROR(T63*INDEX(Variables!$B$7:$D$7,IFERROR(MATCH(IF($B63="Robusta","Robusta",(IF($B63="","Arabica",$B63))&amp;" - "&amp;(IF($C63="","Commercial",$C63))),Variables!$B$1:$D$1,0),1))*(AQ63/365),""))</f>
        <v>-347.86400129973219</v>
      </c>
      <c r="AS63" s="12">
        <f>IF($H63="Cancelled","",IFERROR((T63*INDEX(Variables!$B$7:$D$7,IFERROR(MATCH(IF($B63="Robusta","Robusta",(IF($B63="","Arabica",$B63))&amp;" - "&amp;(IF($C63="","Commercial",$C63))),Variables!$B$1:$D$1,0),1))*IFERROR(IF(W63="","",(AVERAGE(E63:F63)-W63)-Variables!$B$14),"")/365)+(L63/16.67*INDEX(Variables!$B$8:$D$8,IFERROR(MATCH(IF($B63="Robusta","Robusta",(IF($B63="","Arabica",$B63))&amp;" - "&amp;(IF($C63="","Commercial",$C63))),Variables!$B$1:$D$1,0),1))*IFERROR(IF(W63="","",(AVERAGE(E63:F63)-W63)-Variables!$B$14),""))+(T63*INDEX(Variables!$B$9:$D$9,IFERROR(MATCH(IF($B63="Robusta","Robusta",(IF($B63="","Arabica",$B63))&amp;" - "&amp;(IF($C63="","Commercial",$C63))),Variables!$B$1:$D$1,0),1))*IFERROR(IF(W63="","",(AVERAGE(E63:F63)-W63)-Variables!$B$14),"")/365),""))</f>
        <v>-2015.1548686993981</v>
      </c>
      <c r="AT63" s="12">
        <f>IF($H63="Cancelled","",IFERROR((T63*INDEX(Variables!$B$7:$D$7,IFERROR(MATCH(IF($B63="Robusta","Robusta",(IF($B63="","Arabica",$B63))&amp;" - "&amp;(IF($C63="","Commercial",$C63))),Variables!$B$1:$D$1,0),1))*AC63/365)+(L63/16.67*INDEX(Variables!$B$8:$D$8,IFERROR(MATCH(IF($B63="Robusta","Robusta",(IF($B63="","Arabica",$B63))&amp;" - "&amp;(IF($C63="","Commercial",$C63))),Variables!$B$1:$D$1,0),1))*AC63)+(T63*INDEX(Variables!$B$9:$D$9,IFERROR(MATCH(IF($B63="Robusta","Robusta",(IF($B63="","Arabica",$B63))&amp;" - "&amp;(IF($C63="","Commercial",$C63))),Variables!$B$1:$D$1,0),1))*AC63/365),""))</f>
        <v>-5703.2684963190495</v>
      </c>
      <c r="AU63" s="12">
        <f>IF($H63="Cancelled","",IFERROR((T63*INDEX(Variables!$B$7:$D$7,IFERROR(MATCH(IF($B63="Robusta","Robusta",(IF($B63="","Arabica",$B63))&amp;" - "&amp;(IF($C63="","Commercial",$C63))),Variables!$B$1:$D$1,0),1))*AP63/365)+(L63/16.67*INDEX(Variables!$B$8:$D$8,IFERROR(MATCH(IF($B63="Robusta","Robusta",(IF($B63="","Arabica",$B63))&amp;" - "&amp;(IF($C63="","Commercial",$C63))),Variables!$B$1:$D$1,0),1))*AP63)+(T63*INDEX(Variables!$B$9:$D$9,IFERROR(MATCH(IF($B63="Robusta","Robusta",(IF($B63="","Arabica",$B63))&amp;" - "&amp;(IF($C63="","Commercial",$C63))),Variables!$B$1:$D$1,0),1))*AP63/365),""))</f>
        <v>4866.7891168589231</v>
      </c>
      <c r="AV63" s="11">
        <f t="shared" si="4"/>
        <v>-8</v>
      </c>
      <c r="AW63" s="12">
        <f>IF($H63="Cancelled","",IFERROR(IF(AV63="","",(T63*INDEX(Variables!$B$7:$D$7,IFERROR(MATCH(IF($B63="Robusta","Robusta",(IF($B63="","Arabica",$B63))&amp;" - "&amp;(IF($C63="","Commercial",$C63))),Variables!$B$1:$D$1,0),1))*(AV63/365))+(T63*INDEX(Variables!$B$9:$D$9,IFERROR(MATCH(IF($B63="Robusta","Robusta",(IF($B63="","Arabica",$B63))&amp;" - "&amp;(IF($C63="","Commercial",$C63))),Variables!$B$1:$D$1,0),1))*(AV63/365))+(INDEX(Variables!$B$8:$D$8,IFERROR(MATCH(IF($B63="Robusta","Robusta",(IF($B63="","Arabica",$B63))&amp;" - "&amp;(IF($C63="","Commercial",$C63))),Variables!$B$1:$D$1,0),1))*L63/16.67)),""))</f>
        <v>-320.34863960736544</v>
      </c>
      <c r="AX63" s="9"/>
      <c r="AY63" s="12"/>
      <c r="AZ63" s="10"/>
      <c r="BA63" s="9"/>
      <c r="BB63" s="10"/>
      <c r="BC63" s="9"/>
      <c r="BD63" s="9"/>
      <c r="BE63" s="9"/>
      <c r="BF63" s="9"/>
    </row>
    <row r="64" spans="1:58" x14ac:dyDescent="0.25">
      <c r="A64" s="9" t="s">
        <v>84</v>
      </c>
      <c r="B64" s="9" t="s">
        <v>85</v>
      </c>
      <c r="C64" s="9" t="s">
        <v>86</v>
      </c>
      <c r="D64" s="10">
        <v>45316</v>
      </c>
      <c r="E64" s="10">
        <v>45413</v>
      </c>
      <c r="F64" s="10">
        <v>45443</v>
      </c>
      <c r="G64" s="9">
        <v>3786099</v>
      </c>
      <c r="H64" s="9" t="str">
        <f t="shared" si="0"/>
        <v>Closed</v>
      </c>
      <c r="I64" s="9" t="str">
        <f t="shared" si="1"/>
        <v>All dates received</v>
      </c>
      <c r="J64" s="9" t="s">
        <v>264</v>
      </c>
      <c r="K64" s="9">
        <v>4891</v>
      </c>
      <c r="L64" s="11">
        <v>640</v>
      </c>
      <c r="M64" s="9" t="s">
        <v>265</v>
      </c>
      <c r="N64" s="9" t="s">
        <v>266</v>
      </c>
      <c r="O64" s="9"/>
      <c r="P64" s="9"/>
      <c r="Q64" s="11"/>
      <c r="R64" s="9" t="s">
        <v>90</v>
      </c>
      <c r="S64" s="9" t="s">
        <v>269</v>
      </c>
      <c r="T64" s="12">
        <f>IF($H64="Cancelled","",IFERROR(((Q64+INDEX(Variables!$B$6:$D$6,IFERROR(MATCH(IF($B64="Robusta","Robusta",(IF($B64="","Arabica",$B64))&amp;" - "&amp;(IF($C64="","Commercial",$C64))),Variables!$B$1:$D$1,0),1)))*22.0462)*(L64/16.67),""))</f>
        <v>246134.51556088781</v>
      </c>
      <c r="U64" s="10">
        <v>45385</v>
      </c>
      <c r="V64" s="9" t="str">
        <f t="shared" si="6"/>
        <v>Sent</v>
      </c>
      <c r="W64" s="10">
        <v>45406</v>
      </c>
      <c r="X64" s="9" t="str">
        <f t="shared" si="5"/>
        <v>Approved</v>
      </c>
      <c r="Y64" s="10"/>
      <c r="Z64" s="10">
        <f>IF($H64="Cancelled","",IFERROR(IF(F64="","",F64-Variables!$B$13),""))</f>
        <v>45428</v>
      </c>
      <c r="AA64" s="11">
        <f>IF($H64="Cancelled","",IFERROR(IF(W64="","",(AVERAGE(E64:F64)-W64)-Variables!$B$14),""))</f>
        <v>-8</v>
      </c>
      <c r="AB64" s="10">
        <v>45481</v>
      </c>
      <c r="AC64" s="11">
        <f>IF($H64="Cancelled","",IFERROR(IF(AB64="","",IF(AND(W64="",Y64=""),"",IF(Y64&gt;W64,Y64+Variables!$B$15+Variables!$B$16+Variables!$B$17-AB64,W64+Variables!$B$16+Variables!$B$17-AB64))),""))</f>
        <v>-67</v>
      </c>
      <c r="AD64" s="9" t="s">
        <v>107</v>
      </c>
      <c r="AE64" s="9" t="s">
        <v>184</v>
      </c>
      <c r="AF64" s="10"/>
      <c r="AG64" s="10"/>
      <c r="AH64" s="9"/>
      <c r="AI64" s="9" t="s">
        <v>280</v>
      </c>
      <c r="AJ64" s="9" t="s">
        <v>8</v>
      </c>
      <c r="AK64" s="10">
        <v>45454</v>
      </c>
      <c r="AL64" s="10">
        <v>45455</v>
      </c>
      <c r="AM64" s="10">
        <v>45462</v>
      </c>
      <c r="AN64" s="9" t="s">
        <v>95</v>
      </c>
      <c r="AO64" s="9"/>
      <c r="AP64" s="11">
        <f>IF($H64="Cancelled","",IFERROR(IF(OR(AK64="",AB64=""),"",(AB64+Variables!$B$18-AK64)),""))</f>
        <v>34</v>
      </c>
      <c r="AQ64" s="11">
        <f>IF($H64="Cancelled","",IFERROR(IF(OR(AM64="",AK64=""),"",(AK64+Variables!$B$19)-AM64),""))</f>
        <v>-3</v>
      </c>
      <c r="AR64" s="12">
        <f>IF($H64="Cancelled","",IFERROR(T64*INDEX(Variables!$B$7:$D$7,IFERROR(MATCH(IF($B64="Robusta","Robusta",(IF($B64="","Arabica",$B64))&amp;" - "&amp;(IF($C64="","Commercial",$C64))),Variables!$B$1:$D$1,0),1))*(AQ64/365),""))</f>
        <v>-130.44900048739956</v>
      </c>
      <c r="AS64" s="12">
        <f>IF($H64="Cancelled","",IFERROR((T64*INDEX(Variables!$B$7:$D$7,IFERROR(MATCH(IF($B64="Robusta","Robusta",(IF($B64="","Arabica",$B64))&amp;" - "&amp;(IF($C64="","Commercial",$C64))),Variables!$B$1:$D$1,0),1))*IFERROR(IF(W64="","",(AVERAGE(E64:F64)-W64)-Variables!$B$14),"")/365)+(L64/16.67*INDEX(Variables!$B$8:$D$8,IFERROR(MATCH(IF($B64="Robusta","Robusta",(IF($B64="","Arabica",$B64))&amp;" - "&amp;(IF($C64="","Commercial",$C64))),Variables!$B$1:$D$1,0),1))*IFERROR(IF(W64="","",(AVERAGE(E64:F64)-W64)-Variables!$B$14),""))+(T64*INDEX(Variables!$B$9:$D$9,IFERROR(MATCH(IF($B64="Robusta","Robusta",(IF($B64="","Arabica",$B64))&amp;" - "&amp;(IF($C64="","Commercial",$C64))),Variables!$B$1:$D$1,0),1))*IFERROR(IF(W64="","",(AVERAGE(E64:F64)-W64)-Variables!$B$14),"")/365),""))</f>
        <v>-608.34863960736539</v>
      </c>
      <c r="AT64" s="12">
        <f>IF($H64="Cancelled","",IFERROR((T64*INDEX(Variables!$B$7:$D$7,IFERROR(MATCH(IF($B64="Robusta","Robusta",(IF($B64="","Arabica",$B64))&amp;" - "&amp;(IF($C64="","Commercial",$C64))),Variables!$B$1:$D$1,0),1))*AC64/365)+(L64/16.67*INDEX(Variables!$B$8:$D$8,IFERROR(MATCH(IF($B64="Robusta","Robusta",(IF($B64="","Arabica",$B64))&amp;" - "&amp;(IF($C64="","Commercial",$C64))),Variables!$B$1:$D$1,0),1))*AC64)+(T64*INDEX(Variables!$B$9:$D$9,IFERROR(MATCH(IF($B64="Robusta","Robusta",(IF($B64="","Arabica",$B64))&amp;" - "&amp;(IF($C64="","Commercial",$C64))),Variables!$B$1:$D$1,0),1))*AC64/365),""))</f>
        <v>-5094.9198567116855</v>
      </c>
      <c r="AU64" s="12">
        <f>IF($H64="Cancelled","",IFERROR((T64*INDEX(Variables!$B$7:$D$7,IFERROR(MATCH(IF($B64="Robusta","Robusta",(IF($B64="","Arabica",$B64))&amp;" - "&amp;(IF($C64="","Commercial",$C64))),Variables!$B$1:$D$1,0),1))*AP64/365)+(L64/16.67*INDEX(Variables!$B$8:$D$8,IFERROR(MATCH(IF($B64="Robusta","Robusta",(IF($B64="","Arabica",$B64))&amp;" - "&amp;(IF($C64="","Commercial",$C64))),Variables!$B$1:$D$1,0),1))*AP64)+(T64*INDEX(Variables!$B$9:$D$9,IFERROR(MATCH(IF($B64="Robusta","Robusta",(IF($B64="","Arabica",$B64))&amp;" - "&amp;(IF($C64="","Commercial",$C64))),Variables!$B$1:$D$1,0),1))*AP64/365),""))</f>
        <v>2585.4817183313035</v>
      </c>
      <c r="AV64" s="11">
        <f t="shared" si="4"/>
        <v>-11</v>
      </c>
      <c r="AW64" s="12">
        <f>IF($H64="Cancelled","",IFERROR(IF(AV64="","",(T64*INDEX(Variables!$B$7:$D$7,IFERROR(MATCH(IF($B64="Robusta","Robusta",(IF($B64="","Arabica",$B64))&amp;" - "&amp;(IF($C64="","Commercial",$C64))),Variables!$B$1:$D$1,0),1))*(AV64/365))+(T64*INDEX(Variables!$B$9:$D$9,IFERROR(MATCH(IF($B64="Robusta","Robusta",(IF($B64="","Arabica",$B64))&amp;" - "&amp;(IF($C64="","Commercial",$C64))),Variables!$B$1:$D$1,0),1))*(AV64/365))+(INDEX(Variables!$B$8:$D$8,IFERROR(MATCH(IF($B64="Robusta","Robusta",(IF($B64="","Arabica",$B64))&amp;" - "&amp;(IF($C64="","Commercial",$C64))),Variables!$B$1:$D$1,0),1))*L64/16.67)),""))</f>
        <v>-452.47937946012746</v>
      </c>
      <c r="AX64" s="9"/>
      <c r="AY64" s="12"/>
      <c r="AZ64" s="10"/>
      <c r="BA64" s="9"/>
      <c r="BB64" s="10"/>
      <c r="BC64" s="9"/>
      <c r="BD64" s="9"/>
      <c r="BE64" s="9"/>
      <c r="BF64" s="9"/>
    </row>
    <row r="65" spans="1:58" x14ac:dyDescent="0.25">
      <c r="A65" s="9" t="s">
        <v>84</v>
      </c>
      <c r="B65" s="9" t="s">
        <v>85</v>
      </c>
      <c r="C65" s="9" t="s">
        <v>86</v>
      </c>
      <c r="D65" s="10">
        <v>45316</v>
      </c>
      <c r="E65" s="10">
        <v>45413</v>
      </c>
      <c r="F65" s="10">
        <v>45443</v>
      </c>
      <c r="G65" s="9">
        <v>3786099</v>
      </c>
      <c r="H65" s="9" t="str">
        <f t="shared" si="0"/>
        <v>Closed</v>
      </c>
      <c r="I65" s="9" t="str">
        <f t="shared" si="1"/>
        <v>All dates received</v>
      </c>
      <c r="J65" s="9" t="s">
        <v>264</v>
      </c>
      <c r="K65" s="9">
        <v>4892</v>
      </c>
      <c r="L65" s="11">
        <v>640</v>
      </c>
      <c r="M65" s="9" t="s">
        <v>265</v>
      </c>
      <c r="N65" s="9" t="s">
        <v>266</v>
      </c>
      <c r="O65" s="9"/>
      <c r="P65" s="9"/>
      <c r="Q65" s="11"/>
      <c r="R65" s="9" t="s">
        <v>90</v>
      </c>
      <c r="S65" s="9" t="s">
        <v>150</v>
      </c>
      <c r="T65" s="12">
        <f>IF($H65="Cancelled","",IFERROR(((Q65+INDEX(Variables!$B$6:$D$6,IFERROR(MATCH(IF($B65="Robusta","Robusta",(IF($B65="","Arabica",$B65))&amp;" - "&amp;(IF($C65="","Commercial",$C65))),Variables!$B$1:$D$1,0),1)))*22.0462)*(L65/16.67),""))</f>
        <v>246134.51556088781</v>
      </c>
      <c r="U65" s="10">
        <v>45385</v>
      </c>
      <c r="V65" s="9" t="str">
        <f t="shared" si="6"/>
        <v>Sent</v>
      </c>
      <c r="W65" s="10">
        <v>45406</v>
      </c>
      <c r="X65" s="9" t="str">
        <f t="shared" si="5"/>
        <v>Approved</v>
      </c>
      <c r="Y65" s="10"/>
      <c r="Z65" s="10">
        <f>IF($H65="Cancelled","",IFERROR(IF(F65="","",F65-Variables!$B$13),""))</f>
        <v>45428</v>
      </c>
      <c r="AA65" s="11">
        <f>IF($H65="Cancelled","",IFERROR(IF(W65="","",(AVERAGE(E65:F65)-W65)-Variables!$B$14),""))</f>
        <v>-8</v>
      </c>
      <c r="AB65" s="10">
        <v>45482</v>
      </c>
      <c r="AC65" s="11">
        <f>IF($H65="Cancelled","",IFERROR(IF(AB65="","",IF(AND(W65="",Y65=""),"",IF(Y65&gt;W65,Y65+Variables!$B$15+Variables!$B$16+Variables!$B$17-AB65,W65+Variables!$B$16+Variables!$B$17-AB65))),""))</f>
        <v>-68</v>
      </c>
      <c r="AD65" s="9" t="s">
        <v>180</v>
      </c>
      <c r="AE65" s="9" t="s">
        <v>134</v>
      </c>
      <c r="AF65" s="10"/>
      <c r="AG65" s="10"/>
      <c r="AH65" s="9"/>
      <c r="AI65" s="9" t="s">
        <v>281</v>
      </c>
      <c r="AJ65" s="9" t="s">
        <v>8</v>
      </c>
      <c r="AK65" s="10">
        <v>45462</v>
      </c>
      <c r="AL65" s="10">
        <v>45463</v>
      </c>
      <c r="AM65" s="10">
        <v>45476</v>
      </c>
      <c r="AN65" s="9" t="s">
        <v>95</v>
      </c>
      <c r="AO65" s="9"/>
      <c r="AP65" s="11">
        <f>IF($H65="Cancelled","",IFERROR(IF(OR(AK65="",AB65=""),"",(AB65+Variables!$B$18-AK65)),""))</f>
        <v>27</v>
      </c>
      <c r="AQ65" s="11">
        <f>IF($H65="Cancelled","",IFERROR(IF(OR(AM65="",AK65=""),"",(AK65+Variables!$B$19)-AM65),""))</f>
        <v>-9</v>
      </c>
      <c r="AR65" s="12">
        <f>IF($H65="Cancelled","",IFERROR(T65*INDEX(Variables!$B$7:$D$7,IFERROR(MATCH(IF($B65="Robusta","Robusta",(IF($B65="","Arabica",$B65))&amp;" - "&amp;(IF($C65="","Commercial",$C65))),Variables!$B$1:$D$1,0),1))*(AQ65/365),""))</f>
        <v>-391.3470014621987</v>
      </c>
      <c r="AS65" s="12">
        <f>IF($H65="Cancelled","",IFERROR((T65*INDEX(Variables!$B$7:$D$7,IFERROR(MATCH(IF($B65="Robusta","Robusta",(IF($B65="","Arabica",$B65))&amp;" - "&amp;(IF($C65="","Commercial",$C65))),Variables!$B$1:$D$1,0),1))*IFERROR(IF(W65="","",(AVERAGE(E65:F65)-W65)-Variables!$B$14),"")/365)+(L65/16.67*INDEX(Variables!$B$8:$D$8,IFERROR(MATCH(IF($B65="Robusta","Robusta",(IF($B65="","Arabica",$B65))&amp;" - "&amp;(IF($C65="","Commercial",$C65))),Variables!$B$1:$D$1,0),1))*IFERROR(IF(W65="","",(AVERAGE(E65:F65)-W65)-Variables!$B$14),""))+(T65*INDEX(Variables!$B$9:$D$9,IFERROR(MATCH(IF($B65="Robusta","Robusta",(IF($B65="","Arabica",$B65))&amp;" - "&amp;(IF($C65="","Commercial",$C65))),Variables!$B$1:$D$1,0),1))*IFERROR(IF(W65="","",(AVERAGE(E65:F65)-W65)-Variables!$B$14),"")/365),""))</f>
        <v>-608.34863960736539</v>
      </c>
      <c r="AT65" s="12">
        <f>IF($H65="Cancelled","",IFERROR((T65*INDEX(Variables!$B$7:$D$7,IFERROR(MATCH(IF($B65="Robusta","Robusta",(IF($B65="","Arabica",$B65))&amp;" - "&amp;(IF($C65="","Commercial",$C65))),Variables!$B$1:$D$1,0),1))*AC65/365)+(L65/16.67*INDEX(Variables!$B$8:$D$8,IFERROR(MATCH(IF($B65="Robusta","Robusta",(IF($B65="","Arabica",$B65))&amp;" - "&amp;(IF($C65="","Commercial",$C65))),Variables!$B$1:$D$1,0),1))*AC65)+(T65*INDEX(Variables!$B$9:$D$9,IFERROR(MATCH(IF($B65="Robusta","Robusta",(IF($B65="","Arabica",$B65))&amp;" - "&amp;(IF($C65="","Commercial",$C65))),Variables!$B$1:$D$1,0),1))*AC65/365),""))</f>
        <v>-5170.9634366626069</v>
      </c>
      <c r="AU65" s="12">
        <f>IF($H65="Cancelled","",IFERROR((T65*INDEX(Variables!$B$7:$D$7,IFERROR(MATCH(IF($B65="Robusta","Robusta",(IF($B65="","Arabica",$B65))&amp;" - "&amp;(IF($C65="","Commercial",$C65))),Variables!$B$1:$D$1,0),1))*AP65/365)+(L65/16.67*INDEX(Variables!$B$8:$D$8,IFERROR(MATCH(IF($B65="Robusta","Robusta",(IF($B65="","Arabica",$B65))&amp;" - "&amp;(IF($C65="","Commercial",$C65))),Variables!$B$1:$D$1,0),1))*AP65)+(T65*INDEX(Variables!$B$9:$D$9,IFERROR(MATCH(IF($B65="Robusta","Robusta",(IF($B65="","Arabica",$B65))&amp;" - "&amp;(IF($C65="","Commercial",$C65))),Variables!$B$1:$D$1,0),1))*AP65/365),""))</f>
        <v>2053.1766586748581</v>
      </c>
      <c r="AV65" s="11">
        <f t="shared" si="4"/>
        <v>-19</v>
      </c>
      <c r="AW65" s="12">
        <f>IF($H65="Cancelled","",IFERROR(IF(AV65="","",(T65*INDEX(Variables!$B$7:$D$7,IFERROR(MATCH(IF($B65="Robusta","Robusta",(IF($B65="","Arabica",$B65))&amp;" - "&amp;(IF($C65="","Commercial",$C65))),Variables!$B$1:$D$1,0),1))*(AV65/365))+(T65*INDEX(Variables!$B$9:$D$9,IFERROR(MATCH(IF($B65="Robusta","Robusta",(IF($B65="","Arabica",$B65))&amp;" - "&amp;(IF($C65="","Commercial",$C65))),Variables!$B$1:$D$1,0),1))*(AV65/365))+(INDEX(Variables!$B$8:$D$8,IFERROR(MATCH(IF($B65="Robusta","Robusta",(IF($B65="","Arabica",$B65))&amp;" - "&amp;(IF($C65="","Commercial",$C65))),Variables!$B$1:$D$1,0),1))*L65/16.67)),""))</f>
        <v>-804.82801906749285</v>
      </c>
      <c r="AX65" s="9"/>
      <c r="AY65" s="12"/>
      <c r="AZ65" s="10"/>
      <c r="BA65" s="9"/>
      <c r="BB65" s="10"/>
      <c r="BC65" s="9"/>
      <c r="BD65" s="9"/>
      <c r="BE65" s="9"/>
      <c r="BF65" s="9"/>
    </row>
    <row r="66" spans="1:58" x14ac:dyDescent="0.25">
      <c r="A66" s="9" t="s">
        <v>84</v>
      </c>
      <c r="B66" s="9" t="s">
        <v>85</v>
      </c>
      <c r="C66" s="9" t="s">
        <v>86</v>
      </c>
      <c r="D66" s="10">
        <v>45316</v>
      </c>
      <c r="E66" s="10">
        <v>45444</v>
      </c>
      <c r="F66" s="10">
        <v>45473</v>
      </c>
      <c r="G66" s="9">
        <v>3786100</v>
      </c>
      <c r="H66" s="9" t="str">
        <f t="shared" ref="H66:H129" si="7">IF(ISNUMBER(SEARCH("cancel",AN66)),"Cancelled",IF(AND(AK66&lt;&gt;"",AL66&lt;&gt;"",AM66&lt;&gt;""),"Closed","Open"))</f>
        <v>Closed</v>
      </c>
      <c r="I66" s="9" t="str">
        <f t="shared" ref="I66:I129" si="8">IF(AND(AK66&lt;&gt;"",AL66&lt;&gt;"",AM66&lt;&gt;""),"All dates received",_xlfn.TEXTJOIN(" and ",TRUE(),IF(AK66="","No sailing date",""),IF(AL66="","No shipping advice sent",""),IF(AM66="","No docs dispatch date","")))</f>
        <v>All dates received</v>
      </c>
      <c r="J66" s="9" t="s">
        <v>264</v>
      </c>
      <c r="K66" s="9">
        <v>4956</v>
      </c>
      <c r="L66" s="11">
        <v>320</v>
      </c>
      <c r="M66" s="9" t="s">
        <v>265</v>
      </c>
      <c r="N66" s="9" t="s">
        <v>266</v>
      </c>
      <c r="O66" s="9"/>
      <c r="P66" s="9"/>
      <c r="Q66" s="11"/>
      <c r="R66" s="9" t="s">
        <v>90</v>
      </c>
      <c r="S66" s="9" t="s">
        <v>150</v>
      </c>
      <c r="T66" s="12">
        <f>IF($H66="Cancelled","",IFERROR(((Q66+INDEX(Variables!$B$6:$D$6,IFERROR(MATCH(IF($B66="Robusta","Robusta",(IF($B66="","Arabica",$B66))&amp;" - "&amp;(IF($C66="","Commercial",$C66))),Variables!$B$1:$D$1,0),1)))*22.0462)*(L66/16.67),""))</f>
        <v>123067.25778044391</v>
      </c>
      <c r="U66" s="10">
        <v>45436</v>
      </c>
      <c r="V66" s="9" t="str">
        <f t="shared" si="6"/>
        <v>Sent</v>
      </c>
      <c r="W66" s="10">
        <v>45447</v>
      </c>
      <c r="X66" s="9" t="str">
        <f t="shared" si="5"/>
        <v>Approved</v>
      </c>
      <c r="Y66" s="10"/>
      <c r="Z66" s="10">
        <f>IF($H66="Cancelled","",IFERROR(IF(F66="","",F66-Variables!$B$13),""))</f>
        <v>45458</v>
      </c>
      <c r="AA66" s="11">
        <f>IF($H66="Cancelled","",IFERROR(IF(W66="","",(AVERAGE(E66:F66)-W66)-Variables!$B$14),""))</f>
        <v>-18.5</v>
      </c>
      <c r="AB66" s="10">
        <v>45482</v>
      </c>
      <c r="AC66" s="11">
        <f>IF($H66="Cancelled","",IFERROR(IF(AB66="","",IF(AND(W66="",Y66=""),"",IF(Y66&gt;W66,Y66+Variables!$B$15+Variables!$B$16+Variables!$B$17-AB66,W66+Variables!$B$16+Variables!$B$17-AB66))),""))</f>
        <v>-27</v>
      </c>
      <c r="AD66" s="9" t="s">
        <v>180</v>
      </c>
      <c r="AE66" s="9" t="s">
        <v>93</v>
      </c>
      <c r="AF66" s="10"/>
      <c r="AG66" s="10"/>
      <c r="AH66" s="9"/>
      <c r="AI66" s="9" t="s">
        <v>282</v>
      </c>
      <c r="AJ66" s="9" t="s">
        <v>8</v>
      </c>
      <c r="AK66" s="10">
        <v>45475</v>
      </c>
      <c r="AL66" s="10">
        <v>45477</v>
      </c>
      <c r="AM66" s="10">
        <v>45482</v>
      </c>
      <c r="AN66" s="9" t="s">
        <v>95</v>
      </c>
      <c r="AO66" s="9"/>
      <c r="AP66" s="11">
        <f>IF($H66="Cancelled","",IFERROR(IF(OR(AK66="",AB66=""),"",(AB66+Variables!$B$18-AK66)),""))</f>
        <v>14</v>
      </c>
      <c r="AQ66" s="11">
        <f>IF($H66="Cancelled","",IFERROR(IF(OR(AM66="",AK66=""),"",(AK66+Variables!$B$19)-AM66),""))</f>
        <v>-2</v>
      </c>
      <c r="AR66" s="12">
        <f>IF($H66="Cancelled","",IFERROR(T66*INDEX(Variables!$B$7:$D$7,IFERROR(MATCH(IF($B66="Robusta","Robusta",(IF($B66="","Arabica",$B66))&amp;" - "&amp;(IF($C66="","Commercial",$C66))),Variables!$B$1:$D$1,0),1))*(AQ66/365),""))</f>
        <v>-43.483000162466524</v>
      </c>
      <c r="AS66" s="12">
        <f>IF($H66="Cancelled","",IFERROR((T66*INDEX(Variables!$B$7:$D$7,IFERROR(MATCH(IF($B66="Robusta","Robusta",(IF($B66="","Arabica",$B66))&amp;" - "&amp;(IF($C66="","Commercial",$C66))),Variables!$B$1:$D$1,0),1))*IFERROR(IF(W66="","",(AVERAGE(E66:F66)-W66)-Variables!$B$14),"")/365)+(L66/16.67*INDEX(Variables!$B$8:$D$8,IFERROR(MATCH(IF($B66="Robusta","Robusta",(IF($B66="","Arabica",$B66))&amp;" - "&amp;(IF($C66="","Commercial",$C66))),Variables!$B$1:$D$1,0),1))*IFERROR(IF(W66="","",(AVERAGE(E66:F66)-W66)-Variables!$B$14),""))+(T66*INDEX(Variables!$B$9:$D$9,IFERROR(MATCH(IF($B66="Robusta","Robusta",(IF($B66="","Arabica",$B66))&amp;" - "&amp;(IF($C66="","Commercial",$C66))),Variables!$B$1:$D$1,0),1))*IFERROR(IF(W66="","",(AVERAGE(E66:F66)-W66)-Variables!$B$14),"")/365),""))</f>
        <v>-703.40311454601624</v>
      </c>
      <c r="AT66" s="12">
        <f>IF($H66="Cancelled","",IFERROR((T66*INDEX(Variables!$B$7:$D$7,IFERROR(MATCH(IF($B66="Robusta","Robusta",(IF($B66="","Arabica",$B66))&amp;" - "&amp;(IF($C66="","Commercial",$C66))),Variables!$B$1:$D$1,0),1))*AC66/365)+(L66/16.67*INDEX(Variables!$B$8:$D$8,IFERROR(MATCH(IF($B66="Robusta","Robusta",(IF($B66="","Arabica",$B66))&amp;" - "&amp;(IF($C66="","Commercial",$C66))),Variables!$B$1:$D$1,0),1))*AC66)+(T66*INDEX(Variables!$B$9:$D$9,IFERROR(MATCH(IF($B66="Robusta","Robusta",(IF($B66="","Arabica",$B66))&amp;" - "&amp;(IF($C66="","Commercial",$C66))),Variables!$B$1:$D$1,0),1))*AC66/365),""))</f>
        <v>-1026.5883293374291</v>
      </c>
      <c r="AU66" s="12">
        <f>IF($H66="Cancelled","",IFERROR((T66*INDEX(Variables!$B$7:$D$7,IFERROR(MATCH(IF($B66="Robusta","Robusta",(IF($B66="","Arabica",$B66))&amp;" - "&amp;(IF($C66="","Commercial",$C66))),Variables!$B$1:$D$1,0),1))*AP66/365)+(L66/16.67*INDEX(Variables!$B$8:$D$8,IFERROR(MATCH(IF($B66="Robusta","Robusta",(IF($B66="","Arabica",$B66))&amp;" - "&amp;(IF($C66="","Commercial",$C66))),Variables!$B$1:$D$1,0),1))*AP66)+(T66*INDEX(Variables!$B$9:$D$9,IFERROR(MATCH(IF($B66="Robusta","Robusta",(IF($B66="","Arabica",$B66))&amp;" - "&amp;(IF($C66="","Commercial",$C66))),Variables!$B$1:$D$1,0),1))*AP66/365),""))</f>
        <v>532.30505965644477</v>
      </c>
      <c r="AV66" s="11">
        <f t="shared" ref="AV66:AV129" si="9">IF($H66="Cancelled","",IFERROR(IF(AK66="","",F66-AK66),""))</f>
        <v>-2</v>
      </c>
      <c r="AW66" s="12">
        <f>IF($H66="Cancelled","",IFERROR(IF(AV66="","",(T66*INDEX(Variables!$B$7:$D$7,IFERROR(MATCH(IF($B66="Robusta","Robusta",(IF($B66="","Arabica",$B66))&amp;" - "&amp;(IF($C66="","Commercial",$C66))),Variables!$B$1:$D$1,0),1))*(AV66/365))+(T66*INDEX(Variables!$B$9:$D$9,IFERROR(MATCH(IF($B66="Robusta","Robusta",(IF($B66="","Arabica",$B66))&amp;" - "&amp;(IF($C66="","Commercial",$C66))),Variables!$B$1:$D$1,0),1))*(AV66/365))+(INDEX(Variables!$B$8:$D$8,IFERROR(MATCH(IF($B66="Robusta","Robusta",(IF($B66="","Arabica",$B66))&amp;" - "&amp;(IF($C66="","Commercial",$C66))),Variables!$B$1:$D$1,0),1))*L66/16.67)),""))</f>
        <v>-28.04357995092068</v>
      </c>
      <c r="AX66" s="9"/>
      <c r="AY66" s="12"/>
      <c r="AZ66" s="10"/>
      <c r="BA66" s="9"/>
      <c r="BB66" s="10"/>
      <c r="BC66" s="9"/>
      <c r="BD66" s="9"/>
      <c r="BE66" s="9"/>
      <c r="BF66" s="9"/>
    </row>
    <row r="67" spans="1:58" x14ac:dyDescent="0.25">
      <c r="A67" s="9" t="s">
        <v>84</v>
      </c>
      <c r="B67" s="9" t="s">
        <v>85</v>
      </c>
      <c r="C67" s="9" t="s">
        <v>86</v>
      </c>
      <c r="D67" s="10">
        <v>45328</v>
      </c>
      <c r="E67" s="10">
        <v>45352</v>
      </c>
      <c r="F67" s="10">
        <v>45382</v>
      </c>
      <c r="G67" s="9">
        <v>3786103</v>
      </c>
      <c r="H67" s="9" t="str">
        <f t="shared" si="7"/>
        <v>Closed</v>
      </c>
      <c r="I67" s="9" t="str">
        <f t="shared" si="8"/>
        <v>All dates received</v>
      </c>
      <c r="J67" s="9" t="s">
        <v>264</v>
      </c>
      <c r="K67" s="9">
        <v>4743</v>
      </c>
      <c r="L67" s="11">
        <v>320</v>
      </c>
      <c r="M67" s="9" t="s">
        <v>283</v>
      </c>
      <c r="N67" s="9" t="s">
        <v>266</v>
      </c>
      <c r="O67" s="9"/>
      <c r="P67" s="9"/>
      <c r="Q67" s="11"/>
      <c r="R67" s="9" t="s">
        <v>90</v>
      </c>
      <c r="S67" s="9" t="s">
        <v>284</v>
      </c>
      <c r="T67" s="12">
        <f>IF($H67="Cancelled","",IFERROR(((Q67+INDEX(Variables!$B$6:$D$6,IFERROR(MATCH(IF($B67="Robusta","Robusta",(IF($B67="","Arabica",$B67))&amp;" - "&amp;(IF($C67="","Commercial",$C67))),Variables!$B$1:$D$1,0),1)))*22.0462)*(L67/16.67),""))</f>
        <v>123067.25778044391</v>
      </c>
      <c r="U67" s="10">
        <v>45337</v>
      </c>
      <c r="V67" s="9" t="str">
        <f t="shared" si="6"/>
        <v>Sent</v>
      </c>
      <c r="W67" s="10">
        <v>45350</v>
      </c>
      <c r="X67" s="9" t="str">
        <f t="shared" si="5"/>
        <v>Approved</v>
      </c>
      <c r="Y67" s="10"/>
      <c r="Z67" s="10">
        <f>IF($H67="Cancelled","",IFERROR(IF(F67="","",F67-Variables!$B$13),""))</f>
        <v>45367</v>
      </c>
      <c r="AA67" s="11">
        <f>IF($H67="Cancelled","",IFERROR(IF(W67="","",(AVERAGE(E67:F67)-W67)-Variables!$B$14),""))</f>
        <v>-13</v>
      </c>
      <c r="AB67" s="10">
        <v>45482</v>
      </c>
      <c r="AC67" s="11">
        <f>IF($H67="Cancelled","",IFERROR(IF(AB67="","",IF(AND(W67="",Y67=""),"",IF(Y67&gt;W67,Y67+Variables!$B$15+Variables!$B$16+Variables!$B$17-AB67,W67+Variables!$B$16+Variables!$B$17-AB67))),""))</f>
        <v>-124</v>
      </c>
      <c r="AD67" s="9" t="s">
        <v>272</v>
      </c>
      <c r="AE67" s="9" t="s">
        <v>254</v>
      </c>
      <c r="AF67" s="10"/>
      <c r="AG67" s="10"/>
      <c r="AH67" s="9"/>
      <c r="AI67" s="9" t="s">
        <v>285</v>
      </c>
      <c r="AJ67" s="9" t="s">
        <v>8</v>
      </c>
      <c r="AK67" s="10">
        <v>45374</v>
      </c>
      <c r="AL67" s="10">
        <v>45377</v>
      </c>
      <c r="AM67" s="10">
        <v>45387</v>
      </c>
      <c r="AN67" s="9" t="s">
        <v>95</v>
      </c>
      <c r="AO67" s="9"/>
      <c r="AP67" s="11">
        <f>IF($H67="Cancelled","",IFERROR(IF(OR(AK67="",AB67=""),"",(AB67+Variables!$B$18-AK67)),""))</f>
        <v>115</v>
      </c>
      <c r="AQ67" s="11">
        <f>IF($H67="Cancelled","",IFERROR(IF(OR(AM67="",AK67=""),"",(AK67+Variables!$B$19)-AM67),""))</f>
        <v>-8</v>
      </c>
      <c r="AR67" s="12">
        <f>IF($H67="Cancelled","",IFERROR(T67*INDEX(Variables!$B$7:$D$7,IFERROR(MATCH(IF($B67="Robusta","Robusta",(IF($B67="","Arabica",$B67))&amp;" - "&amp;(IF($C67="","Commercial",$C67))),Variables!$B$1:$D$1,0),1))*(AQ67/365),""))</f>
        <v>-173.9320006498661</v>
      </c>
      <c r="AS67" s="12">
        <f>IF($H67="Cancelled","",IFERROR((T67*INDEX(Variables!$B$7:$D$7,IFERROR(MATCH(IF($B67="Robusta","Robusta",(IF($B67="","Arabica",$B67))&amp;" - "&amp;(IF($C67="","Commercial",$C67))),Variables!$B$1:$D$1,0),1))*IFERROR(IF(W67="","",(AVERAGE(E67:F67)-W67)-Variables!$B$14),"")/365)+(L67/16.67*INDEX(Variables!$B$8:$D$8,IFERROR(MATCH(IF($B67="Robusta","Robusta",(IF($B67="","Arabica",$B67))&amp;" - "&amp;(IF($C67="","Commercial",$C67))),Variables!$B$1:$D$1,0),1))*IFERROR(IF(W67="","",(AVERAGE(E67:F67)-W67)-Variables!$B$14),""))+(T67*INDEX(Variables!$B$9:$D$9,IFERROR(MATCH(IF($B67="Robusta","Robusta",(IF($B67="","Arabica",$B67))&amp;" - "&amp;(IF($C67="","Commercial",$C67))),Variables!$B$1:$D$1,0),1))*IFERROR(IF(W67="","",(AVERAGE(E67:F67)-W67)-Variables!$B$14),"")/365),""))</f>
        <v>-494.28326968098435</v>
      </c>
      <c r="AT67" s="12">
        <f>IF($H67="Cancelled","",IFERROR((T67*INDEX(Variables!$B$7:$D$7,IFERROR(MATCH(IF($B67="Robusta","Robusta",(IF($B67="","Arabica",$B67))&amp;" - "&amp;(IF($C67="","Commercial",$C67))),Variables!$B$1:$D$1,0),1))*AC67/365)+(L67/16.67*INDEX(Variables!$B$8:$D$8,IFERROR(MATCH(IF($B67="Robusta","Robusta",(IF($B67="","Arabica",$B67))&amp;" - "&amp;(IF($C67="","Commercial",$C67))),Variables!$B$1:$D$1,0),1))*AC67)+(T67*INDEX(Variables!$B$9:$D$9,IFERROR(MATCH(IF($B67="Robusta","Robusta",(IF($B67="","Arabica",$B67))&amp;" - "&amp;(IF($C67="","Commercial",$C67))),Variables!$B$1:$D$1,0),1))*AC67/365),""))</f>
        <v>-4714.7019569570821</v>
      </c>
      <c r="AU67" s="12">
        <f>IF($H67="Cancelled","",IFERROR((T67*INDEX(Variables!$B$7:$D$7,IFERROR(MATCH(IF($B67="Robusta","Robusta",(IF($B67="","Arabica",$B67))&amp;" - "&amp;(IF($C67="","Commercial",$C67))),Variables!$B$1:$D$1,0),1))*AP67/365)+(L67/16.67*INDEX(Variables!$B$8:$D$8,IFERROR(MATCH(IF($B67="Robusta","Robusta",(IF($B67="","Arabica",$B67))&amp;" - "&amp;(IF($C67="","Commercial",$C67))),Variables!$B$1:$D$1,0),1))*AP67)+(T67*INDEX(Variables!$B$9:$D$9,IFERROR(MATCH(IF($B67="Robusta","Robusta",(IF($B67="","Arabica",$B67))&amp;" - "&amp;(IF($C67="","Commercial",$C67))),Variables!$B$1:$D$1,0),1))*AP67/365),""))</f>
        <v>4372.5058471779384</v>
      </c>
      <c r="AV67" s="11">
        <f t="shared" si="9"/>
        <v>8</v>
      </c>
      <c r="AW67" s="12">
        <f>IF($H67="Cancelled","",IFERROR(IF(AV67="","",(T67*INDEX(Variables!$B$7:$D$7,IFERROR(MATCH(IF($B67="Robusta","Robusta",(IF($B67="","Arabica",$B67))&amp;" - "&amp;(IF($C67="","Commercial",$C67))),Variables!$B$1:$D$1,0),1))*(AV67/365))+(T67*INDEX(Variables!$B$9:$D$9,IFERROR(MATCH(IF($B67="Robusta","Robusta",(IF($B67="","Arabica",$B67))&amp;" - "&amp;(IF($C67="","Commercial",$C67))),Variables!$B$1:$D$1,0),1))*(AV67/365))+(INDEX(Variables!$B$8:$D$8,IFERROR(MATCH(IF($B67="Robusta","Robusta",(IF($B67="","Arabica",$B67))&amp;" - "&amp;(IF($C67="","Commercial",$C67))),Variables!$B$1:$D$1,0),1))*L67/16.67)),""))</f>
        <v>192.17431980368272</v>
      </c>
      <c r="AX67" s="9"/>
      <c r="AY67" s="12"/>
      <c r="AZ67" s="10"/>
      <c r="BA67" s="9"/>
      <c r="BB67" s="10"/>
      <c r="BC67" s="9"/>
      <c r="BD67" s="9"/>
      <c r="BE67" s="9"/>
      <c r="BF67" s="9"/>
    </row>
    <row r="68" spans="1:58" x14ac:dyDescent="0.25">
      <c r="A68" s="9" t="s">
        <v>84</v>
      </c>
      <c r="B68" s="9" t="s">
        <v>85</v>
      </c>
      <c r="C68" s="9" t="s">
        <v>86</v>
      </c>
      <c r="D68" s="10">
        <v>45330</v>
      </c>
      <c r="E68" s="10">
        <v>45352</v>
      </c>
      <c r="F68" s="10">
        <v>45382</v>
      </c>
      <c r="G68" s="9">
        <v>3786104</v>
      </c>
      <c r="H68" s="9" t="str">
        <f t="shared" si="7"/>
        <v>Closed</v>
      </c>
      <c r="I68" s="9" t="str">
        <f t="shared" si="8"/>
        <v>All dates received</v>
      </c>
      <c r="J68" s="9" t="s">
        <v>286</v>
      </c>
      <c r="K68" s="9">
        <v>4733</v>
      </c>
      <c r="L68" s="11">
        <v>270</v>
      </c>
      <c r="M68" s="9" t="s">
        <v>287</v>
      </c>
      <c r="N68" s="9" t="s">
        <v>227</v>
      </c>
      <c r="O68" s="9"/>
      <c r="P68" s="9"/>
      <c r="Q68" s="11"/>
      <c r="R68" s="9" t="s">
        <v>195</v>
      </c>
      <c r="S68" s="9" t="s">
        <v>215</v>
      </c>
      <c r="T68" s="12">
        <f>IF($H68="Cancelled","",IFERROR(((Q68+INDEX(Variables!$B$6:$D$6,IFERROR(MATCH(IF($B68="Robusta","Robusta",(IF($B68="","Arabica",$B68))&amp;" - "&amp;(IF($C68="","Commercial",$C68))),Variables!$B$1:$D$1,0),1)))*22.0462)*(L68/16.67),""))</f>
        <v>103837.99875224954</v>
      </c>
      <c r="U68" s="10"/>
      <c r="V68" s="9" t="s">
        <v>195</v>
      </c>
      <c r="W68" s="10">
        <v>45337</v>
      </c>
      <c r="X68" s="9" t="str">
        <f t="shared" si="5"/>
        <v>Approved</v>
      </c>
      <c r="Y68" s="10">
        <v>45464</v>
      </c>
      <c r="Z68" s="10">
        <f>IF($H68="Cancelled","",IFERROR(IF(F68="","",F68-Variables!$B$13),""))</f>
        <v>45367</v>
      </c>
      <c r="AA68" s="11">
        <f>IF($H68="Cancelled","",IFERROR(IF(W68="","",(AVERAGE(E68:F68)-W68)-Variables!$B$14),""))</f>
        <v>0</v>
      </c>
      <c r="AB68" s="10">
        <v>45482</v>
      </c>
      <c r="AC68" s="11">
        <f>IF($H68="Cancelled","",IFERROR(IF(AB68="","",IF(AND(W68="",Y68=""),"",IF(Y68&gt;W68,Y68+Variables!$B$15+Variables!$B$16+Variables!$B$17-AB68,W68+Variables!$B$16+Variables!$B$17-AB68))),""))</f>
        <v>-3</v>
      </c>
      <c r="AD68" s="9" t="s">
        <v>165</v>
      </c>
      <c r="AE68" s="9" t="s">
        <v>174</v>
      </c>
      <c r="AF68" s="10"/>
      <c r="AG68" s="10"/>
      <c r="AH68" s="9"/>
      <c r="AI68" s="9" t="s">
        <v>288</v>
      </c>
      <c r="AJ68" s="9">
        <v>9562566720</v>
      </c>
      <c r="AK68" s="10">
        <v>45367</v>
      </c>
      <c r="AL68" s="10">
        <v>45369</v>
      </c>
      <c r="AM68" s="10">
        <v>45371</v>
      </c>
      <c r="AN68" s="9" t="s">
        <v>95</v>
      </c>
      <c r="AO68" s="9"/>
      <c r="AP68" s="11">
        <f>IF($H68="Cancelled","",IFERROR(IF(OR(AK68="",AB68=""),"",(AB68+Variables!$B$18-AK68)),""))</f>
        <v>122</v>
      </c>
      <c r="AQ68" s="11">
        <f>IF($H68="Cancelled","",IFERROR(IF(OR(AM68="",AK68=""),"",(AK68+Variables!$B$19)-AM68),""))</f>
        <v>1</v>
      </c>
      <c r="AR68" s="12">
        <f>IF($H68="Cancelled","",IFERROR(T68*INDEX(Variables!$B$7:$D$7,IFERROR(MATCH(IF($B68="Robusta","Robusta",(IF($B68="","Arabica",$B68))&amp;" - "&amp;(IF($C68="","Commercial",$C68))),Variables!$B$1:$D$1,0),1))*(AQ68/365),""))</f>
        <v>18.344390693540564</v>
      </c>
      <c r="AS68" s="12">
        <f>IF($H68="Cancelled","",IFERROR((T68*INDEX(Variables!$B$7:$D$7,IFERROR(MATCH(IF($B68="Robusta","Robusta",(IF($B68="","Arabica",$B68))&amp;" - "&amp;(IF($C68="","Commercial",$C68))),Variables!$B$1:$D$1,0),1))*IFERROR(IF(W68="","",(AVERAGE(E68:F68)-W68)-Variables!$B$14),"")/365)+(L68/16.67*INDEX(Variables!$B$8:$D$8,IFERROR(MATCH(IF($B68="Robusta","Robusta",(IF($B68="","Arabica",$B68))&amp;" - "&amp;(IF($C68="","Commercial",$C68))),Variables!$B$1:$D$1,0),1))*IFERROR(IF(W68="","",(AVERAGE(E68:F68)-W68)-Variables!$B$14),""))+(T68*INDEX(Variables!$B$9:$D$9,IFERROR(MATCH(IF($B68="Robusta","Robusta",(IF($B68="","Arabica",$B68))&amp;" - "&amp;(IF($C68="","Commercial",$C68))),Variables!$B$1:$D$1,0),1))*IFERROR(IF(W68="","",(AVERAGE(E68:F68)-W68)-Variables!$B$14),"")/365),""))</f>
        <v>0</v>
      </c>
      <c r="AT68" s="12">
        <f>IF($H68="Cancelled","",IFERROR((T68*INDEX(Variables!$B$7:$D$7,IFERROR(MATCH(IF($B68="Robusta","Robusta",(IF($B68="","Arabica",$B68))&amp;" - "&amp;(IF($C68="","Commercial",$C68))),Variables!$B$1:$D$1,0),1))*AC68/365)+(L68/16.67*INDEX(Variables!$B$8:$D$8,IFERROR(MATCH(IF($B68="Robusta","Robusta",(IF($B68="","Arabica",$B68))&amp;" - "&amp;(IF($C68="","Commercial",$C68))),Variables!$B$1:$D$1,0),1))*AC68)+(T68*INDEX(Variables!$B$9:$D$9,IFERROR(MATCH(IF($B68="Robusta","Robusta",(IF($B68="","Arabica",$B68))&amp;" - "&amp;(IF($C68="","Commercial",$C68))),Variables!$B$1:$D$1,0),1))*AC68/365),""))</f>
        <v>-96.242655875383974</v>
      </c>
      <c r="AU68" s="12">
        <f>IF($H68="Cancelled","",IFERROR((T68*INDEX(Variables!$B$7:$D$7,IFERROR(MATCH(IF($B68="Robusta","Robusta",(IF($B68="","Arabica",$B68))&amp;" - "&amp;(IF($C68="","Commercial",$C68))),Variables!$B$1:$D$1,0),1))*AP68/365)+(L68/16.67*INDEX(Variables!$B$8:$D$8,IFERROR(MATCH(IF($B68="Robusta","Robusta",(IF($B68="","Arabica",$B68))&amp;" - "&amp;(IF($C68="","Commercial",$C68))),Variables!$B$1:$D$1,0),1))*AP68)+(T68*INDEX(Variables!$B$9:$D$9,IFERROR(MATCH(IF($B68="Robusta","Robusta",(IF($B68="","Arabica",$B68))&amp;" - "&amp;(IF($C68="","Commercial",$C68))),Variables!$B$1:$D$1,0),1))*AP68/365),""))</f>
        <v>3913.8680055989489</v>
      </c>
      <c r="AV68" s="11">
        <f t="shared" si="9"/>
        <v>15</v>
      </c>
      <c r="AW68" s="12">
        <f>IF($H68="Cancelled","",IFERROR(IF(AV68="","",(T68*INDEX(Variables!$B$7:$D$7,IFERROR(MATCH(IF($B68="Robusta","Robusta",(IF($B68="","Arabica",$B68))&amp;" - "&amp;(IF($C68="","Commercial",$C68))),Variables!$B$1:$D$1,0),1))*(AV68/365))+(T68*INDEX(Variables!$B$9:$D$9,IFERROR(MATCH(IF($B68="Robusta","Robusta",(IF($B68="","Arabica",$B68))&amp;" - "&amp;(IF($C68="","Commercial",$C68))),Variables!$B$1:$D$1,0),1))*(AV68/365))+(INDEX(Variables!$B$8:$D$8,IFERROR(MATCH(IF($B68="Robusta","Robusta",(IF($B68="","Arabica",$B68))&amp;" - "&amp;(IF($C68="","Commercial",$C68))),Variables!$B$1:$D$1,0),1))*L68/16.67)),""))</f>
        <v>292.21327937691984</v>
      </c>
      <c r="AX68" s="9"/>
      <c r="AY68" s="12"/>
      <c r="AZ68" s="10"/>
      <c r="BA68" s="9"/>
      <c r="BB68" s="10"/>
      <c r="BC68" s="9"/>
      <c r="BD68" s="9"/>
      <c r="BE68" s="9"/>
      <c r="BF68" s="9"/>
    </row>
    <row r="69" spans="1:58" x14ac:dyDescent="0.25">
      <c r="A69" s="9" t="s">
        <v>84</v>
      </c>
      <c r="B69" s="9" t="s">
        <v>85</v>
      </c>
      <c r="C69" s="9" t="s">
        <v>86</v>
      </c>
      <c r="D69" s="10">
        <v>45330</v>
      </c>
      <c r="E69" s="10">
        <v>45352</v>
      </c>
      <c r="F69" s="10">
        <v>45382</v>
      </c>
      <c r="G69" s="9">
        <v>3786105</v>
      </c>
      <c r="H69" s="9" t="str">
        <f t="shared" si="7"/>
        <v>Closed</v>
      </c>
      <c r="I69" s="9" t="str">
        <f t="shared" si="8"/>
        <v>All dates received</v>
      </c>
      <c r="J69" s="9" t="s">
        <v>286</v>
      </c>
      <c r="K69" s="9">
        <v>4734</v>
      </c>
      <c r="L69" s="11">
        <v>50</v>
      </c>
      <c r="M69" s="9" t="s">
        <v>289</v>
      </c>
      <c r="N69" s="9" t="s">
        <v>122</v>
      </c>
      <c r="O69" s="9"/>
      <c r="P69" s="9"/>
      <c r="Q69" s="11"/>
      <c r="R69" s="9" t="s">
        <v>195</v>
      </c>
      <c r="S69" s="9" t="s">
        <v>215</v>
      </c>
      <c r="T69" s="12">
        <f>IF($H69="Cancelled","",IFERROR(((Q69+INDEX(Variables!$B$6:$D$6,IFERROR(MATCH(IF($B69="Robusta","Robusta",(IF($B69="","Arabica",$B69))&amp;" - "&amp;(IF($C69="","Commercial",$C69))),Variables!$B$1:$D$1,0),1)))*22.0462)*(L69/16.67),""))</f>
        <v>19229.259028194359</v>
      </c>
      <c r="U69" s="10"/>
      <c r="V69" s="9" t="s">
        <v>195</v>
      </c>
      <c r="W69" s="10">
        <v>45337</v>
      </c>
      <c r="X69" s="9" t="str">
        <f t="shared" si="5"/>
        <v>Approved</v>
      </c>
      <c r="Y69" s="10">
        <v>45464</v>
      </c>
      <c r="Z69" s="10">
        <f>IF($H69="Cancelled","",IFERROR(IF(F69="","",F69-Variables!$B$13),""))</f>
        <v>45367</v>
      </c>
      <c r="AA69" s="11">
        <f>IF($H69="Cancelled","",IFERROR(IF(W69="","",(AVERAGE(E69:F69)-W69)-Variables!$B$14),""))</f>
        <v>0</v>
      </c>
      <c r="AB69" s="10">
        <v>45482</v>
      </c>
      <c r="AC69" s="11">
        <f>IF($H69="Cancelled","",IFERROR(IF(AB69="","",IF(AND(W69="",Y69=""),"",IF(Y69&gt;W69,Y69+Variables!$B$15+Variables!$B$16+Variables!$B$17-AB69,W69+Variables!$B$16+Variables!$B$17-AB69))),""))</f>
        <v>-3</v>
      </c>
      <c r="AD69" s="9" t="s">
        <v>165</v>
      </c>
      <c r="AE69" s="9" t="s">
        <v>174</v>
      </c>
      <c r="AF69" s="10"/>
      <c r="AG69" s="10"/>
      <c r="AH69" s="9"/>
      <c r="AI69" s="9" t="s">
        <v>288</v>
      </c>
      <c r="AJ69" s="9">
        <v>9562566720</v>
      </c>
      <c r="AK69" s="10">
        <v>45367</v>
      </c>
      <c r="AL69" s="10">
        <v>45369</v>
      </c>
      <c r="AM69" s="10">
        <v>45371</v>
      </c>
      <c r="AN69" s="9" t="s">
        <v>95</v>
      </c>
      <c r="AO69" s="9"/>
      <c r="AP69" s="11">
        <f>IF($H69="Cancelled","",IFERROR(IF(OR(AK69="",AB69=""),"",(AB69+Variables!$B$18-AK69)),""))</f>
        <v>122</v>
      </c>
      <c r="AQ69" s="11">
        <f>IF($H69="Cancelled","",IFERROR(IF(OR(AM69="",AK69=""),"",(AK69+Variables!$B$19)-AM69),""))</f>
        <v>1</v>
      </c>
      <c r="AR69" s="12">
        <f>IF($H69="Cancelled","",IFERROR(T69*INDEX(Variables!$B$7:$D$7,IFERROR(MATCH(IF($B69="Robusta","Robusta",(IF($B69="","Arabica",$B69))&amp;" - "&amp;(IF($C69="","Commercial",$C69))),Variables!$B$1:$D$1,0),1))*(AQ69/365),""))</f>
        <v>3.397109387692697</v>
      </c>
      <c r="AS69" s="12">
        <f>IF($H69="Cancelled","",IFERROR((T69*INDEX(Variables!$B$7:$D$7,IFERROR(MATCH(IF($B69="Robusta","Robusta",(IF($B69="","Arabica",$B69))&amp;" - "&amp;(IF($C69="","Commercial",$C69))),Variables!$B$1:$D$1,0),1))*IFERROR(IF(W69="","",(AVERAGE(E69:F69)-W69)-Variables!$B$14),"")/365)+(L69/16.67*INDEX(Variables!$B$8:$D$8,IFERROR(MATCH(IF($B69="Robusta","Robusta",(IF($B69="","Arabica",$B69))&amp;" - "&amp;(IF($C69="","Commercial",$C69))),Variables!$B$1:$D$1,0),1))*IFERROR(IF(W69="","",(AVERAGE(E69:F69)-W69)-Variables!$B$14),""))+(T69*INDEX(Variables!$B$9:$D$9,IFERROR(MATCH(IF($B69="Robusta","Robusta",(IF($B69="","Arabica",$B69))&amp;" - "&amp;(IF($C69="","Commercial",$C69))),Variables!$B$1:$D$1,0),1))*IFERROR(IF(W69="","",(AVERAGE(E69:F69)-W69)-Variables!$B$14),"")/365),""))</f>
        <v>0</v>
      </c>
      <c r="AT69" s="12">
        <f>IF($H69="Cancelled","",IFERROR((T69*INDEX(Variables!$B$7:$D$7,IFERROR(MATCH(IF($B69="Robusta","Robusta",(IF($B69="","Arabica",$B69))&amp;" - "&amp;(IF($C69="","Commercial",$C69))),Variables!$B$1:$D$1,0),1))*AC69/365)+(L69/16.67*INDEX(Variables!$B$8:$D$8,IFERROR(MATCH(IF($B69="Robusta","Robusta",(IF($B69="","Arabica",$B69))&amp;" - "&amp;(IF($C69="","Commercial",$C69))),Variables!$B$1:$D$1,0),1))*AC69)+(T69*INDEX(Variables!$B$9:$D$9,IFERROR(MATCH(IF($B69="Robusta","Robusta",(IF($B69="","Arabica",$B69))&amp;" - "&amp;(IF($C69="","Commercial",$C69))),Variables!$B$1:$D$1,0),1))*AC69/365),""))</f>
        <v>-17.822714050997032</v>
      </c>
      <c r="AU69" s="12">
        <f>IF($H69="Cancelled","",IFERROR((T69*INDEX(Variables!$B$7:$D$7,IFERROR(MATCH(IF($B69="Robusta","Robusta",(IF($B69="","Arabica",$B69))&amp;" - "&amp;(IF($C69="","Commercial",$C69))),Variables!$B$1:$D$1,0),1))*AP69/365)+(L69/16.67*INDEX(Variables!$B$8:$D$8,IFERROR(MATCH(IF($B69="Robusta","Robusta",(IF($B69="","Arabica",$B69))&amp;" - "&amp;(IF($C69="","Commercial",$C69))),Variables!$B$1:$D$1,0),1))*AP69)+(T69*INDEX(Variables!$B$9:$D$9,IFERROR(MATCH(IF($B69="Robusta","Robusta",(IF($B69="","Arabica",$B69))&amp;" - "&amp;(IF($C69="","Commercial",$C69))),Variables!$B$1:$D$1,0),1))*AP69/365),""))</f>
        <v>724.79037140721266</v>
      </c>
      <c r="AV69" s="11">
        <f t="shared" si="9"/>
        <v>15</v>
      </c>
      <c r="AW69" s="12">
        <f>IF($H69="Cancelled","",IFERROR(IF(AV69="","",(T69*INDEX(Variables!$B$7:$D$7,IFERROR(MATCH(IF($B69="Robusta","Robusta",(IF($B69="","Arabica",$B69))&amp;" - "&amp;(IF($C69="","Commercial",$C69))),Variables!$B$1:$D$1,0),1))*(AV69/365))+(T69*INDEX(Variables!$B$9:$D$9,IFERROR(MATCH(IF($B69="Robusta","Robusta",(IF($B69="","Arabica",$B69))&amp;" - "&amp;(IF($C69="","Commercial",$C69))),Variables!$B$1:$D$1,0),1))*(AV69/365))+(INDEX(Variables!$B$8:$D$8,IFERROR(MATCH(IF($B69="Robusta","Robusta",(IF($B69="","Arabica",$B69))&amp;" - "&amp;(IF($C69="","Commercial",$C69))),Variables!$B$1:$D$1,0),1))*L69/16.67)),""))</f>
        <v>54.11357025498517</v>
      </c>
      <c r="AX69" s="9"/>
      <c r="AY69" s="12"/>
      <c r="AZ69" s="10"/>
      <c r="BA69" s="9"/>
      <c r="BB69" s="10"/>
      <c r="BC69" s="9"/>
      <c r="BD69" s="9"/>
      <c r="BE69" s="9"/>
      <c r="BF69" s="9"/>
    </row>
    <row r="70" spans="1:58" x14ac:dyDescent="0.25">
      <c r="A70" s="9" t="s">
        <v>84</v>
      </c>
      <c r="B70" s="9" t="s">
        <v>85</v>
      </c>
      <c r="C70" s="9" t="s">
        <v>86</v>
      </c>
      <c r="D70" s="10">
        <v>45335</v>
      </c>
      <c r="E70" s="10">
        <v>45413</v>
      </c>
      <c r="F70" s="10">
        <v>45443</v>
      </c>
      <c r="G70" s="9">
        <v>3786106</v>
      </c>
      <c r="H70" s="9" t="str">
        <f t="shared" si="7"/>
        <v>Closed</v>
      </c>
      <c r="I70" s="9" t="str">
        <f t="shared" si="8"/>
        <v>All dates received</v>
      </c>
      <c r="J70" s="9" t="s">
        <v>102</v>
      </c>
      <c r="K70" s="9">
        <v>4860</v>
      </c>
      <c r="L70" s="11">
        <v>720</v>
      </c>
      <c r="M70" s="9" t="s">
        <v>290</v>
      </c>
      <c r="N70" s="9" t="s">
        <v>122</v>
      </c>
      <c r="O70" s="9"/>
      <c r="P70" s="9"/>
      <c r="Q70" s="11"/>
      <c r="R70" s="9" t="s">
        <v>90</v>
      </c>
      <c r="S70" s="9" t="s">
        <v>106</v>
      </c>
      <c r="T70" s="12">
        <f>IF($H70="Cancelled","",IFERROR(((Q70+INDEX(Variables!$B$6:$D$6,IFERROR(MATCH(IF($B70="Robusta","Robusta",(IF($B70="","Arabica",$B70))&amp;" - "&amp;(IF($C70="","Commercial",$C70))),Variables!$B$1:$D$1,0),1)))*22.0462)*(L70/16.67),""))</f>
        <v>276901.33000599878</v>
      </c>
      <c r="U70" s="10">
        <v>45411</v>
      </c>
      <c r="V70" s="9" t="str">
        <f t="shared" ref="V70:V79" si="10">IF(ISNUMBER(U70),"Sent","")</f>
        <v>Sent</v>
      </c>
      <c r="W70" s="10">
        <v>45414</v>
      </c>
      <c r="X70" s="9" t="str">
        <f t="shared" si="5"/>
        <v>Approved</v>
      </c>
      <c r="Y70" s="10"/>
      <c r="Z70" s="10">
        <f>IF($H70="Cancelled","",IFERROR(IF(F70="","",F70-Variables!$B$13),""))</f>
        <v>45428</v>
      </c>
      <c r="AA70" s="11">
        <f>IF($H70="Cancelled","",IFERROR(IF(W70="","",(AVERAGE(E70:F70)-W70)-Variables!$B$14),""))</f>
        <v>-16</v>
      </c>
      <c r="AB70" s="10">
        <v>45482</v>
      </c>
      <c r="AC70" s="11">
        <f>IF($H70="Cancelled","",IFERROR(IF(AB70="","",IF(AND(W70="",Y70=""),"",IF(Y70&gt;W70,Y70+Variables!$B$15+Variables!$B$16+Variables!$B$17-AB70,W70+Variables!$B$16+Variables!$B$17-AB70))),""))</f>
        <v>-60</v>
      </c>
      <c r="AD70" s="9" t="s">
        <v>151</v>
      </c>
      <c r="AE70" s="9" t="s">
        <v>291</v>
      </c>
      <c r="AF70" s="10"/>
      <c r="AG70" s="10"/>
      <c r="AH70" s="9"/>
      <c r="AI70" s="9" t="s">
        <v>292</v>
      </c>
      <c r="AJ70" s="9" t="s">
        <v>8</v>
      </c>
      <c r="AK70" s="10">
        <v>45461</v>
      </c>
      <c r="AL70" s="10">
        <v>45464</v>
      </c>
      <c r="AM70" s="10">
        <v>45475</v>
      </c>
      <c r="AN70" s="9" t="s">
        <v>95</v>
      </c>
      <c r="AO70" s="9"/>
      <c r="AP70" s="11">
        <f>IF($H70="Cancelled","",IFERROR(IF(OR(AK70="",AB70=""),"",(AB70+Variables!$B$18-AK70)),""))</f>
        <v>28</v>
      </c>
      <c r="AQ70" s="11">
        <f>IF($H70="Cancelled","",IFERROR(IF(OR(AM70="",AK70=""),"",(AK70+Variables!$B$19)-AM70),""))</f>
        <v>-9</v>
      </c>
      <c r="AR70" s="12">
        <f>IF($H70="Cancelled","",IFERROR(T70*INDEX(Variables!$B$7:$D$7,IFERROR(MATCH(IF($B70="Robusta","Robusta",(IF($B70="","Arabica",$B70))&amp;" - "&amp;(IF($C70="","Commercial",$C70))),Variables!$B$1:$D$1,0),1))*(AQ70/365),""))</f>
        <v>-440.26537664497351</v>
      </c>
      <c r="AS70" s="12">
        <f>IF($H70="Cancelled","",IFERROR((T70*INDEX(Variables!$B$7:$D$7,IFERROR(MATCH(IF($B70="Robusta","Robusta",(IF($B70="","Arabica",$B70))&amp;" - "&amp;(IF($C70="","Commercial",$C70))),Variables!$B$1:$D$1,0),1))*IFERROR(IF(W70="","",(AVERAGE(E70:F70)-W70)-Variables!$B$14),"")/365)+(L70/16.67*INDEX(Variables!$B$8:$D$8,IFERROR(MATCH(IF($B70="Robusta","Robusta",(IF($B70="","Arabica",$B70))&amp;" - "&amp;(IF($C70="","Commercial",$C70))),Variables!$B$1:$D$1,0),1))*IFERROR(IF(W70="","",(AVERAGE(E70:F70)-W70)-Variables!$B$14),""))+(T70*INDEX(Variables!$B$9:$D$9,IFERROR(MATCH(IF($B70="Robusta","Robusta",(IF($B70="","Arabica",$B70))&amp;" - "&amp;(IF($C70="","Commercial",$C70))),Variables!$B$1:$D$1,0),1))*IFERROR(IF(W70="","",(AVERAGE(E70:F70)-W70)-Variables!$B$14),"")/365),""))</f>
        <v>-1368.7844391165722</v>
      </c>
      <c r="AT70" s="12">
        <f>IF($H70="Cancelled","",IFERROR((T70*INDEX(Variables!$B$7:$D$7,IFERROR(MATCH(IF($B70="Robusta","Robusta",(IF($B70="","Arabica",$B70))&amp;" - "&amp;(IF($C70="","Commercial",$C70))),Variables!$B$1:$D$1,0),1))*AC70/365)+(L70/16.67*INDEX(Variables!$B$8:$D$8,IFERROR(MATCH(IF($B70="Robusta","Robusta",(IF($B70="","Arabica",$B70))&amp;" - "&amp;(IF($C70="","Commercial",$C70))),Variables!$B$1:$D$1,0),1))*AC70)+(T70*INDEX(Variables!$B$9:$D$9,IFERROR(MATCH(IF($B70="Robusta","Robusta",(IF($B70="","Arabica",$B70))&amp;" - "&amp;(IF($C70="","Commercial",$C70))),Variables!$B$1:$D$1,0),1))*AC70/365),""))</f>
        <v>-5132.9416466871462</v>
      </c>
      <c r="AU70" s="12">
        <f>IF($H70="Cancelled","",IFERROR((T70*INDEX(Variables!$B$7:$D$7,IFERROR(MATCH(IF($B70="Robusta","Robusta",(IF($B70="","Arabica",$B70))&amp;" - "&amp;(IF($C70="","Commercial",$C70))),Variables!$B$1:$D$1,0),1))*AP70/365)+(L70/16.67*INDEX(Variables!$B$8:$D$8,IFERROR(MATCH(IF($B70="Robusta","Robusta",(IF($B70="","Arabica",$B70))&amp;" - "&amp;(IF($C70="","Commercial",$C70))),Variables!$B$1:$D$1,0),1))*AP70)+(T70*INDEX(Variables!$B$9:$D$9,IFERROR(MATCH(IF($B70="Robusta","Robusta",(IF($B70="","Arabica",$B70))&amp;" - "&amp;(IF($C70="","Commercial",$C70))),Variables!$B$1:$D$1,0),1))*AP70/365),""))</f>
        <v>2395.3727684540017</v>
      </c>
      <c r="AV70" s="11">
        <f t="shared" si="9"/>
        <v>-18</v>
      </c>
      <c r="AW70" s="12">
        <f>IF($H70="Cancelled","",IFERROR(IF(AV70="","",(T70*INDEX(Variables!$B$7:$D$7,IFERROR(MATCH(IF($B70="Robusta","Robusta",(IF($B70="","Arabica",$B70))&amp;" - "&amp;(IF($C70="","Commercial",$C70))),Variables!$B$1:$D$1,0),1))*(AV70/365))+(T70*INDEX(Variables!$B$9:$D$9,IFERROR(MATCH(IF($B70="Robusta","Robusta",(IF($B70="","Arabica",$B70))&amp;" - "&amp;(IF($C70="","Commercial",$C70))),Variables!$B$1:$D$1,0),1))*(AV70/365))+(INDEX(Variables!$B$8:$D$8,IFERROR(MATCH(IF($B70="Robusta","Robusta",(IF($B70="","Arabica",$B70))&amp;" - "&amp;(IF($C70="","Commercial",$C70))),Variables!$B$1:$D$1,0),1))*L70/16.67)),""))</f>
        <v>-855.88249400614359</v>
      </c>
      <c r="AX70" s="9"/>
      <c r="AY70" s="12"/>
      <c r="AZ70" s="10"/>
      <c r="BA70" s="9"/>
      <c r="BB70" s="10"/>
      <c r="BC70" s="9"/>
      <c r="BD70" s="9"/>
      <c r="BE70" s="9"/>
      <c r="BF70" s="9"/>
    </row>
    <row r="71" spans="1:58" x14ac:dyDescent="0.25">
      <c r="A71" s="9" t="s">
        <v>84</v>
      </c>
      <c r="B71" s="9" t="s">
        <v>85</v>
      </c>
      <c r="C71" s="9" t="s">
        <v>86</v>
      </c>
      <c r="D71" s="10">
        <v>45335</v>
      </c>
      <c r="E71" s="10">
        <v>45413</v>
      </c>
      <c r="F71" s="10">
        <v>45443</v>
      </c>
      <c r="G71" s="9">
        <v>3786106</v>
      </c>
      <c r="H71" s="9" t="str">
        <f t="shared" si="7"/>
        <v>Closed</v>
      </c>
      <c r="I71" s="9" t="str">
        <f t="shared" si="8"/>
        <v>All dates received</v>
      </c>
      <c r="J71" s="9" t="s">
        <v>102</v>
      </c>
      <c r="K71" s="9">
        <v>4861</v>
      </c>
      <c r="L71" s="11">
        <v>720</v>
      </c>
      <c r="M71" s="9" t="s">
        <v>290</v>
      </c>
      <c r="N71" s="9" t="s">
        <v>122</v>
      </c>
      <c r="O71" s="9"/>
      <c r="P71" s="9"/>
      <c r="Q71" s="11"/>
      <c r="R71" s="9" t="s">
        <v>90</v>
      </c>
      <c r="S71" s="9" t="s">
        <v>293</v>
      </c>
      <c r="T71" s="12">
        <f>IF($H71="Cancelled","",IFERROR(((Q71+INDEX(Variables!$B$6:$D$6,IFERROR(MATCH(IF($B71="Robusta","Robusta",(IF($B71="","Arabica",$B71))&amp;" - "&amp;(IF($C71="","Commercial",$C71))),Variables!$B$1:$D$1,0),1)))*22.0462)*(L71/16.67),""))</f>
        <v>276901.33000599878</v>
      </c>
      <c r="U71" s="10">
        <v>45411</v>
      </c>
      <c r="V71" s="9" t="str">
        <f t="shared" si="10"/>
        <v>Sent</v>
      </c>
      <c r="W71" s="10">
        <v>45414</v>
      </c>
      <c r="X71" s="9" t="str">
        <f t="shared" si="5"/>
        <v>Approved</v>
      </c>
      <c r="Y71" s="10"/>
      <c r="Z71" s="10">
        <f>IF($H71="Cancelled","",IFERROR(IF(F71="","",F71-Variables!$B$13),""))</f>
        <v>45428</v>
      </c>
      <c r="AA71" s="11">
        <f>IF($H71="Cancelled","",IFERROR(IF(W71="","",(AVERAGE(E71:F71)-W71)-Variables!$B$14),""))</f>
        <v>-16</v>
      </c>
      <c r="AB71" s="10">
        <v>45482</v>
      </c>
      <c r="AC71" s="11">
        <f>IF($H71="Cancelled","",IFERROR(IF(AB71="","",IF(AND(W71="",Y71=""),"",IF(Y71&gt;W71,Y71+Variables!$B$15+Variables!$B$16+Variables!$B$17-AB71,W71+Variables!$B$16+Variables!$B$17-AB71))),""))</f>
        <v>-60</v>
      </c>
      <c r="AD71" s="9" t="s">
        <v>294</v>
      </c>
      <c r="AE71" s="9" t="s">
        <v>184</v>
      </c>
      <c r="AF71" s="10"/>
      <c r="AG71" s="10"/>
      <c r="AH71" s="9"/>
      <c r="AI71" s="9" t="s">
        <v>295</v>
      </c>
      <c r="AJ71" s="9" t="s">
        <v>8</v>
      </c>
      <c r="AK71" s="10">
        <v>45454</v>
      </c>
      <c r="AL71" s="10">
        <v>45457</v>
      </c>
      <c r="AM71" s="10">
        <v>45457</v>
      </c>
      <c r="AN71" s="9" t="s">
        <v>95</v>
      </c>
      <c r="AO71" s="9"/>
      <c r="AP71" s="11">
        <f>IF($H71="Cancelled","",IFERROR(IF(OR(AK71="",AB71=""),"",(AB71+Variables!$B$18-AK71)),""))</f>
        <v>35</v>
      </c>
      <c r="AQ71" s="11">
        <f>IF($H71="Cancelled","",IFERROR(IF(OR(AM71="",AK71=""),"",(AK71+Variables!$B$19)-AM71),""))</f>
        <v>2</v>
      </c>
      <c r="AR71" s="12">
        <f>IF($H71="Cancelled","",IFERROR(T71*INDEX(Variables!$B$7:$D$7,IFERROR(MATCH(IF($B71="Robusta","Robusta",(IF($B71="","Arabica",$B71))&amp;" - "&amp;(IF($C71="","Commercial",$C71))),Variables!$B$1:$D$1,0),1))*(AQ71/365),""))</f>
        <v>97.836750365549676</v>
      </c>
      <c r="AS71" s="12">
        <f>IF($H71="Cancelled","",IFERROR((T71*INDEX(Variables!$B$7:$D$7,IFERROR(MATCH(IF($B71="Robusta","Robusta",(IF($B71="","Arabica",$B71))&amp;" - "&amp;(IF($C71="","Commercial",$C71))),Variables!$B$1:$D$1,0),1))*IFERROR(IF(W71="","",(AVERAGE(E71:F71)-W71)-Variables!$B$14),"")/365)+(L71/16.67*INDEX(Variables!$B$8:$D$8,IFERROR(MATCH(IF($B71="Robusta","Robusta",(IF($B71="","Arabica",$B71))&amp;" - "&amp;(IF($C71="","Commercial",$C71))),Variables!$B$1:$D$1,0),1))*IFERROR(IF(W71="","",(AVERAGE(E71:F71)-W71)-Variables!$B$14),""))+(T71*INDEX(Variables!$B$9:$D$9,IFERROR(MATCH(IF($B71="Robusta","Robusta",(IF($B71="","Arabica",$B71))&amp;" - "&amp;(IF($C71="","Commercial",$C71))),Variables!$B$1:$D$1,0),1))*IFERROR(IF(W71="","",(AVERAGE(E71:F71)-W71)-Variables!$B$14),"")/365),""))</f>
        <v>-1368.7844391165722</v>
      </c>
      <c r="AT71" s="12">
        <f>IF($H71="Cancelled","",IFERROR((T71*INDEX(Variables!$B$7:$D$7,IFERROR(MATCH(IF($B71="Robusta","Robusta",(IF($B71="","Arabica",$B71))&amp;" - "&amp;(IF($C71="","Commercial",$C71))),Variables!$B$1:$D$1,0),1))*AC71/365)+(L71/16.67*INDEX(Variables!$B$8:$D$8,IFERROR(MATCH(IF($B71="Robusta","Robusta",(IF($B71="","Arabica",$B71))&amp;" - "&amp;(IF($C71="","Commercial",$C71))),Variables!$B$1:$D$1,0),1))*AC71)+(T71*INDEX(Variables!$B$9:$D$9,IFERROR(MATCH(IF($B71="Robusta","Robusta",(IF($B71="","Arabica",$B71))&amp;" - "&amp;(IF($C71="","Commercial",$C71))),Variables!$B$1:$D$1,0),1))*AC71/365),""))</f>
        <v>-5132.9416466871462</v>
      </c>
      <c r="AU71" s="12">
        <f>IF($H71="Cancelled","",IFERROR((T71*INDEX(Variables!$B$7:$D$7,IFERROR(MATCH(IF($B71="Robusta","Robusta",(IF($B71="","Arabica",$B71))&amp;" - "&amp;(IF($C71="","Commercial",$C71))),Variables!$B$1:$D$1,0),1))*AP71/365)+(L71/16.67*INDEX(Variables!$B$8:$D$8,IFERROR(MATCH(IF($B71="Robusta","Robusta",(IF($B71="","Arabica",$B71))&amp;" - "&amp;(IF($C71="","Commercial",$C71))),Variables!$B$1:$D$1,0),1))*AP71)+(T71*INDEX(Variables!$B$9:$D$9,IFERROR(MATCH(IF($B71="Robusta","Robusta",(IF($B71="","Arabica",$B71))&amp;" - "&amp;(IF($C71="","Commercial",$C71))),Variables!$B$1:$D$1,0),1))*AP71/365),""))</f>
        <v>2994.2159605675015</v>
      </c>
      <c r="AV71" s="11">
        <f t="shared" si="9"/>
        <v>-11</v>
      </c>
      <c r="AW71" s="12">
        <f>IF($H71="Cancelled","",IFERROR(IF(AV71="","",(T71*INDEX(Variables!$B$7:$D$7,IFERROR(MATCH(IF($B71="Robusta","Robusta",(IF($B71="","Arabica",$B71))&amp;" - "&amp;(IF($C71="","Commercial",$C71))),Variables!$B$1:$D$1,0),1))*(AV71/365))+(T71*INDEX(Variables!$B$9:$D$9,IFERROR(MATCH(IF($B71="Robusta","Robusta",(IF($B71="","Arabica",$B71))&amp;" - "&amp;(IF($C71="","Commercial",$C71))),Variables!$B$1:$D$1,0),1))*(AV71/365))+(INDEX(Variables!$B$8:$D$8,IFERROR(MATCH(IF($B71="Robusta","Robusta",(IF($B71="","Arabica",$B71))&amp;" - "&amp;(IF($C71="","Commercial",$C71))),Variables!$B$1:$D$1,0),1))*L71/16.67)),""))</f>
        <v>-509.03930189264338</v>
      </c>
      <c r="AX71" s="9"/>
      <c r="AY71" s="12"/>
      <c r="AZ71" s="10"/>
      <c r="BA71" s="9"/>
      <c r="BB71" s="10"/>
      <c r="BC71" s="9"/>
      <c r="BD71" s="9"/>
      <c r="BE71" s="9"/>
      <c r="BF71" s="9"/>
    </row>
    <row r="72" spans="1:58" x14ac:dyDescent="0.25">
      <c r="A72" s="9" t="s">
        <v>84</v>
      </c>
      <c r="B72" s="9" t="s">
        <v>85</v>
      </c>
      <c r="C72" s="9" t="s">
        <v>86</v>
      </c>
      <c r="D72" s="10">
        <v>45335</v>
      </c>
      <c r="E72" s="10">
        <v>45413</v>
      </c>
      <c r="F72" s="10">
        <v>45443</v>
      </c>
      <c r="G72" s="9">
        <v>3786106</v>
      </c>
      <c r="H72" s="9" t="str">
        <f t="shared" si="7"/>
        <v>Closed</v>
      </c>
      <c r="I72" s="9" t="str">
        <f t="shared" si="8"/>
        <v>All dates received</v>
      </c>
      <c r="J72" s="9" t="s">
        <v>102</v>
      </c>
      <c r="K72" s="9">
        <v>4862</v>
      </c>
      <c r="L72" s="11">
        <v>360</v>
      </c>
      <c r="M72" s="9" t="s">
        <v>290</v>
      </c>
      <c r="N72" s="9" t="s">
        <v>122</v>
      </c>
      <c r="O72" s="9"/>
      <c r="P72" s="9"/>
      <c r="Q72" s="11"/>
      <c r="R72" s="9" t="s">
        <v>90</v>
      </c>
      <c r="S72" s="9" t="s">
        <v>183</v>
      </c>
      <c r="T72" s="12">
        <f>IF($H72="Cancelled","",IFERROR(((Q72+INDEX(Variables!$B$6:$D$6,IFERROR(MATCH(IF($B72="Robusta","Robusta",(IF($B72="","Arabica",$B72))&amp;" - "&amp;(IF($C72="","Commercial",$C72))),Variables!$B$1:$D$1,0),1)))*22.0462)*(L72/16.67),""))</f>
        <v>138450.66500299939</v>
      </c>
      <c r="U72" s="10">
        <v>45411</v>
      </c>
      <c r="V72" s="9" t="str">
        <f t="shared" si="10"/>
        <v>Sent</v>
      </c>
      <c r="W72" s="10">
        <v>45414</v>
      </c>
      <c r="X72" s="9" t="str">
        <f t="shared" si="5"/>
        <v>Approved</v>
      </c>
      <c r="Y72" s="10"/>
      <c r="Z72" s="10">
        <f>IF($H72="Cancelled","",IFERROR(IF(F72="","",F72-Variables!$B$13),""))</f>
        <v>45428</v>
      </c>
      <c r="AA72" s="11">
        <f>IF($H72="Cancelled","",IFERROR(IF(W72="","",(AVERAGE(E72:F72)-W72)-Variables!$B$14),""))</f>
        <v>-16</v>
      </c>
      <c r="AB72" s="10">
        <v>45483</v>
      </c>
      <c r="AC72" s="11">
        <f>IF($H72="Cancelled","",IFERROR(IF(AB72="","",IF(AND(W72="",Y72=""),"",IF(Y72&gt;W72,Y72+Variables!$B$15+Variables!$B$16+Variables!$B$17-AB72,W72+Variables!$B$16+Variables!$B$17-AB72))),""))</f>
        <v>-61</v>
      </c>
      <c r="AD72" s="9" t="s">
        <v>180</v>
      </c>
      <c r="AE72" s="9" t="s">
        <v>158</v>
      </c>
      <c r="AF72" s="10"/>
      <c r="AG72" s="10"/>
      <c r="AH72" s="9"/>
      <c r="AI72" s="9" t="s">
        <v>296</v>
      </c>
      <c r="AJ72" s="9" t="s">
        <v>8</v>
      </c>
      <c r="AK72" s="10">
        <v>45447</v>
      </c>
      <c r="AL72" s="10">
        <v>45448</v>
      </c>
      <c r="AM72" s="10">
        <v>45454</v>
      </c>
      <c r="AN72" s="9" t="s">
        <v>95</v>
      </c>
      <c r="AO72" s="9"/>
      <c r="AP72" s="11">
        <f>IF($H72="Cancelled","",IFERROR(IF(OR(AK72="",AB72=""),"",(AB72+Variables!$B$18-AK72)),""))</f>
        <v>43</v>
      </c>
      <c r="AQ72" s="11">
        <f>IF($H72="Cancelled","",IFERROR(IF(OR(AM72="",AK72=""),"",(AK72+Variables!$B$19)-AM72),""))</f>
        <v>-2</v>
      </c>
      <c r="AR72" s="12">
        <f>IF($H72="Cancelled","",IFERROR(T72*INDEX(Variables!$B$7:$D$7,IFERROR(MATCH(IF($B72="Robusta","Robusta",(IF($B72="","Arabica",$B72))&amp;" - "&amp;(IF($C72="","Commercial",$C72))),Variables!$B$1:$D$1,0),1))*(AQ72/365),""))</f>
        <v>-48.918375182774838</v>
      </c>
      <c r="AS72" s="12">
        <f>IF($H72="Cancelled","",IFERROR((T72*INDEX(Variables!$B$7:$D$7,IFERROR(MATCH(IF($B72="Robusta","Robusta",(IF($B72="","Arabica",$B72))&amp;" - "&amp;(IF($C72="","Commercial",$C72))),Variables!$B$1:$D$1,0),1))*IFERROR(IF(W72="","",(AVERAGE(E72:F72)-W72)-Variables!$B$14),"")/365)+(L72/16.67*INDEX(Variables!$B$8:$D$8,IFERROR(MATCH(IF($B72="Robusta","Robusta",(IF($B72="","Arabica",$B72))&amp;" - "&amp;(IF($C72="","Commercial",$C72))),Variables!$B$1:$D$1,0),1))*IFERROR(IF(W72="","",(AVERAGE(E72:F72)-W72)-Variables!$B$14),""))+(T72*INDEX(Variables!$B$9:$D$9,IFERROR(MATCH(IF($B72="Robusta","Robusta",(IF($B72="","Arabica",$B72))&amp;" - "&amp;(IF($C72="","Commercial",$C72))),Variables!$B$1:$D$1,0),1))*IFERROR(IF(W72="","",(AVERAGE(E72:F72)-W72)-Variables!$B$14),"")/365),""))</f>
        <v>-684.39221955828611</v>
      </c>
      <c r="AT72" s="12">
        <f>IF($H72="Cancelled","",IFERROR((T72*INDEX(Variables!$B$7:$D$7,IFERROR(MATCH(IF($B72="Robusta","Robusta",(IF($B72="","Arabica",$B72))&amp;" - "&amp;(IF($C72="","Commercial",$C72))),Variables!$B$1:$D$1,0),1))*AC72/365)+(L72/16.67*INDEX(Variables!$B$8:$D$8,IFERROR(MATCH(IF($B72="Robusta","Robusta",(IF($B72="","Arabica",$B72))&amp;" - "&amp;(IF($C72="","Commercial",$C72))),Variables!$B$1:$D$1,0),1))*AC72)+(T72*INDEX(Variables!$B$9:$D$9,IFERROR(MATCH(IF($B72="Robusta","Robusta",(IF($B72="","Arabica",$B72))&amp;" - "&amp;(IF($C72="","Commercial",$C72))),Variables!$B$1:$D$1,0),1))*AC72/365),""))</f>
        <v>-2609.2453370659659</v>
      </c>
      <c r="AU72" s="12">
        <f>IF($H72="Cancelled","",IFERROR((T72*INDEX(Variables!$B$7:$D$7,IFERROR(MATCH(IF($B72="Robusta","Robusta",(IF($B72="","Arabica",$B72))&amp;" - "&amp;(IF($C72="","Commercial",$C72))),Variables!$B$1:$D$1,0),1))*AP72/365)+(L72/16.67*INDEX(Variables!$B$8:$D$8,IFERROR(MATCH(IF($B72="Robusta","Robusta",(IF($B72="","Arabica",$B72))&amp;" - "&amp;(IF($C72="","Commercial",$C72))),Variables!$B$1:$D$1,0),1))*AP72)+(T72*INDEX(Variables!$B$9:$D$9,IFERROR(MATCH(IF($B72="Robusta","Robusta",(IF($B72="","Arabica",$B72))&amp;" - "&amp;(IF($C72="","Commercial",$C72))),Variables!$B$1:$D$1,0),1))*AP72/365),""))</f>
        <v>1839.3040900628937</v>
      </c>
      <c r="AV72" s="11">
        <f t="shared" si="9"/>
        <v>-4</v>
      </c>
      <c r="AW72" s="12">
        <f>IF($H72="Cancelled","",IFERROR(IF(AV72="","",(T72*INDEX(Variables!$B$7:$D$7,IFERROR(MATCH(IF($B72="Robusta","Robusta",(IF($B72="","Arabica",$B72))&amp;" - "&amp;(IF($C72="","Commercial",$C72))),Variables!$B$1:$D$1,0),1))*(AV72/365))+(T72*INDEX(Variables!$B$9:$D$9,IFERROR(MATCH(IF($B72="Robusta","Robusta",(IF($B72="","Arabica",$B72))&amp;" - "&amp;(IF($C72="","Commercial",$C72))),Variables!$B$1:$D$1,0),1))*(AV72/365))+(INDEX(Variables!$B$8:$D$8,IFERROR(MATCH(IF($B72="Robusta","Robusta",(IF($B72="","Arabica",$B72))&amp;" - "&amp;(IF($C72="","Commercial",$C72))),Variables!$B$1:$D$1,0),1))*L72/16.67)),""))</f>
        <v>-81.098054889571529</v>
      </c>
      <c r="AX72" s="9"/>
      <c r="AY72" s="12"/>
      <c r="AZ72" s="10"/>
      <c r="BA72" s="9"/>
      <c r="BB72" s="10"/>
      <c r="BC72" s="9"/>
      <c r="BD72" s="9"/>
      <c r="BE72" s="9"/>
      <c r="BF72" s="9"/>
    </row>
    <row r="73" spans="1:58" x14ac:dyDescent="0.25">
      <c r="A73" s="9" t="s">
        <v>84</v>
      </c>
      <c r="B73" s="9" t="s">
        <v>85</v>
      </c>
      <c r="C73" s="9" t="s">
        <v>86</v>
      </c>
      <c r="D73" s="10">
        <v>45335</v>
      </c>
      <c r="E73" s="10">
        <v>45444</v>
      </c>
      <c r="F73" s="10">
        <v>45473</v>
      </c>
      <c r="G73" s="9">
        <v>3786107</v>
      </c>
      <c r="H73" s="9" t="str">
        <f t="shared" si="7"/>
        <v>Closed</v>
      </c>
      <c r="I73" s="9" t="str">
        <f t="shared" si="8"/>
        <v>All dates received</v>
      </c>
      <c r="J73" s="9" t="s">
        <v>102</v>
      </c>
      <c r="K73" s="9">
        <v>4927</v>
      </c>
      <c r="L73" s="11">
        <v>360</v>
      </c>
      <c r="M73" s="9" t="s">
        <v>290</v>
      </c>
      <c r="N73" s="9" t="s">
        <v>122</v>
      </c>
      <c r="O73" s="9"/>
      <c r="P73" s="9"/>
      <c r="Q73" s="11"/>
      <c r="R73" s="9" t="s">
        <v>90</v>
      </c>
      <c r="S73" s="9" t="s">
        <v>183</v>
      </c>
      <c r="T73" s="12">
        <f>IF($H73="Cancelled","",IFERROR(((Q73+INDEX(Variables!$B$6:$D$6,IFERROR(MATCH(IF($B73="Robusta","Robusta",(IF($B73="","Arabica",$B73))&amp;" - "&amp;(IF($C73="","Commercial",$C73))),Variables!$B$1:$D$1,0),1)))*22.0462)*(L73/16.67),""))</f>
        <v>138450.66500299939</v>
      </c>
      <c r="U73" s="10">
        <v>45411</v>
      </c>
      <c r="V73" s="9" t="str">
        <f t="shared" si="10"/>
        <v>Sent</v>
      </c>
      <c r="W73" s="10">
        <v>45418</v>
      </c>
      <c r="X73" s="9" t="str">
        <f t="shared" si="5"/>
        <v>Approved</v>
      </c>
      <c r="Y73" s="10"/>
      <c r="Z73" s="10">
        <f>IF($H73="Cancelled","",IFERROR(IF(F73="","",F73-Variables!$B$13),""))</f>
        <v>45458</v>
      </c>
      <c r="AA73" s="11">
        <f>IF($H73="Cancelled","",IFERROR(IF(W73="","",(AVERAGE(E73:F73)-W73)-Variables!$B$14),""))</f>
        <v>10.5</v>
      </c>
      <c r="AB73" s="10">
        <v>45483</v>
      </c>
      <c r="AC73" s="11">
        <f>IF($H73="Cancelled","",IFERROR(IF(AB73="","",IF(AND(W73="",Y73=""),"",IF(Y73&gt;W73,Y73+Variables!$B$15+Variables!$B$16+Variables!$B$17-AB73,W73+Variables!$B$16+Variables!$B$17-AB73))),""))</f>
        <v>-57</v>
      </c>
      <c r="AD73" s="9" t="s">
        <v>163</v>
      </c>
      <c r="AE73" s="9" t="s">
        <v>219</v>
      </c>
      <c r="AF73" s="10"/>
      <c r="AG73" s="10"/>
      <c r="AH73" s="9"/>
      <c r="AI73" s="9">
        <v>239419411</v>
      </c>
      <c r="AJ73" s="9" t="s">
        <v>8</v>
      </c>
      <c r="AK73" s="10">
        <v>45464</v>
      </c>
      <c r="AL73" s="10">
        <v>45467</v>
      </c>
      <c r="AM73" s="10">
        <v>45467</v>
      </c>
      <c r="AN73" s="9" t="s">
        <v>95</v>
      </c>
      <c r="AO73" s="9"/>
      <c r="AP73" s="11">
        <f>IF($H73="Cancelled","",IFERROR(IF(OR(AK73="",AB73=""),"",(AB73+Variables!$B$18-AK73)),""))</f>
        <v>26</v>
      </c>
      <c r="AQ73" s="11">
        <f>IF($H73="Cancelled","",IFERROR(IF(OR(AM73="",AK73=""),"",(AK73+Variables!$B$19)-AM73),""))</f>
        <v>2</v>
      </c>
      <c r="AR73" s="12">
        <f>IF($H73="Cancelled","",IFERROR(T73*INDEX(Variables!$B$7:$D$7,IFERROR(MATCH(IF($B73="Robusta","Robusta",(IF($B73="","Arabica",$B73))&amp;" - "&amp;(IF($C73="","Commercial",$C73))),Variables!$B$1:$D$1,0),1))*(AQ73/365),""))</f>
        <v>48.918375182774838</v>
      </c>
      <c r="AS73" s="12">
        <f>IF($H73="Cancelled","",IFERROR((T73*INDEX(Variables!$B$7:$D$7,IFERROR(MATCH(IF($B73="Robusta","Robusta",(IF($B73="","Arabica",$B73))&amp;" - "&amp;(IF($C73="","Commercial",$C73))),Variables!$B$1:$D$1,0),1))*IFERROR(IF(W73="","",(AVERAGE(E73:F73)-W73)-Variables!$B$14),"")/365)+(L73/16.67*INDEX(Variables!$B$8:$D$8,IFERROR(MATCH(IF($B73="Robusta","Robusta",(IF($B73="","Arabica",$B73))&amp;" - "&amp;(IF($C73="","Commercial",$C73))),Variables!$B$1:$D$1,0),1))*IFERROR(IF(W73="","",(AVERAGE(E73:F73)-W73)-Variables!$B$14),""))+(T73*INDEX(Variables!$B$9:$D$9,IFERROR(MATCH(IF($B73="Robusta","Robusta",(IF($B73="","Arabica",$B73))&amp;" - "&amp;(IF($C73="","Commercial",$C73))),Variables!$B$1:$D$1,0),1))*IFERROR(IF(W73="","",(AVERAGE(E73:F73)-W73)-Variables!$B$14),"")/365),""))</f>
        <v>449.13239408512521</v>
      </c>
      <c r="AT73" s="12">
        <f>IF($H73="Cancelled","",IFERROR((T73*INDEX(Variables!$B$7:$D$7,IFERROR(MATCH(IF($B73="Robusta","Robusta",(IF($B73="","Arabica",$B73))&amp;" - "&amp;(IF($C73="","Commercial",$C73))),Variables!$B$1:$D$1,0),1))*AC73/365)+(L73/16.67*INDEX(Variables!$B$8:$D$8,IFERROR(MATCH(IF($B73="Robusta","Robusta",(IF($B73="","Arabica",$B73))&amp;" - "&amp;(IF($C73="","Commercial",$C73))),Variables!$B$1:$D$1,0),1))*AC73)+(T73*INDEX(Variables!$B$9:$D$9,IFERROR(MATCH(IF($B73="Robusta","Robusta",(IF($B73="","Arabica",$B73))&amp;" - "&amp;(IF($C73="","Commercial",$C73))),Variables!$B$1:$D$1,0),1))*AC73/365),""))</f>
        <v>-2438.1472821763946</v>
      </c>
      <c r="AU73" s="12">
        <f>IF($H73="Cancelled","",IFERROR((T73*INDEX(Variables!$B$7:$D$7,IFERROR(MATCH(IF($B73="Robusta","Robusta",(IF($B73="","Arabica",$B73))&amp;" - "&amp;(IF($C73="","Commercial",$C73))),Variables!$B$1:$D$1,0),1))*AP73/365)+(L73/16.67*INDEX(Variables!$B$8:$D$8,IFERROR(MATCH(IF($B73="Robusta","Robusta",(IF($B73="","Arabica",$B73))&amp;" - "&amp;(IF($C73="","Commercial",$C73))),Variables!$B$1:$D$1,0),1))*AP73)+(T73*INDEX(Variables!$B$9:$D$9,IFERROR(MATCH(IF($B73="Robusta","Robusta",(IF($B73="","Arabica",$B73))&amp;" - "&amp;(IF($C73="","Commercial",$C73))),Variables!$B$1:$D$1,0),1))*AP73/365),""))</f>
        <v>1112.137356782215</v>
      </c>
      <c r="AV73" s="11">
        <f t="shared" si="9"/>
        <v>9</v>
      </c>
      <c r="AW73" s="12">
        <f>IF($H73="Cancelled","",IFERROR(IF(AV73="","",(T73*INDEX(Variables!$B$7:$D$7,IFERROR(MATCH(IF($B73="Robusta","Robusta",(IF($B73="","Arabica",$B73))&amp;" - "&amp;(IF($C73="","Commercial",$C73))),Variables!$B$1:$D$1,0),1))*(AV73/365))+(T73*INDEX(Variables!$B$9:$D$9,IFERROR(MATCH(IF($B73="Robusta","Robusta",(IF($B73="","Arabica",$B73))&amp;" - "&amp;(IF($C73="","Commercial",$C73))),Variables!$B$1:$D$1,0),1))*(AV73/365))+(INDEX(Variables!$B$8:$D$8,IFERROR(MATCH(IF($B73="Robusta","Robusta",(IF($B73="","Arabica",$B73))&amp;" - "&amp;(IF($C73="","Commercial",$C73))),Variables!$B$1:$D$1,0),1))*L73/16.67)),""))</f>
        <v>240.9706235015359</v>
      </c>
      <c r="AX73" s="9"/>
      <c r="AY73" s="12"/>
      <c r="AZ73" s="10"/>
      <c r="BA73" s="9"/>
      <c r="BB73" s="10"/>
      <c r="BC73" s="9"/>
      <c r="BD73" s="9"/>
      <c r="BE73" s="9"/>
      <c r="BF73" s="9"/>
    </row>
    <row r="74" spans="1:58" x14ac:dyDescent="0.25">
      <c r="A74" s="9" t="s">
        <v>84</v>
      </c>
      <c r="B74" s="9" t="s">
        <v>85</v>
      </c>
      <c r="C74" s="9" t="s">
        <v>86</v>
      </c>
      <c r="D74" s="10">
        <v>45335</v>
      </c>
      <c r="E74" s="10">
        <v>45444</v>
      </c>
      <c r="F74" s="10">
        <v>45473</v>
      </c>
      <c r="G74" s="9">
        <v>3786107</v>
      </c>
      <c r="H74" s="9" t="str">
        <f t="shared" si="7"/>
        <v>Closed</v>
      </c>
      <c r="I74" s="9" t="str">
        <f t="shared" si="8"/>
        <v>All dates received</v>
      </c>
      <c r="J74" s="9" t="s">
        <v>102</v>
      </c>
      <c r="K74" s="9">
        <v>4928</v>
      </c>
      <c r="L74" s="11">
        <v>360</v>
      </c>
      <c r="M74" s="9" t="s">
        <v>290</v>
      </c>
      <c r="N74" s="9" t="s">
        <v>122</v>
      </c>
      <c r="O74" s="9"/>
      <c r="P74" s="9"/>
      <c r="Q74" s="11"/>
      <c r="R74" s="9" t="s">
        <v>90</v>
      </c>
      <c r="S74" s="9" t="s">
        <v>172</v>
      </c>
      <c r="T74" s="12">
        <f>IF($H74="Cancelled","",IFERROR(((Q74+INDEX(Variables!$B$6:$D$6,IFERROR(MATCH(IF($B74="Robusta","Robusta",(IF($B74="","Arabica",$B74))&amp;" - "&amp;(IF($C74="","Commercial",$C74))),Variables!$B$1:$D$1,0),1)))*22.0462)*(L74/16.67),""))</f>
        <v>138450.66500299939</v>
      </c>
      <c r="U74" s="10">
        <v>45411</v>
      </c>
      <c r="V74" s="9" t="str">
        <f t="shared" si="10"/>
        <v>Sent</v>
      </c>
      <c r="W74" s="10">
        <v>45418</v>
      </c>
      <c r="X74" s="9" t="str">
        <f t="shared" si="5"/>
        <v>Approved</v>
      </c>
      <c r="Y74" s="10"/>
      <c r="Z74" s="10">
        <f>IF($H74="Cancelled","",IFERROR(IF(F74="","",F74-Variables!$B$13),""))</f>
        <v>45458</v>
      </c>
      <c r="AA74" s="11">
        <f>IF($H74="Cancelled","",IFERROR(IF(W74="","",(AVERAGE(E74:F74)-W74)-Variables!$B$14),""))</f>
        <v>10.5</v>
      </c>
      <c r="AB74" s="10">
        <v>45483</v>
      </c>
      <c r="AC74" s="11">
        <f>IF($H74="Cancelled","",IFERROR(IF(AB74="","",IF(AND(W74="",Y74=""),"",IF(Y74&gt;W74,Y74+Variables!$B$15+Variables!$B$16+Variables!$B$17-AB74,W74+Variables!$B$16+Variables!$B$17-AB74))),""))</f>
        <v>-57</v>
      </c>
      <c r="AD74" s="9" t="s">
        <v>163</v>
      </c>
      <c r="AE74" s="9" t="s">
        <v>219</v>
      </c>
      <c r="AF74" s="10"/>
      <c r="AG74" s="10"/>
      <c r="AH74" s="9"/>
      <c r="AI74" s="9">
        <v>239419397</v>
      </c>
      <c r="AJ74" s="9" t="s">
        <v>8</v>
      </c>
      <c r="AK74" s="10">
        <v>45464</v>
      </c>
      <c r="AL74" s="10">
        <v>45467</v>
      </c>
      <c r="AM74" s="10">
        <v>45467</v>
      </c>
      <c r="AN74" s="9" t="s">
        <v>95</v>
      </c>
      <c r="AO74" s="9"/>
      <c r="AP74" s="11">
        <f>IF($H74="Cancelled","",IFERROR(IF(OR(AK74="",AB74=""),"",(AB74+Variables!$B$18-AK74)),""))</f>
        <v>26</v>
      </c>
      <c r="AQ74" s="11">
        <f>IF($H74="Cancelled","",IFERROR(IF(OR(AM74="",AK74=""),"",(AK74+Variables!$B$19)-AM74),""))</f>
        <v>2</v>
      </c>
      <c r="AR74" s="12">
        <f>IF($H74="Cancelled","",IFERROR(T74*INDEX(Variables!$B$7:$D$7,IFERROR(MATCH(IF($B74="Robusta","Robusta",(IF($B74="","Arabica",$B74))&amp;" - "&amp;(IF($C74="","Commercial",$C74))),Variables!$B$1:$D$1,0),1))*(AQ74/365),""))</f>
        <v>48.918375182774838</v>
      </c>
      <c r="AS74" s="12">
        <f>IF($H74="Cancelled","",IFERROR((T74*INDEX(Variables!$B$7:$D$7,IFERROR(MATCH(IF($B74="Robusta","Robusta",(IF($B74="","Arabica",$B74))&amp;" - "&amp;(IF($C74="","Commercial",$C74))),Variables!$B$1:$D$1,0),1))*IFERROR(IF(W74="","",(AVERAGE(E74:F74)-W74)-Variables!$B$14),"")/365)+(L74/16.67*INDEX(Variables!$B$8:$D$8,IFERROR(MATCH(IF($B74="Robusta","Robusta",(IF($B74="","Arabica",$B74))&amp;" - "&amp;(IF($C74="","Commercial",$C74))),Variables!$B$1:$D$1,0),1))*IFERROR(IF(W74="","",(AVERAGE(E74:F74)-W74)-Variables!$B$14),""))+(T74*INDEX(Variables!$B$9:$D$9,IFERROR(MATCH(IF($B74="Robusta","Robusta",(IF($B74="","Arabica",$B74))&amp;" - "&amp;(IF($C74="","Commercial",$C74))),Variables!$B$1:$D$1,0),1))*IFERROR(IF(W74="","",(AVERAGE(E74:F74)-W74)-Variables!$B$14),"")/365),""))</f>
        <v>449.13239408512521</v>
      </c>
      <c r="AT74" s="12">
        <f>IF($H74="Cancelled","",IFERROR((T74*INDEX(Variables!$B$7:$D$7,IFERROR(MATCH(IF($B74="Robusta","Robusta",(IF($B74="","Arabica",$B74))&amp;" - "&amp;(IF($C74="","Commercial",$C74))),Variables!$B$1:$D$1,0),1))*AC74/365)+(L74/16.67*INDEX(Variables!$B$8:$D$8,IFERROR(MATCH(IF($B74="Robusta","Robusta",(IF($B74="","Arabica",$B74))&amp;" - "&amp;(IF($C74="","Commercial",$C74))),Variables!$B$1:$D$1,0),1))*AC74)+(T74*INDEX(Variables!$B$9:$D$9,IFERROR(MATCH(IF($B74="Robusta","Robusta",(IF($B74="","Arabica",$B74))&amp;" - "&amp;(IF($C74="","Commercial",$C74))),Variables!$B$1:$D$1,0),1))*AC74/365),""))</f>
        <v>-2438.1472821763946</v>
      </c>
      <c r="AU74" s="12">
        <f>IF($H74="Cancelled","",IFERROR((T74*INDEX(Variables!$B$7:$D$7,IFERROR(MATCH(IF($B74="Robusta","Robusta",(IF($B74="","Arabica",$B74))&amp;" - "&amp;(IF($C74="","Commercial",$C74))),Variables!$B$1:$D$1,0),1))*AP74/365)+(L74/16.67*INDEX(Variables!$B$8:$D$8,IFERROR(MATCH(IF($B74="Robusta","Robusta",(IF($B74="","Arabica",$B74))&amp;" - "&amp;(IF($C74="","Commercial",$C74))),Variables!$B$1:$D$1,0),1))*AP74)+(T74*INDEX(Variables!$B$9:$D$9,IFERROR(MATCH(IF($B74="Robusta","Robusta",(IF($B74="","Arabica",$B74))&amp;" - "&amp;(IF($C74="","Commercial",$C74))),Variables!$B$1:$D$1,0),1))*AP74/365),""))</f>
        <v>1112.137356782215</v>
      </c>
      <c r="AV74" s="11">
        <f t="shared" si="9"/>
        <v>9</v>
      </c>
      <c r="AW74" s="12">
        <f>IF($H74="Cancelled","",IFERROR(IF(AV74="","",(T74*INDEX(Variables!$B$7:$D$7,IFERROR(MATCH(IF($B74="Robusta","Robusta",(IF($B74="","Arabica",$B74))&amp;" - "&amp;(IF($C74="","Commercial",$C74))),Variables!$B$1:$D$1,0),1))*(AV74/365))+(T74*INDEX(Variables!$B$9:$D$9,IFERROR(MATCH(IF($B74="Robusta","Robusta",(IF($B74="","Arabica",$B74))&amp;" - "&amp;(IF($C74="","Commercial",$C74))),Variables!$B$1:$D$1,0),1))*(AV74/365))+(INDEX(Variables!$B$8:$D$8,IFERROR(MATCH(IF($B74="Robusta","Robusta",(IF($B74="","Arabica",$B74))&amp;" - "&amp;(IF($C74="","Commercial",$C74))),Variables!$B$1:$D$1,0),1))*L74/16.67)),""))</f>
        <v>240.9706235015359</v>
      </c>
      <c r="AX74" s="9"/>
      <c r="AY74" s="12"/>
      <c r="AZ74" s="10"/>
      <c r="BA74" s="9"/>
      <c r="BB74" s="10"/>
      <c r="BC74" s="9"/>
      <c r="BD74" s="9"/>
      <c r="BE74" s="9"/>
      <c r="BF74" s="9"/>
    </row>
    <row r="75" spans="1:58" x14ac:dyDescent="0.25">
      <c r="A75" s="9" t="s">
        <v>84</v>
      </c>
      <c r="B75" s="9" t="s">
        <v>85</v>
      </c>
      <c r="C75" s="9" t="s">
        <v>86</v>
      </c>
      <c r="D75" s="10">
        <v>45335</v>
      </c>
      <c r="E75" s="10">
        <v>45444</v>
      </c>
      <c r="F75" s="10">
        <v>45473</v>
      </c>
      <c r="G75" s="9">
        <v>3786107</v>
      </c>
      <c r="H75" s="9" t="str">
        <f t="shared" si="7"/>
        <v>Closed</v>
      </c>
      <c r="I75" s="9" t="str">
        <f t="shared" si="8"/>
        <v>All dates received</v>
      </c>
      <c r="J75" s="9" t="s">
        <v>102</v>
      </c>
      <c r="K75" s="9">
        <v>4929</v>
      </c>
      <c r="L75" s="11">
        <v>360</v>
      </c>
      <c r="M75" s="9" t="s">
        <v>290</v>
      </c>
      <c r="N75" s="9" t="s">
        <v>122</v>
      </c>
      <c r="O75" s="9"/>
      <c r="P75" s="9"/>
      <c r="Q75" s="11"/>
      <c r="R75" s="9" t="s">
        <v>90</v>
      </c>
      <c r="S75" s="9" t="s">
        <v>162</v>
      </c>
      <c r="T75" s="12">
        <f>IF($H75="Cancelled","",IFERROR(((Q75+INDEX(Variables!$B$6:$D$6,IFERROR(MATCH(IF($B75="Robusta","Robusta",(IF($B75="","Arabica",$B75))&amp;" - "&amp;(IF($C75="","Commercial",$C75))),Variables!$B$1:$D$1,0),1)))*22.0462)*(L75/16.67),""))</f>
        <v>138450.66500299939</v>
      </c>
      <c r="U75" s="10">
        <v>45411</v>
      </c>
      <c r="V75" s="9" t="str">
        <f t="shared" si="10"/>
        <v>Sent</v>
      </c>
      <c r="W75" s="10">
        <v>45418</v>
      </c>
      <c r="X75" s="9" t="str">
        <f t="shared" si="5"/>
        <v>Approved</v>
      </c>
      <c r="Y75" s="10"/>
      <c r="Z75" s="10">
        <f>IF($H75="Cancelled","",IFERROR(IF(F75="","",F75-Variables!$B$13),""))</f>
        <v>45458</v>
      </c>
      <c r="AA75" s="11">
        <f>IF($H75="Cancelled","",IFERROR(IF(W75="","",(AVERAGE(E75:F75)-W75)-Variables!$B$14),""))</f>
        <v>10.5</v>
      </c>
      <c r="AB75" s="10">
        <v>45484</v>
      </c>
      <c r="AC75" s="11">
        <f>IF($H75="Cancelled","",IFERROR(IF(AB75="","",IF(AND(W75="",Y75=""),"",IF(Y75&gt;W75,Y75+Variables!$B$15+Variables!$B$16+Variables!$B$17-AB75,W75+Variables!$B$16+Variables!$B$17-AB75))),""))</f>
        <v>-58</v>
      </c>
      <c r="AD75" s="9" t="s">
        <v>180</v>
      </c>
      <c r="AE75" s="9" t="s">
        <v>134</v>
      </c>
      <c r="AF75" s="10"/>
      <c r="AG75" s="10"/>
      <c r="AH75" s="9"/>
      <c r="AI75" s="9" t="s">
        <v>297</v>
      </c>
      <c r="AJ75" s="9" t="s">
        <v>8</v>
      </c>
      <c r="AK75" s="10">
        <v>45462</v>
      </c>
      <c r="AL75" s="10">
        <v>45464</v>
      </c>
      <c r="AM75" s="10">
        <v>45476</v>
      </c>
      <c r="AN75" s="9" t="s">
        <v>95</v>
      </c>
      <c r="AO75" s="9"/>
      <c r="AP75" s="11">
        <f>IF($H75="Cancelled","",IFERROR(IF(OR(AK75="",AB75=""),"",(AB75+Variables!$B$18-AK75)),""))</f>
        <v>29</v>
      </c>
      <c r="AQ75" s="11">
        <f>IF($H75="Cancelled","",IFERROR(IF(OR(AM75="",AK75=""),"",(AK75+Variables!$B$19)-AM75),""))</f>
        <v>-9</v>
      </c>
      <c r="AR75" s="12">
        <f>IF($H75="Cancelled","",IFERROR(T75*INDEX(Variables!$B$7:$D$7,IFERROR(MATCH(IF($B75="Robusta","Robusta",(IF($B75="","Arabica",$B75))&amp;" - "&amp;(IF($C75="","Commercial",$C75))),Variables!$B$1:$D$1,0),1))*(AQ75/365),""))</f>
        <v>-220.13268832248676</v>
      </c>
      <c r="AS75" s="12">
        <f>IF($H75="Cancelled","",IFERROR((T75*INDEX(Variables!$B$7:$D$7,IFERROR(MATCH(IF($B75="Robusta","Robusta",(IF($B75="","Arabica",$B75))&amp;" - "&amp;(IF($C75="","Commercial",$C75))),Variables!$B$1:$D$1,0),1))*IFERROR(IF(W75="","",(AVERAGE(E75:F75)-W75)-Variables!$B$14),"")/365)+(L75/16.67*INDEX(Variables!$B$8:$D$8,IFERROR(MATCH(IF($B75="Robusta","Robusta",(IF($B75="","Arabica",$B75))&amp;" - "&amp;(IF($C75="","Commercial",$C75))),Variables!$B$1:$D$1,0),1))*IFERROR(IF(W75="","",(AVERAGE(E75:F75)-W75)-Variables!$B$14),""))+(T75*INDEX(Variables!$B$9:$D$9,IFERROR(MATCH(IF($B75="Robusta","Robusta",(IF($B75="","Arabica",$B75))&amp;" - "&amp;(IF($C75="","Commercial",$C75))),Variables!$B$1:$D$1,0),1))*IFERROR(IF(W75="","",(AVERAGE(E75:F75)-W75)-Variables!$B$14),"")/365),""))</f>
        <v>449.13239408512521</v>
      </c>
      <c r="AT75" s="12">
        <f>IF($H75="Cancelled","",IFERROR((T75*INDEX(Variables!$B$7:$D$7,IFERROR(MATCH(IF($B75="Robusta","Robusta",(IF($B75="","Arabica",$B75))&amp;" - "&amp;(IF($C75="","Commercial",$C75))),Variables!$B$1:$D$1,0),1))*AC75/365)+(L75/16.67*INDEX(Variables!$B$8:$D$8,IFERROR(MATCH(IF($B75="Robusta","Robusta",(IF($B75="","Arabica",$B75))&amp;" - "&amp;(IF($C75="","Commercial",$C75))),Variables!$B$1:$D$1,0),1))*AC75)+(T75*INDEX(Variables!$B$9:$D$9,IFERROR(MATCH(IF($B75="Robusta","Robusta",(IF($B75="","Arabica",$B75))&amp;" - "&amp;(IF($C75="","Commercial",$C75))),Variables!$B$1:$D$1,0),1))*AC75/365),""))</f>
        <v>-2480.921795898787</v>
      </c>
      <c r="AU75" s="12">
        <f>IF($H75="Cancelled","",IFERROR((T75*INDEX(Variables!$B$7:$D$7,IFERROR(MATCH(IF($B75="Robusta","Robusta",(IF($B75="","Arabica",$B75))&amp;" - "&amp;(IF($C75="","Commercial",$C75))),Variables!$B$1:$D$1,0),1))*AP75/365)+(L75/16.67*INDEX(Variables!$B$8:$D$8,IFERROR(MATCH(IF($B75="Robusta","Robusta",(IF($B75="","Arabica",$B75))&amp;" - "&amp;(IF($C75="","Commercial",$C75))),Variables!$B$1:$D$1,0),1))*AP75)+(T75*INDEX(Variables!$B$9:$D$9,IFERROR(MATCH(IF($B75="Robusta","Robusta",(IF($B75="","Arabica",$B75))&amp;" - "&amp;(IF($C75="","Commercial",$C75))),Variables!$B$1:$D$1,0),1))*AP75/365),""))</f>
        <v>1240.4608979493935</v>
      </c>
      <c r="AV75" s="11">
        <f t="shared" si="9"/>
        <v>11</v>
      </c>
      <c r="AW75" s="12">
        <f>IF($H75="Cancelled","",IFERROR(IF(AV75="","",(T75*INDEX(Variables!$B$7:$D$7,IFERROR(MATCH(IF($B75="Robusta","Robusta",(IF($B75="","Arabica",$B75))&amp;" - "&amp;(IF($C75="","Commercial",$C75))),Variables!$B$1:$D$1,0),1))*(AV75/365))+(T75*INDEX(Variables!$B$9:$D$9,IFERROR(MATCH(IF($B75="Robusta","Robusta",(IF($B75="","Arabica",$B75))&amp;" - "&amp;(IF($C75="","Commercial",$C75))),Variables!$B$1:$D$1,0),1))*(AV75/365))+(INDEX(Variables!$B$8:$D$8,IFERROR(MATCH(IF($B75="Robusta","Robusta",(IF($B75="","Arabica",$B75))&amp;" - "&amp;(IF($C75="","Commercial",$C75))),Variables!$B$1:$D$1,0),1))*L75/16.67)),""))</f>
        <v>290.51965094632169</v>
      </c>
      <c r="AX75" s="9"/>
      <c r="AY75" s="12"/>
      <c r="AZ75" s="10"/>
      <c r="BA75" s="9"/>
      <c r="BB75" s="10"/>
      <c r="BC75" s="9"/>
      <c r="BD75" s="9"/>
      <c r="BE75" s="9"/>
      <c r="BF75" s="9"/>
    </row>
    <row r="76" spans="1:58" x14ac:dyDescent="0.25">
      <c r="A76" s="9" t="s">
        <v>84</v>
      </c>
      <c r="B76" s="9" t="s">
        <v>85</v>
      </c>
      <c r="C76" s="9" t="s">
        <v>86</v>
      </c>
      <c r="D76" s="10">
        <v>45335</v>
      </c>
      <c r="E76" s="10">
        <v>45444</v>
      </c>
      <c r="F76" s="10">
        <v>45473</v>
      </c>
      <c r="G76" s="9">
        <v>3786107</v>
      </c>
      <c r="H76" s="9" t="str">
        <f t="shared" si="7"/>
        <v>Closed</v>
      </c>
      <c r="I76" s="9" t="str">
        <f t="shared" si="8"/>
        <v>All dates received</v>
      </c>
      <c r="J76" s="9" t="s">
        <v>102</v>
      </c>
      <c r="K76" s="9">
        <v>4930</v>
      </c>
      <c r="L76" s="11">
        <v>720</v>
      </c>
      <c r="M76" s="9" t="s">
        <v>290</v>
      </c>
      <c r="N76" s="9" t="s">
        <v>122</v>
      </c>
      <c r="O76" s="9"/>
      <c r="P76" s="9"/>
      <c r="Q76" s="11"/>
      <c r="R76" s="9" t="s">
        <v>90</v>
      </c>
      <c r="S76" s="9" t="s">
        <v>178</v>
      </c>
      <c r="T76" s="12">
        <f>IF($H76="Cancelled","",IFERROR(((Q76+INDEX(Variables!$B$6:$D$6,IFERROR(MATCH(IF($B76="Robusta","Robusta",(IF($B76="","Arabica",$B76))&amp;" - "&amp;(IF($C76="","Commercial",$C76))),Variables!$B$1:$D$1,0),1)))*22.0462)*(L76/16.67),""))</f>
        <v>276901.33000599878</v>
      </c>
      <c r="U76" s="10">
        <v>45411</v>
      </c>
      <c r="V76" s="9" t="str">
        <f t="shared" si="10"/>
        <v>Sent</v>
      </c>
      <c r="W76" s="10">
        <v>45418</v>
      </c>
      <c r="X76" s="9" t="str">
        <f t="shared" si="5"/>
        <v>Approved</v>
      </c>
      <c r="Y76" s="10"/>
      <c r="Z76" s="10">
        <f>IF($H76="Cancelled","",IFERROR(IF(F76="","",F76-Variables!$B$13),""))</f>
        <v>45458</v>
      </c>
      <c r="AA76" s="11">
        <f>IF($H76="Cancelled","",IFERROR(IF(W76="","",(AVERAGE(E76:F76)-W76)-Variables!$B$14),""))</f>
        <v>10.5</v>
      </c>
      <c r="AB76" s="10">
        <v>45484</v>
      </c>
      <c r="AC76" s="11">
        <f>IF($H76="Cancelled","",IFERROR(IF(AB76="","",IF(AND(W76="",Y76=""),"",IF(Y76&gt;W76,Y76+Variables!$B$15+Variables!$B$16+Variables!$B$17-AB76,W76+Variables!$B$16+Variables!$B$17-AB76))),""))</f>
        <v>-58</v>
      </c>
      <c r="AD76" s="9" t="s">
        <v>165</v>
      </c>
      <c r="AE76" s="9" t="s">
        <v>298</v>
      </c>
      <c r="AF76" s="10"/>
      <c r="AG76" s="10"/>
      <c r="AH76" s="9"/>
      <c r="AI76" s="9" t="s">
        <v>299</v>
      </c>
      <c r="AJ76" s="9" t="s">
        <v>8</v>
      </c>
      <c r="AK76" s="10">
        <v>45468</v>
      </c>
      <c r="AL76" s="10">
        <v>45470</v>
      </c>
      <c r="AM76" s="10">
        <v>45474</v>
      </c>
      <c r="AN76" s="9" t="s">
        <v>95</v>
      </c>
      <c r="AO76" s="9"/>
      <c r="AP76" s="11">
        <f>IF($H76="Cancelled","",IFERROR(IF(OR(AK76="",AB76=""),"",(AB76+Variables!$B$18-AK76)),""))</f>
        <v>23</v>
      </c>
      <c r="AQ76" s="11">
        <f>IF($H76="Cancelled","",IFERROR(IF(OR(AM76="",AK76=""),"",(AK76+Variables!$B$19)-AM76),""))</f>
        <v>-1</v>
      </c>
      <c r="AR76" s="12">
        <f>IF($H76="Cancelled","",IFERROR(T76*INDEX(Variables!$B$7:$D$7,IFERROR(MATCH(IF($B76="Robusta","Robusta",(IF($B76="","Arabica",$B76))&amp;" - "&amp;(IF($C76="","Commercial",$C76))),Variables!$B$1:$D$1,0),1))*(AQ76/365),""))</f>
        <v>-48.918375182774838</v>
      </c>
      <c r="AS76" s="12">
        <f>IF($H76="Cancelled","",IFERROR((T76*INDEX(Variables!$B$7:$D$7,IFERROR(MATCH(IF($B76="Robusta","Robusta",(IF($B76="","Arabica",$B76))&amp;" - "&amp;(IF($C76="","Commercial",$C76))),Variables!$B$1:$D$1,0),1))*IFERROR(IF(W76="","",(AVERAGE(E76:F76)-W76)-Variables!$B$14),"")/365)+(L76/16.67*INDEX(Variables!$B$8:$D$8,IFERROR(MATCH(IF($B76="Robusta","Robusta",(IF($B76="","Arabica",$B76))&amp;" - "&amp;(IF($C76="","Commercial",$C76))),Variables!$B$1:$D$1,0),1))*IFERROR(IF(W76="","",(AVERAGE(E76:F76)-W76)-Variables!$B$14),""))+(T76*INDEX(Variables!$B$9:$D$9,IFERROR(MATCH(IF($B76="Robusta","Robusta",(IF($B76="","Arabica",$B76))&amp;" - "&amp;(IF($C76="","Commercial",$C76))),Variables!$B$1:$D$1,0),1))*IFERROR(IF(W76="","",(AVERAGE(E76:F76)-W76)-Variables!$B$14),"")/365),""))</f>
        <v>898.26478817025043</v>
      </c>
      <c r="AT76" s="12">
        <f>IF($H76="Cancelled","",IFERROR((T76*INDEX(Variables!$B$7:$D$7,IFERROR(MATCH(IF($B76="Robusta","Robusta",(IF($B76="","Arabica",$B76))&amp;" - "&amp;(IF($C76="","Commercial",$C76))),Variables!$B$1:$D$1,0),1))*AC76/365)+(L76/16.67*INDEX(Variables!$B$8:$D$8,IFERROR(MATCH(IF($B76="Robusta","Robusta",(IF($B76="","Arabica",$B76))&amp;" - "&amp;(IF($C76="","Commercial",$C76))),Variables!$B$1:$D$1,0),1))*AC76)+(T76*INDEX(Variables!$B$9:$D$9,IFERROR(MATCH(IF($B76="Robusta","Robusta",(IF($B76="","Arabica",$B76))&amp;" - "&amp;(IF($C76="","Commercial",$C76))),Variables!$B$1:$D$1,0),1))*AC76/365),""))</f>
        <v>-4961.8435917975739</v>
      </c>
      <c r="AU76" s="12">
        <f>IF($H76="Cancelled","",IFERROR((T76*INDEX(Variables!$B$7:$D$7,IFERROR(MATCH(IF($B76="Robusta","Robusta",(IF($B76="","Arabica",$B76))&amp;" - "&amp;(IF($C76="","Commercial",$C76))),Variables!$B$1:$D$1,0),1))*AP76/365)+(L76/16.67*INDEX(Variables!$B$8:$D$8,IFERROR(MATCH(IF($B76="Robusta","Robusta",(IF($B76="","Arabica",$B76))&amp;" - "&amp;(IF($C76="","Commercial",$C76))),Variables!$B$1:$D$1,0),1))*AP76)+(T76*INDEX(Variables!$B$9:$D$9,IFERROR(MATCH(IF($B76="Robusta","Robusta",(IF($B76="","Arabica",$B76))&amp;" - "&amp;(IF($C76="","Commercial",$C76))),Variables!$B$1:$D$1,0),1))*AP76/365),""))</f>
        <v>1967.6276312300727</v>
      </c>
      <c r="AV76" s="11">
        <f t="shared" si="9"/>
        <v>5</v>
      </c>
      <c r="AW76" s="12">
        <f>IF($H76="Cancelled","",IFERROR(IF(AV76="","",(T76*INDEX(Variables!$B$7:$D$7,IFERROR(MATCH(IF($B76="Robusta","Robusta",(IF($B76="","Arabica",$B76))&amp;" - "&amp;(IF($C76="","Commercial",$C76))),Variables!$B$1:$D$1,0),1))*(AV76/365))+(T76*INDEX(Variables!$B$9:$D$9,IFERROR(MATCH(IF($B76="Robusta","Robusta",(IF($B76="","Arabica",$B76))&amp;" - "&amp;(IF($C76="","Commercial",$C76))),Variables!$B$1:$D$1,0),1))*(AV76/365))+(INDEX(Variables!$B$8:$D$8,IFERROR(MATCH(IF($B76="Robusta","Robusta",(IF($B76="","Arabica",$B76))&amp;" - "&amp;(IF($C76="","Commercial",$C76))),Variables!$B$1:$D$1,0),1))*L76/16.67)),""))</f>
        <v>283.74513722392874</v>
      </c>
      <c r="AX76" s="9"/>
      <c r="AY76" s="12"/>
      <c r="AZ76" s="10"/>
      <c r="BA76" s="9"/>
      <c r="BB76" s="10"/>
      <c r="BC76" s="9"/>
      <c r="BD76" s="9"/>
      <c r="BE76" s="9"/>
      <c r="BF76" s="9"/>
    </row>
    <row r="77" spans="1:58" x14ac:dyDescent="0.25">
      <c r="A77" s="9" t="s">
        <v>84</v>
      </c>
      <c r="B77" s="9" t="s">
        <v>85</v>
      </c>
      <c r="C77" s="9" t="s">
        <v>86</v>
      </c>
      <c r="D77" s="10">
        <v>45335</v>
      </c>
      <c r="E77" s="10">
        <v>45474</v>
      </c>
      <c r="F77" s="10">
        <v>45504</v>
      </c>
      <c r="G77" s="9">
        <v>3786108</v>
      </c>
      <c r="H77" s="9" t="str">
        <f t="shared" si="7"/>
        <v>Closed</v>
      </c>
      <c r="I77" s="9" t="str">
        <f t="shared" si="8"/>
        <v>All dates received</v>
      </c>
      <c r="J77" s="9" t="s">
        <v>102</v>
      </c>
      <c r="K77" s="9">
        <v>5013</v>
      </c>
      <c r="L77" s="11">
        <v>1800</v>
      </c>
      <c r="M77" s="9" t="s">
        <v>290</v>
      </c>
      <c r="N77" s="9" t="s">
        <v>122</v>
      </c>
      <c r="O77" s="9"/>
      <c r="P77" s="9"/>
      <c r="Q77" s="11"/>
      <c r="R77" s="9" t="s">
        <v>90</v>
      </c>
      <c r="S77" s="9" t="s">
        <v>162</v>
      </c>
      <c r="T77" s="12">
        <f>IF($H77="Cancelled","",IFERROR(((Q77+INDEX(Variables!$B$6:$D$6,IFERROR(MATCH(IF($B77="Robusta","Robusta",(IF($B77="","Arabica",$B77))&amp;" - "&amp;(IF($C77="","Commercial",$C77))),Variables!$B$1:$D$1,0),1)))*22.0462)*(L77/16.67),""))</f>
        <v>692253.32501499692</v>
      </c>
      <c r="U77" s="10">
        <v>45406</v>
      </c>
      <c r="V77" s="9" t="str">
        <f t="shared" si="10"/>
        <v>Sent</v>
      </c>
      <c r="W77" s="10">
        <v>45448</v>
      </c>
      <c r="X77" s="9" t="str">
        <f t="shared" si="5"/>
        <v>Approved</v>
      </c>
      <c r="Y77" s="10"/>
      <c r="Z77" s="10">
        <f>IF($H77="Cancelled","",IFERROR(IF(F77="","",F77-Variables!$B$13),""))</f>
        <v>45489</v>
      </c>
      <c r="AA77" s="11">
        <f>IF($H77="Cancelled","",IFERROR(IF(W77="","",(AVERAGE(E77:F77)-W77)-Variables!$B$14),""))</f>
        <v>11</v>
      </c>
      <c r="AB77" s="10">
        <v>45484</v>
      </c>
      <c r="AC77" s="11">
        <f>IF($H77="Cancelled","",IFERROR(IF(AB77="","",IF(AND(W77="",Y77=""),"",IF(Y77&gt;W77,Y77+Variables!$B$15+Variables!$B$16+Variables!$B$17-AB77,W77+Variables!$B$16+Variables!$B$17-AB77))),""))</f>
        <v>-28</v>
      </c>
      <c r="AD77" s="9" t="s">
        <v>163</v>
      </c>
      <c r="AE77" s="9" t="s">
        <v>300</v>
      </c>
      <c r="AF77" s="10"/>
      <c r="AG77" s="10"/>
      <c r="AH77" s="9"/>
      <c r="AI77" s="9">
        <v>241910822</v>
      </c>
      <c r="AJ77" s="9" t="s">
        <v>8</v>
      </c>
      <c r="AK77" s="10">
        <v>45518</v>
      </c>
      <c r="AL77" s="10">
        <v>45519</v>
      </c>
      <c r="AM77" s="10">
        <v>45519</v>
      </c>
      <c r="AN77" s="9" t="s">
        <v>95</v>
      </c>
      <c r="AO77" s="9"/>
      <c r="AP77" s="11">
        <f>IF($H77="Cancelled","",IFERROR(IF(OR(AK77="",AB77=""),"",(AB77+Variables!$B$18-AK77)),""))</f>
        <v>-27</v>
      </c>
      <c r="AQ77" s="11">
        <f>IF($H77="Cancelled","",IFERROR(IF(OR(AM77="",AK77=""),"",(AK77+Variables!$B$19)-AM77),""))</f>
        <v>4</v>
      </c>
      <c r="AR77" s="12">
        <f>IF($H77="Cancelled","",IFERROR(T77*INDEX(Variables!$B$7:$D$7,IFERROR(MATCH(IF($B77="Robusta","Robusta",(IF($B77="","Arabica",$B77))&amp;" - "&amp;(IF($C77="","Commercial",$C77))),Variables!$B$1:$D$1,0),1))*(AQ77/365),""))</f>
        <v>489.18375182774832</v>
      </c>
      <c r="AS77" s="12">
        <f>IF($H77="Cancelled","",IFERROR((T77*INDEX(Variables!$B$7:$D$7,IFERROR(MATCH(IF($B77="Robusta","Robusta",(IF($B77="","Arabica",$B77))&amp;" - "&amp;(IF($C77="","Commercial",$C77))),Variables!$B$1:$D$1,0),1))*IFERROR(IF(W77="","",(AVERAGE(E77:F77)-W77)-Variables!$B$14),"")/365)+(L77/16.67*INDEX(Variables!$B$8:$D$8,IFERROR(MATCH(IF($B77="Robusta","Robusta",(IF($B77="","Arabica",$B77))&amp;" - "&amp;(IF($C77="","Commercial",$C77))),Variables!$B$1:$D$1,0),1))*IFERROR(IF(W77="","",(AVERAGE(E77:F77)-W77)-Variables!$B$14),""))+(T77*INDEX(Variables!$B$9:$D$9,IFERROR(MATCH(IF($B77="Robusta","Robusta",(IF($B77="","Arabica",$B77))&amp;" - "&amp;(IF($C77="","Commercial",$C77))),Variables!$B$1:$D$1,0),1))*IFERROR(IF(W77="","",(AVERAGE(E77:F77)-W77)-Variables!$B$14),"")/365),""))</f>
        <v>2352.5982547316084</v>
      </c>
      <c r="AT77" s="12">
        <f>IF($H77="Cancelled","",IFERROR((T77*INDEX(Variables!$B$7:$D$7,IFERROR(MATCH(IF($B77="Robusta","Robusta",(IF($B77="","Arabica",$B77))&amp;" - "&amp;(IF($C77="","Commercial",$C77))),Variables!$B$1:$D$1,0),1))*AC77/365)+(L77/16.67*INDEX(Variables!$B$8:$D$8,IFERROR(MATCH(IF($B77="Robusta","Robusta",(IF($B77="","Arabica",$B77))&amp;" - "&amp;(IF($C77="","Commercial",$C77))),Variables!$B$1:$D$1,0),1))*AC77)+(T77*INDEX(Variables!$B$9:$D$9,IFERROR(MATCH(IF($B77="Robusta","Robusta",(IF($B77="","Arabica",$B77))&amp;" - "&amp;(IF($C77="","Commercial",$C77))),Variables!$B$1:$D$1,0),1))*AC77/365),""))</f>
        <v>-5988.4319211350021</v>
      </c>
      <c r="AU77" s="12">
        <f>IF($H77="Cancelled","",IFERROR((T77*INDEX(Variables!$B$7:$D$7,IFERROR(MATCH(IF($B77="Robusta","Robusta",(IF($B77="","Arabica",$B77))&amp;" - "&amp;(IF($C77="","Commercial",$C77))),Variables!$B$1:$D$1,0),1))*AP77/365)+(L77/16.67*INDEX(Variables!$B$8:$D$8,IFERROR(MATCH(IF($B77="Robusta","Robusta",(IF($B77="","Arabica",$B77))&amp;" - "&amp;(IF($C77="","Commercial",$C77))),Variables!$B$1:$D$1,0),1))*AP77)+(T77*INDEX(Variables!$B$9:$D$9,IFERROR(MATCH(IF($B77="Robusta","Robusta",(IF($B77="","Arabica",$B77))&amp;" - "&amp;(IF($C77="","Commercial",$C77))),Variables!$B$1:$D$1,0),1))*AP77/365),""))</f>
        <v>-5774.5593525230388</v>
      </c>
      <c r="AV77" s="11">
        <f t="shared" si="9"/>
        <v>-14</v>
      </c>
      <c r="AW77" s="12">
        <f>IF($H77="Cancelled","",IFERROR(IF(AV77="","",(T77*INDEX(Variables!$B$7:$D$7,IFERROR(MATCH(IF($B77="Robusta","Robusta",(IF($B77="","Arabica",$B77))&amp;" - "&amp;(IF($C77="","Commercial",$C77))),Variables!$B$1:$D$1,0),1))*(AV77/365))+(T77*INDEX(Variables!$B$9:$D$9,IFERROR(MATCH(IF($B77="Robusta","Robusta",(IF($B77="","Arabica",$B77))&amp;" - "&amp;(IF($C77="","Commercial",$C77))),Variables!$B$1:$D$1,0),1))*(AV77/365))+(INDEX(Variables!$B$8:$D$8,IFERROR(MATCH(IF($B77="Robusta","Robusta",(IF($B77="","Arabica",$B77))&amp;" - "&amp;(IF($C77="","Commercial",$C77))),Variables!$B$1:$D$1,0),1))*L77/16.67)),""))</f>
        <v>-1644.2159605675015</v>
      </c>
      <c r="AX77" s="9"/>
      <c r="AY77" s="12"/>
      <c r="AZ77" s="10"/>
      <c r="BA77" s="9"/>
      <c r="BB77" s="10"/>
      <c r="BC77" s="9"/>
      <c r="BD77" s="9"/>
      <c r="BE77" s="9"/>
      <c r="BF77" s="9"/>
    </row>
    <row r="78" spans="1:58" x14ac:dyDescent="0.25">
      <c r="A78" s="9" t="s">
        <v>84</v>
      </c>
      <c r="B78" s="9" t="s">
        <v>85</v>
      </c>
      <c r="C78" s="9" t="s">
        <v>86</v>
      </c>
      <c r="D78" s="10">
        <v>45335</v>
      </c>
      <c r="E78" s="10">
        <v>45505</v>
      </c>
      <c r="F78" s="10">
        <v>45535</v>
      </c>
      <c r="G78" s="9">
        <v>3786109</v>
      </c>
      <c r="H78" s="9" t="str">
        <f t="shared" si="7"/>
        <v>Closed</v>
      </c>
      <c r="I78" s="9" t="str">
        <f t="shared" si="8"/>
        <v>All dates received</v>
      </c>
      <c r="J78" s="9" t="s">
        <v>102</v>
      </c>
      <c r="K78" s="9">
        <v>5041</v>
      </c>
      <c r="L78" s="11">
        <v>1800</v>
      </c>
      <c r="M78" s="9" t="s">
        <v>290</v>
      </c>
      <c r="N78" s="9" t="s">
        <v>122</v>
      </c>
      <c r="O78" s="9"/>
      <c r="P78" s="9"/>
      <c r="Q78" s="11"/>
      <c r="R78" s="9" t="s">
        <v>90</v>
      </c>
      <c r="S78" s="9" t="s">
        <v>162</v>
      </c>
      <c r="T78" s="12">
        <f>IF($H78="Cancelled","",IFERROR(((Q78+INDEX(Variables!$B$6:$D$6,IFERROR(MATCH(IF($B78="Robusta","Robusta",(IF($B78="","Arabica",$B78))&amp;" - "&amp;(IF($C78="","Commercial",$C78))),Variables!$B$1:$D$1,0),1)))*22.0462)*(L78/16.67),""))</f>
        <v>692253.32501499692</v>
      </c>
      <c r="U78" s="10">
        <v>45471</v>
      </c>
      <c r="V78" s="9" t="str">
        <f t="shared" si="10"/>
        <v>Sent</v>
      </c>
      <c r="W78" s="10">
        <v>45477</v>
      </c>
      <c r="X78" s="9" t="str">
        <f t="shared" si="5"/>
        <v>Approved</v>
      </c>
      <c r="Y78" s="10"/>
      <c r="Z78" s="10">
        <f>IF($H78="Cancelled","",IFERROR(IF(F78="","",F78-Variables!$B$13),""))</f>
        <v>45520</v>
      </c>
      <c r="AA78" s="11">
        <f>IF($H78="Cancelled","",IFERROR(IF(W78="","",(AVERAGE(E78:F78)-W78)-Variables!$B$14),""))</f>
        <v>13</v>
      </c>
      <c r="AB78" s="10">
        <v>45484</v>
      </c>
      <c r="AC78" s="11">
        <f>IF($H78="Cancelled","",IFERROR(IF(AB78="","",IF(AND(W78="",Y78=""),"",IF(Y78&gt;W78,Y78+Variables!$B$15+Variables!$B$16+Variables!$B$17-AB78,W78+Variables!$B$16+Variables!$B$17-AB78))),""))</f>
        <v>1</v>
      </c>
      <c r="AD78" s="9" t="s">
        <v>107</v>
      </c>
      <c r="AE78" s="9" t="s">
        <v>301</v>
      </c>
      <c r="AF78" s="10"/>
      <c r="AG78" s="10"/>
      <c r="AH78" s="9"/>
      <c r="AI78" s="9" t="s">
        <v>302</v>
      </c>
      <c r="AJ78" s="9" t="s">
        <v>8</v>
      </c>
      <c r="AK78" s="10">
        <v>45537</v>
      </c>
      <c r="AL78" s="10">
        <v>45540</v>
      </c>
      <c r="AM78" s="10">
        <v>45540</v>
      </c>
      <c r="AN78" s="9" t="s">
        <v>95</v>
      </c>
      <c r="AO78" s="9"/>
      <c r="AP78" s="11">
        <f>IF($H78="Cancelled","",IFERROR(IF(OR(AK78="",AB78=""),"",(AB78+Variables!$B$18-AK78)),""))</f>
        <v>-46</v>
      </c>
      <c r="AQ78" s="11">
        <f>IF($H78="Cancelled","",IFERROR(IF(OR(AM78="",AK78=""),"",(AK78+Variables!$B$19)-AM78),""))</f>
        <v>2</v>
      </c>
      <c r="AR78" s="12">
        <f>IF($H78="Cancelled","",IFERROR(T78*INDEX(Variables!$B$7:$D$7,IFERROR(MATCH(IF($B78="Robusta","Robusta",(IF($B78="","Arabica",$B78))&amp;" - "&amp;(IF($C78="","Commercial",$C78))),Variables!$B$1:$D$1,0),1))*(AQ78/365),""))</f>
        <v>244.59187591387416</v>
      </c>
      <c r="AS78" s="12">
        <f>IF($H78="Cancelled","",IFERROR((T78*INDEX(Variables!$B$7:$D$7,IFERROR(MATCH(IF($B78="Robusta","Robusta",(IF($B78="","Arabica",$B78))&amp;" - "&amp;(IF($C78="","Commercial",$C78))),Variables!$B$1:$D$1,0),1))*IFERROR(IF(W78="","",(AVERAGE(E78:F78)-W78)-Variables!$B$14),"")/365)+(L78/16.67*INDEX(Variables!$B$8:$D$8,IFERROR(MATCH(IF($B78="Robusta","Robusta",(IF($B78="","Arabica",$B78))&amp;" - "&amp;(IF($C78="","Commercial",$C78))),Variables!$B$1:$D$1,0),1))*IFERROR(IF(W78="","",(AVERAGE(E78:F78)-W78)-Variables!$B$14),""))+(T78*INDEX(Variables!$B$9:$D$9,IFERROR(MATCH(IF($B78="Robusta","Robusta",(IF($B78="","Arabica",$B78))&amp;" - "&amp;(IF($C78="","Commercial",$C78))),Variables!$B$1:$D$1,0),1))*IFERROR(IF(W78="","",(AVERAGE(E78:F78)-W78)-Variables!$B$14),"")/365),""))</f>
        <v>2780.3433919555368</v>
      </c>
      <c r="AT78" s="12">
        <f>IF($H78="Cancelled","",IFERROR((T78*INDEX(Variables!$B$7:$D$7,IFERROR(MATCH(IF($B78="Robusta","Robusta",(IF($B78="","Arabica",$B78))&amp;" - "&amp;(IF($C78="","Commercial",$C78))),Variables!$B$1:$D$1,0),1))*AC78/365)+(L78/16.67*INDEX(Variables!$B$8:$D$8,IFERROR(MATCH(IF($B78="Robusta","Robusta",(IF($B78="","Arabica",$B78))&amp;" - "&amp;(IF($C78="","Commercial",$C78))),Variables!$B$1:$D$1,0),1))*AC78)+(T78*INDEX(Variables!$B$9:$D$9,IFERROR(MATCH(IF($B78="Robusta","Robusta",(IF($B78="","Arabica",$B78))&amp;" - "&amp;(IF($C78="","Commercial",$C78))),Variables!$B$1:$D$1,0),1))*AC78/365),""))</f>
        <v>213.8725686119644</v>
      </c>
      <c r="AU78" s="12">
        <f>IF($H78="Cancelled","",IFERROR((T78*INDEX(Variables!$B$7:$D$7,IFERROR(MATCH(IF($B78="Robusta","Robusta",(IF($B78="","Arabica",$B78))&amp;" - "&amp;(IF($C78="","Commercial",$C78))),Variables!$B$1:$D$1,0),1))*AP78/365)+(L78/16.67*INDEX(Variables!$B$8:$D$8,IFERROR(MATCH(IF($B78="Robusta","Robusta",(IF($B78="","Arabica",$B78))&amp;" - "&amp;(IF($C78="","Commercial",$C78))),Variables!$B$1:$D$1,0),1))*AP78)+(T78*INDEX(Variables!$B$9:$D$9,IFERROR(MATCH(IF($B78="Robusta","Robusta",(IF($B78="","Arabica",$B78))&amp;" - "&amp;(IF($C78="","Commercial",$C78))),Variables!$B$1:$D$1,0),1))*AP78/365),""))</f>
        <v>-9838.1381561503622</v>
      </c>
      <c r="AV78" s="11">
        <f t="shared" si="9"/>
        <v>-2</v>
      </c>
      <c r="AW78" s="12">
        <f>IF($H78="Cancelled","",IFERROR(IF(AV78="","",(T78*INDEX(Variables!$B$7:$D$7,IFERROR(MATCH(IF($B78="Robusta","Robusta",(IF($B78="","Arabica",$B78))&amp;" - "&amp;(IF($C78="","Commercial",$C78))),Variables!$B$1:$D$1,0),1))*(AV78/365))+(T78*INDEX(Variables!$B$9:$D$9,IFERROR(MATCH(IF($B78="Robusta","Robusta",(IF($B78="","Arabica",$B78))&amp;" - "&amp;(IF($C78="","Commercial",$C78))),Variables!$B$1:$D$1,0),1))*(AV78/365))+(INDEX(Variables!$B$8:$D$8,IFERROR(MATCH(IF($B78="Robusta","Robusta",(IF($B78="","Arabica",$B78))&amp;" - "&amp;(IF($C78="","Commercial",$C78))),Variables!$B$1:$D$1,0),1))*L78/16.67)),""))</f>
        <v>-157.74513722392877</v>
      </c>
      <c r="AX78" s="9"/>
      <c r="AY78" s="12"/>
      <c r="AZ78" s="10"/>
      <c r="BA78" s="9"/>
      <c r="BB78" s="10"/>
      <c r="BC78" s="9"/>
      <c r="BD78" s="9"/>
      <c r="BE78" s="9"/>
      <c r="BF78" s="9"/>
    </row>
    <row r="79" spans="1:58" x14ac:dyDescent="0.25">
      <c r="A79" s="9" t="s">
        <v>84</v>
      </c>
      <c r="B79" s="9" t="s">
        <v>85</v>
      </c>
      <c r="C79" s="9" t="s">
        <v>86</v>
      </c>
      <c r="D79" s="10">
        <v>45336</v>
      </c>
      <c r="E79" s="10">
        <v>45383</v>
      </c>
      <c r="F79" s="10">
        <v>45412</v>
      </c>
      <c r="G79" s="9">
        <v>3786110</v>
      </c>
      <c r="H79" s="9" t="str">
        <f t="shared" si="7"/>
        <v>Closed</v>
      </c>
      <c r="I79" s="9" t="str">
        <f t="shared" si="8"/>
        <v>All dates received</v>
      </c>
      <c r="J79" s="9" t="s">
        <v>303</v>
      </c>
      <c r="K79" s="9">
        <v>4877</v>
      </c>
      <c r="L79" s="11">
        <v>300</v>
      </c>
      <c r="M79" s="9" t="s">
        <v>304</v>
      </c>
      <c r="N79" s="9" t="s">
        <v>266</v>
      </c>
      <c r="O79" s="9"/>
      <c r="P79" s="9"/>
      <c r="Q79" s="11"/>
      <c r="R79" s="9" t="s">
        <v>90</v>
      </c>
      <c r="S79" s="9" t="s">
        <v>91</v>
      </c>
      <c r="T79" s="12">
        <f>IF($H79="Cancelled","",IFERROR(((Q79+INDEX(Variables!$B$6:$D$6,IFERROR(MATCH(IF($B79="Robusta","Robusta",(IF($B79="","Arabica",$B79))&amp;" - "&amp;(IF($C79="","Commercial",$C79))),Variables!$B$1:$D$1,0),1)))*22.0462)*(L79/16.67),""))</f>
        <v>115375.55416916615</v>
      </c>
      <c r="U79" s="10">
        <v>45358</v>
      </c>
      <c r="V79" s="9" t="str">
        <f t="shared" si="10"/>
        <v>Sent</v>
      </c>
      <c r="W79" s="10">
        <v>45373</v>
      </c>
      <c r="X79" s="9" t="str">
        <f t="shared" si="5"/>
        <v>Approved</v>
      </c>
      <c r="Y79" s="10"/>
      <c r="Z79" s="10">
        <f>IF($H79="Cancelled","",IFERROR(IF(F79="","",F79-Variables!$B$13),""))</f>
        <v>45397</v>
      </c>
      <c r="AA79" s="11">
        <f>IF($H79="Cancelled","",IFERROR(IF(W79="","",(AVERAGE(E79:F79)-W79)-Variables!$B$14),""))</f>
        <v>-5.5</v>
      </c>
      <c r="AB79" s="10">
        <v>45485</v>
      </c>
      <c r="AC79" s="11">
        <f>IF($H79="Cancelled","",IFERROR(IF(AB79="","",IF(AND(W79="",Y79=""),"",IF(Y79&gt;W79,Y79+Variables!$B$15+Variables!$B$16+Variables!$B$17-AB79,W79+Variables!$B$16+Variables!$B$17-AB79))),""))</f>
        <v>-104</v>
      </c>
      <c r="AD79" s="9" t="s">
        <v>305</v>
      </c>
      <c r="AE79" s="9" t="s">
        <v>254</v>
      </c>
      <c r="AF79" s="10"/>
      <c r="AG79" s="10"/>
      <c r="AH79" s="9"/>
      <c r="AI79" s="9" t="s">
        <v>306</v>
      </c>
      <c r="AJ79" s="9" t="s">
        <v>307</v>
      </c>
      <c r="AK79" s="10">
        <v>45429</v>
      </c>
      <c r="AL79" s="10">
        <v>45432</v>
      </c>
      <c r="AM79" s="10">
        <v>45436</v>
      </c>
      <c r="AN79" s="9" t="s">
        <v>95</v>
      </c>
      <c r="AO79" s="9"/>
      <c r="AP79" s="11">
        <f>IF($H79="Cancelled","",IFERROR(IF(OR(AK79="",AB79=""),"",(AB79+Variables!$B$18-AK79)),""))</f>
        <v>63</v>
      </c>
      <c r="AQ79" s="11">
        <f>IF($H79="Cancelled","",IFERROR(IF(OR(AM79="",AK79=""),"",(AK79+Variables!$B$19)-AM79),""))</f>
        <v>-2</v>
      </c>
      <c r="AR79" s="12">
        <f>IF($H79="Cancelled","",IFERROR(T79*INDEX(Variables!$B$7:$D$7,IFERROR(MATCH(IF($B79="Robusta","Robusta",(IF($B79="","Arabica",$B79))&amp;" - "&amp;(IF($C79="","Commercial",$C79))),Variables!$B$1:$D$1,0),1))*(AQ79/365),""))</f>
        <v>-40.76531265231236</v>
      </c>
      <c r="AS79" s="12">
        <f>IF($H79="Cancelled","",IFERROR((T79*INDEX(Variables!$B$7:$D$7,IFERROR(MATCH(IF($B79="Robusta","Robusta",(IF($B79="","Arabica",$B79))&amp;" - "&amp;(IF($C79="","Commercial",$C79))),Variables!$B$1:$D$1,0),1))*IFERROR(IF(W79="","",(AVERAGE(E79:F79)-W79)-Variables!$B$14),"")/365)+(L79/16.67*INDEX(Variables!$B$8:$D$8,IFERROR(MATCH(IF($B79="Robusta","Robusta",(IF($B79="","Arabica",$B79))&amp;" - "&amp;(IF($C79="","Commercial",$C79))),Variables!$B$1:$D$1,0),1))*IFERROR(IF(W79="","",(AVERAGE(E79:F79)-W79)-Variables!$B$14),""))+(T79*INDEX(Variables!$B$9:$D$9,IFERROR(MATCH(IF($B79="Robusta","Robusta",(IF($B79="","Arabica",$B79))&amp;" - "&amp;(IF($C79="","Commercial",$C79))),Variables!$B$1:$D$1,0),1))*IFERROR(IF(W79="","",(AVERAGE(E79:F79)-W79)-Variables!$B$14),"")/365),""))</f>
        <v>-196.04985456096736</v>
      </c>
      <c r="AT79" s="12">
        <f>IF($H79="Cancelled","",IFERROR((T79*INDEX(Variables!$B$7:$D$7,IFERROR(MATCH(IF($B79="Robusta","Robusta",(IF($B79="","Arabica",$B79))&amp;" - "&amp;(IF($C79="","Commercial",$C79))),Variables!$B$1:$D$1,0),1))*AC79/365)+(L79/16.67*INDEX(Variables!$B$8:$D$8,IFERROR(MATCH(IF($B79="Robusta","Robusta",(IF($B79="","Arabica",$B79))&amp;" - "&amp;(IF($C79="","Commercial",$C79))),Variables!$B$1:$D$1,0),1))*AC79)+(T79*INDEX(Variables!$B$9:$D$9,IFERROR(MATCH(IF($B79="Robusta","Robusta",(IF($B79="","Arabica",$B79))&amp;" - "&amp;(IF($C79="","Commercial",$C79))),Variables!$B$1:$D$1,0),1))*AC79/365),""))</f>
        <v>-3707.1245226073829</v>
      </c>
      <c r="AU79" s="12">
        <f>IF($H79="Cancelled","",IFERROR((T79*INDEX(Variables!$B$7:$D$7,IFERROR(MATCH(IF($B79="Robusta","Robusta",(IF($B79="","Arabica",$B79))&amp;" - "&amp;(IF($C79="","Commercial",$C79))),Variables!$B$1:$D$1,0),1))*AP79/365)+(L79/16.67*INDEX(Variables!$B$8:$D$8,IFERROR(MATCH(IF($B79="Robusta","Robusta",(IF($B79="","Arabica",$B79))&amp;" - "&amp;(IF($C79="","Commercial",$C79))),Variables!$B$1:$D$1,0),1))*AP79)+(T79*INDEX(Variables!$B$9:$D$9,IFERROR(MATCH(IF($B79="Robusta","Robusta",(IF($B79="","Arabica",$B79))&amp;" - "&amp;(IF($C79="","Commercial",$C79))),Variables!$B$1:$D$1,0),1))*AP79/365),""))</f>
        <v>2245.6619704256259</v>
      </c>
      <c r="AV79" s="11">
        <f t="shared" si="9"/>
        <v>-17</v>
      </c>
      <c r="AW79" s="12">
        <f>IF($H79="Cancelled","",IFERROR(IF(AV79="","",(T79*INDEX(Variables!$B$7:$D$7,IFERROR(MATCH(IF($B79="Robusta","Robusta",(IF($B79="","Arabica",$B79))&amp;" - "&amp;(IF($C79="","Commercial",$C79))),Variables!$B$1:$D$1,0),1))*(AV79/365))+(T79*INDEX(Variables!$B$9:$D$9,IFERROR(MATCH(IF($B79="Robusta","Robusta",(IF($B79="","Arabica",$B79))&amp;" - "&amp;(IF($C79="","Commercial",$C79))),Variables!$B$1:$D$1,0),1))*(AV79/365))+(INDEX(Variables!$B$8:$D$8,IFERROR(MATCH(IF($B79="Robusta","Robusta",(IF($B79="","Arabica",$B79))&amp;" - "&amp;(IF($C79="","Commercial",$C79))),Variables!$B$1:$D$1,0),1))*L79/16.67)),""))</f>
        <v>-335.97227773389915</v>
      </c>
      <c r="AX79" s="9"/>
      <c r="AY79" s="12"/>
      <c r="AZ79" s="10"/>
      <c r="BA79" s="9"/>
      <c r="BB79" s="10"/>
      <c r="BC79" s="9"/>
      <c r="BD79" s="9"/>
      <c r="BE79" s="9"/>
      <c r="BF79" s="9"/>
    </row>
    <row r="80" spans="1:58" x14ac:dyDescent="0.25">
      <c r="A80" s="9" t="s">
        <v>84</v>
      </c>
      <c r="B80" s="9" t="s">
        <v>85</v>
      </c>
      <c r="C80" s="9" t="s">
        <v>86</v>
      </c>
      <c r="D80" s="10">
        <v>45338</v>
      </c>
      <c r="E80" s="10">
        <v>45338</v>
      </c>
      <c r="F80" s="10">
        <v>45382</v>
      </c>
      <c r="G80" s="9">
        <v>3786113</v>
      </c>
      <c r="H80" s="9" t="str">
        <f t="shared" si="7"/>
        <v>Closed</v>
      </c>
      <c r="I80" s="9" t="str">
        <f t="shared" si="8"/>
        <v>All dates received</v>
      </c>
      <c r="J80" s="9" t="s">
        <v>308</v>
      </c>
      <c r="K80" s="9">
        <v>4732</v>
      </c>
      <c r="L80" s="11">
        <v>1800</v>
      </c>
      <c r="M80" s="9" t="s">
        <v>309</v>
      </c>
      <c r="N80" s="9" t="s">
        <v>310</v>
      </c>
      <c r="O80" s="9"/>
      <c r="P80" s="9"/>
      <c r="Q80" s="11"/>
      <c r="R80" s="9" t="s">
        <v>195</v>
      </c>
      <c r="S80" s="9" t="s">
        <v>106</v>
      </c>
      <c r="T80" s="12">
        <f>IF($H80="Cancelled","",IFERROR(((Q80+INDEX(Variables!$B$6:$D$6,IFERROR(MATCH(IF($B80="Robusta","Robusta",(IF($B80="","Arabica",$B80))&amp;" - "&amp;(IF($C80="","Commercial",$C80))),Variables!$B$1:$D$1,0),1)))*22.0462)*(L80/16.67),""))</f>
        <v>692253.32501499692</v>
      </c>
      <c r="U80" s="10"/>
      <c r="V80" s="9" t="s">
        <v>195</v>
      </c>
      <c r="W80" s="10">
        <v>45337</v>
      </c>
      <c r="X80" s="9" t="str">
        <f t="shared" si="5"/>
        <v>Approved</v>
      </c>
      <c r="Y80" s="10">
        <v>45464</v>
      </c>
      <c r="Z80" s="10">
        <f>IF($H80="Cancelled","",IFERROR(IF(F80="","",F80-Variables!$B$13),""))</f>
        <v>45367</v>
      </c>
      <c r="AA80" s="11">
        <f>IF($H80="Cancelled","",IFERROR(IF(W80="","",(AVERAGE(E80:F80)-W80)-Variables!$B$14),""))</f>
        <v>-7</v>
      </c>
      <c r="AB80" s="10">
        <v>45485</v>
      </c>
      <c r="AC80" s="11">
        <f>IF($H80="Cancelled","",IFERROR(IF(AB80="","",IF(AND(W80="",Y80=""),"",IF(Y80&gt;W80,Y80+Variables!$B$15+Variables!$B$16+Variables!$B$17-AB80,W80+Variables!$B$16+Variables!$B$17-AB80))),""))</f>
        <v>-6</v>
      </c>
      <c r="AD80" s="9" t="s">
        <v>165</v>
      </c>
      <c r="AE80" s="9" t="s">
        <v>189</v>
      </c>
      <c r="AF80" s="10"/>
      <c r="AG80" s="10"/>
      <c r="AH80" s="9"/>
      <c r="AI80" s="9" t="s">
        <v>311</v>
      </c>
      <c r="AJ80" s="9">
        <v>7883097294</v>
      </c>
      <c r="AK80" s="10">
        <v>45393</v>
      </c>
      <c r="AL80" s="10">
        <v>45394</v>
      </c>
      <c r="AM80" s="10">
        <v>45399</v>
      </c>
      <c r="AN80" s="9" t="s">
        <v>95</v>
      </c>
      <c r="AO80" s="9"/>
      <c r="AP80" s="11">
        <f>IF($H80="Cancelled","",IFERROR(IF(OR(AK80="",AB80=""),"",(AB80+Variables!$B$18-AK80)),""))</f>
        <v>99</v>
      </c>
      <c r="AQ80" s="11">
        <f>IF($H80="Cancelled","",IFERROR(IF(OR(AM80="",AK80=""),"",(AK80+Variables!$B$19)-AM80),""))</f>
        <v>-1</v>
      </c>
      <c r="AR80" s="12">
        <f>IF($H80="Cancelled","",IFERROR(T80*INDEX(Variables!$B$7:$D$7,IFERROR(MATCH(IF($B80="Robusta","Robusta",(IF($B80="","Arabica",$B80))&amp;" - "&amp;(IF($C80="","Commercial",$C80))),Variables!$B$1:$D$1,0),1))*(AQ80/365),""))</f>
        <v>-122.29593795693708</v>
      </c>
      <c r="AS80" s="12">
        <f>IF($H80="Cancelled","",IFERROR((T80*INDEX(Variables!$B$7:$D$7,IFERROR(MATCH(IF($B80="Robusta","Robusta",(IF($B80="","Arabica",$B80))&amp;" - "&amp;(IF($C80="","Commercial",$C80))),Variables!$B$1:$D$1,0),1))*IFERROR(IF(W80="","",(AVERAGE(E80:F80)-W80)-Variables!$B$14),"")/365)+(L80/16.67*INDEX(Variables!$B$8:$D$8,IFERROR(MATCH(IF($B80="Robusta","Robusta",(IF($B80="","Arabica",$B80))&amp;" - "&amp;(IF($C80="","Commercial",$C80))),Variables!$B$1:$D$1,0),1))*IFERROR(IF(W80="","",(AVERAGE(E80:F80)-W80)-Variables!$B$14),""))+(T80*INDEX(Variables!$B$9:$D$9,IFERROR(MATCH(IF($B80="Robusta","Robusta",(IF($B80="","Arabica",$B80))&amp;" - "&amp;(IF($C80="","Commercial",$C80))),Variables!$B$1:$D$1,0),1))*IFERROR(IF(W80="","",(AVERAGE(E80:F80)-W80)-Variables!$B$14),"")/365),""))</f>
        <v>-1497.1079802837505</v>
      </c>
      <c r="AT80" s="12">
        <f>IF($H80="Cancelled","",IFERROR((T80*INDEX(Variables!$B$7:$D$7,IFERROR(MATCH(IF($B80="Robusta","Robusta",(IF($B80="","Arabica",$B80))&amp;" - "&amp;(IF($C80="","Commercial",$C80))),Variables!$B$1:$D$1,0),1))*AC80/365)+(L80/16.67*INDEX(Variables!$B$8:$D$8,IFERROR(MATCH(IF($B80="Robusta","Robusta",(IF($B80="","Arabica",$B80))&amp;" - "&amp;(IF($C80="","Commercial",$C80))),Variables!$B$1:$D$1,0),1))*AC80)+(T80*INDEX(Variables!$B$9:$D$9,IFERROR(MATCH(IF($B80="Robusta","Robusta",(IF($B80="","Arabica",$B80))&amp;" - "&amp;(IF($C80="","Commercial",$C80))),Variables!$B$1:$D$1,0),1))*AC80/365),""))</f>
        <v>-1283.2354116717863</v>
      </c>
      <c r="AU80" s="12">
        <f>IF($H80="Cancelled","",IFERROR((T80*INDEX(Variables!$B$7:$D$7,IFERROR(MATCH(IF($B80="Robusta","Robusta",(IF($B80="","Arabica",$B80))&amp;" - "&amp;(IF($C80="","Commercial",$C80))),Variables!$B$1:$D$1,0),1))*AP80/365)+(L80/16.67*INDEX(Variables!$B$8:$D$8,IFERROR(MATCH(IF($B80="Robusta","Robusta",(IF($B80="","Arabica",$B80))&amp;" - "&amp;(IF($C80="","Commercial",$C80))),Variables!$B$1:$D$1,0),1))*AP80)+(T80*INDEX(Variables!$B$9:$D$9,IFERROR(MATCH(IF($B80="Robusta","Robusta",(IF($B80="","Arabica",$B80))&amp;" - "&amp;(IF($C80="","Commercial",$C80))),Variables!$B$1:$D$1,0),1))*AP80/365),""))</f>
        <v>21173.384292584473</v>
      </c>
      <c r="AV80" s="11">
        <f t="shared" si="9"/>
        <v>-11</v>
      </c>
      <c r="AW80" s="12">
        <f>IF($H80="Cancelled","",IFERROR(IF(AV80="","",(T80*INDEX(Variables!$B$7:$D$7,IFERROR(MATCH(IF($B80="Robusta","Robusta",(IF($B80="","Arabica",$B80))&amp;" - "&amp;(IF($C80="","Commercial",$C80))),Variables!$B$1:$D$1,0),1))*(AV80/365))+(T80*INDEX(Variables!$B$9:$D$9,IFERROR(MATCH(IF($B80="Robusta","Robusta",(IF($B80="","Arabica",$B80))&amp;" - "&amp;(IF($C80="","Commercial",$C80))),Variables!$B$1:$D$1,0),1))*(AV80/365))+(INDEX(Variables!$B$8:$D$8,IFERROR(MATCH(IF($B80="Robusta","Robusta",(IF($B80="","Arabica",$B80))&amp;" - "&amp;(IF($C80="","Commercial",$C80))),Variables!$B$1:$D$1,0),1))*L80/16.67)),""))</f>
        <v>-1272.5982547316082</v>
      </c>
      <c r="AX80" s="9"/>
      <c r="AY80" s="12"/>
      <c r="AZ80" s="10"/>
      <c r="BA80" s="9"/>
      <c r="BB80" s="10"/>
      <c r="BC80" s="9"/>
      <c r="BD80" s="9"/>
      <c r="BE80" s="9"/>
      <c r="BF80" s="9"/>
    </row>
    <row r="81" spans="1:58" x14ac:dyDescent="0.25">
      <c r="A81" s="9" t="s">
        <v>84</v>
      </c>
      <c r="B81" s="9" t="s">
        <v>85</v>
      </c>
      <c r="C81" s="9" t="s">
        <v>86</v>
      </c>
      <c r="D81" s="10">
        <v>45338</v>
      </c>
      <c r="E81" s="10">
        <v>45383</v>
      </c>
      <c r="F81" s="10">
        <v>45396</v>
      </c>
      <c r="G81" s="9">
        <v>3786127</v>
      </c>
      <c r="H81" s="9" t="str">
        <f t="shared" si="7"/>
        <v>Closed</v>
      </c>
      <c r="I81" s="9" t="str">
        <f t="shared" si="8"/>
        <v>All dates received</v>
      </c>
      <c r="J81" s="9" t="s">
        <v>303</v>
      </c>
      <c r="K81" s="9">
        <v>4873</v>
      </c>
      <c r="L81" s="11">
        <v>305</v>
      </c>
      <c r="M81" s="9" t="s">
        <v>304</v>
      </c>
      <c r="N81" s="9" t="s">
        <v>266</v>
      </c>
      <c r="O81" s="9"/>
      <c r="P81" s="9"/>
      <c r="Q81" s="11"/>
      <c r="R81" s="9" t="s">
        <v>90</v>
      </c>
      <c r="S81" s="9" t="s">
        <v>312</v>
      </c>
      <c r="T81" s="12">
        <f>IF($H81="Cancelled","",IFERROR(((Q81+INDEX(Variables!$B$6:$D$6,IFERROR(MATCH(IF($B81="Robusta","Robusta",(IF($B81="","Arabica",$B81))&amp;" - "&amp;(IF($C81="","Commercial",$C81))),Variables!$B$1:$D$1,0),1)))*22.0462)*(L81/16.67),""))</f>
        <v>117298.4800719856</v>
      </c>
      <c r="U81" s="10">
        <v>45377</v>
      </c>
      <c r="V81" s="9" t="str">
        <f>IF(ISNUMBER(U81),"Sent","")</f>
        <v>Sent</v>
      </c>
      <c r="W81" s="10">
        <v>45398</v>
      </c>
      <c r="X81" s="9" t="str">
        <f t="shared" si="5"/>
        <v>Approved</v>
      </c>
      <c r="Y81" s="10"/>
      <c r="Z81" s="10">
        <f>IF($H81="Cancelled","",IFERROR(IF(F81="","",F81-Variables!$B$13),""))</f>
        <v>45381</v>
      </c>
      <c r="AA81" s="11">
        <f>IF($H81="Cancelled","",IFERROR(IF(W81="","",(AVERAGE(E81:F81)-W81)-Variables!$B$14),""))</f>
        <v>-38.5</v>
      </c>
      <c r="AB81" s="10">
        <v>45485</v>
      </c>
      <c r="AC81" s="11">
        <f>IF($H81="Cancelled","",IFERROR(IF(AB81="","",IF(AND(W81="",Y81=""),"",IF(Y81&gt;W81,Y81+Variables!$B$15+Variables!$B$16+Variables!$B$17-AB81,W81+Variables!$B$16+Variables!$B$17-AB81))),""))</f>
        <v>-79</v>
      </c>
      <c r="AD81" s="9" t="s">
        <v>305</v>
      </c>
      <c r="AE81" s="9" t="s">
        <v>267</v>
      </c>
      <c r="AF81" s="10"/>
      <c r="AG81" s="10"/>
      <c r="AH81" s="9"/>
      <c r="AI81" s="9" t="s">
        <v>313</v>
      </c>
      <c r="AJ81" s="9" t="s">
        <v>307</v>
      </c>
      <c r="AK81" s="10">
        <v>45420</v>
      </c>
      <c r="AL81" s="10">
        <v>45421</v>
      </c>
      <c r="AM81" s="10">
        <v>45436</v>
      </c>
      <c r="AN81" s="9" t="s">
        <v>95</v>
      </c>
      <c r="AO81" s="9"/>
      <c r="AP81" s="11">
        <f>IF($H81="Cancelled","",IFERROR(IF(OR(AK81="",AB81=""),"",(AB81+Variables!$B$18-AK81)),""))</f>
        <v>72</v>
      </c>
      <c r="AQ81" s="11">
        <f>IF($H81="Cancelled","",IFERROR(IF(OR(AM81="",AK81=""),"",(AK81+Variables!$B$19)-AM81),""))</f>
        <v>-11</v>
      </c>
      <c r="AR81" s="12">
        <f>IF($H81="Cancelled","",IFERROR(T81*INDEX(Variables!$B$7:$D$7,IFERROR(MATCH(IF($B81="Robusta","Robusta",(IF($B81="","Arabica",$B81))&amp;" - "&amp;(IF($C81="","Commercial",$C81))),Variables!$B$1:$D$1,0),1))*(AQ81/365),""))</f>
        <v>-227.94603991418001</v>
      </c>
      <c r="AS81" s="12">
        <f>IF($H81="Cancelled","",IFERROR((T81*INDEX(Variables!$B$7:$D$7,IFERROR(MATCH(IF($B81="Robusta","Robusta",(IF($B81="","Arabica",$B81))&amp;" - "&amp;(IF($C81="","Commercial",$C81))),Variables!$B$1:$D$1,0),1))*IFERROR(IF(W81="","",(AVERAGE(E81:F81)-W81)-Variables!$B$14),"")/365)+(L81/16.67*INDEX(Variables!$B$8:$D$8,IFERROR(MATCH(IF($B81="Robusta","Robusta",(IF($B81="","Arabica",$B81))&amp;" - "&amp;(IF($C81="","Commercial",$C81))),Variables!$B$1:$D$1,0),1))*IFERROR(IF(W81="","",(AVERAGE(E81:F81)-W81)-Variables!$B$14),""))+(T81*INDEX(Variables!$B$9:$D$9,IFERROR(MATCH(IF($B81="Robusta","Robusta",(IF($B81="","Arabica",$B81))&amp;" - "&amp;(IF($C81="","Commercial",$C81))),Variables!$B$1:$D$1,0),1))*IFERROR(IF(W81="","",(AVERAGE(E81:F81)-W81)-Variables!$B$14),"")/365),""))</f>
        <v>-1395.2214649588846</v>
      </c>
      <c r="AT81" s="12">
        <f>IF($H81="Cancelled","",IFERROR((T81*INDEX(Variables!$B$7:$D$7,IFERROR(MATCH(IF($B81="Robusta","Robusta",(IF($B81="","Arabica",$B81))&amp;" - "&amp;(IF($C81="","Commercial",$C81))),Variables!$B$1:$D$1,0),1))*AC81/365)+(L81/16.67*INDEX(Variables!$B$8:$D$8,IFERROR(MATCH(IF($B81="Robusta","Robusta",(IF($B81="","Arabica",$B81))&amp;" - "&amp;(IF($C81="","Commercial",$C81))),Variables!$B$1:$D$1,0),1))*AC81)+(T81*INDEX(Variables!$B$9:$D$9,IFERROR(MATCH(IF($B81="Robusta","Robusta",(IF($B81="","Arabica",$B81))&amp;" - "&amp;(IF($C81="","Commercial",$C81))),Variables!$B$1:$D$1,0),1))*AC81/365),""))</f>
        <v>-2862.9219670584903</v>
      </c>
      <c r="AU81" s="12">
        <f>IF($H81="Cancelled","",IFERROR((T81*INDEX(Variables!$B$7:$D$7,IFERROR(MATCH(IF($B81="Robusta","Robusta",(IF($B81="","Arabica",$B81))&amp;" - "&amp;(IF($C81="","Commercial",$C81))),Variables!$B$1:$D$1,0),1))*AP81/365)+(L81/16.67*INDEX(Variables!$B$8:$D$8,IFERROR(MATCH(IF($B81="Robusta","Robusta",(IF($B81="","Arabica",$B81))&amp;" - "&amp;(IF($C81="","Commercial",$C81))),Variables!$B$1:$D$1,0),1))*AP81)+(T81*INDEX(Variables!$B$9:$D$9,IFERROR(MATCH(IF($B81="Robusta","Robusta",(IF($B81="","Arabica",$B81))&amp;" - "&amp;(IF($C81="","Commercial",$C81))),Variables!$B$1:$D$1,0),1))*AP81/365),""))</f>
        <v>2609.2453370659659</v>
      </c>
      <c r="AV81" s="11">
        <f t="shared" si="9"/>
        <v>-24</v>
      </c>
      <c r="AW81" s="12">
        <f>IF($H81="Cancelled","",IFERROR(IF(AV81="","",(T81*INDEX(Variables!$B$7:$D$7,IFERROR(MATCH(IF($B81="Robusta","Robusta",(IF($B81="","Arabica",$B81))&amp;" - "&amp;(IF($C81="","Commercial",$C81))),Variables!$B$1:$D$1,0),1))*(AV81/365))+(T81*INDEX(Variables!$B$9:$D$9,IFERROR(MATCH(IF($B81="Robusta","Robusta",(IF($B81="","Arabica",$B81))&amp;" - "&amp;(IF($C81="","Commercial",$C81))),Variables!$B$1:$D$1,0),1))*(AV81/365))+(INDEX(Variables!$B$8:$D$8,IFERROR(MATCH(IF($B81="Robusta","Robusta",(IF($B81="","Arabica",$B81))&amp;" - "&amp;(IF($C81="","Commercial",$C81))),Variables!$B$1:$D$1,0),1))*L81/16.67)),""))</f>
        <v>-488.49844568865524</v>
      </c>
      <c r="AX81" s="9"/>
      <c r="AY81" s="12"/>
      <c r="AZ81" s="10"/>
      <c r="BA81" s="9"/>
      <c r="BB81" s="10"/>
      <c r="BC81" s="9"/>
      <c r="BD81" s="9"/>
      <c r="BE81" s="9"/>
      <c r="BF81" s="9"/>
    </row>
    <row r="82" spans="1:58" x14ac:dyDescent="0.25">
      <c r="A82" s="9" t="s">
        <v>84</v>
      </c>
      <c r="B82" s="9" t="s">
        <v>85</v>
      </c>
      <c r="C82" s="9" t="s">
        <v>86</v>
      </c>
      <c r="D82" s="10">
        <v>45338</v>
      </c>
      <c r="E82" s="10">
        <v>45444</v>
      </c>
      <c r="F82" s="10">
        <v>45473</v>
      </c>
      <c r="G82" s="9">
        <v>3786111</v>
      </c>
      <c r="H82" s="9" t="str">
        <f t="shared" si="7"/>
        <v>Closed</v>
      </c>
      <c r="I82" s="9" t="str">
        <f t="shared" si="8"/>
        <v>All dates received</v>
      </c>
      <c r="J82" s="9" t="s">
        <v>303</v>
      </c>
      <c r="K82" s="9">
        <v>4957</v>
      </c>
      <c r="L82" s="11">
        <v>320</v>
      </c>
      <c r="M82" s="9" t="s">
        <v>304</v>
      </c>
      <c r="N82" s="9" t="s">
        <v>266</v>
      </c>
      <c r="O82" s="9"/>
      <c r="P82" s="9"/>
      <c r="Q82" s="11"/>
      <c r="R82" s="9" t="s">
        <v>90</v>
      </c>
      <c r="S82" s="9" t="s">
        <v>91</v>
      </c>
      <c r="T82" s="12">
        <f>IF($H82="Cancelled","",IFERROR(((Q82+INDEX(Variables!$B$6:$D$6,IFERROR(MATCH(IF($B82="Robusta","Robusta",(IF($B82="","Arabica",$B82))&amp;" - "&amp;(IF($C82="","Commercial",$C82))),Variables!$B$1:$D$1,0),1)))*22.0462)*(L82/16.67),""))</f>
        <v>123067.25778044391</v>
      </c>
      <c r="U82" s="10">
        <v>45411</v>
      </c>
      <c r="V82" s="9" t="str">
        <f>IF(ISNUMBER(U82),"Sent","")</f>
        <v>Sent</v>
      </c>
      <c r="W82" s="10">
        <v>45428</v>
      </c>
      <c r="X82" s="9" t="str">
        <f t="shared" si="5"/>
        <v>Approved</v>
      </c>
      <c r="Y82" s="10"/>
      <c r="Z82" s="10">
        <f>IF($H82="Cancelled","",IFERROR(IF(F82="","",F82-Variables!$B$13),""))</f>
        <v>45458</v>
      </c>
      <c r="AA82" s="11">
        <f>IF($H82="Cancelled","",IFERROR(IF(W82="","",(AVERAGE(E82:F82)-W82)-Variables!$B$14),""))</f>
        <v>0.5</v>
      </c>
      <c r="AB82" s="10">
        <v>45485</v>
      </c>
      <c r="AC82" s="11">
        <f>IF($H82="Cancelled","",IFERROR(IF(AB82="","",IF(AND(W82="",Y82=""),"",IF(Y82&gt;W82,Y82+Variables!$B$15+Variables!$B$16+Variables!$B$17-AB82,W82+Variables!$B$16+Variables!$B$17-AB82))),""))</f>
        <v>-49</v>
      </c>
      <c r="AD82" s="9" t="s">
        <v>305</v>
      </c>
      <c r="AE82" s="9" t="s">
        <v>267</v>
      </c>
      <c r="AF82" s="10"/>
      <c r="AG82" s="10"/>
      <c r="AH82" s="9"/>
      <c r="AI82" s="9" t="s">
        <v>314</v>
      </c>
      <c r="AJ82" s="9" t="s">
        <v>8</v>
      </c>
      <c r="AK82" s="10">
        <v>45475</v>
      </c>
      <c r="AL82" s="10">
        <v>45482</v>
      </c>
      <c r="AM82" s="10">
        <v>45484</v>
      </c>
      <c r="AN82" s="9" t="s">
        <v>95</v>
      </c>
      <c r="AO82" s="9"/>
      <c r="AP82" s="11">
        <f>IF($H82="Cancelled","",IFERROR(IF(OR(AK82="",AB82=""),"",(AB82+Variables!$B$18-AK82)),""))</f>
        <v>17</v>
      </c>
      <c r="AQ82" s="11">
        <f>IF($H82="Cancelled","",IFERROR(IF(OR(AM82="",AK82=""),"",(AK82+Variables!$B$19)-AM82),""))</f>
        <v>-4</v>
      </c>
      <c r="AR82" s="12">
        <f>IF($H82="Cancelled","",IFERROR(T82*INDEX(Variables!$B$7:$D$7,IFERROR(MATCH(IF($B82="Robusta","Robusta",(IF($B82="","Arabica",$B82))&amp;" - "&amp;(IF($C82="","Commercial",$C82))),Variables!$B$1:$D$1,0),1))*(AQ82/365),""))</f>
        <v>-86.966000324933049</v>
      </c>
      <c r="AS82" s="12">
        <f>IF($H82="Cancelled","",IFERROR((T82*INDEX(Variables!$B$7:$D$7,IFERROR(MATCH(IF($B82="Robusta","Robusta",(IF($B82="","Arabica",$B82))&amp;" - "&amp;(IF($C82="","Commercial",$C82))),Variables!$B$1:$D$1,0),1))*IFERROR(IF(W82="","",(AVERAGE(E82:F82)-W82)-Variables!$B$14),"")/365)+(L82/16.67*INDEX(Variables!$B$8:$D$8,IFERROR(MATCH(IF($B82="Robusta","Robusta",(IF($B82="","Arabica",$B82))&amp;" - "&amp;(IF($C82="","Commercial",$C82))),Variables!$B$1:$D$1,0),1))*IFERROR(IF(W82="","",(AVERAGE(E82:F82)-W82)-Variables!$B$14),""))+(T82*INDEX(Variables!$B$9:$D$9,IFERROR(MATCH(IF($B82="Robusta","Robusta",(IF($B82="","Arabica",$B82))&amp;" - "&amp;(IF($C82="","Commercial",$C82))),Variables!$B$1:$D$1,0),1))*IFERROR(IF(W82="","",(AVERAGE(E82:F82)-W82)-Variables!$B$14),"")/365),""))</f>
        <v>19.010894987730168</v>
      </c>
      <c r="AT82" s="12">
        <f>IF($H82="Cancelled","",IFERROR((T82*INDEX(Variables!$B$7:$D$7,IFERROR(MATCH(IF($B82="Robusta","Robusta",(IF($B82="","Arabica",$B82))&amp;" - "&amp;(IF($C82="","Commercial",$C82))),Variables!$B$1:$D$1,0),1))*AC82/365)+(L82/16.67*INDEX(Variables!$B$8:$D$8,IFERROR(MATCH(IF($B82="Robusta","Robusta",(IF($B82="","Arabica",$B82))&amp;" - "&amp;(IF($C82="","Commercial",$C82))),Variables!$B$1:$D$1,0),1))*AC82)+(T82*INDEX(Variables!$B$9:$D$9,IFERROR(MATCH(IF($B82="Robusta","Robusta",(IF($B82="","Arabica",$B82))&amp;" - "&amp;(IF($C82="","Commercial",$C82))),Variables!$B$1:$D$1,0),1))*AC82/365),""))</f>
        <v>-1863.0677087975564</v>
      </c>
      <c r="AU82" s="12">
        <f>IF($H82="Cancelled","",IFERROR((T82*INDEX(Variables!$B$7:$D$7,IFERROR(MATCH(IF($B82="Robusta","Robusta",(IF($B82="","Arabica",$B82))&amp;" - "&amp;(IF($C82="","Commercial",$C82))),Variables!$B$1:$D$1,0),1))*AP82/365)+(L82/16.67*INDEX(Variables!$B$8:$D$8,IFERROR(MATCH(IF($B82="Robusta","Robusta",(IF($B82="","Arabica",$B82))&amp;" - "&amp;(IF($C82="","Commercial",$C82))),Variables!$B$1:$D$1,0),1))*AP82)+(T82*INDEX(Variables!$B$9:$D$9,IFERROR(MATCH(IF($B82="Robusta","Robusta",(IF($B82="","Arabica",$B82))&amp;" - "&amp;(IF($C82="","Commercial",$C82))),Variables!$B$1:$D$1,0),1))*AP82/365),""))</f>
        <v>646.37042958282586</v>
      </c>
      <c r="AV82" s="11">
        <f t="shared" si="9"/>
        <v>-2</v>
      </c>
      <c r="AW82" s="12">
        <f>IF($H82="Cancelled","",IFERROR(IF(AV82="","",(T82*INDEX(Variables!$B$7:$D$7,IFERROR(MATCH(IF($B82="Robusta","Robusta",(IF($B82="","Arabica",$B82))&amp;" - "&amp;(IF($C82="","Commercial",$C82))),Variables!$B$1:$D$1,0),1))*(AV82/365))+(T82*INDEX(Variables!$B$9:$D$9,IFERROR(MATCH(IF($B82="Robusta","Robusta",(IF($B82="","Arabica",$B82))&amp;" - "&amp;(IF($C82="","Commercial",$C82))),Variables!$B$1:$D$1,0),1))*(AV82/365))+(INDEX(Variables!$B$8:$D$8,IFERROR(MATCH(IF($B82="Robusta","Robusta",(IF($B82="","Arabica",$B82))&amp;" - "&amp;(IF($C82="","Commercial",$C82))),Variables!$B$1:$D$1,0),1))*L82/16.67)),""))</f>
        <v>-28.04357995092068</v>
      </c>
      <c r="AX82" s="9"/>
      <c r="AY82" s="12"/>
      <c r="AZ82" s="10"/>
      <c r="BA82" s="9"/>
      <c r="BB82" s="10"/>
      <c r="BC82" s="9"/>
      <c r="BD82" s="9"/>
      <c r="BE82" s="9"/>
      <c r="BF82" s="9"/>
    </row>
    <row r="83" spans="1:58" x14ac:dyDescent="0.25">
      <c r="A83" s="9" t="s">
        <v>84</v>
      </c>
      <c r="B83" s="9" t="s">
        <v>85</v>
      </c>
      <c r="C83" s="9" t="s">
        <v>86</v>
      </c>
      <c r="D83" s="10">
        <v>45341</v>
      </c>
      <c r="E83" s="10">
        <v>45505</v>
      </c>
      <c r="F83" s="10">
        <v>45535</v>
      </c>
      <c r="G83" s="9">
        <v>3786128</v>
      </c>
      <c r="H83" s="9" t="str">
        <f t="shared" si="7"/>
        <v>Closed</v>
      </c>
      <c r="I83" s="9" t="str">
        <f t="shared" si="8"/>
        <v>All dates received</v>
      </c>
      <c r="J83" s="9" t="s">
        <v>303</v>
      </c>
      <c r="K83" s="9" t="s">
        <v>315</v>
      </c>
      <c r="L83" s="11">
        <v>320</v>
      </c>
      <c r="M83" s="9" t="s">
        <v>304</v>
      </c>
      <c r="N83" s="9" t="s">
        <v>266</v>
      </c>
      <c r="O83" s="9"/>
      <c r="P83" s="9"/>
      <c r="Q83" s="11"/>
      <c r="R83" s="9" t="s">
        <v>90</v>
      </c>
      <c r="S83" s="9" t="s">
        <v>91</v>
      </c>
      <c r="T83" s="12">
        <f>IF($H83="Cancelled","",IFERROR(((Q83+INDEX(Variables!$B$6:$D$6,IFERROR(MATCH(IF($B83="Robusta","Robusta",(IF($B83="","Arabica",$B83))&amp;" - "&amp;(IF($C83="","Commercial",$C83))),Variables!$B$1:$D$1,0),1)))*22.0462)*(L83/16.67),""))</f>
        <v>123067.25778044391</v>
      </c>
      <c r="U83" s="10">
        <v>45457</v>
      </c>
      <c r="V83" s="9" t="str">
        <f>IF(ISNUMBER(U83),"Sent","")</f>
        <v>Sent</v>
      </c>
      <c r="W83" s="10">
        <v>45463</v>
      </c>
      <c r="X83" s="9" t="str">
        <f t="shared" si="5"/>
        <v>Approved</v>
      </c>
      <c r="Y83" s="10"/>
      <c r="Z83" s="10">
        <f>IF($H83="Cancelled","",IFERROR(IF(F83="","",F83-Variables!$B$13),""))</f>
        <v>45520</v>
      </c>
      <c r="AA83" s="11">
        <f>IF($H83="Cancelled","",IFERROR(IF(W83="","",(AVERAGE(E83:F83)-W83)-Variables!$B$14),""))</f>
        <v>27</v>
      </c>
      <c r="AB83" s="10">
        <v>45485</v>
      </c>
      <c r="AC83" s="11">
        <f>IF($H83="Cancelled","",IFERROR(IF(AB83="","",IF(AND(W83="",Y83=""),"",IF(Y83&gt;W83,Y83+Variables!$B$15+Variables!$B$16+Variables!$B$17-AB83,W83+Variables!$B$16+Variables!$B$17-AB83))),""))</f>
        <v>-14</v>
      </c>
      <c r="AD83" s="9" t="s">
        <v>316</v>
      </c>
      <c r="AE83" s="9" t="s">
        <v>93</v>
      </c>
      <c r="AF83" s="10"/>
      <c r="AG83" s="10"/>
      <c r="AH83" s="9"/>
      <c r="AI83" s="9" t="s">
        <v>317</v>
      </c>
      <c r="AJ83" s="9" t="s">
        <v>8</v>
      </c>
      <c r="AK83" s="10">
        <v>45516</v>
      </c>
      <c r="AL83" s="10">
        <v>45524</v>
      </c>
      <c r="AM83" s="10">
        <v>45532</v>
      </c>
      <c r="AN83" s="9" t="s">
        <v>95</v>
      </c>
      <c r="AO83" s="9"/>
      <c r="AP83" s="11">
        <f>IF($H83="Cancelled","",IFERROR(IF(OR(AK83="",AB83=""),"",(AB83+Variables!$B$18-AK83)),""))</f>
        <v>-24</v>
      </c>
      <c r="AQ83" s="11">
        <f>IF($H83="Cancelled","",IFERROR(IF(OR(AM83="",AK83=""),"",(AK83+Variables!$B$19)-AM83),""))</f>
        <v>-11</v>
      </c>
      <c r="AR83" s="12">
        <f>IF($H83="Cancelled","",IFERROR(T83*INDEX(Variables!$B$7:$D$7,IFERROR(MATCH(IF($B83="Robusta","Robusta",(IF($B83="","Arabica",$B83))&amp;" - "&amp;(IF($C83="","Commercial",$C83))),Variables!$B$1:$D$1,0),1))*(AQ83/365),""))</f>
        <v>-239.15650089356589</v>
      </c>
      <c r="AS83" s="12">
        <f>IF($H83="Cancelled","",IFERROR((T83*INDEX(Variables!$B$7:$D$7,IFERROR(MATCH(IF($B83="Robusta","Robusta",(IF($B83="","Arabica",$B83))&amp;" - "&amp;(IF($C83="","Commercial",$C83))),Variables!$B$1:$D$1,0),1))*IFERROR(IF(W83="","",(AVERAGE(E83:F83)-W83)-Variables!$B$14),"")/365)+(L83/16.67*INDEX(Variables!$B$8:$D$8,IFERROR(MATCH(IF($B83="Robusta","Robusta",(IF($B83="","Arabica",$B83))&amp;" - "&amp;(IF($C83="","Commercial",$C83))),Variables!$B$1:$D$1,0),1))*IFERROR(IF(W83="","",(AVERAGE(E83:F83)-W83)-Variables!$B$14),""))+(T83*INDEX(Variables!$B$9:$D$9,IFERROR(MATCH(IF($B83="Robusta","Robusta",(IF($B83="","Arabica",$B83))&amp;" - "&amp;(IF($C83="","Commercial",$C83))),Variables!$B$1:$D$1,0),1))*IFERROR(IF(W83="","",(AVERAGE(E83:F83)-W83)-Variables!$B$14),"")/365),""))</f>
        <v>1026.5883293374291</v>
      </c>
      <c r="AT83" s="12">
        <f>IF($H83="Cancelled","",IFERROR((T83*INDEX(Variables!$B$7:$D$7,IFERROR(MATCH(IF($B83="Robusta","Robusta",(IF($B83="","Arabica",$B83))&amp;" - "&amp;(IF($C83="","Commercial",$C83))),Variables!$B$1:$D$1,0),1))*AC83/365)+(L83/16.67*INDEX(Variables!$B$8:$D$8,IFERROR(MATCH(IF($B83="Robusta","Robusta",(IF($B83="","Arabica",$B83))&amp;" - "&amp;(IF($C83="","Commercial",$C83))),Variables!$B$1:$D$1,0),1))*AC83)+(T83*INDEX(Variables!$B$9:$D$9,IFERROR(MATCH(IF($B83="Robusta","Robusta",(IF($B83="","Arabica",$B83))&amp;" - "&amp;(IF($C83="","Commercial",$C83))),Variables!$B$1:$D$1,0),1))*AC83/365),""))</f>
        <v>-532.30505965644477</v>
      </c>
      <c r="AU83" s="12">
        <f>IF($H83="Cancelled","",IFERROR((T83*INDEX(Variables!$B$7:$D$7,IFERROR(MATCH(IF($B83="Robusta","Robusta",(IF($B83="","Arabica",$B83))&amp;" - "&amp;(IF($C83="","Commercial",$C83))),Variables!$B$1:$D$1,0),1))*AP83/365)+(L83/16.67*INDEX(Variables!$B$8:$D$8,IFERROR(MATCH(IF($B83="Robusta","Robusta",(IF($B83="","Arabica",$B83))&amp;" - "&amp;(IF($C83="","Commercial",$C83))),Variables!$B$1:$D$1,0),1))*AP83)+(T83*INDEX(Variables!$B$9:$D$9,IFERROR(MATCH(IF($B83="Robusta","Robusta",(IF($B83="","Arabica",$B83))&amp;" - "&amp;(IF($C83="","Commercial",$C83))),Variables!$B$1:$D$1,0),1))*AP83/365),""))</f>
        <v>-912.52295941104808</v>
      </c>
      <c r="AV83" s="11">
        <f t="shared" si="9"/>
        <v>19</v>
      </c>
      <c r="AW83" s="12">
        <f>IF($H83="Cancelled","",IFERROR(IF(AV83="","",(T83*INDEX(Variables!$B$7:$D$7,IFERROR(MATCH(IF($B83="Robusta","Robusta",(IF($B83="","Arabica",$B83))&amp;" - "&amp;(IF($C83="","Commercial",$C83))),Variables!$B$1:$D$1,0),1))*(AV83/365))+(T83*INDEX(Variables!$B$9:$D$9,IFERROR(MATCH(IF($B83="Robusta","Robusta",(IF($B83="","Arabica",$B83))&amp;" - "&amp;(IF($C83="","Commercial",$C83))),Variables!$B$1:$D$1,0),1))*(AV83/365))+(INDEX(Variables!$B$8:$D$8,IFERROR(MATCH(IF($B83="Robusta","Robusta",(IF($B83="","Arabica",$B83))&amp;" - "&amp;(IF($C83="","Commercial",$C83))),Variables!$B$1:$D$1,0),1))*L83/16.67)),""))</f>
        <v>434.41400953374642</v>
      </c>
      <c r="AX83" s="9"/>
      <c r="AY83" s="12"/>
      <c r="AZ83" s="10"/>
      <c r="BA83" s="9"/>
      <c r="BB83" s="10"/>
      <c r="BC83" s="9"/>
      <c r="BD83" s="9"/>
      <c r="BE83" s="9"/>
      <c r="BF83" s="9"/>
    </row>
    <row r="84" spans="1:58" x14ac:dyDescent="0.25">
      <c r="A84" s="9" t="s">
        <v>84</v>
      </c>
      <c r="B84" s="9" t="s">
        <v>85</v>
      </c>
      <c r="C84" s="9" t="s">
        <v>86</v>
      </c>
      <c r="D84" s="10">
        <v>45342</v>
      </c>
      <c r="E84" s="10">
        <v>45352</v>
      </c>
      <c r="F84" s="10">
        <v>45382</v>
      </c>
      <c r="G84" s="9">
        <v>3786137</v>
      </c>
      <c r="H84" s="9" t="str">
        <f t="shared" si="7"/>
        <v>Closed</v>
      </c>
      <c r="I84" s="9" t="str">
        <f t="shared" si="8"/>
        <v>All dates received</v>
      </c>
      <c r="J84" s="9" t="s">
        <v>318</v>
      </c>
      <c r="K84" s="9">
        <v>4741</v>
      </c>
      <c r="L84" s="11">
        <v>360</v>
      </c>
      <c r="M84" s="9" t="s">
        <v>319</v>
      </c>
      <c r="N84" s="9" t="s">
        <v>161</v>
      </c>
      <c r="O84" s="9"/>
      <c r="P84" s="9"/>
      <c r="Q84" s="11"/>
      <c r="R84" s="9" t="s">
        <v>195</v>
      </c>
      <c r="S84" s="9" t="s">
        <v>106</v>
      </c>
      <c r="T84" s="12">
        <f>IF($H84="Cancelled","",IFERROR(((Q84+INDEX(Variables!$B$6:$D$6,IFERROR(MATCH(IF($B84="Robusta","Robusta",(IF($B84="","Arabica",$B84))&amp;" - "&amp;(IF($C84="","Commercial",$C84))),Variables!$B$1:$D$1,0),1)))*22.0462)*(L84/16.67),""))</f>
        <v>138450.66500299939</v>
      </c>
      <c r="U84" s="10"/>
      <c r="V84" s="9" t="s">
        <v>195</v>
      </c>
      <c r="W84" s="10">
        <v>45337</v>
      </c>
      <c r="X84" s="9" t="str">
        <f t="shared" si="5"/>
        <v>Approved</v>
      </c>
      <c r="Y84" s="10">
        <v>45474</v>
      </c>
      <c r="Z84" s="10">
        <f>IF($H84="Cancelled","",IFERROR(IF(F84="","",F84-Variables!$B$13),""))</f>
        <v>45367</v>
      </c>
      <c r="AA84" s="11">
        <f>IF($H84="Cancelled","",IFERROR(IF(W84="","",(AVERAGE(E84:F84)-W84)-Variables!$B$14),""))</f>
        <v>0</v>
      </c>
      <c r="AB84" s="10">
        <v>45488</v>
      </c>
      <c r="AC84" s="11">
        <f>IF($H84="Cancelled","",IFERROR(IF(AB84="","",IF(AND(W84="",Y84=""),"",IF(Y84&gt;W84,Y84+Variables!$B$15+Variables!$B$16+Variables!$B$17-AB84,W84+Variables!$B$16+Variables!$B$17-AB84))),""))</f>
        <v>1</v>
      </c>
      <c r="AD84" s="9" t="s">
        <v>151</v>
      </c>
      <c r="AE84" s="9" t="s">
        <v>320</v>
      </c>
      <c r="AF84" s="10"/>
      <c r="AG84" s="10"/>
      <c r="AH84" s="9"/>
      <c r="AI84" s="9" t="s">
        <v>321</v>
      </c>
      <c r="AJ84" s="9">
        <v>6366752862</v>
      </c>
      <c r="AK84" s="10">
        <v>45374</v>
      </c>
      <c r="AL84" s="10">
        <v>45378</v>
      </c>
      <c r="AM84" s="10">
        <v>45390</v>
      </c>
      <c r="AN84" s="9" t="s">
        <v>95</v>
      </c>
      <c r="AO84" s="9"/>
      <c r="AP84" s="11">
        <f>IF($H84="Cancelled","",IFERROR(IF(OR(AK84="",AB84=""),"",(AB84+Variables!$B$18-AK84)),""))</f>
        <v>121</v>
      </c>
      <c r="AQ84" s="11">
        <f>IF($H84="Cancelled","",IFERROR(IF(OR(AM84="",AK84=""),"",(AK84+Variables!$B$19)-AM84),""))</f>
        <v>-11</v>
      </c>
      <c r="AR84" s="12">
        <f>IF($H84="Cancelled","",IFERROR(T84*INDEX(Variables!$B$7:$D$7,IFERROR(MATCH(IF($B84="Robusta","Robusta",(IF($B84="","Arabica",$B84))&amp;" - "&amp;(IF($C84="","Commercial",$C84))),Variables!$B$1:$D$1,0),1))*(AQ84/365),""))</f>
        <v>-269.0510635052616</v>
      </c>
      <c r="AS84" s="12">
        <f>IF($H84="Cancelled","",IFERROR((T84*INDEX(Variables!$B$7:$D$7,IFERROR(MATCH(IF($B84="Robusta","Robusta",(IF($B84="","Arabica",$B84))&amp;" - "&amp;(IF($C84="","Commercial",$C84))),Variables!$B$1:$D$1,0),1))*IFERROR(IF(W84="","",(AVERAGE(E84:F84)-W84)-Variables!$B$14),"")/365)+(L84/16.67*INDEX(Variables!$B$8:$D$8,IFERROR(MATCH(IF($B84="Robusta","Robusta",(IF($B84="","Arabica",$B84))&amp;" - "&amp;(IF($C84="","Commercial",$C84))),Variables!$B$1:$D$1,0),1))*IFERROR(IF(W84="","",(AVERAGE(E84:F84)-W84)-Variables!$B$14),""))+(T84*INDEX(Variables!$B$9:$D$9,IFERROR(MATCH(IF($B84="Robusta","Robusta",(IF($B84="","Arabica",$B84))&amp;" - "&amp;(IF($C84="","Commercial",$C84))),Variables!$B$1:$D$1,0),1))*IFERROR(IF(W84="","",(AVERAGE(E84:F84)-W84)-Variables!$B$14),"")/365),""))</f>
        <v>0</v>
      </c>
      <c r="AT84" s="12">
        <f>IF($H84="Cancelled","",IFERROR((T84*INDEX(Variables!$B$7:$D$7,IFERROR(MATCH(IF($B84="Robusta","Robusta",(IF($B84="","Arabica",$B84))&amp;" - "&amp;(IF($C84="","Commercial",$C84))),Variables!$B$1:$D$1,0),1))*AC84/365)+(L84/16.67*INDEX(Variables!$B$8:$D$8,IFERROR(MATCH(IF($B84="Robusta","Robusta",(IF($B84="","Arabica",$B84))&amp;" - "&amp;(IF($C84="","Commercial",$C84))),Variables!$B$1:$D$1,0),1))*AC84)+(T84*INDEX(Variables!$B$9:$D$9,IFERROR(MATCH(IF($B84="Robusta","Robusta",(IF($B84="","Arabica",$B84))&amp;" - "&amp;(IF($C84="","Commercial",$C84))),Variables!$B$1:$D$1,0),1))*AC84/365),""))</f>
        <v>42.774513722392882</v>
      </c>
      <c r="AU84" s="12">
        <f>IF($H84="Cancelled","",IFERROR((T84*INDEX(Variables!$B$7:$D$7,IFERROR(MATCH(IF($B84="Robusta","Robusta",(IF($B84="","Arabica",$B84))&amp;" - "&amp;(IF($C84="","Commercial",$C84))),Variables!$B$1:$D$1,0),1))*AP84/365)+(L84/16.67*INDEX(Variables!$B$8:$D$8,IFERROR(MATCH(IF($B84="Robusta","Robusta",(IF($B84="","Arabica",$B84))&amp;" - "&amp;(IF($C84="","Commercial",$C84))),Variables!$B$1:$D$1,0),1))*AP84)+(T84*INDEX(Variables!$B$9:$D$9,IFERROR(MATCH(IF($B84="Robusta","Robusta",(IF($B84="","Arabica",$B84))&amp;" - "&amp;(IF($C84="","Commercial",$C84))),Variables!$B$1:$D$1,0),1))*AP84/365),""))</f>
        <v>5175.716160409539</v>
      </c>
      <c r="AV84" s="11">
        <f t="shared" si="9"/>
        <v>8</v>
      </c>
      <c r="AW84" s="12">
        <f>IF($H84="Cancelled","",IFERROR(IF(AV84="","",(T84*INDEX(Variables!$B$7:$D$7,IFERROR(MATCH(IF($B84="Robusta","Robusta",(IF($B84="","Arabica",$B84))&amp;" - "&amp;(IF($C84="","Commercial",$C84))),Variables!$B$1:$D$1,0),1))*(AV84/365))+(T84*INDEX(Variables!$B$9:$D$9,IFERROR(MATCH(IF($B84="Robusta","Robusta",(IF($B84="","Arabica",$B84))&amp;" - "&amp;(IF($C84="","Commercial",$C84))),Variables!$B$1:$D$1,0),1))*(AV84/365))+(INDEX(Variables!$B$8:$D$8,IFERROR(MATCH(IF($B84="Robusta","Robusta",(IF($B84="","Arabica",$B84))&amp;" - "&amp;(IF($C84="","Commercial",$C84))),Variables!$B$1:$D$1,0),1))*L84/16.67)),""))</f>
        <v>216.19610977914306</v>
      </c>
      <c r="AX84" s="9"/>
      <c r="AY84" s="12"/>
      <c r="AZ84" s="10"/>
      <c r="BA84" s="9"/>
      <c r="BB84" s="10"/>
      <c r="BC84" s="9"/>
      <c r="BD84" s="9"/>
      <c r="BE84" s="9"/>
      <c r="BF84" s="9"/>
    </row>
    <row r="85" spans="1:58" x14ac:dyDescent="0.25">
      <c r="A85" s="9" t="s">
        <v>84</v>
      </c>
      <c r="B85" s="9" t="s">
        <v>85</v>
      </c>
      <c r="C85" s="9" t="s">
        <v>86</v>
      </c>
      <c r="D85" s="10">
        <v>45342</v>
      </c>
      <c r="E85" s="10">
        <v>45352</v>
      </c>
      <c r="F85" s="10">
        <v>45412</v>
      </c>
      <c r="G85" s="9">
        <v>3786136</v>
      </c>
      <c r="H85" s="9" t="str">
        <f t="shared" si="7"/>
        <v>Closed</v>
      </c>
      <c r="I85" s="9" t="str">
        <f t="shared" si="8"/>
        <v>All dates received</v>
      </c>
      <c r="J85" s="9" t="s">
        <v>322</v>
      </c>
      <c r="K85" s="9">
        <v>4757</v>
      </c>
      <c r="L85" s="11">
        <v>640</v>
      </c>
      <c r="M85" s="9" t="s">
        <v>323</v>
      </c>
      <c r="N85" s="9" t="s">
        <v>126</v>
      </c>
      <c r="O85" s="9"/>
      <c r="P85" s="9"/>
      <c r="Q85" s="11"/>
      <c r="R85" s="9" t="s">
        <v>195</v>
      </c>
      <c r="S85" s="9" t="s">
        <v>156</v>
      </c>
      <c r="T85" s="12">
        <f>IF($H85="Cancelled","",IFERROR(((Q85+INDEX(Variables!$B$6:$D$6,IFERROR(MATCH(IF($B85="Robusta","Robusta",(IF($B85="","Arabica",$B85))&amp;" - "&amp;(IF($C85="","Commercial",$C85))),Variables!$B$1:$D$1,0),1)))*22.0462)*(L85/16.67),""))</f>
        <v>246134.51556088781</v>
      </c>
      <c r="U85" s="10"/>
      <c r="V85" s="9" t="s">
        <v>195</v>
      </c>
      <c r="W85" s="10">
        <v>45352</v>
      </c>
      <c r="X85" s="9" t="str">
        <f t="shared" si="5"/>
        <v>Approved</v>
      </c>
      <c r="Y85" s="10">
        <v>45474</v>
      </c>
      <c r="Z85" s="10">
        <f>IF($H85="Cancelled","",IFERROR(IF(F85="","",F85-Variables!$B$13),""))</f>
        <v>45397</v>
      </c>
      <c r="AA85" s="11">
        <f>IF($H85="Cancelled","",IFERROR(IF(W85="","",(AVERAGE(E85:F85)-W85)-Variables!$B$14),""))</f>
        <v>0</v>
      </c>
      <c r="AB85" s="10">
        <v>45490</v>
      </c>
      <c r="AC85" s="11">
        <f>IF($H85="Cancelled","",IFERROR(IF(AB85="","",IF(AND(W85="",Y85=""),"",IF(Y85&gt;W85,Y85+Variables!$B$15+Variables!$B$16+Variables!$B$17-AB85,W85+Variables!$B$16+Variables!$B$17-AB85))),""))</f>
        <v>-1</v>
      </c>
      <c r="AD85" s="9" t="s">
        <v>163</v>
      </c>
      <c r="AE85" s="9" t="s">
        <v>324</v>
      </c>
      <c r="AF85" s="10"/>
      <c r="AG85" s="10"/>
      <c r="AH85" s="9"/>
      <c r="AI85" s="9">
        <v>238182969</v>
      </c>
      <c r="AJ85" s="9">
        <v>4974813620</v>
      </c>
      <c r="AK85" s="10">
        <v>45400</v>
      </c>
      <c r="AL85" s="10">
        <v>45404</v>
      </c>
      <c r="AM85" s="10">
        <v>45407</v>
      </c>
      <c r="AN85" s="9" t="s">
        <v>95</v>
      </c>
      <c r="AO85" s="9"/>
      <c r="AP85" s="11">
        <f>IF($H85="Cancelled","",IFERROR(IF(OR(AK85="",AB85=""),"",(AB85+Variables!$B$18-AK85)),""))</f>
        <v>97</v>
      </c>
      <c r="AQ85" s="11">
        <f>IF($H85="Cancelled","",IFERROR(IF(OR(AM85="",AK85=""),"",(AK85+Variables!$B$19)-AM85),""))</f>
        <v>-2</v>
      </c>
      <c r="AR85" s="12">
        <f>IF($H85="Cancelled","",IFERROR(T85*INDEX(Variables!$B$7:$D$7,IFERROR(MATCH(IF($B85="Robusta","Robusta",(IF($B85="","Arabica",$B85))&amp;" - "&amp;(IF($C85="","Commercial",$C85))),Variables!$B$1:$D$1,0),1))*(AQ85/365),""))</f>
        <v>-86.966000324933049</v>
      </c>
      <c r="AS85" s="12">
        <f>IF($H85="Cancelled","",IFERROR((T85*INDEX(Variables!$B$7:$D$7,IFERROR(MATCH(IF($B85="Robusta","Robusta",(IF($B85="","Arabica",$B85))&amp;" - "&amp;(IF($C85="","Commercial",$C85))),Variables!$B$1:$D$1,0),1))*IFERROR(IF(W85="","",(AVERAGE(E85:F85)-W85)-Variables!$B$14),"")/365)+(L85/16.67*INDEX(Variables!$B$8:$D$8,IFERROR(MATCH(IF($B85="Robusta","Robusta",(IF($B85="","Arabica",$B85))&amp;" - "&amp;(IF($C85="","Commercial",$C85))),Variables!$B$1:$D$1,0),1))*IFERROR(IF(W85="","",(AVERAGE(E85:F85)-W85)-Variables!$B$14),""))+(T85*INDEX(Variables!$B$9:$D$9,IFERROR(MATCH(IF($B85="Robusta","Robusta",(IF($B85="","Arabica",$B85))&amp;" - "&amp;(IF($C85="","Commercial",$C85))),Variables!$B$1:$D$1,0),1))*IFERROR(IF(W85="","",(AVERAGE(E85:F85)-W85)-Variables!$B$14),"")/365),""))</f>
        <v>0</v>
      </c>
      <c r="AT85" s="12">
        <f>IF($H85="Cancelled","",IFERROR((T85*INDEX(Variables!$B$7:$D$7,IFERROR(MATCH(IF($B85="Robusta","Robusta",(IF($B85="","Arabica",$B85))&amp;" - "&amp;(IF($C85="","Commercial",$C85))),Variables!$B$1:$D$1,0),1))*AC85/365)+(L85/16.67*INDEX(Variables!$B$8:$D$8,IFERROR(MATCH(IF($B85="Robusta","Robusta",(IF($B85="","Arabica",$B85))&amp;" - "&amp;(IF($C85="","Commercial",$C85))),Variables!$B$1:$D$1,0),1))*AC85)+(T85*INDEX(Variables!$B$9:$D$9,IFERROR(MATCH(IF($B85="Robusta","Robusta",(IF($B85="","Arabica",$B85))&amp;" - "&amp;(IF($C85="","Commercial",$C85))),Variables!$B$1:$D$1,0),1))*AC85/365),""))</f>
        <v>-76.043579950920673</v>
      </c>
      <c r="AU85" s="12">
        <f>IF($H85="Cancelled","",IFERROR((T85*INDEX(Variables!$B$7:$D$7,IFERROR(MATCH(IF($B85="Robusta","Robusta",(IF($B85="","Arabica",$B85))&amp;" - "&amp;(IF($C85="","Commercial",$C85))),Variables!$B$1:$D$1,0),1))*AP85/365)+(L85/16.67*INDEX(Variables!$B$8:$D$8,IFERROR(MATCH(IF($B85="Robusta","Robusta",(IF($B85="","Arabica",$B85))&amp;" - "&amp;(IF($C85="","Commercial",$C85))),Variables!$B$1:$D$1,0),1))*AP85)+(T85*INDEX(Variables!$B$9:$D$9,IFERROR(MATCH(IF($B85="Robusta","Robusta",(IF($B85="","Arabica",$B85))&amp;" - "&amp;(IF($C85="","Commercial",$C85))),Variables!$B$1:$D$1,0),1))*AP85/365),""))</f>
        <v>7376.227255239306</v>
      </c>
      <c r="AV85" s="11">
        <f t="shared" si="9"/>
        <v>12</v>
      </c>
      <c r="AW85" s="12">
        <f>IF($H85="Cancelled","",IFERROR(IF(AV85="","",(T85*INDEX(Variables!$B$7:$D$7,IFERROR(MATCH(IF($B85="Robusta","Robusta",(IF($B85="","Arabica",$B85))&amp;" - "&amp;(IF($C85="","Commercial",$C85))),Variables!$B$1:$D$1,0),1))*(AV85/365))+(T85*INDEX(Variables!$B$9:$D$9,IFERROR(MATCH(IF($B85="Robusta","Robusta",(IF($B85="","Arabica",$B85))&amp;" - "&amp;(IF($C85="","Commercial",$C85))),Variables!$B$1:$D$1,0),1))*(AV85/365))+(INDEX(Variables!$B$8:$D$8,IFERROR(MATCH(IF($B85="Robusta","Robusta",(IF($B85="","Arabica",$B85))&amp;" - "&amp;(IF($C85="","Commercial",$C85))),Variables!$B$1:$D$1,0),1))*L85/16.67)),""))</f>
        <v>560.52295941104808</v>
      </c>
      <c r="AX85" s="9"/>
      <c r="AY85" s="12"/>
      <c r="AZ85" s="10"/>
      <c r="BA85" s="9"/>
      <c r="BB85" s="10"/>
      <c r="BC85" s="9"/>
      <c r="BD85" s="9"/>
      <c r="BE85" s="9"/>
      <c r="BF85" s="9"/>
    </row>
    <row r="86" spans="1:58" x14ac:dyDescent="0.25">
      <c r="A86" s="9" t="s">
        <v>84</v>
      </c>
      <c r="B86" s="9" t="s">
        <v>85</v>
      </c>
      <c r="C86" s="9" t="s">
        <v>86</v>
      </c>
      <c r="D86" s="10">
        <v>45343</v>
      </c>
      <c r="E86" s="10">
        <v>45352</v>
      </c>
      <c r="F86" s="10">
        <v>45365</v>
      </c>
      <c r="G86" s="9">
        <v>3786138</v>
      </c>
      <c r="H86" s="9" t="str">
        <f t="shared" si="7"/>
        <v>Closed</v>
      </c>
      <c r="I86" s="9" t="str">
        <f t="shared" si="8"/>
        <v>All dates received</v>
      </c>
      <c r="J86" s="9" t="s">
        <v>102</v>
      </c>
      <c r="K86" s="9">
        <v>4769</v>
      </c>
      <c r="L86" s="11">
        <v>1440</v>
      </c>
      <c r="M86" s="9" t="s">
        <v>325</v>
      </c>
      <c r="N86" s="9" t="s">
        <v>161</v>
      </c>
      <c r="O86" s="9"/>
      <c r="P86" s="9"/>
      <c r="Q86" s="11"/>
      <c r="R86" s="9" t="s">
        <v>90</v>
      </c>
      <c r="S86" s="9" t="s">
        <v>106</v>
      </c>
      <c r="T86" s="12">
        <f>IF($H86="Cancelled","",IFERROR(((Q86+INDEX(Variables!$B$6:$D$6,IFERROR(MATCH(IF($B86="Robusta","Robusta",(IF($B86="","Arabica",$B86))&amp;" - "&amp;(IF($C86="","Commercial",$C86))),Variables!$B$1:$D$1,0),1)))*22.0462)*(L86/16.67),""))</f>
        <v>553802.66001199756</v>
      </c>
      <c r="U86" s="10">
        <v>45357</v>
      </c>
      <c r="V86" s="9" t="str">
        <f>IF(ISNUMBER(U86),"Sent","")</f>
        <v>Sent</v>
      </c>
      <c r="W86" s="10">
        <v>45351</v>
      </c>
      <c r="X86" s="9" t="str">
        <f t="shared" si="5"/>
        <v>Approved</v>
      </c>
      <c r="Y86" s="10"/>
      <c r="Z86" s="10">
        <f>IF($H86="Cancelled","",IFERROR(IF(F86="","",F86-Variables!$B$13),""))</f>
        <v>45350</v>
      </c>
      <c r="AA86" s="11">
        <f>IF($H86="Cancelled","",IFERROR(IF(W86="","",(AVERAGE(E86:F86)-W86)-Variables!$B$14),""))</f>
        <v>-22.5</v>
      </c>
      <c r="AB86" s="10">
        <v>45490</v>
      </c>
      <c r="AC86" s="11">
        <f>IF($H86="Cancelled","",IFERROR(IF(AB86="","",IF(AND(W86="",Y86=""),"",IF(Y86&gt;W86,Y86+Variables!$B$15+Variables!$B$16+Variables!$B$17-AB86,W86+Variables!$B$16+Variables!$B$17-AB86))),""))</f>
        <v>-131</v>
      </c>
      <c r="AD86" s="9" t="s">
        <v>326</v>
      </c>
      <c r="AE86" s="9" t="s">
        <v>189</v>
      </c>
      <c r="AF86" s="10"/>
      <c r="AG86" s="10"/>
      <c r="AH86" s="9"/>
      <c r="AI86" s="9" t="s">
        <v>327</v>
      </c>
      <c r="AJ86" s="9">
        <v>1445182874</v>
      </c>
      <c r="AK86" s="10">
        <v>45393</v>
      </c>
      <c r="AL86" s="10">
        <v>45397</v>
      </c>
      <c r="AM86" s="10">
        <v>45401</v>
      </c>
      <c r="AN86" s="9" t="s">
        <v>95</v>
      </c>
      <c r="AO86" s="9"/>
      <c r="AP86" s="11">
        <f>IF($H86="Cancelled","",IFERROR(IF(OR(AK86="",AB86=""),"",(AB86+Variables!$B$18-AK86)),""))</f>
        <v>104</v>
      </c>
      <c r="AQ86" s="11">
        <f>IF($H86="Cancelled","",IFERROR(IF(OR(AM86="",AK86=""),"",(AK86+Variables!$B$19)-AM86),""))</f>
        <v>-3</v>
      </c>
      <c r="AR86" s="12">
        <f>IF($H86="Cancelled","",IFERROR(T86*INDEX(Variables!$B$7:$D$7,IFERROR(MATCH(IF($B86="Robusta","Robusta",(IF($B86="","Arabica",$B86))&amp;" - "&amp;(IF($C86="","Commercial",$C86))),Variables!$B$1:$D$1,0),1))*(AQ86/365),""))</f>
        <v>-293.51025109664897</v>
      </c>
      <c r="AS86" s="12">
        <f>IF($H86="Cancelled","",IFERROR((T86*INDEX(Variables!$B$7:$D$7,IFERROR(MATCH(IF($B86="Robusta","Robusta",(IF($B86="","Arabica",$B86))&amp;" - "&amp;(IF($C86="","Commercial",$C86))),Variables!$B$1:$D$1,0),1))*IFERROR(IF(W86="","",(AVERAGE(E86:F86)-W86)-Variables!$B$14),"")/365)+(L86/16.67*INDEX(Variables!$B$8:$D$8,IFERROR(MATCH(IF($B86="Robusta","Robusta",(IF($B86="","Arabica",$B86))&amp;" - "&amp;(IF($C86="","Commercial",$C86))),Variables!$B$1:$D$1,0),1))*IFERROR(IF(W86="","",(AVERAGE(E86:F86)-W86)-Variables!$B$14),""))+(T86*INDEX(Variables!$B$9:$D$9,IFERROR(MATCH(IF($B86="Robusta","Robusta",(IF($B86="","Arabica",$B86))&amp;" - "&amp;(IF($C86="","Commercial",$C86))),Variables!$B$1:$D$1,0),1))*IFERROR(IF(W86="","",(AVERAGE(E86:F86)-W86)-Variables!$B$14),"")/365),""))</f>
        <v>-3849.7062350153592</v>
      </c>
      <c r="AT86" s="12">
        <f>IF($H86="Cancelled","",IFERROR((T86*INDEX(Variables!$B$7:$D$7,IFERROR(MATCH(IF($B86="Robusta","Robusta",(IF($B86="","Arabica",$B86))&amp;" - "&amp;(IF($C86="","Commercial",$C86))),Variables!$B$1:$D$1,0),1))*AC86/365)+(L86/16.67*INDEX(Variables!$B$8:$D$8,IFERROR(MATCH(IF($B86="Robusta","Robusta",(IF($B86="","Arabica",$B86))&amp;" - "&amp;(IF($C86="","Commercial",$C86))),Variables!$B$1:$D$1,0),1))*AC86)+(T86*INDEX(Variables!$B$9:$D$9,IFERROR(MATCH(IF($B86="Robusta","Robusta",(IF($B86="","Arabica",$B86))&amp;" - "&amp;(IF($C86="","Commercial",$C86))),Variables!$B$1:$D$1,0),1))*AC86/365),""))</f>
        <v>-22413.84519053387</v>
      </c>
      <c r="AU86" s="12">
        <f>IF($H86="Cancelled","",IFERROR((T86*INDEX(Variables!$B$7:$D$7,IFERROR(MATCH(IF($B86="Robusta","Robusta",(IF($B86="","Arabica",$B86))&amp;" - "&amp;(IF($C86="","Commercial",$C86))),Variables!$B$1:$D$1,0),1))*AP86/365)+(L86/16.67*INDEX(Variables!$B$8:$D$8,IFERROR(MATCH(IF($B86="Robusta","Robusta",(IF($B86="","Arabica",$B86))&amp;" - "&amp;(IF($C86="","Commercial",$C86))),Variables!$B$1:$D$1,0),1))*AP86)+(T86*INDEX(Variables!$B$9:$D$9,IFERROR(MATCH(IF($B86="Robusta","Robusta",(IF($B86="","Arabica",$B86))&amp;" - "&amp;(IF($C86="","Commercial",$C86))),Variables!$B$1:$D$1,0),1))*AP86/365),""))</f>
        <v>17794.197708515439</v>
      </c>
      <c r="AV86" s="11">
        <f t="shared" si="9"/>
        <v>-28</v>
      </c>
      <c r="AW86" s="12">
        <f>IF($H86="Cancelled","",IFERROR(IF(AV86="","",(T86*INDEX(Variables!$B$7:$D$7,IFERROR(MATCH(IF($B86="Robusta","Robusta",(IF($B86="","Arabica",$B86))&amp;" - "&amp;(IF($C86="","Commercial",$C86))),Variables!$B$1:$D$1,0),1))*(AV86/365))+(T86*INDEX(Variables!$B$9:$D$9,IFERROR(MATCH(IF($B86="Robusta","Robusta",(IF($B86="","Arabica",$B86))&amp;" - "&amp;(IF($C86="","Commercial",$C86))),Variables!$B$1:$D$1,0),1))*(AV86/365))+(INDEX(Variables!$B$8:$D$8,IFERROR(MATCH(IF($B86="Robusta","Robusta",(IF($B86="","Arabica",$B86))&amp;" - "&amp;(IF($C86="","Commercial",$C86))),Variables!$B$1:$D$1,0),1))*L86/16.67)),""))</f>
        <v>-2702.745536908003</v>
      </c>
      <c r="AX86" s="9"/>
      <c r="AY86" s="12"/>
      <c r="AZ86" s="10"/>
      <c r="BA86" s="9"/>
      <c r="BB86" s="10"/>
      <c r="BC86" s="9"/>
      <c r="BD86" s="9"/>
      <c r="BE86" s="9"/>
      <c r="BF86" s="9"/>
    </row>
    <row r="87" spans="1:58" x14ac:dyDescent="0.25">
      <c r="A87" s="9" t="s">
        <v>84</v>
      </c>
      <c r="B87" s="9" t="s">
        <v>85</v>
      </c>
      <c r="C87" s="9" t="s">
        <v>86</v>
      </c>
      <c r="D87" s="10">
        <v>45343</v>
      </c>
      <c r="E87" s="10">
        <v>45366</v>
      </c>
      <c r="F87" s="10">
        <v>45382</v>
      </c>
      <c r="G87" s="9">
        <v>3786139</v>
      </c>
      <c r="H87" s="9" t="str">
        <f t="shared" si="7"/>
        <v>Closed</v>
      </c>
      <c r="I87" s="9" t="str">
        <f t="shared" si="8"/>
        <v>All dates received</v>
      </c>
      <c r="J87" s="9" t="s">
        <v>102</v>
      </c>
      <c r="K87" s="9">
        <v>4771</v>
      </c>
      <c r="L87" s="11">
        <v>1440</v>
      </c>
      <c r="M87" s="9" t="s">
        <v>325</v>
      </c>
      <c r="N87" s="9" t="s">
        <v>161</v>
      </c>
      <c r="O87" s="9"/>
      <c r="P87" s="9"/>
      <c r="Q87" s="11"/>
      <c r="R87" s="9" t="s">
        <v>90</v>
      </c>
      <c r="S87" s="9" t="s">
        <v>106</v>
      </c>
      <c r="T87" s="12">
        <f>IF($H87="Cancelled","",IFERROR(((Q87+INDEX(Variables!$B$6:$D$6,IFERROR(MATCH(IF($B87="Robusta","Robusta",(IF($B87="","Arabica",$B87))&amp;" - "&amp;(IF($C87="","Commercial",$C87))),Variables!$B$1:$D$1,0),1)))*22.0462)*(L87/16.67),""))</f>
        <v>553802.66001199756</v>
      </c>
      <c r="U87" s="10">
        <v>45350</v>
      </c>
      <c r="V87" s="9" t="str">
        <f>IF(ISNUMBER(U87),"Sent","")</f>
        <v>Sent</v>
      </c>
      <c r="W87" s="10">
        <v>45362</v>
      </c>
      <c r="X87" s="9" t="str">
        <f t="shared" si="5"/>
        <v>Approved</v>
      </c>
      <c r="Y87" s="10"/>
      <c r="Z87" s="10">
        <f>IF($H87="Cancelled","",IFERROR(IF(F87="","",F87-Variables!$B$13),""))</f>
        <v>45367</v>
      </c>
      <c r="AA87" s="11">
        <f>IF($H87="Cancelled","",IFERROR(IF(W87="","",(AVERAGE(E87:F87)-W87)-Variables!$B$14),""))</f>
        <v>-18</v>
      </c>
      <c r="AB87" s="10">
        <v>45492</v>
      </c>
      <c r="AC87" s="11">
        <f>IF($H87="Cancelled","",IFERROR(IF(AB87="","",IF(AND(W87="",Y87=""),"",IF(Y87&gt;W87,Y87+Variables!$B$15+Variables!$B$16+Variables!$B$17-AB87,W87+Variables!$B$16+Variables!$B$17-AB87))),""))</f>
        <v>-122</v>
      </c>
      <c r="AD87" s="9" t="s">
        <v>107</v>
      </c>
      <c r="AE87" s="9" t="s">
        <v>189</v>
      </c>
      <c r="AF87" s="10"/>
      <c r="AG87" s="10"/>
      <c r="AH87" s="9"/>
      <c r="AI87" s="9" t="s">
        <v>328</v>
      </c>
      <c r="AJ87" s="9">
        <v>1445182874</v>
      </c>
      <c r="AK87" s="10">
        <v>45393</v>
      </c>
      <c r="AL87" s="10">
        <v>45397</v>
      </c>
      <c r="AM87" s="10">
        <v>45401</v>
      </c>
      <c r="AN87" s="9" t="s">
        <v>95</v>
      </c>
      <c r="AO87" s="9"/>
      <c r="AP87" s="11">
        <f>IF($H87="Cancelled","",IFERROR(IF(OR(AK87="",AB87=""),"",(AB87+Variables!$B$18-AK87)),""))</f>
        <v>106</v>
      </c>
      <c r="AQ87" s="11">
        <f>IF($H87="Cancelled","",IFERROR(IF(OR(AM87="",AK87=""),"",(AK87+Variables!$B$19)-AM87),""))</f>
        <v>-3</v>
      </c>
      <c r="AR87" s="12">
        <f>IF($H87="Cancelled","",IFERROR(T87*INDEX(Variables!$B$7:$D$7,IFERROR(MATCH(IF($B87="Robusta","Robusta",(IF($B87="","Arabica",$B87))&amp;" - "&amp;(IF($C87="","Commercial",$C87))),Variables!$B$1:$D$1,0),1))*(AQ87/365),""))</f>
        <v>-293.51025109664897</v>
      </c>
      <c r="AS87" s="12">
        <f>IF($H87="Cancelled","",IFERROR((T87*INDEX(Variables!$B$7:$D$7,IFERROR(MATCH(IF($B87="Robusta","Robusta",(IF($B87="","Arabica",$B87))&amp;" - "&amp;(IF($C87="","Commercial",$C87))),Variables!$B$1:$D$1,0),1))*IFERROR(IF(W87="","",(AVERAGE(E87:F87)-W87)-Variables!$B$14),"")/365)+(L87/16.67*INDEX(Variables!$B$8:$D$8,IFERROR(MATCH(IF($B87="Robusta","Robusta",(IF($B87="","Arabica",$B87))&amp;" - "&amp;(IF($C87="","Commercial",$C87))),Variables!$B$1:$D$1,0),1))*IFERROR(IF(W87="","",(AVERAGE(E87:F87)-W87)-Variables!$B$14),""))+(T87*INDEX(Variables!$B$9:$D$9,IFERROR(MATCH(IF($B87="Robusta","Robusta",(IF($B87="","Arabica",$B87))&amp;" - "&amp;(IF($C87="","Commercial",$C87))),Variables!$B$1:$D$1,0),1))*IFERROR(IF(W87="","",(AVERAGE(E87:F87)-W87)-Variables!$B$14),"")/365),""))</f>
        <v>-3079.7649880122876</v>
      </c>
      <c r="AT87" s="12">
        <f>IF($H87="Cancelled","",IFERROR((T87*INDEX(Variables!$B$7:$D$7,IFERROR(MATCH(IF($B87="Robusta","Robusta",(IF($B87="","Arabica",$B87))&amp;" - "&amp;(IF($C87="","Commercial",$C87))),Variables!$B$1:$D$1,0),1))*AC87/365)+(L87/16.67*INDEX(Variables!$B$8:$D$8,IFERROR(MATCH(IF($B87="Robusta","Robusta",(IF($B87="","Arabica",$B87))&amp;" - "&amp;(IF($C87="","Commercial",$C87))),Variables!$B$1:$D$1,0),1))*AC87)+(T87*INDEX(Variables!$B$9:$D$9,IFERROR(MATCH(IF($B87="Robusta","Robusta",(IF($B87="","Arabica",$B87))&amp;" - "&amp;(IF($C87="","Commercial",$C87))),Variables!$B$1:$D$1,0),1))*AC87/365),""))</f>
        <v>-20873.962696527728</v>
      </c>
      <c r="AU87" s="12">
        <f>IF($H87="Cancelled","",IFERROR((T87*INDEX(Variables!$B$7:$D$7,IFERROR(MATCH(IF($B87="Robusta","Robusta",(IF($B87="","Arabica",$B87))&amp;" - "&amp;(IF($C87="","Commercial",$C87))),Variables!$B$1:$D$1,0),1))*AP87/365)+(L87/16.67*INDEX(Variables!$B$8:$D$8,IFERROR(MATCH(IF($B87="Robusta","Robusta",(IF($B87="","Arabica",$B87))&amp;" - "&amp;(IF($C87="","Commercial",$C87))),Variables!$B$1:$D$1,0),1))*AP87)+(T87*INDEX(Variables!$B$9:$D$9,IFERROR(MATCH(IF($B87="Robusta","Robusta",(IF($B87="","Arabica",$B87))&amp;" - "&amp;(IF($C87="","Commercial",$C87))),Variables!$B$1:$D$1,0),1))*AP87/365),""))</f>
        <v>18136.393818294582</v>
      </c>
      <c r="AV87" s="11">
        <f t="shared" si="9"/>
        <v>-11</v>
      </c>
      <c r="AW87" s="12">
        <f>IF($H87="Cancelled","",IFERROR(IF(AV87="","",(T87*INDEX(Variables!$B$7:$D$7,IFERROR(MATCH(IF($B87="Robusta","Robusta",(IF($B87="","Arabica",$B87))&amp;" - "&amp;(IF($C87="","Commercial",$C87))),Variables!$B$1:$D$1,0),1))*(AV87/365))+(T87*INDEX(Variables!$B$9:$D$9,IFERROR(MATCH(IF($B87="Robusta","Robusta",(IF($B87="","Arabica",$B87))&amp;" - "&amp;(IF($C87="","Commercial",$C87))),Variables!$B$1:$D$1,0),1))*(AV87/365))+(INDEX(Variables!$B$8:$D$8,IFERROR(MATCH(IF($B87="Robusta","Robusta",(IF($B87="","Arabica",$B87))&amp;" - "&amp;(IF($C87="","Commercial",$C87))),Variables!$B$1:$D$1,0),1))*L87/16.67)),""))</f>
        <v>-1018.0786037852868</v>
      </c>
      <c r="AX87" s="9"/>
      <c r="AY87" s="12"/>
      <c r="AZ87" s="10"/>
      <c r="BA87" s="9"/>
      <c r="BB87" s="10"/>
      <c r="BC87" s="9"/>
      <c r="BD87" s="9"/>
      <c r="BE87" s="9"/>
      <c r="BF87" s="9"/>
    </row>
    <row r="88" spans="1:58" x14ac:dyDescent="0.25">
      <c r="A88" s="9" t="s">
        <v>84</v>
      </c>
      <c r="B88" s="9" t="s">
        <v>85</v>
      </c>
      <c r="C88" s="9" t="s">
        <v>86</v>
      </c>
      <c r="D88" s="10">
        <v>45344</v>
      </c>
      <c r="E88" s="10">
        <v>45352</v>
      </c>
      <c r="F88" s="10">
        <v>45382</v>
      </c>
      <c r="G88" s="9">
        <v>3786140</v>
      </c>
      <c r="H88" s="9" t="str">
        <f t="shared" si="7"/>
        <v>Closed</v>
      </c>
      <c r="I88" s="9" t="str">
        <f t="shared" si="8"/>
        <v>All dates received</v>
      </c>
      <c r="J88" s="9" t="s">
        <v>193</v>
      </c>
      <c r="K88" s="9">
        <v>4737</v>
      </c>
      <c r="L88" s="11">
        <v>320</v>
      </c>
      <c r="M88" s="9" t="s">
        <v>329</v>
      </c>
      <c r="N88" s="9" t="s">
        <v>122</v>
      </c>
      <c r="O88" s="9"/>
      <c r="P88" s="9"/>
      <c r="Q88" s="11"/>
      <c r="R88" s="9" t="s">
        <v>195</v>
      </c>
      <c r="S88" s="9" t="s">
        <v>183</v>
      </c>
      <c r="T88" s="12">
        <f>IF($H88="Cancelled","",IFERROR(((Q88+INDEX(Variables!$B$6:$D$6,IFERROR(MATCH(IF($B88="Robusta","Robusta",(IF($B88="","Arabica",$B88))&amp;" - "&amp;(IF($C88="","Commercial",$C88))),Variables!$B$1:$D$1,0),1)))*22.0462)*(L88/16.67),""))</f>
        <v>123067.25778044391</v>
      </c>
      <c r="U88" s="10"/>
      <c r="V88" s="9" t="s">
        <v>195</v>
      </c>
      <c r="W88" s="10">
        <v>45337</v>
      </c>
      <c r="X88" s="9" t="str">
        <f t="shared" si="5"/>
        <v>Approved</v>
      </c>
      <c r="Y88" s="10">
        <v>45474</v>
      </c>
      <c r="Z88" s="10">
        <f>IF($H88="Cancelled","",IFERROR(IF(F88="","",F88-Variables!$B$13),""))</f>
        <v>45367</v>
      </c>
      <c r="AA88" s="11">
        <f>IF($H88="Cancelled","",IFERROR(IF(W88="","",(AVERAGE(E88:F88)-W88)-Variables!$B$14),""))</f>
        <v>0</v>
      </c>
      <c r="AB88" s="10">
        <v>45493</v>
      </c>
      <c r="AC88" s="11">
        <f>IF($H88="Cancelled","",IFERROR(IF(AB88="","",IF(AND(W88="",Y88=""),"",IF(Y88&gt;W88,Y88+Variables!$B$15+Variables!$B$16+Variables!$B$17-AB88,W88+Variables!$B$16+Variables!$B$17-AB88))),""))</f>
        <v>-4</v>
      </c>
      <c r="AD88" s="9" t="s">
        <v>165</v>
      </c>
      <c r="AE88" s="9" t="s">
        <v>115</v>
      </c>
      <c r="AF88" s="10"/>
      <c r="AG88" s="10"/>
      <c r="AH88" s="9"/>
      <c r="AI88" s="9" t="s">
        <v>330</v>
      </c>
      <c r="AJ88" s="9">
        <v>9665684932</v>
      </c>
      <c r="AK88" s="10">
        <v>45372</v>
      </c>
      <c r="AL88" s="10">
        <v>45377</v>
      </c>
      <c r="AM88" s="10">
        <v>45378</v>
      </c>
      <c r="AN88" s="9" t="s">
        <v>95</v>
      </c>
      <c r="AO88" s="9"/>
      <c r="AP88" s="11">
        <f>IF($H88="Cancelled","",IFERROR(IF(OR(AK88="",AB88=""),"",(AB88+Variables!$B$18-AK88)),""))</f>
        <v>128</v>
      </c>
      <c r="AQ88" s="11">
        <f>IF($H88="Cancelled","",IFERROR(IF(OR(AM88="",AK88=""),"",(AK88+Variables!$B$19)-AM88),""))</f>
        <v>-1</v>
      </c>
      <c r="AR88" s="12">
        <f>IF($H88="Cancelled","",IFERROR(T88*INDEX(Variables!$B$7:$D$7,IFERROR(MATCH(IF($B88="Robusta","Robusta",(IF($B88="","Arabica",$B88))&amp;" - "&amp;(IF($C88="","Commercial",$C88))),Variables!$B$1:$D$1,0),1))*(AQ88/365),""))</f>
        <v>-21.741500081233262</v>
      </c>
      <c r="AS88" s="12">
        <f>IF($H88="Cancelled","",IFERROR((T88*INDEX(Variables!$B$7:$D$7,IFERROR(MATCH(IF($B88="Robusta","Robusta",(IF($B88="","Arabica",$B88))&amp;" - "&amp;(IF($C88="","Commercial",$C88))),Variables!$B$1:$D$1,0),1))*IFERROR(IF(W88="","",(AVERAGE(E88:F88)-W88)-Variables!$B$14),"")/365)+(L88/16.67*INDEX(Variables!$B$8:$D$8,IFERROR(MATCH(IF($B88="Robusta","Robusta",(IF($B88="","Arabica",$B88))&amp;" - "&amp;(IF($C88="","Commercial",$C88))),Variables!$B$1:$D$1,0),1))*IFERROR(IF(W88="","",(AVERAGE(E88:F88)-W88)-Variables!$B$14),""))+(T88*INDEX(Variables!$B$9:$D$9,IFERROR(MATCH(IF($B88="Robusta","Robusta",(IF($B88="","Arabica",$B88))&amp;" - "&amp;(IF($C88="","Commercial",$C88))),Variables!$B$1:$D$1,0),1))*IFERROR(IF(W88="","",(AVERAGE(E88:F88)-W88)-Variables!$B$14),"")/365),""))</f>
        <v>0</v>
      </c>
      <c r="AT88" s="12">
        <f>IF($H88="Cancelled","",IFERROR((T88*INDEX(Variables!$B$7:$D$7,IFERROR(MATCH(IF($B88="Robusta","Robusta",(IF($B88="","Arabica",$B88))&amp;" - "&amp;(IF($C88="","Commercial",$C88))),Variables!$B$1:$D$1,0),1))*AC88/365)+(L88/16.67*INDEX(Variables!$B$8:$D$8,IFERROR(MATCH(IF($B88="Robusta","Robusta",(IF($B88="","Arabica",$B88))&amp;" - "&amp;(IF($C88="","Commercial",$C88))),Variables!$B$1:$D$1,0),1))*AC88)+(T88*INDEX(Variables!$B$9:$D$9,IFERROR(MATCH(IF($B88="Robusta","Robusta",(IF($B88="","Arabica",$B88))&amp;" - "&amp;(IF($C88="","Commercial",$C88))),Variables!$B$1:$D$1,0),1))*AC88/365),""))</f>
        <v>-152.08715990184135</v>
      </c>
      <c r="AU88" s="12">
        <f>IF($H88="Cancelled","",IFERROR((T88*INDEX(Variables!$B$7:$D$7,IFERROR(MATCH(IF($B88="Robusta","Robusta",(IF($B88="","Arabica",$B88))&amp;" - "&amp;(IF($C88="","Commercial",$C88))),Variables!$B$1:$D$1,0),1))*AP88/365)+(L88/16.67*INDEX(Variables!$B$8:$D$8,IFERROR(MATCH(IF($B88="Robusta","Robusta",(IF($B88="","Arabica",$B88))&amp;" - "&amp;(IF($C88="","Commercial",$C88))),Variables!$B$1:$D$1,0),1))*AP88)+(T88*INDEX(Variables!$B$9:$D$9,IFERROR(MATCH(IF($B88="Robusta","Robusta",(IF($B88="","Arabica",$B88))&amp;" - "&amp;(IF($C88="","Commercial",$C88))),Variables!$B$1:$D$1,0),1))*AP88/365),""))</f>
        <v>4866.7891168589231</v>
      </c>
      <c r="AV88" s="11">
        <f t="shared" si="9"/>
        <v>10</v>
      </c>
      <c r="AW88" s="12">
        <f>IF($H88="Cancelled","",IFERROR(IF(AV88="","",(T88*INDEX(Variables!$B$7:$D$7,IFERROR(MATCH(IF($B88="Robusta","Robusta",(IF($B88="","Arabica",$B88))&amp;" - "&amp;(IF($C88="","Commercial",$C88))),Variables!$B$1:$D$1,0),1))*(AV88/365))+(T88*INDEX(Variables!$B$9:$D$9,IFERROR(MATCH(IF($B88="Robusta","Robusta",(IF($B88="","Arabica",$B88))&amp;" - "&amp;(IF($C88="","Commercial",$C88))),Variables!$B$1:$D$1,0),1))*(AV88/365))+(INDEX(Variables!$B$8:$D$8,IFERROR(MATCH(IF($B88="Robusta","Robusta",(IF($B88="","Arabica",$B88))&amp;" - "&amp;(IF($C88="","Commercial",$C88))),Variables!$B$1:$D$1,0),1))*L88/16.67)),""))</f>
        <v>236.21789975460337</v>
      </c>
      <c r="AX88" s="9"/>
      <c r="AY88" s="12"/>
      <c r="AZ88" s="10"/>
      <c r="BA88" s="9"/>
      <c r="BB88" s="10"/>
      <c r="BC88" s="9"/>
      <c r="BD88" s="9"/>
      <c r="BE88" s="9"/>
      <c r="BF88" s="9"/>
    </row>
    <row r="89" spans="1:58" x14ac:dyDescent="0.25">
      <c r="A89" s="9" t="s">
        <v>84</v>
      </c>
      <c r="B89" s="9" t="s">
        <v>85</v>
      </c>
      <c r="C89" s="9" t="s">
        <v>86</v>
      </c>
      <c r="D89" s="10">
        <v>45344</v>
      </c>
      <c r="E89" s="10">
        <v>45352</v>
      </c>
      <c r="F89" s="10">
        <v>45382</v>
      </c>
      <c r="G89" s="9">
        <v>3786141</v>
      </c>
      <c r="H89" s="9" t="str">
        <f t="shared" si="7"/>
        <v>Closed</v>
      </c>
      <c r="I89" s="9" t="str">
        <f t="shared" si="8"/>
        <v>All dates received</v>
      </c>
      <c r="J89" s="9" t="s">
        <v>193</v>
      </c>
      <c r="K89" s="9">
        <v>4740</v>
      </c>
      <c r="L89" s="11">
        <v>320</v>
      </c>
      <c r="M89" s="9" t="s">
        <v>329</v>
      </c>
      <c r="N89" s="9" t="s">
        <v>122</v>
      </c>
      <c r="O89" s="9"/>
      <c r="P89" s="9"/>
      <c r="Q89" s="11"/>
      <c r="R89" s="9" t="s">
        <v>195</v>
      </c>
      <c r="S89" s="9" t="s">
        <v>183</v>
      </c>
      <c r="T89" s="12">
        <f>IF($H89="Cancelled","",IFERROR(((Q89+INDEX(Variables!$B$6:$D$6,IFERROR(MATCH(IF($B89="Robusta","Robusta",(IF($B89="","Arabica",$B89))&amp;" - "&amp;(IF($C89="","Commercial",$C89))),Variables!$B$1:$D$1,0),1)))*22.0462)*(L89/16.67),""))</f>
        <v>123067.25778044391</v>
      </c>
      <c r="U89" s="10"/>
      <c r="V89" s="9" t="s">
        <v>195</v>
      </c>
      <c r="W89" s="10">
        <v>45337</v>
      </c>
      <c r="X89" s="9" t="str">
        <f t="shared" si="5"/>
        <v>Approved</v>
      </c>
      <c r="Y89" s="10">
        <v>45474</v>
      </c>
      <c r="Z89" s="10">
        <f>IF($H89="Cancelled","",IFERROR(IF(F89="","",F89-Variables!$B$13),""))</f>
        <v>45367</v>
      </c>
      <c r="AA89" s="11">
        <f>IF($H89="Cancelled","",IFERROR(IF(W89="","",(AVERAGE(E89:F89)-W89)-Variables!$B$14),""))</f>
        <v>0</v>
      </c>
      <c r="AB89" s="10">
        <v>45493</v>
      </c>
      <c r="AC89" s="11">
        <f>IF($H89="Cancelled","",IFERROR(IF(AB89="","",IF(AND(W89="",Y89=""),"",IF(Y89&gt;W89,Y89+Variables!$B$15+Variables!$B$16+Variables!$B$17-AB89,W89+Variables!$B$16+Variables!$B$17-AB89))),""))</f>
        <v>-4</v>
      </c>
      <c r="AD89" s="9" t="s">
        <v>165</v>
      </c>
      <c r="AE89" s="9" t="s">
        <v>115</v>
      </c>
      <c r="AF89" s="10"/>
      <c r="AG89" s="10"/>
      <c r="AH89" s="9"/>
      <c r="AI89" s="9" t="s">
        <v>331</v>
      </c>
      <c r="AJ89" s="9">
        <v>9665684932</v>
      </c>
      <c r="AK89" s="10">
        <v>45372</v>
      </c>
      <c r="AL89" s="10">
        <v>45377</v>
      </c>
      <c r="AM89" s="10">
        <v>45378</v>
      </c>
      <c r="AN89" s="9" t="s">
        <v>95</v>
      </c>
      <c r="AO89" s="9"/>
      <c r="AP89" s="11">
        <f>IF($H89="Cancelled","",IFERROR(IF(OR(AK89="",AB89=""),"",(AB89+Variables!$B$18-AK89)),""))</f>
        <v>128</v>
      </c>
      <c r="AQ89" s="11">
        <f>IF($H89="Cancelled","",IFERROR(IF(OR(AM89="",AK89=""),"",(AK89+Variables!$B$19)-AM89),""))</f>
        <v>-1</v>
      </c>
      <c r="AR89" s="12">
        <f>IF($H89="Cancelled","",IFERROR(T89*INDEX(Variables!$B$7:$D$7,IFERROR(MATCH(IF($B89="Robusta","Robusta",(IF($B89="","Arabica",$B89))&amp;" - "&amp;(IF($C89="","Commercial",$C89))),Variables!$B$1:$D$1,0),1))*(AQ89/365),""))</f>
        <v>-21.741500081233262</v>
      </c>
      <c r="AS89" s="12">
        <f>IF($H89="Cancelled","",IFERROR((T89*INDEX(Variables!$B$7:$D$7,IFERROR(MATCH(IF($B89="Robusta","Robusta",(IF($B89="","Arabica",$B89))&amp;" - "&amp;(IF($C89="","Commercial",$C89))),Variables!$B$1:$D$1,0),1))*IFERROR(IF(W89="","",(AVERAGE(E89:F89)-W89)-Variables!$B$14),"")/365)+(L89/16.67*INDEX(Variables!$B$8:$D$8,IFERROR(MATCH(IF($B89="Robusta","Robusta",(IF($B89="","Arabica",$B89))&amp;" - "&amp;(IF($C89="","Commercial",$C89))),Variables!$B$1:$D$1,0),1))*IFERROR(IF(W89="","",(AVERAGE(E89:F89)-W89)-Variables!$B$14),""))+(T89*INDEX(Variables!$B$9:$D$9,IFERROR(MATCH(IF($B89="Robusta","Robusta",(IF($B89="","Arabica",$B89))&amp;" - "&amp;(IF($C89="","Commercial",$C89))),Variables!$B$1:$D$1,0),1))*IFERROR(IF(W89="","",(AVERAGE(E89:F89)-W89)-Variables!$B$14),"")/365),""))</f>
        <v>0</v>
      </c>
      <c r="AT89" s="12">
        <f>IF($H89="Cancelled","",IFERROR((T89*INDEX(Variables!$B$7:$D$7,IFERROR(MATCH(IF($B89="Robusta","Robusta",(IF($B89="","Arabica",$B89))&amp;" - "&amp;(IF($C89="","Commercial",$C89))),Variables!$B$1:$D$1,0),1))*AC89/365)+(L89/16.67*INDEX(Variables!$B$8:$D$8,IFERROR(MATCH(IF($B89="Robusta","Robusta",(IF($B89="","Arabica",$B89))&amp;" - "&amp;(IF($C89="","Commercial",$C89))),Variables!$B$1:$D$1,0),1))*AC89)+(T89*INDEX(Variables!$B$9:$D$9,IFERROR(MATCH(IF($B89="Robusta","Robusta",(IF($B89="","Arabica",$B89))&amp;" - "&amp;(IF($C89="","Commercial",$C89))),Variables!$B$1:$D$1,0),1))*AC89/365),""))</f>
        <v>-152.08715990184135</v>
      </c>
      <c r="AU89" s="12">
        <f>IF($H89="Cancelled","",IFERROR((T89*INDEX(Variables!$B$7:$D$7,IFERROR(MATCH(IF($B89="Robusta","Robusta",(IF($B89="","Arabica",$B89))&amp;" - "&amp;(IF($C89="","Commercial",$C89))),Variables!$B$1:$D$1,0),1))*AP89/365)+(L89/16.67*INDEX(Variables!$B$8:$D$8,IFERROR(MATCH(IF($B89="Robusta","Robusta",(IF($B89="","Arabica",$B89))&amp;" - "&amp;(IF($C89="","Commercial",$C89))),Variables!$B$1:$D$1,0),1))*AP89)+(T89*INDEX(Variables!$B$9:$D$9,IFERROR(MATCH(IF($B89="Robusta","Robusta",(IF($B89="","Arabica",$B89))&amp;" - "&amp;(IF($C89="","Commercial",$C89))),Variables!$B$1:$D$1,0),1))*AP89/365),""))</f>
        <v>4866.7891168589231</v>
      </c>
      <c r="AV89" s="11">
        <f t="shared" si="9"/>
        <v>10</v>
      </c>
      <c r="AW89" s="12">
        <f>IF($H89="Cancelled","",IFERROR(IF(AV89="","",(T89*INDEX(Variables!$B$7:$D$7,IFERROR(MATCH(IF($B89="Robusta","Robusta",(IF($B89="","Arabica",$B89))&amp;" - "&amp;(IF($C89="","Commercial",$C89))),Variables!$B$1:$D$1,0),1))*(AV89/365))+(T89*INDEX(Variables!$B$9:$D$9,IFERROR(MATCH(IF($B89="Robusta","Robusta",(IF($B89="","Arabica",$B89))&amp;" - "&amp;(IF($C89="","Commercial",$C89))),Variables!$B$1:$D$1,0),1))*(AV89/365))+(INDEX(Variables!$B$8:$D$8,IFERROR(MATCH(IF($B89="Robusta","Robusta",(IF($B89="","Arabica",$B89))&amp;" - "&amp;(IF($C89="","Commercial",$C89))),Variables!$B$1:$D$1,0),1))*L89/16.67)),""))</f>
        <v>236.21789975460337</v>
      </c>
      <c r="AX89" s="9"/>
      <c r="AY89" s="12"/>
      <c r="AZ89" s="10"/>
      <c r="BA89" s="9"/>
      <c r="BB89" s="10"/>
      <c r="BC89" s="9"/>
      <c r="BD89" s="9"/>
      <c r="BE89" s="9"/>
      <c r="BF89" s="9"/>
    </row>
    <row r="90" spans="1:58" x14ac:dyDescent="0.25">
      <c r="A90" s="9" t="s">
        <v>84</v>
      </c>
      <c r="B90" s="9" t="s">
        <v>85</v>
      </c>
      <c r="C90" s="9" t="s">
        <v>86</v>
      </c>
      <c r="D90" s="10">
        <v>45348</v>
      </c>
      <c r="E90" s="10">
        <v>45352</v>
      </c>
      <c r="F90" s="10">
        <v>45396</v>
      </c>
      <c r="G90" s="9">
        <v>3786143</v>
      </c>
      <c r="H90" s="9" t="str">
        <f t="shared" si="7"/>
        <v>Closed</v>
      </c>
      <c r="I90" s="9" t="str">
        <f t="shared" si="8"/>
        <v>All dates received</v>
      </c>
      <c r="J90" s="9" t="s">
        <v>332</v>
      </c>
      <c r="K90" s="9">
        <v>4758</v>
      </c>
      <c r="L90" s="11">
        <v>320</v>
      </c>
      <c r="M90" s="9" t="s">
        <v>333</v>
      </c>
      <c r="N90" s="9" t="s">
        <v>334</v>
      </c>
      <c r="O90" s="9"/>
      <c r="P90" s="9"/>
      <c r="Q90" s="11"/>
      <c r="R90" s="9" t="s">
        <v>90</v>
      </c>
      <c r="S90" s="9" t="s">
        <v>335</v>
      </c>
      <c r="T90" s="12">
        <f>IF($H90="Cancelled","",IFERROR(((Q90+INDEX(Variables!$B$6:$D$6,IFERROR(MATCH(IF($B90="Robusta","Robusta",(IF($B90="","Arabica",$B90))&amp;" - "&amp;(IF($C90="","Commercial",$C90))),Variables!$B$1:$D$1,0),1)))*22.0462)*(L90/16.67),""))</f>
        <v>123067.25778044391</v>
      </c>
      <c r="U90" s="10">
        <v>45357</v>
      </c>
      <c r="V90" s="9" t="str">
        <f>IF(ISNUMBER(U90),"Sent","")</f>
        <v>Sent</v>
      </c>
      <c r="W90" s="10">
        <v>45356</v>
      </c>
      <c r="X90" s="9" t="str">
        <f t="shared" si="5"/>
        <v>Approved</v>
      </c>
      <c r="Y90" s="10"/>
      <c r="Z90" s="10">
        <f>IF($H90="Cancelled","",IFERROR(IF(F90="","",F90-Variables!$B$13),""))</f>
        <v>45381</v>
      </c>
      <c r="AA90" s="11">
        <f>IF($H90="Cancelled","",IFERROR(IF(W90="","",(AVERAGE(E90:F90)-W90)-Variables!$B$14),""))</f>
        <v>-12</v>
      </c>
      <c r="AB90" s="10">
        <v>45493</v>
      </c>
      <c r="AC90" s="11">
        <f>IF($H90="Cancelled","",IFERROR(IF(AB90="","",IF(AND(W90="",Y90=""),"",IF(Y90&gt;W90,Y90+Variables!$B$15+Variables!$B$16+Variables!$B$17-AB90,W90+Variables!$B$16+Variables!$B$17-AB90))),""))</f>
        <v>-129</v>
      </c>
      <c r="AD90" s="9" t="s">
        <v>92</v>
      </c>
      <c r="AE90" s="9" t="s">
        <v>336</v>
      </c>
      <c r="AF90" s="10"/>
      <c r="AG90" s="10"/>
      <c r="AH90" s="9"/>
      <c r="AI90" s="9" t="s">
        <v>337</v>
      </c>
      <c r="AJ90" s="9">
        <v>6050126843</v>
      </c>
      <c r="AK90" s="10">
        <v>45395</v>
      </c>
      <c r="AL90" s="10">
        <v>45397</v>
      </c>
      <c r="AM90" s="10">
        <v>45405</v>
      </c>
      <c r="AN90" s="9" t="s">
        <v>95</v>
      </c>
      <c r="AO90" s="9"/>
      <c r="AP90" s="11">
        <f>IF($H90="Cancelled","",IFERROR(IF(OR(AK90="",AB90=""),"",(AB90+Variables!$B$18-AK90)),""))</f>
        <v>105</v>
      </c>
      <c r="AQ90" s="11">
        <f>IF($H90="Cancelled","",IFERROR(IF(OR(AM90="",AK90=""),"",(AK90+Variables!$B$19)-AM90),""))</f>
        <v>-5</v>
      </c>
      <c r="AR90" s="12">
        <f>IF($H90="Cancelled","",IFERROR(T90*INDEX(Variables!$B$7:$D$7,IFERROR(MATCH(IF($B90="Robusta","Robusta",(IF($B90="","Arabica",$B90))&amp;" - "&amp;(IF($C90="","Commercial",$C90))),Variables!$B$1:$D$1,0),1))*(AQ90/365),""))</f>
        <v>-108.7075004061663</v>
      </c>
      <c r="AS90" s="12">
        <f>IF($H90="Cancelled","",IFERROR((T90*INDEX(Variables!$B$7:$D$7,IFERROR(MATCH(IF($B90="Robusta","Robusta",(IF($B90="","Arabica",$B90))&amp;" - "&amp;(IF($C90="","Commercial",$C90))),Variables!$B$1:$D$1,0),1))*IFERROR(IF(W90="","",(AVERAGE(E90:F90)-W90)-Variables!$B$14),"")/365)+(L90/16.67*INDEX(Variables!$B$8:$D$8,IFERROR(MATCH(IF($B90="Robusta","Robusta",(IF($B90="","Arabica",$B90))&amp;" - "&amp;(IF($C90="","Commercial",$C90))),Variables!$B$1:$D$1,0),1))*IFERROR(IF(W90="","",(AVERAGE(E90:F90)-W90)-Variables!$B$14),""))+(T90*INDEX(Variables!$B$9:$D$9,IFERROR(MATCH(IF($B90="Robusta","Robusta",(IF($B90="","Arabica",$B90))&amp;" - "&amp;(IF($C90="","Commercial",$C90))),Variables!$B$1:$D$1,0),1))*IFERROR(IF(W90="","",(AVERAGE(E90:F90)-W90)-Variables!$B$14),"")/365),""))</f>
        <v>-456.26147970552404</v>
      </c>
      <c r="AT90" s="12">
        <f>IF($H90="Cancelled","",IFERROR((T90*INDEX(Variables!$B$7:$D$7,IFERROR(MATCH(IF($B90="Robusta","Robusta",(IF($B90="","Arabica",$B90))&amp;" - "&amp;(IF($C90="","Commercial",$C90))),Variables!$B$1:$D$1,0),1))*AC90/365)+(L90/16.67*INDEX(Variables!$B$8:$D$8,IFERROR(MATCH(IF($B90="Robusta","Robusta",(IF($B90="","Arabica",$B90))&amp;" - "&amp;(IF($C90="","Commercial",$C90))),Variables!$B$1:$D$1,0),1))*AC90)+(T90*INDEX(Variables!$B$9:$D$9,IFERROR(MATCH(IF($B90="Robusta","Robusta",(IF($B90="","Arabica",$B90))&amp;" - "&amp;(IF($C90="","Commercial",$C90))),Variables!$B$1:$D$1,0),1))*AC90/365),""))</f>
        <v>-4904.8109068343838</v>
      </c>
      <c r="AU90" s="12">
        <f>IF($H90="Cancelled","",IFERROR((T90*INDEX(Variables!$B$7:$D$7,IFERROR(MATCH(IF($B90="Robusta","Robusta",(IF($B90="","Arabica",$B90))&amp;" - "&amp;(IF($C90="","Commercial",$C90))),Variables!$B$1:$D$1,0),1))*AP90/365)+(L90/16.67*INDEX(Variables!$B$8:$D$8,IFERROR(MATCH(IF($B90="Robusta","Robusta",(IF($B90="","Arabica",$B90))&amp;" - "&amp;(IF($C90="","Commercial",$C90))),Variables!$B$1:$D$1,0),1))*AP90)+(T90*INDEX(Variables!$B$9:$D$9,IFERROR(MATCH(IF($B90="Robusta","Robusta",(IF($B90="","Arabica",$B90))&amp;" - "&amp;(IF($C90="","Commercial",$C90))),Variables!$B$1:$D$1,0),1))*AP90/365),""))</f>
        <v>3992.2879474233355</v>
      </c>
      <c r="AV90" s="11">
        <f t="shared" si="9"/>
        <v>1</v>
      </c>
      <c r="AW90" s="12">
        <f>IF($H90="Cancelled","",IFERROR(IF(AV90="","",(T90*INDEX(Variables!$B$7:$D$7,IFERROR(MATCH(IF($B90="Robusta","Robusta",(IF($B90="","Arabica",$B90))&amp;" - "&amp;(IF($C90="","Commercial",$C90))),Variables!$B$1:$D$1,0),1))*(AV90/365))+(T90*INDEX(Variables!$B$9:$D$9,IFERROR(MATCH(IF($B90="Robusta","Robusta",(IF($B90="","Arabica",$B90))&amp;" - "&amp;(IF($C90="","Commercial",$C90))),Variables!$B$1:$D$1,0),1))*(AV90/365))+(INDEX(Variables!$B$8:$D$8,IFERROR(MATCH(IF($B90="Robusta","Robusta",(IF($B90="","Arabica",$B90))&amp;" - "&amp;(IF($C90="","Commercial",$C90))),Variables!$B$1:$D$1,0),1))*L90/16.67)),""))</f>
        <v>38.021789975460337</v>
      </c>
      <c r="AX90" s="9"/>
      <c r="AY90" s="12"/>
      <c r="AZ90" s="10"/>
      <c r="BA90" s="9"/>
      <c r="BB90" s="10"/>
      <c r="BC90" s="9"/>
      <c r="BD90" s="9"/>
      <c r="BE90" s="9"/>
      <c r="BF90" s="9"/>
    </row>
    <row r="91" spans="1:58" x14ac:dyDescent="0.25">
      <c r="A91" s="9" t="s">
        <v>84</v>
      </c>
      <c r="B91" s="9" t="s">
        <v>85</v>
      </c>
      <c r="C91" s="9" t="s">
        <v>86</v>
      </c>
      <c r="D91" s="10">
        <v>45348</v>
      </c>
      <c r="E91" s="10">
        <v>45383</v>
      </c>
      <c r="F91" s="10">
        <v>45412</v>
      </c>
      <c r="G91" s="9">
        <v>3786142</v>
      </c>
      <c r="H91" s="9" t="str">
        <f t="shared" si="7"/>
        <v>Closed</v>
      </c>
      <c r="I91" s="9" t="str">
        <f t="shared" si="8"/>
        <v>All dates received</v>
      </c>
      <c r="J91" s="9" t="s">
        <v>322</v>
      </c>
      <c r="K91" s="9">
        <v>4770</v>
      </c>
      <c r="L91" s="11">
        <v>320</v>
      </c>
      <c r="M91" s="9" t="s">
        <v>323</v>
      </c>
      <c r="N91" s="9" t="s">
        <v>126</v>
      </c>
      <c r="O91" s="9"/>
      <c r="P91" s="9"/>
      <c r="Q91" s="11"/>
      <c r="R91" s="9" t="s">
        <v>90</v>
      </c>
      <c r="S91" s="9" t="s">
        <v>338</v>
      </c>
      <c r="T91" s="12">
        <f>IF($H91="Cancelled","",IFERROR(((Q91+INDEX(Variables!$B$6:$D$6,IFERROR(MATCH(IF($B91="Robusta","Robusta",(IF($B91="","Arabica",$B91))&amp;" - "&amp;(IF($C91="","Commercial",$C91))),Variables!$B$1:$D$1,0),1)))*22.0462)*(L91/16.67),""))</f>
        <v>123067.25778044391</v>
      </c>
      <c r="U91" s="10">
        <v>45328</v>
      </c>
      <c r="V91" s="9" t="str">
        <f>IF(ISNUMBER(U91),"Sent","")</f>
        <v>Sent</v>
      </c>
      <c r="W91" s="10">
        <v>45366</v>
      </c>
      <c r="X91" s="9" t="str">
        <f t="shared" si="5"/>
        <v>Approved</v>
      </c>
      <c r="Y91" s="10"/>
      <c r="Z91" s="10">
        <f>IF($H91="Cancelled","",IFERROR(IF(F91="","",F91-Variables!$B$13),""))</f>
        <v>45397</v>
      </c>
      <c r="AA91" s="11">
        <f>IF($H91="Cancelled","",IFERROR(IF(W91="","",(AVERAGE(E91:F91)-W91)-Variables!$B$14),""))</f>
        <v>1.5</v>
      </c>
      <c r="AB91" s="10">
        <v>45493</v>
      </c>
      <c r="AC91" s="11">
        <f>IF($H91="Cancelled","",IFERROR(IF(AB91="","",IF(AND(W91="",Y91=""),"",IF(Y91&gt;W91,Y91+Variables!$B$15+Variables!$B$16+Variables!$B$17-AB91,W91+Variables!$B$16+Variables!$B$17-AB91))),""))</f>
        <v>-119</v>
      </c>
      <c r="AD91" s="9" t="s">
        <v>107</v>
      </c>
      <c r="AE91" s="9" t="s">
        <v>198</v>
      </c>
      <c r="AF91" s="10"/>
      <c r="AG91" s="10"/>
      <c r="AH91" s="9"/>
      <c r="AI91" s="9" t="s">
        <v>339</v>
      </c>
      <c r="AJ91" s="9">
        <v>4974813620</v>
      </c>
      <c r="AK91" s="10">
        <v>45399</v>
      </c>
      <c r="AL91" s="10">
        <v>45401</v>
      </c>
      <c r="AM91" s="10">
        <v>45407</v>
      </c>
      <c r="AN91" s="9" t="s">
        <v>95</v>
      </c>
      <c r="AO91" s="9"/>
      <c r="AP91" s="11">
        <f>IF($H91="Cancelled","",IFERROR(IF(OR(AK91="",AB91=""),"",(AB91+Variables!$B$18-AK91)),""))</f>
        <v>101</v>
      </c>
      <c r="AQ91" s="11">
        <f>IF($H91="Cancelled","",IFERROR(IF(OR(AM91="",AK91=""),"",(AK91+Variables!$B$19)-AM91),""))</f>
        <v>-3</v>
      </c>
      <c r="AR91" s="12">
        <f>IF($H91="Cancelled","",IFERROR(T91*INDEX(Variables!$B$7:$D$7,IFERROR(MATCH(IF($B91="Robusta","Robusta",(IF($B91="","Arabica",$B91))&amp;" - "&amp;(IF($C91="","Commercial",$C91))),Variables!$B$1:$D$1,0),1))*(AQ91/365),""))</f>
        <v>-65.224500243699779</v>
      </c>
      <c r="AS91" s="12">
        <f>IF($H91="Cancelled","",IFERROR((T91*INDEX(Variables!$B$7:$D$7,IFERROR(MATCH(IF($B91="Robusta","Robusta",(IF($B91="","Arabica",$B91))&amp;" - "&amp;(IF($C91="","Commercial",$C91))),Variables!$B$1:$D$1,0),1))*IFERROR(IF(W91="","",(AVERAGE(E91:F91)-W91)-Variables!$B$14),"")/365)+(L91/16.67*INDEX(Variables!$B$8:$D$8,IFERROR(MATCH(IF($B91="Robusta","Robusta",(IF($B91="","Arabica",$B91))&amp;" - "&amp;(IF($C91="","Commercial",$C91))),Variables!$B$1:$D$1,0),1))*IFERROR(IF(W91="","",(AVERAGE(E91:F91)-W91)-Variables!$B$14),""))+(T91*INDEX(Variables!$B$9:$D$9,IFERROR(MATCH(IF($B91="Robusta","Robusta",(IF($B91="","Arabica",$B91))&amp;" - "&amp;(IF($C91="","Commercial",$C91))),Variables!$B$1:$D$1,0),1))*IFERROR(IF(W91="","",(AVERAGE(E91:F91)-W91)-Variables!$B$14),"")/365),""))</f>
        <v>57.032684963190505</v>
      </c>
      <c r="AT91" s="12">
        <f>IF($H91="Cancelled","",IFERROR((T91*INDEX(Variables!$B$7:$D$7,IFERROR(MATCH(IF($B91="Robusta","Robusta",(IF($B91="","Arabica",$B91))&amp;" - "&amp;(IF($C91="","Commercial",$C91))),Variables!$B$1:$D$1,0),1))*AC91/365)+(L91/16.67*INDEX(Variables!$B$8:$D$8,IFERROR(MATCH(IF($B91="Robusta","Robusta",(IF($B91="","Arabica",$B91))&amp;" - "&amp;(IF($C91="","Commercial",$C91))),Variables!$B$1:$D$1,0),1))*AC91)+(T91*INDEX(Variables!$B$9:$D$9,IFERROR(MATCH(IF($B91="Robusta","Robusta",(IF($B91="","Arabica",$B91))&amp;" - "&amp;(IF($C91="","Commercial",$C91))),Variables!$B$1:$D$1,0),1))*AC91/365),""))</f>
        <v>-4524.5930070797804</v>
      </c>
      <c r="AU91" s="12">
        <f>IF($H91="Cancelled","",IFERROR((T91*INDEX(Variables!$B$7:$D$7,IFERROR(MATCH(IF($B91="Robusta","Robusta",(IF($B91="","Arabica",$B91))&amp;" - "&amp;(IF($C91="","Commercial",$C91))),Variables!$B$1:$D$1,0),1))*AP91/365)+(L91/16.67*INDEX(Variables!$B$8:$D$8,IFERROR(MATCH(IF($B91="Robusta","Robusta",(IF($B91="","Arabica",$B91))&amp;" - "&amp;(IF($C91="","Commercial",$C91))),Variables!$B$1:$D$1,0),1))*AP91)+(T91*INDEX(Variables!$B$9:$D$9,IFERROR(MATCH(IF($B91="Robusta","Robusta",(IF($B91="","Arabica",$B91))&amp;" - "&amp;(IF($C91="","Commercial",$C91))),Variables!$B$1:$D$1,0),1))*AP91/365),""))</f>
        <v>3840.2007875214945</v>
      </c>
      <c r="AV91" s="11">
        <f t="shared" si="9"/>
        <v>13</v>
      </c>
      <c r="AW91" s="12">
        <f>IF($H91="Cancelled","",IFERROR(IF(AV91="","",(T91*INDEX(Variables!$B$7:$D$7,IFERROR(MATCH(IF($B91="Robusta","Robusta",(IF($B91="","Arabica",$B91))&amp;" - "&amp;(IF($C91="","Commercial",$C91))),Variables!$B$1:$D$1,0),1))*(AV91/365))+(T91*INDEX(Variables!$B$9:$D$9,IFERROR(MATCH(IF($B91="Robusta","Robusta",(IF($B91="","Arabica",$B91))&amp;" - "&amp;(IF($C91="","Commercial",$C91))),Variables!$B$1:$D$1,0),1))*(AV91/365))+(INDEX(Variables!$B$8:$D$8,IFERROR(MATCH(IF($B91="Robusta","Robusta",(IF($B91="","Arabica",$B91))&amp;" - "&amp;(IF($C91="","Commercial",$C91))),Variables!$B$1:$D$1,0),1))*L91/16.67)),""))</f>
        <v>302.28326968098435</v>
      </c>
      <c r="AX91" s="9"/>
      <c r="AY91" s="12"/>
      <c r="AZ91" s="10"/>
      <c r="BA91" s="9"/>
      <c r="BB91" s="10"/>
      <c r="BC91" s="9"/>
      <c r="BD91" s="9"/>
      <c r="BE91" s="9"/>
      <c r="BF91" s="9"/>
    </row>
    <row r="92" spans="1:58" x14ac:dyDescent="0.25">
      <c r="A92" s="9" t="s">
        <v>84</v>
      </c>
      <c r="B92" s="9" t="s">
        <v>85</v>
      </c>
      <c r="C92" s="9" t="s">
        <v>86</v>
      </c>
      <c r="D92" s="10">
        <v>45350</v>
      </c>
      <c r="E92" s="10">
        <v>45383</v>
      </c>
      <c r="F92" s="10">
        <v>45412</v>
      </c>
      <c r="G92" s="9">
        <v>3786144</v>
      </c>
      <c r="H92" s="9" t="str">
        <f t="shared" si="7"/>
        <v>Closed</v>
      </c>
      <c r="I92" s="9" t="str">
        <f t="shared" si="8"/>
        <v>All dates received</v>
      </c>
      <c r="J92" s="9" t="s">
        <v>235</v>
      </c>
      <c r="K92" s="9">
        <v>4761</v>
      </c>
      <c r="L92" s="11">
        <v>320</v>
      </c>
      <c r="M92" s="9" t="s">
        <v>340</v>
      </c>
      <c r="N92" s="9" t="s">
        <v>237</v>
      </c>
      <c r="O92" s="9"/>
      <c r="P92" s="9"/>
      <c r="Q92" s="11"/>
      <c r="R92" s="9" t="s">
        <v>90</v>
      </c>
      <c r="S92" s="9" t="s">
        <v>106</v>
      </c>
      <c r="T92" s="12">
        <f>IF($H92="Cancelled","",IFERROR(((Q92+INDEX(Variables!$B$6:$D$6,IFERROR(MATCH(IF($B92="Robusta","Robusta",(IF($B92="","Arabica",$B92))&amp;" - "&amp;(IF($C92="","Commercial",$C92))),Variables!$B$1:$D$1,0),1)))*22.0462)*(L92/16.67),""))</f>
        <v>123067.25778044391</v>
      </c>
      <c r="U92" s="10">
        <v>45359</v>
      </c>
      <c r="V92" s="9" t="str">
        <f>IF(ISNUMBER(U92),"Sent","")</f>
        <v>Sent</v>
      </c>
      <c r="W92" s="10">
        <v>45363</v>
      </c>
      <c r="X92" s="9" t="str">
        <f t="shared" si="5"/>
        <v>Approved</v>
      </c>
      <c r="Y92" s="10"/>
      <c r="Z92" s="10">
        <f>IF($H92="Cancelled","",IFERROR(IF(F92="","",F92-Variables!$B$13),""))</f>
        <v>45397</v>
      </c>
      <c r="AA92" s="11">
        <f>IF($H92="Cancelled","",IFERROR(IF(W92="","",(AVERAGE(E92:F92)-W92)-Variables!$B$14),""))</f>
        <v>4.5</v>
      </c>
      <c r="AB92" s="10">
        <v>45493</v>
      </c>
      <c r="AC92" s="11">
        <f>IF($H92="Cancelled","",IFERROR(IF(AB92="","",IF(AND(W92="",Y92=""),"",IF(Y92&gt;W92,Y92+Variables!$B$15+Variables!$B$16+Variables!$B$17-AB92,W92+Variables!$B$16+Variables!$B$17-AB92))),""))</f>
        <v>-122</v>
      </c>
      <c r="AD92" s="9" t="s">
        <v>107</v>
      </c>
      <c r="AE92" s="9" t="s">
        <v>198</v>
      </c>
      <c r="AF92" s="10"/>
      <c r="AG92" s="10"/>
      <c r="AH92" s="9"/>
      <c r="AI92" s="9" t="s">
        <v>341</v>
      </c>
      <c r="AJ92" s="9">
        <v>4123134293</v>
      </c>
      <c r="AK92" s="10">
        <v>45399</v>
      </c>
      <c r="AL92" s="10">
        <v>45401</v>
      </c>
      <c r="AM92" s="10">
        <v>45405</v>
      </c>
      <c r="AN92" s="9" t="s">
        <v>95</v>
      </c>
      <c r="AO92" s="9"/>
      <c r="AP92" s="11">
        <f>IF($H92="Cancelled","",IFERROR(IF(OR(AK92="",AB92=""),"",(AB92+Variables!$B$18-AK92)),""))</f>
        <v>101</v>
      </c>
      <c r="AQ92" s="11">
        <f>IF($H92="Cancelled","",IFERROR(IF(OR(AM92="",AK92=""),"",(AK92+Variables!$B$19)-AM92),""))</f>
        <v>-1</v>
      </c>
      <c r="AR92" s="12">
        <f>IF($H92="Cancelled","",IFERROR(T92*INDEX(Variables!$B$7:$D$7,IFERROR(MATCH(IF($B92="Robusta","Robusta",(IF($B92="","Arabica",$B92))&amp;" - "&amp;(IF($C92="","Commercial",$C92))),Variables!$B$1:$D$1,0),1))*(AQ92/365),""))</f>
        <v>-21.741500081233262</v>
      </c>
      <c r="AS92" s="12">
        <f>IF($H92="Cancelled","",IFERROR((T92*INDEX(Variables!$B$7:$D$7,IFERROR(MATCH(IF($B92="Robusta","Robusta",(IF($B92="","Arabica",$B92))&amp;" - "&amp;(IF($C92="","Commercial",$C92))),Variables!$B$1:$D$1,0),1))*IFERROR(IF(W92="","",(AVERAGE(E92:F92)-W92)-Variables!$B$14),"")/365)+(L92/16.67*INDEX(Variables!$B$8:$D$8,IFERROR(MATCH(IF($B92="Robusta","Robusta",(IF($B92="","Arabica",$B92))&amp;" - "&amp;(IF($C92="","Commercial",$C92))),Variables!$B$1:$D$1,0),1))*IFERROR(IF(W92="","",(AVERAGE(E92:F92)-W92)-Variables!$B$14),""))+(T92*INDEX(Variables!$B$9:$D$9,IFERROR(MATCH(IF($B92="Robusta","Robusta",(IF($B92="","Arabica",$B92))&amp;" - "&amp;(IF($C92="","Commercial",$C92))),Variables!$B$1:$D$1,0),1))*IFERROR(IF(W92="","",(AVERAGE(E92:F92)-W92)-Variables!$B$14),"")/365),""))</f>
        <v>171.09805488957153</v>
      </c>
      <c r="AT92" s="12">
        <f>IF($H92="Cancelled","",IFERROR((T92*INDEX(Variables!$B$7:$D$7,IFERROR(MATCH(IF($B92="Robusta","Robusta",(IF($B92="","Arabica",$B92))&amp;" - "&amp;(IF($C92="","Commercial",$C92))),Variables!$B$1:$D$1,0),1))*AC92/365)+(L92/16.67*INDEX(Variables!$B$8:$D$8,IFERROR(MATCH(IF($B92="Robusta","Robusta",(IF($B92="","Arabica",$B92))&amp;" - "&amp;(IF($C92="","Commercial",$C92))),Variables!$B$1:$D$1,0),1))*AC92)+(T92*INDEX(Variables!$B$9:$D$9,IFERROR(MATCH(IF($B92="Robusta","Robusta",(IF($B92="","Arabica",$B92))&amp;" - "&amp;(IF($C92="","Commercial",$C92))),Variables!$B$1:$D$1,0),1))*AC92/365),""))</f>
        <v>-4638.6583770061616</v>
      </c>
      <c r="AU92" s="12">
        <f>IF($H92="Cancelled","",IFERROR((T92*INDEX(Variables!$B$7:$D$7,IFERROR(MATCH(IF($B92="Robusta","Robusta",(IF($B92="","Arabica",$B92))&amp;" - "&amp;(IF($C92="","Commercial",$C92))),Variables!$B$1:$D$1,0),1))*AP92/365)+(L92/16.67*INDEX(Variables!$B$8:$D$8,IFERROR(MATCH(IF($B92="Robusta","Robusta",(IF($B92="","Arabica",$B92))&amp;" - "&amp;(IF($C92="","Commercial",$C92))),Variables!$B$1:$D$1,0),1))*AP92)+(T92*INDEX(Variables!$B$9:$D$9,IFERROR(MATCH(IF($B92="Robusta","Robusta",(IF($B92="","Arabica",$B92))&amp;" - "&amp;(IF($C92="","Commercial",$C92))),Variables!$B$1:$D$1,0),1))*AP92/365),""))</f>
        <v>3840.2007875214945</v>
      </c>
      <c r="AV92" s="11">
        <f t="shared" si="9"/>
        <v>13</v>
      </c>
      <c r="AW92" s="12">
        <f>IF($H92="Cancelled","",IFERROR(IF(AV92="","",(T92*INDEX(Variables!$B$7:$D$7,IFERROR(MATCH(IF($B92="Robusta","Robusta",(IF($B92="","Arabica",$B92))&amp;" - "&amp;(IF($C92="","Commercial",$C92))),Variables!$B$1:$D$1,0),1))*(AV92/365))+(T92*INDEX(Variables!$B$9:$D$9,IFERROR(MATCH(IF($B92="Robusta","Robusta",(IF($B92="","Arabica",$B92))&amp;" - "&amp;(IF($C92="","Commercial",$C92))),Variables!$B$1:$D$1,0),1))*(AV92/365))+(INDEX(Variables!$B$8:$D$8,IFERROR(MATCH(IF($B92="Robusta","Robusta",(IF($B92="","Arabica",$B92))&amp;" - "&amp;(IF($C92="","Commercial",$C92))),Variables!$B$1:$D$1,0),1))*L92/16.67)),""))</f>
        <v>302.28326968098435</v>
      </c>
      <c r="AX92" s="9"/>
      <c r="AY92" s="12"/>
      <c r="AZ92" s="10"/>
      <c r="BA92" s="9"/>
      <c r="BB92" s="10"/>
      <c r="BC92" s="9"/>
      <c r="BD92" s="9"/>
      <c r="BE92" s="9"/>
      <c r="BF92" s="9"/>
    </row>
    <row r="93" spans="1:58" x14ac:dyDescent="0.25">
      <c r="A93" s="9" t="s">
        <v>84</v>
      </c>
      <c r="B93" s="9" t="s">
        <v>85</v>
      </c>
      <c r="C93" s="9" t="s">
        <v>86</v>
      </c>
      <c r="D93" s="10">
        <v>45352</v>
      </c>
      <c r="E93" s="10">
        <v>45505</v>
      </c>
      <c r="F93" s="10">
        <v>45535</v>
      </c>
      <c r="G93" s="9">
        <v>3786162</v>
      </c>
      <c r="H93" s="9" t="str">
        <f t="shared" si="7"/>
        <v>Closed</v>
      </c>
      <c r="I93" s="9" t="str">
        <f t="shared" si="8"/>
        <v>All dates received</v>
      </c>
      <c r="J93" s="9" t="s">
        <v>303</v>
      </c>
      <c r="K93" s="9">
        <v>5040</v>
      </c>
      <c r="L93" s="11">
        <v>333</v>
      </c>
      <c r="M93" s="9" t="s">
        <v>342</v>
      </c>
      <c r="N93" s="9" t="s">
        <v>126</v>
      </c>
      <c r="O93" s="9"/>
      <c r="P93" s="9"/>
      <c r="Q93" s="11"/>
      <c r="R93" s="9" t="s">
        <v>90</v>
      </c>
      <c r="S93" s="9" t="s">
        <v>312</v>
      </c>
      <c r="T93" s="12">
        <f>IF($H93="Cancelled","",IFERROR(((Q93+INDEX(Variables!$B$6:$D$6,IFERROR(MATCH(IF($B93="Robusta","Robusta",(IF($B93="","Arabica",$B93))&amp;" - "&amp;(IF($C93="","Commercial",$C93))),Variables!$B$1:$D$1,0),1)))*22.0462)*(L93/16.67),""))</f>
        <v>128066.86512777444</v>
      </c>
      <c r="U93" s="10">
        <v>45457</v>
      </c>
      <c r="V93" s="9" t="str">
        <f>IF(ISNUMBER(U93),"Sent","")</f>
        <v>Sent</v>
      </c>
      <c r="W93" s="10">
        <v>45483</v>
      </c>
      <c r="X93" s="9" t="str">
        <f t="shared" si="5"/>
        <v>Approved</v>
      </c>
      <c r="Y93" s="10"/>
      <c r="Z93" s="10">
        <f>IF($H93="Cancelled","",IFERROR(IF(F93="","",F93-Variables!$B$13),""))</f>
        <v>45520</v>
      </c>
      <c r="AA93" s="11">
        <f>IF($H93="Cancelled","",IFERROR(IF(W93="","",(AVERAGE(E93:F93)-W93)-Variables!$B$14),""))</f>
        <v>7</v>
      </c>
      <c r="AB93" s="10">
        <v>45493</v>
      </c>
      <c r="AC93" s="11">
        <f>IF($H93="Cancelled","",IFERROR(IF(AB93="","",IF(AND(W93="",Y93=""),"",IF(Y93&gt;W93,Y93+Variables!$B$15+Variables!$B$16+Variables!$B$17-AB93,W93+Variables!$B$16+Variables!$B$17-AB93))),""))</f>
        <v>-2</v>
      </c>
      <c r="AD93" s="9" t="s">
        <v>163</v>
      </c>
      <c r="AE93" s="9" t="s">
        <v>93</v>
      </c>
      <c r="AF93" s="10"/>
      <c r="AG93" s="10"/>
      <c r="AH93" s="9"/>
      <c r="AI93" s="9" t="s">
        <v>343</v>
      </c>
      <c r="AJ93" s="9" t="s">
        <v>8</v>
      </c>
      <c r="AK93" s="10">
        <v>45518</v>
      </c>
      <c r="AL93" s="10">
        <v>45524</v>
      </c>
      <c r="AM93" s="10">
        <v>45532</v>
      </c>
      <c r="AN93" s="9" t="s">
        <v>95</v>
      </c>
      <c r="AO93" s="9"/>
      <c r="AP93" s="11">
        <f>IF($H93="Cancelled","",IFERROR(IF(OR(AK93="",AB93=""),"",(AB93+Variables!$B$18-AK93)),""))</f>
        <v>-18</v>
      </c>
      <c r="AQ93" s="11">
        <f>IF($H93="Cancelled","",IFERROR(IF(OR(AM93="",AK93=""),"",(AK93+Variables!$B$19)-AM93),""))</f>
        <v>-9</v>
      </c>
      <c r="AR93" s="12">
        <f>IF($H93="Cancelled","",IFERROR(T93*INDEX(Variables!$B$7:$D$7,IFERROR(MATCH(IF($B93="Robusta","Robusta",(IF($B93="","Arabica",$B93))&amp;" - "&amp;(IF($C93="","Commercial",$C93))),Variables!$B$1:$D$1,0),1))*(AQ93/365),""))</f>
        <v>-203.62273669830023</v>
      </c>
      <c r="AS93" s="12">
        <f>IF($H93="Cancelled","",IFERROR((T93*INDEX(Variables!$B$7:$D$7,IFERROR(MATCH(IF($B93="Robusta","Robusta",(IF($B93="","Arabica",$B93))&amp;" - "&amp;(IF($C93="","Commercial",$C93))),Variables!$B$1:$D$1,0),1))*IFERROR(IF(W93="","",(AVERAGE(E93:F93)-W93)-Variables!$B$14),"")/365)+(L93/16.67*INDEX(Variables!$B$8:$D$8,IFERROR(MATCH(IF($B93="Robusta","Robusta",(IF($B93="","Arabica",$B93))&amp;" - "&amp;(IF($C93="","Commercial",$C93))),Variables!$B$1:$D$1,0),1))*IFERROR(IF(W93="","",(AVERAGE(E93:F93)-W93)-Variables!$B$14),""))+(T93*INDEX(Variables!$B$9:$D$9,IFERROR(MATCH(IF($B93="Robusta","Robusta",(IF($B93="","Arabica",$B93))&amp;" - "&amp;(IF($C93="","Commercial",$C93))),Variables!$B$1:$D$1,0),1))*IFERROR(IF(W93="","",(AVERAGE(E93:F93)-W93)-Variables!$B$14),"")/365),""))</f>
        <v>276.96497635249386</v>
      </c>
      <c r="AT93" s="12">
        <f>IF($H93="Cancelled","",IFERROR((T93*INDEX(Variables!$B$7:$D$7,IFERROR(MATCH(IF($B93="Robusta","Robusta",(IF($B93="","Arabica",$B93))&amp;" - "&amp;(IF($C93="","Commercial",$C93))),Variables!$B$1:$D$1,0),1))*AC93/365)+(L93/16.67*INDEX(Variables!$B$8:$D$8,IFERROR(MATCH(IF($B93="Robusta","Robusta",(IF($B93="","Arabica",$B93))&amp;" - "&amp;(IF($C93="","Commercial",$C93))),Variables!$B$1:$D$1,0),1))*AC93)+(T93*INDEX(Variables!$B$9:$D$9,IFERROR(MATCH(IF($B93="Robusta","Robusta",(IF($B93="","Arabica",$B93))&amp;" - "&amp;(IF($C93="","Commercial",$C93))),Variables!$B$1:$D$1,0),1))*AC93/365),""))</f>
        <v>-79.132850386426824</v>
      </c>
      <c r="AU93" s="12">
        <f>IF($H93="Cancelled","",IFERROR((T93*INDEX(Variables!$B$7:$D$7,IFERROR(MATCH(IF($B93="Robusta","Robusta",(IF($B93="","Arabica",$B93))&amp;" - "&amp;(IF($C93="","Commercial",$C93))),Variables!$B$1:$D$1,0),1))*AP93/365)+(L93/16.67*INDEX(Variables!$B$8:$D$8,IFERROR(MATCH(IF($B93="Robusta","Robusta",(IF($B93="","Arabica",$B93))&amp;" - "&amp;(IF($C93="","Commercial",$C93))),Variables!$B$1:$D$1,0),1))*AP93)+(T93*INDEX(Variables!$B$9:$D$9,IFERROR(MATCH(IF($B93="Robusta","Robusta",(IF($B93="","Arabica",$B93))&amp;" - "&amp;(IF($C93="","Commercial",$C93))),Variables!$B$1:$D$1,0),1))*AP93/365),""))</f>
        <v>-712.19565347784146</v>
      </c>
      <c r="AV93" s="11">
        <f t="shared" si="9"/>
        <v>17</v>
      </c>
      <c r="AW93" s="12">
        <f>IF($H93="Cancelled","",IFERROR(IF(AV93="","",(T93*INDEX(Variables!$B$7:$D$7,IFERROR(MATCH(IF($B93="Robusta","Robusta",(IF($B93="","Arabica",$B93))&amp;" - "&amp;(IF($C93="","Commercial",$C93))),Variables!$B$1:$D$1,0),1))*(AV93/365))+(T93*INDEX(Variables!$B$9:$D$9,IFERROR(MATCH(IF($B93="Robusta","Robusta",(IF($B93="","Arabica",$B93))&amp;" - "&amp;(IF($C93="","Commercial",$C93))),Variables!$B$1:$D$1,0),1))*(AV93/365))+(INDEX(Variables!$B$8:$D$8,IFERROR(MATCH(IF($B93="Robusta","Robusta",(IF($B93="","Arabica",$B93))&amp;" - "&amp;(IF($C93="","Commercial",$C93))),Variables!$B$1:$D$1,0),1))*L93/16.67)),""))</f>
        <v>406.22922828462799</v>
      </c>
      <c r="AX93" s="9"/>
      <c r="AY93" s="12"/>
      <c r="AZ93" s="10"/>
      <c r="BA93" s="9"/>
      <c r="BB93" s="10"/>
      <c r="BC93" s="9"/>
      <c r="BD93" s="9"/>
      <c r="BE93" s="9"/>
      <c r="BF93" s="9"/>
    </row>
    <row r="94" spans="1:58" x14ac:dyDescent="0.25">
      <c r="A94" s="9" t="s">
        <v>84</v>
      </c>
      <c r="B94" s="9" t="s">
        <v>85</v>
      </c>
      <c r="C94" s="9" t="s">
        <v>86</v>
      </c>
      <c r="D94" s="10">
        <v>45358</v>
      </c>
      <c r="E94" s="10">
        <v>45383</v>
      </c>
      <c r="F94" s="10">
        <v>45412</v>
      </c>
      <c r="G94" s="9">
        <v>3786168</v>
      </c>
      <c r="H94" s="9" t="str">
        <f t="shared" si="7"/>
        <v>Closed</v>
      </c>
      <c r="I94" s="9" t="str">
        <f t="shared" si="8"/>
        <v>All dates received</v>
      </c>
      <c r="J94" s="9" t="s">
        <v>344</v>
      </c>
      <c r="K94" s="9">
        <v>4759</v>
      </c>
      <c r="L94" s="11">
        <v>330</v>
      </c>
      <c r="M94" s="9" t="s">
        <v>345</v>
      </c>
      <c r="N94" s="9" t="s">
        <v>346</v>
      </c>
      <c r="O94" s="9"/>
      <c r="P94" s="9"/>
      <c r="Q94" s="11"/>
      <c r="R94" s="9" t="s">
        <v>195</v>
      </c>
      <c r="S94" s="9" t="s">
        <v>347</v>
      </c>
      <c r="T94" s="12">
        <f>IF($H94="Cancelled","",IFERROR(((Q94+INDEX(Variables!$B$6:$D$6,IFERROR(MATCH(IF($B94="Robusta","Robusta",(IF($B94="","Arabica",$B94))&amp;" - "&amp;(IF($C94="","Commercial",$C94))),Variables!$B$1:$D$1,0),1)))*22.0462)*(L94/16.67),""))</f>
        <v>126913.10958608278</v>
      </c>
      <c r="U94" s="10"/>
      <c r="V94" s="9" t="s">
        <v>195</v>
      </c>
      <c r="W94" s="10">
        <v>45367</v>
      </c>
      <c r="X94" s="9" t="str">
        <f t="shared" si="5"/>
        <v>Approved</v>
      </c>
      <c r="Y94" s="10">
        <v>45474</v>
      </c>
      <c r="Z94" s="10">
        <f>IF($H94="Cancelled","",IFERROR(IF(F94="","",F94-Variables!$B$13),""))</f>
        <v>45397</v>
      </c>
      <c r="AA94" s="11">
        <f>IF($H94="Cancelled","",IFERROR(IF(W94="","",(AVERAGE(E94:F94)-W94)-Variables!$B$14),""))</f>
        <v>0.5</v>
      </c>
      <c r="AB94" s="10">
        <v>45495</v>
      </c>
      <c r="AC94" s="11">
        <f>IF($H94="Cancelled","",IFERROR(IF(AB94="","",IF(AND(W94="",Y94=""),"",IF(Y94&gt;W94,Y94+Variables!$B$15+Variables!$B$16+Variables!$B$17-AB94,W94+Variables!$B$16+Variables!$B$17-AB94))),""))</f>
        <v>-6</v>
      </c>
      <c r="AD94" s="9" t="s">
        <v>163</v>
      </c>
      <c r="AE94" s="9" t="s">
        <v>348</v>
      </c>
      <c r="AF94" s="10"/>
      <c r="AG94" s="10"/>
      <c r="AH94" s="9"/>
      <c r="AI94" s="9">
        <v>237658373</v>
      </c>
      <c r="AJ94" s="9" t="s">
        <v>349</v>
      </c>
      <c r="AK94" s="10">
        <v>45392</v>
      </c>
      <c r="AL94" s="10">
        <v>45394</v>
      </c>
      <c r="AM94" s="10">
        <v>45394</v>
      </c>
      <c r="AN94" s="9" t="s">
        <v>95</v>
      </c>
      <c r="AO94" s="9"/>
      <c r="AP94" s="11">
        <f>IF($H94="Cancelled","",IFERROR(IF(OR(AK94="",AB94=""),"",(AB94+Variables!$B$18-AK94)),""))</f>
        <v>110</v>
      </c>
      <c r="AQ94" s="11">
        <f>IF($H94="Cancelled","",IFERROR(IF(OR(AM94="",AK94=""),"",(AK94+Variables!$B$19)-AM94),""))</f>
        <v>3</v>
      </c>
      <c r="AR94" s="12">
        <f>IF($H94="Cancelled","",IFERROR(T94*INDEX(Variables!$B$7:$D$7,IFERROR(MATCH(IF($B94="Robusta","Robusta",(IF($B94="","Arabica",$B94))&amp;" - "&amp;(IF($C94="","Commercial",$C94))),Variables!$B$1:$D$1,0),1))*(AQ94/365),""))</f>
        <v>67.262765876315399</v>
      </c>
      <c r="AS94" s="12">
        <f>IF($H94="Cancelled","",IFERROR((T94*INDEX(Variables!$B$7:$D$7,IFERROR(MATCH(IF($B94="Robusta","Robusta",(IF($B94="","Arabica",$B94))&amp;" - "&amp;(IF($C94="","Commercial",$C94))),Variables!$B$1:$D$1,0),1))*IFERROR(IF(W94="","",(AVERAGE(E94:F94)-W94)-Variables!$B$14),"")/365)+(L94/16.67*INDEX(Variables!$B$8:$D$8,IFERROR(MATCH(IF($B94="Robusta","Robusta",(IF($B94="","Arabica",$B94))&amp;" - "&amp;(IF($C94="","Commercial",$C94))),Variables!$B$1:$D$1,0),1))*IFERROR(IF(W94="","",(AVERAGE(E94:F94)-W94)-Variables!$B$14),""))+(T94*INDEX(Variables!$B$9:$D$9,IFERROR(MATCH(IF($B94="Robusta","Robusta",(IF($B94="","Arabica",$B94))&amp;" - "&amp;(IF($C94="","Commercial",$C94))),Variables!$B$1:$D$1,0),1))*IFERROR(IF(W94="","",(AVERAGE(E94:F94)-W94)-Variables!$B$14),"")/365),""))</f>
        <v>19.604985456096735</v>
      </c>
      <c r="AT94" s="12">
        <f>IF($H94="Cancelled","",IFERROR((T94*INDEX(Variables!$B$7:$D$7,IFERROR(MATCH(IF($B94="Robusta","Robusta",(IF($B94="","Arabica",$B94))&amp;" - "&amp;(IF($C94="","Commercial",$C94))),Variables!$B$1:$D$1,0),1))*AC94/365)+(L94/16.67*INDEX(Variables!$B$8:$D$8,IFERROR(MATCH(IF($B94="Robusta","Robusta",(IF($B94="","Arabica",$B94))&amp;" - "&amp;(IF($C94="","Commercial",$C94))),Variables!$B$1:$D$1,0),1))*AC94)+(T94*INDEX(Variables!$B$9:$D$9,IFERROR(MATCH(IF($B94="Robusta","Robusta",(IF($B94="","Arabica",$B94))&amp;" - "&amp;(IF($C94="","Commercial",$C94))),Variables!$B$1:$D$1,0),1))*AC94/365),""))</f>
        <v>-235.25982547316084</v>
      </c>
      <c r="AU94" s="12">
        <f>IF($H94="Cancelled","",IFERROR((T94*INDEX(Variables!$B$7:$D$7,IFERROR(MATCH(IF($B94="Robusta","Robusta",(IF($B94="","Arabica",$B94))&amp;" - "&amp;(IF($C94="","Commercial",$C94))),Variables!$B$1:$D$1,0),1))*AP94/365)+(L94/16.67*INDEX(Variables!$B$8:$D$8,IFERROR(MATCH(IF($B94="Robusta","Robusta",(IF($B94="","Arabica",$B94))&amp;" - "&amp;(IF($C94="","Commercial",$C94))),Variables!$B$1:$D$1,0),1))*AP94)+(T94*INDEX(Variables!$B$9:$D$9,IFERROR(MATCH(IF($B94="Robusta","Robusta",(IF($B94="","Arabica",$B94))&amp;" - "&amp;(IF($C94="","Commercial",$C94))),Variables!$B$1:$D$1,0),1))*AP94/365),""))</f>
        <v>4313.0968003412818</v>
      </c>
      <c r="AV94" s="11">
        <f t="shared" si="9"/>
        <v>20</v>
      </c>
      <c r="AW94" s="12">
        <f>IF($H94="Cancelled","",IFERROR(IF(AV94="","",(T94*INDEX(Variables!$B$7:$D$7,IFERROR(MATCH(IF($B94="Robusta","Robusta",(IF($B94="","Arabica",$B94))&amp;" - "&amp;(IF($C94="","Commercial",$C94))),Variables!$B$1:$D$1,0),1))*(AV94/365))+(T94*INDEX(Variables!$B$9:$D$9,IFERROR(MATCH(IF($B94="Robusta","Robusta",(IF($B94="","Arabica",$B94))&amp;" - "&amp;(IF($C94="","Commercial",$C94))),Variables!$B$1:$D$1,0),1))*(AV94/365))+(INDEX(Variables!$B$8:$D$8,IFERROR(MATCH(IF($B94="Robusta","Robusta",(IF($B94="","Arabica",$B94))&amp;" - "&amp;(IF($C94="","Commercial",$C94))),Variables!$B$1:$D$1,0),1))*L94/16.67)),""))</f>
        <v>470.69941824386945</v>
      </c>
      <c r="AX94" s="9"/>
      <c r="AY94" s="12"/>
      <c r="AZ94" s="10"/>
      <c r="BA94" s="9"/>
      <c r="BB94" s="10"/>
      <c r="BC94" s="9"/>
      <c r="BD94" s="9"/>
      <c r="BE94" s="9"/>
      <c r="BF94" s="9"/>
    </row>
    <row r="95" spans="1:58" x14ac:dyDescent="0.25">
      <c r="A95" s="9" t="s">
        <v>84</v>
      </c>
      <c r="B95" s="9" t="s">
        <v>85</v>
      </c>
      <c r="C95" s="9" t="s">
        <v>86</v>
      </c>
      <c r="D95" s="10">
        <v>45358</v>
      </c>
      <c r="E95" s="10">
        <v>45413</v>
      </c>
      <c r="F95" s="10">
        <v>45443</v>
      </c>
      <c r="G95" s="9">
        <v>3786171</v>
      </c>
      <c r="H95" s="9" t="str">
        <f t="shared" si="7"/>
        <v>Closed</v>
      </c>
      <c r="I95" s="9" t="str">
        <f t="shared" si="8"/>
        <v>All dates received</v>
      </c>
      <c r="J95" s="9" t="s">
        <v>322</v>
      </c>
      <c r="K95" s="9">
        <v>4863</v>
      </c>
      <c r="L95" s="11">
        <v>320</v>
      </c>
      <c r="M95" s="9" t="s">
        <v>350</v>
      </c>
      <c r="N95" s="9" t="s">
        <v>122</v>
      </c>
      <c r="O95" s="9"/>
      <c r="P95" s="9"/>
      <c r="Q95" s="11"/>
      <c r="R95" s="9" t="s">
        <v>202</v>
      </c>
      <c r="S95" s="9" t="s">
        <v>123</v>
      </c>
      <c r="T95" s="12">
        <f>IF($H95="Cancelled","",IFERROR(((Q95+INDEX(Variables!$B$6:$D$6,IFERROR(MATCH(IF($B95="Robusta","Robusta",(IF($B95="","Arabica",$B95))&amp;" - "&amp;(IF($C95="","Commercial",$C95))),Variables!$B$1:$D$1,0),1)))*22.0462)*(L95/16.67),""))</f>
        <v>123067.25778044391</v>
      </c>
      <c r="U95" s="10">
        <v>45362</v>
      </c>
      <c r="V95" s="9" t="str">
        <f t="shared" ref="V95:V135" si="11">IF(ISNUMBER(U95),"Sent","")</f>
        <v>Sent</v>
      </c>
      <c r="W95" s="10">
        <v>45379</v>
      </c>
      <c r="X95" s="9" t="str">
        <f t="shared" si="5"/>
        <v>Approved</v>
      </c>
      <c r="Y95" s="10"/>
      <c r="Z95" s="10">
        <f>IF($H95="Cancelled","",IFERROR(IF(F95="","",F95-Variables!$B$13),""))</f>
        <v>45428</v>
      </c>
      <c r="AA95" s="11">
        <f>IF($H95="Cancelled","",IFERROR(IF(W95="","",(AVERAGE(E95:F95)-W95)-Variables!$B$14),""))</f>
        <v>19</v>
      </c>
      <c r="AB95" s="10">
        <v>45497</v>
      </c>
      <c r="AC95" s="11">
        <f>IF($H95="Cancelled","",IFERROR(IF(AB95="","",IF(AND(W95="",Y95=""),"",IF(Y95&gt;W95,Y95+Variables!$B$15+Variables!$B$16+Variables!$B$17-AB95,W95+Variables!$B$16+Variables!$B$17-AB95))),""))</f>
        <v>-110</v>
      </c>
      <c r="AD95" s="9" t="s">
        <v>92</v>
      </c>
      <c r="AE95" s="9" t="s">
        <v>93</v>
      </c>
      <c r="AF95" s="10"/>
      <c r="AG95" s="10"/>
      <c r="AH95" s="9"/>
      <c r="AI95" s="9" t="s">
        <v>351</v>
      </c>
      <c r="AJ95" s="9">
        <v>1483863113</v>
      </c>
      <c r="AK95" s="10">
        <v>45413</v>
      </c>
      <c r="AL95" s="10">
        <v>45415</v>
      </c>
      <c r="AM95" s="10">
        <v>45432</v>
      </c>
      <c r="AN95" s="9" t="s">
        <v>95</v>
      </c>
      <c r="AO95" s="9"/>
      <c r="AP95" s="11">
        <f>IF($H95="Cancelled","",IFERROR(IF(OR(AK95="",AB95=""),"",(AB95+Variables!$B$18-AK95)),""))</f>
        <v>91</v>
      </c>
      <c r="AQ95" s="11">
        <f>IF($H95="Cancelled","",IFERROR(IF(OR(AM95="",AK95=""),"",(AK95+Variables!$B$19)-AM95),""))</f>
        <v>-14</v>
      </c>
      <c r="AR95" s="12">
        <f>IF($H95="Cancelled","",IFERROR(T95*INDEX(Variables!$B$7:$D$7,IFERROR(MATCH(IF($B95="Robusta","Robusta",(IF($B95="","Arabica",$B95))&amp;" - "&amp;(IF($C95="","Commercial",$C95))),Variables!$B$1:$D$1,0),1))*(AQ95/365),""))</f>
        <v>-304.38100113726568</v>
      </c>
      <c r="AS95" s="12">
        <f>IF($H95="Cancelled","",IFERROR((T95*INDEX(Variables!$B$7:$D$7,IFERROR(MATCH(IF($B95="Robusta","Robusta",(IF($B95="","Arabica",$B95))&amp;" - "&amp;(IF($C95="","Commercial",$C95))),Variables!$B$1:$D$1,0),1))*IFERROR(IF(W95="","",(AVERAGE(E95:F95)-W95)-Variables!$B$14),"")/365)+(L95/16.67*INDEX(Variables!$B$8:$D$8,IFERROR(MATCH(IF($B95="Robusta","Robusta",(IF($B95="","Arabica",$B95))&amp;" - "&amp;(IF($C95="","Commercial",$C95))),Variables!$B$1:$D$1,0),1))*IFERROR(IF(W95="","",(AVERAGE(E95:F95)-W95)-Variables!$B$14),""))+(T95*INDEX(Variables!$B$9:$D$9,IFERROR(MATCH(IF($B95="Robusta","Robusta",(IF($B95="","Arabica",$B95))&amp;" - "&amp;(IF($C95="","Commercial",$C95))),Variables!$B$1:$D$1,0),1))*IFERROR(IF(W95="","",(AVERAGE(E95:F95)-W95)-Variables!$B$14),"")/365),""))</f>
        <v>722.41400953374648</v>
      </c>
      <c r="AT95" s="12">
        <f>IF($H95="Cancelled","",IFERROR((T95*INDEX(Variables!$B$7:$D$7,IFERROR(MATCH(IF($B95="Robusta","Robusta",(IF($B95="","Arabica",$B95))&amp;" - "&amp;(IF($C95="","Commercial",$C95))),Variables!$B$1:$D$1,0),1))*AC95/365)+(L95/16.67*INDEX(Variables!$B$8:$D$8,IFERROR(MATCH(IF($B95="Robusta","Robusta",(IF($B95="","Arabica",$B95))&amp;" - "&amp;(IF($C95="","Commercial",$C95))),Variables!$B$1:$D$1,0),1))*AC95)+(T95*INDEX(Variables!$B$9:$D$9,IFERROR(MATCH(IF($B95="Robusta","Robusta",(IF($B95="","Arabica",$B95))&amp;" - "&amp;(IF($C95="","Commercial",$C95))),Variables!$B$1:$D$1,0),1))*AC95/365),""))</f>
        <v>-4182.3968973006367</v>
      </c>
      <c r="AU95" s="12">
        <f>IF($H95="Cancelled","",IFERROR((T95*INDEX(Variables!$B$7:$D$7,IFERROR(MATCH(IF($B95="Robusta","Robusta",(IF($B95="","Arabica",$B95))&amp;" - "&amp;(IF($C95="","Commercial",$C95))),Variables!$B$1:$D$1,0),1))*AP95/365)+(L95/16.67*INDEX(Variables!$B$8:$D$8,IFERROR(MATCH(IF($B95="Robusta","Robusta",(IF($B95="","Arabica",$B95))&amp;" - "&amp;(IF($C95="","Commercial",$C95))),Variables!$B$1:$D$1,0),1))*AP95)+(T95*INDEX(Variables!$B$9:$D$9,IFERROR(MATCH(IF($B95="Robusta","Robusta",(IF($B95="","Arabica",$B95))&amp;" - "&amp;(IF($C95="","Commercial",$C95))),Variables!$B$1:$D$1,0),1))*AP95/365),""))</f>
        <v>3459.9828877668906</v>
      </c>
      <c r="AV95" s="11">
        <f t="shared" si="9"/>
        <v>30</v>
      </c>
      <c r="AW95" s="12">
        <f>IF($H95="Cancelled","",IFERROR(IF(AV95="","",(T95*INDEX(Variables!$B$7:$D$7,IFERROR(MATCH(IF($B95="Robusta","Robusta",(IF($B95="","Arabica",$B95))&amp;" - "&amp;(IF($C95="","Commercial",$C95))),Variables!$B$1:$D$1,0),1))*(AV95/365))+(T95*INDEX(Variables!$B$9:$D$9,IFERROR(MATCH(IF($B95="Robusta","Robusta",(IF($B95="","Arabica",$B95))&amp;" - "&amp;(IF($C95="","Commercial",$C95))),Variables!$B$1:$D$1,0),1))*(AV95/365))+(INDEX(Variables!$B$8:$D$8,IFERROR(MATCH(IF($B95="Robusta","Robusta",(IF($B95="","Arabica",$B95))&amp;" - "&amp;(IF($C95="","Commercial",$C95))),Variables!$B$1:$D$1,0),1))*L95/16.67)),""))</f>
        <v>676.65369926381004</v>
      </c>
      <c r="AX95" s="9"/>
      <c r="AY95" s="12"/>
      <c r="AZ95" s="10"/>
      <c r="BA95" s="9"/>
      <c r="BB95" s="10"/>
      <c r="BC95" s="9"/>
      <c r="BD95" s="9"/>
      <c r="BE95" s="9"/>
      <c r="BF95" s="9"/>
    </row>
    <row r="96" spans="1:58" x14ac:dyDescent="0.25">
      <c r="A96" s="9" t="s">
        <v>84</v>
      </c>
      <c r="B96" s="9" t="s">
        <v>85</v>
      </c>
      <c r="C96" s="9" t="s">
        <v>86</v>
      </c>
      <c r="D96" s="10">
        <v>45358</v>
      </c>
      <c r="E96" s="10">
        <v>45474</v>
      </c>
      <c r="F96" s="10">
        <v>45504</v>
      </c>
      <c r="G96" s="9">
        <v>3786172</v>
      </c>
      <c r="H96" s="9" t="str">
        <f t="shared" si="7"/>
        <v>Closed</v>
      </c>
      <c r="I96" s="9" t="str">
        <f t="shared" si="8"/>
        <v>All dates received</v>
      </c>
      <c r="J96" s="9" t="s">
        <v>322</v>
      </c>
      <c r="K96" s="9">
        <v>5018</v>
      </c>
      <c r="L96" s="11">
        <v>320</v>
      </c>
      <c r="M96" s="9" t="s">
        <v>350</v>
      </c>
      <c r="N96" s="9" t="s">
        <v>122</v>
      </c>
      <c r="O96" s="9"/>
      <c r="P96" s="9"/>
      <c r="Q96" s="11"/>
      <c r="R96" s="9" t="s">
        <v>202</v>
      </c>
      <c r="S96" s="9" t="s">
        <v>123</v>
      </c>
      <c r="T96" s="12">
        <f>IF($H96="Cancelled","",IFERROR(((Q96+INDEX(Variables!$B$6:$D$6,IFERROR(MATCH(IF($B96="Robusta","Robusta",(IF($B96="","Arabica",$B96))&amp;" - "&amp;(IF($C96="","Commercial",$C96))),Variables!$B$1:$D$1,0),1)))*22.0462)*(L96/16.67),""))</f>
        <v>123067.25778044391</v>
      </c>
      <c r="U96" s="10">
        <v>45450</v>
      </c>
      <c r="V96" s="9" t="str">
        <f t="shared" si="11"/>
        <v>Sent</v>
      </c>
      <c r="W96" s="10">
        <v>45464</v>
      </c>
      <c r="X96" s="9" t="str">
        <f t="shared" si="5"/>
        <v>Approved</v>
      </c>
      <c r="Y96" s="10"/>
      <c r="Z96" s="10">
        <f>IF($H96="Cancelled","",IFERROR(IF(F96="","",F96-Variables!$B$13),""))</f>
        <v>45489</v>
      </c>
      <c r="AA96" s="11">
        <f>IF($H96="Cancelled","",IFERROR(IF(W96="","",(AVERAGE(E96:F96)-W96)-Variables!$B$14),""))</f>
        <v>-5</v>
      </c>
      <c r="AB96" s="10">
        <v>45500</v>
      </c>
      <c r="AC96" s="11">
        <f>IF($H96="Cancelled","",IFERROR(IF(AB96="","",IF(AND(W96="",Y96=""),"",IF(Y96&gt;W96,Y96+Variables!$B$15+Variables!$B$16+Variables!$B$17-AB96,W96+Variables!$B$16+Variables!$B$17-AB96))),""))</f>
        <v>-28</v>
      </c>
      <c r="AD96" s="9" t="s">
        <v>352</v>
      </c>
      <c r="AE96" s="9" t="s">
        <v>108</v>
      </c>
      <c r="AF96" s="10"/>
      <c r="AG96" s="10"/>
      <c r="AH96" s="9"/>
      <c r="AI96" s="9" t="s">
        <v>353</v>
      </c>
      <c r="AJ96" s="9" t="s">
        <v>354</v>
      </c>
      <c r="AK96" s="10">
        <v>45507</v>
      </c>
      <c r="AL96" s="10">
        <v>45512</v>
      </c>
      <c r="AM96" s="10">
        <v>45524</v>
      </c>
      <c r="AN96" s="9" t="s">
        <v>95</v>
      </c>
      <c r="AO96" s="9"/>
      <c r="AP96" s="11">
        <f>IF($H96="Cancelled","",IFERROR(IF(OR(AK96="",AB96=""),"",(AB96+Variables!$B$18-AK96)),""))</f>
        <v>0</v>
      </c>
      <c r="AQ96" s="11">
        <f>IF($H96="Cancelled","",IFERROR(IF(OR(AM96="",AK96=""),"",(AK96+Variables!$B$19)-AM96),""))</f>
        <v>-12</v>
      </c>
      <c r="AR96" s="12">
        <f>IF($H96="Cancelled","",IFERROR(T96*INDEX(Variables!$B$7:$D$7,IFERROR(MATCH(IF($B96="Robusta","Robusta",(IF($B96="","Arabica",$B96))&amp;" - "&amp;(IF($C96="","Commercial",$C96))),Variables!$B$1:$D$1,0),1))*(AQ96/365),""))</f>
        <v>-260.89800097479912</v>
      </c>
      <c r="AS96" s="12">
        <f>IF($H96="Cancelled","",IFERROR((T96*INDEX(Variables!$B$7:$D$7,IFERROR(MATCH(IF($B96="Robusta","Robusta",(IF($B96="","Arabica",$B96))&amp;" - "&amp;(IF($C96="","Commercial",$C96))),Variables!$B$1:$D$1,0),1))*IFERROR(IF(W96="","",(AVERAGE(E96:F96)-W96)-Variables!$B$14),"")/365)+(L96/16.67*INDEX(Variables!$B$8:$D$8,IFERROR(MATCH(IF($B96="Robusta","Robusta",(IF($B96="","Arabica",$B96))&amp;" - "&amp;(IF($C96="","Commercial",$C96))),Variables!$B$1:$D$1,0),1))*IFERROR(IF(W96="","",(AVERAGE(E96:F96)-W96)-Variables!$B$14),""))+(T96*INDEX(Variables!$B$9:$D$9,IFERROR(MATCH(IF($B96="Robusta","Robusta",(IF($B96="","Arabica",$B96))&amp;" - "&amp;(IF($C96="","Commercial",$C96))),Variables!$B$1:$D$1,0),1))*IFERROR(IF(W96="","",(AVERAGE(E96:F96)-W96)-Variables!$B$14),"")/365),""))</f>
        <v>-190.10894987730168</v>
      </c>
      <c r="AT96" s="12">
        <f>IF($H96="Cancelled","",IFERROR((T96*INDEX(Variables!$B$7:$D$7,IFERROR(MATCH(IF($B96="Robusta","Robusta",(IF($B96="","Arabica",$B96))&amp;" - "&amp;(IF($C96="","Commercial",$C96))),Variables!$B$1:$D$1,0),1))*AC96/365)+(L96/16.67*INDEX(Variables!$B$8:$D$8,IFERROR(MATCH(IF($B96="Robusta","Robusta",(IF($B96="","Arabica",$B96))&amp;" - "&amp;(IF($C96="","Commercial",$C96))),Variables!$B$1:$D$1,0),1))*AC96)+(T96*INDEX(Variables!$B$9:$D$9,IFERROR(MATCH(IF($B96="Robusta","Robusta",(IF($B96="","Arabica",$B96))&amp;" - "&amp;(IF($C96="","Commercial",$C96))),Variables!$B$1:$D$1,0),1))*AC96/365),""))</f>
        <v>-1064.6101193128895</v>
      </c>
      <c r="AU96" s="12">
        <f>IF($H96="Cancelled","",IFERROR((T96*INDEX(Variables!$B$7:$D$7,IFERROR(MATCH(IF($B96="Robusta","Robusta",(IF($B96="","Arabica",$B96))&amp;" - "&amp;(IF($C96="","Commercial",$C96))),Variables!$B$1:$D$1,0),1))*AP96/365)+(L96/16.67*INDEX(Variables!$B$8:$D$8,IFERROR(MATCH(IF($B96="Robusta","Robusta",(IF($B96="","Arabica",$B96))&amp;" - "&amp;(IF($C96="","Commercial",$C96))),Variables!$B$1:$D$1,0),1))*AP96)+(T96*INDEX(Variables!$B$9:$D$9,IFERROR(MATCH(IF($B96="Robusta","Robusta",(IF($B96="","Arabica",$B96))&amp;" - "&amp;(IF($C96="","Commercial",$C96))),Variables!$B$1:$D$1,0),1))*AP96/365),""))</f>
        <v>0</v>
      </c>
      <c r="AV96" s="11">
        <f t="shared" si="9"/>
        <v>-3</v>
      </c>
      <c r="AW96" s="12">
        <f>IF($H96="Cancelled","",IFERROR(IF(AV96="","",(T96*INDEX(Variables!$B$7:$D$7,IFERROR(MATCH(IF($B96="Robusta","Robusta",(IF($B96="","Arabica",$B96))&amp;" - "&amp;(IF($C96="","Commercial",$C96))),Variables!$B$1:$D$1,0),1))*(AV96/365))+(T96*INDEX(Variables!$B$9:$D$9,IFERROR(MATCH(IF($B96="Robusta","Robusta",(IF($B96="","Arabica",$B96))&amp;" - "&amp;(IF($C96="","Commercial",$C96))),Variables!$B$1:$D$1,0),1))*(AV96/365))+(INDEX(Variables!$B$8:$D$8,IFERROR(MATCH(IF($B96="Robusta","Robusta",(IF($B96="","Arabica",$B96))&amp;" - "&amp;(IF($C96="","Commercial",$C96))),Variables!$B$1:$D$1,0),1))*L96/16.67)),""))</f>
        <v>-50.06536992638101</v>
      </c>
      <c r="AX96" s="9"/>
      <c r="AY96" s="12"/>
      <c r="AZ96" s="10"/>
      <c r="BA96" s="9"/>
      <c r="BB96" s="10"/>
      <c r="BC96" s="9"/>
      <c r="BD96" s="9"/>
      <c r="BE96" s="9"/>
      <c r="BF96" s="9"/>
    </row>
    <row r="97" spans="1:58" x14ac:dyDescent="0.25">
      <c r="A97" s="9" t="s">
        <v>84</v>
      </c>
      <c r="B97" s="9" t="s">
        <v>85</v>
      </c>
      <c r="C97" s="9" t="s">
        <v>86</v>
      </c>
      <c r="D97" s="10">
        <v>45365</v>
      </c>
      <c r="E97" s="10">
        <v>45383</v>
      </c>
      <c r="F97" s="10">
        <v>45412</v>
      </c>
      <c r="G97" s="9">
        <v>3786194</v>
      </c>
      <c r="H97" s="9" t="str">
        <f t="shared" si="7"/>
        <v>Closed</v>
      </c>
      <c r="I97" s="9" t="str">
        <f t="shared" si="8"/>
        <v>All dates received</v>
      </c>
      <c r="J97" s="9" t="s">
        <v>355</v>
      </c>
      <c r="K97" s="9">
        <v>4889</v>
      </c>
      <c r="L97" s="11">
        <v>300</v>
      </c>
      <c r="M97" s="9" t="s">
        <v>356</v>
      </c>
      <c r="N97" s="9" t="s">
        <v>206</v>
      </c>
      <c r="O97" s="9"/>
      <c r="P97" s="9"/>
      <c r="Q97" s="11"/>
      <c r="R97" s="9" t="s">
        <v>90</v>
      </c>
      <c r="S97" s="9" t="s">
        <v>357</v>
      </c>
      <c r="T97" s="12">
        <f>IF($H97="Cancelled","",IFERROR(((Q97+INDEX(Variables!$B$6:$D$6,IFERROR(MATCH(IF($B97="Robusta","Robusta",(IF($B97="","Arabica",$B97))&amp;" - "&amp;(IF($C97="","Commercial",$C97))),Variables!$B$1:$D$1,0),1)))*22.0462)*(L97/16.67),""))</f>
        <v>115375.55416916615</v>
      </c>
      <c r="U97" s="10">
        <v>45379</v>
      </c>
      <c r="V97" s="9" t="str">
        <f t="shared" si="11"/>
        <v>Sent</v>
      </c>
      <c r="W97" s="10">
        <v>45393</v>
      </c>
      <c r="X97" s="9" t="str">
        <f t="shared" ref="X97:X160" si="12">IF(ISNUMBER(W97),"Approved","")</f>
        <v>Approved</v>
      </c>
      <c r="Y97" s="10"/>
      <c r="Z97" s="10">
        <f>IF($H97="Cancelled","",IFERROR(IF(F97="","",F97-Variables!$B$13),""))</f>
        <v>45397</v>
      </c>
      <c r="AA97" s="11">
        <f>IF($H97="Cancelled","",IFERROR(IF(W97="","",(AVERAGE(E97:F97)-W97)-Variables!$B$14),""))</f>
        <v>-25.5</v>
      </c>
      <c r="AB97" s="10">
        <v>45500</v>
      </c>
      <c r="AC97" s="11">
        <f>IF($H97="Cancelled","",IFERROR(IF(AB97="","",IF(AND(W97="",Y97=""),"",IF(Y97&gt;W97,Y97+Variables!$B$15+Variables!$B$16+Variables!$B$17-AB97,W97+Variables!$B$16+Variables!$B$17-AB97))),""))</f>
        <v>-99</v>
      </c>
      <c r="AD97" s="9" t="s">
        <v>130</v>
      </c>
      <c r="AE97" s="9" t="s">
        <v>358</v>
      </c>
      <c r="AF97" s="10"/>
      <c r="AG97" s="10"/>
      <c r="AH97" s="9"/>
      <c r="AI97" s="9" t="s">
        <v>359</v>
      </c>
      <c r="AJ97" s="9" t="s">
        <v>129</v>
      </c>
      <c r="AK97" s="10">
        <v>45427</v>
      </c>
      <c r="AL97" s="10">
        <v>45436</v>
      </c>
      <c r="AM97" s="10">
        <v>45447</v>
      </c>
      <c r="AN97" s="9" t="s">
        <v>95</v>
      </c>
      <c r="AO97" s="9"/>
      <c r="AP97" s="11">
        <f>IF($H97="Cancelled","",IFERROR(IF(OR(AK97="",AB97=""),"",(AB97+Variables!$B$18-AK97)),""))</f>
        <v>80</v>
      </c>
      <c r="AQ97" s="11">
        <f>IF($H97="Cancelled","",IFERROR(IF(OR(AM97="",AK97=""),"",(AK97+Variables!$B$19)-AM97),""))</f>
        <v>-15</v>
      </c>
      <c r="AR97" s="12">
        <f>IF($H97="Cancelled","",IFERROR(T97*INDEX(Variables!$B$7:$D$7,IFERROR(MATCH(IF($B97="Robusta","Robusta",(IF($B97="","Arabica",$B97))&amp;" - "&amp;(IF($C97="","Commercial",$C97))),Variables!$B$1:$D$1,0),1))*(AQ97/365),""))</f>
        <v>-305.73984489234272</v>
      </c>
      <c r="AS97" s="12">
        <f>IF($H97="Cancelled","",IFERROR((T97*INDEX(Variables!$B$7:$D$7,IFERROR(MATCH(IF($B97="Robusta","Robusta",(IF($B97="","Arabica",$B97))&amp;" - "&amp;(IF($C97="","Commercial",$C97))),Variables!$B$1:$D$1,0),1))*IFERROR(IF(W97="","",(AVERAGE(E97:F97)-W97)-Variables!$B$14),"")/365)+(L97/16.67*INDEX(Variables!$B$8:$D$8,IFERROR(MATCH(IF($B97="Robusta","Robusta",(IF($B97="","Arabica",$B97))&amp;" - "&amp;(IF($C97="","Commercial",$C97))),Variables!$B$1:$D$1,0),1))*IFERROR(IF(W97="","",(AVERAGE(E97:F97)-W97)-Variables!$B$14),""))+(T97*INDEX(Variables!$B$9:$D$9,IFERROR(MATCH(IF($B97="Robusta","Robusta",(IF($B97="","Arabica",$B97))&amp;" - "&amp;(IF($C97="","Commercial",$C97))),Variables!$B$1:$D$1,0),1))*IFERROR(IF(W97="","",(AVERAGE(E97:F97)-W97)-Variables!$B$14),"")/365),""))</f>
        <v>-908.95841660084864</v>
      </c>
      <c r="AT97" s="12">
        <f>IF($H97="Cancelled","",IFERROR((T97*INDEX(Variables!$B$7:$D$7,IFERROR(MATCH(IF($B97="Robusta","Robusta",(IF($B97="","Arabica",$B97))&amp;" - "&amp;(IF($C97="","Commercial",$C97))),Variables!$B$1:$D$1,0),1))*AC97/365)+(L97/16.67*INDEX(Variables!$B$8:$D$8,IFERROR(MATCH(IF($B97="Robusta","Robusta",(IF($B97="","Arabica",$B97))&amp;" - "&amp;(IF($C97="","Commercial",$C97))),Variables!$B$1:$D$1,0),1))*AC97)+(T97*INDEX(Variables!$B$9:$D$9,IFERROR(MATCH(IF($B97="Robusta","Robusta",(IF($B97="","Arabica",$B97))&amp;" - "&amp;(IF($C97="","Commercial",$C97))),Variables!$B$1:$D$1,0),1))*AC97/365),""))</f>
        <v>-3528.8973820974124</v>
      </c>
      <c r="AU97" s="12">
        <f>IF($H97="Cancelled","",IFERROR((T97*INDEX(Variables!$B$7:$D$7,IFERROR(MATCH(IF($B97="Robusta","Robusta",(IF($B97="","Arabica",$B97))&amp;" - "&amp;(IF($C97="","Commercial",$C97))),Variables!$B$1:$D$1,0),1))*AP97/365)+(L97/16.67*INDEX(Variables!$B$8:$D$8,IFERROR(MATCH(IF($B97="Robusta","Robusta",(IF($B97="","Arabica",$B97))&amp;" - "&amp;(IF($C97="","Commercial",$C97))),Variables!$B$1:$D$1,0),1))*AP97)+(T97*INDEX(Variables!$B$9:$D$9,IFERROR(MATCH(IF($B97="Robusta","Robusta",(IF($B97="","Arabica",$B97))&amp;" - "&amp;(IF($C97="","Commercial",$C97))),Variables!$B$1:$D$1,0),1))*AP97/365),""))</f>
        <v>2851.6342481595248</v>
      </c>
      <c r="AV97" s="11">
        <f t="shared" si="9"/>
        <v>-15</v>
      </c>
      <c r="AW97" s="12">
        <f>IF($H97="Cancelled","",IFERROR(IF(AV97="","",(T97*INDEX(Variables!$B$7:$D$7,IFERROR(MATCH(IF($B97="Robusta","Robusta",(IF($B97="","Arabica",$B97))&amp;" - "&amp;(IF($C97="","Commercial",$C97))),Variables!$B$1:$D$1,0),1))*(AV97/365))+(T97*INDEX(Variables!$B$9:$D$9,IFERROR(MATCH(IF($B97="Robusta","Robusta",(IF($B97="","Arabica",$B97))&amp;" - "&amp;(IF($C97="","Commercial",$C97))),Variables!$B$1:$D$1,0),1))*(AV97/365))+(INDEX(Variables!$B$8:$D$8,IFERROR(MATCH(IF($B97="Robusta","Robusta",(IF($B97="","Arabica",$B97))&amp;" - "&amp;(IF($C97="","Commercial",$C97))),Variables!$B$1:$D$1,0),1))*L97/16.67)),""))</f>
        <v>-294.68142152991101</v>
      </c>
      <c r="AX97" s="9"/>
      <c r="AY97" s="12"/>
      <c r="AZ97" s="10"/>
      <c r="BA97" s="9"/>
      <c r="BB97" s="10"/>
      <c r="BC97" s="9"/>
      <c r="BD97" s="9"/>
      <c r="BE97" s="9"/>
      <c r="BF97" s="9"/>
    </row>
    <row r="98" spans="1:58" x14ac:dyDescent="0.25">
      <c r="A98" s="9" t="s">
        <v>84</v>
      </c>
      <c r="B98" s="9" t="s">
        <v>85</v>
      </c>
      <c r="C98" s="9" t="s">
        <v>86</v>
      </c>
      <c r="D98" s="10">
        <v>45365</v>
      </c>
      <c r="E98" s="10">
        <v>45413</v>
      </c>
      <c r="F98" s="10">
        <v>45443</v>
      </c>
      <c r="G98" s="9">
        <v>3786196</v>
      </c>
      <c r="H98" s="9" t="str">
        <f t="shared" si="7"/>
        <v>Closed</v>
      </c>
      <c r="I98" s="9" t="str">
        <f t="shared" si="8"/>
        <v>All dates received</v>
      </c>
      <c r="J98" s="9" t="s">
        <v>360</v>
      </c>
      <c r="K98" s="9">
        <v>4896</v>
      </c>
      <c r="L98" s="11">
        <v>200</v>
      </c>
      <c r="M98" s="9" t="s">
        <v>361</v>
      </c>
      <c r="N98" s="9" t="s">
        <v>149</v>
      </c>
      <c r="O98" s="9"/>
      <c r="P98" s="9"/>
      <c r="Q98" s="11"/>
      <c r="R98" s="9" t="s">
        <v>90</v>
      </c>
      <c r="S98" s="9" t="s">
        <v>312</v>
      </c>
      <c r="T98" s="12">
        <f>IF($H98="Cancelled","",IFERROR(((Q98+INDEX(Variables!$B$6:$D$6,IFERROR(MATCH(IF($B98="Robusta","Robusta",(IF($B98="","Arabica",$B98))&amp;" - "&amp;(IF($C98="","Commercial",$C98))),Variables!$B$1:$D$1,0),1)))*22.0462)*(L98/16.67),""))</f>
        <v>76917.036112777438</v>
      </c>
      <c r="U98" s="10">
        <v>45390</v>
      </c>
      <c r="V98" s="9" t="str">
        <f t="shared" si="11"/>
        <v>Sent</v>
      </c>
      <c r="W98" s="10">
        <v>45414</v>
      </c>
      <c r="X98" s="9" t="str">
        <f t="shared" si="12"/>
        <v>Approved</v>
      </c>
      <c r="Y98" s="10"/>
      <c r="Z98" s="10">
        <f>IF($H98="Cancelled","",IFERROR(IF(F98="","",F98-Variables!$B$13),""))</f>
        <v>45428</v>
      </c>
      <c r="AA98" s="11">
        <f>IF($H98="Cancelled","",IFERROR(IF(W98="","",(AVERAGE(E98:F98)-W98)-Variables!$B$14),""))</f>
        <v>-16</v>
      </c>
      <c r="AB98" s="10">
        <v>45500</v>
      </c>
      <c r="AC98" s="11">
        <f>IF($H98="Cancelled","",IFERROR(IF(AB98="","",IF(AND(W98="",Y98=""),"",IF(Y98&gt;W98,Y98+Variables!$B$15+Variables!$B$16+Variables!$B$17-AB98,W98+Variables!$B$16+Variables!$B$17-AB98))),""))</f>
        <v>-78</v>
      </c>
      <c r="AD98" s="9" t="s">
        <v>163</v>
      </c>
      <c r="AE98" s="9" t="s">
        <v>362</v>
      </c>
      <c r="AF98" s="10"/>
      <c r="AG98" s="10"/>
      <c r="AH98" s="9"/>
      <c r="AI98" s="9">
        <v>239474860</v>
      </c>
      <c r="AJ98" s="9" t="s">
        <v>8</v>
      </c>
      <c r="AK98" s="10">
        <v>45446</v>
      </c>
      <c r="AL98" s="10">
        <v>45448</v>
      </c>
      <c r="AM98" s="10">
        <v>45450</v>
      </c>
      <c r="AN98" s="9" t="s">
        <v>95</v>
      </c>
      <c r="AO98" s="9"/>
      <c r="AP98" s="11">
        <f>IF($H98="Cancelled","",IFERROR(IF(OR(AK98="",AB98=""),"",(AB98+Variables!$B$18-AK98)),""))</f>
        <v>61</v>
      </c>
      <c r="AQ98" s="11">
        <f>IF($H98="Cancelled","",IFERROR(IF(OR(AM98="",AK98=""),"",(AK98+Variables!$B$19)-AM98),""))</f>
        <v>1</v>
      </c>
      <c r="AR98" s="12">
        <f>IF($H98="Cancelled","",IFERROR(T98*INDEX(Variables!$B$7:$D$7,IFERROR(MATCH(IF($B98="Robusta","Robusta",(IF($B98="","Arabica",$B98))&amp;" - "&amp;(IF($C98="","Commercial",$C98))),Variables!$B$1:$D$1,0),1))*(AQ98/365),""))</f>
        <v>13.588437550770788</v>
      </c>
      <c r="AS98" s="12">
        <f>IF($H98="Cancelled","",IFERROR((T98*INDEX(Variables!$B$7:$D$7,IFERROR(MATCH(IF($B98="Robusta","Robusta",(IF($B98="","Arabica",$B98))&amp;" - "&amp;(IF($C98="","Commercial",$C98))),Variables!$B$1:$D$1,0),1))*IFERROR(IF(W98="","",(AVERAGE(E98:F98)-W98)-Variables!$B$14),"")/365)+(L98/16.67*INDEX(Variables!$B$8:$D$8,IFERROR(MATCH(IF($B98="Robusta","Robusta",(IF($B98="","Arabica",$B98))&amp;" - "&amp;(IF($C98="","Commercial",$C98))),Variables!$B$1:$D$1,0),1))*IFERROR(IF(W98="","",(AVERAGE(E98:F98)-W98)-Variables!$B$14),""))+(T98*INDEX(Variables!$B$9:$D$9,IFERROR(MATCH(IF($B98="Robusta","Robusta",(IF($B98="","Arabica",$B98))&amp;" - "&amp;(IF($C98="","Commercial",$C98))),Variables!$B$1:$D$1,0),1))*IFERROR(IF(W98="","",(AVERAGE(E98:F98)-W98)-Variables!$B$14),"")/365),""))</f>
        <v>-380.21789975460337</v>
      </c>
      <c r="AT98" s="12">
        <f>IF($H98="Cancelled","",IFERROR((T98*INDEX(Variables!$B$7:$D$7,IFERROR(MATCH(IF($B98="Robusta","Robusta",(IF($B98="","Arabica",$B98))&amp;" - "&amp;(IF($C98="","Commercial",$C98))),Variables!$B$1:$D$1,0),1))*AC98/365)+(L98/16.67*INDEX(Variables!$B$8:$D$8,IFERROR(MATCH(IF($B98="Robusta","Robusta",(IF($B98="","Arabica",$B98))&amp;" - "&amp;(IF($C98="","Commercial",$C98))),Variables!$B$1:$D$1,0),1))*AC98)+(T98*INDEX(Variables!$B$9:$D$9,IFERROR(MATCH(IF($B98="Robusta","Robusta",(IF($B98="","Arabica",$B98))&amp;" - "&amp;(IF($C98="","Commercial",$C98))),Variables!$B$1:$D$1,0),1))*AC98/365),""))</f>
        <v>-1853.5622613036915</v>
      </c>
      <c r="AU98" s="12">
        <f>IF($H98="Cancelled","",IFERROR((T98*INDEX(Variables!$B$7:$D$7,IFERROR(MATCH(IF($B98="Robusta","Robusta",(IF($B98="","Arabica",$B98))&amp;" - "&amp;(IF($C98="","Commercial",$C98))),Variables!$B$1:$D$1,0),1))*AP98/365)+(L98/16.67*INDEX(Variables!$B$8:$D$8,IFERROR(MATCH(IF($B98="Robusta","Robusta",(IF($B98="","Arabica",$B98))&amp;" - "&amp;(IF($C98="","Commercial",$C98))),Variables!$B$1:$D$1,0),1))*AP98)+(T98*INDEX(Variables!$B$9:$D$9,IFERROR(MATCH(IF($B98="Robusta","Robusta",(IF($B98="","Arabica",$B98))&amp;" - "&amp;(IF($C98="","Commercial",$C98))),Variables!$B$1:$D$1,0),1))*AP98/365),""))</f>
        <v>1449.5807428144253</v>
      </c>
      <c r="AV98" s="11">
        <f t="shared" si="9"/>
        <v>-3</v>
      </c>
      <c r="AW98" s="12">
        <f>IF($H98="Cancelled","",IFERROR(IF(AV98="","",(T98*INDEX(Variables!$B$7:$D$7,IFERROR(MATCH(IF($B98="Robusta","Robusta",(IF($B98="","Arabica",$B98))&amp;" - "&amp;(IF($C98="","Commercial",$C98))),Variables!$B$1:$D$1,0),1))*(AV98/365))+(T98*INDEX(Variables!$B$9:$D$9,IFERROR(MATCH(IF($B98="Robusta","Robusta",(IF($B98="","Arabica",$B98))&amp;" - "&amp;(IF($C98="","Commercial",$C98))),Variables!$B$1:$D$1,0),1))*(AV98/365))+(INDEX(Variables!$B$8:$D$8,IFERROR(MATCH(IF($B98="Robusta","Robusta",(IF($B98="","Arabica",$B98))&amp;" - "&amp;(IF($C98="","Commercial",$C98))),Variables!$B$1:$D$1,0),1))*L98/16.67)),""))</f>
        <v>-31.290856203988128</v>
      </c>
      <c r="AX98" s="9"/>
      <c r="AY98" s="12"/>
      <c r="AZ98" s="10"/>
      <c r="BA98" s="9"/>
      <c r="BB98" s="10"/>
      <c r="BC98" s="9"/>
      <c r="BD98" s="9"/>
      <c r="BE98" s="9"/>
      <c r="BF98" s="9"/>
    </row>
    <row r="99" spans="1:58" x14ac:dyDescent="0.25">
      <c r="A99" s="9" t="s">
        <v>84</v>
      </c>
      <c r="B99" s="9" t="s">
        <v>85</v>
      </c>
      <c r="C99" s="9" t="s">
        <v>86</v>
      </c>
      <c r="D99" s="10">
        <v>45365</v>
      </c>
      <c r="E99" s="10">
        <v>45413</v>
      </c>
      <c r="F99" s="10">
        <v>45443</v>
      </c>
      <c r="G99" s="9">
        <v>3786197</v>
      </c>
      <c r="H99" s="9" t="str">
        <f t="shared" si="7"/>
        <v>Closed</v>
      </c>
      <c r="I99" s="9" t="str">
        <f t="shared" si="8"/>
        <v>All dates received</v>
      </c>
      <c r="J99" s="9" t="s">
        <v>360</v>
      </c>
      <c r="K99" s="9">
        <v>4897</v>
      </c>
      <c r="L99" s="11">
        <v>32</v>
      </c>
      <c r="M99" s="9" t="s">
        <v>363</v>
      </c>
      <c r="N99" s="9" t="s">
        <v>149</v>
      </c>
      <c r="O99" s="9"/>
      <c r="P99" s="9"/>
      <c r="Q99" s="11"/>
      <c r="R99" s="9" t="s">
        <v>90</v>
      </c>
      <c r="S99" s="9" t="s">
        <v>312</v>
      </c>
      <c r="T99" s="12">
        <f>IF($H99="Cancelled","",IFERROR(((Q99+INDEX(Variables!$B$6:$D$6,IFERROR(MATCH(IF($B99="Robusta","Robusta",(IF($B99="","Arabica",$B99))&amp;" - "&amp;(IF($C99="","Commercial",$C99))),Variables!$B$1:$D$1,0),1)))*22.0462)*(L99/16.67),""))</f>
        <v>12306.725778044389</v>
      </c>
      <c r="U99" s="10">
        <v>45390</v>
      </c>
      <c r="V99" s="9" t="str">
        <f t="shared" si="11"/>
        <v>Sent</v>
      </c>
      <c r="W99" s="10">
        <v>45414</v>
      </c>
      <c r="X99" s="9" t="str">
        <f t="shared" si="12"/>
        <v>Approved</v>
      </c>
      <c r="Y99" s="10"/>
      <c r="Z99" s="10">
        <f>IF($H99="Cancelled","",IFERROR(IF(F99="","",F99-Variables!$B$13),""))</f>
        <v>45428</v>
      </c>
      <c r="AA99" s="11">
        <f>IF($H99="Cancelled","",IFERROR(IF(W99="","",(AVERAGE(E99:F99)-W99)-Variables!$B$14),""))</f>
        <v>-16</v>
      </c>
      <c r="AB99" s="10">
        <v>45502</v>
      </c>
      <c r="AC99" s="11">
        <f>IF($H99="Cancelled","",IFERROR(IF(AB99="","",IF(AND(W99="",Y99=""),"",IF(Y99&gt;W99,Y99+Variables!$B$15+Variables!$B$16+Variables!$B$17-AB99,W99+Variables!$B$16+Variables!$B$17-AB99))),""))</f>
        <v>-80</v>
      </c>
      <c r="AD99" s="9" t="s">
        <v>163</v>
      </c>
      <c r="AE99" s="9" t="s">
        <v>362</v>
      </c>
      <c r="AF99" s="10"/>
      <c r="AG99" s="10"/>
      <c r="AH99" s="9"/>
      <c r="AI99" s="9">
        <v>239474860</v>
      </c>
      <c r="AJ99" s="9" t="s">
        <v>8</v>
      </c>
      <c r="AK99" s="10">
        <v>45446</v>
      </c>
      <c r="AL99" s="10">
        <v>45448</v>
      </c>
      <c r="AM99" s="10">
        <v>45450</v>
      </c>
      <c r="AN99" s="9" t="s">
        <v>95</v>
      </c>
      <c r="AO99" s="9"/>
      <c r="AP99" s="11">
        <f>IF($H99="Cancelled","",IFERROR(IF(OR(AK99="",AB99=""),"",(AB99+Variables!$B$18-AK99)),""))</f>
        <v>63</v>
      </c>
      <c r="AQ99" s="11">
        <f>IF($H99="Cancelled","",IFERROR(IF(OR(AM99="",AK99=""),"",(AK99+Variables!$B$19)-AM99),""))</f>
        <v>1</v>
      </c>
      <c r="AR99" s="12">
        <f>IF($H99="Cancelled","",IFERROR(T99*INDEX(Variables!$B$7:$D$7,IFERROR(MATCH(IF($B99="Robusta","Robusta",(IF($B99="","Arabica",$B99))&amp;" - "&amp;(IF($C99="","Commercial",$C99))),Variables!$B$1:$D$1,0),1))*(AQ99/365),""))</f>
        <v>2.1741500081233256</v>
      </c>
      <c r="AS99" s="12">
        <f>IF($H99="Cancelled","",IFERROR((T99*INDEX(Variables!$B$7:$D$7,IFERROR(MATCH(IF($B99="Robusta","Robusta",(IF($B99="","Arabica",$B99))&amp;" - "&amp;(IF($C99="","Commercial",$C99))),Variables!$B$1:$D$1,0),1))*IFERROR(IF(W99="","",(AVERAGE(E99:F99)-W99)-Variables!$B$14),"")/365)+(L99/16.67*INDEX(Variables!$B$8:$D$8,IFERROR(MATCH(IF($B99="Robusta","Robusta",(IF($B99="","Arabica",$B99))&amp;" - "&amp;(IF($C99="","Commercial",$C99))),Variables!$B$1:$D$1,0),1))*IFERROR(IF(W99="","",(AVERAGE(E99:F99)-W99)-Variables!$B$14),""))+(T99*INDEX(Variables!$B$9:$D$9,IFERROR(MATCH(IF($B99="Robusta","Robusta",(IF($B99="","Arabica",$B99))&amp;" - "&amp;(IF($C99="","Commercial",$C99))),Variables!$B$1:$D$1,0),1))*IFERROR(IF(W99="","",(AVERAGE(E99:F99)-W99)-Variables!$B$14),"")/365),""))</f>
        <v>-60.834863960736534</v>
      </c>
      <c r="AT99" s="12">
        <f>IF($H99="Cancelled","",IFERROR((T99*INDEX(Variables!$B$7:$D$7,IFERROR(MATCH(IF($B99="Robusta","Robusta",(IF($B99="","Arabica",$B99))&amp;" - "&amp;(IF($C99="","Commercial",$C99))),Variables!$B$1:$D$1,0),1))*AC99/365)+(L99/16.67*INDEX(Variables!$B$8:$D$8,IFERROR(MATCH(IF($B99="Robusta","Robusta",(IF($B99="","Arabica",$B99))&amp;" - "&amp;(IF($C99="","Commercial",$C99))),Variables!$B$1:$D$1,0),1))*AC99)+(T99*INDEX(Variables!$B$9:$D$9,IFERROR(MATCH(IF($B99="Robusta","Robusta",(IF($B99="","Arabica",$B99))&amp;" - "&amp;(IF($C99="","Commercial",$C99))),Variables!$B$1:$D$1,0),1))*AC99/365),""))</f>
        <v>-304.17431980368264</v>
      </c>
      <c r="AU99" s="12">
        <f>IF($H99="Cancelled","",IFERROR((T99*INDEX(Variables!$B$7:$D$7,IFERROR(MATCH(IF($B99="Robusta","Robusta",(IF($B99="","Arabica",$B99))&amp;" - "&amp;(IF($C99="","Commercial",$C99))),Variables!$B$1:$D$1,0),1))*AP99/365)+(L99/16.67*INDEX(Variables!$B$8:$D$8,IFERROR(MATCH(IF($B99="Robusta","Robusta",(IF($B99="","Arabica",$B99))&amp;" - "&amp;(IF($C99="","Commercial",$C99))),Variables!$B$1:$D$1,0),1))*AP99)+(T99*INDEX(Variables!$B$9:$D$9,IFERROR(MATCH(IF($B99="Robusta","Robusta",(IF($B99="","Arabica",$B99))&amp;" - "&amp;(IF($C99="","Commercial",$C99))),Variables!$B$1:$D$1,0),1))*AP99/365),""))</f>
        <v>239.5372768454001</v>
      </c>
      <c r="AV99" s="11">
        <f t="shared" si="9"/>
        <v>-3</v>
      </c>
      <c r="AW99" s="12">
        <f>IF($H99="Cancelled","",IFERROR(IF(AV99="","",(T99*INDEX(Variables!$B$7:$D$7,IFERROR(MATCH(IF($B99="Robusta","Robusta",(IF($B99="","Arabica",$B99))&amp;" - "&amp;(IF($C99="","Commercial",$C99))),Variables!$B$1:$D$1,0),1))*(AV99/365))+(T99*INDEX(Variables!$B$9:$D$9,IFERROR(MATCH(IF($B99="Robusta","Robusta",(IF($B99="","Arabica",$B99))&amp;" - "&amp;(IF($C99="","Commercial",$C99))),Variables!$B$1:$D$1,0),1))*(AV99/365))+(INDEX(Variables!$B$8:$D$8,IFERROR(MATCH(IF($B99="Robusta","Robusta",(IF($B99="","Arabica",$B99))&amp;" - "&amp;(IF($C99="","Commercial",$C99))),Variables!$B$1:$D$1,0),1))*L99/16.67)),""))</f>
        <v>-5.0065369926380985</v>
      </c>
      <c r="AX99" s="9"/>
      <c r="AY99" s="12"/>
      <c r="AZ99" s="10"/>
      <c r="BA99" s="9"/>
      <c r="BB99" s="10"/>
      <c r="BC99" s="9"/>
      <c r="BD99" s="9"/>
      <c r="BE99" s="9"/>
      <c r="BF99" s="9"/>
    </row>
    <row r="100" spans="1:58" x14ac:dyDescent="0.25">
      <c r="A100" s="9" t="s">
        <v>84</v>
      </c>
      <c r="B100" s="9" t="s">
        <v>85</v>
      </c>
      <c r="C100" s="9" t="s">
        <v>86</v>
      </c>
      <c r="D100" s="10">
        <v>45369</v>
      </c>
      <c r="E100" s="10">
        <v>45413</v>
      </c>
      <c r="F100" s="10">
        <v>45443</v>
      </c>
      <c r="G100" s="9">
        <v>3786200</v>
      </c>
      <c r="H100" s="9" t="str">
        <f t="shared" si="7"/>
        <v>Closed</v>
      </c>
      <c r="I100" s="9" t="str">
        <f t="shared" si="8"/>
        <v>All dates received</v>
      </c>
      <c r="J100" s="9" t="s">
        <v>235</v>
      </c>
      <c r="K100" s="9">
        <v>4865</v>
      </c>
      <c r="L100" s="11">
        <v>320</v>
      </c>
      <c r="M100" s="9" t="s">
        <v>340</v>
      </c>
      <c r="N100" s="9" t="s">
        <v>237</v>
      </c>
      <c r="O100" s="9"/>
      <c r="P100" s="9"/>
      <c r="Q100" s="11"/>
      <c r="R100" s="9" t="s">
        <v>90</v>
      </c>
      <c r="S100" s="9" t="s">
        <v>106</v>
      </c>
      <c r="T100" s="12">
        <f>IF($H100="Cancelled","",IFERROR(((Q100+INDEX(Variables!$B$6:$D$6,IFERROR(MATCH(IF($B100="Robusta","Robusta",(IF($B100="","Arabica",$B100))&amp;" - "&amp;(IF($C100="","Commercial",$C100))),Variables!$B$1:$D$1,0),1)))*22.0462)*(L100/16.67),""))</f>
        <v>123067.25778044391</v>
      </c>
      <c r="U100" s="10">
        <v>45386</v>
      </c>
      <c r="V100" s="9" t="str">
        <f t="shared" si="11"/>
        <v>Sent</v>
      </c>
      <c r="W100" s="10">
        <v>45390</v>
      </c>
      <c r="X100" s="9" t="str">
        <f t="shared" si="12"/>
        <v>Approved</v>
      </c>
      <c r="Y100" s="10"/>
      <c r="Z100" s="10">
        <f>IF($H100="Cancelled","",IFERROR(IF(F100="","",F100-Variables!$B$13),""))</f>
        <v>45428</v>
      </c>
      <c r="AA100" s="11">
        <f>IF($H100="Cancelled","",IFERROR(IF(W100="","",(AVERAGE(E100:F100)-W100)-Variables!$B$14),""))</f>
        <v>8</v>
      </c>
      <c r="AB100" s="10">
        <v>45502</v>
      </c>
      <c r="AC100" s="11">
        <f>IF($H100="Cancelled","",IFERROR(IF(AB100="","",IF(AND(W100="",Y100=""),"",IF(Y100&gt;W100,Y100+Variables!$B$15+Variables!$B$16+Variables!$B$17-AB100,W100+Variables!$B$16+Variables!$B$17-AB100))),""))</f>
        <v>-104</v>
      </c>
      <c r="AD100" s="9" t="s">
        <v>165</v>
      </c>
      <c r="AE100" s="9" t="s">
        <v>364</v>
      </c>
      <c r="AF100" s="10"/>
      <c r="AG100" s="10"/>
      <c r="AH100" s="9"/>
      <c r="AI100" s="9" t="s">
        <v>365</v>
      </c>
      <c r="AJ100" s="9" t="s">
        <v>366</v>
      </c>
      <c r="AK100" s="10">
        <v>45434</v>
      </c>
      <c r="AL100" s="10">
        <v>45435</v>
      </c>
      <c r="AM100" s="10">
        <v>45436</v>
      </c>
      <c r="AN100" s="9" t="s">
        <v>95</v>
      </c>
      <c r="AO100" s="9"/>
      <c r="AP100" s="11">
        <f>IF($H100="Cancelled","",IFERROR(IF(OR(AK100="",AB100=""),"",(AB100+Variables!$B$18-AK100)),""))</f>
        <v>75</v>
      </c>
      <c r="AQ100" s="11">
        <f>IF($H100="Cancelled","",IFERROR(IF(OR(AM100="",AK100=""),"",(AK100+Variables!$B$19)-AM100),""))</f>
        <v>3</v>
      </c>
      <c r="AR100" s="12">
        <f>IF($H100="Cancelled","",IFERROR(T100*INDEX(Variables!$B$7:$D$7,IFERROR(MATCH(IF($B100="Robusta","Robusta",(IF($B100="","Arabica",$B100))&amp;" - "&amp;(IF($C100="","Commercial",$C100))),Variables!$B$1:$D$1,0),1))*(AQ100/365),""))</f>
        <v>65.224500243699779</v>
      </c>
      <c r="AS100" s="12">
        <f>IF($H100="Cancelled","",IFERROR((T100*INDEX(Variables!$B$7:$D$7,IFERROR(MATCH(IF($B100="Robusta","Robusta",(IF($B100="","Arabica",$B100))&amp;" - "&amp;(IF($C100="","Commercial",$C100))),Variables!$B$1:$D$1,0),1))*IFERROR(IF(W100="","",(AVERAGE(E100:F100)-W100)-Variables!$B$14),"")/365)+(L100/16.67*INDEX(Variables!$B$8:$D$8,IFERROR(MATCH(IF($B100="Robusta","Robusta",(IF($B100="","Arabica",$B100))&amp;" - "&amp;(IF($C100="","Commercial",$C100))),Variables!$B$1:$D$1,0),1))*IFERROR(IF(W100="","",(AVERAGE(E100:F100)-W100)-Variables!$B$14),""))+(T100*INDEX(Variables!$B$9:$D$9,IFERROR(MATCH(IF($B100="Robusta","Robusta",(IF($B100="","Arabica",$B100))&amp;" - "&amp;(IF($C100="","Commercial",$C100))),Variables!$B$1:$D$1,0),1))*IFERROR(IF(W100="","",(AVERAGE(E100:F100)-W100)-Variables!$B$14),"")/365),""))</f>
        <v>304.17431980368269</v>
      </c>
      <c r="AT100" s="12">
        <f>IF($H100="Cancelled","",IFERROR((T100*INDEX(Variables!$B$7:$D$7,IFERROR(MATCH(IF($B100="Robusta","Robusta",(IF($B100="","Arabica",$B100))&amp;" - "&amp;(IF($C100="","Commercial",$C100))),Variables!$B$1:$D$1,0),1))*AC100/365)+(L100/16.67*INDEX(Variables!$B$8:$D$8,IFERROR(MATCH(IF($B100="Robusta","Robusta",(IF($B100="","Arabica",$B100))&amp;" - "&amp;(IF($C100="","Commercial",$C100))),Variables!$B$1:$D$1,0),1))*AC100)+(T100*INDEX(Variables!$B$9:$D$9,IFERROR(MATCH(IF($B100="Robusta","Robusta",(IF($B100="","Arabica",$B100))&amp;" - "&amp;(IF($C100="","Commercial",$C100))),Variables!$B$1:$D$1,0),1))*AC100/365),""))</f>
        <v>-3954.2661574478748</v>
      </c>
      <c r="AU100" s="12">
        <f>IF($H100="Cancelled","",IFERROR((T100*INDEX(Variables!$B$7:$D$7,IFERROR(MATCH(IF($B100="Robusta","Robusta",(IF($B100="","Arabica",$B100))&amp;" - "&amp;(IF($C100="","Commercial",$C100))),Variables!$B$1:$D$1,0),1))*AP100/365)+(L100/16.67*INDEX(Variables!$B$8:$D$8,IFERROR(MATCH(IF($B100="Robusta","Robusta",(IF($B100="","Arabica",$B100))&amp;" - "&amp;(IF($C100="","Commercial",$C100))),Variables!$B$1:$D$1,0),1))*AP100)+(T100*INDEX(Variables!$B$9:$D$9,IFERROR(MATCH(IF($B100="Robusta","Robusta",(IF($B100="","Arabica",$B100))&amp;" - "&amp;(IF($C100="","Commercial",$C100))),Variables!$B$1:$D$1,0),1))*AP100/365),""))</f>
        <v>2851.6342481595248</v>
      </c>
      <c r="AV100" s="11">
        <f t="shared" si="9"/>
        <v>9</v>
      </c>
      <c r="AW100" s="12">
        <f>IF($H100="Cancelled","",IFERROR(IF(AV100="","",(T100*INDEX(Variables!$B$7:$D$7,IFERROR(MATCH(IF($B100="Robusta","Robusta",(IF($B100="","Arabica",$B100))&amp;" - "&amp;(IF($C100="","Commercial",$C100))),Variables!$B$1:$D$1,0),1))*(AV100/365))+(T100*INDEX(Variables!$B$9:$D$9,IFERROR(MATCH(IF($B100="Robusta","Robusta",(IF($B100="","Arabica",$B100))&amp;" - "&amp;(IF($C100="","Commercial",$C100))),Variables!$B$1:$D$1,0),1))*(AV100/365))+(INDEX(Variables!$B$8:$D$8,IFERROR(MATCH(IF($B100="Robusta","Robusta",(IF($B100="","Arabica",$B100))&amp;" - "&amp;(IF($C100="","Commercial",$C100))),Variables!$B$1:$D$1,0),1))*L100/16.67)),""))</f>
        <v>214.19610977914306</v>
      </c>
      <c r="AX100" s="9"/>
      <c r="AY100" s="12"/>
      <c r="AZ100" s="10"/>
      <c r="BA100" s="9"/>
      <c r="BB100" s="10"/>
      <c r="BC100" s="9"/>
      <c r="BD100" s="9"/>
      <c r="BE100" s="9"/>
      <c r="BF100" s="9"/>
    </row>
    <row r="101" spans="1:58" x14ac:dyDescent="0.25">
      <c r="A101" s="9" t="s">
        <v>84</v>
      </c>
      <c r="B101" s="9" t="s">
        <v>85</v>
      </c>
      <c r="C101" s="9" t="s">
        <v>86</v>
      </c>
      <c r="D101" s="10">
        <v>45371</v>
      </c>
      <c r="E101" s="10">
        <v>45413</v>
      </c>
      <c r="F101" s="10">
        <v>45443</v>
      </c>
      <c r="G101" s="9">
        <v>3786205</v>
      </c>
      <c r="H101" s="9" t="str">
        <f t="shared" si="7"/>
        <v>Closed</v>
      </c>
      <c r="I101" s="9" t="str">
        <f t="shared" si="8"/>
        <v>All dates received</v>
      </c>
      <c r="J101" s="9" t="s">
        <v>367</v>
      </c>
      <c r="K101" s="9">
        <v>4866</v>
      </c>
      <c r="L101" s="11">
        <v>320</v>
      </c>
      <c r="M101" s="9" t="s">
        <v>368</v>
      </c>
      <c r="N101" s="9" t="s">
        <v>206</v>
      </c>
      <c r="O101" s="9"/>
      <c r="P101" s="9"/>
      <c r="Q101" s="11"/>
      <c r="R101" s="9" t="s">
        <v>90</v>
      </c>
      <c r="S101" s="9" t="s">
        <v>207</v>
      </c>
      <c r="T101" s="12">
        <f>IF($H101="Cancelled","",IFERROR(((Q101+INDEX(Variables!$B$6:$D$6,IFERROR(MATCH(IF($B101="Robusta","Robusta",(IF($B101="","Arabica",$B101))&amp;" - "&amp;(IF($C101="","Commercial",$C101))),Variables!$B$1:$D$1,0),1)))*22.0462)*(L101/16.67),""))</f>
        <v>123067.25778044391</v>
      </c>
      <c r="U101" s="10">
        <v>45385</v>
      </c>
      <c r="V101" s="9" t="str">
        <f t="shared" si="11"/>
        <v>Sent</v>
      </c>
      <c r="W101" s="10">
        <v>45392</v>
      </c>
      <c r="X101" s="9" t="str">
        <f t="shared" si="12"/>
        <v>Approved</v>
      </c>
      <c r="Y101" s="10"/>
      <c r="Z101" s="10">
        <f>IF($H101="Cancelled","",IFERROR(IF(F101="","",F101-Variables!$B$13),""))</f>
        <v>45428</v>
      </c>
      <c r="AA101" s="11">
        <f>IF($H101="Cancelled","",IFERROR(IF(W101="","",(AVERAGE(E101:F101)-W101)-Variables!$B$14),""))</f>
        <v>6</v>
      </c>
      <c r="AB101" s="10">
        <v>45503</v>
      </c>
      <c r="AC101" s="11">
        <f>IF($H101="Cancelled","",IFERROR(IF(AB101="","",IF(AND(W101="",Y101=""),"",IF(Y101&gt;W101,Y101+Variables!$B$15+Variables!$B$16+Variables!$B$17-AB101,W101+Variables!$B$16+Variables!$B$17-AB101))),""))</f>
        <v>-103</v>
      </c>
      <c r="AD101" s="9" t="s">
        <v>369</v>
      </c>
      <c r="AE101" s="9"/>
      <c r="AF101" s="10"/>
      <c r="AG101" s="10"/>
      <c r="AH101" s="9"/>
      <c r="AI101" s="9">
        <v>238697454</v>
      </c>
      <c r="AJ101" s="9">
        <v>2222090511</v>
      </c>
      <c r="AK101" s="10">
        <v>45423</v>
      </c>
      <c r="AL101" s="10">
        <v>45426</v>
      </c>
      <c r="AM101" s="10">
        <v>45428</v>
      </c>
      <c r="AN101" s="9" t="s">
        <v>95</v>
      </c>
      <c r="AO101" s="9"/>
      <c r="AP101" s="11">
        <f>IF($H101="Cancelled","",IFERROR(IF(OR(AK101="",AB101=""),"",(AB101+Variables!$B$18-AK101)),""))</f>
        <v>87</v>
      </c>
      <c r="AQ101" s="11">
        <f>IF($H101="Cancelled","",IFERROR(IF(OR(AM101="",AK101=""),"",(AK101+Variables!$B$19)-AM101),""))</f>
        <v>0</v>
      </c>
      <c r="AR101" s="12">
        <f>IF($H101="Cancelled","",IFERROR(T101*INDEX(Variables!$B$7:$D$7,IFERROR(MATCH(IF($B101="Robusta","Robusta",(IF($B101="","Arabica",$B101))&amp;" - "&amp;(IF($C101="","Commercial",$C101))),Variables!$B$1:$D$1,0),1))*(AQ101/365),""))</f>
        <v>0</v>
      </c>
      <c r="AS101" s="12">
        <f>IF($H101="Cancelled","",IFERROR((T101*INDEX(Variables!$B$7:$D$7,IFERROR(MATCH(IF($B101="Robusta","Robusta",(IF($B101="","Arabica",$B101))&amp;" - "&amp;(IF($C101="","Commercial",$C101))),Variables!$B$1:$D$1,0),1))*IFERROR(IF(W101="","",(AVERAGE(E101:F101)-W101)-Variables!$B$14),"")/365)+(L101/16.67*INDEX(Variables!$B$8:$D$8,IFERROR(MATCH(IF($B101="Robusta","Robusta",(IF($B101="","Arabica",$B101))&amp;" - "&amp;(IF($C101="","Commercial",$C101))),Variables!$B$1:$D$1,0),1))*IFERROR(IF(W101="","",(AVERAGE(E101:F101)-W101)-Variables!$B$14),""))+(T101*INDEX(Variables!$B$9:$D$9,IFERROR(MATCH(IF($B101="Robusta","Robusta",(IF($B101="","Arabica",$B101))&amp;" - "&amp;(IF($C101="","Commercial",$C101))),Variables!$B$1:$D$1,0),1))*IFERROR(IF(W101="","",(AVERAGE(E101:F101)-W101)-Variables!$B$14),"")/365),""))</f>
        <v>228.13073985276202</v>
      </c>
      <c r="AT101" s="12">
        <f>IF($H101="Cancelled","",IFERROR((T101*INDEX(Variables!$B$7:$D$7,IFERROR(MATCH(IF($B101="Robusta","Robusta",(IF($B101="","Arabica",$B101))&amp;" - "&amp;(IF($C101="","Commercial",$C101))),Variables!$B$1:$D$1,0),1))*AC101/365)+(L101/16.67*INDEX(Variables!$B$8:$D$8,IFERROR(MATCH(IF($B101="Robusta","Robusta",(IF($B101="","Arabica",$B101))&amp;" - "&amp;(IF($C101="","Commercial",$C101))),Variables!$B$1:$D$1,0),1))*AC101)+(T101*INDEX(Variables!$B$9:$D$9,IFERROR(MATCH(IF($B101="Robusta","Robusta",(IF($B101="","Arabica",$B101))&amp;" - "&amp;(IF($C101="","Commercial",$C101))),Variables!$B$1:$D$1,0),1))*AC101/365),""))</f>
        <v>-3916.244367472415</v>
      </c>
      <c r="AU101" s="12">
        <f>IF($H101="Cancelled","",IFERROR((T101*INDEX(Variables!$B$7:$D$7,IFERROR(MATCH(IF($B101="Robusta","Robusta",(IF($B101="","Arabica",$B101))&amp;" - "&amp;(IF($C101="","Commercial",$C101))),Variables!$B$1:$D$1,0),1))*AP101/365)+(L101/16.67*INDEX(Variables!$B$8:$D$8,IFERROR(MATCH(IF($B101="Robusta","Robusta",(IF($B101="","Arabica",$B101))&amp;" - "&amp;(IF($C101="","Commercial",$C101))),Variables!$B$1:$D$1,0),1))*AP101)+(T101*INDEX(Variables!$B$9:$D$9,IFERROR(MATCH(IF($B101="Robusta","Robusta",(IF($B101="","Arabica",$B101))&amp;" - "&amp;(IF($C101="","Commercial",$C101))),Variables!$B$1:$D$1,0),1))*AP101/365),""))</f>
        <v>3307.8957278650491</v>
      </c>
      <c r="AV101" s="11">
        <f t="shared" si="9"/>
        <v>20</v>
      </c>
      <c r="AW101" s="12">
        <f>IF($H101="Cancelled","",IFERROR(IF(AV101="","",(T101*INDEX(Variables!$B$7:$D$7,IFERROR(MATCH(IF($B101="Robusta","Robusta",(IF($B101="","Arabica",$B101))&amp;" - "&amp;(IF($C101="","Commercial",$C101))),Variables!$B$1:$D$1,0),1))*(AV101/365))+(T101*INDEX(Variables!$B$9:$D$9,IFERROR(MATCH(IF($B101="Robusta","Robusta",(IF($B101="","Arabica",$B101))&amp;" - "&amp;(IF($C101="","Commercial",$C101))),Variables!$B$1:$D$1,0),1))*(AV101/365))+(INDEX(Variables!$B$8:$D$8,IFERROR(MATCH(IF($B101="Robusta","Robusta",(IF($B101="","Arabica",$B101))&amp;" - "&amp;(IF($C101="","Commercial",$C101))),Variables!$B$1:$D$1,0),1))*L101/16.67)),""))</f>
        <v>456.43579950920673</v>
      </c>
      <c r="AX101" s="9"/>
      <c r="AY101" s="12"/>
      <c r="AZ101" s="10"/>
      <c r="BA101" s="9"/>
      <c r="BB101" s="10"/>
      <c r="BC101" s="9"/>
      <c r="BD101" s="9"/>
      <c r="BE101" s="9"/>
      <c r="BF101" s="9"/>
    </row>
    <row r="102" spans="1:58" x14ac:dyDescent="0.25">
      <c r="A102" s="9" t="s">
        <v>84</v>
      </c>
      <c r="B102" s="9" t="s">
        <v>85</v>
      </c>
      <c r="C102" s="9" t="s">
        <v>86</v>
      </c>
      <c r="D102" s="10">
        <v>45371</v>
      </c>
      <c r="E102" s="10">
        <v>45413</v>
      </c>
      <c r="F102" s="10">
        <v>45443</v>
      </c>
      <c r="G102" s="9">
        <v>3786209</v>
      </c>
      <c r="H102" s="9" t="str">
        <f t="shared" si="7"/>
        <v>Closed</v>
      </c>
      <c r="I102" s="9" t="str">
        <f t="shared" si="8"/>
        <v>All dates received</v>
      </c>
      <c r="J102" s="9" t="s">
        <v>102</v>
      </c>
      <c r="K102" s="9">
        <v>4859</v>
      </c>
      <c r="L102" s="11">
        <v>1800</v>
      </c>
      <c r="M102" s="9" t="s">
        <v>370</v>
      </c>
      <c r="N102" s="9" t="s">
        <v>105</v>
      </c>
      <c r="O102" s="9"/>
      <c r="P102" s="9"/>
      <c r="Q102" s="11"/>
      <c r="R102" s="9" t="s">
        <v>90</v>
      </c>
      <c r="S102" s="9" t="s">
        <v>183</v>
      </c>
      <c r="T102" s="12">
        <f>IF($H102="Cancelled","",IFERROR(((Q102+INDEX(Variables!$B$6:$D$6,IFERROR(MATCH(IF($B102="Robusta","Robusta",(IF($B102="","Arabica",$B102))&amp;" - "&amp;(IF($C102="","Commercial",$C102))),Variables!$B$1:$D$1,0),1)))*22.0462)*(L102/16.67),""))</f>
        <v>692253.32501499692</v>
      </c>
      <c r="U102" s="10">
        <v>45390</v>
      </c>
      <c r="V102" s="9" t="str">
        <f t="shared" si="11"/>
        <v>Sent</v>
      </c>
      <c r="W102" s="10">
        <v>45394</v>
      </c>
      <c r="X102" s="9" t="str">
        <f t="shared" si="12"/>
        <v>Approved</v>
      </c>
      <c r="Y102" s="10"/>
      <c r="Z102" s="10">
        <f>IF($H102="Cancelled","",IFERROR(IF(F102="","",F102-Variables!$B$13),""))</f>
        <v>45428</v>
      </c>
      <c r="AA102" s="11">
        <f>IF($H102="Cancelled","",IFERROR(IF(W102="","",(AVERAGE(E102:F102)-W102)-Variables!$B$14),""))</f>
        <v>4</v>
      </c>
      <c r="AB102" s="10">
        <v>45503</v>
      </c>
      <c r="AC102" s="11">
        <f>IF($H102="Cancelled","",IFERROR(IF(AB102="","",IF(AND(W102="",Y102=""),"",IF(Y102&gt;W102,Y102+Variables!$B$15+Variables!$B$16+Variables!$B$17-AB102,W102+Variables!$B$16+Variables!$B$17-AB102))),""))</f>
        <v>-101</v>
      </c>
      <c r="AD102" s="9" t="s">
        <v>107</v>
      </c>
      <c r="AE102" s="9" t="s">
        <v>364</v>
      </c>
      <c r="AF102" s="10"/>
      <c r="AG102" s="10"/>
      <c r="AH102" s="9"/>
      <c r="AI102" s="9" t="s">
        <v>371</v>
      </c>
      <c r="AJ102" s="9" t="s">
        <v>8</v>
      </c>
      <c r="AK102" s="10">
        <v>45418</v>
      </c>
      <c r="AL102" s="10">
        <v>45420</v>
      </c>
      <c r="AM102" s="10">
        <v>45425</v>
      </c>
      <c r="AN102" s="9" t="s">
        <v>95</v>
      </c>
      <c r="AO102" s="9"/>
      <c r="AP102" s="11">
        <f>IF($H102="Cancelled","",IFERROR(IF(OR(AK102="",AB102=""),"",(AB102+Variables!$B$18-AK102)),""))</f>
        <v>92</v>
      </c>
      <c r="AQ102" s="11">
        <f>IF($H102="Cancelled","",IFERROR(IF(OR(AM102="",AK102=""),"",(AK102+Variables!$B$19)-AM102),""))</f>
        <v>-2</v>
      </c>
      <c r="AR102" s="12">
        <f>IF($H102="Cancelled","",IFERROR(T102*INDEX(Variables!$B$7:$D$7,IFERROR(MATCH(IF($B102="Robusta","Robusta",(IF($B102="","Arabica",$B102))&amp;" - "&amp;(IF($C102="","Commercial",$C102))),Variables!$B$1:$D$1,0),1))*(AQ102/365),""))</f>
        <v>-244.59187591387416</v>
      </c>
      <c r="AS102" s="12">
        <f>IF($H102="Cancelled","",IFERROR((T102*INDEX(Variables!$B$7:$D$7,IFERROR(MATCH(IF($B102="Robusta","Robusta",(IF($B102="","Arabica",$B102))&amp;" - "&amp;(IF($C102="","Commercial",$C102))),Variables!$B$1:$D$1,0),1))*IFERROR(IF(W102="","",(AVERAGE(E102:F102)-W102)-Variables!$B$14),"")/365)+(L102/16.67*INDEX(Variables!$B$8:$D$8,IFERROR(MATCH(IF($B102="Robusta","Robusta",(IF($B102="","Arabica",$B102))&amp;" - "&amp;(IF($C102="","Commercial",$C102))),Variables!$B$1:$D$1,0),1))*IFERROR(IF(W102="","",(AVERAGE(E102:F102)-W102)-Variables!$B$14),""))+(T102*INDEX(Variables!$B$9:$D$9,IFERROR(MATCH(IF($B102="Robusta","Robusta",(IF($B102="","Arabica",$B102))&amp;" - "&amp;(IF($C102="","Commercial",$C102))),Variables!$B$1:$D$1,0),1))*IFERROR(IF(W102="","",(AVERAGE(E102:F102)-W102)-Variables!$B$14),"")/365),""))</f>
        <v>855.49027444785759</v>
      </c>
      <c r="AT102" s="12">
        <f>IF($H102="Cancelled","",IFERROR((T102*INDEX(Variables!$B$7:$D$7,IFERROR(MATCH(IF($B102="Robusta","Robusta",(IF($B102="","Arabica",$B102))&amp;" - "&amp;(IF($C102="","Commercial",$C102))),Variables!$B$1:$D$1,0),1))*AC102/365)+(L102/16.67*INDEX(Variables!$B$8:$D$8,IFERROR(MATCH(IF($B102="Robusta","Robusta",(IF($B102="","Arabica",$B102))&amp;" - "&amp;(IF($C102="","Commercial",$C102))),Variables!$B$1:$D$1,0),1))*AC102)+(T102*INDEX(Variables!$B$9:$D$9,IFERROR(MATCH(IF($B102="Robusta","Robusta",(IF($B102="","Arabica",$B102))&amp;" - "&amp;(IF($C102="","Commercial",$C102))),Variables!$B$1:$D$1,0),1))*AC102/365),""))</f>
        <v>-21601.129429808403</v>
      </c>
      <c r="AU102" s="12">
        <f>IF($H102="Cancelled","",IFERROR((T102*INDEX(Variables!$B$7:$D$7,IFERROR(MATCH(IF($B102="Robusta","Robusta",(IF($B102="","Arabica",$B102))&amp;" - "&amp;(IF($C102="","Commercial",$C102))),Variables!$B$1:$D$1,0),1))*AP102/365)+(L102/16.67*INDEX(Variables!$B$8:$D$8,IFERROR(MATCH(IF($B102="Robusta","Robusta",(IF($B102="","Arabica",$B102))&amp;" - "&amp;(IF($C102="","Commercial",$C102))),Variables!$B$1:$D$1,0),1))*AP102)+(T102*INDEX(Variables!$B$9:$D$9,IFERROR(MATCH(IF($B102="Robusta","Robusta",(IF($B102="","Arabica",$B102))&amp;" - "&amp;(IF($C102="","Commercial",$C102))),Variables!$B$1:$D$1,0),1))*AP102/365),""))</f>
        <v>19676.276312300724</v>
      </c>
      <c r="AV102" s="11">
        <f t="shared" si="9"/>
        <v>25</v>
      </c>
      <c r="AW102" s="12">
        <f>IF($H102="Cancelled","",IFERROR(IF(AV102="","",(T102*INDEX(Variables!$B$7:$D$7,IFERROR(MATCH(IF($B102="Robusta","Robusta",(IF($B102="","Arabica",$B102))&amp;" - "&amp;(IF($C102="","Commercial",$C102))),Variables!$B$1:$D$1,0),1))*(AV102/365))+(T102*INDEX(Variables!$B$9:$D$9,IFERROR(MATCH(IF($B102="Robusta","Robusta",(IF($B102="","Arabica",$B102))&amp;" - "&amp;(IF($C102="","Commercial",$C102))),Variables!$B$1:$D$1,0),1))*(AV102/365))+(INDEX(Variables!$B$8:$D$8,IFERROR(MATCH(IF($B102="Robusta","Robusta",(IF($B102="","Arabica",$B102))&amp;" - "&amp;(IF($C102="","Commercial",$C102))),Variables!$B$1:$D$1,0),1))*L102/16.67)),""))</f>
        <v>3186.8142152991095</v>
      </c>
      <c r="AX102" s="9"/>
      <c r="AY102" s="12"/>
      <c r="AZ102" s="10"/>
      <c r="BA102" s="9"/>
      <c r="BB102" s="10"/>
      <c r="BC102" s="9"/>
      <c r="BD102" s="9"/>
      <c r="BE102" s="9"/>
      <c r="BF102" s="9"/>
    </row>
    <row r="103" spans="1:58" x14ac:dyDescent="0.25">
      <c r="A103" s="9" t="s">
        <v>84</v>
      </c>
      <c r="B103" s="9" t="s">
        <v>85</v>
      </c>
      <c r="C103" s="9" t="s">
        <v>86</v>
      </c>
      <c r="D103" s="10">
        <v>45371</v>
      </c>
      <c r="E103" s="10">
        <v>45444</v>
      </c>
      <c r="F103" s="10">
        <v>45473</v>
      </c>
      <c r="G103" s="9">
        <v>3786210</v>
      </c>
      <c r="H103" s="9" t="str">
        <f t="shared" si="7"/>
        <v>Closed</v>
      </c>
      <c r="I103" s="9" t="str">
        <f t="shared" si="8"/>
        <v>All dates received</v>
      </c>
      <c r="J103" s="9" t="s">
        <v>102</v>
      </c>
      <c r="K103" s="9">
        <v>4931</v>
      </c>
      <c r="L103" s="11">
        <v>1800</v>
      </c>
      <c r="M103" s="9" t="s">
        <v>370</v>
      </c>
      <c r="N103" s="9" t="s">
        <v>105</v>
      </c>
      <c r="O103" s="9"/>
      <c r="P103" s="9"/>
      <c r="Q103" s="11"/>
      <c r="R103" s="9" t="s">
        <v>90</v>
      </c>
      <c r="S103" s="9" t="s">
        <v>183</v>
      </c>
      <c r="T103" s="12">
        <f>IF($H103="Cancelled","",IFERROR(((Q103+INDEX(Variables!$B$6:$D$6,IFERROR(MATCH(IF($B103="Robusta","Robusta",(IF($B103="","Arabica",$B103))&amp;" - "&amp;(IF($C103="","Commercial",$C103))),Variables!$B$1:$D$1,0),1)))*22.0462)*(L103/16.67),""))</f>
        <v>692253.32501499692</v>
      </c>
      <c r="U103" s="10">
        <v>45411</v>
      </c>
      <c r="V103" s="9" t="str">
        <f t="shared" si="11"/>
        <v>Sent</v>
      </c>
      <c r="W103" s="10">
        <v>45418</v>
      </c>
      <c r="X103" s="9" t="str">
        <f t="shared" si="12"/>
        <v>Approved</v>
      </c>
      <c r="Y103" s="10"/>
      <c r="Z103" s="10">
        <f>IF($H103="Cancelled","",IFERROR(IF(F103="","",F103-Variables!$B$13),""))</f>
        <v>45458</v>
      </c>
      <c r="AA103" s="11">
        <f>IF($H103="Cancelled","",IFERROR(IF(W103="","",(AVERAGE(E103:F103)-W103)-Variables!$B$14),""))</f>
        <v>10.5</v>
      </c>
      <c r="AB103" s="10">
        <v>45504</v>
      </c>
      <c r="AC103" s="11">
        <f>IF($H103="Cancelled","",IFERROR(IF(AB103="","",IF(AND(W103="",Y103=""),"",IF(Y103&gt;W103,Y103+Variables!$B$15+Variables!$B$16+Variables!$B$17-AB103,W103+Variables!$B$16+Variables!$B$17-AB103))),""))</f>
        <v>-78</v>
      </c>
      <c r="AD103" s="9" t="s">
        <v>151</v>
      </c>
      <c r="AE103" s="9" t="s">
        <v>372</v>
      </c>
      <c r="AF103" s="10"/>
      <c r="AG103" s="10"/>
      <c r="AH103" s="9"/>
      <c r="AI103" s="9" t="s">
        <v>373</v>
      </c>
      <c r="AJ103" s="9" t="s">
        <v>8</v>
      </c>
      <c r="AK103" s="10">
        <v>45458</v>
      </c>
      <c r="AL103" s="10">
        <v>45470</v>
      </c>
      <c r="AM103" s="10">
        <v>45475</v>
      </c>
      <c r="AN103" s="9" t="s">
        <v>95</v>
      </c>
      <c r="AO103" s="9"/>
      <c r="AP103" s="11">
        <f>IF($H103="Cancelled","",IFERROR(IF(OR(AK103="",AB103=""),"",(AB103+Variables!$B$18-AK103)),""))</f>
        <v>53</v>
      </c>
      <c r="AQ103" s="11">
        <f>IF($H103="Cancelled","",IFERROR(IF(OR(AM103="",AK103=""),"",(AK103+Variables!$B$19)-AM103),""))</f>
        <v>-12</v>
      </c>
      <c r="AR103" s="12">
        <f>IF($H103="Cancelled","",IFERROR(T103*INDEX(Variables!$B$7:$D$7,IFERROR(MATCH(IF($B103="Robusta","Robusta",(IF($B103="","Arabica",$B103))&amp;" - "&amp;(IF($C103="","Commercial",$C103))),Variables!$B$1:$D$1,0),1))*(AQ103/365),""))</f>
        <v>-1467.5512554832449</v>
      </c>
      <c r="AS103" s="12">
        <f>IF($H103="Cancelled","",IFERROR((T103*INDEX(Variables!$B$7:$D$7,IFERROR(MATCH(IF($B103="Robusta","Robusta",(IF($B103="","Arabica",$B103))&amp;" - "&amp;(IF($C103="","Commercial",$C103))),Variables!$B$1:$D$1,0),1))*IFERROR(IF(W103="","",(AVERAGE(E103:F103)-W103)-Variables!$B$14),"")/365)+(L103/16.67*INDEX(Variables!$B$8:$D$8,IFERROR(MATCH(IF($B103="Robusta","Robusta",(IF($B103="","Arabica",$B103))&amp;" - "&amp;(IF($C103="","Commercial",$C103))),Variables!$B$1:$D$1,0),1))*IFERROR(IF(W103="","",(AVERAGE(E103:F103)-W103)-Variables!$B$14),""))+(T103*INDEX(Variables!$B$9:$D$9,IFERROR(MATCH(IF($B103="Robusta","Robusta",(IF($B103="","Arabica",$B103))&amp;" - "&amp;(IF($C103="","Commercial",$C103))),Variables!$B$1:$D$1,0),1))*IFERROR(IF(W103="","",(AVERAGE(E103:F103)-W103)-Variables!$B$14),"")/365),""))</f>
        <v>2245.6619704256259</v>
      </c>
      <c r="AT103" s="12">
        <f>IF($H103="Cancelled","",IFERROR((T103*INDEX(Variables!$B$7:$D$7,IFERROR(MATCH(IF($B103="Robusta","Robusta",(IF($B103="","Arabica",$B103))&amp;" - "&amp;(IF($C103="","Commercial",$C103))),Variables!$B$1:$D$1,0),1))*AC103/365)+(L103/16.67*INDEX(Variables!$B$8:$D$8,IFERROR(MATCH(IF($B103="Robusta","Robusta",(IF($B103="","Arabica",$B103))&amp;" - "&amp;(IF($C103="","Commercial",$C103))),Variables!$B$1:$D$1,0),1))*AC103)+(T103*INDEX(Variables!$B$9:$D$9,IFERROR(MATCH(IF($B103="Robusta","Robusta",(IF($B103="","Arabica",$B103))&amp;" - "&amp;(IF($C103="","Commercial",$C103))),Variables!$B$1:$D$1,0),1))*AC103/365),""))</f>
        <v>-16682.060351733224</v>
      </c>
      <c r="AU103" s="12">
        <f>IF($H103="Cancelled","",IFERROR((T103*INDEX(Variables!$B$7:$D$7,IFERROR(MATCH(IF($B103="Robusta","Robusta",(IF($B103="","Arabica",$B103))&amp;" - "&amp;(IF($C103="","Commercial",$C103))),Variables!$B$1:$D$1,0),1))*AP103/365)+(L103/16.67*INDEX(Variables!$B$8:$D$8,IFERROR(MATCH(IF($B103="Robusta","Robusta",(IF($B103="","Arabica",$B103))&amp;" - "&amp;(IF($C103="","Commercial",$C103))),Variables!$B$1:$D$1,0),1))*AP103)+(T103*INDEX(Variables!$B$9:$D$9,IFERROR(MATCH(IF($B103="Robusta","Robusta",(IF($B103="","Arabica",$B103))&amp;" - "&amp;(IF($C103="","Commercial",$C103))),Variables!$B$1:$D$1,0),1))*AP103/365),""))</f>
        <v>11335.246136434112</v>
      </c>
      <c r="AV103" s="11">
        <f t="shared" si="9"/>
        <v>15</v>
      </c>
      <c r="AW103" s="12">
        <f>IF($H103="Cancelled","",IFERROR(IF(AV103="","",(T103*INDEX(Variables!$B$7:$D$7,IFERROR(MATCH(IF($B103="Robusta","Robusta",(IF($B103="","Arabica",$B103))&amp;" - "&amp;(IF($C103="","Commercial",$C103))),Variables!$B$1:$D$1,0),1))*(AV103/365))+(T103*INDEX(Variables!$B$9:$D$9,IFERROR(MATCH(IF($B103="Robusta","Robusta",(IF($B103="","Arabica",$B103))&amp;" - "&amp;(IF($C103="","Commercial",$C103))),Variables!$B$1:$D$1,0),1))*(AV103/365))+(INDEX(Variables!$B$8:$D$8,IFERROR(MATCH(IF($B103="Robusta","Robusta",(IF($B103="","Arabica",$B103))&amp;" - "&amp;(IF($C103="","Commercial",$C103))),Variables!$B$1:$D$1,0),1))*L103/16.67)),""))</f>
        <v>1948.0885291794657</v>
      </c>
      <c r="AX103" s="9"/>
      <c r="AY103" s="12"/>
      <c r="AZ103" s="10"/>
      <c r="BA103" s="9"/>
      <c r="BB103" s="10"/>
      <c r="BC103" s="9"/>
      <c r="BD103" s="9"/>
      <c r="BE103" s="9"/>
      <c r="BF103" s="9"/>
    </row>
    <row r="104" spans="1:58" x14ac:dyDescent="0.25">
      <c r="A104" s="9" t="s">
        <v>84</v>
      </c>
      <c r="B104" s="9" t="s">
        <v>85</v>
      </c>
      <c r="C104" s="9" t="s">
        <v>86</v>
      </c>
      <c r="D104" s="10">
        <v>45371</v>
      </c>
      <c r="E104" s="10">
        <v>45474</v>
      </c>
      <c r="F104" s="10">
        <v>45504</v>
      </c>
      <c r="G104" s="9">
        <v>3786211</v>
      </c>
      <c r="H104" s="9" t="str">
        <f t="shared" si="7"/>
        <v>Closed</v>
      </c>
      <c r="I104" s="9" t="str">
        <f t="shared" si="8"/>
        <v>All dates received</v>
      </c>
      <c r="J104" s="9" t="s">
        <v>102</v>
      </c>
      <c r="K104" s="9">
        <v>5000</v>
      </c>
      <c r="L104" s="11">
        <v>1440</v>
      </c>
      <c r="M104" s="9" t="s">
        <v>370</v>
      </c>
      <c r="N104" s="9" t="s">
        <v>105</v>
      </c>
      <c r="O104" s="9"/>
      <c r="P104" s="9"/>
      <c r="Q104" s="11"/>
      <c r="R104" s="9" t="s">
        <v>90</v>
      </c>
      <c r="S104" s="9" t="s">
        <v>183</v>
      </c>
      <c r="T104" s="12">
        <f>IF($H104="Cancelled","",IFERROR(((Q104+INDEX(Variables!$B$6:$D$6,IFERROR(MATCH(IF($B104="Robusta","Robusta",(IF($B104="","Arabica",$B104))&amp;" - "&amp;(IF($C104="","Commercial",$C104))),Variables!$B$1:$D$1,0),1)))*22.0462)*(L104/16.67),""))</f>
        <v>553802.66001199756</v>
      </c>
      <c r="U104" s="10">
        <v>45436</v>
      </c>
      <c r="V104" s="9" t="str">
        <f t="shared" si="11"/>
        <v>Sent</v>
      </c>
      <c r="W104" s="10">
        <v>45448</v>
      </c>
      <c r="X104" s="9" t="str">
        <f t="shared" si="12"/>
        <v>Approved</v>
      </c>
      <c r="Y104" s="10"/>
      <c r="Z104" s="10">
        <f>IF($H104="Cancelled","",IFERROR(IF(F104="","",F104-Variables!$B$13),""))</f>
        <v>45489</v>
      </c>
      <c r="AA104" s="11">
        <f>IF($H104="Cancelled","",IFERROR(IF(W104="","",(AVERAGE(E104:F104)-W104)-Variables!$B$14),""))</f>
        <v>11</v>
      </c>
      <c r="AB104" s="10">
        <v>45504</v>
      </c>
      <c r="AC104" s="11">
        <f>IF($H104="Cancelled","",IFERROR(IF(AB104="","",IF(AND(W104="",Y104=""),"",IF(Y104&gt;W104,Y104+Variables!$B$15+Variables!$B$16+Variables!$B$17-AB104,W104+Variables!$B$16+Variables!$B$17-AB104))),""))</f>
        <v>-48</v>
      </c>
      <c r="AD104" s="9" t="s">
        <v>107</v>
      </c>
      <c r="AE104" s="9" t="s">
        <v>374</v>
      </c>
      <c r="AF104" s="10"/>
      <c r="AG104" s="10"/>
      <c r="AH104" s="9"/>
      <c r="AI104" s="9" t="s">
        <v>375</v>
      </c>
      <c r="AJ104" s="9" t="s">
        <v>8</v>
      </c>
      <c r="AK104" s="10">
        <v>45485</v>
      </c>
      <c r="AL104" s="10">
        <v>45490</v>
      </c>
      <c r="AM104" s="10">
        <v>45504</v>
      </c>
      <c r="AN104" s="9" t="s">
        <v>95</v>
      </c>
      <c r="AO104" s="9"/>
      <c r="AP104" s="11">
        <f>IF($H104="Cancelled","",IFERROR(IF(OR(AK104="",AB104=""),"",(AB104+Variables!$B$18-AK104)),""))</f>
        <v>26</v>
      </c>
      <c r="AQ104" s="11">
        <f>IF($H104="Cancelled","",IFERROR(IF(OR(AM104="",AK104=""),"",(AK104+Variables!$B$19)-AM104),""))</f>
        <v>-14</v>
      </c>
      <c r="AR104" s="12">
        <f>IF($H104="Cancelled","",IFERROR(T104*INDEX(Variables!$B$7:$D$7,IFERROR(MATCH(IF($B104="Robusta","Robusta",(IF($B104="","Arabica",$B104))&amp;" - "&amp;(IF($C104="","Commercial",$C104))),Variables!$B$1:$D$1,0),1))*(AQ104/365),""))</f>
        <v>-1369.7145051176956</v>
      </c>
      <c r="AS104" s="12">
        <f>IF($H104="Cancelled","",IFERROR((T104*INDEX(Variables!$B$7:$D$7,IFERROR(MATCH(IF($B104="Robusta","Robusta",(IF($B104="","Arabica",$B104))&amp;" - "&amp;(IF($C104="","Commercial",$C104))),Variables!$B$1:$D$1,0),1))*IFERROR(IF(W104="","",(AVERAGE(E104:F104)-W104)-Variables!$B$14),"")/365)+(L104/16.67*INDEX(Variables!$B$8:$D$8,IFERROR(MATCH(IF($B104="Robusta","Robusta",(IF($B104="","Arabica",$B104))&amp;" - "&amp;(IF($C104="","Commercial",$C104))),Variables!$B$1:$D$1,0),1))*IFERROR(IF(W104="","",(AVERAGE(E104:F104)-W104)-Variables!$B$14),""))+(T104*INDEX(Variables!$B$9:$D$9,IFERROR(MATCH(IF($B104="Robusta","Robusta",(IF($B104="","Arabica",$B104))&amp;" - "&amp;(IF($C104="","Commercial",$C104))),Variables!$B$1:$D$1,0),1))*IFERROR(IF(W104="","",(AVERAGE(E104:F104)-W104)-Variables!$B$14),"")/365),""))</f>
        <v>1882.0786037852868</v>
      </c>
      <c r="AT104" s="12">
        <f>IF($H104="Cancelled","",IFERROR((T104*INDEX(Variables!$B$7:$D$7,IFERROR(MATCH(IF($B104="Robusta","Robusta",(IF($B104="","Arabica",$B104))&amp;" - "&amp;(IF($C104="","Commercial",$C104))),Variables!$B$1:$D$1,0),1))*AC104/365)+(L104/16.67*INDEX(Variables!$B$8:$D$8,IFERROR(MATCH(IF($B104="Robusta","Robusta",(IF($B104="","Arabica",$B104))&amp;" - "&amp;(IF($C104="","Commercial",$C104))),Variables!$B$1:$D$1,0),1))*AC104)+(T104*INDEX(Variables!$B$9:$D$9,IFERROR(MATCH(IF($B104="Robusta","Robusta",(IF($B104="","Arabica",$B104))&amp;" - "&amp;(IF($C104="","Commercial",$C104))),Variables!$B$1:$D$1,0),1))*AC104/365),""))</f>
        <v>-8212.7066346994343</v>
      </c>
      <c r="AU104" s="12">
        <f>IF($H104="Cancelled","",IFERROR((T104*INDEX(Variables!$B$7:$D$7,IFERROR(MATCH(IF($B104="Robusta","Robusta",(IF($B104="","Arabica",$B104))&amp;" - "&amp;(IF($C104="","Commercial",$C104))),Variables!$B$1:$D$1,0),1))*AP104/365)+(L104/16.67*INDEX(Variables!$B$8:$D$8,IFERROR(MATCH(IF($B104="Robusta","Robusta",(IF($B104="","Arabica",$B104))&amp;" - "&amp;(IF($C104="","Commercial",$C104))),Variables!$B$1:$D$1,0),1))*AP104)+(T104*INDEX(Variables!$B$9:$D$9,IFERROR(MATCH(IF($B104="Robusta","Robusta",(IF($B104="","Arabica",$B104))&amp;" - "&amp;(IF($C104="","Commercial",$C104))),Variables!$B$1:$D$1,0),1))*AP104/365),""))</f>
        <v>4448.5494271288599</v>
      </c>
      <c r="AV104" s="11">
        <f t="shared" si="9"/>
        <v>19</v>
      </c>
      <c r="AW104" s="12">
        <f>IF($H104="Cancelled","",IFERROR(IF(AV104="","",(T104*INDEX(Variables!$B$7:$D$7,IFERROR(MATCH(IF($B104="Robusta","Robusta",(IF($B104="","Arabica",$B104))&amp;" - "&amp;(IF($C104="","Commercial",$C104))),Variables!$B$1:$D$1,0),1))*(AV104/365))+(T104*INDEX(Variables!$B$9:$D$9,IFERROR(MATCH(IF($B104="Robusta","Robusta",(IF($B104="","Arabica",$B104))&amp;" - "&amp;(IF($C104="","Commercial",$C104))),Variables!$B$1:$D$1,0),1))*(AV104/365))+(INDEX(Variables!$B$8:$D$8,IFERROR(MATCH(IF($B104="Robusta","Robusta",(IF($B104="","Arabica",$B104))&amp;" - "&amp;(IF($C104="","Commercial",$C104))),Variables!$B$1:$D$1,0),1))*L104/16.67)),""))</f>
        <v>1954.8630429018588</v>
      </c>
      <c r="AX104" s="9"/>
      <c r="AY104" s="12"/>
      <c r="AZ104" s="10"/>
      <c r="BA104" s="9"/>
      <c r="BB104" s="10"/>
      <c r="BC104" s="9"/>
      <c r="BD104" s="9"/>
      <c r="BE104" s="9"/>
      <c r="BF104" s="9"/>
    </row>
    <row r="105" spans="1:58" x14ac:dyDescent="0.25">
      <c r="A105" s="9" t="s">
        <v>84</v>
      </c>
      <c r="B105" s="9" t="s">
        <v>85</v>
      </c>
      <c r="C105" s="9" t="s">
        <v>86</v>
      </c>
      <c r="D105" s="10">
        <v>45371</v>
      </c>
      <c r="E105" s="10">
        <v>45474</v>
      </c>
      <c r="F105" s="10">
        <v>45504</v>
      </c>
      <c r="G105" s="9">
        <v>3786211</v>
      </c>
      <c r="H105" s="9" t="str">
        <f t="shared" si="7"/>
        <v>Closed</v>
      </c>
      <c r="I105" s="9" t="str">
        <f t="shared" si="8"/>
        <v>All dates received</v>
      </c>
      <c r="J105" s="9" t="s">
        <v>102</v>
      </c>
      <c r="K105" s="9">
        <v>5000</v>
      </c>
      <c r="L105" s="11">
        <v>360</v>
      </c>
      <c r="M105" s="9" t="s">
        <v>370</v>
      </c>
      <c r="N105" s="9" t="s">
        <v>105</v>
      </c>
      <c r="O105" s="9"/>
      <c r="P105" s="9"/>
      <c r="Q105" s="11"/>
      <c r="R105" s="9" t="s">
        <v>90</v>
      </c>
      <c r="S105" s="9" t="s">
        <v>183</v>
      </c>
      <c r="T105" s="12">
        <f>IF($H105="Cancelled","",IFERROR(((Q105+INDEX(Variables!$B$6:$D$6,IFERROR(MATCH(IF($B105="Robusta","Robusta",(IF($B105="","Arabica",$B105))&amp;" - "&amp;(IF($C105="","Commercial",$C105))),Variables!$B$1:$D$1,0),1)))*22.0462)*(L105/16.67),""))</f>
        <v>138450.66500299939</v>
      </c>
      <c r="U105" s="10">
        <v>45436</v>
      </c>
      <c r="V105" s="9" t="str">
        <f t="shared" si="11"/>
        <v>Sent</v>
      </c>
      <c r="W105" s="10">
        <v>45448</v>
      </c>
      <c r="X105" s="9" t="str">
        <f t="shared" si="12"/>
        <v>Approved</v>
      </c>
      <c r="Y105" s="10"/>
      <c r="Z105" s="10">
        <f>IF($H105="Cancelled","",IFERROR(IF(F105="","",F105-Variables!$B$13),""))</f>
        <v>45489</v>
      </c>
      <c r="AA105" s="11">
        <f>IF($H105="Cancelled","",IFERROR(IF(W105="","",(AVERAGE(E105:F105)-W105)-Variables!$B$14),""))</f>
        <v>11</v>
      </c>
      <c r="AB105" s="10">
        <v>45504</v>
      </c>
      <c r="AC105" s="11">
        <f>IF($H105="Cancelled","",IFERROR(IF(AB105="","",IF(AND(W105="",Y105=""),"",IF(Y105&gt;W105,Y105+Variables!$B$15+Variables!$B$16+Variables!$B$17-AB105,W105+Variables!$B$16+Variables!$B$17-AB105))),""))</f>
        <v>-48</v>
      </c>
      <c r="AD105" s="9" t="s">
        <v>107</v>
      </c>
      <c r="AE105" s="9" t="s">
        <v>364</v>
      </c>
      <c r="AF105" s="10"/>
      <c r="AG105" s="10"/>
      <c r="AH105" s="9"/>
      <c r="AI105" s="9" t="s">
        <v>376</v>
      </c>
      <c r="AJ105" s="9" t="s">
        <v>8</v>
      </c>
      <c r="AK105" s="10">
        <v>45491</v>
      </c>
      <c r="AL105" s="10">
        <v>45495</v>
      </c>
      <c r="AM105" s="10">
        <v>45504</v>
      </c>
      <c r="AN105" s="9" t="s">
        <v>95</v>
      </c>
      <c r="AO105" s="9"/>
      <c r="AP105" s="11">
        <f>IF($H105="Cancelled","",IFERROR(IF(OR(AK105="",AB105=""),"",(AB105+Variables!$B$18-AK105)),""))</f>
        <v>20</v>
      </c>
      <c r="AQ105" s="11">
        <f>IF($H105="Cancelled","",IFERROR(IF(OR(AM105="",AK105=""),"",(AK105+Variables!$B$19)-AM105),""))</f>
        <v>-8</v>
      </c>
      <c r="AR105" s="12">
        <f>IF($H105="Cancelled","",IFERROR(T105*INDEX(Variables!$B$7:$D$7,IFERROR(MATCH(IF($B105="Robusta","Robusta",(IF($B105="","Arabica",$B105))&amp;" - "&amp;(IF($C105="","Commercial",$C105))),Variables!$B$1:$D$1,0),1))*(AQ105/365),""))</f>
        <v>-195.67350073109935</v>
      </c>
      <c r="AS105" s="12">
        <f>IF($H105="Cancelled","",IFERROR((T105*INDEX(Variables!$B$7:$D$7,IFERROR(MATCH(IF($B105="Robusta","Robusta",(IF($B105="","Arabica",$B105))&amp;" - "&amp;(IF($C105="","Commercial",$C105))),Variables!$B$1:$D$1,0),1))*IFERROR(IF(W105="","",(AVERAGE(E105:F105)-W105)-Variables!$B$14),"")/365)+(L105/16.67*INDEX(Variables!$B$8:$D$8,IFERROR(MATCH(IF($B105="Robusta","Robusta",(IF($B105="","Arabica",$B105))&amp;" - "&amp;(IF($C105="","Commercial",$C105))),Variables!$B$1:$D$1,0),1))*IFERROR(IF(W105="","",(AVERAGE(E105:F105)-W105)-Variables!$B$14),""))+(T105*INDEX(Variables!$B$9:$D$9,IFERROR(MATCH(IF($B105="Robusta","Robusta",(IF($B105="","Arabica",$B105))&amp;" - "&amp;(IF($C105="","Commercial",$C105))),Variables!$B$1:$D$1,0),1))*IFERROR(IF(W105="","",(AVERAGE(E105:F105)-W105)-Variables!$B$14),"")/365),""))</f>
        <v>470.51965094632169</v>
      </c>
      <c r="AT105" s="12">
        <f>IF($H105="Cancelled","",IFERROR((T105*INDEX(Variables!$B$7:$D$7,IFERROR(MATCH(IF($B105="Robusta","Robusta",(IF($B105="","Arabica",$B105))&amp;" - "&amp;(IF($C105="","Commercial",$C105))),Variables!$B$1:$D$1,0),1))*AC105/365)+(L105/16.67*INDEX(Variables!$B$8:$D$8,IFERROR(MATCH(IF($B105="Robusta","Robusta",(IF($B105="","Arabica",$B105))&amp;" - "&amp;(IF($C105="","Commercial",$C105))),Variables!$B$1:$D$1,0),1))*AC105)+(T105*INDEX(Variables!$B$9:$D$9,IFERROR(MATCH(IF($B105="Robusta","Robusta",(IF($B105="","Arabica",$B105))&amp;" - "&amp;(IF($C105="","Commercial",$C105))),Variables!$B$1:$D$1,0),1))*AC105/365),""))</f>
        <v>-2053.1766586748586</v>
      </c>
      <c r="AU105" s="12">
        <f>IF($H105="Cancelled","",IFERROR((T105*INDEX(Variables!$B$7:$D$7,IFERROR(MATCH(IF($B105="Robusta","Robusta",(IF($B105="","Arabica",$B105))&amp;" - "&amp;(IF($C105="","Commercial",$C105))),Variables!$B$1:$D$1,0),1))*AP105/365)+(L105/16.67*INDEX(Variables!$B$8:$D$8,IFERROR(MATCH(IF($B105="Robusta","Robusta",(IF($B105="","Arabica",$B105))&amp;" - "&amp;(IF($C105="","Commercial",$C105))),Variables!$B$1:$D$1,0),1))*AP105)+(T105*INDEX(Variables!$B$9:$D$9,IFERROR(MATCH(IF($B105="Robusta","Robusta",(IF($B105="","Arabica",$B105))&amp;" - "&amp;(IF($C105="","Commercial",$C105))),Variables!$B$1:$D$1,0),1))*AP105/365),""))</f>
        <v>855.4902744478577</v>
      </c>
      <c r="AV105" s="11">
        <f t="shared" si="9"/>
        <v>13</v>
      </c>
      <c r="AW105" s="12">
        <f>IF($H105="Cancelled","",IFERROR(IF(AV105="","",(T105*INDEX(Variables!$B$7:$D$7,IFERROR(MATCH(IF($B105="Robusta","Robusta",(IF($B105="","Arabica",$B105))&amp;" - "&amp;(IF($C105="","Commercial",$C105))),Variables!$B$1:$D$1,0),1))*(AV105/365))+(T105*INDEX(Variables!$B$9:$D$9,IFERROR(MATCH(IF($B105="Robusta","Robusta",(IF($B105="","Arabica",$B105))&amp;" - "&amp;(IF($C105="","Commercial",$C105))),Variables!$B$1:$D$1,0),1))*(AV105/365))+(INDEX(Variables!$B$8:$D$8,IFERROR(MATCH(IF($B105="Robusta","Robusta",(IF($B105="","Arabica",$B105))&amp;" - "&amp;(IF($C105="","Commercial",$C105))),Variables!$B$1:$D$1,0),1))*L105/16.67)),""))</f>
        <v>340.06867839110743</v>
      </c>
      <c r="AX105" s="9"/>
      <c r="AY105" s="12"/>
      <c r="AZ105" s="10"/>
      <c r="BA105" s="9"/>
      <c r="BB105" s="10"/>
      <c r="BC105" s="9"/>
      <c r="BD105" s="9"/>
      <c r="BE105" s="9"/>
      <c r="BF105" s="9"/>
    </row>
    <row r="106" spans="1:58" x14ac:dyDescent="0.25">
      <c r="A106" s="9" t="s">
        <v>84</v>
      </c>
      <c r="B106" s="9" t="s">
        <v>85</v>
      </c>
      <c r="C106" s="9" t="s">
        <v>86</v>
      </c>
      <c r="D106" s="10">
        <v>45371</v>
      </c>
      <c r="E106" s="10">
        <v>45505</v>
      </c>
      <c r="F106" s="10">
        <v>45535</v>
      </c>
      <c r="G106" s="9">
        <v>3786212</v>
      </c>
      <c r="H106" s="9" t="str">
        <f t="shared" si="7"/>
        <v>Closed</v>
      </c>
      <c r="I106" s="9" t="str">
        <f t="shared" si="8"/>
        <v>All dates received</v>
      </c>
      <c r="J106" s="9" t="s">
        <v>102</v>
      </c>
      <c r="K106" s="9">
        <v>5042</v>
      </c>
      <c r="L106" s="11">
        <v>1800</v>
      </c>
      <c r="M106" s="9" t="s">
        <v>370</v>
      </c>
      <c r="N106" s="9" t="s">
        <v>105</v>
      </c>
      <c r="O106" s="9"/>
      <c r="P106" s="9"/>
      <c r="Q106" s="11"/>
      <c r="R106" s="9" t="s">
        <v>90</v>
      </c>
      <c r="S106" s="9" t="s">
        <v>183</v>
      </c>
      <c r="T106" s="12">
        <f>IF($H106="Cancelled","",IFERROR(((Q106+INDEX(Variables!$B$6:$D$6,IFERROR(MATCH(IF($B106="Robusta","Robusta",(IF($B106="","Arabica",$B106))&amp;" - "&amp;(IF($C106="","Commercial",$C106))),Variables!$B$1:$D$1,0),1)))*22.0462)*(L106/16.67),""))</f>
        <v>692253.32501499692</v>
      </c>
      <c r="U106" s="10">
        <v>45457</v>
      </c>
      <c r="V106" s="9" t="str">
        <f t="shared" si="11"/>
        <v>Sent</v>
      </c>
      <c r="W106" s="10">
        <v>45470</v>
      </c>
      <c r="X106" s="9" t="str">
        <f t="shared" si="12"/>
        <v>Approved</v>
      </c>
      <c r="Y106" s="10"/>
      <c r="Z106" s="10">
        <f>IF($H106="Cancelled","",IFERROR(IF(F106="","",F106-Variables!$B$13),""))</f>
        <v>45520</v>
      </c>
      <c r="AA106" s="11">
        <f>IF($H106="Cancelled","",IFERROR(IF(W106="","",(AVERAGE(E106:F106)-W106)-Variables!$B$14),""))</f>
        <v>20</v>
      </c>
      <c r="AB106" s="10">
        <v>45504</v>
      </c>
      <c r="AC106" s="11">
        <f>IF($H106="Cancelled","",IFERROR(IF(AB106="","",IF(AND(W106="",Y106=""),"",IF(Y106&gt;W106,Y106+Variables!$B$15+Variables!$B$16+Variables!$B$17-AB106,W106+Variables!$B$16+Variables!$B$17-AB106))),""))</f>
        <v>-26</v>
      </c>
      <c r="AD106" s="9" t="s">
        <v>107</v>
      </c>
      <c r="AE106" s="9" t="s">
        <v>191</v>
      </c>
      <c r="AF106" s="10"/>
      <c r="AG106" s="10"/>
      <c r="AH106" s="9"/>
      <c r="AI106" s="9" t="s">
        <v>377</v>
      </c>
      <c r="AJ106" s="9" t="s">
        <v>8</v>
      </c>
      <c r="AK106" s="10">
        <v>45518</v>
      </c>
      <c r="AL106" s="10">
        <v>45524</v>
      </c>
      <c r="AM106" s="10">
        <v>45526</v>
      </c>
      <c r="AN106" s="9" t="s">
        <v>95</v>
      </c>
      <c r="AO106" s="9"/>
      <c r="AP106" s="11">
        <f>IF($H106="Cancelled","",IFERROR(IF(OR(AK106="",AB106=""),"",(AB106+Variables!$B$18-AK106)),""))</f>
        <v>-7</v>
      </c>
      <c r="AQ106" s="11">
        <f>IF($H106="Cancelled","",IFERROR(IF(OR(AM106="",AK106=""),"",(AK106+Variables!$B$19)-AM106),""))</f>
        <v>-3</v>
      </c>
      <c r="AR106" s="12">
        <f>IF($H106="Cancelled","",IFERROR(T106*INDEX(Variables!$B$7:$D$7,IFERROR(MATCH(IF($B106="Robusta","Robusta",(IF($B106="","Arabica",$B106))&amp;" - "&amp;(IF($C106="","Commercial",$C106))),Variables!$B$1:$D$1,0),1))*(AQ106/365),""))</f>
        <v>-366.88781387081121</v>
      </c>
      <c r="AS106" s="12">
        <f>IF($H106="Cancelled","",IFERROR((T106*INDEX(Variables!$B$7:$D$7,IFERROR(MATCH(IF($B106="Robusta","Robusta",(IF($B106="","Arabica",$B106))&amp;" - "&amp;(IF($C106="","Commercial",$C106))),Variables!$B$1:$D$1,0),1))*IFERROR(IF(W106="","",(AVERAGE(E106:F106)-W106)-Variables!$B$14),"")/365)+(L106/16.67*INDEX(Variables!$B$8:$D$8,IFERROR(MATCH(IF($B106="Robusta","Robusta",(IF($B106="","Arabica",$B106))&amp;" - "&amp;(IF($C106="","Commercial",$C106))),Variables!$B$1:$D$1,0),1))*IFERROR(IF(W106="","",(AVERAGE(E106:F106)-W106)-Variables!$B$14),""))+(T106*INDEX(Variables!$B$9:$D$9,IFERROR(MATCH(IF($B106="Robusta","Robusta",(IF($B106="","Arabica",$B106))&amp;" - "&amp;(IF($C106="","Commercial",$C106))),Variables!$B$1:$D$1,0),1))*IFERROR(IF(W106="","",(AVERAGE(E106:F106)-W106)-Variables!$B$14),"")/365),""))</f>
        <v>4277.4513722392876</v>
      </c>
      <c r="AT106" s="12">
        <f>IF($H106="Cancelled","",IFERROR((T106*INDEX(Variables!$B$7:$D$7,IFERROR(MATCH(IF($B106="Robusta","Robusta",(IF($B106="","Arabica",$B106))&amp;" - "&amp;(IF($C106="","Commercial",$C106))),Variables!$B$1:$D$1,0),1))*AC106/365)+(L106/16.67*INDEX(Variables!$B$8:$D$8,IFERROR(MATCH(IF($B106="Robusta","Robusta",(IF($B106="","Arabica",$B106))&amp;" - "&amp;(IF($C106="","Commercial",$C106))),Variables!$B$1:$D$1,0),1))*AC106)+(T106*INDEX(Variables!$B$9:$D$9,IFERROR(MATCH(IF($B106="Robusta","Robusta",(IF($B106="","Arabica",$B106))&amp;" - "&amp;(IF($C106="","Commercial",$C106))),Variables!$B$1:$D$1,0),1))*AC106/365),""))</f>
        <v>-5560.6867839110737</v>
      </c>
      <c r="AU106" s="12">
        <f>IF($H106="Cancelled","",IFERROR((T106*INDEX(Variables!$B$7:$D$7,IFERROR(MATCH(IF($B106="Robusta","Robusta",(IF($B106="","Arabica",$B106))&amp;" - "&amp;(IF($C106="","Commercial",$C106))),Variables!$B$1:$D$1,0),1))*AP106/365)+(L106/16.67*INDEX(Variables!$B$8:$D$8,IFERROR(MATCH(IF($B106="Robusta","Robusta",(IF($B106="","Arabica",$B106))&amp;" - "&amp;(IF($C106="","Commercial",$C106))),Variables!$B$1:$D$1,0),1))*AP106)+(T106*INDEX(Variables!$B$9:$D$9,IFERROR(MATCH(IF($B106="Robusta","Robusta",(IF($B106="","Arabica",$B106))&amp;" - "&amp;(IF($C106="","Commercial",$C106))),Variables!$B$1:$D$1,0),1))*AP106/365),""))</f>
        <v>-1497.1079802837505</v>
      </c>
      <c r="AV106" s="11">
        <f t="shared" si="9"/>
        <v>17</v>
      </c>
      <c r="AW106" s="12">
        <f>IF($H106="Cancelled","",IFERROR(IF(AV106="","",(T106*INDEX(Variables!$B$7:$D$7,IFERROR(MATCH(IF($B106="Robusta","Robusta",(IF($B106="","Arabica",$B106))&amp;" - "&amp;(IF($C106="","Commercial",$C106))),Variables!$B$1:$D$1,0),1))*(AV106/365))+(T106*INDEX(Variables!$B$9:$D$9,IFERROR(MATCH(IF($B106="Robusta","Robusta",(IF($B106="","Arabica",$B106))&amp;" - "&amp;(IF($C106="","Commercial",$C106))),Variables!$B$1:$D$1,0),1))*(AV106/365))+(INDEX(Variables!$B$8:$D$8,IFERROR(MATCH(IF($B106="Robusta","Robusta",(IF($B106="","Arabica",$B106))&amp;" - "&amp;(IF($C106="","Commercial",$C106))),Variables!$B$1:$D$1,0),1))*L106/16.67)),""))</f>
        <v>2195.8336664033945</v>
      </c>
      <c r="AX106" s="9"/>
      <c r="AY106" s="12"/>
      <c r="AZ106" s="10"/>
      <c r="BA106" s="9"/>
      <c r="BB106" s="10"/>
      <c r="BC106" s="9"/>
      <c r="BD106" s="9"/>
      <c r="BE106" s="9"/>
      <c r="BF106" s="9"/>
    </row>
    <row r="107" spans="1:58" x14ac:dyDescent="0.25">
      <c r="A107" s="9" t="s">
        <v>84</v>
      </c>
      <c r="B107" s="9" t="s">
        <v>85</v>
      </c>
      <c r="C107" s="9" t="s">
        <v>86</v>
      </c>
      <c r="D107" s="10">
        <v>45372</v>
      </c>
      <c r="E107" s="10">
        <v>45383</v>
      </c>
      <c r="F107" s="10">
        <v>45412</v>
      </c>
      <c r="G107" s="9">
        <v>3786234</v>
      </c>
      <c r="H107" s="9" t="str">
        <f t="shared" si="7"/>
        <v>Closed</v>
      </c>
      <c r="I107" s="9" t="str">
        <f t="shared" si="8"/>
        <v>All dates received</v>
      </c>
      <c r="J107" s="9" t="s">
        <v>87</v>
      </c>
      <c r="K107" s="9">
        <v>4836</v>
      </c>
      <c r="L107" s="11">
        <v>320</v>
      </c>
      <c r="M107" s="9" t="s">
        <v>378</v>
      </c>
      <c r="N107" s="9" t="s">
        <v>379</v>
      </c>
      <c r="O107" s="9"/>
      <c r="P107" s="9"/>
      <c r="Q107" s="11"/>
      <c r="R107" s="9" t="s">
        <v>90</v>
      </c>
      <c r="S107" s="9" t="s">
        <v>123</v>
      </c>
      <c r="T107" s="12">
        <f>IF($H107="Cancelled","",IFERROR(((Q107+INDEX(Variables!$B$6:$D$6,IFERROR(MATCH(IF($B107="Robusta","Robusta",(IF($B107="","Arabica",$B107))&amp;" - "&amp;(IF($C107="","Commercial",$C107))),Variables!$B$1:$D$1,0),1)))*22.0462)*(L107/16.67),""))</f>
        <v>123067.25778044391</v>
      </c>
      <c r="U107" s="10">
        <v>45373</v>
      </c>
      <c r="V107" s="9" t="str">
        <f t="shared" si="11"/>
        <v>Sent</v>
      </c>
      <c r="W107" s="10">
        <v>45384</v>
      </c>
      <c r="X107" s="9" t="str">
        <f t="shared" si="12"/>
        <v>Approved</v>
      </c>
      <c r="Y107" s="10"/>
      <c r="Z107" s="10">
        <f>IF($H107="Cancelled","",IFERROR(IF(F107="","",F107-Variables!$B$13),""))</f>
        <v>45397</v>
      </c>
      <c r="AA107" s="11">
        <f>IF($H107="Cancelled","",IFERROR(IF(W107="","",(AVERAGE(E107:F107)-W107)-Variables!$B$14),""))</f>
        <v>-16.5</v>
      </c>
      <c r="AB107" s="10">
        <v>45504</v>
      </c>
      <c r="AC107" s="11">
        <f>IF($H107="Cancelled","",IFERROR(IF(AB107="","",IF(AND(W107="",Y107=""),"",IF(Y107&gt;W107,Y107+Variables!$B$15+Variables!$B$16+Variables!$B$17-AB107,W107+Variables!$B$16+Variables!$B$17-AB107))),""))</f>
        <v>-112</v>
      </c>
      <c r="AD107" s="9" t="s">
        <v>92</v>
      </c>
      <c r="AE107" s="9" t="s">
        <v>93</v>
      </c>
      <c r="AF107" s="10"/>
      <c r="AG107" s="10"/>
      <c r="AH107" s="9"/>
      <c r="AI107" s="9" t="s">
        <v>380</v>
      </c>
      <c r="AJ107" s="9">
        <v>9148513776</v>
      </c>
      <c r="AK107" s="10">
        <v>45413</v>
      </c>
      <c r="AL107" s="10">
        <v>45415</v>
      </c>
      <c r="AM107" s="10">
        <v>45428</v>
      </c>
      <c r="AN107" s="9" t="s">
        <v>95</v>
      </c>
      <c r="AO107" s="9"/>
      <c r="AP107" s="11">
        <f>IF($H107="Cancelled","",IFERROR(IF(OR(AK107="",AB107=""),"",(AB107+Variables!$B$18-AK107)),""))</f>
        <v>98</v>
      </c>
      <c r="AQ107" s="11">
        <f>IF($H107="Cancelled","",IFERROR(IF(OR(AM107="",AK107=""),"",(AK107+Variables!$B$19)-AM107),""))</f>
        <v>-10</v>
      </c>
      <c r="AR107" s="12">
        <f>IF($H107="Cancelled","",IFERROR(T107*INDEX(Variables!$B$7:$D$7,IFERROR(MATCH(IF($B107="Robusta","Robusta",(IF($B107="","Arabica",$B107))&amp;" - "&amp;(IF($C107="","Commercial",$C107))),Variables!$B$1:$D$1,0),1))*(AQ107/365),""))</f>
        <v>-217.41500081233261</v>
      </c>
      <c r="AS107" s="12">
        <f>IF($H107="Cancelled","",IFERROR((T107*INDEX(Variables!$B$7:$D$7,IFERROR(MATCH(IF($B107="Robusta","Robusta",(IF($B107="","Arabica",$B107))&amp;" - "&amp;(IF($C107="","Commercial",$C107))),Variables!$B$1:$D$1,0),1))*IFERROR(IF(W107="","",(AVERAGE(E107:F107)-W107)-Variables!$B$14),"")/365)+(L107/16.67*INDEX(Variables!$B$8:$D$8,IFERROR(MATCH(IF($B107="Robusta","Robusta",(IF($B107="","Arabica",$B107))&amp;" - "&amp;(IF($C107="","Commercial",$C107))),Variables!$B$1:$D$1,0),1))*IFERROR(IF(W107="","",(AVERAGE(E107:F107)-W107)-Variables!$B$14),""))+(T107*INDEX(Variables!$B$9:$D$9,IFERROR(MATCH(IF($B107="Robusta","Robusta",(IF($B107="","Arabica",$B107))&amp;" - "&amp;(IF($C107="","Commercial",$C107))),Variables!$B$1:$D$1,0),1))*IFERROR(IF(W107="","",(AVERAGE(E107:F107)-W107)-Variables!$B$14),"")/365),""))</f>
        <v>-627.35953459509551</v>
      </c>
      <c r="AT107" s="12">
        <f>IF($H107="Cancelled","",IFERROR((T107*INDEX(Variables!$B$7:$D$7,IFERROR(MATCH(IF($B107="Robusta","Robusta",(IF($B107="","Arabica",$B107))&amp;" - "&amp;(IF($C107="","Commercial",$C107))),Variables!$B$1:$D$1,0),1))*AC107/365)+(L107/16.67*INDEX(Variables!$B$8:$D$8,IFERROR(MATCH(IF($B107="Robusta","Robusta",(IF($B107="","Arabica",$B107))&amp;" - "&amp;(IF($C107="","Commercial",$C107))),Variables!$B$1:$D$1,0),1))*AC107)+(T107*INDEX(Variables!$B$9:$D$9,IFERROR(MATCH(IF($B107="Robusta","Robusta",(IF($B107="","Arabica",$B107))&amp;" - "&amp;(IF($C107="","Commercial",$C107))),Variables!$B$1:$D$1,0),1))*AC107/365),""))</f>
        <v>-4258.4404772515581</v>
      </c>
      <c r="AU107" s="12">
        <f>IF($H107="Cancelled","",IFERROR((T107*INDEX(Variables!$B$7:$D$7,IFERROR(MATCH(IF($B107="Robusta","Robusta",(IF($B107="","Arabica",$B107))&amp;" - "&amp;(IF($C107="","Commercial",$C107))),Variables!$B$1:$D$1,0),1))*AP107/365)+(L107/16.67*INDEX(Variables!$B$8:$D$8,IFERROR(MATCH(IF($B107="Robusta","Robusta",(IF($B107="","Arabica",$B107))&amp;" - "&amp;(IF($C107="","Commercial",$C107))),Variables!$B$1:$D$1,0),1))*AP107)+(T107*INDEX(Variables!$B$9:$D$9,IFERROR(MATCH(IF($B107="Robusta","Robusta",(IF($B107="","Arabica",$B107))&amp;" - "&amp;(IF($C107="","Commercial",$C107))),Variables!$B$1:$D$1,0),1))*AP107/365),""))</f>
        <v>3726.1354175951128</v>
      </c>
      <c r="AV107" s="11">
        <f t="shared" si="9"/>
        <v>-1</v>
      </c>
      <c r="AW107" s="12">
        <f>IF($H107="Cancelled","",IFERROR(IF(AV107="","",(T107*INDEX(Variables!$B$7:$D$7,IFERROR(MATCH(IF($B107="Robusta","Robusta",(IF($B107="","Arabica",$B107))&amp;" - "&amp;(IF($C107="","Commercial",$C107))),Variables!$B$1:$D$1,0),1))*(AV107/365))+(T107*INDEX(Variables!$B$9:$D$9,IFERROR(MATCH(IF($B107="Robusta","Robusta",(IF($B107="","Arabica",$B107))&amp;" - "&amp;(IF($C107="","Commercial",$C107))),Variables!$B$1:$D$1,0),1))*(AV107/365))+(INDEX(Variables!$B$8:$D$8,IFERROR(MATCH(IF($B107="Robusta","Robusta",(IF($B107="","Arabica",$B107))&amp;" - "&amp;(IF($C107="","Commercial",$C107))),Variables!$B$1:$D$1,0),1))*L107/16.67)),""))</f>
        <v>-6.0217899754603401</v>
      </c>
      <c r="AX107" s="9"/>
      <c r="AY107" s="12"/>
      <c r="AZ107" s="10"/>
      <c r="BA107" s="9"/>
      <c r="BB107" s="10"/>
      <c r="BC107" s="9"/>
      <c r="BD107" s="9"/>
      <c r="BE107" s="9"/>
      <c r="BF107" s="9"/>
    </row>
    <row r="108" spans="1:58" x14ac:dyDescent="0.25">
      <c r="A108" s="9" t="s">
        <v>84</v>
      </c>
      <c r="B108" s="9" t="s">
        <v>85</v>
      </c>
      <c r="C108" s="9" t="s">
        <v>86</v>
      </c>
      <c r="D108" s="10">
        <v>45372</v>
      </c>
      <c r="E108" s="10">
        <v>45383</v>
      </c>
      <c r="F108" s="10">
        <v>45412</v>
      </c>
      <c r="G108" s="9">
        <v>3786248</v>
      </c>
      <c r="H108" s="9" t="str">
        <f t="shared" si="7"/>
        <v>Closed</v>
      </c>
      <c r="I108" s="9" t="str">
        <f t="shared" si="8"/>
        <v>All dates received</v>
      </c>
      <c r="J108" s="9" t="s">
        <v>87</v>
      </c>
      <c r="K108" s="9">
        <v>4855</v>
      </c>
      <c r="L108" s="11">
        <v>320</v>
      </c>
      <c r="M108" s="9" t="s">
        <v>378</v>
      </c>
      <c r="N108" s="9" t="s">
        <v>379</v>
      </c>
      <c r="O108" s="9"/>
      <c r="P108" s="9"/>
      <c r="Q108" s="11"/>
      <c r="R108" s="9" t="s">
        <v>90</v>
      </c>
      <c r="S108" s="9" t="s">
        <v>91</v>
      </c>
      <c r="T108" s="12">
        <f>IF($H108="Cancelled","",IFERROR(((Q108+INDEX(Variables!$B$6:$D$6,IFERROR(MATCH(IF($B108="Robusta","Robusta",(IF($B108="","Arabica",$B108))&amp;" - "&amp;(IF($C108="","Commercial",$C108))),Variables!$B$1:$D$1,0),1)))*22.0462)*(L108/16.67),""))</f>
        <v>123067.25778044391</v>
      </c>
      <c r="U108" s="10">
        <v>45386</v>
      </c>
      <c r="V108" s="9" t="str">
        <f t="shared" si="11"/>
        <v>Sent</v>
      </c>
      <c r="W108" s="10">
        <v>45394</v>
      </c>
      <c r="X108" s="9" t="str">
        <f t="shared" si="12"/>
        <v>Approved</v>
      </c>
      <c r="Y108" s="10"/>
      <c r="Z108" s="10">
        <f>IF($H108="Cancelled","",IFERROR(IF(F108="","",F108-Variables!$B$13),""))</f>
        <v>45397</v>
      </c>
      <c r="AA108" s="11">
        <f>IF($H108="Cancelled","",IFERROR(IF(W108="","",(AVERAGE(E108:F108)-W108)-Variables!$B$14),""))</f>
        <v>-26.5</v>
      </c>
      <c r="AB108" s="10">
        <v>45504</v>
      </c>
      <c r="AC108" s="11">
        <f>IF($H108="Cancelled","",IFERROR(IF(AB108="","",IF(AND(W108="",Y108=""),"",IF(Y108&gt;W108,Y108+Variables!$B$15+Variables!$B$16+Variables!$B$17-AB108,W108+Variables!$B$16+Variables!$B$17-AB108))),""))</f>
        <v>-102</v>
      </c>
      <c r="AD108" s="9" t="s">
        <v>92</v>
      </c>
      <c r="AE108" s="9" t="s">
        <v>93</v>
      </c>
      <c r="AF108" s="10"/>
      <c r="AG108" s="10"/>
      <c r="AH108" s="9"/>
      <c r="AI108" s="9" t="s">
        <v>381</v>
      </c>
      <c r="AJ108" s="9">
        <v>9148513776</v>
      </c>
      <c r="AK108" s="10">
        <v>45413</v>
      </c>
      <c r="AL108" s="10">
        <v>45415</v>
      </c>
      <c r="AM108" s="10">
        <v>45428</v>
      </c>
      <c r="AN108" s="9" t="s">
        <v>95</v>
      </c>
      <c r="AO108" s="9"/>
      <c r="AP108" s="11">
        <f>IF($H108="Cancelled","",IFERROR(IF(OR(AK108="",AB108=""),"",(AB108+Variables!$B$18-AK108)),""))</f>
        <v>98</v>
      </c>
      <c r="AQ108" s="11">
        <f>IF($H108="Cancelled","",IFERROR(IF(OR(AM108="",AK108=""),"",(AK108+Variables!$B$19)-AM108),""))</f>
        <v>-10</v>
      </c>
      <c r="AR108" s="12">
        <f>IF($H108="Cancelled","",IFERROR(T108*INDEX(Variables!$B$7:$D$7,IFERROR(MATCH(IF($B108="Robusta","Robusta",(IF($B108="","Arabica",$B108))&amp;" - "&amp;(IF($C108="","Commercial",$C108))),Variables!$B$1:$D$1,0),1))*(AQ108/365),""))</f>
        <v>-217.41500081233261</v>
      </c>
      <c r="AS108" s="12">
        <f>IF($H108="Cancelled","",IFERROR((T108*INDEX(Variables!$B$7:$D$7,IFERROR(MATCH(IF($B108="Robusta","Robusta",(IF($B108="","Arabica",$B108))&amp;" - "&amp;(IF($C108="","Commercial",$C108))),Variables!$B$1:$D$1,0),1))*IFERROR(IF(W108="","",(AVERAGE(E108:F108)-W108)-Variables!$B$14),"")/365)+(L108/16.67*INDEX(Variables!$B$8:$D$8,IFERROR(MATCH(IF($B108="Robusta","Robusta",(IF($B108="","Arabica",$B108))&amp;" - "&amp;(IF($C108="","Commercial",$C108))),Variables!$B$1:$D$1,0),1))*IFERROR(IF(W108="","",(AVERAGE(E108:F108)-W108)-Variables!$B$14),""))+(T108*INDEX(Variables!$B$9:$D$9,IFERROR(MATCH(IF($B108="Robusta","Robusta",(IF($B108="","Arabica",$B108))&amp;" - "&amp;(IF($C108="","Commercial",$C108))),Variables!$B$1:$D$1,0),1))*IFERROR(IF(W108="","",(AVERAGE(E108:F108)-W108)-Variables!$B$14),"")/365),""))</f>
        <v>-1007.577434349699</v>
      </c>
      <c r="AT108" s="12">
        <f>IF($H108="Cancelled","",IFERROR((T108*INDEX(Variables!$B$7:$D$7,IFERROR(MATCH(IF($B108="Robusta","Robusta",(IF($B108="","Arabica",$B108))&amp;" - "&amp;(IF($C108="","Commercial",$C108))),Variables!$B$1:$D$1,0),1))*AC108/365)+(L108/16.67*INDEX(Variables!$B$8:$D$8,IFERROR(MATCH(IF($B108="Robusta","Robusta",(IF($B108="","Arabica",$B108))&amp;" - "&amp;(IF($C108="","Commercial",$C108))),Variables!$B$1:$D$1,0),1))*AC108)+(T108*INDEX(Variables!$B$9:$D$9,IFERROR(MATCH(IF($B108="Robusta","Robusta",(IF($B108="","Arabica",$B108))&amp;" - "&amp;(IF($C108="","Commercial",$C108))),Variables!$B$1:$D$1,0),1))*AC108/365),""))</f>
        <v>-3878.2225774969543</v>
      </c>
      <c r="AU108" s="12">
        <f>IF($H108="Cancelled","",IFERROR((T108*INDEX(Variables!$B$7:$D$7,IFERROR(MATCH(IF($B108="Robusta","Robusta",(IF($B108="","Arabica",$B108))&amp;" - "&amp;(IF($C108="","Commercial",$C108))),Variables!$B$1:$D$1,0),1))*AP108/365)+(L108/16.67*INDEX(Variables!$B$8:$D$8,IFERROR(MATCH(IF($B108="Robusta","Robusta",(IF($B108="","Arabica",$B108))&amp;" - "&amp;(IF($C108="","Commercial",$C108))),Variables!$B$1:$D$1,0),1))*AP108)+(T108*INDEX(Variables!$B$9:$D$9,IFERROR(MATCH(IF($B108="Robusta","Robusta",(IF($B108="","Arabica",$B108))&amp;" - "&amp;(IF($C108="","Commercial",$C108))),Variables!$B$1:$D$1,0),1))*AP108/365),""))</f>
        <v>3726.1354175951128</v>
      </c>
      <c r="AV108" s="11">
        <f t="shared" si="9"/>
        <v>-1</v>
      </c>
      <c r="AW108" s="12">
        <f>IF($H108="Cancelled","",IFERROR(IF(AV108="","",(T108*INDEX(Variables!$B$7:$D$7,IFERROR(MATCH(IF($B108="Robusta","Robusta",(IF($B108="","Arabica",$B108))&amp;" - "&amp;(IF($C108="","Commercial",$C108))),Variables!$B$1:$D$1,0),1))*(AV108/365))+(T108*INDEX(Variables!$B$9:$D$9,IFERROR(MATCH(IF($B108="Robusta","Robusta",(IF($B108="","Arabica",$B108))&amp;" - "&amp;(IF($C108="","Commercial",$C108))),Variables!$B$1:$D$1,0),1))*(AV108/365))+(INDEX(Variables!$B$8:$D$8,IFERROR(MATCH(IF($B108="Robusta","Robusta",(IF($B108="","Arabica",$B108))&amp;" - "&amp;(IF($C108="","Commercial",$C108))),Variables!$B$1:$D$1,0),1))*L108/16.67)),""))</f>
        <v>-6.0217899754603401</v>
      </c>
      <c r="AX108" s="9"/>
      <c r="AY108" s="12"/>
      <c r="AZ108" s="10"/>
      <c r="BA108" s="9"/>
      <c r="BB108" s="10"/>
      <c r="BC108" s="9"/>
      <c r="BD108" s="9"/>
      <c r="BE108" s="9"/>
      <c r="BF108" s="9"/>
    </row>
    <row r="109" spans="1:58" x14ac:dyDescent="0.25">
      <c r="A109" s="9" t="s">
        <v>84</v>
      </c>
      <c r="B109" s="9" t="s">
        <v>85</v>
      </c>
      <c r="C109" s="9" t="s">
        <v>86</v>
      </c>
      <c r="D109" s="10">
        <v>45372</v>
      </c>
      <c r="E109" s="10">
        <v>45413</v>
      </c>
      <c r="F109" s="10">
        <v>45443</v>
      </c>
      <c r="G109" s="9">
        <v>3786235</v>
      </c>
      <c r="H109" s="9" t="str">
        <f t="shared" si="7"/>
        <v>Closed</v>
      </c>
      <c r="I109" s="9" t="str">
        <f t="shared" si="8"/>
        <v>All dates received</v>
      </c>
      <c r="J109" s="9" t="s">
        <v>87</v>
      </c>
      <c r="K109" s="9">
        <v>4856</v>
      </c>
      <c r="L109" s="11">
        <v>320</v>
      </c>
      <c r="M109" s="9" t="s">
        <v>378</v>
      </c>
      <c r="N109" s="9" t="s">
        <v>379</v>
      </c>
      <c r="O109" s="9"/>
      <c r="P109" s="9"/>
      <c r="Q109" s="11"/>
      <c r="R109" s="9" t="s">
        <v>90</v>
      </c>
      <c r="S109" s="9" t="s">
        <v>91</v>
      </c>
      <c r="T109" s="12">
        <f>IF($H109="Cancelled","",IFERROR(((Q109+INDEX(Variables!$B$6:$D$6,IFERROR(MATCH(IF($B109="Robusta","Robusta",(IF($B109="","Arabica",$B109))&amp;" - "&amp;(IF($C109="","Commercial",$C109))),Variables!$B$1:$D$1,0),1)))*22.0462)*(L109/16.67),""))</f>
        <v>123067.25778044391</v>
      </c>
      <c r="U109" s="10">
        <v>45386</v>
      </c>
      <c r="V109" s="9" t="str">
        <f t="shared" si="11"/>
        <v>Sent</v>
      </c>
      <c r="W109" s="10">
        <v>45394</v>
      </c>
      <c r="X109" s="9" t="str">
        <f t="shared" si="12"/>
        <v>Approved</v>
      </c>
      <c r="Y109" s="10"/>
      <c r="Z109" s="10">
        <f>IF($H109="Cancelled","",IFERROR(IF(F109="","",F109-Variables!$B$13),""))</f>
        <v>45428</v>
      </c>
      <c r="AA109" s="11">
        <f>IF($H109="Cancelled","",IFERROR(IF(W109="","",(AVERAGE(E109:F109)-W109)-Variables!$B$14),""))</f>
        <v>4</v>
      </c>
      <c r="AB109" s="10">
        <v>45504</v>
      </c>
      <c r="AC109" s="11">
        <f>IF($H109="Cancelled","",IFERROR(IF(AB109="","",IF(AND(W109="",Y109=""),"",IF(Y109&gt;W109,Y109+Variables!$B$15+Variables!$B$16+Variables!$B$17-AB109,W109+Variables!$B$16+Variables!$B$17-AB109))),""))</f>
        <v>-102</v>
      </c>
      <c r="AD109" s="9" t="s">
        <v>92</v>
      </c>
      <c r="AE109" s="9" t="s">
        <v>254</v>
      </c>
      <c r="AF109" s="10"/>
      <c r="AG109" s="10"/>
      <c r="AH109" s="9"/>
      <c r="AI109" s="9" t="s">
        <v>382</v>
      </c>
      <c r="AJ109" s="9" t="s">
        <v>256</v>
      </c>
      <c r="AK109" s="10">
        <v>45429</v>
      </c>
      <c r="AL109" s="10">
        <v>45432</v>
      </c>
      <c r="AM109" s="10">
        <v>45440</v>
      </c>
      <c r="AN109" s="9" t="s">
        <v>95</v>
      </c>
      <c r="AO109" s="9"/>
      <c r="AP109" s="11">
        <f>IF($H109="Cancelled","",IFERROR(IF(OR(AK109="",AB109=""),"",(AB109+Variables!$B$18-AK109)),""))</f>
        <v>82</v>
      </c>
      <c r="AQ109" s="11">
        <f>IF($H109="Cancelled","",IFERROR(IF(OR(AM109="",AK109=""),"",(AK109+Variables!$B$19)-AM109),""))</f>
        <v>-6</v>
      </c>
      <c r="AR109" s="12">
        <f>IF($H109="Cancelled","",IFERROR(T109*INDEX(Variables!$B$7:$D$7,IFERROR(MATCH(IF($B109="Robusta","Robusta",(IF($B109="","Arabica",$B109))&amp;" - "&amp;(IF($C109="","Commercial",$C109))),Variables!$B$1:$D$1,0),1))*(AQ109/365),""))</f>
        <v>-130.44900048739956</v>
      </c>
      <c r="AS109" s="12">
        <f>IF($H109="Cancelled","",IFERROR((T109*INDEX(Variables!$B$7:$D$7,IFERROR(MATCH(IF($B109="Robusta","Robusta",(IF($B109="","Arabica",$B109))&amp;" - "&amp;(IF($C109="","Commercial",$C109))),Variables!$B$1:$D$1,0),1))*IFERROR(IF(W109="","",(AVERAGE(E109:F109)-W109)-Variables!$B$14),"")/365)+(L109/16.67*INDEX(Variables!$B$8:$D$8,IFERROR(MATCH(IF($B109="Robusta","Robusta",(IF($B109="","Arabica",$B109))&amp;" - "&amp;(IF($C109="","Commercial",$C109))),Variables!$B$1:$D$1,0),1))*IFERROR(IF(W109="","",(AVERAGE(E109:F109)-W109)-Variables!$B$14),""))+(T109*INDEX(Variables!$B$9:$D$9,IFERROR(MATCH(IF($B109="Robusta","Robusta",(IF($B109="","Arabica",$B109))&amp;" - "&amp;(IF($C109="","Commercial",$C109))),Variables!$B$1:$D$1,0),1))*IFERROR(IF(W109="","",(AVERAGE(E109:F109)-W109)-Variables!$B$14),"")/365),""))</f>
        <v>152.08715990184135</v>
      </c>
      <c r="AT109" s="12">
        <f>IF($H109="Cancelled","",IFERROR((T109*INDEX(Variables!$B$7:$D$7,IFERROR(MATCH(IF($B109="Robusta","Robusta",(IF($B109="","Arabica",$B109))&amp;" - "&amp;(IF($C109="","Commercial",$C109))),Variables!$B$1:$D$1,0),1))*AC109/365)+(L109/16.67*INDEX(Variables!$B$8:$D$8,IFERROR(MATCH(IF($B109="Robusta","Robusta",(IF($B109="","Arabica",$B109))&amp;" - "&amp;(IF($C109="","Commercial",$C109))),Variables!$B$1:$D$1,0),1))*AC109)+(T109*INDEX(Variables!$B$9:$D$9,IFERROR(MATCH(IF($B109="Robusta","Robusta",(IF($B109="","Arabica",$B109))&amp;" - "&amp;(IF($C109="","Commercial",$C109))),Variables!$B$1:$D$1,0),1))*AC109/365),""))</f>
        <v>-3878.2225774969543</v>
      </c>
      <c r="AU109" s="12">
        <f>IF($H109="Cancelled","",IFERROR((T109*INDEX(Variables!$B$7:$D$7,IFERROR(MATCH(IF($B109="Robusta","Robusta",(IF($B109="","Arabica",$B109))&amp;" - "&amp;(IF($C109="","Commercial",$C109))),Variables!$B$1:$D$1,0),1))*AP109/365)+(L109/16.67*INDEX(Variables!$B$8:$D$8,IFERROR(MATCH(IF($B109="Robusta","Robusta",(IF($B109="","Arabica",$B109))&amp;" - "&amp;(IF($C109="","Commercial",$C109))),Variables!$B$1:$D$1,0),1))*AP109)+(T109*INDEX(Variables!$B$9:$D$9,IFERROR(MATCH(IF($B109="Robusta","Robusta",(IF($B109="","Arabica",$B109))&amp;" - "&amp;(IF($C109="","Commercial",$C109))),Variables!$B$1:$D$1,0),1))*AP109/365),""))</f>
        <v>3117.7867779877474</v>
      </c>
      <c r="AV109" s="11">
        <f t="shared" si="9"/>
        <v>14</v>
      </c>
      <c r="AW109" s="12">
        <f>IF($H109="Cancelled","",IFERROR(IF(AV109="","",(T109*INDEX(Variables!$B$7:$D$7,IFERROR(MATCH(IF($B109="Robusta","Robusta",(IF($B109="","Arabica",$B109))&amp;" - "&amp;(IF($C109="","Commercial",$C109))),Variables!$B$1:$D$1,0),1))*(AV109/365))+(T109*INDEX(Variables!$B$9:$D$9,IFERROR(MATCH(IF($B109="Robusta","Robusta",(IF($B109="","Arabica",$B109))&amp;" - "&amp;(IF($C109="","Commercial",$C109))),Variables!$B$1:$D$1,0),1))*(AV109/365))+(INDEX(Variables!$B$8:$D$8,IFERROR(MATCH(IF($B109="Robusta","Robusta",(IF($B109="","Arabica",$B109))&amp;" - "&amp;(IF($C109="","Commercial",$C109))),Variables!$B$1:$D$1,0),1))*L109/16.67)),""))</f>
        <v>324.30505965644477</v>
      </c>
      <c r="AX109" s="9"/>
      <c r="AY109" s="12"/>
      <c r="AZ109" s="10"/>
      <c r="BA109" s="9"/>
      <c r="BB109" s="10"/>
      <c r="BC109" s="9"/>
      <c r="BD109" s="9"/>
      <c r="BE109" s="9"/>
      <c r="BF109" s="9"/>
    </row>
    <row r="110" spans="1:58" x14ac:dyDescent="0.25">
      <c r="A110" s="9" t="s">
        <v>84</v>
      </c>
      <c r="B110" s="9" t="s">
        <v>85</v>
      </c>
      <c r="C110" s="9" t="s">
        <v>86</v>
      </c>
      <c r="D110" s="10">
        <v>45372</v>
      </c>
      <c r="E110" s="10">
        <v>45444</v>
      </c>
      <c r="F110" s="10">
        <v>45473</v>
      </c>
      <c r="G110" s="9">
        <v>3786236</v>
      </c>
      <c r="H110" s="9" t="str">
        <f t="shared" si="7"/>
        <v>Closed</v>
      </c>
      <c r="I110" s="9" t="str">
        <f t="shared" si="8"/>
        <v>All dates received</v>
      </c>
      <c r="J110" s="9" t="s">
        <v>87</v>
      </c>
      <c r="K110" s="9">
        <v>4954</v>
      </c>
      <c r="L110" s="11">
        <v>320</v>
      </c>
      <c r="M110" s="9" t="s">
        <v>378</v>
      </c>
      <c r="N110" s="9" t="s">
        <v>379</v>
      </c>
      <c r="O110" s="9"/>
      <c r="P110" s="9"/>
      <c r="Q110" s="11"/>
      <c r="R110" s="9" t="s">
        <v>90</v>
      </c>
      <c r="S110" s="9" t="s">
        <v>91</v>
      </c>
      <c r="T110" s="12">
        <f>IF($H110="Cancelled","",IFERROR(((Q110+INDEX(Variables!$B$6:$D$6,IFERROR(MATCH(IF($B110="Robusta","Robusta",(IF($B110="","Arabica",$B110))&amp;" - "&amp;(IF($C110="","Commercial",$C110))),Variables!$B$1:$D$1,0),1)))*22.0462)*(L110/16.67),""))</f>
        <v>123067.25778044391</v>
      </c>
      <c r="U110" s="10">
        <v>45411</v>
      </c>
      <c r="V110" s="9" t="str">
        <f t="shared" si="11"/>
        <v>Sent</v>
      </c>
      <c r="W110" s="10">
        <v>45421</v>
      </c>
      <c r="X110" s="9" t="str">
        <f t="shared" si="12"/>
        <v>Approved</v>
      </c>
      <c r="Y110" s="10"/>
      <c r="Z110" s="10">
        <f>IF($H110="Cancelled","",IFERROR(IF(F110="","",F110-Variables!$B$13),""))</f>
        <v>45458</v>
      </c>
      <c r="AA110" s="11">
        <f>IF($H110="Cancelled","",IFERROR(IF(W110="","",(AVERAGE(E110:F110)-W110)-Variables!$B$14),""))</f>
        <v>7.5</v>
      </c>
      <c r="AB110" s="10">
        <v>45504</v>
      </c>
      <c r="AC110" s="11">
        <f>IF($H110="Cancelled","",IFERROR(IF(AB110="","",IF(AND(W110="",Y110=""),"",IF(Y110&gt;W110,Y110+Variables!$B$15+Variables!$B$16+Variables!$B$17-AB110,W110+Variables!$B$16+Variables!$B$17-AB110))),""))</f>
        <v>-75</v>
      </c>
      <c r="AD110" s="9" t="s">
        <v>92</v>
      </c>
      <c r="AE110" s="9" t="s">
        <v>134</v>
      </c>
      <c r="AF110" s="10"/>
      <c r="AG110" s="10"/>
      <c r="AH110" s="9"/>
      <c r="AI110" s="9" t="s">
        <v>383</v>
      </c>
      <c r="AJ110" s="9" t="s">
        <v>136</v>
      </c>
      <c r="AK110" s="10">
        <v>45462</v>
      </c>
      <c r="AL110" s="10">
        <v>45464</v>
      </c>
      <c r="AM110" s="10">
        <v>45477</v>
      </c>
      <c r="AN110" s="9" t="s">
        <v>95</v>
      </c>
      <c r="AO110" s="9"/>
      <c r="AP110" s="11">
        <f>IF($H110="Cancelled","",IFERROR(IF(OR(AK110="",AB110=""),"",(AB110+Variables!$B$18-AK110)),""))</f>
        <v>49</v>
      </c>
      <c r="AQ110" s="11">
        <f>IF($H110="Cancelled","",IFERROR(IF(OR(AM110="",AK110=""),"",(AK110+Variables!$B$19)-AM110),""))</f>
        <v>-10</v>
      </c>
      <c r="AR110" s="12">
        <f>IF($H110="Cancelled","",IFERROR(T110*INDEX(Variables!$B$7:$D$7,IFERROR(MATCH(IF($B110="Robusta","Robusta",(IF($B110="","Arabica",$B110))&amp;" - "&amp;(IF($C110="","Commercial",$C110))),Variables!$B$1:$D$1,0),1))*(AQ110/365),""))</f>
        <v>-217.41500081233261</v>
      </c>
      <c r="AS110" s="12">
        <f>IF($H110="Cancelled","",IFERROR((T110*INDEX(Variables!$B$7:$D$7,IFERROR(MATCH(IF($B110="Robusta","Robusta",(IF($B110="","Arabica",$B110))&amp;" - "&amp;(IF($C110="","Commercial",$C110))),Variables!$B$1:$D$1,0),1))*IFERROR(IF(W110="","",(AVERAGE(E110:F110)-W110)-Variables!$B$14),"")/365)+(L110/16.67*INDEX(Variables!$B$8:$D$8,IFERROR(MATCH(IF($B110="Robusta","Robusta",(IF($B110="","Arabica",$B110))&amp;" - "&amp;(IF($C110="","Commercial",$C110))),Variables!$B$1:$D$1,0),1))*IFERROR(IF(W110="","",(AVERAGE(E110:F110)-W110)-Variables!$B$14),""))+(T110*INDEX(Variables!$B$9:$D$9,IFERROR(MATCH(IF($B110="Robusta","Robusta",(IF($B110="","Arabica",$B110))&amp;" - "&amp;(IF($C110="","Commercial",$C110))),Variables!$B$1:$D$1,0),1))*IFERROR(IF(W110="","",(AVERAGE(E110:F110)-W110)-Variables!$B$14),"")/365),""))</f>
        <v>285.16342481595251</v>
      </c>
      <c r="AT110" s="12">
        <f>IF($H110="Cancelled","",IFERROR((T110*INDEX(Variables!$B$7:$D$7,IFERROR(MATCH(IF($B110="Robusta","Robusta",(IF($B110="","Arabica",$B110))&amp;" - "&amp;(IF($C110="","Commercial",$C110))),Variables!$B$1:$D$1,0),1))*AC110/365)+(L110/16.67*INDEX(Variables!$B$8:$D$8,IFERROR(MATCH(IF($B110="Robusta","Robusta",(IF($B110="","Arabica",$B110))&amp;" - "&amp;(IF($C110="","Commercial",$C110))),Variables!$B$1:$D$1,0),1))*AC110)+(T110*INDEX(Variables!$B$9:$D$9,IFERROR(MATCH(IF($B110="Robusta","Robusta",(IF($B110="","Arabica",$B110))&amp;" - "&amp;(IF($C110="","Commercial",$C110))),Variables!$B$1:$D$1,0),1))*AC110/365),""))</f>
        <v>-2851.6342481595248</v>
      </c>
      <c r="AU110" s="12">
        <f>IF($H110="Cancelled","",IFERROR((T110*INDEX(Variables!$B$7:$D$7,IFERROR(MATCH(IF($B110="Robusta","Robusta",(IF($B110="","Arabica",$B110))&amp;" - "&amp;(IF($C110="","Commercial",$C110))),Variables!$B$1:$D$1,0),1))*AP110/365)+(L110/16.67*INDEX(Variables!$B$8:$D$8,IFERROR(MATCH(IF($B110="Robusta","Robusta",(IF($B110="","Arabica",$B110))&amp;" - "&amp;(IF($C110="","Commercial",$C110))),Variables!$B$1:$D$1,0),1))*AP110)+(T110*INDEX(Variables!$B$9:$D$9,IFERROR(MATCH(IF($B110="Robusta","Robusta",(IF($B110="","Arabica",$B110))&amp;" - "&amp;(IF($C110="","Commercial",$C110))),Variables!$B$1:$D$1,0),1))*AP110/365),""))</f>
        <v>1863.0677087975564</v>
      </c>
      <c r="AV110" s="11">
        <f t="shared" si="9"/>
        <v>11</v>
      </c>
      <c r="AW110" s="12">
        <f>IF($H110="Cancelled","",IFERROR(IF(AV110="","",(T110*INDEX(Variables!$B$7:$D$7,IFERROR(MATCH(IF($B110="Robusta","Robusta",(IF($B110="","Arabica",$B110))&amp;" - "&amp;(IF($C110="","Commercial",$C110))),Variables!$B$1:$D$1,0),1))*(AV110/365))+(T110*INDEX(Variables!$B$9:$D$9,IFERROR(MATCH(IF($B110="Robusta","Robusta",(IF($B110="","Arabica",$B110))&amp;" - "&amp;(IF($C110="","Commercial",$C110))),Variables!$B$1:$D$1,0),1))*(AV110/365))+(INDEX(Variables!$B$8:$D$8,IFERROR(MATCH(IF($B110="Robusta","Robusta",(IF($B110="","Arabica",$B110))&amp;" - "&amp;(IF($C110="","Commercial",$C110))),Variables!$B$1:$D$1,0),1))*L110/16.67)),""))</f>
        <v>258.23968973006373</v>
      </c>
      <c r="AX110" s="9"/>
      <c r="AY110" s="12"/>
      <c r="AZ110" s="10"/>
      <c r="BA110" s="9"/>
      <c r="BB110" s="10"/>
      <c r="BC110" s="9"/>
      <c r="BD110" s="9"/>
      <c r="BE110" s="9"/>
      <c r="BF110" s="9"/>
    </row>
    <row r="111" spans="1:58" x14ac:dyDescent="0.25">
      <c r="A111" s="9" t="s">
        <v>84</v>
      </c>
      <c r="B111" s="9" t="s">
        <v>85</v>
      </c>
      <c r="C111" s="9" t="s">
        <v>86</v>
      </c>
      <c r="D111" s="10">
        <v>45372</v>
      </c>
      <c r="E111" s="10">
        <v>45474</v>
      </c>
      <c r="F111" s="10">
        <v>45504</v>
      </c>
      <c r="G111" s="9">
        <v>3786249</v>
      </c>
      <c r="H111" s="9" t="str">
        <f t="shared" si="7"/>
        <v>Closed</v>
      </c>
      <c r="I111" s="9" t="str">
        <f t="shared" si="8"/>
        <v>All dates received</v>
      </c>
      <c r="J111" s="9" t="s">
        <v>87</v>
      </c>
      <c r="K111" s="9">
        <v>5024</v>
      </c>
      <c r="L111" s="11">
        <v>320</v>
      </c>
      <c r="M111" s="9" t="s">
        <v>378</v>
      </c>
      <c r="N111" s="9" t="s">
        <v>379</v>
      </c>
      <c r="O111" s="9"/>
      <c r="P111" s="9"/>
      <c r="Q111" s="11"/>
      <c r="R111" s="9" t="s">
        <v>90</v>
      </c>
      <c r="S111" s="9" t="s">
        <v>91</v>
      </c>
      <c r="T111" s="12">
        <f>IF($H111="Cancelled","",IFERROR(((Q111+INDEX(Variables!$B$6:$D$6,IFERROR(MATCH(IF($B111="Robusta","Robusta",(IF($B111="","Arabica",$B111))&amp;" - "&amp;(IF($C111="","Commercial",$C111))),Variables!$B$1:$D$1,0),1)))*22.0462)*(L111/16.67),""))</f>
        <v>123067.25778044391</v>
      </c>
      <c r="U111" s="10">
        <v>45455</v>
      </c>
      <c r="V111" s="9" t="str">
        <f t="shared" si="11"/>
        <v>Sent</v>
      </c>
      <c r="W111" s="10">
        <v>45470</v>
      </c>
      <c r="X111" s="9" t="str">
        <f t="shared" si="12"/>
        <v>Approved</v>
      </c>
      <c r="Y111" s="10"/>
      <c r="Z111" s="10">
        <f>IF($H111="Cancelled","",IFERROR(IF(F111="","",F111-Variables!$B$13),""))</f>
        <v>45489</v>
      </c>
      <c r="AA111" s="11">
        <f>IF($H111="Cancelled","",IFERROR(IF(W111="","",(AVERAGE(E111:F111)-W111)-Variables!$B$14),""))</f>
        <v>-11</v>
      </c>
      <c r="AB111" s="10">
        <v>45505</v>
      </c>
      <c r="AC111" s="11">
        <f>IF($H111="Cancelled","",IFERROR(IF(AB111="","",IF(AND(W111="",Y111=""),"",IF(Y111&gt;W111,Y111+Variables!$B$15+Variables!$B$16+Variables!$B$17-AB111,W111+Variables!$B$16+Variables!$B$17-AB111))),""))</f>
        <v>-27</v>
      </c>
      <c r="AD111" s="9" t="s">
        <v>92</v>
      </c>
      <c r="AE111" s="9" t="s">
        <v>181</v>
      </c>
      <c r="AF111" s="10"/>
      <c r="AG111" s="10"/>
      <c r="AH111" s="9"/>
      <c r="AI111" s="9" t="s">
        <v>384</v>
      </c>
      <c r="AJ111" s="9" t="s">
        <v>385</v>
      </c>
      <c r="AK111" s="10">
        <v>45498</v>
      </c>
      <c r="AL111" s="10">
        <v>45499</v>
      </c>
      <c r="AM111" s="10">
        <v>45510</v>
      </c>
      <c r="AN111" s="9" t="s">
        <v>95</v>
      </c>
      <c r="AO111" s="9"/>
      <c r="AP111" s="11">
        <f>IF($H111="Cancelled","",IFERROR(IF(OR(AK111="",AB111=""),"",(AB111+Variables!$B$18-AK111)),""))</f>
        <v>14</v>
      </c>
      <c r="AQ111" s="11">
        <f>IF($H111="Cancelled","",IFERROR(IF(OR(AM111="",AK111=""),"",(AK111+Variables!$B$19)-AM111),""))</f>
        <v>-7</v>
      </c>
      <c r="AR111" s="12">
        <f>IF($H111="Cancelled","",IFERROR(T111*INDEX(Variables!$B$7:$D$7,IFERROR(MATCH(IF($B111="Robusta","Robusta",(IF($B111="","Arabica",$B111))&amp;" - "&amp;(IF($C111="","Commercial",$C111))),Variables!$B$1:$D$1,0),1))*(AQ111/365),""))</f>
        <v>-152.19050056863284</v>
      </c>
      <c r="AS111" s="12">
        <f>IF($H111="Cancelled","",IFERROR((T111*INDEX(Variables!$B$7:$D$7,IFERROR(MATCH(IF($B111="Robusta","Robusta",(IF($B111="","Arabica",$B111))&amp;" - "&amp;(IF($C111="","Commercial",$C111))),Variables!$B$1:$D$1,0),1))*IFERROR(IF(W111="","",(AVERAGE(E111:F111)-W111)-Variables!$B$14),"")/365)+(L111/16.67*INDEX(Variables!$B$8:$D$8,IFERROR(MATCH(IF($B111="Robusta","Robusta",(IF($B111="","Arabica",$B111))&amp;" - "&amp;(IF($C111="","Commercial",$C111))),Variables!$B$1:$D$1,0),1))*IFERROR(IF(W111="","",(AVERAGE(E111:F111)-W111)-Variables!$B$14),""))+(T111*INDEX(Variables!$B$9:$D$9,IFERROR(MATCH(IF($B111="Robusta","Robusta",(IF($B111="","Arabica",$B111))&amp;" - "&amp;(IF($C111="","Commercial",$C111))),Variables!$B$1:$D$1,0),1))*IFERROR(IF(W111="","",(AVERAGE(E111:F111)-W111)-Variables!$B$14),"")/365),""))</f>
        <v>-418.23968973006373</v>
      </c>
      <c r="AT111" s="12">
        <f>IF($H111="Cancelled","",IFERROR((T111*INDEX(Variables!$B$7:$D$7,IFERROR(MATCH(IF($B111="Robusta","Robusta",(IF($B111="","Arabica",$B111))&amp;" - "&amp;(IF($C111="","Commercial",$C111))),Variables!$B$1:$D$1,0),1))*AC111/365)+(L111/16.67*INDEX(Variables!$B$8:$D$8,IFERROR(MATCH(IF($B111="Robusta","Robusta",(IF($B111="","Arabica",$B111))&amp;" - "&amp;(IF($C111="","Commercial",$C111))),Variables!$B$1:$D$1,0),1))*AC111)+(T111*INDEX(Variables!$B$9:$D$9,IFERROR(MATCH(IF($B111="Robusta","Robusta",(IF($B111="","Arabica",$B111))&amp;" - "&amp;(IF($C111="","Commercial",$C111))),Variables!$B$1:$D$1,0),1))*AC111/365),""))</f>
        <v>-1026.5883293374291</v>
      </c>
      <c r="AU111" s="12">
        <f>IF($H111="Cancelled","",IFERROR((T111*INDEX(Variables!$B$7:$D$7,IFERROR(MATCH(IF($B111="Robusta","Robusta",(IF($B111="","Arabica",$B111))&amp;" - "&amp;(IF($C111="","Commercial",$C111))),Variables!$B$1:$D$1,0),1))*AP111/365)+(L111/16.67*INDEX(Variables!$B$8:$D$8,IFERROR(MATCH(IF($B111="Robusta","Robusta",(IF($B111="","Arabica",$B111))&amp;" - "&amp;(IF($C111="","Commercial",$C111))),Variables!$B$1:$D$1,0),1))*AP111)+(T111*INDEX(Variables!$B$9:$D$9,IFERROR(MATCH(IF($B111="Robusta","Robusta",(IF($B111="","Arabica",$B111))&amp;" - "&amp;(IF($C111="","Commercial",$C111))),Variables!$B$1:$D$1,0),1))*AP111/365),""))</f>
        <v>532.30505965644477</v>
      </c>
      <c r="AV111" s="11">
        <f t="shared" si="9"/>
        <v>6</v>
      </c>
      <c r="AW111" s="12">
        <f>IF($H111="Cancelled","",IFERROR(IF(AV111="","",(T111*INDEX(Variables!$B$7:$D$7,IFERROR(MATCH(IF($B111="Robusta","Robusta",(IF($B111="","Arabica",$B111))&amp;" - "&amp;(IF($C111="","Commercial",$C111))),Variables!$B$1:$D$1,0),1))*(AV111/365))+(T111*INDEX(Variables!$B$9:$D$9,IFERROR(MATCH(IF($B111="Robusta","Robusta",(IF($B111="","Arabica",$B111))&amp;" - "&amp;(IF($C111="","Commercial",$C111))),Variables!$B$1:$D$1,0),1))*(AV111/365))+(INDEX(Variables!$B$8:$D$8,IFERROR(MATCH(IF($B111="Robusta","Robusta",(IF($B111="","Arabica",$B111))&amp;" - "&amp;(IF($C111="","Commercial",$C111))),Variables!$B$1:$D$1,0),1))*L111/16.67)),""))</f>
        <v>148.13073985276202</v>
      </c>
      <c r="AX111" s="9"/>
      <c r="AY111" s="12"/>
      <c r="AZ111" s="10"/>
      <c r="BA111" s="9"/>
      <c r="BB111" s="10"/>
      <c r="BC111" s="9"/>
      <c r="BD111" s="9"/>
      <c r="BE111" s="9"/>
      <c r="BF111" s="9"/>
    </row>
    <row r="112" spans="1:58" x14ac:dyDescent="0.25">
      <c r="A112" s="9" t="s">
        <v>84</v>
      </c>
      <c r="B112" s="9" t="s">
        <v>85</v>
      </c>
      <c r="C112" s="9" t="s">
        <v>86</v>
      </c>
      <c r="D112" s="10">
        <v>45373</v>
      </c>
      <c r="E112" s="10">
        <v>45383</v>
      </c>
      <c r="F112" s="10">
        <v>45412</v>
      </c>
      <c r="G112" s="9">
        <v>3786250</v>
      </c>
      <c r="H112" s="9" t="str">
        <f t="shared" si="7"/>
        <v>Closed</v>
      </c>
      <c r="I112" s="9" t="str">
        <f t="shared" si="8"/>
        <v>All dates received</v>
      </c>
      <c r="J112" s="9" t="s">
        <v>112</v>
      </c>
      <c r="K112" s="9">
        <v>4833</v>
      </c>
      <c r="L112" s="11">
        <v>960</v>
      </c>
      <c r="M112" s="9" t="s">
        <v>386</v>
      </c>
      <c r="N112" s="9" t="s">
        <v>387</v>
      </c>
      <c r="O112" s="9"/>
      <c r="P112" s="9"/>
      <c r="Q112" s="11"/>
      <c r="R112" s="9" t="s">
        <v>90</v>
      </c>
      <c r="S112" s="9" t="s">
        <v>117</v>
      </c>
      <c r="T112" s="12">
        <f>IF($H112="Cancelled","",IFERROR(((Q112+INDEX(Variables!$B$6:$D$6,IFERROR(MATCH(IF($B112="Robusta","Robusta",(IF($B112="","Arabica",$B112))&amp;" - "&amp;(IF($C112="","Commercial",$C112))),Variables!$B$1:$D$1,0),1)))*22.0462)*(L112/16.67),""))</f>
        <v>369201.77334133169</v>
      </c>
      <c r="U112" s="10">
        <v>45377</v>
      </c>
      <c r="V112" s="9" t="str">
        <f t="shared" si="11"/>
        <v>Sent</v>
      </c>
      <c r="W112" s="10">
        <v>45380</v>
      </c>
      <c r="X112" s="9" t="str">
        <f t="shared" si="12"/>
        <v>Approved</v>
      </c>
      <c r="Y112" s="10"/>
      <c r="Z112" s="10">
        <f>IF($H112="Cancelled","",IFERROR(IF(F112="","",F112-Variables!$B$13),""))</f>
        <v>45397</v>
      </c>
      <c r="AA112" s="11">
        <f>IF($H112="Cancelled","",IFERROR(IF(W112="","",(AVERAGE(E112:F112)-W112)-Variables!$B$14),""))</f>
        <v>-12.5</v>
      </c>
      <c r="AB112" s="10">
        <v>45505</v>
      </c>
      <c r="AC112" s="11">
        <f>IF($H112="Cancelled","",IFERROR(IF(AB112="","",IF(AND(W112="",Y112=""),"",IF(Y112&gt;W112,Y112+Variables!$B$15+Variables!$B$16+Variables!$B$17-AB112,W112+Variables!$B$16+Variables!$B$17-AB112))),""))</f>
        <v>-117</v>
      </c>
      <c r="AD112" s="9" t="s">
        <v>107</v>
      </c>
      <c r="AE112" s="9" t="s">
        <v>364</v>
      </c>
      <c r="AF112" s="10"/>
      <c r="AG112" s="10"/>
      <c r="AH112" s="9"/>
      <c r="AI112" s="9" t="s">
        <v>388</v>
      </c>
      <c r="AJ112" s="9">
        <v>7144575141</v>
      </c>
      <c r="AK112" s="10">
        <v>45418</v>
      </c>
      <c r="AL112" s="10">
        <v>45420</v>
      </c>
      <c r="AM112" s="10">
        <v>45426</v>
      </c>
      <c r="AN112" s="9" t="s">
        <v>95</v>
      </c>
      <c r="AO112" s="9"/>
      <c r="AP112" s="11">
        <f>IF($H112="Cancelled","",IFERROR(IF(OR(AK112="",AB112=""),"",(AB112+Variables!$B$18-AK112)),""))</f>
        <v>94</v>
      </c>
      <c r="AQ112" s="11">
        <f>IF($H112="Cancelled","",IFERROR(IF(OR(AM112="",AK112=""),"",(AK112+Variables!$B$19)-AM112),""))</f>
        <v>-3</v>
      </c>
      <c r="AR112" s="12">
        <f>IF($H112="Cancelled","",IFERROR(T112*INDEX(Variables!$B$7:$D$7,IFERROR(MATCH(IF($B112="Robusta","Robusta",(IF($B112="","Arabica",$B112))&amp;" - "&amp;(IF($C112="","Commercial",$C112))),Variables!$B$1:$D$1,0),1))*(AQ112/365),""))</f>
        <v>-195.67350073109932</v>
      </c>
      <c r="AS112" s="12">
        <f>IF($H112="Cancelled","",IFERROR((T112*INDEX(Variables!$B$7:$D$7,IFERROR(MATCH(IF($B112="Robusta","Robusta",(IF($B112="","Arabica",$B112))&amp;" - "&amp;(IF($C112="","Commercial",$C112))),Variables!$B$1:$D$1,0),1))*IFERROR(IF(W112="","",(AVERAGE(E112:F112)-W112)-Variables!$B$14),"")/365)+(L112/16.67*INDEX(Variables!$B$8:$D$8,IFERROR(MATCH(IF($B112="Robusta","Robusta",(IF($B112="","Arabica",$B112))&amp;" - "&amp;(IF($C112="","Commercial",$C112))),Variables!$B$1:$D$1,0),1))*IFERROR(IF(W112="","",(AVERAGE(E112:F112)-W112)-Variables!$B$14),""))+(T112*INDEX(Variables!$B$9:$D$9,IFERROR(MATCH(IF($B112="Robusta","Robusta",(IF($B112="","Arabica",$B112))&amp;" - "&amp;(IF($C112="","Commercial",$C112))),Variables!$B$1:$D$1,0),1))*IFERROR(IF(W112="","",(AVERAGE(E112:F112)-W112)-Variables!$B$14),"")/365),""))</f>
        <v>-1425.8171240797624</v>
      </c>
      <c r="AT112" s="12">
        <f>IF($H112="Cancelled","",IFERROR((T112*INDEX(Variables!$B$7:$D$7,IFERROR(MATCH(IF($B112="Robusta","Robusta",(IF($B112="","Arabica",$B112))&amp;" - "&amp;(IF($C112="","Commercial",$C112))),Variables!$B$1:$D$1,0),1))*AC112/365)+(L112/16.67*INDEX(Variables!$B$8:$D$8,IFERROR(MATCH(IF($B112="Robusta","Robusta",(IF($B112="","Arabica",$B112))&amp;" - "&amp;(IF($C112="","Commercial",$C112))),Variables!$B$1:$D$1,0),1))*AC112)+(T112*INDEX(Variables!$B$9:$D$9,IFERROR(MATCH(IF($B112="Robusta","Robusta",(IF($B112="","Arabica",$B112))&amp;" - "&amp;(IF($C112="","Commercial",$C112))),Variables!$B$1:$D$1,0),1))*AC112/365),""))</f>
        <v>-13345.648281386579</v>
      </c>
      <c r="AU112" s="12">
        <f>IF($H112="Cancelled","",IFERROR((T112*INDEX(Variables!$B$7:$D$7,IFERROR(MATCH(IF($B112="Robusta","Robusta",(IF($B112="","Arabica",$B112))&amp;" - "&amp;(IF($C112="","Commercial",$C112))),Variables!$B$1:$D$1,0),1))*AP112/365)+(L112/16.67*INDEX(Variables!$B$8:$D$8,IFERROR(MATCH(IF($B112="Robusta","Robusta",(IF($B112="","Arabica",$B112))&amp;" - "&amp;(IF($C112="","Commercial",$C112))),Variables!$B$1:$D$1,0),1))*AP112)+(T112*INDEX(Variables!$B$9:$D$9,IFERROR(MATCH(IF($B112="Robusta","Robusta",(IF($B112="","Arabica",$B112))&amp;" - "&amp;(IF($C112="","Commercial",$C112))),Variables!$B$1:$D$1,0),1))*AP112/365),""))</f>
        <v>10722.144773079814</v>
      </c>
      <c r="AV112" s="11">
        <f t="shared" si="9"/>
        <v>-6</v>
      </c>
      <c r="AW112" s="12">
        <f>IF($H112="Cancelled","",IFERROR(IF(AV112="","",(T112*INDEX(Variables!$B$7:$D$7,IFERROR(MATCH(IF($B112="Robusta","Robusta",(IF($B112="","Arabica",$B112))&amp;" - "&amp;(IF($C112="","Commercial",$C112))),Variables!$B$1:$D$1,0),1))*(AV112/365))+(T112*INDEX(Variables!$B$9:$D$9,IFERROR(MATCH(IF($B112="Robusta","Robusta",(IF($B112="","Arabica",$B112))&amp;" - "&amp;(IF($C112="","Commercial",$C112))),Variables!$B$1:$D$1,0),1))*(AV112/365))+(INDEX(Variables!$B$8:$D$8,IFERROR(MATCH(IF($B112="Robusta","Robusta",(IF($B112="","Arabica",$B112))&amp;" - "&amp;(IF($C112="","Commercial",$C112))),Variables!$B$1:$D$1,0),1))*L112/16.67)),""))</f>
        <v>-348.392219558286</v>
      </c>
      <c r="AX112" s="9"/>
      <c r="AY112" s="12"/>
      <c r="AZ112" s="10"/>
      <c r="BA112" s="9"/>
      <c r="BB112" s="10"/>
      <c r="BC112" s="9"/>
      <c r="BD112" s="9"/>
      <c r="BE112" s="9"/>
      <c r="BF112" s="9"/>
    </row>
    <row r="113" spans="1:58" x14ac:dyDescent="0.25">
      <c r="A113" s="9" t="s">
        <v>84</v>
      </c>
      <c r="B113" s="9" t="s">
        <v>85</v>
      </c>
      <c r="C113" s="9" t="s">
        <v>86</v>
      </c>
      <c r="D113" s="10">
        <v>45377</v>
      </c>
      <c r="E113" s="10">
        <v>45536</v>
      </c>
      <c r="F113" s="10">
        <v>45549</v>
      </c>
      <c r="G113" s="9">
        <v>3786252</v>
      </c>
      <c r="H113" s="9" t="str">
        <f t="shared" si="7"/>
        <v>Closed</v>
      </c>
      <c r="I113" s="9" t="str">
        <f t="shared" si="8"/>
        <v>All dates received</v>
      </c>
      <c r="J113" s="9" t="s">
        <v>210</v>
      </c>
      <c r="K113" s="9">
        <v>5079</v>
      </c>
      <c r="L113" s="11">
        <v>1280</v>
      </c>
      <c r="M113" s="9" t="s">
        <v>389</v>
      </c>
      <c r="N113" s="9" t="s">
        <v>390</v>
      </c>
      <c r="O113" s="9"/>
      <c r="P113" s="9"/>
      <c r="Q113" s="11"/>
      <c r="R113" s="9" t="s">
        <v>90</v>
      </c>
      <c r="S113" s="9" t="s">
        <v>234</v>
      </c>
      <c r="T113" s="12">
        <f>IF($H113="Cancelled","",IFERROR(((Q113+INDEX(Variables!$B$6:$D$6,IFERROR(MATCH(IF($B113="Robusta","Robusta",(IF($B113="","Arabica",$B113))&amp;" - "&amp;(IF($C113="","Commercial",$C113))),Variables!$B$1:$D$1,0),1)))*22.0462)*(L113/16.67),""))</f>
        <v>492269.03112177562</v>
      </c>
      <c r="U113" s="10">
        <v>45503</v>
      </c>
      <c r="V113" s="9" t="str">
        <f t="shared" si="11"/>
        <v>Sent</v>
      </c>
      <c r="W113" s="10">
        <v>45518</v>
      </c>
      <c r="X113" s="9" t="str">
        <f t="shared" si="12"/>
        <v>Approved</v>
      </c>
      <c r="Y113" s="10"/>
      <c r="Z113" s="10">
        <f>IF($H113="Cancelled","",IFERROR(IF(F113="","",F113-Variables!$B$13),""))</f>
        <v>45534</v>
      </c>
      <c r="AA113" s="11">
        <f>IF($H113="Cancelled","",IFERROR(IF(W113="","",(AVERAGE(E113:F113)-W113)-Variables!$B$14),""))</f>
        <v>-5.5</v>
      </c>
      <c r="AB113" s="10">
        <v>45506</v>
      </c>
      <c r="AC113" s="11">
        <f>IF($H113="Cancelled","",IFERROR(IF(AB113="","",IF(AND(W113="",Y113=""),"",IF(Y113&gt;W113,Y113+Variables!$B$15+Variables!$B$16+Variables!$B$17-AB113,W113+Variables!$B$16+Variables!$B$17-AB113))),""))</f>
        <v>20</v>
      </c>
      <c r="AD113" s="9" t="s">
        <v>180</v>
      </c>
      <c r="AE113" s="9" t="s">
        <v>98</v>
      </c>
      <c r="AF113" s="10"/>
      <c r="AG113" s="10"/>
      <c r="AH113" s="9"/>
      <c r="AI113" s="9" t="s">
        <v>391</v>
      </c>
      <c r="AJ113" s="9" t="s">
        <v>8</v>
      </c>
      <c r="AK113" s="10">
        <v>45539</v>
      </c>
      <c r="AL113" s="10">
        <v>45541</v>
      </c>
      <c r="AM113" s="10">
        <v>45548</v>
      </c>
      <c r="AN113" s="9" t="s">
        <v>95</v>
      </c>
      <c r="AO113" s="9"/>
      <c r="AP113" s="11">
        <f>IF($H113="Cancelled","",IFERROR(IF(OR(AK113="",AB113=""),"",(AB113+Variables!$B$18-AK113)),""))</f>
        <v>-26</v>
      </c>
      <c r="AQ113" s="11">
        <f>IF($H113="Cancelled","",IFERROR(IF(OR(AM113="",AK113=""),"",(AK113+Variables!$B$19)-AM113),""))</f>
        <v>-4</v>
      </c>
      <c r="AR113" s="12">
        <f>IF($H113="Cancelled","",IFERROR(T113*INDEX(Variables!$B$7:$D$7,IFERROR(MATCH(IF($B113="Robusta","Robusta",(IF($B113="","Arabica",$B113))&amp;" - "&amp;(IF($C113="","Commercial",$C113))),Variables!$B$1:$D$1,0),1))*(AQ113/365),""))</f>
        <v>-347.86400129973219</v>
      </c>
      <c r="AS113" s="12">
        <f>IF($H113="Cancelled","",IFERROR((T113*INDEX(Variables!$B$7:$D$7,IFERROR(MATCH(IF($B113="Robusta","Robusta",(IF($B113="","Arabica",$B113))&amp;" - "&amp;(IF($C113="","Commercial",$C113))),Variables!$B$1:$D$1,0),1))*IFERROR(IF(W113="","",(AVERAGE(E113:F113)-W113)-Variables!$B$14),"")/365)+(L113/16.67*INDEX(Variables!$B$8:$D$8,IFERROR(MATCH(IF($B113="Robusta","Robusta",(IF($B113="","Arabica",$B113))&amp;" - "&amp;(IF($C113="","Commercial",$C113))),Variables!$B$1:$D$1,0),1))*IFERROR(IF(W113="","",(AVERAGE(E113:F113)-W113)-Variables!$B$14),""))+(T113*INDEX(Variables!$B$9:$D$9,IFERROR(MATCH(IF($B113="Robusta","Robusta",(IF($B113="","Arabica",$B113))&amp;" - "&amp;(IF($C113="","Commercial",$C113))),Variables!$B$1:$D$1,0),1))*IFERROR(IF(W113="","",(AVERAGE(E113:F113)-W113)-Variables!$B$14),"")/365),""))</f>
        <v>-836.47937946012746</v>
      </c>
      <c r="AT113" s="12">
        <f>IF($H113="Cancelled","",IFERROR((T113*INDEX(Variables!$B$7:$D$7,IFERROR(MATCH(IF($B113="Robusta","Robusta",(IF($B113="","Arabica",$B113))&amp;" - "&amp;(IF($C113="","Commercial",$C113))),Variables!$B$1:$D$1,0),1))*AC113/365)+(L113/16.67*INDEX(Variables!$B$8:$D$8,IFERROR(MATCH(IF($B113="Robusta","Robusta",(IF($B113="","Arabica",$B113))&amp;" - "&amp;(IF($C113="","Commercial",$C113))),Variables!$B$1:$D$1,0),1))*AC113)+(T113*INDEX(Variables!$B$9:$D$9,IFERROR(MATCH(IF($B113="Robusta","Robusta",(IF($B113="","Arabica",$B113))&amp;" - "&amp;(IF($C113="","Commercial",$C113))),Variables!$B$1:$D$1,0),1))*AC113/365),""))</f>
        <v>3041.7431980368269</v>
      </c>
      <c r="AU113" s="12">
        <f>IF($H113="Cancelled","",IFERROR((T113*INDEX(Variables!$B$7:$D$7,IFERROR(MATCH(IF($B113="Robusta","Robusta",(IF($B113="","Arabica",$B113))&amp;" - "&amp;(IF($C113="","Commercial",$C113))),Variables!$B$1:$D$1,0),1))*AP113/365)+(L113/16.67*INDEX(Variables!$B$8:$D$8,IFERROR(MATCH(IF($B113="Robusta","Robusta",(IF($B113="","Arabica",$B113))&amp;" - "&amp;(IF($C113="","Commercial",$C113))),Variables!$B$1:$D$1,0),1))*AP113)+(T113*INDEX(Variables!$B$9:$D$9,IFERROR(MATCH(IF($B113="Robusta","Robusta",(IF($B113="","Arabica",$B113))&amp;" - "&amp;(IF($C113="","Commercial",$C113))),Variables!$B$1:$D$1,0),1))*AP113/365),""))</f>
        <v>-3954.2661574478748</v>
      </c>
      <c r="AV113" s="11">
        <f t="shared" si="9"/>
        <v>10</v>
      </c>
      <c r="AW113" s="12">
        <f>IF($H113="Cancelled","",IFERROR(IF(AV113="","",(T113*INDEX(Variables!$B$7:$D$7,IFERROR(MATCH(IF($B113="Robusta","Robusta",(IF($B113="","Arabica",$B113))&amp;" - "&amp;(IF($C113="","Commercial",$C113))),Variables!$B$1:$D$1,0),1))*(AV113/365))+(T113*INDEX(Variables!$B$9:$D$9,IFERROR(MATCH(IF($B113="Robusta","Robusta",(IF($B113="","Arabica",$B113))&amp;" - "&amp;(IF($C113="","Commercial",$C113))),Variables!$B$1:$D$1,0),1))*(AV113/365))+(INDEX(Variables!$B$8:$D$8,IFERROR(MATCH(IF($B113="Robusta","Robusta",(IF($B113="","Arabica",$B113))&amp;" - "&amp;(IF($C113="","Commercial",$C113))),Variables!$B$1:$D$1,0),1))*L113/16.67)),""))</f>
        <v>944.87159901841346</v>
      </c>
      <c r="AX113" s="9"/>
      <c r="AY113" s="12"/>
      <c r="AZ113" s="10"/>
      <c r="BA113" s="9"/>
      <c r="BB113" s="10"/>
      <c r="BC113" s="9"/>
      <c r="BD113" s="9"/>
      <c r="BE113" s="9"/>
      <c r="BF113" s="9"/>
    </row>
    <row r="114" spans="1:58" x14ac:dyDescent="0.25">
      <c r="A114" s="9" t="s">
        <v>84</v>
      </c>
      <c r="B114" s="9" t="s">
        <v>85</v>
      </c>
      <c r="C114" s="9" t="s">
        <v>86</v>
      </c>
      <c r="D114" s="10">
        <v>45378</v>
      </c>
      <c r="E114" s="10">
        <v>45505</v>
      </c>
      <c r="F114" s="10">
        <v>45535</v>
      </c>
      <c r="G114" s="9">
        <v>3786266</v>
      </c>
      <c r="H114" s="9" t="str">
        <f t="shared" si="7"/>
        <v>Closed</v>
      </c>
      <c r="I114" s="9" t="str">
        <f t="shared" si="8"/>
        <v>All dates received</v>
      </c>
      <c r="J114" s="9" t="s">
        <v>240</v>
      </c>
      <c r="K114" s="9">
        <v>5035</v>
      </c>
      <c r="L114" s="11">
        <v>320</v>
      </c>
      <c r="M114" s="9" t="s">
        <v>187</v>
      </c>
      <c r="N114" s="9" t="s">
        <v>187</v>
      </c>
      <c r="O114" s="9"/>
      <c r="P114" s="9"/>
      <c r="Q114" s="11"/>
      <c r="R114" s="9" t="s">
        <v>90</v>
      </c>
      <c r="S114" s="9" t="s">
        <v>392</v>
      </c>
      <c r="T114" s="12">
        <f>IF($H114="Cancelled","",IFERROR(((Q114+INDEX(Variables!$B$6:$D$6,IFERROR(MATCH(IF($B114="Robusta","Robusta",(IF($B114="","Arabica",$B114))&amp;" - "&amp;(IF($C114="","Commercial",$C114))),Variables!$B$1:$D$1,0),1)))*22.0462)*(L114/16.67),""))</f>
        <v>123067.25778044391</v>
      </c>
      <c r="U114" s="10">
        <v>45462</v>
      </c>
      <c r="V114" s="9" t="str">
        <f t="shared" si="11"/>
        <v>Sent</v>
      </c>
      <c r="W114" s="10">
        <v>45469</v>
      </c>
      <c r="X114" s="9" t="str">
        <f t="shared" si="12"/>
        <v>Approved</v>
      </c>
      <c r="Y114" s="10"/>
      <c r="Z114" s="10">
        <f>IF($H114="Cancelled","",IFERROR(IF(F114="","",F114-Variables!$B$13),""))</f>
        <v>45520</v>
      </c>
      <c r="AA114" s="11">
        <f>IF($H114="Cancelled","",IFERROR(IF(W114="","",(AVERAGE(E114:F114)-W114)-Variables!$B$14),""))</f>
        <v>21</v>
      </c>
      <c r="AB114" s="10">
        <v>45509</v>
      </c>
      <c r="AC114" s="11">
        <f>IF($H114="Cancelled","",IFERROR(IF(AB114="","",IF(AND(W114="",Y114=""),"",IF(Y114&gt;W114,Y114+Variables!$B$15+Variables!$B$16+Variables!$B$17-AB114,W114+Variables!$B$16+Variables!$B$17-AB114))),""))</f>
        <v>-32</v>
      </c>
      <c r="AD114" s="9" t="s">
        <v>393</v>
      </c>
      <c r="AE114" s="9" t="s">
        <v>245</v>
      </c>
      <c r="AF114" s="10"/>
      <c r="AG114" s="10"/>
      <c r="AH114" s="9"/>
      <c r="AI114" s="9" t="s">
        <v>394</v>
      </c>
      <c r="AJ114" s="9" t="s">
        <v>8</v>
      </c>
      <c r="AK114" s="10">
        <v>45512</v>
      </c>
      <c r="AL114" s="10">
        <v>45519</v>
      </c>
      <c r="AM114" s="10">
        <v>45530</v>
      </c>
      <c r="AN114" s="9" t="s">
        <v>95</v>
      </c>
      <c r="AO114" s="9"/>
      <c r="AP114" s="11">
        <f>IF($H114="Cancelled","",IFERROR(IF(OR(AK114="",AB114=""),"",(AB114+Variables!$B$18-AK114)),""))</f>
        <v>4</v>
      </c>
      <c r="AQ114" s="11">
        <f>IF($H114="Cancelled","",IFERROR(IF(OR(AM114="",AK114=""),"",(AK114+Variables!$B$19)-AM114),""))</f>
        <v>-13</v>
      </c>
      <c r="AR114" s="12">
        <f>IF($H114="Cancelled","",IFERROR(T114*INDEX(Variables!$B$7:$D$7,IFERROR(MATCH(IF($B114="Robusta","Robusta",(IF($B114="","Arabica",$B114))&amp;" - "&amp;(IF($C114="","Commercial",$C114))),Variables!$B$1:$D$1,0),1))*(AQ114/365),""))</f>
        <v>-282.63950105603237</v>
      </c>
      <c r="AS114" s="12">
        <f>IF($H114="Cancelled","",IFERROR((T114*INDEX(Variables!$B$7:$D$7,IFERROR(MATCH(IF($B114="Robusta","Robusta",(IF($B114="","Arabica",$B114))&amp;" - "&amp;(IF($C114="","Commercial",$C114))),Variables!$B$1:$D$1,0),1))*IFERROR(IF(W114="","",(AVERAGE(E114:F114)-W114)-Variables!$B$14),"")/365)+(L114/16.67*INDEX(Variables!$B$8:$D$8,IFERROR(MATCH(IF($B114="Robusta","Robusta",(IF($B114="","Arabica",$B114))&amp;" - "&amp;(IF($C114="","Commercial",$C114))),Variables!$B$1:$D$1,0),1))*IFERROR(IF(W114="","",(AVERAGE(E114:F114)-W114)-Variables!$B$14),""))+(T114*INDEX(Variables!$B$9:$D$9,IFERROR(MATCH(IF($B114="Robusta","Robusta",(IF($B114="","Arabica",$B114))&amp;" - "&amp;(IF($C114="","Commercial",$C114))),Variables!$B$1:$D$1,0),1))*IFERROR(IF(W114="","",(AVERAGE(E114:F114)-W114)-Variables!$B$14),"")/365),""))</f>
        <v>798.4575894846671</v>
      </c>
      <c r="AT114" s="12">
        <f>IF($H114="Cancelled","",IFERROR((T114*INDEX(Variables!$B$7:$D$7,IFERROR(MATCH(IF($B114="Robusta","Robusta",(IF($B114="","Arabica",$B114))&amp;" - "&amp;(IF($C114="","Commercial",$C114))),Variables!$B$1:$D$1,0),1))*AC114/365)+(L114/16.67*INDEX(Variables!$B$8:$D$8,IFERROR(MATCH(IF($B114="Robusta","Robusta",(IF($B114="","Arabica",$B114))&amp;" - "&amp;(IF($C114="","Commercial",$C114))),Variables!$B$1:$D$1,0),1))*AC114)+(T114*INDEX(Variables!$B$9:$D$9,IFERROR(MATCH(IF($B114="Robusta","Robusta",(IF($B114="","Arabica",$B114))&amp;" - "&amp;(IF($C114="","Commercial",$C114))),Variables!$B$1:$D$1,0),1))*AC114/365),""))</f>
        <v>-1216.6972792147308</v>
      </c>
      <c r="AU114" s="12">
        <f>IF($H114="Cancelled","",IFERROR((T114*INDEX(Variables!$B$7:$D$7,IFERROR(MATCH(IF($B114="Robusta","Robusta",(IF($B114="","Arabica",$B114))&amp;" - "&amp;(IF($C114="","Commercial",$C114))),Variables!$B$1:$D$1,0),1))*AP114/365)+(L114/16.67*INDEX(Variables!$B$8:$D$8,IFERROR(MATCH(IF($B114="Robusta","Robusta",(IF($B114="","Arabica",$B114))&amp;" - "&amp;(IF($C114="","Commercial",$C114))),Variables!$B$1:$D$1,0),1))*AP114)+(T114*INDEX(Variables!$B$9:$D$9,IFERROR(MATCH(IF($B114="Robusta","Robusta",(IF($B114="","Arabica",$B114))&amp;" - "&amp;(IF($C114="","Commercial",$C114))),Variables!$B$1:$D$1,0),1))*AP114/365),""))</f>
        <v>152.08715990184135</v>
      </c>
      <c r="AV114" s="11">
        <f t="shared" si="9"/>
        <v>23</v>
      </c>
      <c r="AW114" s="12">
        <f>IF($H114="Cancelled","",IFERROR(IF(AV114="","",(T114*INDEX(Variables!$B$7:$D$7,IFERROR(MATCH(IF($B114="Robusta","Robusta",(IF($B114="","Arabica",$B114))&amp;" - "&amp;(IF($C114="","Commercial",$C114))),Variables!$B$1:$D$1,0),1))*(AV114/365))+(T114*INDEX(Variables!$B$9:$D$9,IFERROR(MATCH(IF($B114="Robusta","Robusta",(IF($B114="","Arabica",$B114))&amp;" - "&amp;(IF($C114="","Commercial",$C114))),Variables!$B$1:$D$1,0),1))*(AV114/365))+(INDEX(Variables!$B$8:$D$8,IFERROR(MATCH(IF($B114="Robusta","Robusta",(IF($B114="","Arabica",$B114))&amp;" - "&amp;(IF($C114="","Commercial",$C114))),Variables!$B$1:$D$1,0),1))*L114/16.67)),""))</f>
        <v>522.50116943558783</v>
      </c>
      <c r="AX114" s="9"/>
      <c r="AY114" s="12"/>
      <c r="AZ114" s="10"/>
      <c r="BA114" s="9"/>
      <c r="BB114" s="10"/>
      <c r="BC114" s="9"/>
      <c r="BD114" s="9"/>
      <c r="BE114" s="9"/>
      <c r="BF114" s="9"/>
    </row>
    <row r="115" spans="1:58" x14ac:dyDescent="0.25">
      <c r="A115" s="9" t="s">
        <v>84</v>
      </c>
      <c r="B115" s="9" t="s">
        <v>85</v>
      </c>
      <c r="C115" s="9" t="s">
        <v>86</v>
      </c>
      <c r="D115" s="10">
        <v>45379</v>
      </c>
      <c r="E115" s="10">
        <v>45383</v>
      </c>
      <c r="F115" s="10">
        <v>45412</v>
      </c>
      <c r="G115" s="9">
        <v>3786264</v>
      </c>
      <c r="H115" s="9" t="str">
        <f t="shared" si="7"/>
        <v>Closed</v>
      </c>
      <c r="I115" s="9" t="str">
        <f t="shared" si="8"/>
        <v>All dates received</v>
      </c>
      <c r="J115" s="9" t="s">
        <v>102</v>
      </c>
      <c r="K115" s="9">
        <v>4832</v>
      </c>
      <c r="L115" s="11">
        <v>2160</v>
      </c>
      <c r="M115" s="9" t="s">
        <v>395</v>
      </c>
      <c r="N115" s="9"/>
      <c r="O115" s="9"/>
      <c r="P115" s="9"/>
      <c r="Q115" s="11"/>
      <c r="R115" s="9" t="s">
        <v>90</v>
      </c>
      <c r="S115" s="9" t="s">
        <v>178</v>
      </c>
      <c r="T115" s="12">
        <f>IF($H115="Cancelled","",IFERROR(((Q115+INDEX(Variables!$B$6:$D$6,IFERROR(MATCH(IF($B115="Robusta","Robusta",(IF($B115="","Arabica",$B115))&amp;" - "&amp;(IF($C115="","Commercial",$C115))),Variables!$B$1:$D$1,0),1)))*22.0462)*(L115/16.67),""))</f>
        <v>830703.99001799629</v>
      </c>
      <c r="U115" s="10">
        <v>45387</v>
      </c>
      <c r="V115" s="9" t="str">
        <f t="shared" si="11"/>
        <v>Sent</v>
      </c>
      <c r="W115" s="10">
        <v>45390</v>
      </c>
      <c r="X115" s="9" t="str">
        <f t="shared" si="12"/>
        <v>Approved</v>
      </c>
      <c r="Y115" s="10"/>
      <c r="Z115" s="10">
        <f>IF($H115="Cancelled","",IFERROR(IF(F115="","",F115-Variables!$B$13),""))</f>
        <v>45397</v>
      </c>
      <c r="AA115" s="11">
        <f>IF($H115="Cancelled","",IFERROR(IF(W115="","",(AVERAGE(E115:F115)-W115)-Variables!$B$14),""))</f>
        <v>-22.5</v>
      </c>
      <c r="AB115" s="10">
        <v>45509</v>
      </c>
      <c r="AC115" s="11">
        <f>IF($H115="Cancelled","",IFERROR(IF(AB115="","",IF(AND(W115="",Y115=""),"",IF(Y115&gt;W115,Y115+Variables!$B$15+Variables!$B$16+Variables!$B$17-AB115,W115+Variables!$B$16+Variables!$B$17-AB115))),""))</f>
        <v>-111</v>
      </c>
      <c r="AD115" s="9" t="s">
        <v>107</v>
      </c>
      <c r="AE115" s="9" t="s">
        <v>364</v>
      </c>
      <c r="AF115" s="10"/>
      <c r="AG115" s="10"/>
      <c r="AH115" s="9"/>
      <c r="AI115" s="9" t="s">
        <v>396</v>
      </c>
      <c r="AJ115" s="9" t="s">
        <v>8</v>
      </c>
      <c r="AK115" s="10">
        <v>45417</v>
      </c>
      <c r="AL115" s="10">
        <v>45420</v>
      </c>
      <c r="AM115" s="10">
        <v>45425</v>
      </c>
      <c r="AN115" s="9" t="s">
        <v>95</v>
      </c>
      <c r="AO115" s="9"/>
      <c r="AP115" s="11">
        <f>IF($H115="Cancelled","",IFERROR(IF(OR(AK115="",AB115=""),"",(AB115+Variables!$B$18-AK115)),""))</f>
        <v>99</v>
      </c>
      <c r="AQ115" s="11">
        <f>IF($H115="Cancelled","",IFERROR(IF(OR(AM115="",AK115=""),"",(AK115+Variables!$B$19)-AM115),""))</f>
        <v>-3</v>
      </c>
      <c r="AR115" s="12">
        <f>IF($H115="Cancelled","",IFERROR(T115*INDEX(Variables!$B$7:$D$7,IFERROR(MATCH(IF($B115="Robusta","Robusta",(IF($B115="","Arabica",$B115))&amp;" - "&amp;(IF($C115="","Commercial",$C115))),Variables!$B$1:$D$1,0),1))*(AQ115/365),""))</f>
        <v>-440.26537664497346</v>
      </c>
      <c r="AS115" s="12">
        <f>IF($H115="Cancelled","",IFERROR((T115*INDEX(Variables!$B$7:$D$7,IFERROR(MATCH(IF($B115="Robusta","Robusta",(IF($B115="","Arabica",$B115))&amp;" - "&amp;(IF($C115="","Commercial",$C115))),Variables!$B$1:$D$1,0),1))*IFERROR(IF(W115="","",(AVERAGE(E115:F115)-W115)-Variables!$B$14),"")/365)+(L115/16.67*INDEX(Variables!$B$8:$D$8,IFERROR(MATCH(IF($B115="Robusta","Robusta",(IF($B115="","Arabica",$B115))&amp;" - "&amp;(IF($C115="","Commercial",$C115))),Variables!$B$1:$D$1,0),1))*IFERROR(IF(W115="","",(AVERAGE(E115:F115)-W115)-Variables!$B$14),""))+(T115*INDEX(Variables!$B$9:$D$9,IFERROR(MATCH(IF($B115="Robusta","Robusta",(IF($B115="","Arabica",$B115))&amp;" - "&amp;(IF($C115="","Commercial",$C115))),Variables!$B$1:$D$1,0),1))*IFERROR(IF(W115="","",(AVERAGE(E115:F115)-W115)-Variables!$B$14),"")/365),""))</f>
        <v>-5774.5593525230388</v>
      </c>
      <c r="AT115" s="12">
        <f>IF($H115="Cancelled","",IFERROR((T115*INDEX(Variables!$B$7:$D$7,IFERROR(MATCH(IF($B115="Robusta","Robusta",(IF($B115="","Arabica",$B115))&amp;" - "&amp;(IF($C115="","Commercial",$C115))),Variables!$B$1:$D$1,0),1))*AC115/365)+(L115/16.67*INDEX(Variables!$B$8:$D$8,IFERROR(MATCH(IF($B115="Robusta","Robusta",(IF($B115="","Arabica",$B115))&amp;" - "&amp;(IF($C115="","Commercial",$C115))),Variables!$B$1:$D$1,0),1))*AC115)+(T115*INDEX(Variables!$B$9:$D$9,IFERROR(MATCH(IF($B115="Robusta","Robusta",(IF($B115="","Arabica",$B115))&amp;" - "&amp;(IF($C115="","Commercial",$C115))),Variables!$B$1:$D$1,0),1))*AC115/365),""))</f>
        <v>-28487.826139113658</v>
      </c>
      <c r="AU115" s="12">
        <f>IF($H115="Cancelled","",IFERROR((T115*INDEX(Variables!$B$7:$D$7,IFERROR(MATCH(IF($B115="Robusta","Robusta",(IF($B115="","Arabica",$B115))&amp;" - "&amp;(IF($C115="","Commercial",$C115))),Variables!$B$1:$D$1,0),1))*AP115/365)+(L115/16.67*INDEX(Variables!$B$8:$D$8,IFERROR(MATCH(IF($B115="Robusta","Robusta",(IF($B115="","Arabica",$B115))&amp;" - "&amp;(IF($C115="","Commercial",$C115))),Variables!$B$1:$D$1,0),1))*AP115)+(T115*INDEX(Variables!$B$9:$D$9,IFERROR(MATCH(IF($B115="Robusta","Robusta",(IF($B115="","Arabica",$B115))&amp;" - "&amp;(IF($C115="","Commercial",$C115))),Variables!$B$1:$D$1,0),1))*AP115/365),""))</f>
        <v>25408.061151101367</v>
      </c>
      <c r="AV115" s="11">
        <f t="shared" si="9"/>
        <v>-5</v>
      </c>
      <c r="AW115" s="12">
        <f>IF($H115="Cancelled","",IFERROR(IF(AV115="","",(T115*INDEX(Variables!$B$7:$D$7,IFERROR(MATCH(IF($B115="Robusta","Robusta",(IF($B115="","Arabica",$B115))&amp;" - "&amp;(IF($C115="","Commercial",$C115))),Variables!$B$1:$D$1,0),1))*(AV115/365))+(T115*INDEX(Variables!$B$9:$D$9,IFERROR(MATCH(IF($B115="Robusta","Robusta",(IF($B115="","Arabica",$B115))&amp;" - "&amp;(IF($C115="","Commercial",$C115))),Variables!$B$1:$D$1,0),1))*(AV115/365))+(INDEX(Variables!$B$8:$D$8,IFERROR(MATCH(IF($B115="Robusta","Robusta",(IF($B115="","Arabica",$B115))&amp;" - "&amp;(IF($C115="","Commercial",$C115))),Variables!$B$1:$D$1,0),1))*L115/16.67)),""))</f>
        <v>-635.23541167178644</v>
      </c>
      <c r="AX115" s="9"/>
      <c r="AY115" s="12"/>
      <c r="AZ115" s="10"/>
      <c r="BA115" s="9"/>
      <c r="BB115" s="10"/>
      <c r="BC115" s="9"/>
      <c r="BD115" s="9"/>
      <c r="BE115" s="9"/>
      <c r="BF115" s="9"/>
    </row>
    <row r="116" spans="1:58" x14ac:dyDescent="0.25">
      <c r="A116" s="9" t="s">
        <v>84</v>
      </c>
      <c r="B116" s="9" t="s">
        <v>85</v>
      </c>
      <c r="C116" s="9" t="s">
        <v>86</v>
      </c>
      <c r="D116" s="10">
        <v>45380</v>
      </c>
      <c r="E116" s="10">
        <v>45505</v>
      </c>
      <c r="F116" s="10">
        <v>45518</v>
      </c>
      <c r="G116" s="9">
        <v>3786265</v>
      </c>
      <c r="H116" s="9" t="str">
        <f t="shared" si="7"/>
        <v>Closed</v>
      </c>
      <c r="I116" s="9" t="str">
        <f t="shared" si="8"/>
        <v>All dates received</v>
      </c>
      <c r="J116" s="9" t="s">
        <v>210</v>
      </c>
      <c r="K116" s="9">
        <v>5029</v>
      </c>
      <c r="L116" s="11">
        <v>640</v>
      </c>
      <c r="M116" s="9" t="s">
        <v>389</v>
      </c>
      <c r="N116" s="9" t="s">
        <v>121</v>
      </c>
      <c r="O116" s="9"/>
      <c r="P116" s="9"/>
      <c r="Q116" s="11"/>
      <c r="R116" s="9" t="s">
        <v>90</v>
      </c>
      <c r="S116" s="9" t="s">
        <v>234</v>
      </c>
      <c r="T116" s="12">
        <f>IF($H116="Cancelled","",IFERROR(((Q116+INDEX(Variables!$B$6:$D$6,IFERROR(MATCH(IF($B116="Robusta","Robusta",(IF($B116="","Arabica",$B116))&amp;" - "&amp;(IF($C116="","Commercial",$C116))),Variables!$B$1:$D$1,0),1)))*22.0462)*(L116/16.67),""))</f>
        <v>246134.51556088781</v>
      </c>
      <c r="U116" s="10">
        <v>45457</v>
      </c>
      <c r="V116" s="9" t="str">
        <f t="shared" si="11"/>
        <v>Sent</v>
      </c>
      <c r="W116" s="10">
        <v>45471</v>
      </c>
      <c r="X116" s="9" t="str">
        <f t="shared" si="12"/>
        <v>Approved</v>
      </c>
      <c r="Y116" s="10"/>
      <c r="Z116" s="10">
        <f>IF($H116="Cancelled","",IFERROR(IF(F116="","",F116-Variables!$B$13),""))</f>
        <v>45503</v>
      </c>
      <c r="AA116" s="11">
        <f>IF($H116="Cancelled","",IFERROR(IF(W116="","",(AVERAGE(E116:F116)-W116)-Variables!$B$14),""))</f>
        <v>10.5</v>
      </c>
      <c r="AB116" s="10">
        <v>45511</v>
      </c>
      <c r="AC116" s="11">
        <f>IF($H116="Cancelled","",IFERROR(IF(AB116="","",IF(AND(W116="",Y116=""),"",IF(Y116&gt;W116,Y116+Variables!$B$15+Variables!$B$16+Variables!$B$17-AB116,W116+Variables!$B$16+Variables!$B$17-AB116))),""))</f>
        <v>-32</v>
      </c>
      <c r="AD116" s="9" t="s">
        <v>163</v>
      </c>
      <c r="AE116" s="9" t="s">
        <v>397</v>
      </c>
      <c r="AF116" s="10"/>
      <c r="AG116" s="10"/>
      <c r="AH116" s="9"/>
      <c r="AI116" s="9">
        <v>243137201</v>
      </c>
      <c r="AJ116" s="9" t="s">
        <v>8</v>
      </c>
      <c r="AK116" s="10">
        <v>45510</v>
      </c>
      <c r="AL116" s="10">
        <v>45519</v>
      </c>
      <c r="AM116" s="10">
        <v>45534</v>
      </c>
      <c r="AN116" s="9" t="s">
        <v>95</v>
      </c>
      <c r="AO116" s="9"/>
      <c r="AP116" s="11">
        <f>IF($H116="Cancelled","",IFERROR(IF(OR(AK116="",AB116=""),"",(AB116+Variables!$B$18-AK116)),""))</f>
        <v>8</v>
      </c>
      <c r="AQ116" s="11">
        <f>IF($H116="Cancelled","",IFERROR(IF(OR(AM116="",AK116=""),"",(AK116+Variables!$B$19)-AM116),""))</f>
        <v>-19</v>
      </c>
      <c r="AR116" s="12">
        <f>IF($H116="Cancelled","",IFERROR(T116*INDEX(Variables!$B$7:$D$7,IFERROR(MATCH(IF($B116="Robusta","Robusta",(IF($B116="","Arabica",$B116))&amp;" - "&amp;(IF($C116="","Commercial",$C116))),Variables!$B$1:$D$1,0),1))*(AQ116/365),""))</f>
        <v>-826.17700308686392</v>
      </c>
      <c r="AS116" s="12">
        <f>IF($H116="Cancelled","",IFERROR((T116*INDEX(Variables!$B$7:$D$7,IFERROR(MATCH(IF($B116="Robusta","Robusta",(IF($B116="","Arabica",$B116))&amp;" - "&amp;(IF($C116="","Commercial",$C116))),Variables!$B$1:$D$1,0),1))*IFERROR(IF(W116="","",(AVERAGE(E116:F116)-W116)-Variables!$B$14),"")/365)+(L116/16.67*INDEX(Variables!$B$8:$D$8,IFERROR(MATCH(IF($B116="Robusta","Robusta",(IF($B116="","Arabica",$B116))&amp;" - "&amp;(IF($C116="","Commercial",$C116))),Variables!$B$1:$D$1,0),1))*IFERROR(IF(W116="","",(AVERAGE(E116:F116)-W116)-Variables!$B$14),""))+(T116*INDEX(Variables!$B$9:$D$9,IFERROR(MATCH(IF($B116="Robusta","Robusta",(IF($B116="","Arabica",$B116))&amp;" - "&amp;(IF($C116="","Commercial",$C116))),Variables!$B$1:$D$1,0),1))*IFERROR(IF(W116="","",(AVERAGE(E116:F116)-W116)-Variables!$B$14),"")/365),""))</f>
        <v>798.4575894846671</v>
      </c>
      <c r="AT116" s="12">
        <f>IF($H116="Cancelled","",IFERROR((T116*INDEX(Variables!$B$7:$D$7,IFERROR(MATCH(IF($B116="Robusta","Robusta",(IF($B116="","Arabica",$B116))&amp;" - "&amp;(IF($C116="","Commercial",$C116))),Variables!$B$1:$D$1,0),1))*AC116/365)+(L116/16.67*INDEX(Variables!$B$8:$D$8,IFERROR(MATCH(IF($B116="Robusta","Robusta",(IF($B116="","Arabica",$B116))&amp;" - "&amp;(IF($C116="","Commercial",$C116))),Variables!$B$1:$D$1,0),1))*AC116)+(T116*INDEX(Variables!$B$9:$D$9,IFERROR(MATCH(IF($B116="Robusta","Robusta",(IF($B116="","Arabica",$B116))&amp;" - "&amp;(IF($C116="","Commercial",$C116))),Variables!$B$1:$D$1,0),1))*AC116/365),""))</f>
        <v>-2433.3945584294615</v>
      </c>
      <c r="AU116" s="12">
        <f>IF($H116="Cancelled","",IFERROR((T116*INDEX(Variables!$B$7:$D$7,IFERROR(MATCH(IF($B116="Robusta","Robusta",(IF($B116="","Arabica",$B116))&amp;" - "&amp;(IF($C116="","Commercial",$C116))),Variables!$B$1:$D$1,0),1))*AP116/365)+(L116/16.67*INDEX(Variables!$B$8:$D$8,IFERROR(MATCH(IF($B116="Robusta","Robusta",(IF($B116="","Arabica",$B116))&amp;" - "&amp;(IF($C116="","Commercial",$C116))),Variables!$B$1:$D$1,0),1))*AP116)+(T116*INDEX(Variables!$B$9:$D$9,IFERROR(MATCH(IF($B116="Robusta","Robusta",(IF($B116="","Arabica",$B116))&amp;" - "&amp;(IF($C116="","Commercial",$C116))),Variables!$B$1:$D$1,0),1))*AP116/365),""))</f>
        <v>608.34863960736539</v>
      </c>
      <c r="AV116" s="11">
        <f t="shared" si="9"/>
        <v>8</v>
      </c>
      <c r="AW116" s="12">
        <f>IF($H116="Cancelled","",IFERROR(IF(AV116="","",(T116*INDEX(Variables!$B$7:$D$7,IFERROR(MATCH(IF($B116="Robusta","Robusta",(IF($B116="","Arabica",$B116))&amp;" - "&amp;(IF($C116="","Commercial",$C116))),Variables!$B$1:$D$1,0),1))*(AV116/365))+(T116*INDEX(Variables!$B$9:$D$9,IFERROR(MATCH(IF($B116="Robusta","Robusta",(IF($B116="","Arabica",$B116))&amp;" - "&amp;(IF($C116="","Commercial",$C116))),Variables!$B$1:$D$1,0),1))*(AV116/365))+(INDEX(Variables!$B$8:$D$8,IFERROR(MATCH(IF($B116="Robusta","Robusta",(IF($B116="","Arabica",$B116))&amp;" - "&amp;(IF($C116="","Commercial",$C116))),Variables!$B$1:$D$1,0),1))*L116/16.67)),""))</f>
        <v>384.34863960736544</v>
      </c>
      <c r="AX116" s="9"/>
      <c r="AY116" s="12"/>
      <c r="AZ116" s="10"/>
      <c r="BA116" s="9"/>
      <c r="BB116" s="10"/>
      <c r="BC116" s="9"/>
      <c r="BD116" s="9"/>
      <c r="BE116" s="9"/>
      <c r="BF116" s="9"/>
    </row>
    <row r="117" spans="1:58" x14ac:dyDescent="0.25">
      <c r="A117" s="9" t="s">
        <v>84</v>
      </c>
      <c r="B117" s="9" t="s">
        <v>85</v>
      </c>
      <c r="C117" s="9" t="s">
        <v>86</v>
      </c>
      <c r="D117" s="10">
        <v>45380</v>
      </c>
      <c r="E117" s="10">
        <v>45505</v>
      </c>
      <c r="F117" s="10">
        <v>45518</v>
      </c>
      <c r="G117" s="9">
        <v>3786265</v>
      </c>
      <c r="H117" s="9" t="str">
        <f t="shared" si="7"/>
        <v>Closed</v>
      </c>
      <c r="I117" s="9" t="str">
        <f t="shared" si="8"/>
        <v>All dates received</v>
      </c>
      <c r="J117" s="9" t="s">
        <v>210</v>
      </c>
      <c r="K117" s="9">
        <v>5029</v>
      </c>
      <c r="L117" s="11">
        <v>640</v>
      </c>
      <c r="M117" s="9" t="s">
        <v>389</v>
      </c>
      <c r="N117" s="9" t="s">
        <v>121</v>
      </c>
      <c r="O117" s="9"/>
      <c r="P117" s="9"/>
      <c r="Q117" s="11"/>
      <c r="R117" s="9" t="s">
        <v>90</v>
      </c>
      <c r="S117" s="9" t="s">
        <v>234</v>
      </c>
      <c r="T117" s="12">
        <f>IF($H117="Cancelled","",IFERROR(((Q117+INDEX(Variables!$B$6:$D$6,IFERROR(MATCH(IF($B117="Robusta","Robusta",(IF($B117="","Arabica",$B117))&amp;" - "&amp;(IF($C117="","Commercial",$C117))),Variables!$B$1:$D$1,0),1)))*22.0462)*(L117/16.67),""))</f>
        <v>246134.51556088781</v>
      </c>
      <c r="U117" s="10">
        <v>45457</v>
      </c>
      <c r="V117" s="9" t="str">
        <f t="shared" si="11"/>
        <v>Sent</v>
      </c>
      <c r="W117" s="10">
        <v>45471</v>
      </c>
      <c r="X117" s="9" t="str">
        <f t="shared" si="12"/>
        <v>Approved</v>
      </c>
      <c r="Y117" s="10"/>
      <c r="Z117" s="10">
        <f>IF($H117="Cancelled","",IFERROR(IF(F117="","",F117-Variables!$B$13),""))</f>
        <v>45503</v>
      </c>
      <c r="AA117" s="11">
        <f>IF($H117="Cancelled","",IFERROR(IF(W117="","",(AVERAGE(E117:F117)-W117)-Variables!$B$14),""))</f>
        <v>10.5</v>
      </c>
      <c r="AB117" s="10">
        <v>45511</v>
      </c>
      <c r="AC117" s="11">
        <f>IF($H117="Cancelled","",IFERROR(IF(AB117="","",IF(AND(W117="",Y117=""),"",IF(Y117&gt;W117,Y117+Variables!$B$15+Variables!$B$16+Variables!$B$17-AB117,W117+Variables!$B$16+Variables!$B$17-AB117))),""))</f>
        <v>-32</v>
      </c>
      <c r="AD117" s="9" t="s">
        <v>163</v>
      </c>
      <c r="AE117" s="9" t="s">
        <v>398</v>
      </c>
      <c r="AF117" s="10"/>
      <c r="AG117" s="10"/>
      <c r="AH117" s="9"/>
      <c r="AI117" s="9">
        <v>242879192</v>
      </c>
      <c r="AJ117" s="9" t="s">
        <v>8</v>
      </c>
      <c r="AK117" s="10">
        <v>45527</v>
      </c>
      <c r="AL117" s="10">
        <v>45533</v>
      </c>
      <c r="AM117" s="10">
        <v>45534</v>
      </c>
      <c r="AN117" s="9" t="s">
        <v>95</v>
      </c>
      <c r="AO117" s="9"/>
      <c r="AP117" s="11">
        <f>IF($H117="Cancelled","",IFERROR(IF(OR(AK117="",AB117=""),"",(AB117+Variables!$B$18-AK117)),""))</f>
        <v>-9</v>
      </c>
      <c r="AQ117" s="11">
        <f>IF($H117="Cancelled","",IFERROR(IF(OR(AM117="",AK117=""),"",(AK117+Variables!$B$19)-AM117),""))</f>
        <v>-2</v>
      </c>
      <c r="AR117" s="12">
        <f>IF($H117="Cancelled","",IFERROR(T117*INDEX(Variables!$B$7:$D$7,IFERROR(MATCH(IF($B117="Robusta","Robusta",(IF($B117="","Arabica",$B117))&amp;" - "&amp;(IF($C117="","Commercial",$C117))),Variables!$B$1:$D$1,0),1))*(AQ117/365),""))</f>
        <v>-86.966000324933049</v>
      </c>
      <c r="AS117" s="12">
        <f>IF($H117="Cancelled","",IFERROR((T117*INDEX(Variables!$B$7:$D$7,IFERROR(MATCH(IF($B117="Robusta","Robusta",(IF($B117="","Arabica",$B117))&amp;" - "&amp;(IF($C117="","Commercial",$C117))),Variables!$B$1:$D$1,0),1))*IFERROR(IF(W117="","",(AVERAGE(E117:F117)-W117)-Variables!$B$14),"")/365)+(L117/16.67*INDEX(Variables!$B$8:$D$8,IFERROR(MATCH(IF($B117="Robusta","Robusta",(IF($B117="","Arabica",$B117))&amp;" - "&amp;(IF($C117="","Commercial",$C117))),Variables!$B$1:$D$1,0),1))*IFERROR(IF(W117="","",(AVERAGE(E117:F117)-W117)-Variables!$B$14),""))+(T117*INDEX(Variables!$B$9:$D$9,IFERROR(MATCH(IF($B117="Robusta","Robusta",(IF($B117="","Arabica",$B117))&amp;" - "&amp;(IF($C117="","Commercial",$C117))),Variables!$B$1:$D$1,0),1))*IFERROR(IF(W117="","",(AVERAGE(E117:F117)-W117)-Variables!$B$14),"")/365),""))</f>
        <v>798.4575894846671</v>
      </c>
      <c r="AT117" s="12">
        <f>IF($H117="Cancelled","",IFERROR((T117*INDEX(Variables!$B$7:$D$7,IFERROR(MATCH(IF($B117="Robusta","Robusta",(IF($B117="","Arabica",$B117))&amp;" - "&amp;(IF($C117="","Commercial",$C117))),Variables!$B$1:$D$1,0),1))*AC117/365)+(L117/16.67*INDEX(Variables!$B$8:$D$8,IFERROR(MATCH(IF($B117="Robusta","Robusta",(IF($B117="","Arabica",$B117))&amp;" - "&amp;(IF($C117="","Commercial",$C117))),Variables!$B$1:$D$1,0),1))*AC117)+(T117*INDEX(Variables!$B$9:$D$9,IFERROR(MATCH(IF($B117="Robusta","Robusta",(IF($B117="","Arabica",$B117))&amp;" - "&amp;(IF($C117="","Commercial",$C117))),Variables!$B$1:$D$1,0),1))*AC117/365),""))</f>
        <v>-2433.3945584294615</v>
      </c>
      <c r="AU117" s="12">
        <f>IF($H117="Cancelled","",IFERROR((T117*INDEX(Variables!$B$7:$D$7,IFERROR(MATCH(IF($B117="Robusta","Robusta",(IF($B117="","Arabica",$B117))&amp;" - "&amp;(IF($C117="","Commercial",$C117))),Variables!$B$1:$D$1,0),1))*AP117/365)+(L117/16.67*INDEX(Variables!$B$8:$D$8,IFERROR(MATCH(IF($B117="Robusta","Robusta",(IF($B117="","Arabica",$B117))&amp;" - "&amp;(IF($C117="","Commercial",$C117))),Variables!$B$1:$D$1,0),1))*AP117)+(T117*INDEX(Variables!$B$9:$D$9,IFERROR(MATCH(IF($B117="Robusta","Robusta",(IF($B117="","Arabica",$B117))&amp;" - "&amp;(IF($C117="","Commercial",$C117))),Variables!$B$1:$D$1,0),1))*AP117/365),""))</f>
        <v>-684.39221955828611</v>
      </c>
      <c r="AV117" s="11">
        <f t="shared" si="9"/>
        <v>-9</v>
      </c>
      <c r="AW117" s="12">
        <f>IF($H117="Cancelled","",IFERROR(IF(AV117="","",(T117*INDEX(Variables!$B$7:$D$7,IFERROR(MATCH(IF($B117="Robusta","Robusta",(IF($B117="","Arabica",$B117))&amp;" - "&amp;(IF($C117="","Commercial",$C117))),Variables!$B$1:$D$1,0),1))*(AV117/365))+(T117*INDEX(Variables!$B$9:$D$9,IFERROR(MATCH(IF($B117="Robusta","Robusta",(IF($B117="","Arabica",$B117))&amp;" - "&amp;(IF($C117="","Commercial",$C117))),Variables!$B$1:$D$1,0),1))*(AV117/365))+(INDEX(Variables!$B$8:$D$8,IFERROR(MATCH(IF($B117="Robusta","Robusta",(IF($B117="","Arabica",$B117))&amp;" - "&amp;(IF($C117="","Commercial",$C117))),Variables!$B$1:$D$1,0),1))*L117/16.67)),""))</f>
        <v>-364.39221955828611</v>
      </c>
      <c r="AX117" s="9"/>
      <c r="AY117" s="12"/>
      <c r="AZ117" s="10"/>
      <c r="BA117" s="9"/>
      <c r="BB117" s="10"/>
      <c r="BC117" s="9"/>
      <c r="BD117" s="9"/>
      <c r="BE117" s="9"/>
      <c r="BF117" s="9"/>
    </row>
    <row r="118" spans="1:58" x14ac:dyDescent="0.25">
      <c r="A118" s="9" t="s">
        <v>84</v>
      </c>
      <c r="B118" s="9" t="s">
        <v>85</v>
      </c>
      <c r="C118" s="9" t="s">
        <v>86</v>
      </c>
      <c r="D118" s="10">
        <v>45386</v>
      </c>
      <c r="E118" s="10">
        <v>45387</v>
      </c>
      <c r="F118" s="10">
        <v>45412</v>
      </c>
      <c r="G118" s="9">
        <v>3786285</v>
      </c>
      <c r="H118" s="9" t="str">
        <f t="shared" si="7"/>
        <v>Closed</v>
      </c>
      <c r="I118" s="9" t="str">
        <f t="shared" si="8"/>
        <v>All dates received</v>
      </c>
      <c r="J118" s="9" t="s">
        <v>102</v>
      </c>
      <c r="K118" s="9">
        <v>4895</v>
      </c>
      <c r="L118" s="11">
        <v>900</v>
      </c>
      <c r="M118" s="9" t="s">
        <v>399</v>
      </c>
      <c r="N118" s="9" t="s">
        <v>400</v>
      </c>
      <c r="O118" s="9"/>
      <c r="P118" s="9"/>
      <c r="Q118" s="11"/>
      <c r="R118" s="9" t="s">
        <v>90</v>
      </c>
      <c r="S118" s="9" t="s">
        <v>401</v>
      </c>
      <c r="T118" s="12">
        <f>IF($H118="Cancelled","",IFERROR(((Q118+INDEX(Variables!$B$6:$D$6,IFERROR(MATCH(IF($B118="Robusta","Robusta",(IF($B118="","Arabica",$B118))&amp;" - "&amp;(IF($C118="","Commercial",$C118))),Variables!$B$1:$D$1,0),1)))*22.0462)*(L118/16.67),""))</f>
        <v>346126.66250749846</v>
      </c>
      <c r="U118" s="10">
        <v>45394</v>
      </c>
      <c r="V118" s="9" t="str">
        <f t="shared" si="11"/>
        <v>Sent</v>
      </c>
      <c r="W118" s="10">
        <v>45416</v>
      </c>
      <c r="X118" s="9" t="str">
        <f t="shared" si="12"/>
        <v>Approved</v>
      </c>
      <c r="Y118" s="10"/>
      <c r="Z118" s="10">
        <f>IF($H118="Cancelled","",IFERROR(IF(F118="","",F118-Variables!$B$13),""))</f>
        <v>45397</v>
      </c>
      <c r="AA118" s="11">
        <f>IF($H118="Cancelled","",IFERROR(IF(W118="","",(AVERAGE(E118:F118)-W118)-Variables!$B$14),""))</f>
        <v>-46.5</v>
      </c>
      <c r="AB118" s="10">
        <v>45511</v>
      </c>
      <c r="AC118" s="11">
        <f>IF($H118="Cancelled","",IFERROR(IF(AB118="","",IF(AND(W118="",Y118=""),"",IF(Y118&gt;W118,Y118+Variables!$B$15+Variables!$B$16+Variables!$B$17-AB118,W118+Variables!$B$16+Variables!$B$17-AB118))),""))</f>
        <v>-87</v>
      </c>
      <c r="AD118" s="9" t="s">
        <v>107</v>
      </c>
      <c r="AE118" s="9" t="s">
        <v>189</v>
      </c>
      <c r="AF118" s="10"/>
      <c r="AG118" s="10"/>
      <c r="AH118" s="9"/>
      <c r="AI118" s="9" t="s">
        <v>402</v>
      </c>
      <c r="AJ118" s="9" t="s">
        <v>403</v>
      </c>
      <c r="AK118" s="10">
        <v>45440</v>
      </c>
      <c r="AL118" s="10">
        <v>45442</v>
      </c>
      <c r="AM118" s="10">
        <v>45450</v>
      </c>
      <c r="AN118" s="9" t="s">
        <v>95</v>
      </c>
      <c r="AO118" s="9"/>
      <c r="AP118" s="11">
        <f>IF($H118="Cancelled","",IFERROR(IF(OR(AK118="",AB118=""),"",(AB118+Variables!$B$18-AK118)),""))</f>
        <v>78</v>
      </c>
      <c r="AQ118" s="11">
        <f>IF($H118="Cancelled","",IFERROR(IF(OR(AM118="",AK118=""),"",(AK118+Variables!$B$19)-AM118),""))</f>
        <v>-5</v>
      </c>
      <c r="AR118" s="12">
        <f>IF($H118="Cancelled","",IFERROR(T118*INDEX(Variables!$B$7:$D$7,IFERROR(MATCH(IF($B118="Robusta","Robusta",(IF($B118="","Arabica",$B118))&amp;" - "&amp;(IF($C118="","Commercial",$C118))),Variables!$B$1:$D$1,0),1))*(AQ118/365),""))</f>
        <v>-305.73984489234266</v>
      </c>
      <c r="AS118" s="12">
        <f>IF($H118="Cancelled","",IFERROR((T118*INDEX(Variables!$B$7:$D$7,IFERROR(MATCH(IF($B118="Robusta","Robusta",(IF($B118="","Arabica",$B118))&amp;" - "&amp;(IF($C118="","Commercial",$C118))),Variables!$B$1:$D$1,0),1))*IFERROR(IF(W118="","",(AVERAGE(E118:F118)-W118)-Variables!$B$14),"")/365)+(L118/16.67*INDEX(Variables!$B$8:$D$8,IFERROR(MATCH(IF($B118="Robusta","Robusta",(IF($B118="","Arabica",$B118))&amp;" - "&amp;(IF($C118="","Commercial",$C118))),Variables!$B$1:$D$1,0),1))*IFERROR(IF(W118="","",(AVERAGE(E118:F118)-W118)-Variables!$B$14),""))+(T118*INDEX(Variables!$B$9:$D$9,IFERROR(MATCH(IF($B118="Robusta","Robusta",(IF($B118="","Arabica",$B118))&amp;" - "&amp;(IF($C118="","Commercial",$C118))),Variables!$B$1:$D$1,0),1))*IFERROR(IF(W118="","",(AVERAGE(E118:F118)-W118)-Variables!$B$14),"")/365),""))</f>
        <v>-4972.5372202281724</v>
      </c>
      <c r="AT118" s="12">
        <f>IF($H118="Cancelled","",IFERROR((T118*INDEX(Variables!$B$7:$D$7,IFERROR(MATCH(IF($B118="Robusta","Robusta",(IF($B118="","Arabica",$B118))&amp;" - "&amp;(IF($C118="","Commercial",$C118))),Variables!$B$1:$D$1,0),1))*AC118/365)+(L118/16.67*INDEX(Variables!$B$8:$D$8,IFERROR(MATCH(IF($B118="Robusta","Robusta",(IF($B118="","Arabica",$B118))&amp;" - "&amp;(IF($C118="","Commercial",$C118))),Variables!$B$1:$D$1,0),1))*AC118)+(T118*INDEX(Variables!$B$9:$D$9,IFERROR(MATCH(IF($B118="Robusta","Robusta",(IF($B118="","Arabica",$B118))&amp;" - "&amp;(IF($C118="","Commercial",$C118))),Variables!$B$1:$D$1,0),1))*AC118/365),""))</f>
        <v>-9303.4567346204494</v>
      </c>
      <c r="AU118" s="12">
        <f>IF($H118="Cancelled","",IFERROR((T118*INDEX(Variables!$B$7:$D$7,IFERROR(MATCH(IF($B118="Robusta","Robusta",(IF($B118="","Arabica",$B118))&amp;" - "&amp;(IF($C118="","Commercial",$C118))),Variables!$B$1:$D$1,0),1))*AP118/365)+(L118/16.67*INDEX(Variables!$B$8:$D$8,IFERROR(MATCH(IF($B118="Robusta","Robusta",(IF($B118="","Arabica",$B118))&amp;" - "&amp;(IF($C118="","Commercial",$C118))),Variables!$B$1:$D$1,0),1))*AP118)+(T118*INDEX(Variables!$B$9:$D$9,IFERROR(MATCH(IF($B118="Robusta","Robusta",(IF($B118="","Arabica",$B118))&amp;" - "&amp;(IF($C118="","Commercial",$C118))),Variables!$B$1:$D$1,0),1))*AP118/365),""))</f>
        <v>8341.0301758666119</v>
      </c>
      <c r="AV118" s="11">
        <f t="shared" si="9"/>
        <v>-28</v>
      </c>
      <c r="AW118" s="12">
        <f>IF($H118="Cancelled","",IFERROR(IF(AV118="","",(T118*INDEX(Variables!$B$7:$D$7,IFERROR(MATCH(IF($B118="Robusta","Robusta",(IF($B118="","Arabica",$B118))&amp;" - "&amp;(IF($C118="","Commercial",$C118))),Variables!$B$1:$D$1,0),1))*(AV118/365))+(T118*INDEX(Variables!$B$9:$D$9,IFERROR(MATCH(IF($B118="Robusta","Robusta",(IF($B118="","Arabica",$B118))&amp;" - "&amp;(IF($C118="","Commercial",$C118))),Variables!$B$1:$D$1,0),1))*(AV118/365))+(INDEX(Variables!$B$8:$D$8,IFERROR(MATCH(IF($B118="Robusta","Robusta",(IF($B118="","Arabica",$B118))&amp;" - "&amp;(IF($C118="","Commercial",$C118))),Variables!$B$1:$D$1,0),1))*L118/16.67)),""))</f>
        <v>-1689.2159605675015</v>
      </c>
      <c r="AX118" s="9"/>
      <c r="AY118" s="12"/>
      <c r="AZ118" s="10"/>
      <c r="BA118" s="9"/>
      <c r="BB118" s="10"/>
      <c r="BC118" s="9"/>
      <c r="BD118" s="9"/>
      <c r="BE118" s="9"/>
      <c r="BF118" s="9"/>
    </row>
    <row r="119" spans="1:58" x14ac:dyDescent="0.25">
      <c r="A119" s="9" t="s">
        <v>84</v>
      </c>
      <c r="B119" s="9" t="s">
        <v>85</v>
      </c>
      <c r="C119" s="9" t="s">
        <v>86</v>
      </c>
      <c r="D119" s="10">
        <v>45390</v>
      </c>
      <c r="E119" s="10">
        <v>45474</v>
      </c>
      <c r="F119" s="10">
        <v>45504</v>
      </c>
      <c r="G119" s="9">
        <v>3786288</v>
      </c>
      <c r="H119" s="9" t="str">
        <f t="shared" si="7"/>
        <v>Closed</v>
      </c>
      <c r="I119" s="9" t="str">
        <f t="shared" si="8"/>
        <v>All dates received</v>
      </c>
      <c r="J119" s="9" t="s">
        <v>235</v>
      </c>
      <c r="K119" s="9"/>
      <c r="L119" s="11">
        <v>640</v>
      </c>
      <c r="M119" s="9" t="s">
        <v>404</v>
      </c>
      <c r="N119" s="9" t="s">
        <v>405</v>
      </c>
      <c r="O119" s="9"/>
      <c r="P119" s="9"/>
      <c r="Q119" s="11"/>
      <c r="R119" s="9" t="s">
        <v>90</v>
      </c>
      <c r="S119" s="9" t="s">
        <v>106</v>
      </c>
      <c r="T119" s="12">
        <f>IF($H119="Cancelled","",IFERROR(((Q119+INDEX(Variables!$B$6:$D$6,IFERROR(MATCH(IF($B119="Robusta","Robusta",(IF($B119="","Arabica",$B119))&amp;" - "&amp;(IF($C119="","Commercial",$C119))),Variables!$B$1:$D$1,0),1)))*22.0462)*(L119/16.67),""))</f>
        <v>246134.51556088781</v>
      </c>
      <c r="U119" s="10">
        <v>45428</v>
      </c>
      <c r="V119" s="9" t="str">
        <f t="shared" si="11"/>
        <v>Sent</v>
      </c>
      <c r="W119" s="10">
        <v>45434</v>
      </c>
      <c r="X119" s="9" t="str">
        <f t="shared" si="12"/>
        <v>Approved</v>
      </c>
      <c r="Y119" s="10"/>
      <c r="Z119" s="10">
        <f>IF($H119="Cancelled","",IFERROR(IF(F119="","",F119-Variables!$B$13),""))</f>
        <v>45489</v>
      </c>
      <c r="AA119" s="11">
        <f>IF($H119="Cancelled","",IFERROR(IF(W119="","",(AVERAGE(E119:F119)-W119)-Variables!$B$14),""))</f>
        <v>25</v>
      </c>
      <c r="AB119" s="10">
        <v>45513</v>
      </c>
      <c r="AC119" s="11">
        <f>IF($H119="Cancelled","",IFERROR(IF(AB119="","",IF(AND(W119="",Y119=""),"",IF(Y119&gt;W119,Y119+Variables!$B$15+Variables!$B$16+Variables!$B$17-AB119,W119+Variables!$B$16+Variables!$B$17-AB119))),""))</f>
        <v>-71</v>
      </c>
      <c r="AD119" s="9" t="s">
        <v>107</v>
      </c>
      <c r="AE119" s="9" t="s">
        <v>364</v>
      </c>
      <c r="AF119" s="10"/>
      <c r="AG119" s="10"/>
      <c r="AH119" s="9"/>
      <c r="AI119" s="9" t="s">
        <v>406</v>
      </c>
      <c r="AJ119" s="9" t="s">
        <v>8</v>
      </c>
      <c r="AK119" s="10">
        <v>45491</v>
      </c>
      <c r="AL119" s="10">
        <v>45492</v>
      </c>
      <c r="AM119" s="10">
        <v>45498</v>
      </c>
      <c r="AN119" s="9" t="s">
        <v>95</v>
      </c>
      <c r="AO119" s="9"/>
      <c r="AP119" s="11">
        <f>IF($H119="Cancelled","",IFERROR(IF(OR(AK119="",AB119=""),"",(AB119+Variables!$B$18-AK119)),""))</f>
        <v>29</v>
      </c>
      <c r="AQ119" s="11">
        <f>IF($H119="Cancelled","",IFERROR(IF(OR(AM119="",AK119=""),"",(AK119+Variables!$B$19)-AM119),""))</f>
        <v>-2</v>
      </c>
      <c r="AR119" s="12">
        <f>IF($H119="Cancelled","",IFERROR(T119*INDEX(Variables!$B$7:$D$7,IFERROR(MATCH(IF($B119="Robusta","Robusta",(IF($B119="","Arabica",$B119))&amp;" - "&amp;(IF($C119="","Commercial",$C119))),Variables!$B$1:$D$1,0),1))*(AQ119/365),""))</f>
        <v>-86.966000324933049</v>
      </c>
      <c r="AS119" s="12">
        <f>IF($H119="Cancelled","",IFERROR((T119*INDEX(Variables!$B$7:$D$7,IFERROR(MATCH(IF($B119="Robusta","Robusta",(IF($B119="","Arabica",$B119))&amp;" - "&amp;(IF($C119="","Commercial",$C119))),Variables!$B$1:$D$1,0),1))*IFERROR(IF(W119="","",(AVERAGE(E119:F119)-W119)-Variables!$B$14),"")/365)+(L119/16.67*INDEX(Variables!$B$8:$D$8,IFERROR(MATCH(IF($B119="Robusta","Robusta",(IF($B119="","Arabica",$B119))&amp;" - "&amp;(IF($C119="","Commercial",$C119))),Variables!$B$1:$D$1,0),1))*IFERROR(IF(W119="","",(AVERAGE(E119:F119)-W119)-Variables!$B$14),""))+(T119*INDEX(Variables!$B$9:$D$9,IFERROR(MATCH(IF($B119="Robusta","Robusta",(IF($B119="","Arabica",$B119))&amp;" - "&amp;(IF($C119="","Commercial",$C119))),Variables!$B$1:$D$1,0),1))*IFERROR(IF(W119="","",(AVERAGE(E119:F119)-W119)-Variables!$B$14),"")/365),""))</f>
        <v>1901.0894987730169</v>
      </c>
      <c r="AT119" s="12">
        <f>IF($H119="Cancelled","",IFERROR((T119*INDEX(Variables!$B$7:$D$7,IFERROR(MATCH(IF($B119="Robusta","Robusta",(IF($B119="","Arabica",$B119))&amp;" - "&amp;(IF($C119="","Commercial",$C119))),Variables!$B$1:$D$1,0),1))*AC119/365)+(L119/16.67*INDEX(Variables!$B$8:$D$8,IFERROR(MATCH(IF($B119="Robusta","Robusta",(IF($B119="","Arabica",$B119))&amp;" - "&amp;(IF($C119="","Commercial",$C119))),Variables!$B$1:$D$1,0),1))*AC119)+(T119*INDEX(Variables!$B$9:$D$9,IFERROR(MATCH(IF($B119="Robusta","Robusta",(IF($B119="","Arabica",$B119))&amp;" - "&amp;(IF($C119="","Commercial",$C119))),Variables!$B$1:$D$1,0),1))*AC119/365),""))</f>
        <v>-5399.0941765153675</v>
      </c>
      <c r="AU119" s="12">
        <f>IF($H119="Cancelled","",IFERROR((T119*INDEX(Variables!$B$7:$D$7,IFERROR(MATCH(IF($B119="Robusta","Robusta",(IF($B119="","Arabica",$B119))&amp;" - "&amp;(IF($C119="","Commercial",$C119))),Variables!$B$1:$D$1,0),1))*AP119/365)+(L119/16.67*INDEX(Variables!$B$8:$D$8,IFERROR(MATCH(IF($B119="Robusta","Robusta",(IF($B119="","Arabica",$B119))&amp;" - "&amp;(IF($C119="","Commercial",$C119))),Variables!$B$1:$D$1,0),1))*AP119)+(T119*INDEX(Variables!$B$9:$D$9,IFERROR(MATCH(IF($B119="Robusta","Robusta",(IF($B119="","Arabica",$B119))&amp;" - "&amp;(IF($C119="","Commercial",$C119))),Variables!$B$1:$D$1,0),1))*AP119/365),""))</f>
        <v>2205.2638185766996</v>
      </c>
      <c r="AV119" s="11">
        <f t="shared" si="9"/>
        <v>13</v>
      </c>
      <c r="AW119" s="12">
        <f>IF($H119="Cancelled","",IFERROR(IF(AV119="","",(T119*INDEX(Variables!$B$7:$D$7,IFERROR(MATCH(IF($B119="Robusta","Robusta",(IF($B119="","Arabica",$B119))&amp;" - "&amp;(IF($C119="","Commercial",$C119))),Variables!$B$1:$D$1,0),1))*(AV119/365))+(T119*INDEX(Variables!$B$9:$D$9,IFERROR(MATCH(IF($B119="Robusta","Robusta",(IF($B119="","Arabica",$B119))&amp;" - "&amp;(IF($C119="","Commercial",$C119))),Variables!$B$1:$D$1,0),1))*(AV119/365))+(INDEX(Variables!$B$8:$D$8,IFERROR(MATCH(IF($B119="Robusta","Robusta",(IF($B119="","Arabica",$B119))&amp;" - "&amp;(IF($C119="","Commercial",$C119))),Variables!$B$1:$D$1,0),1))*L119/16.67)),""))</f>
        <v>604.56653936196869</v>
      </c>
      <c r="AX119" s="9"/>
      <c r="AY119" s="12"/>
      <c r="AZ119" s="10"/>
      <c r="BA119" s="9"/>
      <c r="BB119" s="10"/>
      <c r="BC119" s="9"/>
      <c r="BD119" s="9"/>
      <c r="BE119" s="9"/>
      <c r="BF119" s="9"/>
    </row>
    <row r="120" spans="1:58" x14ac:dyDescent="0.25">
      <c r="A120" s="9" t="s">
        <v>84</v>
      </c>
      <c r="B120" s="9" t="s">
        <v>85</v>
      </c>
      <c r="C120" s="9" t="s">
        <v>86</v>
      </c>
      <c r="D120" s="10">
        <v>45398</v>
      </c>
      <c r="E120" s="10">
        <v>45444</v>
      </c>
      <c r="F120" s="10">
        <v>45503</v>
      </c>
      <c r="G120" s="9">
        <v>3786302</v>
      </c>
      <c r="H120" s="9" t="str">
        <f t="shared" si="7"/>
        <v>Closed</v>
      </c>
      <c r="I120" s="9" t="str">
        <f t="shared" si="8"/>
        <v>All dates received</v>
      </c>
      <c r="J120" s="9" t="s">
        <v>102</v>
      </c>
      <c r="K120" s="9">
        <v>4933</v>
      </c>
      <c r="L120" s="11">
        <v>1440</v>
      </c>
      <c r="M120" s="9" t="s">
        <v>407</v>
      </c>
      <c r="N120" s="9" t="s">
        <v>161</v>
      </c>
      <c r="O120" s="9"/>
      <c r="P120" s="9"/>
      <c r="Q120" s="11"/>
      <c r="R120" s="9" t="s">
        <v>90</v>
      </c>
      <c r="S120" s="9" t="s">
        <v>172</v>
      </c>
      <c r="T120" s="12">
        <f>IF($H120="Cancelled","",IFERROR(((Q120+INDEX(Variables!$B$6:$D$6,IFERROR(MATCH(IF($B120="Robusta","Robusta",(IF($B120="","Arabica",$B120))&amp;" - "&amp;(IF($C120="","Commercial",$C120))),Variables!$B$1:$D$1,0),1)))*22.0462)*(L120/16.67),""))</f>
        <v>553802.66001199756</v>
      </c>
      <c r="U120" s="10">
        <v>45411</v>
      </c>
      <c r="V120" s="9" t="str">
        <f t="shared" si="11"/>
        <v>Sent</v>
      </c>
      <c r="W120" s="10">
        <v>45418</v>
      </c>
      <c r="X120" s="9" t="str">
        <f t="shared" si="12"/>
        <v>Approved</v>
      </c>
      <c r="Y120" s="10"/>
      <c r="Z120" s="10">
        <f>IF($H120="Cancelled","",IFERROR(IF(F120="","",F120-Variables!$B$13),""))</f>
        <v>45488</v>
      </c>
      <c r="AA120" s="11">
        <f>IF($H120="Cancelled","",IFERROR(IF(W120="","",(AVERAGE(E120:F120)-W120)-Variables!$B$14),""))</f>
        <v>25.5</v>
      </c>
      <c r="AB120" s="10">
        <v>45513</v>
      </c>
      <c r="AC120" s="11">
        <f>IF($H120="Cancelled","",IFERROR(IF(AB120="","",IF(AND(W120="",Y120=""),"",IF(Y120&gt;W120,Y120+Variables!$B$15+Variables!$B$16+Variables!$B$17-AB120,W120+Variables!$B$16+Variables!$B$17-AB120))),""))</f>
        <v>-87</v>
      </c>
      <c r="AD120" s="9" t="s">
        <v>163</v>
      </c>
      <c r="AE120" s="9" t="s">
        <v>408</v>
      </c>
      <c r="AF120" s="10"/>
      <c r="AG120" s="10"/>
      <c r="AH120" s="9"/>
      <c r="AI120" s="9">
        <v>239420311</v>
      </c>
      <c r="AJ120" s="9" t="s">
        <v>8</v>
      </c>
      <c r="AK120" s="10">
        <v>45469</v>
      </c>
      <c r="AL120" s="10">
        <v>45470</v>
      </c>
      <c r="AM120" s="10">
        <v>45470</v>
      </c>
      <c r="AN120" s="9" t="s">
        <v>95</v>
      </c>
      <c r="AO120" s="9"/>
      <c r="AP120" s="11">
        <f>IF($H120="Cancelled","",IFERROR(IF(OR(AK120="",AB120=""),"",(AB120+Variables!$B$18-AK120)),""))</f>
        <v>51</v>
      </c>
      <c r="AQ120" s="11">
        <f>IF($H120="Cancelled","",IFERROR(IF(OR(AM120="",AK120=""),"",(AK120+Variables!$B$19)-AM120),""))</f>
        <v>4</v>
      </c>
      <c r="AR120" s="12">
        <f>IF($H120="Cancelled","",IFERROR(T120*INDEX(Variables!$B$7:$D$7,IFERROR(MATCH(IF($B120="Robusta","Robusta",(IF($B120="","Arabica",$B120))&amp;" - "&amp;(IF($C120="","Commercial",$C120))),Variables!$B$1:$D$1,0),1))*(AQ120/365),""))</f>
        <v>391.3470014621987</v>
      </c>
      <c r="AS120" s="12">
        <f>IF($H120="Cancelled","",IFERROR((T120*INDEX(Variables!$B$7:$D$7,IFERROR(MATCH(IF($B120="Robusta","Robusta",(IF($B120="","Arabica",$B120))&amp;" - "&amp;(IF($C120="","Commercial",$C120))),Variables!$B$1:$D$1,0),1))*IFERROR(IF(W120="","",(AVERAGE(E120:F120)-W120)-Variables!$B$14),"")/365)+(L120/16.67*INDEX(Variables!$B$8:$D$8,IFERROR(MATCH(IF($B120="Robusta","Robusta",(IF($B120="","Arabica",$B120))&amp;" - "&amp;(IF($C120="","Commercial",$C120))),Variables!$B$1:$D$1,0),1))*IFERROR(IF(W120="","",(AVERAGE(E120:F120)-W120)-Variables!$B$14),""))+(T120*INDEX(Variables!$B$9:$D$9,IFERROR(MATCH(IF($B120="Robusta","Robusta",(IF($B120="","Arabica",$B120))&amp;" - "&amp;(IF($C120="","Commercial",$C120))),Variables!$B$1:$D$1,0),1))*IFERROR(IF(W120="","",(AVERAGE(E120:F120)-W120)-Variables!$B$14),"")/365),""))</f>
        <v>4363.0003996840742</v>
      </c>
      <c r="AT120" s="12">
        <f>IF($H120="Cancelled","",IFERROR((T120*INDEX(Variables!$B$7:$D$7,IFERROR(MATCH(IF($B120="Robusta","Robusta",(IF($B120="","Arabica",$B120))&amp;" - "&amp;(IF($C120="","Commercial",$C120))),Variables!$B$1:$D$1,0),1))*AC120/365)+(L120/16.67*INDEX(Variables!$B$8:$D$8,IFERROR(MATCH(IF($B120="Robusta","Robusta",(IF($B120="","Arabica",$B120))&amp;" - "&amp;(IF($C120="","Commercial",$C120))),Variables!$B$1:$D$1,0),1))*AC120)+(T120*INDEX(Variables!$B$9:$D$9,IFERROR(MATCH(IF($B120="Robusta","Robusta",(IF($B120="","Arabica",$B120))&amp;" - "&amp;(IF($C120="","Commercial",$C120))),Variables!$B$1:$D$1,0),1))*AC120/365),""))</f>
        <v>-14885.530775392725</v>
      </c>
      <c r="AU120" s="12">
        <f>IF($H120="Cancelled","",IFERROR((T120*INDEX(Variables!$B$7:$D$7,IFERROR(MATCH(IF($B120="Robusta","Robusta",(IF($B120="","Arabica",$B120))&amp;" - "&amp;(IF($C120="","Commercial",$C120))),Variables!$B$1:$D$1,0),1))*AP120/365)+(L120/16.67*INDEX(Variables!$B$8:$D$8,IFERROR(MATCH(IF($B120="Robusta","Robusta",(IF($B120="","Arabica",$B120))&amp;" - "&amp;(IF($C120="","Commercial",$C120))),Variables!$B$1:$D$1,0),1))*AP120)+(T120*INDEX(Variables!$B$9:$D$9,IFERROR(MATCH(IF($B120="Robusta","Robusta",(IF($B120="","Arabica",$B120))&amp;" - "&amp;(IF($C120="","Commercial",$C120))),Variables!$B$1:$D$1,0),1))*AP120/365),""))</f>
        <v>8726.0007993681484</v>
      </c>
      <c r="AV120" s="11">
        <f t="shared" si="9"/>
        <v>34</v>
      </c>
      <c r="AW120" s="12">
        <f>IF($H120="Cancelled","",IFERROR(IF(AV120="","",(T120*INDEX(Variables!$B$7:$D$7,IFERROR(MATCH(IF($B120="Robusta","Robusta",(IF($B120="","Arabica",$B120))&amp;" - "&amp;(IF($C120="","Commercial",$C120))),Variables!$B$1:$D$1,0),1))*(AV120/365))+(T120*INDEX(Variables!$B$9:$D$9,IFERROR(MATCH(IF($B120="Robusta","Robusta",(IF($B120="","Arabica",$B120))&amp;" - "&amp;(IF($C120="","Commercial",$C120))),Variables!$B$1:$D$1,0),1))*(AV120/365))+(INDEX(Variables!$B$8:$D$8,IFERROR(MATCH(IF($B120="Robusta","Robusta",(IF($B120="","Arabica",$B120))&amp;" - "&amp;(IF($C120="","Commercial",$C120))),Variables!$B$1:$D$1,0),1))*L120/16.67)),""))</f>
        <v>3441.3338662454316</v>
      </c>
      <c r="AX120" s="9"/>
      <c r="AY120" s="12"/>
      <c r="AZ120" s="10"/>
      <c r="BA120" s="9"/>
      <c r="BB120" s="10"/>
      <c r="BC120" s="9"/>
      <c r="BD120" s="9"/>
      <c r="BE120" s="9"/>
      <c r="BF120" s="9"/>
    </row>
    <row r="121" spans="1:58" x14ac:dyDescent="0.25">
      <c r="A121" s="9" t="s">
        <v>84</v>
      </c>
      <c r="B121" s="9" t="s">
        <v>85</v>
      </c>
      <c r="C121" s="9" t="s">
        <v>86</v>
      </c>
      <c r="D121" s="10">
        <v>45398</v>
      </c>
      <c r="E121" s="10">
        <v>45444</v>
      </c>
      <c r="F121" s="10">
        <v>45503</v>
      </c>
      <c r="G121" s="9">
        <v>3786306</v>
      </c>
      <c r="H121" s="9" t="str">
        <f t="shared" si="7"/>
        <v>Closed</v>
      </c>
      <c r="I121" s="9" t="str">
        <f t="shared" si="8"/>
        <v>All dates received</v>
      </c>
      <c r="J121" s="9" t="s">
        <v>102</v>
      </c>
      <c r="K121" s="9">
        <v>4932</v>
      </c>
      <c r="L121" s="11">
        <v>1440</v>
      </c>
      <c r="M121" s="9" t="s">
        <v>409</v>
      </c>
      <c r="N121" s="9" t="s">
        <v>122</v>
      </c>
      <c r="O121" s="9"/>
      <c r="P121" s="9"/>
      <c r="Q121" s="11"/>
      <c r="R121" s="9" t="s">
        <v>90</v>
      </c>
      <c r="S121" s="9" t="s">
        <v>162</v>
      </c>
      <c r="T121" s="12">
        <f>IF($H121="Cancelled","",IFERROR(((Q121+INDEX(Variables!$B$6:$D$6,IFERROR(MATCH(IF($B121="Robusta","Robusta",(IF($B121="","Arabica",$B121))&amp;" - "&amp;(IF($C121="","Commercial",$C121))),Variables!$B$1:$D$1,0),1)))*22.0462)*(L121/16.67),""))</f>
        <v>553802.66001199756</v>
      </c>
      <c r="U121" s="10">
        <v>45411</v>
      </c>
      <c r="V121" s="9" t="str">
        <f t="shared" si="11"/>
        <v>Sent</v>
      </c>
      <c r="W121" s="10">
        <v>45418</v>
      </c>
      <c r="X121" s="9" t="str">
        <f t="shared" si="12"/>
        <v>Approved</v>
      </c>
      <c r="Y121" s="10"/>
      <c r="Z121" s="10">
        <f>IF($H121="Cancelled","",IFERROR(IF(F121="","",F121-Variables!$B$13),""))</f>
        <v>45488</v>
      </c>
      <c r="AA121" s="11">
        <f>IF($H121="Cancelled","",IFERROR(IF(W121="","",(AVERAGE(E121:F121)-W121)-Variables!$B$14),""))</f>
        <v>25.5</v>
      </c>
      <c r="AB121" s="10">
        <v>45513</v>
      </c>
      <c r="AC121" s="11">
        <f>IF($H121="Cancelled","",IFERROR(IF(AB121="","",IF(AND(W121="",Y121=""),"",IF(Y121&gt;W121,Y121+Variables!$B$15+Variables!$B$16+Variables!$B$17-AB121,W121+Variables!$B$16+Variables!$B$17-AB121))),""))</f>
        <v>-87</v>
      </c>
      <c r="AD121" s="9" t="s">
        <v>180</v>
      </c>
      <c r="AE121" s="9" t="s">
        <v>254</v>
      </c>
      <c r="AF121" s="10"/>
      <c r="AG121" s="10"/>
      <c r="AH121" s="9"/>
      <c r="AI121" s="9" t="s">
        <v>410</v>
      </c>
      <c r="AJ121" s="9" t="s">
        <v>8</v>
      </c>
      <c r="AK121" s="10">
        <v>45481</v>
      </c>
      <c r="AL121" s="10">
        <v>45483</v>
      </c>
      <c r="AM121" s="10">
        <v>45496</v>
      </c>
      <c r="AN121" s="9" t="s">
        <v>95</v>
      </c>
      <c r="AO121" s="9"/>
      <c r="AP121" s="11">
        <f>IF($H121="Cancelled","",IFERROR(IF(OR(AK121="",AB121=""),"",(AB121+Variables!$B$18-AK121)),""))</f>
        <v>39</v>
      </c>
      <c r="AQ121" s="11">
        <f>IF($H121="Cancelled","",IFERROR(IF(OR(AM121="",AK121=""),"",(AK121+Variables!$B$19)-AM121),""))</f>
        <v>-10</v>
      </c>
      <c r="AR121" s="12">
        <f>IF($H121="Cancelled","",IFERROR(T121*INDEX(Variables!$B$7:$D$7,IFERROR(MATCH(IF($B121="Robusta","Robusta",(IF($B121="","Arabica",$B121))&amp;" - "&amp;(IF($C121="","Commercial",$C121))),Variables!$B$1:$D$1,0),1))*(AQ121/365),""))</f>
        <v>-978.36750365549665</v>
      </c>
      <c r="AS121" s="12">
        <f>IF($H121="Cancelled","",IFERROR((T121*INDEX(Variables!$B$7:$D$7,IFERROR(MATCH(IF($B121="Robusta","Robusta",(IF($B121="","Arabica",$B121))&amp;" - "&amp;(IF($C121="","Commercial",$C121))),Variables!$B$1:$D$1,0),1))*IFERROR(IF(W121="","",(AVERAGE(E121:F121)-W121)-Variables!$B$14),"")/365)+(L121/16.67*INDEX(Variables!$B$8:$D$8,IFERROR(MATCH(IF($B121="Robusta","Robusta",(IF($B121="","Arabica",$B121))&amp;" - "&amp;(IF($C121="","Commercial",$C121))),Variables!$B$1:$D$1,0),1))*IFERROR(IF(W121="","",(AVERAGE(E121:F121)-W121)-Variables!$B$14),""))+(T121*INDEX(Variables!$B$9:$D$9,IFERROR(MATCH(IF($B121="Robusta","Robusta",(IF($B121="","Arabica",$B121))&amp;" - "&amp;(IF($C121="","Commercial",$C121))),Variables!$B$1:$D$1,0),1))*IFERROR(IF(W121="","",(AVERAGE(E121:F121)-W121)-Variables!$B$14),"")/365),""))</f>
        <v>4363.0003996840742</v>
      </c>
      <c r="AT121" s="12">
        <f>IF($H121="Cancelled","",IFERROR((T121*INDEX(Variables!$B$7:$D$7,IFERROR(MATCH(IF($B121="Robusta","Robusta",(IF($B121="","Arabica",$B121))&amp;" - "&amp;(IF($C121="","Commercial",$C121))),Variables!$B$1:$D$1,0),1))*AC121/365)+(L121/16.67*INDEX(Variables!$B$8:$D$8,IFERROR(MATCH(IF($B121="Robusta","Robusta",(IF($B121="","Arabica",$B121))&amp;" - "&amp;(IF($C121="","Commercial",$C121))),Variables!$B$1:$D$1,0),1))*AC121)+(T121*INDEX(Variables!$B$9:$D$9,IFERROR(MATCH(IF($B121="Robusta","Robusta",(IF($B121="","Arabica",$B121))&amp;" - "&amp;(IF($C121="","Commercial",$C121))),Variables!$B$1:$D$1,0),1))*AC121/365),""))</f>
        <v>-14885.530775392725</v>
      </c>
      <c r="AU121" s="12">
        <f>IF($H121="Cancelled","",IFERROR((T121*INDEX(Variables!$B$7:$D$7,IFERROR(MATCH(IF($B121="Robusta","Robusta",(IF($B121="","Arabica",$B121))&amp;" - "&amp;(IF($C121="","Commercial",$C121))),Variables!$B$1:$D$1,0),1))*AP121/365)+(L121/16.67*INDEX(Variables!$B$8:$D$8,IFERROR(MATCH(IF($B121="Robusta","Robusta",(IF($B121="","Arabica",$B121))&amp;" - "&amp;(IF($C121="","Commercial",$C121))),Variables!$B$1:$D$1,0),1))*AP121)+(T121*INDEX(Variables!$B$9:$D$9,IFERROR(MATCH(IF($B121="Robusta","Robusta",(IF($B121="","Arabica",$B121))&amp;" - "&amp;(IF($C121="","Commercial",$C121))),Variables!$B$1:$D$1,0),1))*AP121/365),""))</f>
        <v>6672.8241406932893</v>
      </c>
      <c r="AV121" s="11">
        <f t="shared" si="9"/>
        <v>22</v>
      </c>
      <c r="AW121" s="12">
        <f>IF($H121="Cancelled","",IFERROR(IF(AV121="","",(T121*INDEX(Variables!$B$7:$D$7,IFERROR(MATCH(IF($B121="Robusta","Robusta",(IF($B121="","Arabica",$B121))&amp;" - "&amp;(IF($C121="","Commercial",$C121))),Variables!$B$1:$D$1,0),1))*(AV121/365))+(T121*INDEX(Variables!$B$9:$D$9,IFERROR(MATCH(IF($B121="Robusta","Robusta",(IF($B121="","Arabica",$B121))&amp;" - "&amp;(IF($C121="","Commercial",$C121))),Variables!$B$1:$D$1,0),1))*(AV121/365))+(INDEX(Variables!$B$8:$D$8,IFERROR(MATCH(IF($B121="Robusta","Robusta",(IF($B121="","Arabica",$B121))&amp;" - "&amp;(IF($C121="","Commercial",$C121))),Variables!$B$1:$D$1,0),1))*L121/16.67)),""))</f>
        <v>2252.1572075705735</v>
      </c>
      <c r="AX121" s="9"/>
      <c r="AY121" s="12"/>
      <c r="AZ121" s="10"/>
      <c r="BA121" s="9"/>
      <c r="BB121" s="10"/>
      <c r="BC121" s="9"/>
      <c r="BD121" s="9"/>
      <c r="BE121" s="9"/>
      <c r="BF121" s="9"/>
    </row>
    <row r="122" spans="1:58" x14ac:dyDescent="0.25">
      <c r="A122" s="9" t="s">
        <v>84</v>
      </c>
      <c r="B122" s="9" t="s">
        <v>85</v>
      </c>
      <c r="C122" s="9" t="s">
        <v>86</v>
      </c>
      <c r="D122" s="10">
        <v>45398</v>
      </c>
      <c r="E122" s="10">
        <v>45474</v>
      </c>
      <c r="F122" s="10">
        <v>45504</v>
      </c>
      <c r="G122" s="9">
        <v>3786303</v>
      </c>
      <c r="H122" s="9" t="str">
        <f t="shared" si="7"/>
        <v>Closed</v>
      </c>
      <c r="I122" s="9" t="str">
        <f t="shared" si="8"/>
        <v>All dates received</v>
      </c>
      <c r="J122" s="9" t="s">
        <v>102</v>
      </c>
      <c r="K122" s="9">
        <v>5011</v>
      </c>
      <c r="L122" s="11">
        <v>360</v>
      </c>
      <c r="M122" s="9" t="s">
        <v>160</v>
      </c>
      <c r="N122" s="9" t="s">
        <v>161</v>
      </c>
      <c r="O122" s="9"/>
      <c r="P122" s="9"/>
      <c r="Q122" s="11"/>
      <c r="R122" s="9" t="s">
        <v>90</v>
      </c>
      <c r="S122" s="9" t="s">
        <v>172</v>
      </c>
      <c r="T122" s="12">
        <f>IF($H122="Cancelled","",IFERROR(((Q122+INDEX(Variables!$B$6:$D$6,IFERROR(MATCH(IF($B122="Robusta","Robusta",(IF($B122="","Arabica",$B122))&amp;" - "&amp;(IF($C122="","Commercial",$C122))),Variables!$B$1:$D$1,0),1)))*22.0462)*(L122/16.67),""))</f>
        <v>138450.66500299939</v>
      </c>
      <c r="U122" s="10">
        <v>45462</v>
      </c>
      <c r="V122" s="9" t="str">
        <f t="shared" si="11"/>
        <v>Sent</v>
      </c>
      <c r="W122" s="10">
        <v>45482</v>
      </c>
      <c r="X122" s="9" t="str">
        <f t="shared" si="12"/>
        <v>Approved</v>
      </c>
      <c r="Y122" s="10"/>
      <c r="Z122" s="10">
        <f>IF($H122="Cancelled","",IFERROR(IF(F122="","",F122-Variables!$B$13),""))</f>
        <v>45489</v>
      </c>
      <c r="AA122" s="11">
        <f>IF($H122="Cancelled","",IFERROR(IF(W122="","",(AVERAGE(E122:F122)-W122)-Variables!$B$14),""))</f>
        <v>-23</v>
      </c>
      <c r="AB122" s="10">
        <v>45513</v>
      </c>
      <c r="AC122" s="11">
        <f>IF($H122="Cancelled","",IFERROR(IF(AB122="","",IF(AND(W122="",Y122=""),"",IF(Y122&gt;W122,Y122+Variables!$B$15+Variables!$B$16+Variables!$B$17-AB122,W122+Variables!$B$16+Variables!$B$17-AB122))),""))</f>
        <v>-23</v>
      </c>
      <c r="AD122" s="9" t="s">
        <v>163</v>
      </c>
      <c r="AE122" s="9" t="s">
        <v>244</v>
      </c>
      <c r="AF122" s="10"/>
      <c r="AG122" s="10"/>
      <c r="AH122" s="9"/>
      <c r="AI122" s="9">
        <v>241302766</v>
      </c>
      <c r="AJ122" s="9" t="s">
        <v>8</v>
      </c>
      <c r="AK122" s="10">
        <v>45498</v>
      </c>
      <c r="AL122" s="10">
        <v>45499</v>
      </c>
      <c r="AM122" s="10">
        <v>45505</v>
      </c>
      <c r="AN122" s="9" t="s">
        <v>95</v>
      </c>
      <c r="AO122" s="9"/>
      <c r="AP122" s="11">
        <f>IF($H122="Cancelled","",IFERROR(IF(OR(AK122="",AB122=""),"",(AB122+Variables!$B$18-AK122)),""))</f>
        <v>22</v>
      </c>
      <c r="AQ122" s="11">
        <f>IF($H122="Cancelled","",IFERROR(IF(OR(AM122="",AK122=""),"",(AK122+Variables!$B$19)-AM122),""))</f>
        <v>-2</v>
      </c>
      <c r="AR122" s="12">
        <f>IF($H122="Cancelled","",IFERROR(T122*INDEX(Variables!$B$7:$D$7,IFERROR(MATCH(IF($B122="Robusta","Robusta",(IF($B122="","Arabica",$B122))&amp;" - "&amp;(IF($C122="","Commercial",$C122))),Variables!$B$1:$D$1,0),1))*(AQ122/365),""))</f>
        <v>-48.918375182774838</v>
      </c>
      <c r="AS122" s="12">
        <f>IF($H122="Cancelled","",IFERROR((T122*INDEX(Variables!$B$7:$D$7,IFERROR(MATCH(IF($B122="Robusta","Robusta",(IF($B122="","Arabica",$B122))&amp;" - "&amp;(IF($C122="","Commercial",$C122))),Variables!$B$1:$D$1,0),1))*IFERROR(IF(W122="","",(AVERAGE(E122:F122)-W122)-Variables!$B$14),"")/365)+(L122/16.67*INDEX(Variables!$B$8:$D$8,IFERROR(MATCH(IF($B122="Robusta","Robusta",(IF($B122="","Arabica",$B122))&amp;" - "&amp;(IF($C122="","Commercial",$C122))),Variables!$B$1:$D$1,0),1))*IFERROR(IF(W122="","",(AVERAGE(E122:F122)-W122)-Variables!$B$14),""))+(T122*INDEX(Variables!$B$9:$D$9,IFERROR(MATCH(IF($B122="Robusta","Robusta",(IF($B122="","Arabica",$B122))&amp;" - "&amp;(IF($C122="","Commercial",$C122))),Variables!$B$1:$D$1,0),1))*IFERROR(IF(W122="","",(AVERAGE(E122:F122)-W122)-Variables!$B$14),"")/365),""))</f>
        <v>-983.81381561503633</v>
      </c>
      <c r="AT122" s="12">
        <f>IF($H122="Cancelled","",IFERROR((T122*INDEX(Variables!$B$7:$D$7,IFERROR(MATCH(IF($B122="Robusta","Robusta",(IF($B122="","Arabica",$B122))&amp;" - "&amp;(IF($C122="","Commercial",$C122))),Variables!$B$1:$D$1,0),1))*AC122/365)+(L122/16.67*INDEX(Variables!$B$8:$D$8,IFERROR(MATCH(IF($B122="Robusta","Robusta",(IF($B122="","Arabica",$B122))&amp;" - "&amp;(IF($C122="","Commercial",$C122))),Variables!$B$1:$D$1,0),1))*AC122)+(T122*INDEX(Variables!$B$9:$D$9,IFERROR(MATCH(IF($B122="Robusta","Robusta",(IF($B122="","Arabica",$B122))&amp;" - "&amp;(IF($C122="","Commercial",$C122))),Variables!$B$1:$D$1,0),1))*AC122/365),""))</f>
        <v>-983.81381561503633</v>
      </c>
      <c r="AU122" s="12">
        <f>IF($H122="Cancelled","",IFERROR((T122*INDEX(Variables!$B$7:$D$7,IFERROR(MATCH(IF($B122="Robusta","Robusta",(IF($B122="","Arabica",$B122))&amp;" - "&amp;(IF($C122="","Commercial",$C122))),Variables!$B$1:$D$1,0),1))*AP122/365)+(L122/16.67*INDEX(Variables!$B$8:$D$8,IFERROR(MATCH(IF($B122="Robusta","Robusta",(IF($B122="","Arabica",$B122))&amp;" - "&amp;(IF($C122="","Commercial",$C122))),Variables!$B$1:$D$1,0),1))*AP122)+(T122*INDEX(Variables!$B$9:$D$9,IFERROR(MATCH(IF($B122="Robusta","Robusta",(IF($B122="","Arabica",$B122))&amp;" - "&amp;(IF($C122="","Commercial",$C122))),Variables!$B$1:$D$1,0),1))*AP122/365),""))</f>
        <v>941.03930189264338</v>
      </c>
      <c r="AV122" s="11">
        <f t="shared" si="9"/>
        <v>6</v>
      </c>
      <c r="AW122" s="12">
        <f>IF($H122="Cancelled","",IFERROR(IF(AV122="","",(T122*INDEX(Variables!$B$7:$D$7,IFERROR(MATCH(IF($B122="Robusta","Robusta",(IF($B122="","Arabica",$B122))&amp;" - "&amp;(IF($C122="","Commercial",$C122))),Variables!$B$1:$D$1,0),1))*(AV122/365))+(T122*INDEX(Variables!$B$9:$D$9,IFERROR(MATCH(IF($B122="Robusta","Robusta",(IF($B122="","Arabica",$B122))&amp;" - "&amp;(IF($C122="","Commercial",$C122))),Variables!$B$1:$D$1,0),1))*(AV122/365))+(INDEX(Variables!$B$8:$D$8,IFERROR(MATCH(IF($B122="Robusta","Robusta",(IF($B122="","Arabica",$B122))&amp;" - "&amp;(IF($C122="","Commercial",$C122))),Variables!$B$1:$D$1,0),1))*L122/16.67)),""))</f>
        <v>166.64708233435726</v>
      </c>
      <c r="AX122" s="9"/>
      <c r="AY122" s="12"/>
      <c r="AZ122" s="10"/>
      <c r="BA122" s="9"/>
      <c r="BB122" s="10"/>
      <c r="BC122" s="9"/>
      <c r="BD122" s="9"/>
      <c r="BE122" s="9"/>
      <c r="BF122" s="9"/>
    </row>
    <row r="123" spans="1:58" x14ac:dyDescent="0.25">
      <c r="A123" s="9" t="s">
        <v>84</v>
      </c>
      <c r="B123" s="9" t="s">
        <v>85</v>
      </c>
      <c r="C123" s="9" t="s">
        <v>86</v>
      </c>
      <c r="D123" s="10">
        <v>45398</v>
      </c>
      <c r="E123" s="10">
        <v>45474</v>
      </c>
      <c r="F123" s="10">
        <v>45504</v>
      </c>
      <c r="G123" s="9">
        <v>3786303</v>
      </c>
      <c r="H123" s="9" t="str">
        <f t="shared" si="7"/>
        <v>Closed</v>
      </c>
      <c r="I123" s="9" t="str">
        <f t="shared" si="8"/>
        <v>All dates received</v>
      </c>
      <c r="J123" s="9" t="s">
        <v>102</v>
      </c>
      <c r="K123" s="9">
        <v>5012</v>
      </c>
      <c r="L123" s="11">
        <v>720</v>
      </c>
      <c r="M123" s="9" t="s">
        <v>160</v>
      </c>
      <c r="N123" s="9" t="s">
        <v>161</v>
      </c>
      <c r="O123" s="9"/>
      <c r="P123" s="9"/>
      <c r="Q123" s="11"/>
      <c r="R123" s="9" t="s">
        <v>90</v>
      </c>
      <c r="S123" s="9" t="s">
        <v>162</v>
      </c>
      <c r="T123" s="12">
        <f>IF($H123="Cancelled","",IFERROR(((Q123+INDEX(Variables!$B$6:$D$6,IFERROR(MATCH(IF($B123="Robusta","Robusta",(IF($B123="","Arabica",$B123))&amp;" - "&amp;(IF($C123="","Commercial",$C123))),Variables!$B$1:$D$1,0),1)))*22.0462)*(L123/16.67),""))</f>
        <v>276901.33000599878</v>
      </c>
      <c r="U123" s="10">
        <v>45462</v>
      </c>
      <c r="V123" s="9" t="str">
        <f t="shared" si="11"/>
        <v>Sent</v>
      </c>
      <c r="W123" s="10">
        <v>45482</v>
      </c>
      <c r="X123" s="9" t="str">
        <f t="shared" si="12"/>
        <v>Approved</v>
      </c>
      <c r="Y123" s="10"/>
      <c r="Z123" s="10">
        <f>IF($H123="Cancelled","",IFERROR(IF(F123="","",F123-Variables!$B$13),""))</f>
        <v>45489</v>
      </c>
      <c r="AA123" s="11">
        <f>IF($H123="Cancelled","",IFERROR(IF(W123="","",(AVERAGE(E123:F123)-W123)-Variables!$B$14),""))</f>
        <v>-23</v>
      </c>
      <c r="AB123" s="10">
        <v>45516</v>
      </c>
      <c r="AC123" s="11">
        <f>IF($H123="Cancelled","",IFERROR(IF(AB123="","",IF(AND(W123="",Y123=""),"",IF(Y123&gt;W123,Y123+Variables!$B$15+Variables!$B$16+Variables!$B$17-AB123,W123+Variables!$B$16+Variables!$B$17-AB123))),""))</f>
        <v>-26</v>
      </c>
      <c r="AD123" s="9" t="s">
        <v>165</v>
      </c>
      <c r="AE123" s="9" t="s">
        <v>411</v>
      </c>
      <c r="AF123" s="10"/>
      <c r="AG123" s="10"/>
      <c r="AH123" s="9"/>
      <c r="AI123" s="9" t="s">
        <v>412</v>
      </c>
      <c r="AJ123" s="9" t="s">
        <v>8</v>
      </c>
      <c r="AK123" s="10">
        <v>45497</v>
      </c>
      <c r="AL123" s="10">
        <v>45505</v>
      </c>
      <c r="AM123" s="10">
        <v>45506</v>
      </c>
      <c r="AN123" s="9" t="s">
        <v>95</v>
      </c>
      <c r="AO123" s="9"/>
      <c r="AP123" s="11">
        <f>IF($H123="Cancelled","",IFERROR(IF(OR(AK123="",AB123=""),"",(AB123+Variables!$B$18-AK123)),""))</f>
        <v>26</v>
      </c>
      <c r="AQ123" s="11">
        <f>IF($H123="Cancelled","",IFERROR(IF(OR(AM123="",AK123=""),"",(AK123+Variables!$B$19)-AM123),""))</f>
        <v>-4</v>
      </c>
      <c r="AR123" s="12">
        <f>IF($H123="Cancelled","",IFERROR(T123*INDEX(Variables!$B$7:$D$7,IFERROR(MATCH(IF($B123="Robusta","Robusta",(IF($B123="","Arabica",$B123))&amp;" - "&amp;(IF($C123="","Commercial",$C123))),Variables!$B$1:$D$1,0),1))*(AQ123/365),""))</f>
        <v>-195.67350073109935</v>
      </c>
      <c r="AS123" s="12">
        <f>IF($H123="Cancelled","",IFERROR((T123*INDEX(Variables!$B$7:$D$7,IFERROR(MATCH(IF($B123="Robusta","Robusta",(IF($B123="","Arabica",$B123))&amp;" - "&amp;(IF($C123="","Commercial",$C123))),Variables!$B$1:$D$1,0),1))*IFERROR(IF(W123="","",(AVERAGE(E123:F123)-W123)-Variables!$B$14),"")/365)+(L123/16.67*INDEX(Variables!$B$8:$D$8,IFERROR(MATCH(IF($B123="Robusta","Robusta",(IF($B123="","Arabica",$B123))&amp;" - "&amp;(IF($C123="","Commercial",$C123))),Variables!$B$1:$D$1,0),1))*IFERROR(IF(W123="","",(AVERAGE(E123:F123)-W123)-Variables!$B$14),""))+(T123*INDEX(Variables!$B$9:$D$9,IFERROR(MATCH(IF($B123="Robusta","Robusta",(IF($B123="","Arabica",$B123))&amp;" - "&amp;(IF($C123="","Commercial",$C123))),Variables!$B$1:$D$1,0),1))*IFERROR(IF(W123="","",(AVERAGE(E123:F123)-W123)-Variables!$B$14),"")/365),""))</f>
        <v>-1967.6276312300727</v>
      </c>
      <c r="AT123" s="12">
        <f>IF($H123="Cancelled","",IFERROR((T123*INDEX(Variables!$B$7:$D$7,IFERROR(MATCH(IF($B123="Robusta","Robusta",(IF($B123="","Arabica",$B123))&amp;" - "&amp;(IF($C123="","Commercial",$C123))),Variables!$B$1:$D$1,0),1))*AC123/365)+(L123/16.67*INDEX(Variables!$B$8:$D$8,IFERROR(MATCH(IF($B123="Robusta","Robusta",(IF($B123="","Arabica",$B123))&amp;" - "&amp;(IF($C123="","Commercial",$C123))),Variables!$B$1:$D$1,0),1))*AC123)+(T123*INDEX(Variables!$B$9:$D$9,IFERROR(MATCH(IF($B123="Robusta","Robusta",(IF($B123="","Arabica",$B123))&amp;" - "&amp;(IF($C123="","Commercial",$C123))),Variables!$B$1:$D$1,0),1))*AC123/365),""))</f>
        <v>-2224.2747135644299</v>
      </c>
      <c r="AU123" s="12">
        <f>IF($H123="Cancelled","",IFERROR((T123*INDEX(Variables!$B$7:$D$7,IFERROR(MATCH(IF($B123="Robusta","Robusta",(IF($B123="","Arabica",$B123))&amp;" - "&amp;(IF($C123="","Commercial",$C123))),Variables!$B$1:$D$1,0),1))*AP123/365)+(L123/16.67*INDEX(Variables!$B$8:$D$8,IFERROR(MATCH(IF($B123="Robusta","Robusta",(IF($B123="","Arabica",$B123))&amp;" - "&amp;(IF($C123="","Commercial",$C123))),Variables!$B$1:$D$1,0),1))*AP123)+(T123*INDEX(Variables!$B$9:$D$9,IFERROR(MATCH(IF($B123="Robusta","Robusta",(IF($B123="","Arabica",$B123))&amp;" - "&amp;(IF($C123="","Commercial",$C123))),Variables!$B$1:$D$1,0),1))*AP123/365),""))</f>
        <v>2224.2747135644299</v>
      </c>
      <c r="AV123" s="11">
        <f t="shared" si="9"/>
        <v>7</v>
      </c>
      <c r="AW123" s="12">
        <f>IF($H123="Cancelled","",IFERROR(IF(AV123="","",(T123*INDEX(Variables!$B$7:$D$7,IFERROR(MATCH(IF($B123="Robusta","Robusta",(IF($B123="","Arabica",$B123))&amp;" - "&amp;(IF($C123="","Commercial",$C123))),Variables!$B$1:$D$1,0),1))*(AV123/365))+(T123*INDEX(Variables!$B$9:$D$9,IFERROR(MATCH(IF($B123="Robusta","Robusta",(IF($B123="","Arabica",$B123))&amp;" - "&amp;(IF($C123="","Commercial",$C123))),Variables!$B$1:$D$1,0),1))*(AV123/365))+(INDEX(Variables!$B$8:$D$8,IFERROR(MATCH(IF($B123="Robusta","Robusta",(IF($B123="","Arabica",$B123))&amp;" - "&amp;(IF($C123="","Commercial",$C123))),Variables!$B$1:$D$1,0),1))*L123/16.67)),""))</f>
        <v>382.84319211350038</v>
      </c>
      <c r="AX123" s="9"/>
      <c r="AY123" s="12"/>
      <c r="AZ123" s="10"/>
      <c r="BA123" s="9"/>
      <c r="BB123" s="10"/>
      <c r="BC123" s="9"/>
      <c r="BD123" s="9"/>
      <c r="BE123" s="9"/>
      <c r="BF123" s="9"/>
    </row>
    <row r="124" spans="1:58" x14ac:dyDescent="0.25">
      <c r="A124" s="9" t="s">
        <v>84</v>
      </c>
      <c r="B124" s="9" t="s">
        <v>85</v>
      </c>
      <c r="C124" s="9" t="s">
        <v>86</v>
      </c>
      <c r="D124" s="10">
        <v>45398</v>
      </c>
      <c r="E124" s="10">
        <v>45474</v>
      </c>
      <c r="F124" s="10">
        <v>45504</v>
      </c>
      <c r="G124" s="9">
        <v>3786303</v>
      </c>
      <c r="H124" s="9" t="str">
        <f t="shared" si="7"/>
        <v>Closed</v>
      </c>
      <c r="I124" s="9" t="str">
        <f t="shared" si="8"/>
        <v>All dates received</v>
      </c>
      <c r="J124" s="9" t="s">
        <v>102</v>
      </c>
      <c r="K124" s="9">
        <v>5010</v>
      </c>
      <c r="L124" s="11">
        <v>360</v>
      </c>
      <c r="M124" s="9" t="s">
        <v>160</v>
      </c>
      <c r="N124" s="9" t="s">
        <v>161</v>
      </c>
      <c r="O124" s="9"/>
      <c r="P124" s="9"/>
      <c r="Q124" s="11"/>
      <c r="R124" s="9" t="s">
        <v>90</v>
      </c>
      <c r="S124" s="9" t="s">
        <v>183</v>
      </c>
      <c r="T124" s="12">
        <f>IF($H124="Cancelled","",IFERROR(((Q124+INDEX(Variables!$B$6:$D$6,IFERROR(MATCH(IF($B124="Robusta","Robusta",(IF($B124="","Arabica",$B124))&amp;" - "&amp;(IF($C124="","Commercial",$C124))),Variables!$B$1:$D$1,0),1)))*22.0462)*(L124/16.67),""))</f>
        <v>138450.66500299939</v>
      </c>
      <c r="U124" s="10">
        <v>45462</v>
      </c>
      <c r="V124" s="9" t="str">
        <f t="shared" si="11"/>
        <v>Sent</v>
      </c>
      <c r="W124" s="10">
        <v>45482</v>
      </c>
      <c r="X124" s="9" t="str">
        <f t="shared" si="12"/>
        <v>Approved</v>
      </c>
      <c r="Y124" s="10"/>
      <c r="Z124" s="10">
        <f>IF($H124="Cancelled","",IFERROR(IF(F124="","",F124-Variables!$B$13),""))</f>
        <v>45489</v>
      </c>
      <c r="AA124" s="11">
        <f>IF($H124="Cancelled","",IFERROR(IF(W124="","",(AVERAGE(E124:F124)-W124)-Variables!$B$14),""))</f>
        <v>-23</v>
      </c>
      <c r="AB124" s="10">
        <v>45516</v>
      </c>
      <c r="AC124" s="11">
        <f>IF($H124="Cancelled","",IFERROR(IF(AB124="","",IF(AND(W124="",Y124=""),"",IF(Y124&gt;W124,Y124+Variables!$B$15+Variables!$B$16+Variables!$B$17-AB124,W124+Variables!$B$16+Variables!$B$17-AB124))),""))</f>
        <v>-26</v>
      </c>
      <c r="AD124" s="9" t="s">
        <v>180</v>
      </c>
      <c r="AE124" s="9" t="s">
        <v>181</v>
      </c>
      <c r="AF124" s="10"/>
      <c r="AG124" s="10"/>
      <c r="AH124" s="9"/>
      <c r="AI124" s="9" t="s">
        <v>180</v>
      </c>
      <c r="AJ124" s="9" t="s">
        <v>8</v>
      </c>
      <c r="AK124" s="10">
        <v>45499</v>
      </c>
      <c r="AL124" s="10">
        <v>45505</v>
      </c>
      <c r="AM124" s="10">
        <v>45518</v>
      </c>
      <c r="AN124" s="9" t="s">
        <v>95</v>
      </c>
      <c r="AO124" s="9"/>
      <c r="AP124" s="11">
        <f>IF($H124="Cancelled","",IFERROR(IF(OR(AK124="",AB124=""),"",(AB124+Variables!$B$18-AK124)),""))</f>
        <v>24</v>
      </c>
      <c r="AQ124" s="11">
        <f>IF($H124="Cancelled","",IFERROR(IF(OR(AM124="",AK124=""),"",(AK124+Variables!$B$19)-AM124),""))</f>
        <v>-14</v>
      </c>
      <c r="AR124" s="12">
        <f>IF($H124="Cancelled","",IFERROR(T124*INDEX(Variables!$B$7:$D$7,IFERROR(MATCH(IF($B124="Robusta","Robusta",(IF($B124="","Arabica",$B124))&amp;" - "&amp;(IF($C124="","Commercial",$C124))),Variables!$B$1:$D$1,0),1))*(AQ124/365),""))</f>
        <v>-342.4286262794239</v>
      </c>
      <c r="AS124" s="12">
        <f>IF($H124="Cancelled","",IFERROR((T124*INDEX(Variables!$B$7:$D$7,IFERROR(MATCH(IF($B124="Robusta","Robusta",(IF($B124="","Arabica",$B124))&amp;" - "&amp;(IF($C124="","Commercial",$C124))),Variables!$B$1:$D$1,0),1))*IFERROR(IF(W124="","",(AVERAGE(E124:F124)-W124)-Variables!$B$14),"")/365)+(L124/16.67*INDEX(Variables!$B$8:$D$8,IFERROR(MATCH(IF($B124="Robusta","Robusta",(IF($B124="","Arabica",$B124))&amp;" - "&amp;(IF($C124="","Commercial",$C124))),Variables!$B$1:$D$1,0),1))*IFERROR(IF(W124="","",(AVERAGE(E124:F124)-W124)-Variables!$B$14),""))+(T124*INDEX(Variables!$B$9:$D$9,IFERROR(MATCH(IF($B124="Robusta","Robusta",(IF($B124="","Arabica",$B124))&amp;" - "&amp;(IF($C124="","Commercial",$C124))),Variables!$B$1:$D$1,0),1))*IFERROR(IF(W124="","",(AVERAGE(E124:F124)-W124)-Variables!$B$14),"")/365),""))</f>
        <v>-983.81381561503633</v>
      </c>
      <c r="AT124" s="12">
        <f>IF($H124="Cancelled","",IFERROR((T124*INDEX(Variables!$B$7:$D$7,IFERROR(MATCH(IF($B124="Robusta","Robusta",(IF($B124="","Arabica",$B124))&amp;" - "&amp;(IF($C124="","Commercial",$C124))),Variables!$B$1:$D$1,0),1))*AC124/365)+(L124/16.67*INDEX(Variables!$B$8:$D$8,IFERROR(MATCH(IF($B124="Robusta","Robusta",(IF($B124="","Arabica",$B124))&amp;" - "&amp;(IF($C124="","Commercial",$C124))),Variables!$B$1:$D$1,0),1))*AC124)+(T124*INDEX(Variables!$B$9:$D$9,IFERROR(MATCH(IF($B124="Robusta","Robusta",(IF($B124="","Arabica",$B124))&amp;" - "&amp;(IF($C124="","Commercial",$C124))),Variables!$B$1:$D$1,0),1))*AC124/365),""))</f>
        <v>-1112.137356782215</v>
      </c>
      <c r="AU124" s="12">
        <f>IF($H124="Cancelled","",IFERROR((T124*INDEX(Variables!$B$7:$D$7,IFERROR(MATCH(IF($B124="Robusta","Robusta",(IF($B124="","Arabica",$B124))&amp;" - "&amp;(IF($C124="","Commercial",$C124))),Variables!$B$1:$D$1,0),1))*AP124/365)+(L124/16.67*INDEX(Variables!$B$8:$D$8,IFERROR(MATCH(IF($B124="Robusta","Robusta",(IF($B124="","Arabica",$B124))&amp;" - "&amp;(IF($C124="","Commercial",$C124))),Variables!$B$1:$D$1,0),1))*AP124)+(T124*INDEX(Variables!$B$9:$D$9,IFERROR(MATCH(IF($B124="Robusta","Robusta",(IF($B124="","Arabica",$B124))&amp;" - "&amp;(IF($C124="","Commercial",$C124))),Variables!$B$1:$D$1,0),1))*AP124/365),""))</f>
        <v>1026.5883293374293</v>
      </c>
      <c r="AV124" s="11">
        <f t="shared" si="9"/>
        <v>5</v>
      </c>
      <c r="AW124" s="12">
        <f>IF($H124="Cancelled","",IFERROR(IF(AV124="","",(T124*INDEX(Variables!$B$7:$D$7,IFERROR(MATCH(IF($B124="Robusta","Robusta",(IF($B124="","Arabica",$B124))&amp;" - "&amp;(IF($C124="","Commercial",$C124))),Variables!$B$1:$D$1,0),1))*(AV124/365))+(T124*INDEX(Variables!$B$9:$D$9,IFERROR(MATCH(IF($B124="Robusta","Robusta",(IF($B124="","Arabica",$B124))&amp;" - "&amp;(IF($C124="","Commercial",$C124))),Variables!$B$1:$D$1,0),1))*(AV124/365))+(INDEX(Variables!$B$8:$D$8,IFERROR(MATCH(IF($B124="Robusta","Robusta",(IF($B124="","Arabica",$B124))&amp;" - "&amp;(IF($C124="","Commercial",$C124))),Variables!$B$1:$D$1,0),1))*L124/16.67)),""))</f>
        <v>141.87256861196437</v>
      </c>
      <c r="AX124" s="9"/>
      <c r="AY124" s="12"/>
      <c r="AZ124" s="10"/>
      <c r="BA124" s="9"/>
      <c r="BB124" s="10"/>
      <c r="BC124" s="9"/>
      <c r="BD124" s="9"/>
      <c r="BE124" s="9"/>
      <c r="BF124" s="9"/>
    </row>
    <row r="125" spans="1:58" x14ac:dyDescent="0.25">
      <c r="A125" s="9" t="s">
        <v>84</v>
      </c>
      <c r="B125" s="9" t="s">
        <v>85</v>
      </c>
      <c r="C125" s="9" t="s">
        <v>86</v>
      </c>
      <c r="D125" s="10">
        <v>45398</v>
      </c>
      <c r="E125" s="10">
        <v>45474</v>
      </c>
      <c r="F125" s="10">
        <v>45504</v>
      </c>
      <c r="G125" s="9">
        <v>3786307</v>
      </c>
      <c r="H125" s="9" t="str">
        <f t="shared" si="7"/>
        <v>Closed</v>
      </c>
      <c r="I125" s="9" t="str">
        <f t="shared" si="8"/>
        <v>All dates received</v>
      </c>
      <c r="J125" s="9" t="s">
        <v>102</v>
      </c>
      <c r="K125" s="9" t="s">
        <v>413</v>
      </c>
      <c r="L125" s="11">
        <v>1080</v>
      </c>
      <c r="M125" s="9" t="s">
        <v>409</v>
      </c>
      <c r="N125" s="9" t="s">
        <v>122</v>
      </c>
      <c r="O125" s="9"/>
      <c r="P125" s="9"/>
      <c r="Q125" s="11"/>
      <c r="R125" s="9" t="s">
        <v>90</v>
      </c>
      <c r="S125" s="9" t="s">
        <v>162</v>
      </c>
      <c r="T125" s="12">
        <f>IF($H125="Cancelled","",IFERROR(((Q125+INDEX(Variables!$B$6:$D$6,IFERROR(MATCH(IF($B125="Robusta","Robusta",(IF($B125="","Arabica",$B125))&amp;" - "&amp;(IF($C125="","Commercial",$C125))),Variables!$B$1:$D$1,0),1)))*22.0462)*(L125/16.67),""))</f>
        <v>415351.99500899814</v>
      </c>
      <c r="U125" s="10">
        <v>45474</v>
      </c>
      <c r="V125" s="9" t="str">
        <f t="shared" si="11"/>
        <v>Sent</v>
      </c>
      <c r="W125" s="10">
        <v>45488</v>
      </c>
      <c r="X125" s="9" t="str">
        <f t="shared" si="12"/>
        <v>Approved</v>
      </c>
      <c r="Y125" s="10"/>
      <c r="Z125" s="10">
        <f>IF($H125="Cancelled","",IFERROR(IF(F125="","",F125-Variables!$B$13),""))</f>
        <v>45489</v>
      </c>
      <c r="AA125" s="11">
        <f>IF($H125="Cancelled","",IFERROR(IF(W125="","",(AVERAGE(E125:F125)-W125)-Variables!$B$14),""))</f>
        <v>-29</v>
      </c>
      <c r="AB125" s="10">
        <v>45516</v>
      </c>
      <c r="AC125" s="11">
        <f>IF($H125="Cancelled","",IFERROR(IF(AB125="","",IF(AND(W125="",Y125=""),"",IF(Y125&gt;W125,Y125+Variables!$B$15+Variables!$B$16+Variables!$B$17-AB125,W125+Variables!$B$16+Variables!$B$17-AB125))),""))</f>
        <v>-20</v>
      </c>
      <c r="AD125" s="9" t="s">
        <v>414</v>
      </c>
      <c r="AE125" s="9" t="s">
        <v>189</v>
      </c>
      <c r="AF125" s="10"/>
      <c r="AG125" s="10"/>
      <c r="AH125" s="9"/>
      <c r="AI125" s="9" t="s">
        <v>415</v>
      </c>
      <c r="AJ125" s="9" t="s">
        <v>8</v>
      </c>
      <c r="AK125" s="10">
        <v>45511</v>
      </c>
      <c r="AL125" s="10">
        <v>45516</v>
      </c>
      <c r="AM125" s="10">
        <v>45516</v>
      </c>
      <c r="AN125" s="9" t="s">
        <v>95</v>
      </c>
      <c r="AO125" s="9"/>
      <c r="AP125" s="11">
        <f>IF($H125="Cancelled","",IFERROR(IF(OR(AK125="",AB125=""),"",(AB125+Variables!$B$18-AK125)),""))</f>
        <v>12</v>
      </c>
      <c r="AQ125" s="11">
        <f>IF($H125="Cancelled","",IFERROR(IF(OR(AM125="",AK125=""),"",(AK125+Variables!$B$19)-AM125),""))</f>
        <v>0</v>
      </c>
      <c r="AR125" s="12">
        <f>IF($H125="Cancelled","",IFERROR(T125*INDEX(Variables!$B$7:$D$7,IFERROR(MATCH(IF($B125="Robusta","Robusta",(IF($B125="","Arabica",$B125))&amp;" - "&amp;(IF($C125="","Commercial",$C125))),Variables!$B$1:$D$1,0),1))*(AQ125/365),""))</f>
        <v>0</v>
      </c>
      <c r="AS125" s="12">
        <f>IF($H125="Cancelled","",IFERROR((T125*INDEX(Variables!$B$7:$D$7,IFERROR(MATCH(IF($B125="Robusta","Robusta",(IF($B125="","Arabica",$B125))&amp;" - "&amp;(IF($C125="","Commercial",$C125))),Variables!$B$1:$D$1,0),1))*IFERROR(IF(W125="","",(AVERAGE(E125:F125)-W125)-Variables!$B$14),"")/365)+(L125/16.67*INDEX(Variables!$B$8:$D$8,IFERROR(MATCH(IF($B125="Robusta","Robusta",(IF($B125="","Arabica",$B125))&amp;" - "&amp;(IF($C125="","Commercial",$C125))),Variables!$B$1:$D$1,0),1))*IFERROR(IF(W125="","",(AVERAGE(E125:F125)-W125)-Variables!$B$14),""))+(T125*INDEX(Variables!$B$9:$D$9,IFERROR(MATCH(IF($B125="Robusta","Robusta",(IF($B125="","Arabica",$B125))&amp;" - "&amp;(IF($C125="","Commercial",$C125))),Variables!$B$1:$D$1,0),1))*IFERROR(IF(W125="","",(AVERAGE(E125:F125)-W125)-Variables!$B$14),"")/365),""))</f>
        <v>-3721.3826938481807</v>
      </c>
      <c r="AT125" s="12">
        <f>IF($H125="Cancelled","",IFERROR((T125*INDEX(Variables!$B$7:$D$7,IFERROR(MATCH(IF($B125="Robusta","Robusta",(IF($B125="","Arabica",$B125))&amp;" - "&amp;(IF($C125="","Commercial",$C125))),Variables!$B$1:$D$1,0),1))*AC125/365)+(L125/16.67*INDEX(Variables!$B$8:$D$8,IFERROR(MATCH(IF($B125="Robusta","Robusta",(IF($B125="","Arabica",$B125))&amp;" - "&amp;(IF($C125="","Commercial",$C125))),Variables!$B$1:$D$1,0),1))*AC125)+(T125*INDEX(Variables!$B$9:$D$9,IFERROR(MATCH(IF($B125="Robusta","Robusta",(IF($B125="","Arabica",$B125))&amp;" - "&amp;(IF($C125="","Commercial",$C125))),Variables!$B$1:$D$1,0),1))*AC125/365),""))</f>
        <v>-2566.4708233435726</v>
      </c>
      <c r="AU125" s="12">
        <f>IF($H125="Cancelled","",IFERROR((T125*INDEX(Variables!$B$7:$D$7,IFERROR(MATCH(IF($B125="Robusta","Robusta",(IF($B125="","Arabica",$B125))&amp;" - "&amp;(IF($C125="","Commercial",$C125))),Variables!$B$1:$D$1,0),1))*AP125/365)+(L125/16.67*INDEX(Variables!$B$8:$D$8,IFERROR(MATCH(IF($B125="Robusta","Robusta",(IF($B125="","Arabica",$B125))&amp;" - "&amp;(IF($C125="","Commercial",$C125))),Variables!$B$1:$D$1,0),1))*AP125)+(T125*INDEX(Variables!$B$9:$D$9,IFERROR(MATCH(IF($B125="Robusta","Robusta",(IF($B125="","Arabica",$B125))&amp;" - "&amp;(IF($C125="","Commercial",$C125))),Variables!$B$1:$D$1,0),1))*AP125/365),""))</f>
        <v>1539.8824940061436</v>
      </c>
      <c r="AV125" s="11">
        <f t="shared" si="9"/>
        <v>-7</v>
      </c>
      <c r="AW125" s="12">
        <f>IF($H125="Cancelled","",IFERROR(IF(AV125="","",(T125*INDEX(Variables!$B$7:$D$7,IFERROR(MATCH(IF($B125="Robusta","Robusta",(IF($B125="","Arabica",$B125))&amp;" - "&amp;(IF($C125="","Commercial",$C125))),Variables!$B$1:$D$1,0),1))*(AV125/365))+(T125*INDEX(Variables!$B$9:$D$9,IFERROR(MATCH(IF($B125="Robusta","Robusta",(IF($B125="","Arabica",$B125))&amp;" - "&amp;(IF($C125="","Commercial",$C125))),Variables!$B$1:$D$1,0),1))*(AV125/365))+(INDEX(Variables!$B$8:$D$8,IFERROR(MATCH(IF($B125="Robusta","Robusta",(IF($B125="","Arabica",$B125))&amp;" - "&amp;(IF($C125="","Commercial",$C125))),Variables!$B$1:$D$1,0),1))*L125/16.67)),""))</f>
        <v>-466.26478817025054</v>
      </c>
      <c r="AX125" s="9"/>
      <c r="AY125" s="12"/>
      <c r="AZ125" s="10"/>
      <c r="BA125" s="9"/>
      <c r="BB125" s="10"/>
      <c r="BC125" s="9"/>
      <c r="BD125" s="9"/>
      <c r="BE125" s="9"/>
      <c r="BF125" s="9"/>
    </row>
    <row r="126" spans="1:58" x14ac:dyDescent="0.25">
      <c r="A126" s="9" t="s">
        <v>84</v>
      </c>
      <c r="B126" s="9" t="s">
        <v>85</v>
      </c>
      <c r="C126" s="9" t="s">
        <v>86</v>
      </c>
      <c r="D126" s="10">
        <v>45398</v>
      </c>
      <c r="E126" s="10">
        <v>45474</v>
      </c>
      <c r="F126" s="10">
        <v>45504</v>
      </c>
      <c r="G126" s="9">
        <v>3786307</v>
      </c>
      <c r="H126" s="9" t="str">
        <f t="shared" si="7"/>
        <v>Closed</v>
      </c>
      <c r="I126" s="9" t="str">
        <f t="shared" si="8"/>
        <v>All dates received</v>
      </c>
      <c r="J126" s="9" t="s">
        <v>102</v>
      </c>
      <c r="K126" s="9" t="s">
        <v>416</v>
      </c>
      <c r="L126" s="11">
        <v>360</v>
      </c>
      <c r="M126" s="9" t="s">
        <v>409</v>
      </c>
      <c r="N126" s="9" t="s">
        <v>122</v>
      </c>
      <c r="O126" s="9"/>
      <c r="P126" s="9"/>
      <c r="Q126" s="11"/>
      <c r="R126" s="9" t="s">
        <v>90</v>
      </c>
      <c r="S126" s="9" t="s">
        <v>172</v>
      </c>
      <c r="T126" s="12">
        <f>IF($H126="Cancelled","",IFERROR(((Q126+INDEX(Variables!$B$6:$D$6,IFERROR(MATCH(IF($B126="Robusta","Robusta",(IF($B126="","Arabica",$B126))&amp;" - "&amp;(IF($C126="","Commercial",$C126))),Variables!$B$1:$D$1,0),1)))*22.0462)*(L126/16.67),""))</f>
        <v>138450.66500299939</v>
      </c>
      <c r="U126" s="10">
        <v>45474</v>
      </c>
      <c r="V126" s="9" t="str">
        <f t="shared" si="11"/>
        <v>Sent</v>
      </c>
      <c r="W126" s="10">
        <v>45488</v>
      </c>
      <c r="X126" s="9" t="str">
        <f t="shared" si="12"/>
        <v>Approved</v>
      </c>
      <c r="Y126" s="10"/>
      <c r="Z126" s="10">
        <f>IF($H126="Cancelled","",IFERROR(IF(F126="","",F126-Variables!$B$13),""))</f>
        <v>45489</v>
      </c>
      <c r="AA126" s="11">
        <f>IF($H126="Cancelled","",IFERROR(IF(W126="","",(AVERAGE(E126:F126)-W126)-Variables!$B$14),""))</f>
        <v>-29</v>
      </c>
      <c r="AB126" s="10">
        <v>45516</v>
      </c>
      <c r="AC126" s="11">
        <f>IF($H126="Cancelled","",IFERROR(IF(AB126="","",IF(AND(W126="",Y126=""),"",IF(Y126&gt;W126,Y126+Variables!$B$15+Variables!$B$16+Variables!$B$17-AB126,W126+Variables!$B$16+Variables!$B$17-AB126))),""))</f>
        <v>-20</v>
      </c>
      <c r="AD126" s="9" t="s">
        <v>163</v>
      </c>
      <c r="AE126" s="9" t="s">
        <v>164</v>
      </c>
      <c r="AF126" s="10"/>
      <c r="AG126" s="10"/>
      <c r="AH126" s="9"/>
      <c r="AI126" s="9">
        <v>241303561</v>
      </c>
      <c r="AJ126" s="9" t="s">
        <v>8</v>
      </c>
      <c r="AK126" s="10">
        <v>45505</v>
      </c>
      <c r="AL126" s="10">
        <v>45506</v>
      </c>
      <c r="AM126" s="10">
        <v>45506</v>
      </c>
      <c r="AN126" s="9" t="s">
        <v>95</v>
      </c>
      <c r="AO126" s="9"/>
      <c r="AP126" s="11">
        <f>IF($H126="Cancelled","",IFERROR(IF(OR(AK126="",AB126=""),"",(AB126+Variables!$B$18-AK126)),""))</f>
        <v>18</v>
      </c>
      <c r="AQ126" s="11">
        <f>IF($H126="Cancelled","",IFERROR(IF(OR(AM126="",AK126=""),"",(AK126+Variables!$B$19)-AM126),""))</f>
        <v>4</v>
      </c>
      <c r="AR126" s="12">
        <f>IF($H126="Cancelled","",IFERROR(T126*INDEX(Variables!$B$7:$D$7,IFERROR(MATCH(IF($B126="Robusta","Robusta",(IF($B126="","Arabica",$B126))&amp;" - "&amp;(IF($C126="","Commercial",$C126))),Variables!$B$1:$D$1,0),1))*(AQ126/365),""))</f>
        <v>97.836750365549676</v>
      </c>
      <c r="AS126" s="12">
        <f>IF($H126="Cancelled","",IFERROR((T126*INDEX(Variables!$B$7:$D$7,IFERROR(MATCH(IF($B126="Robusta","Robusta",(IF($B126="","Arabica",$B126))&amp;" - "&amp;(IF($C126="","Commercial",$C126))),Variables!$B$1:$D$1,0),1))*IFERROR(IF(W126="","",(AVERAGE(E126:F126)-W126)-Variables!$B$14),"")/365)+(L126/16.67*INDEX(Variables!$B$8:$D$8,IFERROR(MATCH(IF($B126="Robusta","Robusta",(IF($B126="","Arabica",$B126))&amp;" - "&amp;(IF($C126="","Commercial",$C126))),Variables!$B$1:$D$1,0),1))*IFERROR(IF(W126="","",(AVERAGE(E126:F126)-W126)-Variables!$B$14),""))+(T126*INDEX(Variables!$B$9:$D$9,IFERROR(MATCH(IF($B126="Robusta","Robusta",(IF($B126="","Arabica",$B126))&amp;" - "&amp;(IF($C126="","Commercial",$C126))),Variables!$B$1:$D$1,0),1))*IFERROR(IF(W126="","",(AVERAGE(E126:F126)-W126)-Variables!$B$14),"")/365),""))</f>
        <v>-1240.4608979493935</v>
      </c>
      <c r="AT126" s="12">
        <f>IF($H126="Cancelled","",IFERROR((T126*INDEX(Variables!$B$7:$D$7,IFERROR(MATCH(IF($B126="Robusta","Robusta",(IF($B126="","Arabica",$B126))&amp;" - "&amp;(IF($C126="","Commercial",$C126))),Variables!$B$1:$D$1,0),1))*AC126/365)+(L126/16.67*INDEX(Variables!$B$8:$D$8,IFERROR(MATCH(IF($B126="Robusta","Robusta",(IF($B126="","Arabica",$B126))&amp;" - "&amp;(IF($C126="","Commercial",$C126))),Variables!$B$1:$D$1,0),1))*AC126)+(T126*INDEX(Variables!$B$9:$D$9,IFERROR(MATCH(IF($B126="Robusta","Robusta",(IF($B126="","Arabica",$B126))&amp;" - "&amp;(IF($C126="","Commercial",$C126))),Variables!$B$1:$D$1,0),1))*AC126/365),""))</f>
        <v>-855.4902744478577</v>
      </c>
      <c r="AU126" s="12">
        <f>IF($H126="Cancelled","",IFERROR((T126*INDEX(Variables!$B$7:$D$7,IFERROR(MATCH(IF($B126="Robusta","Robusta",(IF($B126="","Arabica",$B126))&amp;" - "&amp;(IF($C126="","Commercial",$C126))),Variables!$B$1:$D$1,0),1))*AP126/365)+(L126/16.67*INDEX(Variables!$B$8:$D$8,IFERROR(MATCH(IF($B126="Robusta","Robusta",(IF($B126="","Arabica",$B126))&amp;" - "&amp;(IF($C126="","Commercial",$C126))),Variables!$B$1:$D$1,0),1))*AP126)+(T126*INDEX(Variables!$B$9:$D$9,IFERROR(MATCH(IF($B126="Robusta","Robusta",(IF($B126="","Arabica",$B126))&amp;" - "&amp;(IF($C126="","Commercial",$C126))),Variables!$B$1:$D$1,0),1))*AP126/365),""))</f>
        <v>769.94124700307191</v>
      </c>
      <c r="AV126" s="11">
        <f t="shared" si="9"/>
        <v>-1</v>
      </c>
      <c r="AW126" s="12">
        <f>IF($H126="Cancelled","",IFERROR(IF(AV126="","",(T126*INDEX(Variables!$B$7:$D$7,IFERROR(MATCH(IF($B126="Robusta","Robusta",(IF($B126="","Arabica",$B126))&amp;" - "&amp;(IF($C126="","Commercial",$C126))),Variables!$B$1:$D$1,0),1))*(AV126/365))+(T126*INDEX(Variables!$B$9:$D$9,IFERROR(MATCH(IF($B126="Robusta","Robusta",(IF($B126="","Arabica",$B126))&amp;" - "&amp;(IF($C126="","Commercial",$C126))),Variables!$B$1:$D$1,0),1))*(AV126/365))+(INDEX(Variables!$B$8:$D$8,IFERROR(MATCH(IF($B126="Robusta","Robusta",(IF($B126="","Arabica",$B126))&amp;" - "&amp;(IF($C126="","Commercial",$C126))),Variables!$B$1:$D$1,0),1))*L126/16.67)),""))</f>
        <v>-6.7745137223928822</v>
      </c>
      <c r="AX126" s="9"/>
      <c r="AY126" s="12"/>
      <c r="AZ126" s="10"/>
      <c r="BA126" s="9"/>
      <c r="BB126" s="10"/>
      <c r="BC126" s="9"/>
      <c r="BD126" s="9"/>
      <c r="BE126" s="9"/>
      <c r="BF126" s="9"/>
    </row>
    <row r="127" spans="1:58" x14ac:dyDescent="0.25">
      <c r="A127" s="9" t="s">
        <v>84</v>
      </c>
      <c r="B127" s="9" t="s">
        <v>85</v>
      </c>
      <c r="C127" s="9" t="s">
        <v>86</v>
      </c>
      <c r="D127" s="10">
        <v>45398</v>
      </c>
      <c r="E127" s="10">
        <v>45474</v>
      </c>
      <c r="F127" s="10">
        <v>45504</v>
      </c>
      <c r="G127" s="9">
        <v>3786310</v>
      </c>
      <c r="H127" s="9" t="str">
        <f t="shared" si="7"/>
        <v>Closed</v>
      </c>
      <c r="I127" s="9" t="str">
        <f t="shared" si="8"/>
        <v>All dates received</v>
      </c>
      <c r="J127" s="9" t="s">
        <v>102</v>
      </c>
      <c r="K127" s="9">
        <v>5001</v>
      </c>
      <c r="L127" s="11">
        <v>360</v>
      </c>
      <c r="M127" s="9" t="s">
        <v>187</v>
      </c>
      <c r="N127" s="9" t="s">
        <v>122</v>
      </c>
      <c r="O127" s="9"/>
      <c r="P127" s="9"/>
      <c r="Q127" s="11"/>
      <c r="R127" s="9" t="s">
        <v>90</v>
      </c>
      <c r="S127" s="9" t="s">
        <v>183</v>
      </c>
      <c r="T127" s="12">
        <f>IF($H127="Cancelled","",IFERROR(((Q127+INDEX(Variables!$B$6:$D$6,IFERROR(MATCH(IF($B127="Robusta","Robusta",(IF($B127="","Arabica",$B127))&amp;" - "&amp;(IF($C127="","Commercial",$C127))),Variables!$B$1:$D$1,0),1)))*22.0462)*(L127/16.67),""))</f>
        <v>138450.66500299939</v>
      </c>
      <c r="U127" s="10">
        <v>45441</v>
      </c>
      <c r="V127" s="9" t="str">
        <f t="shared" si="11"/>
        <v>Sent</v>
      </c>
      <c r="W127" s="10">
        <v>45448</v>
      </c>
      <c r="X127" s="9" t="str">
        <f t="shared" si="12"/>
        <v>Approved</v>
      </c>
      <c r="Y127" s="10"/>
      <c r="Z127" s="10">
        <f>IF($H127="Cancelled","",IFERROR(IF(F127="","",F127-Variables!$B$13),""))</f>
        <v>45489</v>
      </c>
      <c r="AA127" s="11">
        <f>IF($H127="Cancelled","",IFERROR(IF(W127="","",(AVERAGE(E127:F127)-W127)-Variables!$B$14),""))</f>
        <v>11</v>
      </c>
      <c r="AB127" s="10">
        <v>45513</v>
      </c>
      <c r="AC127" s="11">
        <f>IF($H127="Cancelled","",IFERROR(IF(AB127="","",IF(AND(W127="",Y127=""),"",IF(Y127&gt;W127,Y127+Variables!$B$15+Variables!$B$16+Variables!$B$17-AB127,W127+Variables!$B$16+Variables!$B$17-AB127))),""))</f>
        <v>-57</v>
      </c>
      <c r="AD127" s="9" t="s">
        <v>151</v>
      </c>
      <c r="AE127" s="9" t="s">
        <v>417</v>
      </c>
      <c r="AF127" s="10"/>
      <c r="AG127" s="10"/>
      <c r="AH127" s="9"/>
      <c r="AI127" s="9" t="s">
        <v>418</v>
      </c>
      <c r="AJ127" s="9" t="s">
        <v>8</v>
      </c>
      <c r="AK127" s="10">
        <v>45480</v>
      </c>
      <c r="AL127" s="10">
        <v>45483</v>
      </c>
      <c r="AM127" s="10">
        <v>45490</v>
      </c>
      <c r="AN127" s="9" t="s">
        <v>95</v>
      </c>
      <c r="AO127" s="9"/>
      <c r="AP127" s="11">
        <f>IF($H127="Cancelled","",IFERROR(IF(OR(AK127="",AB127=""),"",(AB127+Variables!$B$18-AK127)),""))</f>
        <v>40</v>
      </c>
      <c r="AQ127" s="11">
        <f>IF($H127="Cancelled","",IFERROR(IF(OR(AM127="",AK127=""),"",(AK127+Variables!$B$19)-AM127),""))</f>
        <v>-5</v>
      </c>
      <c r="AR127" s="12">
        <f>IF($H127="Cancelled","",IFERROR(T127*INDEX(Variables!$B$7:$D$7,IFERROR(MATCH(IF($B127="Robusta","Robusta",(IF($B127="","Arabica",$B127))&amp;" - "&amp;(IF($C127="","Commercial",$C127))),Variables!$B$1:$D$1,0),1))*(AQ127/365),""))</f>
        <v>-122.29593795693708</v>
      </c>
      <c r="AS127" s="12">
        <f>IF($H127="Cancelled","",IFERROR((T127*INDEX(Variables!$B$7:$D$7,IFERROR(MATCH(IF($B127="Robusta","Robusta",(IF($B127="","Arabica",$B127))&amp;" - "&amp;(IF($C127="","Commercial",$C127))),Variables!$B$1:$D$1,0),1))*IFERROR(IF(W127="","",(AVERAGE(E127:F127)-W127)-Variables!$B$14),"")/365)+(L127/16.67*INDEX(Variables!$B$8:$D$8,IFERROR(MATCH(IF($B127="Robusta","Robusta",(IF($B127="","Arabica",$B127))&amp;" - "&amp;(IF($C127="","Commercial",$C127))),Variables!$B$1:$D$1,0),1))*IFERROR(IF(W127="","",(AVERAGE(E127:F127)-W127)-Variables!$B$14),""))+(T127*INDEX(Variables!$B$9:$D$9,IFERROR(MATCH(IF($B127="Robusta","Robusta",(IF($B127="","Arabica",$B127))&amp;" - "&amp;(IF($C127="","Commercial",$C127))),Variables!$B$1:$D$1,0),1))*IFERROR(IF(W127="","",(AVERAGE(E127:F127)-W127)-Variables!$B$14),"")/365),""))</f>
        <v>470.51965094632169</v>
      </c>
      <c r="AT127" s="12">
        <f>IF($H127="Cancelled","",IFERROR((T127*INDEX(Variables!$B$7:$D$7,IFERROR(MATCH(IF($B127="Robusta","Robusta",(IF($B127="","Arabica",$B127))&amp;" - "&amp;(IF($C127="","Commercial",$C127))),Variables!$B$1:$D$1,0),1))*AC127/365)+(L127/16.67*INDEX(Variables!$B$8:$D$8,IFERROR(MATCH(IF($B127="Robusta","Robusta",(IF($B127="","Arabica",$B127))&amp;" - "&amp;(IF($C127="","Commercial",$C127))),Variables!$B$1:$D$1,0),1))*AC127)+(T127*INDEX(Variables!$B$9:$D$9,IFERROR(MATCH(IF($B127="Robusta","Robusta",(IF($B127="","Arabica",$B127))&amp;" - "&amp;(IF($C127="","Commercial",$C127))),Variables!$B$1:$D$1,0),1))*AC127/365),""))</f>
        <v>-2438.1472821763946</v>
      </c>
      <c r="AU127" s="12">
        <f>IF($H127="Cancelled","",IFERROR((T127*INDEX(Variables!$B$7:$D$7,IFERROR(MATCH(IF($B127="Robusta","Robusta",(IF($B127="","Arabica",$B127))&amp;" - "&amp;(IF($C127="","Commercial",$C127))),Variables!$B$1:$D$1,0),1))*AP127/365)+(L127/16.67*INDEX(Variables!$B$8:$D$8,IFERROR(MATCH(IF($B127="Robusta","Robusta",(IF($B127="","Arabica",$B127))&amp;" - "&amp;(IF($C127="","Commercial",$C127))),Variables!$B$1:$D$1,0),1))*AP127)+(T127*INDEX(Variables!$B$9:$D$9,IFERROR(MATCH(IF($B127="Robusta","Robusta",(IF($B127="","Arabica",$B127))&amp;" - "&amp;(IF($C127="","Commercial",$C127))),Variables!$B$1:$D$1,0),1))*AP127/365),""))</f>
        <v>1710.9805488957154</v>
      </c>
      <c r="AV127" s="11">
        <f t="shared" si="9"/>
        <v>24</v>
      </c>
      <c r="AW127" s="12">
        <f>IF($H127="Cancelled","",IFERROR(IF(AV127="","",(T127*INDEX(Variables!$B$7:$D$7,IFERROR(MATCH(IF($B127="Robusta","Robusta",(IF($B127="","Arabica",$B127))&amp;" - "&amp;(IF($C127="","Commercial",$C127))),Variables!$B$1:$D$1,0),1))*(AV127/365))+(T127*INDEX(Variables!$B$9:$D$9,IFERROR(MATCH(IF($B127="Robusta","Robusta",(IF($B127="","Arabica",$B127))&amp;" - "&amp;(IF($C127="","Commercial",$C127))),Variables!$B$1:$D$1,0),1))*(AV127/365))+(INDEX(Variables!$B$8:$D$8,IFERROR(MATCH(IF($B127="Robusta","Robusta",(IF($B127="","Arabica",$B127))&amp;" - "&amp;(IF($C127="","Commercial",$C127))),Variables!$B$1:$D$1,0),1))*L127/16.67)),""))</f>
        <v>612.58832933742906</v>
      </c>
      <c r="AX127" s="9"/>
      <c r="AY127" s="12"/>
      <c r="AZ127" s="10"/>
      <c r="BA127" s="9"/>
      <c r="BB127" s="10"/>
      <c r="BC127" s="9"/>
      <c r="BD127" s="9"/>
      <c r="BE127" s="9"/>
      <c r="BF127" s="9"/>
    </row>
    <row r="128" spans="1:58" x14ac:dyDescent="0.25">
      <c r="A128" s="9" t="s">
        <v>84</v>
      </c>
      <c r="B128" s="9" t="s">
        <v>85</v>
      </c>
      <c r="C128" s="9" t="s">
        <v>86</v>
      </c>
      <c r="D128" s="10">
        <v>45398</v>
      </c>
      <c r="E128" s="10">
        <v>45505</v>
      </c>
      <c r="F128" s="10">
        <v>45535</v>
      </c>
      <c r="G128" s="9">
        <v>3786304</v>
      </c>
      <c r="H128" s="9" t="str">
        <f t="shared" si="7"/>
        <v>Closed</v>
      </c>
      <c r="I128" s="9" t="str">
        <f t="shared" si="8"/>
        <v>All dates received</v>
      </c>
      <c r="J128" s="9" t="s">
        <v>102</v>
      </c>
      <c r="K128" s="9" t="s">
        <v>419</v>
      </c>
      <c r="L128" s="11">
        <v>720</v>
      </c>
      <c r="M128" s="9" t="s">
        <v>160</v>
      </c>
      <c r="N128" s="9" t="s">
        <v>161</v>
      </c>
      <c r="O128" s="9"/>
      <c r="P128" s="9"/>
      <c r="Q128" s="11"/>
      <c r="R128" s="9" t="s">
        <v>90</v>
      </c>
      <c r="S128" s="9" t="s">
        <v>178</v>
      </c>
      <c r="T128" s="12">
        <f>IF($H128="Cancelled","",IFERROR(((Q128+INDEX(Variables!$B$6:$D$6,IFERROR(MATCH(IF($B128="Robusta","Robusta",(IF($B128="","Arabica",$B128))&amp;" - "&amp;(IF($C128="","Commercial",$C128))),Variables!$B$1:$D$1,0),1)))*22.0462)*(L128/16.67),""))</f>
        <v>276901.33000599878</v>
      </c>
      <c r="U128" s="10">
        <v>45482</v>
      </c>
      <c r="V128" s="9" t="str">
        <f t="shared" si="11"/>
        <v>Sent</v>
      </c>
      <c r="W128" s="10">
        <v>45498</v>
      </c>
      <c r="X128" s="9" t="str">
        <f t="shared" si="12"/>
        <v>Approved</v>
      </c>
      <c r="Y128" s="10"/>
      <c r="Z128" s="10">
        <f>IF($H128="Cancelled","",IFERROR(IF(F128="","",F128-Variables!$B$13),""))</f>
        <v>45520</v>
      </c>
      <c r="AA128" s="11">
        <f>IF($H128="Cancelled","",IFERROR(IF(W128="","",(AVERAGE(E128:F128)-W128)-Variables!$B$14),""))</f>
        <v>-8</v>
      </c>
      <c r="AB128" s="10">
        <v>45524</v>
      </c>
      <c r="AC128" s="11">
        <f>IF($H128="Cancelled","",IFERROR(IF(AB128="","",IF(AND(W128="",Y128=""),"",IF(Y128&gt;W128,Y128+Variables!$B$15+Variables!$B$16+Variables!$B$17-AB128,W128+Variables!$B$16+Variables!$B$17-AB128))),""))</f>
        <v>-18</v>
      </c>
      <c r="AD128" s="9" t="s">
        <v>107</v>
      </c>
      <c r="AE128" s="9" t="s">
        <v>191</v>
      </c>
      <c r="AF128" s="10"/>
      <c r="AG128" s="10"/>
      <c r="AH128" s="9"/>
      <c r="AI128" s="9" t="s">
        <v>420</v>
      </c>
      <c r="AJ128" s="9" t="s">
        <v>8</v>
      </c>
      <c r="AK128" s="10">
        <v>45518</v>
      </c>
      <c r="AL128" s="10">
        <v>45524</v>
      </c>
      <c r="AM128" s="10">
        <v>45527</v>
      </c>
      <c r="AN128" s="9" t="s">
        <v>95</v>
      </c>
      <c r="AO128" s="9"/>
      <c r="AP128" s="11">
        <f>IF($H128="Cancelled","",IFERROR(IF(OR(AK128="",AB128=""),"",(AB128+Variables!$B$18-AK128)),""))</f>
        <v>13</v>
      </c>
      <c r="AQ128" s="11">
        <f>IF($H128="Cancelled","",IFERROR(IF(OR(AM128="",AK128=""),"",(AK128+Variables!$B$19)-AM128),""))</f>
        <v>-4</v>
      </c>
      <c r="AR128" s="12">
        <f>IF($H128="Cancelled","",IFERROR(T128*INDEX(Variables!$B$7:$D$7,IFERROR(MATCH(IF($B128="Robusta","Robusta",(IF($B128="","Arabica",$B128))&amp;" - "&amp;(IF($C128="","Commercial",$C128))),Variables!$B$1:$D$1,0),1))*(AQ128/365),""))</f>
        <v>-195.67350073109935</v>
      </c>
      <c r="AS128" s="12">
        <f>IF($H128="Cancelled","",IFERROR((T128*INDEX(Variables!$B$7:$D$7,IFERROR(MATCH(IF($B128="Robusta","Robusta",(IF($B128="","Arabica",$B128))&amp;" - "&amp;(IF($C128="","Commercial",$C128))),Variables!$B$1:$D$1,0),1))*IFERROR(IF(W128="","",(AVERAGE(E128:F128)-W128)-Variables!$B$14),"")/365)+(L128/16.67*INDEX(Variables!$B$8:$D$8,IFERROR(MATCH(IF($B128="Robusta","Robusta",(IF($B128="","Arabica",$B128))&amp;" - "&amp;(IF($C128="","Commercial",$C128))),Variables!$B$1:$D$1,0),1))*IFERROR(IF(W128="","",(AVERAGE(E128:F128)-W128)-Variables!$B$14),""))+(T128*INDEX(Variables!$B$9:$D$9,IFERROR(MATCH(IF($B128="Robusta","Robusta",(IF($B128="","Arabica",$B128))&amp;" - "&amp;(IF($C128="","Commercial",$C128))),Variables!$B$1:$D$1,0),1))*IFERROR(IF(W128="","",(AVERAGE(E128:F128)-W128)-Variables!$B$14),"")/365),""))</f>
        <v>-684.39221955828611</v>
      </c>
      <c r="AT128" s="12">
        <f>IF($H128="Cancelled","",IFERROR((T128*INDEX(Variables!$B$7:$D$7,IFERROR(MATCH(IF($B128="Robusta","Robusta",(IF($B128="","Arabica",$B128))&amp;" - "&amp;(IF($C128="","Commercial",$C128))),Variables!$B$1:$D$1,0),1))*AC128/365)+(L128/16.67*INDEX(Variables!$B$8:$D$8,IFERROR(MATCH(IF($B128="Robusta","Robusta",(IF($B128="","Arabica",$B128))&amp;" - "&amp;(IF($C128="","Commercial",$C128))),Variables!$B$1:$D$1,0),1))*AC128)+(T128*INDEX(Variables!$B$9:$D$9,IFERROR(MATCH(IF($B128="Robusta","Robusta",(IF($B128="","Arabica",$B128))&amp;" - "&amp;(IF($C128="","Commercial",$C128))),Variables!$B$1:$D$1,0),1))*AC128/365),""))</f>
        <v>-1539.8824940061438</v>
      </c>
      <c r="AU128" s="12">
        <f>IF($H128="Cancelled","",IFERROR((T128*INDEX(Variables!$B$7:$D$7,IFERROR(MATCH(IF($B128="Robusta","Robusta",(IF($B128="","Arabica",$B128))&amp;" - "&amp;(IF($C128="","Commercial",$C128))),Variables!$B$1:$D$1,0),1))*AP128/365)+(L128/16.67*INDEX(Variables!$B$8:$D$8,IFERROR(MATCH(IF($B128="Robusta","Robusta",(IF($B128="","Arabica",$B128))&amp;" - "&amp;(IF($C128="","Commercial",$C128))),Variables!$B$1:$D$1,0),1))*AP128)+(T128*INDEX(Variables!$B$9:$D$9,IFERROR(MATCH(IF($B128="Robusta","Robusta",(IF($B128="","Arabica",$B128))&amp;" - "&amp;(IF($C128="","Commercial",$C128))),Variables!$B$1:$D$1,0),1))*AP128/365),""))</f>
        <v>1112.137356782215</v>
      </c>
      <c r="AV128" s="11">
        <f t="shared" si="9"/>
        <v>17</v>
      </c>
      <c r="AW128" s="12">
        <f>IF($H128="Cancelled","",IFERROR(IF(AV128="","",(T128*INDEX(Variables!$B$7:$D$7,IFERROR(MATCH(IF($B128="Robusta","Robusta",(IF($B128="","Arabica",$B128))&amp;" - "&amp;(IF($C128="","Commercial",$C128))),Variables!$B$1:$D$1,0),1))*(AV128/365))+(T128*INDEX(Variables!$B$9:$D$9,IFERROR(MATCH(IF($B128="Robusta","Robusta",(IF($B128="","Arabica",$B128))&amp;" - "&amp;(IF($C128="","Commercial",$C128))),Variables!$B$1:$D$1,0),1))*(AV128/365))+(INDEX(Variables!$B$8:$D$8,IFERROR(MATCH(IF($B128="Robusta","Robusta",(IF($B128="","Arabica",$B128))&amp;" - "&amp;(IF($C128="","Commercial",$C128))),Variables!$B$1:$D$1,0),1))*L128/16.67)),""))</f>
        <v>878.33346656135791</v>
      </c>
      <c r="AX128" s="9"/>
      <c r="AY128" s="12"/>
      <c r="AZ128" s="10"/>
      <c r="BA128" s="9"/>
      <c r="BB128" s="10"/>
      <c r="BC128" s="9"/>
      <c r="BD128" s="9"/>
      <c r="BE128" s="9"/>
      <c r="BF128" s="9"/>
    </row>
    <row r="129" spans="1:58" x14ac:dyDescent="0.25">
      <c r="A129" s="9" t="s">
        <v>84</v>
      </c>
      <c r="B129" s="9" t="s">
        <v>85</v>
      </c>
      <c r="C129" s="9" t="s">
        <v>86</v>
      </c>
      <c r="D129" s="10">
        <v>45398</v>
      </c>
      <c r="E129" s="10">
        <v>45505</v>
      </c>
      <c r="F129" s="10">
        <v>45535</v>
      </c>
      <c r="G129" s="9">
        <v>3786304</v>
      </c>
      <c r="H129" s="9" t="str">
        <f t="shared" si="7"/>
        <v>Closed</v>
      </c>
      <c r="I129" s="9" t="str">
        <f t="shared" si="8"/>
        <v>All dates received</v>
      </c>
      <c r="J129" s="9" t="s">
        <v>102</v>
      </c>
      <c r="K129" s="9" t="s">
        <v>421</v>
      </c>
      <c r="L129" s="11">
        <v>360</v>
      </c>
      <c r="M129" s="9" t="s">
        <v>160</v>
      </c>
      <c r="N129" s="9" t="s">
        <v>161</v>
      </c>
      <c r="O129" s="9"/>
      <c r="P129" s="9"/>
      <c r="Q129" s="11"/>
      <c r="R129" s="9" t="s">
        <v>90</v>
      </c>
      <c r="S129" s="9" t="s">
        <v>162</v>
      </c>
      <c r="T129" s="12">
        <f>IF($H129="Cancelled","",IFERROR(((Q129+INDEX(Variables!$B$6:$D$6,IFERROR(MATCH(IF($B129="Robusta","Robusta",(IF($B129="","Arabica",$B129))&amp;" - "&amp;(IF($C129="","Commercial",$C129))),Variables!$B$1:$D$1,0),1)))*22.0462)*(L129/16.67),""))</f>
        <v>138450.66500299939</v>
      </c>
      <c r="U129" s="10">
        <v>45482</v>
      </c>
      <c r="V129" s="9" t="str">
        <f t="shared" si="11"/>
        <v>Sent</v>
      </c>
      <c r="W129" s="10">
        <v>45498</v>
      </c>
      <c r="X129" s="9" t="str">
        <f t="shared" si="12"/>
        <v>Approved</v>
      </c>
      <c r="Y129" s="10"/>
      <c r="Z129" s="10">
        <f>IF($H129="Cancelled","",IFERROR(IF(F129="","",F129-Variables!$B$13),""))</f>
        <v>45520</v>
      </c>
      <c r="AA129" s="11">
        <f>IF($H129="Cancelled","",IFERROR(IF(W129="","",(AVERAGE(E129:F129)-W129)-Variables!$B$14),""))</f>
        <v>-8</v>
      </c>
      <c r="AB129" s="10">
        <v>45524</v>
      </c>
      <c r="AC129" s="11">
        <f>IF($H129="Cancelled","",IFERROR(IF(AB129="","",IF(AND(W129="",Y129=""),"",IF(Y129&gt;W129,Y129+Variables!$B$15+Variables!$B$16+Variables!$B$17-AB129,W129+Variables!$B$16+Variables!$B$17-AB129))),""))</f>
        <v>-18</v>
      </c>
      <c r="AD129" s="9" t="s">
        <v>165</v>
      </c>
      <c r="AE129" s="9" t="s">
        <v>191</v>
      </c>
      <c r="AF129" s="10"/>
      <c r="AG129" s="10"/>
      <c r="AH129" s="9"/>
      <c r="AI129" s="9" t="s">
        <v>422</v>
      </c>
      <c r="AJ129" s="9" t="s">
        <v>8</v>
      </c>
      <c r="AK129" s="10">
        <v>45518</v>
      </c>
      <c r="AL129" s="10">
        <v>45524</v>
      </c>
      <c r="AM129" s="10">
        <v>45527</v>
      </c>
      <c r="AN129" s="9" t="s">
        <v>95</v>
      </c>
      <c r="AO129" s="9"/>
      <c r="AP129" s="11">
        <f>IF($H129="Cancelled","",IFERROR(IF(OR(AK129="",AB129=""),"",(AB129+Variables!$B$18-AK129)),""))</f>
        <v>13</v>
      </c>
      <c r="AQ129" s="11">
        <f>IF($H129="Cancelled","",IFERROR(IF(OR(AM129="",AK129=""),"",(AK129+Variables!$B$19)-AM129),""))</f>
        <v>-4</v>
      </c>
      <c r="AR129" s="12">
        <f>IF($H129="Cancelled","",IFERROR(T129*INDEX(Variables!$B$7:$D$7,IFERROR(MATCH(IF($B129="Robusta","Robusta",(IF($B129="","Arabica",$B129))&amp;" - "&amp;(IF($C129="","Commercial",$C129))),Variables!$B$1:$D$1,0),1))*(AQ129/365),""))</f>
        <v>-97.836750365549676</v>
      </c>
      <c r="AS129" s="12">
        <f>IF($H129="Cancelled","",IFERROR((T129*INDEX(Variables!$B$7:$D$7,IFERROR(MATCH(IF($B129="Robusta","Robusta",(IF($B129="","Arabica",$B129))&amp;" - "&amp;(IF($C129="","Commercial",$C129))),Variables!$B$1:$D$1,0),1))*IFERROR(IF(W129="","",(AVERAGE(E129:F129)-W129)-Variables!$B$14),"")/365)+(L129/16.67*INDEX(Variables!$B$8:$D$8,IFERROR(MATCH(IF($B129="Robusta","Robusta",(IF($B129="","Arabica",$B129))&amp;" - "&amp;(IF($C129="","Commercial",$C129))),Variables!$B$1:$D$1,0),1))*IFERROR(IF(W129="","",(AVERAGE(E129:F129)-W129)-Variables!$B$14),""))+(T129*INDEX(Variables!$B$9:$D$9,IFERROR(MATCH(IF($B129="Robusta","Robusta",(IF($B129="","Arabica",$B129))&amp;" - "&amp;(IF($C129="","Commercial",$C129))),Variables!$B$1:$D$1,0),1))*IFERROR(IF(W129="","",(AVERAGE(E129:F129)-W129)-Variables!$B$14),"")/365),""))</f>
        <v>-342.19610977914306</v>
      </c>
      <c r="AT129" s="12">
        <f>IF($H129="Cancelled","",IFERROR((T129*INDEX(Variables!$B$7:$D$7,IFERROR(MATCH(IF($B129="Robusta","Robusta",(IF($B129="","Arabica",$B129))&amp;" - "&amp;(IF($C129="","Commercial",$C129))),Variables!$B$1:$D$1,0),1))*AC129/365)+(L129/16.67*INDEX(Variables!$B$8:$D$8,IFERROR(MATCH(IF($B129="Robusta","Robusta",(IF($B129="","Arabica",$B129))&amp;" - "&amp;(IF($C129="","Commercial",$C129))),Variables!$B$1:$D$1,0),1))*AC129)+(T129*INDEX(Variables!$B$9:$D$9,IFERROR(MATCH(IF($B129="Robusta","Robusta",(IF($B129="","Arabica",$B129))&amp;" - "&amp;(IF($C129="","Commercial",$C129))),Variables!$B$1:$D$1,0),1))*AC129/365),""))</f>
        <v>-769.94124700307191</v>
      </c>
      <c r="AU129" s="12">
        <f>IF($H129="Cancelled","",IFERROR((T129*INDEX(Variables!$B$7:$D$7,IFERROR(MATCH(IF($B129="Robusta","Robusta",(IF($B129="","Arabica",$B129))&amp;" - "&amp;(IF($C129="","Commercial",$C129))),Variables!$B$1:$D$1,0),1))*AP129/365)+(L129/16.67*INDEX(Variables!$B$8:$D$8,IFERROR(MATCH(IF($B129="Robusta","Robusta",(IF($B129="","Arabica",$B129))&amp;" - "&amp;(IF($C129="","Commercial",$C129))),Variables!$B$1:$D$1,0),1))*AP129)+(T129*INDEX(Variables!$B$9:$D$9,IFERROR(MATCH(IF($B129="Robusta","Robusta",(IF($B129="","Arabica",$B129))&amp;" - "&amp;(IF($C129="","Commercial",$C129))),Variables!$B$1:$D$1,0),1))*AP129/365),""))</f>
        <v>556.06867839110748</v>
      </c>
      <c r="AV129" s="11">
        <f t="shared" si="9"/>
        <v>17</v>
      </c>
      <c r="AW129" s="12">
        <f>IF($H129="Cancelled","",IFERROR(IF(AV129="","",(T129*INDEX(Variables!$B$7:$D$7,IFERROR(MATCH(IF($B129="Robusta","Robusta",(IF($B129="","Arabica",$B129))&amp;" - "&amp;(IF($C129="","Commercial",$C129))),Variables!$B$1:$D$1,0),1))*(AV129/365))+(T129*INDEX(Variables!$B$9:$D$9,IFERROR(MATCH(IF($B129="Robusta","Robusta",(IF($B129="","Arabica",$B129))&amp;" - "&amp;(IF($C129="","Commercial",$C129))),Variables!$B$1:$D$1,0),1))*(AV129/365))+(INDEX(Variables!$B$8:$D$8,IFERROR(MATCH(IF($B129="Robusta","Robusta",(IF($B129="","Arabica",$B129))&amp;" - "&amp;(IF($C129="","Commercial",$C129))),Variables!$B$1:$D$1,0),1))*L129/16.67)),""))</f>
        <v>439.16673328067895</v>
      </c>
      <c r="AX129" s="9"/>
      <c r="AY129" s="12"/>
      <c r="AZ129" s="10"/>
      <c r="BA129" s="9"/>
      <c r="BB129" s="10"/>
      <c r="BC129" s="9"/>
      <c r="BD129" s="9"/>
      <c r="BE129" s="9"/>
      <c r="BF129" s="9"/>
    </row>
    <row r="130" spans="1:58" x14ac:dyDescent="0.25">
      <c r="A130" s="9" t="s">
        <v>84</v>
      </c>
      <c r="B130" s="9" t="s">
        <v>85</v>
      </c>
      <c r="C130" s="9" t="s">
        <v>86</v>
      </c>
      <c r="D130" s="10">
        <v>45398</v>
      </c>
      <c r="E130" s="10">
        <v>45505</v>
      </c>
      <c r="F130" s="10">
        <v>45535</v>
      </c>
      <c r="G130" s="9">
        <v>3786308</v>
      </c>
      <c r="H130" s="9" t="str">
        <f t="shared" ref="H130:H193" si="13">IF(ISNUMBER(SEARCH("cancel",AN130)),"Cancelled",IF(AND(AK130&lt;&gt;"",AL130&lt;&gt;"",AM130&lt;&gt;""),"Closed","Open"))</f>
        <v>Closed</v>
      </c>
      <c r="I130" s="9" t="str">
        <f t="shared" ref="I130:I193" si="14">IF(AND(AK130&lt;&gt;"",AL130&lt;&gt;"",AM130&lt;&gt;""),"All dates received",_xlfn.TEXTJOIN(" and ",TRUE(),IF(AK130="","No sailing date",""),IF(AL130="","No shipping advice sent",""),IF(AM130="","No docs dispatch date","")))</f>
        <v>All dates received</v>
      </c>
      <c r="J130" s="9" t="s">
        <v>102</v>
      </c>
      <c r="K130" s="9" t="s">
        <v>423</v>
      </c>
      <c r="L130" s="11">
        <v>720</v>
      </c>
      <c r="M130" s="9" t="s">
        <v>409</v>
      </c>
      <c r="N130" s="9" t="s">
        <v>122</v>
      </c>
      <c r="O130" s="9"/>
      <c r="P130" s="9"/>
      <c r="Q130" s="11"/>
      <c r="R130" s="9" t="s">
        <v>90</v>
      </c>
      <c r="S130" s="9" t="s">
        <v>178</v>
      </c>
      <c r="T130" s="12">
        <f>IF($H130="Cancelled","",IFERROR(((Q130+INDEX(Variables!$B$6:$D$6,IFERROR(MATCH(IF($B130="Robusta","Robusta",(IF($B130="","Arabica",$B130))&amp;" - "&amp;(IF($C130="","Commercial",$C130))),Variables!$B$1:$D$1,0),1)))*22.0462)*(L130/16.67),""))</f>
        <v>276901.33000599878</v>
      </c>
      <c r="U130" s="10">
        <v>45457</v>
      </c>
      <c r="V130" s="9" t="str">
        <f t="shared" si="11"/>
        <v>Sent</v>
      </c>
      <c r="W130" s="10">
        <v>45481</v>
      </c>
      <c r="X130" s="9" t="str">
        <f t="shared" si="12"/>
        <v>Approved</v>
      </c>
      <c r="Y130" s="10"/>
      <c r="Z130" s="10">
        <f>IF($H130="Cancelled","",IFERROR(IF(F130="","",F130-Variables!$B$13),""))</f>
        <v>45520</v>
      </c>
      <c r="AA130" s="11">
        <f>IF($H130="Cancelled","",IFERROR(IF(W130="","",(AVERAGE(E130:F130)-W130)-Variables!$B$14),""))</f>
        <v>9</v>
      </c>
      <c r="AB130" s="10">
        <v>45517</v>
      </c>
      <c r="AC130" s="11">
        <f>IF($H130="Cancelled","",IFERROR(IF(AB130="","",IF(AND(W130="",Y130=""),"",IF(Y130&gt;W130,Y130+Variables!$B$15+Variables!$B$16+Variables!$B$17-AB130,W130+Variables!$B$16+Variables!$B$17-AB130))),""))</f>
        <v>-28</v>
      </c>
      <c r="AD130" s="9" t="s">
        <v>165</v>
      </c>
      <c r="AE130" s="9" t="s">
        <v>191</v>
      </c>
      <c r="AF130" s="10"/>
      <c r="AG130" s="10"/>
      <c r="AH130" s="9"/>
      <c r="AI130" s="9" t="s">
        <v>424</v>
      </c>
      <c r="AJ130" s="9" t="s">
        <v>8</v>
      </c>
      <c r="AK130" s="10">
        <v>45518</v>
      </c>
      <c r="AL130" s="10">
        <v>45524</v>
      </c>
      <c r="AM130" s="10">
        <v>45527</v>
      </c>
      <c r="AN130" s="9" t="s">
        <v>95</v>
      </c>
      <c r="AO130" s="9"/>
      <c r="AP130" s="11">
        <f>IF($H130="Cancelled","",IFERROR(IF(OR(AK130="",AB130=""),"",(AB130+Variables!$B$18-AK130)),""))</f>
        <v>6</v>
      </c>
      <c r="AQ130" s="11">
        <f>IF($H130="Cancelled","",IFERROR(IF(OR(AM130="",AK130=""),"",(AK130+Variables!$B$19)-AM130),""))</f>
        <v>-4</v>
      </c>
      <c r="AR130" s="12">
        <f>IF($H130="Cancelled","",IFERROR(T130*INDEX(Variables!$B$7:$D$7,IFERROR(MATCH(IF($B130="Robusta","Robusta",(IF($B130="","Arabica",$B130))&amp;" - "&amp;(IF($C130="","Commercial",$C130))),Variables!$B$1:$D$1,0),1))*(AQ130/365),""))</f>
        <v>-195.67350073109935</v>
      </c>
      <c r="AS130" s="12">
        <f>IF($H130="Cancelled","",IFERROR((T130*INDEX(Variables!$B$7:$D$7,IFERROR(MATCH(IF($B130="Robusta","Robusta",(IF($B130="","Arabica",$B130))&amp;" - "&amp;(IF($C130="","Commercial",$C130))),Variables!$B$1:$D$1,0),1))*IFERROR(IF(W130="","",(AVERAGE(E130:F130)-W130)-Variables!$B$14),"")/365)+(L130/16.67*INDEX(Variables!$B$8:$D$8,IFERROR(MATCH(IF($B130="Robusta","Robusta",(IF($B130="","Arabica",$B130))&amp;" - "&amp;(IF($C130="","Commercial",$C130))),Variables!$B$1:$D$1,0),1))*IFERROR(IF(W130="","",(AVERAGE(E130:F130)-W130)-Variables!$B$14),""))+(T130*INDEX(Variables!$B$9:$D$9,IFERROR(MATCH(IF($B130="Robusta","Robusta",(IF($B130="","Arabica",$B130))&amp;" - "&amp;(IF($C130="","Commercial",$C130))),Variables!$B$1:$D$1,0),1))*IFERROR(IF(W130="","",(AVERAGE(E130:F130)-W130)-Variables!$B$14),"")/365),""))</f>
        <v>769.94124700307191</v>
      </c>
      <c r="AT130" s="12">
        <f>IF($H130="Cancelled","",IFERROR((T130*INDEX(Variables!$B$7:$D$7,IFERROR(MATCH(IF($B130="Robusta","Robusta",(IF($B130="","Arabica",$B130))&amp;" - "&amp;(IF($C130="","Commercial",$C130))),Variables!$B$1:$D$1,0),1))*AC130/365)+(L130/16.67*INDEX(Variables!$B$8:$D$8,IFERROR(MATCH(IF($B130="Robusta","Robusta",(IF($B130="","Arabica",$B130))&amp;" - "&amp;(IF($C130="","Commercial",$C130))),Variables!$B$1:$D$1,0),1))*AC130)+(T130*INDEX(Variables!$B$9:$D$9,IFERROR(MATCH(IF($B130="Robusta","Robusta",(IF($B130="","Arabica",$B130))&amp;" - "&amp;(IF($C130="","Commercial",$C130))),Variables!$B$1:$D$1,0),1))*AC130/365),""))</f>
        <v>-2395.3727684540017</v>
      </c>
      <c r="AU130" s="12">
        <f>IF($H130="Cancelled","",IFERROR((T130*INDEX(Variables!$B$7:$D$7,IFERROR(MATCH(IF($B130="Robusta","Robusta",(IF($B130="","Arabica",$B130))&amp;" - "&amp;(IF($C130="","Commercial",$C130))),Variables!$B$1:$D$1,0),1))*AP130/365)+(L130/16.67*INDEX(Variables!$B$8:$D$8,IFERROR(MATCH(IF($B130="Robusta","Robusta",(IF($B130="","Arabica",$B130))&amp;" - "&amp;(IF($C130="","Commercial",$C130))),Variables!$B$1:$D$1,0),1))*AP130)+(T130*INDEX(Variables!$B$9:$D$9,IFERROR(MATCH(IF($B130="Robusta","Robusta",(IF($B130="","Arabica",$B130))&amp;" - "&amp;(IF($C130="","Commercial",$C130))),Variables!$B$1:$D$1,0),1))*AP130/365),""))</f>
        <v>513.29416466871464</v>
      </c>
      <c r="AV130" s="11">
        <f t="shared" ref="AV130:AV193" si="15">IF($H130="Cancelled","",IFERROR(IF(AK130="","",F130-AK130),""))</f>
        <v>17</v>
      </c>
      <c r="AW130" s="12">
        <f>IF($H130="Cancelled","",IFERROR(IF(AV130="","",(T130*INDEX(Variables!$B$7:$D$7,IFERROR(MATCH(IF($B130="Robusta","Robusta",(IF($B130="","Arabica",$B130))&amp;" - "&amp;(IF($C130="","Commercial",$C130))),Variables!$B$1:$D$1,0),1))*(AV130/365))+(T130*INDEX(Variables!$B$9:$D$9,IFERROR(MATCH(IF($B130="Robusta","Robusta",(IF($B130="","Arabica",$B130))&amp;" - "&amp;(IF($C130="","Commercial",$C130))),Variables!$B$1:$D$1,0),1))*(AV130/365))+(INDEX(Variables!$B$8:$D$8,IFERROR(MATCH(IF($B130="Robusta","Robusta",(IF($B130="","Arabica",$B130))&amp;" - "&amp;(IF($C130="","Commercial",$C130))),Variables!$B$1:$D$1,0),1))*L130/16.67)),""))</f>
        <v>878.33346656135791</v>
      </c>
      <c r="AX130" s="9"/>
      <c r="AY130" s="12"/>
      <c r="AZ130" s="10"/>
      <c r="BA130" s="9"/>
      <c r="BB130" s="10"/>
      <c r="BC130" s="9"/>
      <c r="BD130" s="9"/>
      <c r="BE130" s="9"/>
      <c r="BF130" s="9"/>
    </row>
    <row r="131" spans="1:58" x14ac:dyDescent="0.25">
      <c r="A131" s="9" t="s">
        <v>84</v>
      </c>
      <c r="B131" s="9" t="s">
        <v>85</v>
      </c>
      <c r="C131" s="9" t="s">
        <v>86</v>
      </c>
      <c r="D131" s="10">
        <v>45398</v>
      </c>
      <c r="E131" s="10">
        <v>45505</v>
      </c>
      <c r="F131" s="10">
        <v>45535</v>
      </c>
      <c r="G131" s="9">
        <v>3786308</v>
      </c>
      <c r="H131" s="9" t="str">
        <f t="shared" si="13"/>
        <v>Closed</v>
      </c>
      <c r="I131" s="9" t="str">
        <f t="shared" si="14"/>
        <v>All dates received</v>
      </c>
      <c r="J131" s="9" t="s">
        <v>102</v>
      </c>
      <c r="K131" s="9" t="s">
        <v>425</v>
      </c>
      <c r="L131" s="11">
        <v>720</v>
      </c>
      <c r="M131" s="9" t="s">
        <v>409</v>
      </c>
      <c r="N131" s="9" t="s">
        <v>122</v>
      </c>
      <c r="O131" s="9"/>
      <c r="P131" s="9"/>
      <c r="Q131" s="11"/>
      <c r="R131" s="9" t="s">
        <v>90</v>
      </c>
      <c r="S131" s="9" t="s">
        <v>183</v>
      </c>
      <c r="T131" s="12">
        <f>IF($H131="Cancelled","",IFERROR(((Q131+INDEX(Variables!$B$6:$D$6,IFERROR(MATCH(IF($B131="Robusta","Robusta",(IF($B131="","Arabica",$B131))&amp;" - "&amp;(IF($C131="","Commercial",$C131))),Variables!$B$1:$D$1,0),1)))*22.0462)*(L131/16.67),""))</f>
        <v>276901.33000599878</v>
      </c>
      <c r="U131" s="10">
        <v>45457</v>
      </c>
      <c r="V131" s="9" t="str">
        <f t="shared" si="11"/>
        <v>Sent</v>
      </c>
      <c r="W131" s="10">
        <v>45481</v>
      </c>
      <c r="X131" s="9" t="str">
        <f t="shared" si="12"/>
        <v>Approved</v>
      </c>
      <c r="Y131" s="10"/>
      <c r="Z131" s="10">
        <f>IF($H131="Cancelled","",IFERROR(IF(F131="","",F131-Variables!$B$13),""))</f>
        <v>45520</v>
      </c>
      <c r="AA131" s="11">
        <f>IF($H131="Cancelled","",IFERROR(IF(W131="","",(AVERAGE(E131:F131)-W131)-Variables!$B$14),""))</f>
        <v>9</v>
      </c>
      <c r="AB131" s="10">
        <v>45519</v>
      </c>
      <c r="AC131" s="11">
        <f>IF($H131="Cancelled","",IFERROR(IF(AB131="","",IF(AND(W131="",Y131=""),"",IF(Y131&gt;W131,Y131+Variables!$B$15+Variables!$B$16+Variables!$B$17-AB131,W131+Variables!$B$16+Variables!$B$17-AB131))),""))</f>
        <v>-30</v>
      </c>
      <c r="AD131" s="9" t="s">
        <v>414</v>
      </c>
      <c r="AE131" s="9" t="s">
        <v>191</v>
      </c>
      <c r="AF131" s="10"/>
      <c r="AG131" s="10"/>
      <c r="AH131" s="9"/>
      <c r="AI131" s="9" t="s">
        <v>426</v>
      </c>
      <c r="AJ131" s="9" t="s">
        <v>8</v>
      </c>
      <c r="AK131" s="10">
        <v>45518</v>
      </c>
      <c r="AL131" s="10">
        <v>45524</v>
      </c>
      <c r="AM131" s="10">
        <v>45526</v>
      </c>
      <c r="AN131" s="9" t="s">
        <v>95</v>
      </c>
      <c r="AO131" s="9"/>
      <c r="AP131" s="11">
        <f>IF($H131="Cancelled","",IFERROR(IF(OR(AK131="",AB131=""),"",(AB131+Variables!$B$18-AK131)),""))</f>
        <v>8</v>
      </c>
      <c r="AQ131" s="11">
        <f>IF($H131="Cancelled","",IFERROR(IF(OR(AM131="",AK131=""),"",(AK131+Variables!$B$19)-AM131),""))</f>
        <v>-3</v>
      </c>
      <c r="AR131" s="12">
        <f>IF($H131="Cancelled","",IFERROR(T131*INDEX(Variables!$B$7:$D$7,IFERROR(MATCH(IF($B131="Robusta","Robusta",(IF($B131="","Arabica",$B131))&amp;" - "&amp;(IF($C131="","Commercial",$C131))),Variables!$B$1:$D$1,0),1))*(AQ131/365),""))</f>
        <v>-146.75512554832449</v>
      </c>
      <c r="AS131" s="12">
        <f>IF($H131="Cancelled","",IFERROR((T131*INDEX(Variables!$B$7:$D$7,IFERROR(MATCH(IF($B131="Robusta","Robusta",(IF($B131="","Arabica",$B131))&amp;" - "&amp;(IF($C131="","Commercial",$C131))),Variables!$B$1:$D$1,0),1))*IFERROR(IF(W131="","",(AVERAGE(E131:F131)-W131)-Variables!$B$14),"")/365)+(L131/16.67*INDEX(Variables!$B$8:$D$8,IFERROR(MATCH(IF($B131="Robusta","Robusta",(IF($B131="","Arabica",$B131))&amp;" - "&amp;(IF($C131="","Commercial",$C131))),Variables!$B$1:$D$1,0),1))*IFERROR(IF(W131="","",(AVERAGE(E131:F131)-W131)-Variables!$B$14),""))+(T131*INDEX(Variables!$B$9:$D$9,IFERROR(MATCH(IF($B131="Robusta","Robusta",(IF($B131="","Arabica",$B131))&amp;" - "&amp;(IF($C131="","Commercial",$C131))),Variables!$B$1:$D$1,0),1))*IFERROR(IF(W131="","",(AVERAGE(E131:F131)-W131)-Variables!$B$14),"")/365),""))</f>
        <v>769.94124700307191</v>
      </c>
      <c r="AT131" s="12">
        <f>IF($H131="Cancelled","",IFERROR((T131*INDEX(Variables!$B$7:$D$7,IFERROR(MATCH(IF($B131="Robusta","Robusta",(IF($B131="","Arabica",$B131))&amp;" - "&amp;(IF($C131="","Commercial",$C131))),Variables!$B$1:$D$1,0),1))*AC131/365)+(L131/16.67*INDEX(Variables!$B$8:$D$8,IFERROR(MATCH(IF($B131="Robusta","Robusta",(IF($B131="","Arabica",$B131))&amp;" - "&amp;(IF($C131="","Commercial",$C131))),Variables!$B$1:$D$1,0),1))*AC131)+(T131*INDEX(Variables!$B$9:$D$9,IFERROR(MATCH(IF($B131="Robusta","Robusta",(IF($B131="","Arabica",$B131))&amp;" - "&amp;(IF($C131="","Commercial",$C131))),Variables!$B$1:$D$1,0),1))*AC131/365),""))</f>
        <v>-2566.4708233435731</v>
      </c>
      <c r="AU131" s="12">
        <f>IF($H131="Cancelled","",IFERROR((T131*INDEX(Variables!$B$7:$D$7,IFERROR(MATCH(IF($B131="Robusta","Robusta",(IF($B131="","Arabica",$B131))&amp;" - "&amp;(IF($C131="","Commercial",$C131))),Variables!$B$1:$D$1,0),1))*AP131/365)+(L131/16.67*INDEX(Variables!$B$8:$D$8,IFERROR(MATCH(IF($B131="Robusta","Robusta",(IF($B131="","Arabica",$B131))&amp;" - "&amp;(IF($C131="","Commercial",$C131))),Variables!$B$1:$D$1,0),1))*AP131)+(T131*INDEX(Variables!$B$9:$D$9,IFERROR(MATCH(IF($B131="Robusta","Robusta",(IF($B131="","Arabica",$B131))&amp;" - "&amp;(IF($C131="","Commercial",$C131))),Variables!$B$1:$D$1,0),1))*AP131/365),""))</f>
        <v>684.39221955828611</v>
      </c>
      <c r="AV131" s="11">
        <f t="shared" si="15"/>
        <v>17</v>
      </c>
      <c r="AW131" s="12">
        <f>IF($H131="Cancelled","",IFERROR(IF(AV131="","",(T131*INDEX(Variables!$B$7:$D$7,IFERROR(MATCH(IF($B131="Robusta","Robusta",(IF($B131="","Arabica",$B131))&amp;" - "&amp;(IF($C131="","Commercial",$C131))),Variables!$B$1:$D$1,0),1))*(AV131/365))+(T131*INDEX(Variables!$B$9:$D$9,IFERROR(MATCH(IF($B131="Robusta","Robusta",(IF($B131="","Arabica",$B131))&amp;" - "&amp;(IF($C131="","Commercial",$C131))),Variables!$B$1:$D$1,0),1))*(AV131/365))+(INDEX(Variables!$B$8:$D$8,IFERROR(MATCH(IF($B131="Robusta","Robusta",(IF($B131="","Arabica",$B131))&amp;" - "&amp;(IF($C131="","Commercial",$C131))),Variables!$B$1:$D$1,0),1))*L131/16.67)),""))</f>
        <v>878.33346656135791</v>
      </c>
      <c r="AX131" s="9"/>
      <c r="AY131" s="12"/>
      <c r="AZ131" s="10"/>
      <c r="BA131" s="9"/>
      <c r="BB131" s="10"/>
      <c r="BC131" s="9"/>
      <c r="BD131" s="9"/>
      <c r="BE131" s="9"/>
      <c r="BF131" s="9"/>
    </row>
    <row r="132" spans="1:58" x14ac:dyDescent="0.25">
      <c r="A132" s="9" t="s">
        <v>84</v>
      </c>
      <c r="B132" s="9" t="s">
        <v>85</v>
      </c>
      <c r="C132" s="9" t="s">
        <v>86</v>
      </c>
      <c r="D132" s="10">
        <v>45398</v>
      </c>
      <c r="E132" s="10">
        <v>45536</v>
      </c>
      <c r="F132" s="10">
        <v>45565</v>
      </c>
      <c r="G132" s="9">
        <v>3786305</v>
      </c>
      <c r="H132" s="9" t="str">
        <f t="shared" si="13"/>
        <v>Closed</v>
      </c>
      <c r="I132" s="9" t="str">
        <f t="shared" si="14"/>
        <v>All dates received</v>
      </c>
      <c r="J132" s="9" t="s">
        <v>102</v>
      </c>
      <c r="K132" s="9">
        <v>5067</v>
      </c>
      <c r="L132" s="11">
        <v>1080</v>
      </c>
      <c r="M132" s="9" t="s">
        <v>160</v>
      </c>
      <c r="N132" s="9" t="s">
        <v>161</v>
      </c>
      <c r="O132" s="9"/>
      <c r="P132" s="9"/>
      <c r="Q132" s="11"/>
      <c r="R132" s="9" t="s">
        <v>90</v>
      </c>
      <c r="S132" s="9" t="s">
        <v>178</v>
      </c>
      <c r="T132" s="12">
        <f>IF($H132="Cancelled","",IFERROR(((Q132+INDEX(Variables!$B$6:$D$6,IFERROR(MATCH(IF($B132="Robusta","Robusta",(IF($B132="","Arabica",$B132))&amp;" - "&amp;(IF($C132="","Commercial",$C132))),Variables!$B$1:$D$1,0),1)))*22.0462)*(L132/16.67),""))</f>
        <v>415351.99500899814</v>
      </c>
      <c r="U132" s="10">
        <v>45488</v>
      </c>
      <c r="V132" s="9" t="str">
        <f t="shared" si="11"/>
        <v>Sent</v>
      </c>
      <c r="W132" s="10">
        <v>45503</v>
      </c>
      <c r="X132" s="9" t="str">
        <f t="shared" si="12"/>
        <v>Approved</v>
      </c>
      <c r="Y132" s="10"/>
      <c r="Z132" s="10">
        <f>IF($H132="Cancelled","",IFERROR(IF(F132="","",F132-Variables!$B$13),""))</f>
        <v>45550</v>
      </c>
      <c r="AA132" s="11">
        <f>IF($H132="Cancelled","",IFERROR(IF(W132="","",(AVERAGE(E132:F132)-W132)-Variables!$B$14),""))</f>
        <v>17.5</v>
      </c>
      <c r="AB132" s="10">
        <v>45525</v>
      </c>
      <c r="AC132" s="11">
        <f>IF($H132="Cancelled","",IFERROR(IF(AB132="","",IF(AND(W132="",Y132=""),"",IF(Y132&gt;W132,Y132+Variables!$B$15+Variables!$B$16+Variables!$B$17-AB132,W132+Variables!$B$16+Variables!$B$17-AB132))),""))</f>
        <v>-14</v>
      </c>
      <c r="AD132" s="9" t="s">
        <v>107</v>
      </c>
      <c r="AE132" s="9" t="s">
        <v>427</v>
      </c>
      <c r="AF132" s="10"/>
      <c r="AG132" s="10"/>
      <c r="AH132" s="9"/>
      <c r="AI132" s="9" t="s">
        <v>428</v>
      </c>
      <c r="AJ132" s="9" t="s">
        <v>8</v>
      </c>
      <c r="AK132" s="10">
        <v>45542</v>
      </c>
      <c r="AL132" s="10">
        <v>45545</v>
      </c>
      <c r="AM132" s="10">
        <v>45546</v>
      </c>
      <c r="AN132" s="9" t="s">
        <v>95</v>
      </c>
      <c r="AO132" s="9"/>
      <c r="AP132" s="11">
        <f>IF($H132="Cancelled","",IFERROR(IF(OR(AK132="",AB132=""),"",(AB132+Variables!$B$18-AK132)),""))</f>
        <v>-10</v>
      </c>
      <c r="AQ132" s="11">
        <f>IF($H132="Cancelled","",IFERROR(IF(OR(AM132="",AK132=""),"",(AK132+Variables!$B$19)-AM132),""))</f>
        <v>1</v>
      </c>
      <c r="AR132" s="12">
        <f>IF($H132="Cancelled","",IFERROR(T132*INDEX(Variables!$B$7:$D$7,IFERROR(MATCH(IF($B132="Robusta","Robusta",(IF($B132="","Arabica",$B132))&amp;" - "&amp;(IF($C132="","Commercial",$C132))),Variables!$B$1:$D$1,0),1))*(AQ132/365),""))</f>
        <v>73.377562774162257</v>
      </c>
      <c r="AS132" s="12">
        <f>IF($H132="Cancelled","",IFERROR((T132*INDEX(Variables!$B$7:$D$7,IFERROR(MATCH(IF($B132="Robusta","Robusta",(IF($B132="","Arabica",$B132))&amp;" - "&amp;(IF($C132="","Commercial",$C132))),Variables!$B$1:$D$1,0),1))*IFERROR(IF(W132="","",(AVERAGE(E132:F132)-W132)-Variables!$B$14),"")/365)+(L132/16.67*INDEX(Variables!$B$8:$D$8,IFERROR(MATCH(IF($B132="Robusta","Robusta",(IF($B132="","Arabica",$B132))&amp;" - "&amp;(IF($C132="","Commercial",$C132))),Variables!$B$1:$D$1,0),1))*IFERROR(IF(W132="","",(AVERAGE(E132:F132)-W132)-Variables!$B$14),""))+(T132*INDEX(Variables!$B$9:$D$9,IFERROR(MATCH(IF($B132="Robusta","Robusta",(IF($B132="","Arabica",$B132))&amp;" - "&amp;(IF($C132="","Commercial",$C132))),Variables!$B$1:$D$1,0),1))*IFERROR(IF(W132="","",(AVERAGE(E132:F132)-W132)-Variables!$B$14),"")/365),""))</f>
        <v>2245.6619704256259</v>
      </c>
      <c r="AT132" s="12">
        <f>IF($H132="Cancelled","",IFERROR((T132*INDEX(Variables!$B$7:$D$7,IFERROR(MATCH(IF($B132="Robusta","Robusta",(IF($B132="","Arabica",$B132))&amp;" - "&amp;(IF($C132="","Commercial",$C132))),Variables!$B$1:$D$1,0),1))*AC132/365)+(L132/16.67*INDEX(Variables!$B$8:$D$8,IFERROR(MATCH(IF($B132="Robusta","Robusta",(IF($B132="","Arabica",$B132))&amp;" - "&amp;(IF($C132="","Commercial",$C132))),Variables!$B$1:$D$1,0),1))*AC132)+(T132*INDEX(Variables!$B$9:$D$9,IFERROR(MATCH(IF($B132="Robusta","Robusta",(IF($B132="","Arabica",$B132))&amp;" - "&amp;(IF($C132="","Commercial",$C132))),Variables!$B$1:$D$1,0),1))*AC132/365),""))</f>
        <v>-1796.5295763405009</v>
      </c>
      <c r="AU132" s="12">
        <f>IF($H132="Cancelled","",IFERROR((T132*INDEX(Variables!$B$7:$D$7,IFERROR(MATCH(IF($B132="Robusta","Robusta",(IF($B132="","Arabica",$B132))&amp;" - "&amp;(IF($C132="","Commercial",$C132))),Variables!$B$1:$D$1,0),1))*AP132/365)+(L132/16.67*INDEX(Variables!$B$8:$D$8,IFERROR(MATCH(IF($B132="Robusta","Robusta",(IF($B132="","Arabica",$B132))&amp;" - "&amp;(IF($C132="","Commercial",$C132))),Variables!$B$1:$D$1,0),1))*AP132)+(T132*INDEX(Variables!$B$9:$D$9,IFERROR(MATCH(IF($B132="Robusta","Robusta",(IF($B132="","Arabica",$B132))&amp;" - "&amp;(IF($C132="","Commercial",$C132))),Variables!$B$1:$D$1,0),1))*AP132/365),""))</f>
        <v>-1283.2354116717863</v>
      </c>
      <c r="AV132" s="11">
        <f t="shared" si="15"/>
        <v>23</v>
      </c>
      <c r="AW132" s="12">
        <f>IF($H132="Cancelled","",IFERROR(IF(AV132="","",(T132*INDEX(Variables!$B$7:$D$7,IFERROR(MATCH(IF($B132="Robusta","Robusta",(IF($B132="","Arabica",$B132))&amp;" - "&amp;(IF($C132="","Commercial",$C132))),Variables!$B$1:$D$1,0),1))*(AV132/365))+(T132*INDEX(Variables!$B$9:$D$9,IFERROR(MATCH(IF($B132="Robusta","Robusta",(IF($B132="","Arabica",$B132))&amp;" - "&amp;(IF($C132="","Commercial",$C132))),Variables!$B$1:$D$1,0),1))*(AV132/365))+(INDEX(Variables!$B$8:$D$8,IFERROR(MATCH(IF($B132="Robusta","Robusta",(IF($B132="","Arabica",$B132))&amp;" - "&amp;(IF($C132="","Commercial",$C132))),Variables!$B$1:$D$1,0),1))*L132/16.67)),""))</f>
        <v>1763.4414468451089</v>
      </c>
      <c r="AX132" s="9"/>
      <c r="AY132" s="12"/>
      <c r="AZ132" s="10"/>
      <c r="BA132" s="9"/>
      <c r="BB132" s="10"/>
      <c r="BC132" s="9"/>
      <c r="BD132" s="9"/>
      <c r="BE132" s="9"/>
      <c r="BF132" s="9"/>
    </row>
    <row r="133" spans="1:58" x14ac:dyDescent="0.25">
      <c r="A133" s="9" t="s">
        <v>84</v>
      </c>
      <c r="B133" s="9" t="s">
        <v>85</v>
      </c>
      <c r="C133" s="9" t="s">
        <v>86</v>
      </c>
      <c r="D133" s="10">
        <v>45398</v>
      </c>
      <c r="E133" s="10">
        <v>45536</v>
      </c>
      <c r="F133" s="10">
        <v>45565</v>
      </c>
      <c r="G133" s="9">
        <v>3786309</v>
      </c>
      <c r="H133" s="9" t="str">
        <f t="shared" si="13"/>
        <v>Closed</v>
      </c>
      <c r="I133" s="9" t="str">
        <f t="shared" si="14"/>
        <v>All dates received</v>
      </c>
      <c r="J133" s="9" t="s">
        <v>102</v>
      </c>
      <c r="K133" s="9" t="s">
        <v>429</v>
      </c>
      <c r="L133" s="11">
        <v>1080</v>
      </c>
      <c r="M133" s="9" t="s">
        <v>409</v>
      </c>
      <c r="N133" s="9" t="s">
        <v>122</v>
      </c>
      <c r="O133" s="9"/>
      <c r="P133" s="9"/>
      <c r="Q133" s="11"/>
      <c r="R133" s="9" t="s">
        <v>90</v>
      </c>
      <c r="S133" s="9" t="s">
        <v>178</v>
      </c>
      <c r="T133" s="12">
        <f>IF($H133="Cancelled","",IFERROR(((Q133+INDEX(Variables!$B$6:$D$6,IFERROR(MATCH(IF($B133="Robusta","Robusta",(IF($B133="","Arabica",$B133))&amp;" - "&amp;(IF($C133="","Commercial",$C133))),Variables!$B$1:$D$1,0),1)))*22.0462)*(L133/16.67),""))</f>
        <v>415351.99500899814</v>
      </c>
      <c r="U133" s="10">
        <v>45527</v>
      </c>
      <c r="V133" s="9" t="str">
        <f t="shared" si="11"/>
        <v>Sent</v>
      </c>
      <c r="W133" s="10">
        <v>45546</v>
      </c>
      <c r="X133" s="9" t="str">
        <f t="shared" si="12"/>
        <v>Approved</v>
      </c>
      <c r="Y133" s="10"/>
      <c r="Z133" s="10">
        <f>IF($H133="Cancelled","",IFERROR(IF(F133="","",F133-Variables!$B$13),""))</f>
        <v>45550</v>
      </c>
      <c r="AA133" s="11">
        <f>IF($H133="Cancelled","",IFERROR(IF(W133="","",(AVERAGE(E133:F133)-W133)-Variables!$B$14),""))</f>
        <v>-25.5</v>
      </c>
      <c r="AB133" s="10">
        <v>45525</v>
      </c>
      <c r="AC133" s="11">
        <f>IF($H133="Cancelled","",IFERROR(IF(AB133="","",IF(AND(W133="",Y133=""),"",IF(Y133&gt;W133,Y133+Variables!$B$15+Variables!$B$16+Variables!$B$17-AB133,W133+Variables!$B$16+Variables!$B$17-AB133))),""))</f>
        <v>29</v>
      </c>
      <c r="AD133" s="9" t="s">
        <v>163</v>
      </c>
      <c r="AE133" s="9" t="s">
        <v>164</v>
      </c>
      <c r="AF133" s="10"/>
      <c r="AG133" s="10"/>
      <c r="AH133" s="9"/>
      <c r="AI133" s="9">
        <v>244522300</v>
      </c>
      <c r="AJ133" s="9" t="s">
        <v>8</v>
      </c>
      <c r="AK133" s="10">
        <v>45561</v>
      </c>
      <c r="AL133" s="10">
        <v>45568</v>
      </c>
      <c r="AM133" s="10">
        <v>45568</v>
      </c>
      <c r="AN133" s="9" t="s">
        <v>95</v>
      </c>
      <c r="AO133" s="9"/>
      <c r="AP133" s="11">
        <f>IF($H133="Cancelled","",IFERROR(IF(OR(AK133="",AB133=""),"",(AB133+Variables!$B$18-AK133)),""))</f>
        <v>-29</v>
      </c>
      <c r="AQ133" s="11">
        <f>IF($H133="Cancelled","",IFERROR(IF(OR(AM133="",AK133=""),"",(AK133+Variables!$B$19)-AM133),""))</f>
        <v>-2</v>
      </c>
      <c r="AR133" s="12">
        <f>IF($H133="Cancelled","",IFERROR(T133*INDEX(Variables!$B$7:$D$7,IFERROR(MATCH(IF($B133="Robusta","Robusta",(IF($B133="","Arabica",$B133))&amp;" - "&amp;(IF($C133="","Commercial",$C133))),Variables!$B$1:$D$1,0),1))*(AQ133/365),""))</f>
        <v>-146.75512554832451</v>
      </c>
      <c r="AS133" s="12">
        <f>IF($H133="Cancelled","",IFERROR((T133*INDEX(Variables!$B$7:$D$7,IFERROR(MATCH(IF($B133="Robusta","Robusta",(IF($B133="","Arabica",$B133))&amp;" - "&amp;(IF($C133="","Commercial",$C133))),Variables!$B$1:$D$1,0),1))*IFERROR(IF(W133="","",(AVERAGE(E133:F133)-W133)-Variables!$B$14),"")/365)+(L133/16.67*INDEX(Variables!$B$8:$D$8,IFERROR(MATCH(IF($B133="Robusta","Robusta",(IF($B133="","Arabica",$B133))&amp;" - "&amp;(IF($C133="","Commercial",$C133))),Variables!$B$1:$D$1,0),1))*IFERROR(IF(W133="","",(AVERAGE(E133:F133)-W133)-Variables!$B$14),""))+(T133*INDEX(Variables!$B$9:$D$9,IFERROR(MATCH(IF($B133="Robusta","Robusta",(IF($B133="","Arabica",$B133))&amp;" - "&amp;(IF($C133="","Commercial",$C133))),Variables!$B$1:$D$1,0),1))*IFERROR(IF(W133="","",(AVERAGE(E133:F133)-W133)-Variables!$B$14),"")/365),""))</f>
        <v>-3272.2502997630554</v>
      </c>
      <c r="AT133" s="12">
        <f>IF($H133="Cancelled","",IFERROR((T133*INDEX(Variables!$B$7:$D$7,IFERROR(MATCH(IF($B133="Robusta","Robusta",(IF($B133="","Arabica",$B133))&amp;" - "&amp;(IF($C133="","Commercial",$C133))),Variables!$B$1:$D$1,0),1))*AC133/365)+(L133/16.67*INDEX(Variables!$B$8:$D$8,IFERROR(MATCH(IF($B133="Robusta","Robusta",(IF($B133="","Arabica",$B133))&amp;" - "&amp;(IF($C133="","Commercial",$C133))),Variables!$B$1:$D$1,0),1))*AC133)+(T133*INDEX(Variables!$B$9:$D$9,IFERROR(MATCH(IF($B133="Robusta","Robusta",(IF($B133="","Arabica",$B133))&amp;" - "&amp;(IF($C133="","Commercial",$C133))),Variables!$B$1:$D$1,0),1))*AC133/365),""))</f>
        <v>3721.3826938481807</v>
      </c>
      <c r="AU133" s="12">
        <f>IF($H133="Cancelled","",IFERROR((T133*INDEX(Variables!$B$7:$D$7,IFERROR(MATCH(IF($B133="Robusta","Robusta",(IF($B133="","Arabica",$B133))&amp;" - "&amp;(IF($C133="","Commercial",$C133))),Variables!$B$1:$D$1,0),1))*AP133/365)+(L133/16.67*INDEX(Variables!$B$8:$D$8,IFERROR(MATCH(IF($B133="Robusta","Robusta",(IF($B133="","Arabica",$B133))&amp;" - "&amp;(IF($C133="","Commercial",$C133))),Variables!$B$1:$D$1,0),1))*AP133)+(T133*INDEX(Variables!$B$9:$D$9,IFERROR(MATCH(IF($B133="Robusta","Robusta",(IF($B133="","Arabica",$B133))&amp;" - "&amp;(IF($C133="","Commercial",$C133))),Variables!$B$1:$D$1,0),1))*AP133/365),""))</f>
        <v>-3721.3826938481807</v>
      </c>
      <c r="AV133" s="11">
        <f t="shared" si="15"/>
        <v>4</v>
      </c>
      <c r="AW133" s="12">
        <f>IF($H133="Cancelled","",IFERROR(IF(AV133="","",(T133*INDEX(Variables!$B$7:$D$7,IFERROR(MATCH(IF($B133="Robusta","Robusta",(IF($B133="","Arabica",$B133))&amp;" - "&amp;(IF($C133="","Commercial",$C133))),Variables!$B$1:$D$1,0),1))*(AV133/365))+(T133*INDEX(Variables!$B$9:$D$9,IFERROR(MATCH(IF($B133="Robusta","Robusta",(IF($B133="","Arabica",$B133))&amp;" - "&amp;(IF($C133="","Commercial",$C133))),Variables!$B$1:$D$1,0),1))*(AV133/365))+(INDEX(Variables!$B$8:$D$8,IFERROR(MATCH(IF($B133="Robusta","Robusta",(IF($B133="","Arabica",$B133))&amp;" - "&amp;(IF($C133="","Commercial",$C133))),Variables!$B$1:$D$1,0),1))*L133/16.67)),""))</f>
        <v>351.29416466871459</v>
      </c>
      <c r="AX133" s="9"/>
      <c r="AY133" s="12"/>
      <c r="AZ133" s="10"/>
      <c r="BA133" s="9"/>
      <c r="BB133" s="10"/>
      <c r="BC133" s="9"/>
      <c r="BD133" s="9"/>
      <c r="BE133" s="9"/>
      <c r="BF133" s="9"/>
    </row>
    <row r="134" spans="1:58" x14ac:dyDescent="0.25">
      <c r="A134" s="9" t="s">
        <v>84</v>
      </c>
      <c r="B134" s="9" t="s">
        <v>85</v>
      </c>
      <c r="C134" s="9" t="s">
        <v>86</v>
      </c>
      <c r="D134" s="10">
        <v>45398</v>
      </c>
      <c r="E134" s="10">
        <v>45536</v>
      </c>
      <c r="F134" s="10">
        <v>45565</v>
      </c>
      <c r="G134" s="9">
        <v>3786309</v>
      </c>
      <c r="H134" s="9" t="str">
        <f t="shared" si="13"/>
        <v>Closed</v>
      </c>
      <c r="I134" s="9" t="str">
        <f t="shared" si="14"/>
        <v>All dates received</v>
      </c>
      <c r="J134" s="9" t="s">
        <v>102</v>
      </c>
      <c r="K134" s="9" t="s">
        <v>430</v>
      </c>
      <c r="L134" s="11">
        <v>360</v>
      </c>
      <c r="M134" s="9" t="s">
        <v>409</v>
      </c>
      <c r="N134" s="9" t="s">
        <v>122</v>
      </c>
      <c r="O134" s="9"/>
      <c r="P134" s="9"/>
      <c r="Q134" s="11"/>
      <c r="R134" s="9" t="s">
        <v>90</v>
      </c>
      <c r="S134" s="9" t="s">
        <v>162</v>
      </c>
      <c r="T134" s="12">
        <f>IF($H134="Cancelled","",IFERROR(((Q134+INDEX(Variables!$B$6:$D$6,IFERROR(MATCH(IF($B134="Robusta","Robusta",(IF($B134="","Arabica",$B134))&amp;" - "&amp;(IF($C134="","Commercial",$C134))),Variables!$B$1:$D$1,0),1)))*22.0462)*(L134/16.67),""))</f>
        <v>138450.66500299939</v>
      </c>
      <c r="U134" s="10">
        <v>45527</v>
      </c>
      <c r="V134" s="9" t="str">
        <f t="shared" si="11"/>
        <v>Sent</v>
      </c>
      <c r="W134" s="10">
        <v>45546</v>
      </c>
      <c r="X134" s="9" t="str">
        <f t="shared" si="12"/>
        <v>Approved</v>
      </c>
      <c r="Y134" s="10"/>
      <c r="Z134" s="10">
        <f>IF($H134="Cancelled","",IFERROR(IF(F134="","",F134-Variables!$B$13),""))</f>
        <v>45550</v>
      </c>
      <c r="AA134" s="11">
        <f>IF($H134="Cancelled","",IFERROR(IF(W134="","",(AVERAGE(E134:F134)-W134)-Variables!$B$14),""))</f>
        <v>-25.5</v>
      </c>
      <c r="AB134" s="10">
        <v>45531</v>
      </c>
      <c r="AC134" s="11">
        <f>IF($H134="Cancelled","",IFERROR(IF(AB134="","",IF(AND(W134="",Y134=""),"",IF(Y134&gt;W134,Y134+Variables!$B$15+Variables!$B$16+Variables!$B$17-AB134,W134+Variables!$B$16+Variables!$B$17-AB134))),""))</f>
        <v>23</v>
      </c>
      <c r="AD134" s="9" t="s">
        <v>163</v>
      </c>
      <c r="AE134" s="9" t="s">
        <v>164</v>
      </c>
      <c r="AF134" s="10"/>
      <c r="AG134" s="10"/>
      <c r="AH134" s="9"/>
      <c r="AI134" s="9">
        <v>243742521</v>
      </c>
      <c r="AJ134" s="9" t="s">
        <v>8</v>
      </c>
      <c r="AK134" s="10">
        <v>45561</v>
      </c>
      <c r="AL134" s="10">
        <v>45568</v>
      </c>
      <c r="AM134" s="10">
        <v>45568</v>
      </c>
      <c r="AN134" s="9" t="s">
        <v>95</v>
      </c>
      <c r="AO134" s="9"/>
      <c r="AP134" s="11">
        <f>IF($H134="Cancelled","",IFERROR(IF(OR(AK134="",AB134=""),"",(AB134+Variables!$B$18-AK134)),""))</f>
        <v>-23</v>
      </c>
      <c r="AQ134" s="11">
        <f>IF($H134="Cancelled","",IFERROR(IF(OR(AM134="",AK134=""),"",(AK134+Variables!$B$19)-AM134),""))</f>
        <v>-2</v>
      </c>
      <c r="AR134" s="12">
        <f>IF($H134="Cancelled","",IFERROR(T134*INDEX(Variables!$B$7:$D$7,IFERROR(MATCH(IF($B134="Robusta","Robusta",(IF($B134="","Arabica",$B134))&amp;" - "&amp;(IF($C134="","Commercial",$C134))),Variables!$B$1:$D$1,0),1))*(AQ134/365),""))</f>
        <v>-48.918375182774838</v>
      </c>
      <c r="AS134" s="12">
        <f>IF($H134="Cancelled","",IFERROR((T134*INDEX(Variables!$B$7:$D$7,IFERROR(MATCH(IF($B134="Robusta","Robusta",(IF($B134="","Arabica",$B134))&amp;" - "&amp;(IF($C134="","Commercial",$C134))),Variables!$B$1:$D$1,0),1))*IFERROR(IF(W134="","",(AVERAGE(E134:F134)-W134)-Variables!$B$14),"")/365)+(L134/16.67*INDEX(Variables!$B$8:$D$8,IFERROR(MATCH(IF($B134="Robusta","Robusta",(IF($B134="","Arabica",$B134))&amp;" - "&amp;(IF($C134="","Commercial",$C134))),Variables!$B$1:$D$1,0),1))*IFERROR(IF(W134="","",(AVERAGE(E134:F134)-W134)-Variables!$B$14),""))+(T134*INDEX(Variables!$B$9:$D$9,IFERROR(MATCH(IF($B134="Robusta","Robusta",(IF($B134="","Arabica",$B134))&amp;" - "&amp;(IF($C134="","Commercial",$C134))),Variables!$B$1:$D$1,0),1))*IFERROR(IF(W134="","",(AVERAGE(E134:F134)-W134)-Variables!$B$14),"")/365),""))</f>
        <v>-1090.7500999210185</v>
      </c>
      <c r="AT134" s="12">
        <f>IF($H134="Cancelled","",IFERROR((T134*INDEX(Variables!$B$7:$D$7,IFERROR(MATCH(IF($B134="Robusta","Robusta",(IF($B134="","Arabica",$B134))&amp;" - "&amp;(IF($C134="","Commercial",$C134))),Variables!$B$1:$D$1,0),1))*AC134/365)+(L134/16.67*INDEX(Variables!$B$8:$D$8,IFERROR(MATCH(IF($B134="Robusta","Robusta",(IF($B134="","Arabica",$B134))&amp;" - "&amp;(IF($C134="","Commercial",$C134))),Variables!$B$1:$D$1,0),1))*AC134)+(T134*INDEX(Variables!$B$9:$D$9,IFERROR(MATCH(IF($B134="Robusta","Robusta",(IF($B134="","Arabica",$B134))&amp;" - "&amp;(IF($C134="","Commercial",$C134))),Variables!$B$1:$D$1,0),1))*AC134/365),""))</f>
        <v>983.81381561503633</v>
      </c>
      <c r="AU134" s="12">
        <f>IF($H134="Cancelled","",IFERROR((T134*INDEX(Variables!$B$7:$D$7,IFERROR(MATCH(IF($B134="Robusta","Robusta",(IF($B134="","Arabica",$B134))&amp;" - "&amp;(IF($C134="","Commercial",$C134))),Variables!$B$1:$D$1,0),1))*AP134/365)+(L134/16.67*INDEX(Variables!$B$8:$D$8,IFERROR(MATCH(IF($B134="Robusta","Robusta",(IF($B134="","Arabica",$B134))&amp;" - "&amp;(IF($C134="","Commercial",$C134))),Variables!$B$1:$D$1,0),1))*AP134)+(T134*INDEX(Variables!$B$9:$D$9,IFERROR(MATCH(IF($B134="Robusta","Robusta",(IF($B134="","Arabica",$B134))&amp;" - "&amp;(IF($C134="","Commercial",$C134))),Variables!$B$1:$D$1,0),1))*AP134/365),""))</f>
        <v>-983.81381561503633</v>
      </c>
      <c r="AV134" s="11">
        <f t="shared" si="15"/>
        <v>4</v>
      </c>
      <c r="AW134" s="12">
        <f>IF($H134="Cancelled","",IFERROR(IF(AV134="","",(T134*INDEX(Variables!$B$7:$D$7,IFERROR(MATCH(IF($B134="Robusta","Robusta",(IF($B134="","Arabica",$B134))&amp;" - "&amp;(IF($C134="","Commercial",$C134))),Variables!$B$1:$D$1,0),1))*(AV134/365))+(T134*INDEX(Variables!$B$9:$D$9,IFERROR(MATCH(IF($B134="Robusta","Robusta",(IF($B134="","Arabica",$B134))&amp;" - "&amp;(IF($C134="","Commercial",$C134))),Variables!$B$1:$D$1,0),1))*(AV134/365))+(INDEX(Variables!$B$8:$D$8,IFERROR(MATCH(IF($B134="Robusta","Robusta",(IF($B134="","Arabica",$B134))&amp;" - "&amp;(IF($C134="","Commercial",$C134))),Variables!$B$1:$D$1,0),1))*L134/16.67)),""))</f>
        <v>117.09805488957153</v>
      </c>
      <c r="AX134" s="9"/>
      <c r="AY134" s="12"/>
      <c r="AZ134" s="10"/>
      <c r="BA134" s="9"/>
      <c r="BB134" s="10"/>
      <c r="BC134" s="9"/>
      <c r="BD134" s="9"/>
      <c r="BE134" s="9"/>
      <c r="BF134" s="9"/>
    </row>
    <row r="135" spans="1:58" x14ac:dyDescent="0.25">
      <c r="A135" s="9" t="s">
        <v>84</v>
      </c>
      <c r="B135" s="9" t="s">
        <v>85</v>
      </c>
      <c r="C135" s="9" t="s">
        <v>86</v>
      </c>
      <c r="D135" s="10">
        <v>45400</v>
      </c>
      <c r="E135" s="10">
        <v>45413</v>
      </c>
      <c r="F135" s="10">
        <v>45473</v>
      </c>
      <c r="G135" s="9">
        <v>3786318</v>
      </c>
      <c r="H135" s="9" t="str">
        <f t="shared" si="13"/>
        <v>Closed</v>
      </c>
      <c r="I135" s="9" t="str">
        <f t="shared" si="14"/>
        <v>All dates received</v>
      </c>
      <c r="J135" s="9" t="s">
        <v>308</v>
      </c>
      <c r="K135" s="9">
        <v>4894</v>
      </c>
      <c r="L135" s="11">
        <v>640</v>
      </c>
      <c r="M135" s="9" t="s">
        <v>431</v>
      </c>
      <c r="N135" s="9" t="s">
        <v>432</v>
      </c>
      <c r="O135" s="9"/>
      <c r="P135" s="9"/>
      <c r="Q135" s="11"/>
      <c r="R135" s="9" t="s">
        <v>90</v>
      </c>
      <c r="S135" s="9" t="s">
        <v>106</v>
      </c>
      <c r="T135" s="12">
        <f>IF($H135="Cancelled","",IFERROR(((Q135+INDEX(Variables!$B$6:$D$6,IFERROR(MATCH(IF($B135="Robusta","Robusta",(IF($B135="","Arabica",$B135))&amp;" - "&amp;(IF($C135="","Commercial",$C135))),Variables!$B$1:$D$1,0),1)))*22.0462)*(L135/16.67),""))</f>
        <v>246134.51556088781</v>
      </c>
      <c r="U135" s="10">
        <v>45443</v>
      </c>
      <c r="V135" s="9" t="str">
        <f t="shared" si="11"/>
        <v>Sent</v>
      </c>
      <c r="W135" s="10">
        <v>45446</v>
      </c>
      <c r="X135" s="9" t="str">
        <f t="shared" si="12"/>
        <v>Approved</v>
      </c>
      <c r="Y135" s="10"/>
      <c r="Z135" s="10">
        <f>IF($H135="Cancelled","",IFERROR(IF(F135="","",F135-Variables!$B$13),""))</f>
        <v>45458</v>
      </c>
      <c r="AA135" s="11">
        <f>IF($H135="Cancelled","",IFERROR(IF(W135="","",(AVERAGE(E135:F135)-W135)-Variables!$B$14),""))</f>
        <v>-33</v>
      </c>
      <c r="AB135" s="10">
        <v>45533</v>
      </c>
      <c r="AC135" s="11">
        <f>IF($H135="Cancelled","",IFERROR(IF(AB135="","",IF(AND(W135="",Y135=""),"",IF(Y135&gt;W135,Y135+Variables!$B$15+Variables!$B$16+Variables!$B$17-AB135,W135+Variables!$B$16+Variables!$B$17-AB135))),""))</f>
        <v>-79</v>
      </c>
      <c r="AD135" s="9" t="s">
        <v>165</v>
      </c>
      <c r="AE135" s="9" t="s">
        <v>184</v>
      </c>
      <c r="AF135" s="10"/>
      <c r="AG135" s="10"/>
      <c r="AH135" s="9"/>
      <c r="AI135" s="9" t="s">
        <v>433</v>
      </c>
      <c r="AJ135" s="9" t="s">
        <v>133</v>
      </c>
      <c r="AK135" s="10">
        <v>45454</v>
      </c>
      <c r="AL135" s="10">
        <v>45457</v>
      </c>
      <c r="AM135" s="10">
        <v>45462</v>
      </c>
      <c r="AN135" s="9" t="s">
        <v>95</v>
      </c>
      <c r="AO135" s="9"/>
      <c r="AP135" s="11">
        <f>IF($H135="Cancelled","",IFERROR(IF(OR(AK135="",AB135=""),"",(AB135+Variables!$B$18-AK135)),""))</f>
        <v>86</v>
      </c>
      <c r="AQ135" s="11">
        <f>IF($H135="Cancelled","",IFERROR(IF(OR(AM135="",AK135=""),"",(AK135+Variables!$B$19)-AM135),""))</f>
        <v>-3</v>
      </c>
      <c r="AR135" s="12">
        <f>IF($H135="Cancelled","",IFERROR(T135*INDEX(Variables!$B$7:$D$7,IFERROR(MATCH(IF($B135="Robusta","Robusta",(IF($B135="","Arabica",$B135))&amp;" - "&amp;(IF($C135="","Commercial",$C135))),Variables!$B$1:$D$1,0),1))*(AQ135/365),""))</f>
        <v>-130.44900048739956</v>
      </c>
      <c r="AS135" s="12">
        <f>IF($H135="Cancelled","",IFERROR((T135*INDEX(Variables!$B$7:$D$7,IFERROR(MATCH(IF($B135="Robusta","Robusta",(IF($B135="","Arabica",$B135))&amp;" - "&amp;(IF($C135="","Commercial",$C135))),Variables!$B$1:$D$1,0),1))*IFERROR(IF(W135="","",(AVERAGE(E135:F135)-W135)-Variables!$B$14),"")/365)+(L135/16.67*INDEX(Variables!$B$8:$D$8,IFERROR(MATCH(IF($B135="Robusta","Robusta",(IF($B135="","Arabica",$B135))&amp;" - "&amp;(IF($C135="","Commercial",$C135))),Variables!$B$1:$D$1,0),1))*IFERROR(IF(W135="","",(AVERAGE(E135:F135)-W135)-Variables!$B$14),""))+(T135*INDEX(Variables!$B$9:$D$9,IFERROR(MATCH(IF($B135="Robusta","Robusta",(IF($B135="","Arabica",$B135))&amp;" - "&amp;(IF($C135="","Commercial",$C135))),Variables!$B$1:$D$1,0),1))*IFERROR(IF(W135="","",(AVERAGE(E135:F135)-W135)-Variables!$B$14),"")/365),""))</f>
        <v>-2509.438138380382</v>
      </c>
      <c r="AT135" s="12">
        <f>IF($H135="Cancelled","",IFERROR((T135*INDEX(Variables!$B$7:$D$7,IFERROR(MATCH(IF($B135="Robusta","Robusta",(IF($B135="","Arabica",$B135))&amp;" - "&amp;(IF($C135="","Commercial",$C135))),Variables!$B$1:$D$1,0),1))*AC135/365)+(L135/16.67*INDEX(Variables!$B$8:$D$8,IFERROR(MATCH(IF($B135="Robusta","Robusta",(IF($B135="","Arabica",$B135))&amp;" - "&amp;(IF($C135="","Commercial",$C135))),Variables!$B$1:$D$1,0),1))*AC135)+(T135*INDEX(Variables!$B$9:$D$9,IFERROR(MATCH(IF($B135="Robusta","Robusta",(IF($B135="","Arabica",$B135))&amp;" - "&amp;(IF($C135="","Commercial",$C135))),Variables!$B$1:$D$1,0),1))*AC135/365),""))</f>
        <v>-6007.4428161227343</v>
      </c>
      <c r="AU135" s="12">
        <f>IF($H135="Cancelled","",IFERROR((T135*INDEX(Variables!$B$7:$D$7,IFERROR(MATCH(IF($B135="Robusta","Robusta",(IF($B135="","Arabica",$B135))&amp;" - "&amp;(IF($C135="","Commercial",$C135))),Variables!$B$1:$D$1,0),1))*AP135/365)+(L135/16.67*INDEX(Variables!$B$8:$D$8,IFERROR(MATCH(IF($B135="Robusta","Robusta",(IF($B135="","Arabica",$B135))&amp;" - "&amp;(IF($C135="","Commercial",$C135))),Variables!$B$1:$D$1,0),1))*AP135)+(T135*INDEX(Variables!$B$9:$D$9,IFERROR(MATCH(IF($B135="Robusta","Robusta",(IF($B135="","Arabica",$B135))&amp;" - "&amp;(IF($C135="","Commercial",$C135))),Variables!$B$1:$D$1,0),1))*AP135/365),""))</f>
        <v>6539.7478757791769</v>
      </c>
      <c r="AV135" s="11">
        <f t="shared" si="15"/>
        <v>19</v>
      </c>
      <c r="AW135" s="12">
        <f>IF($H135="Cancelled","",IFERROR(IF(AV135="","",(T135*INDEX(Variables!$B$7:$D$7,IFERROR(MATCH(IF($B135="Robusta","Robusta",(IF($B135="","Arabica",$B135))&amp;" - "&amp;(IF($C135="","Commercial",$C135))),Variables!$B$1:$D$1,0),1))*(AV135/365))+(T135*INDEX(Variables!$B$9:$D$9,IFERROR(MATCH(IF($B135="Robusta","Robusta",(IF($B135="","Arabica",$B135))&amp;" - "&amp;(IF($C135="","Commercial",$C135))),Variables!$B$1:$D$1,0),1))*(AV135/365))+(INDEX(Variables!$B$8:$D$8,IFERROR(MATCH(IF($B135="Robusta","Robusta",(IF($B135="","Arabica",$B135))&amp;" - "&amp;(IF($C135="","Commercial",$C135))),Variables!$B$1:$D$1,0),1))*L135/16.67)),""))</f>
        <v>868.82801906749285</v>
      </c>
      <c r="AX135" s="9"/>
      <c r="AY135" s="12"/>
      <c r="AZ135" s="10"/>
      <c r="BA135" s="9"/>
      <c r="BB135" s="10"/>
      <c r="BC135" s="9"/>
      <c r="BD135" s="9"/>
      <c r="BE135" s="9"/>
      <c r="BF135" s="9"/>
    </row>
    <row r="136" spans="1:58" x14ac:dyDescent="0.25">
      <c r="A136" s="9" t="s">
        <v>84</v>
      </c>
      <c r="B136" s="9" t="s">
        <v>85</v>
      </c>
      <c r="C136" s="9" t="s">
        <v>86</v>
      </c>
      <c r="D136" s="10">
        <v>45405</v>
      </c>
      <c r="E136" s="10">
        <v>45413</v>
      </c>
      <c r="F136" s="10">
        <v>45443</v>
      </c>
      <c r="G136" s="9">
        <v>3786335</v>
      </c>
      <c r="H136" s="9" t="str">
        <f t="shared" si="13"/>
        <v>Closed</v>
      </c>
      <c r="I136" s="9" t="str">
        <f t="shared" si="14"/>
        <v>All dates received</v>
      </c>
      <c r="J136" s="9" t="s">
        <v>308</v>
      </c>
      <c r="K136" s="9">
        <v>4893</v>
      </c>
      <c r="L136" s="11">
        <v>1800</v>
      </c>
      <c r="M136" s="9" t="s">
        <v>434</v>
      </c>
      <c r="N136" s="9" t="s">
        <v>432</v>
      </c>
      <c r="O136" s="9"/>
      <c r="P136" s="9"/>
      <c r="Q136" s="11"/>
      <c r="R136" s="9" t="s">
        <v>195</v>
      </c>
      <c r="S136" s="9" t="s">
        <v>106</v>
      </c>
      <c r="T136" s="12">
        <f>IF($H136="Cancelled","",IFERROR(((Q136+INDEX(Variables!$B$6:$D$6,IFERROR(MATCH(IF($B136="Robusta","Robusta",(IF($B136="","Arabica",$B136))&amp;" - "&amp;(IF($C136="","Commercial",$C136))),Variables!$B$1:$D$1,0),1)))*22.0462)*(L136/16.67),""))</f>
        <v>692253.32501499692</v>
      </c>
      <c r="U136" s="10"/>
      <c r="V136" s="9" t="s">
        <v>195</v>
      </c>
      <c r="W136" s="10">
        <v>45398</v>
      </c>
      <c r="X136" s="9" t="str">
        <f t="shared" si="12"/>
        <v>Approved</v>
      </c>
      <c r="Y136" s="10">
        <v>45526</v>
      </c>
      <c r="Z136" s="10">
        <f>IF($H136="Cancelled","",IFERROR(IF(F136="","",F136-Variables!$B$13),""))</f>
        <v>45428</v>
      </c>
      <c r="AA136" s="11">
        <f>IF($H136="Cancelled","",IFERROR(IF(W136="","",(AVERAGE(E136:F136)-W136)-Variables!$B$14),""))</f>
        <v>0</v>
      </c>
      <c r="AB136" s="10">
        <v>45533</v>
      </c>
      <c r="AC136" s="11">
        <f>IF($H136="Cancelled","",IFERROR(IF(AB136="","",IF(AND(W136="",Y136=""),"",IF(Y136&gt;W136,Y136+Variables!$B$15+Variables!$B$16+Variables!$B$17-AB136,W136+Variables!$B$16+Variables!$B$17-AB136))),""))</f>
        <v>8</v>
      </c>
      <c r="AD136" s="9" t="s">
        <v>165</v>
      </c>
      <c r="AE136" s="9" t="s">
        <v>184</v>
      </c>
      <c r="AF136" s="10"/>
      <c r="AG136" s="10"/>
      <c r="AH136" s="9"/>
      <c r="AI136" s="9" t="s">
        <v>435</v>
      </c>
      <c r="AJ136" s="9" t="s">
        <v>133</v>
      </c>
      <c r="AK136" s="10">
        <v>45454</v>
      </c>
      <c r="AL136" s="10">
        <v>45457</v>
      </c>
      <c r="AM136" s="10">
        <v>45462</v>
      </c>
      <c r="AN136" s="9" t="s">
        <v>95</v>
      </c>
      <c r="AO136" s="9"/>
      <c r="AP136" s="11">
        <f>IF($H136="Cancelled","",IFERROR(IF(OR(AK136="",AB136=""),"",(AB136+Variables!$B$18-AK136)),""))</f>
        <v>86</v>
      </c>
      <c r="AQ136" s="11">
        <f>IF($H136="Cancelled","",IFERROR(IF(OR(AM136="",AK136=""),"",(AK136+Variables!$B$19)-AM136),""))</f>
        <v>-3</v>
      </c>
      <c r="AR136" s="12">
        <f>IF($H136="Cancelled","",IFERROR(T136*INDEX(Variables!$B$7:$D$7,IFERROR(MATCH(IF($B136="Robusta","Robusta",(IF($B136="","Arabica",$B136))&amp;" - "&amp;(IF($C136="","Commercial",$C136))),Variables!$B$1:$D$1,0),1))*(AQ136/365),""))</f>
        <v>-366.88781387081121</v>
      </c>
      <c r="AS136" s="12">
        <f>IF($H136="Cancelled","",IFERROR((T136*INDEX(Variables!$B$7:$D$7,IFERROR(MATCH(IF($B136="Robusta","Robusta",(IF($B136="","Arabica",$B136))&amp;" - "&amp;(IF($C136="","Commercial",$C136))),Variables!$B$1:$D$1,0),1))*IFERROR(IF(W136="","",(AVERAGE(E136:F136)-W136)-Variables!$B$14),"")/365)+(L136/16.67*INDEX(Variables!$B$8:$D$8,IFERROR(MATCH(IF($B136="Robusta","Robusta",(IF($B136="","Arabica",$B136))&amp;" - "&amp;(IF($C136="","Commercial",$C136))),Variables!$B$1:$D$1,0),1))*IFERROR(IF(W136="","",(AVERAGE(E136:F136)-W136)-Variables!$B$14),""))+(T136*INDEX(Variables!$B$9:$D$9,IFERROR(MATCH(IF($B136="Robusta","Robusta",(IF($B136="","Arabica",$B136))&amp;" - "&amp;(IF($C136="","Commercial",$C136))),Variables!$B$1:$D$1,0),1))*IFERROR(IF(W136="","",(AVERAGE(E136:F136)-W136)-Variables!$B$14),"")/365),""))</f>
        <v>0</v>
      </c>
      <c r="AT136" s="12">
        <f>IF($H136="Cancelled","",IFERROR((T136*INDEX(Variables!$B$7:$D$7,IFERROR(MATCH(IF($B136="Robusta","Robusta",(IF($B136="","Arabica",$B136))&amp;" - "&amp;(IF($C136="","Commercial",$C136))),Variables!$B$1:$D$1,0),1))*AC136/365)+(L136/16.67*INDEX(Variables!$B$8:$D$8,IFERROR(MATCH(IF($B136="Robusta","Robusta",(IF($B136="","Arabica",$B136))&amp;" - "&amp;(IF($C136="","Commercial",$C136))),Variables!$B$1:$D$1,0),1))*AC136)+(T136*INDEX(Variables!$B$9:$D$9,IFERROR(MATCH(IF($B136="Robusta","Robusta",(IF($B136="","Arabica",$B136))&amp;" - "&amp;(IF($C136="","Commercial",$C136))),Variables!$B$1:$D$1,0),1))*AC136/365),""))</f>
        <v>1710.9805488957152</v>
      </c>
      <c r="AU136" s="12">
        <f>IF($H136="Cancelled","",IFERROR((T136*INDEX(Variables!$B$7:$D$7,IFERROR(MATCH(IF($B136="Robusta","Robusta",(IF($B136="","Arabica",$B136))&amp;" - "&amp;(IF($C136="","Commercial",$C136))),Variables!$B$1:$D$1,0),1))*AP136/365)+(L136/16.67*INDEX(Variables!$B$8:$D$8,IFERROR(MATCH(IF($B136="Robusta","Robusta",(IF($B136="","Arabica",$B136))&amp;" - "&amp;(IF($C136="","Commercial",$C136))),Variables!$B$1:$D$1,0),1))*AP136)+(T136*INDEX(Variables!$B$9:$D$9,IFERROR(MATCH(IF($B136="Robusta","Robusta",(IF($B136="","Arabica",$B136))&amp;" - "&amp;(IF($C136="","Commercial",$C136))),Variables!$B$1:$D$1,0),1))*AP136/365),""))</f>
        <v>18393.040900628937</v>
      </c>
      <c r="AV136" s="11">
        <f t="shared" si="15"/>
        <v>-11</v>
      </c>
      <c r="AW136" s="12">
        <f>IF($H136="Cancelled","",IFERROR(IF(AV136="","",(T136*INDEX(Variables!$B$7:$D$7,IFERROR(MATCH(IF($B136="Robusta","Robusta",(IF($B136="","Arabica",$B136))&amp;" - "&amp;(IF($C136="","Commercial",$C136))),Variables!$B$1:$D$1,0),1))*(AV136/365))+(T136*INDEX(Variables!$B$9:$D$9,IFERROR(MATCH(IF($B136="Robusta","Robusta",(IF($B136="","Arabica",$B136))&amp;" - "&amp;(IF($C136="","Commercial",$C136))),Variables!$B$1:$D$1,0),1))*(AV136/365))+(INDEX(Variables!$B$8:$D$8,IFERROR(MATCH(IF($B136="Robusta","Robusta",(IF($B136="","Arabica",$B136))&amp;" - "&amp;(IF($C136="","Commercial",$C136))),Variables!$B$1:$D$1,0),1))*L136/16.67)),""))</f>
        <v>-1272.5982547316082</v>
      </c>
      <c r="AX136" s="9"/>
      <c r="AY136" s="12"/>
      <c r="AZ136" s="10"/>
      <c r="BA136" s="9"/>
      <c r="BB136" s="10"/>
      <c r="BC136" s="9"/>
      <c r="BD136" s="9"/>
      <c r="BE136" s="9"/>
      <c r="BF136" s="9"/>
    </row>
    <row r="137" spans="1:58" x14ac:dyDescent="0.25">
      <c r="A137" s="9" t="s">
        <v>84</v>
      </c>
      <c r="B137" s="9" t="s">
        <v>85</v>
      </c>
      <c r="C137" s="9" t="s">
        <v>86</v>
      </c>
      <c r="D137" s="10">
        <v>45405</v>
      </c>
      <c r="E137" s="10">
        <v>45444</v>
      </c>
      <c r="F137" s="10">
        <v>45473</v>
      </c>
      <c r="G137" s="9">
        <v>3786336</v>
      </c>
      <c r="H137" s="9" t="str">
        <f t="shared" si="13"/>
        <v>Closed</v>
      </c>
      <c r="I137" s="9" t="str">
        <f t="shared" si="14"/>
        <v>All dates received</v>
      </c>
      <c r="J137" s="9" t="s">
        <v>308</v>
      </c>
      <c r="K137" s="9">
        <v>4955</v>
      </c>
      <c r="L137" s="11">
        <v>1440</v>
      </c>
      <c r="M137" s="9" t="s">
        <v>434</v>
      </c>
      <c r="N137" s="9" t="s">
        <v>432</v>
      </c>
      <c r="O137" s="9"/>
      <c r="P137" s="9"/>
      <c r="Q137" s="11"/>
      <c r="R137" s="9" t="s">
        <v>195</v>
      </c>
      <c r="S137" s="9" t="s">
        <v>106</v>
      </c>
      <c r="T137" s="12">
        <f>IF($H137="Cancelled","",IFERROR(((Q137+INDEX(Variables!$B$6:$D$6,IFERROR(MATCH(IF($B137="Robusta","Robusta",(IF($B137="","Arabica",$B137))&amp;" - "&amp;(IF($C137="","Commercial",$C137))),Variables!$B$1:$D$1,0),1)))*22.0462)*(L137/16.67),""))</f>
        <v>553802.66001199756</v>
      </c>
      <c r="U137" s="10"/>
      <c r="V137" s="9" t="s">
        <v>195</v>
      </c>
      <c r="W137" s="10">
        <v>45427</v>
      </c>
      <c r="X137" s="9" t="str">
        <f t="shared" si="12"/>
        <v>Approved</v>
      </c>
      <c r="Y137" s="10">
        <v>45526</v>
      </c>
      <c r="Z137" s="10">
        <f>IF($H137="Cancelled","",IFERROR(IF(F137="","",F137-Variables!$B$13),""))</f>
        <v>45458</v>
      </c>
      <c r="AA137" s="11">
        <f>IF($H137="Cancelled","",IFERROR(IF(W137="","",(AVERAGE(E137:F137)-W137)-Variables!$B$14),""))</f>
        <v>1.5</v>
      </c>
      <c r="AB137" s="10">
        <v>45533</v>
      </c>
      <c r="AC137" s="11">
        <f>IF($H137="Cancelled","",IFERROR(IF(AB137="","",IF(AND(W137="",Y137=""),"",IF(Y137&gt;W137,Y137+Variables!$B$15+Variables!$B$16+Variables!$B$17-AB137,W137+Variables!$B$16+Variables!$B$17-AB137))),""))</f>
        <v>8</v>
      </c>
      <c r="AD137" s="9" t="s">
        <v>165</v>
      </c>
      <c r="AE137" s="9" t="s">
        <v>364</v>
      </c>
      <c r="AF137" s="10"/>
      <c r="AG137" s="10"/>
      <c r="AH137" s="9"/>
      <c r="AI137" s="9" t="s">
        <v>436</v>
      </c>
      <c r="AJ137" s="9" t="s">
        <v>8</v>
      </c>
      <c r="AK137" s="10">
        <v>45491</v>
      </c>
      <c r="AL137" s="10">
        <v>45495</v>
      </c>
      <c r="AM137" s="10">
        <v>45512</v>
      </c>
      <c r="AN137" s="9" t="s">
        <v>95</v>
      </c>
      <c r="AO137" s="9"/>
      <c r="AP137" s="11">
        <f>IF($H137="Cancelled","",IFERROR(IF(OR(AK137="",AB137=""),"",(AB137+Variables!$B$18-AK137)),""))</f>
        <v>49</v>
      </c>
      <c r="AQ137" s="11">
        <f>IF($H137="Cancelled","",IFERROR(IF(OR(AM137="",AK137=""),"",(AK137+Variables!$B$19)-AM137),""))</f>
        <v>-16</v>
      </c>
      <c r="AR137" s="12">
        <f>IF($H137="Cancelled","",IFERROR(T137*INDEX(Variables!$B$7:$D$7,IFERROR(MATCH(IF($B137="Robusta","Robusta",(IF($B137="","Arabica",$B137))&amp;" - "&amp;(IF($C137="","Commercial",$C137))),Variables!$B$1:$D$1,0),1))*(AQ137/365),""))</f>
        <v>-1565.3880058487948</v>
      </c>
      <c r="AS137" s="12">
        <f>IF($H137="Cancelled","",IFERROR((T137*INDEX(Variables!$B$7:$D$7,IFERROR(MATCH(IF($B137="Robusta","Robusta",(IF($B137="","Arabica",$B137))&amp;" - "&amp;(IF($C137="","Commercial",$C137))),Variables!$B$1:$D$1,0),1))*IFERROR(IF(W137="","",(AVERAGE(E137:F137)-W137)-Variables!$B$14),"")/365)+(L137/16.67*INDEX(Variables!$B$8:$D$8,IFERROR(MATCH(IF($B137="Robusta","Robusta",(IF($B137="","Arabica",$B137))&amp;" - "&amp;(IF($C137="","Commercial",$C137))),Variables!$B$1:$D$1,0),1))*IFERROR(IF(W137="","",(AVERAGE(E137:F137)-W137)-Variables!$B$14),""))+(T137*INDEX(Variables!$B$9:$D$9,IFERROR(MATCH(IF($B137="Robusta","Robusta",(IF($B137="","Arabica",$B137))&amp;" - "&amp;(IF($C137="","Commercial",$C137))),Variables!$B$1:$D$1,0),1))*IFERROR(IF(W137="","",(AVERAGE(E137:F137)-W137)-Variables!$B$14),"")/365),""))</f>
        <v>256.64708233435732</v>
      </c>
      <c r="AT137" s="12">
        <f>IF($H137="Cancelled","",IFERROR((T137*INDEX(Variables!$B$7:$D$7,IFERROR(MATCH(IF($B137="Robusta","Robusta",(IF($B137="","Arabica",$B137))&amp;" - "&amp;(IF($C137="","Commercial",$C137))),Variables!$B$1:$D$1,0),1))*AC137/365)+(L137/16.67*INDEX(Variables!$B$8:$D$8,IFERROR(MATCH(IF($B137="Robusta","Robusta",(IF($B137="","Arabica",$B137))&amp;" - "&amp;(IF($C137="","Commercial",$C137))),Variables!$B$1:$D$1,0),1))*AC137)+(T137*INDEX(Variables!$B$9:$D$9,IFERROR(MATCH(IF($B137="Robusta","Robusta",(IF($B137="","Arabica",$B137))&amp;" - "&amp;(IF($C137="","Commercial",$C137))),Variables!$B$1:$D$1,0),1))*AC137/365),""))</f>
        <v>1368.7844391165722</v>
      </c>
      <c r="AU137" s="12">
        <f>IF($H137="Cancelled","",IFERROR((T137*INDEX(Variables!$B$7:$D$7,IFERROR(MATCH(IF($B137="Robusta","Robusta",(IF($B137="","Arabica",$B137))&amp;" - "&amp;(IF($C137="","Commercial",$C137))),Variables!$B$1:$D$1,0),1))*AP137/365)+(L137/16.67*INDEX(Variables!$B$8:$D$8,IFERROR(MATCH(IF($B137="Robusta","Robusta",(IF($B137="","Arabica",$B137))&amp;" - "&amp;(IF($C137="","Commercial",$C137))),Variables!$B$1:$D$1,0),1))*AP137)+(T137*INDEX(Variables!$B$9:$D$9,IFERROR(MATCH(IF($B137="Robusta","Robusta",(IF($B137="","Arabica",$B137))&amp;" - "&amp;(IF($C137="","Commercial",$C137))),Variables!$B$1:$D$1,0),1))*AP137/365),""))</f>
        <v>8383.8046895890038</v>
      </c>
      <c r="AV137" s="11">
        <f t="shared" si="15"/>
        <v>-18</v>
      </c>
      <c r="AW137" s="12">
        <f>IF($H137="Cancelled","",IFERROR(IF(AV137="","",(T137*INDEX(Variables!$B$7:$D$7,IFERROR(MATCH(IF($B137="Robusta","Robusta",(IF($B137="","Arabica",$B137))&amp;" - "&amp;(IF($C137="","Commercial",$C137))),Variables!$B$1:$D$1,0),1))*(AV137/365))+(T137*INDEX(Variables!$B$9:$D$9,IFERROR(MATCH(IF($B137="Robusta","Robusta",(IF($B137="","Arabica",$B137))&amp;" - "&amp;(IF($C137="","Commercial",$C137))),Variables!$B$1:$D$1,0),1))*(AV137/365))+(INDEX(Variables!$B$8:$D$8,IFERROR(MATCH(IF($B137="Robusta","Robusta",(IF($B137="","Arabica",$B137))&amp;" - "&amp;(IF($C137="","Commercial",$C137))),Variables!$B$1:$D$1,0),1))*L137/16.67)),""))</f>
        <v>-1711.7649880122872</v>
      </c>
      <c r="AX137" s="9"/>
      <c r="AY137" s="12"/>
      <c r="AZ137" s="10"/>
      <c r="BA137" s="9"/>
      <c r="BB137" s="10"/>
      <c r="BC137" s="9"/>
      <c r="BD137" s="9"/>
      <c r="BE137" s="9"/>
      <c r="BF137" s="9"/>
    </row>
    <row r="138" spans="1:58" x14ac:dyDescent="0.25">
      <c r="A138" s="9" t="s">
        <v>84</v>
      </c>
      <c r="B138" s="9" t="s">
        <v>85</v>
      </c>
      <c r="C138" s="9" t="s">
        <v>86</v>
      </c>
      <c r="D138" s="10">
        <v>45405</v>
      </c>
      <c r="E138" s="10">
        <v>45444</v>
      </c>
      <c r="F138" s="10">
        <v>45473</v>
      </c>
      <c r="G138" s="9">
        <v>3786336</v>
      </c>
      <c r="H138" s="9" t="str">
        <f t="shared" si="13"/>
        <v>Closed</v>
      </c>
      <c r="I138" s="9" t="str">
        <f t="shared" si="14"/>
        <v>All dates received</v>
      </c>
      <c r="J138" s="9" t="s">
        <v>308</v>
      </c>
      <c r="K138" s="9">
        <v>4955</v>
      </c>
      <c r="L138" s="11">
        <v>360</v>
      </c>
      <c r="M138" s="9" t="s">
        <v>434</v>
      </c>
      <c r="N138" s="9" t="s">
        <v>432</v>
      </c>
      <c r="O138" s="9"/>
      <c r="P138" s="9"/>
      <c r="Q138" s="11"/>
      <c r="R138" s="9" t="s">
        <v>195</v>
      </c>
      <c r="S138" s="9" t="s">
        <v>106</v>
      </c>
      <c r="T138" s="12">
        <f>IF($H138="Cancelled","",IFERROR(((Q138+INDEX(Variables!$B$6:$D$6,IFERROR(MATCH(IF($B138="Robusta","Robusta",(IF($B138="","Arabica",$B138))&amp;" - "&amp;(IF($C138="","Commercial",$C138))),Variables!$B$1:$D$1,0),1)))*22.0462)*(L138/16.67),""))</f>
        <v>138450.66500299939</v>
      </c>
      <c r="U138" s="10"/>
      <c r="V138" s="9" t="s">
        <v>195</v>
      </c>
      <c r="W138" s="10">
        <v>45427</v>
      </c>
      <c r="X138" s="9" t="str">
        <f t="shared" si="12"/>
        <v>Approved</v>
      </c>
      <c r="Y138" s="10">
        <v>45526</v>
      </c>
      <c r="Z138" s="10">
        <f>IF($H138="Cancelled","",IFERROR(IF(F138="","",F138-Variables!$B$13),""))</f>
        <v>45458</v>
      </c>
      <c r="AA138" s="11">
        <f>IF($H138="Cancelled","",IFERROR(IF(W138="","",(AVERAGE(E138:F138)-W138)-Variables!$B$14),""))</f>
        <v>1.5</v>
      </c>
      <c r="AB138" s="10">
        <v>45533</v>
      </c>
      <c r="AC138" s="11">
        <f>IF($H138="Cancelled","",IFERROR(IF(AB138="","",IF(AND(W138="",Y138=""),"",IF(Y138&gt;W138,Y138+Variables!$B$15+Variables!$B$16+Variables!$B$17-AB138,W138+Variables!$B$16+Variables!$B$17-AB138))),""))</f>
        <v>8</v>
      </c>
      <c r="AD138" s="9" t="s">
        <v>165</v>
      </c>
      <c r="AE138" s="9" t="s">
        <v>411</v>
      </c>
      <c r="AF138" s="10"/>
      <c r="AG138" s="10"/>
      <c r="AH138" s="9"/>
      <c r="AI138" s="9" t="s">
        <v>437</v>
      </c>
      <c r="AJ138" s="9" t="s">
        <v>8</v>
      </c>
      <c r="AK138" s="10">
        <v>45496</v>
      </c>
      <c r="AL138" s="10">
        <v>45496</v>
      </c>
      <c r="AM138" s="10">
        <v>45512</v>
      </c>
      <c r="AN138" s="9" t="s">
        <v>95</v>
      </c>
      <c r="AO138" s="9"/>
      <c r="AP138" s="11">
        <f>IF($H138="Cancelled","",IFERROR(IF(OR(AK138="",AB138=""),"",(AB138+Variables!$B$18-AK138)),""))</f>
        <v>44</v>
      </c>
      <c r="AQ138" s="11">
        <f>IF($H138="Cancelled","",IFERROR(IF(OR(AM138="",AK138=""),"",(AK138+Variables!$B$19)-AM138),""))</f>
        <v>-11</v>
      </c>
      <c r="AR138" s="12">
        <f>IF($H138="Cancelled","",IFERROR(T138*INDEX(Variables!$B$7:$D$7,IFERROR(MATCH(IF($B138="Robusta","Robusta",(IF($B138="","Arabica",$B138))&amp;" - "&amp;(IF($C138="","Commercial",$C138))),Variables!$B$1:$D$1,0),1))*(AQ138/365),""))</f>
        <v>-269.0510635052616</v>
      </c>
      <c r="AS138" s="12">
        <f>IF($H138="Cancelled","",IFERROR((T138*INDEX(Variables!$B$7:$D$7,IFERROR(MATCH(IF($B138="Robusta","Robusta",(IF($B138="","Arabica",$B138))&amp;" - "&amp;(IF($C138="","Commercial",$C138))),Variables!$B$1:$D$1,0),1))*IFERROR(IF(W138="","",(AVERAGE(E138:F138)-W138)-Variables!$B$14),"")/365)+(L138/16.67*INDEX(Variables!$B$8:$D$8,IFERROR(MATCH(IF($B138="Robusta","Robusta",(IF($B138="","Arabica",$B138))&amp;" - "&amp;(IF($C138="","Commercial",$C138))),Variables!$B$1:$D$1,0),1))*IFERROR(IF(W138="","",(AVERAGE(E138:F138)-W138)-Variables!$B$14),""))+(T138*INDEX(Variables!$B$9:$D$9,IFERROR(MATCH(IF($B138="Robusta","Robusta",(IF($B138="","Arabica",$B138))&amp;" - "&amp;(IF($C138="","Commercial",$C138))),Variables!$B$1:$D$1,0),1))*IFERROR(IF(W138="","",(AVERAGE(E138:F138)-W138)-Variables!$B$14),"")/365),""))</f>
        <v>64.16177058358933</v>
      </c>
      <c r="AT138" s="12">
        <f>IF($H138="Cancelled","",IFERROR((T138*INDEX(Variables!$B$7:$D$7,IFERROR(MATCH(IF($B138="Robusta","Robusta",(IF($B138="","Arabica",$B138))&amp;" - "&amp;(IF($C138="","Commercial",$C138))),Variables!$B$1:$D$1,0),1))*AC138/365)+(L138/16.67*INDEX(Variables!$B$8:$D$8,IFERROR(MATCH(IF($B138="Robusta","Robusta",(IF($B138="","Arabica",$B138))&amp;" - "&amp;(IF($C138="","Commercial",$C138))),Variables!$B$1:$D$1,0),1))*AC138)+(T138*INDEX(Variables!$B$9:$D$9,IFERROR(MATCH(IF($B138="Robusta","Robusta",(IF($B138="","Arabica",$B138))&amp;" - "&amp;(IF($C138="","Commercial",$C138))),Variables!$B$1:$D$1,0),1))*AC138/365),""))</f>
        <v>342.19610977914306</v>
      </c>
      <c r="AU138" s="12">
        <f>IF($H138="Cancelled","",IFERROR((T138*INDEX(Variables!$B$7:$D$7,IFERROR(MATCH(IF($B138="Robusta","Robusta",(IF($B138="","Arabica",$B138))&amp;" - "&amp;(IF($C138="","Commercial",$C138))),Variables!$B$1:$D$1,0),1))*AP138/365)+(L138/16.67*INDEX(Variables!$B$8:$D$8,IFERROR(MATCH(IF($B138="Robusta","Robusta",(IF($B138="","Arabica",$B138))&amp;" - "&amp;(IF($C138="","Commercial",$C138))),Variables!$B$1:$D$1,0),1))*AP138)+(T138*INDEX(Variables!$B$9:$D$9,IFERROR(MATCH(IF($B138="Robusta","Robusta",(IF($B138="","Arabica",$B138))&amp;" - "&amp;(IF($C138="","Commercial",$C138))),Variables!$B$1:$D$1,0),1))*AP138/365),""))</f>
        <v>1882.0786037852868</v>
      </c>
      <c r="AV138" s="11">
        <f t="shared" si="15"/>
        <v>-23</v>
      </c>
      <c r="AW138" s="12">
        <f>IF($H138="Cancelled","",IFERROR(IF(AV138="","",(T138*INDEX(Variables!$B$7:$D$7,IFERROR(MATCH(IF($B138="Robusta","Robusta",(IF($B138="","Arabica",$B138))&amp;" - "&amp;(IF($C138="","Commercial",$C138))),Variables!$B$1:$D$1,0),1))*(AV138/365))+(T138*INDEX(Variables!$B$9:$D$9,IFERROR(MATCH(IF($B138="Robusta","Robusta",(IF($B138="","Arabica",$B138))&amp;" - "&amp;(IF($C138="","Commercial",$C138))),Variables!$B$1:$D$1,0),1))*(AV138/365))+(INDEX(Variables!$B$8:$D$8,IFERROR(MATCH(IF($B138="Robusta","Robusta",(IF($B138="","Arabica",$B138))&amp;" - "&amp;(IF($C138="","Commercial",$C138))),Variables!$B$1:$D$1,0),1))*L138/16.67)),""))</f>
        <v>-551.81381561503633</v>
      </c>
      <c r="AX138" s="9"/>
      <c r="AY138" s="12"/>
      <c r="AZ138" s="10"/>
      <c r="BA138" s="9"/>
      <c r="BB138" s="10"/>
      <c r="BC138" s="9"/>
      <c r="BD138" s="9"/>
      <c r="BE138" s="9"/>
      <c r="BF138" s="9"/>
    </row>
    <row r="139" spans="1:58" x14ac:dyDescent="0.25">
      <c r="A139" s="9" t="s">
        <v>84</v>
      </c>
      <c r="B139" s="9" t="s">
        <v>85</v>
      </c>
      <c r="C139" s="9" t="s">
        <v>86</v>
      </c>
      <c r="D139" s="10">
        <v>45406</v>
      </c>
      <c r="E139" s="10">
        <v>45474</v>
      </c>
      <c r="F139" s="10">
        <v>45504</v>
      </c>
      <c r="G139" s="9">
        <v>3786337</v>
      </c>
      <c r="H139" s="9" t="str">
        <f t="shared" si="13"/>
        <v>Open</v>
      </c>
      <c r="I139" s="9" t="str">
        <f t="shared" si="14"/>
        <v>No shipping advice sent</v>
      </c>
      <c r="J139" s="9" t="s">
        <v>112</v>
      </c>
      <c r="K139" s="9"/>
      <c r="L139" s="11">
        <v>320</v>
      </c>
      <c r="M139" s="9" t="s">
        <v>438</v>
      </c>
      <c r="N139" s="9" t="s">
        <v>405</v>
      </c>
      <c r="O139" s="9"/>
      <c r="P139" s="9"/>
      <c r="Q139" s="11"/>
      <c r="R139" s="9" t="s">
        <v>195</v>
      </c>
      <c r="S139" s="9" t="s">
        <v>117</v>
      </c>
      <c r="T139" s="12">
        <f>IF($H139="Cancelled","",IFERROR(((Q139+INDEX(Variables!$B$6:$D$6,IFERROR(MATCH(IF($B139="Robusta","Robusta",(IF($B139="","Arabica",$B139))&amp;" - "&amp;(IF($C139="","Commercial",$C139))),Variables!$B$1:$D$1,0),1)))*22.0462)*(L139/16.67),""))</f>
        <v>123067.25778044391</v>
      </c>
      <c r="U139" s="10">
        <v>45428</v>
      </c>
      <c r="V139" s="9" t="str">
        <f t="shared" ref="V139:V156" si="16">IF(ISNUMBER(U139),"Sent","")</f>
        <v>Sent</v>
      </c>
      <c r="W139" s="10">
        <v>45429</v>
      </c>
      <c r="X139" s="9" t="str">
        <f t="shared" si="12"/>
        <v>Approved</v>
      </c>
      <c r="Y139" s="10"/>
      <c r="Z139" s="10">
        <f>IF($H139="Cancelled","",IFERROR(IF(F139="","",F139-Variables!$B$13),""))</f>
        <v>45489</v>
      </c>
      <c r="AA139" s="11">
        <f>IF($H139="Cancelled","",IFERROR(IF(W139="","",(AVERAGE(E139:F139)-W139)-Variables!$B$14),""))</f>
        <v>30</v>
      </c>
      <c r="AB139" s="10">
        <v>45533</v>
      </c>
      <c r="AC139" s="11">
        <f>IF($H139="Cancelled","",IFERROR(IF(AB139="","",IF(AND(W139="",Y139=""),"",IF(Y139&gt;W139,Y139+Variables!$B$15+Variables!$B$16+Variables!$B$17-AB139,W139+Variables!$B$16+Variables!$B$17-AB139))),""))</f>
        <v>-96</v>
      </c>
      <c r="AD139" s="9" t="s">
        <v>107</v>
      </c>
      <c r="AE139" s="9" t="s">
        <v>439</v>
      </c>
      <c r="AF139" s="10"/>
      <c r="AG139" s="10"/>
      <c r="AH139" s="9"/>
      <c r="AI139" s="9" t="s">
        <v>440</v>
      </c>
      <c r="AJ139" s="9" t="s">
        <v>441</v>
      </c>
      <c r="AK139" s="10">
        <v>45507</v>
      </c>
      <c r="AL139" s="10"/>
      <c r="AM139" s="10">
        <v>45527</v>
      </c>
      <c r="AN139" s="9" t="s">
        <v>95</v>
      </c>
      <c r="AO139" s="9"/>
      <c r="AP139" s="11">
        <f>IF($H139="Cancelled","",IFERROR(IF(OR(AK139="",AB139=""),"",(AB139+Variables!$B$18-AK139)),""))</f>
        <v>33</v>
      </c>
      <c r="AQ139" s="11">
        <f>IF($H139="Cancelled","",IFERROR(IF(OR(AM139="",AK139=""),"",(AK139+Variables!$B$19)-AM139),""))</f>
        <v>-15</v>
      </c>
      <c r="AR139" s="12">
        <f>IF($H139="Cancelled","",IFERROR(T139*INDEX(Variables!$B$7:$D$7,IFERROR(MATCH(IF($B139="Robusta","Robusta",(IF($B139="","Arabica",$B139))&amp;" - "&amp;(IF($C139="","Commercial",$C139))),Variables!$B$1:$D$1,0),1))*(AQ139/365),""))</f>
        <v>-326.12250121849888</v>
      </c>
      <c r="AS139" s="12">
        <f>IF($H139="Cancelled","",IFERROR((T139*INDEX(Variables!$B$7:$D$7,IFERROR(MATCH(IF($B139="Robusta","Robusta",(IF($B139="","Arabica",$B139))&amp;" - "&amp;(IF($C139="","Commercial",$C139))),Variables!$B$1:$D$1,0),1))*IFERROR(IF(W139="","",(AVERAGE(E139:F139)-W139)-Variables!$B$14),"")/365)+(L139/16.67*INDEX(Variables!$B$8:$D$8,IFERROR(MATCH(IF($B139="Robusta","Robusta",(IF($B139="","Arabica",$B139))&amp;" - "&amp;(IF($C139="","Commercial",$C139))),Variables!$B$1:$D$1,0),1))*IFERROR(IF(W139="","",(AVERAGE(E139:F139)-W139)-Variables!$B$14),""))+(T139*INDEX(Variables!$B$9:$D$9,IFERROR(MATCH(IF($B139="Robusta","Robusta",(IF($B139="","Arabica",$B139))&amp;" - "&amp;(IF($C139="","Commercial",$C139))),Variables!$B$1:$D$1,0),1))*IFERROR(IF(W139="","",(AVERAGE(E139:F139)-W139)-Variables!$B$14),"")/365),""))</f>
        <v>1140.65369926381</v>
      </c>
      <c r="AT139" s="12">
        <f>IF($H139="Cancelled","",IFERROR((T139*INDEX(Variables!$B$7:$D$7,IFERROR(MATCH(IF($B139="Robusta","Robusta",(IF($B139="","Arabica",$B139))&amp;" - "&amp;(IF($C139="","Commercial",$C139))),Variables!$B$1:$D$1,0),1))*AC139/365)+(L139/16.67*INDEX(Variables!$B$8:$D$8,IFERROR(MATCH(IF($B139="Robusta","Robusta",(IF($B139="","Arabica",$B139))&amp;" - "&amp;(IF($C139="","Commercial",$C139))),Variables!$B$1:$D$1,0),1))*AC139)+(T139*INDEX(Variables!$B$9:$D$9,IFERROR(MATCH(IF($B139="Robusta","Robusta",(IF($B139="","Arabica",$B139))&amp;" - "&amp;(IF($C139="","Commercial",$C139))),Variables!$B$1:$D$1,0),1))*AC139/365),""))</f>
        <v>-3650.0918376441923</v>
      </c>
      <c r="AU139" s="12">
        <f>IF($H139="Cancelled","",IFERROR((T139*INDEX(Variables!$B$7:$D$7,IFERROR(MATCH(IF($B139="Robusta","Robusta",(IF($B139="","Arabica",$B139))&amp;" - "&amp;(IF($C139="","Commercial",$C139))),Variables!$B$1:$D$1,0),1))*AP139/365)+(L139/16.67*INDEX(Variables!$B$8:$D$8,IFERROR(MATCH(IF($B139="Robusta","Robusta",(IF($B139="","Arabica",$B139))&amp;" - "&amp;(IF($C139="","Commercial",$C139))),Variables!$B$1:$D$1,0),1))*AP139)+(T139*INDEX(Variables!$B$9:$D$9,IFERROR(MATCH(IF($B139="Robusta","Robusta",(IF($B139="","Arabica",$B139))&amp;" - "&amp;(IF($C139="","Commercial",$C139))),Variables!$B$1:$D$1,0),1))*AP139/365),""))</f>
        <v>1254.719069190191</v>
      </c>
      <c r="AV139" s="11">
        <f t="shared" si="15"/>
        <v>-3</v>
      </c>
      <c r="AW139" s="12">
        <f>IF($H139="Cancelled","",IFERROR(IF(AV139="","",(T139*INDEX(Variables!$B$7:$D$7,IFERROR(MATCH(IF($B139="Robusta","Robusta",(IF($B139="","Arabica",$B139))&amp;" - "&amp;(IF($C139="","Commercial",$C139))),Variables!$B$1:$D$1,0),1))*(AV139/365))+(T139*INDEX(Variables!$B$9:$D$9,IFERROR(MATCH(IF($B139="Robusta","Robusta",(IF($B139="","Arabica",$B139))&amp;" - "&amp;(IF($C139="","Commercial",$C139))),Variables!$B$1:$D$1,0),1))*(AV139/365))+(INDEX(Variables!$B$8:$D$8,IFERROR(MATCH(IF($B139="Robusta","Robusta",(IF($B139="","Arabica",$B139))&amp;" - "&amp;(IF($C139="","Commercial",$C139))),Variables!$B$1:$D$1,0),1))*L139/16.67)),""))</f>
        <v>-50.06536992638101</v>
      </c>
      <c r="AX139" s="9"/>
      <c r="AY139" s="12"/>
      <c r="AZ139" s="10"/>
      <c r="BA139" s="9"/>
      <c r="BB139" s="10"/>
      <c r="BC139" s="9"/>
      <c r="BD139" s="9"/>
      <c r="BE139" s="9"/>
      <c r="BF139" s="9"/>
    </row>
    <row r="140" spans="1:58" x14ac:dyDescent="0.25">
      <c r="A140" s="9" t="s">
        <v>84</v>
      </c>
      <c r="B140" s="9" t="s">
        <v>85</v>
      </c>
      <c r="C140" s="9" t="s">
        <v>86</v>
      </c>
      <c r="D140" s="10">
        <v>45419</v>
      </c>
      <c r="E140" s="10">
        <v>45413</v>
      </c>
      <c r="F140" s="10">
        <v>45473</v>
      </c>
      <c r="G140" s="9">
        <v>3786359</v>
      </c>
      <c r="H140" s="9" t="str">
        <f t="shared" si="13"/>
        <v>Closed</v>
      </c>
      <c r="I140" s="9" t="str">
        <f t="shared" si="14"/>
        <v>All dates received</v>
      </c>
      <c r="J140" s="9" t="s">
        <v>286</v>
      </c>
      <c r="K140" s="9">
        <v>4976</v>
      </c>
      <c r="L140" s="11">
        <v>333</v>
      </c>
      <c r="M140" s="9" t="s">
        <v>442</v>
      </c>
      <c r="N140" s="9" t="s">
        <v>400</v>
      </c>
      <c r="O140" s="9"/>
      <c r="P140" s="9"/>
      <c r="Q140" s="11"/>
      <c r="R140" s="9" t="s">
        <v>90</v>
      </c>
      <c r="S140" s="9" t="s">
        <v>443</v>
      </c>
      <c r="T140" s="12">
        <f>IF($H140="Cancelled","",IFERROR(((Q140+INDEX(Variables!$B$6:$D$6,IFERROR(MATCH(IF($B140="Robusta","Robusta",(IF($B140="","Arabica",$B140))&amp;" - "&amp;(IF($C140="","Commercial",$C140))),Variables!$B$1:$D$1,0),1)))*22.0462)*(L140/16.67),""))</f>
        <v>128066.86512777444</v>
      </c>
      <c r="U140" s="10">
        <v>45483</v>
      </c>
      <c r="V140" s="9" t="str">
        <f t="shared" si="16"/>
        <v>Sent</v>
      </c>
      <c r="W140" s="10">
        <v>45491</v>
      </c>
      <c r="X140" s="9" t="str">
        <f t="shared" si="12"/>
        <v>Approved</v>
      </c>
      <c r="Y140" s="10"/>
      <c r="Z140" s="10">
        <f>IF($H140="Cancelled","",IFERROR(IF(F140="","",F140-Variables!$B$13),""))</f>
        <v>45458</v>
      </c>
      <c r="AA140" s="11">
        <f>IF($H140="Cancelled","",IFERROR(IF(W140="","",(AVERAGE(E140:F140)-W140)-Variables!$B$14),""))</f>
        <v>-78</v>
      </c>
      <c r="AB140" s="10">
        <v>45533</v>
      </c>
      <c r="AC140" s="11">
        <f>IF($H140="Cancelled","",IFERROR(IF(AB140="","",IF(AND(W140="",Y140=""),"",IF(Y140&gt;W140,Y140+Variables!$B$15+Variables!$B$16+Variables!$B$17-AB140,W140+Variables!$B$16+Variables!$B$17-AB140))),""))</f>
        <v>-34</v>
      </c>
      <c r="AD140" s="9" t="s">
        <v>165</v>
      </c>
      <c r="AE140" s="9" t="s">
        <v>439</v>
      </c>
      <c r="AF140" s="10"/>
      <c r="AG140" s="10"/>
      <c r="AH140" s="9"/>
      <c r="AI140" s="9" t="s">
        <v>444</v>
      </c>
      <c r="AJ140" s="9" t="s">
        <v>445</v>
      </c>
      <c r="AK140" s="10">
        <v>45507</v>
      </c>
      <c r="AL140" s="10">
        <v>45519</v>
      </c>
      <c r="AM140" s="10">
        <v>45524</v>
      </c>
      <c r="AN140" s="9" t="s">
        <v>95</v>
      </c>
      <c r="AO140" s="9"/>
      <c r="AP140" s="11">
        <f>IF($H140="Cancelled","",IFERROR(IF(OR(AK140="",AB140=""),"",(AB140+Variables!$B$18-AK140)),""))</f>
        <v>33</v>
      </c>
      <c r="AQ140" s="11">
        <f>IF($H140="Cancelled","",IFERROR(IF(OR(AM140="",AK140=""),"",(AK140+Variables!$B$19)-AM140),""))</f>
        <v>-12</v>
      </c>
      <c r="AR140" s="12">
        <f>IF($H140="Cancelled","",IFERROR(T140*INDEX(Variables!$B$7:$D$7,IFERROR(MATCH(IF($B140="Robusta","Robusta",(IF($B140="","Arabica",$B140))&amp;" - "&amp;(IF($C140="","Commercial",$C140))),Variables!$B$1:$D$1,0),1))*(AQ140/365),""))</f>
        <v>-271.49698226440029</v>
      </c>
      <c r="AS140" s="12">
        <f>IF($H140="Cancelled","",IFERROR((T140*INDEX(Variables!$B$7:$D$7,IFERROR(MATCH(IF($B140="Robusta","Robusta",(IF($B140="","Arabica",$B140))&amp;" - "&amp;(IF($C140="","Commercial",$C140))),Variables!$B$1:$D$1,0),1))*IFERROR(IF(W140="","",(AVERAGE(E140:F140)-W140)-Variables!$B$14),"")/365)+(L140/16.67*INDEX(Variables!$B$8:$D$8,IFERROR(MATCH(IF($B140="Robusta","Robusta",(IF($B140="","Arabica",$B140))&amp;" - "&amp;(IF($C140="","Commercial",$C140))),Variables!$B$1:$D$1,0),1))*IFERROR(IF(W140="","",(AVERAGE(E140:F140)-W140)-Variables!$B$14),""))+(T140*INDEX(Variables!$B$9:$D$9,IFERROR(MATCH(IF($B140="Robusta","Robusta",(IF($B140="","Arabica",$B140))&amp;" - "&amp;(IF($C140="","Commercial",$C140))),Variables!$B$1:$D$1,0),1))*IFERROR(IF(W140="","",(AVERAGE(E140:F140)-W140)-Variables!$B$14),"")/365),""))</f>
        <v>-3086.1811650706463</v>
      </c>
      <c r="AT140" s="12">
        <f>IF($H140="Cancelled","",IFERROR((T140*INDEX(Variables!$B$7:$D$7,IFERROR(MATCH(IF($B140="Robusta","Robusta",(IF($B140="","Arabica",$B140))&amp;" - "&amp;(IF($C140="","Commercial",$C140))),Variables!$B$1:$D$1,0),1))*AC140/365)+(L140/16.67*INDEX(Variables!$B$8:$D$8,IFERROR(MATCH(IF($B140="Robusta","Robusta",(IF($B140="","Arabica",$B140))&amp;" - "&amp;(IF($C140="","Commercial",$C140))),Variables!$B$1:$D$1,0),1))*AC140)+(T140*INDEX(Variables!$B$9:$D$9,IFERROR(MATCH(IF($B140="Robusta","Robusta",(IF($B140="","Arabica",$B140))&amp;" - "&amp;(IF($C140="","Commercial",$C140))),Variables!$B$1:$D$1,0),1))*AC140/365),""))</f>
        <v>-1345.2584565692559</v>
      </c>
      <c r="AU140" s="12">
        <f>IF($H140="Cancelled","",IFERROR((T140*INDEX(Variables!$B$7:$D$7,IFERROR(MATCH(IF($B140="Robusta","Robusta",(IF($B140="","Arabica",$B140))&amp;" - "&amp;(IF($C140="","Commercial",$C140))),Variables!$B$1:$D$1,0),1))*AP140/365)+(L140/16.67*INDEX(Variables!$B$8:$D$8,IFERROR(MATCH(IF($B140="Robusta","Robusta",(IF($B140="","Arabica",$B140))&amp;" - "&amp;(IF($C140="","Commercial",$C140))),Variables!$B$1:$D$1,0),1))*AP140)+(T140*INDEX(Variables!$B$9:$D$9,IFERROR(MATCH(IF($B140="Robusta","Robusta",(IF($B140="","Arabica",$B140))&amp;" - "&amp;(IF($C140="","Commercial",$C140))),Variables!$B$1:$D$1,0),1))*AP140/365),""))</f>
        <v>1305.6920313760427</v>
      </c>
      <c r="AV140" s="11">
        <f t="shared" si="15"/>
        <v>-34</v>
      </c>
      <c r="AW140" s="12">
        <f>IF($H140="Cancelled","",IFERROR(IF(AV140="","",(T140*INDEX(Variables!$B$7:$D$7,IFERROR(MATCH(IF($B140="Robusta","Robusta",(IF($B140="","Arabica",$B140))&amp;" - "&amp;(IF($C140="","Commercial",$C140))),Variables!$B$1:$D$1,0),1))*(AV140/365))+(T140*INDEX(Variables!$B$9:$D$9,IFERROR(MATCH(IF($B140="Robusta","Robusta",(IF($B140="","Arabica",$B140))&amp;" - "&amp;(IF($C140="","Commercial",$C140))),Variables!$B$1:$D$1,0),1))*(AV140/365))+(INDEX(Variables!$B$8:$D$8,IFERROR(MATCH(IF($B140="Robusta","Robusta",(IF($B140="","Arabica",$B140))&amp;" - "&amp;(IF($C140="","Commercial",$C140))),Variables!$B$1:$D$1,0),1))*L140/16.67)),""))</f>
        <v>-762.50845656925605</v>
      </c>
      <c r="AX140" s="9"/>
      <c r="AY140" s="12"/>
      <c r="AZ140" s="10"/>
      <c r="BA140" s="9"/>
      <c r="BB140" s="10"/>
      <c r="BC140" s="9"/>
      <c r="BD140" s="9"/>
      <c r="BE140" s="9"/>
      <c r="BF140" s="9"/>
    </row>
    <row r="141" spans="1:58" x14ac:dyDescent="0.25">
      <c r="A141" s="9" t="s">
        <v>84</v>
      </c>
      <c r="B141" s="9" t="s">
        <v>85</v>
      </c>
      <c r="C141" s="9" t="s">
        <v>86</v>
      </c>
      <c r="D141" s="10">
        <v>45419</v>
      </c>
      <c r="E141" s="10">
        <v>45536</v>
      </c>
      <c r="F141" s="10">
        <v>45565</v>
      </c>
      <c r="G141" s="9">
        <v>3786360</v>
      </c>
      <c r="H141" s="9" t="str">
        <f t="shared" si="13"/>
        <v>Closed</v>
      </c>
      <c r="I141" s="9" t="str">
        <f t="shared" si="14"/>
        <v>All dates received</v>
      </c>
      <c r="J141" s="9" t="s">
        <v>286</v>
      </c>
      <c r="K141" s="9">
        <v>5060</v>
      </c>
      <c r="L141" s="11">
        <v>333</v>
      </c>
      <c r="M141" s="9" t="s">
        <v>442</v>
      </c>
      <c r="N141" s="9" t="s">
        <v>400</v>
      </c>
      <c r="O141" s="9"/>
      <c r="P141" s="9"/>
      <c r="Q141" s="11"/>
      <c r="R141" s="9" t="s">
        <v>90</v>
      </c>
      <c r="S141" s="9" t="s">
        <v>443</v>
      </c>
      <c r="T141" s="12">
        <f>IF($H141="Cancelled","",IFERROR(((Q141+INDEX(Variables!$B$6:$D$6,IFERROR(MATCH(IF($B141="Robusta","Robusta",(IF($B141="","Arabica",$B141))&amp;" - "&amp;(IF($C141="","Commercial",$C141))),Variables!$B$1:$D$1,0),1)))*22.0462)*(L141/16.67),""))</f>
        <v>128066.86512777444</v>
      </c>
      <c r="U141" s="10">
        <v>45495</v>
      </c>
      <c r="V141" s="9" t="str">
        <f t="shared" si="16"/>
        <v>Sent</v>
      </c>
      <c r="W141" s="10">
        <v>45503</v>
      </c>
      <c r="X141" s="9" t="str">
        <f t="shared" si="12"/>
        <v>Approved</v>
      </c>
      <c r="Y141" s="10"/>
      <c r="Z141" s="10">
        <f>IF($H141="Cancelled","",IFERROR(IF(F141="","",F141-Variables!$B$13),""))</f>
        <v>45550</v>
      </c>
      <c r="AA141" s="11">
        <f>IF($H141="Cancelled","",IFERROR(IF(W141="","",(AVERAGE(E141:F141)-W141)-Variables!$B$14),""))</f>
        <v>17.5</v>
      </c>
      <c r="AB141" s="10">
        <v>45534</v>
      </c>
      <c r="AC141" s="11">
        <f>IF($H141="Cancelled","",IFERROR(IF(AB141="","",IF(AND(W141="",Y141=""),"",IF(Y141&gt;W141,Y141+Variables!$B$15+Variables!$B$16+Variables!$B$17-AB141,W141+Variables!$B$16+Variables!$B$17-AB141))),""))</f>
        <v>-23</v>
      </c>
      <c r="AD141" s="9" t="s">
        <v>165</v>
      </c>
      <c r="AE141" s="9" t="s">
        <v>446</v>
      </c>
      <c r="AF141" s="10"/>
      <c r="AG141" s="10"/>
      <c r="AH141" s="9"/>
      <c r="AI141" s="9" t="s">
        <v>447</v>
      </c>
      <c r="AJ141" s="9" t="s">
        <v>448</v>
      </c>
      <c r="AK141" s="10">
        <v>45531</v>
      </c>
      <c r="AL141" s="10">
        <v>45534</v>
      </c>
      <c r="AM141" s="10">
        <v>45545</v>
      </c>
      <c r="AN141" s="9" t="s">
        <v>95</v>
      </c>
      <c r="AO141" s="9"/>
      <c r="AP141" s="11">
        <f>IF($H141="Cancelled","",IFERROR(IF(OR(AK141="",AB141=""),"",(AB141+Variables!$B$18-AK141)),""))</f>
        <v>10</v>
      </c>
      <c r="AQ141" s="11">
        <f>IF($H141="Cancelled","",IFERROR(IF(OR(AM141="",AK141=""),"",(AK141+Variables!$B$19)-AM141),""))</f>
        <v>-9</v>
      </c>
      <c r="AR141" s="12">
        <f>IF($H141="Cancelled","",IFERROR(T141*INDEX(Variables!$B$7:$D$7,IFERROR(MATCH(IF($B141="Robusta","Robusta",(IF($B141="","Arabica",$B141))&amp;" - "&amp;(IF($C141="","Commercial",$C141))),Variables!$B$1:$D$1,0),1))*(AQ141/365),""))</f>
        <v>-203.62273669830023</v>
      </c>
      <c r="AS141" s="12">
        <f>IF($H141="Cancelled","",IFERROR((T141*INDEX(Variables!$B$7:$D$7,IFERROR(MATCH(IF($B141="Robusta","Robusta",(IF($B141="","Arabica",$B141))&amp;" - "&amp;(IF($C141="","Commercial",$C141))),Variables!$B$1:$D$1,0),1))*IFERROR(IF(W141="","",(AVERAGE(E141:F141)-W141)-Variables!$B$14),"")/365)+(L141/16.67*INDEX(Variables!$B$8:$D$8,IFERROR(MATCH(IF($B141="Robusta","Robusta",(IF($B141="","Arabica",$B141))&amp;" - "&amp;(IF($C141="","Commercial",$C141))),Variables!$B$1:$D$1,0),1))*IFERROR(IF(W141="","",(AVERAGE(E141:F141)-W141)-Variables!$B$14),""))+(T141*INDEX(Variables!$B$9:$D$9,IFERROR(MATCH(IF($B141="Robusta","Robusta",(IF($B141="","Arabica",$B141))&amp;" - "&amp;(IF($C141="","Commercial",$C141))),Variables!$B$1:$D$1,0),1))*IFERROR(IF(W141="","",(AVERAGE(E141:F141)-W141)-Variables!$B$14),"")/365),""))</f>
        <v>692.41244088123483</v>
      </c>
      <c r="AT141" s="12">
        <f>IF($H141="Cancelled","",IFERROR((T141*INDEX(Variables!$B$7:$D$7,IFERROR(MATCH(IF($B141="Robusta","Robusta",(IF($B141="","Arabica",$B141))&amp;" - "&amp;(IF($C141="","Commercial",$C141))),Variables!$B$1:$D$1,0),1))*AC141/365)+(L141/16.67*INDEX(Variables!$B$8:$D$8,IFERROR(MATCH(IF($B141="Robusta","Robusta",(IF($B141="","Arabica",$B141))&amp;" - "&amp;(IF($C141="","Commercial",$C141))),Variables!$B$1:$D$1,0),1))*AC141)+(T141*INDEX(Variables!$B$9:$D$9,IFERROR(MATCH(IF($B141="Robusta","Robusta",(IF($B141="","Arabica",$B141))&amp;" - "&amp;(IF($C141="","Commercial",$C141))),Variables!$B$1:$D$1,0),1))*AC141/365),""))</f>
        <v>-910.02777944390857</v>
      </c>
      <c r="AU141" s="12">
        <f>IF($H141="Cancelled","",IFERROR((T141*INDEX(Variables!$B$7:$D$7,IFERROR(MATCH(IF($B141="Robusta","Robusta",(IF($B141="","Arabica",$B141))&amp;" - "&amp;(IF($C141="","Commercial",$C141))),Variables!$B$1:$D$1,0),1))*AP141/365)+(L141/16.67*INDEX(Variables!$B$8:$D$8,IFERROR(MATCH(IF($B141="Robusta","Robusta",(IF($B141="","Arabica",$B141))&amp;" - "&amp;(IF($C141="","Commercial",$C141))),Variables!$B$1:$D$1,0),1))*AP141)+(T141*INDEX(Variables!$B$9:$D$9,IFERROR(MATCH(IF($B141="Robusta","Robusta",(IF($B141="","Arabica",$B141))&amp;" - "&amp;(IF($C141="","Commercial",$C141))),Variables!$B$1:$D$1,0),1))*AP141/365),""))</f>
        <v>395.66425193213411</v>
      </c>
      <c r="AV141" s="11">
        <f t="shared" si="15"/>
        <v>34</v>
      </c>
      <c r="AW141" s="12">
        <f>IF($H141="Cancelled","",IFERROR(IF(AV141="","",(T141*INDEX(Variables!$B$7:$D$7,IFERROR(MATCH(IF($B141="Robusta","Robusta",(IF($B141="","Arabica",$B141))&amp;" - "&amp;(IF($C141="","Commercial",$C141))),Variables!$B$1:$D$1,0),1))*(AV141/365))+(T141*INDEX(Variables!$B$9:$D$9,IFERROR(MATCH(IF($B141="Robusta","Robusta",(IF($B141="","Arabica",$B141))&amp;" - "&amp;(IF($C141="","Commercial",$C141))),Variables!$B$1:$D$1,0),1))*(AV141/365))+(INDEX(Variables!$B$8:$D$8,IFERROR(MATCH(IF($B141="Robusta","Robusta",(IF($B141="","Arabica",$B141))&amp;" - "&amp;(IF($C141="","Commercial",$C141))),Variables!$B$1:$D$1,0),1))*L141/16.67)),""))</f>
        <v>795.80845656925601</v>
      </c>
      <c r="AX141" s="9"/>
      <c r="AY141" s="12"/>
      <c r="AZ141" s="10"/>
      <c r="BA141" s="9"/>
      <c r="BB141" s="10"/>
      <c r="BC141" s="9"/>
      <c r="BD141" s="9"/>
      <c r="BE141" s="9"/>
      <c r="BF141" s="9"/>
    </row>
    <row r="142" spans="1:58" x14ac:dyDescent="0.25">
      <c r="A142" s="9" t="s">
        <v>84</v>
      </c>
      <c r="B142" s="9" t="s">
        <v>85</v>
      </c>
      <c r="C142" s="9" t="s">
        <v>86</v>
      </c>
      <c r="D142" s="10">
        <v>45420</v>
      </c>
      <c r="E142" s="10">
        <v>45474</v>
      </c>
      <c r="F142" s="10">
        <v>45504</v>
      </c>
      <c r="G142" s="9">
        <v>3786361</v>
      </c>
      <c r="H142" s="9" t="str">
        <f t="shared" si="13"/>
        <v>Closed</v>
      </c>
      <c r="I142" s="9" t="str">
        <f t="shared" si="14"/>
        <v>All dates received</v>
      </c>
      <c r="J142" s="9" t="s">
        <v>200</v>
      </c>
      <c r="K142" s="9">
        <v>5068</v>
      </c>
      <c r="L142" s="11">
        <v>300</v>
      </c>
      <c r="M142" s="9" t="s">
        <v>449</v>
      </c>
      <c r="N142" s="9" t="s">
        <v>450</v>
      </c>
      <c r="O142" s="9"/>
      <c r="P142" s="9"/>
      <c r="Q142" s="11"/>
      <c r="R142" s="9" t="s">
        <v>90</v>
      </c>
      <c r="S142" s="9" t="s">
        <v>156</v>
      </c>
      <c r="T142" s="12">
        <f>IF($H142="Cancelled","",IFERROR(((Q142+INDEX(Variables!$B$6:$D$6,IFERROR(MATCH(IF($B142="Robusta","Robusta",(IF($B142="","Arabica",$B142))&amp;" - "&amp;(IF($C142="","Commercial",$C142))),Variables!$B$1:$D$1,0),1)))*22.0462)*(L142/16.67),""))</f>
        <v>115375.55416916615</v>
      </c>
      <c r="U142" s="10">
        <v>45503</v>
      </c>
      <c r="V142" s="9" t="str">
        <f t="shared" si="16"/>
        <v>Sent</v>
      </c>
      <c r="W142" s="10">
        <v>45510</v>
      </c>
      <c r="X142" s="9" t="str">
        <f t="shared" si="12"/>
        <v>Approved</v>
      </c>
      <c r="Y142" s="10"/>
      <c r="Z142" s="10">
        <f>IF($H142="Cancelled","",IFERROR(IF(F142="","",F142-Variables!$B$13),""))</f>
        <v>45489</v>
      </c>
      <c r="AA142" s="11">
        <f>IF($H142="Cancelled","",IFERROR(IF(W142="","",(AVERAGE(E142:F142)-W142)-Variables!$B$14),""))</f>
        <v>-51</v>
      </c>
      <c r="AB142" s="10">
        <v>45534</v>
      </c>
      <c r="AC142" s="11">
        <f>IF($H142="Cancelled","",IFERROR(IF(AB142="","",IF(AND(W142="",Y142=""),"",IF(Y142&gt;W142,Y142+Variables!$B$15+Variables!$B$16+Variables!$B$17-AB142,W142+Variables!$B$16+Variables!$B$17-AB142))),""))</f>
        <v>-16</v>
      </c>
      <c r="AD142" s="9" t="s">
        <v>163</v>
      </c>
      <c r="AE142" s="9" t="s">
        <v>398</v>
      </c>
      <c r="AF142" s="10"/>
      <c r="AG142" s="10"/>
      <c r="AH142" s="9"/>
      <c r="AI142" s="9">
        <v>243349686</v>
      </c>
      <c r="AJ142" s="9" t="s">
        <v>451</v>
      </c>
      <c r="AK142" s="10">
        <v>45527</v>
      </c>
      <c r="AL142" s="10">
        <v>45533</v>
      </c>
      <c r="AM142" s="10">
        <v>45538</v>
      </c>
      <c r="AN142" s="9" t="s">
        <v>95</v>
      </c>
      <c r="AO142" s="9"/>
      <c r="AP142" s="11">
        <f>IF($H142="Cancelled","",IFERROR(IF(OR(AK142="",AB142=""),"",(AB142+Variables!$B$18-AK142)),""))</f>
        <v>14</v>
      </c>
      <c r="AQ142" s="11">
        <f>IF($H142="Cancelled","",IFERROR(IF(OR(AM142="",AK142=""),"",(AK142+Variables!$B$19)-AM142),""))</f>
        <v>-6</v>
      </c>
      <c r="AR142" s="12">
        <f>IF($H142="Cancelled","",IFERROR(T142*INDEX(Variables!$B$7:$D$7,IFERROR(MATCH(IF($B142="Robusta","Robusta",(IF($B142="","Arabica",$B142))&amp;" - "&amp;(IF($C142="","Commercial",$C142))),Variables!$B$1:$D$1,0),1))*(AQ142/365),""))</f>
        <v>-122.29593795693708</v>
      </c>
      <c r="AS142" s="12">
        <f>IF($H142="Cancelled","",IFERROR((T142*INDEX(Variables!$B$7:$D$7,IFERROR(MATCH(IF($B142="Robusta","Robusta",(IF($B142="","Arabica",$B142))&amp;" - "&amp;(IF($C142="","Commercial",$C142))),Variables!$B$1:$D$1,0),1))*IFERROR(IF(W142="","",(AVERAGE(E142:F142)-W142)-Variables!$B$14),"")/365)+(L142/16.67*INDEX(Variables!$B$8:$D$8,IFERROR(MATCH(IF($B142="Robusta","Robusta",(IF($B142="","Arabica",$B142))&amp;" - "&amp;(IF($C142="","Commercial",$C142))),Variables!$B$1:$D$1,0),1))*IFERROR(IF(W142="","",(AVERAGE(E142:F142)-W142)-Variables!$B$14),""))+(T142*INDEX(Variables!$B$9:$D$9,IFERROR(MATCH(IF($B142="Robusta","Robusta",(IF($B142="","Arabica",$B142))&amp;" - "&amp;(IF($C142="","Commercial",$C142))),Variables!$B$1:$D$1,0),1))*IFERROR(IF(W142="","",(AVERAGE(E142:F142)-W142)-Variables!$B$14),"")/365),""))</f>
        <v>-1817.9168332016973</v>
      </c>
      <c r="AT142" s="12">
        <f>IF($H142="Cancelled","",IFERROR((T142*INDEX(Variables!$B$7:$D$7,IFERROR(MATCH(IF($B142="Robusta","Robusta",(IF($B142="","Arabica",$B142))&amp;" - "&amp;(IF($C142="","Commercial",$C142))),Variables!$B$1:$D$1,0),1))*AC142/365)+(L142/16.67*INDEX(Variables!$B$8:$D$8,IFERROR(MATCH(IF($B142="Robusta","Robusta",(IF($B142="","Arabica",$B142))&amp;" - "&amp;(IF($C142="","Commercial",$C142))),Variables!$B$1:$D$1,0),1))*AC142)+(T142*INDEX(Variables!$B$9:$D$9,IFERROR(MATCH(IF($B142="Robusta","Robusta",(IF($B142="","Arabica",$B142))&amp;" - "&amp;(IF($C142="","Commercial",$C142))),Variables!$B$1:$D$1,0),1))*AC142/365),""))</f>
        <v>-570.32684963190502</v>
      </c>
      <c r="AU142" s="12">
        <f>IF($H142="Cancelled","",IFERROR((T142*INDEX(Variables!$B$7:$D$7,IFERROR(MATCH(IF($B142="Robusta","Robusta",(IF($B142="","Arabica",$B142))&amp;" - "&amp;(IF($C142="","Commercial",$C142))),Variables!$B$1:$D$1,0),1))*AP142/365)+(L142/16.67*INDEX(Variables!$B$8:$D$8,IFERROR(MATCH(IF($B142="Robusta","Robusta",(IF($B142="","Arabica",$B142))&amp;" - "&amp;(IF($C142="","Commercial",$C142))),Variables!$B$1:$D$1,0),1))*AP142)+(T142*INDEX(Variables!$B$9:$D$9,IFERROR(MATCH(IF($B142="Robusta","Robusta",(IF($B142="","Arabica",$B142))&amp;" - "&amp;(IF($C142="","Commercial",$C142))),Variables!$B$1:$D$1,0),1))*AP142/365),""))</f>
        <v>499.03599342791694</v>
      </c>
      <c r="AV142" s="11">
        <f t="shared" si="15"/>
        <v>-23</v>
      </c>
      <c r="AW142" s="12">
        <f>IF($H142="Cancelled","",IFERROR(IF(AV142="","",(T142*INDEX(Variables!$B$7:$D$7,IFERROR(MATCH(IF($B142="Robusta","Robusta",(IF($B142="","Arabica",$B142))&amp;" - "&amp;(IF($C142="","Commercial",$C142))),Variables!$B$1:$D$1,0),1))*(AV142/365))+(T142*INDEX(Variables!$B$9:$D$9,IFERROR(MATCH(IF($B142="Robusta","Robusta",(IF($B142="","Arabica",$B142))&amp;" - "&amp;(IF($C142="","Commercial",$C142))),Variables!$B$1:$D$1,0),1))*(AV142/365))+(INDEX(Variables!$B$8:$D$8,IFERROR(MATCH(IF($B142="Robusta","Robusta",(IF($B142="","Arabica",$B142))&amp;" - "&amp;(IF($C142="","Commercial",$C142))),Variables!$B$1:$D$1,0),1))*L142/16.67)),""))</f>
        <v>-459.84484634586357</v>
      </c>
      <c r="AX142" s="9"/>
      <c r="AY142" s="12"/>
      <c r="AZ142" s="10"/>
      <c r="BA142" s="9"/>
      <c r="BB142" s="10"/>
      <c r="BC142" s="9"/>
      <c r="BD142" s="9"/>
      <c r="BE142" s="9"/>
      <c r="BF142" s="9"/>
    </row>
    <row r="143" spans="1:58" x14ac:dyDescent="0.25">
      <c r="A143" s="9" t="s">
        <v>84</v>
      </c>
      <c r="B143" s="9" t="s">
        <v>85</v>
      </c>
      <c r="C143" s="9" t="s">
        <v>86</v>
      </c>
      <c r="D143" s="10">
        <v>45420</v>
      </c>
      <c r="E143" s="10">
        <v>45672</v>
      </c>
      <c r="F143" s="10">
        <v>45688</v>
      </c>
      <c r="G143" s="9">
        <v>3786364</v>
      </c>
      <c r="H143" s="9" t="str">
        <f t="shared" si="13"/>
        <v>Closed</v>
      </c>
      <c r="I143" s="9" t="str">
        <f t="shared" si="14"/>
        <v>All dates received</v>
      </c>
      <c r="J143" s="9" t="s">
        <v>210</v>
      </c>
      <c r="K143" s="9">
        <v>5146</v>
      </c>
      <c r="L143" s="11">
        <v>1280</v>
      </c>
      <c r="M143" s="9" t="s">
        <v>452</v>
      </c>
      <c r="N143" s="9" t="s">
        <v>121</v>
      </c>
      <c r="O143" s="9"/>
      <c r="P143" s="9"/>
      <c r="Q143" s="11"/>
      <c r="R143" s="9" t="s">
        <v>90</v>
      </c>
      <c r="S143" s="9" t="s">
        <v>234</v>
      </c>
      <c r="T143" s="12">
        <f>IF($H143="Cancelled","",IFERROR(((Q143+INDEX(Variables!$B$6:$D$6,IFERROR(MATCH(IF($B143="Robusta","Robusta",(IF($B143="","Arabica",$B143))&amp;" - "&amp;(IF($C143="","Commercial",$C143))),Variables!$B$1:$D$1,0),1)))*22.0462)*(L143/16.67),""))</f>
        <v>492269.03112177562</v>
      </c>
      <c r="U143" s="10">
        <v>45617</v>
      </c>
      <c r="V143" s="9" t="str">
        <f t="shared" si="16"/>
        <v>Sent</v>
      </c>
      <c r="W143" s="10">
        <v>45623</v>
      </c>
      <c r="X143" s="9" t="str">
        <f t="shared" si="12"/>
        <v>Approved</v>
      </c>
      <c r="Y143" s="10"/>
      <c r="Z143" s="10">
        <f>IF($H143="Cancelled","",IFERROR(IF(F143="","",F143-Variables!$B$13),""))</f>
        <v>45673</v>
      </c>
      <c r="AA143" s="11">
        <f>IF($H143="Cancelled","",IFERROR(IF(W143="","",(AVERAGE(E143:F143)-W143)-Variables!$B$14),""))</f>
        <v>27</v>
      </c>
      <c r="AB143" s="10">
        <v>45681</v>
      </c>
      <c r="AC143" s="11">
        <f>IF($H143="Cancelled","",IFERROR(IF(AB143="","",IF(AND(W143="",Y143=""),"",IF(Y143&gt;W143,Y143+Variables!$B$15+Variables!$B$16+Variables!$B$17-AB143,W143+Variables!$B$16+Variables!$B$17-AB143))),""))</f>
        <v>-50</v>
      </c>
      <c r="AD143" s="9" t="s">
        <v>163</v>
      </c>
      <c r="AE143" s="9" t="s">
        <v>219</v>
      </c>
      <c r="AF143" s="10">
        <v>45687</v>
      </c>
      <c r="AG143" s="10"/>
      <c r="AH143" s="9"/>
      <c r="AI143" s="9">
        <v>249329922</v>
      </c>
      <c r="AJ143" s="9" t="s">
        <v>8</v>
      </c>
      <c r="AK143" s="10">
        <v>45688</v>
      </c>
      <c r="AL143" s="10">
        <v>45691</v>
      </c>
      <c r="AM143" s="10">
        <v>45693</v>
      </c>
      <c r="AN143" s="9" t="s">
        <v>95</v>
      </c>
      <c r="AO143" s="9"/>
      <c r="AP143" s="11">
        <f>IF($H143="Cancelled","",IFERROR(IF(OR(AK143="",AB143=""),"",(AB143+Variables!$B$18-AK143)),""))</f>
        <v>0</v>
      </c>
      <c r="AQ143" s="11">
        <f>IF($H143="Cancelled","",IFERROR(IF(OR(AM143="",AK143=""),"",(AK143+Variables!$B$19)-AM143),""))</f>
        <v>0</v>
      </c>
      <c r="AR143" s="12">
        <f>IF($H143="Cancelled","",IFERROR(T143*INDEX(Variables!$B$7:$D$7,IFERROR(MATCH(IF($B143="Robusta","Robusta",(IF($B143="","Arabica",$B143))&amp;" - "&amp;(IF($C143="","Commercial",$C143))),Variables!$B$1:$D$1,0),1))*(AQ143/365),""))</f>
        <v>0</v>
      </c>
      <c r="AS143" s="12">
        <f>IF($H143="Cancelled","",IFERROR((T143*INDEX(Variables!$B$7:$D$7,IFERROR(MATCH(IF($B143="Robusta","Robusta",(IF($B143="","Arabica",$B143))&amp;" - "&amp;(IF($C143="","Commercial",$C143))),Variables!$B$1:$D$1,0),1))*IFERROR(IF(W143="","",(AVERAGE(E143:F143)-W143)-Variables!$B$14),"")/365)+(L143/16.67*INDEX(Variables!$B$8:$D$8,IFERROR(MATCH(IF($B143="Robusta","Robusta",(IF($B143="","Arabica",$B143))&amp;" - "&amp;(IF($C143="","Commercial",$C143))),Variables!$B$1:$D$1,0),1))*IFERROR(IF(W143="","",(AVERAGE(E143:F143)-W143)-Variables!$B$14),""))+(T143*INDEX(Variables!$B$9:$D$9,IFERROR(MATCH(IF($B143="Robusta","Robusta",(IF($B143="","Arabica",$B143))&amp;" - "&amp;(IF($C143="","Commercial",$C143))),Variables!$B$1:$D$1,0),1))*IFERROR(IF(W143="","",(AVERAGE(E143:F143)-W143)-Variables!$B$14),"")/365),""))</f>
        <v>4106.3533173497162</v>
      </c>
      <c r="AT143" s="12">
        <f>IF($H143="Cancelled","",IFERROR((T143*INDEX(Variables!$B$7:$D$7,IFERROR(MATCH(IF($B143="Robusta","Robusta",(IF($B143="","Arabica",$B143))&amp;" - "&amp;(IF($C143="","Commercial",$C143))),Variables!$B$1:$D$1,0),1))*AC143/365)+(L143/16.67*INDEX(Variables!$B$8:$D$8,IFERROR(MATCH(IF($B143="Robusta","Robusta",(IF($B143="","Arabica",$B143))&amp;" - "&amp;(IF($C143="","Commercial",$C143))),Variables!$B$1:$D$1,0),1))*AC143)+(T143*INDEX(Variables!$B$9:$D$9,IFERROR(MATCH(IF($B143="Robusta","Robusta",(IF($B143="","Arabica",$B143))&amp;" - "&amp;(IF($C143="","Commercial",$C143))),Variables!$B$1:$D$1,0),1))*AC143/365),""))</f>
        <v>-7604.3579950920675</v>
      </c>
      <c r="AU143" s="12">
        <f>IF($H143="Cancelled","",IFERROR((T143*INDEX(Variables!$B$7:$D$7,IFERROR(MATCH(IF($B143="Robusta","Robusta",(IF($B143="","Arabica",$B143))&amp;" - "&amp;(IF($C143="","Commercial",$C143))),Variables!$B$1:$D$1,0),1))*AP143/365)+(L143/16.67*INDEX(Variables!$B$8:$D$8,IFERROR(MATCH(IF($B143="Robusta","Robusta",(IF($B143="","Arabica",$B143))&amp;" - "&amp;(IF($C143="","Commercial",$C143))),Variables!$B$1:$D$1,0),1))*AP143)+(T143*INDEX(Variables!$B$9:$D$9,IFERROR(MATCH(IF($B143="Robusta","Robusta",(IF($B143="","Arabica",$B143))&amp;" - "&amp;(IF($C143="","Commercial",$C143))),Variables!$B$1:$D$1,0),1))*AP143/365),""))</f>
        <v>0</v>
      </c>
      <c r="AV143" s="11">
        <f t="shared" si="15"/>
        <v>0</v>
      </c>
      <c r="AW143" s="12">
        <f>IF($H143="Cancelled","",IFERROR(IF(AV143="","",(T143*INDEX(Variables!$B$7:$D$7,IFERROR(MATCH(IF($B143="Robusta","Robusta",(IF($B143="","Arabica",$B143))&amp;" - "&amp;(IF($C143="","Commercial",$C143))),Variables!$B$1:$D$1,0),1))*(AV143/365))+(T143*INDEX(Variables!$B$9:$D$9,IFERROR(MATCH(IF($B143="Robusta","Robusta",(IF($B143="","Arabica",$B143))&amp;" - "&amp;(IF($C143="","Commercial",$C143))),Variables!$B$1:$D$1,0),1))*(AV143/365))+(INDEX(Variables!$B$8:$D$8,IFERROR(MATCH(IF($B143="Robusta","Robusta",(IF($B143="","Arabica",$B143))&amp;" - "&amp;(IF($C143="","Commercial",$C143))),Variables!$B$1:$D$1,0),1))*L143/16.67)),""))</f>
        <v>64</v>
      </c>
      <c r="AX143" s="9"/>
      <c r="AY143" s="12"/>
      <c r="AZ143" s="10"/>
      <c r="BA143" s="9"/>
      <c r="BB143" s="10"/>
      <c r="BC143" s="9"/>
      <c r="BD143" s="9"/>
      <c r="BE143" s="9"/>
      <c r="BF143" s="9"/>
    </row>
    <row r="144" spans="1:58" x14ac:dyDescent="0.25">
      <c r="A144" s="9" t="s">
        <v>84</v>
      </c>
      <c r="B144" s="9" t="s">
        <v>85</v>
      </c>
      <c r="C144" s="9" t="s">
        <v>86</v>
      </c>
      <c r="D144" s="10">
        <v>45429</v>
      </c>
      <c r="E144" s="10">
        <v>45444</v>
      </c>
      <c r="F144" s="10">
        <v>45503</v>
      </c>
      <c r="G144" s="9">
        <v>3786384</v>
      </c>
      <c r="H144" s="9" t="str">
        <f t="shared" si="13"/>
        <v>Closed</v>
      </c>
      <c r="I144" s="9" t="str">
        <f t="shared" si="14"/>
        <v>All dates received</v>
      </c>
      <c r="J144" s="9" t="s">
        <v>102</v>
      </c>
      <c r="K144" s="9" t="s">
        <v>453</v>
      </c>
      <c r="L144" s="11">
        <v>640</v>
      </c>
      <c r="M144" s="9" t="s">
        <v>454</v>
      </c>
      <c r="N144" s="9" t="s">
        <v>455</v>
      </c>
      <c r="O144" s="9"/>
      <c r="P144" s="9"/>
      <c r="Q144" s="11"/>
      <c r="R144" s="9" t="s">
        <v>90</v>
      </c>
      <c r="S144" s="9" t="s">
        <v>207</v>
      </c>
      <c r="T144" s="12">
        <f>IF($H144="Cancelled","",IFERROR(((Q144+INDEX(Variables!$B$6:$D$6,IFERROR(MATCH(IF($B144="Robusta","Robusta",(IF($B144="","Arabica",$B144))&amp;" - "&amp;(IF($C144="","Commercial",$C144))),Variables!$B$1:$D$1,0),1)))*22.0462)*(L144/16.67),""))</f>
        <v>246134.51556088781</v>
      </c>
      <c r="U144" s="10">
        <v>45450</v>
      </c>
      <c r="V144" s="9" t="str">
        <f t="shared" si="16"/>
        <v>Sent</v>
      </c>
      <c r="W144" s="10">
        <v>45460</v>
      </c>
      <c r="X144" s="9" t="str">
        <f t="shared" si="12"/>
        <v>Approved</v>
      </c>
      <c r="Y144" s="10"/>
      <c r="Z144" s="10">
        <f>IF($H144="Cancelled","",IFERROR(IF(F144="","",F144-Variables!$B$13),""))</f>
        <v>45488</v>
      </c>
      <c r="AA144" s="11">
        <f>IF($H144="Cancelled","",IFERROR(IF(W144="","",(AVERAGE(E144:F144)-W144)-Variables!$B$14),""))</f>
        <v>-16.5</v>
      </c>
      <c r="AB144" s="10">
        <v>45540</v>
      </c>
      <c r="AC144" s="11">
        <f>IF($H144="Cancelled","",IFERROR(IF(AB144="","",IF(AND(W144="",Y144=""),"",IF(Y144&gt;W144,Y144+Variables!$B$15+Variables!$B$16+Variables!$B$17-AB144,W144+Variables!$B$16+Variables!$B$17-AB144))),""))</f>
        <v>-72</v>
      </c>
      <c r="AD144" s="9" t="s">
        <v>163</v>
      </c>
      <c r="AE144" s="9" t="s">
        <v>456</v>
      </c>
      <c r="AF144" s="10"/>
      <c r="AG144" s="10"/>
      <c r="AH144" s="9"/>
      <c r="AI144" s="9">
        <v>241427940</v>
      </c>
      <c r="AJ144" s="9" t="s">
        <v>8</v>
      </c>
      <c r="AK144" s="10">
        <v>45494</v>
      </c>
      <c r="AL144" s="10">
        <v>45498</v>
      </c>
      <c r="AM144" s="10">
        <v>45513</v>
      </c>
      <c r="AN144" s="9" t="s">
        <v>95</v>
      </c>
      <c r="AO144" s="9"/>
      <c r="AP144" s="11">
        <f>IF($H144="Cancelled","",IFERROR(IF(OR(AK144="",AB144=""),"",(AB144+Variables!$B$18-AK144)),""))</f>
        <v>53</v>
      </c>
      <c r="AQ144" s="11">
        <f>IF($H144="Cancelled","",IFERROR(IF(OR(AM144="",AK144=""),"",(AK144+Variables!$B$19)-AM144),""))</f>
        <v>-14</v>
      </c>
      <c r="AR144" s="12">
        <f>IF($H144="Cancelled","",IFERROR(T144*INDEX(Variables!$B$7:$D$7,IFERROR(MATCH(IF($B144="Robusta","Robusta",(IF($B144="","Arabica",$B144))&amp;" - "&amp;(IF($C144="","Commercial",$C144))),Variables!$B$1:$D$1,0),1))*(AQ144/365),""))</f>
        <v>-608.76200227453137</v>
      </c>
      <c r="AS144" s="12">
        <f>IF($H144="Cancelled","",IFERROR((T144*INDEX(Variables!$B$7:$D$7,IFERROR(MATCH(IF($B144="Robusta","Robusta",(IF($B144="","Arabica",$B144))&amp;" - "&amp;(IF($C144="","Commercial",$C144))),Variables!$B$1:$D$1,0),1))*IFERROR(IF(W144="","",(AVERAGE(E144:F144)-W144)-Variables!$B$14),"")/365)+(L144/16.67*INDEX(Variables!$B$8:$D$8,IFERROR(MATCH(IF($B144="Robusta","Robusta",(IF($B144="","Arabica",$B144))&amp;" - "&amp;(IF($C144="","Commercial",$C144))),Variables!$B$1:$D$1,0),1))*IFERROR(IF(W144="","",(AVERAGE(E144:F144)-W144)-Variables!$B$14),""))+(T144*INDEX(Variables!$B$9:$D$9,IFERROR(MATCH(IF($B144="Robusta","Robusta",(IF($B144="","Arabica",$B144))&amp;" - "&amp;(IF($C144="","Commercial",$C144))),Variables!$B$1:$D$1,0),1))*IFERROR(IF(W144="","",(AVERAGE(E144:F144)-W144)-Variables!$B$14),"")/365),""))</f>
        <v>-1254.719069190191</v>
      </c>
      <c r="AT144" s="12">
        <f>IF($H144="Cancelled","",IFERROR((T144*INDEX(Variables!$B$7:$D$7,IFERROR(MATCH(IF($B144="Robusta","Robusta",(IF($B144="","Arabica",$B144))&amp;" - "&amp;(IF($C144="","Commercial",$C144))),Variables!$B$1:$D$1,0),1))*AC144/365)+(L144/16.67*INDEX(Variables!$B$8:$D$8,IFERROR(MATCH(IF($B144="Robusta","Robusta",(IF($B144="","Arabica",$B144))&amp;" - "&amp;(IF($C144="","Commercial",$C144))),Variables!$B$1:$D$1,0),1))*AC144)+(T144*INDEX(Variables!$B$9:$D$9,IFERROR(MATCH(IF($B144="Robusta","Robusta",(IF($B144="","Arabica",$B144))&amp;" - "&amp;(IF($C144="","Commercial",$C144))),Variables!$B$1:$D$1,0),1))*AC144/365),""))</f>
        <v>-5475.1377564662889</v>
      </c>
      <c r="AU144" s="12">
        <f>IF($H144="Cancelled","",IFERROR((T144*INDEX(Variables!$B$7:$D$7,IFERROR(MATCH(IF($B144="Robusta","Robusta",(IF($B144="","Arabica",$B144))&amp;" - "&amp;(IF($C144="","Commercial",$C144))),Variables!$B$1:$D$1,0),1))*AP144/365)+(L144/16.67*INDEX(Variables!$B$8:$D$8,IFERROR(MATCH(IF($B144="Robusta","Robusta",(IF($B144="","Arabica",$B144))&amp;" - "&amp;(IF($C144="","Commercial",$C144))),Variables!$B$1:$D$1,0),1))*AP144)+(T144*INDEX(Variables!$B$9:$D$9,IFERROR(MATCH(IF($B144="Robusta","Robusta",(IF($B144="","Arabica",$B144))&amp;" - "&amp;(IF($C144="","Commercial",$C144))),Variables!$B$1:$D$1,0),1))*AP144/365),""))</f>
        <v>4030.3097373987962</v>
      </c>
      <c r="AV144" s="11">
        <f t="shared" si="15"/>
        <v>9</v>
      </c>
      <c r="AW144" s="12">
        <f>IF($H144="Cancelled","",IFERROR(IF(AV144="","",(T144*INDEX(Variables!$B$7:$D$7,IFERROR(MATCH(IF($B144="Robusta","Robusta",(IF($B144="","Arabica",$B144))&amp;" - "&amp;(IF($C144="","Commercial",$C144))),Variables!$B$1:$D$1,0),1))*(AV144/365))+(T144*INDEX(Variables!$B$9:$D$9,IFERROR(MATCH(IF($B144="Robusta","Robusta",(IF($B144="","Arabica",$B144))&amp;" - "&amp;(IF($C144="","Commercial",$C144))),Variables!$B$1:$D$1,0),1))*(AV144/365))+(INDEX(Variables!$B$8:$D$8,IFERROR(MATCH(IF($B144="Robusta","Robusta",(IF($B144="","Arabica",$B144))&amp;" - "&amp;(IF($C144="","Commercial",$C144))),Variables!$B$1:$D$1,0),1))*L144/16.67)),""))</f>
        <v>428.39221955828611</v>
      </c>
      <c r="AX144" s="9"/>
      <c r="AY144" s="12"/>
      <c r="AZ144" s="10"/>
      <c r="BA144" s="9"/>
      <c r="BB144" s="10"/>
      <c r="BC144" s="9"/>
      <c r="BD144" s="9"/>
      <c r="BE144" s="9"/>
      <c r="BF144" s="9"/>
    </row>
    <row r="145" spans="1:58" x14ac:dyDescent="0.25">
      <c r="A145" s="9" t="s">
        <v>84</v>
      </c>
      <c r="B145" s="9" t="s">
        <v>85</v>
      </c>
      <c r="C145" s="9" t="s">
        <v>86</v>
      </c>
      <c r="D145" s="10">
        <v>45429</v>
      </c>
      <c r="E145" s="10">
        <v>45444</v>
      </c>
      <c r="F145" s="10">
        <v>45503</v>
      </c>
      <c r="G145" s="9">
        <v>3786384</v>
      </c>
      <c r="H145" s="9" t="str">
        <f t="shared" si="13"/>
        <v>Closed</v>
      </c>
      <c r="I145" s="9" t="str">
        <f t="shared" si="14"/>
        <v>All dates received</v>
      </c>
      <c r="J145" s="9" t="s">
        <v>102</v>
      </c>
      <c r="K145" s="9" t="s">
        <v>457</v>
      </c>
      <c r="L145" s="11">
        <v>960</v>
      </c>
      <c r="M145" s="9" t="s">
        <v>454</v>
      </c>
      <c r="N145" s="9" t="s">
        <v>455</v>
      </c>
      <c r="O145" s="9"/>
      <c r="P145" s="9"/>
      <c r="Q145" s="11"/>
      <c r="R145" s="9" t="s">
        <v>90</v>
      </c>
      <c r="S145" s="9" t="s">
        <v>458</v>
      </c>
      <c r="T145" s="12">
        <f>IF($H145="Cancelled","",IFERROR(((Q145+INDEX(Variables!$B$6:$D$6,IFERROR(MATCH(IF($B145="Robusta","Robusta",(IF($B145="","Arabica",$B145))&amp;" - "&amp;(IF($C145="","Commercial",$C145))),Variables!$B$1:$D$1,0),1)))*22.0462)*(L145/16.67),""))</f>
        <v>369201.77334133169</v>
      </c>
      <c r="U145" s="10">
        <v>45450</v>
      </c>
      <c r="V145" s="9" t="str">
        <f t="shared" si="16"/>
        <v>Sent</v>
      </c>
      <c r="W145" s="10">
        <v>45460</v>
      </c>
      <c r="X145" s="9" t="str">
        <f t="shared" si="12"/>
        <v>Approved</v>
      </c>
      <c r="Y145" s="10"/>
      <c r="Z145" s="10">
        <f>IF($H145="Cancelled","",IFERROR(IF(F145="","",F145-Variables!$B$13),""))</f>
        <v>45488</v>
      </c>
      <c r="AA145" s="11">
        <f>IF($H145="Cancelled","",IFERROR(IF(W145="","",(AVERAGE(E145:F145)-W145)-Variables!$B$14),""))</f>
        <v>-16.5</v>
      </c>
      <c r="AB145" s="10">
        <v>45540</v>
      </c>
      <c r="AC145" s="11">
        <f>IF($H145="Cancelled","",IFERROR(IF(AB145="","",IF(AND(W145="",Y145=""),"",IF(Y145&gt;W145,Y145+Variables!$B$15+Variables!$B$16+Variables!$B$17-AB145,W145+Variables!$B$16+Variables!$B$17-AB145))),""))</f>
        <v>-72</v>
      </c>
      <c r="AD145" s="9" t="s">
        <v>151</v>
      </c>
      <c r="AE145" s="9" t="s">
        <v>459</v>
      </c>
      <c r="AF145" s="10"/>
      <c r="AG145" s="10"/>
      <c r="AH145" s="9"/>
      <c r="AI145" s="9" t="s">
        <v>460</v>
      </c>
      <c r="AJ145" s="9" t="s">
        <v>8</v>
      </c>
      <c r="AK145" s="10">
        <v>45492</v>
      </c>
      <c r="AL145" s="10">
        <v>45498</v>
      </c>
      <c r="AM145" s="10">
        <v>45513</v>
      </c>
      <c r="AN145" s="9" t="s">
        <v>95</v>
      </c>
      <c r="AO145" s="9"/>
      <c r="AP145" s="11">
        <f>IF($H145="Cancelled","",IFERROR(IF(OR(AK145="",AB145=""),"",(AB145+Variables!$B$18-AK145)),""))</f>
        <v>55</v>
      </c>
      <c r="AQ145" s="11">
        <f>IF($H145="Cancelled","",IFERROR(IF(OR(AM145="",AK145=""),"",(AK145+Variables!$B$19)-AM145),""))</f>
        <v>-16</v>
      </c>
      <c r="AR145" s="12">
        <f>IF($H145="Cancelled","",IFERROR(T145*INDEX(Variables!$B$7:$D$7,IFERROR(MATCH(IF($B145="Robusta","Robusta",(IF($B145="","Arabica",$B145))&amp;" - "&amp;(IF($C145="","Commercial",$C145))),Variables!$B$1:$D$1,0),1))*(AQ145/365),""))</f>
        <v>-1043.5920038991965</v>
      </c>
      <c r="AS145" s="12">
        <f>IF($H145="Cancelled","",IFERROR((T145*INDEX(Variables!$B$7:$D$7,IFERROR(MATCH(IF($B145="Robusta","Robusta",(IF($B145="","Arabica",$B145))&amp;" - "&amp;(IF($C145="","Commercial",$C145))),Variables!$B$1:$D$1,0),1))*IFERROR(IF(W145="","",(AVERAGE(E145:F145)-W145)-Variables!$B$14),"")/365)+(L145/16.67*INDEX(Variables!$B$8:$D$8,IFERROR(MATCH(IF($B145="Robusta","Robusta",(IF($B145="","Arabica",$B145))&amp;" - "&amp;(IF($C145="","Commercial",$C145))),Variables!$B$1:$D$1,0),1))*IFERROR(IF(W145="","",(AVERAGE(E145:F145)-W145)-Variables!$B$14),""))+(T145*INDEX(Variables!$B$9:$D$9,IFERROR(MATCH(IF($B145="Robusta","Robusta",(IF($B145="","Arabica",$B145))&amp;" - "&amp;(IF($C145="","Commercial",$C145))),Variables!$B$1:$D$1,0),1))*IFERROR(IF(W145="","",(AVERAGE(E145:F145)-W145)-Variables!$B$14),"")/365),""))</f>
        <v>-1882.0786037852868</v>
      </c>
      <c r="AT145" s="12">
        <f>IF($H145="Cancelled","",IFERROR((T145*INDEX(Variables!$B$7:$D$7,IFERROR(MATCH(IF($B145="Robusta","Robusta",(IF($B145="","Arabica",$B145))&amp;" - "&amp;(IF($C145="","Commercial",$C145))),Variables!$B$1:$D$1,0),1))*AC145/365)+(L145/16.67*INDEX(Variables!$B$8:$D$8,IFERROR(MATCH(IF($B145="Robusta","Robusta",(IF($B145="","Arabica",$B145))&amp;" - "&amp;(IF($C145="","Commercial",$C145))),Variables!$B$1:$D$1,0),1))*AC145)+(T145*INDEX(Variables!$B$9:$D$9,IFERROR(MATCH(IF($B145="Robusta","Robusta",(IF($B145="","Arabica",$B145))&amp;" - "&amp;(IF($C145="","Commercial",$C145))),Variables!$B$1:$D$1,0),1))*AC145/365),""))</f>
        <v>-8212.7066346994325</v>
      </c>
      <c r="AU145" s="12">
        <f>IF($H145="Cancelled","",IFERROR((T145*INDEX(Variables!$B$7:$D$7,IFERROR(MATCH(IF($B145="Robusta","Robusta",(IF($B145="","Arabica",$B145))&amp;" - "&amp;(IF($C145="","Commercial",$C145))),Variables!$B$1:$D$1,0),1))*AP145/365)+(L145/16.67*INDEX(Variables!$B$8:$D$8,IFERROR(MATCH(IF($B145="Robusta","Robusta",(IF($B145="","Arabica",$B145))&amp;" - "&amp;(IF($C145="","Commercial",$C145))),Variables!$B$1:$D$1,0),1))*AP145)+(T145*INDEX(Variables!$B$9:$D$9,IFERROR(MATCH(IF($B145="Robusta","Robusta",(IF($B145="","Arabica",$B145))&amp;" - "&amp;(IF($C145="","Commercial",$C145))),Variables!$B$1:$D$1,0),1))*AP145/365),""))</f>
        <v>6273.5953459509556</v>
      </c>
      <c r="AV145" s="11">
        <f t="shared" si="15"/>
        <v>11</v>
      </c>
      <c r="AW145" s="12">
        <f>IF($H145="Cancelled","",IFERROR(IF(AV145="","",(T145*INDEX(Variables!$B$7:$D$7,IFERROR(MATCH(IF($B145="Robusta","Robusta",(IF($B145="","Arabica",$B145))&amp;" - "&amp;(IF($C145="","Commercial",$C145))),Variables!$B$1:$D$1,0),1))*(AV145/365))+(T145*INDEX(Variables!$B$9:$D$9,IFERROR(MATCH(IF($B145="Robusta","Robusta",(IF($B145="","Arabica",$B145))&amp;" - "&amp;(IF($C145="","Commercial",$C145))),Variables!$B$1:$D$1,0),1))*(AV145/365))+(INDEX(Variables!$B$8:$D$8,IFERROR(MATCH(IF($B145="Robusta","Robusta",(IF($B145="","Arabica",$B145))&amp;" - "&amp;(IF($C145="","Commercial",$C145))),Variables!$B$1:$D$1,0),1))*L145/16.67)),""))</f>
        <v>774.71906919019114</v>
      </c>
      <c r="AX145" s="9"/>
      <c r="AY145" s="12"/>
      <c r="AZ145" s="10"/>
      <c r="BA145" s="9"/>
      <c r="BB145" s="10"/>
      <c r="BC145" s="9"/>
      <c r="BD145" s="9"/>
      <c r="BE145" s="9"/>
      <c r="BF145" s="9"/>
    </row>
    <row r="146" spans="1:58" x14ac:dyDescent="0.25">
      <c r="A146" s="9" t="s">
        <v>84</v>
      </c>
      <c r="B146" s="9" t="s">
        <v>85</v>
      </c>
      <c r="C146" s="9" t="s">
        <v>86</v>
      </c>
      <c r="D146" s="10">
        <v>45429</v>
      </c>
      <c r="E146" s="10">
        <v>45444</v>
      </c>
      <c r="F146" s="10">
        <v>45503</v>
      </c>
      <c r="G146" s="9">
        <v>3786384</v>
      </c>
      <c r="H146" s="9" t="str">
        <f t="shared" si="13"/>
        <v>Closed</v>
      </c>
      <c r="I146" s="9" t="str">
        <f t="shared" si="14"/>
        <v>All dates received</v>
      </c>
      <c r="J146" s="9" t="s">
        <v>102</v>
      </c>
      <c r="K146" s="9" t="s">
        <v>461</v>
      </c>
      <c r="L146" s="11">
        <v>960</v>
      </c>
      <c r="M146" s="9" t="s">
        <v>454</v>
      </c>
      <c r="N146" s="9" t="s">
        <v>455</v>
      </c>
      <c r="O146" s="9"/>
      <c r="P146" s="9"/>
      <c r="Q146" s="11"/>
      <c r="R146" s="9" t="s">
        <v>90</v>
      </c>
      <c r="S146" s="9" t="s">
        <v>462</v>
      </c>
      <c r="T146" s="12">
        <f>IF($H146="Cancelled","",IFERROR(((Q146+INDEX(Variables!$B$6:$D$6,IFERROR(MATCH(IF($B146="Robusta","Robusta",(IF($B146="","Arabica",$B146))&amp;" - "&amp;(IF($C146="","Commercial",$C146))),Variables!$B$1:$D$1,0),1)))*22.0462)*(L146/16.67),""))</f>
        <v>369201.77334133169</v>
      </c>
      <c r="U146" s="10">
        <v>45450</v>
      </c>
      <c r="V146" s="9" t="str">
        <f t="shared" si="16"/>
        <v>Sent</v>
      </c>
      <c r="W146" s="10">
        <v>45460</v>
      </c>
      <c r="X146" s="9" t="str">
        <f t="shared" si="12"/>
        <v>Approved</v>
      </c>
      <c r="Y146" s="10"/>
      <c r="Z146" s="10">
        <f>IF($H146="Cancelled","",IFERROR(IF(F146="","",F146-Variables!$B$13),""))</f>
        <v>45488</v>
      </c>
      <c r="AA146" s="11">
        <f>IF($H146="Cancelled","",IFERROR(IF(W146="","",(AVERAGE(E146:F146)-W146)-Variables!$B$14),""))</f>
        <v>-16.5</v>
      </c>
      <c r="AB146" s="10">
        <v>45540</v>
      </c>
      <c r="AC146" s="11">
        <f>IF($H146="Cancelled","",IFERROR(IF(AB146="","",IF(AND(W146="",Y146=""),"",IF(Y146&gt;W146,Y146+Variables!$B$15+Variables!$B$16+Variables!$B$17-AB146,W146+Variables!$B$16+Variables!$B$17-AB146))),""))</f>
        <v>-72</v>
      </c>
      <c r="AD146" s="9" t="s">
        <v>163</v>
      </c>
      <c r="AE146" s="9" t="s">
        <v>463</v>
      </c>
      <c r="AF146" s="10"/>
      <c r="AG146" s="10"/>
      <c r="AH146" s="9"/>
      <c r="AI146" s="9">
        <v>241429076</v>
      </c>
      <c r="AJ146" s="9" t="s">
        <v>8</v>
      </c>
      <c r="AK146" s="10">
        <v>45491</v>
      </c>
      <c r="AL146" s="10">
        <v>45498</v>
      </c>
      <c r="AM146" s="10">
        <v>45513</v>
      </c>
      <c r="AN146" s="9" t="s">
        <v>95</v>
      </c>
      <c r="AO146" s="9"/>
      <c r="AP146" s="11">
        <f>IF($H146="Cancelled","",IFERROR(IF(OR(AK146="",AB146=""),"",(AB146+Variables!$B$18-AK146)),""))</f>
        <v>56</v>
      </c>
      <c r="AQ146" s="11">
        <f>IF($H146="Cancelled","",IFERROR(IF(OR(AM146="",AK146=""),"",(AK146+Variables!$B$19)-AM146),""))</f>
        <v>-17</v>
      </c>
      <c r="AR146" s="12">
        <f>IF($H146="Cancelled","",IFERROR(T146*INDEX(Variables!$B$7:$D$7,IFERROR(MATCH(IF($B146="Robusta","Robusta",(IF($B146="","Arabica",$B146))&amp;" - "&amp;(IF($C146="","Commercial",$C146))),Variables!$B$1:$D$1,0),1))*(AQ146/365),""))</f>
        <v>-1108.8165041428963</v>
      </c>
      <c r="AS146" s="12">
        <f>IF($H146="Cancelled","",IFERROR((T146*INDEX(Variables!$B$7:$D$7,IFERROR(MATCH(IF($B146="Robusta","Robusta",(IF($B146="","Arabica",$B146))&amp;" - "&amp;(IF($C146="","Commercial",$C146))),Variables!$B$1:$D$1,0),1))*IFERROR(IF(W146="","",(AVERAGE(E146:F146)-W146)-Variables!$B$14),"")/365)+(L146/16.67*INDEX(Variables!$B$8:$D$8,IFERROR(MATCH(IF($B146="Robusta","Robusta",(IF($B146="","Arabica",$B146))&amp;" - "&amp;(IF($C146="","Commercial",$C146))),Variables!$B$1:$D$1,0),1))*IFERROR(IF(W146="","",(AVERAGE(E146:F146)-W146)-Variables!$B$14),""))+(T146*INDEX(Variables!$B$9:$D$9,IFERROR(MATCH(IF($B146="Robusta","Robusta",(IF($B146="","Arabica",$B146))&amp;" - "&amp;(IF($C146="","Commercial",$C146))),Variables!$B$1:$D$1,0),1))*IFERROR(IF(W146="","",(AVERAGE(E146:F146)-W146)-Variables!$B$14),"")/365),""))</f>
        <v>-1882.0786037852868</v>
      </c>
      <c r="AT146" s="12">
        <f>IF($H146="Cancelled","",IFERROR((T146*INDEX(Variables!$B$7:$D$7,IFERROR(MATCH(IF($B146="Robusta","Robusta",(IF($B146="","Arabica",$B146))&amp;" - "&amp;(IF($C146="","Commercial",$C146))),Variables!$B$1:$D$1,0),1))*AC146/365)+(L146/16.67*INDEX(Variables!$B$8:$D$8,IFERROR(MATCH(IF($B146="Robusta","Robusta",(IF($B146="","Arabica",$B146))&amp;" - "&amp;(IF($C146="","Commercial",$C146))),Variables!$B$1:$D$1,0),1))*AC146)+(T146*INDEX(Variables!$B$9:$D$9,IFERROR(MATCH(IF($B146="Robusta","Robusta",(IF($B146="","Arabica",$B146))&amp;" - "&amp;(IF($C146="","Commercial",$C146))),Variables!$B$1:$D$1,0),1))*AC146/365),""))</f>
        <v>-8212.7066346994325</v>
      </c>
      <c r="AU146" s="12">
        <f>IF($H146="Cancelled","",IFERROR((T146*INDEX(Variables!$B$7:$D$7,IFERROR(MATCH(IF($B146="Robusta","Robusta",(IF($B146="","Arabica",$B146))&amp;" - "&amp;(IF($C146="","Commercial",$C146))),Variables!$B$1:$D$1,0),1))*AP146/365)+(L146/16.67*INDEX(Variables!$B$8:$D$8,IFERROR(MATCH(IF($B146="Robusta","Robusta",(IF($B146="","Arabica",$B146))&amp;" - "&amp;(IF($C146="","Commercial",$C146))),Variables!$B$1:$D$1,0),1))*AP146)+(T146*INDEX(Variables!$B$9:$D$9,IFERROR(MATCH(IF($B146="Robusta","Robusta",(IF($B146="","Arabica",$B146))&amp;" - "&amp;(IF($C146="","Commercial",$C146))),Variables!$B$1:$D$1,0),1))*AP146/365),""))</f>
        <v>6387.6607158773368</v>
      </c>
      <c r="AV146" s="11">
        <f t="shared" si="15"/>
        <v>12</v>
      </c>
      <c r="AW146" s="12">
        <f>IF($H146="Cancelled","",IFERROR(IF(AV146="","",(T146*INDEX(Variables!$B$7:$D$7,IFERROR(MATCH(IF($B146="Robusta","Robusta",(IF($B146="","Arabica",$B146))&amp;" - "&amp;(IF($C146="","Commercial",$C146))),Variables!$B$1:$D$1,0),1))*(AV146/365))+(T146*INDEX(Variables!$B$9:$D$9,IFERROR(MATCH(IF($B146="Robusta","Robusta",(IF($B146="","Arabica",$B146))&amp;" - "&amp;(IF($C146="","Commercial",$C146))),Variables!$B$1:$D$1,0),1))*(AV146/365))+(INDEX(Variables!$B$8:$D$8,IFERROR(MATCH(IF($B146="Robusta","Robusta",(IF($B146="","Arabica",$B146))&amp;" - "&amp;(IF($C146="","Commercial",$C146))),Variables!$B$1:$D$1,0),1))*L146/16.67)),""))</f>
        <v>840.784439116572</v>
      </c>
      <c r="AX146" s="9"/>
      <c r="AY146" s="12"/>
      <c r="AZ146" s="10"/>
      <c r="BA146" s="9"/>
      <c r="BB146" s="10"/>
      <c r="BC146" s="9"/>
      <c r="BD146" s="9"/>
      <c r="BE146" s="9"/>
      <c r="BF146" s="9"/>
    </row>
    <row r="147" spans="1:58" x14ac:dyDescent="0.25">
      <c r="A147" s="9" t="s">
        <v>84</v>
      </c>
      <c r="B147" s="9" t="s">
        <v>85</v>
      </c>
      <c r="C147" s="9" t="s">
        <v>86</v>
      </c>
      <c r="D147" s="10">
        <v>45429</v>
      </c>
      <c r="E147" s="10">
        <v>45444</v>
      </c>
      <c r="F147" s="10">
        <v>45503</v>
      </c>
      <c r="G147" s="9">
        <v>3786384</v>
      </c>
      <c r="H147" s="9" t="str">
        <f t="shared" si="13"/>
        <v>Closed</v>
      </c>
      <c r="I147" s="9" t="str">
        <f t="shared" si="14"/>
        <v>All dates received</v>
      </c>
      <c r="J147" s="9" t="s">
        <v>102</v>
      </c>
      <c r="K147" s="9" t="s">
        <v>464</v>
      </c>
      <c r="L147" s="11">
        <v>640</v>
      </c>
      <c r="M147" s="9" t="s">
        <v>454</v>
      </c>
      <c r="N147" s="9" t="s">
        <v>455</v>
      </c>
      <c r="O147" s="9"/>
      <c r="P147" s="9"/>
      <c r="Q147" s="11"/>
      <c r="R147" s="9" t="s">
        <v>90</v>
      </c>
      <c r="S147" s="9" t="s">
        <v>465</v>
      </c>
      <c r="T147" s="12">
        <f>IF($H147="Cancelled","",IFERROR(((Q147+INDEX(Variables!$B$6:$D$6,IFERROR(MATCH(IF($B147="Robusta","Robusta",(IF($B147="","Arabica",$B147))&amp;" - "&amp;(IF($C147="","Commercial",$C147))),Variables!$B$1:$D$1,0),1)))*22.0462)*(L147/16.67),""))</f>
        <v>246134.51556088781</v>
      </c>
      <c r="U147" s="10">
        <v>45450</v>
      </c>
      <c r="V147" s="9" t="str">
        <f t="shared" si="16"/>
        <v>Sent</v>
      </c>
      <c r="W147" s="10">
        <v>45460</v>
      </c>
      <c r="X147" s="9" t="str">
        <f t="shared" si="12"/>
        <v>Approved</v>
      </c>
      <c r="Y147" s="10"/>
      <c r="Z147" s="10">
        <f>IF($H147="Cancelled","",IFERROR(IF(F147="","",F147-Variables!$B$13),""))</f>
        <v>45488</v>
      </c>
      <c r="AA147" s="11">
        <f>IF($H147="Cancelled","",IFERROR(IF(W147="","",(AVERAGE(E147:F147)-W147)-Variables!$B$14),""))</f>
        <v>-16.5</v>
      </c>
      <c r="AB147" s="10">
        <v>45540</v>
      </c>
      <c r="AC147" s="11">
        <f>IF($H147="Cancelled","",IFERROR(IF(AB147="","",IF(AND(W147="",Y147=""),"",IF(Y147&gt;W147,Y147+Variables!$B$15+Variables!$B$16+Variables!$B$17-AB147,W147+Variables!$B$16+Variables!$B$17-AB147))),""))</f>
        <v>-72</v>
      </c>
      <c r="AD147" s="9" t="s">
        <v>151</v>
      </c>
      <c r="AE147" s="9" t="s">
        <v>466</v>
      </c>
      <c r="AF147" s="10"/>
      <c r="AG147" s="10"/>
      <c r="AH147" s="9"/>
      <c r="AI147" s="9" t="s">
        <v>467</v>
      </c>
      <c r="AJ147" s="9" t="s">
        <v>8</v>
      </c>
      <c r="AK147" s="10">
        <v>45492</v>
      </c>
      <c r="AL147" s="10">
        <v>45498</v>
      </c>
      <c r="AM147" s="10">
        <v>45513</v>
      </c>
      <c r="AN147" s="9" t="s">
        <v>95</v>
      </c>
      <c r="AO147" s="9"/>
      <c r="AP147" s="11">
        <f>IF($H147="Cancelled","",IFERROR(IF(OR(AK147="",AB147=""),"",(AB147+Variables!$B$18-AK147)),""))</f>
        <v>55</v>
      </c>
      <c r="AQ147" s="11">
        <f>IF($H147="Cancelled","",IFERROR(IF(OR(AM147="",AK147=""),"",(AK147+Variables!$B$19)-AM147),""))</f>
        <v>-16</v>
      </c>
      <c r="AR147" s="12">
        <f>IF($H147="Cancelled","",IFERROR(T147*INDEX(Variables!$B$7:$D$7,IFERROR(MATCH(IF($B147="Robusta","Robusta",(IF($B147="","Arabica",$B147))&amp;" - "&amp;(IF($C147="","Commercial",$C147))),Variables!$B$1:$D$1,0),1))*(AQ147/365),""))</f>
        <v>-695.72800259946439</v>
      </c>
      <c r="AS147" s="12">
        <f>IF($H147="Cancelled","",IFERROR((T147*INDEX(Variables!$B$7:$D$7,IFERROR(MATCH(IF($B147="Robusta","Robusta",(IF($B147="","Arabica",$B147))&amp;" - "&amp;(IF($C147="","Commercial",$C147))),Variables!$B$1:$D$1,0),1))*IFERROR(IF(W147="","",(AVERAGE(E147:F147)-W147)-Variables!$B$14),"")/365)+(L147/16.67*INDEX(Variables!$B$8:$D$8,IFERROR(MATCH(IF($B147="Robusta","Robusta",(IF($B147="","Arabica",$B147))&amp;" - "&amp;(IF($C147="","Commercial",$C147))),Variables!$B$1:$D$1,0),1))*IFERROR(IF(W147="","",(AVERAGE(E147:F147)-W147)-Variables!$B$14),""))+(T147*INDEX(Variables!$B$9:$D$9,IFERROR(MATCH(IF($B147="Robusta","Robusta",(IF($B147="","Arabica",$B147))&amp;" - "&amp;(IF($C147="","Commercial",$C147))),Variables!$B$1:$D$1,0),1))*IFERROR(IF(W147="","",(AVERAGE(E147:F147)-W147)-Variables!$B$14),"")/365),""))</f>
        <v>-1254.719069190191</v>
      </c>
      <c r="AT147" s="12">
        <f>IF($H147="Cancelled","",IFERROR((T147*INDEX(Variables!$B$7:$D$7,IFERROR(MATCH(IF($B147="Robusta","Robusta",(IF($B147="","Arabica",$B147))&amp;" - "&amp;(IF($C147="","Commercial",$C147))),Variables!$B$1:$D$1,0),1))*AC147/365)+(L147/16.67*INDEX(Variables!$B$8:$D$8,IFERROR(MATCH(IF($B147="Robusta","Robusta",(IF($B147="","Arabica",$B147))&amp;" - "&amp;(IF($C147="","Commercial",$C147))),Variables!$B$1:$D$1,0),1))*AC147)+(T147*INDEX(Variables!$B$9:$D$9,IFERROR(MATCH(IF($B147="Robusta","Robusta",(IF($B147="","Arabica",$B147))&amp;" - "&amp;(IF($C147="","Commercial",$C147))),Variables!$B$1:$D$1,0),1))*AC147/365),""))</f>
        <v>-5475.1377564662889</v>
      </c>
      <c r="AU147" s="12">
        <f>IF($H147="Cancelled","",IFERROR((T147*INDEX(Variables!$B$7:$D$7,IFERROR(MATCH(IF($B147="Robusta","Robusta",(IF($B147="","Arabica",$B147))&amp;" - "&amp;(IF($C147="","Commercial",$C147))),Variables!$B$1:$D$1,0),1))*AP147/365)+(L147/16.67*INDEX(Variables!$B$8:$D$8,IFERROR(MATCH(IF($B147="Robusta","Robusta",(IF($B147="","Arabica",$B147))&amp;" - "&amp;(IF($C147="","Commercial",$C147))),Variables!$B$1:$D$1,0),1))*AP147)+(T147*INDEX(Variables!$B$9:$D$9,IFERROR(MATCH(IF($B147="Robusta","Robusta",(IF($B147="","Arabica",$B147))&amp;" - "&amp;(IF($C147="","Commercial",$C147))),Variables!$B$1:$D$1,0),1))*AP147/365),""))</f>
        <v>4182.3968973006367</v>
      </c>
      <c r="AV147" s="11">
        <f t="shared" si="15"/>
        <v>11</v>
      </c>
      <c r="AW147" s="12">
        <f>IF($H147="Cancelled","",IFERROR(IF(AV147="","",(T147*INDEX(Variables!$B$7:$D$7,IFERROR(MATCH(IF($B147="Robusta","Robusta",(IF($B147="","Arabica",$B147))&amp;" - "&amp;(IF($C147="","Commercial",$C147))),Variables!$B$1:$D$1,0),1))*(AV147/365))+(T147*INDEX(Variables!$B$9:$D$9,IFERROR(MATCH(IF($B147="Robusta","Robusta",(IF($B147="","Arabica",$B147))&amp;" - "&amp;(IF($C147="","Commercial",$C147))),Variables!$B$1:$D$1,0),1))*(AV147/365))+(INDEX(Variables!$B$8:$D$8,IFERROR(MATCH(IF($B147="Robusta","Robusta",(IF($B147="","Arabica",$B147))&amp;" - "&amp;(IF($C147="","Commercial",$C147))),Variables!$B$1:$D$1,0),1))*L147/16.67)),""))</f>
        <v>516.47937946012746</v>
      </c>
      <c r="AX147" s="9"/>
      <c r="AY147" s="12"/>
      <c r="AZ147" s="10"/>
      <c r="BA147" s="9"/>
      <c r="BB147" s="10"/>
      <c r="BC147" s="9"/>
      <c r="BD147" s="9"/>
      <c r="BE147" s="9"/>
      <c r="BF147" s="9"/>
    </row>
    <row r="148" spans="1:58" x14ac:dyDescent="0.25">
      <c r="A148" s="9" t="s">
        <v>84</v>
      </c>
      <c r="B148" s="9" t="s">
        <v>85</v>
      </c>
      <c r="C148" s="9" t="s">
        <v>86</v>
      </c>
      <c r="D148" s="10">
        <v>45432</v>
      </c>
      <c r="E148" s="10">
        <v>45458</v>
      </c>
      <c r="F148" s="10">
        <v>45473</v>
      </c>
      <c r="G148" s="9">
        <v>3786388</v>
      </c>
      <c r="H148" s="9" t="str">
        <f t="shared" si="13"/>
        <v>Closed</v>
      </c>
      <c r="I148" s="9" t="str">
        <f t="shared" si="14"/>
        <v>All dates received</v>
      </c>
      <c r="J148" s="9" t="s">
        <v>102</v>
      </c>
      <c r="K148" s="9">
        <v>4978</v>
      </c>
      <c r="L148" s="11">
        <v>360</v>
      </c>
      <c r="M148" s="9" t="s">
        <v>468</v>
      </c>
      <c r="N148" s="9" t="s">
        <v>122</v>
      </c>
      <c r="O148" s="9"/>
      <c r="P148" s="9"/>
      <c r="Q148" s="11"/>
      <c r="R148" s="9" t="s">
        <v>90</v>
      </c>
      <c r="S148" s="9" t="s">
        <v>469</v>
      </c>
      <c r="T148" s="12">
        <f>IF($H148="Cancelled","",IFERROR(((Q148+INDEX(Variables!$B$6:$D$6,IFERROR(MATCH(IF($B148="Robusta","Robusta",(IF($B148="","Arabica",$B148))&amp;" - "&amp;(IF($C148="","Commercial",$C148))),Variables!$B$1:$D$1,0),1)))*22.0462)*(L148/16.67),""))</f>
        <v>138450.66500299939</v>
      </c>
      <c r="U148" s="10">
        <v>45436</v>
      </c>
      <c r="V148" s="9" t="str">
        <f t="shared" si="16"/>
        <v>Sent</v>
      </c>
      <c r="W148" s="10">
        <v>45448</v>
      </c>
      <c r="X148" s="9" t="str">
        <f t="shared" si="12"/>
        <v>Approved</v>
      </c>
      <c r="Y148" s="10"/>
      <c r="Z148" s="10">
        <f>IF($H148="Cancelled","",IFERROR(IF(F148="","",F148-Variables!$B$13),""))</f>
        <v>45458</v>
      </c>
      <c r="AA148" s="11">
        <f>IF($H148="Cancelled","",IFERROR(IF(W148="","",(AVERAGE(E148:F148)-W148)-Variables!$B$14),""))</f>
        <v>-12.5</v>
      </c>
      <c r="AB148" s="10">
        <v>45540</v>
      </c>
      <c r="AC148" s="11">
        <f>IF($H148="Cancelled","",IFERROR(IF(AB148="","",IF(AND(W148="",Y148=""),"",IF(Y148&gt;W148,Y148+Variables!$B$15+Variables!$B$16+Variables!$B$17-AB148,W148+Variables!$B$16+Variables!$B$17-AB148))),""))</f>
        <v>-84</v>
      </c>
      <c r="AD148" s="9" t="s">
        <v>163</v>
      </c>
      <c r="AE148" s="9" t="s">
        <v>244</v>
      </c>
      <c r="AF148" s="10"/>
      <c r="AG148" s="10"/>
      <c r="AH148" s="9"/>
      <c r="AI148" s="9">
        <v>241786022</v>
      </c>
      <c r="AJ148" s="9" t="s">
        <v>8</v>
      </c>
      <c r="AK148" s="10">
        <v>45498</v>
      </c>
      <c r="AL148" s="10">
        <v>45499</v>
      </c>
      <c r="AM148" s="10">
        <v>45518</v>
      </c>
      <c r="AN148" s="9" t="s">
        <v>95</v>
      </c>
      <c r="AO148" s="9"/>
      <c r="AP148" s="11">
        <f>IF($H148="Cancelled","",IFERROR(IF(OR(AK148="",AB148=""),"",(AB148+Variables!$B$18-AK148)),""))</f>
        <v>49</v>
      </c>
      <c r="AQ148" s="11">
        <f>IF($H148="Cancelled","",IFERROR(IF(OR(AM148="",AK148=""),"",(AK148+Variables!$B$19)-AM148),""))</f>
        <v>-15</v>
      </c>
      <c r="AR148" s="12">
        <f>IF($H148="Cancelled","",IFERROR(T148*INDEX(Variables!$B$7:$D$7,IFERROR(MATCH(IF($B148="Robusta","Robusta",(IF($B148="","Arabica",$B148))&amp;" - "&amp;(IF($C148="","Commercial",$C148))),Variables!$B$1:$D$1,0),1))*(AQ148/365),""))</f>
        <v>-366.88781387081127</v>
      </c>
      <c r="AS148" s="12">
        <f>IF($H148="Cancelled","",IFERROR((T148*INDEX(Variables!$B$7:$D$7,IFERROR(MATCH(IF($B148="Robusta","Robusta",(IF($B148="","Arabica",$B148))&amp;" - "&amp;(IF($C148="","Commercial",$C148))),Variables!$B$1:$D$1,0),1))*IFERROR(IF(W148="","",(AVERAGE(E148:F148)-W148)-Variables!$B$14),"")/365)+(L148/16.67*INDEX(Variables!$B$8:$D$8,IFERROR(MATCH(IF($B148="Robusta","Robusta",(IF($B148="","Arabica",$B148))&amp;" - "&amp;(IF($C148="","Commercial",$C148))),Variables!$B$1:$D$1,0),1))*IFERROR(IF(W148="","",(AVERAGE(E148:F148)-W148)-Variables!$B$14),""))+(T148*INDEX(Variables!$B$9:$D$9,IFERROR(MATCH(IF($B148="Robusta","Robusta",(IF($B148="","Arabica",$B148))&amp;" - "&amp;(IF($C148="","Commercial",$C148))),Variables!$B$1:$D$1,0),1))*IFERROR(IF(W148="","",(AVERAGE(E148:F148)-W148)-Variables!$B$14),"")/365),""))</f>
        <v>-534.68142152991095</v>
      </c>
      <c r="AT148" s="12">
        <f>IF($H148="Cancelled","",IFERROR((T148*INDEX(Variables!$B$7:$D$7,IFERROR(MATCH(IF($B148="Robusta","Robusta",(IF($B148="","Arabica",$B148))&amp;" - "&amp;(IF($C148="","Commercial",$C148))),Variables!$B$1:$D$1,0),1))*AC148/365)+(L148/16.67*INDEX(Variables!$B$8:$D$8,IFERROR(MATCH(IF($B148="Robusta","Robusta",(IF($B148="","Arabica",$B148))&amp;" - "&amp;(IF($C148="","Commercial",$C148))),Variables!$B$1:$D$1,0),1))*AC148)+(T148*INDEX(Variables!$B$9:$D$9,IFERROR(MATCH(IF($B148="Robusta","Robusta",(IF($B148="","Arabica",$B148))&amp;" - "&amp;(IF($C148="","Commercial",$C148))),Variables!$B$1:$D$1,0),1))*AC148/365),""))</f>
        <v>-3593.0591526810017</v>
      </c>
      <c r="AU148" s="12">
        <f>IF($H148="Cancelled","",IFERROR((T148*INDEX(Variables!$B$7:$D$7,IFERROR(MATCH(IF($B148="Robusta","Robusta",(IF($B148="","Arabica",$B148))&amp;" - "&amp;(IF($C148="","Commercial",$C148))),Variables!$B$1:$D$1,0),1))*AP148/365)+(L148/16.67*INDEX(Variables!$B$8:$D$8,IFERROR(MATCH(IF($B148="Robusta","Robusta",(IF($B148="","Arabica",$B148))&amp;" - "&amp;(IF($C148="","Commercial",$C148))),Variables!$B$1:$D$1,0),1))*AP148)+(T148*INDEX(Variables!$B$9:$D$9,IFERROR(MATCH(IF($B148="Robusta","Robusta",(IF($B148="","Arabica",$B148))&amp;" - "&amp;(IF($C148="","Commercial",$C148))),Variables!$B$1:$D$1,0),1))*AP148/365),""))</f>
        <v>2095.951172397251</v>
      </c>
      <c r="AV148" s="11">
        <f t="shared" si="15"/>
        <v>-25</v>
      </c>
      <c r="AW148" s="12">
        <f>IF($H148="Cancelled","",IFERROR(IF(AV148="","",(T148*INDEX(Variables!$B$7:$D$7,IFERROR(MATCH(IF($B148="Robusta","Robusta",(IF($B148="","Arabica",$B148))&amp;" - "&amp;(IF($C148="","Commercial",$C148))),Variables!$B$1:$D$1,0),1))*(AV148/365))+(T148*INDEX(Variables!$B$9:$D$9,IFERROR(MATCH(IF($B148="Robusta","Robusta",(IF($B148="","Arabica",$B148))&amp;" - "&amp;(IF($C148="","Commercial",$C148))),Variables!$B$1:$D$1,0),1))*(AV148/365))+(INDEX(Variables!$B$8:$D$8,IFERROR(MATCH(IF($B148="Robusta","Robusta",(IF($B148="","Arabica",$B148))&amp;" - "&amp;(IF($C148="","Commercial",$C148))),Variables!$B$1:$D$1,0),1))*L148/16.67)),""))</f>
        <v>-601.36284305982201</v>
      </c>
      <c r="AX148" s="9"/>
      <c r="AY148" s="12"/>
      <c r="AZ148" s="10"/>
      <c r="BA148" s="9"/>
      <c r="BB148" s="10"/>
      <c r="BC148" s="9"/>
      <c r="BD148" s="9"/>
      <c r="BE148" s="9"/>
      <c r="BF148" s="9"/>
    </row>
    <row r="149" spans="1:58" x14ac:dyDescent="0.25">
      <c r="A149" s="9" t="s">
        <v>84</v>
      </c>
      <c r="B149" s="9" t="s">
        <v>85</v>
      </c>
      <c r="C149" s="9" t="s">
        <v>86</v>
      </c>
      <c r="D149" s="10">
        <v>45432</v>
      </c>
      <c r="E149" s="10">
        <v>45458</v>
      </c>
      <c r="F149" s="10">
        <v>45473</v>
      </c>
      <c r="G149" s="9">
        <v>3786388</v>
      </c>
      <c r="H149" s="9" t="str">
        <f t="shared" si="13"/>
        <v>Closed</v>
      </c>
      <c r="I149" s="9" t="str">
        <f t="shared" si="14"/>
        <v>All dates received</v>
      </c>
      <c r="J149" s="9" t="s">
        <v>102</v>
      </c>
      <c r="K149" s="9">
        <v>4977</v>
      </c>
      <c r="L149" s="11">
        <v>1440</v>
      </c>
      <c r="M149" s="9" t="s">
        <v>468</v>
      </c>
      <c r="N149" s="9" t="s">
        <v>122</v>
      </c>
      <c r="O149" s="9"/>
      <c r="P149" s="9"/>
      <c r="Q149" s="11"/>
      <c r="R149" s="9" t="s">
        <v>90</v>
      </c>
      <c r="S149" s="9" t="s">
        <v>183</v>
      </c>
      <c r="T149" s="12">
        <f>IF($H149="Cancelled","",IFERROR(((Q149+INDEX(Variables!$B$6:$D$6,IFERROR(MATCH(IF($B149="Robusta","Robusta",(IF($B149="","Arabica",$B149))&amp;" - "&amp;(IF($C149="","Commercial",$C149))),Variables!$B$1:$D$1,0),1)))*22.0462)*(L149/16.67),""))</f>
        <v>553802.66001199756</v>
      </c>
      <c r="U149" s="10">
        <v>45436</v>
      </c>
      <c r="V149" s="9" t="str">
        <f t="shared" si="16"/>
        <v>Sent</v>
      </c>
      <c r="W149" s="10">
        <v>45448</v>
      </c>
      <c r="X149" s="9" t="str">
        <f t="shared" si="12"/>
        <v>Approved</v>
      </c>
      <c r="Y149" s="10"/>
      <c r="Z149" s="10">
        <f>IF($H149="Cancelled","",IFERROR(IF(F149="","",F149-Variables!$B$13),""))</f>
        <v>45458</v>
      </c>
      <c r="AA149" s="11">
        <f>IF($H149="Cancelled","",IFERROR(IF(W149="","",(AVERAGE(E149:F149)-W149)-Variables!$B$14),""))</f>
        <v>-12.5</v>
      </c>
      <c r="AB149" s="10">
        <v>45544</v>
      </c>
      <c r="AC149" s="11">
        <f>IF($H149="Cancelled","",IFERROR(IF(AB149="","",IF(AND(W149="",Y149=""),"",IF(Y149&gt;W149,Y149+Variables!$B$15+Variables!$B$16+Variables!$B$17-AB149,W149+Variables!$B$16+Variables!$B$17-AB149))),""))</f>
        <v>-88</v>
      </c>
      <c r="AD149" s="9" t="s">
        <v>151</v>
      </c>
      <c r="AE149" s="9" t="s">
        <v>470</v>
      </c>
      <c r="AF149" s="10"/>
      <c r="AG149" s="10"/>
      <c r="AH149" s="9"/>
      <c r="AI149" s="9" t="s">
        <v>471</v>
      </c>
      <c r="AJ149" s="9" t="s">
        <v>8</v>
      </c>
      <c r="AK149" s="10">
        <v>45493</v>
      </c>
      <c r="AL149" s="10">
        <v>45499</v>
      </c>
      <c r="AM149" s="10">
        <v>45504</v>
      </c>
      <c r="AN149" s="9" t="s">
        <v>95</v>
      </c>
      <c r="AO149" s="9"/>
      <c r="AP149" s="11">
        <f>IF($H149="Cancelled","",IFERROR(IF(OR(AK149="",AB149=""),"",(AB149+Variables!$B$18-AK149)),""))</f>
        <v>58</v>
      </c>
      <c r="AQ149" s="11">
        <f>IF($H149="Cancelled","",IFERROR(IF(OR(AM149="",AK149=""),"",(AK149+Variables!$B$19)-AM149),""))</f>
        <v>-6</v>
      </c>
      <c r="AR149" s="12">
        <f>IF($H149="Cancelled","",IFERROR(T149*INDEX(Variables!$B$7:$D$7,IFERROR(MATCH(IF($B149="Robusta","Robusta",(IF($B149="","Arabica",$B149))&amp;" - "&amp;(IF($C149="","Commercial",$C149))),Variables!$B$1:$D$1,0),1))*(AQ149/365),""))</f>
        <v>-587.02050219329794</v>
      </c>
      <c r="AS149" s="12">
        <f>IF($H149="Cancelled","",IFERROR((T149*INDEX(Variables!$B$7:$D$7,IFERROR(MATCH(IF($B149="Robusta","Robusta",(IF($B149="","Arabica",$B149))&amp;" - "&amp;(IF($C149="","Commercial",$C149))),Variables!$B$1:$D$1,0),1))*IFERROR(IF(W149="","",(AVERAGE(E149:F149)-W149)-Variables!$B$14),"")/365)+(L149/16.67*INDEX(Variables!$B$8:$D$8,IFERROR(MATCH(IF($B149="Robusta","Robusta",(IF($B149="","Arabica",$B149))&amp;" - "&amp;(IF($C149="","Commercial",$C149))),Variables!$B$1:$D$1,0),1))*IFERROR(IF(W149="","",(AVERAGE(E149:F149)-W149)-Variables!$B$14),""))+(T149*INDEX(Variables!$B$9:$D$9,IFERROR(MATCH(IF($B149="Robusta","Robusta",(IF($B149="","Arabica",$B149))&amp;" - "&amp;(IF($C149="","Commercial",$C149))),Variables!$B$1:$D$1,0),1))*IFERROR(IF(W149="","",(AVERAGE(E149:F149)-W149)-Variables!$B$14),"")/365),""))</f>
        <v>-2138.7256861196438</v>
      </c>
      <c r="AT149" s="12">
        <f>IF($H149="Cancelled","",IFERROR((T149*INDEX(Variables!$B$7:$D$7,IFERROR(MATCH(IF($B149="Robusta","Robusta",(IF($B149="","Arabica",$B149))&amp;" - "&amp;(IF($C149="","Commercial",$C149))),Variables!$B$1:$D$1,0),1))*AC149/365)+(L149/16.67*INDEX(Variables!$B$8:$D$8,IFERROR(MATCH(IF($B149="Robusta","Robusta",(IF($B149="","Arabica",$B149))&amp;" - "&amp;(IF($C149="","Commercial",$C149))),Variables!$B$1:$D$1,0),1))*AC149)+(T149*INDEX(Variables!$B$9:$D$9,IFERROR(MATCH(IF($B149="Robusta","Robusta",(IF($B149="","Arabica",$B149))&amp;" - "&amp;(IF($C149="","Commercial",$C149))),Variables!$B$1:$D$1,0),1))*AC149/365),""))</f>
        <v>-15056.628830282294</v>
      </c>
      <c r="AU149" s="12">
        <f>IF($H149="Cancelled","",IFERROR((T149*INDEX(Variables!$B$7:$D$7,IFERROR(MATCH(IF($B149="Robusta","Robusta",(IF($B149="","Arabica",$B149))&amp;" - "&amp;(IF($C149="","Commercial",$C149))),Variables!$B$1:$D$1,0),1))*AP149/365)+(L149/16.67*INDEX(Variables!$B$8:$D$8,IFERROR(MATCH(IF($B149="Robusta","Robusta",(IF($B149="","Arabica",$B149))&amp;" - "&amp;(IF($C149="","Commercial",$C149))),Variables!$B$1:$D$1,0),1))*AP149)+(T149*INDEX(Variables!$B$9:$D$9,IFERROR(MATCH(IF($B149="Robusta","Robusta",(IF($B149="","Arabica",$B149))&amp;" - "&amp;(IF($C149="","Commercial",$C149))),Variables!$B$1:$D$1,0),1))*AP149/365),""))</f>
        <v>9923.6871835951479</v>
      </c>
      <c r="AV149" s="11">
        <f t="shared" si="15"/>
        <v>-20</v>
      </c>
      <c r="AW149" s="12">
        <f>IF($H149="Cancelled","",IFERROR(IF(AV149="","",(T149*INDEX(Variables!$B$7:$D$7,IFERROR(MATCH(IF($B149="Robusta","Robusta",(IF($B149="","Arabica",$B149))&amp;" - "&amp;(IF($C149="","Commercial",$C149))),Variables!$B$1:$D$1,0),1))*(AV149/365))+(T149*INDEX(Variables!$B$9:$D$9,IFERROR(MATCH(IF($B149="Robusta","Robusta",(IF($B149="","Arabica",$B149))&amp;" - "&amp;(IF($C149="","Commercial",$C149))),Variables!$B$1:$D$1,0),1))*(AV149/365))+(INDEX(Variables!$B$8:$D$8,IFERROR(MATCH(IF($B149="Robusta","Robusta",(IF($B149="","Arabica",$B149))&amp;" - "&amp;(IF($C149="","Commercial",$C149))),Variables!$B$1:$D$1,0),1))*L149/16.67)),""))</f>
        <v>-1909.9610977914301</v>
      </c>
      <c r="AX149" s="9"/>
      <c r="AY149" s="12"/>
      <c r="AZ149" s="10"/>
      <c r="BA149" s="9"/>
      <c r="BB149" s="10"/>
      <c r="BC149" s="9"/>
      <c r="BD149" s="9"/>
      <c r="BE149" s="9"/>
      <c r="BF149" s="9"/>
    </row>
    <row r="150" spans="1:58" x14ac:dyDescent="0.25">
      <c r="A150" s="9" t="s">
        <v>84</v>
      </c>
      <c r="B150" s="9" t="s">
        <v>85</v>
      </c>
      <c r="C150" s="9" t="s">
        <v>86</v>
      </c>
      <c r="D150" s="10">
        <v>45432</v>
      </c>
      <c r="E150" s="10">
        <v>45458</v>
      </c>
      <c r="F150" s="10">
        <v>45473</v>
      </c>
      <c r="G150" s="9">
        <v>3786389</v>
      </c>
      <c r="H150" s="9" t="str">
        <f t="shared" si="13"/>
        <v>Closed</v>
      </c>
      <c r="I150" s="9" t="str">
        <f t="shared" si="14"/>
        <v>All dates received</v>
      </c>
      <c r="J150" s="9" t="s">
        <v>102</v>
      </c>
      <c r="K150" s="9">
        <v>4979</v>
      </c>
      <c r="L150" s="11">
        <v>720</v>
      </c>
      <c r="M150" s="9" t="s">
        <v>472</v>
      </c>
      <c r="N150" s="9" t="s">
        <v>121</v>
      </c>
      <c r="O150" s="9"/>
      <c r="P150" s="9"/>
      <c r="Q150" s="11"/>
      <c r="R150" s="9" t="s">
        <v>90</v>
      </c>
      <c r="S150" s="9" t="s">
        <v>183</v>
      </c>
      <c r="T150" s="12">
        <f>IF($H150="Cancelled","",IFERROR(((Q150+INDEX(Variables!$B$6:$D$6,IFERROR(MATCH(IF($B150="Robusta","Robusta",(IF($B150="","Arabica",$B150))&amp;" - "&amp;(IF($C150="","Commercial",$C150))),Variables!$B$1:$D$1,0),1)))*22.0462)*(L150/16.67),""))</f>
        <v>276901.33000599878</v>
      </c>
      <c r="U150" s="10">
        <v>45436</v>
      </c>
      <c r="V150" s="9" t="str">
        <f t="shared" si="16"/>
        <v>Sent</v>
      </c>
      <c r="W150" s="10">
        <v>45448</v>
      </c>
      <c r="X150" s="9" t="str">
        <f t="shared" si="12"/>
        <v>Approved</v>
      </c>
      <c r="Y150" s="10"/>
      <c r="Z150" s="10">
        <f>IF($H150="Cancelled","",IFERROR(IF(F150="","",F150-Variables!$B$13),""))</f>
        <v>45458</v>
      </c>
      <c r="AA150" s="11">
        <f>IF($H150="Cancelled","",IFERROR(IF(W150="","",(AVERAGE(E150:F150)-W150)-Variables!$B$14),""))</f>
        <v>-12.5</v>
      </c>
      <c r="AB150" s="10">
        <v>45540</v>
      </c>
      <c r="AC150" s="11">
        <f>IF($H150="Cancelled","",IFERROR(IF(AB150="","",IF(AND(W150="",Y150=""),"",IF(Y150&gt;W150,Y150+Variables!$B$15+Variables!$B$16+Variables!$B$17-AB150,W150+Variables!$B$16+Variables!$B$17-AB150))),""))</f>
        <v>-84</v>
      </c>
      <c r="AD150" s="9" t="s">
        <v>151</v>
      </c>
      <c r="AE150" s="9" t="s">
        <v>320</v>
      </c>
      <c r="AF150" s="10"/>
      <c r="AG150" s="10"/>
      <c r="AH150" s="9"/>
      <c r="AI150" s="9" t="s">
        <v>473</v>
      </c>
      <c r="AJ150" s="9" t="s">
        <v>8</v>
      </c>
      <c r="AK150" s="10">
        <v>45471</v>
      </c>
      <c r="AL150" s="10">
        <v>45483</v>
      </c>
      <c r="AM150" s="10">
        <v>45485</v>
      </c>
      <c r="AN150" s="9" t="s">
        <v>95</v>
      </c>
      <c r="AO150" s="9"/>
      <c r="AP150" s="11">
        <f>IF($H150="Cancelled","",IFERROR(IF(OR(AK150="",AB150=""),"",(AB150+Variables!$B$18-AK150)),""))</f>
        <v>76</v>
      </c>
      <c r="AQ150" s="11">
        <f>IF($H150="Cancelled","",IFERROR(IF(OR(AM150="",AK150=""),"",(AK150+Variables!$B$19)-AM150),""))</f>
        <v>-9</v>
      </c>
      <c r="AR150" s="12">
        <f>IF($H150="Cancelled","",IFERROR(T150*INDEX(Variables!$B$7:$D$7,IFERROR(MATCH(IF($B150="Robusta","Robusta",(IF($B150="","Arabica",$B150))&amp;" - "&amp;(IF($C150="","Commercial",$C150))),Variables!$B$1:$D$1,0),1))*(AQ150/365),""))</f>
        <v>-440.26537664497351</v>
      </c>
      <c r="AS150" s="12">
        <f>IF($H150="Cancelled","",IFERROR((T150*INDEX(Variables!$B$7:$D$7,IFERROR(MATCH(IF($B150="Robusta","Robusta",(IF($B150="","Arabica",$B150))&amp;" - "&amp;(IF($C150="","Commercial",$C150))),Variables!$B$1:$D$1,0),1))*IFERROR(IF(W150="","",(AVERAGE(E150:F150)-W150)-Variables!$B$14),"")/365)+(L150/16.67*INDEX(Variables!$B$8:$D$8,IFERROR(MATCH(IF($B150="Robusta","Robusta",(IF($B150="","Arabica",$B150))&amp;" - "&amp;(IF($C150="","Commercial",$C150))),Variables!$B$1:$D$1,0),1))*IFERROR(IF(W150="","",(AVERAGE(E150:F150)-W150)-Variables!$B$14),""))+(T150*INDEX(Variables!$B$9:$D$9,IFERROR(MATCH(IF($B150="Robusta","Robusta",(IF($B150="","Arabica",$B150))&amp;" - "&amp;(IF($C150="","Commercial",$C150))),Variables!$B$1:$D$1,0),1))*IFERROR(IF(W150="","",(AVERAGE(E150:F150)-W150)-Variables!$B$14),"")/365),""))</f>
        <v>-1069.3628430598219</v>
      </c>
      <c r="AT150" s="12">
        <f>IF($H150="Cancelled","",IFERROR((T150*INDEX(Variables!$B$7:$D$7,IFERROR(MATCH(IF($B150="Robusta","Robusta",(IF($B150="","Arabica",$B150))&amp;" - "&amp;(IF($C150="","Commercial",$C150))),Variables!$B$1:$D$1,0),1))*AC150/365)+(L150/16.67*INDEX(Variables!$B$8:$D$8,IFERROR(MATCH(IF($B150="Robusta","Robusta",(IF($B150="","Arabica",$B150))&amp;" - "&amp;(IF($C150="","Commercial",$C150))),Variables!$B$1:$D$1,0),1))*AC150)+(T150*INDEX(Variables!$B$9:$D$9,IFERROR(MATCH(IF($B150="Robusta","Robusta",(IF($B150="","Arabica",$B150))&amp;" - "&amp;(IF($C150="","Commercial",$C150))),Variables!$B$1:$D$1,0),1))*AC150/365),""))</f>
        <v>-7186.1183053620034</v>
      </c>
      <c r="AU150" s="12">
        <f>IF($H150="Cancelled","",IFERROR((T150*INDEX(Variables!$B$7:$D$7,IFERROR(MATCH(IF($B150="Robusta","Robusta",(IF($B150="","Arabica",$B150))&amp;" - "&amp;(IF($C150="","Commercial",$C150))),Variables!$B$1:$D$1,0),1))*AP150/365)+(L150/16.67*INDEX(Variables!$B$8:$D$8,IFERROR(MATCH(IF($B150="Robusta","Robusta",(IF($B150="","Arabica",$B150))&amp;" - "&amp;(IF($C150="","Commercial",$C150))),Variables!$B$1:$D$1,0),1))*AP150)+(T150*INDEX(Variables!$B$9:$D$9,IFERROR(MATCH(IF($B150="Robusta","Robusta",(IF($B150="","Arabica",$B150))&amp;" - "&amp;(IF($C150="","Commercial",$C150))),Variables!$B$1:$D$1,0),1))*AP150/365),""))</f>
        <v>6501.726085803718</v>
      </c>
      <c r="AV150" s="11">
        <f t="shared" si="15"/>
        <v>2</v>
      </c>
      <c r="AW150" s="12">
        <f>IF($H150="Cancelled","",IFERROR(IF(AV150="","",(T150*INDEX(Variables!$B$7:$D$7,IFERROR(MATCH(IF($B150="Robusta","Robusta",(IF($B150="","Arabica",$B150))&amp;" - "&amp;(IF($C150="","Commercial",$C150))),Variables!$B$1:$D$1,0),1))*(AV150/365))+(T150*INDEX(Variables!$B$9:$D$9,IFERROR(MATCH(IF($B150="Robusta","Robusta",(IF($B150="","Arabica",$B150))&amp;" - "&amp;(IF($C150="","Commercial",$C150))),Variables!$B$1:$D$1,0),1))*(AV150/365))+(INDEX(Variables!$B$8:$D$8,IFERROR(MATCH(IF($B150="Robusta","Robusta",(IF($B150="","Arabica",$B150))&amp;" - "&amp;(IF($C150="","Commercial",$C150))),Variables!$B$1:$D$1,0),1))*L150/16.67)),""))</f>
        <v>135.09805488957153</v>
      </c>
      <c r="AX150" s="9"/>
      <c r="AY150" s="12"/>
      <c r="AZ150" s="10"/>
      <c r="BA150" s="9"/>
      <c r="BB150" s="10"/>
      <c r="BC150" s="9"/>
      <c r="BD150" s="9"/>
      <c r="BE150" s="9"/>
      <c r="BF150" s="9"/>
    </row>
    <row r="151" spans="1:58" x14ac:dyDescent="0.25">
      <c r="A151" s="9" t="s">
        <v>84</v>
      </c>
      <c r="B151" s="9" t="s">
        <v>85</v>
      </c>
      <c r="C151" s="9" t="s">
        <v>86</v>
      </c>
      <c r="D151" s="10">
        <v>45432</v>
      </c>
      <c r="E151" s="10">
        <v>45474</v>
      </c>
      <c r="F151" s="10">
        <v>45504</v>
      </c>
      <c r="G151" s="9">
        <v>3786385</v>
      </c>
      <c r="H151" s="9" t="str">
        <f t="shared" si="13"/>
        <v>Closed</v>
      </c>
      <c r="I151" s="9" t="str">
        <f t="shared" si="14"/>
        <v>All dates received</v>
      </c>
      <c r="J151" s="9" t="s">
        <v>102</v>
      </c>
      <c r="K151" s="9">
        <v>5014</v>
      </c>
      <c r="L151" s="11">
        <v>1440</v>
      </c>
      <c r="M151" s="9" t="s">
        <v>474</v>
      </c>
      <c r="N151" s="9" t="s">
        <v>161</v>
      </c>
      <c r="O151" s="9"/>
      <c r="P151" s="9"/>
      <c r="Q151" s="11"/>
      <c r="R151" s="9" t="s">
        <v>90</v>
      </c>
      <c r="S151" s="9" t="s">
        <v>162</v>
      </c>
      <c r="T151" s="12">
        <f>IF($H151="Cancelled","",IFERROR(((Q151+INDEX(Variables!$B$6:$D$6,IFERROR(MATCH(IF($B151="Robusta","Robusta",(IF($B151="","Arabica",$B151))&amp;" - "&amp;(IF($C151="","Commercial",$C151))),Variables!$B$1:$D$1,0),1)))*22.0462)*(L151/16.67),""))</f>
        <v>553802.66001199756</v>
      </c>
      <c r="U151" s="10">
        <v>45443</v>
      </c>
      <c r="V151" s="9" t="str">
        <f t="shared" si="16"/>
        <v>Sent</v>
      </c>
      <c r="W151" s="10">
        <v>45454</v>
      </c>
      <c r="X151" s="9" t="str">
        <f t="shared" si="12"/>
        <v>Approved</v>
      </c>
      <c r="Y151" s="10"/>
      <c r="Z151" s="10">
        <f>IF($H151="Cancelled","",IFERROR(IF(F151="","",F151-Variables!$B$13),""))</f>
        <v>45489</v>
      </c>
      <c r="AA151" s="11">
        <f>IF($H151="Cancelled","",IFERROR(IF(W151="","",(AVERAGE(E151:F151)-W151)-Variables!$B$14),""))</f>
        <v>5</v>
      </c>
      <c r="AB151" s="10">
        <v>45545</v>
      </c>
      <c r="AC151" s="11">
        <f>IF($H151="Cancelled","",IFERROR(IF(AB151="","",IF(AND(W151="",Y151=""),"",IF(Y151&gt;W151,Y151+Variables!$B$15+Variables!$B$16+Variables!$B$17-AB151,W151+Variables!$B$16+Variables!$B$17-AB151))),""))</f>
        <v>-83</v>
      </c>
      <c r="AD151" s="9" t="s">
        <v>107</v>
      </c>
      <c r="AE151" s="9" t="s">
        <v>411</v>
      </c>
      <c r="AF151" s="10"/>
      <c r="AG151" s="10"/>
      <c r="AH151" s="9"/>
      <c r="AI151" s="9" t="s">
        <v>475</v>
      </c>
      <c r="AJ151" s="9" t="s">
        <v>8</v>
      </c>
      <c r="AK151" s="10">
        <v>45496</v>
      </c>
      <c r="AL151" s="10">
        <v>45506</v>
      </c>
      <c r="AM151" s="10">
        <v>45506</v>
      </c>
      <c r="AN151" s="9" t="s">
        <v>95</v>
      </c>
      <c r="AO151" s="9"/>
      <c r="AP151" s="11">
        <f>IF($H151="Cancelled","",IFERROR(IF(OR(AK151="",AB151=""),"",(AB151+Variables!$B$18-AK151)),""))</f>
        <v>56</v>
      </c>
      <c r="AQ151" s="11">
        <f>IF($H151="Cancelled","",IFERROR(IF(OR(AM151="",AK151=""),"",(AK151+Variables!$B$19)-AM151),""))</f>
        <v>-5</v>
      </c>
      <c r="AR151" s="12">
        <f>IF($H151="Cancelled","",IFERROR(T151*INDEX(Variables!$B$7:$D$7,IFERROR(MATCH(IF($B151="Robusta","Robusta",(IF($B151="","Arabica",$B151))&amp;" - "&amp;(IF($C151="","Commercial",$C151))),Variables!$B$1:$D$1,0),1))*(AQ151/365),""))</f>
        <v>-489.18375182774832</v>
      </c>
      <c r="AS151" s="12">
        <f>IF($H151="Cancelled","",IFERROR((T151*INDEX(Variables!$B$7:$D$7,IFERROR(MATCH(IF($B151="Robusta","Robusta",(IF($B151="","Arabica",$B151))&amp;" - "&amp;(IF($C151="","Commercial",$C151))),Variables!$B$1:$D$1,0),1))*IFERROR(IF(W151="","",(AVERAGE(E151:F151)-W151)-Variables!$B$14),"")/365)+(L151/16.67*INDEX(Variables!$B$8:$D$8,IFERROR(MATCH(IF($B151="Robusta","Robusta",(IF($B151="","Arabica",$B151))&amp;" - "&amp;(IF($C151="","Commercial",$C151))),Variables!$B$1:$D$1,0),1))*IFERROR(IF(W151="","",(AVERAGE(E151:F151)-W151)-Variables!$B$14),""))+(T151*INDEX(Variables!$B$9:$D$9,IFERROR(MATCH(IF($B151="Robusta","Robusta",(IF($B151="","Arabica",$B151))&amp;" - "&amp;(IF($C151="","Commercial",$C151))),Variables!$B$1:$D$1,0),1))*IFERROR(IF(W151="","",(AVERAGE(E151:F151)-W151)-Variables!$B$14),"")/365),""))</f>
        <v>855.4902744478577</v>
      </c>
      <c r="AT151" s="12">
        <f>IF($H151="Cancelled","",IFERROR((T151*INDEX(Variables!$B$7:$D$7,IFERROR(MATCH(IF($B151="Robusta","Robusta",(IF($B151="","Arabica",$B151))&amp;" - "&amp;(IF($C151="","Commercial",$C151))),Variables!$B$1:$D$1,0),1))*AC151/365)+(L151/16.67*INDEX(Variables!$B$8:$D$8,IFERROR(MATCH(IF($B151="Robusta","Robusta",(IF($B151="","Arabica",$B151))&amp;" - "&amp;(IF($C151="","Commercial",$C151))),Variables!$B$1:$D$1,0),1))*AC151)+(T151*INDEX(Variables!$B$9:$D$9,IFERROR(MATCH(IF($B151="Robusta","Robusta",(IF($B151="","Arabica",$B151))&amp;" - "&amp;(IF($C151="","Commercial",$C151))),Variables!$B$1:$D$1,0),1))*AC151/365),""))</f>
        <v>-14201.138555834437</v>
      </c>
      <c r="AU151" s="12">
        <f>IF($H151="Cancelled","",IFERROR((T151*INDEX(Variables!$B$7:$D$7,IFERROR(MATCH(IF($B151="Robusta","Robusta",(IF($B151="","Arabica",$B151))&amp;" - "&amp;(IF($C151="","Commercial",$C151))),Variables!$B$1:$D$1,0),1))*AP151/365)+(L151/16.67*INDEX(Variables!$B$8:$D$8,IFERROR(MATCH(IF($B151="Robusta","Robusta",(IF($B151="","Arabica",$B151))&amp;" - "&amp;(IF($C151="","Commercial",$C151))),Variables!$B$1:$D$1,0),1))*AP151)+(T151*INDEX(Variables!$B$9:$D$9,IFERROR(MATCH(IF($B151="Robusta","Robusta",(IF($B151="","Arabica",$B151))&amp;" - "&amp;(IF($C151="","Commercial",$C151))),Variables!$B$1:$D$1,0),1))*AP151/365),""))</f>
        <v>9581.491073816007</v>
      </c>
      <c r="AV151" s="11">
        <f t="shared" si="15"/>
        <v>8</v>
      </c>
      <c r="AW151" s="12">
        <f>IF($H151="Cancelled","",IFERROR(IF(AV151="","",(T151*INDEX(Variables!$B$7:$D$7,IFERROR(MATCH(IF($B151="Robusta","Robusta",(IF($B151="","Arabica",$B151))&amp;" - "&amp;(IF($C151="","Commercial",$C151))),Variables!$B$1:$D$1,0),1))*(AV151/365))+(T151*INDEX(Variables!$B$9:$D$9,IFERROR(MATCH(IF($B151="Robusta","Robusta",(IF($B151="","Arabica",$B151))&amp;" - "&amp;(IF($C151="","Commercial",$C151))),Variables!$B$1:$D$1,0),1))*(AV151/365))+(INDEX(Variables!$B$8:$D$8,IFERROR(MATCH(IF($B151="Robusta","Robusta",(IF($B151="","Arabica",$B151))&amp;" - "&amp;(IF($C151="","Commercial",$C151))),Variables!$B$1:$D$1,0),1))*L151/16.67)),""))</f>
        <v>864.78443911657223</v>
      </c>
      <c r="AX151" s="9"/>
      <c r="AY151" s="12"/>
      <c r="AZ151" s="10"/>
      <c r="BA151" s="9"/>
      <c r="BB151" s="10"/>
      <c r="BC151" s="9"/>
      <c r="BD151" s="9"/>
      <c r="BE151" s="9"/>
      <c r="BF151" s="9"/>
    </row>
    <row r="152" spans="1:58" x14ac:dyDescent="0.25">
      <c r="A152" s="9" t="s">
        <v>84</v>
      </c>
      <c r="B152" s="9" t="s">
        <v>85</v>
      </c>
      <c r="C152" s="9" t="s">
        <v>86</v>
      </c>
      <c r="D152" s="10">
        <v>45432</v>
      </c>
      <c r="E152" s="10">
        <v>45505</v>
      </c>
      <c r="F152" s="10">
        <v>45535</v>
      </c>
      <c r="G152" s="9">
        <v>3786386</v>
      </c>
      <c r="H152" s="9" t="str">
        <f t="shared" si="13"/>
        <v>Closed</v>
      </c>
      <c r="I152" s="9" t="str">
        <f t="shared" si="14"/>
        <v>All dates received</v>
      </c>
      <c r="J152" s="9" t="s">
        <v>102</v>
      </c>
      <c r="K152" s="9" t="s">
        <v>476</v>
      </c>
      <c r="L152" s="11">
        <v>720</v>
      </c>
      <c r="M152" s="9" t="s">
        <v>474</v>
      </c>
      <c r="N152" s="9" t="s">
        <v>161</v>
      </c>
      <c r="O152" s="9"/>
      <c r="P152" s="9"/>
      <c r="Q152" s="11"/>
      <c r="R152" s="9" t="s">
        <v>90</v>
      </c>
      <c r="S152" s="9" t="s">
        <v>183</v>
      </c>
      <c r="T152" s="12">
        <f>IF($H152="Cancelled","",IFERROR(((Q152+INDEX(Variables!$B$6:$D$6,IFERROR(MATCH(IF($B152="Robusta","Robusta",(IF($B152="","Arabica",$B152))&amp;" - "&amp;(IF($C152="","Commercial",$C152))),Variables!$B$1:$D$1,0),1)))*22.0462)*(L152/16.67),""))</f>
        <v>276901.33000599878</v>
      </c>
      <c r="U152" s="10">
        <v>45462</v>
      </c>
      <c r="V152" s="9" t="str">
        <f t="shared" si="16"/>
        <v>Sent</v>
      </c>
      <c r="W152" s="10">
        <v>45481</v>
      </c>
      <c r="X152" s="9" t="str">
        <f t="shared" si="12"/>
        <v>Approved</v>
      </c>
      <c r="Y152" s="10"/>
      <c r="Z152" s="10">
        <f>IF($H152="Cancelled","",IFERROR(IF(F152="","",F152-Variables!$B$13),""))</f>
        <v>45520</v>
      </c>
      <c r="AA152" s="11">
        <f>IF($H152="Cancelled","",IFERROR(IF(W152="","",(AVERAGE(E152:F152)-W152)-Variables!$B$14),""))</f>
        <v>9</v>
      </c>
      <c r="AB152" s="10">
        <v>45548</v>
      </c>
      <c r="AC152" s="11">
        <f>IF($H152="Cancelled","",IFERROR(IF(AB152="","",IF(AND(W152="",Y152=""),"",IF(Y152&gt;W152,Y152+Variables!$B$15+Variables!$B$16+Variables!$B$17-AB152,W152+Variables!$B$16+Variables!$B$17-AB152))),""))</f>
        <v>-59</v>
      </c>
      <c r="AD152" s="9" t="s">
        <v>165</v>
      </c>
      <c r="AE152" s="9" t="s">
        <v>477</v>
      </c>
      <c r="AF152" s="10"/>
      <c r="AG152" s="10"/>
      <c r="AH152" s="9"/>
      <c r="AI152" s="9" t="s">
        <v>478</v>
      </c>
      <c r="AJ152" s="9" t="s">
        <v>8</v>
      </c>
      <c r="AK152" s="10">
        <v>45521</v>
      </c>
      <c r="AL152" s="10">
        <v>45524</v>
      </c>
      <c r="AM152" s="10">
        <v>45527</v>
      </c>
      <c r="AN152" s="9" t="s">
        <v>95</v>
      </c>
      <c r="AO152" s="9"/>
      <c r="AP152" s="11">
        <f>IF($H152="Cancelled","",IFERROR(IF(OR(AK152="",AB152=""),"",(AB152+Variables!$B$18-AK152)),""))</f>
        <v>34</v>
      </c>
      <c r="AQ152" s="11">
        <f>IF($H152="Cancelled","",IFERROR(IF(OR(AM152="",AK152=""),"",(AK152+Variables!$B$19)-AM152),""))</f>
        <v>-1</v>
      </c>
      <c r="AR152" s="12">
        <f>IF($H152="Cancelled","",IFERROR(T152*INDEX(Variables!$B$7:$D$7,IFERROR(MATCH(IF($B152="Robusta","Robusta",(IF($B152="","Arabica",$B152))&amp;" - "&amp;(IF($C152="","Commercial",$C152))),Variables!$B$1:$D$1,0),1))*(AQ152/365),""))</f>
        <v>-48.918375182774838</v>
      </c>
      <c r="AS152" s="12">
        <f>IF($H152="Cancelled","",IFERROR((T152*INDEX(Variables!$B$7:$D$7,IFERROR(MATCH(IF($B152="Robusta","Robusta",(IF($B152="","Arabica",$B152))&amp;" - "&amp;(IF($C152="","Commercial",$C152))),Variables!$B$1:$D$1,0),1))*IFERROR(IF(W152="","",(AVERAGE(E152:F152)-W152)-Variables!$B$14),"")/365)+(L152/16.67*INDEX(Variables!$B$8:$D$8,IFERROR(MATCH(IF($B152="Robusta","Robusta",(IF($B152="","Arabica",$B152))&amp;" - "&amp;(IF($C152="","Commercial",$C152))),Variables!$B$1:$D$1,0),1))*IFERROR(IF(W152="","",(AVERAGE(E152:F152)-W152)-Variables!$B$14),""))+(T152*INDEX(Variables!$B$9:$D$9,IFERROR(MATCH(IF($B152="Robusta","Robusta",(IF($B152="","Arabica",$B152))&amp;" - "&amp;(IF($C152="","Commercial",$C152))),Variables!$B$1:$D$1,0),1))*IFERROR(IF(W152="","",(AVERAGE(E152:F152)-W152)-Variables!$B$14),"")/365),""))</f>
        <v>769.94124700307191</v>
      </c>
      <c r="AT152" s="12">
        <f>IF($H152="Cancelled","",IFERROR((T152*INDEX(Variables!$B$7:$D$7,IFERROR(MATCH(IF($B152="Robusta","Robusta",(IF($B152="","Arabica",$B152))&amp;" - "&amp;(IF($C152="","Commercial",$C152))),Variables!$B$1:$D$1,0),1))*AC152/365)+(L152/16.67*INDEX(Variables!$B$8:$D$8,IFERROR(MATCH(IF($B152="Robusta","Robusta",(IF($B152="","Arabica",$B152))&amp;" - "&amp;(IF($C152="","Commercial",$C152))),Variables!$B$1:$D$1,0),1))*AC152)+(T152*INDEX(Variables!$B$9:$D$9,IFERROR(MATCH(IF($B152="Robusta","Robusta",(IF($B152="","Arabica",$B152))&amp;" - "&amp;(IF($C152="","Commercial",$C152))),Variables!$B$1:$D$1,0),1))*AC152/365),""))</f>
        <v>-5047.3926192423605</v>
      </c>
      <c r="AU152" s="12">
        <f>IF($H152="Cancelled","",IFERROR((T152*INDEX(Variables!$B$7:$D$7,IFERROR(MATCH(IF($B152="Robusta","Robusta",(IF($B152="","Arabica",$B152))&amp;" - "&amp;(IF($C152="","Commercial",$C152))),Variables!$B$1:$D$1,0),1))*AP152/365)+(L152/16.67*INDEX(Variables!$B$8:$D$8,IFERROR(MATCH(IF($B152="Robusta","Robusta",(IF($B152="","Arabica",$B152))&amp;" - "&amp;(IF($C152="","Commercial",$C152))),Variables!$B$1:$D$1,0),1))*AP152)+(T152*INDEX(Variables!$B$9:$D$9,IFERROR(MATCH(IF($B152="Robusta","Robusta",(IF($B152="","Arabica",$B152))&amp;" - "&amp;(IF($C152="","Commercial",$C152))),Variables!$B$1:$D$1,0),1))*AP152/365),""))</f>
        <v>2908.6669331227163</v>
      </c>
      <c r="AV152" s="11">
        <f t="shared" si="15"/>
        <v>14</v>
      </c>
      <c r="AW152" s="12">
        <f>IF($H152="Cancelled","",IFERROR(IF(AV152="","",(T152*INDEX(Variables!$B$7:$D$7,IFERROR(MATCH(IF($B152="Robusta","Robusta",(IF($B152="","Arabica",$B152))&amp;" - "&amp;(IF($C152="","Commercial",$C152))),Variables!$B$1:$D$1,0),1))*(AV152/365))+(T152*INDEX(Variables!$B$9:$D$9,IFERROR(MATCH(IF($B152="Robusta","Robusta",(IF($B152="","Arabica",$B152))&amp;" - "&amp;(IF($C152="","Commercial",$C152))),Variables!$B$1:$D$1,0),1))*(AV152/365))+(INDEX(Variables!$B$8:$D$8,IFERROR(MATCH(IF($B152="Robusta","Robusta",(IF($B152="","Arabica",$B152))&amp;" - "&amp;(IF($C152="","Commercial",$C152))),Variables!$B$1:$D$1,0),1))*L152/16.67)),""))</f>
        <v>729.68638422700076</v>
      </c>
      <c r="AX152" s="9"/>
      <c r="AY152" s="12"/>
      <c r="AZ152" s="10"/>
      <c r="BA152" s="9"/>
      <c r="BB152" s="10"/>
      <c r="BC152" s="9"/>
      <c r="BD152" s="9"/>
      <c r="BE152" s="9"/>
      <c r="BF152" s="9"/>
    </row>
    <row r="153" spans="1:58" x14ac:dyDescent="0.25">
      <c r="A153" s="9" t="s">
        <v>84</v>
      </c>
      <c r="B153" s="9" t="s">
        <v>85</v>
      </c>
      <c r="C153" s="9" t="s">
        <v>86</v>
      </c>
      <c r="D153" s="10">
        <v>45432</v>
      </c>
      <c r="E153" s="10">
        <v>45505</v>
      </c>
      <c r="F153" s="10">
        <v>45535</v>
      </c>
      <c r="G153" s="9">
        <v>3786386</v>
      </c>
      <c r="H153" s="9" t="str">
        <f t="shared" si="13"/>
        <v>Closed</v>
      </c>
      <c r="I153" s="9" t="str">
        <f t="shared" si="14"/>
        <v>All dates received</v>
      </c>
      <c r="J153" s="9" t="s">
        <v>102</v>
      </c>
      <c r="K153" s="9" t="s">
        <v>479</v>
      </c>
      <c r="L153" s="11">
        <v>360</v>
      </c>
      <c r="M153" s="9" t="s">
        <v>474</v>
      </c>
      <c r="N153" s="9" t="s">
        <v>161</v>
      </c>
      <c r="O153" s="9"/>
      <c r="P153" s="9"/>
      <c r="Q153" s="11"/>
      <c r="R153" s="9" t="s">
        <v>90</v>
      </c>
      <c r="S153" s="9" t="s">
        <v>172</v>
      </c>
      <c r="T153" s="12">
        <f>IF($H153="Cancelled","",IFERROR(((Q153+INDEX(Variables!$B$6:$D$6,IFERROR(MATCH(IF($B153="Robusta","Robusta",(IF($B153="","Arabica",$B153))&amp;" - "&amp;(IF($C153="","Commercial",$C153))),Variables!$B$1:$D$1,0),1)))*22.0462)*(L153/16.67),""))</f>
        <v>138450.66500299939</v>
      </c>
      <c r="U153" s="10">
        <v>45462</v>
      </c>
      <c r="V153" s="9" t="str">
        <f t="shared" si="16"/>
        <v>Sent</v>
      </c>
      <c r="W153" s="10">
        <v>45481</v>
      </c>
      <c r="X153" s="9" t="str">
        <f t="shared" si="12"/>
        <v>Approved</v>
      </c>
      <c r="Y153" s="10"/>
      <c r="Z153" s="10">
        <f>IF($H153="Cancelled","",IFERROR(IF(F153="","",F153-Variables!$B$13),""))</f>
        <v>45520</v>
      </c>
      <c r="AA153" s="11">
        <f>IF($H153="Cancelled","",IFERROR(IF(W153="","",(AVERAGE(E153:F153)-W153)-Variables!$B$14),""))</f>
        <v>9</v>
      </c>
      <c r="AB153" s="10">
        <v>45548</v>
      </c>
      <c r="AC153" s="11">
        <f>IF($H153="Cancelled","",IFERROR(IF(AB153="","",IF(AND(W153="",Y153=""),"",IF(Y153&gt;W153,Y153+Variables!$B$15+Variables!$B$16+Variables!$B$17-AB153,W153+Variables!$B$16+Variables!$B$17-AB153))),""))</f>
        <v>-59</v>
      </c>
      <c r="AD153" s="9" t="s">
        <v>163</v>
      </c>
      <c r="AE153" s="9" t="s">
        <v>480</v>
      </c>
      <c r="AF153" s="10"/>
      <c r="AG153" s="10"/>
      <c r="AH153" s="9"/>
      <c r="AI153" s="9">
        <v>242532055</v>
      </c>
      <c r="AJ153" s="9" t="s">
        <v>8</v>
      </c>
      <c r="AK153" s="10">
        <v>45513</v>
      </c>
      <c r="AL153" s="10">
        <v>45519</v>
      </c>
      <c r="AM153" s="10">
        <v>45527</v>
      </c>
      <c r="AN153" s="9" t="s">
        <v>95</v>
      </c>
      <c r="AO153" s="9"/>
      <c r="AP153" s="11">
        <f>IF($H153="Cancelled","",IFERROR(IF(OR(AK153="",AB153=""),"",(AB153+Variables!$B$18-AK153)),""))</f>
        <v>42</v>
      </c>
      <c r="AQ153" s="11">
        <f>IF($H153="Cancelled","",IFERROR(IF(OR(AM153="",AK153=""),"",(AK153+Variables!$B$19)-AM153),""))</f>
        <v>-9</v>
      </c>
      <c r="AR153" s="12">
        <f>IF($H153="Cancelled","",IFERROR(T153*INDEX(Variables!$B$7:$D$7,IFERROR(MATCH(IF($B153="Robusta","Robusta",(IF($B153="","Arabica",$B153))&amp;" - "&amp;(IF($C153="","Commercial",$C153))),Variables!$B$1:$D$1,0),1))*(AQ153/365),""))</f>
        <v>-220.13268832248676</v>
      </c>
      <c r="AS153" s="12">
        <f>IF($H153="Cancelled","",IFERROR((T153*INDEX(Variables!$B$7:$D$7,IFERROR(MATCH(IF($B153="Robusta","Robusta",(IF($B153="","Arabica",$B153))&amp;" - "&amp;(IF($C153="","Commercial",$C153))),Variables!$B$1:$D$1,0),1))*IFERROR(IF(W153="","",(AVERAGE(E153:F153)-W153)-Variables!$B$14),"")/365)+(L153/16.67*INDEX(Variables!$B$8:$D$8,IFERROR(MATCH(IF($B153="Robusta","Robusta",(IF($B153="","Arabica",$B153))&amp;" - "&amp;(IF($C153="","Commercial",$C153))),Variables!$B$1:$D$1,0),1))*IFERROR(IF(W153="","",(AVERAGE(E153:F153)-W153)-Variables!$B$14),""))+(T153*INDEX(Variables!$B$9:$D$9,IFERROR(MATCH(IF($B153="Robusta","Robusta",(IF($B153="","Arabica",$B153))&amp;" - "&amp;(IF($C153="","Commercial",$C153))),Variables!$B$1:$D$1,0),1))*IFERROR(IF(W153="","",(AVERAGE(E153:F153)-W153)-Variables!$B$14),"")/365),""))</f>
        <v>384.97062350153595</v>
      </c>
      <c r="AT153" s="12">
        <f>IF($H153="Cancelled","",IFERROR((T153*INDEX(Variables!$B$7:$D$7,IFERROR(MATCH(IF($B153="Robusta","Robusta",(IF($B153="","Arabica",$B153))&amp;" - "&amp;(IF($C153="","Commercial",$C153))),Variables!$B$1:$D$1,0),1))*AC153/365)+(L153/16.67*INDEX(Variables!$B$8:$D$8,IFERROR(MATCH(IF($B153="Robusta","Robusta",(IF($B153="","Arabica",$B153))&amp;" - "&amp;(IF($C153="","Commercial",$C153))),Variables!$B$1:$D$1,0),1))*AC153)+(T153*INDEX(Variables!$B$9:$D$9,IFERROR(MATCH(IF($B153="Robusta","Robusta",(IF($B153="","Arabica",$B153))&amp;" - "&amp;(IF($C153="","Commercial",$C153))),Variables!$B$1:$D$1,0),1))*AC153/365),""))</f>
        <v>-2523.6963096211803</v>
      </c>
      <c r="AU153" s="12">
        <f>IF($H153="Cancelled","",IFERROR((T153*INDEX(Variables!$B$7:$D$7,IFERROR(MATCH(IF($B153="Robusta","Robusta",(IF($B153="","Arabica",$B153))&amp;" - "&amp;(IF($C153="","Commercial",$C153))),Variables!$B$1:$D$1,0),1))*AP153/365)+(L153/16.67*INDEX(Variables!$B$8:$D$8,IFERROR(MATCH(IF($B153="Robusta","Robusta",(IF($B153="","Arabica",$B153))&amp;" - "&amp;(IF($C153="","Commercial",$C153))),Variables!$B$1:$D$1,0),1))*AP153)+(T153*INDEX(Variables!$B$9:$D$9,IFERROR(MATCH(IF($B153="Robusta","Robusta",(IF($B153="","Arabica",$B153))&amp;" - "&amp;(IF($C153="","Commercial",$C153))),Variables!$B$1:$D$1,0),1))*AP153/365),""))</f>
        <v>1796.5295763405009</v>
      </c>
      <c r="AV153" s="11">
        <f t="shared" si="15"/>
        <v>22</v>
      </c>
      <c r="AW153" s="12">
        <f>IF($H153="Cancelled","",IFERROR(IF(AV153="","",(T153*INDEX(Variables!$B$7:$D$7,IFERROR(MATCH(IF($B153="Robusta","Robusta",(IF($B153="","Arabica",$B153))&amp;" - "&amp;(IF($C153="","Commercial",$C153))),Variables!$B$1:$D$1,0),1))*(AV153/365))+(T153*INDEX(Variables!$B$9:$D$9,IFERROR(MATCH(IF($B153="Robusta","Robusta",(IF($B153="","Arabica",$B153))&amp;" - "&amp;(IF($C153="","Commercial",$C153))),Variables!$B$1:$D$1,0),1))*(AV153/365))+(INDEX(Variables!$B$8:$D$8,IFERROR(MATCH(IF($B153="Robusta","Robusta",(IF($B153="","Arabica",$B153))&amp;" - "&amp;(IF($C153="","Commercial",$C153))),Variables!$B$1:$D$1,0),1))*L153/16.67)),""))</f>
        <v>563.03930189264338</v>
      </c>
      <c r="AX153" s="9"/>
      <c r="AY153" s="12"/>
      <c r="AZ153" s="10"/>
      <c r="BA153" s="9"/>
      <c r="BB153" s="10"/>
      <c r="BC153" s="9"/>
      <c r="BD153" s="9"/>
      <c r="BE153" s="9"/>
      <c r="BF153" s="9"/>
    </row>
    <row r="154" spans="1:58" x14ac:dyDescent="0.25">
      <c r="A154" s="9" t="s">
        <v>84</v>
      </c>
      <c r="B154" s="9" t="s">
        <v>85</v>
      </c>
      <c r="C154" s="9" t="s">
        <v>86</v>
      </c>
      <c r="D154" s="10">
        <v>45432</v>
      </c>
      <c r="E154" s="10">
        <v>45505</v>
      </c>
      <c r="F154" s="10">
        <v>45535</v>
      </c>
      <c r="G154" s="9">
        <v>3786386</v>
      </c>
      <c r="H154" s="9" t="str">
        <f t="shared" si="13"/>
        <v>Closed</v>
      </c>
      <c r="I154" s="9" t="str">
        <f t="shared" si="14"/>
        <v>All dates received</v>
      </c>
      <c r="J154" s="9" t="s">
        <v>102</v>
      </c>
      <c r="K154" s="9" t="s">
        <v>481</v>
      </c>
      <c r="L154" s="11">
        <v>360</v>
      </c>
      <c r="M154" s="9" t="s">
        <v>474</v>
      </c>
      <c r="N154" s="9" t="s">
        <v>161</v>
      </c>
      <c r="O154" s="9"/>
      <c r="P154" s="9"/>
      <c r="Q154" s="11"/>
      <c r="R154" s="9" t="s">
        <v>90</v>
      </c>
      <c r="S154" s="9" t="s">
        <v>178</v>
      </c>
      <c r="T154" s="12">
        <f>IF($H154="Cancelled","",IFERROR(((Q154+INDEX(Variables!$B$6:$D$6,IFERROR(MATCH(IF($B154="Robusta","Robusta",(IF($B154="","Arabica",$B154))&amp;" - "&amp;(IF($C154="","Commercial",$C154))),Variables!$B$1:$D$1,0),1)))*22.0462)*(L154/16.67),""))</f>
        <v>138450.66500299939</v>
      </c>
      <c r="U154" s="10">
        <v>45462</v>
      </c>
      <c r="V154" s="9" t="str">
        <f t="shared" si="16"/>
        <v>Sent</v>
      </c>
      <c r="W154" s="10">
        <v>45481</v>
      </c>
      <c r="X154" s="9" t="str">
        <f t="shared" si="12"/>
        <v>Approved</v>
      </c>
      <c r="Y154" s="10"/>
      <c r="Z154" s="10">
        <f>IF($H154="Cancelled","",IFERROR(IF(F154="","",F154-Variables!$B$13),""))</f>
        <v>45520</v>
      </c>
      <c r="AA154" s="11">
        <f>IF($H154="Cancelled","",IFERROR(IF(W154="","",(AVERAGE(E154:F154)-W154)-Variables!$B$14),""))</f>
        <v>9</v>
      </c>
      <c r="AB154" s="10">
        <v>45552</v>
      </c>
      <c r="AC154" s="11">
        <f>IF($H154="Cancelled","",IFERROR(IF(AB154="","",IF(AND(W154="",Y154=""),"",IF(Y154&gt;W154,Y154+Variables!$B$15+Variables!$B$16+Variables!$B$17-AB154,W154+Variables!$B$16+Variables!$B$17-AB154))),""))</f>
        <v>-63</v>
      </c>
      <c r="AD154" s="9" t="s">
        <v>163</v>
      </c>
      <c r="AE154" s="9" t="s">
        <v>480</v>
      </c>
      <c r="AF154" s="10"/>
      <c r="AG154" s="10"/>
      <c r="AH154" s="9"/>
      <c r="AI154" s="9">
        <v>242532057</v>
      </c>
      <c r="AJ154" s="9" t="s">
        <v>8</v>
      </c>
      <c r="AK154" s="10">
        <v>45513</v>
      </c>
      <c r="AL154" s="10">
        <v>45519</v>
      </c>
      <c r="AM154" s="10">
        <v>45519</v>
      </c>
      <c r="AN154" s="9" t="s">
        <v>95</v>
      </c>
      <c r="AO154" s="9"/>
      <c r="AP154" s="11">
        <f>IF($H154="Cancelled","",IFERROR(IF(OR(AK154="",AB154=""),"",(AB154+Variables!$B$18-AK154)),""))</f>
        <v>46</v>
      </c>
      <c r="AQ154" s="11">
        <f>IF($H154="Cancelled","",IFERROR(IF(OR(AM154="",AK154=""),"",(AK154+Variables!$B$19)-AM154),""))</f>
        <v>-1</v>
      </c>
      <c r="AR154" s="12">
        <f>IF($H154="Cancelled","",IFERROR(T154*INDEX(Variables!$B$7:$D$7,IFERROR(MATCH(IF($B154="Robusta","Robusta",(IF($B154="","Arabica",$B154))&amp;" - "&amp;(IF($C154="","Commercial",$C154))),Variables!$B$1:$D$1,0),1))*(AQ154/365),""))</f>
        <v>-24.459187591387419</v>
      </c>
      <c r="AS154" s="12">
        <f>IF($H154="Cancelled","",IFERROR((T154*INDEX(Variables!$B$7:$D$7,IFERROR(MATCH(IF($B154="Robusta","Robusta",(IF($B154="","Arabica",$B154))&amp;" - "&amp;(IF($C154="","Commercial",$C154))),Variables!$B$1:$D$1,0),1))*IFERROR(IF(W154="","",(AVERAGE(E154:F154)-W154)-Variables!$B$14),"")/365)+(L154/16.67*INDEX(Variables!$B$8:$D$8,IFERROR(MATCH(IF($B154="Robusta","Robusta",(IF($B154="","Arabica",$B154))&amp;" - "&amp;(IF($C154="","Commercial",$C154))),Variables!$B$1:$D$1,0),1))*IFERROR(IF(W154="","",(AVERAGE(E154:F154)-W154)-Variables!$B$14),""))+(T154*INDEX(Variables!$B$9:$D$9,IFERROR(MATCH(IF($B154="Robusta","Robusta",(IF($B154="","Arabica",$B154))&amp;" - "&amp;(IF($C154="","Commercial",$C154))),Variables!$B$1:$D$1,0),1))*IFERROR(IF(W154="","",(AVERAGE(E154:F154)-W154)-Variables!$B$14),"")/365),""))</f>
        <v>384.97062350153595</v>
      </c>
      <c r="AT154" s="12">
        <f>IF($H154="Cancelled","",IFERROR((T154*INDEX(Variables!$B$7:$D$7,IFERROR(MATCH(IF($B154="Robusta","Robusta",(IF($B154="","Arabica",$B154))&amp;" - "&amp;(IF($C154="","Commercial",$C154))),Variables!$B$1:$D$1,0),1))*AC154/365)+(L154/16.67*INDEX(Variables!$B$8:$D$8,IFERROR(MATCH(IF($B154="Robusta","Robusta",(IF($B154="","Arabica",$B154))&amp;" - "&amp;(IF($C154="","Commercial",$C154))),Variables!$B$1:$D$1,0),1))*AC154)+(T154*INDEX(Variables!$B$9:$D$9,IFERROR(MATCH(IF($B154="Robusta","Robusta",(IF($B154="","Arabica",$B154))&amp;" - "&amp;(IF($C154="","Commercial",$C154))),Variables!$B$1:$D$1,0),1))*AC154/365),""))</f>
        <v>-2694.7943645107516</v>
      </c>
      <c r="AU154" s="12">
        <f>IF($H154="Cancelled","",IFERROR((T154*INDEX(Variables!$B$7:$D$7,IFERROR(MATCH(IF($B154="Robusta","Robusta",(IF($B154="","Arabica",$B154))&amp;" - "&amp;(IF($C154="","Commercial",$C154))),Variables!$B$1:$D$1,0),1))*AP154/365)+(L154/16.67*INDEX(Variables!$B$8:$D$8,IFERROR(MATCH(IF($B154="Robusta","Robusta",(IF($B154="","Arabica",$B154))&amp;" - "&amp;(IF($C154="","Commercial",$C154))),Variables!$B$1:$D$1,0),1))*AP154)+(T154*INDEX(Variables!$B$9:$D$9,IFERROR(MATCH(IF($B154="Robusta","Robusta",(IF($B154="","Arabica",$B154))&amp;" - "&amp;(IF($C154="","Commercial",$C154))),Variables!$B$1:$D$1,0),1))*AP154/365),""))</f>
        <v>1967.6276312300727</v>
      </c>
      <c r="AV154" s="11">
        <f t="shared" si="15"/>
        <v>22</v>
      </c>
      <c r="AW154" s="12">
        <f>IF($H154="Cancelled","",IFERROR(IF(AV154="","",(T154*INDEX(Variables!$B$7:$D$7,IFERROR(MATCH(IF($B154="Robusta","Robusta",(IF($B154="","Arabica",$B154))&amp;" - "&amp;(IF($C154="","Commercial",$C154))),Variables!$B$1:$D$1,0),1))*(AV154/365))+(T154*INDEX(Variables!$B$9:$D$9,IFERROR(MATCH(IF($B154="Robusta","Robusta",(IF($B154="","Arabica",$B154))&amp;" - "&amp;(IF($C154="","Commercial",$C154))),Variables!$B$1:$D$1,0),1))*(AV154/365))+(INDEX(Variables!$B$8:$D$8,IFERROR(MATCH(IF($B154="Robusta","Robusta",(IF($B154="","Arabica",$B154))&amp;" - "&amp;(IF($C154="","Commercial",$C154))),Variables!$B$1:$D$1,0),1))*L154/16.67)),""))</f>
        <v>563.03930189264338</v>
      </c>
      <c r="AX154" s="9"/>
      <c r="AY154" s="12"/>
      <c r="AZ154" s="10"/>
      <c r="BA154" s="9"/>
      <c r="BB154" s="10"/>
      <c r="BC154" s="9"/>
      <c r="BD154" s="9"/>
      <c r="BE154" s="9"/>
      <c r="BF154" s="9"/>
    </row>
    <row r="155" spans="1:58" x14ac:dyDescent="0.25">
      <c r="A155" s="9" t="s">
        <v>84</v>
      </c>
      <c r="B155" s="9" t="s">
        <v>85</v>
      </c>
      <c r="C155" s="9" t="s">
        <v>86</v>
      </c>
      <c r="D155" s="10">
        <v>45432</v>
      </c>
      <c r="E155" s="10">
        <v>45536</v>
      </c>
      <c r="F155" s="10">
        <v>45565</v>
      </c>
      <c r="G155" s="9">
        <v>3786387</v>
      </c>
      <c r="H155" s="9" t="str">
        <f t="shared" si="13"/>
        <v>Closed</v>
      </c>
      <c r="I155" s="9" t="str">
        <f t="shared" si="14"/>
        <v>All dates received</v>
      </c>
      <c r="J155" s="9" t="s">
        <v>102</v>
      </c>
      <c r="K155" s="9" t="s">
        <v>482</v>
      </c>
      <c r="L155" s="11">
        <v>720</v>
      </c>
      <c r="M155" s="9" t="s">
        <v>474</v>
      </c>
      <c r="N155" s="9" t="s">
        <v>161</v>
      </c>
      <c r="O155" s="9"/>
      <c r="P155" s="9"/>
      <c r="Q155" s="11"/>
      <c r="R155" s="9" t="s">
        <v>90</v>
      </c>
      <c r="S155" s="9" t="s">
        <v>183</v>
      </c>
      <c r="T155" s="12">
        <f>IF($H155="Cancelled","",IFERROR(((Q155+INDEX(Variables!$B$6:$D$6,IFERROR(MATCH(IF($B155="Robusta","Robusta",(IF($B155="","Arabica",$B155))&amp;" - "&amp;(IF($C155="","Commercial",$C155))),Variables!$B$1:$D$1,0),1)))*22.0462)*(L155/16.67),""))</f>
        <v>276901.33000599878</v>
      </c>
      <c r="U155" s="10">
        <v>45506</v>
      </c>
      <c r="V155" s="9" t="str">
        <f t="shared" si="16"/>
        <v>Sent</v>
      </c>
      <c r="W155" s="10">
        <v>45525</v>
      </c>
      <c r="X155" s="9" t="str">
        <f t="shared" si="12"/>
        <v>Approved</v>
      </c>
      <c r="Y155" s="10"/>
      <c r="Z155" s="10">
        <f>IF($H155="Cancelled","",IFERROR(IF(F155="","",F155-Variables!$B$13),""))</f>
        <v>45550</v>
      </c>
      <c r="AA155" s="11">
        <f>IF($H155="Cancelled","",IFERROR(IF(W155="","",(AVERAGE(E155:F155)-W155)-Variables!$B$14),""))</f>
        <v>-4.5</v>
      </c>
      <c r="AB155" s="10">
        <v>45552</v>
      </c>
      <c r="AC155" s="11">
        <f>IF($H155="Cancelled","",IFERROR(IF(AB155="","",IF(AND(W155="",Y155=""),"",IF(Y155&gt;W155,Y155+Variables!$B$15+Variables!$B$16+Variables!$B$17-AB155,W155+Variables!$B$16+Variables!$B$17-AB155))),""))</f>
        <v>-19</v>
      </c>
      <c r="AD155" s="9" t="s">
        <v>107</v>
      </c>
      <c r="AE155" s="9" t="s">
        <v>374</v>
      </c>
      <c r="AF155" s="10"/>
      <c r="AG155" s="10"/>
      <c r="AH155" s="9"/>
      <c r="AI155" s="9" t="s">
        <v>483</v>
      </c>
      <c r="AJ155" s="9" t="s">
        <v>8</v>
      </c>
      <c r="AK155" s="10">
        <v>45542</v>
      </c>
      <c r="AL155" s="10">
        <v>45547</v>
      </c>
      <c r="AM155" s="10">
        <v>45548</v>
      </c>
      <c r="AN155" s="9" t="s">
        <v>95</v>
      </c>
      <c r="AO155" s="9"/>
      <c r="AP155" s="11">
        <f>IF($H155="Cancelled","",IFERROR(IF(OR(AK155="",AB155=""),"",(AB155+Variables!$B$18-AK155)),""))</f>
        <v>17</v>
      </c>
      <c r="AQ155" s="11">
        <f>IF($H155="Cancelled","",IFERROR(IF(OR(AM155="",AK155=""),"",(AK155+Variables!$B$19)-AM155),""))</f>
        <v>-1</v>
      </c>
      <c r="AR155" s="12">
        <f>IF($H155="Cancelled","",IFERROR(T155*INDEX(Variables!$B$7:$D$7,IFERROR(MATCH(IF($B155="Robusta","Robusta",(IF($B155="","Arabica",$B155))&amp;" - "&amp;(IF($C155="","Commercial",$C155))),Variables!$B$1:$D$1,0),1))*(AQ155/365),""))</f>
        <v>-48.918375182774838</v>
      </c>
      <c r="AS155" s="12">
        <f>IF($H155="Cancelled","",IFERROR((T155*INDEX(Variables!$B$7:$D$7,IFERROR(MATCH(IF($B155="Robusta","Robusta",(IF($B155="","Arabica",$B155))&amp;" - "&amp;(IF($C155="","Commercial",$C155))),Variables!$B$1:$D$1,0),1))*IFERROR(IF(W155="","",(AVERAGE(E155:F155)-W155)-Variables!$B$14),"")/365)+(L155/16.67*INDEX(Variables!$B$8:$D$8,IFERROR(MATCH(IF($B155="Robusta","Robusta",(IF($B155="","Arabica",$B155))&amp;" - "&amp;(IF($C155="","Commercial",$C155))),Variables!$B$1:$D$1,0),1))*IFERROR(IF(W155="","",(AVERAGE(E155:F155)-W155)-Variables!$B$14),""))+(T155*INDEX(Variables!$B$9:$D$9,IFERROR(MATCH(IF($B155="Robusta","Robusta",(IF($B155="","Arabica",$B155))&amp;" - "&amp;(IF($C155="","Commercial",$C155))),Variables!$B$1:$D$1,0),1))*IFERROR(IF(W155="","",(AVERAGE(E155:F155)-W155)-Variables!$B$14),"")/365),""))</f>
        <v>-384.97062350153595</v>
      </c>
      <c r="AT155" s="12">
        <f>IF($H155="Cancelled","",IFERROR((T155*INDEX(Variables!$B$7:$D$7,IFERROR(MATCH(IF($B155="Robusta","Robusta",(IF($B155="","Arabica",$B155))&amp;" - "&amp;(IF($C155="","Commercial",$C155))),Variables!$B$1:$D$1,0),1))*AC155/365)+(L155/16.67*INDEX(Variables!$B$8:$D$8,IFERROR(MATCH(IF($B155="Robusta","Robusta",(IF($B155="","Arabica",$B155))&amp;" - "&amp;(IF($C155="","Commercial",$C155))),Variables!$B$1:$D$1,0),1))*AC155)+(T155*INDEX(Variables!$B$9:$D$9,IFERROR(MATCH(IF($B155="Robusta","Robusta",(IF($B155="","Arabica",$B155))&amp;" - "&amp;(IF($C155="","Commercial",$C155))),Variables!$B$1:$D$1,0),1))*AC155/365),""))</f>
        <v>-1625.4315214509295</v>
      </c>
      <c r="AU155" s="12">
        <f>IF($H155="Cancelled","",IFERROR((T155*INDEX(Variables!$B$7:$D$7,IFERROR(MATCH(IF($B155="Robusta","Robusta",(IF($B155="","Arabica",$B155))&amp;" - "&amp;(IF($C155="","Commercial",$C155))),Variables!$B$1:$D$1,0),1))*AP155/365)+(L155/16.67*INDEX(Variables!$B$8:$D$8,IFERROR(MATCH(IF($B155="Robusta","Robusta",(IF($B155="","Arabica",$B155))&amp;" - "&amp;(IF($C155="","Commercial",$C155))),Variables!$B$1:$D$1,0),1))*AP155)+(T155*INDEX(Variables!$B$9:$D$9,IFERROR(MATCH(IF($B155="Robusta","Robusta",(IF($B155="","Arabica",$B155))&amp;" - "&amp;(IF($C155="","Commercial",$C155))),Variables!$B$1:$D$1,0),1))*AP155/365),""))</f>
        <v>1454.3334665613581</v>
      </c>
      <c r="AV155" s="11">
        <f t="shared" si="15"/>
        <v>23</v>
      </c>
      <c r="AW155" s="12">
        <f>IF($H155="Cancelled","",IFERROR(IF(AV155="","",(T155*INDEX(Variables!$B$7:$D$7,IFERROR(MATCH(IF($B155="Robusta","Robusta",(IF($B155="","Arabica",$B155))&amp;" - "&amp;(IF($C155="","Commercial",$C155))),Variables!$B$1:$D$1,0),1))*(AV155/365))+(T155*INDEX(Variables!$B$9:$D$9,IFERROR(MATCH(IF($B155="Robusta","Robusta",(IF($B155="","Arabica",$B155))&amp;" - "&amp;(IF($C155="","Commercial",$C155))),Variables!$B$1:$D$1,0),1))*(AV155/365))+(INDEX(Variables!$B$8:$D$8,IFERROR(MATCH(IF($B155="Robusta","Robusta",(IF($B155="","Arabica",$B155))&amp;" - "&amp;(IF($C155="","Commercial",$C155))),Variables!$B$1:$D$1,0),1))*L155/16.67)),""))</f>
        <v>1175.6276312300727</v>
      </c>
      <c r="AX155" s="9"/>
      <c r="AY155" s="12"/>
      <c r="AZ155" s="10"/>
      <c r="BA155" s="9"/>
      <c r="BB155" s="10"/>
      <c r="BC155" s="9"/>
      <c r="BD155" s="9"/>
      <c r="BE155" s="9"/>
      <c r="BF155" s="9"/>
    </row>
    <row r="156" spans="1:58" x14ac:dyDescent="0.25">
      <c r="A156" s="9" t="s">
        <v>84</v>
      </c>
      <c r="B156" s="9" t="s">
        <v>85</v>
      </c>
      <c r="C156" s="9" t="s">
        <v>86</v>
      </c>
      <c r="D156" s="10">
        <v>45432</v>
      </c>
      <c r="E156" s="10">
        <v>45536</v>
      </c>
      <c r="F156" s="10">
        <v>45565</v>
      </c>
      <c r="G156" s="9">
        <v>3786387</v>
      </c>
      <c r="H156" s="9" t="str">
        <f t="shared" si="13"/>
        <v>Closed</v>
      </c>
      <c r="I156" s="9" t="str">
        <f t="shared" si="14"/>
        <v>All dates received</v>
      </c>
      <c r="J156" s="9" t="s">
        <v>102</v>
      </c>
      <c r="K156" s="9" t="s">
        <v>484</v>
      </c>
      <c r="L156" s="11">
        <v>720</v>
      </c>
      <c r="M156" s="9" t="s">
        <v>474</v>
      </c>
      <c r="N156" s="9" t="s">
        <v>161</v>
      </c>
      <c r="O156" s="9"/>
      <c r="P156" s="9"/>
      <c r="Q156" s="11"/>
      <c r="R156" s="9" t="s">
        <v>90</v>
      </c>
      <c r="S156" s="9" t="s">
        <v>162</v>
      </c>
      <c r="T156" s="12">
        <f>IF($H156="Cancelled","",IFERROR(((Q156+INDEX(Variables!$B$6:$D$6,IFERROR(MATCH(IF($B156="Robusta","Robusta",(IF($B156="","Arabica",$B156))&amp;" - "&amp;(IF($C156="","Commercial",$C156))),Variables!$B$1:$D$1,0),1)))*22.0462)*(L156/16.67),""))</f>
        <v>276901.33000599878</v>
      </c>
      <c r="U156" s="10">
        <v>45506</v>
      </c>
      <c r="V156" s="9" t="str">
        <f t="shared" si="16"/>
        <v>Sent</v>
      </c>
      <c r="W156" s="10">
        <v>45525</v>
      </c>
      <c r="X156" s="9" t="str">
        <f t="shared" si="12"/>
        <v>Approved</v>
      </c>
      <c r="Y156" s="10"/>
      <c r="Z156" s="10">
        <f>IF($H156="Cancelled","",IFERROR(IF(F156="","",F156-Variables!$B$13),""))</f>
        <v>45550</v>
      </c>
      <c r="AA156" s="11">
        <f>IF($H156="Cancelled","",IFERROR(IF(W156="","",(AVERAGE(E156:F156)-W156)-Variables!$B$14),""))</f>
        <v>-4.5</v>
      </c>
      <c r="AB156" s="10">
        <v>45552</v>
      </c>
      <c r="AC156" s="11">
        <f>IF($H156="Cancelled","",IFERROR(IF(AB156="","",IF(AND(W156="",Y156=""),"",IF(Y156&gt;W156,Y156+Variables!$B$15+Variables!$B$16+Variables!$B$17-AB156,W156+Variables!$B$16+Variables!$B$17-AB156))),""))</f>
        <v>-19</v>
      </c>
      <c r="AD156" s="9" t="s">
        <v>163</v>
      </c>
      <c r="AE156" s="9" t="s">
        <v>480</v>
      </c>
      <c r="AF156" s="10"/>
      <c r="AG156" s="10"/>
      <c r="AH156" s="9"/>
      <c r="AI156" s="9">
        <v>243733431</v>
      </c>
      <c r="AJ156" s="9" t="s">
        <v>8</v>
      </c>
      <c r="AK156" s="10">
        <v>45539</v>
      </c>
      <c r="AL156" s="10">
        <v>45539</v>
      </c>
      <c r="AM156" s="10">
        <v>45539</v>
      </c>
      <c r="AN156" s="9" t="s">
        <v>95</v>
      </c>
      <c r="AO156" s="9"/>
      <c r="AP156" s="11">
        <f>IF($H156="Cancelled","",IFERROR(IF(OR(AK156="",AB156=""),"",(AB156+Variables!$B$18-AK156)),""))</f>
        <v>20</v>
      </c>
      <c r="AQ156" s="11">
        <f>IF($H156="Cancelled","",IFERROR(IF(OR(AM156="",AK156=""),"",(AK156+Variables!$B$19)-AM156),""))</f>
        <v>5</v>
      </c>
      <c r="AR156" s="12">
        <f>IF($H156="Cancelled","",IFERROR(T156*INDEX(Variables!$B$7:$D$7,IFERROR(MATCH(IF($B156="Robusta","Robusta",(IF($B156="","Arabica",$B156))&amp;" - "&amp;(IF($C156="","Commercial",$C156))),Variables!$B$1:$D$1,0),1))*(AQ156/365),""))</f>
        <v>244.59187591387416</v>
      </c>
      <c r="AS156" s="12">
        <f>IF($H156="Cancelled","",IFERROR((T156*INDEX(Variables!$B$7:$D$7,IFERROR(MATCH(IF($B156="Robusta","Robusta",(IF($B156="","Arabica",$B156))&amp;" - "&amp;(IF($C156="","Commercial",$C156))),Variables!$B$1:$D$1,0),1))*IFERROR(IF(W156="","",(AVERAGE(E156:F156)-W156)-Variables!$B$14),"")/365)+(L156/16.67*INDEX(Variables!$B$8:$D$8,IFERROR(MATCH(IF($B156="Robusta","Robusta",(IF($B156="","Arabica",$B156))&amp;" - "&amp;(IF($C156="","Commercial",$C156))),Variables!$B$1:$D$1,0),1))*IFERROR(IF(W156="","",(AVERAGE(E156:F156)-W156)-Variables!$B$14),""))+(T156*INDEX(Variables!$B$9:$D$9,IFERROR(MATCH(IF($B156="Robusta","Robusta",(IF($B156="","Arabica",$B156))&amp;" - "&amp;(IF($C156="","Commercial",$C156))),Variables!$B$1:$D$1,0),1))*IFERROR(IF(W156="","",(AVERAGE(E156:F156)-W156)-Variables!$B$14),"")/365),""))</f>
        <v>-384.97062350153595</v>
      </c>
      <c r="AT156" s="12">
        <f>IF($H156="Cancelled","",IFERROR((T156*INDEX(Variables!$B$7:$D$7,IFERROR(MATCH(IF($B156="Robusta","Robusta",(IF($B156="","Arabica",$B156))&amp;" - "&amp;(IF($C156="","Commercial",$C156))),Variables!$B$1:$D$1,0),1))*AC156/365)+(L156/16.67*INDEX(Variables!$B$8:$D$8,IFERROR(MATCH(IF($B156="Robusta","Robusta",(IF($B156="","Arabica",$B156))&amp;" - "&amp;(IF($C156="","Commercial",$C156))),Variables!$B$1:$D$1,0),1))*AC156)+(T156*INDEX(Variables!$B$9:$D$9,IFERROR(MATCH(IF($B156="Robusta","Robusta",(IF($B156="","Arabica",$B156))&amp;" - "&amp;(IF($C156="","Commercial",$C156))),Variables!$B$1:$D$1,0),1))*AC156/365),""))</f>
        <v>-1625.4315214509295</v>
      </c>
      <c r="AU156" s="12">
        <f>IF($H156="Cancelled","",IFERROR((T156*INDEX(Variables!$B$7:$D$7,IFERROR(MATCH(IF($B156="Robusta","Robusta",(IF($B156="","Arabica",$B156))&amp;" - "&amp;(IF($C156="","Commercial",$C156))),Variables!$B$1:$D$1,0),1))*AP156/365)+(L156/16.67*INDEX(Variables!$B$8:$D$8,IFERROR(MATCH(IF($B156="Robusta","Robusta",(IF($B156="","Arabica",$B156))&amp;" - "&amp;(IF($C156="","Commercial",$C156))),Variables!$B$1:$D$1,0),1))*AP156)+(T156*INDEX(Variables!$B$9:$D$9,IFERROR(MATCH(IF($B156="Robusta","Robusta",(IF($B156="","Arabica",$B156))&amp;" - "&amp;(IF($C156="","Commercial",$C156))),Variables!$B$1:$D$1,0),1))*AP156/365),""))</f>
        <v>1710.9805488957154</v>
      </c>
      <c r="AV156" s="11">
        <f t="shared" si="15"/>
        <v>26</v>
      </c>
      <c r="AW156" s="12">
        <f>IF($H156="Cancelled","",IFERROR(IF(AV156="","",(T156*INDEX(Variables!$B$7:$D$7,IFERROR(MATCH(IF($B156="Robusta","Robusta",(IF($B156="","Arabica",$B156))&amp;" - "&amp;(IF($C156="","Commercial",$C156))),Variables!$B$1:$D$1,0),1))*(AV156/365))+(T156*INDEX(Variables!$B$9:$D$9,IFERROR(MATCH(IF($B156="Robusta","Robusta",(IF($B156="","Arabica",$B156))&amp;" - "&amp;(IF($C156="","Commercial",$C156))),Variables!$B$1:$D$1,0),1))*(AV156/365))+(INDEX(Variables!$B$8:$D$8,IFERROR(MATCH(IF($B156="Robusta","Robusta",(IF($B156="","Arabica",$B156))&amp;" - "&amp;(IF($C156="","Commercial",$C156))),Variables!$B$1:$D$1,0),1))*L156/16.67)),""))</f>
        <v>1324.2747135644297</v>
      </c>
      <c r="AX156" s="9"/>
      <c r="AY156" s="12"/>
      <c r="AZ156" s="10"/>
      <c r="BA156" s="9"/>
      <c r="BB156" s="10"/>
      <c r="BC156" s="9"/>
      <c r="BD156" s="9"/>
      <c r="BE156" s="9"/>
      <c r="BF156" s="9"/>
    </row>
    <row r="157" spans="1:58" x14ac:dyDescent="0.25">
      <c r="A157" s="9" t="s">
        <v>84</v>
      </c>
      <c r="B157" s="9" t="s">
        <v>85</v>
      </c>
      <c r="C157" s="9" t="s">
        <v>86</v>
      </c>
      <c r="D157" s="10">
        <v>45435</v>
      </c>
      <c r="E157" s="10">
        <v>45444</v>
      </c>
      <c r="F157" s="10">
        <v>45473</v>
      </c>
      <c r="G157" s="9">
        <v>3786394</v>
      </c>
      <c r="H157" s="9" t="str">
        <f t="shared" si="13"/>
        <v>Closed</v>
      </c>
      <c r="I157" s="9" t="str">
        <f t="shared" si="14"/>
        <v>All dates received</v>
      </c>
      <c r="J157" s="9" t="s">
        <v>308</v>
      </c>
      <c r="K157" s="9">
        <v>4974</v>
      </c>
      <c r="L157" s="11">
        <v>720</v>
      </c>
      <c r="M157" s="9" t="s">
        <v>485</v>
      </c>
      <c r="N157" s="9" t="s">
        <v>122</v>
      </c>
      <c r="O157" s="9"/>
      <c r="P157" s="9"/>
      <c r="Q157" s="11"/>
      <c r="R157" s="9" t="s">
        <v>195</v>
      </c>
      <c r="S157" s="9" t="s">
        <v>106</v>
      </c>
      <c r="T157" s="12">
        <f>IF($H157="Cancelled","",IFERROR(((Q157+INDEX(Variables!$B$6:$D$6,IFERROR(MATCH(IF($B157="Robusta","Robusta",(IF($B157="","Arabica",$B157))&amp;" - "&amp;(IF($C157="","Commercial",$C157))),Variables!$B$1:$D$1,0),1)))*22.0462)*(L157/16.67),""))</f>
        <v>276901.33000599878</v>
      </c>
      <c r="U157" s="10"/>
      <c r="V157" s="9" t="s">
        <v>195</v>
      </c>
      <c r="W157" s="10">
        <v>45427</v>
      </c>
      <c r="X157" s="9" t="str">
        <f t="shared" si="12"/>
        <v>Approved</v>
      </c>
      <c r="Y157" s="10">
        <v>45545</v>
      </c>
      <c r="Z157" s="10">
        <f>IF($H157="Cancelled","",IFERROR(IF(F157="","",F157-Variables!$B$13),""))</f>
        <v>45458</v>
      </c>
      <c r="AA157" s="11">
        <f>IF($H157="Cancelled","",IFERROR(IF(W157="","",(AVERAGE(E157:F157)-W157)-Variables!$B$14),""))</f>
        <v>1.5</v>
      </c>
      <c r="AB157" s="10">
        <v>45552</v>
      </c>
      <c r="AC157" s="11">
        <f>IF($H157="Cancelled","",IFERROR(IF(AB157="","",IF(AND(W157="",Y157=""),"",IF(Y157&gt;W157,Y157+Variables!$B$15+Variables!$B$16+Variables!$B$17-AB157,W157+Variables!$B$16+Variables!$B$17-AB157))),""))</f>
        <v>8</v>
      </c>
      <c r="AD157" s="9" t="s">
        <v>165</v>
      </c>
      <c r="AE157" s="9" t="s">
        <v>364</v>
      </c>
      <c r="AF157" s="10"/>
      <c r="AG157" s="10"/>
      <c r="AH157" s="9"/>
      <c r="AI157" s="9" t="s">
        <v>486</v>
      </c>
      <c r="AJ157" s="9" t="s">
        <v>8</v>
      </c>
      <c r="AK157" s="10">
        <v>45491</v>
      </c>
      <c r="AL157" s="10">
        <v>45495</v>
      </c>
      <c r="AM157" s="10">
        <v>45512</v>
      </c>
      <c r="AN157" s="9" t="s">
        <v>95</v>
      </c>
      <c r="AO157" s="9"/>
      <c r="AP157" s="11">
        <f>IF($H157="Cancelled","",IFERROR(IF(OR(AK157="",AB157=""),"",(AB157+Variables!$B$18-AK157)),""))</f>
        <v>68</v>
      </c>
      <c r="AQ157" s="11">
        <f>IF($H157="Cancelled","",IFERROR(IF(OR(AM157="",AK157=""),"",(AK157+Variables!$B$19)-AM157),""))</f>
        <v>-16</v>
      </c>
      <c r="AR157" s="12">
        <f>IF($H157="Cancelled","",IFERROR(T157*INDEX(Variables!$B$7:$D$7,IFERROR(MATCH(IF($B157="Robusta","Robusta",(IF($B157="","Arabica",$B157))&amp;" - "&amp;(IF($C157="","Commercial",$C157))),Variables!$B$1:$D$1,0),1))*(AQ157/365),""))</f>
        <v>-782.69400292439741</v>
      </c>
      <c r="AS157" s="12">
        <f>IF($H157="Cancelled","",IFERROR((T157*INDEX(Variables!$B$7:$D$7,IFERROR(MATCH(IF($B157="Robusta","Robusta",(IF($B157="","Arabica",$B157))&amp;" - "&amp;(IF($C157="","Commercial",$C157))),Variables!$B$1:$D$1,0),1))*IFERROR(IF(W157="","",(AVERAGE(E157:F157)-W157)-Variables!$B$14),"")/365)+(L157/16.67*INDEX(Variables!$B$8:$D$8,IFERROR(MATCH(IF($B157="Robusta","Robusta",(IF($B157="","Arabica",$B157))&amp;" - "&amp;(IF($C157="","Commercial",$C157))),Variables!$B$1:$D$1,0),1))*IFERROR(IF(W157="","",(AVERAGE(E157:F157)-W157)-Variables!$B$14),""))+(T157*INDEX(Variables!$B$9:$D$9,IFERROR(MATCH(IF($B157="Robusta","Robusta",(IF($B157="","Arabica",$B157))&amp;" - "&amp;(IF($C157="","Commercial",$C157))),Variables!$B$1:$D$1,0),1))*IFERROR(IF(W157="","",(AVERAGE(E157:F157)-W157)-Variables!$B$14),"")/365),""))</f>
        <v>128.32354116717866</v>
      </c>
      <c r="AT157" s="12">
        <f>IF($H157="Cancelled","",IFERROR((T157*INDEX(Variables!$B$7:$D$7,IFERROR(MATCH(IF($B157="Robusta","Robusta",(IF($B157="","Arabica",$B157))&amp;" - "&amp;(IF($C157="","Commercial",$C157))),Variables!$B$1:$D$1,0),1))*AC157/365)+(L157/16.67*INDEX(Variables!$B$8:$D$8,IFERROR(MATCH(IF($B157="Robusta","Robusta",(IF($B157="","Arabica",$B157))&amp;" - "&amp;(IF($C157="","Commercial",$C157))),Variables!$B$1:$D$1,0),1))*AC157)+(T157*INDEX(Variables!$B$9:$D$9,IFERROR(MATCH(IF($B157="Robusta","Robusta",(IF($B157="","Arabica",$B157))&amp;" - "&amp;(IF($C157="","Commercial",$C157))),Variables!$B$1:$D$1,0),1))*AC157/365),""))</f>
        <v>684.39221955828611</v>
      </c>
      <c r="AU157" s="12">
        <f>IF($H157="Cancelled","",IFERROR((T157*INDEX(Variables!$B$7:$D$7,IFERROR(MATCH(IF($B157="Robusta","Robusta",(IF($B157="","Arabica",$B157))&amp;" - "&amp;(IF($C157="","Commercial",$C157))),Variables!$B$1:$D$1,0),1))*AP157/365)+(L157/16.67*INDEX(Variables!$B$8:$D$8,IFERROR(MATCH(IF($B157="Robusta","Robusta",(IF($B157="","Arabica",$B157))&amp;" - "&amp;(IF($C157="","Commercial",$C157))),Variables!$B$1:$D$1,0),1))*AP157)+(T157*INDEX(Variables!$B$9:$D$9,IFERROR(MATCH(IF($B157="Robusta","Robusta",(IF($B157="","Arabica",$B157))&amp;" - "&amp;(IF($C157="","Commercial",$C157))),Variables!$B$1:$D$1,0),1))*AP157/365),""))</f>
        <v>5817.3338662454325</v>
      </c>
      <c r="AV157" s="11">
        <f t="shared" si="15"/>
        <v>-18</v>
      </c>
      <c r="AW157" s="12">
        <f>IF($H157="Cancelled","",IFERROR(IF(AV157="","",(T157*INDEX(Variables!$B$7:$D$7,IFERROR(MATCH(IF($B157="Robusta","Robusta",(IF($B157="","Arabica",$B157))&amp;" - "&amp;(IF($C157="","Commercial",$C157))),Variables!$B$1:$D$1,0),1))*(AV157/365))+(T157*INDEX(Variables!$B$9:$D$9,IFERROR(MATCH(IF($B157="Robusta","Robusta",(IF($B157="","Arabica",$B157))&amp;" - "&amp;(IF($C157="","Commercial",$C157))),Variables!$B$1:$D$1,0),1))*(AV157/365))+(INDEX(Variables!$B$8:$D$8,IFERROR(MATCH(IF($B157="Robusta","Robusta",(IF($B157="","Arabica",$B157))&amp;" - "&amp;(IF($C157="","Commercial",$C157))),Variables!$B$1:$D$1,0),1))*L157/16.67)),""))</f>
        <v>-855.88249400614359</v>
      </c>
      <c r="AX157" s="9"/>
      <c r="AY157" s="12"/>
      <c r="AZ157" s="10"/>
      <c r="BA157" s="9"/>
      <c r="BB157" s="10"/>
      <c r="BC157" s="9"/>
      <c r="BD157" s="9"/>
      <c r="BE157" s="9"/>
      <c r="BF157" s="9"/>
    </row>
    <row r="158" spans="1:58" x14ac:dyDescent="0.25">
      <c r="A158" s="9" t="s">
        <v>84</v>
      </c>
      <c r="B158" s="9" t="s">
        <v>85</v>
      </c>
      <c r="C158" s="9" t="s">
        <v>86</v>
      </c>
      <c r="D158" s="10">
        <v>45435</v>
      </c>
      <c r="E158" s="10">
        <v>45536</v>
      </c>
      <c r="F158" s="10">
        <v>45565</v>
      </c>
      <c r="G158" s="9">
        <v>3786392</v>
      </c>
      <c r="H158" s="9" t="str">
        <f t="shared" si="13"/>
        <v>Closed</v>
      </c>
      <c r="I158" s="9" t="str">
        <f t="shared" si="14"/>
        <v>All dates received</v>
      </c>
      <c r="J158" s="9" t="s">
        <v>120</v>
      </c>
      <c r="K158" s="9">
        <v>5082</v>
      </c>
      <c r="L158" s="11">
        <v>840</v>
      </c>
      <c r="M158" s="9" t="s">
        <v>487</v>
      </c>
      <c r="N158" s="9" t="s">
        <v>122</v>
      </c>
      <c r="O158" s="9"/>
      <c r="P158" s="9"/>
      <c r="Q158" s="11"/>
      <c r="R158" s="9" t="s">
        <v>90</v>
      </c>
      <c r="S158" s="9" t="s">
        <v>123</v>
      </c>
      <c r="T158" s="12">
        <f>IF($H158="Cancelled","",IFERROR(((Q158+INDEX(Variables!$B$6:$D$6,IFERROR(MATCH(IF($B158="Robusta","Robusta",(IF($B158="","Arabica",$B158))&amp;" - "&amp;(IF($C158="","Commercial",$C158))),Variables!$B$1:$D$1,0),1)))*22.0462)*(L158/16.67),""))</f>
        <v>323051.55167366524</v>
      </c>
      <c r="U158" s="10">
        <v>45499</v>
      </c>
      <c r="V158" s="9" t="str">
        <f>IF(ISNUMBER(U158),"Sent","")</f>
        <v>Sent</v>
      </c>
      <c r="W158" s="10">
        <v>45526</v>
      </c>
      <c r="X158" s="9" t="str">
        <f t="shared" si="12"/>
        <v>Approved</v>
      </c>
      <c r="Y158" s="10"/>
      <c r="Z158" s="10">
        <f>IF($H158="Cancelled","",IFERROR(IF(F158="","",F158-Variables!$B$13),""))</f>
        <v>45550</v>
      </c>
      <c r="AA158" s="11">
        <f>IF($H158="Cancelled","",IFERROR(IF(W158="","",(AVERAGE(E158:F158)-W158)-Variables!$B$14),""))</f>
        <v>-5.5</v>
      </c>
      <c r="AB158" s="10">
        <v>45552</v>
      </c>
      <c r="AC158" s="11">
        <f>IF($H158="Cancelled","",IFERROR(IF(AB158="","",IF(AND(W158="",Y158=""),"",IF(Y158&gt;W158,Y158+Variables!$B$15+Variables!$B$16+Variables!$B$17-AB158,W158+Variables!$B$16+Variables!$B$17-AB158))),""))</f>
        <v>-18</v>
      </c>
      <c r="AD158" s="9" t="s">
        <v>130</v>
      </c>
      <c r="AE158" s="9" t="s">
        <v>488</v>
      </c>
      <c r="AF158" s="10"/>
      <c r="AG158" s="10"/>
      <c r="AH158" s="9"/>
      <c r="AI158" s="9" t="s">
        <v>489</v>
      </c>
      <c r="AJ158" s="9" t="s">
        <v>8</v>
      </c>
      <c r="AK158" s="10">
        <v>45567</v>
      </c>
      <c r="AL158" s="10">
        <v>45569</v>
      </c>
      <c r="AM158" s="10">
        <v>45576</v>
      </c>
      <c r="AN158" s="9" t="s">
        <v>95</v>
      </c>
      <c r="AO158" s="9"/>
      <c r="AP158" s="11">
        <f>IF($H158="Cancelled","",IFERROR(IF(OR(AK158="",AB158=""),"",(AB158+Variables!$B$18-AK158)),""))</f>
        <v>-8</v>
      </c>
      <c r="AQ158" s="11">
        <f>IF($H158="Cancelled","",IFERROR(IF(OR(AM158="",AK158=""),"",(AK158+Variables!$B$19)-AM158),""))</f>
        <v>-4</v>
      </c>
      <c r="AR158" s="12">
        <f>IF($H158="Cancelled","",IFERROR(T158*INDEX(Variables!$B$7:$D$7,IFERROR(MATCH(IF($B158="Robusta","Robusta",(IF($B158="","Arabica",$B158))&amp;" - "&amp;(IF($C158="","Commercial",$C158))),Variables!$B$1:$D$1,0),1))*(AQ158/365),""))</f>
        <v>-228.28575085294923</v>
      </c>
      <c r="AS158" s="12">
        <f>IF($H158="Cancelled","",IFERROR((T158*INDEX(Variables!$B$7:$D$7,IFERROR(MATCH(IF($B158="Robusta","Robusta",(IF($B158="","Arabica",$B158))&amp;" - "&amp;(IF($C158="","Commercial",$C158))),Variables!$B$1:$D$1,0),1))*IFERROR(IF(W158="","",(AVERAGE(E158:F158)-W158)-Variables!$B$14),"")/365)+(L158/16.67*INDEX(Variables!$B$8:$D$8,IFERROR(MATCH(IF($B158="Robusta","Robusta",(IF($B158="","Arabica",$B158))&amp;" - "&amp;(IF($C158="","Commercial",$C158))),Variables!$B$1:$D$1,0),1))*IFERROR(IF(W158="","",(AVERAGE(E158:F158)-W158)-Variables!$B$14),""))+(T158*INDEX(Variables!$B$9:$D$9,IFERROR(MATCH(IF($B158="Robusta","Robusta",(IF($B158="","Arabica",$B158))&amp;" - "&amp;(IF($C158="","Commercial",$C158))),Variables!$B$1:$D$1,0),1))*IFERROR(IF(W158="","",(AVERAGE(E158:F158)-W158)-Variables!$B$14),"")/365),""))</f>
        <v>-548.9395927707086</v>
      </c>
      <c r="AT158" s="12">
        <f>IF($H158="Cancelled","",IFERROR((T158*INDEX(Variables!$B$7:$D$7,IFERROR(MATCH(IF($B158="Robusta","Robusta",(IF($B158="","Arabica",$B158))&amp;" - "&amp;(IF($C158="","Commercial",$C158))),Variables!$B$1:$D$1,0),1))*AC158/365)+(L158/16.67*INDEX(Variables!$B$8:$D$8,IFERROR(MATCH(IF($B158="Robusta","Robusta",(IF($B158="","Arabica",$B158))&amp;" - "&amp;(IF($C158="","Commercial",$C158))),Variables!$B$1:$D$1,0),1))*AC158)+(T158*INDEX(Variables!$B$9:$D$9,IFERROR(MATCH(IF($B158="Robusta","Robusta",(IF($B158="","Arabica",$B158))&amp;" - "&amp;(IF($C158="","Commercial",$C158))),Variables!$B$1:$D$1,0),1))*AC158/365),""))</f>
        <v>-1796.5295763405009</v>
      </c>
      <c r="AU158" s="12">
        <f>IF($H158="Cancelled","",IFERROR((T158*INDEX(Variables!$B$7:$D$7,IFERROR(MATCH(IF($B158="Robusta","Robusta",(IF($B158="","Arabica",$B158))&amp;" - "&amp;(IF($C158="","Commercial",$C158))),Variables!$B$1:$D$1,0),1))*AP158/365)+(L158/16.67*INDEX(Variables!$B$8:$D$8,IFERROR(MATCH(IF($B158="Robusta","Robusta",(IF($B158="","Arabica",$B158))&amp;" - "&amp;(IF($C158="","Commercial",$C158))),Variables!$B$1:$D$1,0),1))*AP158)+(T158*INDEX(Variables!$B$9:$D$9,IFERROR(MATCH(IF($B158="Robusta","Robusta",(IF($B158="","Arabica",$B158))&amp;" - "&amp;(IF($C158="","Commercial",$C158))),Variables!$B$1:$D$1,0),1))*AP158/365),""))</f>
        <v>-798.4575894846671</v>
      </c>
      <c r="AV158" s="11">
        <f t="shared" si="15"/>
        <v>-2</v>
      </c>
      <c r="AW158" s="12">
        <f>IF($H158="Cancelled","",IFERROR(IF(AV158="","",(T158*INDEX(Variables!$B$7:$D$7,IFERROR(MATCH(IF($B158="Robusta","Robusta",(IF($B158="","Arabica",$B158))&amp;" - "&amp;(IF($C158="","Commercial",$C158))),Variables!$B$1:$D$1,0),1))*(AV158/365))+(T158*INDEX(Variables!$B$9:$D$9,IFERROR(MATCH(IF($B158="Robusta","Robusta",(IF($B158="","Arabica",$B158))&amp;" - "&amp;(IF($C158="","Commercial",$C158))),Variables!$B$1:$D$1,0),1))*(AV158/365))+(INDEX(Variables!$B$8:$D$8,IFERROR(MATCH(IF($B158="Robusta","Robusta",(IF($B158="","Arabica",$B158))&amp;" - "&amp;(IF($C158="","Commercial",$C158))),Variables!$B$1:$D$1,0),1))*L158/16.67)),""))</f>
        <v>-73.614397371166774</v>
      </c>
      <c r="AX158" s="9"/>
      <c r="AY158" s="12"/>
      <c r="AZ158" s="10"/>
      <c r="BA158" s="9"/>
      <c r="BB158" s="10"/>
      <c r="BC158" s="9"/>
      <c r="BD158" s="9"/>
      <c r="BE158" s="9"/>
      <c r="BF158" s="9"/>
    </row>
    <row r="159" spans="1:58" x14ac:dyDescent="0.25">
      <c r="A159" s="9" t="s">
        <v>84</v>
      </c>
      <c r="B159" s="9" t="s">
        <v>85</v>
      </c>
      <c r="C159" s="9" t="s">
        <v>86</v>
      </c>
      <c r="D159" s="10">
        <v>45440</v>
      </c>
      <c r="E159" s="10">
        <v>45444</v>
      </c>
      <c r="F159" s="10">
        <v>45473</v>
      </c>
      <c r="G159" s="9">
        <v>3786399</v>
      </c>
      <c r="H159" s="9" t="str">
        <f t="shared" si="13"/>
        <v>Closed</v>
      </c>
      <c r="I159" s="9" t="str">
        <f t="shared" si="14"/>
        <v>All dates received</v>
      </c>
      <c r="J159" s="9" t="s">
        <v>193</v>
      </c>
      <c r="K159" s="9">
        <v>4975</v>
      </c>
      <c r="L159" s="11">
        <v>640</v>
      </c>
      <c r="M159" s="9" t="s">
        <v>490</v>
      </c>
      <c r="N159" s="9" t="s">
        <v>491</v>
      </c>
      <c r="O159" s="9"/>
      <c r="P159" s="9"/>
      <c r="Q159" s="11"/>
      <c r="R159" s="9" t="s">
        <v>195</v>
      </c>
      <c r="S159" s="9" t="s">
        <v>183</v>
      </c>
      <c r="T159" s="12">
        <f>IF($H159="Cancelled","",IFERROR(((Q159+INDEX(Variables!$B$6:$D$6,IFERROR(MATCH(IF($B159="Robusta","Robusta",(IF($B159="","Arabica",$B159))&amp;" - "&amp;(IF($C159="","Commercial",$C159))),Variables!$B$1:$D$1,0),1)))*22.0462)*(L159/16.67),""))</f>
        <v>246134.51556088781</v>
      </c>
      <c r="U159" s="10"/>
      <c r="V159" s="9" t="s">
        <v>195</v>
      </c>
      <c r="W159" s="10">
        <v>45427</v>
      </c>
      <c r="X159" s="9" t="str">
        <f t="shared" si="12"/>
        <v>Approved</v>
      </c>
      <c r="Y159" s="10">
        <v>45545</v>
      </c>
      <c r="Z159" s="10">
        <f>IF($H159="Cancelled","",IFERROR(IF(F159="","",F159-Variables!$B$13),""))</f>
        <v>45458</v>
      </c>
      <c r="AA159" s="11">
        <f>IF($H159="Cancelled","",IFERROR(IF(W159="","",(AVERAGE(E159:F159)-W159)-Variables!$B$14),""))</f>
        <v>1.5</v>
      </c>
      <c r="AB159" s="10">
        <v>45553</v>
      </c>
      <c r="AC159" s="11">
        <f>IF($H159="Cancelled","",IFERROR(IF(AB159="","",IF(AND(W159="",Y159=""),"",IF(Y159&gt;W159,Y159+Variables!$B$15+Variables!$B$16+Variables!$B$17-AB159,W159+Variables!$B$16+Variables!$B$17-AB159))),""))</f>
        <v>7</v>
      </c>
      <c r="AD159" s="9" t="s">
        <v>165</v>
      </c>
      <c r="AE159" s="9" t="s">
        <v>374</v>
      </c>
      <c r="AF159" s="10"/>
      <c r="AG159" s="10"/>
      <c r="AH159" s="9"/>
      <c r="AI159" s="9" t="s">
        <v>492</v>
      </c>
      <c r="AJ159" s="9" t="s">
        <v>493</v>
      </c>
      <c r="AK159" s="10">
        <v>45485</v>
      </c>
      <c r="AL159" s="10">
        <v>45490</v>
      </c>
      <c r="AM159" s="10">
        <v>45517</v>
      </c>
      <c r="AN159" s="9" t="s">
        <v>95</v>
      </c>
      <c r="AO159" s="9"/>
      <c r="AP159" s="11">
        <f>IF($H159="Cancelled","",IFERROR(IF(OR(AK159="",AB159=""),"",(AB159+Variables!$B$18-AK159)),""))</f>
        <v>75</v>
      </c>
      <c r="AQ159" s="11">
        <f>IF($H159="Cancelled","",IFERROR(IF(OR(AM159="",AK159=""),"",(AK159+Variables!$B$19)-AM159),""))</f>
        <v>-27</v>
      </c>
      <c r="AR159" s="12">
        <f>IF($H159="Cancelled","",IFERROR(T159*INDEX(Variables!$B$7:$D$7,IFERROR(MATCH(IF($B159="Robusta","Robusta",(IF($B159="","Arabica",$B159))&amp;" - "&amp;(IF($C159="","Commercial",$C159))),Variables!$B$1:$D$1,0),1))*(AQ159/365),""))</f>
        <v>-1174.0410043865961</v>
      </c>
      <c r="AS159" s="12">
        <f>IF($H159="Cancelled","",IFERROR((T159*INDEX(Variables!$B$7:$D$7,IFERROR(MATCH(IF($B159="Robusta","Robusta",(IF($B159="","Arabica",$B159))&amp;" - "&amp;(IF($C159="","Commercial",$C159))),Variables!$B$1:$D$1,0),1))*IFERROR(IF(W159="","",(AVERAGE(E159:F159)-W159)-Variables!$B$14),"")/365)+(L159/16.67*INDEX(Variables!$B$8:$D$8,IFERROR(MATCH(IF($B159="Robusta","Robusta",(IF($B159="","Arabica",$B159))&amp;" - "&amp;(IF($C159="","Commercial",$C159))),Variables!$B$1:$D$1,0),1))*IFERROR(IF(W159="","",(AVERAGE(E159:F159)-W159)-Variables!$B$14),""))+(T159*INDEX(Variables!$B$9:$D$9,IFERROR(MATCH(IF($B159="Robusta","Robusta",(IF($B159="","Arabica",$B159))&amp;" - "&amp;(IF($C159="","Commercial",$C159))),Variables!$B$1:$D$1,0),1))*IFERROR(IF(W159="","",(AVERAGE(E159:F159)-W159)-Variables!$B$14),"")/365),""))</f>
        <v>114.06536992638101</v>
      </c>
      <c r="AT159" s="12">
        <f>IF($H159="Cancelled","",IFERROR((T159*INDEX(Variables!$B$7:$D$7,IFERROR(MATCH(IF($B159="Robusta","Robusta",(IF($B159="","Arabica",$B159))&amp;" - "&amp;(IF($C159="","Commercial",$C159))),Variables!$B$1:$D$1,0),1))*AC159/365)+(L159/16.67*INDEX(Variables!$B$8:$D$8,IFERROR(MATCH(IF($B159="Robusta","Robusta",(IF($B159="","Arabica",$B159))&amp;" - "&amp;(IF($C159="","Commercial",$C159))),Variables!$B$1:$D$1,0),1))*AC159)+(T159*INDEX(Variables!$B$9:$D$9,IFERROR(MATCH(IF($B159="Robusta","Robusta",(IF($B159="","Arabica",$B159))&amp;" - "&amp;(IF($C159="","Commercial",$C159))),Variables!$B$1:$D$1,0),1))*AC159/365),""))</f>
        <v>532.30505965644477</v>
      </c>
      <c r="AU159" s="12">
        <f>IF($H159="Cancelled","",IFERROR((T159*INDEX(Variables!$B$7:$D$7,IFERROR(MATCH(IF($B159="Robusta","Robusta",(IF($B159="","Arabica",$B159))&amp;" - "&amp;(IF($C159="","Commercial",$C159))),Variables!$B$1:$D$1,0),1))*AP159/365)+(L159/16.67*INDEX(Variables!$B$8:$D$8,IFERROR(MATCH(IF($B159="Robusta","Robusta",(IF($B159="","Arabica",$B159))&amp;" - "&amp;(IF($C159="","Commercial",$C159))),Variables!$B$1:$D$1,0),1))*AP159)+(T159*INDEX(Variables!$B$9:$D$9,IFERROR(MATCH(IF($B159="Robusta","Robusta",(IF($B159="","Arabica",$B159))&amp;" - "&amp;(IF($C159="","Commercial",$C159))),Variables!$B$1:$D$1,0),1))*AP159/365),""))</f>
        <v>5703.2684963190495</v>
      </c>
      <c r="AV159" s="11">
        <f t="shared" si="15"/>
        <v>-12</v>
      </c>
      <c r="AW159" s="12">
        <f>IF($H159="Cancelled","",IFERROR(IF(AV159="","",(T159*INDEX(Variables!$B$7:$D$7,IFERROR(MATCH(IF($B159="Robusta","Robusta",(IF($B159="","Arabica",$B159))&amp;" - "&amp;(IF($C159="","Commercial",$C159))),Variables!$B$1:$D$1,0),1))*(AV159/365))+(T159*INDEX(Variables!$B$9:$D$9,IFERROR(MATCH(IF($B159="Robusta","Robusta",(IF($B159="","Arabica",$B159))&amp;" - "&amp;(IF($C159="","Commercial",$C159))),Variables!$B$1:$D$1,0),1))*(AV159/365))+(INDEX(Variables!$B$8:$D$8,IFERROR(MATCH(IF($B159="Robusta","Robusta",(IF($B159="","Arabica",$B159))&amp;" - "&amp;(IF($C159="","Commercial",$C159))),Variables!$B$1:$D$1,0),1))*L159/16.67)),""))</f>
        <v>-496.52295941104808</v>
      </c>
      <c r="AX159" s="9"/>
      <c r="AY159" s="12"/>
      <c r="AZ159" s="10"/>
      <c r="BA159" s="9"/>
      <c r="BB159" s="10"/>
      <c r="BC159" s="9"/>
      <c r="BD159" s="9"/>
      <c r="BE159" s="9"/>
      <c r="BF159" s="9"/>
    </row>
    <row r="160" spans="1:58" x14ac:dyDescent="0.25">
      <c r="A160" s="9" t="s">
        <v>84</v>
      </c>
      <c r="B160" s="9" t="s">
        <v>85</v>
      </c>
      <c r="C160" s="9" t="s">
        <v>86</v>
      </c>
      <c r="D160" s="10">
        <v>45447</v>
      </c>
      <c r="E160" s="10">
        <v>45474</v>
      </c>
      <c r="F160" s="10">
        <v>45503</v>
      </c>
      <c r="G160" s="9">
        <v>3786404</v>
      </c>
      <c r="H160" s="9" t="str">
        <f t="shared" si="13"/>
        <v>Closed</v>
      </c>
      <c r="I160" s="9" t="str">
        <f t="shared" si="14"/>
        <v>All dates received</v>
      </c>
      <c r="J160" s="9" t="s">
        <v>494</v>
      </c>
      <c r="K160" s="9">
        <v>5015</v>
      </c>
      <c r="L160" s="11">
        <v>320</v>
      </c>
      <c r="M160" s="9" t="s">
        <v>495</v>
      </c>
      <c r="N160" s="9" t="s">
        <v>237</v>
      </c>
      <c r="O160" s="9"/>
      <c r="P160" s="9"/>
      <c r="Q160" s="11"/>
      <c r="R160" s="9" t="s">
        <v>90</v>
      </c>
      <c r="S160" s="9" t="s">
        <v>207</v>
      </c>
      <c r="T160" s="12">
        <f>IF($H160="Cancelled","",IFERROR(((Q160+INDEX(Variables!$B$6:$D$6,IFERROR(MATCH(IF($B160="Robusta","Robusta",(IF($B160="","Arabica",$B160))&amp;" - "&amp;(IF($C160="","Commercial",$C160))),Variables!$B$1:$D$1,0),1)))*22.0462)*(L160/16.67),""))</f>
        <v>123067.25778044391</v>
      </c>
      <c r="U160" s="10">
        <v>45454</v>
      </c>
      <c r="V160" s="9" t="str">
        <f>IF(ISNUMBER(U160),"Sent","")</f>
        <v>Sent</v>
      </c>
      <c r="W160" s="10">
        <v>45468</v>
      </c>
      <c r="X160" s="9" t="str">
        <f t="shared" si="12"/>
        <v>Approved</v>
      </c>
      <c r="Y160" s="10"/>
      <c r="Z160" s="10">
        <f>IF($H160="Cancelled","",IFERROR(IF(F160="","",F160-Variables!$B$13),""))</f>
        <v>45488</v>
      </c>
      <c r="AA160" s="11">
        <f>IF($H160="Cancelled","",IFERROR(IF(W160="","",(AVERAGE(E160:F160)-W160)-Variables!$B$14),""))</f>
        <v>-9.5</v>
      </c>
      <c r="AB160" s="10">
        <v>45553</v>
      </c>
      <c r="AC160" s="11">
        <f>IF($H160="Cancelled","",IFERROR(IF(AB160="","",IF(AND(W160="",Y160=""),"",IF(Y160&gt;W160,Y160+Variables!$B$15+Variables!$B$16+Variables!$B$17-AB160,W160+Variables!$B$16+Variables!$B$17-AB160))),""))</f>
        <v>-77</v>
      </c>
      <c r="AD160" s="9" t="s">
        <v>496</v>
      </c>
      <c r="AE160" s="9" t="s">
        <v>497</v>
      </c>
      <c r="AF160" s="10"/>
      <c r="AG160" s="10"/>
      <c r="AH160" s="9"/>
      <c r="AI160" s="9" t="s">
        <v>498</v>
      </c>
      <c r="AJ160" s="9" t="s">
        <v>8</v>
      </c>
      <c r="AK160" s="10">
        <v>45493</v>
      </c>
      <c r="AL160" s="10">
        <v>45509</v>
      </c>
      <c r="AM160" s="10">
        <v>45510</v>
      </c>
      <c r="AN160" s="9" t="s">
        <v>95</v>
      </c>
      <c r="AO160" s="9"/>
      <c r="AP160" s="11">
        <f>IF($H160="Cancelled","",IFERROR(IF(OR(AK160="",AB160=""),"",(AB160+Variables!$B$18-AK160)),""))</f>
        <v>67</v>
      </c>
      <c r="AQ160" s="11">
        <f>IF($H160="Cancelled","",IFERROR(IF(OR(AM160="",AK160=""),"",(AK160+Variables!$B$19)-AM160),""))</f>
        <v>-12</v>
      </c>
      <c r="AR160" s="12">
        <f>IF($H160="Cancelled","",IFERROR(T160*INDEX(Variables!$B$7:$D$7,IFERROR(MATCH(IF($B160="Robusta","Robusta",(IF($B160="","Arabica",$B160))&amp;" - "&amp;(IF($C160="","Commercial",$C160))),Variables!$B$1:$D$1,0),1))*(AQ160/365),""))</f>
        <v>-260.89800097479912</v>
      </c>
      <c r="AS160" s="12">
        <f>IF($H160="Cancelled","",IFERROR((T160*INDEX(Variables!$B$7:$D$7,IFERROR(MATCH(IF($B160="Robusta","Robusta",(IF($B160="","Arabica",$B160))&amp;" - "&amp;(IF($C160="","Commercial",$C160))),Variables!$B$1:$D$1,0),1))*IFERROR(IF(W160="","",(AVERAGE(E160:F160)-W160)-Variables!$B$14),"")/365)+(L160/16.67*INDEX(Variables!$B$8:$D$8,IFERROR(MATCH(IF($B160="Robusta","Robusta",(IF($B160="","Arabica",$B160))&amp;" - "&amp;(IF($C160="","Commercial",$C160))),Variables!$B$1:$D$1,0),1))*IFERROR(IF(W160="","",(AVERAGE(E160:F160)-W160)-Variables!$B$14),""))+(T160*INDEX(Variables!$B$9:$D$9,IFERROR(MATCH(IF($B160="Robusta","Robusta",(IF($B160="","Arabica",$B160))&amp;" - "&amp;(IF($C160="","Commercial",$C160))),Variables!$B$1:$D$1,0),1))*IFERROR(IF(W160="","",(AVERAGE(E160:F160)-W160)-Variables!$B$14),"")/365),""))</f>
        <v>-361.20700476687324</v>
      </c>
      <c r="AT160" s="12">
        <f>IF($H160="Cancelled","",IFERROR((T160*INDEX(Variables!$B$7:$D$7,IFERROR(MATCH(IF($B160="Robusta","Robusta",(IF($B160="","Arabica",$B160))&amp;" - "&amp;(IF($C160="","Commercial",$C160))),Variables!$B$1:$D$1,0),1))*AC160/365)+(L160/16.67*INDEX(Variables!$B$8:$D$8,IFERROR(MATCH(IF($B160="Robusta","Robusta",(IF($B160="","Arabica",$B160))&amp;" - "&amp;(IF($C160="","Commercial",$C160))),Variables!$B$1:$D$1,0),1))*AC160)+(T160*INDEX(Variables!$B$9:$D$9,IFERROR(MATCH(IF($B160="Robusta","Robusta",(IF($B160="","Arabica",$B160))&amp;" - "&amp;(IF($C160="","Commercial",$C160))),Variables!$B$1:$D$1,0),1))*AC160/365),""))</f>
        <v>-2927.6778281104462</v>
      </c>
      <c r="AU160" s="12">
        <f>IF($H160="Cancelled","",IFERROR((T160*INDEX(Variables!$B$7:$D$7,IFERROR(MATCH(IF($B160="Robusta","Robusta",(IF($B160="","Arabica",$B160))&amp;" - "&amp;(IF($C160="","Commercial",$C160))),Variables!$B$1:$D$1,0),1))*AP160/365)+(L160/16.67*INDEX(Variables!$B$8:$D$8,IFERROR(MATCH(IF($B160="Robusta","Robusta",(IF($B160="","Arabica",$B160))&amp;" - "&amp;(IF($C160="","Commercial",$C160))),Variables!$B$1:$D$1,0),1))*AP160)+(T160*INDEX(Variables!$B$9:$D$9,IFERROR(MATCH(IF($B160="Robusta","Robusta",(IF($B160="","Arabica",$B160))&amp;" - "&amp;(IF($C160="","Commercial",$C160))),Variables!$B$1:$D$1,0),1))*AP160/365),""))</f>
        <v>2547.4599283558427</v>
      </c>
      <c r="AV160" s="11">
        <f t="shared" si="15"/>
        <v>10</v>
      </c>
      <c r="AW160" s="12">
        <f>IF($H160="Cancelled","",IFERROR(IF(AV160="","",(T160*INDEX(Variables!$B$7:$D$7,IFERROR(MATCH(IF($B160="Robusta","Robusta",(IF($B160="","Arabica",$B160))&amp;" - "&amp;(IF($C160="","Commercial",$C160))),Variables!$B$1:$D$1,0),1))*(AV160/365))+(T160*INDEX(Variables!$B$9:$D$9,IFERROR(MATCH(IF($B160="Robusta","Robusta",(IF($B160="","Arabica",$B160))&amp;" - "&amp;(IF($C160="","Commercial",$C160))),Variables!$B$1:$D$1,0),1))*(AV160/365))+(INDEX(Variables!$B$8:$D$8,IFERROR(MATCH(IF($B160="Robusta","Robusta",(IF($B160="","Arabica",$B160))&amp;" - "&amp;(IF($C160="","Commercial",$C160))),Variables!$B$1:$D$1,0),1))*L160/16.67)),""))</f>
        <v>236.21789975460337</v>
      </c>
      <c r="AX160" s="9"/>
      <c r="AY160" s="12"/>
      <c r="AZ160" s="10"/>
      <c r="BA160" s="9"/>
      <c r="BB160" s="10"/>
      <c r="BC160" s="9"/>
      <c r="BD160" s="9"/>
      <c r="BE160" s="9"/>
      <c r="BF160" s="9"/>
    </row>
    <row r="161" spans="1:58" x14ac:dyDescent="0.25">
      <c r="A161" s="9" t="s">
        <v>84</v>
      </c>
      <c r="B161" s="9" t="s">
        <v>85</v>
      </c>
      <c r="C161" s="9" t="s">
        <v>86</v>
      </c>
      <c r="D161" s="10">
        <v>45447</v>
      </c>
      <c r="E161" s="10">
        <v>45444</v>
      </c>
      <c r="F161" s="10">
        <v>45504</v>
      </c>
      <c r="G161" s="9">
        <v>3786403</v>
      </c>
      <c r="H161" s="9" t="str">
        <f t="shared" si="13"/>
        <v>Closed</v>
      </c>
      <c r="I161" s="9" t="str">
        <f t="shared" si="14"/>
        <v>All dates received</v>
      </c>
      <c r="J161" s="9" t="s">
        <v>193</v>
      </c>
      <c r="K161" s="9">
        <v>5017</v>
      </c>
      <c r="L161" s="11">
        <v>320</v>
      </c>
      <c r="M161" s="9" t="s">
        <v>499</v>
      </c>
      <c r="N161" s="9" t="s">
        <v>122</v>
      </c>
      <c r="O161" s="9"/>
      <c r="P161" s="9"/>
      <c r="Q161" s="11"/>
      <c r="R161" s="9" t="s">
        <v>195</v>
      </c>
      <c r="S161" s="9" t="s">
        <v>188</v>
      </c>
      <c r="T161" s="12">
        <f>IF($H161="Cancelled","",IFERROR(((Q161+INDEX(Variables!$B$6:$D$6,IFERROR(MATCH(IF($B161="Robusta","Robusta",(IF($B161="","Arabica",$B161))&amp;" - "&amp;(IF($C161="","Commercial",$C161))),Variables!$B$1:$D$1,0),1)))*22.0462)*(L161/16.67),""))</f>
        <v>123067.25778044391</v>
      </c>
      <c r="U161" s="10"/>
      <c r="V161" s="9" t="s">
        <v>195</v>
      </c>
      <c r="W161" s="10">
        <v>45458</v>
      </c>
      <c r="X161" s="9" t="str">
        <f t="shared" ref="X161:X224" si="17">IF(ISNUMBER(W161),"Approved","")</f>
        <v>Approved</v>
      </c>
      <c r="Y161" s="10">
        <v>45545</v>
      </c>
      <c r="Z161" s="10">
        <f>IF($H161="Cancelled","",IFERROR(IF(F161="","",F161-Variables!$B$13),""))</f>
        <v>45489</v>
      </c>
      <c r="AA161" s="11">
        <f>IF($H161="Cancelled","",IFERROR(IF(W161="","",(AVERAGE(E161:F161)-W161)-Variables!$B$14),""))</f>
        <v>-14</v>
      </c>
      <c r="AB161" s="10">
        <v>45553</v>
      </c>
      <c r="AC161" s="11">
        <f>IF($H161="Cancelled","",IFERROR(IF(AB161="","",IF(AND(W161="",Y161=""),"",IF(Y161&gt;W161,Y161+Variables!$B$15+Variables!$B$16+Variables!$B$17-AB161,W161+Variables!$B$16+Variables!$B$17-AB161))),""))</f>
        <v>7</v>
      </c>
      <c r="AD161" s="9" t="s">
        <v>165</v>
      </c>
      <c r="AE161" s="9" t="s">
        <v>411</v>
      </c>
      <c r="AF161" s="10"/>
      <c r="AG161" s="10"/>
      <c r="AH161" s="9"/>
      <c r="AI161" s="9" t="s">
        <v>500</v>
      </c>
      <c r="AJ161" s="9" t="s">
        <v>493</v>
      </c>
      <c r="AK161" s="10">
        <v>45496</v>
      </c>
      <c r="AL161" s="10">
        <v>45512</v>
      </c>
      <c r="AM161" s="10">
        <v>45517</v>
      </c>
      <c r="AN161" s="9" t="s">
        <v>95</v>
      </c>
      <c r="AO161" s="9"/>
      <c r="AP161" s="11">
        <f>IF($H161="Cancelled","",IFERROR(IF(OR(AK161="",AB161=""),"",(AB161+Variables!$B$18-AK161)),""))</f>
        <v>64</v>
      </c>
      <c r="AQ161" s="11">
        <f>IF($H161="Cancelled","",IFERROR(IF(OR(AM161="",AK161=""),"",(AK161+Variables!$B$19)-AM161),""))</f>
        <v>-16</v>
      </c>
      <c r="AR161" s="12">
        <f>IF($H161="Cancelled","",IFERROR(T161*INDEX(Variables!$B$7:$D$7,IFERROR(MATCH(IF($B161="Robusta","Robusta",(IF($B161="","Arabica",$B161))&amp;" - "&amp;(IF($C161="","Commercial",$C161))),Variables!$B$1:$D$1,0),1))*(AQ161/365),""))</f>
        <v>-347.86400129973219</v>
      </c>
      <c r="AS161" s="12">
        <f>IF($H161="Cancelled","",IFERROR((T161*INDEX(Variables!$B$7:$D$7,IFERROR(MATCH(IF($B161="Robusta","Robusta",(IF($B161="","Arabica",$B161))&amp;" - "&amp;(IF($C161="","Commercial",$C161))),Variables!$B$1:$D$1,0),1))*IFERROR(IF(W161="","",(AVERAGE(E161:F161)-W161)-Variables!$B$14),"")/365)+(L161/16.67*INDEX(Variables!$B$8:$D$8,IFERROR(MATCH(IF($B161="Robusta","Robusta",(IF($B161="","Arabica",$B161))&amp;" - "&amp;(IF($C161="","Commercial",$C161))),Variables!$B$1:$D$1,0),1))*IFERROR(IF(W161="","",(AVERAGE(E161:F161)-W161)-Variables!$B$14),""))+(T161*INDEX(Variables!$B$9:$D$9,IFERROR(MATCH(IF($B161="Robusta","Robusta",(IF($B161="","Arabica",$B161))&amp;" - "&amp;(IF($C161="","Commercial",$C161))),Variables!$B$1:$D$1,0),1))*IFERROR(IF(W161="","",(AVERAGE(E161:F161)-W161)-Variables!$B$14),"")/365),""))</f>
        <v>-532.30505965644477</v>
      </c>
      <c r="AT161" s="12">
        <f>IF($H161="Cancelled","",IFERROR((T161*INDEX(Variables!$B$7:$D$7,IFERROR(MATCH(IF($B161="Robusta","Robusta",(IF($B161="","Arabica",$B161))&amp;" - "&amp;(IF($C161="","Commercial",$C161))),Variables!$B$1:$D$1,0),1))*AC161/365)+(L161/16.67*INDEX(Variables!$B$8:$D$8,IFERROR(MATCH(IF($B161="Robusta","Robusta",(IF($B161="","Arabica",$B161))&amp;" - "&amp;(IF($C161="","Commercial",$C161))),Variables!$B$1:$D$1,0),1))*AC161)+(T161*INDEX(Variables!$B$9:$D$9,IFERROR(MATCH(IF($B161="Robusta","Robusta",(IF($B161="","Arabica",$B161))&amp;" - "&amp;(IF($C161="","Commercial",$C161))),Variables!$B$1:$D$1,0),1))*AC161/365),""))</f>
        <v>266.15252982822238</v>
      </c>
      <c r="AU161" s="12">
        <f>IF($H161="Cancelled","",IFERROR((T161*INDEX(Variables!$B$7:$D$7,IFERROR(MATCH(IF($B161="Robusta","Robusta",(IF($B161="","Arabica",$B161))&amp;" - "&amp;(IF($C161="","Commercial",$C161))),Variables!$B$1:$D$1,0),1))*AP161/365)+(L161/16.67*INDEX(Variables!$B$8:$D$8,IFERROR(MATCH(IF($B161="Robusta","Robusta",(IF($B161="","Arabica",$B161))&amp;" - "&amp;(IF($C161="","Commercial",$C161))),Variables!$B$1:$D$1,0),1))*AP161)+(T161*INDEX(Variables!$B$9:$D$9,IFERROR(MATCH(IF($B161="Robusta","Robusta",(IF($B161="","Arabica",$B161))&amp;" - "&amp;(IF($C161="","Commercial",$C161))),Variables!$B$1:$D$1,0),1))*AP161/365),""))</f>
        <v>2433.3945584294615</v>
      </c>
      <c r="AV161" s="11">
        <f t="shared" si="15"/>
        <v>8</v>
      </c>
      <c r="AW161" s="12">
        <f>IF($H161="Cancelled","",IFERROR(IF(AV161="","",(T161*INDEX(Variables!$B$7:$D$7,IFERROR(MATCH(IF($B161="Robusta","Robusta",(IF($B161="","Arabica",$B161))&amp;" - "&amp;(IF($C161="","Commercial",$C161))),Variables!$B$1:$D$1,0),1))*(AV161/365))+(T161*INDEX(Variables!$B$9:$D$9,IFERROR(MATCH(IF($B161="Robusta","Robusta",(IF($B161="","Arabica",$B161))&amp;" - "&amp;(IF($C161="","Commercial",$C161))),Variables!$B$1:$D$1,0),1))*(AV161/365))+(INDEX(Variables!$B$8:$D$8,IFERROR(MATCH(IF($B161="Robusta","Robusta",(IF($B161="","Arabica",$B161))&amp;" - "&amp;(IF($C161="","Commercial",$C161))),Variables!$B$1:$D$1,0),1))*L161/16.67)),""))</f>
        <v>192.17431980368272</v>
      </c>
      <c r="AX161" s="9"/>
      <c r="AY161" s="12"/>
      <c r="AZ161" s="10"/>
      <c r="BA161" s="9"/>
      <c r="BB161" s="10"/>
      <c r="BC161" s="9"/>
      <c r="BD161" s="9"/>
      <c r="BE161" s="9"/>
      <c r="BF161" s="9"/>
    </row>
    <row r="162" spans="1:58" x14ac:dyDescent="0.25">
      <c r="A162" s="9" t="s">
        <v>84</v>
      </c>
      <c r="B162" s="9" t="s">
        <v>85</v>
      </c>
      <c r="C162" s="9" t="s">
        <v>86</v>
      </c>
      <c r="D162" s="10">
        <v>45455</v>
      </c>
      <c r="E162" s="10">
        <v>45455</v>
      </c>
      <c r="F162" s="10">
        <v>45473</v>
      </c>
      <c r="G162" s="9">
        <v>3786425</v>
      </c>
      <c r="H162" s="9" t="str">
        <f t="shared" si="13"/>
        <v>Closed</v>
      </c>
      <c r="I162" s="9" t="str">
        <f t="shared" si="14"/>
        <v>All dates received</v>
      </c>
      <c r="J162" s="9" t="s">
        <v>102</v>
      </c>
      <c r="K162" s="9" t="s">
        <v>501</v>
      </c>
      <c r="L162" s="11">
        <v>360</v>
      </c>
      <c r="M162" s="9" t="s">
        <v>502</v>
      </c>
      <c r="N162" s="9" t="s">
        <v>161</v>
      </c>
      <c r="O162" s="9"/>
      <c r="P162" s="9"/>
      <c r="Q162" s="11"/>
      <c r="R162" s="9" t="s">
        <v>195</v>
      </c>
      <c r="S162" s="9" t="s">
        <v>106</v>
      </c>
      <c r="T162" s="12">
        <f>IF($H162="Cancelled","",IFERROR(((Q162+INDEX(Variables!$B$6:$D$6,IFERROR(MATCH(IF($B162="Robusta","Robusta",(IF($B162="","Arabica",$B162))&amp;" - "&amp;(IF($C162="","Commercial",$C162))),Variables!$B$1:$D$1,0),1)))*22.0462)*(L162/16.67),""))</f>
        <v>138450.66500299939</v>
      </c>
      <c r="U162" s="10"/>
      <c r="V162" s="9" t="s">
        <v>195</v>
      </c>
      <c r="W162" s="10">
        <v>45458</v>
      </c>
      <c r="X162" s="9" t="str">
        <f t="shared" si="17"/>
        <v>Approved</v>
      </c>
      <c r="Y162" s="10">
        <v>45545</v>
      </c>
      <c r="Z162" s="10">
        <f>IF($H162="Cancelled","",IFERROR(IF(F162="","",F162-Variables!$B$13),""))</f>
        <v>45458</v>
      </c>
      <c r="AA162" s="11">
        <f>IF($H162="Cancelled","",IFERROR(IF(W162="","",(AVERAGE(E162:F162)-W162)-Variables!$B$14),""))</f>
        <v>-24</v>
      </c>
      <c r="AB162" s="10">
        <v>45554</v>
      </c>
      <c r="AC162" s="11">
        <f>IF($H162="Cancelled","",IFERROR(IF(AB162="","",IF(AND(W162="",Y162=""),"",IF(Y162&gt;W162,Y162+Variables!$B$15+Variables!$B$16+Variables!$B$17-AB162,W162+Variables!$B$16+Variables!$B$17-AB162))),""))</f>
        <v>6</v>
      </c>
      <c r="AD162" s="9" t="s">
        <v>165</v>
      </c>
      <c r="AE162" s="9" t="s">
        <v>374</v>
      </c>
      <c r="AF162" s="10"/>
      <c r="AG162" s="10"/>
      <c r="AH162" s="9"/>
      <c r="AI162" s="9" t="s">
        <v>503</v>
      </c>
      <c r="AJ162" s="9" t="s">
        <v>8</v>
      </c>
      <c r="AK162" s="10">
        <v>45485</v>
      </c>
      <c r="AL162" s="10">
        <v>45490</v>
      </c>
      <c r="AM162" s="10">
        <v>45499</v>
      </c>
      <c r="AN162" s="9" t="s">
        <v>95</v>
      </c>
      <c r="AO162" s="9"/>
      <c r="AP162" s="11">
        <f>IF($H162="Cancelled","",IFERROR(IF(OR(AK162="",AB162=""),"",(AB162+Variables!$B$18-AK162)),""))</f>
        <v>76</v>
      </c>
      <c r="AQ162" s="11">
        <f>IF($H162="Cancelled","",IFERROR(IF(OR(AM162="",AK162=""),"",(AK162+Variables!$B$19)-AM162),""))</f>
        <v>-9</v>
      </c>
      <c r="AR162" s="12">
        <f>IF($H162="Cancelled","",IFERROR(T162*INDEX(Variables!$B$7:$D$7,IFERROR(MATCH(IF($B162="Robusta","Robusta",(IF($B162="","Arabica",$B162))&amp;" - "&amp;(IF($C162="","Commercial",$C162))),Variables!$B$1:$D$1,0),1))*(AQ162/365),""))</f>
        <v>-220.13268832248676</v>
      </c>
      <c r="AS162" s="12">
        <f>IF($H162="Cancelled","",IFERROR((T162*INDEX(Variables!$B$7:$D$7,IFERROR(MATCH(IF($B162="Robusta","Robusta",(IF($B162="","Arabica",$B162))&amp;" - "&amp;(IF($C162="","Commercial",$C162))),Variables!$B$1:$D$1,0),1))*IFERROR(IF(W162="","",(AVERAGE(E162:F162)-W162)-Variables!$B$14),"")/365)+(L162/16.67*INDEX(Variables!$B$8:$D$8,IFERROR(MATCH(IF($B162="Robusta","Robusta",(IF($B162="","Arabica",$B162))&amp;" - "&amp;(IF($C162="","Commercial",$C162))),Variables!$B$1:$D$1,0),1))*IFERROR(IF(W162="","",(AVERAGE(E162:F162)-W162)-Variables!$B$14),""))+(T162*INDEX(Variables!$B$9:$D$9,IFERROR(MATCH(IF($B162="Robusta","Robusta",(IF($B162="","Arabica",$B162))&amp;" - "&amp;(IF($C162="","Commercial",$C162))),Variables!$B$1:$D$1,0),1))*IFERROR(IF(W162="","",(AVERAGE(E162:F162)-W162)-Variables!$B$14),"")/365),""))</f>
        <v>-1026.5883293374293</v>
      </c>
      <c r="AT162" s="12">
        <f>IF($H162="Cancelled","",IFERROR((T162*INDEX(Variables!$B$7:$D$7,IFERROR(MATCH(IF($B162="Robusta","Robusta",(IF($B162="","Arabica",$B162))&amp;" - "&amp;(IF($C162="","Commercial",$C162))),Variables!$B$1:$D$1,0),1))*AC162/365)+(L162/16.67*INDEX(Variables!$B$8:$D$8,IFERROR(MATCH(IF($B162="Robusta","Robusta",(IF($B162="","Arabica",$B162))&amp;" - "&amp;(IF($C162="","Commercial",$C162))),Variables!$B$1:$D$1,0),1))*AC162)+(T162*INDEX(Variables!$B$9:$D$9,IFERROR(MATCH(IF($B162="Robusta","Robusta",(IF($B162="","Arabica",$B162))&amp;" - "&amp;(IF($C162="","Commercial",$C162))),Variables!$B$1:$D$1,0),1))*AC162/365),""))</f>
        <v>256.64708233435732</v>
      </c>
      <c r="AU162" s="12">
        <f>IF($H162="Cancelled","",IFERROR((T162*INDEX(Variables!$B$7:$D$7,IFERROR(MATCH(IF($B162="Robusta","Robusta",(IF($B162="","Arabica",$B162))&amp;" - "&amp;(IF($C162="","Commercial",$C162))),Variables!$B$1:$D$1,0),1))*AP162/365)+(L162/16.67*INDEX(Variables!$B$8:$D$8,IFERROR(MATCH(IF($B162="Robusta","Robusta",(IF($B162="","Arabica",$B162))&amp;" - "&amp;(IF($C162="","Commercial",$C162))),Variables!$B$1:$D$1,0),1))*AP162)+(T162*INDEX(Variables!$B$9:$D$9,IFERROR(MATCH(IF($B162="Robusta","Robusta",(IF($B162="","Arabica",$B162))&amp;" - "&amp;(IF($C162="","Commercial",$C162))),Variables!$B$1:$D$1,0),1))*AP162/365),""))</f>
        <v>3250.863042901859</v>
      </c>
      <c r="AV162" s="11">
        <f t="shared" si="15"/>
        <v>-12</v>
      </c>
      <c r="AW162" s="12">
        <f>IF($H162="Cancelled","",IFERROR(IF(AV162="","",(T162*INDEX(Variables!$B$7:$D$7,IFERROR(MATCH(IF($B162="Robusta","Robusta",(IF($B162="","Arabica",$B162))&amp;" - "&amp;(IF($C162="","Commercial",$C162))),Variables!$B$1:$D$1,0),1))*(AV162/365))+(T162*INDEX(Variables!$B$9:$D$9,IFERROR(MATCH(IF($B162="Robusta","Robusta",(IF($B162="","Arabica",$B162))&amp;" - "&amp;(IF($C162="","Commercial",$C162))),Variables!$B$1:$D$1,0),1))*(AV162/365))+(INDEX(Variables!$B$8:$D$8,IFERROR(MATCH(IF($B162="Robusta","Robusta",(IF($B162="","Arabica",$B162))&amp;" - "&amp;(IF($C162="","Commercial",$C162))),Variables!$B$1:$D$1,0),1))*L162/16.67)),""))</f>
        <v>-279.29416466871453</v>
      </c>
      <c r="AX162" s="9"/>
      <c r="AY162" s="12"/>
      <c r="AZ162" s="10"/>
      <c r="BA162" s="9"/>
      <c r="BB162" s="10"/>
      <c r="BC162" s="9"/>
      <c r="BD162" s="9"/>
      <c r="BE162" s="9"/>
      <c r="BF162" s="9"/>
    </row>
    <row r="163" spans="1:58" x14ac:dyDescent="0.25">
      <c r="A163" s="9" t="s">
        <v>84</v>
      </c>
      <c r="B163" s="9" t="s">
        <v>85</v>
      </c>
      <c r="C163" s="9" t="s">
        <v>86</v>
      </c>
      <c r="D163" s="10">
        <v>45455</v>
      </c>
      <c r="E163" s="10">
        <v>45474</v>
      </c>
      <c r="F163" s="10">
        <v>45487</v>
      </c>
      <c r="G163" s="9">
        <v>3786424</v>
      </c>
      <c r="H163" s="9" t="str">
        <f t="shared" si="13"/>
        <v>Closed</v>
      </c>
      <c r="I163" s="9" t="str">
        <f t="shared" si="14"/>
        <v>All dates received</v>
      </c>
      <c r="J163" s="9" t="s">
        <v>102</v>
      </c>
      <c r="K163" s="9">
        <v>5019</v>
      </c>
      <c r="L163" s="11">
        <v>720</v>
      </c>
      <c r="M163" s="9" t="s">
        <v>504</v>
      </c>
      <c r="N163" s="9" t="s">
        <v>121</v>
      </c>
      <c r="O163" s="9"/>
      <c r="P163" s="9"/>
      <c r="Q163" s="11"/>
      <c r="R163" s="9" t="s">
        <v>90</v>
      </c>
      <c r="S163" s="9" t="s">
        <v>106</v>
      </c>
      <c r="T163" s="12">
        <f>IF($H163="Cancelled","",IFERROR(((Q163+INDEX(Variables!$B$6:$D$6,IFERROR(MATCH(IF($B163="Robusta","Robusta",(IF($B163="","Arabica",$B163))&amp;" - "&amp;(IF($C163="","Commercial",$C163))),Variables!$B$1:$D$1,0),1)))*22.0462)*(L163/16.67),""))</f>
        <v>276901.33000599878</v>
      </c>
      <c r="U163" s="10">
        <v>45457</v>
      </c>
      <c r="V163" s="9" t="str">
        <f>IF(ISNUMBER(U163),"Sent","")</f>
        <v>Sent</v>
      </c>
      <c r="W163" s="10">
        <v>45461</v>
      </c>
      <c r="X163" s="9" t="str">
        <f t="shared" si="17"/>
        <v>Approved</v>
      </c>
      <c r="Y163" s="10"/>
      <c r="Z163" s="10">
        <f>IF($H163="Cancelled","",IFERROR(IF(F163="","",F163-Variables!$B$13),""))</f>
        <v>45472</v>
      </c>
      <c r="AA163" s="11">
        <f>IF($H163="Cancelled","",IFERROR(IF(W163="","",(AVERAGE(E163:F163)-W163)-Variables!$B$14),""))</f>
        <v>-10.5</v>
      </c>
      <c r="AB163" s="10">
        <v>45554</v>
      </c>
      <c r="AC163" s="11">
        <f>IF($H163="Cancelled","",IFERROR(IF(AB163="","",IF(AND(W163="",Y163=""),"",IF(Y163&gt;W163,Y163+Variables!$B$15+Variables!$B$16+Variables!$B$17-AB163,W163+Variables!$B$16+Variables!$B$17-AB163))),""))</f>
        <v>-85</v>
      </c>
      <c r="AD163" s="9" t="s">
        <v>165</v>
      </c>
      <c r="AE163" s="9" t="s">
        <v>411</v>
      </c>
      <c r="AF163" s="10"/>
      <c r="AG163" s="10"/>
      <c r="AH163" s="9"/>
      <c r="AI163" s="9" t="s">
        <v>505</v>
      </c>
      <c r="AJ163" s="9" t="s">
        <v>8</v>
      </c>
      <c r="AK163" s="10">
        <v>45497</v>
      </c>
      <c r="AL163" s="10">
        <v>45512</v>
      </c>
      <c r="AM163" s="10">
        <v>45512</v>
      </c>
      <c r="AN163" s="9" t="s">
        <v>95</v>
      </c>
      <c r="AO163" s="9"/>
      <c r="AP163" s="11">
        <f>IF($H163="Cancelled","",IFERROR(IF(OR(AK163="",AB163=""),"",(AB163+Variables!$B$18-AK163)),""))</f>
        <v>64</v>
      </c>
      <c r="AQ163" s="11">
        <f>IF($H163="Cancelled","",IFERROR(IF(OR(AM163="",AK163=""),"",(AK163+Variables!$B$19)-AM163),""))</f>
        <v>-10</v>
      </c>
      <c r="AR163" s="12">
        <f>IF($H163="Cancelled","",IFERROR(T163*INDEX(Variables!$B$7:$D$7,IFERROR(MATCH(IF($B163="Robusta","Robusta",(IF($B163="","Arabica",$B163))&amp;" - "&amp;(IF($C163="","Commercial",$C163))),Variables!$B$1:$D$1,0),1))*(AQ163/365),""))</f>
        <v>-489.18375182774832</v>
      </c>
      <c r="AS163" s="12">
        <f>IF($H163="Cancelled","",IFERROR((T163*INDEX(Variables!$B$7:$D$7,IFERROR(MATCH(IF($B163="Robusta","Robusta",(IF($B163="","Arabica",$B163))&amp;" - "&amp;(IF($C163="","Commercial",$C163))),Variables!$B$1:$D$1,0),1))*IFERROR(IF(W163="","",(AVERAGE(E163:F163)-W163)-Variables!$B$14),"")/365)+(L163/16.67*INDEX(Variables!$B$8:$D$8,IFERROR(MATCH(IF($B163="Robusta","Robusta",(IF($B163="","Arabica",$B163))&amp;" - "&amp;(IF($C163="","Commercial",$C163))),Variables!$B$1:$D$1,0),1))*IFERROR(IF(W163="","",(AVERAGE(E163:F163)-W163)-Variables!$B$14),""))+(T163*INDEX(Variables!$B$9:$D$9,IFERROR(MATCH(IF($B163="Robusta","Robusta",(IF($B163="","Arabica",$B163))&amp;" - "&amp;(IF($C163="","Commercial",$C163))),Variables!$B$1:$D$1,0),1))*IFERROR(IF(W163="","",(AVERAGE(E163:F163)-W163)-Variables!$B$14),"")/365),""))</f>
        <v>-898.26478817025043</v>
      </c>
      <c r="AT163" s="12">
        <f>IF($H163="Cancelled","",IFERROR((T163*INDEX(Variables!$B$7:$D$7,IFERROR(MATCH(IF($B163="Robusta","Robusta",(IF($B163="","Arabica",$B163))&amp;" - "&amp;(IF($C163="","Commercial",$C163))),Variables!$B$1:$D$1,0),1))*AC163/365)+(L163/16.67*INDEX(Variables!$B$8:$D$8,IFERROR(MATCH(IF($B163="Robusta","Robusta",(IF($B163="","Arabica",$B163))&amp;" - "&amp;(IF($C163="","Commercial",$C163))),Variables!$B$1:$D$1,0),1))*AC163)+(T163*INDEX(Variables!$B$9:$D$9,IFERROR(MATCH(IF($B163="Robusta","Robusta",(IF($B163="","Arabica",$B163))&amp;" - "&amp;(IF($C163="","Commercial",$C163))),Variables!$B$1:$D$1,0),1))*AC163/365),""))</f>
        <v>-7271.6673328067891</v>
      </c>
      <c r="AU163" s="12">
        <f>IF($H163="Cancelled","",IFERROR((T163*INDEX(Variables!$B$7:$D$7,IFERROR(MATCH(IF($B163="Robusta","Robusta",(IF($B163="","Arabica",$B163))&amp;" - "&amp;(IF($C163="","Commercial",$C163))),Variables!$B$1:$D$1,0),1))*AP163/365)+(L163/16.67*INDEX(Variables!$B$8:$D$8,IFERROR(MATCH(IF($B163="Robusta","Robusta",(IF($B163="","Arabica",$B163))&amp;" - "&amp;(IF($C163="","Commercial",$C163))),Variables!$B$1:$D$1,0),1))*AP163)+(T163*INDEX(Variables!$B$9:$D$9,IFERROR(MATCH(IF($B163="Robusta","Robusta",(IF($B163="","Arabica",$B163))&amp;" - "&amp;(IF($C163="","Commercial",$C163))),Variables!$B$1:$D$1,0),1))*AP163/365),""))</f>
        <v>5475.1377564662889</v>
      </c>
      <c r="AV163" s="11">
        <f t="shared" si="15"/>
        <v>-10</v>
      </c>
      <c r="AW163" s="12">
        <f>IF($H163="Cancelled","",IFERROR(IF(AV163="","",(T163*INDEX(Variables!$B$7:$D$7,IFERROR(MATCH(IF($B163="Robusta","Robusta",(IF($B163="","Arabica",$B163))&amp;" - "&amp;(IF($C163="","Commercial",$C163))),Variables!$B$1:$D$1,0),1))*(AV163/365))+(T163*INDEX(Variables!$B$9:$D$9,IFERROR(MATCH(IF($B163="Robusta","Robusta",(IF($B163="","Arabica",$B163))&amp;" - "&amp;(IF($C163="","Commercial",$C163))),Variables!$B$1:$D$1,0),1))*(AV163/365))+(INDEX(Variables!$B$8:$D$8,IFERROR(MATCH(IF($B163="Robusta","Robusta",(IF($B163="","Arabica",$B163))&amp;" - "&amp;(IF($C163="","Commercial",$C163))),Variables!$B$1:$D$1,0),1))*L163/16.67)),""))</f>
        <v>-459.49027444785753</v>
      </c>
      <c r="AX163" s="9"/>
      <c r="AY163" s="12"/>
      <c r="AZ163" s="10"/>
      <c r="BA163" s="9"/>
      <c r="BB163" s="10"/>
      <c r="BC163" s="9"/>
      <c r="BD163" s="9"/>
      <c r="BE163" s="9"/>
      <c r="BF163" s="9"/>
    </row>
    <row r="164" spans="1:58" x14ac:dyDescent="0.25">
      <c r="A164" s="9" t="s">
        <v>84</v>
      </c>
      <c r="B164" s="9" t="s">
        <v>85</v>
      </c>
      <c r="C164" s="9" t="s">
        <v>86</v>
      </c>
      <c r="D164" s="10">
        <v>45455</v>
      </c>
      <c r="E164" s="10">
        <v>45444</v>
      </c>
      <c r="F164" s="10">
        <v>45488</v>
      </c>
      <c r="G164" s="9">
        <v>3786423</v>
      </c>
      <c r="H164" s="9" t="str">
        <f t="shared" si="13"/>
        <v>Closed</v>
      </c>
      <c r="I164" s="9" t="str">
        <f t="shared" si="14"/>
        <v>All dates received</v>
      </c>
      <c r="J164" s="9" t="s">
        <v>193</v>
      </c>
      <c r="K164" s="9">
        <v>5016</v>
      </c>
      <c r="L164" s="11">
        <v>333</v>
      </c>
      <c r="M164" s="9" t="s">
        <v>506</v>
      </c>
      <c r="N164" s="9" t="s">
        <v>122</v>
      </c>
      <c r="O164" s="9"/>
      <c r="P164" s="9"/>
      <c r="Q164" s="11"/>
      <c r="R164" s="9" t="s">
        <v>90</v>
      </c>
      <c r="S164" s="9" t="s">
        <v>183</v>
      </c>
      <c r="T164" s="12">
        <f>IF($H164="Cancelled","",IFERROR(((Q164+INDEX(Variables!$B$6:$D$6,IFERROR(MATCH(IF($B164="Robusta","Robusta",(IF($B164="","Arabica",$B164))&amp;" - "&amp;(IF($C164="","Commercial",$C164))),Variables!$B$1:$D$1,0),1)))*22.0462)*(L164/16.67),""))</f>
        <v>128066.86512777444</v>
      </c>
      <c r="U164" s="10"/>
      <c r="V164" s="9" t="s">
        <v>507</v>
      </c>
      <c r="W164" s="10">
        <v>45458</v>
      </c>
      <c r="X164" s="9" t="str">
        <f t="shared" si="17"/>
        <v>Approved</v>
      </c>
      <c r="Y164" s="10">
        <v>45545</v>
      </c>
      <c r="Z164" s="10">
        <f>IF($H164="Cancelled","",IFERROR(IF(F164="","",F164-Variables!$B$13),""))</f>
        <v>45473</v>
      </c>
      <c r="AA164" s="11">
        <f>IF($H164="Cancelled","",IFERROR(IF(W164="","",(AVERAGE(E164:F164)-W164)-Variables!$B$14),""))</f>
        <v>-22</v>
      </c>
      <c r="AB164" s="10">
        <v>45558</v>
      </c>
      <c r="AC164" s="11">
        <f>IF($H164="Cancelled","",IFERROR(IF(AB164="","",IF(AND(W164="",Y164=""),"",IF(Y164&gt;W164,Y164+Variables!$B$15+Variables!$B$16+Variables!$B$17-AB164,W164+Variables!$B$16+Variables!$B$17-AB164))),""))</f>
        <v>2</v>
      </c>
      <c r="AD164" s="9" t="s">
        <v>165</v>
      </c>
      <c r="AE164" s="9" t="s">
        <v>108</v>
      </c>
      <c r="AF164" s="10"/>
      <c r="AG164" s="10"/>
      <c r="AH164" s="9"/>
      <c r="AI164" s="9" t="s">
        <v>165</v>
      </c>
      <c r="AJ164" s="9" t="s">
        <v>508</v>
      </c>
      <c r="AK164" s="10">
        <v>45512</v>
      </c>
      <c r="AL164" s="10">
        <v>45519</v>
      </c>
      <c r="AM164" s="10">
        <v>45524</v>
      </c>
      <c r="AN164" s="9" t="s">
        <v>95</v>
      </c>
      <c r="AO164" s="9"/>
      <c r="AP164" s="11">
        <f>IF($H164="Cancelled","",IFERROR(IF(OR(AK164="",AB164=""),"",(AB164+Variables!$B$18-AK164)),""))</f>
        <v>53</v>
      </c>
      <c r="AQ164" s="11">
        <f>IF($H164="Cancelled","",IFERROR(IF(OR(AM164="",AK164=""),"",(AK164+Variables!$B$19)-AM164),""))</f>
        <v>-7</v>
      </c>
      <c r="AR164" s="12">
        <f>IF($H164="Cancelled","",IFERROR(T164*INDEX(Variables!$B$7:$D$7,IFERROR(MATCH(IF($B164="Robusta","Robusta",(IF($B164="","Arabica",$B164))&amp;" - "&amp;(IF($C164="","Commercial",$C164))),Variables!$B$1:$D$1,0),1))*(AQ164/365),""))</f>
        <v>-158.37323965423354</v>
      </c>
      <c r="AS164" s="12">
        <f>IF($H164="Cancelled","",IFERROR((T164*INDEX(Variables!$B$7:$D$7,IFERROR(MATCH(IF($B164="Robusta","Robusta",(IF($B164="","Arabica",$B164))&amp;" - "&amp;(IF($C164="","Commercial",$C164))),Variables!$B$1:$D$1,0),1))*IFERROR(IF(W164="","",(AVERAGE(E164:F164)-W164)-Variables!$B$14),"")/365)+(L164/16.67*INDEX(Variables!$B$8:$D$8,IFERROR(MATCH(IF($B164="Robusta","Robusta",(IF($B164="","Arabica",$B164))&amp;" - "&amp;(IF($C164="","Commercial",$C164))),Variables!$B$1:$D$1,0),1))*IFERROR(IF(W164="","",(AVERAGE(E164:F164)-W164)-Variables!$B$14),""))+(T164*INDEX(Variables!$B$9:$D$9,IFERROR(MATCH(IF($B164="Robusta","Robusta",(IF($B164="","Arabica",$B164))&amp;" - "&amp;(IF($C164="","Commercial",$C164))),Variables!$B$1:$D$1,0),1))*IFERROR(IF(W164="","",(AVERAGE(E164:F164)-W164)-Variables!$B$14),"")/365),""))</f>
        <v>-870.46135425069519</v>
      </c>
      <c r="AT164" s="12">
        <f>IF($H164="Cancelled","",IFERROR((T164*INDEX(Variables!$B$7:$D$7,IFERROR(MATCH(IF($B164="Robusta","Robusta",(IF($B164="","Arabica",$B164))&amp;" - "&amp;(IF($C164="","Commercial",$C164))),Variables!$B$1:$D$1,0),1))*AC164/365)+(L164/16.67*INDEX(Variables!$B$8:$D$8,IFERROR(MATCH(IF($B164="Robusta","Robusta",(IF($B164="","Arabica",$B164))&amp;" - "&amp;(IF($C164="","Commercial",$C164))),Variables!$B$1:$D$1,0),1))*AC164)+(T164*INDEX(Variables!$B$9:$D$9,IFERROR(MATCH(IF($B164="Robusta","Robusta",(IF($B164="","Arabica",$B164))&amp;" - "&amp;(IF($C164="","Commercial",$C164))),Variables!$B$1:$D$1,0),1))*AC164/365),""))</f>
        <v>79.132850386426824</v>
      </c>
      <c r="AU164" s="12">
        <f>IF($H164="Cancelled","",IFERROR((T164*INDEX(Variables!$B$7:$D$7,IFERROR(MATCH(IF($B164="Robusta","Robusta",(IF($B164="","Arabica",$B164))&amp;" - "&amp;(IF($C164="","Commercial",$C164))),Variables!$B$1:$D$1,0),1))*AP164/365)+(L164/16.67*INDEX(Variables!$B$8:$D$8,IFERROR(MATCH(IF($B164="Robusta","Robusta",(IF($B164="","Arabica",$B164))&amp;" - "&amp;(IF($C164="","Commercial",$C164))),Variables!$B$1:$D$1,0),1))*AP164)+(T164*INDEX(Variables!$B$9:$D$9,IFERROR(MATCH(IF($B164="Robusta","Robusta",(IF($B164="","Arabica",$B164))&amp;" - "&amp;(IF($C164="","Commercial",$C164))),Variables!$B$1:$D$1,0),1))*AP164/365),""))</f>
        <v>2097.0205352403109</v>
      </c>
      <c r="AV164" s="11">
        <f t="shared" si="15"/>
        <v>-24</v>
      </c>
      <c r="AW164" s="12">
        <f>IF($H164="Cancelled","",IFERROR(IF(AV164="","",(T164*INDEX(Variables!$B$7:$D$7,IFERROR(MATCH(IF($B164="Robusta","Robusta",(IF($B164="","Arabica",$B164))&amp;" - "&amp;(IF($C164="","Commercial",$C164))),Variables!$B$1:$D$1,0),1))*(AV164/365))+(T164*INDEX(Variables!$B$9:$D$9,IFERROR(MATCH(IF($B164="Robusta","Robusta",(IF($B164="","Arabica",$B164))&amp;" - "&amp;(IF($C164="","Commercial",$C164))),Variables!$B$1:$D$1,0),1))*(AV164/365))+(INDEX(Variables!$B$8:$D$8,IFERROR(MATCH(IF($B164="Robusta","Robusta",(IF($B164="","Arabica",$B164))&amp;" - "&amp;(IF($C164="","Commercial",$C164))),Variables!$B$1:$D$1,0),1))*L164/16.67)),""))</f>
        <v>-533.34420463712183</v>
      </c>
      <c r="AX164" s="9"/>
      <c r="AY164" s="12"/>
      <c r="AZ164" s="10"/>
      <c r="BA164" s="9"/>
      <c r="BB164" s="10"/>
      <c r="BC164" s="9"/>
      <c r="BD164" s="9"/>
      <c r="BE164" s="9"/>
      <c r="BF164" s="9"/>
    </row>
    <row r="165" spans="1:58" x14ac:dyDescent="0.25">
      <c r="A165" s="9" t="s">
        <v>84</v>
      </c>
      <c r="B165" s="9" t="s">
        <v>85</v>
      </c>
      <c r="C165" s="9" t="s">
        <v>86</v>
      </c>
      <c r="D165" s="10">
        <v>45455</v>
      </c>
      <c r="E165" s="10">
        <v>45444</v>
      </c>
      <c r="F165" s="10">
        <v>45504</v>
      </c>
      <c r="G165" s="9">
        <v>3786426</v>
      </c>
      <c r="H165" s="9" t="str">
        <f t="shared" si="13"/>
        <v>Closed</v>
      </c>
      <c r="I165" s="9" t="str">
        <f t="shared" si="14"/>
        <v>All dates received</v>
      </c>
      <c r="J165" s="9" t="s">
        <v>193</v>
      </c>
      <c r="K165" s="9">
        <v>5036</v>
      </c>
      <c r="L165" s="11">
        <v>588</v>
      </c>
      <c r="M165" s="9" t="s">
        <v>509</v>
      </c>
      <c r="N165" s="9" t="s">
        <v>400</v>
      </c>
      <c r="O165" s="9"/>
      <c r="P165" s="9"/>
      <c r="Q165" s="11"/>
      <c r="R165" s="9" t="s">
        <v>195</v>
      </c>
      <c r="S165" s="9" t="s">
        <v>150</v>
      </c>
      <c r="T165" s="12">
        <f>IF($H165="Cancelled","",IFERROR(((Q165+INDEX(Variables!$B$6:$D$6,IFERROR(MATCH(IF($B165="Robusta","Robusta",(IF($B165="","Arabica",$B165))&amp;" - "&amp;(IF($C165="","Commercial",$C165))),Variables!$B$1:$D$1,0),1)))*22.0462)*(L165/16.67),""))</f>
        <v>226136.08617156566</v>
      </c>
      <c r="U165" s="10"/>
      <c r="V165" s="9" t="s">
        <v>195</v>
      </c>
      <c r="W165" s="10">
        <v>45458</v>
      </c>
      <c r="X165" s="9" t="str">
        <f t="shared" si="17"/>
        <v>Approved</v>
      </c>
      <c r="Y165" s="10">
        <v>45545</v>
      </c>
      <c r="Z165" s="10">
        <f>IF($H165="Cancelled","",IFERROR(IF(F165="","",F165-Variables!$B$13),""))</f>
        <v>45489</v>
      </c>
      <c r="AA165" s="11">
        <f>IF($H165="Cancelled","",IFERROR(IF(W165="","",(AVERAGE(E165:F165)-W165)-Variables!$B$14),""))</f>
        <v>-14</v>
      </c>
      <c r="AB165" s="10">
        <v>45558</v>
      </c>
      <c r="AC165" s="11">
        <f>IF($H165="Cancelled","",IFERROR(IF(AB165="","",IF(AND(W165="",Y165=""),"",IF(Y165&gt;W165,Y165+Variables!$B$15+Variables!$B$16+Variables!$B$17-AB165,W165+Variables!$B$16+Variables!$B$17-AB165))),""))</f>
        <v>2</v>
      </c>
      <c r="AD165" s="9" t="s">
        <v>180</v>
      </c>
      <c r="AE165" s="9" t="s">
        <v>466</v>
      </c>
      <c r="AF165" s="10"/>
      <c r="AG165" s="10"/>
      <c r="AH165" s="9"/>
      <c r="AI165" s="9" t="s">
        <v>510</v>
      </c>
      <c r="AJ165" s="9" t="s">
        <v>511</v>
      </c>
      <c r="AK165" s="10">
        <v>45502</v>
      </c>
      <c r="AL165" s="10">
        <v>45506</v>
      </c>
      <c r="AM165" s="10">
        <v>45510</v>
      </c>
      <c r="AN165" s="9" t="s">
        <v>95</v>
      </c>
      <c r="AO165" s="9"/>
      <c r="AP165" s="11">
        <f>IF($H165="Cancelled","",IFERROR(IF(OR(AK165="",AB165=""),"",(AB165+Variables!$B$18-AK165)),""))</f>
        <v>63</v>
      </c>
      <c r="AQ165" s="11">
        <f>IF($H165="Cancelled","",IFERROR(IF(OR(AM165="",AK165=""),"",(AK165+Variables!$B$19)-AM165),""))</f>
        <v>-3</v>
      </c>
      <c r="AR165" s="12">
        <f>IF($H165="Cancelled","",IFERROR(T165*INDEX(Variables!$B$7:$D$7,IFERROR(MATCH(IF($B165="Robusta","Robusta",(IF($B165="","Arabica",$B165))&amp;" - "&amp;(IF($C165="","Commercial",$C165))),Variables!$B$1:$D$1,0),1))*(AQ165/365),""))</f>
        <v>-119.85001919779833</v>
      </c>
      <c r="AS165" s="12">
        <f>IF($H165="Cancelled","",IFERROR((T165*INDEX(Variables!$B$7:$D$7,IFERROR(MATCH(IF($B165="Robusta","Robusta",(IF($B165="","Arabica",$B165))&amp;" - "&amp;(IF($C165="","Commercial",$C165))),Variables!$B$1:$D$1,0),1))*IFERROR(IF(W165="","",(AVERAGE(E165:F165)-W165)-Variables!$B$14),"")/365)+(L165/16.67*INDEX(Variables!$B$8:$D$8,IFERROR(MATCH(IF($B165="Robusta","Robusta",(IF($B165="","Arabica",$B165))&amp;" - "&amp;(IF($C165="","Commercial",$C165))),Variables!$B$1:$D$1,0),1))*IFERROR(IF(W165="","",(AVERAGE(E165:F165)-W165)-Variables!$B$14),""))+(T165*INDEX(Variables!$B$9:$D$9,IFERROR(MATCH(IF($B165="Robusta","Robusta",(IF($B165="","Arabica",$B165))&amp;" - "&amp;(IF($C165="","Commercial",$C165))),Variables!$B$1:$D$1,0),1))*IFERROR(IF(W165="","",(AVERAGE(E165:F165)-W165)-Variables!$B$14),"")/365),""))</f>
        <v>-978.11054711871714</v>
      </c>
      <c r="AT165" s="12">
        <f>IF($H165="Cancelled","",IFERROR((T165*INDEX(Variables!$B$7:$D$7,IFERROR(MATCH(IF($B165="Robusta","Robusta",(IF($B165="","Arabica",$B165))&amp;" - "&amp;(IF($C165="","Commercial",$C165))),Variables!$B$1:$D$1,0),1))*AC165/365)+(L165/16.67*INDEX(Variables!$B$8:$D$8,IFERROR(MATCH(IF($B165="Robusta","Robusta",(IF($B165="","Arabica",$B165))&amp;" - "&amp;(IF($C165="","Commercial",$C165))),Variables!$B$1:$D$1,0),1))*AC165)+(T165*INDEX(Variables!$B$9:$D$9,IFERROR(MATCH(IF($B165="Robusta","Robusta",(IF($B165="","Arabica",$B165))&amp;" - "&amp;(IF($C165="","Commercial",$C165))),Variables!$B$1:$D$1,0),1))*AC165/365),""))</f>
        <v>139.73007815981674</v>
      </c>
      <c r="AU165" s="12">
        <f>IF($H165="Cancelled","",IFERROR((T165*INDEX(Variables!$B$7:$D$7,IFERROR(MATCH(IF($B165="Robusta","Robusta",(IF($B165="","Arabica",$B165))&amp;" - "&amp;(IF($C165="","Commercial",$C165))),Variables!$B$1:$D$1,0),1))*AP165/365)+(L165/16.67*INDEX(Variables!$B$8:$D$8,IFERROR(MATCH(IF($B165="Robusta","Robusta",(IF($B165="","Arabica",$B165))&amp;" - "&amp;(IF($C165="","Commercial",$C165))),Variables!$B$1:$D$1,0),1))*AP165)+(T165*INDEX(Variables!$B$9:$D$9,IFERROR(MATCH(IF($B165="Robusta","Robusta",(IF($B165="","Arabica",$B165))&amp;" - "&amp;(IF($C165="","Commercial",$C165))),Variables!$B$1:$D$1,0),1))*AP165/365),""))</f>
        <v>4401.4974620342273</v>
      </c>
      <c r="AV165" s="11">
        <f t="shared" si="15"/>
        <v>2</v>
      </c>
      <c r="AW165" s="12">
        <f>IF($H165="Cancelled","",IFERROR(IF(AV165="","",(T165*INDEX(Variables!$B$7:$D$7,IFERROR(MATCH(IF($B165="Robusta","Robusta",(IF($B165="","Arabica",$B165))&amp;" - "&amp;(IF($C165="","Commercial",$C165))),Variables!$B$1:$D$1,0),1))*(AV165/365))+(T165*INDEX(Variables!$B$9:$D$9,IFERROR(MATCH(IF($B165="Robusta","Robusta",(IF($B165="","Arabica",$B165))&amp;" - "&amp;(IF($C165="","Commercial",$C165))),Variables!$B$1:$D$1,0),1))*(AV165/365))+(INDEX(Variables!$B$8:$D$8,IFERROR(MATCH(IF($B165="Robusta","Robusta",(IF($B165="","Arabica",$B165))&amp;" - "&amp;(IF($C165="","Commercial",$C165))),Variables!$B$1:$D$1,0),1))*L165/16.67)),""))</f>
        <v>110.33007815981675</v>
      </c>
      <c r="AX165" s="9"/>
      <c r="AY165" s="12"/>
      <c r="AZ165" s="10"/>
      <c r="BA165" s="9"/>
      <c r="BB165" s="10"/>
      <c r="BC165" s="9"/>
      <c r="BD165" s="9"/>
      <c r="BE165" s="9"/>
      <c r="BF165" s="9"/>
    </row>
    <row r="166" spans="1:58" x14ac:dyDescent="0.25">
      <c r="A166" s="9" t="s">
        <v>84</v>
      </c>
      <c r="B166" s="9" t="s">
        <v>85</v>
      </c>
      <c r="C166" s="9" t="s">
        <v>86</v>
      </c>
      <c r="D166" s="10">
        <v>45457</v>
      </c>
      <c r="E166" s="10">
        <v>45474</v>
      </c>
      <c r="F166" s="10">
        <v>45504</v>
      </c>
      <c r="G166" s="9">
        <v>3786430</v>
      </c>
      <c r="H166" s="9" t="str">
        <f t="shared" si="13"/>
        <v>Closed</v>
      </c>
      <c r="I166" s="9" t="str">
        <f t="shared" si="14"/>
        <v>All dates received</v>
      </c>
      <c r="J166" s="9" t="s">
        <v>512</v>
      </c>
      <c r="K166" s="9">
        <v>5028</v>
      </c>
      <c r="L166" s="11">
        <v>360</v>
      </c>
      <c r="M166" s="9" t="s">
        <v>513</v>
      </c>
      <c r="N166" s="9" t="s">
        <v>491</v>
      </c>
      <c r="O166" s="9"/>
      <c r="P166" s="9"/>
      <c r="Q166" s="11"/>
      <c r="R166" s="9" t="s">
        <v>195</v>
      </c>
      <c r="S166" s="9" t="s">
        <v>106</v>
      </c>
      <c r="T166" s="12">
        <f>IF($H166="Cancelled","",IFERROR(((Q166+INDEX(Variables!$B$6:$D$6,IFERROR(MATCH(IF($B166="Robusta","Robusta",(IF($B166="","Arabica",$B166))&amp;" - "&amp;(IF($C166="","Commercial",$C166))),Variables!$B$1:$D$1,0),1)))*22.0462)*(L166/16.67),""))</f>
        <v>138450.66500299939</v>
      </c>
      <c r="U166" s="10"/>
      <c r="V166" s="9" t="s">
        <v>195</v>
      </c>
      <c r="W166" s="10">
        <v>45458</v>
      </c>
      <c r="X166" s="9" t="str">
        <f t="shared" si="17"/>
        <v>Approved</v>
      </c>
      <c r="Y166" s="10">
        <v>45545</v>
      </c>
      <c r="Z166" s="10">
        <f>IF($H166="Cancelled","",IFERROR(IF(F166="","",F166-Variables!$B$13),""))</f>
        <v>45489</v>
      </c>
      <c r="AA166" s="11">
        <f>IF($H166="Cancelled","",IFERROR(IF(W166="","",(AVERAGE(E166:F166)-W166)-Variables!$B$14),""))</f>
        <v>1</v>
      </c>
      <c r="AB166" s="10">
        <v>45559</v>
      </c>
      <c r="AC166" s="11">
        <f>IF($H166="Cancelled","",IFERROR(IF(AB166="","",IF(AND(W166="",Y166=""),"",IF(Y166&gt;W166,Y166+Variables!$B$15+Variables!$B$16+Variables!$B$17-AB166,W166+Variables!$B$16+Variables!$B$17-AB166))),""))</f>
        <v>1</v>
      </c>
      <c r="AD166" s="9" t="s">
        <v>165</v>
      </c>
      <c r="AE166" s="9" t="s">
        <v>411</v>
      </c>
      <c r="AF166" s="10"/>
      <c r="AG166" s="10"/>
      <c r="AH166" s="9"/>
      <c r="AI166" s="9" t="s">
        <v>514</v>
      </c>
      <c r="AJ166" s="9" t="s">
        <v>8</v>
      </c>
      <c r="AK166" s="10">
        <v>45497</v>
      </c>
      <c r="AL166" s="10">
        <v>45512</v>
      </c>
      <c r="AM166" s="10">
        <v>45516</v>
      </c>
      <c r="AN166" s="9" t="s">
        <v>95</v>
      </c>
      <c r="AO166" s="9"/>
      <c r="AP166" s="11">
        <f>IF($H166="Cancelled","",IFERROR(IF(OR(AK166="",AB166=""),"",(AB166+Variables!$B$18-AK166)),""))</f>
        <v>69</v>
      </c>
      <c r="AQ166" s="11">
        <f>IF($H166="Cancelled","",IFERROR(IF(OR(AM166="",AK166=""),"",(AK166+Variables!$B$19)-AM166),""))</f>
        <v>-14</v>
      </c>
      <c r="AR166" s="12">
        <f>IF($H166="Cancelled","",IFERROR(T166*INDEX(Variables!$B$7:$D$7,IFERROR(MATCH(IF($B166="Robusta","Robusta",(IF($B166="","Arabica",$B166))&amp;" - "&amp;(IF($C166="","Commercial",$C166))),Variables!$B$1:$D$1,0),1))*(AQ166/365),""))</f>
        <v>-342.4286262794239</v>
      </c>
      <c r="AS166" s="12">
        <f>IF($H166="Cancelled","",IFERROR((T166*INDEX(Variables!$B$7:$D$7,IFERROR(MATCH(IF($B166="Robusta","Robusta",(IF($B166="","Arabica",$B166))&amp;" - "&amp;(IF($C166="","Commercial",$C166))),Variables!$B$1:$D$1,0),1))*IFERROR(IF(W166="","",(AVERAGE(E166:F166)-W166)-Variables!$B$14),"")/365)+(L166/16.67*INDEX(Variables!$B$8:$D$8,IFERROR(MATCH(IF($B166="Robusta","Robusta",(IF($B166="","Arabica",$B166))&amp;" - "&amp;(IF($C166="","Commercial",$C166))),Variables!$B$1:$D$1,0),1))*IFERROR(IF(W166="","",(AVERAGE(E166:F166)-W166)-Variables!$B$14),""))+(T166*INDEX(Variables!$B$9:$D$9,IFERROR(MATCH(IF($B166="Robusta","Robusta",(IF($B166="","Arabica",$B166))&amp;" - "&amp;(IF($C166="","Commercial",$C166))),Variables!$B$1:$D$1,0),1))*IFERROR(IF(W166="","",(AVERAGE(E166:F166)-W166)-Variables!$B$14),"")/365),""))</f>
        <v>42.774513722392882</v>
      </c>
      <c r="AT166" s="12">
        <f>IF($H166="Cancelled","",IFERROR((T166*INDEX(Variables!$B$7:$D$7,IFERROR(MATCH(IF($B166="Robusta","Robusta",(IF($B166="","Arabica",$B166))&amp;" - "&amp;(IF($C166="","Commercial",$C166))),Variables!$B$1:$D$1,0),1))*AC166/365)+(L166/16.67*INDEX(Variables!$B$8:$D$8,IFERROR(MATCH(IF($B166="Robusta","Robusta",(IF($B166="","Arabica",$B166))&amp;" - "&amp;(IF($C166="","Commercial",$C166))),Variables!$B$1:$D$1,0),1))*AC166)+(T166*INDEX(Variables!$B$9:$D$9,IFERROR(MATCH(IF($B166="Robusta","Robusta",(IF($B166="","Arabica",$B166))&amp;" - "&amp;(IF($C166="","Commercial",$C166))),Variables!$B$1:$D$1,0),1))*AC166/365),""))</f>
        <v>42.774513722392882</v>
      </c>
      <c r="AU166" s="12">
        <f>IF($H166="Cancelled","",IFERROR((T166*INDEX(Variables!$B$7:$D$7,IFERROR(MATCH(IF($B166="Robusta","Robusta",(IF($B166="","Arabica",$B166))&amp;" - "&amp;(IF($C166="","Commercial",$C166))),Variables!$B$1:$D$1,0),1))*AP166/365)+(L166/16.67*INDEX(Variables!$B$8:$D$8,IFERROR(MATCH(IF($B166="Robusta","Robusta",(IF($B166="","Arabica",$B166))&amp;" - "&amp;(IF($C166="","Commercial",$C166))),Variables!$B$1:$D$1,0),1))*AP166)+(T166*INDEX(Variables!$B$9:$D$9,IFERROR(MATCH(IF($B166="Robusta","Robusta",(IF($B166="","Arabica",$B166))&amp;" - "&amp;(IF($C166="","Commercial",$C166))),Variables!$B$1:$D$1,0),1))*AP166/365),""))</f>
        <v>2951.4414468451091</v>
      </c>
      <c r="AV166" s="11">
        <f t="shared" si="15"/>
        <v>7</v>
      </c>
      <c r="AW166" s="12">
        <f>IF($H166="Cancelled","",IFERROR(IF(AV166="","",(T166*INDEX(Variables!$B$7:$D$7,IFERROR(MATCH(IF($B166="Robusta","Robusta",(IF($B166="","Arabica",$B166))&amp;" - "&amp;(IF($C166="","Commercial",$C166))),Variables!$B$1:$D$1,0),1))*(AV166/365))+(T166*INDEX(Variables!$B$9:$D$9,IFERROR(MATCH(IF($B166="Robusta","Robusta",(IF($B166="","Arabica",$B166))&amp;" - "&amp;(IF($C166="","Commercial",$C166))),Variables!$B$1:$D$1,0),1))*(AV166/365))+(INDEX(Variables!$B$8:$D$8,IFERROR(MATCH(IF($B166="Robusta","Robusta",(IF($B166="","Arabica",$B166))&amp;" - "&amp;(IF($C166="","Commercial",$C166))),Variables!$B$1:$D$1,0),1))*L166/16.67)),""))</f>
        <v>191.42159605675019</v>
      </c>
      <c r="AX166" s="9"/>
      <c r="AY166" s="12"/>
      <c r="AZ166" s="10"/>
      <c r="BA166" s="9"/>
      <c r="BB166" s="10"/>
      <c r="BC166" s="9"/>
      <c r="BD166" s="9"/>
      <c r="BE166" s="9"/>
      <c r="BF166" s="9"/>
    </row>
    <row r="167" spans="1:58" x14ac:dyDescent="0.25">
      <c r="A167" s="9" t="s">
        <v>84</v>
      </c>
      <c r="B167" s="9" t="s">
        <v>85</v>
      </c>
      <c r="C167" s="9" t="s">
        <v>86</v>
      </c>
      <c r="D167" s="10">
        <v>45461</v>
      </c>
      <c r="E167" s="10">
        <v>45474</v>
      </c>
      <c r="F167" s="10">
        <v>45504</v>
      </c>
      <c r="G167" s="9">
        <v>3786431</v>
      </c>
      <c r="H167" s="9" t="str">
        <f t="shared" si="13"/>
        <v>Closed</v>
      </c>
      <c r="I167" s="9" t="str">
        <f t="shared" si="14"/>
        <v>All dates received</v>
      </c>
      <c r="J167" s="9" t="s">
        <v>322</v>
      </c>
      <c r="K167" s="9">
        <v>5026</v>
      </c>
      <c r="L167" s="11">
        <v>250</v>
      </c>
      <c r="M167" s="9" t="s">
        <v>515</v>
      </c>
      <c r="N167" s="9" t="s">
        <v>227</v>
      </c>
      <c r="O167" s="9"/>
      <c r="P167" s="9"/>
      <c r="Q167" s="11"/>
      <c r="R167" s="9" t="s">
        <v>90</v>
      </c>
      <c r="S167" s="9" t="s">
        <v>123</v>
      </c>
      <c r="T167" s="12">
        <f>IF($H167="Cancelled","",IFERROR(((Q167+INDEX(Variables!$B$6:$D$6,IFERROR(MATCH(IF($B167="Robusta","Robusta",(IF($B167="","Arabica",$B167))&amp;" - "&amp;(IF($C167="","Commercial",$C167))),Variables!$B$1:$D$1,0),1)))*22.0462)*(L167/16.67),""))</f>
        <v>96146.295140971793</v>
      </c>
      <c r="U167" s="10">
        <v>45462</v>
      </c>
      <c r="V167" s="9" t="str">
        <f t="shared" ref="V167:V174" si="18">IF(ISNUMBER(U167),"Sent","")</f>
        <v>Sent</v>
      </c>
      <c r="W167" s="10">
        <v>45474</v>
      </c>
      <c r="X167" s="9" t="str">
        <f t="shared" si="17"/>
        <v>Approved</v>
      </c>
      <c r="Y167" s="10"/>
      <c r="Z167" s="10">
        <f>IF($H167="Cancelled","",IFERROR(IF(F167="","",F167-Variables!$B$13),""))</f>
        <v>45489</v>
      </c>
      <c r="AA167" s="11">
        <f>IF($H167="Cancelled","",IFERROR(IF(W167="","",(AVERAGE(E167:F167)-W167)-Variables!$B$14),""))</f>
        <v>-15</v>
      </c>
      <c r="AB167" s="10">
        <v>45560</v>
      </c>
      <c r="AC167" s="11">
        <f>IF($H167="Cancelled","",IFERROR(IF(AB167="","",IF(AND(W167="",Y167=""),"",IF(Y167&gt;W167,Y167+Variables!$B$15+Variables!$B$16+Variables!$B$17-AB167,W167+Variables!$B$16+Variables!$B$17-AB167))),""))</f>
        <v>-78</v>
      </c>
      <c r="AD167" s="9" t="s">
        <v>516</v>
      </c>
      <c r="AE167" s="9" t="s">
        <v>517</v>
      </c>
      <c r="AF167" s="10"/>
      <c r="AG167" s="10"/>
      <c r="AH167" s="9"/>
      <c r="AI167" s="9" t="s">
        <v>518</v>
      </c>
      <c r="AJ167" s="9" t="s">
        <v>519</v>
      </c>
      <c r="AK167" s="10">
        <v>45494</v>
      </c>
      <c r="AL167" s="10">
        <v>45506</v>
      </c>
      <c r="AM167" s="10">
        <v>45517</v>
      </c>
      <c r="AN167" s="9" t="s">
        <v>95</v>
      </c>
      <c r="AO167" s="9"/>
      <c r="AP167" s="11">
        <f>IF($H167="Cancelled","",IFERROR(IF(OR(AK167="",AB167=""),"",(AB167+Variables!$B$18-AK167)),""))</f>
        <v>73</v>
      </c>
      <c r="AQ167" s="11">
        <f>IF($H167="Cancelled","",IFERROR(IF(OR(AM167="",AK167=""),"",(AK167+Variables!$B$19)-AM167),""))</f>
        <v>-18</v>
      </c>
      <c r="AR167" s="12">
        <f>IF($H167="Cancelled","",IFERROR(T167*INDEX(Variables!$B$7:$D$7,IFERROR(MATCH(IF($B167="Robusta","Robusta",(IF($B167="","Arabica",$B167))&amp;" - "&amp;(IF($C167="","Commercial",$C167))),Variables!$B$1:$D$1,0),1))*(AQ167/365),""))</f>
        <v>-305.73984489234272</v>
      </c>
      <c r="AS167" s="12">
        <f>IF($H167="Cancelled","",IFERROR((T167*INDEX(Variables!$B$7:$D$7,IFERROR(MATCH(IF($B167="Robusta","Robusta",(IF($B167="","Arabica",$B167))&amp;" - "&amp;(IF($C167="","Commercial",$C167))),Variables!$B$1:$D$1,0),1))*IFERROR(IF(W167="","",(AVERAGE(E167:F167)-W167)-Variables!$B$14),"")/365)+(L167/16.67*INDEX(Variables!$B$8:$D$8,IFERROR(MATCH(IF($B167="Robusta","Robusta",(IF($B167="","Arabica",$B167))&amp;" - "&amp;(IF($C167="","Commercial",$C167))),Variables!$B$1:$D$1,0),1))*IFERROR(IF(W167="","",(AVERAGE(E167:F167)-W167)-Variables!$B$14),""))+(T167*INDEX(Variables!$B$9:$D$9,IFERROR(MATCH(IF($B167="Robusta","Robusta",(IF($B167="","Arabica",$B167))&amp;" - "&amp;(IF($C167="","Commercial",$C167))),Variables!$B$1:$D$1,0),1))*IFERROR(IF(W167="","",(AVERAGE(E167:F167)-W167)-Variables!$B$14),"")/365),""))</f>
        <v>-445.56785127492589</v>
      </c>
      <c r="AT167" s="12">
        <f>IF($H167="Cancelled","",IFERROR((T167*INDEX(Variables!$B$7:$D$7,IFERROR(MATCH(IF($B167="Robusta","Robusta",(IF($B167="","Arabica",$B167))&amp;" - "&amp;(IF($C167="","Commercial",$C167))),Variables!$B$1:$D$1,0),1))*AC167/365)+(L167/16.67*INDEX(Variables!$B$8:$D$8,IFERROR(MATCH(IF($B167="Robusta","Robusta",(IF($B167="","Arabica",$B167))&amp;" - "&amp;(IF($C167="","Commercial",$C167))),Variables!$B$1:$D$1,0),1))*AC167)+(T167*INDEX(Variables!$B$9:$D$9,IFERROR(MATCH(IF($B167="Robusta","Robusta",(IF($B167="","Arabica",$B167))&amp;" - "&amp;(IF($C167="","Commercial",$C167))),Variables!$B$1:$D$1,0),1))*AC167/365),""))</f>
        <v>-2316.9528266296143</v>
      </c>
      <c r="AU167" s="12">
        <f>IF($H167="Cancelled","",IFERROR((T167*INDEX(Variables!$B$7:$D$7,IFERROR(MATCH(IF($B167="Robusta","Robusta",(IF($B167="","Arabica",$B167))&amp;" - "&amp;(IF($C167="","Commercial",$C167))),Variables!$B$1:$D$1,0),1))*AP167/365)+(L167/16.67*INDEX(Variables!$B$8:$D$8,IFERROR(MATCH(IF($B167="Robusta","Robusta",(IF($B167="","Arabica",$B167))&amp;" - "&amp;(IF($C167="","Commercial",$C167))),Variables!$B$1:$D$1,0),1))*AP167)+(T167*INDEX(Variables!$B$9:$D$9,IFERROR(MATCH(IF($B167="Robusta","Robusta",(IF($B167="","Arabica",$B167))&amp;" - "&amp;(IF($C167="","Commercial",$C167))),Variables!$B$1:$D$1,0),1))*AP167/365),""))</f>
        <v>2168.4302095379721</v>
      </c>
      <c r="AV167" s="11">
        <f t="shared" si="15"/>
        <v>10</v>
      </c>
      <c r="AW167" s="12">
        <f>IF($H167="Cancelled","",IFERROR(IF(AV167="","",(T167*INDEX(Variables!$B$7:$D$7,IFERROR(MATCH(IF($B167="Robusta","Robusta",(IF($B167="","Arabica",$B167))&amp;" - "&amp;(IF($C167="","Commercial",$C167))),Variables!$B$1:$D$1,0),1))*(AV167/365))+(T167*INDEX(Variables!$B$9:$D$9,IFERROR(MATCH(IF($B167="Robusta","Robusta",(IF($B167="","Arabica",$B167))&amp;" - "&amp;(IF($C167="","Commercial",$C167))),Variables!$B$1:$D$1,0),1))*(AV167/365))+(INDEX(Variables!$B$8:$D$8,IFERROR(MATCH(IF($B167="Robusta","Robusta",(IF($B167="","Arabica",$B167))&amp;" - "&amp;(IF($C167="","Commercial",$C167))),Variables!$B$1:$D$1,0),1))*L167/16.67)),""))</f>
        <v>184.54523418328387</v>
      </c>
      <c r="AX167" s="9"/>
      <c r="AY167" s="12"/>
      <c r="AZ167" s="10"/>
      <c r="BA167" s="9"/>
      <c r="BB167" s="10"/>
      <c r="BC167" s="9"/>
      <c r="BD167" s="9"/>
      <c r="BE167" s="9"/>
      <c r="BF167" s="9"/>
    </row>
    <row r="168" spans="1:58" x14ac:dyDescent="0.25">
      <c r="A168" s="9" t="s">
        <v>84</v>
      </c>
      <c r="B168" s="9" t="s">
        <v>85</v>
      </c>
      <c r="C168" s="9" t="s">
        <v>86</v>
      </c>
      <c r="D168" s="10">
        <v>45461</v>
      </c>
      <c r="E168" s="10">
        <v>45474</v>
      </c>
      <c r="F168" s="10">
        <v>45504</v>
      </c>
      <c r="G168" s="9">
        <v>3786432</v>
      </c>
      <c r="H168" s="9" t="str">
        <f t="shared" si="13"/>
        <v>Closed</v>
      </c>
      <c r="I168" s="9" t="str">
        <f t="shared" si="14"/>
        <v>All dates received</v>
      </c>
      <c r="J168" s="9" t="s">
        <v>322</v>
      </c>
      <c r="K168" s="9">
        <v>5027</v>
      </c>
      <c r="L168" s="11">
        <v>50</v>
      </c>
      <c r="M168" s="9" t="s">
        <v>520</v>
      </c>
      <c r="N168" s="9" t="s">
        <v>149</v>
      </c>
      <c r="O168" s="9"/>
      <c r="P168" s="9"/>
      <c r="Q168" s="11"/>
      <c r="R168" s="9" t="s">
        <v>90</v>
      </c>
      <c r="S168" s="9" t="s">
        <v>123</v>
      </c>
      <c r="T168" s="12">
        <f>IF($H168="Cancelled","",IFERROR(((Q168+INDEX(Variables!$B$6:$D$6,IFERROR(MATCH(IF($B168="Robusta","Robusta",(IF($B168="","Arabica",$B168))&amp;" - "&amp;(IF($C168="","Commercial",$C168))),Variables!$B$1:$D$1,0),1)))*22.0462)*(L168/16.67),""))</f>
        <v>19229.259028194359</v>
      </c>
      <c r="U168" s="10">
        <v>45462</v>
      </c>
      <c r="V168" s="9" t="str">
        <f t="shared" si="18"/>
        <v>Sent</v>
      </c>
      <c r="W168" s="10">
        <v>45474</v>
      </c>
      <c r="X168" s="9" t="str">
        <f t="shared" si="17"/>
        <v>Approved</v>
      </c>
      <c r="Y168" s="10"/>
      <c r="Z168" s="10">
        <f>IF($H168="Cancelled","",IFERROR(IF(F168="","",F168-Variables!$B$13),""))</f>
        <v>45489</v>
      </c>
      <c r="AA168" s="11">
        <f>IF($H168="Cancelled","",IFERROR(IF(W168="","",(AVERAGE(E168:F168)-W168)-Variables!$B$14),""))</f>
        <v>-15</v>
      </c>
      <c r="AB168" s="10">
        <v>45561</v>
      </c>
      <c r="AC168" s="11">
        <f>IF($H168="Cancelled","",IFERROR(IF(AB168="","",IF(AND(W168="",Y168=""),"",IF(Y168&gt;W168,Y168+Variables!$B$15+Variables!$B$16+Variables!$B$17-AB168,W168+Variables!$B$16+Variables!$B$17-AB168))),""))</f>
        <v>-79</v>
      </c>
      <c r="AD168" s="9" t="s">
        <v>516</v>
      </c>
      <c r="AE168" s="9" t="s">
        <v>517</v>
      </c>
      <c r="AF168" s="10"/>
      <c r="AG168" s="10"/>
      <c r="AH168" s="9"/>
      <c r="AI168" s="9" t="s">
        <v>518</v>
      </c>
      <c r="AJ168" s="9" t="s">
        <v>519</v>
      </c>
      <c r="AK168" s="10">
        <v>45494</v>
      </c>
      <c r="AL168" s="10">
        <v>45506</v>
      </c>
      <c r="AM168" s="10">
        <v>45517</v>
      </c>
      <c r="AN168" s="9" t="s">
        <v>95</v>
      </c>
      <c r="AO168" s="9"/>
      <c r="AP168" s="11">
        <f>IF($H168="Cancelled","",IFERROR(IF(OR(AK168="",AB168=""),"",(AB168+Variables!$B$18-AK168)),""))</f>
        <v>74</v>
      </c>
      <c r="AQ168" s="11">
        <f>IF($H168="Cancelled","",IFERROR(IF(OR(AM168="",AK168=""),"",(AK168+Variables!$B$19)-AM168),""))</f>
        <v>-18</v>
      </c>
      <c r="AR168" s="12">
        <f>IF($H168="Cancelled","",IFERROR(T168*INDEX(Variables!$B$7:$D$7,IFERROR(MATCH(IF($B168="Robusta","Robusta",(IF($B168="","Arabica",$B168))&amp;" - "&amp;(IF($C168="","Commercial",$C168))),Variables!$B$1:$D$1,0),1))*(AQ168/365),""))</f>
        <v>-61.147968978468548</v>
      </c>
      <c r="AS168" s="12">
        <f>IF($H168="Cancelled","",IFERROR((T168*INDEX(Variables!$B$7:$D$7,IFERROR(MATCH(IF($B168="Robusta","Robusta",(IF($B168="","Arabica",$B168))&amp;" - "&amp;(IF($C168="","Commercial",$C168))),Variables!$B$1:$D$1,0),1))*IFERROR(IF(W168="","",(AVERAGE(E168:F168)-W168)-Variables!$B$14),"")/365)+(L168/16.67*INDEX(Variables!$B$8:$D$8,IFERROR(MATCH(IF($B168="Robusta","Robusta",(IF($B168="","Arabica",$B168))&amp;" - "&amp;(IF($C168="","Commercial",$C168))),Variables!$B$1:$D$1,0),1))*IFERROR(IF(W168="","",(AVERAGE(E168:F168)-W168)-Variables!$B$14),""))+(T168*INDEX(Variables!$B$9:$D$9,IFERROR(MATCH(IF($B168="Robusta","Robusta",(IF($B168="","Arabica",$B168))&amp;" - "&amp;(IF($C168="","Commercial",$C168))),Variables!$B$1:$D$1,0),1))*IFERROR(IF(W168="","",(AVERAGE(E168:F168)-W168)-Variables!$B$14),"")/365),""))</f>
        <v>-89.113570254985177</v>
      </c>
      <c r="AT168" s="12">
        <f>IF($H168="Cancelled","",IFERROR((T168*INDEX(Variables!$B$7:$D$7,IFERROR(MATCH(IF($B168="Robusta","Robusta",(IF($B168="","Arabica",$B168))&amp;" - "&amp;(IF($C168="","Commercial",$C168))),Variables!$B$1:$D$1,0),1))*AC168/365)+(L168/16.67*INDEX(Variables!$B$8:$D$8,IFERROR(MATCH(IF($B168="Robusta","Robusta",(IF($B168="","Arabica",$B168))&amp;" - "&amp;(IF($C168="","Commercial",$C168))),Variables!$B$1:$D$1,0),1))*AC168)+(T168*INDEX(Variables!$B$9:$D$9,IFERROR(MATCH(IF($B168="Robusta","Robusta",(IF($B168="","Arabica",$B168))&amp;" - "&amp;(IF($C168="","Commercial",$C168))),Variables!$B$1:$D$1,0),1))*AC168/365),""))</f>
        <v>-469.33147000958854</v>
      </c>
      <c r="AU168" s="12">
        <f>IF($H168="Cancelled","",IFERROR((T168*INDEX(Variables!$B$7:$D$7,IFERROR(MATCH(IF($B168="Robusta","Robusta",(IF($B168="","Arabica",$B168))&amp;" - "&amp;(IF($C168="","Commercial",$C168))),Variables!$B$1:$D$1,0),1))*AP168/365)+(L168/16.67*INDEX(Variables!$B$8:$D$8,IFERROR(MATCH(IF($B168="Robusta","Robusta",(IF($B168="","Arabica",$B168))&amp;" - "&amp;(IF($C168="","Commercial",$C168))),Variables!$B$1:$D$1,0),1))*AP168)+(T168*INDEX(Variables!$B$9:$D$9,IFERROR(MATCH(IF($B168="Robusta","Robusta",(IF($B168="","Arabica",$B168))&amp;" - "&amp;(IF($C168="","Commercial",$C168))),Variables!$B$1:$D$1,0),1))*AP168/365),""))</f>
        <v>439.62694659126021</v>
      </c>
      <c r="AV168" s="11">
        <f t="shared" si="15"/>
        <v>10</v>
      </c>
      <c r="AW168" s="12">
        <f>IF($H168="Cancelled","",IFERROR(IF(AV168="","",(T168*INDEX(Variables!$B$7:$D$7,IFERROR(MATCH(IF($B168="Robusta","Robusta",(IF($B168="","Arabica",$B168))&amp;" - "&amp;(IF($C168="","Commercial",$C168))),Variables!$B$1:$D$1,0),1))*(AV168/365))+(T168*INDEX(Variables!$B$9:$D$9,IFERROR(MATCH(IF($B168="Robusta","Robusta",(IF($B168="","Arabica",$B168))&amp;" - "&amp;(IF($C168="","Commercial",$C168))),Variables!$B$1:$D$1,0),1))*(AV168/365))+(INDEX(Variables!$B$8:$D$8,IFERROR(MATCH(IF($B168="Robusta","Robusta",(IF($B168="","Arabica",$B168))&amp;" - "&amp;(IF($C168="","Commercial",$C168))),Variables!$B$1:$D$1,0),1))*L168/16.67)),""))</f>
        <v>36.909046836656778</v>
      </c>
      <c r="AX168" s="9"/>
      <c r="AY168" s="12"/>
      <c r="AZ168" s="10"/>
      <c r="BA168" s="9"/>
      <c r="BB168" s="10"/>
      <c r="BC168" s="9"/>
      <c r="BD168" s="9"/>
      <c r="BE168" s="9"/>
      <c r="BF168" s="9"/>
    </row>
    <row r="169" spans="1:58" x14ac:dyDescent="0.25">
      <c r="A169" s="9" t="s">
        <v>84</v>
      </c>
      <c r="B169" s="9" t="s">
        <v>85</v>
      </c>
      <c r="C169" s="9" t="s">
        <v>86</v>
      </c>
      <c r="D169" s="10">
        <v>45462</v>
      </c>
      <c r="E169" s="10">
        <v>45474</v>
      </c>
      <c r="F169" s="10">
        <v>45535</v>
      </c>
      <c r="G169" s="9">
        <v>3786433</v>
      </c>
      <c r="H169" s="9" t="str">
        <f t="shared" si="13"/>
        <v>Closed</v>
      </c>
      <c r="I169" s="9" t="str">
        <f t="shared" si="14"/>
        <v>All dates received</v>
      </c>
      <c r="J169" s="9" t="s">
        <v>322</v>
      </c>
      <c r="K169" s="9">
        <v>5039</v>
      </c>
      <c r="L169" s="11">
        <v>320</v>
      </c>
      <c r="M169" s="9" t="s">
        <v>521</v>
      </c>
      <c r="N169" s="9" t="s">
        <v>122</v>
      </c>
      <c r="O169" s="9"/>
      <c r="P169" s="9"/>
      <c r="Q169" s="11"/>
      <c r="R169" s="9" t="s">
        <v>90</v>
      </c>
      <c r="S169" s="9" t="s">
        <v>123</v>
      </c>
      <c r="T169" s="12">
        <f>IF($H169="Cancelled","",IFERROR(((Q169+INDEX(Variables!$B$6:$D$6,IFERROR(MATCH(IF($B169="Robusta","Robusta",(IF($B169="","Arabica",$B169))&amp;" - "&amp;(IF($C169="","Commercial",$C169))),Variables!$B$1:$D$1,0),1)))*22.0462)*(L169/16.67),""))</f>
        <v>123067.25778044391</v>
      </c>
      <c r="U169" s="10">
        <v>45467</v>
      </c>
      <c r="V169" s="9" t="str">
        <f t="shared" si="18"/>
        <v>Sent</v>
      </c>
      <c r="W169" s="10">
        <v>45485</v>
      </c>
      <c r="X169" s="9" t="str">
        <f t="shared" si="17"/>
        <v>Approved</v>
      </c>
      <c r="Y169" s="10"/>
      <c r="Z169" s="10">
        <f>IF($H169="Cancelled","",IFERROR(IF(F169="","",F169-Variables!$B$13),""))</f>
        <v>45520</v>
      </c>
      <c r="AA169" s="11">
        <f>IF($H169="Cancelled","",IFERROR(IF(W169="","",(AVERAGE(E169:F169)-W169)-Variables!$B$14),""))</f>
        <v>-10.5</v>
      </c>
      <c r="AB169" s="10">
        <v>45562</v>
      </c>
      <c r="AC169" s="11">
        <f>IF($H169="Cancelled","",IFERROR(IF(AB169="","",IF(AND(W169="",Y169=""),"",IF(Y169&gt;W169,Y169+Variables!$B$15+Variables!$B$16+Variables!$B$17-AB169,W169+Variables!$B$16+Variables!$B$17-AB169))),""))</f>
        <v>-69</v>
      </c>
      <c r="AD169" s="9" t="s">
        <v>352</v>
      </c>
      <c r="AE169" s="9" t="s">
        <v>108</v>
      </c>
      <c r="AF169" s="10"/>
      <c r="AG169" s="10"/>
      <c r="AH169" s="9"/>
      <c r="AI169" s="9" t="s">
        <v>522</v>
      </c>
      <c r="AJ169" s="9" t="s">
        <v>354</v>
      </c>
      <c r="AK169" s="10">
        <v>45512</v>
      </c>
      <c r="AL169" s="10">
        <v>45518</v>
      </c>
      <c r="AM169" s="10">
        <v>45524</v>
      </c>
      <c r="AN169" s="9" t="s">
        <v>95</v>
      </c>
      <c r="AO169" s="9"/>
      <c r="AP169" s="11">
        <f>IF($H169="Cancelled","",IFERROR(IF(OR(AK169="",AB169=""),"",(AB169+Variables!$B$18-AK169)),""))</f>
        <v>57</v>
      </c>
      <c r="AQ169" s="11">
        <f>IF($H169="Cancelled","",IFERROR(IF(OR(AM169="",AK169=""),"",(AK169+Variables!$B$19)-AM169),""))</f>
        <v>-7</v>
      </c>
      <c r="AR169" s="12">
        <f>IF($H169="Cancelled","",IFERROR(T169*INDEX(Variables!$B$7:$D$7,IFERROR(MATCH(IF($B169="Robusta","Robusta",(IF($B169="","Arabica",$B169))&amp;" - "&amp;(IF($C169="","Commercial",$C169))),Variables!$B$1:$D$1,0),1))*(AQ169/365),""))</f>
        <v>-152.19050056863284</v>
      </c>
      <c r="AS169" s="12">
        <f>IF($H169="Cancelled","",IFERROR((T169*INDEX(Variables!$B$7:$D$7,IFERROR(MATCH(IF($B169="Robusta","Robusta",(IF($B169="","Arabica",$B169))&amp;" - "&amp;(IF($C169="","Commercial",$C169))),Variables!$B$1:$D$1,0),1))*IFERROR(IF(W169="","",(AVERAGE(E169:F169)-W169)-Variables!$B$14),"")/365)+(L169/16.67*INDEX(Variables!$B$8:$D$8,IFERROR(MATCH(IF($B169="Robusta","Robusta",(IF($B169="","Arabica",$B169))&amp;" - "&amp;(IF($C169="","Commercial",$C169))),Variables!$B$1:$D$1,0),1))*IFERROR(IF(W169="","",(AVERAGE(E169:F169)-W169)-Variables!$B$14),""))+(T169*INDEX(Variables!$B$9:$D$9,IFERROR(MATCH(IF($B169="Robusta","Robusta",(IF($B169="","Arabica",$B169))&amp;" - "&amp;(IF($C169="","Commercial",$C169))),Variables!$B$1:$D$1,0),1))*IFERROR(IF(W169="","",(AVERAGE(E169:F169)-W169)-Variables!$B$14),"")/365),""))</f>
        <v>-399.22879474233355</v>
      </c>
      <c r="AT169" s="12">
        <f>IF($H169="Cancelled","",IFERROR((T169*INDEX(Variables!$B$7:$D$7,IFERROR(MATCH(IF($B169="Robusta","Robusta",(IF($B169="","Arabica",$B169))&amp;" - "&amp;(IF($C169="","Commercial",$C169))),Variables!$B$1:$D$1,0),1))*AC169/365)+(L169/16.67*INDEX(Variables!$B$8:$D$8,IFERROR(MATCH(IF($B169="Robusta","Robusta",(IF($B169="","Arabica",$B169))&amp;" - "&amp;(IF($C169="","Commercial",$C169))),Variables!$B$1:$D$1,0),1))*AC169)+(T169*INDEX(Variables!$B$9:$D$9,IFERROR(MATCH(IF($B169="Robusta","Robusta",(IF($B169="","Arabica",$B169))&amp;" - "&amp;(IF($C169="","Commercial",$C169))),Variables!$B$1:$D$1,0),1))*AC169/365),""))</f>
        <v>-2623.5035083067633</v>
      </c>
      <c r="AU169" s="12">
        <f>IF($H169="Cancelled","",IFERROR((T169*INDEX(Variables!$B$7:$D$7,IFERROR(MATCH(IF($B169="Robusta","Robusta",(IF($B169="","Arabica",$B169))&amp;" - "&amp;(IF($C169="","Commercial",$C169))),Variables!$B$1:$D$1,0),1))*AP169/365)+(L169/16.67*INDEX(Variables!$B$8:$D$8,IFERROR(MATCH(IF($B169="Robusta","Robusta",(IF($B169="","Arabica",$B169))&amp;" - "&amp;(IF($C169="","Commercial",$C169))),Variables!$B$1:$D$1,0),1))*AP169)+(T169*INDEX(Variables!$B$9:$D$9,IFERROR(MATCH(IF($B169="Robusta","Robusta",(IF($B169="","Arabica",$B169))&amp;" - "&amp;(IF($C169="","Commercial",$C169))),Variables!$B$1:$D$1,0),1))*AP169/365),""))</f>
        <v>2167.2420286012393</v>
      </c>
      <c r="AV169" s="11">
        <f t="shared" si="15"/>
        <v>23</v>
      </c>
      <c r="AW169" s="12">
        <f>IF($H169="Cancelled","",IFERROR(IF(AV169="","",(T169*INDEX(Variables!$B$7:$D$7,IFERROR(MATCH(IF($B169="Robusta","Robusta",(IF($B169="","Arabica",$B169))&amp;" - "&amp;(IF($C169="","Commercial",$C169))),Variables!$B$1:$D$1,0),1))*(AV169/365))+(T169*INDEX(Variables!$B$9:$D$9,IFERROR(MATCH(IF($B169="Robusta","Robusta",(IF($B169="","Arabica",$B169))&amp;" - "&amp;(IF($C169="","Commercial",$C169))),Variables!$B$1:$D$1,0),1))*(AV169/365))+(INDEX(Variables!$B$8:$D$8,IFERROR(MATCH(IF($B169="Robusta","Robusta",(IF($B169="","Arabica",$B169))&amp;" - "&amp;(IF($C169="","Commercial",$C169))),Variables!$B$1:$D$1,0),1))*L169/16.67)),""))</f>
        <v>522.50116943558783</v>
      </c>
      <c r="AX169" s="9"/>
      <c r="AY169" s="12"/>
      <c r="AZ169" s="10"/>
      <c r="BA169" s="9"/>
      <c r="BB169" s="10"/>
      <c r="BC169" s="9"/>
      <c r="BD169" s="9"/>
      <c r="BE169" s="9"/>
      <c r="BF169" s="9"/>
    </row>
    <row r="170" spans="1:58" x14ac:dyDescent="0.25">
      <c r="A170" s="9" t="s">
        <v>84</v>
      </c>
      <c r="B170" s="9" t="s">
        <v>85</v>
      </c>
      <c r="C170" s="9" t="s">
        <v>86</v>
      </c>
      <c r="D170" s="10">
        <v>45462</v>
      </c>
      <c r="E170" s="10">
        <v>45505</v>
      </c>
      <c r="F170" s="10">
        <v>45535</v>
      </c>
      <c r="G170" s="9">
        <v>3786434</v>
      </c>
      <c r="H170" s="9" t="str">
        <f t="shared" si="13"/>
        <v>Closed</v>
      </c>
      <c r="I170" s="9" t="str">
        <f t="shared" si="14"/>
        <v>All dates received</v>
      </c>
      <c r="J170" s="9" t="s">
        <v>322</v>
      </c>
      <c r="K170" s="9">
        <v>5051</v>
      </c>
      <c r="L170" s="11">
        <v>320</v>
      </c>
      <c r="M170" s="9" t="s">
        <v>523</v>
      </c>
      <c r="N170" s="9" t="s">
        <v>227</v>
      </c>
      <c r="O170" s="9"/>
      <c r="P170" s="9"/>
      <c r="Q170" s="11"/>
      <c r="R170" s="9" t="s">
        <v>90</v>
      </c>
      <c r="S170" s="9" t="s">
        <v>123</v>
      </c>
      <c r="T170" s="12">
        <f>IF($H170="Cancelled","",IFERROR(((Q170+INDEX(Variables!$B$6:$D$6,IFERROR(MATCH(IF($B170="Robusta","Robusta",(IF($B170="","Arabica",$B170))&amp;" - "&amp;(IF($C170="","Commercial",$C170))),Variables!$B$1:$D$1,0),1)))*22.0462)*(L170/16.67),""))</f>
        <v>123067.25778044391</v>
      </c>
      <c r="U170" s="10">
        <v>45467</v>
      </c>
      <c r="V170" s="9" t="str">
        <f t="shared" si="18"/>
        <v>Sent</v>
      </c>
      <c r="W170" s="10">
        <v>45489</v>
      </c>
      <c r="X170" s="9" t="str">
        <f t="shared" si="17"/>
        <v>Approved</v>
      </c>
      <c r="Y170" s="10"/>
      <c r="Z170" s="10">
        <f>IF($H170="Cancelled","",IFERROR(IF(F170="","",F170-Variables!$B$13),""))</f>
        <v>45520</v>
      </c>
      <c r="AA170" s="11">
        <f>IF($H170="Cancelled","",IFERROR(IF(W170="","",(AVERAGE(E170:F170)-W170)-Variables!$B$14),""))</f>
        <v>1</v>
      </c>
      <c r="AB170" s="10">
        <v>45562</v>
      </c>
      <c r="AC170" s="11">
        <f>IF($H170="Cancelled","",IFERROR(IF(AB170="","",IF(AND(W170="",Y170=""),"",IF(Y170&gt;W170,Y170+Variables!$B$15+Variables!$B$16+Variables!$B$17-AB170,W170+Variables!$B$16+Variables!$B$17-AB170))),""))</f>
        <v>-65</v>
      </c>
      <c r="AD170" s="9" t="s">
        <v>352</v>
      </c>
      <c r="AE170" s="9" t="s">
        <v>191</v>
      </c>
      <c r="AF170" s="10"/>
      <c r="AG170" s="10"/>
      <c r="AH170" s="9"/>
      <c r="AI170" s="9" t="s">
        <v>524</v>
      </c>
      <c r="AJ170" s="9" t="s">
        <v>525</v>
      </c>
      <c r="AK170" s="10">
        <v>45518</v>
      </c>
      <c r="AL170" s="10">
        <v>45524</v>
      </c>
      <c r="AM170" s="10">
        <v>45537</v>
      </c>
      <c r="AN170" s="9" t="s">
        <v>95</v>
      </c>
      <c r="AO170" s="9"/>
      <c r="AP170" s="11">
        <f>IF($H170="Cancelled","",IFERROR(IF(OR(AK170="",AB170=""),"",(AB170+Variables!$B$18-AK170)),""))</f>
        <v>51</v>
      </c>
      <c r="AQ170" s="11">
        <f>IF($H170="Cancelled","",IFERROR(IF(OR(AM170="",AK170=""),"",(AK170+Variables!$B$19)-AM170),""))</f>
        <v>-14</v>
      </c>
      <c r="AR170" s="12">
        <f>IF($H170="Cancelled","",IFERROR(T170*INDEX(Variables!$B$7:$D$7,IFERROR(MATCH(IF($B170="Robusta","Robusta",(IF($B170="","Arabica",$B170))&amp;" - "&amp;(IF($C170="","Commercial",$C170))),Variables!$B$1:$D$1,0),1))*(AQ170/365),""))</f>
        <v>-304.38100113726568</v>
      </c>
      <c r="AS170" s="12">
        <f>IF($H170="Cancelled","",IFERROR((T170*INDEX(Variables!$B$7:$D$7,IFERROR(MATCH(IF($B170="Robusta","Robusta",(IF($B170="","Arabica",$B170))&amp;" - "&amp;(IF($C170="","Commercial",$C170))),Variables!$B$1:$D$1,0),1))*IFERROR(IF(W170="","",(AVERAGE(E170:F170)-W170)-Variables!$B$14),"")/365)+(L170/16.67*INDEX(Variables!$B$8:$D$8,IFERROR(MATCH(IF($B170="Robusta","Robusta",(IF($B170="","Arabica",$B170))&amp;" - "&amp;(IF($C170="","Commercial",$C170))),Variables!$B$1:$D$1,0),1))*IFERROR(IF(W170="","",(AVERAGE(E170:F170)-W170)-Variables!$B$14),""))+(T170*INDEX(Variables!$B$9:$D$9,IFERROR(MATCH(IF($B170="Robusta","Robusta",(IF($B170="","Arabica",$B170))&amp;" - "&amp;(IF($C170="","Commercial",$C170))),Variables!$B$1:$D$1,0),1))*IFERROR(IF(W170="","",(AVERAGE(E170:F170)-W170)-Variables!$B$14),"")/365),""))</f>
        <v>38.021789975460337</v>
      </c>
      <c r="AT170" s="12">
        <f>IF($H170="Cancelled","",IFERROR((T170*INDEX(Variables!$B$7:$D$7,IFERROR(MATCH(IF($B170="Robusta","Robusta",(IF($B170="","Arabica",$B170))&amp;" - "&amp;(IF($C170="","Commercial",$C170))),Variables!$B$1:$D$1,0),1))*AC170/365)+(L170/16.67*INDEX(Variables!$B$8:$D$8,IFERROR(MATCH(IF($B170="Robusta","Robusta",(IF($B170="","Arabica",$B170))&amp;" - "&amp;(IF($C170="","Commercial",$C170))),Variables!$B$1:$D$1,0),1))*AC170)+(T170*INDEX(Variables!$B$9:$D$9,IFERROR(MATCH(IF($B170="Robusta","Robusta",(IF($B170="","Arabica",$B170))&amp;" - "&amp;(IF($C170="","Commercial",$C170))),Variables!$B$1:$D$1,0),1))*AC170/365),""))</f>
        <v>-2471.4163484049218</v>
      </c>
      <c r="AU170" s="12">
        <f>IF($H170="Cancelled","",IFERROR((T170*INDEX(Variables!$B$7:$D$7,IFERROR(MATCH(IF($B170="Robusta","Robusta",(IF($B170="","Arabica",$B170))&amp;" - "&amp;(IF($C170="","Commercial",$C170))),Variables!$B$1:$D$1,0),1))*AP170/365)+(L170/16.67*INDEX(Variables!$B$8:$D$8,IFERROR(MATCH(IF($B170="Robusta","Robusta",(IF($B170="","Arabica",$B170))&amp;" - "&amp;(IF($C170="","Commercial",$C170))),Variables!$B$1:$D$1,0),1))*AP170)+(T170*INDEX(Variables!$B$9:$D$9,IFERROR(MATCH(IF($B170="Robusta","Robusta",(IF($B170="","Arabica",$B170))&amp;" - "&amp;(IF($C170="","Commercial",$C170))),Variables!$B$1:$D$1,0),1))*AP170/365),""))</f>
        <v>1939.1112887484771</v>
      </c>
      <c r="AV170" s="11">
        <f t="shared" si="15"/>
        <v>17</v>
      </c>
      <c r="AW170" s="12">
        <f>IF($H170="Cancelled","",IFERROR(IF(AV170="","",(T170*INDEX(Variables!$B$7:$D$7,IFERROR(MATCH(IF($B170="Robusta","Robusta",(IF($B170="","Arabica",$B170))&amp;" - "&amp;(IF($C170="","Commercial",$C170))),Variables!$B$1:$D$1,0),1))*(AV170/365))+(T170*INDEX(Variables!$B$9:$D$9,IFERROR(MATCH(IF($B170="Robusta","Robusta",(IF($B170="","Arabica",$B170))&amp;" - "&amp;(IF($C170="","Commercial",$C170))),Variables!$B$1:$D$1,0),1))*(AV170/365))+(INDEX(Variables!$B$8:$D$8,IFERROR(MATCH(IF($B170="Robusta","Robusta",(IF($B170="","Arabica",$B170))&amp;" - "&amp;(IF($C170="","Commercial",$C170))),Variables!$B$1:$D$1,0),1))*L170/16.67)),""))</f>
        <v>390.37042958282575</v>
      </c>
      <c r="AX170" s="9"/>
      <c r="AY170" s="12"/>
      <c r="AZ170" s="10"/>
      <c r="BA170" s="9"/>
      <c r="BB170" s="10"/>
      <c r="BC170" s="9"/>
      <c r="BD170" s="9"/>
      <c r="BE170" s="9"/>
      <c r="BF170" s="9"/>
    </row>
    <row r="171" spans="1:58" x14ac:dyDescent="0.25">
      <c r="A171" s="9" t="s">
        <v>84</v>
      </c>
      <c r="B171" s="9" t="s">
        <v>85</v>
      </c>
      <c r="C171" s="9" t="s">
        <v>86</v>
      </c>
      <c r="D171" s="10">
        <v>45462</v>
      </c>
      <c r="E171" s="10">
        <v>45505</v>
      </c>
      <c r="F171" s="10">
        <v>45535</v>
      </c>
      <c r="G171" s="9">
        <v>3786435</v>
      </c>
      <c r="H171" s="9" t="str">
        <f t="shared" si="13"/>
        <v>Closed</v>
      </c>
      <c r="I171" s="9" t="str">
        <f t="shared" si="14"/>
        <v>All dates received</v>
      </c>
      <c r="J171" s="9" t="s">
        <v>322</v>
      </c>
      <c r="K171" s="9" t="s">
        <v>526</v>
      </c>
      <c r="L171" s="11">
        <v>285</v>
      </c>
      <c r="M171" s="9" t="s">
        <v>523</v>
      </c>
      <c r="N171" s="9" t="s">
        <v>227</v>
      </c>
      <c r="O171" s="9"/>
      <c r="P171" s="9"/>
      <c r="Q171" s="11"/>
      <c r="R171" s="9" t="s">
        <v>90</v>
      </c>
      <c r="S171" s="9" t="s">
        <v>123</v>
      </c>
      <c r="T171" s="12">
        <f>IF($H171="Cancelled","",IFERROR(((Q171+INDEX(Variables!$B$6:$D$6,IFERROR(MATCH(IF($B171="Robusta","Robusta",(IF($B171="","Arabica",$B171))&amp;" - "&amp;(IF($C171="","Commercial",$C171))),Variables!$B$1:$D$1,0),1)))*22.0462)*(L171/16.67),""))</f>
        <v>109606.77646070786</v>
      </c>
      <c r="U171" s="10">
        <v>45467</v>
      </c>
      <c r="V171" s="9" t="str">
        <f t="shared" si="18"/>
        <v>Sent</v>
      </c>
      <c r="W171" s="10">
        <v>45485</v>
      </c>
      <c r="X171" s="9" t="str">
        <f t="shared" si="17"/>
        <v>Approved</v>
      </c>
      <c r="Y171" s="10"/>
      <c r="Z171" s="10">
        <f>IF($H171="Cancelled","",IFERROR(IF(F171="","",F171-Variables!$B$13),""))</f>
        <v>45520</v>
      </c>
      <c r="AA171" s="11">
        <f>IF($H171="Cancelled","",IFERROR(IF(W171="","",(AVERAGE(E171:F171)-W171)-Variables!$B$14),""))</f>
        <v>5</v>
      </c>
      <c r="AB171" s="10">
        <v>45566</v>
      </c>
      <c r="AC171" s="11">
        <f>IF($H171="Cancelled","",IFERROR(IF(AB171="","",IF(AND(W171="",Y171=""),"",IF(Y171&gt;W171,Y171+Variables!$B$15+Variables!$B$16+Variables!$B$17-AB171,W171+Variables!$B$16+Variables!$B$17-AB171))),""))</f>
        <v>-73</v>
      </c>
      <c r="AD171" s="9" t="s">
        <v>527</v>
      </c>
      <c r="AE171" s="9" t="s">
        <v>93</v>
      </c>
      <c r="AF171" s="10"/>
      <c r="AG171" s="10"/>
      <c r="AH171" s="9"/>
      <c r="AI171" s="9" t="s">
        <v>528</v>
      </c>
      <c r="AJ171" s="9" t="s">
        <v>529</v>
      </c>
      <c r="AK171" s="10">
        <v>45516</v>
      </c>
      <c r="AL171" s="10">
        <v>45524</v>
      </c>
      <c r="AM171" s="10">
        <v>45531</v>
      </c>
      <c r="AN171" s="9" t="s">
        <v>95</v>
      </c>
      <c r="AO171" s="9"/>
      <c r="AP171" s="11">
        <f>IF($H171="Cancelled","",IFERROR(IF(OR(AK171="",AB171=""),"",(AB171+Variables!$B$18-AK171)),""))</f>
        <v>57</v>
      </c>
      <c r="AQ171" s="11">
        <f>IF($H171="Cancelled","",IFERROR(IF(OR(AM171="",AK171=""),"",(AK171+Variables!$B$19)-AM171),""))</f>
        <v>-10</v>
      </c>
      <c r="AR171" s="12">
        <f>IF($H171="Cancelled","",IFERROR(T171*INDEX(Variables!$B$7:$D$7,IFERROR(MATCH(IF($B171="Robusta","Robusta",(IF($B171="","Arabica",$B171))&amp;" - "&amp;(IF($C171="","Commercial",$C171))),Variables!$B$1:$D$1,0),1))*(AQ171/365),""))</f>
        <v>-193.63523509848372</v>
      </c>
      <c r="AS171" s="12">
        <f>IF($H171="Cancelled","",IFERROR((T171*INDEX(Variables!$B$7:$D$7,IFERROR(MATCH(IF($B171="Robusta","Robusta",(IF($B171="","Arabica",$B171))&amp;" - "&amp;(IF($C171="","Commercial",$C171))),Variables!$B$1:$D$1,0),1))*IFERROR(IF(W171="","",(AVERAGE(E171:F171)-W171)-Variables!$B$14),"")/365)+(L171/16.67*INDEX(Variables!$B$8:$D$8,IFERROR(MATCH(IF($B171="Robusta","Robusta",(IF($B171="","Arabica",$B171))&amp;" - "&amp;(IF($C171="","Commercial",$C171))),Variables!$B$1:$D$1,0),1))*IFERROR(IF(W171="","",(AVERAGE(E171:F171)-W171)-Variables!$B$14),""))+(T171*INDEX(Variables!$B$9:$D$9,IFERROR(MATCH(IF($B171="Robusta","Robusta",(IF($B171="","Arabica",$B171))&amp;" - "&amp;(IF($C171="","Commercial",$C171))),Variables!$B$1:$D$1,0),1))*IFERROR(IF(W171="","",(AVERAGE(E171:F171)-W171)-Variables!$B$14),"")/365),""))</f>
        <v>169.31578348447184</v>
      </c>
      <c r="AT171" s="12">
        <f>IF($H171="Cancelled","",IFERROR((T171*INDEX(Variables!$B$7:$D$7,IFERROR(MATCH(IF($B171="Robusta","Robusta",(IF($B171="","Arabica",$B171))&amp;" - "&amp;(IF($C171="","Commercial",$C171))),Variables!$B$1:$D$1,0),1))*AC171/365)+(L171/16.67*INDEX(Variables!$B$8:$D$8,IFERROR(MATCH(IF($B171="Robusta","Robusta",(IF($B171="","Arabica",$B171))&amp;" - "&amp;(IF($C171="","Commercial",$C171))),Variables!$B$1:$D$1,0),1))*AC171)+(T171*INDEX(Variables!$B$9:$D$9,IFERROR(MATCH(IF($B171="Robusta","Robusta",(IF($B171="","Arabica",$B171))&amp;" - "&amp;(IF($C171="","Commercial",$C171))),Variables!$B$1:$D$1,0),1))*AC171/365),""))</f>
        <v>-2472.0104388732889</v>
      </c>
      <c r="AU171" s="12">
        <f>IF($H171="Cancelled","",IFERROR((T171*INDEX(Variables!$B$7:$D$7,IFERROR(MATCH(IF($B171="Robusta","Robusta",(IF($B171="","Arabica",$B171))&amp;" - "&amp;(IF($C171="","Commercial",$C171))),Variables!$B$1:$D$1,0),1))*AP171/365)+(L171/16.67*INDEX(Variables!$B$8:$D$8,IFERROR(MATCH(IF($B171="Robusta","Robusta",(IF($B171="","Arabica",$B171))&amp;" - "&amp;(IF($C171="","Commercial",$C171))),Variables!$B$1:$D$1,0),1))*AP171)+(T171*INDEX(Variables!$B$9:$D$9,IFERROR(MATCH(IF($B171="Robusta","Robusta",(IF($B171="","Arabica",$B171))&amp;" - "&amp;(IF($C171="","Commercial",$C171))),Variables!$B$1:$D$1,0),1))*AP171/365),""))</f>
        <v>1930.1999317229786</v>
      </c>
      <c r="AV171" s="11">
        <f t="shared" si="15"/>
        <v>19</v>
      </c>
      <c r="AW171" s="12">
        <f>IF($H171="Cancelled","",IFERROR(IF(AV171="","",(T171*INDEX(Variables!$B$7:$D$7,IFERROR(MATCH(IF($B171="Robusta","Robusta",(IF($B171="","Arabica",$B171))&amp;" - "&amp;(IF($C171="","Commercial",$C171))),Variables!$B$1:$D$1,0),1))*(AV171/365))+(T171*INDEX(Variables!$B$9:$D$9,IFERROR(MATCH(IF($B171="Robusta","Robusta",(IF($B171="","Arabica",$B171))&amp;" - "&amp;(IF($C171="","Commercial",$C171))),Variables!$B$1:$D$1,0),1))*(AV171/365))+(INDEX(Variables!$B$8:$D$8,IFERROR(MATCH(IF($B171="Robusta","Robusta",(IF($B171="","Arabica",$B171))&amp;" - "&amp;(IF($C171="","Commercial",$C171))),Variables!$B$1:$D$1,0),1))*L171/16.67)),""))</f>
        <v>386.89997724099294</v>
      </c>
      <c r="AX171" s="9"/>
      <c r="AY171" s="12"/>
      <c r="AZ171" s="10"/>
      <c r="BA171" s="9"/>
      <c r="BB171" s="10"/>
      <c r="BC171" s="9"/>
      <c r="BD171" s="9"/>
      <c r="BE171" s="9"/>
      <c r="BF171" s="9"/>
    </row>
    <row r="172" spans="1:58" x14ac:dyDescent="0.25">
      <c r="A172" s="9" t="s">
        <v>84</v>
      </c>
      <c r="B172" s="9" t="s">
        <v>85</v>
      </c>
      <c r="C172" s="9" t="s">
        <v>86</v>
      </c>
      <c r="D172" s="10">
        <v>45464</v>
      </c>
      <c r="E172" s="10">
        <v>45474</v>
      </c>
      <c r="F172" s="10">
        <v>45504</v>
      </c>
      <c r="G172" s="9">
        <v>3786436</v>
      </c>
      <c r="H172" s="9" t="str">
        <f t="shared" si="13"/>
        <v>Closed</v>
      </c>
      <c r="I172" s="9" t="str">
        <f t="shared" si="14"/>
        <v>All dates received</v>
      </c>
      <c r="J172" s="9" t="s">
        <v>210</v>
      </c>
      <c r="K172" s="9">
        <v>5054</v>
      </c>
      <c r="L172" s="11">
        <v>640</v>
      </c>
      <c r="M172" s="9" t="s">
        <v>530</v>
      </c>
      <c r="N172" s="9" t="s">
        <v>122</v>
      </c>
      <c r="O172" s="9"/>
      <c r="P172" s="9"/>
      <c r="Q172" s="11"/>
      <c r="R172" s="9" t="s">
        <v>90</v>
      </c>
      <c r="S172" s="9" t="s">
        <v>150</v>
      </c>
      <c r="T172" s="12">
        <f>IF($H172="Cancelled","",IFERROR(((Q172+INDEX(Variables!$B$6:$D$6,IFERROR(MATCH(IF($B172="Robusta","Robusta",(IF($B172="","Arabica",$B172))&amp;" - "&amp;(IF($C172="","Commercial",$C172))),Variables!$B$1:$D$1,0),1)))*22.0462)*(L172/16.67),""))</f>
        <v>246134.51556088781</v>
      </c>
      <c r="U172" s="10">
        <v>45492</v>
      </c>
      <c r="V172" s="9" t="str">
        <f t="shared" si="18"/>
        <v>Sent</v>
      </c>
      <c r="W172" s="10">
        <v>45497</v>
      </c>
      <c r="X172" s="9" t="str">
        <f t="shared" si="17"/>
        <v>Approved</v>
      </c>
      <c r="Y172" s="10"/>
      <c r="Z172" s="10">
        <f>IF($H172="Cancelled","",IFERROR(IF(F172="","",F172-Variables!$B$13),""))</f>
        <v>45489</v>
      </c>
      <c r="AA172" s="11">
        <f>IF($H172="Cancelled","",IFERROR(IF(W172="","",(AVERAGE(E172:F172)-W172)-Variables!$B$14),""))</f>
        <v>-38</v>
      </c>
      <c r="AB172" s="10">
        <v>45568</v>
      </c>
      <c r="AC172" s="11">
        <f>IF($H172="Cancelled","",IFERROR(IF(AB172="","",IF(AND(W172="",Y172=""),"",IF(Y172&gt;W172,Y172+Variables!$B$15+Variables!$B$16+Variables!$B$17-AB172,W172+Variables!$B$16+Variables!$B$17-AB172))),""))</f>
        <v>-63</v>
      </c>
      <c r="AD172" s="9" t="s">
        <v>180</v>
      </c>
      <c r="AE172" s="9" t="s">
        <v>152</v>
      </c>
      <c r="AF172" s="10"/>
      <c r="AG172" s="10"/>
      <c r="AH172" s="9"/>
      <c r="AI172" s="9" t="s">
        <v>531</v>
      </c>
      <c r="AJ172" s="9" t="s">
        <v>8</v>
      </c>
      <c r="AK172" s="10">
        <v>45517</v>
      </c>
      <c r="AL172" s="10">
        <v>45524</v>
      </c>
      <c r="AM172" s="10">
        <v>45530</v>
      </c>
      <c r="AN172" s="9" t="s">
        <v>95</v>
      </c>
      <c r="AO172" s="9"/>
      <c r="AP172" s="11">
        <f>IF($H172="Cancelled","",IFERROR(IF(OR(AK172="",AB172=""),"",(AB172+Variables!$B$18-AK172)),""))</f>
        <v>58</v>
      </c>
      <c r="AQ172" s="11">
        <f>IF($H172="Cancelled","",IFERROR(IF(OR(AM172="",AK172=""),"",(AK172+Variables!$B$19)-AM172),""))</f>
        <v>-8</v>
      </c>
      <c r="AR172" s="12">
        <f>IF($H172="Cancelled","",IFERROR(T172*INDEX(Variables!$B$7:$D$7,IFERROR(MATCH(IF($B172="Robusta","Robusta",(IF($B172="","Arabica",$B172))&amp;" - "&amp;(IF($C172="","Commercial",$C172))),Variables!$B$1:$D$1,0),1))*(AQ172/365),""))</f>
        <v>-347.86400129973219</v>
      </c>
      <c r="AS172" s="12">
        <f>IF($H172="Cancelled","",IFERROR((T172*INDEX(Variables!$B$7:$D$7,IFERROR(MATCH(IF($B172="Robusta","Robusta",(IF($B172="","Arabica",$B172))&amp;" - "&amp;(IF($C172="","Commercial",$C172))),Variables!$B$1:$D$1,0),1))*IFERROR(IF(W172="","",(AVERAGE(E172:F172)-W172)-Variables!$B$14),"")/365)+(L172/16.67*INDEX(Variables!$B$8:$D$8,IFERROR(MATCH(IF($B172="Robusta","Robusta",(IF($B172="","Arabica",$B172))&amp;" - "&amp;(IF($C172="","Commercial",$C172))),Variables!$B$1:$D$1,0),1))*IFERROR(IF(W172="","",(AVERAGE(E172:F172)-W172)-Variables!$B$14),""))+(T172*INDEX(Variables!$B$9:$D$9,IFERROR(MATCH(IF($B172="Robusta","Robusta",(IF($B172="","Arabica",$B172))&amp;" - "&amp;(IF($C172="","Commercial",$C172))),Variables!$B$1:$D$1,0),1))*IFERROR(IF(W172="","",(AVERAGE(E172:F172)-W172)-Variables!$B$14),"")/365),""))</f>
        <v>-2889.6560381349859</v>
      </c>
      <c r="AT172" s="12">
        <f>IF($H172="Cancelled","",IFERROR((T172*INDEX(Variables!$B$7:$D$7,IFERROR(MATCH(IF($B172="Robusta","Robusta",(IF($B172="","Arabica",$B172))&amp;" - "&amp;(IF($C172="","Commercial",$C172))),Variables!$B$1:$D$1,0),1))*AC172/365)+(L172/16.67*INDEX(Variables!$B$8:$D$8,IFERROR(MATCH(IF($B172="Robusta","Robusta",(IF($B172="","Arabica",$B172))&amp;" - "&amp;(IF($C172="","Commercial",$C172))),Variables!$B$1:$D$1,0),1))*AC172)+(T172*INDEX(Variables!$B$9:$D$9,IFERROR(MATCH(IF($B172="Robusta","Robusta",(IF($B172="","Arabica",$B172))&amp;" - "&amp;(IF($C172="","Commercial",$C172))),Variables!$B$1:$D$1,0),1))*AC172/365),""))</f>
        <v>-4790.7455369080035</v>
      </c>
      <c r="AU172" s="12">
        <f>IF($H172="Cancelled","",IFERROR((T172*INDEX(Variables!$B$7:$D$7,IFERROR(MATCH(IF($B172="Robusta","Robusta",(IF($B172="","Arabica",$B172))&amp;" - "&amp;(IF($C172="","Commercial",$C172))),Variables!$B$1:$D$1,0),1))*AP172/365)+(L172/16.67*INDEX(Variables!$B$8:$D$8,IFERROR(MATCH(IF($B172="Robusta","Robusta",(IF($B172="","Arabica",$B172))&amp;" - "&amp;(IF($C172="","Commercial",$C172))),Variables!$B$1:$D$1,0),1))*AP172)+(T172*INDEX(Variables!$B$9:$D$9,IFERROR(MATCH(IF($B172="Robusta","Robusta",(IF($B172="","Arabica",$B172))&amp;" - "&amp;(IF($C172="","Commercial",$C172))),Variables!$B$1:$D$1,0),1))*AP172/365),""))</f>
        <v>4410.5276371533992</v>
      </c>
      <c r="AV172" s="11">
        <f t="shared" si="15"/>
        <v>-13</v>
      </c>
      <c r="AW172" s="12">
        <f>IF($H172="Cancelled","",IFERROR(IF(AV172="","",(T172*INDEX(Variables!$B$7:$D$7,IFERROR(MATCH(IF($B172="Robusta","Robusta",(IF($B172="","Arabica",$B172))&amp;" - "&amp;(IF($C172="","Commercial",$C172))),Variables!$B$1:$D$1,0),1))*(AV172/365))+(T172*INDEX(Variables!$B$9:$D$9,IFERROR(MATCH(IF($B172="Robusta","Robusta",(IF($B172="","Arabica",$B172))&amp;" - "&amp;(IF($C172="","Commercial",$C172))),Variables!$B$1:$D$1,0),1))*(AV172/365))+(INDEX(Variables!$B$8:$D$8,IFERROR(MATCH(IF($B172="Robusta","Robusta",(IF($B172="","Arabica",$B172))&amp;" - "&amp;(IF($C172="","Commercial",$C172))),Variables!$B$1:$D$1,0),1))*L172/16.67)),""))</f>
        <v>-540.56653936196869</v>
      </c>
      <c r="AX172" s="9"/>
      <c r="AY172" s="12"/>
      <c r="AZ172" s="10"/>
      <c r="BA172" s="9"/>
      <c r="BB172" s="10"/>
      <c r="BC172" s="9"/>
      <c r="BD172" s="9"/>
      <c r="BE172" s="9"/>
      <c r="BF172" s="9"/>
    </row>
    <row r="173" spans="1:58" x14ac:dyDescent="0.25">
      <c r="A173" s="9" t="s">
        <v>84</v>
      </c>
      <c r="B173" s="9" t="s">
        <v>85</v>
      </c>
      <c r="C173" s="9" t="s">
        <v>86</v>
      </c>
      <c r="D173" s="10">
        <v>45464</v>
      </c>
      <c r="E173" s="10">
        <v>45474</v>
      </c>
      <c r="F173" s="10">
        <v>45504</v>
      </c>
      <c r="G173" s="9">
        <v>3786436</v>
      </c>
      <c r="H173" s="9" t="str">
        <f t="shared" si="13"/>
        <v>Closed</v>
      </c>
      <c r="I173" s="9" t="str">
        <f t="shared" si="14"/>
        <v>All dates received</v>
      </c>
      <c r="J173" s="9" t="s">
        <v>210</v>
      </c>
      <c r="K173" s="9">
        <v>5054</v>
      </c>
      <c r="L173" s="11">
        <v>320</v>
      </c>
      <c r="M173" s="9" t="s">
        <v>530</v>
      </c>
      <c r="N173" s="9" t="s">
        <v>122</v>
      </c>
      <c r="O173" s="9"/>
      <c r="P173" s="9"/>
      <c r="Q173" s="11"/>
      <c r="R173" s="9" t="s">
        <v>90</v>
      </c>
      <c r="S173" s="9" t="s">
        <v>150</v>
      </c>
      <c r="T173" s="12">
        <f>IF($H173="Cancelled","",IFERROR(((Q173+INDEX(Variables!$B$6:$D$6,IFERROR(MATCH(IF($B173="Robusta","Robusta",(IF($B173="","Arabica",$B173))&amp;" - "&amp;(IF($C173="","Commercial",$C173))),Variables!$B$1:$D$1,0),1)))*22.0462)*(L173/16.67),""))</f>
        <v>123067.25778044391</v>
      </c>
      <c r="U173" s="10">
        <v>45492</v>
      </c>
      <c r="V173" s="9" t="str">
        <f t="shared" si="18"/>
        <v>Sent</v>
      </c>
      <c r="W173" s="10">
        <v>45497</v>
      </c>
      <c r="X173" s="9" t="str">
        <f t="shared" si="17"/>
        <v>Approved</v>
      </c>
      <c r="Y173" s="10"/>
      <c r="Z173" s="10">
        <f>IF($H173="Cancelled","",IFERROR(IF(F173="","",F173-Variables!$B$13),""))</f>
        <v>45489</v>
      </c>
      <c r="AA173" s="11">
        <f>IF($H173="Cancelled","",IFERROR(IF(W173="","",(AVERAGE(E173:F173)-W173)-Variables!$B$14),""))</f>
        <v>-38</v>
      </c>
      <c r="AB173" s="10">
        <v>45568</v>
      </c>
      <c r="AC173" s="11">
        <f>IF($H173="Cancelled","",IFERROR(IF(AB173="","",IF(AND(W173="",Y173=""),"",IF(Y173&gt;W173,Y173+Variables!$B$15+Variables!$B$16+Variables!$B$17-AB173,W173+Variables!$B$16+Variables!$B$17-AB173))),""))</f>
        <v>-63</v>
      </c>
      <c r="AD173" s="9" t="s">
        <v>180</v>
      </c>
      <c r="AE173" s="9" t="s">
        <v>532</v>
      </c>
      <c r="AF173" s="10"/>
      <c r="AG173" s="10"/>
      <c r="AH173" s="9"/>
      <c r="AI173" s="9" t="s">
        <v>533</v>
      </c>
      <c r="AJ173" s="9" t="s">
        <v>8</v>
      </c>
      <c r="AK173" s="10">
        <v>45522</v>
      </c>
      <c r="AL173" s="10">
        <v>45524</v>
      </c>
      <c r="AM173" s="10">
        <v>45532</v>
      </c>
      <c r="AN173" s="9" t="s">
        <v>95</v>
      </c>
      <c r="AO173" s="9"/>
      <c r="AP173" s="11">
        <f>IF($H173="Cancelled","",IFERROR(IF(OR(AK173="",AB173=""),"",(AB173+Variables!$B$18-AK173)),""))</f>
        <v>53</v>
      </c>
      <c r="AQ173" s="11">
        <f>IF($H173="Cancelled","",IFERROR(IF(OR(AM173="",AK173=""),"",(AK173+Variables!$B$19)-AM173),""))</f>
        <v>-5</v>
      </c>
      <c r="AR173" s="12">
        <f>IF($H173="Cancelled","",IFERROR(T173*INDEX(Variables!$B$7:$D$7,IFERROR(MATCH(IF($B173="Robusta","Robusta",(IF($B173="","Arabica",$B173))&amp;" - "&amp;(IF($C173="","Commercial",$C173))),Variables!$B$1:$D$1,0),1))*(AQ173/365),""))</f>
        <v>-108.7075004061663</v>
      </c>
      <c r="AS173" s="12">
        <f>IF($H173="Cancelled","",IFERROR((T173*INDEX(Variables!$B$7:$D$7,IFERROR(MATCH(IF($B173="Robusta","Robusta",(IF($B173="","Arabica",$B173))&amp;" - "&amp;(IF($C173="","Commercial",$C173))),Variables!$B$1:$D$1,0),1))*IFERROR(IF(W173="","",(AVERAGE(E173:F173)-W173)-Variables!$B$14),"")/365)+(L173/16.67*INDEX(Variables!$B$8:$D$8,IFERROR(MATCH(IF($B173="Robusta","Robusta",(IF($B173="","Arabica",$B173))&amp;" - "&amp;(IF($C173="","Commercial",$C173))),Variables!$B$1:$D$1,0),1))*IFERROR(IF(W173="","",(AVERAGE(E173:F173)-W173)-Variables!$B$14),""))+(T173*INDEX(Variables!$B$9:$D$9,IFERROR(MATCH(IF($B173="Robusta","Robusta",(IF($B173="","Arabica",$B173))&amp;" - "&amp;(IF($C173="","Commercial",$C173))),Variables!$B$1:$D$1,0),1))*IFERROR(IF(W173="","",(AVERAGE(E173:F173)-W173)-Variables!$B$14),"")/365),""))</f>
        <v>-1444.828019067493</v>
      </c>
      <c r="AT173" s="12">
        <f>IF($H173="Cancelled","",IFERROR((T173*INDEX(Variables!$B$7:$D$7,IFERROR(MATCH(IF($B173="Robusta","Robusta",(IF($B173="","Arabica",$B173))&amp;" - "&amp;(IF($C173="","Commercial",$C173))),Variables!$B$1:$D$1,0),1))*AC173/365)+(L173/16.67*INDEX(Variables!$B$8:$D$8,IFERROR(MATCH(IF($B173="Robusta","Robusta",(IF($B173="","Arabica",$B173))&amp;" - "&amp;(IF($C173="","Commercial",$C173))),Variables!$B$1:$D$1,0),1))*AC173)+(T173*INDEX(Variables!$B$9:$D$9,IFERROR(MATCH(IF($B173="Robusta","Robusta",(IF($B173="","Arabica",$B173))&amp;" - "&amp;(IF($C173="","Commercial",$C173))),Variables!$B$1:$D$1,0),1))*AC173/365),""))</f>
        <v>-2395.3727684540017</v>
      </c>
      <c r="AU173" s="12">
        <f>IF($H173="Cancelled","",IFERROR((T173*INDEX(Variables!$B$7:$D$7,IFERROR(MATCH(IF($B173="Robusta","Robusta",(IF($B173="","Arabica",$B173))&amp;" - "&amp;(IF($C173="","Commercial",$C173))),Variables!$B$1:$D$1,0),1))*AP173/365)+(L173/16.67*INDEX(Variables!$B$8:$D$8,IFERROR(MATCH(IF($B173="Robusta","Robusta",(IF($B173="","Arabica",$B173))&amp;" - "&amp;(IF($C173="","Commercial",$C173))),Variables!$B$1:$D$1,0),1))*AP173)+(T173*INDEX(Variables!$B$9:$D$9,IFERROR(MATCH(IF($B173="Robusta","Robusta",(IF($B173="","Arabica",$B173))&amp;" - "&amp;(IF($C173="","Commercial",$C173))),Variables!$B$1:$D$1,0),1))*AP173/365),""))</f>
        <v>2015.1548686993981</v>
      </c>
      <c r="AV173" s="11">
        <f t="shared" si="15"/>
        <v>-18</v>
      </c>
      <c r="AW173" s="12">
        <f>IF($H173="Cancelled","",IFERROR(IF(AV173="","",(T173*INDEX(Variables!$B$7:$D$7,IFERROR(MATCH(IF($B173="Robusta","Robusta",(IF($B173="","Arabica",$B173))&amp;" - "&amp;(IF($C173="","Commercial",$C173))),Variables!$B$1:$D$1,0),1))*(AV173/365))+(T173*INDEX(Variables!$B$9:$D$9,IFERROR(MATCH(IF($B173="Robusta","Robusta",(IF($B173="","Arabica",$B173))&amp;" - "&amp;(IF($C173="","Commercial",$C173))),Variables!$B$1:$D$1,0),1))*(AV173/365))+(INDEX(Variables!$B$8:$D$8,IFERROR(MATCH(IF($B173="Robusta","Robusta",(IF($B173="","Arabica",$B173))&amp;" - "&amp;(IF($C173="","Commercial",$C173))),Variables!$B$1:$D$1,0),1))*L173/16.67)),""))</f>
        <v>-380.39221955828611</v>
      </c>
      <c r="AX173" s="9"/>
      <c r="AY173" s="12"/>
      <c r="AZ173" s="10"/>
      <c r="BA173" s="9"/>
      <c r="BB173" s="10"/>
      <c r="BC173" s="9"/>
      <c r="BD173" s="9"/>
      <c r="BE173" s="9"/>
      <c r="BF173" s="9"/>
    </row>
    <row r="174" spans="1:58" x14ac:dyDescent="0.25">
      <c r="A174" s="9" t="s">
        <v>84</v>
      </c>
      <c r="B174" s="9" t="s">
        <v>85</v>
      </c>
      <c r="C174" s="9" t="s">
        <v>86</v>
      </c>
      <c r="D174" s="10">
        <v>45467</v>
      </c>
      <c r="E174" s="10">
        <v>45474</v>
      </c>
      <c r="F174" s="10">
        <v>45504</v>
      </c>
      <c r="G174" s="9">
        <v>3786437</v>
      </c>
      <c r="H174" s="9" t="str">
        <f t="shared" si="13"/>
        <v>Closed</v>
      </c>
      <c r="I174" s="9" t="str">
        <f t="shared" si="14"/>
        <v>All dates received</v>
      </c>
      <c r="J174" s="9" t="s">
        <v>322</v>
      </c>
      <c r="K174" s="9">
        <v>5032</v>
      </c>
      <c r="L174" s="11">
        <v>320</v>
      </c>
      <c r="M174" s="9" t="s">
        <v>387</v>
      </c>
      <c r="N174" s="9" t="s">
        <v>387</v>
      </c>
      <c r="O174" s="9"/>
      <c r="P174" s="9"/>
      <c r="Q174" s="11"/>
      <c r="R174" s="9" t="s">
        <v>90</v>
      </c>
      <c r="S174" s="9" t="s">
        <v>534</v>
      </c>
      <c r="T174" s="12">
        <f>IF($H174="Cancelled","",IFERROR(((Q174+INDEX(Variables!$B$6:$D$6,IFERROR(MATCH(IF($B174="Robusta","Robusta",(IF($B174="","Arabica",$B174))&amp;" - "&amp;(IF($C174="","Commercial",$C174))),Variables!$B$1:$D$1,0),1)))*22.0462)*(L174/16.67),""))</f>
        <v>123067.25778044391</v>
      </c>
      <c r="U174" s="10">
        <v>45497</v>
      </c>
      <c r="V174" s="9" t="str">
        <f t="shared" si="18"/>
        <v>Sent</v>
      </c>
      <c r="W174" s="10">
        <v>45481</v>
      </c>
      <c r="X174" s="9" t="str">
        <f t="shared" si="17"/>
        <v>Approved</v>
      </c>
      <c r="Y174" s="10"/>
      <c r="Z174" s="10">
        <f>IF($H174="Cancelled","",IFERROR(IF(F174="","",F174-Variables!$B$13),""))</f>
        <v>45489</v>
      </c>
      <c r="AA174" s="11">
        <f>IF($H174="Cancelled","",IFERROR(IF(W174="","",(AVERAGE(E174:F174)-W174)-Variables!$B$14),""))</f>
        <v>-22</v>
      </c>
      <c r="AB174" s="10">
        <v>45568</v>
      </c>
      <c r="AC174" s="11">
        <f>IF($H174="Cancelled","",IFERROR(IF(AB174="","",IF(AND(W174="",Y174=""),"",IF(Y174&gt;W174,Y174+Variables!$B$15+Variables!$B$16+Variables!$B$17-AB174,W174+Variables!$B$16+Variables!$B$17-AB174))),""))</f>
        <v>-79</v>
      </c>
      <c r="AD174" s="9" t="s">
        <v>92</v>
      </c>
      <c r="AE174" s="9" t="s">
        <v>181</v>
      </c>
      <c r="AF174" s="10"/>
      <c r="AG174" s="10"/>
      <c r="AH174" s="9"/>
      <c r="AI174" s="9" t="s">
        <v>535</v>
      </c>
      <c r="AJ174" s="9" t="s">
        <v>536</v>
      </c>
      <c r="AK174" s="10">
        <v>45498</v>
      </c>
      <c r="AL174" s="10">
        <v>45499</v>
      </c>
      <c r="AM174" s="10">
        <v>45519</v>
      </c>
      <c r="AN174" s="9" t="s">
        <v>95</v>
      </c>
      <c r="AO174" s="9"/>
      <c r="AP174" s="11">
        <f>IF($H174="Cancelled","",IFERROR(IF(OR(AK174="",AB174=""),"",(AB174+Variables!$B$18-AK174)),""))</f>
        <v>77</v>
      </c>
      <c r="AQ174" s="11">
        <f>IF($H174="Cancelled","",IFERROR(IF(OR(AM174="",AK174=""),"",(AK174+Variables!$B$19)-AM174),""))</f>
        <v>-16</v>
      </c>
      <c r="AR174" s="12">
        <f>IF($H174="Cancelled","",IFERROR(T174*INDEX(Variables!$B$7:$D$7,IFERROR(MATCH(IF($B174="Robusta","Robusta",(IF($B174="","Arabica",$B174))&amp;" - "&amp;(IF($C174="","Commercial",$C174))),Variables!$B$1:$D$1,0),1))*(AQ174/365),""))</f>
        <v>-347.86400129973219</v>
      </c>
      <c r="AS174" s="12">
        <f>IF($H174="Cancelled","",IFERROR((T174*INDEX(Variables!$B$7:$D$7,IFERROR(MATCH(IF($B174="Robusta","Robusta",(IF($B174="","Arabica",$B174))&amp;" - "&amp;(IF($C174="","Commercial",$C174))),Variables!$B$1:$D$1,0),1))*IFERROR(IF(W174="","",(AVERAGE(E174:F174)-W174)-Variables!$B$14),"")/365)+(L174/16.67*INDEX(Variables!$B$8:$D$8,IFERROR(MATCH(IF($B174="Robusta","Robusta",(IF($B174="","Arabica",$B174))&amp;" - "&amp;(IF($C174="","Commercial",$C174))),Variables!$B$1:$D$1,0),1))*IFERROR(IF(W174="","",(AVERAGE(E174:F174)-W174)-Variables!$B$14),""))+(T174*INDEX(Variables!$B$9:$D$9,IFERROR(MATCH(IF($B174="Robusta","Robusta",(IF($B174="","Arabica",$B174))&amp;" - "&amp;(IF($C174="","Commercial",$C174))),Variables!$B$1:$D$1,0),1))*IFERROR(IF(W174="","",(AVERAGE(E174:F174)-W174)-Variables!$B$14),"")/365),""))</f>
        <v>-836.47937946012746</v>
      </c>
      <c r="AT174" s="12">
        <f>IF($H174="Cancelled","",IFERROR((T174*INDEX(Variables!$B$7:$D$7,IFERROR(MATCH(IF($B174="Robusta","Robusta",(IF($B174="","Arabica",$B174))&amp;" - "&amp;(IF($C174="","Commercial",$C174))),Variables!$B$1:$D$1,0),1))*AC174/365)+(L174/16.67*INDEX(Variables!$B$8:$D$8,IFERROR(MATCH(IF($B174="Robusta","Robusta",(IF($B174="","Arabica",$B174))&amp;" - "&amp;(IF($C174="","Commercial",$C174))),Variables!$B$1:$D$1,0),1))*AC174)+(T174*INDEX(Variables!$B$9:$D$9,IFERROR(MATCH(IF($B174="Robusta","Robusta",(IF($B174="","Arabica",$B174))&amp;" - "&amp;(IF($C174="","Commercial",$C174))),Variables!$B$1:$D$1,0),1))*AC174/365),""))</f>
        <v>-3003.7214080613671</v>
      </c>
      <c r="AU174" s="12">
        <f>IF($H174="Cancelled","",IFERROR((T174*INDEX(Variables!$B$7:$D$7,IFERROR(MATCH(IF($B174="Robusta","Robusta",(IF($B174="","Arabica",$B174))&amp;" - "&amp;(IF($C174="","Commercial",$C174))),Variables!$B$1:$D$1,0),1))*AP174/365)+(L174/16.67*INDEX(Variables!$B$8:$D$8,IFERROR(MATCH(IF($B174="Robusta","Robusta",(IF($B174="","Arabica",$B174))&amp;" - "&amp;(IF($C174="","Commercial",$C174))),Variables!$B$1:$D$1,0),1))*AP174)+(T174*INDEX(Variables!$B$9:$D$9,IFERROR(MATCH(IF($B174="Robusta","Robusta",(IF($B174="","Arabica",$B174))&amp;" - "&amp;(IF($C174="","Commercial",$C174))),Variables!$B$1:$D$1,0),1))*AP174/365),""))</f>
        <v>2927.6778281104462</v>
      </c>
      <c r="AV174" s="11">
        <f t="shared" si="15"/>
        <v>6</v>
      </c>
      <c r="AW174" s="12">
        <f>IF($H174="Cancelled","",IFERROR(IF(AV174="","",(T174*INDEX(Variables!$B$7:$D$7,IFERROR(MATCH(IF($B174="Robusta","Robusta",(IF($B174="","Arabica",$B174))&amp;" - "&amp;(IF($C174="","Commercial",$C174))),Variables!$B$1:$D$1,0),1))*(AV174/365))+(T174*INDEX(Variables!$B$9:$D$9,IFERROR(MATCH(IF($B174="Robusta","Robusta",(IF($B174="","Arabica",$B174))&amp;" - "&amp;(IF($C174="","Commercial",$C174))),Variables!$B$1:$D$1,0),1))*(AV174/365))+(INDEX(Variables!$B$8:$D$8,IFERROR(MATCH(IF($B174="Robusta","Robusta",(IF($B174="","Arabica",$B174))&amp;" - "&amp;(IF($C174="","Commercial",$C174))),Variables!$B$1:$D$1,0),1))*L174/16.67)),""))</f>
        <v>148.13073985276202</v>
      </c>
      <c r="AX174" s="9"/>
      <c r="AY174" s="12"/>
      <c r="AZ174" s="10"/>
      <c r="BA174" s="9"/>
      <c r="BB174" s="10"/>
      <c r="BC174" s="9"/>
      <c r="BD174" s="9"/>
      <c r="BE174" s="9"/>
      <c r="BF174" s="9"/>
    </row>
    <row r="175" spans="1:58" x14ac:dyDescent="0.25">
      <c r="A175" s="9" t="s">
        <v>84</v>
      </c>
      <c r="B175" s="9" t="s">
        <v>85</v>
      </c>
      <c r="C175" s="9" t="s">
        <v>86</v>
      </c>
      <c r="D175" s="10">
        <v>45468</v>
      </c>
      <c r="E175" s="10">
        <v>45488</v>
      </c>
      <c r="F175" s="10">
        <v>45535</v>
      </c>
      <c r="G175" s="9">
        <v>3786438</v>
      </c>
      <c r="H175" s="9" t="str">
        <f t="shared" si="13"/>
        <v>Closed</v>
      </c>
      <c r="I175" s="9" t="str">
        <f t="shared" si="14"/>
        <v>All dates received</v>
      </c>
      <c r="J175" s="9" t="s">
        <v>537</v>
      </c>
      <c r="K175" s="9">
        <v>5046</v>
      </c>
      <c r="L175" s="11">
        <v>2160</v>
      </c>
      <c r="M175" s="9" t="s">
        <v>325</v>
      </c>
      <c r="N175" s="9" t="s">
        <v>387</v>
      </c>
      <c r="O175" s="9"/>
      <c r="P175" s="9"/>
      <c r="Q175" s="11"/>
      <c r="R175" s="9" t="s">
        <v>195</v>
      </c>
      <c r="S175" s="9" t="s">
        <v>538</v>
      </c>
      <c r="T175" s="12">
        <f>IF($H175="Cancelled","",IFERROR(((Q175+INDEX(Variables!$B$6:$D$6,IFERROR(MATCH(IF($B175="Robusta","Robusta",(IF($B175="","Arabica",$B175))&amp;" - "&amp;(IF($C175="","Commercial",$C175))),Variables!$B$1:$D$1,0),1)))*22.0462)*(L175/16.67),""))</f>
        <v>830703.99001799629</v>
      </c>
      <c r="U175" s="10"/>
      <c r="V175" s="9" t="s">
        <v>195</v>
      </c>
      <c r="W175" s="10">
        <v>45488</v>
      </c>
      <c r="X175" s="9" t="str">
        <f t="shared" si="17"/>
        <v>Approved</v>
      </c>
      <c r="Y175" s="10">
        <v>45565</v>
      </c>
      <c r="Z175" s="10">
        <f>IF($H175="Cancelled","",IFERROR(IF(F175="","",F175-Variables!$B$13),""))</f>
        <v>45520</v>
      </c>
      <c r="AA175" s="11">
        <f>IF($H175="Cancelled","",IFERROR(IF(W175="","",(AVERAGE(E175:F175)-W175)-Variables!$B$14),""))</f>
        <v>-6.5</v>
      </c>
      <c r="AB175" s="10">
        <v>45569</v>
      </c>
      <c r="AC175" s="11">
        <f>IF($H175="Cancelled","",IFERROR(IF(AB175="","",IF(AND(W175="",Y175=""),"",IF(Y175&gt;W175,Y175+Variables!$B$15+Variables!$B$16+Variables!$B$17-AB175,W175+Variables!$B$16+Variables!$B$17-AB175))),""))</f>
        <v>11</v>
      </c>
      <c r="AD175" s="9" t="s">
        <v>539</v>
      </c>
      <c r="AE175" s="9" t="s">
        <v>540</v>
      </c>
      <c r="AF175" s="10"/>
      <c r="AG175" s="10"/>
      <c r="AH175" s="9"/>
      <c r="AI175" s="9" t="s">
        <v>541</v>
      </c>
      <c r="AJ175" s="9" t="s">
        <v>8</v>
      </c>
      <c r="AK175" s="10">
        <v>45507</v>
      </c>
      <c r="AL175" s="10">
        <v>45512</v>
      </c>
      <c r="AM175" s="10">
        <v>45517</v>
      </c>
      <c r="AN175" s="9" t="s">
        <v>95</v>
      </c>
      <c r="AO175" s="9"/>
      <c r="AP175" s="11">
        <f>IF($H175="Cancelled","",IFERROR(IF(OR(AK175="",AB175=""),"",(AB175+Variables!$B$18-AK175)),""))</f>
        <v>69</v>
      </c>
      <c r="AQ175" s="11">
        <f>IF($H175="Cancelled","",IFERROR(IF(OR(AM175="",AK175=""),"",(AK175+Variables!$B$19)-AM175),""))</f>
        <v>-5</v>
      </c>
      <c r="AR175" s="12">
        <f>IF($H175="Cancelled","",IFERROR(T175*INDEX(Variables!$B$7:$D$7,IFERROR(MATCH(IF($B175="Robusta","Robusta",(IF($B175="","Arabica",$B175))&amp;" - "&amp;(IF($C175="","Commercial",$C175))),Variables!$B$1:$D$1,0),1))*(AQ175/365),""))</f>
        <v>-733.77562774162254</v>
      </c>
      <c r="AS175" s="12">
        <f>IF($H175="Cancelled","",IFERROR((T175*INDEX(Variables!$B$7:$D$7,IFERROR(MATCH(IF($B175="Robusta","Robusta",(IF($B175="","Arabica",$B175))&amp;" - "&amp;(IF($C175="","Commercial",$C175))),Variables!$B$1:$D$1,0),1))*IFERROR(IF(W175="","",(AVERAGE(E175:F175)-W175)-Variables!$B$14),"")/365)+(L175/16.67*INDEX(Variables!$B$8:$D$8,IFERROR(MATCH(IF($B175="Robusta","Robusta",(IF($B175="","Arabica",$B175))&amp;" - "&amp;(IF($C175="","Commercial",$C175))),Variables!$B$1:$D$1,0),1))*IFERROR(IF(W175="","",(AVERAGE(E175:F175)-W175)-Variables!$B$14),""))+(T175*INDEX(Variables!$B$9:$D$9,IFERROR(MATCH(IF($B175="Robusta","Robusta",(IF($B175="","Arabica",$B175))&amp;" - "&amp;(IF($C175="","Commercial",$C175))),Variables!$B$1:$D$1,0),1))*IFERROR(IF(W175="","",(AVERAGE(E175:F175)-W175)-Variables!$B$14),"")/365),""))</f>
        <v>-1668.2060351733223</v>
      </c>
      <c r="AT175" s="12">
        <f>IF($H175="Cancelled","",IFERROR((T175*INDEX(Variables!$B$7:$D$7,IFERROR(MATCH(IF($B175="Robusta","Robusta",(IF($B175="","Arabica",$B175))&amp;" - "&amp;(IF($C175="","Commercial",$C175))),Variables!$B$1:$D$1,0),1))*AC175/365)+(L175/16.67*INDEX(Variables!$B$8:$D$8,IFERROR(MATCH(IF($B175="Robusta","Robusta",(IF($B175="","Arabica",$B175))&amp;" - "&amp;(IF($C175="","Commercial",$C175))),Variables!$B$1:$D$1,0),1))*AC175)+(T175*INDEX(Variables!$B$9:$D$9,IFERROR(MATCH(IF($B175="Robusta","Robusta",(IF($B175="","Arabica",$B175))&amp;" - "&amp;(IF($C175="","Commercial",$C175))),Variables!$B$1:$D$1,0),1))*AC175/365),""))</f>
        <v>2823.1179056779297</v>
      </c>
      <c r="AU175" s="12">
        <f>IF($H175="Cancelled","",IFERROR((T175*INDEX(Variables!$B$7:$D$7,IFERROR(MATCH(IF($B175="Robusta","Robusta",(IF($B175="","Arabica",$B175))&amp;" - "&amp;(IF($C175="","Commercial",$C175))),Variables!$B$1:$D$1,0),1))*AP175/365)+(L175/16.67*INDEX(Variables!$B$8:$D$8,IFERROR(MATCH(IF($B175="Robusta","Robusta",(IF($B175="","Arabica",$B175))&amp;" - "&amp;(IF($C175="","Commercial",$C175))),Variables!$B$1:$D$1,0),1))*AP175)+(T175*INDEX(Variables!$B$9:$D$9,IFERROR(MATCH(IF($B175="Robusta","Robusta",(IF($B175="","Arabica",$B175))&amp;" - "&amp;(IF($C175="","Commercial",$C175))),Variables!$B$1:$D$1,0),1))*AP175/365),""))</f>
        <v>17708.648681070652</v>
      </c>
      <c r="AV175" s="11">
        <f t="shared" si="15"/>
        <v>28</v>
      </c>
      <c r="AW175" s="12">
        <f>IF($H175="Cancelled","",IFERROR(IF(AV175="","",(T175*INDEX(Variables!$B$7:$D$7,IFERROR(MATCH(IF($B175="Robusta","Robusta",(IF($B175="","Arabica",$B175))&amp;" - "&amp;(IF($C175="","Commercial",$C175))),Variables!$B$1:$D$1,0),1))*(AV175/365))+(T175*INDEX(Variables!$B$9:$D$9,IFERROR(MATCH(IF($B175="Robusta","Robusta",(IF($B175="","Arabica",$B175))&amp;" - "&amp;(IF($C175="","Commercial",$C175))),Variables!$B$1:$D$1,0),1))*(AV175/365))+(INDEX(Variables!$B$8:$D$8,IFERROR(MATCH(IF($B175="Robusta","Robusta",(IF($B175="","Arabica",$B175))&amp;" - "&amp;(IF($C175="","Commercial",$C175))),Variables!$B$1:$D$1,0),1))*L175/16.67)),""))</f>
        <v>4270.1183053620043</v>
      </c>
      <c r="AX175" s="9"/>
      <c r="AY175" s="12"/>
      <c r="AZ175" s="10"/>
      <c r="BA175" s="9"/>
      <c r="BB175" s="10"/>
      <c r="BC175" s="9"/>
      <c r="BD175" s="9"/>
      <c r="BE175" s="9"/>
      <c r="BF175" s="9"/>
    </row>
    <row r="176" spans="1:58" x14ac:dyDescent="0.25">
      <c r="A176" s="9" t="s">
        <v>84</v>
      </c>
      <c r="B176" s="9" t="s">
        <v>85</v>
      </c>
      <c r="C176" s="9" t="s">
        <v>86</v>
      </c>
      <c r="D176" s="10">
        <v>45469</v>
      </c>
      <c r="E176" s="10">
        <v>45474</v>
      </c>
      <c r="F176" s="10">
        <v>45504</v>
      </c>
      <c r="G176" s="9">
        <v>3786439</v>
      </c>
      <c r="H176" s="9" t="str">
        <f t="shared" si="13"/>
        <v>Closed</v>
      </c>
      <c r="I176" s="9" t="str">
        <f t="shared" si="14"/>
        <v>All dates received</v>
      </c>
      <c r="J176" s="9" t="s">
        <v>193</v>
      </c>
      <c r="K176" s="9">
        <v>5031</v>
      </c>
      <c r="L176" s="11">
        <v>320</v>
      </c>
      <c r="M176" s="9" t="s">
        <v>542</v>
      </c>
      <c r="N176" s="9" t="s">
        <v>543</v>
      </c>
      <c r="O176" s="9"/>
      <c r="P176" s="9"/>
      <c r="Q176" s="11"/>
      <c r="R176" s="9" t="s">
        <v>195</v>
      </c>
      <c r="S176" s="9" t="s">
        <v>188</v>
      </c>
      <c r="T176" s="12">
        <f>IF($H176="Cancelled","",IFERROR(((Q176+INDEX(Variables!$B$6:$D$6,IFERROR(MATCH(IF($B176="Robusta","Robusta",(IF($B176="","Arabica",$B176))&amp;" - "&amp;(IF($C176="","Commercial",$C176))),Variables!$B$1:$D$1,0),1)))*22.0462)*(L176/16.67),""))</f>
        <v>123067.25778044391</v>
      </c>
      <c r="U176" s="10"/>
      <c r="V176" s="9" t="s">
        <v>195</v>
      </c>
      <c r="W176" s="10">
        <v>45458</v>
      </c>
      <c r="X176" s="9" t="str">
        <f t="shared" si="17"/>
        <v>Approved</v>
      </c>
      <c r="Y176" s="10">
        <v>45565</v>
      </c>
      <c r="Z176" s="10">
        <f>IF($H176="Cancelled","",IFERROR(IF(F176="","",F176-Variables!$B$13),""))</f>
        <v>45489</v>
      </c>
      <c r="AA176" s="11">
        <f>IF($H176="Cancelled","",IFERROR(IF(W176="","",(AVERAGE(E176:F176)-W176)-Variables!$B$14),""))</f>
        <v>1</v>
      </c>
      <c r="AB176" s="10">
        <v>45576</v>
      </c>
      <c r="AC176" s="11">
        <f>IF($H176="Cancelled","",IFERROR(IF(AB176="","",IF(AND(W176="",Y176=""),"",IF(Y176&gt;W176,Y176+Variables!$B$15+Variables!$B$16+Variables!$B$17-AB176,W176+Variables!$B$16+Variables!$B$17-AB176))),""))</f>
        <v>4</v>
      </c>
      <c r="AD176" s="9" t="s">
        <v>165</v>
      </c>
      <c r="AE176" s="9" t="s">
        <v>411</v>
      </c>
      <c r="AF176" s="10"/>
      <c r="AG176" s="10"/>
      <c r="AH176" s="9"/>
      <c r="AI176" s="9" t="s">
        <v>544</v>
      </c>
      <c r="AJ176" s="9" t="s">
        <v>493</v>
      </c>
      <c r="AK176" s="10">
        <v>45497</v>
      </c>
      <c r="AL176" s="10">
        <v>45512</v>
      </c>
      <c r="AM176" s="10">
        <v>45517</v>
      </c>
      <c r="AN176" s="9" t="s">
        <v>95</v>
      </c>
      <c r="AO176" s="9"/>
      <c r="AP176" s="11">
        <f>IF($H176="Cancelled","",IFERROR(IF(OR(AK176="",AB176=""),"",(AB176+Variables!$B$18-AK176)),""))</f>
        <v>86</v>
      </c>
      <c r="AQ176" s="11">
        <f>IF($H176="Cancelled","",IFERROR(IF(OR(AM176="",AK176=""),"",(AK176+Variables!$B$19)-AM176),""))</f>
        <v>-15</v>
      </c>
      <c r="AR176" s="12">
        <f>IF($H176="Cancelled","",IFERROR(T176*INDEX(Variables!$B$7:$D$7,IFERROR(MATCH(IF($B176="Robusta","Robusta",(IF($B176="","Arabica",$B176))&amp;" - "&amp;(IF($C176="","Commercial",$C176))),Variables!$B$1:$D$1,0),1))*(AQ176/365),""))</f>
        <v>-326.12250121849888</v>
      </c>
      <c r="AS176" s="12">
        <f>IF($H176="Cancelled","",IFERROR((T176*INDEX(Variables!$B$7:$D$7,IFERROR(MATCH(IF($B176="Robusta","Robusta",(IF($B176="","Arabica",$B176))&amp;" - "&amp;(IF($C176="","Commercial",$C176))),Variables!$B$1:$D$1,0),1))*IFERROR(IF(W176="","",(AVERAGE(E176:F176)-W176)-Variables!$B$14),"")/365)+(L176/16.67*INDEX(Variables!$B$8:$D$8,IFERROR(MATCH(IF($B176="Robusta","Robusta",(IF($B176="","Arabica",$B176))&amp;" - "&amp;(IF($C176="","Commercial",$C176))),Variables!$B$1:$D$1,0),1))*IFERROR(IF(W176="","",(AVERAGE(E176:F176)-W176)-Variables!$B$14),""))+(T176*INDEX(Variables!$B$9:$D$9,IFERROR(MATCH(IF($B176="Robusta","Robusta",(IF($B176="","Arabica",$B176))&amp;" - "&amp;(IF($C176="","Commercial",$C176))),Variables!$B$1:$D$1,0),1))*IFERROR(IF(W176="","",(AVERAGE(E176:F176)-W176)-Variables!$B$14),"")/365),""))</f>
        <v>38.021789975460337</v>
      </c>
      <c r="AT176" s="12">
        <f>IF($H176="Cancelled","",IFERROR((T176*INDEX(Variables!$B$7:$D$7,IFERROR(MATCH(IF($B176="Robusta","Robusta",(IF($B176="","Arabica",$B176))&amp;" - "&amp;(IF($C176="","Commercial",$C176))),Variables!$B$1:$D$1,0),1))*AC176/365)+(L176/16.67*INDEX(Variables!$B$8:$D$8,IFERROR(MATCH(IF($B176="Robusta","Robusta",(IF($B176="","Arabica",$B176))&amp;" - "&amp;(IF($C176="","Commercial",$C176))),Variables!$B$1:$D$1,0),1))*AC176)+(T176*INDEX(Variables!$B$9:$D$9,IFERROR(MATCH(IF($B176="Robusta","Robusta",(IF($B176="","Arabica",$B176))&amp;" - "&amp;(IF($C176="","Commercial",$C176))),Variables!$B$1:$D$1,0),1))*AC176/365),""))</f>
        <v>152.08715990184135</v>
      </c>
      <c r="AU176" s="12">
        <f>IF($H176="Cancelled","",IFERROR((T176*INDEX(Variables!$B$7:$D$7,IFERROR(MATCH(IF($B176="Robusta","Robusta",(IF($B176="","Arabica",$B176))&amp;" - "&amp;(IF($C176="","Commercial",$C176))),Variables!$B$1:$D$1,0),1))*AP176/365)+(L176/16.67*INDEX(Variables!$B$8:$D$8,IFERROR(MATCH(IF($B176="Robusta","Robusta",(IF($B176="","Arabica",$B176))&amp;" - "&amp;(IF($C176="","Commercial",$C176))),Variables!$B$1:$D$1,0),1))*AP176)+(T176*INDEX(Variables!$B$9:$D$9,IFERROR(MATCH(IF($B176="Robusta","Robusta",(IF($B176="","Arabica",$B176))&amp;" - "&amp;(IF($C176="","Commercial",$C176))),Variables!$B$1:$D$1,0),1))*AP176/365),""))</f>
        <v>3269.8739378895884</v>
      </c>
      <c r="AV176" s="11">
        <f t="shared" si="15"/>
        <v>7</v>
      </c>
      <c r="AW176" s="12">
        <f>IF($H176="Cancelled","",IFERROR(IF(AV176="","",(T176*INDEX(Variables!$B$7:$D$7,IFERROR(MATCH(IF($B176="Robusta","Robusta",(IF($B176="","Arabica",$B176))&amp;" - "&amp;(IF($C176="","Commercial",$C176))),Variables!$B$1:$D$1,0),1))*(AV176/365))+(T176*INDEX(Variables!$B$9:$D$9,IFERROR(MATCH(IF($B176="Robusta","Robusta",(IF($B176="","Arabica",$B176))&amp;" - "&amp;(IF($C176="","Commercial",$C176))),Variables!$B$1:$D$1,0),1))*(AV176/365))+(INDEX(Variables!$B$8:$D$8,IFERROR(MATCH(IF($B176="Robusta","Robusta",(IF($B176="","Arabica",$B176))&amp;" - "&amp;(IF($C176="","Commercial",$C176))),Variables!$B$1:$D$1,0),1))*L176/16.67)),""))</f>
        <v>170.15252982822238</v>
      </c>
      <c r="AX176" s="9"/>
      <c r="AY176" s="12"/>
      <c r="AZ176" s="10"/>
      <c r="BA176" s="9"/>
      <c r="BB176" s="10"/>
      <c r="BC176" s="9"/>
      <c r="BD176" s="9"/>
      <c r="BE176" s="9"/>
      <c r="BF176" s="9"/>
    </row>
    <row r="177" spans="1:58" x14ac:dyDescent="0.25">
      <c r="A177" s="9" t="s">
        <v>84</v>
      </c>
      <c r="B177" s="9" t="s">
        <v>85</v>
      </c>
      <c r="C177" s="9" t="s">
        <v>86</v>
      </c>
      <c r="D177" s="10">
        <v>45469</v>
      </c>
      <c r="E177" s="10">
        <v>45474</v>
      </c>
      <c r="F177" s="10">
        <v>45504</v>
      </c>
      <c r="G177" s="9">
        <v>3786440</v>
      </c>
      <c r="H177" s="9" t="str">
        <f t="shared" si="13"/>
        <v>Closed</v>
      </c>
      <c r="I177" s="9" t="str">
        <f t="shared" si="14"/>
        <v>All dates received</v>
      </c>
      <c r="J177" s="9" t="s">
        <v>193</v>
      </c>
      <c r="K177" s="9">
        <v>5033</v>
      </c>
      <c r="L177" s="11">
        <v>320</v>
      </c>
      <c r="M177" s="9" t="s">
        <v>521</v>
      </c>
      <c r="N177" s="9" t="s">
        <v>450</v>
      </c>
      <c r="O177" s="9"/>
      <c r="P177" s="9"/>
      <c r="Q177" s="11"/>
      <c r="R177" s="9" t="s">
        <v>90</v>
      </c>
      <c r="S177" s="9" t="s">
        <v>188</v>
      </c>
      <c r="T177" s="12">
        <f>IF($H177="Cancelled","",IFERROR(((Q177+INDEX(Variables!$B$6:$D$6,IFERROR(MATCH(IF($B177="Robusta","Robusta",(IF($B177="","Arabica",$B177))&amp;" - "&amp;(IF($C177="","Commercial",$C177))),Variables!$B$1:$D$1,0),1)))*22.0462)*(L177/16.67),""))</f>
        <v>123067.25778044391</v>
      </c>
      <c r="U177" s="10">
        <v>45484</v>
      </c>
      <c r="V177" s="9" t="str">
        <f t="shared" ref="V177:V190" si="19">IF(ISNUMBER(U177),"Sent","")</f>
        <v>Sent</v>
      </c>
      <c r="W177" s="10">
        <v>45490</v>
      </c>
      <c r="X177" s="9" t="str">
        <f t="shared" si="17"/>
        <v>Approved</v>
      </c>
      <c r="Y177" s="10"/>
      <c r="Z177" s="10">
        <f>IF($H177="Cancelled","",IFERROR(IF(F177="","",F177-Variables!$B$13),""))</f>
        <v>45489</v>
      </c>
      <c r="AA177" s="11">
        <f>IF($H177="Cancelled","",IFERROR(IF(W177="","",(AVERAGE(E177:F177)-W177)-Variables!$B$14),""))</f>
        <v>-31</v>
      </c>
      <c r="AB177" s="10">
        <v>45576</v>
      </c>
      <c r="AC177" s="11">
        <f>IF($H177="Cancelled","",IFERROR(IF(AB177="","",IF(AND(W177="",Y177=""),"",IF(Y177&gt;W177,Y177+Variables!$B$15+Variables!$B$16+Variables!$B$17-AB177,W177+Variables!$B$16+Variables!$B$17-AB177))),""))</f>
        <v>-78</v>
      </c>
      <c r="AD177" s="9" t="s">
        <v>165</v>
      </c>
      <c r="AE177" s="9" t="s">
        <v>189</v>
      </c>
      <c r="AF177" s="10"/>
      <c r="AG177" s="10"/>
      <c r="AH177" s="9"/>
      <c r="AI177" s="9" t="s">
        <v>545</v>
      </c>
      <c r="AJ177" s="9" t="s">
        <v>546</v>
      </c>
      <c r="AK177" s="10">
        <v>45512</v>
      </c>
      <c r="AL177" s="10">
        <v>45519</v>
      </c>
      <c r="AM177" s="10">
        <v>45524</v>
      </c>
      <c r="AN177" s="9" t="s">
        <v>95</v>
      </c>
      <c r="AO177" s="9"/>
      <c r="AP177" s="11">
        <f>IF($H177="Cancelled","",IFERROR(IF(OR(AK177="",AB177=""),"",(AB177+Variables!$B$18-AK177)),""))</f>
        <v>71</v>
      </c>
      <c r="AQ177" s="11">
        <f>IF($H177="Cancelled","",IFERROR(IF(OR(AM177="",AK177=""),"",(AK177+Variables!$B$19)-AM177),""))</f>
        <v>-7</v>
      </c>
      <c r="AR177" s="12">
        <f>IF($H177="Cancelled","",IFERROR(T177*INDEX(Variables!$B$7:$D$7,IFERROR(MATCH(IF($B177="Robusta","Robusta",(IF($B177="","Arabica",$B177))&amp;" - "&amp;(IF($C177="","Commercial",$C177))),Variables!$B$1:$D$1,0),1))*(AQ177/365),""))</f>
        <v>-152.19050056863284</v>
      </c>
      <c r="AS177" s="12">
        <f>IF($H177="Cancelled","",IFERROR((T177*INDEX(Variables!$B$7:$D$7,IFERROR(MATCH(IF($B177="Robusta","Robusta",(IF($B177="","Arabica",$B177))&amp;" - "&amp;(IF($C177="","Commercial",$C177))),Variables!$B$1:$D$1,0),1))*IFERROR(IF(W177="","",(AVERAGE(E177:F177)-W177)-Variables!$B$14),"")/365)+(L177/16.67*INDEX(Variables!$B$8:$D$8,IFERROR(MATCH(IF($B177="Robusta","Robusta",(IF($B177="","Arabica",$B177))&amp;" - "&amp;(IF($C177="","Commercial",$C177))),Variables!$B$1:$D$1,0),1))*IFERROR(IF(W177="","",(AVERAGE(E177:F177)-W177)-Variables!$B$14),""))+(T177*INDEX(Variables!$B$9:$D$9,IFERROR(MATCH(IF($B177="Robusta","Robusta",(IF($B177="","Arabica",$B177))&amp;" - "&amp;(IF($C177="","Commercial",$C177))),Variables!$B$1:$D$1,0),1))*IFERROR(IF(W177="","",(AVERAGE(E177:F177)-W177)-Variables!$B$14),"")/365),""))</f>
        <v>-1178.6754892392705</v>
      </c>
      <c r="AT177" s="12">
        <f>IF($H177="Cancelled","",IFERROR((T177*INDEX(Variables!$B$7:$D$7,IFERROR(MATCH(IF($B177="Robusta","Robusta",(IF($B177="","Arabica",$B177))&amp;" - "&amp;(IF($C177="","Commercial",$C177))),Variables!$B$1:$D$1,0),1))*AC177/365)+(L177/16.67*INDEX(Variables!$B$8:$D$8,IFERROR(MATCH(IF($B177="Robusta","Robusta",(IF($B177="","Arabica",$B177))&amp;" - "&amp;(IF($C177="","Commercial",$C177))),Variables!$B$1:$D$1,0),1))*AC177)+(T177*INDEX(Variables!$B$9:$D$9,IFERROR(MATCH(IF($B177="Robusta","Robusta",(IF($B177="","Arabica",$B177))&amp;" - "&amp;(IF($C177="","Commercial",$C177))),Variables!$B$1:$D$1,0),1))*AC177/365),""))</f>
        <v>-2965.6996180859064</v>
      </c>
      <c r="AU177" s="12">
        <f>IF($H177="Cancelled","",IFERROR((T177*INDEX(Variables!$B$7:$D$7,IFERROR(MATCH(IF($B177="Robusta","Robusta",(IF($B177="","Arabica",$B177))&amp;" - "&amp;(IF($C177="","Commercial",$C177))),Variables!$B$1:$D$1,0),1))*AP177/365)+(L177/16.67*INDEX(Variables!$B$8:$D$8,IFERROR(MATCH(IF($B177="Robusta","Robusta",(IF($B177="","Arabica",$B177))&amp;" - "&amp;(IF($C177="","Commercial",$C177))),Variables!$B$1:$D$1,0),1))*AP177)+(T177*INDEX(Variables!$B$9:$D$9,IFERROR(MATCH(IF($B177="Robusta","Robusta",(IF($B177="","Arabica",$B177))&amp;" - "&amp;(IF($C177="","Commercial",$C177))),Variables!$B$1:$D$1,0),1))*AP177/365),""))</f>
        <v>2699.5470882576838</v>
      </c>
      <c r="AV177" s="11">
        <f t="shared" si="15"/>
        <v>-8</v>
      </c>
      <c r="AW177" s="12">
        <f>IF($H177="Cancelled","",IFERROR(IF(AV177="","",(T177*INDEX(Variables!$B$7:$D$7,IFERROR(MATCH(IF($B177="Robusta","Robusta",(IF($B177="","Arabica",$B177))&amp;" - "&amp;(IF($C177="","Commercial",$C177))),Variables!$B$1:$D$1,0),1))*(AV177/365))+(T177*INDEX(Variables!$B$9:$D$9,IFERROR(MATCH(IF($B177="Robusta","Robusta",(IF($B177="","Arabica",$B177))&amp;" - "&amp;(IF($C177="","Commercial",$C177))),Variables!$B$1:$D$1,0),1))*(AV177/365))+(INDEX(Variables!$B$8:$D$8,IFERROR(MATCH(IF($B177="Robusta","Robusta",(IF($B177="","Arabica",$B177))&amp;" - "&amp;(IF($C177="","Commercial",$C177))),Variables!$B$1:$D$1,0),1))*L177/16.67)),""))</f>
        <v>-160.17431980368272</v>
      </c>
      <c r="AX177" s="9"/>
      <c r="AY177" s="12"/>
      <c r="AZ177" s="10"/>
      <c r="BA177" s="9"/>
      <c r="BB177" s="10"/>
      <c r="BC177" s="9"/>
      <c r="BD177" s="9"/>
      <c r="BE177" s="9"/>
      <c r="BF177" s="9"/>
    </row>
    <row r="178" spans="1:58" x14ac:dyDescent="0.25">
      <c r="A178" s="9" t="s">
        <v>84</v>
      </c>
      <c r="B178" s="9" t="s">
        <v>85</v>
      </c>
      <c r="C178" s="9" t="s">
        <v>86</v>
      </c>
      <c r="D178" s="10">
        <v>45470</v>
      </c>
      <c r="E178" s="10">
        <v>45474</v>
      </c>
      <c r="F178" s="10">
        <v>45504</v>
      </c>
      <c r="G178" s="9">
        <v>3786442</v>
      </c>
      <c r="H178" s="9" t="str">
        <f t="shared" si="13"/>
        <v>Closed</v>
      </c>
      <c r="I178" s="9" t="str">
        <f t="shared" si="14"/>
        <v>All dates received</v>
      </c>
      <c r="J178" s="9" t="s">
        <v>547</v>
      </c>
      <c r="K178" s="9">
        <v>5038</v>
      </c>
      <c r="L178" s="11">
        <v>320</v>
      </c>
      <c r="M178" s="9" t="s">
        <v>548</v>
      </c>
      <c r="N178" s="9" t="s">
        <v>334</v>
      </c>
      <c r="O178" s="9"/>
      <c r="P178" s="9"/>
      <c r="Q178" s="11"/>
      <c r="R178" s="9" t="s">
        <v>90</v>
      </c>
      <c r="S178" s="9" t="s">
        <v>207</v>
      </c>
      <c r="T178" s="12">
        <f>IF($H178="Cancelled","",IFERROR(((Q178+INDEX(Variables!$B$6:$D$6,IFERROR(MATCH(IF($B178="Robusta","Robusta",(IF($B178="","Arabica",$B178))&amp;" - "&amp;(IF($C178="","Commercial",$C178))),Variables!$B$1:$D$1,0),1)))*22.0462)*(L178/16.67),""))</f>
        <v>123067.25778044391</v>
      </c>
      <c r="U178" s="10">
        <v>45477</v>
      </c>
      <c r="V178" s="9" t="str">
        <f t="shared" si="19"/>
        <v>Sent</v>
      </c>
      <c r="W178" s="10"/>
      <c r="X178" s="9" t="str">
        <f t="shared" si="17"/>
        <v/>
      </c>
      <c r="Y178" s="10"/>
      <c r="Z178" s="10">
        <f>IF($H178="Cancelled","",IFERROR(IF(F178="","",F178-Variables!$B$13),""))</f>
        <v>45489</v>
      </c>
      <c r="AA178" s="11" t="str">
        <f>IF($H178="Cancelled","",IFERROR(IF(W178="","",(AVERAGE(E178:F178)-W178)-Variables!$B$14),""))</f>
        <v/>
      </c>
      <c r="AB178" s="10">
        <v>45579</v>
      </c>
      <c r="AC178" s="11" t="str">
        <f>IF($H178="Cancelled","",IFERROR(IF(AB178="","",IF(AND(W178="",Y178=""),"",IF(Y178&gt;W178,Y178+Variables!$B$15+Variables!$B$16+Variables!$B$17-AB178,W178+Variables!$B$16+Variables!$B$17-AB178))),""))</f>
        <v/>
      </c>
      <c r="AD178" s="9" t="s">
        <v>549</v>
      </c>
      <c r="AE178" s="9" t="s">
        <v>550</v>
      </c>
      <c r="AF178" s="10"/>
      <c r="AG178" s="10"/>
      <c r="AH178" s="9"/>
      <c r="AI178" s="9" t="s">
        <v>551</v>
      </c>
      <c r="AJ178" s="9" t="s">
        <v>8</v>
      </c>
      <c r="AK178" s="10">
        <v>45506</v>
      </c>
      <c r="AL178" s="10">
        <v>45519</v>
      </c>
      <c r="AM178" s="10">
        <v>45527</v>
      </c>
      <c r="AN178" s="9" t="s">
        <v>95</v>
      </c>
      <c r="AO178" s="9"/>
      <c r="AP178" s="11">
        <f>IF($H178="Cancelled","",IFERROR(IF(OR(AK178="",AB178=""),"",(AB178+Variables!$B$18-AK178)),""))</f>
        <v>80</v>
      </c>
      <c r="AQ178" s="11">
        <f>IF($H178="Cancelled","",IFERROR(IF(OR(AM178="",AK178=""),"",(AK178+Variables!$B$19)-AM178),""))</f>
        <v>-16</v>
      </c>
      <c r="AR178" s="12">
        <f>IF($H178="Cancelled","",IFERROR(T178*INDEX(Variables!$B$7:$D$7,IFERROR(MATCH(IF($B178="Robusta","Robusta",(IF($B178="","Arabica",$B178))&amp;" - "&amp;(IF($C178="","Commercial",$C178))),Variables!$B$1:$D$1,0),1))*(AQ178/365),""))</f>
        <v>-347.86400129973219</v>
      </c>
      <c r="AS178" s="12" t="str">
        <f>IF($H178="Cancelled","",IFERROR((T178*INDEX(Variables!$B$7:$D$7,IFERROR(MATCH(IF($B178="Robusta","Robusta",(IF($B178="","Arabica",$B178))&amp;" - "&amp;(IF($C178="","Commercial",$C178))),Variables!$B$1:$D$1,0),1))*IFERROR(IF(W178="","",(AVERAGE(E178:F178)-W178)-Variables!$B$14),"")/365)+(L178/16.67*INDEX(Variables!$B$8:$D$8,IFERROR(MATCH(IF($B178="Robusta","Robusta",(IF($B178="","Arabica",$B178))&amp;" - "&amp;(IF($C178="","Commercial",$C178))),Variables!$B$1:$D$1,0),1))*IFERROR(IF(W178="","",(AVERAGE(E178:F178)-W178)-Variables!$B$14),""))+(T178*INDEX(Variables!$B$9:$D$9,IFERROR(MATCH(IF($B178="Robusta","Robusta",(IF($B178="","Arabica",$B178))&amp;" - "&amp;(IF($C178="","Commercial",$C178))),Variables!$B$1:$D$1,0),1))*IFERROR(IF(W178="","",(AVERAGE(E178:F178)-W178)-Variables!$B$14),"")/365),""))</f>
        <v/>
      </c>
      <c r="AT178" s="12" t="str">
        <f>IF($H178="Cancelled","",IFERROR((T178*INDEX(Variables!$B$7:$D$7,IFERROR(MATCH(IF($B178="Robusta","Robusta",(IF($B178="","Arabica",$B178))&amp;" - "&amp;(IF($C178="","Commercial",$C178))),Variables!$B$1:$D$1,0),1))*AC178/365)+(L178/16.67*INDEX(Variables!$B$8:$D$8,IFERROR(MATCH(IF($B178="Robusta","Robusta",(IF($B178="","Arabica",$B178))&amp;" - "&amp;(IF($C178="","Commercial",$C178))),Variables!$B$1:$D$1,0),1))*AC178)+(T178*INDEX(Variables!$B$9:$D$9,IFERROR(MATCH(IF($B178="Robusta","Robusta",(IF($B178="","Arabica",$B178))&amp;" - "&amp;(IF($C178="","Commercial",$C178))),Variables!$B$1:$D$1,0),1))*AC178/365),""))</f>
        <v/>
      </c>
      <c r="AU178" s="12">
        <f>IF($H178="Cancelled","",IFERROR((T178*INDEX(Variables!$B$7:$D$7,IFERROR(MATCH(IF($B178="Robusta","Robusta",(IF($B178="","Arabica",$B178))&amp;" - "&amp;(IF($C178="","Commercial",$C178))),Variables!$B$1:$D$1,0),1))*AP178/365)+(L178/16.67*INDEX(Variables!$B$8:$D$8,IFERROR(MATCH(IF($B178="Robusta","Robusta",(IF($B178="","Arabica",$B178))&amp;" - "&amp;(IF($C178="","Commercial",$C178))),Variables!$B$1:$D$1,0),1))*AP178)+(T178*INDEX(Variables!$B$9:$D$9,IFERROR(MATCH(IF($B178="Robusta","Robusta",(IF($B178="","Arabica",$B178))&amp;" - "&amp;(IF($C178="","Commercial",$C178))),Variables!$B$1:$D$1,0),1))*AP178/365),""))</f>
        <v>3041.7431980368269</v>
      </c>
      <c r="AV178" s="11">
        <f t="shared" si="15"/>
        <v>-2</v>
      </c>
      <c r="AW178" s="12">
        <f>IF($H178="Cancelled","",IFERROR(IF(AV178="","",(T178*INDEX(Variables!$B$7:$D$7,IFERROR(MATCH(IF($B178="Robusta","Robusta",(IF($B178="","Arabica",$B178))&amp;" - "&amp;(IF($C178="","Commercial",$C178))),Variables!$B$1:$D$1,0),1))*(AV178/365))+(T178*INDEX(Variables!$B$9:$D$9,IFERROR(MATCH(IF($B178="Robusta","Robusta",(IF($B178="","Arabica",$B178))&amp;" - "&amp;(IF($C178="","Commercial",$C178))),Variables!$B$1:$D$1,0),1))*(AV178/365))+(INDEX(Variables!$B$8:$D$8,IFERROR(MATCH(IF($B178="Robusta","Robusta",(IF($B178="","Arabica",$B178))&amp;" - "&amp;(IF($C178="","Commercial",$C178))),Variables!$B$1:$D$1,0),1))*L178/16.67)),""))</f>
        <v>-28.04357995092068</v>
      </c>
      <c r="AX178" s="9"/>
      <c r="AY178" s="12"/>
      <c r="AZ178" s="10"/>
      <c r="BA178" s="9"/>
      <c r="BB178" s="10"/>
      <c r="BC178" s="9"/>
      <c r="BD178" s="9"/>
      <c r="BE178" s="9"/>
      <c r="BF178" s="9"/>
    </row>
    <row r="179" spans="1:58" x14ac:dyDescent="0.25">
      <c r="A179" s="9" t="s">
        <v>84</v>
      </c>
      <c r="B179" s="9" t="s">
        <v>85</v>
      </c>
      <c r="C179" s="9" t="s">
        <v>86</v>
      </c>
      <c r="D179" s="10">
        <v>45470</v>
      </c>
      <c r="E179" s="10">
        <v>45536</v>
      </c>
      <c r="F179" s="10">
        <v>45565</v>
      </c>
      <c r="G179" s="9">
        <v>3786441</v>
      </c>
      <c r="H179" s="9" t="str">
        <f t="shared" si="13"/>
        <v>Closed</v>
      </c>
      <c r="I179" s="9" t="str">
        <f t="shared" si="14"/>
        <v>All dates received</v>
      </c>
      <c r="J179" s="9" t="s">
        <v>102</v>
      </c>
      <c r="K179" s="9" t="s">
        <v>552</v>
      </c>
      <c r="L179" s="11">
        <v>1665</v>
      </c>
      <c r="M179" s="9" t="s">
        <v>553</v>
      </c>
      <c r="N179" s="9" t="s">
        <v>387</v>
      </c>
      <c r="O179" s="9"/>
      <c r="P179" s="9"/>
      <c r="Q179" s="11"/>
      <c r="R179" s="9" t="s">
        <v>90</v>
      </c>
      <c r="S179" s="9" t="s">
        <v>554</v>
      </c>
      <c r="T179" s="12">
        <f>IF($H179="Cancelled","",IFERROR(((Q179+INDEX(Variables!$B$6:$D$6,IFERROR(MATCH(IF($B179="Robusta","Robusta",(IF($B179="","Arabica",$B179))&amp;" - "&amp;(IF($C179="","Commercial",$C179))),Variables!$B$1:$D$1,0),1)))*22.0462)*(L179/16.67),""))</f>
        <v>640334.32563887211</v>
      </c>
      <c r="U179" s="10">
        <v>45488</v>
      </c>
      <c r="V179" s="9" t="str">
        <f t="shared" si="19"/>
        <v>Sent</v>
      </c>
      <c r="W179" s="10">
        <v>45497</v>
      </c>
      <c r="X179" s="9" t="str">
        <f t="shared" si="17"/>
        <v>Approved</v>
      </c>
      <c r="Y179" s="10"/>
      <c r="Z179" s="10">
        <f>IF($H179="Cancelled","",IFERROR(IF(F179="","",F179-Variables!$B$13),""))</f>
        <v>45550</v>
      </c>
      <c r="AA179" s="11">
        <f>IF($H179="Cancelled","",IFERROR(IF(W179="","",(AVERAGE(E179:F179)-W179)-Variables!$B$14),""))</f>
        <v>23.5</v>
      </c>
      <c r="AB179" s="10">
        <v>45582</v>
      </c>
      <c r="AC179" s="11">
        <f>IF($H179="Cancelled","",IFERROR(IF(AB179="","",IF(AND(W179="",Y179=""),"",IF(Y179&gt;W179,Y179+Variables!$B$15+Variables!$B$16+Variables!$B$17-AB179,W179+Variables!$B$16+Variables!$B$17-AB179))),""))</f>
        <v>-77</v>
      </c>
      <c r="AD179" s="9" t="s">
        <v>107</v>
      </c>
      <c r="AE179" s="9" t="s">
        <v>555</v>
      </c>
      <c r="AF179" s="10"/>
      <c r="AG179" s="10"/>
      <c r="AH179" s="9"/>
      <c r="AI179" s="9" t="s">
        <v>556</v>
      </c>
      <c r="AJ179" s="9" t="s">
        <v>8</v>
      </c>
      <c r="AK179" s="10">
        <v>45537</v>
      </c>
      <c r="AL179" s="10">
        <v>45544</v>
      </c>
      <c r="AM179" s="10">
        <v>45548</v>
      </c>
      <c r="AN179" s="9" t="s">
        <v>95</v>
      </c>
      <c r="AO179" s="9"/>
      <c r="AP179" s="11">
        <f>IF($H179="Cancelled","",IFERROR(IF(OR(AK179="",AB179=""),"",(AB179+Variables!$B$18-AK179)),""))</f>
        <v>52</v>
      </c>
      <c r="AQ179" s="11">
        <f>IF($H179="Cancelled","",IFERROR(IF(OR(AM179="",AK179=""),"",(AK179+Variables!$B$19)-AM179),""))</f>
        <v>-6</v>
      </c>
      <c r="AR179" s="12">
        <f>IF($H179="Cancelled","",IFERROR(T179*INDEX(Variables!$B$7:$D$7,IFERROR(MATCH(IF($B179="Robusta","Robusta",(IF($B179="","Arabica",$B179))&amp;" - "&amp;(IF($C179="","Commercial",$C179))),Variables!$B$1:$D$1,0),1))*(AQ179/365),""))</f>
        <v>-678.7424556610008</v>
      </c>
      <c r="AS179" s="12">
        <f>IF($H179="Cancelled","",IFERROR((T179*INDEX(Variables!$B$7:$D$7,IFERROR(MATCH(IF($B179="Robusta","Robusta",(IF($B179="","Arabica",$B179))&amp;" - "&amp;(IF($C179="","Commercial",$C179))),Variables!$B$1:$D$1,0),1))*IFERROR(IF(W179="","",(AVERAGE(E179:F179)-W179)-Variables!$B$14),"")/365)+(L179/16.67*INDEX(Variables!$B$8:$D$8,IFERROR(MATCH(IF($B179="Robusta","Robusta",(IF($B179="","Arabica",$B179))&amp;" - "&amp;(IF($C179="","Commercial",$C179))),Variables!$B$1:$D$1,0),1))*IFERROR(IF(W179="","",(AVERAGE(E179:F179)-W179)-Variables!$B$14),""))+(T179*INDEX(Variables!$B$9:$D$9,IFERROR(MATCH(IF($B179="Robusta","Robusta",(IF($B179="","Arabica",$B179))&amp;" - "&amp;(IF($C179="","Commercial",$C179))),Variables!$B$1:$D$1,0),1))*IFERROR(IF(W179="","",(AVERAGE(E179:F179)-W179)-Variables!$B$14),"")/365),""))</f>
        <v>4649.0549602025767</v>
      </c>
      <c r="AT179" s="12">
        <f>IF($H179="Cancelled","",IFERROR((T179*INDEX(Variables!$B$7:$D$7,IFERROR(MATCH(IF($B179="Robusta","Robusta",(IF($B179="","Arabica",$B179))&amp;" - "&amp;(IF($C179="","Commercial",$C179))),Variables!$B$1:$D$1,0),1))*AC179/365)+(L179/16.67*INDEX(Variables!$B$8:$D$8,IFERROR(MATCH(IF($B179="Robusta","Robusta",(IF($B179="","Arabica",$B179))&amp;" - "&amp;(IF($C179="","Commercial",$C179))),Variables!$B$1:$D$1,0),1))*AC179)+(T179*INDEX(Variables!$B$9:$D$9,IFERROR(MATCH(IF($B179="Robusta","Robusta",(IF($B179="","Arabica",$B179))&amp;" - "&amp;(IF($C179="","Commercial",$C179))),Variables!$B$1:$D$1,0),1))*AC179/365),""))</f>
        <v>-15233.073699387163</v>
      </c>
      <c r="AU179" s="12">
        <f>IF($H179="Cancelled","",IFERROR((T179*INDEX(Variables!$B$7:$D$7,IFERROR(MATCH(IF($B179="Robusta","Robusta",(IF($B179="","Arabica",$B179))&amp;" - "&amp;(IF($C179="","Commercial",$C179))),Variables!$B$1:$D$1,0),1))*AP179/365)+(L179/16.67*INDEX(Variables!$B$8:$D$8,IFERROR(MATCH(IF($B179="Robusta","Robusta",(IF($B179="","Arabica",$B179))&amp;" - "&amp;(IF($C179="","Commercial",$C179))),Variables!$B$1:$D$1,0),1))*AP179)+(T179*INDEX(Variables!$B$9:$D$9,IFERROR(MATCH(IF($B179="Robusta","Robusta",(IF($B179="","Arabica",$B179))&amp;" - "&amp;(IF($C179="","Commercial",$C179))),Variables!$B$1:$D$1,0),1))*AP179/365),""))</f>
        <v>10287.270550235487</v>
      </c>
      <c r="AV179" s="11">
        <f t="shared" si="15"/>
        <v>28</v>
      </c>
      <c r="AW179" s="12">
        <f>IF($H179="Cancelled","",IFERROR(IF(AV179="","",(T179*INDEX(Variables!$B$7:$D$7,IFERROR(MATCH(IF($B179="Robusta","Robusta",(IF($B179="","Arabica",$B179))&amp;" - "&amp;(IF($C179="","Commercial",$C179))),Variables!$B$1:$D$1,0),1))*(AV179/365))+(T179*INDEX(Variables!$B$9:$D$9,IFERROR(MATCH(IF($B179="Robusta","Robusta",(IF($B179="","Arabica",$B179))&amp;" - "&amp;(IF($C179="","Commercial",$C179))),Variables!$B$1:$D$1,0),1))*(AV179/365))+(INDEX(Variables!$B$8:$D$8,IFERROR(MATCH(IF($B179="Robusta","Robusta",(IF($B179="","Arabica",$B179))&amp;" - "&amp;(IF($C179="","Commercial",$C179))),Variables!$B$1:$D$1,0),1))*L179/16.67)),""))</f>
        <v>3291.5495270498782</v>
      </c>
      <c r="AX179" s="9"/>
      <c r="AY179" s="12"/>
      <c r="AZ179" s="10"/>
      <c r="BA179" s="9"/>
      <c r="BB179" s="10"/>
      <c r="BC179" s="9"/>
      <c r="BD179" s="9"/>
      <c r="BE179" s="9"/>
      <c r="BF179" s="9"/>
    </row>
    <row r="180" spans="1:58" x14ac:dyDescent="0.25">
      <c r="A180" s="9" t="s">
        <v>84</v>
      </c>
      <c r="B180" s="9" t="s">
        <v>85</v>
      </c>
      <c r="C180" s="9" t="s">
        <v>86</v>
      </c>
      <c r="D180" s="10">
        <v>45470</v>
      </c>
      <c r="E180" s="10">
        <v>45536</v>
      </c>
      <c r="F180" s="10">
        <v>45565</v>
      </c>
      <c r="G180" s="9">
        <v>3786441</v>
      </c>
      <c r="H180" s="9" t="str">
        <f t="shared" si="13"/>
        <v>Closed</v>
      </c>
      <c r="I180" s="9" t="str">
        <f t="shared" si="14"/>
        <v>All dates received</v>
      </c>
      <c r="J180" s="9" t="s">
        <v>102</v>
      </c>
      <c r="K180" s="9" t="s">
        <v>552</v>
      </c>
      <c r="L180" s="11">
        <v>1665</v>
      </c>
      <c r="M180" s="9" t="s">
        <v>553</v>
      </c>
      <c r="N180" s="9" t="s">
        <v>387</v>
      </c>
      <c r="O180" s="9"/>
      <c r="P180" s="9"/>
      <c r="Q180" s="11"/>
      <c r="R180" s="9" t="s">
        <v>90</v>
      </c>
      <c r="S180" s="9" t="s">
        <v>554</v>
      </c>
      <c r="T180" s="12">
        <f>IF($H180="Cancelled","",IFERROR(((Q180+INDEX(Variables!$B$6:$D$6,IFERROR(MATCH(IF($B180="Robusta","Robusta",(IF($B180="","Arabica",$B180))&amp;" - "&amp;(IF($C180="","Commercial",$C180))),Variables!$B$1:$D$1,0),1)))*22.0462)*(L180/16.67),""))</f>
        <v>640334.32563887211</v>
      </c>
      <c r="U180" s="10">
        <v>45488</v>
      </c>
      <c r="V180" s="9" t="str">
        <f t="shared" si="19"/>
        <v>Sent</v>
      </c>
      <c r="W180" s="10">
        <v>45497</v>
      </c>
      <c r="X180" s="9" t="str">
        <f t="shared" si="17"/>
        <v>Approved</v>
      </c>
      <c r="Y180" s="10"/>
      <c r="Z180" s="10">
        <f>IF($H180="Cancelled","",IFERROR(IF(F180="","",F180-Variables!$B$13),""))</f>
        <v>45550</v>
      </c>
      <c r="AA180" s="11">
        <f>IF($H180="Cancelled","",IFERROR(IF(W180="","",(AVERAGE(E180:F180)-W180)-Variables!$B$14),""))</f>
        <v>23.5</v>
      </c>
      <c r="AB180" s="10">
        <v>45587</v>
      </c>
      <c r="AC180" s="11">
        <f>IF($H180="Cancelled","",IFERROR(IF(AB180="","",IF(AND(W180="",Y180=""),"",IF(Y180&gt;W180,Y180+Variables!$B$15+Variables!$B$16+Variables!$B$17-AB180,W180+Variables!$B$16+Variables!$B$17-AB180))),""))</f>
        <v>-82</v>
      </c>
      <c r="AD180" s="9" t="s">
        <v>107</v>
      </c>
      <c r="AE180" s="9" t="s">
        <v>374</v>
      </c>
      <c r="AF180" s="10"/>
      <c r="AG180" s="10"/>
      <c r="AH180" s="9"/>
      <c r="AI180" s="9" t="s">
        <v>557</v>
      </c>
      <c r="AJ180" s="9" t="s">
        <v>8</v>
      </c>
      <c r="AK180" s="10">
        <v>45542</v>
      </c>
      <c r="AL180" s="10">
        <v>45544</v>
      </c>
      <c r="AM180" s="10">
        <v>45548</v>
      </c>
      <c r="AN180" s="9" t="s">
        <v>95</v>
      </c>
      <c r="AO180" s="9"/>
      <c r="AP180" s="11">
        <f>IF($H180="Cancelled","",IFERROR(IF(OR(AK180="",AB180=""),"",(AB180+Variables!$B$18-AK180)),""))</f>
        <v>52</v>
      </c>
      <c r="AQ180" s="11">
        <f>IF($H180="Cancelled","",IFERROR(IF(OR(AM180="",AK180=""),"",(AK180+Variables!$B$19)-AM180),""))</f>
        <v>-1</v>
      </c>
      <c r="AR180" s="12">
        <f>IF($H180="Cancelled","",IFERROR(T180*INDEX(Variables!$B$7:$D$7,IFERROR(MATCH(IF($B180="Robusta","Robusta",(IF($B180="","Arabica",$B180))&amp;" - "&amp;(IF($C180="","Commercial",$C180))),Variables!$B$1:$D$1,0),1))*(AQ180/365),""))</f>
        <v>-113.1237426101668</v>
      </c>
      <c r="AS180" s="12">
        <f>IF($H180="Cancelled","",IFERROR((T180*INDEX(Variables!$B$7:$D$7,IFERROR(MATCH(IF($B180="Robusta","Robusta",(IF($B180="","Arabica",$B180))&amp;" - "&amp;(IF($C180="","Commercial",$C180))),Variables!$B$1:$D$1,0),1))*IFERROR(IF(W180="","",(AVERAGE(E180:F180)-W180)-Variables!$B$14),"")/365)+(L180/16.67*INDEX(Variables!$B$8:$D$8,IFERROR(MATCH(IF($B180="Robusta","Robusta",(IF($B180="","Arabica",$B180))&amp;" - "&amp;(IF($C180="","Commercial",$C180))),Variables!$B$1:$D$1,0),1))*IFERROR(IF(W180="","",(AVERAGE(E180:F180)-W180)-Variables!$B$14),""))+(T180*INDEX(Variables!$B$9:$D$9,IFERROR(MATCH(IF($B180="Robusta","Robusta",(IF($B180="","Arabica",$B180))&amp;" - "&amp;(IF($C180="","Commercial",$C180))),Variables!$B$1:$D$1,0),1))*IFERROR(IF(W180="","",(AVERAGE(E180:F180)-W180)-Variables!$B$14),"")/365),""))</f>
        <v>4649.0549602025767</v>
      </c>
      <c r="AT180" s="12">
        <f>IF($H180="Cancelled","",IFERROR((T180*INDEX(Variables!$B$7:$D$7,IFERROR(MATCH(IF($B180="Robusta","Robusta",(IF($B180="","Arabica",$B180))&amp;" - "&amp;(IF($C180="","Commercial",$C180))),Variables!$B$1:$D$1,0),1))*AC180/365)+(L180/16.67*INDEX(Variables!$B$8:$D$8,IFERROR(MATCH(IF($B180="Robusta","Robusta",(IF($B180="","Arabica",$B180))&amp;" - "&amp;(IF($C180="","Commercial",$C180))),Variables!$B$1:$D$1,0),1))*AC180)+(T180*INDEX(Variables!$B$9:$D$9,IFERROR(MATCH(IF($B180="Robusta","Robusta",(IF($B180="","Arabica",$B180))&amp;" - "&amp;(IF($C180="","Commercial",$C180))),Variables!$B$1:$D$1,0),1))*AC180/365),""))</f>
        <v>-16222.234329217499</v>
      </c>
      <c r="AU180" s="12">
        <f>IF($H180="Cancelled","",IFERROR((T180*INDEX(Variables!$B$7:$D$7,IFERROR(MATCH(IF($B180="Robusta","Robusta",(IF($B180="","Arabica",$B180))&amp;" - "&amp;(IF($C180="","Commercial",$C180))),Variables!$B$1:$D$1,0),1))*AP180/365)+(L180/16.67*INDEX(Variables!$B$8:$D$8,IFERROR(MATCH(IF($B180="Robusta","Robusta",(IF($B180="","Arabica",$B180))&amp;" - "&amp;(IF($C180="","Commercial",$C180))),Variables!$B$1:$D$1,0),1))*AP180)+(T180*INDEX(Variables!$B$9:$D$9,IFERROR(MATCH(IF($B180="Robusta","Robusta",(IF($B180="","Arabica",$B180))&amp;" - "&amp;(IF($C180="","Commercial",$C180))),Variables!$B$1:$D$1,0),1))*AP180/365),""))</f>
        <v>10287.270550235487</v>
      </c>
      <c r="AV180" s="11">
        <f t="shared" si="15"/>
        <v>23</v>
      </c>
      <c r="AW180" s="12">
        <f>IF($H180="Cancelled","",IFERROR(IF(AV180="","",(T180*INDEX(Variables!$B$7:$D$7,IFERROR(MATCH(IF($B180="Robusta","Robusta",(IF($B180="","Arabica",$B180))&amp;" - "&amp;(IF($C180="","Commercial",$C180))),Variables!$B$1:$D$1,0),1))*(AV180/365))+(T180*INDEX(Variables!$B$9:$D$9,IFERROR(MATCH(IF($B180="Robusta","Robusta",(IF($B180="","Arabica",$B180))&amp;" - "&amp;(IF($C180="","Commercial",$C180))),Variables!$B$1:$D$1,0),1))*(AV180/365))+(INDEX(Variables!$B$8:$D$8,IFERROR(MATCH(IF($B180="Robusta","Robusta",(IF($B180="","Arabica",$B180))&amp;" - "&amp;(IF($C180="","Commercial",$C180))),Variables!$B$1:$D$1,0),1))*L180/16.67)),""))</f>
        <v>2718.6388972195427</v>
      </c>
      <c r="AX180" s="9"/>
      <c r="AY180" s="12"/>
      <c r="AZ180" s="10"/>
      <c r="BA180" s="9"/>
      <c r="BB180" s="10"/>
      <c r="BC180" s="9"/>
      <c r="BD180" s="9"/>
      <c r="BE180" s="9"/>
      <c r="BF180" s="9"/>
    </row>
    <row r="181" spans="1:58" x14ac:dyDescent="0.25">
      <c r="A181" s="9" t="s">
        <v>84</v>
      </c>
      <c r="B181" s="9" t="s">
        <v>85</v>
      </c>
      <c r="C181" s="9" t="s">
        <v>86</v>
      </c>
      <c r="D181" s="10">
        <v>45470</v>
      </c>
      <c r="E181" s="10">
        <v>45536</v>
      </c>
      <c r="F181" s="10">
        <v>45565</v>
      </c>
      <c r="G181" s="9">
        <v>3786441</v>
      </c>
      <c r="H181" s="9" t="str">
        <f t="shared" si="13"/>
        <v>Closed</v>
      </c>
      <c r="I181" s="9" t="str">
        <f t="shared" si="14"/>
        <v>All dates received</v>
      </c>
      <c r="J181" s="9" t="s">
        <v>102</v>
      </c>
      <c r="K181" s="9" t="s">
        <v>558</v>
      </c>
      <c r="L181" s="11">
        <v>3330</v>
      </c>
      <c r="M181" s="9" t="s">
        <v>553</v>
      </c>
      <c r="N181" s="9" t="s">
        <v>387</v>
      </c>
      <c r="O181" s="9"/>
      <c r="P181" s="9"/>
      <c r="Q181" s="11"/>
      <c r="R181" s="9" t="s">
        <v>90</v>
      </c>
      <c r="S181" s="9" t="s">
        <v>554</v>
      </c>
      <c r="T181" s="12">
        <f>IF($H181="Cancelled","",IFERROR(((Q181+INDEX(Variables!$B$6:$D$6,IFERROR(MATCH(IF($B181="Robusta","Robusta",(IF($B181="","Arabica",$B181))&amp;" - "&amp;(IF($C181="","Commercial",$C181))),Variables!$B$1:$D$1,0),1)))*22.0462)*(L181/16.67),""))</f>
        <v>1280668.6512777442</v>
      </c>
      <c r="U181" s="10">
        <v>45488</v>
      </c>
      <c r="V181" s="9" t="str">
        <f t="shared" si="19"/>
        <v>Sent</v>
      </c>
      <c r="W181" s="10">
        <v>45497</v>
      </c>
      <c r="X181" s="9" t="str">
        <f t="shared" si="17"/>
        <v>Approved</v>
      </c>
      <c r="Y181" s="10"/>
      <c r="Z181" s="10">
        <f>IF($H181="Cancelled","",IFERROR(IF(F181="","",F181-Variables!$B$13),""))</f>
        <v>45550</v>
      </c>
      <c r="AA181" s="11">
        <f>IF($H181="Cancelled","",IFERROR(IF(W181="","",(AVERAGE(E181:F181)-W181)-Variables!$B$14),""))</f>
        <v>23.5</v>
      </c>
      <c r="AB181" s="10">
        <v>45588</v>
      </c>
      <c r="AC181" s="11">
        <f>IF($H181="Cancelled","",IFERROR(IF(AB181="","",IF(AND(W181="",Y181=""),"",IF(Y181&gt;W181,Y181+Variables!$B$15+Variables!$B$16+Variables!$B$17-AB181,W181+Variables!$B$16+Variables!$B$17-AB181))),""))</f>
        <v>-83</v>
      </c>
      <c r="AD181" s="9" t="s">
        <v>107</v>
      </c>
      <c r="AE181" s="9" t="s">
        <v>559</v>
      </c>
      <c r="AF181" s="10"/>
      <c r="AG181" s="10"/>
      <c r="AH181" s="9"/>
      <c r="AI181" s="9" t="s">
        <v>560</v>
      </c>
      <c r="AJ181" s="9" t="s">
        <v>8</v>
      </c>
      <c r="AK181" s="10">
        <v>45553</v>
      </c>
      <c r="AL181" s="10">
        <v>45559</v>
      </c>
      <c r="AM181" s="10">
        <v>45560</v>
      </c>
      <c r="AN181" s="9" t="s">
        <v>95</v>
      </c>
      <c r="AO181" s="9"/>
      <c r="AP181" s="11">
        <f>IF($H181="Cancelled","",IFERROR(IF(OR(AK181="",AB181=""),"",(AB181+Variables!$B$18-AK181)),""))</f>
        <v>42</v>
      </c>
      <c r="AQ181" s="11">
        <f>IF($H181="Cancelled","",IFERROR(IF(OR(AM181="",AK181=""),"",(AK181+Variables!$B$19)-AM181),""))</f>
        <v>-2</v>
      </c>
      <c r="AR181" s="12">
        <f>IF($H181="Cancelled","",IFERROR(T181*INDEX(Variables!$B$7:$D$7,IFERROR(MATCH(IF($B181="Robusta","Robusta",(IF($B181="","Arabica",$B181))&amp;" - "&amp;(IF($C181="","Commercial",$C181))),Variables!$B$1:$D$1,0),1))*(AQ181/365),""))</f>
        <v>-452.4949704406672</v>
      </c>
      <c r="AS181" s="12">
        <f>IF($H181="Cancelled","",IFERROR((T181*INDEX(Variables!$B$7:$D$7,IFERROR(MATCH(IF($B181="Robusta","Robusta",(IF($B181="","Arabica",$B181))&amp;" - "&amp;(IF($C181="","Commercial",$C181))),Variables!$B$1:$D$1,0),1))*IFERROR(IF(W181="","",(AVERAGE(E181:F181)-W181)-Variables!$B$14),"")/365)+(L181/16.67*INDEX(Variables!$B$8:$D$8,IFERROR(MATCH(IF($B181="Robusta","Robusta",(IF($B181="","Arabica",$B181))&amp;" - "&amp;(IF($C181="","Commercial",$C181))),Variables!$B$1:$D$1,0),1))*IFERROR(IF(W181="","",(AVERAGE(E181:F181)-W181)-Variables!$B$14),""))+(T181*INDEX(Variables!$B$9:$D$9,IFERROR(MATCH(IF($B181="Robusta","Robusta",(IF($B181="","Arabica",$B181))&amp;" - "&amp;(IF($C181="","Commercial",$C181))),Variables!$B$1:$D$1,0),1))*IFERROR(IF(W181="","",(AVERAGE(E181:F181)-W181)-Variables!$B$14),"")/365),""))</f>
        <v>9298.1099204051534</v>
      </c>
      <c r="AT181" s="12">
        <f>IF($H181="Cancelled","",IFERROR((T181*INDEX(Variables!$B$7:$D$7,IFERROR(MATCH(IF($B181="Robusta","Robusta",(IF($B181="","Arabica",$B181))&amp;" - "&amp;(IF($C181="","Commercial",$C181))),Variables!$B$1:$D$1,0),1))*AC181/365)+(L181/16.67*INDEX(Variables!$B$8:$D$8,IFERROR(MATCH(IF($B181="Robusta","Robusta",(IF($B181="","Arabica",$B181))&amp;" - "&amp;(IF($C181="","Commercial",$C181))),Variables!$B$1:$D$1,0),1))*AC181)+(T181*INDEX(Variables!$B$9:$D$9,IFERROR(MATCH(IF($B181="Robusta","Robusta",(IF($B181="","Arabica",$B181))&amp;" - "&amp;(IF($C181="","Commercial",$C181))),Variables!$B$1:$D$1,0),1))*AC181/365),""))</f>
        <v>-32840.132910367131</v>
      </c>
      <c r="AU181" s="12">
        <f>IF($H181="Cancelled","",IFERROR((T181*INDEX(Variables!$B$7:$D$7,IFERROR(MATCH(IF($B181="Robusta","Robusta",(IF($B181="","Arabica",$B181))&amp;" - "&amp;(IF($C181="","Commercial",$C181))),Variables!$B$1:$D$1,0),1))*AP181/365)+(L181/16.67*INDEX(Variables!$B$8:$D$8,IFERROR(MATCH(IF($B181="Robusta","Robusta",(IF($B181="","Arabica",$B181))&amp;" - "&amp;(IF($C181="","Commercial",$C181))),Variables!$B$1:$D$1,0),1))*AP181)+(T181*INDEX(Variables!$B$9:$D$9,IFERROR(MATCH(IF($B181="Robusta","Robusta",(IF($B181="","Arabica",$B181))&amp;" - "&amp;(IF($C181="","Commercial",$C181))),Variables!$B$1:$D$1,0),1))*AP181/365),""))</f>
        <v>16617.898581149635</v>
      </c>
      <c r="AV181" s="11">
        <f t="shared" si="15"/>
        <v>12</v>
      </c>
      <c r="AW181" s="12">
        <f>IF($H181="Cancelled","",IFERROR(IF(AV181="","",(T181*INDEX(Variables!$B$7:$D$7,IFERROR(MATCH(IF($B181="Robusta","Robusta",(IF($B181="","Arabica",$B181))&amp;" - "&amp;(IF($C181="","Commercial",$C181))),Variables!$B$1:$D$1,0),1))*(AV181/365))+(T181*INDEX(Variables!$B$9:$D$9,IFERROR(MATCH(IF($B181="Robusta","Robusta",(IF($B181="","Arabica",$B181))&amp;" - "&amp;(IF($C181="","Commercial",$C181))),Variables!$B$1:$D$1,0),1))*(AV181/365))+(INDEX(Variables!$B$8:$D$8,IFERROR(MATCH(IF($B181="Robusta","Robusta",(IF($B181="","Arabica",$B181))&amp;" - "&amp;(IF($C181="","Commercial",$C181))),Variables!$B$1:$D$1,0),1))*L181/16.67)),""))</f>
        <v>2916.4710231856093</v>
      </c>
      <c r="AX181" s="9"/>
      <c r="AY181" s="12"/>
      <c r="AZ181" s="10"/>
      <c r="BA181" s="9"/>
      <c r="BB181" s="10"/>
      <c r="BC181" s="9"/>
      <c r="BD181" s="9"/>
      <c r="BE181" s="9"/>
      <c r="BF181" s="9"/>
    </row>
    <row r="182" spans="1:58" x14ac:dyDescent="0.25">
      <c r="A182" s="9" t="s">
        <v>84</v>
      </c>
      <c r="B182" s="9" t="s">
        <v>85</v>
      </c>
      <c r="C182" s="9" t="s">
        <v>86</v>
      </c>
      <c r="D182" s="10">
        <v>45470</v>
      </c>
      <c r="E182" s="10">
        <v>45536</v>
      </c>
      <c r="F182" s="10">
        <v>45565</v>
      </c>
      <c r="G182" s="9">
        <v>3786441</v>
      </c>
      <c r="H182" s="9" t="str">
        <f t="shared" si="13"/>
        <v>Closed</v>
      </c>
      <c r="I182" s="9" t="str">
        <f t="shared" si="14"/>
        <v>All dates received</v>
      </c>
      <c r="J182" s="9" t="s">
        <v>102</v>
      </c>
      <c r="K182" s="9" t="s">
        <v>561</v>
      </c>
      <c r="L182" s="11">
        <v>1673</v>
      </c>
      <c r="M182" s="9" t="s">
        <v>553</v>
      </c>
      <c r="N182" s="9" t="s">
        <v>387</v>
      </c>
      <c r="O182" s="9"/>
      <c r="P182" s="9"/>
      <c r="Q182" s="11"/>
      <c r="R182" s="9" t="s">
        <v>90</v>
      </c>
      <c r="S182" s="9" t="s">
        <v>554</v>
      </c>
      <c r="T182" s="12">
        <f>IF($H182="Cancelled","",IFERROR(((Q182+INDEX(Variables!$B$6:$D$6,IFERROR(MATCH(IF($B182="Robusta","Robusta",(IF($B182="","Arabica",$B182))&amp;" - "&amp;(IF($C182="","Commercial",$C182))),Variables!$B$1:$D$1,0),1)))*22.0462)*(L182/16.67),""))</f>
        <v>643411.00708338327</v>
      </c>
      <c r="U182" s="10">
        <v>45488</v>
      </c>
      <c r="V182" s="9" t="str">
        <f t="shared" si="19"/>
        <v>Sent</v>
      </c>
      <c r="W182" s="10">
        <v>45497</v>
      </c>
      <c r="X182" s="9" t="str">
        <f t="shared" si="17"/>
        <v>Approved</v>
      </c>
      <c r="Y182" s="10"/>
      <c r="Z182" s="10">
        <f>IF($H182="Cancelled","",IFERROR(IF(F182="","",F182-Variables!$B$13),""))</f>
        <v>45550</v>
      </c>
      <c r="AA182" s="11">
        <f>IF($H182="Cancelled","",IFERROR(IF(W182="","",(AVERAGE(E182:F182)-W182)-Variables!$B$14),""))</f>
        <v>23.5</v>
      </c>
      <c r="AB182" s="10">
        <v>45588</v>
      </c>
      <c r="AC182" s="11">
        <f>IF($H182="Cancelled","",IFERROR(IF(AB182="","",IF(AND(W182="",Y182=""),"",IF(Y182&gt;W182,Y182+Variables!$B$15+Variables!$B$16+Variables!$B$17-AB182,W182+Variables!$B$16+Variables!$B$17-AB182))),""))</f>
        <v>-83</v>
      </c>
      <c r="AD182" s="9" t="s">
        <v>107</v>
      </c>
      <c r="AE182" s="9" t="s">
        <v>559</v>
      </c>
      <c r="AF182" s="10"/>
      <c r="AG182" s="10"/>
      <c r="AH182" s="9"/>
      <c r="AI182" s="9" t="s">
        <v>562</v>
      </c>
      <c r="AJ182" s="9" t="s">
        <v>8</v>
      </c>
      <c r="AK182" s="10">
        <v>45553</v>
      </c>
      <c r="AL182" s="10">
        <v>45559</v>
      </c>
      <c r="AM182" s="10">
        <v>45560</v>
      </c>
      <c r="AN182" s="9" t="s">
        <v>95</v>
      </c>
      <c r="AO182" s="9"/>
      <c r="AP182" s="11">
        <f>IF($H182="Cancelled","",IFERROR(IF(OR(AK182="",AB182=""),"",(AB182+Variables!$B$18-AK182)),""))</f>
        <v>42</v>
      </c>
      <c r="AQ182" s="11">
        <f>IF($H182="Cancelled","",IFERROR(IF(OR(AM182="",AK182=""),"",(AK182+Variables!$B$19)-AM182),""))</f>
        <v>-2</v>
      </c>
      <c r="AR182" s="12">
        <f>IF($H182="Cancelled","",IFERROR(T182*INDEX(Variables!$B$7:$D$7,IFERROR(MATCH(IF($B182="Robusta","Robusta",(IF($B182="","Arabica",$B182))&amp;" - "&amp;(IF($C182="","Commercial",$C182))),Variables!$B$1:$D$1,0),1))*(AQ182/365),""))</f>
        <v>-227.33456022439529</v>
      </c>
      <c r="AS182" s="12">
        <f>IF($H182="Cancelled","",IFERROR((T182*INDEX(Variables!$B$7:$D$7,IFERROR(MATCH(IF($B182="Robusta","Robusta",(IF($B182="","Arabica",$B182))&amp;" - "&amp;(IF($C182="","Commercial",$C182))),Variables!$B$1:$D$1,0),1))*IFERROR(IF(W182="","",(AVERAGE(E182:F182)-W182)-Variables!$B$14),"")/365)+(L182/16.67*INDEX(Variables!$B$8:$D$8,IFERROR(MATCH(IF($B182="Robusta","Robusta",(IF($B182="","Arabica",$B182))&amp;" - "&amp;(IF($C182="","Commercial",$C182))),Variables!$B$1:$D$1,0),1))*IFERROR(IF(W182="","",(AVERAGE(E182:F182)-W182)-Variables!$B$14),""))+(T182*INDEX(Variables!$B$9:$D$9,IFERROR(MATCH(IF($B182="Robusta","Robusta",(IF($B182="","Arabica",$B182))&amp;" - "&amp;(IF($C182="","Commercial",$C182))),Variables!$B$1:$D$1,0),1))*IFERROR(IF(W182="","",(AVERAGE(E182:F182)-W182)-Variables!$B$14),"")/365),""))</f>
        <v>4671.3927618131593</v>
      </c>
      <c r="AT182" s="12">
        <f>IF($H182="Cancelled","",IFERROR((T182*INDEX(Variables!$B$7:$D$7,IFERROR(MATCH(IF($B182="Robusta","Robusta",(IF($B182="","Arabica",$B182))&amp;" - "&amp;(IF($C182="","Commercial",$C182))),Variables!$B$1:$D$1,0),1))*AC182/365)+(L182/16.67*INDEX(Variables!$B$8:$D$8,IFERROR(MATCH(IF($B182="Robusta","Robusta",(IF($B182="","Arabica",$B182))&amp;" - "&amp;(IF($C182="","Commercial",$C182))),Variables!$B$1:$D$1,0),1))*AC182)+(T182*INDEX(Variables!$B$9:$D$9,IFERROR(MATCH(IF($B182="Robusta","Robusta",(IF($B182="","Arabica",$B182))&amp;" - "&amp;(IF($C182="","Commercial",$C182))),Variables!$B$1:$D$1,0),1))*AC182/365),""))</f>
        <v>-16498.961669382647</v>
      </c>
      <c r="AU182" s="12">
        <f>IF($H182="Cancelled","",IFERROR((T182*INDEX(Variables!$B$7:$D$7,IFERROR(MATCH(IF($B182="Robusta","Robusta",(IF($B182="","Arabica",$B182))&amp;" - "&amp;(IF($C182="","Commercial",$C182))),Variables!$B$1:$D$1,0),1))*AP182/365)+(L182/16.67*INDEX(Variables!$B$8:$D$8,IFERROR(MATCH(IF($B182="Robusta","Robusta",(IF($B182="","Arabica",$B182))&amp;" - "&amp;(IF($C182="","Commercial",$C182))),Variables!$B$1:$D$1,0),1))*AP182)+(T182*INDEX(Variables!$B$9:$D$9,IFERROR(MATCH(IF($B182="Robusta","Robusta",(IF($B182="","Arabica",$B182))&amp;" - "&amp;(IF($C182="","Commercial",$C182))),Variables!$B$1:$D$1,0),1))*AP182/365),""))</f>
        <v>8348.8721700490496</v>
      </c>
      <c r="AV182" s="11">
        <f t="shared" si="15"/>
        <v>12</v>
      </c>
      <c r="AW182" s="12">
        <f>IF($H182="Cancelled","",IFERROR(IF(AV182="","",(T182*INDEX(Variables!$B$7:$D$7,IFERROR(MATCH(IF($B182="Robusta","Robusta",(IF($B182="","Arabica",$B182))&amp;" - "&amp;(IF($C182="","Commercial",$C182))),Variables!$B$1:$D$1,0),1))*(AV182/365))+(T182*INDEX(Variables!$B$9:$D$9,IFERROR(MATCH(IF($B182="Robusta","Robusta",(IF($B182="","Arabica",$B182))&amp;" - "&amp;(IF($C182="","Commercial",$C182))),Variables!$B$1:$D$1,0),1))*(AV182/365))+(INDEX(Variables!$B$8:$D$8,IFERROR(MATCH(IF($B182="Robusta","Robusta",(IF($B182="","Arabica",$B182))&amp;" - "&amp;(IF($C182="","Commercial",$C182))),Variables!$B$1:$D$1,0),1))*L182/16.67)),""))</f>
        <v>1465.2420485854429</v>
      </c>
      <c r="AX182" s="9"/>
      <c r="AY182" s="12"/>
      <c r="AZ182" s="10"/>
      <c r="BA182" s="9"/>
      <c r="BB182" s="10"/>
      <c r="BC182" s="9"/>
      <c r="BD182" s="9"/>
      <c r="BE182" s="9"/>
      <c r="BF182" s="9"/>
    </row>
    <row r="183" spans="1:58" x14ac:dyDescent="0.25">
      <c r="A183" s="9" t="s">
        <v>84</v>
      </c>
      <c r="B183" s="9" t="s">
        <v>85</v>
      </c>
      <c r="C183" s="9" t="s">
        <v>86</v>
      </c>
      <c r="D183" s="10">
        <v>45474</v>
      </c>
      <c r="E183" s="10">
        <v>45474</v>
      </c>
      <c r="F183" s="10">
        <v>45504</v>
      </c>
      <c r="G183" s="9">
        <v>3786443</v>
      </c>
      <c r="H183" s="9" t="str">
        <f t="shared" si="13"/>
        <v>Closed</v>
      </c>
      <c r="I183" s="9" t="str">
        <f t="shared" si="14"/>
        <v>All dates received</v>
      </c>
      <c r="J183" s="9" t="s">
        <v>494</v>
      </c>
      <c r="K183" s="9">
        <v>5047</v>
      </c>
      <c r="L183" s="11">
        <v>320</v>
      </c>
      <c r="M183" s="9" t="s">
        <v>563</v>
      </c>
      <c r="N183" s="9" t="s">
        <v>126</v>
      </c>
      <c r="O183" s="9"/>
      <c r="P183" s="9"/>
      <c r="Q183" s="11"/>
      <c r="R183" s="9" t="s">
        <v>90</v>
      </c>
      <c r="S183" s="9" t="s">
        <v>150</v>
      </c>
      <c r="T183" s="12">
        <f>IF($H183="Cancelled","",IFERROR(((Q183+INDEX(Variables!$B$6:$D$6,IFERROR(MATCH(IF($B183="Robusta","Robusta",(IF($B183="","Arabica",$B183))&amp;" - "&amp;(IF($C183="","Commercial",$C183))),Variables!$B$1:$D$1,0),1)))*22.0462)*(L183/16.67),""))</f>
        <v>123067.25778044391</v>
      </c>
      <c r="U183" s="10">
        <v>45477</v>
      </c>
      <c r="V183" s="9" t="str">
        <f t="shared" si="19"/>
        <v>Sent</v>
      </c>
      <c r="W183" s="10">
        <v>45488</v>
      </c>
      <c r="X183" s="9" t="str">
        <f t="shared" si="17"/>
        <v>Approved</v>
      </c>
      <c r="Y183" s="10"/>
      <c r="Z183" s="10">
        <f>IF($H183="Cancelled","",IFERROR(IF(F183="","",F183-Variables!$B$13),""))</f>
        <v>45489</v>
      </c>
      <c r="AA183" s="11">
        <f>IF($H183="Cancelled","",IFERROR(IF(W183="","",(AVERAGE(E183:F183)-W183)-Variables!$B$14),""))</f>
        <v>-29</v>
      </c>
      <c r="AB183" s="10">
        <v>45589</v>
      </c>
      <c r="AC183" s="11">
        <f>IF($H183="Cancelled","",IFERROR(IF(AB183="","",IF(AND(W183="",Y183=""),"",IF(Y183&gt;W183,Y183+Variables!$B$15+Variables!$B$16+Variables!$B$17-AB183,W183+Variables!$B$16+Variables!$B$17-AB183))),""))</f>
        <v>-93</v>
      </c>
      <c r="AD183" s="9" t="s">
        <v>163</v>
      </c>
      <c r="AE183" s="9" t="s">
        <v>564</v>
      </c>
      <c r="AF183" s="10"/>
      <c r="AG183" s="10"/>
      <c r="AH183" s="9"/>
      <c r="AI183" s="9">
        <v>242782517</v>
      </c>
      <c r="AJ183" s="9" t="s">
        <v>8</v>
      </c>
      <c r="AK183" s="10">
        <v>45511</v>
      </c>
      <c r="AL183" s="10">
        <v>45519</v>
      </c>
      <c r="AM183" s="10">
        <v>45520</v>
      </c>
      <c r="AN183" s="9" t="s">
        <v>95</v>
      </c>
      <c r="AO183" s="9"/>
      <c r="AP183" s="11">
        <f>IF($H183="Cancelled","",IFERROR(IF(OR(AK183="",AB183=""),"",(AB183+Variables!$B$18-AK183)),""))</f>
        <v>85</v>
      </c>
      <c r="AQ183" s="11">
        <f>IF($H183="Cancelled","",IFERROR(IF(OR(AM183="",AK183=""),"",(AK183+Variables!$B$19)-AM183),""))</f>
        <v>-4</v>
      </c>
      <c r="AR183" s="12">
        <f>IF($H183="Cancelled","",IFERROR(T183*INDEX(Variables!$B$7:$D$7,IFERROR(MATCH(IF($B183="Robusta","Robusta",(IF($B183="","Arabica",$B183))&amp;" - "&amp;(IF($C183="","Commercial",$C183))),Variables!$B$1:$D$1,0),1))*(AQ183/365),""))</f>
        <v>-86.966000324933049</v>
      </c>
      <c r="AS183" s="12">
        <f>IF($H183="Cancelled","",IFERROR((T183*INDEX(Variables!$B$7:$D$7,IFERROR(MATCH(IF($B183="Robusta","Robusta",(IF($B183="","Arabica",$B183))&amp;" - "&amp;(IF($C183="","Commercial",$C183))),Variables!$B$1:$D$1,0),1))*IFERROR(IF(W183="","",(AVERAGE(E183:F183)-W183)-Variables!$B$14),"")/365)+(L183/16.67*INDEX(Variables!$B$8:$D$8,IFERROR(MATCH(IF($B183="Robusta","Robusta",(IF($B183="","Arabica",$B183))&amp;" - "&amp;(IF($C183="","Commercial",$C183))),Variables!$B$1:$D$1,0),1))*IFERROR(IF(W183="","",(AVERAGE(E183:F183)-W183)-Variables!$B$14),""))+(T183*INDEX(Variables!$B$9:$D$9,IFERROR(MATCH(IF($B183="Robusta","Robusta",(IF($B183="","Arabica",$B183))&amp;" - "&amp;(IF($C183="","Commercial",$C183))),Variables!$B$1:$D$1,0),1))*IFERROR(IF(W183="","",(AVERAGE(E183:F183)-W183)-Variables!$B$14),"")/365),""))</f>
        <v>-1102.6319092883498</v>
      </c>
      <c r="AT183" s="12">
        <f>IF($H183="Cancelled","",IFERROR((T183*INDEX(Variables!$B$7:$D$7,IFERROR(MATCH(IF($B183="Robusta","Robusta",(IF($B183="","Arabica",$B183))&amp;" - "&amp;(IF($C183="","Commercial",$C183))),Variables!$B$1:$D$1,0),1))*AC183/365)+(L183/16.67*INDEX(Variables!$B$8:$D$8,IFERROR(MATCH(IF($B183="Robusta","Robusta",(IF($B183="","Arabica",$B183))&amp;" - "&amp;(IF($C183="","Commercial",$C183))),Variables!$B$1:$D$1,0),1))*AC183)+(T183*INDEX(Variables!$B$9:$D$9,IFERROR(MATCH(IF($B183="Robusta","Robusta",(IF($B183="","Arabica",$B183))&amp;" - "&amp;(IF($C183="","Commercial",$C183))),Variables!$B$1:$D$1,0),1))*AC183/365),""))</f>
        <v>-3536.0264677178111</v>
      </c>
      <c r="AU183" s="12">
        <f>IF($H183="Cancelled","",IFERROR((T183*INDEX(Variables!$B$7:$D$7,IFERROR(MATCH(IF($B183="Robusta","Robusta",(IF($B183="","Arabica",$B183))&amp;" - "&amp;(IF($C183="","Commercial",$C183))),Variables!$B$1:$D$1,0),1))*AP183/365)+(L183/16.67*INDEX(Variables!$B$8:$D$8,IFERROR(MATCH(IF($B183="Robusta","Robusta",(IF($B183="","Arabica",$B183))&amp;" - "&amp;(IF($C183="","Commercial",$C183))),Variables!$B$1:$D$1,0),1))*AP183)+(T183*INDEX(Variables!$B$9:$D$9,IFERROR(MATCH(IF($B183="Robusta","Robusta",(IF($B183="","Arabica",$B183))&amp;" - "&amp;(IF($C183="","Commercial",$C183))),Variables!$B$1:$D$1,0),1))*AP183/365),""))</f>
        <v>3231.8521479141286</v>
      </c>
      <c r="AV183" s="11">
        <f t="shared" si="15"/>
        <v>-7</v>
      </c>
      <c r="AW183" s="12">
        <f>IF($H183="Cancelled","",IFERROR(IF(AV183="","",(T183*INDEX(Variables!$B$7:$D$7,IFERROR(MATCH(IF($B183="Robusta","Robusta",(IF($B183="","Arabica",$B183))&amp;" - "&amp;(IF($C183="","Commercial",$C183))),Variables!$B$1:$D$1,0),1))*(AV183/365))+(T183*INDEX(Variables!$B$9:$D$9,IFERROR(MATCH(IF($B183="Robusta","Robusta",(IF($B183="","Arabica",$B183))&amp;" - "&amp;(IF($C183="","Commercial",$C183))),Variables!$B$1:$D$1,0),1))*(AV183/365))+(INDEX(Variables!$B$8:$D$8,IFERROR(MATCH(IF($B183="Robusta","Robusta",(IF($B183="","Arabica",$B183))&amp;" - "&amp;(IF($C183="","Commercial",$C183))),Variables!$B$1:$D$1,0),1))*L183/16.67)),""))</f>
        <v>-138.15252982822238</v>
      </c>
      <c r="AX183" s="9"/>
      <c r="AY183" s="12"/>
      <c r="AZ183" s="10"/>
      <c r="BA183" s="9"/>
      <c r="BB183" s="10"/>
      <c r="BC183" s="9"/>
      <c r="BD183" s="9"/>
      <c r="BE183" s="9"/>
      <c r="BF183" s="9"/>
    </row>
    <row r="184" spans="1:58" x14ac:dyDescent="0.25">
      <c r="A184" s="9" t="s">
        <v>84</v>
      </c>
      <c r="B184" s="9" t="s">
        <v>85</v>
      </c>
      <c r="C184" s="9" t="s">
        <v>86</v>
      </c>
      <c r="D184" s="10">
        <v>45474</v>
      </c>
      <c r="E184" s="10">
        <v>45505</v>
      </c>
      <c r="F184" s="10">
        <v>45535</v>
      </c>
      <c r="G184" s="9">
        <v>3786444</v>
      </c>
      <c r="H184" s="9" t="str">
        <f t="shared" si="13"/>
        <v>Closed</v>
      </c>
      <c r="I184" s="9" t="str">
        <f t="shared" si="14"/>
        <v>All dates received</v>
      </c>
      <c r="J184" s="9" t="s">
        <v>494</v>
      </c>
      <c r="K184" s="9" t="s">
        <v>565</v>
      </c>
      <c r="L184" s="11">
        <v>320</v>
      </c>
      <c r="M184" s="9" t="s">
        <v>563</v>
      </c>
      <c r="N184" s="9" t="s">
        <v>126</v>
      </c>
      <c r="O184" s="9"/>
      <c r="P184" s="9"/>
      <c r="Q184" s="11"/>
      <c r="R184" s="9" t="s">
        <v>90</v>
      </c>
      <c r="S184" s="9" t="s">
        <v>150</v>
      </c>
      <c r="T184" s="12">
        <f>IF($H184="Cancelled","",IFERROR(((Q184+INDEX(Variables!$B$6:$D$6,IFERROR(MATCH(IF($B184="Robusta","Robusta",(IF($B184="","Arabica",$B184))&amp;" - "&amp;(IF($C184="","Commercial",$C184))),Variables!$B$1:$D$1,0),1)))*22.0462)*(L184/16.67),""))</f>
        <v>123067.25778044391</v>
      </c>
      <c r="U184" s="10">
        <v>45477</v>
      </c>
      <c r="V184" s="9" t="str">
        <f t="shared" si="19"/>
        <v>Sent</v>
      </c>
      <c r="W184" s="10">
        <v>45488</v>
      </c>
      <c r="X184" s="9" t="str">
        <f t="shared" si="17"/>
        <v>Approved</v>
      </c>
      <c r="Y184" s="10"/>
      <c r="Z184" s="10">
        <f>IF($H184="Cancelled","",IFERROR(IF(F184="","",F184-Variables!$B$13),""))</f>
        <v>45520</v>
      </c>
      <c r="AA184" s="11">
        <f>IF($H184="Cancelled","",IFERROR(IF(W184="","",(AVERAGE(E184:F184)-W184)-Variables!$B$14),""))</f>
        <v>2</v>
      </c>
      <c r="AB184" s="10">
        <v>45589</v>
      </c>
      <c r="AC184" s="11">
        <f>IF($H184="Cancelled","",IFERROR(IF(AB184="","",IF(AND(W184="",Y184=""),"",IF(Y184&gt;W184,Y184+Variables!$B$15+Variables!$B$16+Variables!$B$17-AB184,W184+Variables!$B$16+Variables!$B$17-AB184))),""))</f>
        <v>-93</v>
      </c>
      <c r="AD184" s="9" t="s">
        <v>163</v>
      </c>
      <c r="AE184" s="9" t="s">
        <v>564</v>
      </c>
      <c r="AF184" s="10"/>
      <c r="AG184" s="10"/>
      <c r="AH184" s="9"/>
      <c r="AI184" s="9">
        <v>242782553</v>
      </c>
      <c r="AJ184" s="9" t="s">
        <v>8</v>
      </c>
      <c r="AK184" s="10">
        <v>45511</v>
      </c>
      <c r="AL184" s="10">
        <v>45519</v>
      </c>
      <c r="AM184" s="10">
        <v>45520</v>
      </c>
      <c r="AN184" s="9" t="s">
        <v>95</v>
      </c>
      <c r="AO184" s="9"/>
      <c r="AP184" s="11">
        <f>IF($H184="Cancelled","",IFERROR(IF(OR(AK184="",AB184=""),"",(AB184+Variables!$B$18-AK184)),""))</f>
        <v>85</v>
      </c>
      <c r="AQ184" s="11">
        <f>IF($H184="Cancelled","",IFERROR(IF(OR(AM184="",AK184=""),"",(AK184+Variables!$B$19)-AM184),""))</f>
        <v>-4</v>
      </c>
      <c r="AR184" s="12">
        <f>IF($H184="Cancelled","",IFERROR(T184*INDEX(Variables!$B$7:$D$7,IFERROR(MATCH(IF($B184="Robusta","Robusta",(IF($B184="","Arabica",$B184))&amp;" - "&amp;(IF($C184="","Commercial",$C184))),Variables!$B$1:$D$1,0),1))*(AQ184/365),""))</f>
        <v>-86.966000324933049</v>
      </c>
      <c r="AS184" s="12">
        <f>IF($H184="Cancelled","",IFERROR((T184*INDEX(Variables!$B$7:$D$7,IFERROR(MATCH(IF($B184="Robusta","Robusta",(IF($B184="","Arabica",$B184))&amp;" - "&amp;(IF($C184="","Commercial",$C184))),Variables!$B$1:$D$1,0),1))*IFERROR(IF(W184="","",(AVERAGE(E184:F184)-W184)-Variables!$B$14),"")/365)+(L184/16.67*INDEX(Variables!$B$8:$D$8,IFERROR(MATCH(IF($B184="Robusta","Robusta",(IF($B184="","Arabica",$B184))&amp;" - "&amp;(IF($C184="","Commercial",$C184))),Variables!$B$1:$D$1,0),1))*IFERROR(IF(W184="","",(AVERAGE(E184:F184)-W184)-Variables!$B$14),""))+(T184*INDEX(Variables!$B$9:$D$9,IFERROR(MATCH(IF($B184="Robusta","Robusta",(IF($B184="","Arabica",$B184))&amp;" - "&amp;(IF($C184="","Commercial",$C184))),Variables!$B$1:$D$1,0),1))*IFERROR(IF(W184="","",(AVERAGE(E184:F184)-W184)-Variables!$B$14),"")/365),""))</f>
        <v>76.043579950920673</v>
      </c>
      <c r="AT184" s="12">
        <f>IF($H184="Cancelled","",IFERROR((T184*INDEX(Variables!$B$7:$D$7,IFERROR(MATCH(IF($B184="Robusta","Robusta",(IF($B184="","Arabica",$B184))&amp;" - "&amp;(IF($C184="","Commercial",$C184))),Variables!$B$1:$D$1,0),1))*AC184/365)+(L184/16.67*INDEX(Variables!$B$8:$D$8,IFERROR(MATCH(IF($B184="Robusta","Robusta",(IF($B184="","Arabica",$B184))&amp;" - "&amp;(IF($C184="","Commercial",$C184))),Variables!$B$1:$D$1,0),1))*AC184)+(T184*INDEX(Variables!$B$9:$D$9,IFERROR(MATCH(IF($B184="Robusta","Robusta",(IF($B184="","Arabica",$B184))&amp;" - "&amp;(IF($C184="","Commercial",$C184))),Variables!$B$1:$D$1,0),1))*AC184/365),""))</f>
        <v>-3536.0264677178111</v>
      </c>
      <c r="AU184" s="12">
        <f>IF($H184="Cancelled","",IFERROR((T184*INDEX(Variables!$B$7:$D$7,IFERROR(MATCH(IF($B184="Robusta","Robusta",(IF($B184="","Arabica",$B184))&amp;" - "&amp;(IF($C184="","Commercial",$C184))),Variables!$B$1:$D$1,0),1))*AP184/365)+(L184/16.67*INDEX(Variables!$B$8:$D$8,IFERROR(MATCH(IF($B184="Robusta","Robusta",(IF($B184="","Arabica",$B184))&amp;" - "&amp;(IF($C184="","Commercial",$C184))),Variables!$B$1:$D$1,0),1))*AP184)+(T184*INDEX(Variables!$B$9:$D$9,IFERROR(MATCH(IF($B184="Robusta","Robusta",(IF($B184="","Arabica",$B184))&amp;" - "&amp;(IF($C184="","Commercial",$C184))),Variables!$B$1:$D$1,0),1))*AP184/365),""))</f>
        <v>3231.8521479141286</v>
      </c>
      <c r="AV184" s="11">
        <f t="shared" si="15"/>
        <v>24</v>
      </c>
      <c r="AW184" s="12">
        <f>IF($H184="Cancelled","",IFERROR(IF(AV184="","",(T184*INDEX(Variables!$B$7:$D$7,IFERROR(MATCH(IF($B184="Robusta","Robusta",(IF($B184="","Arabica",$B184))&amp;" - "&amp;(IF($C184="","Commercial",$C184))),Variables!$B$1:$D$1,0),1))*(AV184/365))+(T184*INDEX(Variables!$B$9:$D$9,IFERROR(MATCH(IF($B184="Robusta","Robusta",(IF($B184="","Arabica",$B184))&amp;" - "&amp;(IF($C184="","Commercial",$C184))),Variables!$B$1:$D$1,0),1))*(AV184/365))+(INDEX(Variables!$B$8:$D$8,IFERROR(MATCH(IF($B184="Robusta","Robusta",(IF($B184="","Arabica",$B184))&amp;" - "&amp;(IF($C184="","Commercial",$C184))),Variables!$B$1:$D$1,0),1))*L184/16.67)),""))</f>
        <v>544.52295941104808</v>
      </c>
      <c r="AX184" s="9"/>
      <c r="AY184" s="12"/>
      <c r="AZ184" s="10"/>
      <c r="BA184" s="9"/>
      <c r="BB184" s="10"/>
      <c r="BC184" s="9"/>
      <c r="BD184" s="9"/>
      <c r="BE184" s="9"/>
      <c r="BF184" s="9"/>
    </row>
    <row r="185" spans="1:58" x14ac:dyDescent="0.25">
      <c r="A185" s="9" t="s">
        <v>84</v>
      </c>
      <c r="B185" s="9" t="s">
        <v>85</v>
      </c>
      <c r="C185" s="9" t="s">
        <v>86</v>
      </c>
      <c r="D185" s="10">
        <v>45474</v>
      </c>
      <c r="E185" s="10">
        <v>45505</v>
      </c>
      <c r="F185" s="10">
        <v>45535</v>
      </c>
      <c r="G185" s="9">
        <v>3786444</v>
      </c>
      <c r="H185" s="9" t="str">
        <f t="shared" si="13"/>
        <v>Closed</v>
      </c>
      <c r="I185" s="9" t="str">
        <f t="shared" si="14"/>
        <v>All dates received</v>
      </c>
      <c r="J185" s="9" t="s">
        <v>494</v>
      </c>
      <c r="K185" s="9" t="s">
        <v>566</v>
      </c>
      <c r="L185" s="11">
        <v>320</v>
      </c>
      <c r="M185" s="9" t="s">
        <v>563</v>
      </c>
      <c r="N185" s="9" t="s">
        <v>126</v>
      </c>
      <c r="O185" s="9"/>
      <c r="P185" s="9"/>
      <c r="Q185" s="11"/>
      <c r="R185" s="9" t="s">
        <v>90</v>
      </c>
      <c r="S185" s="9" t="s">
        <v>150</v>
      </c>
      <c r="T185" s="12">
        <f>IF($H185="Cancelled","",IFERROR(((Q185+INDEX(Variables!$B$6:$D$6,IFERROR(MATCH(IF($B185="Robusta","Robusta",(IF($B185="","Arabica",$B185))&amp;" - "&amp;(IF($C185="","Commercial",$C185))),Variables!$B$1:$D$1,0),1)))*22.0462)*(L185/16.67),""))</f>
        <v>123067.25778044391</v>
      </c>
      <c r="U185" s="10">
        <v>45477</v>
      </c>
      <c r="V185" s="9" t="str">
        <f t="shared" si="19"/>
        <v>Sent</v>
      </c>
      <c r="W185" s="10">
        <v>45488</v>
      </c>
      <c r="X185" s="9" t="str">
        <f t="shared" si="17"/>
        <v>Approved</v>
      </c>
      <c r="Y185" s="10"/>
      <c r="Z185" s="10">
        <f>IF($H185="Cancelled","",IFERROR(IF(F185="","",F185-Variables!$B$13),""))</f>
        <v>45520</v>
      </c>
      <c r="AA185" s="11">
        <f>IF($H185="Cancelled","",IFERROR(IF(W185="","",(AVERAGE(E185:F185)-W185)-Variables!$B$14),""))</f>
        <v>2</v>
      </c>
      <c r="AB185" s="10">
        <v>45593</v>
      </c>
      <c r="AC185" s="11">
        <f>IF($H185="Cancelled","",IFERROR(IF(AB185="","",IF(AND(W185="",Y185=""),"",IF(Y185&gt;W185,Y185+Variables!$B$15+Variables!$B$16+Variables!$B$17-AB185,W185+Variables!$B$16+Variables!$B$17-AB185))),""))</f>
        <v>-97</v>
      </c>
      <c r="AD185" s="9" t="s">
        <v>163</v>
      </c>
      <c r="AE185" s="9" t="s">
        <v>564</v>
      </c>
      <c r="AF185" s="10"/>
      <c r="AG185" s="10"/>
      <c r="AH185" s="9"/>
      <c r="AI185" s="9">
        <v>242782577</v>
      </c>
      <c r="AJ185" s="9" t="s">
        <v>8</v>
      </c>
      <c r="AK185" s="10">
        <v>45511</v>
      </c>
      <c r="AL185" s="10">
        <v>45519</v>
      </c>
      <c r="AM185" s="10">
        <v>45520</v>
      </c>
      <c r="AN185" s="9" t="s">
        <v>95</v>
      </c>
      <c r="AO185" s="9"/>
      <c r="AP185" s="11">
        <f>IF($H185="Cancelled","",IFERROR(IF(OR(AK185="",AB185=""),"",(AB185+Variables!$B$18-AK185)),""))</f>
        <v>89</v>
      </c>
      <c r="AQ185" s="11">
        <f>IF($H185="Cancelled","",IFERROR(IF(OR(AM185="",AK185=""),"",(AK185+Variables!$B$19)-AM185),""))</f>
        <v>-4</v>
      </c>
      <c r="AR185" s="12">
        <f>IF($H185="Cancelled","",IFERROR(T185*INDEX(Variables!$B$7:$D$7,IFERROR(MATCH(IF($B185="Robusta","Robusta",(IF($B185="","Arabica",$B185))&amp;" - "&amp;(IF($C185="","Commercial",$C185))),Variables!$B$1:$D$1,0),1))*(AQ185/365),""))</f>
        <v>-86.966000324933049</v>
      </c>
      <c r="AS185" s="12">
        <f>IF($H185="Cancelled","",IFERROR((T185*INDEX(Variables!$B$7:$D$7,IFERROR(MATCH(IF($B185="Robusta","Robusta",(IF($B185="","Arabica",$B185))&amp;" - "&amp;(IF($C185="","Commercial",$C185))),Variables!$B$1:$D$1,0),1))*IFERROR(IF(W185="","",(AVERAGE(E185:F185)-W185)-Variables!$B$14),"")/365)+(L185/16.67*INDEX(Variables!$B$8:$D$8,IFERROR(MATCH(IF($B185="Robusta","Robusta",(IF($B185="","Arabica",$B185))&amp;" - "&amp;(IF($C185="","Commercial",$C185))),Variables!$B$1:$D$1,0),1))*IFERROR(IF(W185="","",(AVERAGE(E185:F185)-W185)-Variables!$B$14),""))+(T185*INDEX(Variables!$B$9:$D$9,IFERROR(MATCH(IF($B185="Robusta","Robusta",(IF($B185="","Arabica",$B185))&amp;" - "&amp;(IF($C185="","Commercial",$C185))),Variables!$B$1:$D$1,0),1))*IFERROR(IF(W185="","",(AVERAGE(E185:F185)-W185)-Variables!$B$14),"")/365),""))</f>
        <v>76.043579950920673</v>
      </c>
      <c r="AT185" s="12">
        <f>IF($H185="Cancelled","",IFERROR((T185*INDEX(Variables!$B$7:$D$7,IFERROR(MATCH(IF($B185="Robusta","Robusta",(IF($B185="","Arabica",$B185))&amp;" - "&amp;(IF($C185="","Commercial",$C185))),Variables!$B$1:$D$1,0),1))*AC185/365)+(L185/16.67*INDEX(Variables!$B$8:$D$8,IFERROR(MATCH(IF($B185="Robusta","Robusta",(IF($B185="","Arabica",$B185))&amp;" - "&amp;(IF($C185="","Commercial",$C185))),Variables!$B$1:$D$1,0),1))*AC185)+(T185*INDEX(Variables!$B$9:$D$9,IFERROR(MATCH(IF($B185="Robusta","Robusta",(IF($B185="","Arabica",$B185))&amp;" - "&amp;(IF($C185="","Commercial",$C185))),Variables!$B$1:$D$1,0),1))*AC185/365),""))</f>
        <v>-3688.113627619653</v>
      </c>
      <c r="AU185" s="12">
        <f>IF($H185="Cancelled","",IFERROR((T185*INDEX(Variables!$B$7:$D$7,IFERROR(MATCH(IF($B185="Robusta","Robusta",(IF($B185="","Arabica",$B185))&amp;" - "&amp;(IF($C185="","Commercial",$C185))),Variables!$B$1:$D$1,0),1))*AP185/365)+(L185/16.67*INDEX(Variables!$B$8:$D$8,IFERROR(MATCH(IF($B185="Robusta","Robusta",(IF($B185="","Arabica",$B185))&amp;" - "&amp;(IF($C185="","Commercial",$C185))),Variables!$B$1:$D$1,0),1))*AP185)+(T185*INDEX(Variables!$B$9:$D$9,IFERROR(MATCH(IF($B185="Robusta","Robusta",(IF($B185="","Arabica",$B185))&amp;" - "&amp;(IF($C185="","Commercial",$C185))),Variables!$B$1:$D$1,0),1))*AP185/365),""))</f>
        <v>3383.9393078159701</v>
      </c>
      <c r="AV185" s="11">
        <f t="shared" si="15"/>
        <v>24</v>
      </c>
      <c r="AW185" s="12">
        <f>IF($H185="Cancelled","",IFERROR(IF(AV185="","",(T185*INDEX(Variables!$B$7:$D$7,IFERROR(MATCH(IF($B185="Robusta","Robusta",(IF($B185="","Arabica",$B185))&amp;" - "&amp;(IF($C185="","Commercial",$C185))),Variables!$B$1:$D$1,0),1))*(AV185/365))+(T185*INDEX(Variables!$B$9:$D$9,IFERROR(MATCH(IF($B185="Robusta","Robusta",(IF($B185="","Arabica",$B185))&amp;" - "&amp;(IF($C185="","Commercial",$C185))),Variables!$B$1:$D$1,0),1))*(AV185/365))+(INDEX(Variables!$B$8:$D$8,IFERROR(MATCH(IF($B185="Robusta","Robusta",(IF($B185="","Arabica",$B185))&amp;" - "&amp;(IF($C185="","Commercial",$C185))),Variables!$B$1:$D$1,0),1))*L185/16.67)),""))</f>
        <v>544.52295941104808</v>
      </c>
      <c r="AX185" s="9"/>
      <c r="AY185" s="12"/>
      <c r="AZ185" s="10"/>
      <c r="BA185" s="9"/>
      <c r="BB185" s="10"/>
      <c r="BC185" s="9"/>
      <c r="BD185" s="9"/>
      <c r="BE185" s="9"/>
      <c r="BF185" s="9"/>
    </row>
    <row r="186" spans="1:58" x14ac:dyDescent="0.25">
      <c r="A186" s="9" t="s">
        <v>84</v>
      </c>
      <c r="B186" s="9" t="s">
        <v>85</v>
      </c>
      <c r="C186" s="9" t="s">
        <v>86</v>
      </c>
      <c r="D186" s="10">
        <v>45474</v>
      </c>
      <c r="E186" s="10">
        <v>45536</v>
      </c>
      <c r="F186" s="10">
        <v>45565</v>
      </c>
      <c r="G186" s="9">
        <v>3786445</v>
      </c>
      <c r="H186" s="9" t="str">
        <f t="shared" si="13"/>
        <v>Closed</v>
      </c>
      <c r="I186" s="9" t="str">
        <f t="shared" si="14"/>
        <v>All dates received</v>
      </c>
      <c r="J186" s="9" t="s">
        <v>494</v>
      </c>
      <c r="K186" s="9">
        <v>5072</v>
      </c>
      <c r="L186" s="11">
        <v>320</v>
      </c>
      <c r="M186" s="9" t="s">
        <v>563</v>
      </c>
      <c r="N186" s="9" t="s">
        <v>126</v>
      </c>
      <c r="O186" s="9"/>
      <c r="P186" s="9"/>
      <c r="Q186" s="11"/>
      <c r="R186" s="9" t="s">
        <v>90</v>
      </c>
      <c r="S186" s="9" t="s">
        <v>150</v>
      </c>
      <c r="T186" s="12">
        <f>IF($H186="Cancelled","",IFERROR(((Q186+INDEX(Variables!$B$6:$D$6,IFERROR(MATCH(IF($B186="Robusta","Robusta",(IF($B186="","Arabica",$B186))&amp;" - "&amp;(IF($C186="","Commercial",$C186))),Variables!$B$1:$D$1,0),1)))*22.0462)*(L186/16.67),""))</f>
        <v>123067.25778044391</v>
      </c>
      <c r="U186" s="10">
        <v>45503</v>
      </c>
      <c r="V186" s="9" t="str">
        <f t="shared" si="19"/>
        <v>Sent</v>
      </c>
      <c r="W186" s="10">
        <v>45513</v>
      </c>
      <c r="X186" s="9" t="str">
        <f t="shared" si="17"/>
        <v>Approved</v>
      </c>
      <c r="Y186" s="10"/>
      <c r="Z186" s="10">
        <f>IF($H186="Cancelled","",IFERROR(IF(F186="","",F186-Variables!$B$13),""))</f>
        <v>45550</v>
      </c>
      <c r="AA186" s="11">
        <f>IF($H186="Cancelled","",IFERROR(IF(W186="","",(AVERAGE(E186:F186)-W186)-Variables!$B$14),""))</f>
        <v>7.5</v>
      </c>
      <c r="AB186" s="10">
        <v>45594</v>
      </c>
      <c r="AC186" s="11">
        <f>IF($H186="Cancelled","",IFERROR(IF(AB186="","",IF(AND(W186="",Y186=""),"",IF(Y186&gt;W186,Y186+Variables!$B$15+Variables!$B$16+Variables!$B$17-AB186,W186+Variables!$B$16+Variables!$B$17-AB186))),""))</f>
        <v>-73</v>
      </c>
      <c r="AD186" s="9" t="s">
        <v>151</v>
      </c>
      <c r="AE186" s="9" t="s">
        <v>152</v>
      </c>
      <c r="AF186" s="10"/>
      <c r="AG186" s="10"/>
      <c r="AH186" s="9"/>
      <c r="AI186" s="9" t="s">
        <v>567</v>
      </c>
      <c r="AJ186" s="9" t="s">
        <v>8</v>
      </c>
      <c r="AK186" s="10">
        <v>45553</v>
      </c>
      <c r="AL186" s="10">
        <v>45554</v>
      </c>
      <c r="AM186" s="10">
        <v>45560</v>
      </c>
      <c r="AN186" s="9" t="s">
        <v>95</v>
      </c>
      <c r="AO186" s="9"/>
      <c r="AP186" s="11">
        <f>IF($H186="Cancelled","",IFERROR(IF(OR(AK186="",AB186=""),"",(AB186+Variables!$B$18-AK186)),""))</f>
        <v>48</v>
      </c>
      <c r="AQ186" s="11">
        <f>IF($H186="Cancelled","",IFERROR(IF(OR(AM186="",AK186=""),"",(AK186+Variables!$B$19)-AM186),""))</f>
        <v>-2</v>
      </c>
      <c r="AR186" s="12">
        <f>IF($H186="Cancelled","",IFERROR(T186*INDEX(Variables!$B$7:$D$7,IFERROR(MATCH(IF($B186="Robusta","Robusta",(IF($B186="","Arabica",$B186))&amp;" - "&amp;(IF($C186="","Commercial",$C186))),Variables!$B$1:$D$1,0),1))*(AQ186/365),""))</f>
        <v>-43.483000162466524</v>
      </c>
      <c r="AS186" s="12">
        <f>IF($H186="Cancelled","",IFERROR((T186*INDEX(Variables!$B$7:$D$7,IFERROR(MATCH(IF($B186="Robusta","Robusta",(IF($B186="","Arabica",$B186))&amp;" - "&amp;(IF($C186="","Commercial",$C186))),Variables!$B$1:$D$1,0),1))*IFERROR(IF(W186="","",(AVERAGE(E186:F186)-W186)-Variables!$B$14),"")/365)+(L186/16.67*INDEX(Variables!$B$8:$D$8,IFERROR(MATCH(IF($B186="Robusta","Robusta",(IF($B186="","Arabica",$B186))&amp;" - "&amp;(IF($C186="","Commercial",$C186))),Variables!$B$1:$D$1,0),1))*IFERROR(IF(W186="","",(AVERAGE(E186:F186)-W186)-Variables!$B$14),""))+(T186*INDEX(Variables!$B$9:$D$9,IFERROR(MATCH(IF($B186="Robusta","Robusta",(IF($B186="","Arabica",$B186))&amp;" - "&amp;(IF($C186="","Commercial",$C186))),Variables!$B$1:$D$1,0),1))*IFERROR(IF(W186="","",(AVERAGE(E186:F186)-W186)-Variables!$B$14),"")/365),""))</f>
        <v>285.16342481595251</v>
      </c>
      <c r="AT186" s="12">
        <f>IF($H186="Cancelled","",IFERROR((T186*INDEX(Variables!$B$7:$D$7,IFERROR(MATCH(IF($B186="Robusta","Robusta",(IF($B186="","Arabica",$B186))&amp;" - "&amp;(IF($C186="","Commercial",$C186))),Variables!$B$1:$D$1,0),1))*AC186/365)+(L186/16.67*INDEX(Variables!$B$8:$D$8,IFERROR(MATCH(IF($B186="Robusta","Robusta",(IF($B186="","Arabica",$B186))&amp;" - "&amp;(IF($C186="","Commercial",$C186))),Variables!$B$1:$D$1,0),1))*AC186)+(T186*INDEX(Variables!$B$9:$D$9,IFERROR(MATCH(IF($B186="Robusta","Robusta",(IF($B186="","Arabica",$B186))&amp;" - "&amp;(IF($C186="","Commercial",$C186))),Variables!$B$1:$D$1,0),1))*AC186/365),""))</f>
        <v>-2775.5906682086047</v>
      </c>
      <c r="AU186" s="12">
        <f>IF($H186="Cancelled","",IFERROR((T186*INDEX(Variables!$B$7:$D$7,IFERROR(MATCH(IF($B186="Robusta","Robusta",(IF($B186="","Arabica",$B186))&amp;" - "&amp;(IF($C186="","Commercial",$C186))),Variables!$B$1:$D$1,0),1))*AP186/365)+(L186/16.67*INDEX(Variables!$B$8:$D$8,IFERROR(MATCH(IF($B186="Robusta","Robusta",(IF($B186="","Arabica",$B186))&amp;" - "&amp;(IF($C186="","Commercial",$C186))),Variables!$B$1:$D$1,0),1))*AP186)+(T186*INDEX(Variables!$B$9:$D$9,IFERROR(MATCH(IF($B186="Robusta","Robusta",(IF($B186="","Arabica",$B186))&amp;" - "&amp;(IF($C186="","Commercial",$C186))),Variables!$B$1:$D$1,0),1))*AP186/365),""))</f>
        <v>1825.0459188220962</v>
      </c>
      <c r="AV186" s="11">
        <f t="shared" si="15"/>
        <v>12</v>
      </c>
      <c r="AW186" s="12">
        <f>IF($H186="Cancelled","",IFERROR(IF(AV186="","",(T186*INDEX(Variables!$B$7:$D$7,IFERROR(MATCH(IF($B186="Robusta","Robusta",(IF($B186="","Arabica",$B186))&amp;" - "&amp;(IF($C186="","Commercial",$C186))),Variables!$B$1:$D$1,0),1))*(AV186/365))+(T186*INDEX(Variables!$B$9:$D$9,IFERROR(MATCH(IF($B186="Robusta","Robusta",(IF($B186="","Arabica",$B186))&amp;" - "&amp;(IF($C186="","Commercial",$C186))),Variables!$B$1:$D$1,0),1))*(AV186/365))+(INDEX(Variables!$B$8:$D$8,IFERROR(MATCH(IF($B186="Robusta","Robusta",(IF($B186="","Arabica",$B186))&amp;" - "&amp;(IF($C186="","Commercial",$C186))),Variables!$B$1:$D$1,0),1))*L186/16.67)),""))</f>
        <v>280.26147970552404</v>
      </c>
      <c r="AX186" s="9"/>
      <c r="AY186" s="12"/>
      <c r="AZ186" s="10"/>
      <c r="BA186" s="9"/>
      <c r="BB186" s="10"/>
      <c r="BC186" s="9"/>
      <c r="BD186" s="9"/>
      <c r="BE186" s="9"/>
      <c r="BF186" s="9"/>
    </row>
    <row r="187" spans="1:58" x14ac:dyDescent="0.25">
      <c r="A187" s="9" t="s">
        <v>84</v>
      </c>
      <c r="B187" s="9" t="s">
        <v>85</v>
      </c>
      <c r="C187" s="9" t="s">
        <v>86</v>
      </c>
      <c r="D187" s="10">
        <v>45474</v>
      </c>
      <c r="E187" s="10">
        <v>45536</v>
      </c>
      <c r="F187" s="10">
        <v>45565</v>
      </c>
      <c r="G187" s="9">
        <v>3786445</v>
      </c>
      <c r="H187" s="9" t="str">
        <f t="shared" si="13"/>
        <v>Closed</v>
      </c>
      <c r="I187" s="9" t="str">
        <f t="shared" si="14"/>
        <v>All dates received</v>
      </c>
      <c r="J187" s="9" t="s">
        <v>494</v>
      </c>
      <c r="K187" s="9">
        <v>5073</v>
      </c>
      <c r="L187" s="11">
        <v>320</v>
      </c>
      <c r="M187" s="9" t="s">
        <v>563</v>
      </c>
      <c r="N187" s="9" t="s">
        <v>126</v>
      </c>
      <c r="O187" s="9"/>
      <c r="P187" s="9"/>
      <c r="Q187" s="11"/>
      <c r="R187" s="9" t="s">
        <v>90</v>
      </c>
      <c r="S187" s="9" t="s">
        <v>150</v>
      </c>
      <c r="T187" s="12">
        <f>IF($H187="Cancelled","",IFERROR(((Q187+INDEX(Variables!$B$6:$D$6,IFERROR(MATCH(IF($B187="Robusta","Robusta",(IF($B187="","Arabica",$B187))&amp;" - "&amp;(IF($C187="","Commercial",$C187))),Variables!$B$1:$D$1,0),1)))*22.0462)*(L187/16.67),""))</f>
        <v>123067.25778044391</v>
      </c>
      <c r="U187" s="10">
        <v>45503</v>
      </c>
      <c r="V187" s="9" t="str">
        <f t="shared" si="19"/>
        <v>Sent</v>
      </c>
      <c r="W187" s="10">
        <v>45513</v>
      </c>
      <c r="X187" s="9" t="str">
        <f t="shared" si="17"/>
        <v>Approved</v>
      </c>
      <c r="Y187" s="10"/>
      <c r="Z187" s="10">
        <f>IF($H187="Cancelled","",IFERROR(IF(F187="","",F187-Variables!$B$13),""))</f>
        <v>45550</v>
      </c>
      <c r="AA187" s="11">
        <f>IF($H187="Cancelled","",IFERROR(IF(W187="","",(AVERAGE(E187:F187)-W187)-Variables!$B$14),""))</f>
        <v>7.5</v>
      </c>
      <c r="AB187" s="10">
        <v>45596</v>
      </c>
      <c r="AC187" s="11">
        <f>IF($H187="Cancelled","",IFERROR(IF(AB187="","",IF(AND(W187="",Y187=""),"",IF(Y187&gt;W187,Y187+Variables!$B$15+Variables!$B$16+Variables!$B$17-AB187,W187+Variables!$B$16+Variables!$B$17-AB187))),""))</f>
        <v>-75</v>
      </c>
      <c r="AD187" s="9" t="s">
        <v>151</v>
      </c>
      <c r="AE187" s="9" t="s">
        <v>152</v>
      </c>
      <c r="AF187" s="10"/>
      <c r="AG187" s="10"/>
      <c r="AH187" s="9"/>
      <c r="AI187" s="9" t="s">
        <v>568</v>
      </c>
      <c r="AJ187" s="9" t="s">
        <v>8</v>
      </c>
      <c r="AK187" s="10">
        <v>45553</v>
      </c>
      <c r="AL187" s="10">
        <v>45554</v>
      </c>
      <c r="AM187" s="10">
        <v>45560</v>
      </c>
      <c r="AN187" s="9" t="s">
        <v>95</v>
      </c>
      <c r="AO187" s="9"/>
      <c r="AP187" s="11">
        <f>IF($H187="Cancelled","",IFERROR(IF(OR(AK187="",AB187=""),"",(AB187+Variables!$B$18-AK187)),""))</f>
        <v>50</v>
      </c>
      <c r="AQ187" s="11">
        <f>IF($H187="Cancelled","",IFERROR(IF(OR(AM187="",AK187=""),"",(AK187+Variables!$B$19)-AM187),""))</f>
        <v>-2</v>
      </c>
      <c r="AR187" s="12">
        <f>IF($H187="Cancelled","",IFERROR(T187*INDEX(Variables!$B$7:$D$7,IFERROR(MATCH(IF($B187="Robusta","Robusta",(IF($B187="","Arabica",$B187))&amp;" - "&amp;(IF($C187="","Commercial",$C187))),Variables!$B$1:$D$1,0),1))*(AQ187/365),""))</f>
        <v>-43.483000162466524</v>
      </c>
      <c r="AS187" s="12">
        <f>IF($H187="Cancelled","",IFERROR((T187*INDEX(Variables!$B$7:$D$7,IFERROR(MATCH(IF($B187="Robusta","Robusta",(IF($B187="","Arabica",$B187))&amp;" - "&amp;(IF($C187="","Commercial",$C187))),Variables!$B$1:$D$1,0),1))*IFERROR(IF(W187="","",(AVERAGE(E187:F187)-W187)-Variables!$B$14),"")/365)+(L187/16.67*INDEX(Variables!$B$8:$D$8,IFERROR(MATCH(IF($B187="Robusta","Robusta",(IF($B187="","Arabica",$B187))&amp;" - "&amp;(IF($C187="","Commercial",$C187))),Variables!$B$1:$D$1,0),1))*IFERROR(IF(W187="","",(AVERAGE(E187:F187)-W187)-Variables!$B$14),""))+(T187*INDEX(Variables!$B$9:$D$9,IFERROR(MATCH(IF($B187="Robusta","Robusta",(IF($B187="","Arabica",$B187))&amp;" - "&amp;(IF($C187="","Commercial",$C187))),Variables!$B$1:$D$1,0),1))*IFERROR(IF(W187="","",(AVERAGE(E187:F187)-W187)-Variables!$B$14),"")/365),""))</f>
        <v>285.16342481595251</v>
      </c>
      <c r="AT187" s="12">
        <f>IF($H187="Cancelled","",IFERROR((T187*INDEX(Variables!$B$7:$D$7,IFERROR(MATCH(IF($B187="Robusta","Robusta",(IF($B187="","Arabica",$B187))&amp;" - "&amp;(IF($C187="","Commercial",$C187))),Variables!$B$1:$D$1,0),1))*AC187/365)+(L187/16.67*INDEX(Variables!$B$8:$D$8,IFERROR(MATCH(IF($B187="Robusta","Robusta",(IF($B187="","Arabica",$B187))&amp;" - "&amp;(IF($C187="","Commercial",$C187))),Variables!$B$1:$D$1,0),1))*AC187)+(T187*INDEX(Variables!$B$9:$D$9,IFERROR(MATCH(IF($B187="Robusta","Robusta",(IF($B187="","Arabica",$B187))&amp;" - "&amp;(IF($C187="","Commercial",$C187))),Variables!$B$1:$D$1,0),1))*AC187/365),""))</f>
        <v>-2851.6342481595248</v>
      </c>
      <c r="AU187" s="12">
        <f>IF($H187="Cancelled","",IFERROR((T187*INDEX(Variables!$B$7:$D$7,IFERROR(MATCH(IF($B187="Robusta","Robusta",(IF($B187="","Arabica",$B187))&amp;" - "&amp;(IF($C187="","Commercial",$C187))),Variables!$B$1:$D$1,0),1))*AP187/365)+(L187/16.67*INDEX(Variables!$B$8:$D$8,IFERROR(MATCH(IF($B187="Robusta","Robusta",(IF($B187="","Arabica",$B187))&amp;" - "&amp;(IF($C187="","Commercial",$C187))),Variables!$B$1:$D$1,0),1))*AP187)+(T187*INDEX(Variables!$B$9:$D$9,IFERROR(MATCH(IF($B187="Robusta","Robusta",(IF($B187="","Arabica",$B187))&amp;" - "&amp;(IF($C187="","Commercial",$C187))),Variables!$B$1:$D$1,0),1))*AP187/365),""))</f>
        <v>1901.0894987730169</v>
      </c>
      <c r="AV187" s="11">
        <f t="shared" si="15"/>
        <v>12</v>
      </c>
      <c r="AW187" s="12">
        <f>IF($H187="Cancelled","",IFERROR(IF(AV187="","",(T187*INDEX(Variables!$B$7:$D$7,IFERROR(MATCH(IF($B187="Robusta","Robusta",(IF($B187="","Arabica",$B187))&amp;" - "&amp;(IF($C187="","Commercial",$C187))),Variables!$B$1:$D$1,0),1))*(AV187/365))+(T187*INDEX(Variables!$B$9:$D$9,IFERROR(MATCH(IF($B187="Robusta","Robusta",(IF($B187="","Arabica",$B187))&amp;" - "&amp;(IF($C187="","Commercial",$C187))),Variables!$B$1:$D$1,0),1))*(AV187/365))+(INDEX(Variables!$B$8:$D$8,IFERROR(MATCH(IF($B187="Robusta","Robusta",(IF($B187="","Arabica",$B187))&amp;" - "&amp;(IF($C187="","Commercial",$C187))),Variables!$B$1:$D$1,0),1))*L187/16.67)),""))</f>
        <v>280.26147970552404</v>
      </c>
      <c r="AX187" s="9"/>
      <c r="AY187" s="12"/>
      <c r="AZ187" s="10"/>
      <c r="BA187" s="9"/>
      <c r="BB187" s="10"/>
      <c r="BC187" s="9"/>
      <c r="BD187" s="9"/>
      <c r="BE187" s="9"/>
      <c r="BF187" s="9"/>
    </row>
    <row r="188" spans="1:58" x14ac:dyDescent="0.25">
      <c r="A188" s="9" t="s">
        <v>84</v>
      </c>
      <c r="B188" s="9" t="s">
        <v>85</v>
      </c>
      <c r="C188" s="9" t="s">
        <v>86</v>
      </c>
      <c r="D188" s="10">
        <v>45478</v>
      </c>
      <c r="E188" s="10">
        <v>45505</v>
      </c>
      <c r="F188" s="10">
        <v>45535</v>
      </c>
      <c r="G188" s="9">
        <v>3786448</v>
      </c>
      <c r="H188" s="9" t="str">
        <f t="shared" si="13"/>
        <v>Closed</v>
      </c>
      <c r="I188" s="9" t="str">
        <f t="shared" si="14"/>
        <v>All dates received</v>
      </c>
      <c r="J188" s="9" t="s">
        <v>102</v>
      </c>
      <c r="K188" s="9">
        <v>5055</v>
      </c>
      <c r="L188" s="11">
        <v>300</v>
      </c>
      <c r="M188" s="9" t="s">
        <v>569</v>
      </c>
      <c r="N188" s="9" t="s">
        <v>400</v>
      </c>
      <c r="O188" s="9"/>
      <c r="P188" s="9"/>
      <c r="Q188" s="11"/>
      <c r="R188" s="9" t="s">
        <v>90</v>
      </c>
      <c r="S188" s="9" t="s">
        <v>401</v>
      </c>
      <c r="T188" s="12">
        <f>IF($H188="Cancelled","",IFERROR(((Q188+INDEX(Variables!$B$6:$D$6,IFERROR(MATCH(IF($B188="Robusta","Robusta",(IF($B188="","Arabica",$B188))&amp;" - "&amp;(IF($C188="","Commercial",$C188))),Variables!$B$1:$D$1,0),1)))*22.0462)*(L188/16.67),""))</f>
        <v>115375.55416916615</v>
      </c>
      <c r="U188" s="10">
        <v>45482</v>
      </c>
      <c r="V188" s="9" t="str">
        <f t="shared" si="19"/>
        <v>Sent</v>
      </c>
      <c r="W188" s="10">
        <v>45489</v>
      </c>
      <c r="X188" s="9" t="str">
        <f t="shared" si="17"/>
        <v>Approved</v>
      </c>
      <c r="Y188" s="10"/>
      <c r="Z188" s="10">
        <f>IF($H188="Cancelled","",IFERROR(IF(F188="","",F188-Variables!$B$13),""))</f>
        <v>45520</v>
      </c>
      <c r="AA188" s="11">
        <f>IF($H188="Cancelled","",IFERROR(IF(W188="","",(AVERAGE(E188:F188)-W188)-Variables!$B$14),""))</f>
        <v>1</v>
      </c>
      <c r="AB188" s="10">
        <v>45603</v>
      </c>
      <c r="AC188" s="11">
        <f>IF($H188="Cancelled","",IFERROR(IF(AB188="","",IF(AND(W188="",Y188=""),"",IF(Y188&gt;W188,Y188+Variables!$B$15+Variables!$B$16+Variables!$B$17-AB188,W188+Variables!$B$16+Variables!$B$17-AB188))),""))</f>
        <v>-106</v>
      </c>
      <c r="AD188" s="9" t="s">
        <v>107</v>
      </c>
      <c r="AE188" s="9" t="s">
        <v>174</v>
      </c>
      <c r="AF188" s="10"/>
      <c r="AG188" s="10"/>
      <c r="AH188" s="9"/>
      <c r="AI188" s="9" t="s">
        <v>570</v>
      </c>
      <c r="AJ188" s="9" t="s">
        <v>571</v>
      </c>
      <c r="AK188" s="10">
        <v>45535</v>
      </c>
      <c r="AL188" s="10">
        <v>45541</v>
      </c>
      <c r="AM188" s="10">
        <v>45547</v>
      </c>
      <c r="AN188" s="9" t="s">
        <v>95</v>
      </c>
      <c r="AO188" s="9"/>
      <c r="AP188" s="11">
        <f>IF($H188="Cancelled","",IFERROR(IF(OR(AK188="",AB188=""),"",(AB188+Variables!$B$18-AK188)),""))</f>
        <v>75</v>
      </c>
      <c r="AQ188" s="11">
        <f>IF($H188="Cancelled","",IFERROR(IF(OR(AM188="",AK188=""),"",(AK188+Variables!$B$19)-AM188),""))</f>
        <v>-7</v>
      </c>
      <c r="AR188" s="12">
        <f>IF($H188="Cancelled","",IFERROR(T188*INDEX(Variables!$B$7:$D$7,IFERROR(MATCH(IF($B188="Robusta","Robusta",(IF($B188="","Arabica",$B188))&amp;" - "&amp;(IF($C188="","Commercial",$C188))),Variables!$B$1:$D$1,0),1))*(AQ188/365),""))</f>
        <v>-142.67859428309328</v>
      </c>
      <c r="AS188" s="12">
        <f>IF($H188="Cancelled","",IFERROR((T188*INDEX(Variables!$B$7:$D$7,IFERROR(MATCH(IF($B188="Robusta","Robusta",(IF($B188="","Arabica",$B188))&amp;" - "&amp;(IF($C188="","Commercial",$C188))),Variables!$B$1:$D$1,0),1))*IFERROR(IF(W188="","",(AVERAGE(E188:F188)-W188)-Variables!$B$14),"")/365)+(L188/16.67*INDEX(Variables!$B$8:$D$8,IFERROR(MATCH(IF($B188="Robusta","Robusta",(IF($B188="","Arabica",$B188))&amp;" - "&amp;(IF($C188="","Commercial",$C188))),Variables!$B$1:$D$1,0),1))*IFERROR(IF(W188="","",(AVERAGE(E188:F188)-W188)-Variables!$B$14),""))+(T188*INDEX(Variables!$B$9:$D$9,IFERROR(MATCH(IF($B188="Robusta","Robusta",(IF($B188="","Arabica",$B188))&amp;" - "&amp;(IF($C188="","Commercial",$C188))),Variables!$B$1:$D$1,0),1))*IFERROR(IF(W188="","",(AVERAGE(E188:F188)-W188)-Variables!$B$14),"")/365),""))</f>
        <v>35.645428101994064</v>
      </c>
      <c r="AT188" s="12">
        <f>IF($H188="Cancelled","",IFERROR((T188*INDEX(Variables!$B$7:$D$7,IFERROR(MATCH(IF($B188="Robusta","Robusta",(IF($B188="","Arabica",$B188))&amp;" - "&amp;(IF($C188="","Commercial",$C188))),Variables!$B$1:$D$1,0),1))*AC188/365)+(L188/16.67*INDEX(Variables!$B$8:$D$8,IFERROR(MATCH(IF($B188="Robusta","Robusta",(IF($B188="","Arabica",$B188))&amp;" - "&amp;(IF($C188="","Commercial",$C188))),Variables!$B$1:$D$1,0),1))*AC188)+(T188*INDEX(Variables!$B$9:$D$9,IFERROR(MATCH(IF($B188="Robusta","Robusta",(IF($B188="","Arabica",$B188))&amp;" - "&amp;(IF($C188="","Commercial",$C188))),Variables!$B$1:$D$1,0),1))*AC188/365),""))</f>
        <v>-3778.4153788113713</v>
      </c>
      <c r="AU188" s="12">
        <f>IF($H188="Cancelled","",IFERROR((T188*INDEX(Variables!$B$7:$D$7,IFERROR(MATCH(IF($B188="Robusta","Robusta",(IF($B188="","Arabica",$B188))&amp;" - "&amp;(IF($C188="","Commercial",$C188))),Variables!$B$1:$D$1,0),1))*AP188/365)+(L188/16.67*INDEX(Variables!$B$8:$D$8,IFERROR(MATCH(IF($B188="Robusta","Robusta",(IF($B188="","Arabica",$B188))&amp;" - "&amp;(IF($C188="","Commercial",$C188))),Variables!$B$1:$D$1,0),1))*AP188)+(T188*INDEX(Variables!$B$9:$D$9,IFERROR(MATCH(IF($B188="Robusta","Robusta",(IF($B188="","Arabica",$B188))&amp;" - "&amp;(IF($C188="","Commercial",$C188))),Variables!$B$1:$D$1,0),1))*AP188/365),""))</f>
        <v>2673.4071076495547</v>
      </c>
      <c r="AV188" s="11">
        <f t="shared" si="15"/>
        <v>0</v>
      </c>
      <c r="AW188" s="12">
        <f>IF($H188="Cancelled","",IFERROR(IF(AV188="","",(T188*INDEX(Variables!$B$7:$D$7,IFERROR(MATCH(IF($B188="Robusta","Robusta",(IF($B188="","Arabica",$B188))&amp;" - "&amp;(IF($C188="","Commercial",$C188))),Variables!$B$1:$D$1,0),1))*(AV188/365))+(T188*INDEX(Variables!$B$9:$D$9,IFERROR(MATCH(IF($B188="Robusta","Robusta",(IF($B188="","Arabica",$B188))&amp;" - "&amp;(IF($C188="","Commercial",$C188))),Variables!$B$1:$D$1,0),1))*(AV188/365))+(INDEX(Variables!$B$8:$D$8,IFERROR(MATCH(IF($B188="Robusta","Robusta",(IF($B188="","Arabica",$B188))&amp;" - "&amp;(IF($C188="","Commercial",$C188))),Variables!$B$1:$D$1,0),1))*L188/16.67)),""))</f>
        <v>15</v>
      </c>
      <c r="AX188" s="9"/>
      <c r="AY188" s="12"/>
      <c r="AZ188" s="10"/>
      <c r="BA188" s="9"/>
      <c r="BB188" s="10"/>
      <c r="BC188" s="9"/>
      <c r="BD188" s="9"/>
      <c r="BE188" s="9"/>
      <c r="BF188" s="9"/>
    </row>
    <row r="189" spans="1:58" x14ac:dyDescent="0.25">
      <c r="A189" s="9" t="s">
        <v>84</v>
      </c>
      <c r="B189" s="9" t="s">
        <v>85</v>
      </c>
      <c r="C189" s="9" t="s">
        <v>86</v>
      </c>
      <c r="D189" s="10">
        <v>45478</v>
      </c>
      <c r="E189" s="10">
        <v>45536</v>
      </c>
      <c r="F189" s="10">
        <v>45565</v>
      </c>
      <c r="G189" s="9">
        <v>3786449</v>
      </c>
      <c r="H189" s="9" t="str">
        <f t="shared" si="13"/>
        <v>Closed</v>
      </c>
      <c r="I189" s="9" t="str">
        <f t="shared" si="14"/>
        <v>All dates received</v>
      </c>
      <c r="J189" s="9" t="s">
        <v>102</v>
      </c>
      <c r="K189" s="9">
        <v>5078</v>
      </c>
      <c r="L189" s="11">
        <v>300</v>
      </c>
      <c r="M189" s="9" t="s">
        <v>569</v>
      </c>
      <c r="N189" s="9" t="s">
        <v>400</v>
      </c>
      <c r="O189" s="9"/>
      <c r="P189" s="9"/>
      <c r="Q189" s="11"/>
      <c r="R189" s="9" t="s">
        <v>90</v>
      </c>
      <c r="S189" s="9" t="s">
        <v>401</v>
      </c>
      <c r="T189" s="12">
        <f>IF($H189="Cancelled","",IFERROR(((Q189+INDEX(Variables!$B$6:$D$6,IFERROR(MATCH(IF($B189="Robusta","Robusta",(IF($B189="","Arabica",$B189))&amp;" - "&amp;(IF($C189="","Commercial",$C189))),Variables!$B$1:$D$1,0),1)))*22.0462)*(L189/16.67),""))</f>
        <v>115375.55416916615</v>
      </c>
      <c r="U189" s="10">
        <v>45482</v>
      </c>
      <c r="V189" s="9" t="str">
        <f t="shared" si="19"/>
        <v>Sent</v>
      </c>
      <c r="W189" s="10">
        <v>45489</v>
      </c>
      <c r="X189" s="9" t="str">
        <f t="shared" si="17"/>
        <v>Approved</v>
      </c>
      <c r="Y189" s="10"/>
      <c r="Z189" s="10">
        <f>IF($H189="Cancelled","",IFERROR(IF(F189="","",F189-Variables!$B$13),""))</f>
        <v>45550</v>
      </c>
      <c r="AA189" s="11">
        <f>IF($H189="Cancelled","",IFERROR(IF(W189="","",(AVERAGE(E189:F189)-W189)-Variables!$B$14),""))</f>
        <v>31.5</v>
      </c>
      <c r="AB189" s="10">
        <v>45603</v>
      </c>
      <c r="AC189" s="11">
        <f>IF($H189="Cancelled","",IFERROR(IF(AB189="","",IF(AND(W189="",Y189=""),"",IF(Y189&gt;W189,Y189+Variables!$B$15+Variables!$B$16+Variables!$B$17-AB189,W189+Variables!$B$16+Variables!$B$17-AB189))),""))</f>
        <v>-106</v>
      </c>
      <c r="AD189" s="9" t="s">
        <v>107</v>
      </c>
      <c r="AE189" s="9" t="s">
        <v>174</v>
      </c>
      <c r="AF189" s="10"/>
      <c r="AG189" s="10"/>
      <c r="AH189" s="9"/>
      <c r="AI189" s="9" t="s">
        <v>572</v>
      </c>
      <c r="AJ189" s="9" t="s">
        <v>571</v>
      </c>
      <c r="AK189" s="10">
        <v>45535</v>
      </c>
      <c r="AL189" s="10">
        <v>45541</v>
      </c>
      <c r="AM189" s="10">
        <v>45547</v>
      </c>
      <c r="AN189" s="9" t="s">
        <v>95</v>
      </c>
      <c r="AO189" s="9"/>
      <c r="AP189" s="11">
        <f>IF($H189="Cancelled","",IFERROR(IF(OR(AK189="",AB189=""),"",(AB189+Variables!$B$18-AK189)),""))</f>
        <v>75</v>
      </c>
      <c r="AQ189" s="11">
        <f>IF($H189="Cancelled","",IFERROR(IF(OR(AM189="",AK189=""),"",(AK189+Variables!$B$19)-AM189),""))</f>
        <v>-7</v>
      </c>
      <c r="AR189" s="12">
        <f>IF($H189="Cancelled","",IFERROR(T189*INDEX(Variables!$B$7:$D$7,IFERROR(MATCH(IF($B189="Robusta","Robusta",(IF($B189="","Arabica",$B189))&amp;" - "&amp;(IF($C189="","Commercial",$C189))),Variables!$B$1:$D$1,0),1))*(AQ189/365),""))</f>
        <v>-142.67859428309328</v>
      </c>
      <c r="AS189" s="12">
        <f>IF($H189="Cancelled","",IFERROR((T189*INDEX(Variables!$B$7:$D$7,IFERROR(MATCH(IF($B189="Robusta","Robusta",(IF($B189="","Arabica",$B189))&amp;" - "&amp;(IF($C189="","Commercial",$C189))),Variables!$B$1:$D$1,0),1))*IFERROR(IF(W189="","",(AVERAGE(E189:F189)-W189)-Variables!$B$14),"")/365)+(L189/16.67*INDEX(Variables!$B$8:$D$8,IFERROR(MATCH(IF($B189="Robusta","Robusta",(IF($B189="","Arabica",$B189))&amp;" - "&amp;(IF($C189="","Commercial",$C189))),Variables!$B$1:$D$1,0),1))*IFERROR(IF(W189="","",(AVERAGE(E189:F189)-W189)-Variables!$B$14),""))+(T189*INDEX(Variables!$B$9:$D$9,IFERROR(MATCH(IF($B189="Robusta","Robusta",(IF($B189="","Arabica",$B189))&amp;" - "&amp;(IF($C189="","Commercial",$C189))),Variables!$B$1:$D$1,0),1))*IFERROR(IF(W189="","",(AVERAGE(E189:F189)-W189)-Variables!$B$14),"")/365),""))</f>
        <v>1122.8309852128129</v>
      </c>
      <c r="AT189" s="12">
        <f>IF($H189="Cancelled","",IFERROR((T189*INDEX(Variables!$B$7:$D$7,IFERROR(MATCH(IF($B189="Robusta","Robusta",(IF($B189="","Arabica",$B189))&amp;" - "&amp;(IF($C189="","Commercial",$C189))),Variables!$B$1:$D$1,0),1))*AC189/365)+(L189/16.67*INDEX(Variables!$B$8:$D$8,IFERROR(MATCH(IF($B189="Robusta","Robusta",(IF($B189="","Arabica",$B189))&amp;" - "&amp;(IF($C189="","Commercial",$C189))),Variables!$B$1:$D$1,0),1))*AC189)+(T189*INDEX(Variables!$B$9:$D$9,IFERROR(MATCH(IF($B189="Robusta","Robusta",(IF($B189="","Arabica",$B189))&amp;" - "&amp;(IF($C189="","Commercial",$C189))),Variables!$B$1:$D$1,0),1))*AC189/365),""))</f>
        <v>-3778.4153788113713</v>
      </c>
      <c r="AU189" s="12">
        <f>IF($H189="Cancelled","",IFERROR((T189*INDEX(Variables!$B$7:$D$7,IFERROR(MATCH(IF($B189="Robusta","Robusta",(IF($B189="","Arabica",$B189))&amp;" - "&amp;(IF($C189="","Commercial",$C189))),Variables!$B$1:$D$1,0),1))*AP189/365)+(L189/16.67*INDEX(Variables!$B$8:$D$8,IFERROR(MATCH(IF($B189="Robusta","Robusta",(IF($B189="","Arabica",$B189))&amp;" - "&amp;(IF($C189="","Commercial",$C189))),Variables!$B$1:$D$1,0),1))*AP189)+(T189*INDEX(Variables!$B$9:$D$9,IFERROR(MATCH(IF($B189="Robusta","Robusta",(IF($B189="","Arabica",$B189))&amp;" - "&amp;(IF($C189="","Commercial",$C189))),Variables!$B$1:$D$1,0),1))*AP189/365),""))</f>
        <v>2673.4071076495547</v>
      </c>
      <c r="AV189" s="11">
        <f t="shared" si="15"/>
        <v>30</v>
      </c>
      <c r="AW189" s="12">
        <f>IF($H189="Cancelled","",IFERROR(IF(AV189="","",(T189*INDEX(Variables!$B$7:$D$7,IFERROR(MATCH(IF($B189="Robusta","Robusta",(IF($B189="","Arabica",$B189))&amp;" - "&amp;(IF($C189="","Commercial",$C189))),Variables!$B$1:$D$1,0),1))*(AV189/365))+(T189*INDEX(Variables!$B$9:$D$9,IFERROR(MATCH(IF($B189="Robusta","Robusta",(IF($B189="","Arabica",$B189))&amp;" - "&amp;(IF($C189="","Commercial",$C189))),Variables!$B$1:$D$1,0),1))*(AV189/365))+(INDEX(Variables!$B$8:$D$8,IFERROR(MATCH(IF($B189="Robusta","Robusta",(IF($B189="","Arabica",$B189))&amp;" - "&amp;(IF($C189="","Commercial",$C189))),Variables!$B$1:$D$1,0),1))*L189/16.67)),""))</f>
        <v>634.36284305982201</v>
      </c>
      <c r="AX189" s="9"/>
      <c r="AY189" s="12"/>
      <c r="AZ189" s="10"/>
      <c r="BA189" s="9"/>
      <c r="BB189" s="10"/>
      <c r="BC189" s="9"/>
      <c r="BD189" s="9"/>
      <c r="BE189" s="9"/>
      <c r="BF189" s="9"/>
    </row>
    <row r="190" spans="1:58" x14ac:dyDescent="0.25">
      <c r="A190" s="9" t="s">
        <v>84</v>
      </c>
      <c r="B190" s="9" t="s">
        <v>85</v>
      </c>
      <c r="C190" s="9" t="s">
        <v>86</v>
      </c>
      <c r="D190" s="10">
        <v>45481</v>
      </c>
      <c r="E190" s="10">
        <v>45505</v>
      </c>
      <c r="F190" s="10">
        <v>45535</v>
      </c>
      <c r="G190" s="9">
        <v>3786450</v>
      </c>
      <c r="H190" s="9" t="str">
        <f t="shared" si="13"/>
        <v>Closed</v>
      </c>
      <c r="I190" s="9" t="str">
        <f t="shared" si="14"/>
        <v>All dates received</v>
      </c>
      <c r="J190" s="9" t="s">
        <v>235</v>
      </c>
      <c r="K190" s="9"/>
      <c r="L190" s="11">
        <v>150</v>
      </c>
      <c r="M190" s="9" t="s">
        <v>573</v>
      </c>
      <c r="N190" s="9" t="s">
        <v>574</v>
      </c>
      <c r="O190" s="9"/>
      <c r="P190" s="9"/>
      <c r="Q190" s="11"/>
      <c r="R190" s="9" t="s">
        <v>90</v>
      </c>
      <c r="S190" s="9" t="s">
        <v>106</v>
      </c>
      <c r="T190" s="12">
        <f>IF($H190="Cancelled","",IFERROR(((Q190+INDEX(Variables!$B$6:$D$6,IFERROR(MATCH(IF($B190="Robusta","Robusta",(IF($B190="","Arabica",$B190))&amp;" - "&amp;(IF($C190="","Commercial",$C190))),Variables!$B$1:$D$1,0),1)))*22.0462)*(L190/16.67),""))</f>
        <v>57687.777084583075</v>
      </c>
      <c r="U190" s="10">
        <v>45492</v>
      </c>
      <c r="V190" s="9" t="str">
        <f t="shared" si="19"/>
        <v>Sent</v>
      </c>
      <c r="W190" s="10">
        <v>45503</v>
      </c>
      <c r="X190" s="9" t="str">
        <f t="shared" si="17"/>
        <v>Approved</v>
      </c>
      <c r="Y190" s="10"/>
      <c r="Z190" s="10">
        <f>IF($H190="Cancelled","",IFERROR(IF(F190="","",F190-Variables!$B$13),""))</f>
        <v>45520</v>
      </c>
      <c r="AA190" s="11">
        <f>IF($H190="Cancelled","",IFERROR(IF(W190="","",(AVERAGE(E190:F190)-W190)-Variables!$B$14),""))</f>
        <v>-13</v>
      </c>
      <c r="AB190" s="10">
        <v>45604</v>
      </c>
      <c r="AC190" s="11">
        <f>IF($H190="Cancelled","",IFERROR(IF(AB190="","",IF(AND(W190="",Y190=""),"",IF(Y190&gt;W190,Y190+Variables!$B$15+Variables!$B$16+Variables!$B$17-AB190,W190+Variables!$B$16+Variables!$B$17-AB190))),""))</f>
        <v>-93</v>
      </c>
      <c r="AD190" s="9" t="s">
        <v>165</v>
      </c>
      <c r="AE190" s="9" t="s">
        <v>575</v>
      </c>
      <c r="AF190" s="10"/>
      <c r="AG190" s="10"/>
      <c r="AH190" s="9"/>
      <c r="AI190" s="9" t="s">
        <v>576</v>
      </c>
      <c r="AJ190" s="9" t="s">
        <v>8</v>
      </c>
      <c r="AK190" s="10">
        <v>45552</v>
      </c>
      <c r="AL190" s="10">
        <v>45567</v>
      </c>
      <c r="AM190" s="10">
        <v>45572</v>
      </c>
      <c r="AN190" s="9" t="s">
        <v>95</v>
      </c>
      <c r="AO190" s="9"/>
      <c r="AP190" s="11">
        <f>IF($H190="Cancelled","",IFERROR(IF(OR(AK190="",AB190=""),"",(AB190+Variables!$B$18-AK190)),""))</f>
        <v>59</v>
      </c>
      <c r="AQ190" s="11">
        <f>IF($H190="Cancelled","",IFERROR(IF(OR(AM190="",AK190=""),"",(AK190+Variables!$B$19)-AM190),""))</f>
        <v>-15</v>
      </c>
      <c r="AR190" s="12">
        <f>IF($H190="Cancelled","",IFERROR(T190*INDEX(Variables!$B$7:$D$7,IFERROR(MATCH(IF($B190="Robusta","Robusta",(IF($B190="","Arabica",$B190))&amp;" - "&amp;(IF($C190="","Commercial",$C190))),Variables!$B$1:$D$1,0),1))*(AQ190/365),""))</f>
        <v>-152.86992244617136</v>
      </c>
      <c r="AS190" s="12">
        <f>IF($H190="Cancelled","",IFERROR((T190*INDEX(Variables!$B$7:$D$7,IFERROR(MATCH(IF($B190="Robusta","Robusta",(IF($B190="","Arabica",$B190))&amp;" - "&amp;(IF($C190="","Commercial",$C190))),Variables!$B$1:$D$1,0),1))*IFERROR(IF(W190="","",(AVERAGE(E190:F190)-W190)-Variables!$B$14),"")/365)+(L190/16.67*INDEX(Variables!$B$8:$D$8,IFERROR(MATCH(IF($B190="Robusta","Robusta",(IF($B190="","Arabica",$B190))&amp;" - "&amp;(IF($C190="","Commercial",$C190))),Variables!$B$1:$D$1,0),1))*IFERROR(IF(W190="","",(AVERAGE(E190:F190)-W190)-Variables!$B$14),""))+(T190*INDEX(Variables!$B$9:$D$9,IFERROR(MATCH(IF($B190="Robusta","Robusta",(IF($B190="","Arabica",$B190))&amp;" - "&amp;(IF($C190="","Commercial",$C190))),Variables!$B$1:$D$1,0),1))*IFERROR(IF(W190="","",(AVERAGE(E190:F190)-W190)-Variables!$B$14),"")/365),""))</f>
        <v>-231.69528266296143</v>
      </c>
      <c r="AT190" s="12">
        <f>IF($H190="Cancelled","",IFERROR((T190*INDEX(Variables!$B$7:$D$7,IFERROR(MATCH(IF($B190="Robusta","Robusta",(IF($B190="","Arabica",$B190))&amp;" - "&amp;(IF($C190="","Commercial",$C190))),Variables!$B$1:$D$1,0),1))*AC190/365)+(L190/16.67*INDEX(Variables!$B$8:$D$8,IFERROR(MATCH(IF($B190="Robusta","Robusta",(IF($B190="","Arabica",$B190))&amp;" - "&amp;(IF($C190="","Commercial",$C190))),Variables!$B$1:$D$1,0),1))*AC190)+(T190*INDEX(Variables!$B$9:$D$9,IFERROR(MATCH(IF($B190="Robusta","Robusta",(IF($B190="","Arabica",$B190))&amp;" - "&amp;(IF($C190="","Commercial",$C190))),Variables!$B$1:$D$1,0),1))*AC190/365),""))</f>
        <v>-1657.5124067427241</v>
      </c>
      <c r="AU190" s="12">
        <f>IF($H190="Cancelled","",IFERROR((T190*INDEX(Variables!$B$7:$D$7,IFERROR(MATCH(IF($B190="Robusta","Robusta",(IF($B190="","Arabica",$B190))&amp;" - "&amp;(IF($C190="","Commercial",$C190))),Variables!$B$1:$D$1,0),1))*AP190/365)+(L190/16.67*INDEX(Variables!$B$8:$D$8,IFERROR(MATCH(IF($B190="Robusta","Robusta",(IF($B190="","Arabica",$B190))&amp;" - "&amp;(IF($C190="","Commercial",$C190))),Variables!$B$1:$D$1,0),1))*AP190)+(T190*INDEX(Variables!$B$9:$D$9,IFERROR(MATCH(IF($B190="Robusta","Robusta",(IF($B190="","Arabica",$B190))&amp;" - "&amp;(IF($C190="","Commercial",$C190))),Variables!$B$1:$D$1,0),1))*AP190/365),""))</f>
        <v>1051.5401290088248</v>
      </c>
      <c r="AV190" s="11">
        <f t="shared" si="15"/>
        <v>-17</v>
      </c>
      <c r="AW190" s="12">
        <f>IF($H190="Cancelled","",IFERROR(IF(AV190="","",(T190*INDEX(Variables!$B$7:$D$7,IFERROR(MATCH(IF($B190="Robusta","Robusta",(IF($B190="","Arabica",$B190))&amp;" - "&amp;(IF($C190="","Commercial",$C190))),Variables!$B$1:$D$1,0),1))*(AV190/365))+(T190*INDEX(Variables!$B$9:$D$9,IFERROR(MATCH(IF($B190="Robusta","Robusta",(IF($B190="","Arabica",$B190))&amp;" - "&amp;(IF($C190="","Commercial",$C190))),Variables!$B$1:$D$1,0),1))*(AV190/365))+(INDEX(Variables!$B$8:$D$8,IFERROR(MATCH(IF($B190="Robusta","Robusta",(IF($B190="","Arabica",$B190))&amp;" - "&amp;(IF($C190="","Commercial",$C190))),Variables!$B$1:$D$1,0),1))*L190/16.67)),""))</f>
        <v>-167.98613886694957</v>
      </c>
      <c r="AX190" s="9"/>
      <c r="AY190" s="12"/>
      <c r="AZ190" s="10"/>
      <c r="BA190" s="9"/>
      <c r="BB190" s="10"/>
      <c r="BC190" s="9"/>
      <c r="BD190" s="9"/>
      <c r="BE190" s="9"/>
      <c r="BF190" s="9"/>
    </row>
    <row r="191" spans="1:58" x14ac:dyDescent="0.25">
      <c r="A191" s="9" t="s">
        <v>84</v>
      </c>
      <c r="B191" s="9" t="s">
        <v>85</v>
      </c>
      <c r="C191" s="9" t="s">
        <v>86</v>
      </c>
      <c r="D191" s="10">
        <v>45482</v>
      </c>
      <c r="E191" s="10">
        <v>45505</v>
      </c>
      <c r="F191" s="10">
        <v>45535</v>
      </c>
      <c r="G191" s="9">
        <v>3786451</v>
      </c>
      <c r="H191" s="9" t="str">
        <f t="shared" si="13"/>
        <v>Closed</v>
      </c>
      <c r="I191" s="9" t="str">
        <f t="shared" si="14"/>
        <v>All dates received</v>
      </c>
      <c r="J191" s="9" t="s">
        <v>355</v>
      </c>
      <c r="K191" s="9">
        <v>5049</v>
      </c>
      <c r="L191" s="11">
        <v>200</v>
      </c>
      <c r="M191" s="9" t="s">
        <v>577</v>
      </c>
      <c r="N191" s="9" t="s">
        <v>334</v>
      </c>
      <c r="O191" s="9"/>
      <c r="P191" s="9"/>
      <c r="Q191" s="11"/>
      <c r="R191" s="9" t="s">
        <v>195</v>
      </c>
      <c r="S191" s="9" t="s">
        <v>578</v>
      </c>
      <c r="T191" s="12">
        <f>IF($H191="Cancelled","",IFERROR(((Q191+INDEX(Variables!$B$6:$D$6,IFERROR(MATCH(IF($B191="Robusta","Robusta",(IF($B191="","Arabica",$B191))&amp;" - "&amp;(IF($C191="","Commercial",$C191))),Variables!$B$1:$D$1,0),1)))*22.0462)*(L191/16.67),""))</f>
        <v>76917.036112777438</v>
      </c>
      <c r="U191" s="10"/>
      <c r="V191" s="9" t="s">
        <v>195</v>
      </c>
      <c r="W191" s="10">
        <v>45488</v>
      </c>
      <c r="X191" s="9" t="str">
        <f t="shared" si="17"/>
        <v>Approved</v>
      </c>
      <c r="Y191" s="10">
        <v>45595</v>
      </c>
      <c r="Z191" s="10">
        <f>IF($H191="Cancelled","",IFERROR(IF(F191="","",F191-Variables!$B$13),""))</f>
        <v>45520</v>
      </c>
      <c r="AA191" s="11">
        <f>IF($H191="Cancelled","",IFERROR(IF(W191="","",(AVERAGE(E191:F191)-W191)-Variables!$B$14),""))</f>
        <v>2</v>
      </c>
      <c r="AB191" s="10">
        <v>45604</v>
      </c>
      <c r="AC191" s="11">
        <f>IF($H191="Cancelled","",IFERROR(IF(AB191="","",IF(AND(W191="",Y191=""),"",IF(Y191&gt;W191,Y191+Variables!$B$15+Variables!$B$16+Variables!$B$17-AB191,W191+Variables!$B$16+Variables!$B$17-AB191))),""))</f>
        <v>6</v>
      </c>
      <c r="AD191" s="9" t="s">
        <v>130</v>
      </c>
      <c r="AE191" s="9" t="s">
        <v>579</v>
      </c>
      <c r="AF191" s="10"/>
      <c r="AG191" s="10"/>
      <c r="AH191" s="9"/>
      <c r="AI191" s="9" t="s">
        <v>580</v>
      </c>
      <c r="AJ191" s="9" t="s">
        <v>581</v>
      </c>
      <c r="AK191" s="10">
        <v>45532</v>
      </c>
      <c r="AL191" s="10">
        <v>45533</v>
      </c>
      <c r="AM191" s="10">
        <v>45545</v>
      </c>
      <c r="AN191" s="9" t="s">
        <v>95</v>
      </c>
      <c r="AO191" s="9"/>
      <c r="AP191" s="11">
        <f>IF($H191="Cancelled","",IFERROR(IF(OR(AK191="",AB191=""),"",(AB191+Variables!$B$18-AK191)),""))</f>
        <v>79</v>
      </c>
      <c r="AQ191" s="11">
        <f>IF($H191="Cancelled","",IFERROR(IF(OR(AM191="",AK191=""),"",(AK191+Variables!$B$19)-AM191),""))</f>
        <v>-8</v>
      </c>
      <c r="AR191" s="12">
        <f>IF($H191="Cancelled","",IFERROR(T191*INDEX(Variables!$B$7:$D$7,IFERROR(MATCH(IF($B191="Robusta","Robusta",(IF($B191="","Arabica",$B191))&amp;" - "&amp;(IF($C191="","Commercial",$C191))),Variables!$B$1:$D$1,0),1))*(AQ191/365),""))</f>
        <v>-108.7075004061663</v>
      </c>
      <c r="AS191" s="12">
        <f>IF($H191="Cancelled","",IFERROR((T191*INDEX(Variables!$B$7:$D$7,IFERROR(MATCH(IF($B191="Robusta","Robusta",(IF($B191="","Arabica",$B191))&amp;" - "&amp;(IF($C191="","Commercial",$C191))),Variables!$B$1:$D$1,0),1))*IFERROR(IF(W191="","",(AVERAGE(E191:F191)-W191)-Variables!$B$14),"")/365)+(L191/16.67*INDEX(Variables!$B$8:$D$8,IFERROR(MATCH(IF($B191="Robusta","Robusta",(IF($B191="","Arabica",$B191))&amp;" - "&amp;(IF($C191="","Commercial",$C191))),Variables!$B$1:$D$1,0),1))*IFERROR(IF(W191="","",(AVERAGE(E191:F191)-W191)-Variables!$B$14),""))+(T191*INDEX(Variables!$B$9:$D$9,IFERROR(MATCH(IF($B191="Robusta","Robusta",(IF($B191="","Arabica",$B191))&amp;" - "&amp;(IF($C191="","Commercial",$C191))),Variables!$B$1:$D$1,0),1))*IFERROR(IF(W191="","",(AVERAGE(E191:F191)-W191)-Variables!$B$14),"")/365),""))</f>
        <v>47.527237469325421</v>
      </c>
      <c r="AT191" s="12">
        <f>IF($H191="Cancelled","",IFERROR((T191*INDEX(Variables!$B$7:$D$7,IFERROR(MATCH(IF($B191="Robusta","Robusta",(IF($B191="","Arabica",$B191))&amp;" - "&amp;(IF($C191="","Commercial",$C191))),Variables!$B$1:$D$1,0),1))*AC191/365)+(L191/16.67*INDEX(Variables!$B$8:$D$8,IFERROR(MATCH(IF($B191="Robusta","Robusta",(IF($B191="","Arabica",$B191))&amp;" - "&amp;(IF($C191="","Commercial",$C191))),Variables!$B$1:$D$1,0),1))*AC191)+(T191*INDEX(Variables!$B$9:$D$9,IFERROR(MATCH(IF($B191="Robusta","Robusta",(IF($B191="","Arabica",$B191))&amp;" - "&amp;(IF($C191="","Commercial",$C191))),Variables!$B$1:$D$1,0),1))*AC191/365),""))</f>
        <v>142.58171240797626</v>
      </c>
      <c r="AU191" s="12">
        <f>IF($H191="Cancelled","",IFERROR((T191*INDEX(Variables!$B$7:$D$7,IFERROR(MATCH(IF($B191="Robusta","Robusta",(IF($B191="","Arabica",$B191))&amp;" - "&amp;(IF($C191="","Commercial",$C191))),Variables!$B$1:$D$1,0),1))*AP191/365)+(L191/16.67*INDEX(Variables!$B$8:$D$8,IFERROR(MATCH(IF($B191="Robusta","Robusta",(IF($B191="","Arabica",$B191))&amp;" - "&amp;(IF($C191="","Commercial",$C191))),Variables!$B$1:$D$1,0),1))*AP191)+(T191*INDEX(Variables!$B$9:$D$9,IFERROR(MATCH(IF($B191="Robusta","Robusta",(IF($B191="","Arabica",$B191))&amp;" - "&amp;(IF($C191="","Commercial",$C191))),Variables!$B$1:$D$1,0),1))*AP191/365),""))</f>
        <v>1877.3258800383542</v>
      </c>
      <c r="AV191" s="11">
        <f t="shared" si="15"/>
        <v>3</v>
      </c>
      <c r="AW191" s="12">
        <f>IF($H191="Cancelled","",IFERROR(IF(AV191="","",(T191*INDEX(Variables!$B$7:$D$7,IFERROR(MATCH(IF($B191="Robusta","Robusta",(IF($B191="","Arabica",$B191))&amp;" - "&amp;(IF($C191="","Commercial",$C191))),Variables!$B$1:$D$1,0),1))*(AV191/365))+(T191*INDEX(Variables!$B$9:$D$9,IFERROR(MATCH(IF($B191="Robusta","Robusta",(IF($B191="","Arabica",$B191))&amp;" - "&amp;(IF($C191="","Commercial",$C191))),Variables!$B$1:$D$1,0),1))*(AV191/365))+(INDEX(Variables!$B$8:$D$8,IFERROR(MATCH(IF($B191="Robusta","Robusta",(IF($B191="","Arabica",$B191))&amp;" - "&amp;(IF($C191="","Commercial",$C191))),Variables!$B$1:$D$1,0),1))*L191/16.67)),""))</f>
        <v>51.290856203988128</v>
      </c>
      <c r="AX191" s="9"/>
      <c r="AY191" s="12"/>
      <c r="AZ191" s="10"/>
      <c r="BA191" s="9"/>
      <c r="BB191" s="10"/>
      <c r="BC191" s="9"/>
      <c r="BD191" s="9"/>
      <c r="BE191" s="9"/>
      <c r="BF191" s="9"/>
    </row>
    <row r="192" spans="1:58" x14ac:dyDescent="0.25">
      <c r="A192" s="9" t="s">
        <v>84</v>
      </c>
      <c r="B192" s="9" t="s">
        <v>85</v>
      </c>
      <c r="C192" s="9" t="s">
        <v>86</v>
      </c>
      <c r="D192" s="10">
        <v>45484</v>
      </c>
      <c r="E192" s="10">
        <v>45505</v>
      </c>
      <c r="F192" s="10">
        <v>45535</v>
      </c>
      <c r="G192" s="9">
        <v>3786453</v>
      </c>
      <c r="H192" s="9" t="str">
        <f t="shared" si="13"/>
        <v>Closed</v>
      </c>
      <c r="I192" s="9" t="str">
        <f t="shared" si="14"/>
        <v>All dates received</v>
      </c>
      <c r="J192" s="9" t="s">
        <v>494</v>
      </c>
      <c r="K192" s="9" t="s">
        <v>582</v>
      </c>
      <c r="L192" s="11">
        <v>270</v>
      </c>
      <c r="M192" s="9" t="s">
        <v>583</v>
      </c>
      <c r="N192" s="9" t="s">
        <v>237</v>
      </c>
      <c r="O192" s="9"/>
      <c r="P192" s="9"/>
      <c r="Q192" s="11"/>
      <c r="R192" s="9" t="s">
        <v>90</v>
      </c>
      <c r="S192" s="9" t="s">
        <v>150</v>
      </c>
      <c r="T192" s="12">
        <f>IF($H192="Cancelled","",IFERROR(((Q192+INDEX(Variables!$B$6:$D$6,IFERROR(MATCH(IF($B192="Robusta","Robusta",(IF($B192="","Arabica",$B192))&amp;" - "&amp;(IF($C192="","Commercial",$C192))),Variables!$B$1:$D$1,0),1)))*22.0462)*(L192/16.67),""))</f>
        <v>103837.99875224954</v>
      </c>
      <c r="U192" s="10">
        <v>45490</v>
      </c>
      <c r="V192" s="9" t="str">
        <f t="shared" ref="V192:V207" si="20">IF(ISNUMBER(U192),"Sent","")</f>
        <v>Sent</v>
      </c>
      <c r="W192" s="10">
        <v>45496</v>
      </c>
      <c r="X192" s="9" t="str">
        <f t="shared" si="17"/>
        <v>Approved</v>
      </c>
      <c r="Y192" s="10"/>
      <c r="Z192" s="10">
        <f>IF($H192="Cancelled","",IFERROR(IF(F192="","",F192-Variables!$B$13),""))</f>
        <v>45520</v>
      </c>
      <c r="AA192" s="11">
        <f>IF($H192="Cancelled","",IFERROR(IF(W192="","",(AVERAGE(E192:F192)-W192)-Variables!$B$14),""))</f>
        <v>-6</v>
      </c>
      <c r="AB192" s="10">
        <v>45607</v>
      </c>
      <c r="AC192" s="11">
        <f>IF($H192="Cancelled","",IFERROR(IF(AB192="","",IF(AND(W192="",Y192=""),"",IF(Y192&gt;W192,Y192+Variables!$B$15+Variables!$B$16+Variables!$B$17-AB192,W192+Variables!$B$16+Variables!$B$17-AB192))),""))</f>
        <v>-103</v>
      </c>
      <c r="AD192" s="9" t="s">
        <v>163</v>
      </c>
      <c r="AE192" s="9" t="s">
        <v>584</v>
      </c>
      <c r="AF192" s="10"/>
      <c r="AG192" s="10"/>
      <c r="AH192" s="9"/>
      <c r="AI192" s="9">
        <v>243130759</v>
      </c>
      <c r="AJ192" s="9" t="s">
        <v>8</v>
      </c>
      <c r="AK192" s="10">
        <v>45526</v>
      </c>
      <c r="AL192" s="10">
        <v>45534</v>
      </c>
      <c r="AM192" s="10">
        <v>45537</v>
      </c>
      <c r="AN192" s="9" t="s">
        <v>95</v>
      </c>
      <c r="AO192" s="9"/>
      <c r="AP192" s="11">
        <f>IF($H192="Cancelled","",IFERROR(IF(OR(AK192="",AB192=""),"",(AB192+Variables!$B$18-AK192)),""))</f>
        <v>88</v>
      </c>
      <c r="AQ192" s="11">
        <f>IF($H192="Cancelled","",IFERROR(IF(OR(AM192="",AK192=""),"",(AK192+Variables!$B$19)-AM192),""))</f>
        <v>-6</v>
      </c>
      <c r="AR192" s="12">
        <f>IF($H192="Cancelled","",IFERROR(T192*INDEX(Variables!$B$7:$D$7,IFERROR(MATCH(IF($B192="Robusta","Robusta",(IF($B192="","Arabica",$B192))&amp;" - "&amp;(IF($C192="","Commercial",$C192))),Variables!$B$1:$D$1,0),1))*(AQ192/365),""))</f>
        <v>-110.06634416124336</v>
      </c>
      <c r="AS192" s="12">
        <f>IF($H192="Cancelled","",IFERROR((T192*INDEX(Variables!$B$7:$D$7,IFERROR(MATCH(IF($B192="Robusta","Robusta",(IF($B192="","Arabica",$B192))&amp;" - "&amp;(IF($C192="","Commercial",$C192))),Variables!$B$1:$D$1,0),1))*IFERROR(IF(W192="","",(AVERAGE(E192:F192)-W192)-Variables!$B$14),"")/365)+(L192/16.67*INDEX(Variables!$B$8:$D$8,IFERROR(MATCH(IF($B192="Robusta","Robusta",(IF($B192="","Arabica",$B192))&amp;" - "&amp;(IF($C192="","Commercial",$C192))),Variables!$B$1:$D$1,0),1))*IFERROR(IF(W192="","",(AVERAGE(E192:F192)-W192)-Variables!$B$14),""))+(T192*INDEX(Variables!$B$9:$D$9,IFERROR(MATCH(IF($B192="Robusta","Robusta",(IF($B192="","Arabica",$B192))&amp;" - "&amp;(IF($C192="","Commercial",$C192))),Variables!$B$1:$D$1,0),1))*IFERROR(IF(W192="","",(AVERAGE(E192:F192)-W192)-Variables!$B$14),"")/365),""))</f>
        <v>-192.48531175076795</v>
      </c>
      <c r="AT192" s="12">
        <f>IF($H192="Cancelled","",IFERROR((T192*INDEX(Variables!$B$7:$D$7,IFERROR(MATCH(IF($B192="Robusta","Robusta",(IF($B192="","Arabica",$B192))&amp;" - "&amp;(IF($C192="","Commercial",$C192))),Variables!$B$1:$D$1,0),1))*AC192/365)+(L192/16.67*INDEX(Variables!$B$8:$D$8,IFERROR(MATCH(IF($B192="Robusta","Robusta",(IF($B192="","Arabica",$B192))&amp;" - "&amp;(IF($C192="","Commercial",$C192))),Variables!$B$1:$D$1,0),1))*AC192)+(T192*INDEX(Variables!$B$9:$D$9,IFERROR(MATCH(IF($B192="Robusta","Robusta",(IF($B192="","Arabica",$B192))&amp;" - "&amp;(IF($C192="","Commercial",$C192))),Variables!$B$1:$D$1,0),1))*AC192/365),""))</f>
        <v>-3304.3311850548498</v>
      </c>
      <c r="AU192" s="12">
        <f>IF($H192="Cancelled","",IFERROR((T192*INDEX(Variables!$B$7:$D$7,IFERROR(MATCH(IF($B192="Robusta","Robusta",(IF($B192="","Arabica",$B192))&amp;" - "&amp;(IF($C192="","Commercial",$C192))),Variables!$B$1:$D$1,0),1))*AP192/365)+(L192/16.67*INDEX(Variables!$B$8:$D$8,IFERROR(MATCH(IF($B192="Robusta","Robusta",(IF($B192="","Arabica",$B192))&amp;" - "&amp;(IF($C192="","Commercial",$C192))),Variables!$B$1:$D$1,0),1))*AP192)+(T192*INDEX(Variables!$B$9:$D$9,IFERROR(MATCH(IF($B192="Robusta","Robusta",(IF($B192="","Arabica",$B192))&amp;" - "&amp;(IF($C192="","Commercial",$C192))),Variables!$B$1:$D$1,0),1))*AP192/365),""))</f>
        <v>2823.1179056779297</v>
      </c>
      <c r="AV192" s="11">
        <f t="shared" si="15"/>
        <v>9</v>
      </c>
      <c r="AW192" s="12">
        <f>IF($H192="Cancelled","",IFERROR(IF(AV192="","",(T192*INDEX(Variables!$B$7:$D$7,IFERROR(MATCH(IF($B192="Robusta","Robusta",(IF($B192="","Arabica",$B192))&amp;" - "&amp;(IF($C192="","Commercial",$C192))),Variables!$B$1:$D$1,0),1))*(AV192/365))+(T192*INDEX(Variables!$B$9:$D$9,IFERROR(MATCH(IF($B192="Robusta","Robusta",(IF($B192="","Arabica",$B192))&amp;" - "&amp;(IF($C192="","Commercial",$C192))),Variables!$B$1:$D$1,0),1))*(AV192/365))+(INDEX(Variables!$B$8:$D$8,IFERROR(MATCH(IF($B192="Robusta","Robusta",(IF($B192="","Arabica",$B192))&amp;" - "&amp;(IF($C192="","Commercial",$C192))),Variables!$B$1:$D$1,0),1))*L192/16.67)),""))</f>
        <v>180.72796762615195</v>
      </c>
      <c r="AX192" s="9"/>
      <c r="AY192" s="12"/>
      <c r="AZ192" s="10"/>
      <c r="BA192" s="9"/>
      <c r="BB192" s="10"/>
      <c r="BC192" s="9"/>
      <c r="BD192" s="9"/>
      <c r="BE192" s="9"/>
      <c r="BF192" s="9"/>
    </row>
    <row r="193" spans="1:58" x14ac:dyDescent="0.25">
      <c r="A193" s="9" t="s">
        <v>84</v>
      </c>
      <c r="B193" s="9" t="s">
        <v>85</v>
      </c>
      <c r="C193" s="9" t="s">
        <v>86</v>
      </c>
      <c r="D193" s="10">
        <v>45484</v>
      </c>
      <c r="E193" s="10">
        <v>45505</v>
      </c>
      <c r="F193" s="10">
        <v>45535</v>
      </c>
      <c r="G193" s="9">
        <v>3786453</v>
      </c>
      <c r="H193" s="9" t="str">
        <f t="shared" si="13"/>
        <v>Closed</v>
      </c>
      <c r="I193" s="9" t="str">
        <f t="shared" si="14"/>
        <v>All dates received</v>
      </c>
      <c r="J193" s="9" t="s">
        <v>494</v>
      </c>
      <c r="K193" s="9" t="s">
        <v>585</v>
      </c>
      <c r="L193" s="11">
        <v>250</v>
      </c>
      <c r="M193" s="9" t="s">
        <v>583</v>
      </c>
      <c r="N193" s="9" t="s">
        <v>237</v>
      </c>
      <c r="O193" s="9"/>
      <c r="P193" s="9"/>
      <c r="Q193" s="11"/>
      <c r="R193" s="9" t="s">
        <v>90</v>
      </c>
      <c r="S193" s="9" t="s">
        <v>586</v>
      </c>
      <c r="T193" s="12">
        <f>IF($H193="Cancelled","",IFERROR(((Q193+INDEX(Variables!$B$6:$D$6,IFERROR(MATCH(IF($B193="Robusta","Robusta",(IF($B193="","Arabica",$B193))&amp;" - "&amp;(IF($C193="","Commercial",$C193))),Variables!$B$1:$D$1,0),1)))*22.0462)*(L193/16.67),""))</f>
        <v>96146.295140971793</v>
      </c>
      <c r="U193" s="10">
        <v>45490</v>
      </c>
      <c r="V193" s="9" t="str">
        <f t="shared" si="20"/>
        <v>Sent</v>
      </c>
      <c r="W193" s="10">
        <v>45496</v>
      </c>
      <c r="X193" s="9" t="str">
        <f t="shared" si="17"/>
        <v>Approved</v>
      </c>
      <c r="Y193" s="10"/>
      <c r="Z193" s="10">
        <f>IF($H193="Cancelled","",IFERROR(IF(F193="","",F193-Variables!$B$13),""))</f>
        <v>45520</v>
      </c>
      <c r="AA193" s="11">
        <f>IF($H193="Cancelled","",IFERROR(IF(W193="","",(AVERAGE(E193:F193)-W193)-Variables!$B$14),""))</f>
        <v>-6</v>
      </c>
      <c r="AB193" s="10">
        <v>45607</v>
      </c>
      <c r="AC193" s="11">
        <f>IF($H193="Cancelled","",IFERROR(IF(AB193="","",IF(AND(W193="",Y193=""),"",IF(Y193&gt;W193,Y193+Variables!$B$15+Variables!$B$16+Variables!$B$17-AB193,W193+Variables!$B$16+Variables!$B$17-AB193))),""))</f>
        <v>-103</v>
      </c>
      <c r="AD193" s="9" t="s">
        <v>163</v>
      </c>
      <c r="AE193" s="9" t="s">
        <v>584</v>
      </c>
      <c r="AF193" s="10"/>
      <c r="AG193" s="10"/>
      <c r="AH193" s="9"/>
      <c r="AI193" s="9">
        <v>243130898</v>
      </c>
      <c r="AJ193" s="9" t="s">
        <v>8</v>
      </c>
      <c r="AK193" s="10">
        <v>45526</v>
      </c>
      <c r="AL193" s="10">
        <v>45534</v>
      </c>
      <c r="AM193" s="10">
        <v>45537</v>
      </c>
      <c r="AN193" s="9" t="s">
        <v>95</v>
      </c>
      <c r="AO193" s="9"/>
      <c r="AP193" s="11">
        <f>IF($H193="Cancelled","",IFERROR(IF(OR(AK193="",AB193=""),"",(AB193+Variables!$B$18-AK193)),""))</f>
        <v>88</v>
      </c>
      <c r="AQ193" s="11">
        <f>IF($H193="Cancelled","",IFERROR(IF(OR(AM193="",AK193=""),"",(AK193+Variables!$B$19)-AM193),""))</f>
        <v>-6</v>
      </c>
      <c r="AR193" s="12">
        <f>IF($H193="Cancelled","",IFERROR(T193*INDEX(Variables!$B$7:$D$7,IFERROR(MATCH(IF($B193="Robusta","Robusta",(IF($B193="","Arabica",$B193))&amp;" - "&amp;(IF($C193="","Commercial",$C193))),Variables!$B$1:$D$1,0),1))*(AQ193/365),""))</f>
        <v>-101.91328163078089</v>
      </c>
      <c r="AS193" s="12">
        <f>IF($H193="Cancelled","",IFERROR((T193*INDEX(Variables!$B$7:$D$7,IFERROR(MATCH(IF($B193="Robusta","Robusta",(IF($B193="","Arabica",$B193))&amp;" - "&amp;(IF($C193="","Commercial",$C193))),Variables!$B$1:$D$1,0),1))*IFERROR(IF(W193="","",(AVERAGE(E193:F193)-W193)-Variables!$B$14),"")/365)+(L193/16.67*INDEX(Variables!$B$8:$D$8,IFERROR(MATCH(IF($B193="Robusta","Robusta",(IF($B193="","Arabica",$B193))&amp;" - "&amp;(IF($C193="","Commercial",$C193))),Variables!$B$1:$D$1,0),1))*IFERROR(IF(W193="","",(AVERAGE(E193:F193)-W193)-Variables!$B$14),""))+(T193*INDEX(Variables!$B$9:$D$9,IFERROR(MATCH(IF($B193="Robusta","Robusta",(IF($B193="","Arabica",$B193))&amp;" - "&amp;(IF($C193="","Commercial",$C193))),Variables!$B$1:$D$1,0),1))*IFERROR(IF(W193="","",(AVERAGE(E193:F193)-W193)-Variables!$B$14),"")/365),""))</f>
        <v>-178.22714050997033</v>
      </c>
      <c r="AT193" s="12">
        <f>IF($H193="Cancelled","",IFERROR((T193*INDEX(Variables!$B$7:$D$7,IFERROR(MATCH(IF($B193="Robusta","Robusta",(IF($B193="","Arabica",$B193))&amp;" - "&amp;(IF($C193="","Commercial",$C193))),Variables!$B$1:$D$1,0),1))*AC193/365)+(L193/16.67*INDEX(Variables!$B$8:$D$8,IFERROR(MATCH(IF($B193="Robusta","Robusta",(IF($B193="","Arabica",$B193))&amp;" - "&amp;(IF($C193="","Commercial",$C193))),Variables!$B$1:$D$1,0),1))*AC193)+(T193*INDEX(Variables!$B$9:$D$9,IFERROR(MATCH(IF($B193="Robusta","Robusta",(IF($B193="","Arabica",$B193))&amp;" - "&amp;(IF($C193="","Commercial",$C193))),Variables!$B$1:$D$1,0),1))*AC193/365),""))</f>
        <v>-3059.565912087824</v>
      </c>
      <c r="AU193" s="12">
        <f>IF($H193="Cancelled","",IFERROR((T193*INDEX(Variables!$B$7:$D$7,IFERROR(MATCH(IF($B193="Robusta","Robusta",(IF($B193="","Arabica",$B193))&amp;" - "&amp;(IF($C193="","Commercial",$C193))),Variables!$B$1:$D$1,0),1))*AP193/365)+(L193/16.67*INDEX(Variables!$B$8:$D$8,IFERROR(MATCH(IF($B193="Robusta","Robusta",(IF($B193="","Arabica",$B193))&amp;" - "&amp;(IF($C193="","Commercial",$C193))),Variables!$B$1:$D$1,0),1))*AP193)+(T193*INDEX(Variables!$B$9:$D$9,IFERROR(MATCH(IF($B193="Robusta","Robusta",(IF($B193="","Arabica",$B193))&amp;" - "&amp;(IF($C193="","Commercial",$C193))),Variables!$B$1:$D$1,0),1))*AP193/365),""))</f>
        <v>2613.9980608128981</v>
      </c>
      <c r="AV193" s="11">
        <f t="shared" si="15"/>
        <v>9</v>
      </c>
      <c r="AW193" s="12">
        <f>IF($H193="Cancelled","",IFERROR(IF(AV193="","",(T193*INDEX(Variables!$B$7:$D$7,IFERROR(MATCH(IF($B193="Robusta","Robusta",(IF($B193="","Arabica",$B193))&amp;" - "&amp;(IF($C193="","Commercial",$C193))),Variables!$B$1:$D$1,0),1))*(AV193/365))+(T193*INDEX(Variables!$B$9:$D$9,IFERROR(MATCH(IF($B193="Robusta","Robusta",(IF($B193="","Arabica",$B193))&amp;" - "&amp;(IF($C193="","Commercial",$C193))),Variables!$B$1:$D$1,0),1))*(AV193/365))+(INDEX(Variables!$B$8:$D$8,IFERROR(MATCH(IF($B193="Robusta","Robusta",(IF($B193="","Arabica",$B193))&amp;" - "&amp;(IF($C193="","Commercial",$C193))),Variables!$B$1:$D$1,0),1))*L193/16.67)),""))</f>
        <v>167.3407107649555</v>
      </c>
      <c r="AX193" s="9"/>
      <c r="AY193" s="12"/>
      <c r="AZ193" s="10"/>
      <c r="BA193" s="9"/>
      <c r="BB193" s="10"/>
      <c r="BC193" s="9"/>
      <c r="BD193" s="9"/>
      <c r="BE193" s="9"/>
      <c r="BF193" s="9"/>
    </row>
    <row r="194" spans="1:58" x14ac:dyDescent="0.25">
      <c r="A194" s="9" t="s">
        <v>84</v>
      </c>
      <c r="B194" s="9" t="s">
        <v>85</v>
      </c>
      <c r="C194" s="9" t="s">
        <v>86</v>
      </c>
      <c r="D194" s="10">
        <v>45485</v>
      </c>
      <c r="E194" s="10">
        <v>45505</v>
      </c>
      <c r="F194" s="10">
        <v>45535</v>
      </c>
      <c r="G194" s="9">
        <v>3786454</v>
      </c>
      <c r="H194" s="9" t="str">
        <f t="shared" ref="H194:H257" si="21">IF(ISNUMBER(SEARCH("cancel",AN194)),"Cancelled",IF(AND(AK194&lt;&gt;"",AL194&lt;&gt;"",AM194&lt;&gt;""),"Closed","Open"))</f>
        <v>Closed</v>
      </c>
      <c r="I194" s="9" t="str">
        <f t="shared" ref="I194:I257" si="22">IF(AND(AK194&lt;&gt;"",AL194&lt;&gt;"",AM194&lt;&gt;""),"All dates received",_xlfn.TEXTJOIN(" and ",TRUE(),IF(AK194="","No sailing date",""),IF(AL194="","No shipping advice sent",""),IF(AM194="","No docs dispatch date","")))</f>
        <v>All dates received</v>
      </c>
      <c r="J194" s="9" t="s">
        <v>367</v>
      </c>
      <c r="K194" s="9" t="s">
        <v>587</v>
      </c>
      <c r="L194" s="11">
        <v>640</v>
      </c>
      <c r="M194" s="9" t="s">
        <v>588</v>
      </c>
      <c r="N194" s="9" t="s">
        <v>334</v>
      </c>
      <c r="O194" s="9"/>
      <c r="P194" s="9"/>
      <c r="Q194" s="11"/>
      <c r="R194" s="9" t="s">
        <v>90</v>
      </c>
      <c r="S194" s="9" t="s">
        <v>207</v>
      </c>
      <c r="T194" s="12">
        <f>IF($H194="Cancelled","",IFERROR(((Q194+INDEX(Variables!$B$6:$D$6,IFERROR(MATCH(IF($B194="Robusta","Robusta",(IF($B194="","Arabica",$B194))&amp;" - "&amp;(IF($C194="","Commercial",$C194))),Variables!$B$1:$D$1,0),1)))*22.0462)*(L194/16.67),""))</f>
        <v>246134.51556088781</v>
      </c>
      <c r="U194" s="10">
        <v>45485</v>
      </c>
      <c r="V194" s="9" t="str">
        <f t="shared" si="20"/>
        <v>Sent</v>
      </c>
      <c r="W194" s="10">
        <v>45496</v>
      </c>
      <c r="X194" s="9" t="str">
        <f t="shared" si="17"/>
        <v>Approved</v>
      </c>
      <c r="Y194" s="10"/>
      <c r="Z194" s="10">
        <f>IF($H194="Cancelled","",IFERROR(IF(F194="","",F194-Variables!$B$13),""))</f>
        <v>45520</v>
      </c>
      <c r="AA194" s="11">
        <f>IF($H194="Cancelled","",IFERROR(IF(W194="","",(AVERAGE(E194:F194)-W194)-Variables!$B$14),""))</f>
        <v>-6</v>
      </c>
      <c r="AB194" s="10">
        <v>45609</v>
      </c>
      <c r="AC194" s="11">
        <f>IF($H194="Cancelled","",IFERROR(IF(AB194="","",IF(AND(W194="",Y194=""),"",IF(Y194&gt;W194,Y194+Variables!$B$15+Variables!$B$16+Variables!$B$17-AB194,W194+Variables!$B$16+Variables!$B$17-AB194))),""))</f>
        <v>-105</v>
      </c>
      <c r="AD194" s="9" t="s">
        <v>549</v>
      </c>
      <c r="AE194" s="9" t="s">
        <v>589</v>
      </c>
      <c r="AF194" s="10"/>
      <c r="AG194" s="10"/>
      <c r="AH194" s="9"/>
      <c r="AI194" s="9">
        <v>242926183</v>
      </c>
      <c r="AJ194" s="9" t="s">
        <v>8</v>
      </c>
      <c r="AK194" s="10">
        <v>45515</v>
      </c>
      <c r="AL194" s="10">
        <v>45520</v>
      </c>
      <c r="AM194" s="10">
        <v>45527</v>
      </c>
      <c r="AN194" s="9" t="s">
        <v>95</v>
      </c>
      <c r="AO194" s="9"/>
      <c r="AP194" s="11">
        <f>IF($H194="Cancelled","",IFERROR(IF(OR(AK194="",AB194=""),"",(AB194+Variables!$B$18-AK194)),""))</f>
        <v>101</v>
      </c>
      <c r="AQ194" s="11">
        <f>IF($H194="Cancelled","",IFERROR(IF(OR(AM194="",AK194=""),"",(AK194+Variables!$B$19)-AM194),""))</f>
        <v>-7</v>
      </c>
      <c r="AR194" s="12">
        <f>IF($H194="Cancelled","",IFERROR(T194*INDEX(Variables!$B$7:$D$7,IFERROR(MATCH(IF($B194="Robusta","Robusta",(IF($B194="","Arabica",$B194))&amp;" - "&amp;(IF($C194="","Commercial",$C194))),Variables!$B$1:$D$1,0),1))*(AQ194/365),""))</f>
        <v>-304.38100113726568</v>
      </c>
      <c r="AS194" s="12">
        <f>IF($H194="Cancelled","",IFERROR((T194*INDEX(Variables!$B$7:$D$7,IFERROR(MATCH(IF($B194="Robusta","Robusta",(IF($B194="","Arabica",$B194))&amp;" - "&amp;(IF($C194="","Commercial",$C194))),Variables!$B$1:$D$1,0),1))*IFERROR(IF(W194="","",(AVERAGE(E194:F194)-W194)-Variables!$B$14),"")/365)+(L194/16.67*INDEX(Variables!$B$8:$D$8,IFERROR(MATCH(IF($B194="Robusta","Robusta",(IF($B194="","Arabica",$B194))&amp;" - "&amp;(IF($C194="","Commercial",$C194))),Variables!$B$1:$D$1,0),1))*IFERROR(IF(W194="","",(AVERAGE(E194:F194)-W194)-Variables!$B$14),""))+(T194*INDEX(Variables!$B$9:$D$9,IFERROR(MATCH(IF($B194="Robusta","Robusta",(IF($B194="","Arabica",$B194))&amp;" - "&amp;(IF($C194="","Commercial",$C194))),Variables!$B$1:$D$1,0),1))*IFERROR(IF(W194="","",(AVERAGE(E194:F194)-W194)-Variables!$B$14),"")/365),""))</f>
        <v>-456.26147970552404</v>
      </c>
      <c r="AT194" s="12">
        <f>IF($H194="Cancelled","",IFERROR((T194*INDEX(Variables!$B$7:$D$7,IFERROR(MATCH(IF($B194="Robusta","Robusta",(IF($B194="","Arabica",$B194))&amp;" - "&amp;(IF($C194="","Commercial",$C194))),Variables!$B$1:$D$1,0),1))*AC194/365)+(L194/16.67*INDEX(Variables!$B$8:$D$8,IFERROR(MATCH(IF($B194="Robusta","Robusta",(IF($B194="","Arabica",$B194))&amp;" - "&amp;(IF($C194="","Commercial",$C194))),Variables!$B$1:$D$1,0),1))*AC194)+(T194*INDEX(Variables!$B$9:$D$9,IFERROR(MATCH(IF($B194="Robusta","Robusta",(IF($B194="","Arabica",$B194))&amp;" - "&amp;(IF($C194="","Commercial",$C194))),Variables!$B$1:$D$1,0),1))*AC194/365),""))</f>
        <v>-7984.575894846671</v>
      </c>
      <c r="AU194" s="12">
        <f>IF($H194="Cancelled","",IFERROR((T194*INDEX(Variables!$B$7:$D$7,IFERROR(MATCH(IF($B194="Robusta","Robusta",(IF($B194="","Arabica",$B194))&amp;" - "&amp;(IF($C194="","Commercial",$C194))),Variables!$B$1:$D$1,0),1))*AP194/365)+(L194/16.67*INDEX(Variables!$B$8:$D$8,IFERROR(MATCH(IF($B194="Robusta","Robusta",(IF($B194="","Arabica",$B194))&amp;" - "&amp;(IF($C194="","Commercial",$C194))),Variables!$B$1:$D$1,0),1))*AP194)+(T194*INDEX(Variables!$B$9:$D$9,IFERROR(MATCH(IF($B194="Robusta","Robusta",(IF($B194="","Arabica",$B194))&amp;" - "&amp;(IF($C194="","Commercial",$C194))),Variables!$B$1:$D$1,0),1))*AP194/365),""))</f>
        <v>7680.401575042989</v>
      </c>
      <c r="AV194" s="11">
        <f t="shared" ref="AV194:AV257" si="23">IF($H194="Cancelled","",IFERROR(IF(AK194="","",F194-AK194),""))</f>
        <v>20</v>
      </c>
      <c r="AW194" s="12">
        <f>IF($H194="Cancelled","",IFERROR(IF(AV194="","",(T194*INDEX(Variables!$B$7:$D$7,IFERROR(MATCH(IF($B194="Robusta","Robusta",(IF($B194="","Arabica",$B194))&amp;" - "&amp;(IF($C194="","Commercial",$C194))),Variables!$B$1:$D$1,0),1))*(AV194/365))+(T194*INDEX(Variables!$B$9:$D$9,IFERROR(MATCH(IF($B194="Robusta","Robusta",(IF($B194="","Arabica",$B194))&amp;" - "&amp;(IF($C194="","Commercial",$C194))),Variables!$B$1:$D$1,0),1))*(AV194/365))+(INDEX(Variables!$B$8:$D$8,IFERROR(MATCH(IF($B194="Robusta","Robusta",(IF($B194="","Arabica",$B194))&amp;" - "&amp;(IF($C194="","Commercial",$C194))),Variables!$B$1:$D$1,0),1))*L194/16.67)),""))</f>
        <v>912.87159901841346</v>
      </c>
      <c r="AX194" s="9"/>
      <c r="AY194" s="12"/>
      <c r="AZ194" s="10"/>
      <c r="BA194" s="9"/>
      <c r="BB194" s="10"/>
      <c r="BC194" s="9"/>
      <c r="BD194" s="9"/>
      <c r="BE194" s="9"/>
      <c r="BF194" s="9"/>
    </row>
    <row r="195" spans="1:58" x14ac:dyDescent="0.25">
      <c r="A195" s="9" t="s">
        <v>84</v>
      </c>
      <c r="B195" s="9" t="s">
        <v>85</v>
      </c>
      <c r="C195" s="9" t="s">
        <v>86</v>
      </c>
      <c r="D195" s="10">
        <v>45488</v>
      </c>
      <c r="E195" s="10">
        <v>45505</v>
      </c>
      <c r="F195" s="10">
        <v>45535</v>
      </c>
      <c r="G195" s="9">
        <v>3786458</v>
      </c>
      <c r="H195" s="9" t="str">
        <f t="shared" si="21"/>
        <v>Closed</v>
      </c>
      <c r="I195" s="9" t="str">
        <f t="shared" si="22"/>
        <v>All dates received</v>
      </c>
      <c r="J195" s="9" t="s">
        <v>286</v>
      </c>
      <c r="K195" s="9" t="s">
        <v>590</v>
      </c>
      <c r="L195" s="11">
        <v>160</v>
      </c>
      <c r="M195" s="9" t="s">
        <v>591</v>
      </c>
      <c r="N195" s="9" t="s">
        <v>161</v>
      </c>
      <c r="O195" s="9"/>
      <c r="P195" s="9"/>
      <c r="Q195" s="11"/>
      <c r="R195" s="9" t="s">
        <v>90</v>
      </c>
      <c r="S195" s="9" t="s">
        <v>215</v>
      </c>
      <c r="T195" s="12">
        <f>IF($H195="Cancelled","",IFERROR(((Q195+INDEX(Variables!$B$6:$D$6,IFERROR(MATCH(IF($B195="Robusta","Robusta",(IF($B195="","Arabica",$B195))&amp;" - "&amp;(IF($C195="","Commercial",$C195))),Variables!$B$1:$D$1,0),1)))*22.0462)*(L195/16.67),""))</f>
        <v>61533.628890221953</v>
      </c>
      <c r="U195" s="10">
        <v>45492</v>
      </c>
      <c r="V195" s="9" t="str">
        <f t="shared" si="20"/>
        <v>Sent</v>
      </c>
      <c r="W195" s="10">
        <v>45503</v>
      </c>
      <c r="X195" s="9" t="str">
        <f t="shared" si="17"/>
        <v>Approved</v>
      </c>
      <c r="Y195" s="10"/>
      <c r="Z195" s="10">
        <f>IF($H195="Cancelled","",IFERROR(IF(F195="","",F195-Variables!$B$13),""))</f>
        <v>45520</v>
      </c>
      <c r="AA195" s="11">
        <f>IF($H195="Cancelled","",IFERROR(IF(W195="","",(AVERAGE(E195:F195)-W195)-Variables!$B$14),""))</f>
        <v>-13</v>
      </c>
      <c r="AB195" s="10">
        <v>45609</v>
      </c>
      <c r="AC195" s="11">
        <f>IF($H195="Cancelled","",IFERROR(IF(AB195="","",IF(AND(W195="",Y195=""),"",IF(Y195&gt;W195,Y195+Variables!$B$15+Variables!$B$16+Variables!$B$17-AB195,W195+Variables!$B$16+Variables!$B$17-AB195))),""))</f>
        <v>-98</v>
      </c>
      <c r="AD195" s="9" t="s">
        <v>165</v>
      </c>
      <c r="AE195" s="9" t="s">
        <v>446</v>
      </c>
      <c r="AF195" s="10"/>
      <c r="AG195" s="10"/>
      <c r="AH195" s="9"/>
      <c r="AI195" s="9" t="s">
        <v>592</v>
      </c>
      <c r="AJ195" s="9" t="s">
        <v>593</v>
      </c>
      <c r="AK195" s="10">
        <v>45531</v>
      </c>
      <c r="AL195" s="10">
        <v>45527</v>
      </c>
      <c r="AM195" s="10">
        <v>45540</v>
      </c>
      <c r="AN195" s="9" t="s">
        <v>95</v>
      </c>
      <c r="AO195" s="9"/>
      <c r="AP195" s="11">
        <f>IF($H195="Cancelled","",IFERROR(IF(OR(AK195="",AB195=""),"",(AB195+Variables!$B$18-AK195)),""))</f>
        <v>85</v>
      </c>
      <c r="AQ195" s="11">
        <f>IF($H195="Cancelled","",IFERROR(IF(OR(AM195="",AK195=""),"",(AK195+Variables!$B$19)-AM195),""))</f>
        <v>-4</v>
      </c>
      <c r="AR195" s="12">
        <f>IF($H195="Cancelled","",IFERROR(T195*INDEX(Variables!$B$7:$D$7,IFERROR(MATCH(IF($B195="Robusta","Robusta",(IF($B195="","Arabica",$B195))&amp;" - "&amp;(IF($C195="","Commercial",$C195))),Variables!$B$1:$D$1,0),1))*(AQ195/365),""))</f>
        <v>-43.483000162466524</v>
      </c>
      <c r="AS195" s="12">
        <f>IF($H195="Cancelled","",IFERROR((T195*INDEX(Variables!$B$7:$D$7,IFERROR(MATCH(IF($B195="Robusta","Robusta",(IF($B195="","Arabica",$B195))&amp;" - "&amp;(IF($C195="","Commercial",$C195))),Variables!$B$1:$D$1,0),1))*IFERROR(IF(W195="","",(AVERAGE(E195:F195)-W195)-Variables!$B$14),"")/365)+(L195/16.67*INDEX(Variables!$B$8:$D$8,IFERROR(MATCH(IF($B195="Robusta","Robusta",(IF($B195="","Arabica",$B195))&amp;" - "&amp;(IF($C195="","Commercial",$C195))),Variables!$B$1:$D$1,0),1))*IFERROR(IF(W195="","",(AVERAGE(E195:F195)-W195)-Variables!$B$14),""))+(T195*INDEX(Variables!$B$9:$D$9,IFERROR(MATCH(IF($B195="Robusta","Robusta",(IF($B195="","Arabica",$B195))&amp;" - "&amp;(IF($C195="","Commercial",$C195))),Variables!$B$1:$D$1,0),1))*IFERROR(IF(W195="","",(AVERAGE(E195:F195)-W195)-Variables!$B$14),"")/365),""))</f>
        <v>-247.14163484049217</v>
      </c>
      <c r="AT195" s="12">
        <f>IF($H195="Cancelled","",IFERROR((T195*INDEX(Variables!$B$7:$D$7,IFERROR(MATCH(IF($B195="Robusta","Robusta",(IF($B195="","Arabica",$B195))&amp;" - "&amp;(IF($C195="","Commercial",$C195))),Variables!$B$1:$D$1,0),1))*AC195/365)+(L195/16.67*INDEX(Variables!$B$8:$D$8,IFERROR(MATCH(IF($B195="Robusta","Robusta",(IF($B195="","Arabica",$B195))&amp;" - "&amp;(IF($C195="","Commercial",$C195))),Variables!$B$1:$D$1,0),1))*AC195)+(T195*INDEX(Variables!$B$9:$D$9,IFERROR(MATCH(IF($B195="Robusta","Robusta",(IF($B195="","Arabica",$B195))&amp;" - "&amp;(IF($C195="","Commercial",$C195))),Variables!$B$1:$D$1,0),1))*AC195/365),""))</f>
        <v>-1863.0677087975564</v>
      </c>
      <c r="AU195" s="12">
        <f>IF($H195="Cancelled","",IFERROR((T195*INDEX(Variables!$B$7:$D$7,IFERROR(MATCH(IF($B195="Robusta","Robusta",(IF($B195="","Arabica",$B195))&amp;" - "&amp;(IF($C195="","Commercial",$C195))),Variables!$B$1:$D$1,0),1))*AP195/365)+(L195/16.67*INDEX(Variables!$B$8:$D$8,IFERROR(MATCH(IF($B195="Robusta","Robusta",(IF($B195="","Arabica",$B195))&amp;" - "&amp;(IF($C195="","Commercial",$C195))),Variables!$B$1:$D$1,0),1))*AP195)+(T195*INDEX(Variables!$B$9:$D$9,IFERROR(MATCH(IF($B195="Robusta","Robusta",(IF($B195="","Arabica",$B195))&amp;" - "&amp;(IF($C195="","Commercial",$C195))),Variables!$B$1:$D$1,0),1))*AP195/365),""))</f>
        <v>1615.9260739570643</v>
      </c>
      <c r="AV195" s="11">
        <f t="shared" si="23"/>
        <v>4</v>
      </c>
      <c r="AW195" s="12">
        <f>IF($H195="Cancelled","",IFERROR(IF(AV195="","",(T195*INDEX(Variables!$B$7:$D$7,IFERROR(MATCH(IF($B195="Robusta","Robusta",(IF($B195="","Arabica",$B195))&amp;" - "&amp;(IF($C195="","Commercial",$C195))),Variables!$B$1:$D$1,0),1))*(AV195/365))+(T195*INDEX(Variables!$B$9:$D$9,IFERROR(MATCH(IF($B195="Robusta","Robusta",(IF($B195="","Arabica",$B195))&amp;" - "&amp;(IF($C195="","Commercial",$C195))),Variables!$B$1:$D$1,0),1))*(AV195/365))+(INDEX(Variables!$B$8:$D$8,IFERROR(MATCH(IF($B195="Robusta","Robusta",(IF($B195="","Arabica",$B195))&amp;" - "&amp;(IF($C195="","Commercial",$C195))),Variables!$B$1:$D$1,0),1))*L195/16.67)),""))</f>
        <v>52.04357995092068</v>
      </c>
      <c r="AX195" s="9"/>
      <c r="AY195" s="12"/>
      <c r="AZ195" s="10"/>
      <c r="BA195" s="9"/>
      <c r="BB195" s="10"/>
      <c r="BC195" s="9"/>
      <c r="BD195" s="9"/>
      <c r="BE195" s="9"/>
      <c r="BF195" s="9"/>
    </row>
    <row r="196" spans="1:58" x14ac:dyDescent="0.25">
      <c r="A196" s="9" t="s">
        <v>84</v>
      </c>
      <c r="B196" s="9" t="s">
        <v>85</v>
      </c>
      <c r="C196" s="9" t="s">
        <v>86</v>
      </c>
      <c r="D196" s="10">
        <v>45488</v>
      </c>
      <c r="E196" s="10">
        <v>45505</v>
      </c>
      <c r="F196" s="10">
        <v>45535</v>
      </c>
      <c r="G196" s="9">
        <v>3786459</v>
      </c>
      <c r="H196" s="9" t="str">
        <f t="shared" si="21"/>
        <v>Closed</v>
      </c>
      <c r="I196" s="9" t="str">
        <f t="shared" si="22"/>
        <v>All dates received</v>
      </c>
      <c r="J196" s="9" t="s">
        <v>286</v>
      </c>
      <c r="K196" s="9" t="s">
        <v>594</v>
      </c>
      <c r="L196" s="11">
        <v>160</v>
      </c>
      <c r="M196" s="9" t="s">
        <v>114</v>
      </c>
      <c r="N196" s="9" t="s">
        <v>334</v>
      </c>
      <c r="O196" s="9"/>
      <c r="P196" s="9"/>
      <c r="Q196" s="11"/>
      <c r="R196" s="9" t="s">
        <v>90</v>
      </c>
      <c r="S196" s="9" t="s">
        <v>215</v>
      </c>
      <c r="T196" s="12">
        <f>IF($H196="Cancelled","",IFERROR(((Q196+INDEX(Variables!$B$6:$D$6,IFERROR(MATCH(IF($B196="Robusta","Robusta",(IF($B196="","Arabica",$B196))&amp;" - "&amp;(IF($C196="","Commercial",$C196))),Variables!$B$1:$D$1,0),1)))*22.0462)*(L196/16.67),""))</f>
        <v>61533.628890221953</v>
      </c>
      <c r="U196" s="10">
        <v>45492</v>
      </c>
      <c r="V196" s="9" t="str">
        <f t="shared" si="20"/>
        <v>Sent</v>
      </c>
      <c r="W196" s="10">
        <v>45503</v>
      </c>
      <c r="X196" s="9" t="str">
        <f t="shared" si="17"/>
        <v>Approved</v>
      </c>
      <c r="Y196" s="10"/>
      <c r="Z196" s="10">
        <f>IF($H196="Cancelled","",IFERROR(IF(F196="","",F196-Variables!$B$13),""))</f>
        <v>45520</v>
      </c>
      <c r="AA196" s="11">
        <f>IF($H196="Cancelled","",IFERROR(IF(W196="","",(AVERAGE(E196:F196)-W196)-Variables!$B$14),""))</f>
        <v>-13</v>
      </c>
      <c r="AB196" s="10">
        <v>45610</v>
      </c>
      <c r="AC196" s="11">
        <f>IF($H196="Cancelled","",IFERROR(IF(AB196="","",IF(AND(W196="",Y196=""),"",IF(Y196&gt;W196,Y196+Variables!$B$15+Variables!$B$16+Variables!$B$17-AB196,W196+Variables!$B$16+Variables!$B$17-AB196))),""))</f>
        <v>-99</v>
      </c>
      <c r="AD196" s="9" t="s">
        <v>165</v>
      </c>
      <c r="AE196" s="9" t="s">
        <v>446</v>
      </c>
      <c r="AF196" s="10"/>
      <c r="AG196" s="10"/>
      <c r="AH196" s="9"/>
      <c r="AI196" s="9" t="s">
        <v>592</v>
      </c>
      <c r="AJ196" s="9" t="s">
        <v>593</v>
      </c>
      <c r="AK196" s="10">
        <v>45531</v>
      </c>
      <c r="AL196" s="10">
        <v>45527</v>
      </c>
      <c r="AM196" s="10">
        <v>45540</v>
      </c>
      <c r="AN196" s="9" t="s">
        <v>95</v>
      </c>
      <c r="AO196" s="9"/>
      <c r="AP196" s="11">
        <f>IF($H196="Cancelled","",IFERROR(IF(OR(AK196="",AB196=""),"",(AB196+Variables!$B$18-AK196)),""))</f>
        <v>86</v>
      </c>
      <c r="AQ196" s="11">
        <f>IF($H196="Cancelled","",IFERROR(IF(OR(AM196="",AK196=""),"",(AK196+Variables!$B$19)-AM196),""))</f>
        <v>-4</v>
      </c>
      <c r="AR196" s="12">
        <f>IF($H196="Cancelled","",IFERROR(T196*INDEX(Variables!$B$7:$D$7,IFERROR(MATCH(IF($B196="Robusta","Robusta",(IF($B196="","Arabica",$B196))&amp;" - "&amp;(IF($C196="","Commercial",$C196))),Variables!$B$1:$D$1,0),1))*(AQ196/365),""))</f>
        <v>-43.483000162466524</v>
      </c>
      <c r="AS196" s="12">
        <f>IF($H196="Cancelled","",IFERROR((T196*INDEX(Variables!$B$7:$D$7,IFERROR(MATCH(IF($B196="Robusta","Robusta",(IF($B196="","Arabica",$B196))&amp;" - "&amp;(IF($C196="","Commercial",$C196))),Variables!$B$1:$D$1,0),1))*IFERROR(IF(W196="","",(AVERAGE(E196:F196)-W196)-Variables!$B$14),"")/365)+(L196/16.67*INDEX(Variables!$B$8:$D$8,IFERROR(MATCH(IF($B196="Robusta","Robusta",(IF($B196="","Arabica",$B196))&amp;" - "&amp;(IF($C196="","Commercial",$C196))),Variables!$B$1:$D$1,0),1))*IFERROR(IF(W196="","",(AVERAGE(E196:F196)-W196)-Variables!$B$14),""))+(T196*INDEX(Variables!$B$9:$D$9,IFERROR(MATCH(IF($B196="Robusta","Robusta",(IF($B196="","Arabica",$B196))&amp;" - "&amp;(IF($C196="","Commercial",$C196))),Variables!$B$1:$D$1,0),1))*IFERROR(IF(W196="","",(AVERAGE(E196:F196)-W196)-Variables!$B$14),"")/365),""))</f>
        <v>-247.14163484049217</v>
      </c>
      <c r="AT196" s="12">
        <f>IF($H196="Cancelled","",IFERROR((T196*INDEX(Variables!$B$7:$D$7,IFERROR(MATCH(IF($B196="Robusta","Robusta",(IF($B196="","Arabica",$B196))&amp;" - "&amp;(IF($C196="","Commercial",$C196))),Variables!$B$1:$D$1,0),1))*AC196/365)+(L196/16.67*INDEX(Variables!$B$8:$D$8,IFERROR(MATCH(IF($B196="Robusta","Robusta",(IF($B196="","Arabica",$B196))&amp;" - "&amp;(IF($C196="","Commercial",$C196))),Variables!$B$1:$D$1,0),1))*AC196)+(T196*INDEX(Variables!$B$9:$D$9,IFERROR(MATCH(IF($B196="Robusta","Robusta",(IF($B196="","Arabica",$B196))&amp;" - "&amp;(IF($C196="","Commercial",$C196))),Variables!$B$1:$D$1,0),1))*AC196/365),""))</f>
        <v>-1882.078603785287</v>
      </c>
      <c r="AU196" s="12">
        <f>IF($H196="Cancelled","",IFERROR((T196*INDEX(Variables!$B$7:$D$7,IFERROR(MATCH(IF($B196="Robusta","Robusta",(IF($B196="","Arabica",$B196))&amp;" - "&amp;(IF($C196="","Commercial",$C196))),Variables!$B$1:$D$1,0),1))*AP196/365)+(L196/16.67*INDEX(Variables!$B$8:$D$8,IFERROR(MATCH(IF($B196="Robusta","Robusta",(IF($B196="","Arabica",$B196))&amp;" - "&amp;(IF($C196="","Commercial",$C196))),Variables!$B$1:$D$1,0),1))*AP196)+(T196*INDEX(Variables!$B$9:$D$9,IFERROR(MATCH(IF($B196="Robusta","Robusta",(IF($B196="","Arabica",$B196))&amp;" - "&amp;(IF($C196="","Commercial",$C196))),Variables!$B$1:$D$1,0),1))*AP196/365),""))</f>
        <v>1634.9369689447942</v>
      </c>
      <c r="AV196" s="11">
        <f t="shared" si="23"/>
        <v>4</v>
      </c>
      <c r="AW196" s="12">
        <f>IF($H196="Cancelled","",IFERROR(IF(AV196="","",(T196*INDEX(Variables!$B$7:$D$7,IFERROR(MATCH(IF($B196="Robusta","Robusta",(IF($B196="","Arabica",$B196))&amp;" - "&amp;(IF($C196="","Commercial",$C196))),Variables!$B$1:$D$1,0),1))*(AV196/365))+(T196*INDEX(Variables!$B$9:$D$9,IFERROR(MATCH(IF($B196="Robusta","Robusta",(IF($B196="","Arabica",$B196))&amp;" - "&amp;(IF($C196="","Commercial",$C196))),Variables!$B$1:$D$1,0),1))*(AV196/365))+(INDEX(Variables!$B$8:$D$8,IFERROR(MATCH(IF($B196="Robusta","Robusta",(IF($B196="","Arabica",$B196))&amp;" - "&amp;(IF($C196="","Commercial",$C196))),Variables!$B$1:$D$1,0),1))*L196/16.67)),""))</f>
        <v>52.04357995092068</v>
      </c>
      <c r="AX196" s="9"/>
      <c r="AY196" s="12"/>
      <c r="AZ196" s="10"/>
      <c r="BA196" s="9"/>
      <c r="BB196" s="10"/>
      <c r="BC196" s="9"/>
      <c r="BD196" s="9"/>
      <c r="BE196" s="9"/>
      <c r="BF196" s="9"/>
    </row>
    <row r="197" spans="1:58" x14ac:dyDescent="0.25">
      <c r="A197" s="9" t="s">
        <v>84</v>
      </c>
      <c r="B197" s="9" t="s">
        <v>85</v>
      </c>
      <c r="C197" s="9" t="s">
        <v>86</v>
      </c>
      <c r="D197" s="10">
        <v>45488</v>
      </c>
      <c r="E197" s="10">
        <v>45536</v>
      </c>
      <c r="F197" s="10">
        <v>45549</v>
      </c>
      <c r="G197" s="9">
        <v>3786455</v>
      </c>
      <c r="H197" s="9" t="str">
        <f t="shared" si="21"/>
        <v>Closed</v>
      </c>
      <c r="I197" s="9" t="str">
        <f t="shared" si="22"/>
        <v>All dates received</v>
      </c>
      <c r="J197" s="9" t="s">
        <v>102</v>
      </c>
      <c r="K197" s="9">
        <v>5066</v>
      </c>
      <c r="L197" s="11">
        <v>720</v>
      </c>
      <c r="M197" s="9" t="s">
        <v>595</v>
      </c>
      <c r="N197" s="9" t="s">
        <v>161</v>
      </c>
      <c r="O197" s="9"/>
      <c r="P197" s="9"/>
      <c r="Q197" s="11"/>
      <c r="R197" s="9" t="s">
        <v>90</v>
      </c>
      <c r="S197" s="9" t="s">
        <v>162</v>
      </c>
      <c r="T197" s="12">
        <f>IF($H197="Cancelled","",IFERROR(((Q197+INDEX(Variables!$B$6:$D$6,IFERROR(MATCH(IF($B197="Robusta","Robusta",(IF($B197="","Arabica",$B197))&amp;" - "&amp;(IF($C197="","Commercial",$C197))),Variables!$B$1:$D$1,0),1)))*22.0462)*(L197/16.67),""))</f>
        <v>276901.33000599878</v>
      </c>
      <c r="U197" s="10">
        <v>45492</v>
      </c>
      <c r="V197" s="9" t="str">
        <f t="shared" si="20"/>
        <v>Sent</v>
      </c>
      <c r="W197" s="10">
        <v>45503</v>
      </c>
      <c r="X197" s="9" t="str">
        <f t="shared" si="17"/>
        <v>Approved</v>
      </c>
      <c r="Y197" s="10"/>
      <c r="Z197" s="10">
        <f>IF($H197="Cancelled","",IFERROR(IF(F197="","",F197-Variables!$B$13),""))</f>
        <v>45534</v>
      </c>
      <c r="AA197" s="11">
        <f>IF($H197="Cancelled","",IFERROR(IF(W197="","",(AVERAGE(E197:F197)-W197)-Variables!$B$14),""))</f>
        <v>9.5</v>
      </c>
      <c r="AB197" s="10">
        <v>45610</v>
      </c>
      <c r="AC197" s="11">
        <f>IF($H197="Cancelled","",IFERROR(IF(AB197="","",IF(AND(W197="",Y197=""),"",IF(Y197&gt;W197,Y197+Variables!$B$15+Variables!$B$16+Variables!$B$17-AB197,W197+Variables!$B$16+Variables!$B$17-AB197))),""))</f>
        <v>-99</v>
      </c>
      <c r="AD197" s="9" t="s">
        <v>163</v>
      </c>
      <c r="AE197" s="9" t="s">
        <v>584</v>
      </c>
      <c r="AF197" s="10"/>
      <c r="AG197" s="10"/>
      <c r="AH197" s="9"/>
      <c r="AI197" s="9">
        <v>243132337</v>
      </c>
      <c r="AJ197" s="9" t="s">
        <v>8</v>
      </c>
      <c r="AK197" s="10">
        <v>45524</v>
      </c>
      <c r="AL197" s="10">
        <v>45526</v>
      </c>
      <c r="AM197" s="10">
        <v>45526</v>
      </c>
      <c r="AN197" s="9" t="s">
        <v>95</v>
      </c>
      <c r="AO197" s="9"/>
      <c r="AP197" s="11">
        <f>IF($H197="Cancelled","",IFERROR(IF(OR(AK197="",AB197=""),"",(AB197+Variables!$B$18-AK197)),""))</f>
        <v>93</v>
      </c>
      <c r="AQ197" s="11">
        <f>IF($H197="Cancelled","",IFERROR(IF(OR(AM197="",AK197=""),"",(AK197+Variables!$B$19)-AM197),""))</f>
        <v>3</v>
      </c>
      <c r="AR197" s="12">
        <f>IF($H197="Cancelled","",IFERROR(T197*INDEX(Variables!$B$7:$D$7,IFERROR(MATCH(IF($B197="Robusta","Robusta",(IF($B197="","Arabica",$B197))&amp;" - "&amp;(IF($C197="","Commercial",$C197))),Variables!$B$1:$D$1,0),1))*(AQ197/365),""))</f>
        <v>146.75512554832449</v>
      </c>
      <c r="AS197" s="12">
        <f>IF($H197="Cancelled","",IFERROR((T197*INDEX(Variables!$B$7:$D$7,IFERROR(MATCH(IF($B197="Robusta","Robusta",(IF($B197="","Arabica",$B197))&amp;" - "&amp;(IF($C197="","Commercial",$C197))),Variables!$B$1:$D$1,0),1))*IFERROR(IF(W197="","",(AVERAGE(E197:F197)-W197)-Variables!$B$14),"")/365)+(L197/16.67*INDEX(Variables!$B$8:$D$8,IFERROR(MATCH(IF($B197="Robusta","Robusta",(IF($B197="","Arabica",$B197))&amp;" - "&amp;(IF($C197="","Commercial",$C197))),Variables!$B$1:$D$1,0),1))*IFERROR(IF(W197="","",(AVERAGE(E197:F197)-W197)-Variables!$B$14),""))+(T197*INDEX(Variables!$B$9:$D$9,IFERROR(MATCH(IF($B197="Robusta","Robusta",(IF($B197="","Arabica",$B197))&amp;" - "&amp;(IF($C197="","Commercial",$C197))),Variables!$B$1:$D$1,0),1))*IFERROR(IF(W197="","",(AVERAGE(E197:F197)-W197)-Variables!$B$14),"")/365),""))</f>
        <v>812.71576072546475</v>
      </c>
      <c r="AT197" s="12">
        <f>IF($H197="Cancelled","",IFERROR((T197*INDEX(Variables!$B$7:$D$7,IFERROR(MATCH(IF($B197="Robusta","Robusta",(IF($B197="","Arabica",$B197))&amp;" - "&amp;(IF($C197="","Commercial",$C197))),Variables!$B$1:$D$1,0),1))*AC197/365)+(L197/16.67*INDEX(Variables!$B$8:$D$8,IFERROR(MATCH(IF($B197="Robusta","Robusta",(IF($B197="","Arabica",$B197))&amp;" - "&amp;(IF($C197="","Commercial",$C197))),Variables!$B$1:$D$1,0),1))*AC197)+(T197*INDEX(Variables!$B$9:$D$9,IFERROR(MATCH(IF($B197="Robusta","Robusta",(IF($B197="","Arabica",$B197))&amp;" - "&amp;(IF($C197="","Commercial",$C197))),Variables!$B$1:$D$1,0),1))*AC197/365),""))</f>
        <v>-8469.3537170337913</v>
      </c>
      <c r="AU197" s="12">
        <f>IF($H197="Cancelled","",IFERROR((T197*INDEX(Variables!$B$7:$D$7,IFERROR(MATCH(IF($B197="Robusta","Robusta",(IF($B197="","Arabica",$B197))&amp;" - "&amp;(IF($C197="","Commercial",$C197))),Variables!$B$1:$D$1,0),1))*AP197/365)+(L197/16.67*INDEX(Variables!$B$8:$D$8,IFERROR(MATCH(IF($B197="Robusta","Robusta",(IF($B197="","Arabica",$B197))&amp;" - "&amp;(IF($C197="","Commercial",$C197))),Variables!$B$1:$D$1,0),1))*AP197)+(T197*INDEX(Variables!$B$9:$D$9,IFERROR(MATCH(IF($B197="Robusta","Robusta",(IF($B197="","Arabica",$B197))&amp;" - "&amp;(IF($C197="","Commercial",$C197))),Variables!$B$1:$D$1,0),1))*AP197/365),""))</f>
        <v>7956.0595523650763</v>
      </c>
      <c r="AV197" s="11">
        <f t="shared" si="23"/>
        <v>25</v>
      </c>
      <c r="AW197" s="12">
        <f>IF($H197="Cancelled","",IFERROR(IF(AV197="","",(T197*INDEX(Variables!$B$7:$D$7,IFERROR(MATCH(IF($B197="Robusta","Robusta",(IF($B197="","Arabica",$B197))&amp;" - "&amp;(IF($C197="","Commercial",$C197))),Variables!$B$1:$D$1,0),1))*(AV197/365))+(T197*INDEX(Variables!$B$9:$D$9,IFERROR(MATCH(IF($B197="Robusta","Robusta",(IF($B197="","Arabica",$B197))&amp;" - "&amp;(IF($C197="","Commercial",$C197))),Variables!$B$1:$D$1,0),1))*(AV197/365))+(INDEX(Variables!$B$8:$D$8,IFERROR(MATCH(IF($B197="Robusta","Robusta",(IF($B197="","Arabica",$B197))&amp;" - "&amp;(IF($C197="","Commercial",$C197))),Variables!$B$1:$D$1,0),1))*L197/16.67)),""))</f>
        <v>1274.725686119644</v>
      </c>
      <c r="AX197" s="9"/>
      <c r="AY197" s="12"/>
      <c r="AZ197" s="10"/>
      <c r="BA197" s="9"/>
      <c r="BB197" s="10"/>
      <c r="BC197" s="9"/>
      <c r="BD197" s="9"/>
      <c r="BE197" s="9"/>
      <c r="BF197" s="9"/>
    </row>
    <row r="198" spans="1:58" x14ac:dyDescent="0.25">
      <c r="A198" s="9" t="s">
        <v>84</v>
      </c>
      <c r="B198" s="9" t="s">
        <v>85</v>
      </c>
      <c r="C198" s="9" t="s">
        <v>86</v>
      </c>
      <c r="D198" s="10">
        <v>45488</v>
      </c>
      <c r="E198" s="10">
        <v>45536</v>
      </c>
      <c r="F198" s="10">
        <v>45549</v>
      </c>
      <c r="G198" s="9">
        <v>3786456</v>
      </c>
      <c r="H198" s="9" t="str">
        <f t="shared" si="21"/>
        <v>Closed</v>
      </c>
      <c r="I198" s="9" t="str">
        <f t="shared" si="22"/>
        <v>All dates received</v>
      </c>
      <c r="J198" s="9" t="s">
        <v>102</v>
      </c>
      <c r="K198" s="9" t="s">
        <v>596</v>
      </c>
      <c r="L198" s="11">
        <v>720</v>
      </c>
      <c r="M198" s="9" t="s">
        <v>591</v>
      </c>
      <c r="N198" s="9" t="s">
        <v>161</v>
      </c>
      <c r="O198" s="9"/>
      <c r="P198" s="9"/>
      <c r="Q198" s="11"/>
      <c r="R198" s="9" t="s">
        <v>90</v>
      </c>
      <c r="S198" s="9" t="s">
        <v>178</v>
      </c>
      <c r="T198" s="12">
        <f>IF($H198="Cancelled","",IFERROR(((Q198+INDEX(Variables!$B$6:$D$6,IFERROR(MATCH(IF($B198="Robusta","Robusta",(IF($B198="","Arabica",$B198))&amp;" - "&amp;(IF($C198="","Commercial",$C198))),Variables!$B$1:$D$1,0),1)))*22.0462)*(L198/16.67),""))</f>
        <v>276901.33000599878</v>
      </c>
      <c r="U198" s="10">
        <v>45545</v>
      </c>
      <c r="V198" s="9" t="str">
        <f t="shared" si="20"/>
        <v>Sent</v>
      </c>
      <c r="W198" s="10">
        <v>45551</v>
      </c>
      <c r="X198" s="9" t="str">
        <f t="shared" si="17"/>
        <v>Approved</v>
      </c>
      <c r="Y198" s="10"/>
      <c r="Z198" s="10">
        <f>IF($H198="Cancelled","",IFERROR(IF(F198="","",F198-Variables!$B$13),""))</f>
        <v>45534</v>
      </c>
      <c r="AA198" s="11">
        <f>IF($H198="Cancelled","",IFERROR(IF(W198="","",(AVERAGE(E198:F198)-W198)-Variables!$B$14),""))</f>
        <v>-38.5</v>
      </c>
      <c r="AB198" s="10">
        <v>45610</v>
      </c>
      <c r="AC198" s="11">
        <f>IF($H198="Cancelled","",IFERROR(IF(AB198="","",IF(AND(W198="",Y198=""),"",IF(Y198&gt;W198,Y198+Variables!$B$15+Variables!$B$16+Variables!$B$17-AB198,W198+Variables!$B$16+Variables!$B$17-AB198))),""))</f>
        <v>-51</v>
      </c>
      <c r="AD198" s="9" t="s">
        <v>163</v>
      </c>
      <c r="AE198" s="9" t="s">
        <v>164</v>
      </c>
      <c r="AF198" s="10"/>
      <c r="AG198" s="10"/>
      <c r="AH198" s="9"/>
      <c r="AI198" s="9">
        <v>243743699</v>
      </c>
      <c r="AJ198" s="9" t="s">
        <v>8</v>
      </c>
      <c r="AK198" s="10">
        <v>45561</v>
      </c>
      <c r="AL198" s="10">
        <v>45568</v>
      </c>
      <c r="AM198" s="10">
        <v>45568</v>
      </c>
      <c r="AN198" s="9" t="s">
        <v>95</v>
      </c>
      <c r="AO198" s="9"/>
      <c r="AP198" s="11">
        <f>IF($H198="Cancelled","",IFERROR(IF(OR(AK198="",AB198=""),"",(AB198+Variables!$B$18-AK198)),""))</f>
        <v>56</v>
      </c>
      <c r="AQ198" s="11">
        <f>IF($H198="Cancelled","",IFERROR(IF(OR(AM198="",AK198=""),"",(AK198+Variables!$B$19)-AM198),""))</f>
        <v>-2</v>
      </c>
      <c r="AR198" s="12">
        <f>IF($H198="Cancelled","",IFERROR(T198*INDEX(Variables!$B$7:$D$7,IFERROR(MATCH(IF($B198="Robusta","Robusta",(IF($B198="","Arabica",$B198))&amp;" - "&amp;(IF($C198="","Commercial",$C198))),Variables!$B$1:$D$1,0),1))*(AQ198/365),""))</f>
        <v>-97.836750365549676</v>
      </c>
      <c r="AS198" s="12">
        <f>IF($H198="Cancelled","",IFERROR((T198*INDEX(Variables!$B$7:$D$7,IFERROR(MATCH(IF($B198="Robusta","Robusta",(IF($B198="","Arabica",$B198))&amp;" - "&amp;(IF($C198="","Commercial",$C198))),Variables!$B$1:$D$1,0),1))*IFERROR(IF(W198="","",(AVERAGE(E198:F198)-W198)-Variables!$B$14),"")/365)+(L198/16.67*INDEX(Variables!$B$8:$D$8,IFERROR(MATCH(IF($B198="Robusta","Robusta",(IF($B198="","Arabica",$B198))&amp;" - "&amp;(IF($C198="","Commercial",$C198))),Variables!$B$1:$D$1,0),1))*IFERROR(IF(W198="","",(AVERAGE(E198:F198)-W198)-Variables!$B$14),""))+(T198*INDEX(Variables!$B$9:$D$9,IFERROR(MATCH(IF($B198="Robusta","Robusta",(IF($B198="","Arabica",$B198))&amp;" - "&amp;(IF($C198="","Commercial",$C198))),Variables!$B$1:$D$1,0),1))*IFERROR(IF(W198="","",(AVERAGE(E198:F198)-W198)-Variables!$B$14),"")/365),""))</f>
        <v>-3293.6375566242518</v>
      </c>
      <c r="AT198" s="12">
        <f>IF($H198="Cancelled","",IFERROR((T198*INDEX(Variables!$B$7:$D$7,IFERROR(MATCH(IF($B198="Robusta","Robusta",(IF($B198="","Arabica",$B198))&amp;" - "&amp;(IF($C198="","Commercial",$C198))),Variables!$B$1:$D$1,0),1))*AC198/365)+(L198/16.67*INDEX(Variables!$B$8:$D$8,IFERROR(MATCH(IF($B198="Robusta","Robusta",(IF($B198="","Arabica",$B198))&amp;" - "&amp;(IF($C198="","Commercial",$C198))),Variables!$B$1:$D$1,0),1))*AC198)+(T198*INDEX(Variables!$B$9:$D$9,IFERROR(MATCH(IF($B198="Robusta","Robusta",(IF($B198="","Arabica",$B198))&amp;" - "&amp;(IF($C198="","Commercial",$C198))),Variables!$B$1:$D$1,0),1))*AC198/365),""))</f>
        <v>-4363.0003996840742</v>
      </c>
      <c r="AU198" s="12">
        <f>IF($H198="Cancelled","",IFERROR((T198*INDEX(Variables!$B$7:$D$7,IFERROR(MATCH(IF($B198="Robusta","Robusta",(IF($B198="","Arabica",$B198))&amp;" - "&amp;(IF($C198="","Commercial",$C198))),Variables!$B$1:$D$1,0),1))*AP198/365)+(L198/16.67*INDEX(Variables!$B$8:$D$8,IFERROR(MATCH(IF($B198="Robusta","Robusta",(IF($B198="","Arabica",$B198))&amp;" - "&amp;(IF($C198="","Commercial",$C198))),Variables!$B$1:$D$1,0),1))*AP198)+(T198*INDEX(Variables!$B$9:$D$9,IFERROR(MATCH(IF($B198="Robusta","Robusta",(IF($B198="","Arabica",$B198))&amp;" - "&amp;(IF($C198="","Commercial",$C198))),Variables!$B$1:$D$1,0),1))*AP198/365),""))</f>
        <v>4790.7455369080035</v>
      </c>
      <c r="AV198" s="11">
        <f t="shared" si="23"/>
        <v>-12</v>
      </c>
      <c r="AW198" s="12">
        <f>IF($H198="Cancelled","",IFERROR(IF(AV198="","",(T198*INDEX(Variables!$B$7:$D$7,IFERROR(MATCH(IF($B198="Robusta","Robusta",(IF($B198="","Arabica",$B198))&amp;" - "&amp;(IF($C198="","Commercial",$C198))),Variables!$B$1:$D$1,0),1))*(AV198/365))+(T198*INDEX(Variables!$B$9:$D$9,IFERROR(MATCH(IF($B198="Robusta","Robusta",(IF($B198="","Arabica",$B198))&amp;" - "&amp;(IF($C198="","Commercial",$C198))),Variables!$B$1:$D$1,0),1))*(AV198/365))+(INDEX(Variables!$B$8:$D$8,IFERROR(MATCH(IF($B198="Robusta","Robusta",(IF($B198="","Arabica",$B198))&amp;" - "&amp;(IF($C198="","Commercial",$C198))),Variables!$B$1:$D$1,0),1))*L198/16.67)),""))</f>
        <v>-558.58832933742906</v>
      </c>
      <c r="AX198" s="9"/>
      <c r="AY198" s="12"/>
      <c r="AZ198" s="10"/>
      <c r="BA198" s="9"/>
      <c r="BB198" s="10"/>
      <c r="BC198" s="9"/>
      <c r="BD198" s="9"/>
      <c r="BE198" s="9"/>
      <c r="BF198" s="9"/>
    </row>
    <row r="199" spans="1:58" x14ac:dyDescent="0.25">
      <c r="A199" s="9" t="s">
        <v>84</v>
      </c>
      <c r="B199" s="9" t="s">
        <v>85</v>
      </c>
      <c r="C199" s="9" t="s">
        <v>86</v>
      </c>
      <c r="D199" s="10">
        <v>45488</v>
      </c>
      <c r="E199" s="10">
        <v>45536</v>
      </c>
      <c r="F199" s="10">
        <v>45549</v>
      </c>
      <c r="G199" s="9">
        <v>3786456</v>
      </c>
      <c r="H199" s="9" t="str">
        <f t="shared" si="21"/>
        <v>Closed</v>
      </c>
      <c r="I199" s="9" t="str">
        <f t="shared" si="22"/>
        <v>All dates received</v>
      </c>
      <c r="J199" s="9" t="s">
        <v>102</v>
      </c>
      <c r="K199" s="9" t="s">
        <v>597</v>
      </c>
      <c r="L199" s="11">
        <v>720</v>
      </c>
      <c r="M199" s="9" t="s">
        <v>591</v>
      </c>
      <c r="N199" s="9" t="s">
        <v>161</v>
      </c>
      <c r="O199" s="9"/>
      <c r="P199" s="9"/>
      <c r="Q199" s="11"/>
      <c r="R199" s="9" t="s">
        <v>90</v>
      </c>
      <c r="S199" s="9" t="s">
        <v>172</v>
      </c>
      <c r="T199" s="12">
        <f>IF($H199="Cancelled","",IFERROR(((Q199+INDEX(Variables!$B$6:$D$6,IFERROR(MATCH(IF($B199="Robusta","Robusta",(IF($B199="","Arabica",$B199))&amp;" - "&amp;(IF($C199="","Commercial",$C199))),Variables!$B$1:$D$1,0),1)))*22.0462)*(L199/16.67),""))</f>
        <v>276901.33000599878</v>
      </c>
      <c r="U199" s="10">
        <v>45545</v>
      </c>
      <c r="V199" s="9" t="str">
        <f t="shared" si="20"/>
        <v>Sent</v>
      </c>
      <c r="W199" s="10">
        <v>45551</v>
      </c>
      <c r="X199" s="9" t="str">
        <f t="shared" si="17"/>
        <v>Approved</v>
      </c>
      <c r="Y199" s="10"/>
      <c r="Z199" s="10">
        <f>IF($H199="Cancelled","",IFERROR(IF(F199="","",F199-Variables!$B$13),""))</f>
        <v>45534</v>
      </c>
      <c r="AA199" s="11">
        <f>IF($H199="Cancelled","",IFERROR(IF(W199="","",(AVERAGE(E199:F199)-W199)-Variables!$B$14),""))</f>
        <v>-38.5</v>
      </c>
      <c r="AB199" s="10">
        <v>45611</v>
      </c>
      <c r="AC199" s="11">
        <f>IF($H199="Cancelled","",IFERROR(IF(AB199="","",IF(AND(W199="",Y199=""),"",IF(Y199&gt;W199,Y199+Variables!$B$15+Variables!$B$16+Variables!$B$17-AB199,W199+Variables!$B$16+Variables!$B$17-AB199))),""))</f>
        <v>-52</v>
      </c>
      <c r="AD199" s="9" t="s">
        <v>163</v>
      </c>
      <c r="AE199" s="9" t="s">
        <v>598</v>
      </c>
      <c r="AF199" s="10"/>
      <c r="AG199" s="10"/>
      <c r="AH199" s="9"/>
      <c r="AI199" s="9">
        <v>244625203</v>
      </c>
      <c r="AJ199" s="9" t="s">
        <v>8</v>
      </c>
      <c r="AK199" s="10">
        <v>45568</v>
      </c>
      <c r="AL199" s="10">
        <v>45568</v>
      </c>
      <c r="AM199" s="10">
        <v>45568</v>
      </c>
      <c r="AN199" s="9" t="s">
        <v>95</v>
      </c>
      <c r="AO199" s="9"/>
      <c r="AP199" s="11">
        <f>IF($H199="Cancelled","",IFERROR(IF(OR(AK199="",AB199=""),"",(AB199+Variables!$B$18-AK199)),""))</f>
        <v>50</v>
      </c>
      <c r="AQ199" s="11">
        <f>IF($H199="Cancelled","",IFERROR(IF(OR(AM199="",AK199=""),"",(AK199+Variables!$B$19)-AM199),""))</f>
        <v>5</v>
      </c>
      <c r="AR199" s="12">
        <f>IF($H199="Cancelled","",IFERROR(T199*INDEX(Variables!$B$7:$D$7,IFERROR(MATCH(IF($B199="Robusta","Robusta",(IF($B199="","Arabica",$B199))&amp;" - "&amp;(IF($C199="","Commercial",$C199))),Variables!$B$1:$D$1,0),1))*(AQ199/365),""))</f>
        <v>244.59187591387416</v>
      </c>
      <c r="AS199" s="12">
        <f>IF($H199="Cancelled","",IFERROR((T199*INDEX(Variables!$B$7:$D$7,IFERROR(MATCH(IF($B199="Robusta","Robusta",(IF($B199="","Arabica",$B199))&amp;" - "&amp;(IF($C199="","Commercial",$C199))),Variables!$B$1:$D$1,0),1))*IFERROR(IF(W199="","",(AVERAGE(E199:F199)-W199)-Variables!$B$14),"")/365)+(L199/16.67*INDEX(Variables!$B$8:$D$8,IFERROR(MATCH(IF($B199="Robusta","Robusta",(IF($B199="","Arabica",$B199))&amp;" - "&amp;(IF($C199="","Commercial",$C199))),Variables!$B$1:$D$1,0),1))*IFERROR(IF(W199="","",(AVERAGE(E199:F199)-W199)-Variables!$B$14),""))+(T199*INDEX(Variables!$B$9:$D$9,IFERROR(MATCH(IF($B199="Robusta","Robusta",(IF($B199="","Arabica",$B199))&amp;" - "&amp;(IF($C199="","Commercial",$C199))),Variables!$B$1:$D$1,0),1))*IFERROR(IF(W199="","",(AVERAGE(E199:F199)-W199)-Variables!$B$14),"")/365),""))</f>
        <v>-3293.6375566242518</v>
      </c>
      <c r="AT199" s="12">
        <f>IF($H199="Cancelled","",IFERROR((T199*INDEX(Variables!$B$7:$D$7,IFERROR(MATCH(IF($B199="Robusta","Robusta",(IF($B199="","Arabica",$B199))&amp;" - "&amp;(IF($C199="","Commercial",$C199))),Variables!$B$1:$D$1,0),1))*AC199/365)+(L199/16.67*INDEX(Variables!$B$8:$D$8,IFERROR(MATCH(IF($B199="Robusta","Robusta",(IF($B199="","Arabica",$B199))&amp;" - "&amp;(IF($C199="","Commercial",$C199))),Variables!$B$1:$D$1,0),1))*AC199)+(T199*INDEX(Variables!$B$9:$D$9,IFERROR(MATCH(IF($B199="Robusta","Robusta",(IF($B199="","Arabica",$B199))&amp;" - "&amp;(IF($C199="","Commercial",$C199))),Variables!$B$1:$D$1,0),1))*AC199/365),""))</f>
        <v>-4448.5494271288599</v>
      </c>
      <c r="AU199" s="12">
        <f>IF($H199="Cancelled","",IFERROR((T199*INDEX(Variables!$B$7:$D$7,IFERROR(MATCH(IF($B199="Robusta","Robusta",(IF($B199="","Arabica",$B199))&amp;" - "&amp;(IF($C199="","Commercial",$C199))),Variables!$B$1:$D$1,0),1))*AP199/365)+(L199/16.67*INDEX(Variables!$B$8:$D$8,IFERROR(MATCH(IF($B199="Robusta","Robusta",(IF($B199="","Arabica",$B199))&amp;" - "&amp;(IF($C199="","Commercial",$C199))),Variables!$B$1:$D$1,0),1))*AP199)+(T199*INDEX(Variables!$B$9:$D$9,IFERROR(MATCH(IF($B199="Robusta","Robusta",(IF($B199="","Arabica",$B199))&amp;" - "&amp;(IF($C199="","Commercial",$C199))),Variables!$B$1:$D$1,0),1))*AP199/365),""))</f>
        <v>4277.4513722392876</v>
      </c>
      <c r="AV199" s="11">
        <f t="shared" si="23"/>
        <v>-19</v>
      </c>
      <c r="AW199" s="12">
        <f>IF($H199="Cancelled","",IFERROR(IF(AV199="","",(T199*INDEX(Variables!$B$7:$D$7,IFERROR(MATCH(IF($B199="Robusta","Robusta",(IF($B199="","Arabica",$B199))&amp;" - "&amp;(IF($C199="","Commercial",$C199))),Variables!$B$1:$D$1,0),1))*(AV199/365))+(T199*INDEX(Variables!$B$9:$D$9,IFERROR(MATCH(IF($B199="Robusta","Robusta",(IF($B199="","Arabica",$B199))&amp;" - "&amp;(IF($C199="","Commercial",$C199))),Variables!$B$1:$D$1,0),1))*(AV199/365))+(INDEX(Variables!$B$8:$D$8,IFERROR(MATCH(IF($B199="Robusta","Robusta",(IF($B199="","Arabica",$B199))&amp;" - "&amp;(IF($C199="","Commercial",$C199))),Variables!$B$1:$D$1,0),1))*L199/16.67)),""))</f>
        <v>-905.43152145092938</v>
      </c>
      <c r="AX199" s="9"/>
      <c r="AY199" s="12"/>
      <c r="AZ199" s="10"/>
      <c r="BA199" s="9"/>
      <c r="BB199" s="10"/>
      <c r="BC199" s="9"/>
      <c r="BD199" s="9"/>
      <c r="BE199" s="9"/>
      <c r="BF199" s="9"/>
    </row>
    <row r="200" spans="1:58" x14ac:dyDescent="0.25">
      <c r="A200" s="9" t="s">
        <v>84</v>
      </c>
      <c r="B200" s="9" t="s">
        <v>85</v>
      </c>
      <c r="C200" s="9" t="s">
        <v>86</v>
      </c>
      <c r="D200" s="10">
        <v>45488</v>
      </c>
      <c r="E200" s="10">
        <v>45536</v>
      </c>
      <c r="F200" s="10">
        <v>45565</v>
      </c>
      <c r="G200" s="9">
        <v>3786457</v>
      </c>
      <c r="H200" s="9" t="str">
        <f t="shared" si="21"/>
        <v>Closed</v>
      </c>
      <c r="I200" s="9" t="str">
        <f t="shared" si="22"/>
        <v>All dates received</v>
      </c>
      <c r="J200" s="9" t="s">
        <v>102</v>
      </c>
      <c r="K200" s="9" t="s">
        <v>599</v>
      </c>
      <c r="L200" s="11">
        <v>360</v>
      </c>
      <c r="M200" s="9" t="s">
        <v>591</v>
      </c>
      <c r="N200" s="9" t="s">
        <v>161</v>
      </c>
      <c r="O200" s="9"/>
      <c r="P200" s="9"/>
      <c r="Q200" s="11"/>
      <c r="R200" s="9" t="s">
        <v>90</v>
      </c>
      <c r="S200" s="9" t="s">
        <v>172</v>
      </c>
      <c r="T200" s="12">
        <f>IF($H200="Cancelled","",IFERROR(((Q200+INDEX(Variables!$B$6:$D$6,IFERROR(MATCH(IF($B200="Robusta","Robusta",(IF($B200="","Arabica",$B200))&amp;" - "&amp;(IF($C200="","Commercial",$C200))),Variables!$B$1:$D$1,0),1)))*22.0462)*(L200/16.67),""))</f>
        <v>138450.66500299939</v>
      </c>
      <c r="U200" s="10">
        <v>45545</v>
      </c>
      <c r="V200" s="9" t="str">
        <f t="shared" si="20"/>
        <v>Sent</v>
      </c>
      <c r="W200" s="10">
        <v>45551</v>
      </c>
      <c r="X200" s="9" t="str">
        <f t="shared" si="17"/>
        <v>Approved</v>
      </c>
      <c r="Y200" s="10"/>
      <c r="Z200" s="10">
        <f>IF($H200="Cancelled","",IFERROR(IF(F200="","",F200-Variables!$B$13),""))</f>
        <v>45550</v>
      </c>
      <c r="AA200" s="11">
        <f>IF($H200="Cancelled","",IFERROR(IF(W200="","",(AVERAGE(E200:F200)-W200)-Variables!$B$14),""))</f>
        <v>-30.5</v>
      </c>
      <c r="AB200" s="10">
        <v>45614</v>
      </c>
      <c r="AC200" s="11">
        <f>IF($H200="Cancelled","",IFERROR(IF(AB200="","",IF(AND(W200="",Y200=""),"",IF(Y200&gt;W200,Y200+Variables!$B$15+Variables!$B$16+Variables!$B$17-AB200,W200+Variables!$B$16+Variables!$B$17-AB200))),""))</f>
        <v>-55</v>
      </c>
      <c r="AD200" s="9" t="s">
        <v>163</v>
      </c>
      <c r="AE200" s="9" t="s">
        <v>164</v>
      </c>
      <c r="AF200" s="10"/>
      <c r="AG200" s="10"/>
      <c r="AH200" s="9"/>
      <c r="AI200" s="9">
        <v>243743741</v>
      </c>
      <c r="AJ200" s="9" t="s">
        <v>8</v>
      </c>
      <c r="AK200" s="10">
        <v>45561</v>
      </c>
      <c r="AL200" s="10">
        <v>45568</v>
      </c>
      <c r="AM200" s="10">
        <v>45568</v>
      </c>
      <c r="AN200" s="9" t="s">
        <v>95</v>
      </c>
      <c r="AO200" s="9"/>
      <c r="AP200" s="11">
        <f>IF($H200="Cancelled","",IFERROR(IF(OR(AK200="",AB200=""),"",(AB200+Variables!$B$18-AK200)),""))</f>
        <v>60</v>
      </c>
      <c r="AQ200" s="11">
        <f>IF($H200="Cancelled","",IFERROR(IF(OR(AM200="",AK200=""),"",(AK200+Variables!$B$19)-AM200),""))</f>
        <v>-2</v>
      </c>
      <c r="AR200" s="12">
        <f>IF($H200="Cancelled","",IFERROR(T200*INDEX(Variables!$B$7:$D$7,IFERROR(MATCH(IF($B200="Robusta","Robusta",(IF($B200="","Arabica",$B200))&amp;" - "&amp;(IF($C200="","Commercial",$C200))),Variables!$B$1:$D$1,0),1))*(AQ200/365),""))</f>
        <v>-48.918375182774838</v>
      </c>
      <c r="AS200" s="12">
        <f>IF($H200="Cancelled","",IFERROR((T200*INDEX(Variables!$B$7:$D$7,IFERROR(MATCH(IF($B200="Robusta","Robusta",(IF($B200="","Arabica",$B200))&amp;" - "&amp;(IF($C200="","Commercial",$C200))),Variables!$B$1:$D$1,0),1))*IFERROR(IF(W200="","",(AVERAGE(E200:F200)-W200)-Variables!$B$14),"")/365)+(L200/16.67*INDEX(Variables!$B$8:$D$8,IFERROR(MATCH(IF($B200="Robusta","Robusta",(IF($B200="","Arabica",$B200))&amp;" - "&amp;(IF($C200="","Commercial",$C200))),Variables!$B$1:$D$1,0),1))*IFERROR(IF(W200="","",(AVERAGE(E200:F200)-W200)-Variables!$B$14),""))+(T200*INDEX(Variables!$B$9:$D$9,IFERROR(MATCH(IF($B200="Robusta","Robusta",(IF($B200="","Arabica",$B200))&amp;" - "&amp;(IF($C200="","Commercial",$C200))),Variables!$B$1:$D$1,0),1))*IFERROR(IF(W200="","",(AVERAGE(E200:F200)-W200)-Variables!$B$14),"")/365),""))</f>
        <v>-1304.622668532983</v>
      </c>
      <c r="AT200" s="12">
        <f>IF($H200="Cancelled","",IFERROR((T200*INDEX(Variables!$B$7:$D$7,IFERROR(MATCH(IF($B200="Robusta","Robusta",(IF($B200="","Arabica",$B200))&amp;" - "&amp;(IF($C200="","Commercial",$C200))),Variables!$B$1:$D$1,0),1))*AC200/365)+(L200/16.67*INDEX(Variables!$B$8:$D$8,IFERROR(MATCH(IF($B200="Robusta","Robusta",(IF($B200="","Arabica",$B200))&amp;" - "&amp;(IF($C200="","Commercial",$C200))),Variables!$B$1:$D$1,0),1))*AC200)+(T200*INDEX(Variables!$B$9:$D$9,IFERROR(MATCH(IF($B200="Robusta","Robusta",(IF($B200="","Arabica",$B200))&amp;" - "&amp;(IF($C200="","Commercial",$C200))),Variables!$B$1:$D$1,0),1))*AC200/365),""))</f>
        <v>-2352.5982547316089</v>
      </c>
      <c r="AU200" s="12">
        <f>IF($H200="Cancelled","",IFERROR((T200*INDEX(Variables!$B$7:$D$7,IFERROR(MATCH(IF($B200="Robusta","Robusta",(IF($B200="","Arabica",$B200))&amp;" - "&amp;(IF($C200="","Commercial",$C200))),Variables!$B$1:$D$1,0),1))*AP200/365)+(L200/16.67*INDEX(Variables!$B$8:$D$8,IFERROR(MATCH(IF($B200="Robusta","Robusta",(IF($B200="","Arabica",$B200))&amp;" - "&amp;(IF($C200="","Commercial",$C200))),Variables!$B$1:$D$1,0),1))*AP200)+(T200*INDEX(Variables!$B$9:$D$9,IFERROR(MATCH(IF($B200="Robusta","Robusta",(IF($B200="","Arabica",$B200))&amp;" - "&amp;(IF($C200="","Commercial",$C200))),Variables!$B$1:$D$1,0),1))*AP200/365),""))</f>
        <v>2566.4708233435731</v>
      </c>
      <c r="AV200" s="11">
        <f t="shared" si="23"/>
        <v>4</v>
      </c>
      <c r="AW200" s="12">
        <f>IF($H200="Cancelled","",IFERROR(IF(AV200="","",(T200*INDEX(Variables!$B$7:$D$7,IFERROR(MATCH(IF($B200="Robusta","Robusta",(IF($B200="","Arabica",$B200))&amp;" - "&amp;(IF($C200="","Commercial",$C200))),Variables!$B$1:$D$1,0),1))*(AV200/365))+(T200*INDEX(Variables!$B$9:$D$9,IFERROR(MATCH(IF($B200="Robusta","Robusta",(IF($B200="","Arabica",$B200))&amp;" - "&amp;(IF($C200="","Commercial",$C200))),Variables!$B$1:$D$1,0),1))*(AV200/365))+(INDEX(Variables!$B$8:$D$8,IFERROR(MATCH(IF($B200="Robusta","Robusta",(IF($B200="","Arabica",$B200))&amp;" - "&amp;(IF($C200="","Commercial",$C200))),Variables!$B$1:$D$1,0),1))*L200/16.67)),""))</f>
        <v>117.09805488957153</v>
      </c>
      <c r="AX200" s="9"/>
      <c r="AY200" s="12"/>
      <c r="AZ200" s="10"/>
      <c r="BA200" s="9"/>
      <c r="BB200" s="10"/>
      <c r="BC200" s="9"/>
      <c r="BD200" s="9"/>
      <c r="BE200" s="9"/>
      <c r="BF200" s="9"/>
    </row>
    <row r="201" spans="1:58" x14ac:dyDescent="0.25">
      <c r="A201" s="9" t="s">
        <v>84</v>
      </c>
      <c r="B201" s="9" t="s">
        <v>85</v>
      </c>
      <c r="C201" s="9" t="s">
        <v>86</v>
      </c>
      <c r="D201" s="10">
        <v>45497</v>
      </c>
      <c r="E201" s="10">
        <v>45505</v>
      </c>
      <c r="F201" s="10">
        <v>45535</v>
      </c>
      <c r="G201" s="9">
        <v>3786462</v>
      </c>
      <c r="H201" s="9" t="str">
        <f t="shared" si="21"/>
        <v>Closed</v>
      </c>
      <c r="I201" s="9" t="str">
        <f t="shared" si="22"/>
        <v>All dates received</v>
      </c>
      <c r="J201" s="9" t="s">
        <v>112</v>
      </c>
      <c r="K201" s="9"/>
      <c r="L201" s="11">
        <v>320</v>
      </c>
      <c r="M201" s="9" t="s">
        <v>600</v>
      </c>
      <c r="N201" s="9" t="s">
        <v>237</v>
      </c>
      <c r="O201" s="9"/>
      <c r="P201" s="9"/>
      <c r="Q201" s="11"/>
      <c r="R201" s="9" t="s">
        <v>90</v>
      </c>
      <c r="S201" s="9" t="s">
        <v>117</v>
      </c>
      <c r="T201" s="12">
        <f>IF($H201="Cancelled","",IFERROR(((Q201+INDEX(Variables!$B$6:$D$6,IFERROR(MATCH(IF($B201="Robusta","Robusta",(IF($B201="","Arabica",$B201))&amp;" - "&amp;(IF($C201="","Commercial",$C201))),Variables!$B$1:$D$1,0),1)))*22.0462)*(L201/16.67),""))</f>
        <v>123067.25778044391</v>
      </c>
      <c r="U201" s="10">
        <v>45539</v>
      </c>
      <c r="V201" s="9" t="str">
        <f t="shared" si="20"/>
        <v>Sent</v>
      </c>
      <c r="W201" s="10">
        <v>45545</v>
      </c>
      <c r="X201" s="9" t="str">
        <f t="shared" si="17"/>
        <v>Approved</v>
      </c>
      <c r="Y201" s="10"/>
      <c r="Z201" s="10">
        <f>IF($H201="Cancelled","",IFERROR(IF(F201="","",F201-Variables!$B$13),""))</f>
        <v>45520</v>
      </c>
      <c r="AA201" s="11">
        <f>IF($H201="Cancelled","",IFERROR(IF(W201="","",(AVERAGE(E201:F201)-W201)-Variables!$B$14),""))</f>
        <v>-55</v>
      </c>
      <c r="AB201" s="10">
        <v>45614</v>
      </c>
      <c r="AC201" s="11">
        <f>IF($H201="Cancelled","",IFERROR(IF(AB201="","",IF(AND(W201="",Y201=""),"",IF(Y201&gt;W201,Y201+Variables!$B$15+Variables!$B$16+Variables!$B$17-AB201,W201+Variables!$B$16+Variables!$B$17-AB201))),""))</f>
        <v>-61</v>
      </c>
      <c r="AD201" s="9" t="s">
        <v>165</v>
      </c>
      <c r="AE201" s="9" t="s">
        <v>446</v>
      </c>
      <c r="AF201" s="10"/>
      <c r="AG201" s="10"/>
      <c r="AH201" s="9"/>
      <c r="AI201" s="9" t="s">
        <v>601</v>
      </c>
      <c r="AJ201" s="9" t="s">
        <v>602</v>
      </c>
      <c r="AK201" s="10">
        <v>45531</v>
      </c>
      <c r="AL201" s="10">
        <v>45534</v>
      </c>
      <c r="AM201" s="10">
        <v>45545</v>
      </c>
      <c r="AN201" s="9" t="s">
        <v>95</v>
      </c>
      <c r="AO201" s="9"/>
      <c r="AP201" s="11">
        <f>IF($H201="Cancelled","",IFERROR(IF(OR(AK201="",AB201=""),"",(AB201+Variables!$B$18-AK201)),""))</f>
        <v>90</v>
      </c>
      <c r="AQ201" s="11">
        <f>IF($H201="Cancelled","",IFERROR(IF(OR(AM201="",AK201=""),"",(AK201+Variables!$B$19)-AM201),""))</f>
        <v>-9</v>
      </c>
      <c r="AR201" s="12">
        <f>IF($H201="Cancelled","",IFERROR(T201*INDEX(Variables!$B$7:$D$7,IFERROR(MATCH(IF($B201="Robusta","Robusta",(IF($B201="","Arabica",$B201))&amp;" - "&amp;(IF($C201="","Commercial",$C201))),Variables!$B$1:$D$1,0),1))*(AQ201/365),""))</f>
        <v>-195.67350073109935</v>
      </c>
      <c r="AS201" s="12">
        <f>IF($H201="Cancelled","",IFERROR((T201*INDEX(Variables!$B$7:$D$7,IFERROR(MATCH(IF($B201="Robusta","Robusta",(IF($B201="","Arabica",$B201))&amp;" - "&amp;(IF($C201="","Commercial",$C201))),Variables!$B$1:$D$1,0),1))*IFERROR(IF(W201="","",(AVERAGE(E201:F201)-W201)-Variables!$B$14),"")/365)+(L201/16.67*INDEX(Variables!$B$8:$D$8,IFERROR(MATCH(IF($B201="Robusta","Robusta",(IF($B201="","Arabica",$B201))&amp;" - "&amp;(IF($C201="","Commercial",$C201))),Variables!$B$1:$D$1,0),1))*IFERROR(IF(W201="","",(AVERAGE(E201:F201)-W201)-Variables!$B$14),""))+(T201*INDEX(Variables!$B$9:$D$9,IFERROR(MATCH(IF($B201="Robusta","Robusta",(IF($B201="","Arabica",$B201))&amp;" - "&amp;(IF($C201="","Commercial",$C201))),Variables!$B$1:$D$1,0),1))*IFERROR(IF(W201="","",(AVERAGE(E201:F201)-W201)-Variables!$B$14),"")/365),""))</f>
        <v>-2091.1984486503184</v>
      </c>
      <c r="AT201" s="12">
        <f>IF($H201="Cancelled","",IFERROR((T201*INDEX(Variables!$B$7:$D$7,IFERROR(MATCH(IF($B201="Robusta","Robusta",(IF($B201="","Arabica",$B201))&amp;" - "&amp;(IF($C201="","Commercial",$C201))),Variables!$B$1:$D$1,0),1))*AC201/365)+(L201/16.67*INDEX(Variables!$B$8:$D$8,IFERROR(MATCH(IF($B201="Robusta","Robusta",(IF($B201="","Arabica",$B201))&amp;" - "&amp;(IF($C201="","Commercial",$C201))),Variables!$B$1:$D$1,0),1))*AC201)+(T201*INDEX(Variables!$B$9:$D$9,IFERROR(MATCH(IF($B201="Robusta","Robusta",(IF($B201="","Arabica",$B201))&amp;" - "&amp;(IF($C201="","Commercial",$C201))),Variables!$B$1:$D$1,0),1))*AC201/365),""))</f>
        <v>-2319.3291885030808</v>
      </c>
      <c r="AU201" s="12">
        <f>IF($H201="Cancelled","",IFERROR((T201*INDEX(Variables!$B$7:$D$7,IFERROR(MATCH(IF($B201="Robusta","Robusta",(IF($B201="","Arabica",$B201))&amp;" - "&amp;(IF($C201="","Commercial",$C201))),Variables!$B$1:$D$1,0),1))*AP201/365)+(L201/16.67*INDEX(Variables!$B$8:$D$8,IFERROR(MATCH(IF($B201="Robusta","Robusta",(IF($B201="","Arabica",$B201))&amp;" - "&amp;(IF($C201="","Commercial",$C201))),Variables!$B$1:$D$1,0),1))*AP201)+(T201*INDEX(Variables!$B$9:$D$9,IFERROR(MATCH(IF($B201="Robusta","Robusta",(IF($B201="","Arabica",$B201))&amp;" - "&amp;(IF($C201="","Commercial",$C201))),Variables!$B$1:$D$1,0),1))*AP201/365),""))</f>
        <v>3421.9610977914308</v>
      </c>
      <c r="AV201" s="11">
        <f t="shared" si="23"/>
        <v>4</v>
      </c>
      <c r="AW201" s="12">
        <f>IF($H201="Cancelled","",IFERROR(IF(AV201="","",(T201*INDEX(Variables!$B$7:$D$7,IFERROR(MATCH(IF($B201="Robusta","Robusta",(IF($B201="","Arabica",$B201))&amp;" - "&amp;(IF($C201="","Commercial",$C201))),Variables!$B$1:$D$1,0),1))*(AV201/365))+(T201*INDEX(Variables!$B$9:$D$9,IFERROR(MATCH(IF($B201="Robusta","Robusta",(IF($B201="","Arabica",$B201))&amp;" - "&amp;(IF($C201="","Commercial",$C201))),Variables!$B$1:$D$1,0),1))*(AV201/365))+(INDEX(Variables!$B$8:$D$8,IFERROR(MATCH(IF($B201="Robusta","Robusta",(IF($B201="","Arabica",$B201))&amp;" - "&amp;(IF($C201="","Commercial",$C201))),Variables!$B$1:$D$1,0),1))*L201/16.67)),""))</f>
        <v>104.08715990184136</v>
      </c>
      <c r="AX201" s="9"/>
      <c r="AY201" s="12"/>
      <c r="AZ201" s="10"/>
      <c r="BA201" s="9"/>
      <c r="BB201" s="10"/>
      <c r="BC201" s="9"/>
      <c r="BD201" s="9"/>
      <c r="BE201" s="9"/>
      <c r="BF201" s="9"/>
    </row>
    <row r="202" spans="1:58" x14ac:dyDescent="0.25">
      <c r="A202" s="9" t="s">
        <v>84</v>
      </c>
      <c r="B202" s="9" t="s">
        <v>85</v>
      </c>
      <c r="C202" s="9" t="s">
        <v>86</v>
      </c>
      <c r="D202" s="10">
        <v>45498</v>
      </c>
      <c r="E202" s="10">
        <v>45505</v>
      </c>
      <c r="F202" s="10">
        <v>45535</v>
      </c>
      <c r="G202" s="9">
        <v>3786463</v>
      </c>
      <c r="H202" s="9" t="str">
        <f t="shared" si="21"/>
        <v>Closed</v>
      </c>
      <c r="I202" s="9" t="str">
        <f t="shared" si="22"/>
        <v>All dates received</v>
      </c>
      <c r="J202" s="9" t="s">
        <v>112</v>
      </c>
      <c r="K202" s="9"/>
      <c r="L202" s="11">
        <v>320</v>
      </c>
      <c r="M202" s="9" t="s">
        <v>600</v>
      </c>
      <c r="N202" s="9" t="s">
        <v>603</v>
      </c>
      <c r="O202" s="9"/>
      <c r="P202" s="9"/>
      <c r="Q202" s="11"/>
      <c r="R202" s="9" t="s">
        <v>90</v>
      </c>
      <c r="S202" s="9" t="s">
        <v>117</v>
      </c>
      <c r="T202" s="12">
        <f>IF($H202="Cancelled","",IFERROR(((Q202+INDEX(Variables!$B$6:$D$6,IFERROR(MATCH(IF($B202="Robusta","Robusta",(IF($B202="","Arabica",$B202))&amp;" - "&amp;(IF($C202="","Commercial",$C202))),Variables!$B$1:$D$1,0),1)))*22.0462)*(L202/16.67),""))</f>
        <v>123067.25778044391</v>
      </c>
      <c r="U202" s="10">
        <v>45545</v>
      </c>
      <c r="V202" s="9" t="str">
        <f t="shared" si="20"/>
        <v>Sent</v>
      </c>
      <c r="W202" s="10">
        <v>45551</v>
      </c>
      <c r="X202" s="9" t="str">
        <f t="shared" si="17"/>
        <v>Approved</v>
      </c>
      <c r="Y202" s="10"/>
      <c r="Z202" s="10">
        <f>IF($H202="Cancelled","",IFERROR(IF(F202="","",F202-Variables!$B$13),""))</f>
        <v>45520</v>
      </c>
      <c r="AA202" s="11">
        <f>IF($H202="Cancelled","",IFERROR(IF(W202="","",(AVERAGE(E202:F202)-W202)-Variables!$B$14),""))</f>
        <v>-61</v>
      </c>
      <c r="AB202" s="10">
        <v>45615</v>
      </c>
      <c r="AC202" s="11">
        <f>IF($H202="Cancelled","",IFERROR(IF(AB202="","",IF(AND(W202="",Y202=""),"",IF(Y202&gt;W202,Y202+Variables!$B$15+Variables!$B$16+Variables!$B$17-AB202,W202+Variables!$B$16+Variables!$B$17-AB202))),""))</f>
        <v>-56</v>
      </c>
      <c r="AD202" s="9" t="s">
        <v>165</v>
      </c>
      <c r="AE202" s="9" t="s">
        <v>604</v>
      </c>
      <c r="AF202" s="10"/>
      <c r="AG202" s="10"/>
      <c r="AH202" s="9"/>
      <c r="AI202" s="9" t="s">
        <v>605</v>
      </c>
      <c r="AJ202" s="9" t="s">
        <v>606</v>
      </c>
      <c r="AK202" s="10">
        <v>45546</v>
      </c>
      <c r="AL202" s="10">
        <v>45548</v>
      </c>
      <c r="AM202" s="10">
        <v>45574</v>
      </c>
      <c r="AN202" s="9" t="s">
        <v>95</v>
      </c>
      <c r="AO202" s="9"/>
      <c r="AP202" s="11">
        <f>IF($H202="Cancelled","",IFERROR(IF(OR(AK202="",AB202=""),"",(AB202+Variables!$B$18-AK202)),""))</f>
        <v>76</v>
      </c>
      <c r="AQ202" s="11">
        <f>IF($H202="Cancelled","",IFERROR(IF(OR(AM202="",AK202=""),"",(AK202+Variables!$B$19)-AM202),""))</f>
        <v>-23</v>
      </c>
      <c r="AR202" s="12">
        <f>IF($H202="Cancelled","",IFERROR(T202*INDEX(Variables!$B$7:$D$7,IFERROR(MATCH(IF($B202="Robusta","Robusta",(IF($B202="","Arabica",$B202))&amp;" - "&amp;(IF($C202="","Commercial",$C202))),Variables!$B$1:$D$1,0),1))*(AQ202/365),""))</f>
        <v>-500.05450186836504</v>
      </c>
      <c r="AS202" s="12">
        <f>IF($H202="Cancelled","",IFERROR((T202*INDEX(Variables!$B$7:$D$7,IFERROR(MATCH(IF($B202="Robusta","Robusta",(IF($B202="","Arabica",$B202))&amp;" - "&amp;(IF($C202="","Commercial",$C202))),Variables!$B$1:$D$1,0),1))*IFERROR(IF(W202="","",(AVERAGE(E202:F202)-W202)-Variables!$B$14),"")/365)+(L202/16.67*INDEX(Variables!$B$8:$D$8,IFERROR(MATCH(IF($B202="Robusta","Robusta",(IF($B202="","Arabica",$B202))&amp;" - "&amp;(IF($C202="","Commercial",$C202))),Variables!$B$1:$D$1,0),1))*IFERROR(IF(W202="","",(AVERAGE(E202:F202)-W202)-Variables!$B$14),""))+(T202*INDEX(Variables!$B$9:$D$9,IFERROR(MATCH(IF($B202="Robusta","Robusta",(IF($B202="","Arabica",$B202))&amp;" - "&amp;(IF($C202="","Commercial",$C202))),Variables!$B$1:$D$1,0),1))*IFERROR(IF(W202="","",(AVERAGE(E202:F202)-W202)-Variables!$B$14),"")/365),""))</f>
        <v>-2319.3291885030808</v>
      </c>
      <c r="AT202" s="12">
        <f>IF($H202="Cancelled","",IFERROR((T202*INDEX(Variables!$B$7:$D$7,IFERROR(MATCH(IF($B202="Robusta","Robusta",(IF($B202="","Arabica",$B202))&amp;" - "&amp;(IF($C202="","Commercial",$C202))),Variables!$B$1:$D$1,0),1))*AC202/365)+(L202/16.67*INDEX(Variables!$B$8:$D$8,IFERROR(MATCH(IF($B202="Robusta","Robusta",(IF($B202="","Arabica",$B202))&amp;" - "&amp;(IF($C202="","Commercial",$C202))),Variables!$B$1:$D$1,0),1))*AC202)+(T202*INDEX(Variables!$B$9:$D$9,IFERROR(MATCH(IF($B202="Robusta","Robusta",(IF($B202="","Arabica",$B202))&amp;" - "&amp;(IF($C202="","Commercial",$C202))),Variables!$B$1:$D$1,0),1))*AC202/365),""))</f>
        <v>-2129.2202386257791</v>
      </c>
      <c r="AU202" s="12">
        <f>IF($H202="Cancelled","",IFERROR((T202*INDEX(Variables!$B$7:$D$7,IFERROR(MATCH(IF($B202="Robusta","Robusta",(IF($B202="","Arabica",$B202))&amp;" - "&amp;(IF($C202="","Commercial",$C202))),Variables!$B$1:$D$1,0),1))*AP202/365)+(L202/16.67*INDEX(Variables!$B$8:$D$8,IFERROR(MATCH(IF($B202="Robusta","Robusta",(IF($B202="","Arabica",$B202))&amp;" - "&amp;(IF($C202="","Commercial",$C202))),Variables!$B$1:$D$1,0),1))*AP202)+(T202*INDEX(Variables!$B$9:$D$9,IFERROR(MATCH(IF($B202="Robusta","Robusta",(IF($B202="","Arabica",$B202))&amp;" - "&amp;(IF($C202="","Commercial",$C202))),Variables!$B$1:$D$1,0),1))*AP202/365),""))</f>
        <v>2889.6560381349859</v>
      </c>
      <c r="AV202" s="11">
        <f t="shared" si="23"/>
        <v>-11</v>
      </c>
      <c r="AW202" s="12">
        <f>IF($H202="Cancelled","",IFERROR(IF(AV202="","",(T202*INDEX(Variables!$B$7:$D$7,IFERROR(MATCH(IF($B202="Robusta","Robusta",(IF($B202="","Arabica",$B202))&amp;" - "&amp;(IF($C202="","Commercial",$C202))),Variables!$B$1:$D$1,0),1))*(AV202/365))+(T202*INDEX(Variables!$B$9:$D$9,IFERROR(MATCH(IF($B202="Robusta","Robusta",(IF($B202="","Arabica",$B202))&amp;" - "&amp;(IF($C202="","Commercial",$C202))),Variables!$B$1:$D$1,0),1))*(AV202/365))+(INDEX(Variables!$B$8:$D$8,IFERROR(MATCH(IF($B202="Robusta","Robusta",(IF($B202="","Arabica",$B202))&amp;" - "&amp;(IF($C202="","Commercial",$C202))),Variables!$B$1:$D$1,0),1))*L202/16.67)),""))</f>
        <v>-226.23968973006373</v>
      </c>
      <c r="AX202" s="9"/>
      <c r="AY202" s="12"/>
      <c r="AZ202" s="10"/>
      <c r="BA202" s="9"/>
      <c r="BB202" s="10"/>
      <c r="BC202" s="9"/>
      <c r="BD202" s="9"/>
      <c r="BE202" s="9"/>
      <c r="BF202" s="9"/>
    </row>
    <row r="203" spans="1:58" x14ac:dyDescent="0.25">
      <c r="A203" s="9" t="s">
        <v>84</v>
      </c>
      <c r="B203" s="9" t="s">
        <v>85</v>
      </c>
      <c r="C203" s="9" t="s">
        <v>86</v>
      </c>
      <c r="D203" s="10">
        <v>45498</v>
      </c>
      <c r="E203" s="10">
        <v>45536</v>
      </c>
      <c r="F203" s="10">
        <v>45565</v>
      </c>
      <c r="G203" s="9">
        <v>3786464</v>
      </c>
      <c r="H203" s="9" t="str">
        <f t="shared" si="21"/>
        <v>Closed</v>
      </c>
      <c r="I203" s="9" t="str">
        <f t="shared" si="22"/>
        <v>All dates received</v>
      </c>
      <c r="J203" s="9" t="s">
        <v>102</v>
      </c>
      <c r="K203" s="9">
        <v>5071</v>
      </c>
      <c r="L203" s="11">
        <v>1800</v>
      </c>
      <c r="M203" s="9" t="s">
        <v>607</v>
      </c>
      <c r="N203" s="9" t="s">
        <v>122</v>
      </c>
      <c r="O203" s="9"/>
      <c r="P203" s="9"/>
      <c r="Q203" s="11"/>
      <c r="R203" s="9" t="s">
        <v>90</v>
      </c>
      <c r="S203" s="9" t="s">
        <v>162</v>
      </c>
      <c r="T203" s="12">
        <f>IF($H203="Cancelled","",IFERROR(((Q203+INDEX(Variables!$B$6:$D$6,IFERROR(MATCH(IF($B203="Robusta","Robusta",(IF($B203="","Arabica",$B203))&amp;" - "&amp;(IF($C203="","Commercial",$C203))),Variables!$B$1:$D$1,0),1)))*22.0462)*(L203/16.67),""))</f>
        <v>692253.32501499692</v>
      </c>
      <c r="U203" s="10">
        <v>45506</v>
      </c>
      <c r="V203" s="9" t="str">
        <f t="shared" si="20"/>
        <v>Sent</v>
      </c>
      <c r="W203" s="10">
        <v>45516</v>
      </c>
      <c r="X203" s="9" t="str">
        <f t="shared" si="17"/>
        <v>Approved</v>
      </c>
      <c r="Y203" s="10"/>
      <c r="Z203" s="10">
        <f>IF($H203="Cancelled","",IFERROR(IF(F203="","",F203-Variables!$B$13),""))</f>
        <v>45550</v>
      </c>
      <c r="AA203" s="11">
        <f>IF($H203="Cancelled","",IFERROR(IF(W203="","",(AVERAGE(E203:F203)-W203)-Variables!$B$14),""))</f>
        <v>4.5</v>
      </c>
      <c r="AB203" s="10">
        <v>45615</v>
      </c>
      <c r="AC203" s="11">
        <f>IF($H203="Cancelled","",IFERROR(IF(AB203="","",IF(AND(W203="",Y203=""),"",IF(Y203&gt;W203,Y203+Variables!$B$15+Variables!$B$16+Variables!$B$17-AB203,W203+Variables!$B$16+Variables!$B$17-AB203))),""))</f>
        <v>-91</v>
      </c>
      <c r="AD203" s="9" t="s">
        <v>608</v>
      </c>
      <c r="AE203" s="9" t="s">
        <v>374</v>
      </c>
      <c r="AF203" s="10"/>
      <c r="AG203" s="10"/>
      <c r="AH203" s="9"/>
      <c r="AI203" s="9" t="s">
        <v>609</v>
      </c>
      <c r="AJ203" s="9" t="s">
        <v>8</v>
      </c>
      <c r="AK203" s="10">
        <v>45542</v>
      </c>
      <c r="AL203" s="10">
        <v>45545</v>
      </c>
      <c r="AM203" s="10">
        <v>45545</v>
      </c>
      <c r="AN203" s="9" t="s">
        <v>95</v>
      </c>
      <c r="AO203" s="9"/>
      <c r="AP203" s="11">
        <f>IF($H203="Cancelled","",IFERROR(IF(OR(AK203="",AB203=""),"",(AB203+Variables!$B$18-AK203)),""))</f>
        <v>80</v>
      </c>
      <c r="AQ203" s="11">
        <f>IF($H203="Cancelled","",IFERROR(IF(OR(AM203="",AK203=""),"",(AK203+Variables!$B$19)-AM203),""))</f>
        <v>2</v>
      </c>
      <c r="AR203" s="12">
        <f>IF($H203="Cancelled","",IFERROR(T203*INDEX(Variables!$B$7:$D$7,IFERROR(MATCH(IF($B203="Robusta","Robusta",(IF($B203="","Arabica",$B203))&amp;" - "&amp;(IF($C203="","Commercial",$C203))),Variables!$B$1:$D$1,0),1))*(AQ203/365),""))</f>
        <v>244.59187591387416</v>
      </c>
      <c r="AS203" s="12">
        <f>IF($H203="Cancelled","",IFERROR((T203*INDEX(Variables!$B$7:$D$7,IFERROR(MATCH(IF($B203="Robusta","Robusta",(IF($B203="","Arabica",$B203))&amp;" - "&amp;(IF($C203="","Commercial",$C203))),Variables!$B$1:$D$1,0),1))*IFERROR(IF(W203="","",(AVERAGE(E203:F203)-W203)-Variables!$B$14),"")/365)+(L203/16.67*INDEX(Variables!$B$8:$D$8,IFERROR(MATCH(IF($B203="Robusta","Robusta",(IF($B203="","Arabica",$B203))&amp;" - "&amp;(IF($C203="","Commercial",$C203))),Variables!$B$1:$D$1,0),1))*IFERROR(IF(W203="","",(AVERAGE(E203:F203)-W203)-Variables!$B$14),""))+(T203*INDEX(Variables!$B$9:$D$9,IFERROR(MATCH(IF($B203="Robusta","Robusta",(IF($B203="","Arabica",$B203))&amp;" - "&amp;(IF($C203="","Commercial",$C203))),Variables!$B$1:$D$1,0),1))*IFERROR(IF(W203="","",(AVERAGE(E203:F203)-W203)-Variables!$B$14),"")/365),""))</f>
        <v>962.42655875383969</v>
      </c>
      <c r="AT203" s="12">
        <f>IF($H203="Cancelled","",IFERROR((T203*INDEX(Variables!$B$7:$D$7,IFERROR(MATCH(IF($B203="Robusta","Robusta",(IF($B203="","Arabica",$B203))&amp;" - "&amp;(IF($C203="","Commercial",$C203))),Variables!$B$1:$D$1,0),1))*AC203/365)+(L203/16.67*INDEX(Variables!$B$8:$D$8,IFERROR(MATCH(IF($B203="Robusta","Robusta",(IF($B203="","Arabica",$B203))&amp;" - "&amp;(IF($C203="","Commercial",$C203))),Variables!$B$1:$D$1,0),1))*AC203)+(T203*INDEX(Variables!$B$9:$D$9,IFERROR(MATCH(IF($B203="Robusta","Robusta",(IF($B203="","Arabica",$B203))&amp;" - "&amp;(IF($C203="","Commercial",$C203))),Variables!$B$1:$D$1,0),1))*AC203/365),""))</f>
        <v>-19462.403743688759</v>
      </c>
      <c r="AU203" s="12">
        <f>IF($H203="Cancelled","",IFERROR((T203*INDEX(Variables!$B$7:$D$7,IFERROR(MATCH(IF($B203="Robusta","Robusta",(IF($B203="","Arabica",$B203))&amp;" - "&amp;(IF($C203="","Commercial",$C203))),Variables!$B$1:$D$1,0),1))*AP203/365)+(L203/16.67*INDEX(Variables!$B$8:$D$8,IFERROR(MATCH(IF($B203="Robusta","Robusta",(IF($B203="","Arabica",$B203))&amp;" - "&amp;(IF($C203="","Commercial",$C203))),Variables!$B$1:$D$1,0),1))*AP203)+(T203*INDEX(Variables!$B$9:$D$9,IFERROR(MATCH(IF($B203="Robusta","Robusta",(IF($B203="","Arabica",$B203))&amp;" - "&amp;(IF($C203="","Commercial",$C203))),Variables!$B$1:$D$1,0),1))*AP203/365),""))</f>
        <v>17109.80548895715</v>
      </c>
      <c r="AV203" s="11">
        <f t="shared" si="23"/>
        <v>23</v>
      </c>
      <c r="AW203" s="12">
        <f>IF($H203="Cancelled","",IFERROR(IF(AV203="","",(T203*INDEX(Variables!$B$7:$D$7,IFERROR(MATCH(IF($B203="Robusta","Robusta",(IF($B203="","Arabica",$B203))&amp;" - "&amp;(IF($C203="","Commercial",$C203))),Variables!$B$1:$D$1,0),1))*(AV203/365))+(T203*INDEX(Variables!$B$9:$D$9,IFERROR(MATCH(IF($B203="Robusta","Robusta",(IF($B203="","Arabica",$B203))&amp;" - "&amp;(IF($C203="","Commercial",$C203))),Variables!$B$1:$D$1,0),1))*(AV203/365))+(INDEX(Variables!$B$8:$D$8,IFERROR(MATCH(IF($B203="Robusta","Robusta",(IF($B203="","Arabica",$B203))&amp;" - "&amp;(IF($C203="","Commercial",$C203))),Variables!$B$1:$D$1,0),1))*L203/16.67)),""))</f>
        <v>2939.0690780751811</v>
      </c>
      <c r="AX203" s="9"/>
      <c r="AY203" s="12"/>
      <c r="AZ203" s="10"/>
      <c r="BA203" s="9"/>
      <c r="BB203" s="10"/>
      <c r="BC203" s="9"/>
      <c r="BD203" s="9"/>
      <c r="BE203" s="9"/>
      <c r="BF203" s="9"/>
    </row>
    <row r="204" spans="1:58" x14ac:dyDescent="0.25">
      <c r="A204" s="9" t="s">
        <v>84</v>
      </c>
      <c r="B204" s="9" t="s">
        <v>85</v>
      </c>
      <c r="C204" s="9" t="s">
        <v>86</v>
      </c>
      <c r="D204" s="10">
        <v>45499</v>
      </c>
      <c r="E204" s="10">
        <v>45536</v>
      </c>
      <c r="F204" s="10">
        <v>45565</v>
      </c>
      <c r="G204" s="9">
        <v>3786465</v>
      </c>
      <c r="H204" s="9" t="str">
        <f t="shared" si="21"/>
        <v>Closed</v>
      </c>
      <c r="I204" s="9" t="str">
        <f t="shared" si="22"/>
        <v>All dates received</v>
      </c>
      <c r="J204" s="9" t="s">
        <v>494</v>
      </c>
      <c r="K204" s="9" t="s">
        <v>610</v>
      </c>
      <c r="L204" s="11">
        <v>320</v>
      </c>
      <c r="M204" s="9" t="s">
        <v>611</v>
      </c>
      <c r="N204" s="9" t="s">
        <v>149</v>
      </c>
      <c r="O204" s="9"/>
      <c r="P204" s="9"/>
      <c r="Q204" s="11"/>
      <c r="R204" s="9" t="s">
        <v>90</v>
      </c>
      <c r="S204" s="9" t="s">
        <v>207</v>
      </c>
      <c r="T204" s="12">
        <f>IF($H204="Cancelled","",IFERROR(((Q204+INDEX(Variables!$B$6:$D$6,IFERROR(MATCH(IF($B204="Robusta","Robusta",(IF($B204="","Arabica",$B204))&amp;" - "&amp;(IF($C204="","Commercial",$C204))),Variables!$B$1:$D$1,0),1)))*22.0462)*(L204/16.67),""))</f>
        <v>123067.25778044391</v>
      </c>
      <c r="U204" s="10">
        <v>45513</v>
      </c>
      <c r="V204" s="9" t="str">
        <f t="shared" si="20"/>
        <v>Sent</v>
      </c>
      <c r="W204" s="10">
        <v>45520</v>
      </c>
      <c r="X204" s="9" t="str">
        <f t="shared" si="17"/>
        <v>Approved</v>
      </c>
      <c r="Y204" s="10"/>
      <c r="Z204" s="10">
        <f>IF($H204="Cancelled","",IFERROR(IF(F204="","",F204-Variables!$B$13),""))</f>
        <v>45550</v>
      </c>
      <c r="AA204" s="11">
        <f>IF($H204="Cancelled","",IFERROR(IF(W204="","",(AVERAGE(E204:F204)-W204)-Variables!$B$14),""))</f>
        <v>0.5</v>
      </c>
      <c r="AB204" s="10">
        <v>45618</v>
      </c>
      <c r="AC204" s="11">
        <f>IF($H204="Cancelled","",IFERROR(IF(AB204="","",IF(AND(W204="",Y204=""),"",IF(Y204&gt;W204,Y204+Variables!$B$15+Variables!$B$16+Variables!$B$17-AB204,W204+Variables!$B$16+Variables!$B$17-AB204))),""))</f>
        <v>-90</v>
      </c>
      <c r="AD204" s="9" t="s">
        <v>151</v>
      </c>
      <c r="AE204" s="9" t="s">
        <v>140</v>
      </c>
      <c r="AF204" s="10"/>
      <c r="AG204" s="10"/>
      <c r="AH204" s="9"/>
      <c r="AI204" s="9" t="s">
        <v>612</v>
      </c>
      <c r="AJ204" s="9" t="s">
        <v>8</v>
      </c>
      <c r="AK204" s="10">
        <v>45547</v>
      </c>
      <c r="AL204" s="10">
        <v>45551</v>
      </c>
      <c r="AM204" s="10">
        <v>45560</v>
      </c>
      <c r="AN204" s="9" t="s">
        <v>95</v>
      </c>
      <c r="AO204" s="9"/>
      <c r="AP204" s="11">
        <f>IF($H204="Cancelled","",IFERROR(IF(OR(AK204="",AB204=""),"",(AB204+Variables!$B$18-AK204)),""))</f>
        <v>78</v>
      </c>
      <c r="AQ204" s="11">
        <f>IF($H204="Cancelled","",IFERROR(IF(OR(AM204="",AK204=""),"",(AK204+Variables!$B$19)-AM204),""))</f>
        <v>-8</v>
      </c>
      <c r="AR204" s="12">
        <f>IF($H204="Cancelled","",IFERROR(T204*INDEX(Variables!$B$7:$D$7,IFERROR(MATCH(IF($B204="Robusta","Robusta",(IF($B204="","Arabica",$B204))&amp;" - "&amp;(IF($C204="","Commercial",$C204))),Variables!$B$1:$D$1,0),1))*(AQ204/365),""))</f>
        <v>-173.9320006498661</v>
      </c>
      <c r="AS204" s="12">
        <f>IF($H204="Cancelled","",IFERROR((T204*INDEX(Variables!$B$7:$D$7,IFERROR(MATCH(IF($B204="Robusta","Robusta",(IF($B204="","Arabica",$B204))&amp;" - "&amp;(IF($C204="","Commercial",$C204))),Variables!$B$1:$D$1,0),1))*IFERROR(IF(W204="","",(AVERAGE(E204:F204)-W204)-Variables!$B$14),"")/365)+(L204/16.67*INDEX(Variables!$B$8:$D$8,IFERROR(MATCH(IF($B204="Robusta","Robusta",(IF($B204="","Arabica",$B204))&amp;" - "&amp;(IF($C204="","Commercial",$C204))),Variables!$B$1:$D$1,0),1))*IFERROR(IF(W204="","",(AVERAGE(E204:F204)-W204)-Variables!$B$14),""))+(T204*INDEX(Variables!$B$9:$D$9,IFERROR(MATCH(IF($B204="Robusta","Robusta",(IF($B204="","Arabica",$B204))&amp;" - "&amp;(IF($C204="","Commercial",$C204))),Variables!$B$1:$D$1,0),1))*IFERROR(IF(W204="","",(AVERAGE(E204:F204)-W204)-Variables!$B$14),"")/365),""))</f>
        <v>19.010894987730168</v>
      </c>
      <c r="AT204" s="12">
        <f>IF($H204="Cancelled","",IFERROR((T204*INDEX(Variables!$B$7:$D$7,IFERROR(MATCH(IF($B204="Robusta","Robusta",(IF($B204="","Arabica",$B204))&amp;" - "&amp;(IF($C204="","Commercial",$C204))),Variables!$B$1:$D$1,0),1))*AC204/365)+(L204/16.67*INDEX(Variables!$B$8:$D$8,IFERROR(MATCH(IF($B204="Robusta","Robusta",(IF($B204="","Arabica",$B204))&amp;" - "&amp;(IF($C204="","Commercial",$C204))),Variables!$B$1:$D$1,0),1))*AC204)+(T204*INDEX(Variables!$B$9:$D$9,IFERROR(MATCH(IF($B204="Robusta","Robusta",(IF($B204="","Arabica",$B204))&amp;" - "&amp;(IF($C204="","Commercial",$C204))),Variables!$B$1:$D$1,0),1))*AC204/365),""))</f>
        <v>-3421.9610977914308</v>
      </c>
      <c r="AU204" s="12">
        <f>IF($H204="Cancelled","",IFERROR((T204*INDEX(Variables!$B$7:$D$7,IFERROR(MATCH(IF($B204="Robusta","Robusta",(IF($B204="","Arabica",$B204))&amp;" - "&amp;(IF($C204="","Commercial",$C204))),Variables!$B$1:$D$1,0),1))*AP204/365)+(L204/16.67*INDEX(Variables!$B$8:$D$8,IFERROR(MATCH(IF($B204="Robusta","Robusta",(IF($B204="","Arabica",$B204))&amp;" - "&amp;(IF($C204="","Commercial",$C204))),Variables!$B$1:$D$1,0),1))*AP204)+(T204*INDEX(Variables!$B$9:$D$9,IFERROR(MATCH(IF($B204="Robusta","Robusta",(IF($B204="","Arabica",$B204))&amp;" - "&amp;(IF($C204="","Commercial",$C204))),Variables!$B$1:$D$1,0),1))*AP204/365),""))</f>
        <v>2965.6996180859064</v>
      </c>
      <c r="AV204" s="11">
        <f t="shared" si="23"/>
        <v>18</v>
      </c>
      <c r="AW204" s="12">
        <f>IF($H204="Cancelled","",IFERROR(IF(AV204="","",(T204*INDEX(Variables!$B$7:$D$7,IFERROR(MATCH(IF($B204="Robusta","Robusta",(IF($B204="","Arabica",$B204))&amp;" - "&amp;(IF($C204="","Commercial",$C204))),Variables!$B$1:$D$1,0),1))*(AV204/365))+(T204*INDEX(Variables!$B$9:$D$9,IFERROR(MATCH(IF($B204="Robusta","Robusta",(IF($B204="","Arabica",$B204))&amp;" - "&amp;(IF($C204="","Commercial",$C204))),Variables!$B$1:$D$1,0),1))*(AV204/365))+(INDEX(Variables!$B$8:$D$8,IFERROR(MATCH(IF($B204="Robusta","Robusta",(IF($B204="","Arabica",$B204))&amp;" - "&amp;(IF($C204="","Commercial",$C204))),Variables!$B$1:$D$1,0),1))*L204/16.67)),""))</f>
        <v>412.39221955828611</v>
      </c>
      <c r="AX204" s="9"/>
      <c r="AY204" s="12"/>
      <c r="AZ204" s="10"/>
      <c r="BA204" s="9"/>
      <c r="BB204" s="10"/>
      <c r="BC204" s="9"/>
      <c r="BD204" s="9"/>
      <c r="BE204" s="9"/>
      <c r="BF204" s="9"/>
    </row>
    <row r="205" spans="1:58" x14ac:dyDescent="0.25">
      <c r="A205" s="9" t="s">
        <v>84</v>
      </c>
      <c r="B205" s="9" t="s">
        <v>85</v>
      </c>
      <c r="C205" s="9" t="s">
        <v>86</v>
      </c>
      <c r="D205" s="10">
        <v>45499</v>
      </c>
      <c r="E205" s="10">
        <v>45536</v>
      </c>
      <c r="F205" s="10">
        <v>45565</v>
      </c>
      <c r="G205" s="9">
        <v>3786465</v>
      </c>
      <c r="H205" s="9" t="str">
        <f t="shared" si="21"/>
        <v>Closed</v>
      </c>
      <c r="I205" s="9" t="str">
        <f t="shared" si="22"/>
        <v>All dates received</v>
      </c>
      <c r="J205" s="9" t="s">
        <v>494</v>
      </c>
      <c r="K205" s="9" t="s">
        <v>613</v>
      </c>
      <c r="L205" s="11">
        <v>320</v>
      </c>
      <c r="M205" s="9" t="s">
        <v>611</v>
      </c>
      <c r="N205" s="9" t="s">
        <v>149</v>
      </c>
      <c r="O205" s="9"/>
      <c r="P205" s="9"/>
      <c r="Q205" s="11"/>
      <c r="R205" s="9" t="s">
        <v>90</v>
      </c>
      <c r="S205" s="9" t="s">
        <v>207</v>
      </c>
      <c r="T205" s="12">
        <f>IF($H205="Cancelled","",IFERROR(((Q205+INDEX(Variables!$B$6:$D$6,IFERROR(MATCH(IF($B205="Robusta","Robusta",(IF($B205="","Arabica",$B205))&amp;" - "&amp;(IF($C205="","Commercial",$C205))),Variables!$B$1:$D$1,0),1)))*22.0462)*(L205/16.67),""))</f>
        <v>123067.25778044391</v>
      </c>
      <c r="U205" s="10">
        <v>45513</v>
      </c>
      <c r="V205" s="9" t="str">
        <f t="shared" si="20"/>
        <v>Sent</v>
      </c>
      <c r="W205" s="10">
        <v>45520</v>
      </c>
      <c r="X205" s="9" t="str">
        <f t="shared" si="17"/>
        <v>Approved</v>
      </c>
      <c r="Y205" s="10"/>
      <c r="Z205" s="10">
        <f>IF($H205="Cancelled","",IFERROR(IF(F205="","",F205-Variables!$B$13),""))</f>
        <v>45550</v>
      </c>
      <c r="AA205" s="11">
        <f>IF($H205="Cancelled","",IFERROR(IF(W205="","",(AVERAGE(E205:F205)-W205)-Variables!$B$14),""))</f>
        <v>0.5</v>
      </c>
      <c r="AB205" s="10">
        <v>45621</v>
      </c>
      <c r="AC205" s="11">
        <f>IF($H205="Cancelled","",IFERROR(IF(AB205="","",IF(AND(W205="",Y205=""),"",IF(Y205&gt;W205,Y205+Variables!$B$15+Variables!$B$16+Variables!$B$17-AB205,W205+Variables!$B$16+Variables!$B$17-AB205))),""))</f>
        <v>-93</v>
      </c>
      <c r="AD205" s="9" t="s">
        <v>151</v>
      </c>
      <c r="AE205" s="9" t="s">
        <v>140</v>
      </c>
      <c r="AF205" s="10"/>
      <c r="AG205" s="10"/>
      <c r="AH205" s="9"/>
      <c r="AI205" s="9" t="s">
        <v>614</v>
      </c>
      <c r="AJ205" s="9" t="s">
        <v>8</v>
      </c>
      <c r="AK205" s="10">
        <v>45547</v>
      </c>
      <c r="AL205" s="10">
        <v>45551</v>
      </c>
      <c r="AM205" s="10">
        <v>45560</v>
      </c>
      <c r="AN205" s="9" t="s">
        <v>95</v>
      </c>
      <c r="AO205" s="9"/>
      <c r="AP205" s="11">
        <f>IF($H205="Cancelled","",IFERROR(IF(OR(AK205="",AB205=""),"",(AB205+Variables!$B$18-AK205)),""))</f>
        <v>81</v>
      </c>
      <c r="AQ205" s="11">
        <f>IF($H205="Cancelled","",IFERROR(IF(OR(AM205="",AK205=""),"",(AK205+Variables!$B$19)-AM205),""))</f>
        <v>-8</v>
      </c>
      <c r="AR205" s="12">
        <f>IF($H205="Cancelled","",IFERROR(T205*INDEX(Variables!$B$7:$D$7,IFERROR(MATCH(IF($B205="Robusta","Robusta",(IF($B205="","Arabica",$B205))&amp;" - "&amp;(IF($C205="","Commercial",$C205))),Variables!$B$1:$D$1,0),1))*(AQ205/365),""))</f>
        <v>-173.9320006498661</v>
      </c>
      <c r="AS205" s="12">
        <f>IF($H205="Cancelled","",IFERROR((T205*INDEX(Variables!$B$7:$D$7,IFERROR(MATCH(IF($B205="Robusta","Robusta",(IF($B205="","Arabica",$B205))&amp;" - "&amp;(IF($C205="","Commercial",$C205))),Variables!$B$1:$D$1,0),1))*IFERROR(IF(W205="","",(AVERAGE(E205:F205)-W205)-Variables!$B$14),"")/365)+(L205/16.67*INDEX(Variables!$B$8:$D$8,IFERROR(MATCH(IF($B205="Robusta","Robusta",(IF($B205="","Arabica",$B205))&amp;" - "&amp;(IF($C205="","Commercial",$C205))),Variables!$B$1:$D$1,0),1))*IFERROR(IF(W205="","",(AVERAGE(E205:F205)-W205)-Variables!$B$14),""))+(T205*INDEX(Variables!$B$9:$D$9,IFERROR(MATCH(IF($B205="Robusta","Robusta",(IF($B205="","Arabica",$B205))&amp;" - "&amp;(IF($C205="","Commercial",$C205))),Variables!$B$1:$D$1,0),1))*IFERROR(IF(W205="","",(AVERAGE(E205:F205)-W205)-Variables!$B$14),"")/365),""))</f>
        <v>19.010894987730168</v>
      </c>
      <c r="AT205" s="12">
        <f>IF($H205="Cancelled","",IFERROR((T205*INDEX(Variables!$B$7:$D$7,IFERROR(MATCH(IF($B205="Robusta","Robusta",(IF($B205="","Arabica",$B205))&amp;" - "&amp;(IF($C205="","Commercial",$C205))),Variables!$B$1:$D$1,0),1))*AC205/365)+(L205/16.67*INDEX(Variables!$B$8:$D$8,IFERROR(MATCH(IF($B205="Robusta","Robusta",(IF($B205="","Arabica",$B205))&amp;" - "&amp;(IF($C205="","Commercial",$C205))),Variables!$B$1:$D$1,0),1))*AC205)+(T205*INDEX(Variables!$B$9:$D$9,IFERROR(MATCH(IF($B205="Robusta","Robusta",(IF($B205="","Arabica",$B205))&amp;" - "&amp;(IF($C205="","Commercial",$C205))),Variables!$B$1:$D$1,0),1))*AC205/365),""))</f>
        <v>-3536.0264677178111</v>
      </c>
      <c r="AU205" s="12">
        <f>IF($H205="Cancelled","",IFERROR((T205*INDEX(Variables!$B$7:$D$7,IFERROR(MATCH(IF($B205="Robusta","Robusta",(IF($B205="","Arabica",$B205))&amp;" - "&amp;(IF($C205="","Commercial",$C205))),Variables!$B$1:$D$1,0),1))*AP205/365)+(L205/16.67*INDEX(Variables!$B$8:$D$8,IFERROR(MATCH(IF($B205="Robusta","Robusta",(IF($B205="","Arabica",$B205))&amp;" - "&amp;(IF($C205="","Commercial",$C205))),Variables!$B$1:$D$1,0),1))*AP205)+(T205*INDEX(Variables!$B$9:$D$9,IFERROR(MATCH(IF($B205="Robusta","Robusta",(IF($B205="","Arabica",$B205))&amp;" - "&amp;(IF($C205="","Commercial",$C205))),Variables!$B$1:$D$1,0),1))*AP205/365),""))</f>
        <v>3079.7649880122872</v>
      </c>
      <c r="AV205" s="11">
        <f t="shared" si="23"/>
        <v>18</v>
      </c>
      <c r="AW205" s="12">
        <f>IF($H205="Cancelled","",IFERROR(IF(AV205="","",(T205*INDEX(Variables!$B$7:$D$7,IFERROR(MATCH(IF($B205="Robusta","Robusta",(IF($B205="","Arabica",$B205))&amp;" - "&amp;(IF($C205="","Commercial",$C205))),Variables!$B$1:$D$1,0),1))*(AV205/365))+(T205*INDEX(Variables!$B$9:$D$9,IFERROR(MATCH(IF($B205="Robusta","Robusta",(IF($B205="","Arabica",$B205))&amp;" - "&amp;(IF($C205="","Commercial",$C205))),Variables!$B$1:$D$1,0),1))*(AV205/365))+(INDEX(Variables!$B$8:$D$8,IFERROR(MATCH(IF($B205="Robusta","Robusta",(IF($B205="","Arabica",$B205))&amp;" - "&amp;(IF($C205="","Commercial",$C205))),Variables!$B$1:$D$1,0),1))*L205/16.67)),""))</f>
        <v>412.39221955828611</v>
      </c>
      <c r="AX205" s="9"/>
      <c r="AY205" s="12"/>
      <c r="AZ205" s="10"/>
      <c r="BA205" s="9"/>
      <c r="BB205" s="10"/>
      <c r="BC205" s="9"/>
      <c r="BD205" s="9"/>
      <c r="BE205" s="9"/>
      <c r="BF205" s="9"/>
    </row>
    <row r="206" spans="1:58" x14ac:dyDescent="0.25">
      <c r="A206" s="9" t="s">
        <v>84</v>
      </c>
      <c r="B206" s="9" t="s">
        <v>85</v>
      </c>
      <c r="C206" s="9" t="s">
        <v>86</v>
      </c>
      <c r="D206" s="10">
        <v>45499</v>
      </c>
      <c r="E206" s="10">
        <v>45536</v>
      </c>
      <c r="F206" s="10">
        <v>45565</v>
      </c>
      <c r="G206" s="9">
        <v>3786465</v>
      </c>
      <c r="H206" s="9" t="str">
        <f t="shared" si="21"/>
        <v>Closed</v>
      </c>
      <c r="I206" s="9" t="str">
        <f t="shared" si="22"/>
        <v>All dates received</v>
      </c>
      <c r="J206" s="9" t="s">
        <v>494</v>
      </c>
      <c r="K206" s="9" t="s">
        <v>615</v>
      </c>
      <c r="L206" s="11">
        <v>320</v>
      </c>
      <c r="M206" s="9" t="s">
        <v>611</v>
      </c>
      <c r="N206" s="9" t="s">
        <v>149</v>
      </c>
      <c r="O206" s="9"/>
      <c r="P206" s="9"/>
      <c r="Q206" s="11"/>
      <c r="R206" s="9" t="s">
        <v>90</v>
      </c>
      <c r="S206" s="9" t="s">
        <v>207</v>
      </c>
      <c r="T206" s="12">
        <f>IF($H206="Cancelled","",IFERROR(((Q206+INDEX(Variables!$B$6:$D$6,IFERROR(MATCH(IF($B206="Robusta","Robusta",(IF($B206="","Arabica",$B206))&amp;" - "&amp;(IF($C206="","Commercial",$C206))),Variables!$B$1:$D$1,0),1)))*22.0462)*(L206/16.67),""))</f>
        <v>123067.25778044391</v>
      </c>
      <c r="U206" s="10">
        <v>45513</v>
      </c>
      <c r="V206" s="9" t="str">
        <f t="shared" si="20"/>
        <v>Sent</v>
      </c>
      <c r="W206" s="10">
        <v>45520</v>
      </c>
      <c r="X206" s="9" t="str">
        <f t="shared" si="17"/>
        <v>Approved</v>
      </c>
      <c r="Y206" s="10"/>
      <c r="Z206" s="10">
        <f>IF($H206="Cancelled","",IFERROR(IF(F206="","",F206-Variables!$B$13),""))</f>
        <v>45550</v>
      </c>
      <c r="AA206" s="11">
        <f>IF($H206="Cancelled","",IFERROR(IF(W206="","",(AVERAGE(E206:F206)-W206)-Variables!$B$14),""))</f>
        <v>0.5</v>
      </c>
      <c r="AB206" s="10">
        <v>45621</v>
      </c>
      <c r="AC206" s="11">
        <f>IF($H206="Cancelled","",IFERROR(IF(AB206="","",IF(AND(W206="",Y206=""),"",IF(Y206&gt;W206,Y206+Variables!$B$15+Variables!$B$16+Variables!$B$17-AB206,W206+Variables!$B$16+Variables!$B$17-AB206))),""))</f>
        <v>-93</v>
      </c>
      <c r="AD206" s="9" t="s">
        <v>151</v>
      </c>
      <c r="AE206" s="9" t="s">
        <v>140</v>
      </c>
      <c r="AF206" s="10"/>
      <c r="AG206" s="10"/>
      <c r="AH206" s="9"/>
      <c r="AI206" s="9" t="s">
        <v>616</v>
      </c>
      <c r="AJ206" s="9" t="s">
        <v>8</v>
      </c>
      <c r="AK206" s="10">
        <v>45547</v>
      </c>
      <c r="AL206" s="10">
        <v>45551</v>
      </c>
      <c r="AM206" s="10">
        <v>45560</v>
      </c>
      <c r="AN206" s="9" t="s">
        <v>95</v>
      </c>
      <c r="AO206" s="9"/>
      <c r="AP206" s="11">
        <f>IF($H206="Cancelled","",IFERROR(IF(OR(AK206="",AB206=""),"",(AB206+Variables!$B$18-AK206)),""))</f>
        <v>81</v>
      </c>
      <c r="AQ206" s="11">
        <f>IF($H206="Cancelled","",IFERROR(IF(OR(AM206="",AK206=""),"",(AK206+Variables!$B$19)-AM206),""))</f>
        <v>-8</v>
      </c>
      <c r="AR206" s="12">
        <f>IF($H206="Cancelled","",IFERROR(T206*INDEX(Variables!$B$7:$D$7,IFERROR(MATCH(IF($B206="Robusta","Robusta",(IF($B206="","Arabica",$B206))&amp;" - "&amp;(IF($C206="","Commercial",$C206))),Variables!$B$1:$D$1,0),1))*(AQ206/365),""))</f>
        <v>-173.9320006498661</v>
      </c>
      <c r="AS206" s="12">
        <f>IF($H206="Cancelled","",IFERROR((T206*INDEX(Variables!$B$7:$D$7,IFERROR(MATCH(IF($B206="Robusta","Robusta",(IF($B206="","Arabica",$B206))&amp;" - "&amp;(IF($C206="","Commercial",$C206))),Variables!$B$1:$D$1,0),1))*IFERROR(IF(W206="","",(AVERAGE(E206:F206)-W206)-Variables!$B$14),"")/365)+(L206/16.67*INDEX(Variables!$B$8:$D$8,IFERROR(MATCH(IF($B206="Robusta","Robusta",(IF($B206="","Arabica",$B206))&amp;" - "&amp;(IF($C206="","Commercial",$C206))),Variables!$B$1:$D$1,0),1))*IFERROR(IF(W206="","",(AVERAGE(E206:F206)-W206)-Variables!$B$14),""))+(T206*INDEX(Variables!$B$9:$D$9,IFERROR(MATCH(IF($B206="Robusta","Robusta",(IF($B206="","Arabica",$B206))&amp;" - "&amp;(IF($C206="","Commercial",$C206))),Variables!$B$1:$D$1,0),1))*IFERROR(IF(W206="","",(AVERAGE(E206:F206)-W206)-Variables!$B$14),"")/365),""))</f>
        <v>19.010894987730168</v>
      </c>
      <c r="AT206" s="12">
        <f>IF($H206="Cancelled","",IFERROR((T206*INDEX(Variables!$B$7:$D$7,IFERROR(MATCH(IF($B206="Robusta","Robusta",(IF($B206="","Arabica",$B206))&amp;" - "&amp;(IF($C206="","Commercial",$C206))),Variables!$B$1:$D$1,0),1))*AC206/365)+(L206/16.67*INDEX(Variables!$B$8:$D$8,IFERROR(MATCH(IF($B206="Robusta","Robusta",(IF($B206="","Arabica",$B206))&amp;" - "&amp;(IF($C206="","Commercial",$C206))),Variables!$B$1:$D$1,0),1))*AC206)+(T206*INDEX(Variables!$B$9:$D$9,IFERROR(MATCH(IF($B206="Robusta","Robusta",(IF($B206="","Arabica",$B206))&amp;" - "&amp;(IF($C206="","Commercial",$C206))),Variables!$B$1:$D$1,0),1))*AC206/365),""))</f>
        <v>-3536.0264677178111</v>
      </c>
      <c r="AU206" s="12">
        <f>IF($H206="Cancelled","",IFERROR((T206*INDEX(Variables!$B$7:$D$7,IFERROR(MATCH(IF($B206="Robusta","Robusta",(IF($B206="","Arabica",$B206))&amp;" - "&amp;(IF($C206="","Commercial",$C206))),Variables!$B$1:$D$1,0),1))*AP206/365)+(L206/16.67*INDEX(Variables!$B$8:$D$8,IFERROR(MATCH(IF($B206="Robusta","Robusta",(IF($B206="","Arabica",$B206))&amp;" - "&amp;(IF($C206="","Commercial",$C206))),Variables!$B$1:$D$1,0),1))*AP206)+(T206*INDEX(Variables!$B$9:$D$9,IFERROR(MATCH(IF($B206="Robusta","Robusta",(IF($B206="","Arabica",$B206))&amp;" - "&amp;(IF($C206="","Commercial",$C206))),Variables!$B$1:$D$1,0),1))*AP206/365),""))</f>
        <v>3079.7649880122872</v>
      </c>
      <c r="AV206" s="11">
        <f t="shared" si="23"/>
        <v>18</v>
      </c>
      <c r="AW206" s="12">
        <f>IF($H206="Cancelled","",IFERROR(IF(AV206="","",(T206*INDEX(Variables!$B$7:$D$7,IFERROR(MATCH(IF($B206="Robusta","Robusta",(IF($B206="","Arabica",$B206))&amp;" - "&amp;(IF($C206="","Commercial",$C206))),Variables!$B$1:$D$1,0),1))*(AV206/365))+(T206*INDEX(Variables!$B$9:$D$9,IFERROR(MATCH(IF($B206="Robusta","Robusta",(IF($B206="","Arabica",$B206))&amp;" - "&amp;(IF($C206="","Commercial",$C206))),Variables!$B$1:$D$1,0),1))*(AV206/365))+(INDEX(Variables!$B$8:$D$8,IFERROR(MATCH(IF($B206="Robusta","Robusta",(IF($B206="","Arabica",$B206))&amp;" - "&amp;(IF($C206="","Commercial",$C206))),Variables!$B$1:$D$1,0),1))*L206/16.67)),""))</f>
        <v>412.39221955828611</v>
      </c>
      <c r="AX206" s="9"/>
      <c r="AY206" s="12"/>
      <c r="AZ206" s="10"/>
      <c r="BA206" s="9"/>
      <c r="BB206" s="10"/>
      <c r="BC206" s="9"/>
      <c r="BD206" s="9"/>
      <c r="BE206" s="9"/>
      <c r="BF206" s="9"/>
    </row>
    <row r="207" spans="1:58" x14ac:dyDescent="0.25">
      <c r="A207" s="9" t="s">
        <v>84</v>
      </c>
      <c r="B207" s="9" t="s">
        <v>85</v>
      </c>
      <c r="C207" s="9" t="s">
        <v>86</v>
      </c>
      <c r="D207" s="10">
        <v>45499</v>
      </c>
      <c r="E207" s="10">
        <v>45536</v>
      </c>
      <c r="F207" s="10">
        <v>45565</v>
      </c>
      <c r="G207" s="9">
        <v>3786465</v>
      </c>
      <c r="H207" s="9" t="str">
        <f t="shared" si="21"/>
        <v>Closed</v>
      </c>
      <c r="I207" s="9" t="str">
        <f t="shared" si="22"/>
        <v>All dates received</v>
      </c>
      <c r="J207" s="9" t="s">
        <v>494</v>
      </c>
      <c r="K207" s="9" t="s">
        <v>617</v>
      </c>
      <c r="L207" s="11">
        <v>320</v>
      </c>
      <c r="M207" s="9" t="s">
        <v>611</v>
      </c>
      <c r="N207" s="9" t="s">
        <v>149</v>
      </c>
      <c r="O207" s="9"/>
      <c r="P207" s="9"/>
      <c r="Q207" s="11"/>
      <c r="R207" s="9" t="s">
        <v>90</v>
      </c>
      <c r="S207" s="9" t="s">
        <v>207</v>
      </c>
      <c r="T207" s="12">
        <f>IF($H207="Cancelled","",IFERROR(((Q207+INDEX(Variables!$B$6:$D$6,IFERROR(MATCH(IF($B207="Robusta","Robusta",(IF($B207="","Arabica",$B207))&amp;" - "&amp;(IF($C207="","Commercial",$C207))),Variables!$B$1:$D$1,0),1)))*22.0462)*(L207/16.67),""))</f>
        <v>123067.25778044391</v>
      </c>
      <c r="U207" s="10">
        <v>45513</v>
      </c>
      <c r="V207" s="9" t="str">
        <f t="shared" si="20"/>
        <v>Sent</v>
      </c>
      <c r="W207" s="10">
        <v>45520</v>
      </c>
      <c r="X207" s="9" t="str">
        <f t="shared" si="17"/>
        <v>Approved</v>
      </c>
      <c r="Y207" s="10"/>
      <c r="Z207" s="10">
        <f>IF($H207="Cancelled","",IFERROR(IF(F207="","",F207-Variables!$B$13),""))</f>
        <v>45550</v>
      </c>
      <c r="AA207" s="11">
        <f>IF($H207="Cancelled","",IFERROR(IF(W207="","",(AVERAGE(E207:F207)-W207)-Variables!$B$14),""))</f>
        <v>0.5</v>
      </c>
      <c r="AB207" s="10">
        <v>45622</v>
      </c>
      <c r="AC207" s="11">
        <f>IF($H207="Cancelled","",IFERROR(IF(AB207="","",IF(AND(W207="",Y207=""),"",IF(Y207&gt;W207,Y207+Variables!$B$15+Variables!$B$16+Variables!$B$17-AB207,W207+Variables!$B$16+Variables!$B$17-AB207))),""))</f>
        <v>-94</v>
      </c>
      <c r="AD207" s="9" t="s">
        <v>151</v>
      </c>
      <c r="AE207" s="9" t="s">
        <v>140</v>
      </c>
      <c r="AF207" s="10"/>
      <c r="AG207" s="10"/>
      <c r="AH207" s="9"/>
      <c r="AI207" s="9" t="s">
        <v>618</v>
      </c>
      <c r="AJ207" s="9" t="s">
        <v>8</v>
      </c>
      <c r="AK207" s="10">
        <v>45547</v>
      </c>
      <c r="AL207" s="10">
        <v>45551</v>
      </c>
      <c r="AM207" s="10">
        <v>45560</v>
      </c>
      <c r="AN207" s="9" t="s">
        <v>95</v>
      </c>
      <c r="AO207" s="9"/>
      <c r="AP207" s="11">
        <f>IF($H207="Cancelled","",IFERROR(IF(OR(AK207="",AB207=""),"",(AB207+Variables!$B$18-AK207)),""))</f>
        <v>82</v>
      </c>
      <c r="AQ207" s="11">
        <f>IF($H207="Cancelled","",IFERROR(IF(OR(AM207="",AK207=""),"",(AK207+Variables!$B$19)-AM207),""))</f>
        <v>-8</v>
      </c>
      <c r="AR207" s="12">
        <f>IF($H207="Cancelled","",IFERROR(T207*INDEX(Variables!$B$7:$D$7,IFERROR(MATCH(IF($B207="Robusta","Robusta",(IF($B207="","Arabica",$B207))&amp;" - "&amp;(IF($C207="","Commercial",$C207))),Variables!$B$1:$D$1,0),1))*(AQ207/365),""))</f>
        <v>-173.9320006498661</v>
      </c>
      <c r="AS207" s="12">
        <f>IF($H207="Cancelled","",IFERROR((T207*INDEX(Variables!$B$7:$D$7,IFERROR(MATCH(IF($B207="Robusta","Robusta",(IF($B207="","Arabica",$B207))&amp;" - "&amp;(IF($C207="","Commercial",$C207))),Variables!$B$1:$D$1,0),1))*IFERROR(IF(W207="","",(AVERAGE(E207:F207)-W207)-Variables!$B$14),"")/365)+(L207/16.67*INDEX(Variables!$B$8:$D$8,IFERROR(MATCH(IF($B207="Robusta","Robusta",(IF($B207="","Arabica",$B207))&amp;" - "&amp;(IF($C207="","Commercial",$C207))),Variables!$B$1:$D$1,0),1))*IFERROR(IF(W207="","",(AVERAGE(E207:F207)-W207)-Variables!$B$14),""))+(T207*INDEX(Variables!$B$9:$D$9,IFERROR(MATCH(IF($B207="Robusta","Robusta",(IF($B207="","Arabica",$B207))&amp;" - "&amp;(IF($C207="","Commercial",$C207))),Variables!$B$1:$D$1,0),1))*IFERROR(IF(W207="","",(AVERAGE(E207:F207)-W207)-Variables!$B$14),"")/365),""))</f>
        <v>19.010894987730168</v>
      </c>
      <c r="AT207" s="12">
        <f>IF($H207="Cancelled","",IFERROR((T207*INDEX(Variables!$B$7:$D$7,IFERROR(MATCH(IF($B207="Robusta","Robusta",(IF($B207="","Arabica",$B207))&amp;" - "&amp;(IF($C207="","Commercial",$C207))),Variables!$B$1:$D$1,0),1))*AC207/365)+(L207/16.67*INDEX(Variables!$B$8:$D$8,IFERROR(MATCH(IF($B207="Robusta","Robusta",(IF($B207="","Arabica",$B207))&amp;" - "&amp;(IF($C207="","Commercial",$C207))),Variables!$B$1:$D$1,0),1))*AC207)+(T207*INDEX(Variables!$B$9:$D$9,IFERROR(MATCH(IF($B207="Robusta","Robusta",(IF($B207="","Arabica",$B207))&amp;" - "&amp;(IF($C207="","Commercial",$C207))),Variables!$B$1:$D$1,0),1))*AC207/365),""))</f>
        <v>-3574.0482576932718</v>
      </c>
      <c r="AU207" s="12">
        <f>IF($H207="Cancelled","",IFERROR((T207*INDEX(Variables!$B$7:$D$7,IFERROR(MATCH(IF($B207="Robusta","Robusta",(IF($B207="","Arabica",$B207))&amp;" - "&amp;(IF($C207="","Commercial",$C207))),Variables!$B$1:$D$1,0),1))*AP207/365)+(L207/16.67*INDEX(Variables!$B$8:$D$8,IFERROR(MATCH(IF($B207="Robusta","Robusta",(IF($B207="","Arabica",$B207))&amp;" - "&amp;(IF($C207="","Commercial",$C207))),Variables!$B$1:$D$1,0),1))*AP207)+(T207*INDEX(Variables!$B$9:$D$9,IFERROR(MATCH(IF($B207="Robusta","Robusta",(IF($B207="","Arabica",$B207))&amp;" - "&amp;(IF($C207="","Commercial",$C207))),Variables!$B$1:$D$1,0),1))*AP207/365),""))</f>
        <v>3117.7867779877474</v>
      </c>
      <c r="AV207" s="11">
        <f t="shared" si="23"/>
        <v>18</v>
      </c>
      <c r="AW207" s="12">
        <f>IF($H207="Cancelled","",IFERROR(IF(AV207="","",(T207*INDEX(Variables!$B$7:$D$7,IFERROR(MATCH(IF($B207="Robusta","Robusta",(IF($B207="","Arabica",$B207))&amp;" - "&amp;(IF($C207="","Commercial",$C207))),Variables!$B$1:$D$1,0),1))*(AV207/365))+(T207*INDEX(Variables!$B$9:$D$9,IFERROR(MATCH(IF($B207="Robusta","Robusta",(IF($B207="","Arabica",$B207))&amp;" - "&amp;(IF($C207="","Commercial",$C207))),Variables!$B$1:$D$1,0),1))*(AV207/365))+(INDEX(Variables!$B$8:$D$8,IFERROR(MATCH(IF($B207="Robusta","Robusta",(IF($B207="","Arabica",$B207))&amp;" - "&amp;(IF($C207="","Commercial",$C207))),Variables!$B$1:$D$1,0),1))*L207/16.67)),""))</f>
        <v>412.39221955828611</v>
      </c>
      <c r="AX207" s="9"/>
      <c r="AY207" s="12"/>
      <c r="AZ207" s="10"/>
      <c r="BA207" s="9"/>
      <c r="BB207" s="10"/>
      <c r="BC207" s="9"/>
      <c r="BD207" s="9"/>
      <c r="BE207" s="9"/>
      <c r="BF207" s="9"/>
    </row>
    <row r="208" spans="1:58" x14ac:dyDescent="0.25">
      <c r="A208" s="9" t="s">
        <v>84</v>
      </c>
      <c r="B208" s="9" t="s">
        <v>85</v>
      </c>
      <c r="C208" s="9" t="s">
        <v>86</v>
      </c>
      <c r="D208" s="10">
        <v>45503</v>
      </c>
      <c r="E208" s="10">
        <v>45505</v>
      </c>
      <c r="F208" s="10">
        <v>45535</v>
      </c>
      <c r="G208" s="9">
        <v>3786469</v>
      </c>
      <c r="H208" s="9" t="str">
        <f t="shared" si="21"/>
        <v>Closed</v>
      </c>
      <c r="I208" s="9" t="str">
        <f t="shared" si="22"/>
        <v>All dates received</v>
      </c>
      <c r="J208" s="9" t="s">
        <v>494</v>
      </c>
      <c r="K208" s="9" t="s">
        <v>619</v>
      </c>
      <c r="L208" s="11">
        <v>50</v>
      </c>
      <c r="M208" s="9" t="s">
        <v>620</v>
      </c>
      <c r="N208" s="9" t="s">
        <v>621</v>
      </c>
      <c r="O208" s="9"/>
      <c r="P208" s="9"/>
      <c r="Q208" s="11"/>
      <c r="R208" s="9" t="s">
        <v>195</v>
      </c>
      <c r="S208" s="9" t="s">
        <v>150</v>
      </c>
      <c r="T208" s="12">
        <f>IF($H208="Cancelled","",IFERROR(((Q208+INDEX(Variables!$B$6:$D$6,IFERROR(MATCH(IF($B208="Robusta","Robusta",(IF($B208="","Arabica",$B208))&amp;" - "&amp;(IF($C208="","Commercial",$C208))),Variables!$B$1:$D$1,0),1)))*22.0462)*(L208/16.67),""))</f>
        <v>19229.259028194359</v>
      </c>
      <c r="U208" s="10"/>
      <c r="V208" s="9" t="s">
        <v>195</v>
      </c>
      <c r="W208" s="10">
        <v>45488</v>
      </c>
      <c r="X208" s="9" t="str">
        <f t="shared" si="17"/>
        <v>Approved</v>
      </c>
      <c r="Y208" s="10">
        <v>45626</v>
      </c>
      <c r="Z208" s="10">
        <f>IF($H208="Cancelled","",IFERROR(IF(F208="","",F208-Variables!$B$13),""))</f>
        <v>45520</v>
      </c>
      <c r="AA208" s="11">
        <f>IF($H208="Cancelled","",IFERROR(IF(W208="","",(AVERAGE(E208:F208)-W208)-Variables!$B$14),""))</f>
        <v>2</v>
      </c>
      <c r="AB208" s="10">
        <v>45636</v>
      </c>
      <c r="AC208" s="11">
        <f>IF($H208="Cancelled","",IFERROR(IF(AB208="","",IF(AND(W208="",Y208=""),"",IF(Y208&gt;W208,Y208+Variables!$B$15+Variables!$B$16+Variables!$B$17-AB208,W208+Variables!$B$16+Variables!$B$17-AB208))),""))</f>
        <v>5</v>
      </c>
      <c r="AD208" s="9" t="s">
        <v>163</v>
      </c>
      <c r="AE208" s="9" t="s">
        <v>584</v>
      </c>
      <c r="AF208" s="10"/>
      <c r="AG208" s="10"/>
      <c r="AH208" s="9"/>
      <c r="AI208" s="9">
        <v>243130759</v>
      </c>
      <c r="AJ208" s="9" t="s">
        <v>8</v>
      </c>
      <c r="AK208" s="10">
        <v>45526</v>
      </c>
      <c r="AL208" s="10">
        <v>45534</v>
      </c>
      <c r="AM208" s="10">
        <v>45537</v>
      </c>
      <c r="AN208" s="9" t="s">
        <v>95</v>
      </c>
      <c r="AO208" s="9"/>
      <c r="AP208" s="11">
        <f>IF($H208="Cancelled","",IFERROR(IF(OR(AK208="",AB208=""),"",(AB208+Variables!$B$18-AK208)),""))</f>
        <v>117</v>
      </c>
      <c r="AQ208" s="11">
        <f>IF($H208="Cancelled","",IFERROR(IF(OR(AM208="",AK208=""),"",(AK208+Variables!$B$19)-AM208),""))</f>
        <v>-6</v>
      </c>
      <c r="AR208" s="12">
        <f>IF($H208="Cancelled","",IFERROR(T208*INDEX(Variables!$B$7:$D$7,IFERROR(MATCH(IF($B208="Robusta","Robusta",(IF($B208="","Arabica",$B208))&amp;" - "&amp;(IF($C208="","Commercial",$C208))),Variables!$B$1:$D$1,0),1))*(AQ208/365),""))</f>
        <v>-20.38265632615618</v>
      </c>
      <c r="AS208" s="12">
        <f>IF($H208="Cancelled","",IFERROR((T208*INDEX(Variables!$B$7:$D$7,IFERROR(MATCH(IF($B208="Robusta","Robusta",(IF($B208="","Arabica",$B208))&amp;" - "&amp;(IF($C208="","Commercial",$C208))),Variables!$B$1:$D$1,0),1))*IFERROR(IF(W208="","",(AVERAGE(E208:F208)-W208)-Variables!$B$14),"")/365)+(L208/16.67*INDEX(Variables!$B$8:$D$8,IFERROR(MATCH(IF($B208="Robusta","Robusta",(IF($B208="","Arabica",$B208))&amp;" - "&amp;(IF($C208="","Commercial",$C208))),Variables!$B$1:$D$1,0),1))*IFERROR(IF(W208="","",(AVERAGE(E208:F208)-W208)-Variables!$B$14),""))+(T208*INDEX(Variables!$B$9:$D$9,IFERROR(MATCH(IF($B208="Robusta","Robusta",(IF($B208="","Arabica",$B208))&amp;" - "&amp;(IF($C208="","Commercial",$C208))),Variables!$B$1:$D$1,0),1))*IFERROR(IF(W208="","",(AVERAGE(E208:F208)-W208)-Variables!$B$14),"")/365),""))</f>
        <v>11.881809367331355</v>
      </c>
      <c r="AT208" s="12">
        <f>IF($H208="Cancelled","",IFERROR((T208*INDEX(Variables!$B$7:$D$7,IFERROR(MATCH(IF($B208="Robusta","Robusta",(IF($B208="","Arabica",$B208))&amp;" - "&amp;(IF($C208="","Commercial",$C208))),Variables!$B$1:$D$1,0),1))*AC208/365)+(L208/16.67*INDEX(Variables!$B$8:$D$8,IFERROR(MATCH(IF($B208="Robusta","Robusta",(IF($B208="","Arabica",$B208))&amp;" - "&amp;(IF($C208="","Commercial",$C208))),Variables!$B$1:$D$1,0),1))*AC208)+(T208*INDEX(Variables!$B$9:$D$9,IFERROR(MATCH(IF($B208="Robusta","Robusta",(IF($B208="","Arabica",$B208))&amp;" - "&amp;(IF($C208="","Commercial",$C208))),Variables!$B$1:$D$1,0),1))*AC208/365),""))</f>
        <v>29.704523418328389</v>
      </c>
      <c r="AU208" s="12">
        <f>IF($H208="Cancelled","",IFERROR((T208*INDEX(Variables!$B$7:$D$7,IFERROR(MATCH(IF($B208="Robusta","Robusta",(IF($B208="","Arabica",$B208))&amp;" - "&amp;(IF($C208="","Commercial",$C208))),Variables!$B$1:$D$1,0),1))*AP208/365)+(L208/16.67*INDEX(Variables!$B$8:$D$8,IFERROR(MATCH(IF($B208="Robusta","Robusta",(IF($B208="","Arabica",$B208))&amp;" - "&amp;(IF($C208="","Commercial",$C208))),Variables!$B$1:$D$1,0),1))*AP208)+(T208*INDEX(Variables!$B$9:$D$9,IFERROR(MATCH(IF($B208="Robusta","Robusta",(IF($B208="","Arabica",$B208))&amp;" - "&amp;(IF($C208="","Commercial",$C208))),Variables!$B$1:$D$1,0),1))*AP208/365),""))</f>
        <v>695.08584798888432</v>
      </c>
      <c r="AV208" s="11">
        <f t="shared" si="23"/>
        <v>9</v>
      </c>
      <c r="AW208" s="12">
        <f>IF($H208="Cancelled","",IFERROR(IF(AV208="","",(T208*INDEX(Variables!$B$7:$D$7,IFERROR(MATCH(IF($B208="Robusta","Robusta",(IF($B208="","Arabica",$B208))&amp;" - "&amp;(IF($C208="","Commercial",$C208))),Variables!$B$1:$D$1,0),1))*(AV208/365))+(T208*INDEX(Variables!$B$9:$D$9,IFERROR(MATCH(IF($B208="Robusta","Robusta",(IF($B208="","Arabica",$B208))&amp;" - "&amp;(IF($C208="","Commercial",$C208))),Variables!$B$1:$D$1,0),1))*(AV208/365))+(INDEX(Variables!$B$8:$D$8,IFERROR(MATCH(IF($B208="Robusta","Robusta",(IF($B208="","Arabica",$B208))&amp;" - "&amp;(IF($C208="","Commercial",$C208))),Variables!$B$1:$D$1,0),1))*L208/16.67)),""))</f>
        <v>33.468142152991099</v>
      </c>
      <c r="AX208" s="9"/>
      <c r="AY208" s="12"/>
      <c r="AZ208" s="10"/>
      <c r="BA208" s="9"/>
      <c r="BB208" s="10"/>
      <c r="BC208" s="9"/>
      <c r="BD208" s="9"/>
      <c r="BE208" s="9"/>
      <c r="BF208" s="9"/>
    </row>
    <row r="209" spans="1:58" x14ac:dyDescent="0.25">
      <c r="A209" s="9" t="s">
        <v>84</v>
      </c>
      <c r="B209" s="9" t="s">
        <v>85</v>
      </c>
      <c r="C209" s="9" t="s">
        <v>86</v>
      </c>
      <c r="D209" s="10">
        <v>45503</v>
      </c>
      <c r="E209" s="10">
        <v>45505</v>
      </c>
      <c r="F209" s="10">
        <v>45535</v>
      </c>
      <c r="G209" s="9">
        <v>3786469</v>
      </c>
      <c r="H209" s="9" t="str">
        <f t="shared" si="21"/>
        <v>Closed</v>
      </c>
      <c r="I209" s="9" t="str">
        <f t="shared" si="22"/>
        <v>All dates received</v>
      </c>
      <c r="J209" s="9" t="s">
        <v>494</v>
      </c>
      <c r="K209" s="9" t="s">
        <v>622</v>
      </c>
      <c r="L209" s="11">
        <v>70</v>
      </c>
      <c r="M209" s="9" t="s">
        <v>620</v>
      </c>
      <c r="N209" s="9" t="s">
        <v>621</v>
      </c>
      <c r="O209" s="9"/>
      <c r="P209" s="9"/>
      <c r="Q209" s="11"/>
      <c r="R209" s="9" t="s">
        <v>195</v>
      </c>
      <c r="S209" s="9" t="s">
        <v>586</v>
      </c>
      <c r="T209" s="12">
        <f>IF($H209="Cancelled","",IFERROR(((Q209+INDEX(Variables!$B$6:$D$6,IFERROR(MATCH(IF($B209="Robusta","Robusta",(IF($B209="","Arabica",$B209))&amp;" - "&amp;(IF($C209="","Commercial",$C209))),Variables!$B$1:$D$1,0),1)))*22.0462)*(L209/16.67),""))</f>
        <v>26920.962639472102</v>
      </c>
      <c r="U209" s="10"/>
      <c r="V209" s="9" t="s">
        <v>195</v>
      </c>
      <c r="W209" s="10">
        <v>45488</v>
      </c>
      <c r="X209" s="9" t="str">
        <f t="shared" si="17"/>
        <v>Approved</v>
      </c>
      <c r="Y209" s="10">
        <v>45626</v>
      </c>
      <c r="Z209" s="10">
        <f>IF($H209="Cancelled","",IFERROR(IF(F209="","",F209-Variables!$B$13),""))</f>
        <v>45520</v>
      </c>
      <c r="AA209" s="11">
        <f>IF($H209="Cancelled","",IFERROR(IF(W209="","",(AVERAGE(E209:F209)-W209)-Variables!$B$14),""))</f>
        <v>2</v>
      </c>
      <c r="AB209" s="10">
        <v>45636</v>
      </c>
      <c r="AC209" s="11">
        <f>IF($H209="Cancelled","",IFERROR(IF(AB209="","",IF(AND(W209="",Y209=""),"",IF(Y209&gt;W209,Y209+Variables!$B$15+Variables!$B$16+Variables!$B$17-AB209,W209+Variables!$B$16+Variables!$B$17-AB209))),""))</f>
        <v>5</v>
      </c>
      <c r="AD209" s="9" t="s">
        <v>163</v>
      </c>
      <c r="AE209" s="9" t="s">
        <v>584</v>
      </c>
      <c r="AF209" s="10"/>
      <c r="AG209" s="10"/>
      <c r="AH209" s="9"/>
      <c r="AI209" s="9">
        <v>243130898</v>
      </c>
      <c r="AJ209" s="9" t="s">
        <v>8</v>
      </c>
      <c r="AK209" s="10">
        <v>45526</v>
      </c>
      <c r="AL209" s="10">
        <v>45534</v>
      </c>
      <c r="AM209" s="10">
        <v>45537</v>
      </c>
      <c r="AN209" s="9" t="s">
        <v>95</v>
      </c>
      <c r="AO209" s="9"/>
      <c r="AP209" s="11">
        <f>IF($H209="Cancelled","",IFERROR(IF(OR(AK209="",AB209=""),"",(AB209+Variables!$B$18-AK209)),""))</f>
        <v>117</v>
      </c>
      <c r="AQ209" s="11">
        <f>IF($H209="Cancelled","",IFERROR(IF(OR(AM209="",AK209=""),"",(AK209+Variables!$B$19)-AM209),""))</f>
        <v>-6</v>
      </c>
      <c r="AR209" s="12">
        <f>IF($H209="Cancelled","",IFERROR(T209*INDEX(Variables!$B$7:$D$7,IFERROR(MATCH(IF($B209="Robusta","Robusta",(IF($B209="","Arabica",$B209))&amp;" - "&amp;(IF($C209="","Commercial",$C209))),Variables!$B$1:$D$1,0),1))*(AQ209/365),""))</f>
        <v>-28.535718856618651</v>
      </c>
      <c r="AS209" s="12">
        <f>IF($H209="Cancelled","",IFERROR((T209*INDEX(Variables!$B$7:$D$7,IFERROR(MATCH(IF($B209="Robusta","Robusta",(IF($B209="","Arabica",$B209))&amp;" - "&amp;(IF($C209="","Commercial",$C209))),Variables!$B$1:$D$1,0),1))*IFERROR(IF(W209="","",(AVERAGE(E209:F209)-W209)-Variables!$B$14),"")/365)+(L209/16.67*INDEX(Variables!$B$8:$D$8,IFERROR(MATCH(IF($B209="Robusta","Robusta",(IF($B209="","Arabica",$B209))&amp;" - "&amp;(IF($C209="","Commercial",$C209))),Variables!$B$1:$D$1,0),1))*IFERROR(IF(W209="","",(AVERAGE(E209:F209)-W209)-Variables!$B$14),""))+(T209*INDEX(Variables!$B$9:$D$9,IFERROR(MATCH(IF($B209="Robusta","Robusta",(IF($B209="","Arabica",$B209))&amp;" - "&amp;(IF($C209="","Commercial",$C209))),Variables!$B$1:$D$1,0),1))*IFERROR(IF(W209="","",(AVERAGE(E209:F209)-W209)-Variables!$B$14),"")/365),""))</f>
        <v>16.634533114263899</v>
      </c>
      <c r="AT209" s="12">
        <f>IF($H209="Cancelled","",IFERROR((T209*INDEX(Variables!$B$7:$D$7,IFERROR(MATCH(IF($B209="Robusta","Robusta",(IF($B209="","Arabica",$B209))&amp;" - "&amp;(IF($C209="","Commercial",$C209))),Variables!$B$1:$D$1,0),1))*AC209/365)+(L209/16.67*INDEX(Variables!$B$8:$D$8,IFERROR(MATCH(IF($B209="Robusta","Robusta",(IF($B209="","Arabica",$B209))&amp;" - "&amp;(IF($C209="","Commercial",$C209))),Variables!$B$1:$D$1,0),1))*AC209)+(T209*INDEX(Variables!$B$9:$D$9,IFERROR(MATCH(IF($B209="Robusta","Robusta",(IF($B209="","Arabica",$B209))&amp;" - "&amp;(IF($C209="","Commercial",$C209))),Variables!$B$1:$D$1,0),1))*AC209/365),""))</f>
        <v>41.586332785659742</v>
      </c>
      <c r="AU209" s="12">
        <f>IF($H209="Cancelled","",IFERROR((T209*INDEX(Variables!$B$7:$D$7,IFERROR(MATCH(IF($B209="Robusta","Robusta",(IF($B209="","Arabica",$B209))&amp;" - "&amp;(IF($C209="","Commercial",$C209))),Variables!$B$1:$D$1,0),1))*AP209/365)+(L209/16.67*INDEX(Variables!$B$8:$D$8,IFERROR(MATCH(IF($B209="Robusta","Robusta",(IF($B209="","Arabica",$B209))&amp;" - "&amp;(IF($C209="","Commercial",$C209))),Variables!$B$1:$D$1,0),1))*AP209)+(T209*INDEX(Variables!$B$9:$D$9,IFERROR(MATCH(IF($B209="Robusta","Robusta",(IF($B209="","Arabica",$B209))&amp;" - "&amp;(IF($C209="","Commercial",$C209))),Variables!$B$1:$D$1,0),1))*AP209/365),""))</f>
        <v>973.1201871844379</v>
      </c>
      <c r="AV209" s="11">
        <f t="shared" si="23"/>
        <v>9</v>
      </c>
      <c r="AW209" s="12">
        <f>IF($H209="Cancelled","",IFERROR(IF(AV209="","",(T209*INDEX(Variables!$B$7:$D$7,IFERROR(MATCH(IF($B209="Robusta","Robusta",(IF($B209="","Arabica",$B209))&amp;" - "&amp;(IF($C209="","Commercial",$C209))),Variables!$B$1:$D$1,0),1))*(AV209/365))+(T209*INDEX(Variables!$B$9:$D$9,IFERROR(MATCH(IF($B209="Robusta","Robusta",(IF($B209="","Arabica",$B209))&amp;" - "&amp;(IF($C209="","Commercial",$C209))),Variables!$B$1:$D$1,0),1))*(AV209/365))+(INDEX(Variables!$B$8:$D$8,IFERROR(MATCH(IF($B209="Robusta","Robusta",(IF($B209="","Arabica",$B209))&amp;" - "&amp;(IF($C209="","Commercial",$C209))),Variables!$B$1:$D$1,0),1))*L209/16.67)),""))</f>
        <v>46.85539901418754</v>
      </c>
      <c r="AX209" s="9"/>
      <c r="AY209" s="12"/>
      <c r="AZ209" s="10"/>
      <c r="BA209" s="9"/>
      <c r="BB209" s="10"/>
      <c r="BC209" s="9"/>
      <c r="BD209" s="9"/>
      <c r="BE209" s="9"/>
      <c r="BF209" s="9"/>
    </row>
    <row r="210" spans="1:58" x14ac:dyDescent="0.25">
      <c r="A210" s="9" t="s">
        <v>84</v>
      </c>
      <c r="B210" s="9" t="s">
        <v>85</v>
      </c>
      <c r="C210" s="9" t="s">
        <v>86</v>
      </c>
      <c r="D210" s="10">
        <v>45503</v>
      </c>
      <c r="E210" s="10">
        <v>45505</v>
      </c>
      <c r="F210" s="10">
        <v>45535</v>
      </c>
      <c r="G210" s="9">
        <v>3786472</v>
      </c>
      <c r="H210" s="9" t="str">
        <f t="shared" si="21"/>
        <v>Closed</v>
      </c>
      <c r="I210" s="9" t="str">
        <f t="shared" si="22"/>
        <v>All dates received</v>
      </c>
      <c r="J210" s="9" t="s">
        <v>240</v>
      </c>
      <c r="K210" s="9" t="s">
        <v>623</v>
      </c>
      <c r="L210" s="11">
        <v>360</v>
      </c>
      <c r="M210" s="9" t="s">
        <v>624</v>
      </c>
      <c r="N210" s="9" t="s">
        <v>242</v>
      </c>
      <c r="O210" s="9"/>
      <c r="P210" s="9"/>
      <c r="Q210" s="11"/>
      <c r="R210" s="9" t="s">
        <v>90</v>
      </c>
      <c r="S210" s="9" t="s">
        <v>625</v>
      </c>
      <c r="T210" s="12">
        <f>IF($H210="Cancelled","",IFERROR(((Q210+INDEX(Variables!$B$6:$D$6,IFERROR(MATCH(IF($B210="Robusta","Robusta",(IF($B210="","Arabica",$B210))&amp;" - "&amp;(IF($C210="","Commercial",$C210))),Variables!$B$1:$D$1,0),1)))*22.0462)*(L210/16.67),""))</f>
        <v>138450.66500299939</v>
      </c>
      <c r="U210" s="10">
        <v>45506</v>
      </c>
      <c r="V210" s="9" t="str">
        <f t="shared" ref="V210:V239" si="24">IF(ISNUMBER(U210),"Sent","")</f>
        <v>Sent</v>
      </c>
      <c r="W210" s="10">
        <v>45530</v>
      </c>
      <c r="X210" s="9" t="str">
        <f t="shared" si="17"/>
        <v>Approved</v>
      </c>
      <c r="Y210" s="10"/>
      <c r="Z210" s="10">
        <f>IF($H210="Cancelled","",IFERROR(IF(F210="","",F210-Variables!$B$13),""))</f>
        <v>45520</v>
      </c>
      <c r="AA210" s="11">
        <f>IF($H210="Cancelled","",IFERROR(IF(W210="","",(AVERAGE(E210:F210)-W210)-Variables!$B$14),""))</f>
        <v>-40</v>
      </c>
      <c r="AB210" s="10">
        <v>45635</v>
      </c>
      <c r="AC210" s="11">
        <f>IF($H210="Cancelled","",IFERROR(IF(AB210="","",IF(AND(W210="",Y210=""),"",IF(Y210&gt;W210,Y210+Variables!$B$15+Variables!$B$16+Variables!$B$17-AB210,W210+Variables!$B$16+Variables!$B$17-AB210))),""))</f>
        <v>-97</v>
      </c>
      <c r="AD210" s="9" t="s">
        <v>163</v>
      </c>
      <c r="AE210" s="9" t="s">
        <v>598</v>
      </c>
      <c r="AF210" s="10"/>
      <c r="AG210" s="10"/>
      <c r="AH210" s="9"/>
      <c r="AI210" s="9">
        <v>243824273</v>
      </c>
      <c r="AJ210" s="9" t="s">
        <v>8</v>
      </c>
      <c r="AK210" s="10">
        <v>45540</v>
      </c>
      <c r="AL210" s="10">
        <v>45545</v>
      </c>
      <c r="AM210" s="10">
        <v>45545</v>
      </c>
      <c r="AN210" s="9" t="s">
        <v>95</v>
      </c>
      <c r="AO210" s="9"/>
      <c r="AP210" s="11">
        <f>IF($H210="Cancelled","",IFERROR(IF(OR(AK210="",AB210=""),"",(AB210+Variables!$B$18-AK210)),""))</f>
        <v>102</v>
      </c>
      <c r="AQ210" s="11">
        <f>IF($H210="Cancelled","",IFERROR(IF(OR(AM210="",AK210=""),"",(AK210+Variables!$B$19)-AM210),""))</f>
        <v>0</v>
      </c>
      <c r="AR210" s="12">
        <f>IF($H210="Cancelled","",IFERROR(T210*INDEX(Variables!$B$7:$D$7,IFERROR(MATCH(IF($B210="Robusta","Robusta",(IF($B210="","Arabica",$B210))&amp;" - "&amp;(IF($C210="","Commercial",$C210))),Variables!$B$1:$D$1,0),1))*(AQ210/365),""))</f>
        <v>0</v>
      </c>
      <c r="AS210" s="12">
        <f>IF($H210="Cancelled","",IFERROR((T210*INDEX(Variables!$B$7:$D$7,IFERROR(MATCH(IF($B210="Robusta","Robusta",(IF($B210="","Arabica",$B210))&amp;" - "&amp;(IF($C210="","Commercial",$C210))),Variables!$B$1:$D$1,0),1))*IFERROR(IF(W210="","",(AVERAGE(E210:F210)-W210)-Variables!$B$14),"")/365)+(L210/16.67*INDEX(Variables!$B$8:$D$8,IFERROR(MATCH(IF($B210="Robusta","Robusta",(IF($B210="","Arabica",$B210))&amp;" - "&amp;(IF($C210="","Commercial",$C210))),Variables!$B$1:$D$1,0),1))*IFERROR(IF(W210="","",(AVERAGE(E210:F210)-W210)-Variables!$B$14),""))+(T210*INDEX(Variables!$B$9:$D$9,IFERROR(MATCH(IF($B210="Robusta","Robusta",(IF($B210="","Arabica",$B210))&amp;" - "&amp;(IF($C210="","Commercial",$C210))),Variables!$B$1:$D$1,0),1))*IFERROR(IF(W210="","",(AVERAGE(E210:F210)-W210)-Variables!$B$14),"")/365),""))</f>
        <v>-1710.9805488957154</v>
      </c>
      <c r="AT210" s="12">
        <f>IF($H210="Cancelled","",IFERROR((T210*INDEX(Variables!$B$7:$D$7,IFERROR(MATCH(IF($B210="Robusta","Robusta",(IF($B210="","Arabica",$B210))&amp;" - "&amp;(IF($C210="","Commercial",$C210))),Variables!$B$1:$D$1,0),1))*AC210/365)+(L210/16.67*INDEX(Variables!$B$8:$D$8,IFERROR(MATCH(IF($B210="Robusta","Robusta",(IF($B210="","Arabica",$B210))&amp;" - "&amp;(IF($C210="","Commercial",$C210))),Variables!$B$1:$D$1,0),1))*AC210)+(T210*INDEX(Variables!$B$9:$D$9,IFERROR(MATCH(IF($B210="Robusta","Robusta",(IF($B210="","Arabica",$B210))&amp;" - "&amp;(IF($C210="","Commercial",$C210))),Variables!$B$1:$D$1,0),1))*AC210/365),""))</f>
        <v>-4149.12783107211</v>
      </c>
      <c r="AU210" s="12">
        <f>IF($H210="Cancelled","",IFERROR((T210*INDEX(Variables!$B$7:$D$7,IFERROR(MATCH(IF($B210="Robusta","Robusta",(IF($B210="","Arabica",$B210))&amp;" - "&amp;(IF($C210="","Commercial",$C210))),Variables!$B$1:$D$1,0),1))*AP210/365)+(L210/16.67*INDEX(Variables!$B$8:$D$8,IFERROR(MATCH(IF($B210="Robusta","Robusta",(IF($B210="","Arabica",$B210))&amp;" - "&amp;(IF($C210="","Commercial",$C210))),Variables!$B$1:$D$1,0),1))*AP210)+(T210*INDEX(Variables!$B$9:$D$9,IFERROR(MATCH(IF($B210="Robusta","Robusta",(IF($B210="","Arabica",$B210))&amp;" - "&amp;(IF($C210="","Commercial",$C210))),Variables!$B$1:$D$1,0),1))*AP210/365),""))</f>
        <v>4363.0003996840742</v>
      </c>
      <c r="AV210" s="11">
        <f t="shared" si="23"/>
        <v>-5</v>
      </c>
      <c r="AW210" s="12">
        <f>IF($H210="Cancelled","",IFERROR(IF(AV210="","",(T210*INDEX(Variables!$B$7:$D$7,IFERROR(MATCH(IF($B210="Robusta","Robusta",(IF($B210="","Arabica",$B210))&amp;" - "&amp;(IF($C210="","Commercial",$C210))),Variables!$B$1:$D$1,0),1))*(AV210/365))+(T210*INDEX(Variables!$B$9:$D$9,IFERROR(MATCH(IF($B210="Robusta","Robusta",(IF($B210="","Arabica",$B210))&amp;" - "&amp;(IF($C210="","Commercial",$C210))),Variables!$B$1:$D$1,0),1))*(AV210/365))+(INDEX(Variables!$B$8:$D$8,IFERROR(MATCH(IF($B210="Robusta","Robusta",(IF($B210="","Arabica",$B210))&amp;" - "&amp;(IF($C210="","Commercial",$C210))),Variables!$B$1:$D$1,0),1))*L210/16.67)),""))</f>
        <v>-105.87256861196438</v>
      </c>
      <c r="AX210" s="9"/>
      <c r="AY210" s="12"/>
      <c r="AZ210" s="10"/>
      <c r="BA210" s="9"/>
      <c r="BB210" s="10"/>
      <c r="BC210" s="9"/>
      <c r="BD210" s="9"/>
      <c r="BE210" s="9"/>
      <c r="BF210" s="9"/>
    </row>
    <row r="211" spans="1:58" x14ac:dyDescent="0.25">
      <c r="A211" s="9" t="s">
        <v>84</v>
      </c>
      <c r="B211" s="9" t="s">
        <v>85</v>
      </c>
      <c r="C211" s="9" t="s">
        <v>86</v>
      </c>
      <c r="D211" s="10">
        <v>45503</v>
      </c>
      <c r="E211" s="10">
        <v>45505</v>
      </c>
      <c r="F211" s="10">
        <v>45535</v>
      </c>
      <c r="G211" s="9">
        <v>3786472</v>
      </c>
      <c r="H211" s="9" t="str">
        <f t="shared" si="21"/>
        <v>Closed</v>
      </c>
      <c r="I211" s="9" t="str">
        <f t="shared" si="22"/>
        <v>All dates received</v>
      </c>
      <c r="J211" s="9" t="s">
        <v>240</v>
      </c>
      <c r="K211" s="9" t="s">
        <v>626</v>
      </c>
      <c r="L211" s="11">
        <v>320</v>
      </c>
      <c r="M211" s="9" t="s">
        <v>624</v>
      </c>
      <c r="N211" s="9" t="s">
        <v>242</v>
      </c>
      <c r="O211" s="9"/>
      <c r="P211" s="9"/>
      <c r="Q211" s="11"/>
      <c r="R211" s="9" t="s">
        <v>90</v>
      </c>
      <c r="S211" s="9" t="s">
        <v>392</v>
      </c>
      <c r="T211" s="12">
        <f>IF($H211="Cancelled","",IFERROR(((Q211+INDEX(Variables!$B$6:$D$6,IFERROR(MATCH(IF($B211="Robusta","Robusta",(IF($B211="","Arabica",$B211))&amp;" - "&amp;(IF($C211="","Commercial",$C211))),Variables!$B$1:$D$1,0),1)))*22.0462)*(L211/16.67),""))</f>
        <v>123067.25778044391</v>
      </c>
      <c r="U211" s="10">
        <v>45506</v>
      </c>
      <c r="V211" s="9" t="str">
        <f t="shared" si="24"/>
        <v>Sent</v>
      </c>
      <c r="W211" s="10">
        <v>45530</v>
      </c>
      <c r="X211" s="9" t="str">
        <f t="shared" si="17"/>
        <v>Approved</v>
      </c>
      <c r="Y211" s="10"/>
      <c r="Z211" s="10">
        <f>IF($H211="Cancelled","",IFERROR(IF(F211="","",F211-Variables!$B$13),""))</f>
        <v>45520</v>
      </c>
      <c r="AA211" s="11">
        <f>IF($H211="Cancelled","",IFERROR(IF(W211="","",(AVERAGE(E211:F211)-W211)-Variables!$B$14),""))</f>
        <v>-40</v>
      </c>
      <c r="AB211" s="10">
        <v>45635</v>
      </c>
      <c r="AC211" s="11">
        <f>IF($H211="Cancelled","",IFERROR(IF(AB211="","",IF(AND(W211="",Y211=""),"",IF(Y211&gt;W211,Y211+Variables!$B$15+Variables!$B$16+Variables!$B$17-AB211,W211+Variables!$B$16+Variables!$B$17-AB211))),""))</f>
        <v>-97</v>
      </c>
      <c r="AD211" s="9" t="s">
        <v>107</v>
      </c>
      <c r="AE211" s="9" t="s">
        <v>374</v>
      </c>
      <c r="AF211" s="10"/>
      <c r="AG211" s="10"/>
      <c r="AH211" s="9"/>
      <c r="AI211" s="9" t="s">
        <v>627</v>
      </c>
      <c r="AJ211" s="9" t="s">
        <v>8</v>
      </c>
      <c r="AK211" s="10">
        <v>45542</v>
      </c>
      <c r="AL211" s="10">
        <v>45545</v>
      </c>
      <c r="AM211" s="10">
        <v>45548</v>
      </c>
      <c r="AN211" s="9" t="s">
        <v>95</v>
      </c>
      <c r="AO211" s="9"/>
      <c r="AP211" s="11">
        <f>IF($H211="Cancelled","",IFERROR(IF(OR(AK211="",AB211=""),"",(AB211+Variables!$B$18-AK211)),""))</f>
        <v>100</v>
      </c>
      <c r="AQ211" s="11">
        <f>IF($H211="Cancelled","",IFERROR(IF(OR(AM211="",AK211=""),"",(AK211+Variables!$B$19)-AM211),""))</f>
        <v>-1</v>
      </c>
      <c r="AR211" s="12">
        <f>IF($H211="Cancelled","",IFERROR(T211*INDEX(Variables!$B$7:$D$7,IFERROR(MATCH(IF($B211="Robusta","Robusta",(IF($B211="","Arabica",$B211))&amp;" - "&amp;(IF($C211="","Commercial",$C211))),Variables!$B$1:$D$1,0),1))*(AQ211/365),""))</f>
        <v>-21.741500081233262</v>
      </c>
      <c r="AS211" s="12">
        <f>IF($H211="Cancelled","",IFERROR((T211*INDEX(Variables!$B$7:$D$7,IFERROR(MATCH(IF($B211="Robusta","Robusta",(IF($B211="","Arabica",$B211))&amp;" - "&amp;(IF($C211="","Commercial",$C211))),Variables!$B$1:$D$1,0),1))*IFERROR(IF(W211="","",(AVERAGE(E211:F211)-W211)-Variables!$B$14),"")/365)+(L211/16.67*INDEX(Variables!$B$8:$D$8,IFERROR(MATCH(IF($B211="Robusta","Robusta",(IF($B211="","Arabica",$B211))&amp;" - "&amp;(IF($C211="","Commercial",$C211))),Variables!$B$1:$D$1,0),1))*IFERROR(IF(W211="","",(AVERAGE(E211:F211)-W211)-Variables!$B$14),""))+(T211*INDEX(Variables!$B$9:$D$9,IFERROR(MATCH(IF($B211="Robusta","Robusta",(IF($B211="","Arabica",$B211))&amp;" - "&amp;(IF($C211="","Commercial",$C211))),Variables!$B$1:$D$1,0),1))*IFERROR(IF(W211="","",(AVERAGE(E211:F211)-W211)-Variables!$B$14),"")/365),""))</f>
        <v>-1520.8715990184135</v>
      </c>
      <c r="AT211" s="12">
        <f>IF($H211="Cancelled","",IFERROR((T211*INDEX(Variables!$B$7:$D$7,IFERROR(MATCH(IF($B211="Robusta","Robusta",(IF($B211="","Arabica",$B211))&amp;" - "&amp;(IF($C211="","Commercial",$C211))),Variables!$B$1:$D$1,0),1))*AC211/365)+(L211/16.67*INDEX(Variables!$B$8:$D$8,IFERROR(MATCH(IF($B211="Robusta","Robusta",(IF($B211="","Arabica",$B211))&amp;" - "&amp;(IF($C211="","Commercial",$C211))),Variables!$B$1:$D$1,0),1))*AC211)+(T211*INDEX(Variables!$B$9:$D$9,IFERROR(MATCH(IF($B211="Robusta","Robusta",(IF($B211="","Arabica",$B211))&amp;" - "&amp;(IF($C211="","Commercial",$C211))),Variables!$B$1:$D$1,0),1))*AC211/365),""))</f>
        <v>-3688.113627619653</v>
      </c>
      <c r="AU211" s="12">
        <f>IF($H211="Cancelled","",IFERROR((T211*INDEX(Variables!$B$7:$D$7,IFERROR(MATCH(IF($B211="Robusta","Robusta",(IF($B211="","Arabica",$B211))&amp;" - "&amp;(IF($C211="","Commercial",$C211))),Variables!$B$1:$D$1,0),1))*AP211/365)+(L211/16.67*INDEX(Variables!$B$8:$D$8,IFERROR(MATCH(IF($B211="Robusta","Robusta",(IF($B211="","Arabica",$B211))&amp;" - "&amp;(IF($C211="","Commercial",$C211))),Variables!$B$1:$D$1,0),1))*AP211)+(T211*INDEX(Variables!$B$9:$D$9,IFERROR(MATCH(IF($B211="Robusta","Robusta",(IF($B211="","Arabica",$B211))&amp;" - "&amp;(IF($C211="","Commercial",$C211))),Variables!$B$1:$D$1,0),1))*AP211/365),""))</f>
        <v>3802.1789975460338</v>
      </c>
      <c r="AV211" s="11">
        <f t="shared" si="23"/>
        <v>-7</v>
      </c>
      <c r="AW211" s="12">
        <f>IF($H211="Cancelled","",IFERROR(IF(AV211="","",(T211*INDEX(Variables!$B$7:$D$7,IFERROR(MATCH(IF($B211="Robusta","Robusta",(IF($B211="","Arabica",$B211))&amp;" - "&amp;(IF($C211="","Commercial",$C211))),Variables!$B$1:$D$1,0),1))*(AV211/365))+(T211*INDEX(Variables!$B$9:$D$9,IFERROR(MATCH(IF($B211="Robusta","Robusta",(IF($B211="","Arabica",$B211))&amp;" - "&amp;(IF($C211="","Commercial",$C211))),Variables!$B$1:$D$1,0),1))*(AV211/365))+(INDEX(Variables!$B$8:$D$8,IFERROR(MATCH(IF($B211="Robusta","Robusta",(IF($B211="","Arabica",$B211))&amp;" - "&amp;(IF($C211="","Commercial",$C211))),Variables!$B$1:$D$1,0),1))*L211/16.67)),""))</f>
        <v>-138.15252982822238</v>
      </c>
      <c r="AX211" s="9"/>
      <c r="AY211" s="12"/>
      <c r="AZ211" s="10"/>
      <c r="BA211" s="9"/>
      <c r="BB211" s="10"/>
      <c r="BC211" s="9"/>
      <c r="BD211" s="9"/>
      <c r="BE211" s="9"/>
      <c r="BF211" s="9"/>
    </row>
    <row r="212" spans="1:58" x14ac:dyDescent="0.25">
      <c r="A212" s="9" t="s">
        <v>84</v>
      </c>
      <c r="B212" s="9" t="s">
        <v>85</v>
      </c>
      <c r="C212" s="9" t="s">
        <v>86</v>
      </c>
      <c r="D212" s="10">
        <v>45503</v>
      </c>
      <c r="E212" s="10">
        <v>45536</v>
      </c>
      <c r="F212" s="10">
        <v>45549</v>
      </c>
      <c r="G212" s="9">
        <v>3786471</v>
      </c>
      <c r="H212" s="9" t="str">
        <f t="shared" si="21"/>
        <v>Closed</v>
      </c>
      <c r="I212" s="9" t="str">
        <f t="shared" si="22"/>
        <v>All dates received</v>
      </c>
      <c r="J212" s="9" t="s">
        <v>102</v>
      </c>
      <c r="K212" s="9">
        <v>5070</v>
      </c>
      <c r="L212" s="11">
        <v>720</v>
      </c>
      <c r="M212" s="9" t="s">
        <v>628</v>
      </c>
      <c r="N212" s="9" t="s">
        <v>629</v>
      </c>
      <c r="O212" s="9"/>
      <c r="P212" s="9"/>
      <c r="Q212" s="11"/>
      <c r="R212" s="9" t="s">
        <v>90</v>
      </c>
      <c r="S212" s="9" t="s">
        <v>178</v>
      </c>
      <c r="T212" s="12">
        <f>IF($H212="Cancelled","",IFERROR(((Q212+INDEX(Variables!$B$6:$D$6,IFERROR(MATCH(IF($B212="Robusta","Robusta",(IF($B212="","Arabica",$B212))&amp;" - "&amp;(IF($C212="","Commercial",$C212))),Variables!$B$1:$D$1,0),1)))*22.0462)*(L212/16.67),""))</f>
        <v>276901.33000599878</v>
      </c>
      <c r="U212" s="10">
        <v>45527</v>
      </c>
      <c r="V212" s="9" t="str">
        <f t="shared" si="24"/>
        <v>Sent</v>
      </c>
      <c r="W212" s="10">
        <v>45546</v>
      </c>
      <c r="X212" s="9" t="str">
        <f t="shared" si="17"/>
        <v>Approved</v>
      </c>
      <c r="Y212" s="10"/>
      <c r="Z212" s="10">
        <f>IF($H212="Cancelled","",IFERROR(IF(F212="","",F212-Variables!$B$13),""))</f>
        <v>45534</v>
      </c>
      <c r="AA212" s="11">
        <f>IF($H212="Cancelled","",IFERROR(IF(W212="","",(AVERAGE(E212:F212)-W212)-Variables!$B$14),""))</f>
        <v>-33.5</v>
      </c>
      <c r="AB212" s="10">
        <v>45642</v>
      </c>
      <c r="AC212" s="11">
        <f>IF($H212="Cancelled","",IFERROR(IF(AB212="","",IF(AND(W212="",Y212=""),"",IF(Y212&gt;W212,Y212+Variables!$B$15+Variables!$B$16+Variables!$B$17-AB212,W212+Variables!$B$16+Variables!$B$17-AB212))),""))</f>
        <v>-88</v>
      </c>
      <c r="AD212" s="9" t="s">
        <v>163</v>
      </c>
      <c r="AE212" s="9" t="s">
        <v>164</v>
      </c>
      <c r="AF212" s="10"/>
      <c r="AG212" s="10"/>
      <c r="AH212" s="9"/>
      <c r="AI212" s="9">
        <v>243743707</v>
      </c>
      <c r="AJ212" s="9" t="s">
        <v>8</v>
      </c>
      <c r="AK212" s="10">
        <v>45561</v>
      </c>
      <c r="AL212" s="10">
        <v>45566</v>
      </c>
      <c r="AM212" s="10">
        <v>45566</v>
      </c>
      <c r="AN212" s="9" t="s">
        <v>95</v>
      </c>
      <c r="AO212" s="9"/>
      <c r="AP212" s="11">
        <f>IF($H212="Cancelled","",IFERROR(IF(OR(AK212="",AB212=""),"",(AB212+Variables!$B$18-AK212)),""))</f>
        <v>88</v>
      </c>
      <c r="AQ212" s="11">
        <f>IF($H212="Cancelled","",IFERROR(IF(OR(AM212="",AK212=""),"",(AK212+Variables!$B$19)-AM212),""))</f>
        <v>0</v>
      </c>
      <c r="AR212" s="12">
        <f>IF($H212="Cancelled","",IFERROR(T212*INDEX(Variables!$B$7:$D$7,IFERROR(MATCH(IF($B212="Robusta","Robusta",(IF($B212="","Arabica",$B212))&amp;" - "&amp;(IF($C212="","Commercial",$C212))),Variables!$B$1:$D$1,0),1))*(AQ212/365),""))</f>
        <v>0</v>
      </c>
      <c r="AS212" s="12">
        <f>IF($H212="Cancelled","",IFERROR((T212*INDEX(Variables!$B$7:$D$7,IFERROR(MATCH(IF($B212="Robusta","Robusta",(IF($B212="","Arabica",$B212))&amp;" - "&amp;(IF($C212="","Commercial",$C212))),Variables!$B$1:$D$1,0),1))*IFERROR(IF(W212="","",(AVERAGE(E212:F212)-W212)-Variables!$B$14),"")/365)+(L212/16.67*INDEX(Variables!$B$8:$D$8,IFERROR(MATCH(IF($B212="Robusta","Robusta",(IF($B212="","Arabica",$B212))&amp;" - "&amp;(IF($C212="","Commercial",$C212))),Variables!$B$1:$D$1,0),1))*IFERROR(IF(W212="","",(AVERAGE(E212:F212)-W212)-Variables!$B$14),""))+(T212*INDEX(Variables!$B$9:$D$9,IFERROR(MATCH(IF($B212="Robusta","Robusta",(IF($B212="","Arabica",$B212))&amp;" - "&amp;(IF($C212="","Commercial",$C212))),Variables!$B$1:$D$1,0),1))*IFERROR(IF(W212="","",(AVERAGE(E212:F212)-W212)-Variables!$B$14),"")/365),""))</f>
        <v>-2865.892419400323</v>
      </c>
      <c r="AT212" s="12">
        <f>IF($H212="Cancelled","",IFERROR((T212*INDEX(Variables!$B$7:$D$7,IFERROR(MATCH(IF($B212="Robusta","Robusta",(IF($B212="","Arabica",$B212))&amp;" - "&amp;(IF($C212="","Commercial",$C212))),Variables!$B$1:$D$1,0),1))*AC212/365)+(L212/16.67*INDEX(Variables!$B$8:$D$8,IFERROR(MATCH(IF($B212="Robusta","Robusta",(IF($B212="","Arabica",$B212))&amp;" - "&amp;(IF($C212="","Commercial",$C212))),Variables!$B$1:$D$1,0),1))*AC212)+(T212*INDEX(Variables!$B$9:$D$9,IFERROR(MATCH(IF($B212="Robusta","Robusta",(IF($B212="","Arabica",$B212))&amp;" - "&amp;(IF($C212="","Commercial",$C212))),Variables!$B$1:$D$1,0),1))*AC212/365),""))</f>
        <v>-7528.314415141147</v>
      </c>
      <c r="AU212" s="12">
        <f>IF($H212="Cancelled","",IFERROR((T212*INDEX(Variables!$B$7:$D$7,IFERROR(MATCH(IF($B212="Robusta","Robusta",(IF($B212="","Arabica",$B212))&amp;" - "&amp;(IF($C212="","Commercial",$C212))),Variables!$B$1:$D$1,0),1))*AP212/365)+(L212/16.67*INDEX(Variables!$B$8:$D$8,IFERROR(MATCH(IF($B212="Robusta","Robusta",(IF($B212="","Arabica",$B212))&amp;" - "&amp;(IF($C212="","Commercial",$C212))),Variables!$B$1:$D$1,0),1))*AP212)+(T212*INDEX(Variables!$B$9:$D$9,IFERROR(MATCH(IF($B212="Robusta","Robusta",(IF($B212="","Arabica",$B212))&amp;" - "&amp;(IF($C212="","Commercial",$C212))),Variables!$B$1:$D$1,0),1))*AP212/365),""))</f>
        <v>7528.314415141147</v>
      </c>
      <c r="AV212" s="11">
        <f t="shared" si="23"/>
        <v>-12</v>
      </c>
      <c r="AW212" s="12">
        <f>IF($H212="Cancelled","",IFERROR(IF(AV212="","",(T212*INDEX(Variables!$B$7:$D$7,IFERROR(MATCH(IF($B212="Robusta","Robusta",(IF($B212="","Arabica",$B212))&amp;" - "&amp;(IF($C212="","Commercial",$C212))),Variables!$B$1:$D$1,0),1))*(AV212/365))+(T212*INDEX(Variables!$B$9:$D$9,IFERROR(MATCH(IF($B212="Robusta","Robusta",(IF($B212="","Arabica",$B212))&amp;" - "&amp;(IF($C212="","Commercial",$C212))),Variables!$B$1:$D$1,0),1))*(AV212/365))+(INDEX(Variables!$B$8:$D$8,IFERROR(MATCH(IF($B212="Robusta","Robusta",(IF($B212="","Arabica",$B212))&amp;" - "&amp;(IF($C212="","Commercial",$C212))),Variables!$B$1:$D$1,0),1))*L212/16.67)),""))</f>
        <v>-558.58832933742906</v>
      </c>
      <c r="AX212" s="9"/>
      <c r="AY212" s="12"/>
      <c r="AZ212" s="10"/>
      <c r="BA212" s="9"/>
      <c r="BB212" s="10"/>
      <c r="BC212" s="9"/>
      <c r="BD212" s="9"/>
      <c r="BE212" s="9"/>
      <c r="BF212" s="9"/>
    </row>
    <row r="213" spans="1:58" x14ac:dyDescent="0.25">
      <c r="A213" s="9" t="s">
        <v>84</v>
      </c>
      <c r="B213" s="9" t="s">
        <v>85</v>
      </c>
      <c r="C213" s="9" t="s">
        <v>86</v>
      </c>
      <c r="D213" s="10">
        <v>45503</v>
      </c>
      <c r="E213" s="10">
        <v>45536</v>
      </c>
      <c r="F213" s="10">
        <v>45549</v>
      </c>
      <c r="G213" s="9">
        <v>3786473</v>
      </c>
      <c r="H213" s="9" t="str">
        <f t="shared" si="21"/>
        <v>Closed</v>
      </c>
      <c r="I213" s="9" t="str">
        <f t="shared" si="22"/>
        <v>All dates received</v>
      </c>
      <c r="J213" s="9" t="s">
        <v>193</v>
      </c>
      <c r="K213" s="9">
        <v>5075</v>
      </c>
      <c r="L213" s="11">
        <v>300</v>
      </c>
      <c r="M213" s="9" t="s">
        <v>630</v>
      </c>
      <c r="N213" s="9" t="s">
        <v>400</v>
      </c>
      <c r="O213" s="9"/>
      <c r="P213" s="9"/>
      <c r="Q213" s="11"/>
      <c r="R213" s="9" t="s">
        <v>90</v>
      </c>
      <c r="S213" s="9" t="s">
        <v>150</v>
      </c>
      <c r="T213" s="12">
        <f>IF($H213="Cancelled","",IFERROR(((Q213+INDEX(Variables!$B$6:$D$6,IFERROR(MATCH(IF($B213="Robusta","Robusta",(IF($B213="","Arabica",$B213))&amp;" - "&amp;(IF($C213="","Commercial",$C213))),Variables!$B$1:$D$1,0),1)))*22.0462)*(L213/16.67),""))</f>
        <v>115375.55416916615</v>
      </c>
      <c r="U213" s="10">
        <v>45506</v>
      </c>
      <c r="V213" s="9" t="str">
        <f t="shared" si="24"/>
        <v>Sent</v>
      </c>
      <c r="W213" s="10">
        <v>45516</v>
      </c>
      <c r="X213" s="9" t="str">
        <f t="shared" si="17"/>
        <v>Approved</v>
      </c>
      <c r="Y213" s="10"/>
      <c r="Z213" s="10">
        <f>IF($H213="Cancelled","",IFERROR(IF(F213="","",F213-Variables!$B$13),""))</f>
        <v>45534</v>
      </c>
      <c r="AA213" s="11">
        <f>IF($H213="Cancelled","",IFERROR(IF(W213="","",(AVERAGE(E213:F213)-W213)-Variables!$B$14),""))</f>
        <v>-3.5</v>
      </c>
      <c r="AB213" s="10">
        <v>45644</v>
      </c>
      <c r="AC213" s="11">
        <f>IF($H213="Cancelled","",IFERROR(IF(AB213="","",IF(AND(W213="",Y213=""),"",IF(Y213&gt;W213,Y213+Variables!$B$15+Variables!$B$16+Variables!$B$17-AB213,W213+Variables!$B$16+Variables!$B$17-AB213))),""))</f>
        <v>-120</v>
      </c>
      <c r="AD213" s="9" t="s">
        <v>180</v>
      </c>
      <c r="AE213" s="9" t="s">
        <v>291</v>
      </c>
      <c r="AF213" s="10"/>
      <c r="AG213" s="10"/>
      <c r="AH213" s="9"/>
      <c r="AI213" s="9" t="s">
        <v>631</v>
      </c>
      <c r="AJ213" s="9" t="s">
        <v>632</v>
      </c>
      <c r="AK213" s="10">
        <v>45539</v>
      </c>
      <c r="AL213" s="10">
        <v>45540</v>
      </c>
      <c r="AM213" s="10">
        <v>45548</v>
      </c>
      <c r="AN213" s="9" t="s">
        <v>95</v>
      </c>
      <c r="AO213" s="9"/>
      <c r="AP213" s="11">
        <f>IF($H213="Cancelled","",IFERROR(IF(OR(AK213="",AB213=""),"",(AB213+Variables!$B$18-AK213)),""))</f>
        <v>112</v>
      </c>
      <c r="AQ213" s="11">
        <f>IF($H213="Cancelled","",IFERROR(IF(OR(AM213="",AK213=""),"",(AK213+Variables!$B$19)-AM213),""))</f>
        <v>-4</v>
      </c>
      <c r="AR213" s="12">
        <f>IF($H213="Cancelled","",IFERROR(T213*INDEX(Variables!$B$7:$D$7,IFERROR(MATCH(IF($B213="Robusta","Robusta",(IF($B213="","Arabica",$B213))&amp;" - "&amp;(IF($C213="","Commercial",$C213))),Variables!$B$1:$D$1,0),1))*(AQ213/365),""))</f>
        <v>-81.530625304624721</v>
      </c>
      <c r="AS213" s="12">
        <f>IF($H213="Cancelled","",IFERROR((T213*INDEX(Variables!$B$7:$D$7,IFERROR(MATCH(IF($B213="Robusta","Robusta",(IF($B213="","Arabica",$B213))&amp;" - "&amp;(IF($C213="","Commercial",$C213))),Variables!$B$1:$D$1,0),1))*IFERROR(IF(W213="","",(AVERAGE(E213:F213)-W213)-Variables!$B$14),"")/365)+(L213/16.67*INDEX(Variables!$B$8:$D$8,IFERROR(MATCH(IF($B213="Robusta","Robusta",(IF($B213="","Arabica",$B213))&amp;" - "&amp;(IF($C213="","Commercial",$C213))),Variables!$B$1:$D$1,0),1))*IFERROR(IF(W213="","",(AVERAGE(E213:F213)-W213)-Variables!$B$14),""))+(T213*INDEX(Variables!$B$9:$D$9,IFERROR(MATCH(IF($B213="Robusta","Robusta",(IF($B213="","Arabica",$B213))&amp;" - "&amp;(IF($C213="","Commercial",$C213))),Variables!$B$1:$D$1,0),1))*IFERROR(IF(W213="","",(AVERAGE(E213:F213)-W213)-Variables!$B$14),"")/365),""))</f>
        <v>-124.75899835697923</v>
      </c>
      <c r="AT213" s="12">
        <f>IF($H213="Cancelled","",IFERROR((T213*INDEX(Variables!$B$7:$D$7,IFERROR(MATCH(IF($B213="Robusta","Robusta",(IF($B213="","Arabica",$B213))&amp;" - "&amp;(IF($C213="","Commercial",$C213))),Variables!$B$1:$D$1,0),1))*AC213/365)+(L213/16.67*INDEX(Variables!$B$8:$D$8,IFERROR(MATCH(IF($B213="Robusta","Robusta",(IF($B213="","Arabica",$B213))&amp;" - "&amp;(IF($C213="","Commercial",$C213))),Variables!$B$1:$D$1,0),1))*AC213)+(T213*INDEX(Variables!$B$9:$D$9,IFERROR(MATCH(IF($B213="Robusta","Robusta",(IF($B213="","Arabica",$B213))&amp;" - "&amp;(IF($C213="","Commercial",$C213))),Variables!$B$1:$D$1,0),1))*AC213/365),""))</f>
        <v>-4277.4513722392876</v>
      </c>
      <c r="AU213" s="12">
        <f>IF($H213="Cancelled","",IFERROR((T213*INDEX(Variables!$B$7:$D$7,IFERROR(MATCH(IF($B213="Robusta","Robusta",(IF($B213="","Arabica",$B213))&amp;" - "&amp;(IF($C213="","Commercial",$C213))),Variables!$B$1:$D$1,0),1))*AP213/365)+(L213/16.67*INDEX(Variables!$B$8:$D$8,IFERROR(MATCH(IF($B213="Robusta","Robusta",(IF($B213="","Arabica",$B213))&amp;" - "&amp;(IF($C213="","Commercial",$C213))),Variables!$B$1:$D$1,0),1))*AP213)+(T213*INDEX(Variables!$B$9:$D$9,IFERROR(MATCH(IF($B213="Robusta","Robusta",(IF($B213="","Arabica",$B213))&amp;" - "&amp;(IF($C213="","Commercial",$C213))),Variables!$B$1:$D$1,0),1))*AP213/365),""))</f>
        <v>3992.2879474233355</v>
      </c>
      <c r="AV213" s="11">
        <f t="shared" si="23"/>
        <v>10</v>
      </c>
      <c r="AW213" s="12">
        <f>IF($H213="Cancelled","",IFERROR(IF(AV213="","",(T213*INDEX(Variables!$B$7:$D$7,IFERROR(MATCH(IF($B213="Robusta","Robusta",(IF($B213="","Arabica",$B213))&amp;" - "&amp;(IF($C213="","Commercial",$C213))),Variables!$B$1:$D$1,0),1))*(AV213/365))+(T213*INDEX(Variables!$B$9:$D$9,IFERROR(MATCH(IF($B213="Robusta","Robusta",(IF($B213="","Arabica",$B213))&amp;" - "&amp;(IF($C213="","Commercial",$C213))),Variables!$B$1:$D$1,0),1))*(AV213/365))+(INDEX(Variables!$B$8:$D$8,IFERROR(MATCH(IF($B213="Robusta","Robusta",(IF($B213="","Arabica",$B213))&amp;" - "&amp;(IF($C213="","Commercial",$C213))),Variables!$B$1:$D$1,0),1))*L213/16.67)),""))</f>
        <v>221.45428101994065</v>
      </c>
      <c r="AX213" s="9"/>
      <c r="AY213" s="12"/>
      <c r="AZ213" s="10"/>
      <c r="BA213" s="9"/>
      <c r="BB213" s="10"/>
      <c r="BC213" s="9"/>
      <c r="BD213" s="9"/>
      <c r="BE213" s="9"/>
      <c r="BF213" s="9"/>
    </row>
    <row r="214" spans="1:58" x14ac:dyDescent="0.25">
      <c r="A214" s="9" t="s">
        <v>84</v>
      </c>
      <c r="B214" s="9" t="s">
        <v>85</v>
      </c>
      <c r="C214" s="9" t="s">
        <v>86</v>
      </c>
      <c r="D214" s="10">
        <v>45503</v>
      </c>
      <c r="E214" s="10">
        <v>45536</v>
      </c>
      <c r="F214" s="10">
        <v>45565</v>
      </c>
      <c r="G214" s="9">
        <v>3786470</v>
      </c>
      <c r="H214" s="9" t="str">
        <f t="shared" si="21"/>
        <v>Closed</v>
      </c>
      <c r="I214" s="9" t="str">
        <f t="shared" si="22"/>
        <v>All dates received</v>
      </c>
      <c r="J214" s="9" t="s">
        <v>303</v>
      </c>
      <c r="K214" s="9">
        <v>5076</v>
      </c>
      <c r="L214" s="11">
        <v>320</v>
      </c>
      <c r="M214" s="9" t="s">
        <v>633</v>
      </c>
      <c r="N214" s="9" t="s">
        <v>126</v>
      </c>
      <c r="O214" s="9"/>
      <c r="P214" s="9"/>
      <c r="Q214" s="11"/>
      <c r="R214" s="9" t="s">
        <v>90</v>
      </c>
      <c r="S214" s="9" t="s">
        <v>91</v>
      </c>
      <c r="T214" s="12">
        <f>IF($H214="Cancelled","",IFERROR(((Q214+INDEX(Variables!$B$6:$D$6,IFERROR(MATCH(IF($B214="Robusta","Robusta",(IF($B214="","Arabica",$B214))&amp;" - "&amp;(IF($C214="","Commercial",$C214))),Variables!$B$1:$D$1,0),1)))*22.0462)*(L214/16.67),""))</f>
        <v>123067.25778044391</v>
      </c>
      <c r="U214" s="10">
        <v>45506</v>
      </c>
      <c r="V214" s="9" t="str">
        <f t="shared" si="24"/>
        <v>Sent</v>
      </c>
      <c r="W214" s="10">
        <v>45512</v>
      </c>
      <c r="X214" s="9" t="str">
        <f t="shared" si="17"/>
        <v>Approved</v>
      </c>
      <c r="Y214" s="10"/>
      <c r="Z214" s="10">
        <f>IF($H214="Cancelled","",IFERROR(IF(F214="","",F214-Variables!$B$13),""))</f>
        <v>45550</v>
      </c>
      <c r="AA214" s="11">
        <f>IF($H214="Cancelled","",IFERROR(IF(W214="","",(AVERAGE(E214:F214)-W214)-Variables!$B$14),""))</f>
        <v>8.5</v>
      </c>
      <c r="AB214" s="10">
        <v>45646</v>
      </c>
      <c r="AC214" s="11">
        <f>IF($H214="Cancelled","",IFERROR(IF(AB214="","",IF(AND(W214="",Y214=""),"",IF(Y214&gt;W214,Y214+Variables!$B$15+Variables!$B$16+Variables!$B$17-AB214,W214+Variables!$B$16+Variables!$B$17-AB214))),""))</f>
        <v>-126</v>
      </c>
      <c r="AD214" s="9" t="s">
        <v>180</v>
      </c>
      <c r="AE214" s="9" t="s">
        <v>98</v>
      </c>
      <c r="AF214" s="10"/>
      <c r="AG214" s="10"/>
      <c r="AH214" s="9"/>
      <c r="AI214" s="9" t="s">
        <v>634</v>
      </c>
      <c r="AJ214" s="9" t="s">
        <v>8</v>
      </c>
      <c r="AK214" s="10">
        <v>45539</v>
      </c>
      <c r="AL214" s="10">
        <v>45541</v>
      </c>
      <c r="AM214" s="10">
        <v>45554</v>
      </c>
      <c r="AN214" s="9" t="s">
        <v>95</v>
      </c>
      <c r="AO214" s="9"/>
      <c r="AP214" s="11">
        <f>IF($H214="Cancelled","",IFERROR(IF(OR(AK214="",AB214=""),"",(AB214+Variables!$B$18-AK214)),""))</f>
        <v>114</v>
      </c>
      <c r="AQ214" s="11">
        <f>IF($H214="Cancelled","",IFERROR(IF(OR(AM214="",AK214=""),"",(AK214+Variables!$B$19)-AM214),""))</f>
        <v>-10</v>
      </c>
      <c r="AR214" s="12">
        <f>IF($H214="Cancelled","",IFERROR(T214*INDEX(Variables!$B$7:$D$7,IFERROR(MATCH(IF($B214="Robusta","Robusta",(IF($B214="","Arabica",$B214))&amp;" - "&amp;(IF($C214="","Commercial",$C214))),Variables!$B$1:$D$1,0),1))*(AQ214/365),""))</f>
        <v>-217.41500081233261</v>
      </c>
      <c r="AS214" s="12">
        <f>IF($H214="Cancelled","",IFERROR((T214*INDEX(Variables!$B$7:$D$7,IFERROR(MATCH(IF($B214="Robusta","Robusta",(IF($B214="","Arabica",$B214))&amp;" - "&amp;(IF($C214="","Commercial",$C214))),Variables!$B$1:$D$1,0),1))*IFERROR(IF(W214="","",(AVERAGE(E214:F214)-W214)-Variables!$B$14),"")/365)+(L214/16.67*INDEX(Variables!$B$8:$D$8,IFERROR(MATCH(IF($B214="Robusta","Robusta",(IF($B214="","Arabica",$B214))&amp;" - "&amp;(IF($C214="","Commercial",$C214))),Variables!$B$1:$D$1,0),1))*IFERROR(IF(W214="","",(AVERAGE(E214:F214)-W214)-Variables!$B$14),""))+(T214*INDEX(Variables!$B$9:$D$9,IFERROR(MATCH(IF($B214="Robusta","Robusta",(IF($B214="","Arabica",$B214))&amp;" - "&amp;(IF($C214="","Commercial",$C214))),Variables!$B$1:$D$1,0),1))*IFERROR(IF(W214="","",(AVERAGE(E214:F214)-W214)-Variables!$B$14),"")/365),""))</f>
        <v>323.18521479141293</v>
      </c>
      <c r="AT214" s="12">
        <f>IF($H214="Cancelled","",IFERROR((T214*INDEX(Variables!$B$7:$D$7,IFERROR(MATCH(IF($B214="Robusta","Robusta",(IF($B214="","Arabica",$B214))&amp;" - "&amp;(IF($C214="","Commercial",$C214))),Variables!$B$1:$D$1,0),1))*AC214/365)+(L214/16.67*INDEX(Variables!$B$8:$D$8,IFERROR(MATCH(IF($B214="Robusta","Robusta",(IF($B214="","Arabica",$B214))&amp;" - "&amp;(IF($C214="","Commercial",$C214))),Variables!$B$1:$D$1,0),1))*AC214)+(T214*INDEX(Variables!$B$9:$D$9,IFERROR(MATCH(IF($B214="Robusta","Robusta",(IF($B214="","Arabica",$B214))&amp;" - "&amp;(IF($C214="","Commercial",$C214))),Variables!$B$1:$D$1,0),1))*AC214/365),""))</f>
        <v>-4790.7455369080035</v>
      </c>
      <c r="AU214" s="12">
        <f>IF($H214="Cancelled","",IFERROR((T214*INDEX(Variables!$B$7:$D$7,IFERROR(MATCH(IF($B214="Robusta","Robusta",(IF($B214="","Arabica",$B214))&amp;" - "&amp;(IF($C214="","Commercial",$C214))),Variables!$B$1:$D$1,0),1))*AP214/365)+(L214/16.67*INDEX(Variables!$B$8:$D$8,IFERROR(MATCH(IF($B214="Robusta","Robusta",(IF($B214="","Arabica",$B214))&amp;" - "&amp;(IF($C214="","Commercial",$C214))),Variables!$B$1:$D$1,0),1))*AP214)+(T214*INDEX(Variables!$B$9:$D$9,IFERROR(MATCH(IF($B214="Robusta","Robusta",(IF($B214="","Arabica",$B214))&amp;" - "&amp;(IF($C214="","Commercial",$C214))),Variables!$B$1:$D$1,0),1))*AP214/365),""))</f>
        <v>4334.4840572024787</v>
      </c>
      <c r="AV214" s="11">
        <f t="shared" si="23"/>
        <v>26</v>
      </c>
      <c r="AW214" s="12">
        <f>IF($H214="Cancelled","",IFERROR(IF(AV214="","",(T214*INDEX(Variables!$B$7:$D$7,IFERROR(MATCH(IF($B214="Robusta","Robusta",(IF($B214="","Arabica",$B214))&amp;" - "&amp;(IF($C214="","Commercial",$C214))),Variables!$B$1:$D$1,0),1))*(AV214/365))+(T214*INDEX(Variables!$B$9:$D$9,IFERROR(MATCH(IF($B214="Robusta","Robusta",(IF($B214="","Arabica",$B214))&amp;" - "&amp;(IF($C214="","Commercial",$C214))),Variables!$B$1:$D$1,0),1))*(AV214/365))+(INDEX(Variables!$B$8:$D$8,IFERROR(MATCH(IF($B214="Robusta","Robusta",(IF($B214="","Arabica",$B214))&amp;" - "&amp;(IF($C214="","Commercial",$C214))),Variables!$B$1:$D$1,0),1))*L214/16.67)),""))</f>
        <v>588.56653936196869</v>
      </c>
      <c r="AX214" s="9"/>
      <c r="AY214" s="12"/>
      <c r="AZ214" s="10"/>
      <c r="BA214" s="9"/>
      <c r="BB214" s="10"/>
      <c r="BC214" s="9"/>
      <c r="BD214" s="9"/>
      <c r="BE214" s="9"/>
      <c r="BF214" s="9"/>
    </row>
    <row r="215" spans="1:58" x14ac:dyDescent="0.25">
      <c r="A215" s="9" t="s">
        <v>84</v>
      </c>
      <c r="B215" s="9" t="s">
        <v>85</v>
      </c>
      <c r="C215" s="9" t="s">
        <v>86</v>
      </c>
      <c r="D215" s="10">
        <v>45511</v>
      </c>
      <c r="E215" s="10">
        <v>45536</v>
      </c>
      <c r="F215" s="10">
        <v>45565</v>
      </c>
      <c r="G215" s="9">
        <v>3786476</v>
      </c>
      <c r="H215" s="9" t="str">
        <f t="shared" si="21"/>
        <v>Closed</v>
      </c>
      <c r="I215" s="9" t="str">
        <f t="shared" si="22"/>
        <v>All dates received</v>
      </c>
      <c r="J215" s="9" t="s">
        <v>102</v>
      </c>
      <c r="K215" s="9">
        <v>5084</v>
      </c>
      <c r="L215" s="11">
        <v>600</v>
      </c>
      <c r="M215" s="9" t="s">
        <v>635</v>
      </c>
      <c r="N215" s="9" t="s">
        <v>400</v>
      </c>
      <c r="O215" s="9"/>
      <c r="P215" s="9"/>
      <c r="Q215" s="11"/>
      <c r="R215" s="9" t="s">
        <v>90</v>
      </c>
      <c r="S215" s="9" t="s">
        <v>401</v>
      </c>
      <c r="T215" s="12">
        <f>IF($H215="Cancelled","",IFERROR(((Q215+INDEX(Variables!$B$6:$D$6,IFERROR(MATCH(IF($B215="Robusta","Robusta",(IF($B215="","Arabica",$B215))&amp;" - "&amp;(IF($C215="","Commercial",$C215))),Variables!$B$1:$D$1,0),1)))*22.0462)*(L215/16.67),""))</f>
        <v>230751.1083383323</v>
      </c>
      <c r="U215" s="10">
        <v>45511</v>
      </c>
      <c r="V215" s="9" t="str">
        <f t="shared" si="24"/>
        <v>Sent</v>
      </c>
      <c r="W215" s="10">
        <v>45530</v>
      </c>
      <c r="X215" s="9" t="str">
        <f t="shared" si="17"/>
        <v>Approved</v>
      </c>
      <c r="Y215" s="10"/>
      <c r="Z215" s="10">
        <f>IF($H215="Cancelled","",IFERROR(IF(F215="","",F215-Variables!$B$13),""))</f>
        <v>45550</v>
      </c>
      <c r="AA215" s="11">
        <f>IF($H215="Cancelled","",IFERROR(IF(W215="","",(AVERAGE(E215:F215)-W215)-Variables!$B$14),""))</f>
        <v>-9.5</v>
      </c>
      <c r="AB215" s="10">
        <v>45646</v>
      </c>
      <c r="AC215" s="11">
        <f>IF($H215="Cancelled","",IFERROR(IF(AB215="","",IF(AND(W215="",Y215=""),"",IF(Y215&gt;W215,Y215+Variables!$B$15+Variables!$B$16+Variables!$B$17-AB215,W215+Variables!$B$16+Variables!$B$17-AB215))),""))</f>
        <v>-108</v>
      </c>
      <c r="AD215" s="9" t="s">
        <v>107</v>
      </c>
      <c r="AE215" s="9" t="s">
        <v>559</v>
      </c>
      <c r="AF215" s="10"/>
      <c r="AG215" s="10"/>
      <c r="AH215" s="9"/>
      <c r="AI215" s="9" t="s">
        <v>636</v>
      </c>
      <c r="AJ215" s="9" t="s">
        <v>637</v>
      </c>
      <c r="AK215" s="10">
        <v>45553</v>
      </c>
      <c r="AL215" s="10">
        <v>45559</v>
      </c>
      <c r="AM215" s="10">
        <v>45568</v>
      </c>
      <c r="AN215" s="9" t="s">
        <v>95</v>
      </c>
      <c r="AO215" s="9"/>
      <c r="AP215" s="11">
        <f>IF($H215="Cancelled","",IFERROR(IF(OR(AK215="",AB215=""),"",(AB215+Variables!$B$18-AK215)),""))</f>
        <v>100</v>
      </c>
      <c r="AQ215" s="11">
        <f>IF($H215="Cancelled","",IFERROR(IF(OR(AM215="",AK215=""),"",(AK215+Variables!$B$19)-AM215),""))</f>
        <v>-10</v>
      </c>
      <c r="AR215" s="12">
        <f>IF($H215="Cancelled","",IFERROR(T215*INDEX(Variables!$B$7:$D$7,IFERROR(MATCH(IF($B215="Robusta","Robusta",(IF($B215="","Arabica",$B215))&amp;" - "&amp;(IF($C215="","Commercial",$C215))),Variables!$B$1:$D$1,0),1))*(AQ215/365),""))</f>
        <v>-407.6531265231236</v>
      </c>
      <c r="AS215" s="12">
        <f>IF($H215="Cancelled","",IFERROR((T215*INDEX(Variables!$B$7:$D$7,IFERROR(MATCH(IF($B215="Robusta","Robusta",(IF($B215="","Arabica",$B215))&amp;" - "&amp;(IF($C215="","Commercial",$C215))),Variables!$B$1:$D$1,0),1))*IFERROR(IF(W215="","",(AVERAGE(E215:F215)-W215)-Variables!$B$14),"")/365)+(L215/16.67*INDEX(Variables!$B$8:$D$8,IFERROR(MATCH(IF($B215="Robusta","Robusta",(IF($B215="","Arabica",$B215))&amp;" - "&amp;(IF($C215="","Commercial",$C215))),Variables!$B$1:$D$1,0),1))*IFERROR(IF(W215="","",(AVERAGE(E215:F215)-W215)-Variables!$B$14),""))+(T215*INDEX(Variables!$B$9:$D$9,IFERROR(MATCH(IF($B215="Robusta","Robusta",(IF($B215="","Arabica",$B215))&amp;" - "&amp;(IF($C215="","Commercial",$C215))),Variables!$B$1:$D$1,0),1))*IFERROR(IF(W215="","",(AVERAGE(E215:F215)-W215)-Variables!$B$14),"")/365),""))</f>
        <v>-677.26313393788723</v>
      </c>
      <c r="AT215" s="12">
        <f>IF($H215="Cancelled","",IFERROR((T215*INDEX(Variables!$B$7:$D$7,IFERROR(MATCH(IF($B215="Robusta","Robusta",(IF($B215="","Arabica",$B215))&amp;" - "&amp;(IF($C215="","Commercial",$C215))),Variables!$B$1:$D$1,0),1))*AC215/365)+(L215/16.67*INDEX(Variables!$B$8:$D$8,IFERROR(MATCH(IF($B215="Robusta","Robusta",(IF($B215="","Arabica",$B215))&amp;" - "&amp;(IF($C215="","Commercial",$C215))),Variables!$B$1:$D$1,0),1))*AC215)+(T215*INDEX(Variables!$B$9:$D$9,IFERROR(MATCH(IF($B215="Robusta","Robusta",(IF($B215="","Arabica",$B215))&amp;" - "&amp;(IF($C215="","Commercial",$C215))),Variables!$B$1:$D$1,0),1))*AC215/365),""))</f>
        <v>-7699.4124700307184</v>
      </c>
      <c r="AU215" s="12">
        <f>IF($H215="Cancelled","",IFERROR((T215*INDEX(Variables!$B$7:$D$7,IFERROR(MATCH(IF($B215="Robusta","Robusta",(IF($B215="","Arabica",$B215))&amp;" - "&amp;(IF($C215="","Commercial",$C215))),Variables!$B$1:$D$1,0),1))*AP215/365)+(L215/16.67*INDEX(Variables!$B$8:$D$8,IFERROR(MATCH(IF($B215="Robusta","Robusta",(IF($B215="","Arabica",$B215))&amp;" - "&amp;(IF($C215="","Commercial",$C215))),Variables!$B$1:$D$1,0),1))*AP215)+(T215*INDEX(Variables!$B$9:$D$9,IFERROR(MATCH(IF($B215="Robusta","Robusta",(IF($B215="","Arabica",$B215))&amp;" - "&amp;(IF($C215="","Commercial",$C215))),Variables!$B$1:$D$1,0),1))*AP215/365),""))</f>
        <v>7129.0856203988133</v>
      </c>
      <c r="AV215" s="11">
        <f t="shared" si="23"/>
        <v>12</v>
      </c>
      <c r="AW215" s="12">
        <f>IF($H215="Cancelled","",IFERROR(IF(AV215="","",(T215*INDEX(Variables!$B$7:$D$7,IFERROR(MATCH(IF($B215="Robusta","Robusta",(IF($B215="","Arabica",$B215))&amp;" - "&amp;(IF($C215="","Commercial",$C215))),Variables!$B$1:$D$1,0),1))*(AV215/365))+(T215*INDEX(Variables!$B$9:$D$9,IFERROR(MATCH(IF($B215="Robusta","Robusta",(IF($B215="","Arabica",$B215))&amp;" - "&amp;(IF($C215="","Commercial",$C215))),Variables!$B$1:$D$1,0),1))*(AV215/365))+(INDEX(Variables!$B$8:$D$8,IFERROR(MATCH(IF($B215="Robusta","Robusta",(IF($B215="","Arabica",$B215))&amp;" - "&amp;(IF($C215="","Commercial",$C215))),Variables!$B$1:$D$1,0),1))*L215/16.67)),""))</f>
        <v>525.49027444785747</v>
      </c>
      <c r="AX215" s="9"/>
      <c r="AY215" s="12"/>
      <c r="AZ215" s="10"/>
      <c r="BA215" s="9"/>
      <c r="BB215" s="10"/>
      <c r="BC215" s="9"/>
      <c r="BD215" s="9"/>
      <c r="BE215" s="9"/>
      <c r="BF215" s="9"/>
    </row>
    <row r="216" spans="1:58" x14ac:dyDescent="0.25">
      <c r="A216" s="9" t="s">
        <v>84</v>
      </c>
      <c r="B216" s="9" t="s">
        <v>85</v>
      </c>
      <c r="C216" s="9" t="s">
        <v>86</v>
      </c>
      <c r="D216" s="10">
        <v>45511</v>
      </c>
      <c r="E216" s="10">
        <v>45536</v>
      </c>
      <c r="F216" s="10">
        <v>45565</v>
      </c>
      <c r="G216" s="9">
        <v>3786477</v>
      </c>
      <c r="H216" s="9" t="str">
        <f t="shared" si="21"/>
        <v>Closed</v>
      </c>
      <c r="I216" s="9" t="str">
        <f t="shared" si="22"/>
        <v>All dates received</v>
      </c>
      <c r="J216" s="9" t="s">
        <v>193</v>
      </c>
      <c r="K216" s="9">
        <v>5074</v>
      </c>
      <c r="L216" s="11">
        <v>300</v>
      </c>
      <c r="M216" s="9" t="s">
        <v>638</v>
      </c>
      <c r="N216" s="9" t="s">
        <v>400</v>
      </c>
      <c r="O216" s="9"/>
      <c r="P216" s="9"/>
      <c r="Q216" s="11"/>
      <c r="R216" s="9" t="s">
        <v>90</v>
      </c>
      <c r="S216" s="9" t="s">
        <v>586</v>
      </c>
      <c r="T216" s="12">
        <f>IF($H216="Cancelled","",IFERROR(((Q216+INDEX(Variables!$B$6:$D$6,IFERROR(MATCH(IF($B216="Robusta","Robusta",(IF($B216="","Arabica",$B216))&amp;" - "&amp;(IF($C216="","Commercial",$C216))),Variables!$B$1:$D$1,0),1)))*22.0462)*(L216/16.67),""))</f>
        <v>115375.55416916615</v>
      </c>
      <c r="U216" s="10">
        <v>45518</v>
      </c>
      <c r="V216" s="9" t="str">
        <f t="shared" si="24"/>
        <v>Sent</v>
      </c>
      <c r="W216" s="10">
        <v>45518</v>
      </c>
      <c r="X216" s="9" t="str">
        <f t="shared" si="17"/>
        <v>Approved</v>
      </c>
      <c r="Y216" s="10"/>
      <c r="Z216" s="10">
        <f>IF($H216="Cancelled","",IFERROR(IF(F216="","",F216-Variables!$B$13),""))</f>
        <v>45550</v>
      </c>
      <c r="AA216" s="11">
        <f>IF($H216="Cancelled","",IFERROR(IF(W216="","",(AVERAGE(E216:F216)-W216)-Variables!$B$14),""))</f>
        <v>2.5</v>
      </c>
      <c r="AB216" s="10">
        <v>45670</v>
      </c>
      <c r="AC216" s="11">
        <f>IF($H216="Cancelled","",IFERROR(IF(AB216="","",IF(AND(W216="",Y216=""),"",IF(Y216&gt;W216,Y216+Variables!$B$15+Variables!$B$16+Variables!$B$17-AB216,W216+Variables!$B$16+Variables!$B$17-AB216))),""))</f>
        <v>-144</v>
      </c>
      <c r="AD216" s="9" t="s">
        <v>180</v>
      </c>
      <c r="AE216" s="9" t="s">
        <v>639</v>
      </c>
      <c r="AF216" s="10"/>
      <c r="AG216" s="10"/>
      <c r="AH216" s="9"/>
      <c r="AI216" s="9" t="s">
        <v>640</v>
      </c>
      <c r="AJ216" s="9" t="s">
        <v>641</v>
      </c>
      <c r="AK216" s="10">
        <v>45539</v>
      </c>
      <c r="AL216" s="10">
        <v>45540</v>
      </c>
      <c r="AM216" s="10">
        <v>45547</v>
      </c>
      <c r="AN216" s="9" t="s">
        <v>95</v>
      </c>
      <c r="AO216" s="9"/>
      <c r="AP216" s="11">
        <f>IF($H216="Cancelled","",IFERROR(IF(OR(AK216="",AB216=""),"",(AB216+Variables!$B$18-AK216)),""))</f>
        <v>138</v>
      </c>
      <c r="AQ216" s="11">
        <f>IF($H216="Cancelled","",IFERROR(IF(OR(AM216="",AK216=""),"",(AK216+Variables!$B$19)-AM216),""))</f>
        <v>-3</v>
      </c>
      <c r="AR216" s="12">
        <f>IF($H216="Cancelled","",IFERROR(T216*INDEX(Variables!$B$7:$D$7,IFERROR(MATCH(IF($B216="Robusta","Robusta",(IF($B216="","Arabica",$B216))&amp;" - "&amp;(IF($C216="","Commercial",$C216))),Variables!$B$1:$D$1,0),1))*(AQ216/365),""))</f>
        <v>-61.147968978468541</v>
      </c>
      <c r="AS216" s="12">
        <f>IF($H216="Cancelled","",IFERROR((T216*INDEX(Variables!$B$7:$D$7,IFERROR(MATCH(IF($B216="Robusta","Robusta",(IF($B216="","Arabica",$B216))&amp;" - "&amp;(IF($C216="","Commercial",$C216))),Variables!$B$1:$D$1,0),1))*IFERROR(IF(W216="","",(AVERAGE(E216:F216)-W216)-Variables!$B$14),"")/365)+(L216/16.67*INDEX(Variables!$B$8:$D$8,IFERROR(MATCH(IF($B216="Robusta","Robusta",(IF($B216="","Arabica",$B216))&amp;" - "&amp;(IF($C216="","Commercial",$C216))),Variables!$B$1:$D$1,0),1))*IFERROR(IF(W216="","",(AVERAGE(E216:F216)-W216)-Variables!$B$14),""))+(T216*INDEX(Variables!$B$9:$D$9,IFERROR(MATCH(IF($B216="Robusta","Robusta",(IF($B216="","Arabica",$B216))&amp;" - "&amp;(IF($C216="","Commercial",$C216))),Variables!$B$1:$D$1,0),1))*IFERROR(IF(W216="","",(AVERAGE(E216:F216)-W216)-Variables!$B$14),"")/365),""))</f>
        <v>89.113570254985149</v>
      </c>
      <c r="AT216" s="12">
        <f>IF($H216="Cancelled","",IFERROR((T216*INDEX(Variables!$B$7:$D$7,IFERROR(MATCH(IF($B216="Robusta","Robusta",(IF($B216="","Arabica",$B216))&amp;" - "&amp;(IF($C216="","Commercial",$C216))),Variables!$B$1:$D$1,0),1))*AC216/365)+(L216/16.67*INDEX(Variables!$B$8:$D$8,IFERROR(MATCH(IF($B216="Robusta","Robusta",(IF($B216="","Arabica",$B216))&amp;" - "&amp;(IF($C216="","Commercial",$C216))),Variables!$B$1:$D$1,0),1))*AC216)+(T216*INDEX(Variables!$B$9:$D$9,IFERROR(MATCH(IF($B216="Robusta","Robusta",(IF($B216="","Arabica",$B216))&amp;" - "&amp;(IF($C216="","Commercial",$C216))),Variables!$B$1:$D$1,0),1))*AC216/365),""))</f>
        <v>-5132.9416466871453</v>
      </c>
      <c r="AU216" s="12">
        <f>IF($H216="Cancelled","",IFERROR((T216*INDEX(Variables!$B$7:$D$7,IFERROR(MATCH(IF($B216="Robusta","Robusta",(IF($B216="","Arabica",$B216))&amp;" - "&amp;(IF($C216="","Commercial",$C216))),Variables!$B$1:$D$1,0),1))*AP216/365)+(L216/16.67*INDEX(Variables!$B$8:$D$8,IFERROR(MATCH(IF($B216="Robusta","Robusta",(IF($B216="","Arabica",$B216))&amp;" - "&amp;(IF($C216="","Commercial",$C216))),Variables!$B$1:$D$1,0),1))*AP216)+(T216*INDEX(Variables!$B$9:$D$9,IFERROR(MATCH(IF($B216="Robusta","Robusta",(IF($B216="","Arabica",$B216))&amp;" - "&amp;(IF($C216="","Commercial",$C216))),Variables!$B$1:$D$1,0),1))*AP216/365),""))</f>
        <v>4919.0690780751811</v>
      </c>
      <c r="AV216" s="11">
        <f t="shared" si="23"/>
        <v>26</v>
      </c>
      <c r="AW216" s="12">
        <f>IF($H216="Cancelled","",IFERROR(IF(AV216="","",(T216*INDEX(Variables!$B$7:$D$7,IFERROR(MATCH(IF($B216="Robusta","Robusta",(IF($B216="","Arabica",$B216))&amp;" - "&amp;(IF($C216="","Commercial",$C216))),Variables!$B$1:$D$1,0),1))*(AV216/365))+(T216*INDEX(Variables!$B$9:$D$9,IFERROR(MATCH(IF($B216="Robusta","Robusta",(IF($B216="","Arabica",$B216))&amp;" - "&amp;(IF($C216="","Commercial",$C216))),Variables!$B$1:$D$1,0),1))*(AV216/365))+(INDEX(Variables!$B$8:$D$8,IFERROR(MATCH(IF($B216="Robusta","Robusta",(IF($B216="","Arabica",$B216))&amp;" - "&amp;(IF($C216="","Commercial",$C216))),Variables!$B$1:$D$1,0),1))*L216/16.67)),""))</f>
        <v>551.78113065184561</v>
      </c>
      <c r="AX216" s="9"/>
      <c r="AY216" s="12"/>
      <c r="AZ216" s="10"/>
      <c r="BA216" s="9"/>
      <c r="BB216" s="10"/>
      <c r="BC216" s="9"/>
      <c r="BD216" s="9"/>
      <c r="BE216" s="9"/>
      <c r="BF216" s="9"/>
    </row>
    <row r="217" spans="1:58" x14ac:dyDescent="0.25">
      <c r="A217" s="9" t="s">
        <v>84</v>
      </c>
      <c r="B217" s="9" t="s">
        <v>85</v>
      </c>
      <c r="C217" s="9" t="s">
        <v>86</v>
      </c>
      <c r="D217" s="10">
        <v>45511</v>
      </c>
      <c r="E217" s="10">
        <v>45536</v>
      </c>
      <c r="F217" s="10">
        <v>45565</v>
      </c>
      <c r="G217" s="9">
        <v>3786479</v>
      </c>
      <c r="H217" s="9" t="str">
        <f t="shared" si="21"/>
        <v>Closed</v>
      </c>
      <c r="I217" s="9" t="str">
        <f t="shared" si="22"/>
        <v>All dates received</v>
      </c>
      <c r="J217" s="9" t="s">
        <v>102</v>
      </c>
      <c r="K217" s="9">
        <v>5085</v>
      </c>
      <c r="L217" s="11">
        <v>600</v>
      </c>
      <c r="M217" s="9" t="s">
        <v>635</v>
      </c>
      <c r="N217" s="9" t="s">
        <v>400</v>
      </c>
      <c r="O217" s="9"/>
      <c r="P217" s="9"/>
      <c r="Q217" s="11"/>
      <c r="R217" s="9" t="s">
        <v>90</v>
      </c>
      <c r="S217" s="9" t="s">
        <v>401</v>
      </c>
      <c r="T217" s="12">
        <f>IF($H217="Cancelled","",IFERROR(((Q217+INDEX(Variables!$B$6:$D$6,IFERROR(MATCH(IF($B217="Robusta","Robusta",(IF($B217="","Arabica",$B217))&amp;" - "&amp;(IF($C217="","Commercial",$C217))),Variables!$B$1:$D$1,0),1)))*22.0462)*(L217/16.67),""))</f>
        <v>230751.1083383323</v>
      </c>
      <c r="U217" s="10">
        <v>45516</v>
      </c>
      <c r="V217" s="9" t="str">
        <f t="shared" si="24"/>
        <v>Sent</v>
      </c>
      <c r="W217" s="10">
        <v>45531</v>
      </c>
      <c r="X217" s="9" t="str">
        <f t="shared" si="17"/>
        <v>Approved</v>
      </c>
      <c r="Y217" s="10"/>
      <c r="Z217" s="10">
        <f>IF($H217="Cancelled","",IFERROR(IF(F217="","",F217-Variables!$B$13),""))</f>
        <v>45550</v>
      </c>
      <c r="AA217" s="11">
        <f>IF($H217="Cancelled","",IFERROR(IF(W217="","",(AVERAGE(E217:F217)-W217)-Variables!$B$14),""))</f>
        <v>-10.5</v>
      </c>
      <c r="AB217" s="10">
        <v>45666</v>
      </c>
      <c r="AC217" s="11">
        <f>IF($H217="Cancelled","",IFERROR(IF(AB217="","",IF(AND(W217="",Y217=""),"",IF(Y217&gt;W217,Y217+Variables!$B$15+Variables!$B$16+Variables!$B$17-AB217,W217+Variables!$B$16+Variables!$B$17-AB217))),""))</f>
        <v>-127</v>
      </c>
      <c r="AD217" s="9" t="s">
        <v>107</v>
      </c>
      <c r="AE217" s="9" t="s">
        <v>559</v>
      </c>
      <c r="AF217" s="10"/>
      <c r="AG217" s="10"/>
      <c r="AH217" s="9"/>
      <c r="AI217" s="9" t="s">
        <v>642</v>
      </c>
      <c r="AJ217" s="9" t="s">
        <v>637</v>
      </c>
      <c r="AK217" s="10">
        <v>45553</v>
      </c>
      <c r="AL217" s="10">
        <v>45559</v>
      </c>
      <c r="AM217" s="10">
        <v>45568</v>
      </c>
      <c r="AN217" s="9" t="s">
        <v>95</v>
      </c>
      <c r="AO217" s="9"/>
      <c r="AP217" s="11">
        <f>IF($H217="Cancelled","",IFERROR(IF(OR(AK217="",AB217=""),"",(AB217+Variables!$B$18-AK217)),""))</f>
        <v>120</v>
      </c>
      <c r="AQ217" s="11">
        <f>IF($H217="Cancelled","",IFERROR(IF(OR(AM217="",AK217=""),"",(AK217+Variables!$B$19)-AM217),""))</f>
        <v>-10</v>
      </c>
      <c r="AR217" s="12">
        <f>IF($H217="Cancelled","",IFERROR(T217*INDEX(Variables!$B$7:$D$7,IFERROR(MATCH(IF($B217="Robusta","Robusta",(IF($B217="","Arabica",$B217))&amp;" - "&amp;(IF($C217="","Commercial",$C217))),Variables!$B$1:$D$1,0),1))*(AQ217/365),""))</f>
        <v>-407.6531265231236</v>
      </c>
      <c r="AS217" s="12">
        <f>IF($H217="Cancelled","",IFERROR((T217*INDEX(Variables!$B$7:$D$7,IFERROR(MATCH(IF($B217="Robusta","Robusta",(IF($B217="","Arabica",$B217))&amp;" - "&amp;(IF($C217="","Commercial",$C217))),Variables!$B$1:$D$1,0),1))*IFERROR(IF(W217="","",(AVERAGE(E217:F217)-W217)-Variables!$B$14),"")/365)+(L217/16.67*INDEX(Variables!$B$8:$D$8,IFERROR(MATCH(IF($B217="Robusta","Robusta",(IF($B217="","Arabica",$B217))&amp;" - "&amp;(IF($C217="","Commercial",$C217))),Variables!$B$1:$D$1,0),1))*IFERROR(IF(W217="","",(AVERAGE(E217:F217)-W217)-Variables!$B$14),""))+(T217*INDEX(Variables!$B$9:$D$9,IFERROR(MATCH(IF($B217="Robusta","Robusta",(IF($B217="","Arabica",$B217))&amp;" - "&amp;(IF($C217="","Commercial",$C217))),Variables!$B$1:$D$1,0),1))*IFERROR(IF(W217="","",(AVERAGE(E217:F217)-W217)-Variables!$B$14),"")/365),""))</f>
        <v>-748.55399014187526</v>
      </c>
      <c r="AT217" s="12">
        <f>IF($H217="Cancelled","",IFERROR((T217*INDEX(Variables!$B$7:$D$7,IFERROR(MATCH(IF($B217="Robusta","Robusta",(IF($B217="","Arabica",$B217))&amp;" - "&amp;(IF($C217="","Commercial",$C217))),Variables!$B$1:$D$1,0),1))*AC217/365)+(L217/16.67*INDEX(Variables!$B$8:$D$8,IFERROR(MATCH(IF($B217="Robusta","Robusta",(IF($B217="","Arabica",$B217))&amp;" - "&amp;(IF($C217="","Commercial",$C217))),Variables!$B$1:$D$1,0),1))*AC217)+(T217*INDEX(Variables!$B$9:$D$9,IFERROR(MATCH(IF($B217="Robusta","Robusta",(IF($B217="","Arabica",$B217))&amp;" - "&amp;(IF($C217="","Commercial",$C217))),Variables!$B$1:$D$1,0),1))*AC217/365),""))</f>
        <v>-9053.9387379064938</v>
      </c>
      <c r="AU217" s="12">
        <f>IF($H217="Cancelled","",IFERROR((T217*INDEX(Variables!$B$7:$D$7,IFERROR(MATCH(IF($B217="Robusta","Robusta",(IF($B217="","Arabica",$B217))&amp;" - "&amp;(IF($C217="","Commercial",$C217))),Variables!$B$1:$D$1,0),1))*AP217/365)+(L217/16.67*INDEX(Variables!$B$8:$D$8,IFERROR(MATCH(IF($B217="Robusta","Robusta",(IF($B217="","Arabica",$B217))&amp;" - "&amp;(IF($C217="","Commercial",$C217))),Variables!$B$1:$D$1,0),1))*AP217)+(T217*INDEX(Variables!$B$9:$D$9,IFERROR(MATCH(IF($B217="Robusta","Robusta",(IF($B217="","Arabica",$B217))&amp;" - "&amp;(IF($C217="","Commercial",$C217))),Variables!$B$1:$D$1,0),1))*AP217/365),""))</f>
        <v>8554.9027444785752</v>
      </c>
      <c r="AV217" s="11">
        <f t="shared" si="23"/>
        <v>12</v>
      </c>
      <c r="AW217" s="12">
        <f>IF($H217="Cancelled","",IFERROR(IF(AV217="","",(T217*INDEX(Variables!$B$7:$D$7,IFERROR(MATCH(IF($B217="Robusta","Robusta",(IF($B217="","Arabica",$B217))&amp;" - "&amp;(IF($C217="","Commercial",$C217))),Variables!$B$1:$D$1,0),1))*(AV217/365))+(T217*INDEX(Variables!$B$9:$D$9,IFERROR(MATCH(IF($B217="Robusta","Robusta",(IF($B217="","Arabica",$B217))&amp;" - "&amp;(IF($C217="","Commercial",$C217))),Variables!$B$1:$D$1,0),1))*(AV217/365))+(INDEX(Variables!$B$8:$D$8,IFERROR(MATCH(IF($B217="Robusta","Robusta",(IF($B217="","Arabica",$B217))&amp;" - "&amp;(IF($C217="","Commercial",$C217))),Variables!$B$1:$D$1,0),1))*L217/16.67)),""))</f>
        <v>525.49027444785747</v>
      </c>
      <c r="AX217" s="9"/>
      <c r="AY217" s="12"/>
      <c r="AZ217" s="10"/>
      <c r="BA217" s="9"/>
      <c r="BB217" s="10"/>
      <c r="BC217" s="9"/>
      <c r="BD217" s="9"/>
      <c r="BE217" s="9"/>
      <c r="BF217" s="9"/>
    </row>
    <row r="218" spans="1:58" x14ac:dyDescent="0.25">
      <c r="A218" s="9" t="s">
        <v>84</v>
      </c>
      <c r="B218" s="9" t="s">
        <v>85</v>
      </c>
      <c r="C218" s="9" t="s">
        <v>86</v>
      </c>
      <c r="D218" s="10">
        <v>45512</v>
      </c>
      <c r="E218" s="10">
        <v>45505</v>
      </c>
      <c r="F218" s="10">
        <v>45565</v>
      </c>
      <c r="G218" s="9">
        <v>3786478</v>
      </c>
      <c r="H218" s="9" t="str">
        <f t="shared" si="21"/>
        <v>Closed</v>
      </c>
      <c r="I218" s="9" t="str">
        <f t="shared" si="22"/>
        <v>All dates received</v>
      </c>
      <c r="J218" s="9" t="s">
        <v>264</v>
      </c>
      <c r="K218" s="9">
        <v>5092</v>
      </c>
      <c r="L218" s="11">
        <v>1800</v>
      </c>
      <c r="M218" s="9" t="s">
        <v>643</v>
      </c>
      <c r="N218" s="9" t="s">
        <v>122</v>
      </c>
      <c r="O218" s="9"/>
      <c r="P218" s="9"/>
      <c r="Q218" s="11"/>
      <c r="R218" s="9" t="s">
        <v>90</v>
      </c>
      <c r="S218" s="9" t="s">
        <v>234</v>
      </c>
      <c r="T218" s="12">
        <f>IF($H218="Cancelled","",IFERROR(((Q218+INDEX(Variables!$B$6:$D$6,IFERROR(MATCH(IF($B218="Robusta","Robusta",(IF($B218="","Arabica",$B218))&amp;" - "&amp;(IF($C218="","Commercial",$C218))),Variables!$B$1:$D$1,0),1)))*22.0462)*(L218/16.67),""))</f>
        <v>692253.32501499692</v>
      </c>
      <c r="U218" s="10">
        <v>45530</v>
      </c>
      <c r="V218" s="9" t="str">
        <f t="shared" si="24"/>
        <v>Sent</v>
      </c>
      <c r="W218" s="10">
        <v>45540</v>
      </c>
      <c r="X218" s="9" t="str">
        <f t="shared" si="17"/>
        <v>Approved</v>
      </c>
      <c r="Y218" s="10"/>
      <c r="Z218" s="10">
        <f>IF($H218="Cancelled","",IFERROR(IF(F218="","",F218-Variables!$B$13),""))</f>
        <v>45550</v>
      </c>
      <c r="AA218" s="11">
        <f>IF($H218="Cancelled","",IFERROR(IF(W218="","",(AVERAGE(E218:F218)-W218)-Variables!$B$14),""))</f>
        <v>-35</v>
      </c>
      <c r="AB218" s="10">
        <v>45670</v>
      </c>
      <c r="AC218" s="11">
        <f>IF($H218="Cancelled","",IFERROR(IF(AB218="","",IF(AND(W218="",Y218=""),"",IF(Y218&gt;W218,Y218+Variables!$B$15+Variables!$B$16+Variables!$B$17-AB218,W218+Variables!$B$16+Variables!$B$17-AB218))),""))</f>
        <v>-122</v>
      </c>
      <c r="AD218" s="9" t="s">
        <v>163</v>
      </c>
      <c r="AE218" s="9" t="s">
        <v>203</v>
      </c>
      <c r="AF218" s="10"/>
      <c r="AG218" s="10"/>
      <c r="AH218" s="9"/>
      <c r="AI218" s="9">
        <v>244430367</v>
      </c>
      <c r="AJ218" s="9" t="s">
        <v>8</v>
      </c>
      <c r="AK218" s="10">
        <v>45572</v>
      </c>
      <c r="AL218" s="10">
        <v>45576</v>
      </c>
      <c r="AM218" s="10">
        <v>45576</v>
      </c>
      <c r="AN218" s="9" t="s">
        <v>95</v>
      </c>
      <c r="AO218" s="9"/>
      <c r="AP218" s="11">
        <f>IF($H218="Cancelled","",IFERROR(IF(OR(AK218="",AB218=""),"",(AB218+Variables!$B$18-AK218)),""))</f>
        <v>105</v>
      </c>
      <c r="AQ218" s="11">
        <f>IF($H218="Cancelled","",IFERROR(IF(OR(AM218="",AK218=""),"",(AK218+Variables!$B$19)-AM218),""))</f>
        <v>1</v>
      </c>
      <c r="AR218" s="12">
        <f>IF($H218="Cancelled","",IFERROR(T218*INDEX(Variables!$B$7:$D$7,IFERROR(MATCH(IF($B218="Robusta","Robusta",(IF($B218="","Arabica",$B218))&amp;" - "&amp;(IF($C218="","Commercial",$C218))),Variables!$B$1:$D$1,0),1))*(AQ218/365),""))</f>
        <v>122.29593795693708</v>
      </c>
      <c r="AS218" s="12">
        <f>IF($H218="Cancelled","",IFERROR((T218*INDEX(Variables!$B$7:$D$7,IFERROR(MATCH(IF($B218="Robusta","Robusta",(IF($B218="","Arabica",$B218))&amp;" - "&amp;(IF($C218="","Commercial",$C218))),Variables!$B$1:$D$1,0),1))*IFERROR(IF(W218="","",(AVERAGE(E218:F218)-W218)-Variables!$B$14),"")/365)+(L218/16.67*INDEX(Variables!$B$8:$D$8,IFERROR(MATCH(IF($B218="Robusta","Robusta",(IF($B218="","Arabica",$B218))&amp;" - "&amp;(IF($C218="","Commercial",$C218))),Variables!$B$1:$D$1,0),1))*IFERROR(IF(W218="","",(AVERAGE(E218:F218)-W218)-Variables!$B$14),""))+(T218*INDEX(Variables!$B$9:$D$9,IFERROR(MATCH(IF($B218="Robusta","Robusta",(IF($B218="","Arabica",$B218))&amp;" - "&amp;(IF($C218="","Commercial",$C218))),Variables!$B$1:$D$1,0),1))*IFERROR(IF(W218="","",(AVERAGE(E218:F218)-W218)-Variables!$B$14),"")/365),""))</f>
        <v>-7485.5399014187533</v>
      </c>
      <c r="AT218" s="12">
        <f>IF($H218="Cancelled","",IFERROR((T218*INDEX(Variables!$B$7:$D$7,IFERROR(MATCH(IF($B218="Robusta","Robusta",(IF($B218="","Arabica",$B218))&amp;" - "&amp;(IF($C218="","Commercial",$C218))),Variables!$B$1:$D$1,0),1))*AC218/365)+(L218/16.67*INDEX(Variables!$B$8:$D$8,IFERROR(MATCH(IF($B218="Robusta","Robusta",(IF($B218="","Arabica",$B218))&amp;" - "&amp;(IF($C218="","Commercial",$C218))),Variables!$B$1:$D$1,0),1))*AC218)+(T218*INDEX(Variables!$B$9:$D$9,IFERROR(MATCH(IF($B218="Robusta","Robusta",(IF($B218="","Arabica",$B218))&amp;" - "&amp;(IF($C218="","Commercial",$C218))),Variables!$B$1:$D$1,0),1))*AC218/365),""))</f>
        <v>-26092.453370659656</v>
      </c>
      <c r="AU218" s="12">
        <f>IF($H218="Cancelled","",IFERROR((T218*INDEX(Variables!$B$7:$D$7,IFERROR(MATCH(IF($B218="Robusta","Robusta",(IF($B218="","Arabica",$B218))&amp;" - "&amp;(IF($C218="","Commercial",$C218))),Variables!$B$1:$D$1,0),1))*AP218/365)+(L218/16.67*INDEX(Variables!$B$8:$D$8,IFERROR(MATCH(IF($B218="Robusta","Robusta",(IF($B218="","Arabica",$B218))&amp;" - "&amp;(IF($C218="","Commercial",$C218))),Variables!$B$1:$D$1,0),1))*AP218)+(T218*INDEX(Variables!$B$9:$D$9,IFERROR(MATCH(IF($B218="Robusta","Robusta",(IF($B218="","Arabica",$B218))&amp;" - "&amp;(IF($C218="","Commercial",$C218))),Variables!$B$1:$D$1,0),1))*AP218/365),""))</f>
        <v>22456.619704256264</v>
      </c>
      <c r="AV218" s="11">
        <f t="shared" si="23"/>
        <v>-7</v>
      </c>
      <c r="AW218" s="12">
        <f>IF($H218="Cancelled","",IFERROR(IF(AV218="","",(T218*INDEX(Variables!$B$7:$D$7,IFERROR(MATCH(IF($B218="Robusta","Robusta",(IF($B218="","Arabica",$B218))&amp;" - "&amp;(IF($C218="","Commercial",$C218))),Variables!$B$1:$D$1,0),1))*(AV218/365))+(T218*INDEX(Variables!$B$9:$D$9,IFERROR(MATCH(IF($B218="Robusta","Robusta",(IF($B218="","Arabica",$B218))&amp;" - "&amp;(IF($C218="","Commercial",$C218))),Variables!$B$1:$D$1,0),1))*(AV218/365))+(INDEX(Variables!$B$8:$D$8,IFERROR(MATCH(IF($B218="Robusta","Robusta",(IF($B218="","Arabica",$B218))&amp;" - "&amp;(IF($C218="","Commercial",$C218))),Variables!$B$1:$D$1,0),1))*L218/16.67)),""))</f>
        <v>-777.10798028375075</v>
      </c>
      <c r="AX218" s="9"/>
      <c r="AY218" s="12"/>
      <c r="AZ218" s="10"/>
      <c r="BA218" s="9"/>
      <c r="BB218" s="10"/>
      <c r="BC218" s="9"/>
      <c r="BD218" s="9"/>
      <c r="BE218" s="9"/>
      <c r="BF218" s="9"/>
    </row>
    <row r="219" spans="1:58" x14ac:dyDescent="0.25">
      <c r="A219" s="9" t="s">
        <v>84</v>
      </c>
      <c r="B219" s="9" t="s">
        <v>85</v>
      </c>
      <c r="C219" s="9" t="s">
        <v>86</v>
      </c>
      <c r="D219" s="10">
        <v>45518</v>
      </c>
      <c r="E219" s="10">
        <v>45536</v>
      </c>
      <c r="F219" s="10">
        <v>45565</v>
      </c>
      <c r="G219" s="9">
        <v>3786480</v>
      </c>
      <c r="H219" s="9" t="str">
        <f t="shared" si="21"/>
        <v>Closed</v>
      </c>
      <c r="I219" s="9" t="str">
        <f t="shared" si="22"/>
        <v>All dates received</v>
      </c>
      <c r="J219" s="9" t="s">
        <v>303</v>
      </c>
      <c r="K219" s="9">
        <v>5094</v>
      </c>
      <c r="L219" s="11">
        <v>320</v>
      </c>
      <c r="M219" s="9" t="s">
        <v>644</v>
      </c>
      <c r="N219" s="9" t="s">
        <v>266</v>
      </c>
      <c r="O219" s="9"/>
      <c r="P219" s="9"/>
      <c r="Q219" s="11"/>
      <c r="R219" s="9" t="s">
        <v>90</v>
      </c>
      <c r="S219" s="9" t="s">
        <v>312</v>
      </c>
      <c r="T219" s="12">
        <f>IF($H219="Cancelled","",IFERROR(((Q219+INDEX(Variables!$B$6:$D$6,IFERROR(MATCH(IF($B219="Robusta","Robusta",(IF($B219="","Arabica",$B219))&amp;" - "&amp;(IF($C219="","Commercial",$C219))),Variables!$B$1:$D$1,0),1)))*22.0462)*(L219/16.67),""))</f>
        <v>123067.25778044391</v>
      </c>
      <c r="U219" s="10">
        <v>45523</v>
      </c>
      <c r="V219" s="9" t="str">
        <f t="shared" si="24"/>
        <v>Sent</v>
      </c>
      <c r="W219" s="10">
        <v>45544</v>
      </c>
      <c r="X219" s="9" t="str">
        <f t="shared" si="17"/>
        <v>Approved</v>
      </c>
      <c r="Y219" s="10"/>
      <c r="Z219" s="10">
        <f>IF($H219="Cancelled","",IFERROR(IF(F219="","",F219-Variables!$B$13),""))</f>
        <v>45550</v>
      </c>
      <c r="AA219" s="11">
        <f>IF($H219="Cancelled","",IFERROR(IF(W219="","",(AVERAGE(E219:F219)-W219)-Variables!$B$14),""))</f>
        <v>-23.5</v>
      </c>
      <c r="AB219" s="10">
        <v>45670</v>
      </c>
      <c r="AC219" s="11">
        <f>IF($H219="Cancelled","",IFERROR(IF(AB219="","",IF(AND(W219="",Y219=""),"",IF(Y219&gt;W219,Y219+Variables!$B$15+Variables!$B$16+Variables!$B$17-AB219,W219+Variables!$B$16+Variables!$B$17-AB219))),""))</f>
        <v>-118</v>
      </c>
      <c r="AD219" s="9" t="s">
        <v>180</v>
      </c>
      <c r="AE219" s="9" t="s">
        <v>645</v>
      </c>
      <c r="AF219" s="10"/>
      <c r="AG219" s="10"/>
      <c r="AH219" s="9"/>
      <c r="AI219" s="9" t="s">
        <v>646</v>
      </c>
      <c r="AJ219" s="9" t="s">
        <v>8</v>
      </c>
      <c r="AK219" s="10">
        <v>45562</v>
      </c>
      <c r="AL219" s="10">
        <v>45567</v>
      </c>
      <c r="AM219" s="10">
        <v>45580</v>
      </c>
      <c r="AN219" s="9" t="s">
        <v>95</v>
      </c>
      <c r="AO219" s="9"/>
      <c r="AP219" s="11">
        <f>IF($H219="Cancelled","",IFERROR(IF(OR(AK219="",AB219=""),"",(AB219+Variables!$B$18-AK219)),""))</f>
        <v>115</v>
      </c>
      <c r="AQ219" s="11">
        <f>IF($H219="Cancelled","",IFERROR(IF(OR(AM219="",AK219=""),"",(AK219+Variables!$B$19)-AM219),""))</f>
        <v>-13</v>
      </c>
      <c r="AR219" s="12">
        <f>IF($H219="Cancelled","",IFERROR(T219*INDEX(Variables!$B$7:$D$7,IFERROR(MATCH(IF($B219="Robusta","Robusta",(IF($B219="","Arabica",$B219))&amp;" - "&amp;(IF($C219="","Commercial",$C219))),Variables!$B$1:$D$1,0),1))*(AQ219/365),""))</f>
        <v>-282.63950105603237</v>
      </c>
      <c r="AS219" s="12">
        <f>IF($H219="Cancelled","",IFERROR((T219*INDEX(Variables!$B$7:$D$7,IFERROR(MATCH(IF($B219="Robusta","Robusta",(IF($B219="","Arabica",$B219))&amp;" - "&amp;(IF($C219="","Commercial",$C219))),Variables!$B$1:$D$1,0),1))*IFERROR(IF(W219="","",(AVERAGE(E219:F219)-W219)-Variables!$B$14),"")/365)+(L219/16.67*INDEX(Variables!$B$8:$D$8,IFERROR(MATCH(IF($B219="Robusta","Robusta",(IF($B219="","Arabica",$B219))&amp;" - "&amp;(IF($C219="","Commercial",$C219))),Variables!$B$1:$D$1,0),1))*IFERROR(IF(W219="","",(AVERAGE(E219:F219)-W219)-Variables!$B$14),""))+(T219*INDEX(Variables!$B$9:$D$9,IFERROR(MATCH(IF($B219="Robusta","Robusta",(IF($B219="","Arabica",$B219))&amp;" - "&amp;(IF($C219="","Commercial",$C219))),Variables!$B$1:$D$1,0),1))*IFERROR(IF(W219="","",(AVERAGE(E219:F219)-W219)-Variables!$B$14),"")/365),""))</f>
        <v>-893.51206442331795</v>
      </c>
      <c r="AT219" s="12">
        <f>IF($H219="Cancelled","",IFERROR((T219*INDEX(Variables!$B$7:$D$7,IFERROR(MATCH(IF($B219="Robusta","Robusta",(IF($B219="","Arabica",$B219))&amp;" - "&amp;(IF($C219="","Commercial",$C219))),Variables!$B$1:$D$1,0),1))*AC219/365)+(L219/16.67*INDEX(Variables!$B$8:$D$8,IFERROR(MATCH(IF($B219="Robusta","Robusta",(IF($B219="","Arabica",$B219))&amp;" - "&amp;(IF($C219="","Commercial",$C219))),Variables!$B$1:$D$1,0),1))*AC219)+(T219*INDEX(Variables!$B$9:$D$9,IFERROR(MATCH(IF($B219="Robusta","Robusta",(IF($B219="","Arabica",$B219))&amp;" - "&amp;(IF($C219="","Commercial",$C219))),Variables!$B$1:$D$1,0),1))*AC219/365),""))</f>
        <v>-4486.5712171043197</v>
      </c>
      <c r="AU219" s="12">
        <f>IF($H219="Cancelled","",IFERROR((T219*INDEX(Variables!$B$7:$D$7,IFERROR(MATCH(IF($B219="Robusta","Robusta",(IF($B219="","Arabica",$B219))&amp;" - "&amp;(IF($C219="","Commercial",$C219))),Variables!$B$1:$D$1,0),1))*AP219/365)+(L219/16.67*INDEX(Variables!$B$8:$D$8,IFERROR(MATCH(IF($B219="Robusta","Robusta",(IF($B219="","Arabica",$B219))&amp;" - "&amp;(IF($C219="","Commercial",$C219))),Variables!$B$1:$D$1,0),1))*AP219)+(T219*INDEX(Variables!$B$9:$D$9,IFERROR(MATCH(IF($B219="Robusta","Robusta",(IF($B219="","Arabica",$B219))&amp;" - "&amp;(IF($C219="","Commercial",$C219))),Variables!$B$1:$D$1,0),1))*AP219/365),""))</f>
        <v>4372.5058471779384</v>
      </c>
      <c r="AV219" s="11">
        <f t="shared" si="23"/>
        <v>3</v>
      </c>
      <c r="AW219" s="12">
        <f>IF($H219="Cancelled","",IFERROR(IF(AV219="","",(T219*INDEX(Variables!$B$7:$D$7,IFERROR(MATCH(IF($B219="Robusta","Robusta",(IF($B219="","Arabica",$B219))&amp;" - "&amp;(IF($C219="","Commercial",$C219))),Variables!$B$1:$D$1,0),1))*(AV219/365))+(T219*INDEX(Variables!$B$9:$D$9,IFERROR(MATCH(IF($B219="Robusta","Robusta",(IF($B219="","Arabica",$B219))&amp;" - "&amp;(IF($C219="","Commercial",$C219))),Variables!$B$1:$D$1,0),1))*(AV219/365))+(INDEX(Variables!$B$8:$D$8,IFERROR(MATCH(IF($B219="Robusta","Robusta",(IF($B219="","Arabica",$B219))&amp;" - "&amp;(IF($C219="","Commercial",$C219))),Variables!$B$1:$D$1,0),1))*L219/16.67)),""))</f>
        <v>82.06536992638101</v>
      </c>
      <c r="AX219" s="9"/>
      <c r="AY219" s="12"/>
      <c r="AZ219" s="10"/>
      <c r="BA219" s="9"/>
      <c r="BB219" s="10"/>
      <c r="BC219" s="9"/>
      <c r="BD219" s="9"/>
      <c r="BE219" s="9"/>
      <c r="BF219" s="9"/>
    </row>
    <row r="220" spans="1:58" x14ac:dyDescent="0.25">
      <c r="A220" s="9" t="s">
        <v>84</v>
      </c>
      <c r="B220" s="9" t="s">
        <v>85</v>
      </c>
      <c r="C220" s="9" t="s">
        <v>86</v>
      </c>
      <c r="D220" s="10">
        <v>45518</v>
      </c>
      <c r="E220" s="10">
        <v>45536</v>
      </c>
      <c r="F220" s="10">
        <v>45565</v>
      </c>
      <c r="G220" s="9">
        <v>3786481</v>
      </c>
      <c r="H220" s="9" t="str">
        <f t="shared" si="21"/>
        <v>Closed</v>
      </c>
      <c r="I220" s="9" t="str">
        <f t="shared" si="22"/>
        <v>All dates received</v>
      </c>
      <c r="J220" s="9" t="s">
        <v>193</v>
      </c>
      <c r="K220" s="9">
        <v>5081</v>
      </c>
      <c r="L220" s="11">
        <v>300</v>
      </c>
      <c r="M220" s="9" t="s">
        <v>647</v>
      </c>
      <c r="N220" s="9" t="s">
        <v>400</v>
      </c>
      <c r="O220" s="9"/>
      <c r="P220" s="9"/>
      <c r="Q220" s="11"/>
      <c r="R220" s="9" t="s">
        <v>90</v>
      </c>
      <c r="S220" s="9" t="s">
        <v>150</v>
      </c>
      <c r="T220" s="12">
        <f>IF($H220="Cancelled","",IFERROR(((Q220+INDEX(Variables!$B$6:$D$6,IFERROR(MATCH(IF($B220="Robusta","Robusta",(IF($B220="","Arabica",$B220))&amp;" - "&amp;(IF($C220="","Commercial",$C220))),Variables!$B$1:$D$1,0),1)))*22.0462)*(L220/16.67),""))</f>
        <v>115375.55416916615</v>
      </c>
      <c r="U220" s="10">
        <v>45524</v>
      </c>
      <c r="V220" s="9" t="str">
        <f t="shared" si="24"/>
        <v>Sent</v>
      </c>
      <c r="W220" s="10">
        <v>45530</v>
      </c>
      <c r="X220" s="9" t="str">
        <f t="shared" si="17"/>
        <v>Approved</v>
      </c>
      <c r="Y220" s="10"/>
      <c r="Z220" s="10">
        <f>IF($H220="Cancelled","",IFERROR(IF(F220="","",F220-Variables!$B$13),""))</f>
        <v>45550</v>
      </c>
      <c r="AA220" s="11">
        <f>IF($H220="Cancelled","",IFERROR(IF(W220="","",(AVERAGE(E220:F220)-W220)-Variables!$B$14),""))</f>
        <v>-9.5</v>
      </c>
      <c r="AB220" s="10">
        <v>45671</v>
      </c>
      <c r="AC220" s="11">
        <f>IF($H220="Cancelled","",IFERROR(IF(AB220="","",IF(AND(W220="",Y220=""),"",IF(Y220&gt;W220,Y220+Variables!$B$15+Variables!$B$16+Variables!$B$17-AB220,W220+Variables!$B$16+Variables!$B$17-AB220))),""))</f>
        <v>-133</v>
      </c>
      <c r="AD220" s="9" t="s">
        <v>180</v>
      </c>
      <c r="AE220" s="9" t="s">
        <v>291</v>
      </c>
      <c r="AF220" s="10"/>
      <c r="AG220" s="10"/>
      <c r="AH220" s="9"/>
      <c r="AI220" s="9" t="s">
        <v>648</v>
      </c>
      <c r="AJ220" s="9" t="s">
        <v>632</v>
      </c>
      <c r="AK220" s="10">
        <v>45539</v>
      </c>
      <c r="AL220" s="10">
        <v>45540</v>
      </c>
      <c r="AM220" s="10">
        <v>45548</v>
      </c>
      <c r="AN220" s="9" t="s">
        <v>95</v>
      </c>
      <c r="AO220" s="9"/>
      <c r="AP220" s="11">
        <f>IF($H220="Cancelled","",IFERROR(IF(OR(AK220="",AB220=""),"",(AB220+Variables!$B$18-AK220)),""))</f>
        <v>139</v>
      </c>
      <c r="AQ220" s="11">
        <f>IF($H220="Cancelled","",IFERROR(IF(OR(AM220="",AK220=""),"",(AK220+Variables!$B$19)-AM220),""))</f>
        <v>-4</v>
      </c>
      <c r="AR220" s="12">
        <f>IF($H220="Cancelled","",IFERROR(T220*INDEX(Variables!$B$7:$D$7,IFERROR(MATCH(IF($B220="Robusta","Robusta",(IF($B220="","Arabica",$B220))&amp;" - "&amp;(IF($C220="","Commercial",$C220))),Variables!$B$1:$D$1,0),1))*(AQ220/365),""))</f>
        <v>-81.530625304624721</v>
      </c>
      <c r="AS220" s="12">
        <f>IF($H220="Cancelled","",IFERROR((T220*INDEX(Variables!$B$7:$D$7,IFERROR(MATCH(IF($B220="Robusta","Robusta",(IF($B220="","Arabica",$B220))&amp;" - "&amp;(IF($C220="","Commercial",$C220))),Variables!$B$1:$D$1,0),1))*IFERROR(IF(W220="","",(AVERAGE(E220:F220)-W220)-Variables!$B$14),"")/365)+(L220/16.67*INDEX(Variables!$B$8:$D$8,IFERROR(MATCH(IF($B220="Robusta","Robusta",(IF($B220="","Arabica",$B220))&amp;" - "&amp;(IF($C220="","Commercial",$C220))),Variables!$B$1:$D$1,0),1))*IFERROR(IF(W220="","",(AVERAGE(E220:F220)-W220)-Variables!$B$14),""))+(T220*INDEX(Variables!$B$9:$D$9,IFERROR(MATCH(IF($B220="Robusta","Robusta",(IF($B220="","Arabica",$B220))&amp;" - "&amp;(IF($C220="","Commercial",$C220))),Variables!$B$1:$D$1,0),1))*IFERROR(IF(W220="","",(AVERAGE(E220:F220)-W220)-Variables!$B$14),"")/365),""))</f>
        <v>-338.63156696894362</v>
      </c>
      <c r="AT220" s="12">
        <f>IF($H220="Cancelled","",IFERROR((T220*INDEX(Variables!$B$7:$D$7,IFERROR(MATCH(IF($B220="Robusta","Robusta",(IF($B220="","Arabica",$B220))&amp;" - "&amp;(IF($C220="","Commercial",$C220))),Variables!$B$1:$D$1,0),1))*AC220/365)+(L220/16.67*INDEX(Variables!$B$8:$D$8,IFERROR(MATCH(IF($B220="Robusta","Robusta",(IF($B220="","Arabica",$B220))&amp;" - "&amp;(IF($C220="","Commercial",$C220))),Variables!$B$1:$D$1,0),1))*AC220)+(T220*INDEX(Variables!$B$9:$D$9,IFERROR(MATCH(IF($B220="Robusta","Robusta",(IF($B220="","Arabica",$B220))&amp;" - "&amp;(IF($C220="","Commercial",$C220))),Variables!$B$1:$D$1,0),1))*AC220/365),""))</f>
        <v>-4740.8419375652111</v>
      </c>
      <c r="AU220" s="12">
        <f>IF($H220="Cancelled","",IFERROR((T220*INDEX(Variables!$B$7:$D$7,IFERROR(MATCH(IF($B220="Robusta","Robusta",(IF($B220="","Arabica",$B220))&amp;" - "&amp;(IF($C220="","Commercial",$C220))),Variables!$B$1:$D$1,0),1))*AP220/365)+(L220/16.67*INDEX(Variables!$B$8:$D$8,IFERROR(MATCH(IF($B220="Robusta","Robusta",(IF($B220="","Arabica",$B220))&amp;" - "&amp;(IF($C220="","Commercial",$C220))),Variables!$B$1:$D$1,0),1))*AP220)+(T220*INDEX(Variables!$B$9:$D$9,IFERROR(MATCH(IF($B220="Robusta","Robusta",(IF($B220="","Arabica",$B220))&amp;" - "&amp;(IF($C220="","Commercial",$C220))),Variables!$B$1:$D$1,0),1))*AP220/365),""))</f>
        <v>4954.7145061771744</v>
      </c>
      <c r="AV220" s="11">
        <f t="shared" si="23"/>
        <v>26</v>
      </c>
      <c r="AW220" s="12">
        <f>IF($H220="Cancelled","",IFERROR(IF(AV220="","",(T220*INDEX(Variables!$B$7:$D$7,IFERROR(MATCH(IF($B220="Robusta","Robusta",(IF($B220="","Arabica",$B220))&amp;" - "&amp;(IF($C220="","Commercial",$C220))),Variables!$B$1:$D$1,0),1))*(AV220/365))+(T220*INDEX(Variables!$B$9:$D$9,IFERROR(MATCH(IF($B220="Robusta","Robusta",(IF($B220="","Arabica",$B220))&amp;" - "&amp;(IF($C220="","Commercial",$C220))),Variables!$B$1:$D$1,0),1))*(AV220/365))+(INDEX(Variables!$B$8:$D$8,IFERROR(MATCH(IF($B220="Robusta","Robusta",(IF($B220="","Arabica",$B220))&amp;" - "&amp;(IF($C220="","Commercial",$C220))),Variables!$B$1:$D$1,0),1))*L220/16.67)),""))</f>
        <v>551.78113065184561</v>
      </c>
      <c r="AX220" s="9"/>
      <c r="AY220" s="12"/>
      <c r="AZ220" s="10"/>
      <c r="BA220" s="9"/>
      <c r="BB220" s="10"/>
      <c r="BC220" s="9"/>
      <c r="BD220" s="9"/>
      <c r="BE220" s="9"/>
      <c r="BF220" s="9"/>
    </row>
    <row r="221" spans="1:58" x14ac:dyDescent="0.25">
      <c r="A221" s="9" t="s">
        <v>84</v>
      </c>
      <c r="B221" s="9" t="s">
        <v>85</v>
      </c>
      <c r="C221" s="9" t="s">
        <v>86</v>
      </c>
      <c r="D221" s="10">
        <v>45518</v>
      </c>
      <c r="E221" s="10">
        <v>45536</v>
      </c>
      <c r="F221" s="10">
        <v>45565</v>
      </c>
      <c r="G221" s="9">
        <v>3786482</v>
      </c>
      <c r="H221" s="9" t="str">
        <f t="shared" si="21"/>
        <v>Closed</v>
      </c>
      <c r="I221" s="9" t="str">
        <f t="shared" si="22"/>
        <v>All dates received</v>
      </c>
      <c r="J221" s="9" t="s">
        <v>264</v>
      </c>
      <c r="K221" s="9">
        <v>5097</v>
      </c>
      <c r="L221" s="11">
        <v>960</v>
      </c>
      <c r="M221" s="9" t="s">
        <v>649</v>
      </c>
      <c r="N221" s="9" t="s">
        <v>122</v>
      </c>
      <c r="O221" s="9"/>
      <c r="P221" s="9"/>
      <c r="Q221" s="11"/>
      <c r="R221" s="9" t="s">
        <v>90</v>
      </c>
      <c r="S221" s="9" t="s">
        <v>150</v>
      </c>
      <c r="T221" s="12">
        <f>IF($H221="Cancelled","",IFERROR(((Q221+INDEX(Variables!$B$6:$D$6,IFERROR(MATCH(IF($B221="Robusta","Robusta",(IF($B221="","Arabica",$B221))&amp;" - "&amp;(IF($C221="","Commercial",$C221))),Variables!$B$1:$D$1,0),1)))*22.0462)*(L221/16.67),""))</f>
        <v>369201.77334133169</v>
      </c>
      <c r="U221" s="10">
        <v>45526</v>
      </c>
      <c r="V221" s="9" t="str">
        <f t="shared" si="24"/>
        <v>Sent</v>
      </c>
      <c r="W221" s="10">
        <v>45546</v>
      </c>
      <c r="X221" s="9" t="str">
        <f t="shared" si="17"/>
        <v>Approved</v>
      </c>
      <c r="Y221" s="10"/>
      <c r="Z221" s="10">
        <f>IF($H221="Cancelled","",IFERROR(IF(F221="","",F221-Variables!$B$13),""))</f>
        <v>45550</v>
      </c>
      <c r="AA221" s="11">
        <f>IF($H221="Cancelled","",IFERROR(IF(W221="","",(AVERAGE(E221:F221)-W221)-Variables!$B$14),""))</f>
        <v>-25.5</v>
      </c>
      <c r="AB221" s="10">
        <v>45672</v>
      </c>
      <c r="AC221" s="11">
        <f>IF($H221="Cancelled","",IFERROR(IF(AB221="","",IF(AND(W221="",Y221=""),"",IF(Y221&gt;W221,Y221+Variables!$B$15+Variables!$B$16+Variables!$B$17-AB221,W221+Variables!$B$16+Variables!$B$17-AB221))),""))</f>
        <v>-118</v>
      </c>
      <c r="AD221" s="9" t="s">
        <v>650</v>
      </c>
      <c r="AE221" s="9" t="s">
        <v>598</v>
      </c>
      <c r="AF221" s="10"/>
      <c r="AG221" s="10"/>
      <c r="AH221" s="9"/>
      <c r="AI221" s="9">
        <v>244731069</v>
      </c>
      <c r="AJ221" s="9" t="s">
        <v>8</v>
      </c>
      <c r="AK221" s="10">
        <v>45569</v>
      </c>
      <c r="AL221" s="10">
        <v>45572</v>
      </c>
      <c r="AM221" s="10">
        <v>45580</v>
      </c>
      <c r="AN221" s="9" t="s">
        <v>95</v>
      </c>
      <c r="AO221" s="9"/>
      <c r="AP221" s="11">
        <f>IF($H221="Cancelled","",IFERROR(IF(OR(AK221="",AB221=""),"",(AB221+Variables!$B$18-AK221)),""))</f>
        <v>110</v>
      </c>
      <c r="AQ221" s="11">
        <f>IF($H221="Cancelled","",IFERROR(IF(OR(AM221="",AK221=""),"",(AK221+Variables!$B$19)-AM221),""))</f>
        <v>-6</v>
      </c>
      <c r="AR221" s="12">
        <f>IF($H221="Cancelled","",IFERROR(T221*INDEX(Variables!$B$7:$D$7,IFERROR(MATCH(IF($B221="Robusta","Robusta",(IF($B221="","Arabica",$B221))&amp;" - "&amp;(IF($C221="","Commercial",$C221))),Variables!$B$1:$D$1,0),1))*(AQ221/365),""))</f>
        <v>-391.34700146219865</v>
      </c>
      <c r="AS221" s="12">
        <f>IF($H221="Cancelled","",IFERROR((T221*INDEX(Variables!$B$7:$D$7,IFERROR(MATCH(IF($B221="Robusta","Robusta",(IF($B221="","Arabica",$B221))&amp;" - "&amp;(IF($C221="","Commercial",$C221))),Variables!$B$1:$D$1,0),1))*IFERROR(IF(W221="","",(AVERAGE(E221:F221)-W221)-Variables!$B$14),"")/365)+(L221/16.67*INDEX(Variables!$B$8:$D$8,IFERROR(MATCH(IF($B221="Robusta","Robusta",(IF($B221="","Arabica",$B221))&amp;" - "&amp;(IF($C221="","Commercial",$C221))),Variables!$B$1:$D$1,0),1))*IFERROR(IF(W221="","",(AVERAGE(E221:F221)-W221)-Variables!$B$14),""))+(T221*INDEX(Variables!$B$9:$D$9,IFERROR(MATCH(IF($B221="Robusta","Robusta",(IF($B221="","Arabica",$B221))&amp;" - "&amp;(IF($C221="","Commercial",$C221))),Variables!$B$1:$D$1,0),1))*IFERROR(IF(W221="","",(AVERAGE(E221:F221)-W221)-Variables!$B$14),"")/365),""))</f>
        <v>-2908.6669331227163</v>
      </c>
      <c r="AT221" s="12">
        <f>IF($H221="Cancelled","",IFERROR((T221*INDEX(Variables!$B$7:$D$7,IFERROR(MATCH(IF($B221="Robusta","Robusta",(IF($B221="","Arabica",$B221))&amp;" - "&amp;(IF($C221="","Commercial",$C221))),Variables!$B$1:$D$1,0),1))*AC221/365)+(L221/16.67*INDEX(Variables!$B$8:$D$8,IFERROR(MATCH(IF($B221="Robusta","Robusta",(IF($B221="","Arabica",$B221))&amp;" - "&amp;(IF($C221="","Commercial",$C221))),Variables!$B$1:$D$1,0),1))*AC221)+(T221*INDEX(Variables!$B$9:$D$9,IFERROR(MATCH(IF($B221="Robusta","Robusta",(IF($B221="","Arabica",$B221))&amp;" - "&amp;(IF($C221="","Commercial",$C221))),Variables!$B$1:$D$1,0),1))*AC221/365),""))</f>
        <v>-13459.713651312959</v>
      </c>
      <c r="AU221" s="12">
        <f>IF($H221="Cancelled","",IFERROR((T221*INDEX(Variables!$B$7:$D$7,IFERROR(MATCH(IF($B221="Robusta","Robusta",(IF($B221="","Arabica",$B221))&amp;" - "&amp;(IF($C221="","Commercial",$C221))),Variables!$B$1:$D$1,0),1))*AP221/365)+(L221/16.67*INDEX(Variables!$B$8:$D$8,IFERROR(MATCH(IF($B221="Robusta","Robusta",(IF($B221="","Arabica",$B221))&amp;" - "&amp;(IF($C221="","Commercial",$C221))),Variables!$B$1:$D$1,0),1))*AP221)+(T221*INDEX(Variables!$B$9:$D$9,IFERROR(MATCH(IF($B221="Robusta","Robusta",(IF($B221="","Arabica",$B221))&amp;" - "&amp;(IF($C221="","Commercial",$C221))),Variables!$B$1:$D$1,0),1))*AP221/365),""))</f>
        <v>12547.190691901911</v>
      </c>
      <c r="AV221" s="11">
        <f t="shared" si="23"/>
        <v>-4</v>
      </c>
      <c r="AW221" s="12">
        <f>IF($H221="Cancelled","",IFERROR(IF(AV221="","",(T221*INDEX(Variables!$B$7:$D$7,IFERROR(MATCH(IF($B221="Robusta","Robusta",(IF($B221="","Arabica",$B221))&amp;" - "&amp;(IF($C221="","Commercial",$C221))),Variables!$B$1:$D$1,0),1))*(AV221/365))+(T221*INDEX(Variables!$B$9:$D$9,IFERROR(MATCH(IF($B221="Robusta","Robusta",(IF($B221="","Arabica",$B221))&amp;" - "&amp;(IF($C221="","Commercial",$C221))),Variables!$B$1:$D$1,0),1))*(AV221/365))+(INDEX(Variables!$B$8:$D$8,IFERROR(MATCH(IF($B221="Robusta","Robusta",(IF($B221="","Arabica",$B221))&amp;" - "&amp;(IF($C221="","Commercial",$C221))),Variables!$B$1:$D$1,0),1))*L221/16.67)),""))</f>
        <v>-216.26147970552404</v>
      </c>
      <c r="AX221" s="9"/>
      <c r="AY221" s="12"/>
      <c r="AZ221" s="10"/>
      <c r="BA221" s="9"/>
      <c r="BB221" s="10"/>
      <c r="BC221" s="9"/>
      <c r="BD221" s="9"/>
      <c r="BE221" s="9"/>
      <c r="BF221" s="9"/>
    </row>
    <row r="222" spans="1:58" x14ac:dyDescent="0.25">
      <c r="A222" s="9" t="s">
        <v>84</v>
      </c>
      <c r="B222" s="9" t="s">
        <v>85</v>
      </c>
      <c r="C222" s="9" t="s">
        <v>86</v>
      </c>
      <c r="D222" s="10">
        <v>45524</v>
      </c>
      <c r="E222" s="10">
        <v>45536</v>
      </c>
      <c r="F222" s="10">
        <v>45549</v>
      </c>
      <c r="G222" s="9">
        <v>3786483</v>
      </c>
      <c r="H222" s="9" t="str">
        <f t="shared" si="21"/>
        <v>Closed</v>
      </c>
      <c r="I222" s="9" t="str">
        <f t="shared" si="22"/>
        <v>All dates received</v>
      </c>
      <c r="J222" s="9" t="s">
        <v>112</v>
      </c>
      <c r="K222" s="9">
        <v>5087</v>
      </c>
      <c r="L222" s="11">
        <v>640</v>
      </c>
      <c r="M222" s="9" t="s">
        <v>651</v>
      </c>
      <c r="N222" s="9" t="s">
        <v>387</v>
      </c>
      <c r="O222" s="9"/>
      <c r="P222" s="9"/>
      <c r="Q222" s="11"/>
      <c r="R222" s="9" t="s">
        <v>90</v>
      </c>
      <c r="S222" s="9" t="s">
        <v>117</v>
      </c>
      <c r="T222" s="12">
        <f>IF($H222="Cancelled","",IFERROR(((Q222+INDEX(Variables!$B$6:$D$6,IFERROR(MATCH(IF($B222="Robusta","Robusta",(IF($B222="","Arabica",$B222))&amp;" - "&amp;(IF($C222="","Commercial",$C222))),Variables!$B$1:$D$1,0),1)))*22.0462)*(L222/16.67),""))</f>
        <v>246134.51556088781</v>
      </c>
      <c r="U222" s="10">
        <v>45526</v>
      </c>
      <c r="V222" s="9" t="str">
        <f t="shared" si="24"/>
        <v>Sent</v>
      </c>
      <c r="W222" s="10">
        <v>45531</v>
      </c>
      <c r="X222" s="9" t="str">
        <f t="shared" si="17"/>
        <v>Approved</v>
      </c>
      <c r="Y222" s="10"/>
      <c r="Z222" s="10">
        <f>IF($H222="Cancelled","",IFERROR(IF(F222="","",F222-Variables!$B$13),""))</f>
        <v>45534</v>
      </c>
      <c r="AA222" s="11">
        <f>IF($H222="Cancelled","",IFERROR(IF(W222="","",(AVERAGE(E222:F222)-W222)-Variables!$B$14),""))</f>
        <v>-18.5</v>
      </c>
      <c r="AB222" s="10">
        <v>45673</v>
      </c>
      <c r="AC222" s="11">
        <f>IF($H222="Cancelled","",IFERROR(IF(AB222="","",IF(AND(W222="",Y222=""),"",IF(Y222&gt;W222,Y222+Variables!$B$15+Variables!$B$16+Variables!$B$17-AB222,W222+Variables!$B$16+Variables!$B$17-AB222))),""))</f>
        <v>-134</v>
      </c>
      <c r="AD222" s="9" t="s">
        <v>107</v>
      </c>
      <c r="AE222" s="9" t="s">
        <v>559</v>
      </c>
      <c r="AF222" s="10"/>
      <c r="AG222" s="10"/>
      <c r="AH222" s="9"/>
      <c r="AI222" s="9" t="s">
        <v>652</v>
      </c>
      <c r="AJ222" s="9" t="s">
        <v>653</v>
      </c>
      <c r="AK222" s="10">
        <v>45553</v>
      </c>
      <c r="AL222" s="10">
        <v>45559</v>
      </c>
      <c r="AM222" s="10">
        <v>45560</v>
      </c>
      <c r="AN222" s="9" t="s">
        <v>95</v>
      </c>
      <c r="AO222" s="9"/>
      <c r="AP222" s="11">
        <f>IF($H222="Cancelled","",IFERROR(IF(OR(AK222="",AB222=""),"",(AB222+Variables!$B$18-AK222)),""))</f>
        <v>127</v>
      </c>
      <c r="AQ222" s="11">
        <f>IF($H222="Cancelled","",IFERROR(IF(OR(AM222="",AK222=""),"",(AK222+Variables!$B$19)-AM222),""))</f>
        <v>-2</v>
      </c>
      <c r="AR222" s="12">
        <f>IF($H222="Cancelled","",IFERROR(T222*INDEX(Variables!$B$7:$D$7,IFERROR(MATCH(IF($B222="Robusta","Robusta",(IF($B222="","Arabica",$B222))&amp;" - "&amp;(IF($C222="","Commercial",$C222))),Variables!$B$1:$D$1,0),1))*(AQ222/365),""))</f>
        <v>-86.966000324933049</v>
      </c>
      <c r="AS222" s="12">
        <f>IF($H222="Cancelled","",IFERROR((T222*INDEX(Variables!$B$7:$D$7,IFERROR(MATCH(IF($B222="Robusta","Robusta",(IF($B222="","Arabica",$B222))&amp;" - "&amp;(IF($C222="","Commercial",$C222))),Variables!$B$1:$D$1,0),1))*IFERROR(IF(W222="","",(AVERAGE(E222:F222)-W222)-Variables!$B$14),"")/365)+(L222/16.67*INDEX(Variables!$B$8:$D$8,IFERROR(MATCH(IF($B222="Robusta","Robusta",(IF($B222="","Arabica",$B222))&amp;" - "&amp;(IF($C222="","Commercial",$C222))),Variables!$B$1:$D$1,0),1))*IFERROR(IF(W222="","",(AVERAGE(E222:F222)-W222)-Variables!$B$14),""))+(T222*INDEX(Variables!$B$9:$D$9,IFERROR(MATCH(IF($B222="Robusta","Robusta",(IF($B222="","Arabica",$B222))&amp;" - "&amp;(IF($C222="","Commercial",$C222))),Variables!$B$1:$D$1,0),1))*IFERROR(IF(W222="","",(AVERAGE(E222:F222)-W222)-Variables!$B$14),"")/365),""))</f>
        <v>-1406.8062290920325</v>
      </c>
      <c r="AT222" s="12">
        <f>IF($H222="Cancelled","",IFERROR((T222*INDEX(Variables!$B$7:$D$7,IFERROR(MATCH(IF($B222="Robusta","Robusta",(IF($B222="","Arabica",$B222))&amp;" - "&amp;(IF($C222="","Commercial",$C222))),Variables!$B$1:$D$1,0),1))*AC222/365)+(L222/16.67*INDEX(Variables!$B$8:$D$8,IFERROR(MATCH(IF($B222="Robusta","Robusta",(IF($B222="","Arabica",$B222))&amp;" - "&amp;(IF($C222="","Commercial",$C222))),Variables!$B$1:$D$1,0),1))*AC222)+(T222*INDEX(Variables!$B$9:$D$9,IFERROR(MATCH(IF($B222="Robusta","Robusta",(IF($B222="","Arabica",$B222))&amp;" - "&amp;(IF($C222="","Commercial",$C222))),Variables!$B$1:$D$1,0),1))*AC222/365),""))</f>
        <v>-10189.839713423371</v>
      </c>
      <c r="AU222" s="12">
        <f>IF($H222="Cancelled","",IFERROR((T222*INDEX(Variables!$B$7:$D$7,IFERROR(MATCH(IF($B222="Robusta","Robusta",(IF($B222="","Arabica",$B222))&amp;" - "&amp;(IF($C222="","Commercial",$C222))),Variables!$B$1:$D$1,0),1))*AP222/365)+(L222/16.67*INDEX(Variables!$B$8:$D$8,IFERROR(MATCH(IF($B222="Robusta","Robusta",(IF($B222="","Arabica",$B222))&amp;" - "&amp;(IF($C222="","Commercial",$C222))),Variables!$B$1:$D$1,0),1))*AP222)+(T222*INDEX(Variables!$B$9:$D$9,IFERROR(MATCH(IF($B222="Robusta","Robusta",(IF($B222="","Arabica",$B222))&amp;" - "&amp;(IF($C222="","Commercial",$C222))),Variables!$B$1:$D$1,0),1))*AP222/365),""))</f>
        <v>9657.5346537669266</v>
      </c>
      <c r="AV222" s="11">
        <f t="shared" si="23"/>
        <v>-4</v>
      </c>
      <c r="AW222" s="12">
        <f>IF($H222="Cancelled","",IFERROR(IF(AV222="","",(T222*INDEX(Variables!$B$7:$D$7,IFERROR(MATCH(IF($B222="Robusta","Robusta",(IF($B222="","Arabica",$B222))&amp;" - "&amp;(IF($C222="","Commercial",$C222))),Variables!$B$1:$D$1,0),1))*(AV222/365))+(T222*INDEX(Variables!$B$9:$D$9,IFERROR(MATCH(IF($B222="Robusta","Robusta",(IF($B222="","Arabica",$B222))&amp;" - "&amp;(IF($C222="","Commercial",$C222))),Variables!$B$1:$D$1,0),1))*(AV222/365))+(INDEX(Variables!$B$8:$D$8,IFERROR(MATCH(IF($B222="Robusta","Robusta",(IF($B222="","Arabica",$B222))&amp;" - "&amp;(IF($C222="","Commercial",$C222))),Variables!$B$1:$D$1,0),1))*L222/16.67)),""))</f>
        <v>-144.17431980368272</v>
      </c>
      <c r="AX222" s="9"/>
      <c r="AY222" s="12"/>
      <c r="AZ222" s="10"/>
      <c r="BA222" s="9"/>
      <c r="BB222" s="10"/>
      <c r="BC222" s="9"/>
      <c r="BD222" s="9"/>
      <c r="BE222" s="9"/>
      <c r="BF222" s="9"/>
    </row>
    <row r="223" spans="1:58" x14ac:dyDescent="0.25">
      <c r="A223" s="9" t="s">
        <v>84</v>
      </c>
      <c r="B223" s="9" t="s">
        <v>85</v>
      </c>
      <c r="C223" s="9" t="s">
        <v>86</v>
      </c>
      <c r="D223" s="10">
        <v>45524</v>
      </c>
      <c r="E223" s="10">
        <v>45536</v>
      </c>
      <c r="F223" s="10">
        <v>45549</v>
      </c>
      <c r="G223" s="9">
        <v>3786484</v>
      </c>
      <c r="H223" s="9" t="str">
        <f t="shared" si="21"/>
        <v>Closed</v>
      </c>
      <c r="I223" s="9" t="str">
        <f t="shared" si="22"/>
        <v>All dates received</v>
      </c>
      <c r="J223" s="9" t="s">
        <v>112</v>
      </c>
      <c r="K223" s="9">
        <v>5086</v>
      </c>
      <c r="L223" s="11">
        <v>320</v>
      </c>
      <c r="M223" s="9" t="s">
        <v>114</v>
      </c>
      <c r="N223" s="9" t="s">
        <v>227</v>
      </c>
      <c r="O223" s="9"/>
      <c r="P223" s="9"/>
      <c r="Q223" s="11"/>
      <c r="R223" s="9" t="s">
        <v>90</v>
      </c>
      <c r="S223" s="9" t="s">
        <v>117</v>
      </c>
      <c r="T223" s="12">
        <f>IF($H223="Cancelled","",IFERROR(((Q223+INDEX(Variables!$B$6:$D$6,IFERROR(MATCH(IF($B223="Robusta","Robusta",(IF($B223="","Arabica",$B223))&amp;" - "&amp;(IF($C223="","Commercial",$C223))),Variables!$B$1:$D$1,0),1)))*22.0462)*(L223/16.67),""))</f>
        <v>123067.25778044391</v>
      </c>
      <c r="U223" s="10">
        <v>45526</v>
      </c>
      <c r="V223" s="9" t="str">
        <f t="shared" si="24"/>
        <v>Sent</v>
      </c>
      <c r="W223" s="10">
        <v>45531</v>
      </c>
      <c r="X223" s="9" t="str">
        <f t="shared" si="17"/>
        <v>Approved</v>
      </c>
      <c r="Y223" s="10"/>
      <c r="Z223" s="10">
        <f>IF($H223="Cancelled","",IFERROR(IF(F223="","",F223-Variables!$B$13),""))</f>
        <v>45534</v>
      </c>
      <c r="AA223" s="11">
        <f>IF($H223="Cancelled","",IFERROR(IF(W223="","",(AVERAGE(E223:F223)-W223)-Variables!$B$14),""))</f>
        <v>-18.5</v>
      </c>
      <c r="AB223" s="10">
        <v>45673</v>
      </c>
      <c r="AC223" s="11">
        <f>IF($H223="Cancelled","",IFERROR(IF(AB223="","",IF(AND(W223="",Y223=""),"",IF(Y223&gt;W223,Y223+Variables!$B$15+Variables!$B$16+Variables!$B$17-AB223,W223+Variables!$B$16+Variables!$B$17-AB223))),""))</f>
        <v>-134</v>
      </c>
      <c r="AD223" s="9" t="s">
        <v>107</v>
      </c>
      <c r="AE223" s="9" t="s">
        <v>559</v>
      </c>
      <c r="AF223" s="10"/>
      <c r="AG223" s="10"/>
      <c r="AH223" s="9"/>
      <c r="AI223" s="9" t="s">
        <v>654</v>
      </c>
      <c r="AJ223" s="9" t="s">
        <v>653</v>
      </c>
      <c r="AK223" s="10">
        <v>45553</v>
      </c>
      <c r="AL223" s="10">
        <v>45559</v>
      </c>
      <c r="AM223" s="10">
        <v>45560</v>
      </c>
      <c r="AN223" s="9" t="s">
        <v>95</v>
      </c>
      <c r="AO223" s="9"/>
      <c r="AP223" s="11">
        <f>IF($H223="Cancelled","",IFERROR(IF(OR(AK223="",AB223=""),"",(AB223+Variables!$B$18-AK223)),""))</f>
        <v>127</v>
      </c>
      <c r="AQ223" s="11">
        <f>IF($H223="Cancelled","",IFERROR(IF(OR(AM223="",AK223=""),"",(AK223+Variables!$B$19)-AM223),""))</f>
        <v>-2</v>
      </c>
      <c r="AR223" s="12">
        <f>IF($H223="Cancelled","",IFERROR(T223*INDEX(Variables!$B$7:$D$7,IFERROR(MATCH(IF($B223="Robusta","Robusta",(IF($B223="","Arabica",$B223))&amp;" - "&amp;(IF($C223="","Commercial",$C223))),Variables!$B$1:$D$1,0),1))*(AQ223/365),""))</f>
        <v>-43.483000162466524</v>
      </c>
      <c r="AS223" s="12">
        <f>IF($H223="Cancelled","",IFERROR((T223*INDEX(Variables!$B$7:$D$7,IFERROR(MATCH(IF($B223="Robusta","Robusta",(IF($B223="","Arabica",$B223))&amp;" - "&amp;(IF($C223="","Commercial",$C223))),Variables!$B$1:$D$1,0),1))*IFERROR(IF(W223="","",(AVERAGE(E223:F223)-W223)-Variables!$B$14),"")/365)+(L223/16.67*INDEX(Variables!$B$8:$D$8,IFERROR(MATCH(IF($B223="Robusta","Robusta",(IF($B223="","Arabica",$B223))&amp;" - "&amp;(IF($C223="","Commercial",$C223))),Variables!$B$1:$D$1,0),1))*IFERROR(IF(W223="","",(AVERAGE(E223:F223)-W223)-Variables!$B$14),""))+(T223*INDEX(Variables!$B$9:$D$9,IFERROR(MATCH(IF($B223="Robusta","Robusta",(IF($B223="","Arabica",$B223))&amp;" - "&amp;(IF($C223="","Commercial",$C223))),Variables!$B$1:$D$1,0),1))*IFERROR(IF(W223="","",(AVERAGE(E223:F223)-W223)-Variables!$B$14),"")/365),""))</f>
        <v>-703.40311454601624</v>
      </c>
      <c r="AT223" s="12">
        <f>IF($H223="Cancelled","",IFERROR((T223*INDEX(Variables!$B$7:$D$7,IFERROR(MATCH(IF($B223="Robusta","Robusta",(IF($B223="","Arabica",$B223))&amp;" - "&amp;(IF($C223="","Commercial",$C223))),Variables!$B$1:$D$1,0),1))*AC223/365)+(L223/16.67*INDEX(Variables!$B$8:$D$8,IFERROR(MATCH(IF($B223="Robusta","Robusta",(IF($B223="","Arabica",$B223))&amp;" - "&amp;(IF($C223="","Commercial",$C223))),Variables!$B$1:$D$1,0),1))*AC223)+(T223*INDEX(Variables!$B$9:$D$9,IFERROR(MATCH(IF($B223="Robusta","Robusta",(IF($B223="","Arabica",$B223))&amp;" - "&amp;(IF($C223="","Commercial",$C223))),Variables!$B$1:$D$1,0),1))*AC223/365),""))</f>
        <v>-5094.9198567116855</v>
      </c>
      <c r="AU223" s="12">
        <f>IF($H223="Cancelled","",IFERROR((T223*INDEX(Variables!$B$7:$D$7,IFERROR(MATCH(IF($B223="Robusta","Robusta",(IF($B223="","Arabica",$B223))&amp;" - "&amp;(IF($C223="","Commercial",$C223))),Variables!$B$1:$D$1,0),1))*AP223/365)+(L223/16.67*INDEX(Variables!$B$8:$D$8,IFERROR(MATCH(IF($B223="Robusta","Robusta",(IF($B223="","Arabica",$B223))&amp;" - "&amp;(IF($C223="","Commercial",$C223))),Variables!$B$1:$D$1,0),1))*AP223)+(T223*INDEX(Variables!$B$9:$D$9,IFERROR(MATCH(IF($B223="Robusta","Robusta",(IF($B223="","Arabica",$B223))&amp;" - "&amp;(IF($C223="","Commercial",$C223))),Variables!$B$1:$D$1,0),1))*AP223/365),""))</f>
        <v>4828.7673268834633</v>
      </c>
      <c r="AV223" s="11">
        <f t="shared" si="23"/>
        <v>-4</v>
      </c>
      <c r="AW223" s="12">
        <f>IF($H223="Cancelled","",IFERROR(IF(AV223="","",(T223*INDEX(Variables!$B$7:$D$7,IFERROR(MATCH(IF($B223="Robusta","Robusta",(IF($B223="","Arabica",$B223))&amp;" - "&amp;(IF($C223="","Commercial",$C223))),Variables!$B$1:$D$1,0),1))*(AV223/365))+(T223*INDEX(Variables!$B$9:$D$9,IFERROR(MATCH(IF($B223="Robusta","Robusta",(IF($B223="","Arabica",$B223))&amp;" - "&amp;(IF($C223="","Commercial",$C223))),Variables!$B$1:$D$1,0),1))*(AV223/365))+(INDEX(Variables!$B$8:$D$8,IFERROR(MATCH(IF($B223="Robusta","Robusta",(IF($B223="","Arabica",$B223))&amp;" - "&amp;(IF($C223="","Commercial",$C223))),Variables!$B$1:$D$1,0),1))*L223/16.67)),""))</f>
        <v>-72.08715990184136</v>
      </c>
      <c r="AX223" s="9"/>
      <c r="AY223" s="12"/>
      <c r="AZ223" s="10"/>
      <c r="BA223" s="9"/>
      <c r="BB223" s="10"/>
      <c r="BC223" s="9"/>
      <c r="BD223" s="9"/>
      <c r="BE223" s="9"/>
      <c r="BF223" s="9"/>
    </row>
    <row r="224" spans="1:58" x14ac:dyDescent="0.25">
      <c r="A224" s="9" t="s">
        <v>84</v>
      </c>
      <c r="B224" s="9" t="s">
        <v>85</v>
      </c>
      <c r="C224" s="9" t="s">
        <v>86</v>
      </c>
      <c r="D224" s="10">
        <v>45531</v>
      </c>
      <c r="E224" s="10">
        <v>45658</v>
      </c>
      <c r="F224" s="10">
        <v>45688</v>
      </c>
      <c r="G224" s="9">
        <v>3786486</v>
      </c>
      <c r="H224" s="9" t="str">
        <f t="shared" si="21"/>
        <v>Closed</v>
      </c>
      <c r="I224" s="9" t="str">
        <f t="shared" si="22"/>
        <v>All dates received</v>
      </c>
      <c r="J224" s="9" t="s">
        <v>102</v>
      </c>
      <c r="K224" s="9">
        <v>5139</v>
      </c>
      <c r="L224" s="11">
        <v>360</v>
      </c>
      <c r="M224" s="9" t="s">
        <v>655</v>
      </c>
      <c r="N224" s="9" t="s">
        <v>126</v>
      </c>
      <c r="O224" s="9"/>
      <c r="P224" s="9"/>
      <c r="Q224" s="11"/>
      <c r="R224" s="9" t="s">
        <v>90</v>
      </c>
      <c r="S224" s="9" t="s">
        <v>656</v>
      </c>
      <c r="T224" s="12">
        <f>IF($H224="Cancelled","",IFERROR(((Q224+INDEX(Variables!$B$6:$D$6,IFERROR(MATCH(IF($B224="Robusta","Robusta",(IF($B224="","Arabica",$B224))&amp;" - "&amp;(IF($C224="","Commercial",$C224))),Variables!$B$1:$D$1,0),1)))*22.0462)*(L224/16.67),""))</f>
        <v>138450.66500299939</v>
      </c>
      <c r="U224" s="10">
        <v>45616</v>
      </c>
      <c r="V224" s="9" t="str">
        <f t="shared" si="24"/>
        <v>Sent</v>
      </c>
      <c r="W224" s="10">
        <v>45628</v>
      </c>
      <c r="X224" s="9" t="str">
        <f t="shared" si="17"/>
        <v>Approved</v>
      </c>
      <c r="Y224" s="10"/>
      <c r="Z224" s="10">
        <f>IF($H224="Cancelled","",IFERROR(IF(F224="","",F224-Variables!$B$13),""))</f>
        <v>45673</v>
      </c>
      <c r="AA224" s="11">
        <f>IF($H224="Cancelled","",IFERROR(IF(W224="","",(AVERAGE(E224:F224)-W224)-Variables!$B$14),""))</f>
        <v>15</v>
      </c>
      <c r="AB224" s="10">
        <v>45667</v>
      </c>
      <c r="AC224" s="11">
        <f>IF($H224="Cancelled","",IFERROR(IF(AB224="","",IF(AND(W224="",Y224=""),"",IF(Y224&gt;W224,Y224+Variables!$B$15+Variables!$B$16+Variables!$B$17-AB224,W224+Variables!$B$16+Variables!$B$17-AB224))),""))</f>
        <v>-31</v>
      </c>
      <c r="AD224" s="9" t="s">
        <v>163</v>
      </c>
      <c r="AE224" s="9" t="s">
        <v>164</v>
      </c>
      <c r="AF224" s="10">
        <v>45673</v>
      </c>
      <c r="AG224" s="10"/>
      <c r="AH224" s="9"/>
      <c r="AI224" s="9">
        <v>248898555</v>
      </c>
      <c r="AJ224" s="9" t="s">
        <v>8</v>
      </c>
      <c r="AK224" s="10">
        <v>45674</v>
      </c>
      <c r="AL224" s="10">
        <v>45677</v>
      </c>
      <c r="AM224" s="10">
        <v>45677</v>
      </c>
      <c r="AN224" s="9" t="s">
        <v>95</v>
      </c>
      <c r="AO224" s="9"/>
      <c r="AP224" s="11">
        <f>IF($H224="Cancelled","",IFERROR(IF(OR(AK224="",AB224=""),"",(AB224+Variables!$B$18-AK224)),""))</f>
        <v>0</v>
      </c>
      <c r="AQ224" s="11">
        <f>IF($H224="Cancelled","",IFERROR(IF(OR(AM224="",AK224=""),"",(AK224+Variables!$B$19)-AM224),""))</f>
        <v>2</v>
      </c>
      <c r="AR224" s="12">
        <f>IF($H224="Cancelled","",IFERROR(T224*INDEX(Variables!$B$7:$D$7,IFERROR(MATCH(IF($B224="Robusta","Robusta",(IF($B224="","Arabica",$B224))&amp;" - "&amp;(IF($C224="","Commercial",$C224))),Variables!$B$1:$D$1,0),1))*(AQ224/365),""))</f>
        <v>48.918375182774838</v>
      </c>
      <c r="AS224" s="12">
        <f>IF($H224="Cancelled","",IFERROR((T224*INDEX(Variables!$B$7:$D$7,IFERROR(MATCH(IF($B224="Robusta","Robusta",(IF($B224="","Arabica",$B224))&amp;" - "&amp;(IF($C224="","Commercial",$C224))),Variables!$B$1:$D$1,0),1))*IFERROR(IF(W224="","",(AVERAGE(E224:F224)-W224)-Variables!$B$14),"")/365)+(L224/16.67*INDEX(Variables!$B$8:$D$8,IFERROR(MATCH(IF($B224="Robusta","Robusta",(IF($B224="","Arabica",$B224))&amp;" - "&amp;(IF($C224="","Commercial",$C224))),Variables!$B$1:$D$1,0),1))*IFERROR(IF(W224="","",(AVERAGE(E224:F224)-W224)-Variables!$B$14),""))+(T224*INDEX(Variables!$B$9:$D$9,IFERROR(MATCH(IF($B224="Robusta","Robusta",(IF($B224="","Arabica",$B224))&amp;" - "&amp;(IF($C224="","Commercial",$C224))),Variables!$B$1:$D$1,0),1))*IFERROR(IF(W224="","",(AVERAGE(E224:F224)-W224)-Variables!$B$14),"")/365),""))</f>
        <v>641.61770583589328</v>
      </c>
      <c r="AT224" s="12">
        <f>IF($H224="Cancelled","",IFERROR((T224*INDEX(Variables!$B$7:$D$7,IFERROR(MATCH(IF($B224="Robusta","Robusta",(IF($B224="","Arabica",$B224))&amp;" - "&amp;(IF($C224="","Commercial",$C224))),Variables!$B$1:$D$1,0),1))*AC224/365)+(L224/16.67*INDEX(Variables!$B$8:$D$8,IFERROR(MATCH(IF($B224="Robusta","Robusta",(IF($B224="","Arabica",$B224))&amp;" - "&amp;(IF($C224="","Commercial",$C224))),Variables!$B$1:$D$1,0),1))*AC224)+(T224*INDEX(Variables!$B$9:$D$9,IFERROR(MATCH(IF($B224="Robusta","Robusta",(IF($B224="","Arabica",$B224))&amp;" - "&amp;(IF($C224="","Commercial",$C224))),Variables!$B$1:$D$1,0),1))*AC224/365),""))</f>
        <v>-1326.0099253941794</v>
      </c>
      <c r="AU224" s="12">
        <f>IF($H224="Cancelled","",IFERROR((T224*INDEX(Variables!$B$7:$D$7,IFERROR(MATCH(IF($B224="Robusta","Robusta",(IF($B224="","Arabica",$B224))&amp;" - "&amp;(IF($C224="","Commercial",$C224))),Variables!$B$1:$D$1,0),1))*AP224/365)+(L224/16.67*INDEX(Variables!$B$8:$D$8,IFERROR(MATCH(IF($B224="Robusta","Robusta",(IF($B224="","Arabica",$B224))&amp;" - "&amp;(IF($C224="","Commercial",$C224))),Variables!$B$1:$D$1,0),1))*AP224)+(T224*INDEX(Variables!$B$9:$D$9,IFERROR(MATCH(IF($B224="Robusta","Robusta",(IF($B224="","Arabica",$B224))&amp;" - "&amp;(IF($C224="","Commercial",$C224))),Variables!$B$1:$D$1,0),1))*AP224/365),""))</f>
        <v>0</v>
      </c>
      <c r="AV224" s="11">
        <f t="shared" si="23"/>
        <v>14</v>
      </c>
      <c r="AW224" s="12">
        <f>IF($H224="Cancelled","",IFERROR(IF(AV224="","",(T224*INDEX(Variables!$B$7:$D$7,IFERROR(MATCH(IF($B224="Robusta","Robusta",(IF($B224="","Arabica",$B224))&amp;" - "&amp;(IF($C224="","Commercial",$C224))),Variables!$B$1:$D$1,0),1))*(AV224/365))+(T224*INDEX(Variables!$B$9:$D$9,IFERROR(MATCH(IF($B224="Robusta","Robusta",(IF($B224="","Arabica",$B224))&amp;" - "&amp;(IF($C224="","Commercial",$C224))),Variables!$B$1:$D$1,0),1))*(AV224/365))+(INDEX(Variables!$B$8:$D$8,IFERROR(MATCH(IF($B224="Robusta","Robusta",(IF($B224="","Arabica",$B224))&amp;" - "&amp;(IF($C224="","Commercial",$C224))),Variables!$B$1:$D$1,0),1))*L224/16.67)),""))</f>
        <v>364.84319211350038</v>
      </c>
      <c r="AX224" s="9"/>
      <c r="AY224" s="12"/>
      <c r="AZ224" s="10"/>
      <c r="BA224" s="9"/>
      <c r="BB224" s="10"/>
      <c r="BC224" s="9"/>
      <c r="BD224" s="9"/>
      <c r="BE224" s="9"/>
      <c r="BF224" s="9"/>
    </row>
    <row r="225" spans="1:58" x14ac:dyDescent="0.25">
      <c r="A225" s="9" t="s">
        <v>84</v>
      </c>
      <c r="B225" s="9" t="s">
        <v>85</v>
      </c>
      <c r="C225" s="9" t="s">
        <v>86</v>
      </c>
      <c r="D225" s="10">
        <v>45531</v>
      </c>
      <c r="E225" s="10">
        <v>45658</v>
      </c>
      <c r="F225" s="10">
        <v>45688</v>
      </c>
      <c r="G225" s="9">
        <v>3786489</v>
      </c>
      <c r="H225" s="9" t="str">
        <f t="shared" si="21"/>
        <v>Closed</v>
      </c>
      <c r="I225" s="9" t="str">
        <f t="shared" si="22"/>
        <v>All dates received</v>
      </c>
      <c r="J225" s="9" t="s">
        <v>102</v>
      </c>
      <c r="K225" s="9" t="s">
        <v>657</v>
      </c>
      <c r="L225" s="11">
        <v>1080</v>
      </c>
      <c r="M225" s="9" t="s">
        <v>658</v>
      </c>
      <c r="N225" s="9" t="s">
        <v>161</v>
      </c>
      <c r="O225" s="9"/>
      <c r="P225" s="9"/>
      <c r="Q225" s="11"/>
      <c r="R225" s="9" t="s">
        <v>90</v>
      </c>
      <c r="S225" s="9" t="s">
        <v>172</v>
      </c>
      <c r="T225" s="12">
        <f>IF($H225="Cancelled","",IFERROR(((Q225+INDEX(Variables!$B$6:$D$6,IFERROR(MATCH(IF($B225="Robusta","Robusta",(IF($B225="","Arabica",$B225))&amp;" - "&amp;(IF($C225="","Commercial",$C225))),Variables!$B$1:$D$1,0),1)))*22.0462)*(L225/16.67),""))</f>
        <v>415351.99500899814</v>
      </c>
      <c r="U225" s="10">
        <v>45667</v>
      </c>
      <c r="V225" s="9" t="str">
        <f t="shared" si="24"/>
        <v>Sent</v>
      </c>
      <c r="W225" s="10">
        <v>45673</v>
      </c>
      <c r="X225" s="9" t="str">
        <f t="shared" ref="X225:X288" si="25">IF(ISNUMBER(W225),"Approved","")</f>
        <v>Approved</v>
      </c>
      <c r="Y225" s="10"/>
      <c r="Z225" s="10">
        <f>IF($H225="Cancelled","",IFERROR(IF(F225="","",F225-Variables!$B$13),""))</f>
        <v>45673</v>
      </c>
      <c r="AA225" s="11">
        <f>IF($H225="Cancelled","",IFERROR(IF(W225="","",(AVERAGE(E225:F225)-W225)-Variables!$B$14),""))</f>
        <v>-30</v>
      </c>
      <c r="AB225" s="10">
        <v>45675</v>
      </c>
      <c r="AC225" s="11">
        <f>IF($H225="Cancelled","",IFERROR(IF(AB225="","",IF(AND(W225="",Y225=""),"",IF(Y225&gt;W225,Y225+Variables!$B$15+Variables!$B$16+Variables!$B$17-AB225,W225+Variables!$B$16+Variables!$B$17-AB225))),""))</f>
        <v>6</v>
      </c>
      <c r="AD225" s="9" t="s">
        <v>151</v>
      </c>
      <c r="AE225" s="9" t="s">
        <v>659</v>
      </c>
      <c r="AF225" s="10">
        <v>45686</v>
      </c>
      <c r="AG225" s="10"/>
      <c r="AH225" s="9"/>
      <c r="AI225" s="9" t="s">
        <v>660</v>
      </c>
      <c r="AJ225" s="9" t="s">
        <v>8</v>
      </c>
      <c r="AK225" s="10">
        <v>45688</v>
      </c>
      <c r="AL225" s="10">
        <v>45692</v>
      </c>
      <c r="AM225" s="10">
        <v>45695</v>
      </c>
      <c r="AN225" s="9" t="s">
        <v>95</v>
      </c>
      <c r="AO225" s="9"/>
      <c r="AP225" s="11">
        <f>IF($H225="Cancelled","",IFERROR(IF(OR(AK225="",AB225=""),"",(AB225+Variables!$B$18-AK225)),""))</f>
        <v>-6</v>
      </c>
      <c r="AQ225" s="11">
        <f>IF($H225="Cancelled","",IFERROR(IF(OR(AM225="",AK225=""),"",(AK225+Variables!$B$19)-AM225),""))</f>
        <v>-2</v>
      </c>
      <c r="AR225" s="12">
        <f>IF($H225="Cancelled","",IFERROR(T225*INDEX(Variables!$B$7:$D$7,IFERROR(MATCH(IF($B225="Robusta","Robusta",(IF($B225="","Arabica",$B225))&amp;" - "&amp;(IF($C225="","Commercial",$C225))),Variables!$B$1:$D$1,0),1))*(AQ225/365),""))</f>
        <v>-146.75512554832451</v>
      </c>
      <c r="AS225" s="12">
        <f>IF($H225="Cancelled","",IFERROR((T225*INDEX(Variables!$B$7:$D$7,IFERROR(MATCH(IF($B225="Robusta","Robusta",(IF($B225="","Arabica",$B225))&amp;" - "&amp;(IF($C225="","Commercial",$C225))),Variables!$B$1:$D$1,0),1))*IFERROR(IF(W225="","",(AVERAGE(E225:F225)-W225)-Variables!$B$14),"")/365)+(L225/16.67*INDEX(Variables!$B$8:$D$8,IFERROR(MATCH(IF($B225="Robusta","Robusta",(IF($B225="","Arabica",$B225))&amp;" - "&amp;(IF($C225="","Commercial",$C225))),Variables!$B$1:$D$1,0),1))*IFERROR(IF(W225="","",(AVERAGE(E225:F225)-W225)-Variables!$B$14),""))+(T225*INDEX(Variables!$B$9:$D$9,IFERROR(MATCH(IF($B225="Robusta","Robusta",(IF($B225="","Arabica",$B225))&amp;" - "&amp;(IF($C225="","Commercial",$C225))),Variables!$B$1:$D$1,0),1))*IFERROR(IF(W225="","",(AVERAGE(E225:F225)-W225)-Variables!$B$14),"")/365),""))</f>
        <v>-3849.7062350153592</v>
      </c>
      <c r="AT225" s="12">
        <f>IF($H225="Cancelled","",IFERROR((T225*INDEX(Variables!$B$7:$D$7,IFERROR(MATCH(IF($B225="Robusta","Robusta",(IF($B225="","Arabica",$B225))&amp;" - "&amp;(IF($C225="","Commercial",$C225))),Variables!$B$1:$D$1,0),1))*AC225/365)+(L225/16.67*INDEX(Variables!$B$8:$D$8,IFERROR(MATCH(IF($B225="Robusta","Robusta",(IF($B225="","Arabica",$B225))&amp;" - "&amp;(IF($C225="","Commercial",$C225))),Variables!$B$1:$D$1,0),1))*AC225)+(T225*INDEX(Variables!$B$9:$D$9,IFERROR(MATCH(IF($B225="Robusta","Robusta",(IF($B225="","Arabica",$B225))&amp;" - "&amp;(IF($C225="","Commercial",$C225))),Variables!$B$1:$D$1,0),1))*AC225/365),""))</f>
        <v>769.94124700307179</v>
      </c>
      <c r="AU225" s="12">
        <f>IF($H225="Cancelled","",IFERROR((T225*INDEX(Variables!$B$7:$D$7,IFERROR(MATCH(IF($B225="Robusta","Robusta",(IF($B225="","Arabica",$B225))&amp;" - "&amp;(IF($C225="","Commercial",$C225))),Variables!$B$1:$D$1,0),1))*AP225/365)+(L225/16.67*INDEX(Variables!$B$8:$D$8,IFERROR(MATCH(IF($B225="Robusta","Robusta",(IF($B225="","Arabica",$B225))&amp;" - "&amp;(IF($C225="","Commercial",$C225))),Variables!$B$1:$D$1,0),1))*AP225)+(T225*INDEX(Variables!$B$9:$D$9,IFERROR(MATCH(IF($B225="Robusta","Robusta",(IF($B225="","Arabica",$B225))&amp;" - "&amp;(IF($C225="","Commercial",$C225))),Variables!$B$1:$D$1,0),1))*AP225/365),""))</f>
        <v>-769.94124700307179</v>
      </c>
      <c r="AV225" s="11">
        <f t="shared" si="23"/>
        <v>0</v>
      </c>
      <c r="AW225" s="12">
        <f>IF($H225="Cancelled","",IFERROR(IF(AV225="","",(T225*INDEX(Variables!$B$7:$D$7,IFERROR(MATCH(IF($B225="Robusta","Robusta",(IF($B225="","Arabica",$B225))&amp;" - "&amp;(IF($C225="","Commercial",$C225))),Variables!$B$1:$D$1,0),1))*(AV225/365))+(T225*INDEX(Variables!$B$9:$D$9,IFERROR(MATCH(IF($B225="Robusta","Robusta",(IF($B225="","Arabica",$B225))&amp;" - "&amp;(IF($C225="","Commercial",$C225))),Variables!$B$1:$D$1,0),1))*(AV225/365))+(INDEX(Variables!$B$8:$D$8,IFERROR(MATCH(IF($B225="Robusta","Robusta",(IF($B225="","Arabica",$B225))&amp;" - "&amp;(IF($C225="","Commercial",$C225))),Variables!$B$1:$D$1,0),1))*L225/16.67)),""))</f>
        <v>54.000000000000007</v>
      </c>
      <c r="AX225" s="9"/>
      <c r="AY225" s="12"/>
      <c r="AZ225" s="10"/>
      <c r="BA225" s="9"/>
      <c r="BB225" s="10"/>
      <c r="BC225" s="9"/>
      <c r="BD225" s="9"/>
      <c r="BE225" s="9"/>
      <c r="BF225" s="9"/>
    </row>
    <row r="226" spans="1:58" x14ac:dyDescent="0.25">
      <c r="A226" s="9" t="s">
        <v>84</v>
      </c>
      <c r="B226" s="9" t="s">
        <v>85</v>
      </c>
      <c r="C226" s="9" t="s">
        <v>86</v>
      </c>
      <c r="D226" s="10">
        <v>45531</v>
      </c>
      <c r="E226" s="10">
        <v>45658</v>
      </c>
      <c r="F226" s="10">
        <v>45688</v>
      </c>
      <c r="G226" s="9">
        <v>3786489</v>
      </c>
      <c r="H226" s="9" t="str">
        <f t="shared" si="21"/>
        <v>Closed</v>
      </c>
      <c r="I226" s="9" t="str">
        <f t="shared" si="22"/>
        <v>All dates received</v>
      </c>
      <c r="J226" s="9" t="s">
        <v>102</v>
      </c>
      <c r="K226" s="9" t="s">
        <v>661</v>
      </c>
      <c r="L226" s="11">
        <v>360</v>
      </c>
      <c r="M226" s="9" t="s">
        <v>658</v>
      </c>
      <c r="N226" s="9" t="s">
        <v>161</v>
      </c>
      <c r="O226" s="9"/>
      <c r="P226" s="9"/>
      <c r="Q226" s="11"/>
      <c r="R226" s="9" t="s">
        <v>90</v>
      </c>
      <c r="S226" s="9" t="s">
        <v>178</v>
      </c>
      <c r="T226" s="12">
        <f>IF($H226="Cancelled","",IFERROR(((Q226+INDEX(Variables!$B$6:$D$6,IFERROR(MATCH(IF($B226="Robusta","Robusta",(IF($B226="","Arabica",$B226))&amp;" - "&amp;(IF($C226="","Commercial",$C226))),Variables!$B$1:$D$1,0),1)))*22.0462)*(L226/16.67),""))</f>
        <v>138450.66500299939</v>
      </c>
      <c r="U226" s="10">
        <v>45667</v>
      </c>
      <c r="V226" s="9" t="str">
        <f t="shared" si="24"/>
        <v>Sent</v>
      </c>
      <c r="W226" s="10">
        <v>45673</v>
      </c>
      <c r="X226" s="9" t="str">
        <f t="shared" si="25"/>
        <v>Approved</v>
      </c>
      <c r="Y226" s="10"/>
      <c r="Z226" s="10">
        <f>IF($H226="Cancelled","",IFERROR(IF(F226="","",F226-Variables!$B$13),""))</f>
        <v>45673</v>
      </c>
      <c r="AA226" s="11">
        <f>IF($H226="Cancelled","",IFERROR(IF(W226="","",(AVERAGE(E226:F226)-W226)-Variables!$B$14),""))</f>
        <v>-30</v>
      </c>
      <c r="AB226" s="10">
        <v>45675</v>
      </c>
      <c r="AC226" s="11">
        <f>IF($H226="Cancelled","",IFERROR(IF(AB226="","",IF(AND(W226="",Y226=""),"",IF(Y226&gt;W226,Y226+Variables!$B$15+Variables!$B$16+Variables!$B$17-AB226,W226+Variables!$B$16+Variables!$B$17-AB226))),""))</f>
        <v>6</v>
      </c>
      <c r="AD226" s="9" t="s">
        <v>107</v>
      </c>
      <c r="AE226" s="9" t="s">
        <v>662</v>
      </c>
      <c r="AF226" s="10">
        <v>45687</v>
      </c>
      <c r="AG226" s="10"/>
      <c r="AH226" s="9"/>
      <c r="AI226" s="9" t="s">
        <v>663</v>
      </c>
      <c r="AJ226" s="9" t="s">
        <v>8</v>
      </c>
      <c r="AK226" s="10">
        <v>45688</v>
      </c>
      <c r="AL226" s="10">
        <v>45692</v>
      </c>
      <c r="AM226" s="10">
        <v>45695</v>
      </c>
      <c r="AN226" s="9" t="s">
        <v>95</v>
      </c>
      <c r="AO226" s="9"/>
      <c r="AP226" s="11">
        <f>IF($H226="Cancelled","",IFERROR(IF(OR(AK226="",AB226=""),"",(AB226+Variables!$B$18-AK226)),""))</f>
        <v>-6</v>
      </c>
      <c r="AQ226" s="11">
        <f>IF($H226="Cancelled","",IFERROR(IF(OR(AM226="",AK226=""),"",(AK226+Variables!$B$19)-AM226),""))</f>
        <v>-2</v>
      </c>
      <c r="AR226" s="12">
        <f>IF($H226="Cancelled","",IFERROR(T226*INDEX(Variables!$B$7:$D$7,IFERROR(MATCH(IF($B226="Robusta","Robusta",(IF($B226="","Arabica",$B226))&amp;" - "&amp;(IF($C226="","Commercial",$C226))),Variables!$B$1:$D$1,0),1))*(AQ226/365),""))</f>
        <v>-48.918375182774838</v>
      </c>
      <c r="AS226" s="12">
        <f>IF($H226="Cancelled","",IFERROR((T226*INDEX(Variables!$B$7:$D$7,IFERROR(MATCH(IF($B226="Robusta","Robusta",(IF($B226="","Arabica",$B226))&amp;" - "&amp;(IF($C226="","Commercial",$C226))),Variables!$B$1:$D$1,0),1))*IFERROR(IF(W226="","",(AVERAGE(E226:F226)-W226)-Variables!$B$14),"")/365)+(L226/16.67*INDEX(Variables!$B$8:$D$8,IFERROR(MATCH(IF($B226="Robusta","Robusta",(IF($B226="","Arabica",$B226))&amp;" - "&amp;(IF($C226="","Commercial",$C226))),Variables!$B$1:$D$1,0),1))*IFERROR(IF(W226="","",(AVERAGE(E226:F226)-W226)-Variables!$B$14),""))+(T226*INDEX(Variables!$B$9:$D$9,IFERROR(MATCH(IF($B226="Robusta","Robusta",(IF($B226="","Arabica",$B226))&amp;" - "&amp;(IF($C226="","Commercial",$C226))),Variables!$B$1:$D$1,0),1))*IFERROR(IF(W226="","",(AVERAGE(E226:F226)-W226)-Variables!$B$14),"")/365),""))</f>
        <v>-1283.2354116717866</v>
      </c>
      <c r="AT226" s="12">
        <f>IF($H226="Cancelled","",IFERROR((T226*INDEX(Variables!$B$7:$D$7,IFERROR(MATCH(IF($B226="Robusta","Robusta",(IF($B226="","Arabica",$B226))&amp;" - "&amp;(IF($C226="","Commercial",$C226))),Variables!$B$1:$D$1,0),1))*AC226/365)+(L226/16.67*INDEX(Variables!$B$8:$D$8,IFERROR(MATCH(IF($B226="Robusta","Robusta",(IF($B226="","Arabica",$B226))&amp;" - "&amp;(IF($C226="","Commercial",$C226))),Variables!$B$1:$D$1,0),1))*AC226)+(T226*INDEX(Variables!$B$9:$D$9,IFERROR(MATCH(IF($B226="Robusta","Robusta",(IF($B226="","Arabica",$B226))&amp;" - "&amp;(IF($C226="","Commercial",$C226))),Variables!$B$1:$D$1,0),1))*AC226/365),""))</f>
        <v>256.64708233435732</v>
      </c>
      <c r="AU226" s="12">
        <f>IF($H226="Cancelled","",IFERROR((T226*INDEX(Variables!$B$7:$D$7,IFERROR(MATCH(IF($B226="Robusta","Robusta",(IF($B226="","Arabica",$B226))&amp;" - "&amp;(IF($C226="","Commercial",$C226))),Variables!$B$1:$D$1,0),1))*AP226/365)+(L226/16.67*INDEX(Variables!$B$8:$D$8,IFERROR(MATCH(IF($B226="Robusta","Robusta",(IF($B226="","Arabica",$B226))&amp;" - "&amp;(IF($C226="","Commercial",$C226))),Variables!$B$1:$D$1,0),1))*AP226)+(T226*INDEX(Variables!$B$9:$D$9,IFERROR(MATCH(IF($B226="Robusta","Robusta",(IF($B226="","Arabica",$B226))&amp;" - "&amp;(IF($C226="","Commercial",$C226))),Variables!$B$1:$D$1,0),1))*AP226/365),""))</f>
        <v>-256.64708233435732</v>
      </c>
      <c r="AV226" s="11">
        <f t="shared" si="23"/>
        <v>0</v>
      </c>
      <c r="AW226" s="12">
        <f>IF($H226="Cancelled","",IFERROR(IF(AV226="","",(T226*INDEX(Variables!$B$7:$D$7,IFERROR(MATCH(IF($B226="Robusta","Robusta",(IF($B226="","Arabica",$B226))&amp;" - "&amp;(IF($C226="","Commercial",$C226))),Variables!$B$1:$D$1,0),1))*(AV226/365))+(T226*INDEX(Variables!$B$9:$D$9,IFERROR(MATCH(IF($B226="Robusta","Robusta",(IF($B226="","Arabica",$B226))&amp;" - "&amp;(IF($C226="","Commercial",$C226))),Variables!$B$1:$D$1,0),1))*(AV226/365))+(INDEX(Variables!$B$8:$D$8,IFERROR(MATCH(IF($B226="Robusta","Robusta",(IF($B226="","Arabica",$B226))&amp;" - "&amp;(IF($C226="","Commercial",$C226))),Variables!$B$1:$D$1,0),1))*L226/16.67)),""))</f>
        <v>18</v>
      </c>
      <c r="AX226" s="9"/>
      <c r="AY226" s="12"/>
      <c r="AZ226" s="10"/>
      <c r="BA226" s="9"/>
      <c r="BB226" s="10"/>
      <c r="BC226" s="9"/>
      <c r="BD226" s="9"/>
      <c r="BE226" s="9"/>
      <c r="BF226" s="9"/>
    </row>
    <row r="227" spans="1:58" x14ac:dyDescent="0.25">
      <c r="A227" s="9" t="s">
        <v>84</v>
      </c>
      <c r="B227" s="9" t="s">
        <v>85</v>
      </c>
      <c r="C227" s="9" t="s">
        <v>86</v>
      </c>
      <c r="D227" s="10">
        <v>45531</v>
      </c>
      <c r="E227" s="10">
        <v>45658</v>
      </c>
      <c r="F227" s="10">
        <v>45688</v>
      </c>
      <c r="G227" s="9">
        <v>3786493</v>
      </c>
      <c r="H227" s="9" t="str">
        <f t="shared" si="21"/>
        <v>Closed</v>
      </c>
      <c r="I227" s="9" t="str">
        <f t="shared" si="22"/>
        <v>All dates received</v>
      </c>
      <c r="J227" s="9" t="s">
        <v>102</v>
      </c>
      <c r="K227" s="9" t="s">
        <v>664</v>
      </c>
      <c r="L227" s="11">
        <v>360</v>
      </c>
      <c r="M227" s="9" t="s">
        <v>665</v>
      </c>
      <c r="N227" s="9" t="s">
        <v>450</v>
      </c>
      <c r="O227" s="9"/>
      <c r="P227" s="9"/>
      <c r="Q227" s="11"/>
      <c r="R227" s="9" t="s">
        <v>90</v>
      </c>
      <c r="S227" s="9" t="s">
        <v>106</v>
      </c>
      <c r="T227" s="12">
        <f>IF($H227="Cancelled","",IFERROR(((Q227+INDEX(Variables!$B$6:$D$6,IFERROR(MATCH(IF($B227="Robusta","Robusta",(IF($B227="","Arabica",$B227))&amp;" - "&amp;(IF($C227="","Commercial",$C227))),Variables!$B$1:$D$1,0),1)))*22.0462)*(L227/16.67),""))</f>
        <v>138450.66500299939</v>
      </c>
      <c r="U227" s="10">
        <v>45616</v>
      </c>
      <c r="V227" s="9" t="str">
        <f t="shared" si="24"/>
        <v>Sent</v>
      </c>
      <c r="W227" s="10">
        <v>45630</v>
      </c>
      <c r="X227" s="9" t="str">
        <f t="shared" si="25"/>
        <v>Approved</v>
      </c>
      <c r="Y227" s="10"/>
      <c r="Z227" s="10">
        <f>IF($H227="Cancelled","",IFERROR(IF(F227="","",F227-Variables!$B$13),""))</f>
        <v>45673</v>
      </c>
      <c r="AA227" s="11">
        <f>IF($H227="Cancelled","",IFERROR(IF(W227="","",(AVERAGE(E227:F227)-W227)-Variables!$B$14),""))</f>
        <v>13</v>
      </c>
      <c r="AB227" s="10">
        <v>45673</v>
      </c>
      <c r="AC227" s="11">
        <f>IF($H227="Cancelled","",IFERROR(IF(AB227="","",IF(AND(W227="",Y227=""),"",IF(Y227&gt;W227,Y227+Variables!$B$15+Variables!$B$16+Variables!$B$17-AB227,W227+Variables!$B$16+Variables!$B$17-AB227))),""))</f>
        <v>-35</v>
      </c>
      <c r="AD227" s="9" t="s">
        <v>151</v>
      </c>
      <c r="AE227" s="9" t="s">
        <v>666</v>
      </c>
      <c r="AF227" s="10">
        <v>45686</v>
      </c>
      <c r="AG227" s="10"/>
      <c r="AH227" s="9"/>
      <c r="AI227" s="9" t="s">
        <v>667</v>
      </c>
      <c r="AJ227" s="9" t="s">
        <v>8</v>
      </c>
      <c r="AK227" s="10">
        <v>45688</v>
      </c>
      <c r="AL227" s="10">
        <v>45692</v>
      </c>
      <c r="AM227" s="10">
        <v>45695</v>
      </c>
      <c r="AN227" s="9" t="s">
        <v>95</v>
      </c>
      <c r="AO227" s="9"/>
      <c r="AP227" s="11">
        <f>IF($H227="Cancelled","",IFERROR(IF(OR(AK227="",AB227=""),"",(AB227+Variables!$B$18-AK227)),""))</f>
        <v>-8</v>
      </c>
      <c r="AQ227" s="11">
        <f>IF($H227="Cancelled","",IFERROR(IF(OR(AM227="",AK227=""),"",(AK227+Variables!$B$19)-AM227),""))</f>
        <v>-2</v>
      </c>
      <c r="AR227" s="12">
        <f>IF($H227="Cancelled","",IFERROR(T227*INDEX(Variables!$B$7:$D$7,IFERROR(MATCH(IF($B227="Robusta","Robusta",(IF($B227="","Arabica",$B227))&amp;" - "&amp;(IF($C227="","Commercial",$C227))),Variables!$B$1:$D$1,0),1))*(AQ227/365),""))</f>
        <v>-48.918375182774838</v>
      </c>
      <c r="AS227" s="12">
        <f>IF($H227="Cancelled","",IFERROR((T227*INDEX(Variables!$B$7:$D$7,IFERROR(MATCH(IF($B227="Robusta","Robusta",(IF($B227="","Arabica",$B227))&amp;" - "&amp;(IF($C227="","Commercial",$C227))),Variables!$B$1:$D$1,0),1))*IFERROR(IF(W227="","",(AVERAGE(E227:F227)-W227)-Variables!$B$14),"")/365)+(L227/16.67*INDEX(Variables!$B$8:$D$8,IFERROR(MATCH(IF($B227="Robusta","Robusta",(IF($B227="","Arabica",$B227))&amp;" - "&amp;(IF($C227="","Commercial",$C227))),Variables!$B$1:$D$1,0),1))*IFERROR(IF(W227="","",(AVERAGE(E227:F227)-W227)-Variables!$B$14),""))+(T227*INDEX(Variables!$B$9:$D$9,IFERROR(MATCH(IF($B227="Robusta","Robusta",(IF($B227="","Arabica",$B227))&amp;" - "&amp;(IF($C227="","Commercial",$C227))),Variables!$B$1:$D$1,0),1))*IFERROR(IF(W227="","",(AVERAGE(E227:F227)-W227)-Variables!$B$14),"")/365),""))</f>
        <v>556.06867839110748</v>
      </c>
      <c r="AT227" s="12">
        <f>IF($H227="Cancelled","",IFERROR((T227*INDEX(Variables!$B$7:$D$7,IFERROR(MATCH(IF($B227="Robusta","Robusta",(IF($B227="","Arabica",$B227))&amp;" - "&amp;(IF($C227="","Commercial",$C227))),Variables!$B$1:$D$1,0),1))*AC227/365)+(L227/16.67*INDEX(Variables!$B$8:$D$8,IFERROR(MATCH(IF($B227="Robusta","Robusta",(IF($B227="","Arabica",$B227))&amp;" - "&amp;(IF($C227="","Commercial",$C227))),Variables!$B$1:$D$1,0),1))*AC227)+(T227*INDEX(Variables!$B$9:$D$9,IFERROR(MATCH(IF($B227="Robusta","Robusta",(IF($B227="","Arabica",$B227))&amp;" - "&amp;(IF($C227="","Commercial",$C227))),Variables!$B$1:$D$1,0),1))*AC227/365),""))</f>
        <v>-1497.1079802837507</v>
      </c>
      <c r="AU227" s="12">
        <f>IF($H227="Cancelled","",IFERROR((T227*INDEX(Variables!$B$7:$D$7,IFERROR(MATCH(IF($B227="Robusta","Robusta",(IF($B227="","Arabica",$B227))&amp;" - "&amp;(IF($C227="","Commercial",$C227))),Variables!$B$1:$D$1,0),1))*AP227/365)+(L227/16.67*INDEX(Variables!$B$8:$D$8,IFERROR(MATCH(IF($B227="Robusta","Robusta",(IF($B227="","Arabica",$B227))&amp;" - "&amp;(IF($C227="","Commercial",$C227))),Variables!$B$1:$D$1,0),1))*AP227)+(T227*INDEX(Variables!$B$9:$D$9,IFERROR(MATCH(IF($B227="Robusta","Robusta",(IF($B227="","Arabica",$B227))&amp;" - "&amp;(IF($C227="","Commercial",$C227))),Variables!$B$1:$D$1,0),1))*AP227/365),""))</f>
        <v>-342.19610977914306</v>
      </c>
      <c r="AV227" s="11">
        <f t="shared" si="23"/>
        <v>0</v>
      </c>
      <c r="AW227" s="12">
        <f>IF($H227="Cancelled","",IFERROR(IF(AV227="","",(T227*INDEX(Variables!$B$7:$D$7,IFERROR(MATCH(IF($B227="Robusta","Robusta",(IF($B227="","Arabica",$B227))&amp;" - "&amp;(IF($C227="","Commercial",$C227))),Variables!$B$1:$D$1,0),1))*(AV227/365))+(T227*INDEX(Variables!$B$9:$D$9,IFERROR(MATCH(IF($B227="Robusta","Robusta",(IF($B227="","Arabica",$B227))&amp;" - "&amp;(IF($C227="","Commercial",$C227))),Variables!$B$1:$D$1,0),1))*(AV227/365))+(INDEX(Variables!$B$8:$D$8,IFERROR(MATCH(IF($B227="Robusta","Robusta",(IF($B227="","Arabica",$B227))&amp;" - "&amp;(IF($C227="","Commercial",$C227))),Variables!$B$1:$D$1,0),1))*L227/16.67)),""))</f>
        <v>18</v>
      </c>
      <c r="AX227" s="9"/>
      <c r="AY227" s="12"/>
      <c r="AZ227" s="10"/>
      <c r="BA227" s="9"/>
      <c r="BB227" s="10"/>
      <c r="BC227" s="9"/>
      <c r="BD227" s="9"/>
      <c r="BE227" s="9"/>
      <c r="BF227" s="9"/>
    </row>
    <row r="228" spans="1:58" x14ac:dyDescent="0.25">
      <c r="A228" s="9" t="s">
        <v>84</v>
      </c>
      <c r="B228" s="9" t="s">
        <v>85</v>
      </c>
      <c r="C228" s="9" t="s">
        <v>86</v>
      </c>
      <c r="D228" s="10">
        <v>45531</v>
      </c>
      <c r="E228" s="10">
        <v>45658</v>
      </c>
      <c r="F228" s="10">
        <v>45688</v>
      </c>
      <c r="G228" s="9">
        <v>3786493</v>
      </c>
      <c r="H228" s="9" t="str">
        <f t="shared" si="21"/>
        <v>Closed</v>
      </c>
      <c r="I228" s="9" t="str">
        <f t="shared" si="22"/>
        <v>All dates received</v>
      </c>
      <c r="J228" s="9" t="s">
        <v>102</v>
      </c>
      <c r="K228" s="9" t="s">
        <v>668</v>
      </c>
      <c r="L228" s="11">
        <v>720</v>
      </c>
      <c r="M228" s="9" t="s">
        <v>665</v>
      </c>
      <c r="N228" s="9" t="s">
        <v>450</v>
      </c>
      <c r="O228" s="9"/>
      <c r="P228" s="9"/>
      <c r="Q228" s="11"/>
      <c r="R228" s="9" t="s">
        <v>90</v>
      </c>
      <c r="S228" s="9" t="s">
        <v>656</v>
      </c>
      <c r="T228" s="12">
        <f>IF($H228="Cancelled","",IFERROR(((Q228+INDEX(Variables!$B$6:$D$6,IFERROR(MATCH(IF($B228="Robusta","Robusta",(IF($B228="","Arabica",$B228))&amp;" - "&amp;(IF($C228="","Commercial",$C228))),Variables!$B$1:$D$1,0),1)))*22.0462)*(L228/16.67),""))</f>
        <v>276901.33000599878</v>
      </c>
      <c r="U228" s="10">
        <v>45616</v>
      </c>
      <c r="V228" s="9" t="str">
        <f t="shared" si="24"/>
        <v>Sent</v>
      </c>
      <c r="W228" s="10">
        <v>45630</v>
      </c>
      <c r="X228" s="9" t="str">
        <f t="shared" si="25"/>
        <v>Approved</v>
      </c>
      <c r="Y228" s="10"/>
      <c r="Z228" s="10">
        <f>IF($H228="Cancelled","",IFERROR(IF(F228="","",F228-Variables!$B$13),""))</f>
        <v>45673</v>
      </c>
      <c r="AA228" s="11">
        <f>IF($H228="Cancelled","",IFERROR(IF(W228="","",(AVERAGE(E228:F228)-W228)-Variables!$B$14),""))</f>
        <v>13</v>
      </c>
      <c r="AB228" s="10">
        <v>45671</v>
      </c>
      <c r="AC228" s="11">
        <f>IF($H228="Cancelled","",IFERROR(IF(AB228="","",IF(AND(W228="",Y228=""),"",IF(Y228&gt;W228,Y228+Variables!$B$15+Variables!$B$16+Variables!$B$17-AB228,W228+Variables!$B$16+Variables!$B$17-AB228))),""))</f>
        <v>-33</v>
      </c>
      <c r="AD228" s="9" t="s">
        <v>163</v>
      </c>
      <c r="AE228" s="9" t="s">
        <v>598</v>
      </c>
      <c r="AF228" s="10">
        <v>45683</v>
      </c>
      <c r="AG228" s="10"/>
      <c r="AH228" s="9"/>
      <c r="AI228" s="9">
        <v>249067803</v>
      </c>
      <c r="AJ228" s="9" t="s">
        <v>8</v>
      </c>
      <c r="AK228" s="10">
        <v>45682</v>
      </c>
      <c r="AL228" s="10">
        <v>45685</v>
      </c>
      <c r="AM228" s="10">
        <v>45685</v>
      </c>
      <c r="AN228" s="9" t="s">
        <v>95</v>
      </c>
      <c r="AO228" s="9"/>
      <c r="AP228" s="11">
        <f>IF($H228="Cancelled","",IFERROR(IF(OR(AK228="",AB228=""),"",(AB228+Variables!$B$18-AK228)),""))</f>
        <v>-4</v>
      </c>
      <c r="AQ228" s="11">
        <f>IF($H228="Cancelled","",IFERROR(IF(OR(AM228="",AK228=""),"",(AK228+Variables!$B$19)-AM228),""))</f>
        <v>2</v>
      </c>
      <c r="AR228" s="12">
        <f>IF($H228="Cancelled","",IFERROR(T228*INDEX(Variables!$B$7:$D$7,IFERROR(MATCH(IF($B228="Robusta","Robusta",(IF($B228="","Arabica",$B228))&amp;" - "&amp;(IF($C228="","Commercial",$C228))),Variables!$B$1:$D$1,0),1))*(AQ228/365),""))</f>
        <v>97.836750365549676</v>
      </c>
      <c r="AS228" s="12">
        <f>IF($H228="Cancelled","",IFERROR((T228*INDEX(Variables!$B$7:$D$7,IFERROR(MATCH(IF($B228="Robusta","Robusta",(IF($B228="","Arabica",$B228))&amp;" - "&amp;(IF($C228="","Commercial",$C228))),Variables!$B$1:$D$1,0),1))*IFERROR(IF(W228="","",(AVERAGE(E228:F228)-W228)-Variables!$B$14),"")/365)+(L228/16.67*INDEX(Variables!$B$8:$D$8,IFERROR(MATCH(IF($B228="Robusta","Robusta",(IF($B228="","Arabica",$B228))&amp;" - "&amp;(IF($C228="","Commercial",$C228))),Variables!$B$1:$D$1,0),1))*IFERROR(IF(W228="","",(AVERAGE(E228:F228)-W228)-Variables!$B$14),""))+(T228*INDEX(Variables!$B$9:$D$9,IFERROR(MATCH(IF($B228="Robusta","Robusta",(IF($B228="","Arabica",$B228))&amp;" - "&amp;(IF($C228="","Commercial",$C228))),Variables!$B$1:$D$1,0),1))*IFERROR(IF(W228="","",(AVERAGE(E228:F228)-W228)-Variables!$B$14),"")/365),""))</f>
        <v>1112.137356782215</v>
      </c>
      <c r="AT228" s="12">
        <f>IF($H228="Cancelled","",IFERROR((T228*INDEX(Variables!$B$7:$D$7,IFERROR(MATCH(IF($B228="Robusta","Robusta",(IF($B228="","Arabica",$B228))&amp;" - "&amp;(IF($C228="","Commercial",$C228))),Variables!$B$1:$D$1,0),1))*AC228/365)+(L228/16.67*INDEX(Variables!$B$8:$D$8,IFERROR(MATCH(IF($B228="Robusta","Robusta",(IF($B228="","Arabica",$B228))&amp;" - "&amp;(IF($C228="","Commercial",$C228))),Variables!$B$1:$D$1,0),1))*AC228)+(T228*INDEX(Variables!$B$9:$D$9,IFERROR(MATCH(IF($B228="Robusta","Robusta",(IF($B228="","Arabica",$B228))&amp;" - "&amp;(IF($C228="","Commercial",$C228))),Variables!$B$1:$D$1,0),1))*AC228/365),""))</f>
        <v>-2823.1179056779301</v>
      </c>
      <c r="AU228" s="12">
        <f>IF($H228="Cancelled","",IFERROR((T228*INDEX(Variables!$B$7:$D$7,IFERROR(MATCH(IF($B228="Robusta","Robusta",(IF($B228="","Arabica",$B228))&amp;" - "&amp;(IF($C228="","Commercial",$C228))),Variables!$B$1:$D$1,0),1))*AP228/365)+(L228/16.67*INDEX(Variables!$B$8:$D$8,IFERROR(MATCH(IF($B228="Robusta","Robusta",(IF($B228="","Arabica",$B228))&amp;" - "&amp;(IF($C228="","Commercial",$C228))),Variables!$B$1:$D$1,0),1))*AP228)+(T228*INDEX(Variables!$B$9:$D$9,IFERROR(MATCH(IF($B228="Robusta","Robusta",(IF($B228="","Arabica",$B228))&amp;" - "&amp;(IF($C228="","Commercial",$C228))),Variables!$B$1:$D$1,0),1))*AP228/365),""))</f>
        <v>-342.19610977914306</v>
      </c>
      <c r="AV228" s="11">
        <f t="shared" si="23"/>
        <v>6</v>
      </c>
      <c r="AW228" s="12">
        <f>IF($H228="Cancelled","",IFERROR(IF(AV228="","",(T228*INDEX(Variables!$B$7:$D$7,IFERROR(MATCH(IF($B228="Robusta","Robusta",(IF($B228="","Arabica",$B228))&amp;" - "&amp;(IF($C228="","Commercial",$C228))),Variables!$B$1:$D$1,0),1))*(AV228/365))+(T228*INDEX(Variables!$B$9:$D$9,IFERROR(MATCH(IF($B228="Robusta","Robusta",(IF($B228="","Arabica",$B228))&amp;" - "&amp;(IF($C228="","Commercial",$C228))),Variables!$B$1:$D$1,0),1))*(AV228/365))+(INDEX(Variables!$B$8:$D$8,IFERROR(MATCH(IF($B228="Robusta","Robusta",(IF($B228="","Arabica",$B228))&amp;" - "&amp;(IF($C228="","Commercial",$C228))),Variables!$B$1:$D$1,0),1))*L228/16.67)),""))</f>
        <v>333.29416466871453</v>
      </c>
      <c r="AX228" s="9"/>
      <c r="AY228" s="12"/>
      <c r="AZ228" s="10"/>
      <c r="BA228" s="9"/>
      <c r="BB228" s="10"/>
      <c r="BC228" s="9"/>
      <c r="BD228" s="9"/>
      <c r="BE228" s="9"/>
      <c r="BF228" s="9"/>
    </row>
    <row r="229" spans="1:58" x14ac:dyDescent="0.25">
      <c r="A229" s="9" t="s">
        <v>84</v>
      </c>
      <c r="B229" s="9" t="s">
        <v>85</v>
      </c>
      <c r="C229" s="9" t="s">
        <v>86</v>
      </c>
      <c r="D229" s="10">
        <v>45531</v>
      </c>
      <c r="E229" s="10">
        <v>45658</v>
      </c>
      <c r="F229" s="10">
        <v>45688</v>
      </c>
      <c r="G229" s="9">
        <v>3786497</v>
      </c>
      <c r="H229" s="9" t="str">
        <f t="shared" si="21"/>
        <v>Closed</v>
      </c>
      <c r="I229" s="9" t="str">
        <f t="shared" si="22"/>
        <v>All dates received</v>
      </c>
      <c r="J229" s="9" t="s">
        <v>102</v>
      </c>
      <c r="K229" s="9" t="s">
        <v>669</v>
      </c>
      <c r="L229" s="11">
        <v>360</v>
      </c>
      <c r="M229" s="9" t="s">
        <v>670</v>
      </c>
      <c r="N229" s="9" t="s">
        <v>450</v>
      </c>
      <c r="O229" s="9"/>
      <c r="P229" s="9"/>
      <c r="Q229" s="11"/>
      <c r="R229" s="9" t="s">
        <v>90</v>
      </c>
      <c r="S229" s="9" t="s">
        <v>162</v>
      </c>
      <c r="T229" s="12">
        <f>IF($H229="Cancelled","",IFERROR(((Q229+INDEX(Variables!$B$6:$D$6,IFERROR(MATCH(IF($B229="Robusta","Robusta",(IF($B229="","Arabica",$B229))&amp;" - "&amp;(IF($C229="","Commercial",$C229))),Variables!$B$1:$D$1,0),1)))*22.0462)*(L229/16.67),""))</f>
        <v>138450.66500299939</v>
      </c>
      <c r="U229" s="10">
        <v>45616</v>
      </c>
      <c r="V229" s="9" t="str">
        <f t="shared" si="24"/>
        <v>Sent</v>
      </c>
      <c r="W229" s="10">
        <v>45630</v>
      </c>
      <c r="X229" s="9" t="str">
        <f t="shared" si="25"/>
        <v>Approved</v>
      </c>
      <c r="Y229" s="10"/>
      <c r="Z229" s="10">
        <f>IF($H229="Cancelled","",IFERROR(IF(F229="","",F229-Variables!$B$13),""))</f>
        <v>45673</v>
      </c>
      <c r="AA229" s="11">
        <f>IF($H229="Cancelled","",IFERROR(IF(W229="","",(AVERAGE(E229:F229)-W229)-Variables!$B$14),""))</f>
        <v>13</v>
      </c>
      <c r="AB229" s="10">
        <v>45646</v>
      </c>
      <c r="AC229" s="11">
        <f>IF($H229="Cancelled","",IFERROR(IF(AB229="","",IF(AND(W229="",Y229=""),"",IF(Y229&gt;W229,Y229+Variables!$B$15+Variables!$B$16+Variables!$B$17-AB229,W229+Variables!$B$16+Variables!$B$17-AB229))),""))</f>
        <v>-8</v>
      </c>
      <c r="AD229" s="9" t="s">
        <v>107</v>
      </c>
      <c r="AE229" s="9" t="s">
        <v>198</v>
      </c>
      <c r="AF229" s="10">
        <v>45687</v>
      </c>
      <c r="AG229" s="10"/>
      <c r="AH229" s="9"/>
      <c r="AI229" s="9" t="s">
        <v>671</v>
      </c>
      <c r="AJ229" s="9" t="s">
        <v>8</v>
      </c>
      <c r="AK229" s="10">
        <v>45677</v>
      </c>
      <c r="AL229" s="10">
        <v>45679</v>
      </c>
      <c r="AM229" s="10">
        <v>45684</v>
      </c>
      <c r="AN229" s="9" t="s">
        <v>95</v>
      </c>
      <c r="AO229" s="9"/>
      <c r="AP229" s="11">
        <f>IF($H229="Cancelled","",IFERROR(IF(OR(AK229="",AB229=""),"",(AB229+Variables!$B$18-AK229)),""))</f>
        <v>-24</v>
      </c>
      <c r="AQ229" s="11">
        <f>IF($H229="Cancelled","",IFERROR(IF(OR(AM229="",AK229=""),"",(AK229+Variables!$B$19)-AM229),""))</f>
        <v>-2</v>
      </c>
      <c r="AR229" s="12">
        <f>IF($H229="Cancelled","",IFERROR(T229*INDEX(Variables!$B$7:$D$7,IFERROR(MATCH(IF($B229="Robusta","Robusta",(IF($B229="","Arabica",$B229))&amp;" - "&amp;(IF($C229="","Commercial",$C229))),Variables!$B$1:$D$1,0),1))*(AQ229/365),""))</f>
        <v>-48.918375182774838</v>
      </c>
      <c r="AS229" s="12">
        <f>IF($H229="Cancelled","",IFERROR((T229*INDEX(Variables!$B$7:$D$7,IFERROR(MATCH(IF($B229="Robusta","Robusta",(IF($B229="","Arabica",$B229))&amp;" - "&amp;(IF($C229="","Commercial",$C229))),Variables!$B$1:$D$1,0),1))*IFERROR(IF(W229="","",(AVERAGE(E229:F229)-W229)-Variables!$B$14),"")/365)+(L229/16.67*INDEX(Variables!$B$8:$D$8,IFERROR(MATCH(IF($B229="Robusta","Robusta",(IF($B229="","Arabica",$B229))&amp;" - "&amp;(IF($C229="","Commercial",$C229))),Variables!$B$1:$D$1,0),1))*IFERROR(IF(W229="","",(AVERAGE(E229:F229)-W229)-Variables!$B$14),""))+(T229*INDEX(Variables!$B$9:$D$9,IFERROR(MATCH(IF($B229="Robusta","Robusta",(IF($B229="","Arabica",$B229))&amp;" - "&amp;(IF($C229="","Commercial",$C229))),Variables!$B$1:$D$1,0),1))*IFERROR(IF(W229="","",(AVERAGE(E229:F229)-W229)-Variables!$B$14),"")/365),""))</f>
        <v>556.06867839110748</v>
      </c>
      <c r="AT229" s="12">
        <f>IF($H229="Cancelled","",IFERROR((T229*INDEX(Variables!$B$7:$D$7,IFERROR(MATCH(IF($B229="Robusta","Robusta",(IF($B229="","Arabica",$B229))&amp;" - "&amp;(IF($C229="","Commercial",$C229))),Variables!$B$1:$D$1,0),1))*AC229/365)+(L229/16.67*INDEX(Variables!$B$8:$D$8,IFERROR(MATCH(IF($B229="Robusta","Robusta",(IF($B229="","Arabica",$B229))&amp;" - "&amp;(IF($C229="","Commercial",$C229))),Variables!$B$1:$D$1,0),1))*AC229)+(T229*INDEX(Variables!$B$9:$D$9,IFERROR(MATCH(IF($B229="Robusta","Robusta",(IF($B229="","Arabica",$B229))&amp;" - "&amp;(IF($C229="","Commercial",$C229))),Variables!$B$1:$D$1,0),1))*AC229/365),""))</f>
        <v>-342.19610977914306</v>
      </c>
      <c r="AU229" s="12">
        <f>IF($H229="Cancelled","",IFERROR((T229*INDEX(Variables!$B$7:$D$7,IFERROR(MATCH(IF($B229="Robusta","Robusta",(IF($B229="","Arabica",$B229))&amp;" - "&amp;(IF($C229="","Commercial",$C229))),Variables!$B$1:$D$1,0),1))*AP229/365)+(L229/16.67*INDEX(Variables!$B$8:$D$8,IFERROR(MATCH(IF($B229="Robusta","Robusta",(IF($B229="","Arabica",$B229))&amp;" - "&amp;(IF($C229="","Commercial",$C229))),Variables!$B$1:$D$1,0),1))*AP229)+(T229*INDEX(Variables!$B$9:$D$9,IFERROR(MATCH(IF($B229="Robusta","Robusta",(IF($B229="","Arabica",$B229))&amp;" - "&amp;(IF($C229="","Commercial",$C229))),Variables!$B$1:$D$1,0),1))*AP229/365),""))</f>
        <v>-1026.5883293374293</v>
      </c>
      <c r="AV229" s="11">
        <f t="shared" si="23"/>
        <v>11</v>
      </c>
      <c r="AW229" s="12">
        <f>IF($H229="Cancelled","",IFERROR(IF(AV229="","",(T229*INDEX(Variables!$B$7:$D$7,IFERROR(MATCH(IF($B229="Robusta","Robusta",(IF($B229="","Arabica",$B229))&amp;" - "&amp;(IF($C229="","Commercial",$C229))),Variables!$B$1:$D$1,0),1))*(AV229/365))+(T229*INDEX(Variables!$B$9:$D$9,IFERROR(MATCH(IF($B229="Robusta","Robusta",(IF($B229="","Arabica",$B229))&amp;" - "&amp;(IF($C229="","Commercial",$C229))),Variables!$B$1:$D$1,0),1))*(AV229/365))+(INDEX(Variables!$B$8:$D$8,IFERROR(MATCH(IF($B229="Robusta","Robusta",(IF($B229="","Arabica",$B229))&amp;" - "&amp;(IF($C229="","Commercial",$C229))),Variables!$B$1:$D$1,0),1))*L229/16.67)),""))</f>
        <v>290.51965094632169</v>
      </c>
      <c r="AX229" s="9"/>
      <c r="AY229" s="12"/>
      <c r="AZ229" s="10"/>
      <c r="BA229" s="9"/>
      <c r="BB229" s="10"/>
      <c r="BC229" s="9"/>
      <c r="BD229" s="9"/>
      <c r="BE229" s="9"/>
      <c r="BF229" s="9"/>
    </row>
    <row r="230" spans="1:58" x14ac:dyDescent="0.25">
      <c r="A230" s="9" t="s">
        <v>84</v>
      </c>
      <c r="B230" s="9" t="s">
        <v>85</v>
      </c>
      <c r="C230" s="9" t="s">
        <v>86</v>
      </c>
      <c r="D230" s="10">
        <v>45531</v>
      </c>
      <c r="E230" s="10">
        <v>45658</v>
      </c>
      <c r="F230" s="10">
        <v>45688</v>
      </c>
      <c r="G230" s="9">
        <v>3786497</v>
      </c>
      <c r="H230" s="9" t="str">
        <f t="shared" si="21"/>
        <v>Closed</v>
      </c>
      <c r="I230" s="9" t="str">
        <f t="shared" si="22"/>
        <v>All dates received</v>
      </c>
      <c r="J230" s="9" t="s">
        <v>102</v>
      </c>
      <c r="K230" s="9" t="s">
        <v>672</v>
      </c>
      <c r="L230" s="11">
        <v>720</v>
      </c>
      <c r="M230" s="9" t="s">
        <v>670</v>
      </c>
      <c r="N230" s="9" t="s">
        <v>450</v>
      </c>
      <c r="O230" s="9"/>
      <c r="P230" s="9"/>
      <c r="Q230" s="11"/>
      <c r="R230" s="9" t="s">
        <v>90</v>
      </c>
      <c r="S230" s="9" t="s">
        <v>656</v>
      </c>
      <c r="T230" s="12">
        <f>IF($H230="Cancelled","",IFERROR(((Q230+INDEX(Variables!$B$6:$D$6,IFERROR(MATCH(IF($B230="Robusta","Robusta",(IF($B230="","Arabica",$B230))&amp;" - "&amp;(IF($C230="","Commercial",$C230))),Variables!$B$1:$D$1,0),1)))*22.0462)*(L230/16.67),""))</f>
        <v>276901.33000599878</v>
      </c>
      <c r="U230" s="10">
        <v>45616</v>
      </c>
      <c r="V230" s="9" t="str">
        <f t="shared" si="24"/>
        <v>Sent</v>
      </c>
      <c r="W230" s="10">
        <v>45630</v>
      </c>
      <c r="X230" s="9" t="str">
        <f t="shared" si="25"/>
        <v>Approved</v>
      </c>
      <c r="Y230" s="10"/>
      <c r="Z230" s="10">
        <f>IF($H230="Cancelled","",IFERROR(IF(F230="","",F230-Variables!$B$13),""))</f>
        <v>45673</v>
      </c>
      <c r="AA230" s="11">
        <f>IF($H230="Cancelled","",IFERROR(IF(W230="","",(AVERAGE(E230:F230)-W230)-Variables!$B$14),""))</f>
        <v>13</v>
      </c>
      <c r="AB230" s="10">
        <v>45646</v>
      </c>
      <c r="AC230" s="11">
        <f>IF($H230="Cancelled","",IFERROR(IF(AB230="","",IF(AND(W230="",Y230=""),"",IF(Y230&gt;W230,Y230+Variables!$B$15+Variables!$B$16+Variables!$B$17-AB230,W230+Variables!$B$16+Variables!$B$17-AB230))),""))</f>
        <v>-8</v>
      </c>
      <c r="AD230" s="9" t="s">
        <v>92</v>
      </c>
      <c r="AE230" s="9" t="s">
        <v>673</v>
      </c>
      <c r="AF230" s="10">
        <v>45659</v>
      </c>
      <c r="AG230" s="10"/>
      <c r="AH230" s="9"/>
      <c r="AI230" s="9" t="s">
        <v>674</v>
      </c>
      <c r="AJ230" s="9" t="s">
        <v>8</v>
      </c>
      <c r="AK230" s="10">
        <v>45665</v>
      </c>
      <c r="AL230" s="10">
        <v>45667</v>
      </c>
      <c r="AM230" s="10">
        <v>45672</v>
      </c>
      <c r="AN230" s="9" t="s">
        <v>95</v>
      </c>
      <c r="AO230" s="9"/>
      <c r="AP230" s="11">
        <f>IF($H230="Cancelled","",IFERROR(IF(OR(AK230="",AB230=""),"",(AB230+Variables!$B$18-AK230)),""))</f>
        <v>-12</v>
      </c>
      <c r="AQ230" s="11">
        <f>IF($H230="Cancelled","",IFERROR(IF(OR(AM230="",AK230=""),"",(AK230+Variables!$B$19)-AM230),""))</f>
        <v>-2</v>
      </c>
      <c r="AR230" s="12">
        <f>IF($H230="Cancelled","",IFERROR(T230*INDEX(Variables!$B$7:$D$7,IFERROR(MATCH(IF($B230="Robusta","Robusta",(IF($B230="","Arabica",$B230))&amp;" - "&amp;(IF($C230="","Commercial",$C230))),Variables!$B$1:$D$1,0),1))*(AQ230/365),""))</f>
        <v>-97.836750365549676</v>
      </c>
      <c r="AS230" s="12">
        <f>IF($H230="Cancelled","",IFERROR((T230*INDEX(Variables!$B$7:$D$7,IFERROR(MATCH(IF($B230="Robusta","Robusta",(IF($B230="","Arabica",$B230))&amp;" - "&amp;(IF($C230="","Commercial",$C230))),Variables!$B$1:$D$1,0),1))*IFERROR(IF(W230="","",(AVERAGE(E230:F230)-W230)-Variables!$B$14),"")/365)+(L230/16.67*INDEX(Variables!$B$8:$D$8,IFERROR(MATCH(IF($B230="Robusta","Robusta",(IF($B230="","Arabica",$B230))&amp;" - "&amp;(IF($C230="","Commercial",$C230))),Variables!$B$1:$D$1,0),1))*IFERROR(IF(W230="","",(AVERAGE(E230:F230)-W230)-Variables!$B$14),""))+(T230*INDEX(Variables!$B$9:$D$9,IFERROR(MATCH(IF($B230="Robusta","Robusta",(IF($B230="","Arabica",$B230))&amp;" - "&amp;(IF($C230="","Commercial",$C230))),Variables!$B$1:$D$1,0),1))*IFERROR(IF(W230="","",(AVERAGE(E230:F230)-W230)-Variables!$B$14),"")/365),""))</f>
        <v>1112.137356782215</v>
      </c>
      <c r="AT230" s="12">
        <f>IF($H230="Cancelled","",IFERROR((T230*INDEX(Variables!$B$7:$D$7,IFERROR(MATCH(IF($B230="Robusta","Robusta",(IF($B230="","Arabica",$B230))&amp;" - "&amp;(IF($C230="","Commercial",$C230))),Variables!$B$1:$D$1,0),1))*AC230/365)+(L230/16.67*INDEX(Variables!$B$8:$D$8,IFERROR(MATCH(IF($B230="Robusta","Robusta",(IF($B230="","Arabica",$B230))&amp;" - "&amp;(IF($C230="","Commercial",$C230))),Variables!$B$1:$D$1,0),1))*AC230)+(T230*INDEX(Variables!$B$9:$D$9,IFERROR(MATCH(IF($B230="Robusta","Robusta",(IF($B230="","Arabica",$B230))&amp;" - "&amp;(IF($C230="","Commercial",$C230))),Variables!$B$1:$D$1,0),1))*AC230/365),""))</f>
        <v>-684.39221955828611</v>
      </c>
      <c r="AU230" s="12">
        <f>IF($H230="Cancelled","",IFERROR((T230*INDEX(Variables!$B$7:$D$7,IFERROR(MATCH(IF($B230="Robusta","Robusta",(IF($B230="","Arabica",$B230))&amp;" - "&amp;(IF($C230="","Commercial",$C230))),Variables!$B$1:$D$1,0),1))*AP230/365)+(L230/16.67*INDEX(Variables!$B$8:$D$8,IFERROR(MATCH(IF($B230="Robusta","Robusta",(IF($B230="","Arabica",$B230))&amp;" - "&amp;(IF($C230="","Commercial",$C230))),Variables!$B$1:$D$1,0),1))*AP230)+(T230*INDEX(Variables!$B$9:$D$9,IFERROR(MATCH(IF($B230="Robusta","Robusta",(IF($B230="","Arabica",$B230))&amp;" - "&amp;(IF($C230="","Commercial",$C230))),Variables!$B$1:$D$1,0),1))*AP230/365),""))</f>
        <v>-1026.5883293374293</v>
      </c>
      <c r="AV230" s="11">
        <f t="shared" si="23"/>
        <v>23</v>
      </c>
      <c r="AW230" s="12">
        <f>IF($H230="Cancelled","",IFERROR(IF(AV230="","",(T230*INDEX(Variables!$B$7:$D$7,IFERROR(MATCH(IF($B230="Robusta","Robusta",(IF($B230="","Arabica",$B230))&amp;" - "&amp;(IF($C230="","Commercial",$C230))),Variables!$B$1:$D$1,0),1))*(AV230/365))+(T230*INDEX(Variables!$B$9:$D$9,IFERROR(MATCH(IF($B230="Robusta","Robusta",(IF($B230="","Arabica",$B230))&amp;" - "&amp;(IF($C230="","Commercial",$C230))),Variables!$B$1:$D$1,0),1))*(AV230/365))+(INDEX(Variables!$B$8:$D$8,IFERROR(MATCH(IF($B230="Robusta","Robusta",(IF($B230="","Arabica",$B230))&amp;" - "&amp;(IF($C230="","Commercial",$C230))),Variables!$B$1:$D$1,0),1))*L230/16.67)),""))</f>
        <v>1175.6276312300727</v>
      </c>
      <c r="AX230" s="9"/>
      <c r="AY230" s="12"/>
      <c r="AZ230" s="10"/>
      <c r="BA230" s="9"/>
      <c r="BB230" s="10"/>
      <c r="BC230" s="9"/>
      <c r="BD230" s="9"/>
      <c r="BE230" s="9"/>
      <c r="BF230" s="9"/>
    </row>
    <row r="231" spans="1:58" x14ac:dyDescent="0.25">
      <c r="A231" s="9" t="s">
        <v>84</v>
      </c>
      <c r="B231" s="9" t="s">
        <v>85</v>
      </c>
      <c r="C231" s="9" t="s">
        <v>86</v>
      </c>
      <c r="D231" s="10">
        <v>45531</v>
      </c>
      <c r="E231" s="10">
        <v>45689</v>
      </c>
      <c r="F231" s="10">
        <v>45716</v>
      </c>
      <c r="G231" s="9">
        <v>3786490</v>
      </c>
      <c r="H231" s="9" t="str">
        <f t="shared" si="21"/>
        <v>Closed</v>
      </c>
      <c r="I231" s="9" t="str">
        <f t="shared" si="22"/>
        <v>All dates received</v>
      </c>
      <c r="J231" s="9" t="s">
        <v>102</v>
      </c>
      <c r="K231" s="9">
        <v>5158</v>
      </c>
      <c r="L231" s="11">
        <v>1440</v>
      </c>
      <c r="M231" s="9" t="s">
        <v>658</v>
      </c>
      <c r="N231" s="9" t="s">
        <v>161</v>
      </c>
      <c r="O231" s="9"/>
      <c r="P231" s="9"/>
      <c r="Q231" s="11"/>
      <c r="R231" s="9" t="s">
        <v>90</v>
      </c>
      <c r="S231" s="9" t="s">
        <v>178</v>
      </c>
      <c r="T231" s="12">
        <f>IF($H231="Cancelled","",IFERROR(((Q231+INDEX(Variables!$B$6:$D$6,IFERROR(MATCH(IF($B231="Robusta","Robusta",(IF($B231="","Arabica",$B231))&amp;" - "&amp;(IF($C231="","Commercial",$C231))),Variables!$B$1:$D$1,0),1)))*22.0462)*(L231/16.67),""))</f>
        <v>553802.66001199756</v>
      </c>
      <c r="U231" s="10">
        <v>45667</v>
      </c>
      <c r="V231" s="9" t="str">
        <f t="shared" si="24"/>
        <v>Sent</v>
      </c>
      <c r="W231" s="10">
        <v>45673</v>
      </c>
      <c r="X231" s="9" t="str">
        <f t="shared" si="25"/>
        <v>Approved</v>
      </c>
      <c r="Y231" s="10"/>
      <c r="Z231" s="10">
        <f>IF($H231="Cancelled","",IFERROR(IF(F231="","",F231-Variables!$B$13),""))</f>
        <v>45701</v>
      </c>
      <c r="AA231" s="11">
        <f>IF($H231="Cancelled","",IFERROR(IF(W231="","",(AVERAGE(E231:F231)-W231)-Variables!$B$14),""))</f>
        <v>-0.5</v>
      </c>
      <c r="AB231" s="10">
        <v>45691</v>
      </c>
      <c r="AC231" s="11">
        <f>IF($H231="Cancelled","",IFERROR(IF(AB231="","",IF(AND(W231="",Y231=""),"",IF(Y231&gt;W231,Y231+Variables!$B$15+Variables!$B$16+Variables!$B$17-AB231,W231+Variables!$B$16+Variables!$B$17-AB231))),""))</f>
        <v>-10</v>
      </c>
      <c r="AD231" s="9" t="s">
        <v>165</v>
      </c>
      <c r="AE231" s="9" t="s">
        <v>675</v>
      </c>
      <c r="AF231" s="10">
        <v>45710</v>
      </c>
      <c r="AG231" s="10"/>
      <c r="AH231" s="9"/>
      <c r="AI231" s="9" t="s">
        <v>676</v>
      </c>
      <c r="AJ231" s="9" t="s">
        <v>8</v>
      </c>
      <c r="AK231" s="10">
        <v>45708</v>
      </c>
      <c r="AL231" s="10">
        <v>45714</v>
      </c>
      <c r="AM231" s="10">
        <v>45714</v>
      </c>
      <c r="AN231" s="9" t="s">
        <v>95</v>
      </c>
      <c r="AO231" s="9"/>
      <c r="AP231" s="11">
        <f>IF($H231="Cancelled","",IFERROR(IF(OR(AK231="",AB231=""),"",(AB231+Variables!$B$18-AK231)),""))</f>
        <v>-10</v>
      </c>
      <c r="AQ231" s="11">
        <f>IF($H231="Cancelled","",IFERROR(IF(OR(AM231="",AK231=""),"",(AK231+Variables!$B$19)-AM231),""))</f>
        <v>-1</v>
      </c>
      <c r="AR231" s="12">
        <f>IF($H231="Cancelled","",IFERROR(T231*INDEX(Variables!$B$7:$D$7,IFERROR(MATCH(IF($B231="Robusta","Robusta",(IF($B231="","Arabica",$B231))&amp;" - "&amp;(IF($C231="","Commercial",$C231))),Variables!$B$1:$D$1,0),1))*(AQ231/365),""))</f>
        <v>-97.836750365549676</v>
      </c>
      <c r="AS231" s="12">
        <f>IF($H231="Cancelled","",IFERROR((T231*INDEX(Variables!$B$7:$D$7,IFERROR(MATCH(IF($B231="Robusta","Robusta",(IF($B231="","Arabica",$B231))&amp;" - "&amp;(IF($C231="","Commercial",$C231))),Variables!$B$1:$D$1,0),1))*IFERROR(IF(W231="","",(AVERAGE(E231:F231)-W231)-Variables!$B$14),"")/365)+(L231/16.67*INDEX(Variables!$B$8:$D$8,IFERROR(MATCH(IF($B231="Robusta","Robusta",(IF($B231="","Arabica",$B231))&amp;" - "&amp;(IF($C231="","Commercial",$C231))),Variables!$B$1:$D$1,0),1))*IFERROR(IF(W231="","",(AVERAGE(E231:F231)-W231)-Variables!$B$14),""))+(T231*INDEX(Variables!$B$9:$D$9,IFERROR(MATCH(IF($B231="Robusta","Robusta",(IF($B231="","Arabica",$B231))&amp;" - "&amp;(IF($C231="","Commercial",$C231))),Variables!$B$1:$D$1,0),1))*IFERROR(IF(W231="","",(AVERAGE(E231:F231)-W231)-Variables!$B$14),"")/365),""))</f>
        <v>-85.549027444785764</v>
      </c>
      <c r="AT231" s="12">
        <f>IF($H231="Cancelled","",IFERROR((T231*INDEX(Variables!$B$7:$D$7,IFERROR(MATCH(IF($B231="Robusta","Robusta",(IF($B231="","Arabica",$B231))&amp;" - "&amp;(IF($C231="","Commercial",$C231))),Variables!$B$1:$D$1,0),1))*AC231/365)+(L231/16.67*INDEX(Variables!$B$8:$D$8,IFERROR(MATCH(IF($B231="Robusta","Robusta",(IF($B231="","Arabica",$B231))&amp;" - "&amp;(IF($C231="","Commercial",$C231))),Variables!$B$1:$D$1,0),1))*AC231)+(T231*INDEX(Variables!$B$9:$D$9,IFERROR(MATCH(IF($B231="Robusta","Robusta",(IF($B231="","Arabica",$B231))&amp;" - "&amp;(IF($C231="","Commercial",$C231))),Variables!$B$1:$D$1,0),1))*AC231/365),""))</f>
        <v>-1710.9805488957154</v>
      </c>
      <c r="AU231" s="12">
        <f>IF($H231="Cancelled","",IFERROR((T231*INDEX(Variables!$B$7:$D$7,IFERROR(MATCH(IF($B231="Robusta","Robusta",(IF($B231="","Arabica",$B231))&amp;" - "&amp;(IF($C231="","Commercial",$C231))),Variables!$B$1:$D$1,0),1))*AP231/365)+(L231/16.67*INDEX(Variables!$B$8:$D$8,IFERROR(MATCH(IF($B231="Robusta","Robusta",(IF($B231="","Arabica",$B231))&amp;" - "&amp;(IF($C231="","Commercial",$C231))),Variables!$B$1:$D$1,0),1))*AP231)+(T231*INDEX(Variables!$B$9:$D$9,IFERROR(MATCH(IF($B231="Robusta","Robusta",(IF($B231="","Arabica",$B231))&amp;" - "&amp;(IF($C231="","Commercial",$C231))),Variables!$B$1:$D$1,0),1))*AP231/365),""))</f>
        <v>-1710.9805488957154</v>
      </c>
      <c r="AV231" s="11">
        <f t="shared" si="23"/>
        <v>8</v>
      </c>
      <c r="AW231" s="12">
        <f>IF($H231="Cancelled","",IFERROR(IF(AV231="","",(T231*INDEX(Variables!$B$7:$D$7,IFERROR(MATCH(IF($B231="Robusta","Robusta",(IF($B231="","Arabica",$B231))&amp;" - "&amp;(IF($C231="","Commercial",$C231))),Variables!$B$1:$D$1,0),1))*(AV231/365))+(T231*INDEX(Variables!$B$9:$D$9,IFERROR(MATCH(IF($B231="Robusta","Robusta",(IF($B231="","Arabica",$B231))&amp;" - "&amp;(IF($C231="","Commercial",$C231))),Variables!$B$1:$D$1,0),1))*(AV231/365))+(INDEX(Variables!$B$8:$D$8,IFERROR(MATCH(IF($B231="Robusta","Robusta",(IF($B231="","Arabica",$B231))&amp;" - "&amp;(IF($C231="","Commercial",$C231))),Variables!$B$1:$D$1,0),1))*L231/16.67)),""))</f>
        <v>864.78443911657223</v>
      </c>
      <c r="AX231" s="9"/>
      <c r="AY231" s="12"/>
      <c r="AZ231" s="10"/>
      <c r="BA231" s="9"/>
      <c r="BB231" s="10"/>
      <c r="BC231" s="9"/>
      <c r="BD231" s="9"/>
      <c r="BE231" s="9"/>
      <c r="BF231" s="9"/>
    </row>
    <row r="232" spans="1:58" x14ac:dyDescent="0.25">
      <c r="A232" s="9" t="s">
        <v>84</v>
      </c>
      <c r="B232" s="9" t="s">
        <v>85</v>
      </c>
      <c r="C232" s="9" t="s">
        <v>86</v>
      </c>
      <c r="D232" s="10">
        <v>45531</v>
      </c>
      <c r="E232" s="10">
        <v>45689</v>
      </c>
      <c r="F232" s="10">
        <v>45716</v>
      </c>
      <c r="G232" s="9">
        <v>3786494</v>
      </c>
      <c r="H232" s="9" t="str">
        <f t="shared" si="21"/>
        <v>Closed</v>
      </c>
      <c r="I232" s="9" t="str">
        <f t="shared" si="22"/>
        <v>All dates received</v>
      </c>
      <c r="J232" s="9" t="s">
        <v>102</v>
      </c>
      <c r="K232" s="9" t="s">
        <v>677</v>
      </c>
      <c r="L232" s="11">
        <v>720</v>
      </c>
      <c r="M232" s="9" t="s">
        <v>665</v>
      </c>
      <c r="N232" s="9" t="s">
        <v>450</v>
      </c>
      <c r="O232" s="9"/>
      <c r="P232" s="9"/>
      <c r="Q232" s="11"/>
      <c r="R232" s="9" t="s">
        <v>90</v>
      </c>
      <c r="S232" s="9" t="s">
        <v>656</v>
      </c>
      <c r="T232" s="12">
        <f>IF($H232="Cancelled","",IFERROR(((Q232+INDEX(Variables!$B$6:$D$6,IFERROR(MATCH(IF($B232="Robusta","Robusta",(IF($B232="","Arabica",$B232))&amp;" - "&amp;(IF($C232="","Commercial",$C232))),Variables!$B$1:$D$1,0),1)))*22.0462)*(L232/16.67),""))</f>
        <v>276901.33000599878</v>
      </c>
      <c r="U232" s="10">
        <v>45663</v>
      </c>
      <c r="V232" s="9" t="str">
        <f t="shared" si="24"/>
        <v>Sent</v>
      </c>
      <c r="W232" s="10">
        <v>45670</v>
      </c>
      <c r="X232" s="9" t="str">
        <f t="shared" si="25"/>
        <v>Approved</v>
      </c>
      <c r="Y232" s="10"/>
      <c r="Z232" s="10">
        <f>IF($H232="Cancelled","",IFERROR(IF(F232="","",F232-Variables!$B$13),""))</f>
        <v>45701</v>
      </c>
      <c r="AA232" s="11">
        <f>IF($H232="Cancelled","",IFERROR(IF(W232="","",(AVERAGE(E232:F232)-W232)-Variables!$B$14),""))</f>
        <v>2.5</v>
      </c>
      <c r="AB232" s="10">
        <v>45695</v>
      </c>
      <c r="AC232" s="11">
        <f>IF($H232="Cancelled","",IFERROR(IF(AB232="","",IF(AND(W232="",Y232=""),"",IF(Y232&gt;W232,Y232+Variables!$B$15+Variables!$B$16+Variables!$B$17-AB232,W232+Variables!$B$16+Variables!$B$17-AB232))),""))</f>
        <v>-17</v>
      </c>
      <c r="AD232" s="9" t="s">
        <v>165</v>
      </c>
      <c r="AE232" s="9" t="s">
        <v>678</v>
      </c>
      <c r="AF232" s="10">
        <v>45710</v>
      </c>
      <c r="AG232" s="10"/>
      <c r="AH232" s="9"/>
      <c r="AI232" s="9" t="s">
        <v>679</v>
      </c>
      <c r="AJ232" s="9" t="s">
        <v>8</v>
      </c>
      <c r="AK232" s="10">
        <v>45708</v>
      </c>
      <c r="AL232" s="10">
        <v>45714</v>
      </c>
      <c r="AM232" s="10">
        <v>45714</v>
      </c>
      <c r="AN232" s="9" t="s">
        <v>95</v>
      </c>
      <c r="AO232" s="9"/>
      <c r="AP232" s="11">
        <f>IF($H232="Cancelled","",IFERROR(IF(OR(AK232="",AB232=""),"",(AB232+Variables!$B$18-AK232)),""))</f>
        <v>-6</v>
      </c>
      <c r="AQ232" s="11">
        <f>IF($H232="Cancelled","",IFERROR(IF(OR(AM232="",AK232=""),"",(AK232+Variables!$B$19)-AM232),""))</f>
        <v>-1</v>
      </c>
      <c r="AR232" s="12">
        <f>IF($H232="Cancelled","",IFERROR(T232*INDEX(Variables!$B$7:$D$7,IFERROR(MATCH(IF($B232="Robusta","Robusta",(IF($B232="","Arabica",$B232))&amp;" - "&amp;(IF($C232="","Commercial",$C232))),Variables!$B$1:$D$1,0),1))*(AQ232/365),""))</f>
        <v>-48.918375182774838</v>
      </c>
      <c r="AS232" s="12">
        <f>IF($H232="Cancelled","",IFERROR((T232*INDEX(Variables!$B$7:$D$7,IFERROR(MATCH(IF($B232="Robusta","Robusta",(IF($B232="","Arabica",$B232))&amp;" - "&amp;(IF($C232="","Commercial",$C232))),Variables!$B$1:$D$1,0),1))*IFERROR(IF(W232="","",(AVERAGE(E232:F232)-W232)-Variables!$B$14),"")/365)+(L232/16.67*INDEX(Variables!$B$8:$D$8,IFERROR(MATCH(IF($B232="Robusta","Robusta",(IF($B232="","Arabica",$B232))&amp;" - "&amp;(IF($C232="","Commercial",$C232))),Variables!$B$1:$D$1,0),1))*IFERROR(IF(W232="","",(AVERAGE(E232:F232)-W232)-Variables!$B$14),""))+(T232*INDEX(Variables!$B$9:$D$9,IFERROR(MATCH(IF($B232="Robusta","Robusta",(IF($B232="","Arabica",$B232))&amp;" - "&amp;(IF($C232="","Commercial",$C232))),Variables!$B$1:$D$1,0),1))*IFERROR(IF(W232="","",(AVERAGE(E232:F232)-W232)-Variables!$B$14),"")/365),""))</f>
        <v>213.87256861196443</v>
      </c>
      <c r="AT232" s="12">
        <f>IF($H232="Cancelled","",IFERROR((T232*INDEX(Variables!$B$7:$D$7,IFERROR(MATCH(IF($B232="Robusta","Robusta",(IF($B232="","Arabica",$B232))&amp;" - "&amp;(IF($C232="","Commercial",$C232))),Variables!$B$1:$D$1,0),1))*AC232/365)+(L232/16.67*INDEX(Variables!$B$8:$D$8,IFERROR(MATCH(IF($B232="Robusta","Robusta",(IF($B232="","Arabica",$B232))&amp;" - "&amp;(IF($C232="","Commercial",$C232))),Variables!$B$1:$D$1,0),1))*AC232)+(T232*INDEX(Variables!$B$9:$D$9,IFERROR(MATCH(IF($B232="Robusta","Robusta",(IF($B232="","Arabica",$B232))&amp;" - "&amp;(IF($C232="","Commercial",$C232))),Variables!$B$1:$D$1,0),1))*AC232/365),""))</f>
        <v>-1454.3334665613581</v>
      </c>
      <c r="AU232" s="12">
        <f>IF($H232="Cancelled","",IFERROR((T232*INDEX(Variables!$B$7:$D$7,IFERROR(MATCH(IF($B232="Robusta","Robusta",(IF($B232="","Arabica",$B232))&amp;" - "&amp;(IF($C232="","Commercial",$C232))),Variables!$B$1:$D$1,0),1))*AP232/365)+(L232/16.67*INDEX(Variables!$B$8:$D$8,IFERROR(MATCH(IF($B232="Robusta","Robusta",(IF($B232="","Arabica",$B232))&amp;" - "&amp;(IF($C232="","Commercial",$C232))),Variables!$B$1:$D$1,0),1))*AP232)+(T232*INDEX(Variables!$B$9:$D$9,IFERROR(MATCH(IF($B232="Robusta","Robusta",(IF($B232="","Arabica",$B232))&amp;" - "&amp;(IF($C232="","Commercial",$C232))),Variables!$B$1:$D$1,0),1))*AP232/365),""))</f>
        <v>-513.29416466871464</v>
      </c>
      <c r="AV232" s="11">
        <f t="shared" si="23"/>
        <v>8</v>
      </c>
      <c r="AW232" s="12">
        <f>IF($H232="Cancelled","",IFERROR(IF(AV232="","",(T232*INDEX(Variables!$B$7:$D$7,IFERROR(MATCH(IF($B232="Robusta","Robusta",(IF($B232="","Arabica",$B232))&amp;" - "&amp;(IF($C232="","Commercial",$C232))),Variables!$B$1:$D$1,0),1))*(AV232/365))+(T232*INDEX(Variables!$B$9:$D$9,IFERROR(MATCH(IF($B232="Robusta","Robusta",(IF($B232="","Arabica",$B232))&amp;" - "&amp;(IF($C232="","Commercial",$C232))),Variables!$B$1:$D$1,0),1))*(AV232/365))+(INDEX(Variables!$B$8:$D$8,IFERROR(MATCH(IF($B232="Robusta","Robusta",(IF($B232="","Arabica",$B232))&amp;" - "&amp;(IF($C232="","Commercial",$C232))),Variables!$B$1:$D$1,0),1))*L232/16.67)),""))</f>
        <v>432.39221955828611</v>
      </c>
      <c r="AX232" s="9"/>
      <c r="AY232" s="12"/>
      <c r="AZ232" s="10"/>
      <c r="BA232" s="9"/>
      <c r="BB232" s="10"/>
      <c r="BC232" s="9"/>
      <c r="BD232" s="9"/>
      <c r="BE232" s="9"/>
      <c r="BF232" s="9"/>
    </row>
    <row r="233" spans="1:58" x14ac:dyDescent="0.25">
      <c r="A233" s="9" t="s">
        <v>84</v>
      </c>
      <c r="B233" s="9" t="s">
        <v>85</v>
      </c>
      <c r="C233" s="9" t="s">
        <v>86</v>
      </c>
      <c r="D233" s="10">
        <v>45531</v>
      </c>
      <c r="E233" s="10">
        <v>45689</v>
      </c>
      <c r="F233" s="10">
        <v>45716</v>
      </c>
      <c r="G233" s="9">
        <v>3786494</v>
      </c>
      <c r="H233" s="9" t="str">
        <f t="shared" si="21"/>
        <v>Closed</v>
      </c>
      <c r="I233" s="9" t="str">
        <f t="shared" si="22"/>
        <v>All dates received</v>
      </c>
      <c r="J233" s="9" t="s">
        <v>102</v>
      </c>
      <c r="K233" s="9" t="s">
        <v>680</v>
      </c>
      <c r="L233" s="11">
        <v>360</v>
      </c>
      <c r="M233" s="9" t="s">
        <v>665</v>
      </c>
      <c r="N233" s="9" t="s">
        <v>450</v>
      </c>
      <c r="O233" s="9"/>
      <c r="P233" s="9"/>
      <c r="Q233" s="11"/>
      <c r="R233" s="9" t="s">
        <v>90</v>
      </c>
      <c r="S233" s="9" t="s">
        <v>106</v>
      </c>
      <c r="T233" s="12">
        <f>IF($H233="Cancelled","",IFERROR(((Q233+INDEX(Variables!$B$6:$D$6,IFERROR(MATCH(IF($B233="Robusta","Robusta",(IF($B233="","Arabica",$B233))&amp;" - "&amp;(IF($C233="","Commercial",$C233))),Variables!$B$1:$D$1,0),1)))*22.0462)*(L233/16.67),""))</f>
        <v>138450.66500299939</v>
      </c>
      <c r="U233" s="10">
        <v>45663</v>
      </c>
      <c r="V233" s="9" t="str">
        <f t="shared" si="24"/>
        <v>Sent</v>
      </c>
      <c r="W233" s="10">
        <v>45670</v>
      </c>
      <c r="X233" s="9" t="str">
        <f t="shared" si="25"/>
        <v>Approved</v>
      </c>
      <c r="Y233" s="10"/>
      <c r="Z233" s="10">
        <f>IF($H233="Cancelled","",IFERROR(IF(F233="","",F233-Variables!$B$13),""))</f>
        <v>45701</v>
      </c>
      <c r="AA233" s="11">
        <f>IF($H233="Cancelled","",IFERROR(IF(W233="","",(AVERAGE(E233:F233)-W233)-Variables!$B$14),""))</f>
        <v>2.5</v>
      </c>
      <c r="AB233" s="10">
        <v>45695</v>
      </c>
      <c r="AC233" s="11">
        <f>IF($H233="Cancelled","",IFERROR(IF(AB233="","",IF(AND(W233="",Y233=""),"",IF(Y233&gt;W233,Y233+Variables!$B$15+Variables!$B$16+Variables!$B$17-AB233,W233+Variables!$B$16+Variables!$B$17-AB233))),""))</f>
        <v>-17</v>
      </c>
      <c r="AD233" s="9" t="s">
        <v>165</v>
      </c>
      <c r="AE233" s="9" t="s">
        <v>678</v>
      </c>
      <c r="AF233" s="10">
        <v>45710</v>
      </c>
      <c r="AG233" s="10"/>
      <c r="AH233" s="9"/>
      <c r="AI233" s="9" t="s">
        <v>681</v>
      </c>
      <c r="AJ233" s="9" t="s">
        <v>8</v>
      </c>
      <c r="AK233" s="10">
        <v>45708</v>
      </c>
      <c r="AL233" s="10">
        <v>45714</v>
      </c>
      <c r="AM233" s="10">
        <v>45714</v>
      </c>
      <c r="AN233" s="9" t="s">
        <v>95</v>
      </c>
      <c r="AO233" s="9"/>
      <c r="AP233" s="11">
        <f>IF($H233="Cancelled","",IFERROR(IF(OR(AK233="",AB233=""),"",(AB233+Variables!$B$18-AK233)),""))</f>
        <v>-6</v>
      </c>
      <c r="AQ233" s="11">
        <f>IF($H233="Cancelled","",IFERROR(IF(OR(AM233="",AK233=""),"",(AK233+Variables!$B$19)-AM233),""))</f>
        <v>-1</v>
      </c>
      <c r="AR233" s="12">
        <f>IF($H233="Cancelled","",IFERROR(T233*INDEX(Variables!$B$7:$D$7,IFERROR(MATCH(IF($B233="Robusta","Robusta",(IF($B233="","Arabica",$B233))&amp;" - "&amp;(IF($C233="","Commercial",$C233))),Variables!$B$1:$D$1,0),1))*(AQ233/365),""))</f>
        <v>-24.459187591387419</v>
      </c>
      <c r="AS233" s="12">
        <f>IF($H233="Cancelled","",IFERROR((T233*INDEX(Variables!$B$7:$D$7,IFERROR(MATCH(IF($B233="Robusta","Robusta",(IF($B233="","Arabica",$B233))&amp;" - "&amp;(IF($C233="","Commercial",$C233))),Variables!$B$1:$D$1,0),1))*IFERROR(IF(W233="","",(AVERAGE(E233:F233)-W233)-Variables!$B$14),"")/365)+(L233/16.67*INDEX(Variables!$B$8:$D$8,IFERROR(MATCH(IF($B233="Robusta","Robusta",(IF($B233="","Arabica",$B233))&amp;" - "&amp;(IF($C233="","Commercial",$C233))),Variables!$B$1:$D$1,0),1))*IFERROR(IF(W233="","",(AVERAGE(E233:F233)-W233)-Variables!$B$14),""))+(T233*INDEX(Variables!$B$9:$D$9,IFERROR(MATCH(IF($B233="Robusta","Robusta",(IF($B233="","Arabica",$B233))&amp;" - "&amp;(IF($C233="","Commercial",$C233))),Variables!$B$1:$D$1,0),1))*IFERROR(IF(W233="","",(AVERAGE(E233:F233)-W233)-Variables!$B$14),"")/365),""))</f>
        <v>106.93628430598221</v>
      </c>
      <c r="AT233" s="12">
        <f>IF($H233="Cancelled","",IFERROR((T233*INDEX(Variables!$B$7:$D$7,IFERROR(MATCH(IF($B233="Robusta","Robusta",(IF($B233="","Arabica",$B233))&amp;" - "&amp;(IF($C233="","Commercial",$C233))),Variables!$B$1:$D$1,0),1))*AC233/365)+(L233/16.67*INDEX(Variables!$B$8:$D$8,IFERROR(MATCH(IF($B233="Robusta","Robusta",(IF($B233="","Arabica",$B233))&amp;" - "&amp;(IF($C233="","Commercial",$C233))),Variables!$B$1:$D$1,0),1))*AC233)+(T233*INDEX(Variables!$B$9:$D$9,IFERROR(MATCH(IF($B233="Robusta","Robusta",(IF($B233="","Arabica",$B233))&amp;" - "&amp;(IF($C233="","Commercial",$C233))),Variables!$B$1:$D$1,0),1))*AC233/365),""))</f>
        <v>-727.16673328067907</v>
      </c>
      <c r="AU233" s="12">
        <f>IF($H233="Cancelled","",IFERROR((T233*INDEX(Variables!$B$7:$D$7,IFERROR(MATCH(IF($B233="Robusta","Robusta",(IF($B233="","Arabica",$B233))&amp;" - "&amp;(IF($C233="","Commercial",$C233))),Variables!$B$1:$D$1,0),1))*AP233/365)+(L233/16.67*INDEX(Variables!$B$8:$D$8,IFERROR(MATCH(IF($B233="Robusta","Robusta",(IF($B233="","Arabica",$B233))&amp;" - "&amp;(IF($C233="","Commercial",$C233))),Variables!$B$1:$D$1,0),1))*AP233)+(T233*INDEX(Variables!$B$9:$D$9,IFERROR(MATCH(IF($B233="Robusta","Robusta",(IF($B233="","Arabica",$B233))&amp;" - "&amp;(IF($C233="","Commercial",$C233))),Variables!$B$1:$D$1,0),1))*AP233/365),""))</f>
        <v>-256.64708233435732</v>
      </c>
      <c r="AV233" s="11">
        <f t="shared" si="23"/>
        <v>8</v>
      </c>
      <c r="AW233" s="12">
        <f>IF($H233="Cancelled","",IFERROR(IF(AV233="","",(T233*INDEX(Variables!$B$7:$D$7,IFERROR(MATCH(IF($B233="Robusta","Robusta",(IF($B233="","Arabica",$B233))&amp;" - "&amp;(IF($C233="","Commercial",$C233))),Variables!$B$1:$D$1,0),1))*(AV233/365))+(T233*INDEX(Variables!$B$9:$D$9,IFERROR(MATCH(IF($B233="Robusta","Robusta",(IF($B233="","Arabica",$B233))&amp;" - "&amp;(IF($C233="","Commercial",$C233))),Variables!$B$1:$D$1,0),1))*(AV233/365))+(INDEX(Variables!$B$8:$D$8,IFERROR(MATCH(IF($B233="Robusta","Robusta",(IF($B233="","Arabica",$B233))&amp;" - "&amp;(IF($C233="","Commercial",$C233))),Variables!$B$1:$D$1,0),1))*L233/16.67)),""))</f>
        <v>216.19610977914306</v>
      </c>
      <c r="AX233" s="9"/>
      <c r="AY233" s="12"/>
      <c r="AZ233" s="10"/>
      <c r="BA233" s="9"/>
      <c r="BB233" s="10"/>
      <c r="BC233" s="9"/>
      <c r="BD233" s="9"/>
      <c r="BE233" s="9"/>
      <c r="BF233" s="9"/>
    </row>
    <row r="234" spans="1:58" x14ac:dyDescent="0.25">
      <c r="A234" s="9" t="s">
        <v>84</v>
      </c>
      <c r="B234" s="9" t="s">
        <v>85</v>
      </c>
      <c r="C234" s="9" t="s">
        <v>86</v>
      </c>
      <c r="D234" s="10">
        <v>45531</v>
      </c>
      <c r="E234" s="10">
        <v>45689</v>
      </c>
      <c r="F234" s="10">
        <v>45716</v>
      </c>
      <c r="G234" s="9">
        <v>3786498</v>
      </c>
      <c r="H234" s="9" t="str">
        <f t="shared" si="21"/>
        <v>Closed</v>
      </c>
      <c r="I234" s="9" t="str">
        <f t="shared" si="22"/>
        <v>All dates received</v>
      </c>
      <c r="J234" s="9" t="s">
        <v>102</v>
      </c>
      <c r="K234" s="9" t="s">
        <v>682</v>
      </c>
      <c r="L234" s="11">
        <v>360</v>
      </c>
      <c r="M234" s="9" t="s">
        <v>670</v>
      </c>
      <c r="N234" s="9" t="s">
        <v>450</v>
      </c>
      <c r="O234" s="9"/>
      <c r="P234" s="9"/>
      <c r="Q234" s="11"/>
      <c r="R234" s="9" t="s">
        <v>90</v>
      </c>
      <c r="S234" s="9" t="s">
        <v>162</v>
      </c>
      <c r="T234" s="12">
        <f>IF($H234="Cancelled","",IFERROR(((Q234+INDEX(Variables!$B$6:$D$6,IFERROR(MATCH(IF($B234="Robusta","Robusta",(IF($B234="","Arabica",$B234))&amp;" - "&amp;(IF($C234="","Commercial",$C234))),Variables!$B$1:$D$1,0),1)))*22.0462)*(L234/16.67),""))</f>
        <v>138450.66500299939</v>
      </c>
      <c r="U234" s="10">
        <v>45663</v>
      </c>
      <c r="V234" s="9" t="str">
        <f t="shared" si="24"/>
        <v>Sent</v>
      </c>
      <c r="W234" s="10">
        <v>45670</v>
      </c>
      <c r="X234" s="9" t="str">
        <f t="shared" si="25"/>
        <v>Approved</v>
      </c>
      <c r="Y234" s="10"/>
      <c r="Z234" s="10">
        <f>IF($H234="Cancelled","",IFERROR(IF(F234="","",F234-Variables!$B$13),""))</f>
        <v>45701</v>
      </c>
      <c r="AA234" s="11">
        <f>IF($H234="Cancelled","",IFERROR(IF(W234="","",(AVERAGE(E234:F234)-W234)-Variables!$B$14),""))</f>
        <v>2.5</v>
      </c>
      <c r="AB234" s="10">
        <v>45694</v>
      </c>
      <c r="AC234" s="11">
        <f>IF($H234="Cancelled","",IFERROR(IF(AB234="","",IF(AND(W234="",Y234=""),"",IF(Y234&gt;W234,Y234+Variables!$B$15+Variables!$B$16+Variables!$B$17-AB234,W234+Variables!$B$16+Variables!$B$17-AB234))),""))</f>
        <v>-16</v>
      </c>
      <c r="AD234" s="9" t="s">
        <v>163</v>
      </c>
      <c r="AE234" s="9" t="s">
        <v>324</v>
      </c>
      <c r="AF234" s="10">
        <v>45703</v>
      </c>
      <c r="AG234" s="10"/>
      <c r="AH234" s="9"/>
      <c r="AI234" s="9">
        <v>249699554</v>
      </c>
      <c r="AJ234" s="9" t="s">
        <v>8</v>
      </c>
      <c r="AK234" s="10">
        <v>45705</v>
      </c>
      <c r="AL234" s="10">
        <v>45705</v>
      </c>
      <c r="AM234" s="10">
        <v>45705</v>
      </c>
      <c r="AN234" s="9" t="s">
        <v>95</v>
      </c>
      <c r="AO234" s="9"/>
      <c r="AP234" s="11">
        <f>IF($H234="Cancelled","",IFERROR(IF(OR(AK234="",AB234=""),"",(AB234+Variables!$B$18-AK234)),""))</f>
        <v>-4</v>
      </c>
      <c r="AQ234" s="11">
        <f>IF($H234="Cancelled","",IFERROR(IF(OR(AM234="",AK234=""),"",(AK234+Variables!$B$19)-AM234),""))</f>
        <v>5</v>
      </c>
      <c r="AR234" s="12">
        <f>IF($H234="Cancelled","",IFERROR(T234*INDEX(Variables!$B$7:$D$7,IFERROR(MATCH(IF($B234="Robusta","Robusta",(IF($B234="","Arabica",$B234))&amp;" - "&amp;(IF($C234="","Commercial",$C234))),Variables!$B$1:$D$1,0),1))*(AQ234/365),""))</f>
        <v>122.29593795693708</v>
      </c>
      <c r="AS234" s="12">
        <f>IF($H234="Cancelled","",IFERROR((T234*INDEX(Variables!$B$7:$D$7,IFERROR(MATCH(IF($B234="Robusta","Robusta",(IF($B234="","Arabica",$B234))&amp;" - "&amp;(IF($C234="","Commercial",$C234))),Variables!$B$1:$D$1,0),1))*IFERROR(IF(W234="","",(AVERAGE(E234:F234)-W234)-Variables!$B$14),"")/365)+(L234/16.67*INDEX(Variables!$B$8:$D$8,IFERROR(MATCH(IF($B234="Robusta","Robusta",(IF($B234="","Arabica",$B234))&amp;" - "&amp;(IF($C234="","Commercial",$C234))),Variables!$B$1:$D$1,0),1))*IFERROR(IF(W234="","",(AVERAGE(E234:F234)-W234)-Variables!$B$14),""))+(T234*INDEX(Variables!$B$9:$D$9,IFERROR(MATCH(IF($B234="Robusta","Robusta",(IF($B234="","Arabica",$B234))&amp;" - "&amp;(IF($C234="","Commercial",$C234))),Variables!$B$1:$D$1,0),1))*IFERROR(IF(W234="","",(AVERAGE(E234:F234)-W234)-Variables!$B$14),"")/365),""))</f>
        <v>106.93628430598221</v>
      </c>
      <c r="AT234" s="12">
        <f>IF($H234="Cancelled","",IFERROR((T234*INDEX(Variables!$B$7:$D$7,IFERROR(MATCH(IF($B234="Robusta","Robusta",(IF($B234="","Arabica",$B234))&amp;" - "&amp;(IF($C234="","Commercial",$C234))),Variables!$B$1:$D$1,0),1))*AC234/365)+(L234/16.67*INDEX(Variables!$B$8:$D$8,IFERROR(MATCH(IF($B234="Robusta","Robusta",(IF($B234="","Arabica",$B234))&amp;" - "&amp;(IF($C234="","Commercial",$C234))),Variables!$B$1:$D$1,0),1))*AC234)+(T234*INDEX(Variables!$B$9:$D$9,IFERROR(MATCH(IF($B234="Robusta","Robusta",(IF($B234="","Arabica",$B234))&amp;" - "&amp;(IF($C234="","Commercial",$C234))),Variables!$B$1:$D$1,0),1))*AC234/365),""))</f>
        <v>-684.39221955828611</v>
      </c>
      <c r="AU234" s="12">
        <f>IF($H234="Cancelled","",IFERROR((T234*INDEX(Variables!$B$7:$D$7,IFERROR(MATCH(IF($B234="Robusta","Robusta",(IF($B234="","Arabica",$B234))&amp;" - "&amp;(IF($C234="","Commercial",$C234))),Variables!$B$1:$D$1,0),1))*AP234/365)+(L234/16.67*INDEX(Variables!$B$8:$D$8,IFERROR(MATCH(IF($B234="Robusta","Robusta",(IF($B234="","Arabica",$B234))&amp;" - "&amp;(IF($C234="","Commercial",$C234))),Variables!$B$1:$D$1,0),1))*AP234)+(T234*INDEX(Variables!$B$9:$D$9,IFERROR(MATCH(IF($B234="Robusta","Robusta",(IF($B234="","Arabica",$B234))&amp;" - "&amp;(IF($C234="","Commercial",$C234))),Variables!$B$1:$D$1,0),1))*AP234/365),""))</f>
        <v>-171.09805488957153</v>
      </c>
      <c r="AV234" s="11">
        <f t="shared" si="23"/>
        <v>11</v>
      </c>
      <c r="AW234" s="12">
        <f>IF($H234="Cancelled","",IFERROR(IF(AV234="","",(T234*INDEX(Variables!$B$7:$D$7,IFERROR(MATCH(IF($B234="Robusta","Robusta",(IF($B234="","Arabica",$B234))&amp;" - "&amp;(IF($C234="","Commercial",$C234))),Variables!$B$1:$D$1,0),1))*(AV234/365))+(T234*INDEX(Variables!$B$9:$D$9,IFERROR(MATCH(IF($B234="Robusta","Robusta",(IF($B234="","Arabica",$B234))&amp;" - "&amp;(IF($C234="","Commercial",$C234))),Variables!$B$1:$D$1,0),1))*(AV234/365))+(INDEX(Variables!$B$8:$D$8,IFERROR(MATCH(IF($B234="Robusta","Robusta",(IF($B234="","Arabica",$B234))&amp;" - "&amp;(IF($C234="","Commercial",$C234))),Variables!$B$1:$D$1,0),1))*L234/16.67)),""))</f>
        <v>290.51965094632169</v>
      </c>
      <c r="AX234" s="9"/>
      <c r="AY234" s="12"/>
      <c r="AZ234" s="10"/>
      <c r="BA234" s="9"/>
      <c r="BB234" s="10"/>
      <c r="BC234" s="9"/>
      <c r="BD234" s="9"/>
      <c r="BE234" s="9"/>
      <c r="BF234" s="9"/>
    </row>
    <row r="235" spans="1:58" x14ac:dyDescent="0.25">
      <c r="A235" s="9" t="s">
        <v>84</v>
      </c>
      <c r="B235" s="9" t="s">
        <v>85</v>
      </c>
      <c r="C235" s="9" t="s">
        <v>86</v>
      </c>
      <c r="D235" s="10">
        <v>45531</v>
      </c>
      <c r="E235" s="10">
        <v>45689</v>
      </c>
      <c r="F235" s="10">
        <v>45716</v>
      </c>
      <c r="G235" s="9">
        <v>3786498</v>
      </c>
      <c r="H235" s="9" t="str">
        <f t="shared" si="21"/>
        <v>Closed</v>
      </c>
      <c r="I235" s="9" t="str">
        <f t="shared" si="22"/>
        <v>All dates received</v>
      </c>
      <c r="J235" s="9" t="s">
        <v>102</v>
      </c>
      <c r="K235" s="9" t="s">
        <v>683</v>
      </c>
      <c r="L235" s="11">
        <v>720</v>
      </c>
      <c r="M235" s="9" t="s">
        <v>670</v>
      </c>
      <c r="N235" s="9" t="s">
        <v>450</v>
      </c>
      <c r="O235" s="9"/>
      <c r="P235" s="9"/>
      <c r="Q235" s="11"/>
      <c r="R235" s="9" t="s">
        <v>90</v>
      </c>
      <c r="S235" s="9" t="s">
        <v>656</v>
      </c>
      <c r="T235" s="12">
        <f>IF($H235="Cancelled","",IFERROR(((Q235+INDEX(Variables!$B$6:$D$6,IFERROR(MATCH(IF($B235="Robusta","Robusta",(IF($B235="","Arabica",$B235))&amp;" - "&amp;(IF($C235="","Commercial",$C235))),Variables!$B$1:$D$1,0),1)))*22.0462)*(L235/16.67),""))</f>
        <v>276901.33000599878</v>
      </c>
      <c r="U235" s="10">
        <v>45663</v>
      </c>
      <c r="V235" s="9" t="str">
        <f t="shared" si="24"/>
        <v>Sent</v>
      </c>
      <c r="W235" s="10">
        <v>45670</v>
      </c>
      <c r="X235" s="9" t="str">
        <f t="shared" si="25"/>
        <v>Approved</v>
      </c>
      <c r="Y235" s="10"/>
      <c r="Z235" s="10">
        <f>IF($H235="Cancelled","",IFERROR(IF(F235="","",F235-Variables!$B$13),""))</f>
        <v>45701</v>
      </c>
      <c r="AA235" s="11">
        <f>IF($H235="Cancelled","",IFERROR(IF(W235="","",(AVERAGE(E235:F235)-W235)-Variables!$B$14),""))</f>
        <v>2.5</v>
      </c>
      <c r="AB235" s="10">
        <v>45695</v>
      </c>
      <c r="AC235" s="11">
        <f>IF($H235="Cancelled","",IFERROR(IF(AB235="","",IF(AND(W235="",Y235=""),"",IF(Y235&gt;W235,Y235+Variables!$B$15+Variables!$B$16+Variables!$B$17-AB235,W235+Variables!$B$16+Variables!$B$17-AB235))),""))</f>
        <v>-17</v>
      </c>
      <c r="AD235" s="9" t="s">
        <v>165</v>
      </c>
      <c r="AE235" s="9" t="s">
        <v>684</v>
      </c>
      <c r="AF235" s="10">
        <v>45710</v>
      </c>
      <c r="AG235" s="10"/>
      <c r="AH235" s="9"/>
      <c r="AI235" s="9" t="s">
        <v>685</v>
      </c>
      <c r="AJ235" s="9" t="s">
        <v>8</v>
      </c>
      <c r="AK235" s="10">
        <v>45708</v>
      </c>
      <c r="AL235" s="10">
        <v>45714</v>
      </c>
      <c r="AM235" s="10">
        <v>45714</v>
      </c>
      <c r="AN235" s="9" t="s">
        <v>95</v>
      </c>
      <c r="AO235" s="9"/>
      <c r="AP235" s="11">
        <f>IF($H235="Cancelled","",IFERROR(IF(OR(AK235="",AB235=""),"",(AB235+Variables!$B$18-AK235)),""))</f>
        <v>-6</v>
      </c>
      <c r="AQ235" s="11">
        <f>IF($H235="Cancelled","",IFERROR(IF(OR(AM235="",AK235=""),"",(AK235+Variables!$B$19)-AM235),""))</f>
        <v>-1</v>
      </c>
      <c r="AR235" s="12">
        <f>IF($H235="Cancelled","",IFERROR(T235*INDEX(Variables!$B$7:$D$7,IFERROR(MATCH(IF($B235="Robusta","Robusta",(IF($B235="","Arabica",$B235))&amp;" - "&amp;(IF($C235="","Commercial",$C235))),Variables!$B$1:$D$1,0),1))*(AQ235/365),""))</f>
        <v>-48.918375182774838</v>
      </c>
      <c r="AS235" s="12">
        <f>IF($H235="Cancelled","",IFERROR((T235*INDEX(Variables!$B$7:$D$7,IFERROR(MATCH(IF($B235="Robusta","Robusta",(IF($B235="","Arabica",$B235))&amp;" - "&amp;(IF($C235="","Commercial",$C235))),Variables!$B$1:$D$1,0),1))*IFERROR(IF(W235="","",(AVERAGE(E235:F235)-W235)-Variables!$B$14),"")/365)+(L235/16.67*INDEX(Variables!$B$8:$D$8,IFERROR(MATCH(IF($B235="Robusta","Robusta",(IF($B235="","Arabica",$B235))&amp;" - "&amp;(IF($C235="","Commercial",$C235))),Variables!$B$1:$D$1,0),1))*IFERROR(IF(W235="","",(AVERAGE(E235:F235)-W235)-Variables!$B$14),""))+(T235*INDEX(Variables!$B$9:$D$9,IFERROR(MATCH(IF($B235="Robusta","Robusta",(IF($B235="","Arabica",$B235))&amp;" - "&amp;(IF($C235="","Commercial",$C235))),Variables!$B$1:$D$1,0),1))*IFERROR(IF(W235="","",(AVERAGE(E235:F235)-W235)-Variables!$B$14),"")/365),""))</f>
        <v>213.87256861196443</v>
      </c>
      <c r="AT235" s="12">
        <f>IF($H235="Cancelled","",IFERROR((T235*INDEX(Variables!$B$7:$D$7,IFERROR(MATCH(IF($B235="Robusta","Robusta",(IF($B235="","Arabica",$B235))&amp;" - "&amp;(IF($C235="","Commercial",$C235))),Variables!$B$1:$D$1,0),1))*AC235/365)+(L235/16.67*INDEX(Variables!$B$8:$D$8,IFERROR(MATCH(IF($B235="Robusta","Robusta",(IF($B235="","Arabica",$B235))&amp;" - "&amp;(IF($C235="","Commercial",$C235))),Variables!$B$1:$D$1,0),1))*AC235)+(T235*INDEX(Variables!$B$9:$D$9,IFERROR(MATCH(IF($B235="Robusta","Robusta",(IF($B235="","Arabica",$B235))&amp;" - "&amp;(IF($C235="","Commercial",$C235))),Variables!$B$1:$D$1,0),1))*AC235/365),""))</f>
        <v>-1454.3334665613581</v>
      </c>
      <c r="AU235" s="12">
        <f>IF($H235="Cancelled","",IFERROR((T235*INDEX(Variables!$B$7:$D$7,IFERROR(MATCH(IF($B235="Robusta","Robusta",(IF($B235="","Arabica",$B235))&amp;" - "&amp;(IF($C235="","Commercial",$C235))),Variables!$B$1:$D$1,0),1))*AP235/365)+(L235/16.67*INDEX(Variables!$B$8:$D$8,IFERROR(MATCH(IF($B235="Robusta","Robusta",(IF($B235="","Arabica",$B235))&amp;" - "&amp;(IF($C235="","Commercial",$C235))),Variables!$B$1:$D$1,0),1))*AP235)+(T235*INDEX(Variables!$B$9:$D$9,IFERROR(MATCH(IF($B235="Robusta","Robusta",(IF($B235="","Arabica",$B235))&amp;" - "&amp;(IF($C235="","Commercial",$C235))),Variables!$B$1:$D$1,0),1))*AP235/365),""))</f>
        <v>-513.29416466871464</v>
      </c>
      <c r="AV235" s="11">
        <f t="shared" si="23"/>
        <v>8</v>
      </c>
      <c r="AW235" s="12">
        <f>IF($H235="Cancelled","",IFERROR(IF(AV235="","",(T235*INDEX(Variables!$B$7:$D$7,IFERROR(MATCH(IF($B235="Robusta","Robusta",(IF($B235="","Arabica",$B235))&amp;" - "&amp;(IF($C235="","Commercial",$C235))),Variables!$B$1:$D$1,0),1))*(AV235/365))+(T235*INDEX(Variables!$B$9:$D$9,IFERROR(MATCH(IF($B235="Robusta","Robusta",(IF($B235="","Arabica",$B235))&amp;" - "&amp;(IF($C235="","Commercial",$C235))),Variables!$B$1:$D$1,0),1))*(AV235/365))+(INDEX(Variables!$B$8:$D$8,IFERROR(MATCH(IF($B235="Robusta","Robusta",(IF($B235="","Arabica",$B235))&amp;" - "&amp;(IF($C235="","Commercial",$C235))),Variables!$B$1:$D$1,0),1))*L235/16.67)),""))</f>
        <v>432.39221955828611</v>
      </c>
      <c r="AX235" s="9"/>
      <c r="AY235" s="12"/>
      <c r="AZ235" s="10"/>
      <c r="BA235" s="9"/>
      <c r="BB235" s="10"/>
      <c r="BC235" s="9"/>
      <c r="BD235" s="9"/>
      <c r="BE235" s="9"/>
      <c r="BF235" s="9"/>
    </row>
    <row r="236" spans="1:58" x14ac:dyDescent="0.25">
      <c r="A236" s="9" t="s">
        <v>84</v>
      </c>
      <c r="B236" s="9" t="s">
        <v>85</v>
      </c>
      <c r="C236" s="9" t="s">
        <v>86</v>
      </c>
      <c r="D236" s="10">
        <v>45531</v>
      </c>
      <c r="E236" s="10">
        <v>45717</v>
      </c>
      <c r="F236" s="10">
        <v>45747</v>
      </c>
      <c r="G236" s="9">
        <v>3786487</v>
      </c>
      <c r="H236" s="9" t="str">
        <f t="shared" si="21"/>
        <v>Closed</v>
      </c>
      <c r="I236" s="9" t="str">
        <f t="shared" si="22"/>
        <v>All dates received</v>
      </c>
      <c r="J236" s="9" t="s">
        <v>102</v>
      </c>
      <c r="K236" s="9">
        <v>5183</v>
      </c>
      <c r="L236" s="11">
        <v>360</v>
      </c>
      <c r="M236" s="9" t="s">
        <v>655</v>
      </c>
      <c r="N236" s="9" t="s">
        <v>126</v>
      </c>
      <c r="O236" s="9"/>
      <c r="P236" s="9"/>
      <c r="Q236" s="11"/>
      <c r="R236" s="9" t="s">
        <v>90</v>
      </c>
      <c r="S236" s="9" t="s">
        <v>656</v>
      </c>
      <c r="T236" s="12">
        <f>IF($H236="Cancelled","",IFERROR(((Q236+INDEX(Variables!$B$6:$D$6,IFERROR(MATCH(IF($B236="Robusta","Robusta",(IF($B236="","Arabica",$B236))&amp;" - "&amp;(IF($C236="","Commercial",$C236))),Variables!$B$1:$D$1,0),1)))*22.0462)*(L236/16.67),""))</f>
        <v>138450.66500299939</v>
      </c>
      <c r="U236" s="10">
        <v>45677</v>
      </c>
      <c r="V236" s="9" t="str">
        <f t="shared" si="24"/>
        <v>Sent</v>
      </c>
      <c r="W236" s="10">
        <v>45692</v>
      </c>
      <c r="X236" s="9" t="str">
        <f t="shared" si="25"/>
        <v>Approved</v>
      </c>
      <c r="Y236" s="10"/>
      <c r="Z236" s="10">
        <f>IF($H236="Cancelled","",IFERROR(IF(F236="","",F236-Variables!$B$13),""))</f>
        <v>45732</v>
      </c>
      <c r="AA236" s="11">
        <f>IF($H236="Cancelled","",IFERROR(IF(W236="","",(AVERAGE(E236:F236)-W236)-Variables!$B$14),""))</f>
        <v>10</v>
      </c>
      <c r="AB236" s="10">
        <v>45717</v>
      </c>
      <c r="AC236" s="11">
        <f>IF($H236="Cancelled","",IFERROR(IF(AB236="","",IF(AND(W236="",Y236=""),"",IF(Y236&gt;W236,Y236+Variables!$B$15+Variables!$B$16+Variables!$B$17-AB236,W236+Variables!$B$16+Variables!$B$17-AB236))),""))</f>
        <v>-17</v>
      </c>
      <c r="AD236" s="9" t="s">
        <v>163</v>
      </c>
      <c r="AE236" s="9" t="s">
        <v>164</v>
      </c>
      <c r="AF236" s="10">
        <v>45729</v>
      </c>
      <c r="AG236" s="10"/>
      <c r="AH236" s="9"/>
      <c r="AI236" s="9">
        <v>250667662</v>
      </c>
      <c r="AJ236" s="9" t="s">
        <v>8</v>
      </c>
      <c r="AK236" s="10">
        <v>45730</v>
      </c>
      <c r="AL236" s="10">
        <v>45734</v>
      </c>
      <c r="AM236" s="10">
        <v>45734</v>
      </c>
      <c r="AN236" s="9" t="s">
        <v>95</v>
      </c>
      <c r="AO236" s="9"/>
      <c r="AP236" s="11">
        <f>IF($H236="Cancelled","",IFERROR(IF(OR(AK236="",AB236=""),"",(AB236+Variables!$B$18-AK236)),""))</f>
        <v>-6</v>
      </c>
      <c r="AQ236" s="11">
        <f>IF($H236="Cancelled","",IFERROR(IF(OR(AM236="",AK236=""),"",(AK236+Variables!$B$19)-AM236),""))</f>
        <v>1</v>
      </c>
      <c r="AR236" s="12">
        <f>IF($H236="Cancelled","",IFERROR(T236*INDEX(Variables!$B$7:$D$7,IFERROR(MATCH(IF($B236="Robusta","Robusta",(IF($B236="","Arabica",$B236))&amp;" - "&amp;(IF($C236="","Commercial",$C236))),Variables!$B$1:$D$1,0),1))*(AQ236/365),""))</f>
        <v>24.459187591387419</v>
      </c>
      <c r="AS236" s="12">
        <f>IF($H236="Cancelled","",IFERROR((T236*INDEX(Variables!$B$7:$D$7,IFERROR(MATCH(IF($B236="Robusta","Robusta",(IF($B236="","Arabica",$B236))&amp;" - "&amp;(IF($C236="","Commercial",$C236))),Variables!$B$1:$D$1,0),1))*IFERROR(IF(W236="","",(AVERAGE(E236:F236)-W236)-Variables!$B$14),"")/365)+(L236/16.67*INDEX(Variables!$B$8:$D$8,IFERROR(MATCH(IF($B236="Robusta","Robusta",(IF($B236="","Arabica",$B236))&amp;" - "&amp;(IF($C236="","Commercial",$C236))),Variables!$B$1:$D$1,0),1))*IFERROR(IF(W236="","",(AVERAGE(E236:F236)-W236)-Variables!$B$14),""))+(T236*INDEX(Variables!$B$9:$D$9,IFERROR(MATCH(IF($B236="Robusta","Robusta",(IF($B236="","Arabica",$B236))&amp;" - "&amp;(IF($C236="","Commercial",$C236))),Variables!$B$1:$D$1,0),1))*IFERROR(IF(W236="","",(AVERAGE(E236:F236)-W236)-Variables!$B$14),"")/365),""))</f>
        <v>427.74513722392885</v>
      </c>
      <c r="AT236" s="12">
        <f>IF($H236="Cancelled","",IFERROR((T236*INDEX(Variables!$B$7:$D$7,IFERROR(MATCH(IF($B236="Robusta","Robusta",(IF($B236="","Arabica",$B236))&amp;" - "&amp;(IF($C236="","Commercial",$C236))),Variables!$B$1:$D$1,0),1))*AC236/365)+(L236/16.67*INDEX(Variables!$B$8:$D$8,IFERROR(MATCH(IF($B236="Robusta","Robusta",(IF($B236="","Arabica",$B236))&amp;" - "&amp;(IF($C236="","Commercial",$C236))),Variables!$B$1:$D$1,0),1))*AC236)+(T236*INDEX(Variables!$B$9:$D$9,IFERROR(MATCH(IF($B236="Robusta","Robusta",(IF($B236="","Arabica",$B236))&amp;" - "&amp;(IF($C236="","Commercial",$C236))),Variables!$B$1:$D$1,0),1))*AC236/365),""))</f>
        <v>-727.16673328067907</v>
      </c>
      <c r="AU236" s="12">
        <f>IF($H236="Cancelled","",IFERROR((T236*INDEX(Variables!$B$7:$D$7,IFERROR(MATCH(IF($B236="Robusta","Robusta",(IF($B236="","Arabica",$B236))&amp;" - "&amp;(IF($C236="","Commercial",$C236))),Variables!$B$1:$D$1,0),1))*AP236/365)+(L236/16.67*INDEX(Variables!$B$8:$D$8,IFERROR(MATCH(IF($B236="Robusta","Robusta",(IF($B236="","Arabica",$B236))&amp;" - "&amp;(IF($C236="","Commercial",$C236))),Variables!$B$1:$D$1,0),1))*AP236)+(T236*INDEX(Variables!$B$9:$D$9,IFERROR(MATCH(IF($B236="Robusta","Robusta",(IF($B236="","Arabica",$B236))&amp;" - "&amp;(IF($C236="","Commercial",$C236))),Variables!$B$1:$D$1,0),1))*AP236/365),""))</f>
        <v>-256.64708233435732</v>
      </c>
      <c r="AV236" s="11">
        <f t="shared" si="23"/>
        <v>17</v>
      </c>
      <c r="AW236" s="12">
        <f>IF($H236="Cancelled","",IFERROR(IF(AV236="","",(T236*INDEX(Variables!$B$7:$D$7,IFERROR(MATCH(IF($B236="Robusta","Robusta",(IF($B236="","Arabica",$B236))&amp;" - "&amp;(IF($C236="","Commercial",$C236))),Variables!$B$1:$D$1,0),1))*(AV236/365))+(T236*INDEX(Variables!$B$9:$D$9,IFERROR(MATCH(IF($B236="Robusta","Robusta",(IF($B236="","Arabica",$B236))&amp;" - "&amp;(IF($C236="","Commercial",$C236))),Variables!$B$1:$D$1,0),1))*(AV236/365))+(INDEX(Variables!$B$8:$D$8,IFERROR(MATCH(IF($B236="Robusta","Robusta",(IF($B236="","Arabica",$B236))&amp;" - "&amp;(IF($C236="","Commercial",$C236))),Variables!$B$1:$D$1,0),1))*L236/16.67)),""))</f>
        <v>439.16673328067895</v>
      </c>
      <c r="AX236" s="9"/>
      <c r="AY236" s="12"/>
      <c r="AZ236" s="10"/>
      <c r="BA236" s="9"/>
      <c r="BB236" s="10"/>
      <c r="BC236" s="9"/>
      <c r="BD236" s="9"/>
      <c r="BE236" s="9"/>
      <c r="BF236" s="9"/>
    </row>
    <row r="237" spans="1:58" x14ac:dyDescent="0.25">
      <c r="A237" s="9" t="s">
        <v>84</v>
      </c>
      <c r="B237" s="9" t="s">
        <v>85</v>
      </c>
      <c r="C237" s="9" t="s">
        <v>86</v>
      </c>
      <c r="D237" s="10">
        <v>45531</v>
      </c>
      <c r="E237" s="10">
        <v>45717</v>
      </c>
      <c r="F237" s="10">
        <v>45747</v>
      </c>
      <c r="G237" s="9">
        <v>3786491</v>
      </c>
      <c r="H237" s="9" t="str">
        <f t="shared" si="21"/>
        <v>Closed</v>
      </c>
      <c r="I237" s="9" t="str">
        <f t="shared" si="22"/>
        <v>All dates received</v>
      </c>
      <c r="J237" s="9" t="s">
        <v>102</v>
      </c>
      <c r="K237" s="9" t="s">
        <v>686</v>
      </c>
      <c r="L237" s="11">
        <v>360</v>
      </c>
      <c r="M237" s="9" t="s">
        <v>658</v>
      </c>
      <c r="N237" s="9" t="s">
        <v>161</v>
      </c>
      <c r="O237" s="9"/>
      <c r="P237" s="9"/>
      <c r="Q237" s="11"/>
      <c r="R237" s="9" t="s">
        <v>90</v>
      </c>
      <c r="S237" s="9" t="s">
        <v>656</v>
      </c>
      <c r="T237" s="12">
        <f>IF($H237="Cancelled","",IFERROR(((Q237+INDEX(Variables!$B$6:$D$6,IFERROR(MATCH(IF($B237="Robusta","Robusta",(IF($B237="","Arabica",$B237))&amp;" - "&amp;(IF($C237="","Commercial",$C237))),Variables!$B$1:$D$1,0),1)))*22.0462)*(L237/16.67),""))</f>
        <v>138450.66500299939</v>
      </c>
      <c r="U237" s="10">
        <v>45698</v>
      </c>
      <c r="V237" s="9" t="str">
        <f t="shared" si="24"/>
        <v>Sent</v>
      </c>
      <c r="W237" s="10">
        <v>45714</v>
      </c>
      <c r="X237" s="9" t="str">
        <f t="shared" si="25"/>
        <v>Approved</v>
      </c>
      <c r="Y237" s="10"/>
      <c r="Z237" s="10">
        <f>IF($H237="Cancelled","",IFERROR(IF(F237="","",F237-Variables!$B$13),""))</f>
        <v>45732</v>
      </c>
      <c r="AA237" s="11">
        <f>IF($H237="Cancelled","",IFERROR(IF(W237="","",(AVERAGE(E237:F237)-W237)-Variables!$B$14),""))</f>
        <v>-12</v>
      </c>
      <c r="AB237" s="10">
        <v>45721</v>
      </c>
      <c r="AC237" s="11">
        <f>IF($H237="Cancelled","",IFERROR(IF(AB237="","",IF(AND(W237="",Y237=""),"",IF(Y237&gt;W237,Y237+Variables!$B$15+Variables!$B$16+Variables!$B$17-AB237,W237+Variables!$B$16+Variables!$B$17-AB237))),""))</f>
        <v>1</v>
      </c>
      <c r="AD237" s="9" t="s">
        <v>165</v>
      </c>
      <c r="AE237" s="9" t="s">
        <v>662</v>
      </c>
      <c r="AF237" s="10">
        <v>45725</v>
      </c>
      <c r="AG237" s="10"/>
      <c r="AH237" s="9"/>
      <c r="AI237" s="9" t="s">
        <v>687</v>
      </c>
      <c r="AJ237" s="9" t="s">
        <v>8</v>
      </c>
      <c r="AK237" s="10">
        <v>45732</v>
      </c>
      <c r="AL237" s="10">
        <v>45734</v>
      </c>
      <c r="AM237" s="10">
        <v>45735</v>
      </c>
      <c r="AN237" s="9" t="s">
        <v>95</v>
      </c>
      <c r="AO237" s="9"/>
      <c r="AP237" s="11">
        <f>IF($H237="Cancelled","",IFERROR(IF(OR(AK237="",AB237=""),"",(AB237+Variables!$B$18-AK237)),""))</f>
        <v>-4</v>
      </c>
      <c r="AQ237" s="11">
        <f>IF($H237="Cancelled","",IFERROR(IF(OR(AM237="",AK237=""),"",(AK237+Variables!$B$19)-AM237),""))</f>
        <v>2</v>
      </c>
      <c r="AR237" s="12">
        <f>IF($H237="Cancelled","",IFERROR(T237*INDEX(Variables!$B$7:$D$7,IFERROR(MATCH(IF($B237="Robusta","Robusta",(IF($B237="","Arabica",$B237))&amp;" - "&amp;(IF($C237="","Commercial",$C237))),Variables!$B$1:$D$1,0),1))*(AQ237/365),""))</f>
        <v>48.918375182774838</v>
      </c>
      <c r="AS237" s="12">
        <f>IF($H237="Cancelled","",IFERROR((T237*INDEX(Variables!$B$7:$D$7,IFERROR(MATCH(IF($B237="Robusta","Robusta",(IF($B237="","Arabica",$B237))&amp;" - "&amp;(IF($C237="","Commercial",$C237))),Variables!$B$1:$D$1,0),1))*IFERROR(IF(W237="","",(AVERAGE(E237:F237)-W237)-Variables!$B$14),"")/365)+(L237/16.67*INDEX(Variables!$B$8:$D$8,IFERROR(MATCH(IF($B237="Robusta","Robusta",(IF($B237="","Arabica",$B237))&amp;" - "&amp;(IF($C237="","Commercial",$C237))),Variables!$B$1:$D$1,0),1))*IFERROR(IF(W237="","",(AVERAGE(E237:F237)-W237)-Variables!$B$14),""))+(T237*INDEX(Variables!$B$9:$D$9,IFERROR(MATCH(IF($B237="Robusta","Robusta",(IF($B237="","Arabica",$B237))&amp;" - "&amp;(IF($C237="","Commercial",$C237))),Variables!$B$1:$D$1,0),1))*IFERROR(IF(W237="","",(AVERAGE(E237:F237)-W237)-Variables!$B$14),"")/365),""))</f>
        <v>-513.29416466871464</v>
      </c>
      <c r="AT237" s="12">
        <f>IF($H237="Cancelled","",IFERROR((T237*INDEX(Variables!$B$7:$D$7,IFERROR(MATCH(IF($B237="Robusta","Robusta",(IF($B237="","Arabica",$B237))&amp;" - "&amp;(IF($C237="","Commercial",$C237))),Variables!$B$1:$D$1,0),1))*AC237/365)+(L237/16.67*INDEX(Variables!$B$8:$D$8,IFERROR(MATCH(IF($B237="Robusta","Robusta",(IF($B237="","Arabica",$B237))&amp;" - "&amp;(IF($C237="","Commercial",$C237))),Variables!$B$1:$D$1,0),1))*AC237)+(T237*INDEX(Variables!$B$9:$D$9,IFERROR(MATCH(IF($B237="Robusta","Robusta",(IF($B237="","Arabica",$B237))&amp;" - "&amp;(IF($C237="","Commercial",$C237))),Variables!$B$1:$D$1,0),1))*AC237/365),""))</f>
        <v>42.774513722392882</v>
      </c>
      <c r="AU237" s="12">
        <f>IF($H237="Cancelled","",IFERROR((T237*INDEX(Variables!$B$7:$D$7,IFERROR(MATCH(IF($B237="Robusta","Robusta",(IF($B237="","Arabica",$B237))&amp;" - "&amp;(IF($C237="","Commercial",$C237))),Variables!$B$1:$D$1,0),1))*AP237/365)+(L237/16.67*INDEX(Variables!$B$8:$D$8,IFERROR(MATCH(IF($B237="Robusta","Robusta",(IF($B237="","Arabica",$B237))&amp;" - "&amp;(IF($C237="","Commercial",$C237))),Variables!$B$1:$D$1,0),1))*AP237)+(T237*INDEX(Variables!$B$9:$D$9,IFERROR(MATCH(IF($B237="Robusta","Robusta",(IF($B237="","Arabica",$B237))&amp;" - "&amp;(IF($C237="","Commercial",$C237))),Variables!$B$1:$D$1,0),1))*AP237/365),""))</f>
        <v>-171.09805488957153</v>
      </c>
      <c r="AV237" s="11">
        <f t="shared" si="23"/>
        <v>15</v>
      </c>
      <c r="AW237" s="12">
        <f>IF($H237="Cancelled","",IFERROR(IF(AV237="","",(T237*INDEX(Variables!$B$7:$D$7,IFERROR(MATCH(IF($B237="Robusta","Robusta",(IF($B237="","Arabica",$B237))&amp;" - "&amp;(IF($C237="","Commercial",$C237))),Variables!$B$1:$D$1,0),1))*(AV237/365))+(T237*INDEX(Variables!$B$9:$D$9,IFERROR(MATCH(IF($B237="Robusta","Robusta",(IF($B237="","Arabica",$B237))&amp;" - "&amp;(IF($C237="","Commercial",$C237))),Variables!$B$1:$D$1,0),1))*(AV237/365))+(INDEX(Variables!$B$8:$D$8,IFERROR(MATCH(IF($B237="Robusta","Robusta",(IF($B237="","Arabica",$B237))&amp;" - "&amp;(IF($C237="","Commercial",$C237))),Variables!$B$1:$D$1,0),1))*L237/16.67)),""))</f>
        <v>389.61770583589322</v>
      </c>
      <c r="AX237" s="9"/>
      <c r="AY237" s="12"/>
      <c r="AZ237" s="10"/>
      <c r="BA237" s="9"/>
      <c r="BB237" s="10"/>
      <c r="BC237" s="9"/>
      <c r="BD237" s="9"/>
      <c r="BE237" s="9"/>
      <c r="BF237" s="9"/>
    </row>
    <row r="238" spans="1:58" x14ac:dyDescent="0.25">
      <c r="A238" s="9" t="s">
        <v>84</v>
      </c>
      <c r="B238" s="9" t="s">
        <v>85</v>
      </c>
      <c r="C238" s="9" t="s">
        <v>86</v>
      </c>
      <c r="D238" s="10">
        <v>45531</v>
      </c>
      <c r="E238" s="10">
        <v>45717</v>
      </c>
      <c r="F238" s="10">
        <v>45747</v>
      </c>
      <c r="G238" s="9">
        <v>3786491</v>
      </c>
      <c r="H238" s="9" t="str">
        <f t="shared" si="21"/>
        <v>Closed</v>
      </c>
      <c r="I238" s="9" t="str">
        <f t="shared" si="22"/>
        <v>All dates received</v>
      </c>
      <c r="J238" s="9" t="s">
        <v>102</v>
      </c>
      <c r="K238" s="9" t="s">
        <v>688</v>
      </c>
      <c r="L238" s="11">
        <v>360</v>
      </c>
      <c r="M238" s="9" t="s">
        <v>658</v>
      </c>
      <c r="N238" s="9" t="s">
        <v>161</v>
      </c>
      <c r="O238" s="9"/>
      <c r="P238" s="9"/>
      <c r="Q238" s="11"/>
      <c r="R238" s="9" t="s">
        <v>90</v>
      </c>
      <c r="S238" s="9" t="s">
        <v>172</v>
      </c>
      <c r="T238" s="12">
        <f>IF($H238="Cancelled","",IFERROR(((Q238+INDEX(Variables!$B$6:$D$6,IFERROR(MATCH(IF($B238="Robusta","Robusta",(IF($B238="","Arabica",$B238))&amp;" - "&amp;(IF($C238="","Commercial",$C238))),Variables!$B$1:$D$1,0),1)))*22.0462)*(L238/16.67),""))</f>
        <v>138450.66500299939</v>
      </c>
      <c r="U238" s="10">
        <v>45698</v>
      </c>
      <c r="V238" s="9" t="str">
        <f t="shared" si="24"/>
        <v>Sent</v>
      </c>
      <c r="W238" s="10">
        <v>45714</v>
      </c>
      <c r="X238" s="9" t="str">
        <f t="shared" si="25"/>
        <v>Approved</v>
      </c>
      <c r="Y238" s="10"/>
      <c r="Z238" s="10">
        <f>IF($H238="Cancelled","",IFERROR(IF(F238="","",F238-Variables!$B$13),""))</f>
        <v>45732</v>
      </c>
      <c r="AA238" s="11">
        <f>IF($H238="Cancelled","",IFERROR(IF(W238="","",(AVERAGE(E238:F238)-W238)-Variables!$B$14),""))</f>
        <v>-12</v>
      </c>
      <c r="AB238" s="10">
        <v>45721</v>
      </c>
      <c r="AC238" s="11">
        <f>IF($H238="Cancelled","",IFERROR(IF(AB238="","",IF(AND(W238="",Y238=""),"",IF(Y238&gt;W238,Y238+Variables!$B$15+Variables!$B$16+Variables!$B$17-AB238,W238+Variables!$B$16+Variables!$B$17-AB238))),""))</f>
        <v>1</v>
      </c>
      <c r="AD238" s="9" t="s">
        <v>163</v>
      </c>
      <c r="AE238" s="9" t="s">
        <v>598</v>
      </c>
      <c r="AF238" s="10">
        <v>45733</v>
      </c>
      <c r="AG238" s="10"/>
      <c r="AH238" s="9"/>
      <c r="AI238" s="9">
        <v>250193164</v>
      </c>
      <c r="AJ238" s="9" t="s">
        <v>8</v>
      </c>
      <c r="AK238" s="10">
        <v>45738</v>
      </c>
      <c r="AL238" s="10">
        <v>45744</v>
      </c>
      <c r="AM238" s="10">
        <v>45751</v>
      </c>
      <c r="AN238" s="9" t="s">
        <v>95</v>
      </c>
      <c r="AO238" s="9"/>
      <c r="AP238" s="11">
        <f>IF($H238="Cancelled","",IFERROR(IF(OR(AK238="",AB238=""),"",(AB238+Variables!$B$18-AK238)),""))</f>
        <v>-10</v>
      </c>
      <c r="AQ238" s="11">
        <f>IF($H238="Cancelled","",IFERROR(IF(OR(AM238="",AK238=""),"",(AK238+Variables!$B$19)-AM238),""))</f>
        <v>-8</v>
      </c>
      <c r="AR238" s="12">
        <f>IF($H238="Cancelled","",IFERROR(T238*INDEX(Variables!$B$7:$D$7,IFERROR(MATCH(IF($B238="Robusta","Robusta",(IF($B238="","Arabica",$B238))&amp;" - "&amp;(IF($C238="","Commercial",$C238))),Variables!$B$1:$D$1,0),1))*(AQ238/365),""))</f>
        <v>-195.67350073109935</v>
      </c>
      <c r="AS238" s="12">
        <f>IF($H238="Cancelled","",IFERROR((T238*INDEX(Variables!$B$7:$D$7,IFERROR(MATCH(IF($B238="Robusta","Robusta",(IF($B238="","Arabica",$B238))&amp;" - "&amp;(IF($C238="","Commercial",$C238))),Variables!$B$1:$D$1,0),1))*IFERROR(IF(W238="","",(AVERAGE(E238:F238)-W238)-Variables!$B$14),"")/365)+(L238/16.67*INDEX(Variables!$B$8:$D$8,IFERROR(MATCH(IF($B238="Robusta","Robusta",(IF($B238="","Arabica",$B238))&amp;" - "&amp;(IF($C238="","Commercial",$C238))),Variables!$B$1:$D$1,0),1))*IFERROR(IF(W238="","",(AVERAGE(E238:F238)-W238)-Variables!$B$14),""))+(T238*INDEX(Variables!$B$9:$D$9,IFERROR(MATCH(IF($B238="Robusta","Robusta",(IF($B238="","Arabica",$B238))&amp;" - "&amp;(IF($C238="","Commercial",$C238))),Variables!$B$1:$D$1,0),1))*IFERROR(IF(W238="","",(AVERAGE(E238:F238)-W238)-Variables!$B$14),"")/365),""))</f>
        <v>-513.29416466871464</v>
      </c>
      <c r="AT238" s="12">
        <f>IF($H238="Cancelled","",IFERROR((T238*INDEX(Variables!$B$7:$D$7,IFERROR(MATCH(IF($B238="Robusta","Robusta",(IF($B238="","Arabica",$B238))&amp;" - "&amp;(IF($C238="","Commercial",$C238))),Variables!$B$1:$D$1,0),1))*AC238/365)+(L238/16.67*INDEX(Variables!$B$8:$D$8,IFERROR(MATCH(IF($B238="Robusta","Robusta",(IF($B238="","Arabica",$B238))&amp;" - "&amp;(IF($C238="","Commercial",$C238))),Variables!$B$1:$D$1,0),1))*AC238)+(T238*INDEX(Variables!$B$9:$D$9,IFERROR(MATCH(IF($B238="Robusta","Robusta",(IF($B238="","Arabica",$B238))&amp;" - "&amp;(IF($C238="","Commercial",$C238))),Variables!$B$1:$D$1,0),1))*AC238/365),""))</f>
        <v>42.774513722392882</v>
      </c>
      <c r="AU238" s="12">
        <f>IF($H238="Cancelled","",IFERROR((T238*INDEX(Variables!$B$7:$D$7,IFERROR(MATCH(IF($B238="Robusta","Robusta",(IF($B238="","Arabica",$B238))&amp;" - "&amp;(IF($C238="","Commercial",$C238))),Variables!$B$1:$D$1,0),1))*AP238/365)+(L238/16.67*INDEX(Variables!$B$8:$D$8,IFERROR(MATCH(IF($B238="Robusta","Robusta",(IF($B238="","Arabica",$B238))&amp;" - "&amp;(IF($C238="","Commercial",$C238))),Variables!$B$1:$D$1,0),1))*AP238)+(T238*INDEX(Variables!$B$9:$D$9,IFERROR(MATCH(IF($B238="Robusta","Robusta",(IF($B238="","Arabica",$B238))&amp;" - "&amp;(IF($C238="","Commercial",$C238))),Variables!$B$1:$D$1,0),1))*AP238/365),""))</f>
        <v>-427.74513722392885</v>
      </c>
      <c r="AV238" s="11">
        <f t="shared" si="23"/>
        <v>9</v>
      </c>
      <c r="AW238" s="12">
        <f>IF($H238="Cancelled","",IFERROR(IF(AV238="","",(T238*INDEX(Variables!$B$7:$D$7,IFERROR(MATCH(IF($B238="Robusta","Robusta",(IF($B238="","Arabica",$B238))&amp;" - "&amp;(IF($C238="","Commercial",$C238))),Variables!$B$1:$D$1,0),1))*(AV238/365))+(T238*INDEX(Variables!$B$9:$D$9,IFERROR(MATCH(IF($B238="Robusta","Robusta",(IF($B238="","Arabica",$B238))&amp;" - "&amp;(IF($C238="","Commercial",$C238))),Variables!$B$1:$D$1,0),1))*(AV238/365))+(INDEX(Variables!$B$8:$D$8,IFERROR(MATCH(IF($B238="Robusta","Robusta",(IF($B238="","Arabica",$B238))&amp;" - "&amp;(IF($C238="","Commercial",$C238))),Variables!$B$1:$D$1,0),1))*L238/16.67)),""))</f>
        <v>240.9706235015359</v>
      </c>
      <c r="AX238" s="9"/>
      <c r="AY238" s="12"/>
      <c r="AZ238" s="10"/>
      <c r="BA238" s="9"/>
      <c r="BB238" s="10"/>
      <c r="BC238" s="9"/>
      <c r="BD238" s="9"/>
      <c r="BE238" s="9"/>
      <c r="BF238" s="9"/>
    </row>
    <row r="239" spans="1:58" x14ac:dyDescent="0.25">
      <c r="A239" s="9" t="s">
        <v>84</v>
      </c>
      <c r="B239" s="9" t="s">
        <v>85</v>
      </c>
      <c r="C239" s="9" t="s">
        <v>86</v>
      </c>
      <c r="D239" s="10">
        <v>45531</v>
      </c>
      <c r="E239" s="10">
        <v>45717</v>
      </c>
      <c r="F239" s="10">
        <v>45747</v>
      </c>
      <c r="G239" s="9">
        <v>3786491</v>
      </c>
      <c r="H239" s="9" t="str">
        <f t="shared" si="21"/>
        <v>Closed</v>
      </c>
      <c r="I239" s="9" t="str">
        <f t="shared" si="22"/>
        <v>All dates received</v>
      </c>
      <c r="J239" s="9" t="s">
        <v>102</v>
      </c>
      <c r="K239" s="9" t="s">
        <v>689</v>
      </c>
      <c r="L239" s="11">
        <v>720</v>
      </c>
      <c r="M239" s="9" t="s">
        <v>658</v>
      </c>
      <c r="N239" s="9" t="s">
        <v>161</v>
      </c>
      <c r="O239" s="9"/>
      <c r="P239" s="9"/>
      <c r="Q239" s="11"/>
      <c r="R239" s="9" t="s">
        <v>90</v>
      </c>
      <c r="S239" s="9" t="s">
        <v>178</v>
      </c>
      <c r="T239" s="12">
        <f>IF($H239="Cancelled","",IFERROR(((Q239+INDEX(Variables!$B$6:$D$6,IFERROR(MATCH(IF($B239="Robusta","Robusta",(IF($B239="","Arabica",$B239))&amp;" - "&amp;(IF($C239="","Commercial",$C239))),Variables!$B$1:$D$1,0),1)))*22.0462)*(L239/16.67),""))</f>
        <v>276901.33000599878</v>
      </c>
      <c r="U239" s="10">
        <v>45698</v>
      </c>
      <c r="V239" s="9" t="str">
        <f t="shared" si="24"/>
        <v>Sent</v>
      </c>
      <c r="W239" s="10">
        <v>45714</v>
      </c>
      <c r="X239" s="9" t="str">
        <f t="shared" si="25"/>
        <v>Approved</v>
      </c>
      <c r="Y239" s="10"/>
      <c r="Z239" s="10">
        <f>IF($H239="Cancelled","",IFERROR(IF(F239="","",F239-Variables!$B$13),""))</f>
        <v>45732</v>
      </c>
      <c r="AA239" s="11">
        <f>IF($H239="Cancelled","",IFERROR(IF(W239="","",(AVERAGE(E239:F239)-W239)-Variables!$B$14),""))</f>
        <v>-12</v>
      </c>
      <c r="AB239" s="10">
        <v>45723</v>
      </c>
      <c r="AC239" s="11">
        <f>IF($H239="Cancelled","",IFERROR(IF(AB239="","",IF(AND(W239="",Y239=""),"",IF(Y239&gt;W239,Y239+Variables!$B$15+Variables!$B$16+Variables!$B$17-AB239,W239+Variables!$B$16+Variables!$B$17-AB239))),""))</f>
        <v>-1</v>
      </c>
      <c r="AD239" s="9" t="s">
        <v>151</v>
      </c>
      <c r="AE239" s="9" t="s">
        <v>690</v>
      </c>
      <c r="AF239" s="10">
        <v>45740</v>
      </c>
      <c r="AG239" s="10"/>
      <c r="AH239" s="9"/>
      <c r="AI239" s="9" t="s">
        <v>691</v>
      </c>
      <c r="AJ239" s="9" t="s">
        <v>8</v>
      </c>
      <c r="AK239" s="10">
        <v>45739</v>
      </c>
      <c r="AL239" s="10">
        <v>45744</v>
      </c>
      <c r="AM239" s="10">
        <v>45751</v>
      </c>
      <c r="AN239" s="9" t="s">
        <v>95</v>
      </c>
      <c r="AO239" s="9"/>
      <c r="AP239" s="11">
        <f>IF($H239="Cancelled","",IFERROR(IF(OR(AK239="",AB239=""),"",(AB239+Variables!$B$18-AK239)),""))</f>
        <v>-9</v>
      </c>
      <c r="AQ239" s="11">
        <f>IF($H239="Cancelled","",IFERROR(IF(OR(AM239="",AK239=""),"",(AK239+Variables!$B$19)-AM239),""))</f>
        <v>-7</v>
      </c>
      <c r="AR239" s="12">
        <f>IF($H239="Cancelled","",IFERROR(T239*INDEX(Variables!$B$7:$D$7,IFERROR(MATCH(IF($B239="Robusta","Robusta",(IF($B239="","Arabica",$B239))&amp;" - "&amp;(IF($C239="","Commercial",$C239))),Variables!$B$1:$D$1,0),1))*(AQ239/365),""))</f>
        <v>-342.4286262794239</v>
      </c>
      <c r="AS239" s="12">
        <f>IF($H239="Cancelled","",IFERROR((T239*INDEX(Variables!$B$7:$D$7,IFERROR(MATCH(IF($B239="Robusta","Robusta",(IF($B239="","Arabica",$B239))&amp;" - "&amp;(IF($C239="","Commercial",$C239))),Variables!$B$1:$D$1,0),1))*IFERROR(IF(W239="","",(AVERAGE(E239:F239)-W239)-Variables!$B$14),"")/365)+(L239/16.67*INDEX(Variables!$B$8:$D$8,IFERROR(MATCH(IF($B239="Robusta","Robusta",(IF($B239="","Arabica",$B239))&amp;" - "&amp;(IF($C239="","Commercial",$C239))),Variables!$B$1:$D$1,0),1))*IFERROR(IF(W239="","",(AVERAGE(E239:F239)-W239)-Variables!$B$14),""))+(T239*INDEX(Variables!$B$9:$D$9,IFERROR(MATCH(IF($B239="Robusta","Robusta",(IF($B239="","Arabica",$B239))&amp;" - "&amp;(IF($C239="","Commercial",$C239))),Variables!$B$1:$D$1,0),1))*IFERROR(IF(W239="","",(AVERAGE(E239:F239)-W239)-Variables!$B$14),"")/365),""))</f>
        <v>-1026.5883293374293</v>
      </c>
      <c r="AT239" s="12">
        <f>IF($H239="Cancelled","",IFERROR((T239*INDEX(Variables!$B$7:$D$7,IFERROR(MATCH(IF($B239="Robusta","Robusta",(IF($B239="","Arabica",$B239))&amp;" - "&amp;(IF($C239="","Commercial",$C239))),Variables!$B$1:$D$1,0),1))*AC239/365)+(L239/16.67*INDEX(Variables!$B$8:$D$8,IFERROR(MATCH(IF($B239="Robusta","Robusta",(IF($B239="","Arabica",$B239))&amp;" - "&amp;(IF($C239="","Commercial",$C239))),Variables!$B$1:$D$1,0),1))*AC239)+(T239*INDEX(Variables!$B$9:$D$9,IFERROR(MATCH(IF($B239="Robusta","Robusta",(IF($B239="","Arabica",$B239))&amp;" - "&amp;(IF($C239="","Commercial",$C239))),Variables!$B$1:$D$1,0),1))*AC239/365),""))</f>
        <v>-85.549027444785764</v>
      </c>
      <c r="AU239" s="12">
        <f>IF($H239="Cancelled","",IFERROR((T239*INDEX(Variables!$B$7:$D$7,IFERROR(MATCH(IF($B239="Robusta","Robusta",(IF($B239="","Arabica",$B239))&amp;" - "&amp;(IF($C239="","Commercial",$C239))),Variables!$B$1:$D$1,0),1))*AP239/365)+(L239/16.67*INDEX(Variables!$B$8:$D$8,IFERROR(MATCH(IF($B239="Robusta","Robusta",(IF($B239="","Arabica",$B239))&amp;" - "&amp;(IF($C239="","Commercial",$C239))),Variables!$B$1:$D$1,0),1))*AP239)+(T239*INDEX(Variables!$B$9:$D$9,IFERROR(MATCH(IF($B239="Robusta","Robusta",(IF($B239="","Arabica",$B239))&amp;" - "&amp;(IF($C239="","Commercial",$C239))),Variables!$B$1:$D$1,0),1))*AP239/365),""))</f>
        <v>-769.94124700307191</v>
      </c>
      <c r="AV239" s="11">
        <f t="shared" si="23"/>
        <v>8</v>
      </c>
      <c r="AW239" s="12">
        <f>IF($H239="Cancelled","",IFERROR(IF(AV239="","",(T239*INDEX(Variables!$B$7:$D$7,IFERROR(MATCH(IF($B239="Robusta","Robusta",(IF($B239="","Arabica",$B239))&amp;" - "&amp;(IF($C239="","Commercial",$C239))),Variables!$B$1:$D$1,0),1))*(AV239/365))+(T239*INDEX(Variables!$B$9:$D$9,IFERROR(MATCH(IF($B239="Robusta","Robusta",(IF($B239="","Arabica",$B239))&amp;" - "&amp;(IF($C239="","Commercial",$C239))),Variables!$B$1:$D$1,0),1))*(AV239/365))+(INDEX(Variables!$B$8:$D$8,IFERROR(MATCH(IF($B239="Robusta","Robusta",(IF($B239="","Arabica",$B239))&amp;" - "&amp;(IF($C239="","Commercial",$C239))),Variables!$B$1:$D$1,0),1))*L239/16.67)),""))</f>
        <v>432.39221955828611</v>
      </c>
      <c r="AX239" s="9"/>
      <c r="AY239" s="12"/>
      <c r="AZ239" s="10"/>
      <c r="BA239" s="9"/>
      <c r="BB239" s="10"/>
      <c r="BC239" s="9"/>
      <c r="BD239" s="9"/>
      <c r="BE239" s="9"/>
      <c r="BF239" s="9"/>
    </row>
    <row r="240" spans="1:58" x14ac:dyDescent="0.25">
      <c r="A240" s="9" t="s">
        <v>84</v>
      </c>
      <c r="B240" s="9" t="s">
        <v>85</v>
      </c>
      <c r="C240" s="9" t="s">
        <v>86</v>
      </c>
      <c r="D240" s="10">
        <v>45534</v>
      </c>
      <c r="E240" s="10">
        <v>45536</v>
      </c>
      <c r="F240" s="10">
        <v>45565</v>
      </c>
      <c r="G240" s="9">
        <v>3786501</v>
      </c>
      <c r="H240" s="9" t="str">
        <f t="shared" si="21"/>
        <v>Closed</v>
      </c>
      <c r="I240" s="9" t="str">
        <f t="shared" si="22"/>
        <v>All dates received</v>
      </c>
      <c r="J240" s="9" t="s">
        <v>102</v>
      </c>
      <c r="K240" s="9">
        <v>5088</v>
      </c>
      <c r="L240" s="11">
        <v>300</v>
      </c>
      <c r="M240" s="9" t="s">
        <v>692</v>
      </c>
      <c r="N240" s="9" t="s">
        <v>400</v>
      </c>
      <c r="O240" s="9"/>
      <c r="P240" s="9"/>
      <c r="Q240" s="11"/>
      <c r="R240" s="9" t="s">
        <v>195</v>
      </c>
      <c r="S240" s="9" t="s">
        <v>401</v>
      </c>
      <c r="T240" s="12">
        <f>IF($H240="Cancelled","",IFERROR(((Q240+INDEX(Variables!$B$6:$D$6,IFERROR(MATCH(IF($B240="Robusta","Robusta",(IF($B240="","Arabica",$B240))&amp;" - "&amp;(IF($C240="","Commercial",$C240))),Variables!$B$1:$D$1,0),1)))*22.0462)*(L240/16.67),""))</f>
        <v>115375.55416916615</v>
      </c>
      <c r="U240" s="10"/>
      <c r="V240" s="9" t="s">
        <v>195</v>
      </c>
      <c r="W240" s="10">
        <v>45519</v>
      </c>
      <c r="X240" s="9" t="str">
        <f t="shared" si="25"/>
        <v>Approved</v>
      </c>
      <c r="Y240" s="10">
        <v>45689</v>
      </c>
      <c r="Z240" s="10">
        <f>IF($H240="Cancelled","",IFERROR(IF(F240="","",F240-Variables!$B$13),""))</f>
        <v>45550</v>
      </c>
      <c r="AA240" s="11">
        <f>IF($H240="Cancelled","",IFERROR(IF(W240="","",(AVERAGE(E240:F240)-W240)-Variables!$B$14),""))</f>
        <v>1.5</v>
      </c>
      <c r="AB240" s="10">
        <v>45696</v>
      </c>
      <c r="AC240" s="11">
        <f>IF($H240="Cancelled","",IFERROR(IF(AB240="","",IF(AND(W240="",Y240=""),"",IF(Y240&gt;W240,Y240+Variables!$B$15+Variables!$B$16+Variables!$B$17-AB240,W240+Variables!$B$16+Variables!$B$17-AB240))),""))</f>
        <v>8</v>
      </c>
      <c r="AD240" s="9" t="s">
        <v>107</v>
      </c>
      <c r="AE240" s="9" t="s">
        <v>693</v>
      </c>
      <c r="AF240" s="10"/>
      <c r="AG240" s="10"/>
      <c r="AH240" s="9"/>
      <c r="AI240" s="9" t="s">
        <v>694</v>
      </c>
      <c r="AJ240" s="9" t="s">
        <v>695</v>
      </c>
      <c r="AK240" s="10">
        <v>45574</v>
      </c>
      <c r="AL240" s="10">
        <v>45579</v>
      </c>
      <c r="AM240" s="10">
        <v>45582</v>
      </c>
      <c r="AN240" s="9" t="s">
        <v>95</v>
      </c>
      <c r="AO240" s="9"/>
      <c r="AP240" s="11">
        <f>IF($H240="Cancelled","",IFERROR(IF(OR(AK240="",AB240=""),"",(AB240+Variables!$B$18-AK240)),""))</f>
        <v>129</v>
      </c>
      <c r="AQ240" s="11">
        <f>IF($H240="Cancelled","",IFERROR(IF(OR(AM240="",AK240=""),"",(AK240+Variables!$B$19)-AM240),""))</f>
        <v>-3</v>
      </c>
      <c r="AR240" s="12">
        <f>IF($H240="Cancelled","",IFERROR(T240*INDEX(Variables!$B$7:$D$7,IFERROR(MATCH(IF($B240="Robusta","Robusta",(IF($B240="","Arabica",$B240))&amp;" - "&amp;(IF($C240="","Commercial",$C240))),Variables!$B$1:$D$1,0),1))*(AQ240/365),""))</f>
        <v>-61.147968978468541</v>
      </c>
      <c r="AS240" s="12">
        <f>IF($H240="Cancelled","",IFERROR((T240*INDEX(Variables!$B$7:$D$7,IFERROR(MATCH(IF($B240="Robusta","Robusta",(IF($B240="","Arabica",$B240))&amp;" - "&amp;(IF($C240="","Commercial",$C240))),Variables!$B$1:$D$1,0),1))*IFERROR(IF(W240="","",(AVERAGE(E240:F240)-W240)-Variables!$B$14),"")/365)+(L240/16.67*INDEX(Variables!$B$8:$D$8,IFERROR(MATCH(IF($B240="Robusta","Robusta",(IF($B240="","Arabica",$B240))&amp;" - "&amp;(IF($C240="","Commercial",$C240))),Variables!$B$1:$D$1,0),1))*IFERROR(IF(W240="","",(AVERAGE(E240:F240)-W240)-Variables!$B$14),""))+(T240*INDEX(Variables!$B$9:$D$9,IFERROR(MATCH(IF($B240="Robusta","Robusta",(IF($B240="","Arabica",$B240))&amp;" - "&amp;(IF($C240="","Commercial",$C240))),Variables!$B$1:$D$1,0),1))*IFERROR(IF(W240="","",(AVERAGE(E240:F240)-W240)-Variables!$B$14),"")/365),""))</f>
        <v>53.468142152991106</v>
      </c>
      <c r="AT240" s="12">
        <f>IF($H240="Cancelled","",IFERROR((T240*INDEX(Variables!$B$7:$D$7,IFERROR(MATCH(IF($B240="Robusta","Robusta",(IF($B240="","Arabica",$B240))&amp;" - "&amp;(IF($C240="","Commercial",$C240))),Variables!$B$1:$D$1,0),1))*AC240/365)+(L240/16.67*INDEX(Variables!$B$8:$D$8,IFERROR(MATCH(IF($B240="Robusta","Robusta",(IF($B240="","Arabica",$B240))&amp;" - "&amp;(IF($C240="","Commercial",$C240))),Variables!$B$1:$D$1,0),1))*AC240)+(T240*INDEX(Variables!$B$9:$D$9,IFERROR(MATCH(IF($B240="Robusta","Robusta",(IF($B240="","Arabica",$B240))&amp;" - "&amp;(IF($C240="","Commercial",$C240))),Variables!$B$1:$D$1,0),1))*AC240/365),""))</f>
        <v>285.16342481595251</v>
      </c>
      <c r="AU240" s="12">
        <f>IF($H240="Cancelled","",IFERROR((T240*INDEX(Variables!$B$7:$D$7,IFERROR(MATCH(IF($B240="Robusta","Robusta",(IF($B240="","Arabica",$B240))&amp;" - "&amp;(IF($C240="","Commercial",$C240))),Variables!$B$1:$D$1,0),1))*AP240/365)+(L240/16.67*INDEX(Variables!$B$8:$D$8,IFERROR(MATCH(IF($B240="Robusta","Robusta",(IF($B240="","Arabica",$B240))&amp;" - "&amp;(IF($C240="","Commercial",$C240))),Variables!$B$1:$D$1,0),1))*AP240)+(T240*INDEX(Variables!$B$9:$D$9,IFERROR(MATCH(IF($B240="Robusta","Robusta",(IF($B240="","Arabica",$B240))&amp;" - "&amp;(IF($C240="","Commercial",$C240))),Variables!$B$1:$D$1,0),1))*AP240/365),""))</f>
        <v>4598.2602251572343</v>
      </c>
      <c r="AV240" s="11">
        <f t="shared" si="23"/>
        <v>-9</v>
      </c>
      <c r="AW240" s="12">
        <f>IF($H240="Cancelled","",IFERROR(IF(AV240="","",(T240*INDEX(Variables!$B$7:$D$7,IFERROR(MATCH(IF($B240="Robusta","Robusta",(IF($B240="","Arabica",$B240))&amp;" - "&amp;(IF($C240="","Commercial",$C240))),Variables!$B$1:$D$1,0),1))*(AV240/365))+(T240*INDEX(Variables!$B$9:$D$9,IFERROR(MATCH(IF($B240="Robusta","Robusta",(IF($B240="","Arabica",$B240))&amp;" - "&amp;(IF($C240="","Commercial",$C240))),Variables!$B$1:$D$1,0),1))*(AV240/365))+(INDEX(Variables!$B$8:$D$8,IFERROR(MATCH(IF($B240="Robusta","Robusta",(IF($B240="","Arabica",$B240))&amp;" - "&amp;(IF($C240="","Commercial",$C240))),Variables!$B$1:$D$1,0),1))*L240/16.67)),""))</f>
        <v>-170.80885291794661</v>
      </c>
      <c r="AX240" s="9"/>
      <c r="AY240" s="12"/>
      <c r="AZ240" s="10"/>
      <c r="BA240" s="9"/>
      <c r="BB240" s="10"/>
      <c r="BC240" s="9"/>
      <c r="BD240" s="9"/>
      <c r="BE240" s="9"/>
      <c r="BF240" s="9"/>
    </row>
    <row r="241" spans="1:58" x14ac:dyDescent="0.25">
      <c r="A241" s="9" t="s">
        <v>84</v>
      </c>
      <c r="B241" s="9" t="s">
        <v>85</v>
      </c>
      <c r="C241" s="9" t="s">
        <v>86</v>
      </c>
      <c r="D241" s="10">
        <v>45540</v>
      </c>
      <c r="E241" s="10">
        <v>45658</v>
      </c>
      <c r="F241" s="10">
        <v>45688</v>
      </c>
      <c r="G241" s="9">
        <v>3786505</v>
      </c>
      <c r="H241" s="9" t="str">
        <f t="shared" si="21"/>
        <v>Closed</v>
      </c>
      <c r="I241" s="9" t="str">
        <f t="shared" si="22"/>
        <v>All dates received</v>
      </c>
      <c r="J241" s="9" t="s">
        <v>120</v>
      </c>
      <c r="K241" s="9">
        <v>5149</v>
      </c>
      <c r="L241" s="11">
        <v>840</v>
      </c>
      <c r="M241" s="9" t="s">
        <v>696</v>
      </c>
      <c r="N241" s="9" t="s">
        <v>122</v>
      </c>
      <c r="O241" s="9"/>
      <c r="P241" s="9"/>
      <c r="Q241" s="11">
        <v>7.5</v>
      </c>
      <c r="R241" s="9" t="s">
        <v>90</v>
      </c>
      <c r="S241" s="9" t="s">
        <v>123</v>
      </c>
      <c r="T241" s="12">
        <f>IF($H241="Cancelled","",IFERROR(((Q241+INDEX(Variables!$B$6:$D$6,IFERROR(MATCH(IF($B241="Robusta","Robusta",(IF($B241="","Arabica",$B241))&amp;" - "&amp;(IF($C241="","Commercial",$C241))),Variables!$B$1:$D$1,0),1)))*22.0462)*(L241/16.67),""))</f>
        <v>331383.34891421709</v>
      </c>
      <c r="U241" s="10">
        <v>45684</v>
      </c>
      <c r="V241" s="9" t="str">
        <f t="shared" ref="V241:V249" si="26">IF(ISNUMBER(U241),"Sent","")</f>
        <v>Sent</v>
      </c>
      <c r="W241" s="10">
        <v>45705</v>
      </c>
      <c r="X241" s="9" t="str">
        <f t="shared" si="25"/>
        <v>Approved</v>
      </c>
      <c r="Y241" s="10"/>
      <c r="Z241" s="10">
        <f>IF($H241="Cancelled","",IFERROR(IF(F241="","",F241-Variables!$B$13),""))</f>
        <v>45673</v>
      </c>
      <c r="AA241" s="11">
        <f>IF($H241="Cancelled","",IFERROR(IF(W241="","",(AVERAGE(E241:F241)-W241)-Variables!$B$14),""))</f>
        <v>-62</v>
      </c>
      <c r="AB241" s="10">
        <v>45709</v>
      </c>
      <c r="AC241" s="11">
        <f>IF($H241="Cancelled","",IFERROR(IF(AB241="","",IF(AND(W241="",Y241=""),"",IF(Y241&gt;W241,Y241+Variables!$B$15+Variables!$B$16+Variables!$B$17-AB241,W241+Variables!$B$16+Variables!$B$17-AB241))),""))</f>
        <v>4</v>
      </c>
      <c r="AD241" s="9" t="s">
        <v>130</v>
      </c>
      <c r="AE241" s="9" t="s">
        <v>488</v>
      </c>
      <c r="AF241" s="10">
        <v>45717</v>
      </c>
      <c r="AG241" s="10"/>
      <c r="AH241" s="9"/>
      <c r="AI241" s="9" t="s">
        <v>697</v>
      </c>
      <c r="AJ241" s="9" t="s">
        <v>698</v>
      </c>
      <c r="AK241" s="10">
        <v>45721</v>
      </c>
      <c r="AL241" s="10">
        <v>45723</v>
      </c>
      <c r="AM241" s="10">
        <v>45727</v>
      </c>
      <c r="AN241" s="9" t="s">
        <v>95</v>
      </c>
      <c r="AO241" s="9"/>
      <c r="AP241" s="11">
        <f>IF($H241="Cancelled","",IFERROR(IF(OR(AK241="",AB241=""),"",(AB241+Variables!$B$18-AK241)),""))</f>
        <v>-5</v>
      </c>
      <c r="AQ241" s="11">
        <f>IF($H241="Cancelled","",IFERROR(IF(OR(AM241="",AK241=""),"",(AK241+Variables!$B$19)-AM241),""))</f>
        <v>-1</v>
      </c>
      <c r="AR241" s="12">
        <f>IF($H241="Cancelled","",IFERROR(T241*INDEX(Variables!$B$7:$D$7,IFERROR(MATCH(IF($B241="Robusta","Robusta",(IF($B241="","Arabica",$B241))&amp;" - "&amp;(IF($C241="","Commercial",$C241))),Variables!$B$1:$D$1,0),1))*(AQ241/365),""))</f>
        <v>-58.543362688647484</v>
      </c>
      <c r="AS241" s="12">
        <f>IF($H241="Cancelled","",IFERROR((T241*INDEX(Variables!$B$7:$D$7,IFERROR(MATCH(IF($B241="Robusta","Robusta",(IF($B241="","Arabica",$B241))&amp;" - "&amp;(IF($C241="","Commercial",$C241))),Variables!$B$1:$D$1,0),1))*IFERROR(IF(W241="","",(AVERAGE(E241:F241)-W241)-Variables!$B$14),"")/365)+(L241/16.67*INDEX(Variables!$B$8:$D$8,IFERROR(MATCH(IF($B241="Robusta","Robusta",(IF($B241="","Arabica",$B241))&amp;" - "&amp;(IF($C241="","Commercial",$C241))),Variables!$B$1:$D$1,0),1))*IFERROR(IF(W241="","",(AVERAGE(E241:F241)-W241)-Variables!$B$14),""))+(T241*INDEX(Variables!$B$9:$D$9,IFERROR(MATCH(IF($B241="Robusta","Robusta",(IF($B241="","Arabica",$B241))&amp;" - "&amp;(IF($C241="","Commercial",$C241))),Variables!$B$1:$D$1,0),1))*IFERROR(IF(W241="","",(AVERAGE(E241:F241)-W241)-Variables!$B$14),"")/365),""))</f>
        <v>-6280.4821761017547</v>
      </c>
      <c r="AT241" s="12">
        <f>IF($H241="Cancelled","",IFERROR((T241*INDEX(Variables!$B$7:$D$7,IFERROR(MATCH(IF($B241="Robusta","Robusta",(IF($B241="","Arabica",$B241))&amp;" - "&amp;(IF($C241="","Commercial",$C241))),Variables!$B$1:$D$1,0),1))*AC241/365)+(L241/16.67*INDEX(Variables!$B$8:$D$8,IFERROR(MATCH(IF($B241="Robusta","Robusta",(IF($B241="","Arabica",$B241))&amp;" - "&amp;(IF($C241="","Commercial",$C241))),Variables!$B$1:$D$1,0),1))*AC241)+(T241*INDEX(Variables!$B$9:$D$9,IFERROR(MATCH(IF($B241="Robusta","Robusta",(IF($B241="","Arabica",$B241))&amp;" - "&amp;(IF($C241="","Commercial",$C241))),Variables!$B$1:$D$1,0),1))*AC241/365),""))</f>
        <v>405.19239845817771</v>
      </c>
      <c r="AU241" s="12">
        <f>IF($H241="Cancelled","",IFERROR((T241*INDEX(Variables!$B$7:$D$7,IFERROR(MATCH(IF($B241="Robusta","Robusta",(IF($B241="","Arabica",$B241))&amp;" - "&amp;(IF($C241="","Commercial",$C241))),Variables!$B$1:$D$1,0),1))*AP241/365)+(L241/16.67*INDEX(Variables!$B$8:$D$8,IFERROR(MATCH(IF($B241="Robusta","Robusta",(IF($B241="","Arabica",$B241))&amp;" - "&amp;(IF($C241="","Commercial",$C241))),Variables!$B$1:$D$1,0),1))*AP241)+(T241*INDEX(Variables!$B$9:$D$9,IFERROR(MATCH(IF($B241="Robusta","Robusta",(IF($B241="","Arabica",$B241))&amp;" - "&amp;(IF($C241="","Commercial",$C241))),Variables!$B$1:$D$1,0),1))*AP241/365),""))</f>
        <v>-506.49049807272218</v>
      </c>
      <c r="AV241" s="11">
        <f t="shared" si="23"/>
        <v>-33</v>
      </c>
      <c r="AW241" s="12">
        <f>IF($H241="Cancelled","",IFERROR(IF(AV241="","",(T241*INDEX(Variables!$B$7:$D$7,IFERROR(MATCH(IF($B241="Robusta","Robusta",(IF($B241="","Arabica",$B241))&amp;" - "&amp;(IF($C241="","Commercial",$C241))),Variables!$B$1:$D$1,0),1))*(AV241/365))+(T241*INDEX(Variables!$B$9:$D$9,IFERROR(MATCH(IF($B241="Robusta","Robusta",(IF($B241="","Arabica",$B241))&amp;" - "&amp;(IF($C241="","Commercial",$C241))),Variables!$B$1:$D$1,0),1))*(AV241/365))+(INDEX(Variables!$B$8:$D$8,IFERROR(MATCH(IF($B241="Robusta","Robusta",(IF($B241="","Arabica",$B241))&amp;" - "&amp;(IF($C241="","Commercial",$C241))),Variables!$B$1:$D$1,0),1))*L241/16.67)),""))</f>
        <v>-1914.8372872799666</v>
      </c>
      <c r="AX241" s="9"/>
      <c r="AY241" s="12"/>
      <c r="AZ241" s="10"/>
      <c r="BA241" s="9"/>
      <c r="BB241" s="10"/>
      <c r="BC241" s="9"/>
      <c r="BD241" s="9"/>
      <c r="BE241" s="9"/>
      <c r="BF241" s="9"/>
    </row>
    <row r="242" spans="1:58" x14ac:dyDescent="0.25">
      <c r="A242" s="9" t="s">
        <v>84</v>
      </c>
      <c r="B242" s="9" t="s">
        <v>85</v>
      </c>
      <c r="C242" s="9" t="s">
        <v>86</v>
      </c>
      <c r="D242" s="10">
        <v>45540</v>
      </c>
      <c r="E242" s="10">
        <v>45689</v>
      </c>
      <c r="F242" s="10">
        <v>45716</v>
      </c>
      <c r="G242" s="9">
        <v>3786506</v>
      </c>
      <c r="H242" s="9" t="str">
        <f t="shared" si="21"/>
        <v>Closed</v>
      </c>
      <c r="I242" s="9" t="str">
        <f t="shared" si="22"/>
        <v>All dates received</v>
      </c>
      <c r="J242" s="9" t="s">
        <v>120</v>
      </c>
      <c r="K242" s="9">
        <v>5164</v>
      </c>
      <c r="L242" s="11">
        <v>840</v>
      </c>
      <c r="M242" s="9" t="s">
        <v>696</v>
      </c>
      <c r="N242" s="9" t="s">
        <v>122</v>
      </c>
      <c r="O242" s="9"/>
      <c r="P242" s="9"/>
      <c r="Q242" s="11">
        <v>7.5</v>
      </c>
      <c r="R242" s="9" t="s">
        <v>90</v>
      </c>
      <c r="S242" s="9" t="s">
        <v>123</v>
      </c>
      <c r="T242" s="12">
        <f>IF($H242="Cancelled","",IFERROR(((Q242+INDEX(Variables!$B$6:$D$6,IFERROR(MATCH(IF($B242="Robusta","Robusta",(IF($B242="","Arabica",$B242))&amp;" - "&amp;(IF($C242="","Commercial",$C242))),Variables!$B$1:$D$1,0),1)))*22.0462)*(L242/16.67),""))</f>
        <v>331383.34891421709</v>
      </c>
      <c r="U242" s="10">
        <v>45702</v>
      </c>
      <c r="V242" s="9" t="str">
        <f t="shared" si="26"/>
        <v>Sent</v>
      </c>
      <c r="W242" s="10">
        <v>45737</v>
      </c>
      <c r="X242" s="9" t="str">
        <f t="shared" si="25"/>
        <v>Approved</v>
      </c>
      <c r="Y242" s="10"/>
      <c r="Z242" s="10">
        <f>IF($H242="Cancelled","",IFERROR(IF(F242="","",F242-Variables!$B$13),""))</f>
        <v>45701</v>
      </c>
      <c r="AA242" s="11">
        <f>IF($H242="Cancelled","",IFERROR(IF(W242="","",(AVERAGE(E242:F242)-W242)-Variables!$B$14),""))</f>
        <v>-64.5</v>
      </c>
      <c r="AB242" s="10">
        <v>45712</v>
      </c>
      <c r="AC242" s="11">
        <f>IF($H242="Cancelled","",IFERROR(IF(AB242="","",IF(AND(W242="",Y242=""),"",IF(Y242&gt;W242,Y242+Variables!$B$15+Variables!$B$16+Variables!$B$17-AB242,W242+Variables!$B$16+Variables!$B$17-AB242))),""))</f>
        <v>33</v>
      </c>
      <c r="AD242" s="9" t="s">
        <v>92</v>
      </c>
      <c r="AE242" s="9" t="s">
        <v>699</v>
      </c>
      <c r="AF242" s="10"/>
      <c r="AG242" s="10"/>
      <c r="AH242" s="9"/>
      <c r="AI242" s="9" t="s">
        <v>700</v>
      </c>
      <c r="AJ242" s="9" t="s">
        <v>701</v>
      </c>
      <c r="AK242" s="10">
        <v>45751</v>
      </c>
      <c r="AL242" s="10">
        <v>45751</v>
      </c>
      <c r="AM242" s="10">
        <v>45761</v>
      </c>
      <c r="AN242" s="9" t="s">
        <v>95</v>
      </c>
      <c r="AO242" s="9"/>
      <c r="AP242" s="11">
        <f>IF($H242="Cancelled","",IFERROR(IF(OR(AK242="",AB242=""),"",(AB242+Variables!$B$18-AK242)),""))</f>
        <v>-32</v>
      </c>
      <c r="AQ242" s="11">
        <f>IF($H242="Cancelled","",IFERROR(IF(OR(AM242="",AK242=""),"",(AK242+Variables!$B$19)-AM242),""))</f>
        <v>-5</v>
      </c>
      <c r="AR242" s="12">
        <f>IF($H242="Cancelled","",IFERROR(T242*INDEX(Variables!$B$7:$D$7,IFERROR(MATCH(IF($B242="Robusta","Robusta",(IF($B242="","Arabica",$B242))&amp;" - "&amp;(IF($C242="","Commercial",$C242))),Variables!$B$1:$D$1,0),1))*(AQ242/365),""))</f>
        <v>-292.71681344323741</v>
      </c>
      <c r="AS242" s="12">
        <f>IF($H242="Cancelled","",IFERROR((T242*INDEX(Variables!$B$7:$D$7,IFERROR(MATCH(IF($B242="Robusta","Robusta",(IF($B242="","Arabica",$B242))&amp;" - "&amp;(IF($C242="","Commercial",$C242))),Variables!$B$1:$D$1,0),1))*IFERROR(IF(W242="","",(AVERAGE(E242:F242)-W242)-Variables!$B$14),"")/365)+(L242/16.67*INDEX(Variables!$B$8:$D$8,IFERROR(MATCH(IF($B242="Robusta","Robusta",(IF($B242="","Arabica",$B242))&amp;" - "&amp;(IF($C242="","Commercial",$C242))),Variables!$B$1:$D$1,0),1))*IFERROR(IF(W242="","",(AVERAGE(E242:F242)-W242)-Variables!$B$14),""))+(T242*INDEX(Variables!$B$9:$D$9,IFERROR(MATCH(IF($B242="Robusta","Robusta",(IF($B242="","Arabica",$B242))&amp;" - "&amp;(IF($C242="","Commercial",$C242))),Variables!$B$1:$D$1,0),1))*IFERROR(IF(W242="","",(AVERAGE(E242:F242)-W242)-Variables!$B$14),"")/365),""))</f>
        <v>-6533.7274251381159</v>
      </c>
      <c r="AT242" s="12">
        <f>IF($H242="Cancelled","",IFERROR((T242*INDEX(Variables!$B$7:$D$7,IFERROR(MATCH(IF($B242="Robusta","Robusta",(IF($B242="","Arabica",$B242))&amp;" - "&amp;(IF($C242="","Commercial",$C242))),Variables!$B$1:$D$1,0),1))*AC242/365)+(L242/16.67*INDEX(Variables!$B$8:$D$8,IFERROR(MATCH(IF($B242="Robusta","Robusta",(IF($B242="","Arabica",$B242))&amp;" - "&amp;(IF($C242="","Commercial",$C242))),Variables!$B$1:$D$1,0),1))*AC242)+(T242*INDEX(Variables!$B$9:$D$9,IFERROR(MATCH(IF($B242="Robusta","Robusta",(IF($B242="","Arabica",$B242))&amp;" - "&amp;(IF($C242="","Commercial",$C242))),Variables!$B$1:$D$1,0),1))*AC242/365),""))</f>
        <v>3342.8372872799669</v>
      </c>
      <c r="AU242" s="12">
        <f>IF($H242="Cancelled","",IFERROR((T242*INDEX(Variables!$B$7:$D$7,IFERROR(MATCH(IF($B242="Robusta","Robusta",(IF($B242="","Arabica",$B242))&amp;" - "&amp;(IF($C242="","Commercial",$C242))),Variables!$B$1:$D$1,0),1))*AP242/365)+(L242/16.67*INDEX(Variables!$B$8:$D$8,IFERROR(MATCH(IF($B242="Robusta","Robusta",(IF($B242="","Arabica",$B242))&amp;" - "&amp;(IF($C242="","Commercial",$C242))),Variables!$B$1:$D$1,0),1))*AP242)+(T242*INDEX(Variables!$B$9:$D$9,IFERROR(MATCH(IF($B242="Robusta","Robusta",(IF($B242="","Arabica",$B242))&amp;" - "&amp;(IF($C242="","Commercial",$C242))),Variables!$B$1:$D$1,0),1))*AP242/365),""))</f>
        <v>-3241.5391876654217</v>
      </c>
      <c r="AV242" s="11">
        <f t="shared" si="23"/>
        <v>-35</v>
      </c>
      <c r="AW242" s="12">
        <f>IF($H242="Cancelled","",IFERROR(IF(AV242="","",(T242*INDEX(Variables!$B$7:$D$7,IFERROR(MATCH(IF($B242="Robusta","Robusta",(IF($B242="","Arabica",$B242))&amp;" - "&amp;(IF($C242="","Commercial",$C242))),Variables!$B$1:$D$1,0),1))*(AV242/365))+(T242*INDEX(Variables!$B$9:$D$9,IFERROR(MATCH(IF($B242="Robusta","Robusta",(IF($B242="","Arabica",$B242))&amp;" - "&amp;(IF($C242="","Commercial",$C242))),Variables!$B$1:$D$1,0),1))*(AV242/365))+(INDEX(Variables!$B$8:$D$8,IFERROR(MATCH(IF($B242="Robusta","Robusta",(IF($B242="","Arabica",$B242))&amp;" - "&amp;(IF($C242="","Commercial",$C242))),Variables!$B$1:$D$1,0),1))*L242/16.67)),""))</f>
        <v>-2033.4334865090555</v>
      </c>
      <c r="AX242" s="9"/>
      <c r="AY242" s="12"/>
      <c r="AZ242" s="10"/>
      <c r="BA242" s="9"/>
      <c r="BB242" s="10"/>
      <c r="BC242" s="9"/>
      <c r="BD242" s="9"/>
      <c r="BE242" s="9"/>
      <c r="BF242" s="9"/>
    </row>
    <row r="243" spans="1:58" x14ac:dyDescent="0.25">
      <c r="A243" s="9" t="s">
        <v>84</v>
      </c>
      <c r="B243" s="9" t="s">
        <v>85</v>
      </c>
      <c r="C243" s="9" t="s">
        <v>86</v>
      </c>
      <c r="D243" s="10">
        <v>45540</v>
      </c>
      <c r="E243" s="10">
        <v>45717</v>
      </c>
      <c r="F243" s="10">
        <v>45747</v>
      </c>
      <c r="G243" s="9">
        <v>3786507</v>
      </c>
      <c r="H243" s="9" t="str">
        <f t="shared" si="21"/>
        <v>Closed</v>
      </c>
      <c r="I243" s="9" t="str">
        <f t="shared" si="22"/>
        <v>All dates received</v>
      </c>
      <c r="J243" s="9" t="s">
        <v>120</v>
      </c>
      <c r="K243" s="9">
        <v>5207</v>
      </c>
      <c r="L243" s="11">
        <v>840</v>
      </c>
      <c r="M243" s="9" t="s">
        <v>696</v>
      </c>
      <c r="N243" s="9" t="s">
        <v>122</v>
      </c>
      <c r="O243" s="9"/>
      <c r="P243" s="9"/>
      <c r="Q243" s="11">
        <v>7.5</v>
      </c>
      <c r="R243" s="9" t="s">
        <v>90</v>
      </c>
      <c r="S243" s="9" t="s">
        <v>123</v>
      </c>
      <c r="T243" s="12">
        <f>IF($H243="Cancelled","",IFERROR(((Q243+INDEX(Variables!$B$6:$D$6,IFERROR(MATCH(IF($B243="Robusta","Robusta",(IF($B243="","Arabica",$B243))&amp;" - "&amp;(IF($C243="","Commercial",$C243))),Variables!$B$1:$D$1,0),1)))*22.0462)*(L243/16.67),""))</f>
        <v>331383.34891421709</v>
      </c>
      <c r="U243" s="10">
        <v>45716</v>
      </c>
      <c r="V243" s="9" t="str">
        <f t="shared" si="26"/>
        <v>Sent</v>
      </c>
      <c r="W243" s="10">
        <v>45737</v>
      </c>
      <c r="X243" s="9" t="str">
        <f t="shared" si="25"/>
        <v>Approved</v>
      </c>
      <c r="Y243" s="10"/>
      <c r="Z243" s="10">
        <f>IF($H243="Cancelled","",IFERROR(IF(F243="","",F243-Variables!$B$13),""))</f>
        <v>45732</v>
      </c>
      <c r="AA243" s="11">
        <f>IF($H243="Cancelled","",IFERROR(IF(W243="","",(AVERAGE(E243:F243)-W243)-Variables!$B$14),""))</f>
        <v>-35</v>
      </c>
      <c r="AB243" s="10">
        <v>45741</v>
      </c>
      <c r="AC243" s="11">
        <f>IF($H243="Cancelled","",IFERROR(IF(AB243="","",IF(AND(W243="",Y243=""),"",IF(Y243&gt;W243,Y243+Variables!$B$15+Variables!$B$16+Variables!$B$17-AB243,W243+Variables!$B$16+Variables!$B$17-AB243))),""))</f>
        <v>4</v>
      </c>
      <c r="AD243" s="9" t="s">
        <v>92</v>
      </c>
      <c r="AE243" s="9" t="s">
        <v>699</v>
      </c>
      <c r="AF243" s="10"/>
      <c r="AG243" s="10"/>
      <c r="AH243" s="9"/>
      <c r="AI243" s="9" t="s">
        <v>702</v>
      </c>
      <c r="AJ243" s="9" t="s">
        <v>701</v>
      </c>
      <c r="AK243" s="10">
        <v>45751</v>
      </c>
      <c r="AL243" s="10">
        <v>45751</v>
      </c>
      <c r="AM243" s="10">
        <v>45761</v>
      </c>
      <c r="AN243" s="9" t="s">
        <v>95</v>
      </c>
      <c r="AO243" s="9"/>
      <c r="AP243" s="11">
        <f>IF($H243="Cancelled","",IFERROR(IF(OR(AK243="",AB243=""),"",(AB243+Variables!$B$18-AK243)),""))</f>
        <v>-3</v>
      </c>
      <c r="AQ243" s="11">
        <f>IF($H243="Cancelled","",IFERROR(IF(OR(AM243="",AK243=""),"",(AK243+Variables!$B$19)-AM243),""))</f>
        <v>-5</v>
      </c>
      <c r="AR243" s="12">
        <f>IF($H243="Cancelled","",IFERROR(T243*INDEX(Variables!$B$7:$D$7,IFERROR(MATCH(IF($B243="Robusta","Robusta",(IF($B243="","Arabica",$B243))&amp;" - "&amp;(IF($C243="","Commercial",$C243))),Variables!$B$1:$D$1,0),1))*(AQ243/365),""))</f>
        <v>-292.71681344323741</v>
      </c>
      <c r="AS243" s="12">
        <f>IF($H243="Cancelled","",IFERROR((T243*INDEX(Variables!$B$7:$D$7,IFERROR(MATCH(IF($B243="Robusta","Robusta",(IF($B243="","Arabica",$B243))&amp;" - "&amp;(IF($C243="","Commercial",$C243))),Variables!$B$1:$D$1,0),1))*IFERROR(IF(W243="","",(AVERAGE(E243:F243)-W243)-Variables!$B$14),"")/365)+(L243/16.67*INDEX(Variables!$B$8:$D$8,IFERROR(MATCH(IF($B243="Robusta","Robusta",(IF($B243="","Arabica",$B243))&amp;" - "&amp;(IF($C243="","Commercial",$C243))),Variables!$B$1:$D$1,0),1))*IFERROR(IF(W243="","",(AVERAGE(E243:F243)-W243)-Variables!$B$14),""))+(T243*INDEX(Variables!$B$9:$D$9,IFERROR(MATCH(IF($B243="Robusta","Robusta",(IF($B243="","Arabica",$B243))&amp;" - "&amp;(IF($C243="","Commercial",$C243))),Variables!$B$1:$D$1,0),1))*IFERROR(IF(W243="","",(AVERAGE(E243:F243)-W243)-Variables!$B$14),"")/365),""))</f>
        <v>-3545.4334865090555</v>
      </c>
      <c r="AT243" s="12">
        <f>IF($H243="Cancelled","",IFERROR((T243*INDEX(Variables!$B$7:$D$7,IFERROR(MATCH(IF($B243="Robusta","Robusta",(IF($B243="","Arabica",$B243))&amp;" - "&amp;(IF($C243="","Commercial",$C243))),Variables!$B$1:$D$1,0),1))*AC243/365)+(L243/16.67*INDEX(Variables!$B$8:$D$8,IFERROR(MATCH(IF($B243="Robusta","Robusta",(IF($B243="","Arabica",$B243))&amp;" - "&amp;(IF($C243="","Commercial",$C243))),Variables!$B$1:$D$1,0),1))*AC243)+(T243*INDEX(Variables!$B$9:$D$9,IFERROR(MATCH(IF($B243="Robusta","Robusta",(IF($B243="","Arabica",$B243))&amp;" - "&amp;(IF($C243="","Commercial",$C243))),Variables!$B$1:$D$1,0),1))*AC243/365),""))</f>
        <v>405.19239845817771</v>
      </c>
      <c r="AU243" s="12">
        <f>IF($H243="Cancelled","",IFERROR((T243*INDEX(Variables!$B$7:$D$7,IFERROR(MATCH(IF($B243="Robusta","Robusta",(IF($B243="","Arabica",$B243))&amp;" - "&amp;(IF($C243="","Commercial",$C243))),Variables!$B$1:$D$1,0),1))*AP243/365)+(L243/16.67*INDEX(Variables!$B$8:$D$8,IFERROR(MATCH(IF($B243="Robusta","Robusta",(IF($B243="","Arabica",$B243))&amp;" - "&amp;(IF($C243="","Commercial",$C243))),Variables!$B$1:$D$1,0),1))*AP243)+(T243*INDEX(Variables!$B$9:$D$9,IFERROR(MATCH(IF($B243="Robusta","Robusta",(IF($B243="","Arabica",$B243))&amp;" - "&amp;(IF($C243="","Commercial",$C243))),Variables!$B$1:$D$1,0),1))*AP243/365),""))</f>
        <v>-303.89429884363335</v>
      </c>
      <c r="AV243" s="11">
        <f t="shared" si="23"/>
        <v>-4</v>
      </c>
      <c r="AW243" s="12">
        <f>IF($H243="Cancelled","",IFERROR(IF(AV243="","",(T243*INDEX(Variables!$B$7:$D$7,IFERROR(MATCH(IF($B243="Robusta","Robusta",(IF($B243="","Arabica",$B243))&amp;" - "&amp;(IF($C243="","Commercial",$C243))),Variables!$B$1:$D$1,0),1))*(AV243/365))+(T243*INDEX(Variables!$B$9:$D$9,IFERROR(MATCH(IF($B243="Robusta","Robusta",(IF($B243="","Arabica",$B243))&amp;" - "&amp;(IF($C243="","Commercial",$C243))),Variables!$B$1:$D$1,0),1))*(AV243/365))+(INDEX(Variables!$B$8:$D$8,IFERROR(MATCH(IF($B243="Robusta","Robusta",(IF($B243="","Arabica",$B243))&amp;" - "&amp;(IF($C243="","Commercial",$C243))),Variables!$B$1:$D$1,0),1))*L243/16.67)),""))</f>
        <v>-195.19239845817776</v>
      </c>
      <c r="AX243" s="9"/>
      <c r="AY243" s="12"/>
      <c r="AZ243" s="10"/>
      <c r="BA243" s="9"/>
      <c r="BB243" s="10"/>
      <c r="BC243" s="9"/>
      <c r="BD243" s="9"/>
      <c r="BE243" s="9"/>
      <c r="BF243" s="9"/>
    </row>
    <row r="244" spans="1:58" x14ac:dyDescent="0.25">
      <c r="A244" s="9" t="s">
        <v>84</v>
      </c>
      <c r="B244" s="9" t="s">
        <v>85</v>
      </c>
      <c r="C244" s="9" t="s">
        <v>86</v>
      </c>
      <c r="D244" s="10">
        <v>45540</v>
      </c>
      <c r="E244" s="10">
        <v>45748</v>
      </c>
      <c r="F244" s="10">
        <v>45777</v>
      </c>
      <c r="G244" s="9">
        <v>3786508</v>
      </c>
      <c r="H244" s="9" t="str">
        <f t="shared" si="21"/>
        <v>Closed</v>
      </c>
      <c r="I244" s="9" t="str">
        <f t="shared" si="22"/>
        <v>All dates received</v>
      </c>
      <c r="J244" s="9" t="s">
        <v>120</v>
      </c>
      <c r="K244" s="9">
        <v>5225</v>
      </c>
      <c r="L244" s="11">
        <v>840</v>
      </c>
      <c r="M244" s="9" t="s">
        <v>696</v>
      </c>
      <c r="N244" s="9" t="s">
        <v>122</v>
      </c>
      <c r="O244" s="9"/>
      <c r="P244" s="9"/>
      <c r="Q244" s="11">
        <v>7.5</v>
      </c>
      <c r="R244" s="9" t="s">
        <v>90</v>
      </c>
      <c r="S244" s="9" t="s">
        <v>123</v>
      </c>
      <c r="T244" s="12">
        <f>IF($H244="Cancelled","",IFERROR(((Q244+INDEX(Variables!$B$6:$D$6,IFERROR(MATCH(IF($B244="Robusta","Robusta",(IF($B244="","Arabica",$B244))&amp;" - "&amp;(IF($C244="","Commercial",$C244))),Variables!$B$1:$D$1,0),1)))*22.0462)*(L244/16.67),""))</f>
        <v>331383.34891421709</v>
      </c>
      <c r="U244" s="10">
        <v>45736</v>
      </c>
      <c r="V244" s="9" t="str">
        <f t="shared" si="26"/>
        <v>Sent</v>
      </c>
      <c r="W244" s="10">
        <v>45757</v>
      </c>
      <c r="X244" s="9" t="str">
        <f t="shared" si="25"/>
        <v>Approved</v>
      </c>
      <c r="Y244" s="10"/>
      <c r="Z244" s="10">
        <f>IF($H244="Cancelled","",IFERROR(IF(F244="","",F244-Variables!$B$13),""))</f>
        <v>45762</v>
      </c>
      <c r="AA244" s="11">
        <f>IF($H244="Cancelled","",IFERROR(IF(W244="","",(AVERAGE(E244:F244)-W244)-Variables!$B$14),""))</f>
        <v>-24.5</v>
      </c>
      <c r="AB244" s="10">
        <v>45764</v>
      </c>
      <c r="AC244" s="11">
        <f>IF($H244="Cancelled","",IFERROR(IF(AB244="","",IF(AND(W244="",Y244=""),"",IF(Y244&gt;W244,Y244+Variables!$B$15+Variables!$B$16+Variables!$B$17-AB244,W244+Variables!$B$16+Variables!$B$17-AB244))),""))</f>
        <v>1</v>
      </c>
      <c r="AD244" s="9" t="s">
        <v>92</v>
      </c>
      <c r="AE244" s="9" t="s">
        <v>703</v>
      </c>
      <c r="AF244" s="10"/>
      <c r="AG244" s="10"/>
      <c r="AH244" s="9"/>
      <c r="AI244" s="9" t="s">
        <v>704</v>
      </c>
      <c r="AJ244" s="9" t="s">
        <v>705</v>
      </c>
      <c r="AK244" s="10">
        <v>45784</v>
      </c>
      <c r="AL244" s="10">
        <v>45786</v>
      </c>
      <c r="AM244" s="10">
        <v>45796</v>
      </c>
      <c r="AN244" s="9" t="s">
        <v>95</v>
      </c>
      <c r="AO244" s="9"/>
      <c r="AP244" s="11">
        <f>IF($H244="Cancelled","",IFERROR(IF(OR(AK244="",AB244=""),"",(AB244+Variables!$B$18-AK244)),""))</f>
        <v>-13</v>
      </c>
      <c r="AQ244" s="11">
        <f>IF($H244="Cancelled","",IFERROR(IF(OR(AM244="",AK244=""),"",(AK244+Variables!$B$19)-AM244),""))</f>
        <v>-7</v>
      </c>
      <c r="AR244" s="12">
        <f>IF($H244="Cancelled","",IFERROR(T244*INDEX(Variables!$B$7:$D$7,IFERROR(MATCH(IF($B244="Robusta","Robusta",(IF($B244="","Arabica",$B244))&amp;" - "&amp;(IF($C244="","Commercial",$C244))),Variables!$B$1:$D$1,0),1))*(AQ244/365),""))</f>
        <v>-409.80353882053242</v>
      </c>
      <c r="AS244" s="12">
        <f>IF($H244="Cancelled","",IFERROR((T244*INDEX(Variables!$B$7:$D$7,IFERROR(MATCH(IF($B244="Robusta","Robusta",(IF($B244="","Arabica",$B244))&amp;" - "&amp;(IF($C244="","Commercial",$C244))),Variables!$B$1:$D$1,0),1))*IFERROR(IF(W244="","",(AVERAGE(E244:F244)-W244)-Variables!$B$14),"")/365)+(L244/16.67*INDEX(Variables!$B$8:$D$8,IFERROR(MATCH(IF($B244="Robusta","Robusta",(IF($B244="","Arabica",$B244))&amp;" - "&amp;(IF($C244="","Commercial",$C244))),Variables!$B$1:$D$1,0),1))*IFERROR(IF(W244="","",(AVERAGE(E244:F244)-W244)-Variables!$B$14),""))+(T244*INDEX(Variables!$B$9:$D$9,IFERROR(MATCH(IF($B244="Robusta","Robusta",(IF($B244="","Arabica",$B244))&amp;" - "&amp;(IF($C244="","Commercial",$C244))),Variables!$B$1:$D$1,0),1))*IFERROR(IF(W244="","",(AVERAGE(E244:F244)-W244)-Variables!$B$14),"")/365),""))</f>
        <v>-2481.803440556339</v>
      </c>
      <c r="AT244" s="12">
        <f>IF($H244="Cancelled","",IFERROR((T244*INDEX(Variables!$B$7:$D$7,IFERROR(MATCH(IF($B244="Robusta","Robusta",(IF($B244="","Arabica",$B244))&amp;" - "&amp;(IF($C244="","Commercial",$C244))),Variables!$B$1:$D$1,0),1))*AC244/365)+(L244/16.67*INDEX(Variables!$B$8:$D$8,IFERROR(MATCH(IF($B244="Robusta","Robusta",(IF($B244="","Arabica",$B244))&amp;" - "&amp;(IF($C244="","Commercial",$C244))),Variables!$B$1:$D$1,0),1))*AC244)+(T244*INDEX(Variables!$B$9:$D$9,IFERROR(MATCH(IF($B244="Robusta","Robusta",(IF($B244="","Arabica",$B244))&amp;" - "&amp;(IF($C244="","Commercial",$C244))),Variables!$B$1:$D$1,0),1))*AC244/365),""))</f>
        <v>101.29809961454443</v>
      </c>
      <c r="AU244" s="12">
        <f>IF($H244="Cancelled","",IFERROR((T244*INDEX(Variables!$B$7:$D$7,IFERROR(MATCH(IF($B244="Robusta","Robusta",(IF($B244="","Arabica",$B244))&amp;" - "&amp;(IF($C244="","Commercial",$C244))),Variables!$B$1:$D$1,0),1))*AP244/365)+(L244/16.67*INDEX(Variables!$B$8:$D$8,IFERROR(MATCH(IF($B244="Robusta","Robusta",(IF($B244="","Arabica",$B244))&amp;" - "&amp;(IF($C244="","Commercial",$C244))),Variables!$B$1:$D$1,0),1))*AP244)+(T244*INDEX(Variables!$B$9:$D$9,IFERROR(MATCH(IF($B244="Robusta","Robusta",(IF($B244="","Arabica",$B244))&amp;" - "&amp;(IF($C244="","Commercial",$C244))),Variables!$B$1:$D$1,0),1))*AP244/365),""))</f>
        <v>-1316.8752949890777</v>
      </c>
      <c r="AV244" s="11">
        <f t="shared" si="23"/>
        <v>-7</v>
      </c>
      <c r="AW244" s="12">
        <f>IF($H244="Cancelled","",IFERROR(IF(AV244="","",(T244*INDEX(Variables!$B$7:$D$7,IFERROR(MATCH(IF($B244="Robusta","Robusta",(IF($B244="","Arabica",$B244))&amp;" - "&amp;(IF($C244="","Commercial",$C244))),Variables!$B$1:$D$1,0),1))*(AV244/365))+(T244*INDEX(Variables!$B$9:$D$9,IFERROR(MATCH(IF($B244="Robusta","Robusta",(IF($B244="","Arabica",$B244))&amp;" - "&amp;(IF($C244="","Commercial",$C244))),Variables!$B$1:$D$1,0),1))*(AV244/365))+(INDEX(Variables!$B$8:$D$8,IFERROR(MATCH(IF($B244="Robusta","Robusta",(IF($B244="","Arabica",$B244))&amp;" - "&amp;(IF($C244="","Commercial",$C244))),Variables!$B$1:$D$1,0),1))*L244/16.67)),""))</f>
        <v>-373.08669730181111</v>
      </c>
      <c r="AX244" s="9"/>
      <c r="AY244" s="12"/>
      <c r="AZ244" s="10"/>
      <c r="BA244" s="9"/>
      <c r="BB244" s="10"/>
      <c r="BC244" s="9"/>
      <c r="BD244" s="9"/>
      <c r="BE244" s="9"/>
      <c r="BF244" s="9"/>
    </row>
    <row r="245" spans="1:58" x14ac:dyDescent="0.25">
      <c r="A245" s="9" t="s">
        <v>84</v>
      </c>
      <c r="B245" s="9" t="s">
        <v>85</v>
      </c>
      <c r="C245" s="9" t="s">
        <v>86</v>
      </c>
      <c r="D245" s="10">
        <v>45540</v>
      </c>
      <c r="E245" s="10">
        <v>45778</v>
      </c>
      <c r="F245" s="10">
        <v>45808</v>
      </c>
      <c r="G245" s="9">
        <v>3786509</v>
      </c>
      <c r="H245" s="9" t="str">
        <f t="shared" si="21"/>
        <v>Closed</v>
      </c>
      <c r="I245" s="9" t="str">
        <f t="shared" si="22"/>
        <v>All dates received</v>
      </c>
      <c r="J245" s="9" t="s">
        <v>120</v>
      </c>
      <c r="K245" s="9">
        <v>5248</v>
      </c>
      <c r="L245" s="11">
        <v>840</v>
      </c>
      <c r="M245" s="9" t="s">
        <v>706</v>
      </c>
      <c r="N245" s="9" t="s">
        <v>121</v>
      </c>
      <c r="O245" s="9"/>
      <c r="P245" s="9"/>
      <c r="Q245" s="11">
        <v>18</v>
      </c>
      <c r="R245" s="9" t="s">
        <v>90</v>
      </c>
      <c r="S245" s="9" t="s">
        <v>123</v>
      </c>
      <c r="T245" s="12">
        <f>IF($H245="Cancelled","",IFERROR(((Q245+INDEX(Variables!$B$6:$D$6,IFERROR(MATCH(IF($B245="Robusta","Robusta",(IF($B245="","Arabica",$B245))&amp;" - "&amp;(IF($C245="","Commercial",$C245))),Variables!$B$1:$D$1,0),1)))*22.0462)*(L245/16.67),""))</f>
        <v>343047.86505098973</v>
      </c>
      <c r="U245" s="10">
        <v>45762</v>
      </c>
      <c r="V245" s="9" t="str">
        <f t="shared" si="26"/>
        <v>Sent</v>
      </c>
      <c r="W245" s="10">
        <v>45779</v>
      </c>
      <c r="X245" s="9" t="str">
        <f t="shared" si="25"/>
        <v>Approved</v>
      </c>
      <c r="Y245" s="10"/>
      <c r="Z245" s="10">
        <f>IF($H245="Cancelled","",IFERROR(IF(F245="","",F245-Variables!$B$13),""))</f>
        <v>45793</v>
      </c>
      <c r="AA245" s="11">
        <f>IF($H245="Cancelled","",IFERROR(IF(W245="","",(AVERAGE(E245:F245)-W245)-Variables!$B$14),""))</f>
        <v>-16</v>
      </c>
      <c r="AB245" s="10">
        <v>45784</v>
      </c>
      <c r="AC245" s="11">
        <f>IF($H245="Cancelled","",IFERROR(IF(AB245="","",IF(AND(W245="",Y245=""),"",IF(Y245&gt;W245,Y245+Variables!$B$15+Variables!$B$16+Variables!$B$17-AB245,W245+Variables!$B$16+Variables!$B$17-AB245))),""))</f>
        <v>3</v>
      </c>
      <c r="AD245" s="9" t="s">
        <v>92</v>
      </c>
      <c r="AE245" s="9" t="s">
        <v>707</v>
      </c>
      <c r="AF245" s="10"/>
      <c r="AG245" s="10"/>
      <c r="AH245" s="9"/>
      <c r="AI245" s="9" t="s">
        <v>708</v>
      </c>
      <c r="AJ245" s="9" t="s">
        <v>709</v>
      </c>
      <c r="AK245" s="10">
        <v>45807</v>
      </c>
      <c r="AL245" s="10">
        <v>45813</v>
      </c>
      <c r="AM245" s="10">
        <v>45821</v>
      </c>
      <c r="AN245" s="9" t="s">
        <v>95</v>
      </c>
      <c r="AO245" s="9"/>
      <c r="AP245" s="11">
        <f>IF($H245="Cancelled","",IFERROR(IF(OR(AK245="",AB245=""),"",(AB245+Variables!$B$18-AK245)),""))</f>
        <v>-16</v>
      </c>
      <c r="AQ245" s="11">
        <f>IF($H245="Cancelled","",IFERROR(IF(OR(AM245="",AK245=""),"",(AK245+Variables!$B$19)-AM245),""))</f>
        <v>-9</v>
      </c>
      <c r="AR245" s="12">
        <f>IF($H245="Cancelled","",IFERROR(T245*INDEX(Variables!$B$7:$D$7,IFERROR(MATCH(IF($B245="Robusta","Robusta",(IF($B245="","Arabica",$B245))&amp;" - "&amp;(IF($C245="","Commercial",$C245))),Variables!$B$1:$D$1,0),1))*(AQ245/365),""))</f>
        <v>-545.43651888799559</v>
      </c>
      <c r="AS245" s="12">
        <f>IF($H245="Cancelled","",IFERROR((T245*INDEX(Variables!$B$7:$D$7,IFERROR(MATCH(IF($B245="Robusta","Robusta",(IF($B245="","Arabica",$B245))&amp;" - "&amp;(IF($C245="","Commercial",$C245))),Variables!$B$1:$D$1,0),1))*IFERROR(IF(W245="","",(AVERAGE(E245:F245)-W245)-Variables!$B$14),"")/365)+(L245/16.67*INDEX(Variables!$B$8:$D$8,IFERROR(MATCH(IF($B245="Robusta","Robusta",(IF($B245="","Arabica",$B245))&amp;" - "&amp;(IF($C245="","Commercial",$C245))),Variables!$B$1:$D$1,0),1))*IFERROR(IF(W245="","",(AVERAGE(E245:F245)-W245)-Variables!$B$14),""))+(T245*INDEX(Variables!$B$9:$D$9,IFERROR(MATCH(IF($B245="Robusta","Robusta",(IF($B245="","Arabica",$B245))&amp;" - "&amp;(IF($C245="","Commercial",$C245))),Variables!$B$1:$D$1,0),1))*IFERROR(IF(W245="","",(AVERAGE(E245:F245)-W245)-Variables!$B$14),"")/365),""))</f>
        <v>-1654.1657746414387</v>
      </c>
      <c r="AT245" s="12">
        <f>IF($H245="Cancelled","",IFERROR((T245*INDEX(Variables!$B$7:$D$7,IFERROR(MATCH(IF($B245="Robusta","Robusta",(IF($B245="","Arabica",$B245))&amp;" - "&amp;(IF($C245="","Commercial",$C245))),Variables!$B$1:$D$1,0),1))*AC245/365)+(L245/16.67*INDEX(Variables!$B$8:$D$8,IFERROR(MATCH(IF($B245="Robusta","Robusta",(IF($B245="","Arabica",$B245))&amp;" - "&amp;(IF($C245="","Commercial",$C245))),Variables!$B$1:$D$1,0),1))*AC245)+(T245*INDEX(Variables!$B$9:$D$9,IFERROR(MATCH(IF($B245="Robusta","Robusta",(IF($B245="","Arabica",$B245))&amp;" - "&amp;(IF($C245="","Commercial",$C245))),Variables!$B$1:$D$1,0),1))*AC245/365),""))</f>
        <v>310.15608274526971</v>
      </c>
      <c r="AU245" s="12">
        <f>IF($H245="Cancelled","",IFERROR((T245*INDEX(Variables!$B$7:$D$7,IFERROR(MATCH(IF($B245="Robusta","Robusta",(IF($B245="","Arabica",$B245))&amp;" - "&amp;(IF($C245="","Commercial",$C245))),Variables!$B$1:$D$1,0),1))*AP245/365)+(L245/16.67*INDEX(Variables!$B$8:$D$8,IFERROR(MATCH(IF($B245="Robusta","Robusta",(IF($B245="","Arabica",$B245))&amp;" - "&amp;(IF($C245="","Commercial",$C245))),Variables!$B$1:$D$1,0),1))*AP245)+(T245*INDEX(Variables!$B$9:$D$9,IFERROR(MATCH(IF($B245="Robusta","Robusta",(IF($B245="","Arabica",$B245))&amp;" - "&amp;(IF($C245="","Commercial",$C245))),Variables!$B$1:$D$1,0),1))*AP245/365),""))</f>
        <v>-1654.1657746414387</v>
      </c>
      <c r="AV245" s="11">
        <f t="shared" si="23"/>
        <v>1</v>
      </c>
      <c r="AW245" s="12">
        <f>IF($H245="Cancelled","",IFERROR(IF(AV245="","",(T245*INDEX(Variables!$B$7:$D$7,IFERROR(MATCH(IF($B245="Robusta","Robusta",(IF($B245="","Arabica",$B245))&amp;" - "&amp;(IF($C245="","Commercial",$C245))),Variables!$B$1:$D$1,0),1))*(AV245/365))+(T245*INDEX(Variables!$B$9:$D$9,IFERROR(MATCH(IF($B245="Robusta","Robusta",(IF($B245="","Arabica",$B245))&amp;" - "&amp;(IF($C245="","Commercial",$C245))),Variables!$B$1:$D$1,0),1))*(AV245/365))+(INDEX(Variables!$B$8:$D$8,IFERROR(MATCH(IF($B245="Robusta","Robusta",(IF($B245="","Arabica",$B245))&amp;" - "&amp;(IF($C245="","Commercial",$C245))),Variables!$B$1:$D$1,0),1))*L245/16.67)),""))</f>
        <v>103.38536091508992</v>
      </c>
      <c r="AX245" s="9"/>
      <c r="AY245" s="12"/>
      <c r="AZ245" s="10"/>
      <c r="BA245" s="9"/>
      <c r="BB245" s="10"/>
      <c r="BC245" s="9"/>
      <c r="BD245" s="9"/>
      <c r="BE245" s="9"/>
      <c r="BF245" s="9"/>
    </row>
    <row r="246" spans="1:58" x14ac:dyDescent="0.25">
      <c r="A246" s="9" t="s">
        <v>84</v>
      </c>
      <c r="B246" s="9" t="s">
        <v>85</v>
      </c>
      <c r="C246" s="9" t="s">
        <v>86</v>
      </c>
      <c r="D246" s="10">
        <v>45540</v>
      </c>
      <c r="E246" s="10">
        <v>45778</v>
      </c>
      <c r="F246" s="10">
        <v>45808</v>
      </c>
      <c r="G246" s="9">
        <v>3786510</v>
      </c>
      <c r="H246" s="9" t="str">
        <f t="shared" si="21"/>
        <v>Closed</v>
      </c>
      <c r="I246" s="9" t="str">
        <f t="shared" si="22"/>
        <v>All dates received</v>
      </c>
      <c r="J246" s="9" t="s">
        <v>120</v>
      </c>
      <c r="K246" s="9">
        <v>5265</v>
      </c>
      <c r="L246" s="11">
        <v>840</v>
      </c>
      <c r="M246" s="9" t="s">
        <v>696</v>
      </c>
      <c r="N246" s="9" t="s">
        <v>122</v>
      </c>
      <c r="O246" s="9"/>
      <c r="P246" s="9"/>
      <c r="Q246" s="11">
        <v>7.5</v>
      </c>
      <c r="R246" s="9" t="s">
        <v>90</v>
      </c>
      <c r="S246" s="9" t="s">
        <v>123</v>
      </c>
      <c r="T246" s="12">
        <f>IF($H246="Cancelled","",IFERROR(((Q246+INDEX(Variables!$B$6:$D$6,IFERROR(MATCH(IF($B246="Robusta","Robusta",(IF($B246="","Arabica",$B246))&amp;" - "&amp;(IF($C246="","Commercial",$C246))),Variables!$B$1:$D$1,0),1)))*22.0462)*(L246/16.67),""))</f>
        <v>331383.34891421709</v>
      </c>
      <c r="U246" s="10">
        <v>45775</v>
      </c>
      <c r="V246" s="9" t="str">
        <f t="shared" si="26"/>
        <v>Sent</v>
      </c>
      <c r="W246" s="10">
        <v>45790</v>
      </c>
      <c r="X246" s="9" t="str">
        <f t="shared" si="25"/>
        <v>Approved</v>
      </c>
      <c r="Y246" s="10"/>
      <c r="Z246" s="10">
        <f>IF($H246="Cancelled","",IFERROR(IF(F246="","",F246-Variables!$B$13),""))</f>
        <v>45793</v>
      </c>
      <c r="AA246" s="11">
        <f>IF($H246="Cancelled","",IFERROR(IF(W246="","",(AVERAGE(E246:F246)-W246)-Variables!$B$14),""))</f>
        <v>-27</v>
      </c>
      <c r="AB246" s="10">
        <v>45796</v>
      </c>
      <c r="AC246" s="11">
        <f>IF($H246="Cancelled","",IFERROR(IF(AB246="","",IF(AND(W246="",Y246=""),"",IF(Y246&gt;W246,Y246+Variables!$B$15+Variables!$B$16+Variables!$B$17-AB246,W246+Variables!$B$16+Variables!$B$17-AB246))),""))</f>
        <v>2</v>
      </c>
      <c r="AD246" s="9" t="s">
        <v>130</v>
      </c>
      <c r="AE246" s="9" t="s">
        <v>140</v>
      </c>
      <c r="AF246" s="10"/>
      <c r="AG246" s="10"/>
      <c r="AH246" s="9"/>
      <c r="AI246" s="9" t="s">
        <v>710</v>
      </c>
      <c r="AJ246" s="9" t="s">
        <v>709</v>
      </c>
      <c r="AK246" s="10">
        <v>45807</v>
      </c>
      <c r="AL246" s="10">
        <v>45813</v>
      </c>
      <c r="AM246" s="10">
        <v>45821</v>
      </c>
      <c r="AN246" s="9" t="s">
        <v>95</v>
      </c>
      <c r="AO246" s="9"/>
      <c r="AP246" s="11">
        <f>IF($H246="Cancelled","",IFERROR(IF(OR(AK246="",AB246=""),"",(AB246+Variables!$B$18-AK246)),""))</f>
        <v>-4</v>
      </c>
      <c r="AQ246" s="11">
        <f>IF($H246="Cancelled","",IFERROR(IF(OR(AM246="",AK246=""),"",(AK246+Variables!$B$19)-AM246),""))</f>
        <v>-9</v>
      </c>
      <c r="AR246" s="12">
        <f>IF($H246="Cancelled","",IFERROR(T246*INDEX(Variables!$B$7:$D$7,IFERROR(MATCH(IF($B246="Robusta","Robusta",(IF($B246="","Arabica",$B246))&amp;" - "&amp;(IF($C246="","Commercial",$C246))),Variables!$B$1:$D$1,0),1))*(AQ246/365),""))</f>
        <v>-526.89026419782738</v>
      </c>
      <c r="AS246" s="12">
        <f>IF($H246="Cancelled","",IFERROR((T246*INDEX(Variables!$B$7:$D$7,IFERROR(MATCH(IF($B246="Robusta","Robusta",(IF($B246="","Arabica",$B246))&amp;" - "&amp;(IF($C246="","Commercial",$C246))),Variables!$B$1:$D$1,0),1))*IFERROR(IF(W246="","",(AVERAGE(E246:F246)-W246)-Variables!$B$14),"")/365)+(L246/16.67*INDEX(Variables!$B$8:$D$8,IFERROR(MATCH(IF($B246="Robusta","Robusta",(IF($B246="","Arabica",$B246))&amp;" - "&amp;(IF($C246="","Commercial",$C246))),Variables!$B$1:$D$1,0),1))*IFERROR(IF(W246="","",(AVERAGE(E246:F246)-W246)-Variables!$B$14),""))+(T246*INDEX(Variables!$B$9:$D$9,IFERROR(MATCH(IF($B246="Robusta","Robusta",(IF($B246="","Arabica",$B246))&amp;" - "&amp;(IF($C246="","Commercial",$C246))),Variables!$B$1:$D$1,0),1))*IFERROR(IF(W246="","",(AVERAGE(E246:F246)-W246)-Variables!$B$14),"")/365),""))</f>
        <v>-2735.0486895926997</v>
      </c>
      <c r="AT246" s="12">
        <f>IF($H246="Cancelled","",IFERROR((T246*INDEX(Variables!$B$7:$D$7,IFERROR(MATCH(IF($B246="Robusta","Robusta",(IF($B246="","Arabica",$B246))&amp;" - "&amp;(IF($C246="","Commercial",$C246))),Variables!$B$1:$D$1,0),1))*AC246/365)+(L246/16.67*INDEX(Variables!$B$8:$D$8,IFERROR(MATCH(IF($B246="Robusta","Robusta",(IF($B246="","Arabica",$B246))&amp;" - "&amp;(IF($C246="","Commercial",$C246))),Variables!$B$1:$D$1,0),1))*AC246)+(T246*INDEX(Variables!$B$9:$D$9,IFERROR(MATCH(IF($B246="Robusta","Robusta",(IF($B246="","Arabica",$B246))&amp;" - "&amp;(IF($C246="","Commercial",$C246))),Variables!$B$1:$D$1,0),1))*AC246/365),""))</f>
        <v>202.59619922908885</v>
      </c>
      <c r="AU246" s="12">
        <f>IF($H246="Cancelled","",IFERROR((T246*INDEX(Variables!$B$7:$D$7,IFERROR(MATCH(IF($B246="Robusta","Robusta",(IF($B246="","Arabica",$B246))&amp;" - "&amp;(IF($C246="","Commercial",$C246))),Variables!$B$1:$D$1,0),1))*AP246/365)+(L246/16.67*INDEX(Variables!$B$8:$D$8,IFERROR(MATCH(IF($B246="Robusta","Robusta",(IF($B246="","Arabica",$B246))&amp;" - "&amp;(IF($C246="","Commercial",$C246))),Variables!$B$1:$D$1,0),1))*AP246)+(T246*INDEX(Variables!$B$9:$D$9,IFERROR(MATCH(IF($B246="Robusta","Robusta",(IF($B246="","Arabica",$B246))&amp;" - "&amp;(IF($C246="","Commercial",$C246))),Variables!$B$1:$D$1,0),1))*AP246/365),""))</f>
        <v>-405.19239845817771</v>
      </c>
      <c r="AV246" s="11">
        <f t="shared" si="23"/>
        <v>1</v>
      </c>
      <c r="AW246" s="12">
        <f>IF($H246="Cancelled","",IFERROR(IF(AV246="","",(T246*INDEX(Variables!$B$7:$D$7,IFERROR(MATCH(IF($B246="Robusta","Robusta",(IF($B246="","Arabica",$B246))&amp;" - "&amp;(IF($C246="","Commercial",$C246))),Variables!$B$1:$D$1,0),1))*(AV246/365))+(T246*INDEX(Variables!$B$9:$D$9,IFERROR(MATCH(IF($B246="Robusta","Robusta",(IF($B246="","Arabica",$B246))&amp;" - "&amp;(IF($C246="","Commercial",$C246))),Variables!$B$1:$D$1,0),1))*(AV246/365))+(INDEX(Variables!$B$8:$D$8,IFERROR(MATCH(IF($B246="Robusta","Robusta",(IF($B246="","Arabica",$B246))&amp;" - "&amp;(IF($C246="","Commercial",$C246))),Variables!$B$1:$D$1,0),1))*L246/16.67)),""))</f>
        <v>101.29809961454444</v>
      </c>
      <c r="AX246" s="9"/>
      <c r="AY246" s="12"/>
      <c r="AZ246" s="10"/>
      <c r="BA246" s="9"/>
      <c r="BB246" s="10"/>
      <c r="BC246" s="9"/>
      <c r="BD246" s="9"/>
      <c r="BE246" s="9"/>
      <c r="BF246" s="9"/>
    </row>
    <row r="247" spans="1:58" x14ac:dyDescent="0.25">
      <c r="A247" s="9" t="s">
        <v>84</v>
      </c>
      <c r="B247" s="9" t="s">
        <v>85</v>
      </c>
      <c r="C247" s="9" t="s">
        <v>86</v>
      </c>
      <c r="D247" s="10">
        <v>45540</v>
      </c>
      <c r="E247" s="10">
        <v>45778</v>
      </c>
      <c r="F247" s="10">
        <v>45808</v>
      </c>
      <c r="G247" s="9">
        <v>3786515</v>
      </c>
      <c r="H247" s="9" t="str">
        <f t="shared" si="21"/>
        <v>Closed</v>
      </c>
      <c r="I247" s="9" t="str">
        <f t="shared" si="22"/>
        <v>All dates received</v>
      </c>
      <c r="J247" s="9" t="s">
        <v>120</v>
      </c>
      <c r="K247" s="9">
        <v>5266</v>
      </c>
      <c r="L247" s="11">
        <v>840</v>
      </c>
      <c r="M247" s="9" t="s">
        <v>696</v>
      </c>
      <c r="N247" s="9" t="s">
        <v>122</v>
      </c>
      <c r="O247" s="9"/>
      <c r="P247" s="9"/>
      <c r="Q247" s="11">
        <v>7.5</v>
      </c>
      <c r="R247" s="9" t="s">
        <v>90</v>
      </c>
      <c r="S247" s="9" t="s">
        <v>123</v>
      </c>
      <c r="T247" s="12">
        <f>IF($H247="Cancelled","",IFERROR(((Q247+INDEX(Variables!$B$6:$D$6,IFERROR(MATCH(IF($B247="Robusta","Robusta",(IF($B247="","Arabica",$B247))&amp;" - "&amp;(IF($C247="","Commercial",$C247))),Variables!$B$1:$D$1,0),1)))*22.0462)*(L247/16.67),""))</f>
        <v>331383.34891421709</v>
      </c>
      <c r="U247" s="10">
        <v>45775</v>
      </c>
      <c r="V247" s="9" t="str">
        <f t="shared" si="26"/>
        <v>Sent</v>
      </c>
      <c r="W247" s="10">
        <v>45790</v>
      </c>
      <c r="X247" s="9" t="str">
        <f t="shared" si="25"/>
        <v>Approved</v>
      </c>
      <c r="Y247" s="10"/>
      <c r="Z247" s="10">
        <f>IF($H247="Cancelled","",IFERROR(IF(F247="","",F247-Variables!$B$13),""))</f>
        <v>45793</v>
      </c>
      <c r="AA247" s="11">
        <f>IF($H247="Cancelled","",IFERROR(IF(W247="","",(AVERAGE(E247:F247)-W247)-Variables!$B$14),""))</f>
        <v>-27</v>
      </c>
      <c r="AB247" s="10">
        <v>45792</v>
      </c>
      <c r="AC247" s="11">
        <f>IF($H247="Cancelled","",IFERROR(IF(AB247="","",IF(AND(W247="",Y247=""),"",IF(Y247&gt;W247,Y247+Variables!$B$15+Variables!$B$16+Variables!$B$17-AB247,W247+Variables!$B$16+Variables!$B$17-AB247))),""))</f>
        <v>6</v>
      </c>
      <c r="AD247" s="9" t="s">
        <v>92</v>
      </c>
      <c r="AE247" s="9" t="s">
        <v>707</v>
      </c>
      <c r="AF247" s="10"/>
      <c r="AG247" s="10"/>
      <c r="AH247" s="9"/>
      <c r="AI247" s="9" t="s">
        <v>711</v>
      </c>
      <c r="AJ247" s="9" t="s">
        <v>709</v>
      </c>
      <c r="AK247" s="10">
        <v>45807</v>
      </c>
      <c r="AL247" s="10">
        <v>45813</v>
      </c>
      <c r="AM247" s="10">
        <v>45821</v>
      </c>
      <c r="AN247" s="9" t="s">
        <v>95</v>
      </c>
      <c r="AO247" s="9"/>
      <c r="AP247" s="11">
        <f>IF($H247="Cancelled","",IFERROR(IF(OR(AK247="",AB247=""),"",(AB247+Variables!$B$18-AK247)),""))</f>
        <v>-8</v>
      </c>
      <c r="AQ247" s="11">
        <f>IF($H247="Cancelled","",IFERROR(IF(OR(AM247="",AK247=""),"",(AK247+Variables!$B$19)-AM247),""))</f>
        <v>-9</v>
      </c>
      <c r="AR247" s="12">
        <f>IF($H247="Cancelled","",IFERROR(T247*INDEX(Variables!$B$7:$D$7,IFERROR(MATCH(IF($B247="Robusta","Robusta",(IF($B247="","Arabica",$B247))&amp;" - "&amp;(IF($C247="","Commercial",$C247))),Variables!$B$1:$D$1,0),1))*(AQ247/365),""))</f>
        <v>-526.89026419782738</v>
      </c>
      <c r="AS247" s="12">
        <f>IF($H247="Cancelled","",IFERROR((T247*INDEX(Variables!$B$7:$D$7,IFERROR(MATCH(IF($B247="Robusta","Robusta",(IF($B247="","Arabica",$B247))&amp;" - "&amp;(IF($C247="","Commercial",$C247))),Variables!$B$1:$D$1,0),1))*IFERROR(IF(W247="","",(AVERAGE(E247:F247)-W247)-Variables!$B$14),"")/365)+(L247/16.67*INDEX(Variables!$B$8:$D$8,IFERROR(MATCH(IF($B247="Robusta","Robusta",(IF($B247="","Arabica",$B247))&amp;" - "&amp;(IF($C247="","Commercial",$C247))),Variables!$B$1:$D$1,0),1))*IFERROR(IF(W247="","",(AVERAGE(E247:F247)-W247)-Variables!$B$14),""))+(T247*INDEX(Variables!$B$9:$D$9,IFERROR(MATCH(IF($B247="Robusta","Robusta",(IF($B247="","Arabica",$B247))&amp;" - "&amp;(IF($C247="","Commercial",$C247))),Variables!$B$1:$D$1,0),1))*IFERROR(IF(W247="","",(AVERAGE(E247:F247)-W247)-Variables!$B$14),"")/365),""))</f>
        <v>-2735.0486895926997</v>
      </c>
      <c r="AT247" s="12">
        <f>IF($H247="Cancelled","",IFERROR((T247*INDEX(Variables!$B$7:$D$7,IFERROR(MATCH(IF($B247="Robusta","Robusta",(IF($B247="","Arabica",$B247))&amp;" - "&amp;(IF($C247="","Commercial",$C247))),Variables!$B$1:$D$1,0),1))*AC247/365)+(L247/16.67*INDEX(Variables!$B$8:$D$8,IFERROR(MATCH(IF($B247="Robusta","Robusta",(IF($B247="","Arabica",$B247))&amp;" - "&amp;(IF($C247="","Commercial",$C247))),Variables!$B$1:$D$1,0),1))*AC247)+(T247*INDEX(Variables!$B$9:$D$9,IFERROR(MATCH(IF($B247="Robusta","Robusta",(IF($B247="","Arabica",$B247))&amp;" - "&amp;(IF($C247="","Commercial",$C247))),Variables!$B$1:$D$1,0),1))*AC247/365),""))</f>
        <v>607.7885976872667</v>
      </c>
      <c r="AU247" s="12">
        <f>IF($H247="Cancelled","",IFERROR((T247*INDEX(Variables!$B$7:$D$7,IFERROR(MATCH(IF($B247="Robusta","Robusta",(IF($B247="","Arabica",$B247))&amp;" - "&amp;(IF($C247="","Commercial",$C247))),Variables!$B$1:$D$1,0),1))*AP247/365)+(L247/16.67*INDEX(Variables!$B$8:$D$8,IFERROR(MATCH(IF($B247="Robusta","Robusta",(IF($B247="","Arabica",$B247))&amp;" - "&amp;(IF($C247="","Commercial",$C247))),Variables!$B$1:$D$1,0),1))*AP247)+(T247*INDEX(Variables!$B$9:$D$9,IFERROR(MATCH(IF($B247="Robusta","Robusta",(IF($B247="","Arabica",$B247))&amp;" - "&amp;(IF($C247="","Commercial",$C247))),Variables!$B$1:$D$1,0),1))*AP247/365),""))</f>
        <v>-810.38479691635541</v>
      </c>
      <c r="AV247" s="11">
        <f t="shared" si="23"/>
        <v>1</v>
      </c>
      <c r="AW247" s="12">
        <f>IF($H247="Cancelled","",IFERROR(IF(AV247="","",(T247*INDEX(Variables!$B$7:$D$7,IFERROR(MATCH(IF($B247="Robusta","Robusta",(IF($B247="","Arabica",$B247))&amp;" - "&amp;(IF($C247="","Commercial",$C247))),Variables!$B$1:$D$1,0),1))*(AV247/365))+(T247*INDEX(Variables!$B$9:$D$9,IFERROR(MATCH(IF($B247="Robusta","Robusta",(IF($B247="","Arabica",$B247))&amp;" - "&amp;(IF($C247="","Commercial",$C247))),Variables!$B$1:$D$1,0),1))*(AV247/365))+(INDEX(Variables!$B$8:$D$8,IFERROR(MATCH(IF($B247="Robusta","Robusta",(IF($B247="","Arabica",$B247))&amp;" - "&amp;(IF($C247="","Commercial",$C247))),Variables!$B$1:$D$1,0),1))*L247/16.67)),""))</f>
        <v>101.29809961454444</v>
      </c>
      <c r="AX247" s="9"/>
      <c r="AY247" s="12"/>
      <c r="AZ247" s="10"/>
      <c r="BA247" s="9"/>
      <c r="BB247" s="10"/>
      <c r="BC247" s="9"/>
      <c r="BD247" s="9"/>
      <c r="BE247" s="9"/>
      <c r="BF247" s="9"/>
    </row>
    <row r="248" spans="1:58" x14ac:dyDescent="0.25">
      <c r="A248" s="9" t="s">
        <v>84</v>
      </c>
      <c r="B248" s="9" t="s">
        <v>85</v>
      </c>
      <c r="C248" s="9" t="s">
        <v>86</v>
      </c>
      <c r="D248" s="10">
        <v>45540</v>
      </c>
      <c r="E248" s="10">
        <v>45809</v>
      </c>
      <c r="F248" s="10">
        <v>45838</v>
      </c>
      <c r="G248" s="9">
        <v>3786511</v>
      </c>
      <c r="H248" s="9" t="str">
        <f t="shared" si="21"/>
        <v>Closed</v>
      </c>
      <c r="I248" s="9" t="str">
        <f t="shared" si="22"/>
        <v>All dates received</v>
      </c>
      <c r="J248" s="9" t="s">
        <v>120</v>
      </c>
      <c r="K248" s="9">
        <v>5293</v>
      </c>
      <c r="L248" s="11">
        <v>840</v>
      </c>
      <c r="M248" s="9" t="s">
        <v>696</v>
      </c>
      <c r="N248" s="9" t="s">
        <v>122</v>
      </c>
      <c r="O248" s="9"/>
      <c r="P248" s="9"/>
      <c r="Q248" s="11">
        <v>7.5</v>
      </c>
      <c r="R248" s="9" t="s">
        <v>90</v>
      </c>
      <c r="S248" s="9" t="s">
        <v>123</v>
      </c>
      <c r="T248" s="12">
        <f>IF($H248="Cancelled","",IFERROR(((Q248+INDEX(Variables!$B$6:$D$6,IFERROR(MATCH(IF($B248="Robusta","Robusta",(IF($B248="","Arabica",$B248))&amp;" - "&amp;(IF($C248="","Commercial",$C248))),Variables!$B$1:$D$1,0),1)))*22.0462)*(L248/16.67),""))</f>
        <v>331383.34891421709</v>
      </c>
      <c r="U248" s="10">
        <v>45793</v>
      </c>
      <c r="V248" s="9" t="str">
        <f t="shared" si="26"/>
        <v>Sent</v>
      </c>
      <c r="W248" s="10">
        <v>45812</v>
      </c>
      <c r="X248" s="9" t="str">
        <f t="shared" si="25"/>
        <v>Approved</v>
      </c>
      <c r="Y248" s="10"/>
      <c r="Z248" s="10">
        <f>IF($H248="Cancelled","",IFERROR(IF(F248="","",F248-Variables!$B$13),""))</f>
        <v>45823</v>
      </c>
      <c r="AA248" s="11">
        <f>IF($H248="Cancelled","",IFERROR(IF(W248="","",(AVERAGE(E248:F248)-W248)-Variables!$B$14),""))</f>
        <v>-18.5</v>
      </c>
      <c r="AB248" s="10">
        <v>45818</v>
      </c>
      <c r="AC248" s="11">
        <f>IF($H248="Cancelled","",IFERROR(IF(AB248="","",IF(AND(W248="",Y248=""),"",IF(Y248&gt;W248,Y248+Variables!$B$15+Variables!$B$16+Variables!$B$17-AB248,W248+Variables!$B$16+Variables!$B$17-AB248))),""))</f>
        <v>2</v>
      </c>
      <c r="AD248" s="9" t="s">
        <v>92</v>
      </c>
      <c r="AE248" s="9" t="s">
        <v>712</v>
      </c>
      <c r="AF248" s="10"/>
      <c r="AG248" s="10"/>
      <c r="AH248" s="9"/>
      <c r="AI248" s="9" t="s">
        <v>713</v>
      </c>
      <c r="AJ248" s="9" t="s">
        <v>714</v>
      </c>
      <c r="AK248" s="10">
        <v>45838</v>
      </c>
      <c r="AL248" s="10">
        <v>45839</v>
      </c>
      <c r="AM248" s="10">
        <v>45846</v>
      </c>
      <c r="AN248" s="9" t="s">
        <v>95</v>
      </c>
      <c r="AO248" s="9"/>
      <c r="AP248" s="11">
        <f>IF($H248="Cancelled","",IFERROR(IF(OR(AK248="",AB248=""),"",(AB248+Variables!$B$18-AK248)),""))</f>
        <v>-13</v>
      </c>
      <c r="AQ248" s="11">
        <f>IF($H248="Cancelled","",IFERROR(IF(OR(AM248="",AK248=""),"",(AK248+Variables!$B$19)-AM248),""))</f>
        <v>-3</v>
      </c>
      <c r="AR248" s="12">
        <f>IF($H248="Cancelled","",IFERROR(T248*INDEX(Variables!$B$7:$D$7,IFERROR(MATCH(IF($B248="Robusta","Robusta",(IF($B248="","Arabica",$B248))&amp;" - "&amp;(IF($C248="","Commercial",$C248))),Variables!$B$1:$D$1,0),1))*(AQ248/365),""))</f>
        <v>-175.63008806594243</v>
      </c>
      <c r="AS248" s="12">
        <f>IF($H248="Cancelled","",IFERROR((T248*INDEX(Variables!$B$7:$D$7,IFERROR(MATCH(IF($B248="Robusta","Robusta",(IF($B248="","Arabica",$B248))&amp;" - "&amp;(IF($C248="","Commercial",$C248))),Variables!$B$1:$D$1,0),1))*IFERROR(IF(W248="","",(AVERAGE(E248:F248)-W248)-Variables!$B$14),"")/365)+(L248/16.67*INDEX(Variables!$B$8:$D$8,IFERROR(MATCH(IF($B248="Robusta","Robusta",(IF($B248="","Arabica",$B248))&amp;" - "&amp;(IF($C248="","Commercial",$C248))),Variables!$B$1:$D$1,0),1))*IFERROR(IF(W248="","",(AVERAGE(E248:F248)-W248)-Variables!$B$14),""))+(T248*INDEX(Variables!$B$9:$D$9,IFERROR(MATCH(IF($B248="Robusta","Robusta",(IF($B248="","Arabica",$B248))&amp;" - "&amp;(IF($C248="","Commercial",$C248))),Variables!$B$1:$D$1,0),1))*IFERROR(IF(W248="","",(AVERAGE(E248:F248)-W248)-Variables!$B$14),"")/365),""))</f>
        <v>-1874.0148428690723</v>
      </c>
      <c r="AT248" s="12">
        <f>IF($H248="Cancelled","",IFERROR((T248*INDEX(Variables!$B$7:$D$7,IFERROR(MATCH(IF($B248="Robusta","Robusta",(IF($B248="","Arabica",$B248))&amp;" - "&amp;(IF($C248="","Commercial",$C248))),Variables!$B$1:$D$1,0),1))*AC248/365)+(L248/16.67*INDEX(Variables!$B$8:$D$8,IFERROR(MATCH(IF($B248="Robusta","Robusta",(IF($B248="","Arabica",$B248))&amp;" - "&amp;(IF($C248="","Commercial",$C248))),Variables!$B$1:$D$1,0),1))*AC248)+(T248*INDEX(Variables!$B$9:$D$9,IFERROR(MATCH(IF($B248="Robusta","Robusta",(IF($B248="","Arabica",$B248))&amp;" - "&amp;(IF($C248="","Commercial",$C248))),Variables!$B$1:$D$1,0),1))*AC248/365),""))</f>
        <v>202.59619922908885</v>
      </c>
      <c r="AU248" s="12">
        <f>IF($H248="Cancelled","",IFERROR((T248*INDEX(Variables!$B$7:$D$7,IFERROR(MATCH(IF($B248="Robusta","Robusta",(IF($B248="","Arabica",$B248))&amp;" - "&amp;(IF($C248="","Commercial",$C248))),Variables!$B$1:$D$1,0),1))*AP248/365)+(L248/16.67*INDEX(Variables!$B$8:$D$8,IFERROR(MATCH(IF($B248="Robusta","Robusta",(IF($B248="","Arabica",$B248))&amp;" - "&amp;(IF($C248="","Commercial",$C248))),Variables!$B$1:$D$1,0),1))*AP248)+(T248*INDEX(Variables!$B$9:$D$9,IFERROR(MATCH(IF($B248="Robusta","Robusta",(IF($B248="","Arabica",$B248))&amp;" - "&amp;(IF($C248="","Commercial",$C248))),Variables!$B$1:$D$1,0),1))*AP248/365),""))</f>
        <v>-1316.8752949890777</v>
      </c>
      <c r="AV248" s="11">
        <f t="shared" si="23"/>
        <v>0</v>
      </c>
      <c r="AW248" s="12">
        <f>IF($H248="Cancelled","",IFERROR(IF(AV248="","",(T248*INDEX(Variables!$B$7:$D$7,IFERROR(MATCH(IF($B248="Robusta","Robusta",(IF($B248="","Arabica",$B248))&amp;" - "&amp;(IF($C248="","Commercial",$C248))),Variables!$B$1:$D$1,0),1))*(AV248/365))+(T248*INDEX(Variables!$B$9:$D$9,IFERROR(MATCH(IF($B248="Robusta","Robusta",(IF($B248="","Arabica",$B248))&amp;" - "&amp;(IF($C248="","Commercial",$C248))),Variables!$B$1:$D$1,0),1))*(AV248/365))+(INDEX(Variables!$B$8:$D$8,IFERROR(MATCH(IF($B248="Robusta","Robusta",(IF($B248="","Arabica",$B248))&amp;" - "&amp;(IF($C248="","Commercial",$C248))),Variables!$B$1:$D$1,0),1))*L248/16.67)),""))</f>
        <v>42</v>
      </c>
      <c r="AX248" s="9"/>
      <c r="AY248" s="12"/>
      <c r="AZ248" s="10"/>
      <c r="BA248" s="9"/>
      <c r="BB248" s="10"/>
      <c r="BC248" s="9"/>
      <c r="BD248" s="9"/>
      <c r="BE248" s="9"/>
      <c r="BF248" s="9"/>
    </row>
    <row r="249" spans="1:58" x14ac:dyDescent="0.25">
      <c r="A249" s="9" t="s">
        <v>84</v>
      </c>
      <c r="B249" s="9" t="s">
        <v>85</v>
      </c>
      <c r="C249" s="9" t="s">
        <v>86</v>
      </c>
      <c r="D249" s="10">
        <v>45540</v>
      </c>
      <c r="E249" s="10">
        <v>45870</v>
      </c>
      <c r="F249" s="10">
        <v>45900</v>
      </c>
      <c r="G249" s="9">
        <v>3786512</v>
      </c>
      <c r="H249" s="9" t="str">
        <f t="shared" si="21"/>
        <v>Closed</v>
      </c>
      <c r="I249" s="9" t="str">
        <f t="shared" si="22"/>
        <v>All dates received</v>
      </c>
      <c r="J249" s="9" t="s">
        <v>120</v>
      </c>
      <c r="K249" s="9">
        <v>5314</v>
      </c>
      <c r="L249" s="11">
        <v>840</v>
      </c>
      <c r="M249" s="9" t="s">
        <v>706</v>
      </c>
      <c r="N249" s="9" t="s">
        <v>121</v>
      </c>
      <c r="O249" s="9"/>
      <c r="P249" s="9"/>
      <c r="Q249" s="11">
        <v>18</v>
      </c>
      <c r="R249" s="9" t="s">
        <v>90</v>
      </c>
      <c r="S249" s="9" t="s">
        <v>123</v>
      </c>
      <c r="T249" s="12">
        <f>IF($H249="Cancelled","",IFERROR(((Q249+INDEX(Variables!$B$6:$D$6,IFERROR(MATCH(IF($B249="Robusta","Robusta",(IF($B249="","Arabica",$B249))&amp;" - "&amp;(IF($C249="","Commercial",$C249))),Variables!$B$1:$D$1,0),1)))*22.0462)*(L249/16.67),""))</f>
        <v>343047.86505098973</v>
      </c>
      <c r="U249" s="10">
        <v>45834</v>
      </c>
      <c r="V249" s="9" t="str">
        <f t="shared" si="26"/>
        <v>Sent</v>
      </c>
      <c r="W249" s="10"/>
      <c r="X249" s="9" t="str">
        <f t="shared" si="25"/>
        <v/>
      </c>
      <c r="Y249" s="10"/>
      <c r="Z249" s="10">
        <f>IF($H249="Cancelled","",IFERROR(IF(F249="","",F249-Variables!$B$13),""))</f>
        <v>45885</v>
      </c>
      <c r="AA249" s="11" t="str">
        <f>IF($H249="Cancelled","",IFERROR(IF(W249="","",(AVERAGE(E249:F249)-W249)-Variables!$B$14),""))</f>
        <v/>
      </c>
      <c r="AB249" s="10">
        <v>45881</v>
      </c>
      <c r="AC249" s="11" t="str">
        <f>IF($H249="Cancelled","",IFERROR(IF(AB249="","",IF(AND(W249="",Y249=""),"",IF(Y249&gt;W249,Y249+Variables!$B$15+Variables!$B$16+Variables!$B$17-AB249,W249+Variables!$B$16+Variables!$B$17-AB249))),""))</f>
        <v/>
      </c>
      <c r="AD249" s="9" t="s">
        <v>92</v>
      </c>
      <c r="AE249" s="9" t="s">
        <v>715</v>
      </c>
      <c r="AF249" s="10"/>
      <c r="AG249" s="10"/>
      <c r="AH249" s="9"/>
      <c r="AI249" s="9" t="s">
        <v>716</v>
      </c>
      <c r="AJ249" s="9" t="s">
        <v>717</v>
      </c>
      <c r="AK249" s="10">
        <v>45903</v>
      </c>
      <c r="AL249" s="10">
        <v>45904</v>
      </c>
      <c r="AM249" s="10">
        <v>45912</v>
      </c>
      <c r="AN249" s="9" t="s">
        <v>95</v>
      </c>
      <c r="AO249" s="9"/>
      <c r="AP249" s="11">
        <f>IF($H249="Cancelled","",IFERROR(IF(OR(AK249="",AB249=""),"",(AB249+Variables!$B$18-AK249)),""))</f>
        <v>-15</v>
      </c>
      <c r="AQ249" s="11">
        <f>IF($H249="Cancelled","",IFERROR(IF(OR(AM249="",AK249=""),"",(AK249+Variables!$B$19)-AM249),""))</f>
        <v>-4</v>
      </c>
      <c r="AR249" s="12">
        <f>IF($H249="Cancelled","",IFERROR(T249*INDEX(Variables!$B$7:$D$7,IFERROR(MATCH(IF($B249="Robusta","Robusta",(IF($B249="","Arabica",$B249))&amp;" - "&amp;(IF($C249="","Commercial",$C249))),Variables!$B$1:$D$1,0),1))*(AQ249/365),""))</f>
        <v>-242.41623061688693</v>
      </c>
      <c r="AS249" s="12" t="str">
        <f>IF($H249="Cancelled","",IFERROR((T249*INDEX(Variables!$B$7:$D$7,IFERROR(MATCH(IF($B249="Robusta","Robusta",(IF($B249="","Arabica",$B249))&amp;" - "&amp;(IF($C249="","Commercial",$C249))),Variables!$B$1:$D$1,0),1))*IFERROR(IF(W249="","",(AVERAGE(E249:F249)-W249)-Variables!$B$14),"")/365)+(L249/16.67*INDEX(Variables!$B$8:$D$8,IFERROR(MATCH(IF($B249="Robusta","Robusta",(IF($B249="","Arabica",$B249))&amp;" - "&amp;(IF($C249="","Commercial",$C249))),Variables!$B$1:$D$1,0),1))*IFERROR(IF(W249="","",(AVERAGE(E249:F249)-W249)-Variables!$B$14),""))+(T249*INDEX(Variables!$B$9:$D$9,IFERROR(MATCH(IF($B249="Robusta","Robusta",(IF($B249="","Arabica",$B249))&amp;" - "&amp;(IF($C249="","Commercial",$C249))),Variables!$B$1:$D$1,0),1))*IFERROR(IF(W249="","",(AVERAGE(E249:F249)-W249)-Variables!$B$14),"")/365),""))</f>
        <v/>
      </c>
      <c r="AT249" s="12" t="str">
        <f>IF($H249="Cancelled","",IFERROR((T249*INDEX(Variables!$B$7:$D$7,IFERROR(MATCH(IF($B249="Robusta","Robusta",(IF($B249="","Arabica",$B249))&amp;" - "&amp;(IF($C249="","Commercial",$C249))),Variables!$B$1:$D$1,0),1))*AC249/365)+(L249/16.67*INDEX(Variables!$B$8:$D$8,IFERROR(MATCH(IF($B249="Robusta","Robusta",(IF($B249="","Arabica",$B249))&amp;" - "&amp;(IF($C249="","Commercial",$C249))),Variables!$B$1:$D$1,0),1))*AC249)+(T249*INDEX(Variables!$B$9:$D$9,IFERROR(MATCH(IF($B249="Robusta","Robusta",(IF($B249="","Arabica",$B249))&amp;" - "&amp;(IF($C249="","Commercial",$C249))),Variables!$B$1:$D$1,0),1))*AC249/365),""))</f>
        <v/>
      </c>
      <c r="AU249" s="12">
        <f>IF($H249="Cancelled","",IFERROR((T249*INDEX(Variables!$B$7:$D$7,IFERROR(MATCH(IF($B249="Robusta","Robusta",(IF($B249="","Arabica",$B249))&amp;" - "&amp;(IF($C249="","Commercial",$C249))),Variables!$B$1:$D$1,0),1))*AP249/365)+(L249/16.67*INDEX(Variables!$B$8:$D$8,IFERROR(MATCH(IF($B249="Robusta","Robusta",(IF($B249="","Arabica",$B249))&amp;" - "&amp;(IF($C249="","Commercial",$C249))),Variables!$B$1:$D$1,0),1))*AP249)+(T249*INDEX(Variables!$B$9:$D$9,IFERROR(MATCH(IF($B249="Robusta","Robusta",(IF($B249="","Arabica",$B249))&amp;" - "&amp;(IF($C249="","Commercial",$C249))),Variables!$B$1:$D$1,0),1))*AP249/365),""))</f>
        <v>-1550.780413726349</v>
      </c>
      <c r="AV249" s="11">
        <f t="shared" si="23"/>
        <v>-3</v>
      </c>
      <c r="AW249" s="12">
        <f>IF($H249="Cancelled","",IFERROR(IF(AV249="","",(T249*INDEX(Variables!$B$7:$D$7,IFERROR(MATCH(IF($B249="Robusta","Robusta",(IF($B249="","Arabica",$B249))&amp;" - "&amp;(IF($C249="","Commercial",$C249))),Variables!$B$1:$D$1,0),1))*(AV249/365))+(T249*INDEX(Variables!$B$9:$D$9,IFERROR(MATCH(IF($B249="Robusta","Robusta",(IF($B249="","Arabica",$B249))&amp;" - "&amp;(IF($C249="","Commercial",$C249))),Variables!$B$1:$D$1,0),1))*(AV249/365))+(INDEX(Variables!$B$8:$D$8,IFERROR(MATCH(IF($B249="Robusta","Robusta",(IF($B249="","Arabica",$B249))&amp;" - "&amp;(IF($C249="","Commercial",$C249))),Variables!$B$1:$D$1,0),1))*L249/16.67)),""))</f>
        <v>-142.15608274526974</v>
      </c>
      <c r="AX249" s="9"/>
      <c r="AY249" s="12"/>
      <c r="AZ249" s="10"/>
      <c r="BA249" s="9"/>
      <c r="BB249" s="10"/>
      <c r="BC249" s="9"/>
      <c r="BD249" s="9"/>
      <c r="BE249" s="9"/>
      <c r="BF249" s="9"/>
    </row>
    <row r="250" spans="1:58" x14ac:dyDescent="0.25">
      <c r="A250" s="9" t="s">
        <v>84</v>
      </c>
      <c r="B250" s="9" t="s">
        <v>85</v>
      </c>
      <c r="C250" s="9" t="s">
        <v>86</v>
      </c>
      <c r="D250" s="10">
        <v>45541</v>
      </c>
      <c r="E250" s="10">
        <v>45541</v>
      </c>
      <c r="F250" s="10">
        <v>45565</v>
      </c>
      <c r="G250" s="9">
        <v>3786516</v>
      </c>
      <c r="H250" s="9" t="str">
        <f t="shared" si="21"/>
        <v>Closed</v>
      </c>
      <c r="I250" s="9" t="str">
        <f t="shared" si="22"/>
        <v>All dates received</v>
      </c>
      <c r="J250" s="9" t="s">
        <v>718</v>
      </c>
      <c r="K250" s="9">
        <v>5095</v>
      </c>
      <c r="L250" s="11">
        <v>320</v>
      </c>
      <c r="M250" s="9" t="s">
        <v>719</v>
      </c>
      <c r="N250" s="9" t="s">
        <v>149</v>
      </c>
      <c r="O250" s="9"/>
      <c r="P250" s="9"/>
      <c r="Q250" s="11">
        <v>24</v>
      </c>
      <c r="R250" s="9" t="s">
        <v>195</v>
      </c>
      <c r="S250" s="9" t="s">
        <v>150</v>
      </c>
      <c r="T250" s="12">
        <f>IF($H250="Cancelled","",IFERROR(((Q250+INDEX(Variables!$B$6:$D$6,IFERROR(MATCH(IF($B250="Robusta","Robusta",(IF($B250="","Arabica",$B250))&amp;" - "&amp;(IF($C250="","Commercial",$C250))),Variables!$B$1:$D$1,0),1)))*22.0462)*(L250/16.67),""))</f>
        <v>133224.1153689262</v>
      </c>
      <c r="U250" s="10"/>
      <c r="V250" s="9" t="s">
        <v>195</v>
      </c>
      <c r="W250" s="10">
        <v>45519</v>
      </c>
      <c r="X250" s="9" t="str">
        <f t="shared" si="25"/>
        <v>Approved</v>
      </c>
      <c r="Y250" s="10">
        <v>45699</v>
      </c>
      <c r="Z250" s="10">
        <f>IF($H250="Cancelled","",IFERROR(IF(F250="","",F250-Variables!$B$13),""))</f>
        <v>45550</v>
      </c>
      <c r="AA250" s="11">
        <f>IF($H250="Cancelled","",IFERROR(IF(W250="","",(AVERAGE(E250:F250)-W250)-Variables!$B$14),""))</f>
        <v>4</v>
      </c>
      <c r="AB250" s="10">
        <v>45713</v>
      </c>
      <c r="AC250" s="11">
        <f>IF($H250="Cancelled","",IFERROR(IF(AB250="","",IF(AND(W250="",Y250=""),"",IF(Y250&gt;W250,Y250+Variables!$B$15+Variables!$B$16+Variables!$B$17-AB250,W250+Variables!$B$16+Variables!$B$17-AB250))),""))</f>
        <v>1</v>
      </c>
      <c r="AD250" s="9" t="s">
        <v>650</v>
      </c>
      <c r="AE250" s="9" t="s">
        <v>720</v>
      </c>
      <c r="AF250" s="10"/>
      <c r="AG250" s="10"/>
      <c r="AH250" s="9"/>
      <c r="AI250" s="9" t="s">
        <v>721</v>
      </c>
      <c r="AJ250" s="9" t="s">
        <v>8</v>
      </c>
      <c r="AK250" s="10">
        <v>45560</v>
      </c>
      <c r="AL250" s="10">
        <v>45567</v>
      </c>
      <c r="AM250" s="10">
        <v>45576</v>
      </c>
      <c r="AN250" s="9" t="s">
        <v>95</v>
      </c>
      <c r="AO250" s="9"/>
      <c r="AP250" s="11">
        <f>IF($H250="Cancelled","",IFERROR(IF(OR(AK250="",AB250=""),"",(AB250+Variables!$B$18-AK250)),""))</f>
        <v>160</v>
      </c>
      <c r="AQ250" s="11">
        <f>IF($H250="Cancelled","",IFERROR(IF(OR(AM250="",AK250=""),"",(AK250+Variables!$B$19)-AM250),""))</f>
        <v>-11</v>
      </c>
      <c r="AR250" s="12">
        <f>IF($H250="Cancelled","",IFERROR(T250*INDEX(Variables!$B$7:$D$7,IFERROR(MATCH(IF($B250="Robusta","Robusta",(IF($B250="","Arabica",$B250))&amp;" - "&amp;(IF($C250="","Commercial",$C250))),Variables!$B$1:$D$1,0),1))*(AQ250/365),""))</f>
        <v>-258.8943138971614</v>
      </c>
      <c r="AS250" s="12">
        <f>IF($H250="Cancelled","",IFERROR((T250*INDEX(Variables!$B$7:$D$7,IFERROR(MATCH(IF($B250="Robusta","Robusta",(IF($B250="","Arabica",$B250))&amp;" - "&amp;(IF($C250="","Commercial",$C250))),Variables!$B$1:$D$1,0),1))*IFERROR(IF(W250="","",(AVERAGE(E250:F250)-W250)-Variables!$B$14),"")/365)+(L250/16.67*INDEX(Variables!$B$8:$D$8,IFERROR(MATCH(IF($B250="Robusta","Robusta",(IF($B250="","Arabica",$B250))&amp;" - "&amp;(IF($C250="","Commercial",$C250))),Variables!$B$1:$D$1,0),1))*IFERROR(IF(W250="","",(AVERAGE(E250:F250)-W250)-Variables!$B$14),""))+(T250*INDEX(Variables!$B$9:$D$9,IFERROR(MATCH(IF($B250="Robusta","Robusta",(IF($B250="","Arabica",$B250))&amp;" - "&amp;(IF($C250="","Commercial",$C250))),Variables!$B$1:$D$1,0),1))*IFERROR(IF(W250="","",(AVERAGE(E250:F250)-W250)-Variables!$B$14),"")/365),""))</f>
        <v>159.35707681258478</v>
      </c>
      <c r="AT250" s="12">
        <f>IF($H250="Cancelled","",IFERROR((T250*INDEX(Variables!$B$7:$D$7,IFERROR(MATCH(IF($B250="Robusta","Robusta",(IF($B250="","Arabica",$B250))&amp;" - "&amp;(IF($C250="","Commercial",$C250))),Variables!$B$1:$D$1,0),1))*AC250/365)+(L250/16.67*INDEX(Variables!$B$8:$D$8,IFERROR(MATCH(IF($B250="Robusta","Robusta",(IF($B250="","Arabica",$B250))&amp;" - "&amp;(IF($C250="","Commercial",$C250))),Variables!$B$1:$D$1,0),1))*AC250)+(T250*INDEX(Variables!$B$9:$D$9,IFERROR(MATCH(IF($B250="Robusta","Robusta",(IF($B250="","Arabica",$B250))&amp;" - "&amp;(IF($C250="","Commercial",$C250))),Variables!$B$1:$D$1,0),1))*AC250/365),""))</f>
        <v>39.839269203146195</v>
      </c>
      <c r="AU250" s="12">
        <f>IF($H250="Cancelled","",IFERROR((T250*INDEX(Variables!$B$7:$D$7,IFERROR(MATCH(IF($B250="Robusta","Robusta",(IF($B250="","Arabica",$B250))&amp;" - "&amp;(IF($C250="","Commercial",$C250))),Variables!$B$1:$D$1,0),1))*AP250/365)+(L250/16.67*INDEX(Variables!$B$8:$D$8,IFERROR(MATCH(IF($B250="Robusta","Robusta",(IF($B250="","Arabica",$B250))&amp;" - "&amp;(IF($C250="","Commercial",$C250))),Variables!$B$1:$D$1,0),1))*AP250)+(T250*INDEX(Variables!$B$9:$D$9,IFERROR(MATCH(IF($B250="Robusta","Robusta",(IF($B250="","Arabica",$B250))&amp;" - "&amp;(IF($C250="","Commercial",$C250))),Variables!$B$1:$D$1,0),1))*AP250/365),""))</f>
        <v>6374.2830725033918</v>
      </c>
      <c r="AV250" s="11">
        <f t="shared" si="23"/>
        <v>5</v>
      </c>
      <c r="AW250" s="12">
        <f>IF($H250="Cancelled","",IFERROR(IF(AV250="","",(T250*INDEX(Variables!$B$7:$D$7,IFERROR(MATCH(IF($B250="Robusta","Robusta",(IF($B250="","Arabica",$B250))&amp;" - "&amp;(IF($C250="","Commercial",$C250))),Variables!$B$1:$D$1,0),1))*(AV250/365))+(T250*INDEX(Variables!$B$9:$D$9,IFERROR(MATCH(IF($B250="Robusta","Robusta",(IF($B250="","Arabica",$B250))&amp;" - "&amp;(IF($C250="","Commercial",$C250))),Variables!$B$1:$D$1,0),1))*(AV250/365))+(INDEX(Variables!$B$8:$D$8,IFERROR(MATCH(IF($B250="Robusta","Robusta",(IF($B250="","Arabica",$B250))&amp;" - "&amp;(IF($C250="","Commercial",$C250))),Variables!$B$1:$D$1,0),1))*L250/16.67)),""))</f>
        <v>135.19634601573097</v>
      </c>
      <c r="AX250" s="9"/>
      <c r="AY250" s="12"/>
      <c r="AZ250" s="10"/>
      <c r="BA250" s="9"/>
      <c r="BB250" s="10"/>
      <c r="BC250" s="9"/>
      <c r="BD250" s="9"/>
      <c r="BE250" s="9"/>
      <c r="BF250" s="9"/>
    </row>
    <row r="251" spans="1:58" x14ac:dyDescent="0.25">
      <c r="A251" s="9" t="s">
        <v>84</v>
      </c>
      <c r="B251" s="9" t="s">
        <v>85</v>
      </c>
      <c r="C251" s="9" t="s">
        <v>86</v>
      </c>
      <c r="D251" s="10">
        <v>45547</v>
      </c>
      <c r="E251" s="10">
        <v>45536</v>
      </c>
      <c r="F251" s="10">
        <v>45565</v>
      </c>
      <c r="G251" s="9">
        <v>3786521</v>
      </c>
      <c r="H251" s="9" t="str">
        <f t="shared" si="21"/>
        <v>Closed</v>
      </c>
      <c r="I251" s="9" t="str">
        <f t="shared" si="22"/>
        <v>All dates received</v>
      </c>
      <c r="J251" s="9" t="s">
        <v>102</v>
      </c>
      <c r="K251" s="9">
        <v>5096</v>
      </c>
      <c r="L251" s="11">
        <v>360</v>
      </c>
      <c r="M251" s="9" t="s">
        <v>722</v>
      </c>
      <c r="N251" s="9" t="s">
        <v>387</v>
      </c>
      <c r="O251" s="9"/>
      <c r="P251" s="9"/>
      <c r="Q251" s="11">
        <v>-28</v>
      </c>
      <c r="R251" s="9" t="s">
        <v>90</v>
      </c>
      <c r="S251" s="9" t="s">
        <v>106</v>
      </c>
      <c r="T251" s="12">
        <f>IF($H251="Cancelled","",IFERROR(((Q251+INDEX(Variables!$B$6:$D$6,IFERROR(MATCH(IF($B251="Robusta","Robusta",(IF($B251="","Arabica",$B251))&amp;" - "&amp;(IF($C251="","Commercial",$C251))),Variables!$B$1:$D$1,0),1)))*22.0462)*(L251/16.67),""))</f>
        <v>125119.78941811637</v>
      </c>
      <c r="U251" s="10"/>
      <c r="V251" s="9" t="str">
        <f t="shared" ref="V251:V282" si="27">IF(ISNUMBER(U251),"Sent","")</f>
        <v/>
      </c>
      <c r="W251" s="10">
        <v>45519</v>
      </c>
      <c r="X251" s="9" t="str">
        <f t="shared" si="25"/>
        <v>Approved</v>
      </c>
      <c r="Y251" s="10">
        <v>45713</v>
      </c>
      <c r="Z251" s="10">
        <f>IF($H251="Cancelled","",IFERROR(IF(F251="","",F251-Variables!$B$13),""))</f>
        <v>45550</v>
      </c>
      <c r="AA251" s="11">
        <f>IF($H251="Cancelled","",IFERROR(IF(W251="","",(AVERAGE(E251:F251)-W251)-Variables!$B$14),""))</f>
        <v>1.5</v>
      </c>
      <c r="AB251" s="10">
        <v>45717</v>
      </c>
      <c r="AC251" s="11">
        <f>IF($H251="Cancelled","",IFERROR(IF(AB251="","",IF(AND(W251="",Y251=""),"",IF(Y251&gt;W251,Y251+Variables!$B$15+Variables!$B$16+Variables!$B$17-AB251,W251+Variables!$B$16+Variables!$B$17-AB251))),""))</f>
        <v>11</v>
      </c>
      <c r="AD251" s="9" t="s">
        <v>163</v>
      </c>
      <c r="AE251" s="9" t="s">
        <v>164</v>
      </c>
      <c r="AF251" s="10"/>
      <c r="AG251" s="10"/>
      <c r="AH251" s="9"/>
      <c r="AI251" s="9">
        <v>244624858</v>
      </c>
      <c r="AJ251" s="9" t="s">
        <v>8</v>
      </c>
      <c r="AK251" s="10">
        <v>45561</v>
      </c>
      <c r="AL251" s="10">
        <v>45567</v>
      </c>
      <c r="AM251" s="10">
        <v>45580</v>
      </c>
      <c r="AN251" s="9" t="s">
        <v>95</v>
      </c>
      <c r="AO251" s="9"/>
      <c r="AP251" s="11">
        <f>IF($H251="Cancelled","",IFERROR(IF(OR(AK251="",AB251=""),"",(AB251+Variables!$B$18-AK251)),""))</f>
        <v>163</v>
      </c>
      <c r="AQ251" s="11">
        <f>IF($H251="Cancelled","",IFERROR(IF(OR(AM251="",AK251=""),"",(AK251+Variables!$B$19)-AM251),""))</f>
        <v>-14</v>
      </c>
      <c r="AR251" s="12">
        <f>IF($H251="Cancelled","",IFERROR(T251*INDEX(Variables!$B$7:$D$7,IFERROR(MATCH(IF($B251="Robusta","Robusta",(IF($B251="","Arabica",$B251))&amp;" - "&amp;(IF($C251="","Commercial",$C251))),Variables!$B$1:$D$1,0),1))*(AQ251/365),""))</f>
        <v>-309.4575068302359</v>
      </c>
      <c r="AS251" s="12">
        <f>IF($H251="Cancelled","",IFERROR((T251*INDEX(Variables!$B$7:$D$7,IFERROR(MATCH(IF($B251="Robusta","Robusta",(IF($B251="","Arabica",$B251))&amp;" - "&amp;(IF($C251="","Commercial",$C251))),Variables!$B$1:$D$1,0),1))*IFERROR(IF(W251="","",(AVERAGE(E251:F251)-W251)-Variables!$B$14),"")/365)+(L251/16.67*INDEX(Variables!$B$8:$D$8,IFERROR(MATCH(IF($B251="Robusta","Robusta",(IF($B251="","Arabica",$B251))&amp;" - "&amp;(IF($C251="","Commercial",$C251))),Variables!$B$1:$D$1,0),1))*IFERROR(IF(W251="","",(AVERAGE(E251:F251)-W251)-Variables!$B$14),""))+(T251*INDEX(Variables!$B$9:$D$9,IFERROR(MATCH(IF($B251="Robusta","Robusta",(IF($B251="","Arabica",$B251))&amp;" - "&amp;(IF($C251="","Commercial",$C251))),Variables!$B$1:$D$1,0),1))*IFERROR(IF(W251="","",(AVERAGE(E251:F251)-W251)-Variables!$B$14),"")/365),""))</f>
        <v>60.583608354082791</v>
      </c>
      <c r="AT251" s="12">
        <f>IF($H251="Cancelled","",IFERROR((T251*INDEX(Variables!$B$7:$D$7,IFERROR(MATCH(IF($B251="Robusta","Robusta",(IF($B251="","Arabica",$B251))&amp;" - "&amp;(IF($C251="","Commercial",$C251))),Variables!$B$1:$D$1,0),1))*AC251/365)+(L251/16.67*INDEX(Variables!$B$8:$D$8,IFERROR(MATCH(IF($B251="Robusta","Robusta",(IF($B251="","Arabica",$B251))&amp;" - "&amp;(IF($C251="","Commercial",$C251))),Variables!$B$1:$D$1,0),1))*AC251)+(T251*INDEX(Variables!$B$9:$D$9,IFERROR(MATCH(IF($B251="Robusta","Robusta",(IF($B251="","Arabica",$B251))&amp;" - "&amp;(IF($C251="","Commercial",$C251))),Variables!$B$1:$D$1,0),1))*AC251/365),""))</f>
        <v>444.27979459660708</v>
      </c>
      <c r="AU251" s="12">
        <f>IF($H251="Cancelled","",IFERROR((T251*INDEX(Variables!$B$7:$D$7,IFERROR(MATCH(IF($B251="Robusta","Robusta",(IF($B251="","Arabica",$B251))&amp;" - "&amp;(IF($C251="","Commercial",$C251))),Variables!$B$1:$D$1,0),1))*AP251/365)+(L251/16.67*INDEX(Variables!$B$8:$D$8,IFERROR(MATCH(IF($B251="Robusta","Robusta",(IF($B251="","Arabica",$B251))&amp;" - "&amp;(IF($C251="","Commercial",$C251))),Variables!$B$1:$D$1,0),1))*AP251)+(T251*INDEX(Variables!$B$9:$D$9,IFERROR(MATCH(IF($B251="Robusta","Robusta",(IF($B251="","Arabica",$B251))&amp;" - "&amp;(IF($C251="","Commercial",$C251))),Variables!$B$1:$D$1,0),1))*AP251/365),""))</f>
        <v>6583.418774476997</v>
      </c>
      <c r="AV251" s="11">
        <f t="shared" si="23"/>
        <v>4</v>
      </c>
      <c r="AW251" s="12">
        <f>IF($H251="Cancelled","",IFERROR(IF(AV251="","",(T251*INDEX(Variables!$B$7:$D$7,IFERROR(MATCH(IF($B251="Robusta","Robusta",(IF($B251="","Arabica",$B251))&amp;" - "&amp;(IF($C251="","Commercial",$C251))),Variables!$B$1:$D$1,0),1))*(AV251/365))+(T251*INDEX(Variables!$B$9:$D$9,IFERROR(MATCH(IF($B251="Robusta","Robusta",(IF($B251="","Arabica",$B251))&amp;" - "&amp;(IF($C251="","Commercial",$C251))),Variables!$B$1:$D$1,0),1))*(AV251/365))+(INDEX(Variables!$B$8:$D$8,IFERROR(MATCH(IF($B251="Robusta","Robusta",(IF($B251="","Arabica",$B251))&amp;" - "&amp;(IF($C251="","Commercial",$C251))),Variables!$B$1:$D$1,0),1))*L251/16.67)),""))</f>
        <v>107.55628894422077</v>
      </c>
      <c r="AX251" s="9"/>
      <c r="AY251" s="12"/>
      <c r="AZ251" s="10"/>
      <c r="BA251" s="9"/>
      <c r="BB251" s="10"/>
      <c r="BC251" s="9"/>
      <c r="BD251" s="9"/>
      <c r="BE251" s="9"/>
      <c r="BF251" s="9"/>
    </row>
    <row r="252" spans="1:58" x14ac:dyDescent="0.25">
      <c r="A252" s="9" t="s">
        <v>84</v>
      </c>
      <c r="B252" s="9" t="s">
        <v>85</v>
      </c>
      <c r="C252" s="9" t="s">
        <v>86</v>
      </c>
      <c r="D252" s="10">
        <v>45560</v>
      </c>
      <c r="E252" s="10">
        <v>45658</v>
      </c>
      <c r="F252" s="10">
        <v>45688</v>
      </c>
      <c r="G252" s="9">
        <v>3786530</v>
      </c>
      <c r="H252" s="9" t="str">
        <f t="shared" si="21"/>
        <v>Closed</v>
      </c>
      <c r="I252" s="9" t="str">
        <f t="shared" si="22"/>
        <v>All dates received</v>
      </c>
      <c r="J252" s="9" t="s">
        <v>102</v>
      </c>
      <c r="K252" s="9">
        <v>5143</v>
      </c>
      <c r="L252" s="11">
        <v>360</v>
      </c>
      <c r="M252" s="9" t="s">
        <v>723</v>
      </c>
      <c r="N252" s="9" t="s">
        <v>122</v>
      </c>
      <c r="O252" s="9"/>
      <c r="P252" s="9"/>
      <c r="Q252" s="11">
        <v>4.75</v>
      </c>
      <c r="R252" s="9" t="s">
        <v>90</v>
      </c>
      <c r="S252" s="9" t="s">
        <v>293</v>
      </c>
      <c r="T252" s="12">
        <f>IF($H252="Cancelled","",IFERROR(((Q252+INDEX(Variables!$B$6:$D$6,IFERROR(MATCH(IF($B252="Robusta","Robusta",(IF($B252="","Arabica",$B252))&amp;" - "&amp;(IF($C252="","Commercial",$C252))),Variables!$B$1:$D$1,0),1)))*22.0462)*(L252/16.67),""))</f>
        <v>140712.1528254349</v>
      </c>
      <c r="U252" s="10">
        <v>45616</v>
      </c>
      <c r="V252" s="9" t="str">
        <f t="shared" si="27"/>
        <v>Sent</v>
      </c>
      <c r="W252" s="10">
        <v>45630</v>
      </c>
      <c r="X252" s="9" t="str">
        <f t="shared" si="25"/>
        <v>Approved</v>
      </c>
      <c r="Y252" s="10"/>
      <c r="Z252" s="10">
        <f>IF($H252="Cancelled","",IFERROR(IF(F252="","",F252-Variables!$B$13),""))</f>
        <v>45673</v>
      </c>
      <c r="AA252" s="11">
        <f>IF($H252="Cancelled","",IFERROR(IF(W252="","",(AVERAGE(E252:F252)-W252)-Variables!$B$14),""))</f>
        <v>13</v>
      </c>
      <c r="AB252" s="10">
        <v>45687</v>
      </c>
      <c r="AC252" s="11">
        <f>IF($H252="Cancelled","",IFERROR(IF(AB252="","",IF(AND(W252="",Y252=""),"",IF(Y252&gt;W252,Y252+Variables!$B$15+Variables!$B$16+Variables!$B$17-AB252,W252+Variables!$B$16+Variables!$B$17-AB252))),""))</f>
        <v>-49</v>
      </c>
      <c r="AD252" s="9" t="s">
        <v>163</v>
      </c>
      <c r="AE252" s="9" t="s">
        <v>724</v>
      </c>
      <c r="AF252" s="10">
        <v>45695</v>
      </c>
      <c r="AG252" s="10"/>
      <c r="AH252" s="9"/>
      <c r="AI252" s="9">
        <v>249153525</v>
      </c>
      <c r="AJ252" s="9" t="s">
        <v>8</v>
      </c>
      <c r="AK252" s="10">
        <v>45693</v>
      </c>
      <c r="AL252" s="10">
        <v>45699</v>
      </c>
      <c r="AM252" s="10">
        <v>45699</v>
      </c>
      <c r="AN252" s="9" t="s">
        <v>95</v>
      </c>
      <c r="AO252" s="9"/>
      <c r="AP252" s="11">
        <f>IF($H252="Cancelled","",IFERROR(IF(OR(AK252="",AB252=""),"",(AB252+Variables!$B$18-AK252)),""))</f>
        <v>1</v>
      </c>
      <c r="AQ252" s="11">
        <f>IF($H252="Cancelled","",IFERROR(IF(OR(AM252="",AK252=""),"",(AK252+Variables!$B$19)-AM252),""))</f>
        <v>-1</v>
      </c>
      <c r="AR252" s="12">
        <f>IF($H252="Cancelled","",IFERROR(T252*INDEX(Variables!$B$7:$D$7,IFERROR(MATCH(IF($B252="Robusta","Robusta",(IF($B252="","Arabica",$B252))&amp;" - "&amp;(IF($C252="","Commercial",$C252))),Variables!$B$1:$D$1,0),1))*(AQ252/365),""))</f>
        <v>-24.858710084713039</v>
      </c>
      <c r="AS252" s="12">
        <f>IF($H252="Cancelled","",IFERROR((T252*INDEX(Variables!$B$7:$D$7,IFERROR(MATCH(IF($B252="Robusta","Robusta",(IF($B252="","Arabica",$B252))&amp;" - "&amp;(IF($C252="","Commercial",$C252))),Variables!$B$1:$D$1,0),1))*IFERROR(IF(W252="","",(AVERAGE(E252:F252)-W252)-Variables!$B$14),"")/365)+(L252/16.67*INDEX(Variables!$B$8:$D$8,IFERROR(MATCH(IF($B252="Robusta","Robusta",(IF($B252="","Arabica",$B252))&amp;" - "&amp;(IF($C252="","Commercial",$C252))),Variables!$B$1:$D$1,0),1))*IFERROR(IF(W252="","",(AVERAGE(E252:F252)-W252)-Variables!$B$14),""))+(T252*INDEX(Variables!$B$9:$D$9,IFERROR(MATCH(IF($B252="Robusta","Robusta",(IF($B252="","Arabica",$B252))&amp;" - "&amp;(IF($C252="","Commercial",$C252))),Variables!$B$1:$D$1,0),1))*IFERROR(IF(W252="","",(AVERAGE(E252:F252)-W252)-Variables!$B$14),"")/365),""))</f>
        <v>561.32942881187</v>
      </c>
      <c r="AT252" s="12">
        <f>IF($H252="Cancelled","",IFERROR((T252*INDEX(Variables!$B$7:$D$7,IFERROR(MATCH(IF($B252="Robusta","Robusta",(IF($B252="","Arabica",$B252))&amp;" - "&amp;(IF($C252="","Commercial",$C252))),Variables!$B$1:$D$1,0),1))*AC252/365)+(L252/16.67*INDEX(Variables!$B$8:$D$8,IFERROR(MATCH(IF($B252="Robusta","Robusta",(IF($B252="","Arabica",$B252))&amp;" - "&amp;(IF($C252="","Commercial",$C252))),Variables!$B$1:$D$1,0),1))*AC252)+(T252*INDEX(Variables!$B$9:$D$9,IFERROR(MATCH(IF($B252="Robusta","Robusta",(IF($B252="","Arabica",$B252))&amp;" - "&amp;(IF($C252="","Commercial",$C252))),Variables!$B$1:$D$1,0),1))*AC252/365),""))</f>
        <v>-2115.7801547524336</v>
      </c>
      <c r="AU252" s="12">
        <f>IF($H252="Cancelled","",IFERROR((T252*INDEX(Variables!$B$7:$D$7,IFERROR(MATCH(IF($B252="Robusta","Robusta",(IF($B252="","Arabica",$B252))&amp;" - "&amp;(IF($C252="","Commercial",$C252))),Variables!$B$1:$D$1,0),1))*AP252/365)+(L252/16.67*INDEX(Variables!$B$8:$D$8,IFERROR(MATCH(IF($B252="Robusta","Robusta",(IF($B252="","Arabica",$B252))&amp;" - "&amp;(IF($C252="","Commercial",$C252))),Variables!$B$1:$D$1,0),1))*AP252)+(T252*INDEX(Variables!$B$9:$D$9,IFERROR(MATCH(IF($B252="Robusta","Robusta",(IF($B252="","Arabica",$B252))&amp;" - "&amp;(IF($C252="","Commercial",$C252))),Variables!$B$1:$D$1,0),1))*AP252/365),""))</f>
        <v>43.179186831682308</v>
      </c>
      <c r="AV252" s="11">
        <f t="shared" si="23"/>
        <v>-5</v>
      </c>
      <c r="AW252" s="12">
        <f>IF($H252="Cancelled","",IFERROR(IF(AV252="","",(T252*INDEX(Variables!$B$7:$D$7,IFERROR(MATCH(IF($B252="Robusta","Robusta",(IF($B252="","Arabica",$B252))&amp;" - "&amp;(IF($C252="","Commercial",$C252))),Variables!$B$1:$D$1,0),1))*(AV252/365))+(T252*INDEX(Variables!$B$9:$D$9,IFERROR(MATCH(IF($B252="Robusta","Robusta",(IF($B252="","Arabica",$B252))&amp;" - "&amp;(IF($C252="","Commercial",$C252))),Variables!$B$1:$D$1,0),1))*(AV252/365))+(INDEX(Variables!$B$8:$D$8,IFERROR(MATCH(IF($B252="Robusta","Robusta",(IF($B252="","Arabica",$B252))&amp;" - "&amp;(IF($C252="","Commercial",$C252))),Variables!$B$1:$D$1,0),1))*L252/16.67)),""))</f>
        <v>-107.89593415841154</v>
      </c>
      <c r="AX252" s="9"/>
      <c r="AY252" s="12"/>
      <c r="AZ252" s="10"/>
      <c r="BA252" s="9"/>
      <c r="BB252" s="10"/>
      <c r="BC252" s="9"/>
      <c r="BD252" s="9"/>
      <c r="BE252" s="9"/>
      <c r="BF252" s="9"/>
    </row>
    <row r="253" spans="1:58" x14ac:dyDescent="0.25">
      <c r="A253" s="9" t="s">
        <v>84</v>
      </c>
      <c r="B253" s="9" t="s">
        <v>85</v>
      </c>
      <c r="C253" s="9" t="s">
        <v>86</v>
      </c>
      <c r="D253" s="10">
        <v>45560</v>
      </c>
      <c r="E253" s="10">
        <v>45658</v>
      </c>
      <c r="F253" s="10">
        <v>45688</v>
      </c>
      <c r="G253" s="9">
        <v>3786530</v>
      </c>
      <c r="H253" s="9" t="str">
        <f t="shared" si="21"/>
        <v>Closed</v>
      </c>
      <c r="I253" s="9" t="str">
        <f t="shared" si="22"/>
        <v>All dates received</v>
      </c>
      <c r="J253" s="9" t="s">
        <v>102</v>
      </c>
      <c r="K253" s="9">
        <v>5143</v>
      </c>
      <c r="L253" s="11">
        <v>1440</v>
      </c>
      <c r="M253" s="9" t="s">
        <v>723</v>
      </c>
      <c r="N253" s="9" t="s">
        <v>122</v>
      </c>
      <c r="O253" s="9"/>
      <c r="P253" s="9"/>
      <c r="Q253" s="11">
        <v>4.75</v>
      </c>
      <c r="R253" s="9" t="s">
        <v>90</v>
      </c>
      <c r="S253" s="9" t="s">
        <v>293</v>
      </c>
      <c r="T253" s="12">
        <f>IF($H253="Cancelled","",IFERROR(((Q253+INDEX(Variables!$B$6:$D$6,IFERROR(MATCH(IF($B253="Robusta","Robusta",(IF($B253="","Arabica",$B253))&amp;" - "&amp;(IF($C253="","Commercial",$C253))),Variables!$B$1:$D$1,0),1)))*22.0462)*(L253/16.67),""))</f>
        <v>562848.61130173958</v>
      </c>
      <c r="U253" s="10">
        <v>45616</v>
      </c>
      <c r="V253" s="9" t="str">
        <f t="shared" si="27"/>
        <v>Sent</v>
      </c>
      <c r="W253" s="10">
        <v>45630</v>
      </c>
      <c r="X253" s="9" t="str">
        <f t="shared" si="25"/>
        <v>Approved</v>
      </c>
      <c r="Y253" s="10"/>
      <c r="Z253" s="10">
        <f>IF($H253="Cancelled","",IFERROR(IF(F253="","",F253-Variables!$B$13),""))</f>
        <v>45673</v>
      </c>
      <c r="AA253" s="11">
        <f>IF($H253="Cancelled","",IFERROR(IF(W253="","",(AVERAGE(E253:F253)-W253)-Variables!$B$14),""))</f>
        <v>13</v>
      </c>
      <c r="AB253" s="10">
        <v>45687</v>
      </c>
      <c r="AC253" s="11">
        <f>IF($H253="Cancelled","",IFERROR(IF(AB253="","",IF(AND(W253="",Y253=""),"",IF(Y253&gt;W253,Y253+Variables!$B$15+Variables!$B$16+Variables!$B$17-AB253,W253+Variables!$B$16+Variables!$B$17-AB253))),""))</f>
        <v>-49</v>
      </c>
      <c r="AD253" s="9" t="s">
        <v>163</v>
      </c>
      <c r="AE253" s="9" t="s">
        <v>164</v>
      </c>
      <c r="AF253" s="10">
        <v>45702</v>
      </c>
      <c r="AG253" s="10"/>
      <c r="AH253" s="9"/>
      <c r="AI253" s="9">
        <v>249995343</v>
      </c>
      <c r="AJ253" s="9" t="s">
        <v>8</v>
      </c>
      <c r="AK253" s="10">
        <v>45702</v>
      </c>
      <c r="AL253" s="10">
        <v>45705</v>
      </c>
      <c r="AM253" s="10">
        <v>45705</v>
      </c>
      <c r="AN253" s="9" t="s">
        <v>95</v>
      </c>
      <c r="AO253" s="9"/>
      <c r="AP253" s="11">
        <f>IF($H253="Cancelled","",IFERROR(IF(OR(AK253="",AB253=""),"",(AB253+Variables!$B$18-AK253)),""))</f>
        <v>-8</v>
      </c>
      <c r="AQ253" s="11">
        <f>IF($H253="Cancelled","",IFERROR(IF(OR(AM253="",AK253=""),"",(AK253+Variables!$B$19)-AM253),""))</f>
        <v>2</v>
      </c>
      <c r="AR253" s="12">
        <f>IF($H253="Cancelled","",IFERROR(T253*INDEX(Variables!$B$7:$D$7,IFERROR(MATCH(IF($B253="Robusta","Robusta",(IF($B253="","Arabica",$B253))&amp;" - "&amp;(IF($C253="","Commercial",$C253))),Variables!$B$1:$D$1,0),1))*(AQ253/365),""))</f>
        <v>198.86968067770431</v>
      </c>
      <c r="AS253" s="12">
        <f>IF($H253="Cancelled","",IFERROR((T253*INDEX(Variables!$B$7:$D$7,IFERROR(MATCH(IF($B253="Robusta","Robusta",(IF($B253="","Arabica",$B253))&amp;" - "&amp;(IF($C253="","Commercial",$C253))),Variables!$B$1:$D$1,0),1))*IFERROR(IF(W253="","",(AVERAGE(E253:F253)-W253)-Variables!$B$14),"")/365)+(L253/16.67*INDEX(Variables!$B$8:$D$8,IFERROR(MATCH(IF($B253="Robusta","Robusta",(IF($B253="","Arabica",$B253))&amp;" - "&amp;(IF($C253="","Commercial",$C253))),Variables!$B$1:$D$1,0),1))*IFERROR(IF(W253="","",(AVERAGE(E253:F253)-W253)-Variables!$B$14),""))+(T253*INDEX(Variables!$B$9:$D$9,IFERROR(MATCH(IF($B253="Robusta","Robusta",(IF($B253="","Arabica",$B253))&amp;" - "&amp;(IF($C253="","Commercial",$C253))),Variables!$B$1:$D$1,0),1))*IFERROR(IF(W253="","",(AVERAGE(E253:F253)-W253)-Variables!$B$14),"")/365),""))</f>
        <v>2245.31771524748</v>
      </c>
      <c r="AT253" s="12">
        <f>IF($H253="Cancelled","",IFERROR((T253*INDEX(Variables!$B$7:$D$7,IFERROR(MATCH(IF($B253="Robusta","Robusta",(IF($B253="","Arabica",$B253))&amp;" - "&amp;(IF($C253="","Commercial",$C253))),Variables!$B$1:$D$1,0),1))*AC253/365)+(L253/16.67*INDEX(Variables!$B$8:$D$8,IFERROR(MATCH(IF($B253="Robusta","Robusta",(IF($B253="","Arabica",$B253))&amp;" - "&amp;(IF($C253="","Commercial",$C253))),Variables!$B$1:$D$1,0),1))*AC253)+(T253*INDEX(Variables!$B$9:$D$9,IFERROR(MATCH(IF($B253="Robusta","Robusta",(IF($B253="","Arabica",$B253))&amp;" - "&amp;(IF($C253="","Commercial",$C253))),Variables!$B$1:$D$1,0),1))*AC253/365),""))</f>
        <v>-8463.1206190097346</v>
      </c>
      <c r="AU253" s="12">
        <f>IF($H253="Cancelled","",IFERROR((T253*INDEX(Variables!$B$7:$D$7,IFERROR(MATCH(IF($B253="Robusta","Robusta",(IF($B253="","Arabica",$B253))&amp;" - "&amp;(IF($C253="","Commercial",$C253))),Variables!$B$1:$D$1,0),1))*AP253/365)+(L253/16.67*INDEX(Variables!$B$8:$D$8,IFERROR(MATCH(IF($B253="Robusta","Robusta",(IF($B253="","Arabica",$B253))&amp;" - "&amp;(IF($C253="","Commercial",$C253))),Variables!$B$1:$D$1,0),1))*AP253)+(T253*INDEX(Variables!$B$9:$D$9,IFERROR(MATCH(IF($B253="Robusta","Robusta",(IF($B253="","Arabica",$B253))&amp;" - "&amp;(IF($C253="","Commercial",$C253))),Variables!$B$1:$D$1,0),1))*AP253/365),""))</f>
        <v>-1381.7339786138339</v>
      </c>
      <c r="AV253" s="11">
        <f t="shared" si="23"/>
        <v>-14</v>
      </c>
      <c r="AW253" s="12">
        <f>IF($H253="Cancelled","",IFERROR(IF(AV253="","",(T253*INDEX(Variables!$B$7:$D$7,IFERROR(MATCH(IF($B253="Robusta","Robusta",(IF($B253="","Arabica",$B253))&amp;" - "&amp;(IF($C253="","Commercial",$C253))),Variables!$B$1:$D$1,0),1))*(AV253/365))+(T253*INDEX(Variables!$B$9:$D$9,IFERROR(MATCH(IF($B253="Robusta","Robusta",(IF($B253="","Arabica",$B253))&amp;" - "&amp;(IF($C253="","Commercial",$C253))),Variables!$B$1:$D$1,0),1))*(AV253/365))+(INDEX(Variables!$B$8:$D$8,IFERROR(MATCH(IF($B253="Robusta","Robusta",(IF($B253="","Arabica",$B253))&amp;" - "&amp;(IF($C253="","Commercial",$C253))),Variables!$B$1:$D$1,0),1))*L253/16.67)),""))</f>
        <v>-1338.0344625742093</v>
      </c>
      <c r="AX253" s="9"/>
      <c r="AY253" s="12"/>
      <c r="AZ253" s="10"/>
      <c r="BA253" s="9"/>
      <c r="BB253" s="10"/>
      <c r="BC253" s="9"/>
      <c r="BD253" s="9"/>
      <c r="BE253" s="9"/>
      <c r="BF253" s="9"/>
    </row>
    <row r="254" spans="1:58" x14ac:dyDescent="0.25">
      <c r="A254" s="9" t="s">
        <v>84</v>
      </c>
      <c r="B254" s="9" t="s">
        <v>85</v>
      </c>
      <c r="C254" s="9" t="s">
        <v>86</v>
      </c>
      <c r="D254" s="10">
        <v>45560</v>
      </c>
      <c r="E254" s="10">
        <v>45658</v>
      </c>
      <c r="F254" s="10">
        <v>45688</v>
      </c>
      <c r="G254" s="9">
        <v>3786533</v>
      </c>
      <c r="H254" s="9" t="str">
        <f t="shared" si="21"/>
        <v>Closed</v>
      </c>
      <c r="I254" s="9" t="str">
        <f t="shared" si="22"/>
        <v>All dates received</v>
      </c>
      <c r="J254" s="9" t="s">
        <v>102</v>
      </c>
      <c r="K254" s="9" t="s">
        <v>725</v>
      </c>
      <c r="L254" s="11">
        <v>720</v>
      </c>
      <c r="M254" s="9" t="s">
        <v>726</v>
      </c>
      <c r="N254" s="9" t="s">
        <v>122</v>
      </c>
      <c r="O254" s="9"/>
      <c r="P254" s="9"/>
      <c r="Q254" s="11">
        <v>-2.5</v>
      </c>
      <c r="R254" s="9" t="s">
        <v>90</v>
      </c>
      <c r="S254" s="9" t="s">
        <v>656</v>
      </c>
      <c r="T254" s="12">
        <f>IF($H254="Cancelled","",IFERROR(((Q254+INDEX(Variables!$B$6:$D$6,IFERROR(MATCH(IF($B254="Robusta","Robusta",(IF($B254="","Arabica",$B254))&amp;" - "&amp;(IF($C254="","Commercial",$C254))),Variables!$B$1:$D$1,0),1)))*22.0462)*(L254/16.67),""))</f>
        <v>274520.81650869828</v>
      </c>
      <c r="U254" s="10">
        <v>45616</v>
      </c>
      <c r="V254" s="9" t="str">
        <f t="shared" si="27"/>
        <v>Sent</v>
      </c>
      <c r="W254" s="10">
        <v>45653</v>
      </c>
      <c r="X254" s="9" t="str">
        <f t="shared" si="25"/>
        <v>Approved</v>
      </c>
      <c r="Y254" s="10"/>
      <c r="Z254" s="10">
        <f>IF($H254="Cancelled","",IFERROR(IF(F254="","",F254-Variables!$B$13),""))</f>
        <v>45673</v>
      </c>
      <c r="AA254" s="11">
        <f>IF($H254="Cancelled","",IFERROR(IF(W254="","",(AVERAGE(E254:F254)-W254)-Variables!$B$14),""))</f>
        <v>-10</v>
      </c>
      <c r="AB254" s="10">
        <v>45680</v>
      </c>
      <c r="AC254" s="11">
        <f>IF($H254="Cancelled","",IFERROR(IF(AB254="","",IF(AND(W254="",Y254=""),"",IF(Y254&gt;W254,Y254+Variables!$B$15+Variables!$B$16+Variables!$B$17-AB254,W254+Variables!$B$16+Variables!$B$17-AB254))),""))</f>
        <v>-19</v>
      </c>
      <c r="AD254" s="9" t="s">
        <v>650</v>
      </c>
      <c r="AE254" s="9" t="s">
        <v>219</v>
      </c>
      <c r="AF254" s="10">
        <v>45687</v>
      </c>
      <c r="AG254" s="10"/>
      <c r="AH254" s="9"/>
      <c r="AI254" s="9">
        <v>249261163</v>
      </c>
      <c r="AJ254" s="9" t="s">
        <v>8</v>
      </c>
      <c r="AK254" s="10">
        <v>45688</v>
      </c>
      <c r="AL254" s="10">
        <v>45692</v>
      </c>
      <c r="AM254" s="10">
        <v>45692</v>
      </c>
      <c r="AN254" s="9" t="s">
        <v>95</v>
      </c>
      <c r="AO254" s="9"/>
      <c r="AP254" s="11">
        <f>IF($H254="Cancelled","",IFERROR(IF(OR(AK254="",AB254=""),"",(AB254+Variables!$B$18-AK254)),""))</f>
        <v>-1</v>
      </c>
      <c r="AQ254" s="11">
        <f>IF($H254="Cancelled","",IFERROR(IF(OR(AM254="",AK254=""),"",(AK254+Variables!$B$19)-AM254),""))</f>
        <v>1</v>
      </c>
      <c r="AR254" s="12">
        <f>IF($H254="Cancelled","",IFERROR(T254*INDEX(Variables!$B$7:$D$7,IFERROR(MATCH(IF($B254="Robusta","Robusta",(IF($B254="","Arabica",$B254))&amp;" - "&amp;(IF($C254="","Commercial",$C254))),Variables!$B$1:$D$1,0),1))*(AQ254/365),""))</f>
        <v>48.497825189800501</v>
      </c>
      <c r="AS254" s="12">
        <f>IF($H254="Cancelled","",IFERROR((T254*INDEX(Variables!$B$7:$D$7,IFERROR(MATCH(IF($B254="Robusta","Robusta",(IF($B254="","Arabica",$B254))&amp;" - "&amp;(IF($C254="","Commercial",$C254))),Variables!$B$1:$D$1,0),1))*IFERROR(IF(W254="","",(AVERAGE(E254:F254)-W254)-Variables!$B$14),"")/365)+(L254/16.67*INDEX(Variables!$B$8:$D$8,IFERROR(MATCH(IF($B254="Robusta","Robusta",(IF($B254="","Arabica",$B254))&amp;" - "&amp;(IF($C254="","Commercial",$C254))),Variables!$B$1:$D$1,0),1))*IFERROR(IF(W254="","",(AVERAGE(E254:F254)-W254)-Variables!$B$14),""))+(T254*INDEX(Variables!$B$9:$D$9,IFERROR(MATCH(IF($B254="Robusta","Robusta",(IF($B254="","Arabica",$B254))&amp;" - "&amp;(IF($C254="","Commercial",$C254))),Variables!$B$1:$D$1,0),1))*IFERROR(IF(W254="","",(AVERAGE(E254:F254)-W254)-Variables!$B$14),"")/365),""))</f>
        <v>-851.23055750796891</v>
      </c>
      <c r="AT254" s="12">
        <f>IF($H254="Cancelled","",IFERROR((T254*INDEX(Variables!$B$7:$D$7,IFERROR(MATCH(IF($B254="Robusta","Robusta",(IF($B254="","Arabica",$B254))&amp;" - "&amp;(IF($C254="","Commercial",$C254))),Variables!$B$1:$D$1,0),1))*AC254/365)+(L254/16.67*INDEX(Variables!$B$8:$D$8,IFERROR(MATCH(IF($B254="Robusta","Robusta",(IF($B254="","Arabica",$B254))&amp;" - "&amp;(IF($C254="","Commercial",$C254))),Variables!$B$1:$D$1,0),1))*AC254)+(T254*INDEX(Variables!$B$9:$D$9,IFERROR(MATCH(IF($B254="Robusta","Robusta",(IF($B254="","Arabica",$B254))&amp;" - "&amp;(IF($C254="","Commercial",$C254))),Variables!$B$1:$D$1,0),1))*AC254/365),""))</f>
        <v>-1617.3380592651411</v>
      </c>
      <c r="AU254" s="12">
        <f>IF($H254="Cancelled","",IFERROR((T254*INDEX(Variables!$B$7:$D$7,IFERROR(MATCH(IF($B254="Robusta","Robusta",(IF($B254="","Arabica",$B254))&amp;" - "&amp;(IF($C254="","Commercial",$C254))),Variables!$B$1:$D$1,0),1))*AP254/365)+(L254/16.67*INDEX(Variables!$B$8:$D$8,IFERROR(MATCH(IF($B254="Robusta","Robusta",(IF($B254="","Arabica",$B254))&amp;" - "&amp;(IF($C254="","Commercial",$C254))),Variables!$B$1:$D$1,0),1))*AP254)+(T254*INDEX(Variables!$B$9:$D$9,IFERROR(MATCH(IF($B254="Robusta","Robusta",(IF($B254="","Arabica",$B254))&amp;" - "&amp;(IF($C254="","Commercial",$C254))),Variables!$B$1:$D$1,0),1))*AP254/365),""))</f>
        <v>-85.123055750796894</v>
      </c>
      <c r="AV254" s="11">
        <f t="shared" si="23"/>
        <v>0</v>
      </c>
      <c r="AW254" s="12">
        <f>IF($H254="Cancelled","",IFERROR(IF(AV254="","",(T254*INDEX(Variables!$B$7:$D$7,IFERROR(MATCH(IF($B254="Robusta","Robusta",(IF($B254="","Arabica",$B254))&amp;" - "&amp;(IF($C254="","Commercial",$C254))),Variables!$B$1:$D$1,0),1))*(AV254/365))+(T254*INDEX(Variables!$B$9:$D$9,IFERROR(MATCH(IF($B254="Robusta","Robusta",(IF($B254="","Arabica",$B254))&amp;" - "&amp;(IF($C254="","Commercial",$C254))),Variables!$B$1:$D$1,0),1))*(AV254/365))+(INDEX(Variables!$B$8:$D$8,IFERROR(MATCH(IF($B254="Robusta","Robusta",(IF($B254="","Arabica",$B254))&amp;" - "&amp;(IF($C254="","Commercial",$C254))),Variables!$B$1:$D$1,0),1))*L254/16.67)),""))</f>
        <v>36</v>
      </c>
      <c r="AX254" s="9"/>
      <c r="AY254" s="12"/>
      <c r="AZ254" s="10"/>
      <c r="BA254" s="9"/>
      <c r="BB254" s="10"/>
      <c r="BC254" s="9"/>
      <c r="BD254" s="9"/>
      <c r="BE254" s="9"/>
      <c r="BF254" s="9"/>
    </row>
    <row r="255" spans="1:58" x14ac:dyDescent="0.25">
      <c r="A255" s="9" t="s">
        <v>84</v>
      </c>
      <c r="B255" s="9" t="s">
        <v>85</v>
      </c>
      <c r="C255" s="9" t="s">
        <v>86</v>
      </c>
      <c r="D255" s="10">
        <v>45560</v>
      </c>
      <c r="E255" s="10">
        <v>45658</v>
      </c>
      <c r="F255" s="10">
        <v>45688</v>
      </c>
      <c r="G255" s="9">
        <v>3786533</v>
      </c>
      <c r="H255" s="9" t="str">
        <f t="shared" si="21"/>
        <v>Closed</v>
      </c>
      <c r="I255" s="9" t="str">
        <f t="shared" si="22"/>
        <v>All dates received</v>
      </c>
      <c r="J255" s="9" t="s">
        <v>102</v>
      </c>
      <c r="K255" s="9" t="s">
        <v>727</v>
      </c>
      <c r="L255" s="11">
        <v>720</v>
      </c>
      <c r="M255" s="9" t="s">
        <v>726</v>
      </c>
      <c r="N255" s="9" t="s">
        <v>122</v>
      </c>
      <c r="O255" s="9"/>
      <c r="P255" s="9"/>
      <c r="Q255" s="11">
        <v>-2.5</v>
      </c>
      <c r="R255" s="9" t="s">
        <v>90</v>
      </c>
      <c r="S255" s="9" t="s">
        <v>178</v>
      </c>
      <c r="T255" s="12">
        <f>IF($H255="Cancelled","",IFERROR(((Q255+INDEX(Variables!$B$6:$D$6,IFERROR(MATCH(IF($B255="Robusta","Robusta",(IF($B255="","Arabica",$B255))&amp;" - "&amp;(IF($C255="","Commercial",$C255))),Variables!$B$1:$D$1,0),1)))*22.0462)*(L255/16.67),""))</f>
        <v>274520.81650869828</v>
      </c>
      <c r="U255" s="10">
        <v>45616</v>
      </c>
      <c r="V255" s="9" t="str">
        <f t="shared" si="27"/>
        <v>Sent</v>
      </c>
      <c r="W255" s="10">
        <v>45653</v>
      </c>
      <c r="X255" s="9" t="str">
        <f t="shared" si="25"/>
        <v>Approved</v>
      </c>
      <c r="Y255" s="10"/>
      <c r="Z255" s="10">
        <f>IF($H255="Cancelled","",IFERROR(IF(F255="","",F255-Variables!$B$13),""))</f>
        <v>45673</v>
      </c>
      <c r="AA255" s="11">
        <f>IF($H255="Cancelled","",IFERROR(IF(W255="","",(AVERAGE(E255:F255)-W255)-Variables!$B$14),""))</f>
        <v>-10</v>
      </c>
      <c r="AB255" s="10">
        <v>45680</v>
      </c>
      <c r="AC255" s="11">
        <f>IF($H255="Cancelled","",IFERROR(IF(AB255="","",IF(AND(W255="",Y255=""),"",IF(Y255&gt;W255,Y255+Variables!$B$15+Variables!$B$16+Variables!$B$17-AB255,W255+Variables!$B$16+Variables!$B$17-AB255))),""))</f>
        <v>-19</v>
      </c>
      <c r="AD255" s="9" t="s">
        <v>163</v>
      </c>
      <c r="AE255" s="9" t="s">
        <v>219</v>
      </c>
      <c r="AF255" s="10">
        <v>45687</v>
      </c>
      <c r="AG255" s="10"/>
      <c r="AH255" s="9"/>
      <c r="AI255" s="9">
        <v>247561656</v>
      </c>
      <c r="AJ255" s="9" t="s">
        <v>8</v>
      </c>
      <c r="AK255" s="10">
        <v>45688</v>
      </c>
      <c r="AL255" s="10">
        <v>45692</v>
      </c>
      <c r="AM255" s="10">
        <v>45694</v>
      </c>
      <c r="AN255" s="9" t="s">
        <v>95</v>
      </c>
      <c r="AO255" s="9"/>
      <c r="AP255" s="11">
        <f>IF($H255="Cancelled","",IFERROR(IF(OR(AK255="",AB255=""),"",(AB255+Variables!$B$18-AK255)),""))</f>
        <v>-1</v>
      </c>
      <c r="AQ255" s="11">
        <f>IF($H255="Cancelled","",IFERROR(IF(OR(AM255="",AK255=""),"",(AK255+Variables!$B$19)-AM255),""))</f>
        <v>-1</v>
      </c>
      <c r="AR255" s="12">
        <f>IF($H255="Cancelled","",IFERROR(T255*INDEX(Variables!$B$7:$D$7,IFERROR(MATCH(IF($B255="Robusta","Robusta",(IF($B255="","Arabica",$B255))&amp;" - "&amp;(IF($C255="","Commercial",$C255))),Variables!$B$1:$D$1,0),1))*(AQ255/365),""))</f>
        <v>-48.497825189800501</v>
      </c>
      <c r="AS255" s="12">
        <f>IF($H255="Cancelled","",IFERROR((T255*INDEX(Variables!$B$7:$D$7,IFERROR(MATCH(IF($B255="Robusta","Robusta",(IF($B255="","Arabica",$B255))&amp;" - "&amp;(IF($C255="","Commercial",$C255))),Variables!$B$1:$D$1,0),1))*IFERROR(IF(W255="","",(AVERAGE(E255:F255)-W255)-Variables!$B$14),"")/365)+(L255/16.67*INDEX(Variables!$B$8:$D$8,IFERROR(MATCH(IF($B255="Robusta","Robusta",(IF($B255="","Arabica",$B255))&amp;" - "&amp;(IF($C255="","Commercial",$C255))),Variables!$B$1:$D$1,0),1))*IFERROR(IF(W255="","",(AVERAGE(E255:F255)-W255)-Variables!$B$14),""))+(T255*INDEX(Variables!$B$9:$D$9,IFERROR(MATCH(IF($B255="Robusta","Robusta",(IF($B255="","Arabica",$B255))&amp;" - "&amp;(IF($C255="","Commercial",$C255))),Variables!$B$1:$D$1,0),1))*IFERROR(IF(W255="","",(AVERAGE(E255:F255)-W255)-Variables!$B$14),"")/365),""))</f>
        <v>-851.23055750796891</v>
      </c>
      <c r="AT255" s="12">
        <f>IF($H255="Cancelled","",IFERROR((T255*INDEX(Variables!$B$7:$D$7,IFERROR(MATCH(IF($B255="Robusta","Robusta",(IF($B255="","Arabica",$B255))&amp;" - "&amp;(IF($C255="","Commercial",$C255))),Variables!$B$1:$D$1,0),1))*AC255/365)+(L255/16.67*INDEX(Variables!$B$8:$D$8,IFERROR(MATCH(IF($B255="Robusta","Robusta",(IF($B255="","Arabica",$B255))&amp;" - "&amp;(IF($C255="","Commercial",$C255))),Variables!$B$1:$D$1,0),1))*AC255)+(T255*INDEX(Variables!$B$9:$D$9,IFERROR(MATCH(IF($B255="Robusta","Robusta",(IF($B255="","Arabica",$B255))&amp;" - "&amp;(IF($C255="","Commercial",$C255))),Variables!$B$1:$D$1,0),1))*AC255/365),""))</f>
        <v>-1617.3380592651411</v>
      </c>
      <c r="AU255" s="12">
        <f>IF($H255="Cancelled","",IFERROR((T255*INDEX(Variables!$B$7:$D$7,IFERROR(MATCH(IF($B255="Robusta","Robusta",(IF($B255="","Arabica",$B255))&amp;" - "&amp;(IF($C255="","Commercial",$C255))),Variables!$B$1:$D$1,0),1))*AP255/365)+(L255/16.67*INDEX(Variables!$B$8:$D$8,IFERROR(MATCH(IF($B255="Robusta","Robusta",(IF($B255="","Arabica",$B255))&amp;" - "&amp;(IF($C255="","Commercial",$C255))),Variables!$B$1:$D$1,0),1))*AP255)+(T255*INDEX(Variables!$B$9:$D$9,IFERROR(MATCH(IF($B255="Robusta","Robusta",(IF($B255="","Arabica",$B255))&amp;" - "&amp;(IF($C255="","Commercial",$C255))),Variables!$B$1:$D$1,0),1))*AP255/365),""))</f>
        <v>-85.123055750796894</v>
      </c>
      <c r="AV255" s="11">
        <f t="shared" si="23"/>
        <v>0</v>
      </c>
      <c r="AW255" s="12">
        <f>IF($H255="Cancelled","",IFERROR(IF(AV255="","",(T255*INDEX(Variables!$B$7:$D$7,IFERROR(MATCH(IF($B255="Robusta","Robusta",(IF($B255="","Arabica",$B255))&amp;" - "&amp;(IF($C255="","Commercial",$C255))),Variables!$B$1:$D$1,0),1))*(AV255/365))+(T255*INDEX(Variables!$B$9:$D$9,IFERROR(MATCH(IF($B255="Robusta","Robusta",(IF($B255="","Arabica",$B255))&amp;" - "&amp;(IF($C255="","Commercial",$C255))),Variables!$B$1:$D$1,0),1))*(AV255/365))+(INDEX(Variables!$B$8:$D$8,IFERROR(MATCH(IF($B255="Robusta","Robusta",(IF($B255="","Arabica",$B255))&amp;" - "&amp;(IF($C255="","Commercial",$C255))),Variables!$B$1:$D$1,0),1))*L255/16.67)),""))</f>
        <v>36</v>
      </c>
      <c r="AX255" s="9"/>
      <c r="AY255" s="12"/>
      <c r="AZ255" s="10"/>
      <c r="BA255" s="9"/>
      <c r="BB255" s="10"/>
      <c r="BC255" s="9"/>
      <c r="BD255" s="9"/>
      <c r="BE255" s="9"/>
      <c r="BF255" s="9"/>
    </row>
    <row r="256" spans="1:58" x14ac:dyDescent="0.25">
      <c r="A256" s="9" t="s">
        <v>84</v>
      </c>
      <c r="B256" s="9" t="s">
        <v>85</v>
      </c>
      <c r="C256" s="9" t="s">
        <v>86</v>
      </c>
      <c r="D256" s="10">
        <v>45560</v>
      </c>
      <c r="E256" s="10">
        <v>45658</v>
      </c>
      <c r="F256" s="10">
        <v>45688</v>
      </c>
      <c r="G256" s="9">
        <v>3786533</v>
      </c>
      <c r="H256" s="9" t="str">
        <f t="shared" si="21"/>
        <v>Closed</v>
      </c>
      <c r="I256" s="9" t="str">
        <f t="shared" si="22"/>
        <v>All dates received</v>
      </c>
      <c r="J256" s="9" t="s">
        <v>102</v>
      </c>
      <c r="K256" s="9" t="s">
        <v>727</v>
      </c>
      <c r="L256" s="11">
        <v>360</v>
      </c>
      <c r="M256" s="9" t="s">
        <v>726</v>
      </c>
      <c r="N256" s="9" t="s">
        <v>122</v>
      </c>
      <c r="O256" s="9"/>
      <c r="P256" s="9"/>
      <c r="Q256" s="11">
        <v>-2.5</v>
      </c>
      <c r="R256" s="9" t="s">
        <v>90</v>
      </c>
      <c r="S256" s="9" t="s">
        <v>178</v>
      </c>
      <c r="T256" s="12">
        <f>IF($H256="Cancelled","",IFERROR(((Q256+INDEX(Variables!$B$6:$D$6,IFERROR(MATCH(IF($B256="Robusta","Robusta",(IF($B256="","Arabica",$B256))&amp;" - "&amp;(IF($C256="","Commercial",$C256))),Variables!$B$1:$D$1,0),1)))*22.0462)*(L256/16.67),""))</f>
        <v>137260.40825434914</v>
      </c>
      <c r="U256" s="10">
        <v>45616</v>
      </c>
      <c r="V256" s="9" t="str">
        <f t="shared" si="27"/>
        <v>Sent</v>
      </c>
      <c r="W256" s="10">
        <v>45653</v>
      </c>
      <c r="X256" s="9" t="str">
        <f t="shared" si="25"/>
        <v>Approved</v>
      </c>
      <c r="Y256" s="10"/>
      <c r="Z256" s="10">
        <f>IF($H256="Cancelled","",IFERROR(IF(F256="","",F256-Variables!$B$13),""))</f>
        <v>45673</v>
      </c>
      <c r="AA256" s="11">
        <f>IF($H256="Cancelled","",IFERROR(IF(W256="","",(AVERAGE(E256:F256)-W256)-Variables!$B$14),""))</f>
        <v>-10</v>
      </c>
      <c r="AB256" s="10">
        <v>45680</v>
      </c>
      <c r="AC256" s="11">
        <f>IF($H256="Cancelled","",IFERROR(IF(AB256="","",IF(AND(W256="",Y256=""),"",IF(Y256&gt;W256,Y256+Variables!$B$15+Variables!$B$16+Variables!$B$17-AB256,W256+Variables!$B$16+Variables!$B$17-AB256))),""))</f>
        <v>-19</v>
      </c>
      <c r="AD256" s="9" t="s">
        <v>163</v>
      </c>
      <c r="AE256" s="9" t="s">
        <v>584</v>
      </c>
      <c r="AF256" s="10">
        <v>45695</v>
      </c>
      <c r="AG256" s="10"/>
      <c r="AH256" s="9"/>
      <c r="AI256" s="9">
        <v>249729610</v>
      </c>
      <c r="AJ256" s="9" t="s">
        <v>8</v>
      </c>
      <c r="AK256" s="10">
        <v>45694</v>
      </c>
      <c r="AL256" s="10">
        <v>45699</v>
      </c>
      <c r="AM256" s="10">
        <v>45699</v>
      </c>
      <c r="AN256" s="9" t="s">
        <v>95</v>
      </c>
      <c r="AO256" s="9"/>
      <c r="AP256" s="11">
        <f>IF($H256="Cancelled","",IFERROR(IF(OR(AK256="",AB256=""),"",(AB256+Variables!$B$18-AK256)),""))</f>
        <v>-7</v>
      </c>
      <c r="AQ256" s="11">
        <f>IF($H256="Cancelled","",IFERROR(IF(OR(AM256="",AK256=""),"",(AK256+Variables!$B$19)-AM256),""))</f>
        <v>0</v>
      </c>
      <c r="AR256" s="12">
        <f>IF($H256="Cancelled","",IFERROR(T256*INDEX(Variables!$B$7:$D$7,IFERROR(MATCH(IF($B256="Robusta","Robusta",(IF($B256="","Arabica",$B256))&amp;" - "&amp;(IF($C256="","Commercial",$C256))),Variables!$B$1:$D$1,0),1))*(AQ256/365),""))</f>
        <v>0</v>
      </c>
      <c r="AS256" s="12">
        <f>IF($H256="Cancelled","",IFERROR((T256*INDEX(Variables!$B$7:$D$7,IFERROR(MATCH(IF($B256="Robusta","Robusta",(IF($B256="","Arabica",$B256))&amp;" - "&amp;(IF($C256="","Commercial",$C256))),Variables!$B$1:$D$1,0),1))*IFERROR(IF(W256="","",(AVERAGE(E256:F256)-W256)-Variables!$B$14),"")/365)+(L256/16.67*INDEX(Variables!$B$8:$D$8,IFERROR(MATCH(IF($B256="Robusta","Robusta",(IF($B256="","Arabica",$B256))&amp;" - "&amp;(IF($C256="","Commercial",$C256))),Variables!$B$1:$D$1,0),1))*IFERROR(IF(W256="","",(AVERAGE(E256:F256)-W256)-Variables!$B$14),""))+(T256*INDEX(Variables!$B$9:$D$9,IFERROR(MATCH(IF($B256="Robusta","Robusta",(IF($B256="","Arabica",$B256))&amp;" - "&amp;(IF($C256="","Commercial",$C256))),Variables!$B$1:$D$1,0),1))*IFERROR(IF(W256="","",(AVERAGE(E256:F256)-W256)-Variables!$B$14),"")/365),""))</f>
        <v>-425.61527875398446</v>
      </c>
      <c r="AT256" s="12">
        <f>IF($H256="Cancelled","",IFERROR((T256*INDEX(Variables!$B$7:$D$7,IFERROR(MATCH(IF($B256="Robusta","Robusta",(IF($B256="","Arabica",$B256))&amp;" - "&amp;(IF($C256="","Commercial",$C256))),Variables!$B$1:$D$1,0),1))*AC256/365)+(L256/16.67*INDEX(Variables!$B$8:$D$8,IFERROR(MATCH(IF($B256="Robusta","Robusta",(IF($B256="","Arabica",$B256))&amp;" - "&amp;(IF($C256="","Commercial",$C256))),Variables!$B$1:$D$1,0),1))*AC256)+(T256*INDEX(Variables!$B$9:$D$9,IFERROR(MATCH(IF($B256="Robusta","Robusta",(IF($B256="","Arabica",$B256))&amp;" - "&amp;(IF($C256="","Commercial",$C256))),Variables!$B$1:$D$1,0),1))*AC256/365),""))</f>
        <v>-808.66902963257053</v>
      </c>
      <c r="AU256" s="12">
        <f>IF($H256="Cancelled","",IFERROR((T256*INDEX(Variables!$B$7:$D$7,IFERROR(MATCH(IF($B256="Robusta","Robusta",(IF($B256="","Arabica",$B256))&amp;" - "&amp;(IF($C256="","Commercial",$C256))),Variables!$B$1:$D$1,0),1))*AP256/365)+(L256/16.67*INDEX(Variables!$B$8:$D$8,IFERROR(MATCH(IF($B256="Robusta","Robusta",(IF($B256="","Arabica",$B256))&amp;" - "&amp;(IF($C256="","Commercial",$C256))),Variables!$B$1:$D$1,0),1))*AP256)+(T256*INDEX(Variables!$B$9:$D$9,IFERROR(MATCH(IF($B256="Robusta","Robusta",(IF($B256="","Arabica",$B256))&amp;" - "&amp;(IF($C256="","Commercial",$C256))),Variables!$B$1:$D$1,0),1))*AP256/365),""))</f>
        <v>-297.93069512778919</v>
      </c>
      <c r="AV256" s="11">
        <f t="shared" si="23"/>
        <v>-6</v>
      </c>
      <c r="AW256" s="12">
        <f>IF($H256="Cancelled","",IFERROR(IF(AV256="","",(T256*INDEX(Variables!$B$7:$D$7,IFERROR(MATCH(IF($B256="Robusta","Robusta",(IF($B256="","Arabica",$B256))&amp;" - "&amp;(IF($C256="","Commercial",$C256))),Variables!$B$1:$D$1,0),1))*(AV256/365))+(T256*INDEX(Variables!$B$9:$D$9,IFERROR(MATCH(IF($B256="Robusta","Robusta",(IF($B256="","Arabica",$B256))&amp;" - "&amp;(IF($C256="","Commercial",$C256))),Variables!$B$1:$D$1,0),1))*(AV256/365))+(INDEX(Variables!$B$8:$D$8,IFERROR(MATCH(IF($B256="Robusta","Robusta",(IF($B256="","Arabica",$B256))&amp;" - "&amp;(IF($C256="","Commercial",$C256))),Variables!$B$1:$D$1,0),1))*L256/16.67)),""))</f>
        <v>-129.36916725239064</v>
      </c>
      <c r="AX256" s="9"/>
      <c r="AY256" s="12"/>
      <c r="AZ256" s="10"/>
      <c r="BA256" s="9"/>
      <c r="BB256" s="10"/>
      <c r="BC256" s="9"/>
      <c r="BD256" s="9"/>
      <c r="BE256" s="9"/>
      <c r="BF256" s="9"/>
    </row>
    <row r="257" spans="1:58" x14ac:dyDescent="0.25">
      <c r="A257" s="9" t="s">
        <v>84</v>
      </c>
      <c r="B257" s="9" t="s">
        <v>85</v>
      </c>
      <c r="C257" s="9" t="s">
        <v>86</v>
      </c>
      <c r="D257" s="10">
        <v>45560</v>
      </c>
      <c r="E257" s="10">
        <v>45658</v>
      </c>
      <c r="F257" s="10">
        <v>45688</v>
      </c>
      <c r="G257" s="9">
        <v>3786536</v>
      </c>
      <c r="H257" s="9" t="str">
        <f t="shared" si="21"/>
        <v>Closed</v>
      </c>
      <c r="I257" s="9" t="str">
        <f t="shared" si="22"/>
        <v>All dates received</v>
      </c>
      <c r="J257" s="9" t="s">
        <v>102</v>
      </c>
      <c r="K257" s="9">
        <v>5145</v>
      </c>
      <c r="L257" s="11">
        <v>1080</v>
      </c>
      <c r="M257" s="9" t="s">
        <v>728</v>
      </c>
      <c r="N257" s="9" t="s">
        <v>121</v>
      </c>
      <c r="O257" s="9"/>
      <c r="P257" s="9"/>
      <c r="Q257" s="11">
        <v>16</v>
      </c>
      <c r="R257" s="9" t="s">
        <v>90</v>
      </c>
      <c r="S257" s="9" t="s">
        <v>656</v>
      </c>
      <c r="T257" s="12">
        <f>IF($H257="Cancelled","",IFERROR(((Q257+INDEX(Variables!$B$6:$D$6,IFERROR(MATCH(IF($B257="Robusta","Robusta",(IF($B257="","Arabica",$B257))&amp;" - "&amp;(IF($C257="","Commercial",$C257))),Variables!$B$1:$D$1,0),1)))*22.0462)*(L257/16.67),""))</f>
        <v>438204.92458308331</v>
      </c>
      <c r="U257" s="10">
        <v>45616</v>
      </c>
      <c r="V257" s="9" t="str">
        <f t="shared" si="27"/>
        <v>Sent</v>
      </c>
      <c r="W257" s="10">
        <v>45630</v>
      </c>
      <c r="X257" s="9" t="str">
        <f t="shared" si="25"/>
        <v>Approved</v>
      </c>
      <c r="Y257" s="10"/>
      <c r="Z257" s="10">
        <f>IF($H257="Cancelled","",IFERROR(IF(F257="","",F257-Variables!$B$13),""))</f>
        <v>45673</v>
      </c>
      <c r="AA257" s="11">
        <f>IF($H257="Cancelled","",IFERROR(IF(W257="","",(AVERAGE(E257:F257)-W257)-Variables!$B$14),""))</f>
        <v>13</v>
      </c>
      <c r="AB257" s="10">
        <v>45645</v>
      </c>
      <c r="AC257" s="11">
        <f>IF($H257="Cancelled","",IFERROR(IF(AB257="","",IF(AND(W257="",Y257=""),"",IF(Y257&gt;W257,Y257+Variables!$B$15+Variables!$B$16+Variables!$B$17-AB257,W257+Variables!$B$16+Variables!$B$17-AB257))),""))</f>
        <v>-7</v>
      </c>
      <c r="AD257" s="9" t="s">
        <v>151</v>
      </c>
      <c r="AE257" s="9" t="s">
        <v>729</v>
      </c>
      <c r="AF257" s="10">
        <v>45658</v>
      </c>
      <c r="AG257" s="10"/>
      <c r="AH257" s="9"/>
      <c r="AI257" s="9" t="s">
        <v>730</v>
      </c>
      <c r="AJ257" s="9" t="s">
        <v>8</v>
      </c>
      <c r="AK257" s="10">
        <v>45661</v>
      </c>
      <c r="AL257" s="10">
        <v>45664</v>
      </c>
      <c r="AM257" s="10">
        <v>45664</v>
      </c>
      <c r="AN257" s="9" t="s">
        <v>95</v>
      </c>
      <c r="AO257" s="9"/>
      <c r="AP257" s="11">
        <f>IF($H257="Cancelled","",IFERROR(IF(OR(AK257="",AB257=""),"",(AB257+Variables!$B$18-AK257)),""))</f>
        <v>-9</v>
      </c>
      <c r="AQ257" s="11">
        <f>IF($H257="Cancelled","",IFERROR(IF(OR(AM257="",AK257=""),"",(AK257+Variables!$B$19)-AM257),""))</f>
        <v>2</v>
      </c>
      <c r="AR257" s="12">
        <f>IF($H257="Cancelled","",IFERROR(T257*INDEX(Variables!$B$7:$D$7,IFERROR(MATCH(IF($B257="Robusta","Robusta",(IF($B257="","Arabica",$B257))&amp;" - "&amp;(IF($C257="","Commercial",$C257))),Variables!$B$1:$D$1,0),1))*(AQ257/365),""))</f>
        <v>154.82968541343175</v>
      </c>
      <c r="AS257" s="12">
        <f>IF($H257="Cancelled","",IFERROR((T257*INDEX(Variables!$B$7:$D$7,IFERROR(MATCH(IF($B257="Robusta","Robusta",(IF($B257="","Arabica",$B257))&amp;" - "&amp;(IF($C257="","Commercial",$C257))),Variables!$B$1:$D$1,0),1))*IFERROR(IF(W257="","",(AVERAGE(E257:F257)-W257)-Variables!$B$14),"")/365)+(L257/16.67*INDEX(Variables!$B$8:$D$8,IFERROR(MATCH(IF($B257="Robusta","Robusta",(IF($B257="","Arabica",$B257))&amp;" - "&amp;(IF($C257="","Commercial",$C257))),Variables!$B$1:$D$1,0),1))*IFERROR(IF(W257="","",(AVERAGE(E257:F257)-W257)-Variables!$B$14),""))+(T257*INDEX(Variables!$B$9:$D$9,IFERROR(MATCH(IF($B257="Robusta","Robusta",(IF($B257="","Arabica",$B257))&amp;" - "&amp;(IF($C257="","Commercial",$C257))),Variables!$B$1:$D$1,0),1))*IFERROR(IF(W257="","",(AVERAGE(E257:F257)-W257)-Variables!$B$14),"")/365),""))</f>
        <v>1721.3673025831336</v>
      </c>
      <c r="AT257" s="12">
        <f>IF($H257="Cancelled","",IFERROR((T257*INDEX(Variables!$B$7:$D$7,IFERROR(MATCH(IF($B257="Robusta","Robusta",(IF($B257="","Arabica",$B257))&amp;" - "&amp;(IF($C257="","Commercial",$C257))),Variables!$B$1:$D$1,0),1))*AC257/365)+(L257/16.67*INDEX(Variables!$B$8:$D$8,IFERROR(MATCH(IF($B257="Robusta","Robusta",(IF($B257="","Arabica",$B257))&amp;" - "&amp;(IF($C257="","Commercial",$C257))),Variables!$B$1:$D$1,0),1))*AC257)+(T257*INDEX(Variables!$B$9:$D$9,IFERROR(MATCH(IF($B257="Robusta","Robusta",(IF($B257="","Arabica",$B257))&amp;" - "&amp;(IF($C257="","Commercial",$C257))),Variables!$B$1:$D$1,0),1))*AC257/365),""))</f>
        <v>-926.89008600630268</v>
      </c>
      <c r="AU257" s="12">
        <f>IF($H257="Cancelled","",IFERROR((T257*INDEX(Variables!$B$7:$D$7,IFERROR(MATCH(IF($B257="Robusta","Robusta",(IF($B257="","Arabica",$B257))&amp;" - "&amp;(IF($C257="","Commercial",$C257))),Variables!$B$1:$D$1,0),1))*AP257/365)+(L257/16.67*INDEX(Variables!$B$8:$D$8,IFERROR(MATCH(IF($B257="Robusta","Robusta",(IF($B257="","Arabica",$B257))&amp;" - "&amp;(IF($C257="","Commercial",$C257))),Variables!$B$1:$D$1,0),1))*AP257)+(T257*INDEX(Variables!$B$9:$D$9,IFERROR(MATCH(IF($B257="Robusta","Robusta",(IF($B257="","Arabica",$B257))&amp;" - "&amp;(IF($C257="","Commercial",$C257))),Variables!$B$1:$D$1,0),1))*AP257/365),""))</f>
        <v>-1191.7158248652463</v>
      </c>
      <c r="AV257" s="11">
        <f t="shared" si="23"/>
        <v>27</v>
      </c>
      <c r="AW257" s="12">
        <f>IF($H257="Cancelled","",IFERROR(IF(AV257="","",(T257*INDEX(Variables!$B$7:$D$7,IFERROR(MATCH(IF($B257="Robusta","Robusta",(IF($B257="","Arabica",$B257))&amp;" - "&amp;(IF($C257="","Commercial",$C257))),Variables!$B$1:$D$1,0),1))*(AV257/365))+(T257*INDEX(Variables!$B$9:$D$9,IFERROR(MATCH(IF($B257="Robusta","Robusta",(IF($B257="","Arabica",$B257))&amp;" - "&amp;(IF($C257="","Commercial",$C257))),Variables!$B$1:$D$1,0),1))*(AV257/365))+(INDEX(Variables!$B$8:$D$8,IFERROR(MATCH(IF($B257="Robusta","Robusta",(IF($B257="","Arabica",$B257))&amp;" - "&amp;(IF($C257="","Commercial",$C257))),Variables!$B$1:$D$1,0),1))*L257/16.67)),""))</f>
        <v>2171.1474745957394</v>
      </c>
      <c r="AX257" s="9"/>
      <c r="AY257" s="12"/>
      <c r="AZ257" s="10"/>
      <c r="BA257" s="9"/>
      <c r="BB257" s="10"/>
      <c r="BC257" s="9"/>
      <c r="BD257" s="9"/>
      <c r="BE257" s="9"/>
      <c r="BF257" s="9"/>
    </row>
    <row r="258" spans="1:58" x14ac:dyDescent="0.25">
      <c r="A258" s="9" t="s">
        <v>84</v>
      </c>
      <c r="B258" s="9" t="s">
        <v>85</v>
      </c>
      <c r="C258" s="9" t="s">
        <v>86</v>
      </c>
      <c r="D258" s="10">
        <v>45566</v>
      </c>
      <c r="E258" s="10">
        <v>45658</v>
      </c>
      <c r="F258" s="10">
        <v>45688</v>
      </c>
      <c r="G258" s="9">
        <v>3786538</v>
      </c>
      <c r="H258" s="9" t="str">
        <f t="shared" ref="H258:H321" si="28">IF(ISNUMBER(SEARCH("cancel",AN258)),"Cancelled",IF(AND(AK258&lt;&gt;"",AL258&lt;&gt;"",AM258&lt;&gt;""),"Closed","Open"))</f>
        <v>Closed</v>
      </c>
      <c r="I258" s="9" t="str">
        <f t="shared" ref="I258:I321" si="29">IF(AND(AK258&lt;&gt;"",AL258&lt;&gt;"",AM258&lt;&gt;""),"All dates received",_xlfn.TEXTJOIN(" and ",TRUE(),IF(AK258="","No sailing date",""),IF(AL258="","No shipping advice sent",""),IF(AM258="","No docs dispatch date","")))</f>
        <v>All dates received</v>
      </c>
      <c r="J258" s="9" t="s">
        <v>308</v>
      </c>
      <c r="K258" s="9">
        <v>5147</v>
      </c>
      <c r="L258" s="11">
        <v>1800</v>
      </c>
      <c r="M258" s="9" t="s">
        <v>731</v>
      </c>
      <c r="N258" s="9" t="s">
        <v>121</v>
      </c>
      <c r="O258" s="9"/>
      <c r="P258" s="9"/>
      <c r="Q258" s="11">
        <v>5</v>
      </c>
      <c r="R258" s="9" t="s">
        <v>90</v>
      </c>
      <c r="S258" s="9" t="s">
        <v>106</v>
      </c>
      <c r="T258" s="12">
        <f>IF($H258="Cancelled","",IFERROR(((Q258+INDEX(Variables!$B$6:$D$6,IFERROR(MATCH(IF($B258="Robusta","Robusta",(IF($B258="","Arabica",$B258))&amp;" - "&amp;(IF($C258="","Commercial",$C258))),Variables!$B$1:$D$1,0),1)))*22.0462)*(L258/16.67),""))</f>
        <v>704155.89250149962</v>
      </c>
      <c r="U258" s="10">
        <v>45622</v>
      </c>
      <c r="V258" s="9" t="str">
        <f t="shared" si="27"/>
        <v>Sent</v>
      </c>
      <c r="W258" s="10">
        <v>45625</v>
      </c>
      <c r="X258" s="9" t="str">
        <f t="shared" si="25"/>
        <v>Approved</v>
      </c>
      <c r="Y258" s="10"/>
      <c r="Z258" s="10">
        <f>IF($H258="Cancelled","",IFERROR(IF(F258="","",F258-Variables!$B$13),""))</f>
        <v>45673</v>
      </c>
      <c r="AA258" s="11">
        <f>IF($H258="Cancelled","",IFERROR(IF(W258="","",(AVERAGE(E258:F258)-W258)-Variables!$B$14),""))</f>
        <v>18</v>
      </c>
      <c r="AB258" s="10">
        <v>45674</v>
      </c>
      <c r="AC258" s="11">
        <f>IF($H258="Cancelled","",IFERROR(IF(AB258="","",IF(AND(W258="",Y258=""),"",IF(Y258&gt;W258,Y258+Variables!$B$15+Variables!$B$16+Variables!$B$17-AB258,W258+Variables!$B$16+Variables!$B$17-AB258))),""))</f>
        <v>-41</v>
      </c>
      <c r="AD258" s="9" t="s">
        <v>165</v>
      </c>
      <c r="AE258" s="9" t="s">
        <v>662</v>
      </c>
      <c r="AF258" s="10">
        <v>45687</v>
      </c>
      <c r="AG258" s="10"/>
      <c r="AH258" s="9"/>
      <c r="AI258" s="9" t="s">
        <v>732</v>
      </c>
      <c r="AJ258" s="9" t="s">
        <v>8</v>
      </c>
      <c r="AK258" s="10">
        <v>45688</v>
      </c>
      <c r="AL258" s="10">
        <v>45691</v>
      </c>
      <c r="AM258" s="10">
        <v>45693</v>
      </c>
      <c r="AN258" s="9" t="s">
        <v>95</v>
      </c>
      <c r="AO258" s="9"/>
      <c r="AP258" s="11">
        <f>IF($H258="Cancelled","",IFERROR(IF(OR(AK258="",AB258=""),"",(AB258+Variables!$B$18-AK258)),""))</f>
        <v>-7</v>
      </c>
      <c r="AQ258" s="11">
        <f>IF($H258="Cancelled","",IFERROR(IF(OR(AM258="",AK258=""),"",(AK258+Variables!$B$19)-AM258),""))</f>
        <v>0</v>
      </c>
      <c r="AR258" s="12">
        <f>IF($H258="Cancelled","",IFERROR(T258*INDEX(Variables!$B$7:$D$7,IFERROR(MATCH(IF($B258="Robusta","Robusta",(IF($B258="","Arabica",$B258))&amp;" - "&amp;(IF($C258="","Commercial",$C258))),Variables!$B$1:$D$1,0),1))*(AQ258/365),""))</f>
        <v>0</v>
      </c>
      <c r="AS258" s="12">
        <f>IF($H258="Cancelled","",IFERROR((T258*INDEX(Variables!$B$7:$D$7,IFERROR(MATCH(IF($B258="Robusta","Robusta",(IF($B258="","Arabica",$B258))&amp;" - "&amp;(IF($C258="","Commercial",$C258))),Variables!$B$1:$D$1,0),1))*IFERROR(IF(W258="","",(AVERAGE(E258:F258)-W258)-Variables!$B$14),"")/365)+(L258/16.67*INDEX(Variables!$B$8:$D$8,IFERROR(MATCH(IF($B258="Robusta","Robusta",(IF($B258="","Arabica",$B258))&amp;" - "&amp;(IF($C258="","Commercial",$C258))),Variables!$B$1:$D$1,0),1))*IFERROR(IF(W258="","",(AVERAGE(E258:F258)-W258)-Variables!$B$14),""))+(T258*INDEX(Variables!$B$9:$D$9,IFERROR(MATCH(IF($B258="Robusta","Robusta",(IF($B258="","Arabica",$B258))&amp;" - "&amp;(IF($C258="","Commercial",$C258))),Variables!$B$1:$D$1,0),1))*IFERROR(IF(W258="","",(AVERAGE(E258:F258)-W258)-Variables!$B$14),"")/365),""))</f>
        <v>3888.0436874743577</v>
      </c>
      <c r="AT258" s="12">
        <f>IF($H258="Cancelled","",IFERROR((T258*INDEX(Variables!$B$7:$D$7,IFERROR(MATCH(IF($B258="Robusta","Robusta",(IF($B258="","Arabica",$B258))&amp;" - "&amp;(IF($C258="","Commercial",$C258))),Variables!$B$1:$D$1,0),1))*AC258/365)+(L258/16.67*INDEX(Variables!$B$8:$D$8,IFERROR(MATCH(IF($B258="Robusta","Robusta",(IF($B258="","Arabica",$B258))&amp;" - "&amp;(IF($C258="","Commercial",$C258))),Variables!$B$1:$D$1,0),1))*AC258)+(T258*INDEX(Variables!$B$9:$D$9,IFERROR(MATCH(IF($B258="Robusta","Robusta",(IF($B258="","Arabica",$B258))&amp;" - "&amp;(IF($C258="","Commercial",$C258))),Variables!$B$1:$D$1,0),1))*AC258/365),""))</f>
        <v>-8856.0995103582591</v>
      </c>
      <c r="AU258" s="12">
        <f>IF($H258="Cancelled","",IFERROR((T258*INDEX(Variables!$B$7:$D$7,IFERROR(MATCH(IF($B258="Robusta","Robusta",(IF($B258="","Arabica",$B258))&amp;" - "&amp;(IF($C258="","Commercial",$C258))),Variables!$B$1:$D$1,0),1))*AP258/365)+(L258/16.67*INDEX(Variables!$B$8:$D$8,IFERROR(MATCH(IF($B258="Robusta","Robusta",(IF($B258="","Arabica",$B258))&amp;" - "&amp;(IF($C258="","Commercial",$C258))),Variables!$B$1:$D$1,0),1))*AP258)+(T258*INDEX(Variables!$B$9:$D$9,IFERROR(MATCH(IF($B258="Robusta","Robusta",(IF($B258="","Arabica",$B258))&amp;" - "&amp;(IF($C258="","Commercial",$C258))),Variables!$B$1:$D$1,0),1))*AP258/365),""))</f>
        <v>-1512.0169895733611</v>
      </c>
      <c r="AV258" s="11">
        <f t="shared" ref="AV258:AV321" si="30">IF($H258="Cancelled","",IFERROR(IF(AK258="","",F258-AK258),""))</f>
        <v>0</v>
      </c>
      <c r="AW258" s="12">
        <f>IF($H258="Cancelled","",IFERROR(IF(AV258="","",(T258*INDEX(Variables!$B$7:$D$7,IFERROR(MATCH(IF($B258="Robusta","Robusta",(IF($B258="","Arabica",$B258))&amp;" - "&amp;(IF($C258="","Commercial",$C258))),Variables!$B$1:$D$1,0),1))*(AV258/365))+(T258*INDEX(Variables!$B$9:$D$9,IFERROR(MATCH(IF($B258="Robusta","Robusta",(IF($B258="","Arabica",$B258))&amp;" - "&amp;(IF($C258="","Commercial",$C258))),Variables!$B$1:$D$1,0),1))*(AV258/365))+(INDEX(Variables!$B$8:$D$8,IFERROR(MATCH(IF($B258="Robusta","Robusta",(IF($B258="","Arabica",$B258))&amp;" - "&amp;(IF($C258="","Commercial",$C258))),Variables!$B$1:$D$1,0),1))*L258/16.67)),""))</f>
        <v>90</v>
      </c>
      <c r="AX258" s="9"/>
      <c r="AY258" s="12"/>
      <c r="AZ258" s="10"/>
      <c r="BA258" s="9"/>
      <c r="BB258" s="10"/>
      <c r="BC258" s="9"/>
      <c r="BD258" s="9"/>
      <c r="BE258" s="9"/>
      <c r="BF258" s="9"/>
    </row>
    <row r="259" spans="1:58" x14ac:dyDescent="0.25">
      <c r="A259" s="9" t="s">
        <v>84</v>
      </c>
      <c r="B259" s="9" t="s">
        <v>85</v>
      </c>
      <c r="C259" s="9" t="s">
        <v>86</v>
      </c>
      <c r="D259" s="10">
        <v>45566</v>
      </c>
      <c r="E259" s="10">
        <v>45689</v>
      </c>
      <c r="F259" s="10">
        <v>45716</v>
      </c>
      <c r="G259" s="9">
        <v>3786539</v>
      </c>
      <c r="H259" s="9" t="str">
        <f t="shared" si="28"/>
        <v>Closed</v>
      </c>
      <c r="I259" s="9" t="str">
        <f t="shared" si="29"/>
        <v>All dates received</v>
      </c>
      <c r="J259" s="9" t="s">
        <v>308</v>
      </c>
      <c r="K259" s="9">
        <v>5165</v>
      </c>
      <c r="L259" s="11">
        <v>1800</v>
      </c>
      <c r="M259" s="9" t="s">
        <v>731</v>
      </c>
      <c r="N259" s="9" t="s">
        <v>121</v>
      </c>
      <c r="O259" s="9"/>
      <c r="P259" s="9"/>
      <c r="Q259" s="11">
        <v>5</v>
      </c>
      <c r="R259" s="9" t="s">
        <v>90</v>
      </c>
      <c r="S259" s="9" t="s">
        <v>106</v>
      </c>
      <c r="T259" s="12">
        <f>IF($H259="Cancelled","",IFERROR(((Q259+INDEX(Variables!$B$6:$D$6,IFERROR(MATCH(IF($B259="Robusta","Robusta",(IF($B259="","Arabica",$B259))&amp;" - "&amp;(IF($C259="","Commercial",$C259))),Variables!$B$1:$D$1,0),1)))*22.0462)*(L259/16.67),""))</f>
        <v>704155.89250149962</v>
      </c>
      <c r="U259" s="10">
        <v>45672</v>
      </c>
      <c r="V259" s="9" t="str">
        <f t="shared" si="27"/>
        <v>Sent</v>
      </c>
      <c r="W259" s="10">
        <v>45678</v>
      </c>
      <c r="X259" s="9" t="str">
        <f t="shared" si="25"/>
        <v>Approved</v>
      </c>
      <c r="Y259" s="10"/>
      <c r="Z259" s="10">
        <f>IF($H259="Cancelled","",IFERROR(IF(F259="","",F259-Variables!$B$13),""))</f>
        <v>45701</v>
      </c>
      <c r="AA259" s="11">
        <f>IF($H259="Cancelled","",IFERROR(IF(W259="","",(AVERAGE(E259:F259)-W259)-Variables!$B$14),""))</f>
        <v>-5.5</v>
      </c>
      <c r="AB259" s="10">
        <v>45700</v>
      </c>
      <c r="AC259" s="11">
        <f>IF($H259="Cancelled","",IFERROR(IF(AB259="","",IF(AND(W259="",Y259=""),"",IF(Y259&gt;W259,Y259+Variables!$B$15+Variables!$B$16+Variables!$B$17-AB259,W259+Variables!$B$16+Variables!$B$17-AB259))),""))</f>
        <v>-14</v>
      </c>
      <c r="AD259" s="9" t="s">
        <v>165</v>
      </c>
      <c r="AE259" s="9" t="s">
        <v>733</v>
      </c>
      <c r="AF259" s="10">
        <v>45714</v>
      </c>
      <c r="AG259" s="10"/>
      <c r="AH259" s="9"/>
      <c r="AI259" s="9" t="s">
        <v>734</v>
      </c>
      <c r="AJ259" s="9" t="s">
        <v>8</v>
      </c>
      <c r="AK259" s="10">
        <v>45715</v>
      </c>
      <c r="AL259" s="10">
        <v>45716</v>
      </c>
      <c r="AM259" s="10">
        <v>45716</v>
      </c>
      <c r="AN259" s="9" t="s">
        <v>95</v>
      </c>
      <c r="AO259" s="9"/>
      <c r="AP259" s="11">
        <f>IF($H259="Cancelled","",IFERROR(IF(OR(AK259="",AB259=""),"",(AB259+Variables!$B$18-AK259)),""))</f>
        <v>-8</v>
      </c>
      <c r="AQ259" s="11">
        <f>IF($H259="Cancelled","",IFERROR(IF(OR(AM259="",AK259=""),"",(AK259+Variables!$B$19)-AM259),""))</f>
        <v>4</v>
      </c>
      <c r="AR259" s="12">
        <f>IF($H259="Cancelled","",IFERROR(T259*INDEX(Variables!$B$7:$D$7,IFERROR(MATCH(IF($B259="Robusta","Robusta",(IF($B259="","Arabica",$B259))&amp;" - "&amp;(IF($C259="","Commercial",$C259))),Variables!$B$1:$D$1,0),1))*(AQ259/365),""))</f>
        <v>497.59475168723509</v>
      </c>
      <c r="AS259" s="12">
        <f>IF($H259="Cancelled","",IFERROR((T259*INDEX(Variables!$B$7:$D$7,IFERROR(MATCH(IF($B259="Robusta","Robusta",(IF($B259="","Arabica",$B259))&amp;" - "&amp;(IF($C259="","Commercial",$C259))),Variables!$B$1:$D$1,0),1))*IFERROR(IF(W259="","",(AVERAGE(E259:F259)-W259)-Variables!$B$14),"")/365)+(L259/16.67*INDEX(Variables!$B$8:$D$8,IFERROR(MATCH(IF($B259="Robusta","Robusta",(IF($B259="","Arabica",$B259))&amp;" - "&amp;(IF($C259="","Commercial",$C259))),Variables!$B$1:$D$1,0),1))*IFERROR(IF(W259="","",(AVERAGE(E259:F259)-W259)-Variables!$B$14),""))+(T259*INDEX(Variables!$B$9:$D$9,IFERROR(MATCH(IF($B259="Robusta","Robusta",(IF($B259="","Arabica",$B259))&amp;" - "&amp;(IF($C259="","Commercial",$C259))),Variables!$B$1:$D$1,0),1))*IFERROR(IF(W259="","",(AVERAGE(E259:F259)-W259)-Variables!$B$14),"")/365),""))</f>
        <v>-1188.0133489504981</v>
      </c>
      <c r="AT259" s="12">
        <f>IF($H259="Cancelled","",IFERROR((T259*INDEX(Variables!$B$7:$D$7,IFERROR(MATCH(IF($B259="Robusta","Robusta",(IF($B259="","Arabica",$B259))&amp;" - "&amp;(IF($C259="","Commercial",$C259))),Variables!$B$1:$D$1,0),1))*AC259/365)+(L259/16.67*INDEX(Variables!$B$8:$D$8,IFERROR(MATCH(IF($B259="Robusta","Robusta",(IF($B259="","Arabica",$B259))&amp;" - "&amp;(IF($C259="","Commercial",$C259))),Variables!$B$1:$D$1,0),1))*AC259)+(T259*INDEX(Variables!$B$9:$D$9,IFERROR(MATCH(IF($B259="Robusta","Robusta",(IF($B259="","Arabica",$B259))&amp;" - "&amp;(IF($C259="","Commercial",$C259))),Variables!$B$1:$D$1,0),1))*AC259/365),""))</f>
        <v>-3024.0339791467222</v>
      </c>
      <c r="AU259" s="12">
        <f>IF($H259="Cancelled","",IFERROR((T259*INDEX(Variables!$B$7:$D$7,IFERROR(MATCH(IF($B259="Robusta","Robusta",(IF($B259="","Arabica",$B259))&amp;" - "&amp;(IF($C259="","Commercial",$C259))),Variables!$B$1:$D$1,0),1))*AP259/365)+(L259/16.67*INDEX(Variables!$B$8:$D$8,IFERROR(MATCH(IF($B259="Robusta","Robusta",(IF($B259="","Arabica",$B259))&amp;" - "&amp;(IF($C259="","Commercial",$C259))),Variables!$B$1:$D$1,0),1))*AP259)+(T259*INDEX(Variables!$B$9:$D$9,IFERROR(MATCH(IF($B259="Robusta","Robusta",(IF($B259="","Arabica",$B259))&amp;" - "&amp;(IF($C259="","Commercial",$C259))),Variables!$B$1:$D$1,0),1))*AP259/365),""))</f>
        <v>-1728.0194166552701</v>
      </c>
      <c r="AV259" s="11">
        <f t="shared" si="30"/>
        <v>1</v>
      </c>
      <c r="AW259" s="12">
        <f>IF($H259="Cancelled","",IFERROR(IF(AV259="","",(T259*INDEX(Variables!$B$7:$D$7,IFERROR(MATCH(IF($B259="Robusta","Robusta",(IF($B259="","Arabica",$B259))&amp;" - "&amp;(IF($C259="","Commercial",$C259))),Variables!$B$1:$D$1,0),1))*(AV259/365))+(T259*INDEX(Variables!$B$9:$D$9,IFERROR(MATCH(IF($B259="Robusta","Robusta",(IF($B259="","Arabica",$B259))&amp;" - "&amp;(IF($C259="","Commercial",$C259))),Variables!$B$1:$D$1,0),1))*(AV259/365))+(INDEX(Variables!$B$8:$D$8,IFERROR(MATCH(IF($B259="Robusta","Robusta",(IF($B259="","Arabica",$B259))&amp;" - "&amp;(IF($C259="","Commercial",$C259))),Variables!$B$1:$D$1,0),1))*L259/16.67)),""))</f>
        <v>216.00242708190876</v>
      </c>
      <c r="AX259" s="9"/>
      <c r="AY259" s="12"/>
      <c r="AZ259" s="10"/>
      <c r="BA259" s="9"/>
      <c r="BB259" s="10"/>
      <c r="BC259" s="9"/>
      <c r="BD259" s="9"/>
      <c r="BE259" s="9"/>
      <c r="BF259" s="9"/>
    </row>
    <row r="260" spans="1:58" x14ac:dyDescent="0.25">
      <c r="A260" s="9" t="s">
        <v>84</v>
      </c>
      <c r="B260" s="9" t="s">
        <v>85</v>
      </c>
      <c r="C260" s="9" t="s">
        <v>86</v>
      </c>
      <c r="D260" s="10">
        <v>45583</v>
      </c>
      <c r="E260" s="10">
        <v>45717</v>
      </c>
      <c r="F260" s="10">
        <v>45747</v>
      </c>
      <c r="G260" s="9">
        <v>3786545</v>
      </c>
      <c r="H260" s="9" t="str">
        <f t="shared" si="28"/>
        <v>Closed</v>
      </c>
      <c r="I260" s="9" t="str">
        <f t="shared" si="29"/>
        <v>All dates received</v>
      </c>
      <c r="J260" s="9" t="s">
        <v>322</v>
      </c>
      <c r="K260" s="9">
        <v>5182</v>
      </c>
      <c r="L260" s="11">
        <v>320</v>
      </c>
      <c r="M260" s="9" t="s">
        <v>735</v>
      </c>
      <c r="N260" s="9" t="s">
        <v>543</v>
      </c>
      <c r="O260" s="9"/>
      <c r="P260" s="9"/>
      <c r="Q260" s="11">
        <v>16</v>
      </c>
      <c r="R260" s="9" t="s">
        <v>90</v>
      </c>
      <c r="S260" s="9" t="s">
        <v>123</v>
      </c>
      <c r="T260" s="12">
        <f>IF($H260="Cancelled","",IFERROR(((Q260+INDEX(Variables!$B$6:$D$6,IFERROR(MATCH(IF($B260="Robusta","Robusta",(IF($B260="","Arabica",$B260))&amp;" - "&amp;(IF($C260="","Commercial",$C260))),Variables!$B$1:$D$1,0),1)))*22.0462)*(L260/16.67),""))</f>
        <v>129838.49617276543</v>
      </c>
      <c r="U260" s="10">
        <v>45673</v>
      </c>
      <c r="V260" s="9" t="str">
        <f t="shared" si="27"/>
        <v>Sent</v>
      </c>
      <c r="W260" s="10">
        <v>45693</v>
      </c>
      <c r="X260" s="9" t="str">
        <f t="shared" si="25"/>
        <v>Approved</v>
      </c>
      <c r="Y260" s="10"/>
      <c r="Z260" s="10">
        <f>IF($H260="Cancelled","",IFERROR(IF(F260="","",F260-Variables!$B$13),""))</f>
        <v>45732</v>
      </c>
      <c r="AA260" s="11">
        <f>IF($H260="Cancelled","",IFERROR(IF(W260="","",(AVERAGE(E260:F260)-W260)-Variables!$B$14),""))</f>
        <v>9</v>
      </c>
      <c r="AB260" s="10">
        <v>45710</v>
      </c>
      <c r="AC260" s="11">
        <f>IF($H260="Cancelled","",IFERROR(IF(AB260="","",IF(AND(W260="",Y260=""),"",IF(Y260&gt;W260,Y260+Variables!$B$15+Variables!$B$16+Variables!$B$17-AB260,W260+Variables!$B$16+Variables!$B$17-AB260))),""))</f>
        <v>-9</v>
      </c>
      <c r="AD260" s="9" t="s">
        <v>92</v>
      </c>
      <c r="AE260" s="9" t="s">
        <v>703</v>
      </c>
      <c r="AF260" s="10">
        <v>45722</v>
      </c>
      <c r="AG260" s="10"/>
      <c r="AH260" s="9"/>
      <c r="AI260" s="9" t="s">
        <v>736</v>
      </c>
      <c r="AJ260" s="9" t="s">
        <v>737</v>
      </c>
      <c r="AK260" s="10">
        <v>45725</v>
      </c>
      <c r="AL260" s="10">
        <v>45727</v>
      </c>
      <c r="AM260" s="10">
        <v>45733</v>
      </c>
      <c r="AN260" s="9" t="s">
        <v>95</v>
      </c>
      <c r="AO260" s="9"/>
      <c r="AP260" s="11">
        <f>IF($H260="Cancelled","",IFERROR(IF(OR(AK260="",AB260=""),"",(AB260+Variables!$B$18-AK260)),""))</f>
        <v>-8</v>
      </c>
      <c r="AQ260" s="11">
        <f>IF($H260="Cancelled","",IFERROR(IF(OR(AM260="",AK260=""),"",(AK260+Variables!$B$19)-AM260),""))</f>
        <v>-3</v>
      </c>
      <c r="AR260" s="12">
        <f>IF($H260="Cancelled","",IFERROR(T260*INDEX(Variables!$B$7:$D$7,IFERROR(MATCH(IF($B260="Robusta","Robusta",(IF($B260="","Arabica",$B260))&amp;" - "&amp;(IF($C260="","Commercial",$C260))),Variables!$B$1:$D$1,0),1))*(AQ260/365),""))</f>
        <v>-68.813193517080776</v>
      </c>
      <c r="AS260" s="12">
        <f>IF($H260="Cancelled","",IFERROR((T260*INDEX(Variables!$B$7:$D$7,IFERROR(MATCH(IF($B260="Robusta","Robusta",(IF($B260="","Arabica",$B260))&amp;" - "&amp;(IF($C260="","Commercial",$C260))),Variables!$B$1:$D$1,0),1))*IFERROR(IF(W260="","",(AVERAGE(E260:F260)-W260)-Variables!$B$14),"")/365)+(L260/16.67*INDEX(Variables!$B$8:$D$8,IFERROR(MATCH(IF($B260="Robusta","Robusta",(IF($B260="","Arabica",$B260))&amp;" - "&amp;(IF($C260="","Commercial",$C260))),Variables!$B$1:$D$1,0),1))*IFERROR(IF(W260="","",(AVERAGE(E260:F260)-W260)-Variables!$B$14),""))+(T260*INDEX(Variables!$B$9:$D$9,IFERROR(MATCH(IF($B260="Robusta","Robusta",(IF($B260="","Arabica",$B260))&amp;" - "&amp;(IF($C260="","Commercial",$C260))),Variables!$B$1:$D$1,0),1))*IFERROR(IF(W260="","",(AVERAGE(E260:F260)-W260)-Variables!$B$14),"")/365),""))</f>
        <v>353.10098514525816</v>
      </c>
      <c r="AT260" s="12">
        <f>IF($H260="Cancelled","",IFERROR((T260*INDEX(Variables!$B$7:$D$7,IFERROR(MATCH(IF($B260="Robusta","Robusta",(IF($B260="","Arabica",$B260))&amp;" - "&amp;(IF($C260="","Commercial",$C260))),Variables!$B$1:$D$1,0),1))*AC260/365)+(L260/16.67*INDEX(Variables!$B$8:$D$8,IFERROR(MATCH(IF($B260="Robusta","Robusta",(IF($B260="","Arabica",$B260))&amp;" - "&amp;(IF($C260="","Commercial",$C260))),Variables!$B$1:$D$1,0),1))*AC260)+(T260*INDEX(Variables!$B$9:$D$9,IFERROR(MATCH(IF($B260="Robusta","Robusta",(IF($B260="","Arabica",$B260))&amp;" - "&amp;(IF($C260="","Commercial",$C260))),Variables!$B$1:$D$1,0),1))*AC260/365),""))</f>
        <v>-353.10098514525816</v>
      </c>
      <c r="AU260" s="12">
        <f>IF($H260="Cancelled","",IFERROR((T260*INDEX(Variables!$B$7:$D$7,IFERROR(MATCH(IF($B260="Robusta","Robusta",(IF($B260="","Arabica",$B260))&amp;" - "&amp;(IF($C260="","Commercial",$C260))),Variables!$B$1:$D$1,0),1))*AP260/365)+(L260/16.67*INDEX(Variables!$B$8:$D$8,IFERROR(MATCH(IF($B260="Robusta","Robusta",(IF($B260="","Arabica",$B260))&amp;" - "&amp;(IF($C260="","Commercial",$C260))),Variables!$B$1:$D$1,0),1))*AP260)+(T260*INDEX(Variables!$B$9:$D$9,IFERROR(MATCH(IF($B260="Robusta","Robusta",(IF($B260="","Arabica",$B260))&amp;" - "&amp;(IF($C260="","Commercial",$C260))),Variables!$B$1:$D$1,0),1))*AP260/365),""))</f>
        <v>-313.8675423513406</v>
      </c>
      <c r="AV260" s="11">
        <f t="shared" si="30"/>
        <v>22</v>
      </c>
      <c r="AW260" s="12">
        <f>IF($H260="Cancelled","",IFERROR(IF(AV260="","",(T260*INDEX(Variables!$B$7:$D$7,IFERROR(MATCH(IF($B260="Robusta","Robusta",(IF($B260="","Arabica",$B260))&amp;" - "&amp;(IF($C260="","Commercial",$C260))),Variables!$B$1:$D$1,0),1))*(AV260/365))+(T260*INDEX(Variables!$B$9:$D$9,IFERROR(MATCH(IF($B260="Robusta","Robusta",(IF($B260="","Arabica",$B260))&amp;" - "&amp;(IF($C260="","Commercial",$C260))),Variables!$B$1:$D$1,0),1))*(AV260/365))+(INDEX(Variables!$B$8:$D$8,IFERROR(MATCH(IF($B260="Robusta","Robusta",(IF($B260="","Arabica",$B260))&amp;" - "&amp;(IF($C260="","Commercial",$C260))),Variables!$B$1:$D$1,0),1))*L260/16.67)),""))</f>
        <v>527.13574146618669</v>
      </c>
      <c r="AX260" s="9"/>
      <c r="AY260" s="12"/>
      <c r="AZ260" s="10"/>
      <c r="BA260" s="9"/>
      <c r="BB260" s="10"/>
      <c r="BC260" s="9"/>
      <c r="BD260" s="9"/>
      <c r="BE260" s="9"/>
      <c r="BF260" s="9"/>
    </row>
    <row r="261" spans="1:58" x14ac:dyDescent="0.25">
      <c r="A261" s="9" t="s">
        <v>84</v>
      </c>
      <c r="B261" s="9" t="s">
        <v>85</v>
      </c>
      <c r="C261" s="9" t="s">
        <v>86</v>
      </c>
      <c r="D261" s="10">
        <v>45583</v>
      </c>
      <c r="E261" s="10">
        <v>45717</v>
      </c>
      <c r="F261" s="10">
        <v>45747</v>
      </c>
      <c r="G261" s="9">
        <v>3786546</v>
      </c>
      <c r="H261" s="9" t="str">
        <f t="shared" si="28"/>
        <v>Closed</v>
      </c>
      <c r="I261" s="9" t="str">
        <f t="shared" si="29"/>
        <v>All dates received</v>
      </c>
      <c r="J261" s="9" t="s">
        <v>322</v>
      </c>
      <c r="K261" s="9">
        <v>5184</v>
      </c>
      <c r="L261" s="11">
        <v>320</v>
      </c>
      <c r="M261" s="9" t="s">
        <v>738</v>
      </c>
      <c r="N261" s="9" t="s">
        <v>121</v>
      </c>
      <c r="O261" s="9"/>
      <c r="P261" s="9"/>
      <c r="Q261" s="11">
        <v>16</v>
      </c>
      <c r="R261" s="9" t="s">
        <v>90</v>
      </c>
      <c r="S261" s="9" t="s">
        <v>123</v>
      </c>
      <c r="T261" s="12">
        <f>IF($H261="Cancelled","",IFERROR(((Q261+INDEX(Variables!$B$6:$D$6,IFERROR(MATCH(IF($B261="Robusta","Robusta",(IF($B261="","Arabica",$B261))&amp;" - "&amp;(IF($C261="","Commercial",$C261))),Variables!$B$1:$D$1,0),1)))*22.0462)*(L261/16.67),""))</f>
        <v>129838.49617276543</v>
      </c>
      <c r="U261" s="10">
        <v>45673</v>
      </c>
      <c r="V261" s="9" t="str">
        <f t="shared" si="27"/>
        <v>Sent</v>
      </c>
      <c r="W261" s="10">
        <v>45693</v>
      </c>
      <c r="X261" s="9" t="str">
        <f t="shared" si="25"/>
        <v>Approved</v>
      </c>
      <c r="Y261" s="10"/>
      <c r="Z261" s="10">
        <f>IF($H261="Cancelled","",IFERROR(IF(F261="","",F261-Variables!$B$13),""))</f>
        <v>45732</v>
      </c>
      <c r="AA261" s="11">
        <f>IF($H261="Cancelled","",IFERROR(IF(W261="","",(AVERAGE(E261:F261)-W261)-Variables!$B$14),""))</f>
        <v>9</v>
      </c>
      <c r="AB261" s="10">
        <v>45717</v>
      </c>
      <c r="AC261" s="11">
        <f>IF($H261="Cancelled","",IFERROR(IF(AB261="","",IF(AND(W261="",Y261=""),"",IF(Y261&gt;W261,Y261+Variables!$B$15+Variables!$B$16+Variables!$B$17-AB261,W261+Variables!$B$16+Variables!$B$17-AB261))),""))</f>
        <v>-16</v>
      </c>
      <c r="AD261" s="9" t="s">
        <v>92</v>
      </c>
      <c r="AE261" s="9" t="s">
        <v>712</v>
      </c>
      <c r="AF261" s="10">
        <v>46096</v>
      </c>
      <c r="AG261" s="10"/>
      <c r="AH261" s="9"/>
      <c r="AI261" s="9" t="s">
        <v>739</v>
      </c>
      <c r="AJ261" s="9" t="s">
        <v>740</v>
      </c>
      <c r="AK261" s="10">
        <v>45730</v>
      </c>
      <c r="AL261" s="10">
        <v>45735</v>
      </c>
      <c r="AM261" s="10">
        <v>45740</v>
      </c>
      <c r="AN261" s="9" t="s">
        <v>95</v>
      </c>
      <c r="AO261" s="9"/>
      <c r="AP261" s="11">
        <f>IF($H261="Cancelled","",IFERROR(IF(OR(AK261="",AB261=""),"",(AB261+Variables!$B$18-AK261)),""))</f>
        <v>-6</v>
      </c>
      <c r="AQ261" s="11">
        <f>IF($H261="Cancelled","",IFERROR(IF(OR(AM261="",AK261=""),"",(AK261+Variables!$B$19)-AM261),""))</f>
        <v>-5</v>
      </c>
      <c r="AR261" s="12">
        <f>IF($H261="Cancelled","",IFERROR(T261*INDEX(Variables!$B$7:$D$7,IFERROR(MATCH(IF($B261="Robusta","Robusta",(IF($B261="","Arabica",$B261))&amp;" - "&amp;(IF($C261="","Commercial",$C261))),Variables!$B$1:$D$1,0),1))*(AQ261/365),""))</f>
        <v>-114.68865586180129</v>
      </c>
      <c r="AS261" s="12">
        <f>IF($H261="Cancelled","",IFERROR((T261*INDEX(Variables!$B$7:$D$7,IFERROR(MATCH(IF($B261="Robusta","Robusta",(IF($B261="","Arabica",$B261))&amp;" - "&amp;(IF($C261="","Commercial",$C261))),Variables!$B$1:$D$1,0),1))*IFERROR(IF(W261="","",(AVERAGE(E261:F261)-W261)-Variables!$B$14),"")/365)+(L261/16.67*INDEX(Variables!$B$8:$D$8,IFERROR(MATCH(IF($B261="Robusta","Robusta",(IF($B261="","Arabica",$B261))&amp;" - "&amp;(IF($C261="","Commercial",$C261))),Variables!$B$1:$D$1,0),1))*IFERROR(IF(W261="","",(AVERAGE(E261:F261)-W261)-Variables!$B$14),""))+(T261*INDEX(Variables!$B$9:$D$9,IFERROR(MATCH(IF($B261="Robusta","Robusta",(IF($B261="","Arabica",$B261))&amp;" - "&amp;(IF($C261="","Commercial",$C261))),Variables!$B$1:$D$1,0),1))*IFERROR(IF(W261="","",(AVERAGE(E261:F261)-W261)-Variables!$B$14),"")/365),""))</f>
        <v>353.10098514525816</v>
      </c>
      <c r="AT261" s="12">
        <f>IF($H261="Cancelled","",IFERROR((T261*INDEX(Variables!$B$7:$D$7,IFERROR(MATCH(IF($B261="Robusta","Robusta",(IF($B261="","Arabica",$B261))&amp;" - "&amp;(IF($C261="","Commercial",$C261))),Variables!$B$1:$D$1,0),1))*AC261/365)+(L261/16.67*INDEX(Variables!$B$8:$D$8,IFERROR(MATCH(IF($B261="Robusta","Robusta",(IF($B261="","Arabica",$B261))&amp;" - "&amp;(IF($C261="","Commercial",$C261))),Variables!$B$1:$D$1,0),1))*AC261)+(T261*INDEX(Variables!$B$9:$D$9,IFERROR(MATCH(IF($B261="Robusta","Robusta",(IF($B261="","Arabica",$B261))&amp;" - "&amp;(IF($C261="","Commercial",$C261))),Variables!$B$1:$D$1,0),1))*AC261/365),""))</f>
        <v>-627.73508470268121</v>
      </c>
      <c r="AU261" s="12">
        <f>IF($H261="Cancelled","",IFERROR((T261*INDEX(Variables!$B$7:$D$7,IFERROR(MATCH(IF($B261="Robusta","Robusta",(IF($B261="","Arabica",$B261))&amp;" - "&amp;(IF($C261="","Commercial",$C261))),Variables!$B$1:$D$1,0),1))*AP261/365)+(L261/16.67*INDEX(Variables!$B$8:$D$8,IFERROR(MATCH(IF($B261="Robusta","Robusta",(IF($B261="","Arabica",$B261))&amp;" - "&amp;(IF($C261="","Commercial",$C261))),Variables!$B$1:$D$1,0),1))*AP261)+(T261*INDEX(Variables!$B$9:$D$9,IFERROR(MATCH(IF($B261="Robusta","Robusta",(IF($B261="","Arabica",$B261))&amp;" - "&amp;(IF($C261="","Commercial",$C261))),Variables!$B$1:$D$1,0),1))*AP261/365),""))</f>
        <v>-235.40065676350545</v>
      </c>
      <c r="AV261" s="11">
        <f t="shared" si="30"/>
        <v>17</v>
      </c>
      <c r="AW261" s="12">
        <f>IF($H261="Cancelled","",IFERROR(IF(AV261="","",(T261*INDEX(Variables!$B$7:$D$7,IFERROR(MATCH(IF($B261="Robusta","Robusta",(IF($B261="","Arabica",$B261))&amp;" - "&amp;(IF($C261="","Commercial",$C261))),Variables!$B$1:$D$1,0),1))*(AV261/365))+(T261*INDEX(Variables!$B$9:$D$9,IFERROR(MATCH(IF($B261="Robusta","Robusta",(IF($B261="","Arabica",$B261))&amp;" - "&amp;(IF($C261="","Commercial",$C261))),Variables!$B$1:$D$1,0),1))*(AV261/365))+(INDEX(Variables!$B$8:$D$8,IFERROR(MATCH(IF($B261="Robusta","Robusta",(IF($B261="","Arabica",$B261))&amp;" - "&amp;(IF($C261="","Commercial",$C261))),Variables!$B$1:$D$1,0),1))*L261/16.67)),""))</f>
        <v>410.96852749659882</v>
      </c>
      <c r="AX261" s="9"/>
      <c r="AY261" s="12"/>
      <c r="AZ261" s="10"/>
      <c r="BA261" s="9"/>
      <c r="BB261" s="10"/>
      <c r="BC261" s="9"/>
      <c r="BD261" s="9"/>
      <c r="BE261" s="9"/>
      <c r="BF261" s="9"/>
    </row>
    <row r="262" spans="1:58" x14ac:dyDescent="0.25">
      <c r="A262" s="9" t="s">
        <v>84</v>
      </c>
      <c r="B262" s="9" t="s">
        <v>85</v>
      </c>
      <c r="C262" s="9" t="s">
        <v>86</v>
      </c>
      <c r="D262" s="10">
        <v>45583</v>
      </c>
      <c r="E262" s="10">
        <v>45748</v>
      </c>
      <c r="F262" s="10">
        <v>45777</v>
      </c>
      <c r="G262" s="9">
        <v>3786544</v>
      </c>
      <c r="H262" s="9" t="str">
        <f t="shared" si="28"/>
        <v>Closed</v>
      </c>
      <c r="I262" s="9" t="str">
        <f t="shared" si="29"/>
        <v>All dates received</v>
      </c>
      <c r="J262" s="9" t="s">
        <v>322</v>
      </c>
      <c r="K262" s="9">
        <v>5217</v>
      </c>
      <c r="L262" s="11">
        <v>320</v>
      </c>
      <c r="M262" s="9" t="s">
        <v>735</v>
      </c>
      <c r="N262" s="9" t="s">
        <v>543</v>
      </c>
      <c r="O262" s="9"/>
      <c r="P262" s="9"/>
      <c r="Q262" s="11">
        <v>16</v>
      </c>
      <c r="R262" s="9" t="s">
        <v>90</v>
      </c>
      <c r="S262" s="9" t="s">
        <v>123</v>
      </c>
      <c r="T262" s="12">
        <f>IF($H262="Cancelled","",IFERROR(((Q262+INDEX(Variables!$B$6:$D$6,IFERROR(MATCH(IF($B262="Robusta","Robusta",(IF($B262="","Arabica",$B262))&amp;" - "&amp;(IF($C262="","Commercial",$C262))),Variables!$B$1:$D$1,0),1)))*22.0462)*(L262/16.67),""))</f>
        <v>129838.49617276543</v>
      </c>
      <c r="U262" s="10">
        <v>45707</v>
      </c>
      <c r="V262" s="9" t="str">
        <f t="shared" si="27"/>
        <v>Sent</v>
      </c>
      <c r="W262" s="10">
        <v>45715</v>
      </c>
      <c r="X262" s="9" t="str">
        <f t="shared" si="25"/>
        <v>Approved</v>
      </c>
      <c r="Y262" s="10"/>
      <c r="Z262" s="10">
        <f>IF($H262="Cancelled","",IFERROR(IF(F262="","",F262-Variables!$B$13),""))</f>
        <v>45762</v>
      </c>
      <c r="AA262" s="11">
        <f>IF($H262="Cancelled","",IFERROR(IF(W262="","",(AVERAGE(E262:F262)-W262)-Variables!$B$14),""))</f>
        <v>17.5</v>
      </c>
      <c r="AB262" s="10">
        <v>45743</v>
      </c>
      <c r="AC262" s="11">
        <f>IF($H262="Cancelled","",IFERROR(IF(AB262="","",IF(AND(W262="",Y262=""),"",IF(Y262&gt;W262,Y262+Variables!$B$15+Variables!$B$16+Variables!$B$17-AB262,W262+Variables!$B$16+Variables!$B$17-AB262))),""))</f>
        <v>-20</v>
      </c>
      <c r="AD262" s="9" t="s">
        <v>92</v>
      </c>
      <c r="AE262" s="9" t="s">
        <v>741</v>
      </c>
      <c r="AF262" s="10"/>
      <c r="AG262" s="10"/>
      <c r="AH262" s="9"/>
      <c r="AI262" s="9" t="s">
        <v>742</v>
      </c>
      <c r="AJ262" s="9" t="s">
        <v>743</v>
      </c>
      <c r="AK262" s="10">
        <v>45758</v>
      </c>
      <c r="AL262" s="10">
        <v>45769</v>
      </c>
      <c r="AM262" s="10">
        <v>45772</v>
      </c>
      <c r="AN262" s="9" t="s">
        <v>95</v>
      </c>
      <c r="AO262" s="9"/>
      <c r="AP262" s="11">
        <f>IF($H262="Cancelled","",IFERROR(IF(OR(AK262="",AB262=""),"",(AB262+Variables!$B$18-AK262)),""))</f>
        <v>-8</v>
      </c>
      <c r="AQ262" s="11">
        <f>IF($H262="Cancelled","",IFERROR(IF(OR(AM262="",AK262=""),"",(AK262+Variables!$B$19)-AM262),""))</f>
        <v>-9</v>
      </c>
      <c r="AR262" s="12">
        <f>IF($H262="Cancelled","",IFERROR(T262*INDEX(Variables!$B$7:$D$7,IFERROR(MATCH(IF($B262="Robusta","Robusta",(IF($B262="","Arabica",$B262))&amp;" - "&amp;(IF($C262="","Commercial",$C262))),Variables!$B$1:$D$1,0),1))*(AQ262/365),""))</f>
        <v>-206.43958055124233</v>
      </c>
      <c r="AS262" s="12">
        <f>IF($H262="Cancelled","",IFERROR((T262*INDEX(Variables!$B$7:$D$7,IFERROR(MATCH(IF($B262="Robusta","Robusta",(IF($B262="","Arabica",$B262))&amp;" - "&amp;(IF($C262="","Commercial",$C262))),Variables!$B$1:$D$1,0),1))*IFERROR(IF(W262="","",(AVERAGE(E262:F262)-W262)-Variables!$B$14),"")/365)+(L262/16.67*INDEX(Variables!$B$8:$D$8,IFERROR(MATCH(IF($B262="Robusta","Robusta",(IF($B262="","Arabica",$B262))&amp;" - "&amp;(IF($C262="","Commercial",$C262))),Variables!$B$1:$D$1,0),1))*IFERROR(IF(W262="","",(AVERAGE(E262:F262)-W262)-Variables!$B$14),""))+(T262*INDEX(Variables!$B$9:$D$9,IFERROR(MATCH(IF($B262="Robusta","Robusta",(IF($B262="","Arabica",$B262))&amp;" - "&amp;(IF($C262="","Commercial",$C262))),Variables!$B$1:$D$1,0),1))*IFERROR(IF(W262="","",(AVERAGE(E262:F262)-W262)-Variables!$B$14),"")/365),""))</f>
        <v>686.5852488935576</v>
      </c>
      <c r="AT262" s="12">
        <f>IF($H262="Cancelled","",IFERROR((T262*INDEX(Variables!$B$7:$D$7,IFERROR(MATCH(IF($B262="Robusta","Robusta",(IF($B262="","Arabica",$B262))&amp;" - "&amp;(IF($C262="","Commercial",$C262))),Variables!$B$1:$D$1,0),1))*AC262/365)+(L262/16.67*INDEX(Variables!$B$8:$D$8,IFERROR(MATCH(IF($B262="Robusta","Robusta",(IF($B262="","Arabica",$B262))&amp;" - "&amp;(IF($C262="","Commercial",$C262))),Variables!$B$1:$D$1,0),1))*AC262)+(T262*INDEX(Variables!$B$9:$D$9,IFERROR(MATCH(IF($B262="Robusta","Robusta",(IF($B262="","Arabica",$B262))&amp;" - "&amp;(IF($C262="","Commercial",$C262))),Variables!$B$1:$D$1,0),1))*AC262/365),""))</f>
        <v>-784.66885587835145</v>
      </c>
      <c r="AU262" s="12">
        <f>IF($H262="Cancelled","",IFERROR((T262*INDEX(Variables!$B$7:$D$7,IFERROR(MATCH(IF($B262="Robusta","Robusta",(IF($B262="","Arabica",$B262))&amp;" - "&amp;(IF($C262="","Commercial",$C262))),Variables!$B$1:$D$1,0),1))*AP262/365)+(L262/16.67*INDEX(Variables!$B$8:$D$8,IFERROR(MATCH(IF($B262="Robusta","Robusta",(IF($B262="","Arabica",$B262))&amp;" - "&amp;(IF($C262="","Commercial",$C262))),Variables!$B$1:$D$1,0),1))*AP262)+(T262*INDEX(Variables!$B$9:$D$9,IFERROR(MATCH(IF($B262="Robusta","Robusta",(IF($B262="","Arabica",$B262))&amp;" - "&amp;(IF($C262="","Commercial",$C262))),Variables!$B$1:$D$1,0),1))*AP262/365),""))</f>
        <v>-313.8675423513406</v>
      </c>
      <c r="AV262" s="11">
        <f t="shared" si="30"/>
        <v>19</v>
      </c>
      <c r="AW262" s="12">
        <f>IF($H262="Cancelled","",IFERROR(IF(AV262="","",(T262*INDEX(Variables!$B$7:$D$7,IFERROR(MATCH(IF($B262="Robusta","Robusta",(IF($B262="","Arabica",$B262))&amp;" - "&amp;(IF($C262="","Commercial",$C262))),Variables!$B$1:$D$1,0),1))*(AV262/365))+(T262*INDEX(Variables!$B$9:$D$9,IFERROR(MATCH(IF($B262="Robusta","Robusta",(IF($B262="","Arabica",$B262))&amp;" - "&amp;(IF($C262="","Commercial",$C262))),Variables!$B$1:$D$1,0),1))*(AV262/365))+(INDEX(Variables!$B$8:$D$8,IFERROR(MATCH(IF($B262="Robusta","Robusta",(IF($B262="","Arabica",$B262))&amp;" - "&amp;(IF($C262="","Commercial",$C262))),Variables!$B$1:$D$1,0),1))*L262/16.67)),""))</f>
        <v>457.43541308443389</v>
      </c>
      <c r="AX262" s="9"/>
      <c r="AY262" s="12"/>
      <c r="AZ262" s="10"/>
      <c r="BA262" s="9"/>
      <c r="BB262" s="10"/>
      <c r="BC262" s="9"/>
      <c r="BD262" s="9"/>
      <c r="BE262" s="9"/>
      <c r="BF262" s="9"/>
    </row>
    <row r="263" spans="1:58" x14ac:dyDescent="0.25">
      <c r="A263" s="9" t="s">
        <v>84</v>
      </c>
      <c r="B263" s="9" t="s">
        <v>85</v>
      </c>
      <c r="C263" s="9" t="s">
        <v>86</v>
      </c>
      <c r="D263" s="10">
        <v>45595</v>
      </c>
      <c r="E263" s="10">
        <v>45658</v>
      </c>
      <c r="F263" s="10">
        <v>45688</v>
      </c>
      <c r="G263" s="9">
        <v>3786549</v>
      </c>
      <c r="H263" s="9" t="str">
        <f t="shared" si="28"/>
        <v>Closed</v>
      </c>
      <c r="I263" s="9" t="str">
        <f t="shared" si="29"/>
        <v>All dates received</v>
      </c>
      <c r="J263" s="9" t="s">
        <v>322</v>
      </c>
      <c r="K263" s="9">
        <v>5148</v>
      </c>
      <c r="L263" s="11">
        <v>320</v>
      </c>
      <c r="M263" s="9" t="s">
        <v>744</v>
      </c>
      <c r="N263" s="9" t="s">
        <v>543</v>
      </c>
      <c r="O263" s="9"/>
      <c r="P263" s="9"/>
      <c r="Q263" s="11">
        <v>24</v>
      </c>
      <c r="R263" s="9" t="s">
        <v>90</v>
      </c>
      <c r="S263" s="9" t="s">
        <v>123</v>
      </c>
      <c r="T263" s="12">
        <f>IF($H263="Cancelled","",IFERROR(((Q263+INDEX(Variables!$B$6:$D$6,IFERROR(MATCH(IF($B263="Robusta","Robusta",(IF($B263="","Arabica",$B263))&amp;" - "&amp;(IF($C263="","Commercial",$C263))),Variables!$B$1:$D$1,0),1)))*22.0462)*(L263/16.67),""))</f>
        <v>133224.1153689262</v>
      </c>
      <c r="U263" s="10">
        <v>45608</v>
      </c>
      <c r="V263" s="9" t="str">
        <f t="shared" si="27"/>
        <v>Sent</v>
      </c>
      <c r="W263" s="10">
        <v>45636</v>
      </c>
      <c r="X263" s="9" t="str">
        <f t="shared" si="25"/>
        <v>Approved</v>
      </c>
      <c r="Y263" s="10"/>
      <c r="Z263" s="10">
        <f>IF($H263="Cancelled","",IFERROR(IF(F263="","",F263-Variables!$B$13),""))</f>
        <v>45673</v>
      </c>
      <c r="AA263" s="11">
        <f>IF($H263="Cancelled","",IFERROR(IF(W263="","",(AVERAGE(E263:F263)-W263)-Variables!$B$14),""))</f>
        <v>7</v>
      </c>
      <c r="AB263" s="10">
        <v>45642</v>
      </c>
      <c r="AC263" s="11">
        <f>IF($H263="Cancelled","",IFERROR(IF(AB263="","",IF(AND(W263="",Y263=""),"",IF(Y263&gt;W263,Y263+Variables!$B$15+Variables!$B$16+Variables!$B$17-AB263,W263+Variables!$B$16+Variables!$B$17-AB263))),""))</f>
        <v>2</v>
      </c>
      <c r="AD263" s="9" t="s">
        <v>92</v>
      </c>
      <c r="AE263" s="9" t="s">
        <v>745</v>
      </c>
      <c r="AF263" s="10">
        <v>45655</v>
      </c>
      <c r="AG263" s="10"/>
      <c r="AH263" s="9"/>
      <c r="AI263" s="9" t="s">
        <v>746</v>
      </c>
      <c r="AJ263" s="9" t="s">
        <v>747</v>
      </c>
      <c r="AK263" s="10">
        <v>45662</v>
      </c>
      <c r="AL263" s="10">
        <v>45664</v>
      </c>
      <c r="AM263" s="10">
        <v>45671</v>
      </c>
      <c r="AN263" s="9" t="s">
        <v>95</v>
      </c>
      <c r="AO263" s="9"/>
      <c r="AP263" s="11">
        <f>IF($H263="Cancelled","",IFERROR(IF(OR(AK263="",AB263=""),"",(AB263+Variables!$B$18-AK263)),""))</f>
        <v>-13</v>
      </c>
      <c r="AQ263" s="11">
        <f>IF($H263="Cancelled","",IFERROR(IF(OR(AM263="",AK263=""),"",(AK263+Variables!$B$19)-AM263),""))</f>
        <v>-4</v>
      </c>
      <c r="AR263" s="12">
        <f>IF($H263="Cancelled","",IFERROR(T263*INDEX(Variables!$B$7:$D$7,IFERROR(MATCH(IF($B263="Robusta","Robusta",(IF($B263="","Arabica",$B263))&amp;" - "&amp;(IF($C263="","Commercial",$C263))),Variables!$B$1:$D$1,0),1))*(AQ263/365),""))</f>
        <v>-94.143386871695057</v>
      </c>
      <c r="AS263" s="12">
        <f>IF($H263="Cancelled","",IFERROR((T263*INDEX(Variables!$B$7:$D$7,IFERROR(MATCH(IF($B263="Robusta","Robusta",(IF($B263="","Arabica",$B263))&amp;" - "&amp;(IF($C263="","Commercial",$C263))),Variables!$B$1:$D$1,0),1))*IFERROR(IF(W263="","",(AVERAGE(E263:F263)-W263)-Variables!$B$14),"")/365)+(L263/16.67*INDEX(Variables!$B$8:$D$8,IFERROR(MATCH(IF($B263="Robusta","Robusta",(IF($B263="","Arabica",$B263))&amp;" - "&amp;(IF($C263="","Commercial",$C263))),Variables!$B$1:$D$1,0),1))*IFERROR(IF(W263="","",(AVERAGE(E263:F263)-W263)-Variables!$B$14),""))+(T263*INDEX(Variables!$B$9:$D$9,IFERROR(MATCH(IF($B263="Robusta","Robusta",(IF($B263="","Arabica",$B263))&amp;" - "&amp;(IF($C263="","Commercial",$C263))),Variables!$B$1:$D$1,0),1))*IFERROR(IF(W263="","",(AVERAGE(E263:F263)-W263)-Variables!$B$14),"")/365),""))</f>
        <v>278.8748844220234</v>
      </c>
      <c r="AT263" s="12">
        <f>IF($H263="Cancelled","",IFERROR((T263*INDEX(Variables!$B$7:$D$7,IFERROR(MATCH(IF($B263="Robusta","Robusta",(IF($B263="","Arabica",$B263))&amp;" - "&amp;(IF($C263="","Commercial",$C263))),Variables!$B$1:$D$1,0),1))*AC263/365)+(L263/16.67*INDEX(Variables!$B$8:$D$8,IFERROR(MATCH(IF($B263="Robusta","Robusta",(IF($B263="","Arabica",$B263))&amp;" - "&amp;(IF($C263="","Commercial",$C263))),Variables!$B$1:$D$1,0),1))*AC263)+(T263*INDEX(Variables!$B$9:$D$9,IFERROR(MATCH(IF($B263="Robusta","Robusta",(IF($B263="","Arabica",$B263))&amp;" - "&amp;(IF($C263="","Commercial",$C263))),Variables!$B$1:$D$1,0),1))*AC263/365),""))</f>
        <v>79.67853840629239</v>
      </c>
      <c r="AU263" s="12">
        <f>IF($H263="Cancelled","",IFERROR((T263*INDEX(Variables!$B$7:$D$7,IFERROR(MATCH(IF($B263="Robusta","Robusta",(IF($B263="","Arabica",$B263))&amp;" - "&amp;(IF($C263="","Commercial",$C263))),Variables!$B$1:$D$1,0),1))*AP263/365)+(L263/16.67*INDEX(Variables!$B$8:$D$8,IFERROR(MATCH(IF($B263="Robusta","Robusta",(IF($B263="","Arabica",$B263))&amp;" - "&amp;(IF($C263="","Commercial",$C263))),Variables!$B$1:$D$1,0),1))*AP263)+(T263*INDEX(Variables!$B$9:$D$9,IFERROR(MATCH(IF($B263="Robusta","Robusta",(IF($B263="","Arabica",$B263))&amp;" - "&amp;(IF($C263="","Commercial",$C263))),Variables!$B$1:$D$1,0),1))*AP263/365),""))</f>
        <v>-517.91049964090064</v>
      </c>
      <c r="AV263" s="11">
        <f t="shared" si="30"/>
        <v>26</v>
      </c>
      <c r="AW263" s="12">
        <f>IF($H263="Cancelled","",IFERROR(IF(AV263="","",(T263*INDEX(Variables!$B$7:$D$7,IFERROR(MATCH(IF($B263="Robusta","Robusta",(IF($B263="","Arabica",$B263))&amp;" - "&amp;(IF($C263="","Commercial",$C263))),Variables!$B$1:$D$1,0),1))*(AV263/365))+(T263*INDEX(Variables!$B$9:$D$9,IFERROR(MATCH(IF($B263="Robusta","Robusta",(IF($B263="","Arabica",$B263))&amp;" - "&amp;(IF($C263="","Commercial",$C263))),Variables!$B$1:$D$1,0),1))*(AV263/365))+(INDEX(Variables!$B$8:$D$8,IFERROR(MATCH(IF($B263="Robusta","Robusta",(IF($B263="","Arabica",$B263))&amp;" - "&amp;(IF($C263="","Commercial",$C263))),Variables!$B$1:$D$1,0),1))*L263/16.67)),""))</f>
        <v>635.82099928180116</v>
      </c>
      <c r="AX263" s="9"/>
      <c r="AY263" s="12"/>
      <c r="AZ263" s="10"/>
      <c r="BA263" s="9"/>
      <c r="BB263" s="10"/>
      <c r="BC263" s="9"/>
      <c r="BD263" s="9"/>
      <c r="BE263" s="9"/>
      <c r="BF263" s="9"/>
    </row>
    <row r="264" spans="1:58" x14ac:dyDescent="0.25">
      <c r="A264" s="9" t="s">
        <v>84</v>
      </c>
      <c r="B264" s="9" t="s">
        <v>85</v>
      </c>
      <c r="C264" s="9" t="s">
        <v>86</v>
      </c>
      <c r="D264" s="10">
        <v>45595</v>
      </c>
      <c r="E264" s="10">
        <v>45717</v>
      </c>
      <c r="F264" s="10">
        <v>45747</v>
      </c>
      <c r="G264" s="9">
        <v>3786550</v>
      </c>
      <c r="H264" s="9" t="str">
        <f t="shared" si="28"/>
        <v>Closed</v>
      </c>
      <c r="I264" s="9" t="str">
        <f t="shared" si="29"/>
        <v>All dates received</v>
      </c>
      <c r="J264" s="9" t="s">
        <v>322</v>
      </c>
      <c r="K264" s="9">
        <v>5186</v>
      </c>
      <c r="L264" s="11">
        <v>320</v>
      </c>
      <c r="M264" s="9" t="s">
        <v>744</v>
      </c>
      <c r="N264" s="9" t="s">
        <v>543</v>
      </c>
      <c r="O264" s="9"/>
      <c r="P264" s="9"/>
      <c r="Q264" s="11">
        <v>24</v>
      </c>
      <c r="R264" s="9" t="s">
        <v>90</v>
      </c>
      <c r="S264" s="9" t="s">
        <v>123</v>
      </c>
      <c r="T264" s="12">
        <f>IF($H264="Cancelled","",IFERROR(((Q264+INDEX(Variables!$B$6:$D$6,IFERROR(MATCH(IF($B264="Robusta","Robusta",(IF($B264="","Arabica",$B264))&amp;" - "&amp;(IF($C264="","Commercial",$C264))),Variables!$B$1:$D$1,0),1)))*22.0462)*(L264/16.67),""))</f>
        <v>133224.1153689262</v>
      </c>
      <c r="U264" s="10">
        <v>45673</v>
      </c>
      <c r="V264" s="9" t="str">
        <f t="shared" si="27"/>
        <v>Sent</v>
      </c>
      <c r="W264" s="10">
        <v>45698</v>
      </c>
      <c r="X264" s="9" t="str">
        <f t="shared" si="25"/>
        <v>Approved</v>
      </c>
      <c r="Y264" s="10"/>
      <c r="Z264" s="10">
        <f>IF($H264="Cancelled","",IFERROR(IF(F264="","",F264-Variables!$B$13),""))</f>
        <v>45732</v>
      </c>
      <c r="AA264" s="11">
        <f>IF($H264="Cancelled","",IFERROR(IF(W264="","",(AVERAGE(E264:F264)-W264)-Variables!$B$14),""))</f>
        <v>4</v>
      </c>
      <c r="AB264" s="10">
        <v>45709</v>
      </c>
      <c r="AC264" s="11">
        <f>IF($H264="Cancelled","",IFERROR(IF(AB264="","",IF(AND(W264="",Y264=""),"",IF(Y264&gt;W264,Y264+Variables!$B$15+Variables!$B$16+Variables!$B$17-AB264,W264+Variables!$B$16+Variables!$B$17-AB264))),""))</f>
        <v>-3</v>
      </c>
      <c r="AD264" s="9" t="s">
        <v>92</v>
      </c>
      <c r="AE264" s="9" t="s">
        <v>703</v>
      </c>
      <c r="AF264" s="10">
        <v>45722</v>
      </c>
      <c r="AG264" s="10"/>
      <c r="AH264" s="9"/>
      <c r="AI264" s="9" t="s">
        <v>748</v>
      </c>
      <c r="AJ264" s="9" t="s">
        <v>737</v>
      </c>
      <c r="AK264" s="10">
        <v>45725</v>
      </c>
      <c r="AL264" s="10">
        <v>45727</v>
      </c>
      <c r="AM264" s="10">
        <v>45733</v>
      </c>
      <c r="AN264" s="9" t="s">
        <v>95</v>
      </c>
      <c r="AO264" s="9"/>
      <c r="AP264" s="11">
        <f>IF($H264="Cancelled","",IFERROR(IF(OR(AK264="",AB264=""),"",(AB264+Variables!$B$18-AK264)),""))</f>
        <v>-9</v>
      </c>
      <c r="AQ264" s="11">
        <f>IF($H264="Cancelled","",IFERROR(IF(OR(AM264="",AK264=""),"",(AK264+Variables!$B$19)-AM264),""))</f>
        <v>-3</v>
      </c>
      <c r="AR264" s="12">
        <f>IF($H264="Cancelled","",IFERROR(T264*INDEX(Variables!$B$7:$D$7,IFERROR(MATCH(IF($B264="Robusta","Robusta",(IF($B264="","Arabica",$B264))&amp;" - "&amp;(IF($C264="","Commercial",$C264))),Variables!$B$1:$D$1,0),1))*(AQ264/365),""))</f>
        <v>-70.607540153771282</v>
      </c>
      <c r="AS264" s="12">
        <f>IF($H264="Cancelled","",IFERROR((T264*INDEX(Variables!$B$7:$D$7,IFERROR(MATCH(IF($B264="Robusta","Robusta",(IF($B264="","Arabica",$B264))&amp;" - "&amp;(IF($C264="","Commercial",$C264))),Variables!$B$1:$D$1,0),1))*IFERROR(IF(W264="","",(AVERAGE(E264:F264)-W264)-Variables!$B$14),"")/365)+(L264/16.67*INDEX(Variables!$B$8:$D$8,IFERROR(MATCH(IF($B264="Robusta","Robusta",(IF($B264="","Arabica",$B264))&amp;" - "&amp;(IF($C264="","Commercial",$C264))),Variables!$B$1:$D$1,0),1))*IFERROR(IF(W264="","",(AVERAGE(E264:F264)-W264)-Variables!$B$14),""))+(T264*INDEX(Variables!$B$9:$D$9,IFERROR(MATCH(IF($B264="Robusta","Robusta",(IF($B264="","Arabica",$B264))&amp;" - "&amp;(IF($C264="","Commercial",$C264))),Variables!$B$1:$D$1,0),1))*IFERROR(IF(W264="","",(AVERAGE(E264:F264)-W264)-Variables!$B$14),"")/365),""))</f>
        <v>159.35707681258478</v>
      </c>
      <c r="AT264" s="12">
        <f>IF($H264="Cancelled","",IFERROR((T264*INDEX(Variables!$B$7:$D$7,IFERROR(MATCH(IF($B264="Robusta","Robusta",(IF($B264="","Arabica",$B264))&amp;" - "&amp;(IF($C264="","Commercial",$C264))),Variables!$B$1:$D$1,0),1))*AC264/365)+(L264/16.67*INDEX(Variables!$B$8:$D$8,IFERROR(MATCH(IF($B264="Robusta","Robusta",(IF($B264="","Arabica",$B264))&amp;" - "&amp;(IF($C264="","Commercial",$C264))),Variables!$B$1:$D$1,0),1))*AC264)+(T264*INDEX(Variables!$B$9:$D$9,IFERROR(MATCH(IF($B264="Robusta","Robusta",(IF($B264="","Arabica",$B264))&amp;" - "&amp;(IF($C264="","Commercial",$C264))),Variables!$B$1:$D$1,0),1))*AC264/365),""))</f>
        <v>-119.51780760943858</v>
      </c>
      <c r="AU264" s="12">
        <f>IF($H264="Cancelled","",IFERROR((T264*INDEX(Variables!$B$7:$D$7,IFERROR(MATCH(IF($B264="Robusta","Robusta",(IF($B264="","Arabica",$B264))&amp;" - "&amp;(IF($C264="","Commercial",$C264))),Variables!$B$1:$D$1,0),1))*AP264/365)+(L264/16.67*INDEX(Variables!$B$8:$D$8,IFERROR(MATCH(IF($B264="Robusta","Robusta",(IF($B264="","Arabica",$B264))&amp;" - "&amp;(IF($C264="","Commercial",$C264))),Variables!$B$1:$D$1,0),1))*AP264)+(T264*INDEX(Variables!$B$9:$D$9,IFERROR(MATCH(IF($B264="Robusta","Robusta",(IF($B264="","Arabica",$B264))&amp;" - "&amp;(IF($C264="","Commercial",$C264))),Variables!$B$1:$D$1,0),1))*AP264/365),""))</f>
        <v>-358.55342282831577</v>
      </c>
      <c r="AV264" s="11">
        <f t="shared" si="30"/>
        <v>22</v>
      </c>
      <c r="AW264" s="12">
        <f>IF($H264="Cancelled","",IFERROR(IF(AV264="","",(T264*INDEX(Variables!$B$7:$D$7,IFERROR(MATCH(IF($B264="Robusta","Robusta",(IF($B264="","Arabica",$B264))&amp;" - "&amp;(IF($C264="","Commercial",$C264))),Variables!$B$1:$D$1,0),1))*(AV264/365))+(T264*INDEX(Variables!$B$9:$D$9,IFERROR(MATCH(IF($B264="Robusta","Robusta",(IF($B264="","Arabica",$B264))&amp;" - "&amp;(IF($C264="","Commercial",$C264))),Variables!$B$1:$D$1,0),1))*(AV264/365))+(INDEX(Variables!$B$8:$D$8,IFERROR(MATCH(IF($B264="Robusta","Robusta",(IF($B264="","Arabica",$B264))&amp;" - "&amp;(IF($C264="","Commercial",$C264))),Variables!$B$1:$D$1,0),1))*L264/16.67)),""))</f>
        <v>540.4639224692163</v>
      </c>
      <c r="AX264" s="9"/>
      <c r="AY264" s="12"/>
      <c r="AZ264" s="10"/>
      <c r="BA264" s="9"/>
      <c r="BB264" s="10"/>
      <c r="BC264" s="9"/>
      <c r="BD264" s="9"/>
      <c r="BE264" s="9"/>
      <c r="BF264" s="9"/>
    </row>
    <row r="265" spans="1:58" x14ac:dyDescent="0.25">
      <c r="A265" s="9" t="s">
        <v>84</v>
      </c>
      <c r="B265" s="9" t="s">
        <v>85</v>
      </c>
      <c r="C265" s="9" t="s">
        <v>86</v>
      </c>
      <c r="D265" s="10">
        <v>45604</v>
      </c>
      <c r="E265" s="10">
        <v>45778</v>
      </c>
      <c r="F265" s="10">
        <v>45808</v>
      </c>
      <c r="G265" s="9">
        <v>3786553</v>
      </c>
      <c r="H265" s="9" t="str">
        <f t="shared" si="28"/>
        <v>Closed</v>
      </c>
      <c r="I265" s="9" t="str">
        <f t="shared" si="29"/>
        <v>All dates received</v>
      </c>
      <c r="J265" s="9" t="s">
        <v>240</v>
      </c>
      <c r="K265" s="9">
        <v>5275</v>
      </c>
      <c r="L265" s="11">
        <v>360</v>
      </c>
      <c r="M265" s="9" t="s">
        <v>334</v>
      </c>
      <c r="N265" s="9" t="s">
        <v>543</v>
      </c>
      <c r="O265" s="9"/>
      <c r="P265" s="9"/>
      <c r="Q265" s="11">
        <v>28</v>
      </c>
      <c r="R265" s="9" t="s">
        <v>90</v>
      </c>
      <c r="S265" s="9" t="s">
        <v>392</v>
      </c>
      <c r="T265" s="12">
        <f>IF($H265="Cancelled","",IFERROR(((Q265+INDEX(Variables!$B$6:$D$6,IFERROR(MATCH(IF($B265="Robusta","Robusta",(IF($B265="","Arabica",$B265))&amp;" - "&amp;(IF($C265="","Commercial",$C265))),Variables!$B$1:$D$1,0),1)))*22.0462)*(L265/16.67),""))</f>
        <v>151781.54058788242</v>
      </c>
      <c r="U265" s="10">
        <v>45744</v>
      </c>
      <c r="V265" s="9" t="str">
        <f t="shared" si="27"/>
        <v>Sent</v>
      </c>
      <c r="W265" s="10">
        <v>45775</v>
      </c>
      <c r="X265" s="9" t="str">
        <f t="shared" si="25"/>
        <v>Approved</v>
      </c>
      <c r="Y265" s="10"/>
      <c r="Z265" s="10">
        <f>IF($H265="Cancelled","",IFERROR(IF(F265="","",F265-Variables!$B$13),""))</f>
        <v>45793</v>
      </c>
      <c r="AA265" s="11">
        <f>IF($H265="Cancelled","",IFERROR(IF(W265="","",(AVERAGE(E265:F265)-W265)-Variables!$B$14),""))</f>
        <v>-12</v>
      </c>
      <c r="AB265" s="10">
        <v>45793</v>
      </c>
      <c r="AC265" s="11">
        <f>IF($H265="Cancelled","",IFERROR(IF(AB265="","",IF(AND(W265="",Y265=""),"",IF(Y265&gt;W265,Y265+Variables!$B$15+Variables!$B$16+Variables!$B$17-AB265,W265+Variables!$B$16+Variables!$B$17-AB265))),""))</f>
        <v>-10</v>
      </c>
      <c r="AD265" s="9" t="s">
        <v>151</v>
      </c>
      <c r="AE265" s="9" t="s">
        <v>749</v>
      </c>
      <c r="AF265" s="10"/>
      <c r="AG265" s="10"/>
      <c r="AH265" s="9"/>
      <c r="AI265" s="9" t="s">
        <v>750</v>
      </c>
      <c r="AJ265" s="9" t="s">
        <v>8</v>
      </c>
      <c r="AK265" s="10">
        <v>45817</v>
      </c>
      <c r="AL265" s="10">
        <v>45820</v>
      </c>
      <c r="AM265" s="10">
        <v>45820</v>
      </c>
      <c r="AN265" s="9" t="s">
        <v>95</v>
      </c>
      <c r="AO265" s="9"/>
      <c r="AP265" s="11">
        <f>IF($H265="Cancelled","",IFERROR(IF(OR(AK265="",AB265=""),"",(AB265+Variables!$B$18-AK265)),""))</f>
        <v>-17</v>
      </c>
      <c r="AQ265" s="11">
        <f>IF($H265="Cancelled","",IFERROR(IF(OR(AM265="",AK265=""),"",(AK265+Variables!$B$19)-AM265),""))</f>
        <v>2</v>
      </c>
      <c r="AR265" s="12">
        <f>IF($H265="Cancelled","",IFERROR(T265*INDEX(Variables!$B$7:$D$7,IFERROR(MATCH(IF($B265="Robusta","Robusta",(IF($B265="","Arabica",$B265))&amp;" - "&amp;(IF($C265="","Commercial",$C265))),Variables!$B$1:$D$1,0),1))*(AQ265/365),""))</f>
        <v>53.628535104087419</v>
      </c>
      <c r="AS265" s="12">
        <f>IF($H265="Cancelled","",IFERROR((T265*INDEX(Variables!$B$7:$D$7,IFERROR(MATCH(IF($B265="Robusta","Robusta",(IF($B265="","Arabica",$B265))&amp;" - "&amp;(IF($C265="","Commercial",$C265))),Variables!$B$1:$D$1,0),1))*IFERROR(IF(W265="","",(AVERAGE(E265:F265)-W265)-Variables!$B$14),"")/365)+(L265/16.67*INDEX(Variables!$B$8:$D$8,IFERROR(MATCH(IF($B265="Robusta","Robusta",(IF($B265="","Arabica",$B265))&amp;" - "&amp;(IF($C265="","Commercial",$C265))),Variables!$B$1:$D$1,0),1))*IFERROR(IF(W265="","",(AVERAGE(E265:F265)-W265)-Variables!$B$14),""))+(T265*INDEX(Variables!$B$9:$D$9,IFERROR(MATCH(IF($B265="Robusta","Robusta",(IF($B265="","Arabica",$B265))&amp;" - "&amp;(IF($C265="","Commercial",$C265))),Variables!$B$1:$D$1,0),1))*IFERROR(IF(W265="","",(AVERAGE(E265:F265)-W265)-Variables!$B$14),"")/365),""))</f>
        <v>-541.9194625047669</v>
      </c>
      <c r="AT265" s="12">
        <f>IF($H265="Cancelled","",IFERROR((T265*INDEX(Variables!$B$7:$D$7,IFERROR(MATCH(IF($B265="Robusta","Robusta",(IF($B265="","Arabica",$B265))&amp;" - "&amp;(IF($C265="","Commercial",$C265))),Variables!$B$1:$D$1,0),1))*AC265/365)+(L265/16.67*INDEX(Variables!$B$8:$D$8,IFERROR(MATCH(IF($B265="Robusta","Robusta",(IF($B265="","Arabica",$B265))&amp;" - "&amp;(IF($C265="","Commercial",$C265))),Variables!$B$1:$D$1,0),1))*AC265)+(T265*INDEX(Variables!$B$9:$D$9,IFERROR(MATCH(IF($B265="Robusta","Robusta",(IF($B265="","Arabica",$B265))&amp;" - "&amp;(IF($C265="","Commercial",$C265))),Variables!$B$1:$D$1,0),1))*AC265/365),""))</f>
        <v>-451.59955208730582</v>
      </c>
      <c r="AU265" s="12">
        <f>IF($H265="Cancelled","",IFERROR((T265*INDEX(Variables!$B$7:$D$7,IFERROR(MATCH(IF($B265="Robusta","Robusta",(IF($B265="","Arabica",$B265))&amp;" - "&amp;(IF($C265="","Commercial",$C265))),Variables!$B$1:$D$1,0),1))*AP265/365)+(L265/16.67*INDEX(Variables!$B$8:$D$8,IFERROR(MATCH(IF($B265="Robusta","Robusta",(IF($B265="","Arabica",$B265))&amp;" - "&amp;(IF($C265="","Commercial",$C265))),Variables!$B$1:$D$1,0),1))*AP265)+(T265*INDEX(Variables!$B$9:$D$9,IFERROR(MATCH(IF($B265="Robusta","Robusta",(IF($B265="","Arabica",$B265))&amp;" - "&amp;(IF($C265="","Commercial",$C265))),Variables!$B$1:$D$1,0),1))*AP265/365),""))</f>
        <v>-767.71923854841975</v>
      </c>
      <c r="AV265" s="11">
        <f t="shared" si="30"/>
        <v>-9</v>
      </c>
      <c r="AW265" s="12">
        <f>IF($H265="Cancelled","",IFERROR(IF(AV265="","",(T265*INDEX(Variables!$B$7:$D$7,IFERROR(MATCH(IF($B265="Robusta","Robusta",(IF($B265="","Arabica",$B265))&amp;" - "&amp;(IF($C265="","Commercial",$C265))),Variables!$B$1:$D$1,0),1))*(AV265/365))+(T265*INDEX(Variables!$B$9:$D$9,IFERROR(MATCH(IF($B265="Robusta","Robusta",(IF($B265="","Arabica",$B265))&amp;" - "&amp;(IF($C265="","Commercial",$C265))),Variables!$B$1:$D$1,0),1))*(AV265/365))+(INDEX(Variables!$B$8:$D$8,IFERROR(MATCH(IF($B265="Robusta","Robusta",(IF($B265="","Arabica",$B265))&amp;" - "&amp;(IF($C265="","Commercial",$C265))),Variables!$B$1:$D$1,0),1))*L265/16.67)),""))</f>
        <v>-226.43959687857517</v>
      </c>
      <c r="AX265" s="9"/>
      <c r="AY265" s="12"/>
      <c r="AZ265" s="10"/>
      <c r="BA265" s="9"/>
      <c r="BB265" s="10"/>
      <c r="BC265" s="9"/>
      <c r="BD265" s="9"/>
      <c r="BE265" s="9"/>
      <c r="BF265" s="9"/>
    </row>
    <row r="266" spans="1:58" x14ac:dyDescent="0.25">
      <c r="A266" s="9" t="s">
        <v>84</v>
      </c>
      <c r="B266" s="9" t="s">
        <v>85</v>
      </c>
      <c r="C266" s="9" t="s">
        <v>86</v>
      </c>
      <c r="D266" s="10">
        <v>45617</v>
      </c>
      <c r="E266" s="10">
        <v>45658</v>
      </c>
      <c r="F266" s="10">
        <v>45688</v>
      </c>
      <c r="G266" s="9">
        <v>3786554</v>
      </c>
      <c r="H266" s="9" t="str">
        <f t="shared" si="28"/>
        <v>Closed</v>
      </c>
      <c r="I266" s="9" t="str">
        <f t="shared" si="29"/>
        <v>All dates received</v>
      </c>
      <c r="J266" s="9" t="s">
        <v>102</v>
      </c>
      <c r="K266" s="9" t="s">
        <v>751</v>
      </c>
      <c r="L266" s="11">
        <v>3000</v>
      </c>
      <c r="M266" s="9" t="s">
        <v>752</v>
      </c>
      <c r="N266" s="9" t="s">
        <v>432</v>
      </c>
      <c r="O266" s="9"/>
      <c r="P266" s="9"/>
      <c r="Q266" s="11">
        <v>53</v>
      </c>
      <c r="R266" s="9" t="s">
        <v>90</v>
      </c>
      <c r="S266" s="9" t="s">
        <v>753</v>
      </c>
      <c r="T266" s="12">
        <f>IF($H266="Cancelled","",IFERROR(((Q266+INDEX(Variables!$B$6:$D$6,IFERROR(MATCH(IF($B266="Robusta","Robusta",(IF($B266="","Arabica",$B266))&amp;" - "&amp;(IF($C266="","Commercial",$C266))),Variables!$B$1:$D$1,0),1)))*22.0462)*(L266/16.67),""))</f>
        <v>1364034.2339532091</v>
      </c>
      <c r="U266" s="10">
        <v>45650</v>
      </c>
      <c r="V266" s="9" t="str">
        <f t="shared" si="27"/>
        <v>Sent</v>
      </c>
      <c r="W266" s="10">
        <v>45660</v>
      </c>
      <c r="X266" s="9" t="str">
        <f t="shared" si="25"/>
        <v>Approved</v>
      </c>
      <c r="Y266" s="10"/>
      <c r="Z266" s="10">
        <f>IF($H266="Cancelled","",IFERROR(IF(F266="","",F266-Variables!$B$13),""))</f>
        <v>45673</v>
      </c>
      <c r="AA266" s="11">
        <f>IF($H266="Cancelled","",IFERROR(IF(W266="","",(AVERAGE(E266:F266)-W266)-Variables!$B$14),""))</f>
        <v>-17</v>
      </c>
      <c r="AB266" s="10">
        <v>45679</v>
      </c>
      <c r="AC266" s="11">
        <f>IF($H266="Cancelled","",IFERROR(IF(AB266="","",IF(AND(W266="",Y266=""),"",IF(Y266&gt;W266,Y266+Variables!$B$15+Variables!$B$16+Variables!$B$17-AB266,W266+Variables!$B$16+Variables!$B$17-AB266))),""))</f>
        <v>-11</v>
      </c>
      <c r="AD266" s="9" t="s">
        <v>151</v>
      </c>
      <c r="AE266" s="9" t="s">
        <v>259</v>
      </c>
      <c r="AF266" s="10">
        <v>45683</v>
      </c>
      <c r="AG266" s="10"/>
      <c r="AH266" s="9"/>
      <c r="AI266" s="9" t="s">
        <v>754</v>
      </c>
      <c r="AJ266" s="9" t="s">
        <v>8</v>
      </c>
      <c r="AK266" s="10">
        <v>45691</v>
      </c>
      <c r="AL266" s="10">
        <v>45693</v>
      </c>
      <c r="AM266" s="10">
        <v>45698</v>
      </c>
      <c r="AN266" s="9" t="s">
        <v>95</v>
      </c>
      <c r="AO266" s="9"/>
      <c r="AP266" s="11">
        <f>IF($H266="Cancelled","",IFERROR(IF(OR(AK266="",AB266=""),"",(AB266+Variables!$B$18-AK266)),""))</f>
        <v>-5</v>
      </c>
      <c r="AQ266" s="11">
        <f>IF($H266="Cancelled","",IFERROR(IF(OR(AM266="",AK266=""),"",(AK266+Variables!$B$19)-AM266),""))</f>
        <v>-2</v>
      </c>
      <c r="AR266" s="12">
        <f>IF($H266="Cancelled","",IFERROR(T266*INDEX(Variables!$B$7:$D$7,IFERROR(MATCH(IF($B266="Robusta","Robusta",(IF($B266="","Arabica",$B266))&amp;" - "&amp;(IF($C266="","Commercial",$C266))),Variables!$B$1:$D$1,0),1))*(AQ266/365),""))</f>
        <v>-481.95029194858972</v>
      </c>
      <c r="AS266" s="12">
        <f>IF($H266="Cancelled","",IFERROR((T266*INDEX(Variables!$B$7:$D$7,IFERROR(MATCH(IF($B266="Robusta","Robusta",(IF($B266="","Arabica",$B266))&amp;" - "&amp;(IF($C266="","Commercial",$C266))),Variables!$B$1:$D$1,0),1))*IFERROR(IF(W266="","",(AVERAGE(E266:F266)-W266)-Variables!$B$14),"")/365)+(L266/16.67*INDEX(Variables!$B$8:$D$8,IFERROR(MATCH(IF($B266="Robusta","Robusta",(IF($B266="","Arabica",$B266))&amp;" - "&amp;(IF($C266="","Commercial",$C266))),Variables!$B$1:$D$1,0),1))*IFERROR(IF(W266="","",(AVERAGE(E266:F266)-W266)-Variables!$B$14),""))+(T266*INDEX(Variables!$B$9:$D$9,IFERROR(MATCH(IF($B266="Robusta","Robusta",(IF($B266="","Arabica",$B266))&amp;" - "&amp;(IF($C266="","Commercial",$C266))),Variables!$B$1:$D$1,0),1))*IFERROR(IF(W266="","",(AVERAGE(E266:F266)-W266)-Variables!$B$14),"")/365),""))</f>
        <v>-6699.3902711456149</v>
      </c>
      <c r="AT266" s="12">
        <f>IF($H266="Cancelled","",IFERROR((T266*INDEX(Variables!$B$7:$D$7,IFERROR(MATCH(IF($B266="Robusta","Robusta",(IF($B266="","Arabica",$B266))&amp;" - "&amp;(IF($C266="","Commercial",$C266))),Variables!$B$1:$D$1,0),1))*AC266/365)+(L266/16.67*INDEX(Variables!$B$8:$D$8,IFERROR(MATCH(IF($B266="Robusta","Robusta",(IF($B266="","Arabica",$B266))&amp;" - "&amp;(IF($C266="","Commercial",$C266))),Variables!$B$1:$D$1,0),1))*AC266)+(T266*INDEX(Variables!$B$9:$D$9,IFERROR(MATCH(IF($B266="Robusta","Robusta",(IF($B266="","Arabica",$B266))&amp;" - "&amp;(IF($C266="","Commercial",$C266))),Variables!$B$1:$D$1,0),1))*AC266/365),""))</f>
        <v>-4334.8995872118694</v>
      </c>
      <c r="AU266" s="12">
        <f>IF($H266="Cancelled","",IFERROR((T266*INDEX(Variables!$B$7:$D$7,IFERROR(MATCH(IF($B266="Robusta","Robusta",(IF($B266="","Arabica",$B266))&amp;" - "&amp;(IF($C266="","Commercial",$C266))),Variables!$B$1:$D$1,0),1))*AP266/365)+(L266/16.67*INDEX(Variables!$B$8:$D$8,IFERROR(MATCH(IF($B266="Robusta","Robusta",(IF($B266="","Arabica",$B266))&amp;" - "&amp;(IF($C266="","Commercial",$C266))),Variables!$B$1:$D$1,0),1))*AP266)+(T266*INDEX(Variables!$B$9:$D$9,IFERROR(MATCH(IF($B266="Robusta","Robusta",(IF($B266="","Arabica",$B266))&amp;" - "&amp;(IF($C266="","Commercial",$C266))),Variables!$B$1:$D$1,0),1))*AP266/365),""))</f>
        <v>-1970.4089032781224</v>
      </c>
      <c r="AV266" s="11">
        <f t="shared" si="30"/>
        <v>-3</v>
      </c>
      <c r="AW266" s="12">
        <f>IF($H266="Cancelled","",IFERROR(IF(AV266="","",(T266*INDEX(Variables!$B$7:$D$7,IFERROR(MATCH(IF($B266="Robusta","Robusta",(IF($B266="","Arabica",$B266))&amp;" - "&amp;(IF($C266="","Commercial",$C266))),Variables!$B$1:$D$1,0),1))*(AV266/365))+(T266*INDEX(Variables!$B$9:$D$9,IFERROR(MATCH(IF($B266="Robusta","Robusta",(IF($B266="","Arabica",$B266))&amp;" - "&amp;(IF($C266="","Commercial",$C266))),Variables!$B$1:$D$1,0),1))*(AV266/365))+(INDEX(Variables!$B$8:$D$8,IFERROR(MATCH(IF($B266="Robusta","Robusta",(IF($B266="","Arabica",$B266))&amp;" - "&amp;(IF($C266="","Commercial",$C266))),Variables!$B$1:$D$1,0),1))*L266/16.67)),""))</f>
        <v>-582.2453419668733</v>
      </c>
      <c r="AX266" s="9"/>
      <c r="AY266" s="12"/>
      <c r="AZ266" s="10"/>
      <c r="BA266" s="9"/>
      <c r="BB266" s="10"/>
      <c r="BC266" s="9"/>
      <c r="BD266" s="9"/>
      <c r="BE266" s="9"/>
      <c r="BF266" s="9"/>
    </row>
    <row r="267" spans="1:58" x14ac:dyDescent="0.25">
      <c r="A267" s="9" t="s">
        <v>84</v>
      </c>
      <c r="B267" s="9" t="s">
        <v>85</v>
      </c>
      <c r="C267" s="9" t="s">
        <v>86</v>
      </c>
      <c r="D267" s="10">
        <v>45617</v>
      </c>
      <c r="E267" s="10">
        <v>45658</v>
      </c>
      <c r="F267" s="10">
        <v>45688</v>
      </c>
      <c r="G267" s="9">
        <v>3786554</v>
      </c>
      <c r="H267" s="9" t="str">
        <f t="shared" si="28"/>
        <v>Closed</v>
      </c>
      <c r="I267" s="9" t="str">
        <f t="shared" si="29"/>
        <v>All dates received</v>
      </c>
      <c r="J267" s="9" t="s">
        <v>102</v>
      </c>
      <c r="K267" s="9" t="s">
        <v>755</v>
      </c>
      <c r="L267" s="11">
        <v>333</v>
      </c>
      <c r="M267" s="9" t="s">
        <v>752</v>
      </c>
      <c r="N267" s="9" t="s">
        <v>432</v>
      </c>
      <c r="O267" s="9"/>
      <c r="P267" s="9"/>
      <c r="Q267" s="11">
        <v>53</v>
      </c>
      <c r="R267" s="9" t="s">
        <v>90</v>
      </c>
      <c r="S267" s="9" t="s">
        <v>465</v>
      </c>
      <c r="T267" s="12">
        <f>IF($H267="Cancelled","",IFERROR(((Q267+INDEX(Variables!$B$6:$D$6,IFERROR(MATCH(IF($B267="Robusta","Robusta",(IF($B267="","Arabica",$B267))&amp;" - "&amp;(IF($C267="","Commercial",$C267))),Variables!$B$1:$D$1,0),1)))*22.0462)*(L267/16.67),""))</f>
        <v>151407.79996880621</v>
      </c>
      <c r="U267" s="10">
        <v>45650</v>
      </c>
      <c r="V267" s="9" t="str">
        <f t="shared" si="27"/>
        <v>Sent</v>
      </c>
      <c r="W267" s="10">
        <v>45660</v>
      </c>
      <c r="X267" s="9" t="str">
        <f t="shared" si="25"/>
        <v>Approved</v>
      </c>
      <c r="Y267" s="10"/>
      <c r="Z267" s="10">
        <f>IF($H267="Cancelled","",IFERROR(IF(F267="","",F267-Variables!$B$13),""))</f>
        <v>45673</v>
      </c>
      <c r="AA267" s="11">
        <f>IF($H267="Cancelled","",IFERROR(IF(W267="","",(AVERAGE(E267:F267)-W267)-Variables!$B$14),""))</f>
        <v>-17</v>
      </c>
      <c r="AB267" s="10">
        <v>45678</v>
      </c>
      <c r="AC267" s="11">
        <f>IF($H267="Cancelled","",IFERROR(IF(AB267="","",IF(AND(W267="",Y267=""),"",IF(Y267&gt;W267,Y267+Variables!$B$15+Variables!$B$16+Variables!$B$17-AB267,W267+Variables!$B$16+Variables!$B$17-AB267))),""))</f>
        <v>-10</v>
      </c>
      <c r="AD267" s="9" t="s">
        <v>151</v>
      </c>
      <c r="AE267" s="9" t="s">
        <v>259</v>
      </c>
      <c r="AF267" s="10">
        <v>45683</v>
      </c>
      <c r="AG267" s="10"/>
      <c r="AH267" s="9"/>
      <c r="AI267" s="9" t="s">
        <v>756</v>
      </c>
      <c r="AJ267" s="9" t="s">
        <v>8</v>
      </c>
      <c r="AK267" s="10">
        <v>45691</v>
      </c>
      <c r="AL267" s="10">
        <v>45693</v>
      </c>
      <c r="AM267" s="10">
        <v>45698</v>
      </c>
      <c r="AN267" s="9" t="s">
        <v>95</v>
      </c>
      <c r="AO267" s="9"/>
      <c r="AP267" s="11">
        <f>IF($H267="Cancelled","",IFERROR(IF(OR(AK267="",AB267=""),"",(AB267+Variables!$B$18-AK267)),""))</f>
        <v>-6</v>
      </c>
      <c r="AQ267" s="11">
        <f>IF($H267="Cancelled","",IFERROR(IF(OR(AM267="",AK267=""),"",(AK267+Variables!$B$19)-AM267),""))</f>
        <v>-2</v>
      </c>
      <c r="AR267" s="12">
        <f>IF($H267="Cancelled","",IFERROR(T267*INDEX(Variables!$B$7:$D$7,IFERROR(MATCH(IF($B267="Robusta","Robusta",(IF($B267="","Arabica",$B267))&amp;" - "&amp;(IF($C267="","Commercial",$C267))),Variables!$B$1:$D$1,0),1))*(AQ267/365),""))</f>
        <v>-53.49648240629346</v>
      </c>
      <c r="AS267" s="12">
        <f>IF($H267="Cancelled","",IFERROR((T267*INDEX(Variables!$B$7:$D$7,IFERROR(MATCH(IF($B267="Robusta","Robusta",(IF($B267="","Arabica",$B267))&amp;" - "&amp;(IF($C267="","Commercial",$C267))),Variables!$B$1:$D$1,0),1))*IFERROR(IF(W267="","",(AVERAGE(E267:F267)-W267)-Variables!$B$14),"")/365)+(L267/16.67*INDEX(Variables!$B$8:$D$8,IFERROR(MATCH(IF($B267="Robusta","Robusta",(IF($B267="","Arabica",$B267))&amp;" - "&amp;(IF($C267="","Commercial",$C267))),Variables!$B$1:$D$1,0),1))*IFERROR(IF(W267="","",(AVERAGE(E267:F267)-W267)-Variables!$B$14),""))+(T267*INDEX(Variables!$B$9:$D$9,IFERROR(MATCH(IF($B267="Robusta","Robusta",(IF($B267="","Arabica",$B267))&amp;" - "&amp;(IF($C267="","Commercial",$C267))),Variables!$B$1:$D$1,0),1))*IFERROR(IF(W267="","",(AVERAGE(E267:F267)-W267)-Variables!$B$14),"")/365),""))</f>
        <v>-743.63232009716342</v>
      </c>
      <c r="AT267" s="12">
        <f>IF($H267="Cancelled","",IFERROR((T267*INDEX(Variables!$B$7:$D$7,IFERROR(MATCH(IF($B267="Robusta","Robusta",(IF($B267="","Arabica",$B267))&amp;" - "&amp;(IF($C267="","Commercial",$C267))),Variables!$B$1:$D$1,0),1))*AC267/365)+(L267/16.67*INDEX(Variables!$B$8:$D$8,IFERROR(MATCH(IF($B267="Robusta","Robusta",(IF($B267="","Arabica",$B267))&amp;" - "&amp;(IF($C267="","Commercial",$C267))),Variables!$B$1:$D$1,0),1))*AC267)+(T267*INDEX(Variables!$B$9:$D$9,IFERROR(MATCH(IF($B267="Robusta","Robusta",(IF($B267="","Arabica",$B267))&amp;" - "&amp;(IF($C267="","Commercial",$C267))),Variables!$B$1:$D$1,0),1))*AC267/365),""))</f>
        <v>-437.43077652774321</v>
      </c>
      <c r="AU267" s="12">
        <f>IF($H267="Cancelled","",IFERROR((T267*INDEX(Variables!$B$7:$D$7,IFERROR(MATCH(IF($B267="Robusta","Robusta",(IF($B267="","Arabica",$B267))&amp;" - "&amp;(IF($C267="","Commercial",$C267))),Variables!$B$1:$D$1,0),1))*AP267/365)+(L267/16.67*INDEX(Variables!$B$8:$D$8,IFERROR(MATCH(IF($B267="Robusta","Robusta",(IF($B267="","Arabica",$B267))&amp;" - "&amp;(IF($C267="","Commercial",$C267))),Variables!$B$1:$D$1,0),1))*AP267)+(T267*INDEX(Variables!$B$9:$D$9,IFERROR(MATCH(IF($B267="Robusta","Robusta",(IF($B267="","Arabica",$B267))&amp;" - "&amp;(IF($C267="","Commercial",$C267))),Variables!$B$1:$D$1,0),1))*AP267/365),""))</f>
        <v>-262.45846591664588</v>
      </c>
      <c r="AV267" s="11">
        <f t="shared" si="30"/>
        <v>-3</v>
      </c>
      <c r="AW267" s="12">
        <f>IF($H267="Cancelled","",IFERROR(IF(AV267="","",(T267*INDEX(Variables!$B$7:$D$7,IFERROR(MATCH(IF($B267="Robusta","Robusta",(IF($B267="","Arabica",$B267))&amp;" - "&amp;(IF($C267="","Commercial",$C267))),Variables!$B$1:$D$1,0),1))*(AV267/365))+(T267*INDEX(Variables!$B$9:$D$9,IFERROR(MATCH(IF($B267="Robusta","Robusta",(IF($B267="","Arabica",$B267))&amp;" - "&amp;(IF($C267="","Commercial",$C267))),Variables!$B$1:$D$1,0),1))*(AV267/365))+(INDEX(Variables!$B$8:$D$8,IFERROR(MATCH(IF($B267="Robusta","Robusta",(IF($B267="","Arabica",$B267))&amp;" - "&amp;(IF($C267="","Commercial",$C267))),Variables!$B$1:$D$1,0),1))*L267/16.67)),""))</f>
        <v>-64.629232958322916</v>
      </c>
      <c r="AX267" s="9"/>
      <c r="AY267" s="12"/>
      <c r="AZ267" s="10"/>
      <c r="BA267" s="9"/>
      <c r="BB267" s="10"/>
      <c r="BC267" s="9"/>
      <c r="BD267" s="9"/>
      <c r="BE267" s="9"/>
      <c r="BF267" s="9"/>
    </row>
    <row r="268" spans="1:58" x14ac:dyDescent="0.25">
      <c r="A268" s="9" t="s">
        <v>84</v>
      </c>
      <c r="B268" s="9" t="s">
        <v>85</v>
      </c>
      <c r="C268" s="9" t="s">
        <v>86</v>
      </c>
      <c r="D268" s="10">
        <v>45617</v>
      </c>
      <c r="E268" s="10">
        <v>45689</v>
      </c>
      <c r="F268" s="10">
        <v>45716</v>
      </c>
      <c r="G268" s="9">
        <v>3786555</v>
      </c>
      <c r="H268" s="9" t="str">
        <f t="shared" si="28"/>
        <v>Closed</v>
      </c>
      <c r="I268" s="9" t="str">
        <f t="shared" si="29"/>
        <v>All dates received</v>
      </c>
      <c r="J268" s="9" t="s">
        <v>102</v>
      </c>
      <c r="K268" s="9" t="s">
        <v>757</v>
      </c>
      <c r="L268" s="11">
        <v>335</v>
      </c>
      <c r="M268" s="9" t="s">
        <v>758</v>
      </c>
      <c r="N268" s="9" t="s">
        <v>432</v>
      </c>
      <c r="O268" s="9"/>
      <c r="P268" s="9"/>
      <c r="Q268" s="11">
        <v>53</v>
      </c>
      <c r="R268" s="9" t="s">
        <v>90</v>
      </c>
      <c r="S268" s="9" t="s">
        <v>759</v>
      </c>
      <c r="T268" s="12">
        <f>IF($H268="Cancelled","",IFERROR(((Q268+INDEX(Variables!$B$6:$D$6,IFERROR(MATCH(IF($B268="Robusta","Robusta",(IF($B268="","Arabica",$B268))&amp;" - "&amp;(IF($C268="","Commercial",$C268))),Variables!$B$1:$D$1,0),1)))*22.0462)*(L268/16.67),""))</f>
        <v>152317.15612477501</v>
      </c>
      <c r="U268" s="10">
        <v>45667</v>
      </c>
      <c r="V268" s="9" t="str">
        <f t="shared" si="27"/>
        <v>Sent</v>
      </c>
      <c r="W268" s="10">
        <v>45677</v>
      </c>
      <c r="X268" s="9" t="str">
        <f t="shared" si="25"/>
        <v>Approved</v>
      </c>
      <c r="Y268" s="10"/>
      <c r="Z268" s="10">
        <f>IF($H268="Cancelled","",IFERROR(IF(F268="","",F268-Variables!$B$13),""))</f>
        <v>45701</v>
      </c>
      <c r="AA268" s="11">
        <f>IF($H268="Cancelled","",IFERROR(IF(W268="","",(AVERAGE(E268:F268)-W268)-Variables!$B$14),""))</f>
        <v>-4.5</v>
      </c>
      <c r="AB268" s="10">
        <v>45685</v>
      </c>
      <c r="AC268" s="11">
        <f>IF($H268="Cancelled","",IFERROR(IF(AB268="","",IF(AND(W268="",Y268=""),"",IF(Y268&gt;W268,Y268+Variables!$B$15+Variables!$B$16+Variables!$B$17-AB268,W268+Variables!$B$16+Variables!$B$17-AB268))),""))</f>
        <v>0</v>
      </c>
      <c r="AD268" s="9" t="s">
        <v>163</v>
      </c>
      <c r="AE268" s="9" t="s">
        <v>760</v>
      </c>
      <c r="AF268" s="10">
        <v>45691</v>
      </c>
      <c r="AG268" s="10"/>
      <c r="AH268" s="9"/>
      <c r="AI268" s="9">
        <v>249385716</v>
      </c>
      <c r="AJ268" s="9" t="s">
        <v>8</v>
      </c>
      <c r="AK268" s="10">
        <v>45702</v>
      </c>
      <c r="AL268" s="10">
        <v>45705</v>
      </c>
      <c r="AM268" s="10">
        <v>45705</v>
      </c>
      <c r="AN268" s="9" t="s">
        <v>95</v>
      </c>
      <c r="AO268" s="9"/>
      <c r="AP268" s="11">
        <f>IF($H268="Cancelled","",IFERROR(IF(OR(AK268="",AB268=""),"",(AB268+Variables!$B$18-AK268)),""))</f>
        <v>-10</v>
      </c>
      <c r="AQ268" s="11">
        <f>IF($H268="Cancelled","",IFERROR(IF(OR(AM268="",AK268=""),"",(AK268+Variables!$B$19)-AM268),""))</f>
        <v>2</v>
      </c>
      <c r="AR268" s="12">
        <f>IF($H268="Cancelled","",IFERROR(T268*INDEX(Variables!$B$7:$D$7,IFERROR(MATCH(IF($B268="Robusta","Robusta",(IF($B268="","Arabica",$B268))&amp;" - "&amp;(IF($C268="","Commercial",$C268))),Variables!$B$1:$D$1,0),1))*(AQ268/365),""))</f>
        <v>53.817782600925852</v>
      </c>
      <c r="AS268" s="12">
        <f>IF($H268="Cancelled","",IFERROR((T268*INDEX(Variables!$B$7:$D$7,IFERROR(MATCH(IF($B268="Robusta","Robusta",(IF($B268="","Arabica",$B268))&amp;" - "&amp;(IF($C268="","Commercial",$C268))),Variables!$B$1:$D$1,0),1))*IFERROR(IF(W268="","",(AVERAGE(E268:F268)-W268)-Variables!$B$14),"")/365)+(L268/16.67*INDEX(Variables!$B$8:$D$8,IFERROR(MATCH(IF($B268="Robusta","Robusta",(IF($B268="","Arabica",$B268))&amp;" - "&amp;(IF($C268="","Commercial",$C268))),Variables!$B$1:$D$1,0),1))*IFERROR(IF(W268="","",(AVERAGE(E268:F268)-W268)-Variables!$B$14),""))+(T268*INDEX(Variables!$B$9:$D$9,IFERROR(MATCH(IF($B268="Robusta","Robusta",(IF($B268="","Arabica",$B268))&amp;" - "&amp;(IF($C268="","Commercial",$C268))),Variables!$B$1:$D$1,0),1))*IFERROR(IF(W268="","",(AVERAGE(E268:F268)-W268)-Variables!$B$14),"")/365),""))</f>
        <v>-198.02609477945128</v>
      </c>
      <c r="AT268" s="12">
        <f>IF($H268="Cancelled","",IFERROR((T268*INDEX(Variables!$B$7:$D$7,IFERROR(MATCH(IF($B268="Robusta","Robusta",(IF($B268="","Arabica",$B268))&amp;" - "&amp;(IF($C268="","Commercial",$C268))),Variables!$B$1:$D$1,0),1))*AC268/365)+(L268/16.67*INDEX(Variables!$B$8:$D$8,IFERROR(MATCH(IF($B268="Robusta","Robusta",(IF($B268="","Arabica",$B268))&amp;" - "&amp;(IF($C268="","Commercial",$C268))),Variables!$B$1:$D$1,0),1))*AC268)+(T268*INDEX(Variables!$B$9:$D$9,IFERROR(MATCH(IF($B268="Robusta","Robusta",(IF($B268="","Arabica",$B268))&amp;" - "&amp;(IF($C268="","Commercial",$C268))),Variables!$B$1:$D$1,0),1))*AC268/365),""))</f>
        <v>0</v>
      </c>
      <c r="AU268" s="12">
        <f>IF($H268="Cancelled","",IFERROR((T268*INDEX(Variables!$B$7:$D$7,IFERROR(MATCH(IF($B268="Robusta","Robusta",(IF($B268="","Arabica",$B268))&amp;" - "&amp;(IF($C268="","Commercial",$C268))),Variables!$B$1:$D$1,0),1))*AP268/365)+(L268/16.67*INDEX(Variables!$B$8:$D$8,IFERROR(MATCH(IF($B268="Robusta","Robusta",(IF($B268="","Arabica",$B268))&amp;" - "&amp;(IF($C268="","Commercial",$C268))),Variables!$B$1:$D$1,0),1))*AP268)+(T268*INDEX(Variables!$B$9:$D$9,IFERROR(MATCH(IF($B268="Robusta","Robusta",(IF($B268="","Arabica",$B268))&amp;" - "&amp;(IF($C268="","Commercial",$C268))),Variables!$B$1:$D$1,0),1))*AP268/365),""))</f>
        <v>-440.05798839878065</v>
      </c>
      <c r="AV268" s="11">
        <f t="shared" si="30"/>
        <v>14</v>
      </c>
      <c r="AW268" s="12">
        <f>IF($H268="Cancelled","",IFERROR(IF(AV268="","",(T268*INDEX(Variables!$B$7:$D$7,IFERROR(MATCH(IF($B268="Robusta","Robusta",(IF($B268="","Arabica",$B268))&amp;" - "&amp;(IF($C268="","Commercial",$C268))),Variables!$B$1:$D$1,0),1))*(AV268/365))+(T268*INDEX(Variables!$B$9:$D$9,IFERROR(MATCH(IF($B268="Robusta","Robusta",(IF($B268="","Arabica",$B268))&amp;" - "&amp;(IF($C268="","Commercial",$C268))),Variables!$B$1:$D$1,0),1))*(AV268/365))+(INDEX(Variables!$B$8:$D$8,IFERROR(MATCH(IF($B268="Robusta","Robusta",(IF($B268="","Arabica",$B268))&amp;" - "&amp;(IF($C268="","Commercial",$C268))),Variables!$B$1:$D$1,0),1))*L268/16.67)),""))</f>
        <v>398.33118375829292</v>
      </c>
      <c r="AX268" s="9"/>
      <c r="AY268" s="12"/>
      <c r="AZ268" s="10"/>
      <c r="BA268" s="9"/>
      <c r="BB268" s="10"/>
      <c r="BC268" s="9"/>
      <c r="BD268" s="9"/>
      <c r="BE268" s="9"/>
      <c r="BF268" s="9"/>
    </row>
    <row r="269" spans="1:58" x14ac:dyDescent="0.25">
      <c r="A269" s="9" t="s">
        <v>84</v>
      </c>
      <c r="B269" s="9" t="s">
        <v>85</v>
      </c>
      <c r="C269" s="9" t="s">
        <v>86</v>
      </c>
      <c r="D269" s="10">
        <v>45617</v>
      </c>
      <c r="E269" s="10">
        <v>45689</v>
      </c>
      <c r="F269" s="10">
        <v>45716</v>
      </c>
      <c r="G269" s="9">
        <v>3786555</v>
      </c>
      <c r="H269" s="9" t="str">
        <f t="shared" si="28"/>
        <v>Closed</v>
      </c>
      <c r="I269" s="9" t="str">
        <f t="shared" si="29"/>
        <v>All dates received</v>
      </c>
      <c r="J269" s="9" t="s">
        <v>102</v>
      </c>
      <c r="K269" s="9" t="s">
        <v>761</v>
      </c>
      <c r="L269" s="11">
        <v>666</v>
      </c>
      <c r="M269" s="9" t="s">
        <v>758</v>
      </c>
      <c r="N269" s="9" t="s">
        <v>432</v>
      </c>
      <c r="O269" s="9"/>
      <c r="P269" s="9"/>
      <c r="Q269" s="11">
        <v>53</v>
      </c>
      <c r="R269" s="9" t="s">
        <v>90</v>
      </c>
      <c r="S269" s="9" t="s">
        <v>207</v>
      </c>
      <c r="T269" s="12">
        <f>IF($H269="Cancelled","",IFERROR(((Q269+INDEX(Variables!$B$6:$D$6,IFERROR(MATCH(IF($B269="Robusta","Robusta",(IF($B269="","Arabica",$B269))&amp;" - "&amp;(IF($C269="","Commercial",$C269))),Variables!$B$1:$D$1,0),1)))*22.0462)*(L269/16.67),""))</f>
        <v>302815.59993761242</v>
      </c>
      <c r="U269" s="10">
        <v>45667</v>
      </c>
      <c r="V269" s="9" t="str">
        <f t="shared" si="27"/>
        <v>Sent</v>
      </c>
      <c r="W269" s="10">
        <v>45677</v>
      </c>
      <c r="X269" s="9" t="str">
        <f t="shared" si="25"/>
        <v>Approved</v>
      </c>
      <c r="Y269" s="10"/>
      <c r="Z269" s="10">
        <f>IF($H269="Cancelled","",IFERROR(IF(F269="","",F269-Variables!$B$13),""))</f>
        <v>45701</v>
      </c>
      <c r="AA269" s="11">
        <f>IF($H269="Cancelled","",IFERROR(IF(W269="","",(AVERAGE(E269:F269)-W269)-Variables!$B$14),""))</f>
        <v>-4.5</v>
      </c>
      <c r="AB269" s="10">
        <v>45686</v>
      </c>
      <c r="AC269" s="11">
        <f>IF($H269="Cancelled","",IFERROR(IF(AB269="","",IF(AND(W269="",Y269=""),"",IF(Y269&gt;W269,Y269+Variables!$B$15+Variables!$B$16+Variables!$B$17-AB269,W269+Variables!$B$16+Variables!$B$17-AB269))),""))</f>
        <v>-1</v>
      </c>
      <c r="AD269" s="9" t="s">
        <v>151</v>
      </c>
      <c r="AE269" s="9" t="s">
        <v>497</v>
      </c>
      <c r="AF269" s="10" t="s">
        <v>762</v>
      </c>
      <c r="AG269" s="10"/>
      <c r="AH269" s="9"/>
      <c r="AI269" s="9" t="s">
        <v>763</v>
      </c>
      <c r="AJ269" s="9" t="s">
        <v>8</v>
      </c>
      <c r="AK269" s="10">
        <v>45710</v>
      </c>
      <c r="AL269" s="10">
        <v>45714</v>
      </c>
      <c r="AM269" s="10">
        <v>45714</v>
      </c>
      <c r="AN269" s="9" t="s">
        <v>95</v>
      </c>
      <c r="AO269" s="9"/>
      <c r="AP269" s="11">
        <f>IF($H269="Cancelled","",IFERROR(IF(OR(AK269="",AB269=""),"",(AB269+Variables!$B$18-AK269)),""))</f>
        <v>-17</v>
      </c>
      <c r="AQ269" s="11">
        <f>IF($H269="Cancelled","",IFERROR(IF(OR(AM269="",AK269=""),"",(AK269+Variables!$B$19)-AM269),""))</f>
        <v>1</v>
      </c>
      <c r="AR269" s="12">
        <f>IF($H269="Cancelled","",IFERROR(T269*INDEX(Variables!$B$7:$D$7,IFERROR(MATCH(IF($B269="Robusta","Robusta",(IF($B269="","Arabica",$B269))&amp;" - "&amp;(IF($C269="","Commercial",$C269))),Variables!$B$1:$D$1,0),1))*(AQ269/365),""))</f>
        <v>53.49648240629346</v>
      </c>
      <c r="AS269" s="12">
        <f>IF($H269="Cancelled","",IFERROR((T269*INDEX(Variables!$B$7:$D$7,IFERROR(MATCH(IF($B269="Robusta","Robusta",(IF($B269="","Arabica",$B269))&amp;" - "&amp;(IF($C269="","Commercial",$C269))),Variables!$B$1:$D$1,0),1))*IFERROR(IF(W269="","",(AVERAGE(E269:F269)-W269)-Variables!$B$14),"")/365)+(L269/16.67*INDEX(Variables!$B$8:$D$8,IFERROR(MATCH(IF($B269="Robusta","Robusta",(IF($B269="","Arabica",$B269))&amp;" - "&amp;(IF($C269="","Commercial",$C269))),Variables!$B$1:$D$1,0),1))*IFERROR(IF(W269="","",(AVERAGE(E269:F269)-W269)-Variables!$B$14),""))+(T269*INDEX(Variables!$B$9:$D$9,IFERROR(MATCH(IF($B269="Robusta","Robusta",(IF($B269="","Arabica",$B269))&amp;" - "&amp;(IF($C269="","Commercial",$C269))),Variables!$B$1:$D$1,0),1))*IFERROR(IF(W269="","",(AVERAGE(E269:F269)-W269)-Variables!$B$14),"")/365),""))</f>
        <v>-393.68769887496882</v>
      </c>
      <c r="AT269" s="12">
        <f>IF($H269="Cancelled","",IFERROR((T269*INDEX(Variables!$B$7:$D$7,IFERROR(MATCH(IF($B269="Robusta","Robusta",(IF($B269="","Arabica",$B269))&amp;" - "&amp;(IF($C269="","Commercial",$C269))),Variables!$B$1:$D$1,0),1))*AC269/365)+(L269/16.67*INDEX(Variables!$B$8:$D$8,IFERROR(MATCH(IF($B269="Robusta","Robusta",(IF($B269="","Arabica",$B269))&amp;" - "&amp;(IF($C269="","Commercial",$C269))),Variables!$B$1:$D$1,0),1))*AC269)+(T269*INDEX(Variables!$B$9:$D$9,IFERROR(MATCH(IF($B269="Robusta","Robusta",(IF($B269="","Arabica",$B269))&amp;" - "&amp;(IF($C269="","Commercial",$C269))),Variables!$B$1:$D$1,0),1))*AC269/365),""))</f>
        <v>-87.486155305548621</v>
      </c>
      <c r="AU269" s="12">
        <f>IF($H269="Cancelled","",IFERROR((T269*INDEX(Variables!$B$7:$D$7,IFERROR(MATCH(IF($B269="Robusta","Robusta",(IF($B269="","Arabica",$B269))&amp;" - "&amp;(IF($C269="","Commercial",$C269))),Variables!$B$1:$D$1,0),1))*AP269/365)+(L269/16.67*INDEX(Variables!$B$8:$D$8,IFERROR(MATCH(IF($B269="Robusta","Robusta",(IF($B269="","Arabica",$B269))&amp;" - "&amp;(IF($C269="","Commercial",$C269))),Variables!$B$1:$D$1,0),1))*AP269)+(T269*INDEX(Variables!$B$9:$D$9,IFERROR(MATCH(IF($B269="Robusta","Robusta",(IF($B269="","Arabica",$B269))&amp;" - "&amp;(IF($C269="","Commercial",$C269))),Variables!$B$1:$D$1,0),1))*AP269/365),""))</f>
        <v>-1487.2646401943268</v>
      </c>
      <c r="AV269" s="11">
        <f t="shared" si="30"/>
        <v>6</v>
      </c>
      <c r="AW269" s="12">
        <f>IF($H269="Cancelled","",IFERROR(IF(AV269="","",(T269*INDEX(Variables!$B$7:$D$7,IFERROR(MATCH(IF($B269="Robusta","Robusta",(IF($B269="","Arabica",$B269))&amp;" - "&amp;(IF($C269="","Commercial",$C269))),Variables!$B$1:$D$1,0),1))*(AV269/365))+(T269*INDEX(Variables!$B$9:$D$9,IFERROR(MATCH(IF($B269="Robusta","Robusta",(IF($B269="","Arabica",$B269))&amp;" - "&amp;(IF($C269="","Commercial",$C269))),Variables!$B$1:$D$1,0),1))*(AV269/365))+(INDEX(Variables!$B$8:$D$8,IFERROR(MATCH(IF($B269="Robusta","Robusta",(IF($B269="","Arabica",$B269))&amp;" - "&amp;(IF($C269="","Commercial",$C269))),Variables!$B$1:$D$1,0),1))*L269/16.67)),""))</f>
        <v>358.4169318332917</v>
      </c>
      <c r="AX269" s="9"/>
      <c r="AY269" s="12"/>
      <c r="AZ269" s="10"/>
      <c r="BA269" s="9"/>
      <c r="BB269" s="10"/>
      <c r="BC269" s="9"/>
      <c r="BD269" s="9"/>
      <c r="BE269" s="9"/>
      <c r="BF269" s="9"/>
    </row>
    <row r="270" spans="1:58" x14ac:dyDescent="0.25">
      <c r="A270" s="9" t="s">
        <v>84</v>
      </c>
      <c r="B270" s="9" t="s">
        <v>85</v>
      </c>
      <c r="C270" s="9" t="s">
        <v>86</v>
      </c>
      <c r="D270" s="10">
        <v>45617</v>
      </c>
      <c r="E270" s="10">
        <v>45689</v>
      </c>
      <c r="F270" s="10">
        <v>45716</v>
      </c>
      <c r="G270" s="9">
        <v>3786555</v>
      </c>
      <c r="H270" s="9" t="str">
        <f t="shared" si="28"/>
        <v>Closed</v>
      </c>
      <c r="I270" s="9" t="str">
        <f t="shared" si="29"/>
        <v>All dates received</v>
      </c>
      <c r="J270" s="9" t="s">
        <v>102</v>
      </c>
      <c r="K270" s="9" t="s">
        <v>764</v>
      </c>
      <c r="L270" s="11">
        <v>666</v>
      </c>
      <c r="M270" s="9" t="s">
        <v>758</v>
      </c>
      <c r="N270" s="9" t="s">
        <v>432</v>
      </c>
      <c r="O270" s="9"/>
      <c r="P270" s="9"/>
      <c r="Q270" s="11">
        <v>53</v>
      </c>
      <c r="R270" s="9" t="s">
        <v>90</v>
      </c>
      <c r="S270" s="9" t="s">
        <v>465</v>
      </c>
      <c r="T270" s="12">
        <f>IF($H270="Cancelled","",IFERROR(((Q270+INDEX(Variables!$B$6:$D$6,IFERROR(MATCH(IF($B270="Robusta","Robusta",(IF($B270="","Arabica",$B270))&amp;" - "&amp;(IF($C270="","Commercial",$C270))),Variables!$B$1:$D$1,0),1)))*22.0462)*(L270/16.67),""))</f>
        <v>302815.59993761242</v>
      </c>
      <c r="U270" s="10">
        <v>45667</v>
      </c>
      <c r="V270" s="9" t="str">
        <f t="shared" si="27"/>
        <v>Sent</v>
      </c>
      <c r="W270" s="10">
        <v>45677</v>
      </c>
      <c r="X270" s="9" t="str">
        <f t="shared" si="25"/>
        <v>Approved</v>
      </c>
      <c r="Y270" s="10"/>
      <c r="Z270" s="10">
        <f>IF($H270="Cancelled","",IFERROR(IF(F270="","",F270-Variables!$B$13),""))</f>
        <v>45701</v>
      </c>
      <c r="AA270" s="11">
        <f>IF($H270="Cancelled","",IFERROR(IF(W270="","",(AVERAGE(E270:F270)-W270)-Variables!$B$14),""))</f>
        <v>-4.5</v>
      </c>
      <c r="AB270" s="10">
        <v>45688</v>
      </c>
      <c r="AC270" s="11">
        <f>IF($H270="Cancelled","",IFERROR(IF(AB270="","",IF(AND(W270="",Y270=""),"",IF(Y270&gt;W270,Y270+Variables!$B$15+Variables!$B$16+Variables!$B$17-AB270,W270+Variables!$B$16+Variables!$B$17-AB270))),""))</f>
        <v>-3</v>
      </c>
      <c r="AD270" s="9" t="s">
        <v>151</v>
      </c>
      <c r="AE270" s="9" t="s">
        <v>765</v>
      </c>
      <c r="AF270" s="10">
        <v>45697</v>
      </c>
      <c r="AG270" s="10"/>
      <c r="AH270" s="9"/>
      <c r="AI270" s="9" t="s">
        <v>766</v>
      </c>
      <c r="AJ270" s="9" t="s">
        <v>8</v>
      </c>
      <c r="AK270" s="10">
        <v>45701</v>
      </c>
      <c r="AL270" s="10">
        <v>45705</v>
      </c>
      <c r="AM270" s="10">
        <v>45705</v>
      </c>
      <c r="AN270" s="9" t="s">
        <v>95</v>
      </c>
      <c r="AO270" s="9"/>
      <c r="AP270" s="11">
        <f>IF($H270="Cancelled","",IFERROR(IF(OR(AK270="",AB270=""),"",(AB270+Variables!$B$18-AK270)),""))</f>
        <v>-6</v>
      </c>
      <c r="AQ270" s="11">
        <f>IF($H270="Cancelled","",IFERROR(IF(OR(AM270="",AK270=""),"",(AK270+Variables!$B$19)-AM270),""))</f>
        <v>1</v>
      </c>
      <c r="AR270" s="12">
        <f>IF($H270="Cancelled","",IFERROR(T270*INDEX(Variables!$B$7:$D$7,IFERROR(MATCH(IF($B270="Robusta","Robusta",(IF($B270="","Arabica",$B270))&amp;" - "&amp;(IF($C270="","Commercial",$C270))),Variables!$B$1:$D$1,0),1))*(AQ270/365),""))</f>
        <v>53.49648240629346</v>
      </c>
      <c r="AS270" s="12">
        <f>IF($H270="Cancelled","",IFERROR((T270*INDEX(Variables!$B$7:$D$7,IFERROR(MATCH(IF($B270="Robusta","Robusta",(IF($B270="","Arabica",$B270))&amp;" - "&amp;(IF($C270="","Commercial",$C270))),Variables!$B$1:$D$1,0),1))*IFERROR(IF(W270="","",(AVERAGE(E270:F270)-W270)-Variables!$B$14),"")/365)+(L270/16.67*INDEX(Variables!$B$8:$D$8,IFERROR(MATCH(IF($B270="Robusta","Robusta",(IF($B270="","Arabica",$B270))&amp;" - "&amp;(IF($C270="","Commercial",$C270))),Variables!$B$1:$D$1,0),1))*IFERROR(IF(W270="","",(AVERAGE(E270:F270)-W270)-Variables!$B$14),""))+(T270*INDEX(Variables!$B$9:$D$9,IFERROR(MATCH(IF($B270="Robusta","Robusta",(IF($B270="","Arabica",$B270))&amp;" - "&amp;(IF($C270="","Commercial",$C270))),Variables!$B$1:$D$1,0),1))*IFERROR(IF(W270="","",(AVERAGE(E270:F270)-W270)-Variables!$B$14),"")/365),""))</f>
        <v>-393.68769887496882</v>
      </c>
      <c r="AT270" s="12">
        <f>IF($H270="Cancelled","",IFERROR((T270*INDEX(Variables!$B$7:$D$7,IFERROR(MATCH(IF($B270="Robusta","Robusta",(IF($B270="","Arabica",$B270))&amp;" - "&amp;(IF($C270="","Commercial",$C270))),Variables!$B$1:$D$1,0),1))*AC270/365)+(L270/16.67*INDEX(Variables!$B$8:$D$8,IFERROR(MATCH(IF($B270="Robusta","Robusta",(IF($B270="","Arabica",$B270))&amp;" - "&amp;(IF($C270="","Commercial",$C270))),Variables!$B$1:$D$1,0),1))*AC270)+(T270*INDEX(Variables!$B$9:$D$9,IFERROR(MATCH(IF($B270="Robusta","Robusta",(IF($B270="","Arabica",$B270))&amp;" - "&amp;(IF($C270="","Commercial",$C270))),Variables!$B$1:$D$1,0),1))*AC270/365),""))</f>
        <v>-262.45846591664588</v>
      </c>
      <c r="AU270" s="12">
        <f>IF($H270="Cancelled","",IFERROR((T270*INDEX(Variables!$B$7:$D$7,IFERROR(MATCH(IF($B270="Robusta","Robusta",(IF($B270="","Arabica",$B270))&amp;" - "&amp;(IF($C270="","Commercial",$C270))),Variables!$B$1:$D$1,0),1))*AP270/365)+(L270/16.67*INDEX(Variables!$B$8:$D$8,IFERROR(MATCH(IF($B270="Robusta","Robusta",(IF($B270="","Arabica",$B270))&amp;" - "&amp;(IF($C270="","Commercial",$C270))),Variables!$B$1:$D$1,0),1))*AP270)+(T270*INDEX(Variables!$B$9:$D$9,IFERROR(MATCH(IF($B270="Robusta","Robusta",(IF($B270="","Arabica",$B270))&amp;" - "&amp;(IF($C270="","Commercial",$C270))),Variables!$B$1:$D$1,0),1))*AP270/365),""))</f>
        <v>-524.91693183329176</v>
      </c>
      <c r="AV270" s="11">
        <f t="shared" si="30"/>
        <v>15</v>
      </c>
      <c r="AW270" s="12">
        <f>IF($H270="Cancelled","",IFERROR(IF(AV270="","",(T270*INDEX(Variables!$B$7:$D$7,IFERROR(MATCH(IF($B270="Robusta","Robusta",(IF($B270="","Arabica",$B270))&amp;" - "&amp;(IF($C270="","Commercial",$C270))),Variables!$B$1:$D$1,0),1))*(AV270/365))+(T270*INDEX(Variables!$B$9:$D$9,IFERROR(MATCH(IF($B270="Robusta","Robusta",(IF($B270="","Arabica",$B270))&amp;" - "&amp;(IF($C270="","Commercial",$C270))),Variables!$B$1:$D$1,0),1))*(AV270/365))+(INDEX(Variables!$B$8:$D$8,IFERROR(MATCH(IF($B270="Robusta","Robusta",(IF($B270="","Arabica",$B270))&amp;" - "&amp;(IF($C270="","Commercial",$C270))),Variables!$B$1:$D$1,0),1))*L270/16.67)),""))</f>
        <v>846.09232958322923</v>
      </c>
      <c r="AX270" s="9"/>
      <c r="AY270" s="12"/>
      <c r="AZ270" s="10"/>
      <c r="BA270" s="9"/>
      <c r="BB270" s="10"/>
      <c r="BC270" s="9"/>
      <c r="BD270" s="9"/>
      <c r="BE270" s="9"/>
      <c r="BF270" s="9"/>
    </row>
    <row r="271" spans="1:58" x14ac:dyDescent="0.25">
      <c r="A271" s="9" t="s">
        <v>84</v>
      </c>
      <c r="B271" s="9" t="s">
        <v>85</v>
      </c>
      <c r="C271" s="9" t="s">
        <v>86</v>
      </c>
      <c r="D271" s="10">
        <v>45631</v>
      </c>
      <c r="E271" s="10">
        <v>45717</v>
      </c>
      <c r="F271" s="10">
        <v>45747</v>
      </c>
      <c r="G271" s="9">
        <v>3786556</v>
      </c>
      <c r="H271" s="9" t="str">
        <f t="shared" si="28"/>
        <v>Closed</v>
      </c>
      <c r="I271" s="9" t="str">
        <f t="shared" si="29"/>
        <v>All dates received</v>
      </c>
      <c r="J271" s="9" t="s">
        <v>102</v>
      </c>
      <c r="K271" s="9" t="s">
        <v>767</v>
      </c>
      <c r="L271" s="11">
        <v>666</v>
      </c>
      <c r="M271" s="9" t="s">
        <v>768</v>
      </c>
      <c r="N271" s="9" t="s">
        <v>432</v>
      </c>
      <c r="O271" s="9"/>
      <c r="P271" s="9"/>
      <c r="Q271" s="11">
        <v>58</v>
      </c>
      <c r="R271" s="9" t="s">
        <v>90</v>
      </c>
      <c r="S271" s="9" t="s">
        <v>156</v>
      </c>
      <c r="T271" s="12">
        <f>IF($H271="Cancelled","",IFERROR(((Q271+INDEX(Variables!$B$6:$D$6,IFERROR(MATCH(IF($B271="Robusta","Robusta",(IF($B271="","Arabica",$B271))&amp;" - "&amp;(IF($C271="","Commercial",$C271))),Variables!$B$1:$D$1,0),1)))*22.0462)*(L271/16.67),""))</f>
        <v>307219.54990761844</v>
      </c>
      <c r="U271" s="10">
        <v>45687</v>
      </c>
      <c r="V271" s="9" t="str">
        <f t="shared" si="27"/>
        <v>Sent</v>
      </c>
      <c r="W271" s="10">
        <v>45688</v>
      </c>
      <c r="X271" s="9" t="str">
        <f t="shared" si="25"/>
        <v>Approved</v>
      </c>
      <c r="Y271" s="10"/>
      <c r="Z271" s="10">
        <f>IF($H271="Cancelled","",IFERROR(IF(F271="","",F271-Variables!$B$13),""))</f>
        <v>45732</v>
      </c>
      <c r="AA271" s="11">
        <f>IF($H271="Cancelled","",IFERROR(IF(W271="","",(AVERAGE(E271:F271)-W271)-Variables!$B$14),""))</f>
        <v>14</v>
      </c>
      <c r="AB271" s="10">
        <v>45717</v>
      </c>
      <c r="AC271" s="11">
        <f>IF($H271="Cancelled","",IFERROR(IF(AB271="","",IF(AND(W271="",Y271=""),"",IF(Y271&gt;W271,Y271+Variables!$B$15+Variables!$B$16+Variables!$B$17-AB271,W271+Variables!$B$16+Variables!$B$17-AB271))),""))</f>
        <v>-21</v>
      </c>
      <c r="AD271" s="9" t="s">
        <v>163</v>
      </c>
      <c r="AE271" s="9" t="s">
        <v>769</v>
      </c>
      <c r="AF271" s="10">
        <v>45726</v>
      </c>
      <c r="AG271" s="10"/>
      <c r="AH271" s="9"/>
      <c r="AI271" s="9">
        <v>250232889</v>
      </c>
      <c r="AJ271" s="9" t="s">
        <v>8</v>
      </c>
      <c r="AK271" s="10">
        <v>45726</v>
      </c>
      <c r="AL271" s="10">
        <v>45729</v>
      </c>
      <c r="AM271" s="10">
        <v>45735</v>
      </c>
      <c r="AN271" s="9" t="s">
        <v>95</v>
      </c>
      <c r="AO271" s="9"/>
      <c r="AP271" s="11">
        <f>IF($H271="Cancelled","",IFERROR(IF(OR(AK271="",AB271=""),"",(AB271+Variables!$B$18-AK271)),""))</f>
        <v>-2</v>
      </c>
      <c r="AQ271" s="11">
        <f>IF($H271="Cancelled","",IFERROR(IF(OR(AM271="",AK271=""),"",(AK271+Variables!$B$19)-AM271),""))</f>
        <v>-4</v>
      </c>
      <c r="AR271" s="12">
        <f>IF($H271="Cancelled","",IFERROR(T271*INDEX(Variables!$B$7:$D$7,IFERROR(MATCH(IF($B271="Robusta","Robusta",(IF($B271="","Arabica",$B271))&amp;" - "&amp;(IF($C271="","Commercial",$C271))),Variables!$B$1:$D$1,0),1))*(AQ271/365),""))</f>
        <v>-217.09799957318393</v>
      </c>
      <c r="AS271" s="12">
        <f>IF($H271="Cancelled","",IFERROR((T271*INDEX(Variables!$B$7:$D$7,IFERROR(MATCH(IF($B271="Robusta","Robusta",(IF($B271="","Arabica",$B271))&amp;" - "&amp;(IF($C271="","Commercial",$C271))),Variables!$B$1:$D$1,0),1))*IFERROR(IF(W271="","",(AVERAGE(E271:F271)-W271)-Variables!$B$14),"")/365)+(L271/16.67*INDEX(Variables!$B$8:$D$8,IFERROR(MATCH(IF($B271="Robusta","Robusta",(IF($B271="","Arabica",$B271))&amp;" - "&amp;(IF($C271="","Commercial",$C271))),Variables!$B$1:$D$1,0),1))*IFERROR(IF(W271="","",(AVERAGE(E271:F271)-W271)-Variables!$B$14),""))+(T271*INDEX(Variables!$B$9:$D$9,IFERROR(MATCH(IF($B271="Robusta","Robusta",(IF($B271="","Arabica",$B271))&amp;" - "&amp;(IF($C271="","Commercial",$C271))),Variables!$B$1:$D$1,0),1))*IFERROR(IF(W271="","",(AVERAGE(E271:F271)-W271)-Variables!$B$14),"")/365),""))</f>
        <v>1235.8388411519925</v>
      </c>
      <c r="AT271" s="12">
        <f>IF($H271="Cancelled","",IFERROR((T271*INDEX(Variables!$B$7:$D$7,IFERROR(MATCH(IF($B271="Robusta","Robusta",(IF($B271="","Arabica",$B271))&amp;" - "&amp;(IF($C271="","Commercial",$C271))),Variables!$B$1:$D$1,0),1))*AC271/365)+(L271/16.67*INDEX(Variables!$B$8:$D$8,IFERROR(MATCH(IF($B271="Robusta","Robusta",(IF($B271="","Arabica",$B271))&amp;" - "&amp;(IF($C271="","Commercial",$C271))),Variables!$B$1:$D$1,0),1))*AC271)+(T271*INDEX(Variables!$B$9:$D$9,IFERROR(MATCH(IF($B271="Robusta","Robusta",(IF($B271="","Arabica",$B271))&amp;" - "&amp;(IF($C271="","Commercial",$C271))),Variables!$B$1:$D$1,0),1))*AC271/365),""))</f>
        <v>-1853.7582617279888</v>
      </c>
      <c r="AU271" s="12">
        <f>IF($H271="Cancelled","",IFERROR((T271*INDEX(Variables!$B$7:$D$7,IFERROR(MATCH(IF($B271="Robusta","Robusta",(IF($B271="","Arabica",$B271))&amp;" - "&amp;(IF($C271="","Commercial",$C271))),Variables!$B$1:$D$1,0),1))*AP271/365)+(L271/16.67*INDEX(Variables!$B$8:$D$8,IFERROR(MATCH(IF($B271="Robusta","Robusta",(IF($B271="","Arabica",$B271))&amp;" - "&amp;(IF($C271="","Commercial",$C271))),Variables!$B$1:$D$1,0),1))*AP271)+(T271*INDEX(Variables!$B$9:$D$9,IFERROR(MATCH(IF($B271="Robusta","Robusta",(IF($B271="","Arabica",$B271))&amp;" - "&amp;(IF($C271="","Commercial",$C271))),Variables!$B$1:$D$1,0),1))*AP271/365),""))</f>
        <v>-176.54840587885607</v>
      </c>
      <c r="AV271" s="11">
        <f t="shared" si="30"/>
        <v>21</v>
      </c>
      <c r="AW271" s="12">
        <f>IF($H271="Cancelled","",IFERROR(IF(AV271="","",(T271*INDEX(Variables!$B$7:$D$7,IFERROR(MATCH(IF($B271="Robusta","Robusta",(IF($B271="","Arabica",$B271))&amp;" - "&amp;(IF($C271="","Commercial",$C271))),Variables!$B$1:$D$1,0),1))*(AV271/365))+(T271*INDEX(Variables!$B$9:$D$9,IFERROR(MATCH(IF($B271="Robusta","Robusta",(IF($B271="","Arabica",$B271))&amp;" - "&amp;(IF($C271="","Commercial",$C271))),Variables!$B$1:$D$1,0),1))*(AV271/365))+(INDEX(Variables!$B$8:$D$8,IFERROR(MATCH(IF($B271="Robusta","Robusta",(IF($B271="","Arabica",$B271))&amp;" - "&amp;(IF($C271="","Commercial",$C271))),Variables!$B$1:$D$1,0),1))*L271/16.67)),""))</f>
        <v>1187.7582617279888</v>
      </c>
      <c r="AX271" s="9"/>
      <c r="AY271" s="12"/>
      <c r="AZ271" s="10"/>
      <c r="BA271" s="9"/>
      <c r="BB271" s="10"/>
      <c r="BC271" s="9"/>
      <c r="BD271" s="9"/>
      <c r="BE271" s="9"/>
      <c r="BF271" s="9"/>
    </row>
    <row r="272" spans="1:58" x14ac:dyDescent="0.25">
      <c r="A272" s="9" t="s">
        <v>84</v>
      </c>
      <c r="B272" s="9" t="s">
        <v>85</v>
      </c>
      <c r="C272" s="9" t="s">
        <v>86</v>
      </c>
      <c r="D272" s="10">
        <v>45631</v>
      </c>
      <c r="E272" s="10">
        <v>45717</v>
      </c>
      <c r="F272" s="10">
        <v>45747</v>
      </c>
      <c r="G272" s="9">
        <v>3786556</v>
      </c>
      <c r="H272" s="9" t="str">
        <f t="shared" si="28"/>
        <v>Closed</v>
      </c>
      <c r="I272" s="9" t="str">
        <f t="shared" si="29"/>
        <v>All dates received</v>
      </c>
      <c r="J272" s="9" t="s">
        <v>102</v>
      </c>
      <c r="K272" s="9" t="s">
        <v>767</v>
      </c>
      <c r="L272" s="11">
        <v>334</v>
      </c>
      <c r="M272" s="9" t="s">
        <v>768</v>
      </c>
      <c r="N272" s="9" t="s">
        <v>432</v>
      </c>
      <c r="O272" s="9"/>
      <c r="P272" s="9"/>
      <c r="Q272" s="11">
        <v>58</v>
      </c>
      <c r="R272" s="9" t="s">
        <v>90</v>
      </c>
      <c r="S272" s="9" t="s">
        <v>156</v>
      </c>
      <c r="T272" s="12">
        <f>IF($H272="Cancelled","",IFERROR(((Q272+INDEX(Variables!$B$6:$D$6,IFERROR(MATCH(IF($B272="Robusta","Robusta",(IF($B272="","Arabica",$B272))&amp;" - "&amp;(IF($C272="","Commercial",$C272))),Variables!$B$1:$D$1,0),1)))*22.0462)*(L272/16.67),""))</f>
        <v>154071.06556928612</v>
      </c>
      <c r="U272" s="10">
        <v>45687</v>
      </c>
      <c r="V272" s="9" t="str">
        <f t="shared" si="27"/>
        <v>Sent</v>
      </c>
      <c r="W272" s="10">
        <v>45688</v>
      </c>
      <c r="X272" s="9" t="str">
        <f t="shared" si="25"/>
        <v>Approved</v>
      </c>
      <c r="Y272" s="10"/>
      <c r="Z272" s="10">
        <f>IF($H272="Cancelled","",IFERROR(IF(F272="","",F272-Variables!$B$13),""))</f>
        <v>45732</v>
      </c>
      <c r="AA272" s="11">
        <f>IF($H272="Cancelled","",IFERROR(IF(W272="","",(AVERAGE(E272:F272)-W272)-Variables!$B$14),""))</f>
        <v>14</v>
      </c>
      <c r="AB272" s="10">
        <v>45717</v>
      </c>
      <c r="AC272" s="11">
        <f>IF($H272="Cancelled","",IFERROR(IF(AB272="","",IF(AND(W272="",Y272=""),"",IF(Y272&gt;W272,Y272+Variables!$B$15+Variables!$B$16+Variables!$B$17-AB272,W272+Variables!$B$16+Variables!$B$17-AB272))),""))</f>
        <v>-21</v>
      </c>
      <c r="AD272" s="9" t="s">
        <v>163</v>
      </c>
      <c r="AE272" s="9" t="s">
        <v>770</v>
      </c>
      <c r="AF272" s="10">
        <v>45732</v>
      </c>
      <c r="AG272" s="10"/>
      <c r="AH272" s="9"/>
      <c r="AI272" s="9">
        <v>251315824</v>
      </c>
      <c r="AJ272" s="9" t="s">
        <v>8</v>
      </c>
      <c r="AK272" s="10">
        <v>45733</v>
      </c>
      <c r="AL272" s="10">
        <v>45735</v>
      </c>
      <c r="AM272" s="10">
        <v>45735</v>
      </c>
      <c r="AN272" s="9" t="s">
        <v>95</v>
      </c>
      <c r="AO272" s="9"/>
      <c r="AP272" s="11">
        <f>IF($H272="Cancelled","",IFERROR(IF(OR(AK272="",AB272=""),"",(AB272+Variables!$B$18-AK272)),""))</f>
        <v>-9</v>
      </c>
      <c r="AQ272" s="11">
        <f>IF($H272="Cancelled","",IFERROR(IF(OR(AM272="",AK272=""),"",(AK272+Variables!$B$19)-AM272),""))</f>
        <v>3</v>
      </c>
      <c r="AR272" s="12">
        <f>IF($H272="Cancelled","",IFERROR(T272*INDEX(Variables!$B$7:$D$7,IFERROR(MATCH(IF($B272="Robusta","Robusta",(IF($B272="","Arabica",$B272))&amp;" - "&amp;(IF($C272="","Commercial",$C272))),Variables!$B$1:$D$1,0),1))*(AQ272/365),""))</f>
        <v>81.656229569193044</v>
      </c>
      <c r="AS272" s="12">
        <f>IF($H272="Cancelled","",IFERROR((T272*INDEX(Variables!$B$7:$D$7,IFERROR(MATCH(IF($B272="Robusta","Robusta",(IF($B272="","Arabica",$B272))&amp;" - "&amp;(IF($C272="","Commercial",$C272))),Variables!$B$1:$D$1,0),1))*IFERROR(IF(W272="","",(AVERAGE(E272:F272)-W272)-Variables!$B$14),"")/365)+(L272/16.67*INDEX(Variables!$B$8:$D$8,IFERROR(MATCH(IF($B272="Robusta","Robusta",(IF($B272="","Arabica",$B272))&amp;" - "&amp;(IF($C272="","Commercial",$C272))),Variables!$B$1:$D$1,0),1))*IFERROR(IF(W272="","",(AVERAGE(E272:F272)-W272)-Variables!$B$14),""))+(T272*INDEX(Variables!$B$9:$D$9,IFERROR(MATCH(IF($B272="Robusta","Robusta",(IF($B272="","Arabica",$B272))&amp;" - "&amp;(IF($C272="","Commercial",$C272))),Variables!$B$1:$D$1,0),1))*IFERROR(IF(W272="","",(AVERAGE(E272:F272)-W272)-Variables!$B$14),"")/365),""))</f>
        <v>619.77503445159994</v>
      </c>
      <c r="AT272" s="12">
        <f>IF($H272="Cancelled","",IFERROR((T272*INDEX(Variables!$B$7:$D$7,IFERROR(MATCH(IF($B272="Robusta","Robusta",(IF($B272="","Arabica",$B272))&amp;" - "&amp;(IF($C272="","Commercial",$C272))),Variables!$B$1:$D$1,0),1))*AC272/365)+(L272/16.67*INDEX(Variables!$B$8:$D$8,IFERROR(MATCH(IF($B272="Robusta","Robusta",(IF($B272="","Arabica",$B272))&amp;" - "&amp;(IF($C272="","Commercial",$C272))),Variables!$B$1:$D$1,0),1))*AC272)+(T272*INDEX(Variables!$B$9:$D$9,IFERROR(MATCH(IF($B272="Robusta","Robusta",(IF($B272="","Arabica",$B272))&amp;" - "&amp;(IF($C272="","Commercial",$C272))),Variables!$B$1:$D$1,0),1))*AC272/365),""))</f>
        <v>-929.66255167739985</v>
      </c>
      <c r="AU272" s="12">
        <f>IF($H272="Cancelled","",IFERROR((T272*INDEX(Variables!$B$7:$D$7,IFERROR(MATCH(IF($B272="Robusta","Robusta",(IF($B272="","Arabica",$B272))&amp;" - "&amp;(IF($C272="","Commercial",$C272))),Variables!$B$1:$D$1,0),1))*AP272/365)+(L272/16.67*INDEX(Variables!$B$8:$D$8,IFERROR(MATCH(IF($B272="Robusta","Robusta",(IF($B272="","Arabica",$B272))&amp;" - "&amp;(IF($C272="","Commercial",$C272))),Variables!$B$1:$D$1,0),1))*AP272)+(T272*INDEX(Variables!$B$9:$D$9,IFERROR(MATCH(IF($B272="Robusta","Robusta",(IF($B272="","Arabica",$B272))&amp;" - "&amp;(IF($C272="","Commercial",$C272))),Variables!$B$1:$D$1,0),1))*AP272/365),""))</f>
        <v>-398.42680786174276</v>
      </c>
      <c r="AV272" s="11">
        <f t="shared" si="30"/>
        <v>14</v>
      </c>
      <c r="AW272" s="12">
        <f>IF($H272="Cancelled","",IFERROR(IF(AV272="","",(T272*INDEX(Variables!$B$7:$D$7,IFERROR(MATCH(IF($B272="Robusta","Robusta",(IF($B272="","Arabica",$B272))&amp;" - "&amp;(IF($C272="","Commercial",$C272))),Variables!$B$1:$D$1,0),1))*(AV272/365))+(T272*INDEX(Variables!$B$9:$D$9,IFERROR(MATCH(IF($B272="Robusta","Robusta",(IF($B272="","Arabica",$B272))&amp;" - "&amp;(IF($C272="","Commercial",$C272))),Variables!$B$1:$D$1,0),1))*(AV272/365))+(INDEX(Variables!$B$8:$D$8,IFERROR(MATCH(IF($B272="Robusta","Robusta",(IF($B272="","Arabica",$B272))&amp;" - "&amp;(IF($C272="","Commercial",$C272))),Variables!$B$1:$D$1,0),1))*L272/16.67)),""))</f>
        <v>402.67503445159991</v>
      </c>
      <c r="AX272" s="9"/>
      <c r="AY272" s="12"/>
      <c r="AZ272" s="10"/>
      <c r="BA272" s="9"/>
      <c r="BB272" s="10"/>
      <c r="BC272" s="9"/>
      <c r="BD272" s="9"/>
      <c r="BE272" s="9"/>
      <c r="BF272" s="9"/>
    </row>
    <row r="273" spans="1:58" x14ac:dyDescent="0.25">
      <c r="A273" s="9" t="s">
        <v>84</v>
      </c>
      <c r="B273" s="9" t="s">
        <v>85</v>
      </c>
      <c r="C273" s="9" t="s">
        <v>86</v>
      </c>
      <c r="D273" s="10">
        <v>45631</v>
      </c>
      <c r="E273" s="10">
        <v>45717</v>
      </c>
      <c r="F273" s="10">
        <v>45747</v>
      </c>
      <c r="G273" s="9">
        <v>3786556</v>
      </c>
      <c r="H273" s="9" t="str">
        <f t="shared" si="28"/>
        <v>Closed</v>
      </c>
      <c r="I273" s="9" t="str">
        <f t="shared" si="29"/>
        <v>All dates received</v>
      </c>
      <c r="J273" s="9" t="s">
        <v>102</v>
      </c>
      <c r="K273" s="9" t="s">
        <v>771</v>
      </c>
      <c r="L273" s="11">
        <v>2000</v>
      </c>
      <c r="M273" s="9" t="s">
        <v>768</v>
      </c>
      <c r="N273" s="9" t="s">
        <v>432</v>
      </c>
      <c r="O273" s="9"/>
      <c r="P273" s="9"/>
      <c r="Q273" s="11">
        <v>58</v>
      </c>
      <c r="R273" s="9" t="s">
        <v>90</v>
      </c>
      <c r="S273" s="9" t="s">
        <v>207</v>
      </c>
      <c r="T273" s="12">
        <f>IF($H273="Cancelled","",IFERROR(((Q273+INDEX(Variables!$B$6:$D$6,IFERROR(MATCH(IF($B273="Robusta","Robusta",(IF($B273="","Arabica",$B273))&amp;" - "&amp;(IF($C273="","Commercial",$C273))),Variables!$B$1:$D$1,0),1)))*22.0462)*(L273/16.67),""))</f>
        <v>922581.23095380911</v>
      </c>
      <c r="U273" s="10">
        <v>45687</v>
      </c>
      <c r="V273" s="9" t="str">
        <f t="shared" si="27"/>
        <v>Sent</v>
      </c>
      <c r="W273" s="10">
        <v>45688</v>
      </c>
      <c r="X273" s="9" t="str">
        <f t="shared" si="25"/>
        <v>Approved</v>
      </c>
      <c r="Y273" s="10"/>
      <c r="Z273" s="10">
        <f>IF($H273="Cancelled","",IFERROR(IF(F273="","",F273-Variables!$B$13),""))</f>
        <v>45732</v>
      </c>
      <c r="AA273" s="11">
        <f>IF($H273="Cancelled","",IFERROR(IF(W273="","",(AVERAGE(E273:F273)-W273)-Variables!$B$14),""))</f>
        <v>14</v>
      </c>
      <c r="AB273" s="10">
        <v>45721</v>
      </c>
      <c r="AC273" s="11">
        <f>IF($H273="Cancelled","",IFERROR(IF(AB273="","",IF(AND(W273="",Y273=""),"",IF(Y273&gt;W273,Y273+Variables!$B$15+Variables!$B$16+Variables!$B$17-AB273,W273+Variables!$B$16+Variables!$B$17-AB273))),""))</f>
        <v>-25</v>
      </c>
      <c r="AD273" s="9" t="s">
        <v>772</v>
      </c>
      <c r="AE273" s="9" t="s">
        <v>773</v>
      </c>
      <c r="AF273" s="10" t="s">
        <v>762</v>
      </c>
      <c r="AG273" s="10"/>
      <c r="AH273" s="9"/>
      <c r="AI273" s="9" t="s">
        <v>774</v>
      </c>
      <c r="AJ273" s="9" t="s">
        <v>8</v>
      </c>
      <c r="AK273" s="10">
        <v>45736</v>
      </c>
      <c r="AL273" s="10">
        <v>45740</v>
      </c>
      <c r="AM273" s="10">
        <v>45741</v>
      </c>
      <c r="AN273" s="9" t="s">
        <v>95</v>
      </c>
      <c r="AO273" s="9"/>
      <c r="AP273" s="11">
        <f>IF($H273="Cancelled","",IFERROR(IF(OR(AK273="",AB273=""),"",(AB273+Variables!$B$18-AK273)),""))</f>
        <v>-8</v>
      </c>
      <c r="AQ273" s="11">
        <f>IF($H273="Cancelled","",IFERROR(IF(OR(AM273="",AK273=""),"",(AK273+Variables!$B$19)-AM273),""))</f>
        <v>0</v>
      </c>
      <c r="AR273" s="12">
        <f>IF($H273="Cancelled","",IFERROR(T273*INDEX(Variables!$B$7:$D$7,IFERROR(MATCH(IF($B273="Robusta","Robusta",(IF($B273="","Arabica",$B273))&amp;" - "&amp;(IF($C273="","Commercial",$C273))),Variables!$B$1:$D$1,0),1))*(AQ273/365),""))</f>
        <v>0</v>
      </c>
      <c r="AS273" s="12">
        <f>IF($H273="Cancelled","",IFERROR((T273*INDEX(Variables!$B$7:$D$7,IFERROR(MATCH(IF($B273="Robusta","Robusta",(IF($B273="","Arabica",$B273))&amp;" - "&amp;(IF($C273="","Commercial",$C273))),Variables!$B$1:$D$1,0),1))*IFERROR(IF(W273="","",(AVERAGE(E273:F273)-W273)-Variables!$B$14),"")/365)+(L273/16.67*INDEX(Variables!$B$8:$D$8,IFERROR(MATCH(IF($B273="Robusta","Robusta",(IF($B273="","Arabica",$B273))&amp;" - "&amp;(IF($C273="","Commercial",$C273))),Variables!$B$1:$D$1,0),1))*IFERROR(IF(W273="","",(AVERAGE(E273:F273)-W273)-Variables!$B$14),""))+(T273*INDEX(Variables!$B$9:$D$9,IFERROR(MATCH(IF($B273="Robusta","Robusta",(IF($B273="","Arabica",$B273))&amp;" - "&amp;(IF($C273="","Commercial",$C273))),Variables!$B$1:$D$1,0),1))*IFERROR(IF(W273="","",(AVERAGE(E273:F273)-W273)-Variables!$B$14),"")/365),""))</f>
        <v>3711.2277512071855</v>
      </c>
      <c r="AT273" s="12">
        <f>IF($H273="Cancelled","",IFERROR((T273*INDEX(Variables!$B$7:$D$7,IFERROR(MATCH(IF($B273="Robusta","Robusta",(IF($B273="","Arabica",$B273))&amp;" - "&amp;(IF($C273="","Commercial",$C273))),Variables!$B$1:$D$1,0),1))*AC273/365)+(L273/16.67*INDEX(Variables!$B$8:$D$8,IFERROR(MATCH(IF($B273="Robusta","Robusta",(IF($B273="","Arabica",$B273))&amp;" - "&amp;(IF($C273="","Commercial",$C273))),Variables!$B$1:$D$1,0),1))*AC273)+(T273*INDEX(Variables!$B$9:$D$9,IFERROR(MATCH(IF($B273="Robusta","Robusta",(IF($B273="","Arabica",$B273))&amp;" - "&amp;(IF($C273="","Commercial",$C273))),Variables!$B$1:$D$1,0),1))*AC273/365),""))</f>
        <v>-6627.1924128699739</v>
      </c>
      <c r="AU273" s="12">
        <f>IF($H273="Cancelled","",IFERROR((T273*INDEX(Variables!$B$7:$D$7,IFERROR(MATCH(IF($B273="Robusta","Robusta",(IF($B273="","Arabica",$B273))&amp;" - "&amp;(IF($C273="","Commercial",$C273))),Variables!$B$1:$D$1,0),1))*AP273/365)+(L273/16.67*INDEX(Variables!$B$8:$D$8,IFERROR(MATCH(IF($B273="Robusta","Robusta",(IF($B273="","Arabica",$B273))&amp;" - "&amp;(IF($C273="","Commercial",$C273))),Variables!$B$1:$D$1,0),1))*AP273)+(T273*INDEX(Variables!$B$9:$D$9,IFERROR(MATCH(IF($B273="Robusta","Robusta",(IF($B273="","Arabica",$B273))&amp;" - "&amp;(IF($C273="","Commercial",$C273))),Variables!$B$1:$D$1,0),1))*AP273/365),""))</f>
        <v>-2120.7015721183916</v>
      </c>
      <c r="AV273" s="11">
        <f t="shared" si="30"/>
        <v>11</v>
      </c>
      <c r="AW273" s="12">
        <f>IF($H273="Cancelled","",IFERROR(IF(AV273="","",(T273*INDEX(Variables!$B$7:$D$7,IFERROR(MATCH(IF($B273="Robusta","Robusta",(IF($B273="","Arabica",$B273))&amp;" - "&amp;(IF($C273="","Commercial",$C273))),Variables!$B$1:$D$1,0),1))*(AV273/365))+(T273*INDEX(Variables!$B$9:$D$9,IFERROR(MATCH(IF($B273="Robusta","Robusta",(IF($B273="","Arabica",$B273))&amp;" - "&amp;(IF($C273="","Commercial",$C273))),Variables!$B$1:$D$1,0),1))*(AV273/365))+(INDEX(Variables!$B$8:$D$8,IFERROR(MATCH(IF($B273="Robusta","Robusta",(IF($B273="","Arabica",$B273))&amp;" - "&amp;(IF($C273="","Commercial",$C273))),Variables!$B$1:$D$1,0),1))*L273/16.67)),""))</f>
        <v>1915.9646616627883</v>
      </c>
      <c r="AX273" s="9"/>
      <c r="AY273" s="12"/>
      <c r="AZ273" s="10"/>
      <c r="BA273" s="9"/>
      <c r="BB273" s="10"/>
      <c r="BC273" s="9"/>
      <c r="BD273" s="9"/>
      <c r="BE273" s="9"/>
      <c r="BF273" s="9"/>
    </row>
    <row r="274" spans="1:58" x14ac:dyDescent="0.25">
      <c r="A274" s="9" t="s">
        <v>84</v>
      </c>
      <c r="B274" s="9" t="s">
        <v>85</v>
      </c>
      <c r="C274" s="9" t="s">
        <v>86</v>
      </c>
      <c r="D274" s="10">
        <v>45634</v>
      </c>
      <c r="E274" s="10">
        <v>45658</v>
      </c>
      <c r="F274" s="10">
        <v>45688</v>
      </c>
      <c r="G274" s="9">
        <v>3786563</v>
      </c>
      <c r="H274" s="9" t="str">
        <f t="shared" si="28"/>
        <v>Closed</v>
      </c>
      <c r="I274" s="9" t="str">
        <f t="shared" si="29"/>
        <v>All dates received</v>
      </c>
      <c r="J274" s="9" t="s">
        <v>102</v>
      </c>
      <c r="K274" s="9">
        <v>5161</v>
      </c>
      <c r="L274" s="11">
        <v>360</v>
      </c>
      <c r="M274" s="9" t="s">
        <v>775</v>
      </c>
      <c r="N274" s="9" t="s">
        <v>121</v>
      </c>
      <c r="O274" s="9"/>
      <c r="P274" s="9"/>
      <c r="Q274" s="11">
        <v>10</v>
      </c>
      <c r="R274" s="9" t="s">
        <v>90</v>
      </c>
      <c r="S274" s="9" t="s">
        <v>776</v>
      </c>
      <c r="T274" s="12">
        <f>IF($H274="Cancelled","",IFERROR(((Q274+INDEX(Variables!$B$6:$D$6,IFERROR(MATCH(IF($B274="Robusta","Robusta",(IF($B274="","Arabica",$B274))&amp;" - "&amp;(IF($C274="","Commercial",$C274))),Variables!$B$1:$D$1,0),1)))*22.0462)*(L274/16.67),""))</f>
        <v>143211.69199760046</v>
      </c>
      <c r="U274" s="10">
        <v>45664</v>
      </c>
      <c r="V274" s="9" t="str">
        <f t="shared" si="27"/>
        <v>Sent</v>
      </c>
      <c r="W274" s="10">
        <v>45677</v>
      </c>
      <c r="X274" s="9" t="str">
        <f t="shared" si="25"/>
        <v>Approved</v>
      </c>
      <c r="Y274" s="10"/>
      <c r="Z274" s="10">
        <f>IF($H274="Cancelled","",IFERROR(IF(F274="","",F274-Variables!$B$13),""))</f>
        <v>45673</v>
      </c>
      <c r="AA274" s="11">
        <f>IF($H274="Cancelled","",IFERROR(IF(W274="","",(AVERAGE(E274:F274)-W274)-Variables!$B$14),""))</f>
        <v>-34</v>
      </c>
      <c r="AB274" s="10">
        <v>45678</v>
      </c>
      <c r="AC274" s="11">
        <f>IF($H274="Cancelled","",IFERROR(IF(AB274="","",IF(AND(W274="",Y274=""),"",IF(Y274&gt;W274,Y274+Variables!$B$15+Variables!$B$16+Variables!$B$17-AB274,W274+Variables!$B$16+Variables!$B$17-AB274))),""))</f>
        <v>7</v>
      </c>
      <c r="AD274" s="9" t="s">
        <v>165</v>
      </c>
      <c r="AE274" s="9" t="s">
        <v>777</v>
      </c>
      <c r="AF274" s="10">
        <v>45695</v>
      </c>
      <c r="AG274" s="10"/>
      <c r="AH274" s="9"/>
      <c r="AI274" s="9" t="s">
        <v>778</v>
      </c>
      <c r="AJ274" s="9" t="s">
        <v>8</v>
      </c>
      <c r="AK274" s="10">
        <v>45696</v>
      </c>
      <c r="AL274" s="10">
        <v>45700</v>
      </c>
      <c r="AM274" s="10">
        <v>45701</v>
      </c>
      <c r="AN274" s="9" t="s">
        <v>95</v>
      </c>
      <c r="AO274" s="9"/>
      <c r="AP274" s="11">
        <f>IF($H274="Cancelled","",IFERROR(IF(OR(AK274="",AB274=""),"",(AB274+Variables!$B$18-AK274)),""))</f>
        <v>-11</v>
      </c>
      <c r="AQ274" s="11">
        <f>IF($H274="Cancelled","",IFERROR(IF(OR(AM274="",AK274=""),"",(AK274+Variables!$B$19)-AM274),""))</f>
        <v>0</v>
      </c>
      <c r="AR274" s="12">
        <f>IF($H274="Cancelled","",IFERROR(T274*INDEX(Variables!$B$7:$D$7,IFERROR(MATCH(IF($B274="Robusta","Robusta",(IF($B274="","Arabica",$B274))&amp;" - "&amp;(IF($C274="","Commercial",$C274))),Variables!$B$1:$D$1,0),1))*(AQ274/365),""))</f>
        <v>0</v>
      </c>
      <c r="AS274" s="12">
        <f>IF($H274="Cancelled","",IFERROR((T274*INDEX(Variables!$B$7:$D$7,IFERROR(MATCH(IF($B274="Robusta","Robusta",(IF($B274="","Arabica",$B274))&amp;" - "&amp;(IF($C274="","Commercial",$C274))),Variables!$B$1:$D$1,0),1))*IFERROR(IF(W274="","",(AVERAGE(E274:F274)-W274)-Variables!$B$14),"")/365)+(L274/16.67*INDEX(Variables!$B$8:$D$8,IFERROR(MATCH(IF($B274="Robusta","Robusta",(IF($B274="","Arabica",$B274))&amp;" - "&amp;(IF($C274="","Commercial",$C274))),Variables!$B$1:$D$1,0),1))*IFERROR(IF(W274="","",(AVERAGE(E274:F274)-W274)-Variables!$B$14),""))+(T274*INDEX(Variables!$B$9:$D$9,IFERROR(MATCH(IF($B274="Robusta","Robusta",(IF($B274="","Arabica",$B274))&amp;" - "&amp;(IF($C274="","Commercial",$C274))),Variables!$B$1:$D$1,0),1))*IFERROR(IF(W274="","",(AVERAGE(E274:F274)-W274)-Variables!$B$14),"")/365),""))</f>
        <v>-1483.2995417526015</v>
      </c>
      <c r="AT274" s="12">
        <f>IF($H274="Cancelled","",IFERROR((T274*INDEX(Variables!$B$7:$D$7,IFERROR(MATCH(IF($B274="Robusta","Robusta",(IF($B274="","Arabica",$B274))&amp;" - "&amp;(IF($C274="","Commercial",$C274))),Variables!$B$1:$D$1,0),1))*AC274/365)+(L274/16.67*INDEX(Variables!$B$8:$D$8,IFERROR(MATCH(IF($B274="Robusta","Robusta",(IF($B274="","Arabica",$B274))&amp;" - "&amp;(IF($C274="","Commercial",$C274))),Variables!$B$1:$D$1,0),1))*AC274)+(T274*INDEX(Variables!$B$9:$D$9,IFERROR(MATCH(IF($B274="Robusta","Robusta",(IF($B274="","Arabica",$B274))&amp;" - "&amp;(IF($C274="","Commercial",$C274))),Variables!$B$1:$D$1,0),1))*AC274/365),""))</f>
        <v>305.38519977259438</v>
      </c>
      <c r="AU274" s="12">
        <f>IF($H274="Cancelled","",IFERROR((T274*INDEX(Variables!$B$7:$D$7,IFERROR(MATCH(IF($B274="Robusta","Robusta",(IF($B274="","Arabica",$B274))&amp;" - "&amp;(IF($C274="","Commercial",$C274))),Variables!$B$1:$D$1,0),1))*AP274/365)+(L274/16.67*INDEX(Variables!$B$8:$D$8,IFERROR(MATCH(IF($B274="Robusta","Robusta",(IF($B274="","Arabica",$B274))&amp;" - "&amp;(IF($C274="","Commercial",$C274))),Variables!$B$1:$D$1,0),1))*AP274)+(T274*INDEX(Variables!$B$9:$D$9,IFERROR(MATCH(IF($B274="Robusta","Robusta",(IF($B274="","Arabica",$B274))&amp;" - "&amp;(IF($C274="","Commercial",$C274))),Variables!$B$1:$D$1,0),1))*AP274/365),""))</f>
        <v>-479.89102821407687</v>
      </c>
      <c r="AV274" s="11">
        <f t="shared" si="30"/>
        <v>-8</v>
      </c>
      <c r="AW274" s="12">
        <f>IF($H274="Cancelled","",IFERROR(IF(AV274="","",(T274*INDEX(Variables!$B$7:$D$7,IFERROR(MATCH(IF($B274="Robusta","Robusta",(IF($B274="","Arabica",$B274))&amp;" - "&amp;(IF($C274="","Commercial",$C274))),Variables!$B$1:$D$1,0),1))*(AV274/365))+(T274*INDEX(Variables!$B$9:$D$9,IFERROR(MATCH(IF($B274="Robusta","Robusta",(IF($B274="","Arabica",$B274))&amp;" - "&amp;(IF($C274="","Commercial",$C274))),Variables!$B$1:$D$1,0),1))*(AV274/365))+(INDEX(Variables!$B$8:$D$8,IFERROR(MATCH(IF($B274="Robusta","Robusta",(IF($B274="","Arabica",$B274))&amp;" - "&amp;(IF($C274="","Commercial",$C274))),Variables!$B$1:$D$1,0),1))*L274/16.67)),""))</f>
        <v>-187.01165688296499</v>
      </c>
      <c r="AX274" s="9"/>
      <c r="AY274" s="12"/>
      <c r="AZ274" s="10"/>
      <c r="BA274" s="9"/>
      <c r="BB274" s="10"/>
      <c r="BC274" s="9"/>
      <c r="BD274" s="9"/>
      <c r="BE274" s="9"/>
      <c r="BF274" s="9"/>
    </row>
    <row r="275" spans="1:58" x14ac:dyDescent="0.25">
      <c r="A275" s="9" t="s">
        <v>84</v>
      </c>
      <c r="B275" s="9" t="s">
        <v>85</v>
      </c>
      <c r="C275" s="9" t="s">
        <v>86</v>
      </c>
      <c r="D275" s="10">
        <v>45639</v>
      </c>
      <c r="E275" s="10">
        <v>45672</v>
      </c>
      <c r="F275" s="10">
        <v>45688</v>
      </c>
      <c r="G275" s="9">
        <v>3786564</v>
      </c>
      <c r="H275" s="9" t="str">
        <f t="shared" si="28"/>
        <v>Closed</v>
      </c>
      <c r="I275" s="9" t="str">
        <f t="shared" si="29"/>
        <v>All dates received</v>
      </c>
      <c r="J275" s="9" t="s">
        <v>264</v>
      </c>
      <c r="K275" s="9" t="s">
        <v>779</v>
      </c>
      <c r="L275" s="11">
        <v>1600</v>
      </c>
      <c r="M275" s="9" t="s">
        <v>780</v>
      </c>
      <c r="N275" s="9" t="s">
        <v>122</v>
      </c>
      <c r="O275" s="9"/>
      <c r="P275" s="9"/>
      <c r="Q275" s="11">
        <v>-20</v>
      </c>
      <c r="R275" s="9" t="s">
        <v>90</v>
      </c>
      <c r="S275" s="9" t="s">
        <v>781</v>
      </c>
      <c r="T275" s="12">
        <f>IF($H275="Cancelled","",IFERROR(((Q275+INDEX(Variables!$B$6:$D$6,IFERROR(MATCH(IF($B275="Robusta","Robusta",(IF($B275="","Arabica",$B275))&amp;" - "&amp;(IF($C275="","Commercial",$C275))),Variables!$B$1:$D$1,0),1)))*22.0462)*(L275/16.67),""))</f>
        <v>573016.04895020986</v>
      </c>
      <c r="U275" s="10">
        <v>45663</v>
      </c>
      <c r="V275" s="9" t="str">
        <f t="shared" si="27"/>
        <v>Sent</v>
      </c>
      <c r="W275" s="10">
        <v>45665</v>
      </c>
      <c r="X275" s="9" t="str">
        <f t="shared" si="25"/>
        <v>Approved</v>
      </c>
      <c r="Y275" s="10"/>
      <c r="Z275" s="10">
        <f>IF($H275="Cancelled","",IFERROR(IF(F275="","",F275-Variables!$B$13),""))</f>
        <v>45673</v>
      </c>
      <c r="AA275" s="11">
        <f>IF($H275="Cancelled","",IFERROR(IF(W275="","",(AVERAGE(E275:F275)-W275)-Variables!$B$14),""))</f>
        <v>-15</v>
      </c>
      <c r="AB275" s="10">
        <v>45692</v>
      </c>
      <c r="AC275" s="11">
        <f>IF($H275="Cancelled","",IFERROR(IF(AB275="","",IF(AND(W275="",Y275=""),"",IF(Y275&gt;W275,Y275+Variables!$B$15+Variables!$B$16+Variables!$B$17-AB275,W275+Variables!$B$16+Variables!$B$17-AB275))),""))</f>
        <v>-19</v>
      </c>
      <c r="AD275" s="9" t="s">
        <v>650</v>
      </c>
      <c r="AE275" s="9" t="s">
        <v>164</v>
      </c>
      <c r="AF275" s="10">
        <v>45702</v>
      </c>
      <c r="AG275" s="10"/>
      <c r="AH275" s="9"/>
      <c r="AI275" s="9">
        <v>249349485</v>
      </c>
      <c r="AJ275" s="9" t="s">
        <v>8</v>
      </c>
      <c r="AK275" s="10">
        <v>45702</v>
      </c>
      <c r="AL275" s="10">
        <v>45705</v>
      </c>
      <c r="AM275" s="10">
        <v>45705</v>
      </c>
      <c r="AN275" s="9" t="s">
        <v>95</v>
      </c>
      <c r="AO275" s="9"/>
      <c r="AP275" s="11">
        <f>IF($H275="Cancelled","",IFERROR(IF(OR(AK275="",AB275=""),"",(AB275+Variables!$B$18-AK275)),""))</f>
        <v>-3</v>
      </c>
      <c r="AQ275" s="11">
        <f>IF($H275="Cancelled","",IFERROR(IF(OR(AM275="",AK275=""),"",(AK275+Variables!$B$19)-AM275),""))</f>
        <v>2</v>
      </c>
      <c r="AR275" s="12">
        <f>IF($H275="Cancelled","",IFERROR(T275*INDEX(Variables!$B$7:$D$7,IFERROR(MATCH(IF($B275="Robusta","Robusta",(IF($B275="","Arabica",$B275))&amp;" - "&amp;(IF($C275="","Commercial",$C275))),Variables!$B$1:$D$1,0),1))*(AQ275/365),""))</f>
        <v>202.46211217324506</v>
      </c>
      <c r="AS275" s="12">
        <f>IF($H275="Cancelled","",IFERROR((T275*INDEX(Variables!$B$7:$D$7,IFERROR(MATCH(IF($B275="Robusta","Robusta",(IF($B275="","Arabica",$B275))&amp;" - "&amp;(IF($C275="","Commercial",$C275))),Variables!$B$1:$D$1,0),1))*IFERROR(IF(W275="","",(AVERAGE(E275:F275)-W275)-Variables!$B$14),"")/365)+(L275/16.67*INDEX(Variables!$B$8:$D$8,IFERROR(MATCH(IF($B275="Robusta","Robusta",(IF($B275="","Arabica",$B275))&amp;" - "&amp;(IF($C275="","Commercial",$C275))),Variables!$B$1:$D$1,0),1))*IFERROR(IF(W275="","",(AVERAGE(E275:F275)-W275)-Variables!$B$14),""))+(T275*INDEX(Variables!$B$9:$D$9,IFERROR(MATCH(IF($B275="Robusta","Robusta",(IF($B275="","Arabica",$B275))&amp;" - "&amp;(IF($C275="","Commercial",$C275))),Variables!$B$1:$D$1,0),1))*IFERROR(IF(W275="","",(AVERAGE(E275:F275)-W275)-Variables!$B$14),"")/365),""))</f>
        <v>-2738.0417964291591</v>
      </c>
      <c r="AT275" s="12">
        <f>IF($H275="Cancelled","",IFERROR((T275*INDEX(Variables!$B$7:$D$7,IFERROR(MATCH(IF($B275="Robusta","Robusta",(IF($B275="","Arabica",$B275))&amp;" - "&amp;(IF($C275="","Commercial",$C275))),Variables!$B$1:$D$1,0),1))*AC275/365)+(L275/16.67*INDEX(Variables!$B$8:$D$8,IFERROR(MATCH(IF($B275="Robusta","Robusta",(IF($B275="","Arabica",$B275))&amp;" - "&amp;(IF($C275="","Commercial",$C275))),Variables!$B$1:$D$1,0),1))*AC275)+(T275*INDEX(Variables!$B$9:$D$9,IFERROR(MATCH(IF($B275="Robusta","Robusta",(IF($B275="","Arabica",$B275))&amp;" - "&amp;(IF($C275="","Commercial",$C275))),Variables!$B$1:$D$1,0),1))*AC275/365),""))</f>
        <v>-3468.1862754769345</v>
      </c>
      <c r="AU275" s="12">
        <f>IF($H275="Cancelled","",IFERROR((T275*INDEX(Variables!$B$7:$D$7,IFERROR(MATCH(IF($B275="Robusta","Robusta",(IF($B275="","Arabica",$B275))&amp;" - "&amp;(IF($C275="","Commercial",$C275))),Variables!$B$1:$D$1,0),1))*AP275/365)+(L275/16.67*INDEX(Variables!$B$8:$D$8,IFERROR(MATCH(IF($B275="Robusta","Robusta",(IF($B275="","Arabica",$B275))&amp;" - "&amp;(IF($C275="","Commercial",$C275))),Variables!$B$1:$D$1,0),1))*AP275)+(T275*INDEX(Variables!$B$9:$D$9,IFERROR(MATCH(IF($B275="Robusta","Robusta",(IF($B275="","Arabica",$B275))&amp;" - "&amp;(IF($C275="","Commercial",$C275))),Variables!$B$1:$D$1,0),1))*AP275/365),""))</f>
        <v>-547.60835928583185</v>
      </c>
      <c r="AV275" s="11">
        <f t="shared" si="30"/>
        <v>-14</v>
      </c>
      <c r="AW275" s="12">
        <f>IF($H275="Cancelled","",IFERROR(IF(AV275="","",(T275*INDEX(Variables!$B$7:$D$7,IFERROR(MATCH(IF($B275="Robusta","Robusta",(IF($B275="","Arabica",$B275))&amp;" - "&amp;(IF($C275="","Commercial",$C275))),Variables!$B$1:$D$1,0),1))*(AV275/365))+(T275*INDEX(Variables!$B$9:$D$9,IFERROR(MATCH(IF($B275="Robusta","Robusta",(IF($B275="","Arabica",$B275))&amp;" - "&amp;(IF($C275="","Commercial",$C275))),Variables!$B$1:$D$1,0),1))*(AV275/365))+(INDEX(Variables!$B$8:$D$8,IFERROR(MATCH(IF($B275="Robusta","Robusta",(IF($B275="","Arabica",$B275))&amp;" - "&amp;(IF($C275="","Commercial",$C275))),Variables!$B$1:$D$1,0),1))*L275/16.67)),""))</f>
        <v>-1355.5056766672153</v>
      </c>
      <c r="AX275" s="9"/>
      <c r="AY275" s="12"/>
      <c r="AZ275" s="10"/>
      <c r="BA275" s="9"/>
      <c r="BB275" s="10"/>
      <c r="BC275" s="9"/>
      <c r="BD275" s="9"/>
      <c r="BE275" s="9"/>
      <c r="BF275" s="9"/>
    </row>
    <row r="276" spans="1:58" x14ac:dyDescent="0.25">
      <c r="A276" s="9" t="s">
        <v>84</v>
      </c>
      <c r="B276" s="9" t="s">
        <v>85</v>
      </c>
      <c r="C276" s="9" t="s">
        <v>86</v>
      </c>
      <c r="D276" s="10">
        <v>45642</v>
      </c>
      <c r="E276" s="10">
        <v>45658</v>
      </c>
      <c r="F276" s="10">
        <v>45688</v>
      </c>
      <c r="G276" s="9">
        <v>3786565</v>
      </c>
      <c r="H276" s="9" t="str">
        <f t="shared" si="28"/>
        <v>Closed</v>
      </c>
      <c r="I276" s="9" t="str">
        <f t="shared" si="29"/>
        <v>All dates received</v>
      </c>
      <c r="J276" s="9" t="s">
        <v>308</v>
      </c>
      <c r="K276" s="9">
        <v>5151</v>
      </c>
      <c r="L276" s="11">
        <v>1800</v>
      </c>
      <c r="M276" s="9" t="s">
        <v>782</v>
      </c>
      <c r="N276" s="9" t="s">
        <v>629</v>
      </c>
      <c r="O276" s="9"/>
      <c r="P276" s="9"/>
      <c r="Q276" s="11">
        <v>-30</v>
      </c>
      <c r="R276" s="9" t="s">
        <v>195</v>
      </c>
      <c r="S276" s="9" t="s">
        <v>106</v>
      </c>
      <c r="T276" s="12">
        <f>IF($H276="Cancelled","",IFERROR(((Q276+INDEX(Variables!$B$6:$D$6,IFERROR(MATCH(IF($B276="Robusta","Robusta",(IF($B276="","Arabica",$B276))&amp;" - "&amp;(IF($C276="","Commercial",$C276))),Variables!$B$1:$D$1,0),1)))*22.0462)*(L276/16.67),""))</f>
        <v>620837.92009598063</v>
      </c>
      <c r="U276" s="10">
        <v>45650</v>
      </c>
      <c r="V276" s="9" t="str">
        <f t="shared" si="27"/>
        <v>Sent</v>
      </c>
      <c r="W276" s="10">
        <v>45656</v>
      </c>
      <c r="X276" s="9" t="str">
        <f t="shared" si="25"/>
        <v>Approved</v>
      </c>
      <c r="Y276" s="10"/>
      <c r="Z276" s="10">
        <f>IF($H276="Cancelled","",IFERROR(IF(F276="","",F276-Variables!$B$13),""))</f>
        <v>45673</v>
      </c>
      <c r="AA276" s="11">
        <f>IF($H276="Cancelled","",IFERROR(IF(W276="","",(AVERAGE(E276:F276)-W276)-Variables!$B$14),""))</f>
        <v>-13</v>
      </c>
      <c r="AB276" s="10">
        <v>45672</v>
      </c>
      <c r="AC276" s="11">
        <f>IF($H276="Cancelled","",IFERROR(IF(AB276="","",IF(AND(W276="",Y276=""),"",IF(Y276&gt;W276,Y276+Variables!$B$15+Variables!$B$16+Variables!$B$17-AB276,W276+Variables!$B$16+Variables!$B$17-AB276))),""))</f>
        <v>-8</v>
      </c>
      <c r="AD276" s="9" t="s">
        <v>165</v>
      </c>
      <c r="AE276" s="9" t="s">
        <v>662</v>
      </c>
      <c r="AF276" s="10">
        <v>45687</v>
      </c>
      <c r="AG276" s="10"/>
      <c r="AH276" s="9"/>
      <c r="AI276" s="9" t="s">
        <v>783</v>
      </c>
      <c r="AJ276" s="9" t="s">
        <v>8</v>
      </c>
      <c r="AK276" s="10">
        <v>45688</v>
      </c>
      <c r="AL276" s="10">
        <v>45691</v>
      </c>
      <c r="AM276" s="10">
        <v>45693</v>
      </c>
      <c r="AN276" s="9" t="s">
        <v>95</v>
      </c>
      <c r="AO276" s="9"/>
      <c r="AP276" s="11">
        <f>IF($H276="Cancelled","",IFERROR(IF(OR(AK276="",AB276=""),"",(AB276+Variables!$B$18-AK276)),""))</f>
        <v>-9</v>
      </c>
      <c r="AQ276" s="11">
        <f>IF($H276="Cancelled","",IFERROR(IF(OR(AM276="",AK276=""),"",(AK276+Variables!$B$19)-AM276),""))</f>
        <v>0</v>
      </c>
      <c r="AR276" s="12">
        <f>IF($H276="Cancelled","",IFERROR(T276*INDEX(Variables!$B$7:$D$7,IFERROR(MATCH(IF($B276="Robusta","Robusta",(IF($B276="","Arabica",$B276))&amp;" - "&amp;(IF($C276="","Commercial",$C276))),Variables!$B$1:$D$1,0),1))*(AQ276/365),""))</f>
        <v>0</v>
      </c>
      <c r="AS276" s="12">
        <f>IF($H276="Cancelled","",IFERROR((T276*INDEX(Variables!$B$7:$D$7,IFERROR(MATCH(IF($B276="Robusta","Robusta",(IF($B276="","Arabica",$B276))&amp;" - "&amp;(IF($C276="","Commercial",$C276))),Variables!$B$1:$D$1,0),1))*IFERROR(IF(W276="","",(AVERAGE(E276:F276)-W276)-Variables!$B$14),"")/365)+(L276/16.67*INDEX(Variables!$B$8:$D$8,IFERROR(MATCH(IF($B276="Robusta","Robusta",(IF($B276="","Arabica",$B276))&amp;" - "&amp;(IF($C276="","Commercial",$C276))),Variables!$B$1:$D$1,0),1))*IFERROR(IF(W276="","",(AVERAGE(E276:F276)-W276)-Variables!$B$14),""))+(T276*INDEX(Variables!$B$9:$D$9,IFERROR(MATCH(IF($B276="Robusta","Robusta",(IF($B276="","Arabica",$B276))&amp;" - "&amp;(IF($C276="","Commercial",$C276))),Variables!$B$1:$D$1,0),1))*IFERROR(IF(W276="","",(AVERAGE(E276:F276)-W276)-Variables!$B$14),"")/365),""))</f>
        <v>-2614.2144312998762</v>
      </c>
      <c r="AT276" s="12">
        <f>IF($H276="Cancelled","",IFERROR((T276*INDEX(Variables!$B$7:$D$7,IFERROR(MATCH(IF($B276="Robusta","Robusta",(IF($B276="","Arabica",$B276))&amp;" - "&amp;(IF($C276="","Commercial",$C276))),Variables!$B$1:$D$1,0),1))*AC276/365)+(L276/16.67*INDEX(Variables!$B$8:$D$8,IFERROR(MATCH(IF($B276="Robusta","Robusta",(IF($B276="","Arabica",$B276))&amp;" - "&amp;(IF($C276="","Commercial",$C276))),Variables!$B$1:$D$1,0),1))*AC276)+(T276*INDEX(Variables!$B$9:$D$9,IFERROR(MATCH(IF($B276="Robusta","Robusta",(IF($B276="","Arabica",$B276))&amp;" - "&amp;(IF($C276="","Commercial",$C276))),Variables!$B$1:$D$1,0),1))*AC276/365),""))</f>
        <v>-1608.7473423383854</v>
      </c>
      <c r="AU276" s="12">
        <f>IF($H276="Cancelled","",IFERROR((T276*INDEX(Variables!$B$7:$D$7,IFERROR(MATCH(IF($B276="Robusta","Robusta",(IF($B276="","Arabica",$B276))&amp;" - "&amp;(IF($C276="","Commercial",$C276))),Variables!$B$1:$D$1,0),1))*AP276/365)+(L276/16.67*INDEX(Variables!$B$8:$D$8,IFERROR(MATCH(IF($B276="Robusta","Robusta",(IF($B276="","Arabica",$B276))&amp;" - "&amp;(IF($C276="","Commercial",$C276))),Variables!$B$1:$D$1,0),1))*AP276)+(T276*INDEX(Variables!$B$9:$D$9,IFERROR(MATCH(IF($B276="Robusta","Robusta",(IF($B276="","Arabica",$B276))&amp;" - "&amp;(IF($C276="","Commercial",$C276))),Variables!$B$1:$D$1,0),1))*AP276/365),""))</f>
        <v>-1809.8407601306833</v>
      </c>
      <c r="AV276" s="11">
        <f t="shared" si="30"/>
        <v>0</v>
      </c>
      <c r="AW276" s="12">
        <f>IF($H276="Cancelled","",IFERROR(IF(AV276="","",(T276*INDEX(Variables!$B$7:$D$7,IFERROR(MATCH(IF($B276="Robusta","Robusta",(IF($B276="","Arabica",$B276))&amp;" - "&amp;(IF($C276="","Commercial",$C276))),Variables!$B$1:$D$1,0),1))*(AV276/365))+(T276*INDEX(Variables!$B$9:$D$9,IFERROR(MATCH(IF($B276="Robusta","Robusta",(IF($B276="","Arabica",$B276))&amp;" - "&amp;(IF($C276="","Commercial",$C276))),Variables!$B$1:$D$1,0),1))*(AV276/365))+(INDEX(Variables!$B$8:$D$8,IFERROR(MATCH(IF($B276="Robusta","Robusta",(IF($B276="","Arabica",$B276))&amp;" - "&amp;(IF($C276="","Commercial",$C276))),Variables!$B$1:$D$1,0),1))*L276/16.67)),""))</f>
        <v>90</v>
      </c>
      <c r="AX276" s="9"/>
      <c r="AY276" s="12"/>
      <c r="AZ276" s="10"/>
      <c r="BA276" s="9"/>
      <c r="BB276" s="10"/>
      <c r="BC276" s="9"/>
      <c r="BD276" s="9"/>
      <c r="BE276" s="9"/>
      <c r="BF276" s="9"/>
    </row>
    <row r="277" spans="1:58" x14ac:dyDescent="0.25">
      <c r="A277" s="9" t="s">
        <v>84</v>
      </c>
      <c r="B277" s="9" t="s">
        <v>85</v>
      </c>
      <c r="C277" s="9" t="s">
        <v>86</v>
      </c>
      <c r="D277" s="10">
        <v>45642</v>
      </c>
      <c r="E277" s="10">
        <v>45689</v>
      </c>
      <c r="F277" s="10">
        <v>45716</v>
      </c>
      <c r="G277" s="9">
        <v>3786566</v>
      </c>
      <c r="H277" s="9" t="str">
        <f t="shared" si="28"/>
        <v>Closed</v>
      </c>
      <c r="I277" s="9" t="str">
        <f t="shared" si="29"/>
        <v>All dates received</v>
      </c>
      <c r="J277" s="9" t="s">
        <v>308</v>
      </c>
      <c r="K277" s="9">
        <v>5166</v>
      </c>
      <c r="L277" s="11">
        <v>1800</v>
      </c>
      <c r="M277" s="9" t="s">
        <v>782</v>
      </c>
      <c r="N277" s="9" t="s">
        <v>629</v>
      </c>
      <c r="O277" s="9"/>
      <c r="P277" s="9"/>
      <c r="Q277" s="11">
        <v>-30</v>
      </c>
      <c r="R277" s="9" t="s">
        <v>195</v>
      </c>
      <c r="S277" s="9" t="s">
        <v>106</v>
      </c>
      <c r="T277" s="12">
        <f>IF($H277="Cancelled","",IFERROR(((Q277+INDEX(Variables!$B$6:$D$6,IFERROR(MATCH(IF($B277="Robusta","Robusta",(IF($B277="","Arabica",$B277))&amp;" - "&amp;(IF($C277="","Commercial",$C277))),Variables!$B$1:$D$1,0),1)))*22.0462)*(L277/16.67),""))</f>
        <v>620837.92009598063</v>
      </c>
      <c r="U277" s="10">
        <v>45672</v>
      </c>
      <c r="V277" s="9" t="str">
        <f t="shared" si="27"/>
        <v>Sent</v>
      </c>
      <c r="W277" s="10">
        <v>45678</v>
      </c>
      <c r="X277" s="9" t="str">
        <f t="shared" si="25"/>
        <v>Approved</v>
      </c>
      <c r="Y277" s="10"/>
      <c r="Z277" s="10">
        <f>IF($H277="Cancelled","",IFERROR(IF(F277="","",F277-Variables!$B$13),""))</f>
        <v>45701</v>
      </c>
      <c r="AA277" s="11">
        <f>IF($H277="Cancelled","",IFERROR(IF(W277="","",(AVERAGE(E277:F277)-W277)-Variables!$B$14),""))</f>
        <v>-5.5</v>
      </c>
      <c r="AB277" s="10">
        <v>45693</v>
      </c>
      <c r="AC277" s="11">
        <f>IF($H277="Cancelled","",IFERROR(IF(AB277="","",IF(AND(W277="",Y277=""),"",IF(Y277&gt;W277,Y277+Variables!$B$15+Variables!$B$16+Variables!$B$17-AB277,W277+Variables!$B$16+Variables!$B$17-AB277))),""))</f>
        <v>-7</v>
      </c>
      <c r="AD277" s="9" t="s">
        <v>165</v>
      </c>
      <c r="AE277" s="9" t="s">
        <v>684</v>
      </c>
      <c r="AF277" s="10">
        <v>45710</v>
      </c>
      <c r="AG277" s="10"/>
      <c r="AH277" s="9"/>
      <c r="AI277" s="9" t="s">
        <v>784</v>
      </c>
      <c r="AJ277" s="9" t="s">
        <v>8</v>
      </c>
      <c r="AK277" s="10">
        <v>45708</v>
      </c>
      <c r="AL277" s="10">
        <v>45714</v>
      </c>
      <c r="AM277" s="10">
        <v>45714</v>
      </c>
      <c r="AN277" s="9" t="s">
        <v>95</v>
      </c>
      <c r="AO277" s="9"/>
      <c r="AP277" s="11">
        <f>IF($H277="Cancelled","",IFERROR(IF(OR(AK277="",AB277=""),"",(AB277+Variables!$B$18-AK277)),""))</f>
        <v>-8</v>
      </c>
      <c r="AQ277" s="11">
        <f>IF($H277="Cancelled","",IFERROR(IF(OR(AM277="",AK277=""),"",(AK277+Variables!$B$19)-AM277),""))</f>
        <v>-1</v>
      </c>
      <c r="AR277" s="12">
        <f>IF($H277="Cancelled","",IFERROR(T277*INDEX(Variables!$B$7:$D$7,IFERROR(MATCH(IF($B277="Robusta","Robusta",(IF($B277="","Arabica",$B277))&amp;" - "&amp;(IF($C277="","Commercial",$C277))),Variables!$B$1:$D$1,0),1))*(AQ277/365),""))</f>
        <v>-109.67943816770696</v>
      </c>
      <c r="AS277" s="12">
        <f>IF($H277="Cancelled","",IFERROR((T277*INDEX(Variables!$B$7:$D$7,IFERROR(MATCH(IF($B277="Robusta","Robusta",(IF($B277="","Arabica",$B277))&amp;" - "&amp;(IF($C277="","Commercial",$C277))),Variables!$B$1:$D$1,0),1))*IFERROR(IF(W277="","",(AVERAGE(E277:F277)-W277)-Variables!$B$14),"")/365)+(L277/16.67*INDEX(Variables!$B$8:$D$8,IFERROR(MATCH(IF($B277="Robusta","Robusta",(IF($B277="","Arabica",$B277))&amp;" - "&amp;(IF($C277="","Commercial",$C277))),Variables!$B$1:$D$1,0),1))*IFERROR(IF(W277="","",(AVERAGE(E277:F277)-W277)-Variables!$B$14),""))+(T277*INDEX(Variables!$B$9:$D$9,IFERROR(MATCH(IF($B277="Robusta","Robusta",(IF($B277="","Arabica",$B277))&amp;" - "&amp;(IF($C277="","Commercial",$C277))),Variables!$B$1:$D$1,0),1))*IFERROR(IF(W277="","",(AVERAGE(E277:F277)-W277)-Variables!$B$14),"")/365),""))</f>
        <v>-1106.0137978576399</v>
      </c>
      <c r="AT277" s="12">
        <f>IF($H277="Cancelled","",IFERROR((T277*INDEX(Variables!$B$7:$D$7,IFERROR(MATCH(IF($B277="Robusta","Robusta",(IF($B277="","Arabica",$B277))&amp;" - "&amp;(IF($C277="","Commercial",$C277))),Variables!$B$1:$D$1,0),1))*AC277/365)+(L277/16.67*INDEX(Variables!$B$8:$D$8,IFERROR(MATCH(IF($B277="Robusta","Robusta",(IF($B277="","Arabica",$B277))&amp;" - "&amp;(IF($C277="","Commercial",$C277))),Variables!$B$1:$D$1,0),1))*AC277)+(T277*INDEX(Variables!$B$9:$D$9,IFERROR(MATCH(IF($B277="Robusta","Robusta",(IF($B277="","Arabica",$B277))&amp;" - "&amp;(IF($C277="","Commercial",$C277))),Variables!$B$1:$D$1,0),1))*AC277/365),""))</f>
        <v>-1407.6539245460872</v>
      </c>
      <c r="AU277" s="12">
        <f>IF($H277="Cancelled","",IFERROR((T277*INDEX(Variables!$B$7:$D$7,IFERROR(MATCH(IF($B277="Robusta","Robusta",(IF($B277="","Arabica",$B277))&amp;" - "&amp;(IF($C277="","Commercial",$C277))),Variables!$B$1:$D$1,0),1))*AP277/365)+(L277/16.67*INDEX(Variables!$B$8:$D$8,IFERROR(MATCH(IF($B277="Robusta","Robusta",(IF($B277="","Arabica",$B277))&amp;" - "&amp;(IF($C277="","Commercial",$C277))),Variables!$B$1:$D$1,0),1))*AP277)+(T277*INDEX(Variables!$B$9:$D$9,IFERROR(MATCH(IF($B277="Robusta","Robusta",(IF($B277="","Arabica",$B277))&amp;" - "&amp;(IF($C277="","Commercial",$C277))),Variables!$B$1:$D$1,0),1))*AP277/365),""))</f>
        <v>-1608.7473423383854</v>
      </c>
      <c r="AV277" s="11">
        <f t="shared" si="30"/>
        <v>8</v>
      </c>
      <c r="AW277" s="12">
        <f>IF($H277="Cancelled","",IFERROR(IF(AV277="","",(T277*INDEX(Variables!$B$7:$D$7,IFERROR(MATCH(IF($B277="Robusta","Robusta",(IF($B277="","Arabica",$B277))&amp;" - "&amp;(IF($C277="","Commercial",$C277))),Variables!$B$1:$D$1,0),1))*(AV277/365))+(T277*INDEX(Variables!$B$9:$D$9,IFERROR(MATCH(IF($B277="Robusta","Robusta",(IF($B277="","Arabica",$B277))&amp;" - "&amp;(IF($C277="","Commercial",$C277))),Variables!$B$1:$D$1,0),1))*(AV277/365))+(INDEX(Variables!$B$8:$D$8,IFERROR(MATCH(IF($B277="Robusta","Robusta",(IF($B277="","Arabica",$B277))&amp;" - "&amp;(IF($C277="","Commercial",$C277))),Variables!$B$1:$D$1,0),1))*L277/16.67)),""))</f>
        <v>978.74734233838535</v>
      </c>
      <c r="AX277" s="9"/>
      <c r="AY277" s="12"/>
      <c r="AZ277" s="10"/>
      <c r="BA277" s="9"/>
      <c r="BB277" s="10"/>
      <c r="BC277" s="9"/>
      <c r="BD277" s="9"/>
      <c r="BE277" s="9"/>
      <c r="BF277" s="9"/>
    </row>
    <row r="278" spans="1:58" x14ac:dyDescent="0.25">
      <c r="A278" s="9" t="s">
        <v>84</v>
      </c>
      <c r="B278" s="9" t="s">
        <v>85</v>
      </c>
      <c r="C278" s="9" t="s">
        <v>86</v>
      </c>
      <c r="D278" s="10">
        <v>45643</v>
      </c>
      <c r="E278" s="10">
        <v>45689</v>
      </c>
      <c r="F278" s="10">
        <v>45716</v>
      </c>
      <c r="G278" s="9">
        <v>3786567</v>
      </c>
      <c r="H278" s="9" t="str">
        <f t="shared" si="28"/>
        <v>Closed</v>
      </c>
      <c r="I278" s="9" t="str">
        <f t="shared" si="29"/>
        <v>All dates received</v>
      </c>
      <c r="J278" s="9" t="s">
        <v>264</v>
      </c>
      <c r="K278" s="9" t="s">
        <v>785</v>
      </c>
      <c r="L278" s="11">
        <v>960</v>
      </c>
      <c r="M278" s="9" t="s">
        <v>786</v>
      </c>
      <c r="N278" s="9" t="s">
        <v>121</v>
      </c>
      <c r="O278" s="9"/>
      <c r="P278" s="9"/>
      <c r="Q278" s="11">
        <v>8</v>
      </c>
      <c r="R278" s="9" t="s">
        <v>90</v>
      </c>
      <c r="S278" s="9" t="s">
        <v>269</v>
      </c>
      <c r="T278" s="12">
        <f>IF($H278="Cancelled","",IFERROR(((Q278+INDEX(Variables!$B$6:$D$6,IFERROR(MATCH(IF($B278="Robusta","Robusta",(IF($B278="","Arabica",$B278))&amp;" - "&amp;(IF($C278="","Commercial",$C278))),Variables!$B$1:$D$1,0),1)))*22.0462)*(L278/16.67),""))</f>
        <v>379358.63092981401</v>
      </c>
      <c r="U278" s="10">
        <v>45672</v>
      </c>
      <c r="V278" s="9" t="str">
        <f t="shared" si="27"/>
        <v>Sent</v>
      </c>
      <c r="W278" s="10">
        <v>45700</v>
      </c>
      <c r="X278" s="9" t="str">
        <f t="shared" si="25"/>
        <v>Approved</v>
      </c>
      <c r="Y278" s="10"/>
      <c r="Z278" s="10">
        <f>IF($H278="Cancelled","",IFERROR(IF(F278="","",F278-Variables!$B$13),""))</f>
        <v>45701</v>
      </c>
      <c r="AA278" s="11">
        <f>IF($H278="Cancelled","",IFERROR(IF(W278="","",(AVERAGE(E278:F278)-W278)-Variables!$B$14),""))</f>
        <v>-27.5</v>
      </c>
      <c r="AB278" s="10">
        <v>45707</v>
      </c>
      <c r="AC278" s="11">
        <f>IF($H278="Cancelled","",IFERROR(IF(AB278="","",IF(AND(W278="",Y278=""),"",IF(Y278&gt;W278,Y278+Variables!$B$15+Variables!$B$16+Variables!$B$17-AB278,W278+Variables!$B$16+Variables!$B$17-AB278))),""))</f>
        <v>1</v>
      </c>
      <c r="AD278" s="9" t="s">
        <v>107</v>
      </c>
      <c r="AE278" s="9" t="s">
        <v>411</v>
      </c>
      <c r="AF278" s="10">
        <v>45717</v>
      </c>
      <c r="AG278" s="10"/>
      <c r="AH278" s="9"/>
      <c r="AI278" s="9" t="s">
        <v>787</v>
      </c>
      <c r="AJ278" s="9" t="s">
        <v>8</v>
      </c>
      <c r="AK278" s="10">
        <v>45720</v>
      </c>
      <c r="AL278" s="10">
        <v>45722</v>
      </c>
      <c r="AM278" s="10">
        <v>45727</v>
      </c>
      <c r="AN278" s="9" t="s">
        <v>95</v>
      </c>
      <c r="AO278" s="9"/>
      <c r="AP278" s="11">
        <f>IF($H278="Cancelled","",IFERROR(IF(OR(AK278="",AB278=""),"",(AB278+Variables!$B$18-AK278)),""))</f>
        <v>-6</v>
      </c>
      <c r="AQ278" s="11">
        <f>IF($H278="Cancelled","",IFERROR(IF(OR(AM278="",AK278=""),"",(AK278+Variables!$B$19)-AM278),""))</f>
        <v>-2</v>
      </c>
      <c r="AR278" s="12">
        <f>IF($H278="Cancelled","",IFERROR(T278*INDEX(Variables!$B$7:$D$7,IFERROR(MATCH(IF($B278="Robusta","Robusta",(IF($B278="","Arabica",$B278))&amp;" - "&amp;(IF($C278="","Commercial",$C278))),Variables!$B$1:$D$1,0),1))*(AQ278/365),""))</f>
        <v>-134.03769376078057</v>
      </c>
      <c r="AS278" s="12">
        <f>IF($H278="Cancelled","",IFERROR((T278*INDEX(Variables!$B$7:$D$7,IFERROR(MATCH(IF($B278="Robusta","Robusta",(IF($B278="","Arabica",$B278))&amp;" - "&amp;(IF($C278="","Commercial",$C278))),Variables!$B$1:$D$1,0),1))*IFERROR(IF(W278="","",(AVERAGE(E278:F278)-W278)-Variables!$B$14),"")/365)+(L278/16.67*INDEX(Variables!$B$8:$D$8,IFERROR(MATCH(IF($B278="Robusta","Robusta",(IF($B278="","Arabica",$B278))&amp;" - "&amp;(IF($C278="","Commercial",$C278))),Variables!$B$1:$D$1,0),1))*IFERROR(IF(W278="","",(AVERAGE(E278:F278)-W278)-Variables!$B$14),""))+(T278*INDEX(Variables!$B$9:$D$9,IFERROR(MATCH(IF($B278="Robusta","Robusta",(IF($B278="","Arabica",$B278))&amp;" - "&amp;(IF($C278="","Commercial",$C278))),Variables!$B$1:$D$1,0),1))*IFERROR(IF(W278="","",(AVERAGE(E278:F278)-W278)-Variables!$B$14),"")/365),""))</f>
        <v>-3186.7783517368389</v>
      </c>
      <c r="AT278" s="12">
        <f>IF($H278="Cancelled","",IFERROR((T278*INDEX(Variables!$B$7:$D$7,IFERROR(MATCH(IF($B278="Robusta","Robusta",(IF($B278="","Arabica",$B278))&amp;" - "&amp;(IF($C278="","Commercial",$C278))),Variables!$B$1:$D$1,0),1))*AC278/365)+(L278/16.67*INDEX(Variables!$B$8:$D$8,IFERROR(MATCH(IF($B278="Robusta","Robusta",(IF($B278="","Arabica",$B278))&amp;" - "&amp;(IF($C278="","Commercial",$C278))),Variables!$B$1:$D$1,0),1))*AC278)+(T278*INDEX(Variables!$B$9:$D$9,IFERROR(MATCH(IF($B278="Robusta","Robusta",(IF($B278="","Arabica",$B278))&amp;" - "&amp;(IF($C278="","Commercial",$C278))),Variables!$B$1:$D$1,0),1))*AC278/365),""))</f>
        <v>115.88284915406688</v>
      </c>
      <c r="AU278" s="12">
        <f>IF($H278="Cancelled","",IFERROR((T278*INDEX(Variables!$B$7:$D$7,IFERROR(MATCH(IF($B278="Robusta","Robusta",(IF($B278="","Arabica",$B278))&amp;" - "&amp;(IF($C278="","Commercial",$C278))),Variables!$B$1:$D$1,0),1))*AP278/365)+(L278/16.67*INDEX(Variables!$B$8:$D$8,IFERROR(MATCH(IF($B278="Robusta","Robusta",(IF($B278="","Arabica",$B278))&amp;" - "&amp;(IF($C278="","Commercial",$C278))),Variables!$B$1:$D$1,0),1))*AP278)+(T278*INDEX(Variables!$B$9:$D$9,IFERROR(MATCH(IF($B278="Robusta","Robusta",(IF($B278="","Arabica",$B278))&amp;" - "&amp;(IF($C278="","Commercial",$C278))),Variables!$B$1:$D$1,0),1))*AP278/365),""))</f>
        <v>-695.29709492440122</v>
      </c>
      <c r="AV278" s="11">
        <f t="shared" si="30"/>
        <v>-4</v>
      </c>
      <c r="AW278" s="12">
        <f>IF($H278="Cancelled","",IFERROR(IF(AV278="","",(T278*INDEX(Variables!$B$7:$D$7,IFERROR(MATCH(IF($B278="Robusta","Robusta",(IF($B278="","Arabica",$B278))&amp;" - "&amp;(IF($C278="","Commercial",$C278))),Variables!$B$1:$D$1,0),1))*(AV278/365))+(T278*INDEX(Variables!$B$9:$D$9,IFERROR(MATCH(IF($B278="Robusta","Robusta",(IF($B278="","Arabica",$B278))&amp;" - "&amp;(IF($C278="","Commercial",$C278))),Variables!$B$1:$D$1,0),1))*(AV278/365))+(INDEX(Variables!$B$8:$D$8,IFERROR(MATCH(IF($B278="Robusta","Robusta",(IF($B278="","Arabica",$B278))&amp;" - "&amp;(IF($C278="","Commercial",$C278))),Variables!$B$1:$D$1,0),1))*L278/16.67)),""))</f>
        <v>-223.5313966162675</v>
      </c>
      <c r="AX278" s="9"/>
      <c r="AY278" s="12"/>
      <c r="AZ278" s="10"/>
      <c r="BA278" s="9"/>
      <c r="BB278" s="10"/>
      <c r="BC278" s="9"/>
      <c r="BD278" s="9"/>
      <c r="BE278" s="9"/>
      <c r="BF278" s="9"/>
    </row>
    <row r="279" spans="1:58" x14ac:dyDescent="0.25">
      <c r="A279" s="9" t="s">
        <v>84</v>
      </c>
      <c r="B279" s="9" t="s">
        <v>85</v>
      </c>
      <c r="C279" s="9" t="s">
        <v>86</v>
      </c>
      <c r="D279" s="10">
        <v>45643</v>
      </c>
      <c r="E279" s="10">
        <v>45689</v>
      </c>
      <c r="F279" s="10">
        <v>45716</v>
      </c>
      <c r="G279" s="9">
        <v>3786567</v>
      </c>
      <c r="H279" s="9" t="str">
        <f t="shared" si="28"/>
        <v>Closed</v>
      </c>
      <c r="I279" s="9" t="str">
        <f t="shared" si="29"/>
        <v>All dates received</v>
      </c>
      <c r="J279" s="9" t="s">
        <v>264</v>
      </c>
      <c r="K279" s="9" t="s">
        <v>788</v>
      </c>
      <c r="L279" s="11">
        <v>640</v>
      </c>
      <c r="M279" s="9" t="s">
        <v>786</v>
      </c>
      <c r="N279" s="9" t="s">
        <v>121</v>
      </c>
      <c r="O279" s="9"/>
      <c r="P279" s="9"/>
      <c r="Q279" s="11">
        <v>8</v>
      </c>
      <c r="R279" s="9" t="s">
        <v>90</v>
      </c>
      <c r="S279" s="9" t="s">
        <v>269</v>
      </c>
      <c r="T279" s="12">
        <f>IF($H279="Cancelled","",IFERROR(((Q279+INDEX(Variables!$B$6:$D$6,IFERROR(MATCH(IF($B279="Robusta","Robusta",(IF($B279="","Arabica",$B279))&amp;" - "&amp;(IF($C279="","Commercial",$C279))),Variables!$B$1:$D$1,0),1)))*22.0462)*(L279/16.67),""))</f>
        <v>252905.75395320932</v>
      </c>
      <c r="U279" s="10">
        <v>45672</v>
      </c>
      <c r="V279" s="9" t="str">
        <f t="shared" si="27"/>
        <v>Sent</v>
      </c>
      <c r="W279" s="10">
        <v>45700</v>
      </c>
      <c r="X279" s="9" t="str">
        <f t="shared" si="25"/>
        <v>Approved</v>
      </c>
      <c r="Y279" s="10"/>
      <c r="Z279" s="10">
        <f>IF($H279="Cancelled","",IFERROR(IF(F279="","",F279-Variables!$B$13),""))</f>
        <v>45701</v>
      </c>
      <c r="AA279" s="11">
        <f>IF($H279="Cancelled","",IFERROR(IF(W279="","",(AVERAGE(E279:F279)-W279)-Variables!$B$14),""))</f>
        <v>-27.5</v>
      </c>
      <c r="AB279" s="10">
        <v>45707</v>
      </c>
      <c r="AC279" s="11">
        <f>IF($H279="Cancelled","",IFERROR(IF(AB279="","",IF(AND(W279="",Y279=""),"",IF(Y279&gt;W279,Y279+Variables!$B$15+Variables!$B$16+Variables!$B$17-AB279,W279+Variables!$B$16+Variables!$B$17-AB279))),""))</f>
        <v>1</v>
      </c>
      <c r="AD279" s="9" t="s">
        <v>107</v>
      </c>
      <c r="AE279" s="9" t="s">
        <v>411</v>
      </c>
      <c r="AF279" s="10">
        <v>45717</v>
      </c>
      <c r="AG279" s="10"/>
      <c r="AH279" s="9"/>
      <c r="AI279" s="9" t="s">
        <v>789</v>
      </c>
      <c r="AJ279" s="9" t="s">
        <v>8</v>
      </c>
      <c r="AK279" s="10">
        <v>45720</v>
      </c>
      <c r="AL279" s="10">
        <v>45722</v>
      </c>
      <c r="AM279" s="10">
        <v>45727</v>
      </c>
      <c r="AN279" s="9" t="s">
        <v>95</v>
      </c>
      <c r="AO279" s="9"/>
      <c r="AP279" s="11">
        <f>IF($H279="Cancelled","",IFERROR(IF(OR(AK279="",AB279=""),"",(AB279+Variables!$B$18-AK279)),""))</f>
        <v>-6</v>
      </c>
      <c r="AQ279" s="11">
        <f>IF($H279="Cancelled","",IFERROR(IF(OR(AM279="",AK279=""),"",(AK279+Variables!$B$19)-AM279),""))</f>
        <v>-2</v>
      </c>
      <c r="AR279" s="12">
        <f>IF($H279="Cancelled","",IFERROR(T279*INDEX(Variables!$B$7:$D$7,IFERROR(MATCH(IF($B279="Robusta","Robusta",(IF($B279="","Arabica",$B279))&amp;" - "&amp;(IF($C279="","Commercial",$C279))),Variables!$B$1:$D$1,0),1))*(AQ279/365),""))</f>
        <v>-89.358462507187042</v>
      </c>
      <c r="AS279" s="12">
        <f>IF($H279="Cancelled","",IFERROR((T279*INDEX(Variables!$B$7:$D$7,IFERROR(MATCH(IF($B279="Robusta","Robusta",(IF($B279="","Arabica",$B279))&amp;" - "&amp;(IF($C279="","Commercial",$C279))),Variables!$B$1:$D$1,0),1))*IFERROR(IF(W279="","",(AVERAGE(E279:F279)-W279)-Variables!$B$14),"")/365)+(L279/16.67*INDEX(Variables!$B$8:$D$8,IFERROR(MATCH(IF($B279="Robusta","Robusta",(IF($B279="","Arabica",$B279))&amp;" - "&amp;(IF($C279="","Commercial",$C279))),Variables!$B$1:$D$1,0),1))*IFERROR(IF(W279="","",(AVERAGE(E279:F279)-W279)-Variables!$B$14),""))+(T279*INDEX(Variables!$B$9:$D$9,IFERROR(MATCH(IF($B279="Robusta","Robusta",(IF($B279="","Arabica",$B279))&amp;" - "&amp;(IF($C279="","Commercial",$C279))),Variables!$B$1:$D$1,0),1))*IFERROR(IF(W279="","",(AVERAGE(E279:F279)-W279)-Variables!$B$14),"")/365),""))</f>
        <v>-2124.5189011578927</v>
      </c>
      <c r="AT279" s="12">
        <f>IF($H279="Cancelled","",IFERROR((T279*INDEX(Variables!$B$7:$D$7,IFERROR(MATCH(IF($B279="Robusta","Robusta",(IF($B279="","Arabica",$B279))&amp;" - "&amp;(IF($C279="","Commercial",$C279))),Variables!$B$1:$D$1,0),1))*AC279/365)+(L279/16.67*INDEX(Variables!$B$8:$D$8,IFERROR(MATCH(IF($B279="Robusta","Robusta",(IF($B279="","Arabica",$B279))&amp;" - "&amp;(IF($C279="","Commercial",$C279))),Variables!$B$1:$D$1,0),1))*AC279)+(T279*INDEX(Variables!$B$9:$D$9,IFERROR(MATCH(IF($B279="Robusta","Robusta",(IF($B279="","Arabica",$B279))&amp;" - "&amp;(IF($C279="","Commercial",$C279))),Variables!$B$1:$D$1,0),1))*AC279/365),""))</f>
        <v>77.255232769377912</v>
      </c>
      <c r="AU279" s="12">
        <f>IF($H279="Cancelled","",IFERROR((T279*INDEX(Variables!$B$7:$D$7,IFERROR(MATCH(IF($B279="Robusta","Robusta",(IF($B279="","Arabica",$B279))&amp;" - "&amp;(IF($C279="","Commercial",$C279))),Variables!$B$1:$D$1,0),1))*AP279/365)+(L279/16.67*INDEX(Variables!$B$8:$D$8,IFERROR(MATCH(IF($B279="Robusta","Robusta",(IF($B279="","Arabica",$B279))&amp;" - "&amp;(IF($C279="","Commercial",$C279))),Variables!$B$1:$D$1,0),1))*AP279)+(T279*INDEX(Variables!$B$9:$D$9,IFERROR(MATCH(IF($B279="Robusta","Robusta",(IF($B279="","Arabica",$B279))&amp;" - "&amp;(IF($C279="","Commercial",$C279))),Variables!$B$1:$D$1,0),1))*AP279/365),""))</f>
        <v>-463.5313966162675</v>
      </c>
      <c r="AV279" s="11">
        <f t="shared" si="30"/>
        <v>-4</v>
      </c>
      <c r="AW279" s="12">
        <f>IF($H279="Cancelled","",IFERROR(IF(AV279="","",(T279*INDEX(Variables!$B$7:$D$7,IFERROR(MATCH(IF($B279="Robusta","Robusta",(IF($B279="","Arabica",$B279))&amp;" - "&amp;(IF($C279="","Commercial",$C279))),Variables!$B$1:$D$1,0),1))*(AV279/365))+(T279*INDEX(Variables!$B$9:$D$9,IFERROR(MATCH(IF($B279="Robusta","Robusta",(IF($B279="","Arabica",$B279))&amp;" - "&amp;(IF($C279="","Commercial",$C279))),Variables!$B$1:$D$1,0),1))*(AV279/365))+(INDEX(Variables!$B$8:$D$8,IFERROR(MATCH(IF($B279="Robusta","Robusta",(IF($B279="","Arabica",$B279))&amp;" - "&amp;(IF($C279="","Commercial",$C279))),Variables!$B$1:$D$1,0),1))*L279/16.67)),""))</f>
        <v>-149.02093107751165</v>
      </c>
      <c r="AX279" s="9"/>
      <c r="AY279" s="12"/>
      <c r="AZ279" s="10"/>
      <c r="BA279" s="9"/>
      <c r="BB279" s="10"/>
      <c r="BC279" s="9"/>
      <c r="BD279" s="9"/>
      <c r="BE279" s="9"/>
      <c r="BF279" s="9"/>
    </row>
    <row r="280" spans="1:58" x14ac:dyDescent="0.25">
      <c r="A280" s="9" t="s">
        <v>84</v>
      </c>
      <c r="B280" s="9" t="s">
        <v>85</v>
      </c>
      <c r="C280" s="9" t="s">
        <v>86</v>
      </c>
      <c r="D280" s="10">
        <v>45643</v>
      </c>
      <c r="E280" s="10">
        <v>45717</v>
      </c>
      <c r="F280" s="10">
        <v>45747</v>
      </c>
      <c r="G280" s="9">
        <v>3786568</v>
      </c>
      <c r="H280" s="9" t="str">
        <f t="shared" si="28"/>
        <v>Closed</v>
      </c>
      <c r="I280" s="9" t="str">
        <f t="shared" si="29"/>
        <v>All dates received</v>
      </c>
      <c r="J280" s="9" t="s">
        <v>264</v>
      </c>
      <c r="K280" s="9">
        <v>5181</v>
      </c>
      <c r="L280" s="11">
        <v>1600</v>
      </c>
      <c r="M280" s="9" t="s">
        <v>786</v>
      </c>
      <c r="N280" s="9" t="s">
        <v>121</v>
      </c>
      <c r="O280" s="9"/>
      <c r="P280" s="9"/>
      <c r="Q280" s="11">
        <v>8</v>
      </c>
      <c r="R280" s="9" t="s">
        <v>90</v>
      </c>
      <c r="S280" s="9" t="s">
        <v>269</v>
      </c>
      <c r="T280" s="12">
        <f>IF($H280="Cancelled","",IFERROR(((Q280+INDEX(Variables!$B$6:$D$6,IFERROR(MATCH(IF($B280="Robusta","Robusta",(IF($B280="","Arabica",$B280))&amp;" - "&amp;(IF($C280="","Commercial",$C280))),Variables!$B$1:$D$1,0),1)))*22.0462)*(L280/16.67),""))</f>
        <v>632264.38488302333</v>
      </c>
      <c r="U280" s="10">
        <v>45688</v>
      </c>
      <c r="V280" s="9" t="str">
        <f t="shared" si="27"/>
        <v>Sent</v>
      </c>
      <c r="W280" s="10">
        <v>45700</v>
      </c>
      <c r="X280" s="9" t="str">
        <f t="shared" si="25"/>
        <v>Approved</v>
      </c>
      <c r="Y280" s="10"/>
      <c r="Z280" s="10">
        <f>IF($H280="Cancelled","",IFERROR(IF(F280="","",F280-Variables!$B$13),""))</f>
        <v>45732</v>
      </c>
      <c r="AA280" s="11">
        <f>IF($H280="Cancelled","",IFERROR(IF(W280="","",(AVERAGE(E280:F280)-W280)-Variables!$B$14),""))</f>
        <v>2</v>
      </c>
      <c r="AB280" s="10">
        <v>45733</v>
      </c>
      <c r="AC280" s="11">
        <f>IF($H280="Cancelled","",IFERROR(IF(AB280="","",IF(AND(W280="",Y280=""),"",IF(Y280&gt;W280,Y280+Variables!$B$15+Variables!$B$16+Variables!$B$17-AB280,W280+Variables!$B$16+Variables!$B$17-AB280))),""))</f>
        <v>-25</v>
      </c>
      <c r="AD280" s="9" t="s">
        <v>107</v>
      </c>
      <c r="AE280" s="9" t="s">
        <v>684</v>
      </c>
      <c r="AF280" s="10">
        <v>45738</v>
      </c>
      <c r="AG280" s="10"/>
      <c r="AH280" s="9"/>
      <c r="AI280" s="9" t="s">
        <v>790</v>
      </c>
      <c r="AJ280" s="9" t="s">
        <v>8</v>
      </c>
      <c r="AK280" s="10">
        <v>45744</v>
      </c>
      <c r="AL280" s="10">
        <v>45743</v>
      </c>
      <c r="AM280" s="10">
        <v>45750</v>
      </c>
      <c r="AN280" s="9" t="s">
        <v>95</v>
      </c>
      <c r="AO280" s="9"/>
      <c r="AP280" s="11">
        <f>IF($H280="Cancelled","",IFERROR(IF(OR(AK280="",AB280=""),"",(AB280+Variables!$B$18-AK280)),""))</f>
        <v>-4</v>
      </c>
      <c r="AQ280" s="11">
        <f>IF($H280="Cancelled","",IFERROR(IF(OR(AM280="",AK280=""),"",(AK280+Variables!$B$19)-AM280),""))</f>
        <v>-1</v>
      </c>
      <c r="AR280" s="12">
        <f>IF($H280="Cancelled","",IFERROR(T280*INDEX(Variables!$B$7:$D$7,IFERROR(MATCH(IF($B280="Robusta","Robusta",(IF($B280="","Arabica",$B280))&amp;" - "&amp;(IF($C280="","Commercial",$C280))),Variables!$B$1:$D$1,0),1))*(AQ280/365),""))</f>
        <v>-111.69807813398381</v>
      </c>
      <c r="AS280" s="12">
        <f>IF($H280="Cancelled","",IFERROR((T280*INDEX(Variables!$B$7:$D$7,IFERROR(MATCH(IF($B280="Robusta","Robusta",(IF($B280="","Arabica",$B280))&amp;" - "&amp;(IF($C280="","Commercial",$C280))),Variables!$B$1:$D$1,0),1))*IFERROR(IF(W280="","",(AVERAGE(E280:F280)-W280)-Variables!$B$14),"")/365)+(L280/16.67*INDEX(Variables!$B$8:$D$8,IFERROR(MATCH(IF($B280="Robusta","Robusta",(IF($B280="","Arabica",$B280))&amp;" - "&amp;(IF($C280="","Commercial",$C280))),Variables!$B$1:$D$1,0),1))*IFERROR(IF(W280="","",(AVERAGE(E280:F280)-W280)-Variables!$B$14),""))+(T280*INDEX(Variables!$B$9:$D$9,IFERROR(MATCH(IF($B280="Robusta","Robusta",(IF($B280="","Arabica",$B280))&amp;" - "&amp;(IF($C280="","Commercial",$C280))),Variables!$B$1:$D$1,0),1))*IFERROR(IF(W280="","",(AVERAGE(E280:F280)-W280)-Variables!$B$14),"")/365),""))</f>
        <v>386.27616384688957</v>
      </c>
      <c r="AT280" s="12">
        <f>IF($H280="Cancelled","",IFERROR((T280*INDEX(Variables!$B$7:$D$7,IFERROR(MATCH(IF($B280="Robusta","Robusta",(IF($B280="","Arabica",$B280))&amp;" - "&amp;(IF($C280="","Commercial",$C280))),Variables!$B$1:$D$1,0),1))*AC280/365)+(L280/16.67*INDEX(Variables!$B$8:$D$8,IFERROR(MATCH(IF($B280="Robusta","Robusta",(IF($B280="","Arabica",$B280))&amp;" - "&amp;(IF($C280="","Commercial",$C280))),Variables!$B$1:$D$1,0),1))*AC280)+(T280*INDEX(Variables!$B$9:$D$9,IFERROR(MATCH(IF($B280="Robusta","Robusta",(IF($B280="","Arabica",$B280))&amp;" - "&amp;(IF($C280="","Commercial",$C280))),Variables!$B$1:$D$1,0),1))*AC280/365),""))</f>
        <v>-4828.4520480861192</v>
      </c>
      <c r="AU280" s="12">
        <f>IF($H280="Cancelled","",IFERROR((T280*INDEX(Variables!$B$7:$D$7,IFERROR(MATCH(IF($B280="Robusta","Robusta",(IF($B280="","Arabica",$B280))&amp;" - "&amp;(IF($C280="","Commercial",$C280))),Variables!$B$1:$D$1,0),1))*AP280/365)+(L280/16.67*INDEX(Variables!$B$8:$D$8,IFERROR(MATCH(IF($B280="Robusta","Robusta",(IF($B280="","Arabica",$B280))&amp;" - "&amp;(IF($C280="","Commercial",$C280))),Variables!$B$1:$D$1,0),1))*AP280)+(T280*INDEX(Variables!$B$9:$D$9,IFERROR(MATCH(IF($B280="Robusta","Robusta",(IF($B280="","Arabica",$B280))&amp;" - "&amp;(IF($C280="","Commercial",$C280))),Variables!$B$1:$D$1,0),1))*AP280/365),""))</f>
        <v>-772.55232769377915</v>
      </c>
      <c r="AV280" s="11">
        <f t="shared" si="30"/>
        <v>3</v>
      </c>
      <c r="AW280" s="12">
        <f>IF($H280="Cancelled","",IFERROR(IF(AV280="","",(T280*INDEX(Variables!$B$7:$D$7,IFERROR(MATCH(IF($B280="Robusta","Robusta",(IF($B280="","Arabica",$B280))&amp;" - "&amp;(IF($C280="","Commercial",$C280))),Variables!$B$1:$D$1,0),1))*(AV280/365))+(T280*INDEX(Variables!$B$9:$D$9,IFERROR(MATCH(IF($B280="Robusta","Robusta",(IF($B280="","Arabica",$B280))&amp;" - "&amp;(IF($C280="","Commercial",$C280))),Variables!$B$1:$D$1,0),1))*(AV280/365))+(INDEX(Variables!$B$8:$D$8,IFERROR(MATCH(IF($B280="Robusta","Robusta",(IF($B280="","Arabica",$B280))&amp;" - "&amp;(IF($C280="","Commercial",$C280))),Variables!$B$1:$D$1,0),1))*L280/16.67)),""))</f>
        <v>419.41424577033433</v>
      </c>
      <c r="AX280" s="9"/>
      <c r="AY280" s="12"/>
      <c r="AZ280" s="10"/>
      <c r="BA280" s="9"/>
      <c r="BB280" s="10"/>
      <c r="BC280" s="9"/>
      <c r="BD280" s="9"/>
      <c r="BE280" s="9"/>
      <c r="BF280" s="9"/>
    </row>
    <row r="281" spans="1:58" x14ac:dyDescent="0.25">
      <c r="A281" s="9" t="s">
        <v>84</v>
      </c>
      <c r="B281" s="9" t="s">
        <v>85</v>
      </c>
      <c r="C281" s="9" t="s">
        <v>86</v>
      </c>
      <c r="D281" s="10">
        <v>45643</v>
      </c>
      <c r="E281" s="10">
        <v>45748</v>
      </c>
      <c r="F281" s="10">
        <v>45777</v>
      </c>
      <c r="G281" s="9">
        <v>3786569</v>
      </c>
      <c r="H281" s="9" t="str">
        <f t="shared" si="28"/>
        <v>Closed</v>
      </c>
      <c r="I281" s="9" t="str">
        <f t="shared" si="29"/>
        <v>All dates received</v>
      </c>
      <c r="J281" s="9" t="s">
        <v>264</v>
      </c>
      <c r="K281" s="9">
        <v>5230</v>
      </c>
      <c r="L281" s="11">
        <v>1600</v>
      </c>
      <c r="M281" s="9" t="s">
        <v>786</v>
      </c>
      <c r="N281" s="9" t="s">
        <v>121</v>
      </c>
      <c r="O281" s="9"/>
      <c r="P281" s="9"/>
      <c r="Q281" s="11">
        <v>8</v>
      </c>
      <c r="R281" s="9" t="s">
        <v>90</v>
      </c>
      <c r="S281" s="9" t="s">
        <v>269</v>
      </c>
      <c r="T281" s="12">
        <f>IF($H281="Cancelled","",IFERROR(((Q281+INDEX(Variables!$B$6:$D$6,IFERROR(MATCH(IF($B281="Robusta","Robusta",(IF($B281="","Arabica",$B281))&amp;" - "&amp;(IF($C281="","Commercial",$C281))),Variables!$B$1:$D$1,0),1)))*22.0462)*(L281/16.67),""))</f>
        <v>632264.38488302333</v>
      </c>
      <c r="U281" s="10">
        <v>45708</v>
      </c>
      <c r="V281" s="9" t="str">
        <f t="shared" si="27"/>
        <v>Sent</v>
      </c>
      <c r="W281" s="10">
        <v>45726</v>
      </c>
      <c r="X281" s="9" t="str">
        <f t="shared" si="25"/>
        <v>Approved</v>
      </c>
      <c r="Y281" s="10"/>
      <c r="Z281" s="10">
        <f>IF($H281="Cancelled","",IFERROR(IF(F281="","",F281-Variables!$B$13),""))</f>
        <v>45762</v>
      </c>
      <c r="AA281" s="11">
        <f>IF($H281="Cancelled","",IFERROR(IF(W281="","",(AVERAGE(E281:F281)-W281)-Variables!$B$14),""))</f>
        <v>6.5</v>
      </c>
      <c r="AB281" s="10">
        <v>45772</v>
      </c>
      <c r="AC281" s="11">
        <f>IF($H281="Cancelled","",IFERROR(IF(AB281="","",IF(AND(W281="",Y281=""),"",IF(Y281&gt;W281,Y281+Variables!$B$15+Variables!$B$16+Variables!$B$17-AB281,W281+Variables!$B$16+Variables!$B$17-AB281))),""))</f>
        <v>-38</v>
      </c>
      <c r="AD281" s="9" t="s">
        <v>107</v>
      </c>
      <c r="AE281" s="9" t="s">
        <v>791</v>
      </c>
      <c r="AF281" s="10"/>
      <c r="AG281" s="10"/>
      <c r="AH281" s="9"/>
      <c r="AI281" s="9" t="s">
        <v>792</v>
      </c>
      <c r="AJ281" s="9" t="s">
        <v>8</v>
      </c>
      <c r="AK281" s="10">
        <v>45782</v>
      </c>
      <c r="AL281" s="10">
        <v>45786</v>
      </c>
      <c r="AM281" s="10">
        <v>45792</v>
      </c>
      <c r="AN281" s="9" t="s">
        <v>95</v>
      </c>
      <c r="AO281" s="9"/>
      <c r="AP281" s="11">
        <f>IF($H281="Cancelled","",IFERROR(IF(OR(AK281="",AB281=""),"",(AB281+Variables!$B$18-AK281)),""))</f>
        <v>-3</v>
      </c>
      <c r="AQ281" s="11">
        <f>IF($H281="Cancelled","",IFERROR(IF(OR(AM281="",AK281=""),"",(AK281+Variables!$B$19)-AM281),""))</f>
        <v>-5</v>
      </c>
      <c r="AR281" s="12">
        <f>IF($H281="Cancelled","",IFERROR(T281*INDEX(Variables!$B$7:$D$7,IFERROR(MATCH(IF($B281="Robusta","Robusta",(IF($B281="","Arabica",$B281))&amp;" - "&amp;(IF($C281="","Commercial",$C281))),Variables!$B$1:$D$1,0),1))*(AQ281/365),""))</f>
        <v>-558.49039066991907</v>
      </c>
      <c r="AS281" s="12">
        <f>IF($H281="Cancelled","",IFERROR((T281*INDEX(Variables!$B$7:$D$7,IFERROR(MATCH(IF($B281="Robusta","Robusta",(IF($B281="","Arabica",$B281))&amp;" - "&amp;(IF($C281="","Commercial",$C281))),Variables!$B$1:$D$1,0),1))*IFERROR(IF(W281="","",(AVERAGE(E281:F281)-W281)-Variables!$B$14),"")/365)+(L281/16.67*INDEX(Variables!$B$8:$D$8,IFERROR(MATCH(IF($B281="Robusta","Robusta",(IF($B281="","Arabica",$B281))&amp;" - "&amp;(IF($C281="","Commercial",$C281))),Variables!$B$1:$D$1,0),1))*IFERROR(IF(W281="","",(AVERAGE(E281:F281)-W281)-Variables!$B$14),""))+(T281*INDEX(Variables!$B$9:$D$9,IFERROR(MATCH(IF($B281="Robusta","Robusta",(IF($B281="","Arabica",$B281))&amp;" - "&amp;(IF($C281="","Commercial",$C281))),Variables!$B$1:$D$1,0),1))*IFERROR(IF(W281="","",(AVERAGE(E281:F281)-W281)-Variables!$B$14),"")/365),""))</f>
        <v>1255.3975325023912</v>
      </c>
      <c r="AT281" s="12">
        <f>IF($H281="Cancelled","",IFERROR((T281*INDEX(Variables!$B$7:$D$7,IFERROR(MATCH(IF($B281="Robusta","Robusta",(IF($B281="","Arabica",$B281))&amp;" - "&amp;(IF($C281="","Commercial",$C281))),Variables!$B$1:$D$1,0),1))*AC281/365)+(L281/16.67*INDEX(Variables!$B$8:$D$8,IFERROR(MATCH(IF($B281="Robusta","Robusta",(IF($B281="","Arabica",$B281))&amp;" - "&amp;(IF($C281="","Commercial",$C281))),Variables!$B$1:$D$1,0),1))*AC281)+(T281*INDEX(Variables!$B$9:$D$9,IFERROR(MATCH(IF($B281="Robusta","Robusta",(IF($B281="","Arabica",$B281))&amp;" - "&amp;(IF($C281="","Commercial",$C281))),Variables!$B$1:$D$1,0),1))*AC281/365),""))</f>
        <v>-7339.2471130909016</v>
      </c>
      <c r="AU281" s="12">
        <f>IF($H281="Cancelled","",IFERROR((T281*INDEX(Variables!$B$7:$D$7,IFERROR(MATCH(IF($B281="Robusta","Robusta",(IF($B281="","Arabica",$B281))&amp;" - "&amp;(IF($C281="","Commercial",$C281))),Variables!$B$1:$D$1,0),1))*AP281/365)+(L281/16.67*INDEX(Variables!$B$8:$D$8,IFERROR(MATCH(IF($B281="Robusta","Robusta",(IF($B281="","Arabica",$B281))&amp;" - "&amp;(IF($C281="","Commercial",$C281))),Variables!$B$1:$D$1,0),1))*AP281)+(T281*INDEX(Variables!$B$9:$D$9,IFERROR(MATCH(IF($B281="Robusta","Robusta",(IF($B281="","Arabica",$B281))&amp;" - "&amp;(IF($C281="","Commercial",$C281))),Variables!$B$1:$D$1,0),1))*AP281/365),""))</f>
        <v>-579.41424577033433</v>
      </c>
      <c r="AV281" s="11">
        <f t="shared" si="30"/>
        <v>-5</v>
      </c>
      <c r="AW281" s="12">
        <f>IF($H281="Cancelled","",IFERROR(IF(AV281="","",(T281*INDEX(Variables!$B$7:$D$7,IFERROR(MATCH(IF($B281="Robusta","Robusta",(IF($B281="","Arabica",$B281))&amp;" - "&amp;(IF($C281="","Commercial",$C281))),Variables!$B$1:$D$1,0),1))*(AV281/365))+(T281*INDEX(Variables!$B$9:$D$9,IFERROR(MATCH(IF($B281="Robusta","Robusta",(IF($B281="","Arabica",$B281))&amp;" - "&amp;(IF($C281="","Commercial",$C281))),Variables!$B$1:$D$1,0),1))*(AV281/365))+(INDEX(Variables!$B$8:$D$8,IFERROR(MATCH(IF($B281="Robusta","Robusta",(IF($B281="","Arabica",$B281))&amp;" - "&amp;(IF($C281="","Commercial",$C281))),Variables!$B$1:$D$1,0),1))*L281/16.67)),""))</f>
        <v>-485.69040961722396</v>
      </c>
      <c r="AX281" s="9"/>
      <c r="AY281" s="12"/>
      <c r="AZ281" s="10"/>
      <c r="BA281" s="9"/>
      <c r="BB281" s="10"/>
      <c r="BC281" s="9"/>
      <c r="BD281" s="9"/>
      <c r="BE281" s="9"/>
      <c r="BF281" s="9"/>
    </row>
    <row r="282" spans="1:58" x14ac:dyDescent="0.25">
      <c r="A282" s="9" t="s">
        <v>84</v>
      </c>
      <c r="B282" s="9" t="s">
        <v>85</v>
      </c>
      <c r="C282" s="9" t="s">
        <v>86</v>
      </c>
      <c r="D282" s="10">
        <v>45644</v>
      </c>
      <c r="E282" s="10">
        <v>45778</v>
      </c>
      <c r="F282" s="10">
        <v>45808</v>
      </c>
      <c r="G282" s="9">
        <v>3786570</v>
      </c>
      <c r="H282" s="9" t="str">
        <f t="shared" si="28"/>
        <v>Closed</v>
      </c>
      <c r="I282" s="9" t="str">
        <f t="shared" si="29"/>
        <v>All dates received</v>
      </c>
      <c r="J282" s="9" t="s">
        <v>264</v>
      </c>
      <c r="K282" s="9">
        <v>5258</v>
      </c>
      <c r="L282" s="11">
        <v>1600</v>
      </c>
      <c r="M282" s="9" t="s">
        <v>786</v>
      </c>
      <c r="N282" s="9" t="s">
        <v>121</v>
      </c>
      <c r="O282" s="9"/>
      <c r="P282" s="9"/>
      <c r="Q282" s="11">
        <v>8</v>
      </c>
      <c r="R282" s="9" t="s">
        <v>90</v>
      </c>
      <c r="S282" s="9" t="s">
        <v>269</v>
      </c>
      <c r="T282" s="12">
        <f>IF($H282="Cancelled","",IFERROR(((Q282+INDEX(Variables!$B$6:$D$6,IFERROR(MATCH(IF($B282="Robusta","Robusta",(IF($B282="","Arabica",$B282))&amp;" - "&amp;(IF($C282="","Commercial",$C282))),Variables!$B$1:$D$1,0),1)))*22.0462)*(L282/16.67),""))</f>
        <v>632264.38488302333</v>
      </c>
      <c r="U282" s="10">
        <v>45744</v>
      </c>
      <c r="V282" s="9" t="str">
        <f t="shared" si="27"/>
        <v>Sent</v>
      </c>
      <c r="W282" s="10">
        <v>45749</v>
      </c>
      <c r="X282" s="9" t="str">
        <f t="shared" si="25"/>
        <v>Approved</v>
      </c>
      <c r="Y282" s="10"/>
      <c r="Z282" s="10">
        <f>IF($H282="Cancelled","",IFERROR(IF(F282="","",F282-Variables!$B$13),""))</f>
        <v>45793</v>
      </c>
      <c r="AA282" s="11">
        <f>IF($H282="Cancelled","",IFERROR(IF(W282="","",(AVERAGE(E282:F282)-W282)-Variables!$B$14),""))</f>
        <v>14</v>
      </c>
      <c r="AB282" s="10">
        <v>45791</v>
      </c>
      <c r="AC282" s="11">
        <f>IF($H282="Cancelled","",IFERROR(IF(AB282="","",IF(AND(W282="",Y282=""),"",IF(Y282&gt;W282,Y282+Variables!$B$15+Variables!$B$16+Variables!$B$17-AB282,W282+Variables!$B$16+Variables!$B$17-AB282))),""))</f>
        <v>-34</v>
      </c>
      <c r="AD282" s="9" t="s">
        <v>107</v>
      </c>
      <c r="AE282" s="9" t="s">
        <v>793</v>
      </c>
      <c r="AF282" s="10"/>
      <c r="AG282" s="10"/>
      <c r="AH282" s="9"/>
      <c r="AI282" s="9" t="s">
        <v>794</v>
      </c>
      <c r="AJ282" s="9" t="s">
        <v>8</v>
      </c>
      <c r="AK282" s="10">
        <v>45813</v>
      </c>
      <c r="AL282" s="10">
        <v>45819</v>
      </c>
      <c r="AM282" s="10">
        <v>45818</v>
      </c>
      <c r="AN282" s="9" t="s">
        <v>95</v>
      </c>
      <c r="AO282" s="9"/>
      <c r="AP282" s="11">
        <f>IF($H282="Cancelled","",IFERROR(IF(OR(AK282="",AB282=""),"",(AB282+Variables!$B$18-AK282)),""))</f>
        <v>-15</v>
      </c>
      <c r="AQ282" s="11">
        <f>IF($H282="Cancelled","",IFERROR(IF(OR(AM282="",AK282=""),"",(AK282+Variables!$B$19)-AM282),""))</f>
        <v>0</v>
      </c>
      <c r="AR282" s="12">
        <f>IF($H282="Cancelled","",IFERROR(T282*INDEX(Variables!$B$7:$D$7,IFERROR(MATCH(IF($B282="Robusta","Robusta",(IF($B282="","Arabica",$B282))&amp;" - "&amp;(IF($C282="","Commercial",$C282))),Variables!$B$1:$D$1,0),1))*(AQ282/365),""))</f>
        <v>0</v>
      </c>
      <c r="AS282" s="12">
        <f>IF($H282="Cancelled","",IFERROR((T282*INDEX(Variables!$B$7:$D$7,IFERROR(MATCH(IF($B282="Robusta","Robusta",(IF($B282="","Arabica",$B282))&amp;" - "&amp;(IF($C282="","Commercial",$C282))),Variables!$B$1:$D$1,0),1))*IFERROR(IF(W282="","",(AVERAGE(E282:F282)-W282)-Variables!$B$14),"")/365)+(L282/16.67*INDEX(Variables!$B$8:$D$8,IFERROR(MATCH(IF($B282="Robusta","Robusta",(IF($B282="","Arabica",$B282))&amp;" - "&amp;(IF($C282="","Commercial",$C282))),Variables!$B$1:$D$1,0),1))*IFERROR(IF(W282="","",(AVERAGE(E282:F282)-W282)-Variables!$B$14),""))+(T282*INDEX(Variables!$B$9:$D$9,IFERROR(MATCH(IF($B282="Robusta","Robusta",(IF($B282="","Arabica",$B282))&amp;" - "&amp;(IF($C282="","Commercial",$C282))),Variables!$B$1:$D$1,0),1))*IFERROR(IF(W282="","",(AVERAGE(E282:F282)-W282)-Variables!$B$14),"")/365),""))</f>
        <v>2703.933146928227</v>
      </c>
      <c r="AT282" s="12">
        <f>IF($H282="Cancelled","",IFERROR((T282*INDEX(Variables!$B$7:$D$7,IFERROR(MATCH(IF($B282="Robusta","Robusta",(IF($B282="","Arabica",$B282))&amp;" - "&amp;(IF($C282="","Commercial",$C282))),Variables!$B$1:$D$1,0),1))*AC282/365)+(L282/16.67*INDEX(Variables!$B$8:$D$8,IFERROR(MATCH(IF($B282="Robusta","Robusta",(IF($B282="","Arabica",$B282))&amp;" - "&amp;(IF($C282="","Commercial",$C282))),Variables!$B$1:$D$1,0),1))*AC282)+(T282*INDEX(Variables!$B$9:$D$9,IFERROR(MATCH(IF($B282="Robusta","Robusta",(IF($B282="","Arabica",$B282))&amp;" - "&amp;(IF($C282="","Commercial",$C282))),Variables!$B$1:$D$1,0),1))*AC282/365),""))</f>
        <v>-6566.6947853971233</v>
      </c>
      <c r="AU282" s="12">
        <f>IF($H282="Cancelled","",IFERROR((T282*INDEX(Variables!$B$7:$D$7,IFERROR(MATCH(IF($B282="Robusta","Robusta",(IF($B282="","Arabica",$B282))&amp;" - "&amp;(IF($C282="","Commercial",$C282))),Variables!$B$1:$D$1,0),1))*AP282/365)+(L282/16.67*INDEX(Variables!$B$8:$D$8,IFERROR(MATCH(IF($B282="Robusta","Robusta",(IF($B282="","Arabica",$B282))&amp;" - "&amp;(IF($C282="","Commercial",$C282))),Variables!$B$1:$D$1,0),1))*AP282)+(T282*INDEX(Variables!$B$9:$D$9,IFERROR(MATCH(IF($B282="Robusta","Robusta",(IF($B282="","Arabica",$B282))&amp;" - "&amp;(IF($C282="","Commercial",$C282))),Variables!$B$1:$D$1,0),1))*AP282/365),""))</f>
        <v>-2897.0712288516715</v>
      </c>
      <c r="AV282" s="11">
        <f t="shared" si="30"/>
        <v>-5</v>
      </c>
      <c r="AW282" s="12">
        <f>IF($H282="Cancelled","",IFERROR(IF(AV282="","",(T282*INDEX(Variables!$B$7:$D$7,IFERROR(MATCH(IF($B282="Robusta","Robusta",(IF($B282="","Arabica",$B282))&amp;" - "&amp;(IF($C282="","Commercial",$C282))),Variables!$B$1:$D$1,0),1))*(AV282/365))+(T282*INDEX(Variables!$B$9:$D$9,IFERROR(MATCH(IF($B282="Robusta","Robusta",(IF($B282="","Arabica",$B282))&amp;" - "&amp;(IF($C282="","Commercial",$C282))),Variables!$B$1:$D$1,0),1))*(AV282/365))+(INDEX(Variables!$B$8:$D$8,IFERROR(MATCH(IF($B282="Robusta","Robusta",(IF($B282="","Arabica",$B282))&amp;" - "&amp;(IF($C282="","Commercial",$C282))),Variables!$B$1:$D$1,0),1))*L282/16.67)),""))</f>
        <v>-485.69040961722396</v>
      </c>
      <c r="AX282" s="9"/>
      <c r="AY282" s="12"/>
      <c r="AZ282" s="10"/>
      <c r="BA282" s="9"/>
      <c r="BB282" s="10"/>
      <c r="BC282" s="9"/>
      <c r="BD282" s="9"/>
      <c r="BE282" s="9"/>
      <c r="BF282" s="9"/>
    </row>
    <row r="283" spans="1:58" x14ac:dyDescent="0.25">
      <c r="A283" s="9" t="s">
        <v>84</v>
      </c>
      <c r="B283" s="9" t="s">
        <v>85</v>
      </c>
      <c r="C283" s="9" t="s">
        <v>86</v>
      </c>
      <c r="D283" s="10">
        <v>45645</v>
      </c>
      <c r="E283" s="10">
        <v>45717</v>
      </c>
      <c r="F283" s="10">
        <v>45747</v>
      </c>
      <c r="G283" s="9">
        <v>3786571</v>
      </c>
      <c r="H283" s="9" t="str">
        <f t="shared" si="28"/>
        <v>Closed</v>
      </c>
      <c r="I283" s="9" t="str">
        <f t="shared" si="29"/>
        <v>All dates received</v>
      </c>
      <c r="J283" s="9" t="s">
        <v>120</v>
      </c>
      <c r="K283" s="9">
        <v>5208</v>
      </c>
      <c r="L283" s="11">
        <v>200</v>
      </c>
      <c r="M283" s="9" t="s">
        <v>795</v>
      </c>
      <c r="N283" s="9" t="s">
        <v>227</v>
      </c>
      <c r="O283" s="9"/>
      <c r="P283" s="9"/>
      <c r="Q283" s="11">
        <v>25</v>
      </c>
      <c r="R283" s="9" t="s">
        <v>90</v>
      </c>
      <c r="S283" s="9" t="s">
        <v>123</v>
      </c>
      <c r="T283" s="12">
        <f>IF($H283="Cancelled","",IFERROR(((Q283+INDEX(Variables!$B$6:$D$6,IFERROR(MATCH(IF($B283="Robusta","Robusta",(IF($B283="","Arabica",$B283))&amp;" - "&amp;(IF($C283="","Commercial",$C283))),Variables!$B$1:$D$1,0),1)))*22.0462)*(L283/16.67),""))</f>
        <v>83529.573605278929</v>
      </c>
      <c r="U283" s="10">
        <v>45691</v>
      </c>
      <c r="V283" s="9" t="str">
        <f t="shared" ref="V283:V314" si="31">IF(ISNUMBER(U283),"Sent","")</f>
        <v>Sent</v>
      </c>
      <c r="W283" s="10">
        <v>45705</v>
      </c>
      <c r="X283" s="9" t="str">
        <f t="shared" si="25"/>
        <v>Approved</v>
      </c>
      <c r="Y283" s="10"/>
      <c r="Z283" s="10">
        <f>IF($H283="Cancelled","",IFERROR(IF(F283="","",F283-Variables!$B$13),""))</f>
        <v>45732</v>
      </c>
      <c r="AA283" s="11">
        <f>IF($H283="Cancelled","",IFERROR(IF(W283="","",(AVERAGE(E283:F283)-W283)-Variables!$B$14),""))</f>
        <v>-3</v>
      </c>
      <c r="AB283" s="10">
        <v>45734</v>
      </c>
      <c r="AC283" s="11">
        <f>IF($H283="Cancelled","",IFERROR(IF(AB283="","",IF(AND(W283="",Y283=""),"",IF(Y283&gt;W283,Y283+Variables!$B$15+Variables!$B$16+Variables!$B$17-AB283,W283+Variables!$B$16+Variables!$B$17-AB283))),""))</f>
        <v>-21</v>
      </c>
      <c r="AD283" s="9" t="s">
        <v>92</v>
      </c>
      <c r="AE283" s="9" t="s">
        <v>699</v>
      </c>
      <c r="AF283" s="10"/>
      <c r="AG283" s="10"/>
      <c r="AH283" s="9"/>
      <c r="AI283" s="9" t="s">
        <v>796</v>
      </c>
      <c r="AJ283" s="9" t="s">
        <v>797</v>
      </c>
      <c r="AK283" s="10">
        <v>45758</v>
      </c>
      <c r="AL283" s="10">
        <v>45764</v>
      </c>
      <c r="AM283" s="10">
        <v>45772</v>
      </c>
      <c r="AN283" s="9" t="s">
        <v>95</v>
      </c>
      <c r="AO283" s="9"/>
      <c r="AP283" s="11">
        <f>IF($H283="Cancelled","",IFERROR(IF(OR(AK283="",AB283=""),"",(AB283+Variables!$B$18-AK283)),""))</f>
        <v>-17</v>
      </c>
      <c r="AQ283" s="11">
        <f>IF($H283="Cancelled","",IFERROR(IF(OR(AM283="",AK283=""),"",(AK283+Variables!$B$19)-AM283),""))</f>
        <v>-9</v>
      </c>
      <c r="AR283" s="12">
        <f>IF($H283="Cancelled","",IFERROR(T283*INDEX(Variables!$B$7:$D$7,IFERROR(MATCH(IF($B283="Robusta","Robusta",(IF($B283="","Arabica",$B283))&amp;" - "&amp;(IF($C283="","Commercial",$C283))),Variables!$B$1:$D$1,0),1))*(AQ283/365),""))</f>
        <v>-132.80968778129548</v>
      </c>
      <c r="AS283" s="12">
        <f>IF($H283="Cancelled","",IFERROR((T283*INDEX(Variables!$B$7:$D$7,IFERROR(MATCH(IF($B283="Robusta","Robusta",(IF($B283="","Arabica",$B283))&amp;" - "&amp;(IF($C283="","Commercial",$C283))),Variables!$B$1:$D$1,0),1))*IFERROR(IF(W283="","",(AVERAGE(E283:F283)-W283)-Variables!$B$14),"")/365)+(L283/16.67*INDEX(Variables!$B$8:$D$8,IFERROR(MATCH(IF($B283="Robusta","Robusta",(IF($B283="","Arabica",$B283))&amp;" - "&amp;(IF($C283="","Commercial",$C283))),Variables!$B$1:$D$1,0),1))*IFERROR(IF(W283="","",(AVERAGE(E283:F283)-W283)-Variables!$B$14),""))+(T283*INDEX(Variables!$B$9:$D$9,IFERROR(MATCH(IF($B283="Robusta","Robusta",(IF($B283="","Arabica",$B283))&amp;" - "&amp;(IF($C283="","Commercial",$C283))),Variables!$B$1:$D$1,0),1))*IFERROR(IF(W283="","",(AVERAGE(E283:F283)-W283)-Variables!$B$14),"")/365),""))</f>
        <v>-74.840620320562081</v>
      </c>
      <c r="AT283" s="12">
        <f>IF($H283="Cancelled","",IFERROR((T283*INDEX(Variables!$B$7:$D$7,IFERROR(MATCH(IF($B283="Robusta","Robusta",(IF($B283="","Arabica",$B283))&amp;" - "&amp;(IF($C283="","Commercial",$C283))),Variables!$B$1:$D$1,0),1))*AC283/365)+(L283/16.67*INDEX(Variables!$B$8:$D$8,IFERROR(MATCH(IF($B283="Robusta","Robusta",(IF($B283="","Arabica",$B283))&amp;" - "&amp;(IF($C283="","Commercial",$C283))),Variables!$B$1:$D$1,0),1))*AC283)+(T283*INDEX(Variables!$B$9:$D$9,IFERROR(MATCH(IF($B283="Robusta","Robusta",(IF($B283="","Arabica",$B283))&amp;" - "&amp;(IF($C283="","Commercial",$C283))),Variables!$B$1:$D$1,0),1))*AC283/365),""))</f>
        <v>-523.8843422439345</v>
      </c>
      <c r="AU283" s="12">
        <f>IF($H283="Cancelled","",IFERROR((T283*INDEX(Variables!$B$7:$D$7,IFERROR(MATCH(IF($B283="Robusta","Robusta",(IF($B283="","Arabica",$B283))&amp;" - "&amp;(IF($C283="","Commercial",$C283))),Variables!$B$1:$D$1,0),1))*AP283/365)+(L283/16.67*INDEX(Variables!$B$8:$D$8,IFERROR(MATCH(IF($B283="Robusta","Robusta",(IF($B283="","Arabica",$B283))&amp;" - "&amp;(IF($C283="","Commercial",$C283))),Variables!$B$1:$D$1,0),1))*AP283)+(T283*INDEX(Variables!$B$9:$D$9,IFERROR(MATCH(IF($B283="Robusta","Robusta",(IF($B283="","Arabica",$B283))&amp;" - "&amp;(IF($C283="","Commercial",$C283))),Variables!$B$1:$D$1,0),1))*AP283/365),""))</f>
        <v>-424.09684848318511</v>
      </c>
      <c r="AV283" s="11">
        <f t="shared" si="30"/>
        <v>-11</v>
      </c>
      <c r="AW283" s="12">
        <f>IF($H283="Cancelled","",IFERROR(IF(AV283="","",(T283*INDEX(Variables!$B$7:$D$7,IFERROR(MATCH(IF($B283="Robusta","Robusta",(IF($B283="","Arabica",$B283))&amp;" - "&amp;(IF($C283="","Commercial",$C283))),Variables!$B$1:$D$1,0),1))*(AV283/365))+(T283*INDEX(Variables!$B$9:$D$9,IFERROR(MATCH(IF($B283="Robusta","Robusta",(IF($B283="","Arabica",$B283))&amp;" - "&amp;(IF($C283="","Commercial",$C283))),Variables!$B$1:$D$1,0),1))*(AV283/365))+(INDEX(Variables!$B$8:$D$8,IFERROR(MATCH(IF($B283="Robusta","Robusta",(IF($B283="","Arabica",$B283))&amp;" - "&amp;(IF($C283="","Commercial",$C283))),Variables!$B$1:$D$1,0),1))*L283/16.67)),""))</f>
        <v>-154.41560784206092</v>
      </c>
      <c r="AX283" s="9"/>
      <c r="AY283" s="12"/>
      <c r="AZ283" s="10"/>
      <c r="BA283" s="9"/>
      <c r="BB283" s="10"/>
      <c r="BC283" s="9"/>
      <c r="BD283" s="9"/>
      <c r="BE283" s="9"/>
      <c r="BF283" s="9"/>
    </row>
    <row r="284" spans="1:58" x14ac:dyDescent="0.25">
      <c r="A284" s="9" t="s">
        <v>84</v>
      </c>
      <c r="B284" s="9" t="s">
        <v>85</v>
      </c>
      <c r="C284" s="9" t="s">
        <v>86</v>
      </c>
      <c r="D284" s="10">
        <v>45645</v>
      </c>
      <c r="E284" s="10">
        <v>45839</v>
      </c>
      <c r="F284" s="10">
        <v>45869</v>
      </c>
      <c r="G284" s="9">
        <v>3786572</v>
      </c>
      <c r="H284" s="9" t="str">
        <f t="shared" si="28"/>
        <v>Closed</v>
      </c>
      <c r="I284" s="9" t="str">
        <f t="shared" si="29"/>
        <v>All dates received</v>
      </c>
      <c r="J284" s="9" t="s">
        <v>120</v>
      </c>
      <c r="K284" s="9">
        <v>5302</v>
      </c>
      <c r="L284" s="11">
        <v>200</v>
      </c>
      <c r="M284" s="9" t="s">
        <v>795</v>
      </c>
      <c r="N284" s="9" t="s">
        <v>227</v>
      </c>
      <c r="O284" s="9"/>
      <c r="P284" s="9"/>
      <c r="Q284" s="11">
        <v>25</v>
      </c>
      <c r="R284" s="9" t="s">
        <v>90</v>
      </c>
      <c r="S284" s="9" t="s">
        <v>123</v>
      </c>
      <c r="T284" s="12">
        <f>IF($H284="Cancelled","",IFERROR(((Q284+INDEX(Variables!$B$6:$D$6,IFERROR(MATCH(IF($B284="Robusta","Robusta",(IF($B284="","Arabica",$B284))&amp;" - "&amp;(IF($C284="","Commercial",$C284))),Variables!$B$1:$D$1,0),1)))*22.0462)*(L284/16.67),""))</f>
        <v>83529.573605278929</v>
      </c>
      <c r="U284" s="10">
        <v>45793</v>
      </c>
      <c r="V284" s="9" t="str">
        <f t="shared" si="31"/>
        <v>Sent</v>
      </c>
      <c r="W284" s="10">
        <v>45812</v>
      </c>
      <c r="X284" s="9" t="str">
        <f t="shared" si="25"/>
        <v>Approved</v>
      </c>
      <c r="Y284" s="10"/>
      <c r="Z284" s="10">
        <f>IF($H284="Cancelled","",IFERROR(IF(F284="","",F284-Variables!$B$13),""))</f>
        <v>45854</v>
      </c>
      <c r="AA284" s="11">
        <f>IF($H284="Cancelled","",IFERROR(IF(W284="","",(AVERAGE(E284:F284)-W284)-Variables!$B$14),""))</f>
        <v>12</v>
      </c>
      <c r="AB284" s="10">
        <v>45862</v>
      </c>
      <c r="AC284" s="11">
        <f>IF($H284="Cancelled","",IFERROR(IF(AB284="","",IF(AND(W284="",Y284=""),"",IF(Y284&gt;W284,Y284+Variables!$B$15+Variables!$B$16+Variables!$B$17-AB284,W284+Variables!$B$16+Variables!$B$17-AB284))),""))</f>
        <v>-42</v>
      </c>
      <c r="AD284" s="9" t="s">
        <v>92</v>
      </c>
      <c r="AE284" s="9" t="s">
        <v>798</v>
      </c>
      <c r="AF284" s="10"/>
      <c r="AG284" s="10"/>
      <c r="AH284" s="9"/>
      <c r="AI284" s="9" t="s">
        <v>799</v>
      </c>
      <c r="AJ284" s="9" t="s">
        <v>800</v>
      </c>
      <c r="AK284" s="10">
        <v>45878</v>
      </c>
      <c r="AL284" s="10">
        <v>45881</v>
      </c>
      <c r="AM284" s="10">
        <v>45883</v>
      </c>
      <c r="AN284" s="9" t="s">
        <v>95</v>
      </c>
      <c r="AO284" s="9"/>
      <c r="AP284" s="11">
        <f>IF($H284="Cancelled","",IFERROR(IF(OR(AK284="",AB284=""),"",(AB284+Variables!$B$18-AK284)),""))</f>
        <v>-9</v>
      </c>
      <c r="AQ284" s="11">
        <f>IF($H284="Cancelled","",IFERROR(IF(OR(AM284="",AK284=""),"",(AK284+Variables!$B$19)-AM284),""))</f>
        <v>0</v>
      </c>
      <c r="AR284" s="12">
        <f>IF($H284="Cancelled","",IFERROR(T284*INDEX(Variables!$B$7:$D$7,IFERROR(MATCH(IF($B284="Robusta","Robusta",(IF($B284="","Arabica",$B284))&amp;" - "&amp;(IF($C284="","Commercial",$C284))),Variables!$B$1:$D$1,0),1))*(AQ284/365),""))</f>
        <v>0</v>
      </c>
      <c r="AS284" s="12">
        <f>IF($H284="Cancelled","",IFERROR((T284*INDEX(Variables!$B$7:$D$7,IFERROR(MATCH(IF($B284="Robusta","Robusta",(IF($B284="","Arabica",$B284))&amp;" - "&amp;(IF($C284="","Commercial",$C284))),Variables!$B$1:$D$1,0),1))*IFERROR(IF(W284="","",(AVERAGE(E284:F284)-W284)-Variables!$B$14),"")/365)+(L284/16.67*INDEX(Variables!$B$8:$D$8,IFERROR(MATCH(IF($B284="Robusta","Robusta",(IF($B284="","Arabica",$B284))&amp;" - "&amp;(IF($C284="","Commercial",$C284))),Variables!$B$1:$D$1,0),1))*IFERROR(IF(W284="","",(AVERAGE(E284:F284)-W284)-Variables!$B$14),""))+(T284*INDEX(Variables!$B$9:$D$9,IFERROR(MATCH(IF($B284="Robusta","Robusta",(IF($B284="","Arabica",$B284))&amp;" - "&amp;(IF($C284="","Commercial",$C284))),Variables!$B$1:$D$1,0),1))*IFERROR(IF(W284="","",(AVERAGE(E284:F284)-W284)-Variables!$B$14),"")/365),""))</f>
        <v>299.36248128224832</v>
      </c>
      <c r="AT284" s="12">
        <f>IF($H284="Cancelled","",IFERROR((T284*INDEX(Variables!$B$7:$D$7,IFERROR(MATCH(IF($B284="Robusta","Robusta",(IF($B284="","Arabica",$B284))&amp;" - "&amp;(IF($C284="","Commercial",$C284))),Variables!$B$1:$D$1,0),1))*AC284/365)+(L284/16.67*INDEX(Variables!$B$8:$D$8,IFERROR(MATCH(IF($B284="Robusta","Robusta",(IF($B284="","Arabica",$B284))&amp;" - "&amp;(IF($C284="","Commercial",$C284))),Variables!$B$1:$D$1,0),1))*AC284)+(T284*INDEX(Variables!$B$9:$D$9,IFERROR(MATCH(IF($B284="Robusta","Robusta",(IF($B284="","Arabica",$B284))&amp;" - "&amp;(IF($C284="","Commercial",$C284))),Variables!$B$1:$D$1,0),1))*AC284/365),""))</f>
        <v>-1047.768684487869</v>
      </c>
      <c r="AU284" s="12">
        <f>IF($H284="Cancelled","",IFERROR((T284*INDEX(Variables!$B$7:$D$7,IFERROR(MATCH(IF($B284="Robusta","Robusta",(IF($B284="","Arabica",$B284))&amp;" - "&amp;(IF($C284="","Commercial",$C284))),Variables!$B$1:$D$1,0),1))*AP284/365)+(L284/16.67*INDEX(Variables!$B$8:$D$8,IFERROR(MATCH(IF($B284="Robusta","Robusta",(IF($B284="","Arabica",$B284))&amp;" - "&amp;(IF($C284="","Commercial",$C284))),Variables!$B$1:$D$1,0),1))*AP284)+(T284*INDEX(Variables!$B$9:$D$9,IFERROR(MATCH(IF($B284="Robusta","Robusta",(IF($B284="","Arabica",$B284))&amp;" - "&amp;(IF($C284="","Commercial",$C284))),Variables!$B$1:$D$1,0),1))*AP284/365),""))</f>
        <v>-224.5218609616862</v>
      </c>
      <c r="AV284" s="11">
        <f t="shared" si="30"/>
        <v>-9</v>
      </c>
      <c r="AW284" s="12">
        <f>IF($H284="Cancelled","",IFERROR(IF(AV284="","",(T284*INDEX(Variables!$B$7:$D$7,IFERROR(MATCH(IF($B284="Robusta","Robusta",(IF($B284="","Arabica",$B284))&amp;" - "&amp;(IF($C284="","Commercial",$C284))),Variables!$B$1:$D$1,0),1))*(AV284/365))+(T284*INDEX(Variables!$B$9:$D$9,IFERROR(MATCH(IF($B284="Robusta","Robusta",(IF($B284="","Arabica",$B284))&amp;" - "&amp;(IF($C284="","Commercial",$C284))),Variables!$B$1:$D$1,0),1))*(AV284/365))+(INDEX(Variables!$B$8:$D$8,IFERROR(MATCH(IF($B284="Robusta","Robusta",(IF($B284="","Arabica",$B284))&amp;" - "&amp;(IF($C284="","Commercial",$C284))),Variables!$B$1:$D$1,0),1))*L284/16.67)),""))</f>
        <v>-124.5218609616862</v>
      </c>
      <c r="AX284" s="9"/>
      <c r="AY284" s="12"/>
      <c r="AZ284" s="10"/>
      <c r="BA284" s="9"/>
      <c r="BB284" s="10"/>
      <c r="BC284" s="9"/>
      <c r="BD284" s="9"/>
      <c r="BE284" s="9"/>
      <c r="BF284" s="9"/>
    </row>
    <row r="285" spans="1:58" x14ac:dyDescent="0.25">
      <c r="A285" s="9" t="s">
        <v>84</v>
      </c>
      <c r="B285" s="9" t="s">
        <v>85</v>
      </c>
      <c r="C285" s="9" t="s">
        <v>86</v>
      </c>
      <c r="D285" s="10">
        <v>45646</v>
      </c>
      <c r="E285" s="10">
        <v>45717</v>
      </c>
      <c r="F285" s="10">
        <v>45747</v>
      </c>
      <c r="G285" s="9">
        <v>3786573</v>
      </c>
      <c r="H285" s="9" t="str">
        <f t="shared" si="28"/>
        <v>Closed</v>
      </c>
      <c r="I285" s="9" t="str">
        <f t="shared" si="29"/>
        <v>All dates received</v>
      </c>
      <c r="J285" s="9" t="s">
        <v>102</v>
      </c>
      <c r="K285" s="9">
        <v>5196</v>
      </c>
      <c r="L285" s="11">
        <v>1800</v>
      </c>
      <c r="M285" s="9" t="s">
        <v>801</v>
      </c>
      <c r="N285" s="9" t="s">
        <v>161</v>
      </c>
      <c r="O285" s="9"/>
      <c r="P285" s="9"/>
      <c r="Q285" s="11">
        <v>-26</v>
      </c>
      <c r="R285" s="9" t="s">
        <v>90</v>
      </c>
      <c r="S285" s="9" t="s">
        <v>656</v>
      </c>
      <c r="T285" s="12">
        <f>IF($H285="Cancelled","",IFERROR(((Q285+INDEX(Variables!$B$6:$D$6,IFERROR(MATCH(IF($B285="Robusta","Robusta",(IF($B285="","Arabica",$B285))&amp;" - "&amp;(IF($C285="","Commercial",$C285))),Variables!$B$1:$D$1,0),1)))*22.0462)*(L285/16.67),""))</f>
        <v>630359.97408518288</v>
      </c>
      <c r="U285" s="10">
        <v>45692</v>
      </c>
      <c r="V285" s="9" t="str">
        <f t="shared" si="31"/>
        <v>Sent</v>
      </c>
      <c r="W285" s="10">
        <v>45701</v>
      </c>
      <c r="X285" s="9" t="str">
        <f t="shared" si="25"/>
        <v>Approved</v>
      </c>
      <c r="Y285" s="10"/>
      <c r="Z285" s="10">
        <f>IF($H285="Cancelled","",IFERROR(IF(F285="","",F285-Variables!$B$13),""))</f>
        <v>45732</v>
      </c>
      <c r="AA285" s="11">
        <f>IF($H285="Cancelled","",IFERROR(IF(W285="","",(AVERAGE(E285:F285)-W285)-Variables!$B$14),""))</f>
        <v>1</v>
      </c>
      <c r="AB285" s="10">
        <v>45715</v>
      </c>
      <c r="AC285" s="11">
        <f>IF($H285="Cancelled","",IFERROR(IF(AB285="","",IF(AND(W285="",Y285=""),"",IF(Y285&gt;W285,Y285+Variables!$B$15+Variables!$B$16+Variables!$B$17-AB285,W285+Variables!$B$16+Variables!$B$17-AB285))),""))</f>
        <v>-6</v>
      </c>
      <c r="AD285" s="9" t="s">
        <v>165</v>
      </c>
      <c r="AE285" s="9" t="s">
        <v>662</v>
      </c>
      <c r="AF285" s="10">
        <v>45725</v>
      </c>
      <c r="AG285" s="10"/>
      <c r="AH285" s="9"/>
      <c r="AI285" s="9" t="s">
        <v>802</v>
      </c>
      <c r="AJ285" s="9" t="s">
        <v>8</v>
      </c>
      <c r="AK285" s="10">
        <v>45732</v>
      </c>
      <c r="AL285" s="10">
        <v>45735</v>
      </c>
      <c r="AM285" s="10">
        <v>45735</v>
      </c>
      <c r="AN285" s="9" t="s">
        <v>95</v>
      </c>
      <c r="AO285" s="9"/>
      <c r="AP285" s="11">
        <f>IF($H285="Cancelled","",IFERROR(IF(OR(AK285="",AB285=""),"",(AB285+Variables!$B$18-AK285)),""))</f>
        <v>-10</v>
      </c>
      <c r="AQ285" s="11">
        <f>IF($H285="Cancelled","",IFERROR(IF(OR(AM285="",AK285=""),"",(AK285+Variables!$B$19)-AM285),""))</f>
        <v>2</v>
      </c>
      <c r="AR285" s="12">
        <f>IF($H285="Cancelled","",IFERROR(T285*INDEX(Variables!$B$7:$D$7,IFERROR(MATCH(IF($B285="Robusta","Robusta",(IF($B285="","Arabica",$B285))&amp;" - "&amp;(IF($C285="","Commercial",$C285))),Variables!$B$1:$D$1,0),1))*(AQ285/365),""))</f>
        <v>222.72327627920868</v>
      </c>
      <c r="AS285" s="12">
        <f>IF($H285="Cancelled","",IFERROR((T285*INDEX(Variables!$B$7:$D$7,IFERROR(MATCH(IF($B285="Robusta","Robusta",(IF($B285="","Arabica",$B285))&amp;" - "&amp;(IF($C285="","Commercial",$C285))),Variables!$B$1:$D$1,0),1))*IFERROR(IF(W285="","",(AVERAGE(E285:F285)-W285)-Variables!$B$14),"")/365)+(L285/16.67*INDEX(Variables!$B$8:$D$8,IFERROR(MATCH(IF($B285="Robusta","Robusta",(IF($B285="","Arabica",$B285))&amp;" - "&amp;(IF($C285="","Commercial",$C285))),Variables!$B$1:$D$1,0),1))*IFERROR(IF(W285="","",(AVERAGE(E285:F285)-W285)-Variables!$B$14),""))+(T285*INDEX(Variables!$B$9:$D$9,IFERROR(MATCH(IF($B285="Robusta","Robusta",(IF($B285="","Arabica",$B285))&amp;" - "&amp;(IF($C285="","Commercial",$C285))),Variables!$B$1:$D$1,0),1))*IFERROR(IF(W285="","",(AVERAGE(E285:F285)-W285)-Variables!$B$14),"")/365),""))</f>
        <v>202.79730456825368</v>
      </c>
      <c r="AT285" s="12">
        <f>IF($H285="Cancelled","",IFERROR((T285*INDEX(Variables!$B$7:$D$7,IFERROR(MATCH(IF($B285="Robusta","Robusta",(IF($B285="","Arabica",$B285))&amp;" - "&amp;(IF($C285="","Commercial",$C285))),Variables!$B$1:$D$1,0),1))*AC285/365)+(L285/16.67*INDEX(Variables!$B$8:$D$8,IFERROR(MATCH(IF($B285="Robusta","Robusta",(IF($B285="","Arabica",$B285))&amp;" - "&amp;(IF($C285="","Commercial",$C285))),Variables!$B$1:$D$1,0),1))*AC285)+(T285*INDEX(Variables!$B$9:$D$9,IFERROR(MATCH(IF($B285="Robusta","Robusta",(IF($B285="","Arabica",$B285))&amp;" - "&amp;(IF($C285="","Commercial",$C285))),Variables!$B$1:$D$1,0),1))*AC285/365),""))</f>
        <v>-1216.783827409522</v>
      </c>
      <c r="AU285" s="12">
        <f>IF($H285="Cancelled","",IFERROR((T285*INDEX(Variables!$B$7:$D$7,IFERROR(MATCH(IF($B285="Robusta","Robusta",(IF($B285="","Arabica",$B285))&amp;" - "&amp;(IF($C285="","Commercial",$C285))),Variables!$B$1:$D$1,0),1))*AP285/365)+(L285/16.67*INDEX(Variables!$B$8:$D$8,IFERROR(MATCH(IF($B285="Robusta","Robusta",(IF($B285="","Arabica",$B285))&amp;" - "&amp;(IF($C285="","Commercial",$C285))),Variables!$B$1:$D$1,0),1))*AP285)+(T285*INDEX(Variables!$B$9:$D$9,IFERROR(MATCH(IF($B285="Robusta","Robusta",(IF($B285="","Arabica",$B285))&amp;" - "&amp;(IF($C285="","Commercial",$C285))),Variables!$B$1:$D$1,0),1))*AP285/365),""))</f>
        <v>-2027.9730456825368</v>
      </c>
      <c r="AV285" s="11">
        <f t="shared" si="30"/>
        <v>15</v>
      </c>
      <c r="AW285" s="12">
        <f>IF($H285="Cancelled","",IFERROR(IF(AV285="","",(T285*INDEX(Variables!$B$7:$D$7,IFERROR(MATCH(IF($B285="Robusta","Robusta",(IF($B285="","Arabica",$B285))&amp;" - "&amp;(IF($C285="","Commercial",$C285))),Variables!$B$1:$D$1,0),1))*(AV285/365))+(T285*INDEX(Variables!$B$9:$D$9,IFERROR(MATCH(IF($B285="Robusta","Robusta",(IF($B285="","Arabica",$B285))&amp;" - "&amp;(IF($C285="","Commercial",$C285))),Variables!$B$1:$D$1,0),1))*(AV285/365))+(INDEX(Variables!$B$8:$D$8,IFERROR(MATCH(IF($B285="Robusta","Robusta",(IF($B285="","Arabica",$B285))&amp;" - "&amp;(IF($C285="","Commercial",$C285))),Variables!$B$1:$D$1,0),1))*L285/16.67)),""))</f>
        <v>1781.959568523805</v>
      </c>
      <c r="AX285" s="9"/>
      <c r="AY285" s="12"/>
      <c r="AZ285" s="10"/>
      <c r="BA285" s="9"/>
      <c r="BB285" s="10"/>
      <c r="BC285" s="9"/>
      <c r="BD285" s="9"/>
      <c r="BE285" s="9"/>
      <c r="BF285" s="9"/>
    </row>
    <row r="286" spans="1:58" x14ac:dyDescent="0.25">
      <c r="A286" s="9" t="s">
        <v>84</v>
      </c>
      <c r="B286" s="9" t="s">
        <v>85</v>
      </c>
      <c r="C286" s="9" t="s">
        <v>86</v>
      </c>
      <c r="D286" s="10">
        <v>45646</v>
      </c>
      <c r="E286" s="10">
        <v>45717</v>
      </c>
      <c r="F286" s="10">
        <v>45747</v>
      </c>
      <c r="G286" s="9">
        <v>3786575</v>
      </c>
      <c r="H286" s="9" t="str">
        <f t="shared" si="28"/>
        <v>Closed</v>
      </c>
      <c r="I286" s="9" t="str">
        <f t="shared" si="29"/>
        <v>All dates received</v>
      </c>
      <c r="J286" s="9" t="s">
        <v>102</v>
      </c>
      <c r="K286" s="9" t="s">
        <v>803</v>
      </c>
      <c r="L286" s="11">
        <v>1080</v>
      </c>
      <c r="M286" s="9" t="s">
        <v>804</v>
      </c>
      <c r="N286" s="9" t="s">
        <v>122</v>
      </c>
      <c r="O286" s="9"/>
      <c r="P286" s="9"/>
      <c r="Q286" s="11">
        <v>-3.5</v>
      </c>
      <c r="R286" s="9" t="s">
        <v>90</v>
      </c>
      <c r="S286" s="9" t="s">
        <v>293</v>
      </c>
      <c r="T286" s="12">
        <f>IF($H286="Cancelled","",IFERROR(((Q286+INDEX(Variables!$B$6:$D$6,IFERROR(MATCH(IF($B286="Robusta","Robusta",(IF($B286="","Arabica",$B286))&amp;" - "&amp;(IF($C286="","Commercial",$C286))),Variables!$B$1:$D$1,0),1)))*22.0462)*(L286/16.67),""))</f>
        <v>410352.91666466702</v>
      </c>
      <c r="U286" s="10">
        <v>45677</v>
      </c>
      <c r="V286" s="9" t="str">
        <f t="shared" si="31"/>
        <v>Sent</v>
      </c>
      <c r="W286" s="10">
        <v>45705</v>
      </c>
      <c r="X286" s="9" t="str">
        <f t="shared" si="25"/>
        <v>Approved</v>
      </c>
      <c r="Y286" s="10"/>
      <c r="Z286" s="10">
        <f>IF($H286="Cancelled","",IFERROR(IF(F286="","",F286-Variables!$B$13),""))</f>
        <v>45732</v>
      </c>
      <c r="AA286" s="11">
        <f>IF($H286="Cancelled","",IFERROR(IF(W286="","",(AVERAGE(E286:F286)-W286)-Variables!$B$14),""))</f>
        <v>-3</v>
      </c>
      <c r="AB286" s="10">
        <v>45726</v>
      </c>
      <c r="AC286" s="11">
        <f>IF($H286="Cancelled","",IFERROR(IF(AB286="","",IF(AND(W286="",Y286=""),"",IF(Y286&gt;W286,Y286+Variables!$B$15+Variables!$B$16+Variables!$B$17-AB286,W286+Variables!$B$16+Variables!$B$17-AB286))),""))</f>
        <v>-13</v>
      </c>
      <c r="AD286" s="9" t="s">
        <v>163</v>
      </c>
      <c r="AE286" s="9" t="s">
        <v>598</v>
      </c>
      <c r="AF286" s="10">
        <v>45733</v>
      </c>
      <c r="AG286" s="10"/>
      <c r="AH286" s="9"/>
      <c r="AI286" s="9">
        <v>250193082</v>
      </c>
      <c r="AJ286" s="9" t="s">
        <v>8</v>
      </c>
      <c r="AK286" s="10">
        <v>45738</v>
      </c>
      <c r="AL286" s="10">
        <v>45744</v>
      </c>
      <c r="AM286" s="10">
        <v>45750</v>
      </c>
      <c r="AN286" s="9" t="s">
        <v>95</v>
      </c>
      <c r="AO286" s="9"/>
      <c r="AP286" s="11">
        <f>IF($H286="Cancelled","",IFERROR(IF(OR(AK286="",AB286=""),"",(AB286+Variables!$B$18-AK286)),""))</f>
        <v>-5</v>
      </c>
      <c r="AQ286" s="11">
        <f>IF($H286="Cancelled","",IFERROR(IF(OR(AM286="",AK286=""),"",(AK286+Variables!$B$19)-AM286),""))</f>
        <v>-7</v>
      </c>
      <c r="AR286" s="12">
        <f>IF($H286="Cancelled","",IFERROR(T286*INDEX(Variables!$B$7:$D$7,IFERROR(MATCH(IF($B286="Robusta","Robusta",(IF($B286="","Arabica",$B286))&amp;" - "&amp;(IF($C286="","Commercial",$C286))),Variables!$B$1:$D$1,0),1))*(AQ286/365),""))</f>
        <v>-507.46085452241306</v>
      </c>
      <c r="AS286" s="12">
        <f>IF($H286="Cancelled","",IFERROR((T286*INDEX(Variables!$B$7:$D$7,IFERROR(MATCH(IF($B286="Robusta","Robusta",(IF($B286="","Arabica",$B286))&amp;" - "&amp;(IF($C286="","Commercial",$C286))),Variables!$B$1:$D$1,0),1))*IFERROR(IF(W286="","",(AVERAGE(E286:F286)-W286)-Variables!$B$14),"")/365)+(L286/16.67*INDEX(Variables!$B$8:$D$8,IFERROR(MATCH(IF($B286="Robusta","Robusta",(IF($B286="","Arabica",$B286))&amp;" - "&amp;(IF($C286="","Commercial",$C286))),Variables!$B$1:$D$1,0),1))*IFERROR(IF(W286="","",(AVERAGE(E286:F286)-W286)-Variables!$B$14),""))+(T286*INDEX(Variables!$B$9:$D$9,IFERROR(MATCH(IF($B286="Robusta","Robusta",(IF($B286="","Arabica",$B286))&amp;" - "&amp;(IF($C286="","Commercial",$C286))),Variables!$B$1:$D$1,0),1))*IFERROR(IF(W286="","",(AVERAGE(E286:F286)-W286)-Variables!$B$14),"")/365),""))</f>
        <v>-382.28700182940605</v>
      </c>
      <c r="AT286" s="12">
        <f>IF($H286="Cancelled","",IFERROR((T286*INDEX(Variables!$B$7:$D$7,IFERROR(MATCH(IF($B286="Robusta","Robusta",(IF($B286="","Arabica",$B286))&amp;" - "&amp;(IF($C286="","Commercial",$C286))),Variables!$B$1:$D$1,0),1))*AC286/365)+(L286/16.67*INDEX(Variables!$B$8:$D$8,IFERROR(MATCH(IF($B286="Robusta","Robusta",(IF($B286="","Arabica",$B286))&amp;" - "&amp;(IF($C286="","Commercial",$C286))),Variables!$B$1:$D$1,0),1))*AC286)+(T286*INDEX(Variables!$B$9:$D$9,IFERROR(MATCH(IF($B286="Robusta","Robusta",(IF($B286="","Arabica",$B286))&amp;" - "&amp;(IF($C286="","Commercial",$C286))),Variables!$B$1:$D$1,0),1))*AC286/365),""))</f>
        <v>-1656.5770079274259</v>
      </c>
      <c r="AU286" s="12">
        <f>IF($H286="Cancelled","",IFERROR((T286*INDEX(Variables!$B$7:$D$7,IFERROR(MATCH(IF($B286="Robusta","Robusta",(IF($B286="","Arabica",$B286))&amp;" - "&amp;(IF($C286="","Commercial",$C286))),Variables!$B$1:$D$1,0),1))*AP286/365)+(L286/16.67*INDEX(Variables!$B$8:$D$8,IFERROR(MATCH(IF($B286="Robusta","Robusta",(IF($B286="","Arabica",$B286))&amp;" - "&amp;(IF($C286="","Commercial",$C286))),Variables!$B$1:$D$1,0),1))*AP286)+(T286*INDEX(Variables!$B$9:$D$9,IFERROR(MATCH(IF($B286="Robusta","Robusta",(IF($B286="","Arabica",$B286))&amp;" - "&amp;(IF($C286="","Commercial",$C286))),Variables!$B$1:$D$1,0),1))*AP286/365),""))</f>
        <v>-637.14500304901003</v>
      </c>
      <c r="AV286" s="11">
        <f t="shared" si="30"/>
        <v>9</v>
      </c>
      <c r="AW286" s="12">
        <f>IF($H286="Cancelled","",IFERROR(IF(AV286="","",(T286*INDEX(Variables!$B$7:$D$7,IFERROR(MATCH(IF($B286="Robusta","Robusta",(IF($B286="","Arabica",$B286))&amp;" - "&amp;(IF($C286="","Commercial",$C286))),Variables!$B$1:$D$1,0),1))*(AV286/365))+(T286*INDEX(Variables!$B$9:$D$9,IFERROR(MATCH(IF($B286="Robusta","Robusta",(IF($B286="","Arabica",$B286))&amp;" - "&amp;(IF($C286="","Commercial",$C286))),Variables!$B$1:$D$1,0),1))*(AV286/365))+(INDEX(Variables!$B$8:$D$8,IFERROR(MATCH(IF($B286="Robusta","Robusta",(IF($B286="","Arabica",$B286))&amp;" - "&amp;(IF($C286="","Commercial",$C286))),Variables!$B$1:$D$1,0),1))*L286/16.67)),""))</f>
        <v>714.8610054882181</v>
      </c>
      <c r="AX286" s="9"/>
      <c r="AY286" s="12"/>
      <c r="AZ286" s="10"/>
      <c r="BA286" s="9"/>
      <c r="BB286" s="10"/>
      <c r="BC286" s="9"/>
      <c r="BD286" s="9"/>
      <c r="BE286" s="9"/>
      <c r="BF286" s="9"/>
    </row>
    <row r="287" spans="1:58" x14ac:dyDescent="0.25">
      <c r="A287" s="9" t="s">
        <v>84</v>
      </c>
      <c r="B287" s="9" t="s">
        <v>85</v>
      </c>
      <c r="C287" s="9" t="s">
        <v>86</v>
      </c>
      <c r="D287" s="10">
        <v>45646</v>
      </c>
      <c r="E287" s="10">
        <v>45717</v>
      </c>
      <c r="F287" s="10">
        <v>45747</v>
      </c>
      <c r="G287" s="9">
        <v>3786575</v>
      </c>
      <c r="H287" s="9" t="str">
        <f t="shared" si="28"/>
        <v>Closed</v>
      </c>
      <c r="I287" s="9" t="str">
        <f t="shared" si="29"/>
        <v>All dates received</v>
      </c>
      <c r="J287" s="9" t="s">
        <v>102</v>
      </c>
      <c r="K287" s="9" t="s">
        <v>805</v>
      </c>
      <c r="L287" s="11">
        <v>720</v>
      </c>
      <c r="M287" s="9" t="s">
        <v>804</v>
      </c>
      <c r="N287" s="9" t="s">
        <v>122</v>
      </c>
      <c r="O287" s="9"/>
      <c r="P287" s="9"/>
      <c r="Q287" s="11">
        <v>-3.5</v>
      </c>
      <c r="R287" s="9" t="s">
        <v>90</v>
      </c>
      <c r="S287" s="9" t="s">
        <v>215</v>
      </c>
      <c r="T287" s="12">
        <f>IF($H287="Cancelled","",IFERROR(((Q287+INDEX(Variables!$B$6:$D$6,IFERROR(MATCH(IF($B287="Robusta","Robusta",(IF($B287="","Arabica",$B287))&amp;" - "&amp;(IF($C287="","Commercial",$C287))),Variables!$B$1:$D$1,0),1)))*22.0462)*(L287/16.67),""))</f>
        <v>273568.61110977805</v>
      </c>
      <c r="U287" s="10">
        <v>45677</v>
      </c>
      <c r="V287" s="9" t="str">
        <f t="shared" si="31"/>
        <v>Sent</v>
      </c>
      <c r="W287" s="10">
        <v>45705</v>
      </c>
      <c r="X287" s="9" t="str">
        <f t="shared" si="25"/>
        <v>Approved</v>
      </c>
      <c r="Y287" s="10"/>
      <c r="Z287" s="10">
        <f>IF($H287="Cancelled","",IFERROR(IF(F287="","",F287-Variables!$B$13),""))</f>
        <v>45732</v>
      </c>
      <c r="AA287" s="11">
        <f>IF($H287="Cancelled","",IFERROR(IF(W287="","",(AVERAGE(E287:F287)-W287)-Variables!$B$14),""))</f>
        <v>-3</v>
      </c>
      <c r="AB287" s="10">
        <v>45726</v>
      </c>
      <c r="AC287" s="11">
        <f>IF($H287="Cancelled","",IFERROR(IF(AB287="","",IF(AND(W287="",Y287=""),"",IF(Y287&gt;W287,Y287+Variables!$B$15+Variables!$B$16+Variables!$B$17-AB287,W287+Variables!$B$16+Variables!$B$17-AB287))),""))</f>
        <v>-13</v>
      </c>
      <c r="AD287" s="9" t="s">
        <v>163</v>
      </c>
      <c r="AE287" s="9" t="s">
        <v>219</v>
      </c>
      <c r="AF287" s="10">
        <v>45743</v>
      </c>
      <c r="AG287" s="10"/>
      <c r="AH287" s="9"/>
      <c r="AI287" s="9">
        <v>250193124</v>
      </c>
      <c r="AJ287" s="9" t="s">
        <v>8</v>
      </c>
      <c r="AK287" s="10">
        <v>45744</v>
      </c>
      <c r="AL287" s="10">
        <v>45744</v>
      </c>
      <c r="AM287" s="10">
        <v>45750</v>
      </c>
      <c r="AN287" s="9" t="s">
        <v>95</v>
      </c>
      <c r="AO287" s="9"/>
      <c r="AP287" s="11">
        <f>IF($H287="Cancelled","",IFERROR(IF(OR(AK287="",AB287=""),"",(AB287+Variables!$B$18-AK287)),""))</f>
        <v>-11</v>
      </c>
      <c r="AQ287" s="11">
        <f>IF($H287="Cancelled","",IFERROR(IF(OR(AM287="",AK287=""),"",(AK287+Variables!$B$19)-AM287),""))</f>
        <v>-1</v>
      </c>
      <c r="AR287" s="12">
        <f>IF($H287="Cancelled","",IFERROR(T287*INDEX(Variables!$B$7:$D$7,IFERROR(MATCH(IF($B287="Robusta","Robusta",(IF($B287="","Arabica",$B287))&amp;" - "&amp;(IF($C287="","Commercial",$C287))),Variables!$B$1:$D$1,0),1))*(AQ287/365),""))</f>
        <v>-48.329605192610771</v>
      </c>
      <c r="AS287" s="12">
        <f>IF($H287="Cancelled","",IFERROR((T287*INDEX(Variables!$B$7:$D$7,IFERROR(MATCH(IF($B287="Robusta","Robusta",(IF($B287="","Arabica",$B287))&amp;" - "&amp;(IF($C287="","Commercial",$C287))),Variables!$B$1:$D$1,0),1))*IFERROR(IF(W287="","",(AVERAGE(E287:F287)-W287)-Variables!$B$14),"")/365)+(L287/16.67*INDEX(Variables!$B$8:$D$8,IFERROR(MATCH(IF($B287="Robusta","Robusta",(IF($B287="","Arabica",$B287))&amp;" - "&amp;(IF($C287="","Commercial",$C287))),Variables!$B$1:$D$1,0),1))*IFERROR(IF(W287="","",(AVERAGE(E287:F287)-W287)-Variables!$B$14),""))+(T287*INDEX(Variables!$B$9:$D$9,IFERROR(MATCH(IF($B287="Robusta","Robusta",(IF($B287="","Arabica",$B287))&amp;" - "&amp;(IF($C287="","Commercial",$C287))),Variables!$B$1:$D$1,0),1))*IFERROR(IF(W287="","",(AVERAGE(E287:F287)-W287)-Variables!$B$14),"")/365),""))</f>
        <v>-254.85800121960406</v>
      </c>
      <c r="AT287" s="12">
        <f>IF($H287="Cancelled","",IFERROR((T287*INDEX(Variables!$B$7:$D$7,IFERROR(MATCH(IF($B287="Robusta","Robusta",(IF($B287="","Arabica",$B287))&amp;" - "&amp;(IF($C287="","Commercial",$C287))),Variables!$B$1:$D$1,0),1))*AC287/365)+(L287/16.67*INDEX(Variables!$B$8:$D$8,IFERROR(MATCH(IF($B287="Robusta","Robusta",(IF($B287="","Arabica",$B287))&amp;" - "&amp;(IF($C287="","Commercial",$C287))),Variables!$B$1:$D$1,0),1))*AC287)+(T287*INDEX(Variables!$B$9:$D$9,IFERROR(MATCH(IF($B287="Robusta","Robusta",(IF($B287="","Arabica",$B287))&amp;" - "&amp;(IF($C287="","Commercial",$C287))),Variables!$B$1:$D$1,0),1))*AC287/365),""))</f>
        <v>-1104.3846719516175</v>
      </c>
      <c r="AU287" s="12">
        <f>IF($H287="Cancelled","",IFERROR((T287*INDEX(Variables!$B$7:$D$7,IFERROR(MATCH(IF($B287="Robusta","Robusta",(IF($B287="","Arabica",$B287))&amp;" - "&amp;(IF($C287="","Commercial",$C287))),Variables!$B$1:$D$1,0),1))*AP287/365)+(L287/16.67*INDEX(Variables!$B$8:$D$8,IFERROR(MATCH(IF($B287="Robusta","Robusta",(IF($B287="","Arabica",$B287))&amp;" - "&amp;(IF($C287="","Commercial",$C287))),Variables!$B$1:$D$1,0),1))*AP287)+(T287*INDEX(Variables!$B$9:$D$9,IFERROR(MATCH(IF($B287="Robusta","Robusta",(IF($B287="","Arabica",$B287))&amp;" - "&amp;(IF($C287="","Commercial",$C287))),Variables!$B$1:$D$1,0),1))*AP287/365),""))</f>
        <v>-934.47933780521475</v>
      </c>
      <c r="AV287" s="11">
        <f t="shared" si="30"/>
        <v>3</v>
      </c>
      <c r="AW287" s="12">
        <f>IF($H287="Cancelled","",IFERROR(IF(AV287="","",(T287*INDEX(Variables!$B$7:$D$7,IFERROR(MATCH(IF($B287="Robusta","Robusta",(IF($B287="","Arabica",$B287))&amp;" - "&amp;(IF($C287="","Commercial",$C287))),Variables!$B$1:$D$1,0),1))*(AV287/365))+(T287*INDEX(Variables!$B$9:$D$9,IFERROR(MATCH(IF($B287="Robusta","Robusta",(IF($B287="","Arabica",$B287))&amp;" - "&amp;(IF($C287="","Commercial",$C287))),Variables!$B$1:$D$1,0),1))*(AV287/365))+(INDEX(Variables!$B$8:$D$8,IFERROR(MATCH(IF($B287="Robusta","Robusta",(IF($B287="","Arabica",$B287))&amp;" - "&amp;(IF($C287="","Commercial",$C287))),Variables!$B$1:$D$1,0),1))*L287/16.67)),""))</f>
        <v>182.85800121960401</v>
      </c>
      <c r="AX287" s="9"/>
      <c r="AY287" s="12"/>
      <c r="AZ287" s="10"/>
      <c r="BA287" s="9"/>
      <c r="BB287" s="10"/>
      <c r="BC287" s="9"/>
      <c r="BD287" s="9"/>
      <c r="BE287" s="9"/>
      <c r="BF287" s="9"/>
    </row>
    <row r="288" spans="1:58" x14ac:dyDescent="0.25">
      <c r="A288" s="9" t="s">
        <v>84</v>
      </c>
      <c r="B288" s="9" t="s">
        <v>85</v>
      </c>
      <c r="C288" s="9" t="s">
        <v>86</v>
      </c>
      <c r="D288" s="10">
        <v>45646</v>
      </c>
      <c r="E288" s="10">
        <v>45748</v>
      </c>
      <c r="F288" s="10">
        <v>45777</v>
      </c>
      <c r="G288" s="9">
        <v>3786574</v>
      </c>
      <c r="H288" s="9" t="str">
        <f t="shared" si="28"/>
        <v>Closed</v>
      </c>
      <c r="I288" s="9" t="str">
        <f t="shared" si="29"/>
        <v>All dates received</v>
      </c>
      <c r="J288" s="9" t="s">
        <v>102</v>
      </c>
      <c r="K288" s="9">
        <v>5227</v>
      </c>
      <c r="L288" s="11">
        <v>1800</v>
      </c>
      <c r="M288" s="9" t="s">
        <v>801</v>
      </c>
      <c r="N288" s="9" t="s">
        <v>161</v>
      </c>
      <c r="O288" s="9"/>
      <c r="P288" s="9"/>
      <c r="Q288" s="11">
        <v>-26</v>
      </c>
      <c r="R288" s="9" t="s">
        <v>90</v>
      </c>
      <c r="S288" s="9" t="s">
        <v>178</v>
      </c>
      <c r="T288" s="12">
        <f>IF($H288="Cancelled","",IFERROR(((Q288+INDEX(Variables!$B$6:$D$6,IFERROR(MATCH(IF($B288="Robusta","Robusta",(IF($B288="","Arabica",$B288))&amp;" - "&amp;(IF($C288="","Commercial",$C288))),Variables!$B$1:$D$1,0),1)))*22.0462)*(L288/16.67),""))</f>
        <v>630359.97408518288</v>
      </c>
      <c r="U288" s="10">
        <v>45712</v>
      </c>
      <c r="V288" s="9" t="str">
        <f t="shared" si="31"/>
        <v>Sent</v>
      </c>
      <c r="W288" s="10">
        <v>45721</v>
      </c>
      <c r="X288" s="9" t="str">
        <f t="shared" si="25"/>
        <v>Approved</v>
      </c>
      <c r="Y288" s="10"/>
      <c r="Z288" s="10">
        <f>IF($H288="Cancelled","",IFERROR(IF(F288="","",F288-Variables!$B$13),""))</f>
        <v>45762</v>
      </c>
      <c r="AA288" s="11">
        <f>IF($H288="Cancelled","",IFERROR(IF(W288="","",(AVERAGE(E288:F288)-W288)-Variables!$B$14),""))</f>
        <v>11.5</v>
      </c>
      <c r="AB288" s="10">
        <v>45758</v>
      </c>
      <c r="AC288" s="11">
        <f>IF($H288="Cancelled","",IFERROR(IF(AB288="","",IF(AND(W288="",Y288=""),"",IF(Y288&gt;W288,Y288+Variables!$B$15+Variables!$B$16+Variables!$B$17-AB288,W288+Variables!$B$16+Variables!$B$17-AB288))),""))</f>
        <v>-29</v>
      </c>
      <c r="AD288" s="9" t="s">
        <v>107</v>
      </c>
      <c r="AE288" s="9" t="s">
        <v>806</v>
      </c>
      <c r="AF288" s="10"/>
      <c r="AG288" s="10"/>
      <c r="AH288" s="9"/>
      <c r="AI288" s="9" t="s">
        <v>807</v>
      </c>
      <c r="AJ288" s="9" t="s">
        <v>8</v>
      </c>
      <c r="AK288" s="10">
        <v>45778</v>
      </c>
      <c r="AL288" s="10">
        <v>45786</v>
      </c>
      <c r="AM288" s="10">
        <v>45786</v>
      </c>
      <c r="AN288" s="9" t="s">
        <v>95</v>
      </c>
      <c r="AO288" s="9"/>
      <c r="AP288" s="11">
        <f>IF($H288="Cancelled","",IFERROR(IF(OR(AK288="",AB288=""),"",(AB288+Variables!$B$18-AK288)),""))</f>
        <v>-13</v>
      </c>
      <c r="AQ288" s="11">
        <f>IF($H288="Cancelled","",IFERROR(IF(OR(AM288="",AK288=""),"",(AK288+Variables!$B$19)-AM288),""))</f>
        <v>-3</v>
      </c>
      <c r="AR288" s="12">
        <f>IF($H288="Cancelled","",IFERROR(T288*INDEX(Variables!$B$7:$D$7,IFERROR(MATCH(IF($B288="Robusta","Robusta",(IF($B288="","Arabica",$B288))&amp;" - "&amp;(IF($C288="","Commercial",$C288))),Variables!$B$1:$D$1,0),1))*(AQ288/365),""))</f>
        <v>-334.08491441881296</v>
      </c>
      <c r="AS288" s="12">
        <f>IF($H288="Cancelled","",IFERROR((T288*INDEX(Variables!$B$7:$D$7,IFERROR(MATCH(IF($B288="Robusta","Robusta",(IF($B288="","Arabica",$B288))&amp;" - "&amp;(IF($C288="","Commercial",$C288))),Variables!$B$1:$D$1,0),1))*IFERROR(IF(W288="","",(AVERAGE(E288:F288)-W288)-Variables!$B$14),"")/365)+(L288/16.67*INDEX(Variables!$B$8:$D$8,IFERROR(MATCH(IF($B288="Robusta","Robusta",(IF($B288="","Arabica",$B288))&amp;" - "&amp;(IF($C288="","Commercial",$C288))),Variables!$B$1:$D$1,0),1))*IFERROR(IF(W288="","",(AVERAGE(E288:F288)-W288)-Variables!$B$14),""))+(T288*INDEX(Variables!$B$9:$D$9,IFERROR(MATCH(IF($B288="Robusta","Robusta",(IF($B288="","Arabica",$B288))&amp;" - "&amp;(IF($C288="","Commercial",$C288))),Variables!$B$1:$D$1,0),1))*IFERROR(IF(W288="","",(AVERAGE(E288:F288)-W288)-Variables!$B$14),"")/365),""))</f>
        <v>2332.1690025349176</v>
      </c>
      <c r="AT288" s="12">
        <f>IF($H288="Cancelled","",IFERROR((T288*INDEX(Variables!$B$7:$D$7,IFERROR(MATCH(IF($B288="Robusta","Robusta",(IF($B288="","Arabica",$B288))&amp;" - "&amp;(IF($C288="","Commercial",$C288))),Variables!$B$1:$D$1,0),1))*AC288/365)+(L288/16.67*INDEX(Variables!$B$8:$D$8,IFERROR(MATCH(IF($B288="Robusta","Robusta",(IF($B288="","Arabica",$B288))&amp;" - "&amp;(IF($C288="","Commercial",$C288))),Variables!$B$1:$D$1,0),1))*AC288)+(T288*INDEX(Variables!$B$9:$D$9,IFERROR(MATCH(IF($B288="Robusta","Robusta",(IF($B288="","Arabica",$B288))&amp;" - "&amp;(IF($C288="","Commercial",$C288))),Variables!$B$1:$D$1,0),1))*AC288/365),""))</f>
        <v>-5881.1218324793563</v>
      </c>
      <c r="AU288" s="12">
        <f>IF($H288="Cancelled","",IFERROR((T288*INDEX(Variables!$B$7:$D$7,IFERROR(MATCH(IF($B288="Robusta","Robusta",(IF($B288="","Arabica",$B288))&amp;" - "&amp;(IF($C288="","Commercial",$C288))),Variables!$B$1:$D$1,0),1))*AP288/365)+(L288/16.67*INDEX(Variables!$B$8:$D$8,IFERROR(MATCH(IF($B288="Robusta","Robusta",(IF($B288="","Arabica",$B288))&amp;" - "&amp;(IF($C288="","Commercial",$C288))),Variables!$B$1:$D$1,0),1))*AP288)+(T288*INDEX(Variables!$B$9:$D$9,IFERROR(MATCH(IF($B288="Robusta","Robusta",(IF($B288="","Arabica",$B288))&amp;" - "&amp;(IF($C288="","Commercial",$C288))),Variables!$B$1:$D$1,0),1))*AP288/365),""))</f>
        <v>-2636.3649593872979</v>
      </c>
      <c r="AV288" s="11">
        <f t="shared" si="30"/>
        <v>-1</v>
      </c>
      <c r="AW288" s="12">
        <f>IF($H288="Cancelled","",IFERROR(IF(AV288="","",(T288*INDEX(Variables!$B$7:$D$7,IFERROR(MATCH(IF($B288="Robusta","Robusta",(IF($B288="","Arabica",$B288))&amp;" - "&amp;(IF($C288="","Commercial",$C288))),Variables!$B$1:$D$1,0),1))*(AV288/365))+(T288*INDEX(Variables!$B$9:$D$9,IFERROR(MATCH(IF($B288="Robusta","Robusta",(IF($B288="","Arabica",$B288))&amp;" - "&amp;(IF($C288="","Commercial",$C288))),Variables!$B$1:$D$1,0),1))*(AV288/365))+(INDEX(Variables!$B$8:$D$8,IFERROR(MATCH(IF($B288="Robusta","Robusta",(IF($B288="","Arabica",$B288))&amp;" - "&amp;(IF($C288="","Commercial",$C288))),Variables!$B$1:$D$1,0),1))*L288/16.67)),""))</f>
        <v>-22.797304568253693</v>
      </c>
      <c r="AX288" s="9"/>
      <c r="AY288" s="12"/>
      <c r="AZ288" s="10"/>
      <c r="BA288" s="9"/>
      <c r="BB288" s="10"/>
      <c r="BC288" s="9"/>
      <c r="BD288" s="9"/>
      <c r="BE288" s="9"/>
      <c r="BF288" s="9"/>
    </row>
    <row r="289" spans="1:58" x14ac:dyDescent="0.25">
      <c r="A289" s="9" t="s">
        <v>84</v>
      </c>
      <c r="B289" s="9" t="s">
        <v>85</v>
      </c>
      <c r="C289" s="9" t="s">
        <v>86</v>
      </c>
      <c r="D289" s="10">
        <v>45646</v>
      </c>
      <c r="E289" s="10">
        <v>45748</v>
      </c>
      <c r="F289" s="10">
        <v>45777</v>
      </c>
      <c r="G289" s="9">
        <v>3786576</v>
      </c>
      <c r="H289" s="9" t="str">
        <f t="shared" si="28"/>
        <v>Closed</v>
      </c>
      <c r="I289" s="9" t="str">
        <f t="shared" si="29"/>
        <v>All dates received</v>
      </c>
      <c r="J289" s="9" t="s">
        <v>102</v>
      </c>
      <c r="K289" s="9" t="s">
        <v>808</v>
      </c>
      <c r="L289" s="11">
        <v>1080</v>
      </c>
      <c r="M289" s="9" t="s">
        <v>804</v>
      </c>
      <c r="N289" s="9" t="s">
        <v>122</v>
      </c>
      <c r="O289" s="9"/>
      <c r="P289" s="9"/>
      <c r="Q289" s="11">
        <v>-3.5</v>
      </c>
      <c r="R289" s="9" t="s">
        <v>90</v>
      </c>
      <c r="S289" s="9" t="s">
        <v>656</v>
      </c>
      <c r="T289" s="12">
        <f>IF($H289="Cancelled","",IFERROR(((Q289+INDEX(Variables!$B$6:$D$6,IFERROR(MATCH(IF($B289="Robusta","Robusta",(IF($B289="","Arabica",$B289))&amp;" - "&amp;(IF($C289="","Commercial",$C289))),Variables!$B$1:$D$1,0),1)))*22.0462)*(L289/16.67),""))</f>
        <v>410352.91666466702</v>
      </c>
      <c r="U289" s="10">
        <v>45708</v>
      </c>
      <c r="V289" s="9" t="str">
        <f t="shared" si="31"/>
        <v>Sent</v>
      </c>
      <c r="W289" s="10">
        <v>45716</v>
      </c>
      <c r="X289" s="9" t="str">
        <f t="shared" ref="X289:X300" si="32">IF(ISNUMBER(W289),"Approved","")</f>
        <v>Approved</v>
      </c>
      <c r="Y289" s="10"/>
      <c r="Z289" s="10">
        <f>IF($H289="Cancelled","",IFERROR(IF(F289="","",F289-Variables!$B$13),""))</f>
        <v>45762</v>
      </c>
      <c r="AA289" s="11">
        <f>IF($H289="Cancelled","",IFERROR(IF(W289="","",(AVERAGE(E289:F289)-W289)-Variables!$B$14),""))</f>
        <v>16.5</v>
      </c>
      <c r="AB289" s="10">
        <v>45757</v>
      </c>
      <c r="AC289" s="11">
        <f>IF($H289="Cancelled","",IFERROR(IF(AB289="","",IF(AND(W289="",Y289=""),"",IF(Y289&gt;W289,Y289+Variables!$B$15+Variables!$B$16+Variables!$B$17-AB289,W289+Variables!$B$16+Variables!$B$17-AB289))),""))</f>
        <v>-33</v>
      </c>
      <c r="AD289" s="9" t="s">
        <v>107</v>
      </c>
      <c r="AE289" s="9" t="s">
        <v>174</v>
      </c>
      <c r="AF289" s="10"/>
      <c r="AG289" s="10"/>
      <c r="AH289" s="9"/>
      <c r="AI289" s="9" t="s">
        <v>809</v>
      </c>
      <c r="AJ289" s="9" t="s">
        <v>8</v>
      </c>
      <c r="AK289" s="10">
        <v>45778</v>
      </c>
      <c r="AL289" s="10">
        <v>45784</v>
      </c>
      <c r="AM289" s="10">
        <v>45791</v>
      </c>
      <c r="AN289" s="9" t="s">
        <v>95</v>
      </c>
      <c r="AO289" s="9"/>
      <c r="AP289" s="11">
        <f>IF($H289="Cancelled","",IFERROR(IF(OR(AK289="",AB289=""),"",(AB289+Variables!$B$18-AK289)),""))</f>
        <v>-14</v>
      </c>
      <c r="AQ289" s="11">
        <f>IF($H289="Cancelled","",IFERROR(IF(OR(AM289="",AK289=""),"",(AK289+Variables!$B$19)-AM289),""))</f>
        <v>-8</v>
      </c>
      <c r="AR289" s="12">
        <f>IF($H289="Cancelled","",IFERROR(T289*INDEX(Variables!$B$7:$D$7,IFERROR(MATCH(IF($B289="Robusta","Robusta",(IF($B289="","Arabica",$B289))&amp;" - "&amp;(IF($C289="","Commercial",$C289))),Variables!$B$1:$D$1,0),1))*(AQ289/365),""))</f>
        <v>-579.95526231132919</v>
      </c>
      <c r="AS289" s="12">
        <f>IF($H289="Cancelled","",IFERROR((T289*INDEX(Variables!$B$7:$D$7,IFERROR(MATCH(IF($B289="Robusta","Robusta",(IF($B289="","Arabica",$B289))&amp;" - "&amp;(IF($C289="","Commercial",$C289))),Variables!$B$1:$D$1,0),1))*IFERROR(IF(W289="","",(AVERAGE(E289:F289)-W289)-Variables!$B$14),"")/365)+(L289/16.67*INDEX(Variables!$B$8:$D$8,IFERROR(MATCH(IF($B289="Robusta","Robusta",(IF($B289="","Arabica",$B289))&amp;" - "&amp;(IF($C289="","Commercial",$C289))),Variables!$B$1:$D$1,0),1))*IFERROR(IF(W289="","",(AVERAGE(E289:F289)-W289)-Variables!$B$14),""))+(T289*INDEX(Variables!$B$9:$D$9,IFERROR(MATCH(IF($B289="Robusta","Robusta",(IF($B289="","Arabica",$B289))&amp;" - "&amp;(IF($C289="","Commercial",$C289))),Variables!$B$1:$D$1,0),1))*IFERROR(IF(W289="","",(AVERAGE(E289:F289)-W289)-Variables!$B$14),"")/365),""))</f>
        <v>2102.5785100617331</v>
      </c>
      <c r="AT289" s="12">
        <f>IF($H289="Cancelled","",IFERROR((T289*INDEX(Variables!$B$7:$D$7,IFERROR(MATCH(IF($B289="Robusta","Robusta",(IF($B289="","Arabica",$B289))&amp;" - "&amp;(IF($C289="","Commercial",$C289))),Variables!$B$1:$D$1,0),1))*AC289/365)+(L289/16.67*INDEX(Variables!$B$8:$D$8,IFERROR(MATCH(IF($B289="Robusta","Robusta",(IF($B289="","Arabica",$B289))&amp;" - "&amp;(IF($C289="","Commercial",$C289))),Variables!$B$1:$D$1,0),1))*AC289)+(T289*INDEX(Variables!$B$9:$D$9,IFERROR(MATCH(IF($B289="Robusta","Robusta",(IF($B289="","Arabica",$B289))&amp;" - "&amp;(IF($C289="","Commercial",$C289))),Variables!$B$1:$D$1,0),1))*AC289/365),""))</f>
        <v>-4205.1570201234663</v>
      </c>
      <c r="AU289" s="12">
        <f>IF($H289="Cancelled","",IFERROR((T289*INDEX(Variables!$B$7:$D$7,IFERROR(MATCH(IF($B289="Robusta","Robusta",(IF($B289="","Arabica",$B289))&amp;" - "&amp;(IF($C289="","Commercial",$C289))),Variables!$B$1:$D$1,0),1))*AP289/365)+(L289/16.67*INDEX(Variables!$B$8:$D$8,IFERROR(MATCH(IF($B289="Robusta","Robusta",(IF($B289="","Arabica",$B289))&amp;" - "&amp;(IF($C289="","Commercial",$C289))),Variables!$B$1:$D$1,0),1))*AP289)+(T289*INDEX(Variables!$B$9:$D$9,IFERROR(MATCH(IF($B289="Robusta","Robusta",(IF($B289="","Arabica",$B289))&amp;" - "&amp;(IF($C289="","Commercial",$C289))),Variables!$B$1:$D$1,0),1))*AP289/365),""))</f>
        <v>-1784.0060085372279</v>
      </c>
      <c r="AV289" s="11">
        <f t="shared" si="30"/>
        <v>-1</v>
      </c>
      <c r="AW289" s="12">
        <f>IF($H289="Cancelled","",IFERROR(IF(AV289="","",(T289*INDEX(Variables!$B$7:$D$7,IFERROR(MATCH(IF($B289="Robusta","Robusta",(IF($B289="","Arabica",$B289))&amp;" - "&amp;(IF($C289="","Commercial",$C289))),Variables!$B$1:$D$1,0),1))*(AV289/365))+(T289*INDEX(Variables!$B$9:$D$9,IFERROR(MATCH(IF($B289="Robusta","Robusta",(IF($B289="","Arabica",$B289))&amp;" - "&amp;(IF($C289="","Commercial",$C289))),Variables!$B$1:$D$1,0),1))*(AV289/365))+(INDEX(Variables!$B$8:$D$8,IFERROR(MATCH(IF($B289="Robusta","Robusta",(IF($B289="","Arabica",$B289))&amp;" - "&amp;(IF($C289="","Commercial",$C289))),Variables!$B$1:$D$1,0),1))*L289/16.67)),""))</f>
        <v>-19.429000609801996</v>
      </c>
      <c r="AX289" s="9"/>
      <c r="AY289" s="12"/>
      <c r="AZ289" s="10"/>
      <c r="BA289" s="9"/>
      <c r="BB289" s="10"/>
      <c r="BC289" s="9"/>
      <c r="BD289" s="9"/>
      <c r="BE289" s="9"/>
      <c r="BF289" s="9"/>
    </row>
    <row r="290" spans="1:58" x14ac:dyDescent="0.25">
      <c r="A290" s="9" t="s">
        <v>84</v>
      </c>
      <c r="B290" s="9" t="s">
        <v>85</v>
      </c>
      <c r="C290" s="9" t="s">
        <v>86</v>
      </c>
      <c r="D290" s="10">
        <v>45646</v>
      </c>
      <c r="E290" s="10">
        <v>45748</v>
      </c>
      <c r="F290" s="10">
        <v>45777</v>
      </c>
      <c r="G290" s="9">
        <v>3786576</v>
      </c>
      <c r="H290" s="9" t="str">
        <f t="shared" si="28"/>
        <v>Closed</v>
      </c>
      <c r="I290" s="9" t="str">
        <f t="shared" si="29"/>
        <v>All dates received</v>
      </c>
      <c r="J290" s="9" t="s">
        <v>102</v>
      </c>
      <c r="K290" s="9" t="s">
        <v>810</v>
      </c>
      <c r="L290" s="11">
        <v>720</v>
      </c>
      <c r="M290" s="9" t="s">
        <v>804</v>
      </c>
      <c r="N290" s="9" t="s">
        <v>122</v>
      </c>
      <c r="O290" s="9"/>
      <c r="P290" s="9"/>
      <c r="Q290" s="11">
        <v>-3.5</v>
      </c>
      <c r="R290" s="9" t="s">
        <v>90</v>
      </c>
      <c r="S290" s="9" t="s">
        <v>469</v>
      </c>
      <c r="T290" s="12">
        <f>IF($H290="Cancelled","",IFERROR(((Q290+INDEX(Variables!$B$6:$D$6,IFERROR(MATCH(IF($B290="Robusta","Robusta",(IF($B290="","Arabica",$B290))&amp;" - "&amp;(IF($C290="","Commercial",$C290))),Variables!$B$1:$D$1,0),1)))*22.0462)*(L290/16.67),""))</f>
        <v>273568.61110977805</v>
      </c>
      <c r="U290" s="10">
        <v>45708</v>
      </c>
      <c r="V290" s="9" t="str">
        <f t="shared" si="31"/>
        <v>Sent</v>
      </c>
      <c r="W290" s="10">
        <v>45716</v>
      </c>
      <c r="X290" s="9" t="str">
        <f t="shared" si="32"/>
        <v>Approved</v>
      </c>
      <c r="Y290" s="10"/>
      <c r="Z290" s="10">
        <f>IF($H290="Cancelled","",IFERROR(IF(F290="","",F290-Variables!$B$13),""))</f>
        <v>45762</v>
      </c>
      <c r="AA290" s="11">
        <f>IF($H290="Cancelled","",IFERROR(IF(W290="","",(AVERAGE(E290:F290)-W290)-Variables!$B$14),""))</f>
        <v>16.5</v>
      </c>
      <c r="AB290" s="10">
        <v>45764</v>
      </c>
      <c r="AC290" s="11">
        <f>IF($H290="Cancelled","",IFERROR(IF(AB290="","",IF(AND(W290="",Y290=""),"",IF(Y290&gt;W290,Y290+Variables!$B$15+Variables!$B$16+Variables!$B$17-AB290,W290+Variables!$B$16+Variables!$B$17-AB290))),""))</f>
        <v>-40</v>
      </c>
      <c r="AD290" s="9" t="s">
        <v>92</v>
      </c>
      <c r="AE290" s="9" t="s">
        <v>811</v>
      </c>
      <c r="AF290" s="10"/>
      <c r="AG290" s="10"/>
      <c r="AH290" s="9"/>
      <c r="AI290" s="9" t="s">
        <v>812</v>
      </c>
      <c r="AJ290" s="9" t="s">
        <v>8</v>
      </c>
      <c r="AK290" s="10">
        <v>45778</v>
      </c>
      <c r="AL290" s="10">
        <v>45784</v>
      </c>
      <c r="AM290" s="10">
        <v>45793</v>
      </c>
      <c r="AN290" s="9" t="s">
        <v>95</v>
      </c>
      <c r="AO290" s="9"/>
      <c r="AP290" s="11">
        <f>IF($H290="Cancelled","",IFERROR(IF(OR(AK290="",AB290=""),"",(AB290+Variables!$B$18-AK290)),""))</f>
        <v>-7</v>
      </c>
      <c r="AQ290" s="11">
        <f>IF($H290="Cancelled","",IFERROR(IF(OR(AM290="",AK290=""),"",(AK290+Variables!$B$19)-AM290),""))</f>
        <v>-10</v>
      </c>
      <c r="AR290" s="12">
        <f>IF($H290="Cancelled","",IFERROR(T290*INDEX(Variables!$B$7:$D$7,IFERROR(MATCH(IF($B290="Robusta","Robusta",(IF($B290="","Arabica",$B290))&amp;" - "&amp;(IF($C290="","Commercial",$C290))),Variables!$B$1:$D$1,0),1))*(AQ290/365),""))</f>
        <v>-483.29605192610768</v>
      </c>
      <c r="AS290" s="12">
        <f>IF($H290="Cancelled","",IFERROR((T290*INDEX(Variables!$B$7:$D$7,IFERROR(MATCH(IF($B290="Robusta","Robusta",(IF($B290="","Arabica",$B290))&amp;" - "&amp;(IF($C290="","Commercial",$C290))),Variables!$B$1:$D$1,0),1))*IFERROR(IF(W290="","",(AVERAGE(E290:F290)-W290)-Variables!$B$14),"")/365)+(L290/16.67*INDEX(Variables!$B$8:$D$8,IFERROR(MATCH(IF($B290="Robusta","Robusta",(IF($B290="","Arabica",$B290))&amp;" - "&amp;(IF($C290="","Commercial",$C290))),Variables!$B$1:$D$1,0),1))*IFERROR(IF(W290="","",(AVERAGE(E290:F290)-W290)-Variables!$B$14),""))+(T290*INDEX(Variables!$B$9:$D$9,IFERROR(MATCH(IF($B290="Robusta","Robusta",(IF($B290="","Arabica",$B290))&amp;" - "&amp;(IF($C290="","Commercial",$C290))),Variables!$B$1:$D$1,0),1))*IFERROR(IF(W290="","",(AVERAGE(E290:F290)-W290)-Variables!$B$14),"")/365),""))</f>
        <v>1401.7190067078225</v>
      </c>
      <c r="AT290" s="12">
        <f>IF($H290="Cancelled","",IFERROR((T290*INDEX(Variables!$B$7:$D$7,IFERROR(MATCH(IF($B290="Robusta","Robusta",(IF($B290="","Arabica",$B290))&amp;" - "&amp;(IF($C290="","Commercial",$C290))),Variables!$B$1:$D$1,0),1))*AC290/365)+(L290/16.67*INDEX(Variables!$B$8:$D$8,IFERROR(MATCH(IF($B290="Robusta","Robusta",(IF($B290="","Arabica",$B290))&amp;" - "&amp;(IF($C290="","Commercial",$C290))),Variables!$B$1:$D$1,0),1))*AC290)+(T290*INDEX(Variables!$B$9:$D$9,IFERROR(MATCH(IF($B290="Robusta","Robusta",(IF($B290="","Arabica",$B290))&amp;" - "&amp;(IF($C290="","Commercial",$C290))),Variables!$B$1:$D$1,0),1))*AC290/365),""))</f>
        <v>-3398.1066829280539</v>
      </c>
      <c r="AU290" s="12">
        <f>IF($H290="Cancelled","",IFERROR((T290*INDEX(Variables!$B$7:$D$7,IFERROR(MATCH(IF($B290="Robusta","Robusta",(IF($B290="","Arabica",$B290))&amp;" - "&amp;(IF($C290="","Commercial",$C290))),Variables!$B$1:$D$1,0),1))*AP290/365)+(L290/16.67*INDEX(Variables!$B$8:$D$8,IFERROR(MATCH(IF($B290="Robusta","Robusta",(IF($B290="","Arabica",$B290))&amp;" - "&amp;(IF($C290="","Commercial",$C290))),Variables!$B$1:$D$1,0),1))*AP290)+(T290*INDEX(Variables!$B$9:$D$9,IFERROR(MATCH(IF($B290="Robusta","Robusta",(IF($B290="","Arabica",$B290))&amp;" - "&amp;(IF($C290="","Commercial",$C290))),Variables!$B$1:$D$1,0),1))*AP290/365),""))</f>
        <v>-594.66866951240945</v>
      </c>
      <c r="AV290" s="11">
        <f t="shared" si="30"/>
        <v>-1</v>
      </c>
      <c r="AW290" s="12">
        <f>IF($H290="Cancelled","",IFERROR(IF(AV290="","",(T290*INDEX(Variables!$B$7:$D$7,IFERROR(MATCH(IF($B290="Robusta","Robusta",(IF($B290="","Arabica",$B290))&amp;" - "&amp;(IF($C290="","Commercial",$C290))),Variables!$B$1:$D$1,0),1))*(AV290/365))+(T290*INDEX(Variables!$B$9:$D$9,IFERROR(MATCH(IF($B290="Robusta","Robusta",(IF($B290="","Arabica",$B290))&amp;" - "&amp;(IF($C290="","Commercial",$C290))),Variables!$B$1:$D$1,0),1))*(AV290/365))+(INDEX(Variables!$B$8:$D$8,IFERROR(MATCH(IF($B290="Robusta","Robusta",(IF($B290="","Arabica",$B290))&amp;" - "&amp;(IF($C290="","Commercial",$C290))),Variables!$B$1:$D$1,0),1))*L290/16.67)),""))</f>
        <v>-12.95266707320134</v>
      </c>
      <c r="AX290" s="9"/>
      <c r="AY290" s="12"/>
      <c r="AZ290" s="10"/>
      <c r="BA290" s="9"/>
      <c r="BB290" s="10"/>
      <c r="BC290" s="9"/>
      <c r="BD290" s="9"/>
      <c r="BE290" s="9"/>
      <c r="BF290" s="9"/>
    </row>
    <row r="291" spans="1:58" x14ac:dyDescent="0.25">
      <c r="A291" s="9" t="s">
        <v>84</v>
      </c>
      <c r="B291" s="9" t="s">
        <v>85</v>
      </c>
      <c r="C291" s="9" t="s">
        <v>86</v>
      </c>
      <c r="D291" s="10">
        <v>45650</v>
      </c>
      <c r="E291" s="10">
        <v>45658</v>
      </c>
      <c r="F291" s="10">
        <v>45702</v>
      </c>
      <c r="G291" s="9">
        <v>3786587</v>
      </c>
      <c r="H291" s="9" t="str">
        <f t="shared" si="28"/>
        <v>Closed</v>
      </c>
      <c r="I291" s="9" t="str">
        <f t="shared" si="29"/>
        <v>All dates received</v>
      </c>
      <c r="J291" s="9" t="s">
        <v>286</v>
      </c>
      <c r="K291" s="9" t="s">
        <v>813</v>
      </c>
      <c r="L291" s="11">
        <v>116</v>
      </c>
      <c r="M291" s="9" t="s">
        <v>649</v>
      </c>
      <c r="N291" s="9" t="s">
        <v>149</v>
      </c>
      <c r="O291" s="9"/>
      <c r="P291" s="9"/>
      <c r="Q291" s="11">
        <v>8</v>
      </c>
      <c r="R291" s="9" t="s">
        <v>90</v>
      </c>
      <c r="S291" s="9" t="s">
        <v>215</v>
      </c>
      <c r="T291" s="12">
        <f>IF($H291="Cancelled","",IFERROR(((Q291+INDEX(Variables!$B$6:$D$6,IFERROR(MATCH(IF($B291="Robusta","Robusta",(IF($B291="","Arabica",$B291))&amp;" - "&amp;(IF($C291="","Commercial",$C291))),Variables!$B$1:$D$1,0),1)))*22.0462)*(L291/16.67),""))</f>
        <v>45839.167904019196</v>
      </c>
      <c r="U291" s="10">
        <v>45664</v>
      </c>
      <c r="V291" s="9" t="str">
        <f t="shared" si="31"/>
        <v>Sent</v>
      </c>
      <c r="W291" s="10">
        <v>45685</v>
      </c>
      <c r="X291" s="9" t="str">
        <f t="shared" si="32"/>
        <v>Approved</v>
      </c>
      <c r="Y291" s="10"/>
      <c r="Z291" s="10">
        <f>IF($H291="Cancelled","",IFERROR(IF(F291="","",F291-Variables!$B$13),""))</f>
        <v>45687</v>
      </c>
      <c r="AA291" s="11">
        <f>IF($H291="Cancelled","",IFERROR(IF(W291="","",(AVERAGE(E291:F291)-W291)-Variables!$B$14),""))</f>
        <v>-35</v>
      </c>
      <c r="AB291" s="10">
        <v>45688</v>
      </c>
      <c r="AC291" s="11">
        <f>IF($H291="Cancelled","",IFERROR(IF(AB291="","",IF(AND(W291="",Y291=""),"",IF(Y291&gt;W291,Y291+Variables!$B$15+Variables!$B$16+Variables!$B$17-AB291,W291+Variables!$B$16+Variables!$B$17-AB291))),""))</f>
        <v>5</v>
      </c>
      <c r="AD291" s="9" t="s">
        <v>165</v>
      </c>
      <c r="AE291" s="9" t="s">
        <v>777</v>
      </c>
      <c r="AF291" s="10">
        <v>45695</v>
      </c>
      <c r="AG291" s="10"/>
      <c r="AH291" s="9"/>
      <c r="AI291" s="9" t="s">
        <v>814</v>
      </c>
      <c r="AJ291" s="9" t="s">
        <v>815</v>
      </c>
      <c r="AK291" s="10">
        <v>45696</v>
      </c>
      <c r="AL291" s="10">
        <v>45699</v>
      </c>
      <c r="AM291" s="10">
        <v>45701</v>
      </c>
      <c r="AN291" s="9" t="s">
        <v>95</v>
      </c>
      <c r="AO291" s="9"/>
      <c r="AP291" s="11">
        <f>IF($H291="Cancelled","",IFERROR(IF(OR(AK291="",AB291=""),"",(AB291+Variables!$B$18-AK291)),""))</f>
        <v>-1</v>
      </c>
      <c r="AQ291" s="11">
        <f>IF($H291="Cancelled","",IFERROR(IF(OR(AM291="",AK291=""),"",(AK291+Variables!$B$19)-AM291),""))</f>
        <v>0</v>
      </c>
      <c r="AR291" s="12">
        <f>IF($H291="Cancelled","",IFERROR(T291*INDEX(Variables!$B$7:$D$7,IFERROR(MATCH(IF($B291="Robusta","Robusta",(IF($B291="","Arabica",$B291))&amp;" - "&amp;(IF($C291="","Commercial",$C291))),Variables!$B$1:$D$1,0),1))*(AQ291/365),""))</f>
        <v>0</v>
      </c>
      <c r="AS291" s="12">
        <f>IF($H291="Cancelled","",IFERROR((T291*INDEX(Variables!$B$7:$D$7,IFERROR(MATCH(IF($B291="Robusta","Robusta",(IF($B291="","Arabica",$B291))&amp;" - "&amp;(IF($C291="","Commercial",$C291))),Variables!$B$1:$D$1,0),1))*IFERROR(IF(W291="","",(AVERAGE(E291:F291)-W291)-Variables!$B$14),"")/365)+(L291/16.67*INDEX(Variables!$B$8:$D$8,IFERROR(MATCH(IF($B291="Robusta","Robusta",(IF($B291="","Arabica",$B291))&amp;" - "&amp;(IF($C291="","Commercial",$C291))),Variables!$B$1:$D$1,0),1))*IFERROR(IF(W291="","",(AVERAGE(E291:F291)-W291)-Variables!$B$14),""))+(T291*INDEX(Variables!$B$9:$D$9,IFERROR(MATCH(IF($B291="Robusta","Robusta",(IF($B291="","Arabica",$B291))&amp;" - "&amp;(IF($C291="","Commercial",$C291))),Variables!$B$1:$D$1,0),1))*IFERROR(IF(W291="","",(AVERAGE(E291:F291)-W291)-Variables!$B$14),"")/365),""))</f>
        <v>-490.08788288074118</v>
      </c>
      <c r="AT291" s="12">
        <f>IF($H291="Cancelled","",IFERROR((T291*INDEX(Variables!$B$7:$D$7,IFERROR(MATCH(IF($B291="Robusta","Robusta",(IF($B291="","Arabica",$B291))&amp;" - "&amp;(IF($C291="","Commercial",$C291))),Variables!$B$1:$D$1,0),1))*AC291/365)+(L291/16.67*INDEX(Variables!$B$8:$D$8,IFERROR(MATCH(IF($B291="Robusta","Robusta",(IF($B291="","Arabica",$B291))&amp;" - "&amp;(IF($C291="","Commercial",$C291))),Variables!$B$1:$D$1,0),1))*AC291)+(T291*INDEX(Variables!$B$9:$D$9,IFERROR(MATCH(IF($B291="Robusta","Robusta",(IF($B291="","Arabica",$B291))&amp;" - "&amp;(IF($C291="","Commercial",$C291))),Variables!$B$1:$D$1,0),1))*AC291/365),""))</f>
        <v>70.012554697248746</v>
      </c>
      <c r="AU291" s="12">
        <f>IF($H291="Cancelled","",IFERROR((T291*INDEX(Variables!$B$7:$D$7,IFERROR(MATCH(IF($B291="Robusta","Robusta",(IF($B291="","Arabica",$B291))&amp;" - "&amp;(IF($C291="","Commercial",$C291))),Variables!$B$1:$D$1,0),1))*AP291/365)+(L291/16.67*INDEX(Variables!$B$8:$D$8,IFERROR(MATCH(IF($B291="Robusta","Robusta",(IF($B291="","Arabica",$B291))&amp;" - "&amp;(IF($C291="","Commercial",$C291))),Variables!$B$1:$D$1,0),1))*AP291)+(T291*INDEX(Variables!$B$9:$D$9,IFERROR(MATCH(IF($B291="Robusta","Robusta",(IF($B291="","Arabica",$B291))&amp;" - "&amp;(IF($C291="","Commercial",$C291))),Variables!$B$1:$D$1,0),1))*AP291/365),""))</f>
        <v>-14.002510939449749</v>
      </c>
      <c r="AV291" s="11">
        <f t="shared" si="30"/>
        <v>6</v>
      </c>
      <c r="AW291" s="12">
        <f>IF($H291="Cancelled","",IFERROR(IF(AV291="","",(T291*INDEX(Variables!$B$7:$D$7,IFERROR(MATCH(IF($B291="Robusta","Robusta",(IF($B291="","Arabica",$B291))&amp;" - "&amp;(IF($C291="","Commercial",$C291))),Variables!$B$1:$D$1,0),1))*(AV291/365))+(T291*INDEX(Variables!$B$9:$D$9,IFERROR(MATCH(IF($B291="Robusta","Robusta",(IF($B291="","Arabica",$B291))&amp;" - "&amp;(IF($C291="","Commercial",$C291))),Variables!$B$1:$D$1,0),1))*(AV291/365))+(INDEX(Variables!$B$8:$D$8,IFERROR(MATCH(IF($B291="Robusta","Robusta",(IF($B291="","Arabica",$B291))&amp;" - "&amp;(IF($C291="","Commercial",$C291))),Variables!$B$1:$D$1,0),1))*L291/16.67)),""))</f>
        <v>55.01506563669848</v>
      </c>
      <c r="AX291" s="9"/>
      <c r="AY291" s="12"/>
      <c r="AZ291" s="10"/>
      <c r="BA291" s="9"/>
      <c r="BB291" s="10"/>
      <c r="BC291" s="9"/>
      <c r="BD291" s="9"/>
      <c r="BE291" s="9"/>
      <c r="BF291" s="9"/>
    </row>
    <row r="292" spans="1:58" x14ac:dyDescent="0.25">
      <c r="A292" s="9" t="s">
        <v>84</v>
      </c>
      <c r="B292" s="9" t="s">
        <v>85</v>
      </c>
      <c r="C292" s="9" t="s">
        <v>86</v>
      </c>
      <c r="D292" s="10">
        <v>45650</v>
      </c>
      <c r="E292" s="10">
        <v>45658</v>
      </c>
      <c r="F292" s="10">
        <v>45702</v>
      </c>
      <c r="G292" s="9">
        <v>3786588</v>
      </c>
      <c r="H292" s="9" t="str">
        <f t="shared" si="28"/>
        <v>Closed</v>
      </c>
      <c r="I292" s="9" t="str">
        <f t="shared" si="29"/>
        <v>All dates received</v>
      </c>
      <c r="J292" s="9" t="s">
        <v>286</v>
      </c>
      <c r="K292" s="9" t="s">
        <v>816</v>
      </c>
      <c r="L292" s="11">
        <v>50</v>
      </c>
      <c r="M292" s="9" t="s">
        <v>261</v>
      </c>
      <c r="N292" s="9" t="s">
        <v>450</v>
      </c>
      <c r="O292" s="9"/>
      <c r="P292" s="9"/>
      <c r="Q292" s="11">
        <v>3</v>
      </c>
      <c r="R292" s="9" t="s">
        <v>90</v>
      </c>
      <c r="S292" s="9" t="s">
        <v>215</v>
      </c>
      <c r="T292" s="12">
        <f>IF($H292="Cancelled","",IFERROR(((Q292+INDEX(Variables!$B$6:$D$6,IFERROR(MATCH(IF($B292="Robusta","Robusta",(IF($B292="","Arabica",$B292))&amp;" - "&amp;(IF($C292="","Commercial",$C292))),Variables!$B$1:$D$1,0),1)))*22.0462)*(L292/16.67),""))</f>
        <v>19427.635152969404</v>
      </c>
      <c r="U292" s="10">
        <v>45664</v>
      </c>
      <c r="V292" s="9" t="str">
        <f t="shared" si="31"/>
        <v>Sent</v>
      </c>
      <c r="W292" s="10">
        <v>45673</v>
      </c>
      <c r="X292" s="9" t="str">
        <f t="shared" si="32"/>
        <v>Approved</v>
      </c>
      <c r="Y292" s="10"/>
      <c r="Z292" s="10">
        <f>IF($H292="Cancelled","",IFERROR(IF(F292="","",F292-Variables!$B$13),""))</f>
        <v>45687</v>
      </c>
      <c r="AA292" s="11">
        <f>IF($H292="Cancelled","",IFERROR(IF(W292="","",(AVERAGE(E292:F292)-W292)-Variables!$B$14),""))</f>
        <v>-23</v>
      </c>
      <c r="AB292" s="10">
        <v>45688</v>
      </c>
      <c r="AC292" s="11">
        <f>IF($H292="Cancelled","",IFERROR(IF(AB292="","",IF(AND(W292="",Y292=""),"",IF(Y292&gt;W292,Y292+Variables!$B$15+Variables!$B$16+Variables!$B$17-AB292,W292+Variables!$B$16+Variables!$B$17-AB292))),""))</f>
        <v>-7</v>
      </c>
      <c r="AD292" s="9" t="s">
        <v>165</v>
      </c>
      <c r="AE292" s="9" t="s">
        <v>777</v>
      </c>
      <c r="AF292" s="10">
        <v>45695</v>
      </c>
      <c r="AG292" s="10"/>
      <c r="AH292" s="9"/>
      <c r="AI292" s="9" t="s">
        <v>814</v>
      </c>
      <c r="AJ292" s="9" t="s">
        <v>815</v>
      </c>
      <c r="AK292" s="10">
        <v>45696</v>
      </c>
      <c r="AL292" s="10">
        <v>45699</v>
      </c>
      <c r="AM292" s="10">
        <v>45701</v>
      </c>
      <c r="AN292" s="9" t="s">
        <v>95</v>
      </c>
      <c r="AO292" s="9"/>
      <c r="AP292" s="11">
        <f>IF($H292="Cancelled","",IFERROR(IF(OR(AK292="",AB292=""),"",(AB292+Variables!$B$18-AK292)),""))</f>
        <v>-1</v>
      </c>
      <c r="AQ292" s="11">
        <f>IF($H292="Cancelled","",IFERROR(IF(OR(AM292="",AK292=""),"",(AK292+Variables!$B$19)-AM292),""))</f>
        <v>0</v>
      </c>
      <c r="AR292" s="12">
        <f>IF($H292="Cancelled","",IFERROR(T292*INDEX(Variables!$B$7:$D$7,IFERROR(MATCH(IF($B292="Robusta","Robusta",(IF($B292="","Arabica",$B292))&amp;" - "&amp;(IF($C292="","Commercial",$C292))),Variables!$B$1:$D$1,0),1))*(AQ292/365),""))</f>
        <v>0</v>
      </c>
      <c r="AS292" s="12">
        <f>IF($H292="Cancelled","",IFERROR((T292*INDEX(Variables!$B$7:$D$7,IFERROR(MATCH(IF($B292="Robusta","Robusta",(IF($B292="","Arabica",$B292))&amp;" - "&amp;(IF($C292="","Commercial",$C292))),Variables!$B$1:$D$1,0),1))*IFERROR(IF(W292="","",(AVERAGE(E292:F292)-W292)-Variables!$B$14),"")/365)+(L292/16.67*INDEX(Variables!$B$8:$D$8,IFERROR(MATCH(IF($B292="Robusta","Robusta",(IF($B292="","Arabica",$B292))&amp;" - "&amp;(IF($C292="","Commercial",$C292))),Variables!$B$1:$D$1,0),1))*IFERROR(IF(W292="","",(AVERAGE(E292:F292)-W292)-Variables!$B$14),""))+(T292*INDEX(Variables!$B$9:$D$9,IFERROR(MATCH(IF($B292="Robusta","Robusta",(IF($B292="","Arabica",$B292))&amp;" - "&amp;(IF($C292="","Commercial",$C292))),Variables!$B$1:$D$1,0),1))*IFERROR(IF(W292="","",(AVERAGE(E292:F292)-W292)-Variables!$B$14),"")/365),""))</f>
        <v>-137.45725347112258</v>
      </c>
      <c r="AT292" s="12">
        <f>IF($H292="Cancelled","",IFERROR((T292*INDEX(Variables!$B$7:$D$7,IFERROR(MATCH(IF($B292="Robusta","Robusta",(IF($B292="","Arabica",$B292))&amp;" - "&amp;(IF($C292="","Commercial",$C292))),Variables!$B$1:$D$1,0),1))*AC292/365)+(L292/16.67*INDEX(Variables!$B$8:$D$8,IFERROR(MATCH(IF($B292="Robusta","Robusta",(IF($B292="","Arabica",$B292))&amp;" - "&amp;(IF($C292="","Commercial",$C292))),Variables!$B$1:$D$1,0),1))*AC292)+(T292*INDEX(Variables!$B$9:$D$9,IFERROR(MATCH(IF($B292="Robusta","Robusta",(IF($B292="","Arabica",$B292))&amp;" - "&amp;(IF($C292="","Commercial",$C292))),Variables!$B$1:$D$1,0),1))*AC292/365),""))</f>
        <v>-41.834816273819925</v>
      </c>
      <c r="AU292" s="12">
        <f>IF($H292="Cancelled","",IFERROR((T292*INDEX(Variables!$B$7:$D$7,IFERROR(MATCH(IF($B292="Robusta","Robusta",(IF($B292="","Arabica",$B292))&amp;" - "&amp;(IF($C292="","Commercial",$C292))),Variables!$B$1:$D$1,0),1))*AP292/365)+(L292/16.67*INDEX(Variables!$B$8:$D$8,IFERROR(MATCH(IF($B292="Robusta","Robusta",(IF($B292="","Arabica",$B292))&amp;" - "&amp;(IF($C292="","Commercial",$C292))),Variables!$B$1:$D$1,0),1))*AP292)+(T292*INDEX(Variables!$B$9:$D$9,IFERROR(MATCH(IF($B292="Robusta","Robusta",(IF($B292="","Arabica",$B292))&amp;" - "&amp;(IF($C292="","Commercial",$C292))),Variables!$B$1:$D$1,0),1))*AP292/365),""))</f>
        <v>-5.9764023248314171</v>
      </c>
      <c r="AV292" s="11">
        <f t="shared" si="30"/>
        <v>6</v>
      </c>
      <c r="AW292" s="12">
        <f>IF($H292="Cancelled","",IFERROR(IF(AV292="","",(T292*INDEX(Variables!$B$7:$D$7,IFERROR(MATCH(IF($B292="Robusta","Robusta",(IF($B292="","Arabica",$B292))&amp;" - "&amp;(IF($C292="","Commercial",$C292))),Variables!$B$1:$D$1,0),1))*(AV292/365))+(T292*INDEX(Variables!$B$9:$D$9,IFERROR(MATCH(IF($B292="Robusta","Robusta",(IF($B292="","Arabica",$B292))&amp;" - "&amp;(IF($C292="","Commercial",$C292))),Variables!$B$1:$D$1,0),1))*(AV292/365))+(INDEX(Variables!$B$8:$D$8,IFERROR(MATCH(IF($B292="Robusta","Robusta",(IF($B292="","Arabica",$B292))&amp;" - "&amp;(IF($C292="","Commercial",$C292))),Variables!$B$1:$D$1,0),1))*L292/16.67)),""))</f>
        <v>23.358413948988503</v>
      </c>
      <c r="AX292" s="9"/>
      <c r="AY292" s="12"/>
      <c r="AZ292" s="10"/>
      <c r="BA292" s="9"/>
      <c r="BB292" s="10"/>
      <c r="BC292" s="9"/>
      <c r="BD292" s="9"/>
      <c r="BE292" s="9"/>
      <c r="BF292" s="9"/>
    </row>
    <row r="293" spans="1:58" x14ac:dyDescent="0.25">
      <c r="A293" s="9" t="s">
        <v>84</v>
      </c>
      <c r="B293" s="9" t="s">
        <v>85</v>
      </c>
      <c r="C293" s="9" t="s">
        <v>86</v>
      </c>
      <c r="D293" s="10">
        <v>45650</v>
      </c>
      <c r="E293" s="10">
        <v>45658</v>
      </c>
      <c r="F293" s="10">
        <v>45702</v>
      </c>
      <c r="G293" s="9">
        <v>3786589</v>
      </c>
      <c r="H293" s="9" t="str">
        <f t="shared" si="28"/>
        <v>Closed</v>
      </c>
      <c r="I293" s="9" t="str">
        <f t="shared" si="29"/>
        <v>All dates received</v>
      </c>
      <c r="J293" s="9" t="s">
        <v>286</v>
      </c>
      <c r="K293" s="9" t="s">
        <v>817</v>
      </c>
      <c r="L293" s="11">
        <v>154</v>
      </c>
      <c r="M293" s="9" t="s">
        <v>206</v>
      </c>
      <c r="N293" s="9" t="s">
        <v>334</v>
      </c>
      <c r="O293" s="9"/>
      <c r="P293" s="9"/>
      <c r="Q293" s="11">
        <v>29</v>
      </c>
      <c r="R293" s="9" t="s">
        <v>90</v>
      </c>
      <c r="S293" s="9" t="s">
        <v>215</v>
      </c>
      <c r="T293" s="12">
        <f>IF($H293="Cancelled","",IFERROR(((Q293+INDEX(Variables!$B$6:$D$6,IFERROR(MATCH(IF($B293="Robusta","Robusta",(IF($B293="","Arabica",$B293))&amp;" - "&amp;(IF($C293="","Commercial",$C293))),Variables!$B$1:$D$1,0),1)))*22.0462)*(L293/16.67),""))</f>
        <v>65132.436295140964</v>
      </c>
      <c r="U293" s="10">
        <v>45664</v>
      </c>
      <c r="V293" s="9" t="str">
        <f t="shared" si="31"/>
        <v>Sent</v>
      </c>
      <c r="W293" s="10">
        <v>45673</v>
      </c>
      <c r="X293" s="9" t="str">
        <f t="shared" si="32"/>
        <v>Approved</v>
      </c>
      <c r="Y293" s="10"/>
      <c r="Z293" s="10">
        <f>IF($H293="Cancelled","",IFERROR(IF(F293="","",F293-Variables!$B$13),""))</f>
        <v>45687</v>
      </c>
      <c r="AA293" s="11">
        <f>IF($H293="Cancelled","",IFERROR(IF(W293="","",(AVERAGE(E293:F293)-W293)-Variables!$B$14),""))</f>
        <v>-23</v>
      </c>
      <c r="AB293" s="10">
        <v>45688</v>
      </c>
      <c r="AC293" s="11">
        <f>IF($H293="Cancelled","",IFERROR(IF(AB293="","",IF(AND(W293="",Y293=""),"",IF(Y293&gt;W293,Y293+Variables!$B$15+Variables!$B$16+Variables!$B$17-AB293,W293+Variables!$B$16+Variables!$B$17-AB293))),""))</f>
        <v>-7</v>
      </c>
      <c r="AD293" s="9" t="s">
        <v>165</v>
      </c>
      <c r="AE293" s="9" t="s">
        <v>777</v>
      </c>
      <c r="AF293" s="10">
        <v>45695</v>
      </c>
      <c r="AG293" s="10"/>
      <c r="AH293" s="9"/>
      <c r="AI293" s="9" t="s">
        <v>814</v>
      </c>
      <c r="AJ293" s="9" t="s">
        <v>815</v>
      </c>
      <c r="AK293" s="10">
        <v>45696</v>
      </c>
      <c r="AL293" s="10">
        <v>45699</v>
      </c>
      <c r="AM293" s="10">
        <v>45701</v>
      </c>
      <c r="AN293" s="9" t="s">
        <v>95</v>
      </c>
      <c r="AO293" s="9"/>
      <c r="AP293" s="11">
        <f>IF($H293="Cancelled","",IFERROR(IF(OR(AK293="",AB293=""),"",(AB293+Variables!$B$18-AK293)),""))</f>
        <v>-1</v>
      </c>
      <c r="AQ293" s="11">
        <f>IF($H293="Cancelled","",IFERROR(IF(OR(AM293="",AK293=""),"",(AK293+Variables!$B$19)-AM293),""))</f>
        <v>0</v>
      </c>
      <c r="AR293" s="12">
        <f>IF($H293="Cancelled","",IFERROR(T293*INDEX(Variables!$B$7:$D$7,IFERROR(MATCH(IF($B293="Robusta","Robusta",(IF($B293="","Arabica",$B293))&amp;" - "&amp;(IF($C293="","Commercial",$C293))),Variables!$B$1:$D$1,0),1))*(AQ293/365),""))</f>
        <v>0</v>
      </c>
      <c r="AS293" s="12">
        <f>IF($H293="Cancelled","",IFERROR((T293*INDEX(Variables!$B$7:$D$7,IFERROR(MATCH(IF($B293="Robusta","Robusta",(IF($B293="","Arabica",$B293))&amp;" - "&amp;(IF($C293="","Commercial",$C293))),Variables!$B$1:$D$1,0),1))*IFERROR(IF(W293="","",(AVERAGE(E293:F293)-W293)-Variables!$B$14),"")/365)+(L293/16.67*INDEX(Variables!$B$8:$D$8,IFERROR(MATCH(IF($B293="Robusta","Robusta",(IF($B293="","Arabica",$B293))&amp;" - "&amp;(IF($C293="","Commercial",$C293))),Variables!$B$1:$D$1,0),1))*IFERROR(IF(W293="","",(AVERAGE(E293:F293)-W293)-Variables!$B$14),""))+(T293*INDEX(Variables!$B$9:$D$9,IFERROR(MATCH(IF($B293="Robusta","Robusta",(IF($B293="","Arabica",$B293))&amp;" - "&amp;(IF($C293="","Commercial",$C293))),Variables!$B$1:$D$1,0),1))*IFERROR(IF(W293="","",(AVERAGE(E293:F293)-W293)-Variables!$B$14),"")/365),""))</f>
        <v>-445.1619991592928</v>
      </c>
      <c r="AT293" s="12">
        <f>IF($H293="Cancelled","",IFERROR((T293*INDEX(Variables!$B$7:$D$7,IFERROR(MATCH(IF($B293="Robusta","Robusta",(IF($B293="","Arabica",$B293))&amp;" - "&amp;(IF($C293="","Commercial",$C293))),Variables!$B$1:$D$1,0),1))*AC293/365)+(L293/16.67*INDEX(Variables!$B$8:$D$8,IFERROR(MATCH(IF($B293="Robusta","Robusta",(IF($B293="","Arabica",$B293))&amp;" - "&amp;(IF($C293="","Commercial",$C293))),Variables!$B$1:$D$1,0),1))*AC293)+(T293*INDEX(Variables!$B$9:$D$9,IFERROR(MATCH(IF($B293="Robusta","Robusta",(IF($B293="","Arabica",$B293))&amp;" - "&amp;(IF($C293="","Commercial",$C293))),Variables!$B$1:$D$1,0),1))*AC293/365),""))</f>
        <v>-135.48408670065433</v>
      </c>
      <c r="AU293" s="12">
        <f>IF($H293="Cancelled","",IFERROR((T293*INDEX(Variables!$B$7:$D$7,IFERROR(MATCH(IF($B293="Robusta","Robusta",(IF($B293="","Arabica",$B293))&amp;" - "&amp;(IF($C293="","Commercial",$C293))),Variables!$B$1:$D$1,0),1))*AP293/365)+(L293/16.67*INDEX(Variables!$B$8:$D$8,IFERROR(MATCH(IF($B293="Robusta","Robusta",(IF($B293="","Arabica",$B293))&amp;" - "&amp;(IF($C293="","Commercial",$C293))),Variables!$B$1:$D$1,0),1))*AP293)+(T293*INDEX(Variables!$B$9:$D$9,IFERROR(MATCH(IF($B293="Robusta","Robusta",(IF($B293="","Arabica",$B293))&amp;" - "&amp;(IF($C293="","Commercial",$C293))),Variables!$B$1:$D$1,0),1))*AP293/365),""))</f>
        <v>-19.354869528664903</v>
      </c>
      <c r="AV293" s="11">
        <f t="shared" si="30"/>
        <v>6</v>
      </c>
      <c r="AW293" s="12">
        <f>IF($H293="Cancelled","",IFERROR(IF(AV293="","",(T293*INDEX(Variables!$B$7:$D$7,IFERROR(MATCH(IF($B293="Robusta","Robusta",(IF($B293="","Arabica",$B293))&amp;" - "&amp;(IF($C293="","Commercial",$C293))),Variables!$B$1:$D$1,0),1))*(AV293/365))+(T293*INDEX(Variables!$B$9:$D$9,IFERROR(MATCH(IF($B293="Robusta","Robusta",(IF($B293="","Arabica",$B293))&amp;" - "&amp;(IF($C293="","Commercial",$C293))),Variables!$B$1:$D$1,0),1))*(AV293/365))+(INDEX(Variables!$B$8:$D$8,IFERROR(MATCH(IF($B293="Robusta","Robusta",(IF($B293="","Arabica",$B293))&amp;" - "&amp;(IF($C293="","Commercial",$C293))),Variables!$B$1:$D$1,0),1))*L293/16.67)),""))</f>
        <v>77.62921717198941</v>
      </c>
      <c r="AX293" s="9"/>
      <c r="AY293" s="12"/>
      <c r="AZ293" s="10"/>
      <c r="BA293" s="9"/>
      <c r="BB293" s="10"/>
      <c r="BC293" s="9"/>
      <c r="BD293" s="9"/>
      <c r="BE293" s="9"/>
      <c r="BF293" s="9"/>
    </row>
    <row r="294" spans="1:58" x14ac:dyDescent="0.25">
      <c r="A294" s="9" t="s">
        <v>84</v>
      </c>
      <c r="B294" s="9" t="s">
        <v>85</v>
      </c>
      <c r="C294" s="9" t="s">
        <v>86</v>
      </c>
      <c r="D294" s="10">
        <v>45650</v>
      </c>
      <c r="E294" s="10">
        <v>45689</v>
      </c>
      <c r="F294" s="10">
        <v>45716</v>
      </c>
      <c r="G294" s="9">
        <v>3786584</v>
      </c>
      <c r="H294" s="9" t="str">
        <f t="shared" si="28"/>
        <v>Closed</v>
      </c>
      <c r="I294" s="9" t="str">
        <f t="shared" si="29"/>
        <v>All dates received</v>
      </c>
      <c r="J294" s="9" t="s">
        <v>240</v>
      </c>
      <c r="K294" s="9">
        <v>5168</v>
      </c>
      <c r="L294" s="11">
        <v>360</v>
      </c>
      <c r="M294" s="9" t="s">
        <v>241</v>
      </c>
      <c r="N294" s="9" t="s">
        <v>242</v>
      </c>
      <c r="O294" s="9"/>
      <c r="P294" s="9"/>
      <c r="Q294" s="11">
        <v>-78</v>
      </c>
      <c r="R294" s="9" t="s">
        <v>90</v>
      </c>
      <c r="S294" s="9" t="s">
        <v>243</v>
      </c>
      <c r="T294" s="12">
        <f>IF($H294="Cancelled","",IFERROR(((Q294+INDEX(Variables!$B$6:$D$6,IFERROR(MATCH(IF($B294="Robusta","Robusta",(IF($B294="","Arabica",$B294))&amp;" - "&amp;(IF($C294="","Commercial",$C294))),Variables!$B$1:$D$1,0),1)))*22.0462)*(L294/16.67),""))</f>
        <v>101314.65444511097</v>
      </c>
      <c r="U294" s="10">
        <v>45664</v>
      </c>
      <c r="V294" s="9" t="str">
        <f t="shared" si="31"/>
        <v>Sent</v>
      </c>
      <c r="W294" s="10">
        <v>45674</v>
      </c>
      <c r="X294" s="9" t="str">
        <f t="shared" si="32"/>
        <v>Approved</v>
      </c>
      <c r="Y294" s="10"/>
      <c r="Z294" s="10">
        <f>IF($H294="Cancelled","",IFERROR(IF(F294="","",F294-Variables!$B$13),""))</f>
        <v>45701</v>
      </c>
      <c r="AA294" s="11">
        <f>IF($H294="Cancelled","",IFERROR(IF(W294="","",(AVERAGE(E294:F294)-W294)-Variables!$B$14),""))</f>
        <v>-1.5</v>
      </c>
      <c r="AB294" s="10">
        <v>45688</v>
      </c>
      <c r="AC294" s="11">
        <f>IF($H294="Cancelled","",IFERROR(IF(AB294="","",IF(AND(W294="",Y294=""),"",IF(Y294&gt;W294,Y294+Variables!$B$15+Variables!$B$16+Variables!$B$17-AB294,W294+Variables!$B$16+Variables!$B$17-AB294))),""))</f>
        <v>-6</v>
      </c>
      <c r="AD294" s="9" t="s">
        <v>163</v>
      </c>
      <c r="AE294" s="9" t="s">
        <v>164</v>
      </c>
      <c r="AF294" s="10">
        <v>45702</v>
      </c>
      <c r="AG294" s="10"/>
      <c r="AH294" s="9"/>
      <c r="AI294" s="9">
        <v>249327405</v>
      </c>
      <c r="AJ294" s="9" t="s">
        <v>8</v>
      </c>
      <c r="AK294" s="10">
        <v>45700</v>
      </c>
      <c r="AL294" s="10">
        <v>45705</v>
      </c>
      <c r="AM294" s="10">
        <v>45705</v>
      </c>
      <c r="AN294" s="9" t="s">
        <v>95</v>
      </c>
      <c r="AO294" s="9"/>
      <c r="AP294" s="11">
        <f>IF($H294="Cancelled","",IFERROR(IF(OR(AK294="",AB294=""),"",(AB294+Variables!$B$18-AK294)),""))</f>
        <v>-5</v>
      </c>
      <c r="AQ294" s="11">
        <f>IF($H294="Cancelled","",IFERROR(IF(OR(AM294="",AK294=""),"",(AK294+Variables!$B$19)-AM294),""))</f>
        <v>0</v>
      </c>
      <c r="AR294" s="12">
        <f>IF($H294="Cancelled","",IFERROR(T294*INDEX(Variables!$B$7:$D$7,IFERROR(MATCH(IF($B294="Robusta","Robusta",(IF($B294="","Arabica",$B294))&amp;" - "&amp;(IF($C294="","Commercial",$C294))),Variables!$B$1:$D$1,0),1))*(AQ294/365),""))</f>
        <v>0</v>
      </c>
      <c r="AS294" s="12">
        <f>IF($H294="Cancelled","",IFERROR((T294*INDEX(Variables!$B$7:$D$7,IFERROR(MATCH(IF($B294="Robusta","Robusta",(IF($B294="","Arabica",$B294))&amp;" - "&amp;(IF($C294="","Commercial",$C294))),Variables!$B$1:$D$1,0),1))*IFERROR(IF(W294="","",(AVERAGE(E294:F294)-W294)-Variables!$B$14),"")/365)+(L294/16.67*INDEX(Variables!$B$8:$D$8,IFERROR(MATCH(IF($B294="Robusta","Robusta",(IF($B294="","Arabica",$B294))&amp;" - "&amp;(IF($C294="","Commercial",$C294))),Variables!$B$1:$D$1,0),1))*IFERROR(IF(W294="","",(AVERAGE(E294:F294)-W294)-Variables!$B$14),""))+(T294*INDEX(Variables!$B$9:$D$9,IFERROR(MATCH(IF($B294="Robusta","Robusta",(IF($B294="","Arabica",$B294))&amp;" - "&amp;(IF($C294="","Commercial",$C294))),Variables!$B$1:$D$1,0),1))*IFERROR(IF(W294="","",(AVERAGE(E294:F294)-W294)-Variables!$B$14),"")/365),""))</f>
        <v>-54.194032944249692</v>
      </c>
      <c r="AT294" s="12">
        <f>IF($H294="Cancelled","",IFERROR((T294*INDEX(Variables!$B$7:$D$7,IFERROR(MATCH(IF($B294="Robusta","Robusta",(IF($B294="","Arabica",$B294))&amp;" - "&amp;(IF($C294="","Commercial",$C294))),Variables!$B$1:$D$1,0),1))*AC294/365)+(L294/16.67*INDEX(Variables!$B$8:$D$8,IFERROR(MATCH(IF($B294="Robusta","Robusta",(IF($B294="","Arabica",$B294))&amp;" - "&amp;(IF($C294="","Commercial",$C294))),Variables!$B$1:$D$1,0),1))*AC294)+(T294*INDEX(Variables!$B$9:$D$9,IFERROR(MATCH(IF($B294="Robusta","Robusta",(IF($B294="","Arabica",$B294))&amp;" - "&amp;(IF($C294="","Commercial",$C294))),Variables!$B$1:$D$1,0),1))*AC294/365),""))</f>
        <v>-216.77613177699877</v>
      </c>
      <c r="AU294" s="12">
        <f>IF($H294="Cancelled","",IFERROR((T294*INDEX(Variables!$B$7:$D$7,IFERROR(MATCH(IF($B294="Robusta","Robusta",(IF($B294="","Arabica",$B294))&amp;" - "&amp;(IF($C294="","Commercial",$C294))),Variables!$B$1:$D$1,0),1))*AP294/365)+(L294/16.67*INDEX(Variables!$B$8:$D$8,IFERROR(MATCH(IF($B294="Robusta","Robusta",(IF($B294="","Arabica",$B294))&amp;" - "&amp;(IF($C294="","Commercial",$C294))),Variables!$B$1:$D$1,0),1))*AP294)+(T294*INDEX(Variables!$B$9:$D$9,IFERROR(MATCH(IF($B294="Robusta","Robusta",(IF($B294="","Arabica",$B294))&amp;" - "&amp;(IF($C294="","Commercial",$C294))),Variables!$B$1:$D$1,0),1))*AP294/365),""))</f>
        <v>-180.64677648083227</v>
      </c>
      <c r="AV294" s="11">
        <f t="shared" si="30"/>
        <v>16</v>
      </c>
      <c r="AW294" s="12">
        <f>IF($H294="Cancelled","",IFERROR(IF(AV294="","",(T294*INDEX(Variables!$B$7:$D$7,IFERROR(MATCH(IF($B294="Robusta","Robusta",(IF($B294="","Arabica",$B294))&amp;" - "&amp;(IF($C294="","Commercial",$C294))),Variables!$B$1:$D$1,0),1))*(AV294/365))+(T294*INDEX(Variables!$B$9:$D$9,IFERROR(MATCH(IF($B294="Robusta","Robusta",(IF($B294="","Arabica",$B294))&amp;" - "&amp;(IF($C294="","Commercial",$C294))),Variables!$B$1:$D$1,0),1))*(AV294/365))+(INDEX(Variables!$B$8:$D$8,IFERROR(MATCH(IF($B294="Robusta","Robusta",(IF($B294="","Arabica",$B294))&amp;" - "&amp;(IF($C294="","Commercial",$C294))),Variables!$B$1:$D$1,0),1))*L294/16.67)),""))</f>
        <v>308.06968473866323</v>
      </c>
      <c r="AX294" s="9"/>
      <c r="AY294" s="12"/>
      <c r="AZ294" s="10"/>
      <c r="BA294" s="9"/>
      <c r="BB294" s="10"/>
      <c r="BC294" s="9"/>
      <c r="BD294" s="9"/>
      <c r="BE294" s="9"/>
      <c r="BF294" s="9"/>
    </row>
    <row r="295" spans="1:58" x14ac:dyDescent="0.25">
      <c r="A295" s="9" t="s">
        <v>84</v>
      </c>
      <c r="B295" s="9" t="s">
        <v>85</v>
      </c>
      <c r="C295" s="9" t="s">
        <v>86</v>
      </c>
      <c r="D295" s="10">
        <v>45650</v>
      </c>
      <c r="E295" s="10">
        <v>45717</v>
      </c>
      <c r="F295" s="10">
        <v>45747</v>
      </c>
      <c r="G295" s="9">
        <v>3786585</v>
      </c>
      <c r="H295" s="9" t="str">
        <f t="shared" si="28"/>
        <v>Closed</v>
      </c>
      <c r="I295" s="9" t="str">
        <f t="shared" si="29"/>
        <v>All dates received</v>
      </c>
      <c r="J295" s="9" t="s">
        <v>240</v>
      </c>
      <c r="K295" s="9">
        <v>5216</v>
      </c>
      <c r="L295" s="11">
        <v>360</v>
      </c>
      <c r="M295" s="9" t="s">
        <v>241</v>
      </c>
      <c r="N295" s="9" t="s">
        <v>242</v>
      </c>
      <c r="O295" s="9"/>
      <c r="P295" s="9"/>
      <c r="Q295" s="11">
        <v>-78</v>
      </c>
      <c r="R295" s="9" t="s">
        <v>90</v>
      </c>
      <c r="S295" s="9" t="s">
        <v>243</v>
      </c>
      <c r="T295" s="12">
        <f>IF($H295="Cancelled","",IFERROR(((Q295+INDEX(Variables!$B$6:$D$6,IFERROR(MATCH(IF($B295="Robusta","Robusta",(IF($B295="","Arabica",$B295))&amp;" - "&amp;(IF($C295="","Commercial",$C295))),Variables!$B$1:$D$1,0),1)))*22.0462)*(L295/16.67),""))</f>
        <v>101314.65444511097</v>
      </c>
      <c r="U295" s="10">
        <v>45692</v>
      </c>
      <c r="V295" s="9" t="str">
        <f t="shared" si="31"/>
        <v>Sent</v>
      </c>
      <c r="W295" s="10">
        <v>45736</v>
      </c>
      <c r="X295" s="9" t="str">
        <f t="shared" si="32"/>
        <v>Approved</v>
      </c>
      <c r="Y295" s="10"/>
      <c r="Z295" s="10">
        <f>IF($H295="Cancelled","",IFERROR(IF(F295="","",F295-Variables!$B$13),""))</f>
        <v>45732</v>
      </c>
      <c r="AA295" s="11">
        <f>IF($H295="Cancelled","",IFERROR(IF(W295="","",(AVERAGE(E295:F295)-W295)-Variables!$B$14),""))</f>
        <v>-34</v>
      </c>
      <c r="AB295" s="10">
        <v>45742</v>
      </c>
      <c r="AC295" s="11">
        <f>IF($H295="Cancelled","",IFERROR(IF(AB295="","",IF(AND(W295="",Y295=""),"",IF(Y295&gt;W295,Y295+Variables!$B$15+Variables!$B$16+Variables!$B$17-AB295,W295+Variables!$B$16+Variables!$B$17-AB295))),""))</f>
        <v>2</v>
      </c>
      <c r="AD295" s="9" t="s">
        <v>247</v>
      </c>
      <c r="AE295" s="9" t="s">
        <v>818</v>
      </c>
      <c r="AF295" s="10"/>
      <c r="AG295" s="10"/>
      <c r="AH295" s="9"/>
      <c r="AI295" s="9" t="s">
        <v>819</v>
      </c>
      <c r="AJ295" s="9" t="s">
        <v>8</v>
      </c>
      <c r="AK295" s="10">
        <v>45753</v>
      </c>
      <c r="AL295" s="10">
        <v>45756</v>
      </c>
      <c r="AM295" s="10">
        <v>45758</v>
      </c>
      <c r="AN295" s="9" t="s">
        <v>95</v>
      </c>
      <c r="AO295" s="9"/>
      <c r="AP295" s="11">
        <f>IF($H295="Cancelled","",IFERROR(IF(OR(AK295="",AB295=""),"",(AB295+Variables!$B$18-AK295)),""))</f>
        <v>-4</v>
      </c>
      <c r="AQ295" s="11">
        <f>IF($H295="Cancelled","",IFERROR(IF(OR(AM295="",AK295=""),"",(AK295+Variables!$B$19)-AM295),""))</f>
        <v>0</v>
      </c>
      <c r="AR295" s="12">
        <f>IF($H295="Cancelled","",IFERROR(T295*INDEX(Variables!$B$7:$D$7,IFERROR(MATCH(IF($B295="Robusta","Robusta",(IF($B295="","Arabica",$B295))&amp;" - "&amp;(IF($C295="","Commercial",$C295))),Variables!$B$1:$D$1,0),1))*(AQ295/365),""))</f>
        <v>0</v>
      </c>
      <c r="AS295" s="12">
        <f>IF($H295="Cancelled","",IFERROR((T295*INDEX(Variables!$B$7:$D$7,IFERROR(MATCH(IF($B295="Robusta","Robusta",(IF($B295="","Arabica",$B295))&amp;" - "&amp;(IF($C295="","Commercial",$C295))),Variables!$B$1:$D$1,0),1))*IFERROR(IF(W295="","",(AVERAGE(E295:F295)-W295)-Variables!$B$14),"")/365)+(L295/16.67*INDEX(Variables!$B$8:$D$8,IFERROR(MATCH(IF($B295="Robusta","Robusta",(IF($B295="","Arabica",$B295))&amp;" - "&amp;(IF($C295="","Commercial",$C295))),Variables!$B$1:$D$1,0),1))*IFERROR(IF(W295="","",(AVERAGE(E295:F295)-W295)-Variables!$B$14),""))+(T295*INDEX(Variables!$B$9:$D$9,IFERROR(MATCH(IF($B295="Robusta","Robusta",(IF($B295="","Arabica",$B295))&amp;" - "&amp;(IF($C295="","Commercial",$C295))),Variables!$B$1:$D$1,0),1))*IFERROR(IF(W295="","",(AVERAGE(E295:F295)-W295)-Variables!$B$14),"")/365),""))</f>
        <v>-1228.3980800696595</v>
      </c>
      <c r="AT295" s="12">
        <f>IF($H295="Cancelled","",IFERROR((T295*INDEX(Variables!$B$7:$D$7,IFERROR(MATCH(IF($B295="Robusta","Robusta",(IF($B295="","Arabica",$B295))&amp;" - "&amp;(IF($C295="","Commercial",$C295))),Variables!$B$1:$D$1,0),1))*AC295/365)+(L295/16.67*INDEX(Variables!$B$8:$D$8,IFERROR(MATCH(IF($B295="Robusta","Robusta",(IF($B295="","Arabica",$B295))&amp;" - "&amp;(IF($C295="","Commercial",$C295))),Variables!$B$1:$D$1,0),1))*AC295)+(T295*INDEX(Variables!$B$9:$D$9,IFERROR(MATCH(IF($B295="Robusta","Robusta",(IF($B295="","Arabica",$B295))&amp;" - "&amp;(IF($C295="","Commercial",$C295))),Variables!$B$1:$D$1,0),1))*AC295/365),""))</f>
        <v>72.258710592332903</v>
      </c>
      <c r="AU295" s="12">
        <f>IF($H295="Cancelled","",IFERROR((T295*INDEX(Variables!$B$7:$D$7,IFERROR(MATCH(IF($B295="Robusta","Robusta",(IF($B295="","Arabica",$B295))&amp;" - "&amp;(IF($C295="","Commercial",$C295))),Variables!$B$1:$D$1,0),1))*AP295/365)+(L295/16.67*INDEX(Variables!$B$8:$D$8,IFERROR(MATCH(IF($B295="Robusta","Robusta",(IF($B295="","Arabica",$B295))&amp;" - "&amp;(IF($C295="","Commercial",$C295))),Variables!$B$1:$D$1,0),1))*AP295)+(T295*INDEX(Variables!$B$9:$D$9,IFERROR(MATCH(IF($B295="Robusta","Robusta",(IF($B295="","Arabica",$B295))&amp;" - "&amp;(IF($C295="","Commercial",$C295))),Variables!$B$1:$D$1,0),1))*AP295/365),""))</f>
        <v>-144.51742118466581</v>
      </c>
      <c r="AV295" s="11">
        <f t="shared" si="30"/>
        <v>-6</v>
      </c>
      <c r="AW295" s="12">
        <f>IF($H295="Cancelled","",IFERROR(IF(AV295="","",(T295*INDEX(Variables!$B$7:$D$7,IFERROR(MATCH(IF($B295="Robusta","Robusta",(IF($B295="","Arabica",$B295))&amp;" - "&amp;(IF($C295="","Commercial",$C295))),Variables!$B$1:$D$1,0),1))*(AV295/365))+(T295*INDEX(Variables!$B$9:$D$9,IFERROR(MATCH(IF($B295="Robusta","Robusta",(IF($B295="","Arabica",$B295))&amp;" - "&amp;(IF($C295="","Commercial",$C295))),Variables!$B$1:$D$1,0),1))*(AV295/365))+(INDEX(Variables!$B$8:$D$8,IFERROR(MATCH(IF($B295="Robusta","Robusta",(IF($B295="","Arabica",$B295))&amp;" - "&amp;(IF($C295="","Commercial",$C295))),Variables!$B$1:$D$1,0),1))*L295/16.67)),""))</f>
        <v>-90.776131776998696</v>
      </c>
      <c r="AX295" s="9"/>
      <c r="AY295" s="12"/>
      <c r="AZ295" s="10"/>
      <c r="BA295" s="9"/>
      <c r="BB295" s="10"/>
      <c r="BC295" s="9"/>
      <c r="BD295" s="9"/>
      <c r="BE295" s="9"/>
      <c r="BF295" s="9"/>
    </row>
    <row r="296" spans="1:58" x14ac:dyDescent="0.25">
      <c r="A296" s="9" t="s">
        <v>84</v>
      </c>
      <c r="B296" s="9" t="s">
        <v>85</v>
      </c>
      <c r="C296" s="9" t="s">
        <v>86</v>
      </c>
      <c r="D296" s="10">
        <v>45650</v>
      </c>
      <c r="E296" s="10">
        <v>45717</v>
      </c>
      <c r="F296" s="10">
        <v>45747</v>
      </c>
      <c r="G296" s="9">
        <v>3786590</v>
      </c>
      <c r="H296" s="9" t="str">
        <f t="shared" si="28"/>
        <v>Closed</v>
      </c>
      <c r="I296" s="9" t="str">
        <f t="shared" si="29"/>
        <v>All dates received</v>
      </c>
      <c r="J296" s="9" t="s">
        <v>102</v>
      </c>
      <c r="K296" s="9">
        <v>5177</v>
      </c>
      <c r="L296" s="11">
        <v>320</v>
      </c>
      <c r="M296" s="9" t="s">
        <v>820</v>
      </c>
      <c r="N296" s="9" t="s">
        <v>455</v>
      </c>
      <c r="O296" s="9"/>
      <c r="P296" s="9"/>
      <c r="Q296" s="11">
        <v>57</v>
      </c>
      <c r="R296" s="9" t="s">
        <v>90</v>
      </c>
      <c r="S296" s="9" t="s">
        <v>821</v>
      </c>
      <c r="T296" s="12">
        <f>IF($H296="Cancelled","",IFERROR(((Q296+INDEX(Variables!$B$6:$D$6,IFERROR(MATCH(IF($B296="Robusta","Robusta",(IF($B296="","Arabica",$B296))&amp;" - "&amp;(IF($C296="","Commercial",$C296))),Variables!$B$1:$D$1,0),1)))*22.0462)*(L296/16.67),""))</f>
        <v>147189.79455308936</v>
      </c>
      <c r="U296" s="10">
        <v>45687</v>
      </c>
      <c r="V296" s="9" t="str">
        <f t="shared" si="31"/>
        <v>Sent</v>
      </c>
      <c r="W296" s="10">
        <v>45700</v>
      </c>
      <c r="X296" s="9" t="str">
        <f t="shared" si="32"/>
        <v>Approved</v>
      </c>
      <c r="Y296" s="10"/>
      <c r="Z296" s="10">
        <f>IF($H296="Cancelled","",IFERROR(IF(F296="","",F296-Variables!$B$13),""))</f>
        <v>45732</v>
      </c>
      <c r="AA296" s="11">
        <f>IF($H296="Cancelled","",IFERROR(IF(W296="","",(AVERAGE(E296:F296)-W296)-Variables!$B$14),""))</f>
        <v>2</v>
      </c>
      <c r="AB296" s="10">
        <v>45721</v>
      </c>
      <c r="AC296" s="11">
        <f>IF($H296="Cancelled","",IFERROR(IF(AB296="","",IF(AND(W296="",Y296=""),"",IF(Y296&gt;W296,Y296+Variables!$B$15+Variables!$B$16+Variables!$B$17-AB296,W296+Variables!$B$16+Variables!$B$17-AB296))),""))</f>
        <v>-13</v>
      </c>
      <c r="AD296" s="9" t="s">
        <v>107</v>
      </c>
      <c r="AE296" s="9" t="s">
        <v>662</v>
      </c>
      <c r="AF296" s="10">
        <v>45725</v>
      </c>
      <c r="AG296" s="10"/>
      <c r="AH296" s="9"/>
      <c r="AI296" s="9" t="s">
        <v>822</v>
      </c>
      <c r="AJ296" s="9" t="s">
        <v>823</v>
      </c>
      <c r="AK296" s="10">
        <v>45732</v>
      </c>
      <c r="AL296" s="10">
        <v>45737</v>
      </c>
      <c r="AM296" s="10">
        <v>45748</v>
      </c>
      <c r="AN296" s="9" t="s">
        <v>95</v>
      </c>
      <c r="AO296" s="9"/>
      <c r="AP296" s="11">
        <f>IF($H296="Cancelled","",IFERROR(IF(OR(AK296="",AB296=""),"",(AB296+Variables!$B$18-AK296)),""))</f>
        <v>-4</v>
      </c>
      <c r="AQ296" s="11">
        <f>IF($H296="Cancelled","",IFERROR(IF(OR(AM296="",AK296=""),"",(AK296+Variables!$B$19)-AM296),""))</f>
        <v>-11</v>
      </c>
      <c r="AR296" s="12">
        <f>IF($H296="Cancelled","",IFERROR(T296*INDEX(Variables!$B$7:$D$7,IFERROR(MATCH(IF($B296="Robusta","Robusta",(IF($B296="","Arabica",$B296))&amp;" - "&amp;(IF($C296="","Commercial",$C296))),Variables!$B$1:$D$1,0),1))*(AQ296/365),""))</f>
        <v>-286.03380677710527</v>
      </c>
      <c r="AS296" s="12">
        <f>IF($H296="Cancelled","",IFERROR((T296*INDEX(Variables!$B$7:$D$7,IFERROR(MATCH(IF($B296="Robusta","Robusta",(IF($B296="","Arabica",$B296))&amp;" - "&amp;(IF($C296="","Commercial",$C296))),Variables!$B$1:$D$1,0),1))*IFERROR(IF(W296="","",(AVERAGE(E296:F296)-W296)-Variables!$B$14),"")/365)+(L296/16.67*INDEX(Variables!$B$8:$D$8,IFERROR(MATCH(IF($B296="Robusta","Robusta",(IF($B296="","Arabica",$B296))&amp;" - "&amp;(IF($C296="","Commercial",$C296))),Variables!$B$1:$D$1,0),1))*IFERROR(IF(W296="","",(AVERAGE(E296:F296)-W296)-Variables!$B$14),""))+(T296*INDEX(Variables!$B$9:$D$9,IFERROR(MATCH(IF($B296="Robusta","Robusta",(IF($B296="","Arabica",$B296))&amp;" - "&amp;(IF($C296="","Commercial",$C296))),Variables!$B$1:$D$1,0),1))*IFERROR(IF(W296="","",(AVERAGE(E296:F296)-W296)-Variables!$B$14),"")/365),""))</f>
        <v>84.676606282428509</v>
      </c>
      <c r="AT296" s="12">
        <f>IF($H296="Cancelled","",IFERROR((T296*INDEX(Variables!$B$7:$D$7,IFERROR(MATCH(IF($B296="Robusta","Robusta",(IF($B296="","Arabica",$B296))&amp;" - "&amp;(IF($C296="","Commercial",$C296))),Variables!$B$1:$D$1,0),1))*AC296/365)+(L296/16.67*INDEX(Variables!$B$8:$D$8,IFERROR(MATCH(IF($B296="Robusta","Robusta",(IF($B296="","Arabica",$B296))&amp;" - "&amp;(IF($C296="","Commercial",$C296))),Variables!$B$1:$D$1,0),1))*AC296)+(T296*INDEX(Variables!$B$9:$D$9,IFERROR(MATCH(IF($B296="Robusta","Robusta",(IF($B296="","Arabica",$B296))&amp;" - "&amp;(IF($C296="","Commercial",$C296))),Variables!$B$1:$D$1,0),1))*AC296/365),""))</f>
        <v>-550.39794083578522</v>
      </c>
      <c r="AU296" s="12">
        <f>IF($H296="Cancelled","",IFERROR((T296*INDEX(Variables!$B$7:$D$7,IFERROR(MATCH(IF($B296="Robusta","Robusta",(IF($B296="","Arabica",$B296))&amp;" - "&amp;(IF($C296="","Commercial",$C296))),Variables!$B$1:$D$1,0),1))*AP296/365)+(L296/16.67*INDEX(Variables!$B$8:$D$8,IFERROR(MATCH(IF($B296="Robusta","Robusta",(IF($B296="","Arabica",$B296))&amp;" - "&amp;(IF($C296="","Commercial",$C296))),Variables!$B$1:$D$1,0),1))*AP296)+(T296*INDEX(Variables!$B$9:$D$9,IFERROR(MATCH(IF($B296="Robusta","Robusta",(IF($B296="","Arabica",$B296))&amp;" - "&amp;(IF($C296="","Commercial",$C296))),Variables!$B$1:$D$1,0),1))*AP296/365),""))</f>
        <v>-169.35321256485702</v>
      </c>
      <c r="AV296" s="11">
        <f t="shared" si="30"/>
        <v>15</v>
      </c>
      <c r="AW296" s="12">
        <f>IF($H296="Cancelled","",IFERROR(IF(AV296="","",(T296*INDEX(Variables!$B$7:$D$7,IFERROR(MATCH(IF($B296="Robusta","Robusta",(IF($B296="","Arabica",$B296))&amp;" - "&amp;(IF($C296="","Commercial",$C296))),Variables!$B$1:$D$1,0),1))*(AV296/365))+(T296*INDEX(Variables!$B$9:$D$9,IFERROR(MATCH(IF($B296="Robusta","Robusta",(IF($B296="","Arabica",$B296))&amp;" - "&amp;(IF($C296="","Commercial",$C296))),Variables!$B$1:$D$1,0),1))*(AV296/365))+(INDEX(Variables!$B$8:$D$8,IFERROR(MATCH(IF($B296="Robusta","Robusta",(IF($B296="","Arabica",$B296))&amp;" - "&amp;(IF($C296="","Commercial",$C296))),Variables!$B$1:$D$1,0),1))*L296/16.67)),""))</f>
        <v>411.07454711821379</v>
      </c>
      <c r="AX296" s="9"/>
      <c r="AY296" s="12"/>
      <c r="AZ296" s="10"/>
      <c r="BA296" s="9"/>
      <c r="BB296" s="10"/>
      <c r="BC296" s="9"/>
      <c r="BD296" s="9"/>
      <c r="BE296" s="9"/>
      <c r="BF296" s="9"/>
    </row>
    <row r="297" spans="1:58" x14ac:dyDescent="0.25">
      <c r="A297" s="9" t="s">
        <v>84</v>
      </c>
      <c r="B297" s="9" t="s">
        <v>85</v>
      </c>
      <c r="C297" s="9" t="s">
        <v>86</v>
      </c>
      <c r="D297" s="10">
        <v>45650</v>
      </c>
      <c r="E297" s="10">
        <v>45748</v>
      </c>
      <c r="F297" s="10">
        <v>45777</v>
      </c>
      <c r="G297" s="9">
        <v>3786586</v>
      </c>
      <c r="H297" s="9" t="str">
        <f t="shared" si="28"/>
        <v>Closed</v>
      </c>
      <c r="I297" s="9" t="str">
        <f t="shared" si="29"/>
        <v>All dates received</v>
      </c>
      <c r="J297" s="9" t="s">
        <v>240</v>
      </c>
      <c r="K297" s="9" t="s">
        <v>824</v>
      </c>
      <c r="L297" s="11">
        <v>360</v>
      </c>
      <c r="M297" s="9" t="s">
        <v>241</v>
      </c>
      <c r="N297" s="9" t="s">
        <v>242</v>
      </c>
      <c r="O297" s="9"/>
      <c r="P297" s="9"/>
      <c r="Q297" s="11">
        <v>-78</v>
      </c>
      <c r="R297" s="9" t="s">
        <v>90</v>
      </c>
      <c r="S297" s="9" t="s">
        <v>825</v>
      </c>
      <c r="T297" s="12">
        <f>IF($H297="Cancelled","",IFERROR(((Q297+INDEX(Variables!$B$6:$D$6,IFERROR(MATCH(IF($B297="Robusta","Robusta",(IF($B297="","Arabica",$B297))&amp;" - "&amp;(IF($C297="","Commercial",$C297))),Variables!$B$1:$D$1,0),1)))*22.0462)*(L297/16.67),""))</f>
        <v>101314.65444511097</v>
      </c>
      <c r="U297" s="10">
        <v>45737</v>
      </c>
      <c r="V297" s="9" t="str">
        <f t="shared" si="31"/>
        <v>Sent</v>
      </c>
      <c r="W297" s="10">
        <v>45757</v>
      </c>
      <c r="X297" s="9" t="str">
        <f t="shared" si="32"/>
        <v>Approved</v>
      </c>
      <c r="Y297" s="10"/>
      <c r="Z297" s="10">
        <f>IF($H297="Cancelled","",IFERROR(IF(F297="","",F297-Variables!$B$13),""))</f>
        <v>45762</v>
      </c>
      <c r="AA297" s="11">
        <f>IF($H297="Cancelled","",IFERROR(IF(W297="","",(AVERAGE(E297:F297)-W297)-Variables!$B$14),""))</f>
        <v>-24.5</v>
      </c>
      <c r="AB297" s="10">
        <v>45769</v>
      </c>
      <c r="AC297" s="11">
        <f>IF($H297="Cancelled","",IFERROR(IF(AB297="","",IF(AND(W297="",Y297=""),"",IF(Y297&gt;W297,Y297+Variables!$B$15+Variables!$B$16+Variables!$B$17-AB297,W297+Variables!$B$16+Variables!$B$17-AB297))),""))</f>
        <v>-4</v>
      </c>
      <c r="AD297" s="9" t="s">
        <v>107</v>
      </c>
      <c r="AE297" s="9" t="s">
        <v>826</v>
      </c>
      <c r="AF297" s="10"/>
      <c r="AG297" s="10"/>
      <c r="AH297" s="9"/>
      <c r="AI297" s="9" t="s">
        <v>827</v>
      </c>
      <c r="AJ297" s="9" t="s">
        <v>8</v>
      </c>
      <c r="AK297" s="10">
        <v>45778</v>
      </c>
      <c r="AL297" s="10">
        <v>45789</v>
      </c>
      <c r="AM297" s="10">
        <v>45791</v>
      </c>
      <c r="AN297" s="9" t="s">
        <v>95</v>
      </c>
      <c r="AO297" s="9"/>
      <c r="AP297" s="11">
        <f>IF($H297="Cancelled","",IFERROR(IF(OR(AK297="",AB297=""),"",(AB297+Variables!$B$18-AK297)),""))</f>
        <v>-2</v>
      </c>
      <c r="AQ297" s="11">
        <f>IF($H297="Cancelled","",IFERROR(IF(OR(AM297="",AK297=""),"",(AK297+Variables!$B$19)-AM297),""))</f>
        <v>-8</v>
      </c>
      <c r="AR297" s="12">
        <f>IF($H297="Cancelled","",IFERROR(T297*INDEX(Variables!$B$7:$D$7,IFERROR(MATCH(IF($B297="Robusta","Robusta",(IF($B297="","Arabica",$B297))&amp;" - "&amp;(IF($C297="","Commercial",$C297))),Variables!$B$1:$D$1,0),1))*(AQ297/365),""))</f>
        <v>-143.18886160790211</v>
      </c>
      <c r="AS297" s="12">
        <f>IF($H297="Cancelled","",IFERROR((T297*INDEX(Variables!$B$7:$D$7,IFERROR(MATCH(IF($B297="Robusta","Robusta",(IF($B297="","Arabica",$B297))&amp;" - "&amp;(IF($C297="","Commercial",$C297))),Variables!$B$1:$D$1,0),1))*IFERROR(IF(W297="","",(AVERAGE(E297:F297)-W297)-Variables!$B$14),"")/365)+(L297/16.67*INDEX(Variables!$B$8:$D$8,IFERROR(MATCH(IF($B297="Robusta","Robusta",(IF($B297="","Arabica",$B297))&amp;" - "&amp;(IF($C297="","Commercial",$C297))),Variables!$B$1:$D$1,0),1))*IFERROR(IF(W297="","",(AVERAGE(E297:F297)-W297)-Variables!$B$14),""))+(T297*INDEX(Variables!$B$9:$D$9,IFERROR(MATCH(IF($B297="Robusta","Robusta",(IF($B297="","Arabica",$B297))&amp;" - "&amp;(IF($C297="","Commercial",$C297))),Variables!$B$1:$D$1,0),1))*IFERROR(IF(W297="","",(AVERAGE(E297:F297)-W297)-Variables!$B$14),"")/365),""))</f>
        <v>-885.16920475607822</v>
      </c>
      <c r="AT297" s="12">
        <f>IF($H297="Cancelled","",IFERROR((T297*INDEX(Variables!$B$7:$D$7,IFERROR(MATCH(IF($B297="Robusta","Robusta",(IF($B297="","Arabica",$B297))&amp;" - "&amp;(IF($C297="","Commercial",$C297))),Variables!$B$1:$D$1,0),1))*AC297/365)+(L297/16.67*INDEX(Variables!$B$8:$D$8,IFERROR(MATCH(IF($B297="Robusta","Robusta",(IF($B297="","Arabica",$B297))&amp;" - "&amp;(IF($C297="","Commercial",$C297))),Variables!$B$1:$D$1,0),1))*AC297)+(T297*INDEX(Variables!$B$9:$D$9,IFERROR(MATCH(IF($B297="Robusta","Robusta",(IF($B297="","Arabica",$B297))&amp;" - "&amp;(IF($C297="","Commercial",$C297))),Variables!$B$1:$D$1,0),1))*AC297/365),""))</f>
        <v>-144.51742118466581</v>
      </c>
      <c r="AU297" s="12">
        <f>IF($H297="Cancelled","",IFERROR((T297*INDEX(Variables!$B$7:$D$7,IFERROR(MATCH(IF($B297="Robusta","Robusta",(IF($B297="","Arabica",$B297))&amp;" - "&amp;(IF($C297="","Commercial",$C297))),Variables!$B$1:$D$1,0),1))*AP297/365)+(L297/16.67*INDEX(Variables!$B$8:$D$8,IFERROR(MATCH(IF($B297="Robusta","Robusta",(IF($B297="","Arabica",$B297))&amp;" - "&amp;(IF($C297="","Commercial",$C297))),Variables!$B$1:$D$1,0),1))*AP297)+(T297*INDEX(Variables!$B$9:$D$9,IFERROR(MATCH(IF($B297="Robusta","Robusta",(IF($B297="","Arabica",$B297))&amp;" - "&amp;(IF($C297="","Commercial",$C297))),Variables!$B$1:$D$1,0),1))*AP297/365),""))</f>
        <v>-72.258710592332903</v>
      </c>
      <c r="AV297" s="11">
        <f t="shared" si="30"/>
        <v>-1</v>
      </c>
      <c r="AW297" s="12">
        <f>IF($H297="Cancelled","",IFERROR(IF(AV297="","",(T297*INDEX(Variables!$B$7:$D$7,IFERROR(MATCH(IF($B297="Robusta","Robusta",(IF($B297="","Arabica",$B297))&amp;" - "&amp;(IF($C297="","Commercial",$C297))),Variables!$B$1:$D$1,0),1))*(AV297/365))+(T297*INDEX(Variables!$B$9:$D$9,IFERROR(MATCH(IF($B297="Robusta","Robusta",(IF($B297="","Arabica",$B297))&amp;" - "&amp;(IF($C297="","Commercial",$C297))),Variables!$B$1:$D$1,0),1))*(AV297/365))+(INDEX(Variables!$B$8:$D$8,IFERROR(MATCH(IF($B297="Robusta","Robusta",(IF($B297="","Arabica",$B297))&amp;" - "&amp;(IF($C297="","Commercial",$C297))),Variables!$B$1:$D$1,0),1))*L297/16.67)),""))</f>
        <v>-0.12935529616645169</v>
      </c>
      <c r="AX297" s="9"/>
      <c r="AY297" s="12"/>
      <c r="AZ297" s="10"/>
      <c r="BA297" s="9"/>
      <c r="BB297" s="10"/>
      <c r="BC297" s="9"/>
      <c r="BD297" s="9"/>
      <c r="BE297" s="9"/>
      <c r="BF297" s="9"/>
    </row>
    <row r="298" spans="1:58" x14ac:dyDescent="0.25">
      <c r="A298" s="9" t="s">
        <v>84</v>
      </c>
      <c r="B298" s="9" t="s">
        <v>85</v>
      </c>
      <c r="C298" s="9" t="s">
        <v>86</v>
      </c>
      <c r="D298" s="10">
        <v>45665</v>
      </c>
      <c r="E298" s="10">
        <v>45689</v>
      </c>
      <c r="F298" s="10">
        <v>45716</v>
      </c>
      <c r="G298" s="9">
        <v>3786591</v>
      </c>
      <c r="H298" s="9" t="str">
        <f t="shared" si="28"/>
        <v>Closed</v>
      </c>
      <c r="I298" s="9" t="str">
        <f t="shared" si="29"/>
        <v>All dates received</v>
      </c>
      <c r="J298" s="9" t="s">
        <v>102</v>
      </c>
      <c r="K298" s="9">
        <v>5157</v>
      </c>
      <c r="L298" s="11">
        <v>720</v>
      </c>
      <c r="M298" s="9" t="s">
        <v>828</v>
      </c>
      <c r="N298" s="9" t="s">
        <v>450</v>
      </c>
      <c r="O298" s="9"/>
      <c r="P298" s="9"/>
      <c r="Q298" s="11">
        <v>0</v>
      </c>
      <c r="R298" s="9" t="s">
        <v>90</v>
      </c>
      <c r="S298" s="9" t="s">
        <v>656</v>
      </c>
      <c r="T298" s="12">
        <f>IF($H298="Cancelled","",IFERROR(((Q298+INDEX(Variables!$B$6:$D$6,IFERROR(MATCH(IF($B298="Robusta","Robusta",(IF($B298="","Arabica",$B298))&amp;" - "&amp;(IF($C298="","Commercial",$C298))),Variables!$B$1:$D$1,0),1)))*22.0462)*(L298/16.67),""))</f>
        <v>276901.33000599878</v>
      </c>
      <c r="U298" s="10">
        <v>45671</v>
      </c>
      <c r="V298" s="9" t="str">
        <f t="shared" si="31"/>
        <v>Sent</v>
      </c>
      <c r="W298" s="10">
        <v>45688</v>
      </c>
      <c r="X298" s="9" t="str">
        <f t="shared" si="32"/>
        <v>Approved</v>
      </c>
      <c r="Y298" s="10"/>
      <c r="Z298" s="10">
        <f>IF($H298="Cancelled","",IFERROR(IF(F298="","",F298-Variables!$B$13),""))</f>
        <v>45701</v>
      </c>
      <c r="AA298" s="11">
        <f>IF($H298="Cancelled","",IFERROR(IF(W298="","",(AVERAGE(E298:F298)-W298)-Variables!$B$14),""))</f>
        <v>-15.5</v>
      </c>
      <c r="AB298" s="10">
        <v>45716</v>
      </c>
      <c r="AC298" s="11">
        <f>IF($H298="Cancelled","",IFERROR(IF(AB298="","",IF(AND(W298="",Y298=""),"",IF(Y298&gt;W298,Y298+Variables!$B$15+Variables!$B$16+Variables!$B$17-AB298,W298+Variables!$B$16+Variables!$B$17-AB298))),""))</f>
        <v>-20</v>
      </c>
      <c r="AD298" s="9" t="s">
        <v>165</v>
      </c>
      <c r="AE298" s="9" t="s">
        <v>662</v>
      </c>
      <c r="AF298" s="10">
        <v>45725</v>
      </c>
      <c r="AG298" s="10"/>
      <c r="AH298" s="9"/>
      <c r="AI298" s="9" t="s">
        <v>829</v>
      </c>
      <c r="AJ298" s="9" t="s">
        <v>8</v>
      </c>
      <c r="AK298" s="10">
        <v>45732</v>
      </c>
      <c r="AL298" s="10">
        <v>45735</v>
      </c>
      <c r="AM298" s="10">
        <v>45735</v>
      </c>
      <c r="AN298" s="9" t="s">
        <v>95</v>
      </c>
      <c r="AO298" s="9"/>
      <c r="AP298" s="11">
        <f>IF($H298="Cancelled","",IFERROR(IF(OR(AK298="",AB298=""),"",(AB298+Variables!$B$18-AK298)),""))</f>
        <v>-9</v>
      </c>
      <c r="AQ298" s="11">
        <f>IF($H298="Cancelled","",IFERROR(IF(OR(AM298="",AK298=""),"",(AK298+Variables!$B$19)-AM298),""))</f>
        <v>2</v>
      </c>
      <c r="AR298" s="12">
        <f>IF($H298="Cancelled","",IFERROR(T298*INDEX(Variables!$B$7:$D$7,IFERROR(MATCH(IF($B298="Robusta","Robusta",(IF($B298="","Arabica",$B298))&amp;" - "&amp;(IF($C298="","Commercial",$C298))),Variables!$B$1:$D$1,0),1))*(AQ298/365),""))</f>
        <v>97.836750365549676</v>
      </c>
      <c r="AS298" s="12">
        <f>IF($H298="Cancelled","",IFERROR((T298*INDEX(Variables!$B$7:$D$7,IFERROR(MATCH(IF($B298="Robusta","Robusta",(IF($B298="","Arabica",$B298))&amp;" - "&amp;(IF($C298="","Commercial",$C298))),Variables!$B$1:$D$1,0),1))*IFERROR(IF(W298="","",(AVERAGE(E298:F298)-W298)-Variables!$B$14),"")/365)+(L298/16.67*INDEX(Variables!$B$8:$D$8,IFERROR(MATCH(IF($B298="Robusta","Robusta",(IF($B298="","Arabica",$B298))&amp;" - "&amp;(IF($C298="","Commercial",$C298))),Variables!$B$1:$D$1,0),1))*IFERROR(IF(W298="","",(AVERAGE(E298:F298)-W298)-Variables!$B$14),""))+(T298*INDEX(Variables!$B$9:$D$9,IFERROR(MATCH(IF($B298="Robusta","Robusta",(IF($B298="","Arabica",$B298))&amp;" - "&amp;(IF($C298="","Commercial",$C298))),Variables!$B$1:$D$1,0),1))*IFERROR(IF(W298="","",(AVERAGE(E298:F298)-W298)-Variables!$B$14),"")/365),""))</f>
        <v>-1326.0099253941794</v>
      </c>
      <c r="AT298" s="12">
        <f>IF($H298="Cancelled","",IFERROR((T298*INDEX(Variables!$B$7:$D$7,IFERROR(MATCH(IF($B298="Robusta","Robusta",(IF($B298="","Arabica",$B298))&amp;" - "&amp;(IF($C298="","Commercial",$C298))),Variables!$B$1:$D$1,0),1))*AC298/365)+(L298/16.67*INDEX(Variables!$B$8:$D$8,IFERROR(MATCH(IF($B298="Robusta","Robusta",(IF($B298="","Arabica",$B298))&amp;" - "&amp;(IF($C298="","Commercial",$C298))),Variables!$B$1:$D$1,0),1))*AC298)+(T298*INDEX(Variables!$B$9:$D$9,IFERROR(MATCH(IF($B298="Robusta","Robusta",(IF($B298="","Arabica",$B298))&amp;" - "&amp;(IF($C298="","Commercial",$C298))),Variables!$B$1:$D$1,0),1))*AC298/365),""))</f>
        <v>-1710.9805488957154</v>
      </c>
      <c r="AU298" s="12">
        <f>IF($H298="Cancelled","",IFERROR((T298*INDEX(Variables!$B$7:$D$7,IFERROR(MATCH(IF($B298="Robusta","Robusta",(IF($B298="","Arabica",$B298))&amp;" - "&amp;(IF($C298="","Commercial",$C298))),Variables!$B$1:$D$1,0),1))*AP298/365)+(L298/16.67*INDEX(Variables!$B$8:$D$8,IFERROR(MATCH(IF($B298="Robusta","Robusta",(IF($B298="","Arabica",$B298))&amp;" - "&amp;(IF($C298="","Commercial",$C298))),Variables!$B$1:$D$1,0),1))*AP298)+(T298*INDEX(Variables!$B$9:$D$9,IFERROR(MATCH(IF($B298="Robusta","Robusta",(IF($B298="","Arabica",$B298))&amp;" - "&amp;(IF($C298="","Commercial",$C298))),Variables!$B$1:$D$1,0),1))*AP298/365),""))</f>
        <v>-769.94124700307191</v>
      </c>
      <c r="AV298" s="11">
        <f t="shared" si="30"/>
        <v>-16</v>
      </c>
      <c r="AW298" s="12">
        <f>IF($H298="Cancelled","",IFERROR(IF(AV298="","",(T298*INDEX(Variables!$B$7:$D$7,IFERROR(MATCH(IF($B298="Robusta","Robusta",(IF($B298="","Arabica",$B298))&amp;" - "&amp;(IF($C298="","Commercial",$C298))),Variables!$B$1:$D$1,0),1))*(AV298/365))+(T298*INDEX(Variables!$B$9:$D$9,IFERROR(MATCH(IF($B298="Robusta","Robusta",(IF($B298="","Arabica",$B298))&amp;" - "&amp;(IF($C298="","Commercial",$C298))),Variables!$B$1:$D$1,0),1))*(AV298/365))+(INDEX(Variables!$B$8:$D$8,IFERROR(MATCH(IF($B298="Robusta","Robusta",(IF($B298="","Arabica",$B298))&amp;" - "&amp;(IF($C298="","Commercial",$C298))),Variables!$B$1:$D$1,0),1))*L298/16.67)),""))</f>
        <v>-756.78443911657223</v>
      </c>
      <c r="AX298" s="9"/>
      <c r="AY298" s="12"/>
      <c r="AZ298" s="10"/>
      <c r="BA298" s="9"/>
      <c r="BB298" s="10"/>
      <c r="BC298" s="9"/>
      <c r="BD298" s="9"/>
      <c r="BE298" s="9"/>
      <c r="BF298" s="9"/>
    </row>
    <row r="299" spans="1:58" x14ac:dyDescent="0.25">
      <c r="A299" s="9" t="s">
        <v>84</v>
      </c>
      <c r="B299" s="9" t="s">
        <v>85</v>
      </c>
      <c r="C299" s="9" t="s">
        <v>86</v>
      </c>
      <c r="D299" s="10">
        <v>45666</v>
      </c>
      <c r="E299" s="10">
        <v>45717</v>
      </c>
      <c r="F299" s="10">
        <v>45747</v>
      </c>
      <c r="G299" s="9">
        <v>3786592</v>
      </c>
      <c r="H299" s="9" t="str">
        <f t="shared" si="28"/>
        <v>Closed</v>
      </c>
      <c r="I299" s="9" t="str">
        <f t="shared" si="29"/>
        <v>All dates received</v>
      </c>
      <c r="J299" s="9" t="s">
        <v>102</v>
      </c>
      <c r="K299" s="9" t="s">
        <v>830</v>
      </c>
      <c r="L299" s="11">
        <v>180</v>
      </c>
      <c r="M299" s="9" t="s">
        <v>831</v>
      </c>
      <c r="N299" s="9" t="s">
        <v>432</v>
      </c>
      <c r="O299" s="9"/>
      <c r="P299" s="9"/>
      <c r="Q299" s="11">
        <v>77.3</v>
      </c>
      <c r="R299" s="9" t="s">
        <v>90</v>
      </c>
      <c r="S299" s="9" t="s">
        <v>578</v>
      </c>
      <c r="T299" s="12">
        <f>IF($H299="Cancelled","",IFERROR(((Q299+INDEX(Variables!$B$6:$D$6,IFERROR(MATCH(IF($B299="Robusta","Robusta",(IF($B299="","Arabica",$B299))&amp;" - "&amp;(IF($C299="","Commercial",$C299))),Variables!$B$1:$D$1,0),1)))*22.0462)*(L299/16.67),""))</f>
        <v>87626.701835632863</v>
      </c>
      <c r="U299" s="10">
        <v>45677</v>
      </c>
      <c r="V299" s="9" t="str">
        <f t="shared" si="31"/>
        <v>Sent</v>
      </c>
      <c r="W299" s="10">
        <v>45686</v>
      </c>
      <c r="X299" s="9" t="str">
        <f t="shared" si="32"/>
        <v>Approved</v>
      </c>
      <c r="Y299" s="10"/>
      <c r="Z299" s="10">
        <f>IF($H299="Cancelled","",IFERROR(IF(F299="","",F299-Variables!$B$13),""))</f>
        <v>45732</v>
      </c>
      <c r="AA299" s="11">
        <f>IF($H299="Cancelled","",IFERROR(IF(W299="","",(AVERAGE(E299:F299)-W299)-Variables!$B$14),""))</f>
        <v>16</v>
      </c>
      <c r="AB299" s="10">
        <v>45713</v>
      </c>
      <c r="AC299" s="11">
        <f>IF($H299="Cancelled","",IFERROR(IF(AB299="","",IF(AND(W299="",Y299=""),"",IF(Y299&gt;W299,Y299+Variables!$B$15+Variables!$B$16+Variables!$B$17-AB299,W299+Variables!$B$16+Variables!$B$17-AB299))),""))</f>
        <v>-19</v>
      </c>
      <c r="AD299" s="9" t="s">
        <v>163</v>
      </c>
      <c r="AE299" s="9" t="s">
        <v>769</v>
      </c>
      <c r="AF299" s="10">
        <v>45726</v>
      </c>
      <c r="AG299" s="10"/>
      <c r="AH299" s="9"/>
      <c r="AI299" s="9">
        <v>250231283</v>
      </c>
      <c r="AJ299" s="9" t="s">
        <v>8</v>
      </c>
      <c r="AK299" s="10">
        <v>45726</v>
      </c>
      <c r="AL299" s="10">
        <v>45730</v>
      </c>
      <c r="AM299" s="10">
        <v>45741</v>
      </c>
      <c r="AN299" s="9" t="s">
        <v>95</v>
      </c>
      <c r="AO299" s="9"/>
      <c r="AP299" s="11">
        <f>IF($H299="Cancelled","",IFERROR(IF(OR(AK299="",AB299=""),"",(AB299+Variables!$B$18-AK299)),""))</f>
        <v>-6</v>
      </c>
      <c r="AQ299" s="11">
        <f>IF($H299="Cancelled","",IFERROR(IF(OR(AM299="",AK299=""),"",(AK299+Variables!$B$19)-AM299),""))</f>
        <v>-10</v>
      </c>
      <c r="AR299" s="12">
        <f>IF($H299="Cancelled","",IFERROR(T299*INDEX(Variables!$B$7:$D$7,IFERROR(MATCH(IF($B299="Robusta","Robusta",(IF($B299="","Arabica",$B299))&amp;" - "&amp;(IF($C299="","Commercial",$C299))),Variables!$B$1:$D$1,0),1))*(AQ299/365),""))</f>
        <v>-154.80445241385331</v>
      </c>
      <c r="AS299" s="12">
        <f>IF($H299="Cancelled","",IFERROR((T299*INDEX(Variables!$B$7:$D$7,IFERROR(MATCH(IF($B299="Robusta","Robusta",(IF($B299="","Arabica",$B299))&amp;" - "&amp;(IF($C299="","Commercial",$C299))),Variables!$B$1:$D$1,0),1))*IFERROR(IF(W299="","",(AVERAGE(E299:F299)-W299)-Variables!$B$14),"")/365)+(L299/16.67*INDEX(Variables!$B$8:$D$8,IFERROR(MATCH(IF($B299="Robusta","Robusta",(IF($B299="","Arabica",$B299))&amp;" - "&amp;(IF($C299="","Commercial",$C299))),Variables!$B$1:$D$1,0),1))*IFERROR(IF(W299="","",(AVERAGE(E299:F299)-W299)-Variables!$B$14),""))+(T299*INDEX(Variables!$B$9:$D$9,IFERROR(MATCH(IF($B299="Robusta","Robusta",(IF($B299="","Arabica",$B299))&amp;" - "&amp;(IF($C299="","Commercial",$C299))),Variables!$B$1:$D$1,0),1))*IFERROR(IF(W299="","",(AVERAGE(E299:F299)-W299)-Variables!$B$14),"")/365),""))</f>
        <v>394.88028889168692</v>
      </c>
      <c r="AT299" s="12">
        <f>IF($H299="Cancelled","",IFERROR((T299*INDEX(Variables!$B$7:$D$7,IFERROR(MATCH(IF($B299="Robusta","Robusta",(IF($B299="","Arabica",$B299))&amp;" - "&amp;(IF($C299="","Commercial",$C299))),Variables!$B$1:$D$1,0),1))*AC299/365)+(L299/16.67*INDEX(Variables!$B$8:$D$8,IFERROR(MATCH(IF($B299="Robusta","Robusta",(IF($B299="","Arabica",$B299))&amp;" - "&amp;(IF($C299="","Commercial",$C299))),Variables!$B$1:$D$1,0),1))*AC299)+(T299*INDEX(Variables!$B$9:$D$9,IFERROR(MATCH(IF($B299="Robusta","Robusta",(IF($B299="","Arabica",$B299))&amp;" - "&amp;(IF($C299="","Commercial",$C299))),Variables!$B$1:$D$1,0),1))*AC299/365),""))</f>
        <v>-468.92034305887825</v>
      </c>
      <c r="AU299" s="12">
        <f>IF($H299="Cancelled","",IFERROR((T299*INDEX(Variables!$B$7:$D$7,IFERROR(MATCH(IF($B299="Robusta","Robusta",(IF($B299="","Arabica",$B299))&amp;" - "&amp;(IF($C299="","Commercial",$C299))),Variables!$B$1:$D$1,0),1))*AP299/365)+(L299/16.67*INDEX(Variables!$B$8:$D$8,IFERROR(MATCH(IF($B299="Robusta","Robusta",(IF($B299="","Arabica",$B299))&amp;" - "&amp;(IF($C299="","Commercial",$C299))),Variables!$B$1:$D$1,0),1))*AP299)+(T299*INDEX(Variables!$B$9:$D$9,IFERROR(MATCH(IF($B299="Robusta","Robusta",(IF($B299="","Arabica",$B299))&amp;" - "&amp;(IF($C299="","Commercial",$C299))),Variables!$B$1:$D$1,0),1))*AP299/365),""))</f>
        <v>-148.0801083343826</v>
      </c>
      <c r="AV299" s="11">
        <f t="shared" si="30"/>
        <v>21</v>
      </c>
      <c r="AW299" s="12">
        <f>IF($H299="Cancelled","",IFERROR(IF(AV299="","",(T299*INDEX(Variables!$B$7:$D$7,IFERROR(MATCH(IF($B299="Robusta","Robusta",(IF($B299="","Arabica",$B299))&amp;" - "&amp;(IF($C299="","Commercial",$C299))),Variables!$B$1:$D$1,0),1))*(AV299/365))+(T299*INDEX(Variables!$B$9:$D$9,IFERROR(MATCH(IF($B299="Robusta","Robusta",(IF($B299="","Arabica",$B299))&amp;" - "&amp;(IF($C299="","Commercial",$C299))),Variables!$B$1:$D$1,0),1))*(AV299/365))+(INDEX(Variables!$B$8:$D$8,IFERROR(MATCH(IF($B299="Robusta","Robusta",(IF($B299="","Arabica",$B299))&amp;" - "&amp;(IF($C299="","Commercial",$C299))),Variables!$B$1:$D$1,0),1))*L299/16.67)),""))</f>
        <v>338.28037917033907</v>
      </c>
      <c r="AX299" s="9"/>
      <c r="AY299" s="12"/>
      <c r="AZ299" s="10"/>
      <c r="BA299" s="9"/>
      <c r="BB299" s="10"/>
      <c r="BC299" s="9"/>
      <c r="BD299" s="9"/>
      <c r="BE299" s="9"/>
      <c r="BF299" s="9"/>
    </row>
    <row r="300" spans="1:58" x14ac:dyDescent="0.25">
      <c r="A300" s="9" t="s">
        <v>84</v>
      </c>
      <c r="B300" s="9" t="s">
        <v>85</v>
      </c>
      <c r="C300" s="9" t="s">
        <v>86</v>
      </c>
      <c r="D300" s="10">
        <v>45666</v>
      </c>
      <c r="E300" s="10">
        <v>45717</v>
      </c>
      <c r="F300" s="10">
        <v>45747</v>
      </c>
      <c r="G300" s="9">
        <v>3786592</v>
      </c>
      <c r="H300" s="9" t="str">
        <f t="shared" si="28"/>
        <v>Closed</v>
      </c>
      <c r="I300" s="9" t="str">
        <f t="shared" si="29"/>
        <v>All dates received</v>
      </c>
      <c r="J300" s="9" t="s">
        <v>102</v>
      </c>
      <c r="K300" s="9" t="s">
        <v>832</v>
      </c>
      <c r="L300" s="11">
        <v>48</v>
      </c>
      <c r="M300" s="9" t="s">
        <v>831</v>
      </c>
      <c r="N300" s="9" t="s">
        <v>432</v>
      </c>
      <c r="O300" s="9"/>
      <c r="P300" s="9"/>
      <c r="Q300" s="11">
        <v>77.3</v>
      </c>
      <c r="R300" s="9" t="s">
        <v>90</v>
      </c>
      <c r="S300" s="9" t="s">
        <v>106</v>
      </c>
      <c r="T300" s="12">
        <f>IF($H300="Cancelled","",IFERROR(((Q300+INDEX(Variables!$B$6:$D$6,IFERROR(MATCH(IF($B300="Robusta","Robusta",(IF($B300="","Arabica",$B300))&amp;" - "&amp;(IF($C300="","Commercial",$C300))),Variables!$B$1:$D$1,0),1)))*22.0462)*(L300/16.67),""))</f>
        <v>23367.120489502096</v>
      </c>
      <c r="U300" s="10">
        <v>45677</v>
      </c>
      <c r="V300" s="9" t="str">
        <f t="shared" si="31"/>
        <v>Sent</v>
      </c>
      <c r="W300" s="10">
        <v>45686</v>
      </c>
      <c r="X300" s="9" t="str">
        <f t="shared" si="32"/>
        <v>Approved</v>
      </c>
      <c r="Y300" s="10"/>
      <c r="Z300" s="10">
        <f>IF($H300="Cancelled","",IFERROR(IF(F300="","",F300-Variables!$B$13),""))</f>
        <v>45732</v>
      </c>
      <c r="AA300" s="11">
        <f>IF($H300="Cancelled","",IFERROR(IF(W300="","",(AVERAGE(E300:F300)-W300)-Variables!$B$14),""))</f>
        <v>16</v>
      </c>
      <c r="AB300" s="10">
        <v>45713</v>
      </c>
      <c r="AC300" s="11">
        <f>IF($H300="Cancelled","",IFERROR(IF(AB300="","",IF(AND(W300="",Y300=""),"",IF(Y300&gt;W300,Y300+Variables!$B$15+Variables!$B$16+Variables!$B$17-AB300,W300+Variables!$B$16+Variables!$B$17-AB300))),""))</f>
        <v>-19</v>
      </c>
      <c r="AD300" s="9" t="s">
        <v>163</v>
      </c>
      <c r="AE300" s="9" t="s">
        <v>769</v>
      </c>
      <c r="AF300" s="10">
        <v>45726</v>
      </c>
      <c r="AG300" s="10"/>
      <c r="AH300" s="9"/>
      <c r="AI300" s="9">
        <v>250230285</v>
      </c>
      <c r="AJ300" s="9" t="s">
        <v>8</v>
      </c>
      <c r="AK300" s="10">
        <v>45726</v>
      </c>
      <c r="AL300" s="10">
        <v>45730</v>
      </c>
      <c r="AM300" s="10">
        <v>45736</v>
      </c>
      <c r="AN300" s="9" t="s">
        <v>95</v>
      </c>
      <c r="AO300" s="9"/>
      <c r="AP300" s="11">
        <f>IF($H300="Cancelled","",IFERROR(IF(OR(AK300="",AB300=""),"",(AB300+Variables!$B$18-AK300)),""))</f>
        <v>-6</v>
      </c>
      <c r="AQ300" s="11">
        <f>IF($H300="Cancelled","",IFERROR(IF(OR(AM300="",AK300=""),"",(AK300+Variables!$B$19)-AM300),""))</f>
        <v>-5</v>
      </c>
      <c r="AR300" s="12">
        <f>IF($H300="Cancelled","",IFERROR(T300*INDEX(Variables!$B$7:$D$7,IFERROR(MATCH(IF($B300="Robusta","Robusta",(IF($B300="","Arabica",$B300))&amp;" - "&amp;(IF($C300="","Commercial",$C300))),Variables!$B$1:$D$1,0),1))*(AQ300/365),""))</f>
        <v>-20.640593655180439</v>
      </c>
      <c r="AS300" s="12">
        <f>IF($H300="Cancelled","",IFERROR((T300*INDEX(Variables!$B$7:$D$7,IFERROR(MATCH(IF($B300="Robusta","Robusta",(IF($B300="","Arabica",$B300))&amp;" - "&amp;(IF($C300="","Commercial",$C300))),Variables!$B$1:$D$1,0),1))*IFERROR(IF(W300="","",(AVERAGE(E300:F300)-W300)-Variables!$B$14),"")/365)+(L300/16.67*INDEX(Variables!$B$8:$D$8,IFERROR(MATCH(IF($B300="Robusta","Robusta",(IF($B300="","Arabica",$B300))&amp;" - "&amp;(IF($C300="","Commercial",$C300))),Variables!$B$1:$D$1,0),1))*IFERROR(IF(W300="","",(AVERAGE(E300:F300)-W300)-Variables!$B$14),""))+(T300*INDEX(Variables!$B$9:$D$9,IFERROR(MATCH(IF($B300="Robusta","Robusta",(IF($B300="","Arabica",$B300))&amp;" - "&amp;(IF($C300="","Commercial",$C300))),Variables!$B$1:$D$1,0),1))*IFERROR(IF(W300="","",(AVERAGE(E300:F300)-W300)-Variables!$B$14),"")/365),""))</f>
        <v>105.3014103711165</v>
      </c>
      <c r="AT300" s="12">
        <f>IF($H300="Cancelled","",IFERROR((T300*INDEX(Variables!$B$7:$D$7,IFERROR(MATCH(IF($B300="Robusta","Robusta",(IF($B300="","Arabica",$B300))&amp;" - "&amp;(IF($C300="","Commercial",$C300))),Variables!$B$1:$D$1,0),1))*AC300/365)+(L300/16.67*INDEX(Variables!$B$8:$D$8,IFERROR(MATCH(IF($B300="Robusta","Robusta",(IF($B300="","Arabica",$B300))&amp;" - "&amp;(IF($C300="","Commercial",$C300))),Variables!$B$1:$D$1,0),1))*AC300)+(T300*INDEX(Variables!$B$9:$D$9,IFERROR(MATCH(IF($B300="Robusta","Robusta",(IF($B300="","Arabica",$B300))&amp;" - "&amp;(IF($C300="","Commercial",$C300))),Variables!$B$1:$D$1,0),1))*AC300/365),""))</f>
        <v>-125.04542481570085</v>
      </c>
      <c r="AU300" s="12">
        <f>IF($H300="Cancelled","",IFERROR((T300*INDEX(Variables!$B$7:$D$7,IFERROR(MATCH(IF($B300="Robusta","Robusta",(IF($B300="","Arabica",$B300))&amp;" - "&amp;(IF($C300="","Commercial",$C300))),Variables!$B$1:$D$1,0),1))*AP300/365)+(L300/16.67*INDEX(Variables!$B$8:$D$8,IFERROR(MATCH(IF($B300="Robusta","Robusta",(IF($B300="","Arabica",$B300))&amp;" - "&amp;(IF($C300="","Commercial",$C300))),Variables!$B$1:$D$1,0),1))*AP300)+(T300*INDEX(Variables!$B$9:$D$9,IFERROR(MATCH(IF($B300="Robusta","Robusta",(IF($B300="","Arabica",$B300))&amp;" - "&amp;(IF($C300="","Commercial",$C300))),Variables!$B$1:$D$1,0),1))*AP300/365),""))</f>
        <v>-39.488028889168689</v>
      </c>
      <c r="AV300" s="11">
        <f t="shared" si="30"/>
        <v>21</v>
      </c>
      <c r="AW300" s="12">
        <f>IF($H300="Cancelled","",IFERROR(IF(AV300="","",(T300*INDEX(Variables!$B$7:$D$7,IFERROR(MATCH(IF($B300="Robusta","Robusta",(IF($B300="","Arabica",$B300))&amp;" - "&amp;(IF($C300="","Commercial",$C300))),Variables!$B$1:$D$1,0),1))*(AV300/365))+(T300*INDEX(Variables!$B$9:$D$9,IFERROR(MATCH(IF($B300="Robusta","Robusta",(IF($B300="","Arabica",$B300))&amp;" - "&amp;(IF($C300="","Commercial",$C300))),Variables!$B$1:$D$1,0),1))*(AV300/365))+(INDEX(Variables!$B$8:$D$8,IFERROR(MATCH(IF($B300="Robusta","Robusta",(IF($B300="","Arabica",$B300))&amp;" - "&amp;(IF($C300="","Commercial",$C300))),Variables!$B$1:$D$1,0),1))*L300/16.67)),""))</f>
        <v>90.208101112090418</v>
      </c>
      <c r="AX300" s="9"/>
      <c r="AY300" s="12"/>
      <c r="AZ300" s="10"/>
      <c r="BA300" s="9"/>
      <c r="BB300" s="10"/>
      <c r="BC300" s="9"/>
      <c r="BD300" s="9"/>
      <c r="BE300" s="9"/>
      <c r="BF300" s="9"/>
    </row>
    <row r="301" spans="1:58" x14ac:dyDescent="0.25">
      <c r="A301" s="9" t="s">
        <v>84</v>
      </c>
      <c r="B301" s="9" t="s">
        <v>85</v>
      </c>
      <c r="C301" s="9" t="s">
        <v>86</v>
      </c>
      <c r="D301" s="10">
        <v>45667</v>
      </c>
      <c r="E301" s="10">
        <v>45717</v>
      </c>
      <c r="F301" s="10">
        <v>45747</v>
      </c>
      <c r="G301" s="9">
        <v>3786593</v>
      </c>
      <c r="H301" s="9" t="str">
        <f t="shared" si="28"/>
        <v>Open</v>
      </c>
      <c r="I301" s="9" t="str">
        <f t="shared" si="29"/>
        <v>No sailing date and No shipping advice sent and No docs dispatch date</v>
      </c>
      <c r="J301" s="9" t="s">
        <v>102</v>
      </c>
      <c r="K301" s="9">
        <v>5199</v>
      </c>
      <c r="L301" s="11">
        <v>1</v>
      </c>
      <c r="M301" s="9" t="s">
        <v>833</v>
      </c>
      <c r="N301" s="9" t="s">
        <v>432</v>
      </c>
      <c r="O301" s="9"/>
      <c r="P301" s="9"/>
      <c r="Q301" s="11">
        <v>77.3</v>
      </c>
      <c r="R301" s="9" t="s">
        <v>90</v>
      </c>
      <c r="S301" s="9" t="s">
        <v>458</v>
      </c>
      <c r="T301" s="12">
        <f>IF($H301="Cancelled","",IFERROR(((Q301+INDEX(Variables!$B$6:$D$6,IFERROR(MATCH(IF($B301="Robusta","Robusta",(IF($B301="","Arabica",$B301))&amp;" - "&amp;(IF($C301="","Commercial",$C301))),Variables!$B$1:$D$1,0),1)))*22.0462)*(L301/16.67),""))</f>
        <v>486.81501019796036</v>
      </c>
      <c r="U301" s="10">
        <v>45687</v>
      </c>
      <c r="V301" s="9" t="str">
        <f t="shared" si="31"/>
        <v>Sent</v>
      </c>
      <c r="W301" s="10"/>
      <c r="X301" s="9" t="s">
        <v>507</v>
      </c>
      <c r="Y301" s="10"/>
      <c r="Z301" s="10">
        <f>IF($H301="Cancelled","",IFERROR(IF(F301="","",F301-Variables!$B$13),""))</f>
        <v>45732</v>
      </c>
      <c r="AA301" s="11" t="str">
        <f>IF($H301="Cancelled","",IFERROR(IF(W301="","",(AVERAGE(E301:F301)-W301)-Variables!$B$14),""))</f>
        <v/>
      </c>
      <c r="AB301" s="10">
        <v>45728</v>
      </c>
      <c r="AC301" s="11" t="str">
        <f>IF($H301="Cancelled","",IFERROR(IF(AB301="","",IF(AND(W301="",Y301=""),"",IF(Y301&gt;W301,Y301+Variables!$B$15+Variables!$B$16+Variables!$B$17-AB301,W301+Variables!$B$16+Variables!$B$17-AB301))),""))</f>
        <v/>
      </c>
      <c r="AD301" s="9" t="s">
        <v>834</v>
      </c>
      <c r="AE301" s="9" t="s">
        <v>834</v>
      </c>
      <c r="AF301" s="10"/>
      <c r="AG301" s="10"/>
      <c r="AH301" s="9"/>
      <c r="AI301" s="9"/>
      <c r="AJ301" s="9"/>
      <c r="AK301" s="10"/>
      <c r="AL301" s="10"/>
      <c r="AM301" s="10"/>
      <c r="AN301" s="9" t="s">
        <v>835</v>
      </c>
      <c r="AO301" s="9"/>
      <c r="AP301" s="11" t="str">
        <f>IF($H301="Cancelled","",IFERROR(IF(OR(AK301="",AB301=""),"",(AB301+Variables!$B$18-AK301)),""))</f>
        <v/>
      </c>
      <c r="AQ301" s="11" t="str">
        <f>IF($H301="Cancelled","",IFERROR(IF(OR(AM301="",AK301=""),"",(AK301+Variables!$B$19)-AM301),""))</f>
        <v/>
      </c>
      <c r="AR301" s="12" t="str">
        <f>IF($H301="Cancelled","",IFERROR(T301*INDEX(Variables!$B$7:$D$7,IFERROR(MATCH(IF($B301="Robusta","Robusta",(IF($B301="","Arabica",$B301))&amp;" - "&amp;(IF($C301="","Commercial",$C301))),Variables!$B$1:$D$1,0),1))*(AQ301/365),""))</f>
        <v/>
      </c>
      <c r="AS301" s="12" t="str">
        <f>IF($H301="Cancelled","",IFERROR((T301*INDEX(Variables!$B$7:$D$7,IFERROR(MATCH(IF($B301="Robusta","Robusta",(IF($B301="","Arabica",$B301))&amp;" - "&amp;(IF($C301="","Commercial",$C301))),Variables!$B$1:$D$1,0),1))*IFERROR(IF(W301="","",(AVERAGE(E301:F301)-W301)-Variables!$B$14),"")/365)+(L301/16.67*INDEX(Variables!$B$8:$D$8,IFERROR(MATCH(IF($B301="Robusta","Robusta",(IF($B301="","Arabica",$B301))&amp;" - "&amp;(IF($C301="","Commercial",$C301))),Variables!$B$1:$D$1,0),1))*IFERROR(IF(W301="","",(AVERAGE(E301:F301)-W301)-Variables!$B$14),""))+(T301*INDEX(Variables!$B$9:$D$9,IFERROR(MATCH(IF($B301="Robusta","Robusta",(IF($B301="","Arabica",$B301))&amp;" - "&amp;(IF($C301="","Commercial",$C301))),Variables!$B$1:$D$1,0),1))*IFERROR(IF(W301="","",(AVERAGE(E301:F301)-W301)-Variables!$B$14),"")/365),""))</f>
        <v/>
      </c>
      <c r="AT301" s="12" t="str">
        <f>IF($H301="Cancelled","",IFERROR((T301*INDEX(Variables!$B$7:$D$7,IFERROR(MATCH(IF($B301="Robusta","Robusta",(IF($B301="","Arabica",$B301))&amp;" - "&amp;(IF($C301="","Commercial",$C301))),Variables!$B$1:$D$1,0),1))*AC301/365)+(L301/16.67*INDEX(Variables!$B$8:$D$8,IFERROR(MATCH(IF($B301="Robusta","Robusta",(IF($B301="","Arabica",$B301))&amp;" - "&amp;(IF($C301="","Commercial",$C301))),Variables!$B$1:$D$1,0),1))*AC301)+(T301*INDEX(Variables!$B$9:$D$9,IFERROR(MATCH(IF($B301="Robusta","Robusta",(IF($B301="","Arabica",$B301))&amp;" - "&amp;(IF($C301="","Commercial",$C301))),Variables!$B$1:$D$1,0),1))*AC301/365),""))</f>
        <v/>
      </c>
      <c r="AU301" s="12" t="str">
        <f>IF($H301="Cancelled","",IFERROR((T301*INDEX(Variables!$B$7:$D$7,IFERROR(MATCH(IF($B301="Robusta","Robusta",(IF($B301="","Arabica",$B301))&amp;" - "&amp;(IF($C301="","Commercial",$C301))),Variables!$B$1:$D$1,0),1))*AP301/365)+(L301/16.67*INDEX(Variables!$B$8:$D$8,IFERROR(MATCH(IF($B301="Robusta","Robusta",(IF($B301="","Arabica",$B301))&amp;" - "&amp;(IF($C301="","Commercial",$C301))),Variables!$B$1:$D$1,0),1))*AP301)+(T301*INDEX(Variables!$B$9:$D$9,IFERROR(MATCH(IF($B301="Robusta","Robusta",(IF($B301="","Arabica",$B301))&amp;" - "&amp;(IF($C301="","Commercial",$C301))),Variables!$B$1:$D$1,0),1))*AP301/365),""))</f>
        <v/>
      </c>
      <c r="AV301" s="11" t="str">
        <f t="shared" si="30"/>
        <v/>
      </c>
      <c r="AW301" s="12" t="str">
        <f>IF($H301="Cancelled","",IFERROR(IF(AV301="","",(T301*INDEX(Variables!$B$7:$D$7,IFERROR(MATCH(IF($B301="Robusta","Robusta",(IF($B301="","Arabica",$B301))&amp;" - "&amp;(IF($C301="","Commercial",$C301))),Variables!$B$1:$D$1,0),1))*(AV301/365))+(T301*INDEX(Variables!$B$9:$D$9,IFERROR(MATCH(IF($B301="Robusta","Robusta",(IF($B301="","Arabica",$B301))&amp;" - "&amp;(IF($C301="","Commercial",$C301))),Variables!$B$1:$D$1,0),1))*(AV301/365))+(INDEX(Variables!$B$8:$D$8,IFERROR(MATCH(IF($B301="Robusta","Robusta",(IF($B301="","Arabica",$B301))&amp;" - "&amp;(IF($C301="","Commercial",$C301))),Variables!$B$1:$D$1,0),1))*L301/16.67)),""))</f>
        <v/>
      </c>
      <c r="AX301" s="9"/>
      <c r="AY301" s="12"/>
      <c r="AZ301" s="10"/>
      <c r="BA301" s="9"/>
      <c r="BB301" s="10"/>
      <c r="BC301" s="9"/>
      <c r="BD301" s="9"/>
      <c r="BE301" s="9"/>
      <c r="BF301" s="9"/>
    </row>
    <row r="302" spans="1:58" x14ac:dyDescent="0.25">
      <c r="A302" s="9" t="s">
        <v>84</v>
      </c>
      <c r="B302" s="9" t="s">
        <v>85</v>
      </c>
      <c r="C302" s="9" t="s">
        <v>86</v>
      </c>
      <c r="D302" s="10">
        <v>45671</v>
      </c>
      <c r="E302" s="10">
        <v>45671</v>
      </c>
      <c r="F302" s="10">
        <v>45703</v>
      </c>
      <c r="G302" s="9">
        <v>3786599</v>
      </c>
      <c r="H302" s="9" t="str">
        <f t="shared" si="28"/>
        <v>Closed</v>
      </c>
      <c r="I302" s="9" t="str">
        <f t="shared" si="29"/>
        <v>All dates received</v>
      </c>
      <c r="J302" s="9" t="s">
        <v>102</v>
      </c>
      <c r="K302" s="9">
        <v>5160</v>
      </c>
      <c r="L302" s="11">
        <v>320</v>
      </c>
      <c r="M302" s="9" t="s">
        <v>836</v>
      </c>
      <c r="N302" s="9" t="s">
        <v>387</v>
      </c>
      <c r="O302" s="9"/>
      <c r="P302" s="9"/>
      <c r="Q302" s="11">
        <v>-44</v>
      </c>
      <c r="R302" s="9" t="s">
        <v>90</v>
      </c>
      <c r="S302" s="9" t="s">
        <v>554</v>
      </c>
      <c r="T302" s="12">
        <f>IF($H302="Cancelled","",IFERROR(((Q302+INDEX(Variables!$B$6:$D$6,IFERROR(MATCH(IF($B302="Robusta","Robusta",(IF($B302="","Arabica",$B302))&amp;" - "&amp;(IF($C302="","Commercial",$C302))),Variables!$B$1:$D$1,0),1)))*22.0462)*(L302/16.67),""))</f>
        <v>104446.35220155968</v>
      </c>
      <c r="U302" s="10">
        <v>45673</v>
      </c>
      <c r="V302" s="9" t="str">
        <f t="shared" si="31"/>
        <v>Sent</v>
      </c>
      <c r="W302" s="10">
        <v>45686</v>
      </c>
      <c r="X302" s="9" t="str">
        <f t="shared" ref="X302:X333" si="33">IF(ISNUMBER(W302),"Approved","")</f>
        <v>Approved</v>
      </c>
      <c r="Y302" s="10"/>
      <c r="Z302" s="10">
        <f>IF($H302="Cancelled","",IFERROR(IF(F302="","",F302-Variables!$B$13),""))</f>
        <v>45688</v>
      </c>
      <c r="AA302" s="11">
        <f>IF($H302="Cancelled","",IFERROR(IF(W302="","",(AVERAGE(E302:F302)-W302)-Variables!$B$14),""))</f>
        <v>-29</v>
      </c>
      <c r="AB302" s="10">
        <v>45693</v>
      </c>
      <c r="AC302" s="11">
        <f>IF($H302="Cancelled","",IFERROR(IF(AB302="","",IF(AND(W302="",Y302=""),"",IF(Y302&gt;W302,Y302+Variables!$B$15+Variables!$B$16+Variables!$B$17-AB302,W302+Variables!$B$16+Variables!$B$17-AB302))),""))</f>
        <v>1</v>
      </c>
      <c r="AD302" s="9" t="s">
        <v>107</v>
      </c>
      <c r="AE302" s="9" t="s">
        <v>684</v>
      </c>
      <c r="AF302" s="10">
        <v>45710</v>
      </c>
      <c r="AG302" s="10"/>
      <c r="AH302" s="9"/>
      <c r="AI302" s="9" t="s">
        <v>837</v>
      </c>
      <c r="AJ302" s="9" t="s">
        <v>8</v>
      </c>
      <c r="AK302" s="10">
        <v>45708</v>
      </c>
      <c r="AL302" s="10">
        <v>45713</v>
      </c>
      <c r="AM302" s="10">
        <v>45714</v>
      </c>
      <c r="AN302" s="9" t="s">
        <v>95</v>
      </c>
      <c r="AO302" s="9"/>
      <c r="AP302" s="11">
        <f>IF($H302="Cancelled","",IFERROR(IF(OR(AK302="",AB302=""),"",(AB302+Variables!$B$18-AK302)),""))</f>
        <v>-8</v>
      </c>
      <c r="AQ302" s="11">
        <f>IF($H302="Cancelled","",IFERROR(IF(OR(AM302="",AK302=""),"",(AK302+Variables!$B$19)-AM302),""))</f>
        <v>-1</v>
      </c>
      <c r="AR302" s="12">
        <f>IF($H302="Cancelled","",IFERROR(T302*INDEX(Variables!$B$7:$D$7,IFERROR(MATCH(IF($B302="Robusta","Robusta",(IF($B302="","Arabica",$B302))&amp;" - "&amp;(IF($C302="","Commercial",$C302))),Variables!$B$1:$D$1,0),1))*(AQ302/365),""))</f>
        <v>-18.451864580634005</v>
      </c>
      <c r="AS302" s="12">
        <f>IF($H302="Cancelled","",IFERROR((T302*INDEX(Variables!$B$7:$D$7,IFERROR(MATCH(IF($B302="Robusta","Robusta",(IF($B302="","Arabica",$B302))&amp;" - "&amp;(IF($C302="","Commercial",$C302))),Variables!$B$1:$D$1,0),1))*IFERROR(IF(W302="","",(AVERAGE(E302:F302)-W302)-Variables!$B$14),"")/365)+(L302/16.67*INDEX(Variables!$B$8:$D$8,IFERROR(MATCH(IF($B302="Robusta","Robusta",(IF($B302="","Arabica",$B302))&amp;" - "&amp;(IF($C302="","Commercial",$C302))),Variables!$B$1:$D$1,0),1))*IFERROR(IF(W302="","",(AVERAGE(E302:F302)-W302)-Variables!$B$14),""))+(T302*INDEX(Variables!$B$9:$D$9,IFERROR(MATCH(IF($B302="Robusta","Robusta",(IF($B302="","Arabica",$B302))&amp;" - "&amp;(IF($C302="","Commercial",$C302))),Variables!$B$1:$D$1,0),1))*IFERROR(IF(W302="","",(AVERAGE(E302:F302)-W302)-Variables!$B$14),"")/365),""))</f>
        <v>-1006.0025970163849</v>
      </c>
      <c r="AT302" s="12">
        <f>IF($H302="Cancelled","",IFERROR((T302*INDEX(Variables!$B$7:$D$7,IFERROR(MATCH(IF($B302="Robusta","Robusta",(IF($B302="","Arabica",$B302))&amp;" - "&amp;(IF($C302="","Commercial",$C302))),Variables!$B$1:$D$1,0),1))*AC302/365)+(L302/16.67*INDEX(Variables!$B$8:$D$8,IFERROR(MATCH(IF($B302="Robusta","Robusta",(IF($B302="","Arabica",$B302))&amp;" - "&amp;(IF($C302="","Commercial",$C302))),Variables!$B$1:$D$1,0),1))*AC302)+(T302*INDEX(Variables!$B$9:$D$9,IFERROR(MATCH(IF($B302="Robusta","Robusta",(IF($B302="","Arabica",$B302))&amp;" - "&amp;(IF($C302="","Commercial",$C302))),Variables!$B$1:$D$1,0),1))*AC302/365),""))</f>
        <v>34.689744724702933</v>
      </c>
      <c r="AU302" s="12">
        <f>IF($H302="Cancelled","",IFERROR((T302*INDEX(Variables!$B$7:$D$7,IFERROR(MATCH(IF($B302="Robusta","Robusta",(IF($B302="","Arabica",$B302))&amp;" - "&amp;(IF($C302="","Commercial",$C302))),Variables!$B$1:$D$1,0),1))*AP302/365)+(L302/16.67*INDEX(Variables!$B$8:$D$8,IFERROR(MATCH(IF($B302="Robusta","Robusta",(IF($B302="","Arabica",$B302))&amp;" - "&amp;(IF($C302="","Commercial",$C302))),Variables!$B$1:$D$1,0),1))*AP302)+(T302*INDEX(Variables!$B$9:$D$9,IFERROR(MATCH(IF($B302="Robusta","Robusta",(IF($B302="","Arabica",$B302))&amp;" - "&amp;(IF($C302="","Commercial",$C302))),Variables!$B$1:$D$1,0),1))*AP302/365),""))</f>
        <v>-277.51795779762347</v>
      </c>
      <c r="AV302" s="11">
        <f t="shared" si="30"/>
        <v>-5</v>
      </c>
      <c r="AW302" s="12">
        <f>IF($H302="Cancelled","",IFERROR(IF(AV302="","",(T302*INDEX(Variables!$B$7:$D$7,IFERROR(MATCH(IF($B302="Robusta","Robusta",(IF($B302="","Arabica",$B302))&amp;" - "&amp;(IF($C302="","Commercial",$C302))),Variables!$B$1:$D$1,0),1))*(AV302/365))+(T302*INDEX(Variables!$B$9:$D$9,IFERROR(MATCH(IF($B302="Robusta","Robusta",(IF($B302="","Arabica",$B302))&amp;" - "&amp;(IF($C302="","Commercial",$C302))),Variables!$B$1:$D$1,0),1))*(AV302/365))+(INDEX(Variables!$B$8:$D$8,IFERROR(MATCH(IF($B302="Robusta","Robusta",(IF($B302="","Arabica",$B302))&amp;" - "&amp;(IF($C302="","Commercial",$C302))),Variables!$B$1:$D$1,0),1))*L302/16.67)),""))</f>
        <v>-77.448723623514638</v>
      </c>
      <c r="AX302" s="9"/>
      <c r="AY302" s="12"/>
      <c r="AZ302" s="10"/>
      <c r="BA302" s="9"/>
      <c r="BB302" s="10"/>
      <c r="BC302" s="9"/>
      <c r="BD302" s="9"/>
      <c r="BE302" s="9"/>
      <c r="BF302" s="9"/>
    </row>
    <row r="303" spans="1:58" x14ac:dyDescent="0.25">
      <c r="A303" s="9" t="s">
        <v>84</v>
      </c>
      <c r="B303" s="9" t="s">
        <v>85</v>
      </c>
      <c r="C303" s="9" t="s">
        <v>86</v>
      </c>
      <c r="D303" s="10">
        <v>45671</v>
      </c>
      <c r="E303" s="10">
        <v>45717</v>
      </c>
      <c r="F303" s="10">
        <v>45747</v>
      </c>
      <c r="G303" s="9">
        <v>3786596</v>
      </c>
      <c r="H303" s="9" t="str">
        <f t="shared" si="28"/>
        <v>Closed</v>
      </c>
      <c r="I303" s="9" t="str">
        <f t="shared" si="29"/>
        <v>All dates received</v>
      </c>
      <c r="J303" s="9" t="s">
        <v>537</v>
      </c>
      <c r="K303" s="9">
        <v>5191</v>
      </c>
      <c r="L303" s="11">
        <v>1440</v>
      </c>
      <c r="M303" s="9" t="s">
        <v>838</v>
      </c>
      <c r="N303" s="9" t="s">
        <v>387</v>
      </c>
      <c r="O303" s="9"/>
      <c r="P303" s="9"/>
      <c r="Q303" s="11">
        <v>-25</v>
      </c>
      <c r="R303" s="9" t="s">
        <v>90</v>
      </c>
      <c r="S303" s="9" t="s">
        <v>839</v>
      </c>
      <c r="T303" s="12">
        <f>IF($H303="Cancelled","",IFERROR(((Q303+INDEX(Variables!$B$6:$D$6,IFERROR(MATCH(IF($B303="Robusta","Robusta",(IF($B303="","Arabica",$B303))&amp;" - "&amp;(IF($C303="","Commercial",$C303))),Variables!$B$1:$D$1,0),1)))*22.0462)*(L303/16.67),""))</f>
        <v>506192.39006598678</v>
      </c>
      <c r="U303" s="10">
        <v>45681</v>
      </c>
      <c r="V303" s="9" t="str">
        <f t="shared" si="31"/>
        <v>Sent</v>
      </c>
      <c r="W303" s="10">
        <v>45700</v>
      </c>
      <c r="X303" s="9" t="str">
        <f t="shared" si="33"/>
        <v>Approved</v>
      </c>
      <c r="Y303" s="10"/>
      <c r="Z303" s="10">
        <f>IF($H303="Cancelled","",IFERROR(IF(F303="","",F303-Variables!$B$13),""))</f>
        <v>45732</v>
      </c>
      <c r="AA303" s="11">
        <f>IF($H303="Cancelled","",IFERROR(IF(W303="","",(AVERAGE(E303:F303)-W303)-Variables!$B$14),""))</f>
        <v>2</v>
      </c>
      <c r="AB303" s="10">
        <v>45706</v>
      </c>
      <c r="AC303" s="11">
        <f>IF($H303="Cancelled","",IFERROR(IF(AB303="","",IF(AND(W303="",Y303=""),"",IF(Y303&gt;W303,Y303+Variables!$B$15+Variables!$B$16+Variables!$B$17-AB303,W303+Variables!$B$16+Variables!$B$17-AB303))),""))</f>
        <v>2</v>
      </c>
      <c r="AD303" s="9" t="s">
        <v>163</v>
      </c>
      <c r="AE303" s="9" t="s">
        <v>769</v>
      </c>
      <c r="AF303" s="10">
        <v>45726</v>
      </c>
      <c r="AG303" s="10"/>
      <c r="AH303" s="9"/>
      <c r="AI303" s="9">
        <v>250046294</v>
      </c>
      <c r="AJ303" s="9" t="s">
        <v>8</v>
      </c>
      <c r="AK303" s="10">
        <v>45726</v>
      </c>
      <c r="AL303" s="10">
        <v>45728</v>
      </c>
      <c r="AM303" s="10">
        <v>45728</v>
      </c>
      <c r="AN303" s="9" t="s">
        <v>95</v>
      </c>
      <c r="AO303" s="9"/>
      <c r="AP303" s="11">
        <f>IF($H303="Cancelled","",IFERROR(IF(OR(AK303="",AB303=""),"",(AB303+Variables!$B$18-AK303)),""))</f>
        <v>-13</v>
      </c>
      <c r="AQ303" s="11">
        <f>IF($H303="Cancelled","",IFERROR(IF(OR(AM303="",AK303=""),"",(AK303+Variables!$B$19)-AM303),""))</f>
        <v>3</v>
      </c>
      <c r="AR303" s="12">
        <f>IF($H303="Cancelled","",IFERROR(T303*INDEX(Variables!$B$7:$D$7,IFERROR(MATCH(IF($B303="Robusta","Robusta",(IF($B303="","Arabica",$B303))&amp;" - "&amp;(IF($C303="","Commercial",$C303))),Variables!$B$1:$D$1,0),1))*(AQ303/365),""))</f>
        <v>268.27725151818879</v>
      </c>
      <c r="AS303" s="12">
        <f>IF($H303="Cancelled","",IFERROR((T303*INDEX(Variables!$B$7:$D$7,IFERROR(MATCH(IF($B303="Robusta","Robusta",(IF($B303="","Arabica",$B303))&amp;" - "&amp;(IF($C303="","Commercial",$C303))),Variables!$B$1:$D$1,0),1))*IFERROR(IF(W303="","",(AVERAGE(E303:F303)-W303)-Variables!$B$14),"")/365)+(L303/16.67*INDEX(Variables!$B$8:$D$8,IFERROR(MATCH(IF($B303="Robusta","Robusta",(IF($B303="","Arabica",$B303))&amp;" - "&amp;(IF($C303="","Commercial",$C303))),Variables!$B$1:$D$1,0),1))*IFERROR(IF(W303="","",(AVERAGE(E303:F303)-W303)-Variables!$B$14),""))+(T303*INDEX(Variables!$B$9:$D$9,IFERROR(MATCH(IF($B303="Robusta","Robusta",(IF($B303="","Arabica",$B303))&amp;" - "&amp;(IF($C303="","Commercial",$C303))),Variables!$B$1:$D$1,0),1))*IFERROR(IF(W303="","",(AVERAGE(E303:F303)-W303)-Variables!$B$14),"")/365),""))</f>
        <v>325.15724201958818</v>
      </c>
      <c r="AT303" s="12">
        <f>IF($H303="Cancelled","",IFERROR((T303*INDEX(Variables!$B$7:$D$7,IFERROR(MATCH(IF($B303="Robusta","Robusta",(IF($B303="","Arabica",$B303))&amp;" - "&amp;(IF($C303="","Commercial",$C303))),Variables!$B$1:$D$1,0),1))*AC303/365)+(L303/16.67*INDEX(Variables!$B$8:$D$8,IFERROR(MATCH(IF($B303="Robusta","Robusta",(IF($B303="","Arabica",$B303))&amp;" - "&amp;(IF($C303="","Commercial",$C303))),Variables!$B$1:$D$1,0),1))*AC303)+(T303*INDEX(Variables!$B$9:$D$9,IFERROR(MATCH(IF($B303="Robusta","Robusta",(IF($B303="","Arabica",$B303))&amp;" - "&amp;(IF($C303="","Commercial",$C303))),Variables!$B$1:$D$1,0),1))*AC303/365),""))</f>
        <v>325.15724201958818</v>
      </c>
      <c r="AU303" s="12">
        <f>IF($H303="Cancelled","",IFERROR((T303*INDEX(Variables!$B$7:$D$7,IFERROR(MATCH(IF($B303="Robusta","Robusta",(IF($B303="","Arabica",$B303))&amp;" - "&amp;(IF($C303="","Commercial",$C303))),Variables!$B$1:$D$1,0),1))*AP303/365)+(L303/16.67*INDEX(Variables!$B$8:$D$8,IFERROR(MATCH(IF($B303="Robusta","Robusta",(IF($B303="","Arabica",$B303))&amp;" - "&amp;(IF($C303="","Commercial",$C303))),Variables!$B$1:$D$1,0),1))*AP303)+(T303*INDEX(Variables!$B$9:$D$9,IFERROR(MATCH(IF($B303="Robusta","Robusta",(IF($B303="","Arabica",$B303))&amp;" - "&amp;(IF($C303="","Commercial",$C303))),Variables!$B$1:$D$1,0),1))*AP303/365),""))</f>
        <v>-2113.522073127323</v>
      </c>
      <c r="AV303" s="11">
        <f t="shared" si="30"/>
        <v>21</v>
      </c>
      <c r="AW303" s="12">
        <f>IF($H303="Cancelled","",IFERROR(IF(AV303="","",(T303*INDEX(Variables!$B$7:$D$7,IFERROR(MATCH(IF($B303="Robusta","Robusta",(IF($B303="","Arabica",$B303))&amp;" - "&amp;(IF($C303="","Commercial",$C303))),Variables!$B$1:$D$1,0),1))*(AV303/365))+(T303*INDEX(Variables!$B$9:$D$9,IFERROR(MATCH(IF($B303="Robusta","Robusta",(IF($B303="","Arabica",$B303))&amp;" - "&amp;(IF($C303="","Commercial",$C303))),Variables!$B$1:$D$1,0),1))*(AV303/365))+(INDEX(Variables!$B$8:$D$8,IFERROR(MATCH(IF($B303="Robusta","Robusta",(IF($B303="","Arabica",$B303))&amp;" - "&amp;(IF($C303="","Commercial",$C303))),Variables!$B$1:$D$1,0),1))*L303/16.67)),""))</f>
        <v>1974.1510412056753</v>
      </c>
      <c r="AX303" s="9"/>
      <c r="AY303" s="12"/>
      <c r="AZ303" s="10"/>
      <c r="BA303" s="9"/>
      <c r="BB303" s="10"/>
      <c r="BC303" s="9"/>
      <c r="BD303" s="9"/>
      <c r="BE303" s="9"/>
      <c r="BF303" s="9"/>
    </row>
    <row r="304" spans="1:58" x14ac:dyDescent="0.25">
      <c r="A304" s="9" t="s">
        <v>84</v>
      </c>
      <c r="B304" s="9" t="s">
        <v>85</v>
      </c>
      <c r="C304" s="9" t="s">
        <v>86</v>
      </c>
      <c r="D304" s="10">
        <v>45671</v>
      </c>
      <c r="E304" s="10">
        <v>45717</v>
      </c>
      <c r="F304" s="10">
        <v>45747</v>
      </c>
      <c r="G304" s="9">
        <v>3786600</v>
      </c>
      <c r="H304" s="9" t="str">
        <f t="shared" si="28"/>
        <v>Closed</v>
      </c>
      <c r="I304" s="9" t="str">
        <f t="shared" si="29"/>
        <v>All dates received</v>
      </c>
      <c r="J304" s="9" t="s">
        <v>102</v>
      </c>
      <c r="K304" s="9">
        <v>5173</v>
      </c>
      <c r="L304" s="11">
        <v>320</v>
      </c>
      <c r="M304" s="9" t="s">
        <v>387</v>
      </c>
      <c r="N304" s="9" t="s">
        <v>387</v>
      </c>
      <c r="O304" s="9"/>
      <c r="P304" s="9"/>
      <c r="Q304" s="11">
        <v>-44</v>
      </c>
      <c r="R304" s="9" t="s">
        <v>90</v>
      </c>
      <c r="S304" s="9" t="s">
        <v>554</v>
      </c>
      <c r="T304" s="12">
        <f>IF($H304="Cancelled","",IFERROR(((Q304+INDEX(Variables!$B$6:$D$6,IFERROR(MATCH(IF($B304="Robusta","Robusta",(IF($B304="","Arabica",$B304))&amp;" - "&amp;(IF($C304="","Commercial",$C304))),Variables!$B$1:$D$1,0),1)))*22.0462)*(L304/16.67),""))</f>
        <v>104446.35220155968</v>
      </c>
      <c r="U304" s="10">
        <v>45673</v>
      </c>
      <c r="V304" s="9" t="str">
        <f t="shared" si="31"/>
        <v>Sent</v>
      </c>
      <c r="W304" s="10">
        <v>45686</v>
      </c>
      <c r="X304" s="9" t="str">
        <f t="shared" si="33"/>
        <v>Approved</v>
      </c>
      <c r="Y304" s="10"/>
      <c r="Z304" s="10">
        <f>IF($H304="Cancelled","",IFERROR(IF(F304="","",F304-Variables!$B$13),""))</f>
        <v>45732</v>
      </c>
      <c r="AA304" s="11">
        <f>IF($H304="Cancelled","",IFERROR(IF(W304="","",(AVERAGE(E304:F304)-W304)-Variables!$B$14),""))</f>
        <v>16</v>
      </c>
      <c r="AB304" s="10">
        <v>45696</v>
      </c>
      <c r="AC304" s="11">
        <f>IF($H304="Cancelled","",IFERROR(IF(AB304="","",IF(AND(W304="",Y304=""),"",IF(Y304&gt;W304,Y304+Variables!$B$15+Variables!$B$16+Variables!$B$17-AB304,W304+Variables!$B$16+Variables!$B$17-AB304))),""))</f>
        <v>-2</v>
      </c>
      <c r="AD304" s="9" t="s">
        <v>107</v>
      </c>
      <c r="AE304" s="9" t="s">
        <v>684</v>
      </c>
      <c r="AF304" s="10">
        <v>45710</v>
      </c>
      <c r="AG304" s="10"/>
      <c r="AH304" s="9"/>
      <c r="AI304" s="9" t="s">
        <v>840</v>
      </c>
      <c r="AJ304" s="9" t="s">
        <v>8</v>
      </c>
      <c r="AK304" s="10">
        <v>45708</v>
      </c>
      <c r="AL304" s="10">
        <v>45713</v>
      </c>
      <c r="AM304" s="10">
        <v>45715</v>
      </c>
      <c r="AN304" s="9" t="s">
        <v>95</v>
      </c>
      <c r="AO304" s="9"/>
      <c r="AP304" s="11">
        <f>IF($H304="Cancelled","",IFERROR(IF(OR(AK304="",AB304=""),"",(AB304+Variables!$B$18-AK304)),""))</f>
        <v>-5</v>
      </c>
      <c r="AQ304" s="11">
        <f>IF($H304="Cancelled","",IFERROR(IF(OR(AM304="",AK304=""),"",(AK304+Variables!$B$19)-AM304),""))</f>
        <v>-2</v>
      </c>
      <c r="AR304" s="12">
        <f>IF($H304="Cancelled","",IFERROR(T304*INDEX(Variables!$B$7:$D$7,IFERROR(MATCH(IF($B304="Robusta","Robusta",(IF($B304="","Arabica",$B304))&amp;" - "&amp;(IF($C304="","Commercial",$C304))),Variables!$B$1:$D$1,0),1))*(AQ304/365),""))</f>
        <v>-36.903729161268011</v>
      </c>
      <c r="AS304" s="12">
        <f>IF($H304="Cancelled","",IFERROR((T304*INDEX(Variables!$B$7:$D$7,IFERROR(MATCH(IF($B304="Robusta","Robusta",(IF($B304="","Arabica",$B304))&amp;" - "&amp;(IF($C304="","Commercial",$C304))),Variables!$B$1:$D$1,0),1))*IFERROR(IF(W304="","",(AVERAGE(E304:F304)-W304)-Variables!$B$14),"")/365)+(L304/16.67*INDEX(Variables!$B$8:$D$8,IFERROR(MATCH(IF($B304="Robusta","Robusta",(IF($B304="","Arabica",$B304))&amp;" - "&amp;(IF($C304="","Commercial",$C304))),Variables!$B$1:$D$1,0),1))*IFERROR(IF(W304="","",(AVERAGE(E304:F304)-W304)-Variables!$B$14),""))+(T304*INDEX(Variables!$B$9:$D$9,IFERROR(MATCH(IF($B304="Robusta","Robusta",(IF($B304="","Arabica",$B304))&amp;" - "&amp;(IF($C304="","Commercial",$C304))),Variables!$B$1:$D$1,0),1))*IFERROR(IF(W304="","",(AVERAGE(E304:F304)-W304)-Variables!$B$14),"")/365),""))</f>
        <v>555.03591559524693</v>
      </c>
      <c r="AT304" s="12">
        <f>IF($H304="Cancelled","",IFERROR((T304*INDEX(Variables!$B$7:$D$7,IFERROR(MATCH(IF($B304="Robusta","Robusta",(IF($B304="","Arabica",$B304))&amp;" - "&amp;(IF($C304="","Commercial",$C304))),Variables!$B$1:$D$1,0),1))*AC304/365)+(L304/16.67*INDEX(Variables!$B$8:$D$8,IFERROR(MATCH(IF($B304="Robusta","Robusta",(IF($B304="","Arabica",$B304))&amp;" - "&amp;(IF($C304="","Commercial",$C304))),Variables!$B$1:$D$1,0),1))*AC304)+(T304*INDEX(Variables!$B$9:$D$9,IFERROR(MATCH(IF($B304="Robusta","Robusta",(IF($B304="","Arabica",$B304))&amp;" - "&amp;(IF($C304="","Commercial",$C304))),Variables!$B$1:$D$1,0),1))*AC304/365),""))</f>
        <v>-69.379489449405867</v>
      </c>
      <c r="AU304" s="12">
        <f>IF($H304="Cancelled","",IFERROR((T304*INDEX(Variables!$B$7:$D$7,IFERROR(MATCH(IF($B304="Robusta","Robusta",(IF($B304="","Arabica",$B304))&amp;" - "&amp;(IF($C304="","Commercial",$C304))),Variables!$B$1:$D$1,0),1))*AP304/365)+(L304/16.67*INDEX(Variables!$B$8:$D$8,IFERROR(MATCH(IF($B304="Robusta","Robusta",(IF($B304="","Arabica",$B304))&amp;" - "&amp;(IF($C304="","Commercial",$C304))),Variables!$B$1:$D$1,0),1))*AP304)+(T304*INDEX(Variables!$B$9:$D$9,IFERROR(MATCH(IF($B304="Robusta","Robusta",(IF($B304="","Arabica",$B304))&amp;" - "&amp;(IF($C304="","Commercial",$C304))),Variables!$B$1:$D$1,0),1))*AP304/365),""))</f>
        <v>-173.44872362351467</v>
      </c>
      <c r="AV304" s="11">
        <f t="shared" si="30"/>
        <v>39</v>
      </c>
      <c r="AW304" s="12">
        <f>IF($H304="Cancelled","",IFERROR(IF(AV304="","",(T304*INDEX(Variables!$B$7:$D$7,IFERROR(MATCH(IF($B304="Robusta","Robusta",(IF($B304="","Arabica",$B304))&amp;" - "&amp;(IF($C304="","Commercial",$C304))),Variables!$B$1:$D$1,0),1))*(AV304/365))+(T304*INDEX(Variables!$B$9:$D$9,IFERROR(MATCH(IF($B304="Robusta","Robusta",(IF($B304="","Arabica",$B304))&amp;" - "&amp;(IF($C304="","Commercial",$C304))),Variables!$B$1:$D$1,0),1))*(AV304/365))+(INDEX(Variables!$B$8:$D$8,IFERROR(MATCH(IF($B304="Robusta","Robusta",(IF($B304="","Arabica",$B304))&amp;" - "&amp;(IF($C304="","Commercial",$C304))),Variables!$B$1:$D$1,0),1))*L304/16.67)),""))</f>
        <v>744.90004426341432</v>
      </c>
      <c r="AX304" s="9"/>
      <c r="AY304" s="12"/>
      <c r="AZ304" s="10"/>
      <c r="BA304" s="9"/>
      <c r="BB304" s="10"/>
      <c r="BC304" s="9"/>
      <c r="BD304" s="9"/>
      <c r="BE304" s="9"/>
      <c r="BF304" s="9"/>
    </row>
    <row r="305" spans="1:58" x14ac:dyDescent="0.25">
      <c r="A305" s="9" t="s">
        <v>84</v>
      </c>
      <c r="B305" s="9" t="s">
        <v>85</v>
      </c>
      <c r="C305" s="9" t="s">
        <v>86</v>
      </c>
      <c r="D305" s="10">
        <v>45671</v>
      </c>
      <c r="E305" s="10">
        <v>45748</v>
      </c>
      <c r="F305" s="10">
        <v>45777</v>
      </c>
      <c r="G305" s="9">
        <v>3786597</v>
      </c>
      <c r="H305" s="9" t="str">
        <f t="shared" si="28"/>
        <v>Closed</v>
      </c>
      <c r="I305" s="9" t="str">
        <f t="shared" si="29"/>
        <v>All dates received</v>
      </c>
      <c r="J305" s="9" t="s">
        <v>537</v>
      </c>
      <c r="K305" s="9">
        <v>5233</v>
      </c>
      <c r="L305" s="11">
        <v>1440</v>
      </c>
      <c r="M305" s="9" t="s">
        <v>838</v>
      </c>
      <c r="N305" s="9" t="s">
        <v>387</v>
      </c>
      <c r="O305" s="9"/>
      <c r="P305" s="9"/>
      <c r="Q305" s="11">
        <v>-25</v>
      </c>
      <c r="R305" s="9" t="s">
        <v>90</v>
      </c>
      <c r="S305" s="9" t="s">
        <v>839</v>
      </c>
      <c r="T305" s="12">
        <f>IF($H305="Cancelled","",IFERROR(((Q305+INDEX(Variables!$B$6:$D$6,IFERROR(MATCH(IF($B305="Robusta","Robusta",(IF($B305="","Arabica",$B305))&amp;" - "&amp;(IF($C305="","Commercial",$C305))),Variables!$B$1:$D$1,0),1)))*22.0462)*(L305/16.67),""))</f>
        <v>506192.39006598678</v>
      </c>
      <c r="U305" s="10">
        <v>45698</v>
      </c>
      <c r="V305" s="9" t="str">
        <f t="shared" si="31"/>
        <v>Sent</v>
      </c>
      <c r="W305" s="10">
        <v>45706</v>
      </c>
      <c r="X305" s="9" t="str">
        <f t="shared" si="33"/>
        <v>Approved</v>
      </c>
      <c r="Y305" s="10"/>
      <c r="Z305" s="10">
        <f>IF($H305="Cancelled","",IFERROR(IF(F305="","",F305-Variables!$B$13),""))</f>
        <v>45762</v>
      </c>
      <c r="AA305" s="11">
        <f>IF($H305="Cancelled","",IFERROR(IF(W305="","",(AVERAGE(E305:F305)-W305)-Variables!$B$14),""))</f>
        <v>26.5</v>
      </c>
      <c r="AB305" s="10">
        <v>45756</v>
      </c>
      <c r="AC305" s="11">
        <f>IF($H305="Cancelled","",IFERROR(IF(AB305="","",IF(AND(W305="",Y305=""),"",IF(Y305&gt;W305,Y305+Variables!$B$15+Variables!$B$16+Variables!$B$17-AB305,W305+Variables!$B$16+Variables!$B$17-AB305))),""))</f>
        <v>-42</v>
      </c>
      <c r="AD305" s="9" t="s">
        <v>163</v>
      </c>
      <c r="AE305" s="9" t="s">
        <v>598</v>
      </c>
      <c r="AF305" s="10"/>
      <c r="AG305" s="10"/>
      <c r="AH305" s="9"/>
      <c r="AI305" s="9">
        <v>250956300</v>
      </c>
      <c r="AJ305" s="9" t="s">
        <v>8</v>
      </c>
      <c r="AK305" s="10">
        <v>45765</v>
      </c>
      <c r="AL305" s="10">
        <v>45772</v>
      </c>
      <c r="AM305" s="10">
        <v>45782</v>
      </c>
      <c r="AN305" s="9" t="s">
        <v>95</v>
      </c>
      <c r="AO305" s="9"/>
      <c r="AP305" s="11">
        <f>IF($H305="Cancelled","",IFERROR(IF(OR(AK305="",AB305=""),"",(AB305+Variables!$B$18-AK305)),""))</f>
        <v>-2</v>
      </c>
      <c r="AQ305" s="11">
        <f>IF($H305="Cancelled","",IFERROR(IF(OR(AM305="",AK305=""),"",(AK305+Variables!$B$19)-AM305),""))</f>
        <v>-12</v>
      </c>
      <c r="AR305" s="12">
        <f>IF($H305="Cancelled","",IFERROR(T305*INDEX(Variables!$B$7:$D$7,IFERROR(MATCH(IF($B305="Robusta","Robusta",(IF($B305="","Arabica",$B305))&amp;" - "&amp;(IF($C305="","Commercial",$C305))),Variables!$B$1:$D$1,0),1))*(AQ305/365),""))</f>
        <v>-1073.1090060727552</v>
      </c>
      <c r="AS305" s="12">
        <f>IF($H305="Cancelled","",IFERROR((T305*INDEX(Variables!$B$7:$D$7,IFERROR(MATCH(IF($B305="Robusta","Robusta",(IF($B305="","Arabica",$B305))&amp;" - "&amp;(IF($C305="","Commercial",$C305))),Variables!$B$1:$D$1,0),1))*IFERROR(IF(W305="","",(AVERAGE(E305:F305)-W305)-Variables!$B$14),"")/365)+(L305/16.67*INDEX(Variables!$B$8:$D$8,IFERROR(MATCH(IF($B305="Robusta","Robusta",(IF($B305="","Arabica",$B305))&amp;" - "&amp;(IF($C305="","Commercial",$C305))),Variables!$B$1:$D$1,0),1))*IFERROR(IF(W305="","",(AVERAGE(E305:F305)-W305)-Variables!$B$14),""))+(T305*INDEX(Variables!$B$9:$D$9,IFERROR(MATCH(IF($B305="Robusta","Robusta",(IF($B305="","Arabica",$B305))&amp;" - "&amp;(IF($C305="","Commercial",$C305))),Variables!$B$1:$D$1,0),1))*IFERROR(IF(W305="","",(AVERAGE(E305:F305)-W305)-Variables!$B$14),"")/365),""))</f>
        <v>4308.3334567595439</v>
      </c>
      <c r="AT305" s="12">
        <f>IF($H305="Cancelled","",IFERROR((T305*INDEX(Variables!$B$7:$D$7,IFERROR(MATCH(IF($B305="Robusta","Robusta",(IF($B305="","Arabica",$B305))&amp;" - "&amp;(IF($C305="","Commercial",$C305))),Variables!$B$1:$D$1,0),1))*AC305/365)+(L305/16.67*INDEX(Variables!$B$8:$D$8,IFERROR(MATCH(IF($B305="Robusta","Robusta",(IF($B305="","Arabica",$B305))&amp;" - "&amp;(IF($C305="","Commercial",$C305))),Variables!$B$1:$D$1,0),1))*AC305)+(T305*INDEX(Variables!$B$9:$D$9,IFERROR(MATCH(IF($B305="Robusta","Robusta",(IF($B305="","Arabica",$B305))&amp;" - "&amp;(IF($C305="","Commercial",$C305))),Variables!$B$1:$D$1,0),1))*AC305/365),""))</f>
        <v>-6828.302082411351</v>
      </c>
      <c r="AU305" s="12">
        <f>IF($H305="Cancelled","",IFERROR((T305*INDEX(Variables!$B$7:$D$7,IFERROR(MATCH(IF($B305="Robusta","Robusta",(IF($B305="","Arabica",$B305))&amp;" - "&amp;(IF($C305="","Commercial",$C305))),Variables!$B$1:$D$1,0),1))*AP305/365)+(L305/16.67*INDEX(Variables!$B$8:$D$8,IFERROR(MATCH(IF($B305="Robusta","Robusta",(IF($B305="","Arabica",$B305))&amp;" - "&amp;(IF($C305="","Commercial",$C305))),Variables!$B$1:$D$1,0),1))*AP305)+(T305*INDEX(Variables!$B$9:$D$9,IFERROR(MATCH(IF($B305="Robusta","Robusta",(IF($B305="","Arabica",$B305))&amp;" - "&amp;(IF($C305="","Commercial",$C305))),Variables!$B$1:$D$1,0),1))*AP305/365),""))</f>
        <v>-325.15724201958818</v>
      </c>
      <c r="AV305" s="11">
        <f t="shared" si="30"/>
        <v>12</v>
      </c>
      <c r="AW305" s="12">
        <f>IF($H305="Cancelled","",IFERROR(IF(AV305="","",(T305*INDEX(Variables!$B$7:$D$7,IFERROR(MATCH(IF($B305="Robusta","Robusta",(IF($B305="","Arabica",$B305))&amp;" - "&amp;(IF($C305="","Commercial",$C305))),Variables!$B$1:$D$1,0),1))*(AV305/365))+(T305*INDEX(Variables!$B$9:$D$9,IFERROR(MATCH(IF($B305="Robusta","Robusta",(IF($B305="","Arabica",$B305))&amp;" - "&amp;(IF($C305="","Commercial",$C305))),Variables!$B$1:$D$1,0),1))*(AV305/365))+(INDEX(Variables!$B$8:$D$8,IFERROR(MATCH(IF($B305="Robusta","Robusta",(IF($B305="","Arabica",$B305))&amp;" - "&amp;(IF($C305="","Commercial",$C305))),Variables!$B$1:$D$1,0),1))*L305/16.67)),""))</f>
        <v>1158.9434521175285</v>
      </c>
      <c r="AX305" s="9"/>
      <c r="AY305" s="12"/>
      <c r="AZ305" s="10"/>
      <c r="BA305" s="9"/>
      <c r="BB305" s="10"/>
      <c r="BC305" s="9"/>
      <c r="BD305" s="9"/>
      <c r="BE305" s="9"/>
      <c r="BF305" s="9"/>
    </row>
    <row r="306" spans="1:58" x14ac:dyDescent="0.25">
      <c r="A306" s="9" t="s">
        <v>84</v>
      </c>
      <c r="B306" s="9" t="s">
        <v>85</v>
      </c>
      <c r="C306" s="9" t="s">
        <v>86</v>
      </c>
      <c r="D306" s="10">
        <v>45671</v>
      </c>
      <c r="E306" s="10">
        <v>45778</v>
      </c>
      <c r="F306" s="10">
        <v>45808</v>
      </c>
      <c r="G306" s="9">
        <v>3786598</v>
      </c>
      <c r="H306" s="9" t="str">
        <f t="shared" si="28"/>
        <v>Closed</v>
      </c>
      <c r="I306" s="9" t="str">
        <f t="shared" si="29"/>
        <v>All dates received</v>
      </c>
      <c r="J306" s="9" t="s">
        <v>537</v>
      </c>
      <c r="K306" s="9">
        <v>5250</v>
      </c>
      <c r="L306" s="11">
        <v>1080</v>
      </c>
      <c r="M306" s="9" t="s">
        <v>838</v>
      </c>
      <c r="N306" s="9" t="s">
        <v>387</v>
      </c>
      <c r="O306" s="9"/>
      <c r="P306" s="9"/>
      <c r="Q306" s="11">
        <v>-25</v>
      </c>
      <c r="R306" s="9" t="s">
        <v>90</v>
      </c>
      <c r="S306" s="9" t="s">
        <v>839</v>
      </c>
      <c r="T306" s="12">
        <f>IF($H306="Cancelled","",IFERROR(((Q306+INDEX(Variables!$B$6:$D$6,IFERROR(MATCH(IF($B306="Robusta","Robusta",(IF($B306="","Arabica",$B306))&amp;" - "&amp;(IF($C306="","Commercial",$C306))),Variables!$B$1:$D$1,0),1)))*22.0462)*(L306/16.67),""))</f>
        <v>379644.29254949006</v>
      </c>
      <c r="U306" s="10">
        <v>45740</v>
      </c>
      <c r="V306" s="9" t="str">
        <f t="shared" si="31"/>
        <v>Sent</v>
      </c>
      <c r="W306" s="10">
        <v>45747</v>
      </c>
      <c r="X306" s="9" t="str">
        <f t="shared" si="33"/>
        <v>Approved</v>
      </c>
      <c r="Y306" s="10"/>
      <c r="Z306" s="10">
        <f>IF($H306="Cancelled","",IFERROR(IF(F306="","",F306-Variables!$B$13),""))</f>
        <v>45793</v>
      </c>
      <c r="AA306" s="11">
        <f>IF($H306="Cancelled","",IFERROR(IF(W306="","",(AVERAGE(E306:F306)-W306)-Variables!$B$14),""))</f>
        <v>16</v>
      </c>
      <c r="AB306" s="10">
        <v>45772</v>
      </c>
      <c r="AC306" s="11">
        <f>IF($H306="Cancelled","",IFERROR(IF(AB306="","",IF(AND(W306="",Y306=""),"",IF(Y306&gt;W306,Y306+Variables!$B$15+Variables!$B$16+Variables!$B$17-AB306,W306+Variables!$B$16+Variables!$B$17-AB306))),""))</f>
        <v>-17</v>
      </c>
      <c r="AD306" s="9" t="s">
        <v>163</v>
      </c>
      <c r="AE306" s="9" t="s">
        <v>164</v>
      </c>
      <c r="AF306" s="10"/>
      <c r="AG306" s="10"/>
      <c r="AH306" s="9"/>
      <c r="AI306" s="9">
        <v>253447920</v>
      </c>
      <c r="AJ306" s="9" t="s">
        <v>8</v>
      </c>
      <c r="AK306" s="10">
        <v>45787</v>
      </c>
      <c r="AL306" s="10">
        <v>45792</v>
      </c>
      <c r="AM306" s="10">
        <v>45793</v>
      </c>
      <c r="AN306" s="9" t="s">
        <v>95</v>
      </c>
      <c r="AO306" s="9"/>
      <c r="AP306" s="11">
        <f>IF($H306="Cancelled","",IFERROR(IF(OR(AK306="",AB306=""),"",(AB306+Variables!$B$18-AK306)),""))</f>
        <v>-8</v>
      </c>
      <c r="AQ306" s="11">
        <f>IF($H306="Cancelled","",IFERROR(IF(OR(AM306="",AK306=""),"",(AK306+Variables!$B$19)-AM306),""))</f>
        <v>-1</v>
      </c>
      <c r="AR306" s="12">
        <f>IF($H306="Cancelled","",IFERROR(T306*INDEX(Variables!$B$7:$D$7,IFERROR(MATCH(IF($B306="Robusta","Robusta",(IF($B306="","Arabica",$B306))&amp;" - "&amp;(IF($C306="","Commercial",$C306))),Variables!$B$1:$D$1,0),1))*(AQ306/365),""))</f>
        <v>-67.069312879547212</v>
      </c>
      <c r="AS306" s="12">
        <f>IF($H306="Cancelled","",IFERROR((T306*INDEX(Variables!$B$7:$D$7,IFERROR(MATCH(IF($B306="Robusta","Robusta",(IF($B306="","Arabica",$B306))&amp;" - "&amp;(IF($C306="","Commercial",$C306))),Variables!$B$1:$D$1,0),1))*IFERROR(IF(W306="","",(AVERAGE(E306:F306)-W306)-Variables!$B$14),"")/365)+(L306/16.67*INDEX(Variables!$B$8:$D$8,IFERROR(MATCH(IF($B306="Robusta","Robusta",(IF($B306="","Arabica",$B306))&amp;" - "&amp;(IF($C306="","Commercial",$C306))),Variables!$B$1:$D$1,0),1))*IFERROR(IF(W306="","",(AVERAGE(E306:F306)-W306)-Variables!$B$14),""))+(T306*INDEX(Variables!$B$9:$D$9,IFERROR(MATCH(IF($B306="Robusta","Robusta",(IF($B306="","Arabica",$B306))&amp;" - "&amp;(IF($C306="","Commercial",$C306))),Variables!$B$1:$D$1,0),1))*IFERROR(IF(W306="","",(AVERAGE(E306:F306)-W306)-Variables!$B$14),"")/365),""))</f>
        <v>1950.9434521175285</v>
      </c>
      <c r="AT306" s="12">
        <f>IF($H306="Cancelled","",IFERROR((T306*INDEX(Variables!$B$7:$D$7,IFERROR(MATCH(IF($B306="Robusta","Robusta",(IF($B306="","Arabica",$B306))&amp;" - "&amp;(IF($C306="","Commercial",$C306))),Variables!$B$1:$D$1,0),1))*AC306/365)+(L306/16.67*INDEX(Variables!$B$8:$D$8,IFERROR(MATCH(IF($B306="Robusta","Robusta",(IF($B306="","Arabica",$B306))&amp;" - "&amp;(IF($C306="","Commercial",$C306))),Variables!$B$1:$D$1,0),1))*AC306)+(T306*INDEX(Variables!$B$9:$D$9,IFERROR(MATCH(IF($B306="Robusta","Robusta",(IF($B306="","Arabica",$B306))&amp;" - "&amp;(IF($C306="","Commercial",$C306))),Variables!$B$1:$D$1,0),1))*AC306/365),""))</f>
        <v>-2072.8774178748736</v>
      </c>
      <c r="AU306" s="12">
        <f>IF($H306="Cancelled","",IFERROR((T306*INDEX(Variables!$B$7:$D$7,IFERROR(MATCH(IF($B306="Robusta","Robusta",(IF($B306="","Arabica",$B306))&amp;" - "&amp;(IF($C306="","Commercial",$C306))),Variables!$B$1:$D$1,0),1))*AP306/365)+(L306/16.67*INDEX(Variables!$B$8:$D$8,IFERROR(MATCH(IF($B306="Robusta","Robusta",(IF($B306="","Arabica",$B306))&amp;" - "&amp;(IF($C306="","Commercial",$C306))),Variables!$B$1:$D$1,0),1))*AP306)+(T306*INDEX(Variables!$B$9:$D$9,IFERROR(MATCH(IF($B306="Robusta","Robusta",(IF($B306="","Arabica",$B306))&amp;" - "&amp;(IF($C306="","Commercial",$C306))),Variables!$B$1:$D$1,0),1))*AP306/365),""))</f>
        <v>-975.47172605876426</v>
      </c>
      <c r="AV306" s="11">
        <f t="shared" si="30"/>
        <v>21</v>
      </c>
      <c r="AW306" s="12">
        <f>IF($H306="Cancelled","",IFERROR(IF(AV306="","",(T306*INDEX(Variables!$B$7:$D$7,IFERROR(MATCH(IF($B306="Robusta","Robusta",(IF($B306="","Arabica",$B306))&amp;" - "&amp;(IF($C306="","Commercial",$C306))),Variables!$B$1:$D$1,0),1))*(AV306/365))+(T306*INDEX(Variables!$B$9:$D$9,IFERROR(MATCH(IF($B306="Robusta","Robusta",(IF($B306="","Arabica",$B306))&amp;" - "&amp;(IF($C306="","Commercial",$C306))),Variables!$B$1:$D$1,0),1))*(AV306/365))+(INDEX(Variables!$B$8:$D$8,IFERROR(MATCH(IF($B306="Robusta","Robusta",(IF($B306="","Arabica",$B306))&amp;" - "&amp;(IF($C306="","Commercial",$C306))),Variables!$B$1:$D$1,0),1))*L306/16.67)),""))</f>
        <v>1480.6132809042563</v>
      </c>
      <c r="AX306" s="9"/>
      <c r="AY306" s="12"/>
      <c r="AZ306" s="10"/>
      <c r="BA306" s="9"/>
      <c r="BB306" s="10"/>
      <c r="BC306" s="9"/>
      <c r="BD306" s="9"/>
      <c r="BE306" s="9"/>
      <c r="BF306" s="9"/>
    </row>
    <row r="307" spans="1:58" x14ac:dyDescent="0.25">
      <c r="A307" s="9" t="s">
        <v>84</v>
      </c>
      <c r="B307" s="9" t="s">
        <v>85</v>
      </c>
      <c r="C307" s="9" t="s">
        <v>86</v>
      </c>
      <c r="D307" s="10">
        <v>45671</v>
      </c>
      <c r="E307" s="10">
        <v>45778</v>
      </c>
      <c r="F307" s="10">
        <v>45808</v>
      </c>
      <c r="G307" s="9">
        <v>3786598</v>
      </c>
      <c r="H307" s="9" t="str">
        <f t="shared" si="28"/>
        <v>Closed</v>
      </c>
      <c r="I307" s="9" t="str">
        <f t="shared" si="29"/>
        <v>All dates received</v>
      </c>
      <c r="J307" s="9" t="s">
        <v>537</v>
      </c>
      <c r="K307" s="9">
        <v>5250</v>
      </c>
      <c r="L307" s="11">
        <v>360</v>
      </c>
      <c r="M307" s="9" t="s">
        <v>838</v>
      </c>
      <c r="N307" s="9" t="s">
        <v>387</v>
      </c>
      <c r="O307" s="9"/>
      <c r="P307" s="9"/>
      <c r="Q307" s="11">
        <v>-25</v>
      </c>
      <c r="R307" s="9" t="s">
        <v>90</v>
      </c>
      <c r="S307" s="9" t="s">
        <v>839</v>
      </c>
      <c r="T307" s="12">
        <f>IF($H307="Cancelled","",IFERROR(((Q307+INDEX(Variables!$B$6:$D$6,IFERROR(MATCH(IF($B307="Robusta","Robusta",(IF($B307="","Arabica",$B307))&amp;" - "&amp;(IF($C307="","Commercial",$C307))),Variables!$B$1:$D$1,0),1)))*22.0462)*(L307/16.67),""))</f>
        <v>126548.09751649669</v>
      </c>
      <c r="U307" s="10">
        <v>45740</v>
      </c>
      <c r="V307" s="9" t="str">
        <f t="shared" si="31"/>
        <v>Sent</v>
      </c>
      <c r="W307" s="10">
        <v>45747</v>
      </c>
      <c r="X307" s="9" t="str">
        <f t="shared" si="33"/>
        <v>Approved</v>
      </c>
      <c r="Y307" s="10"/>
      <c r="Z307" s="10">
        <f>IF($H307="Cancelled","",IFERROR(IF(F307="","",F307-Variables!$B$13),""))</f>
        <v>45793</v>
      </c>
      <c r="AA307" s="11">
        <f>IF($H307="Cancelled","",IFERROR(IF(W307="","",(AVERAGE(E307:F307)-W307)-Variables!$B$14),""))</f>
        <v>16</v>
      </c>
      <c r="AB307" s="10">
        <v>45772</v>
      </c>
      <c r="AC307" s="11">
        <f>IF($H307="Cancelled","",IFERROR(IF(AB307="","",IF(AND(W307="",Y307=""),"",IF(Y307&gt;W307,Y307+Variables!$B$15+Variables!$B$16+Variables!$B$17-AB307,W307+Variables!$B$16+Variables!$B$17-AB307))),""))</f>
        <v>-17</v>
      </c>
      <c r="AD307" s="9" t="s">
        <v>163</v>
      </c>
      <c r="AE307" s="9" t="s">
        <v>841</v>
      </c>
      <c r="AF307" s="10"/>
      <c r="AG307" s="10"/>
      <c r="AH307" s="9"/>
      <c r="AI307" s="9">
        <v>252213547</v>
      </c>
      <c r="AJ307" s="9" t="s">
        <v>8</v>
      </c>
      <c r="AK307" s="10">
        <v>45780</v>
      </c>
      <c r="AL307" s="10">
        <v>45785</v>
      </c>
      <c r="AM307" s="10">
        <v>45793</v>
      </c>
      <c r="AN307" s="9" t="s">
        <v>95</v>
      </c>
      <c r="AO307" s="9"/>
      <c r="AP307" s="11">
        <f>IF($H307="Cancelled","",IFERROR(IF(OR(AK307="",AB307=""),"",(AB307+Variables!$B$18-AK307)),""))</f>
        <v>-1</v>
      </c>
      <c r="AQ307" s="11">
        <f>IF($H307="Cancelled","",IFERROR(IF(OR(AM307="",AK307=""),"",(AK307+Variables!$B$19)-AM307),""))</f>
        <v>-8</v>
      </c>
      <c r="AR307" s="12">
        <f>IF($H307="Cancelled","",IFERROR(T307*INDEX(Variables!$B$7:$D$7,IFERROR(MATCH(IF($B307="Robusta","Robusta",(IF($B307="","Arabica",$B307))&amp;" - "&amp;(IF($C307="","Commercial",$C307))),Variables!$B$1:$D$1,0),1))*(AQ307/365),""))</f>
        <v>-178.85150101212591</v>
      </c>
      <c r="AS307" s="12">
        <f>IF($H307="Cancelled","",IFERROR((T307*INDEX(Variables!$B$7:$D$7,IFERROR(MATCH(IF($B307="Robusta","Robusta",(IF($B307="","Arabica",$B307))&amp;" - "&amp;(IF($C307="","Commercial",$C307))),Variables!$B$1:$D$1,0),1))*IFERROR(IF(W307="","",(AVERAGE(E307:F307)-W307)-Variables!$B$14),"")/365)+(L307/16.67*INDEX(Variables!$B$8:$D$8,IFERROR(MATCH(IF($B307="Robusta","Robusta",(IF($B307="","Arabica",$B307))&amp;" - "&amp;(IF($C307="","Commercial",$C307))),Variables!$B$1:$D$1,0),1))*IFERROR(IF(W307="","",(AVERAGE(E307:F307)-W307)-Variables!$B$14),""))+(T307*INDEX(Variables!$B$9:$D$9,IFERROR(MATCH(IF($B307="Robusta","Robusta",(IF($B307="","Arabica",$B307))&amp;" - "&amp;(IF($C307="","Commercial",$C307))),Variables!$B$1:$D$1,0),1))*IFERROR(IF(W307="","",(AVERAGE(E307:F307)-W307)-Variables!$B$14),"")/365),""))</f>
        <v>650.31448403917636</v>
      </c>
      <c r="AT307" s="12">
        <f>IF($H307="Cancelled","",IFERROR((T307*INDEX(Variables!$B$7:$D$7,IFERROR(MATCH(IF($B307="Robusta","Robusta",(IF($B307="","Arabica",$B307))&amp;" - "&amp;(IF($C307="","Commercial",$C307))),Variables!$B$1:$D$1,0),1))*AC307/365)+(L307/16.67*INDEX(Variables!$B$8:$D$8,IFERROR(MATCH(IF($B307="Robusta","Robusta",(IF($B307="","Arabica",$B307))&amp;" - "&amp;(IF($C307="","Commercial",$C307))),Variables!$B$1:$D$1,0),1))*AC307)+(T307*INDEX(Variables!$B$9:$D$9,IFERROR(MATCH(IF($B307="Robusta","Robusta",(IF($B307="","Arabica",$B307))&amp;" - "&amp;(IF($C307="","Commercial",$C307))),Variables!$B$1:$D$1,0),1))*AC307/365),""))</f>
        <v>-690.95913929162475</v>
      </c>
      <c r="AU307" s="12">
        <f>IF($H307="Cancelled","",IFERROR((T307*INDEX(Variables!$B$7:$D$7,IFERROR(MATCH(IF($B307="Robusta","Robusta",(IF($B307="","Arabica",$B307))&amp;" - "&amp;(IF($C307="","Commercial",$C307))),Variables!$B$1:$D$1,0),1))*AP307/365)+(L307/16.67*INDEX(Variables!$B$8:$D$8,IFERROR(MATCH(IF($B307="Robusta","Robusta",(IF($B307="","Arabica",$B307))&amp;" - "&amp;(IF($C307="","Commercial",$C307))),Variables!$B$1:$D$1,0),1))*AP307)+(T307*INDEX(Variables!$B$9:$D$9,IFERROR(MATCH(IF($B307="Robusta","Robusta",(IF($B307="","Arabica",$B307))&amp;" - "&amp;(IF($C307="","Commercial",$C307))),Variables!$B$1:$D$1,0),1))*AP307/365),""))</f>
        <v>-40.644655252448523</v>
      </c>
      <c r="AV307" s="11">
        <f t="shared" si="30"/>
        <v>28</v>
      </c>
      <c r="AW307" s="12">
        <f>IF($H307="Cancelled","",IFERROR(IF(AV307="","",(T307*INDEX(Variables!$B$7:$D$7,IFERROR(MATCH(IF($B307="Robusta","Robusta",(IF($B307="","Arabica",$B307))&amp;" - "&amp;(IF($C307="","Commercial",$C307))),Variables!$B$1:$D$1,0),1))*(AV307/365))+(T307*INDEX(Variables!$B$9:$D$9,IFERROR(MATCH(IF($B307="Robusta","Robusta",(IF($B307="","Arabica",$B307))&amp;" - "&amp;(IF($C307="","Commercial",$C307))),Variables!$B$1:$D$1,0),1))*(AV307/365))+(INDEX(Variables!$B$8:$D$8,IFERROR(MATCH(IF($B307="Robusta","Robusta",(IF($B307="","Arabica",$B307))&amp;" - "&amp;(IF($C307="","Commercial",$C307))),Variables!$B$1:$D$1,0),1))*L307/16.67)),""))</f>
        <v>652.05034706855838</v>
      </c>
      <c r="AX307" s="9"/>
      <c r="AY307" s="12"/>
      <c r="AZ307" s="10"/>
      <c r="BA307" s="9"/>
      <c r="BB307" s="10"/>
      <c r="BC307" s="9"/>
      <c r="BD307" s="9"/>
      <c r="BE307" s="9"/>
      <c r="BF307" s="9"/>
    </row>
    <row r="308" spans="1:58" x14ac:dyDescent="0.25">
      <c r="A308" s="9" t="s">
        <v>84</v>
      </c>
      <c r="B308" s="9" t="s">
        <v>85</v>
      </c>
      <c r="C308" s="9" t="s">
        <v>86</v>
      </c>
      <c r="D308" s="10">
        <v>45673</v>
      </c>
      <c r="E308" s="10">
        <v>45717</v>
      </c>
      <c r="F308" s="10">
        <v>45747</v>
      </c>
      <c r="G308" s="9">
        <v>3786615</v>
      </c>
      <c r="H308" s="9" t="str">
        <f t="shared" si="28"/>
        <v>Closed</v>
      </c>
      <c r="I308" s="9" t="str">
        <f t="shared" si="29"/>
        <v>All dates received</v>
      </c>
      <c r="J308" s="9" t="s">
        <v>303</v>
      </c>
      <c r="K308" s="9" t="s">
        <v>842</v>
      </c>
      <c r="L308" s="11">
        <v>272</v>
      </c>
      <c r="M308" s="9" t="s">
        <v>843</v>
      </c>
      <c r="N308" s="9" t="s">
        <v>149</v>
      </c>
      <c r="O308" s="9"/>
      <c r="P308" s="9"/>
      <c r="Q308" s="11">
        <v>8</v>
      </c>
      <c r="R308" s="9" t="s">
        <v>90</v>
      </c>
      <c r="S308" s="9" t="s">
        <v>91</v>
      </c>
      <c r="T308" s="12">
        <f>IF($H308="Cancelled","",IFERROR(((Q308+INDEX(Variables!$B$6:$D$6,IFERROR(MATCH(IF($B308="Robusta","Robusta",(IF($B308="","Arabica",$B308))&amp;" - "&amp;(IF($C308="","Commercial",$C308))),Variables!$B$1:$D$1,0),1)))*22.0462)*(L308/16.67),""))</f>
        <v>107484.94543011398</v>
      </c>
      <c r="U308" s="10">
        <v>45677</v>
      </c>
      <c r="V308" s="9" t="str">
        <f t="shared" si="31"/>
        <v>Sent</v>
      </c>
      <c r="W308" s="10">
        <v>45686</v>
      </c>
      <c r="X308" s="9" t="str">
        <f t="shared" si="33"/>
        <v>Approved</v>
      </c>
      <c r="Y308" s="10"/>
      <c r="Z308" s="10">
        <f>IF($H308="Cancelled","",IFERROR(IF(F308="","",F308-Variables!$B$13),""))</f>
        <v>45732</v>
      </c>
      <c r="AA308" s="11">
        <f>IF($H308="Cancelled","",IFERROR(IF(W308="","",(AVERAGE(E308:F308)-W308)-Variables!$B$14),""))</f>
        <v>16</v>
      </c>
      <c r="AB308" s="10">
        <v>45728</v>
      </c>
      <c r="AC308" s="11">
        <f>IF($H308="Cancelled","",IFERROR(IF(AB308="","",IF(AND(W308="",Y308=""),"",IF(Y308&gt;W308,Y308+Variables!$B$15+Variables!$B$16+Variables!$B$17-AB308,W308+Variables!$B$16+Variables!$B$17-AB308))),""))</f>
        <v>-34</v>
      </c>
      <c r="AD308" s="9" t="s">
        <v>163</v>
      </c>
      <c r="AE308" s="9" t="s">
        <v>844</v>
      </c>
      <c r="AF308" s="10">
        <v>45739</v>
      </c>
      <c r="AG308" s="10"/>
      <c r="AH308" s="9"/>
      <c r="AI308" s="9">
        <v>251098049</v>
      </c>
      <c r="AJ308" s="9" t="s">
        <v>8</v>
      </c>
      <c r="AK308" s="10">
        <v>45742</v>
      </c>
      <c r="AL308" s="10">
        <v>45744</v>
      </c>
      <c r="AM308" s="10">
        <v>45754</v>
      </c>
      <c r="AN308" s="9" t="s">
        <v>95</v>
      </c>
      <c r="AO308" s="9"/>
      <c r="AP308" s="11">
        <f>IF($H308="Cancelled","",IFERROR(IF(OR(AK308="",AB308=""),"",(AB308+Variables!$B$18-AK308)),""))</f>
        <v>-7</v>
      </c>
      <c r="AQ308" s="11">
        <f>IF($H308="Cancelled","",IFERROR(IF(OR(AM308="",AK308=""),"",(AK308+Variables!$B$19)-AM308),""))</f>
        <v>-7</v>
      </c>
      <c r="AR308" s="12">
        <f>IF($H308="Cancelled","",IFERROR(T308*INDEX(Variables!$B$7:$D$7,IFERROR(MATCH(IF($B308="Robusta","Robusta",(IF($B308="","Arabica",$B308))&amp;" - "&amp;(IF($C308="","Commercial",$C308))),Variables!$B$1:$D$1,0),1))*(AQ308/365),""))</f>
        <v>-132.92071297944076</v>
      </c>
      <c r="AS308" s="12">
        <f>IF($H308="Cancelled","",IFERROR((T308*INDEX(Variables!$B$7:$D$7,IFERROR(MATCH(IF($B308="Robusta","Robusta",(IF($B308="","Arabica",$B308))&amp;" - "&amp;(IF($C308="","Commercial",$C308))),Variables!$B$1:$D$1,0),1))*IFERROR(IF(W308="","",(AVERAGE(E308:F308)-W308)-Variables!$B$14),"")/365)+(L308/16.67*INDEX(Variables!$B$8:$D$8,IFERROR(MATCH(IF($B308="Robusta","Robusta",(IF($B308="","Arabica",$B308))&amp;" - "&amp;(IF($C308="","Commercial",$C308))),Variables!$B$1:$D$1,0),1))*IFERROR(IF(W308="","",(AVERAGE(E308:F308)-W308)-Variables!$B$14),""))+(T308*INDEX(Variables!$B$9:$D$9,IFERROR(MATCH(IF($B308="Robusta","Robusta",(IF($B308="","Arabica",$B308))&amp;" - "&amp;(IF($C308="","Commercial",$C308))),Variables!$B$1:$D$1,0),1))*IFERROR(IF(W308="","",(AVERAGE(E308:F308)-W308)-Variables!$B$14),"")/365),""))</f>
        <v>525.3355828317699</v>
      </c>
      <c r="AT308" s="12">
        <f>IF($H308="Cancelled","",IFERROR((T308*INDEX(Variables!$B$7:$D$7,IFERROR(MATCH(IF($B308="Robusta","Robusta",(IF($B308="","Arabica",$B308))&amp;" - "&amp;(IF($C308="","Commercial",$C308))),Variables!$B$1:$D$1,0),1))*AC308/365)+(L308/16.67*INDEX(Variables!$B$8:$D$8,IFERROR(MATCH(IF($B308="Robusta","Robusta",(IF($B308="","Arabica",$B308))&amp;" - "&amp;(IF($C308="","Commercial",$C308))),Variables!$B$1:$D$1,0),1))*AC308)+(T308*INDEX(Variables!$B$9:$D$9,IFERROR(MATCH(IF($B308="Robusta","Robusta",(IF($B308="","Arabica",$B308))&amp;" - "&amp;(IF($C308="","Commercial",$C308))),Variables!$B$1:$D$1,0),1))*AC308/365),""))</f>
        <v>-1116.3381135175109</v>
      </c>
      <c r="AU308" s="12">
        <f>IF($H308="Cancelled","",IFERROR((T308*INDEX(Variables!$B$7:$D$7,IFERROR(MATCH(IF($B308="Robusta","Robusta",(IF($B308="","Arabica",$B308))&amp;" - "&amp;(IF($C308="","Commercial",$C308))),Variables!$B$1:$D$1,0),1))*AP308/365)+(L308/16.67*INDEX(Variables!$B$8:$D$8,IFERROR(MATCH(IF($B308="Robusta","Robusta",(IF($B308="","Arabica",$B308))&amp;" - "&amp;(IF($C308="","Commercial",$C308))),Variables!$B$1:$D$1,0),1))*AP308)+(T308*INDEX(Variables!$B$9:$D$9,IFERROR(MATCH(IF($B308="Robusta","Robusta",(IF($B308="","Arabica",$B308))&amp;" - "&amp;(IF($C308="","Commercial",$C308))),Variables!$B$1:$D$1,0),1))*AP308/365),""))</f>
        <v>-229.83431748889933</v>
      </c>
      <c r="AV308" s="11">
        <f t="shared" si="30"/>
        <v>5</v>
      </c>
      <c r="AW308" s="12">
        <f>IF($H308="Cancelled","",IFERROR(IF(AV308="","",(T308*INDEX(Variables!$B$7:$D$7,IFERROR(MATCH(IF($B308="Robusta","Robusta",(IF($B308="","Arabica",$B308))&amp;" - "&amp;(IF($C308="","Commercial",$C308))),Variables!$B$1:$D$1,0),1))*(AV308/365))+(T308*INDEX(Variables!$B$9:$D$9,IFERROR(MATCH(IF($B308="Robusta","Robusta",(IF($B308="","Arabica",$B308))&amp;" - "&amp;(IF($C308="","Commercial",$C308))),Variables!$B$1:$D$1,0),1))*(AV308/365))+(INDEX(Variables!$B$8:$D$8,IFERROR(MATCH(IF($B308="Robusta","Robusta",(IF($B308="","Arabica",$B308))&amp;" - "&amp;(IF($C308="","Commercial",$C308))),Variables!$B$1:$D$1,0),1))*L308/16.67)),""))</f>
        <v>109.76736963492806</v>
      </c>
      <c r="AX308" s="9"/>
      <c r="AY308" s="12"/>
      <c r="AZ308" s="10"/>
      <c r="BA308" s="9"/>
      <c r="BB308" s="10"/>
      <c r="BC308" s="9"/>
      <c r="BD308" s="9"/>
      <c r="BE308" s="9"/>
      <c r="BF308" s="9"/>
    </row>
    <row r="309" spans="1:58" x14ac:dyDescent="0.25">
      <c r="A309" s="9" t="s">
        <v>84</v>
      </c>
      <c r="B309" s="9" t="s">
        <v>85</v>
      </c>
      <c r="C309" s="9" t="s">
        <v>86</v>
      </c>
      <c r="D309" s="10">
        <v>45673</v>
      </c>
      <c r="E309" s="10">
        <v>45717</v>
      </c>
      <c r="F309" s="10">
        <v>45747</v>
      </c>
      <c r="G309" s="9">
        <v>3786616</v>
      </c>
      <c r="H309" s="9" t="str">
        <f t="shared" si="28"/>
        <v>Closed</v>
      </c>
      <c r="I309" s="9" t="str">
        <f t="shared" si="29"/>
        <v>All dates received</v>
      </c>
      <c r="J309" s="9" t="s">
        <v>537</v>
      </c>
      <c r="K309" s="9">
        <v>5192</v>
      </c>
      <c r="L309" s="11">
        <v>1280</v>
      </c>
      <c r="M309" s="9" t="s">
        <v>845</v>
      </c>
      <c r="N309" s="9" t="s">
        <v>450</v>
      </c>
      <c r="O309" s="9"/>
      <c r="P309" s="9"/>
      <c r="Q309" s="11">
        <v>10</v>
      </c>
      <c r="R309" s="9" t="s">
        <v>90</v>
      </c>
      <c r="S309" s="9" t="s">
        <v>846</v>
      </c>
      <c r="T309" s="12">
        <f>IF($H309="Cancelled","",IFERROR(((Q309+INDEX(Variables!$B$6:$D$6,IFERROR(MATCH(IF($B309="Robusta","Robusta",(IF($B309="","Arabica",$B309))&amp;" - "&amp;(IF($C309="","Commercial",$C309))),Variables!$B$1:$D$1,0),1)))*22.0462)*(L309/16.67),""))</f>
        <v>509197.1271025794</v>
      </c>
      <c r="U309" s="10">
        <v>45681</v>
      </c>
      <c r="V309" s="9" t="str">
        <f t="shared" si="31"/>
        <v>Sent</v>
      </c>
      <c r="W309" s="10">
        <v>45695</v>
      </c>
      <c r="X309" s="9" t="str">
        <f t="shared" si="33"/>
        <v>Approved</v>
      </c>
      <c r="Y309" s="10"/>
      <c r="Z309" s="10">
        <f>IF($H309="Cancelled","",IFERROR(IF(F309="","",F309-Variables!$B$13),""))</f>
        <v>45732</v>
      </c>
      <c r="AA309" s="11">
        <f>IF($H309="Cancelled","",IFERROR(IF(W309="","",(AVERAGE(E309:F309)-W309)-Variables!$B$14),""))</f>
        <v>7</v>
      </c>
      <c r="AB309" s="10">
        <v>45723</v>
      </c>
      <c r="AC309" s="11">
        <f>IF($H309="Cancelled","",IFERROR(IF(AB309="","",IF(AND(W309="",Y309=""),"",IF(Y309&gt;W309,Y309+Variables!$B$15+Variables!$B$16+Variables!$B$17-AB309,W309+Variables!$B$16+Variables!$B$17-AB309))),""))</f>
        <v>-20</v>
      </c>
      <c r="AD309" s="9" t="s">
        <v>163</v>
      </c>
      <c r="AE309" s="9" t="s">
        <v>598</v>
      </c>
      <c r="AF309" s="10">
        <v>45733</v>
      </c>
      <c r="AG309" s="10"/>
      <c r="AH309" s="9"/>
      <c r="AI309" s="9">
        <v>249978228</v>
      </c>
      <c r="AJ309" s="9" t="s">
        <v>8</v>
      </c>
      <c r="AK309" s="10">
        <v>45738</v>
      </c>
      <c r="AL309" s="10">
        <v>45743</v>
      </c>
      <c r="AM309" s="10">
        <v>45756</v>
      </c>
      <c r="AN309" s="9" t="s">
        <v>95</v>
      </c>
      <c r="AO309" s="9"/>
      <c r="AP309" s="11">
        <f>IF($H309="Cancelled","",IFERROR(IF(OR(AK309="",AB309=""),"",(AB309+Variables!$B$18-AK309)),""))</f>
        <v>-8</v>
      </c>
      <c r="AQ309" s="11">
        <f>IF($H309="Cancelled","",IFERROR(IF(OR(AM309="",AK309=""),"",(AK309+Variables!$B$19)-AM309),""))</f>
        <v>-13</v>
      </c>
      <c r="AR309" s="12">
        <f>IF($H309="Cancelled","",IFERROR(T309*INDEX(Variables!$B$7:$D$7,IFERROR(MATCH(IF($B309="Robusta","Robusta",(IF($B309="","Arabica",$B309))&amp;" - "&amp;(IF($C309="","Commercial",$C309))),Variables!$B$1:$D$1,0),1))*(AQ309/365),""))</f>
        <v>-1169.435514685757</v>
      </c>
      <c r="AS309" s="12">
        <f>IF($H309="Cancelled","",IFERROR((T309*INDEX(Variables!$B$7:$D$7,IFERROR(MATCH(IF($B309="Robusta","Robusta",(IF($B309="","Arabica",$B309))&amp;" - "&amp;(IF($C309="","Commercial",$C309))),Variables!$B$1:$D$1,0),1))*IFERROR(IF(W309="","",(AVERAGE(E309:F309)-W309)-Variables!$B$14),"")/365)+(L309/16.67*INDEX(Variables!$B$8:$D$8,IFERROR(MATCH(IF($B309="Robusta","Robusta",(IF($B309="","Arabica",$B309))&amp;" - "&amp;(IF($C309="","Commercial",$C309))),Variables!$B$1:$D$1,0),1))*IFERROR(IF(W309="","",(AVERAGE(E309:F309)-W309)-Variables!$B$14),""))+(T309*INDEX(Variables!$B$9:$D$9,IFERROR(MATCH(IF($B309="Robusta","Robusta",(IF($B309="","Arabica",$B309))&amp;" - "&amp;(IF($C309="","Commercial",$C309))),Variables!$B$1:$D$1,0),1))*IFERROR(IF(W309="","",(AVERAGE(E309:F309)-W309)-Variables!$B$14),"")/365),""))</f>
        <v>1085.814043635891</v>
      </c>
      <c r="AT309" s="12">
        <f>IF($H309="Cancelled","",IFERROR((T309*INDEX(Variables!$B$7:$D$7,IFERROR(MATCH(IF($B309="Robusta","Robusta",(IF($B309="","Arabica",$B309))&amp;" - "&amp;(IF($C309="","Commercial",$C309))),Variables!$B$1:$D$1,0),1))*AC309/365)+(L309/16.67*INDEX(Variables!$B$8:$D$8,IFERROR(MATCH(IF($B309="Robusta","Robusta",(IF($B309="","Arabica",$B309))&amp;" - "&amp;(IF($C309="","Commercial",$C309))),Variables!$B$1:$D$1,0),1))*AC309)+(T309*INDEX(Variables!$B$9:$D$9,IFERROR(MATCH(IF($B309="Robusta","Robusta",(IF($B309="","Arabica",$B309))&amp;" - "&amp;(IF($C309="","Commercial",$C309))),Variables!$B$1:$D$1,0),1))*AC309/365),""))</f>
        <v>-3102.325838959689</v>
      </c>
      <c r="AU309" s="12">
        <f>IF($H309="Cancelled","",IFERROR((T309*INDEX(Variables!$B$7:$D$7,IFERROR(MATCH(IF($B309="Robusta","Robusta",(IF($B309="","Arabica",$B309))&amp;" - "&amp;(IF($C309="","Commercial",$C309))),Variables!$B$1:$D$1,0),1))*AP309/365)+(L309/16.67*INDEX(Variables!$B$8:$D$8,IFERROR(MATCH(IF($B309="Robusta","Robusta",(IF($B309="","Arabica",$B309))&amp;" - "&amp;(IF($C309="","Commercial",$C309))),Variables!$B$1:$D$1,0),1))*AP309)+(T309*INDEX(Variables!$B$9:$D$9,IFERROR(MATCH(IF($B309="Robusta","Robusta",(IF($B309="","Arabica",$B309))&amp;" - "&amp;(IF($C309="","Commercial",$C309))),Variables!$B$1:$D$1,0),1))*AP309/365),""))</f>
        <v>-1240.9303355838756</v>
      </c>
      <c r="AV309" s="11">
        <f t="shared" si="30"/>
        <v>9</v>
      </c>
      <c r="AW309" s="12">
        <f>IF($H309="Cancelled","",IFERROR(IF(AV309="","",(T309*INDEX(Variables!$B$7:$D$7,IFERROR(MATCH(IF($B309="Robusta","Robusta",(IF($B309="","Arabica",$B309))&amp;" - "&amp;(IF($C309="","Commercial",$C309))),Variables!$B$1:$D$1,0),1))*(AV309/365))+(T309*INDEX(Variables!$B$9:$D$9,IFERROR(MATCH(IF($B309="Robusta","Robusta",(IF($B309="","Arabica",$B309))&amp;" - "&amp;(IF($C309="","Commercial",$C309))),Variables!$B$1:$D$1,0),1))*(AV309/365))+(INDEX(Variables!$B$8:$D$8,IFERROR(MATCH(IF($B309="Robusta","Robusta",(IF($B309="","Arabica",$B309))&amp;" - "&amp;(IF($C309="","Commercial",$C309))),Variables!$B$1:$D$1,0),1))*L309/16.67)),""))</f>
        <v>884.04662753185994</v>
      </c>
      <c r="AX309" s="9"/>
      <c r="AY309" s="12"/>
      <c r="AZ309" s="10"/>
      <c r="BA309" s="9"/>
      <c r="BB309" s="10"/>
      <c r="BC309" s="9"/>
      <c r="BD309" s="9"/>
      <c r="BE309" s="9"/>
      <c r="BF309" s="9"/>
    </row>
    <row r="310" spans="1:58" x14ac:dyDescent="0.25">
      <c r="A310" s="9" t="s">
        <v>84</v>
      </c>
      <c r="B310" s="9" t="s">
        <v>85</v>
      </c>
      <c r="C310" s="9" t="s">
        <v>86</v>
      </c>
      <c r="D310" s="10">
        <v>45673</v>
      </c>
      <c r="E310" s="10">
        <v>45748</v>
      </c>
      <c r="F310" s="10">
        <v>45777</v>
      </c>
      <c r="G310" s="9">
        <v>3786617</v>
      </c>
      <c r="H310" s="9" t="str">
        <f t="shared" si="28"/>
        <v>Closed</v>
      </c>
      <c r="I310" s="9" t="str">
        <f t="shared" si="29"/>
        <v>All dates received</v>
      </c>
      <c r="J310" s="9" t="s">
        <v>537</v>
      </c>
      <c r="K310" s="9">
        <v>5232</v>
      </c>
      <c r="L310" s="11">
        <v>960</v>
      </c>
      <c r="M310" s="9" t="s">
        <v>845</v>
      </c>
      <c r="N310" s="9" t="s">
        <v>450</v>
      </c>
      <c r="O310" s="9"/>
      <c r="P310" s="9"/>
      <c r="Q310" s="11">
        <v>10</v>
      </c>
      <c r="R310" s="9" t="s">
        <v>90</v>
      </c>
      <c r="S310" s="9" t="s">
        <v>846</v>
      </c>
      <c r="T310" s="12">
        <f>IF($H310="Cancelled","",IFERROR(((Q310+INDEX(Variables!$B$6:$D$6,IFERROR(MATCH(IF($B310="Robusta","Robusta",(IF($B310="","Arabica",$B310))&amp;" - "&amp;(IF($C310="","Commercial",$C310))),Variables!$B$1:$D$1,0),1)))*22.0462)*(L310/16.67),""))</f>
        <v>381897.84532693453</v>
      </c>
      <c r="U310" s="10">
        <v>45674</v>
      </c>
      <c r="V310" s="9" t="str">
        <f t="shared" si="31"/>
        <v>Sent</v>
      </c>
      <c r="W310" s="10">
        <v>45719</v>
      </c>
      <c r="X310" s="9" t="str">
        <f t="shared" si="33"/>
        <v>Approved</v>
      </c>
      <c r="Y310" s="10"/>
      <c r="Z310" s="10">
        <f>IF($H310="Cancelled","",IFERROR(IF(F310="","",F310-Variables!$B$13),""))</f>
        <v>45762</v>
      </c>
      <c r="AA310" s="11">
        <f>IF($H310="Cancelled","",IFERROR(IF(W310="","",(AVERAGE(E310:F310)-W310)-Variables!$B$14),""))</f>
        <v>13.5</v>
      </c>
      <c r="AB310" s="10">
        <v>45762</v>
      </c>
      <c r="AC310" s="11">
        <f>IF($H310="Cancelled","",IFERROR(IF(AB310="","",IF(AND(W310="",Y310=""),"",IF(Y310&gt;W310,Y310+Variables!$B$15+Variables!$B$16+Variables!$B$17-AB310,W310+Variables!$B$16+Variables!$B$17-AB310))),""))</f>
        <v>-35</v>
      </c>
      <c r="AD310" s="9" t="s">
        <v>163</v>
      </c>
      <c r="AE310" s="9" t="s">
        <v>219</v>
      </c>
      <c r="AF310" s="10"/>
      <c r="AG310" s="10"/>
      <c r="AH310" s="9"/>
      <c r="AI310" s="9">
        <v>250956761</v>
      </c>
      <c r="AJ310" s="9" t="s">
        <v>8</v>
      </c>
      <c r="AK310" s="10">
        <v>45771</v>
      </c>
      <c r="AL310" s="10">
        <v>45779</v>
      </c>
      <c r="AM310" s="10">
        <v>45793</v>
      </c>
      <c r="AN310" s="9" t="s">
        <v>95</v>
      </c>
      <c r="AO310" s="9"/>
      <c r="AP310" s="11">
        <f>IF($H310="Cancelled","",IFERROR(IF(OR(AK310="",AB310=""),"",(AB310+Variables!$B$18-AK310)),""))</f>
        <v>-2</v>
      </c>
      <c r="AQ310" s="11">
        <f>IF($H310="Cancelled","",IFERROR(IF(OR(AM310="",AK310=""),"",(AK310+Variables!$B$19)-AM310),""))</f>
        <v>-17</v>
      </c>
      <c r="AR310" s="12">
        <f>IF($H310="Cancelled","",IFERROR(T310*INDEX(Variables!$B$7:$D$7,IFERROR(MATCH(IF($B310="Robusta","Robusta",(IF($B310="","Arabica",$B310))&amp;" - "&amp;(IF($C310="","Commercial",$C310))),Variables!$B$1:$D$1,0),1))*(AQ310/365),""))</f>
        <v>-1146.9463701725695</v>
      </c>
      <c r="AS310" s="12">
        <f>IF($H310="Cancelled","",IFERROR((T310*INDEX(Variables!$B$7:$D$7,IFERROR(MATCH(IF($B310="Robusta","Robusta",(IF($B310="","Arabica",$B310))&amp;" - "&amp;(IF($C310="","Commercial",$C310))),Variables!$B$1:$D$1,0),1))*IFERROR(IF(W310="","",(AVERAGE(E310:F310)-W310)-Variables!$B$14),"")/365)+(L310/16.67*INDEX(Variables!$B$8:$D$8,IFERROR(MATCH(IF($B310="Robusta","Robusta",(IF($B310="","Arabica",$B310))&amp;" - "&amp;(IF($C310="","Commercial",$C310))),Variables!$B$1:$D$1,0),1))*IFERROR(IF(W310="","",(AVERAGE(E310:F310)-W310)-Variables!$B$14),""))+(T310*INDEX(Variables!$B$9:$D$9,IFERROR(MATCH(IF($B310="Robusta","Robusta",(IF($B310="","Arabica",$B310))&amp;" - "&amp;(IF($C310="","Commercial",$C310))),Variables!$B$1:$D$1,0),1))*IFERROR(IF(W310="","",(AVERAGE(E310:F310)-W310)-Variables!$B$14),"")/365),""))</f>
        <v>1570.5524559733424</v>
      </c>
      <c r="AT310" s="12">
        <f>IF($H310="Cancelled","",IFERROR((T310*INDEX(Variables!$B$7:$D$7,IFERROR(MATCH(IF($B310="Robusta","Robusta",(IF($B310="","Arabica",$B310))&amp;" - "&amp;(IF($C310="","Commercial",$C310))),Variables!$B$1:$D$1,0),1))*AC310/365)+(L310/16.67*INDEX(Variables!$B$8:$D$8,IFERROR(MATCH(IF($B310="Robusta","Robusta",(IF($B310="","Arabica",$B310))&amp;" - "&amp;(IF($C310="","Commercial",$C310))),Variables!$B$1:$D$1,0),1))*AC310)+(T310*INDEX(Variables!$B$9:$D$9,IFERROR(MATCH(IF($B310="Robusta","Robusta",(IF($B310="","Arabica",$B310))&amp;" - "&amp;(IF($C310="","Commercial",$C310))),Variables!$B$1:$D$1,0),1))*AC310/365),""))</f>
        <v>-4071.8026636345917</v>
      </c>
      <c r="AU310" s="12">
        <f>IF($H310="Cancelled","",IFERROR((T310*INDEX(Variables!$B$7:$D$7,IFERROR(MATCH(IF($B310="Robusta","Robusta",(IF($B310="","Arabica",$B310))&amp;" - "&amp;(IF($C310="","Commercial",$C310))),Variables!$B$1:$D$1,0),1))*AP310/365)+(L310/16.67*INDEX(Variables!$B$8:$D$8,IFERROR(MATCH(IF($B310="Robusta","Robusta",(IF($B310="","Arabica",$B310))&amp;" - "&amp;(IF($C310="","Commercial",$C310))),Variables!$B$1:$D$1,0),1))*AP310)+(T310*INDEX(Variables!$B$9:$D$9,IFERROR(MATCH(IF($B310="Robusta","Robusta",(IF($B310="","Arabica",$B310))&amp;" - "&amp;(IF($C310="","Commercial",$C310))),Variables!$B$1:$D$1,0),1))*AP310/365),""))</f>
        <v>-232.67443792197668</v>
      </c>
      <c r="AV310" s="11">
        <f t="shared" si="30"/>
        <v>6</v>
      </c>
      <c r="AW310" s="12">
        <f>IF($H310="Cancelled","",IFERROR(IF(AV310="","",(T310*INDEX(Variables!$B$7:$D$7,IFERROR(MATCH(IF($B310="Robusta","Robusta",(IF($B310="","Arabica",$B310))&amp;" - "&amp;(IF($C310="","Commercial",$C310))),Variables!$B$1:$D$1,0),1))*(AV310/365))+(T310*INDEX(Variables!$B$9:$D$9,IFERROR(MATCH(IF($B310="Robusta","Robusta",(IF($B310="","Arabica",$B310))&amp;" - "&amp;(IF($C310="","Commercial",$C310))),Variables!$B$1:$D$1,0),1))*(AV310/365))+(INDEX(Variables!$B$8:$D$8,IFERROR(MATCH(IF($B310="Robusta","Robusta",(IF($B310="","Arabica",$B310))&amp;" - "&amp;(IF($C310="","Commercial",$C310))),Variables!$B$1:$D$1,0),1))*L310/16.67)),""))</f>
        <v>458.02331376592991</v>
      </c>
      <c r="AX310" s="9"/>
      <c r="AY310" s="12"/>
      <c r="AZ310" s="10"/>
      <c r="BA310" s="9"/>
      <c r="BB310" s="10"/>
      <c r="BC310" s="9"/>
      <c r="BD310" s="9"/>
      <c r="BE310" s="9"/>
      <c r="BF310" s="9"/>
    </row>
    <row r="311" spans="1:58" x14ac:dyDescent="0.25">
      <c r="A311" s="9" t="s">
        <v>84</v>
      </c>
      <c r="B311" s="9" t="s">
        <v>85</v>
      </c>
      <c r="C311" s="9" t="s">
        <v>86</v>
      </c>
      <c r="D311" s="10">
        <v>45673</v>
      </c>
      <c r="E311" s="10">
        <v>45778</v>
      </c>
      <c r="F311" s="10">
        <v>45808</v>
      </c>
      <c r="G311" s="9">
        <v>3786618</v>
      </c>
      <c r="H311" s="9" t="str">
        <f t="shared" si="28"/>
        <v>Closed</v>
      </c>
      <c r="I311" s="9" t="str">
        <f t="shared" si="29"/>
        <v>All dates received</v>
      </c>
      <c r="J311" s="9" t="s">
        <v>537</v>
      </c>
      <c r="K311" s="9">
        <v>5251</v>
      </c>
      <c r="L311" s="11">
        <v>960</v>
      </c>
      <c r="M311" s="9" t="s">
        <v>845</v>
      </c>
      <c r="N311" s="9" t="s">
        <v>450</v>
      </c>
      <c r="O311" s="9"/>
      <c r="P311" s="9"/>
      <c r="Q311" s="11">
        <v>10</v>
      </c>
      <c r="R311" s="9" t="s">
        <v>90</v>
      </c>
      <c r="S311" s="9" t="s">
        <v>846</v>
      </c>
      <c r="T311" s="12">
        <f>IF($H311="Cancelled","",IFERROR(((Q311+INDEX(Variables!$B$6:$D$6,IFERROR(MATCH(IF($B311="Robusta","Robusta",(IF($B311="","Arabica",$B311))&amp;" - "&amp;(IF($C311="","Commercial",$C311))),Variables!$B$1:$D$1,0),1)))*22.0462)*(L311/16.67),""))</f>
        <v>381897.84532693453</v>
      </c>
      <c r="U311" s="10">
        <v>45744</v>
      </c>
      <c r="V311" s="9" t="str">
        <f t="shared" si="31"/>
        <v>Sent</v>
      </c>
      <c r="W311" s="10">
        <v>45758</v>
      </c>
      <c r="X311" s="9" t="str">
        <f t="shared" si="33"/>
        <v>Approved</v>
      </c>
      <c r="Y311" s="10"/>
      <c r="Z311" s="10">
        <f>IF($H311="Cancelled","",IFERROR(IF(F311="","",F311-Variables!$B$13),""))</f>
        <v>45793</v>
      </c>
      <c r="AA311" s="11">
        <f>IF($H311="Cancelled","",IFERROR(IF(W311="","",(AVERAGE(E311:F311)-W311)-Variables!$B$14),""))</f>
        <v>5</v>
      </c>
      <c r="AB311" s="10">
        <v>45790</v>
      </c>
      <c r="AC311" s="11">
        <f>IF($H311="Cancelled","",IFERROR(IF(AB311="","",IF(AND(W311="",Y311=""),"",IF(Y311&gt;W311,Y311+Variables!$B$15+Variables!$B$16+Variables!$B$17-AB311,W311+Variables!$B$16+Variables!$B$17-AB311))),""))</f>
        <v>-24</v>
      </c>
      <c r="AD311" s="9" t="s">
        <v>163</v>
      </c>
      <c r="AE311" s="9" t="s">
        <v>847</v>
      </c>
      <c r="AF311" s="10"/>
      <c r="AG311" s="10"/>
      <c r="AH311" s="9"/>
      <c r="AI311" s="9">
        <v>253484752</v>
      </c>
      <c r="AJ311" s="9" t="s">
        <v>8</v>
      </c>
      <c r="AK311" s="10">
        <v>45807</v>
      </c>
      <c r="AL311" s="10">
        <v>45807</v>
      </c>
      <c r="AM311" s="10">
        <v>45807</v>
      </c>
      <c r="AN311" s="9" t="s">
        <v>95</v>
      </c>
      <c r="AO311" s="9"/>
      <c r="AP311" s="11">
        <f>IF($H311="Cancelled","",IFERROR(IF(OR(AK311="",AB311=""),"",(AB311+Variables!$B$18-AK311)),""))</f>
        <v>-10</v>
      </c>
      <c r="AQ311" s="11">
        <f>IF($H311="Cancelled","",IFERROR(IF(OR(AM311="",AK311=""),"",(AK311+Variables!$B$19)-AM311),""))</f>
        <v>5</v>
      </c>
      <c r="AR311" s="12">
        <f>IF($H311="Cancelled","",IFERROR(T311*INDEX(Variables!$B$7:$D$7,IFERROR(MATCH(IF($B311="Robusta","Robusta",(IF($B311="","Arabica",$B311))&amp;" - "&amp;(IF($C311="","Commercial",$C311))),Variables!$B$1:$D$1,0),1))*(AQ311/365),""))</f>
        <v>337.33716769781449</v>
      </c>
      <c r="AS311" s="12">
        <f>IF($H311="Cancelled","",IFERROR((T311*INDEX(Variables!$B$7:$D$7,IFERROR(MATCH(IF($B311="Robusta","Robusta",(IF($B311="","Arabica",$B311))&amp;" - "&amp;(IF($C311="","Commercial",$C311))),Variables!$B$1:$D$1,0),1))*IFERROR(IF(W311="","",(AVERAGE(E311:F311)-W311)-Variables!$B$14),"")/365)+(L311/16.67*INDEX(Variables!$B$8:$D$8,IFERROR(MATCH(IF($B311="Robusta","Robusta",(IF($B311="","Arabica",$B311))&amp;" - "&amp;(IF($C311="","Commercial",$C311))),Variables!$B$1:$D$1,0),1))*IFERROR(IF(W311="","",(AVERAGE(E311:F311)-W311)-Variables!$B$14),""))+(T311*INDEX(Variables!$B$9:$D$9,IFERROR(MATCH(IF($B311="Robusta","Robusta",(IF($B311="","Arabica",$B311))&amp;" - "&amp;(IF($C311="","Commercial",$C311))),Variables!$B$1:$D$1,0),1))*IFERROR(IF(W311="","",(AVERAGE(E311:F311)-W311)-Variables!$B$14),"")/365),""))</f>
        <v>581.6860948049416</v>
      </c>
      <c r="AT311" s="12">
        <f>IF($H311="Cancelled","",IFERROR((T311*INDEX(Variables!$B$7:$D$7,IFERROR(MATCH(IF($B311="Robusta","Robusta",(IF($B311="","Arabica",$B311))&amp;" - "&amp;(IF($C311="","Commercial",$C311))),Variables!$B$1:$D$1,0),1))*AC311/365)+(L311/16.67*INDEX(Variables!$B$8:$D$8,IFERROR(MATCH(IF($B311="Robusta","Robusta",(IF($B311="","Arabica",$B311))&amp;" - "&amp;(IF($C311="","Commercial",$C311))),Variables!$B$1:$D$1,0),1))*AC311)+(T311*INDEX(Variables!$B$9:$D$9,IFERROR(MATCH(IF($B311="Robusta","Robusta",(IF($B311="","Arabica",$B311))&amp;" - "&amp;(IF($C311="","Commercial",$C311))),Variables!$B$1:$D$1,0),1))*AC311/365),""))</f>
        <v>-2792.0932550637203</v>
      </c>
      <c r="AU311" s="12">
        <f>IF($H311="Cancelled","",IFERROR((T311*INDEX(Variables!$B$7:$D$7,IFERROR(MATCH(IF($B311="Robusta","Robusta",(IF($B311="","Arabica",$B311))&amp;" - "&amp;(IF($C311="","Commercial",$C311))),Variables!$B$1:$D$1,0),1))*AP311/365)+(L311/16.67*INDEX(Variables!$B$8:$D$8,IFERROR(MATCH(IF($B311="Robusta","Robusta",(IF($B311="","Arabica",$B311))&amp;" - "&amp;(IF($C311="","Commercial",$C311))),Variables!$B$1:$D$1,0),1))*AP311)+(T311*INDEX(Variables!$B$9:$D$9,IFERROR(MATCH(IF($B311="Robusta","Robusta",(IF($B311="","Arabica",$B311))&amp;" - "&amp;(IF($C311="","Commercial",$C311))),Variables!$B$1:$D$1,0),1))*AP311/365),""))</f>
        <v>-1163.3721896098832</v>
      </c>
      <c r="AV311" s="11">
        <f t="shared" si="30"/>
        <v>1</v>
      </c>
      <c r="AW311" s="12">
        <f>IF($H311="Cancelled","",IFERROR(IF(AV311="","",(T311*INDEX(Variables!$B$7:$D$7,IFERROR(MATCH(IF($B311="Robusta","Robusta",(IF($B311="","Arabica",$B311))&amp;" - "&amp;(IF($C311="","Commercial",$C311))),Variables!$B$1:$D$1,0),1))*(AV311/365))+(T311*INDEX(Variables!$B$9:$D$9,IFERROR(MATCH(IF($B311="Robusta","Robusta",(IF($B311="","Arabica",$B311))&amp;" - "&amp;(IF($C311="","Commercial",$C311))),Variables!$B$1:$D$1,0),1))*(AV311/365))+(INDEX(Variables!$B$8:$D$8,IFERROR(MATCH(IF($B311="Robusta","Robusta",(IF($B311="","Arabica",$B311))&amp;" - "&amp;(IF($C311="","Commercial",$C311))),Variables!$B$1:$D$1,0),1))*L311/16.67)),""))</f>
        <v>116.33721896098834</v>
      </c>
      <c r="AX311" s="9"/>
      <c r="AY311" s="12"/>
      <c r="AZ311" s="10"/>
      <c r="BA311" s="9"/>
      <c r="BB311" s="10"/>
      <c r="BC311" s="9"/>
      <c r="BD311" s="9"/>
      <c r="BE311" s="9"/>
      <c r="BF311" s="9"/>
    </row>
    <row r="312" spans="1:58" x14ac:dyDescent="0.25">
      <c r="A312" s="9" t="s">
        <v>84</v>
      </c>
      <c r="B312" s="9" t="s">
        <v>85</v>
      </c>
      <c r="C312" s="9" t="s">
        <v>86</v>
      </c>
      <c r="D312" s="10">
        <v>45674</v>
      </c>
      <c r="E312" s="10">
        <v>45717</v>
      </c>
      <c r="F312" s="10">
        <v>45747</v>
      </c>
      <c r="G312" s="9">
        <v>3786619</v>
      </c>
      <c r="H312" s="9" t="str">
        <f t="shared" si="28"/>
        <v>Closed</v>
      </c>
      <c r="I312" s="9" t="str">
        <f t="shared" si="29"/>
        <v>All dates received</v>
      </c>
      <c r="J312" s="9" t="s">
        <v>102</v>
      </c>
      <c r="K312" s="9" t="s">
        <v>848</v>
      </c>
      <c r="L312" s="11">
        <v>666</v>
      </c>
      <c r="M312" s="9" t="s">
        <v>752</v>
      </c>
      <c r="N312" s="9" t="s">
        <v>432</v>
      </c>
      <c r="O312" s="9"/>
      <c r="P312" s="9"/>
      <c r="Q312" s="11">
        <v>42</v>
      </c>
      <c r="R312" s="9" t="s">
        <v>90</v>
      </c>
      <c r="S312" s="9" t="s">
        <v>207</v>
      </c>
      <c r="T312" s="12">
        <f>IF($H312="Cancelled","",IFERROR(((Q312+INDEX(Variables!$B$6:$D$6,IFERROR(MATCH(IF($B312="Robusta","Robusta",(IF($B312="","Arabica",$B312))&amp;" - "&amp;(IF($C312="","Commercial",$C312))),Variables!$B$1:$D$1,0),1)))*22.0462)*(L312/16.67),""))</f>
        <v>293126.91000359925</v>
      </c>
      <c r="U312" s="10">
        <v>45677</v>
      </c>
      <c r="V312" s="9" t="str">
        <f t="shared" si="31"/>
        <v>Sent</v>
      </c>
      <c r="W312" s="10">
        <v>45688</v>
      </c>
      <c r="X312" s="9" t="str">
        <f t="shared" si="33"/>
        <v>Approved</v>
      </c>
      <c r="Y312" s="10"/>
      <c r="Z312" s="10">
        <f>IF($H312="Cancelled","",IFERROR(IF(F312="","",F312-Variables!$B$13),""))</f>
        <v>45732</v>
      </c>
      <c r="AA312" s="11">
        <f>IF($H312="Cancelled","",IFERROR(IF(W312="","",(AVERAGE(E312:F312)-W312)-Variables!$B$14),""))</f>
        <v>14</v>
      </c>
      <c r="AB312" s="10">
        <v>45710</v>
      </c>
      <c r="AC312" s="11">
        <f>IF($H312="Cancelled","",IFERROR(IF(AB312="","",IF(AND(W312="",Y312=""),"",IF(Y312&gt;W312,Y312+Variables!$B$15+Variables!$B$16+Variables!$B$17-AB312,W312+Variables!$B$16+Variables!$B$17-AB312))),""))</f>
        <v>-14</v>
      </c>
      <c r="AD312" s="9" t="s">
        <v>151</v>
      </c>
      <c r="AE312" s="9" t="s">
        <v>488</v>
      </c>
      <c r="AF312" s="10" t="s">
        <v>762</v>
      </c>
      <c r="AG312" s="10"/>
      <c r="AH312" s="9"/>
      <c r="AI312" s="9" t="s">
        <v>849</v>
      </c>
      <c r="AJ312" s="9" t="s">
        <v>8</v>
      </c>
      <c r="AK312" s="10">
        <v>45721</v>
      </c>
      <c r="AL312" s="10">
        <v>45723</v>
      </c>
      <c r="AM312" s="10">
        <v>45733</v>
      </c>
      <c r="AN312" s="9" t="s">
        <v>95</v>
      </c>
      <c r="AO312" s="9"/>
      <c r="AP312" s="11">
        <f>IF($H312="Cancelled","",IFERROR(IF(OR(AK312="",AB312=""),"",(AB312+Variables!$B$18-AK312)),""))</f>
        <v>-4</v>
      </c>
      <c r="AQ312" s="11">
        <f>IF($H312="Cancelled","",IFERROR(IF(OR(AM312="",AK312=""),"",(AK312+Variables!$B$19)-AM312),""))</f>
        <v>-7</v>
      </c>
      <c r="AR312" s="12">
        <f>IF($H312="Cancelled","",IFERROR(T312*INDEX(Variables!$B$7:$D$7,IFERROR(MATCH(IF($B312="Robusta","Robusta",(IF($B312="","Arabica",$B312))&amp;" - "&amp;(IF($C312="","Commercial",$C312))),Variables!$B$1:$D$1,0),1))*(AQ312/365),""))</f>
        <v>-362.4939075442154</v>
      </c>
      <c r="AS312" s="12">
        <f>IF($H312="Cancelled","",IFERROR((T312*INDEX(Variables!$B$7:$D$7,IFERROR(MATCH(IF($B312="Robusta","Robusta",(IF($B312="","Arabica",$B312))&amp;" - "&amp;(IF($C312="","Commercial",$C312))),Variables!$B$1:$D$1,0),1))*IFERROR(IF(W312="","",(AVERAGE(E312:F312)-W312)-Variables!$B$14),"")/365)+(L312/16.67*INDEX(Variables!$B$8:$D$8,IFERROR(MATCH(IF($B312="Robusta","Robusta",(IF($B312="","Arabica",$B312))&amp;" - "&amp;(IF($C312="","Commercial",$C312))),Variables!$B$1:$D$1,0),1))*IFERROR(IF(W312="","",(AVERAGE(E312:F312)-W312)-Variables!$B$14),""))+(T312*INDEX(Variables!$B$9:$D$9,IFERROR(MATCH(IF($B312="Robusta","Robusta",(IF($B312="","Arabica",$B312))&amp;" - "&amp;(IF($C312="","Commercial",$C312))),Variables!$B$1:$D$1,0),1))*IFERROR(IF(W312="","",(AVERAGE(E312:F312)-W312)-Variables!$B$14),"")/365),""))</f>
        <v>1200.5343071541949</v>
      </c>
      <c r="AT312" s="12">
        <f>IF($H312="Cancelled","",IFERROR((T312*INDEX(Variables!$B$7:$D$7,IFERROR(MATCH(IF($B312="Robusta","Robusta",(IF($B312="","Arabica",$B312))&amp;" - "&amp;(IF($C312="","Commercial",$C312))),Variables!$B$1:$D$1,0),1))*AC312/365)+(L312/16.67*INDEX(Variables!$B$8:$D$8,IFERROR(MATCH(IF($B312="Robusta","Robusta",(IF($B312="","Arabica",$B312))&amp;" - "&amp;(IF($C312="","Commercial",$C312))),Variables!$B$1:$D$1,0),1))*AC312)+(T312*INDEX(Variables!$B$9:$D$9,IFERROR(MATCH(IF($B312="Robusta","Robusta",(IF($B312="","Arabica",$B312))&amp;" - "&amp;(IF($C312="","Commercial",$C312))),Variables!$B$1:$D$1,0),1))*AC312/365),""))</f>
        <v>-1200.5343071541949</v>
      </c>
      <c r="AU312" s="12">
        <f>IF($H312="Cancelled","",IFERROR((T312*INDEX(Variables!$B$7:$D$7,IFERROR(MATCH(IF($B312="Robusta","Robusta",(IF($B312="","Arabica",$B312))&amp;" - "&amp;(IF($C312="","Commercial",$C312))),Variables!$B$1:$D$1,0),1))*AP312/365)+(L312/16.67*INDEX(Variables!$B$8:$D$8,IFERROR(MATCH(IF($B312="Robusta","Robusta",(IF($B312="","Arabica",$B312))&amp;" - "&amp;(IF($C312="","Commercial",$C312))),Variables!$B$1:$D$1,0),1))*AP312)+(T312*INDEX(Variables!$B$9:$D$9,IFERROR(MATCH(IF($B312="Robusta","Robusta",(IF($B312="","Arabica",$B312))&amp;" - "&amp;(IF($C312="","Commercial",$C312))),Variables!$B$1:$D$1,0),1))*AP312/365),""))</f>
        <v>-343.00980204405568</v>
      </c>
      <c r="AV312" s="11">
        <f t="shared" si="30"/>
        <v>26</v>
      </c>
      <c r="AW312" s="12">
        <f>IF($H312="Cancelled","",IFERROR(IF(AV312="","",(T312*INDEX(Variables!$B$7:$D$7,IFERROR(MATCH(IF($B312="Robusta","Robusta",(IF($B312="","Arabica",$B312))&amp;" - "&amp;(IF($C312="","Commercial",$C312))),Variables!$B$1:$D$1,0),1))*(AV312/365))+(T312*INDEX(Variables!$B$9:$D$9,IFERROR(MATCH(IF($B312="Robusta","Robusta",(IF($B312="","Arabica",$B312))&amp;" - "&amp;(IF($C312="","Commercial",$C312))),Variables!$B$1:$D$1,0),1))*(AV312/365))+(INDEX(Variables!$B$8:$D$8,IFERROR(MATCH(IF($B312="Robusta","Robusta",(IF($B312="","Arabica",$B312))&amp;" - "&amp;(IF($C312="","Commercial",$C312))),Variables!$B$1:$D$1,0),1))*L312/16.67)),""))</f>
        <v>1397.0637132863619</v>
      </c>
      <c r="AX312" s="9"/>
      <c r="AY312" s="12"/>
      <c r="AZ312" s="10"/>
      <c r="BA312" s="9"/>
      <c r="BB312" s="10"/>
      <c r="BC312" s="9"/>
      <c r="BD312" s="9"/>
      <c r="BE312" s="9"/>
      <c r="BF312" s="9"/>
    </row>
    <row r="313" spans="1:58" x14ac:dyDescent="0.25">
      <c r="A313" s="9" t="s">
        <v>84</v>
      </c>
      <c r="B313" s="9" t="s">
        <v>85</v>
      </c>
      <c r="C313" s="9" t="s">
        <v>86</v>
      </c>
      <c r="D313" s="10">
        <v>45674</v>
      </c>
      <c r="E313" s="10">
        <v>45717</v>
      </c>
      <c r="F313" s="10">
        <v>45747</v>
      </c>
      <c r="G313" s="9">
        <v>3786619</v>
      </c>
      <c r="H313" s="9" t="str">
        <f t="shared" si="28"/>
        <v>Closed</v>
      </c>
      <c r="I313" s="9" t="str">
        <f t="shared" si="29"/>
        <v>All dates received</v>
      </c>
      <c r="J313" s="9" t="s">
        <v>102</v>
      </c>
      <c r="K313" s="9" t="s">
        <v>850</v>
      </c>
      <c r="L313" s="11">
        <v>666</v>
      </c>
      <c r="M313" s="9" t="s">
        <v>752</v>
      </c>
      <c r="N313" s="9" t="s">
        <v>432</v>
      </c>
      <c r="O313" s="9"/>
      <c r="P313" s="9"/>
      <c r="Q313" s="11">
        <v>42</v>
      </c>
      <c r="R313" s="9" t="s">
        <v>90</v>
      </c>
      <c r="S313" s="9" t="s">
        <v>458</v>
      </c>
      <c r="T313" s="12">
        <f>IF($H313="Cancelled","",IFERROR(((Q313+INDEX(Variables!$B$6:$D$6,IFERROR(MATCH(IF($B313="Robusta","Robusta",(IF($B313="","Arabica",$B313))&amp;" - "&amp;(IF($C313="","Commercial",$C313))),Variables!$B$1:$D$1,0),1)))*22.0462)*(L313/16.67),""))</f>
        <v>293126.91000359925</v>
      </c>
      <c r="U313" s="10">
        <v>45677</v>
      </c>
      <c r="V313" s="9" t="str">
        <f t="shared" si="31"/>
        <v>Sent</v>
      </c>
      <c r="W313" s="10">
        <v>45688</v>
      </c>
      <c r="X313" s="9" t="str">
        <f t="shared" si="33"/>
        <v>Approved</v>
      </c>
      <c r="Y313" s="10"/>
      <c r="Z313" s="10">
        <f>IF($H313="Cancelled","",IFERROR(IF(F313="","",F313-Variables!$B$13),""))</f>
        <v>45732</v>
      </c>
      <c r="AA313" s="11">
        <f>IF($H313="Cancelled","",IFERROR(IF(W313="","",(AVERAGE(E313:F313)-W313)-Variables!$B$14),""))</f>
        <v>14</v>
      </c>
      <c r="AB313" s="10">
        <v>45709</v>
      </c>
      <c r="AC313" s="11">
        <f>IF($H313="Cancelled","",IFERROR(IF(AB313="","",IF(AND(W313="",Y313=""),"",IF(Y313&gt;W313,Y313+Variables!$B$15+Variables!$B$16+Variables!$B$17-AB313,W313+Variables!$B$16+Variables!$B$17-AB313))),""))</f>
        <v>-13</v>
      </c>
      <c r="AD313" s="9" t="s">
        <v>163</v>
      </c>
      <c r="AE313" s="9" t="s">
        <v>769</v>
      </c>
      <c r="AF313" s="10">
        <v>45726</v>
      </c>
      <c r="AG313" s="10"/>
      <c r="AH313" s="9"/>
      <c r="AI313" s="9">
        <v>250224295</v>
      </c>
      <c r="AJ313" s="9" t="s">
        <v>8</v>
      </c>
      <c r="AK313" s="10">
        <v>45726</v>
      </c>
      <c r="AL313" s="10">
        <v>45730</v>
      </c>
      <c r="AM313" s="10">
        <v>45730</v>
      </c>
      <c r="AN313" s="9" t="s">
        <v>95</v>
      </c>
      <c r="AO313" s="9"/>
      <c r="AP313" s="11">
        <f>IF($H313="Cancelled","",IFERROR(IF(OR(AK313="",AB313=""),"",(AB313+Variables!$B$18-AK313)),""))</f>
        <v>-10</v>
      </c>
      <c r="AQ313" s="11">
        <f>IF($H313="Cancelled","",IFERROR(IF(OR(AM313="",AK313=""),"",(AK313+Variables!$B$19)-AM313),""))</f>
        <v>1</v>
      </c>
      <c r="AR313" s="12">
        <f>IF($H313="Cancelled","",IFERROR(T313*INDEX(Variables!$B$7:$D$7,IFERROR(MATCH(IF($B313="Robusta","Robusta",(IF($B313="","Arabica",$B313))&amp;" - "&amp;(IF($C313="","Commercial",$C313))),Variables!$B$1:$D$1,0),1))*(AQ313/365),""))</f>
        <v>51.78484393488791</v>
      </c>
      <c r="AS313" s="12">
        <f>IF($H313="Cancelled","",IFERROR((T313*INDEX(Variables!$B$7:$D$7,IFERROR(MATCH(IF($B313="Robusta","Robusta",(IF($B313="","Arabica",$B313))&amp;" - "&amp;(IF($C313="","Commercial",$C313))),Variables!$B$1:$D$1,0),1))*IFERROR(IF(W313="","",(AVERAGE(E313:F313)-W313)-Variables!$B$14),"")/365)+(L313/16.67*INDEX(Variables!$B$8:$D$8,IFERROR(MATCH(IF($B313="Robusta","Robusta",(IF($B313="","Arabica",$B313))&amp;" - "&amp;(IF($C313="","Commercial",$C313))),Variables!$B$1:$D$1,0),1))*IFERROR(IF(W313="","",(AVERAGE(E313:F313)-W313)-Variables!$B$14),""))+(T313*INDEX(Variables!$B$9:$D$9,IFERROR(MATCH(IF($B313="Robusta","Robusta",(IF($B313="","Arabica",$B313))&amp;" - "&amp;(IF($C313="","Commercial",$C313))),Variables!$B$1:$D$1,0),1))*IFERROR(IF(W313="","",(AVERAGE(E313:F313)-W313)-Variables!$B$14),"")/365),""))</f>
        <v>1200.5343071541949</v>
      </c>
      <c r="AT313" s="12">
        <f>IF($H313="Cancelled","",IFERROR((T313*INDEX(Variables!$B$7:$D$7,IFERROR(MATCH(IF($B313="Robusta","Robusta",(IF($B313="","Arabica",$B313))&amp;" - "&amp;(IF($C313="","Commercial",$C313))),Variables!$B$1:$D$1,0),1))*AC313/365)+(L313/16.67*INDEX(Variables!$B$8:$D$8,IFERROR(MATCH(IF($B313="Robusta","Robusta",(IF($B313="","Arabica",$B313))&amp;" - "&amp;(IF($C313="","Commercial",$C313))),Variables!$B$1:$D$1,0),1))*AC313)+(T313*INDEX(Variables!$B$9:$D$9,IFERROR(MATCH(IF($B313="Robusta","Robusta",(IF($B313="","Arabica",$B313))&amp;" - "&amp;(IF($C313="","Commercial",$C313))),Variables!$B$1:$D$1,0),1))*AC313/365),""))</f>
        <v>-1114.7818566431811</v>
      </c>
      <c r="AU313" s="12">
        <f>IF($H313="Cancelled","",IFERROR((T313*INDEX(Variables!$B$7:$D$7,IFERROR(MATCH(IF($B313="Robusta","Robusta",(IF($B313="","Arabica",$B313))&amp;" - "&amp;(IF($C313="","Commercial",$C313))),Variables!$B$1:$D$1,0),1))*AP313/365)+(L313/16.67*INDEX(Variables!$B$8:$D$8,IFERROR(MATCH(IF($B313="Robusta","Robusta",(IF($B313="","Arabica",$B313))&amp;" - "&amp;(IF($C313="","Commercial",$C313))),Variables!$B$1:$D$1,0),1))*AP313)+(T313*INDEX(Variables!$B$9:$D$9,IFERROR(MATCH(IF($B313="Robusta","Robusta",(IF($B313="","Arabica",$B313))&amp;" - "&amp;(IF($C313="","Commercial",$C313))),Variables!$B$1:$D$1,0),1))*AP313/365),""))</f>
        <v>-857.5245051101391</v>
      </c>
      <c r="AV313" s="11">
        <f t="shared" si="30"/>
        <v>21</v>
      </c>
      <c r="AW313" s="12">
        <f>IF($H313="Cancelled","",IFERROR(IF(AV313="","",(T313*INDEX(Variables!$B$7:$D$7,IFERROR(MATCH(IF($B313="Robusta","Robusta",(IF($B313="","Arabica",$B313))&amp;" - "&amp;(IF($C313="","Commercial",$C313))),Variables!$B$1:$D$1,0),1))*(AV313/365))+(T313*INDEX(Variables!$B$9:$D$9,IFERROR(MATCH(IF($B313="Robusta","Robusta",(IF($B313="","Arabica",$B313))&amp;" - "&amp;(IF($C313="","Commercial",$C313))),Variables!$B$1:$D$1,0),1))*(AV313/365))+(INDEX(Variables!$B$8:$D$8,IFERROR(MATCH(IF($B313="Robusta","Robusta",(IF($B313="","Arabica",$B313))&amp;" - "&amp;(IF($C313="","Commercial",$C313))),Variables!$B$1:$D$1,0),1))*L313/16.67)),""))</f>
        <v>1134.8014607312921</v>
      </c>
      <c r="AX313" s="9"/>
      <c r="AY313" s="12"/>
      <c r="AZ313" s="10"/>
      <c r="BA313" s="9"/>
      <c r="BB313" s="10"/>
      <c r="BC313" s="9"/>
      <c r="BD313" s="9"/>
      <c r="BE313" s="9"/>
      <c r="BF313" s="9"/>
    </row>
    <row r="314" spans="1:58" x14ac:dyDescent="0.25">
      <c r="A314" s="9" t="s">
        <v>84</v>
      </c>
      <c r="B314" s="9" t="s">
        <v>85</v>
      </c>
      <c r="C314" s="9" t="s">
        <v>86</v>
      </c>
      <c r="D314" s="10">
        <v>45674</v>
      </c>
      <c r="E314" s="10">
        <v>45717</v>
      </c>
      <c r="F314" s="10">
        <v>45747</v>
      </c>
      <c r="G314" s="9">
        <v>3786619</v>
      </c>
      <c r="H314" s="9" t="str">
        <f t="shared" si="28"/>
        <v>Closed</v>
      </c>
      <c r="I314" s="9" t="str">
        <f t="shared" si="29"/>
        <v>All dates received</v>
      </c>
      <c r="J314" s="9" t="s">
        <v>102</v>
      </c>
      <c r="K314" s="9" t="s">
        <v>851</v>
      </c>
      <c r="L314" s="11">
        <v>666</v>
      </c>
      <c r="M314" s="9" t="s">
        <v>752</v>
      </c>
      <c r="N314" s="9" t="s">
        <v>432</v>
      </c>
      <c r="O314" s="9"/>
      <c r="P314" s="9"/>
      <c r="Q314" s="11">
        <v>42</v>
      </c>
      <c r="R314" s="9" t="s">
        <v>90</v>
      </c>
      <c r="S314" s="9" t="s">
        <v>753</v>
      </c>
      <c r="T314" s="12">
        <f>IF($H314="Cancelled","",IFERROR(((Q314+INDEX(Variables!$B$6:$D$6,IFERROR(MATCH(IF($B314="Robusta","Robusta",(IF($B314="","Arabica",$B314))&amp;" - "&amp;(IF($C314="","Commercial",$C314))),Variables!$B$1:$D$1,0),1)))*22.0462)*(L314/16.67),""))</f>
        <v>293126.91000359925</v>
      </c>
      <c r="U314" s="10">
        <v>45677</v>
      </c>
      <c r="V314" s="9" t="str">
        <f t="shared" si="31"/>
        <v>Sent</v>
      </c>
      <c r="W314" s="10">
        <v>45688</v>
      </c>
      <c r="X314" s="9" t="str">
        <f t="shared" si="33"/>
        <v>Approved</v>
      </c>
      <c r="Y314" s="10"/>
      <c r="Z314" s="10">
        <f>IF($H314="Cancelled","",IFERROR(IF(F314="","",F314-Variables!$B$13),""))</f>
        <v>45732</v>
      </c>
      <c r="AA314" s="11">
        <f>IF($H314="Cancelled","",IFERROR(IF(W314="","",(AVERAGE(E314:F314)-W314)-Variables!$B$14),""))</f>
        <v>14</v>
      </c>
      <c r="AB314" s="10">
        <v>45710</v>
      </c>
      <c r="AC314" s="11">
        <f>IF($H314="Cancelled","",IFERROR(IF(AB314="","",IF(AND(W314="",Y314=""),"",IF(Y314&gt;W314,Y314+Variables!$B$15+Variables!$B$16+Variables!$B$17-AB314,W314+Variables!$B$16+Variables!$B$17-AB314))),""))</f>
        <v>-14</v>
      </c>
      <c r="AD314" s="9" t="s">
        <v>163</v>
      </c>
      <c r="AE314" s="9" t="s">
        <v>724</v>
      </c>
      <c r="AF314" s="10">
        <v>45722</v>
      </c>
      <c r="AG314" s="10"/>
      <c r="AH314" s="9"/>
      <c r="AI314" s="9">
        <v>250225492</v>
      </c>
      <c r="AJ314" s="9" t="s">
        <v>8</v>
      </c>
      <c r="AK314" s="10">
        <v>45726</v>
      </c>
      <c r="AL314" s="10">
        <v>45728</v>
      </c>
      <c r="AM314" s="10">
        <v>45728</v>
      </c>
      <c r="AN314" s="9" t="s">
        <v>95</v>
      </c>
      <c r="AO314" s="9"/>
      <c r="AP314" s="11">
        <f>IF($H314="Cancelled","",IFERROR(IF(OR(AK314="",AB314=""),"",(AB314+Variables!$B$18-AK314)),""))</f>
        <v>-9</v>
      </c>
      <c r="AQ314" s="11">
        <f>IF($H314="Cancelled","",IFERROR(IF(OR(AM314="",AK314=""),"",(AK314+Variables!$B$19)-AM314),""))</f>
        <v>3</v>
      </c>
      <c r="AR314" s="12">
        <f>IF($H314="Cancelled","",IFERROR(T314*INDEX(Variables!$B$7:$D$7,IFERROR(MATCH(IF($B314="Robusta","Robusta",(IF($B314="","Arabica",$B314))&amp;" - "&amp;(IF($C314="","Commercial",$C314))),Variables!$B$1:$D$1,0),1))*(AQ314/365),""))</f>
        <v>155.35453180466371</v>
      </c>
      <c r="AS314" s="12">
        <f>IF($H314="Cancelled","",IFERROR((T314*INDEX(Variables!$B$7:$D$7,IFERROR(MATCH(IF($B314="Robusta","Robusta",(IF($B314="","Arabica",$B314))&amp;" - "&amp;(IF($C314="","Commercial",$C314))),Variables!$B$1:$D$1,0),1))*IFERROR(IF(W314="","",(AVERAGE(E314:F314)-W314)-Variables!$B$14),"")/365)+(L314/16.67*INDEX(Variables!$B$8:$D$8,IFERROR(MATCH(IF($B314="Robusta","Robusta",(IF($B314="","Arabica",$B314))&amp;" - "&amp;(IF($C314="","Commercial",$C314))),Variables!$B$1:$D$1,0),1))*IFERROR(IF(W314="","",(AVERAGE(E314:F314)-W314)-Variables!$B$14),""))+(T314*INDEX(Variables!$B$9:$D$9,IFERROR(MATCH(IF($B314="Robusta","Robusta",(IF($B314="","Arabica",$B314))&amp;" - "&amp;(IF($C314="","Commercial",$C314))),Variables!$B$1:$D$1,0),1))*IFERROR(IF(W314="","",(AVERAGE(E314:F314)-W314)-Variables!$B$14),"")/365),""))</f>
        <v>1200.5343071541949</v>
      </c>
      <c r="AT314" s="12">
        <f>IF($H314="Cancelled","",IFERROR((T314*INDEX(Variables!$B$7:$D$7,IFERROR(MATCH(IF($B314="Robusta","Robusta",(IF($B314="","Arabica",$B314))&amp;" - "&amp;(IF($C314="","Commercial",$C314))),Variables!$B$1:$D$1,0),1))*AC314/365)+(L314/16.67*INDEX(Variables!$B$8:$D$8,IFERROR(MATCH(IF($B314="Robusta","Robusta",(IF($B314="","Arabica",$B314))&amp;" - "&amp;(IF($C314="","Commercial",$C314))),Variables!$B$1:$D$1,0),1))*AC314)+(T314*INDEX(Variables!$B$9:$D$9,IFERROR(MATCH(IF($B314="Robusta","Robusta",(IF($B314="","Arabica",$B314))&amp;" - "&amp;(IF($C314="","Commercial",$C314))),Variables!$B$1:$D$1,0),1))*AC314/365),""))</f>
        <v>-1200.5343071541949</v>
      </c>
      <c r="AU314" s="12">
        <f>IF($H314="Cancelled","",IFERROR((T314*INDEX(Variables!$B$7:$D$7,IFERROR(MATCH(IF($B314="Robusta","Robusta",(IF($B314="","Arabica",$B314))&amp;" - "&amp;(IF($C314="","Commercial",$C314))),Variables!$B$1:$D$1,0),1))*AP314/365)+(L314/16.67*INDEX(Variables!$B$8:$D$8,IFERROR(MATCH(IF($B314="Robusta","Robusta",(IF($B314="","Arabica",$B314))&amp;" - "&amp;(IF($C314="","Commercial",$C314))),Variables!$B$1:$D$1,0),1))*AP314)+(T314*INDEX(Variables!$B$9:$D$9,IFERROR(MATCH(IF($B314="Robusta","Robusta",(IF($B314="","Arabica",$B314))&amp;" - "&amp;(IF($C314="","Commercial",$C314))),Variables!$B$1:$D$1,0),1))*AP314/365),""))</f>
        <v>-771.77205459912523</v>
      </c>
      <c r="AV314" s="11">
        <f t="shared" si="30"/>
        <v>21</v>
      </c>
      <c r="AW314" s="12">
        <f>IF($H314="Cancelled","",IFERROR(IF(AV314="","",(T314*INDEX(Variables!$B$7:$D$7,IFERROR(MATCH(IF($B314="Robusta","Robusta",(IF($B314="","Arabica",$B314))&amp;" - "&amp;(IF($C314="","Commercial",$C314))),Variables!$B$1:$D$1,0),1))*(AV314/365))+(T314*INDEX(Variables!$B$9:$D$9,IFERROR(MATCH(IF($B314="Robusta","Robusta",(IF($B314="","Arabica",$B314))&amp;" - "&amp;(IF($C314="","Commercial",$C314))),Variables!$B$1:$D$1,0),1))*(AV314/365))+(INDEX(Variables!$B$8:$D$8,IFERROR(MATCH(IF($B314="Robusta","Robusta",(IF($B314="","Arabica",$B314))&amp;" - "&amp;(IF($C314="","Commercial",$C314))),Variables!$B$1:$D$1,0),1))*L314/16.67)),""))</f>
        <v>1134.8014607312921</v>
      </c>
      <c r="AX314" s="9"/>
      <c r="AY314" s="12"/>
      <c r="AZ314" s="10"/>
      <c r="BA314" s="9"/>
      <c r="BB314" s="10"/>
      <c r="BC314" s="9"/>
      <c r="BD314" s="9"/>
      <c r="BE314" s="9"/>
      <c r="BF314" s="9"/>
    </row>
    <row r="315" spans="1:58" x14ac:dyDescent="0.25">
      <c r="A315" s="9" t="s">
        <v>84</v>
      </c>
      <c r="B315" s="9" t="s">
        <v>85</v>
      </c>
      <c r="C315" s="9" t="s">
        <v>86</v>
      </c>
      <c r="D315" s="10">
        <v>45674</v>
      </c>
      <c r="E315" s="10">
        <v>45717</v>
      </c>
      <c r="F315" s="10">
        <v>45747</v>
      </c>
      <c r="G315" s="9">
        <v>3786619</v>
      </c>
      <c r="H315" s="9" t="str">
        <f t="shared" si="28"/>
        <v>Closed</v>
      </c>
      <c r="I315" s="9" t="str">
        <f t="shared" si="29"/>
        <v>All dates received</v>
      </c>
      <c r="J315" s="9" t="s">
        <v>102</v>
      </c>
      <c r="K315" s="9" t="s">
        <v>852</v>
      </c>
      <c r="L315" s="11">
        <v>666</v>
      </c>
      <c r="M315" s="9" t="s">
        <v>752</v>
      </c>
      <c r="N315" s="9" t="s">
        <v>432</v>
      </c>
      <c r="O315" s="9"/>
      <c r="P315" s="9"/>
      <c r="Q315" s="11">
        <v>42</v>
      </c>
      <c r="R315" s="9" t="s">
        <v>90</v>
      </c>
      <c r="S315" s="9" t="s">
        <v>462</v>
      </c>
      <c r="T315" s="12">
        <f>IF($H315="Cancelled","",IFERROR(((Q315+INDEX(Variables!$B$6:$D$6,IFERROR(MATCH(IF($B315="Robusta","Robusta",(IF($B315="","Arabica",$B315))&amp;" - "&amp;(IF($C315="","Commercial",$C315))),Variables!$B$1:$D$1,0),1)))*22.0462)*(L315/16.67),""))</f>
        <v>293126.91000359925</v>
      </c>
      <c r="U315" s="10">
        <v>45677</v>
      </c>
      <c r="V315" s="9" t="str">
        <f t="shared" ref="V315:V326" si="34">IF(ISNUMBER(U315),"Sent","")</f>
        <v>Sent</v>
      </c>
      <c r="W315" s="10">
        <v>45688</v>
      </c>
      <c r="X315" s="9" t="str">
        <f t="shared" si="33"/>
        <v>Approved</v>
      </c>
      <c r="Y315" s="10"/>
      <c r="Z315" s="10">
        <f>IF($H315="Cancelled","",IFERROR(IF(F315="","",F315-Variables!$B$13),""))</f>
        <v>45732</v>
      </c>
      <c r="AA315" s="11">
        <f>IF($H315="Cancelled","",IFERROR(IF(W315="","",(AVERAGE(E315:F315)-W315)-Variables!$B$14),""))</f>
        <v>14</v>
      </c>
      <c r="AB315" s="10">
        <v>45712</v>
      </c>
      <c r="AC315" s="11">
        <f>IF($H315="Cancelled","",IFERROR(IF(AB315="","",IF(AND(W315="",Y315=""),"",IF(Y315&gt;W315,Y315+Variables!$B$15+Variables!$B$16+Variables!$B$17-AB315,W315+Variables!$B$16+Variables!$B$17-AB315))),""))</f>
        <v>-16</v>
      </c>
      <c r="AD315" s="9" t="s">
        <v>151</v>
      </c>
      <c r="AE315" s="9" t="s">
        <v>259</v>
      </c>
      <c r="AF315" s="10" t="s">
        <v>762</v>
      </c>
      <c r="AG315" s="10"/>
      <c r="AH315" s="9"/>
      <c r="AI315" s="9" t="s">
        <v>853</v>
      </c>
      <c r="AJ315" s="9" t="s">
        <v>8</v>
      </c>
      <c r="AK315" s="10">
        <v>45745</v>
      </c>
      <c r="AL315" s="10">
        <v>45750</v>
      </c>
      <c r="AM315" s="10">
        <v>45750</v>
      </c>
      <c r="AN315" s="9" t="s">
        <v>95</v>
      </c>
      <c r="AO315" s="9"/>
      <c r="AP315" s="11">
        <f>IF($H315="Cancelled","",IFERROR(IF(OR(AK315="",AB315=""),"",(AB315+Variables!$B$18-AK315)),""))</f>
        <v>-26</v>
      </c>
      <c r="AQ315" s="11">
        <f>IF($H315="Cancelled","",IFERROR(IF(OR(AM315="",AK315=""),"",(AK315+Variables!$B$19)-AM315),""))</f>
        <v>0</v>
      </c>
      <c r="AR315" s="12">
        <f>IF($H315="Cancelled","",IFERROR(T315*INDEX(Variables!$B$7:$D$7,IFERROR(MATCH(IF($B315="Robusta","Robusta",(IF($B315="","Arabica",$B315))&amp;" - "&amp;(IF($C315="","Commercial",$C315))),Variables!$B$1:$D$1,0),1))*(AQ315/365),""))</f>
        <v>0</v>
      </c>
      <c r="AS315" s="12">
        <f>IF($H315="Cancelled","",IFERROR((T315*INDEX(Variables!$B$7:$D$7,IFERROR(MATCH(IF($B315="Robusta","Robusta",(IF($B315="","Arabica",$B315))&amp;" - "&amp;(IF($C315="","Commercial",$C315))),Variables!$B$1:$D$1,0),1))*IFERROR(IF(W315="","",(AVERAGE(E315:F315)-W315)-Variables!$B$14),"")/365)+(L315/16.67*INDEX(Variables!$B$8:$D$8,IFERROR(MATCH(IF($B315="Robusta","Robusta",(IF($B315="","Arabica",$B315))&amp;" - "&amp;(IF($C315="","Commercial",$C315))),Variables!$B$1:$D$1,0),1))*IFERROR(IF(W315="","",(AVERAGE(E315:F315)-W315)-Variables!$B$14),""))+(T315*INDEX(Variables!$B$9:$D$9,IFERROR(MATCH(IF($B315="Robusta","Robusta",(IF($B315="","Arabica",$B315))&amp;" - "&amp;(IF($C315="","Commercial",$C315))),Variables!$B$1:$D$1,0),1))*IFERROR(IF(W315="","",(AVERAGE(E315:F315)-W315)-Variables!$B$14),"")/365),""))</f>
        <v>1200.5343071541949</v>
      </c>
      <c r="AT315" s="12">
        <f>IF($H315="Cancelled","",IFERROR((T315*INDEX(Variables!$B$7:$D$7,IFERROR(MATCH(IF($B315="Robusta","Robusta",(IF($B315="","Arabica",$B315))&amp;" - "&amp;(IF($C315="","Commercial",$C315))),Variables!$B$1:$D$1,0),1))*AC315/365)+(L315/16.67*INDEX(Variables!$B$8:$D$8,IFERROR(MATCH(IF($B315="Robusta","Robusta",(IF($B315="","Arabica",$B315))&amp;" - "&amp;(IF($C315="","Commercial",$C315))),Variables!$B$1:$D$1,0),1))*AC315)+(T315*INDEX(Variables!$B$9:$D$9,IFERROR(MATCH(IF($B315="Robusta","Robusta",(IF($B315="","Arabica",$B315))&amp;" - "&amp;(IF($C315="","Commercial",$C315))),Variables!$B$1:$D$1,0),1))*AC315/365),""))</f>
        <v>-1372.0392081762227</v>
      </c>
      <c r="AU315" s="12">
        <f>IF($H315="Cancelled","",IFERROR((T315*INDEX(Variables!$B$7:$D$7,IFERROR(MATCH(IF($B315="Robusta","Robusta",(IF($B315="","Arabica",$B315))&amp;" - "&amp;(IF($C315="","Commercial",$C315))),Variables!$B$1:$D$1,0),1))*AP315/365)+(L315/16.67*INDEX(Variables!$B$8:$D$8,IFERROR(MATCH(IF($B315="Robusta","Robusta",(IF($B315="","Arabica",$B315))&amp;" - "&amp;(IF($C315="","Commercial",$C315))),Variables!$B$1:$D$1,0),1))*AP315)+(T315*INDEX(Variables!$B$9:$D$9,IFERROR(MATCH(IF($B315="Robusta","Robusta",(IF($B315="","Arabica",$B315))&amp;" - "&amp;(IF($C315="","Commercial",$C315))),Variables!$B$1:$D$1,0),1))*AP315/365),""))</f>
        <v>-2229.5637132863621</v>
      </c>
      <c r="AV315" s="11">
        <f t="shared" si="30"/>
        <v>2</v>
      </c>
      <c r="AW315" s="12">
        <f>IF($H315="Cancelled","",IFERROR(IF(AV315="","",(T315*INDEX(Variables!$B$7:$D$7,IFERROR(MATCH(IF($B315="Robusta","Robusta",(IF($B315="","Arabica",$B315))&amp;" - "&amp;(IF($C315="","Commercial",$C315))),Variables!$B$1:$D$1,0),1))*(AV315/365))+(T315*INDEX(Variables!$B$9:$D$9,IFERROR(MATCH(IF($B315="Robusta","Robusta",(IF($B315="","Arabica",$B315))&amp;" - "&amp;(IF($C315="","Commercial",$C315))),Variables!$B$1:$D$1,0),1))*(AV315/365))+(INDEX(Variables!$B$8:$D$8,IFERROR(MATCH(IF($B315="Robusta","Robusta",(IF($B315="","Arabica",$B315))&amp;" - "&amp;(IF($C315="","Commercial",$C315))),Variables!$B$1:$D$1,0),1))*L315/16.67)),""))</f>
        <v>138.20490102202783</v>
      </c>
      <c r="AX315" s="9"/>
      <c r="AY315" s="12"/>
      <c r="AZ315" s="10"/>
      <c r="BA315" s="9"/>
      <c r="BB315" s="10"/>
      <c r="BC315" s="9"/>
      <c r="BD315" s="9"/>
      <c r="BE315" s="9"/>
      <c r="BF315" s="9"/>
    </row>
    <row r="316" spans="1:58" x14ac:dyDescent="0.25">
      <c r="A316" s="9" t="s">
        <v>84</v>
      </c>
      <c r="B316" s="9" t="s">
        <v>85</v>
      </c>
      <c r="C316" s="9" t="s">
        <v>86</v>
      </c>
      <c r="D316" s="10">
        <v>45674</v>
      </c>
      <c r="E316" s="10">
        <v>45717</v>
      </c>
      <c r="F316" s="10">
        <v>45747</v>
      </c>
      <c r="G316" s="9">
        <v>3786619</v>
      </c>
      <c r="H316" s="9" t="str">
        <f t="shared" si="28"/>
        <v>Closed</v>
      </c>
      <c r="I316" s="9" t="str">
        <f t="shared" si="29"/>
        <v>All dates received</v>
      </c>
      <c r="J316" s="9" t="s">
        <v>102</v>
      </c>
      <c r="K316" s="9" t="s">
        <v>854</v>
      </c>
      <c r="L316" s="11">
        <v>666</v>
      </c>
      <c r="M316" s="9" t="s">
        <v>752</v>
      </c>
      <c r="N316" s="9" t="s">
        <v>432</v>
      </c>
      <c r="O316" s="9"/>
      <c r="P316" s="9"/>
      <c r="Q316" s="11">
        <v>42</v>
      </c>
      <c r="R316" s="9" t="s">
        <v>90</v>
      </c>
      <c r="S316" s="9" t="s">
        <v>465</v>
      </c>
      <c r="T316" s="12">
        <f>IF($H316="Cancelled","",IFERROR(((Q316+INDEX(Variables!$B$6:$D$6,IFERROR(MATCH(IF($B316="Robusta","Robusta",(IF($B316="","Arabica",$B316))&amp;" - "&amp;(IF($C316="","Commercial",$C316))),Variables!$B$1:$D$1,0),1)))*22.0462)*(L316/16.67),""))</f>
        <v>293126.91000359925</v>
      </c>
      <c r="U316" s="10">
        <v>45677</v>
      </c>
      <c r="V316" s="9" t="str">
        <f t="shared" si="34"/>
        <v>Sent</v>
      </c>
      <c r="W316" s="10">
        <v>45688</v>
      </c>
      <c r="X316" s="9" t="str">
        <f t="shared" si="33"/>
        <v>Approved</v>
      </c>
      <c r="Y316" s="10"/>
      <c r="Z316" s="10">
        <f>IF($H316="Cancelled","",IFERROR(IF(F316="","",F316-Variables!$B$13),""))</f>
        <v>45732</v>
      </c>
      <c r="AA316" s="11">
        <f>IF($H316="Cancelled","",IFERROR(IF(W316="","",(AVERAGE(E316:F316)-W316)-Variables!$B$14),""))</f>
        <v>14</v>
      </c>
      <c r="AB316" s="10">
        <v>45710</v>
      </c>
      <c r="AC316" s="11">
        <f>IF($H316="Cancelled","",IFERROR(IF(AB316="","",IF(AND(W316="",Y316=""),"",IF(Y316&gt;W316,Y316+Variables!$B$15+Variables!$B$16+Variables!$B$17-AB316,W316+Variables!$B$16+Variables!$B$17-AB316))),""))</f>
        <v>-14</v>
      </c>
      <c r="AD316" s="9" t="s">
        <v>151</v>
      </c>
      <c r="AE316" s="9" t="s">
        <v>259</v>
      </c>
      <c r="AF316" s="10" t="s">
        <v>762</v>
      </c>
      <c r="AG316" s="10"/>
      <c r="AH316" s="9"/>
      <c r="AI316" s="9" t="s">
        <v>855</v>
      </c>
      <c r="AJ316" s="9" t="s">
        <v>8</v>
      </c>
      <c r="AK316" s="10">
        <v>45745</v>
      </c>
      <c r="AL316" s="10">
        <v>45750</v>
      </c>
      <c r="AM316" s="10">
        <v>45750</v>
      </c>
      <c r="AN316" s="9" t="s">
        <v>95</v>
      </c>
      <c r="AO316" s="9"/>
      <c r="AP316" s="11">
        <f>IF($H316="Cancelled","",IFERROR(IF(OR(AK316="",AB316=""),"",(AB316+Variables!$B$18-AK316)),""))</f>
        <v>-28</v>
      </c>
      <c r="AQ316" s="11">
        <f>IF($H316="Cancelled","",IFERROR(IF(OR(AM316="",AK316=""),"",(AK316+Variables!$B$19)-AM316),""))</f>
        <v>0</v>
      </c>
      <c r="AR316" s="12">
        <f>IF($H316="Cancelled","",IFERROR(T316*INDEX(Variables!$B$7:$D$7,IFERROR(MATCH(IF($B316="Robusta","Robusta",(IF($B316="","Arabica",$B316))&amp;" - "&amp;(IF($C316="","Commercial",$C316))),Variables!$B$1:$D$1,0),1))*(AQ316/365),""))</f>
        <v>0</v>
      </c>
      <c r="AS316" s="12">
        <f>IF($H316="Cancelled","",IFERROR((T316*INDEX(Variables!$B$7:$D$7,IFERROR(MATCH(IF($B316="Robusta","Robusta",(IF($B316="","Arabica",$B316))&amp;" - "&amp;(IF($C316="","Commercial",$C316))),Variables!$B$1:$D$1,0),1))*IFERROR(IF(W316="","",(AVERAGE(E316:F316)-W316)-Variables!$B$14),"")/365)+(L316/16.67*INDEX(Variables!$B$8:$D$8,IFERROR(MATCH(IF($B316="Robusta","Robusta",(IF($B316="","Arabica",$B316))&amp;" - "&amp;(IF($C316="","Commercial",$C316))),Variables!$B$1:$D$1,0),1))*IFERROR(IF(W316="","",(AVERAGE(E316:F316)-W316)-Variables!$B$14),""))+(T316*INDEX(Variables!$B$9:$D$9,IFERROR(MATCH(IF($B316="Robusta","Robusta",(IF($B316="","Arabica",$B316))&amp;" - "&amp;(IF($C316="","Commercial",$C316))),Variables!$B$1:$D$1,0),1))*IFERROR(IF(W316="","",(AVERAGE(E316:F316)-W316)-Variables!$B$14),"")/365),""))</f>
        <v>1200.5343071541949</v>
      </c>
      <c r="AT316" s="12">
        <f>IF($H316="Cancelled","",IFERROR((T316*INDEX(Variables!$B$7:$D$7,IFERROR(MATCH(IF($B316="Robusta","Robusta",(IF($B316="","Arabica",$B316))&amp;" - "&amp;(IF($C316="","Commercial",$C316))),Variables!$B$1:$D$1,0),1))*AC316/365)+(L316/16.67*INDEX(Variables!$B$8:$D$8,IFERROR(MATCH(IF($B316="Robusta","Robusta",(IF($B316="","Arabica",$B316))&amp;" - "&amp;(IF($C316="","Commercial",$C316))),Variables!$B$1:$D$1,0),1))*AC316)+(T316*INDEX(Variables!$B$9:$D$9,IFERROR(MATCH(IF($B316="Robusta","Robusta",(IF($B316="","Arabica",$B316))&amp;" - "&amp;(IF($C316="","Commercial",$C316))),Variables!$B$1:$D$1,0),1))*AC316/365),""))</f>
        <v>-1200.5343071541949</v>
      </c>
      <c r="AU316" s="12">
        <f>IF($H316="Cancelled","",IFERROR((T316*INDEX(Variables!$B$7:$D$7,IFERROR(MATCH(IF($B316="Robusta","Robusta",(IF($B316="","Arabica",$B316))&amp;" - "&amp;(IF($C316="","Commercial",$C316))),Variables!$B$1:$D$1,0),1))*AP316/365)+(L316/16.67*INDEX(Variables!$B$8:$D$8,IFERROR(MATCH(IF($B316="Robusta","Robusta",(IF($B316="","Arabica",$B316))&amp;" - "&amp;(IF($C316="","Commercial",$C316))),Variables!$B$1:$D$1,0),1))*AP316)+(T316*INDEX(Variables!$B$9:$D$9,IFERROR(MATCH(IF($B316="Robusta","Robusta",(IF($B316="","Arabica",$B316))&amp;" - "&amp;(IF($C316="","Commercial",$C316))),Variables!$B$1:$D$1,0),1))*AP316/365),""))</f>
        <v>-2401.0686143083899</v>
      </c>
      <c r="AV316" s="11">
        <f t="shared" si="30"/>
        <v>2</v>
      </c>
      <c r="AW316" s="12">
        <f>IF($H316="Cancelled","",IFERROR(IF(AV316="","",(T316*INDEX(Variables!$B$7:$D$7,IFERROR(MATCH(IF($B316="Robusta","Robusta",(IF($B316="","Arabica",$B316))&amp;" - "&amp;(IF($C316="","Commercial",$C316))),Variables!$B$1:$D$1,0),1))*(AV316/365))+(T316*INDEX(Variables!$B$9:$D$9,IFERROR(MATCH(IF($B316="Robusta","Robusta",(IF($B316="","Arabica",$B316))&amp;" - "&amp;(IF($C316="","Commercial",$C316))),Variables!$B$1:$D$1,0),1))*(AV316/365))+(INDEX(Variables!$B$8:$D$8,IFERROR(MATCH(IF($B316="Robusta","Robusta",(IF($B316="","Arabica",$B316))&amp;" - "&amp;(IF($C316="","Commercial",$C316))),Variables!$B$1:$D$1,0),1))*L316/16.67)),""))</f>
        <v>138.20490102202783</v>
      </c>
      <c r="AX316" s="9"/>
      <c r="AY316" s="12"/>
      <c r="AZ316" s="10"/>
      <c r="BA316" s="9"/>
      <c r="BB316" s="10"/>
      <c r="BC316" s="9"/>
      <c r="BD316" s="9"/>
      <c r="BE316" s="9"/>
      <c r="BF316" s="9"/>
    </row>
    <row r="317" spans="1:58" x14ac:dyDescent="0.25">
      <c r="A317" s="9" t="s">
        <v>84</v>
      </c>
      <c r="B317" s="9" t="s">
        <v>85</v>
      </c>
      <c r="C317" s="9" t="s">
        <v>86</v>
      </c>
      <c r="D317" s="10">
        <v>45674</v>
      </c>
      <c r="E317" s="10">
        <v>45748</v>
      </c>
      <c r="F317" s="10">
        <v>45777</v>
      </c>
      <c r="G317" s="9">
        <v>3786620</v>
      </c>
      <c r="H317" s="9" t="str">
        <f t="shared" si="28"/>
        <v>Closed</v>
      </c>
      <c r="I317" s="9" t="str">
        <f t="shared" si="29"/>
        <v>All dates received</v>
      </c>
      <c r="J317" s="9" t="s">
        <v>102</v>
      </c>
      <c r="K317" s="9" t="s">
        <v>856</v>
      </c>
      <c r="L317" s="11">
        <v>1000</v>
      </c>
      <c r="M317" s="9" t="s">
        <v>752</v>
      </c>
      <c r="N317" s="9" t="s">
        <v>432</v>
      </c>
      <c r="O317" s="9"/>
      <c r="P317" s="9"/>
      <c r="Q317" s="11">
        <v>42</v>
      </c>
      <c r="R317" s="9" t="s">
        <v>90</v>
      </c>
      <c r="S317" s="9" t="s">
        <v>462</v>
      </c>
      <c r="T317" s="12">
        <f>IF($H317="Cancelled","",IFERROR(((Q317+INDEX(Variables!$B$6:$D$6,IFERROR(MATCH(IF($B317="Robusta","Robusta",(IF($B317="","Arabica",$B317))&amp;" - "&amp;(IF($C317="","Commercial",$C317))),Variables!$B$1:$D$1,0),1)))*22.0462)*(L317/16.67),""))</f>
        <v>440130.49550089973</v>
      </c>
      <c r="U317" s="10">
        <v>45712</v>
      </c>
      <c r="V317" s="9" t="str">
        <f t="shared" si="34"/>
        <v>Sent</v>
      </c>
      <c r="W317" s="10">
        <v>45719</v>
      </c>
      <c r="X317" s="9" t="str">
        <f t="shared" si="33"/>
        <v>Approved</v>
      </c>
      <c r="Y317" s="10"/>
      <c r="Z317" s="10">
        <f>IF($H317="Cancelled","",IFERROR(IF(F317="","",F317-Variables!$B$13),""))</f>
        <v>45762</v>
      </c>
      <c r="AA317" s="11">
        <f>IF($H317="Cancelled","",IFERROR(IF(W317="","",(AVERAGE(E317:F317)-W317)-Variables!$B$14),""))</f>
        <v>13.5</v>
      </c>
      <c r="AB317" s="10">
        <v>45745</v>
      </c>
      <c r="AC317" s="11">
        <f>IF($H317="Cancelled","",IFERROR(IF(AB317="","",IF(AND(W317="",Y317=""),"",IF(Y317&gt;W317,Y317+Variables!$B$15+Variables!$B$16+Variables!$B$17-AB317,W317+Variables!$B$16+Variables!$B$17-AB317))),""))</f>
        <v>-18</v>
      </c>
      <c r="AD317" s="9" t="s">
        <v>151</v>
      </c>
      <c r="AE317" s="9" t="s">
        <v>857</v>
      </c>
      <c r="AF317" s="10"/>
      <c r="AG317" s="10"/>
      <c r="AH317" s="9"/>
      <c r="AI317" s="9" t="s">
        <v>858</v>
      </c>
      <c r="AJ317" s="9" t="s">
        <v>8</v>
      </c>
      <c r="AK317" s="10">
        <v>45766</v>
      </c>
      <c r="AL317" s="10">
        <v>45776</v>
      </c>
      <c r="AM317" s="10">
        <v>45776</v>
      </c>
      <c r="AN317" s="9" t="s">
        <v>95</v>
      </c>
      <c r="AO317" s="9"/>
      <c r="AP317" s="11">
        <f>IF($H317="Cancelled","",IFERROR(IF(OR(AK317="",AB317=""),"",(AB317+Variables!$B$18-AK317)),""))</f>
        <v>-14</v>
      </c>
      <c r="AQ317" s="11">
        <f>IF($H317="Cancelled","",IFERROR(IF(OR(AM317="",AK317=""),"",(AK317+Variables!$B$19)-AM317),""))</f>
        <v>-5</v>
      </c>
      <c r="AR317" s="12">
        <f>IF($H317="Cancelled","",IFERROR(T317*INDEX(Variables!$B$7:$D$7,IFERROR(MATCH(IF($B317="Robusta","Robusta",(IF($B317="","Arabica",$B317))&amp;" - "&amp;(IF($C317="","Commercial",$C317))),Variables!$B$1:$D$1,0),1))*(AQ317/365),""))</f>
        <v>-388.77510461627554</v>
      </c>
      <c r="AS317" s="12">
        <f>IF($H317="Cancelled","",IFERROR((T317*INDEX(Variables!$B$7:$D$7,IFERROR(MATCH(IF($B317="Robusta","Robusta",(IF($B317="","Arabica",$B317))&amp;" - "&amp;(IF($C317="","Commercial",$C317))),Variables!$B$1:$D$1,0),1))*IFERROR(IF(W317="","",(AVERAGE(E317:F317)-W317)-Variables!$B$14),"")/365)+(L317/16.67*INDEX(Variables!$B$8:$D$8,IFERROR(MATCH(IF($B317="Robusta","Robusta",(IF($B317="","Arabica",$B317))&amp;" - "&amp;(IF($C317="","Commercial",$C317))),Variables!$B$1:$D$1,0),1))*IFERROR(IF(W317="","",(AVERAGE(E317:F317)-W317)-Variables!$B$14),""))+(T317*INDEX(Variables!$B$9:$D$9,IFERROR(MATCH(IF($B317="Robusta","Robusta",(IF($B317="","Arabica",$B317))&amp;" - "&amp;(IF($C317="","Commercial",$C317))),Variables!$B$1:$D$1,0),1))*IFERROR(IF(W317="","",(AVERAGE(E317:F317)-W317)-Variables!$B$14),"")/365),""))</f>
        <v>1738.2253481962282</v>
      </c>
      <c r="AT317" s="12">
        <f>IF($H317="Cancelled","",IFERROR((T317*INDEX(Variables!$B$7:$D$7,IFERROR(MATCH(IF($B317="Robusta","Robusta",(IF($B317="","Arabica",$B317))&amp;" - "&amp;(IF($C317="","Commercial",$C317))),Variables!$B$1:$D$1,0),1))*AC317/365)+(L317/16.67*INDEX(Variables!$B$8:$D$8,IFERROR(MATCH(IF($B317="Robusta","Robusta",(IF($B317="","Arabica",$B317))&amp;" - "&amp;(IF($C317="","Commercial",$C317))),Variables!$B$1:$D$1,0),1))*AC317)+(T317*INDEX(Variables!$B$9:$D$9,IFERROR(MATCH(IF($B317="Robusta","Robusta",(IF($B317="","Arabica",$B317))&amp;" - "&amp;(IF($C317="","Commercial",$C317))),Variables!$B$1:$D$1,0),1))*AC317/365),""))</f>
        <v>-2317.6337975949705</v>
      </c>
      <c r="AU317" s="12">
        <f>IF($H317="Cancelled","",IFERROR((T317*INDEX(Variables!$B$7:$D$7,IFERROR(MATCH(IF($B317="Robusta","Robusta",(IF($B317="","Arabica",$B317))&amp;" - "&amp;(IF($C317="","Commercial",$C317))),Variables!$B$1:$D$1,0),1))*AP317/365)+(L317/16.67*INDEX(Variables!$B$8:$D$8,IFERROR(MATCH(IF($B317="Robusta","Robusta",(IF($B317="","Arabica",$B317))&amp;" - "&amp;(IF($C317="","Commercial",$C317))),Variables!$B$1:$D$1,0),1))*AP317)+(T317*INDEX(Variables!$B$9:$D$9,IFERROR(MATCH(IF($B317="Robusta","Robusta",(IF($B317="","Arabica",$B317))&amp;" - "&amp;(IF($C317="","Commercial",$C317))),Variables!$B$1:$D$1,0),1))*AP317/365),""))</f>
        <v>-1802.6040647960883</v>
      </c>
      <c r="AV317" s="11">
        <f t="shared" si="30"/>
        <v>11</v>
      </c>
      <c r="AW317" s="12">
        <f>IF($H317="Cancelled","",IFERROR(IF(AV317="","",(T317*INDEX(Variables!$B$7:$D$7,IFERROR(MATCH(IF($B317="Robusta","Robusta",(IF($B317="","Arabica",$B317))&amp;" - "&amp;(IF($C317="","Commercial",$C317))),Variables!$B$1:$D$1,0),1))*(AV317/365))+(T317*INDEX(Variables!$B$9:$D$9,IFERROR(MATCH(IF($B317="Robusta","Robusta",(IF($B317="","Arabica",$B317))&amp;" - "&amp;(IF($C317="","Commercial",$C317))),Variables!$B$1:$D$1,0),1))*(AV317/365))+(INDEX(Variables!$B$8:$D$8,IFERROR(MATCH(IF($B317="Robusta","Robusta",(IF($B317="","Arabica",$B317))&amp;" - "&amp;(IF($C317="","Commercial",$C317))),Variables!$B$1:$D$1,0),1))*L317/16.67)),""))</f>
        <v>916.33176519692643</v>
      </c>
      <c r="AX317" s="9"/>
      <c r="AY317" s="12"/>
      <c r="AZ317" s="10"/>
      <c r="BA317" s="9"/>
      <c r="BB317" s="10"/>
      <c r="BC317" s="9"/>
      <c r="BD317" s="9"/>
      <c r="BE317" s="9"/>
      <c r="BF317" s="9"/>
    </row>
    <row r="318" spans="1:58" x14ac:dyDescent="0.25">
      <c r="A318" s="9" t="s">
        <v>84</v>
      </c>
      <c r="B318" s="9" t="s">
        <v>85</v>
      </c>
      <c r="C318" s="9" t="s">
        <v>86</v>
      </c>
      <c r="D318" s="10">
        <v>45674</v>
      </c>
      <c r="E318" s="10">
        <v>45748</v>
      </c>
      <c r="F318" s="10">
        <v>45777</v>
      </c>
      <c r="G318" s="9">
        <v>3786620</v>
      </c>
      <c r="H318" s="9" t="str">
        <f t="shared" si="28"/>
        <v>Closed</v>
      </c>
      <c r="I318" s="9" t="str">
        <f t="shared" si="29"/>
        <v>All dates received</v>
      </c>
      <c r="J318" s="9" t="s">
        <v>102</v>
      </c>
      <c r="K318" s="9" t="s">
        <v>859</v>
      </c>
      <c r="L318" s="11">
        <v>1000</v>
      </c>
      <c r="M318" s="9" t="s">
        <v>752</v>
      </c>
      <c r="N318" s="9" t="s">
        <v>432</v>
      </c>
      <c r="O318" s="9"/>
      <c r="P318" s="9"/>
      <c r="Q318" s="11">
        <v>42</v>
      </c>
      <c r="R318" s="9" t="s">
        <v>90</v>
      </c>
      <c r="S318" s="9" t="s">
        <v>753</v>
      </c>
      <c r="T318" s="12">
        <f>IF($H318="Cancelled","",IFERROR(((Q318+INDEX(Variables!$B$6:$D$6,IFERROR(MATCH(IF($B318="Robusta","Robusta",(IF($B318="","Arabica",$B318))&amp;" - "&amp;(IF($C318="","Commercial",$C318))),Variables!$B$1:$D$1,0),1)))*22.0462)*(L318/16.67),""))</f>
        <v>440130.49550089973</v>
      </c>
      <c r="U318" s="10">
        <v>45712</v>
      </c>
      <c r="V318" s="9" t="str">
        <f t="shared" si="34"/>
        <v>Sent</v>
      </c>
      <c r="W318" s="10">
        <v>45719</v>
      </c>
      <c r="X318" s="9" t="str">
        <f t="shared" si="33"/>
        <v>Approved</v>
      </c>
      <c r="Y318" s="10"/>
      <c r="Z318" s="10">
        <f>IF($H318="Cancelled","",IFERROR(IF(F318="","",F318-Variables!$B$13),""))</f>
        <v>45762</v>
      </c>
      <c r="AA318" s="11">
        <f>IF($H318="Cancelled","",IFERROR(IF(W318="","",(AVERAGE(E318:F318)-W318)-Variables!$B$14),""))</f>
        <v>13.5</v>
      </c>
      <c r="AB318" s="10">
        <v>45744</v>
      </c>
      <c r="AC318" s="11">
        <f>IF($H318="Cancelled","",IFERROR(IF(AB318="","",IF(AND(W318="",Y318=""),"",IF(Y318&gt;W318,Y318+Variables!$B$15+Variables!$B$16+Variables!$B$17-AB318,W318+Variables!$B$16+Variables!$B$17-AB318))),""))</f>
        <v>-17</v>
      </c>
      <c r="AD318" s="9" t="s">
        <v>151</v>
      </c>
      <c r="AE318" s="9" t="s">
        <v>857</v>
      </c>
      <c r="AF318" s="10"/>
      <c r="AG318" s="10"/>
      <c r="AH318" s="9"/>
      <c r="AI318" s="9" t="s">
        <v>860</v>
      </c>
      <c r="AJ318" s="9" t="s">
        <v>8</v>
      </c>
      <c r="AK318" s="10">
        <v>45766</v>
      </c>
      <c r="AL318" s="10">
        <v>45776</v>
      </c>
      <c r="AM318" s="10">
        <v>45776</v>
      </c>
      <c r="AN318" s="9" t="s">
        <v>95</v>
      </c>
      <c r="AO318" s="9"/>
      <c r="AP318" s="11">
        <f>IF($H318="Cancelled","",IFERROR(IF(OR(AK318="",AB318=""),"",(AB318+Variables!$B$18-AK318)),""))</f>
        <v>-15</v>
      </c>
      <c r="AQ318" s="11">
        <f>IF($H318="Cancelled","",IFERROR(IF(OR(AM318="",AK318=""),"",(AK318+Variables!$B$19)-AM318),""))</f>
        <v>-5</v>
      </c>
      <c r="AR318" s="12">
        <f>IF($H318="Cancelled","",IFERROR(T318*INDEX(Variables!$B$7:$D$7,IFERROR(MATCH(IF($B318="Robusta","Robusta",(IF($B318="","Arabica",$B318))&amp;" - "&amp;(IF($C318="","Commercial",$C318))),Variables!$B$1:$D$1,0),1))*(AQ318/365),""))</f>
        <v>-388.77510461627554</v>
      </c>
      <c r="AS318" s="12">
        <f>IF($H318="Cancelled","",IFERROR((T318*INDEX(Variables!$B$7:$D$7,IFERROR(MATCH(IF($B318="Robusta","Robusta",(IF($B318="","Arabica",$B318))&amp;" - "&amp;(IF($C318="","Commercial",$C318))),Variables!$B$1:$D$1,0),1))*IFERROR(IF(W318="","",(AVERAGE(E318:F318)-W318)-Variables!$B$14),"")/365)+(L318/16.67*INDEX(Variables!$B$8:$D$8,IFERROR(MATCH(IF($B318="Robusta","Robusta",(IF($B318="","Arabica",$B318))&amp;" - "&amp;(IF($C318="","Commercial",$C318))),Variables!$B$1:$D$1,0),1))*IFERROR(IF(W318="","",(AVERAGE(E318:F318)-W318)-Variables!$B$14),""))+(T318*INDEX(Variables!$B$9:$D$9,IFERROR(MATCH(IF($B318="Robusta","Robusta",(IF($B318="","Arabica",$B318))&amp;" - "&amp;(IF($C318="","Commercial",$C318))),Variables!$B$1:$D$1,0),1))*IFERROR(IF(W318="","",(AVERAGE(E318:F318)-W318)-Variables!$B$14),"")/365),""))</f>
        <v>1738.2253481962282</v>
      </c>
      <c r="AT318" s="12">
        <f>IF($H318="Cancelled","",IFERROR((T318*INDEX(Variables!$B$7:$D$7,IFERROR(MATCH(IF($B318="Robusta","Robusta",(IF($B318="","Arabica",$B318))&amp;" - "&amp;(IF($C318="","Commercial",$C318))),Variables!$B$1:$D$1,0),1))*AC318/365)+(L318/16.67*INDEX(Variables!$B$8:$D$8,IFERROR(MATCH(IF($B318="Robusta","Robusta",(IF($B318="","Arabica",$B318))&amp;" - "&amp;(IF($C318="","Commercial",$C318))),Variables!$B$1:$D$1,0),1))*AC318)+(T318*INDEX(Variables!$B$9:$D$9,IFERROR(MATCH(IF($B318="Robusta","Robusta",(IF($B318="","Arabica",$B318))&amp;" - "&amp;(IF($C318="","Commercial",$C318))),Variables!$B$1:$D$1,0),1))*AC318/365),""))</f>
        <v>-2188.8763643952502</v>
      </c>
      <c r="AU318" s="12">
        <f>IF($H318="Cancelled","",IFERROR((T318*INDEX(Variables!$B$7:$D$7,IFERROR(MATCH(IF($B318="Robusta","Robusta",(IF($B318="","Arabica",$B318))&amp;" - "&amp;(IF($C318="","Commercial",$C318))),Variables!$B$1:$D$1,0),1))*AP318/365)+(L318/16.67*INDEX(Variables!$B$8:$D$8,IFERROR(MATCH(IF($B318="Robusta","Robusta",(IF($B318="","Arabica",$B318))&amp;" - "&amp;(IF($C318="","Commercial",$C318))),Variables!$B$1:$D$1,0),1))*AP318)+(T318*INDEX(Variables!$B$9:$D$9,IFERROR(MATCH(IF($B318="Robusta","Robusta",(IF($B318="","Arabica",$B318))&amp;" - "&amp;(IF($C318="","Commercial",$C318))),Variables!$B$1:$D$1,0),1))*AP318/365),""))</f>
        <v>-1931.3614979958088</v>
      </c>
      <c r="AV318" s="11">
        <f t="shared" si="30"/>
        <v>11</v>
      </c>
      <c r="AW318" s="12">
        <f>IF($H318="Cancelled","",IFERROR(IF(AV318="","",(T318*INDEX(Variables!$B$7:$D$7,IFERROR(MATCH(IF($B318="Robusta","Robusta",(IF($B318="","Arabica",$B318))&amp;" - "&amp;(IF($C318="","Commercial",$C318))),Variables!$B$1:$D$1,0),1))*(AV318/365))+(T318*INDEX(Variables!$B$9:$D$9,IFERROR(MATCH(IF($B318="Robusta","Robusta",(IF($B318="","Arabica",$B318))&amp;" - "&amp;(IF($C318="","Commercial",$C318))),Variables!$B$1:$D$1,0),1))*(AV318/365))+(INDEX(Variables!$B$8:$D$8,IFERROR(MATCH(IF($B318="Robusta","Robusta",(IF($B318="","Arabica",$B318))&amp;" - "&amp;(IF($C318="","Commercial",$C318))),Variables!$B$1:$D$1,0),1))*L318/16.67)),""))</f>
        <v>916.33176519692643</v>
      </c>
      <c r="AX318" s="9"/>
      <c r="AY318" s="12"/>
      <c r="AZ318" s="10"/>
      <c r="BA318" s="9"/>
      <c r="BB318" s="10"/>
      <c r="BC318" s="9"/>
      <c r="BD318" s="9"/>
      <c r="BE318" s="9"/>
      <c r="BF318" s="9"/>
    </row>
    <row r="319" spans="1:58" x14ac:dyDescent="0.25">
      <c r="A319" s="9" t="s">
        <v>84</v>
      </c>
      <c r="B319" s="9" t="s">
        <v>85</v>
      </c>
      <c r="C319" s="9" t="s">
        <v>86</v>
      </c>
      <c r="D319" s="10">
        <v>45674</v>
      </c>
      <c r="E319" s="10">
        <v>45748</v>
      </c>
      <c r="F319" s="10">
        <v>45777</v>
      </c>
      <c r="G319" s="9">
        <v>3786620</v>
      </c>
      <c r="H319" s="9" t="str">
        <f t="shared" si="28"/>
        <v>Closed</v>
      </c>
      <c r="I319" s="9" t="str">
        <f t="shared" si="29"/>
        <v>All dates received</v>
      </c>
      <c r="J319" s="9" t="s">
        <v>102</v>
      </c>
      <c r="K319" s="9" t="s">
        <v>861</v>
      </c>
      <c r="L319" s="11">
        <v>1333</v>
      </c>
      <c r="M319" s="9" t="s">
        <v>752</v>
      </c>
      <c r="N319" s="9" t="s">
        <v>432</v>
      </c>
      <c r="O319" s="9"/>
      <c r="P319" s="9"/>
      <c r="Q319" s="11">
        <v>42</v>
      </c>
      <c r="R319" s="9" t="s">
        <v>90</v>
      </c>
      <c r="S319" s="9" t="s">
        <v>465</v>
      </c>
      <c r="T319" s="12">
        <f>IF($H319="Cancelled","",IFERROR(((Q319+INDEX(Variables!$B$6:$D$6,IFERROR(MATCH(IF($B319="Robusta","Robusta",(IF($B319="","Arabica",$B319))&amp;" - "&amp;(IF($C319="","Commercial",$C319))),Variables!$B$1:$D$1,0),1)))*22.0462)*(L319/16.67),""))</f>
        <v>586693.95050269936</v>
      </c>
      <c r="U319" s="10">
        <v>45712</v>
      </c>
      <c r="V319" s="9" t="str">
        <f t="shared" si="34"/>
        <v>Sent</v>
      </c>
      <c r="W319" s="10">
        <v>45719</v>
      </c>
      <c r="X319" s="9" t="str">
        <f t="shared" si="33"/>
        <v>Approved</v>
      </c>
      <c r="Y319" s="10"/>
      <c r="Z319" s="10">
        <f>IF($H319="Cancelled","",IFERROR(IF(F319="","",F319-Variables!$B$13),""))</f>
        <v>45762</v>
      </c>
      <c r="AA319" s="11">
        <f>IF($H319="Cancelled","",IFERROR(IF(W319="","",(AVERAGE(E319:F319)-W319)-Variables!$B$14),""))</f>
        <v>13.5</v>
      </c>
      <c r="AB319" s="10">
        <v>45744</v>
      </c>
      <c r="AC319" s="11">
        <f>IF($H319="Cancelled","",IFERROR(IF(AB319="","",IF(AND(W319="",Y319=""),"",IF(Y319&gt;W319,Y319+Variables!$B$15+Variables!$B$16+Variables!$B$17-AB319,W319+Variables!$B$16+Variables!$B$17-AB319))),""))</f>
        <v>-17</v>
      </c>
      <c r="AD319" s="9" t="s">
        <v>163</v>
      </c>
      <c r="AE319" s="9" t="s">
        <v>598</v>
      </c>
      <c r="AF319" s="10"/>
      <c r="AG319" s="10"/>
      <c r="AH319" s="9"/>
      <c r="AI319" s="9">
        <v>251817398</v>
      </c>
      <c r="AJ319" s="9" t="s">
        <v>8</v>
      </c>
      <c r="AK319" s="10">
        <v>45765</v>
      </c>
      <c r="AL319" s="10">
        <v>45776</v>
      </c>
      <c r="AM319" s="10">
        <v>45776</v>
      </c>
      <c r="AN319" s="9" t="s">
        <v>95</v>
      </c>
      <c r="AO319" s="9"/>
      <c r="AP319" s="11">
        <f>IF($H319="Cancelled","",IFERROR(IF(OR(AK319="",AB319=""),"",(AB319+Variables!$B$18-AK319)),""))</f>
        <v>-14</v>
      </c>
      <c r="AQ319" s="11">
        <f>IF($H319="Cancelled","",IFERROR(IF(OR(AM319="",AK319=""),"",(AK319+Variables!$B$19)-AM319),""))</f>
        <v>-6</v>
      </c>
      <c r="AR319" s="12">
        <f>IF($H319="Cancelled","",IFERROR(T319*INDEX(Variables!$B$7:$D$7,IFERROR(MATCH(IF($B319="Robusta","Robusta",(IF($B319="","Arabica",$B319))&amp;" - "&amp;(IF($C319="","Commercial",$C319))),Variables!$B$1:$D$1,0),1))*(AQ319/365),""))</f>
        <v>-621.88465734419435</v>
      </c>
      <c r="AS319" s="12">
        <f>IF($H319="Cancelled","",IFERROR((T319*INDEX(Variables!$B$7:$D$7,IFERROR(MATCH(IF($B319="Robusta","Robusta",(IF($B319="","Arabica",$B319))&amp;" - "&amp;(IF($C319="","Commercial",$C319))),Variables!$B$1:$D$1,0),1))*IFERROR(IF(W319="","",(AVERAGE(E319:F319)-W319)-Variables!$B$14),"")/365)+(L319/16.67*INDEX(Variables!$B$8:$D$8,IFERROR(MATCH(IF($B319="Robusta","Robusta",(IF($B319="","Arabica",$B319))&amp;" - "&amp;(IF($C319="","Commercial",$C319))),Variables!$B$1:$D$1,0),1))*IFERROR(IF(W319="","",(AVERAGE(E319:F319)-W319)-Variables!$B$14),""))+(T319*INDEX(Variables!$B$9:$D$9,IFERROR(MATCH(IF($B319="Robusta","Robusta",(IF($B319="","Arabica",$B319))&amp;" - "&amp;(IF($C319="","Commercial",$C319))),Variables!$B$1:$D$1,0),1))*IFERROR(IF(W319="","",(AVERAGE(E319:F319)-W319)-Variables!$B$14),"")/365),""))</f>
        <v>2317.0543891455723</v>
      </c>
      <c r="AT319" s="12">
        <f>IF($H319="Cancelled","",IFERROR((T319*INDEX(Variables!$B$7:$D$7,IFERROR(MATCH(IF($B319="Robusta","Robusta",(IF($B319="","Arabica",$B319))&amp;" - "&amp;(IF($C319="","Commercial",$C319))),Variables!$B$1:$D$1,0),1))*AC319/365)+(L319/16.67*INDEX(Variables!$B$8:$D$8,IFERROR(MATCH(IF($B319="Robusta","Robusta",(IF($B319="","Arabica",$B319))&amp;" - "&amp;(IF($C319="","Commercial",$C319))),Variables!$B$1:$D$1,0),1))*AC319)+(T319*INDEX(Variables!$B$9:$D$9,IFERROR(MATCH(IF($B319="Robusta","Robusta",(IF($B319="","Arabica",$B319))&amp;" - "&amp;(IF($C319="","Commercial",$C319))),Variables!$B$1:$D$1,0),1))*AC319/365),""))</f>
        <v>-2917.7721937388683</v>
      </c>
      <c r="AU319" s="12">
        <f>IF($H319="Cancelled","",IFERROR((T319*INDEX(Variables!$B$7:$D$7,IFERROR(MATCH(IF($B319="Robusta","Robusta",(IF($B319="","Arabica",$B319))&amp;" - "&amp;(IF($C319="","Commercial",$C319))),Variables!$B$1:$D$1,0),1))*AP319/365)+(L319/16.67*INDEX(Variables!$B$8:$D$8,IFERROR(MATCH(IF($B319="Robusta","Robusta",(IF($B319="","Arabica",$B319))&amp;" - "&amp;(IF($C319="","Commercial",$C319))),Variables!$B$1:$D$1,0),1))*AP319)+(T319*INDEX(Variables!$B$9:$D$9,IFERROR(MATCH(IF($B319="Robusta","Robusta",(IF($B319="","Arabica",$B319))&amp;" - "&amp;(IF($C319="","Commercial",$C319))),Variables!$B$1:$D$1,0),1))*AP319/365),""))</f>
        <v>-2402.8712183731855</v>
      </c>
      <c r="AV319" s="11">
        <f t="shared" si="30"/>
        <v>12</v>
      </c>
      <c r="AW319" s="12">
        <f>IF($H319="Cancelled","",IFERROR(IF(AV319="","",(T319*INDEX(Variables!$B$7:$D$7,IFERROR(MATCH(IF($B319="Robusta","Robusta",(IF($B319="","Arabica",$B319))&amp;" - "&amp;(IF($C319="","Commercial",$C319))),Variables!$B$1:$D$1,0),1))*(AV319/365))+(T319*INDEX(Variables!$B$9:$D$9,IFERROR(MATCH(IF($B319="Robusta","Robusta",(IF($B319="","Arabica",$B319))&amp;" - "&amp;(IF($C319="","Commercial",$C319))),Variables!$B$1:$D$1,0),1))*(AV319/365))+(INDEX(Variables!$B$8:$D$8,IFERROR(MATCH(IF($B319="Robusta","Robusta",(IF($B319="","Arabica",$B319))&amp;" - "&amp;(IF($C319="","Commercial",$C319))),Variables!$B$1:$D$1,0),1))*L319/16.67)),""))</f>
        <v>1326.4539014627305</v>
      </c>
      <c r="AX319" s="9"/>
      <c r="AY319" s="12"/>
      <c r="AZ319" s="10"/>
      <c r="BA319" s="9"/>
      <c r="BB319" s="10"/>
      <c r="BC319" s="9"/>
      <c r="BD319" s="9"/>
      <c r="BE319" s="9"/>
      <c r="BF319" s="9"/>
    </row>
    <row r="320" spans="1:58" x14ac:dyDescent="0.25">
      <c r="A320" s="9" t="s">
        <v>84</v>
      </c>
      <c r="B320" s="9" t="s">
        <v>85</v>
      </c>
      <c r="C320" s="9" t="s">
        <v>86</v>
      </c>
      <c r="D320" s="10">
        <v>45674</v>
      </c>
      <c r="E320" s="10">
        <v>45778</v>
      </c>
      <c r="F320" s="10">
        <v>45808</v>
      </c>
      <c r="G320" s="9">
        <v>3786621</v>
      </c>
      <c r="H320" s="9" t="str">
        <f t="shared" si="28"/>
        <v>Closed</v>
      </c>
      <c r="I320" s="9" t="str">
        <f t="shared" si="29"/>
        <v>All dates received</v>
      </c>
      <c r="J320" s="9" t="s">
        <v>102</v>
      </c>
      <c r="K320" s="9" t="s">
        <v>862</v>
      </c>
      <c r="L320" s="11">
        <v>666</v>
      </c>
      <c r="M320" s="9" t="s">
        <v>752</v>
      </c>
      <c r="N320" s="9" t="s">
        <v>432</v>
      </c>
      <c r="O320" s="9"/>
      <c r="P320" s="9"/>
      <c r="Q320" s="11">
        <v>42</v>
      </c>
      <c r="R320" s="9" t="s">
        <v>90</v>
      </c>
      <c r="S320" s="9" t="s">
        <v>863</v>
      </c>
      <c r="T320" s="12">
        <f>IF($H320="Cancelled","",IFERROR(((Q320+INDEX(Variables!$B$6:$D$6,IFERROR(MATCH(IF($B320="Robusta","Robusta",(IF($B320="","Arabica",$B320))&amp;" - "&amp;(IF($C320="","Commercial",$C320))),Variables!$B$1:$D$1,0),1)))*22.0462)*(L320/16.67),""))</f>
        <v>293126.91000359925</v>
      </c>
      <c r="U320" s="10">
        <v>45749</v>
      </c>
      <c r="V320" s="9" t="str">
        <f t="shared" si="34"/>
        <v>Sent</v>
      </c>
      <c r="W320" s="10">
        <v>45769</v>
      </c>
      <c r="X320" s="9" t="str">
        <f t="shared" si="33"/>
        <v>Approved</v>
      </c>
      <c r="Y320" s="10"/>
      <c r="Z320" s="10">
        <f>IF($H320="Cancelled","",IFERROR(IF(F320="","",F320-Variables!$B$13),""))</f>
        <v>45793</v>
      </c>
      <c r="AA320" s="11">
        <f>IF($H320="Cancelled","",IFERROR(IF(W320="","",(AVERAGE(E320:F320)-W320)-Variables!$B$14),""))</f>
        <v>-6</v>
      </c>
      <c r="AB320" s="10">
        <v>45793</v>
      </c>
      <c r="AC320" s="11">
        <f>IF($H320="Cancelled","",IFERROR(IF(AB320="","",IF(AND(W320="",Y320=""),"",IF(Y320&gt;W320,Y320+Variables!$B$15+Variables!$B$16+Variables!$B$17-AB320,W320+Variables!$B$16+Variables!$B$17-AB320))),""))</f>
        <v>-16</v>
      </c>
      <c r="AD320" s="9" t="s">
        <v>163</v>
      </c>
      <c r="AE320" s="9" t="s">
        <v>219</v>
      </c>
      <c r="AF320" s="10"/>
      <c r="AG320" s="10"/>
      <c r="AH320" s="9"/>
      <c r="AI320" s="9">
        <v>253585954</v>
      </c>
      <c r="AJ320" s="9" t="s">
        <v>8</v>
      </c>
      <c r="AK320" s="10">
        <v>45807</v>
      </c>
      <c r="AL320" s="10">
        <v>45815</v>
      </c>
      <c r="AM320" s="10">
        <v>45817</v>
      </c>
      <c r="AN320" s="9" t="s">
        <v>95</v>
      </c>
      <c r="AO320" s="9"/>
      <c r="AP320" s="11">
        <f>IF($H320="Cancelled","",IFERROR(IF(OR(AK320="",AB320=""),"",(AB320+Variables!$B$18-AK320)),""))</f>
        <v>-7</v>
      </c>
      <c r="AQ320" s="11">
        <f>IF($H320="Cancelled","",IFERROR(IF(OR(AM320="",AK320=""),"",(AK320+Variables!$B$19)-AM320),""))</f>
        <v>-5</v>
      </c>
      <c r="AR320" s="12">
        <f>IF($H320="Cancelled","",IFERROR(T320*INDEX(Variables!$B$7:$D$7,IFERROR(MATCH(IF($B320="Robusta","Robusta",(IF($B320="","Arabica",$B320))&amp;" - "&amp;(IF($C320="","Commercial",$C320))),Variables!$B$1:$D$1,0),1))*(AQ320/365),""))</f>
        <v>-258.92421967443954</v>
      </c>
      <c r="AS320" s="12">
        <f>IF($H320="Cancelled","",IFERROR((T320*INDEX(Variables!$B$7:$D$7,IFERROR(MATCH(IF($B320="Robusta","Robusta",(IF($B320="","Arabica",$B320))&amp;" - "&amp;(IF($C320="","Commercial",$C320))),Variables!$B$1:$D$1,0),1))*IFERROR(IF(W320="","",(AVERAGE(E320:F320)-W320)-Variables!$B$14),"")/365)+(L320/16.67*INDEX(Variables!$B$8:$D$8,IFERROR(MATCH(IF($B320="Robusta","Robusta",(IF($B320="","Arabica",$B320))&amp;" - "&amp;(IF($C320="","Commercial",$C320))),Variables!$B$1:$D$1,0),1))*IFERROR(IF(W320="","",(AVERAGE(E320:F320)-W320)-Variables!$B$14),""))+(T320*INDEX(Variables!$B$9:$D$9,IFERROR(MATCH(IF($B320="Robusta","Robusta",(IF($B320="","Arabica",$B320))&amp;" - "&amp;(IF($C320="","Commercial",$C320))),Variables!$B$1:$D$1,0),1))*IFERROR(IF(W320="","",(AVERAGE(E320:F320)-W320)-Variables!$B$14),"")/365),""))</f>
        <v>-514.51470306608348</v>
      </c>
      <c r="AT320" s="12">
        <f>IF($H320="Cancelled","",IFERROR((T320*INDEX(Variables!$B$7:$D$7,IFERROR(MATCH(IF($B320="Robusta","Robusta",(IF($B320="","Arabica",$B320))&amp;" - "&amp;(IF($C320="","Commercial",$C320))),Variables!$B$1:$D$1,0),1))*AC320/365)+(L320/16.67*INDEX(Variables!$B$8:$D$8,IFERROR(MATCH(IF($B320="Robusta","Robusta",(IF($B320="","Arabica",$B320))&amp;" - "&amp;(IF($C320="","Commercial",$C320))),Variables!$B$1:$D$1,0),1))*AC320)+(T320*INDEX(Variables!$B$9:$D$9,IFERROR(MATCH(IF($B320="Robusta","Robusta",(IF($B320="","Arabica",$B320))&amp;" - "&amp;(IF($C320="","Commercial",$C320))),Variables!$B$1:$D$1,0),1))*AC320/365),""))</f>
        <v>-1372.0392081762227</v>
      </c>
      <c r="AU320" s="12">
        <f>IF($H320="Cancelled","",IFERROR((T320*INDEX(Variables!$B$7:$D$7,IFERROR(MATCH(IF($B320="Robusta","Robusta",(IF($B320="","Arabica",$B320))&amp;" - "&amp;(IF($C320="","Commercial",$C320))),Variables!$B$1:$D$1,0),1))*AP320/365)+(L320/16.67*INDEX(Variables!$B$8:$D$8,IFERROR(MATCH(IF($B320="Robusta","Robusta",(IF($B320="","Arabica",$B320))&amp;" - "&amp;(IF($C320="","Commercial",$C320))),Variables!$B$1:$D$1,0),1))*AP320)+(T320*INDEX(Variables!$B$9:$D$9,IFERROR(MATCH(IF($B320="Robusta","Robusta",(IF($B320="","Arabica",$B320))&amp;" - "&amp;(IF($C320="","Commercial",$C320))),Variables!$B$1:$D$1,0),1))*AP320/365),""))</f>
        <v>-600.26715357709747</v>
      </c>
      <c r="AV320" s="11">
        <f t="shared" si="30"/>
        <v>1</v>
      </c>
      <c r="AW320" s="12">
        <f>IF($H320="Cancelled","",IFERROR(IF(AV320="","",(T320*INDEX(Variables!$B$7:$D$7,IFERROR(MATCH(IF($B320="Robusta","Robusta",(IF($B320="","Arabica",$B320))&amp;" - "&amp;(IF($C320="","Commercial",$C320))),Variables!$B$1:$D$1,0),1))*(AV320/365))+(T320*INDEX(Variables!$B$9:$D$9,IFERROR(MATCH(IF($B320="Robusta","Robusta",(IF($B320="","Arabica",$B320))&amp;" - "&amp;(IF($C320="","Commercial",$C320))),Variables!$B$1:$D$1,0),1))*(AV320/365))+(INDEX(Variables!$B$8:$D$8,IFERROR(MATCH(IF($B320="Robusta","Robusta",(IF($B320="","Arabica",$B320))&amp;" - "&amp;(IF($C320="","Commercial",$C320))),Variables!$B$1:$D$1,0),1))*L320/16.67)),""))</f>
        <v>85.752450511013919</v>
      </c>
      <c r="AX320" s="9"/>
      <c r="AY320" s="12"/>
      <c r="AZ320" s="10"/>
      <c r="BA320" s="9"/>
      <c r="BB320" s="10"/>
      <c r="BC320" s="9"/>
      <c r="BD320" s="9"/>
      <c r="BE320" s="9"/>
      <c r="BF320" s="9"/>
    </row>
    <row r="321" spans="1:58" x14ac:dyDescent="0.25">
      <c r="A321" s="9" t="s">
        <v>84</v>
      </c>
      <c r="B321" s="9" t="s">
        <v>85</v>
      </c>
      <c r="C321" s="9" t="s">
        <v>86</v>
      </c>
      <c r="D321" s="10">
        <v>45674</v>
      </c>
      <c r="E321" s="10">
        <v>45778</v>
      </c>
      <c r="F321" s="10">
        <v>45808</v>
      </c>
      <c r="G321" s="9">
        <v>3786621</v>
      </c>
      <c r="H321" s="9" t="str">
        <f t="shared" si="28"/>
        <v>Closed</v>
      </c>
      <c r="I321" s="9" t="str">
        <f t="shared" si="29"/>
        <v>All dates received</v>
      </c>
      <c r="J321" s="9" t="s">
        <v>102</v>
      </c>
      <c r="K321" s="9" t="s">
        <v>864</v>
      </c>
      <c r="L321" s="11">
        <v>2667</v>
      </c>
      <c r="M321" s="9" t="s">
        <v>752</v>
      </c>
      <c r="N321" s="9" t="s">
        <v>432</v>
      </c>
      <c r="O321" s="9"/>
      <c r="P321" s="9"/>
      <c r="Q321" s="11">
        <v>42</v>
      </c>
      <c r="R321" s="9" t="s">
        <v>90</v>
      </c>
      <c r="S321" s="9" t="s">
        <v>865</v>
      </c>
      <c r="T321" s="12">
        <f>IF($H321="Cancelled","",IFERROR(((Q321+INDEX(Variables!$B$6:$D$6,IFERROR(MATCH(IF($B321="Robusta","Robusta",(IF($B321="","Arabica",$B321))&amp;" - "&amp;(IF($C321="","Commercial",$C321))),Variables!$B$1:$D$1,0),1)))*22.0462)*(L321/16.67),""))</f>
        <v>1173828.0315008995</v>
      </c>
      <c r="U321" s="10">
        <v>45749</v>
      </c>
      <c r="V321" s="9" t="str">
        <f t="shared" si="34"/>
        <v>Sent</v>
      </c>
      <c r="W321" s="10">
        <v>45769</v>
      </c>
      <c r="X321" s="9" t="str">
        <f t="shared" si="33"/>
        <v>Approved</v>
      </c>
      <c r="Y321" s="10"/>
      <c r="Z321" s="10">
        <f>IF($H321="Cancelled","",IFERROR(IF(F321="","",F321-Variables!$B$13),""))</f>
        <v>45793</v>
      </c>
      <c r="AA321" s="11">
        <f>IF($H321="Cancelled","",IFERROR(IF(W321="","",(AVERAGE(E321:F321)-W321)-Variables!$B$14),""))</f>
        <v>-6</v>
      </c>
      <c r="AB321" s="10">
        <v>45796</v>
      </c>
      <c r="AC321" s="11">
        <f>IF($H321="Cancelled","",IFERROR(IF(AB321="","",IF(AND(W321="",Y321=""),"",IF(Y321&gt;W321,Y321+Variables!$B$15+Variables!$B$16+Variables!$B$17-AB321,W321+Variables!$B$16+Variables!$B$17-AB321))),""))</f>
        <v>-19</v>
      </c>
      <c r="AD321" s="9" t="s">
        <v>151</v>
      </c>
      <c r="AE321" s="9" t="s">
        <v>140</v>
      </c>
      <c r="AF321" s="10"/>
      <c r="AG321" s="10"/>
      <c r="AH321" s="9"/>
      <c r="AI321" s="9" t="s">
        <v>866</v>
      </c>
      <c r="AJ321" s="9" t="s">
        <v>8</v>
      </c>
      <c r="AK321" s="10">
        <v>45808</v>
      </c>
      <c r="AL321" s="10">
        <v>45815</v>
      </c>
      <c r="AM321" s="10">
        <v>45817</v>
      </c>
      <c r="AN321" s="9" t="s">
        <v>95</v>
      </c>
      <c r="AO321" s="9"/>
      <c r="AP321" s="11">
        <f>IF($H321="Cancelled","",IFERROR(IF(OR(AK321="",AB321=""),"",(AB321+Variables!$B$18-AK321)),""))</f>
        <v>-5</v>
      </c>
      <c r="AQ321" s="11">
        <f>IF($H321="Cancelled","",IFERROR(IF(OR(AM321="",AK321=""),"",(AK321+Variables!$B$19)-AM321),""))</f>
        <v>-4</v>
      </c>
      <c r="AR321" s="12">
        <f>IF($H321="Cancelled","",IFERROR(T321*INDEX(Variables!$B$7:$D$7,IFERROR(MATCH(IF($B321="Robusta","Robusta",(IF($B321="","Arabica",$B321))&amp;" - "&amp;(IF($C321="","Commercial",$C321))),Variables!$B$1:$D$1,0),1))*(AQ321/365),""))</f>
        <v>-829.49056320928548</v>
      </c>
      <c r="AS321" s="12">
        <f>IF($H321="Cancelled","",IFERROR((T321*INDEX(Variables!$B$7:$D$7,IFERROR(MATCH(IF($B321="Robusta","Robusta",(IF($B321="","Arabica",$B321))&amp;" - "&amp;(IF($C321="","Commercial",$C321))),Variables!$B$1:$D$1,0),1))*IFERROR(IF(W321="","",(AVERAGE(E321:F321)-W321)-Variables!$B$14),"")/365)+(L321/16.67*INDEX(Variables!$B$8:$D$8,IFERROR(MATCH(IF($B321="Robusta","Robusta",(IF($B321="","Arabica",$B321))&amp;" - "&amp;(IF($C321="","Commercial",$C321))),Variables!$B$1:$D$1,0),1))*IFERROR(IF(W321="","",(AVERAGE(E321:F321)-W321)-Variables!$B$14),""))+(T321*INDEX(Variables!$B$9:$D$9,IFERROR(MATCH(IF($B321="Robusta","Robusta",(IF($B321="","Arabica",$B321))&amp;" - "&amp;(IF($C321="","Commercial",$C321))),Variables!$B$1:$D$1,0),1))*IFERROR(IF(W321="","",(AVERAGE(E321:F321)-W321)-Variables!$B$14),"")/365),""))</f>
        <v>-2060.3764460619291</v>
      </c>
      <c r="AT321" s="12">
        <f>IF($H321="Cancelled","",IFERROR((T321*INDEX(Variables!$B$7:$D$7,IFERROR(MATCH(IF($B321="Robusta","Robusta",(IF($B321="","Arabica",$B321))&amp;" - "&amp;(IF($C321="","Commercial",$C321))),Variables!$B$1:$D$1,0),1))*AC321/365)+(L321/16.67*INDEX(Variables!$B$8:$D$8,IFERROR(MATCH(IF($B321="Robusta","Robusta",(IF($B321="","Arabica",$B321))&amp;" - "&amp;(IF($C321="","Commercial",$C321))),Variables!$B$1:$D$1,0),1))*AC321)+(T321*INDEX(Variables!$B$9:$D$9,IFERROR(MATCH(IF($B321="Robusta","Robusta",(IF($B321="","Arabica",$B321))&amp;" - "&amp;(IF($C321="","Commercial",$C321))),Variables!$B$1:$D$1,0),1))*AC321/365),""))</f>
        <v>-6524.5254125294405</v>
      </c>
      <c r="AU321" s="12">
        <f>IF($H321="Cancelled","",IFERROR((T321*INDEX(Variables!$B$7:$D$7,IFERROR(MATCH(IF($B321="Robusta","Robusta",(IF($B321="","Arabica",$B321))&amp;" - "&amp;(IF($C321="","Commercial",$C321))),Variables!$B$1:$D$1,0),1))*AP321/365)+(L321/16.67*INDEX(Variables!$B$8:$D$8,IFERROR(MATCH(IF($B321="Robusta","Robusta",(IF($B321="","Arabica",$B321))&amp;" - "&amp;(IF($C321="","Commercial",$C321))),Variables!$B$1:$D$1,0),1))*AP321)+(T321*INDEX(Variables!$B$9:$D$9,IFERROR(MATCH(IF($B321="Robusta","Robusta",(IF($B321="","Arabica",$B321))&amp;" - "&amp;(IF($C321="","Commercial",$C321))),Variables!$B$1:$D$1,0),1))*AP321/365),""))</f>
        <v>-1716.9803717182738</v>
      </c>
      <c r="AV321" s="11">
        <f t="shared" si="30"/>
        <v>0</v>
      </c>
      <c r="AW321" s="12">
        <f>IF($H321="Cancelled","",IFERROR(IF(AV321="","",(T321*INDEX(Variables!$B$7:$D$7,IFERROR(MATCH(IF($B321="Robusta","Robusta",(IF($B321="","Arabica",$B321))&amp;" - "&amp;(IF($C321="","Commercial",$C321))),Variables!$B$1:$D$1,0),1))*(AV321/365))+(T321*INDEX(Variables!$B$9:$D$9,IFERROR(MATCH(IF($B321="Robusta","Robusta",(IF($B321="","Arabica",$B321))&amp;" - "&amp;(IF($C321="","Commercial",$C321))),Variables!$B$1:$D$1,0),1))*(AV321/365))+(INDEX(Variables!$B$8:$D$8,IFERROR(MATCH(IF($B321="Robusta","Robusta",(IF($B321="","Arabica",$B321))&amp;" - "&amp;(IF($C321="","Commercial",$C321))),Variables!$B$1:$D$1,0),1))*L321/16.67)),""))</f>
        <v>133.35000000000002</v>
      </c>
      <c r="AX321" s="9"/>
      <c r="AY321" s="12"/>
      <c r="AZ321" s="10"/>
      <c r="BA321" s="9"/>
      <c r="BB321" s="10"/>
      <c r="BC321" s="9"/>
      <c r="BD321" s="9"/>
      <c r="BE321" s="9"/>
      <c r="BF321" s="9"/>
    </row>
    <row r="322" spans="1:58" x14ac:dyDescent="0.25">
      <c r="A322" s="9" t="s">
        <v>84</v>
      </c>
      <c r="B322" s="9" t="s">
        <v>85</v>
      </c>
      <c r="C322" s="9" t="s">
        <v>86</v>
      </c>
      <c r="D322" s="10">
        <v>45677</v>
      </c>
      <c r="E322" s="10">
        <v>45689</v>
      </c>
      <c r="F322" s="10">
        <v>45716</v>
      </c>
      <c r="G322" s="9">
        <v>3786622</v>
      </c>
      <c r="H322" s="9" t="str">
        <f t="shared" ref="H322:H385" si="35">IF(ISNUMBER(SEARCH("cancel",AN322)),"Cancelled",IF(AND(AK322&lt;&gt;"",AL322&lt;&gt;"",AM322&lt;&gt;""),"Closed","Open"))</f>
        <v>Closed</v>
      </c>
      <c r="I322" s="9" t="str">
        <f t="shared" ref="I322:I385" si="36">IF(AND(AK322&lt;&gt;"",AL322&lt;&gt;"",AM322&lt;&gt;""),"All dates received",_xlfn.TEXTJOIN(" and ",TRUE(),IF(AK322="","No sailing date",""),IF(AL322="","No shipping advice sent",""),IF(AM322="","No docs dispatch date","")))</f>
        <v>All dates received</v>
      </c>
      <c r="J322" s="9" t="s">
        <v>264</v>
      </c>
      <c r="K322" s="9" t="s">
        <v>867</v>
      </c>
      <c r="L322" s="11">
        <v>1920</v>
      </c>
      <c r="M322" s="9" t="s">
        <v>786</v>
      </c>
      <c r="N322" s="9" t="s">
        <v>868</v>
      </c>
      <c r="O322" s="9"/>
      <c r="P322" s="9"/>
      <c r="Q322" s="11">
        <v>0</v>
      </c>
      <c r="R322" s="9" t="s">
        <v>90</v>
      </c>
      <c r="S322" s="9" t="s">
        <v>269</v>
      </c>
      <c r="T322" s="12">
        <f>IF($H322="Cancelled","",IFERROR(((Q322+INDEX(Variables!$B$6:$D$6,IFERROR(MATCH(IF($B322="Robusta","Robusta",(IF($B322="","Arabica",$B322))&amp;" - "&amp;(IF($C322="","Commercial",$C322))),Variables!$B$1:$D$1,0),1)))*22.0462)*(L322/16.67),""))</f>
        <v>738403.54668266338</v>
      </c>
      <c r="U322" s="10">
        <v>45678</v>
      </c>
      <c r="V322" s="9" t="str">
        <f t="shared" si="34"/>
        <v>Sent</v>
      </c>
      <c r="W322" s="10">
        <v>45685</v>
      </c>
      <c r="X322" s="9" t="str">
        <f t="shared" si="33"/>
        <v>Approved</v>
      </c>
      <c r="Y322" s="10"/>
      <c r="Z322" s="10">
        <f>IF($H322="Cancelled","",IFERROR(IF(F322="","",F322-Variables!$B$13),""))</f>
        <v>45701</v>
      </c>
      <c r="AA322" s="11">
        <f>IF($H322="Cancelled","",IFERROR(IF(W322="","",(AVERAGE(E322:F322)-W322)-Variables!$B$14),""))</f>
        <v>-12.5</v>
      </c>
      <c r="AB322" s="10">
        <v>45713</v>
      </c>
      <c r="AC322" s="11">
        <f>IF($H322="Cancelled","",IFERROR(IF(AB322="","",IF(AND(W322="",Y322=""),"",IF(Y322&gt;W322,Y322+Variables!$B$15+Variables!$B$16+Variables!$B$17-AB322,W322+Variables!$B$16+Variables!$B$17-AB322))),""))</f>
        <v>-20</v>
      </c>
      <c r="AD322" s="9" t="s">
        <v>107</v>
      </c>
      <c r="AE322" s="9" t="s">
        <v>662</v>
      </c>
      <c r="AF322" s="10">
        <v>45725</v>
      </c>
      <c r="AG322" s="10"/>
      <c r="AH322" s="9"/>
      <c r="AI322" s="9" t="s">
        <v>869</v>
      </c>
      <c r="AJ322" s="9" t="s">
        <v>8</v>
      </c>
      <c r="AK322" s="10">
        <v>45732</v>
      </c>
      <c r="AL322" s="10">
        <v>45735</v>
      </c>
      <c r="AM322" s="10">
        <v>45735</v>
      </c>
      <c r="AN322" s="9" t="s">
        <v>95</v>
      </c>
      <c r="AO322" s="9"/>
      <c r="AP322" s="11">
        <f>IF($H322="Cancelled","",IFERROR(IF(OR(AK322="",AB322=""),"",(AB322+Variables!$B$18-AK322)),""))</f>
        <v>-12</v>
      </c>
      <c r="AQ322" s="11">
        <f>IF($H322="Cancelled","",IFERROR(IF(OR(AM322="",AK322=""),"",(AK322+Variables!$B$19)-AM322),""))</f>
        <v>2</v>
      </c>
      <c r="AR322" s="12">
        <f>IF($H322="Cancelled","",IFERROR(T322*INDEX(Variables!$B$7:$D$7,IFERROR(MATCH(IF($B322="Robusta","Robusta",(IF($B322="","Arabica",$B322))&amp;" - "&amp;(IF($C322="","Commercial",$C322))),Variables!$B$1:$D$1,0),1))*(AQ322/365),""))</f>
        <v>260.89800097479912</v>
      </c>
      <c r="AS322" s="12">
        <f>IF($H322="Cancelled","",IFERROR((T322*INDEX(Variables!$B$7:$D$7,IFERROR(MATCH(IF($B322="Robusta","Robusta",(IF($B322="","Arabica",$B322))&amp;" - "&amp;(IF($C322="","Commercial",$C322))),Variables!$B$1:$D$1,0),1))*IFERROR(IF(W322="","",(AVERAGE(E322:F322)-W322)-Variables!$B$14),"")/365)+(L322/16.67*INDEX(Variables!$B$8:$D$8,IFERROR(MATCH(IF($B322="Robusta","Robusta",(IF($B322="","Arabica",$B322))&amp;" - "&amp;(IF($C322="","Commercial",$C322))),Variables!$B$1:$D$1,0),1))*IFERROR(IF(W322="","",(AVERAGE(E322:F322)-W322)-Variables!$B$14),""))+(T322*INDEX(Variables!$B$9:$D$9,IFERROR(MATCH(IF($B322="Robusta","Robusta",(IF($B322="","Arabica",$B322))&amp;" - "&amp;(IF($C322="","Commercial",$C322))),Variables!$B$1:$D$1,0),1))*IFERROR(IF(W322="","",(AVERAGE(E322:F322)-W322)-Variables!$B$14),"")/365),""))</f>
        <v>-2851.6342481595248</v>
      </c>
      <c r="AT322" s="12">
        <f>IF($H322="Cancelled","",IFERROR((T322*INDEX(Variables!$B$7:$D$7,IFERROR(MATCH(IF($B322="Robusta","Robusta",(IF($B322="","Arabica",$B322))&amp;" - "&amp;(IF($C322="","Commercial",$C322))),Variables!$B$1:$D$1,0),1))*AC322/365)+(L322/16.67*INDEX(Variables!$B$8:$D$8,IFERROR(MATCH(IF($B322="Robusta","Robusta",(IF($B322="","Arabica",$B322))&amp;" - "&amp;(IF($C322="","Commercial",$C322))),Variables!$B$1:$D$1,0),1))*AC322)+(T322*INDEX(Variables!$B$9:$D$9,IFERROR(MATCH(IF($B322="Robusta","Robusta",(IF($B322="","Arabica",$B322))&amp;" - "&amp;(IF($C322="","Commercial",$C322))),Variables!$B$1:$D$1,0),1))*AC322/365),""))</f>
        <v>-4562.6147970552402</v>
      </c>
      <c r="AU322" s="12">
        <f>IF($H322="Cancelled","",IFERROR((T322*INDEX(Variables!$B$7:$D$7,IFERROR(MATCH(IF($B322="Robusta","Robusta",(IF($B322="","Arabica",$B322))&amp;" - "&amp;(IF($C322="","Commercial",$C322))),Variables!$B$1:$D$1,0),1))*AP322/365)+(L322/16.67*INDEX(Variables!$B$8:$D$8,IFERROR(MATCH(IF($B322="Robusta","Robusta",(IF($B322="","Arabica",$B322))&amp;" - "&amp;(IF($C322="","Commercial",$C322))),Variables!$B$1:$D$1,0),1))*AP322)+(T322*INDEX(Variables!$B$9:$D$9,IFERROR(MATCH(IF($B322="Robusta","Robusta",(IF($B322="","Arabica",$B322))&amp;" - "&amp;(IF($C322="","Commercial",$C322))),Variables!$B$1:$D$1,0),1))*AP322/365),""))</f>
        <v>-2737.5688782331445</v>
      </c>
      <c r="AV322" s="11">
        <f t="shared" ref="AV322:AV385" si="37">IF($H322="Cancelled","",IFERROR(IF(AK322="","",F322-AK322),""))</f>
        <v>-16</v>
      </c>
      <c r="AW322" s="12">
        <f>IF($H322="Cancelled","",IFERROR(IF(AV322="","",(T322*INDEX(Variables!$B$7:$D$7,IFERROR(MATCH(IF($B322="Robusta","Robusta",(IF($B322="","Arabica",$B322))&amp;" - "&amp;(IF($C322="","Commercial",$C322))),Variables!$B$1:$D$1,0),1))*(AV322/365))+(T322*INDEX(Variables!$B$9:$D$9,IFERROR(MATCH(IF($B322="Robusta","Robusta",(IF($B322="","Arabica",$B322))&amp;" - "&amp;(IF($C322="","Commercial",$C322))),Variables!$B$1:$D$1,0),1))*(AV322/365))+(INDEX(Variables!$B$8:$D$8,IFERROR(MATCH(IF($B322="Robusta","Robusta",(IF($B322="","Arabica",$B322))&amp;" - "&amp;(IF($C322="","Commercial",$C322))),Variables!$B$1:$D$1,0),1))*L322/16.67)),""))</f>
        <v>-2018.0918376441923</v>
      </c>
      <c r="AX322" s="9"/>
      <c r="AY322" s="12"/>
      <c r="AZ322" s="10"/>
      <c r="BA322" s="9"/>
      <c r="BB322" s="10"/>
      <c r="BC322" s="9"/>
      <c r="BD322" s="9"/>
      <c r="BE322" s="9"/>
      <c r="BF322" s="9"/>
    </row>
    <row r="323" spans="1:58" x14ac:dyDescent="0.25">
      <c r="A323" s="9" t="s">
        <v>84</v>
      </c>
      <c r="B323" s="9" t="s">
        <v>85</v>
      </c>
      <c r="C323" s="9" t="s">
        <v>86</v>
      </c>
      <c r="D323" s="10">
        <v>45677</v>
      </c>
      <c r="E323" s="10">
        <v>45689</v>
      </c>
      <c r="F323" s="10">
        <v>45716</v>
      </c>
      <c r="G323" s="9">
        <v>3786622</v>
      </c>
      <c r="H323" s="9" t="str">
        <f t="shared" si="35"/>
        <v>Closed</v>
      </c>
      <c r="I323" s="9" t="str">
        <f t="shared" si="36"/>
        <v>All dates received</v>
      </c>
      <c r="J323" s="9" t="s">
        <v>264</v>
      </c>
      <c r="K323" s="9" t="s">
        <v>870</v>
      </c>
      <c r="L323" s="11">
        <v>1920</v>
      </c>
      <c r="M323" s="9" t="s">
        <v>786</v>
      </c>
      <c r="N323" s="9" t="s">
        <v>868</v>
      </c>
      <c r="O323" s="9"/>
      <c r="P323" s="9"/>
      <c r="Q323" s="11">
        <v>0</v>
      </c>
      <c r="R323" s="9" t="s">
        <v>90</v>
      </c>
      <c r="S323" s="9" t="s">
        <v>269</v>
      </c>
      <c r="T323" s="12">
        <f>IF($H323="Cancelled","",IFERROR(((Q323+INDEX(Variables!$B$6:$D$6,IFERROR(MATCH(IF($B323="Robusta","Robusta",(IF($B323="","Arabica",$B323))&amp;" - "&amp;(IF($C323="","Commercial",$C323))),Variables!$B$1:$D$1,0),1)))*22.0462)*(L323/16.67),""))</f>
        <v>738403.54668266338</v>
      </c>
      <c r="U323" s="10">
        <v>45678</v>
      </c>
      <c r="V323" s="9" t="str">
        <f t="shared" si="34"/>
        <v>Sent</v>
      </c>
      <c r="W323" s="10">
        <v>45685</v>
      </c>
      <c r="X323" s="9" t="str">
        <f t="shared" si="33"/>
        <v>Approved</v>
      </c>
      <c r="Y323" s="10"/>
      <c r="Z323" s="10">
        <f>IF($H323="Cancelled","",IFERROR(IF(F323="","",F323-Variables!$B$13),""))</f>
        <v>45701</v>
      </c>
      <c r="AA323" s="11">
        <f>IF($H323="Cancelled","",IFERROR(IF(W323="","",(AVERAGE(E323:F323)-W323)-Variables!$B$14),""))</f>
        <v>-12.5</v>
      </c>
      <c r="AB323" s="10">
        <v>45713</v>
      </c>
      <c r="AC323" s="11">
        <f>IF($H323="Cancelled","",IFERROR(IF(AB323="","",IF(AND(W323="",Y323=""),"",IF(Y323&gt;W323,Y323+Variables!$B$15+Variables!$B$16+Variables!$B$17-AB323,W323+Variables!$B$16+Variables!$B$17-AB323))),""))</f>
        <v>-20</v>
      </c>
      <c r="AD323" s="9" t="s">
        <v>107</v>
      </c>
      <c r="AE323" s="9" t="s">
        <v>662</v>
      </c>
      <c r="AF323" s="10">
        <v>45725</v>
      </c>
      <c r="AG323" s="10"/>
      <c r="AH323" s="9"/>
      <c r="AI323" s="9" t="s">
        <v>871</v>
      </c>
      <c r="AJ323" s="9" t="s">
        <v>8</v>
      </c>
      <c r="AK323" s="10">
        <v>45732</v>
      </c>
      <c r="AL323" s="10">
        <v>45735</v>
      </c>
      <c r="AM323" s="10">
        <v>45735</v>
      </c>
      <c r="AN323" s="9" t="s">
        <v>95</v>
      </c>
      <c r="AO323" s="9"/>
      <c r="AP323" s="11">
        <f>IF($H323="Cancelled","",IFERROR(IF(OR(AK323="",AB323=""),"",(AB323+Variables!$B$18-AK323)),""))</f>
        <v>-12</v>
      </c>
      <c r="AQ323" s="11">
        <f>IF($H323="Cancelled","",IFERROR(IF(OR(AM323="",AK323=""),"",(AK323+Variables!$B$19)-AM323),""))</f>
        <v>2</v>
      </c>
      <c r="AR323" s="12">
        <f>IF($H323="Cancelled","",IFERROR(T323*INDEX(Variables!$B$7:$D$7,IFERROR(MATCH(IF($B323="Robusta","Robusta",(IF($B323="","Arabica",$B323))&amp;" - "&amp;(IF($C323="","Commercial",$C323))),Variables!$B$1:$D$1,0),1))*(AQ323/365),""))</f>
        <v>260.89800097479912</v>
      </c>
      <c r="AS323" s="12">
        <f>IF($H323="Cancelled","",IFERROR((T323*INDEX(Variables!$B$7:$D$7,IFERROR(MATCH(IF($B323="Robusta","Robusta",(IF($B323="","Arabica",$B323))&amp;" - "&amp;(IF($C323="","Commercial",$C323))),Variables!$B$1:$D$1,0),1))*IFERROR(IF(W323="","",(AVERAGE(E323:F323)-W323)-Variables!$B$14),"")/365)+(L323/16.67*INDEX(Variables!$B$8:$D$8,IFERROR(MATCH(IF($B323="Robusta","Robusta",(IF($B323="","Arabica",$B323))&amp;" - "&amp;(IF($C323="","Commercial",$C323))),Variables!$B$1:$D$1,0),1))*IFERROR(IF(W323="","",(AVERAGE(E323:F323)-W323)-Variables!$B$14),""))+(T323*INDEX(Variables!$B$9:$D$9,IFERROR(MATCH(IF($B323="Robusta","Robusta",(IF($B323="","Arabica",$B323))&amp;" - "&amp;(IF($C323="","Commercial",$C323))),Variables!$B$1:$D$1,0),1))*IFERROR(IF(W323="","",(AVERAGE(E323:F323)-W323)-Variables!$B$14),"")/365),""))</f>
        <v>-2851.6342481595248</v>
      </c>
      <c r="AT323" s="12">
        <f>IF($H323="Cancelled","",IFERROR((T323*INDEX(Variables!$B$7:$D$7,IFERROR(MATCH(IF($B323="Robusta","Robusta",(IF($B323="","Arabica",$B323))&amp;" - "&amp;(IF($C323="","Commercial",$C323))),Variables!$B$1:$D$1,0),1))*AC323/365)+(L323/16.67*INDEX(Variables!$B$8:$D$8,IFERROR(MATCH(IF($B323="Robusta","Robusta",(IF($B323="","Arabica",$B323))&amp;" - "&amp;(IF($C323="","Commercial",$C323))),Variables!$B$1:$D$1,0),1))*AC323)+(T323*INDEX(Variables!$B$9:$D$9,IFERROR(MATCH(IF($B323="Robusta","Robusta",(IF($B323="","Arabica",$B323))&amp;" - "&amp;(IF($C323="","Commercial",$C323))),Variables!$B$1:$D$1,0),1))*AC323/365),""))</f>
        <v>-4562.6147970552402</v>
      </c>
      <c r="AU323" s="12">
        <f>IF($H323="Cancelled","",IFERROR((T323*INDEX(Variables!$B$7:$D$7,IFERROR(MATCH(IF($B323="Robusta","Robusta",(IF($B323="","Arabica",$B323))&amp;" - "&amp;(IF($C323="","Commercial",$C323))),Variables!$B$1:$D$1,0),1))*AP323/365)+(L323/16.67*INDEX(Variables!$B$8:$D$8,IFERROR(MATCH(IF($B323="Robusta","Robusta",(IF($B323="","Arabica",$B323))&amp;" - "&amp;(IF($C323="","Commercial",$C323))),Variables!$B$1:$D$1,0),1))*AP323)+(T323*INDEX(Variables!$B$9:$D$9,IFERROR(MATCH(IF($B323="Robusta","Robusta",(IF($B323="","Arabica",$B323))&amp;" - "&amp;(IF($C323="","Commercial",$C323))),Variables!$B$1:$D$1,0),1))*AP323/365),""))</f>
        <v>-2737.5688782331445</v>
      </c>
      <c r="AV323" s="11">
        <f t="shared" si="37"/>
        <v>-16</v>
      </c>
      <c r="AW323" s="12">
        <f>IF($H323="Cancelled","",IFERROR(IF(AV323="","",(T323*INDEX(Variables!$B$7:$D$7,IFERROR(MATCH(IF($B323="Robusta","Robusta",(IF($B323="","Arabica",$B323))&amp;" - "&amp;(IF($C323="","Commercial",$C323))),Variables!$B$1:$D$1,0),1))*(AV323/365))+(T323*INDEX(Variables!$B$9:$D$9,IFERROR(MATCH(IF($B323="Robusta","Robusta",(IF($B323="","Arabica",$B323))&amp;" - "&amp;(IF($C323="","Commercial",$C323))),Variables!$B$1:$D$1,0),1))*(AV323/365))+(INDEX(Variables!$B$8:$D$8,IFERROR(MATCH(IF($B323="Robusta","Robusta",(IF($B323="","Arabica",$B323))&amp;" - "&amp;(IF($C323="","Commercial",$C323))),Variables!$B$1:$D$1,0),1))*L323/16.67)),""))</f>
        <v>-2018.0918376441923</v>
      </c>
      <c r="AX323" s="9"/>
      <c r="AY323" s="12"/>
      <c r="AZ323" s="10"/>
      <c r="BA323" s="9"/>
      <c r="BB323" s="10"/>
      <c r="BC323" s="9"/>
      <c r="BD323" s="9"/>
      <c r="BE323" s="9"/>
      <c r="BF323" s="9"/>
    </row>
    <row r="324" spans="1:58" x14ac:dyDescent="0.25">
      <c r="A324" s="9" t="s">
        <v>84</v>
      </c>
      <c r="B324" s="9" t="s">
        <v>85</v>
      </c>
      <c r="C324" s="9" t="s">
        <v>86</v>
      </c>
      <c r="D324" s="10">
        <v>45677</v>
      </c>
      <c r="E324" s="10">
        <v>45689</v>
      </c>
      <c r="F324" s="10">
        <v>45716</v>
      </c>
      <c r="G324" s="9">
        <v>3786624</v>
      </c>
      <c r="H324" s="9" t="str">
        <f t="shared" si="35"/>
        <v>Closed</v>
      </c>
      <c r="I324" s="9" t="str">
        <f t="shared" si="36"/>
        <v>All dates received</v>
      </c>
      <c r="J324" s="9" t="s">
        <v>322</v>
      </c>
      <c r="K324" s="9">
        <v>5175</v>
      </c>
      <c r="L324" s="11">
        <v>320</v>
      </c>
      <c r="M324" s="9" t="s">
        <v>548</v>
      </c>
      <c r="N324" s="9" t="s">
        <v>543</v>
      </c>
      <c r="O324" s="9"/>
      <c r="P324" s="9"/>
      <c r="Q324" s="11">
        <v>15</v>
      </c>
      <c r="R324" s="9" t="s">
        <v>90</v>
      </c>
      <c r="S324" s="9" t="s">
        <v>123</v>
      </c>
      <c r="T324" s="12">
        <f>IF($H324="Cancelled","",IFERROR(((Q324+INDEX(Variables!$B$6:$D$6,IFERROR(MATCH(IF($B324="Robusta","Robusta",(IF($B324="","Arabica",$B324))&amp;" - "&amp;(IF($C324="","Commercial",$C324))),Variables!$B$1:$D$1,0),1)))*22.0462)*(L324/16.67),""))</f>
        <v>129415.29377324534</v>
      </c>
      <c r="U324" s="10">
        <v>45687</v>
      </c>
      <c r="V324" s="9" t="str">
        <f t="shared" si="34"/>
        <v>Sent</v>
      </c>
      <c r="W324" s="10">
        <v>45701</v>
      </c>
      <c r="X324" s="9" t="str">
        <f t="shared" si="33"/>
        <v>Approved</v>
      </c>
      <c r="Y324" s="10"/>
      <c r="Z324" s="10">
        <f>IF($H324="Cancelled","",IFERROR(IF(F324="","",F324-Variables!$B$13),""))</f>
        <v>45701</v>
      </c>
      <c r="AA324" s="11">
        <f>IF($H324="Cancelled","",IFERROR(IF(W324="","",(AVERAGE(E324:F324)-W324)-Variables!$B$14),""))</f>
        <v>-28.5</v>
      </c>
      <c r="AB324" s="10">
        <v>45710</v>
      </c>
      <c r="AC324" s="11">
        <f>IF($H324="Cancelled","",IFERROR(IF(AB324="","",IF(AND(W324="",Y324=""),"",IF(Y324&gt;W324,Y324+Variables!$B$15+Variables!$B$16+Variables!$B$17-AB324,W324+Variables!$B$16+Variables!$B$17-AB324))),""))</f>
        <v>-1</v>
      </c>
      <c r="AD324" s="9" t="s">
        <v>92</v>
      </c>
      <c r="AE324" s="9" t="s">
        <v>703</v>
      </c>
      <c r="AF324" s="10">
        <v>45722</v>
      </c>
      <c r="AG324" s="10"/>
      <c r="AH324" s="9"/>
      <c r="AI324" s="9" t="s">
        <v>872</v>
      </c>
      <c r="AJ324" s="9" t="s">
        <v>737</v>
      </c>
      <c r="AK324" s="10">
        <v>45725</v>
      </c>
      <c r="AL324" s="10">
        <v>45727</v>
      </c>
      <c r="AM324" s="10">
        <v>45733</v>
      </c>
      <c r="AN324" s="9" t="s">
        <v>95</v>
      </c>
      <c r="AO324" s="9"/>
      <c r="AP324" s="11">
        <f>IF($H324="Cancelled","",IFERROR(IF(OR(AK324="",AB324=""),"",(AB324+Variables!$B$18-AK324)),""))</f>
        <v>-8</v>
      </c>
      <c r="AQ324" s="11">
        <f>IF($H324="Cancelled","",IFERROR(IF(OR(AM324="",AK324=""),"",(AK324+Variables!$B$19)-AM324),""))</f>
        <v>-3</v>
      </c>
      <c r="AR324" s="12">
        <f>IF($H324="Cancelled","",IFERROR(T324*INDEX(Variables!$B$7:$D$7,IFERROR(MATCH(IF($B324="Robusta","Robusta",(IF($B324="","Arabica",$B324))&amp;" - "&amp;(IF($C324="","Commercial",$C324))),Variables!$B$1:$D$1,0),1))*(AQ324/365),""))</f>
        <v>-68.588900187494474</v>
      </c>
      <c r="AS324" s="12">
        <f>IF($H324="Cancelled","",IFERROR((T324*INDEX(Variables!$B$7:$D$7,IFERROR(MATCH(IF($B324="Robusta","Robusta",(IF($B324="","Arabica",$B324))&amp;" - "&amp;(IF($C324="","Commercial",$C324))),Variables!$B$1:$D$1,0),1))*IFERROR(IF(W324="","",(AVERAGE(E324:F324)-W324)-Variables!$B$14),"")/365)+(L324/16.67*INDEX(Variables!$B$8:$D$8,IFERROR(MATCH(IF($B324="Robusta","Robusta",(IF($B324="","Arabica",$B324))&amp;" - "&amp;(IF($C324="","Commercial",$C324))),Variables!$B$1:$D$1,0),1))*IFERROR(IF(W324="","",(AVERAGE(E324:F324)-W324)-Variables!$B$14),""))+(T324*INDEX(Variables!$B$9:$D$9,IFERROR(MATCH(IF($B324="Robusta","Robusta",(IF($B324="","Arabica",$B324))&amp;" - "&amp;(IF($C324="","Commercial",$C324))),Variables!$B$1:$D$1,0),1))*IFERROR(IF(W324="","",(AVERAGE(E324:F324)-W324)-Variables!$B$14),"")/365),""))</f>
        <v>-1115.9948630437739</v>
      </c>
      <c r="AT324" s="12">
        <f>IF($H324="Cancelled","",IFERROR((T324*INDEX(Variables!$B$7:$D$7,IFERROR(MATCH(IF($B324="Robusta","Robusta",(IF($B324="","Arabica",$B324))&amp;" - "&amp;(IF($C324="","Commercial",$C324))),Variables!$B$1:$D$1,0),1))*AC324/365)+(L324/16.67*INDEX(Variables!$B$8:$D$8,IFERROR(MATCH(IF($B324="Robusta","Robusta",(IF($B324="","Arabica",$B324))&amp;" - "&amp;(IF($C324="","Commercial",$C324))),Variables!$B$1:$D$1,0),1))*AC324)+(T324*INDEX(Variables!$B$9:$D$9,IFERROR(MATCH(IF($B324="Robusta","Robusta",(IF($B324="","Arabica",$B324))&amp;" - "&amp;(IF($C324="","Commercial",$C324))),Variables!$B$1:$D$1,0),1))*AC324/365),""))</f>
        <v>-39.157714492764001</v>
      </c>
      <c r="AU324" s="12">
        <f>IF($H324="Cancelled","",IFERROR((T324*INDEX(Variables!$B$7:$D$7,IFERROR(MATCH(IF($B324="Robusta","Robusta",(IF($B324="","Arabica",$B324))&amp;" - "&amp;(IF($C324="","Commercial",$C324))),Variables!$B$1:$D$1,0),1))*AP324/365)+(L324/16.67*INDEX(Variables!$B$8:$D$8,IFERROR(MATCH(IF($B324="Robusta","Robusta",(IF($B324="","Arabica",$B324))&amp;" - "&amp;(IF($C324="","Commercial",$C324))),Variables!$B$1:$D$1,0),1))*AP324)+(T324*INDEX(Variables!$B$9:$D$9,IFERROR(MATCH(IF($B324="Robusta","Robusta",(IF($B324="","Arabica",$B324))&amp;" - "&amp;(IF($C324="","Commercial",$C324))),Variables!$B$1:$D$1,0),1))*AP324/365),""))</f>
        <v>-313.261715942112</v>
      </c>
      <c r="AV324" s="11">
        <f t="shared" si="37"/>
        <v>-9</v>
      </c>
      <c r="AW324" s="12">
        <f>IF($H324="Cancelled","",IFERROR(IF(AV324="","",(T324*INDEX(Variables!$B$7:$D$7,IFERROR(MATCH(IF($B324="Robusta","Robusta",(IF($B324="","Arabica",$B324))&amp;" - "&amp;(IF($C324="","Commercial",$C324))),Variables!$B$1:$D$1,0),1))*(AV324/365))+(T324*INDEX(Variables!$B$9:$D$9,IFERROR(MATCH(IF($B324="Robusta","Robusta",(IF($B324="","Arabica",$B324))&amp;" - "&amp;(IF($C324="","Commercial",$C324))),Variables!$B$1:$D$1,0),1))*(AV324/365))+(INDEX(Variables!$B$8:$D$8,IFERROR(MATCH(IF($B324="Robusta","Robusta",(IF($B324="","Arabica",$B324))&amp;" - "&amp;(IF($C324="","Commercial",$C324))),Variables!$B$1:$D$1,0),1))*L324/16.67)),""))</f>
        <v>-192.41943043487601</v>
      </c>
      <c r="AX324" s="9"/>
      <c r="AY324" s="12"/>
      <c r="AZ324" s="10"/>
      <c r="BA324" s="9"/>
      <c r="BB324" s="10"/>
      <c r="BC324" s="9"/>
      <c r="BD324" s="9"/>
      <c r="BE324" s="9"/>
      <c r="BF324" s="9"/>
    </row>
    <row r="325" spans="1:58" x14ac:dyDescent="0.25">
      <c r="A325" s="9" t="s">
        <v>84</v>
      </c>
      <c r="B325" s="9" t="s">
        <v>85</v>
      </c>
      <c r="C325" s="9" t="s">
        <v>86</v>
      </c>
      <c r="D325" s="10">
        <v>45677</v>
      </c>
      <c r="E325" s="10">
        <v>45717</v>
      </c>
      <c r="F325" s="10">
        <v>45747</v>
      </c>
      <c r="G325" s="9">
        <v>3786623</v>
      </c>
      <c r="H325" s="9" t="str">
        <f t="shared" si="35"/>
        <v>Closed</v>
      </c>
      <c r="I325" s="9" t="str">
        <f t="shared" si="36"/>
        <v>All dates received</v>
      </c>
      <c r="J325" s="9" t="s">
        <v>235</v>
      </c>
      <c r="K325" s="9">
        <v>5185</v>
      </c>
      <c r="L325" s="11">
        <v>320</v>
      </c>
      <c r="M325" s="9" t="s">
        <v>187</v>
      </c>
      <c r="N325" s="9" t="s">
        <v>868</v>
      </c>
      <c r="O325" s="9"/>
      <c r="P325" s="9"/>
      <c r="Q325" s="11">
        <v>6</v>
      </c>
      <c r="R325" s="9" t="s">
        <v>90</v>
      </c>
      <c r="S325" s="9" t="s">
        <v>106</v>
      </c>
      <c r="T325" s="12">
        <f>IF($H325="Cancelled","",IFERROR(((Q325+INDEX(Variables!$B$6:$D$6,IFERROR(MATCH(IF($B325="Robusta","Robusta",(IF($B325="","Arabica",$B325))&amp;" - "&amp;(IF($C325="","Commercial",$C325))),Variables!$B$1:$D$1,0),1)))*22.0462)*(L325/16.67),""))</f>
        <v>125606.47217756447</v>
      </c>
      <c r="U325" s="10">
        <v>45691</v>
      </c>
      <c r="V325" s="9" t="str">
        <f t="shared" si="34"/>
        <v>Sent</v>
      </c>
      <c r="W325" s="10">
        <v>45691</v>
      </c>
      <c r="X325" s="9" t="str">
        <f t="shared" si="33"/>
        <v>Approved</v>
      </c>
      <c r="Y325" s="10"/>
      <c r="Z325" s="10">
        <f>IF($H325="Cancelled","",IFERROR(IF(F325="","",F325-Variables!$B$13),""))</f>
        <v>45732</v>
      </c>
      <c r="AA325" s="11">
        <f>IF($H325="Cancelled","",IFERROR(IF(W325="","",(AVERAGE(E325:F325)-W325)-Variables!$B$14),""))</f>
        <v>11</v>
      </c>
      <c r="AB325" s="10">
        <v>45717</v>
      </c>
      <c r="AC325" s="11">
        <f>IF($H325="Cancelled","",IFERROR(IF(AB325="","",IF(AND(W325="",Y325=""),"",IF(Y325&gt;W325,Y325+Variables!$B$15+Variables!$B$16+Variables!$B$17-AB325,W325+Variables!$B$16+Variables!$B$17-AB325))),""))</f>
        <v>-18</v>
      </c>
      <c r="AD325" s="9" t="s">
        <v>873</v>
      </c>
      <c r="AE325" s="9" t="s">
        <v>769</v>
      </c>
      <c r="AF325" s="10">
        <v>45726</v>
      </c>
      <c r="AG325" s="10"/>
      <c r="AH325" s="9"/>
      <c r="AI325" s="9">
        <v>250668133</v>
      </c>
      <c r="AJ325" s="9" t="s">
        <v>8</v>
      </c>
      <c r="AK325" s="10">
        <v>45726</v>
      </c>
      <c r="AL325" s="10">
        <v>45730</v>
      </c>
      <c r="AM325" s="10">
        <v>45730</v>
      </c>
      <c r="AN325" s="9" t="s">
        <v>95</v>
      </c>
      <c r="AO325" s="9"/>
      <c r="AP325" s="11">
        <f>IF($H325="Cancelled","",IFERROR(IF(OR(AK325="",AB325=""),"",(AB325+Variables!$B$18-AK325)),""))</f>
        <v>-2</v>
      </c>
      <c r="AQ325" s="11">
        <f>IF($H325="Cancelled","",IFERROR(IF(OR(AM325="",AK325=""),"",(AK325+Variables!$B$19)-AM325),""))</f>
        <v>1</v>
      </c>
      <c r="AR325" s="12">
        <f>IF($H325="Cancelled","",IFERROR(T325*INDEX(Variables!$B$7:$D$7,IFERROR(MATCH(IF($B325="Robusta","Robusta",(IF($B325="","Arabica",$B325))&amp;" - "&amp;(IF($C325="","Commercial",$C325))),Variables!$B$1:$D$1,0),1))*(AQ325/365),""))</f>
        <v>22.190086740405885</v>
      </c>
      <c r="AS325" s="12">
        <f>IF($H325="Cancelled","",IFERROR((T325*INDEX(Variables!$B$7:$D$7,IFERROR(MATCH(IF($B325="Robusta","Robusta",(IF($B325="","Arabica",$B325))&amp;" - "&amp;(IF($C325="","Commercial",$C325))),Variables!$B$1:$D$1,0),1))*IFERROR(IF(W325="","",(AVERAGE(E325:F325)-W325)-Variables!$B$14),"")/365)+(L325/16.67*INDEX(Variables!$B$8:$D$8,IFERROR(MATCH(IF($B325="Robusta","Robusta",(IF($B325="","Arabica",$B325))&amp;" - "&amp;(IF($C325="","Commercial",$C325))),Variables!$B$1:$D$1,0),1))*IFERROR(IF(W325="","",(AVERAGE(E325:F325)-W325)-Variables!$B$14),""))+(T325*INDEX(Variables!$B$9:$D$9,IFERROR(MATCH(IF($B325="Robusta","Robusta",(IF($B325="","Arabica",$B325))&amp;" - "&amp;(IF($C325="","Commercial",$C325))),Variables!$B$1:$D$1,0),1))*IFERROR(IF(W325="","",(AVERAGE(E325:F325)-W325)-Variables!$B$14),"")/365),""))</f>
        <v>423.23775760619986</v>
      </c>
      <c r="AT325" s="12">
        <f>IF($H325="Cancelled","",IFERROR((T325*INDEX(Variables!$B$7:$D$7,IFERROR(MATCH(IF($B325="Robusta","Robusta",(IF($B325="","Arabica",$B325))&amp;" - "&amp;(IF($C325="","Commercial",$C325))),Variables!$B$1:$D$1,0),1))*AC325/365)+(L325/16.67*INDEX(Variables!$B$8:$D$8,IFERROR(MATCH(IF($B325="Robusta","Robusta",(IF($B325="","Arabica",$B325))&amp;" - "&amp;(IF($C325="","Commercial",$C325))),Variables!$B$1:$D$1,0),1))*AC325)+(T325*INDEX(Variables!$B$9:$D$9,IFERROR(MATCH(IF($B325="Robusta","Robusta",(IF($B325="","Arabica",$B325))&amp;" - "&amp;(IF($C325="","Commercial",$C325))),Variables!$B$1:$D$1,0),1))*AC325/365),""))</f>
        <v>-692.57087608287236</v>
      </c>
      <c r="AU325" s="12">
        <f>IF($H325="Cancelled","",IFERROR((T325*INDEX(Variables!$B$7:$D$7,IFERROR(MATCH(IF($B325="Robusta","Robusta",(IF($B325="","Arabica",$B325))&amp;" - "&amp;(IF($C325="","Commercial",$C325))),Variables!$B$1:$D$1,0),1))*AP325/365)+(L325/16.67*INDEX(Variables!$B$8:$D$8,IFERROR(MATCH(IF($B325="Robusta","Robusta",(IF($B325="","Arabica",$B325))&amp;" - "&amp;(IF($C325="","Commercial",$C325))),Variables!$B$1:$D$1,0),1))*AP325)+(T325*INDEX(Variables!$B$9:$D$9,IFERROR(MATCH(IF($B325="Robusta","Robusta",(IF($B325="","Arabica",$B325))&amp;" - "&amp;(IF($C325="","Commercial",$C325))),Variables!$B$1:$D$1,0),1))*AP325/365),""))</f>
        <v>-76.952319564763613</v>
      </c>
      <c r="AV325" s="11">
        <f t="shared" si="37"/>
        <v>21</v>
      </c>
      <c r="AW325" s="12">
        <f>IF($H325="Cancelled","",IFERROR(IF(AV325="","",(T325*INDEX(Variables!$B$7:$D$7,IFERROR(MATCH(IF($B325="Robusta","Robusta",(IF($B325="","Arabica",$B325))&amp;" - "&amp;(IF($C325="","Commercial",$C325))),Variables!$B$1:$D$1,0),1))*(AV325/365))+(T325*INDEX(Variables!$B$9:$D$9,IFERROR(MATCH(IF($B325="Robusta","Robusta",(IF($B325="","Arabica",$B325))&amp;" - "&amp;(IF($C325="","Commercial",$C325))),Variables!$B$1:$D$1,0),1))*(AV325/365))+(INDEX(Variables!$B$8:$D$8,IFERROR(MATCH(IF($B325="Robusta","Robusta",(IF($B325="","Arabica",$B325))&amp;" - "&amp;(IF($C325="","Commercial",$C325))),Variables!$B$1:$D$1,0),1))*L325/16.67)),""))</f>
        <v>487.99935543001783</v>
      </c>
      <c r="AX325" s="9"/>
      <c r="AY325" s="12"/>
      <c r="AZ325" s="10"/>
      <c r="BA325" s="9"/>
      <c r="BB325" s="10"/>
      <c r="BC325" s="9"/>
      <c r="BD325" s="9"/>
      <c r="BE325" s="9"/>
      <c r="BF325" s="9"/>
    </row>
    <row r="326" spans="1:58" x14ac:dyDescent="0.25">
      <c r="A326" s="9" t="s">
        <v>84</v>
      </c>
      <c r="B326" s="9" t="s">
        <v>85</v>
      </c>
      <c r="C326" s="9" t="s">
        <v>86</v>
      </c>
      <c r="D326" s="10">
        <v>45677</v>
      </c>
      <c r="E326" s="10">
        <v>45748</v>
      </c>
      <c r="F326" s="10">
        <v>45777</v>
      </c>
      <c r="G326" s="9">
        <v>3786625</v>
      </c>
      <c r="H326" s="9" t="str">
        <f t="shared" si="35"/>
        <v>Closed</v>
      </c>
      <c r="I326" s="9" t="str">
        <f t="shared" si="36"/>
        <v>All dates received</v>
      </c>
      <c r="J326" s="9" t="s">
        <v>322</v>
      </c>
      <c r="K326" s="9">
        <v>5224</v>
      </c>
      <c r="L326" s="11">
        <v>320</v>
      </c>
      <c r="M326" s="9" t="s">
        <v>874</v>
      </c>
      <c r="N326" s="9" t="s">
        <v>868</v>
      </c>
      <c r="O326" s="9"/>
      <c r="P326" s="9"/>
      <c r="Q326" s="11">
        <v>5</v>
      </c>
      <c r="R326" s="9" t="s">
        <v>90</v>
      </c>
      <c r="S326" s="9" t="s">
        <v>123</v>
      </c>
      <c r="T326" s="12">
        <f>IF($H326="Cancelled","",IFERROR(((Q326+INDEX(Variables!$B$6:$D$6,IFERROR(MATCH(IF($B326="Robusta","Robusta",(IF($B326="","Arabica",$B326))&amp;" - "&amp;(IF($C326="","Commercial",$C326))),Variables!$B$1:$D$1,0),1)))*22.0462)*(L326/16.67),""))</f>
        <v>125183.26977804437</v>
      </c>
      <c r="U326" s="10">
        <v>45707</v>
      </c>
      <c r="V326" s="9" t="str">
        <f t="shared" si="34"/>
        <v>Sent</v>
      </c>
      <c r="W326" s="10">
        <v>45715</v>
      </c>
      <c r="X326" s="9" t="str">
        <f t="shared" si="33"/>
        <v>Approved</v>
      </c>
      <c r="Y326" s="10"/>
      <c r="Z326" s="10">
        <f>IF($H326="Cancelled","",IFERROR(IF(F326="","",F326-Variables!$B$13),""))</f>
        <v>45762</v>
      </c>
      <c r="AA326" s="11">
        <f>IF($H326="Cancelled","",IFERROR(IF(W326="","",(AVERAGE(E326:F326)-W326)-Variables!$B$14),""))</f>
        <v>17.5</v>
      </c>
      <c r="AB326" s="10">
        <v>45754</v>
      </c>
      <c r="AC326" s="11">
        <f>IF($H326="Cancelled","",IFERROR(IF(AB326="","",IF(AND(W326="",Y326=""),"",IF(Y326&gt;W326,Y326+Variables!$B$15+Variables!$B$16+Variables!$B$17-AB326,W326+Variables!$B$16+Variables!$B$17-AB326))),""))</f>
        <v>-31</v>
      </c>
      <c r="AD326" s="9" t="s">
        <v>92</v>
      </c>
      <c r="AE326" s="9" t="s">
        <v>745</v>
      </c>
      <c r="AF326" s="10"/>
      <c r="AG326" s="10"/>
      <c r="AH326" s="9"/>
      <c r="AI326" s="9" t="s">
        <v>875</v>
      </c>
      <c r="AJ326" s="9" t="s">
        <v>876</v>
      </c>
      <c r="AK326" s="10">
        <v>45770</v>
      </c>
      <c r="AL326" s="10">
        <v>45772</v>
      </c>
      <c r="AM326" s="10">
        <v>45779</v>
      </c>
      <c r="AN326" s="9" t="s">
        <v>95</v>
      </c>
      <c r="AO326" s="9"/>
      <c r="AP326" s="11">
        <f>IF($H326="Cancelled","",IFERROR(IF(OR(AK326="",AB326=""),"",(AB326+Variables!$B$18-AK326)),""))</f>
        <v>-9</v>
      </c>
      <c r="AQ326" s="11">
        <f>IF($H326="Cancelled","",IFERROR(IF(OR(AM326="",AK326=""),"",(AK326+Variables!$B$19)-AM326),""))</f>
        <v>-4</v>
      </c>
      <c r="AR326" s="12">
        <f>IF($H326="Cancelled","",IFERROR(T326*INDEX(Variables!$B$7:$D$7,IFERROR(MATCH(IF($B326="Robusta","Robusta",(IF($B326="","Arabica",$B326))&amp;" - "&amp;(IF($C326="","Commercial",$C326))),Variables!$B$1:$D$1,0),1))*(AQ326/365),""))</f>
        <v>-88.461289188841789</v>
      </c>
      <c r="AS326" s="12">
        <f>IF($H326="Cancelled","",IFERROR((T326*INDEX(Variables!$B$7:$D$7,IFERROR(MATCH(IF($B326="Robusta","Robusta",(IF($B326="","Arabica",$B326))&amp;" - "&amp;(IF($C326="","Commercial",$C326))),Variables!$B$1:$D$1,0),1))*IFERROR(IF(W326="","",(AVERAGE(E326:F326)-W326)-Variables!$B$14),"")/365)+(L326/16.67*INDEX(Variables!$B$8:$D$8,IFERROR(MATCH(IF($B326="Robusta","Robusta",(IF($B326="","Arabica",$B326))&amp;" - "&amp;(IF($C326="","Commercial",$C326))),Variables!$B$1:$D$1,0),1))*IFERROR(IF(W326="","",(AVERAGE(E326:F326)-W326)-Variables!$B$14),""))+(T326*INDEX(Variables!$B$9:$D$9,IFERROR(MATCH(IF($B326="Robusta","Robusta",(IF($B326="","Arabica",$B326))&amp;" - "&amp;(IF($C326="","Commercial",$C326))),Variables!$B$1:$D$1,0),1))*IFERROR(IF(W326="","",(AVERAGE(E326:F326)-W326)-Variables!$B$14),"")/365),""))</f>
        <v>672.00755092149393</v>
      </c>
      <c r="AT326" s="12">
        <f>IF($H326="Cancelled","",IFERROR((T326*INDEX(Variables!$B$7:$D$7,IFERROR(MATCH(IF($B326="Robusta","Robusta",(IF($B326="","Arabica",$B326))&amp;" - "&amp;(IF($C326="","Commercial",$C326))),Variables!$B$1:$D$1,0),1))*AC326/365)+(L326/16.67*INDEX(Variables!$B$8:$D$8,IFERROR(MATCH(IF($B326="Robusta","Robusta",(IF($B326="","Arabica",$B326))&amp;" - "&amp;(IF($C326="","Commercial",$C326))),Variables!$B$1:$D$1,0),1))*AC326)+(T326*INDEX(Variables!$B$9:$D$9,IFERROR(MATCH(IF($B326="Robusta","Robusta",(IF($B326="","Arabica",$B326))&amp;" - "&amp;(IF($C326="","Commercial",$C326))),Variables!$B$1:$D$1,0),1))*AC326/365),""))</f>
        <v>-1190.413375918075</v>
      </c>
      <c r="AU326" s="12">
        <f>IF($H326="Cancelled","",IFERROR((T326*INDEX(Variables!$B$7:$D$7,IFERROR(MATCH(IF($B326="Robusta","Robusta",(IF($B326="","Arabica",$B326))&amp;" - "&amp;(IF($C326="","Commercial",$C326))),Variables!$B$1:$D$1,0),1))*AP326/365)+(L326/16.67*INDEX(Variables!$B$8:$D$8,IFERROR(MATCH(IF($B326="Robusta","Robusta",(IF($B326="","Arabica",$B326))&amp;" - "&amp;(IF($C326="","Commercial",$C326))),Variables!$B$1:$D$1,0),1))*AP326)+(T326*INDEX(Variables!$B$9:$D$9,IFERROR(MATCH(IF($B326="Robusta","Robusta",(IF($B326="","Arabica",$B326))&amp;" - "&amp;(IF($C326="","Commercial",$C326))),Variables!$B$1:$D$1,0),1))*AP326/365),""))</f>
        <v>-345.60388333105396</v>
      </c>
      <c r="AV326" s="11">
        <f t="shared" si="37"/>
        <v>7</v>
      </c>
      <c r="AW326" s="12">
        <f>IF($H326="Cancelled","",IFERROR(IF(AV326="","",(T326*INDEX(Variables!$B$7:$D$7,IFERROR(MATCH(IF($B326="Robusta","Robusta",(IF($B326="","Arabica",$B326))&amp;" - "&amp;(IF($C326="","Commercial",$C326))),Variables!$B$1:$D$1,0),1))*(AV326/365))+(T326*INDEX(Variables!$B$9:$D$9,IFERROR(MATCH(IF($B326="Robusta","Robusta",(IF($B326="","Arabica",$B326))&amp;" - "&amp;(IF($C326="","Commercial",$C326))),Variables!$B$1:$D$1,0),1))*(AV326/365))+(INDEX(Variables!$B$8:$D$8,IFERROR(MATCH(IF($B326="Robusta","Robusta",(IF($B326="","Arabica",$B326))&amp;" - "&amp;(IF($C326="","Commercial",$C326))),Variables!$B$1:$D$1,0),1))*L326/16.67)),""))</f>
        <v>172.80302036859757</v>
      </c>
      <c r="AX326" s="9"/>
      <c r="AY326" s="12"/>
      <c r="AZ326" s="10"/>
      <c r="BA326" s="9"/>
      <c r="BB326" s="10"/>
      <c r="BC326" s="9"/>
      <c r="BD326" s="9"/>
      <c r="BE326" s="9"/>
      <c r="BF326" s="9"/>
    </row>
    <row r="327" spans="1:58" x14ac:dyDescent="0.25">
      <c r="A327" s="9" t="s">
        <v>84</v>
      </c>
      <c r="B327" s="9" t="s">
        <v>85</v>
      </c>
      <c r="C327" s="9" t="s">
        <v>86</v>
      </c>
      <c r="D327" s="10">
        <v>45680</v>
      </c>
      <c r="E327" s="10">
        <v>45689</v>
      </c>
      <c r="F327" s="10">
        <v>45716</v>
      </c>
      <c r="G327" s="9">
        <v>3786626</v>
      </c>
      <c r="H327" s="9" t="str">
        <f t="shared" si="35"/>
        <v>Closed</v>
      </c>
      <c r="I327" s="9" t="str">
        <f t="shared" si="36"/>
        <v>All dates received</v>
      </c>
      <c r="J327" s="9" t="s">
        <v>718</v>
      </c>
      <c r="K327" s="9" t="s">
        <v>877</v>
      </c>
      <c r="L327" s="11">
        <v>320</v>
      </c>
      <c r="M327" s="9" t="s">
        <v>878</v>
      </c>
      <c r="N327" s="9" t="s">
        <v>149</v>
      </c>
      <c r="O327" s="9"/>
      <c r="P327" s="9"/>
      <c r="Q327" s="11">
        <v>8</v>
      </c>
      <c r="R327" s="9" t="s">
        <v>195</v>
      </c>
      <c r="S327" s="9" t="s">
        <v>150</v>
      </c>
      <c r="T327" s="12">
        <f>IF($H327="Cancelled","",IFERROR(((Q327+INDEX(Variables!$B$6:$D$6,IFERROR(MATCH(IF($B327="Robusta","Robusta",(IF($B327="","Arabica",$B327))&amp;" - "&amp;(IF($C327="","Commercial",$C327))),Variables!$B$1:$D$1,0),1)))*22.0462)*(L327/16.67),""))</f>
        <v>126452.87697660466</v>
      </c>
      <c r="U327" s="10"/>
      <c r="V327" s="9" t="s">
        <v>195</v>
      </c>
      <c r="W327" s="10">
        <v>45672</v>
      </c>
      <c r="X327" s="9" t="str">
        <f t="shared" si="33"/>
        <v>Approved</v>
      </c>
      <c r="Y327" s="10">
        <v>45689</v>
      </c>
      <c r="Z327" s="10">
        <f>IF($H327="Cancelled","",IFERROR(IF(F327="","",F327-Variables!$B$13),""))</f>
        <v>45701</v>
      </c>
      <c r="AA327" s="11">
        <f>IF($H327="Cancelled","",IFERROR(IF(W327="","",(AVERAGE(E327:F327)-W327)-Variables!$B$14),""))</f>
        <v>0.5</v>
      </c>
      <c r="AB327" s="10">
        <v>45691</v>
      </c>
      <c r="AC327" s="11">
        <f>IF($H327="Cancelled","",IFERROR(IF(AB327="","",IF(AND(W327="",Y327=""),"",IF(Y327&gt;W327,Y327+Variables!$B$15+Variables!$B$16+Variables!$B$17-AB327,W327+Variables!$B$16+Variables!$B$17-AB327))),""))</f>
        <v>13</v>
      </c>
      <c r="AD327" s="9" t="s">
        <v>151</v>
      </c>
      <c r="AE327" s="9" t="s">
        <v>879</v>
      </c>
      <c r="AF327" s="10">
        <v>45696</v>
      </c>
      <c r="AG327" s="10"/>
      <c r="AH327" s="9"/>
      <c r="AI327" s="9" t="s">
        <v>880</v>
      </c>
      <c r="AJ327" s="9" t="s">
        <v>8</v>
      </c>
      <c r="AK327" s="10">
        <v>45703</v>
      </c>
      <c r="AL327" s="10">
        <v>45705</v>
      </c>
      <c r="AM327" s="10">
        <v>45716</v>
      </c>
      <c r="AN327" s="9" t="s">
        <v>95</v>
      </c>
      <c r="AO327" s="9"/>
      <c r="AP327" s="11">
        <f>IF($H327="Cancelled","",IFERROR(IF(OR(AK327="",AB327=""),"",(AB327+Variables!$B$18-AK327)),""))</f>
        <v>-5</v>
      </c>
      <c r="AQ327" s="11">
        <f>IF($H327="Cancelled","",IFERROR(IF(OR(AM327="",AK327=""),"",(AK327+Variables!$B$19)-AM327),""))</f>
        <v>-8</v>
      </c>
      <c r="AR327" s="12">
        <f>IF($H327="Cancelled","",IFERROR(T327*INDEX(Variables!$B$7:$D$7,IFERROR(MATCH(IF($B327="Robusta","Robusta",(IF($B327="","Arabica",$B327))&amp;" - "&amp;(IF($C327="","Commercial",$C327))),Variables!$B$1:$D$1,0),1))*(AQ327/365),""))</f>
        <v>-178.71692501437408</v>
      </c>
      <c r="AS327" s="12">
        <f>IF($H327="Cancelled","",IFERROR((T327*INDEX(Variables!$B$7:$D$7,IFERROR(MATCH(IF($B327="Robusta","Robusta",(IF($B327="","Arabica",$B327))&amp;" - "&amp;(IF($C327="","Commercial",$C327))),Variables!$B$1:$D$1,0),1))*IFERROR(IF(W327="","",(AVERAGE(E327:F327)-W327)-Variables!$B$14),"")/365)+(L327/16.67*INDEX(Variables!$B$8:$D$8,IFERROR(MATCH(IF($B327="Robusta","Robusta",(IF($B327="","Arabica",$B327))&amp;" - "&amp;(IF($C327="","Commercial",$C327))),Variables!$B$1:$D$1,0),1))*IFERROR(IF(W327="","",(AVERAGE(E327:F327)-W327)-Variables!$B$14),""))+(T327*INDEX(Variables!$B$9:$D$9,IFERROR(MATCH(IF($B327="Robusta","Robusta",(IF($B327="","Arabica",$B327))&amp;" - "&amp;(IF($C327="","Commercial",$C327))),Variables!$B$1:$D$1,0),1))*IFERROR(IF(W327="","",(AVERAGE(E327:F327)-W327)-Variables!$B$14),"")/365),""))</f>
        <v>19.313808192344478</v>
      </c>
      <c r="AT327" s="12">
        <f>IF($H327="Cancelled","",IFERROR((T327*INDEX(Variables!$B$7:$D$7,IFERROR(MATCH(IF($B327="Robusta","Robusta",(IF($B327="","Arabica",$B327))&amp;" - "&amp;(IF($C327="","Commercial",$C327))),Variables!$B$1:$D$1,0),1))*AC327/365)+(L327/16.67*INDEX(Variables!$B$8:$D$8,IFERROR(MATCH(IF($B327="Robusta","Robusta",(IF($B327="","Arabica",$B327))&amp;" - "&amp;(IF($C327="","Commercial",$C327))),Variables!$B$1:$D$1,0),1))*AC327)+(T327*INDEX(Variables!$B$9:$D$9,IFERROR(MATCH(IF($B327="Robusta","Robusta",(IF($B327="","Arabica",$B327))&amp;" - "&amp;(IF($C327="","Commercial",$C327))),Variables!$B$1:$D$1,0),1))*AC327/365),""))</f>
        <v>502.15901300095641</v>
      </c>
      <c r="AU327" s="12">
        <f>IF($H327="Cancelled","",IFERROR((T327*INDEX(Variables!$B$7:$D$7,IFERROR(MATCH(IF($B327="Robusta","Robusta",(IF($B327="","Arabica",$B327))&amp;" - "&amp;(IF($C327="","Commercial",$C327))),Variables!$B$1:$D$1,0),1))*AP327/365)+(L327/16.67*INDEX(Variables!$B$8:$D$8,IFERROR(MATCH(IF($B327="Robusta","Robusta",(IF($B327="","Arabica",$B327))&amp;" - "&amp;(IF($C327="","Commercial",$C327))),Variables!$B$1:$D$1,0),1))*AP327)+(T327*INDEX(Variables!$B$9:$D$9,IFERROR(MATCH(IF($B327="Robusta","Robusta",(IF($B327="","Arabica",$B327))&amp;" - "&amp;(IF($C327="","Commercial",$C327))),Variables!$B$1:$D$1,0),1))*AP327/365),""))</f>
        <v>-193.13808192344479</v>
      </c>
      <c r="AV327" s="11">
        <f t="shared" si="37"/>
        <v>13</v>
      </c>
      <c r="AW327" s="12">
        <f>IF($H327="Cancelled","",IFERROR(IF(AV327="","",(T327*INDEX(Variables!$B$7:$D$7,IFERROR(MATCH(IF($B327="Robusta","Robusta",(IF($B327="","Arabica",$B327))&amp;" - "&amp;(IF($C327="","Commercial",$C327))),Variables!$B$1:$D$1,0),1))*(AV327/365))+(T327*INDEX(Variables!$B$9:$D$9,IFERROR(MATCH(IF($B327="Robusta","Robusta",(IF($B327="","Arabica",$B327))&amp;" - "&amp;(IF($C327="","Commercial",$C327))),Variables!$B$1:$D$1,0),1))*(AV327/365))+(INDEX(Variables!$B$8:$D$8,IFERROR(MATCH(IF($B327="Robusta","Robusta",(IF($B327="","Arabica",$B327))&amp;" - "&amp;(IF($C327="","Commercial",$C327))),Variables!$B$1:$D$1,0),1))*L327/16.67)),""))</f>
        <v>310.15901300095641</v>
      </c>
      <c r="AX327" s="9"/>
      <c r="AY327" s="12"/>
      <c r="AZ327" s="10"/>
      <c r="BA327" s="9"/>
      <c r="BB327" s="10"/>
      <c r="BC327" s="9"/>
      <c r="BD327" s="9"/>
      <c r="BE327" s="9"/>
      <c r="BF327" s="9"/>
    </row>
    <row r="328" spans="1:58" x14ac:dyDescent="0.25">
      <c r="A328" s="9" t="s">
        <v>84</v>
      </c>
      <c r="B328" s="9" t="s">
        <v>85</v>
      </c>
      <c r="C328" s="9" t="s">
        <v>86</v>
      </c>
      <c r="D328" s="10">
        <v>45680</v>
      </c>
      <c r="E328" s="10">
        <v>45689</v>
      </c>
      <c r="F328" s="10">
        <v>45716</v>
      </c>
      <c r="G328" s="9">
        <v>3786626</v>
      </c>
      <c r="H328" s="9" t="str">
        <f t="shared" si="35"/>
        <v>Closed</v>
      </c>
      <c r="I328" s="9" t="str">
        <f t="shared" si="36"/>
        <v>All dates received</v>
      </c>
      <c r="J328" s="9" t="s">
        <v>718</v>
      </c>
      <c r="K328" s="9" t="s">
        <v>881</v>
      </c>
      <c r="L328" s="11">
        <v>320</v>
      </c>
      <c r="M328" s="9" t="s">
        <v>878</v>
      </c>
      <c r="N328" s="9" t="s">
        <v>149</v>
      </c>
      <c r="O328" s="9"/>
      <c r="P328" s="9"/>
      <c r="Q328" s="11">
        <v>8</v>
      </c>
      <c r="R328" s="9" t="s">
        <v>195</v>
      </c>
      <c r="S328" s="9" t="s">
        <v>207</v>
      </c>
      <c r="T328" s="12">
        <f>IF($H328="Cancelled","",IFERROR(((Q328+INDEX(Variables!$B$6:$D$6,IFERROR(MATCH(IF($B328="Robusta","Robusta",(IF($B328="","Arabica",$B328))&amp;" - "&amp;(IF($C328="","Commercial",$C328))),Variables!$B$1:$D$1,0),1)))*22.0462)*(L328/16.67),""))</f>
        <v>126452.87697660466</v>
      </c>
      <c r="U328" s="10"/>
      <c r="V328" s="9" t="s">
        <v>195</v>
      </c>
      <c r="W328" s="10">
        <v>45672</v>
      </c>
      <c r="X328" s="9" t="str">
        <f t="shared" si="33"/>
        <v>Approved</v>
      </c>
      <c r="Y328" s="10">
        <v>45689</v>
      </c>
      <c r="Z328" s="10">
        <f>IF($H328="Cancelled","",IFERROR(IF(F328="","",F328-Variables!$B$13),""))</f>
        <v>45701</v>
      </c>
      <c r="AA328" s="11">
        <f>IF($H328="Cancelled","",IFERROR(IF(W328="","",(AVERAGE(E328:F328)-W328)-Variables!$B$14),""))</f>
        <v>0.5</v>
      </c>
      <c r="AB328" s="10">
        <v>45692</v>
      </c>
      <c r="AC328" s="11">
        <f>IF($H328="Cancelled","",IFERROR(IF(AB328="","",IF(AND(W328="",Y328=""),"",IF(Y328&gt;W328,Y328+Variables!$B$15+Variables!$B$16+Variables!$B$17-AB328,W328+Variables!$B$16+Variables!$B$17-AB328))),""))</f>
        <v>12</v>
      </c>
      <c r="AD328" s="9" t="s">
        <v>151</v>
      </c>
      <c r="AE328" s="9" t="s">
        <v>879</v>
      </c>
      <c r="AF328" s="10">
        <v>45696</v>
      </c>
      <c r="AG328" s="10"/>
      <c r="AH328" s="9"/>
      <c r="AI328" s="9" t="s">
        <v>882</v>
      </c>
      <c r="AJ328" s="9" t="s">
        <v>8</v>
      </c>
      <c r="AK328" s="10">
        <v>45703</v>
      </c>
      <c r="AL328" s="10">
        <v>45705</v>
      </c>
      <c r="AM328" s="10">
        <v>45716</v>
      </c>
      <c r="AN328" s="9" t="s">
        <v>95</v>
      </c>
      <c r="AO328" s="9"/>
      <c r="AP328" s="11">
        <f>IF($H328="Cancelled","",IFERROR(IF(OR(AK328="",AB328=""),"",(AB328+Variables!$B$18-AK328)),""))</f>
        <v>-4</v>
      </c>
      <c r="AQ328" s="11">
        <f>IF($H328="Cancelled","",IFERROR(IF(OR(AM328="",AK328=""),"",(AK328+Variables!$B$19)-AM328),""))</f>
        <v>-8</v>
      </c>
      <c r="AR328" s="12">
        <f>IF($H328="Cancelled","",IFERROR(T328*INDEX(Variables!$B$7:$D$7,IFERROR(MATCH(IF($B328="Robusta","Robusta",(IF($B328="","Arabica",$B328))&amp;" - "&amp;(IF($C328="","Commercial",$C328))),Variables!$B$1:$D$1,0),1))*(AQ328/365),""))</f>
        <v>-178.71692501437408</v>
      </c>
      <c r="AS328" s="12">
        <f>IF($H328="Cancelled","",IFERROR((T328*INDEX(Variables!$B$7:$D$7,IFERROR(MATCH(IF($B328="Robusta","Robusta",(IF($B328="","Arabica",$B328))&amp;" - "&amp;(IF($C328="","Commercial",$C328))),Variables!$B$1:$D$1,0),1))*IFERROR(IF(W328="","",(AVERAGE(E328:F328)-W328)-Variables!$B$14),"")/365)+(L328/16.67*INDEX(Variables!$B$8:$D$8,IFERROR(MATCH(IF($B328="Robusta","Robusta",(IF($B328="","Arabica",$B328))&amp;" - "&amp;(IF($C328="","Commercial",$C328))),Variables!$B$1:$D$1,0),1))*IFERROR(IF(W328="","",(AVERAGE(E328:F328)-W328)-Variables!$B$14),""))+(T328*INDEX(Variables!$B$9:$D$9,IFERROR(MATCH(IF($B328="Robusta","Robusta",(IF($B328="","Arabica",$B328))&amp;" - "&amp;(IF($C328="","Commercial",$C328))),Variables!$B$1:$D$1,0),1))*IFERROR(IF(W328="","",(AVERAGE(E328:F328)-W328)-Variables!$B$14),"")/365),""))</f>
        <v>19.313808192344478</v>
      </c>
      <c r="AT328" s="12">
        <f>IF($H328="Cancelled","",IFERROR((T328*INDEX(Variables!$B$7:$D$7,IFERROR(MATCH(IF($B328="Robusta","Robusta",(IF($B328="","Arabica",$B328))&amp;" - "&amp;(IF($C328="","Commercial",$C328))),Variables!$B$1:$D$1,0),1))*AC328/365)+(L328/16.67*INDEX(Variables!$B$8:$D$8,IFERROR(MATCH(IF($B328="Robusta","Robusta",(IF($B328="","Arabica",$B328))&amp;" - "&amp;(IF($C328="","Commercial",$C328))),Variables!$B$1:$D$1,0),1))*AC328)+(T328*INDEX(Variables!$B$9:$D$9,IFERROR(MATCH(IF($B328="Robusta","Robusta",(IF($B328="","Arabica",$B328))&amp;" - "&amp;(IF($C328="","Commercial",$C328))),Variables!$B$1:$D$1,0),1))*AC328/365),""))</f>
        <v>463.5313966162675</v>
      </c>
      <c r="AU328" s="12">
        <f>IF($H328="Cancelled","",IFERROR((T328*INDEX(Variables!$B$7:$D$7,IFERROR(MATCH(IF($B328="Robusta","Robusta",(IF($B328="","Arabica",$B328))&amp;" - "&amp;(IF($C328="","Commercial",$C328))),Variables!$B$1:$D$1,0),1))*AP328/365)+(L328/16.67*INDEX(Variables!$B$8:$D$8,IFERROR(MATCH(IF($B328="Robusta","Robusta",(IF($B328="","Arabica",$B328))&amp;" - "&amp;(IF($C328="","Commercial",$C328))),Variables!$B$1:$D$1,0),1))*AP328)+(T328*INDEX(Variables!$B$9:$D$9,IFERROR(MATCH(IF($B328="Robusta","Robusta",(IF($B328="","Arabica",$B328))&amp;" - "&amp;(IF($C328="","Commercial",$C328))),Variables!$B$1:$D$1,0),1))*AP328/365),""))</f>
        <v>-154.51046553875582</v>
      </c>
      <c r="AV328" s="11">
        <f t="shared" si="37"/>
        <v>13</v>
      </c>
      <c r="AW328" s="12">
        <f>IF($H328="Cancelled","",IFERROR(IF(AV328="","",(T328*INDEX(Variables!$B$7:$D$7,IFERROR(MATCH(IF($B328="Robusta","Robusta",(IF($B328="","Arabica",$B328))&amp;" - "&amp;(IF($C328="","Commercial",$C328))),Variables!$B$1:$D$1,0),1))*(AV328/365))+(T328*INDEX(Variables!$B$9:$D$9,IFERROR(MATCH(IF($B328="Robusta","Robusta",(IF($B328="","Arabica",$B328))&amp;" - "&amp;(IF($C328="","Commercial",$C328))),Variables!$B$1:$D$1,0),1))*(AV328/365))+(INDEX(Variables!$B$8:$D$8,IFERROR(MATCH(IF($B328="Robusta","Robusta",(IF($B328="","Arabica",$B328))&amp;" - "&amp;(IF($C328="","Commercial",$C328))),Variables!$B$1:$D$1,0),1))*L328/16.67)),""))</f>
        <v>310.15901300095641</v>
      </c>
      <c r="AX328" s="9"/>
      <c r="AY328" s="12"/>
      <c r="AZ328" s="10"/>
      <c r="BA328" s="9"/>
      <c r="BB328" s="10"/>
      <c r="BC328" s="9"/>
      <c r="BD328" s="9"/>
      <c r="BE328" s="9"/>
      <c r="BF328" s="9"/>
    </row>
    <row r="329" spans="1:58" x14ac:dyDescent="0.25">
      <c r="A329" s="9" t="s">
        <v>84</v>
      </c>
      <c r="B329" s="9" t="s">
        <v>85</v>
      </c>
      <c r="C329" s="9" t="s">
        <v>86</v>
      </c>
      <c r="D329" s="10">
        <v>45686</v>
      </c>
      <c r="E329" s="10">
        <v>45778</v>
      </c>
      <c r="F329" s="10">
        <v>45808</v>
      </c>
      <c r="G329" s="9">
        <v>3786644</v>
      </c>
      <c r="H329" s="9" t="str">
        <f t="shared" si="35"/>
        <v>Closed</v>
      </c>
      <c r="I329" s="9" t="str">
        <f t="shared" si="36"/>
        <v>All dates received</v>
      </c>
      <c r="J329" s="9" t="s">
        <v>494</v>
      </c>
      <c r="K329" s="9">
        <v>5263</v>
      </c>
      <c r="L329" s="11">
        <v>320</v>
      </c>
      <c r="M329" s="9" t="s">
        <v>883</v>
      </c>
      <c r="N329" s="9" t="s">
        <v>122</v>
      </c>
      <c r="O329" s="9"/>
      <c r="P329" s="9"/>
      <c r="Q329" s="11">
        <v>15</v>
      </c>
      <c r="R329" s="9" t="s">
        <v>90</v>
      </c>
      <c r="S329" s="9" t="s">
        <v>150</v>
      </c>
      <c r="T329" s="12">
        <f>IF($H329="Cancelled","",IFERROR(((Q329+INDEX(Variables!$B$6:$D$6,IFERROR(MATCH(IF($B329="Robusta","Robusta",(IF($B329="","Arabica",$B329))&amp;" - "&amp;(IF($C329="","Commercial",$C329))),Variables!$B$1:$D$1,0),1)))*22.0462)*(L329/16.67),""))</f>
        <v>129415.29377324534</v>
      </c>
      <c r="U329" s="10">
        <v>45744</v>
      </c>
      <c r="V329" s="9" t="str">
        <f t="shared" ref="V329:V347" si="38">IF(ISNUMBER(U329),"Sent","")</f>
        <v>Sent</v>
      </c>
      <c r="W329" s="10">
        <v>45751</v>
      </c>
      <c r="X329" s="9" t="str">
        <f t="shared" si="33"/>
        <v>Approved</v>
      </c>
      <c r="Y329" s="10"/>
      <c r="Z329" s="10">
        <f>IF($H329="Cancelled","",IFERROR(IF(F329="","",F329-Variables!$B$13),""))</f>
        <v>45793</v>
      </c>
      <c r="AA329" s="11">
        <f>IF($H329="Cancelled","",IFERROR(IF(W329="","",(AVERAGE(E329:F329)-W329)-Variables!$B$14),""))</f>
        <v>12</v>
      </c>
      <c r="AB329" s="10">
        <v>45789</v>
      </c>
      <c r="AC329" s="11">
        <f>IF($H329="Cancelled","",IFERROR(IF(AB329="","",IF(AND(W329="",Y329=""),"",IF(Y329&gt;W329,Y329+Variables!$B$15+Variables!$B$16+Variables!$B$17-AB329,W329+Variables!$B$16+Variables!$B$17-AB329))),""))</f>
        <v>-30</v>
      </c>
      <c r="AD329" s="9" t="s">
        <v>884</v>
      </c>
      <c r="AE329" s="9" t="s">
        <v>291</v>
      </c>
      <c r="AF329" s="10"/>
      <c r="AG329" s="10"/>
      <c r="AH329" s="9"/>
      <c r="AI329" s="9" t="s">
        <v>885</v>
      </c>
      <c r="AJ329" s="9" t="s">
        <v>8</v>
      </c>
      <c r="AK329" s="10">
        <v>45811</v>
      </c>
      <c r="AL329" s="10">
        <v>45815</v>
      </c>
      <c r="AM329" s="10">
        <v>45832</v>
      </c>
      <c r="AN329" s="9" t="s">
        <v>95</v>
      </c>
      <c r="AO329" s="9"/>
      <c r="AP329" s="11">
        <f>IF($H329="Cancelled","",IFERROR(IF(OR(AK329="",AB329=""),"",(AB329+Variables!$B$18-AK329)),""))</f>
        <v>-15</v>
      </c>
      <c r="AQ329" s="11">
        <f>IF($H329="Cancelled","",IFERROR(IF(OR(AM329="",AK329=""),"",(AK329+Variables!$B$19)-AM329),""))</f>
        <v>-16</v>
      </c>
      <c r="AR329" s="12">
        <f>IF($H329="Cancelled","",IFERROR(T329*INDEX(Variables!$B$7:$D$7,IFERROR(MATCH(IF($B329="Robusta","Robusta",(IF($B329="","Arabica",$B329))&amp;" - "&amp;(IF($C329="","Commercial",$C329))),Variables!$B$1:$D$1,0),1))*(AQ329/365),""))</f>
        <v>-365.80746766663719</v>
      </c>
      <c r="AS329" s="12">
        <f>IF($H329="Cancelled","",IFERROR((T329*INDEX(Variables!$B$7:$D$7,IFERROR(MATCH(IF($B329="Robusta","Robusta",(IF($B329="","Arabica",$B329))&amp;" - "&amp;(IF($C329="","Commercial",$C329))),Variables!$B$1:$D$1,0),1))*IFERROR(IF(W329="","",(AVERAGE(E329:F329)-W329)-Variables!$B$14),"")/365)+(L329/16.67*INDEX(Variables!$B$8:$D$8,IFERROR(MATCH(IF($B329="Robusta","Robusta",(IF($B329="","Arabica",$B329))&amp;" - "&amp;(IF($C329="","Commercial",$C329))),Variables!$B$1:$D$1,0),1))*IFERROR(IF(W329="","",(AVERAGE(E329:F329)-W329)-Variables!$B$14),""))+(T329*INDEX(Variables!$B$9:$D$9,IFERROR(MATCH(IF($B329="Robusta","Robusta",(IF($B329="","Arabica",$B329))&amp;" - "&amp;(IF($C329="","Commercial",$C329))),Variables!$B$1:$D$1,0),1))*IFERROR(IF(W329="","",(AVERAGE(E329:F329)-W329)-Variables!$B$14),"")/365),""))</f>
        <v>469.89257391316801</v>
      </c>
      <c r="AT329" s="12">
        <f>IF($H329="Cancelled","",IFERROR((T329*INDEX(Variables!$B$7:$D$7,IFERROR(MATCH(IF($B329="Robusta","Robusta",(IF($B329="","Arabica",$B329))&amp;" - "&amp;(IF($C329="","Commercial",$C329))),Variables!$B$1:$D$1,0),1))*AC329/365)+(L329/16.67*INDEX(Variables!$B$8:$D$8,IFERROR(MATCH(IF($B329="Robusta","Robusta",(IF($B329="","Arabica",$B329))&amp;" - "&amp;(IF($C329="","Commercial",$C329))),Variables!$B$1:$D$1,0),1))*AC329)+(T329*INDEX(Variables!$B$9:$D$9,IFERROR(MATCH(IF($B329="Robusta","Robusta",(IF($B329="","Arabica",$B329))&amp;" - "&amp;(IF($C329="","Commercial",$C329))),Variables!$B$1:$D$1,0),1))*AC329/365),""))</f>
        <v>-1174.7314347829201</v>
      </c>
      <c r="AU329" s="12">
        <f>IF($H329="Cancelled","",IFERROR((T329*INDEX(Variables!$B$7:$D$7,IFERROR(MATCH(IF($B329="Robusta","Robusta",(IF($B329="","Arabica",$B329))&amp;" - "&amp;(IF($C329="","Commercial",$C329))),Variables!$B$1:$D$1,0),1))*AP329/365)+(L329/16.67*INDEX(Variables!$B$8:$D$8,IFERROR(MATCH(IF($B329="Robusta","Robusta",(IF($B329="","Arabica",$B329))&amp;" - "&amp;(IF($C329="","Commercial",$C329))),Variables!$B$1:$D$1,0),1))*AP329)+(T329*INDEX(Variables!$B$9:$D$9,IFERROR(MATCH(IF($B329="Robusta","Robusta",(IF($B329="","Arabica",$B329))&amp;" - "&amp;(IF($C329="","Commercial",$C329))),Variables!$B$1:$D$1,0),1))*AP329/365),""))</f>
        <v>-587.36571739146007</v>
      </c>
      <c r="AV329" s="11">
        <f t="shared" si="37"/>
        <v>-3</v>
      </c>
      <c r="AW329" s="12">
        <f>IF($H329="Cancelled","",IFERROR(IF(AV329="","",(T329*INDEX(Variables!$B$7:$D$7,IFERROR(MATCH(IF($B329="Robusta","Robusta",(IF($B329="","Arabica",$B329))&amp;" - "&amp;(IF($C329="","Commercial",$C329))),Variables!$B$1:$D$1,0),1))*(AV329/365))+(T329*INDEX(Variables!$B$9:$D$9,IFERROR(MATCH(IF($B329="Robusta","Robusta",(IF($B329="","Arabica",$B329))&amp;" - "&amp;(IF($C329="","Commercial",$C329))),Variables!$B$1:$D$1,0),1))*(AV329/365))+(INDEX(Variables!$B$8:$D$8,IFERROR(MATCH(IF($B329="Robusta","Robusta",(IF($B329="","Arabica",$B329))&amp;" - "&amp;(IF($C329="","Commercial",$C329))),Variables!$B$1:$D$1,0),1))*L329/16.67)),""))</f>
        <v>-53.473143478292002</v>
      </c>
      <c r="AX329" s="9"/>
      <c r="AY329" s="12"/>
      <c r="AZ329" s="10"/>
      <c r="BA329" s="9"/>
      <c r="BB329" s="10"/>
      <c r="BC329" s="9"/>
      <c r="BD329" s="9"/>
      <c r="BE329" s="9"/>
      <c r="BF329" s="9"/>
    </row>
    <row r="330" spans="1:58" x14ac:dyDescent="0.25">
      <c r="A330" s="9" t="s">
        <v>84</v>
      </c>
      <c r="B330" s="9" t="s">
        <v>85</v>
      </c>
      <c r="C330" s="9" t="s">
        <v>86</v>
      </c>
      <c r="D330" s="10">
        <v>45686</v>
      </c>
      <c r="E330" s="10">
        <v>45809</v>
      </c>
      <c r="F330" s="10">
        <v>45838</v>
      </c>
      <c r="G330" s="9">
        <v>3786645</v>
      </c>
      <c r="H330" s="9" t="str">
        <f t="shared" si="35"/>
        <v>Closed</v>
      </c>
      <c r="I330" s="9" t="str">
        <f t="shared" si="36"/>
        <v>All dates received</v>
      </c>
      <c r="J330" s="9" t="s">
        <v>494</v>
      </c>
      <c r="K330" s="9" t="s">
        <v>886</v>
      </c>
      <c r="L330" s="11">
        <v>320</v>
      </c>
      <c r="M330" s="9" t="s">
        <v>883</v>
      </c>
      <c r="N330" s="9" t="s">
        <v>122</v>
      </c>
      <c r="O330" s="9"/>
      <c r="P330" s="9"/>
      <c r="Q330" s="11">
        <v>15</v>
      </c>
      <c r="R330" s="9" t="s">
        <v>90</v>
      </c>
      <c r="S330" s="9" t="s">
        <v>150</v>
      </c>
      <c r="T330" s="12">
        <f>IF($H330="Cancelled","",IFERROR(((Q330+INDEX(Variables!$B$6:$D$6,IFERROR(MATCH(IF($B330="Robusta","Robusta",(IF($B330="","Arabica",$B330))&amp;" - "&amp;(IF($C330="","Commercial",$C330))),Variables!$B$1:$D$1,0),1)))*22.0462)*(L330/16.67),""))</f>
        <v>129415.29377324534</v>
      </c>
      <c r="U330" s="10">
        <v>45772</v>
      </c>
      <c r="V330" s="9" t="str">
        <f t="shared" si="38"/>
        <v>Sent</v>
      </c>
      <c r="W330" s="10">
        <v>45775</v>
      </c>
      <c r="X330" s="9" t="str">
        <f t="shared" si="33"/>
        <v>Approved</v>
      </c>
      <c r="Y330" s="10"/>
      <c r="Z330" s="10">
        <f>IF($H330="Cancelled","",IFERROR(IF(F330="","",F330-Variables!$B$13),""))</f>
        <v>45823</v>
      </c>
      <c r="AA330" s="11">
        <f>IF($H330="Cancelled","",IFERROR(IF(W330="","",(AVERAGE(E330:F330)-W330)-Variables!$B$14),""))</f>
        <v>18.5</v>
      </c>
      <c r="AB330" s="10">
        <v>45807</v>
      </c>
      <c r="AC330" s="11">
        <f>IF($H330="Cancelled","",IFERROR(IF(AB330="","",IF(AND(W330="",Y330=""),"",IF(Y330&gt;W330,Y330+Variables!$B$15+Variables!$B$16+Variables!$B$17-AB330,W330+Variables!$B$16+Variables!$B$17-AB330))),""))</f>
        <v>-24</v>
      </c>
      <c r="AD330" s="9" t="s">
        <v>151</v>
      </c>
      <c r="AE330" s="9" t="s">
        <v>358</v>
      </c>
      <c r="AF330" s="10"/>
      <c r="AG330" s="10"/>
      <c r="AH330" s="9"/>
      <c r="AI330" s="9" t="s">
        <v>887</v>
      </c>
      <c r="AJ330" s="9" t="s">
        <v>8</v>
      </c>
      <c r="AK330" s="10">
        <v>45827</v>
      </c>
      <c r="AL330" s="10">
        <v>45832</v>
      </c>
      <c r="AM330" s="10">
        <v>45840</v>
      </c>
      <c r="AN330" s="9" t="s">
        <v>95</v>
      </c>
      <c r="AO330" s="9"/>
      <c r="AP330" s="11">
        <f>IF($H330="Cancelled","",IFERROR(IF(OR(AK330="",AB330=""),"",(AB330+Variables!$B$18-AK330)),""))</f>
        <v>-13</v>
      </c>
      <c r="AQ330" s="11">
        <f>IF($H330="Cancelled","",IFERROR(IF(OR(AM330="",AK330=""),"",(AK330+Variables!$B$19)-AM330),""))</f>
        <v>-8</v>
      </c>
      <c r="AR330" s="12">
        <f>IF($H330="Cancelled","",IFERROR(T330*INDEX(Variables!$B$7:$D$7,IFERROR(MATCH(IF($B330="Robusta","Robusta",(IF($B330="","Arabica",$B330))&amp;" - "&amp;(IF($C330="","Commercial",$C330))),Variables!$B$1:$D$1,0),1))*(AQ330/365),""))</f>
        <v>-182.9037338333186</v>
      </c>
      <c r="AS330" s="12">
        <f>IF($H330="Cancelled","",IFERROR((T330*INDEX(Variables!$B$7:$D$7,IFERROR(MATCH(IF($B330="Robusta","Robusta",(IF($B330="","Arabica",$B330))&amp;" - "&amp;(IF($C330="","Commercial",$C330))),Variables!$B$1:$D$1,0),1))*IFERROR(IF(W330="","",(AVERAGE(E330:F330)-W330)-Variables!$B$14),"")/365)+(L330/16.67*INDEX(Variables!$B$8:$D$8,IFERROR(MATCH(IF($B330="Robusta","Robusta",(IF($B330="","Arabica",$B330))&amp;" - "&amp;(IF($C330="","Commercial",$C330))),Variables!$B$1:$D$1,0),1))*IFERROR(IF(W330="","",(AVERAGE(E330:F330)-W330)-Variables!$B$14),""))+(T330*INDEX(Variables!$B$9:$D$9,IFERROR(MATCH(IF($B330="Robusta","Robusta",(IF($B330="","Arabica",$B330))&amp;" - "&amp;(IF($C330="","Commercial",$C330))),Variables!$B$1:$D$1,0),1))*IFERROR(IF(W330="","",(AVERAGE(E330:F330)-W330)-Variables!$B$14),"")/365),""))</f>
        <v>724.41771811613398</v>
      </c>
      <c r="AT330" s="12">
        <f>IF($H330="Cancelled","",IFERROR((T330*INDEX(Variables!$B$7:$D$7,IFERROR(MATCH(IF($B330="Robusta","Robusta",(IF($B330="","Arabica",$B330))&amp;" - "&amp;(IF($C330="","Commercial",$C330))),Variables!$B$1:$D$1,0),1))*AC330/365)+(L330/16.67*INDEX(Variables!$B$8:$D$8,IFERROR(MATCH(IF($B330="Robusta","Robusta",(IF($B330="","Arabica",$B330))&amp;" - "&amp;(IF($C330="","Commercial",$C330))),Variables!$B$1:$D$1,0),1))*AC330)+(T330*INDEX(Variables!$B$9:$D$9,IFERROR(MATCH(IF($B330="Robusta","Robusta",(IF($B330="","Arabica",$B330))&amp;" - "&amp;(IF($C330="","Commercial",$C330))),Variables!$B$1:$D$1,0),1))*AC330/365),""))</f>
        <v>-939.78514782633601</v>
      </c>
      <c r="AU330" s="12">
        <f>IF($H330="Cancelled","",IFERROR((T330*INDEX(Variables!$B$7:$D$7,IFERROR(MATCH(IF($B330="Robusta","Robusta",(IF($B330="","Arabica",$B330))&amp;" - "&amp;(IF($C330="","Commercial",$C330))),Variables!$B$1:$D$1,0),1))*AP330/365)+(L330/16.67*INDEX(Variables!$B$8:$D$8,IFERROR(MATCH(IF($B330="Robusta","Robusta",(IF($B330="","Arabica",$B330))&amp;" - "&amp;(IF($C330="","Commercial",$C330))),Variables!$B$1:$D$1,0),1))*AP330)+(T330*INDEX(Variables!$B$9:$D$9,IFERROR(MATCH(IF($B330="Robusta","Robusta",(IF($B330="","Arabica",$B330))&amp;" - "&amp;(IF($C330="","Commercial",$C330))),Variables!$B$1:$D$1,0),1))*AP330/365),""))</f>
        <v>-509.05028840593201</v>
      </c>
      <c r="AV330" s="11">
        <f t="shared" si="37"/>
        <v>11</v>
      </c>
      <c r="AW330" s="12">
        <f>IF($H330="Cancelled","",IFERROR(IF(AV330="","",(T330*INDEX(Variables!$B$7:$D$7,IFERROR(MATCH(IF($B330="Robusta","Robusta",(IF($B330="","Arabica",$B330))&amp;" - "&amp;(IF($C330="","Commercial",$C330))),Variables!$B$1:$D$1,0),1))*(AV330/365))+(T330*INDEX(Variables!$B$9:$D$9,IFERROR(MATCH(IF($B330="Robusta","Robusta",(IF($B330="","Arabica",$B330))&amp;" - "&amp;(IF($C330="","Commercial",$C330))),Variables!$B$1:$D$1,0),1))*(AV330/365))+(INDEX(Variables!$B$8:$D$8,IFERROR(MATCH(IF($B330="Robusta","Robusta",(IF($B330="","Arabica",$B330))&amp;" - "&amp;(IF($C330="","Commercial",$C330))),Variables!$B$1:$D$1,0),1))*L330/16.67)),""))</f>
        <v>270.73485942040401</v>
      </c>
      <c r="AX330" s="9"/>
      <c r="AY330" s="12"/>
      <c r="AZ330" s="10"/>
      <c r="BA330" s="9"/>
      <c r="BB330" s="10"/>
      <c r="BC330" s="9"/>
      <c r="BD330" s="9"/>
      <c r="BE330" s="9"/>
      <c r="BF330" s="9"/>
    </row>
    <row r="331" spans="1:58" x14ac:dyDescent="0.25">
      <c r="A331" s="9" t="s">
        <v>84</v>
      </c>
      <c r="B331" s="9" t="s">
        <v>85</v>
      </c>
      <c r="C331" s="9" t="s">
        <v>86</v>
      </c>
      <c r="D331" s="10">
        <v>45686</v>
      </c>
      <c r="E331" s="10">
        <v>45809</v>
      </c>
      <c r="F331" s="10">
        <v>45838</v>
      </c>
      <c r="G331" s="9">
        <v>3786645</v>
      </c>
      <c r="H331" s="9" t="str">
        <f t="shared" si="35"/>
        <v>Closed</v>
      </c>
      <c r="I331" s="9" t="str">
        <f t="shared" si="36"/>
        <v>All dates received</v>
      </c>
      <c r="J331" s="9" t="s">
        <v>494</v>
      </c>
      <c r="K331" s="9" t="s">
        <v>888</v>
      </c>
      <c r="L331" s="11">
        <v>320</v>
      </c>
      <c r="M331" s="9" t="s">
        <v>883</v>
      </c>
      <c r="N331" s="9" t="s">
        <v>122</v>
      </c>
      <c r="O331" s="9"/>
      <c r="P331" s="9"/>
      <c r="Q331" s="11">
        <v>15</v>
      </c>
      <c r="R331" s="9" t="s">
        <v>90</v>
      </c>
      <c r="S331" s="9" t="s">
        <v>150</v>
      </c>
      <c r="T331" s="12">
        <f>IF($H331="Cancelled","",IFERROR(((Q331+INDEX(Variables!$B$6:$D$6,IFERROR(MATCH(IF($B331="Robusta","Robusta",(IF($B331="","Arabica",$B331))&amp;" - "&amp;(IF($C331="","Commercial",$C331))),Variables!$B$1:$D$1,0),1)))*22.0462)*(L331/16.67),""))</f>
        <v>129415.29377324534</v>
      </c>
      <c r="U331" s="10">
        <v>45772</v>
      </c>
      <c r="V331" s="9" t="str">
        <f t="shared" si="38"/>
        <v>Sent</v>
      </c>
      <c r="W331" s="10">
        <v>45775</v>
      </c>
      <c r="X331" s="9" t="str">
        <f t="shared" si="33"/>
        <v>Approved</v>
      </c>
      <c r="Y331" s="10"/>
      <c r="Z331" s="10">
        <f>IF($H331="Cancelled","",IFERROR(IF(F331="","",F331-Variables!$B$13),""))</f>
        <v>45823</v>
      </c>
      <c r="AA331" s="11">
        <f>IF($H331="Cancelled","",IFERROR(IF(W331="","",(AVERAGE(E331:F331)-W331)-Variables!$B$14),""))</f>
        <v>18.5</v>
      </c>
      <c r="AB331" s="10">
        <v>45807</v>
      </c>
      <c r="AC331" s="11">
        <f>IF($H331="Cancelled","",IFERROR(IF(AB331="","",IF(AND(W331="",Y331=""),"",IF(Y331&gt;W331,Y331+Variables!$B$15+Variables!$B$16+Variables!$B$17-AB331,W331+Variables!$B$16+Variables!$B$17-AB331))),""))</f>
        <v>-24</v>
      </c>
      <c r="AD331" s="9" t="s">
        <v>151</v>
      </c>
      <c r="AE331" s="9" t="s">
        <v>358</v>
      </c>
      <c r="AF331" s="10"/>
      <c r="AG331" s="10"/>
      <c r="AH331" s="9"/>
      <c r="AI331" s="9" t="s">
        <v>889</v>
      </c>
      <c r="AJ331" s="9" t="s">
        <v>8</v>
      </c>
      <c r="AK331" s="10">
        <v>45827</v>
      </c>
      <c r="AL331" s="10">
        <v>45832</v>
      </c>
      <c r="AM331" s="10">
        <v>45838</v>
      </c>
      <c r="AN331" s="9" t="s">
        <v>95</v>
      </c>
      <c r="AO331" s="9"/>
      <c r="AP331" s="11">
        <f>IF($H331="Cancelled","",IFERROR(IF(OR(AK331="",AB331=""),"",(AB331+Variables!$B$18-AK331)),""))</f>
        <v>-13</v>
      </c>
      <c r="AQ331" s="11">
        <f>IF($H331="Cancelled","",IFERROR(IF(OR(AM331="",AK331=""),"",(AK331+Variables!$B$19)-AM331),""))</f>
        <v>-6</v>
      </c>
      <c r="AR331" s="12">
        <f>IF($H331="Cancelled","",IFERROR(T331*INDEX(Variables!$B$7:$D$7,IFERROR(MATCH(IF($B331="Robusta","Robusta",(IF($B331="","Arabica",$B331))&amp;" - "&amp;(IF($C331="","Commercial",$C331))),Variables!$B$1:$D$1,0),1))*(AQ331/365),""))</f>
        <v>-137.17780037498895</v>
      </c>
      <c r="AS331" s="12">
        <f>IF($H331="Cancelled","",IFERROR((T331*INDEX(Variables!$B$7:$D$7,IFERROR(MATCH(IF($B331="Robusta","Robusta",(IF($B331="","Arabica",$B331))&amp;" - "&amp;(IF($C331="","Commercial",$C331))),Variables!$B$1:$D$1,0),1))*IFERROR(IF(W331="","",(AVERAGE(E331:F331)-W331)-Variables!$B$14),"")/365)+(L331/16.67*INDEX(Variables!$B$8:$D$8,IFERROR(MATCH(IF($B331="Robusta","Robusta",(IF($B331="","Arabica",$B331))&amp;" - "&amp;(IF($C331="","Commercial",$C331))),Variables!$B$1:$D$1,0),1))*IFERROR(IF(W331="","",(AVERAGE(E331:F331)-W331)-Variables!$B$14),""))+(T331*INDEX(Variables!$B$9:$D$9,IFERROR(MATCH(IF($B331="Robusta","Robusta",(IF($B331="","Arabica",$B331))&amp;" - "&amp;(IF($C331="","Commercial",$C331))),Variables!$B$1:$D$1,0),1))*IFERROR(IF(W331="","",(AVERAGE(E331:F331)-W331)-Variables!$B$14),"")/365),""))</f>
        <v>724.41771811613398</v>
      </c>
      <c r="AT331" s="12">
        <f>IF($H331="Cancelled","",IFERROR((T331*INDEX(Variables!$B$7:$D$7,IFERROR(MATCH(IF($B331="Robusta","Robusta",(IF($B331="","Arabica",$B331))&amp;" - "&amp;(IF($C331="","Commercial",$C331))),Variables!$B$1:$D$1,0),1))*AC331/365)+(L331/16.67*INDEX(Variables!$B$8:$D$8,IFERROR(MATCH(IF($B331="Robusta","Robusta",(IF($B331="","Arabica",$B331))&amp;" - "&amp;(IF($C331="","Commercial",$C331))),Variables!$B$1:$D$1,0),1))*AC331)+(T331*INDEX(Variables!$B$9:$D$9,IFERROR(MATCH(IF($B331="Robusta","Robusta",(IF($B331="","Arabica",$B331))&amp;" - "&amp;(IF($C331="","Commercial",$C331))),Variables!$B$1:$D$1,0),1))*AC331/365),""))</f>
        <v>-939.78514782633601</v>
      </c>
      <c r="AU331" s="12">
        <f>IF($H331="Cancelled","",IFERROR((T331*INDEX(Variables!$B$7:$D$7,IFERROR(MATCH(IF($B331="Robusta","Robusta",(IF($B331="","Arabica",$B331))&amp;" - "&amp;(IF($C331="","Commercial",$C331))),Variables!$B$1:$D$1,0),1))*AP331/365)+(L331/16.67*INDEX(Variables!$B$8:$D$8,IFERROR(MATCH(IF($B331="Robusta","Robusta",(IF($B331="","Arabica",$B331))&amp;" - "&amp;(IF($C331="","Commercial",$C331))),Variables!$B$1:$D$1,0),1))*AP331)+(T331*INDEX(Variables!$B$9:$D$9,IFERROR(MATCH(IF($B331="Robusta","Robusta",(IF($B331="","Arabica",$B331))&amp;" - "&amp;(IF($C331="","Commercial",$C331))),Variables!$B$1:$D$1,0),1))*AP331/365),""))</f>
        <v>-509.05028840593201</v>
      </c>
      <c r="AV331" s="11">
        <f t="shared" si="37"/>
        <v>11</v>
      </c>
      <c r="AW331" s="12">
        <f>IF($H331="Cancelled","",IFERROR(IF(AV331="","",(T331*INDEX(Variables!$B$7:$D$7,IFERROR(MATCH(IF($B331="Robusta","Robusta",(IF($B331="","Arabica",$B331))&amp;" - "&amp;(IF($C331="","Commercial",$C331))),Variables!$B$1:$D$1,0),1))*(AV331/365))+(T331*INDEX(Variables!$B$9:$D$9,IFERROR(MATCH(IF($B331="Robusta","Robusta",(IF($B331="","Arabica",$B331))&amp;" - "&amp;(IF($C331="","Commercial",$C331))),Variables!$B$1:$D$1,0),1))*(AV331/365))+(INDEX(Variables!$B$8:$D$8,IFERROR(MATCH(IF($B331="Robusta","Robusta",(IF($B331="","Arabica",$B331))&amp;" - "&amp;(IF($C331="","Commercial",$C331))),Variables!$B$1:$D$1,0),1))*L331/16.67)),""))</f>
        <v>270.73485942040401</v>
      </c>
      <c r="AX331" s="9"/>
      <c r="AY331" s="12"/>
      <c r="AZ331" s="10"/>
      <c r="BA331" s="9"/>
      <c r="BB331" s="10"/>
      <c r="BC331" s="9"/>
      <c r="BD331" s="9"/>
      <c r="BE331" s="9"/>
      <c r="BF331" s="9"/>
    </row>
    <row r="332" spans="1:58" x14ac:dyDescent="0.25">
      <c r="A332" s="9" t="s">
        <v>84</v>
      </c>
      <c r="B332" s="9" t="s">
        <v>85</v>
      </c>
      <c r="C332" s="9" t="s">
        <v>86</v>
      </c>
      <c r="D332" s="10">
        <v>45686</v>
      </c>
      <c r="E332" s="10">
        <v>45839</v>
      </c>
      <c r="F332" s="10">
        <v>45869</v>
      </c>
      <c r="G332" s="9">
        <v>3786646</v>
      </c>
      <c r="H332" s="9" t="str">
        <f t="shared" si="35"/>
        <v>Closed</v>
      </c>
      <c r="I332" s="9" t="str">
        <f t="shared" si="36"/>
        <v>All dates received</v>
      </c>
      <c r="J332" s="9" t="s">
        <v>494</v>
      </c>
      <c r="K332" s="9" t="s">
        <v>890</v>
      </c>
      <c r="L332" s="11">
        <v>320</v>
      </c>
      <c r="M332" s="9" t="s">
        <v>883</v>
      </c>
      <c r="N332" s="9" t="s">
        <v>122</v>
      </c>
      <c r="O332" s="9"/>
      <c r="P332" s="9"/>
      <c r="Q332" s="11">
        <v>15</v>
      </c>
      <c r="R332" s="9" t="s">
        <v>90</v>
      </c>
      <c r="S332" s="9" t="s">
        <v>150</v>
      </c>
      <c r="T332" s="12">
        <f>IF($H332="Cancelled","",IFERROR(((Q332+INDEX(Variables!$B$6:$D$6,IFERROR(MATCH(IF($B332="Robusta","Robusta",(IF($B332="","Arabica",$B332))&amp;" - "&amp;(IF($C332="","Commercial",$C332))),Variables!$B$1:$D$1,0),1)))*22.0462)*(L332/16.67),""))</f>
        <v>129415.29377324534</v>
      </c>
      <c r="U332" s="10">
        <v>45813</v>
      </c>
      <c r="V332" s="9" t="str">
        <f t="shared" si="38"/>
        <v>Sent</v>
      </c>
      <c r="W332" s="10">
        <v>45831</v>
      </c>
      <c r="X332" s="9" t="str">
        <f t="shared" si="33"/>
        <v>Approved</v>
      </c>
      <c r="Y332" s="10"/>
      <c r="Z332" s="10">
        <f>IF($H332="Cancelled","",IFERROR(IF(F332="","",F332-Variables!$B$13),""))</f>
        <v>45854</v>
      </c>
      <c r="AA332" s="11">
        <f>IF($H332="Cancelled","",IFERROR(IF(W332="","",(AVERAGE(E332:F332)-W332)-Variables!$B$14),""))</f>
        <v>-7</v>
      </c>
      <c r="AB332" s="10">
        <v>45839</v>
      </c>
      <c r="AC332" s="11">
        <f>IF($H332="Cancelled","",IFERROR(IF(AB332="","",IF(AND(W332="",Y332=""),"",IF(Y332&gt;W332,Y332+Variables!$B$15+Variables!$B$16+Variables!$B$17-AB332,W332+Variables!$B$16+Variables!$B$17-AB332))),""))</f>
        <v>0</v>
      </c>
      <c r="AD332" s="9" t="s">
        <v>151</v>
      </c>
      <c r="AE332" s="9" t="s">
        <v>150</v>
      </c>
      <c r="AF332" s="10"/>
      <c r="AG332" s="10"/>
      <c r="AH332" s="9"/>
      <c r="AI332" s="9" t="s">
        <v>891</v>
      </c>
      <c r="AJ332" s="9" t="s">
        <v>8</v>
      </c>
      <c r="AK332" s="10">
        <v>45853</v>
      </c>
      <c r="AL332" s="10">
        <v>45853</v>
      </c>
      <c r="AM332" s="10">
        <v>45856</v>
      </c>
      <c r="AN332" s="9" t="s">
        <v>95</v>
      </c>
      <c r="AO332" s="9"/>
      <c r="AP332" s="11">
        <f>IF($H332="Cancelled","",IFERROR(IF(OR(AK332="",AB332=""),"",(AB332+Variables!$B$18-AK332)),""))</f>
        <v>-7</v>
      </c>
      <c r="AQ332" s="11">
        <f>IF($H332="Cancelled","",IFERROR(IF(OR(AM332="",AK332=""),"",(AK332+Variables!$B$19)-AM332),""))</f>
        <v>2</v>
      </c>
      <c r="AR332" s="12">
        <f>IF($H332="Cancelled","",IFERROR(T332*INDEX(Variables!$B$7:$D$7,IFERROR(MATCH(IF($B332="Robusta","Robusta",(IF($B332="","Arabica",$B332))&amp;" - "&amp;(IF($C332="","Commercial",$C332))),Variables!$B$1:$D$1,0),1))*(AQ332/365),""))</f>
        <v>45.725933458329649</v>
      </c>
      <c r="AS332" s="12">
        <f>IF($H332="Cancelled","",IFERROR((T332*INDEX(Variables!$B$7:$D$7,IFERROR(MATCH(IF($B332="Robusta","Robusta",(IF($B332="","Arabica",$B332))&amp;" - "&amp;(IF($C332="","Commercial",$C332))),Variables!$B$1:$D$1,0),1))*IFERROR(IF(W332="","",(AVERAGE(E332:F332)-W332)-Variables!$B$14),"")/365)+(L332/16.67*INDEX(Variables!$B$8:$D$8,IFERROR(MATCH(IF($B332="Robusta","Robusta",(IF($B332="","Arabica",$B332))&amp;" - "&amp;(IF($C332="","Commercial",$C332))),Variables!$B$1:$D$1,0),1))*IFERROR(IF(W332="","",(AVERAGE(E332:F332)-W332)-Variables!$B$14),""))+(T332*INDEX(Variables!$B$9:$D$9,IFERROR(MATCH(IF($B332="Robusta","Robusta",(IF($B332="","Arabica",$B332))&amp;" - "&amp;(IF($C332="","Commercial",$C332))),Variables!$B$1:$D$1,0),1))*IFERROR(IF(W332="","",(AVERAGE(E332:F332)-W332)-Variables!$B$14),"")/365),""))</f>
        <v>-274.10400144934806</v>
      </c>
      <c r="AT332" s="12">
        <f>IF($H332="Cancelled","",IFERROR((T332*INDEX(Variables!$B$7:$D$7,IFERROR(MATCH(IF($B332="Robusta","Robusta",(IF($B332="","Arabica",$B332))&amp;" - "&amp;(IF($C332="","Commercial",$C332))),Variables!$B$1:$D$1,0),1))*AC332/365)+(L332/16.67*INDEX(Variables!$B$8:$D$8,IFERROR(MATCH(IF($B332="Robusta","Robusta",(IF($B332="","Arabica",$B332))&amp;" - "&amp;(IF($C332="","Commercial",$C332))),Variables!$B$1:$D$1,0),1))*AC332)+(T332*INDEX(Variables!$B$9:$D$9,IFERROR(MATCH(IF($B332="Robusta","Robusta",(IF($B332="","Arabica",$B332))&amp;" - "&amp;(IF($C332="","Commercial",$C332))),Variables!$B$1:$D$1,0),1))*AC332/365),""))</f>
        <v>0</v>
      </c>
      <c r="AU332" s="12">
        <f>IF($H332="Cancelled","",IFERROR((T332*INDEX(Variables!$B$7:$D$7,IFERROR(MATCH(IF($B332="Robusta","Robusta",(IF($B332="","Arabica",$B332))&amp;" - "&amp;(IF($C332="","Commercial",$C332))),Variables!$B$1:$D$1,0),1))*AP332/365)+(L332/16.67*INDEX(Variables!$B$8:$D$8,IFERROR(MATCH(IF($B332="Robusta","Robusta",(IF($B332="","Arabica",$B332))&amp;" - "&amp;(IF($C332="","Commercial",$C332))),Variables!$B$1:$D$1,0),1))*AP332)+(T332*INDEX(Variables!$B$9:$D$9,IFERROR(MATCH(IF($B332="Robusta","Robusta",(IF($B332="","Arabica",$B332))&amp;" - "&amp;(IF($C332="","Commercial",$C332))),Variables!$B$1:$D$1,0),1))*AP332/365),""))</f>
        <v>-274.10400144934806</v>
      </c>
      <c r="AV332" s="11">
        <f t="shared" si="37"/>
        <v>16</v>
      </c>
      <c r="AW332" s="12">
        <f>IF($H332="Cancelled","",IFERROR(IF(AV332="","",(T332*INDEX(Variables!$B$7:$D$7,IFERROR(MATCH(IF($B332="Robusta","Robusta",(IF($B332="","Arabica",$B332))&amp;" - "&amp;(IF($C332="","Commercial",$C332))),Variables!$B$1:$D$1,0),1))*(AV332/365))+(T332*INDEX(Variables!$B$9:$D$9,IFERROR(MATCH(IF($B332="Robusta","Robusta",(IF($B332="","Arabica",$B332))&amp;" - "&amp;(IF($C332="","Commercial",$C332))),Variables!$B$1:$D$1,0),1))*(AV332/365))+(INDEX(Variables!$B$8:$D$8,IFERROR(MATCH(IF($B332="Robusta","Robusta",(IF($B332="","Arabica",$B332))&amp;" - "&amp;(IF($C332="","Commercial",$C332))),Variables!$B$1:$D$1,0),1))*L332/16.67)),""))</f>
        <v>386.52343188422401</v>
      </c>
      <c r="AX332" s="9"/>
      <c r="AY332" s="12"/>
      <c r="AZ332" s="10"/>
      <c r="BA332" s="9"/>
      <c r="BB332" s="10"/>
      <c r="BC332" s="9"/>
      <c r="BD332" s="9"/>
      <c r="BE332" s="9"/>
      <c r="BF332" s="9"/>
    </row>
    <row r="333" spans="1:58" x14ac:dyDescent="0.25">
      <c r="A333" s="9" t="s">
        <v>84</v>
      </c>
      <c r="B333" s="9" t="s">
        <v>85</v>
      </c>
      <c r="C333" s="9" t="s">
        <v>86</v>
      </c>
      <c r="D333" s="10">
        <v>45686</v>
      </c>
      <c r="E333" s="10">
        <v>45839</v>
      </c>
      <c r="F333" s="10">
        <v>45869</v>
      </c>
      <c r="G333" s="9">
        <v>3786646</v>
      </c>
      <c r="H333" s="9" t="str">
        <f t="shared" si="35"/>
        <v>Closed</v>
      </c>
      <c r="I333" s="9" t="str">
        <f t="shared" si="36"/>
        <v>All dates received</v>
      </c>
      <c r="J333" s="9" t="s">
        <v>494</v>
      </c>
      <c r="K333" s="9" t="s">
        <v>892</v>
      </c>
      <c r="L333" s="11">
        <v>539</v>
      </c>
      <c r="M333" s="9" t="s">
        <v>883</v>
      </c>
      <c r="N333" s="9" t="s">
        <v>122</v>
      </c>
      <c r="O333" s="9"/>
      <c r="P333" s="9"/>
      <c r="Q333" s="11">
        <v>15</v>
      </c>
      <c r="R333" s="9" t="s">
        <v>90</v>
      </c>
      <c r="S333" s="9" t="s">
        <v>150</v>
      </c>
      <c r="T333" s="12">
        <f>IF($H333="Cancelled","",IFERROR(((Q333+INDEX(Variables!$B$6:$D$6,IFERROR(MATCH(IF($B333="Robusta","Robusta",(IF($B333="","Arabica",$B333))&amp;" - "&amp;(IF($C333="","Commercial",$C333))),Variables!$B$1:$D$1,0),1)))*22.0462)*(L333/16.67),""))</f>
        <v>217983.8854493101</v>
      </c>
      <c r="U333" s="10">
        <v>45813</v>
      </c>
      <c r="V333" s="9" t="str">
        <f t="shared" si="38"/>
        <v>Sent</v>
      </c>
      <c r="W333" s="10">
        <v>45831</v>
      </c>
      <c r="X333" s="9" t="str">
        <f t="shared" si="33"/>
        <v>Approved</v>
      </c>
      <c r="Y333" s="10"/>
      <c r="Z333" s="10">
        <f>IF($H333="Cancelled","",IFERROR(IF(F333="","",F333-Variables!$B$13),""))</f>
        <v>45854</v>
      </c>
      <c r="AA333" s="11">
        <f>IF($H333="Cancelled","",IFERROR(IF(W333="","",(AVERAGE(E333:F333)-W333)-Variables!$B$14),""))</f>
        <v>-7</v>
      </c>
      <c r="AB333" s="10">
        <v>45840</v>
      </c>
      <c r="AC333" s="11">
        <f>IF($H333="Cancelled","",IFERROR(IF(AB333="","",IF(AND(W333="",Y333=""),"",IF(Y333&gt;W333,Y333+Variables!$B$15+Variables!$B$16+Variables!$B$17-AB333,W333+Variables!$B$16+Variables!$B$17-AB333))),""))</f>
        <v>-1</v>
      </c>
      <c r="AD333" s="9" t="s">
        <v>151</v>
      </c>
      <c r="AE333" s="9" t="s">
        <v>150</v>
      </c>
      <c r="AF333" s="10"/>
      <c r="AG333" s="10"/>
      <c r="AH333" s="9"/>
      <c r="AI333" s="9" t="s">
        <v>893</v>
      </c>
      <c r="AJ333" s="9" t="s">
        <v>8</v>
      </c>
      <c r="AK333" s="10">
        <v>45853</v>
      </c>
      <c r="AL333" s="10">
        <v>45853</v>
      </c>
      <c r="AM333" s="10">
        <v>45856</v>
      </c>
      <c r="AN333" s="9" t="s">
        <v>95</v>
      </c>
      <c r="AO333" s="9"/>
      <c r="AP333" s="11">
        <f>IF($H333="Cancelled","",IFERROR(IF(OR(AK333="",AB333=""),"",(AB333+Variables!$B$18-AK333)),""))</f>
        <v>-6</v>
      </c>
      <c r="AQ333" s="11">
        <f>IF($H333="Cancelled","",IFERROR(IF(OR(AM333="",AK333=""),"",(AK333+Variables!$B$19)-AM333),""))</f>
        <v>2</v>
      </c>
      <c r="AR333" s="12">
        <f>IF($H333="Cancelled","",IFERROR(T333*INDEX(Variables!$B$7:$D$7,IFERROR(MATCH(IF($B333="Robusta","Robusta",(IF($B333="","Arabica",$B333))&amp;" - "&amp;(IF($C333="","Commercial",$C333))),Variables!$B$1:$D$1,0),1))*(AQ333/365),""))</f>
        <v>77.019619168874002</v>
      </c>
      <c r="AS333" s="12">
        <f>IF($H333="Cancelled","",IFERROR((T333*INDEX(Variables!$B$7:$D$7,IFERROR(MATCH(IF($B333="Robusta","Robusta",(IF($B333="","Arabica",$B333))&amp;" - "&amp;(IF($C333="","Commercial",$C333))),Variables!$B$1:$D$1,0),1))*IFERROR(IF(W333="","",(AVERAGE(E333:F333)-W333)-Variables!$B$14),"")/365)+(L333/16.67*INDEX(Variables!$B$8:$D$8,IFERROR(MATCH(IF($B333="Robusta","Robusta",(IF($B333="","Arabica",$B333))&amp;" - "&amp;(IF($C333="","Commercial",$C333))),Variables!$B$1:$D$1,0),1))*IFERROR(IF(W333="","",(AVERAGE(E333:F333)-W333)-Variables!$B$14),""))+(T333*INDEX(Variables!$B$9:$D$9,IFERROR(MATCH(IF($B333="Robusta","Robusta",(IF($B333="","Arabica",$B333))&amp;" - "&amp;(IF($C333="","Commercial",$C333))),Variables!$B$1:$D$1,0),1))*IFERROR(IF(W333="","",(AVERAGE(E333:F333)-W333)-Variables!$B$14),"")/365),""))</f>
        <v>-461.69392744124559</v>
      </c>
      <c r="AT333" s="12">
        <f>IF($H333="Cancelled","",IFERROR((T333*INDEX(Variables!$B$7:$D$7,IFERROR(MATCH(IF($B333="Robusta","Robusta",(IF($B333="","Arabica",$B333))&amp;" - "&amp;(IF($C333="","Commercial",$C333))),Variables!$B$1:$D$1,0),1))*AC333/365)+(L333/16.67*INDEX(Variables!$B$8:$D$8,IFERROR(MATCH(IF($B333="Robusta","Robusta",(IF($B333="","Arabica",$B333))&amp;" - "&amp;(IF($C333="","Commercial",$C333))),Variables!$B$1:$D$1,0),1))*AC333)+(T333*INDEX(Variables!$B$9:$D$9,IFERROR(MATCH(IF($B333="Robusta","Robusta",(IF($B333="","Arabica",$B333))&amp;" - "&amp;(IF($C333="","Commercial",$C333))),Variables!$B$1:$D$1,0),1))*AC333/365),""))</f>
        <v>-65.956275348749358</v>
      </c>
      <c r="AU333" s="12">
        <f>IF($H333="Cancelled","",IFERROR((T333*INDEX(Variables!$B$7:$D$7,IFERROR(MATCH(IF($B333="Robusta","Robusta",(IF($B333="","Arabica",$B333))&amp;" - "&amp;(IF($C333="","Commercial",$C333))),Variables!$B$1:$D$1,0),1))*AP333/365)+(L333/16.67*INDEX(Variables!$B$8:$D$8,IFERROR(MATCH(IF($B333="Robusta","Robusta",(IF($B333="","Arabica",$B333))&amp;" - "&amp;(IF($C333="","Commercial",$C333))),Variables!$B$1:$D$1,0),1))*AP333)+(T333*INDEX(Variables!$B$9:$D$9,IFERROR(MATCH(IF($B333="Robusta","Robusta",(IF($B333="","Arabica",$B333))&amp;" - "&amp;(IF($C333="","Commercial",$C333))),Variables!$B$1:$D$1,0),1))*AP333/365),""))</f>
        <v>-395.73765209249615</v>
      </c>
      <c r="AV333" s="11">
        <f t="shared" si="37"/>
        <v>16</v>
      </c>
      <c r="AW333" s="12">
        <f>IF($H333="Cancelled","",IFERROR(IF(AV333="","",(T333*INDEX(Variables!$B$7:$D$7,IFERROR(MATCH(IF($B333="Robusta","Robusta",(IF($B333="","Arabica",$B333))&amp;" - "&amp;(IF($C333="","Commercial",$C333))),Variables!$B$1:$D$1,0),1))*(AV333/365))+(T333*INDEX(Variables!$B$9:$D$9,IFERROR(MATCH(IF($B333="Robusta","Robusta",(IF($B333="","Arabica",$B333))&amp;" - "&amp;(IF($C333="","Commercial",$C333))),Variables!$B$1:$D$1,0),1))*(AV333/365))+(INDEX(Variables!$B$8:$D$8,IFERROR(MATCH(IF($B333="Robusta","Robusta",(IF($B333="","Arabica",$B333))&amp;" - "&amp;(IF($C333="","Commercial",$C333))),Variables!$B$1:$D$1,0),1))*L333/16.67)),""))</f>
        <v>651.05040557998984</v>
      </c>
      <c r="AX333" s="9"/>
      <c r="AY333" s="12"/>
      <c r="AZ333" s="10"/>
      <c r="BA333" s="9"/>
      <c r="BB333" s="10"/>
      <c r="BC333" s="9"/>
      <c r="BD333" s="9"/>
      <c r="BE333" s="9"/>
      <c r="BF333" s="9"/>
    </row>
    <row r="334" spans="1:58" x14ac:dyDescent="0.25">
      <c r="A334" s="9" t="s">
        <v>84</v>
      </c>
      <c r="B334" s="9" t="s">
        <v>85</v>
      </c>
      <c r="C334" s="9" t="s">
        <v>86</v>
      </c>
      <c r="D334" s="10">
        <v>45686</v>
      </c>
      <c r="E334" s="10">
        <v>45870</v>
      </c>
      <c r="F334" s="10">
        <v>45900</v>
      </c>
      <c r="G334" s="9">
        <v>3786647</v>
      </c>
      <c r="H334" s="9" t="str">
        <f t="shared" si="35"/>
        <v>Closed</v>
      </c>
      <c r="I334" s="9" t="str">
        <f t="shared" si="36"/>
        <v>All dates received</v>
      </c>
      <c r="J334" s="9" t="s">
        <v>494</v>
      </c>
      <c r="K334" s="9" t="s">
        <v>894</v>
      </c>
      <c r="L334" s="11">
        <v>320</v>
      </c>
      <c r="M334" s="9" t="s">
        <v>883</v>
      </c>
      <c r="N334" s="9" t="s">
        <v>122</v>
      </c>
      <c r="O334" s="9"/>
      <c r="P334" s="9"/>
      <c r="Q334" s="11">
        <v>15</v>
      </c>
      <c r="R334" s="9" t="s">
        <v>90</v>
      </c>
      <c r="S334" s="9" t="s">
        <v>150</v>
      </c>
      <c r="T334" s="12">
        <f>IF($H334="Cancelled","",IFERROR(((Q334+INDEX(Variables!$B$6:$D$6,IFERROR(MATCH(IF($B334="Robusta","Robusta",(IF($B334="","Arabica",$B334))&amp;" - "&amp;(IF($C334="","Commercial",$C334))),Variables!$B$1:$D$1,0),1)))*22.0462)*(L334/16.67),""))</f>
        <v>129415.29377324534</v>
      </c>
      <c r="U334" s="10">
        <v>45839</v>
      </c>
      <c r="V334" s="9" t="str">
        <f t="shared" si="38"/>
        <v>Sent</v>
      </c>
      <c r="W334" s="10">
        <v>45855</v>
      </c>
      <c r="X334" s="9" t="str">
        <f t="shared" ref="X334:X365" si="39">IF(ISNUMBER(W334),"Approved","")</f>
        <v>Approved</v>
      </c>
      <c r="Y334" s="10"/>
      <c r="Z334" s="10">
        <f>IF($H334="Cancelled","",IFERROR(IF(F334="","",F334-Variables!$B$13),""))</f>
        <v>45885</v>
      </c>
      <c r="AA334" s="11">
        <f>IF($H334="Cancelled","",IFERROR(IF(W334="","",(AVERAGE(E334:F334)-W334)-Variables!$B$14),""))</f>
        <v>0</v>
      </c>
      <c r="AB334" s="10">
        <v>45880</v>
      </c>
      <c r="AC334" s="11">
        <f>IF($H334="Cancelled","",IFERROR(IF(AB334="","",IF(AND(W334="",Y334=""),"",IF(Y334&gt;W334,Y334+Variables!$B$15+Variables!$B$16+Variables!$B$17-AB334,W334+Variables!$B$16+Variables!$B$17-AB334))),""))</f>
        <v>-17</v>
      </c>
      <c r="AD334" s="9" t="s">
        <v>772</v>
      </c>
      <c r="AE334" s="9" t="s">
        <v>895</v>
      </c>
      <c r="AF334" s="10"/>
      <c r="AG334" s="10"/>
      <c r="AH334" s="9"/>
      <c r="AI334" s="9" t="s">
        <v>896</v>
      </c>
      <c r="AJ334" s="9" t="s">
        <v>8</v>
      </c>
      <c r="AK334" s="10">
        <v>45904</v>
      </c>
      <c r="AL334" s="10">
        <v>45905</v>
      </c>
      <c r="AM334" s="10">
        <v>45910</v>
      </c>
      <c r="AN334" s="9" t="s">
        <v>95</v>
      </c>
      <c r="AO334" s="9"/>
      <c r="AP334" s="11">
        <f>IF($H334="Cancelled","",IFERROR(IF(OR(AK334="",AB334=""),"",(AB334+Variables!$B$18-AK334)),""))</f>
        <v>-17</v>
      </c>
      <c r="AQ334" s="11">
        <f>IF($H334="Cancelled","",IFERROR(IF(OR(AM334="",AK334=""),"",(AK334+Variables!$B$19)-AM334),""))</f>
        <v>-1</v>
      </c>
      <c r="AR334" s="12">
        <f>IF($H334="Cancelled","",IFERROR(T334*INDEX(Variables!$B$7:$D$7,IFERROR(MATCH(IF($B334="Robusta","Robusta",(IF($B334="","Arabica",$B334))&amp;" - "&amp;(IF($C334="","Commercial",$C334))),Variables!$B$1:$D$1,0),1))*(AQ334/365),""))</f>
        <v>-22.862966729164825</v>
      </c>
      <c r="AS334" s="12">
        <f>IF($H334="Cancelled","",IFERROR((T334*INDEX(Variables!$B$7:$D$7,IFERROR(MATCH(IF($B334="Robusta","Robusta",(IF($B334="","Arabica",$B334))&amp;" - "&amp;(IF($C334="","Commercial",$C334))),Variables!$B$1:$D$1,0),1))*IFERROR(IF(W334="","",(AVERAGE(E334:F334)-W334)-Variables!$B$14),"")/365)+(L334/16.67*INDEX(Variables!$B$8:$D$8,IFERROR(MATCH(IF($B334="Robusta","Robusta",(IF($B334="","Arabica",$B334))&amp;" - "&amp;(IF($C334="","Commercial",$C334))),Variables!$B$1:$D$1,0),1))*IFERROR(IF(W334="","",(AVERAGE(E334:F334)-W334)-Variables!$B$14),""))+(T334*INDEX(Variables!$B$9:$D$9,IFERROR(MATCH(IF($B334="Robusta","Robusta",(IF($B334="","Arabica",$B334))&amp;" - "&amp;(IF($C334="","Commercial",$C334))),Variables!$B$1:$D$1,0),1))*IFERROR(IF(W334="","",(AVERAGE(E334:F334)-W334)-Variables!$B$14),"")/365),""))</f>
        <v>0</v>
      </c>
      <c r="AT334" s="12">
        <f>IF($H334="Cancelled","",IFERROR((T334*INDEX(Variables!$B$7:$D$7,IFERROR(MATCH(IF($B334="Robusta","Robusta",(IF($B334="","Arabica",$B334))&amp;" - "&amp;(IF($C334="","Commercial",$C334))),Variables!$B$1:$D$1,0),1))*AC334/365)+(L334/16.67*INDEX(Variables!$B$8:$D$8,IFERROR(MATCH(IF($B334="Robusta","Robusta",(IF($B334="","Arabica",$B334))&amp;" - "&amp;(IF($C334="","Commercial",$C334))),Variables!$B$1:$D$1,0),1))*AC334)+(T334*INDEX(Variables!$B$9:$D$9,IFERROR(MATCH(IF($B334="Robusta","Robusta",(IF($B334="","Arabica",$B334))&amp;" - "&amp;(IF($C334="","Commercial",$C334))),Variables!$B$1:$D$1,0),1))*AC334/365),""))</f>
        <v>-665.68114637698795</v>
      </c>
      <c r="AU334" s="12">
        <f>IF($H334="Cancelled","",IFERROR((T334*INDEX(Variables!$B$7:$D$7,IFERROR(MATCH(IF($B334="Robusta","Robusta",(IF($B334="","Arabica",$B334))&amp;" - "&amp;(IF($C334="","Commercial",$C334))),Variables!$B$1:$D$1,0),1))*AP334/365)+(L334/16.67*INDEX(Variables!$B$8:$D$8,IFERROR(MATCH(IF($B334="Robusta","Robusta",(IF($B334="","Arabica",$B334))&amp;" - "&amp;(IF($C334="","Commercial",$C334))),Variables!$B$1:$D$1,0),1))*AP334)+(T334*INDEX(Variables!$B$9:$D$9,IFERROR(MATCH(IF($B334="Robusta","Robusta",(IF($B334="","Arabica",$B334))&amp;" - "&amp;(IF($C334="","Commercial",$C334))),Variables!$B$1:$D$1,0),1))*AP334/365),""))</f>
        <v>-665.68114637698795</v>
      </c>
      <c r="AV334" s="11">
        <f t="shared" si="37"/>
        <v>-4</v>
      </c>
      <c r="AW334" s="12">
        <f>IF($H334="Cancelled","",IFERROR(IF(AV334="","",(T334*INDEX(Variables!$B$7:$D$7,IFERROR(MATCH(IF($B334="Robusta","Robusta",(IF($B334="","Arabica",$B334))&amp;" - "&amp;(IF($C334="","Commercial",$C334))),Variables!$B$1:$D$1,0),1))*(AV334/365))+(T334*INDEX(Variables!$B$9:$D$9,IFERROR(MATCH(IF($B334="Robusta","Robusta",(IF($B334="","Arabica",$B334))&amp;" - "&amp;(IF($C334="","Commercial",$C334))),Variables!$B$1:$D$1,0),1))*(AV334/365))+(INDEX(Variables!$B$8:$D$8,IFERROR(MATCH(IF($B334="Robusta","Robusta",(IF($B334="","Arabica",$B334))&amp;" - "&amp;(IF($C334="","Commercial",$C334))),Variables!$B$1:$D$1,0),1))*L334/16.67)),""))</f>
        <v>-76.630857971056002</v>
      </c>
      <c r="AX334" s="9"/>
      <c r="AY334" s="12"/>
      <c r="AZ334" s="10"/>
      <c r="BA334" s="9"/>
      <c r="BB334" s="10"/>
      <c r="BC334" s="9"/>
      <c r="BD334" s="9"/>
      <c r="BE334" s="9"/>
      <c r="BF334" s="9"/>
    </row>
    <row r="335" spans="1:58" x14ac:dyDescent="0.25">
      <c r="A335" s="9" t="s">
        <v>84</v>
      </c>
      <c r="B335" s="9" t="s">
        <v>85</v>
      </c>
      <c r="C335" s="9" t="s">
        <v>86</v>
      </c>
      <c r="D335" s="10">
        <v>45686</v>
      </c>
      <c r="E335" s="10">
        <v>45870</v>
      </c>
      <c r="F335" s="10">
        <v>45900</v>
      </c>
      <c r="G335" s="9">
        <v>3786647</v>
      </c>
      <c r="H335" s="9" t="str">
        <f t="shared" si="35"/>
        <v>Closed</v>
      </c>
      <c r="I335" s="9" t="str">
        <f t="shared" si="36"/>
        <v>All dates received</v>
      </c>
      <c r="J335" s="9" t="s">
        <v>494</v>
      </c>
      <c r="K335" s="9" t="s">
        <v>897</v>
      </c>
      <c r="L335" s="11">
        <v>320</v>
      </c>
      <c r="M335" s="9" t="s">
        <v>883</v>
      </c>
      <c r="N335" s="9" t="s">
        <v>122</v>
      </c>
      <c r="O335" s="9"/>
      <c r="P335" s="9"/>
      <c r="Q335" s="11">
        <v>15</v>
      </c>
      <c r="R335" s="9" t="s">
        <v>90</v>
      </c>
      <c r="S335" s="9" t="s">
        <v>150</v>
      </c>
      <c r="T335" s="12">
        <f>IF($H335="Cancelled","",IFERROR(((Q335+INDEX(Variables!$B$6:$D$6,IFERROR(MATCH(IF($B335="Robusta","Robusta",(IF($B335="","Arabica",$B335))&amp;" - "&amp;(IF($C335="","Commercial",$C335))),Variables!$B$1:$D$1,0),1)))*22.0462)*(L335/16.67),""))</f>
        <v>129415.29377324534</v>
      </c>
      <c r="U335" s="10">
        <v>45839</v>
      </c>
      <c r="V335" s="9" t="str">
        <f t="shared" si="38"/>
        <v>Sent</v>
      </c>
      <c r="W335" s="10">
        <v>45855</v>
      </c>
      <c r="X335" s="9" t="str">
        <f t="shared" si="39"/>
        <v>Approved</v>
      </c>
      <c r="Y335" s="10"/>
      <c r="Z335" s="10">
        <f>IF($H335="Cancelled","",IFERROR(IF(F335="","",F335-Variables!$B$13),""))</f>
        <v>45885</v>
      </c>
      <c r="AA335" s="11">
        <f>IF($H335="Cancelled","",IFERROR(IF(W335="","",(AVERAGE(E335:F335)-W335)-Variables!$B$14),""))</f>
        <v>0</v>
      </c>
      <c r="AB335" s="10">
        <v>45882</v>
      </c>
      <c r="AC335" s="11">
        <f>IF($H335="Cancelled","",IFERROR(IF(AB335="","",IF(AND(W335="",Y335=""),"",IF(Y335&gt;W335,Y335+Variables!$B$15+Variables!$B$16+Variables!$B$17-AB335,W335+Variables!$B$16+Variables!$B$17-AB335))),""))</f>
        <v>-19</v>
      </c>
      <c r="AD335" s="9" t="s">
        <v>772</v>
      </c>
      <c r="AE335" s="9" t="s">
        <v>895</v>
      </c>
      <c r="AF335" s="10"/>
      <c r="AG335" s="10"/>
      <c r="AH335" s="9"/>
      <c r="AI335" s="9" t="s">
        <v>898</v>
      </c>
      <c r="AJ335" s="9" t="s">
        <v>8</v>
      </c>
      <c r="AK335" s="10">
        <v>45904</v>
      </c>
      <c r="AL335" s="10">
        <v>45905</v>
      </c>
      <c r="AM335" s="10">
        <v>45910</v>
      </c>
      <c r="AN335" s="9" t="s">
        <v>95</v>
      </c>
      <c r="AO335" s="9"/>
      <c r="AP335" s="11">
        <f>IF($H335="Cancelled","",IFERROR(IF(OR(AK335="",AB335=""),"",(AB335+Variables!$B$18-AK335)),""))</f>
        <v>-15</v>
      </c>
      <c r="AQ335" s="11">
        <f>IF($H335="Cancelled","",IFERROR(IF(OR(AM335="",AK335=""),"",(AK335+Variables!$B$19)-AM335),""))</f>
        <v>-1</v>
      </c>
      <c r="AR335" s="12">
        <f>IF($H335="Cancelled","",IFERROR(T335*INDEX(Variables!$B$7:$D$7,IFERROR(MATCH(IF($B335="Robusta","Robusta",(IF($B335="","Arabica",$B335))&amp;" - "&amp;(IF($C335="","Commercial",$C335))),Variables!$B$1:$D$1,0),1))*(AQ335/365),""))</f>
        <v>-22.862966729164825</v>
      </c>
      <c r="AS335" s="12">
        <f>IF($H335="Cancelled","",IFERROR((T335*INDEX(Variables!$B$7:$D$7,IFERROR(MATCH(IF($B335="Robusta","Robusta",(IF($B335="","Arabica",$B335))&amp;" - "&amp;(IF($C335="","Commercial",$C335))),Variables!$B$1:$D$1,0),1))*IFERROR(IF(W335="","",(AVERAGE(E335:F335)-W335)-Variables!$B$14),"")/365)+(L335/16.67*INDEX(Variables!$B$8:$D$8,IFERROR(MATCH(IF($B335="Robusta","Robusta",(IF($B335="","Arabica",$B335))&amp;" - "&amp;(IF($C335="","Commercial",$C335))),Variables!$B$1:$D$1,0),1))*IFERROR(IF(W335="","",(AVERAGE(E335:F335)-W335)-Variables!$B$14),""))+(T335*INDEX(Variables!$B$9:$D$9,IFERROR(MATCH(IF($B335="Robusta","Robusta",(IF($B335="","Arabica",$B335))&amp;" - "&amp;(IF($C335="","Commercial",$C335))),Variables!$B$1:$D$1,0),1))*IFERROR(IF(W335="","",(AVERAGE(E335:F335)-W335)-Variables!$B$14),"")/365),""))</f>
        <v>0</v>
      </c>
      <c r="AT335" s="12">
        <f>IF($H335="Cancelled","",IFERROR((T335*INDEX(Variables!$B$7:$D$7,IFERROR(MATCH(IF($B335="Robusta","Robusta",(IF($B335="","Arabica",$B335))&amp;" - "&amp;(IF($C335="","Commercial",$C335))),Variables!$B$1:$D$1,0),1))*AC335/365)+(L335/16.67*INDEX(Variables!$B$8:$D$8,IFERROR(MATCH(IF($B335="Robusta","Robusta",(IF($B335="","Arabica",$B335))&amp;" - "&amp;(IF($C335="","Commercial",$C335))),Variables!$B$1:$D$1,0),1))*AC335)+(T335*INDEX(Variables!$B$9:$D$9,IFERROR(MATCH(IF($B335="Robusta","Robusta",(IF($B335="","Arabica",$B335))&amp;" - "&amp;(IF($C335="","Commercial",$C335))),Variables!$B$1:$D$1,0),1))*AC335/365),""))</f>
        <v>-743.99657536251596</v>
      </c>
      <c r="AU335" s="12">
        <f>IF($H335="Cancelled","",IFERROR((T335*INDEX(Variables!$B$7:$D$7,IFERROR(MATCH(IF($B335="Robusta","Robusta",(IF($B335="","Arabica",$B335))&amp;" - "&amp;(IF($C335="","Commercial",$C335))),Variables!$B$1:$D$1,0),1))*AP335/365)+(L335/16.67*INDEX(Variables!$B$8:$D$8,IFERROR(MATCH(IF($B335="Robusta","Robusta",(IF($B335="","Arabica",$B335))&amp;" - "&amp;(IF($C335="","Commercial",$C335))),Variables!$B$1:$D$1,0),1))*AP335)+(T335*INDEX(Variables!$B$9:$D$9,IFERROR(MATCH(IF($B335="Robusta","Robusta",(IF($B335="","Arabica",$B335))&amp;" - "&amp;(IF($C335="","Commercial",$C335))),Variables!$B$1:$D$1,0),1))*AP335/365),""))</f>
        <v>-587.36571739146007</v>
      </c>
      <c r="AV335" s="11">
        <f t="shared" si="37"/>
        <v>-4</v>
      </c>
      <c r="AW335" s="12">
        <f>IF($H335="Cancelled","",IFERROR(IF(AV335="","",(T335*INDEX(Variables!$B$7:$D$7,IFERROR(MATCH(IF($B335="Robusta","Robusta",(IF($B335="","Arabica",$B335))&amp;" - "&amp;(IF($C335="","Commercial",$C335))),Variables!$B$1:$D$1,0),1))*(AV335/365))+(T335*INDEX(Variables!$B$9:$D$9,IFERROR(MATCH(IF($B335="Robusta","Robusta",(IF($B335="","Arabica",$B335))&amp;" - "&amp;(IF($C335="","Commercial",$C335))),Variables!$B$1:$D$1,0),1))*(AV335/365))+(INDEX(Variables!$B$8:$D$8,IFERROR(MATCH(IF($B335="Robusta","Robusta",(IF($B335="","Arabica",$B335))&amp;" - "&amp;(IF($C335="","Commercial",$C335))),Variables!$B$1:$D$1,0),1))*L335/16.67)),""))</f>
        <v>-76.630857971056002</v>
      </c>
      <c r="AX335" s="9"/>
      <c r="AY335" s="12"/>
      <c r="AZ335" s="10"/>
      <c r="BA335" s="9"/>
      <c r="BB335" s="10"/>
      <c r="BC335" s="9"/>
      <c r="BD335" s="9"/>
      <c r="BE335" s="9"/>
      <c r="BF335" s="9"/>
    </row>
    <row r="336" spans="1:58" x14ac:dyDescent="0.25">
      <c r="A336" s="9" t="s">
        <v>84</v>
      </c>
      <c r="B336" s="9" t="s">
        <v>85</v>
      </c>
      <c r="C336" s="9" t="s">
        <v>86</v>
      </c>
      <c r="D336" s="10">
        <v>45686</v>
      </c>
      <c r="E336" s="10">
        <v>45901</v>
      </c>
      <c r="F336" s="10">
        <v>45930</v>
      </c>
      <c r="G336" s="9">
        <v>3786648</v>
      </c>
      <c r="H336" s="9" t="str">
        <f t="shared" si="35"/>
        <v>Closed</v>
      </c>
      <c r="I336" s="9" t="str">
        <f t="shared" si="36"/>
        <v>All dates received</v>
      </c>
      <c r="J336" s="9" t="s">
        <v>494</v>
      </c>
      <c r="K336" s="9" t="s">
        <v>899</v>
      </c>
      <c r="L336" s="11">
        <v>320</v>
      </c>
      <c r="M336" s="9" t="s">
        <v>883</v>
      </c>
      <c r="N336" s="9" t="s">
        <v>122</v>
      </c>
      <c r="O336" s="9"/>
      <c r="P336" s="9"/>
      <c r="Q336" s="11">
        <v>15</v>
      </c>
      <c r="R336" s="9" t="s">
        <v>90</v>
      </c>
      <c r="S336" s="9" t="s">
        <v>150</v>
      </c>
      <c r="T336" s="12">
        <f>IF($H336="Cancelled","",IFERROR(((Q336+INDEX(Variables!$B$6:$D$6,IFERROR(MATCH(IF($B336="Robusta","Robusta",(IF($B336="","Arabica",$B336))&amp;" - "&amp;(IF($C336="","Commercial",$C336))),Variables!$B$1:$D$1,0),1)))*22.0462)*(L336/16.67),""))</f>
        <v>129415.29377324534</v>
      </c>
      <c r="U336" s="10">
        <v>45883</v>
      </c>
      <c r="V336" s="9" t="str">
        <f t="shared" si="38"/>
        <v>Sent</v>
      </c>
      <c r="W336" s="10">
        <v>45895</v>
      </c>
      <c r="X336" s="9" t="str">
        <f t="shared" si="39"/>
        <v>Approved</v>
      </c>
      <c r="Y336" s="10"/>
      <c r="Z336" s="10">
        <f>IF($H336="Cancelled","",IFERROR(IF(F336="","",F336-Variables!$B$13),""))</f>
        <v>45915</v>
      </c>
      <c r="AA336" s="11">
        <f>IF($H336="Cancelled","",IFERROR(IF(W336="","",(AVERAGE(E336:F336)-W336)-Variables!$B$14),""))</f>
        <v>-9.5</v>
      </c>
      <c r="AB336" s="10">
        <v>45930</v>
      </c>
      <c r="AC336" s="11">
        <f>IF($H336="Cancelled","",IFERROR(IF(AB336="","",IF(AND(W336="",Y336=""),"",IF(Y336&gt;W336,Y336+Variables!$B$15+Variables!$B$16+Variables!$B$17-AB336,W336+Variables!$B$16+Variables!$B$17-AB336))),""))</f>
        <v>-27</v>
      </c>
      <c r="AD336" s="9" t="s">
        <v>151</v>
      </c>
      <c r="AE336" s="9" t="s">
        <v>900</v>
      </c>
      <c r="AF336" s="10"/>
      <c r="AG336" s="10"/>
      <c r="AH336" s="9"/>
      <c r="AI336" s="9" t="s">
        <v>901</v>
      </c>
      <c r="AJ336" s="9" t="s">
        <v>8</v>
      </c>
      <c r="AK336" s="10">
        <v>45942</v>
      </c>
      <c r="AL336" s="10">
        <v>45944</v>
      </c>
      <c r="AM336" s="10">
        <v>45945</v>
      </c>
      <c r="AN336" s="9" t="s">
        <v>95</v>
      </c>
      <c r="AO336" s="9"/>
      <c r="AP336" s="11">
        <f>IF($H336="Cancelled","",IFERROR(IF(OR(AK336="",AB336=""),"",(AB336+Variables!$B$18-AK336)),""))</f>
        <v>-5</v>
      </c>
      <c r="AQ336" s="11">
        <f>IF($H336="Cancelled","",IFERROR(IF(OR(AM336="",AK336=""),"",(AK336+Variables!$B$19)-AM336),""))</f>
        <v>2</v>
      </c>
      <c r="AR336" s="12">
        <f>IF($H336="Cancelled","",IFERROR(T336*INDEX(Variables!$B$7:$D$7,IFERROR(MATCH(IF($B336="Robusta","Robusta",(IF($B336="","Arabica",$B336))&amp;" - "&amp;(IF($C336="","Commercial",$C336))),Variables!$B$1:$D$1,0),1))*(AQ336/365),""))</f>
        <v>45.725933458329649</v>
      </c>
      <c r="AS336" s="12">
        <f>IF($H336="Cancelled","",IFERROR((T336*INDEX(Variables!$B$7:$D$7,IFERROR(MATCH(IF($B336="Robusta","Robusta",(IF($B336="","Arabica",$B336))&amp;" - "&amp;(IF($C336="","Commercial",$C336))),Variables!$B$1:$D$1,0),1))*IFERROR(IF(W336="","",(AVERAGE(E336:F336)-W336)-Variables!$B$14),"")/365)+(L336/16.67*INDEX(Variables!$B$8:$D$8,IFERROR(MATCH(IF($B336="Robusta","Robusta",(IF($B336="","Arabica",$B336))&amp;" - "&amp;(IF($C336="","Commercial",$C336))),Variables!$B$1:$D$1,0),1))*IFERROR(IF(W336="","",(AVERAGE(E336:F336)-W336)-Variables!$B$14),""))+(T336*INDEX(Variables!$B$9:$D$9,IFERROR(MATCH(IF($B336="Robusta","Robusta",(IF($B336="","Arabica",$B336))&amp;" - "&amp;(IF($C336="","Commercial",$C336))),Variables!$B$1:$D$1,0),1))*IFERROR(IF(W336="","",(AVERAGE(E336:F336)-W336)-Variables!$B$14),"")/365),""))</f>
        <v>-371.99828768125798</v>
      </c>
      <c r="AT336" s="12">
        <f>IF($H336="Cancelled","",IFERROR((T336*INDEX(Variables!$B$7:$D$7,IFERROR(MATCH(IF($B336="Robusta","Robusta",(IF($B336="","Arabica",$B336))&amp;" - "&amp;(IF($C336="","Commercial",$C336))),Variables!$B$1:$D$1,0),1))*AC336/365)+(L336/16.67*INDEX(Variables!$B$8:$D$8,IFERROR(MATCH(IF($B336="Robusta","Robusta",(IF($B336="","Arabica",$B336))&amp;" - "&amp;(IF($C336="","Commercial",$C336))),Variables!$B$1:$D$1,0),1))*AC336)+(T336*INDEX(Variables!$B$9:$D$9,IFERROR(MATCH(IF($B336="Robusta","Robusta",(IF($B336="","Arabica",$B336))&amp;" - "&amp;(IF($C336="","Commercial",$C336))),Variables!$B$1:$D$1,0),1))*AC336/365),""))</f>
        <v>-1057.2582913046281</v>
      </c>
      <c r="AU336" s="12">
        <f>IF($H336="Cancelled","",IFERROR((T336*INDEX(Variables!$B$7:$D$7,IFERROR(MATCH(IF($B336="Robusta","Robusta",(IF($B336="","Arabica",$B336))&amp;" - "&amp;(IF($C336="","Commercial",$C336))),Variables!$B$1:$D$1,0),1))*AP336/365)+(L336/16.67*INDEX(Variables!$B$8:$D$8,IFERROR(MATCH(IF($B336="Robusta","Robusta",(IF($B336="","Arabica",$B336))&amp;" - "&amp;(IF($C336="","Commercial",$C336))),Variables!$B$1:$D$1,0),1))*AP336)+(T336*INDEX(Variables!$B$9:$D$9,IFERROR(MATCH(IF($B336="Robusta","Robusta",(IF($B336="","Arabica",$B336))&amp;" - "&amp;(IF($C336="","Commercial",$C336))),Variables!$B$1:$D$1,0),1))*AP336/365),""))</f>
        <v>-195.78857246382</v>
      </c>
      <c r="AV336" s="11">
        <f t="shared" si="37"/>
        <v>-12</v>
      </c>
      <c r="AW336" s="12">
        <f>IF($H336="Cancelled","",IFERROR(IF(AV336="","",(T336*INDEX(Variables!$B$7:$D$7,IFERROR(MATCH(IF($B336="Robusta","Robusta",(IF($B336="","Arabica",$B336))&amp;" - "&amp;(IF($C336="","Commercial",$C336))),Variables!$B$1:$D$1,0),1))*(AV336/365))+(T336*INDEX(Variables!$B$9:$D$9,IFERROR(MATCH(IF($B336="Robusta","Robusta",(IF($B336="","Arabica",$B336))&amp;" - "&amp;(IF($C336="","Commercial",$C336))),Variables!$B$1:$D$1,0),1))*(AV336/365))+(INDEX(Variables!$B$8:$D$8,IFERROR(MATCH(IF($B336="Robusta","Robusta",(IF($B336="","Arabica",$B336))&amp;" - "&amp;(IF($C336="","Commercial",$C336))),Variables!$B$1:$D$1,0),1))*L336/16.67)),""))</f>
        <v>-261.89257391316801</v>
      </c>
      <c r="AX336" s="9"/>
      <c r="AY336" s="12"/>
      <c r="AZ336" s="10"/>
      <c r="BA336" s="9"/>
      <c r="BB336" s="10"/>
      <c r="BC336" s="9"/>
      <c r="BD336" s="9"/>
      <c r="BE336" s="9"/>
      <c r="BF336" s="9"/>
    </row>
    <row r="337" spans="1:58" x14ac:dyDescent="0.25">
      <c r="A337" s="9" t="s">
        <v>84</v>
      </c>
      <c r="B337" s="9" t="s">
        <v>85</v>
      </c>
      <c r="C337" s="9" t="s">
        <v>86</v>
      </c>
      <c r="D337" s="10">
        <v>45686</v>
      </c>
      <c r="E337" s="10">
        <v>45901</v>
      </c>
      <c r="F337" s="10">
        <v>45930</v>
      </c>
      <c r="G337" s="9">
        <v>3786648</v>
      </c>
      <c r="H337" s="9" t="str">
        <f t="shared" si="35"/>
        <v>Closed</v>
      </c>
      <c r="I337" s="9" t="str">
        <f t="shared" si="36"/>
        <v>All dates received</v>
      </c>
      <c r="J337" s="9" t="s">
        <v>494</v>
      </c>
      <c r="K337" s="9" t="s">
        <v>902</v>
      </c>
      <c r="L337" s="11">
        <v>320</v>
      </c>
      <c r="M337" s="9" t="s">
        <v>883</v>
      </c>
      <c r="N337" s="9" t="s">
        <v>122</v>
      </c>
      <c r="O337" s="9"/>
      <c r="P337" s="9"/>
      <c r="Q337" s="11">
        <v>15</v>
      </c>
      <c r="R337" s="9" t="s">
        <v>90</v>
      </c>
      <c r="S337" s="9" t="s">
        <v>150</v>
      </c>
      <c r="T337" s="12">
        <f>IF($H337="Cancelled","",IFERROR(((Q337+INDEX(Variables!$B$6:$D$6,IFERROR(MATCH(IF($B337="Robusta","Robusta",(IF($B337="","Arabica",$B337))&amp;" - "&amp;(IF($C337="","Commercial",$C337))),Variables!$B$1:$D$1,0),1)))*22.0462)*(L337/16.67),""))</f>
        <v>129415.29377324534</v>
      </c>
      <c r="U337" s="10">
        <v>45883</v>
      </c>
      <c r="V337" s="9" t="str">
        <f t="shared" si="38"/>
        <v>Sent</v>
      </c>
      <c r="W337" s="10">
        <v>45895</v>
      </c>
      <c r="X337" s="9" t="str">
        <f t="shared" si="39"/>
        <v>Approved</v>
      </c>
      <c r="Y337" s="10"/>
      <c r="Z337" s="10">
        <f>IF($H337="Cancelled","",IFERROR(IF(F337="","",F337-Variables!$B$13),""))</f>
        <v>45915</v>
      </c>
      <c r="AA337" s="11">
        <f>IF($H337="Cancelled","",IFERROR(IF(W337="","",(AVERAGE(E337:F337)-W337)-Variables!$B$14),""))</f>
        <v>-9.5</v>
      </c>
      <c r="AB337" s="10">
        <v>45930</v>
      </c>
      <c r="AC337" s="11">
        <f>IF($H337="Cancelled","",IFERROR(IF(AB337="","",IF(AND(W337="",Y337=""),"",IF(Y337&gt;W337,Y337+Variables!$B$15+Variables!$B$16+Variables!$B$17-AB337,W337+Variables!$B$16+Variables!$B$17-AB337))),""))</f>
        <v>-27</v>
      </c>
      <c r="AD337" s="9" t="s">
        <v>151</v>
      </c>
      <c r="AE337" s="9" t="s">
        <v>900</v>
      </c>
      <c r="AF337" s="10"/>
      <c r="AG337" s="10"/>
      <c r="AH337" s="9"/>
      <c r="AI337" s="9" t="s">
        <v>903</v>
      </c>
      <c r="AJ337" s="9" t="s">
        <v>8</v>
      </c>
      <c r="AK337" s="10">
        <v>45942</v>
      </c>
      <c r="AL337" s="10">
        <v>45944</v>
      </c>
      <c r="AM337" s="10">
        <v>45945</v>
      </c>
      <c r="AN337" s="9" t="s">
        <v>95</v>
      </c>
      <c r="AO337" s="9"/>
      <c r="AP337" s="11">
        <f>IF($H337="Cancelled","",IFERROR(IF(OR(AK337="",AB337=""),"",(AB337+Variables!$B$18-AK337)),""))</f>
        <v>-5</v>
      </c>
      <c r="AQ337" s="11">
        <f>IF($H337="Cancelled","",IFERROR(IF(OR(AM337="",AK337=""),"",(AK337+Variables!$B$19)-AM337),""))</f>
        <v>2</v>
      </c>
      <c r="AR337" s="12">
        <f>IF($H337="Cancelled","",IFERROR(T337*INDEX(Variables!$B$7:$D$7,IFERROR(MATCH(IF($B337="Robusta","Robusta",(IF($B337="","Arabica",$B337))&amp;" - "&amp;(IF($C337="","Commercial",$C337))),Variables!$B$1:$D$1,0),1))*(AQ337/365),""))</f>
        <v>45.725933458329649</v>
      </c>
      <c r="AS337" s="12">
        <f>IF($H337="Cancelled","",IFERROR((T337*INDEX(Variables!$B$7:$D$7,IFERROR(MATCH(IF($B337="Robusta","Robusta",(IF($B337="","Arabica",$B337))&amp;" - "&amp;(IF($C337="","Commercial",$C337))),Variables!$B$1:$D$1,0),1))*IFERROR(IF(W337="","",(AVERAGE(E337:F337)-W337)-Variables!$B$14),"")/365)+(L337/16.67*INDEX(Variables!$B$8:$D$8,IFERROR(MATCH(IF($B337="Robusta","Robusta",(IF($B337="","Arabica",$B337))&amp;" - "&amp;(IF($C337="","Commercial",$C337))),Variables!$B$1:$D$1,0),1))*IFERROR(IF(W337="","",(AVERAGE(E337:F337)-W337)-Variables!$B$14),""))+(T337*INDEX(Variables!$B$9:$D$9,IFERROR(MATCH(IF($B337="Robusta","Robusta",(IF($B337="","Arabica",$B337))&amp;" - "&amp;(IF($C337="","Commercial",$C337))),Variables!$B$1:$D$1,0),1))*IFERROR(IF(W337="","",(AVERAGE(E337:F337)-W337)-Variables!$B$14),"")/365),""))</f>
        <v>-371.99828768125798</v>
      </c>
      <c r="AT337" s="12">
        <f>IF($H337="Cancelled","",IFERROR((T337*INDEX(Variables!$B$7:$D$7,IFERROR(MATCH(IF($B337="Robusta","Robusta",(IF($B337="","Arabica",$B337))&amp;" - "&amp;(IF($C337="","Commercial",$C337))),Variables!$B$1:$D$1,0),1))*AC337/365)+(L337/16.67*INDEX(Variables!$B$8:$D$8,IFERROR(MATCH(IF($B337="Robusta","Robusta",(IF($B337="","Arabica",$B337))&amp;" - "&amp;(IF($C337="","Commercial",$C337))),Variables!$B$1:$D$1,0),1))*AC337)+(T337*INDEX(Variables!$B$9:$D$9,IFERROR(MATCH(IF($B337="Robusta","Robusta",(IF($B337="","Arabica",$B337))&amp;" - "&amp;(IF($C337="","Commercial",$C337))),Variables!$B$1:$D$1,0),1))*AC337/365),""))</f>
        <v>-1057.2582913046281</v>
      </c>
      <c r="AU337" s="12">
        <f>IF($H337="Cancelled","",IFERROR((T337*INDEX(Variables!$B$7:$D$7,IFERROR(MATCH(IF($B337="Robusta","Robusta",(IF($B337="","Arabica",$B337))&amp;" - "&amp;(IF($C337="","Commercial",$C337))),Variables!$B$1:$D$1,0),1))*AP337/365)+(L337/16.67*INDEX(Variables!$B$8:$D$8,IFERROR(MATCH(IF($B337="Robusta","Robusta",(IF($B337="","Arabica",$B337))&amp;" - "&amp;(IF($C337="","Commercial",$C337))),Variables!$B$1:$D$1,0),1))*AP337)+(T337*INDEX(Variables!$B$9:$D$9,IFERROR(MATCH(IF($B337="Robusta","Robusta",(IF($B337="","Arabica",$B337))&amp;" - "&amp;(IF($C337="","Commercial",$C337))),Variables!$B$1:$D$1,0),1))*AP337/365),""))</f>
        <v>-195.78857246382</v>
      </c>
      <c r="AV337" s="11">
        <f t="shared" si="37"/>
        <v>-12</v>
      </c>
      <c r="AW337" s="12">
        <f>IF($H337="Cancelled","",IFERROR(IF(AV337="","",(T337*INDEX(Variables!$B$7:$D$7,IFERROR(MATCH(IF($B337="Robusta","Robusta",(IF($B337="","Arabica",$B337))&amp;" - "&amp;(IF($C337="","Commercial",$C337))),Variables!$B$1:$D$1,0),1))*(AV337/365))+(T337*INDEX(Variables!$B$9:$D$9,IFERROR(MATCH(IF($B337="Robusta","Robusta",(IF($B337="","Arabica",$B337))&amp;" - "&amp;(IF($C337="","Commercial",$C337))),Variables!$B$1:$D$1,0),1))*(AV337/365))+(INDEX(Variables!$B$8:$D$8,IFERROR(MATCH(IF($B337="Robusta","Robusta",(IF($B337="","Arabica",$B337))&amp;" - "&amp;(IF($C337="","Commercial",$C337))),Variables!$B$1:$D$1,0),1))*L337/16.67)),""))</f>
        <v>-261.89257391316801</v>
      </c>
      <c r="AX337" s="9"/>
      <c r="AY337" s="12"/>
      <c r="AZ337" s="10"/>
      <c r="BA337" s="9"/>
      <c r="BB337" s="10"/>
      <c r="BC337" s="9"/>
      <c r="BD337" s="9"/>
      <c r="BE337" s="9"/>
      <c r="BF337" s="9"/>
    </row>
    <row r="338" spans="1:58" x14ac:dyDescent="0.25">
      <c r="A338" s="9" t="s">
        <v>84</v>
      </c>
      <c r="B338" s="9" t="s">
        <v>85</v>
      </c>
      <c r="C338" s="9" t="s">
        <v>86</v>
      </c>
      <c r="D338" s="10">
        <v>45686</v>
      </c>
      <c r="E338" s="10">
        <v>45931</v>
      </c>
      <c r="F338" s="10">
        <v>45961</v>
      </c>
      <c r="G338" s="9">
        <v>3786649</v>
      </c>
      <c r="H338" s="9" t="str">
        <f t="shared" si="35"/>
        <v>Closed</v>
      </c>
      <c r="I338" s="9" t="str">
        <f t="shared" si="36"/>
        <v>All dates received</v>
      </c>
      <c r="J338" s="9" t="s">
        <v>494</v>
      </c>
      <c r="K338" s="9" t="s">
        <v>904</v>
      </c>
      <c r="L338" s="11">
        <v>640</v>
      </c>
      <c r="M338" s="9" t="s">
        <v>883</v>
      </c>
      <c r="N338" s="9" t="s">
        <v>122</v>
      </c>
      <c r="O338" s="9"/>
      <c r="P338" s="9"/>
      <c r="Q338" s="11">
        <v>15</v>
      </c>
      <c r="R338" s="9" t="s">
        <v>90</v>
      </c>
      <c r="S338" s="9" t="s">
        <v>150</v>
      </c>
      <c r="T338" s="12">
        <f>IF($H338="Cancelled","",IFERROR(((Q338+INDEX(Variables!$B$6:$D$6,IFERROR(MATCH(IF($B338="Robusta","Robusta",(IF($B338="","Arabica",$B338))&amp;" - "&amp;(IF($C338="","Commercial",$C338))),Variables!$B$1:$D$1,0),1)))*22.0462)*(L338/16.67),""))</f>
        <v>258830.58754649069</v>
      </c>
      <c r="U338" s="10">
        <v>45898</v>
      </c>
      <c r="V338" s="9" t="str">
        <f t="shared" si="38"/>
        <v>Sent</v>
      </c>
      <c r="W338" s="10">
        <v>45932</v>
      </c>
      <c r="X338" s="9" t="str">
        <f t="shared" si="39"/>
        <v>Approved</v>
      </c>
      <c r="Y338" s="10"/>
      <c r="Z338" s="10">
        <f>IF($H338="Cancelled","",IFERROR(IF(F338="","",F338-Variables!$B$13),""))</f>
        <v>45946</v>
      </c>
      <c r="AA338" s="11">
        <f>IF($H338="Cancelled","",IFERROR(IF(W338="","",(AVERAGE(E338:F338)-W338)-Variables!$B$14),""))</f>
        <v>-16</v>
      </c>
      <c r="AB338" s="10">
        <v>45944</v>
      </c>
      <c r="AC338" s="11">
        <f>IF($H338="Cancelled","",IFERROR(IF(AB338="","",IF(AND(W338="",Y338=""),"",IF(Y338&gt;W338,Y338+Variables!$B$15+Variables!$B$16+Variables!$B$17-AB338,W338+Variables!$B$16+Variables!$B$17-AB338))),""))</f>
        <v>-4</v>
      </c>
      <c r="AD338" s="9" t="s">
        <v>151</v>
      </c>
      <c r="AE338" s="9" t="s">
        <v>905</v>
      </c>
      <c r="AF338" s="10"/>
      <c r="AG338" s="10"/>
      <c r="AH338" s="9"/>
      <c r="AI338" s="9" t="s">
        <v>906</v>
      </c>
      <c r="AJ338" s="9" t="s">
        <v>8</v>
      </c>
      <c r="AK338" s="10">
        <v>45965</v>
      </c>
      <c r="AL338" s="10">
        <v>45966</v>
      </c>
      <c r="AM338" s="10">
        <v>45966</v>
      </c>
      <c r="AN338" s="9" t="s">
        <v>95</v>
      </c>
      <c r="AO338" s="9"/>
      <c r="AP338" s="11">
        <f>IF($H338="Cancelled","",IFERROR(IF(OR(AK338="",AB338=""),"",(AB338+Variables!$B$18-AK338)),""))</f>
        <v>-14</v>
      </c>
      <c r="AQ338" s="11">
        <f>IF($H338="Cancelled","",IFERROR(IF(OR(AM338="",AK338=""),"",(AK338+Variables!$B$19)-AM338),""))</f>
        <v>4</v>
      </c>
      <c r="AR338" s="12">
        <f>IF($H338="Cancelled","",IFERROR(T338*INDEX(Variables!$B$7:$D$7,IFERROR(MATCH(IF($B338="Robusta","Robusta",(IF($B338="","Arabica",$B338))&amp;" - "&amp;(IF($C338="","Commercial",$C338))),Variables!$B$1:$D$1,0),1))*(AQ338/365),""))</f>
        <v>182.9037338333186</v>
      </c>
      <c r="AS338" s="12">
        <f>IF($H338="Cancelled","",IFERROR((T338*INDEX(Variables!$B$7:$D$7,IFERROR(MATCH(IF($B338="Robusta","Robusta",(IF($B338="","Arabica",$B338))&amp;" - "&amp;(IF($C338="","Commercial",$C338))),Variables!$B$1:$D$1,0),1))*IFERROR(IF(W338="","",(AVERAGE(E338:F338)-W338)-Variables!$B$14),"")/365)+(L338/16.67*INDEX(Variables!$B$8:$D$8,IFERROR(MATCH(IF($B338="Robusta","Robusta",(IF($B338="","Arabica",$B338))&amp;" - "&amp;(IF($C338="","Commercial",$C338))),Variables!$B$1:$D$1,0),1))*IFERROR(IF(W338="","",(AVERAGE(E338:F338)-W338)-Variables!$B$14),""))+(T338*INDEX(Variables!$B$9:$D$9,IFERROR(MATCH(IF($B338="Robusta","Robusta",(IF($B338="","Arabica",$B338))&amp;" - "&amp;(IF($C338="","Commercial",$C338))),Variables!$B$1:$D$1,0),1))*IFERROR(IF(W338="","",(AVERAGE(E338:F338)-W338)-Variables!$B$14),"")/365),""))</f>
        <v>-1253.046863768448</v>
      </c>
      <c r="AT338" s="12">
        <f>IF($H338="Cancelled","",IFERROR((T338*INDEX(Variables!$B$7:$D$7,IFERROR(MATCH(IF($B338="Robusta","Robusta",(IF($B338="","Arabica",$B338))&amp;" - "&amp;(IF($C338="","Commercial",$C338))),Variables!$B$1:$D$1,0),1))*AC338/365)+(L338/16.67*INDEX(Variables!$B$8:$D$8,IFERROR(MATCH(IF($B338="Robusta","Robusta",(IF($B338="","Arabica",$B338))&amp;" - "&amp;(IF($C338="","Commercial",$C338))),Variables!$B$1:$D$1,0),1))*AC338)+(T338*INDEX(Variables!$B$9:$D$9,IFERROR(MATCH(IF($B338="Robusta","Robusta",(IF($B338="","Arabica",$B338))&amp;" - "&amp;(IF($C338="","Commercial",$C338))),Variables!$B$1:$D$1,0),1))*AC338/365),""))</f>
        <v>-313.261715942112</v>
      </c>
      <c r="AU338" s="12">
        <f>IF($H338="Cancelled","",IFERROR((T338*INDEX(Variables!$B$7:$D$7,IFERROR(MATCH(IF($B338="Robusta","Robusta",(IF($B338="","Arabica",$B338))&amp;" - "&amp;(IF($C338="","Commercial",$C338))),Variables!$B$1:$D$1,0),1))*AP338/365)+(L338/16.67*INDEX(Variables!$B$8:$D$8,IFERROR(MATCH(IF($B338="Robusta","Robusta",(IF($B338="","Arabica",$B338))&amp;" - "&amp;(IF($C338="","Commercial",$C338))),Variables!$B$1:$D$1,0),1))*AP338)+(T338*INDEX(Variables!$B$9:$D$9,IFERROR(MATCH(IF($B338="Robusta","Robusta",(IF($B338="","Arabica",$B338))&amp;" - "&amp;(IF($C338="","Commercial",$C338))),Variables!$B$1:$D$1,0),1))*AP338/365),""))</f>
        <v>-1096.4160057973922</v>
      </c>
      <c r="AV338" s="11">
        <f t="shared" si="37"/>
        <v>-4</v>
      </c>
      <c r="AW338" s="12">
        <f>IF($H338="Cancelled","",IFERROR(IF(AV338="","",(T338*INDEX(Variables!$B$7:$D$7,IFERROR(MATCH(IF($B338="Robusta","Robusta",(IF($B338="","Arabica",$B338))&amp;" - "&amp;(IF($C338="","Commercial",$C338))),Variables!$B$1:$D$1,0),1))*(AV338/365))+(T338*INDEX(Variables!$B$9:$D$9,IFERROR(MATCH(IF($B338="Robusta","Robusta",(IF($B338="","Arabica",$B338))&amp;" - "&amp;(IF($C338="","Commercial",$C338))),Variables!$B$1:$D$1,0),1))*(AV338/365))+(INDEX(Variables!$B$8:$D$8,IFERROR(MATCH(IF($B338="Robusta","Robusta",(IF($B338="","Arabica",$B338))&amp;" - "&amp;(IF($C338="","Commercial",$C338))),Variables!$B$1:$D$1,0),1))*L338/16.67)),""))</f>
        <v>-153.261715942112</v>
      </c>
      <c r="AX338" s="9"/>
      <c r="AY338" s="12"/>
      <c r="AZ338" s="10"/>
      <c r="BA338" s="9"/>
      <c r="BB338" s="10"/>
      <c r="BC338" s="9"/>
      <c r="BD338" s="9"/>
      <c r="BE338" s="9"/>
      <c r="BF338" s="9"/>
    </row>
    <row r="339" spans="1:58" x14ac:dyDescent="0.25">
      <c r="A339" s="9" t="s">
        <v>84</v>
      </c>
      <c r="B339" s="9" t="s">
        <v>85</v>
      </c>
      <c r="C339" s="9" t="s">
        <v>86</v>
      </c>
      <c r="D339" s="10">
        <v>45686</v>
      </c>
      <c r="E339" s="10">
        <v>45962</v>
      </c>
      <c r="F339" s="10">
        <v>45991</v>
      </c>
      <c r="G339" s="9">
        <v>3786650</v>
      </c>
      <c r="H339" s="9" t="str">
        <f t="shared" si="35"/>
        <v>Closed</v>
      </c>
      <c r="I339" s="9" t="str">
        <f t="shared" si="36"/>
        <v>All dates received</v>
      </c>
      <c r="J339" s="9" t="s">
        <v>494</v>
      </c>
      <c r="K339" s="9" t="s">
        <v>907</v>
      </c>
      <c r="L339" s="11">
        <v>320</v>
      </c>
      <c r="M339" s="9" t="s">
        <v>883</v>
      </c>
      <c r="N339" s="9" t="s">
        <v>122</v>
      </c>
      <c r="O339" s="9"/>
      <c r="P339" s="9"/>
      <c r="Q339" s="11">
        <v>15</v>
      </c>
      <c r="R339" s="9" t="s">
        <v>90</v>
      </c>
      <c r="S339" s="9" t="s">
        <v>150</v>
      </c>
      <c r="T339" s="12">
        <f>IF($H339="Cancelled","",IFERROR(((Q339+INDEX(Variables!$B$6:$D$6,IFERROR(MATCH(IF($B339="Robusta","Robusta",(IF($B339="","Arabica",$B339))&amp;" - "&amp;(IF($C339="","Commercial",$C339))),Variables!$B$1:$D$1,0),1)))*22.0462)*(L339/16.67),""))</f>
        <v>129415.29377324534</v>
      </c>
      <c r="U339" s="10">
        <v>45930</v>
      </c>
      <c r="V339" s="9" t="str">
        <f t="shared" si="38"/>
        <v>Sent</v>
      </c>
      <c r="W339" s="10">
        <v>45938</v>
      </c>
      <c r="X339" s="9" t="str">
        <f t="shared" si="39"/>
        <v>Approved</v>
      </c>
      <c r="Y339" s="10"/>
      <c r="Z339" s="10">
        <f>IF($H339="Cancelled","",IFERROR(IF(F339="","",F339-Variables!$B$13),""))</f>
        <v>45976</v>
      </c>
      <c r="AA339" s="11">
        <f>IF($H339="Cancelled","",IFERROR(IF(W339="","",(AVERAGE(E339:F339)-W339)-Variables!$B$14),""))</f>
        <v>8.5</v>
      </c>
      <c r="AB339" s="10">
        <v>45968</v>
      </c>
      <c r="AC339" s="11">
        <f>IF($H339="Cancelled","",IFERROR(IF(AB339="","",IF(AND(W339="",Y339=""),"",IF(Y339&gt;W339,Y339+Variables!$B$15+Variables!$B$16+Variables!$B$17-AB339,W339+Variables!$B$16+Variables!$B$17-AB339))),""))</f>
        <v>-22</v>
      </c>
      <c r="AD339" s="9" t="s">
        <v>151</v>
      </c>
      <c r="AE339" s="9" t="s">
        <v>908</v>
      </c>
      <c r="AF339" s="10"/>
      <c r="AG339" s="10"/>
      <c r="AH339" s="9"/>
      <c r="AI339" s="9" t="s">
        <v>909</v>
      </c>
      <c r="AJ339" s="9" t="s">
        <v>8</v>
      </c>
      <c r="AK339" s="10">
        <v>45989</v>
      </c>
      <c r="AL339" s="10">
        <v>45992</v>
      </c>
      <c r="AM339" s="10">
        <v>45992</v>
      </c>
      <c r="AN339" s="9" t="s">
        <v>95</v>
      </c>
      <c r="AO339" s="9"/>
      <c r="AP339" s="11">
        <f>IF($H339="Cancelled","",IFERROR(IF(OR(AK339="",AB339=""),"",(AB339+Variables!$B$18-AK339)),""))</f>
        <v>-14</v>
      </c>
      <c r="AQ339" s="11">
        <f>IF($H339="Cancelled","",IFERROR(IF(OR(AM339="",AK339=""),"",(AK339+Variables!$B$19)-AM339),""))</f>
        <v>2</v>
      </c>
      <c r="AR339" s="12">
        <f>IF($H339="Cancelled","",IFERROR(T339*INDEX(Variables!$B$7:$D$7,IFERROR(MATCH(IF($B339="Robusta","Robusta",(IF($B339="","Arabica",$B339))&amp;" - "&amp;(IF($C339="","Commercial",$C339))),Variables!$B$1:$D$1,0),1))*(AQ339/365),""))</f>
        <v>45.725933458329649</v>
      </c>
      <c r="AS339" s="12">
        <f>IF($H339="Cancelled","",IFERROR((T339*INDEX(Variables!$B$7:$D$7,IFERROR(MATCH(IF($B339="Robusta","Robusta",(IF($B339="","Arabica",$B339))&amp;" - "&amp;(IF($C339="","Commercial",$C339))),Variables!$B$1:$D$1,0),1))*IFERROR(IF(W339="","",(AVERAGE(E339:F339)-W339)-Variables!$B$14),"")/365)+(L339/16.67*INDEX(Variables!$B$8:$D$8,IFERROR(MATCH(IF($B339="Robusta","Robusta",(IF($B339="","Arabica",$B339))&amp;" - "&amp;(IF($C339="","Commercial",$C339))),Variables!$B$1:$D$1,0),1))*IFERROR(IF(W339="","",(AVERAGE(E339:F339)-W339)-Variables!$B$14),""))+(T339*INDEX(Variables!$B$9:$D$9,IFERROR(MATCH(IF($B339="Robusta","Robusta",(IF($B339="","Arabica",$B339))&amp;" - "&amp;(IF($C339="","Commercial",$C339))),Variables!$B$1:$D$1,0),1))*IFERROR(IF(W339="","",(AVERAGE(E339:F339)-W339)-Variables!$B$14),"")/365),""))</f>
        <v>332.84057318849398</v>
      </c>
      <c r="AT339" s="12">
        <f>IF($H339="Cancelled","",IFERROR((T339*INDEX(Variables!$B$7:$D$7,IFERROR(MATCH(IF($B339="Robusta","Robusta",(IF($B339="","Arabica",$B339))&amp;" - "&amp;(IF($C339="","Commercial",$C339))),Variables!$B$1:$D$1,0),1))*AC339/365)+(L339/16.67*INDEX(Variables!$B$8:$D$8,IFERROR(MATCH(IF($B339="Robusta","Robusta",(IF($B339="","Arabica",$B339))&amp;" - "&amp;(IF($C339="","Commercial",$C339))),Variables!$B$1:$D$1,0),1))*AC339)+(T339*INDEX(Variables!$B$9:$D$9,IFERROR(MATCH(IF($B339="Robusta","Robusta",(IF($B339="","Arabica",$B339))&amp;" - "&amp;(IF($C339="","Commercial",$C339))),Variables!$B$1:$D$1,0),1))*AC339/365),""))</f>
        <v>-861.46971884080801</v>
      </c>
      <c r="AU339" s="12">
        <f>IF($H339="Cancelled","",IFERROR((T339*INDEX(Variables!$B$7:$D$7,IFERROR(MATCH(IF($B339="Robusta","Robusta",(IF($B339="","Arabica",$B339))&amp;" - "&amp;(IF($C339="","Commercial",$C339))),Variables!$B$1:$D$1,0),1))*AP339/365)+(L339/16.67*INDEX(Variables!$B$8:$D$8,IFERROR(MATCH(IF($B339="Robusta","Robusta",(IF($B339="","Arabica",$B339))&amp;" - "&amp;(IF($C339="","Commercial",$C339))),Variables!$B$1:$D$1,0),1))*AP339)+(T339*INDEX(Variables!$B$9:$D$9,IFERROR(MATCH(IF($B339="Robusta","Robusta",(IF($B339="","Arabica",$B339))&amp;" - "&amp;(IF($C339="","Commercial",$C339))),Variables!$B$1:$D$1,0),1))*AP339/365),""))</f>
        <v>-548.20800289869612</v>
      </c>
      <c r="AV339" s="11">
        <f t="shared" si="37"/>
        <v>2</v>
      </c>
      <c r="AW339" s="12">
        <f>IF($H339="Cancelled","",IFERROR(IF(AV339="","",(T339*INDEX(Variables!$B$7:$D$7,IFERROR(MATCH(IF($B339="Robusta","Robusta",(IF($B339="","Arabica",$B339))&amp;" - "&amp;(IF($C339="","Commercial",$C339))),Variables!$B$1:$D$1,0),1))*(AV339/365))+(T339*INDEX(Variables!$B$9:$D$9,IFERROR(MATCH(IF($B339="Robusta","Robusta",(IF($B339="","Arabica",$B339))&amp;" - "&amp;(IF($C339="","Commercial",$C339))),Variables!$B$1:$D$1,0),1))*(AV339/365))+(INDEX(Variables!$B$8:$D$8,IFERROR(MATCH(IF($B339="Robusta","Robusta",(IF($B339="","Arabica",$B339))&amp;" - "&amp;(IF($C339="","Commercial",$C339))),Variables!$B$1:$D$1,0),1))*L339/16.67)),""))</f>
        <v>62.315428985528001</v>
      </c>
      <c r="AX339" s="9"/>
      <c r="AY339" s="12"/>
      <c r="AZ339" s="10"/>
      <c r="BA339" s="9"/>
      <c r="BB339" s="10"/>
      <c r="BC339" s="9"/>
      <c r="BD339" s="9"/>
      <c r="BE339" s="9"/>
      <c r="BF339" s="9"/>
    </row>
    <row r="340" spans="1:58" x14ac:dyDescent="0.25">
      <c r="A340" s="9" t="s">
        <v>84</v>
      </c>
      <c r="B340" s="9" t="s">
        <v>85</v>
      </c>
      <c r="C340" s="9" t="s">
        <v>86</v>
      </c>
      <c r="D340" s="10">
        <v>45686</v>
      </c>
      <c r="E340" s="10">
        <v>45962</v>
      </c>
      <c r="F340" s="10">
        <v>45991</v>
      </c>
      <c r="G340" s="9">
        <v>3786650</v>
      </c>
      <c r="H340" s="9" t="str">
        <f t="shared" si="35"/>
        <v>Closed</v>
      </c>
      <c r="I340" s="9" t="str">
        <f t="shared" si="36"/>
        <v>All dates received</v>
      </c>
      <c r="J340" s="9" t="s">
        <v>494</v>
      </c>
      <c r="K340" s="9" t="s">
        <v>910</v>
      </c>
      <c r="L340" s="11">
        <v>320</v>
      </c>
      <c r="M340" s="9" t="s">
        <v>883</v>
      </c>
      <c r="N340" s="9" t="s">
        <v>122</v>
      </c>
      <c r="O340" s="9"/>
      <c r="P340" s="9"/>
      <c r="Q340" s="11">
        <v>15</v>
      </c>
      <c r="R340" s="9" t="s">
        <v>90</v>
      </c>
      <c r="S340" s="9" t="s">
        <v>150</v>
      </c>
      <c r="T340" s="12">
        <f>IF($H340="Cancelled","",IFERROR(((Q340+INDEX(Variables!$B$6:$D$6,IFERROR(MATCH(IF($B340="Robusta","Robusta",(IF($B340="","Arabica",$B340))&amp;" - "&amp;(IF($C340="","Commercial",$C340))),Variables!$B$1:$D$1,0),1)))*22.0462)*(L340/16.67),""))</f>
        <v>129415.29377324534</v>
      </c>
      <c r="U340" s="10">
        <v>45930</v>
      </c>
      <c r="V340" s="9" t="str">
        <f t="shared" si="38"/>
        <v>Sent</v>
      </c>
      <c r="W340" s="10">
        <v>45938</v>
      </c>
      <c r="X340" s="9" t="str">
        <f t="shared" si="39"/>
        <v>Approved</v>
      </c>
      <c r="Y340" s="10"/>
      <c r="Z340" s="10">
        <f>IF($H340="Cancelled","",IFERROR(IF(F340="","",F340-Variables!$B$13),""))</f>
        <v>45976</v>
      </c>
      <c r="AA340" s="11">
        <f>IF($H340="Cancelled","",IFERROR(IF(W340="","",(AVERAGE(E340:F340)-W340)-Variables!$B$14),""))</f>
        <v>8.5</v>
      </c>
      <c r="AB340" s="10">
        <v>45968</v>
      </c>
      <c r="AC340" s="11">
        <f>IF($H340="Cancelled","",IFERROR(IF(AB340="","",IF(AND(W340="",Y340=""),"",IF(Y340&gt;W340,Y340+Variables!$B$15+Variables!$B$16+Variables!$B$17-AB340,W340+Variables!$B$16+Variables!$B$17-AB340))),""))</f>
        <v>-22</v>
      </c>
      <c r="AD340" s="9" t="s">
        <v>151</v>
      </c>
      <c r="AE340" s="9" t="s">
        <v>911</v>
      </c>
      <c r="AF340" s="10"/>
      <c r="AG340" s="10"/>
      <c r="AH340" s="9"/>
      <c r="AI340" s="9" t="s">
        <v>912</v>
      </c>
      <c r="AJ340" s="9" t="s">
        <v>8</v>
      </c>
      <c r="AK340" s="10">
        <v>45990</v>
      </c>
      <c r="AL340" s="10">
        <v>45992</v>
      </c>
      <c r="AM340" s="10">
        <v>45992</v>
      </c>
      <c r="AN340" s="9" t="s">
        <v>95</v>
      </c>
      <c r="AO340" s="9"/>
      <c r="AP340" s="11">
        <f>IF($H340="Cancelled","",IFERROR(IF(OR(AK340="",AB340=""),"",(AB340+Variables!$B$18-AK340)),""))</f>
        <v>-15</v>
      </c>
      <c r="AQ340" s="11">
        <f>IF($H340="Cancelled","",IFERROR(IF(OR(AM340="",AK340=""),"",(AK340+Variables!$B$19)-AM340),""))</f>
        <v>3</v>
      </c>
      <c r="AR340" s="12">
        <f>IF($H340="Cancelled","",IFERROR(T340*INDEX(Variables!$B$7:$D$7,IFERROR(MATCH(IF($B340="Robusta","Robusta",(IF($B340="","Arabica",$B340))&amp;" - "&amp;(IF($C340="","Commercial",$C340))),Variables!$B$1:$D$1,0),1))*(AQ340/365),""))</f>
        <v>68.588900187494474</v>
      </c>
      <c r="AS340" s="12">
        <f>IF($H340="Cancelled","",IFERROR((T340*INDEX(Variables!$B$7:$D$7,IFERROR(MATCH(IF($B340="Robusta","Robusta",(IF($B340="","Arabica",$B340))&amp;" - "&amp;(IF($C340="","Commercial",$C340))),Variables!$B$1:$D$1,0),1))*IFERROR(IF(W340="","",(AVERAGE(E340:F340)-W340)-Variables!$B$14),"")/365)+(L340/16.67*INDEX(Variables!$B$8:$D$8,IFERROR(MATCH(IF($B340="Robusta","Robusta",(IF($B340="","Arabica",$B340))&amp;" - "&amp;(IF($C340="","Commercial",$C340))),Variables!$B$1:$D$1,0),1))*IFERROR(IF(W340="","",(AVERAGE(E340:F340)-W340)-Variables!$B$14),""))+(T340*INDEX(Variables!$B$9:$D$9,IFERROR(MATCH(IF($B340="Robusta","Robusta",(IF($B340="","Arabica",$B340))&amp;" - "&amp;(IF($C340="","Commercial",$C340))),Variables!$B$1:$D$1,0),1))*IFERROR(IF(W340="","",(AVERAGE(E340:F340)-W340)-Variables!$B$14),"")/365),""))</f>
        <v>332.84057318849398</v>
      </c>
      <c r="AT340" s="12">
        <f>IF($H340="Cancelled","",IFERROR((T340*INDEX(Variables!$B$7:$D$7,IFERROR(MATCH(IF($B340="Robusta","Robusta",(IF($B340="","Arabica",$B340))&amp;" - "&amp;(IF($C340="","Commercial",$C340))),Variables!$B$1:$D$1,0),1))*AC340/365)+(L340/16.67*INDEX(Variables!$B$8:$D$8,IFERROR(MATCH(IF($B340="Robusta","Robusta",(IF($B340="","Arabica",$B340))&amp;" - "&amp;(IF($C340="","Commercial",$C340))),Variables!$B$1:$D$1,0),1))*AC340)+(T340*INDEX(Variables!$B$9:$D$9,IFERROR(MATCH(IF($B340="Robusta","Robusta",(IF($B340="","Arabica",$B340))&amp;" - "&amp;(IF($C340="","Commercial",$C340))),Variables!$B$1:$D$1,0),1))*AC340/365),""))</f>
        <v>-861.46971884080801</v>
      </c>
      <c r="AU340" s="12">
        <f>IF($H340="Cancelled","",IFERROR((T340*INDEX(Variables!$B$7:$D$7,IFERROR(MATCH(IF($B340="Robusta","Robusta",(IF($B340="","Arabica",$B340))&amp;" - "&amp;(IF($C340="","Commercial",$C340))),Variables!$B$1:$D$1,0),1))*AP340/365)+(L340/16.67*INDEX(Variables!$B$8:$D$8,IFERROR(MATCH(IF($B340="Robusta","Robusta",(IF($B340="","Arabica",$B340))&amp;" - "&amp;(IF($C340="","Commercial",$C340))),Variables!$B$1:$D$1,0),1))*AP340)+(T340*INDEX(Variables!$B$9:$D$9,IFERROR(MATCH(IF($B340="Robusta","Robusta",(IF($B340="","Arabica",$B340))&amp;" - "&amp;(IF($C340="","Commercial",$C340))),Variables!$B$1:$D$1,0),1))*AP340/365),""))</f>
        <v>-587.36571739146007</v>
      </c>
      <c r="AV340" s="11">
        <f t="shared" si="37"/>
        <v>1</v>
      </c>
      <c r="AW340" s="12">
        <f>IF($H340="Cancelled","",IFERROR(IF(AV340="","",(T340*INDEX(Variables!$B$7:$D$7,IFERROR(MATCH(IF($B340="Robusta","Robusta",(IF($B340="","Arabica",$B340))&amp;" - "&amp;(IF($C340="","Commercial",$C340))),Variables!$B$1:$D$1,0),1))*(AV340/365))+(T340*INDEX(Variables!$B$9:$D$9,IFERROR(MATCH(IF($B340="Robusta","Robusta",(IF($B340="","Arabica",$B340))&amp;" - "&amp;(IF($C340="","Commercial",$C340))),Variables!$B$1:$D$1,0),1))*(AV340/365))+(INDEX(Variables!$B$8:$D$8,IFERROR(MATCH(IF($B340="Robusta","Robusta",(IF($B340="","Arabica",$B340))&amp;" - "&amp;(IF($C340="","Commercial",$C340))),Variables!$B$1:$D$1,0),1))*L340/16.67)),""))</f>
        <v>39.157714492764001</v>
      </c>
      <c r="AX340" s="9"/>
      <c r="AY340" s="12"/>
      <c r="AZ340" s="10"/>
      <c r="BA340" s="9"/>
      <c r="BB340" s="10"/>
      <c r="BC340" s="9"/>
      <c r="BD340" s="9"/>
      <c r="BE340" s="9"/>
      <c r="BF340" s="9"/>
    </row>
    <row r="341" spans="1:58" x14ac:dyDescent="0.25">
      <c r="A341" s="9" t="s">
        <v>84</v>
      </c>
      <c r="B341" s="9" t="s">
        <v>85</v>
      </c>
      <c r="C341" s="9" t="s">
        <v>86</v>
      </c>
      <c r="D341" s="10">
        <v>45687</v>
      </c>
      <c r="E341" s="10">
        <v>45689</v>
      </c>
      <c r="F341" s="10">
        <v>45747</v>
      </c>
      <c r="G341" s="9">
        <v>3786652</v>
      </c>
      <c r="H341" s="9" t="str">
        <f t="shared" si="35"/>
        <v>Closed</v>
      </c>
      <c r="I341" s="9" t="str">
        <f t="shared" si="36"/>
        <v>All dates received</v>
      </c>
      <c r="J341" s="9" t="s">
        <v>102</v>
      </c>
      <c r="K341" s="9">
        <v>5180</v>
      </c>
      <c r="L341" s="11">
        <v>2240</v>
      </c>
      <c r="M341" s="9" t="s">
        <v>913</v>
      </c>
      <c r="N341" s="9" t="s">
        <v>122</v>
      </c>
      <c r="O341" s="9"/>
      <c r="P341" s="9"/>
      <c r="Q341" s="11">
        <v>-20</v>
      </c>
      <c r="R341" s="9" t="s">
        <v>90</v>
      </c>
      <c r="S341" s="9" t="s">
        <v>106</v>
      </c>
      <c r="T341" s="12">
        <f>IF($H341="Cancelled","",IFERROR(((Q341+INDEX(Variables!$B$6:$D$6,IFERROR(MATCH(IF($B341="Robusta","Robusta",(IF($B341="","Arabica",$B341))&amp;" - "&amp;(IF($C341="","Commercial",$C341))),Variables!$B$1:$D$1,0),1)))*22.0462)*(L341/16.67),""))</f>
        <v>802222.46853029379</v>
      </c>
      <c r="U341" s="10">
        <v>45692</v>
      </c>
      <c r="V341" s="9" t="str">
        <f t="shared" si="38"/>
        <v>Sent</v>
      </c>
      <c r="W341" s="10">
        <v>45698</v>
      </c>
      <c r="X341" s="9" t="str">
        <f t="shared" si="39"/>
        <v>Approved</v>
      </c>
      <c r="Y341" s="10"/>
      <c r="Z341" s="10">
        <f>IF($H341="Cancelled","",IFERROR(IF(F341="","",F341-Variables!$B$13),""))</f>
        <v>45732</v>
      </c>
      <c r="AA341" s="11">
        <f>IF($H341="Cancelled","",IFERROR(IF(W341="","",(AVERAGE(E341:F341)-W341)-Variables!$B$14),""))</f>
        <v>-10</v>
      </c>
      <c r="AB341" s="10">
        <v>45715</v>
      </c>
      <c r="AC341" s="11">
        <f>IF($H341="Cancelled","",IFERROR(IF(AB341="","",IF(AND(W341="",Y341=""),"",IF(Y341&gt;W341,Y341+Variables!$B$15+Variables!$B$16+Variables!$B$17-AB341,W341+Variables!$B$16+Variables!$B$17-AB341))),""))</f>
        <v>-9</v>
      </c>
      <c r="AD341" s="9" t="s">
        <v>165</v>
      </c>
      <c r="AE341" s="9" t="s">
        <v>662</v>
      </c>
      <c r="AF341" s="10">
        <v>45725</v>
      </c>
      <c r="AG341" s="10"/>
      <c r="AH341" s="9"/>
      <c r="AI341" s="9" t="s">
        <v>914</v>
      </c>
      <c r="AJ341" s="9" t="s">
        <v>8</v>
      </c>
      <c r="AK341" s="10">
        <v>45732</v>
      </c>
      <c r="AL341" s="10">
        <v>45734</v>
      </c>
      <c r="AM341" s="10">
        <v>45735</v>
      </c>
      <c r="AN341" s="9" t="s">
        <v>95</v>
      </c>
      <c r="AO341" s="9"/>
      <c r="AP341" s="11">
        <f>IF($H341="Cancelled","",IFERROR(IF(OR(AK341="",AB341=""),"",(AB341+Variables!$B$18-AK341)),""))</f>
        <v>-10</v>
      </c>
      <c r="AQ341" s="11">
        <f>IF($H341="Cancelled","",IFERROR(IF(OR(AM341="",AK341=""),"",(AK341+Variables!$B$19)-AM341),""))</f>
        <v>2</v>
      </c>
      <c r="AR341" s="12">
        <f>IF($H341="Cancelled","",IFERROR(T341*INDEX(Variables!$B$7:$D$7,IFERROR(MATCH(IF($B341="Robusta","Robusta",(IF($B341="","Arabica",$B341))&amp;" - "&amp;(IF($C341="","Commercial",$C341))),Variables!$B$1:$D$1,0),1))*(AQ341/365),""))</f>
        <v>283.44695704254309</v>
      </c>
      <c r="AS341" s="12">
        <f>IF($H341="Cancelled","",IFERROR((T341*INDEX(Variables!$B$7:$D$7,IFERROR(MATCH(IF($B341="Robusta","Robusta",(IF($B341="","Arabica",$B341))&amp;" - "&amp;(IF($C341="","Commercial",$C341))),Variables!$B$1:$D$1,0),1))*IFERROR(IF(W341="","",(AVERAGE(E341:F341)-W341)-Variables!$B$14),"")/365)+(L341/16.67*INDEX(Variables!$B$8:$D$8,IFERROR(MATCH(IF($B341="Robusta","Robusta",(IF($B341="","Arabica",$B341))&amp;" - "&amp;(IF($C341="","Commercial",$C341))),Variables!$B$1:$D$1,0),1))*IFERROR(IF(W341="","",(AVERAGE(E341:F341)-W341)-Variables!$B$14),""))+(T341*INDEX(Variables!$B$9:$D$9,IFERROR(MATCH(IF($B341="Robusta","Robusta",(IF($B341="","Arabica",$B341))&amp;" - "&amp;(IF($C341="","Commercial",$C341))),Variables!$B$1:$D$1,0),1))*IFERROR(IF(W341="","",(AVERAGE(E341:F341)-W341)-Variables!$B$14),"")/365),""))</f>
        <v>-2555.5056766672151</v>
      </c>
      <c r="AT341" s="12">
        <f>IF($H341="Cancelled","",IFERROR((T341*INDEX(Variables!$B$7:$D$7,IFERROR(MATCH(IF($B341="Robusta","Robusta",(IF($B341="","Arabica",$B341))&amp;" - "&amp;(IF($C341="","Commercial",$C341))),Variables!$B$1:$D$1,0),1))*AC341/365)+(L341/16.67*INDEX(Variables!$B$8:$D$8,IFERROR(MATCH(IF($B341="Robusta","Robusta",(IF($B341="","Arabica",$B341))&amp;" - "&amp;(IF($C341="","Commercial",$C341))),Variables!$B$1:$D$1,0),1))*AC341)+(T341*INDEX(Variables!$B$9:$D$9,IFERROR(MATCH(IF($B341="Robusta","Robusta",(IF($B341="","Arabica",$B341))&amp;" - "&amp;(IF($C341="","Commercial",$C341))),Variables!$B$1:$D$1,0),1))*AC341/365),""))</f>
        <v>-2299.9551090004934</v>
      </c>
      <c r="AU341" s="12">
        <f>IF($H341="Cancelled","",IFERROR((T341*INDEX(Variables!$B$7:$D$7,IFERROR(MATCH(IF($B341="Robusta","Robusta",(IF($B341="","Arabica",$B341))&amp;" - "&amp;(IF($C341="","Commercial",$C341))),Variables!$B$1:$D$1,0),1))*AP341/365)+(L341/16.67*INDEX(Variables!$B$8:$D$8,IFERROR(MATCH(IF($B341="Robusta","Robusta",(IF($B341="","Arabica",$B341))&amp;" - "&amp;(IF($C341="","Commercial",$C341))),Variables!$B$1:$D$1,0),1))*AP341)+(T341*INDEX(Variables!$B$9:$D$9,IFERROR(MATCH(IF($B341="Robusta","Robusta",(IF($B341="","Arabica",$B341))&amp;" - "&amp;(IF($C341="","Commercial",$C341))),Variables!$B$1:$D$1,0),1))*AP341/365),""))</f>
        <v>-2555.5056766672151</v>
      </c>
      <c r="AV341" s="11">
        <f t="shared" si="37"/>
        <v>15</v>
      </c>
      <c r="AW341" s="12">
        <f>IF($H341="Cancelled","",IFERROR(IF(AV341="","",(T341*INDEX(Variables!$B$7:$D$7,IFERROR(MATCH(IF($B341="Robusta","Robusta",(IF($B341="","Arabica",$B341))&amp;" - "&amp;(IF($C341="","Commercial",$C341))),Variables!$B$1:$D$1,0),1))*(AV341/365))+(T341*INDEX(Variables!$B$9:$D$9,IFERROR(MATCH(IF($B341="Robusta","Robusta",(IF($B341="","Arabica",$B341))&amp;" - "&amp;(IF($C341="","Commercial",$C341))),Variables!$B$1:$D$1,0),1))*(AV341/365))+(INDEX(Variables!$B$8:$D$8,IFERROR(MATCH(IF($B341="Robusta","Robusta",(IF($B341="","Arabica",$B341))&amp;" - "&amp;(IF($C341="","Commercial",$C341))),Variables!$B$1:$D$1,0),1))*L341/16.67)),""))</f>
        <v>2265.2585150008222</v>
      </c>
      <c r="AX341" s="9"/>
      <c r="AY341" s="12"/>
      <c r="AZ341" s="10"/>
      <c r="BA341" s="9"/>
      <c r="BB341" s="10"/>
      <c r="BC341" s="9"/>
      <c r="BD341" s="9"/>
      <c r="BE341" s="9"/>
      <c r="BF341" s="9"/>
    </row>
    <row r="342" spans="1:58" x14ac:dyDescent="0.25">
      <c r="A342" s="9" t="s">
        <v>84</v>
      </c>
      <c r="B342" s="9" t="s">
        <v>85</v>
      </c>
      <c r="C342" s="9" t="s">
        <v>86</v>
      </c>
      <c r="D342" s="10">
        <v>45687</v>
      </c>
      <c r="E342" s="10">
        <v>45778</v>
      </c>
      <c r="F342" s="10">
        <v>45808</v>
      </c>
      <c r="G342" s="9">
        <v>3786651</v>
      </c>
      <c r="H342" s="9" t="str">
        <f t="shared" si="35"/>
        <v>Closed</v>
      </c>
      <c r="I342" s="9" t="str">
        <f t="shared" si="36"/>
        <v>All dates received</v>
      </c>
      <c r="J342" s="9" t="s">
        <v>303</v>
      </c>
      <c r="K342" s="9" t="s">
        <v>915</v>
      </c>
      <c r="L342" s="11">
        <v>309</v>
      </c>
      <c r="M342" s="9" t="s">
        <v>916</v>
      </c>
      <c r="N342" s="9" t="s">
        <v>149</v>
      </c>
      <c r="O342" s="9"/>
      <c r="P342" s="9"/>
      <c r="Q342" s="11">
        <v>8</v>
      </c>
      <c r="R342" s="9" t="s">
        <v>90</v>
      </c>
      <c r="S342" s="9" t="s">
        <v>91</v>
      </c>
      <c r="T342" s="12">
        <f>IF($H342="Cancelled","",IFERROR(((Q342+INDEX(Variables!$B$6:$D$6,IFERROR(MATCH(IF($B342="Robusta","Robusta",(IF($B342="","Arabica",$B342))&amp;" - "&amp;(IF($C342="","Commercial",$C342))),Variables!$B$1:$D$1,0),1)))*22.0462)*(L342/16.67),""))</f>
        <v>122106.05933053387</v>
      </c>
      <c r="U342" s="10">
        <v>45749</v>
      </c>
      <c r="V342" s="9" t="str">
        <f t="shared" si="38"/>
        <v>Sent</v>
      </c>
      <c r="W342" s="10">
        <v>45761</v>
      </c>
      <c r="X342" s="9" t="str">
        <f t="shared" si="39"/>
        <v>Approved</v>
      </c>
      <c r="Y342" s="10"/>
      <c r="Z342" s="10">
        <f>IF($H342="Cancelled","",IFERROR(IF(F342="","",F342-Variables!$B$13),""))</f>
        <v>45793</v>
      </c>
      <c r="AA342" s="11">
        <f>IF($H342="Cancelled","",IFERROR(IF(W342="","",(AVERAGE(E342:F342)-W342)-Variables!$B$14),""))</f>
        <v>2</v>
      </c>
      <c r="AB342" s="10">
        <v>45789</v>
      </c>
      <c r="AC342" s="11">
        <f>IF($H342="Cancelled","",IFERROR(IF(AB342="","",IF(AND(W342="",Y342=""),"",IF(Y342&gt;W342,Y342+Variables!$B$15+Variables!$B$16+Variables!$B$17-AB342,W342+Variables!$B$16+Variables!$B$17-AB342))),""))</f>
        <v>-20</v>
      </c>
      <c r="AD342" s="9" t="s">
        <v>163</v>
      </c>
      <c r="AE342" s="9" t="s">
        <v>760</v>
      </c>
      <c r="AF342" s="10"/>
      <c r="AG342" s="10"/>
      <c r="AH342" s="9"/>
      <c r="AI342" s="9">
        <v>253467055</v>
      </c>
      <c r="AJ342" s="9" t="s">
        <v>8</v>
      </c>
      <c r="AK342" s="10">
        <v>45798</v>
      </c>
      <c r="AL342" s="10">
        <v>45807</v>
      </c>
      <c r="AM342" s="10">
        <v>45812</v>
      </c>
      <c r="AN342" s="9" t="s">
        <v>95</v>
      </c>
      <c r="AO342" s="9"/>
      <c r="AP342" s="11">
        <f>IF($H342="Cancelled","",IFERROR(IF(OR(AK342="",AB342=""),"",(AB342+Variables!$B$18-AK342)),""))</f>
        <v>-2</v>
      </c>
      <c r="AQ342" s="11">
        <f>IF($H342="Cancelled","",IFERROR(IF(OR(AM342="",AK342=""),"",(AK342+Variables!$B$19)-AM342),""))</f>
        <v>-9</v>
      </c>
      <c r="AR342" s="12">
        <f>IF($H342="Cancelled","",IFERROR(T342*INDEX(Variables!$B$7:$D$7,IFERROR(MATCH(IF($B342="Robusta","Robusta",(IF($B342="","Arabica",$B342))&amp;" - "&amp;(IF($C342="","Commercial",$C342))),Variables!$B$1:$D$1,0),1))*(AQ342/365),""))</f>
        <v>-194.14522205663059</v>
      </c>
      <c r="AS342" s="12">
        <f>IF($H342="Cancelled","",IFERROR((T342*INDEX(Variables!$B$7:$D$7,IFERROR(MATCH(IF($B342="Robusta","Robusta",(IF($B342="","Arabica",$B342))&amp;" - "&amp;(IF($C342="","Commercial",$C342))),Variables!$B$1:$D$1,0),1))*IFERROR(IF(W342="","",(AVERAGE(E342:F342)-W342)-Variables!$B$14),"")/365)+(L342/16.67*INDEX(Variables!$B$8:$D$8,IFERROR(MATCH(IF($B342="Robusta","Robusta",(IF($B342="","Arabica",$B342))&amp;" - "&amp;(IF($C342="","Commercial",$C342))),Variables!$B$1:$D$1,0),1))*IFERROR(IF(W342="","",(AVERAGE(E342:F342)-W342)-Variables!$B$14),""))+(T342*INDEX(Variables!$B$9:$D$9,IFERROR(MATCH(IF($B342="Robusta","Robusta",(IF($B342="","Arabica",$B342))&amp;" - "&amp;(IF($C342="","Commercial",$C342))),Variables!$B$1:$D$1,0),1))*IFERROR(IF(W342="","",(AVERAGE(E342:F342)-W342)-Variables!$B$14),"")/365),""))</f>
        <v>74.599584142930539</v>
      </c>
      <c r="AT342" s="12">
        <f>IF($H342="Cancelled","",IFERROR((T342*INDEX(Variables!$B$7:$D$7,IFERROR(MATCH(IF($B342="Robusta","Robusta",(IF($B342="","Arabica",$B342))&amp;" - "&amp;(IF($C342="","Commercial",$C342))),Variables!$B$1:$D$1,0),1))*AC342/365)+(L342/16.67*INDEX(Variables!$B$8:$D$8,IFERROR(MATCH(IF($B342="Robusta","Robusta",(IF($B342="","Arabica",$B342))&amp;" - "&amp;(IF($C342="","Commercial",$C342))),Variables!$B$1:$D$1,0),1))*AC342)+(T342*INDEX(Variables!$B$9:$D$9,IFERROR(MATCH(IF($B342="Robusta","Robusta",(IF($B342="","Arabica",$B342))&amp;" - "&amp;(IF($C342="","Commercial",$C342))),Variables!$B$1:$D$1,0),1))*AC342/365),""))</f>
        <v>-745.99584142930553</v>
      </c>
      <c r="AU342" s="12">
        <f>IF($H342="Cancelled","",IFERROR((T342*INDEX(Variables!$B$7:$D$7,IFERROR(MATCH(IF($B342="Robusta","Robusta",(IF($B342="","Arabica",$B342))&amp;" - "&amp;(IF($C342="","Commercial",$C342))),Variables!$B$1:$D$1,0),1))*AP342/365)+(L342/16.67*INDEX(Variables!$B$8:$D$8,IFERROR(MATCH(IF($B342="Robusta","Robusta",(IF($B342="","Arabica",$B342))&amp;" - "&amp;(IF($C342="","Commercial",$C342))),Variables!$B$1:$D$1,0),1))*AP342)+(T342*INDEX(Variables!$B$9:$D$9,IFERROR(MATCH(IF($B342="Robusta","Robusta",(IF($B342="","Arabica",$B342))&amp;" - "&amp;(IF($C342="","Commercial",$C342))),Variables!$B$1:$D$1,0),1))*AP342/365),""))</f>
        <v>-74.599584142930539</v>
      </c>
      <c r="AV342" s="11">
        <f t="shared" si="37"/>
        <v>10</v>
      </c>
      <c r="AW342" s="12">
        <f>IF($H342="Cancelled","",IFERROR(IF(AV342="","",(T342*INDEX(Variables!$B$7:$D$7,IFERROR(MATCH(IF($B342="Robusta","Robusta",(IF($B342="","Arabica",$B342))&amp;" - "&amp;(IF($C342="","Commercial",$C342))),Variables!$B$1:$D$1,0),1))*(AV342/365))+(T342*INDEX(Variables!$B$9:$D$9,IFERROR(MATCH(IF($B342="Robusta","Robusta",(IF($B342="","Arabica",$B342))&amp;" - "&amp;(IF($C342="","Commercial",$C342))),Variables!$B$1:$D$1,0),1))*(AV342/365))+(INDEX(Variables!$B$8:$D$8,IFERROR(MATCH(IF($B342="Robusta","Robusta",(IF($B342="","Arabica",$B342))&amp;" - "&amp;(IF($C342="","Commercial",$C342))),Variables!$B$1:$D$1,0),1))*L342/16.67)),""))</f>
        <v>233.9479207146527</v>
      </c>
      <c r="AX342" s="9"/>
      <c r="AY342" s="12"/>
      <c r="AZ342" s="10"/>
      <c r="BA342" s="9"/>
      <c r="BB342" s="10"/>
      <c r="BC342" s="9"/>
      <c r="BD342" s="9"/>
      <c r="BE342" s="9"/>
      <c r="BF342" s="9"/>
    </row>
    <row r="343" spans="1:58" ht="115.5" x14ac:dyDescent="0.25">
      <c r="A343" s="9" t="s">
        <v>84</v>
      </c>
      <c r="B343" s="9" t="s">
        <v>85</v>
      </c>
      <c r="C343" s="9" t="s">
        <v>86</v>
      </c>
      <c r="D343" s="10">
        <v>45693</v>
      </c>
      <c r="E343" s="10">
        <v>45717</v>
      </c>
      <c r="F343" s="10">
        <v>45747</v>
      </c>
      <c r="G343" s="9">
        <v>3786673</v>
      </c>
      <c r="H343" s="9" t="str">
        <f t="shared" si="35"/>
        <v>Closed</v>
      </c>
      <c r="I343" s="9" t="str">
        <f t="shared" si="36"/>
        <v>All dates received</v>
      </c>
      <c r="J343" s="9" t="s">
        <v>102</v>
      </c>
      <c r="K343" s="9">
        <v>5211</v>
      </c>
      <c r="L343" s="11">
        <v>1000</v>
      </c>
      <c r="M343" s="13" t="s">
        <v>917</v>
      </c>
      <c r="N343" s="9" t="s">
        <v>455</v>
      </c>
      <c r="O343" s="9"/>
      <c r="P343" s="9"/>
      <c r="Q343" s="11">
        <v>58.7</v>
      </c>
      <c r="R343" s="9" t="s">
        <v>90</v>
      </c>
      <c r="S343" s="9" t="s">
        <v>465</v>
      </c>
      <c r="T343" s="12">
        <f>IF($H343="Cancelled","",IFERROR(((Q343+INDEX(Variables!$B$6:$D$6,IFERROR(MATCH(IF($B343="Robusta","Robusta",(IF($B343="","Arabica",$B343))&amp;" - "&amp;(IF($C343="","Commercial",$C343))),Variables!$B$1:$D$1,0),1)))*22.0462)*(L343/16.67),""))</f>
        <v>462216.37072585477</v>
      </c>
      <c r="U343" s="10">
        <v>45714</v>
      </c>
      <c r="V343" s="9" t="str">
        <f t="shared" si="38"/>
        <v>Sent</v>
      </c>
      <c r="W343" s="10">
        <v>45726</v>
      </c>
      <c r="X343" s="9" t="str">
        <f t="shared" si="39"/>
        <v>Approved</v>
      </c>
      <c r="Y343" s="10"/>
      <c r="Z343" s="10">
        <f>IF($H343="Cancelled","",IFERROR(IF(F343="","",F343-Variables!$B$13),""))</f>
        <v>45732</v>
      </c>
      <c r="AA343" s="11">
        <f>IF($H343="Cancelled","",IFERROR(IF(W343="","",(AVERAGE(E343:F343)-W343)-Variables!$B$14),""))</f>
        <v>-24</v>
      </c>
      <c r="AB343" s="10">
        <v>45737</v>
      </c>
      <c r="AC343" s="11">
        <f>IF($H343="Cancelled","",IFERROR(IF(AB343="","",IF(AND(W343="",Y343=""),"",IF(Y343&gt;W343,Y343+Variables!$B$15+Variables!$B$16+Variables!$B$17-AB343,W343+Variables!$B$16+Variables!$B$17-AB343))),""))</f>
        <v>-3</v>
      </c>
      <c r="AD343" s="9" t="s">
        <v>151</v>
      </c>
      <c r="AE343" s="9" t="s">
        <v>918</v>
      </c>
      <c r="AF343" s="10" t="s">
        <v>762</v>
      </c>
      <c r="AG343" s="10"/>
      <c r="AH343" s="9"/>
      <c r="AI343" s="9" t="s">
        <v>919</v>
      </c>
      <c r="AJ343" s="9" t="s">
        <v>8</v>
      </c>
      <c r="AK343" s="10">
        <v>45758</v>
      </c>
      <c r="AL343" s="10">
        <v>45764</v>
      </c>
      <c r="AM343" s="10">
        <v>45764</v>
      </c>
      <c r="AN343" s="9" t="s">
        <v>95</v>
      </c>
      <c r="AO343" s="9"/>
      <c r="AP343" s="11">
        <f>IF($H343="Cancelled","",IFERROR(IF(OR(AK343="",AB343=""),"",(AB343+Variables!$B$18-AK343)),""))</f>
        <v>-14</v>
      </c>
      <c r="AQ343" s="11">
        <f>IF($H343="Cancelled","",IFERROR(IF(OR(AM343="",AK343=""),"",(AK343+Variables!$B$19)-AM343),""))</f>
        <v>-1</v>
      </c>
      <c r="AR343" s="12">
        <f>IF($H343="Cancelled","",IFERROR(T343*INDEX(Variables!$B$7:$D$7,IFERROR(MATCH(IF($B343="Robusta","Robusta",(IF($B343="","Arabica",$B343))&amp;" - "&amp;(IF($C343="","Commercial",$C343))),Variables!$B$1:$D$1,0),1))*(AQ343/365),""))</f>
        <v>-81.656790302517024</v>
      </c>
      <c r="AS343" s="12">
        <f>IF($H343="Cancelled","",IFERROR((T343*INDEX(Variables!$B$7:$D$7,IFERROR(MATCH(IF($B343="Robusta","Robusta",(IF($B343="","Arabica",$B343))&amp;" - "&amp;(IF($C343="","Commercial",$C343))),Variables!$B$1:$D$1,0),1))*IFERROR(IF(W343="","",(AVERAGE(E343:F343)-W343)-Variables!$B$14),"")/365)+(L343/16.67*INDEX(Variables!$B$8:$D$8,IFERROR(MATCH(IF($B343="Robusta","Robusta",(IF($B343="","Arabica",$B343))&amp;" - "&amp;(IF($C343="","Commercial",$C343))),Variables!$B$1:$D$1,0),1))*IFERROR(IF(W343="","",(AVERAGE(E343:F343)-W343)-Variables!$B$14),""))+(T343*INDEX(Variables!$B$9:$D$9,IFERROR(MATCH(IF($B343="Robusta","Robusta",(IF($B343="","Arabica",$B343))&amp;" - "&amp;(IF($C343="","Commercial",$C343))),Variables!$B$1:$D$1,0),1))*IFERROR(IF(W343="","",(AVERAGE(E343:F343)-W343)-Variables!$B$14),"")/365),""))</f>
        <v>-3185.0280939881504</v>
      </c>
      <c r="AT343" s="12">
        <f>IF($H343="Cancelled","",IFERROR((T343*INDEX(Variables!$B$7:$D$7,IFERROR(MATCH(IF($B343="Robusta","Robusta",(IF($B343="","Arabica",$B343))&amp;" - "&amp;(IF($C343="","Commercial",$C343))),Variables!$B$1:$D$1,0),1))*AC343/365)+(L343/16.67*INDEX(Variables!$B$8:$D$8,IFERROR(MATCH(IF($B343="Robusta","Robusta",(IF($B343="","Arabica",$B343))&amp;" - "&amp;(IF($C343="","Commercial",$C343))),Variables!$B$1:$D$1,0),1))*AC343)+(T343*INDEX(Variables!$B$9:$D$9,IFERROR(MATCH(IF($B343="Robusta","Robusta",(IF($B343="","Arabica",$B343))&amp;" - "&amp;(IF($C343="","Commercial",$C343))),Variables!$B$1:$D$1,0),1))*AC343/365),""))</f>
        <v>-398.1285117485188</v>
      </c>
      <c r="AU343" s="12">
        <f>IF($H343="Cancelled","",IFERROR((T343*INDEX(Variables!$B$7:$D$7,IFERROR(MATCH(IF($B343="Robusta","Robusta",(IF($B343="","Arabica",$B343))&amp;" - "&amp;(IF($C343="","Commercial",$C343))),Variables!$B$1:$D$1,0),1))*AP343/365)+(L343/16.67*INDEX(Variables!$B$8:$D$8,IFERROR(MATCH(IF($B343="Robusta","Robusta",(IF($B343="","Arabica",$B343))&amp;" - "&amp;(IF($C343="","Commercial",$C343))),Variables!$B$1:$D$1,0),1))*AP343)+(T343*INDEX(Variables!$B$9:$D$9,IFERROR(MATCH(IF($B343="Robusta","Robusta",(IF($B343="","Arabica",$B343))&amp;" - "&amp;(IF($C343="","Commercial",$C343))),Variables!$B$1:$D$1,0),1))*AP343/365),""))</f>
        <v>-1857.9330548264211</v>
      </c>
      <c r="AV343" s="11">
        <f t="shared" si="37"/>
        <v>-11</v>
      </c>
      <c r="AW343" s="12">
        <f>IF($H343="Cancelled","",IFERROR(IF(AV343="","",(T343*INDEX(Variables!$B$7:$D$7,IFERROR(MATCH(IF($B343="Robusta","Robusta",(IF($B343="","Arabica",$B343))&amp;" - "&amp;(IF($C343="","Commercial",$C343))),Variables!$B$1:$D$1,0),1))*(AV343/365))+(T343*INDEX(Variables!$B$9:$D$9,IFERROR(MATCH(IF($B343="Robusta","Robusta",(IF($B343="","Arabica",$B343))&amp;" - "&amp;(IF($C343="","Commercial",$C343))),Variables!$B$1:$D$1,0),1))*(AV343/365))+(INDEX(Variables!$B$8:$D$8,IFERROR(MATCH(IF($B343="Robusta","Robusta",(IF($B343="","Arabica",$B343))&amp;" - "&amp;(IF($C343="","Commercial",$C343))),Variables!$B$1:$D$1,0),1))*L343/16.67)),""))</f>
        <v>-859.80454307790217</v>
      </c>
      <c r="AX343" s="9"/>
      <c r="AY343" s="12"/>
      <c r="AZ343" s="10"/>
      <c r="BA343" s="9"/>
      <c r="BB343" s="10"/>
      <c r="BC343" s="9"/>
      <c r="BD343" s="9"/>
      <c r="BE343" s="9"/>
      <c r="BF343" s="9"/>
    </row>
    <row r="344" spans="1:58" x14ac:dyDescent="0.25">
      <c r="A344" s="9" t="s">
        <v>84</v>
      </c>
      <c r="B344" s="9" t="s">
        <v>85</v>
      </c>
      <c r="C344" s="9" t="s">
        <v>86</v>
      </c>
      <c r="D344" s="10">
        <v>45700</v>
      </c>
      <c r="E344" s="10">
        <v>45717</v>
      </c>
      <c r="F344" s="10">
        <v>45747</v>
      </c>
      <c r="G344" s="9">
        <v>3786698</v>
      </c>
      <c r="H344" s="9" t="str">
        <f t="shared" si="35"/>
        <v>Closed</v>
      </c>
      <c r="I344" s="9" t="str">
        <f t="shared" si="36"/>
        <v>All dates received</v>
      </c>
      <c r="J344" s="9" t="s">
        <v>308</v>
      </c>
      <c r="K344" s="9">
        <v>5193</v>
      </c>
      <c r="L344" s="11">
        <v>1800</v>
      </c>
      <c r="M344" s="9" t="s">
        <v>920</v>
      </c>
      <c r="N344" s="9" t="s">
        <v>455</v>
      </c>
      <c r="O344" s="9"/>
      <c r="P344" s="9"/>
      <c r="Q344" s="11">
        <v>30</v>
      </c>
      <c r="R344" s="9" t="s">
        <v>90</v>
      </c>
      <c r="S344" s="9" t="s">
        <v>106</v>
      </c>
      <c r="T344" s="12">
        <f>IF($H344="Cancelled","",IFERROR(((Q344+INDEX(Variables!$B$6:$D$6,IFERROR(MATCH(IF($B344="Robusta","Robusta",(IF($B344="","Arabica",$B344))&amp;" - "&amp;(IF($C344="","Commercial",$C344))),Variables!$B$1:$D$1,0),1)))*22.0462)*(L344/16.67),""))</f>
        <v>763668.7299340131</v>
      </c>
      <c r="U344" s="10">
        <v>45702</v>
      </c>
      <c r="V344" s="9" t="str">
        <f t="shared" si="38"/>
        <v>Sent</v>
      </c>
      <c r="W344" s="10">
        <v>45707</v>
      </c>
      <c r="X344" s="9" t="str">
        <f t="shared" si="39"/>
        <v>Approved</v>
      </c>
      <c r="Y344" s="10"/>
      <c r="Z344" s="10">
        <f>IF($H344="Cancelled","",IFERROR(IF(F344="","",F344-Variables!$B$13),""))</f>
        <v>45732</v>
      </c>
      <c r="AA344" s="11">
        <f>IF($H344="Cancelled","",IFERROR(IF(W344="","",(AVERAGE(E344:F344)-W344)-Variables!$B$14),""))</f>
        <v>-5</v>
      </c>
      <c r="AB344" s="10">
        <v>45730</v>
      </c>
      <c r="AC344" s="11">
        <f>IF($H344="Cancelled","",IFERROR(IF(AB344="","",IF(AND(W344="",Y344=""),"",IF(Y344&gt;W344,Y344+Variables!$B$15+Variables!$B$16+Variables!$B$17-AB344,W344+Variables!$B$16+Variables!$B$17-AB344))),""))</f>
        <v>-15</v>
      </c>
      <c r="AD344" s="9" t="s">
        <v>165</v>
      </c>
      <c r="AE344" s="9" t="s">
        <v>684</v>
      </c>
      <c r="AF344" s="10">
        <v>45738</v>
      </c>
      <c r="AG344" s="10"/>
      <c r="AH344" s="9"/>
      <c r="AI344" s="9" t="s">
        <v>921</v>
      </c>
      <c r="AJ344" s="9" t="s">
        <v>8</v>
      </c>
      <c r="AK344" s="10">
        <v>45742</v>
      </c>
      <c r="AL344" s="10">
        <v>45744</v>
      </c>
      <c r="AM344" s="10">
        <v>45750</v>
      </c>
      <c r="AN344" s="9" t="s">
        <v>95</v>
      </c>
      <c r="AO344" s="9"/>
      <c r="AP344" s="11">
        <f>IF($H344="Cancelled","",IFERROR(IF(OR(AK344="",AB344=""),"",(AB344+Variables!$B$18-AK344)),""))</f>
        <v>-5</v>
      </c>
      <c r="AQ344" s="11">
        <f>IF($H344="Cancelled","",IFERROR(IF(OR(AM344="",AK344=""),"",(AK344+Variables!$B$19)-AM344),""))</f>
        <v>-3</v>
      </c>
      <c r="AR344" s="12">
        <f>IF($H344="Cancelled","",IFERROR(T344*INDEX(Variables!$B$7:$D$7,IFERROR(MATCH(IF($B344="Robusta","Robusta",(IF($B344="","Arabica",$B344))&amp;" - "&amp;(IF($C344="","Commercial",$C344))),Variables!$B$1:$D$1,0),1))*(AQ344/365),""))</f>
        <v>-404.73731323850149</v>
      </c>
      <c r="AS344" s="12">
        <f>IF($H344="Cancelled","",IFERROR((T344*INDEX(Variables!$B$7:$D$7,IFERROR(MATCH(IF($B344="Robusta","Robusta",(IF($B344="","Arabica",$B344))&amp;" - "&amp;(IF($C344="","Commercial",$C344))),Variables!$B$1:$D$1,0),1))*IFERROR(IF(W344="","",(AVERAGE(E344:F344)-W344)-Variables!$B$14),"")/365)+(L344/16.67*INDEX(Variables!$B$8:$D$8,IFERROR(MATCH(IF($B344="Robusta","Robusta",(IF($B344="","Arabica",$B344))&amp;" - "&amp;(IF($C344="","Commercial",$C344))),Variables!$B$1:$D$1,0),1))*IFERROR(IF(W344="","",(AVERAGE(E344:F344)-W344)-Variables!$B$14),""))+(T344*INDEX(Variables!$B$9:$D$9,IFERROR(MATCH(IF($B344="Robusta","Robusta",(IF($B344="","Arabica",$B344))&amp;" - "&amp;(IF($C344="","Commercial",$C344))),Variables!$B$1:$D$1,0),1))*IFERROR(IF(W344="","",(AVERAGE(E344:F344)-W344)-Variables!$B$14),"")/365),""))</f>
        <v>-1133.2585971581527</v>
      </c>
      <c r="AT344" s="12">
        <f>IF($H344="Cancelled","",IFERROR((T344*INDEX(Variables!$B$7:$D$7,IFERROR(MATCH(IF($B344="Robusta","Robusta",(IF($B344="","Arabica",$B344))&amp;" - "&amp;(IF($C344="","Commercial",$C344))),Variables!$B$1:$D$1,0),1))*AC344/365)+(L344/16.67*INDEX(Variables!$B$8:$D$8,IFERROR(MATCH(IF($B344="Robusta","Robusta",(IF($B344="","Arabica",$B344))&amp;" - "&amp;(IF($C344="","Commercial",$C344))),Variables!$B$1:$D$1,0),1))*AC344)+(T344*INDEX(Variables!$B$9:$D$9,IFERROR(MATCH(IF($B344="Robusta","Robusta",(IF($B344="","Arabica",$B344))&amp;" - "&amp;(IF($C344="","Commercial",$C344))),Variables!$B$1:$D$1,0),1))*AC344/365),""))</f>
        <v>-3399.7757914744589</v>
      </c>
      <c r="AU344" s="12">
        <f>IF($H344="Cancelled","",IFERROR((T344*INDEX(Variables!$B$7:$D$7,IFERROR(MATCH(IF($B344="Robusta","Robusta",(IF($B344="","Arabica",$B344))&amp;" - "&amp;(IF($C344="","Commercial",$C344))),Variables!$B$1:$D$1,0),1))*AP344/365)+(L344/16.67*INDEX(Variables!$B$8:$D$8,IFERROR(MATCH(IF($B344="Robusta","Robusta",(IF($B344="","Arabica",$B344))&amp;" - "&amp;(IF($C344="","Commercial",$C344))),Variables!$B$1:$D$1,0),1))*AP344)+(T344*INDEX(Variables!$B$9:$D$9,IFERROR(MATCH(IF($B344="Robusta","Robusta",(IF($B344="","Arabica",$B344))&amp;" - "&amp;(IF($C344="","Commercial",$C344))),Variables!$B$1:$D$1,0),1))*AP344/365),""))</f>
        <v>-1133.2585971581527</v>
      </c>
      <c r="AV344" s="11">
        <f t="shared" si="37"/>
        <v>5</v>
      </c>
      <c r="AW344" s="12">
        <f>IF($H344="Cancelled","",IFERROR(IF(AV344="","",(T344*INDEX(Variables!$B$7:$D$7,IFERROR(MATCH(IF($B344="Robusta","Robusta",(IF($B344="","Arabica",$B344))&amp;" - "&amp;(IF($C344="","Commercial",$C344))),Variables!$B$1:$D$1,0),1))*(AV344/365))+(T344*INDEX(Variables!$B$9:$D$9,IFERROR(MATCH(IF($B344="Robusta","Robusta",(IF($B344="","Arabica",$B344))&amp;" - "&amp;(IF($C344="","Commercial",$C344))),Variables!$B$1:$D$1,0),1))*(AV344/365))+(INDEX(Variables!$B$8:$D$8,IFERROR(MATCH(IF($B344="Robusta","Robusta",(IF($B344="","Arabica",$B344))&amp;" - "&amp;(IF($C344="","Commercial",$C344))),Variables!$B$1:$D$1,0),1))*L344/16.67)),""))</f>
        <v>773.25859715815284</v>
      </c>
      <c r="AX344" s="9"/>
      <c r="AY344" s="12"/>
      <c r="AZ344" s="10"/>
      <c r="BA344" s="9"/>
      <c r="BB344" s="10"/>
      <c r="BC344" s="9"/>
      <c r="BD344" s="9"/>
      <c r="BE344" s="9"/>
      <c r="BF344" s="9"/>
    </row>
    <row r="345" spans="1:58" x14ac:dyDescent="0.25">
      <c r="A345" s="9" t="s">
        <v>84</v>
      </c>
      <c r="B345" s="9" t="s">
        <v>85</v>
      </c>
      <c r="C345" s="9" t="s">
        <v>86</v>
      </c>
      <c r="D345" s="10">
        <v>45700</v>
      </c>
      <c r="E345" s="10">
        <v>45717</v>
      </c>
      <c r="F345" s="10">
        <v>45747</v>
      </c>
      <c r="G345" s="9">
        <v>3786699</v>
      </c>
      <c r="H345" s="9" t="str">
        <f t="shared" si="35"/>
        <v>Closed</v>
      </c>
      <c r="I345" s="9" t="str">
        <f t="shared" si="36"/>
        <v>All dates received</v>
      </c>
      <c r="J345" s="9" t="s">
        <v>308</v>
      </c>
      <c r="K345" s="9">
        <v>5194</v>
      </c>
      <c r="L345" s="11">
        <v>1800</v>
      </c>
      <c r="M345" s="9" t="s">
        <v>922</v>
      </c>
      <c r="N345" s="9" t="s">
        <v>455</v>
      </c>
      <c r="O345" s="9"/>
      <c r="P345" s="9"/>
      <c r="Q345" s="11">
        <v>30</v>
      </c>
      <c r="R345" s="9" t="s">
        <v>90</v>
      </c>
      <c r="S345" s="9" t="s">
        <v>106</v>
      </c>
      <c r="T345" s="12">
        <f>IF($H345="Cancelled","",IFERROR(((Q345+INDEX(Variables!$B$6:$D$6,IFERROR(MATCH(IF($B345="Robusta","Robusta",(IF($B345="","Arabica",$B345))&amp;" - "&amp;(IF($C345="","Commercial",$C345))),Variables!$B$1:$D$1,0),1)))*22.0462)*(L345/16.67),""))</f>
        <v>763668.7299340131</v>
      </c>
      <c r="U345" s="10">
        <v>45702</v>
      </c>
      <c r="V345" s="9" t="str">
        <f t="shared" si="38"/>
        <v>Sent</v>
      </c>
      <c r="W345" s="10">
        <v>45707</v>
      </c>
      <c r="X345" s="9" t="str">
        <f t="shared" si="39"/>
        <v>Approved</v>
      </c>
      <c r="Y345" s="10"/>
      <c r="Z345" s="10">
        <f>IF($H345="Cancelled","",IFERROR(IF(F345="","",F345-Variables!$B$13),""))</f>
        <v>45732</v>
      </c>
      <c r="AA345" s="11">
        <f>IF($H345="Cancelled","",IFERROR(IF(W345="","",(AVERAGE(E345:F345)-W345)-Variables!$B$14),""))</f>
        <v>-5</v>
      </c>
      <c r="AB345" s="10">
        <v>45734</v>
      </c>
      <c r="AC345" s="11">
        <f>IF($H345="Cancelled","",IFERROR(IF(AB345="","",IF(AND(W345="",Y345=""),"",IF(Y345&gt;W345,Y345+Variables!$B$15+Variables!$B$16+Variables!$B$17-AB345,W345+Variables!$B$16+Variables!$B$17-AB345))),""))</f>
        <v>-19</v>
      </c>
      <c r="AD345" s="9" t="s">
        <v>165</v>
      </c>
      <c r="AE345" s="9" t="s">
        <v>684</v>
      </c>
      <c r="AF345" s="10">
        <v>45738</v>
      </c>
      <c r="AG345" s="10"/>
      <c r="AH345" s="9"/>
      <c r="AI345" s="9" t="s">
        <v>923</v>
      </c>
      <c r="AJ345" s="9" t="s">
        <v>8</v>
      </c>
      <c r="AK345" s="10">
        <v>45742</v>
      </c>
      <c r="AL345" s="10">
        <v>45744</v>
      </c>
      <c r="AM345" s="10">
        <v>45750</v>
      </c>
      <c r="AN345" s="9" t="s">
        <v>95</v>
      </c>
      <c r="AO345" s="9"/>
      <c r="AP345" s="11">
        <f>IF($H345="Cancelled","",IFERROR(IF(OR(AK345="",AB345=""),"",(AB345+Variables!$B$18-AK345)),""))</f>
        <v>-1</v>
      </c>
      <c r="AQ345" s="11">
        <f>IF($H345="Cancelled","",IFERROR(IF(OR(AM345="",AK345=""),"",(AK345+Variables!$B$19)-AM345),""))</f>
        <v>-3</v>
      </c>
      <c r="AR345" s="12">
        <f>IF($H345="Cancelled","",IFERROR(T345*INDEX(Variables!$B$7:$D$7,IFERROR(MATCH(IF($B345="Robusta","Robusta",(IF($B345="","Arabica",$B345))&amp;" - "&amp;(IF($C345="","Commercial",$C345))),Variables!$B$1:$D$1,0),1))*(AQ345/365),""))</f>
        <v>-404.73731323850149</v>
      </c>
      <c r="AS345" s="12">
        <f>IF($H345="Cancelled","",IFERROR((T345*INDEX(Variables!$B$7:$D$7,IFERROR(MATCH(IF($B345="Robusta","Robusta",(IF($B345="","Arabica",$B345))&amp;" - "&amp;(IF($C345="","Commercial",$C345))),Variables!$B$1:$D$1,0),1))*IFERROR(IF(W345="","",(AVERAGE(E345:F345)-W345)-Variables!$B$14),"")/365)+(L345/16.67*INDEX(Variables!$B$8:$D$8,IFERROR(MATCH(IF($B345="Robusta","Robusta",(IF($B345="","Arabica",$B345))&amp;" - "&amp;(IF($C345="","Commercial",$C345))),Variables!$B$1:$D$1,0),1))*IFERROR(IF(W345="","",(AVERAGE(E345:F345)-W345)-Variables!$B$14),""))+(T345*INDEX(Variables!$B$9:$D$9,IFERROR(MATCH(IF($B345="Robusta","Robusta",(IF($B345="","Arabica",$B345))&amp;" - "&amp;(IF($C345="","Commercial",$C345))),Variables!$B$1:$D$1,0),1))*IFERROR(IF(W345="","",(AVERAGE(E345:F345)-W345)-Variables!$B$14),"")/365),""))</f>
        <v>-1133.2585971581527</v>
      </c>
      <c r="AT345" s="12">
        <f>IF($H345="Cancelled","",IFERROR((T345*INDEX(Variables!$B$7:$D$7,IFERROR(MATCH(IF($B345="Robusta","Robusta",(IF($B345="","Arabica",$B345))&amp;" - "&amp;(IF($C345="","Commercial",$C345))),Variables!$B$1:$D$1,0),1))*AC345/365)+(L345/16.67*INDEX(Variables!$B$8:$D$8,IFERROR(MATCH(IF($B345="Robusta","Robusta",(IF($B345="","Arabica",$B345))&amp;" - "&amp;(IF($C345="","Commercial",$C345))),Variables!$B$1:$D$1,0),1))*AC345)+(T345*INDEX(Variables!$B$9:$D$9,IFERROR(MATCH(IF($B345="Robusta","Robusta",(IF($B345="","Arabica",$B345))&amp;" - "&amp;(IF($C345="","Commercial",$C345))),Variables!$B$1:$D$1,0),1))*AC345/365),""))</f>
        <v>-4306.3826692009807</v>
      </c>
      <c r="AU345" s="12">
        <f>IF($H345="Cancelled","",IFERROR((T345*INDEX(Variables!$B$7:$D$7,IFERROR(MATCH(IF($B345="Robusta","Robusta",(IF($B345="","Arabica",$B345))&amp;" - "&amp;(IF($C345="","Commercial",$C345))),Variables!$B$1:$D$1,0),1))*AP345/365)+(L345/16.67*INDEX(Variables!$B$8:$D$8,IFERROR(MATCH(IF($B345="Robusta","Robusta",(IF($B345="","Arabica",$B345))&amp;" - "&amp;(IF($C345="","Commercial",$C345))),Variables!$B$1:$D$1,0),1))*AP345)+(T345*INDEX(Variables!$B$9:$D$9,IFERROR(MATCH(IF($B345="Robusta","Robusta",(IF($B345="","Arabica",$B345))&amp;" - "&amp;(IF($C345="","Commercial",$C345))),Variables!$B$1:$D$1,0),1))*AP345/365),""))</f>
        <v>-226.6517194316306</v>
      </c>
      <c r="AV345" s="11">
        <f t="shared" si="37"/>
        <v>5</v>
      </c>
      <c r="AW345" s="12">
        <f>IF($H345="Cancelled","",IFERROR(IF(AV345="","",(T345*INDEX(Variables!$B$7:$D$7,IFERROR(MATCH(IF($B345="Robusta","Robusta",(IF($B345="","Arabica",$B345))&amp;" - "&amp;(IF($C345="","Commercial",$C345))),Variables!$B$1:$D$1,0),1))*(AV345/365))+(T345*INDEX(Variables!$B$9:$D$9,IFERROR(MATCH(IF($B345="Robusta","Robusta",(IF($B345="","Arabica",$B345))&amp;" - "&amp;(IF($C345="","Commercial",$C345))),Variables!$B$1:$D$1,0),1))*(AV345/365))+(INDEX(Variables!$B$8:$D$8,IFERROR(MATCH(IF($B345="Robusta","Robusta",(IF($B345="","Arabica",$B345))&amp;" - "&amp;(IF($C345="","Commercial",$C345))),Variables!$B$1:$D$1,0),1))*L345/16.67)),""))</f>
        <v>773.25859715815284</v>
      </c>
      <c r="AX345" s="9"/>
      <c r="AY345" s="12"/>
      <c r="AZ345" s="10"/>
      <c r="BA345" s="9"/>
      <c r="BB345" s="10"/>
      <c r="BC345" s="9"/>
      <c r="BD345" s="9"/>
      <c r="BE345" s="9"/>
      <c r="BF345" s="9"/>
    </row>
    <row r="346" spans="1:58" x14ac:dyDescent="0.25">
      <c r="A346" s="9" t="s">
        <v>84</v>
      </c>
      <c r="B346" s="9" t="s">
        <v>85</v>
      </c>
      <c r="C346" s="9" t="s">
        <v>86</v>
      </c>
      <c r="D346" s="10">
        <v>45700</v>
      </c>
      <c r="E346" s="10">
        <v>45748</v>
      </c>
      <c r="F346" s="10">
        <v>45777</v>
      </c>
      <c r="G346" s="9">
        <v>3786700</v>
      </c>
      <c r="H346" s="9" t="str">
        <f t="shared" si="35"/>
        <v>Closed</v>
      </c>
      <c r="I346" s="9" t="str">
        <f t="shared" si="36"/>
        <v>All dates received</v>
      </c>
      <c r="J346" s="9" t="s">
        <v>308</v>
      </c>
      <c r="K346" s="9">
        <v>5209</v>
      </c>
      <c r="L346" s="11">
        <v>1800</v>
      </c>
      <c r="M346" s="9" t="s">
        <v>922</v>
      </c>
      <c r="N346" s="9" t="s">
        <v>455</v>
      </c>
      <c r="O346" s="9"/>
      <c r="P346" s="9"/>
      <c r="Q346" s="11">
        <v>15</v>
      </c>
      <c r="R346" s="9" t="s">
        <v>90</v>
      </c>
      <c r="S346" s="9" t="s">
        <v>106</v>
      </c>
      <c r="T346" s="12">
        <f>IF($H346="Cancelled","",IFERROR(((Q346+INDEX(Variables!$B$6:$D$6,IFERROR(MATCH(IF($B346="Robusta","Robusta",(IF($B346="","Arabica",$B346))&amp;" - "&amp;(IF($C346="","Commercial",$C346))),Variables!$B$1:$D$1,0),1)))*22.0462)*(L346/16.67),""))</f>
        <v>727961.02747450501</v>
      </c>
      <c r="U346" s="10">
        <v>45722</v>
      </c>
      <c r="V346" s="9" t="str">
        <f t="shared" si="38"/>
        <v>Sent</v>
      </c>
      <c r="W346" s="10">
        <v>45727</v>
      </c>
      <c r="X346" s="9" t="str">
        <f t="shared" si="39"/>
        <v>Approved</v>
      </c>
      <c r="Y346" s="10"/>
      <c r="Z346" s="10">
        <f>IF($H346="Cancelled","",IFERROR(IF(F346="","",F346-Variables!$B$13),""))</f>
        <v>45762</v>
      </c>
      <c r="AA346" s="11">
        <f>IF($H346="Cancelled","",IFERROR(IF(W346="","",(AVERAGE(E346:F346)-W346)-Variables!$B$14),""))</f>
        <v>5.5</v>
      </c>
      <c r="AB346" s="10">
        <v>45759</v>
      </c>
      <c r="AC346" s="11">
        <f>IF($H346="Cancelled","",IFERROR(IF(AB346="","",IF(AND(W346="",Y346=""),"",IF(Y346&gt;W346,Y346+Variables!$B$15+Variables!$B$16+Variables!$B$17-AB346,W346+Variables!$B$16+Variables!$B$17-AB346))),""))</f>
        <v>-24</v>
      </c>
      <c r="AD346" s="9" t="s">
        <v>165</v>
      </c>
      <c r="AE346" s="9" t="s">
        <v>924</v>
      </c>
      <c r="AF346" s="10"/>
      <c r="AG346" s="10"/>
      <c r="AH346" s="9"/>
      <c r="AI346" s="9" t="s">
        <v>925</v>
      </c>
      <c r="AJ346" s="9" t="s">
        <v>8</v>
      </c>
      <c r="AK346" s="10">
        <v>45773</v>
      </c>
      <c r="AL346" s="10">
        <v>45782</v>
      </c>
      <c r="AM346" s="10">
        <v>45786</v>
      </c>
      <c r="AN346" s="9" t="s">
        <v>95</v>
      </c>
      <c r="AO346" s="9"/>
      <c r="AP346" s="11">
        <f>IF($H346="Cancelled","",IFERROR(IF(OR(AK346="",AB346=""),"",(AB346+Variables!$B$18-AK346)),""))</f>
        <v>-7</v>
      </c>
      <c r="AQ346" s="11">
        <f>IF($H346="Cancelled","",IFERROR(IF(OR(AM346="",AK346=""),"",(AK346+Variables!$B$19)-AM346),""))</f>
        <v>-8</v>
      </c>
      <c r="AR346" s="12">
        <f>IF($H346="Cancelled","",IFERROR(T346*INDEX(Variables!$B$7:$D$7,IFERROR(MATCH(IF($B346="Robusta","Robusta",(IF($B346="","Arabica",$B346))&amp;" - "&amp;(IF($C346="","Commercial",$C346))),Variables!$B$1:$D$1,0),1))*(AQ346/365),""))</f>
        <v>-1028.833502812417</v>
      </c>
      <c r="AS346" s="12">
        <f>IF($H346="Cancelled","",IFERROR((T346*INDEX(Variables!$B$7:$D$7,IFERROR(MATCH(IF($B346="Robusta","Robusta",(IF($B346="","Arabica",$B346))&amp;" - "&amp;(IF($C346="","Commercial",$C346))),Variables!$B$1:$D$1,0),1))*IFERROR(IF(W346="","",(AVERAGE(E346:F346)-W346)-Variables!$B$14),"")/365)+(L346/16.67*INDEX(Variables!$B$8:$D$8,IFERROR(MATCH(IF($B346="Robusta","Robusta",(IF($B346="","Arabica",$B346))&amp;" - "&amp;(IF($C346="","Commercial",$C346))),Variables!$B$1:$D$1,0),1))*IFERROR(IF(W346="","",(AVERAGE(E346:F346)-W346)-Variables!$B$14),""))+(T346*INDEX(Variables!$B$9:$D$9,IFERROR(MATCH(IF($B346="Robusta","Robusta",(IF($B346="","Arabica",$B346))&amp;" - "&amp;(IF($C346="","Commercial",$C346))),Variables!$B$1:$D$1,0),1))*IFERROR(IF(W346="","",(AVERAGE(E346:F346)-W346)-Variables!$B$14),"")/365),""))</f>
        <v>1211.441792119886</v>
      </c>
      <c r="AT346" s="12">
        <f>IF($H346="Cancelled","",IFERROR((T346*INDEX(Variables!$B$7:$D$7,IFERROR(MATCH(IF($B346="Robusta","Robusta",(IF($B346="","Arabica",$B346))&amp;" - "&amp;(IF($C346="","Commercial",$C346))),Variables!$B$1:$D$1,0),1))*AC346/365)+(L346/16.67*INDEX(Variables!$B$8:$D$8,IFERROR(MATCH(IF($B346="Robusta","Robusta",(IF($B346="","Arabica",$B346))&amp;" - "&amp;(IF($C346="","Commercial",$C346))),Variables!$B$1:$D$1,0),1))*AC346)+(T346*INDEX(Variables!$B$9:$D$9,IFERROR(MATCH(IF($B346="Robusta","Robusta",(IF($B346="","Arabica",$B346))&amp;" - "&amp;(IF($C346="","Commercial",$C346))),Variables!$B$1:$D$1,0),1))*AC346/365),""))</f>
        <v>-5286.2914565231404</v>
      </c>
      <c r="AU346" s="12">
        <f>IF($H346="Cancelled","",IFERROR((T346*INDEX(Variables!$B$7:$D$7,IFERROR(MATCH(IF($B346="Robusta","Robusta",(IF($B346="","Arabica",$B346))&amp;" - "&amp;(IF($C346="","Commercial",$C346))),Variables!$B$1:$D$1,0),1))*AP346/365)+(L346/16.67*INDEX(Variables!$B$8:$D$8,IFERROR(MATCH(IF($B346="Robusta","Robusta",(IF($B346="","Arabica",$B346))&amp;" - "&amp;(IF($C346="","Commercial",$C346))),Variables!$B$1:$D$1,0),1))*AP346)+(T346*INDEX(Variables!$B$9:$D$9,IFERROR(MATCH(IF($B346="Robusta","Robusta",(IF($B346="","Arabica",$B346))&amp;" - "&amp;(IF($C346="","Commercial",$C346))),Variables!$B$1:$D$1,0),1))*AP346/365),""))</f>
        <v>-1541.8350081525825</v>
      </c>
      <c r="AV346" s="11">
        <f t="shared" si="37"/>
        <v>4</v>
      </c>
      <c r="AW346" s="12">
        <f>IF($H346="Cancelled","",IFERROR(IF(AV346="","",(T346*INDEX(Variables!$B$7:$D$7,IFERROR(MATCH(IF($B346="Robusta","Robusta",(IF($B346="","Arabica",$B346))&amp;" - "&amp;(IF($C346="","Commercial",$C346))),Variables!$B$1:$D$1,0),1))*(AV346/365))+(T346*INDEX(Variables!$B$9:$D$9,IFERROR(MATCH(IF($B346="Robusta","Robusta",(IF($B346="","Arabica",$B346))&amp;" - "&amp;(IF($C346="","Commercial",$C346))),Variables!$B$1:$D$1,0),1))*(AV346/365))+(INDEX(Variables!$B$8:$D$8,IFERROR(MATCH(IF($B346="Robusta","Robusta",(IF($B346="","Arabica",$B346))&amp;" - "&amp;(IF($C346="","Commercial",$C346))),Variables!$B$1:$D$1,0),1))*L346/16.67)),""))</f>
        <v>611.04857608718999</v>
      </c>
      <c r="AX346" s="9"/>
      <c r="AY346" s="12"/>
      <c r="AZ346" s="10"/>
      <c r="BA346" s="9"/>
      <c r="BB346" s="10"/>
      <c r="BC346" s="9"/>
      <c r="BD346" s="9"/>
      <c r="BE346" s="9"/>
      <c r="BF346" s="9"/>
    </row>
    <row r="347" spans="1:58" x14ac:dyDescent="0.25">
      <c r="A347" s="9" t="s">
        <v>84</v>
      </c>
      <c r="B347" s="9" t="s">
        <v>85</v>
      </c>
      <c r="C347" s="9" t="s">
        <v>86</v>
      </c>
      <c r="D347" s="10">
        <v>45706</v>
      </c>
      <c r="E347" s="10">
        <v>45748</v>
      </c>
      <c r="F347" s="10">
        <v>45777</v>
      </c>
      <c r="G347" s="9">
        <v>3786709</v>
      </c>
      <c r="H347" s="9" t="str">
        <f t="shared" si="35"/>
        <v>Closed</v>
      </c>
      <c r="I347" s="9" t="str">
        <f t="shared" si="36"/>
        <v>All dates received</v>
      </c>
      <c r="J347" s="9" t="s">
        <v>308</v>
      </c>
      <c r="K347" s="9">
        <v>5210</v>
      </c>
      <c r="L347" s="11">
        <v>1800</v>
      </c>
      <c r="M347" s="9" t="s">
        <v>926</v>
      </c>
      <c r="N347" s="9" t="s">
        <v>927</v>
      </c>
      <c r="O347" s="9"/>
      <c r="P347" s="9"/>
      <c r="Q347" s="11">
        <v>15</v>
      </c>
      <c r="R347" s="9" t="s">
        <v>90</v>
      </c>
      <c r="S347" s="9" t="s">
        <v>106</v>
      </c>
      <c r="T347" s="12">
        <f>IF($H347="Cancelled","",IFERROR(((Q347+INDEX(Variables!$B$6:$D$6,IFERROR(MATCH(IF($B347="Robusta","Robusta",(IF($B347="","Arabica",$B347))&amp;" - "&amp;(IF($C347="","Commercial",$C347))),Variables!$B$1:$D$1,0),1)))*22.0462)*(L347/16.67),""))</f>
        <v>727961.02747450501</v>
      </c>
      <c r="U347" s="10">
        <v>45722</v>
      </c>
      <c r="V347" s="9" t="str">
        <f t="shared" si="38"/>
        <v>Sent</v>
      </c>
      <c r="W347" s="10">
        <v>45727</v>
      </c>
      <c r="X347" s="9" t="str">
        <f t="shared" si="39"/>
        <v>Approved</v>
      </c>
      <c r="Y347" s="10"/>
      <c r="Z347" s="10">
        <f>IF($H347="Cancelled","",IFERROR(IF(F347="","",F347-Variables!$B$13),""))</f>
        <v>45762</v>
      </c>
      <c r="AA347" s="11">
        <f>IF($H347="Cancelled","",IFERROR(IF(W347="","",(AVERAGE(E347:F347)-W347)-Variables!$B$14),""))</f>
        <v>5.5</v>
      </c>
      <c r="AB347" s="10">
        <v>45759</v>
      </c>
      <c r="AC347" s="11">
        <f>IF($H347="Cancelled","",IFERROR(IF(AB347="","",IF(AND(W347="",Y347=""),"",IF(Y347&gt;W347,Y347+Variables!$B$15+Variables!$B$16+Variables!$B$17-AB347,W347+Variables!$B$16+Variables!$B$17-AB347))),""))</f>
        <v>-24</v>
      </c>
      <c r="AD347" s="9" t="s">
        <v>165</v>
      </c>
      <c r="AE347" s="9" t="s">
        <v>924</v>
      </c>
      <c r="AF347" s="10"/>
      <c r="AG347" s="10"/>
      <c r="AH347" s="9"/>
      <c r="AI347" s="9" t="s">
        <v>928</v>
      </c>
      <c r="AJ347" s="9" t="s">
        <v>8</v>
      </c>
      <c r="AK347" s="10">
        <v>45773</v>
      </c>
      <c r="AL347" s="10">
        <v>45782</v>
      </c>
      <c r="AM347" s="10">
        <v>45786</v>
      </c>
      <c r="AN347" s="9" t="s">
        <v>95</v>
      </c>
      <c r="AO347" s="9"/>
      <c r="AP347" s="11">
        <f>IF($H347="Cancelled","",IFERROR(IF(OR(AK347="",AB347=""),"",(AB347+Variables!$B$18-AK347)),""))</f>
        <v>-7</v>
      </c>
      <c r="AQ347" s="11">
        <f>IF($H347="Cancelled","",IFERROR(IF(OR(AM347="",AK347=""),"",(AK347+Variables!$B$19)-AM347),""))</f>
        <v>-8</v>
      </c>
      <c r="AR347" s="12">
        <f>IF($H347="Cancelled","",IFERROR(T347*INDEX(Variables!$B$7:$D$7,IFERROR(MATCH(IF($B347="Robusta","Robusta",(IF($B347="","Arabica",$B347))&amp;" - "&amp;(IF($C347="","Commercial",$C347))),Variables!$B$1:$D$1,0),1))*(AQ347/365),""))</f>
        <v>-1028.833502812417</v>
      </c>
      <c r="AS347" s="12">
        <f>IF($H347="Cancelled","",IFERROR((T347*INDEX(Variables!$B$7:$D$7,IFERROR(MATCH(IF($B347="Robusta","Robusta",(IF($B347="","Arabica",$B347))&amp;" - "&amp;(IF($C347="","Commercial",$C347))),Variables!$B$1:$D$1,0),1))*IFERROR(IF(W347="","",(AVERAGE(E347:F347)-W347)-Variables!$B$14),"")/365)+(L347/16.67*INDEX(Variables!$B$8:$D$8,IFERROR(MATCH(IF($B347="Robusta","Robusta",(IF($B347="","Arabica",$B347))&amp;" - "&amp;(IF($C347="","Commercial",$C347))),Variables!$B$1:$D$1,0),1))*IFERROR(IF(W347="","",(AVERAGE(E347:F347)-W347)-Variables!$B$14),""))+(T347*INDEX(Variables!$B$9:$D$9,IFERROR(MATCH(IF($B347="Robusta","Robusta",(IF($B347="","Arabica",$B347))&amp;" - "&amp;(IF($C347="","Commercial",$C347))),Variables!$B$1:$D$1,0),1))*IFERROR(IF(W347="","",(AVERAGE(E347:F347)-W347)-Variables!$B$14),"")/365),""))</f>
        <v>1211.441792119886</v>
      </c>
      <c r="AT347" s="12">
        <f>IF($H347="Cancelled","",IFERROR((T347*INDEX(Variables!$B$7:$D$7,IFERROR(MATCH(IF($B347="Robusta","Robusta",(IF($B347="","Arabica",$B347))&amp;" - "&amp;(IF($C347="","Commercial",$C347))),Variables!$B$1:$D$1,0),1))*AC347/365)+(L347/16.67*INDEX(Variables!$B$8:$D$8,IFERROR(MATCH(IF($B347="Robusta","Robusta",(IF($B347="","Arabica",$B347))&amp;" - "&amp;(IF($C347="","Commercial",$C347))),Variables!$B$1:$D$1,0),1))*AC347)+(T347*INDEX(Variables!$B$9:$D$9,IFERROR(MATCH(IF($B347="Robusta","Robusta",(IF($B347="","Arabica",$B347))&amp;" - "&amp;(IF($C347="","Commercial",$C347))),Variables!$B$1:$D$1,0),1))*AC347/365),""))</f>
        <v>-5286.2914565231404</v>
      </c>
      <c r="AU347" s="12">
        <f>IF($H347="Cancelled","",IFERROR((T347*INDEX(Variables!$B$7:$D$7,IFERROR(MATCH(IF($B347="Robusta","Robusta",(IF($B347="","Arabica",$B347))&amp;" - "&amp;(IF($C347="","Commercial",$C347))),Variables!$B$1:$D$1,0),1))*AP347/365)+(L347/16.67*INDEX(Variables!$B$8:$D$8,IFERROR(MATCH(IF($B347="Robusta","Robusta",(IF($B347="","Arabica",$B347))&amp;" - "&amp;(IF($C347="","Commercial",$C347))),Variables!$B$1:$D$1,0),1))*AP347)+(T347*INDEX(Variables!$B$9:$D$9,IFERROR(MATCH(IF($B347="Robusta","Robusta",(IF($B347="","Arabica",$B347))&amp;" - "&amp;(IF($C347="","Commercial",$C347))),Variables!$B$1:$D$1,0),1))*AP347/365),""))</f>
        <v>-1541.8350081525825</v>
      </c>
      <c r="AV347" s="11">
        <f t="shared" si="37"/>
        <v>4</v>
      </c>
      <c r="AW347" s="12">
        <f>IF($H347="Cancelled","",IFERROR(IF(AV347="","",(T347*INDEX(Variables!$B$7:$D$7,IFERROR(MATCH(IF($B347="Robusta","Robusta",(IF($B347="","Arabica",$B347))&amp;" - "&amp;(IF($C347="","Commercial",$C347))),Variables!$B$1:$D$1,0),1))*(AV347/365))+(T347*INDEX(Variables!$B$9:$D$9,IFERROR(MATCH(IF($B347="Robusta","Robusta",(IF($B347="","Arabica",$B347))&amp;" - "&amp;(IF($C347="","Commercial",$C347))),Variables!$B$1:$D$1,0),1))*(AV347/365))+(INDEX(Variables!$B$8:$D$8,IFERROR(MATCH(IF($B347="Robusta","Robusta",(IF($B347="","Arabica",$B347))&amp;" - "&amp;(IF($C347="","Commercial",$C347))),Variables!$B$1:$D$1,0),1))*L347/16.67)),""))</f>
        <v>611.04857608718999</v>
      </c>
      <c r="AX347" s="9"/>
      <c r="AY347" s="12"/>
      <c r="AZ347" s="10"/>
      <c r="BA347" s="9"/>
      <c r="BB347" s="10"/>
      <c r="BC347" s="9"/>
      <c r="BD347" s="9"/>
      <c r="BE347" s="9"/>
      <c r="BF347" s="9"/>
    </row>
    <row r="348" spans="1:58" x14ac:dyDescent="0.25">
      <c r="A348" s="9" t="s">
        <v>84</v>
      </c>
      <c r="B348" s="9" t="s">
        <v>85</v>
      </c>
      <c r="C348" s="9" t="s">
        <v>86</v>
      </c>
      <c r="D348" s="10">
        <v>45707</v>
      </c>
      <c r="E348" s="10">
        <v>45717</v>
      </c>
      <c r="F348" s="10">
        <v>45747</v>
      </c>
      <c r="G348" s="9">
        <v>3786711</v>
      </c>
      <c r="H348" s="9" t="str">
        <f t="shared" si="35"/>
        <v>Closed</v>
      </c>
      <c r="I348" s="9" t="str">
        <f t="shared" si="36"/>
        <v>All dates received</v>
      </c>
      <c r="J348" s="9" t="s">
        <v>225</v>
      </c>
      <c r="K348" s="9">
        <v>5201</v>
      </c>
      <c r="L348" s="11">
        <v>320</v>
      </c>
      <c r="M348" s="9" t="s">
        <v>929</v>
      </c>
      <c r="N348" s="9" t="s">
        <v>237</v>
      </c>
      <c r="O348" s="9"/>
      <c r="P348" s="9"/>
      <c r="Q348" s="11">
        <v>10</v>
      </c>
      <c r="R348" s="9" t="s">
        <v>90</v>
      </c>
      <c r="S348" s="9" t="s">
        <v>228</v>
      </c>
      <c r="T348" s="12">
        <f>IF($H348="Cancelled","",IFERROR(((Q348+INDEX(Variables!$B$6:$D$6,IFERROR(MATCH(IF($B348="Robusta","Robusta",(IF($B348="","Arabica",$B348))&amp;" - "&amp;(IF($C348="","Commercial",$C348))),Variables!$B$1:$D$1,0),1)))*22.0462)*(L348/16.67),""))</f>
        <v>127299.28177564485</v>
      </c>
      <c r="U348" s="10"/>
      <c r="V348" s="9" t="s">
        <v>930</v>
      </c>
      <c r="W348" s="10">
        <v>45703</v>
      </c>
      <c r="X348" s="9" t="str">
        <f t="shared" si="39"/>
        <v>Approved</v>
      </c>
      <c r="Y348" s="10">
        <v>45713</v>
      </c>
      <c r="Z348" s="10">
        <f>IF($H348="Cancelled","",IFERROR(IF(F348="","",F348-Variables!$B$13),""))</f>
        <v>45732</v>
      </c>
      <c r="AA348" s="11">
        <f>IF($H348="Cancelled","",IFERROR(IF(W348="","",(AVERAGE(E348:F348)-W348)-Variables!$B$14),""))</f>
        <v>-1</v>
      </c>
      <c r="AB348" s="10">
        <v>45730</v>
      </c>
      <c r="AC348" s="11">
        <f>IF($H348="Cancelled","",IFERROR(IF(AB348="","",IF(AND(W348="",Y348=""),"",IF(Y348&gt;W348,Y348+Variables!$B$15+Variables!$B$16+Variables!$B$17-AB348,W348+Variables!$B$16+Variables!$B$17-AB348))),""))</f>
        <v>-2</v>
      </c>
      <c r="AD348" s="9" t="s">
        <v>163</v>
      </c>
      <c r="AE348" s="9" t="s">
        <v>598</v>
      </c>
      <c r="AF348" s="10">
        <v>45733</v>
      </c>
      <c r="AG348" s="10"/>
      <c r="AH348" s="9"/>
      <c r="AI348" s="9">
        <v>250971025</v>
      </c>
      <c r="AJ348" s="9" t="s">
        <v>931</v>
      </c>
      <c r="AK348" s="10">
        <v>45738</v>
      </c>
      <c r="AL348" s="10">
        <v>45744</v>
      </c>
      <c r="AM348" s="10">
        <v>45758</v>
      </c>
      <c r="AN348" s="9" t="s">
        <v>95</v>
      </c>
      <c r="AO348" s="9"/>
      <c r="AP348" s="11">
        <f>IF($H348="Cancelled","",IFERROR(IF(OR(AK348="",AB348=""),"",(AB348+Variables!$B$18-AK348)),""))</f>
        <v>-1</v>
      </c>
      <c r="AQ348" s="11">
        <f>IF($H348="Cancelled","",IFERROR(IF(OR(AM348="",AK348=""),"",(AK348+Variables!$B$19)-AM348),""))</f>
        <v>-15</v>
      </c>
      <c r="AR348" s="12">
        <f>IF($H348="Cancelled","",IFERROR(T348*INDEX(Variables!$B$7:$D$7,IFERROR(MATCH(IF($B348="Robusta","Robusta",(IF($B348="","Arabica",$B348))&amp;" - "&amp;(IF($C348="","Commercial",$C348))),Variables!$B$1:$D$1,0),1))*(AQ348/365),""))</f>
        <v>-337.33716769781449</v>
      </c>
      <c r="AS348" s="12">
        <f>IF($H348="Cancelled","",IFERROR((T348*INDEX(Variables!$B$7:$D$7,IFERROR(MATCH(IF($B348="Robusta","Robusta",(IF($B348="","Arabica",$B348))&amp;" - "&amp;(IF($C348="","Commercial",$C348))),Variables!$B$1:$D$1,0),1))*IFERROR(IF(W348="","",(AVERAGE(E348:F348)-W348)-Variables!$B$14),"")/365)+(L348/16.67*INDEX(Variables!$B$8:$D$8,IFERROR(MATCH(IF($B348="Robusta","Robusta",(IF($B348="","Arabica",$B348))&amp;" - "&amp;(IF($C348="","Commercial",$C348))),Variables!$B$1:$D$1,0),1))*IFERROR(IF(W348="","",(AVERAGE(E348:F348)-W348)-Variables!$B$14),""))+(T348*INDEX(Variables!$B$9:$D$9,IFERROR(MATCH(IF($B348="Robusta","Robusta",(IF($B348="","Arabica",$B348))&amp;" - "&amp;(IF($C348="","Commercial",$C348))),Variables!$B$1:$D$1,0),1))*IFERROR(IF(W348="","",(AVERAGE(E348:F348)-W348)-Variables!$B$14),"")/365),""))</f>
        <v>-38.779072986996113</v>
      </c>
      <c r="AT348" s="12">
        <f>IF($H348="Cancelled","",IFERROR((T348*INDEX(Variables!$B$7:$D$7,IFERROR(MATCH(IF($B348="Robusta","Robusta",(IF($B348="","Arabica",$B348))&amp;" - "&amp;(IF($C348="","Commercial",$C348))),Variables!$B$1:$D$1,0),1))*AC348/365)+(L348/16.67*INDEX(Variables!$B$8:$D$8,IFERROR(MATCH(IF($B348="Robusta","Robusta",(IF($B348="","Arabica",$B348))&amp;" - "&amp;(IF($C348="","Commercial",$C348))),Variables!$B$1:$D$1,0),1))*AC348)+(T348*INDEX(Variables!$B$9:$D$9,IFERROR(MATCH(IF($B348="Robusta","Robusta",(IF($B348="","Arabica",$B348))&amp;" - "&amp;(IF($C348="","Commercial",$C348))),Variables!$B$1:$D$1,0),1))*AC348/365),""))</f>
        <v>-77.558145973992225</v>
      </c>
      <c r="AU348" s="12">
        <f>IF($H348="Cancelled","",IFERROR((T348*INDEX(Variables!$B$7:$D$7,IFERROR(MATCH(IF($B348="Robusta","Robusta",(IF($B348="","Arabica",$B348))&amp;" - "&amp;(IF($C348="","Commercial",$C348))),Variables!$B$1:$D$1,0),1))*AP348/365)+(L348/16.67*INDEX(Variables!$B$8:$D$8,IFERROR(MATCH(IF($B348="Robusta","Robusta",(IF($B348="","Arabica",$B348))&amp;" - "&amp;(IF($C348="","Commercial",$C348))),Variables!$B$1:$D$1,0),1))*AP348)+(T348*INDEX(Variables!$B$9:$D$9,IFERROR(MATCH(IF($B348="Robusta","Robusta",(IF($B348="","Arabica",$B348))&amp;" - "&amp;(IF($C348="","Commercial",$C348))),Variables!$B$1:$D$1,0),1))*AP348/365),""))</f>
        <v>-38.779072986996113</v>
      </c>
      <c r="AV348" s="11">
        <f t="shared" si="37"/>
        <v>9</v>
      </c>
      <c r="AW348" s="12">
        <f>IF($H348="Cancelled","",IFERROR(IF(AV348="","",(T348*INDEX(Variables!$B$7:$D$7,IFERROR(MATCH(IF($B348="Robusta","Robusta",(IF($B348="","Arabica",$B348))&amp;" - "&amp;(IF($C348="","Commercial",$C348))),Variables!$B$1:$D$1,0),1))*(AV348/365))+(T348*INDEX(Variables!$B$9:$D$9,IFERROR(MATCH(IF($B348="Robusta","Robusta",(IF($B348="","Arabica",$B348))&amp;" - "&amp;(IF($C348="","Commercial",$C348))),Variables!$B$1:$D$1,0),1))*(AV348/365))+(INDEX(Variables!$B$8:$D$8,IFERROR(MATCH(IF($B348="Robusta","Robusta",(IF($B348="","Arabica",$B348))&amp;" - "&amp;(IF($C348="","Commercial",$C348))),Variables!$B$1:$D$1,0),1))*L348/16.67)),""))</f>
        <v>221.01165688296499</v>
      </c>
      <c r="AX348" s="9"/>
      <c r="AY348" s="12"/>
      <c r="AZ348" s="10"/>
      <c r="BA348" s="9"/>
      <c r="BB348" s="10"/>
      <c r="BC348" s="9"/>
      <c r="BD348" s="9"/>
      <c r="BE348" s="9"/>
      <c r="BF348" s="9"/>
    </row>
    <row r="349" spans="1:58" x14ac:dyDescent="0.25">
      <c r="A349" s="9" t="s">
        <v>84</v>
      </c>
      <c r="B349" s="9" t="s">
        <v>85</v>
      </c>
      <c r="C349" s="9" t="s">
        <v>86</v>
      </c>
      <c r="D349" s="10">
        <v>45707</v>
      </c>
      <c r="E349" s="10">
        <v>45717</v>
      </c>
      <c r="F349" s="10">
        <v>45747</v>
      </c>
      <c r="G349" s="9">
        <v>3786712</v>
      </c>
      <c r="H349" s="9" t="str">
        <f t="shared" si="35"/>
        <v>Closed</v>
      </c>
      <c r="I349" s="9" t="str">
        <f t="shared" si="36"/>
        <v>All dates received</v>
      </c>
      <c r="J349" s="9" t="s">
        <v>225</v>
      </c>
      <c r="K349" s="9">
        <v>5202</v>
      </c>
      <c r="L349" s="11">
        <v>320</v>
      </c>
      <c r="M349" s="9" t="s">
        <v>932</v>
      </c>
      <c r="N349" s="9" t="s">
        <v>927</v>
      </c>
      <c r="O349" s="9"/>
      <c r="P349" s="9"/>
      <c r="Q349" s="11">
        <v>44.23</v>
      </c>
      <c r="R349" s="9" t="s">
        <v>90</v>
      </c>
      <c r="S349" s="9" t="s">
        <v>228</v>
      </c>
      <c r="T349" s="12">
        <f>IF($H349="Cancelled","",IFERROR(((Q349+INDEX(Variables!$B$6:$D$6,IFERROR(MATCH(IF($B349="Robusta","Robusta",(IF($B349="","Arabica",$B349))&amp;" - "&amp;(IF($C349="","Commercial",$C349))),Variables!$B$1:$D$1,0),1)))*22.0462)*(L349/16.67),""))</f>
        <v>141785.49991121775</v>
      </c>
      <c r="U349" s="10"/>
      <c r="V349" s="9" t="s">
        <v>930</v>
      </c>
      <c r="W349" s="10">
        <v>45703</v>
      </c>
      <c r="X349" s="9" t="str">
        <f t="shared" si="39"/>
        <v>Approved</v>
      </c>
      <c r="Y349" s="10">
        <v>45713</v>
      </c>
      <c r="Z349" s="10">
        <f>IF($H349="Cancelled","",IFERROR(IF(F349="","",F349-Variables!$B$13),""))</f>
        <v>45732</v>
      </c>
      <c r="AA349" s="11">
        <f>IF($H349="Cancelled","",IFERROR(IF(W349="","",(AVERAGE(E349:F349)-W349)-Variables!$B$14),""))</f>
        <v>-1</v>
      </c>
      <c r="AB349" s="10">
        <v>45728</v>
      </c>
      <c r="AC349" s="11">
        <f>IF($H349="Cancelled","",IFERROR(IF(AB349="","",IF(AND(W349="",Y349=""),"",IF(Y349&gt;W349,Y349+Variables!$B$15+Variables!$B$16+Variables!$B$17-AB349,W349+Variables!$B$16+Variables!$B$17-AB349))),""))</f>
        <v>0</v>
      </c>
      <c r="AD349" s="9" t="s">
        <v>163</v>
      </c>
      <c r="AE349" s="9" t="s">
        <v>598</v>
      </c>
      <c r="AF349" s="10">
        <v>45733</v>
      </c>
      <c r="AG349" s="10"/>
      <c r="AH349" s="9"/>
      <c r="AI349" s="9">
        <v>250971091</v>
      </c>
      <c r="AJ349" s="9" t="s">
        <v>931</v>
      </c>
      <c r="AK349" s="10">
        <v>45738</v>
      </c>
      <c r="AL349" s="10">
        <v>45744</v>
      </c>
      <c r="AM349" s="10">
        <v>45758</v>
      </c>
      <c r="AN349" s="9" t="s">
        <v>95</v>
      </c>
      <c r="AO349" s="9"/>
      <c r="AP349" s="11">
        <f>IF($H349="Cancelled","",IFERROR(IF(OR(AK349="",AB349=""),"",(AB349+Variables!$B$18-AK349)),""))</f>
        <v>-3</v>
      </c>
      <c r="AQ349" s="11">
        <f>IF($H349="Cancelled","",IFERROR(IF(OR(AM349="",AK349=""),"",(AK349+Variables!$B$19)-AM349),""))</f>
        <v>-15</v>
      </c>
      <c r="AR349" s="12">
        <f>IF($H349="Cancelled","",IFERROR(T349*INDEX(Variables!$B$7:$D$7,IFERROR(MATCH(IF($B349="Robusta","Robusta",(IF($B349="","Arabica",$B349))&amp;" - "&amp;(IF($C349="","Commercial",$C349))),Variables!$B$1:$D$1,0),1))*(AQ349/365),""))</f>
        <v>-375.724971056512</v>
      </c>
      <c r="AS349" s="12">
        <f>IF($H349="Cancelled","",IFERROR((T349*INDEX(Variables!$B$7:$D$7,IFERROR(MATCH(IF($B349="Robusta","Robusta",(IF($B349="","Arabica",$B349))&amp;" - "&amp;(IF($C349="","Commercial",$C349))),Variables!$B$1:$D$1,0),1))*IFERROR(IF(W349="","",(AVERAGE(E349:F349)-W349)-Variables!$B$14),"")/365)+(L349/16.67*INDEX(Variables!$B$8:$D$8,IFERROR(MATCH(IF($B349="Robusta","Robusta",(IF($B349="","Arabica",$B349))&amp;" - "&amp;(IF($C349="","Commercial",$C349))),Variables!$B$1:$D$1,0),1))*IFERROR(IF(W349="","",(AVERAGE(E349:F349)-W349)-Variables!$B$14),""))+(T349*INDEX(Variables!$B$9:$D$9,IFERROR(MATCH(IF($B349="Robusta","Robusta",(IF($B349="","Arabica",$B349))&amp;" - "&amp;(IF($C349="","Commercial",$C349))),Variables!$B$1:$D$1,0),1))*IFERROR(IF(W349="","",(AVERAGE(E349:F349)-W349)-Variables!$B$14),"")/365),""))</f>
        <v>-41.371252735483075</v>
      </c>
      <c r="AT349" s="12">
        <f>IF($H349="Cancelled","",IFERROR((T349*INDEX(Variables!$B$7:$D$7,IFERROR(MATCH(IF($B349="Robusta","Robusta",(IF($B349="","Arabica",$B349))&amp;" - "&amp;(IF($C349="","Commercial",$C349))),Variables!$B$1:$D$1,0),1))*AC349/365)+(L349/16.67*INDEX(Variables!$B$8:$D$8,IFERROR(MATCH(IF($B349="Robusta","Robusta",(IF($B349="","Arabica",$B349))&amp;" - "&amp;(IF($C349="","Commercial",$C349))),Variables!$B$1:$D$1,0),1))*AC349)+(T349*INDEX(Variables!$B$9:$D$9,IFERROR(MATCH(IF($B349="Robusta","Robusta",(IF($B349="","Arabica",$B349))&amp;" - "&amp;(IF($C349="","Commercial",$C349))),Variables!$B$1:$D$1,0),1))*AC349/365),""))</f>
        <v>0</v>
      </c>
      <c r="AU349" s="12">
        <f>IF($H349="Cancelled","",IFERROR((T349*INDEX(Variables!$B$7:$D$7,IFERROR(MATCH(IF($B349="Robusta","Robusta",(IF($B349="","Arabica",$B349))&amp;" - "&amp;(IF($C349="","Commercial",$C349))),Variables!$B$1:$D$1,0),1))*AP349/365)+(L349/16.67*INDEX(Variables!$B$8:$D$8,IFERROR(MATCH(IF($B349="Robusta","Robusta",(IF($B349="","Arabica",$B349))&amp;" - "&amp;(IF($C349="","Commercial",$C349))),Variables!$B$1:$D$1,0),1))*AP349)+(T349*INDEX(Variables!$B$9:$D$9,IFERROR(MATCH(IF($B349="Robusta","Robusta",(IF($B349="","Arabica",$B349))&amp;" - "&amp;(IF($C349="","Commercial",$C349))),Variables!$B$1:$D$1,0),1))*AP349/365),""))</f>
        <v>-124.11375820644923</v>
      </c>
      <c r="AV349" s="11">
        <f t="shared" si="37"/>
        <v>9</v>
      </c>
      <c r="AW349" s="12">
        <f>IF($H349="Cancelled","",IFERROR(IF(AV349="","",(T349*INDEX(Variables!$B$7:$D$7,IFERROR(MATCH(IF($B349="Robusta","Robusta",(IF($B349="","Arabica",$B349))&amp;" - "&amp;(IF($C349="","Commercial",$C349))),Variables!$B$1:$D$1,0),1))*(AV349/365))+(T349*INDEX(Variables!$B$9:$D$9,IFERROR(MATCH(IF($B349="Robusta","Robusta",(IF($B349="","Arabica",$B349))&amp;" - "&amp;(IF($C349="","Commercial",$C349))),Variables!$B$1:$D$1,0),1))*(AV349/365))+(INDEX(Variables!$B$8:$D$8,IFERROR(MATCH(IF($B349="Robusta","Robusta",(IF($B349="","Arabica",$B349))&amp;" - "&amp;(IF($C349="","Commercial",$C349))),Variables!$B$1:$D$1,0),1))*L349/16.67)),""))</f>
        <v>244.34127461934764</v>
      </c>
      <c r="AX349" s="9"/>
      <c r="AY349" s="12"/>
      <c r="AZ349" s="10"/>
      <c r="BA349" s="9"/>
      <c r="BB349" s="10"/>
      <c r="BC349" s="9"/>
      <c r="BD349" s="9"/>
      <c r="BE349" s="9"/>
      <c r="BF349" s="9"/>
    </row>
    <row r="350" spans="1:58" x14ac:dyDescent="0.25">
      <c r="A350" s="9" t="s">
        <v>84</v>
      </c>
      <c r="B350" s="9" t="s">
        <v>85</v>
      </c>
      <c r="C350" s="9" t="s">
        <v>86</v>
      </c>
      <c r="D350" s="10">
        <v>45707</v>
      </c>
      <c r="E350" s="10">
        <v>45717</v>
      </c>
      <c r="F350" s="10">
        <v>45747</v>
      </c>
      <c r="G350" s="9">
        <v>3786720</v>
      </c>
      <c r="H350" s="9" t="str">
        <f t="shared" si="35"/>
        <v>Closed</v>
      </c>
      <c r="I350" s="9" t="str">
        <f t="shared" si="36"/>
        <v>All dates received</v>
      </c>
      <c r="J350" s="9" t="s">
        <v>102</v>
      </c>
      <c r="K350" s="9">
        <v>5212</v>
      </c>
      <c r="L350" s="11">
        <v>3200</v>
      </c>
      <c r="M350" s="9" t="s">
        <v>933</v>
      </c>
      <c r="N350" s="9" t="s">
        <v>934</v>
      </c>
      <c r="O350" s="9"/>
      <c r="P350" s="9"/>
      <c r="Q350" s="11">
        <v>38.229999999999997</v>
      </c>
      <c r="R350" s="9" t="s">
        <v>90</v>
      </c>
      <c r="S350" s="9" t="s">
        <v>106</v>
      </c>
      <c r="T350" s="12">
        <f>IF($H350="Cancelled","",IFERROR(((Q350+INDEX(Variables!$B$6:$D$6,IFERROR(MATCH(IF($B350="Robusta","Robusta",(IF($B350="","Arabica",$B350))&amp;" - "&amp;(IF($C350="","Commercial",$C350))),Variables!$B$1:$D$1,0),1)))*22.0462)*(L350/16.67),""))</f>
        <v>1392462.8551409715</v>
      </c>
      <c r="U350" s="10">
        <v>45708</v>
      </c>
      <c r="V350" s="9" t="str">
        <f>IF(ISNUMBER(U350),"Sent","")</f>
        <v>Sent</v>
      </c>
      <c r="W350" s="10">
        <v>45713</v>
      </c>
      <c r="X350" s="9" t="str">
        <f t="shared" si="39"/>
        <v>Approved</v>
      </c>
      <c r="Y350" s="10"/>
      <c r="Z350" s="10">
        <f>IF($H350="Cancelled","",IFERROR(IF(F350="","",F350-Variables!$B$13),""))</f>
        <v>45732</v>
      </c>
      <c r="AA350" s="11">
        <f>IF($H350="Cancelled","",IFERROR(IF(W350="","",(AVERAGE(E350:F350)-W350)-Variables!$B$14),""))</f>
        <v>-11</v>
      </c>
      <c r="AB350" s="10">
        <v>45744</v>
      </c>
      <c r="AC350" s="11">
        <f>IF($H350="Cancelled","",IFERROR(IF(AB350="","",IF(AND(W350="",Y350=""),"",IF(Y350&gt;W350,Y350+Variables!$B$15+Variables!$B$16+Variables!$B$17-AB350,W350+Variables!$B$16+Variables!$B$17-AB350))),""))</f>
        <v>-23</v>
      </c>
      <c r="AD350" s="9" t="s">
        <v>163</v>
      </c>
      <c r="AE350" s="9" t="s">
        <v>324</v>
      </c>
      <c r="AF350" s="10"/>
      <c r="AG350" s="10"/>
      <c r="AH350" s="9"/>
      <c r="AI350" s="9">
        <v>251411803</v>
      </c>
      <c r="AJ350" s="9" t="s">
        <v>8</v>
      </c>
      <c r="AK350" s="10">
        <v>45754</v>
      </c>
      <c r="AL350" s="10">
        <v>45758</v>
      </c>
      <c r="AM350" s="10">
        <v>45762</v>
      </c>
      <c r="AN350" s="9" t="s">
        <v>95</v>
      </c>
      <c r="AO350" s="9"/>
      <c r="AP350" s="11">
        <f>IF($H350="Cancelled","",IFERROR(IF(OR(AK350="",AB350=""),"",(AB350+Variables!$B$18-AK350)),""))</f>
        <v>-3</v>
      </c>
      <c r="AQ350" s="11">
        <f>IF($H350="Cancelled","",IFERROR(IF(OR(AM350="",AK350=""),"",(AK350+Variables!$B$19)-AM350),""))</f>
        <v>-3</v>
      </c>
      <c r="AR350" s="12">
        <f>IF($H350="Cancelled","",IFERROR(T350*INDEX(Variables!$B$7:$D$7,IFERROR(MATCH(IF($B350="Robusta","Robusta",(IF($B350="","Arabica",$B350))&amp;" - "&amp;(IF($C350="","Commercial",$C350))),Variables!$B$1:$D$1,0),1))*(AQ350/365),""))</f>
        <v>-737.99234233784512</v>
      </c>
      <c r="AS350" s="12">
        <f>IF($H350="Cancelled","",IFERROR((T350*INDEX(Variables!$B$7:$D$7,IFERROR(MATCH(IF($B350="Robusta","Robusta",(IF($B350="","Arabica",$B350))&amp;" - "&amp;(IF($C350="","Commercial",$C350))),Variables!$B$1:$D$1,0),1))*IFERROR(IF(W350="","",(AVERAGE(E350:F350)-W350)-Variables!$B$14),"")/365)+(L350/16.67*INDEX(Variables!$B$8:$D$8,IFERROR(MATCH(IF($B350="Robusta","Robusta",(IF($B350="","Arabica",$B350))&amp;" - "&amp;(IF($C350="","Commercial",$C350))),Variables!$B$1:$D$1,0),1))*IFERROR(IF(W350="","",(AVERAGE(E350:F350)-W350)-Variables!$B$14),""))+(T350*INDEX(Variables!$B$9:$D$9,IFERROR(MATCH(IF($B350="Robusta","Robusta",(IF($B350="","Arabica",$B350))&amp;" - "&amp;(IF($C350="","Commercial",$C350))),Variables!$B$1:$D$1,0),1))*IFERROR(IF(W350="","",(AVERAGE(E350:F350)-W350)-Variables!$B$14),"")/365),""))</f>
        <v>-4500.857122141776</v>
      </c>
      <c r="AT350" s="12">
        <f>IF($H350="Cancelled","",IFERROR((T350*INDEX(Variables!$B$7:$D$7,IFERROR(MATCH(IF($B350="Robusta","Robusta",(IF($B350="","Arabica",$B350))&amp;" - "&amp;(IF($C350="","Commercial",$C350))),Variables!$B$1:$D$1,0),1))*AC350/365)+(L350/16.67*INDEX(Variables!$B$8:$D$8,IFERROR(MATCH(IF($B350="Robusta","Robusta",(IF($B350="","Arabica",$B350))&amp;" - "&amp;(IF($C350="","Commercial",$C350))),Variables!$B$1:$D$1,0),1))*AC350)+(T350*INDEX(Variables!$B$9:$D$9,IFERROR(MATCH(IF($B350="Robusta","Robusta",(IF($B350="","Arabica",$B350))&amp;" - "&amp;(IF($C350="","Commercial",$C350))),Variables!$B$1:$D$1,0),1))*AC350/365),""))</f>
        <v>-9410.8830735691681</v>
      </c>
      <c r="AU350" s="12">
        <f>IF($H350="Cancelled","",IFERROR((T350*INDEX(Variables!$B$7:$D$7,IFERROR(MATCH(IF($B350="Robusta","Robusta",(IF($B350="","Arabica",$B350))&amp;" - "&amp;(IF($C350="","Commercial",$C350))),Variables!$B$1:$D$1,0),1))*AP350/365)+(L350/16.67*INDEX(Variables!$B$8:$D$8,IFERROR(MATCH(IF($B350="Robusta","Robusta",(IF($B350="","Arabica",$B350))&amp;" - "&amp;(IF($C350="","Commercial",$C350))),Variables!$B$1:$D$1,0),1))*AP350)+(T350*INDEX(Variables!$B$9:$D$9,IFERROR(MATCH(IF($B350="Robusta","Robusta",(IF($B350="","Arabica",$B350))&amp;" - "&amp;(IF($C350="","Commercial",$C350))),Variables!$B$1:$D$1,0),1))*AP350/365),""))</f>
        <v>-1227.506487856848</v>
      </c>
      <c r="AV350" s="11">
        <f t="shared" si="37"/>
        <v>-7</v>
      </c>
      <c r="AW350" s="12">
        <f>IF($H350="Cancelled","",IFERROR(IF(AV350="","",(T350*INDEX(Variables!$B$7:$D$7,IFERROR(MATCH(IF($B350="Robusta","Robusta",(IF($B350="","Arabica",$B350))&amp;" - "&amp;(IF($C350="","Commercial",$C350))),Variables!$B$1:$D$1,0),1))*(AV350/365))+(T350*INDEX(Variables!$B$9:$D$9,IFERROR(MATCH(IF($B350="Robusta","Robusta",(IF($B350="","Arabica",$B350))&amp;" - "&amp;(IF($C350="","Commercial",$C350))),Variables!$B$1:$D$1,0),1))*(AV350/365))+(INDEX(Variables!$B$8:$D$8,IFERROR(MATCH(IF($B350="Robusta","Robusta",(IF($B350="","Arabica",$B350))&amp;" - "&amp;(IF($C350="","Commercial",$C350))),Variables!$B$1:$D$1,0),1))*L350/16.67)),""))</f>
        <v>-1584.1818049993124</v>
      </c>
      <c r="AX350" s="9"/>
      <c r="AY350" s="12"/>
      <c r="AZ350" s="10"/>
      <c r="BA350" s="9"/>
      <c r="BB350" s="10"/>
      <c r="BC350" s="9"/>
      <c r="BD350" s="9"/>
      <c r="BE350" s="9"/>
      <c r="BF350" s="9"/>
    </row>
    <row r="351" spans="1:58" x14ac:dyDescent="0.25">
      <c r="A351" s="9" t="s">
        <v>84</v>
      </c>
      <c r="B351" s="9" t="s">
        <v>85</v>
      </c>
      <c r="C351" s="9" t="s">
        <v>86</v>
      </c>
      <c r="D351" s="10">
        <v>45707</v>
      </c>
      <c r="E351" s="10">
        <v>45731</v>
      </c>
      <c r="F351" s="10">
        <v>45747</v>
      </c>
      <c r="G351" s="9">
        <v>3786722</v>
      </c>
      <c r="H351" s="9" t="str">
        <f t="shared" si="35"/>
        <v>Closed</v>
      </c>
      <c r="I351" s="9" t="str">
        <f t="shared" si="36"/>
        <v>All dates received</v>
      </c>
      <c r="J351" s="9" t="s">
        <v>102</v>
      </c>
      <c r="K351" s="9" t="s">
        <v>935</v>
      </c>
      <c r="L351" s="11">
        <v>360</v>
      </c>
      <c r="M351" s="9" t="s">
        <v>936</v>
      </c>
      <c r="N351" s="9" t="s">
        <v>149</v>
      </c>
      <c r="O351" s="9"/>
      <c r="P351" s="9"/>
      <c r="Q351" s="11">
        <v>-35</v>
      </c>
      <c r="R351" s="9" t="s">
        <v>90</v>
      </c>
      <c r="S351" s="9" t="s">
        <v>656</v>
      </c>
      <c r="T351" s="12">
        <f>IF($H351="Cancelled","",IFERROR(((Q351+INDEX(Variables!$B$6:$D$6,IFERROR(MATCH(IF($B351="Robusta","Robusta",(IF($B351="","Arabica",$B351))&amp;" - "&amp;(IF($C351="","Commercial",$C351))),Variables!$B$1:$D$1,0),1)))*22.0462)*(L351/16.67),""))</f>
        <v>121787.07052189561</v>
      </c>
      <c r="U351" s="10">
        <v>45708</v>
      </c>
      <c r="V351" s="9" t="str">
        <f>IF(ISNUMBER(U351),"Sent","")</f>
        <v>Sent</v>
      </c>
      <c r="W351" s="10">
        <v>45715</v>
      </c>
      <c r="X351" s="9" t="str">
        <f t="shared" si="39"/>
        <v>Approved</v>
      </c>
      <c r="Y351" s="10"/>
      <c r="Z351" s="10">
        <f>IF($H351="Cancelled","",IFERROR(IF(F351="","",F351-Variables!$B$13),""))</f>
        <v>45732</v>
      </c>
      <c r="AA351" s="11">
        <f>IF($H351="Cancelled","",IFERROR(IF(W351="","",(AVERAGE(E351:F351)-W351)-Variables!$B$14),""))</f>
        <v>-6</v>
      </c>
      <c r="AB351" s="10">
        <v>45734</v>
      </c>
      <c r="AC351" s="11">
        <f>IF($H351="Cancelled","",IFERROR(IF(AB351="","",IF(AND(W351="",Y351=""),"",IF(Y351&gt;W351,Y351+Variables!$B$15+Variables!$B$16+Variables!$B$17-AB351,W351+Variables!$B$16+Variables!$B$17-AB351))),""))</f>
        <v>-11</v>
      </c>
      <c r="AD351" s="9" t="s">
        <v>163</v>
      </c>
      <c r="AE351" s="9" t="s">
        <v>219</v>
      </c>
      <c r="AF351" s="10">
        <v>45743</v>
      </c>
      <c r="AG351" s="10"/>
      <c r="AH351" s="9"/>
      <c r="AI351" s="9">
        <v>251413467</v>
      </c>
      <c r="AJ351" s="9" t="s">
        <v>8</v>
      </c>
      <c r="AK351" s="10">
        <v>45745</v>
      </c>
      <c r="AL351" s="10">
        <v>45754</v>
      </c>
      <c r="AM351" s="10">
        <v>45754</v>
      </c>
      <c r="AN351" s="9" t="s">
        <v>95</v>
      </c>
      <c r="AO351" s="9"/>
      <c r="AP351" s="11">
        <f>IF($H351="Cancelled","",IFERROR(IF(OR(AK351="",AB351=""),"",(AB351+Variables!$B$18-AK351)),""))</f>
        <v>-4</v>
      </c>
      <c r="AQ351" s="11">
        <f>IF($H351="Cancelled","",IFERROR(IF(OR(AM351="",AK351=""),"",(AK351+Variables!$B$19)-AM351),""))</f>
        <v>-4</v>
      </c>
      <c r="AR351" s="12">
        <f>IF($H351="Cancelled","",IFERROR(T351*INDEX(Variables!$B$7:$D$7,IFERROR(MATCH(IF($B351="Robusta","Robusta",(IF($B351="","Arabica",$B351))&amp;" - "&amp;(IF($C351="","Commercial",$C351))),Variables!$B$1:$D$1,0),1))*(AQ351/365),""))</f>
        <v>-86.061350562268245</v>
      </c>
      <c r="AS351" s="12">
        <f>IF($H351="Cancelled","",IFERROR((T351*INDEX(Variables!$B$7:$D$7,IFERROR(MATCH(IF($B351="Robusta","Robusta",(IF($B351="","Arabica",$B351))&amp;" - "&amp;(IF($C351="","Commercial",$C351))),Variables!$B$1:$D$1,0),1))*IFERROR(IF(W351="","",(AVERAGE(E351:F351)-W351)-Variables!$B$14),"")/365)+(L351/16.67*INDEX(Variables!$B$8:$D$8,IFERROR(MATCH(IF($B351="Robusta","Robusta",(IF($B351="","Arabica",$B351))&amp;" - "&amp;(IF($C351="","Commercial",$C351))),Variables!$B$1:$D$1,0),1))*IFERROR(IF(W351="","",(AVERAGE(E351:F351)-W351)-Variables!$B$14),""))+(T351*INDEX(Variables!$B$9:$D$9,IFERROR(MATCH(IF($B351="Robusta","Robusta",(IF($B351="","Arabica",$B351))&amp;" - "&amp;(IF($C351="","Commercial",$C351))),Variables!$B$1:$D$1,0),1))*IFERROR(IF(W351="","",(AVERAGE(E351:F351)-W351)-Variables!$B$14),"")/365),""))</f>
        <v>-238.75627118682462</v>
      </c>
      <c r="AT351" s="12">
        <f>IF($H351="Cancelled","",IFERROR((T351*INDEX(Variables!$B$7:$D$7,IFERROR(MATCH(IF($B351="Robusta","Robusta",(IF($B351="","Arabica",$B351))&amp;" - "&amp;(IF($C351="","Commercial",$C351))),Variables!$B$1:$D$1,0),1))*AC351/365)+(L351/16.67*INDEX(Variables!$B$8:$D$8,IFERROR(MATCH(IF($B351="Robusta","Robusta",(IF($B351="","Arabica",$B351))&amp;" - "&amp;(IF($C351="","Commercial",$C351))),Variables!$B$1:$D$1,0),1))*AC351)+(T351*INDEX(Variables!$B$9:$D$9,IFERROR(MATCH(IF($B351="Robusta","Robusta",(IF($B351="","Arabica",$B351))&amp;" - "&amp;(IF($C351="","Commercial",$C351))),Variables!$B$1:$D$1,0),1))*AC351/365),""))</f>
        <v>-437.71983050917845</v>
      </c>
      <c r="AU351" s="12">
        <f>IF($H351="Cancelled","",IFERROR((T351*INDEX(Variables!$B$7:$D$7,IFERROR(MATCH(IF($B351="Robusta","Robusta",(IF($B351="","Arabica",$B351))&amp;" - "&amp;(IF($C351="","Commercial",$C351))),Variables!$B$1:$D$1,0),1))*AP351/365)+(L351/16.67*INDEX(Variables!$B$8:$D$8,IFERROR(MATCH(IF($B351="Robusta","Robusta",(IF($B351="","Arabica",$B351))&amp;" - "&amp;(IF($C351="","Commercial",$C351))),Variables!$B$1:$D$1,0),1))*AP351)+(T351*INDEX(Variables!$B$9:$D$9,IFERROR(MATCH(IF($B351="Robusta","Robusta",(IF($B351="","Arabica",$B351))&amp;" - "&amp;(IF($C351="","Commercial",$C351))),Variables!$B$1:$D$1,0),1))*AP351/365),""))</f>
        <v>-159.1708474578831</v>
      </c>
      <c r="AV351" s="11">
        <f t="shared" si="37"/>
        <v>2</v>
      </c>
      <c r="AW351" s="12">
        <f>IF($H351="Cancelled","",IFERROR(IF(AV351="","",(T351*INDEX(Variables!$B$7:$D$7,IFERROR(MATCH(IF($B351="Robusta","Robusta",(IF($B351="","Arabica",$B351))&amp;" - "&amp;(IF($C351="","Commercial",$C351))),Variables!$B$1:$D$1,0),1))*(AV351/365))+(T351*INDEX(Variables!$B$9:$D$9,IFERROR(MATCH(IF($B351="Robusta","Robusta",(IF($B351="","Arabica",$B351))&amp;" - "&amp;(IF($C351="","Commercial",$C351))),Variables!$B$1:$D$1,0),1))*(AV351/365))+(INDEX(Variables!$B$8:$D$8,IFERROR(MATCH(IF($B351="Robusta","Robusta",(IF($B351="","Arabica",$B351))&amp;" - "&amp;(IF($C351="","Commercial",$C351))),Variables!$B$1:$D$1,0),1))*L351/16.67)),""))</f>
        <v>61.585423728941528</v>
      </c>
      <c r="AX351" s="9"/>
      <c r="AY351" s="12"/>
      <c r="AZ351" s="10"/>
      <c r="BA351" s="9"/>
      <c r="BB351" s="10"/>
      <c r="BC351" s="9"/>
      <c r="BD351" s="9"/>
      <c r="BE351" s="9"/>
      <c r="BF351" s="9"/>
    </row>
    <row r="352" spans="1:58" x14ac:dyDescent="0.25">
      <c r="A352" s="9" t="s">
        <v>84</v>
      </c>
      <c r="B352" s="9" t="s">
        <v>85</v>
      </c>
      <c r="C352" s="9" t="s">
        <v>86</v>
      </c>
      <c r="D352" s="10">
        <v>45707</v>
      </c>
      <c r="E352" s="10">
        <v>45731</v>
      </c>
      <c r="F352" s="10">
        <v>45747</v>
      </c>
      <c r="G352" s="9">
        <v>3786722</v>
      </c>
      <c r="H352" s="9" t="str">
        <f t="shared" si="35"/>
        <v>Closed</v>
      </c>
      <c r="I352" s="9" t="str">
        <f t="shared" si="36"/>
        <v>All dates received</v>
      </c>
      <c r="J352" s="9" t="s">
        <v>102</v>
      </c>
      <c r="K352" s="9" t="s">
        <v>937</v>
      </c>
      <c r="L352" s="11">
        <v>360</v>
      </c>
      <c r="M352" s="9" t="s">
        <v>936</v>
      </c>
      <c r="N352" s="9" t="s">
        <v>149</v>
      </c>
      <c r="O352" s="9"/>
      <c r="P352" s="9"/>
      <c r="Q352" s="11">
        <v>-35</v>
      </c>
      <c r="R352" s="9" t="s">
        <v>90</v>
      </c>
      <c r="S352" s="9" t="s">
        <v>469</v>
      </c>
      <c r="T352" s="12">
        <f>IF($H352="Cancelled","",IFERROR(((Q352+INDEX(Variables!$B$6:$D$6,IFERROR(MATCH(IF($B352="Robusta","Robusta",(IF($B352="","Arabica",$B352))&amp;" - "&amp;(IF($C352="","Commercial",$C352))),Variables!$B$1:$D$1,0),1)))*22.0462)*(L352/16.67),""))</f>
        <v>121787.07052189561</v>
      </c>
      <c r="U352" s="10">
        <v>45708</v>
      </c>
      <c r="V352" s="9" t="str">
        <f>IF(ISNUMBER(U352),"Sent","")</f>
        <v>Sent</v>
      </c>
      <c r="W352" s="10">
        <v>45715</v>
      </c>
      <c r="X352" s="9" t="str">
        <f t="shared" si="39"/>
        <v>Approved</v>
      </c>
      <c r="Y352" s="10"/>
      <c r="Z352" s="10">
        <f>IF($H352="Cancelled","",IFERROR(IF(F352="","",F352-Variables!$B$13),""))</f>
        <v>45732</v>
      </c>
      <c r="AA352" s="11">
        <f>IF($H352="Cancelled","",IFERROR(IF(W352="","",(AVERAGE(E352:F352)-W352)-Variables!$B$14),""))</f>
        <v>-6</v>
      </c>
      <c r="AB352" s="10">
        <v>45734</v>
      </c>
      <c r="AC352" s="11">
        <f>IF($H352="Cancelled","",IFERROR(IF(AB352="","",IF(AND(W352="",Y352=""),"",IF(Y352&gt;W352,Y352+Variables!$B$15+Variables!$B$16+Variables!$B$17-AB352,W352+Variables!$B$16+Variables!$B$17-AB352))),""))</f>
        <v>-11</v>
      </c>
      <c r="AD352" s="9" t="s">
        <v>163</v>
      </c>
      <c r="AE352" s="9" t="s">
        <v>219</v>
      </c>
      <c r="AF352" s="10">
        <v>45743</v>
      </c>
      <c r="AG352" s="10"/>
      <c r="AH352" s="9"/>
      <c r="AI352" s="9">
        <v>251413644</v>
      </c>
      <c r="AJ352" s="9" t="s">
        <v>8</v>
      </c>
      <c r="AK352" s="10">
        <v>45745</v>
      </c>
      <c r="AL352" s="10">
        <v>45754</v>
      </c>
      <c r="AM352" s="10">
        <v>45754</v>
      </c>
      <c r="AN352" s="9" t="s">
        <v>95</v>
      </c>
      <c r="AO352" s="9"/>
      <c r="AP352" s="11">
        <f>IF($H352="Cancelled","",IFERROR(IF(OR(AK352="",AB352=""),"",(AB352+Variables!$B$18-AK352)),""))</f>
        <v>-4</v>
      </c>
      <c r="AQ352" s="11">
        <f>IF($H352="Cancelled","",IFERROR(IF(OR(AM352="",AK352=""),"",(AK352+Variables!$B$19)-AM352),""))</f>
        <v>-4</v>
      </c>
      <c r="AR352" s="12">
        <f>IF($H352="Cancelled","",IFERROR(T352*INDEX(Variables!$B$7:$D$7,IFERROR(MATCH(IF($B352="Robusta","Robusta",(IF($B352="","Arabica",$B352))&amp;" - "&amp;(IF($C352="","Commercial",$C352))),Variables!$B$1:$D$1,0),1))*(AQ352/365),""))</f>
        <v>-86.061350562268245</v>
      </c>
      <c r="AS352" s="12">
        <f>IF($H352="Cancelled","",IFERROR((T352*INDEX(Variables!$B$7:$D$7,IFERROR(MATCH(IF($B352="Robusta","Robusta",(IF($B352="","Arabica",$B352))&amp;" - "&amp;(IF($C352="","Commercial",$C352))),Variables!$B$1:$D$1,0),1))*IFERROR(IF(W352="","",(AVERAGE(E352:F352)-W352)-Variables!$B$14),"")/365)+(L352/16.67*INDEX(Variables!$B$8:$D$8,IFERROR(MATCH(IF($B352="Robusta","Robusta",(IF($B352="","Arabica",$B352))&amp;" - "&amp;(IF($C352="","Commercial",$C352))),Variables!$B$1:$D$1,0),1))*IFERROR(IF(W352="","",(AVERAGE(E352:F352)-W352)-Variables!$B$14),""))+(T352*INDEX(Variables!$B$9:$D$9,IFERROR(MATCH(IF($B352="Robusta","Robusta",(IF($B352="","Arabica",$B352))&amp;" - "&amp;(IF($C352="","Commercial",$C352))),Variables!$B$1:$D$1,0),1))*IFERROR(IF(W352="","",(AVERAGE(E352:F352)-W352)-Variables!$B$14),"")/365),""))</f>
        <v>-238.75627118682462</v>
      </c>
      <c r="AT352" s="12">
        <f>IF($H352="Cancelled","",IFERROR((T352*INDEX(Variables!$B$7:$D$7,IFERROR(MATCH(IF($B352="Robusta","Robusta",(IF($B352="","Arabica",$B352))&amp;" - "&amp;(IF($C352="","Commercial",$C352))),Variables!$B$1:$D$1,0),1))*AC352/365)+(L352/16.67*INDEX(Variables!$B$8:$D$8,IFERROR(MATCH(IF($B352="Robusta","Robusta",(IF($B352="","Arabica",$B352))&amp;" - "&amp;(IF($C352="","Commercial",$C352))),Variables!$B$1:$D$1,0),1))*AC352)+(T352*INDEX(Variables!$B$9:$D$9,IFERROR(MATCH(IF($B352="Robusta","Robusta",(IF($B352="","Arabica",$B352))&amp;" - "&amp;(IF($C352="","Commercial",$C352))),Variables!$B$1:$D$1,0),1))*AC352/365),""))</f>
        <v>-437.71983050917845</v>
      </c>
      <c r="AU352" s="12">
        <f>IF($H352="Cancelled","",IFERROR((T352*INDEX(Variables!$B$7:$D$7,IFERROR(MATCH(IF($B352="Robusta","Robusta",(IF($B352="","Arabica",$B352))&amp;" - "&amp;(IF($C352="","Commercial",$C352))),Variables!$B$1:$D$1,0),1))*AP352/365)+(L352/16.67*INDEX(Variables!$B$8:$D$8,IFERROR(MATCH(IF($B352="Robusta","Robusta",(IF($B352="","Arabica",$B352))&amp;" - "&amp;(IF($C352="","Commercial",$C352))),Variables!$B$1:$D$1,0),1))*AP352)+(T352*INDEX(Variables!$B$9:$D$9,IFERROR(MATCH(IF($B352="Robusta","Robusta",(IF($B352="","Arabica",$B352))&amp;" - "&amp;(IF($C352="","Commercial",$C352))),Variables!$B$1:$D$1,0),1))*AP352/365),""))</f>
        <v>-159.1708474578831</v>
      </c>
      <c r="AV352" s="11">
        <f t="shared" si="37"/>
        <v>2</v>
      </c>
      <c r="AW352" s="12">
        <f>IF($H352="Cancelled","",IFERROR(IF(AV352="","",(T352*INDEX(Variables!$B$7:$D$7,IFERROR(MATCH(IF($B352="Robusta","Robusta",(IF($B352="","Arabica",$B352))&amp;" - "&amp;(IF($C352="","Commercial",$C352))),Variables!$B$1:$D$1,0),1))*(AV352/365))+(T352*INDEX(Variables!$B$9:$D$9,IFERROR(MATCH(IF($B352="Robusta","Robusta",(IF($B352="","Arabica",$B352))&amp;" - "&amp;(IF($C352="","Commercial",$C352))),Variables!$B$1:$D$1,0),1))*(AV352/365))+(INDEX(Variables!$B$8:$D$8,IFERROR(MATCH(IF($B352="Robusta","Robusta",(IF($B352="","Arabica",$B352))&amp;" - "&amp;(IF($C352="","Commercial",$C352))),Variables!$B$1:$D$1,0),1))*L352/16.67)),""))</f>
        <v>61.585423728941528</v>
      </c>
      <c r="AX352" s="9"/>
      <c r="AY352" s="12"/>
      <c r="AZ352" s="10"/>
      <c r="BA352" s="9"/>
      <c r="BB352" s="10"/>
      <c r="BC352" s="9"/>
      <c r="BD352" s="9"/>
      <c r="BE352" s="9"/>
      <c r="BF352" s="9"/>
    </row>
    <row r="353" spans="1:58" x14ac:dyDescent="0.25">
      <c r="A353" s="9" t="s">
        <v>84</v>
      </c>
      <c r="B353" s="9" t="s">
        <v>85</v>
      </c>
      <c r="C353" s="9" t="s">
        <v>86</v>
      </c>
      <c r="D353" s="10">
        <v>45707</v>
      </c>
      <c r="E353" s="10">
        <v>45748</v>
      </c>
      <c r="F353" s="10">
        <v>45777</v>
      </c>
      <c r="G353" s="9">
        <v>3786721</v>
      </c>
      <c r="H353" s="9" t="str">
        <f t="shared" si="35"/>
        <v>Closed</v>
      </c>
      <c r="I353" s="9" t="str">
        <f t="shared" si="36"/>
        <v>All dates received</v>
      </c>
      <c r="J353" s="9" t="s">
        <v>102</v>
      </c>
      <c r="K353" s="9">
        <v>5229</v>
      </c>
      <c r="L353" s="11">
        <v>1080</v>
      </c>
      <c r="M353" s="9" t="s">
        <v>938</v>
      </c>
      <c r="N353" s="9" t="s">
        <v>121</v>
      </c>
      <c r="O353" s="9"/>
      <c r="P353" s="9"/>
      <c r="Q353" s="11">
        <v>-6.75</v>
      </c>
      <c r="R353" s="9" t="s">
        <v>90</v>
      </c>
      <c r="S353" s="9" t="s">
        <v>656</v>
      </c>
      <c r="T353" s="12">
        <f>IF($H353="Cancelled","",IFERROR(((Q353+INDEX(Variables!$B$6:$D$6,IFERROR(MATCH(IF($B353="Robusta","Robusta",(IF($B353="","Arabica",$B353))&amp;" - "&amp;(IF($C353="","Commercial",$C353))),Variables!$B$1:$D$1,0),1)))*22.0462)*(L353/16.67),""))</f>
        <v>405710.91534493095</v>
      </c>
      <c r="U353" s="10">
        <v>45708</v>
      </c>
      <c r="V353" s="9" t="str">
        <f>IF(ISNUMBER(U353),"Sent","")</f>
        <v>Sent</v>
      </c>
      <c r="W353" s="10">
        <v>45716</v>
      </c>
      <c r="X353" s="9" t="str">
        <f t="shared" si="39"/>
        <v>Approved</v>
      </c>
      <c r="Y353" s="10"/>
      <c r="Z353" s="10">
        <f>IF($H353="Cancelled","",IFERROR(IF(F353="","",F353-Variables!$B$13),""))</f>
        <v>45762</v>
      </c>
      <c r="AA353" s="11">
        <f>IF($H353="Cancelled","",IFERROR(IF(W353="","",(AVERAGE(E353:F353)-W353)-Variables!$B$14),""))</f>
        <v>16.5</v>
      </c>
      <c r="AB353" s="10">
        <v>45745</v>
      </c>
      <c r="AC353" s="11">
        <f>IF($H353="Cancelled","",IFERROR(IF(AB353="","",IF(AND(W353="",Y353=""),"",IF(Y353&gt;W353,Y353+Variables!$B$15+Variables!$B$16+Variables!$B$17-AB353,W353+Variables!$B$16+Variables!$B$17-AB353))),""))</f>
        <v>-21</v>
      </c>
      <c r="AD353" s="9" t="s">
        <v>107</v>
      </c>
      <c r="AE353" s="9" t="s">
        <v>693</v>
      </c>
      <c r="AF353" s="10">
        <v>45758</v>
      </c>
      <c r="AG353" s="10"/>
      <c r="AH353" s="9"/>
      <c r="AI353" s="9" t="s">
        <v>939</v>
      </c>
      <c r="AJ353" s="9" t="s">
        <v>8</v>
      </c>
      <c r="AK353" s="10">
        <v>45762</v>
      </c>
      <c r="AL353" s="10">
        <v>45764</v>
      </c>
      <c r="AM353" s="10">
        <v>45764</v>
      </c>
      <c r="AN353" s="9" t="s">
        <v>95</v>
      </c>
      <c r="AO353" s="9"/>
      <c r="AP353" s="11">
        <f>IF($H353="Cancelled","",IFERROR(IF(OR(AK353="",AB353=""),"",(AB353+Variables!$B$18-AK353)),""))</f>
        <v>-10</v>
      </c>
      <c r="AQ353" s="11">
        <f>IF($H353="Cancelled","",IFERROR(IF(OR(AM353="",AK353=""),"",(AK353+Variables!$B$19)-AM353),""))</f>
        <v>3</v>
      </c>
      <c r="AR353" s="12">
        <f>IF($H353="Cancelled","",IFERROR(T353*INDEX(Variables!$B$7:$D$7,IFERROR(MATCH(IF($B353="Robusta","Robusta",(IF($B353="","Arabica",$B353))&amp;" - "&amp;(IF($C353="","Commercial",$C353))),Variables!$B$1:$D$1,0),1))*(AQ353/365),""))</f>
        <v>215.02300590784853</v>
      </c>
      <c r="AS353" s="12">
        <f>IF($H353="Cancelled","",IFERROR((T353*INDEX(Variables!$B$7:$D$7,IFERROR(MATCH(IF($B353="Robusta","Robusta",(IF($B353="","Arabica",$B353))&amp;" - "&amp;(IF($C353="","Commercial",$C353))),Variables!$B$1:$D$1,0),1))*IFERROR(IF(W353="","",(AVERAGE(E353:F353)-W353)-Variables!$B$14),"")/365)+(L353/16.67*INDEX(Variables!$B$8:$D$8,IFERROR(MATCH(IF($B353="Robusta","Robusta",(IF($B353="","Arabica",$B353))&amp;" - "&amp;(IF($C353="","Commercial",$C353))),Variables!$B$1:$D$1,0),1))*IFERROR(IF(W353="","",(AVERAGE(E353:F353)-W353)-Variables!$B$14),""))+(T353*INDEX(Variables!$B$9:$D$9,IFERROR(MATCH(IF($B353="Robusta","Robusta",(IF($B353="","Arabica",$B353))&amp;" - "&amp;(IF($C353="","Commercial",$C353))),Variables!$B$1:$D$1,0),1))*IFERROR(IF(W353="","",(AVERAGE(E353:F353)-W353)-Variables!$B$14),"")/365),""))</f>
        <v>2088.8728708076414</v>
      </c>
      <c r="AT353" s="12">
        <f>IF($H353="Cancelled","",IFERROR((T353*INDEX(Variables!$B$7:$D$7,IFERROR(MATCH(IF($B353="Robusta","Robusta",(IF($B353="","Arabica",$B353))&amp;" - "&amp;(IF($C353="","Commercial",$C353))),Variables!$B$1:$D$1,0),1))*AC353/365)+(L353/16.67*INDEX(Variables!$B$8:$D$8,IFERROR(MATCH(IF($B353="Robusta","Robusta",(IF($B353="","Arabica",$B353))&amp;" - "&amp;(IF($C353="","Commercial",$C353))),Variables!$B$1:$D$1,0),1))*AC353)+(T353*INDEX(Variables!$B$9:$D$9,IFERROR(MATCH(IF($B353="Robusta","Robusta",(IF($B353="","Arabica",$B353))&amp;" - "&amp;(IF($C353="","Commercial",$C353))),Variables!$B$1:$D$1,0),1))*AC353/365),""))</f>
        <v>-2658.5654719369973</v>
      </c>
      <c r="AU353" s="12">
        <f>IF($H353="Cancelled","",IFERROR((T353*INDEX(Variables!$B$7:$D$7,IFERROR(MATCH(IF($B353="Robusta","Robusta",(IF($B353="","Arabica",$B353))&amp;" - "&amp;(IF($C353="","Commercial",$C353))),Variables!$B$1:$D$1,0),1))*AP353/365)+(L353/16.67*INDEX(Variables!$B$8:$D$8,IFERROR(MATCH(IF($B353="Robusta","Robusta",(IF($B353="","Arabica",$B353))&amp;" - "&amp;(IF($C353="","Commercial",$C353))),Variables!$B$1:$D$1,0),1))*AP353)+(T353*INDEX(Variables!$B$9:$D$9,IFERROR(MATCH(IF($B353="Robusta","Robusta",(IF($B353="","Arabica",$B353))&amp;" - "&amp;(IF($C353="","Commercial",$C353))),Variables!$B$1:$D$1,0),1))*AP353/365),""))</f>
        <v>-1265.983558065237</v>
      </c>
      <c r="AV353" s="11">
        <f t="shared" si="37"/>
        <v>15</v>
      </c>
      <c r="AW353" s="12">
        <f>IF($H353="Cancelled","",IFERROR(IF(AV353="","",(T353*INDEX(Variables!$B$7:$D$7,IFERROR(MATCH(IF($B353="Robusta","Robusta",(IF($B353="","Arabica",$B353))&amp;" - "&amp;(IF($C353="","Commercial",$C353))),Variables!$B$1:$D$1,0),1))*(AV353/365))+(T353*INDEX(Variables!$B$9:$D$9,IFERROR(MATCH(IF($B353="Robusta","Robusta",(IF($B353="","Arabica",$B353))&amp;" - "&amp;(IF($C353="","Commercial",$C353))),Variables!$B$1:$D$1,0),1))*(AV353/365))+(INDEX(Variables!$B$8:$D$8,IFERROR(MATCH(IF($B353="Robusta","Robusta",(IF($B353="","Arabica",$B353))&amp;" - "&amp;(IF($C353="","Commercial",$C353))),Variables!$B$1:$D$1,0),1))*L353/16.67)),""))</f>
        <v>1142.9753370978553</v>
      </c>
      <c r="AX353" s="9"/>
      <c r="AY353" s="12"/>
      <c r="AZ353" s="10"/>
      <c r="BA353" s="9"/>
      <c r="BB353" s="10"/>
      <c r="BC353" s="9"/>
      <c r="BD353" s="9"/>
      <c r="BE353" s="9"/>
      <c r="BF353" s="9"/>
    </row>
    <row r="354" spans="1:58" x14ac:dyDescent="0.25">
      <c r="A354" s="9" t="s">
        <v>84</v>
      </c>
      <c r="B354" s="9" t="s">
        <v>85</v>
      </c>
      <c r="C354" s="9" t="s">
        <v>86</v>
      </c>
      <c r="D354" s="10">
        <v>45707</v>
      </c>
      <c r="E354" s="10">
        <v>45748</v>
      </c>
      <c r="F354" s="10">
        <v>45777</v>
      </c>
      <c r="G354" s="9">
        <v>3786723</v>
      </c>
      <c r="H354" s="9" t="str">
        <f t="shared" si="35"/>
        <v>Closed</v>
      </c>
      <c r="I354" s="9" t="str">
        <f t="shared" si="36"/>
        <v>All dates received</v>
      </c>
      <c r="J354" s="9" t="s">
        <v>537</v>
      </c>
      <c r="K354" s="9">
        <v>5231</v>
      </c>
      <c r="L354" s="11">
        <v>1800</v>
      </c>
      <c r="M354" s="9" t="s">
        <v>722</v>
      </c>
      <c r="N354" s="9" t="s">
        <v>387</v>
      </c>
      <c r="O354" s="9"/>
      <c r="P354" s="9"/>
      <c r="Q354" s="11">
        <v>-11.5</v>
      </c>
      <c r="R354" s="9" t="s">
        <v>90</v>
      </c>
      <c r="S354" s="9" t="s">
        <v>538</v>
      </c>
      <c r="T354" s="12">
        <f>IF($H354="Cancelled","",IFERROR(((Q354+INDEX(Variables!$B$6:$D$6,IFERROR(MATCH(IF($B354="Robusta","Robusta",(IF($B354="","Arabica",$B354))&amp;" - "&amp;(IF($C354="","Commercial",$C354))),Variables!$B$1:$D$1,0),1)))*22.0462)*(L354/16.67),""))</f>
        <v>664877.41979604075</v>
      </c>
      <c r="U354" s="10">
        <v>45751</v>
      </c>
      <c r="V354" s="9" t="str">
        <f>IF(ISNUMBER(U354),"Sent","")</f>
        <v>Sent</v>
      </c>
      <c r="W354" s="10">
        <v>45761</v>
      </c>
      <c r="X354" s="9" t="str">
        <f t="shared" si="39"/>
        <v>Approved</v>
      </c>
      <c r="Y354" s="10"/>
      <c r="Z354" s="10">
        <f>IF($H354="Cancelled","",IFERROR(IF(F354="","",F354-Variables!$B$13),""))</f>
        <v>45762</v>
      </c>
      <c r="AA354" s="11">
        <f>IF($H354="Cancelled","",IFERROR(IF(W354="","",(AVERAGE(E354:F354)-W354)-Variables!$B$14),""))</f>
        <v>-28.5</v>
      </c>
      <c r="AB354" s="10">
        <v>45769</v>
      </c>
      <c r="AC354" s="11">
        <f>IF($H354="Cancelled","",IFERROR(IF(AB354="","",IF(AND(W354="",Y354=""),"",IF(Y354&gt;W354,Y354+Variables!$B$15+Variables!$B$16+Variables!$B$17-AB354,W354+Variables!$B$16+Variables!$B$17-AB354))),""))</f>
        <v>0</v>
      </c>
      <c r="AD354" s="9" t="s">
        <v>163</v>
      </c>
      <c r="AE354" s="9" t="s">
        <v>164</v>
      </c>
      <c r="AF354" s="10"/>
      <c r="AG354" s="10"/>
      <c r="AH354" s="9"/>
      <c r="AI354" s="9">
        <v>252664049</v>
      </c>
      <c r="AJ354" s="9" t="s">
        <v>8</v>
      </c>
      <c r="AK354" s="10">
        <v>45785</v>
      </c>
      <c r="AL354" s="10">
        <v>45792</v>
      </c>
      <c r="AM354" s="10">
        <v>45792</v>
      </c>
      <c r="AN354" s="9" t="s">
        <v>95</v>
      </c>
      <c r="AO354" s="9"/>
      <c r="AP354" s="11">
        <f>IF($H354="Cancelled","",IFERROR(IF(OR(AK354="",AB354=""),"",(AB354+Variables!$B$18-AK354)),""))</f>
        <v>-9</v>
      </c>
      <c r="AQ354" s="11">
        <f>IF($H354="Cancelled","",IFERROR(IF(OR(AM354="",AK354=""),"",(AK354+Variables!$B$19)-AM354),""))</f>
        <v>-2</v>
      </c>
      <c r="AR354" s="12">
        <f>IF($H354="Cancelled","",IFERROR(T354*INDEX(Variables!$B$7:$D$7,IFERROR(MATCH(IF($B354="Robusta","Robusta",(IF($B354="","Arabica",$B354))&amp;" - "&amp;(IF($C354="","Commercial",$C354))),Variables!$B$1:$D$1,0),1))*(AQ354/365),""))</f>
        <v>-234.91922607546442</v>
      </c>
      <c r="AS354" s="12">
        <f>IF($H354="Cancelled","",IFERROR((T354*INDEX(Variables!$B$7:$D$7,IFERROR(MATCH(IF($B354="Robusta","Robusta",(IF($B354="","Arabica",$B354))&amp;" - "&amp;(IF($C354="","Commercial",$C354))),Variables!$B$1:$D$1,0),1))*IFERROR(IF(W354="","",(AVERAGE(E354:F354)-W354)-Variables!$B$14),"")/365)+(L354/16.67*INDEX(Variables!$B$8:$D$8,IFERROR(MATCH(IF($B354="Robusta","Robusta",(IF($B354="","Arabica",$B354))&amp;" - "&amp;(IF($C354="","Commercial",$C354))),Variables!$B$1:$D$1,0),1))*IFERROR(IF(W354="","",(AVERAGE(E354:F354)-W354)-Variables!$B$14),""))+(T354*INDEX(Variables!$B$9:$D$9,IFERROR(MATCH(IF($B354="Robusta","Robusta",(IF($B354="","Arabica",$B354))&amp;" - "&amp;(IF($C354="","Commercial",$C354))),Variables!$B$1:$D$1,0),1))*IFERROR(IF(W354="","",(AVERAGE(E354:F354)-W354)-Variables!$B$14),"")/365),""))</f>
        <v>-5955.755982736132</v>
      </c>
      <c r="AT354" s="12">
        <f>IF($H354="Cancelled","",IFERROR((T354*INDEX(Variables!$B$7:$D$7,IFERROR(MATCH(IF($B354="Robusta","Robusta",(IF($B354="","Arabica",$B354))&amp;" - "&amp;(IF($C354="","Commercial",$C354))),Variables!$B$1:$D$1,0),1))*AC354/365)+(L354/16.67*INDEX(Variables!$B$8:$D$8,IFERROR(MATCH(IF($B354="Robusta","Robusta",(IF($B354="","Arabica",$B354))&amp;" - "&amp;(IF($C354="","Commercial",$C354))),Variables!$B$1:$D$1,0),1))*AC354)+(T354*INDEX(Variables!$B$9:$D$9,IFERROR(MATCH(IF($B354="Robusta","Robusta",(IF($B354="","Arabica",$B354))&amp;" - "&amp;(IF($C354="","Commercial",$C354))),Variables!$B$1:$D$1,0),1))*AC354/365),""))</f>
        <v>0</v>
      </c>
      <c r="AU354" s="12">
        <f>IF($H354="Cancelled","",IFERROR((T354*INDEX(Variables!$B$7:$D$7,IFERROR(MATCH(IF($B354="Robusta","Robusta",(IF($B354="","Arabica",$B354))&amp;" - "&amp;(IF($C354="","Commercial",$C354))),Variables!$B$1:$D$1,0),1))*AP354/365)+(L354/16.67*INDEX(Variables!$B$8:$D$8,IFERROR(MATCH(IF($B354="Robusta","Robusta",(IF($B354="","Arabica",$B354))&amp;" - "&amp;(IF($C354="","Commercial",$C354))),Variables!$B$1:$D$1,0),1))*AP354)+(T354*INDEX(Variables!$B$9:$D$9,IFERROR(MATCH(IF($B354="Robusta","Robusta",(IF($B354="","Arabica",$B354))&amp;" - "&amp;(IF($C354="","Commercial",$C354))),Variables!$B$1:$D$1,0),1))*AP354/365),""))</f>
        <v>-1880.7650471798313</v>
      </c>
      <c r="AV354" s="11">
        <f t="shared" si="37"/>
        <v>-8</v>
      </c>
      <c r="AW354" s="12">
        <f>IF($H354="Cancelled","",IFERROR(IF(AV354="","",(T354*INDEX(Variables!$B$7:$D$7,IFERROR(MATCH(IF($B354="Robusta","Robusta",(IF($B354="","Arabica",$B354))&amp;" - "&amp;(IF($C354="","Commercial",$C354))),Variables!$B$1:$D$1,0),1))*(AV354/365))+(T354*INDEX(Variables!$B$9:$D$9,IFERROR(MATCH(IF($B354="Robusta","Robusta",(IF($B354="","Arabica",$B354))&amp;" - "&amp;(IF($C354="","Commercial",$C354))),Variables!$B$1:$D$1,0),1))*(AV354/365))+(INDEX(Variables!$B$8:$D$8,IFERROR(MATCH(IF($B354="Robusta","Robusta",(IF($B354="","Arabica",$B354))&amp;" - "&amp;(IF($C354="","Commercial",$C354))),Variables!$B$1:$D$1,0),1))*L354/16.67)),""))</f>
        <v>-861.79115304873881</v>
      </c>
      <c r="AX354" s="9"/>
      <c r="AY354" s="12"/>
      <c r="AZ354" s="10"/>
      <c r="BA354" s="9"/>
      <c r="BB354" s="10"/>
      <c r="BC354" s="9"/>
      <c r="BD354" s="9"/>
      <c r="BE354" s="9"/>
      <c r="BF354" s="9"/>
    </row>
    <row r="355" spans="1:58" x14ac:dyDescent="0.25">
      <c r="A355" s="9" t="s">
        <v>84</v>
      </c>
      <c r="B355" s="9" t="s">
        <v>85</v>
      </c>
      <c r="C355" s="9" t="s">
        <v>86</v>
      </c>
      <c r="D355" s="10">
        <v>45707</v>
      </c>
      <c r="E355" s="10">
        <v>45839</v>
      </c>
      <c r="F355" s="10">
        <v>45869</v>
      </c>
      <c r="G355" s="9">
        <v>3786713</v>
      </c>
      <c r="H355" s="9" t="str">
        <f t="shared" si="35"/>
        <v>Closed</v>
      </c>
      <c r="I355" s="9" t="str">
        <f t="shared" si="36"/>
        <v>All dates received</v>
      </c>
      <c r="J355" s="9" t="s">
        <v>225</v>
      </c>
      <c r="K355" s="9">
        <v>5303</v>
      </c>
      <c r="L355" s="11">
        <v>320</v>
      </c>
      <c r="M355" s="9" t="s">
        <v>940</v>
      </c>
      <c r="N355" s="9" t="s">
        <v>149</v>
      </c>
      <c r="O355" s="9"/>
      <c r="P355" s="9"/>
      <c r="Q355" s="11">
        <v>-30</v>
      </c>
      <c r="R355" s="9" t="s">
        <v>90</v>
      </c>
      <c r="S355" s="9" t="s">
        <v>228</v>
      </c>
      <c r="T355" s="12">
        <f>IF($H355="Cancelled","",IFERROR(((Q355+INDEX(Variables!$B$6:$D$6,IFERROR(MATCH(IF($B355="Robusta","Robusta",(IF($B355="","Arabica",$B355))&amp;" - "&amp;(IF($C355="","Commercial",$C355))),Variables!$B$1:$D$1,0),1)))*22.0462)*(L355/16.67),""))</f>
        <v>110371.18579484102</v>
      </c>
      <c r="U355" s="10"/>
      <c r="V355" s="9" t="s">
        <v>507</v>
      </c>
      <c r="W355" s="10">
        <v>45823</v>
      </c>
      <c r="X355" s="9" t="str">
        <f t="shared" si="39"/>
        <v>Approved</v>
      </c>
      <c r="Y355" s="10">
        <v>45833</v>
      </c>
      <c r="Z355" s="10">
        <f>IF($H355="Cancelled","",IFERROR(IF(F355="","",F355-Variables!$B$13),""))</f>
        <v>45854</v>
      </c>
      <c r="AA355" s="11">
        <f>IF($H355="Cancelled","",IFERROR(IF(W355="","",(AVERAGE(E355:F355)-W355)-Variables!$B$14),""))</f>
        <v>1</v>
      </c>
      <c r="AB355" s="10">
        <v>45834</v>
      </c>
      <c r="AC355" s="11">
        <f>IF($H355="Cancelled","",IFERROR(IF(AB355="","",IF(AND(W355="",Y355=""),"",IF(Y355&gt;W355,Y355+Variables!$B$15+Variables!$B$16+Variables!$B$17-AB355,W355+Variables!$B$16+Variables!$B$17-AB355))),""))</f>
        <v>14</v>
      </c>
      <c r="AD355" s="9" t="s">
        <v>941</v>
      </c>
      <c r="AE355" s="9" t="s">
        <v>942</v>
      </c>
      <c r="AF355" s="10"/>
      <c r="AG355" s="10"/>
      <c r="AH355" s="9"/>
      <c r="AI355" s="9" t="s">
        <v>943</v>
      </c>
      <c r="AJ355" s="9" t="s">
        <v>944</v>
      </c>
      <c r="AK355" s="10">
        <v>45844</v>
      </c>
      <c r="AL355" s="10">
        <v>45848</v>
      </c>
      <c r="AM355" s="10">
        <v>45853</v>
      </c>
      <c r="AN355" s="9" t="s">
        <v>95</v>
      </c>
      <c r="AO355" s="9"/>
      <c r="AP355" s="11">
        <f>IF($H355="Cancelled","",IFERROR(IF(OR(AK355="",AB355=""),"",(AB355+Variables!$B$18-AK355)),""))</f>
        <v>-3</v>
      </c>
      <c r="AQ355" s="11">
        <f>IF($H355="Cancelled","",IFERROR(IF(OR(AM355="",AK355=""),"",(AK355+Variables!$B$19)-AM355),""))</f>
        <v>-4</v>
      </c>
      <c r="AR355" s="12">
        <f>IF($H355="Cancelled","",IFERROR(T355*INDEX(Variables!$B$7:$D$7,IFERROR(MATCH(IF($B355="Robusta","Robusta",(IF($B355="","Arabica",$B355))&amp;" - "&amp;(IF($C355="","Commercial",$C355))),Variables!$B$1:$D$1,0),1))*(AQ355/365),""))</f>
        <v>-77.994267141480535</v>
      </c>
      <c r="AS355" s="12">
        <f>IF($H355="Cancelled","",IFERROR((T355*INDEX(Variables!$B$7:$D$7,IFERROR(MATCH(IF($B355="Robusta","Robusta",(IF($B355="","Arabica",$B355))&amp;" - "&amp;(IF($C355="","Commercial",$C355))),Variables!$B$1:$D$1,0),1))*IFERROR(IF(W355="","",(AVERAGE(E355:F355)-W355)-Variables!$B$14),"")/365)+(L355/16.67*INDEX(Variables!$B$8:$D$8,IFERROR(MATCH(IF($B355="Robusta","Robusta",(IF($B355="","Arabica",$B355))&amp;" - "&amp;(IF($C355="","Commercial",$C355))),Variables!$B$1:$D$1,0),1))*IFERROR(IF(W355="","",(AVERAGE(E355:F355)-W355)-Variables!$B$14),""))+(T355*INDEX(Variables!$B$9:$D$9,IFERROR(MATCH(IF($B355="Robusta","Robusta",(IF($B355="","Arabica",$B355))&amp;" - "&amp;(IF($C355="","Commercial",$C355))),Variables!$B$1:$D$1,0),1))*IFERROR(IF(W355="","",(AVERAGE(E355:F355)-W355)-Variables!$B$14),"")/365),""))</f>
        <v>35.749940940853008</v>
      </c>
      <c r="AT355" s="12">
        <f>IF($H355="Cancelled","",IFERROR((T355*INDEX(Variables!$B$7:$D$7,IFERROR(MATCH(IF($B355="Robusta","Robusta",(IF($B355="","Arabica",$B355))&amp;" - "&amp;(IF($C355="","Commercial",$C355))),Variables!$B$1:$D$1,0),1))*AC355/365)+(L355/16.67*INDEX(Variables!$B$8:$D$8,IFERROR(MATCH(IF($B355="Robusta","Robusta",(IF($B355="","Arabica",$B355))&amp;" - "&amp;(IF($C355="","Commercial",$C355))),Variables!$B$1:$D$1,0),1))*AC355)+(T355*INDEX(Variables!$B$9:$D$9,IFERROR(MATCH(IF($B355="Robusta","Robusta",(IF($B355="","Arabica",$B355))&amp;" - "&amp;(IF($C355="","Commercial",$C355))),Variables!$B$1:$D$1,0),1))*AC355/365),""))</f>
        <v>500.49917317194218</v>
      </c>
      <c r="AU355" s="12">
        <f>IF($H355="Cancelled","",IFERROR((T355*INDEX(Variables!$B$7:$D$7,IFERROR(MATCH(IF($B355="Robusta","Robusta",(IF($B355="","Arabica",$B355))&amp;" - "&amp;(IF($C355="","Commercial",$C355))),Variables!$B$1:$D$1,0),1))*AP355/365)+(L355/16.67*INDEX(Variables!$B$8:$D$8,IFERROR(MATCH(IF($B355="Robusta","Robusta",(IF($B355="","Arabica",$B355))&amp;" - "&amp;(IF($C355="","Commercial",$C355))),Variables!$B$1:$D$1,0),1))*AP355)+(T355*INDEX(Variables!$B$9:$D$9,IFERROR(MATCH(IF($B355="Robusta","Robusta",(IF($B355="","Arabica",$B355))&amp;" - "&amp;(IF($C355="","Commercial",$C355))),Variables!$B$1:$D$1,0),1))*AP355/365),""))</f>
        <v>-107.24982282255904</v>
      </c>
      <c r="AV355" s="11">
        <f t="shared" si="37"/>
        <v>25</v>
      </c>
      <c r="AW355" s="12">
        <f>IF($H355="Cancelled","",IFERROR(IF(AV355="","",(T355*INDEX(Variables!$B$7:$D$7,IFERROR(MATCH(IF($B355="Robusta","Robusta",(IF($B355="","Arabica",$B355))&amp;" - "&amp;(IF($C355="","Commercial",$C355))),Variables!$B$1:$D$1,0),1))*(AV355/365))+(T355*INDEX(Variables!$B$9:$D$9,IFERROR(MATCH(IF($B355="Robusta","Robusta",(IF($B355="","Arabica",$B355))&amp;" - "&amp;(IF($C355="","Commercial",$C355))),Variables!$B$1:$D$1,0),1))*(AV355/365))+(INDEX(Variables!$B$8:$D$8,IFERROR(MATCH(IF($B355="Robusta","Robusta",(IF($B355="","Arabica",$B355))&amp;" - "&amp;(IF($C355="","Commercial",$C355))),Variables!$B$1:$D$1,0),1))*L355/16.67)),""))</f>
        <v>509.7485235213253</v>
      </c>
      <c r="AX355" s="9"/>
      <c r="AY355" s="12"/>
      <c r="AZ355" s="10"/>
      <c r="BA355" s="9"/>
      <c r="BB355" s="10"/>
      <c r="BC355" s="9"/>
      <c r="BD355" s="9"/>
      <c r="BE355" s="9"/>
      <c r="BF355" s="9"/>
    </row>
    <row r="356" spans="1:58" x14ac:dyDescent="0.25">
      <c r="A356" s="9" t="s">
        <v>84</v>
      </c>
      <c r="B356" s="9" t="s">
        <v>85</v>
      </c>
      <c r="C356" s="9" t="s">
        <v>86</v>
      </c>
      <c r="D356" s="10">
        <v>45708</v>
      </c>
      <c r="E356" s="10">
        <v>45717</v>
      </c>
      <c r="F356" s="10">
        <v>45747</v>
      </c>
      <c r="G356" s="9">
        <v>3786724</v>
      </c>
      <c r="H356" s="9" t="str">
        <f t="shared" si="35"/>
        <v>Closed</v>
      </c>
      <c r="I356" s="9" t="str">
        <f t="shared" si="36"/>
        <v>All dates received</v>
      </c>
      <c r="J356" s="9" t="s">
        <v>102</v>
      </c>
      <c r="K356" s="9">
        <v>5206</v>
      </c>
      <c r="L356" s="11">
        <v>1440</v>
      </c>
      <c r="M356" s="9" t="s">
        <v>945</v>
      </c>
      <c r="N356" s="9" t="s">
        <v>455</v>
      </c>
      <c r="O356" s="9"/>
      <c r="P356" s="9"/>
      <c r="Q356" s="11">
        <v>4.55</v>
      </c>
      <c r="R356" s="9" t="s">
        <v>90</v>
      </c>
      <c r="S356" s="9" t="s">
        <v>946</v>
      </c>
      <c r="T356" s="12">
        <f>IF($H356="Cancelled","",IFERROR(((Q356+INDEX(Variables!$B$6:$D$6,IFERROR(MATCH(IF($B356="Robusta","Robusta",(IF($B356="","Arabica",$B356))&amp;" - "&amp;(IF($C356="","Commercial",$C356))),Variables!$B$1:$D$1,0),1)))*22.0462)*(L356/16.67),""))</f>
        <v>562467.72914217156</v>
      </c>
      <c r="U356" s="10">
        <v>45713</v>
      </c>
      <c r="V356" s="9" t="str">
        <f t="shared" ref="V356:V375" si="40">IF(ISNUMBER(U356),"Sent","")</f>
        <v>Sent</v>
      </c>
      <c r="W356" s="10">
        <v>45730</v>
      </c>
      <c r="X356" s="9" t="str">
        <f t="shared" si="39"/>
        <v>Approved</v>
      </c>
      <c r="Y356" s="10"/>
      <c r="Z356" s="10">
        <f>IF($H356="Cancelled","",IFERROR(IF(F356="","",F356-Variables!$B$13),""))</f>
        <v>45732</v>
      </c>
      <c r="AA356" s="11">
        <f>IF($H356="Cancelled","",IFERROR(IF(W356="","",(AVERAGE(E356:F356)-W356)-Variables!$B$14),""))</f>
        <v>-28</v>
      </c>
      <c r="AB356" s="10">
        <v>45736</v>
      </c>
      <c r="AC356" s="11">
        <f>IF($H356="Cancelled","",IFERROR(IF(AB356="","",IF(AND(W356="",Y356=""),"",IF(Y356&gt;W356,Y356+Variables!$B$15+Variables!$B$16+Variables!$B$17-AB356,W356+Variables!$B$16+Variables!$B$17-AB356))),""))</f>
        <v>2</v>
      </c>
      <c r="AD356" s="9" t="s">
        <v>163</v>
      </c>
      <c r="AE356" s="9" t="s">
        <v>760</v>
      </c>
      <c r="AF356" s="10">
        <v>45747</v>
      </c>
      <c r="AG356" s="10"/>
      <c r="AH356" s="9"/>
      <c r="AI356" s="9">
        <v>251414090</v>
      </c>
      <c r="AJ356" s="9" t="s">
        <v>8</v>
      </c>
      <c r="AK356" s="10">
        <v>45747</v>
      </c>
      <c r="AL356" s="10">
        <v>45751</v>
      </c>
      <c r="AM356" s="10">
        <v>45758</v>
      </c>
      <c r="AN356" s="9" t="s">
        <v>95</v>
      </c>
      <c r="AO356" s="9"/>
      <c r="AP356" s="11">
        <f>IF($H356="Cancelled","",IFERROR(IF(OR(AK356="",AB356=""),"",(AB356+Variables!$B$18-AK356)),""))</f>
        <v>-4</v>
      </c>
      <c r="AQ356" s="11">
        <f>IF($H356="Cancelled","",IFERROR(IF(OR(AM356="",AK356=""),"",(AK356+Variables!$B$19)-AM356),""))</f>
        <v>-6</v>
      </c>
      <c r="AR356" s="12">
        <f>IF($H356="Cancelled","",IFERROR(T356*INDEX(Variables!$B$7:$D$7,IFERROR(MATCH(IF($B356="Robusta","Robusta",(IF($B356="","Arabica",$B356))&amp;" - "&amp;(IF($C356="","Commercial",$C356))),Variables!$B$1:$D$1,0),1))*(AQ356/365),""))</f>
        <v>-596.20531403985751</v>
      </c>
      <c r="AS356" s="12">
        <f>IF($H356="Cancelled","",IFERROR((T356*INDEX(Variables!$B$7:$D$7,IFERROR(MATCH(IF($B356="Robusta","Robusta",(IF($B356="","Arabica",$B356))&amp;" - "&amp;(IF($C356="","Commercial",$C356))),Variables!$B$1:$D$1,0),1))*IFERROR(IF(W356="","",(AVERAGE(E356:F356)-W356)-Variables!$B$14),"")/365)+(L356/16.67*INDEX(Variables!$B$8:$D$8,IFERROR(MATCH(IF($B356="Robusta","Robusta",(IF($B356="","Arabica",$B356))&amp;" - "&amp;(IF($C356="","Commercial",$C356))),Variables!$B$1:$D$1,0),1))*IFERROR(IF(W356="","",(AVERAGE(E356:F356)-W356)-Variables!$B$14),""))+(T356*INDEX(Variables!$B$9:$D$9,IFERROR(MATCH(IF($B356="Robusta","Robusta",(IF($B356="","Arabica",$B356))&amp;" - "&amp;(IF($C356="","Commercial",$C356))),Variables!$B$1:$D$1,0),1))*IFERROR(IF(W356="","",(AVERAGE(E356:F356)-W356)-Variables!$B$14),"")/365),""))</f>
        <v>-4834.1605719593499</v>
      </c>
      <c r="AT356" s="12">
        <f>IF($H356="Cancelled","",IFERROR((T356*INDEX(Variables!$B$7:$D$7,IFERROR(MATCH(IF($B356="Robusta","Robusta",(IF($B356="","Arabica",$B356))&amp;" - "&amp;(IF($C356="","Commercial",$C356))),Variables!$B$1:$D$1,0),1))*AC356/365)+(L356/16.67*INDEX(Variables!$B$8:$D$8,IFERROR(MATCH(IF($B356="Robusta","Robusta",(IF($B356="","Arabica",$B356))&amp;" - "&amp;(IF($C356="","Commercial",$C356))),Variables!$B$1:$D$1,0),1))*AC356)+(T356*INDEX(Variables!$B$9:$D$9,IFERROR(MATCH(IF($B356="Robusta","Robusta",(IF($B356="","Arabica",$B356))&amp;" - "&amp;(IF($C356="","Commercial",$C356))),Variables!$B$1:$D$1,0),1))*AC356/365),""))</f>
        <v>345.29718371138205</v>
      </c>
      <c r="AU356" s="12">
        <f>IF($H356="Cancelled","",IFERROR((T356*INDEX(Variables!$B$7:$D$7,IFERROR(MATCH(IF($B356="Robusta","Robusta",(IF($B356="","Arabica",$B356))&amp;" - "&amp;(IF($C356="","Commercial",$C356))),Variables!$B$1:$D$1,0),1))*AP356/365)+(L356/16.67*INDEX(Variables!$B$8:$D$8,IFERROR(MATCH(IF($B356="Robusta","Robusta",(IF($B356="","Arabica",$B356))&amp;" - "&amp;(IF($C356="","Commercial",$C356))),Variables!$B$1:$D$1,0),1))*AP356)+(T356*INDEX(Variables!$B$9:$D$9,IFERROR(MATCH(IF($B356="Robusta","Robusta",(IF($B356="","Arabica",$B356))&amp;" - "&amp;(IF($C356="","Commercial",$C356))),Variables!$B$1:$D$1,0),1))*AP356/365),""))</f>
        <v>-690.59436742276409</v>
      </c>
      <c r="AV356" s="11">
        <f t="shared" si="37"/>
        <v>0</v>
      </c>
      <c r="AW356" s="12">
        <f>IF($H356="Cancelled","",IFERROR(IF(AV356="","",(T356*INDEX(Variables!$B$7:$D$7,IFERROR(MATCH(IF($B356="Robusta","Robusta",(IF($B356="","Arabica",$B356))&amp;" - "&amp;(IF($C356="","Commercial",$C356))),Variables!$B$1:$D$1,0),1))*(AV356/365))+(T356*INDEX(Variables!$B$9:$D$9,IFERROR(MATCH(IF($B356="Robusta","Robusta",(IF($B356="","Arabica",$B356))&amp;" - "&amp;(IF($C356="","Commercial",$C356))),Variables!$B$1:$D$1,0),1))*(AV356/365))+(INDEX(Variables!$B$8:$D$8,IFERROR(MATCH(IF($B356="Robusta","Robusta",(IF($B356="","Arabica",$B356))&amp;" - "&amp;(IF($C356="","Commercial",$C356))),Variables!$B$1:$D$1,0),1))*L356/16.67)),""))</f>
        <v>72</v>
      </c>
      <c r="AX356" s="9"/>
      <c r="AY356" s="12"/>
      <c r="AZ356" s="10"/>
      <c r="BA356" s="9"/>
      <c r="BB356" s="10"/>
      <c r="BC356" s="9"/>
      <c r="BD356" s="9"/>
      <c r="BE356" s="9"/>
      <c r="BF356" s="9"/>
    </row>
    <row r="357" spans="1:58" x14ac:dyDescent="0.25">
      <c r="A357" s="9" t="s">
        <v>84</v>
      </c>
      <c r="B357" s="9" t="s">
        <v>85</v>
      </c>
      <c r="C357" s="9" t="s">
        <v>86</v>
      </c>
      <c r="D357" s="10">
        <v>45712</v>
      </c>
      <c r="E357" s="10">
        <v>45748</v>
      </c>
      <c r="F357" s="10">
        <v>45777</v>
      </c>
      <c r="G357" s="9">
        <v>3786725</v>
      </c>
      <c r="H357" s="9" t="str">
        <f t="shared" si="35"/>
        <v>Closed</v>
      </c>
      <c r="I357" s="9" t="str">
        <f t="shared" si="36"/>
        <v>All dates received</v>
      </c>
      <c r="J357" s="9" t="s">
        <v>102</v>
      </c>
      <c r="K357" s="9">
        <v>5215</v>
      </c>
      <c r="L357" s="11">
        <v>1440</v>
      </c>
      <c r="M357" s="9" t="s">
        <v>947</v>
      </c>
      <c r="N357" s="9" t="s">
        <v>455</v>
      </c>
      <c r="O357" s="9"/>
      <c r="P357" s="9"/>
      <c r="Q357" s="11">
        <v>15</v>
      </c>
      <c r="R357" s="9" t="s">
        <v>90</v>
      </c>
      <c r="S357" s="9" t="s">
        <v>946</v>
      </c>
      <c r="T357" s="12">
        <f>IF($H357="Cancelled","",IFERROR(((Q357+INDEX(Variables!$B$6:$D$6,IFERROR(MATCH(IF($B357="Robusta","Robusta",(IF($B357="","Arabica",$B357))&amp;" - "&amp;(IF($C357="","Commercial",$C357))),Variables!$B$1:$D$1,0),1)))*22.0462)*(L357/16.67),""))</f>
        <v>582368.82197960408</v>
      </c>
      <c r="U357" s="10">
        <v>45721</v>
      </c>
      <c r="V357" s="9" t="str">
        <f t="shared" si="40"/>
        <v>Sent</v>
      </c>
      <c r="W357" s="10">
        <v>45730</v>
      </c>
      <c r="X357" s="9" t="str">
        <f t="shared" si="39"/>
        <v>Approved</v>
      </c>
      <c r="Y357" s="10"/>
      <c r="Z357" s="10">
        <f>IF($H357="Cancelled","",IFERROR(IF(F357="","",F357-Variables!$B$13),""))</f>
        <v>45762</v>
      </c>
      <c r="AA357" s="11">
        <f>IF($H357="Cancelled","",IFERROR(IF(W357="","",(AVERAGE(E357:F357)-W357)-Variables!$B$14),""))</f>
        <v>2.5</v>
      </c>
      <c r="AB357" s="10">
        <v>45740</v>
      </c>
      <c r="AC357" s="11">
        <f>IF($H357="Cancelled","",IFERROR(IF(AB357="","",IF(AND(W357="",Y357=""),"",IF(Y357&gt;W357,Y357+Variables!$B$15+Variables!$B$16+Variables!$B$17-AB357,W357+Variables!$B$16+Variables!$B$17-AB357))),""))</f>
        <v>-2</v>
      </c>
      <c r="AD357" s="9" t="s">
        <v>163</v>
      </c>
      <c r="AE357" s="9" t="s">
        <v>948</v>
      </c>
      <c r="AF357" s="10">
        <v>45747</v>
      </c>
      <c r="AG357" s="10"/>
      <c r="AH357" s="9"/>
      <c r="AI357" s="9">
        <v>251681242</v>
      </c>
      <c r="AJ357" s="9" t="s">
        <v>8</v>
      </c>
      <c r="AK357" s="10">
        <v>45747</v>
      </c>
      <c r="AL357" s="10">
        <v>45751</v>
      </c>
      <c r="AM357" s="10">
        <v>45757</v>
      </c>
      <c r="AN357" s="9" t="s">
        <v>95</v>
      </c>
      <c r="AO357" s="9"/>
      <c r="AP357" s="11">
        <f>IF($H357="Cancelled","",IFERROR(IF(OR(AK357="",AB357=""),"",(AB357+Variables!$B$18-AK357)),""))</f>
        <v>0</v>
      </c>
      <c r="AQ357" s="11">
        <f>IF($H357="Cancelled","",IFERROR(IF(OR(AM357="",AK357=""),"",(AK357+Variables!$B$19)-AM357),""))</f>
        <v>-5</v>
      </c>
      <c r="AR357" s="12">
        <f>IF($H357="Cancelled","",IFERROR(T357*INDEX(Variables!$B$7:$D$7,IFERROR(MATCH(IF($B357="Robusta","Robusta",(IF($B357="","Arabica",$B357))&amp;" - "&amp;(IF($C357="","Commercial",$C357))),Variables!$B$1:$D$1,0),1))*(AQ357/365),""))</f>
        <v>-514.41675140620862</v>
      </c>
      <c r="AS357" s="12">
        <f>IF($H357="Cancelled","",IFERROR((T357*INDEX(Variables!$B$7:$D$7,IFERROR(MATCH(IF($B357="Robusta","Robusta",(IF($B357="","Arabica",$B357))&amp;" - "&amp;(IF($C357="","Commercial",$C357))),Variables!$B$1:$D$1,0),1))*IFERROR(IF(W357="","",(AVERAGE(E357:F357)-W357)-Variables!$B$14),"")/365)+(L357/16.67*INDEX(Variables!$B$8:$D$8,IFERROR(MATCH(IF($B357="Robusta","Robusta",(IF($B357="","Arabica",$B357))&amp;" - "&amp;(IF($C357="","Commercial",$C357))),Variables!$B$1:$D$1,0),1))*IFERROR(IF(W357="","",(AVERAGE(E357:F357)-W357)-Variables!$B$14),""))+(T357*INDEX(Variables!$B$9:$D$9,IFERROR(MATCH(IF($B357="Robusta","Robusta",(IF($B357="","Arabica",$B357))&amp;" - "&amp;(IF($C357="","Commercial",$C357))),Variables!$B$1:$D$1,0),1))*IFERROR(IF(W357="","",(AVERAGE(E357:F357)-W357)-Variables!$B$14),"")/365),""))</f>
        <v>440.52428804359511</v>
      </c>
      <c r="AT357" s="12">
        <f>IF($H357="Cancelled","",IFERROR((T357*INDEX(Variables!$B$7:$D$7,IFERROR(MATCH(IF($B357="Robusta","Robusta",(IF($B357="","Arabica",$B357))&amp;" - "&amp;(IF($C357="","Commercial",$C357))),Variables!$B$1:$D$1,0),1))*AC357/365)+(L357/16.67*INDEX(Variables!$B$8:$D$8,IFERROR(MATCH(IF($B357="Robusta","Robusta",(IF($B357="","Arabica",$B357))&amp;" - "&amp;(IF($C357="","Commercial",$C357))),Variables!$B$1:$D$1,0),1))*AC357)+(T357*INDEX(Variables!$B$9:$D$9,IFERROR(MATCH(IF($B357="Robusta","Robusta",(IF($B357="","Arabica",$B357))&amp;" - "&amp;(IF($C357="","Commercial",$C357))),Variables!$B$1:$D$1,0),1))*AC357/365),""))</f>
        <v>-352.41943043487606</v>
      </c>
      <c r="AU357" s="12">
        <f>IF($H357="Cancelled","",IFERROR((T357*INDEX(Variables!$B$7:$D$7,IFERROR(MATCH(IF($B357="Robusta","Robusta",(IF($B357="","Arabica",$B357))&amp;" - "&amp;(IF($C357="","Commercial",$C357))),Variables!$B$1:$D$1,0),1))*AP357/365)+(L357/16.67*INDEX(Variables!$B$8:$D$8,IFERROR(MATCH(IF($B357="Robusta","Robusta",(IF($B357="","Arabica",$B357))&amp;" - "&amp;(IF($C357="","Commercial",$C357))),Variables!$B$1:$D$1,0),1))*AP357)+(T357*INDEX(Variables!$B$9:$D$9,IFERROR(MATCH(IF($B357="Robusta","Robusta",(IF($B357="","Arabica",$B357))&amp;" - "&amp;(IF($C357="","Commercial",$C357))),Variables!$B$1:$D$1,0),1))*AP357/365),""))</f>
        <v>0</v>
      </c>
      <c r="AV357" s="11">
        <f t="shared" si="37"/>
        <v>30</v>
      </c>
      <c r="AW357" s="12">
        <f>IF($H357="Cancelled","",IFERROR(IF(AV357="","",(T357*INDEX(Variables!$B$7:$D$7,IFERROR(MATCH(IF($B357="Robusta","Robusta",(IF($B357="","Arabica",$B357))&amp;" - "&amp;(IF($C357="","Commercial",$C357))),Variables!$B$1:$D$1,0),1))*(AV357/365))+(T357*INDEX(Variables!$B$9:$D$9,IFERROR(MATCH(IF($B357="Robusta","Robusta",(IF($B357="","Arabica",$B357))&amp;" - "&amp;(IF($C357="","Commercial",$C357))),Variables!$B$1:$D$1,0),1))*(AV357/365))+(INDEX(Variables!$B$8:$D$8,IFERROR(MATCH(IF($B357="Robusta","Robusta",(IF($B357="","Arabica",$B357))&amp;" - "&amp;(IF($C357="","Commercial",$C357))),Variables!$B$1:$D$1,0),1))*L357/16.67)),""))</f>
        <v>3198.2914565231404</v>
      </c>
      <c r="AX357" s="9"/>
      <c r="AY357" s="12"/>
      <c r="AZ357" s="10"/>
      <c r="BA357" s="9"/>
      <c r="BB357" s="10"/>
      <c r="BC357" s="9"/>
      <c r="BD357" s="9"/>
      <c r="BE357" s="9"/>
      <c r="BF357" s="9"/>
    </row>
    <row r="358" spans="1:58" x14ac:dyDescent="0.25">
      <c r="A358" s="9" t="s">
        <v>84</v>
      </c>
      <c r="B358" s="9" t="s">
        <v>85</v>
      </c>
      <c r="C358" s="9" t="s">
        <v>86</v>
      </c>
      <c r="D358" s="10">
        <v>45713</v>
      </c>
      <c r="E358" s="10">
        <v>45778</v>
      </c>
      <c r="F358" s="10">
        <v>45808</v>
      </c>
      <c r="G358" s="9">
        <v>3786760</v>
      </c>
      <c r="H358" s="9" t="str">
        <f t="shared" si="35"/>
        <v>Closed</v>
      </c>
      <c r="I358" s="9" t="str">
        <f t="shared" si="36"/>
        <v>All dates received</v>
      </c>
      <c r="J358" s="9" t="s">
        <v>537</v>
      </c>
      <c r="K358" s="9">
        <v>5252</v>
      </c>
      <c r="L358" s="11">
        <v>1440</v>
      </c>
      <c r="M358" s="9" t="s">
        <v>949</v>
      </c>
      <c r="N358" s="9" t="s">
        <v>387</v>
      </c>
      <c r="O358" s="9"/>
      <c r="P358" s="9"/>
      <c r="Q358" s="11">
        <v>15</v>
      </c>
      <c r="R358" s="9" t="s">
        <v>90</v>
      </c>
      <c r="S358" s="9" t="s">
        <v>839</v>
      </c>
      <c r="T358" s="12">
        <f>IF($H358="Cancelled","",IFERROR(((Q358+INDEX(Variables!$B$6:$D$6,IFERROR(MATCH(IF($B358="Robusta","Robusta",(IF($B358="","Arabica",$B358))&amp;" - "&amp;(IF($C358="","Commercial",$C358))),Variables!$B$1:$D$1,0),1)))*22.0462)*(L358/16.67),""))</f>
        <v>582368.82197960408</v>
      </c>
      <c r="U358" s="10">
        <v>45758</v>
      </c>
      <c r="V358" s="9" t="str">
        <f t="shared" si="40"/>
        <v>Sent</v>
      </c>
      <c r="W358" s="10">
        <v>45761</v>
      </c>
      <c r="X358" s="9" t="str">
        <f t="shared" si="39"/>
        <v>Approved</v>
      </c>
      <c r="Y358" s="10"/>
      <c r="Z358" s="10">
        <f>IF($H358="Cancelled","",IFERROR(IF(F358="","",F358-Variables!$B$13),""))</f>
        <v>45793</v>
      </c>
      <c r="AA358" s="11">
        <f>IF($H358="Cancelled","",IFERROR(IF(W358="","",(AVERAGE(E358:F358)-W358)-Variables!$B$14),""))</f>
        <v>2</v>
      </c>
      <c r="AB358" s="10">
        <v>45789</v>
      </c>
      <c r="AC358" s="11">
        <f>IF($H358="Cancelled","",IFERROR(IF(AB358="","",IF(AND(W358="",Y358=""),"",IF(Y358&gt;W358,Y358+Variables!$B$15+Variables!$B$16+Variables!$B$17-AB358,W358+Variables!$B$16+Variables!$B$17-AB358))),""))</f>
        <v>-20</v>
      </c>
      <c r="AD358" s="9" t="s">
        <v>163</v>
      </c>
      <c r="AE358" s="9" t="s">
        <v>760</v>
      </c>
      <c r="AF358" s="10"/>
      <c r="AG358" s="10"/>
      <c r="AH358" s="9"/>
      <c r="AI358" s="9">
        <v>253483082</v>
      </c>
      <c r="AJ358" s="9" t="s">
        <v>8</v>
      </c>
      <c r="AK358" s="10">
        <v>45798</v>
      </c>
      <c r="AL358" s="10">
        <v>45800</v>
      </c>
      <c r="AM358" s="10">
        <v>45800</v>
      </c>
      <c r="AN358" s="9" t="s">
        <v>95</v>
      </c>
      <c r="AO358" s="9"/>
      <c r="AP358" s="11">
        <f>IF($H358="Cancelled","",IFERROR(IF(OR(AK358="",AB358=""),"",(AB358+Variables!$B$18-AK358)),""))</f>
        <v>-2</v>
      </c>
      <c r="AQ358" s="11">
        <f>IF($H358="Cancelled","",IFERROR(IF(OR(AM358="",AK358=""),"",(AK358+Variables!$B$19)-AM358),""))</f>
        <v>3</v>
      </c>
      <c r="AR358" s="12">
        <f>IF($H358="Cancelled","",IFERROR(T358*INDEX(Variables!$B$7:$D$7,IFERROR(MATCH(IF($B358="Robusta","Robusta",(IF($B358="","Arabica",$B358))&amp;" - "&amp;(IF($C358="","Commercial",$C358))),Variables!$B$1:$D$1,0),1))*(AQ358/365),""))</f>
        <v>308.65005084372518</v>
      </c>
      <c r="AS358" s="12">
        <f>IF($H358="Cancelled","",IFERROR((T358*INDEX(Variables!$B$7:$D$7,IFERROR(MATCH(IF($B358="Robusta","Robusta",(IF($B358="","Arabica",$B358))&amp;" - "&amp;(IF($C358="","Commercial",$C358))),Variables!$B$1:$D$1,0),1))*IFERROR(IF(W358="","",(AVERAGE(E358:F358)-W358)-Variables!$B$14),"")/365)+(L358/16.67*INDEX(Variables!$B$8:$D$8,IFERROR(MATCH(IF($B358="Robusta","Robusta",(IF($B358="","Arabica",$B358))&amp;" - "&amp;(IF($C358="","Commercial",$C358))),Variables!$B$1:$D$1,0),1))*IFERROR(IF(W358="","",(AVERAGE(E358:F358)-W358)-Variables!$B$14),""))+(T358*INDEX(Variables!$B$9:$D$9,IFERROR(MATCH(IF($B358="Robusta","Robusta",(IF($B358="","Arabica",$B358))&amp;" - "&amp;(IF($C358="","Commercial",$C358))),Variables!$B$1:$D$1,0),1))*IFERROR(IF(W358="","",(AVERAGE(E358:F358)-W358)-Variables!$B$14),"")/365),""))</f>
        <v>352.41943043487606</v>
      </c>
      <c r="AT358" s="12">
        <f>IF($H358="Cancelled","",IFERROR((T358*INDEX(Variables!$B$7:$D$7,IFERROR(MATCH(IF($B358="Robusta","Robusta",(IF($B358="","Arabica",$B358))&amp;" - "&amp;(IF($C358="","Commercial",$C358))),Variables!$B$1:$D$1,0),1))*AC358/365)+(L358/16.67*INDEX(Variables!$B$8:$D$8,IFERROR(MATCH(IF($B358="Robusta","Robusta",(IF($B358="","Arabica",$B358))&amp;" - "&amp;(IF($C358="","Commercial",$C358))),Variables!$B$1:$D$1,0),1))*AC358)+(T358*INDEX(Variables!$B$9:$D$9,IFERROR(MATCH(IF($B358="Robusta","Robusta",(IF($B358="","Arabica",$B358))&amp;" - "&amp;(IF($C358="","Commercial",$C358))),Variables!$B$1:$D$1,0),1))*AC358/365),""))</f>
        <v>-3524.1943043487609</v>
      </c>
      <c r="AU358" s="12">
        <f>IF($H358="Cancelled","",IFERROR((T358*INDEX(Variables!$B$7:$D$7,IFERROR(MATCH(IF($B358="Robusta","Robusta",(IF($B358="","Arabica",$B358))&amp;" - "&amp;(IF($C358="","Commercial",$C358))),Variables!$B$1:$D$1,0),1))*AP358/365)+(L358/16.67*INDEX(Variables!$B$8:$D$8,IFERROR(MATCH(IF($B358="Robusta","Robusta",(IF($B358="","Arabica",$B358))&amp;" - "&amp;(IF($C358="","Commercial",$C358))),Variables!$B$1:$D$1,0),1))*AP358)+(T358*INDEX(Variables!$B$9:$D$9,IFERROR(MATCH(IF($B358="Robusta","Robusta",(IF($B358="","Arabica",$B358))&amp;" - "&amp;(IF($C358="","Commercial",$C358))),Variables!$B$1:$D$1,0),1))*AP358/365),""))</f>
        <v>-352.41943043487606</v>
      </c>
      <c r="AV358" s="11">
        <f t="shared" si="37"/>
        <v>10</v>
      </c>
      <c r="AW358" s="12">
        <f>IF($H358="Cancelled","",IFERROR(IF(AV358="","",(T358*INDEX(Variables!$B$7:$D$7,IFERROR(MATCH(IF($B358="Robusta","Robusta",(IF($B358="","Arabica",$B358))&amp;" - "&amp;(IF($C358="","Commercial",$C358))),Variables!$B$1:$D$1,0),1))*(AV358/365))+(T358*INDEX(Variables!$B$9:$D$9,IFERROR(MATCH(IF($B358="Robusta","Robusta",(IF($B358="","Arabica",$B358))&amp;" - "&amp;(IF($C358="","Commercial",$C358))),Variables!$B$1:$D$1,0),1))*(AV358/365))+(INDEX(Variables!$B$8:$D$8,IFERROR(MATCH(IF($B358="Robusta","Robusta",(IF($B358="","Arabica",$B358))&amp;" - "&amp;(IF($C358="","Commercial",$C358))),Variables!$B$1:$D$1,0),1))*L358/16.67)),""))</f>
        <v>1114.0971521743802</v>
      </c>
      <c r="AX358" s="9"/>
      <c r="AY358" s="12"/>
      <c r="AZ358" s="10"/>
      <c r="BA358" s="9"/>
      <c r="BB358" s="10"/>
      <c r="BC358" s="9"/>
      <c r="BD358" s="9"/>
      <c r="BE358" s="9"/>
      <c r="BF358" s="9"/>
    </row>
    <row r="359" spans="1:58" x14ac:dyDescent="0.25">
      <c r="A359" s="9" t="s">
        <v>84</v>
      </c>
      <c r="B359" s="9" t="s">
        <v>85</v>
      </c>
      <c r="C359" s="9" t="s">
        <v>86</v>
      </c>
      <c r="D359" s="10">
        <v>45713</v>
      </c>
      <c r="E359" s="10">
        <v>45778</v>
      </c>
      <c r="F359" s="10">
        <v>45808</v>
      </c>
      <c r="G359" s="9">
        <v>3786761</v>
      </c>
      <c r="H359" s="9" t="str">
        <f t="shared" si="35"/>
        <v>Closed</v>
      </c>
      <c r="I359" s="9" t="str">
        <f t="shared" si="36"/>
        <v>All dates received</v>
      </c>
      <c r="J359" s="9" t="s">
        <v>537</v>
      </c>
      <c r="K359" s="9">
        <v>5253</v>
      </c>
      <c r="L359" s="11">
        <v>1080</v>
      </c>
      <c r="M359" s="9" t="s">
        <v>949</v>
      </c>
      <c r="N359" s="9" t="s">
        <v>387</v>
      </c>
      <c r="O359" s="9"/>
      <c r="P359" s="9"/>
      <c r="Q359" s="11">
        <v>-30</v>
      </c>
      <c r="R359" s="9" t="s">
        <v>90</v>
      </c>
      <c r="S359" s="9" t="s">
        <v>347</v>
      </c>
      <c r="T359" s="12">
        <f>IF($H359="Cancelled","",IFERROR(((Q359+INDEX(Variables!$B$6:$D$6,IFERROR(MATCH(IF($B359="Robusta","Robusta",(IF($B359="","Arabica",$B359))&amp;" - "&amp;(IF($C359="","Commercial",$C359))),Variables!$B$1:$D$1,0),1)))*22.0462)*(L359/16.67),""))</f>
        <v>372502.75205758837</v>
      </c>
      <c r="U359" s="10">
        <v>45740</v>
      </c>
      <c r="V359" s="9" t="str">
        <f t="shared" si="40"/>
        <v>Sent</v>
      </c>
      <c r="W359" s="10">
        <v>45747</v>
      </c>
      <c r="X359" s="9" t="str">
        <f t="shared" si="39"/>
        <v>Approved</v>
      </c>
      <c r="Y359" s="10"/>
      <c r="Z359" s="10">
        <f>IF($H359="Cancelled","",IFERROR(IF(F359="","",F359-Variables!$B$13),""))</f>
        <v>45793</v>
      </c>
      <c r="AA359" s="11">
        <f>IF($H359="Cancelled","",IFERROR(IF(W359="","",(AVERAGE(E359:F359)-W359)-Variables!$B$14),""))</f>
        <v>16</v>
      </c>
      <c r="AB359" s="10">
        <v>45799</v>
      </c>
      <c r="AC359" s="11">
        <f>IF($H359="Cancelled","",IFERROR(IF(AB359="","",IF(AND(W359="",Y359=""),"",IF(Y359&gt;W359,Y359+Variables!$B$15+Variables!$B$16+Variables!$B$17-AB359,W359+Variables!$B$16+Variables!$B$17-AB359))),""))</f>
        <v>-44</v>
      </c>
      <c r="AD359" s="9" t="s">
        <v>163</v>
      </c>
      <c r="AE359" s="9" t="s">
        <v>847</v>
      </c>
      <c r="AF359" s="10"/>
      <c r="AG359" s="10"/>
      <c r="AH359" s="9"/>
      <c r="AI359" s="9">
        <v>252779608</v>
      </c>
      <c r="AJ359" s="9" t="s">
        <v>8</v>
      </c>
      <c r="AK359" s="10">
        <v>45807</v>
      </c>
      <c r="AL359" s="10">
        <v>45820</v>
      </c>
      <c r="AM359" s="10">
        <v>45827</v>
      </c>
      <c r="AN359" s="9" t="s">
        <v>95</v>
      </c>
      <c r="AO359" s="9"/>
      <c r="AP359" s="11">
        <f>IF($H359="Cancelled","",IFERROR(IF(OR(AK359="",AB359=""),"",(AB359+Variables!$B$18-AK359)),""))</f>
        <v>-1</v>
      </c>
      <c r="AQ359" s="11">
        <f>IF($H359="Cancelled","",IFERROR(IF(OR(AM359="",AK359=""),"",(AK359+Variables!$B$19)-AM359),""))</f>
        <v>-15</v>
      </c>
      <c r="AR359" s="12">
        <f>IF($H359="Cancelled","",IFERROR(T359*INDEX(Variables!$B$7:$D$7,IFERROR(MATCH(IF($B359="Robusta","Robusta",(IF($B359="","Arabica",$B359))&amp;" - "&amp;(IF($C359="","Commercial",$C359))),Variables!$B$1:$D$1,0),1))*(AQ359/365),""))</f>
        <v>-987.11494350936277</v>
      </c>
      <c r="AS359" s="12">
        <f>IF($H359="Cancelled","",IFERROR((T359*INDEX(Variables!$B$7:$D$7,IFERROR(MATCH(IF($B359="Robusta","Robusta",(IF($B359="","Arabica",$B359))&amp;" - "&amp;(IF($C359="","Commercial",$C359))),Variables!$B$1:$D$1,0),1))*IFERROR(IF(W359="","",(AVERAGE(E359:F359)-W359)-Variables!$B$14),"")/365)+(L359/16.67*INDEX(Variables!$B$8:$D$8,IFERROR(MATCH(IF($B359="Robusta","Robusta",(IF($B359="","Arabica",$B359))&amp;" - "&amp;(IF($C359="","Commercial",$C359))),Variables!$B$1:$D$1,0),1))*IFERROR(IF(W359="","",(AVERAGE(E359:F359)-W359)-Variables!$B$14),""))+(T359*INDEX(Variables!$B$9:$D$9,IFERROR(MATCH(IF($B359="Robusta","Robusta",(IF($B359="","Arabica",$B359))&amp;" - "&amp;(IF($C359="","Commercial",$C359))),Variables!$B$1:$D$1,0),1))*IFERROR(IF(W359="","",(AVERAGE(E359:F359)-W359)-Variables!$B$14),"")/365),""))</f>
        <v>1930.4968108060625</v>
      </c>
      <c r="AT359" s="12">
        <f>IF($H359="Cancelled","",IFERROR((T359*INDEX(Variables!$B$7:$D$7,IFERROR(MATCH(IF($B359="Robusta","Robusta",(IF($B359="","Arabica",$B359))&amp;" - "&amp;(IF($C359="","Commercial",$C359))),Variables!$B$1:$D$1,0),1))*AC359/365)+(L359/16.67*INDEX(Variables!$B$8:$D$8,IFERROR(MATCH(IF($B359="Robusta","Robusta",(IF($B359="","Arabica",$B359))&amp;" - "&amp;(IF($C359="","Commercial",$C359))),Variables!$B$1:$D$1,0),1))*AC359)+(T359*INDEX(Variables!$B$9:$D$9,IFERROR(MATCH(IF($B359="Robusta","Robusta",(IF($B359="","Arabica",$B359))&amp;" - "&amp;(IF($C359="","Commercial",$C359))),Variables!$B$1:$D$1,0),1))*AC359/365),""))</f>
        <v>-5308.866229716672</v>
      </c>
      <c r="AU359" s="12">
        <f>IF($H359="Cancelled","",IFERROR((T359*INDEX(Variables!$B$7:$D$7,IFERROR(MATCH(IF($B359="Robusta","Robusta",(IF($B359="","Arabica",$B359))&amp;" - "&amp;(IF($C359="","Commercial",$C359))),Variables!$B$1:$D$1,0),1))*AP359/365)+(L359/16.67*INDEX(Variables!$B$8:$D$8,IFERROR(MATCH(IF($B359="Robusta","Robusta",(IF($B359="","Arabica",$B359))&amp;" - "&amp;(IF($C359="","Commercial",$C359))),Variables!$B$1:$D$1,0),1))*AP359)+(T359*INDEX(Variables!$B$9:$D$9,IFERROR(MATCH(IF($B359="Robusta","Robusta",(IF($B359="","Arabica",$B359))&amp;" - "&amp;(IF($C359="","Commercial",$C359))),Variables!$B$1:$D$1,0),1))*AP359/365),""))</f>
        <v>-120.65605067537891</v>
      </c>
      <c r="AV359" s="11">
        <f t="shared" si="37"/>
        <v>1</v>
      </c>
      <c r="AW359" s="12">
        <f>IF($H359="Cancelled","",IFERROR(IF(AV359="","",(T359*INDEX(Variables!$B$7:$D$7,IFERROR(MATCH(IF($B359="Robusta","Robusta",(IF($B359="","Arabica",$B359))&amp;" - "&amp;(IF($C359="","Commercial",$C359))),Variables!$B$1:$D$1,0),1))*(AV359/365))+(T359*INDEX(Variables!$B$9:$D$9,IFERROR(MATCH(IF($B359="Robusta","Robusta",(IF($B359="","Arabica",$B359))&amp;" - "&amp;(IF($C359="","Commercial",$C359))),Variables!$B$1:$D$1,0),1))*(AV359/365))+(INDEX(Variables!$B$8:$D$8,IFERROR(MATCH(IF($B359="Robusta","Robusta",(IF($B359="","Arabica",$B359))&amp;" - "&amp;(IF($C359="","Commercial",$C359))),Variables!$B$1:$D$1,0),1))*L359/16.67)),""))</f>
        <v>120.65605067537891</v>
      </c>
      <c r="AX359" s="9"/>
      <c r="AY359" s="12"/>
      <c r="AZ359" s="10"/>
      <c r="BA359" s="9"/>
      <c r="BB359" s="10"/>
      <c r="BC359" s="9"/>
      <c r="BD359" s="9"/>
      <c r="BE359" s="9"/>
      <c r="BF359" s="9"/>
    </row>
    <row r="360" spans="1:58" x14ac:dyDescent="0.25">
      <c r="A360" s="9" t="s">
        <v>84</v>
      </c>
      <c r="B360" s="9" t="s">
        <v>85</v>
      </c>
      <c r="C360" s="9" t="s">
        <v>86</v>
      </c>
      <c r="D360" s="10">
        <v>45713</v>
      </c>
      <c r="E360" s="10">
        <v>45809</v>
      </c>
      <c r="F360" s="10">
        <v>45838</v>
      </c>
      <c r="G360" s="9">
        <v>3786762</v>
      </c>
      <c r="H360" s="9" t="str">
        <f t="shared" si="35"/>
        <v>Closed</v>
      </c>
      <c r="I360" s="9" t="str">
        <f t="shared" si="36"/>
        <v>All dates received</v>
      </c>
      <c r="J360" s="9" t="s">
        <v>537</v>
      </c>
      <c r="K360" s="9">
        <v>5285</v>
      </c>
      <c r="L360" s="11">
        <v>1080</v>
      </c>
      <c r="M360" s="9" t="s">
        <v>949</v>
      </c>
      <c r="N360" s="9" t="s">
        <v>387</v>
      </c>
      <c r="O360" s="9"/>
      <c r="P360" s="9"/>
      <c r="Q360" s="11">
        <v>-30</v>
      </c>
      <c r="R360" s="9" t="s">
        <v>90</v>
      </c>
      <c r="S360" s="9" t="s">
        <v>839</v>
      </c>
      <c r="T360" s="12">
        <f>IF($H360="Cancelled","",IFERROR(((Q360+INDEX(Variables!$B$6:$D$6,IFERROR(MATCH(IF($B360="Robusta","Robusta",(IF($B360="","Arabica",$B360))&amp;" - "&amp;(IF($C360="","Commercial",$C360))),Variables!$B$1:$D$1,0),1)))*22.0462)*(L360/16.67),""))</f>
        <v>372502.75205758837</v>
      </c>
      <c r="U360" s="10">
        <v>45770</v>
      </c>
      <c r="V360" s="9" t="str">
        <f t="shared" si="40"/>
        <v>Sent</v>
      </c>
      <c r="W360" s="10">
        <v>45785</v>
      </c>
      <c r="X360" s="9" t="str">
        <f t="shared" si="39"/>
        <v>Approved</v>
      </c>
      <c r="Y360" s="10"/>
      <c r="Z360" s="10">
        <f>IF($H360="Cancelled","",IFERROR(IF(F360="","",F360-Variables!$B$13),""))</f>
        <v>45823</v>
      </c>
      <c r="AA360" s="11">
        <f>IF($H360="Cancelled","",IFERROR(IF(W360="","",(AVERAGE(E360:F360)-W360)-Variables!$B$14),""))</f>
        <v>8.5</v>
      </c>
      <c r="AB360" s="10">
        <v>45807</v>
      </c>
      <c r="AC360" s="11">
        <f>IF($H360="Cancelled","",IFERROR(IF(AB360="","",IF(AND(W360="",Y360=""),"",IF(Y360&gt;W360,Y360+Variables!$B$15+Variables!$B$16+Variables!$B$17-AB360,W360+Variables!$B$16+Variables!$B$17-AB360))),""))</f>
        <v>-14</v>
      </c>
      <c r="AD360" s="9" t="s">
        <v>163</v>
      </c>
      <c r="AE360" s="9" t="s">
        <v>950</v>
      </c>
      <c r="AF360" s="10"/>
      <c r="AG360" s="10"/>
      <c r="AH360" s="9"/>
      <c r="AI360" s="9">
        <v>253695225</v>
      </c>
      <c r="AJ360" s="9" t="s">
        <v>8</v>
      </c>
      <c r="AK360" s="10">
        <v>45816</v>
      </c>
      <c r="AL360" s="10">
        <v>45820</v>
      </c>
      <c r="AM360" s="10">
        <v>45820</v>
      </c>
      <c r="AN360" s="9" t="s">
        <v>95</v>
      </c>
      <c r="AO360" s="9"/>
      <c r="AP360" s="11">
        <f>IF($H360="Cancelled","",IFERROR(IF(OR(AK360="",AB360=""),"",(AB360+Variables!$B$18-AK360)),""))</f>
        <v>-2</v>
      </c>
      <c r="AQ360" s="11">
        <f>IF($H360="Cancelled","",IFERROR(IF(OR(AM360="",AK360=""),"",(AK360+Variables!$B$19)-AM360),""))</f>
        <v>1</v>
      </c>
      <c r="AR360" s="12">
        <f>IF($H360="Cancelled","",IFERROR(T360*INDEX(Variables!$B$7:$D$7,IFERROR(MATCH(IF($B360="Robusta","Robusta",(IF($B360="","Arabica",$B360))&amp;" - "&amp;(IF($C360="","Commercial",$C360))),Variables!$B$1:$D$1,0),1))*(AQ360/365),""))</f>
        <v>65.80766290062418</v>
      </c>
      <c r="AS360" s="12">
        <f>IF($H360="Cancelled","",IFERROR((T360*INDEX(Variables!$B$7:$D$7,IFERROR(MATCH(IF($B360="Robusta","Robusta",(IF($B360="","Arabica",$B360))&amp;" - "&amp;(IF($C360="","Commercial",$C360))),Variables!$B$1:$D$1,0),1))*IFERROR(IF(W360="","",(AVERAGE(E360:F360)-W360)-Variables!$B$14),"")/365)+(L360/16.67*INDEX(Variables!$B$8:$D$8,IFERROR(MATCH(IF($B360="Robusta","Robusta",(IF($B360="","Arabica",$B360))&amp;" - "&amp;(IF($C360="","Commercial",$C360))),Variables!$B$1:$D$1,0),1))*IFERROR(IF(W360="","",(AVERAGE(E360:F360)-W360)-Variables!$B$14),""))+(T360*INDEX(Variables!$B$9:$D$9,IFERROR(MATCH(IF($B360="Robusta","Robusta",(IF($B360="","Arabica",$B360))&amp;" - "&amp;(IF($C360="","Commercial",$C360))),Variables!$B$1:$D$1,0),1))*IFERROR(IF(W360="","",(AVERAGE(E360:F360)-W360)-Variables!$B$14),"")/365),""))</f>
        <v>1025.5764307407208</v>
      </c>
      <c r="AT360" s="12">
        <f>IF($H360="Cancelled","",IFERROR((T360*INDEX(Variables!$B$7:$D$7,IFERROR(MATCH(IF($B360="Robusta","Robusta",(IF($B360="","Arabica",$B360))&amp;" - "&amp;(IF($C360="","Commercial",$C360))),Variables!$B$1:$D$1,0),1))*AC360/365)+(L360/16.67*INDEX(Variables!$B$8:$D$8,IFERROR(MATCH(IF($B360="Robusta","Robusta",(IF($B360="","Arabica",$B360))&amp;" - "&amp;(IF($C360="","Commercial",$C360))),Variables!$B$1:$D$1,0),1))*AC360)+(T360*INDEX(Variables!$B$9:$D$9,IFERROR(MATCH(IF($B360="Robusta","Robusta",(IF($B360="","Arabica",$B360))&amp;" - "&amp;(IF($C360="","Commercial",$C360))),Variables!$B$1:$D$1,0),1))*AC360/365),""))</f>
        <v>-1689.1847094553048</v>
      </c>
      <c r="AU360" s="12">
        <f>IF($H360="Cancelled","",IFERROR((T360*INDEX(Variables!$B$7:$D$7,IFERROR(MATCH(IF($B360="Robusta","Robusta",(IF($B360="","Arabica",$B360))&amp;" - "&amp;(IF($C360="","Commercial",$C360))),Variables!$B$1:$D$1,0),1))*AP360/365)+(L360/16.67*INDEX(Variables!$B$8:$D$8,IFERROR(MATCH(IF($B360="Robusta","Robusta",(IF($B360="","Arabica",$B360))&amp;" - "&amp;(IF($C360="","Commercial",$C360))),Variables!$B$1:$D$1,0),1))*AP360)+(T360*INDEX(Variables!$B$9:$D$9,IFERROR(MATCH(IF($B360="Robusta","Robusta",(IF($B360="","Arabica",$B360))&amp;" - "&amp;(IF($C360="","Commercial",$C360))),Variables!$B$1:$D$1,0),1))*AP360/365),""))</f>
        <v>-241.31210135075781</v>
      </c>
      <c r="AV360" s="11">
        <f t="shared" si="37"/>
        <v>22</v>
      </c>
      <c r="AW360" s="12">
        <f>IF($H360="Cancelled","",IFERROR(IF(AV360="","",(T360*INDEX(Variables!$B$7:$D$7,IFERROR(MATCH(IF($B360="Robusta","Robusta",(IF($B360="","Arabica",$B360))&amp;" - "&amp;(IF($C360="","Commercial",$C360))),Variables!$B$1:$D$1,0),1))*(AV360/365))+(T360*INDEX(Variables!$B$9:$D$9,IFERROR(MATCH(IF($B360="Robusta","Robusta",(IF($B360="","Arabica",$B360))&amp;" - "&amp;(IF($C360="","Commercial",$C360))),Variables!$B$1:$D$1,0),1))*(AV360/365))+(INDEX(Variables!$B$8:$D$8,IFERROR(MATCH(IF($B360="Robusta","Robusta",(IF($B360="","Arabica",$B360))&amp;" - "&amp;(IF($C360="","Commercial",$C360))),Variables!$B$1:$D$1,0),1))*L360/16.67)),""))</f>
        <v>1520.433114858336</v>
      </c>
      <c r="AX360" s="9"/>
      <c r="AY360" s="12"/>
      <c r="AZ360" s="10"/>
      <c r="BA360" s="9"/>
      <c r="BB360" s="10"/>
      <c r="BC360" s="9"/>
      <c r="BD360" s="9"/>
      <c r="BE360" s="9"/>
      <c r="BF360" s="9"/>
    </row>
    <row r="361" spans="1:58" x14ac:dyDescent="0.25">
      <c r="A361" s="9" t="s">
        <v>84</v>
      </c>
      <c r="B361" s="9" t="s">
        <v>85</v>
      </c>
      <c r="C361" s="9" t="s">
        <v>86</v>
      </c>
      <c r="D361" s="10">
        <v>45713</v>
      </c>
      <c r="E361" s="10">
        <v>45809</v>
      </c>
      <c r="F361" s="10">
        <v>45838</v>
      </c>
      <c r="G361" s="9">
        <v>3786763</v>
      </c>
      <c r="H361" s="9" t="str">
        <f t="shared" si="35"/>
        <v>Closed</v>
      </c>
      <c r="I361" s="9" t="str">
        <f t="shared" si="36"/>
        <v>All dates received</v>
      </c>
      <c r="J361" s="9" t="s">
        <v>537</v>
      </c>
      <c r="K361" s="9">
        <v>5286</v>
      </c>
      <c r="L361" s="11">
        <v>1440</v>
      </c>
      <c r="M361" s="9" t="s">
        <v>949</v>
      </c>
      <c r="N361" s="9" t="s">
        <v>387</v>
      </c>
      <c r="O361" s="9"/>
      <c r="P361" s="9"/>
      <c r="Q361" s="11">
        <v>-30</v>
      </c>
      <c r="R361" s="9" t="s">
        <v>90</v>
      </c>
      <c r="S361" s="9" t="s">
        <v>347</v>
      </c>
      <c r="T361" s="12">
        <f>IF($H361="Cancelled","",IFERROR(((Q361+INDEX(Variables!$B$6:$D$6,IFERROR(MATCH(IF($B361="Robusta","Robusta",(IF($B361="","Arabica",$B361))&amp;" - "&amp;(IF($C361="","Commercial",$C361))),Variables!$B$1:$D$1,0),1)))*22.0462)*(L361/16.67),""))</f>
        <v>496670.33607678459</v>
      </c>
      <c r="U361" s="10">
        <v>45790</v>
      </c>
      <c r="V361" s="9" t="str">
        <f t="shared" si="40"/>
        <v>Sent</v>
      </c>
      <c r="W361" s="10">
        <v>45797</v>
      </c>
      <c r="X361" s="9" t="str">
        <f t="shared" si="39"/>
        <v>Approved</v>
      </c>
      <c r="Y361" s="10"/>
      <c r="Z361" s="10">
        <f>IF($H361="Cancelled","",IFERROR(IF(F361="","",F361-Variables!$B$13),""))</f>
        <v>45823</v>
      </c>
      <c r="AA361" s="11">
        <f>IF($H361="Cancelled","",IFERROR(IF(W361="","",(AVERAGE(E361:F361)-W361)-Variables!$B$14),""))</f>
        <v>-3.5</v>
      </c>
      <c r="AB361" s="10">
        <v>45812</v>
      </c>
      <c r="AC361" s="11">
        <f>IF($H361="Cancelled","",IFERROR(IF(AB361="","",IF(AND(W361="",Y361=""),"",IF(Y361&gt;W361,Y361+Variables!$B$15+Variables!$B$16+Variables!$B$17-AB361,W361+Variables!$B$16+Variables!$B$17-AB361))),""))</f>
        <v>-7</v>
      </c>
      <c r="AD361" s="9" t="s">
        <v>151</v>
      </c>
      <c r="AE361" s="9" t="s">
        <v>358</v>
      </c>
      <c r="AF361" s="10" t="s">
        <v>762</v>
      </c>
      <c r="AG361" s="10"/>
      <c r="AH361" s="9"/>
      <c r="AI361" s="9" t="s">
        <v>951</v>
      </c>
      <c r="AJ361" s="9" t="s">
        <v>952</v>
      </c>
      <c r="AK361" s="10">
        <v>45827</v>
      </c>
      <c r="AL361" s="10">
        <v>45832</v>
      </c>
      <c r="AM361" s="10">
        <v>45840</v>
      </c>
      <c r="AN361" s="9" t="s">
        <v>95</v>
      </c>
      <c r="AO361" s="9"/>
      <c r="AP361" s="11">
        <f>IF($H361="Cancelled","",IFERROR(IF(OR(AK361="",AB361=""),"",(AB361+Variables!$B$18-AK361)),""))</f>
        <v>-8</v>
      </c>
      <c r="AQ361" s="11">
        <f>IF($H361="Cancelled","",IFERROR(IF(OR(AM361="",AK361=""),"",(AK361+Variables!$B$19)-AM361),""))</f>
        <v>-8</v>
      </c>
      <c r="AR361" s="12">
        <f>IF($H361="Cancelled","",IFERROR(T361*INDEX(Variables!$B$7:$D$7,IFERROR(MATCH(IF($B361="Robusta","Robusta",(IF($B361="","Arabica",$B361))&amp;" - "&amp;(IF($C361="","Commercial",$C361))),Variables!$B$1:$D$1,0),1))*(AQ361/365),""))</f>
        <v>-701.94840427332474</v>
      </c>
      <c r="AS361" s="12">
        <f>IF($H361="Cancelled","",IFERROR((T361*INDEX(Variables!$B$7:$D$7,IFERROR(MATCH(IF($B361="Robusta","Robusta",(IF($B361="","Arabica",$B361))&amp;" - "&amp;(IF($C361="","Commercial",$C361))),Variables!$B$1:$D$1,0),1))*IFERROR(IF(W361="","",(AVERAGE(E361:F361)-W361)-Variables!$B$14),"")/365)+(L361/16.67*INDEX(Variables!$B$8:$D$8,IFERROR(MATCH(IF($B361="Robusta","Robusta",(IF($B361="","Arabica",$B361))&amp;" - "&amp;(IF($C361="","Commercial",$C361))),Variables!$B$1:$D$1,0),1))*IFERROR(IF(W361="","",(AVERAGE(E361:F361)-W361)-Variables!$B$14),""))+(T361*INDEX(Variables!$B$9:$D$9,IFERROR(MATCH(IF($B361="Robusta","Robusta",(IF($B361="","Arabica",$B361))&amp;" - "&amp;(IF($C361="","Commercial",$C361))),Variables!$B$1:$D$1,0),1))*IFERROR(IF(W361="","",(AVERAGE(E361:F361)-W361)-Variables!$B$14),"")/365),""))</f>
        <v>-563.06156981843503</v>
      </c>
      <c r="AT361" s="12">
        <f>IF($H361="Cancelled","",IFERROR((T361*INDEX(Variables!$B$7:$D$7,IFERROR(MATCH(IF($B361="Robusta","Robusta",(IF($B361="","Arabica",$B361))&amp;" - "&amp;(IF($C361="","Commercial",$C361))),Variables!$B$1:$D$1,0),1))*AC361/365)+(L361/16.67*INDEX(Variables!$B$8:$D$8,IFERROR(MATCH(IF($B361="Robusta","Robusta",(IF($B361="","Arabica",$B361))&amp;" - "&amp;(IF($C361="","Commercial",$C361))),Variables!$B$1:$D$1,0),1))*AC361)+(T361*INDEX(Variables!$B$9:$D$9,IFERROR(MATCH(IF($B361="Robusta","Robusta",(IF($B361="","Arabica",$B361))&amp;" - "&amp;(IF($C361="","Commercial",$C361))),Variables!$B$1:$D$1,0),1))*AC361/365),""))</f>
        <v>-1126.1231396368701</v>
      </c>
      <c r="AU361" s="12">
        <f>IF($H361="Cancelled","",IFERROR((T361*INDEX(Variables!$B$7:$D$7,IFERROR(MATCH(IF($B361="Robusta","Robusta",(IF($B361="","Arabica",$B361))&amp;" - "&amp;(IF($C361="","Commercial",$C361))),Variables!$B$1:$D$1,0),1))*AP361/365)+(L361/16.67*INDEX(Variables!$B$8:$D$8,IFERROR(MATCH(IF($B361="Robusta","Robusta",(IF($B361="","Arabica",$B361))&amp;" - "&amp;(IF($C361="","Commercial",$C361))),Variables!$B$1:$D$1,0),1))*AP361)+(T361*INDEX(Variables!$B$9:$D$9,IFERROR(MATCH(IF($B361="Robusta","Robusta",(IF($B361="","Arabica",$B361))&amp;" - "&amp;(IF($C361="","Commercial",$C361))),Variables!$B$1:$D$1,0),1))*AP361/365),""))</f>
        <v>-1286.9978738707084</v>
      </c>
      <c r="AV361" s="11">
        <f t="shared" si="37"/>
        <v>11</v>
      </c>
      <c r="AW361" s="12">
        <f>IF($H361="Cancelled","",IFERROR(IF(AV361="","",(T361*INDEX(Variables!$B$7:$D$7,IFERROR(MATCH(IF($B361="Robusta","Robusta",(IF($B361="","Arabica",$B361))&amp;" - "&amp;(IF($C361="","Commercial",$C361))),Variables!$B$1:$D$1,0),1))*(AV361/365))+(T361*INDEX(Variables!$B$9:$D$9,IFERROR(MATCH(IF($B361="Robusta","Robusta",(IF($B361="","Arabica",$B361))&amp;" - "&amp;(IF($C361="","Commercial",$C361))),Variables!$B$1:$D$1,0),1))*(AV361/365))+(INDEX(Variables!$B$8:$D$8,IFERROR(MATCH(IF($B361="Robusta","Robusta",(IF($B361="","Arabica",$B361))&amp;" - "&amp;(IF($C361="","Commercial",$C361))),Variables!$B$1:$D$1,0),1))*L361/16.67)),""))</f>
        <v>1049.6220765722242</v>
      </c>
      <c r="AX361" s="9"/>
      <c r="AY361" s="12"/>
      <c r="AZ361" s="10"/>
      <c r="BA361" s="9"/>
      <c r="BB361" s="10"/>
      <c r="BC361" s="9"/>
      <c r="BD361" s="9"/>
      <c r="BE361" s="9"/>
      <c r="BF361" s="9"/>
    </row>
    <row r="362" spans="1:58" x14ac:dyDescent="0.25">
      <c r="A362" s="9" t="s">
        <v>84</v>
      </c>
      <c r="B362" s="9" t="s">
        <v>85</v>
      </c>
      <c r="C362" s="9" t="s">
        <v>86</v>
      </c>
      <c r="D362" s="10">
        <v>45721</v>
      </c>
      <c r="E362" s="10">
        <v>45748</v>
      </c>
      <c r="F362" s="10">
        <v>45761</v>
      </c>
      <c r="G362" s="9">
        <v>3786768</v>
      </c>
      <c r="H362" s="9" t="str">
        <f t="shared" si="35"/>
        <v>Closed</v>
      </c>
      <c r="I362" s="9" t="str">
        <f t="shared" si="36"/>
        <v>All dates received</v>
      </c>
      <c r="J362" s="9" t="s">
        <v>102</v>
      </c>
      <c r="K362" s="9">
        <v>5214</v>
      </c>
      <c r="L362" s="11">
        <v>1800</v>
      </c>
      <c r="M362" s="9" t="s">
        <v>953</v>
      </c>
      <c r="N362" s="9" t="s">
        <v>387</v>
      </c>
      <c r="O362" s="9"/>
      <c r="P362" s="9"/>
      <c r="Q362" s="11">
        <v>-30</v>
      </c>
      <c r="R362" s="9" t="s">
        <v>90</v>
      </c>
      <c r="S362" s="9" t="s">
        <v>106</v>
      </c>
      <c r="T362" s="12">
        <f>IF($H362="Cancelled","",IFERROR(((Q362+INDEX(Variables!$B$6:$D$6,IFERROR(MATCH(IF($B362="Robusta","Robusta",(IF($B362="","Arabica",$B362))&amp;" - "&amp;(IF($C362="","Commercial",$C362))),Variables!$B$1:$D$1,0),1)))*22.0462)*(L362/16.67),""))</f>
        <v>620837.92009598063</v>
      </c>
      <c r="U362" s="10">
        <v>45733</v>
      </c>
      <c r="V362" s="9" t="str">
        <f t="shared" si="40"/>
        <v>Sent</v>
      </c>
      <c r="W362" s="10">
        <v>45741</v>
      </c>
      <c r="X362" s="9" t="str">
        <f t="shared" si="39"/>
        <v>Approved</v>
      </c>
      <c r="Y362" s="10"/>
      <c r="Z362" s="10">
        <f>IF($H362="Cancelled","",IFERROR(IF(F362="","",F362-Variables!$B$13),""))</f>
        <v>45746</v>
      </c>
      <c r="AA362" s="11">
        <f>IF($H362="Cancelled","",IFERROR(IF(W362="","",(AVERAGE(E362:F362)-W362)-Variables!$B$14),""))</f>
        <v>-16.5</v>
      </c>
      <c r="AB362" s="10">
        <v>45756</v>
      </c>
      <c r="AC362" s="11">
        <f>IF($H362="Cancelled","",IFERROR(IF(AB362="","",IF(AND(W362="",Y362=""),"",IF(Y362&gt;W362,Y362+Variables!$B$15+Variables!$B$16+Variables!$B$17-AB362,W362+Variables!$B$16+Variables!$B$17-AB362))),""))</f>
        <v>-7</v>
      </c>
      <c r="AD362" s="9" t="s">
        <v>954</v>
      </c>
      <c r="AE362" s="9" t="s">
        <v>769</v>
      </c>
      <c r="AF362" s="10">
        <v>45767</v>
      </c>
      <c r="AG362" s="10"/>
      <c r="AH362" s="9"/>
      <c r="AI362" s="9">
        <v>251686935</v>
      </c>
      <c r="AJ362" s="9" t="s">
        <v>8</v>
      </c>
      <c r="AK362" s="10">
        <v>45767</v>
      </c>
      <c r="AL362" s="10">
        <v>45777</v>
      </c>
      <c r="AM362" s="10">
        <v>45777</v>
      </c>
      <c r="AN362" s="9" t="s">
        <v>95</v>
      </c>
      <c r="AO362" s="9"/>
      <c r="AP362" s="11">
        <f>IF($H362="Cancelled","",IFERROR(IF(OR(AK362="",AB362=""),"",(AB362+Variables!$B$18-AK362)),""))</f>
        <v>-4</v>
      </c>
      <c r="AQ362" s="11">
        <f>IF($H362="Cancelled","",IFERROR(IF(OR(AM362="",AK362=""),"",(AK362+Variables!$B$19)-AM362),""))</f>
        <v>-5</v>
      </c>
      <c r="AR362" s="12">
        <f>IF($H362="Cancelled","",IFERROR(T362*INDEX(Variables!$B$7:$D$7,IFERROR(MATCH(IF($B362="Robusta","Robusta",(IF($B362="","Arabica",$B362))&amp;" - "&amp;(IF($C362="","Commercial",$C362))),Variables!$B$1:$D$1,0),1))*(AQ362/365),""))</f>
        <v>-548.39719083853481</v>
      </c>
      <c r="AS362" s="12">
        <f>IF($H362="Cancelled","",IFERROR((T362*INDEX(Variables!$B$7:$D$7,IFERROR(MATCH(IF($B362="Robusta","Robusta",(IF($B362="","Arabica",$B362))&amp;" - "&amp;(IF($C362="","Commercial",$C362))),Variables!$B$1:$D$1,0),1))*IFERROR(IF(W362="","",(AVERAGE(E362:F362)-W362)-Variables!$B$14),"")/365)+(L362/16.67*INDEX(Variables!$B$8:$D$8,IFERROR(MATCH(IF($B362="Robusta","Robusta",(IF($B362="","Arabica",$B362))&amp;" - "&amp;(IF($C362="","Commercial",$C362))),Variables!$B$1:$D$1,0),1))*IFERROR(IF(W362="","",(AVERAGE(E362:F362)-W362)-Variables!$B$14),""))+(T362*INDEX(Variables!$B$9:$D$9,IFERROR(MATCH(IF($B362="Robusta","Robusta",(IF($B362="","Arabica",$B362))&amp;" - "&amp;(IF($C362="","Commercial",$C362))),Variables!$B$1:$D$1,0),1))*IFERROR(IF(W362="","",(AVERAGE(E362:F362)-W362)-Variables!$B$14),"")/365),""))</f>
        <v>-3318.0413935729198</v>
      </c>
      <c r="AT362" s="12">
        <f>IF($H362="Cancelled","",IFERROR((T362*INDEX(Variables!$B$7:$D$7,IFERROR(MATCH(IF($B362="Robusta","Robusta",(IF($B362="","Arabica",$B362))&amp;" - "&amp;(IF($C362="","Commercial",$C362))),Variables!$B$1:$D$1,0),1))*AC362/365)+(L362/16.67*INDEX(Variables!$B$8:$D$8,IFERROR(MATCH(IF($B362="Robusta","Robusta",(IF($B362="","Arabica",$B362))&amp;" - "&amp;(IF($C362="","Commercial",$C362))),Variables!$B$1:$D$1,0),1))*AC362)+(T362*INDEX(Variables!$B$9:$D$9,IFERROR(MATCH(IF($B362="Robusta","Robusta",(IF($B362="","Arabica",$B362))&amp;" - "&amp;(IF($C362="","Commercial",$C362))),Variables!$B$1:$D$1,0),1))*AC362/365),""))</f>
        <v>-1407.6539245460872</v>
      </c>
      <c r="AU362" s="12">
        <f>IF($H362="Cancelled","",IFERROR((T362*INDEX(Variables!$B$7:$D$7,IFERROR(MATCH(IF($B362="Robusta","Robusta",(IF($B362="","Arabica",$B362))&amp;" - "&amp;(IF($C362="","Commercial",$C362))),Variables!$B$1:$D$1,0),1))*AP362/365)+(L362/16.67*INDEX(Variables!$B$8:$D$8,IFERROR(MATCH(IF($B362="Robusta","Robusta",(IF($B362="","Arabica",$B362))&amp;" - "&amp;(IF($C362="","Commercial",$C362))),Variables!$B$1:$D$1,0),1))*AP362)+(T362*INDEX(Variables!$B$9:$D$9,IFERROR(MATCH(IF($B362="Robusta","Robusta",(IF($B362="","Arabica",$B362))&amp;" - "&amp;(IF($C362="","Commercial",$C362))),Variables!$B$1:$D$1,0),1))*AP362/365),""))</f>
        <v>-804.37367116919268</v>
      </c>
      <c r="AV362" s="11">
        <f t="shared" si="37"/>
        <v>-6</v>
      </c>
      <c r="AW362" s="12">
        <f>IF($H362="Cancelled","",IFERROR(IF(AV362="","",(T362*INDEX(Variables!$B$7:$D$7,IFERROR(MATCH(IF($B362="Robusta","Robusta",(IF($B362="","Arabica",$B362))&amp;" - "&amp;(IF($C362="","Commercial",$C362))),Variables!$B$1:$D$1,0),1))*(AV362/365))+(T362*INDEX(Variables!$B$9:$D$9,IFERROR(MATCH(IF($B362="Robusta","Robusta",(IF($B362="","Arabica",$B362))&amp;" - "&amp;(IF($C362="","Commercial",$C362))),Variables!$B$1:$D$1,0),1))*(AV362/365))+(INDEX(Variables!$B$8:$D$8,IFERROR(MATCH(IF($B362="Robusta","Robusta",(IF($B362="","Arabica",$B362))&amp;" - "&amp;(IF($C362="","Commercial",$C362))),Variables!$B$1:$D$1,0),1))*L362/16.67)),""))</f>
        <v>-576.5605067537889</v>
      </c>
      <c r="AX362" s="9"/>
      <c r="AY362" s="12"/>
      <c r="AZ362" s="10"/>
      <c r="BA362" s="9"/>
      <c r="BB362" s="10"/>
      <c r="BC362" s="9"/>
      <c r="BD362" s="9"/>
      <c r="BE362" s="9"/>
      <c r="BF362" s="9"/>
    </row>
    <row r="363" spans="1:58" x14ac:dyDescent="0.25">
      <c r="A363" s="9" t="s">
        <v>84</v>
      </c>
      <c r="B363" s="9" t="s">
        <v>85</v>
      </c>
      <c r="C363" s="9" t="s">
        <v>86</v>
      </c>
      <c r="D363" s="10">
        <v>45721</v>
      </c>
      <c r="E363" s="10">
        <v>45762</v>
      </c>
      <c r="F363" s="10">
        <v>45777</v>
      </c>
      <c r="G363" s="9">
        <v>3786769</v>
      </c>
      <c r="H363" s="9" t="str">
        <f t="shared" si="35"/>
        <v>Closed</v>
      </c>
      <c r="I363" s="9" t="str">
        <f t="shared" si="36"/>
        <v>All dates received</v>
      </c>
      <c r="J363" s="9" t="s">
        <v>102</v>
      </c>
      <c r="K363" s="9">
        <v>5226</v>
      </c>
      <c r="L363" s="11">
        <v>1800</v>
      </c>
      <c r="M363" s="9" t="s">
        <v>953</v>
      </c>
      <c r="N363" s="9" t="s">
        <v>387</v>
      </c>
      <c r="O363" s="9"/>
      <c r="P363" s="9"/>
      <c r="Q363" s="11">
        <v>-45</v>
      </c>
      <c r="R363" s="9" t="s">
        <v>90</v>
      </c>
      <c r="S363" s="9" t="s">
        <v>106</v>
      </c>
      <c r="T363" s="12">
        <f>IF($H363="Cancelled","",IFERROR(((Q363+INDEX(Variables!$B$6:$D$6,IFERROR(MATCH(IF($B363="Robusta","Robusta",(IF($B363="","Arabica",$B363))&amp;" - "&amp;(IF($C363="","Commercial",$C363))),Variables!$B$1:$D$1,0),1)))*22.0462)*(L363/16.67),""))</f>
        <v>585130.21763647266</v>
      </c>
      <c r="U363" s="10">
        <v>45723</v>
      </c>
      <c r="V363" s="9" t="str">
        <f t="shared" si="40"/>
        <v>Sent</v>
      </c>
      <c r="W363" s="10">
        <v>45751</v>
      </c>
      <c r="X363" s="9" t="str">
        <f t="shared" si="39"/>
        <v>Approved</v>
      </c>
      <c r="Y363" s="10"/>
      <c r="Z363" s="10">
        <f>IF($H363="Cancelled","",IFERROR(IF(F363="","",F363-Variables!$B$13),""))</f>
        <v>45762</v>
      </c>
      <c r="AA363" s="11">
        <f>IF($H363="Cancelled","",IFERROR(IF(W363="","",(AVERAGE(E363:F363)-W363)-Variables!$B$14),""))</f>
        <v>-11.5</v>
      </c>
      <c r="AB363" s="10">
        <v>45763</v>
      </c>
      <c r="AC363" s="11">
        <f>IF($H363="Cancelled","",IFERROR(IF(AB363="","",IF(AND(W363="",Y363=""),"",IF(Y363&gt;W363,Y363+Variables!$B$15+Variables!$B$16+Variables!$B$17-AB363,W363+Variables!$B$16+Variables!$B$17-AB363))),""))</f>
        <v>-4</v>
      </c>
      <c r="AD363" s="9" t="s">
        <v>954</v>
      </c>
      <c r="AE363" s="9" t="s">
        <v>955</v>
      </c>
      <c r="AF363" s="10"/>
      <c r="AG363" s="10"/>
      <c r="AH363" s="9"/>
      <c r="AI363" s="9">
        <v>252407707</v>
      </c>
      <c r="AJ363" s="9" t="s">
        <v>8</v>
      </c>
      <c r="AK363" s="10">
        <v>45776</v>
      </c>
      <c r="AL363" s="10">
        <v>45785</v>
      </c>
      <c r="AM363" s="10">
        <v>45785</v>
      </c>
      <c r="AN363" s="9" t="s">
        <v>95</v>
      </c>
      <c r="AO363" s="9"/>
      <c r="AP363" s="11">
        <f>IF($H363="Cancelled","",IFERROR(IF(OR(AK363="",AB363=""),"",(AB363+Variables!$B$18-AK363)),""))</f>
        <v>-6</v>
      </c>
      <c r="AQ363" s="11">
        <f>IF($H363="Cancelled","",IFERROR(IF(OR(AM363="",AK363=""),"",(AK363+Variables!$B$19)-AM363),""))</f>
        <v>-4</v>
      </c>
      <c r="AR363" s="12">
        <f>IF($H363="Cancelled","",IFERROR(T363*INDEX(Variables!$B$7:$D$7,IFERROR(MATCH(IF($B363="Robusta","Robusta",(IF($B363="","Arabica",$B363))&amp;" - "&amp;(IF($C363="","Commercial",$C363))),Variables!$B$1:$D$1,0),1))*(AQ363/365),""))</f>
        <v>-413.48475309236778</v>
      </c>
      <c r="AS363" s="12">
        <f>IF($H363="Cancelled","",IFERROR((T363*INDEX(Variables!$B$7:$D$7,IFERROR(MATCH(IF($B363="Robusta","Robusta",(IF($B363="","Arabica",$B363))&amp;" - "&amp;(IF($C363="","Commercial",$C363))),Variables!$B$1:$D$1,0),1))*IFERROR(IF(W363="","",(AVERAGE(E363:F363)-W363)-Variables!$B$14),"")/365)+(L363/16.67*INDEX(Variables!$B$8:$D$8,IFERROR(MATCH(IF($B363="Robusta","Robusta",(IF($B363="","Arabica",$B363))&amp;" - "&amp;(IF($C363="","Commercial",$C363))),Variables!$B$1:$D$1,0),1))*IFERROR(IF(W363="","",(AVERAGE(E363:F363)-W363)-Variables!$B$14),""))+(T363*INDEX(Variables!$B$9:$D$9,IFERROR(MATCH(IF($B363="Robusta","Robusta",(IF($B363="","Arabica",$B363))&amp;" - "&amp;(IF($C363="","Commercial",$C363))),Variables!$B$1:$D$1,0),1))*IFERROR(IF(W363="","",(AVERAGE(E363:F363)-W363)-Variables!$B$14),"")/365),""))</f>
        <v>-2239.0941873983488</v>
      </c>
      <c r="AT363" s="12">
        <f>IF($H363="Cancelled","",IFERROR((T363*INDEX(Variables!$B$7:$D$7,IFERROR(MATCH(IF($B363="Robusta","Robusta",(IF($B363="","Arabica",$B363))&amp;" - "&amp;(IF($C363="","Commercial",$C363))),Variables!$B$1:$D$1,0),1))*AC363/365)+(L363/16.67*INDEX(Variables!$B$8:$D$8,IFERROR(MATCH(IF($B363="Robusta","Robusta",(IF($B363="","Arabica",$B363))&amp;" - "&amp;(IF($C363="","Commercial",$C363))),Variables!$B$1:$D$1,0),1))*AC363)+(T363*INDEX(Variables!$B$9:$D$9,IFERROR(MATCH(IF($B363="Robusta","Robusta",(IF($B363="","Arabica",$B363))&amp;" - "&amp;(IF($C363="","Commercial",$C363))),Variables!$B$1:$D$1,0),1))*AC363/365),""))</f>
        <v>-778.81536952986039</v>
      </c>
      <c r="AU363" s="12">
        <f>IF($H363="Cancelled","",IFERROR((T363*INDEX(Variables!$B$7:$D$7,IFERROR(MATCH(IF($B363="Robusta","Robusta",(IF($B363="","Arabica",$B363))&amp;" - "&amp;(IF($C363="","Commercial",$C363))),Variables!$B$1:$D$1,0),1))*AP363/365)+(L363/16.67*INDEX(Variables!$B$8:$D$8,IFERROR(MATCH(IF($B363="Robusta","Robusta",(IF($B363="","Arabica",$B363))&amp;" - "&amp;(IF($C363="","Commercial",$C363))),Variables!$B$1:$D$1,0),1))*AP363)+(T363*INDEX(Variables!$B$9:$D$9,IFERROR(MATCH(IF($B363="Robusta","Robusta",(IF($B363="","Arabica",$B363))&amp;" - "&amp;(IF($C363="","Commercial",$C363))),Variables!$B$1:$D$1,0),1))*AP363/365),""))</f>
        <v>-1168.2230542947905</v>
      </c>
      <c r="AV363" s="11">
        <f t="shared" si="37"/>
        <v>1</v>
      </c>
      <c r="AW363" s="12">
        <f>IF($H363="Cancelled","",IFERROR(IF(AV363="","",(T363*INDEX(Variables!$B$7:$D$7,IFERROR(MATCH(IF($B363="Robusta","Robusta",(IF($B363="","Arabica",$B363))&amp;" - "&amp;(IF($C363="","Commercial",$C363))),Variables!$B$1:$D$1,0),1))*(AV363/365))+(T363*INDEX(Variables!$B$9:$D$9,IFERROR(MATCH(IF($B363="Robusta","Robusta",(IF($B363="","Arabica",$B363))&amp;" - "&amp;(IF($C363="","Commercial",$C363))),Variables!$B$1:$D$1,0),1))*(AV363/365))+(INDEX(Variables!$B$8:$D$8,IFERROR(MATCH(IF($B363="Robusta","Robusta",(IF($B363="","Arabica",$B363))&amp;" - "&amp;(IF($C363="","Commercial",$C363))),Variables!$B$1:$D$1,0),1))*L363/16.67)),""))</f>
        <v>194.7038423824651</v>
      </c>
      <c r="AX363" s="9"/>
      <c r="AY363" s="12"/>
      <c r="AZ363" s="10"/>
      <c r="BA363" s="9"/>
      <c r="BB363" s="10"/>
      <c r="BC363" s="9"/>
      <c r="BD363" s="9"/>
      <c r="BE363" s="9"/>
      <c r="BF363" s="9"/>
    </row>
    <row r="364" spans="1:58" x14ac:dyDescent="0.25">
      <c r="A364" s="9" t="s">
        <v>84</v>
      </c>
      <c r="B364" s="9" t="s">
        <v>85</v>
      </c>
      <c r="C364" s="9" t="s">
        <v>86</v>
      </c>
      <c r="D364" s="10">
        <v>45722</v>
      </c>
      <c r="E364" s="10">
        <v>45748</v>
      </c>
      <c r="F364" s="10">
        <v>45777</v>
      </c>
      <c r="G364" s="9">
        <v>3786770</v>
      </c>
      <c r="H364" s="9" t="str">
        <f t="shared" si="35"/>
        <v>Closed</v>
      </c>
      <c r="I364" s="9" t="str">
        <f t="shared" si="36"/>
        <v>All dates received</v>
      </c>
      <c r="J364" s="9" t="s">
        <v>112</v>
      </c>
      <c r="K364" s="9">
        <v>5223</v>
      </c>
      <c r="L364" s="11">
        <v>320</v>
      </c>
      <c r="M364" s="9" t="s">
        <v>334</v>
      </c>
      <c r="N364" s="9" t="s">
        <v>956</v>
      </c>
      <c r="O364" s="9"/>
      <c r="P364" s="9"/>
      <c r="Q364" s="11">
        <v>15</v>
      </c>
      <c r="R364" s="9" t="s">
        <v>90</v>
      </c>
      <c r="S364" s="9" t="s">
        <v>117</v>
      </c>
      <c r="T364" s="12">
        <f>IF($H364="Cancelled","",IFERROR(((Q364+INDEX(Variables!$B$6:$D$6,IFERROR(MATCH(IF($B364="Robusta","Robusta",(IF($B364="","Arabica",$B364))&amp;" - "&amp;(IF($C364="","Commercial",$C364))),Variables!$B$1:$D$1,0),1)))*22.0462)*(L364/16.67),""))</f>
        <v>129415.29377324534</v>
      </c>
      <c r="U364" s="10">
        <v>45734</v>
      </c>
      <c r="V364" s="9" t="str">
        <f t="shared" si="40"/>
        <v>Sent</v>
      </c>
      <c r="W364" s="10">
        <v>45748</v>
      </c>
      <c r="X364" s="9" t="str">
        <f t="shared" si="39"/>
        <v>Approved</v>
      </c>
      <c r="Y364" s="10"/>
      <c r="Z364" s="10">
        <f>IF($H364="Cancelled","",IFERROR(IF(F364="","",F364-Variables!$B$13),""))</f>
        <v>45762</v>
      </c>
      <c r="AA364" s="11">
        <f>IF($H364="Cancelled","",IFERROR(IF(W364="","",(AVERAGE(E364:F364)-W364)-Variables!$B$14),""))</f>
        <v>-15.5</v>
      </c>
      <c r="AB364" s="10">
        <v>45757</v>
      </c>
      <c r="AC364" s="11">
        <f>IF($H364="Cancelled","",IFERROR(IF(AB364="","",IF(AND(W364="",Y364=""),"",IF(Y364&gt;W364,Y364+Variables!$B$15+Variables!$B$16+Variables!$B$17-AB364,W364+Variables!$B$16+Variables!$B$17-AB364))),""))</f>
        <v>-1</v>
      </c>
      <c r="AD364" s="9" t="s">
        <v>954</v>
      </c>
      <c r="AE364" s="9" t="s">
        <v>957</v>
      </c>
      <c r="AF364" s="10"/>
      <c r="AG364" s="10"/>
      <c r="AH364" s="9"/>
      <c r="AI364" s="9">
        <v>252407628</v>
      </c>
      <c r="AJ364" s="9" t="s">
        <v>958</v>
      </c>
      <c r="AK364" s="10">
        <v>45773</v>
      </c>
      <c r="AL364" s="10">
        <v>45779</v>
      </c>
      <c r="AM364" s="10">
        <v>45793</v>
      </c>
      <c r="AN364" s="9" t="s">
        <v>95</v>
      </c>
      <c r="AO364" s="9"/>
      <c r="AP364" s="11">
        <f>IF($H364="Cancelled","",IFERROR(IF(OR(AK364="",AB364=""),"",(AB364+Variables!$B$18-AK364)),""))</f>
        <v>-9</v>
      </c>
      <c r="AQ364" s="11">
        <f>IF($H364="Cancelled","",IFERROR(IF(OR(AM364="",AK364=""),"",(AK364+Variables!$B$19)-AM364),""))</f>
        <v>-15</v>
      </c>
      <c r="AR364" s="12">
        <f>IF($H364="Cancelled","",IFERROR(T364*INDEX(Variables!$B$7:$D$7,IFERROR(MATCH(IF($B364="Robusta","Robusta",(IF($B364="","Arabica",$B364))&amp;" - "&amp;(IF($C364="","Commercial",$C364))),Variables!$B$1:$D$1,0),1))*(AQ364/365),""))</f>
        <v>-342.94450093747236</v>
      </c>
      <c r="AS364" s="12">
        <f>IF($H364="Cancelled","",IFERROR((T364*INDEX(Variables!$B$7:$D$7,IFERROR(MATCH(IF($B364="Robusta","Robusta",(IF($B364="","Arabica",$B364))&amp;" - "&amp;(IF($C364="","Commercial",$C364))),Variables!$B$1:$D$1,0),1))*IFERROR(IF(W364="","",(AVERAGE(E364:F364)-W364)-Variables!$B$14),"")/365)+(L364/16.67*INDEX(Variables!$B$8:$D$8,IFERROR(MATCH(IF($B364="Robusta","Robusta",(IF($B364="","Arabica",$B364))&amp;" - "&amp;(IF($C364="","Commercial",$C364))),Variables!$B$1:$D$1,0),1))*IFERROR(IF(W364="","",(AVERAGE(E364:F364)-W364)-Variables!$B$14),""))+(T364*INDEX(Variables!$B$9:$D$9,IFERROR(MATCH(IF($B364="Robusta","Robusta",(IF($B364="","Arabica",$B364))&amp;" - "&amp;(IF($C364="","Commercial",$C364))),Variables!$B$1:$D$1,0),1))*IFERROR(IF(W364="","",(AVERAGE(E364:F364)-W364)-Variables!$B$14),"")/365),""))</f>
        <v>-606.94457463784204</v>
      </c>
      <c r="AT364" s="12">
        <f>IF($H364="Cancelled","",IFERROR((T364*INDEX(Variables!$B$7:$D$7,IFERROR(MATCH(IF($B364="Robusta","Robusta",(IF($B364="","Arabica",$B364))&amp;" - "&amp;(IF($C364="","Commercial",$C364))),Variables!$B$1:$D$1,0),1))*AC364/365)+(L364/16.67*INDEX(Variables!$B$8:$D$8,IFERROR(MATCH(IF($B364="Robusta","Robusta",(IF($B364="","Arabica",$B364))&amp;" - "&amp;(IF($C364="","Commercial",$C364))),Variables!$B$1:$D$1,0),1))*AC364)+(T364*INDEX(Variables!$B$9:$D$9,IFERROR(MATCH(IF($B364="Robusta","Robusta",(IF($B364="","Arabica",$B364))&amp;" - "&amp;(IF($C364="","Commercial",$C364))),Variables!$B$1:$D$1,0),1))*AC364/365),""))</f>
        <v>-39.157714492764001</v>
      </c>
      <c r="AU364" s="12">
        <f>IF($H364="Cancelled","",IFERROR((T364*INDEX(Variables!$B$7:$D$7,IFERROR(MATCH(IF($B364="Robusta","Robusta",(IF($B364="","Arabica",$B364))&amp;" - "&amp;(IF($C364="","Commercial",$C364))),Variables!$B$1:$D$1,0),1))*AP364/365)+(L364/16.67*INDEX(Variables!$B$8:$D$8,IFERROR(MATCH(IF($B364="Robusta","Robusta",(IF($B364="","Arabica",$B364))&amp;" - "&amp;(IF($C364="","Commercial",$C364))),Variables!$B$1:$D$1,0),1))*AP364)+(T364*INDEX(Variables!$B$9:$D$9,IFERROR(MATCH(IF($B364="Robusta","Robusta",(IF($B364="","Arabica",$B364))&amp;" - "&amp;(IF($C364="","Commercial",$C364))),Variables!$B$1:$D$1,0),1))*AP364/365),""))</f>
        <v>-352.41943043487595</v>
      </c>
      <c r="AV364" s="11">
        <f t="shared" si="37"/>
        <v>4</v>
      </c>
      <c r="AW364" s="12">
        <f>IF($H364="Cancelled","",IFERROR(IF(AV364="","",(T364*INDEX(Variables!$B$7:$D$7,IFERROR(MATCH(IF($B364="Robusta","Robusta",(IF($B364="","Arabica",$B364))&amp;" - "&amp;(IF($C364="","Commercial",$C364))),Variables!$B$1:$D$1,0),1))*(AV364/365))+(T364*INDEX(Variables!$B$9:$D$9,IFERROR(MATCH(IF($B364="Robusta","Robusta",(IF($B364="","Arabica",$B364))&amp;" - "&amp;(IF($C364="","Commercial",$C364))),Variables!$B$1:$D$1,0),1))*(AV364/365))+(INDEX(Variables!$B$8:$D$8,IFERROR(MATCH(IF($B364="Robusta","Robusta",(IF($B364="","Arabica",$B364))&amp;" - "&amp;(IF($C364="","Commercial",$C364))),Variables!$B$1:$D$1,0),1))*L364/16.67)),""))</f>
        <v>108.630857971056</v>
      </c>
      <c r="AX364" s="9"/>
      <c r="AY364" s="12"/>
      <c r="AZ364" s="10"/>
      <c r="BA364" s="9"/>
      <c r="BB364" s="10"/>
      <c r="BC364" s="9"/>
      <c r="BD364" s="9"/>
      <c r="BE364" s="9"/>
      <c r="BF364" s="9"/>
    </row>
    <row r="365" spans="1:58" x14ac:dyDescent="0.25">
      <c r="A365" s="9" t="s">
        <v>84</v>
      </c>
      <c r="B365" s="9" t="s">
        <v>85</v>
      </c>
      <c r="C365" s="9" t="s">
        <v>86</v>
      </c>
      <c r="D365" s="10">
        <v>45722</v>
      </c>
      <c r="E365" s="10">
        <v>45839</v>
      </c>
      <c r="F365" s="10">
        <v>45869</v>
      </c>
      <c r="G365" s="9">
        <v>3786824</v>
      </c>
      <c r="H365" s="9" t="str">
        <f t="shared" si="35"/>
        <v>Closed</v>
      </c>
      <c r="I365" s="9" t="str">
        <f t="shared" si="36"/>
        <v>All dates received</v>
      </c>
      <c r="J365" s="9" t="s">
        <v>112</v>
      </c>
      <c r="K365" s="9">
        <v>24153</v>
      </c>
      <c r="L365" s="11">
        <v>320</v>
      </c>
      <c r="M365" s="9" t="s">
        <v>959</v>
      </c>
      <c r="N365" s="9" t="s">
        <v>960</v>
      </c>
      <c r="O365" s="9"/>
      <c r="P365" s="9"/>
      <c r="Q365" s="11">
        <v>5</v>
      </c>
      <c r="R365" s="9" t="s">
        <v>90</v>
      </c>
      <c r="S365" s="9" t="s">
        <v>117</v>
      </c>
      <c r="T365" s="12">
        <f>IF($H365="Cancelled","",IFERROR(((Q365+INDEX(Variables!$B$6:$D$6,IFERROR(MATCH(IF($B365="Robusta","Robusta",(IF($B365="","Arabica",$B365))&amp;" - "&amp;(IF($C365="","Commercial",$C365))),Variables!$B$1:$D$1,0),1)))*22.0462)*(L365/16.67),""))</f>
        <v>125183.26977804437</v>
      </c>
      <c r="U365" s="10">
        <v>45786</v>
      </c>
      <c r="V365" s="9" t="str">
        <f t="shared" si="40"/>
        <v>Sent</v>
      </c>
      <c r="W365" s="10">
        <v>45793</v>
      </c>
      <c r="X365" s="9" t="str">
        <f t="shared" si="39"/>
        <v>Approved</v>
      </c>
      <c r="Y365" s="10"/>
      <c r="Z365" s="10">
        <f>IF($H365="Cancelled","",IFERROR(IF(F365="","",F365-Variables!$B$13),""))</f>
        <v>45854</v>
      </c>
      <c r="AA365" s="11">
        <f>IF($H365="Cancelled","",IFERROR(IF(W365="","",(AVERAGE(E365:F365)-W365)-Variables!$B$14),""))</f>
        <v>31</v>
      </c>
      <c r="AB365" s="10"/>
      <c r="AC365" s="11" t="str">
        <f>IF($H365="Cancelled","",IFERROR(IF(AB365="","",IF(AND(W365="",Y365=""),"",IF(Y365&gt;W365,Y365+Variables!$B$15+Variables!$B$16+Variables!$B$17-AB365,W365+Variables!$B$16+Variables!$B$17-AB365))),""))</f>
        <v/>
      </c>
      <c r="AD365" s="9" t="s">
        <v>165</v>
      </c>
      <c r="AE365" s="9" t="s">
        <v>733</v>
      </c>
      <c r="AF365" s="10"/>
      <c r="AG365" s="10"/>
      <c r="AH365" s="9"/>
      <c r="AI365" s="9" t="s">
        <v>961</v>
      </c>
      <c r="AJ365" s="9" t="s">
        <v>962</v>
      </c>
      <c r="AK365" s="10">
        <v>45834</v>
      </c>
      <c r="AL365" s="10">
        <v>45839</v>
      </c>
      <c r="AM365" s="10">
        <v>45856</v>
      </c>
      <c r="AN365" s="9" t="s">
        <v>963</v>
      </c>
      <c r="AO365" s="9"/>
      <c r="AP365" s="11" t="str">
        <f>IF($H365="Cancelled","",IFERROR(IF(OR(AK365="",AB365=""),"",(AB365+Variables!$B$18-AK365)),""))</f>
        <v/>
      </c>
      <c r="AQ365" s="11">
        <f>IF($H365="Cancelled","",IFERROR(IF(OR(AM365="",AK365=""),"",(AK365+Variables!$B$19)-AM365),""))</f>
        <v>-17</v>
      </c>
      <c r="AR365" s="12">
        <f>IF($H365="Cancelled","",IFERROR(T365*INDEX(Variables!$B$7:$D$7,IFERROR(MATCH(IF($B365="Robusta","Robusta",(IF($B365="","Arabica",$B365))&amp;" - "&amp;(IF($C365="","Commercial",$C365))),Variables!$B$1:$D$1,0),1))*(AQ365/365),""))</f>
        <v>-375.96047905257763</v>
      </c>
      <c r="AS365" s="12">
        <f>IF($H365="Cancelled","",IFERROR((T365*INDEX(Variables!$B$7:$D$7,IFERROR(MATCH(IF($B365="Robusta","Robusta",(IF($B365="","Arabica",$B365))&amp;" - "&amp;(IF($C365="","Commercial",$C365))),Variables!$B$1:$D$1,0),1))*IFERROR(IF(W365="","",(AVERAGE(E365:F365)-W365)-Variables!$B$14),"")/365)+(L365/16.67*INDEX(Variables!$B$8:$D$8,IFERROR(MATCH(IF($B365="Robusta","Robusta",(IF($B365="","Arabica",$B365))&amp;" - "&amp;(IF($C365="","Commercial",$C365))),Variables!$B$1:$D$1,0),1))*IFERROR(IF(W365="","",(AVERAGE(E365:F365)-W365)-Variables!$B$14),""))+(T365*INDEX(Variables!$B$9:$D$9,IFERROR(MATCH(IF($B365="Robusta","Robusta",(IF($B365="","Arabica",$B365))&amp;" - "&amp;(IF($C365="","Commercial",$C365))),Variables!$B$1:$D$1,0),1))*IFERROR(IF(W365="","",(AVERAGE(E365:F365)-W365)-Variables!$B$14),"")/365),""))</f>
        <v>1190.413375918075</v>
      </c>
      <c r="AT365" s="12" t="str">
        <f>IF($H365="Cancelled","",IFERROR((T365*INDEX(Variables!$B$7:$D$7,IFERROR(MATCH(IF($B365="Robusta","Robusta",(IF($B365="","Arabica",$B365))&amp;" - "&amp;(IF($C365="","Commercial",$C365))),Variables!$B$1:$D$1,0),1))*AC365/365)+(L365/16.67*INDEX(Variables!$B$8:$D$8,IFERROR(MATCH(IF($B365="Robusta","Robusta",(IF($B365="","Arabica",$B365))&amp;" - "&amp;(IF($C365="","Commercial",$C365))),Variables!$B$1:$D$1,0),1))*AC365)+(T365*INDEX(Variables!$B$9:$D$9,IFERROR(MATCH(IF($B365="Robusta","Robusta",(IF($B365="","Arabica",$B365))&amp;" - "&amp;(IF($C365="","Commercial",$C365))),Variables!$B$1:$D$1,0),1))*AC365/365),""))</f>
        <v/>
      </c>
      <c r="AU365" s="12" t="str">
        <f>IF($H365="Cancelled","",IFERROR((T365*INDEX(Variables!$B$7:$D$7,IFERROR(MATCH(IF($B365="Robusta","Robusta",(IF($B365="","Arabica",$B365))&amp;" - "&amp;(IF($C365="","Commercial",$C365))),Variables!$B$1:$D$1,0),1))*AP365/365)+(L365/16.67*INDEX(Variables!$B$8:$D$8,IFERROR(MATCH(IF($B365="Robusta","Robusta",(IF($B365="","Arabica",$B365))&amp;" - "&amp;(IF($C365="","Commercial",$C365))),Variables!$B$1:$D$1,0),1))*AP365)+(T365*INDEX(Variables!$B$9:$D$9,IFERROR(MATCH(IF($B365="Robusta","Robusta",(IF($B365="","Arabica",$B365))&amp;" - "&amp;(IF($C365="","Commercial",$C365))),Variables!$B$1:$D$1,0),1))*AP365/365),""))</f>
        <v/>
      </c>
      <c r="AV365" s="11">
        <f t="shared" si="37"/>
        <v>35</v>
      </c>
      <c r="AW365" s="12">
        <f>IF($H365="Cancelled","",IFERROR(IF(AV365="","",(T365*INDEX(Variables!$B$7:$D$7,IFERROR(MATCH(IF($B365="Robusta","Robusta",(IF($B365="","Arabica",$B365))&amp;" - "&amp;(IF($C365="","Commercial",$C365))),Variables!$B$1:$D$1,0),1))*(AV365/365))+(T365*INDEX(Variables!$B$9:$D$9,IFERROR(MATCH(IF($B365="Robusta","Robusta",(IF($B365="","Arabica",$B365))&amp;" - "&amp;(IF($C365="","Commercial",$C365))),Variables!$B$1:$D$1,0),1))*(AV365/365))+(INDEX(Variables!$B$8:$D$8,IFERROR(MATCH(IF($B365="Robusta","Robusta",(IF($B365="","Arabica",$B365))&amp;" - "&amp;(IF($C365="","Commercial",$C365))),Variables!$B$1:$D$1,0),1))*L365/16.67)),""))</f>
        <v>800.01510184298775</v>
      </c>
      <c r="AX365" s="9"/>
      <c r="AY365" s="12"/>
      <c r="AZ365" s="10"/>
      <c r="BA365" s="9"/>
      <c r="BB365" s="10"/>
      <c r="BC365" s="9"/>
      <c r="BD365" s="9"/>
      <c r="BE365" s="9"/>
      <c r="BF365" s="9"/>
    </row>
    <row r="366" spans="1:58" x14ac:dyDescent="0.25">
      <c r="A366" s="9" t="s">
        <v>84</v>
      </c>
      <c r="B366" s="9" t="s">
        <v>85</v>
      </c>
      <c r="C366" s="9" t="s">
        <v>86</v>
      </c>
      <c r="D366" s="10">
        <v>45729</v>
      </c>
      <c r="E366" s="10">
        <v>45748</v>
      </c>
      <c r="F366" s="10">
        <v>45777</v>
      </c>
      <c r="G366" s="9">
        <v>3786829</v>
      </c>
      <c r="H366" s="9" t="str">
        <f t="shared" si="35"/>
        <v>Closed</v>
      </c>
      <c r="I366" s="9" t="str">
        <f t="shared" si="36"/>
        <v>All dates received</v>
      </c>
      <c r="J366" s="9" t="s">
        <v>240</v>
      </c>
      <c r="K366" s="9">
        <v>5274</v>
      </c>
      <c r="L366" s="11">
        <v>320</v>
      </c>
      <c r="M366" s="9" t="s">
        <v>241</v>
      </c>
      <c r="N366" s="9" t="s">
        <v>242</v>
      </c>
      <c r="O366" s="9"/>
      <c r="P366" s="9"/>
      <c r="Q366" s="11">
        <v>-90</v>
      </c>
      <c r="R366" s="9" t="s">
        <v>90</v>
      </c>
      <c r="S366" s="9" t="s">
        <v>964</v>
      </c>
      <c r="T366" s="12">
        <f>IF($H366="Cancelled","",IFERROR(((Q366+INDEX(Variables!$B$6:$D$6,IFERROR(MATCH(IF($B366="Robusta","Robusta",(IF($B366="","Arabica",$B366))&amp;" - "&amp;(IF($C366="","Commercial",$C366))),Variables!$B$1:$D$1,0),1)))*22.0462)*(L366/16.67),""))</f>
        <v>84979.041823635256</v>
      </c>
      <c r="U366" s="10">
        <v>45764</v>
      </c>
      <c r="V366" s="9" t="str">
        <f t="shared" si="40"/>
        <v>Sent</v>
      </c>
      <c r="W366" s="10">
        <v>45775</v>
      </c>
      <c r="X366" s="9" t="str">
        <f t="shared" ref="X366:X395" si="41">IF(ISNUMBER(W366),"Approved","")</f>
        <v>Approved</v>
      </c>
      <c r="Y366" s="10"/>
      <c r="Z366" s="10">
        <f>IF($H366="Cancelled","",IFERROR(IF(F366="","",F366-Variables!$B$13),""))</f>
        <v>45762</v>
      </c>
      <c r="AA366" s="11">
        <f>IF($H366="Cancelled","",IFERROR(IF(W366="","",(AVERAGE(E366:F366)-W366)-Variables!$B$14),""))</f>
        <v>-42.5</v>
      </c>
      <c r="AB366" s="10">
        <v>45791</v>
      </c>
      <c r="AC366" s="11">
        <f>IF($H366="Cancelled","",IFERROR(IF(AB366="","",IF(AND(W366="",Y366=""),"",IF(Y366&gt;W366,Y366+Variables!$B$15+Variables!$B$16+Variables!$B$17-AB366,W366+Variables!$B$16+Variables!$B$17-AB366))),""))</f>
        <v>-8</v>
      </c>
      <c r="AD366" s="9" t="s">
        <v>107</v>
      </c>
      <c r="AE366" s="9" t="s">
        <v>965</v>
      </c>
      <c r="AF366" s="10"/>
      <c r="AG366" s="10"/>
      <c r="AH366" s="9"/>
      <c r="AI366" s="9" t="s">
        <v>966</v>
      </c>
      <c r="AJ366" s="9" t="s">
        <v>8</v>
      </c>
      <c r="AK366" s="10">
        <v>45799</v>
      </c>
      <c r="AL366" s="10">
        <v>45803</v>
      </c>
      <c r="AM366" s="10">
        <v>45806</v>
      </c>
      <c r="AN366" s="9" t="s">
        <v>95</v>
      </c>
      <c r="AO366" s="9"/>
      <c r="AP366" s="11">
        <f>IF($H366="Cancelled","",IFERROR(IF(OR(AK366="",AB366=""),"",(AB366+Variables!$B$18-AK366)),""))</f>
        <v>-1</v>
      </c>
      <c r="AQ366" s="11">
        <f>IF($H366="Cancelled","",IFERROR(IF(OR(AM366="",AK366=""),"",(AK366+Variables!$B$19)-AM366),""))</f>
        <v>-2</v>
      </c>
      <c r="AR366" s="12">
        <f>IF($H366="Cancelled","",IFERROR(T366*INDEX(Variables!$B$7:$D$7,IFERROR(MATCH(IF($B366="Robusta","Robusta",(IF($B366="","Arabica",$B366))&amp;" - "&amp;(IF($C366="","Commercial",$C366))),Variables!$B$1:$D$1,0),1))*(AQ366/365),""))</f>
        <v>-30.025400387287743</v>
      </c>
      <c r="AS366" s="12">
        <f>IF($H366="Cancelled","",IFERROR((T366*INDEX(Variables!$B$7:$D$7,IFERROR(MATCH(IF($B366="Robusta","Robusta",(IF($B366="","Arabica",$B366))&amp;" - "&amp;(IF($C366="","Commercial",$C366))),Variables!$B$1:$D$1,0),1))*IFERROR(IF(W366="","",(AVERAGE(E366:F366)-W366)-Variables!$B$14),"")/365)+(L366/16.67*INDEX(Variables!$B$8:$D$8,IFERROR(MATCH(IF($B366="Robusta","Robusta",(IF($B366="","Arabica",$B366))&amp;" - "&amp;(IF($C366="","Commercial",$C366))),Variables!$B$1:$D$1,0),1))*IFERROR(IF(W366="","",(AVERAGE(E366:F366)-W366)-Variables!$B$14),""))+(T366*INDEX(Variables!$B$9:$D$9,IFERROR(MATCH(IF($B366="Robusta","Robusta",(IF($B366="","Arabica",$B366))&amp;" - "&amp;(IF($C366="","Commercial",$C366))),Variables!$B$1:$D$1,0),1))*IFERROR(IF(W366="","",(AVERAGE(E366:F366)-W366)-Variables!$B$14),"")/365),""))</f>
        <v>-1326.2653220446305</v>
      </c>
      <c r="AT366" s="12">
        <f>IF($H366="Cancelled","",IFERROR((T366*INDEX(Variables!$B$7:$D$7,IFERROR(MATCH(IF($B366="Robusta","Robusta",(IF($B366="","Arabica",$B366))&amp;" - "&amp;(IF($C366="","Commercial",$C366))),Variables!$B$1:$D$1,0),1))*AC366/365)+(L366/16.67*INDEX(Variables!$B$8:$D$8,IFERROR(MATCH(IF($B366="Robusta","Robusta",(IF($B366="","Arabica",$B366))&amp;" - "&amp;(IF($C366="","Commercial",$C366))),Variables!$B$1:$D$1,0),1))*AC366)+(T366*INDEX(Variables!$B$9:$D$9,IFERROR(MATCH(IF($B366="Robusta","Robusta",(IF($B366="","Arabica",$B366))&amp;" - "&amp;(IF($C366="","Commercial",$C366))),Variables!$B$1:$D$1,0),1))*AC366/365),""))</f>
        <v>-249.64994297310687</v>
      </c>
      <c r="AU366" s="12">
        <f>IF($H366="Cancelled","",IFERROR((T366*INDEX(Variables!$B$7:$D$7,IFERROR(MATCH(IF($B366="Robusta","Robusta",(IF($B366="","Arabica",$B366))&amp;" - "&amp;(IF($C366="","Commercial",$C366))),Variables!$B$1:$D$1,0),1))*AP366/365)+(L366/16.67*INDEX(Variables!$B$8:$D$8,IFERROR(MATCH(IF($B366="Robusta","Robusta",(IF($B366="","Arabica",$B366))&amp;" - "&amp;(IF($C366="","Commercial",$C366))),Variables!$B$1:$D$1,0),1))*AP366)+(T366*INDEX(Variables!$B$9:$D$9,IFERROR(MATCH(IF($B366="Robusta","Robusta",(IF($B366="","Arabica",$B366))&amp;" - "&amp;(IF($C366="","Commercial",$C366))),Variables!$B$1:$D$1,0),1))*AP366/365),""))</f>
        <v>-31.206242871638359</v>
      </c>
      <c r="AV366" s="11">
        <f t="shared" si="37"/>
        <v>-22</v>
      </c>
      <c r="AW366" s="12">
        <f>IF($H366="Cancelled","",IFERROR(IF(AV366="","",(T366*INDEX(Variables!$B$7:$D$7,IFERROR(MATCH(IF($B366="Robusta","Robusta",(IF($B366="","Arabica",$B366))&amp;" - "&amp;(IF($C366="","Commercial",$C366))),Variables!$B$1:$D$1,0),1))*(AV366/365))+(T366*INDEX(Variables!$B$9:$D$9,IFERROR(MATCH(IF($B366="Robusta","Robusta",(IF($B366="","Arabica",$B366))&amp;" - "&amp;(IF($C366="","Commercial",$C366))),Variables!$B$1:$D$1,0),1))*(AV366/365))+(INDEX(Variables!$B$8:$D$8,IFERROR(MATCH(IF($B366="Robusta","Robusta",(IF($B366="","Arabica",$B366))&amp;" - "&amp;(IF($C366="","Commercial",$C366))),Variables!$B$1:$D$1,0),1))*L366/16.67)),""))</f>
        <v>-318.53734317604392</v>
      </c>
      <c r="AX366" s="9"/>
      <c r="AY366" s="12"/>
      <c r="AZ366" s="10"/>
      <c r="BA366" s="9"/>
      <c r="BB366" s="10"/>
      <c r="BC366" s="9"/>
      <c r="BD366" s="9"/>
      <c r="BE366" s="9"/>
      <c r="BF366" s="9"/>
    </row>
    <row r="367" spans="1:58" x14ac:dyDescent="0.25">
      <c r="A367" s="9" t="s">
        <v>84</v>
      </c>
      <c r="B367" s="9" t="s">
        <v>85</v>
      </c>
      <c r="C367" s="9" t="s">
        <v>86</v>
      </c>
      <c r="D367" s="10">
        <v>45729</v>
      </c>
      <c r="E367" s="10">
        <v>45778</v>
      </c>
      <c r="F367" s="10">
        <v>45808</v>
      </c>
      <c r="G367" s="9">
        <v>3786827</v>
      </c>
      <c r="H367" s="9" t="str">
        <f t="shared" si="35"/>
        <v>Closed</v>
      </c>
      <c r="I367" s="9" t="str">
        <f t="shared" si="36"/>
        <v>All dates received</v>
      </c>
      <c r="J367" s="9" t="s">
        <v>537</v>
      </c>
      <c r="K367" s="9">
        <v>5254</v>
      </c>
      <c r="L367" s="11">
        <v>1080</v>
      </c>
      <c r="M367" s="9" t="s">
        <v>722</v>
      </c>
      <c r="N367" s="9" t="s">
        <v>387</v>
      </c>
      <c r="O367" s="9"/>
      <c r="P367" s="9"/>
      <c r="Q367" s="11">
        <v>-38</v>
      </c>
      <c r="R367" s="9" t="s">
        <v>90</v>
      </c>
      <c r="S367" s="9" t="s">
        <v>839</v>
      </c>
      <c r="T367" s="12">
        <f>IF($H367="Cancelled","",IFERROR(((Q367+INDEX(Variables!$B$6:$D$6,IFERROR(MATCH(IF($B367="Robusta","Robusta",(IF($B367="","Arabica",$B367))&amp;" - "&amp;(IF($C367="","Commercial",$C367))),Variables!$B$1:$D$1,0),1)))*22.0462)*(L367/16.67),""))</f>
        <v>361076.28727054578</v>
      </c>
      <c r="U367" s="10">
        <v>45740</v>
      </c>
      <c r="V367" s="9" t="str">
        <f t="shared" si="40"/>
        <v>Sent</v>
      </c>
      <c r="W367" s="10">
        <v>45747</v>
      </c>
      <c r="X367" s="9" t="str">
        <f t="shared" si="41"/>
        <v>Approved</v>
      </c>
      <c r="Y367" s="10"/>
      <c r="Z367" s="10">
        <f>IF($H367="Cancelled","",IFERROR(IF(F367="","",F367-Variables!$B$13),""))</f>
        <v>45793</v>
      </c>
      <c r="AA367" s="11">
        <f>IF($H367="Cancelled","",IFERROR(IF(W367="","",(AVERAGE(E367:F367)-W367)-Variables!$B$14),""))</f>
        <v>16</v>
      </c>
      <c r="AB367" s="10">
        <v>45776</v>
      </c>
      <c r="AC367" s="11">
        <f>IF($H367="Cancelled","",IFERROR(IF(AB367="","",IF(AND(W367="",Y367=""),"",IF(Y367&gt;W367,Y367+Variables!$B$15+Variables!$B$16+Variables!$B$17-AB367,W367+Variables!$B$16+Variables!$B$17-AB367))),""))</f>
        <v>-21</v>
      </c>
      <c r="AD367" s="9" t="s">
        <v>163</v>
      </c>
      <c r="AE367" s="9" t="s">
        <v>770</v>
      </c>
      <c r="AF367" s="10"/>
      <c r="AG367" s="10"/>
      <c r="AH367" s="9"/>
      <c r="AI367" s="9">
        <v>252780540</v>
      </c>
      <c r="AJ367" s="9" t="s">
        <v>8</v>
      </c>
      <c r="AK367" s="10">
        <v>45782</v>
      </c>
      <c r="AL367" s="10">
        <v>45785</v>
      </c>
      <c r="AM367" s="10">
        <v>45798</v>
      </c>
      <c r="AN367" s="9" t="s">
        <v>95</v>
      </c>
      <c r="AO367" s="9"/>
      <c r="AP367" s="11">
        <f>IF($H367="Cancelled","",IFERROR(IF(OR(AK367="",AB367=""),"",(AB367+Variables!$B$18-AK367)),""))</f>
        <v>1</v>
      </c>
      <c r="AQ367" s="11">
        <f>IF($H367="Cancelled","",IFERROR(IF(OR(AM367="",AK367=""),"",(AK367+Variables!$B$19)-AM367),""))</f>
        <v>-11</v>
      </c>
      <c r="AR367" s="12">
        <f>IF($H367="Cancelled","",IFERROR(T367*INDEX(Variables!$B$7:$D$7,IFERROR(MATCH(IF($B367="Robusta","Robusta",(IF($B367="","Arabica",$B367))&amp;" - "&amp;(IF($C367="","Commercial",$C367))),Variables!$B$1:$D$1,0),1))*(AQ367/365),""))</f>
        <v>-701.67925227782098</v>
      </c>
      <c r="AS367" s="12">
        <f>IF($H367="Cancelled","",IFERROR((T367*INDEX(Variables!$B$7:$D$7,IFERROR(MATCH(IF($B367="Robusta","Robusta",(IF($B367="","Arabica",$B367))&amp;" - "&amp;(IF($C367="","Commercial",$C367))),Variables!$B$1:$D$1,0),1))*IFERROR(IF(W367="","",(AVERAGE(E367:F367)-W367)-Variables!$B$14),"")/365)+(L367/16.67*INDEX(Variables!$B$8:$D$8,IFERROR(MATCH(IF($B367="Robusta","Robusta",(IF($B367="","Arabica",$B367))&amp;" - "&amp;(IF($C367="","Commercial",$C367))),Variables!$B$1:$D$1,0),1))*IFERROR(IF(W367="","",(AVERAGE(E367:F367)-W367)-Variables!$B$14),""))+(T367*INDEX(Variables!$B$9:$D$9,IFERROR(MATCH(IF($B367="Robusta","Robusta",(IF($B367="","Arabica",$B367))&amp;" - "&amp;(IF($C367="","Commercial",$C367))),Variables!$B$1:$D$1,0),1))*IFERROR(IF(W367="","",(AVERAGE(E367:F367)-W367)-Variables!$B$14),"")/365),""))</f>
        <v>1897.7821847077171</v>
      </c>
      <c r="AT367" s="12">
        <f>IF($H367="Cancelled","",IFERROR((T367*INDEX(Variables!$B$7:$D$7,IFERROR(MATCH(IF($B367="Robusta","Robusta",(IF($B367="","Arabica",$B367))&amp;" - "&amp;(IF($C367="","Commercial",$C367))),Variables!$B$1:$D$1,0),1))*AC367/365)+(L367/16.67*INDEX(Variables!$B$8:$D$8,IFERROR(MATCH(IF($B367="Robusta","Robusta",(IF($B367="","Arabica",$B367))&amp;" - "&amp;(IF($C367="","Commercial",$C367))),Variables!$B$1:$D$1,0),1))*AC367)+(T367*INDEX(Variables!$B$9:$D$9,IFERROR(MATCH(IF($B367="Robusta","Robusta",(IF($B367="","Arabica",$B367))&amp;" - "&amp;(IF($C367="","Commercial",$C367))),Variables!$B$1:$D$1,0),1))*AC367/365),""))</f>
        <v>-2490.8391174288781</v>
      </c>
      <c r="AU367" s="12">
        <f>IF($H367="Cancelled","",IFERROR((T367*INDEX(Variables!$B$7:$D$7,IFERROR(MATCH(IF($B367="Robusta","Robusta",(IF($B367="","Arabica",$B367))&amp;" - "&amp;(IF($C367="","Commercial",$C367))),Variables!$B$1:$D$1,0),1))*AP367/365)+(L367/16.67*INDEX(Variables!$B$8:$D$8,IFERROR(MATCH(IF($B367="Robusta","Robusta",(IF($B367="","Arabica",$B367))&amp;" - "&amp;(IF($C367="","Commercial",$C367))),Variables!$B$1:$D$1,0),1))*AP367)+(T367*INDEX(Variables!$B$9:$D$9,IFERROR(MATCH(IF($B367="Robusta","Robusta",(IF($B367="","Arabica",$B367))&amp;" - "&amp;(IF($C367="","Commercial",$C367))),Variables!$B$1:$D$1,0),1))*AP367/365),""))</f>
        <v>118.61138654423232</v>
      </c>
      <c r="AV367" s="11">
        <f t="shared" si="37"/>
        <v>26</v>
      </c>
      <c r="AW367" s="12">
        <f>IF($H367="Cancelled","",IFERROR(IF(AV367="","",(T367*INDEX(Variables!$B$7:$D$7,IFERROR(MATCH(IF($B367="Robusta","Robusta",(IF($B367="","Arabica",$B367))&amp;" - "&amp;(IF($C367="","Commercial",$C367))),Variables!$B$1:$D$1,0),1))*(AV367/365))+(T367*INDEX(Variables!$B$9:$D$9,IFERROR(MATCH(IF($B367="Robusta","Robusta",(IF($B367="","Arabica",$B367))&amp;" - "&amp;(IF($C367="","Commercial",$C367))),Variables!$B$1:$D$1,0),1))*(AV367/365))+(INDEX(Variables!$B$8:$D$8,IFERROR(MATCH(IF($B367="Robusta","Robusta",(IF($B367="","Arabica",$B367))&amp;" - "&amp;(IF($C367="","Commercial",$C367))),Variables!$B$1:$D$1,0),1))*L367/16.67)),""))</f>
        <v>1733.8960501500401</v>
      </c>
      <c r="AX367" s="9"/>
      <c r="AY367" s="12"/>
      <c r="AZ367" s="10"/>
      <c r="BA367" s="9"/>
      <c r="BB367" s="10"/>
      <c r="BC367" s="9"/>
      <c r="BD367" s="9"/>
      <c r="BE367" s="9"/>
      <c r="BF367" s="9"/>
    </row>
    <row r="368" spans="1:58" x14ac:dyDescent="0.25">
      <c r="A368" s="9" t="s">
        <v>84</v>
      </c>
      <c r="B368" s="9" t="s">
        <v>85</v>
      </c>
      <c r="C368" s="9" t="s">
        <v>86</v>
      </c>
      <c r="D368" s="10">
        <v>45729</v>
      </c>
      <c r="E368" s="10">
        <v>45809</v>
      </c>
      <c r="F368" s="10">
        <v>45838</v>
      </c>
      <c r="G368" s="9">
        <v>3786828</v>
      </c>
      <c r="H368" s="9" t="str">
        <f t="shared" si="35"/>
        <v>Closed</v>
      </c>
      <c r="I368" s="9" t="str">
        <f t="shared" si="36"/>
        <v>All dates received</v>
      </c>
      <c r="J368" s="9" t="s">
        <v>537</v>
      </c>
      <c r="K368" s="9">
        <v>5284</v>
      </c>
      <c r="L368" s="11">
        <v>1080</v>
      </c>
      <c r="M368" s="9" t="s">
        <v>722</v>
      </c>
      <c r="N368" s="9" t="s">
        <v>387</v>
      </c>
      <c r="O368" s="9"/>
      <c r="P368" s="9"/>
      <c r="Q368" s="11">
        <v>-38</v>
      </c>
      <c r="R368" s="9" t="s">
        <v>90</v>
      </c>
      <c r="S368" s="9" t="s">
        <v>839</v>
      </c>
      <c r="T368" s="12">
        <f>IF($H368="Cancelled","",IFERROR(((Q368+INDEX(Variables!$B$6:$D$6,IFERROR(MATCH(IF($B368="Robusta","Robusta",(IF($B368="","Arabica",$B368))&amp;" - "&amp;(IF($C368="","Commercial",$C368))),Variables!$B$1:$D$1,0),1)))*22.0462)*(L368/16.67),""))</f>
        <v>361076.28727054578</v>
      </c>
      <c r="U368" s="10">
        <v>45790</v>
      </c>
      <c r="V368" s="9" t="str">
        <f t="shared" si="40"/>
        <v>Sent</v>
      </c>
      <c r="W368" s="10">
        <v>45797</v>
      </c>
      <c r="X368" s="9" t="str">
        <f t="shared" si="41"/>
        <v>Approved</v>
      </c>
      <c r="Y368" s="10"/>
      <c r="Z368" s="10">
        <f>IF($H368="Cancelled","",IFERROR(IF(F368="","",F368-Variables!$B$13),""))</f>
        <v>45823</v>
      </c>
      <c r="AA368" s="11">
        <f>IF($H368="Cancelled","",IFERROR(IF(W368="","",(AVERAGE(E368:F368)-W368)-Variables!$B$14),""))</f>
        <v>-3.5</v>
      </c>
      <c r="AB368" s="10">
        <v>45806</v>
      </c>
      <c r="AC368" s="11">
        <f>IF($H368="Cancelled","",IFERROR(IF(AB368="","",IF(AND(W368="",Y368=""),"",IF(Y368&gt;W368,Y368+Variables!$B$15+Variables!$B$16+Variables!$B$17-AB368,W368+Variables!$B$16+Variables!$B$17-AB368))),""))</f>
        <v>-1</v>
      </c>
      <c r="AD368" s="9" t="s">
        <v>163</v>
      </c>
      <c r="AE368" s="9" t="s">
        <v>950</v>
      </c>
      <c r="AF368" s="10"/>
      <c r="AG368" s="10"/>
      <c r="AH368" s="9"/>
      <c r="AI368" s="9">
        <v>253664437</v>
      </c>
      <c r="AJ368" s="9" t="s">
        <v>8</v>
      </c>
      <c r="AK368" s="10">
        <v>45816</v>
      </c>
      <c r="AL368" s="10">
        <v>45820</v>
      </c>
      <c r="AM368" s="10">
        <v>45820</v>
      </c>
      <c r="AN368" s="9" t="s">
        <v>95</v>
      </c>
      <c r="AO368" s="9"/>
      <c r="AP368" s="11">
        <f>IF($H368="Cancelled","",IFERROR(IF(OR(AK368="",AB368=""),"",(AB368+Variables!$B$18-AK368)),""))</f>
        <v>-3</v>
      </c>
      <c r="AQ368" s="11">
        <f>IF($H368="Cancelled","",IFERROR(IF(OR(AM368="",AK368=""),"",(AK368+Variables!$B$19)-AM368),""))</f>
        <v>1</v>
      </c>
      <c r="AR368" s="12">
        <f>IF($H368="Cancelled","",IFERROR(T368*INDEX(Variables!$B$7:$D$7,IFERROR(MATCH(IF($B368="Robusta","Robusta",(IF($B368="","Arabica",$B368))&amp;" - "&amp;(IF($C368="","Commercial",$C368))),Variables!$B$1:$D$1,0),1))*(AQ368/365),""))</f>
        <v>63.789022934347365</v>
      </c>
      <c r="AS368" s="12">
        <f>IF($H368="Cancelled","",IFERROR((T368*INDEX(Variables!$B$7:$D$7,IFERROR(MATCH(IF($B368="Robusta","Robusta",(IF($B368="","Arabica",$B368))&amp;" - "&amp;(IF($C368="","Commercial",$C368))),Variables!$B$1:$D$1,0),1))*IFERROR(IF(W368="","",(AVERAGE(E368:F368)-W368)-Variables!$B$14),"")/365)+(L368/16.67*INDEX(Variables!$B$8:$D$8,IFERROR(MATCH(IF($B368="Robusta","Robusta",(IF($B368="","Arabica",$B368))&amp;" - "&amp;(IF($C368="","Commercial",$C368))),Variables!$B$1:$D$1,0),1))*IFERROR(IF(W368="","",(AVERAGE(E368:F368)-W368)-Variables!$B$14),""))+(T368*INDEX(Variables!$B$9:$D$9,IFERROR(MATCH(IF($B368="Robusta","Robusta",(IF($B368="","Arabica",$B368))&amp;" - "&amp;(IF($C368="","Commercial",$C368))),Variables!$B$1:$D$1,0),1))*IFERROR(IF(W368="","",(AVERAGE(E368:F368)-W368)-Variables!$B$14),"")/365),""))</f>
        <v>-415.13985290481304</v>
      </c>
      <c r="AT368" s="12">
        <f>IF($H368="Cancelled","",IFERROR((T368*INDEX(Variables!$B$7:$D$7,IFERROR(MATCH(IF($B368="Robusta","Robusta",(IF($B368="","Arabica",$B368))&amp;" - "&amp;(IF($C368="","Commercial",$C368))),Variables!$B$1:$D$1,0),1))*AC368/365)+(L368/16.67*INDEX(Variables!$B$8:$D$8,IFERROR(MATCH(IF($B368="Robusta","Robusta",(IF($B368="","Arabica",$B368))&amp;" - "&amp;(IF($C368="","Commercial",$C368))),Variables!$B$1:$D$1,0),1))*AC368)+(T368*INDEX(Variables!$B$9:$D$9,IFERROR(MATCH(IF($B368="Robusta","Robusta",(IF($B368="","Arabica",$B368))&amp;" - "&amp;(IF($C368="","Commercial",$C368))),Variables!$B$1:$D$1,0),1))*AC368/365),""))</f>
        <v>-118.61138654423232</v>
      </c>
      <c r="AU368" s="12">
        <f>IF($H368="Cancelled","",IFERROR((T368*INDEX(Variables!$B$7:$D$7,IFERROR(MATCH(IF($B368="Robusta","Robusta",(IF($B368="","Arabica",$B368))&amp;" - "&amp;(IF($C368="","Commercial",$C368))),Variables!$B$1:$D$1,0),1))*AP368/365)+(L368/16.67*INDEX(Variables!$B$8:$D$8,IFERROR(MATCH(IF($B368="Robusta","Robusta",(IF($B368="","Arabica",$B368))&amp;" - "&amp;(IF($C368="","Commercial",$C368))),Variables!$B$1:$D$1,0),1))*AP368)+(T368*INDEX(Variables!$B$9:$D$9,IFERROR(MATCH(IF($B368="Robusta","Robusta",(IF($B368="","Arabica",$B368))&amp;" - "&amp;(IF($C368="","Commercial",$C368))),Variables!$B$1:$D$1,0),1))*AP368/365),""))</f>
        <v>-355.83415963269692</v>
      </c>
      <c r="AV368" s="11">
        <f t="shared" si="37"/>
        <v>22</v>
      </c>
      <c r="AW368" s="12">
        <f>IF($H368="Cancelled","",IFERROR(IF(AV368="","",(T368*INDEX(Variables!$B$7:$D$7,IFERROR(MATCH(IF($B368="Robusta","Robusta",(IF($B368="","Arabica",$B368))&amp;" - "&amp;(IF($C368="","Commercial",$C368))),Variables!$B$1:$D$1,0),1))*(AV368/365))+(T368*INDEX(Variables!$B$9:$D$9,IFERROR(MATCH(IF($B368="Robusta","Robusta",(IF($B368="","Arabica",$B368))&amp;" - "&amp;(IF($C368="","Commercial",$C368))),Variables!$B$1:$D$1,0),1))*(AV368/365))+(INDEX(Variables!$B$8:$D$8,IFERROR(MATCH(IF($B368="Robusta","Robusta",(IF($B368="","Arabica",$B368))&amp;" - "&amp;(IF($C368="","Commercial",$C368))),Variables!$B$1:$D$1,0),1))*L368/16.67)),""))</f>
        <v>1475.4505039731107</v>
      </c>
      <c r="AX368" s="9"/>
      <c r="AY368" s="12"/>
      <c r="AZ368" s="10"/>
      <c r="BA368" s="9"/>
      <c r="BB368" s="10"/>
      <c r="BC368" s="9"/>
      <c r="BD368" s="9"/>
      <c r="BE368" s="9"/>
      <c r="BF368" s="9"/>
    </row>
    <row r="369" spans="1:58" x14ac:dyDescent="0.25">
      <c r="A369" s="9" t="s">
        <v>84</v>
      </c>
      <c r="B369" s="9" t="s">
        <v>85</v>
      </c>
      <c r="C369" s="9" t="s">
        <v>86</v>
      </c>
      <c r="D369" s="10">
        <v>45733</v>
      </c>
      <c r="E369" s="10">
        <v>45748</v>
      </c>
      <c r="F369" s="10">
        <v>45777</v>
      </c>
      <c r="G369" s="9">
        <v>3786849</v>
      </c>
      <c r="H369" s="9" t="str">
        <f t="shared" si="35"/>
        <v>Closed</v>
      </c>
      <c r="I369" s="9" t="str">
        <f t="shared" si="36"/>
        <v>All dates received</v>
      </c>
      <c r="J369" s="9" t="s">
        <v>512</v>
      </c>
      <c r="K369" s="9">
        <v>5235</v>
      </c>
      <c r="L369" s="11">
        <v>360</v>
      </c>
      <c r="M369" s="9" t="s">
        <v>967</v>
      </c>
      <c r="N369" s="9" t="s">
        <v>968</v>
      </c>
      <c r="O369" s="9"/>
      <c r="P369" s="9"/>
      <c r="Q369" s="11">
        <v>-48</v>
      </c>
      <c r="R369" s="9" t="s">
        <v>90</v>
      </c>
      <c r="S369" s="9" t="s">
        <v>106</v>
      </c>
      <c r="T369" s="12">
        <f>IF($H369="Cancelled","",IFERROR(((Q369+INDEX(Variables!$B$6:$D$6,IFERROR(MATCH(IF($B369="Robusta","Robusta",(IF($B369="","Arabica",$B369))&amp;" - "&amp;(IF($C369="","Commercial",$C369))),Variables!$B$1:$D$1,0),1)))*22.0462)*(L369/16.67),""))</f>
        <v>115597.73542891421</v>
      </c>
      <c r="U369" s="10">
        <v>45757</v>
      </c>
      <c r="V369" s="9" t="str">
        <f t="shared" si="40"/>
        <v>Sent</v>
      </c>
      <c r="W369" s="10">
        <v>45775</v>
      </c>
      <c r="X369" s="9" t="str">
        <f t="shared" si="41"/>
        <v>Approved</v>
      </c>
      <c r="Y369" s="10"/>
      <c r="Z369" s="10">
        <f>IF($H369="Cancelled","",IFERROR(IF(F369="","",F369-Variables!$B$13),""))</f>
        <v>45762</v>
      </c>
      <c r="AA369" s="11">
        <f>IF($H369="Cancelled","",IFERROR(IF(W369="","",(AVERAGE(E369:F369)-W369)-Variables!$B$14),""))</f>
        <v>-42.5</v>
      </c>
      <c r="AB369" s="10">
        <v>45790</v>
      </c>
      <c r="AC369" s="11">
        <f>IF($H369="Cancelled","",IFERROR(IF(AB369="","",IF(AND(W369="",Y369=""),"",IF(Y369&gt;W369,Y369+Variables!$B$15+Variables!$B$16+Variables!$B$17-AB369,W369+Variables!$B$16+Variables!$B$17-AB369))),""))</f>
        <v>-7</v>
      </c>
      <c r="AD369" s="9" t="s">
        <v>165</v>
      </c>
      <c r="AE369" s="9" t="s">
        <v>969</v>
      </c>
      <c r="AF369" s="10"/>
      <c r="AG369" s="10"/>
      <c r="AH369" s="9"/>
      <c r="AI369" s="9" t="s">
        <v>970</v>
      </c>
      <c r="AJ369" s="9" t="s">
        <v>8</v>
      </c>
      <c r="AK369" s="10">
        <v>45800</v>
      </c>
      <c r="AL369" s="10">
        <v>45805</v>
      </c>
      <c r="AM369" s="10">
        <v>45807</v>
      </c>
      <c r="AN369" s="9" t="s">
        <v>95</v>
      </c>
      <c r="AO369" s="9"/>
      <c r="AP369" s="11">
        <f>IF($H369="Cancelled","",IFERROR(IF(OR(AK369="",AB369=""),"",(AB369+Variables!$B$18-AK369)),""))</f>
        <v>-3</v>
      </c>
      <c r="AQ369" s="11">
        <f>IF($H369="Cancelled","",IFERROR(IF(OR(AM369="",AK369=""),"",(AK369+Variables!$B$19)-AM369),""))</f>
        <v>-2</v>
      </c>
      <c r="AR369" s="12">
        <f>IF($H369="Cancelled","",IFERROR(T369*INDEX(Variables!$B$7:$D$7,IFERROR(MATCH(IF($B369="Robusta","Robusta",(IF($B369="","Arabica",$B369))&amp;" - "&amp;(IF($C369="","Commercial",$C369))),Variables!$B$1:$D$1,0),1))*(AQ369/365),""))</f>
        <v>-40.843815317667577</v>
      </c>
      <c r="AS369" s="12">
        <f>IF($H369="Cancelled","",IFERROR((T369*INDEX(Variables!$B$7:$D$7,IFERROR(MATCH(IF($B369="Robusta","Robusta",(IF($B369="","Arabica",$B369))&amp;" - "&amp;(IF($C369="","Commercial",$C369))),Variables!$B$1:$D$1,0),1))*IFERROR(IF(W369="","",(AVERAGE(E369:F369)-W369)-Variables!$B$14),"")/365)+(L369/16.67*INDEX(Variables!$B$8:$D$8,IFERROR(MATCH(IF($B369="Robusta","Robusta",(IF($B369="","Arabica",$B369))&amp;" - "&amp;(IF($C369="","Commercial",$C369))),Variables!$B$1:$D$1,0),1))*IFERROR(IF(W369="","",(AVERAGE(E369:F369)-W369)-Variables!$B$14),""))+(T369*INDEX(Variables!$B$9:$D$9,IFERROR(MATCH(IF($B369="Robusta","Robusta",(IF($B369="","Arabica",$B369))&amp;" - "&amp;(IF($C369="","Commercial",$C369))),Variables!$B$1:$D$1,0),1))*IFERROR(IF(W369="","",(AVERAGE(E369:F369)-W369)-Variables!$B$14),"")/365),""))</f>
        <v>-1644.1203820542373</v>
      </c>
      <c r="AT369" s="12">
        <f>IF($H369="Cancelled","",IFERROR((T369*INDEX(Variables!$B$7:$D$7,IFERROR(MATCH(IF($B369="Robusta","Robusta",(IF($B369="","Arabica",$B369))&amp;" - "&amp;(IF($C369="","Commercial",$C369))),Variables!$B$1:$D$1,0),1))*AC369/365)+(L369/16.67*INDEX(Variables!$B$8:$D$8,IFERROR(MATCH(IF($B369="Robusta","Robusta",(IF($B369="","Arabica",$B369))&amp;" - "&amp;(IF($C369="","Commercial",$C369))),Variables!$B$1:$D$1,0),1))*AC369)+(T369*INDEX(Variables!$B$9:$D$9,IFERROR(MATCH(IF($B369="Robusta","Robusta",(IF($B369="","Arabica",$B369))&amp;" - "&amp;(IF($C369="","Commercial",$C369))),Variables!$B$1:$D$1,0),1))*AC369/365),""))</f>
        <v>-270.79629822069785</v>
      </c>
      <c r="AU369" s="12">
        <f>IF($H369="Cancelled","",IFERROR((T369*INDEX(Variables!$B$7:$D$7,IFERROR(MATCH(IF($B369="Robusta","Robusta",(IF($B369="","Arabica",$B369))&amp;" - "&amp;(IF($C369="","Commercial",$C369))),Variables!$B$1:$D$1,0),1))*AP369/365)+(L369/16.67*INDEX(Variables!$B$8:$D$8,IFERROR(MATCH(IF($B369="Robusta","Robusta",(IF($B369="","Arabica",$B369))&amp;" - "&amp;(IF($C369="","Commercial",$C369))),Variables!$B$1:$D$1,0),1))*AP369)+(T369*INDEX(Variables!$B$9:$D$9,IFERROR(MATCH(IF($B369="Robusta","Robusta",(IF($B369="","Arabica",$B369))&amp;" - "&amp;(IF($C369="","Commercial",$C369))),Variables!$B$1:$D$1,0),1))*AP369/365),""))</f>
        <v>-116.05555638029911</v>
      </c>
      <c r="AV369" s="11">
        <f t="shared" si="37"/>
        <v>-23</v>
      </c>
      <c r="AW369" s="12">
        <f>IF($H369="Cancelled","",IFERROR(IF(AV369="","",(T369*INDEX(Variables!$B$7:$D$7,IFERROR(MATCH(IF($B369="Robusta","Robusta",(IF($B369="","Arabica",$B369))&amp;" - "&amp;(IF($C369="","Commercial",$C369))),Variables!$B$1:$D$1,0),1))*(AV369/365))+(T369*INDEX(Variables!$B$9:$D$9,IFERROR(MATCH(IF($B369="Robusta","Robusta",(IF($B369="","Arabica",$B369))&amp;" - "&amp;(IF($C369="","Commercial",$C369))),Variables!$B$1:$D$1,0),1))*(AV369/365))+(INDEX(Variables!$B$8:$D$8,IFERROR(MATCH(IF($B369="Robusta","Robusta",(IF($B369="","Arabica",$B369))&amp;" - "&amp;(IF($C369="","Commercial",$C369))),Variables!$B$1:$D$1,0),1))*L369/16.67)),""))</f>
        <v>-457.75926558229304</v>
      </c>
      <c r="AX369" s="9"/>
      <c r="AY369" s="12"/>
      <c r="AZ369" s="10"/>
      <c r="BA369" s="9"/>
      <c r="BB369" s="10"/>
      <c r="BC369" s="9"/>
      <c r="BD369" s="9"/>
      <c r="BE369" s="9"/>
      <c r="BF369" s="9"/>
    </row>
    <row r="370" spans="1:58" x14ac:dyDescent="0.25">
      <c r="A370" s="9" t="s">
        <v>84</v>
      </c>
      <c r="B370" s="9" t="s">
        <v>85</v>
      </c>
      <c r="C370" s="9" t="s">
        <v>86</v>
      </c>
      <c r="D370" s="10">
        <v>45733</v>
      </c>
      <c r="E370" s="10">
        <v>45809</v>
      </c>
      <c r="F370" s="10">
        <v>45838</v>
      </c>
      <c r="G370" s="9">
        <v>3786846</v>
      </c>
      <c r="H370" s="9" t="str">
        <f t="shared" si="35"/>
        <v>Closed</v>
      </c>
      <c r="I370" s="9" t="str">
        <f t="shared" si="36"/>
        <v>All dates received</v>
      </c>
      <c r="J370" s="9" t="s">
        <v>102</v>
      </c>
      <c r="K370" s="9">
        <v>5281</v>
      </c>
      <c r="L370" s="11">
        <v>720</v>
      </c>
      <c r="M370" s="9" t="s">
        <v>971</v>
      </c>
      <c r="N370" s="9" t="s">
        <v>972</v>
      </c>
      <c r="O370" s="9"/>
      <c r="P370" s="9"/>
      <c r="Q370" s="11">
        <v>-36.5</v>
      </c>
      <c r="R370" s="9" t="s">
        <v>90</v>
      </c>
      <c r="S370" s="9" t="s">
        <v>162</v>
      </c>
      <c r="T370" s="12">
        <f>IF($H370="Cancelled","",IFERROR(((Q370+INDEX(Variables!$B$6:$D$6,IFERROR(MATCH(IF($B370="Robusta","Robusta",(IF($B370="","Arabica",$B370))&amp;" - "&amp;(IF($C370="","Commercial",$C370))),Variables!$B$1:$D$1,0),1)))*22.0462)*(L370/16.67),""))</f>
        <v>242145.83294541089</v>
      </c>
      <c r="U370" s="10">
        <v>45764</v>
      </c>
      <c r="V370" s="9" t="str">
        <f t="shared" si="40"/>
        <v>Sent</v>
      </c>
      <c r="W370" s="10">
        <v>45770</v>
      </c>
      <c r="X370" s="9" t="str">
        <f t="shared" si="41"/>
        <v>Approved</v>
      </c>
      <c r="Y370" s="10"/>
      <c r="Z370" s="10">
        <f>IF($H370="Cancelled","",IFERROR(IF(F370="","",F370-Variables!$B$13),""))</f>
        <v>45823</v>
      </c>
      <c r="AA370" s="11">
        <f>IF($H370="Cancelled","",IFERROR(IF(W370="","",(AVERAGE(E370:F370)-W370)-Variables!$B$14),""))</f>
        <v>23.5</v>
      </c>
      <c r="AB370" s="10">
        <v>45806</v>
      </c>
      <c r="AC370" s="11">
        <f>IF($H370="Cancelled","",IFERROR(IF(AB370="","",IF(AND(W370="",Y370=""),"",IF(Y370&gt;W370,Y370+Variables!$B$15+Variables!$B$16+Variables!$B$17-AB370,W370+Variables!$B$16+Variables!$B$17-AB370))),""))</f>
        <v>-28</v>
      </c>
      <c r="AD370" s="9" t="s">
        <v>151</v>
      </c>
      <c r="AE370" s="9" t="s">
        <v>358</v>
      </c>
      <c r="AF370" s="10">
        <v>45823</v>
      </c>
      <c r="AG370" s="10"/>
      <c r="AH370" s="9"/>
      <c r="AI370" s="9" t="s">
        <v>973</v>
      </c>
      <c r="AJ370" s="9" t="s">
        <v>8</v>
      </c>
      <c r="AK370" s="10">
        <v>45827</v>
      </c>
      <c r="AL370" s="10">
        <v>45832</v>
      </c>
      <c r="AM370" s="10">
        <v>45835</v>
      </c>
      <c r="AN370" s="9" t="s">
        <v>95</v>
      </c>
      <c r="AO370" s="9"/>
      <c r="AP370" s="11">
        <f>IF($H370="Cancelled","",IFERROR(IF(OR(AK370="",AB370=""),"",(AB370+Variables!$B$18-AK370)),""))</f>
        <v>-14</v>
      </c>
      <c r="AQ370" s="11">
        <f>IF($H370="Cancelled","",IFERROR(IF(OR(AM370="",AK370=""),"",(AK370+Variables!$B$19)-AM370),""))</f>
        <v>-3</v>
      </c>
      <c r="AR370" s="12">
        <f>IF($H370="Cancelled","",IFERROR(T370*INDEX(Variables!$B$7:$D$7,IFERROR(MATCH(IF($B370="Robusta","Robusta",(IF($B370="","Arabica",$B370))&amp;" - "&amp;(IF($C370="","Commercial",$C370))),Variables!$B$1:$D$1,0),1))*(AQ370/365),""))</f>
        <v>-128.33503585604856</v>
      </c>
      <c r="AS370" s="12">
        <f>IF($H370="Cancelled","",IFERROR((T370*INDEX(Variables!$B$7:$D$7,IFERROR(MATCH(IF($B370="Robusta","Robusta",(IF($B370="","Arabica",$B370))&amp;" - "&amp;(IF($C370="","Commercial",$C370))),Variables!$B$1:$D$1,0),1))*IFERROR(IF(W370="","",(AVERAGE(E370:F370)-W370)-Variables!$B$14),"")/365)+(L370/16.67*INDEX(Variables!$B$8:$D$8,IFERROR(MATCH(IF($B370="Robusta","Robusta",(IF($B370="","Arabica",$B370))&amp;" - "&amp;(IF($C370="","Commercial",$C370))),Variables!$B$1:$D$1,0),1))*IFERROR(IF(W370="","",(AVERAGE(E370:F370)-W370)-Variables!$B$14),""))+(T370*INDEX(Variables!$B$9:$D$9,IFERROR(MATCH(IF($B370="Robusta","Robusta",(IF($B370="","Arabica",$B370))&amp;" - "&amp;(IF($C370="","Commercial",$C370))),Variables!$B$1:$D$1,0),1))*IFERROR(IF(W370="","",(AVERAGE(E370:F370)-W370)-Variables!$B$14),"")/365),""))</f>
        <v>1864.251256744883</v>
      </c>
      <c r="AT370" s="12">
        <f>IF($H370="Cancelled","",IFERROR((T370*INDEX(Variables!$B$7:$D$7,IFERROR(MATCH(IF($B370="Robusta","Robusta",(IF($B370="","Arabica",$B370))&amp;" - "&amp;(IF($C370="","Commercial",$C370))),Variables!$B$1:$D$1,0),1))*AC370/365)+(L370/16.67*INDEX(Variables!$B$8:$D$8,IFERROR(MATCH(IF($B370="Robusta","Robusta",(IF($B370="","Arabica",$B370))&amp;" - "&amp;(IF($C370="","Commercial",$C370))),Variables!$B$1:$D$1,0),1))*AC370)+(T370*INDEX(Variables!$B$9:$D$9,IFERROR(MATCH(IF($B370="Robusta","Robusta",(IF($B370="","Arabica",$B370))&amp;" - "&amp;(IF($C370="","Commercial",$C370))),Variables!$B$1:$D$1,0),1))*AC370/365),""))</f>
        <v>-2221.2355399513499</v>
      </c>
      <c r="AU370" s="12">
        <f>IF($H370="Cancelled","",IFERROR((T370*INDEX(Variables!$B$7:$D$7,IFERROR(MATCH(IF($B370="Robusta","Robusta",(IF($B370="","Arabica",$B370))&amp;" - "&amp;(IF($C370="","Commercial",$C370))),Variables!$B$1:$D$1,0),1))*AP370/365)+(L370/16.67*INDEX(Variables!$B$8:$D$8,IFERROR(MATCH(IF($B370="Robusta","Robusta",(IF($B370="","Arabica",$B370))&amp;" - "&amp;(IF($C370="","Commercial",$C370))),Variables!$B$1:$D$1,0),1))*AP370)+(T370*INDEX(Variables!$B$9:$D$9,IFERROR(MATCH(IF($B370="Robusta","Robusta",(IF($B370="","Arabica",$B370))&amp;" - "&amp;(IF($C370="","Commercial",$C370))),Variables!$B$1:$D$1,0),1))*AP370/365),""))</f>
        <v>-1110.6177699756749</v>
      </c>
      <c r="AV370" s="11">
        <f t="shared" si="37"/>
        <v>11</v>
      </c>
      <c r="AW370" s="12">
        <f>IF($H370="Cancelled","",IFERROR(IF(AV370="","",(T370*INDEX(Variables!$B$7:$D$7,IFERROR(MATCH(IF($B370="Robusta","Robusta",(IF($B370="","Arabica",$B370))&amp;" - "&amp;(IF($C370="","Commercial",$C370))),Variables!$B$1:$D$1,0),1))*(AV370/365))+(T370*INDEX(Variables!$B$9:$D$9,IFERROR(MATCH(IF($B370="Robusta","Robusta",(IF($B370="","Arabica",$B370))&amp;" - "&amp;(IF($C370="","Commercial",$C370))),Variables!$B$1:$D$1,0),1))*(AV370/365))+(INDEX(Variables!$B$8:$D$8,IFERROR(MATCH(IF($B370="Robusta","Robusta",(IF($B370="","Arabica",$B370))&amp;" - "&amp;(IF($C370="","Commercial",$C370))),Variables!$B$1:$D$1,0),1))*L370/16.67)),""))</f>
        <v>512.62824783803035</v>
      </c>
      <c r="AX370" s="9"/>
      <c r="AY370" s="12"/>
      <c r="AZ370" s="10"/>
      <c r="BA370" s="9"/>
      <c r="BB370" s="10"/>
      <c r="BC370" s="9"/>
      <c r="BD370" s="9"/>
      <c r="BE370" s="9"/>
      <c r="BF370" s="9"/>
    </row>
    <row r="371" spans="1:58" x14ac:dyDescent="0.25">
      <c r="A371" s="9" t="s">
        <v>84</v>
      </c>
      <c r="B371" s="9" t="s">
        <v>85</v>
      </c>
      <c r="C371" s="9" t="s">
        <v>86</v>
      </c>
      <c r="D371" s="10">
        <v>45733</v>
      </c>
      <c r="E371" s="10">
        <v>45809</v>
      </c>
      <c r="F371" s="10">
        <v>45838</v>
      </c>
      <c r="G371" s="9">
        <v>3786850</v>
      </c>
      <c r="H371" s="9" t="str">
        <f t="shared" si="35"/>
        <v>Closed</v>
      </c>
      <c r="I371" s="9" t="str">
        <f t="shared" si="36"/>
        <v>All dates received</v>
      </c>
      <c r="J371" s="9" t="s">
        <v>512</v>
      </c>
      <c r="K371" s="9">
        <v>5289</v>
      </c>
      <c r="L371" s="11">
        <v>360</v>
      </c>
      <c r="M371" s="9" t="s">
        <v>974</v>
      </c>
      <c r="N371" s="9" t="s">
        <v>968</v>
      </c>
      <c r="O371" s="9"/>
      <c r="P371" s="9"/>
      <c r="Q371" s="11">
        <v>-43</v>
      </c>
      <c r="R371" s="9" t="s">
        <v>90</v>
      </c>
      <c r="S371" s="9" t="s">
        <v>106</v>
      </c>
      <c r="T371" s="12">
        <f>IF($H371="Cancelled","",IFERROR(((Q371+INDEX(Variables!$B$6:$D$6,IFERROR(MATCH(IF($B371="Robusta","Robusta",(IF($B371="","Arabica",$B371))&amp;" - "&amp;(IF($C371="","Commercial",$C371))),Variables!$B$1:$D$1,0),1)))*22.0462)*(L371/16.67),""))</f>
        <v>117978.24892621474</v>
      </c>
      <c r="U371" s="10">
        <v>45819</v>
      </c>
      <c r="V371" s="9" t="str">
        <f t="shared" si="40"/>
        <v>Sent</v>
      </c>
      <c r="W371" s="10">
        <v>45827</v>
      </c>
      <c r="X371" s="9" t="str">
        <f t="shared" si="41"/>
        <v>Approved</v>
      </c>
      <c r="Y371" s="10"/>
      <c r="Z371" s="10">
        <f>IF($H371="Cancelled","",IFERROR(IF(F371="","",F371-Variables!$B$13),""))</f>
        <v>45823</v>
      </c>
      <c r="AA371" s="11">
        <f>IF($H371="Cancelled","",IFERROR(IF(W371="","",(AVERAGE(E371:F371)-W371)-Variables!$B$14),""))</f>
        <v>-33.5</v>
      </c>
      <c r="AB371" s="10">
        <v>45834</v>
      </c>
      <c r="AC371" s="11">
        <f>IF($H371="Cancelled","",IFERROR(IF(AB371="","",IF(AND(W371="",Y371=""),"",IF(Y371&gt;W371,Y371+Variables!$B$15+Variables!$B$16+Variables!$B$17-AB371,W371+Variables!$B$16+Variables!$B$17-AB371))),""))</f>
        <v>1</v>
      </c>
      <c r="AD371" s="9" t="s">
        <v>107</v>
      </c>
      <c r="AE371" s="9" t="s">
        <v>942</v>
      </c>
      <c r="AF371" s="10"/>
      <c r="AG371" s="10"/>
      <c r="AH371" s="9"/>
      <c r="AI371" s="9" t="s">
        <v>975</v>
      </c>
      <c r="AJ371" s="9" t="s">
        <v>8</v>
      </c>
      <c r="AK371" s="10">
        <v>45844</v>
      </c>
      <c r="AL371" s="10">
        <v>45847</v>
      </c>
      <c r="AM371" s="10">
        <v>45852</v>
      </c>
      <c r="AN371" s="9" t="s">
        <v>95</v>
      </c>
      <c r="AO371" s="9"/>
      <c r="AP371" s="11">
        <f>IF($H371="Cancelled","",IFERROR(IF(OR(AK371="",AB371=""),"",(AB371+Variables!$B$18-AK371)),""))</f>
        <v>-3</v>
      </c>
      <c r="AQ371" s="11">
        <f>IF($H371="Cancelled","",IFERROR(IF(OR(AM371="",AK371=""),"",(AK371+Variables!$B$19)-AM371),""))</f>
        <v>-3</v>
      </c>
      <c r="AR371" s="12">
        <f>IF($H371="Cancelled","",IFERROR(T371*INDEX(Variables!$B$7:$D$7,IFERROR(MATCH(IF($B371="Robusta","Robusta",(IF($B371="","Arabica",$B371))&amp;" - "&amp;(IF($C371="","Commercial",$C371))),Variables!$B$1:$D$1,0),1))*(AQ371/365),""))</f>
        <v>-62.527372955424362</v>
      </c>
      <c r="AS371" s="12">
        <f>IF($H371="Cancelled","",IFERROR((T371*INDEX(Variables!$B$7:$D$7,IFERROR(MATCH(IF($B371="Robusta","Robusta",(IF($B371="","Arabica",$B371))&amp;" - "&amp;(IF($C371="","Commercial",$C371))),Variables!$B$1:$D$1,0),1))*IFERROR(IF(W371="","",(AVERAGE(E371:F371)-W371)-Variables!$B$14),"")/365)+(L371/16.67*INDEX(Variables!$B$8:$D$8,IFERROR(MATCH(IF($B371="Robusta","Robusta",(IF($B371="","Arabica",$B371))&amp;" - "&amp;(IF($C371="","Commercial",$C371))),Variables!$B$1:$D$1,0),1))*IFERROR(IF(W371="","",(AVERAGE(E371:F371)-W371)-Variables!$B$14),""))+(T371*INDEX(Variables!$B$9:$D$9,IFERROR(MATCH(IF($B371="Robusta","Robusta",(IF($B371="","Arabica",$B371))&amp;" - "&amp;(IF($C371="","Commercial",$C371))),Variables!$B$1:$D$1,0),1))*IFERROR(IF(W371="","",(AVERAGE(E371:F371)-W371)-Variables!$B$14),"")/365),""))</f>
        <v>-1310.2237646619669</v>
      </c>
      <c r="AT371" s="12">
        <f>IF($H371="Cancelled","",IFERROR((T371*INDEX(Variables!$B$7:$D$7,IFERROR(MATCH(IF($B371="Robusta","Robusta",(IF($B371="","Arabica",$B371))&amp;" - "&amp;(IF($C371="","Commercial",$C371))),Variables!$B$1:$D$1,0),1))*AC371/365)+(L371/16.67*INDEX(Variables!$B$8:$D$8,IFERROR(MATCH(IF($B371="Robusta","Robusta",(IF($B371="","Arabica",$B371))&amp;" - "&amp;(IF($C371="","Commercial",$C371))),Variables!$B$1:$D$1,0),1))*AC371)+(T371*INDEX(Variables!$B$9:$D$9,IFERROR(MATCH(IF($B371="Robusta","Robusta",(IF($B371="","Arabica",$B371))&amp;" - "&amp;(IF($C371="","Commercial",$C371))),Variables!$B$1:$D$1,0),1))*AC371/365),""))</f>
        <v>39.111157154088573</v>
      </c>
      <c r="AU371" s="12">
        <f>IF($H371="Cancelled","",IFERROR((T371*INDEX(Variables!$B$7:$D$7,IFERROR(MATCH(IF($B371="Robusta","Robusta",(IF($B371="","Arabica",$B371))&amp;" - "&amp;(IF($C371="","Commercial",$C371))),Variables!$B$1:$D$1,0),1))*AP371/365)+(L371/16.67*INDEX(Variables!$B$8:$D$8,IFERROR(MATCH(IF($B371="Robusta","Robusta",(IF($B371="","Arabica",$B371))&amp;" - "&amp;(IF($C371="","Commercial",$C371))),Variables!$B$1:$D$1,0),1))*AP371)+(T371*INDEX(Variables!$B$9:$D$9,IFERROR(MATCH(IF($B371="Robusta","Robusta",(IF($B371="","Arabica",$B371))&amp;" - "&amp;(IF($C371="","Commercial",$C371))),Variables!$B$1:$D$1,0),1))*AP371/365),""))</f>
        <v>-117.33347146226573</v>
      </c>
      <c r="AV371" s="11">
        <f t="shared" si="37"/>
        <v>-6</v>
      </c>
      <c r="AW371" s="12">
        <f>IF($H371="Cancelled","",IFERROR(IF(AV371="","",(T371*INDEX(Variables!$B$7:$D$7,IFERROR(MATCH(IF($B371="Robusta","Robusta",(IF($B371="","Arabica",$B371))&amp;" - "&amp;(IF($C371="","Commercial",$C371))),Variables!$B$1:$D$1,0),1))*(AV371/365))+(T371*INDEX(Variables!$B$9:$D$9,IFERROR(MATCH(IF($B371="Robusta","Robusta",(IF($B371="","Arabica",$B371))&amp;" - "&amp;(IF($C371="","Commercial",$C371))),Variables!$B$1:$D$1,0),1))*(AV371/365))+(INDEX(Variables!$B$8:$D$8,IFERROR(MATCH(IF($B371="Robusta","Robusta",(IF($B371="","Arabica",$B371))&amp;" - "&amp;(IF($C371="","Commercial",$C371))),Variables!$B$1:$D$1,0),1))*L371/16.67)),""))</f>
        <v>-108.6669429245314</v>
      </c>
      <c r="AX371" s="9"/>
      <c r="AY371" s="12"/>
      <c r="AZ371" s="10"/>
      <c r="BA371" s="9"/>
      <c r="BB371" s="10"/>
      <c r="BC371" s="9"/>
      <c r="BD371" s="9"/>
      <c r="BE371" s="9"/>
      <c r="BF371" s="9"/>
    </row>
    <row r="372" spans="1:58" x14ac:dyDescent="0.25">
      <c r="A372" s="9" t="s">
        <v>84</v>
      </c>
      <c r="B372" s="9" t="s">
        <v>85</v>
      </c>
      <c r="C372" s="9" t="s">
        <v>86</v>
      </c>
      <c r="D372" s="10">
        <v>45733</v>
      </c>
      <c r="E372" s="10">
        <v>45839</v>
      </c>
      <c r="F372" s="10">
        <v>45869</v>
      </c>
      <c r="G372" s="9">
        <v>3786851</v>
      </c>
      <c r="H372" s="9" t="str">
        <f t="shared" si="35"/>
        <v>Closed</v>
      </c>
      <c r="I372" s="9" t="str">
        <f t="shared" si="36"/>
        <v>All dates received</v>
      </c>
      <c r="J372" s="9" t="s">
        <v>240</v>
      </c>
      <c r="K372" s="9">
        <v>5307</v>
      </c>
      <c r="L372" s="11">
        <v>320</v>
      </c>
      <c r="M372" s="9" t="s">
        <v>976</v>
      </c>
      <c r="N372" s="9" t="s">
        <v>242</v>
      </c>
      <c r="O372" s="9"/>
      <c r="P372" s="9"/>
      <c r="Q372" s="11">
        <v>-95</v>
      </c>
      <c r="R372" s="9" t="s">
        <v>90</v>
      </c>
      <c r="S372" s="9" t="s">
        <v>392</v>
      </c>
      <c r="T372" s="12">
        <f>IF($H372="Cancelled","",IFERROR(((Q372+INDEX(Variables!$B$6:$D$6,IFERROR(MATCH(IF($B372="Robusta","Robusta",(IF($B372="","Arabica",$B372))&amp;" - "&amp;(IF($C372="","Commercial",$C372))),Variables!$B$1:$D$1,0),1)))*22.0462)*(L372/16.67),""))</f>
        <v>82863.029826034777</v>
      </c>
      <c r="U372" s="10">
        <v>45806</v>
      </c>
      <c r="V372" s="9" t="str">
        <f t="shared" si="40"/>
        <v>Sent</v>
      </c>
      <c r="W372" s="10">
        <v>45838</v>
      </c>
      <c r="X372" s="9" t="str">
        <f t="shared" si="41"/>
        <v>Approved</v>
      </c>
      <c r="Y372" s="10"/>
      <c r="Z372" s="10">
        <f>IF($H372="Cancelled","",IFERROR(IF(F372="","",F372-Variables!$B$13),""))</f>
        <v>45854</v>
      </c>
      <c r="AA372" s="11">
        <f>IF($H372="Cancelled","",IFERROR(IF(W372="","",(AVERAGE(E372:F372)-W372)-Variables!$B$14),""))</f>
        <v>-14</v>
      </c>
      <c r="AB372" s="10">
        <v>45841</v>
      </c>
      <c r="AC372" s="11">
        <f>IF($H372="Cancelled","",IFERROR(IF(AB372="","",IF(AND(W372="",Y372=""),"",IF(Y372&gt;W372,Y372+Variables!$B$15+Variables!$B$16+Variables!$B$17-AB372,W372+Variables!$B$16+Variables!$B$17-AB372))),""))</f>
        <v>5</v>
      </c>
      <c r="AD372" s="9" t="s">
        <v>107</v>
      </c>
      <c r="AE372" s="9" t="s">
        <v>969</v>
      </c>
      <c r="AF372" s="10"/>
      <c r="AG372" s="10"/>
      <c r="AH372" s="9"/>
      <c r="AI372" s="9" t="s">
        <v>977</v>
      </c>
      <c r="AJ372" s="9" t="s">
        <v>8</v>
      </c>
      <c r="AK372" s="10">
        <v>45859</v>
      </c>
      <c r="AL372" s="10">
        <v>45866</v>
      </c>
      <c r="AM372" s="10">
        <v>45866</v>
      </c>
      <c r="AN372" s="9" t="s">
        <v>95</v>
      </c>
      <c r="AO372" s="9"/>
      <c r="AP372" s="11">
        <f>IF($H372="Cancelled","",IFERROR(IF(OR(AK372="",AB372=""),"",(AB372+Variables!$B$18-AK372)),""))</f>
        <v>-11</v>
      </c>
      <c r="AQ372" s="11">
        <f>IF($H372="Cancelled","",IFERROR(IF(OR(AM372="",AK372=""),"",(AK372+Variables!$B$19)-AM372),""))</f>
        <v>-2</v>
      </c>
      <c r="AR372" s="12">
        <f>IF($H372="Cancelled","",IFERROR(T372*INDEX(Variables!$B$7:$D$7,IFERROR(MATCH(IF($B372="Robusta","Robusta",(IF($B372="","Arabica",$B372))&amp;" - "&amp;(IF($C372="","Commercial",$C372))),Variables!$B$1:$D$1,0),1))*(AQ372/365),""))</f>
        <v>-29.277755955333372</v>
      </c>
      <c r="AS372" s="12">
        <f>IF($H372="Cancelled","",IFERROR((T372*INDEX(Variables!$B$7:$D$7,IFERROR(MATCH(IF($B372="Robusta","Robusta",(IF($B372="","Arabica",$B372))&amp;" - "&amp;(IF($C372="","Commercial",$C372))),Variables!$B$1:$D$1,0),1))*IFERROR(IF(W372="","",(AVERAGE(E372:F372)-W372)-Variables!$B$14),"")/365)+(L372/16.67*INDEX(Variables!$B$8:$D$8,IFERROR(MATCH(IF($B372="Robusta","Robusta",(IF($B372="","Arabica",$B372))&amp;" - "&amp;(IF($C372="","Commercial",$C372))),Variables!$B$1:$D$1,0),1))*IFERROR(IF(W372="","",(AVERAGE(E372:F372)-W372)-Variables!$B$14),""))+(T372*INDEX(Variables!$B$9:$D$9,IFERROR(MATCH(IF($B372="Robusta","Robusta",(IF($B372="","Arabica",$B372))&amp;" - "&amp;(IF($C372="","Commercial",$C372))),Variables!$B$1:$D$1,0),1))*IFERROR(IF(W372="","",(AVERAGE(E372:F372)-W372)-Variables!$B$14),"")/365),""))</f>
        <v>-431.58641912218661</v>
      </c>
      <c r="AT372" s="12">
        <f>IF($H372="Cancelled","",IFERROR((T372*INDEX(Variables!$B$7:$D$7,IFERROR(MATCH(IF($B372="Robusta","Robusta",(IF($B372="","Arabica",$B372))&amp;" - "&amp;(IF($C372="","Commercial",$C372))),Variables!$B$1:$D$1,0),1))*AC372/365)+(L372/16.67*INDEX(Variables!$B$8:$D$8,IFERROR(MATCH(IF($B372="Robusta","Robusta",(IF($B372="","Arabica",$B372))&amp;" - "&amp;(IF($C372="","Commercial",$C372))),Variables!$B$1:$D$1,0),1))*AC372)+(T372*INDEX(Variables!$B$9:$D$9,IFERROR(MATCH(IF($B372="Robusta","Robusta",(IF($B372="","Arabica",$B372))&amp;" - "&amp;(IF($C372="","Commercial",$C372))),Variables!$B$1:$D$1,0),1))*AC372/365),""))</f>
        <v>154.13800682935238</v>
      </c>
      <c r="AU372" s="12">
        <f>IF($H372="Cancelled","",IFERROR((T372*INDEX(Variables!$B$7:$D$7,IFERROR(MATCH(IF($B372="Robusta","Robusta",(IF($B372="","Arabica",$B372))&amp;" - "&amp;(IF($C372="","Commercial",$C372))),Variables!$B$1:$D$1,0),1))*AP372/365)+(L372/16.67*INDEX(Variables!$B$8:$D$8,IFERROR(MATCH(IF($B372="Robusta","Robusta",(IF($B372="","Arabica",$B372))&amp;" - "&amp;(IF($C372="","Commercial",$C372))),Variables!$B$1:$D$1,0),1))*AP372)+(T372*INDEX(Variables!$B$9:$D$9,IFERROR(MATCH(IF($B372="Robusta","Robusta",(IF($B372="","Arabica",$B372))&amp;" - "&amp;(IF($C372="","Commercial",$C372))),Variables!$B$1:$D$1,0),1))*AP372/365),""))</f>
        <v>-339.10361502457516</v>
      </c>
      <c r="AV372" s="11">
        <f t="shared" si="37"/>
        <v>10</v>
      </c>
      <c r="AW372" s="12">
        <f>IF($H372="Cancelled","",IFERROR(IF(AV372="","",(T372*INDEX(Variables!$B$7:$D$7,IFERROR(MATCH(IF($B372="Robusta","Robusta",(IF($B372="","Arabica",$B372))&amp;" - "&amp;(IF($C372="","Commercial",$C372))),Variables!$B$1:$D$1,0),1))*(AV372/365))+(T372*INDEX(Variables!$B$9:$D$9,IFERROR(MATCH(IF($B372="Robusta","Robusta",(IF($B372="","Arabica",$B372))&amp;" - "&amp;(IF($C372="","Commercial",$C372))),Variables!$B$1:$D$1,0),1))*(AV372/365))+(INDEX(Variables!$B$8:$D$8,IFERROR(MATCH(IF($B372="Robusta","Robusta",(IF($B372="","Arabica",$B372))&amp;" - "&amp;(IF($C372="","Commercial",$C372))),Variables!$B$1:$D$1,0),1))*L372/16.67)),""))</f>
        <v>164.27601365870476</v>
      </c>
      <c r="AX372" s="9"/>
      <c r="AY372" s="12"/>
      <c r="AZ372" s="10"/>
      <c r="BA372" s="9"/>
      <c r="BB372" s="10"/>
      <c r="BC372" s="9"/>
      <c r="BD372" s="9"/>
      <c r="BE372" s="9"/>
      <c r="BF372" s="9"/>
    </row>
    <row r="373" spans="1:58" x14ac:dyDescent="0.25">
      <c r="A373" s="9" t="s">
        <v>84</v>
      </c>
      <c r="B373" s="9" t="s">
        <v>85</v>
      </c>
      <c r="C373" s="9" t="s">
        <v>86</v>
      </c>
      <c r="D373" s="10">
        <v>45734</v>
      </c>
      <c r="E373" s="10">
        <v>45748</v>
      </c>
      <c r="F373" s="10">
        <v>45777</v>
      </c>
      <c r="G373" s="9">
        <v>3786852</v>
      </c>
      <c r="H373" s="9" t="str">
        <f t="shared" si="35"/>
        <v>Closed</v>
      </c>
      <c r="I373" s="9" t="str">
        <f t="shared" si="36"/>
        <v>All dates received</v>
      </c>
      <c r="J373" s="9" t="s">
        <v>512</v>
      </c>
      <c r="K373" s="9">
        <v>5236</v>
      </c>
      <c r="L373" s="11">
        <v>360</v>
      </c>
      <c r="M373" s="9" t="s">
        <v>971</v>
      </c>
      <c r="N373" s="9" t="s">
        <v>629</v>
      </c>
      <c r="O373" s="9"/>
      <c r="P373" s="9"/>
      <c r="Q373" s="11">
        <v>-44</v>
      </c>
      <c r="R373" s="9" t="s">
        <v>90</v>
      </c>
      <c r="S373" s="9" t="s">
        <v>106</v>
      </c>
      <c r="T373" s="12">
        <f>IF($H373="Cancelled","",IFERROR(((Q373+INDEX(Variables!$B$6:$D$6,IFERROR(MATCH(IF($B373="Robusta","Robusta",(IF($B373="","Arabica",$B373))&amp;" - "&amp;(IF($C373="","Commercial",$C373))),Variables!$B$1:$D$1,0),1)))*22.0462)*(L373/16.67),""))</f>
        <v>117502.14622675464</v>
      </c>
      <c r="U373" s="10">
        <v>45757</v>
      </c>
      <c r="V373" s="9" t="str">
        <f t="shared" si="40"/>
        <v>Sent</v>
      </c>
      <c r="W373" s="10">
        <v>45775</v>
      </c>
      <c r="X373" s="9" t="str">
        <f t="shared" si="41"/>
        <v>Approved</v>
      </c>
      <c r="Y373" s="10"/>
      <c r="Z373" s="10">
        <f>IF($H373="Cancelled","",IFERROR(IF(F373="","",F373-Variables!$B$13),""))</f>
        <v>45762</v>
      </c>
      <c r="AA373" s="11">
        <f>IF($H373="Cancelled","",IFERROR(IF(W373="","",(AVERAGE(E373:F373)-W373)-Variables!$B$14),""))</f>
        <v>-42.5</v>
      </c>
      <c r="AB373" s="10">
        <v>45789</v>
      </c>
      <c r="AC373" s="11">
        <f>IF($H373="Cancelled","",IFERROR(IF(AB373="","",IF(AND(W373="",Y373=""),"",IF(Y373&gt;W373,Y373+Variables!$B$15+Variables!$B$16+Variables!$B$17-AB373,W373+Variables!$B$16+Variables!$B$17-AB373))),""))</f>
        <v>-6</v>
      </c>
      <c r="AD373" s="9" t="s">
        <v>165</v>
      </c>
      <c r="AE373" s="9" t="s">
        <v>969</v>
      </c>
      <c r="AF373" s="10"/>
      <c r="AG373" s="10"/>
      <c r="AH373" s="9"/>
      <c r="AI373" s="9" t="s">
        <v>978</v>
      </c>
      <c r="AJ373" s="9" t="s">
        <v>8</v>
      </c>
      <c r="AK373" s="10">
        <v>45800</v>
      </c>
      <c r="AL373" s="10">
        <v>45805</v>
      </c>
      <c r="AM373" s="10">
        <v>45807</v>
      </c>
      <c r="AN373" s="9" t="s">
        <v>95</v>
      </c>
      <c r="AO373" s="9"/>
      <c r="AP373" s="11">
        <f>IF($H373="Cancelled","",IFERROR(IF(OR(AK373="",AB373=""),"",(AB373+Variables!$B$18-AK373)),""))</f>
        <v>-4</v>
      </c>
      <c r="AQ373" s="11">
        <f>IF($H373="Cancelled","",IFERROR(IF(OR(AM373="",AK373=""),"",(AK373+Variables!$B$19)-AM373),""))</f>
        <v>-2</v>
      </c>
      <c r="AR373" s="12">
        <f>IF($H373="Cancelled","",IFERROR(T373*INDEX(Variables!$B$7:$D$7,IFERROR(MATCH(IF($B373="Robusta","Robusta",(IF($B373="","Arabica",$B373))&amp;" - "&amp;(IF($C373="","Commercial",$C373))),Variables!$B$1:$D$1,0),1))*(AQ373/365),""))</f>
        <v>-41.516695306426513</v>
      </c>
      <c r="AS373" s="12">
        <f>IF($H373="Cancelled","",IFERROR((T373*INDEX(Variables!$B$7:$D$7,IFERROR(MATCH(IF($B373="Robusta","Robusta",(IF($B373="","Arabica",$B373))&amp;" - "&amp;(IF($C373="","Commercial",$C373))),Variables!$B$1:$D$1,0),1))*IFERROR(IF(W373="","",(AVERAGE(E373:F373)-W373)-Variables!$B$14),"")/365)+(L373/16.67*INDEX(Variables!$B$8:$D$8,IFERROR(MATCH(IF($B373="Robusta","Robusta",(IF($B373="","Arabica",$B373))&amp;" - "&amp;(IF($C373="","Commercial",$C373))),Variables!$B$1:$D$1,0),1))*IFERROR(IF(W373="","",(AVERAGE(E373:F373)-W373)-Variables!$B$14),""))+(T373*INDEX(Variables!$B$9:$D$9,IFERROR(MATCH(IF($B373="Robusta","Robusta",(IF($B373="","Arabica",$B373))&amp;" - "&amp;(IF($C373="","Commercial",$C373))),Variables!$B$1:$D$1,0),1))*IFERROR(IF(W373="","",(AVERAGE(E373:F373)-W373)-Variables!$B$14),"")/365),""))</f>
        <v>-1658.603419649859</v>
      </c>
      <c r="AT373" s="12">
        <f>IF($H373="Cancelled","",IFERROR((T373*INDEX(Variables!$B$7:$D$7,IFERROR(MATCH(IF($B373="Robusta","Robusta",(IF($B373="","Arabica",$B373))&amp;" - "&amp;(IF($C373="","Commercial",$C373))),Variables!$B$1:$D$1,0),1))*AC373/365)+(L373/16.67*INDEX(Variables!$B$8:$D$8,IFERROR(MATCH(IF($B373="Robusta","Robusta",(IF($B373="","Arabica",$B373))&amp;" - "&amp;(IF($C373="","Commercial",$C373))),Variables!$B$1:$D$1,0),1))*AC373)+(T373*INDEX(Variables!$B$9:$D$9,IFERROR(MATCH(IF($B373="Robusta","Robusta",(IF($B373="","Arabica",$B373))&amp;" - "&amp;(IF($C373="","Commercial",$C373))),Variables!$B$1:$D$1,0),1))*AC373/365),""))</f>
        <v>-234.15577689174481</v>
      </c>
      <c r="AU373" s="12">
        <f>IF($H373="Cancelled","",IFERROR((T373*INDEX(Variables!$B$7:$D$7,IFERROR(MATCH(IF($B373="Robusta","Robusta",(IF($B373="","Arabica",$B373))&amp;" - "&amp;(IF($C373="","Commercial",$C373))),Variables!$B$1:$D$1,0),1))*AP373/365)+(L373/16.67*INDEX(Variables!$B$8:$D$8,IFERROR(MATCH(IF($B373="Robusta","Robusta",(IF($B373="","Arabica",$B373))&amp;" - "&amp;(IF($C373="","Commercial",$C373))),Variables!$B$1:$D$1,0),1))*AP373)+(T373*INDEX(Variables!$B$9:$D$9,IFERROR(MATCH(IF($B373="Robusta","Robusta",(IF($B373="","Arabica",$B373))&amp;" - "&amp;(IF($C373="","Commercial",$C373))),Variables!$B$1:$D$1,0),1))*AP373/365),""))</f>
        <v>-156.10385126116321</v>
      </c>
      <c r="AV373" s="11">
        <f t="shared" si="37"/>
        <v>-23</v>
      </c>
      <c r="AW373" s="12">
        <f>IF($H373="Cancelled","",IFERROR(IF(AV373="","",(T373*INDEX(Variables!$B$7:$D$7,IFERROR(MATCH(IF($B373="Robusta","Robusta",(IF($B373="","Arabica",$B373))&amp;" - "&amp;(IF($C373="","Commercial",$C373))),Variables!$B$1:$D$1,0),1))*(AV373/365))+(T373*INDEX(Variables!$B$9:$D$9,IFERROR(MATCH(IF($B373="Robusta","Robusta",(IF($B373="","Arabica",$B373))&amp;" - "&amp;(IF($C373="","Commercial",$C373))),Variables!$B$1:$D$1,0),1))*(AV373/365))+(INDEX(Variables!$B$8:$D$8,IFERROR(MATCH(IF($B373="Robusta","Robusta",(IF($B373="","Arabica",$B373))&amp;" - "&amp;(IF($C373="","Commercial",$C373))),Variables!$B$1:$D$1,0),1))*L373/16.67)),""))</f>
        <v>-465.59714475168823</v>
      </c>
      <c r="AX373" s="9"/>
      <c r="AY373" s="12"/>
      <c r="AZ373" s="10"/>
      <c r="BA373" s="9"/>
      <c r="BB373" s="10"/>
      <c r="BC373" s="9"/>
      <c r="BD373" s="9"/>
      <c r="BE373" s="9"/>
      <c r="BF373" s="9"/>
    </row>
    <row r="374" spans="1:58" x14ac:dyDescent="0.25">
      <c r="A374" s="9" t="s">
        <v>84</v>
      </c>
      <c r="B374" s="9" t="s">
        <v>85</v>
      </c>
      <c r="C374" s="9" t="s">
        <v>86</v>
      </c>
      <c r="D374" s="10">
        <v>45735</v>
      </c>
      <c r="E374" s="10">
        <v>45748</v>
      </c>
      <c r="F374" s="10">
        <v>45777</v>
      </c>
      <c r="G374" s="9">
        <v>3786853</v>
      </c>
      <c r="H374" s="9" t="str">
        <f t="shared" si="35"/>
        <v>Closed</v>
      </c>
      <c r="I374" s="9" t="str">
        <f t="shared" si="36"/>
        <v>All dates received</v>
      </c>
      <c r="J374" s="9" t="s">
        <v>102</v>
      </c>
      <c r="K374" s="9" t="s">
        <v>979</v>
      </c>
      <c r="L374" s="11">
        <v>720</v>
      </c>
      <c r="M374" s="9" t="s">
        <v>980</v>
      </c>
      <c r="N374" s="9" t="s">
        <v>122</v>
      </c>
      <c r="O374" s="9"/>
      <c r="P374" s="9"/>
      <c r="Q374" s="11">
        <v>-11.3</v>
      </c>
      <c r="R374" s="9" t="s">
        <v>90</v>
      </c>
      <c r="S374" s="9" t="s">
        <v>656</v>
      </c>
      <c r="T374" s="12">
        <f>IF($H374="Cancelled","",IFERROR(((Q374+INDEX(Variables!$B$6:$D$6,IFERROR(MATCH(IF($B374="Robusta","Robusta",(IF($B374="","Arabica",$B374))&amp;" - "&amp;(IF($C374="","Commercial",$C374))),Variables!$B$1:$D$1,0),1)))*22.0462)*(L374/16.67),""))</f>
        <v>266141.40899820032</v>
      </c>
      <c r="U374" s="10">
        <v>45737</v>
      </c>
      <c r="V374" s="9" t="str">
        <f t="shared" si="40"/>
        <v>Sent</v>
      </c>
      <c r="W374" s="10">
        <v>45748</v>
      </c>
      <c r="X374" s="9" t="str">
        <f t="shared" si="41"/>
        <v>Approved</v>
      </c>
      <c r="Y374" s="10"/>
      <c r="Z374" s="10">
        <f>IF($H374="Cancelled","",IFERROR(IF(F374="","",F374-Variables!$B$13),""))</f>
        <v>45762</v>
      </c>
      <c r="AA374" s="11">
        <f>IF($H374="Cancelled","",IFERROR(IF(W374="","",(AVERAGE(E374:F374)-W374)-Variables!$B$14),""))</f>
        <v>-15.5</v>
      </c>
      <c r="AB374" s="10">
        <v>45754</v>
      </c>
      <c r="AC374" s="11">
        <f>IF($H374="Cancelled","",IFERROR(IF(AB374="","",IF(AND(W374="",Y374=""),"",IF(Y374&gt;W374,Y374+Variables!$B$15+Variables!$B$16+Variables!$B$17-AB374,W374+Variables!$B$16+Variables!$B$17-AB374))),""))</f>
        <v>2</v>
      </c>
      <c r="AD374" s="9" t="s">
        <v>107</v>
      </c>
      <c r="AE374" s="9" t="s">
        <v>981</v>
      </c>
      <c r="AF374" s="10"/>
      <c r="AG374" s="10"/>
      <c r="AH374" s="9"/>
      <c r="AI374" s="9" t="s">
        <v>982</v>
      </c>
      <c r="AJ374" s="9" t="s">
        <v>8</v>
      </c>
      <c r="AK374" s="10">
        <v>45765</v>
      </c>
      <c r="AL374" s="10">
        <v>45771</v>
      </c>
      <c r="AM374" s="10">
        <v>45779</v>
      </c>
      <c r="AN374" s="9" t="s">
        <v>95</v>
      </c>
      <c r="AO374" s="9"/>
      <c r="AP374" s="11">
        <f>IF($H374="Cancelled","",IFERROR(IF(OR(AK374="",AB374=""),"",(AB374+Variables!$B$18-AK374)),""))</f>
        <v>-4</v>
      </c>
      <c r="AQ374" s="11">
        <f>IF($H374="Cancelled","",IFERROR(IF(OR(AM374="",AK374=""),"",(AK374+Variables!$B$19)-AM374),""))</f>
        <v>-9</v>
      </c>
      <c r="AR374" s="12">
        <f>IF($H374="Cancelled","",IFERROR(T374*INDEX(Variables!$B$7:$D$7,IFERROR(MATCH(IF($B374="Robusta","Robusta",(IF($B374="","Arabica",$B374))&amp;" - "&amp;(IF($C374="","Commercial",$C374))),Variables!$B$1:$D$1,0),1))*(AQ374/365),""))</f>
        <v>-423.15740293077744</v>
      </c>
      <c r="AS374" s="12">
        <f>IF($H374="Cancelled","",IFERROR((T374*INDEX(Variables!$B$7:$D$7,IFERROR(MATCH(IF($B374="Robusta","Robusta",(IF($B374="","Arabica",$B374))&amp;" - "&amp;(IF($C374="","Commercial",$C374))),Variables!$B$1:$D$1,0),1))*IFERROR(IF(W374="","",(AVERAGE(E374:F374)-W374)-Variables!$B$14),"")/365)+(L374/16.67*INDEX(Variables!$B$8:$D$8,IFERROR(MATCH(IF($B374="Robusta","Robusta",(IF($B374="","Arabica",$B374))&amp;" - "&amp;(IF($C374="","Commercial",$C374))),Variables!$B$1:$D$1,0),1))*IFERROR(IF(W374="","",(AVERAGE(E374:F374)-W374)-Variables!$B$14),""))+(T374*INDEX(Variables!$B$9:$D$9,IFERROR(MATCH(IF($B374="Robusta","Robusta",(IF($B374="","Arabica",$B374))&amp;" - "&amp;(IF($C374="","Commercial",$C374))),Variables!$B$1:$D$1,0),1))*IFERROR(IF(W374="","",(AVERAGE(E374:F374)-W374)-Variables!$B$14),"")/365),""))</f>
        <v>-1296.1663485133188</v>
      </c>
      <c r="AT374" s="12">
        <f>IF($H374="Cancelled","",IFERROR((T374*INDEX(Variables!$B$7:$D$7,IFERROR(MATCH(IF($B374="Robusta","Robusta",(IF($B374="","Arabica",$B374))&amp;" - "&amp;(IF($C374="","Commercial",$C374))),Variables!$B$1:$D$1,0),1))*AC374/365)+(L374/16.67*INDEX(Variables!$B$8:$D$8,IFERROR(MATCH(IF($B374="Robusta","Robusta",(IF($B374="","Arabica",$B374))&amp;" - "&amp;(IF($C374="","Commercial",$C374))),Variables!$B$1:$D$1,0),1))*AC374)+(T374*INDEX(Variables!$B$9:$D$9,IFERROR(MATCH(IF($B374="Robusta","Robusta",(IF($B374="","Arabica",$B374))&amp;" - "&amp;(IF($C374="","Commercial",$C374))),Variables!$B$1:$D$1,0),1))*AC374/365),""))</f>
        <v>167.24727077591209</v>
      </c>
      <c r="AU374" s="12">
        <f>IF($H374="Cancelled","",IFERROR((T374*INDEX(Variables!$B$7:$D$7,IFERROR(MATCH(IF($B374="Robusta","Robusta",(IF($B374="","Arabica",$B374))&amp;" - "&amp;(IF($C374="","Commercial",$C374))),Variables!$B$1:$D$1,0),1))*AP374/365)+(L374/16.67*INDEX(Variables!$B$8:$D$8,IFERROR(MATCH(IF($B374="Robusta","Robusta",(IF($B374="","Arabica",$B374))&amp;" - "&amp;(IF($C374="","Commercial",$C374))),Variables!$B$1:$D$1,0),1))*AP374)+(T374*INDEX(Variables!$B$9:$D$9,IFERROR(MATCH(IF($B374="Robusta","Robusta",(IF($B374="","Arabica",$B374))&amp;" - "&amp;(IF($C374="","Commercial",$C374))),Variables!$B$1:$D$1,0),1))*AP374/365),""))</f>
        <v>-334.49454155182417</v>
      </c>
      <c r="AV374" s="11">
        <f t="shared" si="37"/>
        <v>12</v>
      </c>
      <c r="AW374" s="12">
        <f>IF($H374="Cancelled","",IFERROR(IF(AV374="","",(T374*INDEX(Variables!$B$7:$D$7,IFERROR(MATCH(IF($B374="Robusta","Robusta",(IF($B374="","Arabica",$B374))&amp;" - "&amp;(IF($C374="","Commercial",$C374))),Variables!$B$1:$D$1,0),1))*(AV374/365))+(T374*INDEX(Variables!$B$9:$D$9,IFERROR(MATCH(IF($B374="Robusta","Robusta",(IF($B374="","Arabica",$B374))&amp;" - "&amp;(IF($C374="","Commercial",$C374))),Variables!$B$1:$D$1,0),1))*(AV374/365))+(INDEX(Variables!$B$8:$D$8,IFERROR(MATCH(IF($B374="Robusta","Robusta",(IF($B374="","Arabica",$B374))&amp;" - "&amp;(IF($C374="","Commercial",$C374))),Variables!$B$1:$D$1,0),1))*L374/16.67)),""))</f>
        <v>607.48362465547245</v>
      </c>
      <c r="AX374" s="9"/>
      <c r="AY374" s="12"/>
      <c r="AZ374" s="10"/>
      <c r="BA374" s="9"/>
      <c r="BB374" s="10"/>
      <c r="BC374" s="9"/>
      <c r="BD374" s="9"/>
      <c r="BE374" s="9"/>
      <c r="BF374" s="9"/>
    </row>
    <row r="375" spans="1:58" x14ac:dyDescent="0.25">
      <c r="A375" s="9" t="s">
        <v>84</v>
      </c>
      <c r="B375" s="9" t="s">
        <v>85</v>
      </c>
      <c r="C375" s="9" t="s">
        <v>86</v>
      </c>
      <c r="D375" s="10">
        <v>45735</v>
      </c>
      <c r="E375" s="10">
        <v>45748</v>
      </c>
      <c r="F375" s="10">
        <v>45777</v>
      </c>
      <c r="G375" s="9">
        <v>3786853</v>
      </c>
      <c r="H375" s="9" t="str">
        <f t="shared" si="35"/>
        <v>Closed</v>
      </c>
      <c r="I375" s="9" t="str">
        <f t="shared" si="36"/>
        <v>All dates received</v>
      </c>
      <c r="J375" s="9" t="s">
        <v>102</v>
      </c>
      <c r="K375" s="9" t="s">
        <v>983</v>
      </c>
      <c r="L375" s="11">
        <v>720</v>
      </c>
      <c r="M375" s="9" t="s">
        <v>980</v>
      </c>
      <c r="N375" s="9" t="s">
        <v>122</v>
      </c>
      <c r="O375" s="9"/>
      <c r="P375" s="9"/>
      <c r="Q375" s="11">
        <v>-11.3</v>
      </c>
      <c r="R375" s="9" t="s">
        <v>90</v>
      </c>
      <c r="S375" s="9" t="s">
        <v>178</v>
      </c>
      <c r="T375" s="12">
        <f>IF($H375="Cancelled","",IFERROR(((Q375+INDEX(Variables!$B$6:$D$6,IFERROR(MATCH(IF($B375="Robusta","Robusta",(IF($B375="","Arabica",$B375))&amp;" - "&amp;(IF($C375="","Commercial",$C375))),Variables!$B$1:$D$1,0),1)))*22.0462)*(L375/16.67),""))</f>
        <v>266141.40899820032</v>
      </c>
      <c r="U375" s="10">
        <v>45737</v>
      </c>
      <c r="V375" s="9" t="str">
        <f t="shared" si="40"/>
        <v>Sent</v>
      </c>
      <c r="W375" s="10">
        <v>45748</v>
      </c>
      <c r="X375" s="9" t="str">
        <f t="shared" si="41"/>
        <v>Approved</v>
      </c>
      <c r="Y375" s="10"/>
      <c r="Z375" s="10">
        <f>IF($H375="Cancelled","",IFERROR(IF(F375="","",F375-Variables!$B$13),""))</f>
        <v>45762</v>
      </c>
      <c r="AA375" s="11">
        <f>IF($H375="Cancelled","",IFERROR(IF(W375="","",(AVERAGE(E375:F375)-W375)-Variables!$B$14),""))</f>
        <v>-15.5</v>
      </c>
      <c r="AB375" s="10">
        <v>45754</v>
      </c>
      <c r="AC375" s="11">
        <f>IF($H375="Cancelled","",IFERROR(IF(AB375="","",IF(AND(W375="",Y375=""),"",IF(Y375&gt;W375,Y375+Variables!$B$15+Variables!$B$16+Variables!$B$17-AB375,W375+Variables!$B$16+Variables!$B$17-AB375))),""))</f>
        <v>2</v>
      </c>
      <c r="AD375" s="9" t="s">
        <v>107</v>
      </c>
      <c r="AE375" s="9" t="s">
        <v>981</v>
      </c>
      <c r="AF375" s="10"/>
      <c r="AG375" s="10"/>
      <c r="AH375" s="9"/>
      <c r="AI375" s="9" t="s">
        <v>984</v>
      </c>
      <c r="AJ375" s="9" t="s">
        <v>8</v>
      </c>
      <c r="AK375" s="10">
        <v>45765</v>
      </c>
      <c r="AL375" s="10">
        <v>45771</v>
      </c>
      <c r="AM375" s="10">
        <v>45779</v>
      </c>
      <c r="AN375" s="9" t="s">
        <v>95</v>
      </c>
      <c r="AO375" s="9"/>
      <c r="AP375" s="11">
        <f>IF($H375="Cancelled","",IFERROR(IF(OR(AK375="",AB375=""),"",(AB375+Variables!$B$18-AK375)),""))</f>
        <v>-4</v>
      </c>
      <c r="AQ375" s="11">
        <f>IF($H375="Cancelled","",IFERROR(IF(OR(AM375="",AK375=""),"",(AK375+Variables!$B$19)-AM375),""))</f>
        <v>-9</v>
      </c>
      <c r="AR375" s="12">
        <f>IF($H375="Cancelled","",IFERROR(T375*INDEX(Variables!$B$7:$D$7,IFERROR(MATCH(IF($B375="Robusta","Robusta",(IF($B375="","Arabica",$B375))&amp;" - "&amp;(IF($C375="","Commercial",$C375))),Variables!$B$1:$D$1,0),1))*(AQ375/365),""))</f>
        <v>-423.15740293077744</v>
      </c>
      <c r="AS375" s="12">
        <f>IF($H375="Cancelled","",IFERROR((T375*INDEX(Variables!$B$7:$D$7,IFERROR(MATCH(IF($B375="Robusta","Robusta",(IF($B375="","Arabica",$B375))&amp;" - "&amp;(IF($C375="","Commercial",$C375))),Variables!$B$1:$D$1,0),1))*IFERROR(IF(W375="","",(AVERAGE(E375:F375)-W375)-Variables!$B$14),"")/365)+(L375/16.67*INDEX(Variables!$B$8:$D$8,IFERROR(MATCH(IF($B375="Robusta","Robusta",(IF($B375="","Arabica",$B375))&amp;" - "&amp;(IF($C375="","Commercial",$C375))),Variables!$B$1:$D$1,0),1))*IFERROR(IF(W375="","",(AVERAGE(E375:F375)-W375)-Variables!$B$14),""))+(T375*INDEX(Variables!$B$9:$D$9,IFERROR(MATCH(IF($B375="Robusta","Robusta",(IF($B375="","Arabica",$B375))&amp;" - "&amp;(IF($C375="","Commercial",$C375))),Variables!$B$1:$D$1,0),1))*IFERROR(IF(W375="","",(AVERAGE(E375:F375)-W375)-Variables!$B$14),"")/365),""))</f>
        <v>-1296.1663485133188</v>
      </c>
      <c r="AT375" s="12">
        <f>IF($H375="Cancelled","",IFERROR((T375*INDEX(Variables!$B$7:$D$7,IFERROR(MATCH(IF($B375="Robusta","Robusta",(IF($B375="","Arabica",$B375))&amp;" - "&amp;(IF($C375="","Commercial",$C375))),Variables!$B$1:$D$1,0),1))*AC375/365)+(L375/16.67*INDEX(Variables!$B$8:$D$8,IFERROR(MATCH(IF($B375="Robusta","Robusta",(IF($B375="","Arabica",$B375))&amp;" - "&amp;(IF($C375="","Commercial",$C375))),Variables!$B$1:$D$1,0),1))*AC375)+(T375*INDEX(Variables!$B$9:$D$9,IFERROR(MATCH(IF($B375="Robusta","Robusta",(IF($B375="","Arabica",$B375))&amp;" - "&amp;(IF($C375="","Commercial",$C375))),Variables!$B$1:$D$1,0),1))*AC375/365),""))</f>
        <v>167.24727077591209</v>
      </c>
      <c r="AU375" s="12">
        <f>IF($H375="Cancelled","",IFERROR((T375*INDEX(Variables!$B$7:$D$7,IFERROR(MATCH(IF($B375="Robusta","Robusta",(IF($B375="","Arabica",$B375))&amp;" - "&amp;(IF($C375="","Commercial",$C375))),Variables!$B$1:$D$1,0),1))*AP375/365)+(L375/16.67*INDEX(Variables!$B$8:$D$8,IFERROR(MATCH(IF($B375="Robusta","Robusta",(IF($B375="","Arabica",$B375))&amp;" - "&amp;(IF($C375="","Commercial",$C375))),Variables!$B$1:$D$1,0),1))*AP375)+(T375*INDEX(Variables!$B$9:$D$9,IFERROR(MATCH(IF($B375="Robusta","Robusta",(IF($B375="","Arabica",$B375))&amp;" - "&amp;(IF($C375="","Commercial",$C375))),Variables!$B$1:$D$1,0),1))*AP375/365),""))</f>
        <v>-334.49454155182417</v>
      </c>
      <c r="AV375" s="11">
        <f t="shared" si="37"/>
        <v>12</v>
      </c>
      <c r="AW375" s="12">
        <f>IF($H375="Cancelled","",IFERROR(IF(AV375="","",(T375*INDEX(Variables!$B$7:$D$7,IFERROR(MATCH(IF($B375="Robusta","Robusta",(IF($B375="","Arabica",$B375))&amp;" - "&amp;(IF($C375="","Commercial",$C375))),Variables!$B$1:$D$1,0),1))*(AV375/365))+(T375*INDEX(Variables!$B$9:$D$9,IFERROR(MATCH(IF($B375="Robusta","Robusta",(IF($B375="","Arabica",$B375))&amp;" - "&amp;(IF($C375="","Commercial",$C375))),Variables!$B$1:$D$1,0),1))*(AV375/365))+(INDEX(Variables!$B$8:$D$8,IFERROR(MATCH(IF($B375="Robusta","Robusta",(IF($B375="","Arabica",$B375))&amp;" - "&amp;(IF($C375="","Commercial",$C375))),Variables!$B$1:$D$1,0),1))*L375/16.67)),""))</f>
        <v>607.48362465547245</v>
      </c>
      <c r="AX375" s="9"/>
      <c r="AY375" s="12"/>
      <c r="AZ375" s="10"/>
      <c r="BA375" s="9"/>
      <c r="BB375" s="10"/>
      <c r="BC375" s="9"/>
      <c r="BD375" s="9"/>
      <c r="BE375" s="9"/>
      <c r="BF375" s="9"/>
    </row>
    <row r="376" spans="1:58" x14ac:dyDescent="0.25">
      <c r="A376" s="9" t="s">
        <v>84</v>
      </c>
      <c r="B376" s="9" t="s">
        <v>85</v>
      </c>
      <c r="C376" s="9" t="s">
        <v>86</v>
      </c>
      <c r="D376" s="10">
        <v>45736</v>
      </c>
      <c r="E376" s="10">
        <v>45748</v>
      </c>
      <c r="F376" s="10">
        <v>45777</v>
      </c>
      <c r="G376" s="9">
        <v>3786857</v>
      </c>
      <c r="H376" s="9" t="str">
        <f t="shared" si="35"/>
        <v>Closed</v>
      </c>
      <c r="I376" s="9" t="str">
        <f t="shared" si="36"/>
        <v>All dates received</v>
      </c>
      <c r="J376" s="9" t="s">
        <v>225</v>
      </c>
      <c r="K376" s="9">
        <v>5237</v>
      </c>
      <c r="L376" s="11">
        <v>960</v>
      </c>
      <c r="M376" s="9" t="s">
        <v>985</v>
      </c>
      <c r="N376" s="9" t="s">
        <v>126</v>
      </c>
      <c r="O376" s="9"/>
      <c r="P376" s="9"/>
      <c r="Q376" s="11">
        <v>6</v>
      </c>
      <c r="R376" s="9" t="s">
        <v>202</v>
      </c>
      <c r="S376" s="9" t="s">
        <v>228</v>
      </c>
      <c r="T376" s="12">
        <f>IF($H376="Cancelled","",IFERROR(((Q376+INDEX(Variables!$B$6:$D$6,IFERROR(MATCH(IF($B376="Robusta","Robusta",(IF($B376="","Arabica",$B376))&amp;" - "&amp;(IF($C376="","Commercial",$C376))),Variables!$B$1:$D$1,0),1)))*22.0462)*(L376/16.67),""))</f>
        <v>376819.41653269337</v>
      </c>
      <c r="U376" s="10"/>
      <c r="V376" s="9" t="s">
        <v>986</v>
      </c>
      <c r="W376" s="10">
        <v>45748</v>
      </c>
      <c r="X376" s="9" t="str">
        <f t="shared" si="41"/>
        <v>Approved</v>
      </c>
      <c r="Y376" s="10">
        <v>45756</v>
      </c>
      <c r="Z376" s="10">
        <f>IF($H376="Cancelled","",IFERROR(IF(F376="","",F376-Variables!$B$13),""))</f>
        <v>45762</v>
      </c>
      <c r="AA376" s="11">
        <f>IF($H376="Cancelled","",IFERROR(IF(W376="","",(AVERAGE(E376:F376)-W376)-Variables!$B$14),""))</f>
        <v>-15.5</v>
      </c>
      <c r="AB376" s="10">
        <v>45761</v>
      </c>
      <c r="AC376" s="11">
        <f>IF($H376="Cancelled","",IFERROR(IF(AB376="","",IF(AND(W376="",Y376=""),"",IF(Y376&gt;W376,Y376+Variables!$B$15+Variables!$B$16+Variables!$B$17-AB376,W376+Variables!$B$16+Variables!$B$17-AB376))),""))</f>
        <v>10</v>
      </c>
      <c r="AD376" s="9" t="s">
        <v>987</v>
      </c>
      <c r="AE376" s="9" t="s">
        <v>219</v>
      </c>
      <c r="AF376" s="10"/>
      <c r="AG376" s="10"/>
      <c r="AH376" s="9"/>
      <c r="AI376" s="9">
        <v>252407538</v>
      </c>
      <c r="AJ376" s="9" t="s">
        <v>988</v>
      </c>
      <c r="AK376" s="10">
        <v>45772</v>
      </c>
      <c r="AL376" s="10">
        <v>45779</v>
      </c>
      <c r="AM376" s="10">
        <v>45791</v>
      </c>
      <c r="AN376" s="9" t="s">
        <v>95</v>
      </c>
      <c r="AO376" s="9"/>
      <c r="AP376" s="11">
        <f>IF($H376="Cancelled","",IFERROR(IF(OR(AK376="",AB376=""),"",(AB376+Variables!$B$18-AK376)),""))</f>
        <v>-4</v>
      </c>
      <c r="AQ376" s="11">
        <f>IF($H376="Cancelled","",IFERROR(IF(OR(AM376="",AK376=""),"",(AK376+Variables!$B$19)-AM376),""))</f>
        <v>-14</v>
      </c>
      <c r="AR376" s="12">
        <f>IF($H376="Cancelled","",IFERROR(T376*INDEX(Variables!$B$7:$D$7,IFERROR(MATCH(IF($B376="Robusta","Robusta",(IF($B376="","Arabica",$B376))&amp;" - "&amp;(IF($C376="","Commercial",$C376))),Variables!$B$1:$D$1,0),1))*(AQ376/365),""))</f>
        <v>-931.98364309704709</v>
      </c>
      <c r="AS376" s="12">
        <f>IF($H376="Cancelled","",IFERROR((T376*INDEX(Variables!$B$7:$D$7,IFERROR(MATCH(IF($B376="Robusta","Robusta",(IF($B376="","Arabica",$B376))&amp;" - "&amp;(IF($C376="","Commercial",$C376))),Variables!$B$1:$D$1,0),1))*IFERROR(IF(W376="","",(AVERAGE(E376:F376)-W376)-Variables!$B$14),"")/365)+(L376/16.67*INDEX(Variables!$B$8:$D$8,IFERROR(MATCH(IF($B376="Robusta","Robusta",(IF($B376="","Arabica",$B376))&amp;" - "&amp;(IF($C376="","Commercial",$C376))),Variables!$B$1:$D$1,0),1))*IFERROR(IF(W376="","",(AVERAGE(E376:F376)-W376)-Variables!$B$14),""))+(T376*INDEX(Variables!$B$9:$D$9,IFERROR(MATCH(IF($B376="Robusta","Robusta",(IF($B376="","Arabica",$B376))&amp;" - "&amp;(IF($C376="","Commercial",$C376))),Variables!$B$1:$D$1,0),1))*IFERROR(IF(W376="","",(AVERAGE(E376:F376)-W376)-Variables!$B$14),"")/365),""))</f>
        <v>-1789.1414298807535</v>
      </c>
      <c r="AT376" s="12">
        <f>IF($H376="Cancelled","",IFERROR((T376*INDEX(Variables!$B$7:$D$7,IFERROR(MATCH(IF($B376="Robusta","Robusta",(IF($B376="","Arabica",$B376))&amp;" - "&amp;(IF($C376="","Commercial",$C376))),Variables!$B$1:$D$1,0),1))*AC376/365)+(L376/16.67*INDEX(Variables!$B$8:$D$8,IFERROR(MATCH(IF($B376="Robusta","Robusta",(IF($B376="","Arabica",$B376))&amp;" - "&amp;(IF($C376="","Commercial",$C376))),Variables!$B$1:$D$1,0),1))*AC376)+(T376*INDEX(Variables!$B$9:$D$9,IFERROR(MATCH(IF($B376="Robusta","Robusta",(IF($B376="","Arabica",$B376))&amp;" - "&amp;(IF($C376="","Commercial",$C376))),Variables!$B$1:$D$1,0),1))*AC376/365),""))</f>
        <v>1154.2847934714539</v>
      </c>
      <c r="AU376" s="12">
        <f>IF($H376="Cancelled","",IFERROR((T376*INDEX(Variables!$B$7:$D$7,IFERROR(MATCH(IF($B376="Robusta","Robusta",(IF($B376="","Arabica",$B376))&amp;" - "&amp;(IF($C376="","Commercial",$C376))),Variables!$B$1:$D$1,0),1))*AP376/365)+(L376/16.67*INDEX(Variables!$B$8:$D$8,IFERROR(MATCH(IF($B376="Robusta","Robusta",(IF($B376="","Arabica",$B376))&amp;" - "&amp;(IF($C376="","Commercial",$C376))),Variables!$B$1:$D$1,0),1))*AP376)+(T376*INDEX(Variables!$B$9:$D$9,IFERROR(MATCH(IF($B376="Robusta","Robusta",(IF($B376="","Arabica",$B376))&amp;" - "&amp;(IF($C376="","Commercial",$C376))),Variables!$B$1:$D$1,0),1))*AP376/365),""))</f>
        <v>-461.71391738858159</v>
      </c>
      <c r="AV376" s="11">
        <f t="shared" si="37"/>
        <v>5</v>
      </c>
      <c r="AW376" s="12">
        <f>IF($H376="Cancelled","",IFERROR(IF(AV376="","",(T376*INDEX(Variables!$B$7:$D$7,IFERROR(MATCH(IF($B376="Robusta","Robusta",(IF($B376="","Arabica",$B376))&amp;" - "&amp;(IF($C376="","Commercial",$C376))),Variables!$B$1:$D$1,0),1))*(AV376/365))+(T376*INDEX(Variables!$B$9:$D$9,IFERROR(MATCH(IF($B376="Robusta","Robusta",(IF($B376="","Arabica",$B376))&amp;" - "&amp;(IF($C376="","Commercial",$C376))),Variables!$B$1:$D$1,0),1))*(AV376/365))+(INDEX(Variables!$B$8:$D$8,IFERROR(MATCH(IF($B376="Robusta","Robusta",(IF($B376="","Arabica",$B376))&amp;" - "&amp;(IF($C376="","Commercial",$C376))),Variables!$B$1:$D$1,0),1))*L376/16.67)),""))</f>
        <v>385.14239673572695</v>
      </c>
      <c r="AX376" s="9"/>
      <c r="AY376" s="12"/>
      <c r="AZ376" s="10"/>
      <c r="BA376" s="9"/>
      <c r="BB376" s="10"/>
      <c r="BC376" s="9"/>
      <c r="BD376" s="9"/>
      <c r="BE376" s="9"/>
      <c r="BF376" s="9"/>
    </row>
    <row r="377" spans="1:58" x14ac:dyDescent="0.25">
      <c r="A377" s="9" t="s">
        <v>84</v>
      </c>
      <c r="B377" s="9" t="s">
        <v>85</v>
      </c>
      <c r="C377" s="9" t="s">
        <v>86</v>
      </c>
      <c r="D377" s="10">
        <v>45736</v>
      </c>
      <c r="E377" s="10">
        <v>45839</v>
      </c>
      <c r="F377" s="10">
        <v>45869</v>
      </c>
      <c r="G377" s="9">
        <v>3786855</v>
      </c>
      <c r="H377" s="9" t="str">
        <f t="shared" si="35"/>
        <v>Closed</v>
      </c>
      <c r="I377" s="9" t="str">
        <f t="shared" si="36"/>
        <v>All dates received</v>
      </c>
      <c r="J377" s="9" t="s">
        <v>537</v>
      </c>
      <c r="K377" s="9">
        <v>5299</v>
      </c>
      <c r="L377" s="11">
        <v>1800</v>
      </c>
      <c r="M377" s="9" t="s">
        <v>949</v>
      </c>
      <c r="N377" s="9" t="s">
        <v>989</v>
      </c>
      <c r="O377" s="9"/>
      <c r="P377" s="9"/>
      <c r="Q377" s="11">
        <v>-32</v>
      </c>
      <c r="R377" s="9" t="s">
        <v>90</v>
      </c>
      <c r="S377" s="9" t="s">
        <v>538</v>
      </c>
      <c r="T377" s="12">
        <f>IF($H377="Cancelled","",IFERROR(((Q377+INDEX(Variables!$B$6:$D$6,IFERROR(MATCH(IF($B377="Robusta","Robusta",(IF($B377="","Arabica",$B377))&amp;" - "&amp;(IF($C377="","Commercial",$C377))),Variables!$B$1:$D$1,0),1)))*22.0462)*(L377/16.67),""))</f>
        <v>616076.89310137962</v>
      </c>
      <c r="U377" s="10">
        <v>45832</v>
      </c>
      <c r="V377" s="9" t="str">
        <f t="shared" ref="V377:V387" si="42">IF(ISNUMBER(U377),"Sent","")</f>
        <v>Sent</v>
      </c>
      <c r="W377" s="10">
        <v>37810</v>
      </c>
      <c r="X377" s="9" t="str">
        <f t="shared" si="41"/>
        <v>Approved</v>
      </c>
      <c r="Y377" s="10"/>
      <c r="Z377" s="10">
        <f>IF($H377="Cancelled","",IFERROR(IF(F377="","",F377-Variables!$B$13),""))</f>
        <v>45854</v>
      </c>
      <c r="AA377" s="11">
        <f>IF($H377="Cancelled","",IFERROR(IF(W377="","",(AVERAGE(E377:F377)-W377)-Variables!$B$14),""))</f>
        <v>8014</v>
      </c>
      <c r="AB377" s="10">
        <v>45852</v>
      </c>
      <c r="AC377" s="11">
        <f>IF($H377="Cancelled","",IFERROR(IF(AB377="","",IF(AND(W377="",Y377=""),"",IF(Y377&gt;W377,Y377+Variables!$B$15+Variables!$B$16+Variables!$B$17-AB377,W377+Variables!$B$16+Variables!$B$17-AB377))),""))</f>
        <v>-8034</v>
      </c>
      <c r="AD377" s="9" t="s">
        <v>990</v>
      </c>
      <c r="AE377" s="9" t="s">
        <v>324</v>
      </c>
      <c r="AF377" s="10"/>
      <c r="AG377" s="10"/>
      <c r="AH377" s="9"/>
      <c r="AI377" s="9">
        <v>256573558</v>
      </c>
      <c r="AJ377" s="9" t="s">
        <v>8</v>
      </c>
      <c r="AK377" s="10">
        <v>45860</v>
      </c>
      <c r="AL377" s="10">
        <v>45866</v>
      </c>
      <c r="AM377" s="10">
        <v>45866</v>
      </c>
      <c r="AN377" s="9" t="s">
        <v>95</v>
      </c>
      <c r="AO377" s="9"/>
      <c r="AP377" s="11">
        <f>IF($H377="Cancelled","",IFERROR(IF(OR(AK377="",AB377=""),"",(AB377+Variables!$B$18-AK377)),""))</f>
        <v>-1</v>
      </c>
      <c r="AQ377" s="11">
        <f>IF($H377="Cancelled","",IFERROR(IF(OR(AM377="",AK377=""),"",(AK377+Variables!$B$19)-AM377),""))</f>
        <v>-1</v>
      </c>
      <c r="AR377" s="12">
        <f>IF($H377="Cancelled","",IFERROR(T377*INDEX(Variables!$B$7:$D$7,IFERROR(MATCH(IF($B377="Robusta","Robusta",(IF($B377="","Arabica",$B377))&amp;" - "&amp;(IF($C377="","Commercial",$C377))),Variables!$B$1:$D$1,0),1))*(AQ377/365),""))</f>
        <v>-108.83833818175832</v>
      </c>
      <c r="AS377" s="12">
        <f>IF($H377="Cancelled","",IFERROR((T377*INDEX(Variables!$B$7:$D$7,IFERROR(MATCH(IF($B377="Robusta","Robusta",(IF($B377="","Arabica",$B377))&amp;" - "&amp;(IF($C377="","Commercial",$C377))),Variables!$B$1:$D$1,0),1))*IFERROR(IF(W377="","",(AVERAGE(E377:F377)-W377)-Variables!$B$14),"")/365)+(L377/16.67*INDEX(Variables!$B$8:$D$8,IFERROR(MATCH(IF($B377="Robusta","Robusta",(IF($B377="","Arabica",$B377))&amp;" - "&amp;(IF($C377="","Commercial",$C377))),Variables!$B$1:$D$1,0),1))*IFERROR(IF(W377="","",(AVERAGE(E377:F377)-W377)-Variables!$B$14),""))+(T377*INDEX(Variables!$B$9:$D$9,IFERROR(MATCH(IF($B377="Robusta","Robusta",(IF($B377="","Arabica",$B377))&amp;" - "&amp;(IF($C377="","Commercial",$C377))),Variables!$B$1:$D$1,0),1))*IFERROR(IF(W377="","",(AVERAGE(E377:F377)-W377)-Variables!$B$14),"")/365),""))</f>
        <v>1604735.1758762242</v>
      </c>
      <c r="AT377" s="12">
        <f>IF($H377="Cancelled","",IFERROR((T377*INDEX(Variables!$B$7:$D$7,IFERROR(MATCH(IF($B377="Robusta","Robusta",(IF($B377="","Arabica",$B377))&amp;" - "&amp;(IF($C377="","Commercial",$C377))),Variables!$B$1:$D$1,0),1))*AC377/365)+(L377/16.67*INDEX(Variables!$B$8:$D$8,IFERROR(MATCH(IF($B377="Robusta","Robusta",(IF($B377="","Arabica",$B377))&amp;" - "&amp;(IF($C377="","Commercial",$C377))),Variables!$B$1:$D$1,0),1))*AC377)+(T377*INDEX(Variables!$B$9:$D$9,IFERROR(MATCH(IF($B377="Robusta","Robusta",(IF($B377="","Arabica",$B377))&amp;" - "&amp;(IF($C377="","Commercial",$C377))),Variables!$B$1:$D$1,0),1))*AC377/365),""))</f>
        <v>-1608740.0053643105</v>
      </c>
      <c r="AU377" s="12">
        <f>IF($H377="Cancelled","",IFERROR((T377*INDEX(Variables!$B$7:$D$7,IFERROR(MATCH(IF($B377="Robusta","Robusta",(IF($B377="","Arabica",$B377))&amp;" - "&amp;(IF($C377="","Commercial",$C377))),Variables!$B$1:$D$1,0),1))*AP377/365)+(L377/16.67*INDEX(Variables!$B$8:$D$8,IFERROR(MATCH(IF($B377="Robusta","Robusta",(IF($B377="","Arabica",$B377))&amp;" - "&amp;(IF($C377="","Commercial",$C377))),Variables!$B$1:$D$1,0),1))*AP377)+(T377*INDEX(Variables!$B$9:$D$9,IFERROR(MATCH(IF($B377="Robusta","Robusta",(IF($B377="","Arabica",$B377))&amp;" - "&amp;(IF($C377="","Commercial",$C377))),Variables!$B$1:$D$1,0),1))*AP377/365),""))</f>
        <v>-200.24147440432046</v>
      </c>
      <c r="AV377" s="11">
        <f t="shared" si="37"/>
        <v>9</v>
      </c>
      <c r="AW377" s="12">
        <f>IF($H377="Cancelled","",IFERROR(IF(AV377="","",(T377*INDEX(Variables!$B$7:$D$7,IFERROR(MATCH(IF($B377="Robusta","Robusta",(IF($B377="","Arabica",$B377))&amp;" - "&amp;(IF($C377="","Commercial",$C377))),Variables!$B$1:$D$1,0),1))*(AV377/365))+(T377*INDEX(Variables!$B$9:$D$9,IFERROR(MATCH(IF($B377="Robusta","Robusta",(IF($B377="","Arabica",$B377))&amp;" - "&amp;(IF($C377="","Commercial",$C377))),Variables!$B$1:$D$1,0),1))*(AV377/365))+(INDEX(Variables!$B$8:$D$8,IFERROR(MATCH(IF($B377="Robusta","Robusta",(IF($B377="","Arabica",$B377))&amp;" - "&amp;(IF($C377="","Commercial",$C377))),Variables!$B$1:$D$1,0),1))*L377/16.67)),""))</f>
        <v>1082.173269638884</v>
      </c>
      <c r="AX377" s="9"/>
      <c r="AY377" s="12"/>
      <c r="AZ377" s="10"/>
      <c r="BA377" s="9"/>
      <c r="BB377" s="10"/>
      <c r="BC377" s="9"/>
      <c r="BD377" s="9"/>
      <c r="BE377" s="9"/>
      <c r="BF377" s="9"/>
    </row>
    <row r="378" spans="1:58" x14ac:dyDescent="0.25">
      <c r="A378" s="9" t="s">
        <v>84</v>
      </c>
      <c r="B378" s="9" t="s">
        <v>85</v>
      </c>
      <c r="C378" s="9" t="s">
        <v>86</v>
      </c>
      <c r="D378" s="10">
        <v>45736</v>
      </c>
      <c r="E378" s="10">
        <v>45870</v>
      </c>
      <c r="F378" s="10">
        <v>45900</v>
      </c>
      <c r="G378" s="9">
        <v>3786856</v>
      </c>
      <c r="H378" s="9" t="str">
        <f t="shared" si="35"/>
        <v>Closed</v>
      </c>
      <c r="I378" s="9" t="str">
        <f t="shared" si="36"/>
        <v>All dates received</v>
      </c>
      <c r="J378" s="9" t="s">
        <v>537</v>
      </c>
      <c r="K378" s="9">
        <v>5311</v>
      </c>
      <c r="L378" s="11">
        <v>1440</v>
      </c>
      <c r="M378" s="9" t="s">
        <v>949</v>
      </c>
      <c r="N378" s="9" t="s">
        <v>989</v>
      </c>
      <c r="O378" s="9"/>
      <c r="P378" s="9"/>
      <c r="Q378" s="11">
        <v>-32</v>
      </c>
      <c r="R378" s="9" t="s">
        <v>90</v>
      </c>
      <c r="S378" s="9" t="s">
        <v>538</v>
      </c>
      <c r="T378" s="12">
        <f>IF($H378="Cancelled","",IFERROR(((Q378+INDEX(Variables!$B$6:$D$6,IFERROR(MATCH(IF($B378="Robusta","Robusta",(IF($B378="","Arabica",$B378))&amp;" - "&amp;(IF($C378="","Commercial",$C378))),Variables!$B$1:$D$1,0),1)))*22.0462)*(L378/16.67),""))</f>
        <v>492861.51448110375</v>
      </c>
      <c r="U378" s="10">
        <v>45841</v>
      </c>
      <c r="V378" s="9" t="str">
        <f t="shared" si="42"/>
        <v>Sent</v>
      </c>
      <c r="W378" s="10">
        <v>45846</v>
      </c>
      <c r="X378" s="9" t="str">
        <f t="shared" si="41"/>
        <v>Approved</v>
      </c>
      <c r="Y378" s="10"/>
      <c r="Z378" s="10">
        <f>IF($H378="Cancelled","",IFERROR(IF(F378="","",F378-Variables!$B$13),""))</f>
        <v>45885</v>
      </c>
      <c r="AA378" s="11">
        <f>IF($H378="Cancelled","",IFERROR(IF(W378="","",(AVERAGE(E378:F378)-W378)-Variables!$B$14),""))</f>
        <v>9</v>
      </c>
      <c r="AB378" s="10">
        <v>45869</v>
      </c>
      <c r="AC378" s="11">
        <f>IF($H378="Cancelled","",IFERROR(IF(AB378="","",IF(AND(W378="",Y378=""),"",IF(Y378&gt;W378,Y378+Variables!$B$15+Variables!$B$16+Variables!$B$17-AB378,W378+Variables!$B$16+Variables!$B$17-AB378))),""))</f>
        <v>-15</v>
      </c>
      <c r="AD378" s="9" t="s">
        <v>990</v>
      </c>
      <c r="AE378" s="9" t="s">
        <v>770</v>
      </c>
      <c r="AF378" s="10"/>
      <c r="AG378" s="10"/>
      <c r="AH378" s="9"/>
      <c r="AI378" s="9">
        <v>256502801</v>
      </c>
      <c r="AJ378" s="9" t="s">
        <v>8</v>
      </c>
      <c r="AK378" s="10">
        <v>45886</v>
      </c>
      <c r="AL378" s="10">
        <v>45887</v>
      </c>
      <c r="AM378" s="10">
        <v>45889</v>
      </c>
      <c r="AN378" s="9" t="s">
        <v>95</v>
      </c>
      <c r="AO378" s="9"/>
      <c r="AP378" s="11">
        <f>IF($H378="Cancelled","",IFERROR(IF(OR(AK378="",AB378=""),"",(AB378+Variables!$B$18-AK378)),""))</f>
        <v>-10</v>
      </c>
      <c r="AQ378" s="11">
        <f>IF($H378="Cancelled","",IFERROR(IF(OR(AM378="",AK378=""),"",(AK378+Variables!$B$19)-AM378),""))</f>
        <v>2</v>
      </c>
      <c r="AR378" s="12">
        <f>IF($H378="Cancelled","",IFERROR(T378*INDEX(Variables!$B$7:$D$7,IFERROR(MATCH(IF($B378="Robusta","Robusta",(IF($B378="","Arabica",$B378))&amp;" - "&amp;(IF($C378="","Commercial",$C378))),Variables!$B$1:$D$1,0),1))*(AQ378/365),""))</f>
        <v>174.14134109081331</v>
      </c>
      <c r="AS378" s="12">
        <f>IF($H378="Cancelled","",IFERROR((T378*INDEX(Variables!$B$7:$D$7,IFERROR(MATCH(IF($B378="Robusta","Robusta",(IF($B378="","Arabica",$B378))&amp;" - "&amp;(IF($C378="","Commercial",$C378))),Variables!$B$1:$D$1,0),1))*IFERROR(IF(W378="","",(AVERAGE(E378:F378)-W378)-Variables!$B$14),"")/365)+(L378/16.67*INDEX(Variables!$B$8:$D$8,IFERROR(MATCH(IF($B378="Robusta","Robusta",(IF($B378="","Arabica",$B378))&amp;" - "&amp;(IF($C378="","Commercial",$C378))),Variables!$B$1:$D$1,0),1))*IFERROR(IF(W378="","",(AVERAGE(E378:F378)-W378)-Variables!$B$14),""))+(T378*INDEX(Variables!$B$9:$D$9,IFERROR(MATCH(IF($B378="Robusta","Robusta",(IF($B378="","Arabica",$B378))&amp;" - "&amp;(IF($C378="","Commercial",$C378))),Variables!$B$1:$D$1,0),1))*IFERROR(IF(W378="","",(AVERAGE(E378:F378)-W378)-Variables!$B$14),"")/365),""))</f>
        <v>1441.7386157111075</v>
      </c>
      <c r="AT378" s="12">
        <f>IF($H378="Cancelled","",IFERROR((T378*INDEX(Variables!$B$7:$D$7,IFERROR(MATCH(IF($B378="Robusta","Robusta",(IF($B378="","Arabica",$B378))&amp;" - "&amp;(IF($C378="","Commercial",$C378))),Variables!$B$1:$D$1,0),1))*AC378/365)+(L378/16.67*INDEX(Variables!$B$8:$D$8,IFERROR(MATCH(IF($B378="Robusta","Robusta",(IF($B378="","Arabica",$B378))&amp;" - "&amp;(IF($C378="","Commercial",$C378))),Variables!$B$1:$D$1,0),1))*AC378)+(T378*INDEX(Variables!$B$9:$D$9,IFERROR(MATCH(IF($B378="Robusta","Robusta",(IF($B378="","Arabica",$B378))&amp;" - "&amp;(IF($C378="","Commercial",$C378))),Variables!$B$1:$D$1,0),1))*AC378/365),""))</f>
        <v>-2402.8976928518455</v>
      </c>
      <c r="AU378" s="12">
        <f>IF($H378="Cancelled","",IFERROR((T378*INDEX(Variables!$B$7:$D$7,IFERROR(MATCH(IF($B378="Robusta","Robusta",(IF($B378="","Arabica",$B378))&amp;" - "&amp;(IF($C378="","Commercial",$C378))),Variables!$B$1:$D$1,0),1))*AP378/365)+(L378/16.67*INDEX(Variables!$B$8:$D$8,IFERROR(MATCH(IF($B378="Robusta","Robusta",(IF($B378="","Arabica",$B378))&amp;" - "&amp;(IF($C378="","Commercial",$C378))),Variables!$B$1:$D$1,0),1))*AP378)+(T378*INDEX(Variables!$B$9:$D$9,IFERROR(MATCH(IF($B378="Robusta","Robusta",(IF($B378="","Arabica",$B378))&amp;" - "&amp;(IF($C378="","Commercial",$C378))),Variables!$B$1:$D$1,0),1))*AP378/365),""))</f>
        <v>-1601.9317952345637</v>
      </c>
      <c r="AV378" s="11">
        <f t="shared" si="37"/>
        <v>14</v>
      </c>
      <c r="AW378" s="12">
        <f>IF($H378="Cancelled","",IFERROR(IF(AV378="","",(T378*INDEX(Variables!$B$7:$D$7,IFERROR(MATCH(IF($B378="Robusta","Robusta",(IF($B378="","Arabica",$B378))&amp;" - "&amp;(IF($C378="","Commercial",$C378))),Variables!$B$1:$D$1,0),1))*(AV378/365))+(T378*INDEX(Variables!$B$9:$D$9,IFERROR(MATCH(IF($B378="Robusta","Robusta",(IF($B378="","Arabica",$B378))&amp;" - "&amp;(IF($C378="","Commercial",$C378))),Variables!$B$1:$D$1,0),1))*(AV378/365))+(INDEX(Variables!$B$8:$D$8,IFERROR(MATCH(IF($B378="Robusta","Robusta",(IF($B378="","Arabica",$B378))&amp;" - "&amp;(IF($C378="","Commercial",$C378))),Variables!$B$1:$D$1,0),1))*L378/16.67)),""))</f>
        <v>1306.7045133283891</v>
      </c>
      <c r="AX378" s="9"/>
      <c r="AY378" s="12"/>
      <c r="AZ378" s="10"/>
      <c r="BA378" s="9"/>
      <c r="BB378" s="10"/>
      <c r="BC378" s="9"/>
      <c r="BD378" s="9"/>
      <c r="BE378" s="9"/>
      <c r="BF378" s="9"/>
    </row>
    <row r="379" spans="1:58" x14ac:dyDescent="0.25">
      <c r="A379" s="9" t="s">
        <v>84</v>
      </c>
      <c r="B379" s="9" t="s">
        <v>85</v>
      </c>
      <c r="C379" s="9" t="s">
        <v>86</v>
      </c>
      <c r="D379" s="10">
        <v>45736</v>
      </c>
      <c r="E379" s="10">
        <v>45870</v>
      </c>
      <c r="F379" s="10">
        <v>45900</v>
      </c>
      <c r="G379" s="9">
        <v>3786856</v>
      </c>
      <c r="H379" s="9" t="str">
        <f t="shared" si="35"/>
        <v>Closed</v>
      </c>
      <c r="I379" s="9" t="str">
        <f t="shared" si="36"/>
        <v>All dates received</v>
      </c>
      <c r="J379" s="9" t="s">
        <v>537</v>
      </c>
      <c r="K379" s="9">
        <v>5311</v>
      </c>
      <c r="L379" s="11">
        <v>360</v>
      </c>
      <c r="M379" s="9" t="s">
        <v>949</v>
      </c>
      <c r="N379" s="9" t="s">
        <v>989</v>
      </c>
      <c r="O379" s="9"/>
      <c r="P379" s="9"/>
      <c r="Q379" s="11">
        <v>-32</v>
      </c>
      <c r="R379" s="9" t="s">
        <v>90</v>
      </c>
      <c r="S379" s="9" t="s">
        <v>538</v>
      </c>
      <c r="T379" s="12">
        <f>IF($H379="Cancelled","",IFERROR(((Q379+INDEX(Variables!$B$6:$D$6,IFERROR(MATCH(IF($B379="Robusta","Robusta",(IF($B379="","Arabica",$B379))&amp;" - "&amp;(IF($C379="","Commercial",$C379))),Variables!$B$1:$D$1,0),1)))*22.0462)*(L379/16.67),""))</f>
        <v>123215.37862027594</v>
      </c>
      <c r="U379" s="10">
        <v>45841</v>
      </c>
      <c r="V379" s="9" t="str">
        <f t="shared" si="42"/>
        <v>Sent</v>
      </c>
      <c r="W379" s="10">
        <v>45846</v>
      </c>
      <c r="X379" s="9" t="str">
        <f t="shared" si="41"/>
        <v>Approved</v>
      </c>
      <c r="Y379" s="10"/>
      <c r="Z379" s="10">
        <f>IF($H379="Cancelled","",IFERROR(IF(F379="","",F379-Variables!$B$13),""))</f>
        <v>45885</v>
      </c>
      <c r="AA379" s="11">
        <f>IF($H379="Cancelled","",IFERROR(IF(W379="","",(AVERAGE(E379:F379)-W379)-Variables!$B$14),""))</f>
        <v>9</v>
      </c>
      <c r="AB379" s="10">
        <v>45869</v>
      </c>
      <c r="AC379" s="11">
        <f>IF($H379="Cancelled","",IFERROR(IF(AB379="","",IF(AND(W379="",Y379=""),"",IF(Y379&gt;W379,Y379+Variables!$B$15+Variables!$B$16+Variables!$B$17-AB379,W379+Variables!$B$16+Variables!$B$17-AB379))),""))</f>
        <v>-15</v>
      </c>
      <c r="AD379" s="9" t="s">
        <v>990</v>
      </c>
      <c r="AE379" s="9" t="s">
        <v>203</v>
      </c>
      <c r="AF379" s="10"/>
      <c r="AG379" s="10"/>
      <c r="AH379" s="9"/>
      <c r="AI379" s="9">
        <v>258362925</v>
      </c>
      <c r="AJ379" s="9" t="s">
        <v>8</v>
      </c>
      <c r="AK379" s="10">
        <v>45896</v>
      </c>
      <c r="AL379" s="10">
        <v>45896</v>
      </c>
      <c r="AM379" s="10">
        <v>45896</v>
      </c>
      <c r="AN379" s="9" t="s">
        <v>95</v>
      </c>
      <c r="AO379" s="9"/>
      <c r="AP379" s="11">
        <f>IF($H379="Cancelled","",IFERROR(IF(OR(AK379="",AB379=""),"",(AB379+Variables!$B$18-AK379)),""))</f>
        <v>-20</v>
      </c>
      <c r="AQ379" s="11">
        <f>IF($H379="Cancelled","",IFERROR(IF(OR(AM379="",AK379=""),"",(AK379+Variables!$B$19)-AM379),""))</f>
        <v>5</v>
      </c>
      <c r="AR379" s="12">
        <f>IF($H379="Cancelled","",IFERROR(T379*INDEX(Variables!$B$7:$D$7,IFERROR(MATCH(IF($B379="Robusta","Robusta",(IF($B379="","Arabica",$B379))&amp;" - "&amp;(IF($C379="","Commercial",$C379))),Variables!$B$1:$D$1,0),1))*(AQ379/365),""))</f>
        <v>108.83833818175832</v>
      </c>
      <c r="AS379" s="12">
        <f>IF($H379="Cancelled","",IFERROR((T379*INDEX(Variables!$B$7:$D$7,IFERROR(MATCH(IF($B379="Robusta","Robusta",(IF($B379="","Arabica",$B379))&amp;" - "&amp;(IF($C379="","Commercial",$C379))),Variables!$B$1:$D$1,0),1))*IFERROR(IF(W379="","",(AVERAGE(E379:F379)-W379)-Variables!$B$14),"")/365)+(L379/16.67*INDEX(Variables!$B$8:$D$8,IFERROR(MATCH(IF($B379="Robusta","Robusta",(IF($B379="","Arabica",$B379))&amp;" - "&amp;(IF($C379="","Commercial",$C379))),Variables!$B$1:$D$1,0),1))*IFERROR(IF(W379="","",(AVERAGE(E379:F379)-W379)-Variables!$B$14),""))+(T379*INDEX(Variables!$B$9:$D$9,IFERROR(MATCH(IF($B379="Robusta","Robusta",(IF($B379="","Arabica",$B379))&amp;" - "&amp;(IF($C379="","Commercial",$C379))),Variables!$B$1:$D$1,0),1))*IFERROR(IF(W379="","",(AVERAGE(E379:F379)-W379)-Variables!$B$14),"")/365),""))</f>
        <v>360.43465392777688</v>
      </c>
      <c r="AT379" s="12">
        <f>IF($H379="Cancelled","",IFERROR((T379*INDEX(Variables!$B$7:$D$7,IFERROR(MATCH(IF($B379="Robusta","Robusta",(IF($B379="","Arabica",$B379))&amp;" - "&amp;(IF($C379="","Commercial",$C379))),Variables!$B$1:$D$1,0),1))*AC379/365)+(L379/16.67*INDEX(Variables!$B$8:$D$8,IFERROR(MATCH(IF($B379="Robusta","Robusta",(IF($B379="","Arabica",$B379))&amp;" - "&amp;(IF($C379="","Commercial",$C379))),Variables!$B$1:$D$1,0),1))*AC379)+(T379*INDEX(Variables!$B$9:$D$9,IFERROR(MATCH(IF($B379="Robusta","Robusta",(IF($B379="","Arabica",$B379))&amp;" - "&amp;(IF($C379="","Commercial",$C379))),Variables!$B$1:$D$1,0),1))*AC379/365),""))</f>
        <v>-600.72442321296137</v>
      </c>
      <c r="AU379" s="12">
        <f>IF($H379="Cancelled","",IFERROR((T379*INDEX(Variables!$B$7:$D$7,IFERROR(MATCH(IF($B379="Robusta","Robusta",(IF($B379="","Arabica",$B379))&amp;" - "&amp;(IF($C379="","Commercial",$C379))),Variables!$B$1:$D$1,0),1))*AP379/365)+(L379/16.67*INDEX(Variables!$B$8:$D$8,IFERROR(MATCH(IF($B379="Robusta","Robusta",(IF($B379="","Arabica",$B379))&amp;" - "&amp;(IF($C379="","Commercial",$C379))),Variables!$B$1:$D$1,0),1))*AP379)+(T379*INDEX(Variables!$B$9:$D$9,IFERROR(MATCH(IF($B379="Robusta","Robusta",(IF($B379="","Arabica",$B379))&amp;" - "&amp;(IF($C379="","Commercial",$C379))),Variables!$B$1:$D$1,0),1))*AP379/365),""))</f>
        <v>-800.96589761728183</v>
      </c>
      <c r="AV379" s="11">
        <f t="shared" si="37"/>
        <v>4</v>
      </c>
      <c r="AW379" s="12">
        <f>IF($H379="Cancelled","",IFERROR(IF(AV379="","",(T379*INDEX(Variables!$B$7:$D$7,IFERROR(MATCH(IF($B379="Robusta","Robusta",(IF($B379="","Arabica",$B379))&amp;" - "&amp;(IF($C379="","Commercial",$C379))),Variables!$B$1:$D$1,0),1))*(AV379/365))+(T379*INDEX(Variables!$B$9:$D$9,IFERROR(MATCH(IF($B379="Robusta","Robusta",(IF($B379="","Arabica",$B379))&amp;" - "&amp;(IF($C379="","Commercial",$C379))),Variables!$B$1:$D$1,0),1))*(AV379/365))+(INDEX(Variables!$B$8:$D$8,IFERROR(MATCH(IF($B379="Robusta","Robusta",(IF($B379="","Arabica",$B379))&amp;" - "&amp;(IF($C379="","Commercial",$C379))),Variables!$B$1:$D$1,0),1))*L379/16.67)),""))</f>
        <v>106.19317952345637</v>
      </c>
      <c r="AX379" s="9"/>
      <c r="AY379" s="12"/>
      <c r="AZ379" s="10"/>
      <c r="BA379" s="9"/>
      <c r="BB379" s="10"/>
      <c r="BC379" s="9"/>
      <c r="BD379" s="9"/>
      <c r="BE379" s="9"/>
      <c r="BF379" s="9"/>
    </row>
    <row r="380" spans="1:58" x14ac:dyDescent="0.25">
      <c r="A380" s="9" t="s">
        <v>84</v>
      </c>
      <c r="B380" s="9" t="s">
        <v>85</v>
      </c>
      <c r="C380" s="9" t="s">
        <v>86</v>
      </c>
      <c r="D380" s="10">
        <v>45737</v>
      </c>
      <c r="E380" s="10">
        <v>45778</v>
      </c>
      <c r="F380" s="10">
        <v>45808</v>
      </c>
      <c r="G380" s="9">
        <v>3786865</v>
      </c>
      <c r="H380" s="9" t="str">
        <f t="shared" si="35"/>
        <v>Closed</v>
      </c>
      <c r="I380" s="9" t="str">
        <f t="shared" si="36"/>
        <v>All dates received</v>
      </c>
      <c r="J380" s="9" t="s">
        <v>102</v>
      </c>
      <c r="K380" s="9">
        <v>5249</v>
      </c>
      <c r="L380" s="11">
        <v>1080</v>
      </c>
      <c r="M380" s="9" t="s">
        <v>991</v>
      </c>
      <c r="N380" s="9" t="s">
        <v>126</v>
      </c>
      <c r="O380" s="9"/>
      <c r="P380" s="9"/>
      <c r="Q380" s="11">
        <v>-15</v>
      </c>
      <c r="R380" s="9" t="s">
        <v>90</v>
      </c>
      <c r="S380" s="9" t="s">
        <v>656</v>
      </c>
      <c r="T380" s="12">
        <f>IF($H380="Cancelled","",IFERROR(((Q380+INDEX(Variables!$B$6:$D$6,IFERROR(MATCH(IF($B380="Robusta","Robusta",(IF($B380="","Arabica",$B380))&amp;" - "&amp;(IF($C380="","Commercial",$C380))),Variables!$B$1:$D$1,0),1)))*22.0462)*(L380/16.67),""))</f>
        <v>393927.37353329326</v>
      </c>
      <c r="U380" s="10">
        <v>45764</v>
      </c>
      <c r="V380" s="9" t="str">
        <f t="shared" si="42"/>
        <v>Sent</v>
      </c>
      <c r="W380" s="10">
        <v>45776</v>
      </c>
      <c r="X380" s="9" t="str">
        <f t="shared" si="41"/>
        <v>Approved</v>
      </c>
      <c r="Y380" s="10"/>
      <c r="Z380" s="10">
        <f>IF($H380="Cancelled","",IFERROR(IF(F380="","",F380-Variables!$B$13),""))</f>
        <v>45793</v>
      </c>
      <c r="AA380" s="11">
        <f>IF($H380="Cancelled","",IFERROR(IF(W380="","",(AVERAGE(E380:F380)-W380)-Variables!$B$14),""))</f>
        <v>-13</v>
      </c>
      <c r="AB380" s="10">
        <v>45791</v>
      </c>
      <c r="AC380" s="11">
        <f>IF($H380="Cancelled","",IFERROR(IF(AB380="","",IF(AND(W380="",Y380=""),"",IF(Y380&gt;W380,Y380+Variables!$B$15+Variables!$B$16+Variables!$B$17-AB380,W380+Variables!$B$16+Variables!$B$17-AB380))),""))</f>
        <v>-7</v>
      </c>
      <c r="AD380" s="9" t="s">
        <v>163</v>
      </c>
      <c r="AE380" s="9" t="s">
        <v>847</v>
      </c>
      <c r="AF380" s="10"/>
      <c r="AG380" s="10"/>
      <c r="AH380" s="9"/>
      <c r="AI380" s="9">
        <v>252936474</v>
      </c>
      <c r="AJ380" s="9" t="s">
        <v>8</v>
      </c>
      <c r="AK380" s="10">
        <v>45807</v>
      </c>
      <c r="AL380" s="10">
        <v>45815</v>
      </c>
      <c r="AM380" s="10">
        <v>45815</v>
      </c>
      <c r="AN380" s="9" t="s">
        <v>95</v>
      </c>
      <c r="AO380" s="9"/>
      <c r="AP380" s="11">
        <f>IF($H380="Cancelled","",IFERROR(IF(OR(AK380="",AB380=""),"",(AB380+Variables!$B$18-AK380)),""))</f>
        <v>-9</v>
      </c>
      <c r="AQ380" s="11">
        <f>IF($H380="Cancelled","",IFERROR(IF(OR(AM380="",AK380=""),"",(AK380+Variables!$B$19)-AM380),""))</f>
        <v>-3</v>
      </c>
      <c r="AR380" s="12">
        <f>IF($H380="Cancelled","",IFERROR(T380*INDEX(Variables!$B$7:$D$7,IFERROR(MATCH(IF($B380="Robusta","Robusta",(IF($B380="","Arabica",$B380))&amp;" - "&amp;(IF($C380="","Commercial",$C380))),Variables!$B$1:$D$1,0),1))*(AQ380/365),""))</f>
        <v>-208.77783851217961</v>
      </c>
      <c r="AS380" s="12">
        <f>IF($H380="Cancelled","",IFERROR((T380*INDEX(Variables!$B$7:$D$7,IFERROR(MATCH(IF($B380="Robusta","Robusta",(IF($B380="","Arabica",$B380))&amp;" - "&amp;(IF($C380="","Commercial",$C380))),Variables!$B$1:$D$1,0),1))*IFERROR(IF(W380="","",(AVERAGE(E380:F380)-W380)-Variables!$B$14),"")/365)+(L380/16.67*INDEX(Variables!$B$8:$D$8,IFERROR(MATCH(IF($B380="Robusta","Robusta",(IF($B380="","Arabica",$B380))&amp;" - "&amp;(IF($C380="","Commercial",$C380))),Variables!$B$1:$D$1,0),1))*IFERROR(IF(W380="","",(AVERAGE(E380:F380)-W380)-Variables!$B$14),""))+(T380*INDEX(Variables!$B$9:$D$9,IFERROR(MATCH(IF($B380="Robusta","Robusta",(IF($B380="","Arabica",$B380))&amp;" - "&amp;(IF($C380="","Commercial",$C380))),Variables!$B$1:$D$1,0),1))*IFERROR(IF(W380="","",(AVERAGE(E380:F380)-W380)-Variables!$B$14),"")/365),""))</f>
        <v>-1618.3673469766238</v>
      </c>
      <c r="AT380" s="12">
        <f>IF($H380="Cancelled","",IFERROR((T380*INDEX(Variables!$B$7:$D$7,IFERROR(MATCH(IF($B380="Robusta","Robusta",(IF($B380="","Arabica",$B380))&amp;" - "&amp;(IF($C380="","Commercial",$C380))),Variables!$B$1:$D$1,0),1))*AC380/365)+(L380/16.67*INDEX(Variables!$B$8:$D$8,IFERROR(MATCH(IF($B380="Robusta","Robusta",(IF($B380="","Arabica",$B380))&amp;" - "&amp;(IF($C380="","Commercial",$C380))),Variables!$B$1:$D$1,0),1))*AC380)+(T380*INDEX(Variables!$B$9:$D$9,IFERROR(MATCH(IF($B380="Robusta","Robusta",(IF($B380="","Arabica",$B380))&amp;" - "&amp;(IF($C380="","Commercial",$C380))),Variables!$B$1:$D$1,0),1))*AC380/365),""))</f>
        <v>-871.4285714489514</v>
      </c>
      <c r="AU380" s="12">
        <f>IF($H380="Cancelled","",IFERROR((T380*INDEX(Variables!$B$7:$D$7,IFERROR(MATCH(IF($B380="Robusta","Robusta",(IF($B380="","Arabica",$B380))&amp;" - "&amp;(IF($C380="","Commercial",$C380))),Variables!$B$1:$D$1,0),1))*AP380/365)+(L380/16.67*INDEX(Variables!$B$8:$D$8,IFERROR(MATCH(IF($B380="Robusta","Robusta",(IF($B380="","Arabica",$B380))&amp;" - "&amp;(IF($C380="","Commercial",$C380))),Variables!$B$1:$D$1,0),1))*AP380)+(T380*INDEX(Variables!$B$9:$D$9,IFERROR(MATCH(IF($B380="Robusta","Robusta",(IF($B380="","Arabica",$B380))&amp;" - "&amp;(IF($C380="","Commercial",$C380))),Variables!$B$1:$D$1,0),1))*AP380/365),""))</f>
        <v>-1120.4081632915088</v>
      </c>
      <c r="AV380" s="11">
        <f t="shared" si="37"/>
        <v>1</v>
      </c>
      <c r="AW380" s="12">
        <f>IF($H380="Cancelled","",IFERROR(IF(AV380="","",(T380*INDEX(Variables!$B$7:$D$7,IFERROR(MATCH(IF($B380="Robusta","Robusta",(IF($B380="","Arabica",$B380))&amp;" - "&amp;(IF($C380="","Commercial",$C380))),Variables!$B$1:$D$1,0),1))*(AV380/365))+(T380*INDEX(Variables!$B$9:$D$9,IFERROR(MATCH(IF($B380="Robusta","Robusta",(IF($B380="","Arabica",$B380))&amp;" - "&amp;(IF($C380="","Commercial",$C380))),Variables!$B$1:$D$1,0),1))*(AV380/365))+(INDEX(Variables!$B$8:$D$8,IFERROR(MATCH(IF($B380="Robusta","Robusta",(IF($B380="","Arabica",$B380))&amp;" - "&amp;(IF($C380="","Commercial",$C380))),Variables!$B$1:$D$1,0),1))*L380/16.67)),""))</f>
        <v>124.48979592127878</v>
      </c>
      <c r="AX380" s="9"/>
      <c r="AY380" s="12"/>
      <c r="AZ380" s="10"/>
      <c r="BA380" s="9"/>
      <c r="BB380" s="10"/>
      <c r="BC380" s="9"/>
      <c r="BD380" s="9"/>
      <c r="BE380" s="9"/>
      <c r="BF380" s="9"/>
    </row>
    <row r="381" spans="1:58" x14ac:dyDescent="0.25">
      <c r="A381" s="9" t="s">
        <v>84</v>
      </c>
      <c r="B381" s="9" t="s">
        <v>85</v>
      </c>
      <c r="C381" s="9" t="s">
        <v>86</v>
      </c>
      <c r="D381" s="10">
        <v>45737</v>
      </c>
      <c r="E381" s="10">
        <v>45809</v>
      </c>
      <c r="F381" s="10">
        <v>45838</v>
      </c>
      <c r="G381" s="9">
        <v>3786864</v>
      </c>
      <c r="H381" s="9" t="str">
        <f t="shared" si="35"/>
        <v>Closed</v>
      </c>
      <c r="I381" s="9" t="str">
        <f t="shared" si="36"/>
        <v>All dates received</v>
      </c>
      <c r="J381" s="9" t="s">
        <v>102</v>
      </c>
      <c r="K381" s="9" t="s">
        <v>992</v>
      </c>
      <c r="L381" s="11">
        <v>720</v>
      </c>
      <c r="M381" s="9" t="s">
        <v>993</v>
      </c>
      <c r="N381" s="9" t="s">
        <v>629</v>
      </c>
      <c r="O381" s="9"/>
      <c r="P381" s="9"/>
      <c r="Q381" s="11">
        <v>-39</v>
      </c>
      <c r="R381" s="9" t="s">
        <v>90</v>
      </c>
      <c r="S381" s="9" t="s">
        <v>162</v>
      </c>
      <c r="T381" s="12">
        <f>IF($H381="Cancelled","",IFERROR(((Q381+INDEX(Variables!$B$6:$D$6,IFERROR(MATCH(IF($B381="Robusta","Robusta",(IF($B381="","Arabica",$B381))&amp;" - "&amp;(IF($C381="","Commercial",$C381))),Variables!$B$1:$D$1,0),1)))*22.0462)*(L381/16.67),""))</f>
        <v>239765.31944811036</v>
      </c>
      <c r="U381" s="10">
        <v>45782</v>
      </c>
      <c r="V381" s="9" t="str">
        <f t="shared" si="42"/>
        <v>Sent</v>
      </c>
      <c r="W381" s="10">
        <v>45792</v>
      </c>
      <c r="X381" s="9" t="str">
        <f t="shared" si="41"/>
        <v>Approved</v>
      </c>
      <c r="Y381" s="10"/>
      <c r="Z381" s="10">
        <f>IF($H381="Cancelled","",IFERROR(IF(F381="","",F381-Variables!$B$13),""))</f>
        <v>45823</v>
      </c>
      <c r="AA381" s="11">
        <f>IF($H381="Cancelled","",IFERROR(IF(W381="","",(AVERAGE(E381:F381)-W381)-Variables!$B$14),""))</f>
        <v>1.5</v>
      </c>
      <c r="AB381" s="10">
        <v>45820</v>
      </c>
      <c r="AC381" s="11">
        <f>IF($H381="Cancelled","",IFERROR(IF(AB381="","",IF(AND(W381="",Y381=""),"",IF(Y381&gt;W381,Y381+Variables!$B$15+Variables!$B$16+Variables!$B$17-AB381,W381+Variables!$B$16+Variables!$B$17-AB381))),""))</f>
        <v>-20</v>
      </c>
      <c r="AD381" s="9" t="s">
        <v>180</v>
      </c>
      <c r="AE381" s="9" t="s">
        <v>259</v>
      </c>
      <c r="AF381" s="10"/>
      <c r="AG381" s="10"/>
      <c r="AH381" s="9"/>
      <c r="AI381" s="9" t="s">
        <v>994</v>
      </c>
      <c r="AJ381" s="9" t="s">
        <v>8</v>
      </c>
      <c r="AK381" s="10">
        <v>45836</v>
      </c>
      <c r="AL381" s="10">
        <v>45841</v>
      </c>
      <c r="AM381" s="10">
        <v>45842</v>
      </c>
      <c r="AN381" s="9" t="s">
        <v>95</v>
      </c>
      <c r="AO381" s="9"/>
      <c r="AP381" s="11">
        <f>IF($H381="Cancelled","",IFERROR(IF(OR(AK381="",AB381=""),"",(AB381+Variables!$B$18-AK381)),""))</f>
        <v>-9</v>
      </c>
      <c r="AQ381" s="11">
        <f>IF($H381="Cancelled","",IFERROR(IF(OR(AM381="",AK381=""),"",(AK381+Variables!$B$19)-AM381),""))</f>
        <v>-1</v>
      </c>
      <c r="AR381" s="12">
        <f>IF($H381="Cancelled","",IFERROR(T381*INDEX(Variables!$B$7:$D$7,IFERROR(MATCH(IF($B381="Robusta","Robusta",(IF($B381="","Arabica",$B381))&amp;" - "&amp;(IF($C381="","Commercial",$C381))),Variables!$B$1:$D$1,0),1))*(AQ381/365),""))</f>
        <v>-42.357795292375187</v>
      </c>
      <c r="AS381" s="12">
        <f>IF($H381="Cancelled","",IFERROR((T381*INDEX(Variables!$B$7:$D$7,IFERROR(MATCH(IF($B381="Robusta","Robusta",(IF($B381="","Arabica",$B381))&amp;" - "&amp;(IF($C381="","Commercial",$C381))),Variables!$B$1:$D$1,0),1))*IFERROR(IF(W381="","",(AVERAGE(E381:F381)-W381)-Variables!$B$14),"")/365)+(L381/16.67*INDEX(Variables!$B$8:$D$8,IFERROR(MATCH(IF($B381="Robusta","Robusta",(IF($B381="","Arabica",$B381))&amp;" - "&amp;(IF($C381="","Commercial",$C381))),Variables!$B$1:$D$1,0),1))*IFERROR(IF(W381="","",(AVERAGE(E381:F381)-W381)-Variables!$B$14),""))+(T381*INDEX(Variables!$B$9:$D$9,IFERROR(MATCH(IF($B381="Robusta","Robusta",(IF($B381="","Arabica",$B381))&amp;" - "&amp;(IF($C381="","Commercial",$C381))),Variables!$B$1:$D$1,0),1))*IFERROR(IF(W381="","",(AVERAGE(E381:F381)-W381)-Variables!$B$14),"")/365),""))</f>
        <v>118.35580352783902</v>
      </c>
      <c r="AT381" s="12">
        <f>IF($H381="Cancelled","",IFERROR((T381*INDEX(Variables!$B$7:$D$7,IFERROR(MATCH(IF($B381="Robusta","Robusta",(IF($B381="","Arabica",$B381))&amp;" - "&amp;(IF($C381="","Commercial",$C381))),Variables!$B$1:$D$1,0),1))*AC381/365)+(L381/16.67*INDEX(Variables!$B$8:$D$8,IFERROR(MATCH(IF($B381="Robusta","Robusta",(IF($B381="","Arabica",$B381))&amp;" - "&amp;(IF($C381="","Commercial",$C381))),Variables!$B$1:$D$1,0),1))*AC381)+(T381*INDEX(Variables!$B$9:$D$9,IFERROR(MATCH(IF($B381="Robusta","Robusta",(IF($B381="","Arabica",$B381))&amp;" - "&amp;(IF($C381="","Commercial",$C381))),Variables!$B$1:$D$1,0),1))*AC381/365),""))</f>
        <v>-1578.0773803711868</v>
      </c>
      <c r="AU381" s="12">
        <f>IF($H381="Cancelled","",IFERROR((T381*INDEX(Variables!$B$7:$D$7,IFERROR(MATCH(IF($B381="Robusta","Robusta",(IF($B381="","Arabica",$B381))&amp;" - "&amp;(IF($C381="","Commercial",$C381))),Variables!$B$1:$D$1,0),1))*AP381/365)+(L381/16.67*INDEX(Variables!$B$8:$D$8,IFERROR(MATCH(IF($B381="Robusta","Robusta",(IF($B381="","Arabica",$B381))&amp;" - "&amp;(IF($C381="","Commercial",$C381))),Variables!$B$1:$D$1,0),1))*AP381)+(T381*INDEX(Variables!$B$9:$D$9,IFERROR(MATCH(IF($B381="Robusta","Robusta",(IF($B381="","Arabica",$B381))&amp;" - "&amp;(IF($C381="","Commercial",$C381))),Variables!$B$1:$D$1,0),1))*AP381/365),""))</f>
        <v>-710.13482116703403</v>
      </c>
      <c r="AV381" s="11">
        <f t="shared" si="37"/>
        <v>2</v>
      </c>
      <c r="AW381" s="12">
        <f>IF($H381="Cancelled","",IFERROR(IF(AV381="","",(T381*INDEX(Variables!$B$7:$D$7,IFERROR(MATCH(IF($B381="Robusta","Robusta",(IF($B381="","Arabica",$B381))&amp;" - "&amp;(IF($C381="","Commercial",$C381))),Variables!$B$1:$D$1,0),1))*(AV381/365))+(T381*INDEX(Variables!$B$9:$D$9,IFERROR(MATCH(IF($B381="Robusta","Robusta",(IF($B381="","Arabica",$B381))&amp;" - "&amp;(IF($C381="","Commercial",$C381))),Variables!$B$1:$D$1,0),1))*(AV381/365))+(INDEX(Variables!$B$8:$D$8,IFERROR(MATCH(IF($B381="Robusta","Robusta",(IF($B381="","Arabica",$B381))&amp;" - "&amp;(IF($C381="","Commercial",$C381))),Variables!$B$1:$D$1,0),1))*L381/16.67)),""))</f>
        <v>121.80773803711867</v>
      </c>
      <c r="AX381" s="9"/>
      <c r="AY381" s="12"/>
      <c r="AZ381" s="10"/>
      <c r="BA381" s="9"/>
      <c r="BB381" s="10"/>
      <c r="BC381" s="9"/>
      <c r="BD381" s="9"/>
      <c r="BE381" s="9"/>
      <c r="BF381" s="9"/>
    </row>
    <row r="382" spans="1:58" x14ac:dyDescent="0.25">
      <c r="A382" s="9" t="s">
        <v>84</v>
      </c>
      <c r="B382" s="9" t="s">
        <v>85</v>
      </c>
      <c r="C382" s="9" t="s">
        <v>86</v>
      </c>
      <c r="D382" s="10">
        <v>45737</v>
      </c>
      <c r="E382" s="10">
        <v>45809</v>
      </c>
      <c r="F382" s="10">
        <v>45838</v>
      </c>
      <c r="G382" s="9">
        <v>3786864</v>
      </c>
      <c r="H382" s="9" t="str">
        <f t="shared" si="35"/>
        <v>Closed</v>
      </c>
      <c r="I382" s="9" t="str">
        <f t="shared" si="36"/>
        <v>All dates received</v>
      </c>
      <c r="J382" s="9" t="s">
        <v>102</v>
      </c>
      <c r="K382" s="9" t="s">
        <v>995</v>
      </c>
      <c r="L382" s="11">
        <v>2160</v>
      </c>
      <c r="M382" s="9" t="s">
        <v>993</v>
      </c>
      <c r="N382" s="9" t="s">
        <v>629</v>
      </c>
      <c r="O382" s="9"/>
      <c r="P382" s="9"/>
      <c r="Q382" s="11">
        <v>-39</v>
      </c>
      <c r="R382" s="9" t="s">
        <v>90</v>
      </c>
      <c r="S382" s="9" t="s">
        <v>178</v>
      </c>
      <c r="T382" s="12">
        <f>IF($H382="Cancelled","",IFERROR(((Q382+INDEX(Variables!$B$6:$D$6,IFERROR(MATCH(IF($B382="Robusta","Robusta",(IF($B382="","Arabica",$B382))&amp;" - "&amp;(IF($C382="","Commercial",$C382))),Variables!$B$1:$D$1,0),1)))*22.0462)*(L382/16.67),""))</f>
        <v>719295.95834433101</v>
      </c>
      <c r="U382" s="10">
        <v>45803</v>
      </c>
      <c r="V382" s="9" t="str">
        <f t="shared" si="42"/>
        <v>Sent</v>
      </c>
      <c r="W382" s="10">
        <v>45814</v>
      </c>
      <c r="X382" s="9" t="str">
        <f t="shared" si="41"/>
        <v>Approved</v>
      </c>
      <c r="Y382" s="10"/>
      <c r="Z382" s="10">
        <f>IF($H382="Cancelled","",IFERROR(IF(F382="","",F382-Variables!$B$13),""))</f>
        <v>45823</v>
      </c>
      <c r="AA382" s="11">
        <f>IF($H382="Cancelled","",IFERROR(IF(W382="","",(AVERAGE(E382:F382)-W382)-Variables!$B$14),""))</f>
        <v>-20.5</v>
      </c>
      <c r="AB382" s="10">
        <v>45821</v>
      </c>
      <c r="AC382" s="11">
        <f>IF($H382="Cancelled","",IFERROR(IF(AB382="","",IF(AND(W382="",Y382=""),"",IF(Y382&gt;W382,Y382+Variables!$B$15+Variables!$B$16+Variables!$B$17-AB382,W382+Variables!$B$16+Variables!$B$17-AB382))),""))</f>
        <v>1</v>
      </c>
      <c r="AD382" s="9" t="s">
        <v>107</v>
      </c>
      <c r="AE382" s="9" t="s">
        <v>996</v>
      </c>
      <c r="AF382" s="10"/>
      <c r="AG382" s="10"/>
      <c r="AH382" s="9"/>
      <c r="AI382" s="9" t="s">
        <v>997</v>
      </c>
      <c r="AJ382" s="9" t="s">
        <v>8</v>
      </c>
      <c r="AK382" s="10">
        <v>45841</v>
      </c>
      <c r="AL382" s="10">
        <v>45847</v>
      </c>
      <c r="AM382" s="10">
        <v>45852</v>
      </c>
      <c r="AN382" s="9" t="s">
        <v>95</v>
      </c>
      <c r="AO382" s="9"/>
      <c r="AP382" s="11">
        <f>IF($H382="Cancelled","",IFERROR(IF(OR(AK382="",AB382=""),"",(AB382+Variables!$B$18-AK382)),""))</f>
        <v>-13</v>
      </c>
      <c r="AQ382" s="11">
        <f>IF($H382="Cancelled","",IFERROR(IF(OR(AM382="",AK382=""),"",(AK382+Variables!$B$19)-AM382),""))</f>
        <v>-6</v>
      </c>
      <c r="AR382" s="12">
        <f>IF($H382="Cancelled","",IFERROR(T382*INDEX(Variables!$B$7:$D$7,IFERROR(MATCH(IF($B382="Robusta","Robusta",(IF($B382="","Arabica",$B382))&amp;" - "&amp;(IF($C382="","Commercial",$C382))),Variables!$B$1:$D$1,0),1))*(AQ382/365),""))</f>
        <v>-762.44031526275319</v>
      </c>
      <c r="AS382" s="12">
        <f>IF($H382="Cancelled","",IFERROR((T382*INDEX(Variables!$B$7:$D$7,IFERROR(MATCH(IF($B382="Robusta","Robusta",(IF($B382="","Arabica",$B382))&amp;" - "&amp;(IF($C382="","Commercial",$C382))),Variables!$B$1:$D$1,0),1))*IFERROR(IF(W382="","",(AVERAGE(E382:F382)-W382)-Variables!$B$14),"")/365)+(L382/16.67*INDEX(Variables!$B$8:$D$8,IFERROR(MATCH(IF($B382="Robusta","Robusta",(IF($B382="","Arabica",$B382))&amp;" - "&amp;(IF($C382="","Commercial",$C382))),Variables!$B$1:$D$1,0),1))*IFERROR(IF(W382="","",(AVERAGE(E382:F382)-W382)-Variables!$B$14),""))+(T382*INDEX(Variables!$B$9:$D$9,IFERROR(MATCH(IF($B382="Robusta","Robusta",(IF($B382="","Arabica",$B382))&amp;" - "&amp;(IF($C382="","Commercial",$C382))),Variables!$B$1:$D$1,0),1))*IFERROR(IF(W382="","",(AVERAGE(E382:F382)-W382)-Variables!$B$14),"")/365),""))</f>
        <v>-4852.5879446413983</v>
      </c>
      <c r="AT382" s="12">
        <f>IF($H382="Cancelled","",IFERROR((T382*INDEX(Variables!$B$7:$D$7,IFERROR(MATCH(IF($B382="Robusta","Robusta",(IF($B382="","Arabica",$B382))&amp;" - "&amp;(IF($C382="","Commercial",$C382))),Variables!$B$1:$D$1,0),1))*AC382/365)+(L382/16.67*INDEX(Variables!$B$8:$D$8,IFERROR(MATCH(IF($B382="Robusta","Robusta",(IF($B382="","Arabica",$B382))&amp;" - "&amp;(IF($C382="","Commercial",$C382))),Variables!$B$1:$D$1,0),1))*AC382)+(T382*INDEX(Variables!$B$9:$D$9,IFERROR(MATCH(IF($B382="Robusta","Robusta",(IF($B382="","Arabica",$B382))&amp;" - "&amp;(IF($C382="","Commercial",$C382))),Variables!$B$1:$D$1,0),1))*AC382/365),""))</f>
        <v>236.71160705567797</v>
      </c>
      <c r="AU382" s="12">
        <f>IF($H382="Cancelled","",IFERROR((T382*INDEX(Variables!$B$7:$D$7,IFERROR(MATCH(IF($B382="Robusta","Robusta",(IF($B382="","Arabica",$B382))&amp;" - "&amp;(IF($C382="","Commercial",$C382))),Variables!$B$1:$D$1,0),1))*AP382/365)+(L382/16.67*INDEX(Variables!$B$8:$D$8,IFERROR(MATCH(IF($B382="Robusta","Robusta",(IF($B382="","Arabica",$B382))&amp;" - "&amp;(IF($C382="","Commercial",$C382))),Variables!$B$1:$D$1,0),1))*AP382)+(T382*INDEX(Variables!$B$9:$D$9,IFERROR(MATCH(IF($B382="Robusta","Robusta",(IF($B382="","Arabica",$B382))&amp;" - "&amp;(IF($C382="","Commercial",$C382))),Variables!$B$1:$D$1,0),1))*AP382/365),""))</f>
        <v>-3077.2508917238138</v>
      </c>
      <c r="AV382" s="11">
        <f t="shared" si="37"/>
        <v>-3</v>
      </c>
      <c r="AW382" s="12">
        <f>IF($H382="Cancelled","",IFERROR(IF(AV382="","",(T382*INDEX(Variables!$B$7:$D$7,IFERROR(MATCH(IF($B382="Robusta","Robusta",(IF($B382="","Arabica",$B382))&amp;" - "&amp;(IF($C382="","Commercial",$C382))),Variables!$B$1:$D$1,0),1))*(AV382/365))+(T382*INDEX(Variables!$B$9:$D$9,IFERROR(MATCH(IF($B382="Robusta","Robusta",(IF($B382="","Arabica",$B382))&amp;" - "&amp;(IF($C382="","Commercial",$C382))),Variables!$B$1:$D$1,0),1))*(AV382/365))+(INDEX(Variables!$B$8:$D$8,IFERROR(MATCH(IF($B382="Robusta","Robusta",(IF($B382="","Arabica",$B382))&amp;" - "&amp;(IF($C382="","Commercial",$C382))),Variables!$B$1:$D$1,0),1))*L382/16.67)),""))</f>
        <v>-278.13482116703392</v>
      </c>
      <c r="AX382" s="9"/>
      <c r="AY382" s="12"/>
      <c r="AZ382" s="10"/>
      <c r="BA382" s="9"/>
      <c r="BB382" s="10"/>
      <c r="BC382" s="9"/>
      <c r="BD382" s="9"/>
      <c r="BE382" s="9"/>
      <c r="BF382" s="9"/>
    </row>
    <row r="383" spans="1:58" x14ac:dyDescent="0.25">
      <c r="A383" s="9" t="s">
        <v>84</v>
      </c>
      <c r="B383" s="9" t="s">
        <v>85</v>
      </c>
      <c r="C383" s="9" t="s">
        <v>86</v>
      </c>
      <c r="D383" s="10">
        <v>45737</v>
      </c>
      <c r="E383" s="10">
        <v>45809</v>
      </c>
      <c r="F383" s="10">
        <v>45838</v>
      </c>
      <c r="G383" s="9">
        <v>3786866</v>
      </c>
      <c r="H383" s="9" t="str">
        <f t="shared" si="35"/>
        <v>Closed</v>
      </c>
      <c r="I383" s="9" t="str">
        <f t="shared" si="36"/>
        <v>All dates received</v>
      </c>
      <c r="J383" s="9" t="s">
        <v>102</v>
      </c>
      <c r="K383" s="9">
        <v>5277</v>
      </c>
      <c r="L383" s="11">
        <v>1080</v>
      </c>
      <c r="M383" s="9" t="s">
        <v>991</v>
      </c>
      <c r="N383" s="9" t="s">
        <v>126</v>
      </c>
      <c r="O383" s="9"/>
      <c r="P383" s="9"/>
      <c r="Q383" s="11">
        <v>-15</v>
      </c>
      <c r="R383" s="9" t="s">
        <v>90</v>
      </c>
      <c r="S383" s="9" t="s">
        <v>656</v>
      </c>
      <c r="T383" s="12">
        <f>IF($H383="Cancelled","",IFERROR(((Q383+INDEX(Variables!$B$6:$D$6,IFERROR(MATCH(IF($B383="Robusta","Robusta",(IF($B383="","Arabica",$B383))&amp;" - "&amp;(IF($C383="","Commercial",$C383))),Variables!$B$1:$D$1,0),1)))*22.0462)*(L383/16.67),""))</f>
        <v>393927.37353329326</v>
      </c>
      <c r="U383" s="10">
        <v>45764</v>
      </c>
      <c r="V383" s="9" t="str">
        <f t="shared" si="42"/>
        <v>Sent</v>
      </c>
      <c r="W383" s="10">
        <v>45776</v>
      </c>
      <c r="X383" s="9" t="str">
        <f t="shared" si="41"/>
        <v>Approved</v>
      </c>
      <c r="Y383" s="10"/>
      <c r="Z383" s="10">
        <f>IF($H383="Cancelled","",IFERROR(IF(F383="","",F383-Variables!$B$13),""))</f>
        <v>45823</v>
      </c>
      <c r="AA383" s="11">
        <f>IF($H383="Cancelled","",IFERROR(IF(W383="","",(AVERAGE(E383:F383)-W383)-Variables!$B$14),""))</f>
        <v>17.5</v>
      </c>
      <c r="AB383" s="10">
        <v>45803</v>
      </c>
      <c r="AC383" s="11">
        <f>IF($H383="Cancelled","",IFERROR(IF(AB383="","",IF(AND(W383="",Y383=""),"",IF(Y383&gt;W383,Y383+Variables!$B$15+Variables!$B$16+Variables!$B$17-AB383,W383+Variables!$B$16+Variables!$B$17-AB383))),""))</f>
        <v>-19</v>
      </c>
      <c r="AD383" s="9" t="s">
        <v>107</v>
      </c>
      <c r="AE383" s="9" t="s">
        <v>818</v>
      </c>
      <c r="AF383" s="10"/>
      <c r="AG383" s="10"/>
      <c r="AH383" s="9"/>
      <c r="AI383" s="9" t="s">
        <v>998</v>
      </c>
      <c r="AJ383" s="9" t="s">
        <v>8</v>
      </c>
      <c r="AK383" s="10">
        <v>45818</v>
      </c>
      <c r="AL383" s="10">
        <v>45821</v>
      </c>
      <c r="AM383" s="10">
        <v>45821</v>
      </c>
      <c r="AN383" s="9" t="s">
        <v>95</v>
      </c>
      <c r="AO383" s="9"/>
      <c r="AP383" s="11">
        <f>IF($H383="Cancelled","",IFERROR(IF(OR(AK383="",AB383=""),"",(AB383+Variables!$B$18-AK383)),""))</f>
        <v>-8</v>
      </c>
      <c r="AQ383" s="11">
        <f>IF($H383="Cancelled","",IFERROR(IF(OR(AM383="",AK383=""),"",(AK383+Variables!$B$19)-AM383),""))</f>
        <v>2</v>
      </c>
      <c r="AR383" s="12">
        <f>IF($H383="Cancelled","",IFERROR(T383*INDEX(Variables!$B$7:$D$7,IFERROR(MATCH(IF($B383="Robusta","Robusta",(IF($B383="","Arabica",$B383))&amp;" - "&amp;(IF($C383="","Commercial",$C383))),Variables!$B$1:$D$1,0),1))*(AQ383/365),""))</f>
        <v>139.18522567478644</v>
      </c>
      <c r="AS383" s="12">
        <f>IF($H383="Cancelled","",IFERROR((T383*INDEX(Variables!$B$7:$D$7,IFERROR(MATCH(IF($B383="Robusta","Robusta",(IF($B383="","Arabica",$B383))&amp;" - "&amp;(IF($C383="","Commercial",$C383))),Variables!$B$1:$D$1,0),1))*IFERROR(IF(W383="","",(AVERAGE(E383:F383)-W383)-Variables!$B$14),"")/365)+(L383/16.67*INDEX(Variables!$B$8:$D$8,IFERROR(MATCH(IF($B383="Robusta","Robusta",(IF($B383="","Arabica",$B383))&amp;" - "&amp;(IF($C383="","Commercial",$C383))),Variables!$B$1:$D$1,0),1))*IFERROR(IF(W383="","",(AVERAGE(E383:F383)-W383)-Variables!$B$14),""))+(T383*INDEX(Variables!$B$9:$D$9,IFERROR(MATCH(IF($B383="Robusta","Robusta",(IF($B383="","Arabica",$B383))&amp;" - "&amp;(IF($C383="","Commercial",$C383))),Variables!$B$1:$D$1,0),1))*IFERROR(IF(W383="","",(AVERAGE(E383:F383)-W383)-Variables!$B$14),"")/365),""))</f>
        <v>2178.5714286223783</v>
      </c>
      <c r="AT383" s="12">
        <f>IF($H383="Cancelled","",IFERROR((T383*INDEX(Variables!$B$7:$D$7,IFERROR(MATCH(IF($B383="Robusta","Robusta",(IF($B383="","Arabica",$B383))&amp;" - "&amp;(IF($C383="","Commercial",$C383))),Variables!$B$1:$D$1,0),1))*AC383/365)+(L383/16.67*INDEX(Variables!$B$8:$D$8,IFERROR(MATCH(IF($B383="Robusta","Robusta",(IF($B383="","Arabica",$B383))&amp;" - "&amp;(IF($C383="","Commercial",$C383))),Variables!$B$1:$D$1,0),1))*AC383)+(T383*INDEX(Variables!$B$9:$D$9,IFERROR(MATCH(IF($B383="Robusta","Robusta",(IF($B383="","Arabica",$B383))&amp;" - "&amp;(IF($C383="","Commercial",$C383))),Variables!$B$1:$D$1,0),1))*AC383/365),""))</f>
        <v>-2365.3061225042966</v>
      </c>
      <c r="AU383" s="12">
        <f>IF($H383="Cancelled","",IFERROR((T383*INDEX(Variables!$B$7:$D$7,IFERROR(MATCH(IF($B383="Robusta","Robusta",(IF($B383="","Arabica",$B383))&amp;" - "&amp;(IF($C383="","Commercial",$C383))),Variables!$B$1:$D$1,0),1))*AP383/365)+(L383/16.67*INDEX(Variables!$B$8:$D$8,IFERROR(MATCH(IF($B383="Robusta","Robusta",(IF($B383="","Arabica",$B383))&amp;" - "&amp;(IF($C383="","Commercial",$C383))),Variables!$B$1:$D$1,0),1))*AP383)+(T383*INDEX(Variables!$B$9:$D$9,IFERROR(MATCH(IF($B383="Robusta","Robusta",(IF($B383="","Arabica",$B383))&amp;" - "&amp;(IF($C383="","Commercial",$C383))),Variables!$B$1:$D$1,0),1))*AP383/365),""))</f>
        <v>-995.91836737023016</v>
      </c>
      <c r="AV383" s="11">
        <f t="shared" si="37"/>
        <v>20</v>
      </c>
      <c r="AW383" s="12">
        <f>IF($H383="Cancelled","",IFERROR(IF(AV383="","",(T383*INDEX(Variables!$B$7:$D$7,IFERROR(MATCH(IF($B383="Robusta","Robusta",(IF($B383="","Arabica",$B383))&amp;" - "&amp;(IF($C383="","Commercial",$C383))),Variables!$B$1:$D$1,0),1))*(AV383/365))+(T383*INDEX(Variables!$B$9:$D$9,IFERROR(MATCH(IF($B383="Robusta","Robusta",(IF($B383="","Arabica",$B383))&amp;" - "&amp;(IF($C383="","Commercial",$C383))),Variables!$B$1:$D$1,0),1))*(AV383/365))+(INDEX(Variables!$B$8:$D$8,IFERROR(MATCH(IF($B383="Robusta","Robusta",(IF($B383="","Arabica",$B383))&amp;" - "&amp;(IF($C383="","Commercial",$C383))),Variables!$B$1:$D$1,0),1))*L383/16.67)),""))</f>
        <v>1463.7959184255753</v>
      </c>
      <c r="AX383" s="9"/>
      <c r="AY383" s="12"/>
      <c r="AZ383" s="10"/>
      <c r="BA383" s="9"/>
      <c r="BB383" s="10"/>
      <c r="BC383" s="9"/>
      <c r="BD383" s="9"/>
      <c r="BE383" s="9"/>
      <c r="BF383" s="9"/>
    </row>
    <row r="384" spans="1:58" x14ac:dyDescent="0.25">
      <c r="A384" s="9" t="s">
        <v>84</v>
      </c>
      <c r="B384" s="9" t="s">
        <v>85</v>
      </c>
      <c r="C384" s="9" t="s">
        <v>86</v>
      </c>
      <c r="D384" s="10">
        <v>45737</v>
      </c>
      <c r="E384" s="10">
        <v>45809</v>
      </c>
      <c r="F384" s="10">
        <v>45838</v>
      </c>
      <c r="G384" s="9">
        <v>3786867</v>
      </c>
      <c r="H384" s="9" t="str">
        <f t="shared" si="35"/>
        <v>Closed</v>
      </c>
      <c r="I384" s="9" t="str">
        <f t="shared" si="36"/>
        <v>All dates received</v>
      </c>
      <c r="J384" s="9" t="s">
        <v>102</v>
      </c>
      <c r="K384" s="9" t="s">
        <v>999</v>
      </c>
      <c r="L384" s="11">
        <v>720</v>
      </c>
      <c r="M384" s="9" t="s">
        <v>1000</v>
      </c>
      <c r="N384" s="9" t="s">
        <v>122</v>
      </c>
      <c r="O384" s="9"/>
      <c r="P384" s="9"/>
      <c r="Q384" s="11">
        <v>-18</v>
      </c>
      <c r="R384" s="9" t="s">
        <v>90</v>
      </c>
      <c r="S384" s="9" t="s">
        <v>106</v>
      </c>
      <c r="T384" s="12">
        <f>IF($H384="Cancelled","",IFERROR(((Q384+INDEX(Variables!$B$6:$D$6,IFERROR(MATCH(IF($B384="Robusta","Robusta",(IF($B384="","Arabica",$B384))&amp;" - "&amp;(IF($C384="","Commercial",$C384))),Variables!$B$1:$D$1,0),1)))*22.0462)*(L384/16.67),""))</f>
        <v>259761.63282543488</v>
      </c>
      <c r="U384" s="10">
        <v>45764</v>
      </c>
      <c r="V384" s="9" t="str">
        <f t="shared" si="42"/>
        <v>Sent</v>
      </c>
      <c r="W384" s="10">
        <v>45776</v>
      </c>
      <c r="X384" s="9" t="str">
        <f t="shared" si="41"/>
        <v>Approved</v>
      </c>
      <c r="Y384" s="10"/>
      <c r="Z384" s="10">
        <f>IF($H384="Cancelled","",IFERROR(IF(F384="","",F384-Variables!$B$13),""))</f>
        <v>45823</v>
      </c>
      <c r="AA384" s="11">
        <f>IF($H384="Cancelled","",IFERROR(IF(W384="","",(AVERAGE(E384:F384)-W384)-Variables!$B$14),""))</f>
        <v>17.5</v>
      </c>
      <c r="AB384" s="10">
        <v>45805</v>
      </c>
      <c r="AC384" s="11">
        <f>IF($H384="Cancelled","",IFERROR(IF(AB384="","",IF(AND(W384="",Y384=""),"",IF(Y384&gt;W384,Y384+Variables!$B$15+Variables!$B$16+Variables!$B$17-AB384,W384+Variables!$B$16+Variables!$B$17-AB384))),""))</f>
        <v>-21</v>
      </c>
      <c r="AD384" s="9" t="s">
        <v>180</v>
      </c>
      <c r="AE384" s="9" t="s">
        <v>358</v>
      </c>
      <c r="AF384" s="10"/>
      <c r="AG384" s="10"/>
      <c r="AH384" s="9"/>
      <c r="AI384" s="9" t="s">
        <v>1001</v>
      </c>
      <c r="AJ384" s="9" t="s">
        <v>8</v>
      </c>
      <c r="AK384" s="10">
        <v>45827</v>
      </c>
      <c r="AL384" s="10">
        <v>45833</v>
      </c>
      <c r="AM384" s="10">
        <v>45842</v>
      </c>
      <c r="AN384" s="9" t="s">
        <v>95</v>
      </c>
      <c r="AO384" s="9"/>
      <c r="AP384" s="11">
        <f>IF($H384="Cancelled","",IFERROR(IF(OR(AK384="",AB384=""),"",(AB384+Variables!$B$18-AK384)),""))</f>
        <v>-15</v>
      </c>
      <c r="AQ384" s="11">
        <f>IF($H384="Cancelled","",IFERROR(IF(OR(AM384="",AK384=""),"",(AK384+Variables!$B$19)-AM384),""))</f>
        <v>-10</v>
      </c>
      <c r="AR384" s="12">
        <f>IF($H384="Cancelled","",IFERROR(T384*INDEX(Variables!$B$7:$D$7,IFERROR(MATCH(IF($B384="Robusta","Robusta",(IF($B384="","Arabica",$B384))&amp;" - "&amp;(IF($C384="","Commercial",$C384))),Variables!$B$1:$D$1,0),1))*(AQ384/365),""))</f>
        <v>-458.90415233359607</v>
      </c>
      <c r="AS384" s="12">
        <f>IF($H384="Cancelled","",IFERROR((T384*INDEX(Variables!$B$7:$D$7,IFERROR(MATCH(IF($B384="Robusta","Robusta",(IF($B384="","Arabica",$B384))&amp;" - "&amp;(IF($C384="","Commercial",$C384))),Variables!$B$1:$D$1,0),1))*IFERROR(IF(W384="","",(AVERAGE(E384:F384)-W384)-Variables!$B$14),"")/365)+(L384/16.67*INDEX(Variables!$B$8:$D$8,IFERROR(MATCH(IF($B384="Robusta","Robusta",(IF($B384="","Arabica",$B384))&amp;" - "&amp;(IF($C384="","Commercial",$C384))),Variables!$B$1:$D$1,0),1))*IFERROR(IF(W384="","",(AVERAGE(E384:F384)-W384)-Variables!$B$14),""))+(T384*INDEX(Variables!$B$9:$D$9,IFERROR(MATCH(IF($B384="Robusta","Robusta",(IF($B384="","Arabica",$B384))&amp;" - "&amp;(IF($C384="","Commercial",$C384))),Variables!$B$1:$D$1,0),1))*IFERROR(IF(W384="","",(AVERAGE(E384:F384)-W384)-Variables!$B$14),"")/365),""))</f>
        <v>1443.4355468411527</v>
      </c>
      <c r="AT384" s="12">
        <f>IF($H384="Cancelled","",IFERROR((T384*INDEX(Variables!$B$7:$D$7,IFERROR(MATCH(IF($B384="Robusta","Robusta",(IF($B384="","Arabica",$B384))&amp;" - "&amp;(IF($C384="","Commercial",$C384))),Variables!$B$1:$D$1,0),1))*AC384/365)+(L384/16.67*INDEX(Variables!$B$8:$D$8,IFERROR(MATCH(IF($B384="Robusta","Robusta",(IF($B384="","Arabica",$B384))&amp;" - "&amp;(IF($C384="","Commercial",$C384))),Variables!$B$1:$D$1,0),1))*AC384)+(T384*INDEX(Variables!$B$9:$D$9,IFERROR(MATCH(IF($B384="Robusta","Robusta",(IF($B384="","Arabica",$B384))&amp;" - "&amp;(IF($C384="","Commercial",$C384))),Variables!$B$1:$D$1,0),1))*AC384/365),""))</f>
        <v>-1732.1226562093832</v>
      </c>
      <c r="AU384" s="12">
        <f>IF($H384="Cancelled","",IFERROR((T384*INDEX(Variables!$B$7:$D$7,IFERROR(MATCH(IF($B384="Robusta","Robusta",(IF($B384="","Arabica",$B384))&amp;" - "&amp;(IF($C384="","Commercial",$C384))),Variables!$B$1:$D$1,0),1))*AP384/365)+(L384/16.67*INDEX(Variables!$B$8:$D$8,IFERROR(MATCH(IF($B384="Robusta","Robusta",(IF($B384="","Arabica",$B384))&amp;" - "&amp;(IF($C384="","Commercial",$C384))),Variables!$B$1:$D$1,0),1))*AP384)+(T384*INDEX(Variables!$B$9:$D$9,IFERROR(MATCH(IF($B384="Robusta","Robusta",(IF($B384="","Arabica",$B384))&amp;" - "&amp;(IF($C384="","Commercial",$C384))),Variables!$B$1:$D$1,0),1))*AP384/365),""))</f>
        <v>-1237.230468720988</v>
      </c>
      <c r="AV384" s="11">
        <f t="shared" si="37"/>
        <v>11</v>
      </c>
      <c r="AW384" s="12">
        <f>IF($H384="Cancelled","",IFERROR(IF(AV384="","",(T384*INDEX(Variables!$B$7:$D$7,IFERROR(MATCH(IF($B384="Robusta","Robusta",(IF($B384="","Arabica",$B384))&amp;" - "&amp;(IF($C384="","Commercial",$C384))),Variables!$B$1:$D$1,0),1))*(AV384/365))+(T384*INDEX(Variables!$B$9:$D$9,IFERROR(MATCH(IF($B384="Robusta","Robusta",(IF($B384="","Arabica",$B384))&amp;" - "&amp;(IF($C384="","Commercial",$C384))),Variables!$B$1:$D$1,0),1))*(AV384/365))+(INDEX(Variables!$B$8:$D$8,IFERROR(MATCH(IF($B384="Robusta","Robusta",(IF($B384="","Arabica",$B384))&amp;" - "&amp;(IF($C384="","Commercial",$C384))),Variables!$B$1:$D$1,0),1))*L384/16.67)),""))</f>
        <v>547.30234372872451</v>
      </c>
      <c r="AX384" s="9"/>
      <c r="AY384" s="12"/>
      <c r="AZ384" s="10"/>
      <c r="BA384" s="9"/>
      <c r="BB384" s="10"/>
      <c r="BC384" s="9"/>
      <c r="BD384" s="9"/>
      <c r="BE384" s="9"/>
      <c r="BF384" s="9"/>
    </row>
    <row r="385" spans="1:58" x14ac:dyDescent="0.25">
      <c r="A385" s="9" t="s">
        <v>84</v>
      </c>
      <c r="B385" s="9" t="s">
        <v>85</v>
      </c>
      <c r="C385" s="9" t="s">
        <v>86</v>
      </c>
      <c r="D385" s="10">
        <v>45737</v>
      </c>
      <c r="E385" s="10">
        <v>45809</v>
      </c>
      <c r="F385" s="10">
        <v>45838</v>
      </c>
      <c r="G385" s="9">
        <v>3786867</v>
      </c>
      <c r="H385" s="9" t="str">
        <f t="shared" si="35"/>
        <v>Closed</v>
      </c>
      <c r="I385" s="9" t="str">
        <f t="shared" si="36"/>
        <v>All dates received</v>
      </c>
      <c r="J385" s="9" t="s">
        <v>102</v>
      </c>
      <c r="K385" s="9" t="s">
        <v>1002</v>
      </c>
      <c r="L385" s="11">
        <v>360</v>
      </c>
      <c r="M385" s="9" t="s">
        <v>1000</v>
      </c>
      <c r="N385" s="9" t="s">
        <v>122</v>
      </c>
      <c r="O385" s="9"/>
      <c r="P385" s="9"/>
      <c r="Q385" s="11">
        <v>-18</v>
      </c>
      <c r="R385" s="9" t="s">
        <v>90</v>
      </c>
      <c r="S385" s="9" t="s">
        <v>172</v>
      </c>
      <c r="T385" s="12">
        <f>IF($H385="Cancelled","",IFERROR(((Q385+INDEX(Variables!$B$6:$D$6,IFERROR(MATCH(IF($B385="Robusta","Robusta",(IF($B385="","Arabica",$B385))&amp;" - "&amp;(IF($C385="","Commercial",$C385))),Variables!$B$1:$D$1,0),1)))*22.0462)*(L385/16.67),""))</f>
        <v>129880.81641271744</v>
      </c>
      <c r="U385" s="10">
        <v>45764</v>
      </c>
      <c r="V385" s="9" t="str">
        <f t="shared" si="42"/>
        <v>Sent</v>
      </c>
      <c r="W385" s="10">
        <v>45776</v>
      </c>
      <c r="X385" s="9" t="str">
        <f t="shared" si="41"/>
        <v>Approved</v>
      </c>
      <c r="Y385" s="10"/>
      <c r="Z385" s="10">
        <f>IF($H385="Cancelled","",IFERROR(IF(F385="","",F385-Variables!$B$13),""))</f>
        <v>45823</v>
      </c>
      <c r="AA385" s="11">
        <f>IF($H385="Cancelled","",IFERROR(IF(W385="","",(AVERAGE(E385:F385)-W385)-Variables!$B$14),""))</f>
        <v>17.5</v>
      </c>
      <c r="AB385" s="10">
        <v>45805</v>
      </c>
      <c r="AC385" s="11">
        <f>IF($H385="Cancelled","",IFERROR(IF(AB385="","",IF(AND(W385="",Y385=""),"",IF(Y385&gt;W385,Y385+Variables!$B$15+Variables!$B$16+Variables!$B$17-AB385,W385+Variables!$B$16+Variables!$B$17-AB385))),""))</f>
        <v>-21</v>
      </c>
      <c r="AD385" s="9" t="s">
        <v>163</v>
      </c>
      <c r="AE385" s="9" t="s">
        <v>164</v>
      </c>
      <c r="AF385" s="10"/>
      <c r="AG385" s="10"/>
      <c r="AH385" s="9"/>
      <c r="AI385" s="9">
        <v>253871236</v>
      </c>
      <c r="AJ385" s="9" t="s">
        <v>8</v>
      </c>
      <c r="AK385" s="10">
        <v>45814</v>
      </c>
      <c r="AL385" s="10">
        <v>45833</v>
      </c>
      <c r="AM385" s="10">
        <v>45833</v>
      </c>
      <c r="AN385" s="9" t="s">
        <v>95</v>
      </c>
      <c r="AO385" s="9"/>
      <c r="AP385" s="11">
        <f>IF($H385="Cancelled","",IFERROR(IF(OR(AK385="",AB385=""),"",(AB385+Variables!$B$18-AK385)),""))</f>
        <v>-2</v>
      </c>
      <c r="AQ385" s="11">
        <f>IF($H385="Cancelled","",IFERROR(IF(OR(AM385="",AK385=""),"",(AK385+Variables!$B$19)-AM385),""))</f>
        <v>-14</v>
      </c>
      <c r="AR385" s="12">
        <f>IF($H385="Cancelled","",IFERROR(T385*INDEX(Variables!$B$7:$D$7,IFERROR(MATCH(IF($B385="Robusta","Robusta",(IF($B385="","Arabica",$B385))&amp;" - "&amp;(IF($C385="","Commercial",$C385))),Variables!$B$1:$D$1,0),1))*(AQ385/365),""))</f>
        <v>-321.2329066335173</v>
      </c>
      <c r="AS385" s="12">
        <f>IF($H385="Cancelled","",IFERROR((T385*INDEX(Variables!$B$7:$D$7,IFERROR(MATCH(IF($B385="Robusta","Robusta",(IF($B385="","Arabica",$B385))&amp;" - "&amp;(IF($C385="","Commercial",$C385))),Variables!$B$1:$D$1,0),1))*IFERROR(IF(W385="","",(AVERAGE(E385:F385)-W385)-Variables!$B$14),"")/365)+(L385/16.67*INDEX(Variables!$B$8:$D$8,IFERROR(MATCH(IF($B385="Robusta","Robusta",(IF($B385="","Arabica",$B385))&amp;" - "&amp;(IF($C385="","Commercial",$C385))),Variables!$B$1:$D$1,0),1))*IFERROR(IF(W385="","",(AVERAGE(E385:F385)-W385)-Variables!$B$14),""))+(T385*INDEX(Variables!$B$9:$D$9,IFERROR(MATCH(IF($B385="Robusta","Robusta",(IF($B385="","Arabica",$B385))&amp;" - "&amp;(IF($C385="","Commercial",$C385))),Variables!$B$1:$D$1,0),1))*IFERROR(IF(W385="","",(AVERAGE(E385:F385)-W385)-Variables!$B$14),"")/365),""))</f>
        <v>721.71777342057635</v>
      </c>
      <c r="AT385" s="12">
        <f>IF($H385="Cancelled","",IFERROR((T385*INDEX(Variables!$B$7:$D$7,IFERROR(MATCH(IF($B385="Robusta","Robusta",(IF($B385="","Arabica",$B385))&amp;" - "&amp;(IF($C385="","Commercial",$C385))),Variables!$B$1:$D$1,0),1))*AC385/365)+(L385/16.67*INDEX(Variables!$B$8:$D$8,IFERROR(MATCH(IF($B385="Robusta","Robusta",(IF($B385="","Arabica",$B385))&amp;" - "&amp;(IF($C385="","Commercial",$C385))),Variables!$B$1:$D$1,0),1))*AC385)+(T385*INDEX(Variables!$B$9:$D$9,IFERROR(MATCH(IF($B385="Robusta","Robusta",(IF($B385="","Arabica",$B385))&amp;" - "&amp;(IF($C385="","Commercial",$C385))),Variables!$B$1:$D$1,0),1))*AC385/365),""))</f>
        <v>-866.0613281046916</v>
      </c>
      <c r="AU385" s="12">
        <f>IF($H385="Cancelled","",IFERROR((T385*INDEX(Variables!$B$7:$D$7,IFERROR(MATCH(IF($B385="Robusta","Robusta",(IF($B385="","Arabica",$B385))&amp;" - "&amp;(IF($C385="","Commercial",$C385))),Variables!$B$1:$D$1,0),1))*AP385/365)+(L385/16.67*INDEX(Variables!$B$8:$D$8,IFERROR(MATCH(IF($B385="Robusta","Robusta",(IF($B385="","Arabica",$B385))&amp;" - "&amp;(IF($C385="","Commercial",$C385))),Variables!$B$1:$D$1,0),1))*AP385)+(T385*INDEX(Variables!$B$9:$D$9,IFERROR(MATCH(IF($B385="Robusta","Robusta",(IF($B385="","Arabica",$B385))&amp;" - "&amp;(IF($C385="","Commercial",$C385))),Variables!$B$1:$D$1,0),1))*AP385/365),""))</f>
        <v>-82.48203124806588</v>
      </c>
      <c r="AV385" s="11">
        <f t="shared" si="37"/>
        <v>24</v>
      </c>
      <c r="AW385" s="12">
        <f>IF($H385="Cancelled","",IFERROR(IF(AV385="","",(T385*INDEX(Variables!$B$7:$D$7,IFERROR(MATCH(IF($B385="Robusta","Robusta",(IF($B385="","Arabica",$B385))&amp;" - "&amp;(IF($C385="","Commercial",$C385))),Variables!$B$1:$D$1,0),1))*(AV385/365))+(T385*INDEX(Variables!$B$9:$D$9,IFERROR(MATCH(IF($B385="Robusta","Robusta",(IF($B385="","Arabica",$B385))&amp;" - "&amp;(IF($C385="","Commercial",$C385))),Variables!$B$1:$D$1,0),1))*(AV385/365))+(INDEX(Variables!$B$8:$D$8,IFERROR(MATCH(IF($B385="Robusta","Robusta",(IF($B385="","Arabica",$B385))&amp;" - "&amp;(IF($C385="","Commercial",$C385))),Variables!$B$1:$D$1,0),1))*L385/16.67)),""))</f>
        <v>575.78437497679033</v>
      </c>
      <c r="AX385" s="9"/>
      <c r="AY385" s="12"/>
      <c r="AZ385" s="10"/>
      <c r="BA385" s="9"/>
      <c r="BB385" s="10"/>
      <c r="BC385" s="9"/>
      <c r="BD385" s="9"/>
      <c r="BE385" s="9"/>
      <c r="BF385" s="9"/>
    </row>
    <row r="386" spans="1:58" x14ac:dyDescent="0.25">
      <c r="A386" s="9" t="s">
        <v>84</v>
      </c>
      <c r="B386" s="9" t="s">
        <v>85</v>
      </c>
      <c r="C386" s="9" t="s">
        <v>86</v>
      </c>
      <c r="D386" s="10">
        <v>45737</v>
      </c>
      <c r="E386" s="10">
        <v>45809</v>
      </c>
      <c r="F386" s="10">
        <v>45838</v>
      </c>
      <c r="G386" s="9">
        <v>3786867</v>
      </c>
      <c r="H386" s="9" t="str">
        <f t="shared" ref="H386:H449" si="43">IF(ISNUMBER(SEARCH("cancel",AN386)),"Cancelled",IF(AND(AK386&lt;&gt;"",AL386&lt;&gt;"",AM386&lt;&gt;""),"Closed","Open"))</f>
        <v>Closed</v>
      </c>
      <c r="I386" s="9" t="str">
        <f t="shared" ref="I386:I449" si="44">IF(AND(AK386&lt;&gt;"",AL386&lt;&gt;"",AM386&lt;&gt;""),"All dates received",_xlfn.TEXTJOIN(" and ",TRUE(),IF(AK386="","No sailing date",""),IF(AL386="","No shipping advice sent",""),IF(AM386="","No docs dispatch date","")))</f>
        <v>All dates received</v>
      </c>
      <c r="J386" s="9" t="s">
        <v>102</v>
      </c>
      <c r="K386" s="9" t="s">
        <v>1003</v>
      </c>
      <c r="L386" s="11">
        <v>1080</v>
      </c>
      <c r="M386" s="9" t="s">
        <v>1000</v>
      </c>
      <c r="N386" s="9" t="s">
        <v>122</v>
      </c>
      <c r="O386" s="9"/>
      <c r="P386" s="9"/>
      <c r="Q386" s="11">
        <v>-18</v>
      </c>
      <c r="R386" s="9" t="s">
        <v>90</v>
      </c>
      <c r="S386" s="9" t="s">
        <v>215</v>
      </c>
      <c r="T386" s="12">
        <f>IF($H386="Cancelled","",IFERROR(((Q386+INDEX(Variables!$B$6:$D$6,IFERROR(MATCH(IF($B386="Robusta","Robusta",(IF($B386="","Arabica",$B386))&amp;" - "&amp;(IF($C386="","Commercial",$C386))),Variables!$B$1:$D$1,0),1)))*22.0462)*(L386/16.67),""))</f>
        <v>389642.4492381523</v>
      </c>
      <c r="U386" s="10">
        <v>45764</v>
      </c>
      <c r="V386" s="9" t="str">
        <f t="shared" si="42"/>
        <v>Sent</v>
      </c>
      <c r="W386" s="10">
        <v>45776</v>
      </c>
      <c r="X386" s="9" t="str">
        <f t="shared" si="41"/>
        <v>Approved</v>
      </c>
      <c r="Y386" s="10"/>
      <c r="Z386" s="10">
        <f>IF($H386="Cancelled","",IFERROR(IF(F386="","",F386-Variables!$B$13),""))</f>
        <v>45823</v>
      </c>
      <c r="AA386" s="11">
        <f>IF($H386="Cancelled","",IFERROR(IF(W386="","",(AVERAGE(E386:F386)-W386)-Variables!$B$14),""))</f>
        <v>17.5</v>
      </c>
      <c r="AB386" s="10">
        <v>45805</v>
      </c>
      <c r="AC386" s="11">
        <f>IF($H386="Cancelled","",IFERROR(IF(AB386="","",IF(AND(W386="",Y386=""),"",IF(Y386&gt;W386,Y386+Variables!$B$15+Variables!$B$16+Variables!$B$17-AB386,W386+Variables!$B$16+Variables!$B$17-AB386))),""))</f>
        <v>-21</v>
      </c>
      <c r="AD386" s="9" t="s">
        <v>163</v>
      </c>
      <c r="AE386" s="9" t="s">
        <v>598</v>
      </c>
      <c r="AF386" s="10"/>
      <c r="AG386" s="10"/>
      <c r="AH386" s="9"/>
      <c r="AI386" s="9">
        <v>253871238</v>
      </c>
      <c r="AJ386" s="9" t="s">
        <v>8</v>
      </c>
      <c r="AK386" s="10">
        <v>45821</v>
      </c>
      <c r="AL386" s="10">
        <v>45833</v>
      </c>
      <c r="AM386" s="10">
        <v>45833</v>
      </c>
      <c r="AN386" s="9" t="s">
        <v>95</v>
      </c>
      <c r="AO386" s="9"/>
      <c r="AP386" s="11">
        <f>IF($H386="Cancelled","",IFERROR(IF(OR(AK386="",AB386=""),"",(AB386+Variables!$B$18-AK386)),""))</f>
        <v>-9</v>
      </c>
      <c r="AQ386" s="11">
        <f>IF($H386="Cancelled","",IFERROR(IF(OR(AM386="",AK386=""),"",(AK386+Variables!$B$19)-AM386),""))</f>
        <v>-7</v>
      </c>
      <c r="AR386" s="12">
        <f>IF($H386="Cancelled","",IFERROR(T386*INDEX(Variables!$B$7:$D$7,IFERROR(MATCH(IF($B386="Robusta","Robusta",(IF($B386="","Arabica",$B386))&amp;" - "&amp;(IF($C386="","Commercial",$C386))),Variables!$B$1:$D$1,0),1))*(AQ386/365),""))</f>
        <v>-481.84935995027593</v>
      </c>
      <c r="AS386" s="12">
        <f>IF($H386="Cancelled","",IFERROR((T386*INDEX(Variables!$B$7:$D$7,IFERROR(MATCH(IF($B386="Robusta","Robusta",(IF($B386="","Arabica",$B386))&amp;" - "&amp;(IF($C386="","Commercial",$C386))),Variables!$B$1:$D$1,0),1))*IFERROR(IF(W386="","",(AVERAGE(E386:F386)-W386)-Variables!$B$14),"")/365)+(L386/16.67*INDEX(Variables!$B$8:$D$8,IFERROR(MATCH(IF($B386="Robusta","Robusta",(IF($B386="","Arabica",$B386))&amp;" - "&amp;(IF($C386="","Commercial",$C386))),Variables!$B$1:$D$1,0),1))*IFERROR(IF(W386="","",(AVERAGE(E386:F386)-W386)-Variables!$B$14),""))+(T386*INDEX(Variables!$B$9:$D$9,IFERROR(MATCH(IF($B386="Robusta","Robusta",(IF($B386="","Arabica",$B386))&amp;" - "&amp;(IF($C386="","Commercial",$C386))),Variables!$B$1:$D$1,0),1))*IFERROR(IF(W386="","",(AVERAGE(E386:F386)-W386)-Variables!$B$14),"")/365),""))</f>
        <v>2165.1533202617288</v>
      </c>
      <c r="AT386" s="12">
        <f>IF($H386="Cancelled","",IFERROR((T386*INDEX(Variables!$B$7:$D$7,IFERROR(MATCH(IF($B386="Robusta","Robusta",(IF($B386="","Arabica",$B386))&amp;" - "&amp;(IF($C386="","Commercial",$C386))),Variables!$B$1:$D$1,0),1))*AC386/365)+(L386/16.67*INDEX(Variables!$B$8:$D$8,IFERROR(MATCH(IF($B386="Robusta","Robusta",(IF($B386="","Arabica",$B386))&amp;" - "&amp;(IF($C386="","Commercial",$C386))),Variables!$B$1:$D$1,0),1))*AC386)+(T386*INDEX(Variables!$B$9:$D$9,IFERROR(MATCH(IF($B386="Robusta","Robusta",(IF($B386="","Arabica",$B386))&amp;" - "&amp;(IF($C386="","Commercial",$C386))),Variables!$B$1:$D$1,0),1))*AC386/365),""))</f>
        <v>-2598.1839843140751</v>
      </c>
      <c r="AU386" s="12">
        <f>IF($H386="Cancelled","",IFERROR((T386*INDEX(Variables!$B$7:$D$7,IFERROR(MATCH(IF($B386="Robusta","Robusta",(IF($B386="","Arabica",$B386))&amp;" - "&amp;(IF($C386="","Commercial",$C386))),Variables!$B$1:$D$1,0),1))*AP386/365)+(L386/16.67*INDEX(Variables!$B$8:$D$8,IFERROR(MATCH(IF($B386="Robusta","Robusta",(IF($B386="","Arabica",$B386))&amp;" - "&amp;(IF($C386="","Commercial",$C386))),Variables!$B$1:$D$1,0),1))*AP386)+(T386*INDEX(Variables!$B$9:$D$9,IFERROR(MATCH(IF($B386="Robusta","Robusta",(IF($B386="","Arabica",$B386))&amp;" - "&amp;(IF($C386="","Commercial",$C386))),Variables!$B$1:$D$1,0),1))*AP386/365),""))</f>
        <v>-1113.5074218488892</v>
      </c>
      <c r="AV386" s="11">
        <f t="shared" ref="AV386:AV449" si="45">IF($H386="Cancelled","",IFERROR(IF(AK386="","",F386-AK386),""))</f>
        <v>17</v>
      </c>
      <c r="AW386" s="12">
        <f>IF($H386="Cancelled","",IFERROR(IF(AV386="","",(T386*INDEX(Variables!$B$7:$D$7,IFERROR(MATCH(IF($B386="Robusta","Robusta",(IF($B386="","Arabica",$B386))&amp;" - "&amp;(IF($C386="","Commercial",$C386))),Variables!$B$1:$D$1,0),1))*(AV386/365))+(T386*INDEX(Variables!$B$9:$D$9,IFERROR(MATCH(IF($B386="Robusta","Robusta",(IF($B386="","Arabica",$B386))&amp;" - "&amp;(IF($C386="","Commercial",$C386))),Variables!$B$1:$D$1,0),1))*(AV386/365))+(INDEX(Variables!$B$8:$D$8,IFERROR(MATCH(IF($B386="Robusta","Robusta",(IF($B386="","Arabica",$B386))&amp;" - "&amp;(IF($C386="","Commercial",$C386))),Variables!$B$1:$D$1,0),1))*L386/16.67)),""))</f>
        <v>1239.2917968256797</v>
      </c>
      <c r="AX386" s="9"/>
      <c r="AY386" s="12"/>
      <c r="AZ386" s="10"/>
      <c r="BA386" s="9"/>
      <c r="BB386" s="10"/>
      <c r="BC386" s="9"/>
      <c r="BD386" s="9"/>
      <c r="BE386" s="9"/>
      <c r="BF386" s="9"/>
    </row>
    <row r="387" spans="1:58" x14ac:dyDescent="0.25">
      <c r="A387" s="9" t="s">
        <v>84</v>
      </c>
      <c r="B387" s="9" t="s">
        <v>85</v>
      </c>
      <c r="C387" s="9" t="s">
        <v>86</v>
      </c>
      <c r="D387" s="10">
        <v>45737</v>
      </c>
      <c r="E387" s="10">
        <v>45809</v>
      </c>
      <c r="F387" s="10">
        <v>45838</v>
      </c>
      <c r="G387" s="9">
        <v>3786867</v>
      </c>
      <c r="H387" s="9" t="str">
        <f t="shared" si="43"/>
        <v>Closed</v>
      </c>
      <c r="I387" s="9" t="str">
        <f t="shared" si="44"/>
        <v>All dates received</v>
      </c>
      <c r="J387" s="9" t="s">
        <v>102</v>
      </c>
      <c r="K387" s="9" t="s">
        <v>1004</v>
      </c>
      <c r="L387" s="11">
        <v>720</v>
      </c>
      <c r="M387" s="9" t="s">
        <v>1000</v>
      </c>
      <c r="N387" s="9" t="s">
        <v>122</v>
      </c>
      <c r="O387" s="9"/>
      <c r="P387" s="9"/>
      <c r="Q387" s="11">
        <v>-18</v>
      </c>
      <c r="R387" s="9" t="s">
        <v>90</v>
      </c>
      <c r="S387" s="9" t="s">
        <v>293</v>
      </c>
      <c r="T387" s="12">
        <f>IF($H387="Cancelled","",IFERROR(((Q387+INDEX(Variables!$B$6:$D$6,IFERROR(MATCH(IF($B387="Robusta","Robusta",(IF($B387="","Arabica",$B387))&amp;" - "&amp;(IF($C387="","Commercial",$C387))),Variables!$B$1:$D$1,0),1)))*22.0462)*(L387/16.67),""))</f>
        <v>259761.63282543488</v>
      </c>
      <c r="U387" s="10">
        <v>45764</v>
      </c>
      <c r="V387" s="9" t="str">
        <f t="shared" si="42"/>
        <v>Sent</v>
      </c>
      <c r="W387" s="10">
        <v>45776</v>
      </c>
      <c r="X387" s="9" t="str">
        <f t="shared" si="41"/>
        <v>Approved</v>
      </c>
      <c r="Y387" s="10"/>
      <c r="Z387" s="10">
        <f>IF($H387="Cancelled","",IFERROR(IF(F387="","",F387-Variables!$B$13),""))</f>
        <v>45823</v>
      </c>
      <c r="AA387" s="11">
        <f>IF($H387="Cancelled","",IFERROR(IF(W387="","",(AVERAGE(E387:F387)-W387)-Variables!$B$14),""))</f>
        <v>17.5</v>
      </c>
      <c r="AB387" s="10">
        <v>45806</v>
      </c>
      <c r="AC387" s="11">
        <f>IF($H387="Cancelled","",IFERROR(IF(AB387="","",IF(AND(W387="",Y387=""),"",IF(Y387&gt;W387,Y387+Variables!$B$15+Variables!$B$16+Variables!$B$17-AB387,W387+Variables!$B$16+Variables!$B$17-AB387))),""))</f>
        <v>-22</v>
      </c>
      <c r="AD387" s="9" t="s">
        <v>163</v>
      </c>
      <c r="AE387" s="9" t="s">
        <v>358</v>
      </c>
      <c r="AF387" s="10"/>
      <c r="AG387" s="10"/>
      <c r="AH387" s="9"/>
      <c r="AI387" s="9" t="s">
        <v>1005</v>
      </c>
      <c r="AJ387" s="9" t="s">
        <v>8</v>
      </c>
      <c r="AK387" s="10">
        <v>45827</v>
      </c>
      <c r="AL387" s="10">
        <v>45833</v>
      </c>
      <c r="AM387" s="10">
        <v>45842</v>
      </c>
      <c r="AN387" s="9" t="s">
        <v>95</v>
      </c>
      <c r="AO387" s="9"/>
      <c r="AP387" s="11">
        <f>IF($H387="Cancelled","",IFERROR(IF(OR(AK387="",AB387=""),"",(AB387+Variables!$B$18-AK387)),""))</f>
        <v>-14</v>
      </c>
      <c r="AQ387" s="11">
        <f>IF($H387="Cancelled","",IFERROR(IF(OR(AM387="",AK387=""),"",(AK387+Variables!$B$19)-AM387),""))</f>
        <v>-10</v>
      </c>
      <c r="AR387" s="12">
        <f>IF($H387="Cancelled","",IFERROR(T387*INDEX(Variables!$B$7:$D$7,IFERROR(MATCH(IF($B387="Robusta","Robusta",(IF($B387="","Arabica",$B387))&amp;" - "&amp;(IF($C387="","Commercial",$C387))),Variables!$B$1:$D$1,0),1))*(AQ387/365),""))</f>
        <v>-458.90415233359607</v>
      </c>
      <c r="AS387" s="12">
        <f>IF($H387="Cancelled","",IFERROR((T387*INDEX(Variables!$B$7:$D$7,IFERROR(MATCH(IF($B387="Robusta","Robusta",(IF($B387="","Arabica",$B387))&amp;" - "&amp;(IF($C387="","Commercial",$C387))),Variables!$B$1:$D$1,0),1))*IFERROR(IF(W387="","",(AVERAGE(E387:F387)-W387)-Variables!$B$14),"")/365)+(L387/16.67*INDEX(Variables!$B$8:$D$8,IFERROR(MATCH(IF($B387="Robusta","Robusta",(IF($B387="","Arabica",$B387))&amp;" - "&amp;(IF($C387="","Commercial",$C387))),Variables!$B$1:$D$1,0),1))*IFERROR(IF(W387="","",(AVERAGE(E387:F387)-W387)-Variables!$B$14),""))+(T387*INDEX(Variables!$B$9:$D$9,IFERROR(MATCH(IF($B387="Robusta","Robusta",(IF($B387="","Arabica",$B387))&amp;" - "&amp;(IF($C387="","Commercial",$C387))),Variables!$B$1:$D$1,0),1))*IFERROR(IF(W387="","",(AVERAGE(E387:F387)-W387)-Variables!$B$14),"")/365),""))</f>
        <v>1443.4355468411527</v>
      </c>
      <c r="AT387" s="12">
        <f>IF($H387="Cancelled","",IFERROR((T387*INDEX(Variables!$B$7:$D$7,IFERROR(MATCH(IF($B387="Robusta","Robusta",(IF($B387="","Arabica",$B387))&amp;" - "&amp;(IF($C387="","Commercial",$C387))),Variables!$B$1:$D$1,0),1))*AC387/365)+(L387/16.67*INDEX(Variables!$B$8:$D$8,IFERROR(MATCH(IF($B387="Robusta","Robusta",(IF($B387="","Arabica",$B387))&amp;" - "&amp;(IF($C387="","Commercial",$C387))),Variables!$B$1:$D$1,0),1))*AC387)+(T387*INDEX(Variables!$B$9:$D$9,IFERROR(MATCH(IF($B387="Robusta","Robusta",(IF($B387="","Arabica",$B387))&amp;" - "&amp;(IF($C387="","Commercial",$C387))),Variables!$B$1:$D$1,0),1))*AC387/365),""))</f>
        <v>-1814.604687457449</v>
      </c>
      <c r="AU387" s="12">
        <f>IF($H387="Cancelled","",IFERROR((T387*INDEX(Variables!$B$7:$D$7,IFERROR(MATCH(IF($B387="Robusta","Robusta",(IF($B387="","Arabica",$B387))&amp;" - "&amp;(IF($C387="","Commercial",$C387))),Variables!$B$1:$D$1,0),1))*AP387/365)+(L387/16.67*INDEX(Variables!$B$8:$D$8,IFERROR(MATCH(IF($B387="Robusta","Robusta",(IF($B387="","Arabica",$B387))&amp;" - "&amp;(IF($C387="","Commercial",$C387))),Variables!$B$1:$D$1,0),1))*AP387)+(T387*INDEX(Variables!$B$9:$D$9,IFERROR(MATCH(IF($B387="Robusta","Robusta",(IF($B387="","Arabica",$B387))&amp;" - "&amp;(IF($C387="","Commercial",$C387))),Variables!$B$1:$D$1,0),1))*AP387/365),""))</f>
        <v>-1154.7484374729224</v>
      </c>
      <c r="AV387" s="11">
        <f t="shared" si="45"/>
        <v>11</v>
      </c>
      <c r="AW387" s="12">
        <f>IF($H387="Cancelled","",IFERROR(IF(AV387="","",(T387*INDEX(Variables!$B$7:$D$7,IFERROR(MATCH(IF($B387="Robusta","Robusta",(IF($B387="","Arabica",$B387))&amp;" - "&amp;(IF($C387="","Commercial",$C387))),Variables!$B$1:$D$1,0),1))*(AV387/365))+(T387*INDEX(Variables!$B$9:$D$9,IFERROR(MATCH(IF($B387="Robusta","Robusta",(IF($B387="","Arabica",$B387))&amp;" - "&amp;(IF($C387="","Commercial",$C387))),Variables!$B$1:$D$1,0),1))*(AV387/365))+(INDEX(Variables!$B$8:$D$8,IFERROR(MATCH(IF($B387="Robusta","Robusta",(IF($B387="","Arabica",$B387))&amp;" - "&amp;(IF($C387="","Commercial",$C387))),Variables!$B$1:$D$1,0),1))*L387/16.67)),""))</f>
        <v>547.30234372872451</v>
      </c>
      <c r="AX387" s="9"/>
      <c r="AY387" s="12"/>
      <c r="AZ387" s="10"/>
      <c r="BA387" s="9"/>
      <c r="BB387" s="10"/>
      <c r="BC387" s="9"/>
      <c r="BD387" s="9"/>
      <c r="BE387" s="9"/>
      <c r="BF387" s="9"/>
    </row>
    <row r="388" spans="1:58" x14ac:dyDescent="0.25">
      <c r="A388" s="9" t="s">
        <v>84</v>
      </c>
      <c r="B388" s="9" t="s">
        <v>85</v>
      </c>
      <c r="C388" s="9" t="s">
        <v>86</v>
      </c>
      <c r="D388" s="10">
        <v>45741</v>
      </c>
      <c r="E388" s="10">
        <v>45741</v>
      </c>
      <c r="F388" s="10">
        <v>45757</v>
      </c>
      <c r="G388" s="9">
        <v>3786876</v>
      </c>
      <c r="H388" s="9" t="str">
        <f t="shared" si="43"/>
        <v>Closed</v>
      </c>
      <c r="I388" s="9" t="str">
        <f t="shared" si="44"/>
        <v>All dates received</v>
      </c>
      <c r="J388" s="9" t="s">
        <v>102</v>
      </c>
      <c r="K388" s="9">
        <v>5241</v>
      </c>
      <c r="L388" s="11">
        <v>320</v>
      </c>
      <c r="M388" s="9" t="s">
        <v>1006</v>
      </c>
      <c r="N388" s="9" t="s">
        <v>387</v>
      </c>
      <c r="O388" s="9"/>
      <c r="P388" s="9"/>
      <c r="Q388" s="11">
        <v>-87.4</v>
      </c>
      <c r="R388" s="9" t="s">
        <v>195</v>
      </c>
      <c r="S388" s="9" t="s">
        <v>106</v>
      </c>
      <c r="T388" s="12">
        <f>IF($H388="Cancelled","",IFERROR(((Q388+INDEX(Variables!$B$6:$D$6,IFERROR(MATCH(IF($B388="Robusta","Robusta",(IF($B388="","Arabica",$B388))&amp;" - "&amp;(IF($C388="","Commercial",$C388))),Variables!$B$1:$D$1,0),1)))*22.0462)*(L388/16.67),""))</f>
        <v>86079.368062387512</v>
      </c>
      <c r="U388" s="10"/>
      <c r="V388" s="9" t="s">
        <v>195</v>
      </c>
      <c r="W388" s="10">
        <v>45716</v>
      </c>
      <c r="X388" s="9" t="str">
        <f t="shared" si="41"/>
        <v>Approved</v>
      </c>
      <c r="Y388" s="10">
        <v>45741</v>
      </c>
      <c r="Z388" s="10">
        <f>IF($H388="Cancelled","",IFERROR(IF(F388="","",F388-Variables!$B$13),""))</f>
        <v>45742</v>
      </c>
      <c r="AA388" s="11">
        <f>IF($H388="Cancelled","",IFERROR(IF(W388="","",(AVERAGE(E388:F388)-W388)-Variables!$B$14),""))</f>
        <v>3</v>
      </c>
      <c r="AB388" s="10">
        <v>45751</v>
      </c>
      <c r="AC388" s="11">
        <f>IF($H388="Cancelled","",IFERROR(IF(AB388="","",IF(AND(W388="",Y388=""),"",IF(Y388&gt;W388,Y388+Variables!$B$15+Variables!$B$16+Variables!$B$17-AB388,W388+Variables!$B$16+Variables!$B$17-AB388))),""))</f>
        <v>5</v>
      </c>
      <c r="AD388" s="9" t="s">
        <v>954</v>
      </c>
      <c r="AE388" s="9" t="s">
        <v>769</v>
      </c>
      <c r="AF388" s="10">
        <v>45767</v>
      </c>
      <c r="AG388" s="10"/>
      <c r="AH388" s="9"/>
      <c r="AI388" s="9">
        <v>252407640</v>
      </c>
      <c r="AJ388" s="9" t="s">
        <v>8</v>
      </c>
      <c r="AK388" s="10">
        <v>45771</v>
      </c>
      <c r="AL388" s="10">
        <v>45779</v>
      </c>
      <c r="AM388" s="10">
        <v>45779</v>
      </c>
      <c r="AN388" s="9" t="s">
        <v>95</v>
      </c>
      <c r="AO388" s="9"/>
      <c r="AP388" s="11">
        <f>IF($H388="Cancelled","",IFERROR(IF(OR(AK388="",AB388=""),"",(AB388+Variables!$B$18-AK388)),""))</f>
        <v>-13</v>
      </c>
      <c r="AQ388" s="11">
        <f>IF($H388="Cancelled","",IFERROR(IF(OR(AM388="",AK388=""),"",(AK388+Variables!$B$19)-AM388),""))</f>
        <v>-3</v>
      </c>
      <c r="AR388" s="12">
        <f>IF($H388="Cancelled","",IFERROR(T388*INDEX(Variables!$B$7:$D$7,IFERROR(MATCH(IF($B388="Robusta","Robusta",(IF($B388="","Arabica",$B388))&amp;" - "&amp;(IF($C388="","Commercial",$C388))),Variables!$B$1:$D$1,0),1))*(AQ388/365),""))</f>
        <v>-45.621263237856027</v>
      </c>
      <c r="AS388" s="12">
        <f>IF($H388="Cancelled","",IFERROR((T388*INDEX(Variables!$B$7:$D$7,IFERROR(MATCH(IF($B388="Robusta","Robusta",(IF($B388="","Arabica",$B388))&amp;" - "&amp;(IF($C388="","Commercial",$C388))),Variables!$B$1:$D$1,0),1))*IFERROR(IF(W388="","",(AVERAGE(E388:F388)-W388)-Variables!$B$14),"")/365)+(L388/16.67*INDEX(Variables!$B$8:$D$8,IFERROR(MATCH(IF($B388="Robusta","Robusta",(IF($B388="","Arabica",$B388))&amp;" - "&amp;(IF($C388="","Commercial",$C388))),Variables!$B$1:$D$1,0),1))*IFERROR(IF(W388="","",(AVERAGE(E388:F388)-W388)-Variables!$B$14),""))+(T388*INDEX(Variables!$B$9:$D$9,IFERROR(MATCH(IF($B388="Robusta","Robusta",(IF($B388="","Arabica",$B388))&amp;" - "&amp;(IF($C388="","Commercial",$C388))),Variables!$B$1:$D$1,0),1))*IFERROR(IF(W388="","",(AVERAGE(E388:F388)-W388)-Variables!$B$14),"")/365),""))</f>
        <v>94.209409363912982</v>
      </c>
      <c r="AT388" s="12">
        <f>IF($H388="Cancelled","",IFERROR((T388*INDEX(Variables!$B$7:$D$7,IFERROR(MATCH(IF($B388="Robusta","Robusta",(IF($B388="","Arabica",$B388))&amp;" - "&amp;(IF($C388="","Commercial",$C388))),Variables!$B$1:$D$1,0),1))*AC388/365)+(L388/16.67*INDEX(Variables!$B$8:$D$8,IFERROR(MATCH(IF($B388="Robusta","Robusta",(IF($B388="","Arabica",$B388))&amp;" - "&amp;(IF($C388="","Commercial",$C388))),Variables!$B$1:$D$1,0),1))*AC388)+(T388*INDEX(Variables!$B$9:$D$9,IFERROR(MATCH(IF($B388="Robusta","Robusta",(IF($B388="","Arabica",$B388))&amp;" - "&amp;(IF($C388="","Commercial",$C388))),Variables!$B$1:$D$1,0),1))*AC388/365),""))</f>
        <v>157.01568227318833</v>
      </c>
      <c r="AU388" s="12">
        <f>IF($H388="Cancelled","",IFERROR((T388*INDEX(Variables!$B$7:$D$7,IFERROR(MATCH(IF($B388="Robusta","Robusta",(IF($B388="","Arabica",$B388))&amp;" - "&amp;(IF($C388="","Commercial",$C388))),Variables!$B$1:$D$1,0),1))*AP388/365)+(L388/16.67*INDEX(Variables!$B$8:$D$8,IFERROR(MATCH(IF($B388="Robusta","Robusta",(IF($B388="","Arabica",$B388))&amp;" - "&amp;(IF($C388="","Commercial",$C388))),Variables!$B$1:$D$1,0),1))*AP388)+(T388*INDEX(Variables!$B$9:$D$9,IFERROR(MATCH(IF($B388="Robusta","Robusta",(IF($B388="","Arabica",$B388))&amp;" - "&amp;(IF($C388="","Commercial",$C388))),Variables!$B$1:$D$1,0),1))*AP388/365),""))</f>
        <v>-408.24077391028959</v>
      </c>
      <c r="AV388" s="11">
        <f t="shared" si="45"/>
        <v>-14</v>
      </c>
      <c r="AW388" s="12">
        <f>IF($H388="Cancelled","",IFERROR(IF(AV388="","",(T388*INDEX(Variables!$B$7:$D$7,IFERROR(MATCH(IF($B388="Robusta","Robusta",(IF($B388="","Arabica",$B388))&amp;" - "&amp;(IF($C388="","Commercial",$C388))),Variables!$B$1:$D$1,0),1))*(AV388/365))+(T388*INDEX(Variables!$B$9:$D$9,IFERROR(MATCH(IF($B388="Robusta","Robusta",(IF($B388="","Arabica",$B388))&amp;" - "&amp;(IF($C388="","Commercial",$C388))),Variables!$B$1:$D$1,0),1))*(AV388/365))+(INDEX(Variables!$B$8:$D$8,IFERROR(MATCH(IF($B388="Robusta","Robusta",(IF($B388="","Arabica",$B388))&amp;" - "&amp;(IF($C388="","Commercial",$C388))),Variables!$B$1:$D$1,0),1))*L388/16.67)),""))</f>
        <v>-199.64391036492731</v>
      </c>
      <c r="AX388" s="9"/>
      <c r="AY388" s="12"/>
      <c r="AZ388" s="10"/>
      <c r="BA388" s="9"/>
      <c r="BB388" s="10"/>
      <c r="BC388" s="9"/>
      <c r="BD388" s="9"/>
      <c r="BE388" s="9"/>
      <c r="BF388" s="9"/>
    </row>
    <row r="389" spans="1:58" x14ac:dyDescent="0.25">
      <c r="A389" s="9" t="s">
        <v>84</v>
      </c>
      <c r="B389" s="9" t="s">
        <v>85</v>
      </c>
      <c r="C389" s="9" t="s">
        <v>86</v>
      </c>
      <c r="D389" s="10">
        <v>45743</v>
      </c>
      <c r="E389" s="10">
        <v>45748</v>
      </c>
      <c r="F389" s="10">
        <v>45761</v>
      </c>
      <c r="G389" s="9">
        <v>3786860</v>
      </c>
      <c r="H389" s="9" t="str">
        <f t="shared" si="43"/>
        <v>Closed</v>
      </c>
      <c r="I389" s="9" t="str">
        <f t="shared" si="44"/>
        <v>All dates received</v>
      </c>
      <c r="J389" s="9" t="s">
        <v>193</v>
      </c>
      <c r="K389" s="9">
        <v>5239</v>
      </c>
      <c r="L389" s="11">
        <v>640</v>
      </c>
      <c r="M389" s="9" t="s">
        <v>1007</v>
      </c>
      <c r="N389" s="9" t="s">
        <v>122</v>
      </c>
      <c r="O389" s="9"/>
      <c r="P389" s="9"/>
      <c r="Q389" s="11">
        <v>-9</v>
      </c>
      <c r="R389" s="9" t="s">
        <v>90</v>
      </c>
      <c r="S389" s="9" t="s">
        <v>946</v>
      </c>
      <c r="T389" s="12">
        <f>IF($H389="Cancelled","",IFERROR(((Q389+INDEX(Variables!$B$6:$D$6,IFERROR(MATCH(IF($B389="Robusta","Robusta",(IF($B389="","Arabica",$B389))&amp;" - "&amp;(IF($C389="","Commercial",$C389))),Variables!$B$1:$D$1,0),1)))*22.0462)*(L389/16.67),""))</f>
        <v>238516.87236952607</v>
      </c>
      <c r="U389" s="10">
        <v>45748</v>
      </c>
      <c r="V389" s="9" t="str">
        <f>IF(ISNUMBER(U389),"Sent","")</f>
        <v>Sent</v>
      </c>
      <c r="W389" s="10">
        <v>45758</v>
      </c>
      <c r="X389" s="9" t="str">
        <f t="shared" si="41"/>
        <v>Approved</v>
      </c>
      <c r="Y389" s="10"/>
      <c r="Z389" s="10">
        <f>IF($H389="Cancelled","",IFERROR(IF(F389="","",F389-Variables!$B$13),""))</f>
        <v>45746</v>
      </c>
      <c r="AA389" s="11">
        <f>IF($H389="Cancelled","",IFERROR(IF(W389="","",(AVERAGE(E389:F389)-W389)-Variables!$B$14),""))</f>
        <v>-33.5</v>
      </c>
      <c r="AB389" s="10">
        <v>45762</v>
      </c>
      <c r="AC389" s="11">
        <f>IF($H389="Cancelled","",IFERROR(IF(AB389="","",IF(AND(W389="",Y389=""),"",IF(Y389&gt;W389,Y389+Variables!$B$15+Variables!$B$16+Variables!$B$17-AB389,W389+Variables!$B$16+Variables!$B$17-AB389))),""))</f>
        <v>4</v>
      </c>
      <c r="AD389" s="9" t="s">
        <v>165</v>
      </c>
      <c r="AE389" s="9" t="s">
        <v>684</v>
      </c>
      <c r="AF389" s="10"/>
      <c r="AG389" s="10"/>
      <c r="AH389" s="9"/>
      <c r="AI389" s="9" t="s">
        <v>1008</v>
      </c>
      <c r="AJ389" s="9" t="s">
        <v>1009</v>
      </c>
      <c r="AK389" s="10">
        <v>45774</v>
      </c>
      <c r="AL389" s="10">
        <v>45782</v>
      </c>
      <c r="AM389" s="10">
        <v>45785</v>
      </c>
      <c r="AN389" s="9" t="s">
        <v>95</v>
      </c>
      <c r="AO389" s="9"/>
      <c r="AP389" s="11">
        <f>IF($H389="Cancelled","",IFERROR(IF(OR(AK389="",AB389=""),"",(AB389+Variables!$B$18-AK389)),""))</f>
        <v>-5</v>
      </c>
      <c r="AQ389" s="11">
        <f>IF($H389="Cancelled","",IFERROR(IF(OR(AM389="",AK389=""),"",(AK389+Variables!$B$19)-AM389),""))</f>
        <v>-6</v>
      </c>
      <c r="AR389" s="12">
        <f>IF($H389="Cancelled","",IFERROR(T389*INDEX(Variables!$B$7:$D$7,IFERROR(MATCH(IF($B389="Robusta","Robusta",(IF($B389="","Arabica",$B389))&amp;" - "&amp;(IF($C389="","Commercial",$C389))),Variables!$B$1:$D$1,0),1))*(AQ389/365),""))</f>
        <v>-252.82344110969183</v>
      </c>
      <c r="AS389" s="12">
        <f>IF($H389="Cancelled","",IFERROR((T389*INDEX(Variables!$B$7:$D$7,IFERROR(MATCH(IF($B389="Robusta","Robusta",(IF($B389="","Arabica",$B389))&amp;" - "&amp;(IF($C389="","Commercial",$C389))),Variables!$B$1:$D$1,0),1))*IFERROR(IF(W389="","",(AVERAGE(E389:F389)-W389)-Variables!$B$14),"")/365)+(L389/16.67*INDEX(Variables!$B$8:$D$8,IFERROR(MATCH(IF($B389="Robusta","Robusta",(IF($B389="","Arabica",$B389))&amp;" - "&amp;(IF($C389="","Commercial",$C389))),Variables!$B$1:$D$1,0),1))*IFERROR(IF(W389="","",(AVERAGE(E389:F389)-W389)-Variables!$B$14),""))+(T389*INDEX(Variables!$B$9:$D$9,IFERROR(MATCH(IF($B389="Robusta","Robusta",(IF($B389="","Arabica",$B389))&amp;" - "&amp;(IF($C389="","Commercial",$C389))),Variables!$B$1:$D$1,0),1))*IFERROR(IF(W389="","",(AVERAGE(E389:F389)-W389)-Variables!$B$14),"")/365),""))</f>
        <v>-2501.7957627602354</v>
      </c>
      <c r="AT389" s="12">
        <f>IF($H389="Cancelled","",IFERROR((T389*INDEX(Variables!$B$7:$D$7,IFERROR(MATCH(IF($B389="Robusta","Robusta",(IF($B389="","Arabica",$B389))&amp;" - "&amp;(IF($C389="","Commercial",$C389))),Variables!$B$1:$D$1,0),1))*AC389/365)+(L389/16.67*INDEX(Variables!$B$8:$D$8,IFERROR(MATCH(IF($B389="Robusta","Robusta",(IF($B389="","Arabica",$B389))&amp;" - "&amp;(IF($C389="","Commercial",$C389))),Variables!$B$1:$D$1,0),1))*AC389)+(T389*INDEX(Variables!$B$9:$D$9,IFERROR(MATCH(IF($B389="Robusta","Robusta",(IF($B389="","Arabica",$B389))&amp;" - "&amp;(IF($C389="","Commercial",$C389))),Variables!$B$1:$D$1,0),1))*AC389/365),""))</f>
        <v>298.72188212062508</v>
      </c>
      <c r="AU389" s="12">
        <f>IF($H389="Cancelled","",IFERROR((T389*INDEX(Variables!$B$7:$D$7,IFERROR(MATCH(IF($B389="Robusta","Robusta",(IF($B389="","Arabica",$B389))&amp;" - "&amp;(IF($C389="","Commercial",$C389))),Variables!$B$1:$D$1,0),1))*AP389/365)+(L389/16.67*INDEX(Variables!$B$8:$D$8,IFERROR(MATCH(IF($B389="Robusta","Robusta",(IF($B389="","Arabica",$B389))&amp;" - "&amp;(IF($C389="","Commercial",$C389))),Variables!$B$1:$D$1,0),1))*AP389)+(T389*INDEX(Variables!$B$9:$D$9,IFERROR(MATCH(IF($B389="Robusta","Robusta",(IF($B389="","Arabica",$B389))&amp;" - "&amp;(IF($C389="","Commercial",$C389))),Variables!$B$1:$D$1,0),1))*AP389/365),""))</f>
        <v>-373.40235265078138</v>
      </c>
      <c r="AV389" s="11">
        <f t="shared" si="45"/>
        <v>-13</v>
      </c>
      <c r="AW389" s="12">
        <f>IF($H389="Cancelled","",IFERROR(IF(AV389="","",(T389*INDEX(Variables!$B$7:$D$7,IFERROR(MATCH(IF($B389="Robusta","Robusta",(IF($B389="","Arabica",$B389))&amp;" - "&amp;(IF($C389="","Commercial",$C389))),Variables!$B$1:$D$1,0),1))*(AV389/365))+(T389*INDEX(Variables!$B$9:$D$9,IFERROR(MATCH(IF($B389="Robusta","Robusta",(IF($B389="","Arabica",$B389))&amp;" - "&amp;(IF($C389="","Commercial",$C389))),Variables!$B$1:$D$1,0),1))*(AV389/365))+(INDEX(Variables!$B$8:$D$8,IFERROR(MATCH(IF($B389="Robusta","Robusta",(IF($B389="","Arabica",$B389))&amp;" - "&amp;(IF($C389="","Commercial",$C389))),Variables!$B$1:$D$1,0),1))*L389/16.67)),""))</f>
        <v>-522.84611689203166</v>
      </c>
      <c r="AX389" s="9"/>
      <c r="AY389" s="12"/>
      <c r="AZ389" s="10"/>
      <c r="BA389" s="9"/>
      <c r="BB389" s="10"/>
      <c r="BC389" s="9"/>
      <c r="BD389" s="9"/>
      <c r="BE389" s="9"/>
      <c r="BF389" s="9"/>
    </row>
    <row r="390" spans="1:58" x14ac:dyDescent="0.25">
      <c r="A390" s="9" t="s">
        <v>84</v>
      </c>
      <c r="B390" s="9" t="s">
        <v>85</v>
      </c>
      <c r="C390" s="9" t="s">
        <v>86</v>
      </c>
      <c r="D390" s="10">
        <v>45743</v>
      </c>
      <c r="E390" s="10">
        <v>45778</v>
      </c>
      <c r="F390" s="10">
        <v>45808</v>
      </c>
      <c r="G390" s="9">
        <v>3786872</v>
      </c>
      <c r="H390" s="9" t="str">
        <f t="shared" si="43"/>
        <v>Closed</v>
      </c>
      <c r="I390" s="9" t="str">
        <f t="shared" si="44"/>
        <v>All dates received</v>
      </c>
      <c r="J390" s="9" t="s">
        <v>193</v>
      </c>
      <c r="K390" s="9">
        <v>5262</v>
      </c>
      <c r="L390" s="11">
        <v>640</v>
      </c>
      <c r="M390" s="9" t="s">
        <v>1010</v>
      </c>
      <c r="N390" s="9" t="s">
        <v>122</v>
      </c>
      <c r="O390" s="9"/>
      <c r="P390" s="9"/>
      <c r="Q390" s="11">
        <v>-4</v>
      </c>
      <c r="R390" s="9" t="s">
        <v>90</v>
      </c>
      <c r="S390" s="9" t="s">
        <v>183</v>
      </c>
      <c r="T390" s="12">
        <f>IF($H390="Cancelled","",IFERROR(((Q390+INDEX(Variables!$B$6:$D$6,IFERROR(MATCH(IF($B390="Robusta","Robusta",(IF($B390="","Arabica",$B390))&amp;" - "&amp;(IF($C390="","Commercial",$C390))),Variables!$B$1:$D$1,0),1)))*22.0462)*(L390/16.67),""))</f>
        <v>242748.89636472703</v>
      </c>
      <c r="U390" s="10">
        <v>45749</v>
      </c>
      <c r="V390" s="9" t="str">
        <f>IF(ISNUMBER(U390),"Sent","")</f>
        <v>Sent</v>
      </c>
      <c r="W390" s="10">
        <v>45758</v>
      </c>
      <c r="X390" s="9" t="str">
        <f t="shared" si="41"/>
        <v>Approved</v>
      </c>
      <c r="Y390" s="10"/>
      <c r="Z390" s="10">
        <f>IF($H390="Cancelled","",IFERROR(IF(F390="","",F390-Variables!$B$13),""))</f>
        <v>45793</v>
      </c>
      <c r="AA390" s="11">
        <f>IF($H390="Cancelled","",IFERROR(IF(W390="","",(AVERAGE(E390:F390)-W390)-Variables!$B$14),""))</f>
        <v>5</v>
      </c>
      <c r="AB390" s="10">
        <v>45791</v>
      </c>
      <c r="AC390" s="11">
        <f>IF($H390="Cancelled","",IFERROR(IF(AB390="","",IF(AND(W390="",Y390=""),"",IF(Y390&gt;W390,Y390+Variables!$B$15+Variables!$B$16+Variables!$B$17-AB390,W390+Variables!$B$16+Variables!$B$17-AB390))),""))</f>
        <v>-25</v>
      </c>
      <c r="AD390" s="9" t="s">
        <v>165</v>
      </c>
      <c r="AE390" s="9" t="s">
        <v>965</v>
      </c>
      <c r="AF390" s="10"/>
      <c r="AG390" s="10"/>
      <c r="AH390" s="9"/>
      <c r="AI390" s="9" t="s">
        <v>1011</v>
      </c>
      <c r="AJ390" s="9" t="s">
        <v>8</v>
      </c>
      <c r="AK390" s="10">
        <v>45799</v>
      </c>
      <c r="AL390" s="10">
        <v>45806</v>
      </c>
      <c r="AM390" s="10">
        <v>45807</v>
      </c>
      <c r="AN390" s="9" t="s">
        <v>95</v>
      </c>
      <c r="AO390" s="9"/>
      <c r="AP390" s="11">
        <f>IF($H390="Cancelled","",IFERROR(IF(OR(AK390="",AB390=""),"",(AB390+Variables!$B$18-AK390)),""))</f>
        <v>-1</v>
      </c>
      <c r="AQ390" s="11">
        <f>IF($H390="Cancelled","",IFERROR(IF(OR(AM390="",AK390=""),"",(AK390+Variables!$B$19)-AM390),""))</f>
        <v>-3</v>
      </c>
      <c r="AR390" s="12">
        <f>IF($H390="Cancelled","",IFERROR(T390*INDEX(Variables!$B$7:$D$7,IFERROR(MATCH(IF($B390="Robusta","Robusta",(IF($B390="","Arabica",$B390))&amp;" - "&amp;(IF($C390="","Commercial",$C390))),Variables!$B$1:$D$1,0),1))*(AQ390/365),""))</f>
        <v>-128.65465385070905</v>
      </c>
      <c r="AS390" s="12">
        <f>IF($H390="Cancelled","",IFERROR((T390*INDEX(Variables!$B$7:$D$7,IFERROR(MATCH(IF($B390="Robusta","Robusta",(IF($B390="","Arabica",$B390))&amp;" - "&amp;(IF($C390="","Commercial",$C390))),Variables!$B$1:$D$1,0),1))*IFERROR(IF(W390="","",(AVERAGE(E390:F390)-W390)-Variables!$B$14),"")/365)+(L390/16.67*INDEX(Variables!$B$8:$D$8,IFERROR(MATCH(IF($B390="Robusta","Robusta",(IF($B390="","Arabica",$B390))&amp;" - "&amp;(IF($C390="","Commercial",$C390))),Variables!$B$1:$D$1,0),1))*IFERROR(IF(W390="","",(AVERAGE(E390:F390)-W390)-Variables!$B$14),""))+(T390*INDEX(Variables!$B$9:$D$9,IFERROR(MATCH(IF($B390="Robusta","Robusta",(IF($B390="","Arabica",$B390))&amp;" - "&amp;(IF($C390="","Commercial",$C390))),Variables!$B$1:$D$1,0),1))*IFERROR(IF(W390="","",(AVERAGE(E390:F390)-W390)-Variables!$B$14),"")/365),""))</f>
        <v>377.18876770846026</v>
      </c>
      <c r="AT390" s="12">
        <f>IF($H390="Cancelled","",IFERROR((T390*INDEX(Variables!$B$7:$D$7,IFERROR(MATCH(IF($B390="Robusta","Robusta",(IF($B390="","Arabica",$B390))&amp;" - "&amp;(IF($C390="","Commercial",$C390))),Variables!$B$1:$D$1,0),1))*AC390/365)+(L390/16.67*INDEX(Variables!$B$8:$D$8,IFERROR(MATCH(IF($B390="Robusta","Robusta",(IF($B390="","Arabica",$B390))&amp;" - "&amp;(IF($C390="","Commercial",$C390))),Variables!$B$1:$D$1,0),1))*AC390)+(T390*INDEX(Variables!$B$9:$D$9,IFERROR(MATCH(IF($B390="Robusta","Robusta",(IF($B390="","Arabica",$B390))&amp;" - "&amp;(IF($C390="","Commercial",$C390))),Variables!$B$1:$D$1,0),1))*AC390/365),""))</f>
        <v>-1885.9438385423014</v>
      </c>
      <c r="AU390" s="12">
        <f>IF($H390="Cancelled","",IFERROR((T390*INDEX(Variables!$B$7:$D$7,IFERROR(MATCH(IF($B390="Robusta","Robusta",(IF($B390="","Arabica",$B390))&amp;" - "&amp;(IF($C390="","Commercial",$C390))),Variables!$B$1:$D$1,0),1))*AP390/365)+(L390/16.67*INDEX(Variables!$B$8:$D$8,IFERROR(MATCH(IF($B390="Robusta","Robusta",(IF($B390="","Arabica",$B390))&amp;" - "&amp;(IF($C390="","Commercial",$C390))),Variables!$B$1:$D$1,0),1))*AP390)+(T390*INDEX(Variables!$B$9:$D$9,IFERROR(MATCH(IF($B390="Robusta","Robusta",(IF($B390="","Arabica",$B390))&amp;" - "&amp;(IF($C390="","Commercial",$C390))),Variables!$B$1:$D$1,0),1))*AP390/365),""))</f>
        <v>-75.437753541692061</v>
      </c>
      <c r="AV390" s="11">
        <f t="shared" si="45"/>
        <v>9</v>
      </c>
      <c r="AW390" s="12">
        <f>IF($H390="Cancelled","",IFERROR(IF(AV390="","",(T390*INDEX(Variables!$B$7:$D$7,IFERROR(MATCH(IF($B390="Robusta","Robusta",(IF($B390="","Arabica",$B390))&amp;" - "&amp;(IF($C390="","Commercial",$C390))),Variables!$B$1:$D$1,0),1))*(AV390/365))+(T390*INDEX(Variables!$B$9:$D$9,IFERROR(MATCH(IF($B390="Robusta","Robusta",(IF($B390="","Arabica",$B390))&amp;" - "&amp;(IF($C390="","Commercial",$C390))),Variables!$B$1:$D$1,0),1))*(AV390/365))+(INDEX(Variables!$B$8:$D$8,IFERROR(MATCH(IF($B390="Robusta","Robusta",(IF($B390="","Arabica",$B390))&amp;" - "&amp;(IF($C390="","Commercial",$C390))),Variables!$B$1:$D$1,0),1))*L390/16.67)),""))</f>
        <v>422.93978187522845</v>
      </c>
      <c r="AX390" s="9"/>
      <c r="AY390" s="12"/>
      <c r="AZ390" s="10"/>
      <c r="BA390" s="9"/>
      <c r="BB390" s="10"/>
      <c r="BC390" s="9"/>
      <c r="BD390" s="9"/>
      <c r="BE390" s="9"/>
      <c r="BF390" s="9"/>
    </row>
    <row r="391" spans="1:58" x14ac:dyDescent="0.25">
      <c r="A391" s="9" t="s">
        <v>84</v>
      </c>
      <c r="B391" s="9" t="s">
        <v>85</v>
      </c>
      <c r="C391" s="9" t="s">
        <v>86</v>
      </c>
      <c r="D391" s="10">
        <v>45743</v>
      </c>
      <c r="E391" s="10">
        <v>45809</v>
      </c>
      <c r="F391" s="10">
        <v>45838</v>
      </c>
      <c r="G391" s="9">
        <v>3786873</v>
      </c>
      <c r="H391" s="9" t="str">
        <f t="shared" si="43"/>
        <v>Closed</v>
      </c>
      <c r="I391" s="9" t="str">
        <f t="shared" si="44"/>
        <v>All dates received</v>
      </c>
      <c r="J391" s="9" t="s">
        <v>102</v>
      </c>
      <c r="K391" s="9">
        <v>5290</v>
      </c>
      <c r="L391" s="11">
        <v>320</v>
      </c>
      <c r="M391" s="9" t="s">
        <v>1012</v>
      </c>
      <c r="N391" s="9" t="s">
        <v>1013</v>
      </c>
      <c r="O391" s="9"/>
      <c r="P391" s="9"/>
      <c r="Q391" s="11">
        <v>23</v>
      </c>
      <c r="R391" s="9" t="s">
        <v>90</v>
      </c>
      <c r="S391" s="9" t="s">
        <v>821</v>
      </c>
      <c r="T391" s="12">
        <f>IF($H391="Cancelled","",IFERROR(((Q391+INDEX(Variables!$B$6:$D$6,IFERROR(MATCH(IF($B391="Robusta","Robusta",(IF($B391="","Arabica",$B391))&amp;" - "&amp;(IF($C391="","Commercial",$C391))),Variables!$B$1:$D$1,0),1)))*22.0462)*(L391/16.67),""))</f>
        <v>132800.91296940611</v>
      </c>
      <c r="U391" s="10">
        <v>45772</v>
      </c>
      <c r="V391" s="9" t="str">
        <f>IF(ISNUMBER(U391),"Sent","")</f>
        <v>Sent</v>
      </c>
      <c r="W391" s="10">
        <v>45785</v>
      </c>
      <c r="X391" s="9" t="str">
        <f t="shared" si="41"/>
        <v>Approved</v>
      </c>
      <c r="Y391" s="10"/>
      <c r="Z391" s="10">
        <f>IF($H391="Cancelled","",IFERROR(IF(F391="","",F391-Variables!$B$13),""))</f>
        <v>45823</v>
      </c>
      <c r="AA391" s="11">
        <f>IF($H391="Cancelled","",IFERROR(IF(W391="","",(AVERAGE(E391:F391)-W391)-Variables!$B$14),""))</f>
        <v>8.5</v>
      </c>
      <c r="AB391" s="10">
        <v>45824</v>
      </c>
      <c r="AC391" s="11">
        <f>IF($H391="Cancelled","",IFERROR(IF(AB391="","",IF(AND(W391="",Y391=""),"",IF(Y391&gt;W391,Y391+Variables!$B$15+Variables!$B$16+Variables!$B$17-AB391,W391+Variables!$B$16+Variables!$B$17-AB391))),""))</f>
        <v>-31</v>
      </c>
      <c r="AD391" s="9" t="s">
        <v>107</v>
      </c>
      <c r="AE391" s="9" t="s">
        <v>942</v>
      </c>
      <c r="AF391" s="10"/>
      <c r="AG391" s="10"/>
      <c r="AH391" s="9"/>
      <c r="AI391" s="9" t="s">
        <v>1014</v>
      </c>
      <c r="AJ391" s="9" t="s">
        <v>1015</v>
      </c>
      <c r="AK391" s="10">
        <v>45841</v>
      </c>
      <c r="AL391" s="10">
        <v>45848</v>
      </c>
      <c r="AM391" s="10">
        <v>45869</v>
      </c>
      <c r="AN391" s="9" t="s">
        <v>1016</v>
      </c>
      <c r="AO391" s="9"/>
      <c r="AP391" s="11">
        <f>IF($H391="Cancelled","",IFERROR(IF(OR(AK391="",AB391=""),"",(AB391+Variables!$B$18-AK391)),""))</f>
        <v>-10</v>
      </c>
      <c r="AQ391" s="11">
        <f>IF($H391="Cancelled","",IFERROR(IF(OR(AM391="",AK391=""),"",(AK391+Variables!$B$19)-AM391),""))</f>
        <v>-23</v>
      </c>
      <c r="AR391" s="12">
        <f>IF($H391="Cancelled","",IFERROR(T391*INDEX(Variables!$B$7:$D$7,IFERROR(MATCH(IF($B391="Robusta","Robusta",(IF($B391="","Arabica",$B391))&amp;" - "&amp;(IF($C391="","Commercial",$C391))),Variables!$B$1:$D$1,0),1))*(AQ391/365),""))</f>
        <v>-539.60489231875158</v>
      </c>
      <c r="AS391" s="12">
        <f>IF($H391="Cancelled","",IFERROR((T391*INDEX(Variables!$B$7:$D$7,IFERROR(MATCH(IF($B391="Robusta","Robusta",(IF($B391="","Arabica",$B391))&amp;" - "&amp;(IF($C391="","Commercial",$C391))),Variables!$B$1:$D$1,0),1))*IFERROR(IF(W391="","",(AVERAGE(E391:F391)-W391)-Variables!$B$14),"")/365)+(L391/16.67*INDEX(Variables!$B$8:$D$8,IFERROR(MATCH(IF($B391="Robusta","Robusta",(IF($B391="","Arabica",$B391))&amp;" - "&amp;(IF($C391="","Commercial",$C391))),Variables!$B$1:$D$1,0),1))*IFERROR(IF(W391="","",(AVERAGE(E391:F391)-W391)-Variables!$B$14),""))+(T391*INDEX(Variables!$B$9:$D$9,IFERROR(MATCH(IF($B391="Robusta","Robusta",(IF($B391="","Arabica",$B391))&amp;" - "&amp;(IF($C391="","Commercial",$C391))),Variables!$B$1:$D$1,0),1))*IFERROR(IF(W391="","",(AVERAGE(E391:F391)-W391)-Variables!$B$14),"")/365),""))</f>
        <v>337.99009766693729</v>
      </c>
      <c r="AT391" s="12">
        <f>IF($H391="Cancelled","",IFERROR((T391*INDEX(Variables!$B$7:$D$7,IFERROR(MATCH(IF($B391="Robusta","Robusta",(IF($B391="","Arabica",$B391))&amp;" - "&amp;(IF($C391="","Commercial",$C391))),Variables!$B$1:$D$1,0),1))*AC391/365)+(L391/16.67*INDEX(Variables!$B$8:$D$8,IFERROR(MATCH(IF($B391="Robusta","Robusta",(IF($B391="","Arabica",$B391))&amp;" - "&amp;(IF($C391="","Commercial",$C391))),Variables!$B$1:$D$1,0),1))*AC391)+(T391*INDEX(Variables!$B$9:$D$9,IFERROR(MATCH(IF($B391="Robusta","Robusta",(IF($B391="","Arabica",$B391))&amp;" - "&amp;(IF($C391="","Commercial",$C391))),Variables!$B$1:$D$1,0),1))*AC391/365),""))</f>
        <v>-1232.6697679617714</v>
      </c>
      <c r="AU391" s="12">
        <f>IF($H391="Cancelled","",IFERROR((T391*INDEX(Variables!$B$7:$D$7,IFERROR(MATCH(IF($B391="Robusta","Robusta",(IF($B391="","Arabica",$B391))&amp;" - "&amp;(IF($C391="","Commercial",$C391))),Variables!$B$1:$D$1,0),1))*AP391/365)+(L391/16.67*INDEX(Variables!$B$8:$D$8,IFERROR(MATCH(IF($B391="Robusta","Robusta",(IF($B391="","Arabica",$B391))&amp;" - "&amp;(IF($C391="","Commercial",$C391))),Variables!$B$1:$D$1,0),1))*AP391)+(T391*INDEX(Variables!$B$9:$D$9,IFERROR(MATCH(IF($B391="Robusta","Robusta",(IF($B391="","Arabica",$B391))&amp;" - "&amp;(IF($C391="","Commercial",$C391))),Variables!$B$1:$D$1,0),1))*AP391/365),""))</f>
        <v>-397.63540901992621</v>
      </c>
      <c r="AV391" s="11">
        <f t="shared" si="45"/>
        <v>-3</v>
      </c>
      <c r="AW391" s="12">
        <f>IF($H391="Cancelled","",IFERROR(IF(AV391="","",(T391*INDEX(Variables!$B$7:$D$7,IFERROR(MATCH(IF($B391="Robusta","Robusta",(IF($B391="","Arabica",$B391))&amp;" - "&amp;(IF($C391="","Commercial",$C391))),Variables!$B$1:$D$1,0),1))*(AV391/365))+(T391*INDEX(Variables!$B$9:$D$9,IFERROR(MATCH(IF($B391="Robusta","Robusta",(IF($B391="","Arabica",$B391))&amp;" - "&amp;(IF($C391="","Commercial",$C391))),Variables!$B$1:$D$1,0),1))*(AV391/365))+(INDEX(Variables!$B$8:$D$8,IFERROR(MATCH(IF($B391="Robusta","Robusta",(IF($B391="","Arabica",$B391))&amp;" - "&amp;(IF($C391="","Commercial",$C391))),Variables!$B$1:$D$1,0),1))*L391/16.67)),""))</f>
        <v>-55.290622705977867</v>
      </c>
      <c r="AX391" s="9"/>
      <c r="AY391" s="12"/>
      <c r="AZ391" s="10"/>
      <c r="BA391" s="9"/>
      <c r="BB391" s="10"/>
      <c r="BC391" s="9"/>
      <c r="BD391" s="9"/>
      <c r="BE391" s="9"/>
      <c r="BF391" s="9"/>
    </row>
    <row r="392" spans="1:58" x14ac:dyDescent="0.25">
      <c r="A392" s="9" t="s">
        <v>84</v>
      </c>
      <c r="B392" s="9" t="s">
        <v>85</v>
      </c>
      <c r="C392" s="9" t="s">
        <v>86</v>
      </c>
      <c r="D392" s="10">
        <v>45744</v>
      </c>
      <c r="E392" s="10">
        <v>45748</v>
      </c>
      <c r="F392" s="10">
        <v>45777</v>
      </c>
      <c r="G392" s="9">
        <v>3786875</v>
      </c>
      <c r="H392" s="9" t="str">
        <f t="shared" si="43"/>
        <v>Closed</v>
      </c>
      <c r="I392" s="9" t="str">
        <f t="shared" si="44"/>
        <v>All dates received</v>
      </c>
      <c r="J392" s="9" t="s">
        <v>193</v>
      </c>
      <c r="K392" s="9">
        <v>5240</v>
      </c>
      <c r="L392" s="11">
        <v>1500</v>
      </c>
      <c r="M392" s="9" t="s">
        <v>1017</v>
      </c>
      <c r="N392" s="9" t="s">
        <v>1018</v>
      </c>
      <c r="O392" s="9"/>
      <c r="P392" s="9"/>
      <c r="Q392" s="11">
        <v>-204</v>
      </c>
      <c r="R392" s="9" t="s">
        <v>195</v>
      </c>
      <c r="S392" s="9" t="s">
        <v>106</v>
      </c>
      <c r="T392" s="12">
        <f>IF($H392="Cancelled","",IFERROR(((Q392+INDEX(Variables!$B$6:$D$6,IFERROR(MATCH(IF($B392="Robusta","Robusta",(IF($B392="","Arabica",$B392))&amp;" - "&amp;(IF($C392="","Commercial",$C392))),Variables!$B$1:$D$1,0),1)))*22.0462)*(L392/16.67),""))</f>
        <v>172190.47630473904</v>
      </c>
      <c r="U392" s="10"/>
      <c r="V392" s="9" t="s">
        <v>195</v>
      </c>
      <c r="W392" s="10">
        <v>45732</v>
      </c>
      <c r="X392" s="9" t="str">
        <f t="shared" si="41"/>
        <v>Approved</v>
      </c>
      <c r="Y392" s="10">
        <v>45772</v>
      </c>
      <c r="Z392" s="10">
        <f>IF($H392="Cancelled","",IFERROR(IF(F392="","",F392-Variables!$B$13),""))</f>
        <v>45762</v>
      </c>
      <c r="AA392" s="11">
        <f>IF($H392="Cancelled","",IFERROR(IF(W392="","",(AVERAGE(E392:F392)-W392)-Variables!$B$14),""))</f>
        <v>0.5</v>
      </c>
      <c r="AB392" s="10">
        <v>45769</v>
      </c>
      <c r="AC392" s="11">
        <f>IF($H392="Cancelled","",IFERROR(IF(AB392="","",IF(AND(W392="",Y392=""),"",IF(Y392&gt;W392,Y392+Variables!$B$15+Variables!$B$16+Variables!$B$17-AB392,W392+Variables!$B$16+Variables!$B$17-AB392))),""))</f>
        <v>18</v>
      </c>
      <c r="AD392" s="9" t="s">
        <v>107</v>
      </c>
      <c r="AE392" s="9" t="s">
        <v>924</v>
      </c>
      <c r="AF392" s="10"/>
      <c r="AG392" s="10"/>
      <c r="AH392" s="9"/>
      <c r="AI392" s="9" t="s">
        <v>1019</v>
      </c>
      <c r="AJ392" s="9" t="s">
        <v>8</v>
      </c>
      <c r="AK392" s="10">
        <v>45773</v>
      </c>
      <c r="AL392" s="10">
        <v>45779</v>
      </c>
      <c r="AM392" s="10">
        <v>45785</v>
      </c>
      <c r="AN392" s="9" t="s">
        <v>95</v>
      </c>
      <c r="AO392" s="9"/>
      <c r="AP392" s="11">
        <f>IF($H392="Cancelled","",IFERROR(IF(OR(AK392="",AB392=""),"",(AB392+Variables!$B$18-AK392)),""))</f>
        <v>3</v>
      </c>
      <c r="AQ392" s="11">
        <f>IF($H392="Cancelled","",IFERROR(IF(OR(AM392="",AK392=""),"",(AK392+Variables!$B$19)-AM392),""))</f>
        <v>-7</v>
      </c>
      <c r="AR392" s="12">
        <f>IF($H392="Cancelled","",IFERROR(T392*INDEX(Variables!$B$7:$D$7,IFERROR(MATCH(IF($B392="Robusta","Robusta",(IF($B392="","Arabica",$B392))&amp;" - "&amp;(IF($C392="","Commercial",$C392))),Variables!$B$1:$D$1,0),1))*(AQ392/365),""))</f>
        <v>-212.93847977600581</v>
      </c>
      <c r="AS392" s="12">
        <f>IF($H392="Cancelled","",IFERROR((T392*INDEX(Variables!$B$7:$D$7,IFERROR(MATCH(IF($B392="Robusta","Robusta",(IF($B392="","Arabica",$B392))&amp;" - "&amp;(IF($C392="","Commercial",$C392))),Variables!$B$1:$D$1,0),1))*IFERROR(IF(W392="","",(AVERAGE(E392:F392)-W392)-Variables!$B$14),"")/365)+(L392/16.67*INDEX(Variables!$B$8:$D$8,IFERROR(MATCH(IF($B392="Robusta","Robusta",(IF($B392="","Arabica",$B392))&amp;" - "&amp;(IF($C392="","Commercial",$C392))),Variables!$B$1:$D$1,0),1))*IFERROR(IF(W392="","",(AVERAGE(E392:F392)-W392)-Variables!$B$14),""))+(T392*INDEX(Variables!$B$9:$D$9,IFERROR(MATCH(IF($B392="Robusta","Robusta",(IF($B392="","Arabica",$B392))&amp;" - "&amp;(IF($C392="","Commercial",$C392))),Variables!$B$1:$D$1,0),1))*IFERROR(IF(W392="","",(AVERAGE(E392:F392)-W392)-Variables!$B$14),"")/365),""))</f>
        <v>52.905976265930924</v>
      </c>
      <c r="AT392" s="12">
        <f>IF($H392="Cancelled","",IFERROR((T392*INDEX(Variables!$B$7:$D$7,IFERROR(MATCH(IF($B392="Robusta","Robusta",(IF($B392="","Arabica",$B392))&amp;" - "&amp;(IF($C392="","Commercial",$C392))),Variables!$B$1:$D$1,0),1))*AC392/365)+(L392/16.67*INDEX(Variables!$B$8:$D$8,IFERROR(MATCH(IF($B392="Robusta","Robusta",(IF($B392="","Arabica",$B392))&amp;" - "&amp;(IF($C392="","Commercial",$C392))),Variables!$B$1:$D$1,0),1))*AC392)+(T392*INDEX(Variables!$B$9:$D$9,IFERROR(MATCH(IF($B392="Robusta","Robusta",(IF($B392="","Arabica",$B392))&amp;" - "&amp;(IF($C392="","Commercial",$C392))),Variables!$B$1:$D$1,0),1))*AC392/365),""))</f>
        <v>1904.6151455735132</v>
      </c>
      <c r="AU392" s="12">
        <f>IF($H392="Cancelled","",IFERROR((T392*INDEX(Variables!$B$7:$D$7,IFERROR(MATCH(IF($B392="Robusta","Robusta",(IF($B392="","Arabica",$B392))&amp;" - "&amp;(IF($C392="","Commercial",$C392))),Variables!$B$1:$D$1,0),1))*AP392/365)+(L392/16.67*INDEX(Variables!$B$8:$D$8,IFERROR(MATCH(IF($B392="Robusta","Robusta",(IF($B392="","Arabica",$B392))&amp;" - "&amp;(IF($C392="","Commercial",$C392))),Variables!$B$1:$D$1,0),1))*AP392)+(T392*INDEX(Variables!$B$9:$D$9,IFERROR(MATCH(IF($B392="Robusta","Robusta",(IF($B392="","Arabica",$B392))&amp;" - "&amp;(IF($C392="","Commercial",$C392))),Variables!$B$1:$D$1,0),1))*AP392/365),""))</f>
        <v>317.43585759558556</v>
      </c>
      <c r="AV392" s="11">
        <f t="shared" si="45"/>
        <v>4</v>
      </c>
      <c r="AW392" s="12">
        <f>IF($H392="Cancelled","",IFERROR(IF(AV392="","",(T392*INDEX(Variables!$B$7:$D$7,IFERROR(MATCH(IF($B392="Robusta","Robusta",(IF($B392="","Arabica",$B392))&amp;" - "&amp;(IF($C392="","Commercial",$C392))),Variables!$B$1:$D$1,0),1))*(AV392/365))+(T392*INDEX(Variables!$B$9:$D$9,IFERROR(MATCH(IF($B392="Robusta","Robusta",(IF($B392="","Arabica",$B392))&amp;" - "&amp;(IF($C392="","Commercial",$C392))),Variables!$B$1:$D$1,0),1))*(AV392/365))+(INDEX(Variables!$B$8:$D$8,IFERROR(MATCH(IF($B392="Robusta","Robusta",(IF($B392="","Arabica",$B392))&amp;" - "&amp;(IF($C392="","Commercial",$C392))),Variables!$B$1:$D$1,0),1))*L392/16.67)),""))</f>
        <v>198.24781012744739</v>
      </c>
      <c r="AX392" s="9"/>
      <c r="AY392" s="12"/>
      <c r="AZ392" s="10"/>
      <c r="BA392" s="9"/>
      <c r="BB392" s="10"/>
      <c r="BC392" s="9"/>
      <c r="BD392" s="9"/>
      <c r="BE392" s="9"/>
      <c r="BF392" s="9"/>
    </row>
    <row r="393" spans="1:58" x14ac:dyDescent="0.25">
      <c r="A393" s="9" t="s">
        <v>84</v>
      </c>
      <c r="B393" s="9" t="s">
        <v>85</v>
      </c>
      <c r="C393" s="9" t="s">
        <v>86</v>
      </c>
      <c r="D393" s="10">
        <v>45744</v>
      </c>
      <c r="E393" s="10">
        <v>45748</v>
      </c>
      <c r="F393" s="10">
        <v>45777</v>
      </c>
      <c r="G393" s="9">
        <v>3786877</v>
      </c>
      <c r="H393" s="9" t="str">
        <f t="shared" si="43"/>
        <v>Closed</v>
      </c>
      <c r="I393" s="9" t="str">
        <f t="shared" si="44"/>
        <v>All dates received</v>
      </c>
      <c r="J393" s="9" t="s">
        <v>193</v>
      </c>
      <c r="K393" s="9">
        <v>5255</v>
      </c>
      <c r="L393" s="11">
        <v>300</v>
      </c>
      <c r="M393" s="9" t="s">
        <v>1017</v>
      </c>
      <c r="N393" s="9" t="s">
        <v>1018</v>
      </c>
      <c r="O393" s="9"/>
      <c r="P393" s="9"/>
      <c r="Q393" s="11">
        <v>-201</v>
      </c>
      <c r="R393" s="9" t="s">
        <v>195</v>
      </c>
      <c r="S393" s="9" t="s">
        <v>392</v>
      </c>
      <c r="T393" s="12">
        <f>IF($H393="Cancelled","",IFERROR(((Q393+INDEX(Variables!$B$6:$D$6,IFERROR(MATCH(IF($B393="Robusta","Robusta",(IF($B393="","Arabica",$B393))&amp;" - "&amp;(IF($C393="","Commercial",$C393))),Variables!$B$1:$D$1,0),1)))*22.0462)*(L393/16.67),""))</f>
        <v>35628.352009598078</v>
      </c>
      <c r="U393" s="10"/>
      <c r="V393" s="9" t="s">
        <v>195</v>
      </c>
      <c r="W393" s="10">
        <v>45732</v>
      </c>
      <c r="X393" s="9" t="str">
        <f t="shared" si="41"/>
        <v>Approved</v>
      </c>
      <c r="Y393" s="10">
        <v>45772</v>
      </c>
      <c r="Z393" s="10">
        <f>IF($H393="Cancelled","",IFERROR(IF(F393="","",F393-Variables!$B$13),""))</f>
        <v>45762</v>
      </c>
      <c r="AA393" s="11">
        <f>IF($H393="Cancelled","",IFERROR(IF(W393="","",(AVERAGE(E393:F393)-W393)-Variables!$B$14),""))</f>
        <v>0.5</v>
      </c>
      <c r="AB393" s="10">
        <v>45776</v>
      </c>
      <c r="AC393" s="11">
        <f>IF($H393="Cancelled","",IFERROR(IF(AB393="","",IF(AND(W393="",Y393=""),"",IF(Y393&gt;W393,Y393+Variables!$B$15+Variables!$B$16+Variables!$B$17-AB393,W393+Variables!$B$16+Variables!$B$17-AB393))),""))</f>
        <v>11</v>
      </c>
      <c r="AD393" s="9" t="s">
        <v>107</v>
      </c>
      <c r="AE393" s="9" t="s">
        <v>733</v>
      </c>
      <c r="AF393" s="10"/>
      <c r="AG393" s="10"/>
      <c r="AH393" s="9"/>
      <c r="AI393" s="9" t="s">
        <v>1020</v>
      </c>
      <c r="AJ393" s="9" t="s">
        <v>8</v>
      </c>
      <c r="AK393" s="10">
        <v>45785</v>
      </c>
      <c r="AL393" s="10">
        <v>45797</v>
      </c>
      <c r="AM393" s="10">
        <v>45799</v>
      </c>
      <c r="AN393" s="9" t="s">
        <v>95</v>
      </c>
      <c r="AO393" s="9"/>
      <c r="AP393" s="11">
        <f>IF($H393="Cancelled","",IFERROR(IF(OR(AK393="",AB393=""),"",(AB393+Variables!$B$18-AK393)),""))</f>
        <v>-2</v>
      </c>
      <c r="AQ393" s="11">
        <f>IF($H393="Cancelled","",IFERROR(IF(OR(AM393="",AK393=""),"",(AK393+Variables!$B$19)-AM393),""))</f>
        <v>-9</v>
      </c>
      <c r="AR393" s="12">
        <f>IF($H393="Cancelled","",IFERROR(T393*INDEX(Variables!$B$7:$D$7,IFERROR(MATCH(IF($B393="Robusta","Robusta",(IF($B393="","Arabica",$B393))&amp;" - "&amp;(IF($C393="","Commercial",$C393))),Variables!$B$1:$D$1,0),1))*(AQ393/365),""))</f>
        <v>-56.648084053643146</v>
      </c>
      <c r="AS393" s="12">
        <f>IF($H393="Cancelled","",IFERROR((T393*INDEX(Variables!$B$7:$D$7,IFERROR(MATCH(IF($B393="Robusta","Robusta",(IF($B393="","Arabica",$B393))&amp;" - "&amp;(IF($C393="","Commercial",$C393))),Variables!$B$1:$D$1,0),1))*IFERROR(IF(W393="","",(AVERAGE(E393:F393)-W393)-Variables!$B$14),"")/365)+(L393/16.67*INDEX(Variables!$B$8:$D$8,IFERROR(MATCH(IF($B393="Robusta","Robusta",(IF($B393="","Arabica",$B393))&amp;" - "&amp;(IF($C393="","Commercial",$C393))),Variables!$B$1:$D$1,0),1))*IFERROR(IF(W393="","",(AVERAGE(E393:F393)-W393)-Variables!$B$14),""))+(T393*INDEX(Variables!$B$9:$D$9,IFERROR(MATCH(IF($B393="Robusta","Robusta",(IF($B393="","Arabica",$B393))&amp;" - "&amp;(IF($C393="","Commercial",$C393))),Variables!$B$1:$D$1,0),1))*IFERROR(IF(W393="","",(AVERAGE(E393:F393)-W393)-Variables!$B$14),"")/365),""))</f>
        <v>10.687688176683404</v>
      </c>
      <c r="AT393" s="12">
        <f>IF($H393="Cancelled","",IFERROR((T393*INDEX(Variables!$B$7:$D$7,IFERROR(MATCH(IF($B393="Robusta","Robusta",(IF($B393="","Arabica",$B393))&amp;" - "&amp;(IF($C393="","Commercial",$C393))),Variables!$B$1:$D$1,0),1))*AC393/365)+(L393/16.67*INDEX(Variables!$B$8:$D$8,IFERROR(MATCH(IF($B393="Robusta","Robusta",(IF($B393="","Arabica",$B393))&amp;" - "&amp;(IF($C393="","Commercial",$C393))),Variables!$B$1:$D$1,0),1))*AC393)+(T393*INDEX(Variables!$B$9:$D$9,IFERROR(MATCH(IF($B393="Robusta","Robusta",(IF($B393="","Arabica",$B393))&amp;" - "&amp;(IF($C393="","Commercial",$C393))),Variables!$B$1:$D$1,0),1))*AC393/365),""))</f>
        <v>235.12913988703485</v>
      </c>
      <c r="AU393" s="12">
        <f>IF($H393="Cancelled","",IFERROR((T393*INDEX(Variables!$B$7:$D$7,IFERROR(MATCH(IF($B393="Robusta","Robusta",(IF($B393="","Arabica",$B393))&amp;" - "&amp;(IF($C393="","Commercial",$C393))),Variables!$B$1:$D$1,0),1))*AP393/365)+(L393/16.67*INDEX(Variables!$B$8:$D$8,IFERROR(MATCH(IF($B393="Robusta","Robusta",(IF($B393="","Arabica",$B393))&amp;" - "&amp;(IF($C393="","Commercial",$C393))),Variables!$B$1:$D$1,0),1))*AP393)+(T393*INDEX(Variables!$B$9:$D$9,IFERROR(MATCH(IF($B393="Robusta","Robusta",(IF($B393="","Arabica",$B393))&amp;" - "&amp;(IF($C393="","Commercial",$C393))),Variables!$B$1:$D$1,0),1))*AP393/365),""))</f>
        <v>-42.750752706733614</v>
      </c>
      <c r="AV393" s="11">
        <f t="shared" si="45"/>
        <v>-8</v>
      </c>
      <c r="AW393" s="12">
        <f>IF($H393="Cancelled","",IFERROR(IF(AV393="","",(T393*INDEX(Variables!$B$7:$D$7,IFERROR(MATCH(IF($B393="Robusta","Robusta",(IF($B393="","Arabica",$B393))&amp;" - "&amp;(IF($C393="","Commercial",$C393))),Variables!$B$1:$D$1,0),1))*(AV393/365))+(T393*INDEX(Variables!$B$9:$D$9,IFERROR(MATCH(IF($B393="Robusta","Robusta",(IF($B393="","Arabica",$B393))&amp;" - "&amp;(IF($C393="","Commercial",$C393))),Variables!$B$1:$D$1,0),1))*(AV393/365))+(INDEX(Variables!$B$8:$D$8,IFERROR(MATCH(IF($B393="Robusta","Robusta",(IF($B393="","Arabica",$B393))&amp;" - "&amp;(IF($C393="","Commercial",$C393))),Variables!$B$1:$D$1,0),1))*L393/16.67)),""))</f>
        <v>-36.003010826934457</v>
      </c>
      <c r="AX393" s="9"/>
      <c r="AY393" s="12"/>
      <c r="AZ393" s="10"/>
      <c r="BA393" s="9"/>
      <c r="BB393" s="10"/>
      <c r="BC393" s="9"/>
      <c r="BD393" s="9"/>
      <c r="BE393" s="9"/>
      <c r="BF393" s="9"/>
    </row>
    <row r="394" spans="1:58" x14ac:dyDescent="0.25">
      <c r="A394" s="9" t="s">
        <v>84</v>
      </c>
      <c r="B394" s="9" t="s">
        <v>85</v>
      </c>
      <c r="C394" s="9" t="s">
        <v>86</v>
      </c>
      <c r="D394" s="10">
        <v>45744</v>
      </c>
      <c r="E394" s="10">
        <v>45778</v>
      </c>
      <c r="F394" s="10">
        <v>45808</v>
      </c>
      <c r="G394" s="9">
        <v>3786874</v>
      </c>
      <c r="H394" s="9" t="str">
        <f t="shared" si="43"/>
        <v>Closed</v>
      </c>
      <c r="I394" s="9" t="str">
        <f t="shared" si="44"/>
        <v>All dates received</v>
      </c>
      <c r="J394" s="9" t="s">
        <v>1021</v>
      </c>
      <c r="K394" s="9">
        <v>5267</v>
      </c>
      <c r="L394" s="11">
        <v>960</v>
      </c>
      <c r="M394" s="9" t="s">
        <v>126</v>
      </c>
      <c r="N394" s="9" t="s">
        <v>149</v>
      </c>
      <c r="O394" s="9"/>
      <c r="P394" s="9"/>
      <c r="Q394" s="11">
        <v>2</v>
      </c>
      <c r="R394" s="9" t="s">
        <v>90</v>
      </c>
      <c r="S394" s="9" t="s">
        <v>392</v>
      </c>
      <c r="T394" s="12">
        <f>IF($H394="Cancelled","",IFERROR(((Q394+INDEX(Variables!$B$6:$D$6,IFERROR(MATCH(IF($B394="Robusta","Robusta",(IF($B394="","Arabica",$B394))&amp;" - "&amp;(IF($C394="","Commercial",$C394))),Variables!$B$1:$D$1,0),1)))*22.0462)*(L394/16.67),""))</f>
        <v>371740.98773845227</v>
      </c>
      <c r="U394" s="10"/>
      <c r="V394" s="9" t="s">
        <v>1022</v>
      </c>
      <c r="W394" s="10">
        <v>45763</v>
      </c>
      <c r="X394" s="9" t="str">
        <f t="shared" si="41"/>
        <v>Approved</v>
      </c>
      <c r="Y394" s="10">
        <v>45776</v>
      </c>
      <c r="Z394" s="10">
        <f>IF($H394="Cancelled","",IFERROR(IF(F394="","",F394-Variables!$B$13),""))</f>
        <v>45793</v>
      </c>
      <c r="AA394" s="11">
        <f>IF($H394="Cancelled","",IFERROR(IF(W394="","",(AVERAGE(E394:F394)-W394)-Variables!$B$14),""))</f>
        <v>0</v>
      </c>
      <c r="AB394" s="10">
        <v>45782</v>
      </c>
      <c r="AC394" s="11">
        <f>IF($H394="Cancelled","",IFERROR(IF(AB394="","",IF(AND(W394="",Y394=""),"",IF(Y394&gt;W394,Y394+Variables!$B$15+Variables!$B$16+Variables!$B$17-AB394,W394+Variables!$B$16+Variables!$B$17-AB394))),""))</f>
        <v>9</v>
      </c>
      <c r="AD394" s="9" t="s">
        <v>1023</v>
      </c>
      <c r="AE394" s="9" t="s">
        <v>1024</v>
      </c>
      <c r="AF394" s="10"/>
      <c r="AG394" s="10"/>
      <c r="AH394" s="9"/>
      <c r="AI394" s="9" t="s">
        <v>1025</v>
      </c>
      <c r="AJ394" s="9" t="s">
        <v>8</v>
      </c>
      <c r="AK394" s="10">
        <v>45797</v>
      </c>
      <c r="AL394" s="10">
        <v>45798</v>
      </c>
      <c r="AM394" s="10">
        <v>45804</v>
      </c>
      <c r="AN394" s="9" t="s">
        <v>95</v>
      </c>
      <c r="AO394" s="9"/>
      <c r="AP394" s="11">
        <f>IF($H394="Cancelled","",IFERROR(IF(OR(AK394="",AB394=""),"",(AB394+Variables!$B$18-AK394)),""))</f>
        <v>-8</v>
      </c>
      <c r="AQ394" s="11">
        <f>IF($H394="Cancelled","",IFERROR(IF(OR(AM394="",AK394=""),"",(AK394+Variables!$B$19)-AM394),""))</f>
        <v>-2</v>
      </c>
      <c r="AR394" s="12">
        <f>IF($H394="Cancelled","",IFERROR(T394*INDEX(Variables!$B$7:$D$7,IFERROR(MATCH(IF($B394="Robusta","Robusta",(IF($B394="","Arabica",$B394))&amp;" - "&amp;(IF($C394="","Commercial",$C394))),Variables!$B$1:$D$1,0),1))*(AQ394/365),""))</f>
        <v>-131.34617380574483</v>
      </c>
      <c r="AS394" s="12">
        <f>IF($H394="Cancelled","",IFERROR((T394*INDEX(Variables!$B$7:$D$7,IFERROR(MATCH(IF($B394="Robusta","Robusta",(IF($B394="","Arabica",$B394))&amp;" - "&amp;(IF($C394="","Commercial",$C394))),Variables!$B$1:$D$1,0),1))*IFERROR(IF(W394="","",(AVERAGE(E394:F394)-W394)-Variables!$B$14),"")/365)+(L394/16.67*INDEX(Variables!$B$8:$D$8,IFERROR(MATCH(IF($B394="Robusta","Robusta",(IF($B394="","Arabica",$B394))&amp;" - "&amp;(IF($C394="","Commercial",$C394))),Variables!$B$1:$D$1,0),1))*IFERROR(IF(W394="","",(AVERAGE(E394:F394)-W394)-Variables!$B$14),""))+(T394*INDEX(Variables!$B$9:$D$9,IFERROR(MATCH(IF($B394="Robusta","Robusta",(IF($B394="","Arabica",$B394))&amp;" - "&amp;(IF($C394="","Commercial",$C394))),Variables!$B$1:$D$1,0),1))*IFERROR(IF(W394="","",(AVERAGE(E394:F394)-W394)-Variables!$B$14),"")/365),""))</f>
        <v>0</v>
      </c>
      <c r="AT394" s="12">
        <f>IF($H394="Cancelled","",IFERROR((T394*INDEX(Variables!$B$7:$D$7,IFERROR(MATCH(IF($B394="Robusta","Robusta",(IF($B394="","Arabica",$B394))&amp;" - "&amp;(IF($C394="","Commercial",$C394))),Variables!$B$1:$D$1,0),1))*AC394/365)+(L394/16.67*INDEX(Variables!$B$8:$D$8,IFERROR(MATCH(IF($B394="Robusta","Robusta",(IF($B394="","Arabica",$B394))&amp;" - "&amp;(IF($C394="","Commercial",$C394))),Variables!$B$1:$D$1,0),1))*AC394)+(T394*INDEX(Variables!$B$9:$D$9,IFERROR(MATCH(IF($B394="Robusta","Robusta",(IF($B394="","Arabica",$B394))&amp;" - "&amp;(IF($C394="","Commercial",$C394))),Variables!$B$1:$D$1,0),1))*AC394/365),""))</f>
        <v>1030.6776575997224</v>
      </c>
      <c r="AU394" s="12">
        <f>IF($H394="Cancelled","",IFERROR((T394*INDEX(Variables!$B$7:$D$7,IFERROR(MATCH(IF($B394="Robusta","Robusta",(IF($B394="","Arabica",$B394))&amp;" - "&amp;(IF($C394="","Commercial",$C394))),Variables!$B$1:$D$1,0),1))*AP394/365)+(L394/16.67*INDEX(Variables!$B$8:$D$8,IFERROR(MATCH(IF($B394="Robusta","Robusta",(IF($B394="","Arabica",$B394))&amp;" - "&amp;(IF($C394="","Commercial",$C394))),Variables!$B$1:$D$1,0),1))*AP394)+(T394*INDEX(Variables!$B$9:$D$9,IFERROR(MATCH(IF($B394="Robusta","Robusta",(IF($B394="","Arabica",$B394))&amp;" - "&amp;(IF($C394="","Commercial",$C394))),Variables!$B$1:$D$1,0),1))*AP394/365),""))</f>
        <v>-916.15791786641978</v>
      </c>
      <c r="AV394" s="11">
        <f t="shared" si="45"/>
        <v>11</v>
      </c>
      <c r="AW394" s="12">
        <f>IF($H394="Cancelled","",IFERROR(IF(AV394="","",(T394*INDEX(Variables!$B$7:$D$7,IFERROR(MATCH(IF($B394="Robusta","Robusta",(IF($B394="","Arabica",$B394))&amp;" - "&amp;(IF($C394="","Commercial",$C394))),Variables!$B$1:$D$1,0),1))*(AV394/365))+(T394*INDEX(Variables!$B$9:$D$9,IFERROR(MATCH(IF($B394="Robusta","Robusta",(IF($B394="","Arabica",$B394))&amp;" - "&amp;(IF($C394="","Commercial",$C394))),Variables!$B$1:$D$1,0),1))*(AV394/365))+(INDEX(Variables!$B$8:$D$8,IFERROR(MATCH(IF($B394="Robusta","Robusta",(IF($B394="","Arabica",$B394))&amp;" - "&amp;(IF($C394="","Commercial",$C394))),Variables!$B$1:$D$1,0),1))*L394/16.67)),""))</f>
        <v>779.71713706632715</v>
      </c>
      <c r="AX394" s="9"/>
      <c r="AY394" s="12"/>
      <c r="AZ394" s="10"/>
      <c r="BA394" s="9"/>
      <c r="BB394" s="10"/>
      <c r="BC394" s="9"/>
      <c r="BD394" s="9"/>
      <c r="BE394" s="9"/>
      <c r="BF394" s="9"/>
    </row>
    <row r="395" spans="1:58" x14ac:dyDescent="0.25">
      <c r="A395" s="9" t="s">
        <v>84</v>
      </c>
      <c r="B395" s="9" t="s">
        <v>85</v>
      </c>
      <c r="C395" s="9" t="s">
        <v>86</v>
      </c>
      <c r="D395" s="10">
        <v>45747</v>
      </c>
      <c r="E395" s="10">
        <v>45839</v>
      </c>
      <c r="F395" s="10">
        <v>45869</v>
      </c>
      <c r="G395" s="9">
        <v>3786878</v>
      </c>
      <c r="H395" s="9" t="str">
        <f t="shared" si="43"/>
        <v>Closed</v>
      </c>
      <c r="I395" s="9" t="str">
        <f t="shared" si="44"/>
        <v>All dates received</v>
      </c>
      <c r="J395" s="9" t="s">
        <v>240</v>
      </c>
      <c r="K395" s="9">
        <v>5304</v>
      </c>
      <c r="L395" s="11">
        <v>320</v>
      </c>
      <c r="M395" s="9" t="s">
        <v>241</v>
      </c>
      <c r="N395" s="9" t="s">
        <v>242</v>
      </c>
      <c r="O395" s="9"/>
      <c r="P395" s="9"/>
      <c r="Q395" s="11">
        <v>-100</v>
      </c>
      <c r="R395" s="9" t="s">
        <v>90</v>
      </c>
      <c r="S395" s="9" t="s">
        <v>964</v>
      </c>
      <c r="T395" s="12">
        <f>IF($H395="Cancelled","",IFERROR(((Q395+INDEX(Variables!$B$6:$D$6,IFERROR(MATCH(IF($B395="Robusta","Robusta",(IF($B395="","Arabica",$B395))&amp;" - "&amp;(IF($C395="","Commercial",$C395))),Variables!$B$1:$D$1,0),1)))*22.0462)*(L395/16.67),""))</f>
        <v>80747.017828434313</v>
      </c>
      <c r="U395" s="10">
        <v>45797</v>
      </c>
      <c r="V395" s="9" t="str">
        <f>IF(ISNUMBER(U395),"Sent","")</f>
        <v>Sent</v>
      </c>
      <c r="W395" s="10">
        <v>45826</v>
      </c>
      <c r="X395" s="9" t="str">
        <f t="shared" si="41"/>
        <v>Approved</v>
      </c>
      <c r="Y395" s="10"/>
      <c r="Z395" s="10">
        <f>IF($H395="Cancelled","",IFERROR(IF(F395="","",F395-Variables!$B$13),""))</f>
        <v>45854</v>
      </c>
      <c r="AA395" s="11">
        <f>IF($H395="Cancelled","",IFERROR(IF(W395="","",(AVERAGE(E395:F395)-W395)-Variables!$B$14),""))</f>
        <v>-2</v>
      </c>
      <c r="AB395" s="10">
        <v>45838</v>
      </c>
      <c r="AC395" s="11">
        <f>IF($H395="Cancelled","",IFERROR(IF(AB395="","",IF(AND(W395="",Y395=""),"",IF(Y395&gt;W395,Y395+Variables!$B$15+Variables!$B$16+Variables!$B$17-AB395,W395+Variables!$B$16+Variables!$B$17-AB395))),""))</f>
        <v>-4</v>
      </c>
      <c r="AD395" s="9" t="s">
        <v>1026</v>
      </c>
      <c r="AE395" s="9" t="s">
        <v>203</v>
      </c>
      <c r="AF395" s="10"/>
      <c r="AG395" s="10"/>
      <c r="AH395" s="9"/>
      <c r="AI395" s="9">
        <v>255691442</v>
      </c>
      <c r="AJ395" s="9" t="s">
        <v>8</v>
      </c>
      <c r="AK395" s="10">
        <v>45845</v>
      </c>
      <c r="AL395" s="10">
        <v>45847</v>
      </c>
      <c r="AM395" s="10">
        <v>45852</v>
      </c>
      <c r="AN395" s="9" t="s">
        <v>95</v>
      </c>
      <c r="AO395" s="9"/>
      <c r="AP395" s="11">
        <f>IF($H395="Cancelled","",IFERROR(IF(OR(AK395="",AB395=""),"",(AB395+Variables!$B$18-AK395)),""))</f>
        <v>0</v>
      </c>
      <c r="AQ395" s="11">
        <f>IF($H395="Cancelled","",IFERROR(IF(OR(AM395="",AK395=""),"",(AK395+Variables!$B$19)-AM395),""))</f>
        <v>-2</v>
      </c>
      <c r="AR395" s="12">
        <f>IF($H395="Cancelled","",IFERROR(T395*INDEX(Variables!$B$7:$D$7,IFERROR(MATCH(IF($B395="Robusta","Robusta",(IF($B395="","Arabica",$B395))&amp;" - "&amp;(IF($C395="","Commercial",$C395))),Variables!$B$1:$D$1,0),1))*(AQ395/365),""))</f>
        <v>-28.530111523379002</v>
      </c>
      <c r="AS395" s="12">
        <f>IF($H395="Cancelled","",IFERROR((T395*INDEX(Variables!$B$7:$D$7,IFERROR(MATCH(IF($B395="Robusta","Robusta",(IF($B395="","Arabica",$B395))&amp;" - "&amp;(IF($C395="","Commercial",$C395))),Variables!$B$1:$D$1,0),1))*IFERROR(IF(W395="","",(AVERAGE(E395:F395)-W395)-Variables!$B$14),"")/365)+(L395/16.67*INDEX(Variables!$B$8:$D$8,IFERROR(MATCH(IF($B395="Robusta","Robusta",(IF($B395="","Arabica",$B395))&amp;" - "&amp;(IF($C395="","Commercial",$C395))),Variables!$B$1:$D$1,0),1))*IFERROR(IF(W395="","",(AVERAGE(E395:F395)-W395)-Variables!$B$14),""))+(T395*INDEX(Variables!$B$9:$D$9,IFERROR(MATCH(IF($B395="Robusta","Robusta",(IF($B395="","Arabica",$B395))&amp;" - "&amp;(IF($C395="","Commercial",$C395))),Variables!$B$1:$D$1,0),1))*IFERROR(IF(W395="","",(AVERAGE(E395:F395)-W395)-Variables!$B$14),"")/365),""))</f>
        <v>-60.897919720205181</v>
      </c>
      <c r="AT395" s="12">
        <f>IF($H395="Cancelled","",IFERROR((T395*INDEX(Variables!$B$7:$D$7,IFERROR(MATCH(IF($B395="Robusta","Robusta",(IF($B395="","Arabica",$B395))&amp;" - "&amp;(IF($C395="","Commercial",$C395))),Variables!$B$1:$D$1,0),1))*AC395/365)+(L395/16.67*INDEX(Variables!$B$8:$D$8,IFERROR(MATCH(IF($B395="Robusta","Robusta",(IF($B395="","Arabica",$B395))&amp;" - "&amp;(IF($C395="","Commercial",$C395))),Variables!$B$1:$D$1,0),1))*AC395)+(T395*INDEX(Variables!$B$9:$D$9,IFERROR(MATCH(IF($B395="Robusta","Robusta",(IF($B395="","Arabica",$B395))&amp;" - "&amp;(IF($C395="","Commercial",$C395))),Variables!$B$1:$D$1,0),1))*AC395/365),""))</f>
        <v>-121.79583944041036</v>
      </c>
      <c r="AU395" s="12">
        <f>IF($H395="Cancelled","",IFERROR((T395*INDEX(Variables!$B$7:$D$7,IFERROR(MATCH(IF($B395="Robusta","Robusta",(IF($B395="","Arabica",$B395))&amp;" - "&amp;(IF($C395="","Commercial",$C395))),Variables!$B$1:$D$1,0),1))*AP395/365)+(L395/16.67*INDEX(Variables!$B$8:$D$8,IFERROR(MATCH(IF($B395="Robusta","Robusta",(IF($B395="","Arabica",$B395))&amp;" - "&amp;(IF($C395="","Commercial",$C395))),Variables!$B$1:$D$1,0),1))*AP395)+(T395*INDEX(Variables!$B$9:$D$9,IFERROR(MATCH(IF($B395="Robusta","Robusta",(IF($B395="","Arabica",$B395))&amp;" - "&amp;(IF($C395="","Commercial",$C395))),Variables!$B$1:$D$1,0),1))*AP395/365),""))</f>
        <v>0</v>
      </c>
      <c r="AV395" s="11">
        <f t="shared" si="45"/>
        <v>24</v>
      </c>
      <c r="AW395" s="12">
        <f>IF($H395="Cancelled","",IFERROR(IF(AV395="","",(T395*INDEX(Variables!$B$7:$D$7,IFERROR(MATCH(IF($B395="Robusta","Robusta",(IF($B395="","Arabica",$B395))&amp;" - "&amp;(IF($C395="","Commercial",$C395))),Variables!$B$1:$D$1,0),1))*(AV395/365))+(T395*INDEX(Variables!$B$9:$D$9,IFERROR(MATCH(IF($B395="Robusta","Robusta",(IF($B395="","Arabica",$B395))&amp;" - "&amp;(IF($C395="","Commercial",$C395))),Variables!$B$1:$D$1,0),1))*(AV395/365))+(INDEX(Variables!$B$8:$D$8,IFERROR(MATCH(IF($B395="Robusta","Robusta",(IF($B395="","Arabica",$B395))&amp;" - "&amp;(IF($C395="","Commercial",$C395))),Variables!$B$1:$D$1,0),1))*L395/16.67)),""))</f>
        <v>362.77503664246211</v>
      </c>
      <c r="AX395" s="9"/>
      <c r="AY395" s="12"/>
      <c r="AZ395" s="10"/>
      <c r="BA395" s="9"/>
      <c r="BB395" s="10"/>
      <c r="BC395" s="9"/>
      <c r="BD395" s="9"/>
      <c r="BE395" s="9"/>
      <c r="BF395" s="9"/>
    </row>
    <row r="396" spans="1:58" x14ac:dyDescent="0.25">
      <c r="A396" s="9" t="s">
        <v>84</v>
      </c>
      <c r="B396" s="9" t="s">
        <v>85</v>
      </c>
      <c r="C396" s="9" t="s">
        <v>86</v>
      </c>
      <c r="D396" s="10">
        <v>45747</v>
      </c>
      <c r="E396" s="10">
        <v>45870</v>
      </c>
      <c r="F396" s="10">
        <v>45900</v>
      </c>
      <c r="G396" s="9">
        <v>3786879</v>
      </c>
      <c r="H396" s="9" t="str">
        <f t="shared" si="43"/>
        <v>Closed</v>
      </c>
      <c r="I396" s="9" t="str">
        <f t="shared" si="44"/>
        <v>All dates received</v>
      </c>
      <c r="J396" s="9" t="s">
        <v>240</v>
      </c>
      <c r="K396" s="9">
        <v>5316</v>
      </c>
      <c r="L396" s="11">
        <v>320</v>
      </c>
      <c r="M396" s="9" t="s">
        <v>241</v>
      </c>
      <c r="N396" s="9" t="s">
        <v>242</v>
      </c>
      <c r="O396" s="9"/>
      <c r="P396" s="9"/>
      <c r="Q396" s="11">
        <v>-100</v>
      </c>
      <c r="R396" s="9" t="s">
        <v>90</v>
      </c>
      <c r="S396" s="9" t="s">
        <v>243</v>
      </c>
      <c r="T396" s="12">
        <f>IF($H396="Cancelled","",IFERROR(((Q396+INDEX(Variables!$B$6:$D$6,IFERROR(MATCH(IF($B396="Robusta","Robusta",(IF($B396="","Arabica",$B396))&amp;" - "&amp;(IF($C396="","Commercial",$C396))),Variables!$B$1:$D$1,0),1)))*22.0462)*(L396/16.67),""))</f>
        <v>80747.017828434313</v>
      </c>
      <c r="U396" s="10">
        <v>45839</v>
      </c>
      <c r="V396" s="9" t="str">
        <f>IF(ISNUMBER(U396),"Sent","")</f>
        <v>Sent</v>
      </c>
      <c r="W396" s="10"/>
      <c r="X396" s="9" t="s">
        <v>1027</v>
      </c>
      <c r="Y396" s="10"/>
      <c r="Z396" s="10">
        <f>IF($H396="Cancelled","",IFERROR(IF(F396="","",F396-Variables!$B$13),""))</f>
        <v>45885</v>
      </c>
      <c r="AA396" s="11" t="str">
        <f>IF($H396="Cancelled","",IFERROR(IF(W396="","",(AVERAGE(E396:F396)-W396)-Variables!$B$14),""))</f>
        <v/>
      </c>
      <c r="AB396" s="10">
        <v>45876</v>
      </c>
      <c r="AC396" s="11" t="str">
        <f>IF($H396="Cancelled","",IFERROR(IF(AB396="","",IF(AND(W396="",Y396=""),"",IF(Y396&gt;W396,Y396+Variables!$B$15+Variables!$B$16+Variables!$B$17-AB396,W396+Variables!$B$16+Variables!$B$17-AB396))),""))</f>
        <v/>
      </c>
      <c r="AD396" s="9" t="s">
        <v>107</v>
      </c>
      <c r="AE396" s="9" t="s">
        <v>969</v>
      </c>
      <c r="AF396" s="10"/>
      <c r="AG396" s="10"/>
      <c r="AH396" s="9"/>
      <c r="AI396" s="9" t="s">
        <v>1028</v>
      </c>
      <c r="AJ396" s="9" t="s">
        <v>8</v>
      </c>
      <c r="AK396" s="10">
        <v>45898</v>
      </c>
      <c r="AL396" s="10">
        <v>45901</v>
      </c>
      <c r="AM396" s="10">
        <v>45902</v>
      </c>
      <c r="AN396" s="9" t="s">
        <v>95</v>
      </c>
      <c r="AO396" s="9"/>
      <c r="AP396" s="11">
        <f>IF($H396="Cancelled","",IFERROR(IF(OR(AK396="",AB396=""),"",(AB396+Variables!$B$18-AK396)),""))</f>
        <v>-15</v>
      </c>
      <c r="AQ396" s="11">
        <f>IF($H396="Cancelled","",IFERROR(IF(OR(AM396="",AK396=""),"",(AK396+Variables!$B$19)-AM396),""))</f>
        <v>1</v>
      </c>
      <c r="AR396" s="12">
        <f>IF($H396="Cancelled","",IFERROR(T396*INDEX(Variables!$B$7:$D$7,IFERROR(MATCH(IF($B396="Robusta","Robusta",(IF($B396="","Arabica",$B396))&amp;" - "&amp;(IF($C396="","Commercial",$C396))),Variables!$B$1:$D$1,0),1))*(AQ396/365),""))</f>
        <v>14.265055761689501</v>
      </c>
      <c r="AS396" s="12" t="str">
        <f>IF($H396="Cancelled","",IFERROR((T396*INDEX(Variables!$B$7:$D$7,IFERROR(MATCH(IF($B396="Robusta","Robusta",(IF($B396="","Arabica",$B396))&amp;" - "&amp;(IF($C396="","Commercial",$C396))),Variables!$B$1:$D$1,0),1))*IFERROR(IF(W396="","",(AVERAGE(E396:F396)-W396)-Variables!$B$14),"")/365)+(L396/16.67*INDEX(Variables!$B$8:$D$8,IFERROR(MATCH(IF($B396="Robusta","Robusta",(IF($B396="","Arabica",$B396))&amp;" - "&amp;(IF($C396="","Commercial",$C396))),Variables!$B$1:$D$1,0),1))*IFERROR(IF(W396="","",(AVERAGE(E396:F396)-W396)-Variables!$B$14),""))+(T396*INDEX(Variables!$B$9:$D$9,IFERROR(MATCH(IF($B396="Robusta","Robusta",(IF($B396="","Arabica",$B396))&amp;" - "&amp;(IF($C396="","Commercial",$C396))),Variables!$B$1:$D$1,0),1))*IFERROR(IF(W396="","",(AVERAGE(E396:F396)-W396)-Variables!$B$14),"")/365),""))</f>
        <v/>
      </c>
      <c r="AT396" s="12" t="str">
        <f>IF($H396="Cancelled","",IFERROR((T396*INDEX(Variables!$B$7:$D$7,IFERROR(MATCH(IF($B396="Robusta","Robusta",(IF($B396="","Arabica",$B396))&amp;" - "&amp;(IF($C396="","Commercial",$C396))),Variables!$B$1:$D$1,0),1))*AC396/365)+(L396/16.67*INDEX(Variables!$B$8:$D$8,IFERROR(MATCH(IF($B396="Robusta","Robusta",(IF($B396="","Arabica",$B396))&amp;" - "&amp;(IF($C396="","Commercial",$C396))),Variables!$B$1:$D$1,0),1))*AC396)+(T396*INDEX(Variables!$B$9:$D$9,IFERROR(MATCH(IF($B396="Robusta","Robusta",(IF($B396="","Arabica",$B396))&amp;" - "&amp;(IF($C396="","Commercial",$C396))),Variables!$B$1:$D$1,0),1))*AC396/365),""))</f>
        <v/>
      </c>
      <c r="AU396" s="12">
        <f>IF($H396="Cancelled","",IFERROR((T396*INDEX(Variables!$B$7:$D$7,IFERROR(MATCH(IF($B396="Robusta","Robusta",(IF($B396="","Arabica",$B396))&amp;" - "&amp;(IF($C396="","Commercial",$C396))),Variables!$B$1:$D$1,0),1))*AP396/365)+(L396/16.67*INDEX(Variables!$B$8:$D$8,IFERROR(MATCH(IF($B396="Robusta","Robusta",(IF($B396="","Arabica",$B396))&amp;" - "&amp;(IF($C396="","Commercial",$C396))),Variables!$B$1:$D$1,0),1))*AP396)+(T396*INDEX(Variables!$B$9:$D$9,IFERROR(MATCH(IF($B396="Robusta","Robusta",(IF($B396="","Arabica",$B396))&amp;" - "&amp;(IF($C396="","Commercial",$C396))),Variables!$B$1:$D$1,0),1))*AP396/365),""))</f>
        <v>-456.73439790153884</v>
      </c>
      <c r="AV396" s="11">
        <f t="shared" si="45"/>
        <v>2</v>
      </c>
      <c r="AW396" s="12">
        <f>IF($H396="Cancelled","",IFERROR(IF(AV396="","",(T396*INDEX(Variables!$B$7:$D$7,IFERROR(MATCH(IF($B396="Robusta","Robusta",(IF($B396="","Arabica",$B396))&amp;" - "&amp;(IF($C396="","Commercial",$C396))),Variables!$B$1:$D$1,0),1))*(AV396/365))+(T396*INDEX(Variables!$B$9:$D$9,IFERROR(MATCH(IF($B396="Robusta","Robusta",(IF($B396="","Arabica",$B396))&amp;" - "&amp;(IF($C396="","Commercial",$C396))),Variables!$B$1:$D$1,0),1))*(AV396/365))+(INDEX(Variables!$B$8:$D$8,IFERROR(MATCH(IF($B396="Robusta","Robusta",(IF($B396="","Arabica",$B396))&amp;" - "&amp;(IF($C396="","Commercial",$C396))),Variables!$B$1:$D$1,0),1))*L396/16.67)),""))</f>
        <v>44.897919720205181</v>
      </c>
      <c r="AX396" s="9"/>
      <c r="AY396" s="12"/>
      <c r="AZ396" s="10"/>
      <c r="BA396" s="9"/>
      <c r="BB396" s="10"/>
      <c r="BC396" s="9"/>
      <c r="BD396" s="9"/>
      <c r="BE396" s="9"/>
      <c r="BF396" s="9"/>
    </row>
    <row r="397" spans="1:58" x14ac:dyDescent="0.25">
      <c r="A397" s="9" t="s">
        <v>84</v>
      </c>
      <c r="B397" s="9" t="s">
        <v>85</v>
      </c>
      <c r="C397" s="9" t="s">
        <v>86</v>
      </c>
      <c r="D397" s="10">
        <v>45747</v>
      </c>
      <c r="E397" s="10">
        <v>45901</v>
      </c>
      <c r="F397" s="10">
        <v>45930</v>
      </c>
      <c r="G397" s="9">
        <v>3786880</v>
      </c>
      <c r="H397" s="9" t="str">
        <f t="shared" si="43"/>
        <v>Closed</v>
      </c>
      <c r="I397" s="9" t="str">
        <f t="shared" si="44"/>
        <v>All dates received</v>
      </c>
      <c r="J397" s="9" t="s">
        <v>240</v>
      </c>
      <c r="K397" s="9">
        <v>5317</v>
      </c>
      <c r="L397" s="11">
        <v>320</v>
      </c>
      <c r="M397" s="9" t="s">
        <v>241</v>
      </c>
      <c r="N397" s="9" t="s">
        <v>242</v>
      </c>
      <c r="O397" s="9"/>
      <c r="P397" s="9"/>
      <c r="Q397" s="11">
        <v>-100</v>
      </c>
      <c r="R397" s="9" t="s">
        <v>90</v>
      </c>
      <c r="S397" s="9" t="s">
        <v>392</v>
      </c>
      <c r="T397" s="12">
        <f>IF($H397="Cancelled","",IFERROR(((Q397+INDEX(Variables!$B$6:$D$6,IFERROR(MATCH(IF($B397="Robusta","Robusta",(IF($B397="","Arabica",$B397))&amp;" - "&amp;(IF($C397="","Commercial",$C397))),Variables!$B$1:$D$1,0),1)))*22.0462)*(L397/16.67),""))</f>
        <v>80747.017828434313</v>
      </c>
      <c r="U397" s="10">
        <v>45861</v>
      </c>
      <c r="V397" s="9" t="str">
        <f>IF(ISNUMBER(U397),"Sent","")</f>
        <v>Sent</v>
      </c>
      <c r="W397" s="10">
        <v>45880</v>
      </c>
      <c r="X397" s="9" t="str">
        <f t="shared" ref="X397:X404" si="46">IF(ISNUMBER(W397),"Approved","")</f>
        <v>Approved</v>
      </c>
      <c r="Y397" s="10"/>
      <c r="Z397" s="10">
        <f>IF($H397="Cancelled","",IFERROR(IF(F397="","",F397-Variables!$B$13),""))</f>
        <v>45915</v>
      </c>
      <c r="AA397" s="11">
        <f>IF($H397="Cancelled","",IFERROR(IF(W397="","",(AVERAGE(E397:F397)-W397)-Variables!$B$14),""))</f>
        <v>5.5</v>
      </c>
      <c r="AB397" s="10">
        <v>45884</v>
      </c>
      <c r="AC397" s="11">
        <f>IF($H397="Cancelled","",IFERROR(IF(AB397="","",IF(AND(W397="",Y397=""),"",IF(Y397&gt;W397,Y397+Variables!$B$15+Variables!$B$16+Variables!$B$17-AB397,W397+Variables!$B$16+Variables!$B$17-AB397))),""))</f>
        <v>4</v>
      </c>
      <c r="AD397" s="9" t="s">
        <v>107</v>
      </c>
      <c r="AE397" s="9" t="s">
        <v>942</v>
      </c>
      <c r="AF397" s="10"/>
      <c r="AG397" s="10"/>
      <c r="AH397" s="9"/>
      <c r="AI397" s="9" t="s">
        <v>1029</v>
      </c>
      <c r="AJ397" s="9" t="s">
        <v>8</v>
      </c>
      <c r="AK397" s="10">
        <v>45900</v>
      </c>
      <c r="AL397" s="10">
        <v>45903</v>
      </c>
      <c r="AM397" s="10">
        <v>45905</v>
      </c>
      <c r="AN397" s="9" t="s">
        <v>95</v>
      </c>
      <c r="AO397" s="9"/>
      <c r="AP397" s="11">
        <f>IF($H397="Cancelled","",IFERROR(IF(OR(AK397="",AB397=""),"",(AB397+Variables!$B$18-AK397)),""))</f>
        <v>-9</v>
      </c>
      <c r="AQ397" s="11">
        <f>IF($H397="Cancelled","",IFERROR(IF(OR(AM397="",AK397=""),"",(AK397+Variables!$B$19)-AM397),""))</f>
        <v>0</v>
      </c>
      <c r="AR397" s="12">
        <f>IF($H397="Cancelled","",IFERROR(T397*INDEX(Variables!$B$7:$D$7,IFERROR(MATCH(IF($B397="Robusta","Robusta",(IF($B397="","Arabica",$B397))&amp;" - "&amp;(IF($C397="","Commercial",$C397))),Variables!$B$1:$D$1,0),1))*(AQ397/365),""))</f>
        <v>0</v>
      </c>
      <c r="AS397" s="12">
        <f>IF($H397="Cancelled","",IFERROR((T397*INDEX(Variables!$B$7:$D$7,IFERROR(MATCH(IF($B397="Robusta","Robusta",(IF($B397="","Arabica",$B397))&amp;" - "&amp;(IF($C397="","Commercial",$C397))),Variables!$B$1:$D$1,0),1))*IFERROR(IF(W397="","",(AVERAGE(E397:F397)-W397)-Variables!$B$14),"")/365)+(L397/16.67*INDEX(Variables!$B$8:$D$8,IFERROR(MATCH(IF($B397="Robusta","Robusta",(IF($B397="","Arabica",$B397))&amp;" - "&amp;(IF($C397="","Commercial",$C397))),Variables!$B$1:$D$1,0),1))*IFERROR(IF(W397="","",(AVERAGE(E397:F397)-W397)-Variables!$B$14),""))+(T397*INDEX(Variables!$B$9:$D$9,IFERROR(MATCH(IF($B397="Robusta","Robusta",(IF($B397="","Arabica",$B397))&amp;" - "&amp;(IF($C397="","Commercial",$C397))),Variables!$B$1:$D$1,0),1))*IFERROR(IF(W397="","",(AVERAGE(E397:F397)-W397)-Variables!$B$14),"")/365),""))</f>
        <v>167.46927923056424</v>
      </c>
      <c r="AT397" s="12">
        <f>IF($H397="Cancelled","",IFERROR((T397*INDEX(Variables!$B$7:$D$7,IFERROR(MATCH(IF($B397="Robusta","Robusta",(IF($B397="","Arabica",$B397))&amp;" - "&amp;(IF($C397="","Commercial",$C397))),Variables!$B$1:$D$1,0),1))*AC397/365)+(L397/16.67*INDEX(Variables!$B$8:$D$8,IFERROR(MATCH(IF($B397="Robusta","Robusta",(IF($B397="","Arabica",$B397))&amp;" - "&amp;(IF($C397="","Commercial",$C397))),Variables!$B$1:$D$1,0),1))*AC397)+(T397*INDEX(Variables!$B$9:$D$9,IFERROR(MATCH(IF($B397="Robusta","Robusta",(IF($B397="","Arabica",$B397))&amp;" - "&amp;(IF($C397="","Commercial",$C397))),Variables!$B$1:$D$1,0),1))*AC397/365),""))</f>
        <v>121.79583944041036</v>
      </c>
      <c r="AU397" s="12">
        <f>IF($H397="Cancelled","",IFERROR((T397*INDEX(Variables!$B$7:$D$7,IFERROR(MATCH(IF($B397="Robusta","Robusta",(IF($B397="","Arabica",$B397))&amp;" - "&amp;(IF($C397="","Commercial",$C397))),Variables!$B$1:$D$1,0),1))*AP397/365)+(L397/16.67*INDEX(Variables!$B$8:$D$8,IFERROR(MATCH(IF($B397="Robusta","Robusta",(IF($B397="","Arabica",$B397))&amp;" - "&amp;(IF($C397="","Commercial",$C397))),Variables!$B$1:$D$1,0),1))*AP397)+(T397*INDEX(Variables!$B$9:$D$9,IFERROR(MATCH(IF($B397="Robusta","Robusta",(IF($B397="","Arabica",$B397))&amp;" - "&amp;(IF($C397="","Commercial",$C397))),Variables!$B$1:$D$1,0),1))*AP397/365),""))</f>
        <v>-274.04063874092327</v>
      </c>
      <c r="AV397" s="11">
        <f t="shared" si="45"/>
        <v>30</v>
      </c>
      <c r="AW397" s="12">
        <f>IF($H397="Cancelled","",IFERROR(IF(AV397="","",(T397*INDEX(Variables!$B$7:$D$7,IFERROR(MATCH(IF($B397="Robusta","Robusta",(IF($B397="","Arabica",$B397))&amp;" - "&amp;(IF($C397="","Commercial",$C397))),Variables!$B$1:$D$1,0),1))*(AV397/365))+(T397*INDEX(Variables!$B$9:$D$9,IFERROR(MATCH(IF($B397="Robusta","Robusta",(IF($B397="","Arabica",$B397))&amp;" - "&amp;(IF($C397="","Commercial",$C397))),Variables!$B$1:$D$1,0),1))*(AV397/365))+(INDEX(Variables!$B$8:$D$8,IFERROR(MATCH(IF($B397="Robusta","Robusta",(IF($B397="","Arabica",$B397))&amp;" - "&amp;(IF($C397="","Commercial",$C397))),Variables!$B$1:$D$1,0),1))*L397/16.67)),""))</f>
        <v>449.46879580307763</v>
      </c>
      <c r="AX397" s="9"/>
      <c r="AY397" s="12"/>
      <c r="AZ397" s="10"/>
      <c r="BA397" s="9"/>
      <c r="BB397" s="10"/>
      <c r="BC397" s="9"/>
      <c r="BD397" s="9"/>
      <c r="BE397" s="9"/>
      <c r="BF397" s="9"/>
    </row>
    <row r="398" spans="1:58" x14ac:dyDescent="0.25">
      <c r="A398" s="9" t="s">
        <v>84</v>
      </c>
      <c r="B398" s="9" t="s">
        <v>85</v>
      </c>
      <c r="C398" s="9" t="s">
        <v>86</v>
      </c>
      <c r="D398" s="10">
        <v>45748</v>
      </c>
      <c r="E398" s="10">
        <v>45778</v>
      </c>
      <c r="F398" s="10">
        <v>45791</v>
      </c>
      <c r="G398" s="9">
        <v>3786883</v>
      </c>
      <c r="H398" s="9" t="str">
        <f t="shared" si="43"/>
        <v>Closed</v>
      </c>
      <c r="I398" s="9" t="str">
        <f t="shared" si="44"/>
        <v>All dates received</v>
      </c>
      <c r="J398" s="9" t="s">
        <v>102</v>
      </c>
      <c r="K398" s="9">
        <v>5264</v>
      </c>
      <c r="L398" s="11">
        <v>1080</v>
      </c>
      <c r="M398" s="9" t="s">
        <v>1030</v>
      </c>
      <c r="N398" s="9" t="s">
        <v>968</v>
      </c>
      <c r="O398" s="9"/>
      <c r="P398" s="9"/>
      <c r="Q398" s="11">
        <v>-45</v>
      </c>
      <c r="R398" s="9" t="s">
        <v>195</v>
      </c>
      <c r="S398" s="9" t="s">
        <v>106</v>
      </c>
      <c r="T398" s="12">
        <f>IF($H398="Cancelled","",IFERROR(((Q398+INDEX(Variables!$B$6:$D$6,IFERROR(MATCH(IF($B398="Robusta","Robusta",(IF($B398="","Arabica",$B398))&amp;" - "&amp;(IF($C398="","Commercial",$C398))),Variables!$B$1:$D$1,0),1)))*22.0462)*(L398/16.67),""))</f>
        <v>351078.1305818836</v>
      </c>
      <c r="U398" s="10"/>
      <c r="V398" s="9" t="s">
        <v>195</v>
      </c>
      <c r="W398" s="10">
        <v>45745</v>
      </c>
      <c r="X398" s="9" t="str">
        <f t="shared" si="46"/>
        <v>Approved</v>
      </c>
      <c r="Y398" s="10">
        <v>45776</v>
      </c>
      <c r="Z398" s="10">
        <f>IF($H398="Cancelled","",IFERROR(IF(F398="","",F398-Variables!$B$13),""))</f>
        <v>45776</v>
      </c>
      <c r="AA398" s="11">
        <f>IF($H398="Cancelled","",IFERROR(IF(W398="","",(AVERAGE(E398:F398)-W398)-Variables!$B$14),""))</f>
        <v>9.5</v>
      </c>
      <c r="AB398" s="10">
        <v>45785</v>
      </c>
      <c r="AC398" s="11">
        <f>IF($H398="Cancelled","",IFERROR(IF(AB398="","",IF(AND(W398="",Y398=""),"",IF(Y398&gt;W398,Y398+Variables!$B$15+Variables!$B$16+Variables!$B$17-AB398,W398+Variables!$B$16+Variables!$B$17-AB398))),""))</f>
        <v>6</v>
      </c>
      <c r="AD398" s="9" t="s">
        <v>163</v>
      </c>
      <c r="AE398" s="9" t="s">
        <v>844</v>
      </c>
      <c r="AF398" s="10"/>
      <c r="AG398" s="10"/>
      <c r="AH398" s="9"/>
      <c r="AI398" s="9">
        <v>253467290</v>
      </c>
      <c r="AJ398" s="9" t="s">
        <v>8</v>
      </c>
      <c r="AK398" s="10">
        <v>45795</v>
      </c>
      <c r="AL398" s="10">
        <v>45797</v>
      </c>
      <c r="AM398" s="10">
        <v>45797</v>
      </c>
      <c r="AN398" s="9" t="s">
        <v>95</v>
      </c>
      <c r="AO398" s="9"/>
      <c r="AP398" s="11">
        <f>IF($H398="Cancelled","",IFERROR(IF(OR(AK398="",AB398=""),"",(AB398+Variables!$B$18-AK398)),""))</f>
        <v>-3</v>
      </c>
      <c r="AQ398" s="11">
        <f>IF($H398="Cancelled","",IFERROR(IF(OR(AM398="",AK398=""),"",(AK398+Variables!$B$19)-AM398),""))</f>
        <v>3</v>
      </c>
      <c r="AR398" s="12">
        <f>IF($H398="Cancelled","",IFERROR(T398*INDEX(Variables!$B$7:$D$7,IFERROR(MATCH(IF($B398="Robusta","Robusta",(IF($B398="","Arabica",$B398))&amp;" - "&amp;(IF($C398="","Commercial",$C398))),Variables!$B$1:$D$1,0),1))*(AQ398/365),""))</f>
        <v>186.06813889156547</v>
      </c>
      <c r="AS398" s="12">
        <f>IF($H398="Cancelled","",IFERROR((T398*INDEX(Variables!$B$7:$D$7,IFERROR(MATCH(IF($B398="Robusta","Robusta",(IF($B398="","Arabica",$B398))&amp;" - "&amp;(IF($C398="","Commercial",$C398))),Variables!$B$1:$D$1,0),1))*IFERROR(IF(W398="","",(AVERAGE(E398:F398)-W398)-Variables!$B$14),"")/365)+(L398/16.67*INDEX(Variables!$B$8:$D$8,IFERROR(MATCH(IF($B398="Robusta","Robusta",(IF($B398="","Arabica",$B398))&amp;" - "&amp;(IF($C398="","Commercial",$C398))),Variables!$B$1:$D$1,0),1))*IFERROR(IF(W398="","",(AVERAGE(E398:F398)-W398)-Variables!$B$14),""))+(T398*INDEX(Variables!$B$9:$D$9,IFERROR(MATCH(IF($B398="Robusta","Robusta",(IF($B398="","Arabica",$B398))&amp;" - "&amp;(IF($C398="","Commercial",$C398))),Variables!$B$1:$D$1,0),1))*IFERROR(IF(W398="","",(AVERAGE(E398:F398)-W398)-Variables!$B$14),"")/365),""))</f>
        <v>1109.811901580051</v>
      </c>
      <c r="AT398" s="12">
        <f>IF($H398="Cancelled","",IFERROR((T398*INDEX(Variables!$B$7:$D$7,IFERROR(MATCH(IF($B398="Robusta","Robusta",(IF($B398="","Arabica",$B398))&amp;" - "&amp;(IF($C398="","Commercial",$C398))),Variables!$B$1:$D$1,0),1))*AC398/365)+(L398/16.67*INDEX(Variables!$B$8:$D$8,IFERROR(MATCH(IF($B398="Robusta","Robusta",(IF($B398="","Arabica",$B398))&amp;" - "&amp;(IF($C398="","Commercial",$C398))),Variables!$B$1:$D$1,0),1))*AC398)+(T398*INDEX(Variables!$B$9:$D$9,IFERROR(MATCH(IF($B398="Robusta","Robusta",(IF($B398="","Arabica",$B398))&amp;" - "&amp;(IF($C398="","Commercial",$C398))),Variables!$B$1:$D$1,0),1))*AC398/365),""))</f>
        <v>700.93383257687435</v>
      </c>
      <c r="AU398" s="12">
        <f>IF($H398="Cancelled","",IFERROR((T398*INDEX(Variables!$B$7:$D$7,IFERROR(MATCH(IF($B398="Robusta","Robusta",(IF($B398="","Arabica",$B398))&amp;" - "&amp;(IF($C398="","Commercial",$C398))),Variables!$B$1:$D$1,0),1))*AP398/365)+(L398/16.67*INDEX(Variables!$B$8:$D$8,IFERROR(MATCH(IF($B398="Robusta","Robusta",(IF($B398="","Arabica",$B398))&amp;" - "&amp;(IF($C398="","Commercial",$C398))),Variables!$B$1:$D$1,0),1))*AP398)+(T398*INDEX(Variables!$B$9:$D$9,IFERROR(MATCH(IF($B398="Robusta","Robusta",(IF($B398="","Arabica",$B398))&amp;" - "&amp;(IF($C398="","Commercial",$C398))),Variables!$B$1:$D$1,0),1))*AP398/365),""))</f>
        <v>-350.46691628843718</v>
      </c>
      <c r="AV398" s="11">
        <f t="shared" si="45"/>
        <v>-4</v>
      </c>
      <c r="AW398" s="12">
        <f>IF($H398="Cancelled","",IFERROR(IF(AV398="","",(T398*INDEX(Variables!$B$7:$D$7,IFERROR(MATCH(IF($B398="Robusta","Robusta",(IF($B398="","Arabica",$B398))&amp;" - "&amp;(IF($C398="","Commercial",$C398))),Variables!$B$1:$D$1,0),1))*(AV398/365))+(T398*INDEX(Variables!$B$9:$D$9,IFERROR(MATCH(IF($B398="Robusta","Robusta",(IF($B398="","Arabica",$B398))&amp;" - "&amp;(IF($C398="","Commercial",$C398))),Variables!$B$1:$D$1,0),1))*(AV398/365))+(INDEX(Variables!$B$8:$D$8,IFERROR(MATCH(IF($B398="Robusta","Robusta",(IF($B398="","Arabica",$B398))&amp;" - "&amp;(IF($C398="","Commercial",$C398))),Variables!$B$1:$D$1,0),1))*L398/16.67)),""))</f>
        <v>-197.28922171791621</v>
      </c>
      <c r="AX398" s="9"/>
      <c r="AY398" s="12"/>
      <c r="AZ398" s="10"/>
      <c r="BA398" s="9"/>
      <c r="BB398" s="10"/>
      <c r="BC398" s="9"/>
      <c r="BD398" s="9"/>
      <c r="BE398" s="9"/>
      <c r="BF398" s="9"/>
    </row>
    <row r="399" spans="1:58" x14ac:dyDescent="0.25">
      <c r="A399" s="9" t="s">
        <v>84</v>
      </c>
      <c r="B399" s="9" t="s">
        <v>85</v>
      </c>
      <c r="C399" s="9" t="s">
        <v>86</v>
      </c>
      <c r="D399" s="10">
        <v>45748</v>
      </c>
      <c r="E399" s="10">
        <v>45778</v>
      </c>
      <c r="F399" s="10">
        <v>45808</v>
      </c>
      <c r="G399" s="9">
        <v>3786882</v>
      </c>
      <c r="H399" s="9" t="str">
        <f t="shared" si="43"/>
        <v>Closed</v>
      </c>
      <c r="I399" s="9" t="str">
        <f t="shared" si="44"/>
        <v>All dates received</v>
      </c>
      <c r="J399" s="9" t="s">
        <v>102</v>
      </c>
      <c r="K399" s="9">
        <v>5244</v>
      </c>
      <c r="L399" s="11">
        <v>320</v>
      </c>
      <c r="M399" s="9" t="s">
        <v>387</v>
      </c>
      <c r="N399" s="9" t="s">
        <v>387</v>
      </c>
      <c r="O399" s="9"/>
      <c r="P399" s="9"/>
      <c r="Q399" s="11">
        <v>-93.7</v>
      </c>
      <c r="R399" s="9" t="s">
        <v>90</v>
      </c>
      <c r="S399" s="9" t="s">
        <v>106</v>
      </c>
      <c r="T399" s="12">
        <f>IF($H399="Cancelled","",IFERROR(((Q399+INDEX(Variables!$B$6:$D$6,IFERROR(MATCH(IF($B399="Robusta","Robusta",(IF($B399="","Arabica",$B399))&amp;" - "&amp;(IF($C399="","Commercial",$C399))),Variables!$B$1:$D$1,0),1)))*22.0462)*(L399/16.67),""))</f>
        <v>83413.192945410905</v>
      </c>
      <c r="U399" s="10">
        <v>45720</v>
      </c>
      <c r="V399" s="9" t="str">
        <f>IF(ISNUMBER(U399),"Sent","")</f>
        <v>Sent</v>
      </c>
      <c r="W399" s="10">
        <v>45757</v>
      </c>
      <c r="X399" s="9" t="str">
        <f t="shared" si="46"/>
        <v>Approved</v>
      </c>
      <c r="Y399" s="10"/>
      <c r="Z399" s="10">
        <f>IF($H399="Cancelled","",IFERROR(IF(F399="","",F399-Variables!$B$13),""))</f>
        <v>45793</v>
      </c>
      <c r="AA399" s="11">
        <f>IF($H399="Cancelled","",IFERROR(IF(W399="","",(AVERAGE(E399:F399)-W399)-Variables!$B$14),""))</f>
        <v>6</v>
      </c>
      <c r="AB399" s="10">
        <v>45769</v>
      </c>
      <c r="AC399" s="11">
        <f>IF($H399="Cancelled","",IFERROR(IF(AB399="","",IF(AND(W399="",Y399=""),"",IF(Y399&gt;W399,Y399+Variables!$B$15+Variables!$B$16+Variables!$B$17-AB399,W399+Variables!$B$16+Variables!$B$17-AB399))),""))</f>
        <v>-4</v>
      </c>
      <c r="AD399" s="9" t="s">
        <v>163</v>
      </c>
      <c r="AE399" s="9" t="s">
        <v>955</v>
      </c>
      <c r="AF399" s="10"/>
      <c r="AG399" s="10"/>
      <c r="AH399" s="9"/>
      <c r="AI399" s="9">
        <v>252613875</v>
      </c>
      <c r="AJ399" s="9" t="s">
        <v>8</v>
      </c>
      <c r="AK399" s="10">
        <v>45776</v>
      </c>
      <c r="AL399" s="10">
        <v>45785</v>
      </c>
      <c r="AM399" s="10">
        <v>45785</v>
      </c>
      <c r="AN399" s="9" t="s">
        <v>95</v>
      </c>
      <c r="AO399" s="9"/>
      <c r="AP399" s="11">
        <f>IF($H399="Cancelled","",IFERROR(IF(OR(AK399="",AB399=""),"",(AB399+Variables!$B$18-AK399)),""))</f>
        <v>0</v>
      </c>
      <c r="AQ399" s="11">
        <f>IF($H399="Cancelled","",IFERROR(IF(OR(AM399="",AK399=""),"",(AK399+Variables!$B$19)-AM399),""))</f>
        <v>-4</v>
      </c>
      <c r="AR399" s="12">
        <f>IF($H399="Cancelled","",IFERROR(T399*INDEX(Variables!$B$7:$D$7,IFERROR(MATCH(IF($B399="Robusta","Robusta",(IF($B399="","Arabica",$B399))&amp;" - "&amp;(IF($C399="","Commercial",$C399))),Variables!$B$1:$D$1,0),1))*(AQ399/365),""))</f>
        <v>-58.944287015283017</v>
      </c>
      <c r="AS399" s="12">
        <f>IF($H399="Cancelled","",IFERROR((T399*INDEX(Variables!$B$7:$D$7,IFERROR(MATCH(IF($B399="Robusta","Robusta",(IF($B399="","Arabica",$B399))&amp;" - "&amp;(IF($C399="","Commercial",$C399))),Variables!$B$1:$D$1,0),1))*IFERROR(IF(W399="","",(AVERAGE(E399:F399)-W399)-Variables!$B$14),"")/365)+(L399/16.67*INDEX(Variables!$B$8:$D$8,IFERROR(MATCH(IF($B399="Robusta","Robusta",(IF($B399="","Arabica",$B399))&amp;" - "&amp;(IF($C399="","Commercial",$C399))),Variables!$B$1:$D$1,0),1))*IFERROR(IF(W399="","",(AVERAGE(E399:F399)-W399)-Variables!$B$14),""))+(T399*INDEX(Variables!$B$9:$D$9,IFERROR(MATCH(IF($B399="Robusta","Robusta",(IF($B399="","Arabica",$B399))&amp;" - "&amp;(IF($C399="","Commercial",$C399))),Variables!$B$1:$D$1,0),1))*IFERROR(IF(W399="","",(AVERAGE(E399:F399)-W399)-Variables!$B$14),"")/365),""))</f>
        <v>185.55628894422074</v>
      </c>
      <c r="AT399" s="12">
        <f>IF($H399="Cancelled","",IFERROR((T399*INDEX(Variables!$B$7:$D$7,IFERROR(MATCH(IF($B399="Robusta","Robusta",(IF($B399="","Arabica",$B399))&amp;" - "&amp;(IF($C399="","Commercial",$C399))),Variables!$B$1:$D$1,0),1))*AC399/365)+(L399/16.67*INDEX(Variables!$B$8:$D$8,IFERROR(MATCH(IF($B399="Robusta","Robusta",(IF($B399="","Arabica",$B399))&amp;" - "&amp;(IF($C399="","Commercial",$C399))),Variables!$B$1:$D$1,0),1))*AC399)+(T399*INDEX(Variables!$B$9:$D$9,IFERROR(MATCH(IF($B399="Robusta","Robusta",(IF($B399="","Arabica",$B399))&amp;" - "&amp;(IF($C399="","Commercial",$C399))),Variables!$B$1:$D$1,0),1))*AC399/365),""))</f>
        <v>-123.70419262948049</v>
      </c>
      <c r="AU399" s="12">
        <f>IF($H399="Cancelled","",IFERROR((T399*INDEX(Variables!$B$7:$D$7,IFERROR(MATCH(IF($B399="Robusta","Robusta",(IF($B399="","Arabica",$B399))&amp;" - "&amp;(IF($C399="","Commercial",$C399))),Variables!$B$1:$D$1,0),1))*AP399/365)+(L399/16.67*INDEX(Variables!$B$8:$D$8,IFERROR(MATCH(IF($B399="Robusta","Robusta",(IF($B399="","Arabica",$B399))&amp;" - "&amp;(IF($C399="","Commercial",$C399))),Variables!$B$1:$D$1,0),1))*AP399)+(T399*INDEX(Variables!$B$9:$D$9,IFERROR(MATCH(IF($B399="Robusta","Robusta",(IF($B399="","Arabica",$B399))&amp;" - "&amp;(IF($C399="","Commercial",$C399))),Variables!$B$1:$D$1,0),1))*AP399/365),""))</f>
        <v>0</v>
      </c>
      <c r="AV399" s="11">
        <f t="shared" si="45"/>
        <v>32</v>
      </c>
      <c r="AW399" s="12">
        <f>IF($H399="Cancelled","",IFERROR(IF(AV399="","",(T399*INDEX(Variables!$B$7:$D$7,IFERROR(MATCH(IF($B399="Robusta","Robusta",(IF($B399="","Arabica",$B399))&amp;" - "&amp;(IF($C399="","Commercial",$C399))),Variables!$B$1:$D$1,0),1))*(AV399/365))+(T399*INDEX(Variables!$B$9:$D$9,IFERROR(MATCH(IF($B399="Robusta","Robusta",(IF($B399="","Arabica",$B399))&amp;" - "&amp;(IF($C399="","Commercial",$C399))),Variables!$B$1:$D$1,0),1))*(AV399/365))+(INDEX(Variables!$B$8:$D$8,IFERROR(MATCH(IF($B399="Robusta","Robusta",(IF($B399="","Arabica",$B399))&amp;" - "&amp;(IF($C399="","Commercial",$C399))),Variables!$B$1:$D$1,0),1))*L399/16.67)),""))</f>
        <v>493.63354103584396</v>
      </c>
      <c r="AX399" s="9"/>
      <c r="AY399" s="12"/>
      <c r="AZ399" s="10"/>
      <c r="BA399" s="9"/>
      <c r="BB399" s="10"/>
      <c r="BC399" s="9"/>
      <c r="BD399" s="9"/>
      <c r="BE399" s="9"/>
      <c r="BF399" s="9"/>
    </row>
    <row r="400" spans="1:58" x14ac:dyDescent="0.25">
      <c r="A400" s="9" t="s">
        <v>84</v>
      </c>
      <c r="B400" s="9" t="s">
        <v>85</v>
      </c>
      <c r="C400" s="9" t="s">
        <v>86</v>
      </c>
      <c r="D400" s="10">
        <v>45750</v>
      </c>
      <c r="E400" s="10">
        <v>45748</v>
      </c>
      <c r="F400" s="10">
        <v>45777</v>
      </c>
      <c r="G400" s="9">
        <v>3786887</v>
      </c>
      <c r="H400" s="9" t="str">
        <f t="shared" si="43"/>
        <v>Closed</v>
      </c>
      <c r="I400" s="9" t="str">
        <f t="shared" si="44"/>
        <v>All dates received</v>
      </c>
      <c r="J400" s="9" t="s">
        <v>102</v>
      </c>
      <c r="K400" s="9">
        <v>5246</v>
      </c>
      <c r="L400" s="11">
        <v>640</v>
      </c>
      <c r="M400" s="9" t="s">
        <v>1031</v>
      </c>
      <c r="N400" s="9" t="s">
        <v>432</v>
      </c>
      <c r="O400" s="9"/>
      <c r="P400" s="9"/>
      <c r="Q400" s="11">
        <v>47</v>
      </c>
      <c r="R400" s="9" t="s">
        <v>195</v>
      </c>
      <c r="S400" s="9" t="s">
        <v>1032</v>
      </c>
      <c r="T400" s="12">
        <f>IF($H400="Cancelled","",IFERROR(((Q400+INDEX(Variables!$B$6:$D$6,IFERROR(MATCH(IF($B400="Robusta","Robusta",(IF($B400="","Arabica",$B400))&amp;" - "&amp;(IF($C400="","Commercial",$C400))),Variables!$B$1:$D$1,0),1)))*22.0462)*(L400/16.67),""))</f>
        <v>285915.54111577681</v>
      </c>
      <c r="U400" s="10"/>
      <c r="V400" s="9" t="s">
        <v>195</v>
      </c>
      <c r="W400" s="10">
        <v>45732</v>
      </c>
      <c r="X400" s="9" t="str">
        <f t="shared" si="46"/>
        <v>Approved</v>
      </c>
      <c r="Y400" s="10">
        <v>45767</v>
      </c>
      <c r="Z400" s="10">
        <f>IF($H400="Cancelled","",IFERROR(IF(F400="","",F400-Variables!$B$13),""))</f>
        <v>45762</v>
      </c>
      <c r="AA400" s="11">
        <f>IF($H400="Cancelled","",IFERROR(IF(W400="","",(AVERAGE(E400:F400)-W400)-Variables!$B$14),""))</f>
        <v>0.5</v>
      </c>
      <c r="AB400" s="10">
        <v>45771</v>
      </c>
      <c r="AC400" s="11">
        <f>IF($H400="Cancelled","",IFERROR(IF(AB400="","",IF(AND(W400="",Y400=""),"",IF(Y400&gt;W400,Y400+Variables!$B$15+Variables!$B$16+Variables!$B$17-AB400,W400+Variables!$B$16+Variables!$B$17-AB400))),""))</f>
        <v>11</v>
      </c>
      <c r="AD400" s="9" t="s">
        <v>165</v>
      </c>
      <c r="AE400" s="9" t="s">
        <v>818</v>
      </c>
      <c r="AF400" s="10"/>
      <c r="AG400" s="10"/>
      <c r="AH400" s="9"/>
      <c r="AI400" s="9" t="s">
        <v>1033</v>
      </c>
      <c r="AJ400" s="9" t="s">
        <v>8</v>
      </c>
      <c r="AK400" s="10">
        <v>45778</v>
      </c>
      <c r="AL400" s="10">
        <v>45790</v>
      </c>
      <c r="AM400" s="10">
        <v>45792</v>
      </c>
      <c r="AN400" s="9" t="s">
        <v>95</v>
      </c>
      <c r="AO400" s="9"/>
      <c r="AP400" s="11">
        <f>IF($H400="Cancelled","",IFERROR(IF(OR(AK400="",AB400=""),"",(AB400+Variables!$B$18-AK400)),""))</f>
        <v>0</v>
      </c>
      <c r="AQ400" s="11">
        <f>IF($H400="Cancelled","",IFERROR(IF(OR(AM400="",AK400=""),"",(AK400+Variables!$B$19)-AM400),""))</f>
        <v>-9</v>
      </c>
      <c r="AR400" s="12">
        <f>IF($H400="Cancelled","",IFERROR(T400*INDEX(Variables!$B$7:$D$7,IFERROR(MATCH(IF($B400="Robusta","Robusta",(IF($B400="","Arabica",$B400))&amp;" - "&amp;(IF($C400="","Commercial",$C400))),Variables!$B$1:$D$1,0),1))*(AQ400/365),""))</f>
        <v>-454.59772040553889</v>
      </c>
      <c r="AS400" s="12">
        <f>IF($H400="Cancelled","",IFERROR((T400*INDEX(Variables!$B$7:$D$7,IFERROR(MATCH(IF($B400="Robusta","Robusta",(IF($B400="","Arabica",$B400))&amp;" - "&amp;(IF($C400="","Commercial",$C400))),Variables!$B$1:$D$1,0),1))*IFERROR(IF(W400="","",(AVERAGE(E400:F400)-W400)-Variables!$B$14),"")/365)+(L400/16.67*INDEX(Variables!$B$8:$D$8,IFERROR(MATCH(IF($B400="Robusta","Robusta",(IF($B400="","Arabica",$B400))&amp;" - "&amp;(IF($C400="","Commercial",$C400))),Variables!$B$1:$D$1,0),1))*IFERROR(IF(W400="","",(AVERAGE(E400:F400)-W400)-Variables!$B$14),""))+(T400*INDEX(Variables!$B$9:$D$9,IFERROR(MATCH(IF($B400="Robusta","Robusta",(IF($B400="","Arabica",$B400))&amp;" - "&amp;(IF($C400="","Commercial",$C400))),Variables!$B$1:$D$1,0),1))*IFERROR(IF(W400="","",(AVERAGE(E400:F400)-W400)-Variables!$B$14),"")/365),""))</f>
        <v>41.581020129678485</v>
      </c>
      <c r="AT400" s="12">
        <f>IF($H400="Cancelled","",IFERROR((T400*INDEX(Variables!$B$7:$D$7,IFERROR(MATCH(IF($B400="Robusta","Robusta",(IF($B400="","Arabica",$B400))&amp;" - "&amp;(IF($C400="","Commercial",$C400))),Variables!$B$1:$D$1,0),1))*AC400/365)+(L400/16.67*INDEX(Variables!$B$8:$D$8,IFERROR(MATCH(IF($B400="Robusta","Robusta",(IF($B400="","Arabica",$B400))&amp;" - "&amp;(IF($C400="","Commercial",$C400))),Variables!$B$1:$D$1,0),1))*AC400)+(T400*INDEX(Variables!$B$9:$D$9,IFERROR(MATCH(IF($B400="Robusta","Robusta",(IF($B400="","Arabica",$B400))&amp;" - "&amp;(IF($C400="","Commercial",$C400))),Variables!$B$1:$D$1,0),1))*AC400/365),""))</f>
        <v>914.78244285292647</v>
      </c>
      <c r="AU400" s="12">
        <f>IF($H400="Cancelled","",IFERROR((T400*INDEX(Variables!$B$7:$D$7,IFERROR(MATCH(IF($B400="Robusta","Robusta",(IF($B400="","Arabica",$B400))&amp;" - "&amp;(IF($C400="","Commercial",$C400))),Variables!$B$1:$D$1,0),1))*AP400/365)+(L400/16.67*INDEX(Variables!$B$8:$D$8,IFERROR(MATCH(IF($B400="Robusta","Robusta",(IF($B400="","Arabica",$B400))&amp;" - "&amp;(IF($C400="","Commercial",$C400))),Variables!$B$1:$D$1,0),1))*AP400)+(T400*INDEX(Variables!$B$9:$D$9,IFERROR(MATCH(IF($B400="Robusta","Robusta",(IF($B400="","Arabica",$B400))&amp;" - "&amp;(IF($C400="","Commercial",$C400))),Variables!$B$1:$D$1,0),1))*AP400/365),""))</f>
        <v>0</v>
      </c>
      <c r="AV400" s="11">
        <f t="shared" si="45"/>
        <v>-1</v>
      </c>
      <c r="AW400" s="12">
        <f>IF($H400="Cancelled","",IFERROR(IF(AV400="","",(T400*INDEX(Variables!$B$7:$D$7,IFERROR(MATCH(IF($B400="Robusta","Robusta",(IF($B400="","Arabica",$B400))&amp;" - "&amp;(IF($C400="","Commercial",$C400))),Variables!$B$1:$D$1,0),1))*(AV400/365))+(T400*INDEX(Variables!$B$9:$D$9,IFERROR(MATCH(IF($B400="Robusta","Robusta",(IF($B400="","Arabica",$B400))&amp;" - "&amp;(IF($C400="","Commercial",$C400))),Variables!$B$1:$D$1,0),1))*(AV400/365))+(INDEX(Variables!$B$8:$D$8,IFERROR(MATCH(IF($B400="Robusta","Robusta",(IF($B400="","Arabica",$B400))&amp;" - "&amp;(IF($C400="","Commercial",$C400))),Variables!$B$1:$D$1,0),1))*L400/16.67)),""))</f>
        <v>-19.162040259356957</v>
      </c>
      <c r="AX400" s="9"/>
      <c r="AY400" s="12"/>
      <c r="AZ400" s="10"/>
      <c r="BA400" s="9"/>
      <c r="BB400" s="10"/>
      <c r="BC400" s="9"/>
      <c r="BD400" s="9"/>
      <c r="BE400" s="9"/>
      <c r="BF400" s="9"/>
    </row>
    <row r="401" spans="1:58" x14ac:dyDescent="0.25">
      <c r="A401" s="9" t="s">
        <v>84</v>
      </c>
      <c r="B401" s="9" t="s">
        <v>85</v>
      </c>
      <c r="C401" s="9" t="s">
        <v>86</v>
      </c>
      <c r="D401" s="10">
        <v>45750</v>
      </c>
      <c r="E401" s="10">
        <v>45778</v>
      </c>
      <c r="F401" s="10">
        <v>45808</v>
      </c>
      <c r="G401" s="9">
        <v>3786888</v>
      </c>
      <c r="H401" s="9" t="str">
        <f t="shared" si="43"/>
        <v>Closed</v>
      </c>
      <c r="I401" s="9" t="str">
        <f t="shared" si="44"/>
        <v>All dates received</v>
      </c>
      <c r="J401" s="9" t="s">
        <v>494</v>
      </c>
      <c r="K401" s="9">
        <v>5271</v>
      </c>
      <c r="L401" s="11">
        <v>320</v>
      </c>
      <c r="M401" s="9" t="s">
        <v>1034</v>
      </c>
      <c r="N401" s="9" t="s">
        <v>1035</v>
      </c>
      <c r="O401" s="9"/>
      <c r="P401" s="9"/>
      <c r="Q401" s="11">
        <v>15</v>
      </c>
      <c r="R401" s="9" t="s">
        <v>90</v>
      </c>
      <c r="S401" s="9" t="s">
        <v>150</v>
      </c>
      <c r="T401" s="12">
        <f>IF($H401="Cancelled","",IFERROR(((Q401+INDEX(Variables!$B$6:$D$6,IFERROR(MATCH(IF($B401="Robusta","Robusta",(IF($B401="","Arabica",$B401))&amp;" - "&amp;(IF($C401="","Commercial",$C401))),Variables!$B$1:$D$1,0),1)))*22.0462)*(L401/16.67),""))</f>
        <v>129415.29377324534</v>
      </c>
      <c r="U401" s="10">
        <v>45758</v>
      </c>
      <c r="V401" s="9" t="str">
        <f>IF(ISNUMBER(U401),"Sent","")</f>
        <v>Sent</v>
      </c>
      <c r="W401" s="10">
        <v>45770</v>
      </c>
      <c r="X401" s="9" t="str">
        <f t="shared" si="46"/>
        <v>Approved</v>
      </c>
      <c r="Y401" s="10"/>
      <c r="Z401" s="10">
        <f>IF($H401="Cancelled","",IFERROR(IF(F401="","",F401-Variables!$B$13),""))</f>
        <v>45793</v>
      </c>
      <c r="AA401" s="11">
        <f>IF($H401="Cancelled","",IFERROR(IF(W401="","",(AVERAGE(E401:F401)-W401)-Variables!$B$14),""))</f>
        <v>-7</v>
      </c>
      <c r="AB401" s="10">
        <v>45789</v>
      </c>
      <c r="AC401" s="11">
        <f>IF($H401="Cancelled","",IFERROR(IF(AB401="","",IF(AND(W401="",Y401=""),"",IF(Y401&gt;W401,Y401+Variables!$B$15+Variables!$B$16+Variables!$B$17-AB401,W401+Variables!$B$16+Variables!$B$17-AB401))),""))</f>
        <v>-11</v>
      </c>
      <c r="AD401" s="9" t="s">
        <v>884</v>
      </c>
      <c r="AE401" s="9" t="s">
        <v>291</v>
      </c>
      <c r="AF401" s="10"/>
      <c r="AG401" s="10"/>
      <c r="AH401" s="9"/>
      <c r="AI401" s="9" t="s">
        <v>1036</v>
      </c>
      <c r="AJ401" s="9" t="s">
        <v>8</v>
      </c>
      <c r="AK401" s="10">
        <v>45811</v>
      </c>
      <c r="AL401" s="10">
        <v>45815</v>
      </c>
      <c r="AM401" s="10">
        <v>45832</v>
      </c>
      <c r="AN401" s="9" t="s">
        <v>95</v>
      </c>
      <c r="AO401" s="9"/>
      <c r="AP401" s="11">
        <f>IF($H401="Cancelled","",IFERROR(IF(OR(AK401="",AB401=""),"",(AB401+Variables!$B$18-AK401)),""))</f>
        <v>-15</v>
      </c>
      <c r="AQ401" s="11">
        <f>IF($H401="Cancelled","",IFERROR(IF(OR(AM401="",AK401=""),"",(AK401+Variables!$B$19)-AM401),""))</f>
        <v>-16</v>
      </c>
      <c r="AR401" s="12">
        <f>IF($H401="Cancelled","",IFERROR(T401*INDEX(Variables!$B$7:$D$7,IFERROR(MATCH(IF($B401="Robusta","Robusta",(IF($B401="","Arabica",$B401))&amp;" - "&amp;(IF($C401="","Commercial",$C401))),Variables!$B$1:$D$1,0),1))*(AQ401/365),""))</f>
        <v>-365.80746766663719</v>
      </c>
      <c r="AS401" s="12">
        <f>IF($H401="Cancelled","",IFERROR((T401*INDEX(Variables!$B$7:$D$7,IFERROR(MATCH(IF($B401="Robusta","Robusta",(IF($B401="","Arabica",$B401))&amp;" - "&amp;(IF($C401="","Commercial",$C401))),Variables!$B$1:$D$1,0),1))*IFERROR(IF(W401="","",(AVERAGE(E401:F401)-W401)-Variables!$B$14),"")/365)+(L401/16.67*INDEX(Variables!$B$8:$D$8,IFERROR(MATCH(IF($B401="Robusta","Robusta",(IF($B401="","Arabica",$B401))&amp;" - "&amp;(IF($C401="","Commercial",$C401))),Variables!$B$1:$D$1,0),1))*IFERROR(IF(W401="","",(AVERAGE(E401:F401)-W401)-Variables!$B$14),""))+(T401*INDEX(Variables!$B$9:$D$9,IFERROR(MATCH(IF($B401="Robusta","Robusta",(IF($B401="","Arabica",$B401))&amp;" - "&amp;(IF($C401="","Commercial",$C401))),Variables!$B$1:$D$1,0),1))*IFERROR(IF(W401="","",(AVERAGE(E401:F401)-W401)-Variables!$B$14),"")/365),""))</f>
        <v>-274.10400144934806</v>
      </c>
      <c r="AT401" s="12">
        <f>IF($H401="Cancelled","",IFERROR((T401*INDEX(Variables!$B$7:$D$7,IFERROR(MATCH(IF($B401="Robusta","Robusta",(IF($B401="","Arabica",$B401))&amp;" - "&amp;(IF($C401="","Commercial",$C401))),Variables!$B$1:$D$1,0),1))*AC401/365)+(L401/16.67*INDEX(Variables!$B$8:$D$8,IFERROR(MATCH(IF($B401="Robusta","Robusta",(IF($B401="","Arabica",$B401))&amp;" - "&amp;(IF($C401="","Commercial",$C401))),Variables!$B$1:$D$1,0),1))*AC401)+(T401*INDEX(Variables!$B$9:$D$9,IFERROR(MATCH(IF($B401="Robusta","Robusta",(IF($B401="","Arabica",$B401))&amp;" - "&amp;(IF($C401="","Commercial",$C401))),Variables!$B$1:$D$1,0),1))*AC401/365),""))</f>
        <v>-430.73485942040401</v>
      </c>
      <c r="AU401" s="12">
        <f>IF($H401="Cancelled","",IFERROR((T401*INDEX(Variables!$B$7:$D$7,IFERROR(MATCH(IF($B401="Robusta","Robusta",(IF($B401="","Arabica",$B401))&amp;" - "&amp;(IF($C401="","Commercial",$C401))),Variables!$B$1:$D$1,0),1))*AP401/365)+(L401/16.67*INDEX(Variables!$B$8:$D$8,IFERROR(MATCH(IF($B401="Robusta","Robusta",(IF($B401="","Arabica",$B401))&amp;" - "&amp;(IF($C401="","Commercial",$C401))),Variables!$B$1:$D$1,0),1))*AP401)+(T401*INDEX(Variables!$B$9:$D$9,IFERROR(MATCH(IF($B401="Robusta","Robusta",(IF($B401="","Arabica",$B401))&amp;" - "&amp;(IF($C401="","Commercial",$C401))),Variables!$B$1:$D$1,0),1))*AP401/365),""))</f>
        <v>-587.36571739146007</v>
      </c>
      <c r="AV401" s="11">
        <f t="shared" si="45"/>
        <v>-3</v>
      </c>
      <c r="AW401" s="12">
        <f>IF($H401="Cancelled","",IFERROR(IF(AV401="","",(T401*INDEX(Variables!$B$7:$D$7,IFERROR(MATCH(IF($B401="Robusta","Robusta",(IF($B401="","Arabica",$B401))&amp;" - "&amp;(IF($C401="","Commercial",$C401))),Variables!$B$1:$D$1,0),1))*(AV401/365))+(T401*INDEX(Variables!$B$9:$D$9,IFERROR(MATCH(IF($B401="Robusta","Robusta",(IF($B401="","Arabica",$B401))&amp;" - "&amp;(IF($C401="","Commercial",$C401))),Variables!$B$1:$D$1,0),1))*(AV401/365))+(INDEX(Variables!$B$8:$D$8,IFERROR(MATCH(IF($B401="Robusta","Robusta",(IF($B401="","Arabica",$B401))&amp;" - "&amp;(IF($C401="","Commercial",$C401))),Variables!$B$1:$D$1,0),1))*L401/16.67)),""))</f>
        <v>-53.473143478292002</v>
      </c>
      <c r="AX401" s="9"/>
      <c r="AY401" s="12"/>
      <c r="AZ401" s="10"/>
      <c r="BA401" s="9"/>
      <c r="BB401" s="10"/>
      <c r="BC401" s="9"/>
      <c r="BD401" s="9"/>
      <c r="BE401" s="9"/>
      <c r="BF401" s="9"/>
    </row>
    <row r="402" spans="1:58" x14ac:dyDescent="0.25">
      <c r="A402" s="9" t="s">
        <v>84</v>
      </c>
      <c r="B402" s="9" t="s">
        <v>85</v>
      </c>
      <c r="C402" s="9" t="s">
        <v>86</v>
      </c>
      <c r="D402" s="10">
        <v>45750</v>
      </c>
      <c r="E402" s="10">
        <v>45839</v>
      </c>
      <c r="F402" s="10">
        <v>45869</v>
      </c>
      <c r="G402" s="9">
        <v>3786885</v>
      </c>
      <c r="H402" s="9" t="str">
        <f t="shared" si="43"/>
        <v>Closed</v>
      </c>
      <c r="I402" s="9" t="str">
        <f t="shared" si="44"/>
        <v>All dates received</v>
      </c>
      <c r="J402" s="9" t="s">
        <v>537</v>
      </c>
      <c r="K402" s="9">
        <v>5298</v>
      </c>
      <c r="L402" s="11">
        <v>720</v>
      </c>
      <c r="M402" s="9" t="s">
        <v>325</v>
      </c>
      <c r="N402" s="9" t="s">
        <v>387</v>
      </c>
      <c r="O402" s="9"/>
      <c r="P402" s="9"/>
      <c r="Q402" s="11">
        <v>55</v>
      </c>
      <c r="R402" s="9" t="s">
        <v>90</v>
      </c>
      <c r="S402" s="9" t="s">
        <v>347</v>
      </c>
      <c r="T402" s="12">
        <f>IF($H402="Cancelled","",IFERROR(((Q402+INDEX(Variables!$B$6:$D$6,IFERROR(MATCH(IF($B402="Robusta","Robusta",(IF($B402="","Arabica",$B402))&amp;" - "&amp;(IF($C402="","Commercial",$C402))),Variables!$B$1:$D$1,0),1)))*22.0462)*(L402/16.67),""))</f>
        <v>329272.62694661069</v>
      </c>
      <c r="U402" s="10">
        <v>45790</v>
      </c>
      <c r="V402" s="9" t="str">
        <f>IF(ISNUMBER(U402),"Sent","")</f>
        <v>Sent</v>
      </c>
      <c r="W402" s="10">
        <v>45797</v>
      </c>
      <c r="X402" s="9" t="str">
        <f t="shared" si="46"/>
        <v>Approved</v>
      </c>
      <c r="Y402" s="10"/>
      <c r="Z402" s="10">
        <f>IF($H402="Cancelled","",IFERROR(IF(F402="","",F402-Variables!$B$13),""))</f>
        <v>45854</v>
      </c>
      <c r="AA402" s="11">
        <f>IF($H402="Cancelled","",IFERROR(IF(W402="","",(AVERAGE(E402:F402)-W402)-Variables!$B$14),""))</f>
        <v>27</v>
      </c>
      <c r="AB402" s="10">
        <v>45835</v>
      </c>
      <c r="AC402" s="11">
        <f>IF($H402="Cancelled","",IFERROR(IF(AB402="","",IF(AND(W402="",Y402=""),"",IF(Y402&gt;W402,Y402+Variables!$B$15+Variables!$B$16+Variables!$B$17-AB402,W402+Variables!$B$16+Variables!$B$17-AB402))),""))</f>
        <v>-30</v>
      </c>
      <c r="AD402" s="9" t="s">
        <v>163</v>
      </c>
      <c r="AE402" s="9" t="s">
        <v>164</v>
      </c>
      <c r="AF402" s="10"/>
      <c r="AG402" s="10"/>
      <c r="AH402" s="9"/>
      <c r="AI402" s="9">
        <v>254181680</v>
      </c>
      <c r="AJ402" s="9" t="s">
        <v>8</v>
      </c>
      <c r="AK402" s="10">
        <v>45843</v>
      </c>
      <c r="AL402" s="10">
        <v>45846</v>
      </c>
      <c r="AM402" s="10">
        <v>45852</v>
      </c>
      <c r="AN402" s="9" t="s">
        <v>95</v>
      </c>
      <c r="AO402" s="9"/>
      <c r="AP402" s="11">
        <f>IF($H402="Cancelled","",IFERROR(IF(OR(AK402="",AB402=""),"",(AB402+Variables!$B$18-AK402)),""))</f>
        <v>-1</v>
      </c>
      <c r="AQ402" s="11">
        <f>IF($H402="Cancelled","",IFERROR(IF(OR(AM402="",AK402=""),"",(AK402+Variables!$B$19)-AM402),""))</f>
        <v>-4</v>
      </c>
      <c r="AR402" s="12">
        <f>IF($H402="Cancelled","",IFERROR(T402*INDEX(Variables!$B$7:$D$7,IFERROR(MATCH(IF($B402="Robusta","Robusta",(IF($B402="","Arabica",$B402))&amp;" - "&amp;(IF($C402="","Commercial",$C402))),Variables!$B$1:$D$1,0),1))*(AQ402/365),""))</f>
        <v>-232.68190011284099</v>
      </c>
      <c r="AS402" s="12">
        <f>IF($H402="Cancelled","",IFERROR((T402*INDEX(Variables!$B$7:$D$7,IFERROR(MATCH(IF($B402="Robusta","Robusta",(IF($B402="","Arabica",$B402))&amp;" - "&amp;(IF($C402="","Commercial",$C402))),Variables!$B$1:$D$1,0),1))*IFERROR(IF(W402="","",(AVERAGE(E402:F402)-W402)-Variables!$B$14),"")/365)+(L402/16.67*INDEX(Variables!$B$8:$D$8,IFERROR(MATCH(IF($B402="Robusta","Robusta",(IF($B402="","Arabica",$B402))&amp;" - "&amp;(IF($C402="","Commercial",$C402))),Variables!$B$1:$D$1,0),1))*IFERROR(IF(W402="","",(AVERAGE(E402:F402)-W402)-Variables!$B$14),""))+(T402*INDEX(Variables!$B$9:$D$9,IFERROR(MATCH(IF($B402="Robusta","Robusta",(IF($B402="","Arabica",$B402))&amp;" - "&amp;(IF($C402="","Commercial",$C402))),Variables!$B$1:$D$1,0),1))*IFERROR(IF(W402="","",(AVERAGE(E402:F402)-W402)-Variables!$B$14),"")/365),""))</f>
        <v>2562.8509272386068</v>
      </c>
      <c r="AT402" s="12">
        <f>IF($H402="Cancelled","",IFERROR((T402*INDEX(Variables!$B$7:$D$7,IFERROR(MATCH(IF($B402="Robusta","Robusta",(IF($B402="","Arabica",$B402))&amp;" - "&amp;(IF($C402="","Commercial",$C402))),Variables!$B$1:$D$1,0),1))*AC402/365)+(L402/16.67*INDEX(Variables!$B$8:$D$8,IFERROR(MATCH(IF($B402="Robusta","Robusta",(IF($B402="","Arabica",$B402))&amp;" - "&amp;(IF($C402="","Commercial",$C402))),Variables!$B$1:$D$1,0),1))*AC402)+(T402*INDEX(Variables!$B$9:$D$9,IFERROR(MATCH(IF($B402="Robusta","Robusta",(IF($B402="","Arabica",$B402))&amp;" - "&amp;(IF($C402="","Commercial",$C402))),Variables!$B$1:$D$1,0),1))*AC402/365),""))</f>
        <v>-2847.6121413762294</v>
      </c>
      <c r="AU402" s="12">
        <f>IF($H402="Cancelled","",IFERROR((T402*INDEX(Variables!$B$7:$D$7,IFERROR(MATCH(IF($B402="Robusta","Robusta",(IF($B402="","Arabica",$B402))&amp;" - "&amp;(IF($C402="","Commercial",$C402))),Variables!$B$1:$D$1,0),1))*AP402/365)+(L402/16.67*INDEX(Variables!$B$8:$D$8,IFERROR(MATCH(IF($B402="Robusta","Robusta",(IF($B402="","Arabica",$B402))&amp;" - "&amp;(IF($C402="","Commercial",$C402))),Variables!$B$1:$D$1,0),1))*AP402)+(T402*INDEX(Variables!$B$9:$D$9,IFERROR(MATCH(IF($B402="Robusta","Robusta",(IF($B402="","Arabica",$B402))&amp;" - "&amp;(IF($C402="","Commercial",$C402))),Variables!$B$1:$D$1,0),1))*AP402/365),""))</f>
        <v>-94.920404712541</v>
      </c>
      <c r="AV402" s="11">
        <f t="shared" si="45"/>
        <v>26</v>
      </c>
      <c r="AW402" s="12">
        <f>IF($H402="Cancelled","",IFERROR(IF(AV402="","",(T402*INDEX(Variables!$B$7:$D$7,IFERROR(MATCH(IF($B402="Robusta","Robusta",(IF($B402="","Arabica",$B402))&amp;" - "&amp;(IF($C402="","Commercial",$C402))),Variables!$B$1:$D$1,0),1))*(AV402/365))+(T402*INDEX(Variables!$B$9:$D$9,IFERROR(MATCH(IF($B402="Robusta","Robusta",(IF($B402="","Arabica",$B402))&amp;" - "&amp;(IF($C402="","Commercial",$C402))),Variables!$B$1:$D$1,0),1))*(AV402/365))+(INDEX(Variables!$B$8:$D$8,IFERROR(MATCH(IF($B402="Robusta","Robusta",(IF($B402="","Arabica",$B402))&amp;" - "&amp;(IF($C402="","Commercial",$C402))),Variables!$B$1:$D$1,0),1))*L402/16.67)),""))</f>
        <v>1567.9305225260655</v>
      </c>
      <c r="AX402" s="9"/>
      <c r="AY402" s="12"/>
      <c r="AZ402" s="10"/>
      <c r="BA402" s="9"/>
      <c r="BB402" s="10"/>
      <c r="BC402" s="9"/>
      <c r="BD402" s="9"/>
      <c r="BE402" s="9"/>
      <c r="BF402" s="9"/>
    </row>
    <row r="403" spans="1:58" x14ac:dyDescent="0.25">
      <c r="A403" s="9" t="s">
        <v>84</v>
      </c>
      <c r="B403" s="9" t="s">
        <v>85</v>
      </c>
      <c r="C403" s="9" t="s">
        <v>86</v>
      </c>
      <c r="D403" s="10">
        <v>45750</v>
      </c>
      <c r="E403" s="10">
        <v>45870</v>
      </c>
      <c r="F403" s="10">
        <v>45900</v>
      </c>
      <c r="G403" s="9">
        <v>3786886</v>
      </c>
      <c r="H403" s="9" t="str">
        <f t="shared" si="43"/>
        <v>Closed</v>
      </c>
      <c r="I403" s="9" t="str">
        <f t="shared" si="44"/>
        <v>All dates received</v>
      </c>
      <c r="J403" s="9" t="s">
        <v>537</v>
      </c>
      <c r="K403" s="9">
        <v>5310</v>
      </c>
      <c r="L403" s="11">
        <v>720</v>
      </c>
      <c r="M403" s="9" t="s">
        <v>325</v>
      </c>
      <c r="N403" s="9" t="s">
        <v>387</v>
      </c>
      <c r="O403" s="9"/>
      <c r="P403" s="9"/>
      <c r="Q403" s="11">
        <v>55</v>
      </c>
      <c r="R403" s="9" t="s">
        <v>90</v>
      </c>
      <c r="S403" s="9" t="s">
        <v>538</v>
      </c>
      <c r="T403" s="12">
        <f>IF($H403="Cancelled","",IFERROR(((Q403+INDEX(Variables!$B$6:$D$6,IFERROR(MATCH(IF($B403="Robusta","Robusta",(IF($B403="","Arabica",$B403))&amp;" - "&amp;(IF($C403="","Commercial",$C403))),Variables!$B$1:$D$1,0),1)))*22.0462)*(L403/16.67),""))</f>
        <v>329272.62694661069</v>
      </c>
      <c r="U403" s="10">
        <v>45834</v>
      </c>
      <c r="V403" s="9" t="str">
        <f>IF(ISNUMBER(U403),"Sent","")</f>
        <v>Sent</v>
      </c>
      <c r="W403" s="10">
        <v>45846</v>
      </c>
      <c r="X403" s="9" t="str">
        <f t="shared" si="46"/>
        <v>Approved</v>
      </c>
      <c r="Y403" s="10"/>
      <c r="Z403" s="10">
        <f>IF($H403="Cancelled","",IFERROR(IF(F403="","",F403-Variables!$B$13),""))</f>
        <v>45885</v>
      </c>
      <c r="AA403" s="11">
        <f>IF($H403="Cancelled","",IFERROR(IF(W403="","",(AVERAGE(E403:F403)-W403)-Variables!$B$14),""))</f>
        <v>9</v>
      </c>
      <c r="AB403" s="10">
        <v>45874</v>
      </c>
      <c r="AC403" s="11">
        <f>IF($H403="Cancelled","",IFERROR(IF(AB403="","",IF(AND(W403="",Y403=""),"",IF(Y403&gt;W403,Y403+Variables!$B$15+Variables!$B$16+Variables!$B$17-AB403,W403+Variables!$B$16+Variables!$B$17-AB403))),""))</f>
        <v>-20</v>
      </c>
      <c r="AD403" s="9" t="s">
        <v>163</v>
      </c>
      <c r="AE403" s="9" t="s">
        <v>598</v>
      </c>
      <c r="AF403" s="10"/>
      <c r="AG403" s="10"/>
      <c r="AH403" s="9"/>
      <c r="AI403" s="9">
        <v>256502505</v>
      </c>
      <c r="AJ403" s="9" t="s">
        <v>8</v>
      </c>
      <c r="AK403" s="10">
        <v>45886</v>
      </c>
      <c r="AL403" s="10">
        <v>45887</v>
      </c>
      <c r="AM403" s="10">
        <v>45888</v>
      </c>
      <c r="AN403" s="9" t="s">
        <v>95</v>
      </c>
      <c r="AO403" s="9"/>
      <c r="AP403" s="11">
        <f>IF($H403="Cancelled","",IFERROR(IF(OR(AK403="",AB403=""),"",(AB403+Variables!$B$18-AK403)),""))</f>
        <v>-5</v>
      </c>
      <c r="AQ403" s="11">
        <f>IF($H403="Cancelled","",IFERROR(IF(OR(AM403="",AK403=""),"",(AK403+Variables!$B$19)-AM403),""))</f>
        <v>3</v>
      </c>
      <c r="AR403" s="12">
        <f>IF($H403="Cancelled","",IFERROR(T403*INDEX(Variables!$B$7:$D$7,IFERROR(MATCH(IF($B403="Robusta","Robusta",(IF($B403="","Arabica",$B403))&amp;" - "&amp;(IF($C403="","Commercial",$C403))),Variables!$B$1:$D$1,0),1))*(AQ403/365),""))</f>
        <v>174.51142508463073</v>
      </c>
      <c r="AS403" s="12">
        <f>IF($H403="Cancelled","",IFERROR((T403*INDEX(Variables!$B$7:$D$7,IFERROR(MATCH(IF($B403="Robusta","Robusta",(IF($B403="","Arabica",$B403))&amp;" - "&amp;(IF($C403="","Commercial",$C403))),Variables!$B$1:$D$1,0),1))*IFERROR(IF(W403="","",(AVERAGE(E403:F403)-W403)-Variables!$B$14),"")/365)+(L403/16.67*INDEX(Variables!$B$8:$D$8,IFERROR(MATCH(IF($B403="Robusta","Robusta",(IF($B403="","Arabica",$B403))&amp;" - "&amp;(IF($C403="","Commercial",$C403))),Variables!$B$1:$D$1,0),1))*IFERROR(IF(W403="","",(AVERAGE(E403:F403)-W403)-Variables!$B$14),""))+(T403*INDEX(Variables!$B$9:$D$9,IFERROR(MATCH(IF($B403="Robusta","Robusta",(IF($B403="","Arabica",$B403))&amp;" - "&amp;(IF($C403="","Commercial",$C403))),Variables!$B$1:$D$1,0),1))*IFERROR(IF(W403="","",(AVERAGE(E403:F403)-W403)-Variables!$B$14),"")/365),""))</f>
        <v>854.28364241286886</v>
      </c>
      <c r="AT403" s="12">
        <f>IF($H403="Cancelled","",IFERROR((T403*INDEX(Variables!$B$7:$D$7,IFERROR(MATCH(IF($B403="Robusta","Robusta",(IF($B403="","Arabica",$B403))&amp;" - "&amp;(IF($C403="","Commercial",$C403))),Variables!$B$1:$D$1,0),1))*AC403/365)+(L403/16.67*INDEX(Variables!$B$8:$D$8,IFERROR(MATCH(IF($B403="Robusta","Robusta",(IF($B403="","Arabica",$B403))&amp;" - "&amp;(IF($C403="","Commercial",$C403))),Variables!$B$1:$D$1,0),1))*AC403)+(T403*INDEX(Variables!$B$9:$D$9,IFERROR(MATCH(IF($B403="Robusta","Robusta",(IF($B403="","Arabica",$B403))&amp;" - "&amp;(IF($C403="","Commercial",$C403))),Variables!$B$1:$D$1,0),1))*AC403/365),""))</f>
        <v>-1898.4080942508194</v>
      </c>
      <c r="AU403" s="12">
        <f>IF($H403="Cancelled","",IFERROR((T403*INDEX(Variables!$B$7:$D$7,IFERROR(MATCH(IF($B403="Robusta","Robusta",(IF($B403="","Arabica",$B403))&amp;" - "&amp;(IF($C403="","Commercial",$C403))),Variables!$B$1:$D$1,0),1))*AP403/365)+(L403/16.67*INDEX(Variables!$B$8:$D$8,IFERROR(MATCH(IF($B403="Robusta","Robusta",(IF($B403="","Arabica",$B403))&amp;" - "&amp;(IF($C403="","Commercial",$C403))),Variables!$B$1:$D$1,0),1))*AP403)+(T403*INDEX(Variables!$B$9:$D$9,IFERROR(MATCH(IF($B403="Robusta","Robusta",(IF($B403="","Arabica",$B403))&amp;" - "&amp;(IF($C403="","Commercial",$C403))),Variables!$B$1:$D$1,0),1))*AP403/365),""))</f>
        <v>-474.60202356270486</v>
      </c>
      <c r="AV403" s="11">
        <f t="shared" si="45"/>
        <v>14</v>
      </c>
      <c r="AW403" s="12">
        <f>IF($H403="Cancelled","",IFERROR(IF(AV403="","",(T403*INDEX(Variables!$B$7:$D$7,IFERROR(MATCH(IF($B403="Robusta","Robusta",(IF($B403="","Arabica",$B403))&amp;" - "&amp;(IF($C403="","Commercial",$C403))),Variables!$B$1:$D$1,0),1))*(AV403/365))+(T403*INDEX(Variables!$B$9:$D$9,IFERROR(MATCH(IF($B403="Robusta","Robusta",(IF($B403="","Arabica",$B403))&amp;" - "&amp;(IF($C403="","Commercial",$C403))),Variables!$B$1:$D$1,0),1))*(AV403/365))+(INDEX(Variables!$B$8:$D$8,IFERROR(MATCH(IF($B403="Robusta","Robusta",(IF($B403="","Arabica",$B403))&amp;" - "&amp;(IF($C403="","Commercial",$C403))),Variables!$B$1:$D$1,0),1))*L403/16.67)),""))</f>
        <v>860.88566597557383</v>
      </c>
      <c r="AX403" s="9"/>
      <c r="AY403" s="12"/>
      <c r="AZ403" s="10"/>
      <c r="BA403" s="9"/>
      <c r="BB403" s="10"/>
      <c r="BC403" s="9"/>
      <c r="BD403" s="9"/>
      <c r="BE403" s="9"/>
      <c r="BF403" s="9"/>
    </row>
    <row r="404" spans="1:58" x14ac:dyDescent="0.25">
      <c r="A404" s="9" t="s">
        <v>84</v>
      </c>
      <c r="B404" s="9" t="s">
        <v>85</v>
      </c>
      <c r="C404" s="9" t="s">
        <v>86</v>
      </c>
      <c r="D404" s="10">
        <v>45751</v>
      </c>
      <c r="E404" s="10">
        <v>45778</v>
      </c>
      <c r="F404" s="10">
        <v>45791</v>
      </c>
      <c r="G404" s="9">
        <v>3786889</v>
      </c>
      <c r="H404" s="9" t="str">
        <f t="shared" si="43"/>
        <v>Closed</v>
      </c>
      <c r="I404" s="9" t="str">
        <f t="shared" si="44"/>
        <v>All dates received</v>
      </c>
      <c r="J404" s="9" t="s">
        <v>308</v>
      </c>
      <c r="K404" s="9">
        <v>5243</v>
      </c>
      <c r="L404" s="11">
        <v>720</v>
      </c>
      <c r="M404" s="9" t="s">
        <v>1037</v>
      </c>
      <c r="N404" s="9" t="s">
        <v>432</v>
      </c>
      <c r="O404" s="9"/>
      <c r="P404" s="9"/>
      <c r="Q404" s="11">
        <v>18.5</v>
      </c>
      <c r="R404" s="9" t="s">
        <v>195</v>
      </c>
      <c r="S404" s="9" t="s">
        <v>106</v>
      </c>
      <c r="T404" s="12">
        <f>IF($H404="Cancelled","",IFERROR(((Q404+INDEX(Variables!$B$6:$D$6,IFERROR(MATCH(IF($B404="Robusta","Robusta",(IF($B404="","Arabica",$B404))&amp;" - "&amp;(IF($C404="","Commercial",$C404))),Variables!$B$1:$D$1,0),1)))*22.0462)*(L404/16.67),""))</f>
        <v>294517.12988602277</v>
      </c>
      <c r="U404" s="10"/>
      <c r="V404" s="9" t="s">
        <v>195</v>
      </c>
      <c r="W404" s="10">
        <v>45746</v>
      </c>
      <c r="X404" s="9" t="str">
        <f t="shared" si="46"/>
        <v>Approved</v>
      </c>
      <c r="Y404" s="10">
        <v>45767</v>
      </c>
      <c r="Z404" s="10">
        <f>IF($H404="Cancelled","",IFERROR(IF(F404="","",F404-Variables!$B$13),""))</f>
        <v>45776</v>
      </c>
      <c r="AA404" s="11">
        <f>IF($H404="Cancelled","",IFERROR(IF(W404="","",(AVERAGE(E404:F404)-W404)-Variables!$B$14),""))</f>
        <v>8.5</v>
      </c>
      <c r="AB404" s="10">
        <v>45763</v>
      </c>
      <c r="AC404" s="11">
        <f>IF($H404="Cancelled","",IFERROR(IF(AB404="","",IF(AND(W404="",Y404=""),"",IF(Y404&gt;W404,Y404+Variables!$B$15+Variables!$B$16+Variables!$B$17-AB404,W404+Variables!$B$16+Variables!$B$17-AB404))),""))</f>
        <v>19</v>
      </c>
      <c r="AD404" s="9" t="s">
        <v>165</v>
      </c>
      <c r="AE404" s="9" t="s">
        <v>174</v>
      </c>
      <c r="AF404" s="10"/>
      <c r="AG404" s="10"/>
      <c r="AH404" s="9"/>
      <c r="AI404" s="9" t="s">
        <v>1038</v>
      </c>
      <c r="AJ404" s="9" t="s">
        <v>8</v>
      </c>
      <c r="AK404" s="10">
        <v>45778</v>
      </c>
      <c r="AL404" s="10">
        <v>45782</v>
      </c>
      <c r="AM404" s="10">
        <v>45784</v>
      </c>
      <c r="AN404" s="9" t="s">
        <v>95</v>
      </c>
      <c r="AO404" s="9"/>
      <c r="AP404" s="11">
        <f>IF($H404="Cancelled","",IFERROR(IF(OR(AK404="",AB404=""),"",(AB404+Variables!$B$18-AK404)),""))</f>
        <v>-8</v>
      </c>
      <c r="AQ404" s="11">
        <f>IF($H404="Cancelled","",IFERROR(IF(OR(AM404="",AK404=""),"",(AK404+Variables!$B$19)-AM404),""))</f>
        <v>-1</v>
      </c>
      <c r="AR404" s="12">
        <f>IF($H404="Cancelled","",IFERROR(T404*INDEX(Variables!$B$7:$D$7,IFERROR(MATCH(IF($B404="Robusta","Robusta",(IF($B404="","Arabica",$B404))&amp;" - "&amp;(IF($C404="","Commercial",$C404))),Variables!$B$1:$D$1,0),1))*(AQ404/365),""))</f>
        <v>-52.030445130784926</v>
      </c>
      <c r="AS404" s="12">
        <f>IF($H404="Cancelled","",IFERROR((T404*INDEX(Variables!$B$7:$D$7,IFERROR(MATCH(IF($B404="Robusta","Robusta",(IF($B404="","Arabica",$B404))&amp;" - "&amp;(IF($C404="","Commercial",$C404))),Variables!$B$1:$D$1,0),1))*IFERROR(IF(W404="","",(AVERAGE(E404:F404)-W404)-Variables!$B$14),"")/365)+(L404/16.67*INDEX(Variables!$B$8:$D$8,IFERROR(MATCH(IF($B404="Robusta","Robusta",(IF($B404="","Arabica",$B404))&amp;" - "&amp;(IF($C404="","Commercial",$C404))),Variables!$B$1:$D$1,0),1))*IFERROR(IF(W404="","",(AVERAGE(E404:F404)-W404)-Variables!$B$14),""))+(T404*INDEX(Variables!$B$9:$D$9,IFERROR(MATCH(IF($B404="Robusta","Robusta",(IF($B404="","Arabica",$B404))&amp;" - "&amp;(IF($C404="","Commercial",$C404))),Variables!$B$1:$D$1,0),1))*IFERROR(IF(W404="","",(AVERAGE(E404:F404)-W404)-Variables!$B$14),"")/365),""))</f>
        <v>753.96035283257925</v>
      </c>
      <c r="AT404" s="12">
        <f>IF($H404="Cancelled","",IFERROR((T404*INDEX(Variables!$B$7:$D$7,IFERROR(MATCH(IF($B404="Robusta","Robusta",(IF($B404="","Arabica",$B404))&amp;" - "&amp;(IF($C404="","Commercial",$C404))),Variables!$B$1:$D$1,0),1))*AC404/365)+(L404/16.67*INDEX(Variables!$B$8:$D$8,IFERROR(MATCH(IF($B404="Robusta","Robusta",(IF($B404="","Arabica",$B404))&amp;" - "&amp;(IF($C404="","Commercial",$C404))),Variables!$B$1:$D$1,0),1))*AC404)+(T404*INDEX(Variables!$B$9:$D$9,IFERROR(MATCH(IF($B404="Robusta","Robusta",(IF($B404="","Arabica",$B404))&amp;" - "&amp;(IF($C404="","Commercial",$C404))),Variables!$B$1:$D$1,0),1))*AC404/365),""))</f>
        <v>1685.3231416257649</v>
      </c>
      <c r="AU404" s="12">
        <f>IF($H404="Cancelled","",IFERROR((T404*INDEX(Variables!$B$7:$D$7,IFERROR(MATCH(IF($B404="Robusta","Robusta",(IF($B404="","Arabica",$B404))&amp;" - "&amp;(IF($C404="","Commercial",$C404))),Variables!$B$1:$D$1,0),1))*AP404/365)+(L404/16.67*INDEX(Variables!$B$8:$D$8,IFERROR(MATCH(IF($B404="Robusta","Robusta",(IF($B404="","Arabica",$B404))&amp;" - "&amp;(IF($C404="","Commercial",$C404))),Variables!$B$1:$D$1,0),1))*AP404)+(T404*INDEX(Variables!$B$9:$D$9,IFERROR(MATCH(IF($B404="Robusta","Robusta",(IF($B404="","Arabica",$B404))&amp;" - "&amp;(IF($C404="","Commercial",$C404))),Variables!$B$1:$D$1,0),1))*AP404/365),""))</f>
        <v>-709.60974384242741</v>
      </c>
      <c r="AV404" s="11">
        <f t="shared" si="45"/>
        <v>13</v>
      </c>
      <c r="AW404" s="12">
        <f>IF($H404="Cancelled","",IFERROR(IF(AV404="","",(T404*INDEX(Variables!$B$7:$D$7,IFERROR(MATCH(IF($B404="Robusta","Robusta",(IF($B404="","Arabica",$B404))&amp;" - "&amp;(IF($C404="","Commercial",$C404))),Variables!$B$1:$D$1,0),1))*(AV404/365))+(T404*INDEX(Variables!$B$9:$D$9,IFERROR(MATCH(IF($B404="Robusta","Robusta",(IF($B404="","Arabica",$B404))&amp;" - "&amp;(IF($C404="","Commercial",$C404))),Variables!$B$1:$D$1,0),1))*(AV404/365))+(INDEX(Variables!$B$8:$D$8,IFERROR(MATCH(IF($B404="Robusta","Robusta",(IF($B404="","Arabica",$B404))&amp;" - "&amp;(IF($C404="","Commercial",$C404))),Variables!$B$1:$D$1,0),1))*L404/16.67)),""))</f>
        <v>721.11583374394456</v>
      </c>
      <c r="AX404" s="9"/>
      <c r="AY404" s="12"/>
      <c r="AZ404" s="10"/>
      <c r="BA404" s="9"/>
      <c r="BB404" s="10"/>
      <c r="BC404" s="9"/>
      <c r="BD404" s="9"/>
      <c r="BE404" s="9"/>
      <c r="BF404" s="9"/>
    </row>
    <row r="405" spans="1:58" x14ac:dyDescent="0.25">
      <c r="A405" s="9" t="s">
        <v>84</v>
      </c>
      <c r="B405" s="9" t="s">
        <v>85</v>
      </c>
      <c r="C405" s="9" t="s">
        <v>86</v>
      </c>
      <c r="D405" s="10">
        <v>45754</v>
      </c>
      <c r="E405" s="10">
        <v>45748</v>
      </c>
      <c r="F405" s="10">
        <v>45777</v>
      </c>
      <c r="G405" s="9">
        <v>3786892</v>
      </c>
      <c r="H405" s="9" t="str">
        <f t="shared" si="43"/>
        <v>Open</v>
      </c>
      <c r="I405" s="9" t="str">
        <f t="shared" si="44"/>
        <v>No sailing date and No shipping advice sent and No docs dispatch date</v>
      </c>
      <c r="J405" s="9" t="s">
        <v>494</v>
      </c>
      <c r="K405" s="9"/>
      <c r="L405" s="11">
        <v>640</v>
      </c>
      <c r="M405" s="9" t="s">
        <v>1039</v>
      </c>
      <c r="N405" s="9" t="s">
        <v>105</v>
      </c>
      <c r="O405" s="9"/>
      <c r="P405" s="9"/>
      <c r="Q405" s="11">
        <v>5</v>
      </c>
      <c r="R405" s="9" t="s">
        <v>90</v>
      </c>
      <c r="S405" s="9"/>
      <c r="T405" s="12">
        <f>IF($H405="Cancelled","",IFERROR(((Q405+INDEX(Variables!$B$6:$D$6,IFERROR(MATCH(IF($B405="Robusta","Robusta",(IF($B405="","Arabica",$B405))&amp;" - "&amp;(IF($C405="","Commercial",$C405))),Variables!$B$1:$D$1,0),1)))*22.0462)*(L405/16.67),""))</f>
        <v>250366.53955608874</v>
      </c>
      <c r="U405" s="10"/>
      <c r="V405" s="9" t="s">
        <v>507</v>
      </c>
      <c r="W405" s="10"/>
      <c r="X405" s="9" t="s">
        <v>507</v>
      </c>
      <c r="Y405" s="10"/>
      <c r="Z405" s="10">
        <f>IF($H405="Cancelled","",IFERROR(IF(F405="","",F405-Variables!$B$13),""))</f>
        <v>45762</v>
      </c>
      <c r="AA405" s="11" t="str">
        <f>IF($H405="Cancelled","",IFERROR(IF(W405="","",(AVERAGE(E405:F405)-W405)-Variables!$B$14),""))</f>
        <v/>
      </c>
      <c r="AB405" s="10"/>
      <c r="AC405" s="11" t="str">
        <f>IF($H405="Cancelled","",IFERROR(IF(AB405="","",IF(AND(W405="",Y405=""),"",IF(Y405&gt;W405,Y405+Variables!$B$15+Variables!$B$16+Variables!$B$17-AB405,W405+Variables!$B$16+Variables!$B$17-AB405))),""))</f>
        <v/>
      </c>
      <c r="AD405" s="9"/>
      <c r="AE405" s="9"/>
      <c r="AF405" s="10"/>
      <c r="AG405" s="10"/>
      <c r="AH405" s="9"/>
      <c r="AI405" s="9"/>
      <c r="AJ405" s="9"/>
      <c r="AK405" s="10"/>
      <c r="AL405" s="10"/>
      <c r="AM405" s="10"/>
      <c r="AN405" s="9" t="s">
        <v>1040</v>
      </c>
      <c r="AO405" s="9"/>
      <c r="AP405" s="11" t="str">
        <f>IF($H405="Cancelled","",IFERROR(IF(OR(AK405="",AB405=""),"",(AB405+Variables!$B$18-AK405)),""))</f>
        <v/>
      </c>
      <c r="AQ405" s="11" t="str">
        <f>IF($H405="Cancelled","",IFERROR(IF(OR(AM405="",AK405=""),"",(AK405+Variables!$B$19)-AM405),""))</f>
        <v/>
      </c>
      <c r="AR405" s="12" t="str">
        <f>IF($H405="Cancelled","",IFERROR(T405*INDEX(Variables!$B$7:$D$7,IFERROR(MATCH(IF($B405="Robusta","Robusta",(IF($B405="","Arabica",$B405))&amp;" - "&amp;(IF($C405="","Commercial",$C405))),Variables!$B$1:$D$1,0),1))*(AQ405/365),""))</f>
        <v/>
      </c>
      <c r="AS405" s="12" t="str">
        <f>IF($H405="Cancelled","",IFERROR((T405*INDEX(Variables!$B$7:$D$7,IFERROR(MATCH(IF($B405="Robusta","Robusta",(IF($B405="","Arabica",$B405))&amp;" - "&amp;(IF($C405="","Commercial",$C405))),Variables!$B$1:$D$1,0),1))*IFERROR(IF(W405="","",(AVERAGE(E405:F405)-W405)-Variables!$B$14),"")/365)+(L405/16.67*INDEX(Variables!$B$8:$D$8,IFERROR(MATCH(IF($B405="Robusta","Robusta",(IF($B405="","Arabica",$B405))&amp;" - "&amp;(IF($C405="","Commercial",$C405))),Variables!$B$1:$D$1,0),1))*IFERROR(IF(W405="","",(AVERAGE(E405:F405)-W405)-Variables!$B$14),""))+(T405*INDEX(Variables!$B$9:$D$9,IFERROR(MATCH(IF($B405="Robusta","Robusta",(IF($B405="","Arabica",$B405))&amp;" - "&amp;(IF($C405="","Commercial",$C405))),Variables!$B$1:$D$1,0),1))*IFERROR(IF(W405="","",(AVERAGE(E405:F405)-W405)-Variables!$B$14),"")/365),""))</f>
        <v/>
      </c>
      <c r="AT405" s="12" t="str">
        <f>IF($H405="Cancelled","",IFERROR((T405*INDEX(Variables!$B$7:$D$7,IFERROR(MATCH(IF($B405="Robusta","Robusta",(IF($B405="","Arabica",$B405))&amp;" - "&amp;(IF($C405="","Commercial",$C405))),Variables!$B$1:$D$1,0),1))*AC405/365)+(L405/16.67*INDEX(Variables!$B$8:$D$8,IFERROR(MATCH(IF($B405="Robusta","Robusta",(IF($B405="","Arabica",$B405))&amp;" - "&amp;(IF($C405="","Commercial",$C405))),Variables!$B$1:$D$1,0),1))*AC405)+(T405*INDEX(Variables!$B$9:$D$9,IFERROR(MATCH(IF($B405="Robusta","Robusta",(IF($B405="","Arabica",$B405))&amp;" - "&amp;(IF($C405="","Commercial",$C405))),Variables!$B$1:$D$1,0),1))*AC405/365),""))</f>
        <v/>
      </c>
      <c r="AU405" s="12" t="str">
        <f>IF($H405="Cancelled","",IFERROR((T405*INDEX(Variables!$B$7:$D$7,IFERROR(MATCH(IF($B405="Robusta","Robusta",(IF($B405="","Arabica",$B405))&amp;" - "&amp;(IF($C405="","Commercial",$C405))),Variables!$B$1:$D$1,0),1))*AP405/365)+(L405/16.67*INDEX(Variables!$B$8:$D$8,IFERROR(MATCH(IF($B405="Robusta","Robusta",(IF($B405="","Arabica",$B405))&amp;" - "&amp;(IF($C405="","Commercial",$C405))),Variables!$B$1:$D$1,0),1))*AP405)+(T405*INDEX(Variables!$B$9:$D$9,IFERROR(MATCH(IF($B405="Robusta","Robusta",(IF($B405="","Arabica",$B405))&amp;" - "&amp;(IF($C405="","Commercial",$C405))),Variables!$B$1:$D$1,0),1))*AP405/365),""))</f>
        <v/>
      </c>
      <c r="AV405" s="11" t="str">
        <f t="shared" si="45"/>
        <v/>
      </c>
      <c r="AW405" s="12" t="str">
        <f>IF($H405="Cancelled","",IFERROR(IF(AV405="","",(T405*INDEX(Variables!$B$7:$D$7,IFERROR(MATCH(IF($B405="Robusta","Robusta",(IF($B405="","Arabica",$B405))&amp;" - "&amp;(IF($C405="","Commercial",$C405))),Variables!$B$1:$D$1,0),1))*(AV405/365))+(T405*INDEX(Variables!$B$9:$D$9,IFERROR(MATCH(IF($B405="Robusta","Robusta",(IF($B405="","Arabica",$B405))&amp;" - "&amp;(IF($C405="","Commercial",$C405))),Variables!$B$1:$D$1,0),1))*(AV405/365))+(INDEX(Variables!$B$8:$D$8,IFERROR(MATCH(IF($B405="Robusta","Robusta",(IF($B405="","Arabica",$B405))&amp;" - "&amp;(IF($C405="","Commercial",$C405))),Variables!$B$1:$D$1,0),1))*L405/16.67)),""))</f>
        <v/>
      </c>
      <c r="AX405" s="9"/>
      <c r="AY405" s="12"/>
      <c r="AZ405" s="10"/>
      <c r="BA405" s="9"/>
      <c r="BB405" s="10"/>
      <c r="BC405" s="9"/>
      <c r="BD405" s="9"/>
      <c r="BE405" s="9"/>
      <c r="BF405" s="9"/>
    </row>
    <row r="406" spans="1:58" x14ac:dyDescent="0.25">
      <c r="A406" s="9" t="s">
        <v>84</v>
      </c>
      <c r="B406" s="9" t="s">
        <v>85</v>
      </c>
      <c r="C406" s="9" t="s">
        <v>86</v>
      </c>
      <c r="D406" s="10">
        <v>45756</v>
      </c>
      <c r="E406" s="10">
        <v>45748</v>
      </c>
      <c r="F406" s="10">
        <v>45808</v>
      </c>
      <c r="G406" s="9">
        <v>3786893</v>
      </c>
      <c r="H406" s="9" t="str">
        <f t="shared" si="43"/>
        <v>Closed</v>
      </c>
      <c r="I406" s="9" t="str">
        <f t="shared" si="44"/>
        <v>All dates received</v>
      </c>
      <c r="J406" s="9" t="s">
        <v>235</v>
      </c>
      <c r="K406" s="9" t="s">
        <v>1041</v>
      </c>
      <c r="L406" s="11">
        <v>290</v>
      </c>
      <c r="M406" s="9" t="s">
        <v>1042</v>
      </c>
      <c r="N406" s="9" t="s">
        <v>927</v>
      </c>
      <c r="O406" s="9"/>
      <c r="P406" s="9"/>
      <c r="Q406" s="11">
        <v>42</v>
      </c>
      <c r="R406" s="9" t="s">
        <v>90</v>
      </c>
      <c r="S406" s="9" t="s">
        <v>106</v>
      </c>
      <c r="T406" s="12">
        <f>IF($H406="Cancelled","",IFERROR(((Q406+INDEX(Variables!$B$6:$D$6,IFERROR(MATCH(IF($B406="Robusta","Robusta",(IF($B406="","Arabica",$B406))&amp;" - "&amp;(IF($C406="","Commercial",$C406))),Variables!$B$1:$D$1,0),1)))*22.0462)*(L406/16.67),""))</f>
        <v>127637.84369526092</v>
      </c>
      <c r="U406" s="10">
        <v>45756</v>
      </c>
      <c r="V406" s="9" t="str">
        <f t="shared" ref="V406:V411" si="47">IF(ISNUMBER(U406),"Sent","")</f>
        <v>Sent</v>
      </c>
      <c r="W406" s="10">
        <v>45762</v>
      </c>
      <c r="X406" s="9" t="str">
        <f t="shared" ref="X406:X424" si="48">IF(ISNUMBER(W406),"Approved","")</f>
        <v>Approved</v>
      </c>
      <c r="Y406" s="10"/>
      <c r="Z406" s="10">
        <f>IF($H406="Cancelled","",IFERROR(IF(F406="","",F406-Variables!$B$13),""))</f>
        <v>45793</v>
      </c>
      <c r="AA406" s="11">
        <f>IF($H406="Cancelled","",IFERROR(IF(W406="","",(AVERAGE(E406:F406)-W406)-Variables!$B$14),""))</f>
        <v>-14</v>
      </c>
      <c r="AB406" s="10">
        <v>45786</v>
      </c>
      <c r="AC406" s="11">
        <f>IF($H406="Cancelled","",IFERROR(IF(AB406="","",IF(AND(W406="",Y406=""),"",IF(Y406&gt;W406,Y406+Variables!$B$15+Variables!$B$16+Variables!$B$17-AB406,W406+Variables!$B$16+Variables!$B$17-AB406))),""))</f>
        <v>-16</v>
      </c>
      <c r="AD406" s="9" t="s">
        <v>165</v>
      </c>
      <c r="AE406" s="9" t="s">
        <v>969</v>
      </c>
      <c r="AF406" s="10"/>
      <c r="AG406" s="10"/>
      <c r="AH406" s="9"/>
      <c r="AI406" s="9" t="s">
        <v>1043</v>
      </c>
      <c r="AJ406" s="9" t="s">
        <v>8</v>
      </c>
      <c r="AK406" s="10">
        <v>45800</v>
      </c>
      <c r="AL406" s="10">
        <v>45806</v>
      </c>
      <c r="AM406" s="10">
        <v>45807</v>
      </c>
      <c r="AN406" s="9" t="s">
        <v>95</v>
      </c>
      <c r="AO406" s="9"/>
      <c r="AP406" s="11">
        <f>IF($H406="Cancelled","",IFERROR(IF(OR(AK406="",AB406=""),"",(AB406+Variables!$B$18-AK406)),""))</f>
        <v>-7</v>
      </c>
      <c r="AQ406" s="11">
        <f>IF($H406="Cancelled","",IFERROR(IF(OR(AM406="",AK406=""),"",(AK406+Variables!$B$19)-AM406),""))</f>
        <v>-2</v>
      </c>
      <c r="AR406" s="12">
        <f>IF($H406="Cancelled","",IFERROR(T406*INDEX(Variables!$B$7:$D$7,IFERROR(MATCH(IF($B406="Robusta","Robusta",(IF($B406="","Arabica",$B406))&amp;" - "&amp;(IF($C406="","Commercial",$C406))),Variables!$B$1:$D$1,0),1))*(AQ406/365),""))</f>
        <v>-45.097912135487974</v>
      </c>
      <c r="AS406" s="12">
        <f>IF($H406="Cancelled","",IFERROR((T406*INDEX(Variables!$B$7:$D$7,IFERROR(MATCH(IF($B406="Robusta","Robusta",(IF($B406="","Arabica",$B406))&amp;" - "&amp;(IF($C406="","Commercial",$C406))),Variables!$B$1:$D$1,0),1))*IFERROR(IF(W406="","",(AVERAGE(E406:F406)-W406)-Variables!$B$14),"")/365)+(L406/16.67*INDEX(Variables!$B$8:$D$8,IFERROR(MATCH(IF($B406="Robusta","Robusta",(IF($B406="","Arabica",$B406))&amp;" - "&amp;(IF($C406="","Commercial",$C406))),Variables!$B$1:$D$1,0),1))*IFERROR(IF(W406="","",(AVERAGE(E406:F406)-W406)-Variables!$B$14),""))+(T406*INDEX(Variables!$B$9:$D$9,IFERROR(MATCH(IF($B406="Robusta","Robusta",(IF($B406="","Arabica",$B406))&amp;" - "&amp;(IF($C406="","Commercial",$C406))),Variables!$B$1:$D$1,0),1))*IFERROR(IF(W406="","",(AVERAGE(E406:F406)-W406)-Variables!$B$14),"")/365),""))</f>
        <v>-522.75517879086556</v>
      </c>
      <c r="AT406" s="12">
        <f>IF($H406="Cancelled","",IFERROR((T406*INDEX(Variables!$B$7:$D$7,IFERROR(MATCH(IF($B406="Robusta","Robusta",(IF($B406="","Arabica",$B406))&amp;" - "&amp;(IF($C406="","Commercial",$C406))),Variables!$B$1:$D$1,0),1))*AC406/365)+(L406/16.67*INDEX(Variables!$B$8:$D$8,IFERROR(MATCH(IF($B406="Robusta","Robusta",(IF($B406="","Arabica",$B406))&amp;" - "&amp;(IF($C406="","Commercial",$C406))),Variables!$B$1:$D$1,0),1))*AC406)+(T406*INDEX(Variables!$B$9:$D$9,IFERROR(MATCH(IF($B406="Robusta","Robusta",(IF($B406="","Arabica",$B406))&amp;" - "&amp;(IF($C406="","Commercial",$C406))),Variables!$B$1:$D$1,0),1))*AC406/365),""))</f>
        <v>-597.43449004670356</v>
      </c>
      <c r="AU406" s="12">
        <f>IF($H406="Cancelled","",IFERROR((T406*INDEX(Variables!$B$7:$D$7,IFERROR(MATCH(IF($B406="Robusta","Robusta",(IF($B406="","Arabica",$B406))&amp;" - "&amp;(IF($C406="","Commercial",$C406))),Variables!$B$1:$D$1,0),1))*AP406/365)+(L406/16.67*INDEX(Variables!$B$8:$D$8,IFERROR(MATCH(IF($B406="Robusta","Robusta",(IF($B406="","Arabica",$B406))&amp;" - "&amp;(IF($C406="","Commercial",$C406))),Variables!$B$1:$D$1,0),1))*AP406)+(T406*INDEX(Variables!$B$9:$D$9,IFERROR(MATCH(IF($B406="Robusta","Robusta",(IF($B406="","Arabica",$B406))&amp;" - "&amp;(IF($C406="","Commercial",$C406))),Variables!$B$1:$D$1,0),1))*AP406/365),""))</f>
        <v>-261.37758939543278</v>
      </c>
      <c r="AV406" s="11">
        <f t="shared" si="45"/>
        <v>8</v>
      </c>
      <c r="AW406" s="12">
        <f>IF($H406="Cancelled","",IFERROR(IF(AV406="","",(T406*INDEX(Variables!$B$7:$D$7,IFERROR(MATCH(IF($B406="Robusta","Robusta",(IF($B406="","Arabica",$B406))&amp;" - "&amp;(IF($C406="","Commercial",$C406))),Variables!$B$1:$D$1,0),1))*(AV406/365))+(T406*INDEX(Variables!$B$9:$D$9,IFERROR(MATCH(IF($B406="Robusta","Robusta",(IF($B406="","Arabica",$B406))&amp;" - "&amp;(IF($C406="","Commercial",$C406))),Variables!$B$1:$D$1,0),1))*(AV406/365))+(INDEX(Variables!$B$8:$D$8,IFERROR(MATCH(IF($B406="Robusta","Robusta",(IF($B406="","Arabica",$B406))&amp;" - "&amp;(IF($C406="","Commercial",$C406))),Variables!$B$1:$D$1,0),1))*L406/16.67)),""))</f>
        <v>197.21724502335181</v>
      </c>
      <c r="AX406" s="9"/>
      <c r="AY406" s="12"/>
      <c r="AZ406" s="10"/>
      <c r="BA406" s="9"/>
      <c r="BB406" s="10"/>
      <c r="BC406" s="9"/>
      <c r="BD406" s="9"/>
      <c r="BE406" s="9"/>
      <c r="BF406" s="9"/>
    </row>
    <row r="407" spans="1:58" x14ac:dyDescent="0.25">
      <c r="A407" s="9" t="s">
        <v>84</v>
      </c>
      <c r="B407" s="9" t="s">
        <v>85</v>
      </c>
      <c r="C407" s="9" t="s">
        <v>86</v>
      </c>
      <c r="D407" s="10">
        <v>45757</v>
      </c>
      <c r="E407" s="10">
        <v>45809</v>
      </c>
      <c r="F407" s="10">
        <v>45838</v>
      </c>
      <c r="G407" s="9">
        <v>3786894</v>
      </c>
      <c r="H407" s="9" t="str">
        <f t="shared" si="43"/>
        <v>Closed</v>
      </c>
      <c r="I407" s="9" t="str">
        <f t="shared" si="44"/>
        <v>All dates received</v>
      </c>
      <c r="J407" s="9" t="s">
        <v>240</v>
      </c>
      <c r="K407" s="9">
        <v>5296</v>
      </c>
      <c r="L407" s="11">
        <v>320</v>
      </c>
      <c r="M407" s="9" t="s">
        <v>1044</v>
      </c>
      <c r="N407" s="9" t="s">
        <v>387</v>
      </c>
      <c r="O407" s="9"/>
      <c r="P407" s="9"/>
      <c r="Q407" s="11">
        <v>-75</v>
      </c>
      <c r="R407" s="9" t="s">
        <v>90</v>
      </c>
      <c r="S407" s="9" t="s">
        <v>243</v>
      </c>
      <c r="T407" s="12">
        <f>IF($H407="Cancelled","",IFERROR(((Q407+INDEX(Variables!$B$6:$D$6,IFERROR(MATCH(IF($B407="Robusta","Robusta",(IF($B407="","Arabica",$B407))&amp;" - "&amp;(IF($C407="","Commercial",$C407))),Variables!$B$1:$D$1,0),1)))*22.0462)*(L407/16.67),""))</f>
        <v>91327.077816436708</v>
      </c>
      <c r="U407" s="10">
        <v>45764</v>
      </c>
      <c r="V407" s="9" t="str">
        <f t="shared" si="47"/>
        <v>Sent</v>
      </c>
      <c r="W407" s="10">
        <v>45803</v>
      </c>
      <c r="X407" s="9" t="str">
        <f t="shared" si="48"/>
        <v>Approved</v>
      </c>
      <c r="Y407" s="10"/>
      <c r="Z407" s="10">
        <f>IF($H407="Cancelled","",IFERROR(IF(F407="","",F407-Variables!$B$13),""))</f>
        <v>45823</v>
      </c>
      <c r="AA407" s="11">
        <f>IF($H407="Cancelled","",IFERROR(IF(W407="","",(AVERAGE(E407:F407)-W407)-Variables!$B$14),""))</f>
        <v>-9.5</v>
      </c>
      <c r="AB407" s="10">
        <v>45818</v>
      </c>
      <c r="AC407" s="11">
        <f>IF($H407="Cancelled","",IFERROR(IF(AB407="","",IF(AND(W407="",Y407=""),"",IF(Y407&gt;W407,Y407+Variables!$B$15+Variables!$B$16+Variables!$B$17-AB407,W407+Variables!$B$16+Variables!$B$17-AB407))),""))</f>
        <v>-7</v>
      </c>
      <c r="AD407" s="9" t="s">
        <v>107</v>
      </c>
      <c r="AE407" s="9" t="s">
        <v>969</v>
      </c>
      <c r="AF407" s="10"/>
      <c r="AG407" s="10"/>
      <c r="AH407" s="9"/>
      <c r="AI407" s="9" t="s">
        <v>1045</v>
      </c>
      <c r="AJ407" s="9" t="s">
        <v>8</v>
      </c>
      <c r="AK407" s="10">
        <v>45828</v>
      </c>
      <c r="AL407" s="10">
        <v>45831</v>
      </c>
      <c r="AM407" s="10">
        <v>45835</v>
      </c>
      <c r="AN407" s="9" t="s">
        <v>95</v>
      </c>
      <c r="AO407" s="9"/>
      <c r="AP407" s="11">
        <f>IF($H407="Cancelled","",IFERROR(IF(OR(AK407="",AB407=""),"",(AB407+Variables!$B$18-AK407)),""))</f>
        <v>-3</v>
      </c>
      <c r="AQ407" s="11">
        <f>IF($H407="Cancelled","",IFERROR(IF(OR(AM407="",AK407=""),"",(AK407+Variables!$B$19)-AM407),""))</f>
        <v>-2</v>
      </c>
      <c r="AR407" s="12">
        <f>IF($H407="Cancelled","",IFERROR(T407*INDEX(Variables!$B$7:$D$7,IFERROR(MATCH(IF($B407="Robusta","Robusta",(IF($B407="","Arabica",$B407))&amp;" - "&amp;(IF($C407="","Commercial",$C407))),Variables!$B$1:$D$1,0),1))*(AQ407/365),""))</f>
        <v>-32.268333683150878</v>
      </c>
      <c r="AS407" s="12">
        <f>IF($H407="Cancelled","",IFERROR((T407*INDEX(Variables!$B$7:$D$7,IFERROR(MATCH(IF($B407="Robusta","Robusta",(IF($B407="","Arabica",$B407))&amp;" - "&amp;(IF($C407="","Commercial",$C407))),Variables!$B$1:$D$1,0),1))*IFERROR(IF(W407="","",(AVERAGE(E407:F407)-W407)-Variables!$B$14),"")/365)+(L407/16.67*INDEX(Variables!$B$8:$D$8,IFERROR(MATCH(IF($B407="Robusta","Robusta",(IF($B407="","Arabica",$B407))&amp;" - "&amp;(IF($C407="","Commercial",$C407))),Variables!$B$1:$D$1,0),1))*IFERROR(IF(W407="","",(AVERAGE(E407:F407)-W407)-Variables!$B$14),""))+(T407*INDEX(Variables!$B$9:$D$9,IFERROR(MATCH(IF($B407="Robusta","Robusta",(IF($B407="","Arabica",$B407))&amp;" - "&amp;(IF($C407="","Commercial",$C407))),Variables!$B$1:$D$1,0),1))*IFERROR(IF(W407="","",(AVERAGE(E407:F407)-W407)-Variables!$B$14),"")/365),""))</f>
        <v>-307.25059019494927</v>
      </c>
      <c r="AT407" s="12">
        <f>IF($H407="Cancelled","",IFERROR((T407*INDEX(Variables!$B$7:$D$7,IFERROR(MATCH(IF($B407="Robusta","Robusta",(IF($B407="","Arabica",$B407))&amp;" - "&amp;(IF($C407="","Commercial",$C407))),Variables!$B$1:$D$1,0),1))*AC407/365)+(L407/16.67*INDEX(Variables!$B$8:$D$8,IFERROR(MATCH(IF($B407="Robusta","Robusta",(IF($B407="","Arabica",$B407))&amp;" - "&amp;(IF($C407="","Commercial",$C407))),Variables!$B$1:$D$1,0),1))*AC407)+(T407*INDEX(Variables!$B$9:$D$9,IFERROR(MATCH(IF($B407="Robusta","Robusta",(IF($B407="","Arabica",$B407))&amp;" - "&amp;(IF($C407="","Commercial",$C407))),Variables!$B$1:$D$1,0),1))*AC407/365),""))</f>
        <v>-226.39517172259417</v>
      </c>
      <c r="AU407" s="12">
        <f>IF($H407="Cancelled","",IFERROR((T407*INDEX(Variables!$B$7:$D$7,IFERROR(MATCH(IF($B407="Robusta","Robusta",(IF($B407="","Arabica",$B407))&amp;" - "&amp;(IF($C407="","Commercial",$C407))),Variables!$B$1:$D$1,0),1))*AP407/365)+(L407/16.67*INDEX(Variables!$B$8:$D$8,IFERROR(MATCH(IF($B407="Robusta","Robusta",(IF($B407="","Arabica",$B407))&amp;" - "&amp;(IF($C407="","Commercial",$C407))),Variables!$B$1:$D$1,0),1))*AP407)+(T407*INDEX(Variables!$B$9:$D$9,IFERROR(MATCH(IF($B407="Robusta","Robusta",(IF($B407="","Arabica",$B407))&amp;" - "&amp;(IF($C407="","Commercial",$C407))),Variables!$B$1:$D$1,0),1))*AP407/365),""))</f>
        <v>-97.026502166826077</v>
      </c>
      <c r="AV407" s="11">
        <f t="shared" si="45"/>
        <v>10</v>
      </c>
      <c r="AW407" s="12">
        <f>IF($H407="Cancelled","",IFERROR(IF(AV407="","",(T407*INDEX(Variables!$B$7:$D$7,IFERROR(MATCH(IF($B407="Robusta","Robusta",(IF($B407="","Arabica",$B407))&amp;" - "&amp;(IF($C407="","Commercial",$C407))),Variables!$B$1:$D$1,0),1))*(AV407/365))+(T407*INDEX(Variables!$B$9:$D$9,IFERROR(MATCH(IF($B407="Robusta","Robusta",(IF($B407="","Arabica",$B407))&amp;" - "&amp;(IF($C407="","Commercial",$C407))),Variables!$B$1:$D$1,0),1))*(AV407/365))+(INDEX(Variables!$B$8:$D$8,IFERROR(MATCH(IF($B407="Robusta","Robusta",(IF($B407="","Arabica",$B407))&amp;" - "&amp;(IF($C407="","Commercial",$C407))),Variables!$B$1:$D$1,0),1))*L407/16.67)),""))</f>
        <v>179.42167388942025</v>
      </c>
      <c r="AX407" s="9"/>
      <c r="AY407" s="12"/>
      <c r="AZ407" s="10"/>
      <c r="BA407" s="9"/>
      <c r="BB407" s="10"/>
      <c r="BC407" s="9"/>
      <c r="BD407" s="9"/>
      <c r="BE407" s="9"/>
      <c r="BF407" s="9"/>
    </row>
    <row r="408" spans="1:58" x14ac:dyDescent="0.25">
      <c r="A408" s="9" t="s">
        <v>84</v>
      </c>
      <c r="B408" s="9" t="s">
        <v>85</v>
      </c>
      <c r="C408" s="9" t="s">
        <v>86</v>
      </c>
      <c r="D408" s="10">
        <v>45757</v>
      </c>
      <c r="E408" s="10">
        <v>45839</v>
      </c>
      <c r="F408" s="10">
        <v>45869</v>
      </c>
      <c r="G408" s="9">
        <v>3786895</v>
      </c>
      <c r="H408" s="9" t="str">
        <f t="shared" si="43"/>
        <v>Closed</v>
      </c>
      <c r="I408" s="9" t="str">
        <f t="shared" si="44"/>
        <v>All dates received</v>
      </c>
      <c r="J408" s="9" t="s">
        <v>240</v>
      </c>
      <c r="K408" s="9">
        <v>5301</v>
      </c>
      <c r="L408" s="11">
        <v>320</v>
      </c>
      <c r="M408" s="9" t="s">
        <v>1044</v>
      </c>
      <c r="N408" s="9" t="s">
        <v>387</v>
      </c>
      <c r="O408" s="9"/>
      <c r="P408" s="9"/>
      <c r="Q408" s="11">
        <v>-75</v>
      </c>
      <c r="R408" s="9" t="s">
        <v>90</v>
      </c>
      <c r="S408" s="9" t="s">
        <v>243</v>
      </c>
      <c r="T408" s="12">
        <f>IF($H408="Cancelled","",IFERROR(((Q408+INDEX(Variables!$B$6:$D$6,IFERROR(MATCH(IF($B408="Robusta","Robusta",(IF($B408="","Arabica",$B408))&amp;" - "&amp;(IF($C408="","Commercial",$C408))),Variables!$B$1:$D$1,0),1)))*22.0462)*(L408/16.67),""))</f>
        <v>91327.077816436708</v>
      </c>
      <c r="U408" s="10">
        <v>45797</v>
      </c>
      <c r="V408" s="9" t="str">
        <f t="shared" si="47"/>
        <v>Sent</v>
      </c>
      <c r="W408" s="10">
        <v>45821</v>
      </c>
      <c r="X408" s="9" t="str">
        <f t="shared" si="48"/>
        <v>Approved</v>
      </c>
      <c r="Y408" s="10"/>
      <c r="Z408" s="10">
        <f>IF($H408="Cancelled","",IFERROR(IF(F408="","",F408-Variables!$B$13),""))</f>
        <v>45854</v>
      </c>
      <c r="AA408" s="11">
        <f>IF($H408="Cancelled","",IFERROR(IF(W408="","",(AVERAGE(E408:F408)-W408)-Variables!$B$14),""))</f>
        <v>3</v>
      </c>
      <c r="AB408" s="10">
        <v>45835</v>
      </c>
      <c r="AC408" s="11">
        <f>IF($H408="Cancelled","",IFERROR(IF(AB408="","",IF(AND(W408="",Y408=""),"",IF(Y408&gt;W408,Y408+Variables!$B$15+Variables!$B$16+Variables!$B$17-AB408,W408+Variables!$B$16+Variables!$B$17-AB408))),""))</f>
        <v>-6</v>
      </c>
      <c r="AD408" s="9" t="s">
        <v>107</v>
      </c>
      <c r="AE408" s="9" t="s">
        <v>818</v>
      </c>
      <c r="AF408" s="10"/>
      <c r="AG408" s="10"/>
      <c r="AH408" s="9"/>
      <c r="AI408" s="9" t="s">
        <v>1046</v>
      </c>
      <c r="AJ408" s="9" t="s">
        <v>8</v>
      </c>
      <c r="AK408" s="10">
        <v>45844</v>
      </c>
      <c r="AL408" s="10">
        <v>45847</v>
      </c>
      <c r="AM408" s="10">
        <v>45852</v>
      </c>
      <c r="AN408" s="9" t="s">
        <v>95</v>
      </c>
      <c r="AO408" s="9"/>
      <c r="AP408" s="11">
        <f>IF($H408="Cancelled","",IFERROR(IF(OR(AK408="",AB408=""),"",(AB408+Variables!$B$18-AK408)),""))</f>
        <v>-2</v>
      </c>
      <c r="AQ408" s="11">
        <f>IF($H408="Cancelled","",IFERROR(IF(OR(AM408="",AK408=""),"",(AK408+Variables!$B$19)-AM408),""))</f>
        <v>-3</v>
      </c>
      <c r="AR408" s="12">
        <f>IF($H408="Cancelled","",IFERROR(T408*INDEX(Variables!$B$7:$D$7,IFERROR(MATCH(IF($B408="Robusta","Robusta",(IF($B408="","Arabica",$B408))&amp;" - "&amp;(IF($C408="","Commercial",$C408))),Variables!$B$1:$D$1,0),1))*(AQ408/365),""))</f>
        <v>-48.402500524726314</v>
      </c>
      <c r="AS408" s="12">
        <f>IF($H408="Cancelled","",IFERROR((T408*INDEX(Variables!$B$7:$D$7,IFERROR(MATCH(IF($B408="Robusta","Robusta",(IF($B408="","Arabica",$B408))&amp;" - "&amp;(IF($C408="","Commercial",$C408))),Variables!$B$1:$D$1,0),1))*IFERROR(IF(W408="","",(AVERAGE(E408:F408)-W408)-Variables!$B$14),"")/365)+(L408/16.67*INDEX(Variables!$B$8:$D$8,IFERROR(MATCH(IF($B408="Robusta","Robusta",(IF($B408="","Arabica",$B408))&amp;" - "&amp;(IF($C408="","Commercial",$C408))),Variables!$B$1:$D$1,0),1))*IFERROR(IF(W408="","",(AVERAGE(E408:F408)-W408)-Variables!$B$14),""))+(T408*INDEX(Variables!$B$9:$D$9,IFERROR(MATCH(IF($B408="Robusta","Robusta",(IF($B408="","Arabica",$B408))&amp;" - "&amp;(IF($C408="","Commercial",$C408))),Variables!$B$1:$D$1,0),1))*IFERROR(IF(W408="","",(AVERAGE(E408:F408)-W408)-Variables!$B$14),"")/365),""))</f>
        <v>97.026502166826077</v>
      </c>
      <c r="AT408" s="12">
        <f>IF($H408="Cancelled","",IFERROR((T408*INDEX(Variables!$B$7:$D$7,IFERROR(MATCH(IF($B408="Robusta","Robusta",(IF($B408="","Arabica",$B408))&amp;" - "&amp;(IF($C408="","Commercial",$C408))),Variables!$B$1:$D$1,0),1))*AC408/365)+(L408/16.67*INDEX(Variables!$B$8:$D$8,IFERROR(MATCH(IF($B408="Robusta","Robusta",(IF($B408="","Arabica",$B408))&amp;" - "&amp;(IF($C408="","Commercial",$C408))),Variables!$B$1:$D$1,0),1))*AC408)+(T408*INDEX(Variables!$B$9:$D$9,IFERROR(MATCH(IF($B408="Robusta","Robusta",(IF($B408="","Arabica",$B408))&amp;" - "&amp;(IF($C408="","Commercial",$C408))),Variables!$B$1:$D$1,0),1))*AC408/365),""))</f>
        <v>-194.05300433365215</v>
      </c>
      <c r="AU408" s="12">
        <f>IF($H408="Cancelled","",IFERROR((T408*INDEX(Variables!$B$7:$D$7,IFERROR(MATCH(IF($B408="Robusta","Robusta",(IF($B408="","Arabica",$B408))&amp;" - "&amp;(IF($C408="","Commercial",$C408))),Variables!$B$1:$D$1,0),1))*AP408/365)+(L408/16.67*INDEX(Variables!$B$8:$D$8,IFERROR(MATCH(IF($B408="Robusta","Robusta",(IF($B408="","Arabica",$B408))&amp;" - "&amp;(IF($C408="","Commercial",$C408))),Variables!$B$1:$D$1,0),1))*AP408)+(T408*INDEX(Variables!$B$9:$D$9,IFERROR(MATCH(IF($B408="Robusta","Robusta",(IF($B408="","Arabica",$B408))&amp;" - "&amp;(IF($C408="","Commercial",$C408))),Variables!$B$1:$D$1,0),1))*AP408/365),""))</f>
        <v>-64.684334777884047</v>
      </c>
      <c r="AV408" s="11">
        <f t="shared" si="45"/>
        <v>25</v>
      </c>
      <c r="AW408" s="12">
        <f>IF($H408="Cancelled","",IFERROR(IF(AV408="","",(T408*INDEX(Variables!$B$7:$D$7,IFERROR(MATCH(IF($B408="Robusta","Robusta",(IF($B408="","Arabica",$B408))&amp;" - "&amp;(IF($C408="","Commercial",$C408))),Variables!$B$1:$D$1,0),1))*(AV408/365))+(T408*INDEX(Variables!$B$9:$D$9,IFERROR(MATCH(IF($B408="Robusta","Robusta",(IF($B408="","Arabica",$B408))&amp;" - "&amp;(IF($C408="","Commercial",$C408))),Variables!$B$1:$D$1,0),1))*(AV408/365))+(INDEX(Variables!$B$8:$D$8,IFERROR(MATCH(IF($B408="Robusta","Robusta",(IF($B408="","Arabica",$B408))&amp;" - "&amp;(IF($C408="","Commercial",$C408))),Variables!$B$1:$D$1,0),1))*L408/16.67)),""))</f>
        <v>424.55418472355063</v>
      </c>
      <c r="AX408" s="9"/>
      <c r="AY408" s="12"/>
      <c r="AZ408" s="10"/>
      <c r="BA408" s="9"/>
      <c r="BB408" s="10"/>
      <c r="BC408" s="9"/>
      <c r="BD408" s="9"/>
      <c r="BE408" s="9"/>
      <c r="BF408" s="9"/>
    </row>
    <row r="409" spans="1:58" x14ac:dyDescent="0.25">
      <c r="A409" s="9" t="s">
        <v>84</v>
      </c>
      <c r="B409" s="9" t="s">
        <v>85</v>
      </c>
      <c r="C409" s="9" t="s">
        <v>86</v>
      </c>
      <c r="D409" s="10">
        <v>45761</v>
      </c>
      <c r="E409" s="10">
        <v>45778</v>
      </c>
      <c r="F409" s="10">
        <v>45808</v>
      </c>
      <c r="G409" s="9">
        <v>3786900</v>
      </c>
      <c r="H409" s="9" t="str">
        <f t="shared" si="43"/>
        <v>Closed</v>
      </c>
      <c r="I409" s="9" t="str">
        <f t="shared" si="44"/>
        <v>All dates received</v>
      </c>
      <c r="J409" s="9" t="s">
        <v>494</v>
      </c>
      <c r="K409" s="9" t="s">
        <v>1047</v>
      </c>
      <c r="L409" s="11">
        <v>265</v>
      </c>
      <c r="M409" s="9" t="s">
        <v>495</v>
      </c>
      <c r="N409" s="9" t="s">
        <v>237</v>
      </c>
      <c r="O409" s="9"/>
      <c r="P409" s="9"/>
      <c r="Q409" s="11">
        <v>40</v>
      </c>
      <c r="R409" s="9" t="s">
        <v>90</v>
      </c>
      <c r="S409" s="9" t="s">
        <v>150</v>
      </c>
      <c r="T409" s="12">
        <f>IF($H409="Cancelled","",IFERROR(((Q409+INDEX(Variables!$B$6:$D$6,IFERROR(MATCH(IF($B409="Robusta","Robusta",(IF($B409="","Arabica",$B409))&amp;" - "&amp;(IF($C409="","Commercial",$C409))),Variables!$B$1:$D$1,0),1)))*22.0462)*(L409/16.67),""))</f>
        <v>115933.65233353329</v>
      </c>
      <c r="U409" s="10">
        <v>45764</v>
      </c>
      <c r="V409" s="9" t="str">
        <f t="shared" si="47"/>
        <v>Sent</v>
      </c>
      <c r="W409" s="10">
        <v>45770</v>
      </c>
      <c r="X409" s="9" t="str">
        <f t="shared" si="48"/>
        <v>Approved</v>
      </c>
      <c r="Y409" s="10"/>
      <c r="Z409" s="10">
        <f>IF($H409="Cancelled","",IFERROR(IF(F409="","",F409-Variables!$B$13),""))</f>
        <v>45793</v>
      </c>
      <c r="AA409" s="11">
        <f>IF($H409="Cancelled","",IFERROR(IF(W409="","",(AVERAGE(E409:F409)-W409)-Variables!$B$14),""))</f>
        <v>-7</v>
      </c>
      <c r="AB409" s="10">
        <v>45803</v>
      </c>
      <c r="AC409" s="11">
        <f>IF($H409="Cancelled","",IFERROR(IF(AB409="","",IF(AND(W409="",Y409=""),"",IF(Y409&gt;W409,Y409+Variables!$B$15+Variables!$B$16+Variables!$B$17-AB409,W409+Variables!$B$16+Variables!$B$17-AB409))),""))</f>
        <v>-25</v>
      </c>
      <c r="AD409" s="9" t="s">
        <v>216</v>
      </c>
      <c r="AE409" s="9" t="s">
        <v>918</v>
      </c>
      <c r="AF409" s="10" t="s">
        <v>762</v>
      </c>
      <c r="AG409" s="10"/>
      <c r="AH409" s="9"/>
      <c r="AI409" s="9" t="s">
        <v>1048</v>
      </c>
      <c r="AJ409" s="9" t="s">
        <v>8</v>
      </c>
      <c r="AK409" s="10">
        <v>45821</v>
      </c>
      <c r="AL409" s="10">
        <v>45832</v>
      </c>
      <c r="AM409" s="10">
        <v>45835</v>
      </c>
      <c r="AN409" s="9" t="s">
        <v>95</v>
      </c>
      <c r="AO409" s="9"/>
      <c r="AP409" s="11">
        <f>IF($H409="Cancelled","",IFERROR(IF(OR(AK409="",AB409=""),"",(AB409+Variables!$B$18-AK409)),""))</f>
        <v>-11</v>
      </c>
      <c r="AQ409" s="11">
        <f>IF($H409="Cancelled","",IFERROR(IF(OR(AM409="",AK409=""),"",(AK409+Variables!$B$19)-AM409),""))</f>
        <v>-9</v>
      </c>
      <c r="AR409" s="12">
        <f>IF($H409="Cancelled","",IFERROR(T409*INDEX(Variables!$B$7:$D$7,IFERROR(MATCH(IF($B409="Robusta","Robusta",(IF($B409="","Arabica",$B409))&amp;" - "&amp;(IF($C409="","Commercial",$C409))),Variables!$B$1:$D$1,0),1))*(AQ409/365),""))</f>
        <v>-184.3312674205815</v>
      </c>
      <c r="AS409" s="12">
        <f>IF($H409="Cancelled","",IFERROR((T409*INDEX(Variables!$B$7:$D$7,IFERROR(MATCH(IF($B409="Robusta","Robusta",(IF($B409="","Arabica",$B409))&amp;" - "&amp;(IF($C409="","Commercial",$C409))),Variables!$B$1:$D$1,0),1))*IFERROR(IF(W409="","",(AVERAGE(E409:F409)-W409)-Variables!$B$14),"")/365)+(L409/16.67*INDEX(Variables!$B$8:$D$8,IFERROR(MATCH(IF($B409="Robusta","Robusta",(IF($B409="","Arabica",$B409))&amp;" - "&amp;(IF($C409="","Commercial",$C409))),Variables!$B$1:$D$1,0),1))*IFERROR(IF(W409="","",(AVERAGE(E409:F409)-W409)-Variables!$B$14),""))+(T409*INDEX(Variables!$B$9:$D$9,IFERROR(MATCH(IF($B409="Robusta","Robusta",(IF($B409="","Arabica",$B409))&amp;" - "&amp;(IF($C409="","Commercial",$C409))),Variables!$B$1:$D$1,0),1))*IFERROR(IF(W409="","",(AVERAGE(E409:F409)-W409)-Variables!$B$14),"")/365),""))</f>
        <v>-237.96706359398243</v>
      </c>
      <c r="AT409" s="12">
        <f>IF($H409="Cancelled","",IFERROR((T409*INDEX(Variables!$B$7:$D$7,IFERROR(MATCH(IF($B409="Robusta","Robusta",(IF($B409="","Arabica",$B409))&amp;" - "&amp;(IF($C409="","Commercial",$C409))),Variables!$B$1:$D$1,0),1))*AC409/365)+(L409/16.67*INDEX(Variables!$B$8:$D$8,IFERROR(MATCH(IF($B409="Robusta","Robusta",(IF($B409="","Arabica",$B409))&amp;" - "&amp;(IF($C409="","Commercial",$C409))),Variables!$B$1:$D$1,0),1))*AC409)+(T409*INDEX(Variables!$B$9:$D$9,IFERROR(MATCH(IF($B409="Robusta","Robusta",(IF($B409="","Arabica",$B409))&amp;" - "&amp;(IF($C409="","Commercial",$C409))),Variables!$B$1:$D$1,0),1))*AC409/365),""))</f>
        <v>-849.88236997850868</v>
      </c>
      <c r="AU409" s="12">
        <f>IF($H409="Cancelled","",IFERROR((T409*INDEX(Variables!$B$7:$D$7,IFERROR(MATCH(IF($B409="Robusta","Robusta",(IF($B409="","Arabica",$B409))&amp;" - "&amp;(IF($C409="","Commercial",$C409))),Variables!$B$1:$D$1,0),1))*AP409/365)+(L409/16.67*INDEX(Variables!$B$8:$D$8,IFERROR(MATCH(IF($B409="Robusta","Robusta",(IF($B409="","Arabica",$B409))&amp;" - "&amp;(IF($C409="","Commercial",$C409))),Variables!$B$1:$D$1,0),1))*AP409)+(T409*INDEX(Variables!$B$9:$D$9,IFERROR(MATCH(IF($B409="Robusta","Robusta",(IF($B409="","Arabica",$B409))&amp;" - "&amp;(IF($C409="","Commercial",$C409))),Variables!$B$1:$D$1,0),1))*AP409/365),""))</f>
        <v>-373.94824279054382</v>
      </c>
      <c r="AV409" s="11">
        <f t="shared" si="45"/>
        <v>-13</v>
      </c>
      <c r="AW409" s="12">
        <f>IF($H409="Cancelled","",IFERROR(IF(AV409="","",(T409*INDEX(Variables!$B$7:$D$7,IFERROR(MATCH(IF($B409="Robusta","Robusta",(IF($B409="","Arabica",$B409))&amp;" - "&amp;(IF($C409="","Commercial",$C409))),Variables!$B$1:$D$1,0),1))*(AV409/365))+(T409*INDEX(Variables!$B$9:$D$9,IFERROR(MATCH(IF($B409="Robusta","Robusta",(IF($B409="","Arabica",$B409))&amp;" - "&amp;(IF($C409="","Commercial",$C409))),Variables!$B$1:$D$1,0),1))*(AV409/365))+(INDEX(Variables!$B$8:$D$8,IFERROR(MATCH(IF($B409="Robusta","Robusta",(IF($B409="","Arabica",$B409))&amp;" - "&amp;(IF($C409="","Commercial",$C409))),Variables!$B$1:$D$1,0),1))*L409/16.67)),""))</f>
        <v>-256.43883238882449</v>
      </c>
      <c r="AX409" s="9"/>
      <c r="AY409" s="12"/>
      <c r="AZ409" s="10"/>
      <c r="BA409" s="9"/>
      <c r="BB409" s="10"/>
      <c r="BC409" s="9"/>
      <c r="BD409" s="9"/>
      <c r="BE409" s="9"/>
      <c r="BF409" s="9"/>
    </row>
    <row r="410" spans="1:58" x14ac:dyDescent="0.25">
      <c r="A410" s="9" t="s">
        <v>84</v>
      </c>
      <c r="B410" s="9" t="s">
        <v>85</v>
      </c>
      <c r="C410" s="9" t="s">
        <v>86</v>
      </c>
      <c r="D410" s="10">
        <v>45763</v>
      </c>
      <c r="E410" s="10">
        <v>45778</v>
      </c>
      <c r="F410" s="10">
        <v>45808</v>
      </c>
      <c r="G410" s="9">
        <v>3786901</v>
      </c>
      <c r="H410" s="9" t="str">
        <f t="shared" si="43"/>
        <v>Closed</v>
      </c>
      <c r="I410" s="9" t="str">
        <f t="shared" si="44"/>
        <v>All dates received</v>
      </c>
      <c r="J410" s="9" t="s">
        <v>102</v>
      </c>
      <c r="K410" s="9">
        <v>5273</v>
      </c>
      <c r="L410" s="11">
        <v>1440</v>
      </c>
      <c r="M410" s="9" t="s">
        <v>1049</v>
      </c>
      <c r="N410" s="9" t="s">
        <v>387</v>
      </c>
      <c r="O410" s="9"/>
      <c r="P410" s="9"/>
      <c r="Q410" s="11">
        <v>-49</v>
      </c>
      <c r="R410" s="9" t="s">
        <v>90</v>
      </c>
      <c r="S410" s="9" t="s">
        <v>106</v>
      </c>
      <c r="T410" s="12">
        <f>IF($H410="Cancelled","",IFERROR(((Q410+INDEX(Variables!$B$6:$D$6,IFERROR(MATCH(IF($B410="Robusta","Robusta",(IF($B410="","Arabica",$B410))&amp;" - "&amp;(IF($C410="","Commercial",$C410))),Variables!$B$1:$D$1,0),1)))*22.0462)*(L410/16.67),""))</f>
        <v>460486.53091781645</v>
      </c>
      <c r="U410" s="10">
        <v>45764</v>
      </c>
      <c r="V410" s="9" t="str">
        <f t="shared" si="47"/>
        <v>Sent</v>
      </c>
      <c r="W410" s="10">
        <v>45770</v>
      </c>
      <c r="X410" s="9" t="str">
        <f t="shared" si="48"/>
        <v>Approved</v>
      </c>
      <c r="Y410" s="10"/>
      <c r="Z410" s="10">
        <f>IF($H410="Cancelled","",IFERROR(IF(F410="","",F410-Variables!$B$13),""))</f>
        <v>45793</v>
      </c>
      <c r="AA410" s="11">
        <f>IF($H410="Cancelled","",IFERROR(IF(W410="","",(AVERAGE(E410:F410)-W410)-Variables!$B$14),""))</f>
        <v>-7</v>
      </c>
      <c r="AB410" s="10">
        <v>45800</v>
      </c>
      <c r="AC410" s="11">
        <f>IF($H410="Cancelled","",IFERROR(IF(AB410="","",IF(AND(W410="",Y410=""),"",IF(Y410&gt;W410,Y410+Variables!$B$15+Variables!$B$16+Variables!$B$17-AB410,W410+Variables!$B$16+Variables!$B$17-AB410))),""))</f>
        <v>-22</v>
      </c>
      <c r="AD410" s="9" t="s">
        <v>107</v>
      </c>
      <c r="AE410" s="9" t="s">
        <v>942</v>
      </c>
      <c r="AF410" s="10"/>
      <c r="AG410" s="10"/>
      <c r="AH410" s="9"/>
      <c r="AI410" s="9" t="s">
        <v>1050</v>
      </c>
      <c r="AJ410" s="9" t="s">
        <v>8</v>
      </c>
      <c r="AK410" s="10">
        <v>45818</v>
      </c>
      <c r="AL410" s="10">
        <v>45821</v>
      </c>
      <c r="AM410" s="10">
        <v>45821</v>
      </c>
      <c r="AN410" s="9" t="s">
        <v>95</v>
      </c>
      <c r="AO410" s="9"/>
      <c r="AP410" s="11">
        <f>IF($H410="Cancelled","",IFERROR(IF(OR(AK410="",AB410=""),"",(AB410+Variables!$B$18-AK410)),""))</f>
        <v>-11</v>
      </c>
      <c r="AQ410" s="11">
        <f>IF($H410="Cancelled","",IFERROR(IF(OR(AM410="",AK410=""),"",(AK410+Variables!$B$19)-AM410),""))</f>
        <v>2</v>
      </c>
      <c r="AR410" s="12">
        <f>IF($H410="Cancelled","",IFERROR(T410*INDEX(Variables!$B$7:$D$7,IFERROR(MATCH(IF($B410="Robusta","Robusta",(IF($B410="","Arabica",$B410))&amp;" - "&amp;(IF($C410="","Commercial",$C410))),Variables!$B$1:$D$1,0),1))*(AQ410/365),""))</f>
        <v>162.70238128191139</v>
      </c>
      <c r="AS410" s="12">
        <f>IF($H410="Cancelled","",IFERROR((T410*INDEX(Variables!$B$7:$D$7,IFERROR(MATCH(IF($B410="Robusta","Robusta",(IF($B410="","Arabica",$B410))&amp;" - "&amp;(IF($C410="","Commercial",$C410))),Variables!$B$1:$D$1,0),1))*IFERROR(IF(W410="","",(AVERAGE(E410:F410)-W410)-Variables!$B$14),"")/365)+(L410/16.67*INDEX(Variables!$B$8:$D$8,IFERROR(MATCH(IF($B410="Robusta","Robusta",(IF($B410="","Arabica",$B410))&amp;" - "&amp;(IF($C410="","Commercial",$C410))),Variables!$B$1:$D$1,0),1))*IFERROR(IF(W410="","",(AVERAGE(E410:F410)-W410)-Variables!$B$14),""))+(T410*INDEX(Variables!$B$9:$D$9,IFERROR(MATCH(IF($B410="Robusta","Robusta",(IF($B410="","Arabica",$B410))&amp;" - "&amp;(IF($C410="","Commercial",$C410))),Variables!$B$1:$D$1,0),1))*IFERROR(IF(W410="","",(AVERAGE(E410:F410)-W410)-Variables!$B$14),"")/365),""))</f>
        <v>-1080.799751396454</v>
      </c>
      <c r="AT410" s="12">
        <f>IF($H410="Cancelled","",IFERROR((T410*INDEX(Variables!$B$7:$D$7,IFERROR(MATCH(IF($B410="Robusta","Robusta",(IF($B410="","Arabica",$B410))&amp;" - "&amp;(IF($C410="","Commercial",$C410))),Variables!$B$1:$D$1,0),1))*AC410/365)+(L410/16.67*INDEX(Variables!$B$8:$D$8,IFERROR(MATCH(IF($B410="Robusta","Robusta",(IF($B410="","Arabica",$B410))&amp;" - "&amp;(IF($C410="","Commercial",$C410))),Variables!$B$1:$D$1,0),1))*AC410)+(T410*INDEX(Variables!$B$9:$D$9,IFERROR(MATCH(IF($B410="Robusta","Robusta",(IF($B410="","Arabica",$B410))&amp;" - "&amp;(IF($C410="","Commercial",$C410))),Variables!$B$1:$D$1,0),1))*AC410/365),""))</f>
        <v>-3396.7992186745696</v>
      </c>
      <c r="AU410" s="12">
        <f>IF($H410="Cancelled","",IFERROR((T410*INDEX(Variables!$B$7:$D$7,IFERROR(MATCH(IF($B410="Robusta","Robusta",(IF($B410="","Arabica",$B410))&amp;" - "&amp;(IF($C410="","Commercial",$C410))),Variables!$B$1:$D$1,0),1))*AP410/365)+(L410/16.67*INDEX(Variables!$B$8:$D$8,IFERROR(MATCH(IF($B410="Robusta","Robusta",(IF($B410="","Arabica",$B410))&amp;" - "&amp;(IF($C410="","Commercial",$C410))),Variables!$B$1:$D$1,0),1))*AP410)+(T410*INDEX(Variables!$B$9:$D$9,IFERROR(MATCH(IF($B410="Robusta","Robusta",(IF($B410="","Arabica",$B410))&amp;" - "&amp;(IF($C410="","Commercial",$C410))),Variables!$B$1:$D$1,0),1))*AP410/365),""))</f>
        <v>-1698.3996093372848</v>
      </c>
      <c r="AV410" s="11">
        <f t="shared" si="45"/>
        <v>-10</v>
      </c>
      <c r="AW410" s="12">
        <f>IF($H410="Cancelled","",IFERROR(IF(AV410="","",(T410*INDEX(Variables!$B$7:$D$7,IFERROR(MATCH(IF($B410="Robusta","Robusta",(IF($B410="","Arabica",$B410))&amp;" - "&amp;(IF($C410="","Commercial",$C410))),Variables!$B$1:$D$1,0),1))*(AV410/365))+(T410*INDEX(Variables!$B$9:$D$9,IFERROR(MATCH(IF($B410="Robusta","Robusta",(IF($B410="","Arabica",$B410))&amp;" - "&amp;(IF($C410="","Commercial",$C410))),Variables!$B$1:$D$1,0),1))*(AV410/365))+(INDEX(Variables!$B$8:$D$8,IFERROR(MATCH(IF($B410="Robusta","Robusta",(IF($B410="","Arabica",$B410))&amp;" - "&amp;(IF($C410="","Commercial",$C410))),Variables!$B$1:$D$1,0),1))*L410/16.67)),""))</f>
        <v>-751.99964485207693</v>
      </c>
      <c r="AX410" s="9"/>
      <c r="AY410" s="12"/>
      <c r="AZ410" s="10"/>
      <c r="BA410" s="9"/>
      <c r="BB410" s="10"/>
      <c r="BC410" s="9"/>
      <c r="BD410" s="9"/>
      <c r="BE410" s="9"/>
      <c r="BF410" s="9"/>
    </row>
    <row r="411" spans="1:58" x14ac:dyDescent="0.25">
      <c r="A411" s="9" t="s">
        <v>84</v>
      </c>
      <c r="B411" s="9" t="s">
        <v>85</v>
      </c>
      <c r="C411" s="9" t="s">
        <v>86</v>
      </c>
      <c r="D411" s="10">
        <v>45764</v>
      </c>
      <c r="E411" s="10">
        <v>45778</v>
      </c>
      <c r="F411" s="10">
        <v>45808</v>
      </c>
      <c r="G411" s="9">
        <v>3786902</v>
      </c>
      <c r="H411" s="9" t="str">
        <f t="shared" si="43"/>
        <v>Closed</v>
      </c>
      <c r="I411" s="9" t="str">
        <f t="shared" si="44"/>
        <v>All dates received</v>
      </c>
      <c r="J411" s="9" t="s">
        <v>102</v>
      </c>
      <c r="K411" s="9" t="s">
        <v>1051</v>
      </c>
      <c r="L411" s="11">
        <v>300</v>
      </c>
      <c r="M411" s="9" t="s">
        <v>1052</v>
      </c>
      <c r="N411" s="9" t="s">
        <v>334</v>
      </c>
      <c r="O411" s="9"/>
      <c r="P411" s="9"/>
      <c r="Q411" s="11">
        <v>41</v>
      </c>
      <c r="R411" s="9" t="s">
        <v>90</v>
      </c>
      <c r="S411" s="9" t="s">
        <v>1053</v>
      </c>
      <c r="T411" s="12">
        <f>IF($H411="Cancelled","",IFERROR(((Q411+INDEX(Variables!$B$6:$D$6,IFERROR(MATCH(IF($B411="Robusta","Robusta",(IF($B411="","Arabica",$B411))&amp;" - "&amp;(IF($C411="","Commercial",$C411))),Variables!$B$1:$D$1,0),1)))*22.0462)*(L411/16.67),""))</f>
        <v>131642.39640071982</v>
      </c>
      <c r="U411" s="10">
        <v>45770</v>
      </c>
      <c r="V411" s="9" t="str">
        <f t="shared" si="47"/>
        <v>Sent</v>
      </c>
      <c r="W411" s="10">
        <v>45777</v>
      </c>
      <c r="X411" s="9" t="str">
        <f t="shared" si="48"/>
        <v>Approved</v>
      </c>
      <c r="Y411" s="10"/>
      <c r="Z411" s="10">
        <f>IF($H411="Cancelled","",IFERROR(IF(F411="","",F411-Variables!$B$13),""))</f>
        <v>45793</v>
      </c>
      <c r="AA411" s="11">
        <f>IF($H411="Cancelled","",IFERROR(IF(W411="","",(AVERAGE(E411:F411)-W411)-Variables!$B$14),""))</f>
        <v>-14</v>
      </c>
      <c r="AB411" s="10">
        <v>45800</v>
      </c>
      <c r="AC411" s="11">
        <f>IF($H411="Cancelled","",IFERROR(IF(AB411="","",IF(AND(W411="",Y411=""),"",IF(Y411&gt;W411,Y411+Variables!$B$15+Variables!$B$16+Variables!$B$17-AB411,W411+Variables!$B$16+Variables!$B$17-AB411))),""))</f>
        <v>-15</v>
      </c>
      <c r="AD411" s="9" t="s">
        <v>107</v>
      </c>
      <c r="AE411" s="9" t="s">
        <v>1054</v>
      </c>
      <c r="AF411" s="10"/>
      <c r="AG411" s="10"/>
      <c r="AH411" s="9"/>
      <c r="AI411" s="9" t="s">
        <v>1055</v>
      </c>
      <c r="AJ411" s="9" t="s">
        <v>8</v>
      </c>
      <c r="AK411" s="10">
        <v>45813</v>
      </c>
      <c r="AL411" s="10">
        <v>45820</v>
      </c>
      <c r="AM411" s="10">
        <v>45820</v>
      </c>
      <c r="AN411" s="9" t="s">
        <v>95</v>
      </c>
      <c r="AO411" s="9"/>
      <c r="AP411" s="11">
        <f>IF($H411="Cancelled","",IFERROR(IF(OR(AK411="",AB411=""),"",(AB411+Variables!$B$18-AK411)),""))</f>
        <v>-6</v>
      </c>
      <c r="AQ411" s="11">
        <f>IF($H411="Cancelled","",IFERROR(IF(OR(AM411="",AK411=""),"",(AK411+Variables!$B$19)-AM411),""))</f>
        <v>-2</v>
      </c>
      <c r="AR411" s="12">
        <f>IF($H411="Cancelled","",IFERROR(T411*INDEX(Variables!$B$7:$D$7,IFERROR(MATCH(IF($B411="Robusta","Robusta",(IF($B411="","Arabica",$B411))&amp;" - "&amp;(IF($C411="","Commercial",$C411))),Variables!$B$1:$D$1,0),1))*(AQ411/365),""))</f>
        <v>-46.512829222961621</v>
      </c>
      <c r="AS411" s="12">
        <f>IF($H411="Cancelled","",IFERROR((T411*INDEX(Variables!$B$7:$D$7,IFERROR(MATCH(IF($B411="Robusta","Robusta",(IF($B411="","Arabica",$B411))&amp;" - "&amp;(IF($C411="","Commercial",$C411))),Variables!$B$1:$D$1,0),1))*IFERROR(IF(W411="","",(AVERAGE(E411:F411)-W411)-Variables!$B$14),"")/365)+(L411/16.67*INDEX(Variables!$B$8:$D$8,IFERROR(MATCH(IF($B411="Robusta","Robusta",(IF($B411="","Arabica",$B411))&amp;" - "&amp;(IF($C411="","Commercial",$C411))),Variables!$B$1:$D$1,0),1))*IFERROR(IF(W411="","",(AVERAGE(E411:F411)-W411)-Variables!$B$14),""))+(T411*INDEX(Variables!$B$9:$D$9,IFERROR(MATCH(IF($B411="Robusta","Robusta",(IF($B411="","Arabica",$B411))&amp;" - "&amp;(IF($C411="","Commercial",$C411))),Variables!$B$1:$D$1,0),1))*IFERROR(IF(W411="","",(AVERAGE(E411:F411)-W411)-Variables!$B$14),"")/365),""))</f>
        <v>-539.78728548618585</v>
      </c>
      <c r="AT411" s="12">
        <f>IF($H411="Cancelled","",IFERROR((T411*INDEX(Variables!$B$7:$D$7,IFERROR(MATCH(IF($B411="Robusta","Robusta",(IF($B411="","Arabica",$B411))&amp;" - "&amp;(IF($C411="","Commercial",$C411))),Variables!$B$1:$D$1,0),1))*AC411/365)+(L411/16.67*INDEX(Variables!$B$8:$D$8,IFERROR(MATCH(IF($B411="Robusta","Robusta",(IF($B411="","Arabica",$B411))&amp;" - "&amp;(IF($C411="","Commercial",$C411))),Variables!$B$1:$D$1,0),1))*AC411)+(T411*INDEX(Variables!$B$9:$D$9,IFERROR(MATCH(IF($B411="Robusta","Robusta",(IF($B411="","Arabica",$B411))&amp;" - "&amp;(IF($C411="","Commercial",$C411))),Variables!$B$1:$D$1,0),1))*AC411/365),""))</f>
        <v>-578.34352016377045</v>
      </c>
      <c r="AU411" s="12">
        <f>IF($H411="Cancelled","",IFERROR((T411*INDEX(Variables!$B$7:$D$7,IFERROR(MATCH(IF($B411="Robusta","Robusta",(IF($B411="","Arabica",$B411))&amp;" - "&amp;(IF($C411="","Commercial",$C411))),Variables!$B$1:$D$1,0),1))*AP411/365)+(L411/16.67*INDEX(Variables!$B$8:$D$8,IFERROR(MATCH(IF($B411="Robusta","Robusta",(IF($B411="","Arabica",$B411))&amp;" - "&amp;(IF($C411="","Commercial",$C411))),Variables!$B$1:$D$1,0),1))*AP411)+(T411*INDEX(Variables!$B$9:$D$9,IFERROR(MATCH(IF($B411="Robusta","Robusta",(IF($B411="","Arabica",$B411))&amp;" - "&amp;(IF($C411="","Commercial",$C411))),Variables!$B$1:$D$1,0),1))*AP411/365),""))</f>
        <v>-231.33740806550819</v>
      </c>
      <c r="AV411" s="11">
        <f t="shared" si="45"/>
        <v>-5</v>
      </c>
      <c r="AW411" s="12">
        <f>IF($H411="Cancelled","",IFERROR(IF(AV411="","",(T411*INDEX(Variables!$B$7:$D$7,IFERROR(MATCH(IF($B411="Robusta","Robusta",(IF($B411="","Arabica",$B411))&amp;" - "&amp;(IF($C411="","Commercial",$C411))),Variables!$B$1:$D$1,0),1))*(AV411/365))+(T411*INDEX(Variables!$B$9:$D$9,IFERROR(MATCH(IF($B411="Robusta","Robusta",(IF($B411="","Arabica",$B411))&amp;" - "&amp;(IF($C411="","Commercial",$C411))),Variables!$B$1:$D$1,0),1))*(AV411/365))+(INDEX(Variables!$B$8:$D$8,IFERROR(MATCH(IF($B411="Robusta","Robusta",(IF($B411="","Arabica",$B411))&amp;" - "&amp;(IF($C411="","Commercial",$C411))),Variables!$B$1:$D$1,0),1))*L411/16.67)),""))</f>
        <v>-102.78117338792347</v>
      </c>
      <c r="AX411" s="9"/>
      <c r="AY411" s="12"/>
      <c r="AZ411" s="10"/>
      <c r="BA411" s="9"/>
      <c r="BB411" s="10"/>
      <c r="BC411" s="9"/>
      <c r="BD411" s="9"/>
      <c r="BE411" s="9"/>
      <c r="BF411" s="9"/>
    </row>
    <row r="412" spans="1:58" x14ac:dyDescent="0.25">
      <c r="A412" s="9" t="s">
        <v>84</v>
      </c>
      <c r="B412" s="9" t="s">
        <v>85</v>
      </c>
      <c r="C412" s="9" t="s">
        <v>86</v>
      </c>
      <c r="D412" s="10">
        <v>45771</v>
      </c>
      <c r="E412" s="10">
        <v>45778</v>
      </c>
      <c r="F412" s="10">
        <v>45808</v>
      </c>
      <c r="G412" s="9">
        <v>3786909</v>
      </c>
      <c r="H412" s="9" t="str">
        <f t="shared" si="43"/>
        <v>Closed</v>
      </c>
      <c r="I412" s="9" t="str">
        <f t="shared" si="44"/>
        <v>All dates received</v>
      </c>
      <c r="J412" s="9" t="s">
        <v>193</v>
      </c>
      <c r="K412" s="9" t="s">
        <v>1056</v>
      </c>
      <c r="L412" s="11">
        <v>320</v>
      </c>
      <c r="M412" s="9" t="s">
        <v>1057</v>
      </c>
      <c r="N412" s="9" t="s">
        <v>1058</v>
      </c>
      <c r="O412" s="9"/>
      <c r="P412" s="9"/>
      <c r="Q412" s="11">
        <v>-186</v>
      </c>
      <c r="R412" s="9" t="s">
        <v>195</v>
      </c>
      <c r="S412" s="9" t="s">
        <v>150</v>
      </c>
      <c r="T412" s="12">
        <f>IF($H412="Cancelled","",IFERROR(((Q412+INDEX(Variables!$B$6:$D$6,IFERROR(MATCH(IF($B412="Robusta","Robusta",(IF($B412="","Arabica",$B412))&amp;" - "&amp;(IF($C412="","Commercial",$C412))),Variables!$B$1:$D$1,0),1)))*22.0462)*(L412/16.67),""))</f>
        <v>44351.611469706055</v>
      </c>
      <c r="U412" s="10"/>
      <c r="V412" s="9" t="s">
        <v>195</v>
      </c>
      <c r="W412" s="10">
        <v>45763</v>
      </c>
      <c r="X412" s="9" t="str">
        <f t="shared" si="48"/>
        <v>Approved</v>
      </c>
      <c r="Y412" s="10">
        <v>45767</v>
      </c>
      <c r="Z412" s="10">
        <f>IF($H412="Cancelled","",IFERROR(IF(F412="","",F412-Variables!$B$13),""))</f>
        <v>45793</v>
      </c>
      <c r="AA412" s="11">
        <f>IF($H412="Cancelled","",IFERROR(IF(W412="","",(AVERAGE(E412:F412)-W412)-Variables!$B$14),""))</f>
        <v>0</v>
      </c>
      <c r="AB412" s="10">
        <v>45785</v>
      </c>
      <c r="AC412" s="11">
        <f>IF($H412="Cancelled","",IFERROR(IF(AB412="","",IF(AND(W412="",Y412=""),"",IF(Y412&gt;W412,Y412+Variables!$B$15+Variables!$B$16+Variables!$B$17-AB412,W412+Variables!$B$16+Variables!$B$17-AB412))),""))</f>
        <v>-3</v>
      </c>
      <c r="AD412" s="9" t="s">
        <v>107</v>
      </c>
      <c r="AE412" s="9" t="s">
        <v>965</v>
      </c>
      <c r="AF412" s="10"/>
      <c r="AG412" s="10"/>
      <c r="AH412" s="9"/>
      <c r="AI412" s="9" t="s">
        <v>1059</v>
      </c>
      <c r="AJ412" s="9" t="s">
        <v>1060</v>
      </c>
      <c r="AK412" s="10">
        <v>45799</v>
      </c>
      <c r="AL412" s="10">
        <v>45807</v>
      </c>
      <c r="AM412" s="10">
        <v>45807</v>
      </c>
      <c r="AN412" s="9" t="s">
        <v>95</v>
      </c>
      <c r="AO412" s="9"/>
      <c r="AP412" s="11">
        <f>IF($H412="Cancelled","",IFERROR(IF(OR(AK412="",AB412=""),"",(AB412+Variables!$B$18-AK412)),""))</f>
        <v>-7</v>
      </c>
      <c r="AQ412" s="11">
        <f>IF($H412="Cancelled","",IFERROR(IF(OR(AM412="",AK412=""),"",(AK412+Variables!$B$19)-AM412),""))</f>
        <v>-3</v>
      </c>
      <c r="AR412" s="12">
        <f>IF($H412="Cancelled","",IFERROR(T412*INDEX(Variables!$B$7:$D$7,IFERROR(MATCH(IF($B412="Robusta","Robusta",(IF($B412="","Arabica",$B412))&amp;" - "&amp;(IF($C412="","Commercial",$C412))),Variables!$B$1:$D$1,0),1))*(AQ412/365),""))</f>
        <v>-23.505940940645587</v>
      </c>
      <c r="AS412" s="12">
        <f>IF($H412="Cancelled","",IFERROR((T412*INDEX(Variables!$B$7:$D$7,IFERROR(MATCH(IF($B412="Robusta","Robusta",(IF($B412="","Arabica",$B412))&amp;" - "&amp;(IF($C412="","Commercial",$C412))),Variables!$B$1:$D$1,0),1))*IFERROR(IF(W412="","",(AVERAGE(E412:F412)-W412)-Variables!$B$14),"")/365)+(L412/16.67*INDEX(Variables!$B$8:$D$8,IFERROR(MATCH(IF($B412="Robusta","Robusta",(IF($B412="","Arabica",$B412))&amp;" - "&amp;(IF($C412="","Commercial",$C412))),Variables!$B$1:$D$1,0),1))*IFERROR(IF(W412="","",(AVERAGE(E412:F412)-W412)-Variables!$B$14),""))+(T412*INDEX(Variables!$B$9:$D$9,IFERROR(MATCH(IF($B412="Robusta","Robusta",(IF($B412="","Arabica",$B412))&amp;" - "&amp;(IF($C412="","Commercial",$C412))),Variables!$B$1:$D$1,0),1))*IFERROR(IF(W412="","",(AVERAGE(E412:F412)-W412)-Variables!$B$14),"")/365),""))</f>
        <v>0</v>
      </c>
      <c r="AT412" s="12">
        <f>IF($H412="Cancelled","",IFERROR((T412*INDEX(Variables!$B$7:$D$7,IFERROR(MATCH(IF($B412="Robusta","Robusta",(IF($B412="","Arabica",$B412))&amp;" - "&amp;(IF($C412="","Commercial",$C412))),Variables!$B$1:$D$1,0),1))*AC412/365)+(L412/16.67*INDEX(Variables!$B$8:$D$8,IFERROR(MATCH(IF($B412="Robusta","Robusta",(IF($B412="","Arabica",$B412))&amp;" - "&amp;(IF($C412="","Commercial",$C412))),Variables!$B$1:$D$1,0),1))*AC412)+(T412*INDEX(Variables!$B$9:$D$9,IFERROR(MATCH(IF($B412="Robusta","Robusta",(IF($B412="","Arabica",$B412))&amp;" - "&amp;(IF($C412="","Commercial",$C412))),Variables!$B$1:$D$1,0),1))*AC412/365),""))</f>
        <v>-71.808977882684772</v>
      </c>
      <c r="AU412" s="12">
        <f>IF($H412="Cancelled","",IFERROR((T412*INDEX(Variables!$B$7:$D$7,IFERROR(MATCH(IF($B412="Robusta","Robusta",(IF($B412="","Arabica",$B412))&amp;" - "&amp;(IF($C412="","Commercial",$C412))),Variables!$B$1:$D$1,0),1))*AP412/365)+(L412/16.67*INDEX(Variables!$B$8:$D$8,IFERROR(MATCH(IF($B412="Robusta","Robusta",(IF($B412="","Arabica",$B412))&amp;" - "&amp;(IF($C412="","Commercial",$C412))),Variables!$B$1:$D$1,0),1))*AP412)+(T412*INDEX(Variables!$B$9:$D$9,IFERROR(MATCH(IF($B412="Robusta","Robusta",(IF($B412="","Arabica",$B412))&amp;" - "&amp;(IF($C412="","Commercial",$C412))),Variables!$B$1:$D$1,0),1))*AP412/365),""))</f>
        <v>-167.55428172626446</v>
      </c>
      <c r="AV412" s="11">
        <f t="shared" si="45"/>
        <v>9</v>
      </c>
      <c r="AW412" s="12">
        <f>IF($H412="Cancelled","",IFERROR(IF(AV412="","",(T412*INDEX(Variables!$B$7:$D$7,IFERROR(MATCH(IF($B412="Robusta","Robusta",(IF($B412="","Arabica",$B412))&amp;" - "&amp;(IF($C412="","Commercial",$C412))),Variables!$B$1:$D$1,0),1))*(AV412/365))+(T412*INDEX(Variables!$B$9:$D$9,IFERROR(MATCH(IF($B412="Robusta","Robusta",(IF($B412="","Arabica",$B412))&amp;" - "&amp;(IF($C412="","Commercial",$C412))),Variables!$B$1:$D$1,0),1))*(AV412/365))+(INDEX(Variables!$B$8:$D$8,IFERROR(MATCH(IF($B412="Robusta","Robusta",(IF($B412="","Arabica",$B412))&amp;" - "&amp;(IF($C412="","Commercial",$C412))),Variables!$B$1:$D$1,0),1))*L412/16.67)),""))</f>
        <v>87.426933648054302</v>
      </c>
      <c r="AX412" s="9"/>
      <c r="AY412" s="12"/>
      <c r="AZ412" s="10"/>
      <c r="BA412" s="9"/>
      <c r="BB412" s="10"/>
      <c r="BC412" s="9"/>
      <c r="BD412" s="9"/>
      <c r="BE412" s="9"/>
      <c r="BF412" s="9"/>
    </row>
    <row r="413" spans="1:58" x14ac:dyDescent="0.25">
      <c r="A413" s="9" t="s">
        <v>84</v>
      </c>
      <c r="B413" s="9" t="s">
        <v>85</v>
      </c>
      <c r="C413" s="9" t="s">
        <v>86</v>
      </c>
      <c r="D413" s="10">
        <v>45771</v>
      </c>
      <c r="E413" s="10">
        <v>45778</v>
      </c>
      <c r="F413" s="10">
        <v>45808</v>
      </c>
      <c r="G413" s="9">
        <v>3786909</v>
      </c>
      <c r="H413" s="9" t="str">
        <f t="shared" si="43"/>
        <v>Closed</v>
      </c>
      <c r="I413" s="9" t="str">
        <f t="shared" si="44"/>
        <v>All dates received</v>
      </c>
      <c r="J413" s="9" t="s">
        <v>193</v>
      </c>
      <c r="K413" s="9" t="s">
        <v>1061</v>
      </c>
      <c r="L413" s="11">
        <v>320</v>
      </c>
      <c r="M413" s="9" t="s">
        <v>1057</v>
      </c>
      <c r="N413" s="9" t="s">
        <v>1058</v>
      </c>
      <c r="O413" s="9"/>
      <c r="P413" s="9"/>
      <c r="Q413" s="11">
        <v>-186</v>
      </c>
      <c r="R413" s="9" t="s">
        <v>195</v>
      </c>
      <c r="S413" s="9" t="s">
        <v>586</v>
      </c>
      <c r="T413" s="12">
        <f>IF($H413="Cancelled","",IFERROR(((Q413+INDEX(Variables!$B$6:$D$6,IFERROR(MATCH(IF($B413="Robusta","Robusta",(IF($B413="","Arabica",$B413))&amp;" - "&amp;(IF($C413="","Commercial",$C413))),Variables!$B$1:$D$1,0),1)))*22.0462)*(L413/16.67),""))</f>
        <v>44351.611469706055</v>
      </c>
      <c r="U413" s="10"/>
      <c r="V413" s="9" t="s">
        <v>195</v>
      </c>
      <c r="W413" s="10">
        <v>45763</v>
      </c>
      <c r="X413" s="9" t="str">
        <f t="shared" si="48"/>
        <v>Approved</v>
      </c>
      <c r="Y413" s="10">
        <v>45767</v>
      </c>
      <c r="Z413" s="10">
        <f>IF($H413="Cancelled","",IFERROR(IF(F413="","",F413-Variables!$B$13),""))</f>
        <v>45793</v>
      </c>
      <c r="AA413" s="11">
        <f>IF($H413="Cancelled","",IFERROR(IF(W413="","",(AVERAGE(E413:F413)-W413)-Variables!$B$14),""))</f>
        <v>0</v>
      </c>
      <c r="AB413" s="10">
        <v>45785</v>
      </c>
      <c r="AC413" s="11">
        <f>IF($H413="Cancelled","",IFERROR(IF(AB413="","",IF(AND(W413="",Y413=""),"",IF(Y413&gt;W413,Y413+Variables!$B$15+Variables!$B$16+Variables!$B$17-AB413,W413+Variables!$B$16+Variables!$B$17-AB413))),""))</f>
        <v>-3</v>
      </c>
      <c r="AD413" s="9" t="s">
        <v>107</v>
      </c>
      <c r="AE413" s="9" t="s">
        <v>965</v>
      </c>
      <c r="AF413" s="10"/>
      <c r="AG413" s="10"/>
      <c r="AH413" s="9"/>
      <c r="AI413" s="9" t="s">
        <v>1062</v>
      </c>
      <c r="AJ413" s="9" t="s">
        <v>1060</v>
      </c>
      <c r="AK413" s="10">
        <v>45799</v>
      </c>
      <c r="AL413" s="10">
        <v>45807</v>
      </c>
      <c r="AM413" s="10">
        <v>45807</v>
      </c>
      <c r="AN413" s="9" t="s">
        <v>95</v>
      </c>
      <c r="AO413" s="9"/>
      <c r="AP413" s="11">
        <f>IF($H413="Cancelled","",IFERROR(IF(OR(AK413="",AB413=""),"",(AB413+Variables!$B$18-AK413)),""))</f>
        <v>-7</v>
      </c>
      <c r="AQ413" s="11">
        <f>IF($H413="Cancelled","",IFERROR(IF(OR(AM413="",AK413=""),"",(AK413+Variables!$B$19)-AM413),""))</f>
        <v>-3</v>
      </c>
      <c r="AR413" s="12">
        <f>IF($H413="Cancelled","",IFERROR(T413*INDEX(Variables!$B$7:$D$7,IFERROR(MATCH(IF($B413="Robusta","Robusta",(IF($B413="","Arabica",$B413))&amp;" - "&amp;(IF($C413="","Commercial",$C413))),Variables!$B$1:$D$1,0),1))*(AQ413/365),""))</f>
        <v>-23.505940940645587</v>
      </c>
      <c r="AS413" s="12">
        <f>IF($H413="Cancelled","",IFERROR((T413*INDEX(Variables!$B$7:$D$7,IFERROR(MATCH(IF($B413="Robusta","Robusta",(IF($B413="","Arabica",$B413))&amp;" - "&amp;(IF($C413="","Commercial",$C413))),Variables!$B$1:$D$1,0),1))*IFERROR(IF(W413="","",(AVERAGE(E413:F413)-W413)-Variables!$B$14),"")/365)+(L413/16.67*INDEX(Variables!$B$8:$D$8,IFERROR(MATCH(IF($B413="Robusta","Robusta",(IF($B413="","Arabica",$B413))&amp;" - "&amp;(IF($C413="","Commercial",$C413))),Variables!$B$1:$D$1,0),1))*IFERROR(IF(W413="","",(AVERAGE(E413:F413)-W413)-Variables!$B$14),""))+(T413*INDEX(Variables!$B$9:$D$9,IFERROR(MATCH(IF($B413="Robusta","Robusta",(IF($B413="","Arabica",$B413))&amp;" - "&amp;(IF($C413="","Commercial",$C413))),Variables!$B$1:$D$1,0),1))*IFERROR(IF(W413="","",(AVERAGE(E413:F413)-W413)-Variables!$B$14),"")/365),""))</f>
        <v>0</v>
      </c>
      <c r="AT413" s="12">
        <f>IF($H413="Cancelled","",IFERROR((T413*INDEX(Variables!$B$7:$D$7,IFERROR(MATCH(IF($B413="Robusta","Robusta",(IF($B413="","Arabica",$B413))&amp;" - "&amp;(IF($C413="","Commercial",$C413))),Variables!$B$1:$D$1,0),1))*AC413/365)+(L413/16.67*INDEX(Variables!$B$8:$D$8,IFERROR(MATCH(IF($B413="Robusta","Robusta",(IF($B413="","Arabica",$B413))&amp;" - "&amp;(IF($C413="","Commercial",$C413))),Variables!$B$1:$D$1,0),1))*AC413)+(T413*INDEX(Variables!$B$9:$D$9,IFERROR(MATCH(IF($B413="Robusta","Robusta",(IF($B413="","Arabica",$B413))&amp;" - "&amp;(IF($C413="","Commercial",$C413))),Variables!$B$1:$D$1,0),1))*AC413/365),""))</f>
        <v>-71.808977882684772</v>
      </c>
      <c r="AU413" s="12">
        <f>IF($H413="Cancelled","",IFERROR((T413*INDEX(Variables!$B$7:$D$7,IFERROR(MATCH(IF($B413="Robusta","Robusta",(IF($B413="","Arabica",$B413))&amp;" - "&amp;(IF($C413="","Commercial",$C413))),Variables!$B$1:$D$1,0),1))*AP413/365)+(L413/16.67*INDEX(Variables!$B$8:$D$8,IFERROR(MATCH(IF($B413="Robusta","Robusta",(IF($B413="","Arabica",$B413))&amp;" - "&amp;(IF($C413="","Commercial",$C413))),Variables!$B$1:$D$1,0),1))*AP413)+(T413*INDEX(Variables!$B$9:$D$9,IFERROR(MATCH(IF($B413="Robusta","Robusta",(IF($B413="","Arabica",$B413))&amp;" - "&amp;(IF($C413="","Commercial",$C413))),Variables!$B$1:$D$1,0),1))*AP413/365),""))</f>
        <v>-167.55428172626446</v>
      </c>
      <c r="AV413" s="11">
        <f t="shared" si="45"/>
        <v>9</v>
      </c>
      <c r="AW413" s="12">
        <f>IF($H413="Cancelled","",IFERROR(IF(AV413="","",(T413*INDEX(Variables!$B$7:$D$7,IFERROR(MATCH(IF($B413="Robusta","Robusta",(IF($B413="","Arabica",$B413))&amp;" - "&amp;(IF($C413="","Commercial",$C413))),Variables!$B$1:$D$1,0),1))*(AV413/365))+(T413*INDEX(Variables!$B$9:$D$9,IFERROR(MATCH(IF($B413="Robusta","Robusta",(IF($B413="","Arabica",$B413))&amp;" - "&amp;(IF($C413="","Commercial",$C413))),Variables!$B$1:$D$1,0),1))*(AV413/365))+(INDEX(Variables!$B$8:$D$8,IFERROR(MATCH(IF($B413="Robusta","Robusta",(IF($B413="","Arabica",$B413))&amp;" - "&amp;(IF($C413="","Commercial",$C413))),Variables!$B$1:$D$1,0),1))*L413/16.67)),""))</f>
        <v>87.426933648054302</v>
      </c>
      <c r="AX413" s="9"/>
      <c r="AY413" s="12"/>
      <c r="AZ413" s="10"/>
      <c r="BA413" s="9"/>
      <c r="BB413" s="10"/>
      <c r="BC413" s="9"/>
      <c r="BD413" s="9"/>
      <c r="BE413" s="9"/>
      <c r="BF413" s="9"/>
    </row>
    <row r="414" spans="1:58" x14ac:dyDescent="0.25">
      <c r="A414" s="9" t="s">
        <v>84</v>
      </c>
      <c r="B414" s="9" t="s">
        <v>85</v>
      </c>
      <c r="C414" s="9" t="s">
        <v>86</v>
      </c>
      <c r="D414" s="10">
        <v>45776</v>
      </c>
      <c r="E414" s="10">
        <v>45839</v>
      </c>
      <c r="F414" s="10">
        <v>45869</v>
      </c>
      <c r="G414" s="9">
        <v>3786913</v>
      </c>
      <c r="H414" s="9" t="str">
        <f t="shared" si="43"/>
        <v>Closed</v>
      </c>
      <c r="I414" s="9" t="str">
        <f t="shared" si="44"/>
        <v>All dates received</v>
      </c>
      <c r="J414" s="9" t="s">
        <v>240</v>
      </c>
      <c r="K414" s="9">
        <v>5300</v>
      </c>
      <c r="L414" s="11">
        <v>320</v>
      </c>
      <c r="M414" s="9" t="s">
        <v>1044</v>
      </c>
      <c r="N414" s="9" t="s">
        <v>387</v>
      </c>
      <c r="O414" s="9"/>
      <c r="P414" s="9"/>
      <c r="Q414" s="11">
        <v>-69</v>
      </c>
      <c r="R414" s="9" t="s">
        <v>90</v>
      </c>
      <c r="S414" s="9" t="s">
        <v>964</v>
      </c>
      <c r="T414" s="12">
        <f>IF($H414="Cancelled","",IFERROR(((Q414+INDEX(Variables!$B$6:$D$6,IFERROR(MATCH(IF($B414="Robusta","Robusta",(IF($B414="","Arabica",$B414))&amp;" - "&amp;(IF($C414="","Commercial",$C414))),Variables!$B$1:$D$1,0),1)))*22.0462)*(L414/16.67),""))</f>
        <v>93866.292213557288</v>
      </c>
      <c r="U414" s="10">
        <v>45806</v>
      </c>
      <c r="V414" s="9" t="str">
        <f>IF(ISNUMBER(U414),"Sent","")</f>
        <v>Sent</v>
      </c>
      <c r="W414" s="10">
        <v>45826</v>
      </c>
      <c r="X414" s="9" t="str">
        <f t="shared" si="48"/>
        <v>Approved</v>
      </c>
      <c r="Y414" s="10"/>
      <c r="Z414" s="10">
        <f>IF($H414="Cancelled","",IFERROR(IF(F414="","",F414-Variables!$B$13),""))</f>
        <v>45854</v>
      </c>
      <c r="AA414" s="11">
        <f>IF($H414="Cancelled","",IFERROR(IF(W414="","",(AVERAGE(E414:F414)-W414)-Variables!$B$14),""))</f>
        <v>-2</v>
      </c>
      <c r="AB414" s="10">
        <v>45838</v>
      </c>
      <c r="AC414" s="11">
        <f>IF($H414="Cancelled","",IFERROR(IF(AB414="","",IF(AND(W414="",Y414=""),"",IF(Y414&gt;W414,Y414+Variables!$B$15+Variables!$B$16+Variables!$B$17-AB414,W414+Variables!$B$16+Variables!$B$17-AB414))),""))</f>
        <v>-4</v>
      </c>
      <c r="AD414" s="9" t="s">
        <v>1026</v>
      </c>
      <c r="AE414" s="9" t="s">
        <v>203</v>
      </c>
      <c r="AF414" s="10"/>
      <c r="AG414" s="10"/>
      <c r="AH414" s="9"/>
      <c r="AI414" s="9">
        <v>255691441</v>
      </c>
      <c r="AJ414" s="9" t="s">
        <v>8</v>
      </c>
      <c r="AK414" s="10">
        <v>45845</v>
      </c>
      <c r="AL414" s="10">
        <v>45847</v>
      </c>
      <c r="AM414" s="10">
        <v>45852</v>
      </c>
      <c r="AN414" s="9" t="s">
        <v>95</v>
      </c>
      <c r="AO414" s="9"/>
      <c r="AP414" s="11">
        <f>IF($H414="Cancelled","",IFERROR(IF(OR(AK414="",AB414=""),"",(AB414+Variables!$B$18-AK414)),""))</f>
        <v>0</v>
      </c>
      <c r="AQ414" s="11">
        <f>IF($H414="Cancelled","",IFERROR(IF(OR(AM414="",AK414=""),"",(AK414+Variables!$B$19)-AM414),""))</f>
        <v>-2</v>
      </c>
      <c r="AR414" s="12">
        <f>IF($H414="Cancelled","",IFERROR(T414*INDEX(Variables!$B$7:$D$7,IFERROR(MATCH(IF($B414="Robusta","Robusta",(IF($B414="","Arabica",$B414))&amp;" - "&amp;(IF($C414="","Commercial",$C414))),Variables!$B$1:$D$1,0),1))*(AQ414/365),""))</f>
        <v>-33.165507001496131</v>
      </c>
      <c r="AS414" s="12">
        <f>IF($H414="Cancelled","",IFERROR((T414*INDEX(Variables!$B$7:$D$7,IFERROR(MATCH(IF($B414="Robusta","Robusta",(IF($B414="","Arabica",$B414))&amp;" - "&amp;(IF($C414="","Commercial",$C414))),Variables!$B$1:$D$1,0),1))*IFERROR(IF(W414="","",(AVERAGE(E414:F414)-W414)-Variables!$B$14),"")/365)+(L414/16.67*INDEX(Variables!$B$8:$D$8,IFERROR(MATCH(IF($B414="Robusta","Robusta",(IF($B414="","Arabica",$B414))&amp;" - "&amp;(IF($C414="","Commercial",$C414))),Variables!$B$1:$D$1,0),1))*IFERROR(IF(W414="","",(AVERAGE(E414:F414)-W414)-Variables!$B$14),""))+(T414*INDEX(Variables!$B$9:$D$9,IFERROR(MATCH(IF($B414="Robusta","Robusta",(IF($B414="","Arabica",$B414))&amp;" - "&amp;(IF($C414="","Commercial",$C414))),Variables!$B$1:$D$1,0),1))*IFERROR(IF(W414="","",(AVERAGE(E414:F414)-W414)-Variables!$B$14),"")/365),""))</f>
        <v>-65.593074391726987</v>
      </c>
      <c r="AT414" s="12">
        <f>IF($H414="Cancelled","",IFERROR((T414*INDEX(Variables!$B$7:$D$7,IFERROR(MATCH(IF($B414="Robusta","Robusta",(IF($B414="","Arabica",$B414))&amp;" - "&amp;(IF($C414="","Commercial",$C414))),Variables!$B$1:$D$1,0),1))*AC414/365)+(L414/16.67*INDEX(Variables!$B$8:$D$8,IFERROR(MATCH(IF($B414="Robusta","Robusta",(IF($B414="","Arabica",$B414))&amp;" - "&amp;(IF($C414="","Commercial",$C414))),Variables!$B$1:$D$1,0),1))*AC414)+(T414*INDEX(Variables!$B$9:$D$9,IFERROR(MATCH(IF($B414="Robusta","Robusta",(IF($B414="","Arabica",$B414))&amp;" - "&amp;(IF($C414="","Commercial",$C414))),Variables!$B$1:$D$1,0),1))*AC414/365),""))</f>
        <v>-131.18614878345397</v>
      </c>
      <c r="AU414" s="12">
        <f>IF($H414="Cancelled","",IFERROR((T414*INDEX(Variables!$B$7:$D$7,IFERROR(MATCH(IF($B414="Robusta","Robusta",(IF($B414="","Arabica",$B414))&amp;" - "&amp;(IF($C414="","Commercial",$C414))),Variables!$B$1:$D$1,0),1))*AP414/365)+(L414/16.67*INDEX(Variables!$B$8:$D$8,IFERROR(MATCH(IF($B414="Robusta","Robusta",(IF($B414="","Arabica",$B414))&amp;" - "&amp;(IF($C414="","Commercial",$C414))),Variables!$B$1:$D$1,0),1))*AP414)+(T414*INDEX(Variables!$B$9:$D$9,IFERROR(MATCH(IF($B414="Robusta","Robusta",(IF($B414="","Arabica",$B414))&amp;" - "&amp;(IF($C414="","Commercial",$C414))),Variables!$B$1:$D$1,0),1))*AP414/365),""))</f>
        <v>0</v>
      </c>
      <c r="AV414" s="11">
        <f t="shared" si="45"/>
        <v>24</v>
      </c>
      <c r="AW414" s="12">
        <f>IF($H414="Cancelled","",IFERROR(IF(AV414="","",(T414*INDEX(Variables!$B$7:$D$7,IFERROR(MATCH(IF($B414="Robusta","Robusta",(IF($B414="","Arabica",$B414))&amp;" - "&amp;(IF($C414="","Commercial",$C414))),Variables!$B$1:$D$1,0),1))*(AV414/365))+(T414*INDEX(Variables!$B$9:$D$9,IFERROR(MATCH(IF($B414="Robusta","Robusta",(IF($B414="","Arabica",$B414))&amp;" - "&amp;(IF($C414="","Commercial",$C414))),Variables!$B$1:$D$1,0),1))*(AV414/365))+(INDEX(Variables!$B$8:$D$8,IFERROR(MATCH(IF($B414="Robusta","Robusta",(IF($B414="","Arabica",$B414))&amp;" - "&amp;(IF($C414="","Commercial",$C414))),Variables!$B$1:$D$1,0),1))*L414/16.67)),""))</f>
        <v>419.11689270072372</v>
      </c>
      <c r="AX414" s="9"/>
      <c r="AY414" s="12"/>
      <c r="AZ414" s="10"/>
      <c r="BA414" s="9"/>
      <c r="BB414" s="10"/>
      <c r="BC414" s="9"/>
      <c r="BD414" s="9"/>
      <c r="BE414" s="9"/>
      <c r="BF414" s="9"/>
    </row>
    <row r="415" spans="1:58" x14ac:dyDescent="0.25">
      <c r="A415" s="9" t="s">
        <v>84</v>
      </c>
      <c r="B415" s="9" t="s">
        <v>85</v>
      </c>
      <c r="C415" s="9" t="s">
        <v>86</v>
      </c>
      <c r="D415" s="10">
        <v>45777</v>
      </c>
      <c r="E415" s="10">
        <v>45778</v>
      </c>
      <c r="F415" s="10">
        <v>45808</v>
      </c>
      <c r="G415" s="9">
        <v>3786914</v>
      </c>
      <c r="H415" s="9" t="str">
        <f t="shared" si="43"/>
        <v>Closed</v>
      </c>
      <c r="I415" s="9" t="str">
        <f t="shared" si="44"/>
        <v>All dates received</v>
      </c>
      <c r="J415" s="9" t="s">
        <v>102</v>
      </c>
      <c r="K415" s="9">
        <v>5280</v>
      </c>
      <c r="L415" s="11">
        <v>2160</v>
      </c>
      <c r="M415" s="9" t="s">
        <v>1049</v>
      </c>
      <c r="N415" s="9" t="s">
        <v>387</v>
      </c>
      <c r="O415" s="9"/>
      <c r="P415" s="9"/>
      <c r="Q415" s="11">
        <v>-52</v>
      </c>
      <c r="R415" s="9" t="s">
        <v>90</v>
      </c>
      <c r="S415" s="9" t="s">
        <v>106</v>
      </c>
      <c r="T415" s="12">
        <f>IF($H415="Cancelled","",IFERROR(((Q415+INDEX(Variables!$B$6:$D$6,IFERROR(MATCH(IF($B415="Robusta","Robusta",(IF($B415="","Arabica",$B415))&amp;" - "&amp;(IF($C415="","Commercial",$C415))),Variables!$B$1:$D$1,0),1)))*22.0462)*(L415/16.67),""))</f>
        <v>682159.94778644259</v>
      </c>
      <c r="U415" s="10">
        <v>45782</v>
      </c>
      <c r="V415" s="9" t="str">
        <f>IF(ISNUMBER(U415),"Sent","")</f>
        <v>Sent</v>
      </c>
      <c r="W415" s="10">
        <v>45784</v>
      </c>
      <c r="X415" s="9" t="str">
        <f t="shared" si="48"/>
        <v>Approved</v>
      </c>
      <c r="Y415" s="10"/>
      <c r="Z415" s="10">
        <f>IF($H415="Cancelled","",IFERROR(IF(F415="","",F415-Variables!$B$13),""))</f>
        <v>45793</v>
      </c>
      <c r="AA415" s="11">
        <f>IF($H415="Cancelled","",IFERROR(IF(W415="","",(AVERAGE(E415:F415)-W415)-Variables!$B$14),""))</f>
        <v>-21</v>
      </c>
      <c r="AB415" s="10">
        <v>45798</v>
      </c>
      <c r="AC415" s="11">
        <f>IF($H415="Cancelled","",IFERROR(IF(AB415="","",IF(AND(W415="",Y415=""),"",IF(Y415&gt;W415,Y415+Variables!$B$15+Variables!$B$16+Variables!$B$17-AB415,W415+Variables!$B$16+Variables!$B$17-AB415))),""))</f>
        <v>-6</v>
      </c>
      <c r="AD415" s="9" t="s">
        <v>107</v>
      </c>
      <c r="AE415" s="9" t="s">
        <v>942</v>
      </c>
      <c r="AF415" s="10"/>
      <c r="AG415" s="10"/>
      <c r="AH415" s="9"/>
      <c r="AI415" s="9" t="s">
        <v>1063</v>
      </c>
      <c r="AJ415" s="9" t="s">
        <v>8</v>
      </c>
      <c r="AK415" s="10">
        <v>45818</v>
      </c>
      <c r="AL415" s="10">
        <v>45821</v>
      </c>
      <c r="AM415" s="10">
        <v>45821</v>
      </c>
      <c r="AN415" s="9" t="s">
        <v>95</v>
      </c>
      <c r="AO415" s="9"/>
      <c r="AP415" s="11">
        <f>IF($H415="Cancelled","",IFERROR(IF(OR(AK415="",AB415=""),"",(AB415+Variables!$B$18-AK415)),""))</f>
        <v>-13</v>
      </c>
      <c r="AQ415" s="11">
        <f>IF($H415="Cancelled","",IFERROR(IF(OR(AM415="",AK415=""),"",(AK415+Variables!$B$19)-AM415),""))</f>
        <v>2</v>
      </c>
      <c r="AR415" s="12">
        <f>IF($H415="Cancelled","",IFERROR(T415*INDEX(Variables!$B$7:$D$7,IFERROR(MATCH(IF($B415="Robusta","Robusta",(IF($B415="","Arabica",$B415))&amp;" - "&amp;(IF($C415="","Commercial",$C415))),Variables!$B$1:$D$1,0),1))*(AQ415/365),""))</f>
        <v>241.02561197345179</v>
      </c>
      <c r="AS415" s="12">
        <f>IF($H415="Cancelled","",IFERROR((T415*INDEX(Variables!$B$7:$D$7,IFERROR(MATCH(IF($B415="Robusta","Robusta",(IF($B415="","Arabica",$B415))&amp;" - "&amp;(IF($C415="","Commercial",$C415))),Variables!$B$1:$D$1,0),1))*IFERROR(IF(W415="","",(AVERAGE(E415:F415)-W415)-Variables!$B$14),"")/365)+(L415/16.67*INDEX(Variables!$B$8:$D$8,IFERROR(MATCH(IF($B415="Robusta","Robusta",(IF($B415="","Arabica",$B415))&amp;" - "&amp;(IF($C415="","Commercial",$C415))),Variables!$B$1:$D$1,0),1))*IFERROR(IF(W415="","",(AVERAGE(E415:F415)-W415)-Variables!$B$14),""))+(T415*INDEX(Variables!$B$9:$D$9,IFERROR(MATCH(IF($B415="Robusta","Robusta",(IF($B415="","Arabica",$B415))&amp;" - "&amp;(IF($C415="","Commercial",$C415))),Variables!$B$1:$D$1,0),1))*IFERROR(IF(W415="","",(AVERAGE(E415:F415)-W415)-Variables!$B$14),"")/365),""))</f>
        <v>-4831.3954212184835</v>
      </c>
      <c r="AT415" s="12">
        <f>IF($H415="Cancelled","",IFERROR((T415*INDEX(Variables!$B$7:$D$7,IFERROR(MATCH(IF($B415="Robusta","Robusta",(IF($B415="","Arabica",$B415))&amp;" - "&amp;(IF($C415="","Commercial",$C415))),Variables!$B$1:$D$1,0),1))*AC415/365)+(L415/16.67*INDEX(Variables!$B$8:$D$8,IFERROR(MATCH(IF($B415="Robusta","Robusta",(IF($B415="","Arabica",$B415))&amp;" - "&amp;(IF($C415="","Commercial",$C415))),Variables!$B$1:$D$1,0),1))*AC415)+(T415*INDEX(Variables!$B$9:$D$9,IFERROR(MATCH(IF($B415="Robusta","Robusta",(IF($B415="","Arabica",$B415))&amp;" - "&amp;(IF($C415="","Commercial",$C415))),Variables!$B$1:$D$1,0),1))*AC415/365),""))</f>
        <v>-1380.3986917767093</v>
      </c>
      <c r="AU415" s="12">
        <f>IF($H415="Cancelled","",IFERROR((T415*INDEX(Variables!$B$7:$D$7,IFERROR(MATCH(IF($B415="Robusta","Robusta",(IF($B415="","Arabica",$B415))&amp;" - "&amp;(IF($C415="","Commercial",$C415))),Variables!$B$1:$D$1,0),1))*AP415/365)+(L415/16.67*INDEX(Variables!$B$8:$D$8,IFERROR(MATCH(IF($B415="Robusta","Robusta",(IF($B415="","Arabica",$B415))&amp;" - "&amp;(IF($C415="","Commercial",$C415))),Variables!$B$1:$D$1,0),1))*AP415)+(T415*INDEX(Variables!$B$9:$D$9,IFERROR(MATCH(IF($B415="Robusta","Robusta",(IF($B415="","Arabica",$B415))&amp;" - "&amp;(IF($C415="","Commercial",$C415))),Variables!$B$1:$D$1,0),1))*AP415/365),""))</f>
        <v>-2990.8638321828703</v>
      </c>
      <c r="AV415" s="11">
        <f t="shared" si="45"/>
        <v>-10</v>
      </c>
      <c r="AW415" s="12">
        <f>IF($H415="Cancelled","",IFERROR(IF(AV415="","",(T415*INDEX(Variables!$B$7:$D$7,IFERROR(MATCH(IF($B415="Robusta","Robusta",(IF($B415="","Arabica",$B415))&amp;" - "&amp;(IF($C415="","Commercial",$C415))),Variables!$B$1:$D$1,0),1))*(AV415/365))+(T415*INDEX(Variables!$B$9:$D$9,IFERROR(MATCH(IF($B415="Robusta","Robusta",(IF($B415="","Arabica",$B415))&amp;" - "&amp;(IF($C415="","Commercial",$C415))),Variables!$B$1:$D$1,0),1))*(AV415/365))+(INDEX(Variables!$B$8:$D$8,IFERROR(MATCH(IF($B415="Robusta","Robusta",(IF($B415="","Arabica",$B415))&amp;" - "&amp;(IF($C415="","Commercial",$C415))),Variables!$B$1:$D$1,0),1))*L415/16.67)),""))</f>
        <v>-1112.6644862945154</v>
      </c>
      <c r="AX415" s="9"/>
      <c r="AY415" s="12"/>
      <c r="AZ415" s="10"/>
      <c r="BA415" s="9"/>
      <c r="BB415" s="10"/>
      <c r="BC415" s="9"/>
      <c r="BD415" s="9"/>
      <c r="BE415" s="9"/>
      <c r="BF415" s="9"/>
    </row>
    <row r="416" spans="1:58" x14ac:dyDescent="0.25">
      <c r="A416" s="9" t="s">
        <v>84</v>
      </c>
      <c r="B416" s="9" t="s">
        <v>85</v>
      </c>
      <c r="C416" s="9" t="s">
        <v>86</v>
      </c>
      <c r="D416" s="10">
        <v>45784</v>
      </c>
      <c r="E416" s="10">
        <v>45809</v>
      </c>
      <c r="F416" s="10">
        <v>45838</v>
      </c>
      <c r="G416" s="9">
        <v>3786915</v>
      </c>
      <c r="H416" s="9" t="str">
        <f t="shared" si="43"/>
        <v>Closed</v>
      </c>
      <c r="I416" s="9" t="str">
        <f t="shared" si="44"/>
        <v>All dates received</v>
      </c>
      <c r="J416" s="9" t="s">
        <v>112</v>
      </c>
      <c r="K416" s="9">
        <v>24148</v>
      </c>
      <c r="L416" s="11">
        <v>320</v>
      </c>
      <c r="M416" s="9" t="s">
        <v>1064</v>
      </c>
      <c r="N416" s="9" t="s">
        <v>960</v>
      </c>
      <c r="O416" s="9"/>
      <c r="P416" s="9"/>
      <c r="Q416" s="11">
        <v>6</v>
      </c>
      <c r="R416" s="9" t="s">
        <v>90</v>
      </c>
      <c r="S416" s="9" t="s">
        <v>183</v>
      </c>
      <c r="T416" s="12">
        <f>IF($H416="Cancelled","",IFERROR(((Q416+INDEX(Variables!$B$6:$D$6,IFERROR(MATCH(IF($B416="Robusta","Robusta",(IF($B416="","Arabica",$B416))&amp;" - "&amp;(IF($C416="","Commercial",$C416))),Variables!$B$1:$D$1,0),1)))*22.0462)*(L416/16.67),""))</f>
        <v>125606.47217756447</v>
      </c>
      <c r="U416" s="10">
        <v>45786</v>
      </c>
      <c r="V416" s="9" t="str">
        <f>IF(ISNUMBER(U416),"Sent","")</f>
        <v>Sent</v>
      </c>
      <c r="W416" s="10">
        <v>45793</v>
      </c>
      <c r="X416" s="9" t="str">
        <f t="shared" si="48"/>
        <v>Approved</v>
      </c>
      <c r="Y416" s="10"/>
      <c r="Z416" s="10">
        <f>IF($H416="Cancelled","",IFERROR(IF(F416="","",F416-Variables!$B$13),""))</f>
        <v>45823</v>
      </c>
      <c r="AA416" s="11">
        <f>IF($H416="Cancelled","",IFERROR(IF(W416="","",(AVERAGE(E416:F416)-W416)-Variables!$B$14),""))</f>
        <v>0.5</v>
      </c>
      <c r="AB416" s="10"/>
      <c r="AC416" s="11" t="str">
        <f>IF($H416="Cancelled","",IFERROR(IF(AB416="","",IF(AND(W416="",Y416=""),"",IF(Y416&gt;W416,Y416+Variables!$B$15+Variables!$B$16+Variables!$B$17-AB416,W416+Variables!$B$16+Variables!$B$17-AB416))),""))</f>
        <v/>
      </c>
      <c r="AD416" s="9" t="s">
        <v>165</v>
      </c>
      <c r="AE416" s="9" t="s">
        <v>733</v>
      </c>
      <c r="AF416" s="10"/>
      <c r="AG416" s="10"/>
      <c r="AH416" s="9"/>
      <c r="AI416" s="9" t="s">
        <v>1065</v>
      </c>
      <c r="AJ416" s="9" t="s">
        <v>962</v>
      </c>
      <c r="AK416" s="10">
        <v>45834</v>
      </c>
      <c r="AL416" s="10">
        <v>45839</v>
      </c>
      <c r="AM416" s="10">
        <v>45856</v>
      </c>
      <c r="AN416" s="9" t="s">
        <v>963</v>
      </c>
      <c r="AO416" s="9"/>
      <c r="AP416" s="11" t="str">
        <f>IF($H416="Cancelled","",IFERROR(IF(OR(AK416="",AB416=""),"",(AB416+Variables!$B$18-AK416)),""))</f>
        <v/>
      </c>
      <c r="AQ416" s="11">
        <f>IF($H416="Cancelled","",IFERROR(IF(OR(AM416="",AK416=""),"",(AK416+Variables!$B$19)-AM416),""))</f>
        <v>-17</v>
      </c>
      <c r="AR416" s="12">
        <f>IF($H416="Cancelled","",IFERROR(T416*INDEX(Variables!$B$7:$D$7,IFERROR(MATCH(IF($B416="Robusta","Robusta",(IF($B416="","Arabica",$B416))&amp;" - "&amp;(IF($C416="","Commercial",$C416))),Variables!$B$1:$D$1,0),1))*(AQ416/365),""))</f>
        <v>-377.23147458690011</v>
      </c>
      <c r="AS416" s="12">
        <f>IF($H416="Cancelled","",IFERROR((T416*INDEX(Variables!$B$7:$D$7,IFERROR(MATCH(IF($B416="Robusta","Robusta",(IF($B416="","Arabica",$B416))&amp;" - "&amp;(IF($C416="","Commercial",$C416))),Variables!$B$1:$D$1,0),1))*IFERROR(IF(W416="","",(AVERAGE(E416:F416)-W416)-Variables!$B$14),"")/365)+(L416/16.67*INDEX(Variables!$B$8:$D$8,IFERROR(MATCH(IF($B416="Robusta","Robusta",(IF($B416="","Arabica",$B416))&amp;" - "&amp;(IF($C416="","Commercial",$C416))),Variables!$B$1:$D$1,0),1))*IFERROR(IF(W416="","",(AVERAGE(E416:F416)-W416)-Variables!$B$14),""))+(T416*INDEX(Variables!$B$9:$D$9,IFERROR(MATCH(IF($B416="Robusta","Robusta",(IF($B416="","Arabica",$B416))&amp;" - "&amp;(IF($C416="","Commercial",$C416))),Variables!$B$1:$D$1,0),1))*IFERROR(IF(W416="","",(AVERAGE(E416:F416)-W416)-Variables!$B$14),"")/365),""))</f>
        <v>19.238079891190903</v>
      </c>
      <c r="AT416" s="12" t="str">
        <f>IF($H416="Cancelled","",IFERROR((T416*INDEX(Variables!$B$7:$D$7,IFERROR(MATCH(IF($B416="Robusta","Robusta",(IF($B416="","Arabica",$B416))&amp;" - "&amp;(IF($C416="","Commercial",$C416))),Variables!$B$1:$D$1,0),1))*AC416/365)+(L416/16.67*INDEX(Variables!$B$8:$D$8,IFERROR(MATCH(IF($B416="Robusta","Robusta",(IF($B416="","Arabica",$B416))&amp;" - "&amp;(IF($C416="","Commercial",$C416))),Variables!$B$1:$D$1,0),1))*AC416)+(T416*INDEX(Variables!$B$9:$D$9,IFERROR(MATCH(IF($B416="Robusta","Robusta",(IF($B416="","Arabica",$B416))&amp;" - "&amp;(IF($C416="","Commercial",$C416))),Variables!$B$1:$D$1,0),1))*AC416/365),""))</f>
        <v/>
      </c>
      <c r="AU416" s="12" t="str">
        <f>IF($H416="Cancelled","",IFERROR((T416*INDEX(Variables!$B$7:$D$7,IFERROR(MATCH(IF($B416="Robusta","Robusta",(IF($B416="","Arabica",$B416))&amp;" - "&amp;(IF($C416="","Commercial",$C416))),Variables!$B$1:$D$1,0),1))*AP416/365)+(L416/16.67*INDEX(Variables!$B$8:$D$8,IFERROR(MATCH(IF($B416="Robusta","Robusta",(IF($B416="","Arabica",$B416))&amp;" - "&amp;(IF($C416="","Commercial",$C416))),Variables!$B$1:$D$1,0),1))*AP416)+(T416*INDEX(Variables!$B$9:$D$9,IFERROR(MATCH(IF($B416="Robusta","Robusta",(IF($B416="","Arabica",$B416))&amp;" - "&amp;(IF($C416="","Commercial",$C416))),Variables!$B$1:$D$1,0),1))*AP416/365),""))</f>
        <v/>
      </c>
      <c r="AV416" s="11">
        <f t="shared" si="45"/>
        <v>4</v>
      </c>
      <c r="AW416" s="12">
        <f>IF($H416="Cancelled","",IFERROR(IF(AV416="","",(T416*INDEX(Variables!$B$7:$D$7,IFERROR(MATCH(IF($B416="Robusta","Robusta",(IF($B416="","Arabica",$B416))&amp;" - "&amp;(IF($C416="","Commercial",$C416))),Variables!$B$1:$D$1,0),1))*(AV416/365))+(T416*INDEX(Variables!$B$9:$D$9,IFERROR(MATCH(IF($B416="Robusta","Robusta",(IF($B416="","Arabica",$B416))&amp;" - "&amp;(IF($C416="","Commercial",$C416))),Variables!$B$1:$D$1,0),1))*(AV416/365))+(INDEX(Variables!$B$8:$D$8,IFERROR(MATCH(IF($B416="Robusta","Robusta",(IF($B416="","Arabica",$B416))&amp;" - "&amp;(IF($C416="","Commercial",$C416))),Variables!$B$1:$D$1,0),1))*L416/16.67)),""))</f>
        <v>105.9046391295272</v>
      </c>
      <c r="AX416" s="9"/>
      <c r="AY416" s="12"/>
      <c r="AZ416" s="10"/>
      <c r="BA416" s="9"/>
      <c r="BB416" s="10"/>
      <c r="BC416" s="9"/>
      <c r="BD416" s="9"/>
      <c r="BE416" s="9"/>
      <c r="BF416" s="9"/>
    </row>
    <row r="417" spans="1:58" x14ac:dyDescent="0.25">
      <c r="A417" s="9" t="s">
        <v>84</v>
      </c>
      <c r="B417" s="9" t="s">
        <v>85</v>
      </c>
      <c r="C417" s="9" t="s">
        <v>86</v>
      </c>
      <c r="D417" s="10">
        <v>45793</v>
      </c>
      <c r="E417" s="10">
        <v>45809</v>
      </c>
      <c r="F417" s="10">
        <v>45838</v>
      </c>
      <c r="G417" s="9">
        <v>3786919</v>
      </c>
      <c r="H417" s="9" t="str">
        <f t="shared" si="43"/>
        <v>Closed</v>
      </c>
      <c r="I417" s="9" t="str">
        <f t="shared" si="44"/>
        <v>All dates received</v>
      </c>
      <c r="J417" s="9" t="s">
        <v>193</v>
      </c>
      <c r="K417" s="9">
        <v>5291</v>
      </c>
      <c r="L417" s="11">
        <v>1200</v>
      </c>
      <c r="M417" s="9" t="s">
        <v>1066</v>
      </c>
      <c r="N417" s="9" t="s">
        <v>1018</v>
      </c>
      <c r="O417" s="9"/>
      <c r="P417" s="9"/>
      <c r="Q417" s="11">
        <v>-195</v>
      </c>
      <c r="R417" s="9" t="s">
        <v>195</v>
      </c>
      <c r="S417" s="9" t="s">
        <v>106</v>
      </c>
      <c r="T417" s="12">
        <f>IF($H417="Cancelled","",IFERROR(((Q417+INDEX(Variables!$B$6:$D$6,IFERROR(MATCH(IF($B417="Robusta","Robusta",(IF($B417="","Arabica",$B417))&amp;" - "&amp;(IF($C417="","Commercial",$C417))),Variables!$B$1:$D$1,0),1)))*22.0462)*(L417/16.67),""))</f>
        <v>152035.46202759445</v>
      </c>
      <c r="U417" s="10"/>
      <c r="V417" s="9" t="s">
        <v>195</v>
      </c>
      <c r="W417" s="10">
        <v>45793</v>
      </c>
      <c r="X417" s="9" t="str">
        <f t="shared" si="48"/>
        <v>Approved</v>
      </c>
      <c r="Y417" s="10">
        <v>45767</v>
      </c>
      <c r="Z417" s="10">
        <f>IF($H417="Cancelled","",IFERROR(IF(F417="","",F417-Variables!$B$13),""))</f>
        <v>45823</v>
      </c>
      <c r="AA417" s="11">
        <f>IF($H417="Cancelled","",IFERROR(IF(W417="","",(AVERAGE(E417:F417)-W417)-Variables!$B$14),""))</f>
        <v>0.5</v>
      </c>
      <c r="AB417" s="10">
        <v>45825</v>
      </c>
      <c r="AC417" s="11">
        <f>IF($H417="Cancelled","",IFERROR(IF(AB417="","",IF(AND(W417="",Y417=""),"",IF(Y417&gt;W417,Y417+Variables!$B$15+Variables!$B$16+Variables!$B$17-AB417,W417+Variables!$B$16+Variables!$B$17-AB417))),""))</f>
        <v>-24</v>
      </c>
      <c r="AD417" s="9" t="s">
        <v>165</v>
      </c>
      <c r="AE417" s="9" t="s">
        <v>965</v>
      </c>
      <c r="AF417" s="10"/>
      <c r="AG417" s="10"/>
      <c r="AH417" s="9"/>
      <c r="AI417" s="9" t="s">
        <v>1067</v>
      </c>
      <c r="AJ417" s="9" t="s">
        <v>944</v>
      </c>
      <c r="AK417" s="10">
        <v>45841</v>
      </c>
      <c r="AL417" s="10">
        <v>45842</v>
      </c>
      <c r="AM417" s="10">
        <v>45853</v>
      </c>
      <c r="AN417" s="9" t="s">
        <v>95</v>
      </c>
      <c r="AO417" s="9"/>
      <c r="AP417" s="11">
        <f>IF($H417="Cancelled","",IFERROR(IF(OR(AK417="",AB417=""),"",(AB417+Variables!$B$18-AK417)),""))</f>
        <v>-9</v>
      </c>
      <c r="AQ417" s="11">
        <f>IF($H417="Cancelled","",IFERROR(IF(OR(AM417="",AK417=""),"",(AK417+Variables!$B$19)-AM417),""))</f>
        <v>-7</v>
      </c>
      <c r="AR417" s="12">
        <f>IF($H417="Cancelled","",IFERROR(T417*INDEX(Variables!$B$7:$D$7,IFERROR(MATCH(IF($B417="Robusta","Robusta",(IF($B417="","Arabica",$B417))&amp;" - "&amp;(IF($C417="","Commercial",$C417))),Variables!$B$1:$D$1,0),1))*(AQ417/365),""))</f>
        <v>-188.01388352572675</v>
      </c>
      <c r="AS417" s="12">
        <f>IF($H417="Cancelled","",IFERROR((T417*INDEX(Variables!$B$7:$D$7,IFERROR(MATCH(IF($B417="Robusta","Robusta",(IF($B417="","Arabica",$B417))&amp;" - "&amp;(IF($C417="","Commercial",$C417))),Variables!$B$1:$D$1,0),1))*IFERROR(IF(W417="","",(AVERAGE(E417:F417)-W417)-Variables!$B$14),"")/365)+(L417/16.67*INDEX(Variables!$B$8:$D$8,IFERROR(MATCH(IF($B417="Robusta","Robusta",(IF($B417="","Arabica",$B417))&amp;" - "&amp;(IF($C417="","Commercial",$C417))),Variables!$B$1:$D$1,0),1))*IFERROR(IF(W417="","",(AVERAGE(E417:F417)-W417)-Variables!$B$14),""))+(T417*INDEX(Variables!$B$9:$D$9,IFERROR(MATCH(IF($B417="Robusta","Robusta",(IF($B417="","Arabica",$B417))&amp;" - "&amp;(IF($C417="","Commercial",$C417))),Variables!$B$1:$D$1,0),1))*IFERROR(IF(W417="","",(AVERAGE(E417:F417)-W417)-Variables!$B$14),"")/365),""))</f>
        <v>43.602696094711355</v>
      </c>
      <c r="AT417" s="12">
        <f>IF($H417="Cancelled","",IFERROR((T417*INDEX(Variables!$B$7:$D$7,IFERROR(MATCH(IF($B417="Robusta","Robusta",(IF($B417="","Arabica",$B417))&amp;" - "&amp;(IF($C417="","Commercial",$C417))),Variables!$B$1:$D$1,0),1))*AC417/365)+(L417/16.67*INDEX(Variables!$B$8:$D$8,IFERROR(MATCH(IF($B417="Robusta","Robusta",(IF($B417="","Arabica",$B417))&amp;" - "&amp;(IF($C417="","Commercial",$C417))),Variables!$B$1:$D$1,0),1))*AC417)+(T417*INDEX(Variables!$B$9:$D$9,IFERROR(MATCH(IF($B417="Robusta","Robusta",(IF($B417="","Arabica",$B417))&amp;" - "&amp;(IF($C417="","Commercial",$C417))),Variables!$B$1:$D$1,0),1))*AC417/365),""))</f>
        <v>-2092.9294125461452</v>
      </c>
      <c r="AU417" s="12">
        <f>IF($H417="Cancelled","",IFERROR((T417*INDEX(Variables!$B$7:$D$7,IFERROR(MATCH(IF($B417="Robusta","Robusta",(IF($B417="","Arabica",$B417))&amp;" - "&amp;(IF($C417="","Commercial",$C417))),Variables!$B$1:$D$1,0),1))*AP417/365)+(L417/16.67*INDEX(Variables!$B$8:$D$8,IFERROR(MATCH(IF($B417="Robusta","Robusta",(IF($B417="","Arabica",$B417))&amp;" - "&amp;(IF($C417="","Commercial",$C417))),Variables!$B$1:$D$1,0),1))*AP417)+(T417*INDEX(Variables!$B$9:$D$9,IFERROR(MATCH(IF($B417="Robusta","Robusta",(IF($B417="","Arabica",$B417))&amp;" - "&amp;(IF($C417="","Commercial",$C417))),Variables!$B$1:$D$1,0),1))*AP417/365),""))</f>
        <v>-784.84852970480438</v>
      </c>
      <c r="AV417" s="11">
        <f t="shared" si="45"/>
        <v>-3</v>
      </c>
      <c r="AW417" s="12">
        <f>IF($H417="Cancelled","",IFERROR(IF(AV417="","",(T417*INDEX(Variables!$B$7:$D$7,IFERROR(MATCH(IF($B417="Robusta","Robusta",(IF($B417="","Arabica",$B417))&amp;" - "&amp;(IF($C417="","Commercial",$C417))),Variables!$B$1:$D$1,0),1))*(AV417/365))+(T417*INDEX(Variables!$B$9:$D$9,IFERROR(MATCH(IF($B417="Robusta","Robusta",(IF($B417="","Arabica",$B417))&amp;" - "&amp;(IF($C417="","Commercial",$C417))),Variables!$B$1:$D$1,0),1))*(AV417/365))+(INDEX(Variables!$B$8:$D$8,IFERROR(MATCH(IF($B417="Robusta","Robusta",(IF($B417="","Arabica",$B417))&amp;" - "&amp;(IF($C417="","Commercial",$C417))),Variables!$B$1:$D$1,0),1))*L417/16.67)),""))</f>
        <v>-21.616176568268145</v>
      </c>
      <c r="AX417" s="9"/>
      <c r="AY417" s="12"/>
      <c r="AZ417" s="10"/>
      <c r="BA417" s="9"/>
      <c r="BB417" s="10"/>
      <c r="BC417" s="9"/>
      <c r="BD417" s="9"/>
      <c r="BE417" s="9"/>
      <c r="BF417" s="9"/>
    </row>
    <row r="418" spans="1:58" x14ac:dyDescent="0.25">
      <c r="A418" s="9" t="s">
        <v>84</v>
      </c>
      <c r="B418" s="9" t="s">
        <v>85</v>
      </c>
      <c r="C418" s="9" t="s">
        <v>86</v>
      </c>
      <c r="D418" s="10">
        <v>45798</v>
      </c>
      <c r="E418" s="10">
        <v>45809</v>
      </c>
      <c r="F418" s="10">
        <v>45838</v>
      </c>
      <c r="G418" s="9">
        <v>3786920</v>
      </c>
      <c r="H418" s="9" t="str">
        <f t="shared" si="43"/>
        <v>Closed</v>
      </c>
      <c r="I418" s="9" t="str">
        <f t="shared" si="44"/>
        <v>All dates received</v>
      </c>
      <c r="J418" s="9" t="s">
        <v>193</v>
      </c>
      <c r="K418" s="9">
        <v>5292</v>
      </c>
      <c r="L418" s="11">
        <v>1533</v>
      </c>
      <c r="M418" s="9" t="s">
        <v>1068</v>
      </c>
      <c r="N418" s="9" t="s">
        <v>1018</v>
      </c>
      <c r="O418" s="9"/>
      <c r="P418" s="9"/>
      <c r="Q418" s="11">
        <v>-197</v>
      </c>
      <c r="R418" s="9" t="s">
        <v>195</v>
      </c>
      <c r="S418" s="9" t="s">
        <v>106</v>
      </c>
      <c r="T418" s="12">
        <f>IF($H418="Cancelled","",IFERROR(((Q418+INDEX(Variables!$B$6:$D$6,IFERROR(MATCH(IF($B418="Robusta","Robusta",(IF($B418="","Arabica",$B418))&amp;" - "&amp;(IF($C418="","Commercial",$C418))),Variables!$B$1:$D$1,0),1)))*22.0462)*(L418/16.67),""))</f>
        <v>190170.49474985001</v>
      </c>
      <c r="U418" s="10"/>
      <c r="V418" s="9" t="s">
        <v>195</v>
      </c>
      <c r="W418" s="10">
        <v>45793</v>
      </c>
      <c r="X418" s="9" t="str">
        <f t="shared" si="48"/>
        <v>Approved</v>
      </c>
      <c r="Y418" s="10">
        <v>45828</v>
      </c>
      <c r="Z418" s="10">
        <f>IF($H418="Cancelled","",IFERROR(IF(F418="","",F418-Variables!$B$13),""))</f>
        <v>45823</v>
      </c>
      <c r="AA418" s="11">
        <f>IF($H418="Cancelled","",IFERROR(IF(W418="","",(AVERAGE(E418:F418)-W418)-Variables!$B$14),""))</f>
        <v>0.5</v>
      </c>
      <c r="AB418" s="10">
        <v>45832</v>
      </c>
      <c r="AC418" s="11">
        <f>IF($H418="Cancelled","",IFERROR(IF(AB418="","",IF(AND(W418="",Y418=""),"",IF(Y418&gt;W418,Y418+Variables!$B$15+Variables!$B$16+Variables!$B$17-AB418,W418+Variables!$B$16+Variables!$B$17-AB418))),""))</f>
        <v>11</v>
      </c>
      <c r="AD418" s="9" t="s">
        <v>165</v>
      </c>
      <c r="AE418" s="9" t="s">
        <v>965</v>
      </c>
      <c r="AF418" s="10"/>
      <c r="AG418" s="10"/>
      <c r="AH418" s="9"/>
      <c r="AI418" s="9" t="s">
        <v>1069</v>
      </c>
      <c r="AJ418" s="9" t="s">
        <v>944</v>
      </c>
      <c r="AK418" s="10">
        <v>45841</v>
      </c>
      <c r="AL418" s="10">
        <v>45842</v>
      </c>
      <c r="AM418" s="10">
        <v>45853</v>
      </c>
      <c r="AN418" s="9" t="s">
        <v>95</v>
      </c>
      <c r="AO418" s="9"/>
      <c r="AP418" s="11">
        <f>IF($H418="Cancelled","",IFERROR(IF(OR(AK418="",AB418=""),"",(AB418+Variables!$B$18-AK418)),""))</f>
        <v>-2</v>
      </c>
      <c r="AQ418" s="11">
        <f>IF($H418="Cancelled","",IFERROR(IF(OR(AM418="",AK418=""),"",(AK418+Variables!$B$19)-AM418),""))</f>
        <v>-7</v>
      </c>
      <c r="AR418" s="12">
        <f>IF($H418="Cancelled","",IFERROR(T418*INDEX(Variables!$B$7:$D$7,IFERROR(MATCH(IF($B418="Robusta","Robusta",(IF($B418="","Arabica",$B418))&amp;" - "&amp;(IF($C418="","Commercial",$C418))),Variables!$B$1:$D$1,0),1))*(AQ418/365),""))</f>
        <v>-235.17337845455197</v>
      </c>
      <c r="AS418" s="12">
        <f>IF($H418="Cancelled","",IFERROR((T418*INDEX(Variables!$B$7:$D$7,IFERROR(MATCH(IF($B418="Robusta","Robusta",(IF($B418="","Arabica",$B418))&amp;" - "&amp;(IF($C418="","Commercial",$C418))),Variables!$B$1:$D$1,0),1))*IFERROR(IF(W418="","",(AVERAGE(E418:F418)-W418)-Variables!$B$14),"")/365)+(L418/16.67*INDEX(Variables!$B$8:$D$8,IFERROR(MATCH(IF($B418="Robusta","Robusta",(IF($B418="","Arabica",$B418))&amp;" - "&amp;(IF($C418="","Commercial",$C418))),Variables!$B$1:$D$1,0),1))*IFERROR(IF(W418="","",(AVERAGE(E418:F418)-W418)-Variables!$B$14),""))+(T418*INDEX(Variables!$B$9:$D$9,IFERROR(MATCH(IF($B418="Robusta","Robusta",(IF($B418="","Arabica",$B418))&amp;" - "&amp;(IF($C418="","Commercial",$C418))),Variables!$B$1:$D$1,0),1))*IFERROR(IF(W418="","",(AVERAGE(E418:F418)-W418)-Variables!$B$14),"")/365),""))</f>
        <v>55.339658368279906</v>
      </c>
      <c r="AT418" s="12">
        <f>IF($H418="Cancelled","",IFERROR((T418*INDEX(Variables!$B$7:$D$7,IFERROR(MATCH(IF($B418="Robusta","Robusta",(IF($B418="","Arabica",$B418))&amp;" - "&amp;(IF($C418="","Commercial",$C418))),Variables!$B$1:$D$1,0),1))*AC418/365)+(L418/16.67*INDEX(Variables!$B$8:$D$8,IFERROR(MATCH(IF($B418="Robusta","Robusta",(IF($B418="","Arabica",$B418))&amp;" - "&amp;(IF($C418="","Commercial",$C418))),Variables!$B$1:$D$1,0),1))*AC418)+(T418*INDEX(Variables!$B$9:$D$9,IFERROR(MATCH(IF($B418="Robusta","Robusta",(IF($B418="","Arabica",$B418))&amp;" - "&amp;(IF($C418="","Commercial",$C418))),Variables!$B$1:$D$1,0),1))*AC418/365),""))</f>
        <v>1217.472484102158</v>
      </c>
      <c r="AU418" s="12">
        <f>IF($H418="Cancelled","",IFERROR((T418*INDEX(Variables!$B$7:$D$7,IFERROR(MATCH(IF($B418="Robusta","Robusta",(IF($B418="","Arabica",$B418))&amp;" - "&amp;(IF($C418="","Commercial",$C418))),Variables!$B$1:$D$1,0),1))*AP418/365)+(L418/16.67*INDEX(Variables!$B$8:$D$8,IFERROR(MATCH(IF($B418="Robusta","Robusta",(IF($B418="","Arabica",$B418))&amp;" - "&amp;(IF($C418="","Commercial",$C418))),Variables!$B$1:$D$1,0),1))*AP418)+(T418*INDEX(Variables!$B$9:$D$9,IFERROR(MATCH(IF($B418="Robusta","Robusta",(IF($B418="","Arabica",$B418))&amp;" - "&amp;(IF($C418="","Commercial",$C418))),Variables!$B$1:$D$1,0),1))*AP418/365),""))</f>
        <v>-221.35863347311962</v>
      </c>
      <c r="AV418" s="11">
        <f t="shared" si="45"/>
        <v>-3</v>
      </c>
      <c r="AW418" s="12">
        <f>IF($H418="Cancelled","",IFERROR(IF(AV418="","",(T418*INDEX(Variables!$B$7:$D$7,IFERROR(MATCH(IF($B418="Robusta","Robusta",(IF($B418="","Arabica",$B418))&amp;" - "&amp;(IF($C418="","Commercial",$C418))),Variables!$B$1:$D$1,0),1))*(AV418/365))+(T418*INDEX(Variables!$B$9:$D$9,IFERROR(MATCH(IF($B418="Robusta","Robusta",(IF($B418="","Arabica",$B418))&amp;" - "&amp;(IF($C418="","Commercial",$C418))),Variables!$B$1:$D$1,0),1))*(AV418/365))+(INDEX(Variables!$B$8:$D$8,IFERROR(MATCH(IF($B418="Robusta","Robusta",(IF($B418="","Arabica",$B418))&amp;" - "&amp;(IF($C418="","Commercial",$C418))),Variables!$B$1:$D$1,0),1))*L418/16.67)),""))</f>
        <v>-25.437950209679414</v>
      </c>
      <c r="AX418" s="9"/>
      <c r="AY418" s="12"/>
      <c r="AZ418" s="10"/>
      <c r="BA418" s="9"/>
      <c r="BB418" s="10"/>
      <c r="BC418" s="9"/>
      <c r="BD418" s="9"/>
      <c r="BE418" s="9"/>
      <c r="BF418" s="9"/>
    </row>
    <row r="419" spans="1:58" x14ac:dyDescent="0.25">
      <c r="A419" s="9" t="s">
        <v>84</v>
      </c>
      <c r="B419" s="9" t="s">
        <v>85</v>
      </c>
      <c r="C419" s="9" t="s">
        <v>86</v>
      </c>
      <c r="D419" s="10">
        <v>45800</v>
      </c>
      <c r="E419" s="10">
        <v>46023</v>
      </c>
      <c r="F419" s="10">
        <v>46053</v>
      </c>
      <c r="G419" s="9" t="s">
        <v>1070</v>
      </c>
      <c r="H419" s="9" t="str">
        <f t="shared" si="43"/>
        <v>Closed</v>
      </c>
      <c r="I419" s="9" t="str">
        <f t="shared" si="44"/>
        <v>All dates received</v>
      </c>
      <c r="J419" s="9" t="s">
        <v>367</v>
      </c>
      <c r="K419" s="9">
        <v>5355</v>
      </c>
      <c r="L419" s="11">
        <v>320</v>
      </c>
      <c r="M419" s="9" t="s">
        <v>1071</v>
      </c>
      <c r="N419" s="9" t="s">
        <v>126</v>
      </c>
      <c r="O419" s="9"/>
      <c r="P419" s="9"/>
      <c r="Q419" s="11" t="s">
        <v>1072</v>
      </c>
      <c r="R419" s="9" t="s">
        <v>90</v>
      </c>
      <c r="S419" s="9" t="s">
        <v>156</v>
      </c>
      <c r="T419" s="12">
        <f>IF($H419="Cancelled","",IFERROR(((Q419+INDEX(Variables!$B$6:$D$6,IFERROR(MATCH(IF($B419="Robusta","Robusta",(IF($B419="","Arabica",$B419))&amp;" - "&amp;(IF($C419="","Commercial",$C419))),Variables!$B$1:$D$1,0),1)))*22.0462)*(L419/16.67),""))</f>
        <v>123067.25778044391</v>
      </c>
      <c r="U419" s="10">
        <v>45974</v>
      </c>
      <c r="V419" s="9" t="str">
        <f>IF(ISNUMBER(U419),"Sent","")</f>
        <v>Sent</v>
      </c>
      <c r="W419" s="10">
        <v>45985</v>
      </c>
      <c r="X419" s="9" t="str">
        <f t="shared" si="48"/>
        <v>Approved</v>
      </c>
      <c r="Y419" s="10"/>
      <c r="Z419" s="10">
        <f>IF($H419="Cancelled","",IFERROR(IF(F419="","",F419-Variables!$B$13),""))</f>
        <v>46038</v>
      </c>
      <c r="AA419" s="11">
        <f>IF($H419="Cancelled","",IFERROR(IF(W419="","",(AVERAGE(E419:F419)-W419)-Variables!$B$14),""))</f>
        <v>23</v>
      </c>
      <c r="AB419" s="10">
        <v>45994</v>
      </c>
      <c r="AC419" s="11">
        <f>IF($H419="Cancelled","",IFERROR(IF(AB419="","",IF(AND(W419="",Y419=""),"",IF(Y419&gt;W419,Y419+Variables!$B$15+Variables!$B$16+Variables!$B$17-AB419,W419+Variables!$B$16+Variables!$B$17-AB419))),""))</f>
        <v>-1</v>
      </c>
      <c r="AD419" s="9" t="s">
        <v>1073</v>
      </c>
      <c r="AE419" s="9" t="s">
        <v>203</v>
      </c>
      <c r="AF419" s="10"/>
      <c r="AG419" s="10"/>
      <c r="AH419" s="9"/>
      <c r="AI419" s="9">
        <v>262623505</v>
      </c>
      <c r="AJ419" s="9" t="s">
        <v>1074</v>
      </c>
      <c r="AK419" s="10">
        <v>46004</v>
      </c>
      <c r="AL419" s="10">
        <v>46007</v>
      </c>
      <c r="AM419" s="10">
        <v>46022</v>
      </c>
      <c r="AN419" s="9" t="s">
        <v>95</v>
      </c>
      <c r="AO419" s="9"/>
      <c r="AP419" s="11">
        <f>IF($H419="Cancelled","",IFERROR(IF(OR(AK419="",AB419=""),"",(AB419+Variables!$B$18-AK419)),""))</f>
        <v>-3</v>
      </c>
      <c r="AQ419" s="11">
        <f>IF($H419="Cancelled","",IFERROR(IF(OR(AM419="",AK419=""),"",(AK419+Variables!$B$19)-AM419),""))</f>
        <v>-13</v>
      </c>
      <c r="AR419" s="12">
        <f>IF($H419="Cancelled","",IFERROR(T419*INDEX(Variables!$B$7:$D$7,IFERROR(MATCH(IF($B419="Robusta","Robusta",(IF($B419="","Arabica",$B419))&amp;" - "&amp;(IF($C419="","Commercial",$C419))),Variables!$B$1:$D$1,0),1))*(AQ419/365),""))</f>
        <v>-282.63950105603237</v>
      </c>
      <c r="AS419" s="12">
        <f>IF($H419="Cancelled","",IFERROR((T419*INDEX(Variables!$B$7:$D$7,IFERROR(MATCH(IF($B419="Robusta","Robusta",(IF($B419="","Arabica",$B419))&amp;" - "&amp;(IF($C419="","Commercial",$C419))),Variables!$B$1:$D$1,0),1))*IFERROR(IF(W419="","",(AVERAGE(E419:F419)-W419)-Variables!$B$14),"")/365)+(L419/16.67*INDEX(Variables!$B$8:$D$8,IFERROR(MATCH(IF($B419="Robusta","Robusta",(IF($B419="","Arabica",$B419))&amp;" - "&amp;(IF($C419="","Commercial",$C419))),Variables!$B$1:$D$1,0),1))*IFERROR(IF(W419="","",(AVERAGE(E419:F419)-W419)-Variables!$B$14),""))+(T419*INDEX(Variables!$B$9:$D$9,IFERROR(MATCH(IF($B419="Robusta","Robusta",(IF($B419="","Arabica",$B419))&amp;" - "&amp;(IF($C419="","Commercial",$C419))),Variables!$B$1:$D$1,0),1))*IFERROR(IF(W419="","",(AVERAGE(E419:F419)-W419)-Variables!$B$14),"")/365),""))</f>
        <v>874.50116943558783</v>
      </c>
      <c r="AT419" s="12">
        <f>IF($H419="Cancelled","",IFERROR((T419*INDEX(Variables!$B$7:$D$7,IFERROR(MATCH(IF($B419="Robusta","Robusta",(IF($B419="","Arabica",$B419))&amp;" - "&amp;(IF($C419="","Commercial",$C419))),Variables!$B$1:$D$1,0),1))*AC419/365)+(L419/16.67*INDEX(Variables!$B$8:$D$8,IFERROR(MATCH(IF($B419="Robusta","Robusta",(IF($B419="","Arabica",$B419))&amp;" - "&amp;(IF($C419="","Commercial",$C419))),Variables!$B$1:$D$1,0),1))*AC419)+(T419*INDEX(Variables!$B$9:$D$9,IFERROR(MATCH(IF($B419="Robusta","Robusta",(IF($B419="","Arabica",$B419))&amp;" - "&amp;(IF($C419="","Commercial",$C419))),Variables!$B$1:$D$1,0),1))*AC419/365),""))</f>
        <v>-38.021789975460337</v>
      </c>
      <c r="AU419" s="12">
        <f>IF($H419="Cancelled","",IFERROR((T419*INDEX(Variables!$B$7:$D$7,IFERROR(MATCH(IF($B419="Robusta","Robusta",(IF($B419="","Arabica",$B419))&amp;" - "&amp;(IF($C419="","Commercial",$C419))),Variables!$B$1:$D$1,0),1))*AP419/365)+(L419/16.67*INDEX(Variables!$B$8:$D$8,IFERROR(MATCH(IF($B419="Robusta","Robusta",(IF($B419="","Arabica",$B419))&amp;" - "&amp;(IF($C419="","Commercial",$C419))),Variables!$B$1:$D$1,0),1))*AP419)+(T419*INDEX(Variables!$B$9:$D$9,IFERROR(MATCH(IF($B419="Robusta","Robusta",(IF($B419="","Arabica",$B419))&amp;" - "&amp;(IF($C419="","Commercial",$C419))),Variables!$B$1:$D$1,0),1))*AP419/365),""))</f>
        <v>-114.06536992638101</v>
      </c>
      <c r="AV419" s="11">
        <f t="shared" si="45"/>
        <v>49</v>
      </c>
      <c r="AW419" s="12">
        <f>IF($H419="Cancelled","",IFERROR(IF(AV419="","",(T419*INDEX(Variables!$B$7:$D$7,IFERROR(MATCH(IF($B419="Robusta","Robusta",(IF($B419="","Arabica",$B419))&amp;" - "&amp;(IF($C419="","Commercial",$C419))),Variables!$B$1:$D$1,0),1))*(AV419/365))+(T419*INDEX(Variables!$B$9:$D$9,IFERROR(MATCH(IF($B419="Robusta","Robusta",(IF($B419="","Arabica",$B419))&amp;" - "&amp;(IF($C419="","Commercial",$C419))),Variables!$B$1:$D$1,0),1))*(AV419/365))+(INDEX(Variables!$B$8:$D$8,IFERROR(MATCH(IF($B419="Robusta","Robusta",(IF($B419="","Arabica",$B419))&amp;" - "&amp;(IF($C419="","Commercial",$C419))),Variables!$B$1:$D$1,0),1))*L419/16.67)),""))</f>
        <v>1095.0677087975566</v>
      </c>
      <c r="AX419" s="9"/>
      <c r="AY419" s="12"/>
      <c r="AZ419" s="10"/>
      <c r="BA419" s="9"/>
      <c r="BB419" s="10"/>
      <c r="BC419" s="9"/>
      <c r="BD419" s="9"/>
      <c r="BE419" s="9"/>
      <c r="BF419" s="9"/>
    </row>
    <row r="420" spans="1:58" x14ac:dyDescent="0.25">
      <c r="A420" s="9" t="s">
        <v>84</v>
      </c>
      <c r="B420" s="9" t="s">
        <v>85</v>
      </c>
      <c r="C420" s="9" t="s">
        <v>86</v>
      </c>
      <c r="D420" s="10">
        <v>45804</v>
      </c>
      <c r="E420" s="10">
        <v>45901</v>
      </c>
      <c r="F420" s="10">
        <v>45930</v>
      </c>
      <c r="G420" s="9">
        <v>3786922</v>
      </c>
      <c r="H420" s="9" t="str">
        <f t="shared" si="43"/>
        <v>Closed</v>
      </c>
      <c r="I420" s="9" t="str">
        <f t="shared" si="44"/>
        <v>All dates received</v>
      </c>
      <c r="J420" s="9" t="s">
        <v>286</v>
      </c>
      <c r="K420" s="9">
        <v>5319</v>
      </c>
      <c r="L420" s="11">
        <v>333</v>
      </c>
      <c r="M420" s="9" t="s">
        <v>1075</v>
      </c>
      <c r="N420" s="9" t="s">
        <v>1018</v>
      </c>
      <c r="O420" s="9"/>
      <c r="P420" s="9"/>
      <c r="Q420" s="11">
        <v>-116</v>
      </c>
      <c r="R420" s="9" t="s">
        <v>90</v>
      </c>
      <c r="S420" s="9" t="s">
        <v>443</v>
      </c>
      <c r="T420" s="12">
        <f>IF($H420="Cancelled","",IFERROR(((Q420+INDEX(Variables!$B$6:$D$6,IFERROR(MATCH(IF($B420="Robusta","Robusta",(IF($B420="","Arabica",$B420))&amp;" - "&amp;(IF($C420="","Commercial",$C420))),Variables!$B$1:$D$1,0),1)))*22.0462)*(L420/16.67),""))</f>
        <v>76981.045475704857</v>
      </c>
      <c r="U420" s="10">
        <v>45860</v>
      </c>
      <c r="V420" s="9" t="str">
        <f>IF(ISNUMBER(U420),"Sent","")</f>
        <v>Sent</v>
      </c>
      <c r="W420" s="10">
        <v>45869</v>
      </c>
      <c r="X420" s="9" t="str">
        <f t="shared" si="48"/>
        <v>Approved</v>
      </c>
      <c r="Y420" s="10"/>
      <c r="Z420" s="10">
        <f>IF($H420="Cancelled","",IFERROR(IF(F420="","",F420-Variables!$B$13),""))</f>
        <v>45915</v>
      </c>
      <c r="AA420" s="11">
        <f>IF($H420="Cancelled","",IFERROR(IF(W420="","",(AVERAGE(E420:F420)-W420)-Variables!$B$14),""))</f>
        <v>16.5</v>
      </c>
      <c r="AB420" s="10">
        <v>45883</v>
      </c>
      <c r="AC420" s="11">
        <f>IF($H420="Cancelled","",IFERROR(IF(AB420="","",IF(AND(W420="",Y420=""),"",IF(Y420&gt;W420,Y420+Variables!$B$15+Variables!$B$16+Variables!$B$17-AB420,W420+Variables!$B$16+Variables!$B$17-AB420))),""))</f>
        <v>-6</v>
      </c>
      <c r="AD420" s="9" t="s">
        <v>165</v>
      </c>
      <c r="AE420" s="9" t="s">
        <v>818</v>
      </c>
      <c r="AF420" s="10"/>
      <c r="AG420" s="10"/>
      <c r="AH420" s="9"/>
      <c r="AI420" s="9" t="s">
        <v>1076</v>
      </c>
      <c r="AJ420" s="9" t="s">
        <v>8</v>
      </c>
      <c r="AK420" s="10">
        <v>45900</v>
      </c>
      <c r="AL420" s="10">
        <v>45902</v>
      </c>
      <c r="AM420" s="10">
        <v>45909</v>
      </c>
      <c r="AN420" s="9" t="s">
        <v>95</v>
      </c>
      <c r="AO420" s="9"/>
      <c r="AP420" s="11">
        <f>IF($H420="Cancelled","",IFERROR(IF(OR(AK420="",AB420=""),"",(AB420+Variables!$B$18-AK420)),""))</f>
        <v>-10</v>
      </c>
      <c r="AQ420" s="11">
        <f>IF($H420="Cancelled","",IFERROR(IF(OR(AM420="",AK420=""),"",(AK420+Variables!$B$19)-AM420),""))</f>
        <v>-4</v>
      </c>
      <c r="AR420" s="12">
        <f>IF($H420="Cancelled","",IFERROR(T420*INDEX(Variables!$B$7:$D$7,IFERROR(MATCH(IF($B420="Robusta","Robusta",(IF($B420="","Arabica",$B420))&amp;" - "&amp;(IF($C420="","Commercial",$C420))),Variables!$B$1:$D$1,0),1))*(AQ420/365),""))</f>
        <v>-54.398982691216396</v>
      </c>
      <c r="AS420" s="12">
        <f>IF($H420="Cancelled","",IFERROR((T420*INDEX(Variables!$B$7:$D$7,IFERROR(MATCH(IF($B420="Robusta","Robusta",(IF($B420="","Arabica",$B420))&amp;" - "&amp;(IF($C420="","Commercial",$C420))),Variables!$B$1:$D$1,0),1))*IFERROR(IF(W420="","",(AVERAGE(E420:F420)-W420)-Variables!$B$14),"")/365)+(L420/16.67*INDEX(Variables!$B$8:$D$8,IFERROR(MATCH(IF($B420="Robusta","Robusta",(IF($B420="","Arabica",$B420))&amp;" - "&amp;(IF($C420="","Commercial",$C420))),Variables!$B$1:$D$1,0),1))*IFERROR(IF(W420="","",(AVERAGE(E420:F420)-W420)-Variables!$B$14),""))+(T420*INDEX(Variables!$B$9:$D$9,IFERROR(MATCH(IF($B420="Robusta","Robusta",(IF($B420="","Arabica",$B420))&amp;" - "&amp;(IF($C420="","Commercial",$C420))),Variables!$B$1:$D$1,0),1))*IFERROR(IF(W420="","",(AVERAGE(E420:F420)-W420)-Variables!$B$14),"")/365),""))</f>
        <v>502.01369856350118</v>
      </c>
      <c r="AT420" s="12">
        <f>IF($H420="Cancelled","",IFERROR((T420*INDEX(Variables!$B$7:$D$7,IFERROR(MATCH(IF($B420="Robusta","Robusta",(IF($B420="","Arabica",$B420))&amp;" - "&amp;(IF($C420="","Commercial",$C420))),Variables!$B$1:$D$1,0),1))*AC420/365)+(L420/16.67*INDEX(Variables!$B$8:$D$8,IFERROR(MATCH(IF($B420="Robusta","Robusta",(IF($B420="","Arabica",$B420))&amp;" - "&amp;(IF($C420="","Commercial",$C420))),Variables!$B$1:$D$1,0),1))*AC420)+(T420*INDEX(Variables!$B$9:$D$9,IFERROR(MATCH(IF($B420="Robusta","Robusta",(IF($B420="","Arabica",$B420))&amp;" - "&amp;(IF($C420="","Commercial",$C420))),Variables!$B$1:$D$1,0),1))*AC420/365),""))</f>
        <v>-182.55043584127313</v>
      </c>
      <c r="AU420" s="12">
        <f>IF($H420="Cancelled","",IFERROR((T420*INDEX(Variables!$B$7:$D$7,IFERROR(MATCH(IF($B420="Robusta","Robusta",(IF($B420="","Arabica",$B420))&amp;" - "&amp;(IF($C420="","Commercial",$C420))),Variables!$B$1:$D$1,0),1))*AP420/365)+(L420/16.67*INDEX(Variables!$B$8:$D$8,IFERROR(MATCH(IF($B420="Robusta","Robusta",(IF($B420="","Arabica",$B420))&amp;" - "&amp;(IF($C420="","Commercial",$C420))),Variables!$B$1:$D$1,0),1))*AP420)+(T420*INDEX(Variables!$B$9:$D$9,IFERROR(MATCH(IF($B420="Robusta","Robusta",(IF($B420="","Arabica",$B420))&amp;" - "&amp;(IF($C420="","Commercial",$C420))),Variables!$B$1:$D$1,0),1))*AP420/365),""))</f>
        <v>-304.25072640212193</v>
      </c>
      <c r="AV420" s="11">
        <f t="shared" si="45"/>
        <v>30</v>
      </c>
      <c r="AW420" s="12">
        <f>IF($H420="Cancelled","",IFERROR(IF(AV420="","",(T420*INDEX(Variables!$B$7:$D$7,IFERROR(MATCH(IF($B420="Robusta","Robusta",(IF($B420="","Arabica",$B420))&amp;" - "&amp;(IF($C420="","Commercial",$C420))),Variables!$B$1:$D$1,0),1))*(AV420/365))+(T420*INDEX(Variables!$B$9:$D$9,IFERROR(MATCH(IF($B420="Robusta","Robusta",(IF($B420="","Arabica",$B420))&amp;" - "&amp;(IF($C420="","Commercial",$C420))),Variables!$B$1:$D$1,0),1))*(AV420/365))+(INDEX(Variables!$B$8:$D$8,IFERROR(MATCH(IF($B420="Robusta","Robusta",(IF($B420="","Arabica",$B420))&amp;" - "&amp;(IF($C420="","Commercial",$C420))),Variables!$B$1:$D$1,0),1))*L420/16.67)),""))</f>
        <v>429.90217920636564</v>
      </c>
      <c r="AX420" s="9"/>
      <c r="AY420" s="12"/>
      <c r="AZ420" s="10"/>
      <c r="BA420" s="9"/>
      <c r="BB420" s="10"/>
      <c r="BC420" s="9"/>
      <c r="BD420" s="9"/>
      <c r="BE420" s="9"/>
      <c r="BF420" s="9"/>
    </row>
    <row r="421" spans="1:58" x14ac:dyDescent="0.25">
      <c r="A421" s="9" t="s">
        <v>84</v>
      </c>
      <c r="B421" s="9" t="s">
        <v>85</v>
      </c>
      <c r="C421" s="9" t="s">
        <v>86</v>
      </c>
      <c r="D421" s="10">
        <v>45805</v>
      </c>
      <c r="E421" s="10">
        <v>45809</v>
      </c>
      <c r="F421" s="10">
        <v>45838</v>
      </c>
      <c r="G421" s="9">
        <v>3786923</v>
      </c>
      <c r="H421" s="9" t="str">
        <f t="shared" si="43"/>
        <v>Closed</v>
      </c>
      <c r="I421" s="9" t="str">
        <f t="shared" si="44"/>
        <v>All dates received</v>
      </c>
      <c r="J421" s="9" t="s">
        <v>102</v>
      </c>
      <c r="K421" s="9">
        <v>5295</v>
      </c>
      <c r="L421" s="11">
        <v>1800</v>
      </c>
      <c r="M421" s="9" t="s">
        <v>1077</v>
      </c>
      <c r="N421" s="9" t="s">
        <v>387</v>
      </c>
      <c r="O421" s="9"/>
      <c r="P421" s="9"/>
      <c r="Q421" s="11">
        <v>-58</v>
      </c>
      <c r="R421" s="9" t="s">
        <v>195</v>
      </c>
      <c r="S421" s="9" t="s">
        <v>106</v>
      </c>
      <c r="T421" s="12">
        <f>IF($H421="Cancelled","",IFERROR(((Q421+INDEX(Variables!$B$6:$D$6,IFERROR(MATCH(IF($B421="Robusta","Robusta",(IF($B421="","Arabica",$B421))&amp;" - "&amp;(IF($C421="","Commercial",$C421))),Variables!$B$1:$D$1,0),1)))*22.0462)*(L421/16.67),""))</f>
        <v>554183.54217156558</v>
      </c>
      <c r="U421" s="10"/>
      <c r="V421" s="9" t="s">
        <v>195</v>
      </c>
      <c r="W421" s="10">
        <v>45793</v>
      </c>
      <c r="X421" s="9" t="str">
        <f t="shared" si="48"/>
        <v>Approved</v>
      </c>
      <c r="Y421" s="10">
        <v>45858</v>
      </c>
      <c r="Z421" s="10">
        <f>IF($H421="Cancelled","",IFERROR(IF(F421="","",F421-Variables!$B$13),""))</f>
        <v>45823</v>
      </c>
      <c r="AA421" s="11">
        <f>IF($H421="Cancelled","",IFERROR(IF(W421="","",(AVERAGE(E421:F421)-W421)-Variables!$B$14),""))</f>
        <v>0.5</v>
      </c>
      <c r="AB421" s="10">
        <v>45828</v>
      </c>
      <c r="AC421" s="11">
        <f>IF($H421="Cancelled","",IFERROR(IF(AB421="","",IF(AND(W421="",Y421=""),"",IF(Y421&gt;W421,Y421+Variables!$B$15+Variables!$B$16+Variables!$B$17-AB421,W421+Variables!$B$16+Variables!$B$17-AB421))),""))</f>
        <v>45</v>
      </c>
      <c r="AD421" s="9" t="s">
        <v>107</v>
      </c>
      <c r="AE421" s="9" t="s">
        <v>942</v>
      </c>
      <c r="AF421" s="10"/>
      <c r="AG421" s="10"/>
      <c r="AH421" s="9"/>
      <c r="AI421" s="9" t="s">
        <v>1078</v>
      </c>
      <c r="AJ421" s="9" t="s">
        <v>8</v>
      </c>
      <c r="AK421" s="10">
        <v>45841</v>
      </c>
      <c r="AL421" s="10">
        <v>45847</v>
      </c>
      <c r="AM421" s="10">
        <v>45853</v>
      </c>
      <c r="AN421" s="9" t="s">
        <v>95</v>
      </c>
      <c r="AO421" s="9"/>
      <c r="AP421" s="11">
        <f>IF($H421="Cancelled","",IFERROR(IF(OR(AK421="",AB421=""),"",(AB421+Variables!$B$18-AK421)),""))</f>
        <v>-6</v>
      </c>
      <c r="AQ421" s="11">
        <f>IF($H421="Cancelled","",IFERROR(IF(OR(AM421="",AK421=""),"",(AK421+Variables!$B$19)-AM421),""))</f>
        <v>-7</v>
      </c>
      <c r="AR421" s="12">
        <f>IF($H421="Cancelled","",IFERROR(T421*INDEX(Variables!$B$7:$D$7,IFERROR(MATCH(IF($B421="Robusta","Robusta",(IF($B421="","Arabica",$B421))&amp;" - "&amp;(IF($C421="","Commercial",$C421))),Variables!$B$1:$D$1,0),1))*(AQ421/365),""))</f>
        <v>-685.32826855097892</v>
      </c>
      <c r="AS421" s="12">
        <f>IF($H421="Cancelled","",IFERROR((T421*INDEX(Variables!$B$7:$D$7,IFERROR(MATCH(IF($B421="Robusta","Robusta",(IF($B421="","Arabica",$B421))&amp;" - "&amp;(IF($C421="","Commercial",$C421))),Variables!$B$1:$D$1,0),1))*IFERROR(IF(W421="","",(AVERAGE(E421:F421)-W421)-Variables!$B$14),"")/365)+(L421/16.67*INDEX(Variables!$B$8:$D$8,IFERROR(MATCH(IF($B421="Robusta","Robusta",(IF($B421="","Arabica",$B421))&amp;" - "&amp;(IF($C421="","Commercial",$C421))),Variables!$B$1:$D$1,0),1))*IFERROR(IF(W421="","",(AVERAGE(E421:F421)-W421)-Variables!$B$14),""))+(T421*INDEX(Variables!$B$9:$D$9,IFERROR(MATCH(IF($B421="Robusta","Robusta",(IF($B421="","Arabica",$B421))&amp;" - "&amp;(IF($C421="","Commercial",$C421))),Variables!$B$1:$D$1,0),1))*IFERROR(IF(W421="","",(AVERAGE(E421:F421)-W421)-Variables!$B$14),"")/365),""))</f>
        <v>94.583105180304869</v>
      </c>
      <c r="AT421" s="12">
        <f>IF($H421="Cancelled","",IFERROR((T421*INDEX(Variables!$B$7:$D$7,IFERROR(MATCH(IF($B421="Robusta","Robusta",(IF($B421="","Arabica",$B421))&amp;" - "&amp;(IF($C421="","Commercial",$C421))),Variables!$B$1:$D$1,0),1))*AC421/365)+(L421/16.67*INDEX(Variables!$B$8:$D$8,IFERROR(MATCH(IF($B421="Robusta","Robusta",(IF($B421="","Arabica",$B421))&amp;" - "&amp;(IF($C421="","Commercial",$C421))),Variables!$B$1:$D$1,0),1))*AC421)+(T421*INDEX(Variables!$B$9:$D$9,IFERROR(MATCH(IF($B421="Robusta","Robusta",(IF($B421="","Arabica",$B421))&amp;" - "&amp;(IF($C421="","Commercial",$C421))),Variables!$B$1:$D$1,0),1))*AC421/365),""))</f>
        <v>8512.479466227438</v>
      </c>
      <c r="AU421" s="12">
        <f>IF($H421="Cancelled","",IFERROR((T421*INDEX(Variables!$B$7:$D$7,IFERROR(MATCH(IF($B421="Robusta","Robusta",(IF($B421="","Arabica",$B421))&amp;" - "&amp;(IF($C421="","Commercial",$C421))),Variables!$B$1:$D$1,0),1))*AP421/365)+(L421/16.67*INDEX(Variables!$B$8:$D$8,IFERROR(MATCH(IF($B421="Robusta","Robusta",(IF($B421="","Arabica",$B421))&amp;" - "&amp;(IF($C421="","Commercial",$C421))),Variables!$B$1:$D$1,0),1))*AP421)+(T421*INDEX(Variables!$B$9:$D$9,IFERROR(MATCH(IF($B421="Robusta","Robusta",(IF($B421="","Arabica",$B421))&amp;" - "&amp;(IF($C421="","Commercial",$C421))),Variables!$B$1:$D$1,0),1))*AP421/365),""))</f>
        <v>-1134.9972621636584</v>
      </c>
      <c r="AV421" s="11">
        <f t="shared" si="45"/>
        <v>-3</v>
      </c>
      <c r="AW421" s="12">
        <f>IF($H421="Cancelled","",IFERROR(IF(AV421="","",(T421*INDEX(Variables!$B$7:$D$7,IFERROR(MATCH(IF($B421="Robusta","Robusta",(IF($B421="","Arabica",$B421))&amp;" - "&amp;(IF($C421="","Commercial",$C421))),Variables!$B$1:$D$1,0),1))*(AV421/365))+(T421*INDEX(Variables!$B$9:$D$9,IFERROR(MATCH(IF($B421="Robusta","Robusta",(IF($B421="","Arabica",$B421))&amp;" - "&amp;(IF($C421="","Commercial",$C421))),Variables!$B$1:$D$1,0),1))*(AV421/365))+(INDEX(Variables!$B$8:$D$8,IFERROR(MATCH(IF($B421="Robusta","Robusta",(IF($B421="","Arabica",$B421))&amp;" - "&amp;(IF($C421="","Commercial",$C421))),Variables!$B$1:$D$1,0),1))*L421/16.67)),""))</f>
        <v>-207.49863108182916</v>
      </c>
      <c r="AX421" s="9"/>
      <c r="AY421" s="12"/>
      <c r="AZ421" s="10"/>
      <c r="BA421" s="9"/>
      <c r="BB421" s="10"/>
      <c r="BC421" s="9"/>
      <c r="BD421" s="9"/>
      <c r="BE421" s="9"/>
      <c r="BF421" s="9"/>
    </row>
    <row r="422" spans="1:58" x14ac:dyDescent="0.25">
      <c r="A422" s="9" t="s">
        <v>84</v>
      </c>
      <c r="B422" s="9" t="s">
        <v>85</v>
      </c>
      <c r="C422" s="9" t="s">
        <v>86</v>
      </c>
      <c r="D422" s="10">
        <v>45805</v>
      </c>
      <c r="E422" s="10">
        <v>45901</v>
      </c>
      <c r="F422" s="10">
        <v>45930</v>
      </c>
      <c r="G422" s="9">
        <v>3786924</v>
      </c>
      <c r="H422" s="9" t="str">
        <f t="shared" si="43"/>
        <v>Closed</v>
      </c>
      <c r="I422" s="9" t="str">
        <f t="shared" si="44"/>
        <v>All dates received</v>
      </c>
      <c r="J422" s="9" t="s">
        <v>367</v>
      </c>
      <c r="K422" s="9" t="s">
        <v>1079</v>
      </c>
      <c r="L422" s="11">
        <v>640</v>
      </c>
      <c r="M422" s="9" t="s">
        <v>334</v>
      </c>
      <c r="N422" s="9" t="s">
        <v>334</v>
      </c>
      <c r="O422" s="9"/>
      <c r="P422" s="9"/>
      <c r="Q422" s="11">
        <v>41</v>
      </c>
      <c r="R422" s="9" t="s">
        <v>90</v>
      </c>
      <c r="S422" s="9" t="s">
        <v>207</v>
      </c>
      <c r="T422" s="12">
        <f>IF($H422="Cancelled","",IFERROR(((Q422+INDEX(Variables!$B$6:$D$6,IFERROR(MATCH(IF($B422="Robusta","Robusta",(IF($B422="","Arabica",$B422))&amp;" - "&amp;(IF($C422="","Commercial",$C422))),Variables!$B$1:$D$1,0),1)))*22.0462)*(L422/16.67),""))</f>
        <v>280837.11232153565</v>
      </c>
      <c r="U422" s="10">
        <v>45884</v>
      </c>
      <c r="V422" s="9" t="str">
        <f>IF(ISNUMBER(U422),"Sent","")</f>
        <v>Sent</v>
      </c>
      <c r="W422" s="10">
        <v>45892</v>
      </c>
      <c r="X422" s="9" t="str">
        <f t="shared" si="48"/>
        <v>Approved</v>
      </c>
      <c r="Y422" s="10"/>
      <c r="Z422" s="10">
        <f>IF($H422="Cancelled","",IFERROR(IF(F422="","",F422-Variables!$B$13),""))</f>
        <v>45915</v>
      </c>
      <c r="AA422" s="11">
        <f>IF($H422="Cancelled","",IFERROR(IF(W422="","",(AVERAGE(E422:F422)-W422)-Variables!$B$14),""))</f>
        <v>-6.5</v>
      </c>
      <c r="AB422" s="10">
        <v>45919</v>
      </c>
      <c r="AC422" s="11">
        <f>IF($H422="Cancelled","",IFERROR(IF(AB422="","",IF(AND(W422="",Y422=""),"",IF(Y422&gt;W422,Y422+Variables!$B$15+Variables!$B$16+Variables!$B$17-AB422,W422+Variables!$B$16+Variables!$B$17-AB422))),""))</f>
        <v>-19</v>
      </c>
      <c r="AD422" s="9" t="s">
        <v>163</v>
      </c>
      <c r="AE422" s="9" t="s">
        <v>1080</v>
      </c>
      <c r="AF422" s="10"/>
      <c r="AG422" s="10"/>
      <c r="AH422" s="9"/>
      <c r="AI422" s="9">
        <v>258909630</v>
      </c>
      <c r="AJ422" s="9" t="s">
        <v>8</v>
      </c>
      <c r="AK422" s="10">
        <v>45936</v>
      </c>
      <c r="AL422" s="10">
        <v>45937</v>
      </c>
      <c r="AM422" s="10">
        <v>45937</v>
      </c>
      <c r="AN422" s="9" t="s">
        <v>95</v>
      </c>
      <c r="AO422" s="9"/>
      <c r="AP422" s="11">
        <f>IF($H422="Cancelled","",IFERROR(IF(OR(AK422="",AB422=""),"",(AB422+Variables!$B$18-AK422)),""))</f>
        <v>-10</v>
      </c>
      <c r="AQ422" s="11">
        <f>IF($H422="Cancelled","",IFERROR(IF(OR(AM422="",AK422=""),"",(AK422+Variables!$B$19)-AM422),""))</f>
        <v>4</v>
      </c>
      <c r="AR422" s="12">
        <f>IF($H422="Cancelled","",IFERROR(T422*INDEX(Variables!$B$7:$D$7,IFERROR(MATCH(IF($B422="Robusta","Robusta",(IF($B422="","Arabica",$B422))&amp;" - "&amp;(IF($C422="","Commercial",$C422))),Variables!$B$1:$D$1,0),1))*(AQ422/365),""))</f>
        <v>198.45473801796962</v>
      </c>
      <c r="AS422" s="12">
        <f>IF($H422="Cancelled","",IFERROR((T422*INDEX(Variables!$B$7:$D$7,IFERROR(MATCH(IF($B422="Robusta","Robusta",(IF($B422="","Arabica",$B422))&amp;" - "&amp;(IF($C422="","Commercial",$C422))),Variables!$B$1:$D$1,0),1))*IFERROR(IF(W422="","",(AVERAGE(E422:F422)-W422)-Variables!$B$14),"")/365)+(L422/16.67*INDEX(Variables!$B$8:$D$8,IFERROR(MATCH(IF($B422="Robusta","Robusta",(IF($B422="","Arabica",$B422))&amp;" - "&amp;(IF($C422="","Commercial",$C422))),Variables!$B$1:$D$1,0),1))*IFERROR(IF(W422="","",(AVERAGE(E422:F422)-W422)-Variables!$B$14),""))+(T422*INDEX(Variables!$B$9:$D$9,IFERROR(MATCH(IF($B422="Robusta","Robusta",(IF($B422="","Arabica",$B422))&amp;" - "&amp;(IF($C422="","Commercial",$C422))),Variables!$B$1:$D$1,0),1))*IFERROR(IF(W422="","",(AVERAGE(E422:F422)-W422)-Variables!$B$14),"")/365),""))</f>
        <v>-534.6464541958411</v>
      </c>
      <c r="AT422" s="12">
        <f>IF($H422="Cancelled","",IFERROR((T422*INDEX(Variables!$B$7:$D$7,IFERROR(MATCH(IF($B422="Robusta","Robusta",(IF($B422="","Arabica",$B422))&amp;" - "&amp;(IF($C422="","Commercial",$C422))),Variables!$B$1:$D$1,0),1))*AC422/365)+(L422/16.67*INDEX(Variables!$B$8:$D$8,IFERROR(MATCH(IF($B422="Robusta","Robusta",(IF($B422="","Arabica",$B422))&amp;" - "&amp;(IF($C422="","Commercial",$C422))),Variables!$B$1:$D$1,0),1))*AC422)+(T422*INDEX(Variables!$B$9:$D$9,IFERROR(MATCH(IF($B422="Robusta","Robusta",(IF($B422="","Arabica",$B422))&amp;" - "&amp;(IF($C422="","Commercial",$C422))),Variables!$B$1:$D$1,0),1))*AC422/365),""))</f>
        <v>-1562.8127122647666</v>
      </c>
      <c r="AU422" s="12">
        <f>IF($H422="Cancelled","",IFERROR((T422*INDEX(Variables!$B$7:$D$7,IFERROR(MATCH(IF($B422="Robusta","Robusta",(IF($B422="","Arabica",$B422))&amp;" - "&amp;(IF($C422="","Commercial",$C422))),Variables!$B$1:$D$1,0),1))*AP422/365)+(L422/16.67*INDEX(Variables!$B$8:$D$8,IFERROR(MATCH(IF($B422="Robusta","Robusta",(IF($B422="","Arabica",$B422))&amp;" - "&amp;(IF($C422="","Commercial",$C422))),Variables!$B$1:$D$1,0),1))*AP422)+(T422*INDEX(Variables!$B$9:$D$9,IFERROR(MATCH(IF($B422="Robusta","Robusta",(IF($B422="","Arabica",$B422))&amp;" - "&amp;(IF($C422="","Commercial",$C422))),Variables!$B$1:$D$1,0),1))*AP422/365),""))</f>
        <v>-822.53300645514025</v>
      </c>
      <c r="AV422" s="11">
        <f t="shared" si="45"/>
        <v>-6</v>
      </c>
      <c r="AW422" s="12">
        <f>IF($H422="Cancelled","",IFERROR(IF(AV422="","",(T422*INDEX(Variables!$B$7:$D$7,IFERROR(MATCH(IF($B422="Robusta","Robusta",(IF($B422="","Arabica",$B422))&amp;" - "&amp;(IF($C422="","Commercial",$C422))),Variables!$B$1:$D$1,0),1))*(AV422/365))+(T422*INDEX(Variables!$B$9:$D$9,IFERROR(MATCH(IF($B422="Robusta","Robusta",(IF($B422="","Arabica",$B422))&amp;" - "&amp;(IF($C422="","Commercial",$C422))),Variables!$B$1:$D$1,0),1))*(AV422/365))+(INDEX(Variables!$B$8:$D$8,IFERROR(MATCH(IF($B422="Robusta","Robusta",(IF($B422="","Arabica",$B422))&amp;" - "&amp;(IF($C422="","Commercial",$C422))),Variables!$B$1:$D$1,0),1))*L422/16.67)),""))</f>
        <v>-269.51980387308413</v>
      </c>
      <c r="AX422" s="9"/>
      <c r="AY422" s="12"/>
      <c r="AZ422" s="10"/>
      <c r="BA422" s="9"/>
      <c r="BB422" s="10"/>
      <c r="BC422" s="9"/>
      <c r="BD422" s="9"/>
      <c r="BE422" s="9"/>
      <c r="BF422" s="9"/>
    </row>
    <row r="423" spans="1:58" x14ac:dyDescent="0.25">
      <c r="A423" s="9" t="s">
        <v>84</v>
      </c>
      <c r="B423" s="9" t="s">
        <v>85</v>
      </c>
      <c r="C423" s="9" t="s">
        <v>86</v>
      </c>
      <c r="D423" s="10">
        <v>45817</v>
      </c>
      <c r="E423" s="10">
        <v>45901</v>
      </c>
      <c r="F423" s="10">
        <v>45930</v>
      </c>
      <c r="G423" s="9">
        <v>3786925</v>
      </c>
      <c r="H423" s="9" t="str">
        <f t="shared" si="43"/>
        <v>Closed</v>
      </c>
      <c r="I423" s="9" t="str">
        <f t="shared" si="44"/>
        <v>All dates received</v>
      </c>
      <c r="J423" s="9" t="s">
        <v>494</v>
      </c>
      <c r="K423" s="9">
        <v>5324</v>
      </c>
      <c r="L423" s="11">
        <v>320</v>
      </c>
      <c r="M423" s="9" t="s">
        <v>1081</v>
      </c>
      <c r="N423" s="9" t="s">
        <v>126</v>
      </c>
      <c r="O423" s="9"/>
      <c r="P423" s="9"/>
      <c r="Q423" s="11">
        <v>35</v>
      </c>
      <c r="R423" s="9" t="s">
        <v>90</v>
      </c>
      <c r="S423" s="9" t="s">
        <v>207</v>
      </c>
      <c r="T423" s="12">
        <f>IF($H423="Cancelled","",IFERROR(((Q423+INDEX(Variables!$B$6:$D$6,IFERROR(MATCH(IF($B423="Robusta","Robusta",(IF($B423="","Arabica",$B423))&amp;" - "&amp;(IF($C423="","Commercial",$C423))),Variables!$B$1:$D$1,0),1)))*22.0462)*(L423/16.67),""))</f>
        <v>137879.34176364727</v>
      </c>
      <c r="U423" s="10"/>
      <c r="V423" s="9" t="str">
        <f>IF(ISNUMBER(U423),"Sent","")</f>
        <v/>
      </c>
      <c r="W423" s="10">
        <v>45885</v>
      </c>
      <c r="X423" s="9" t="str">
        <f t="shared" si="48"/>
        <v>Approved</v>
      </c>
      <c r="Y423" s="10">
        <v>45889</v>
      </c>
      <c r="Z423" s="10">
        <f>IF($H423="Cancelled","",IFERROR(IF(F423="","",F423-Variables!$B$13),""))</f>
        <v>45915</v>
      </c>
      <c r="AA423" s="11">
        <f>IF($H423="Cancelled","",IFERROR(IF(W423="","",(AVERAGE(E423:F423)-W423)-Variables!$B$14),""))</f>
        <v>0.5</v>
      </c>
      <c r="AB423" s="10">
        <v>45897</v>
      </c>
      <c r="AC423" s="11">
        <f>IF($H423="Cancelled","",IFERROR(IF(AB423="","",IF(AND(W423="",Y423=""),"",IF(Y423&gt;W423,Y423+Variables!$B$15+Variables!$B$16+Variables!$B$17-AB423,W423+Variables!$B$16+Variables!$B$17-AB423))),""))</f>
        <v>7</v>
      </c>
      <c r="AD423" s="9" t="s">
        <v>163</v>
      </c>
      <c r="AE423" s="9" t="s">
        <v>324</v>
      </c>
      <c r="AF423" s="10"/>
      <c r="AG423" s="10"/>
      <c r="AH423" s="9"/>
      <c r="AI423" s="9">
        <v>258708870</v>
      </c>
      <c r="AJ423" s="9" t="s">
        <v>8</v>
      </c>
      <c r="AK423" s="10">
        <v>45909</v>
      </c>
      <c r="AL423" s="10">
        <v>45910</v>
      </c>
      <c r="AM423" s="10">
        <v>45912</v>
      </c>
      <c r="AN423" s="9" t="s">
        <v>95</v>
      </c>
      <c r="AO423" s="9"/>
      <c r="AP423" s="11">
        <f>IF($H423="Cancelled","",IFERROR(IF(OR(AK423="",AB423=""),"",(AB423+Variables!$B$18-AK423)),""))</f>
        <v>-5</v>
      </c>
      <c r="AQ423" s="11">
        <f>IF($H423="Cancelled","",IFERROR(IF(OR(AM423="",AK423=""),"",(AK423+Variables!$B$19)-AM423),""))</f>
        <v>2</v>
      </c>
      <c r="AR423" s="12">
        <f>IF($H423="Cancelled","",IFERROR(T423*INDEX(Variables!$B$7:$D$7,IFERROR(MATCH(IF($B423="Robusta","Robusta",(IF($B423="","Arabica",$B423))&amp;" - "&amp;(IF($C423="","Commercial",$C423))),Variables!$B$1:$D$1,0),1))*(AQ423/365),""))</f>
        <v>48.716511186147159</v>
      </c>
      <c r="AS423" s="12">
        <f>IF($H423="Cancelled","",IFERROR((T423*INDEX(Variables!$B$7:$D$7,IFERROR(MATCH(IF($B423="Robusta","Robusta",(IF($B423="","Arabica",$B423))&amp;" - "&amp;(IF($C423="","Commercial",$C423))),Variables!$B$1:$D$1,0),1))*IFERROR(IF(W423="","",(AVERAGE(E423:F423)-W423)-Variables!$B$14),"")/365)+(L423/16.67*INDEX(Variables!$B$8:$D$8,IFERROR(MATCH(IF($B423="Robusta","Robusta",(IF($B423="","Arabica",$B423))&amp;" - "&amp;(IF($C423="","Commercial",$C423))),Variables!$B$1:$D$1,0),1))*IFERROR(IF(W423="","",(AVERAGE(E423:F423)-W423)-Variables!$B$14),""))+(T423*INDEX(Variables!$B$9:$D$9,IFERROR(MATCH(IF($B423="Robusta","Robusta",(IF($B423="","Arabica",$B423))&amp;" - "&amp;(IF($C423="","Commercial",$C423))),Variables!$B$1:$D$1,0),1))*IFERROR(IF(W423="","",(AVERAGE(E423:F423)-W423)-Variables!$B$14),"")/365),""))</f>
        <v>20.336140257917776</v>
      </c>
      <c r="AT423" s="12">
        <f>IF($H423="Cancelled","",IFERROR((T423*INDEX(Variables!$B$7:$D$7,IFERROR(MATCH(IF($B423="Robusta","Robusta",(IF($B423="","Arabica",$B423))&amp;" - "&amp;(IF($C423="","Commercial",$C423))),Variables!$B$1:$D$1,0),1))*AC423/365)+(L423/16.67*INDEX(Variables!$B$8:$D$8,IFERROR(MATCH(IF($B423="Robusta","Robusta",(IF($B423="","Arabica",$B423))&amp;" - "&amp;(IF($C423="","Commercial",$C423))),Variables!$B$1:$D$1,0),1))*AC423)+(T423*INDEX(Variables!$B$9:$D$9,IFERROR(MATCH(IF($B423="Robusta","Robusta",(IF($B423="","Arabica",$B423))&amp;" - "&amp;(IF($C423="","Commercial",$C423))),Variables!$B$1:$D$1,0),1))*AC423/365),""))</f>
        <v>284.70596361084887</v>
      </c>
      <c r="AU423" s="12">
        <f>IF($H423="Cancelled","",IFERROR((T423*INDEX(Variables!$B$7:$D$7,IFERROR(MATCH(IF($B423="Robusta","Robusta",(IF($B423="","Arabica",$B423))&amp;" - "&amp;(IF($C423="","Commercial",$C423))),Variables!$B$1:$D$1,0),1))*AP423/365)+(L423/16.67*INDEX(Variables!$B$8:$D$8,IFERROR(MATCH(IF($B423="Robusta","Robusta",(IF($B423="","Arabica",$B423))&amp;" - "&amp;(IF($C423="","Commercial",$C423))),Variables!$B$1:$D$1,0),1))*AP423)+(T423*INDEX(Variables!$B$9:$D$9,IFERROR(MATCH(IF($B423="Robusta","Robusta",(IF($B423="","Arabica",$B423))&amp;" - "&amp;(IF($C423="","Commercial",$C423))),Variables!$B$1:$D$1,0),1))*AP423/365),""))</f>
        <v>-203.36140257917776</v>
      </c>
      <c r="AV423" s="11">
        <f t="shared" si="45"/>
        <v>21</v>
      </c>
      <c r="AW423" s="12">
        <f>IF($H423="Cancelled","",IFERROR(IF(AV423="","",(T423*INDEX(Variables!$B$7:$D$7,IFERROR(MATCH(IF($B423="Robusta","Robusta",(IF($B423="","Arabica",$B423))&amp;" - "&amp;(IF($C423="","Commercial",$C423))),Variables!$B$1:$D$1,0),1))*(AV423/365))+(T423*INDEX(Variables!$B$9:$D$9,IFERROR(MATCH(IF($B423="Robusta","Robusta",(IF($B423="","Arabica",$B423))&amp;" - "&amp;(IF($C423="","Commercial",$C423))),Variables!$B$1:$D$1,0),1))*(AV423/365))+(INDEX(Variables!$B$8:$D$8,IFERROR(MATCH(IF($B423="Robusta","Robusta",(IF($B423="","Arabica",$B423))&amp;" - "&amp;(IF($C423="","Commercial",$C423))),Variables!$B$1:$D$1,0),1))*L423/16.67)),""))</f>
        <v>534.11789083254655</v>
      </c>
      <c r="AX423" s="9"/>
      <c r="AY423" s="12"/>
      <c r="AZ423" s="10"/>
      <c r="BA423" s="9"/>
      <c r="BB423" s="10"/>
      <c r="BC423" s="9"/>
      <c r="BD423" s="9"/>
      <c r="BE423" s="9"/>
      <c r="BF423" s="9"/>
    </row>
    <row r="424" spans="1:58" x14ac:dyDescent="0.25">
      <c r="A424" s="9" t="s">
        <v>84</v>
      </c>
      <c r="B424" s="9" t="s">
        <v>85</v>
      </c>
      <c r="C424" s="9" t="s">
        <v>86</v>
      </c>
      <c r="D424" s="10">
        <v>45817</v>
      </c>
      <c r="E424" s="10">
        <v>45931</v>
      </c>
      <c r="F424" s="10">
        <v>45961</v>
      </c>
      <c r="G424" s="9">
        <v>3786926</v>
      </c>
      <c r="H424" s="9" t="str">
        <f t="shared" si="43"/>
        <v>Closed</v>
      </c>
      <c r="I424" s="9" t="str">
        <f t="shared" si="44"/>
        <v>All dates received</v>
      </c>
      <c r="J424" s="9" t="s">
        <v>494</v>
      </c>
      <c r="K424" s="9">
        <v>5334</v>
      </c>
      <c r="L424" s="11">
        <v>320</v>
      </c>
      <c r="M424" s="9" t="s">
        <v>1081</v>
      </c>
      <c r="N424" s="9" t="s">
        <v>126</v>
      </c>
      <c r="O424" s="9"/>
      <c r="P424" s="9"/>
      <c r="Q424" s="11">
        <v>35</v>
      </c>
      <c r="R424" s="9" t="s">
        <v>90</v>
      </c>
      <c r="S424" s="9" t="s">
        <v>207</v>
      </c>
      <c r="T424" s="12">
        <f>IF($H424="Cancelled","",IFERROR(((Q424+INDEX(Variables!$B$6:$D$6,IFERROR(MATCH(IF($B424="Robusta","Robusta",(IF($B424="","Arabica",$B424))&amp;" - "&amp;(IF($C424="","Commercial",$C424))),Variables!$B$1:$D$1,0),1)))*22.0462)*(L424/16.67),""))</f>
        <v>137879.34176364727</v>
      </c>
      <c r="U424" s="10">
        <v>45898</v>
      </c>
      <c r="V424" s="9" t="str">
        <f>IF(ISNUMBER(U424),"Sent","")</f>
        <v>Sent</v>
      </c>
      <c r="W424" s="10"/>
      <c r="X424" s="9" t="str">
        <f t="shared" si="48"/>
        <v/>
      </c>
      <c r="Y424" s="10"/>
      <c r="Z424" s="10">
        <f>IF($H424="Cancelled","",IFERROR(IF(F424="","",F424-Variables!$B$13),""))</f>
        <v>45946</v>
      </c>
      <c r="AA424" s="11" t="str">
        <f>IF($H424="Cancelled","",IFERROR(IF(W424="","",(AVERAGE(E424:F424)-W424)-Variables!$B$14),""))</f>
        <v/>
      </c>
      <c r="AB424" s="10">
        <v>45929</v>
      </c>
      <c r="AC424" s="11" t="str">
        <f>IF($H424="Cancelled","",IFERROR(IF(AB424="","",IF(AND(W424="",Y424=""),"",IF(Y424&gt;W424,Y424+Variables!$B$15+Variables!$B$16+Variables!$B$17-AB424,W424+Variables!$B$16+Variables!$B$17-AB424))),""))</f>
        <v/>
      </c>
      <c r="AD424" s="9" t="s">
        <v>107</v>
      </c>
      <c r="AE424" s="9" t="s">
        <v>1082</v>
      </c>
      <c r="AF424" s="10"/>
      <c r="AG424" s="10"/>
      <c r="AH424" s="9"/>
      <c r="AI424" s="9" t="s">
        <v>1083</v>
      </c>
      <c r="AJ424" s="9" t="s">
        <v>8</v>
      </c>
      <c r="AK424" s="10">
        <v>45947</v>
      </c>
      <c r="AL424" s="10">
        <v>45954</v>
      </c>
      <c r="AM424" s="10">
        <v>45954</v>
      </c>
      <c r="AN424" s="9" t="s">
        <v>95</v>
      </c>
      <c r="AO424" s="9"/>
      <c r="AP424" s="11">
        <f>IF($H424="Cancelled","",IFERROR(IF(OR(AK424="",AB424=""),"",(AB424+Variables!$B$18-AK424)),""))</f>
        <v>-11</v>
      </c>
      <c r="AQ424" s="11">
        <f>IF($H424="Cancelled","",IFERROR(IF(OR(AM424="",AK424=""),"",(AK424+Variables!$B$19)-AM424),""))</f>
        <v>-2</v>
      </c>
      <c r="AR424" s="12">
        <f>IF($H424="Cancelled","",IFERROR(T424*INDEX(Variables!$B$7:$D$7,IFERROR(MATCH(IF($B424="Robusta","Robusta",(IF($B424="","Arabica",$B424))&amp;" - "&amp;(IF($C424="","Commercial",$C424))),Variables!$B$1:$D$1,0),1))*(AQ424/365),""))</f>
        <v>-48.716511186147159</v>
      </c>
      <c r="AS424" s="12" t="str">
        <f>IF($H424="Cancelled","",IFERROR((T424*INDEX(Variables!$B$7:$D$7,IFERROR(MATCH(IF($B424="Robusta","Robusta",(IF($B424="","Arabica",$B424))&amp;" - "&amp;(IF($C424="","Commercial",$C424))),Variables!$B$1:$D$1,0),1))*IFERROR(IF(W424="","",(AVERAGE(E424:F424)-W424)-Variables!$B$14),"")/365)+(L424/16.67*INDEX(Variables!$B$8:$D$8,IFERROR(MATCH(IF($B424="Robusta","Robusta",(IF($B424="","Arabica",$B424))&amp;" - "&amp;(IF($C424="","Commercial",$C424))),Variables!$B$1:$D$1,0),1))*IFERROR(IF(W424="","",(AVERAGE(E424:F424)-W424)-Variables!$B$14),""))+(T424*INDEX(Variables!$B$9:$D$9,IFERROR(MATCH(IF($B424="Robusta","Robusta",(IF($B424="","Arabica",$B424))&amp;" - "&amp;(IF($C424="","Commercial",$C424))),Variables!$B$1:$D$1,0),1))*IFERROR(IF(W424="","",(AVERAGE(E424:F424)-W424)-Variables!$B$14),"")/365),""))</f>
        <v/>
      </c>
      <c r="AT424" s="12" t="str">
        <f>IF($H424="Cancelled","",IFERROR((T424*INDEX(Variables!$B$7:$D$7,IFERROR(MATCH(IF($B424="Robusta","Robusta",(IF($B424="","Arabica",$B424))&amp;" - "&amp;(IF($C424="","Commercial",$C424))),Variables!$B$1:$D$1,0),1))*AC424/365)+(L424/16.67*INDEX(Variables!$B$8:$D$8,IFERROR(MATCH(IF($B424="Robusta","Robusta",(IF($B424="","Arabica",$B424))&amp;" - "&amp;(IF($C424="","Commercial",$C424))),Variables!$B$1:$D$1,0),1))*AC424)+(T424*INDEX(Variables!$B$9:$D$9,IFERROR(MATCH(IF($B424="Robusta","Robusta",(IF($B424="","Arabica",$B424))&amp;" - "&amp;(IF($C424="","Commercial",$C424))),Variables!$B$1:$D$1,0),1))*AC424/365),""))</f>
        <v/>
      </c>
      <c r="AU424" s="12">
        <f>IF($H424="Cancelled","",IFERROR((T424*INDEX(Variables!$B$7:$D$7,IFERROR(MATCH(IF($B424="Robusta","Robusta",(IF($B424="","Arabica",$B424))&amp;" - "&amp;(IF($C424="","Commercial",$C424))),Variables!$B$1:$D$1,0),1))*AP424/365)+(L424/16.67*INDEX(Variables!$B$8:$D$8,IFERROR(MATCH(IF($B424="Robusta","Robusta",(IF($B424="","Arabica",$B424))&amp;" - "&amp;(IF($C424="","Commercial",$C424))),Variables!$B$1:$D$1,0),1))*AP424)+(T424*INDEX(Variables!$B$9:$D$9,IFERROR(MATCH(IF($B424="Robusta","Robusta",(IF($B424="","Arabica",$B424))&amp;" - "&amp;(IF($C424="","Commercial",$C424))),Variables!$B$1:$D$1,0),1))*AP424/365),""))</f>
        <v>-447.39508567419108</v>
      </c>
      <c r="AV424" s="11">
        <f t="shared" si="45"/>
        <v>14</v>
      </c>
      <c r="AW424" s="12">
        <f>IF($H424="Cancelled","",IFERROR(IF(AV424="","",(T424*INDEX(Variables!$B$7:$D$7,IFERROR(MATCH(IF($B424="Robusta","Robusta",(IF($B424="","Arabica",$B424))&amp;" - "&amp;(IF($C424="","Commercial",$C424))),Variables!$B$1:$D$1,0),1))*(AV424/365))+(T424*INDEX(Variables!$B$9:$D$9,IFERROR(MATCH(IF($B424="Robusta","Robusta",(IF($B424="","Arabica",$B424))&amp;" - "&amp;(IF($C424="","Commercial",$C424))),Variables!$B$1:$D$1,0),1))*(AV424/365))+(INDEX(Variables!$B$8:$D$8,IFERROR(MATCH(IF($B424="Robusta","Robusta",(IF($B424="","Arabica",$B424))&amp;" - "&amp;(IF($C424="","Commercial",$C424))),Variables!$B$1:$D$1,0),1))*L424/16.67)),""))</f>
        <v>361.41192722169774</v>
      </c>
      <c r="AX424" s="9"/>
      <c r="AY424" s="12"/>
      <c r="AZ424" s="10"/>
      <c r="BA424" s="9"/>
      <c r="BB424" s="10"/>
      <c r="BC424" s="9"/>
      <c r="BD424" s="9"/>
      <c r="BE424" s="9"/>
      <c r="BF424" s="9"/>
    </row>
    <row r="425" spans="1:58" x14ac:dyDescent="0.25">
      <c r="A425" s="9" t="s">
        <v>84</v>
      </c>
      <c r="B425" s="9" t="s">
        <v>85</v>
      </c>
      <c r="C425" s="9" t="s">
        <v>86</v>
      </c>
      <c r="D425" s="10">
        <v>45819</v>
      </c>
      <c r="E425" s="10">
        <v>45839</v>
      </c>
      <c r="F425" s="10">
        <v>45900</v>
      </c>
      <c r="G425" s="9">
        <v>3786930</v>
      </c>
      <c r="H425" s="9" t="str">
        <f t="shared" si="43"/>
        <v>Closed</v>
      </c>
      <c r="I425" s="9" t="str">
        <f t="shared" si="44"/>
        <v>All dates received</v>
      </c>
      <c r="J425" s="9" t="s">
        <v>240</v>
      </c>
      <c r="K425" s="9">
        <v>24179</v>
      </c>
      <c r="L425" s="11">
        <v>320</v>
      </c>
      <c r="M425" s="9" t="s">
        <v>1084</v>
      </c>
      <c r="N425" s="9" t="s">
        <v>960</v>
      </c>
      <c r="O425" s="9"/>
      <c r="P425" s="9"/>
      <c r="Q425" s="11">
        <v>-7</v>
      </c>
      <c r="R425" s="9" t="s">
        <v>195</v>
      </c>
      <c r="S425" s="9" t="s">
        <v>243</v>
      </c>
      <c r="T425" s="12">
        <f>IF($H425="Cancelled","",IFERROR(((Q425+INDEX(Variables!$B$6:$D$6,IFERROR(MATCH(IF($B425="Robusta","Robusta",(IF($B425="","Arabica",$B425))&amp;" - "&amp;(IF($C425="","Commercial",$C425))),Variables!$B$1:$D$1,0),1)))*22.0462)*(L425/16.67),""))</f>
        <v>120104.84098380322</v>
      </c>
      <c r="U425" s="10"/>
      <c r="V425" s="9" t="s">
        <v>195</v>
      </c>
      <c r="W425" s="10"/>
      <c r="X425" s="9" t="s">
        <v>195</v>
      </c>
      <c r="Y425" s="10"/>
      <c r="Z425" s="10">
        <f>IF($H425="Cancelled","",IFERROR(IF(F425="","",F425-Variables!$B$13),""))</f>
        <v>45885</v>
      </c>
      <c r="AA425" s="11" t="str">
        <f>IF($H425="Cancelled","",IFERROR(IF(W425="","",(AVERAGE(E425:F425)-W425)-Variables!$B$14),""))</f>
        <v/>
      </c>
      <c r="AB425" s="10"/>
      <c r="AC425" s="11" t="str">
        <f>IF($H425="Cancelled","",IFERROR(IF(AB425="","",IF(AND(W425="",Y425=""),"",IF(Y425&gt;W425,Y425+Variables!$B$15+Variables!$B$16+Variables!$B$17-AB425,W425+Variables!$B$16+Variables!$B$17-AB425))),""))</f>
        <v/>
      </c>
      <c r="AD425" s="9" t="s">
        <v>163</v>
      </c>
      <c r="AE425" s="9" t="s">
        <v>1085</v>
      </c>
      <c r="AF425" s="10"/>
      <c r="AG425" s="10"/>
      <c r="AH425" s="9"/>
      <c r="AI425" s="9">
        <v>255454690</v>
      </c>
      <c r="AJ425" s="9" t="s">
        <v>8</v>
      </c>
      <c r="AK425" s="10">
        <v>45861</v>
      </c>
      <c r="AL425" s="10">
        <v>45867</v>
      </c>
      <c r="AM425" s="10">
        <v>45883</v>
      </c>
      <c r="AN425" s="9" t="s">
        <v>1086</v>
      </c>
      <c r="AO425" s="9"/>
      <c r="AP425" s="11" t="str">
        <f>IF($H425="Cancelled","",IFERROR(IF(OR(AK425="",AB425=""),"",(AB425+Variables!$B$18-AK425)),""))</f>
        <v/>
      </c>
      <c r="AQ425" s="11">
        <f>IF($H425="Cancelled","",IFERROR(IF(OR(AM425="",AK425=""),"",(AK425+Variables!$B$19)-AM425),""))</f>
        <v>-17</v>
      </c>
      <c r="AR425" s="12">
        <f>IF($H425="Cancelled","",IFERROR(T425*INDEX(Variables!$B$7:$D$7,IFERROR(MATCH(IF($B425="Robusta","Robusta",(IF($B425="","Arabica",$B425))&amp;" - "&amp;(IF($C425="","Commercial",$C425))),Variables!$B$1:$D$1,0),1))*(AQ425/365),""))</f>
        <v>-360.70853264070837</v>
      </c>
      <c r="AS425" s="12" t="str">
        <f>IF($H425="Cancelled","",IFERROR((T425*INDEX(Variables!$B$7:$D$7,IFERROR(MATCH(IF($B425="Robusta","Robusta",(IF($B425="","Arabica",$B425))&amp;" - "&amp;(IF($C425="","Commercial",$C425))),Variables!$B$1:$D$1,0),1))*IFERROR(IF(W425="","",(AVERAGE(E425:F425)-W425)-Variables!$B$14),"")/365)+(L425/16.67*INDEX(Variables!$B$8:$D$8,IFERROR(MATCH(IF($B425="Robusta","Robusta",(IF($B425="","Arabica",$B425))&amp;" - "&amp;(IF($C425="","Commercial",$C425))),Variables!$B$1:$D$1,0),1))*IFERROR(IF(W425="","",(AVERAGE(E425:F425)-W425)-Variables!$B$14),""))+(T425*INDEX(Variables!$B$9:$D$9,IFERROR(MATCH(IF($B425="Robusta","Robusta",(IF($B425="","Arabica",$B425))&amp;" - "&amp;(IF($C425="","Commercial",$C425))),Variables!$B$1:$D$1,0),1))*IFERROR(IF(W425="","",(AVERAGE(E425:F425)-W425)-Variables!$B$14),"")/365),""))</f>
        <v/>
      </c>
      <c r="AT425" s="12" t="str">
        <f>IF($H425="Cancelled","",IFERROR((T425*INDEX(Variables!$B$7:$D$7,IFERROR(MATCH(IF($B425="Robusta","Robusta",(IF($B425="","Arabica",$B425))&amp;" - "&amp;(IF($C425="","Commercial",$C425))),Variables!$B$1:$D$1,0),1))*AC425/365)+(L425/16.67*INDEX(Variables!$B$8:$D$8,IFERROR(MATCH(IF($B425="Robusta","Robusta",(IF($B425="","Arabica",$B425))&amp;" - "&amp;(IF($C425="","Commercial",$C425))),Variables!$B$1:$D$1,0),1))*AC425)+(T425*INDEX(Variables!$B$9:$D$9,IFERROR(MATCH(IF($B425="Robusta","Robusta",(IF($B425="","Arabica",$B425))&amp;" - "&amp;(IF($C425="","Commercial",$C425))),Variables!$B$1:$D$1,0),1))*AC425/365),""))</f>
        <v/>
      </c>
      <c r="AU425" s="12" t="str">
        <f>IF($H425="Cancelled","",IFERROR((T425*INDEX(Variables!$B$7:$D$7,IFERROR(MATCH(IF($B425="Robusta","Robusta",(IF($B425="","Arabica",$B425))&amp;" - "&amp;(IF($C425="","Commercial",$C425))),Variables!$B$1:$D$1,0),1))*AP425/365)+(L425/16.67*INDEX(Variables!$B$8:$D$8,IFERROR(MATCH(IF($B425="Robusta","Robusta",(IF($B425="","Arabica",$B425))&amp;" - "&amp;(IF($C425="","Commercial",$C425))),Variables!$B$1:$D$1,0),1))*AP425)+(T425*INDEX(Variables!$B$9:$D$9,IFERROR(MATCH(IF($B425="Robusta","Robusta",(IF($B425="","Arabica",$B425))&amp;" - "&amp;(IF($C425="","Commercial",$C425))),Variables!$B$1:$D$1,0),1))*AP425/365),""))</f>
        <v/>
      </c>
      <c r="AV425" s="11">
        <f t="shared" si="45"/>
        <v>39</v>
      </c>
      <c r="AW425" s="12">
        <f>IF($H425="Cancelled","",IFERROR(IF(AV425="","",(T425*INDEX(Variables!$B$7:$D$7,IFERROR(MATCH(IF($B425="Robusta","Robusta",(IF($B425="","Arabica",$B425))&amp;" - "&amp;(IF($C425="","Commercial",$C425))),Variables!$B$1:$D$1,0),1))*(AV425/365))+(T425*INDEX(Variables!$B$9:$D$9,IFERROR(MATCH(IF($B425="Robusta","Robusta",(IF($B425="","Arabica",$B425))&amp;" - "&amp;(IF($C425="","Commercial",$C425))),Variables!$B$1:$D$1,0),1))*(AV425/365))+(INDEX(Variables!$B$8:$D$8,IFERROR(MATCH(IF($B425="Robusta","Robusta",(IF($B425="","Arabica",$B425))&amp;" - "&amp;(IF($C425="","Commercial",$C425))),Variables!$B$1:$D$1,0),1))*L425/16.67)),""))</f>
        <v>854.17598282802658</v>
      </c>
      <c r="AX425" s="9"/>
      <c r="AY425" s="12"/>
      <c r="AZ425" s="10"/>
      <c r="BA425" s="9"/>
      <c r="BB425" s="10"/>
      <c r="BC425" s="9"/>
      <c r="BD425" s="9"/>
      <c r="BE425" s="9"/>
      <c r="BF425" s="9"/>
    </row>
    <row r="426" spans="1:58" x14ac:dyDescent="0.25">
      <c r="A426" s="9" t="s">
        <v>84</v>
      </c>
      <c r="B426" s="9" t="s">
        <v>85</v>
      </c>
      <c r="C426" s="9" t="s">
        <v>86</v>
      </c>
      <c r="D426" s="10">
        <v>45821</v>
      </c>
      <c r="E426" s="10">
        <v>45821</v>
      </c>
      <c r="F426" s="10">
        <v>45869</v>
      </c>
      <c r="G426" s="9">
        <v>3786931</v>
      </c>
      <c r="H426" s="9" t="str">
        <f t="shared" si="43"/>
        <v>Closed</v>
      </c>
      <c r="I426" s="9" t="str">
        <f t="shared" si="44"/>
        <v>All dates received</v>
      </c>
      <c r="J426" s="9" t="s">
        <v>112</v>
      </c>
      <c r="K426" s="9">
        <v>5306</v>
      </c>
      <c r="L426" s="11">
        <v>320</v>
      </c>
      <c r="M426" s="9" t="s">
        <v>1087</v>
      </c>
      <c r="N426" s="9" t="s">
        <v>387</v>
      </c>
      <c r="O426" s="9"/>
      <c r="P426" s="9"/>
      <c r="Q426" s="11">
        <v>-48</v>
      </c>
      <c r="R426" s="9" t="s">
        <v>90</v>
      </c>
      <c r="S426" s="9" t="s">
        <v>117</v>
      </c>
      <c r="T426" s="12">
        <f>IF($H426="Cancelled","",IFERROR(((Q426+INDEX(Variables!$B$6:$D$6,IFERROR(MATCH(IF($B426="Robusta","Robusta",(IF($B426="","Arabica",$B426))&amp;" - "&amp;(IF($C426="","Commercial",$C426))),Variables!$B$1:$D$1,0),1)))*22.0462)*(L426/16.67),""))</f>
        <v>102753.54260347929</v>
      </c>
      <c r="U426" s="10">
        <v>45826</v>
      </c>
      <c r="V426" s="9" t="str">
        <f t="shared" ref="V426:V457" si="49">IF(ISNUMBER(U426),"Sent","")</f>
        <v>Sent</v>
      </c>
      <c r="W426" s="10">
        <v>45832</v>
      </c>
      <c r="X426" s="9" t="str">
        <f t="shared" ref="X426:X489" si="50">IF(ISNUMBER(W426),"Approved","")</f>
        <v>Approved</v>
      </c>
      <c r="Y426" s="10"/>
      <c r="Z426" s="10">
        <f>IF($H426="Cancelled","",IFERROR(IF(F426="","",F426-Variables!$B$13),""))</f>
        <v>45854</v>
      </c>
      <c r="AA426" s="11">
        <f>IF($H426="Cancelled","",IFERROR(IF(W426="","",(AVERAGE(E426:F426)-W426)-Variables!$B$14),""))</f>
        <v>-17</v>
      </c>
      <c r="AB426" s="10">
        <v>45839</v>
      </c>
      <c r="AC426" s="11">
        <f>IF($H426="Cancelled","",IFERROR(IF(AB426="","",IF(AND(W426="",Y426=""),"",IF(Y426&gt;W426,Y426+Variables!$B$15+Variables!$B$16+Variables!$B$17-AB426,W426+Variables!$B$16+Variables!$B$17-AB426))),""))</f>
        <v>1</v>
      </c>
      <c r="AD426" s="9" t="s">
        <v>165</v>
      </c>
      <c r="AE426" s="9" t="s">
        <v>174</v>
      </c>
      <c r="AF426" s="10"/>
      <c r="AG426" s="10"/>
      <c r="AH426" s="9"/>
      <c r="AI426" s="9" t="s">
        <v>1088</v>
      </c>
      <c r="AJ426" s="9" t="s">
        <v>1089</v>
      </c>
      <c r="AK426" s="10">
        <v>45857</v>
      </c>
      <c r="AL426" s="10">
        <v>45867</v>
      </c>
      <c r="AM426" s="10">
        <v>45867</v>
      </c>
      <c r="AN426" s="9" t="s">
        <v>95</v>
      </c>
      <c r="AO426" s="9"/>
      <c r="AP426" s="11">
        <f>IF($H426="Cancelled","",IFERROR(IF(OR(AK426="",AB426=""),"",(AB426+Variables!$B$18-AK426)),""))</f>
        <v>-11</v>
      </c>
      <c r="AQ426" s="11">
        <f>IF($H426="Cancelled","",IFERROR(IF(OR(AM426="",AK426=""),"",(AK426+Variables!$B$19)-AM426),""))</f>
        <v>-5</v>
      </c>
      <c r="AR426" s="12">
        <f>IF($H426="Cancelled","",IFERROR(T426*INDEX(Variables!$B$7:$D$7,IFERROR(MATCH(IF($B426="Robusta","Robusta",(IF($B426="","Arabica",$B426))&amp;" - "&amp;(IF($C426="","Commercial",$C426))),Variables!$B$1:$D$1,0),1))*(AQ426/365),""))</f>
        <v>-90.764034039261261</v>
      </c>
      <c r="AS426" s="12">
        <f>IF($H426="Cancelled","",IFERROR((T426*INDEX(Variables!$B$7:$D$7,IFERROR(MATCH(IF($B426="Robusta","Robusta",(IF($B426="","Arabica",$B426))&amp;" - "&amp;(IF($C426="","Commercial",$C426))),Variables!$B$1:$D$1,0),1))*IFERROR(IF(W426="","",(AVERAGE(E426:F426)-W426)-Variables!$B$14),"")/365)+(L426/16.67*INDEX(Variables!$B$8:$D$8,IFERROR(MATCH(IF($B426="Robusta","Robusta",(IF($B426="","Arabica",$B426))&amp;" - "&amp;(IF($C426="","Commercial",$C426))),Variables!$B$1:$D$1,0),1))*IFERROR(IF(W426="","",(AVERAGE(E426:F426)-W426)-Variables!$B$14),""))+(T426*INDEX(Variables!$B$9:$D$9,IFERROR(MATCH(IF($B426="Robusta","Robusta",(IF($B426="","Arabica",$B426))&amp;" - "&amp;(IF($C426="","Commercial",$C426))),Variables!$B$1:$D$1,0),1))*IFERROR(IF(W426="","",(AVERAGE(E426:F426)-W426)-Variables!$B$14),"")/365),""))</f>
        <v>-584.57613584150647</v>
      </c>
      <c r="AT426" s="12">
        <f>IF($H426="Cancelled","",IFERROR((T426*INDEX(Variables!$B$7:$D$7,IFERROR(MATCH(IF($B426="Robusta","Robusta",(IF($B426="","Arabica",$B426))&amp;" - "&amp;(IF($C426="","Commercial",$C426))),Variables!$B$1:$D$1,0),1))*AC426/365)+(L426/16.67*INDEX(Variables!$B$8:$D$8,IFERROR(MATCH(IF($B426="Robusta","Robusta",(IF($B426="","Arabica",$B426))&amp;" - "&amp;(IF($C426="","Commercial",$C426))),Variables!$B$1:$D$1,0),1))*AC426)+(T426*INDEX(Variables!$B$9:$D$9,IFERROR(MATCH(IF($B426="Robusta","Robusta",(IF($B426="","Arabica",$B426))&amp;" - "&amp;(IF($C426="","Commercial",$C426))),Variables!$B$1:$D$1,0),1))*AC426/365),""))</f>
        <v>34.38683152008862</v>
      </c>
      <c r="AU426" s="12">
        <f>IF($H426="Cancelled","",IFERROR((T426*INDEX(Variables!$B$7:$D$7,IFERROR(MATCH(IF($B426="Robusta","Robusta",(IF($B426="","Arabica",$B426))&amp;" - "&amp;(IF($C426="","Commercial",$C426))),Variables!$B$1:$D$1,0),1))*AP426/365)+(L426/16.67*INDEX(Variables!$B$8:$D$8,IFERROR(MATCH(IF($B426="Robusta","Robusta",(IF($B426="","Arabica",$B426))&amp;" - "&amp;(IF($C426="","Commercial",$C426))),Variables!$B$1:$D$1,0),1))*AP426)+(T426*INDEX(Variables!$B$9:$D$9,IFERROR(MATCH(IF($B426="Robusta","Robusta",(IF($B426="","Arabica",$B426))&amp;" - "&amp;(IF($C426="","Commercial",$C426))),Variables!$B$1:$D$1,0),1))*AP426/365),""))</f>
        <v>-378.25514672097478</v>
      </c>
      <c r="AV426" s="11">
        <f t="shared" si="45"/>
        <v>12</v>
      </c>
      <c r="AW426" s="12">
        <f>IF($H426="Cancelled","",IFERROR(IF(AV426="","",(T426*INDEX(Variables!$B$7:$D$7,IFERROR(MATCH(IF($B426="Robusta","Robusta",(IF($B426="","Arabica",$B426))&amp;" - "&amp;(IF($C426="","Commercial",$C426))),Variables!$B$1:$D$1,0),1))*(AV426/365))+(T426*INDEX(Variables!$B$9:$D$9,IFERROR(MATCH(IF($B426="Robusta","Robusta",(IF($B426="","Arabica",$B426))&amp;" - "&amp;(IF($C426="","Commercial",$C426))),Variables!$B$1:$D$1,0),1))*(AV426/365))+(INDEX(Variables!$B$8:$D$8,IFERROR(MATCH(IF($B426="Robusta","Robusta",(IF($B426="","Arabica",$B426))&amp;" - "&amp;(IF($C426="","Commercial",$C426))),Variables!$B$1:$D$1,0),1))*L426/16.67)),""))</f>
        <v>236.64197824106336</v>
      </c>
      <c r="AX426" s="9"/>
      <c r="AY426" s="12"/>
      <c r="AZ426" s="10"/>
      <c r="BA426" s="9"/>
      <c r="BB426" s="10"/>
      <c r="BC426" s="9"/>
      <c r="BD426" s="9"/>
      <c r="BE426" s="9"/>
      <c r="BF426" s="9"/>
    </row>
    <row r="427" spans="1:58" x14ac:dyDescent="0.25">
      <c r="A427" s="9" t="s">
        <v>84</v>
      </c>
      <c r="B427" s="9" t="s">
        <v>85</v>
      </c>
      <c r="C427" s="9" t="s">
        <v>86</v>
      </c>
      <c r="D427" s="10">
        <v>45821</v>
      </c>
      <c r="E427" s="10">
        <v>45901</v>
      </c>
      <c r="F427" s="10">
        <v>45930</v>
      </c>
      <c r="G427" s="9">
        <v>3786932</v>
      </c>
      <c r="H427" s="9" t="str">
        <f t="shared" si="43"/>
        <v>Closed</v>
      </c>
      <c r="I427" s="9" t="str">
        <f t="shared" si="44"/>
        <v>All dates received</v>
      </c>
      <c r="J427" s="9" t="s">
        <v>112</v>
      </c>
      <c r="K427" s="9">
        <v>5322</v>
      </c>
      <c r="L427" s="11">
        <v>640</v>
      </c>
      <c r="M427" s="9" t="s">
        <v>1090</v>
      </c>
      <c r="N427" s="9" t="s">
        <v>387</v>
      </c>
      <c r="O427" s="9"/>
      <c r="P427" s="9"/>
      <c r="Q427" s="11">
        <v>-45</v>
      </c>
      <c r="R427" s="9" t="s">
        <v>90</v>
      </c>
      <c r="S427" s="9" t="s">
        <v>117</v>
      </c>
      <c r="T427" s="12">
        <f>IF($H427="Cancelled","",IFERROR(((Q427+INDEX(Variables!$B$6:$D$6,IFERROR(MATCH(IF($B427="Robusta","Robusta",(IF($B427="","Arabica",$B427))&amp;" - "&amp;(IF($C427="","Commercial",$C427))),Variables!$B$1:$D$1,0),1)))*22.0462)*(L427/16.67),""))</f>
        <v>208046.29960407916</v>
      </c>
      <c r="U427" s="10">
        <v>45862</v>
      </c>
      <c r="V427" s="9" t="str">
        <f t="shared" si="49"/>
        <v>Sent</v>
      </c>
      <c r="W427" s="10">
        <v>45868</v>
      </c>
      <c r="X427" s="9" t="str">
        <f t="shared" si="50"/>
        <v>Approved</v>
      </c>
      <c r="Y427" s="10"/>
      <c r="Z427" s="10">
        <f>IF($H427="Cancelled","",IFERROR(IF(F427="","",F427-Variables!$B$13),""))</f>
        <v>45915</v>
      </c>
      <c r="AA427" s="11">
        <f>IF($H427="Cancelled","",IFERROR(IF(W427="","",(AVERAGE(E427:F427)-W427)-Variables!$B$14),""))</f>
        <v>17.5</v>
      </c>
      <c r="AB427" s="10">
        <v>45888</v>
      </c>
      <c r="AC427" s="11">
        <f>IF($H427="Cancelled","",IFERROR(IF(AB427="","",IF(AND(W427="",Y427=""),"",IF(Y427&gt;W427,Y427+Variables!$B$15+Variables!$B$16+Variables!$B$17-AB427,W427+Variables!$B$16+Variables!$B$17-AB427))),""))</f>
        <v>-12</v>
      </c>
      <c r="AD427" s="9" t="s">
        <v>107</v>
      </c>
      <c r="AE427" s="9" t="s">
        <v>818</v>
      </c>
      <c r="AF427" s="10"/>
      <c r="AG427" s="10"/>
      <c r="AH427" s="9"/>
      <c r="AI427" s="9" t="s">
        <v>1091</v>
      </c>
      <c r="AJ427" s="9" t="s">
        <v>1092</v>
      </c>
      <c r="AK427" s="10">
        <v>45900</v>
      </c>
      <c r="AL427" s="10">
        <v>45903</v>
      </c>
      <c r="AM427" s="10">
        <v>45905</v>
      </c>
      <c r="AN427" s="9" t="s">
        <v>95</v>
      </c>
      <c r="AO427" s="9"/>
      <c r="AP427" s="11">
        <f>IF($H427="Cancelled","",IFERROR(IF(OR(AK427="",AB427=""),"",(AB427+Variables!$B$18-AK427)),""))</f>
        <v>-5</v>
      </c>
      <c r="AQ427" s="11">
        <f>IF($H427="Cancelled","",IFERROR(IF(OR(AM427="",AK427=""),"",(AK427+Variables!$B$19)-AM427),""))</f>
        <v>0</v>
      </c>
      <c r="AR427" s="12">
        <f>IF($H427="Cancelled","",IFERROR(T427*INDEX(Variables!$B$7:$D$7,IFERROR(MATCH(IF($B427="Robusta","Robusta",(IF($B427="","Arabica",$B427))&amp;" - "&amp;(IF($C427="","Commercial",$C427))),Variables!$B$1:$D$1,0),1))*(AQ427/365),""))</f>
        <v>0</v>
      </c>
      <c r="AS427" s="12">
        <f>IF($H427="Cancelled","",IFERROR((T427*INDEX(Variables!$B$7:$D$7,IFERROR(MATCH(IF($B427="Robusta","Robusta",(IF($B427="","Arabica",$B427))&amp;" - "&amp;(IF($C427="","Commercial",$C427))),Variables!$B$1:$D$1,0),1))*IFERROR(IF(W427="","",(AVERAGE(E427:F427)-W427)-Variables!$B$14),"")/365)+(L427/16.67*INDEX(Variables!$B$8:$D$8,IFERROR(MATCH(IF($B427="Robusta","Robusta",(IF($B427="","Arabica",$B427))&amp;" - "&amp;(IF($C427="","Commercial",$C427))),Variables!$B$1:$D$1,0),1))*IFERROR(IF(W427="","",(AVERAGE(E427:F427)-W427)-Variables!$B$14),""))+(T427*INDEX(Variables!$B$9:$D$9,IFERROR(MATCH(IF($B427="Robusta","Robusta",(IF($B427="","Arabica",$B427))&amp;" - "&amp;(IF($C427="","Commercial",$C427))),Variables!$B$1:$D$1,0),1))*IFERROR(IF(W427="","",(AVERAGE(E427:F427)-W427)-Variables!$B$14),"")/365),""))</f>
        <v>1211.490574824227</v>
      </c>
      <c r="AT427" s="12">
        <f>IF($H427="Cancelled","",IFERROR((T427*INDEX(Variables!$B$7:$D$7,IFERROR(MATCH(IF($B427="Robusta","Robusta",(IF($B427="","Arabica",$B427))&amp;" - "&amp;(IF($C427="","Commercial",$C427))),Variables!$B$1:$D$1,0),1))*AC427/365)+(L427/16.67*INDEX(Variables!$B$8:$D$8,IFERROR(MATCH(IF($B427="Robusta","Robusta",(IF($B427="","Arabica",$B427))&amp;" - "&amp;(IF($C427="","Commercial",$C427))),Variables!$B$1:$D$1,0),1))*AC427)+(T427*INDEX(Variables!$B$9:$D$9,IFERROR(MATCH(IF($B427="Robusta","Robusta",(IF($B427="","Arabica",$B427))&amp;" - "&amp;(IF($C427="","Commercial",$C427))),Variables!$B$1:$D$1,0),1))*AC427/365),""))</f>
        <v>-830.73639416518449</v>
      </c>
      <c r="AU427" s="12">
        <f>IF($H427="Cancelled","",IFERROR((T427*INDEX(Variables!$B$7:$D$7,IFERROR(MATCH(IF($B427="Robusta","Robusta",(IF($B427="","Arabica",$B427))&amp;" - "&amp;(IF($C427="","Commercial",$C427))),Variables!$B$1:$D$1,0),1))*AP427/365)+(L427/16.67*INDEX(Variables!$B$8:$D$8,IFERROR(MATCH(IF($B427="Robusta","Robusta",(IF($B427="","Arabica",$B427))&amp;" - "&amp;(IF($C427="","Commercial",$C427))),Variables!$B$1:$D$1,0),1))*AP427)+(T427*INDEX(Variables!$B$9:$D$9,IFERROR(MATCH(IF($B427="Robusta","Robusta",(IF($B427="","Arabica",$B427))&amp;" - "&amp;(IF($C427="","Commercial",$C427))),Variables!$B$1:$D$1,0),1))*AP427/365),""))</f>
        <v>-346.14016423549356</v>
      </c>
      <c r="AV427" s="11">
        <f t="shared" si="45"/>
        <v>30</v>
      </c>
      <c r="AW427" s="12">
        <f>IF($H427="Cancelled","",IFERROR(IF(AV427="","",(T427*INDEX(Variables!$B$7:$D$7,IFERROR(MATCH(IF($B427="Robusta","Robusta",(IF($B427="","Arabica",$B427))&amp;" - "&amp;(IF($C427="","Commercial",$C427))),Variables!$B$1:$D$1,0),1))*(AV427/365))+(T427*INDEX(Variables!$B$9:$D$9,IFERROR(MATCH(IF($B427="Robusta","Robusta",(IF($B427="","Arabica",$B427))&amp;" - "&amp;(IF($C427="","Commercial",$C427))),Variables!$B$1:$D$1,0),1))*(AV427/365))+(INDEX(Variables!$B$8:$D$8,IFERROR(MATCH(IF($B427="Robusta","Robusta",(IF($B427="","Arabica",$B427))&amp;" - "&amp;(IF($C427="","Commercial",$C427))),Variables!$B$1:$D$1,0),1))*L427/16.67)),""))</f>
        <v>1148.8409854129611</v>
      </c>
      <c r="AX427" s="9"/>
      <c r="AY427" s="12"/>
      <c r="AZ427" s="10"/>
      <c r="BA427" s="9"/>
      <c r="BB427" s="10"/>
      <c r="BC427" s="9"/>
      <c r="BD427" s="9"/>
      <c r="BE427" s="9"/>
      <c r="BF427" s="9"/>
    </row>
    <row r="428" spans="1:58" x14ac:dyDescent="0.25">
      <c r="A428" s="9" t="s">
        <v>84</v>
      </c>
      <c r="B428" s="9" t="s">
        <v>85</v>
      </c>
      <c r="C428" s="9" t="s">
        <v>86</v>
      </c>
      <c r="D428" s="10">
        <v>45821</v>
      </c>
      <c r="E428" s="10">
        <v>45901</v>
      </c>
      <c r="F428" s="10">
        <v>45930</v>
      </c>
      <c r="G428" s="9">
        <v>3786939</v>
      </c>
      <c r="H428" s="9" t="str">
        <f t="shared" si="43"/>
        <v>Closed</v>
      </c>
      <c r="I428" s="9" t="str">
        <f t="shared" si="44"/>
        <v>All dates received</v>
      </c>
      <c r="J428" s="9" t="s">
        <v>235</v>
      </c>
      <c r="K428" s="9">
        <v>5329</v>
      </c>
      <c r="L428" s="11">
        <v>320</v>
      </c>
      <c r="M428" s="9" t="s">
        <v>1093</v>
      </c>
      <c r="N428" s="9" t="s">
        <v>334</v>
      </c>
      <c r="O428" s="9"/>
      <c r="P428" s="9"/>
      <c r="Q428" s="11">
        <v>68</v>
      </c>
      <c r="R428" s="9" t="s">
        <v>90</v>
      </c>
      <c r="S428" s="9" t="s">
        <v>106</v>
      </c>
      <c r="T428" s="12">
        <f>IF($H428="Cancelled","",IFERROR(((Q428+INDEX(Variables!$B$6:$D$6,IFERROR(MATCH(IF($B428="Robusta","Robusta",(IF($B428="","Arabica",$B428))&amp;" - "&amp;(IF($C428="","Commercial",$C428))),Variables!$B$1:$D$1,0),1)))*22.0462)*(L428/16.67),""))</f>
        <v>151845.02094781041</v>
      </c>
      <c r="U428" s="10">
        <v>45892</v>
      </c>
      <c r="V428" s="9" t="str">
        <f t="shared" si="49"/>
        <v>Sent</v>
      </c>
      <c r="W428" s="10">
        <v>45898</v>
      </c>
      <c r="X428" s="9" t="str">
        <f t="shared" si="50"/>
        <v>Approved</v>
      </c>
      <c r="Y428" s="10"/>
      <c r="Z428" s="10">
        <f>IF($H428="Cancelled","",IFERROR(IF(F428="","",F428-Variables!$B$13),""))</f>
        <v>45915</v>
      </c>
      <c r="AA428" s="11">
        <f>IF($H428="Cancelled","",IFERROR(IF(W428="","",(AVERAGE(E428:F428)-W428)-Variables!$B$14),""))</f>
        <v>-12.5</v>
      </c>
      <c r="AB428" s="10">
        <v>45918</v>
      </c>
      <c r="AC428" s="11">
        <f>IF($H428="Cancelled","",IFERROR(IF(AB428="","",IF(AND(W428="",Y428=""),"",IF(Y428&gt;W428,Y428+Variables!$B$15+Variables!$B$16+Variables!$B$17-AB428,W428+Variables!$B$16+Variables!$B$17-AB428))),""))</f>
        <v>-12</v>
      </c>
      <c r="AD428" s="9" t="s">
        <v>165</v>
      </c>
      <c r="AE428" s="9" t="s">
        <v>942</v>
      </c>
      <c r="AF428" s="10"/>
      <c r="AG428" s="10"/>
      <c r="AH428" s="9"/>
      <c r="AI428" s="9" t="s">
        <v>1094</v>
      </c>
      <c r="AJ428" s="9" t="s">
        <v>8</v>
      </c>
      <c r="AK428" s="10">
        <v>45928</v>
      </c>
      <c r="AL428" s="10">
        <v>45930</v>
      </c>
      <c r="AM428" s="10">
        <v>45930</v>
      </c>
      <c r="AN428" s="9" t="s">
        <v>95</v>
      </c>
      <c r="AO428" s="9"/>
      <c r="AP428" s="11">
        <f>IF($H428="Cancelled","",IFERROR(IF(OR(AK428="",AB428=""),"",(AB428+Variables!$B$18-AK428)),""))</f>
        <v>-3</v>
      </c>
      <c r="AQ428" s="11">
        <f>IF($H428="Cancelled","",IFERROR(IF(OR(AM428="",AK428=""),"",(AK428+Variables!$B$19)-AM428),""))</f>
        <v>3</v>
      </c>
      <c r="AR428" s="12">
        <f>IF($H428="Cancelled","",IFERROR(T428*INDEX(Variables!$B$7:$D$7,IFERROR(MATCH(IF($B428="Robusta","Robusta",(IF($B428="","Arabica",$B428))&amp;" - "&amp;(IF($C428="","Commercial",$C428))),Variables!$B$1:$D$1,0),1))*(AQ428/365),""))</f>
        <v>80.476446655569035</v>
      </c>
      <c r="AS428" s="12">
        <f>IF($H428="Cancelled","",IFERROR((T428*INDEX(Variables!$B$7:$D$7,IFERROR(MATCH(IF($B428="Robusta","Robusta",(IF($B428="","Arabica",$B428))&amp;" - "&amp;(IF($C428="","Commercial",$C428))),Variables!$B$1:$D$1,0),1))*IFERROR(IF(W428="","",(AVERAGE(E428:F428)-W428)-Variables!$B$14),"")/365)+(L428/16.67*INDEX(Variables!$B$8:$D$8,IFERROR(MATCH(IF($B428="Robusta","Robusta",(IF($B428="","Arabica",$B428))&amp;" - "&amp;(IF($C428="","Commercial",$C428))),Variables!$B$1:$D$1,0),1))*IFERROR(IF(W428="","",(AVERAGE(E428:F428)-W428)-Variables!$B$14),""))+(T428*INDEX(Variables!$B$9:$D$9,IFERROR(MATCH(IF($B428="Robusta","Robusta",(IF($B428="","Arabica",$B428))&amp;" - "&amp;(IF($C428="","Commercial",$C428))),Variables!$B$1:$D$1,0),1))*IFERROR(IF(W428="","",(AVERAGE(E428:F428)-W428)-Variables!$B$14),"")/365),""))</f>
        <v>-539.64143067379496</v>
      </c>
      <c r="AT428" s="12">
        <f>IF($H428="Cancelled","",IFERROR((T428*INDEX(Variables!$B$7:$D$7,IFERROR(MATCH(IF($B428="Robusta","Robusta",(IF($B428="","Arabica",$B428))&amp;" - "&amp;(IF($C428="","Commercial",$C428))),Variables!$B$1:$D$1,0),1))*AC428/365)+(L428/16.67*INDEX(Variables!$B$8:$D$8,IFERROR(MATCH(IF($B428="Robusta","Robusta",(IF($B428="","Arabica",$B428))&amp;" - "&amp;(IF($C428="","Commercial",$C428))),Variables!$B$1:$D$1,0),1))*AC428)+(T428*INDEX(Variables!$B$9:$D$9,IFERROR(MATCH(IF($B428="Robusta","Robusta",(IF($B428="","Arabica",$B428))&amp;" - "&amp;(IF($C428="","Commercial",$C428))),Variables!$B$1:$D$1,0),1))*AC428/365),""))</f>
        <v>-518.0557734468432</v>
      </c>
      <c r="AU428" s="12">
        <f>IF($H428="Cancelled","",IFERROR((T428*INDEX(Variables!$B$7:$D$7,IFERROR(MATCH(IF($B428="Robusta","Robusta",(IF($B428="","Arabica",$B428))&amp;" - "&amp;(IF($C428="","Commercial",$C428))),Variables!$B$1:$D$1,0),1))*AP428/365)+(L428/16.67*INDEX(Variables!$B$8:$D$8,IFERROR(MATCH(IF($B428="Robusta","Robusta",(IF($B428="","Arabica",$B428))&amp;" - "&amp;(IF($C428="","Commercial",$C428))),Variables!$B$1:$D$1,0),1))*AP428)+(T428*INDEX(Variables!$B$9:$D$9,IFERROR(MATCH(IF($B428="Robusta","Robusta",(IF($B428="","Arabica",$B428))&amp;" - "&amp;(IF($C428="","Commercial",$C428))),Variables!$B$1:$D$1,0),1))*AP428/365),""))</f>
        <v>-129.5139433617108</v>
      </c>
      <c r="AV428" s="11">
        <f t="shared" si="45"/>
        <v>2</v>
      </c>
      <c r="AW428" s="12">
        <f>IF($H428="Cancelled","",IFERROR(IF(AV428="","",(T428*INDEX(Variables!$B$7:$D$7,IFERROR(MATCH(IF($B428="Robusta","Robusta",(IF($B428="","Arabica",$B428))&amp;" - "&amp;(IF($C428="","Commercial",$C428))),Variables!$B$1:$D$1,0),1))*(AV428/365))+(T428*INDEX(Variables!$B$9:$D$9,IFERROR(MATCH(IF($B428="Robusta","Robusta",(IF($B428="","Arabica",$B428))&amp;" - "&amp;(IF($C428="","Commercial",$C428))),Variables!$B$1:$D$1,0),1))*(AV428/365))+(INDEX(Variables!$B$8:$D$8,IFERROR(MATCH(IF($B428="Robusta","Robusta",(IF($B428="","Arabica",$B428))&amp;" - "&amp;(IF($C428="","Commercial",$C428))),Variables!$B$1:$D$1,0),1))*L428/16.67)),""))</f>
        <v>70.34262890780721</v>
      </c>
      <c r="AX428" s="9"/>
      <c r="AY428" s="12"/>
      <c r="AZ428" s="10"/>
      <c r="BA428" s="9"/>
      <c r="BB428" s="10"/>
      <c r="BC428" s="9"/>
      <c r="BD428" s="9"/>
      <c r="BE428" s="9"/>
      <c r="BF428" s="9"/>
    </row>
    <row r="429" spans="1:58" x14ac:dyDescent="0.25">
      <c r="A429" s="9" t="s">
        <v>84</v>
      </c>
      <c r="B429" s="9" t="s">
        <v>85</v>
      </c>
      <c r="C429" s="9" t="s">
        <v>86</v>
      </c>
      <c r="D429" s="10">
        <v>45824</v>
      </c>
      <c r="E429" s="10">
        <v>45931</v>
      </c>
      <c r="F429" s="10">
        <v>45961</v>
      </c>
      <c r="G429" s="9">
        <v>3786933</v>
      </c>
      <c r="H429" s="9" t="str">
        <f t="shared" si="43"/>
        <v>Closed</v>
      </c>
      <c r="I429" s="9" t="str">
        <f t="shared" si="44"/>
        <v>All dates received</v>
      </c>
      <c r="J429" s="9" t="s">
        <v>1095</v>
      </c>
      <c r="K429" s="9">
        <v>5336</v>
      </c>
      <c r="L429" s="11">
        <v>320</v>
      </c>
      <c r="M429" s="9" t="s">
        <v>1096</v>
      </c>
      <c r="N429" s="9" t="s">
        <v>334</v>
      </c>
      <c r="O429" s="9"/>
      <c r="P429" s="9"/>
      <c r="Q429" s="11">
        <v>45</v>
      </c>
      <c r="R429" s="9" t="s">
        <v>90</v>
      </c>
      <c r="S429" s="9" t="s">
        <v>123</v>
      </c>
      <c r="T429" s="12">
        <f>IF($H429="Cancelled","",IFERROR(((Q429+INDEX(Variables!$B$6:$D$6,IFERROR(MATCH(IF($B429="Robusta","Robusta",(IF($B429="","Arabica",$B429))&amp;" - "&amp;(IF($C429="","Commercial",$C429))),Variables!$B$1:$D$1,0),1)))*22.0462)*(L429/16.67),""))</f>
        <v>142111.3657588482</v>
      </c>
      <c r="U429" s="10">
        <v>45904</v>
      </c>
      <c r="V429" s="9" t="str">
        <f t="shared" si="49"/>
        <v>Sent</v>
      </c>
      <c r="W429" s="10">
        <v>45916</v>
      </c>
      <c r="X429" s="9" t="str">
        <f t="shared" si="50"/>
        <v>Approved</v>
      </c>
      <c r="Y429" s="10"/>
      <c r="Z429" s="10">
        <f>IF($H429="Cancelled","",IFERROR(IF(F429="","",F429-Variables!$B$13),""))</f>
        <v>45946</v>
      </c>
      <c r="AA429" s="11">
        <f>IF($H429="Cancelled","",IFERROR(IF(W429="","",(AVERAGE(E429:F429)-W429)-Variables!$B$14),""))</f>
        <v>0</v>
      </c>
      <c r="AB429" s="10">
        <v>45938</v>
      </c>
      <c r="AC429" s="11">
        <f>IF($H429="Cancelled","",IFERROR(IF(AB429="","",IF(AND(W429="",Y429=""),"",IF(Y429&gt;W429,Y429+Variables!$B$15+Variables!$B$16+Variables!$B$17-AB429,W429+Variables!$B$16+Variables!$B$17-AB429))),""))</f>
        <v>-14</v>
      </c>
      <c r="AD429" s="9" t="s">
        <v>92</v>
      </c>
      <c r="AE429" s="9" t="s">
        <v>703</v>
      </c>
      <c r="AF429" s="10"/>
      <c r="AG429" s="10"/>
      <c r="AH429" s="9"/>
      <c r="AI429" s="9" t="s">
        <v>1097</v>
      </c>
      <c r="AJ429" s="9" t="s">
        <v>8</v>
      </c>
      <c r="AK429" s="10">
        <v>45951</v>
      </c>
      <c r="AL429" s="10">
        <v>45954</v>
      </c>
      <c r="AM429" s="10">
        <v>45959</v>
      </c>
      <c r="AN429" s="9" t="s">
        <v>95</v>
      </c>
      <c r="AO429" s="9"/>
      <c r="AP429" s="11">
        <f>IF($H429="Cancelled","",IFERROR(IF(OR(AK429="",AB429=""),"",(AB429+Variables!$B$18-AK429)),""))</f>
        <v>-6</v>
      </c>
      <c r="AQ429" s="11">
        <f>IF($H429="Cancelled","",IFERROR(IF(OR(AM429="",AK429=""),"",(AK429+Variables!$B$19)-AM429),""))</f>
        <v>-3</v>
      </c>
      <c r="AR429" s="12">
        <f>IF($H429="Cancelled","",IFERROR(T429*INDEX(Variables!$B$7:$D$7,IFERROR(MATCH(IF($B429="Robusta","Robusta",(IF($B429="","Arabica",$B429))&amp;" - "&amp;(IF($C429="","Commercial",$C429))),Variables!$B$1:$D$1,0),1))*(AQ429/365),""))</f>
        <v>-75.317700075083835</v>
      </c>
      <c r="AS429" s="12">
        <f>IF($H429="Cancelled","",IFERROR((T429*INDEX(Variables!$B$7:$D$7,IFERROR(MATCH(IF($B429="Robusta","Robusta",(IF($B429="","Arabica",$B429))&amp;" - "&amp;(IF($C429="","Commercial",$C429))),Variables!$B$1:$D$1,0),1))*IFERROR(IF(W429="","",(AVERAGE(E429:F429)-W429)-Variables!$B$14),"")/365)+(L429/16.67*INDEX(Variables!$B$8:$D$8,IFERROR(MATCH(IF($B429="Robusta","Robusta",(IF($B429="","Arabica",$B429))&amp;" - "&amp;(IF($C429="","Commercial",$C429))),Variables!$B$1:$D$1,0),1))*IFERROR(IF(W429="","",(AVERAGE(E429:F429)-W429)-Variables!$B$14),""))+(T429*INDEX(Variables!$B$9:$D$9,IFERROR(MATCH(IF($B429="Robusta","Robusta",(IF($B429="","Arabica",$B429))&amp;" - "&amp;(IF($C429="","Commercial",$C429))),Variables!$B$1:$D$1,0),1))*IFERROR(IF(W429="","",(AVERAGE(E429:F429)-W429)-Variables!$B$14),"")/365),""))</f>
        <v>0</v>
      </c>
      <c r="AT429" s="12">
        <f>IF($H429="Cancelled","",IFERROR((T429*INDEX(Variables!$B$7:$D$7,IFERROR(MATCH(IF($B429="Robusta","Robusta",(IF($B429="","Arabica",$B429))&amp;" - "&amp;(IF($C429="","Commercial",$C429))),Variables!$B$1:$D$1,0),1))*AC429/365)+(L429/16.67*INDEX(Variables!$B$8:$D$8,IFERROR(MATCH(IF($B429="Robusta","Robusta",(IF($B429="","Arabica",$B429))&amp;" - "&amp;(IF($C429="","Commercial",$C429))),Variables!$B$1:$D$1,0),1))*AC429)+(T429*INDEX(Variables!$B$9:$D$9,IFERROR(MATCH(IF($B429="Robusta","Robusta",(IF($B429="","Arabica",$B429))&amp;" - "&amp;(IF($C429="","Commercial",$C429))),Variables!$B$1:$D$1,0),1))*AC429/365),""))</f>
        <v>-580.01388938319849</v>
      </c>
      <c r="AU429" s="12">
        <f>IF($H429="Cancelled","",IFERROR((T429*INDEX(Variables!$B$7:$D$7,IFERROR(MATCH(IF($B429="Robusta","Robusta",(IF($B429="","Arabica",$B429))&amp;" - "&amp;(IF($C429="","Commercial",$C429))),Variables!$B$1:$D$1,0),1))*AP429/365)+(L429/16.67*INDEX(Variables!$B$8:$D$8,IFERROR(MATCH(IF($B429="Robusta","Robusta",(IF($B429="","Arabica",$B429))&amp;" - "&amp;(IF($C429="","Commercial",$C429))),Variables!$B$1:$D$1,0),1))*AP429)+(T429*INDEX(Variables!$B$9:$D$9,IFERROR(MATCH(IF($B429="Robusta","Robusta",(IF($B429="","Arabica",$B429))&amp;" - "&amp;(IF($C429="","Commercial",$C429))),Variables!$B$1:$D$1,0),1))*AP429/365),""))</f>
        <v>-248.57738116422792</v>
      </c>
      <c r="AV429" s="11">
        <f t="shared" si="45"/>
        <v>10</v>
      </c>
      <c r="AW429" s="12">
        <f>IF($H429="Cancelled","",IFERROR(IF(AV429="","",(T429*INDEX(Variables!$B$7:$D$7,IFERROR(MATCH(IF($B429="Robusta","Robusta",(IF($B429="","Arabica",$B429))&amp;" - "&amp;(IF($C429="","Commercial",$C429))),Variables!$B$1:$D$1,0),1))*(AV429/365))+(T429*INDEX(Variables!$B$9:$D$9,IFERROR(MATCH(IF($B429="Robusta","Robusta",(IF($B429="","Arabica",$B429))&amp;" - "&amp;(IF($C429="","Commercial",$C429))),Variables!$B$1:$D$1,0),1))*(AV429/365))+(INDEX(Variables!$B$8:$D$8,IFERROR(MATCH(IF($B429="Robusta","Robusta",(IF($B429="","Arabica",$B429))&amp;" - "&amp;(IF($C429="","Commercial",$C429))),Variables!$B$1:$D$1,0),1))*L429/16.67)),""))</f>
        <v>270.29563527371317</v>
      </c>
      <c r="AX429" s="9"/>
      <c r="AY429" s="12"/>
      <c r="AZ429" s="10"/>
      <c r="BA429" s="9"/>
      <c r="BB429" s="10"/>
      <c r="BC429" s="9"/>
      <c r="BD429" s="9"/>
      <c r="BE429" s="9"/>
      <c r="BF429" s="9"/>
    </row>
    <row r="430" spans="1:58" x14ac:dyDescent="0.25">
      <c r="A430" s="9" t="s">
        <v>84</v>
      </c>
      <c r="B430" s="9" t="s">
        <v>85</v>
      </c>
      <c r="C430" s="9" t="s">
        <v>86</v>
      </c>
      <c r="D430" s="10">
        <v>45828</v>
      </c>
      <c r="E430" s="10">
        <v>45870</v>
      </c>
      <c r="F430" s="10">
        <v>45900</v>
      </c>
      <c r="G430" s="9">
        <v>3786934</v>
      </c>
      <c r="H430" s="9" t="str">
        <f t="shared" si="43"/>
        <v>Closed</v>
      </c>
      <c r="I430" s="9" t="str">
        <f t="shared" si="44"/>
        <v>All dates received</v>
      </c>
      <c r="J430" s="9" t="s">
        <v>112</v>
      </c>
      <c r="K430" s="9">
        <v>5309</v>
      </c>
      <c r="L430" s="11">
        <v>320</v>
      </c>
      <c r="M430" s="9" t="s">
        <v>114</v>
      </c>
      <c r="N430" s="9" t="s">
        <v>334</v>
      </c>
      <c r="O430" s="9"/>
      <c r="P430" s="9"/>
      <c r="Q430" s="11">
        <v>40</v>
      </c>
      <c r="R430" s="9" t="s">
        <v>90</v>
      </c>
      <c r="S430" s="9" t="s">
        <v>117</v>
      </c>
      <c r="T430" s="12">
        <f>IF($H430="Cancelled","",IFERROR(((Q430+INDEX(Variables!$B$6:$D$6,IFERROR(MATCH(IF($B430="Robusta","Robusta",(IF($B430="","Arabica",$B430))&amp;" - "&amp;(IF($C430="","Commercial",$C430))),Variables!$B$1:$D$1,0),1)))*22.0462)*(L430/16.67),""))</f>
        <v>139995.35376124774</v>
      </c>
      <c r="U430" s="10">
        <v>45848</v>
      </c>
      <c r="V430" s="9" t="str">
        <f t="shared" si="49"/>
        <v>Sent</v>
      </c>
      <c r="W430" s="10">
        <v>45854</v>
      </c>
      <c r="X430" s="9" t="str">
        <f t="shared" si="50"/>
        <v>Approved</v>
      </c>
      <c r="Y430" s="10"/>
      <c r="Z430" s="10">
        <f>IF($H430="Cancelled","",IFERROR(IF(F430="","",F430-Variables!$B$13),""))</f>
        <v>45885</v>
      </c>
      <c r="AA430" s="11">
        <f>IF($H430="Cancelled","",IFERROR(IF(W430="","",(AVERAGE(E430:F430)-W430)-Variables!$B$14),""))</f>
        <v>1</v>
      </c>
      <c r="AB430" s="10">
        <v>45888</v>
      </c>
      <c r="AC430" s="11">
        <f>IF($H430="Cancelled","",IFERROR(IF(AB430="","",IF(AND(W430="",Y430=""),"",IF(Y430&gt;W430,Y430+Variables!$B$15+Variables!$B$16+Variables!$B$17-AB430,W430+Variables!$B$16+Variables!$B$17-AB430))),""))</f>
        <v>-26</v>
      </c>
      <c r="AD430" s="9" t="s">
        <v>1098</v>
      </c>
      <c r="AE430" s="9" t="s">
        <v>818</v>
      </c>
      <c r="AF430" s="10"/>
      <c r="AG430" s="10"/>
      <c r="AH430" s="9"/>
      <c r="AI430" s="9" t="s">
        <v>1099</v>
      </c>
      <c r="AJ430" s="9" t="s">
        <v>1092</v>
      </c>
      <c r="AK430" s="10">
        <v>45900</v>
      </c>
      <c r="AL430" s="10">
        <v>45903</v>
      </c>
      <c r="AM430" s="10">
        <v>45905</v>
      </c>
      <c r="AN430" s="9" t="s">
        <v>95</v>
      </c>
      <c r="AO430" s="9"/>
      <c r="AP430" s="11">
        <f>IF($H430="Cancelled","",IFERROR(IF(OR(AK430="",AB430=""),"",(AB430+Variables!$B$18-AK430)),""))</f>
        <v>-5</v>
      </c>
      <c r="AQ430" s="11">
        <f>IF($H430="Cancelled","",IFERROR(IF(OR(AM430="",AK430=""),"",(AK430+Variables!$B$19)-AM430),""))</f>
        <v>0</v>
      </c>
      <c r="AR430" s="12">
        <f>IF($H430="Cancelled","",IFERROR(T430*INDEX(Variables!$B$7:$D$7,IFERROR(MATCH(IF($B430="Robusta","Robusta",(IF($B430="","Arabica",$B430))&amp;" - "&amp;(IF($C430="","Commercial",$C430))),Variables!$B$1:$D$1,0),1))*(AQ430/365),""))</f>
        <v>0</v>
      </c>
      <c r="AS430" s="12">
        <f>IF($H430="Cancelled","",IFERROR((T430*INDEX(Variables!$B$7:$D$7,IFERROR(MATCH(IF($B430="Robusta","Robusta",(IF($B430="","Arabica",$B430))&amp;" - "&amp;(IF($C430="","Commercial",$C430))),Variables!$B$1:$D$1,0),1))*IFERROR(IF(W430="","",(AVERAGE(E430:F430)-W430)-Variables!$B$14),"")/365)+(L430/16.67*INDEX(Variables!$B$8:$D$8,IFERROR(MATCH(IF($B430="Robusta","Robusta",(IF($B430="","Arabica",$B430))&amp;" - "&amp;(IF($C430="","Commercial",$C430))),Variables!$B$1:$D$1,0),1))*IFERROR(IF(W430="","",(AVERAGE(E430:F430)-W430)-Variables!$B$14),""))+(T430*INDEX(Variables!$B$9:$D$9,IFERROR(MATCH(IF($B430="Robusta","Robusta",(IF($B430="","Arabica",$B430))&amp;" - "&amp;(IF($C430="","Commercial",$C430))),Variables!$B$1:$D$1,0),1))*IFERROR(IF(W430="","",(AVERAGE(E430:F430)-W430)-Variables!$B$14),"")/365),""))</f>
        <v>41.050922021603434</v>
      </c>
      <c r="AT430" s="12">
        <f>IF($H430="Cancelled","",IFERROR((T430*INDEX(Variables!$B$7:$D$7,IFERROR(MATCH(IF($B430="Robusta","Robusta",(IF($B430="","Arabica",$B430))&amp;" - "&amp;(IF($C430="","Commercial",$C430))),Variables!$B$1:$D$1,0),1))*AC430/365)+(L430/16.67*INDEX(Variables!$B$8:$D$8,IFERROR(MATCH(IF($B430="Robusta","Robusta",(IF($B430="","Arabica",$B430))&amp;" - "&amp;(IF($C430="","Commercial",$C430))),Variables!$B$1:$D$1,0),1))*AC430)+(T430*INDEX(Variables!$B$9:$D$9,IFERROR(MATCH(IF($B430="Robusta","Robusta",(IF($B430="","Arabica",$B430))&amp;" - "&amp;(IF($C430="","Commercial",$C430))),Variables!$B$1:$D$1,0),1))*AC430/365),""))</f>
        <v>-1067.3239725616895</v>
      </c>
      <c r="AU430" s="12">
        <f>IF($H430="Cancelled","",IFERROR((T430*INDEX(Variables!$B$7:$D$7,IFERROR(MATCH(IF($B430="Robusta","Robusta",(IF($B430="","Arabica",$B430))&amp;" - "&amp;(IF($C430="","Commercial",$C430))),Variables!$B$1:$D$1,0),1))*AP430/365)+(L430/16.67*INDEX(Variables!$B$8:$D$8,IFERROR(MATCH(IF($B430="Robusta","Robusta",(IF($B430="","Arabica",$B430))&amp;" - "&amp;(IF($C430="","Commercial",$C430))),Variables!$B$1:$D$1,0),1))*AP430)+(T430*INDEX(Variables!$B$9:$D$9,IFERROR(MATCH(IF($B430="Robusta","Robusta",(IF($B430="","Arabica",$B430))&amp;" - "&amp;(IF($C430="","Commercial",$C430))),Variables!$B$1:$D$1,0),1))*AP430/365),""))</f>
        <v>-205.25461010801715</v>
      </c>
      <c r="AV430" s="11">
        <f t="shared" si="45"/>
        <v>0</v>
      </c>
      <c r="AW430" s="12">
        <f>IF($H430="Cancelled","",IFERROR(IF(AV430="","",(T430*INDEX(Variables!$B$7:$D$7,IFERROR(MATCH(IF($B430="Robusta","Robusta",(IF($B430="","Arabica",$B430))&amp;" - "&amp;(IF($C430="","Commercial",$C430))),Variables!$B$1:$D$1,0),1))*(AV430/365))+(T430*INDEX(Variables!$B$9:$D$9,IFERROR(MATCH(IF($B430="Robusta","Robusta",(IF($B430="","Arabica",$B430))&amp;" - "&amp;(IF($C430="","Commercial",$C430))),Variables!$B$1:$D$1,0),1))*(AV430/365))+(INDEX(Variables!$B$8:$D$8,IFERROR(MATCH(IF($B430="Robusta","Robusta",(IF($B430="","Arabica",$B430))&amp;" - "&amp;(IF($C430="","Commercial",$C430))),Variables!$B$1:$D$1,0),1))*L430/16.67)),""))</f>
        <v>16</v>
      </c>
      <c r="AX430" s="9"/>
      <c r="AY430" s="12"/>
      <c r="AZ430" s="10"/>
      <c r="BA430" s="9"/>
      <c r="BB430" s="10"/>
      <c r="BC430" s="9"/>
      <c r="BD430" s="9"/>
      <c r="BE430" s="9"/>
      <c r="BF430" s="9"/>
    </row>
    <row r="431" spans="1:58" x14ac:dyDescent="0.25">
      <c r="A431" s="9" t="s">
        <v>84</v>
      </c>
      <c r="B431" s="9" t="s">
        <v>85</v>
      </c>
      <c r="C431" s="9" t="s">
        <v>86</v>
      </c>
      <c r="D431" s="10">
        <v>45835</v>
      </c>
      <c r="E431" s="10">
        <v>45870</v>
      </c>
      <c r="F431" s="10">
        <v>45900</v>
      </c>
      <c r="G431" s="9">
        <v>3786935</v>
      </c>
      <c r="H431" s="9" t="str">
        <f t="shared" si="43"/>
        <v>Closed</v>
      </c>
      <c r="I431" s="9" t="str">
        <f t="shared" si="44"/>
        <v>All dates received</v>
      </c>
      <c r="J431" s="9" t="s">
        <v>102</v>
      </c>
      <c r="K431" s="9">
        <v>5313</v>
      </c>
      <c r="L431" s="11">
        <v>720</v>
      </c>
      <c r="M431" s="9" t="s">
        <v>1100</v>
      </c>
      <c r="N431" s="9" t="s">
        <v>868</v>
      </c>
      <c r="O431" s="9"/>
      <c r="P431" s="9"/>
      <c r="Q431" s="11">
        <v>42</v>
      </c>
      <c r="R431" s="9" t="s">
        <v>90</v>
      </c>
      <c r="S431" s="9" t="s">
        <v>106</v>
      </c>
      <c r="T431" s="12">
        <f>IF($H431="Cancelled","",IFERROR(((Q431+INDEX(Variables!$B$6:$D$6,IFERROR(MATCH(IF($B431="Robusta","Robusta",(IF($B431="","Arabica",$B431))&amp;" - "&amp;(IF($C431="","Commercial",$C431))),Variables!$B$1:$D$1,0),1)))*22.0462)*(L431/16.67),""))</f>
        <v>316893.95676064782</v>
      </c>
      <c r="U431" s="10">
        <v>45848</v>
      </c>
      <c r="V431" s="9" t="str">
        <f t="shared" si="49"/>
        <v>Sent</v>
      </c>
      <c r="W431" s="10">
        <v>45856</v>
      </c>
      <c r="X431" s="9" t="str">
        <f t="shared" si="50"/>
        <v>Approved</v>
      </c>
      <c r="Y431" s="10"/>
      <c r="Z431" s="10">
        <f>IF($H431="Cancelled","",IFERROR(IF(F431="","",F431-Variables!$B$13),""))</f>
        <v>45885</v>
      </c>
      <c r="AA431" s="11">
        <f>IF($H431="Cancelled","",IFERROR(IF(W431="","",(AVERAGE(E431:F431)-W431)-Variables!$B$14),""))</f>
        <v>-1</v>
      </c>
      <c r="AB431" s="10">
        <v>45868</v>
      </c>
      <c r="AC431" s="11">
        <f>IF($H431="Cancelled","",IFERROR(IF(AB431="","",IF(AND(W431="",Y431=""),"",IF(Y431&gt;W431,Y431+Variables!$B$15+Variables!$B$16+Variables!$B$17-AB431,W431+Variables!$B$16+Variables!$B$17-AB431))),""))</f>
        <v>-4</v>
      </c>
      <c r="AD431" s="9" t="s">
        <v>163</v>
      </c>
      <c r="AE431" s="9" t="s">
        <v>219</v>
      </c>
      <c r="AF431" s="10"/>
      <c r="AG431" s="10"/>
      <c r="AH431" s="9"/>
      <c r="AI431" s="9">
        <v>257524138</v>
      </c>
      <c r="AJ431" s="9" t="s">
        <v>8</v>
      </c>
      <c r="AK431" s="10">
        <v>45883</v>
      </c>
      <c r="AL431" s="10">
        <v>45884</v>
      </c>
      <c r="AM431" s="10">
        <v>45884</v>
      </c>
      <c r="AN431" s="9" t="s">
        <v>95</v>
      </c>
      <c r="AO431" s="9"/>
      <c r="AP431" s="11">
        <f>IF($H431="Cancelled","",IFERROR(IF(OR(AK431="",AB431=""),"",(AB431+Variables!$B$18-AK431)),""))</f>
        <v>-8</v>
      </c>
      <c r="AQ431" s="11">
        <f>IF($H431="Cancelled","",IFERROR(IF(OR(AM431="",AK431=""),"",(AK431+Variables!$B$19)-AM431),""))</f>
        <v>4</v>
      </c>
      <c r="AR431" s="12">
        <f>IF($H431="Cancelled","",IFERROR(T431*INDEX(Variables!$B$7:$D$7,IFERROR(MATCH(IF($B431="Robusta","Robusta",(IF($B431="","Arabica",$B431))&amp;" - "&amp;(IF($C431="","Commercial",$C431))),Variables!$B$1:$D$1,0),1))*(AQ431/365),""))</f>
        <v>223.93446025897475</v>
      </c>
      <c r="AS431" s="12">
        <f>IF($H431="Cancelled","",IFERROR((T431*INDEX(Variables!$B$7:$D$7,IFERROR(MATCH(IF($B431="Robusta","Robusta",(IF($B431="","Arabica",$B431))&amp;" - "&amp;(IF($C431="","Commercial",$C431))),Variables!$B$1:$D$1,0),1))*IFERROR(IF(W431="","",(AVERAGE(E431:F431)-W431)-Variables!$B$14),"")/365)+(L431/16.67*INDEX(Variables!$B$8:$D$8,IFERROR(MATCH(IF($B431="Robusta","Robusta",(IF($B431="","Arabica",$B431))&amp;" - "&amp;(IF($C431="","Commercial",$C431))),Variables!$B$1:$D$1,0),1))*IFERROR(IF(W431="","",(AVERAGE(E431:F431)-W431)-Variables!$B$14),""))+(T431*INDEX(Variables!$B$9:$D$9,IFERROR(MATCH(IF($B431="Robusta","Robusta",(IF($B431="","Arabica",$B431))&amp;" - "&amp;(IF($C431="","Commercial",$C431))),Variables!$B$1:$D$1,0),1))*IFERROR(IF(W431="","",(AVERAGE(E431:F431)-W431)-Variables!$B$14),"")/365),""))</f>
        <v>-92.705351903798842</v>
      </c>
      <c r="AT431" s="12">
        <f>IF($H431="Cancelled","",IFERROR((T431*INDEX(Variables!$B$7:$D$7,IFERROR(MATCH(IF($B431="Robusta","Robusta",(IF($B431="","Arabica",$B431))&amp;" - "&amp;(IF($C431="","Commercial",$C431))),Variables!$B$1:$D$1,0),1))*AC431/365)+(L431/16.67*INDEX(Variables!$B$8:$D$8,IFERROR(MATCH(IF($B431="Robusta","Robusta",(IF($B431="","Arabica",$B431))&amp;" - "&amp;(IF($C431="","Commercial",$C431))),Variables!$B$1:$D$1,0),1))*AC431)+(T431*INDEX(Variables!$B$9:$D$9,IFERROR(MATCH(IF($B431="Robusta","Robusta",(IF($B431="","Arabica",$B431))&amp;" - "&amp;(IF($C431="","Commercial",$C431))),Variables!$B$1:$D$1,0),1))*AC431/365),""))</f>
        <v>-370.82140761519537</v>
      </c>
      <c r="AU431" s="12">
        <f>IF($H431="Cancelled","",IFERROR((T431*INDEX(Variables!$B$7:$D$7,IFERROR(MATCH(IF($B431="Robusta","Robusta",(IF($B431="","Arabica",$B431))&amp;" - "&amp;(IF($C431="","Commercial",$C431))),Variables!$B$1:$D$1,0),1))*AP431/365)+(L431/16.67*INDEX(Variables!$B$8:$D$8,IFERROR(MATCH(IF($B431="Robusta","Robusta",(IF($B431="","Arabica",$B431))&amp;" - "&amp;(IF($C431="","Commercial",$C431))),Variables!$B$1:$D$1,0),1))*AP431)+(T431*INDEX(Variables!$B$9:$D$9,IFERROR(MATCH(IF($B431="Robusta","Robusta",(IF($B431="","Arabica",$B431))&amp;" - "&amp;(IF($C431="","Commercial",$C431))),Variables!$B$1:$D$1,0),1))*AP431/365),""))</f>
        <v>-741.64281523039074</v>
      </c>
      <c r="AV431" s="11">
        <f t="shared" si="45"/>
        <v>17</v>
      </c>
      <c r="AW431" s="12">
        <f>IF($H431="Cancelled","",IFERROR(IF(AV431="","",(T431*INDEX(Variables!$B$7:$D$7,IFERROR(MATCH(IF($B431="Robusta","Robusta",(IF($B431="","Arabica",$B431))&amp;" - "&amp;(IF($C431="","Commercial",$C431))),Variables!$B$1:$D$1,0),1))*(AV431/365))+(T431*INDEX(Variables!$B$9:$D$9,IFERROR(MATCH(IF($B431="Robusta","Robusta",(IF($B431="","Arabica",$B431))&amp;" - "&amp;(IF($C431="","Commercial",$C431))),Variables!$B$1:$D$1,0),1))*(AV431/365))+(INDEX(Variables!$B$8:$D$8,IFERROR(MATCH(IF($B431="Robusta","Robusta",(IF($B431="","Arabica",$B431))&amp;" - "&amp;(IF($C431="","Commercial",$C431))),Variables!$B$1:$D$1,0),1))*L431/16.67)),""))</f>
        <v>999.99098236458019</v>
      </c>
      <c r="AX431" s="9"/>
      <c r="AY431" s="12"/>
      <c r="AZ431" s="10"/>
      <c r="BA431" s="9"/>
      <c r="BB431" s="10"/>
      <c r="BC431" s="9"/>
      <c r="BD431" s="9"/>
      <c r="BE431" s="9"/>
      <c r="BF431" s="9"/>
    </row>
    <row r="432" spans="1:58" x14ac:dyDescent="0.25">
      <c r="A432" s="9" t="s">
        <v>84</v>
      </c>
      <c r="B432" s="9" t="s">
        <v>85</v>
      </c>
      <c r="C432" s="9" t="s">
        <v>86</v>
      </c>
      <c r="D432" s="10">
        <v>45835</v>
      </c>
      <c r="E432" s="10">
        <v>45870</v>
      </c>
      <c r="F432" s="10">
        <v>45900</v>
      </c>
      <c r="G432" s="9">
        <v>3786936</v>
      </c>
      <c r="H432" s="9" t="str">
        <f t="shared" si="43"/>
        <v>Closed</v>
      </c>
      <c r="I432" s="9" t="str">
        <f t="shared" si="44"/>
        <v>All dates received</v>
      </c>
      <c r="J432" s="9" t="s">
        <v>102</v>
      </c>
      <c r="K432" s="9" t="s">
        <v>1101</v>
      </c>
      <c r="L432" s="11">
        <v>360</v>
      </c>
      <c r="M432" s="9" t="s">
        <v>1102</v>
      </c>
      <c r="N432" s="9" t="s">
        <v>868</v>
      </c>
      <c r="O432" s="9"/>
      <c r="P432" s="9"/>
      <c r="Q432" s="11">
        <v>30</v>
      </c>
      <c r="R432" s="9" t="s">
        <v>90</v>
      </c>
      <c r="S432" s="9" t="s">
        <v>178</v>
      </c>
      <c r="T432" s="12">
        <f>IF($H432="Cancelled","",IFERROR(((Q432+INDEX(Variables!$B$6:$D$6,IFERROR(MATCH(IF($B432="Robusta","Robusta",(IF($B432="","Arabica",$B432))&amp;" - "&amp;(IF($C432="","Commercial",$C432))),Variables!$B$1:$D$1,0),1)))*22.0462)*(L432/16.67),""))</f>
        <v>152733.74598680262</v>
      </c>
      <c r="U432" s="10">
        <v>45848</v>
      </c>
      <c r="V432" s="9" t="str">
        <f t="shared" si="49"/>
        <v>Sent</v>
      </c>
      <c r="W432" s="10">
        <v>45859</v>
      </c>
      <c r="X432" s="9" t="str">
        <f t="shared" si="50"/>
        <v>Approved</v>
      </c>
      <c r="Y432" s="10"/>
      <c r="Z432" s="10">
        <f>IF($H432="Cancelled","",IFERROR(IF(F432="","",F432-Variables!$B$13),""))</f>
        <v>45885</v>
      </c>
      <c r="AA432" s="11">
        <f>IF($H432="Cancelled","",IFERROR(IF(W432="","",(AVERAGE(E432:F432)-W432)-Variables!$B$14),""))</f>
        <v>-4</v>
      </c>
      <c r="AB432" s="10">
        <v>45866</v>
      </c>
      <c r="AC432" s="11">
        <f>IF($H432="Cancelled","",IFERROR(IF(AB432="","",IF(AND(W432="",Y432=""),"",IF(Y432&gt;W432,Y432+Variables!$B$15+Variables!$B$16+Variables!$B$17-AB432,W432+Variables!$B$16+Variables!$B$17-AB432))),""))</f>
        <v>1</v>
      </c>
      <c r="AD432" s="9" t="s">
        <v>107</v>
      </c>
      <c r="AE432" s="9" t="s">
        <v>1103</v>
      </c>
      <c r="AF432" s="10"/>
      <c r="AG432" s="10"/>
      <c r="AH432" s="9"/>
      <c r="AI432" s="9" t="s">
        <v>1104</v>
      </c>
      <c r="AJ432" s="9" t="s">
        <v>8</v>
      </c>
      <c r="AK432" s="10">
        <v>45888</v>
      </c>
      <c r="AL432" s="10">
        <v>45891</v>
      </c>
      <c r="AM432" s="10">
        <v>45891</v>
      </c>
      <c r="AN432" s="9" t="s">
        <v>95</v>
      </c>
      <c r="AO432" s="9"/>
      <c r="AP432" s="11">
        <f>IF($H432="Cancelled","",IFERROR(IF(OR(AK432="",AB432=""),"",(AB432+Variables!$B$18-AK432)),""))</f>
        <v>-15</v>
      </c>
      <c r="AQ432" s="11">
        <f>IF($H432="Cancelled","",IFERROR(IF(OR(AM432="",AK432=""),"",(AK432+Variables!$B$19)-AM432),""))</f>
        <v>2</v>
      </c>
      <c r="AR432" s="12">
        <f>IF($H432="Cancelled","",IFERROR(T432*INDEX(Variables!$B$7:$D$7,IFERROR(MATCH(IF($B432="Robusta","Robusta",(IF($B432="","Arabica",$B432))&amp;" - "&amp;(IF($C432="","Commercial",$C432))),Variables!$B$1:$D$1,0),1))*(AQ432/365),""))</f>
        <v>53.964975098466873</v>
      </c>
      <c r="AS432" s="12">
        <f>IF($H432="Cancelled","",IFERROR((T432*INDEX(Variables!$B$7:$D$7,IFERROR(MATCH(IF($B432="Robusta","Robusta",(IF($B432="","Arabica",$B432))&amp;" - "&amp;(IF($C432="","Commercial",$C432))),Variables!$B$1:$D$1,0),1))*IFERROR(IF(W432="","",(AVERAGE(E432:F432)-W432)-Variables!$B$14),"")/365)+(L432/16.67*INDEX(Variables!$B$8:$D$8,IFERROR(MATCH(IF($B432="Robusta","Robusta",(IF($B432="","Arabica",$B432))&amp;" - "&amp;(IF($C432="","Commercial",$C432))),Variables!$B$1:$D$1,0),1))*IFERROR(IF(W432="","",(AVERAGE(E432:F432)-W432)-Variables!$B$14),""))+(T432*INDEX(Variables!$B$9:$D$9,IFERROR(MATCH(IF($B432="Robusta","Robusta",(IF($B432="","Arabica",$B432))&amp;" - "&amp;(IF($C432="","Commercial",$C432))),Variables!$B$1:$D$1,0),1))*IFERROR(IF(W432="","",(AVERAGE(E432:F432)-W432)-Variables!$B$14),"")/365),""))</f>
        <v>-181.32137554530448</v>
      </c>
      <c r="AT432" s="12">
        <f>IF($H432="Cancelled","",IFERROR((T432*INDEX(Variables!$B$7:$D$7,IFERROR(MATCH(IF($B432="Robusta","Robusta",(IF($B432="","Arabica",$B432))&amp;" - "&amp;(IF($C432="","Commercial",$C432))),Variables!$B$1:$D$1,0),1))*AC432/365)+(L432/16.67*INDEX(Variables!$B$8:$D$8,IFERROR(MATCH(IF($B432="Robusta","Robusta",(IF($B432="","Arabica",$B432))&amp;" - "&amp;(IF($C432="","Commercial",$C432))),Variables!$B$1:$D$1,0),1))*AC432)+(T432*INDEX(Variables!$B$9:$D$9,IFERROR(MATCH(IF($B432="Robusta","Robusta",(IF($B432="","Arabica",$B432))&amp;" - "&amp;(IF($C432="","Commercial",$C432))),Variables!$B$1:$D$1,0),1))*AC432/365),""))</f>
        <v>45.330343886326119</v>
      </c>
      <c r="AU432" s="12">
        <f>IF($H432="Cancelled","",IFERROR((T432*INDEX(Variables!$B$7:$D$7,IFERROR(MATCH(IF($B432="Robusta","Robusta",(IF($B432="","Arabica",$B432))&amp;" - "&amp;(IF($C432="","Commercial",$C432))),Variables!$B$1:$D$1,0),1))*AP432/365)+(L432/16.67*INDEX(Variables!$B$8:$D$8,IFERROR(MATCH(IF($B432="Robusta","Robusta",(IF($B432="","Arabica",$B432))&amp;" - "&amp;(IF($C432="","Commercial",$C432))),Variables!$B$1:$D$1,0),1))*AP432)+(T432*INDEX(Variables!$B$9:$D$9,IFERROR(MATCH(IF($B432="Robusta","Robusta",(IF($B432="","Arabica",$B432))&amp;" - "&amp;(IF($C432="","Commercial",$C432))),Variables!$B$1:$D$1,0),1))*AP432/365),""))</f>
        <v>-679.95515829489193</v>
      </c>
      <c r="AV432" s="11">
        <f t="shared" si="45"/>
        <v>12</v>
      </c>
      <c r="AW432" s="12">
        <f>IF($H432="Cancelled","",IFERROR(IF(AV432="","",(T432*INDEX(Variables!$B$7:$D$7,IFERROR(MATCH(IF($B432="Robusta","Robusta",(IF($B432="","Arabica",$B432))&amp;" - "&amp;(IF($C432="","Commercial",$C432))),Variables!$B$1:$D$1,0),1))*(AV432/365))+(T432*INDEX(Variables!$B$9:$D$9,IFERROR(MATCH(IF($B432="Robusta","Robusta",(IF($B432="","Arabica",$B432))&amp;" - "&amp;(IF($C432="","Commercial",$C432))),Variables!$B$1:$D$1,0),1))*(AV432/365))+(INDEX(Variables!$B$8:$D$8,IFERROR(MATCH(IF($B432="Robusta","Robusta",(IF($B432="","Arabica",$B432))&amp;" - "&amp;(IF($C432="","Commercial",$C432))),Variables!$B$1:$D$1,0),1))*L432/16.67)),""))</f>
        <v>345.96412663591343</v>
      </c>
      <c r="AX432" s="9"/>
      <c r="AY432" s="12"/>
      <c r="AZ432" s="10"/>
      <c r="BA432" s="9"/>
      <c r="BB432" s="10"/>
      <c r="BC432" s="9"/>
      <c r="BD432" s="9"/>
      <c r="BE432" s="9"/>
      <c r="BF432" s="9"/>
    </row>
    <row r="433" spans="1:58" x14ac:dyDescent="0.25">
      <c r="A433" s="9" t="s">
        <v>84</v>
      </c>
      <c r="B433" s="9" t="s">
        <v>85</v>
      </c>
      <c r="C433" s="9" t="s">
        <v>86</v>
      </c>
      <c r="D433" s="10">
        <v>45835</v>
      </c>
      <c r="E433" s="10">
        <v>45870</v>
      </c>
      <c r="F433" s="10">
        <v>45900</v>
      </c>
      <c r="G433" s="9">
        <v>3786936</v>
      </c>
      <c r="H433" s="9" t="str">
        <f t="shared" si="43"/>
        <v>Closed</v>
      </c>
      <c r="I433" s="9" t="str">
        <f t="shared" si="44"/>
        <v>All dates received</v>
      </c>
      <c r="J433" s="9" t="s">
        <v>102</v>
      </c>
      <c r="K433" s="9" t="s">
        <v>1105</v>
      </c>
      <c r="L433" s="11">
        <v>360</v>
      </c>
      <c r="M433" s="9" t="s">
        <v>1102</v>
      </c>
      <c r="N433" s="9" t="s">
        <v>868</v>
      </c>
      <c r="O433" s="9"/>
      <c r="P433" s="9"/>
      <c r="Q433" s="11">
        <v>30</v>
      </c>
      <c r="R433" s="9" t="s">
        <v>90</v>
      </c>
      <c r="S433" s="9" t="s">
        <v>656</v>
      </c>
      <c r="T433" s="12">
        <f>IF($H433="Cancelled","",IFERROR(((Q433+INDEX(Variables!$B$6:$D$6,IFERROR(MATCH(IF($B433="Robusta","Robusta",(IF($B433="","Arabica",$B433))&amp;" - "&amp;(IF($C433="","Commercial",$C433))),Variables!$B$1:$D$1,0),1)))*22.0462)*(L433/16.67),""))</f>
        <v>152733.74598680262</v>
      </c>
      <c r="U433" s="10">
        <v>45848</v>
      </c>
      <c r="V433" s="9" t="str">
        <f t="shared" si="49"/>
        <v>Sent</v>
      </c>
      <c r="W433" s="10">
        <v>45856</v>
      </c>
      <c r="X433" s="9" t="str">
        <f t="shared" si="50"/>
        <v>Approved</v>
      </c>
      <c r="Y433" s="10"/>
      <c r="Z433" s="10">
        <f>IF($H433="Cancelled","",IFERROR(IF(F433="","",F433-Variables!$B$13),""))</f>
        <v>45885</v>
      </c>
      <c r="AA433" s="11">
        <f>IF($H433="Cancelled","",IFERROR(IF(W433="","",(AVERAGE(E433:F433)-W433)-Variables!$B$14),""))</f>
        <v>-1</v>
      </c>
      <c r="AB433" s="10">
        <v>45867</v>
      </c>
      <c r="AC433" s="11">
        <f>IF($H433="Cancelled","",IFERROR(IF(AB433="","",IF(AND(W433="",Y433=""),"",IF(Y433&gt;W433,Y433+Variables!$B$15+Variables!$B$16+Variables!$B$17-AB433,W433+Variables!$B$16+Variables!$B$17-AB433))),""))</f>
        <v>-3</v>
      </c>
      <c r="AD433" s="9" t="s">
        <v>163</v>
      </c>
      <c r="AE433" s="9" t="s">
        <v>598</v>
      </c>
      <c r="AF433" s="10"/>
      <c r="AG433" s="10"/>
      <c r="AH433" s="9"/>
      <c r="AI433" s="9">
        <v>256514094</v>
      </c>
      <c r="AJ433" s="9" t="s">
        <v>8</v>
      </c>
      <c r="AK433" s="10">
        <v>45878</v>
      </c>
      <c r="AL433" s="10">
        <v>45881</v>
      </c>
      <c r="AM433" s="10">
        <v>45881</v>
      </c>
      <c r="AN433" s="9" t="s">
        <v>95</v>
      </c>
      <c r="AO433" s="9"/>
      <c r="AP433" s="11">
        <f>IF($H433="Cancelled","",IFERROR(IF(OR(AK433="",AB433=""),"",(AB433+Variables!$B$18-AK433)),""))</f>
        <v>-4</v>
      </c>
      <c r="AQ433" s="11">
        <f>IF($H433="Cancelled","",IFERROR(IF(OR(AM433="",AK433=""),"",(AK433+Variables!$B$19)-AM433),""))</f>
        <v>2</v>
      </c>
      <c r="AR433" s="12">
        <f>IF($H433="Cancelled","",IFERROR(T433*INDEX(Variables!$B$7:$D$7,IFERROR(MATCH(IF($B433="Robusta","Robusta",(IF($B433="","Arabica",$B433))&amp;" - "&amp;(IF($C433="","Commercial",$C433))),Variables!$B$1:$D$1,0),1))*(AQ433/365),""))</f>
        <v>53.964975098466873</v>
      </c>
      <c r="AS433" s="12">
        <f>IF($H433="Cancelled","",IFERROR((T433*INDEX(Variables!$B$7:$D$7,IFERROR(MATCH(IF($B433="Robusta","Robusta",(IF($B433="","Arabica",$B433))&amp;" - "&amp;(IF($C433="","Commercial",$C433))),Variables!$B$1:$D$1,0),1))*IFERROR(IF(W433="","",(AVERAGE(E433:F433)-W433)-Variables!$B$14),"")/365)+(L433/16.67*INDEX(Variables!$B$8:$D$8,IFERROR(MATCH(IF($B433="Robusta","Robusta",(IF($B433="","Arabica",$B433))&amp;" - "&amp;(IF($C433="","Commercial",$C433))),Variables!$B$1:$D$1,0),1))*IFERROR(IF(W433="","",(AVERAGE(E433:F433)-W433)-Variables!$B$14),""))+(T433*INDEX(Variables!$B$9:$D$9,IFERROR(MATCH(IF($B433="Robusta","Robusta",(IF($B433="","Arabica",$B433))&amp;" - "&amp;(IF($C433="","Commercial",$C433))),Variables!$B$1:$D$1,0),1))*IFERROR(IF(W433="","",(AVERAGE(E433:F433)-W433)-Variables!$B$14),"")/365),""))</f>
        <v>-45.330343886326119</v>
      </c>
      <c r="AT433" s="12">
        <f>IF($H433="Cancelled","",IFERROR((T433*INDEX(Variables!$B$7:$D$7,IFERROR(MATCH(IF($B433="Robusta","Robusta",(IF($B433="","Arabica",$B433))&amp;" - "&amp;(IF($C433="","Commercial",$C433))),Variables!$B$1:$D$1,0),1))*AC433/365)+(L433/16.67*INDEX(Variables!$B$8:$D$8,IFERROR(MATCH(IF($B433="Robusta","Robusta",(IF($B433="","Arabica",$B433))&amp;" - "&amp;(IF($C433="","Commercial",$C433))),Variables!$B$1:$D$1,0),1))*AC433)+(T433*INDEX(Variables!$B$9:$D$9,IFERROR(MATCH(IF($B433="Robusta","Robusta",(IF($B433="","Arabica",$B433))&amp;" - "&amp;(IF($C433="","Commercial",$C433))),Variables!$B$1:$D$1,0),1))*AC433/365),""))</f>
        <v>-135.99103165897836</v>
      </c>
      <c r="AU433" s="12">
        <f>IF($H433="Cancelled","",IFERROR((T433*INDEX(Variables!$B$7:$D$7,IFERROR(MATCH(IF($B433="Robusta","Robusta",(IF($B433="","Arabica",$B433))&amp;" - "&amp;(IF($C433="","Commercial",$C433))),Variables!$B$1:$D$1,0),1))*AP433/365)+(L433/16.67*INDEX(Variables!$B$8:$D$8,IFERROR(MATCH(IF($B433="Robusta","Robusta",(IF($B433="","Arabica",$B433))&amp;" - "&amp;(IF($C433="","Commercial",$C433))),Variables!$B$1:$D$1,0),1))*AP433)+(T433*INDEX(Variables!$B$9:$D$9,IFERROR(MATCH(IF($B433="Robusta","Robusta",(IF($B433="","Arabica",$B433))&amp;" - "&amp;(IF($C433="","Commercial",$C433))),Variables!$B$1:$D$1,0),1))*AP433/365),""))</f>
        <v>-181.32137554530448</v>
      </c>
      <c r="AV433" s="11">
        <f t="shared" si="45"/>
        <v>22</v>
      </c>
      <c r="AW433" s="12">
        <f>IF($H433="Cancelled","",IFERROR(IF(AV433="","",(T433*INDEX(Variables!$B$7:$D$7,IFERROR(MATCH(IF($B433="Robusta","Robusta",(IF($B433="","Arabica",$B433))&amp;" - "&amp;(IF($C433="","Commercial",$C433))),Variables!$B$1:$D$1,0),1))*(AV433/365))+(T433*INDEX(Variables!$B$9:$D$9,IFERROR(MATCH(IF($B433="Robusta","Robusta",(IF($B433="","Arabica",$B433))&amp;" - "&amp;(IF($C433="","Commercial",$C433))),Variables!$B$1:$D$1,0),1))*(AV433/365))+(INDEX(Variables!$B$8:$D$8,IFERROR(MATCH(IF($B433="Robusta","Robusta",(IF($B433="","Arabica",$B433))&amp;" - "&amp;(IF($C433="","Commercial",$C433))),Variables!$B$1:$D$1,0),1))*L433/16.67)),""))</f>
        <v>619.26756549917468</v>
      </c>
      <c r="AX433" s="9"/>
      <c r="AY433" s="12"/>
      <c r="AZ433" s="10"/>
      <c r="BA433" s="9"/>
      <c r="BB433" s="10"/>
      <c r="BC433" s="9"/>
      <c r="BD433" s="9"/>
      <c r="BE433" s="9"/>
      <c r="BF433" s="9"/>
    </row>
    <row r="434" spans="1:58" x14ac:dyDescent="0.25">
      <c r="A434" s="9" t="s">
        <v>84</v>
      </c>
      <c r="B434" s="9" t="s">
        <v>85</v>
      </c>
      <c r="C434" s="9" t="s">
        <v>86</v>
      </c>
      <c r="D434" s="10">
        <v>45835</v>
      </c>
      <c r="E434" s="10">
        <v>45870</v>
      </c>
      <c r="F434" s="10">
        <v>45900</v>
      </c>
      <c r="G434" s="9">
        <v>3786936</v>
      </c>
      <c r="H434" s="9" t="str">
        <f t="shared" si="43"/>
        <v>Closed</v>
      </c>
      <c r="I434" s="9" t="str">
        <f t="shared" si="44"/>
        <v>All dates received</v>
      </c>
      <c r="J434" s="9" t="s">
        <v>102</v>
      </c>
      <c r="K434" s="9" t="s">
        <v>1105</v>
      </c>
      <c r="L434" s="11">
        <v>360</v>
      </c>
      <c r="M434" s="9" t="s">
        <v>1102</v>
      </c>
      <c r="N434" s="9" t="s">
        <v>868</v>
      </c>
      <c r="O434" s="9"/>
      <c r="P434" s="9"/>
      <c r="Q434" s="11">
        <v>30</v>
      </c>
      <c r="R434" s="9" t="s">
        <v>90</v>
      </c>
      <c r="S434" s="9" t="s">
        <v>656</v>
      </c>
      <c r="T434" s="12">
        <f>IF($H434="Cancelled","",IFERROR(((Q434+INDEX(Variables!$B$6:$D$6,IFERROR(MATCH(IF($B434="Robusta","Robusta",(IF($B434="","Arabica",$B434))&amp;" - "&amp;(IF($C434="","Commercial",$C434))),Variables!$B$1:$D$1,0),1)))*22.0462)*(L434/16.67),""))</f>
        <v>152733.74598680262</v>
      </c>
      <c r="U434" s="10">
        <v>45848</v>
      </c>
      <c r="V434" s="9" t="str">
        <f t="shared" si="49"/>
        <v>Sent</v>
      </c>
      <c r="W434" s="10">
        <v>45856</v>
      </c>
      <c r="X434" s="9" t="str">
        <f t="shared" si="50"/>
        <v>Approved</v>
      </c>
      <c r="Y434" s="10"/>
      <c r="Z434" s="10">
        <f>IF($H434="Cancelled","",IFERROR(IF(F434="","",F434-Variables!$B$13),""))</f>
        <v>45885</v>
      </c>
      <c r="AA434" s="11">
        <f>IF($H434="Cancelled","",IFERROR(IF(W434="","",(AVERAGE(E434:F434)-W434)-Variables!$B$14),""))</f>
        <v>-1</v>
      </c>
      <c r="AB434" s="10">
        <v>45867</v>
      </c>
      <c r="AC434" s="11">
        <f>IF($H434="Cancelled","",IFERROR(IF(AB434="","",IF(AND(W434="",Y434=""),"",IF(Y434&gt;W434,Y434+Variables!$B$15+Variables!$B$16+Variables!$B$17-AB434,W434+Variables!$B$16+Variables!$B$17-AB434))),""))</f>
        <v>-3</v>
      </c>
      <c r="AD434" s="9" t="s">
        <v>163</v>
      </c>
      <c r="AE434" s="9" t="s">
        <v>847</v>
      </c>
      <c r="AF434" s="10"/>
      <c r="AG434" s="10"/>
      <c r="AH434" s="9"/>
      <c r="AI434" s="9">
        <v>258089762</v>
      </c>
      <c r="AJ434" s="9" t="s">
        <v>8</v>
      </c>
      <c r="AK434" s="10">
        <v>45890</v>
      </c>
      <c r="AL434" s="10">
        <v>45895</v>
      </c>
      <c r="AM434" s="10">
        <v>45896</v>
      </c>
      <c r="AN434" s="9" t="s">
        <v>95</v>
      </c>
      <c r="AO434" s="9"/>
      <c r="AP434" s="11">
        <f>IF($H434="Cancelled","",IFERROR(IF(OR(AK434="",AB434=""),"",(AB434+Variables!$B$18-AK434)),""))</f>
        <v>-16</v>
      </c>
      <c r="AQ434" s="11">
        <f>IF($H434="Cancelled","",IFERROR(IF(OR(AM434="",AK434=""),"",(AK434+Variables!$B$19)-AM434),""))</f>
        <v>-1</v>
      </c>
      <c r="AR434" s="12">
        <f>IF($H434="Cancelled","",IFERROR(T434*INDEX(Variables!$B$7:$D$7,IFERROR(MATCH(IF($B434="Robusta","Robusta",(IF($B434="","Arabica",$B434))&amp;" - "&amp;(IF($C434="","Commercial",$C434))),Variables!$B$1:$D$1,0),1))*(AQ434/365),""))</f>
        <v>-26.982487549233436</v>
      </c>
      <c r="AS434" s="12">
        <f>IF($H434="Cancelled","",IFERROR((T434*INDEX(Variables!$B$7:$D$7,IFERROR(MATCH(IF($B434="Robusta","Robusta",(IF($B434="","Arabica",$B434))&amp;" - "&amp;(IF($C434="","Commercial",$C434))),Variables!$B$1:$D$1,0),1))*IFERROR(IF(W434="","",(AVERAGE(E434:F434)-W434)-Variables!$B$14),"")/365)+(L434/16.67*INDEX(Variables!$B$8:$D$8,IFERROR(MATCH(IF($B434="Robusta","Robusta",(IF($B434="","Arabica",$B434))&amp;" - "&amp;(IF($C434="","Commercial",$C434))),Variables!$B$1:$D$1,0),1))*IFERROR(IF(W434="","",(AVERAGE(E434:F434)-W434)-Variables!$B$14),""))+(T434*INDEX(Variables!$B$9:$D$9,IFERROR(MATCH(IF($B434="Robusta","Robusta",(IF($B434="","Arabica",$B434))&amp;" - "&amp;(IF($C434="","Commercial",$C434))),Variables!$B$1:$D$1,0),1))*IFERROR(IF(W434="","",(AVERAGE(E434:F434)-W434)-Variables!$B$14),"")/365),""))</f>
        <v>-45.330343886326119</v>
      </c>
      <c r="AT434" s="12">
        <f>IF($H434="Cancelled","",IFERROR((T434*INDEX(Variables!$B$7:$D$7,IFERROR(MATCH(IF($B434="Robusta","Robusta",(IF($B434="","Arabica",$B434))&amp;" - "&amp;(IF($C434="","Commercial",$C434))),Variables!$B$1:$D$1,0),1))*AC434/365)+(L434/16.67*INDEX(Variables!$B$8:$D$8,IFERROR(MATCH(IF($B434="Robusta","Robusta",(IF($B434="","Arabica",$B434))&amp;" - "&amp;(IF($C434="","Commercial",$C434))),Variables!$B$1:$D$1,0),1))*AC434)+(T434*INDEX(Variables!$B$9:$D$9,IFERROR(MATCH(IF($B434="Robusta","Robusta",(IF($B434="","Arabica",$B434))&amp;" - "&amp;(IF($C434="","Commercial",$C434))),Variables!$B$1:$D$1,0),1))*AC434/365),""))</f>
        <v>-135.99103165897836</v>
      </c>
      <c r="AU434" s="12">
        <f>IF($H434="Cancelled","",IFERROR((T434*INDEX(Variables!$B$7:$D$7,IFERROR(MATCH(IF($B434="Robusta","Robusta",(IF($B434="","Arabica",$B434))&amp;" - "&amp;(IF($C434="","Commercial",$C434))),Variables!$B$1:$D$1,0),1))*AP434/365)+(L434/16.67*INDEX(Variables!$B$8:$D$8,IFERROR(MATCH(IF($B434="Robusta","Robusta",(IF($B434="","Arabica",$B434))&amp;" - "&amp;(IF($C434="","Commercial",$C434))),Variables!$B$1:$D$1,0),1))*AP434)+(T434*INDEX(Variables!$B$9:$D$9,IFERROR(MATCH(IF($B434="Robusta","Robusta",(IF($B434="","Arabica",$B434))&amp;" - "&amp;(IF($C434="","Commercial",$C434))),Variables!$B$1:$D$1,0),1))*AP434/365),""))</f>
        <v>-725.28550218121791</v>
      </c>
      <c r="AV434" s="11">
        <f t="shared" si="45"/>
        <v>10</v>
      </c>
      <c r="AW434" s="12">
        <f>IF($H434="Cancelled","",IFERROR(IF(AV434="","",(T434*INDEX(Variables!$B$7:$D$7,IFERROR(MATCH(IF($B434="Robusta","Robusta",(IF($B434="","Arabica",$B434))&amp;" - "&amp;(IF($C434="","Commercial",$C434))),Variables!$B$1:$D$1,0),1))*(AV434/365))+(T434*INDEX(Variables!$B$9:$D$9,IFERROR(MATCH(IF($B434="Robusta","Robusta",(IF($B434="","Arabica",$B434))&amp;" - "&amp;(IF($C434="","Commercial",$C434))),Variables!$B$1:$D$1,0),1))*(AV434/365))+(INDEX(Variables!$B$8:$D$8,IFERROR(MATCH(IF($B434="Robusta","Robusta",(IF($B434="","Arabica",$B434))&amp;" - "&amp;(IF($C434="","Commercial",$C434))),Variables!$B$1:$D$1,0),1))*L434/16.67)),""))</f>
        <v>291.30343886326119</v>
      </c>
      <c r="AX434" s="9"/>
      <c r="AY434" s="12"/>
      <c r="AZ434" s="10"/>
      <c r="BA434" s="9"/>
      <c r="BB434" s="10"/>
      <c r="BC434" s="9"/>
      <c r="BD434" s="9"/>
      <c r="BE434" s="9"/>
      <c r="BF434" s="9"/>
    </row>
    <row r="435" spans="1:58" x14ac:dyDescent="0.25">
      <c r="A435" s="9" t="s">
        <v>84</v>
      </c>
      <c r="B435" s="9" t="s">
        <v>85</v>
      </c>
      <c r="C435" s="9" t="s">
        <v>86</v>
      </c>
      <c r="D435" s="10">
        <v>45847</v>
      </c>
      <c r="E435" s="10">
        <v>45870</v>
      </c>
      <c r="F435" s="10">
        <v>45900</v>
      </c>
      <c r="G435" s="9">
        <v>3786937</v>
      </c>
      <c r="H435" s="9" t="str">
        <f t="shared" si="43"/>
        <v>Closed</v>
      </c>
      <c r="I435" s="9" t="str">
        <f t="shared" si="44"/>
        <v>All dates received</v>
      </c>
      <c r="J435" s="9" t="s">
        <v>193</v>
      </c>
      <c r="K435" s="9">
        <v>5315</v>
      </c>
      <c r="L435" s="11">
        <v>300</v>
      </c>
      <c r="M435" s="9" t="s">
        <v>1106</v>
      </c>
      <c r="N435" s="9" t="s">
        <v>1107</v>
      </c>
      <c r="O435" s="9"/>
      <c r="P435" s="9"/>
      <c r="Q435" s="11">
        <v>-147</v>
      </c>
      <c r="R435" s="9" t="s">
        <v>90</v>
      </c>
      <c r="S435" s="9" t="s">
        <v>183</v>
      </c>
      <c r="T435" s="12">
        <f>IF($H435="Cancelled","",IFERROR(((Q435+INDEX(Variables!$B$6:$D$6,IFERROR(MATCH(IF($B435="Robusta","Robusta",(IF($B435="","Arabica",$B435))&amp;" - "&amp;(IF($C435="","Commercial",$C435))),Variables!$B$1:$D$1,0),1)))*22.0462)*(L435/16.67),""))</f>
        <v>57052.973485302929</v>
      </c>
      <c r="U435" s="10">
        <v>45848</v>
      </c>
      <c r="V435" s="9" t="str">
        <f t="shared" si="49"/>
        <v>Sent</v>
      </c>
      <c r="W435" s="10"/>
      <c r="X435" s="9" t="str">
        <f t="shared" si="50"/>
        <v/>
      </c>
      <c r="Y435" s="10"/>
      <c r="Z435" s="10">
        <f>IF($H435="Cancelled","",IFERROR(IF(F435="","",F435-Variables!$B$13),""))</f>
        <v>45885</v>
      </c>
      <c r="AA435" s="11" t="str">
        <f>IF($H435="Cancelled","",IFERROR(IF(W435="","",(AVERAGE(E435:F435)-W435)-Variables!$B$14),""))</f>
        <v/>
      </c>
      <c r="AB435" s="10">
        <v>45863</v>
      </c>
      <c r="AC435" s="11" t="str">
        <f>IF($H435="Cancelled","",IFERROR(IF(AB435="","",IF(AND(W435="",Y435=""),"",IF(Y435&gt;W435,Y435+Variables!$B$15+Variables!$B$16+Variables!$B$17-AB435,W435+Variables!$B$16+Variables!$B$17-AB435))),""))</f>
        <v/>
      </c>
      <c r="AD435" s="9" t="s">
        <v>165</v>
      </c>
      <c r="AE435" s="9" t="s">
        <v>965</v>
      </c>
      <c r="AF435" s="10"/>
      <c r="AG435" s="10"/>
      <c r="AH435" s="9"/>
      <c r="AI435" s="9" t="s">
        <v>1108</v>
      </c>
      <c r="AJ435" s="9" t="s">
        <v>1109</v>
      </c>
      <c r="AK435" s="10">
        <v>45888</v>
      </c>
      <c r="AL435" s="10">
        <v>45891</v>
      </c>
      <c r="AM435" s="10">
        <v>45896</v>
      </c>
      <c r="AN435" s="9" t="s">
        <v>95</v>
      </c>
      <c r="AO435" s="9"/>
      <c r="AP435" s="11">
        <f>IF($H435="Cancelled","",IFERROR(IF(OR(AK435="",AB435=""),"",(AB435+Variables!$B$18-AK435)),""))</f>
        <v>-18</v>
      </c>
      <c r="AQ435" s="11">
        <f>IF($H435="Cancelled","",IFERROR(IF(OR(AM435="",AK435=""),"",(AK435+Variables!$B$19)-AM435),""))</f>
        <v>-3</v>
      </c>
      <c r="AR435" s="12">
        <f>IF($H435="Cancelled","",IFERROR(T435*INDEX(Variables!$B$7:$D$7,IFERROR(MATCH(IF($B435="Robusta","Robusta",(IF($B435="","Arabica",$B435))&amp;" - "&amp;(IF($C435="","Commercial",$C435))),Variables!$B$1:$D$1,0),1))*(AQ435/365),""))</f>
        <v>-30.237544494854799</v>
      </c>
      <c r="AS435" s="12" t="str">
        <f>IF($H435="Cancelled","",IFERROR((T435*INDEX(Variables!$B$7:$D$7,IFERROR(MATCH(IF($B435="Robusta","Robusta",(IF($B435="","Arabica",$B435))&amp;" - "&amp;(IF($C435="","Commercial",$C435))),Variables!$B$1:$D$1,0),1))*IFERROR(IF(W435="","",(AVERAGE(E435:F435)-W435)-Variables!$B$14),"")/365)+(L435/16.67*INDEX(Variables!$B$8:$D$8,IFERROR(MATCH(IF($B435="Robusta","Robusta",(IF($B435="","Arabica",$B435))&amp;" - "&amp;(IF($C435="","Commercial",$C435))),Variables!$B$1:$D$1,0),1))*IFERROR(IF(W435="","",(AVERAGE(E435:F435)-W435)-Variables!$B$14),""))+(T435*INDEX(Variables!$B$9:$D$9,IFERROR(MATCH(IF($B435="Robusta","Robusta",(IF($B435="","Arabica",$B435))&amp;" - "&amp;(IF($C435="","Commercial",$C435))),Variables!$B$1:$D$1,0),1))*IFERROR(IF(W435="","",(AVERAGE(E435:F435)-W435)-Variables!$B$14),"")/365),""))</f>
        <v/>
      </c>
      <c r="AT435" s="12" t="str">
        <f>IF($H435="Cancelled","",IFERROR((T435*INDEX(Variables!$B$7:$D$7,IFERROR(MATCH(IF($B435="Robusta","Robusta",(IF($B435="","Arabica",$B435))&amp;" - "&amp;(IF($C435="","Commercial",$C435))),Variables!$B$1:$D$1,0),1))*AC435/365)+(L435/16.67*INDEX(Variables!$B$8:$D$8,IFERROR(MATCH(IF($B435="Robusta","Robusta",(IF($B435="","Arabica",$B435))&amp;" - "&amp;(IF($C435="","Commercial",$C435))),Variables!$B$1:$D$1,0),1))*AC435)+(T435*INDEX(Variables!$B$9:$D$9,IFERROR(MATCH(IF($B435="Robusta","Robusta",(IF($B435="","Arabica",$B435))&amp;" - "&amp;(IF($C435="","Commercial",$C435))),Variables!$B$1:$D$1,0),1))*AC435/365),""))</f>
        <v/>
      </c>
      <c r="AU435" s="12">
        <f>IF($H435="Cancelled","",IFERROR((T435*INDEX(Variables!$B$7:$D$7,IFERROR(MATCH(IF($B435="Robusta","Robusta",(IF($B435="","Arabica",$B435))&amp;" - "&amp;(IF($C435="","Commercial",$C435))),Variables!$B$1:$D$1,0),1))*AP435/365)+(L435/16.67*INDEX(Variables!$B$8:$D$8,IFERROR(MATCH(IF($B435="Robusta","Robusta",(IF($B435="","Arabica",$B435))&amp;" - "&amp;(IF($C435="","Commercial",$C435))),Variables!$B$1:$D$1,0),1))*AP435)+(T435*INDEX(Variables!$B$9:$D$9,IFERROR(MATCH(IF($B435="Robusta","Robusta",(IF($B435="","Arabica",$B435))&amp;" - "&amp;(IF($C435="","Commercial",$C435))),Variables!$B$1:$D$1,0),1))*AP435/365),""))</f>
        <v>-453.76418878679993</v>
      </c>
      <c r="AV435" s="11">
        <f t="shared" si="45"/>
        <v>12</v>
      </c>
      <c r="AW435" s="12">
        <f>IF($H435="Cancelled","",IFERROR(IF(AV435="","",(T435*INDEX(Variables!$B$7:$D$7,IFERROR(MATCH(IF($B435="Robusta","Robusta",(IF($B435="","Arabica",$B435))&amp;" - "&amp;(IF($C435="","Commercial",$C435))),Variables!$B$1:$D$1,0),1))*(AV435/365))+(T435*INDEX(Variables!$B$9:$D$9,IFERROR(MATCH(IF($B435="Robusta","Robusta",(IF($B435="","Arabica",$B435))&amp;" - "&amp;(IF($C435="","Commercial",$C435))),Variables!$B$1:$D$1,0),1))*(AV435/365))+(INDEX(Variables!$B$8:$D$8,IFERROR(MATCH(IF($B435="Robusta","Robusta",(IF($B435="","Arabica",$B435))&amp;" - "&amp;(IF($C435="","Commercial",$C435))),Variables!$B$1:$D$1,0),1))*L435/16.67)),""))</f>
        <v>137.50945919119999</v>
      </c>
      <c r="AX435" s="9"/>
      <c r="AY435" s="12"/>
      <c r="AZ435" s="10"/>
      <c r="BA435" s="9"/>
      <c r="BB435" s="10"/>
      <c r="BC435" s="9"/>
      <c r="BD435" s="9"/>
      <c r="BE435" s="9"/>
      <c r="BF435" s="9"/>
    </row>
    <row r="436" spans="1:58" x14ac:dyDescent="0.25">
      <c r="A436" s="9" t="s">
        <v>84</v>
      </c>
      <c r="B436" s="9" t="s">
        <v>85</v>
      </c>
      <c r="C436" s="9" t="s">
        <v>86</v>
      </c>
      <c r="D436" s="10">
        <v>45848</v>
      </c>
      <c r="E436" s="10">
        <v>45901</v>
      </c>
      <c r="F436" s="10">
        <v>45914</v>
      </c>
      <c r="G436" s="9">
        <v>3786938</v>
      </c>
      <c r="H436" s="9" t="str">
        <f t="shared" si="43"/>
        <v>Closed</v>
      </c>
      <c r="I436" s="9" t="str">
        <f t="shared" si="44"/>
        <v>All dates received</v>
      </c>
      <c r="J436" s="9" t="s">
        <v>286</v>
      </c>
      <c r="K436" s="9">
        <v>5320</v>
      </c>
      <c r="L436" s="11">
        <v>700</v>
      </c>
      <c r="M436" s="9" t="s">
        <v>1110</v>
      </c>
      <c r="N436" s="9" t="s">
        <v>1018</v>
      </c>
      <c r="O436" s="9"/>
      <c r="P436" s="9"/>
      <c r="Q436" s="11">
        <v>-100</v>
      </c>
      <c r="R436" s="9" t="s">
        <v>202</v>
      </c>
      <c r="S436" s="9" t="s">
        <v>106</v>
      </c>
      <c r="T436" s="12">
        <f>IF($H436="Cancelled","",IFERROR(((Q436+INDEX(Variables!$B$6:$D$6,IFERROR(MATCH(IF($B436="Robusta","Robusta",(IF($B436="","Arabica",$B436))&amp;" - "&amp;(IF($C436="","Commercial",$C436))),Variables!$B$1:$D$1,0),1)))*22.0462)*(L436/16.67),""))</f>
        <v>176634.10149970005</v>
      </c>
      <c r="U436" s="10">
        <v>45852</v>
      </c>
      <c r="V436" s="9" t="str">
        <f t="shared" si="49"/>
        <v>Sent</v>
      </c>
      <c r="W436" s="10">
        <v>45857</v>
      </c>
      <c r="X436" s="9" t="str">
        <f t="shared" si="50"/>
        <v>Approved</v>
      </c>
      <c r="Y436" s="10"/>
      <c r="Z436" s="10">
        <f>IF($H436="Cancelled","",IFERROR(IF(F436="","",F436-Variables!$B$13),""))</f>
        <v>45899</v>
      </c>
      <c r="AA436" s="11">
        <f>IF($H436="Cancelled","",IFERROR(IF(W436="","",(AVERAGE(E436:F436)-W436)-Variables!$B$14),""))</f>
        <v>20.5</v>
      </c>
      <c r="AB436" s="10">
        <v>45883</v>
      </c>
      <c r="AC436" s="11">
        <f>IF($H436="Cancelled","",IFERROR(IF(AB436="","",IF(AND(W436="",Y436=""),"",IF(Y436&gt;W436,Y436+Variables!$B$15+Variables!$B$16+Variables!$B$17-AB436,W436+Variables!$B$16+Variables!$B$17-AB436))),""))</f>
        <v>-18</v>
      </c>
      <c r="AD436" s="9" t="s">
        <v>954</v>
      </c>
      <c r="AE436" s="9" t="s">
        <v>760</v>
      </c>
      <c r="AF436" s="10"/>
      <c r="AG436" s="10"/>
      <c r="AH436" s="9"/>
      <c r="AI436" s="9">
        <v>258256180</v>
      </c>
      <c r="AJ436" s="9" t="s">
        <v>1111</v>
      </c>
      <c r="AK436" s="10">
        <v>45901</v>
      </c>
      <c r="AL436" s="10">
        <v>45901</v>
      </c>
      <c r="AM436" s="10">
        <v>45905</v>
      </c>
      <c r="AN436" s="9" t="s">
        <v>95</v>
      </c>
      <c r="AO436" s="9"/>
      <c r="AP436" s="11">
        <f>IF($H436="Cancelled","",IFERROR(IF(OR(AK436="",AB436=""),"",(AB436+Variables!$B$18-AK436)),""))</f>
        <v>-11</v>
      </c>
      <c r="AQ436" s="11">
        <f>IF($H436="Cancelled","",IFERROR(IF(OR(AM436="",AK436=""),"",(AK436+Variables!$B$19)-AM436),""))</f>
        <v>1</v>
      </c>
      <c r="AR436" s="12">
        <f>IF($H436="Cancelled","",IFERROR(T436*INDEX(Variables!$B$7:$D$7,IFERROR(MATCH(IF($B436="Robusta","Robusta",(IF($B436="","Arabica",$B436))&amp;" - "&amp;(IF($C436="","Commercial",$C436))),Variables!$B$1:$D$1,0),1))*(AQ436/365),""))</f>
        <v>31.204809478695779</v>
      </c>
      <c r="AS436" s="12">
        <f>IF($H436="Cancelled","",IFERROR((T436*INDEX(Variables!$B$7:$D$7,IFERROR(MATCH(IF($B436="Robusta","Robusta",(IF($B436="","Arabica",$B436))&amp;" - "&amp;(IF($C436="","Commercial",$C436))),Variables!$B$1:$D$1,0),1))*IFERROR(IF(W436="","",(AVERAGE(E436:F436)-W436)-Variables!$B$14),"")/365)+(L436/16.67*INDEX(Variables!$B$8:$D$8,IFERROR(MATCH(IF($B436="Robusta","Robusta",(IF($B436="","Arabica",$B436))&amp;" - "&amp;(IF($C436="","Commercial",$C436))),Variables!$B$1:$D$1,0),1))*IFERROR(IF(W436="","",(AVERAGE(E436:F436)-W436)-Variables!$B$14),""))+(T436*INDEX(Variables!$B$9:$D$9,IFERROR(MATCH(IF($B436="Robusta","Robusta",(IF($B436="","Arabica",$B436))&amp;" - "&amp;(IF($C436="","Commercial",$C436))),Variables!$B$1:$D$1,0),1))*IFERROR(IF(W436="","",(AVERAGE(E436:F436)-W436)-Variables!$B$14),"")/365),""))</f>
        <v>1365.4455437264755</v>
      </c>
      <c r="AT436" s="12">
        <f>IF($H436="Cancelled","",IFERROR((T436*INDEX(Variables!$B$7:$D$7,IFERROR(MATCH(IF($B436="Robusta","Robusta",(IF($B436="","Arabica",$B436))&amp;" - "&amp;(IF($C436="","Commercial",$C436))),Variables!$B$1:$D$1,0),1))*AC436/365)+(L436/16.67*INDEX(Variables!$B$8:$D$8,IFERROR(MATCH(IF($B436="Robusta","Robusta",(IF($B436="","Arabica",$B436))&amp;" - "&amp;(IF($C436="","Commercial",$C436))),Variables!$B$1:$D$1,0),1))*AC436)+(T436*INDEX(Variables!$B$9:$D$9,IFERROR(MATCH(IF($B436="Robusta","Robusta",(IF($B436="","Arabica",$B436))&amp;" - "&amp;(IF($C436="","Commercial",$C436))),Variables!$B$1:$D$1,0),1))*AC436/365),""))</f>
        <v>-1198.9277944915393</v>
      </c>
      <c r="AU436" s="12">
        <f>IF($H436="Cancelled","",IFERROR((T436*INDEX(Variables!$B$7:$D$7,IFERROR(MATCH(IF($B436="Robusta","Robusta",(IF($B436="","Arabica",$B436))&amp;" - "&amp;(IF($C436="","Commercial",$C436))),Variables!$B$1:$D$1,0),1))*AP436/365)+(L436/16.67*INDEX(Variables!$B$8:$D$8,IFERROR(MATCH(IF($B436="Robusta","Robusta",(IF($B436="","Arabica",$B436))&amp;" - "&amp;(IF($C436="","Commercial",$C436))),Variables!$B$1:$D$1,0),1))*AP436)+(T436*INDEX(Variables!$B$9:$D$9,IFERROR(MATCH(IF($B436="Robusta","Robusta",(IF($B436="","Arabica",$B436))&amp;" - "&amp;(IF($C436="","Commercial",$C436))),Variables!$B$1:$D$1,0),1))*AP436/365),""))</f>
        <v>-732.6780966337185</v>
      </c>
      <c r="AV436" s="11">
        <f t="shared" si="45"/>
        <v>13</v>
      </c>
      <c r="AW436" s="12">
        <f>IF($H436="Cancelled","",IFERROR(IF(AV436="","",(T436*INDEX(Variables!$B$7:$D$7,IFERROR(MATCH(IF($B436="Robusta","Robusta",(IF($B436="","Arabica",$B436))&amp;" - "&amp;(IF($C436="","Commercial",$C436))),Variables!$B$1:$D$1,0),1))*(AV436/365))+(T436*INDEX(Variables!$B$9:$D$9,IFERROR(MATCH(IF($B436="Robusta","Robusta",(IF($B436="","Arabica",$B436))&amp;" - "&amp;(IF($C436="","Commercial",$C436))),Variables!$B$1:$D$1,0),1))*(AV436/365))+(INDEX(Variables!$B$8:$D$8,IFERROR(MATCH(IF($B436="Robusta","Robusta",(IF($B436="","Arabica",$B436))&amp;" - "&amp;(IF($C436="","Commercial",$C436))),Variables!$B$1:$D$1,0),1))*L436/16.67)),""))</f>
        <v>445.89229602166733</v>
      </c>
      <c r="AX436" s="9"/>
      <c r="AY436" s="12"/>
      <c r="AZ436" s="10"/>
      <c r="BA436" s="9"/>
      <c r="BB436" s="10"/>
      <c r="BC436" s="9"/>
      <c r="BD436" s="9"/>
      <c r="BE436" s="9"/>
      <c r="BF436" s="9"/>
    </row>
    <row r="437" spans="1:58" x14ac:dyDescent="0.25">
      <c r="A437" s="9" t="s">
        <v>84</v>
      </c>
      <c r="B437" s="9" t="s">
        <v>85</v>
      </c>
      <c r="C437" s="9" t="s">
        <v>86</v>
      </c>
      <c r="D437" s="10">
        <v>45854</v>
      </c>
      <c r="E437" s="10">
        <v>45901</v>
      </c>
      <c r="F437" s="10">
        <v>45930</v>
      </c>
      <c r="G437" s="9">
        <v>3786940</v>
      </c>
      <c r="H437" s="9" t="str">
        <f t="shared" si="43"/>
        <v>Closed</v>
      </c>
      <c r="I437" s="9" t="str">
        <f t="shared" si="44"/>
        <v>All dates received</v>
      </c>
      <c r="J437" s="9" t="s">
        <v>303</v>
      </c>
      <c r="K437" s="9">
        <v>5321</v>
      </c>
      <c r="L437" s="11">
        <v>320</v>
      </c>
      <c r="M437" s="9" t="s">
        <v>916</v>
      </c>
      <c r="N437" s="9" t="s">
        <v>126</v>
      </c>
      <c r="O437" s="9"/>
      <c r="P437" s="9"/>
      <c r="Q437" s="11">
        <v>60</v>
      </c>
      <c r="R437" s="9" t="s">
        <v>90</v>
      </c>
      <c r="S437" s="9" t="s">
        <v>91</v>
      </c>
      <c r="T437" s="12">
        <f>IF($H437="Cancelled","",IFERROR(((Q437+INDEX(Variables!$B$6:$D$6,IFERROR(MATCH(IF($B437="Robusta","Robusta",(IF($B437="","Arabica",$B437))&amp;" - "&amp;(IF($C437="","Commercial",$C437))),Variables!$B$1:$D$1,0),1)))*22.0462)*(L437/16.67),""))</f>
        <v>148459.40175164965</v>
      </c>
      <c r="U437" s="10">
        <v>45866</v>
      </c>
      <c r="V437" s="9" t="str">
        <f t="shared" si="49"/>
        <v>Sent</v>
      </c>
      <c r="W437" s="10">
        <v>45875</v>
      </c>
      <c r="X437" s="9" t="str">
        <f t="shared" si="50"/>
        <v>Approved</v>
      </c>
      <c r="Y437" s="10"/>
      <c r="Z437" s="10">
        <f>IF($H437="Cancelled","",IFERROR(IF(F437="","",F437-Variables!$B$13),""))</f>
        <v>45915</v>
      </c>
      <c r="AA437" s="11">
        <f>IF($H437="Cancelled","",IFERROR(IF(W437="","",(AVERAGE(E437:F437)-W437)-Variables!$B$14),""))</f>
        <v>10.5</v>
      </c>
      <c r="AB437" s="10">
        <v>45887</v>
      </c>
      <c r="AC437" s="11">
        <f>IF($H437="Cancelled","",IFERROR(IF(AB437="","",IF(AND(W437="",Y437=""),"",IF(Y437&gt;W437,Y437+Variables!$B$15+Variables!$B$16+Variables!$B$17-AB437,W437+Variables!$B$16+Variables!$B$17-AB437))),""))</f>
        <v>-4</v>
      </c>
      <c r="AD437" s="9" t="s">
        <v>163</v>
      </c>
      <c r="AE437" s="9" t="s">
        <v>760</v>
      </c>
      <c r="AF437" s="10"/>
      <c r="AG437" s="10"/>
      <c r="AH437" s="9"/>
      <c r="AI437" s="9">
        <v>258255010</v>
      </c>
      <c r="AJ437" s="9" t="s">
        <v>8</v>
      </c>
      <c r="AK437" s="10">
        <v>45901</v>
      </c>
      <c r="AL437" s="10">
        <v>45901</v>
      </c>
      <c r="AM437" s="10">
        <v>45902</v>
      </c>
      <c r="AN437" s="9" t="s">
        <v>95</v>
      </c>
      <c r="AO437" s="9"/>
      <c r="AP437" s="11">
        <f>IF($H437="Cancelled","",IFERROR(IF(OR(AK437="",AB437=""),"",(AB437+Variables!$B$18-AK437)),""))</f>
        <v>-7</v>
      </c>
      <c r="AQ437" s="11">
        <f>IF($H437="Cancelled","",IFERROR(IF(OR(AM437="",AK437=""),"",(AK437+Variables!$B$19)-AM437),""))</f>
        <v>4</v>
      </c>
      <c r="AR437" s="12">
        <f>IF($H437="Cancelled","",IFERROR(T437*INDEX(Variables!$B$7:$D$7,IFERROR(MATCH(IF($B437="Robusta","Robusta",(IF($B437="","Arabica",$B437))&amp;" - "&amp;(IF($C437="","Commercial",$C437))),Variables!$B$1:$D$1,0),1))*(AQ437/365),""))</f>
        <v>104.90946669183806</v>
      </c>
      <c r="AS437" s="12">
        <f>IF($H437="Cancelled","",IFERROR((T437*INDEX(Variables!$B$7:$D$7,IFERROR(MATCH(IF($B437="Robusta","Robusta",(IF($B437="","Arabica",$B437))&amp;" - "&amp;(IF($C437="","Commercial",$C437))),Variables!$B$1:$D$1,0),1))*IFERROR(IF(W437="","",(AVERAGE(E437:F437)-W437)-Variables!$B$14),"")/365)+(L437/16.67*INDEX(Variables!$B$8:$D$8,IFERROR(MATCH(IF($B437="Robusta","Robusta",(IF($B437="","Arabica",$B437))&amp;" - "&amp;(IF($C437="","Commercial",$C437))),Variables!$B$1:$D$1,0),1))*IFERROR(IF(W437="","",(AVERAGE(E437:F437)-W437)-Variables!$B$14),""))+(T437*INDEX(Variables!$B$9:$D$9,IFERROR(MATCH(IF($B437="Robusta","Robusta",(IF($B437="","Arabica",$B437))&amp;" - "&amp;(IF($C437="","Commercial",$C437))),Variables!$B$1:$D$1,0),1))*IFERROR(IF(W437="","",(AVERAGE(E437:F437)-W437)-Variables!$B$14),"")/365),""))</f>
        <v>446.93762446908738</v>
      </c>
      <c r="AT437" s="12">
        <f>IF($H437="Cancelled","",IFERROR((T437*INDEX(Variables!$B$7:$D$7,IFERROR(MATCH(IF($B437="Robusta","Robusta",(IF($B437="","Arabica",$B437))&amp;" - "&amp;(IF($C437="","Commercial",$C437))),Variables!$B$1:$D$1,0),1))*AC437/365)+(L437/16.67*INDEX(Variables!$B$8:$D$8,IFERROR(MATCH(IF($B437="Robusta","Robusta",(IF($B437="","Arabica",$B437))&amp;" - "&amp;(IF($C437="","Commercial",$C437))),Variables!$B$1:$D$1,0),1))*AC437)+(T437*INDEX(Variables!$B$9:$D$9,IFERROR(MATCH(IF($B437="Robusta","Robusta",(IF($B437="","Arabica",$B437))&amp;" - "&amp;(IF($C437="","Commercial",$C437))),Variables!$B$1:$D$1,0),1))*AC437/365),""))</f>
        <v>-170.26195217869994</v>
      </c>
      <c r="AU437" s="12">
        <f>IF($H437="Cancelled","",IFERROR((T437*INDEX(Variables!$B$7:$D$7,IFERROR(MATCH(IF($B437="Robusta","Robusta",(IF($B437="","Arabica",$B437))&amp;" - "&amp;(IF($C437="","Commercial",$C437))),Variables!$B$1:$D$1,0),1))*AP437/365)+(L437/16.67*INDEX(Variables!$B$8:$D$8,IFERROR(MATCH(IF($B437="Robusta","Robusta",(IF($B437="","Arabica",$B437))&amp;" - "&amp;(IF($C437="","Commercial",$C437))),Variables!$B$1:$D$1,0),1))*AP437)+(T437*INDEX(Variables!$B$9:$D$9,IFERROR(MATCH(IF($B437="Robusta","Robusta",(IF($B437="","Arabica",$B437))&amp;" - "&amp;(IF($C437="","Commercial",$C437))),Variables!$B$1:$D$1,0),1))*AP437/365),""))</f>
        <v>-297.95841631272492</v>
      </c>
      <c r="AV437" s="11">
        <f t="shared" si="45"/>
        <v>29</v>
      </c>
      <c r="AW437" s="12">
        <f>IF($H437="Cancelled","",IFERROR(IF(AV437="","",(T437*INDEX(Variables!$B$7:$D$7,IFERROR(MATCH(IF($B437="Robusta","Robusta",(IF($B437="","Arabica",$B437))&amp;" - "&amp;(IF($C437="","Commercial",$C437))),Variables!$B$1:$D$1,0),1))*(AV437/365))+(T437*INDEX(Variables!$B$9:$D$9,IFERROR(MATCH(IF($B437="Robusta","Robusta",(IF($B437="","Arabica",$B437))&amp;" - "&amp;(IF($C437="","Commercial",$C437))),Variables!$B$1:$D$1,0),1))*(AV437/365))+(INDEX(Variables!$B$8:$D$8,IFERROR(MATCH(IF($B437="Robusta","Robusta",(IF($B437="","Arabica",$B437))&amp;" - "&amp;(IF($C437="","Commercial",$C437))),Variables!$B$1:$D$1,0),1))*L437/16.67)),""))</f>
        <v>786.39915329557459</v>
      </c>
      <c r="AX437" s="9"/>
      <c r="AY437" s="12"/>
      <c r="AZ437" s="10"/>
      <c r="BA437" s="9"/>
      <c r="BB437" s="10"/>
      <c r="BC437" s="9"/>
      <c r="BD437" s="9"/>
      <c r="BE437" s="9"/>
      <c r="BF437" s="9"/>
    </row>
    <row r="438" spans="1:58" x14ac:dyDescent="0.25">
      <c r="A438" s="9" t="s">
        <v>84</v>
      </c>
      <c r="B438" s="9" t="s">
        <v>85</v>
      </c>
      <c r="C438" s="9" t="s">
        <v>86</v>
      </c>
      <c r="D438" s="10">
        <v>45858</v>
      </c>
      <c r="E438" s="10">
        <v>45870</v>
      </c>
      <c r="F438" s="10">
        <v>45930</v>
      </c>
      <c r="G438" s="9">
        <v>3786941</v>
      </c>
      <c r="H438" s="9" t="str">
        <f t="shared" si="43"/>
        <v>Closed</v>
      </c>
      <c r="I438" s="9" t="str">
        <f t="shared" si="44"/>
        <v>All dates received</v>
      </c>
      <c r="J438" s="9" t="s">
        <v>240</v>
      </c>
      <c r="K438" s="9">
        <v>5318</v>
      </c>
      <c r="L438" s="11">
        <v>320</v>
      </c>
      <c r="M438" s="9" t="s">
        <v>1112</v>
      </c>
      <c r="N438" s="9" t="s">
        <v>122</v>
      </c>
      <c r="O438" s="9"/>
      <c r="P438" s="9"/>
      <c r="Q438" s="11">
        <v>15</v>
      </c>
      <c r="R438" s="9" t="s">
        <v>90</v>
      </c>
      <c r="S438" s="9" t="s">
        <v>392</v>
      </c>
      <c r="T438" s="12">
        <f>IF($H438="Cancelled","",IFERROR(((Q438+INDEX(Variables!$B$6:$D$6,IFERROR(MATCH(IF($B438="Robusta","Robusta",(IF($B438="","Arabica",$B438))&amp;" - "&amp;(IF($C438="","Commercial",$C438))),Variables!$B$1:$D$1,0),1)))*22.0462)*(L438/16.67),""))</f>
        <v>129415.29377324534</v>
      </c>
      <c r="U438" s="10">
        <v>45861</v>
      </c>
      <c r="V438" s="9" t="str">
        <f t="shared" si="49"/>
        <v>Sent</v>
      </c>
      <c r="W438" s="10">
        <v>45880</v>
      </c>
      <c r="X438" s="9" t="str">
        <f t="shared" si="50"/>
        <v>Approved</v>
      </c>
      <c r="Y438" s="10"/>
      <c r="Z438" s="10">
        <f>IF($H438="Cancelled","",IFERROR(IF(F438="","",F438-Variables!$B$13),""))</f>
        <v>45915</v>
      </c>
      <c r="AA438" s="11">
        <f>IF($H438="Cancelled","",IFERROR(IF(W438="","",(AVERAGE(E438:F438)-W438)-Variables!$B$14),""))</f>
        <v>-10</v>
      </c>
      <c r="AB438" s="10">
        <v>45884</v>
      </c>
      <c r="AC438" s="11">
        <f>IF($H438="Cancelled","",IFERROR(IF(AB438="","",IF(AND(W438="",Y438=""),"",IF(Y438&gt;W438,Y438+Variables!$B$15+Variables!$B$16+Variables!$B$17-AB438,W438+Variables!$B$16+Variables!$B$17-AB438))),""))</f>
        <v>4</v>
      </c>
      <c r="AD438" s="9" t="s">
        <v>107</v>
      </c>
      <c r="AE438" s="9" t="s">
        <v>818</v>
      </c>
      <c r="AF438" s="10"/>
      <c r="AG438" s="10"/>
      <c r="AH438" s="9"/>
      <c r="AI438" s="9" t="s">
        <v>1113</v>
      </c>
      <c r="AJ438" s="9" t="s">
        <v>8</v>
      </c>
      <c r="AK438" s="10">
        <v>45900</v>
      </c>
      <c r="AL438" s="10">
        <v>45903</v>
      </c>
      <c r="AM438" s="10">
        <v>45905</v>
      </c>
      <c r="AN438" s="9" t="s">
        <v>95</v>
      </c>
      <c r="AO438" s="9"/>
      <c r="AP438" s="11">
        <f>IF($H438="Cancelled","",IFERROR(IF(OR(AK438="",AB438=""),"",(AB438+Variables!$B$18-AK438)),""))</f>
        <v>-9</v>
      </c>
      <c r="AQ438" s="11">
        <f>IF($H438="Cancelled","",IFERROR(IF(OR(AM438="",AK438=""),"",(AK438+Variables!$B$19)-AM438),""))</f>
        <v>0</v>
      </c>
      <c r="AR438" s="12">
        <f>IF($H438="Cancelled","",IFERROR(T438*INDEX(Variables!$B$7:$D$7,IFERROR(MATCH(IF($B438="Robusta","Robusta",(IF($B438="","Arabica",$B438))&amp;" - "&amp;(IF($C438="","Commercial",$C438))),Variables!$B$1:$D$1,0),1))*(AQ438/365),""))</f>
        <v>0</v>
      </c>
      <c r="AS438" s="12">
        <f>IF($H438="Cancelled","",IFERROR((T438*INDEX(Variables!$B$7:$D$7,IFERROR(MATCH(IF($B438="Robusta","Robusta",(IF($B438="","Arabica",$B438))&amp;" - "&amp;(IF($C438="","Commercial",$C438))),Variables!$B$1:$D$1,0),1))*IFERROR(IF(W438="","",(AVERAGE(E438:F438)-W438)-Variables!$B$14),"")/365)+(L438/16.67*INDEX(Variables!$B$8:$D$8,IFERROR(MATCH(IF($B438="Robusta","Robusta",(IF($B438="","Arabica",$B438))&amp;" - "&amp;(IF($C438="","Commercial",$C438))),Variables!$B$1:$D$1,0),1))*IFERROR(IF(W438="","",(AVERAGE(E438:F438)-W438)-Variables!$B$14),""))+(T438*INDEX(Variables!$B$9:$D$9,IFERROR(MATCH(IF($B438="Robusta","Robusta",(IF($B438="","Arabica",$B438))&amp;" - "&amp;(IF($C438="","Commercial",$C438))),Variables!$B$1:$D$1,0),1))*IFERROR(IF(W438="","",(AVERAGE(E438:F438)-W438)-Variables!$B$14),"")/365),""))</f>
        <v>-391.57714492764001</v>
      </c>
      <c r="AT438" s="12">
        <f>IF($H438="Cancelled","",IFERROR((T438*INDEX(Variables!$B$7:$D$7,IFERROR(MATCH(IF($B438="Robusta","Robusta",(IF($B438="","Arabica",$B438))&amp;" - "&amp;(IF($C438="","Commercial",$C438))),Variables!$B$1:$D$1,0),1))*AC438/365)+(L438/16.67*INDEX(Variables!$B$8:$D$8,IFERROR(MATCH(IF($B438="Robusta","Robusta",(IF($B438="","Arabica",$B438))&amp;" - "&amp;(IF($C438="","Commercial",$C438))),Variables!$B$1:$D$1,0),1))*AC438)+(T438*INDEX(Variables!$B$9:$D$9,IFERROR(MATCH(IF($B438="Robusta","Robusta",(IF($B438="","Arabica",$B438))&amp;" - "&amp;(IF($C438="","Commercial",$C438))),Variables!$B$1:$D$1,0),1))*AC438/365),""))</f>
        <v>156.630857971056</v>
      </c>
      <c r="AU438" s="12">
        <f>IF($H438="Cancelled","",IFERROR((T438*INDEX(Variables!$B$7:$D$7,IFERROR(MATCH(IF($B438="Robusta","Robusta",(IF($B438="","Arabica",$B438))&amp;" - "&amp;(IF($C438="","Commercial",$C438))),Variables!$B$1:$D$1,0),1))*AP438/365)+(L438/16.67*INDEX(Variables!$B$8:$D$8,IFERROR(MATCH(IF($B438="Robusta","Robusta",(IF($B438="","Arabica",$B438))&amp;" - "&amp;(IF($C438="","Commercial",$C438))),Variables!$B$1:$D$1,0),1))*AP438)+(T438*INDEX(Variables!$B$9:$D$9,IFERROR(MATCH(IF($B438="Robusta","Robusta",(IF($B438="","Arabica",$B438))&amp;" - "&amp;(IF($C438="","Commercial",$C438))),Variables!$B$1:$D$1,0),1))*AP438/365),""))</f>
        <v>-352.41943043487595</v>
      </c>
      <c r="AV438" s="11">
        <f t="shared" si="45"/>
        <v>30</v>
      </c>
      <c r="AW438" s="12">
        <f>IF($H438="Cancelled","",IFERROR(IF(AV438="","",(T438*INDEX(Variables!$B$7:$D$7,IFERROR(MATCH(IF($B438="Robusta","Robusta",(IF($B438="","Arabica",$B438))&amp;" - "&amp;(IF($C438="","Commercial",$C438))),Variables!$B$1:$D$1,0),1))*(AV438/365))+(T438*INDEX(Variables!$B$9:$D$9,IFERROR(MATCH(IF($B438="Robusta","Robusta",(IF($B438="","Arabica",$B438))&amp;" - "&amp;(IF($C438="","Commercial",$C438))),Variables!$B$1:$D$1,0),1))*(AV438/365))+(INDEX(Variables!$B$8:$D$8,IFERROR(MATCH(IF($B438="Robusta","Robusta",(IF($B438="","Arabica",$B438))&amp;" - "&amp;(IF($C438="","Commercial",$C438))),Variables!$B$1:$D$1,0),1))*L438/16.67)),""))</f>
        <v>710.73143478291991</v>
      </c>
      <c r="AX438" s="9"/>
      <c r="AY438" s="12"/>
      <c r="AZ438" s="10"/>
      <c r="BA438" s="9"/>
      <c r="BB438" s="10"/>
      <c r="BC438" s="9"/>
      <c r="BD438" s="9"/>
      <c r="BE438" s="9"/>
      <c r="BF438" s="9"/>
    </row>
    <row r="439" spans="1:58" x14ac:dyDescent="0.25">
      <c r="A439" s="9" t="s">
        <v>84</v>
      </c>
      <c r="B439" s="9" t="s">
        <v>85</v>
      </c>
      <c r="C439" s="9" t="s">
        <v>86</v>
      </c>
      <c r="D439" s="10">
        <v>45869</v>
      </c>
      <c r="E439" s="10">
        <v>45901</v>
      </c>
      <c r="F439" s="10">
        <v>45930</v>
      </c>
      <c r="G439" s="9">
        <v>3786942</v>
      </c>
      <c r="H439" s="9" t="str">
        <f t="shared" si="43"/>
        <v>Closed</v>
      </c>
      <c r="I439" s="9" t="str">
        <f t="shared" si="44"/>
        <v>All dates received</v>
      </c>
      <c r="J439" s="9" t="s">
        <v>102</v>
      </c>
      <c r="K439" s="9">
        <v>5325</v>
      </c>
      <c r="L439" s="11">
        <v>320</v>
      </c>
      <c r="M439" s="9" t="s">
        <v>1114</v>
      </c>
      <c r="N439" s="9" t="s">
        <v>1013</v>
      </c>
      <c r="O439" s="9"/>
      <c r="P439" s="9"/>
      <c r="Q439" s="11">
        <v>74.81</v>
      </c>
      <c r="R439" s="9" t="s">
        <v>90</v>
      </c>
      <c r="S439" s="9" t="s">
        <v>821</v>
      </c>
      <c r="T439" s="12">
        <f>IF($H439="Cancelled","",IFERROR(((Q439+INDEX(Variables!$B$6:$D$6,IFERROR(MATCH(IF($B439="Robusta","Robusta",(IF($B439="","Arabica",$B439))&amp;" - "&amp;(IF($C439="","Commercial",$C439))),Variables!$B$1:$D$1,0),1)))*22.0462)*(L439/16.67),""))</f>
        <v>154727.02928854225</v>
      </c>
      <c r="U439" s="10">
        <v>45877</v>
      </c>
      <c r="V439" s="9" t="str">
        <f t="shared" si="49"/>
        <v>Sent</v>
      </c>
      <c r="W439" s="10">
        <v>45887</v>
      </c>
      <c r="X439" s="9" t="str">
        <f t="shared" si="50"/>
        <v>Approved</v>
      </c>
      <c r="Y439" s="10"/>
      <c r="Z439" s="10">
        <f>IF($H439="Cancelled","",IFERROR(IF(F439="","",F439-Variables!$B$13),""))</f>
        <v>45915</v>
      </c>
      <c r="AA439" s="11">
        <f>IF($H439="Cancelled","",IFERROR(IF(W439="","",(AVERAGE(E439:F439)-W439)-Variables!$B$14),""))</f>
        <v>-1.5</v>
      </c>
      <c r="AB439" s="10">
        <v>45896</v>
      </c>
      <c r="AC439" s="11">
        <f>IF($H439="Cancelled","",IFERROR(IF(AB439="","",IF(AND(W439="",Y439=""),"",IF(Y439&gt;W439,Y439+Variables!$B$15+Variables!$B$16+Variables!$B$17-AB439,W439+Variables!$B$16+Variables!$B$17-AB439))),""))</f>
        <v>-1</v>
      </c>
      <c r="AD439" s="9" t="s">
        <v>107</v>
      </c>
      <c r="AE439" s="9" t="s">
        <v>1115</v>
      </c>
      <c r="AF439" s="10"/>
      <c r="AG439" s="10"/>
      <c r="AH439" s="9"/>
      <c r="AI439" s="9" t="s">
        <v>1116</v>
      </c>
      <c r="AJ439" s="9" t="s">
        <v>1117</v>
      </c>
      <c r="AK439" s="10">
        <v>45913</v>
      </c>
      <c r="AL439" s="10">
        <v>45916</v>
      </c>
      <c r="AM439" s="10">
        <v>45919</v>
      </c>
      <c r="AN439" s="9" t="s">
        <v>95</v>
      </c>
      <c r="AO439" s="9"/>
      <c r="AP439" s="11">
        <f>IF($H439="Cancelled","",IFERROR(IF(OR(AK439="",AB439=""),"",(AB439+Variables!$B$18-AK439)),""))</f>
        <v>-10</v>
      </c>
      <c r="AQ439" s="11">
        <f>IF($H439="Cancelled","",IFERROR(IF(OR(AM439="",AK439=""),"",(AK439+Variables!$B$19)-AM439),""))</f>
        <v>-1</v>
      </c>
      <c r="AR439" s="12">
        <f>IF($H439="Cancelled","",IFERROR(T439*INDEX(Variables!$B$7:$D$7,IFERROR(MATCH(IF($B439="Robusta","Robusta",(IF($B439="","Arabica",$B439))&amp;" - "&amp;(IF($C439="","Commercial",$C439))),Variables!$B$1:$D$1,0),1))*(AQ439/365),""))</f>
        <v>-27.334628076683945</v>
      </c>
      <c r="AS439" s="12">
        <f>IF($H439="Cancelled","",IFERROR((T439*INDEX(Variables!$B$7:$D$7,IFERROR(MATCH(IF($B439="Robusta","Robusta",(IF($B439="","Arabica",$B439))&amp;" - "&amp;(IF($C439="","Commercial",$C439))),Variables!$B$1:$D$1,0),1))*IFERROR(IF(W439="","",(AVERAGE(E439:F439)-W439)-Variables!$B$14),"")/365)+(L439/16.67*INDEX(Variables!$B$8:$D$8,IFERROR(MATCH(IF($B439="Robusta","Robusta",(IF($B439="","Arabica",$B439))&amp;" - "&amp;(IF($C439="","Commercial",$C439))),Variables!$B$1:$D$1,0),1))*IFERROR(IF(W439="","",(AVERAGE(E439:F439)-W439)-Variables!$B$14),""))+(T439*INDEX(Variables!$B$9:$D$9,IFERROR(MATCH(IF($B439="Robusta","Robusta",(IF($B439="","Arabica",$B439))&amp;" - "&amp;(IF($C439="","Commercial",$C439))),Variables!$B$1:$D$1,0),1))*IFERROR(IF(W439="","",(AVERAGE(E439:F439)-W439)-Variables!$B$14),"")/365),""))</f>
        <v>-65.530536277139191</v>
      </c>
      <c r="AT439" s="12">
        <f>IF($H439="Cancelled","",IFERROR((T439*INDEX(Variables!$B$7:$D$7,IFERROR(MATCH(IF($B439="Robusta","Robusta",(IF($B439="","Arabica",$B439))&amp;" - "&amp;(IF($C439="","Commercial",$C439))),Variables!$B$1:$D$1,0),1))*AC439/365)+(L439/16.67*INDEX(Variables!$B$8:$D$8,IFERROR(MATCH(IF($B439="Robusta","Robusta",(IF($B439="","Arabica",$B439))&amp;" - "&amp;(IF($C439="","Commercial",$C439))),Variables!$B$1:$D$1,0),1))*AC439)+(T439*INDEX(Variables!$B$9:$D$9,IFERROR(MATCH(IF($B439="Robusta","Robusta",(IF($B439="","Arabica",$B439))&amp;" - "&amp;(IF($C439="","Commercial",$C439))),Variables!$B$1:$D$1,0),1))*AC439/365),""))</f>
        <v>-43.687024184759466</v>
      </c>
      <c r="AU439" s="12">
        <f>IF($H439="Cancelled","",IFERROR((T439*INDEX(Variables!$B$7:$D$7,IFERROR(MATCH(IF($B439="Robusta","Robusta",(IF($B439="","Arabica",$B439))&amp;" - "&amp;(IF($C439="","Commercial",$C439))),Variables!$B$1:$D$1,0),1))*AP439/365)+(L439/16.67*INDEX(Variables!$B$8:$D$8,IFERROR(MATCH(IF($B439="Robusta","Robusta",(IF($B439="","Arabica",$B439))&amp;" - "&amp;(IF($C439="","Commercial",$C439))),Variables!$B$1:$D$1,0),1))*AP439)+(T439*INDEX(Variables!$B$9:$D$9,IFERROR(MATCH(IF($B439="Robusta","Robusta",(IF($B439="","Arabica",$B439))&amp;" - "&amp;(IF($C439="","Commercial",$C439))),Variables!$B$1:$D$1,0),1))*AP439/365),""))</f>
        <v>-436.87024184759468</v>
      </c>
      <c r="AV439" s="11">
        <f t="shared" si="45"/>
        <v>17</v>
      </c>
      <c r="AW439" s="12">
        <f>IF($H439="Cancelled","",IFERROR(IF(AV439="","",(T439*INDEX(Variables!$B$7:$D$7,IFERROR(MATCH(IF($B439="Robusta","Robusta",(IF($B439="","Arabica",$B439))&amp;" - "&amp;(IF($C439="","Commercial",$C439))),Variables!$B$1:$D$1,0),1))*(AV439/365))+(T439*INDEX(Variables!$B$9:$D$9,IFERROR(MATCH(IF($B439="Robusta","Robusta",(IF($B439="","Arabica",$B439))&amp;" - "&amp;(IF($C439="","Commercial",$C439))),Variables!$B$1:$D$1,0),1))*(AV439/365))+(INDEX(Variables!$B$8:$D$8,IFERROR(MATCH(IF($B439="Robusta","Robusta",(IF($B439="","Arabica",$B439))&amp;" - "&amp;(IF($C439="","Commercial",$C439))),Variables!$B$1:$D$1,0),1))*L439/16.67)),""))</f>
        <v>486.67941114091099</v>
      </c>
      <c r="AX439" s="9"/>
      <c r="AY439" s="12"/>
      <c r="AZ439" s="10"/>
      <c r="BA439" s="9"/>
      <c r="BB439" s="10"/>
      <c r="BC439" s="9"/>
      <c r="BD439" s="9"/>
      <c r="BE439" s="9"/>
      <c r="BF439" s="9"/>
    </row>
    <row r="440" spans="1:58" x14ac:dyDescent="0.25">
      <c r="A440" s="9" t="s">
        <v>84</v>
      </c>
      <c r="B440" s="9" t="s">
        <v>85</v>
      </c>
      <c r="C440" s="9" t="s">
        <v>86</v>
      </c>
      <c r="D440" s="10">
        <v>45870</v>
      </c>
      <c r="E440" s="10">
        <v>45901</v>
      </c>
      <c r="F440" s="10">
        <v>45930</v>
      </c>
      <c r="G440" s="9">
        <v>3786943</v>
      </c>
      <c r="H440" s="9" t="str">
        <f t="shared" si="43"/>
        <v>Closed</v>
      </c>
      <c r="I440" s="9" t="str">
        <f t="shared" si="44"/>
        <v>All dates received</v>
      </c>
      <c r="J440" s="9" t="s">
        <v>257</v>
      </c>
      <c r="K440" s="9" t="s">
        <v>1118</v>
      </c>
      <c r="L440" s="11">
        <v>100</v>
      </c>
      <c r="M440" s="9" t="s">
        <v>1119</v>
      </c>
      <c r="N440" s="9" t="s">
        <v>1120</v>
      </c>
      <c r="O440" s="9"/>
      <c r="P440" s="9"/>
      <c r="Q440" s="11">
        <v>38</v>
      </c>
      <c r="R440" s="9" t="s">
        <v>90</v>
      </c>
      <c r="S440" s="9" t="s">
        <v>1121</v>
      </c>
      <c r="T440" s="12">
        <f>IF($H440="Cancelled","",IFERROR(((Q440+INDEX(Variables!$B$6:$D$6,IFERROR(MATCH(IF($B440="Robusta","Robusta",(IF($B440="","Arabica",$B440))&amp;" - "&amp;(IF($C440="","Commercial",$C440))),Variables!$B$1:$D$1,0),1)))*22.0462)*(L440/16.67),""))</f>
        <v>43484.046550689854</v>
      </c>
      <c r="U440" s="10">
        <v>45884</v>
      </c>
      <c r="V440" s="9" t="str">
        <f t="shared" si="49"/>
        <v>Sent</v>
      </c>
      <c r="W440" s="10">
        <v>45889</v>
      </c>
      <c r="X440" s="9" t="str">
        <f t="shared" si="50"/>
        <v>Approved</v>
      </c>
      <c r="Y440" s="10"/>
      <c r="Z440" s="10">
        <f>IF($H440="Cancelled","",IFERROR(IF(F440="","",F440-Variables!$B$13),""))</f>
        <v>45915</v>
      </c>
      <c r="AA440" s="11">
        <f>IF($H440="Cancelled","",IFERROR(IF(W440="","",(AVERAGE(E440:F440)-W440)-Variables!$B$14),""))</f>
        <v>-3.5</v>
      </c>
      <c r="AB440" s="10">
        <v>45905</v>
      </c>
      <c r="AC440" s="11">
        <f>IF($H440="Cancelled","",IFERROR(IF(AB440="","",IF(AND(W440="",Y440=""),"",IF(Y440&gt;W440,Y440+Variables!$B$15+Variables!$B$16+Variables!$B$17-AB440,W440+Variables!$B$16+Variables!$B$17-AB440))),""))</f>
        <v>-8</v>
      </c>
      <c r="AD440" s="9" t="s">
        <v>165</v>
      </c>
      <c r="AE440" s="9" t="s">
        <v>969</v>
      </c>
      <c r="AF440" s="10"/>
      <c r="AG440" s="10"/>
      <c r="AH440" s="9"/>
      <c r="AI440" s="9" t="s">
        <v>1122</v>
      </c>
      <c r="AJ440" s="9" t="s">
        <v>8</v>
      </c>
      <c r="AK440" s="10">
        <v>45920</v>
      </c>
      <c r="AL440" s="10">
        <v>45923</v>
      </c>
      <c r="AM440" s="10">
        <v>45923</v>
      </c>
      <c r="AN440" s="9" t="s">
        <v>95</v>
      </c>
      <c r="AO440" s="9"/>
      <c r="AP440" s="11">
        <f>IF($H440="Cancelled","",IFERROR(IF(OR(AK440="",AB440=""),"",(AB440+Variables!$B$18-AK440)),""))</f>
        <v>-8</v>
      </c>
      <c r="AQ440" s="11">
        <f>IF($H440="Cancelled","",IFERROR(IF(OR(AM440="",AK440=""),"",(AK440+Variables!$B$19)-AM440),""))</f>
        <v>2</v>
      </c>
      <c r="AR440" s="12">
        <f>IF($H440="Cancelled","",IFERROR(T440*INDEX(Variables!$B$7:$D$7,IFERROR(MATCH(IF($B440="Robusta","Robusta",(IF($B440="","Arabica",$B440))&amp;" - "&amp;(IF($C440="","Commercial",$C440))),Variables!$B$1:$D$1,0),1))*(AQ440/365),""))</f>
        <v>15.36409307666243</v>
      </c>
      <c r="AS440" s="12">
        <f>IF($H440="Cancelled","",IFERROR((T440*INDEX(Variables!$B$7:$D$7,IFERROR(MATCH(IF($B440="Robusta","Robusta",(IF($B440="","Arabica",$B440))&amp;" - "&amp;(IF($C440="","Commercial",$C440))),Variables!$B$1:$D$1,0),1))*IFERROR(IF(W440="","",(AVERAGE(E440:F440)-W440)-Variables!$B$14),"")/365)+(L440/16.67*INDEX(Variables!$B$8:$D$8,IFERROR(MATCH(IF($B440="Robusta","Robusta",(IF($B440="","Arabica",$B440))&amp;" - "&amp;(IF($C440="","Commercial",$C440))),Variables!$B$1:$D$1,0),1))*IFERROR(IF(W440="","",(AVERAGE(E440:F440)-W440)-Variables!$B$14),""))+(T440*INDEX(Variables!$B$9:$D$9,IFERROR(MATCH(IF($B440="Robusta","Robusta",(IF($B440="","Arabica",$B440))&amp;" - "&amp;(IF($C440="","Commercial",$C440))),Variables!$B$1:$D$1,0),1))*IFERROR(IF(W440="","",(AVERAGE(E440:F440)-W440)-Variables!$B$14),"")/365),""))</f>
        <v>-44.73379030235531</v>
      </c>
      <c r="AT440" s="12">
        <f>IF($H440="Cancelled","",IFERROR((T440*INDEX(Variables!$B$7:$D$7,IFERROR(MATCH(IF($B440="Robusta","Robusta",(IF($B440="","Arabica",$B440))&amp;" - "&amp;(IF($C440="","Commercial",$C440))),Variables!$B$1:$D$1,0),1))*AC440/365)+(L440/16.67*INDEX(Variables!$B$8:$D$8,IFERROR(MATCH(IF($B440="Robusta","Robusta",(IF($B440="","Arabica",$B440))&amp;" - "&amp;(IF($C440="","Commercial",$C440))),Variables!$B$1:$D$1,0),1))*AC440)+(T440*INDEX(Variables!$B$9:$D$9,IFERROR(MATCH(IF($B440="Robusta","Robusta",(IF($B440="","Arabica",$B440))&amp;" - "&amp;(IF($C440="","Commercial",$C440))),Variables!$B$1:$D$1,0),1))*AC440/365),""))</f>
        <v>-102.24866354824069</v>
      </c>
      <c r="AU440" s="12">
        <f>IF($H440="Cancelled","",IFERROR((T440*INDEX(Variables!$B$7:$D$7,IFERROR(MATCH(IF($B440="Robusta","Robusta",(IF($B440="","Arabica",$B440))&amp;" - "&amp;(IF($C440="","Commercial",$C440))),Variables!$B$1:$D$1,0),1))*AP440/365)+(L440/16.67*INDEX(Variables!$B$8:$D$8,IFERROR(MATCH(IF($B440="Robusta","Robusta",(IF($B440="","Arabica",$B440))&amp;" - "&amp;(IF($C440="","Commercial",$C440))),Variables!$B$1:$D$1,0),1))*AP440)+(T440*INDEX(Variables!$B$9:$D$9,IFERROR(MATCH(IF($B440="Robusta","Robusta",(IF($B440="","Arabica",$B440))&amp;" - "&amp;(IF($C440="","Commercial",$C440))),Variables!$B$1:$D$1,0),1))*AP440/365),""))</f>
        <v>-102.24866354824069</v>
      </c>
      <c r="AV440" s="11">
        <f t="shared" si="45"/>
        <v>10</v>
      </c>
      <c r="AW440" s="12">
        <f>IF($H440="Cancelled","",IFERROR(IF(AV440="","",(T440*INDEX(Variables!$B$7:$D$7,IFERROR(MATCH(IF($B440="Robusta","Robusta",(IF($B440="","Arabica",$B440))&amp;" - "&amp;(IF($C440="","Commercial",$C440))),Variables!$B$1:$D$1,0),1))*(AV440/365))+(T440*INDEX(Variables!$B$9:$D$9,IFERROR(MATCH(IF($B440="Robusta","Robusta",(IF($B440="","Arabica",$B440))&amp;" - "&amp;(IF($C440="","Commercial",$C440))),Variables!$B$1:$D$1,0),1))*(AV440/365))+(INDEX(Variables!$B$8:$D$8,IFERROR(MATCH(IF($B440="Robusta","Robusta",(IF($B440="","Arabica",$B440))&amp;" - "&amp;(IF($C440="","Commercial",$C440))),Variables!$B$1:$D$1,0),1))*L440/16.67)),""))</f>
        <v>82.81082943530086</v>
      </c>
      <c r="AX440" s="9"/>
      <c r="AY440" s="12"/>
      <c r="AZ440" s="10"/>
      <c r="BA440" s="9"/>
      <c r="BB440" s="10"/>
      <c r="BC440" s="9"/>
      <c r="BD440" s="9"/>
      <c r="BE440" s="9"/>
      <c r="BF440" s="9"/>
    </row>
    <row r="441" spans="1:58" x14ac:dyDescent="0.25">
      <c r="A441" s="9" t="s">
        <v>84</v>
      </c>
      <c r="B441" s="9" t="s">
        <v>85</v>
      </c>
      <c r="C441" s="9" t="s">
        <v>86</v>
      </c>
      <c r="D441" s="10">
        <v>45870</v>
      </c>
      <c r="E441" s="10">
        <v>45901</v>
      </c>
      <c r="F441" s="10">
        <v>45930</v>
      </c>
      <c r="G441" s="9">
        <v>3786944</v>
      </c>
      <c r="H441" s="9" t="str">
        <f t="shared" si="43"/>
        <v>Closed</v>
      </c>
      <c r="I441" s="9" t="str">
        <f t="shared" si="44"/>
        <v>All dates received</v>
      </c>
      <c r="J441" s="9" t="s">
        <v>257</v>
      </c>
      <c r="K441" s="9" t="s">
        <v>1123</v>
      </c>
      <c r="L441" s="11">
        <v>120</v>
      </c>
      <c r="M441" s="9" t="s">
        <v>1124</v>
      </c>
      <c r="N441" s="9" t="s">
        <v>543</v>
      </c>
      <c r="O441" s="9"/>
      <c r="P441" s="9"/>
      <c r="Q441" s="11">
        <v>54</v>
      </c>
      <c r="R441" s="9" t="s">
        <v>90</v>
      </c>
      <c r="S441" s="9" t="s">
        <v>1121</v>
      </c>
      <c r="T441" s="12">
        <f>IF($H441="Cancelled","",IFERROR(((Q441+INDEX(Variables!$B$6:$D$6,IFERROR(MATCH(IF($B441="Robusta","Robusta",(IF($B441="","Arabica",$B441))&amp;" - "&amp;(IF($C441="","Commercial",$C441))),Variables!$B$1:$D$1,0),1)))*22.0462)*(L441/16.67),""))</f>
        <v>54720.070257948399</v>
      </c>
      <c r="U441" s="10">
        <v>45884</v>
      </c>
      <c r="V441" s="9" t="str">
        <f t="shared" si="49"/>
        <v>Sent</v>
      </c>
      <c r="W441" s="10">
        <v>45889</v>
      </c>
      <c r="X441" s="9" t="str">
        <f t="shared" si="50"/>
        <v>Approved</v>
      </c>
      <c r="Y441" s="10"/>
      <c r="Z441" s="10">
        <f>IF($H441="Cancelled","",IFERROR(IF(F441="","",F441-Variables!$B$13),""))</f>
        <v>45915</v>
      </c>
      <c r="AA441" s="11">
        <f>IF($H441="Cancelled","",IFERROR(IF(W441="","",(AVERAGE(E441:F441)-W441)-Variables!$B$14),""))</f>
        <v>-3.5</v>
      </c>
      <c r="AB441" s="10">
        <v>45905</v>
      </c>
      <c r="AC441" s="11">
        <f>IF($H441="Cancelled","",IFERROR(IF(AB441="","",IF(AND(W441="",Y441=""),"",IF(Y441&gt;W441,Y441+Variables!$B$15+Variables!$B$16+Variables!$B$17-AB441,W441+Variables!$B$16+Variables!$B$17-AB441))),""))</f>
        <v>-8</v>
      </c>
      <c r="AD441" s="9" t="s">
        <v>165</v>
      </c>
      <c r="AE441" s="9" t="s">
        <v>969</v>
      </c>
      <c r="AF441" s="10"/>
      <c r="AG441" s="10"/>
      <c r="AH441" s="9"/>
      <c r="AI441" s="9" t="s">
        <v>1122</v>
      </c>
      <c r="AJ441" s="9" t="s">
        <v>8</v>
      </c>
      <c r="AK441" s="10">
        <v>45920</v>
      </c>
      <c r="AL441" s="10">
        <v>45923</v>
      </c>
      <c r="AM441" s="10">
        <v>45923</v>
      </c>
      <c r="AN441" s="9" t="s">
        <v>95</v>
      </c>
      <c r="AO441" s="9"/>
      <c r="AP441" s="11">
        <f>IF($H441="Cancelled","",IFERROR(IF(OR(AK441="",AB441=""),"",(AB441+Variables!$B$18-AK441)),""))</f>
        <v>-8</v>
      </c>
      <c r="AQ441" s="11">
        <f>IF($H441="Cancelled","",IFERROR(IF(OR(AM441="",AK441=""),"",(AK441+Variables!$B$19)-AM441),""))</f>
        <v>2</v>
      </c>
      <c r="AR441" s="12">
        <f>IF($H441="Cancelled","",IFERROR(T441*INDEX(Variables!$B$7:$D$7,IFERROR(MATCH(IF($B441="Robusta","Robusta",(IF($B441="","Arabica",$B441))&amp;" - "&amp;(IF($C441="","Commercial",$C441))),Variables!$B$1:$D$1,0),1))*(AQ441/365),""))</f>
        <v>19.334085010340168</v>
      </c>
      <c r="AS441" s="12">
        <f>IF($H441="Cancelled","",IFERROR((T441*INDEX(Variables!$B$7:$D$7,IFERROR(MATCH(IF($B441="Robusta","Robusta",(IF($B441="","Arabica",$B441))&amp;" - "&amp;(IF($C441="","Commercial",$C441))),Variables!$B$1:$D$1,0),1))*IFERROR(IF(W441="","",(AVERAGE(E441:F441)-W441)-Variables!$B$14),"")/365)+(L441/16.67*INDEX(Variables!$B$8:$D$8,IFERROR(MATCH(IF($B441="Robusta","Robusta",(IF($B441="","Arabica",$B441))&amp;" - "&amp;(IF($C441="","Commercial",$C441))),Variables!$B$1:$D$1,0),1))*IFERROR(IF(W441="","",(AVERAGE(E441:F441)-W441)-Variables!$B$14),""))+(T441*INDEX(Variables!$B$9:$D$9,IFERROR(MATCH(IF($B441="Robusta","Robusta",(IF($B441="","Arabica",$B441))&amp;" - "&amp;(IF($C441="","Commercial",$C441))),Variables!$B$1:$D$1,0),1))*IFERROR(IF(W441="","",(AVERAGE(E441:F441)-W441)-Variables!$B$14),"")/365),""))</f>
        <v>-55.270842687051491</v>
      </c>
      <c r="AT441" s="12">
        <f>IF($H441="Cancelled","",IFERROR((T441*INDEX(Variables!$B$7:$D$7,IFERROR(MATCH(IF($B441="Robusta","Robusta",(IF($B441="","Arabica",$B441))&amp;" - "&amp;(IF($C441="","Commercial",$C441))),Variables!$B$1:$D$1,0),1))*AC441/365)+(L441/16.67*INDEX(Variables!$B$8:$D$8,IFERROR(MATCH(IF($B441="Robusta","Robusta",(IF($B441="","Arabica",$B441))&amp;" - "&amp;(IF($C441="","Commercial",$C441))),Variables!$B$1:$D$1,0),1))*AC441)+(T441*INDEX(Variables!$B$9:$D$9,IFERROR(MATCH(IF($B441="Robusta","Robusta",(IF($B441="","Arabica",$B441))&amp;" - "&amp;(IF($C441="","Commercial",$C441))),Variables!$B$1:$D$1,0),1))*AC441/365),""))</f>
        <v>-126.33335471326056</v>
      </c>
      <c r="AU441" s="12">
        <f>IF($H441="Cancelled","",IFERROR((T441*INDEX(Variables!$B$7:$D$7,IFERROR(MATCH(IF($B441="Robusta","Robusta",(IF($B441="","Arabica",$B441))&amp;" - "&amp;(IF($C441="","Commercial",$C441))),Variables!$B$1:$D$1,0),1))*AP441/365)+(L441/16.67*INDEX(Variables!$B$8:$D$8,IFERROR(MATCH(IF($B441="Robusta","Robusta",(IF($B441="","Arabica",$B441))&amp;" - "&amp;(IF($C441="","Commercial",$C441))),Variables!$B$1:$D$1,0),1))*AP441)+(T441*INDEX(Variables!$B$9:$D$9,IFERROR(MATCH(IF($B441="Robusta","Robusta",(IF($B441="","Arabica",$B441))&amp;" - "&amp;(IF($C441="","Commercial",$C441))),Variables!$B$1:$D$1,0),1))*AP441/365),""))</f>
        <v>-126.33335471326056</v>
      </c>
      <c r="AV441" s="11">
        <f t="shared" si="45"/>
        <v>10</v>
      </c>
      <c r="AW441" s="12">
        <f>IF($H441="Cancelled","",IFERROR(IF(AV441="","",(T441*INDEX(Variables!$B$7:$D$7,IFERROR(MATCH(IF($B441="Robusta","Robusta",(IF($B441="","Arabica",$B441))&amp;" - "&amp;(IF($C441="","Commercial",$C441))),Variables!$B$1:$D$1,0),1))*(AV441/365))+(T441*INDEX(Variables!$B$9:$D$9,IFERROR(MATCH(IF($B441="Robusta","Robusta",(IF($B441="","Arabica",$B441))&amp;" - "&amp;(IF($C441="","Commercial",$C441))),Variables!$B$1:$D$1,0),1))*(AV441/365))+(INDEX(Variables!$B$8:$D$8,IFERROR(MATCH(IF($B441="Robusta","Robusta",(IF($B441="","Arabica",$B441))&amp;" - "&amp;(IF($C441="","Commercial",$C441))),Variables!$B$1:$D$1,0),1))*L441/16.67)),""))</f>
        <v>103.91669339157569</v>
      </c>
      <c r="AX441" s="9"/>
      <c r="AY441" s="12"/>
      <c r="AZ441" s="10"/>
      <c r="BA441" s="9"/>
      <c r="BB441" s="10"/>
      <c r="BC441" s="9"/>
      <c r="BD441" s="9"/>
      <c r="BE441" s="9"/>
      <c r="BF441" s="9"/>
    </row>
    <row r="442" spans="1:58" x14ac:dyDescent="0.25">
      <c r="A442" s="9" t="s">
        <v>84</v>
      </c>
      <c r="B442" s="9" t="s">
        <v>85</v>
      </c>
      <c r="C442" s="9" t="s">
        <v>86</v>
      </c>
      <c r="D442" s="10">
        <v>45870</v>
      </c>
      <c r="E442" s="10">
        <v>45901</v>
      </c>
      <c r="F442" s="10">
        <v>45930</v>
      </c>
      <c r="G442" s="9">
        <v>3786945</v>
      </c>
      <c r="H442" s="9" t="str">
        <f t="shared" si="43"/>
        <v>Closed</v>
      </c>
      <c r="I442" s="9" t="str">
        <f t="shared" si="44"/>
        <v>All dates received</v>
      </c>
      <c r="J442" s="9" t="s">
        <v>257</v>
      </c>
      <c r="K442" s="9" t="s">
        <v>1125</v>
      </c>
      <c r="L442" s="11">
        <v>100</v>
      </c>
      <c r="M442" s="9" t="s">
        <v>1126</v>
      </c>
      <c r="N442" s="9" t="s">
        <v>1127</v>
      </c>
      <c r="O442" s="9"/>
      <c r="P442" s="9"/>
      <c r="Q442" s="11">
        <v>51</v>
      </c>
      <c r="R442" s="9" t="s">
        <v>90</v>
      </c>
      <c r="S442" s="9" t="s">
        <v>1121</v>
      </c>
      <c r="T442" s="12">
        <f>IF($H442="Cancelled","",IFERROR(((Q442+INDEX(Variables!$B$6:$D$6,IFERROR(MATCH(IF($B442="Robusta","Robusta",(IF($B442="","Arabica",$B442))&amp;" - "&amp;(IF($C442="","Commercial",$C442))),Variables!$B$1:$D$1,0),1)))*22.0462)*(L442/16.67),""))</f>
        <v>45203.306298740245</v>
      </c>
      <c r="U442" s="10">
        <v>45884</v>
      </c>
      <c r="V442" s="9" t="str">
        <f t="shared" si="49"/>
        <v>Sent</v>
      </c>
      <c r="W442" s="10">
        <v>45889</v>
      </c>
      <c r="X442" s="9" t="str">
        <f t="shared" si="50"/>
        <v>Approved</v>
      </c>
      <c r="Y442" s="10"/>
      <c r="Z442" s="10">
        <f>IF($H442="Cancelled","",IFERROR(IF(F442="","",F442-Variables!$B$13),""))</f>
        <v>45915</v>
      </c>
      <c r="AA442" s="11">
        <f>IF($H442="Cancelled","",IFERROR(IF(W442="","",(AVERAGE(E442:F442)-W442)-Variables!$B$14),""))</f>
        <v>-3.5</v>
      </c>
      <c r="AB442" s="10">
        <v>45905</v>
      </c>
      <c r="AC442" s="11">
        <f>IF($H442="Cancelled","",IFERROR(IF(AB442="","",IF(AND(W442="",Y442=""),"",IF(Y442&gt;W442,Y442+Variables!$B$15+Variables!$B$16+Variables!$B$17-AB442,W442+Variables!$B$16+Variables!$B$17-AB442))),""))</f>
        <v>-8</v>
      </c>
      <c r="AD442" s="9" t="s">
        <v>165</v>
      </c>
      <c r="AE442" s="9" t="s">
        <v>969</v>
      </c>
      <c r="AF442" s="10"/>
      <c r="AG442" s="10"/>
      <c r="AH442" s="9"/>
      <c r="AI442" s="9" t="s">
        <v>1122</v>
      </c>
      <c r="AJ442" s="9" t="s">
        <v>8</v>
      </c>
      <c r="AK442" s="10">
        <v>45920</v>
      </c>
      <c r="AL442" s="10">
        <v>45923</v>
      </c>
      <c r="AM442" s="10">
        <v>45923</v>
      </c>
      <c r="AN442" s="9" t="s">
        <v>95</v>
      </c>
      <c r="AO442" s="9"/>
      <c r="AP442" s="11">
        <f>IF($H442="Cancelled","",IFERROR(IF(OR(AK442="",AB442=""),"",(AB442+Variables!$B$18-AK442)),""))</f>
        <v>-8</v>
      </c>
      <c r="AQ442" s="11">
        <f>IF($H442="Cancelled","",IFERROR(IF(OR(AM442="",AK442=""),"",(AK442+Variables!$B$19)-AM442),""))</f>
        <v>2</v>
      </c>
      <c r="AR442" s="12">
        <f>IF($H442="Cancelled","",IFERROR(T442*INDEX(Variables!$B$7:$D$7,IFERROR(MATCH(IF($B442="Robusta","Robusta",(IF($B442="","Arabica",$B442))&amp;" - "&amp;(IF($C442="","Commercial",$C442))),Variables!$B$1:$D$1,0),1))*(AQ442/365),""))</f>
        <v>15.971554177625361</v>
      </c>
      <c r="AS442" s="12">
        <f>IF($H442="Cancelled","",IFERROR((T442*INDEX(Variables!$B$7:$D$7,IFERROR(MATCH(IF($B442="Robusta","Robusta",(IF($B442="","Arabica",$B442))&amp;" - "&amp;(IF($C442="","Commercial",$C442))),Variables!$B$1:$D$1,0),1))*IFERROR(IF(W442="","",(AVERAGE(E442:F442)-W442)-Variables!$B$14),"")/365)+(L442/16.67*INDEX(Variables!$B$8:$D$8,IFERROR(MATCH(IF($B442="Robusta","Robusta",(IF($B442="","Arabica",$B442))&amp;" - "&amp;(IF($C442="","Commercial",$C442))),Variables!$B$1:$D$1,0),1))*IFERROR(IF(W442="","",(AVERAGE(E442:F442)-W442)-Variables!$B$14),""))+(T442*INDEX(Variables!$B$9:$D$9,IFERROR(MATCH(IF($B442="Robusta","Robusta",(IF($B442="","Arabica",$B442))&amp;" - "&amp;(IF($C442="","Commercial",$C442))),Variables!$B$1:$D$1,0),1))*IFERROR(IF(W442="","",(AVERAGE(E442:F442)-W442)-Variables!$B$14),"")/365),""))</f>
        <v>-45.810552084382735</v>
      </c>
      <c r="AT442" s="12">
        <f>IF($H442="Cancelled","",IFERROR((T442*INDEX(Variables!$B$7:$D$7,IFERROR(MATCH(IF($B442="Robusta","Robusta",(IF($B442="","Arabica",$B442))&amp;" - "&amp;(IF($C442="","Commercial",$C442))),Variables!$B$1:$D$1,0),1))*AC442/365)+(L442/16.67*INDEX(Variables!$B$8:$D$8,IFERROR(MATCH(IF($B442="Robusta","Robusta",(IF($B442="","Arabica",$B442))&amp;" - "&amp;(IF($C442="","Commercial",$C442))),Variables!$B$1:$D$1,0),1))*AC442)+(T442*INDEX(Variables!$B$9:$D$9,IFERROR(MATCH(IF($B442="Robusta","Robusta",(IF($B442="","Arabica",$B442))&amp;" - "&amp;(IF($C442="","Commercial",$C442))),Variables!$B$1:$D$1,0),1))*AC442/365),""))</f>
        <v>-104.70983333573197</v>
      </c>
      <c r="AU442" s="12">
        <f>IF($H442="Cancelled","",IFERROR((T442*INDEX(Variables!$B$7:$D$7,IFERROR(MATCH(IF($B442="Robusta","Robusta",(IF($B442="","Arabica",$B442))&amp;" - "&amp;(IF($C442="","Commercial",$C442))),Variables!$B$1:$D$1,0),1))*AP442/365)+(L442/16.67*INDEX(Variables!$B$8:$D$8,IFERROR(MATCH(IF($B442="Robusta","Robusta",(IF($B442="","Arabica",$B442))&amp;" - "&amp;(IF($C442="","Commercial",$C442))),Variables!$B$1:$D$1,0),1))*AP442)+(T442*INDEX(Variables!$B$9:$D$9,IFERROR(MATCH(IF($B442="Robusta","Robusta",(IF($B442="","Arabica",$B442))&amp;" - "&amp;(IF($C442="","Commercial",$C442))),Variables!$B$1:$D$1,0),1))*AP442/365),""))</f>
        <v>-104.70983333573197</v>
      </c>
      <c r="AV442" s="11">
        <f t="shared" si="45"/>
        <v>10</v>
      </c>
      <c r="AW442" s="12">
        <f>IF($H442="Cancelled","",IFERROR(IF(AV442="","",(T442*INDEX(Variables!$B$7:$D$7,IFERROR(MATCH(IF($B442="Robusta","Robusta",(IF($B442="","Arabica",$B442))&amp;" - "&amp;(IF($C442="","Commercial",$C442))),Variables!$B$1:$D$1,0),1))*(AV442/365))+(T442*INDEX(Variables!$B$9:$D$9,IFERROR(MATCH(IF($B442="Robusta","Robusta",(IF($B442="","Arabica",$B442))&amp;" - "&amp;(IF($C442="","Commercial",$C442))),Variables!$B$1:$D$1,0),1))*(AV442/365))+(INDEX(Variables!$B$8:$D$8,IFERROR(MATCH(IF($B442="Robusta","Robusta",(IF($B442="","Arabica",$B442))&amp;" - "&amp;(IF($C442="","Commercial",$C442))),Variables!$B$1:$D$1,0),1))*L442/16.67)),""))</f>
        <v>85.887291669664947</v>
      </c>
      <c r="AX442" s="9"/>
      <c r="AY442" s="12"/>
      <c r="AZ442" s="10"/>
      <c r="BA442" s="9"/>
      <c r="BB442" s="10"/>
      <c r="BC442" s="9"/>
      <c r="BD442" s="9"/>
      <c r="BE442" s="9"/>
      <c r="BF442" s="9"/>
    </row>
    <row r="443" spans="1:58" x14ac:dyDescent="0.25">
      <c r="A443" s="9" t="s">
        <v>84</v>
      </c>
      <c r="B443" s="9" t="s">
        <v>85</v>
      </c>
      <c r="C443" s="9" t="s">
        <v>86</v>
      </c>
      <c r="D443" s="10">
        <v>45876</v>
      </c>
      <c r="E443" s="10">
        <v>45901</v>
      </c>
      <c r="F443" s="10">
        <v>45930</v>
      </c>
      <c r="G443" s="9">
        <v>3786946</v>
      </c>
      <c r="H443" s="9" t="str">
        <f t="shared" si="43"/>
        <v>Closed</v>
      </c>
      <c r="I443" s="9" t="str">
        <f t="shared" si="44"/>
        <v>All dates received</v>
      </c>
      <c r="J443" s="9" t="s">
        <v>322</v>
      </c>
      <c r="K443" s="9">
        <v>5333</v>
      </c>
      <c r="L443" s="11">
        <v>320</v>
      </c>
      <c r="M443" s="9" t="s">
        <v>126</v>
      </c>
      <c r="N443" s="9" t="s">
        <v>121</v>
      </c>
      <c r="O443" s="9"/>
      <c r="P443" s="9"/>
      <c r="Q443" s="11">
        <v>50</v>
      </c>
      <c r="R443" s="9" t="s">
        <v>90</v>
      </c>
      <c r="S443" s="9" t="s">
        <v>123</v>
      </c>
      <c r="T443" s="12">
        <f>IF($H443="Cancelled","",IFERROR(((Q443+INDEX(Variables!$B$6:$D$6,IFERROR(MATCH(IF($B443="Robusta","Robusta",(IF($B443="","Arabica",$B443))&amp;" - "&amp;(IF($C443="","Commercial",$C443))),Variables!$B$1:$D$1,0),1)))*22.0462)*(L443/16.67),""))</f>
        <v>144227.3777564487</v>
      </c>
      <c r="U443" s="10">
        <v>45887</v>
      </c>
      <c r="V443" s="9" t="str">
        <f t="shared" si="49"/>
        <v>Sent</v>
      </c>
      <c r="W443" s="10">
        <v>45916</v>
      </c>
      <c r="X443" s="9" t="str">
        <f t="shared" si="50"/>
        <v>Approved</v>
      </c>
      <c r="Y443" s="10"/>
      <c r="Z443" s="10">
        <f>IF($H443="Cancelled","",IFERROR(IF(F443="","",F443-Variables!$B$13),""))</f>
        <v>45915</v>
      </c>
      <c r="AA443" s="11">
        <f>IF($H443="Cancelled","",IFERROR(IF(W443="","",(AVERAGE(E443:F443)-W443)-Variables!$B$14),""))</f>
        <v>-30.5</v>
      </c>
      <c r="AB443" s="10">
        <v>45925</v>
      </c>
      <c r="AC443" s="11">
        <f>IF($H443="Cancelled","",IFERROR(IF(AB443="","",IF(AND(W443="",Y443=""),"",IF(Y443&gt;W443,Y443+Variables!$B$15+Variables!$B$16+Variables!$B$17-AB443,W443+Variables!$B$16+Variables!$B$17-AB443))),""))</f>
        <v>-1</v>
      </c>
      <c r="AD443" s="9" t="s">
        <v>92</v>
      </c>
      <c r="AE443" s="9" t="s">
        <v>703</v>
      </c>
      <c r="AF443" s="10"/>
      <c r="AG443" s="10"/>
      <c r="AH443" s="9"/>
      <c r="AI443" s="9" t="s">
        <v>1128</v>
      </c>
      <c r="AJ443" s="9" t="s">
        <v>8</v>
      </c>
      <c r="AK443" s="10">
        <v>45951</v>
      </c>
      <c r="AL443" s="10">
        <v>45954</v>
      </c>
      <c r="AM443" s="10">
        <v>45959</v>
      </c>
      <c r="AN443" s="9" t="s">
        <v>95</v>
      </c>
      <c r="AO443" s="9"/>
      <c r="AP443" s="11">
        <f>IF($H443="Cancelled","",IFERROR(IF(OR(AK443="",AB443=""),"",(AB443+Variables!$B$18-AK443)),""))</f>
        <v>-19</v>
      </c>
      <c r="AQ443" s="11">
        <f>IF($H443="Cancelled","",IFERROR(IF(OR(AM443="",AK443=""),"",(AK443+Variables!$B$19)-AM443),""))</f>
        <v>-3</v>
      </c>
      <c r="AR443" s="12">
        <f>IF($H443="Cancelled","",IFERROR(T443*INDEX(Variables!$B$7:$D$7,IFERROR(MATCH(IF($B443="Robusta","Robusta",(IF($B443="","Arabica",$B443))&amp;" - "&amp;(IF($C443="","Commercial",$C443))),Variables!$B$1:$D$1,0),1))*(AQ443/365),""))</f>
        <v>-76.439166723015418</v>
      </c>
      <c r="AS443" s="12">
        <f>IF($H443="Cancelled","",IFERROR((T443*INDEX(Variables!$B$7:$D$7,IFERROR(MATCH(IF($B443="Robusta","Robusta",(IF($B443="","Arabica",$B443))&amp;" - "&amp;(IF($C443="","Commercial",$C443))),Variables!$B$1:$D$1,0),1))*IFERROR(IF(W443="","",(AVERAGE(E443:F443)-W443)-Variables!$B$14),"")/365)+(L443/16.67*INDEX(Variables!$B$8:$D$8,IFERROR(MATCH(IF($B443="Robusta","Robusta",(IF($B443="","Arabica",$B443))&amp;" - "&amp;(IF($C443="","Commercial",$C443))),Variables!$B$1:$D$1,0),1))*IFERROR(IF(W443="","",(AVERAGE(E443:F443)-W443)-Variables!$B$14),""))+(T443*INDEX(Variables!$B$9:$D$9,IFERROR(MATCH(IF($B443="Robusta","Robusta",(IF($B443="","Arabica",$B443))&amp;" - "&amp;(IF($C443="","Commercial",$C443))),Variables!$B$1:$D$1,0),1))*IFERROR(IF(W443="","",(AVERAGE(E443:F443)-W443)-Variables!$B$14),"")/365),""))</f>
        <v>-1275.1502535107461</v>
      </c>
      <c r="AT443" s="12">
        <f>IF($H443="Cancelled","",IFERROR((T443*INDEX(Variables!$B$7:$D$7,IFERROR(MATCH(IF($B443="Robusta","Robusta",(IF($B443="","Arabica",$B443))&amp;" - "&amp;(IF($C443="","Commercial",$C443))),Variables!$B$1:$D$1,0),1))*AC443/365)+(L443/16.67*INDEX(Variables!$B$8:$D$8,IFERROR(MATCH(IF($B443="Robusta","Robusta",(IF($B443="","Arabica",$B443))&amp;" - "&amp;(IF($C443="","Commercial",$C443))),Variables!$B$1:$D$1,0),1))*AC443)+(T443*INDEX(Variables!$B$9:$D$9,IFERROR(MATCH(IF($B443="Robusta","Robusta",(IF($B443="","Arabica",$B443))&amp;" - "&amp;(IF($C443="","Commercial",$C443))),Variables!$B$1:$D$1,0),1))*AC443/365),""))</f>
        <v>-41.80820503313921</v>
      </c>
      <c r="AU443" s="12">
        <f>IF($H443="Cancelled","",IFERROR((T443*INDEX(Variables!$B$7:$D$7,IFERROR(MATCH(IF($B443="Robusta","Robusta",(IF($B443="","Arabica",$B443))&amp;" - "&amp;(IF($C443="","Commercial",$C443))),Variables!$B$1:$D$1,0),1))*AP443/365)+(L443/16.67*INDEX(Variables!$B$8:$D$8,IFERROR(MATCH(IF($B443="Robusta","Robusta",(IF($B443="","Arabica",$B443))&amp;" - "&amp;(IF($C443="","Commercial",$C443))),Variables!$B$1:$D$1,0),1))*AP443)+(T443*INDEX(Variables!$B$9:$D$9,IFERROR(MATCH(IF($B443="Robusta","Robusta",(IF($B443="","Arabica",$B443))&amp;" - "&amp;(IF($C443="","Commercial",$C443))),Variables!$B$1:$D$1,0),1))*AP443/365),""))</f>
        <v>-794.35589562964503</v>
      </c>
      <c r="AV443" s="11">
        <f t="shared" si="45"/>
        <v>-21</v>
      </c>
      <c r="AW443" s="12">
        <f>IF($H443="Cancelled","",IFERROR(IF(AV443="","",(T443*INDEX(Variables!$B$7:$D$7,IFERROR(MATCH(IF($B443="Robusta","Robusta",(IF($B443="","Arabica",$B443))&amp;" - "&amp;(IF($C443="","Commercial",$C443))),Variables!$B$1:$D$1,0),1))*(AV443/365))+(T443*INDEX(Variables!$B$9:$D$9,IFERROR(MATCH(IF($B443="Robusta","Robusta",(IF($B443="","Arabica",$B443))&amp;" - "&amp;(IF($C443="","Commercial",$C443))),Variables!$B$1:$D$1,0),1))*(AV443/365))+(INDEX(Variables!$B$8:$D$8,IFERROR(MATCH(IF($B443="Robusta","Robusta",(IF($B443="","Arabica",$B443))&amp;" - "&amp;(IF($C443="","Commercial",$C443))),Variables!$B$1:$D$1,0),1))*L443/16.67)),""))</f>
        <v>-525.97230569592341</v>
      </c>
      <c r="AX443" s="9"/>
      <c r="AY443" s="12"/>
      <c r="AZ443" s="10"/>
      <c r="BA443" s="9"/>
      <c r="BB443" s="10"/>
      <c r="BC443" s="9"/>
      <c r="BD443" s="9"/>
      <c r="BE443" s="9"/>
      <c r="BF443" s="9"/>
    </row>
    <row r="444" spans="1:58" x14ac:dyDescent="0.25">
      <c r="A444" s="9" t="s">
        <v>84</v>
      </c>
      <c r="B444" s="9" t="s">
        <v>85</v>
      </c>
      <c r="C444" s="9" t="s">
        <v>86</v>
      </c>
      <c r="D444" s="10">
        <v>45883</v>
      </c>
      <c r="E444" s="10">
        <v>45931</v>
      </c>
      <c r="F444" s="10">
        <v>45961</v>
      </c>
      <c r="G444" s="9">
        <v>3786947</v>
      </c>
      <c r="H444" s="9" t="str">
        <f t="shared" si="43"/>
        <v>Closed</v>
      </c>
      <c r="I444" s="9" t="str">
        <f t="shared" si="44"/>
        <v>All dates received</v>
      </c>
      <c r="J444" s="9" t="s">
        <v>235</v>
      </c>
      <c r="K444" s="9">
        <v>5337</v>
      </c>
      <c r="L444" s="11">
        <v>320</v>
      </c>
      <c r="M444" s="9" t="s">
        <v>1129</v>
      </c>
      <c r="N444" s="9" t="s">
        <v>1130</v>
      </c>
      <c r="O444" s="9"/>
      <c r="P444" s="9"/>
      <c r="Q444" s="11">
        <v>68</v>
      </c>
      <c r="R444" s="9" t="s">
        <v>90</v>
      </c>
      <c r="S444" s="9" t="s">
        <v>106</v>
      </c>
      <c r="T444" s="12">
        <f>IF($H444="Cancelled","",IFERROR(((Q444+INDEX(Variables!$B$6:$D$6,IFERROR(MATCH(IF($B444="Robusta","Robusta",(IF($B444="","Arabica",$B444))&amp;" - "&amp;(IF($C444="","Commercial",$C444))),Variables!$B$1:$D$1,0),1)))*22.0462)*(L444/16.67),""))</f>
        <v>151845.02094781041</v>
      </c>
      <c r="U444" s="10">
        <v>45904</v>
      </c>
      <c r="V444" s="9" t="str">
        <f t="shared" si="49"/>
        <v>Sent</v>
      </c>
      <c r="W444" s="10">
        <v>45908</v>
      </c>
      <c r="X444" s="9" t="str">
        <f t="shared" si="50"/>
        <v>Approved</v>
      </c>
      <c r="Y444" s="10"/>
      <c r="Z444" s="10">
        <f>IF($H444="Cancelled","",IFERROR(IF(F444="","",F444-Variables!$B$13),""))</f>
        <v>45946</v>
      </c>
      <c r="AA444" s="11">
        <f>IF($H444="Cancelled","",IFERROR(IF(W444="","",(AVERAGE(E444:F444)-W444)-Variables!$B$14),""))</f>
        <v>8</v>
      </c>
      <c r="AB444" s="10">
        <v>45944</v>
      </c>
      <c r="AC444" s="11">
        <f>IF($H444="Cancelled","",IFERROR(IF(AB444="","",IF(AND(W444="",Y444=""),"",IF(Y444&gt;W444,Y444+Variables!$B$15+Variables!$B$16+Variables!$B$17-AB444,W444+Variables!$B$16+Variables!$B$17-AB444))),""))</f>
        <v>-28</v>
      </c>
      <c r="AD444" s="9" t="s">
        <v>165</v>
      </c>
      <c r="AE444" s="9" t="s">
        <v>942</v>
      </c>
      <c r="AF444" s="10"/>
      <c r="AG444" s="10"/>
      <c r="AH444" s="9"/>
      <c r="AI444" s="9" t="s">
        <v>1131</v>
      </c>
      <c r="AJ444" s="9" t="s">
        <v>8</v>
      </c>
      <c r="AK444" s="10">
        <v>45958</v>
      </c>
      <c r="AL444" s="10">
        <v>45960</v>
      </c>
      <c r="AM444" s="10">
        <v>45960</v>
      </c>
      <c r="AN444" s="9" t="s">
        <v>95</v>
      </c>
      <c r="AO444" s="9"/>
      <c r="AP444" s="11">
        <f>IF($H444="Cancelled","",IFERROR(IF(OR(AK444="",AB444=""),"",(AB444+Variables!$B$18-AK444)),""))</f>
        <v>-7</v>
      </c>
      <c r="AQ444" s="11">
        <f>IF($H444="Cancelled","",IFERROR(IF(OR(AM444="",AK444=""),"",(AK444+Variables!$B$19)-AM444),""))</f>
        <v>3</v>
      </c>
      <c r="AR444" s="12">
        <f>IF($H444="Cancelled","",IFERROR(T444*INDEX(Variables!$B$7:$D$7,IFERROR(MATCH(IF($B444="Robusta","Robusta",(IF($B444="","Arabica",$B444))&amp;" - "&amp;(IF($C444="","Commercial",$C444))),Variables!$B$1:$D$1,0),1))*(AQ444/365),""))</f>
        <v>80.476446655569035</v>
      </c>
      <c r="AS444" s="12">
        <f>IF($H444="Cancelled","",IFERROR((T444*INDEX(Variables!$B$7:$D$7,IFERROR(MATCH(IF($B444="Robusta","Robusta",(IF($B444="","Arabica",$B444))&amp;" - "&amp;(IF($C444="","Commercial",$C444))),Variables!$B$1:$D$1,0),1))*IFERROR(IF(W444="","",(AVERAGE(E444:F444)-W444)-Variables!$B$14),"")/365)+(L444/16.67*INDEX(Variables!$B$8:$D$8,IFERROR(MATCH(IF($B444="Robusta","Robusta",(IF($B444="","Arabica",$B444))&amp;" - "&amp;(IF($C444="","Commercial",$C444))),Variables!$B$1:$D$1,0),1))*IFERROR(IF(W444="","",(AVERAGE(E444:F444)-W444)-Variables!$B$14),""))+(T444*INDEX(Variables!$B$9:$D$9,IFERROR(MATCH(IF($B444="Robusta","Robusta",(IF($B444="","Arabica",$B444))&amp;" - "&amp;(IF($C444="","Commercial",$C444))),Variables!$B$1:$D$1,0),1))*IFERROR(IF(W444="","",(AVERAGE(E444:F444)-W444)-Variables!$B$14),"")/365),""))</f>
        <v>345.37051563122884</v>
      </c>
      <c r="AT444" s="12">
        <f>IF($H444="Cancelled","",IFERROR((T444*INDEX(Variables!$B$7:$D$7,IFERROR(MATCH(IF($B444="Robusta","Robusta",(IF($B444="","Arabica",$B444))&amp;" - "&amp;(IF($C444="","Commercial",$C444))),Variables!$B$1:$D$1,0),1))*AC444/365)+(L444/16.67*INDEX(Variables!$B$8:$D$8,IFERROR(MATCH(IF($B444="Robusta","Robusta",(IF($B444="","Arabica",$B444))&amp;" - "&amp;(IF($C444="","Commercial",$C444))),Variables!$B$1:$D$1,0),1))*AC444)+(T444*INDEX(Variables!$B$9:$D$9,IFERROR(MATCH(IF($B444="Robusta","Robusta",(IF($B444="","Arabica",$B444))&amp;" - "&amp;(IF($C444="","Commercial",$C444))),Variables!$B$1:$D$1,0),1))*AC444/365),""))</f>
        <v>-1208.7968047093007</v>
      </c>
      <c r="AU444" s="12">
        <f>IF($H444="Cancelled","",IFERROR((T444*INDEX(Variables!$B$7:$D$7,IFERROR(MATCH(IF($B444="Robusta","Robusta",(IF($B444="","Arabica",$B444))&amp;" - "&amp;(IF($C444="","Commercial",$C444))),Variables!$B$1:$D$1,0),1))*AP444/365)+(L444/16.67*INDEX(Variables!$B$8:$D$8,IFERROR(MATCH(IF($B444="Robusta","Robusta",(IF($B444="","Arabica",$B444))&amp;" - "&amp;(IF($C444="","Commercial",$C444))),Variables!$B$1:$D$1,0),1))*AP444)+(T444*INDEX(Variables!$B$9:$D$9,IFERROR(MATCH(IF($B444="Robusta","Robusta",(IF($B444="","Arabica",$B444))&amp;" - "&amp;(IF($C444="","Commercial",$C444))),Variables!$B$1:$D$1,0),1))*AP444/365),""))</f>
        <v>-302.19920117732516</v>
      </c>
      <c r="AV444" s="11">
        <f t="shared" si="45"/>
        <v>3</v>
      </c>
      <c r="AW444" s="12">
        <f>IF($H444="Cancelled","",IFERROR(IF(AV444="","",(T444*INDEX(Variables!$B$7:$D$7,IFERROR(MATCH(IF($B444="Robusta","Robusta",(IF($B444="","Arabica",$B444))&amp;" - "&amp;(IF($C444="","Commercial",$C444))),Variables!$B$1:$D$1,0),1))*(AV444/365))+(T444*INDEX(Variables!$B$9:$D$9,IFERROR(MATCH(IF($B444="Robusta","Robusta",(IF($B444="","Arabica",$B444))&amp;" - "&amp;(IF($C444="","Commercial",$C444))),Variables!$B$1:$D$1,0),1))*(AV444/365))+(INDEX(Variables!$B$8:$D$8,IFERROR(MATCH(IF($B444="Robusta","Robusta",(IF($B444="","Arabica",$B444))&amp;" - "&amp;(IF($C444="","Commercial",$C444))),Variables!$B$1:$D$1,0),1))*L444/16.67)),""))</f>
        <v>97.513943361710801</v>
      </c>
      <c r="AX444" s="9"/>
      <c r="AY444" s="12"/>
      <c r="AZ444" s="10"/>
      <c r="BA444" s="9"/>
      <c r="BB444" s="10"/>
      <c r="BC444" s="9"/>
      <c r="BD444" s="9"/>
      <c r="BE444" s="9"/>
      <c r="BF444" s="9"/>
    </row>
    <row r="445" spans="1:58" x14ac:dyDescent="0.25">
      <c r="A445" s="9" t="s">
        <v>84</v>
      </c>
      <c r="B445" s="9" t="s">
        <v>85</v>
      </c>
      <c r="C445" s="9" t="s">
        <v>86</v>
      </c>
      <c r="D445" s="10">
        <v>45884</v>
      </c>
      <c r="E445" s="10">
        <v>45901</v>
      </c>
      <c r="F445" s="10">
        <v>45930</v>
      </c>
      <c r="G445" s="9">
        <v>3786948</v>
      </c>
      <c r="H445" s="9" t="str">
        <f t="shared" si="43"/>
        <v>Closed</v>
      </c>
      <c r="I445" s="9" t="str">
        <f t="shared" si="44"/>
        <v>All dates received</v>
      </c>
      <c r="J445" s="9" t="s">
        <v>308</v>
      </c>
      <c r="K445" s="9">
        <v>5326</v>
      </c>
      <c r="L445" s="11">
        <v>3600</v>
      </c>
      <c r="M445" s="9" t="s">
        <v>1132</v>
      </c>
      <c r="N445" s="9" t="s">
        <v>122</v>
      </c>
      <c r="O445" s="9"/>
      <c r="P445" s="9"/>
      <c r="Q445" s="11">
        <v>12</v>
      </c>
      <c r="R445" s="9" t="s">
        <v>90</v>
      </c>
      <c r="S445" s="9" t="s">
        <v>106</v>
      </c>
      <c r="T445" s="12">
        <f>IF($H445="Cancelled","",IFERROR(((Q445+INDEX(Variables!$B$6:$D$6,IFERROR(MATCH(IF($B445="Robusta","Robusta",(IF($B445="","Arabica",$B445))&amp;" - "&amp;(IF($C445="","Commercial",$C445))),Variables!$B$1:$D$1,0),1)))*22.0462)*(L445/16.67),""))</f>
        <v>1441638.9739652069</v>
      </c>
      <c r="U445" s="10">
        <v>45887</v>
      </c>
      <c r="V445" s="9" t="str">
        <f t="shared" si="49"/>
        <v>Sent</v>
      </c>
      <c r="W445" s="10">
        <v>45894</v>
      </c>
      <c r="X445" s="9" t="str">
        <f t="shared" si="50"/>
        <v>Approved</v>
      </c>
      <c r="Y445" s="10"/>
      <c r="Z445" s="10">
        <f>IF($H445="Cancelled","",IFERROR(IF(F445="","",F445-Variables!$B$13),""))</f>
        <v>45915</v>
      </c>
      <c r="AA445" s="11">
        <f>IF($H445="Cancelled","",IFERROR(IF(W445="","",(AVERAGE(E445:F445)-W445)-Variables!$B$14),""))</f>
        <v>-8.5</v>
      </c>
      <c r="AB445" s="10">
        <v>45909</v>
      </c>
      <c r="AC445" s="11">
        <f>IF($H445="Cancelled","",IFERROR(IF(AB445="","",IF(AND(W445="",Y445=""),"",IF(Y445&gt;W445,Y445+Variables!$B$15+Variables!$B$16+Variables!$B$17-AB445,W445+Variables!$B$16+Variables!$B$17-AB445))),""))</f>
        <v>-7</v>
      </c>
      <c r="AD445" s="9" t="s">
        <v>165</v>
      </c>
      <c r="AE445" s="9" t="s">
        <v>818</v>
      </c>
      <c r="AF445" s="10"/>
      <c r="AG445" s="10"/>
      <c r="AH445" s="9"/>
      <c r="AI445" s="9" t="s">
        <v>1133</v>
      </c>
      <c r="AJ445" s="9" t="s">
        <v>8</v>
      </c>
      <c r="AK445" s="10">
        <v>45928</v>
      </c>
      <c r="AL445" s="10">
        <v>45930</v>
      </c>
      <c r="AM445" s="10">
        <v>45930</v>
      </c>
      <c r="AN445" s="9" t="s">
        <v>95</v>
      </c>
      <c r="AO445" s="9"/>
      <c r="AP445" s="11">
        <f>IF($H445="Cancelled","",IFERROR(IF(OR(AK445="",AB445=""),"",(AB445+Variables!$B$18-AK445)),""))</f>
        <v>-12</v>
      </c>
      <c r="AQ445" s="11">
        <f>IF($H445="Cancelled","",IFERROR(IF(OR(AM445="",AK445=""),"",(AK445+Variables!$B$19)-AM445),""))</f>
        <v>3</v>
      </c>
      <c r="AR445" s="12">
        <f>IF($H445="Cancelled","",IFERROR(T445*INDEX(Variables!$B$7:$D$7,IFERROR(MATCH(IF($B445="Robusta","Robusta",(IF($B445="","Arabica",$B445))&amp;" - "&amp;(IF($C445="","Commercial",$C445))),Variables!$B$1:$D$1,0),1))*(AQ445/365),""))</f>
        <v>764.05522723577474</v>
      </c>
      <c r="AS445" s="12">
        <f>IF($H445="Cancelled","",IFERROR((T445*INDEX(Variables!$B$7:$D$7,IFERROR(MATCH(IF($B445="Robusta","Robusta",(IF($B445="","Arabica",$B445))&amp;" - "&amp;(IF($C445="","Commercial",$C445))),Variables!$B$1:$D$1,0),1))*IFERROR(IF(W445="","",(AVERAGE(E445:F445)-W445)-Variables!$B$14),"")/365)+(L445/16.67*INDEX(Variables!$B$8:$D$8,IFERROR(MATCH(IF($B445="Robusta","Robusta",(IF($B445="","Arabica",$B445))&amp;" - "&amp;(IF($C445="","Commercial",$C445))),Variables!$B$1:$D$1,0),1))*IFERROR(IF(W445="","",(AVERAGE(E445:F445)-W445)-Variables!$B$14),""))+(T445*INDEX(Variables!$B$9:$D$9,IFERROR(MATCH(IF($B445="Robusta","Robusta",(IF($B445="","Arabica",$B445))&amp;" - "&amp;(IF($C445="","Commercial",$C445))),Variables!$B$1:$D$1,0),1))*IFERROR(IF(W445="","",(AVERAGE(E445:F445)-W445)-Variables!$B$14),"")/365),""))</f>
        <v>-3722.7318919771251</v>
      </c>
      <c r="AT445" s="12">
        <f>IF($H445="Cancelled","",IFERROR((T445*INDEX(Variables!$B$7:$D$7,IFERROR(MATCH(IF($B445="Robusta","Robusta",(IF($B445="","Arabica",$B445))&amp;" - "&amp;(IF($C445="","Commercial",$C445))),Variables!$B$1:$D$1,0),1))*AC445/365)+(L445/16.67*INDEX(Variables!$B$8:$D$8,IFERROR(MATCH(IF($B445="Robusta","Robusta",(IF($B445="","Arabica",$B445))&amp;" - "&amp;(IF($C445="","Commercial",$C445))),Variables!$B$1:$D$1,0),1))*AC445)+(T445*INDEX(Variables!$B$9:$D$9,IFERROR(MATCH(IF($B445="Robusta","Robusta",(IF($B445="","Arabica",$B445))&amp;" - "&amp;(IF($C445="","Commercial",$C445))),Variables!$B$1:$D$1,0),1))*AC445/365),""))</f>
        <v>-3065.7792051576325</v>
      </c>
      <c r="AU445" s="12">
        <f>IF($H445="Cancelled","",IFERROR((T445*INDEX(Variables!$B$7:$D$7,IFERROR(MATCH(IF($B445="Robusta","Robusta",(IF($B445="","Arabica",$B445))&amp;" - "&amp;(IF($C445="","Commercial",$C445))),Variables!$B$1:$D$1,0),1))*AP445/365)+(L445/16.67*INDEX(Variables!$B$8:$D$8,IFERROR(MATCH(IF($B445="Robusta","Robusta",(IF($B445="","Arabica",$B445))&amp;" - "&amp;(IF($C445="","Commercial",$C445))),Variables!$B$1:$D$1,0),1))*AP445)+(T445*INDEX(Variables!$B$9:$D$9,IFERROR(MATCH(IF($B445="Robusta","Robusta",(IF($B445="","Arabica",$B445))&amp;" - "&amp;(IF($C445="","Commercial",$C445))),Variables!$B$1:$D$1,0),1))*AP445/365),""))</f>
        <v>-5255.6214945559423</v>
      </c>
      <c r="AV445" s="11">
        <f t="shared" si="45"/>
        <v>2</v>
      </c>
      <c r="AW445" s="12">
        <f>IF($H445="Cancelled","",IFERROR(IF(AV445="","",(T445*INDEX(Variables!$B$7:$D$7,IFERROR(MATCH(IF($B445="Robusta","Robusta",(IF($B445="","Arabica",$B445))&amp;" - "&amp;(IF($C445="","Commercial",$C445))),Variables!$B$1:$D$1,0),1))*(AV445/365))+(T445*INDEX(Variables!$B$9:$D$9,IFERROR(MATCH(IF($B445="Robusta","Robusta",(IF($B445="","Arabica",$B445))&amp;" - "&amp;(IF($C445="","Commercial",$C445))),Variables!$B$1:$D$1,0),1))*(AV445/365))+(INDEX(Variables!$B$8:$D$8,IFERROR(MATCH(IF($B445="Robusta","Robusta",(IF($B445="","Arabica",$B445))&amp;" - "&amp;(IF($C445="","Commercial",$C445))),Variables!$B$1:$D$1,0),1))*L445/16.67)),""))</f>
        <v>695.9369157593236</v>
      </c>
      <c r="AX445" s="9"/>
      <c r="AY445" s="12"/>
      <c r="AZ445" s="10"/>
      <c r="BA445" s="9"/>
      <c r="BB445" s="10"/>
      <c r="BC445" s="9"/>
      <c r="BD445" s="9"/>
      <c r="BE445" s="9"/>
      <c r="BF445" s="9"/>
    </row>
    <row r="446" spans="1:58" x14ac:dyDescent="0.25">
      <c r="A446" s="9" t="s">
        <v>84</v>
      </c>
      <c r="B446" s="9" t="s">
        <v>85</v>
      </c>
      <c r="C446" s="9" t="s">
        <v>86</v>
      </c>
      <c r="D446" s="10">
        <v>45884</v>
      </c>
      <c r="E446" s="10">
        <v>45931</v>
      </c>
      <c r="F446" s="10">
        <v>45944</v>
      </c>
      <c r="G446" s="9">
        <v>3786949</v>
      </c>
      <c r="H446" s="9" t="str">
        <f t="shared" si="43"/>
        <v>Closed</v>
      </c>
      <c r="I446" s="9" t="str">
        <f t="shared" si="44"/>
        <v>All dates received</v>
      </c>
      <c r="J446" s="9" t="s">
        <v>308</v>
      </c>
      <c r="K446" s="9">
        <v>5330</v>
      </c>
      <c r="L446" s="11">
        <v>3600</v>
      </c>
      <c r="M446" s="9" t="s">
        <v>1134</v>
      </c>
      <c r="N446" s="9" t="s">
        <v>122</v>
      </c>
      <c r="O446" s="9"/>
      <c r="P446" s="9"/>
      <c r="Q446" s="11">
        <v>12</v>
      </c>
      <c r="R446" s="9" t="s">
        <v>90</v>
      </c>
      <c r="S446" s="9" t="s">
        <v>106</v>
      </c>
      <c r="T446" s="12">
        <f>IF($H446="Cancelled","",IFERROR(((Q446+INDEX(Variables!$B$6:$D$6,IFERROR(MATCH(IF($B446="Robusta","Robusta",(IF($B446="","Arabica",$B446))&amp;" - "&amp;(IF($C446="","Commercial",$C446))),Variables!$B$1:$D$1,0),1)))*22.0462)*(L446/16.67),""))</f>
        <v>1441638.9739652069</v>
      </c>
      <c r="U446" s="10">
        <v>45908</v>
      </c>
      <c r="V446" s="9" t="str">
        <f t="shared" si="49"/>
        <v>Sent</v>
      </c>
      <c r="W446" s="10"/>
      <c r="X446" s="9" t="str">
        <f t="shared" si="50"/>
        <v/>
      </c>
      <c r="Y446" s="10"/>
      <c r="Z446" s="10">
        <f>IF($H446="Cancelled","",IFERROR(IF(F446="","",F446-Variables!$B$13),""))</f>
        <v>45929</v>
      </c>
      <c r="AA446" s="11" t="str">
        <f>IF($H446="Cancelled","",IFERROR(IF(W446="","",(AVERAGE(E446:F446)-W446)-Variables!$B$14),""))</f>
        <v/>
      </c>
      <c r="AB446" s="10">
        <v>45917</v>
      </c>
      <c r="AC446" s="11" t="str">
        <f>IF($H446="Cancelled","",IFERROR(IF(AB446="","",IF(AND(W446="",Y446=""),"",IF(Y446&gt;W446,Y446+Variables!$B$15+Variables!$B$16+Variables!$B$17-AB446,W446+Variables!$B$16+Variables!$B$17-AB446))),""))</f>
        <v/>
      </c>
      <c r="AD446" s="9" t="s">
        <v>165</v>
      </c>
      <c r="AE446" s="9" t="s">
        <v>818</v>
      </c>
      <c r="AF446" s="10"/>
      <c r="AG446" s="10"/>
      <c r="AH446" s="9"/>
      <c r="AI446" s="9" t="s">
        <v>1135</v>
      </c>
      <c r="AJ446" s="9" t="s">
        <v>8</v>
      </c>
      <c r="AK446" s="10">
        <v>45928</v>
      </c>
      <c r="AL446" s="10">
        <v>45930</v>
      </c>
      <c r="AM446" s="10">
        <v>45930</v>
      </c>
      <c r="AN446" s="9" t="s">
        <v>95</v>
      </c>
      <c r="AO446" s="9"/>
      <c r="AP446" s="11">
        <f>IF($H446="Cancelled","",IFERROR(IF(OR(AK446="",AB446=""),"",(AB446+Variables!$B$18-AK446)),""))</f>
        <v>-4</v>
      </c>
      <c r="AQ446" s="11">
        <f>IF($H446="Cancelled","",IFERROR(IF(OR(AM446="",AK446=""),"",(AK446+Variables!$B$19)-AM446),""))</f>
        <v>3</v>
      </c>
      <c r="AR446" s="12">
        <f>IF($H446="Cancelled","",IFERROR(T446*INDEX(Variables!$B$7:$D$7,IFERROR(MATCH(IF($B446="Robusta","Robusta",(IF($B446="","Arabica",$B446))&amp;" - "&amp;(IF($C446="","Commercial",$C446))),Variables!$B$1:$D$1,0),1))*(AQ446/365),""))</f>
        <v>764.05522723577474</v>
      </c>
      <c r="AS446" s="12" t="str">
        <f>IF($H446="Cancelled","",IFERROR((T446*INDEX(Variables!$B$7:$D$7,IFERROR(MATCH(IF($B446="Robusta","Robusta",(IF($B446="","Arabica",$B446))&amp;" - "&amp;(IF($C446="","Commercial",$C446))),Variables!$B$1:$D$1,0),1))*IFERROR(IF(W446="","",(AVERAGE(E446:F446)-W446)-Variables!$B$14),"")/365)+(L446/16.67*INDEX(Variables!$B$8:$D$8,IFERROR(MATCH(IF($B446="Robusta","Robusta",(IF($B446="","Arabica",$B446))&amp;" - "&amp;(IF($C446="","Commercial",$C446))),Variables!$B$1:$D$1,0),1))*IFERROR(IF(W446="","",(AVERAGE(E446:F446)-W446)-Variables!$B$14),""))+(T446*INDEX(Variables!$B$9:$D$9,IFERROR(MATCH(IF($B446="Robusta","Robusta",(IF($B446="","Arabica",$B446))&amp;" - "&amp;(IF($C446="","Commercial",$C446))),Variables!$B$1:$D$1,0),1))*IFERROR(IF(W446="","",(AVERAGE(E446:F446)-W446)-Variables!$B$14),"")/365),""))</f>
        <v/>
      </c>
      <c r="AT446" s="12" t="str">
        <f>IF($H446="Cancelled","",IFERROR((T446*INDEX(Variables!$B$7:$D$7,IFERROR(MATCH(IF($B446="Robusta","Robusta",(IF($B446="","Arabica",$B446))&amp;" - "&amp;(IF($C446="","Commercial",$C446))),Variables!$B$1:$D$1,0),1))*AC446/365)+(L446/16.67*INDEX(Variables!$B$8:$D$8,IFERROR(MATCH(IF($B446="Robusta","Robusta",(IF($B446="","Arabica",$B446))&amp;" - "&amp;(IF($C446="","Commercial",$C446))),Variables!$B$1:$D$1,0),1))*AC446)+(T446*INDEX(Variables!$B$9:$D$9,IFERROR(MATCH(IF($B446="Robusta","Robusta",(IF($B446="","Arabica",$B446))&amp;" - "&amp;(IF($C446="","Commercial",$C446))),Variables!$B$1:$D$1,0),1))*AC446/365),""))</f>
        <v/>
      </c>
      <c r="AU446" s="12">
        <f>IF($H446="Cancelled","",IFERROR((T446*INDEX(Variables!$B$7:$D$7,IFERROR(MATCH(IF($B446="Robusta","Robusta",(IF($B446="","Arabica",$B446))&amp;" - "&amp;(IF($C446="","Commercial",$C446))),Variables!$B$1:$D$1,0),1))*AP446/365)+(L446/16.67*INDEX(Variables!$B$8:$D$8,IFERROR(MATCH(IF($B446="Robusta","Robusta",(IF($B446="","Arabica",$B446))&amp;" - "&amp;(IF($C446="","Commercial",$C446))),Variables!$B$1:$D$1,0),1))*AP446)+(T446*INDEX(Variables!$B$9:$D$9,IFERROR(MATCH(IF($B446="Robusta","Robusta",(IF($B446="","Arabica",$B446))&amp;" - "&amp;(IF($C446="","Commercial",$C446))),Variables!$B$1:$D$1,0),1))*AP446/365),""))</f>
        <v>-1751.873831518647</v>
      </c>
      <c r="AV446" s="11">
        <f t="shared" si="45"/>
        <v>16</v>
      </c>
      <c r="AW446" s="12">
        <f>IF($H446="Cancelled","",IFERROR(IF(AV446="","",(T446*INDEX(Variables!$B$7:$D$7,IFERROR(MATCH(IF($B446="Robusta","Robusta",(IF($B446="","Arabica",$B446))&amp;" - "&amp;(IF($C446="","Commercial",$C446))),Variables!$B$1:$D$1,0),1))*(AV446/365))+(T446*INDEX(Variables!$B$9:$D$9,IFERROR(MATCH(IF($B446="Robusta","Robusta",(IF($B446="","Arabica",$B446))&amp;" - "&amp;(IF($C446="","Commercial",$C446))),Variables!$B$1:$D$1,0),1))*(AV446/365))+(INDEX(Variables!$B$8:$D$8,IFERROR(MATCH(IF($B446="Robusta","Robusta",(IF($B446="","Arabica",$B446))&amp;" - "&amp;(IF($C446="","Commercial",$C446))),Variables!$B$1:$D$1,0),1))*L446/16.67)),""))</f>
        <v>4307.4953260745888</v>
      </c>
      <c r="AX446" s="9"/>
      <c r="AY446" s="12"/>
      <c r="AZ446" s="10"/>
      <c r="BA446" s="9"/>
      <c r="BB446" s="10"/>
      <c r="BC446" s="9"/>
      <c r="BD446" s="9"/>
      <c r="BE446" s="9"/>
      <c r="BF446" s="9"/>
    </row>
    <row r="447" spans="1:58" x14ac:dyDescent="0.25">
      <c r="A447" s="9" t="s">
        <v>84</v>
      </c>
      <c r="B447" s="9" t="s">
        <v>85</v>
      </c>
      <c r="C447" s="9" t="s">
        <v>86</v>
      </c>
      <c r="D447" s="10">
        <v>45891</v>
      </c>
      <c r="E447" s="10">
        <v>45901</v>
      </c>
      <c r="F447" s="10">
        <v>45930</v>
      </c>
      <c r="G447" s="9">
        <v>3786951</v>
      </c>
      <c r="H447" s="9" t="str">
        <f t="shared" si="43"/>
        <v>Closed</v>
      </c>
      <c r="I447" s="9" t="str">
        <f t="shared" si="44"/>
        <v>All dates received</v>
      </c>
      <c r="J447" s="9" t="s">
        <v>102</v>
      </c>
      <c r="K447" s="9"/>
      <c r="L447" s="11">
        <v>1376</v>
      </c>
      <c r="M447" s="9" t="s">
        <v>1136</v>
      </c>
      <c r="N447" s="9" t="s">
        <v>1137</v>
      </c>
      <c r="O447" s="9"/>
      <c r="P447" s="9"/>
      <c r="Q447" s="11">
        <v>-39.5</v>
      </c>
      <c r="R447" s="9" t="s">
        <v>90</v>
      </c>
      <c r="S447" s="9" t="s">
        <v>106</v>
      </c>
      <c r="T447" s="12">
        <f>IF($H447="Cancelled","",IFERROR(((Q447+INDEX(Variables!$B$6:$D$6,IFERROR(MATCH(IF($B447="Robusta","Robusta",(IF($B447="","Arabica",$B447))&amp;" - "&amp;(IF($C447="","Commercial",$C447))),Variables!$B$1:$D$1,0),1)))*22.0462)*(L447/16.67),""))</f>
        <v>457308.28089742054</v>
      </c>
      <c r="U447" s="10">
        <v>45922</v>
      </c>
      <c r="V447" s="9" t="str">
        <f t="shared" si="49"/>
        <v>Sent</v>
      </c>
      <c r="W447" s="10"/>
      <c r="X447" s="9" t="str">
        <f t="shared" si="50"/>
        <v/>
      </c>
      <c r="Y447" s="10"/>
      <c r="Z447" s="10">
        <f>IF($H447="Cancelled","",IFERROR(IF(F447="","",F447-Variables!$B$13),""))</f>
        <v>45915</v>
      </c>
      <c r="AA447" s="11" t="str">
        <f>IF($H447="Cancelled","",IFERROR(IF(W447="","",(AVERAGE(E447:F447)-W447)-Variables!$B$14),""))</f>
        <v/>
      </c>
      <c r="AB447" s="10"/>
      <c r="AC447" s="11" t="str">
        <f>IF($H447="Cancelled","",IFERROR(IF(AB447="","",IF(AND(W447="",Y447=""),"",IF(Y447&gt;W447,Y447+Variables!$B$15+Variables!$B$16+Variables!$B$17-AB447,W447+Variables!$B$16+Variables!$B$17-AB447))),""))</f>
        <v/>
      </c>
      <c r="AD447" s="9" t="s">
        <v>165</v>
      </c>
      <c r="AE447" s="9" t="s">
        <v>969</v>
      </c>
      <c r="AF447" s="10"/>
      <c r="AG447" s="10"/>
      <c r="AH447" s="9"/>
      <c r="AI447" s="9" t="s">
        <v>1138</v>
      </c>
      <c r="AJ447" s="9" t="s">
        <v>8</v>
      </c>
      <c r="AK447" s="10">
        <v>45920</v>
      </c>
      <c r="AL447" s="10">
        <v>45923</v>
      </c>
      <c r="AM447" s="10">
        <v>45924</v>
      </c>
      <c r="AN447" s="9" t="s">
        <v>95</v>
      </c>
      <c r="AO447" s="9"/>
      <c r="AP447" s="11" t="str">
        <f>IF($H447="Cancelled","",IFERROR(IF(OR(AK447="",AB447=""),"",(AB447+Variables!$B$18-AK447)),""))</f>
        <v/>
      </c>
      <c r="AQ447" s="11">
        <f>IF($H447="Cancelled","",IFERROR(IF(OR(AM447="",AK447=""),"",(AK447+Variables!$B$19)-AM447),""))</f>
        <v>1</v>
      </c>
      <c r="AR447" s="12">
        <f>IF($H447="Cancelled","",IFERROR(T447*INDEX(Variables!$B$7:$D$7,IFERROR(MATCH(IF($B447="Robusta","Robusta",(IF($B447="","Arabica",$B447))&amp;" - "&amp;(IF($C447="","Commercial",$C447))),Variables!$B$1:$D$1,0),1))*(AQ447/365),""))</f>
        <v>80.789709672557947</v>
      </c>
      <c r="AS447" s="12" t="str">
        <f>IF($H447="Cancelled","",IFERROR((T447*INDEX(Variables!$B$7:$D$7,IFERROR(MATCH(IF($B447="Robusta","Robusta",(IF($B447="","Arabica",$B447))&amp;" - "&amp;(IF($C447="","Commercial",$C447))),Variables!$B$1:$D$1,0),1))*IFERROR(IF(W447="","",(AVERAGE(E447:F447)-W447)-Variables!$B$14),"")/365)+(L447/16.67*INDEX(Variables!$B$8:$D$8,IFERROR(MATCH(IF($B447="Robusta","Robusta",(IF($B447="","Arabica",$B447))&amp;" - "&amp;(IF($C447="","Commercial",$C447))),Variables!$B$1:$D$1,0),1))*IFERROR(IF(W447="","",(AVERAGE(E447:F447)-W447)-Variables!$B$14),""))+(T447*INDEX(Variables!$B$9:$D$9,IFERROR(MATCH(IF($B447="Robusta","Robusta",(IF($B447="","Arabica",$B447))&amp;" - "&amp;(IF($C447="","Commercial",$C447))),Variables!$B$1:$D$1,0),1))*IFERROR(IF(W447="","",(AVERAGE(E447:F447)-W447)-Variables!$B$14),"")/365),""))</f>
        <v/>
      </c>
      <c r="AT447" s="12" t="str">
        <f>IF($H447="Cancelled","",IFERROR((T447*INDEX(Variables!$B$7:$D$7,IFERROR(MATCH(IF($B447="Robusta","Robusta",(IF($B447="","Arabica",$B447))&amp;" - "&amp;(IF($C447="","Commercial",$C447))),Variables!$B$1:$D$1,0),1))*AC447/365)+(L447/16.67*INDEX(Variables!$B$8:$D$8,IFERROR(MATCH(IF($B447="Robusta","Robusta",(IF($B447="","Arabica",$B447))&amp;" - "&amp;(IF($C447="","Commercial",$C447))),Variables!$B$1:$D$1,0),1))*AC447)+(T447*INDEX(Variables!$B$9:$D$9,IFERROR(MATCH(IF($B447="Robusta","Robusta",(IF($B447="","Arabica",$B447))&amp;" - "&amp;(IF($C447="","Commercial",$C447))),Variables!$B$1:$D$1,0),1))*AC447/365),""))</f>
        <v/>
      </c>
      <c r="AU447" s="12" t="str">
        <f>IF($H447="Cancelled","",IFERROR((T447*INDEX(Variables!$B$7:$D$7,IFERROR(MATCH(IF($B447="Robusta","Robusta",(IF($B447="","Arabica",$B447))&amp;" - "&amp;(IF($C447="","Commercial",$C447))),Variables!$B$1:$D$1,0),1))*AP447/365)+(L447/16.67*INDEX(Variables!$B$8:$D$8,IFERROR(MATCH(IF($B447="Robusta","Robusta",(IF($B447="","Arabica",$B447))&amp;" - "&amp;(IF($C447="","Commercial",$C447))),Variables!$B$1:$D$1,0),1))*AP447)+(T447*INDEX(Variables!$B$9:$D$9,IFERROR(MATCH(IF($B447="Robusta","Robusta",(IF($B447="","Arabica",$B447))&amp;" - "&amp;(IF($C447="","Commercial",$C447))),Variables!$B$1:$D$1,0),1))*AP447/365),""))</f>
        <v/>
      </c>
      <c r="AV447" s="11">
        <f t="shared" si="45"/>
        <v>10</v>
      </c>
      <c r="AW447" s="12">
        <f>IF($H447="Cancelled","",IFERROR(IF(AV447="","",(T447*INDEX(Variables!$B$7:$D$7,IFERROR(MATCH(IF($B447="Robusta","Robusta",(IF($B447="","Arabica",$B447))&amp;" - "&amp;(IF($C447="","Commercial",$C447))),Variables!$B$1:$D$1,0),1))*(AV447/365))+(T447*INDEX(Variables!$B$9:$D$9,IFERROR(MATCH(IF($B447="Robusta","Robusta",(IF($B447="","Arabica",$B447))&amp;" - "&amp;(IF($C447="","Commercial",$C447))),Variables!$B$1:$D$1,0),1))*(AV447/365))+(INDEX(Variables!$B$8:$D$8,IFERROR(MATCH(IF($B447="Robusta","Robusta",(IF($B447="","Arabica",$B447))&amp;" - "&amp;(IF($C447="","Commercial",$C447))),Variables!$B$1:$D$1,0),1))*L447/16.67)),""))</f>
        <v>887.11244943544307</v>
      </c>
      <c r="AX447" s="9"/>
      <c r="AY447" s="12"/>
      <c r="AZ447" s="10"/>
      <c r="BA447" s="9"/>
      <c r="BB447" s="10"/>
      <c r="BC447" s="9"/>
      <c r="BD447" s="9"/>
      <c r="BE447" s="9"/>
      <c r="BF447" s="9"/>
    </row>
    <row r="448" spans="1:58" x14ac:dyDescent="0.25">
      <c r="A448" s="9" t="s">
        <v>84</v>
      </c>
      <c r="B448" s="9" t="s">
        <v>85</v>
      </c>
      <c r="C448" s="9" t="s">
        <v>86</v>
      </c>
      <c r="D448" s="10">
        <v>45908</v>
      </c>
      <c r="E448" s="10">
        <v>45962</v>
      </c>
      <c r="F448" s="10">
        <v>45991</v>
      </c>
      <c r="G448" s="9">
        <v>3786953</v>
      </c>
      <c r="H448" s="9" t="str">
        <f t="shared" si="43"/>
        <v>Closed</v>
      </c>
      <c r="I448" s="9" t="str">
        <f t="shared" si="44"/>
        <v>All dates received</v>
      </c>
      <c r="J448" s="9" t="s">
        <v>102</v>
      </c>
      <c r="K448" s="9" t="s">
        <v>1139</v>
      </c>
      <c r="L448" s="11">
        <v>1334</v>
      </c>
      <c r="M448" s="9" t="s">
        <v>1140</v>
      </c>
      <c r="N448" s="9" t="s">
        <v>432</v>
      </c>
      <c r="O448" s="9"/>
      <c r="P448" s="9"/>
      <c r="Q448" s="11">
        <v>52</v>
      </c>
      <c r="R448" s="9" t="s">
        <v>90</v>
      </c>
      <c r="S448" s="9" t="s">
        <v>178</v>
      </c>
      <c r="T448" s="12">
        <f>IF($H448="Cancelled","",IFERROR(((Q448+INDEX(Variables!$B$6:$D$6,IFERROR(MATCH(IF($B448="Robusta","Robusta",(IF($B448="","Arabica",$B448))&amp;" - "&amp;(IF($C448="","Commercial",$C448))),Variables!$B$1:$D$1,0),1)))*22.0462)*(L448/16.67),""))</f>
        <v>604776.33102819428</v>
      </c>
      <c r="U448" s="10">
        <v>45938</v>
      </c>
      <c r="V448" s="9" t="str">
        <f t="shared" si="49"/>
        <v>Sent</v>
      </c>
      <c r="W448" s="10">
        <v>45945</v>
      </c>
      <c r="X448" s="9" t="str">
        <f t="shared" si="50"/>
        <v>Approved</v>
      </c>
      <c r="Y448" s="10"/>
      <c r="Z448" s="10">
        <f>IF($H448="Cancelled","",IFERROR(IF(F448="","",F448-Variables!$B$13),""))</f>
        <v>45976</v>
      </c>
      <c r="AA448" s="11">
        <f>IF($H448="Cancelled","",IFERROR(IF(W448="","",(AVERAGE(E448:F448)-W448)-Variables!$B$14),""))</f>
        <v>1.5</v>
      </c>
      <c r="AB448" s="10">
        <v>45960</v>
      </c>
      <c r="AC448" s="11">
        <f>IF($H448="Cancelled","",IFERROR(IF(AB448="","",IF(AND(W448="",Y448=""),"",IF(Y448&gt;W448,Y448+Variables!$B$15+Variables!$B$16+Variables!$B$17-AB448,W448+Variables!$B$16+Variables!$B$17-AB448))),""))</f>
        <v>-7</v>
      </c>
      <c r="AD448" s="9" t="s">
        <v>163</v>
      </c>
      <c r="AE448" s="9" t="s">
        <v>219</v>
      </c>
      <c r="AF448" s="10"/>
      <c r="AG448" s="10"/>
      <c r="AH448" s="9"/>
      <c r="AI448" s="9">
        <v>261120683</v>
      </c>
      <c r="AJ448" s="9" t="s">
        <v>8</v>
      </c>
      <c r="AK448" s="10">
        <v>45969</v>
      </c>
      <c r="AL448" s="10">
        <v>45972</v>
      </c>
      <c r="AM448" s="10">
        <v>45972</v>
      </c>
      <c r="AN448" s="9" t="s">
        <v>95</v>
      </c>
      <c r="AO448" s="9"/>
      <c r="AP448" s="11">
        <f>IF($H448="Cancelled","",IFERROR(IF(OR(AK448="",AB448=""),"",(AB448+Variables!$B$18-AK448)),""))</f>
        <v>-2</v>
      </c>
      <c r="AQ448" s="11">
        <f>IF($H448="Cancelled","",IFERROR(IF(OR(AM448="",AK448=""),"",(AK448+Variables!$B$19)-AM448),""))</f>
        <v>2</v>
      </c>
      <c r="AR448" s="12">
        <f>IF($H448="Cancelled","",IFERROR(T448*INDEX(Variables!$B$7:$D$7,IFERROR(MATCH(IF($B448="Robusta","Robusta",(IF($B448="","Arabica",$B448))&amp;" - "&amp;(IF($C448="","Commercial",$C448))),Variables!$B$1:$D$1,0),1))*(AQ448/365),""))</f>
        <v>213.68388127466432</v>
      </c>
      <c r="AS448" s="12">
        <f>IF($H448="Cancelled","",IFERROR((T448*INDEX(Variables!$B$7:$D$7,IFERROR(MATCH(IF($B448="Robusta","Robusta",(IF($B448="","Arabica",$B448))&amp;" - "&amp;(IF($C448="","Commercial",$C448))),Variables!$B$1:$D$1,0),1))*IFERROR(IF(W448="","",(AVERAGE(E448:F448)-W448)-Variables!$B$14),"")/365)+(L448/16.67*INDEX(Variables!$B$8:$D$8,IFERROR(MATCH(IF($B448="Robusta","Robusta",(IF($B448="","Arabica",$B448))&amp;" - "&amp;(IF($C448="","Commercial",$C448))),Variables!$B$1:$D$1,0),1))*IFERROR(IF(W448="","",(AVERAGE(E448:F448)-W448)-Variables!$B$14),""))+(T448*INDEX(Variables!$B$9:$D$9,IFERROR(MATCH(IF($B448="Robusta","Robusta",(IF($B448="","Arabica",$B448))&amp;" - "&amp;(IF($C448="","Commercial",$C448))),Variables!$B$1:$D$1,0),1))*IFERROR(IF(W448="","",(AVERAGE(E448:F448)-W448)-Variables!$B$14),"")/365),""))</f>
        <v>262.3790091641506</v>
      </c>
      <c r="AT448" s="12">
        <f>IF($H448="Cancelled","",IFERROR((T448*INDEX(Variables!$B$7:$D$7,IFERROR(MATCH(IF($B448="Robusta","Robusta",(IF($B448="","Arabica",$B448))&amp;" - "&amp;(IF($C448="","Commercial",$C448))),Variables!$B$1:$D$1,0),1))*AC448/365)+(L448/16.67*INDEX(Variables!$B$8:$D$8,IFERROR(MATCH(IF($B448="Robusta","Robusta",(IF($B448="","Arabica",$B448))&amp;" - "&amp;(IF($C448="","Commercial",$C448))),Variables!$B$1:$D$1,0),1))*AC448)+(T448*INDEX(Variables!$B$9:$D$9,IFERROR(MATCH(IF($B448="Robusta","Robusta",(IF($B448="","Arabica",$B448))&amp;" - "&amp;(IF($C448="","Commercial",$C448))),Variables!$B$1:$D$1,0),1))*AC448/365),""))</f>
        <v>-1224.4353760993693</v>
      </c>
      <c r="AU448" s="12">
        <f>IF($H448="Cancelled","",IFERROR((T448*INDEX(Variables!$B$7:$D$7,IFERROR(MATCH(IF($B448="Robusta","Robusta",(IF($B448="","Arabica",$B448))&amp;" - "&amp;(IF($C448="","Commercial",$C448))),Variables!$B$1:$D$1,0),1))*AP448/365)+(L448/16.67*INDEX(Variables!$B$8:$D$8,IFERROR(MATCH(IF($B448="Robusta","Robusta",(IF($B448="","Arabica",$B448))&amp;" - "&amp;(IF($C448="","Commercial",$C448))),Variables!$B$1:$D$1,0),1))*AP448)+(T448*INDEX(Variables!$B$9:$D$9,IFERROR(MATCH(IF($B448="Robusta","Robusta",(IF($B448="","Arabica",$B448))&amp;" - "&amp;(IF($C448="","Commercial",$C448))),Variables!$B$1:$D$1,0),1))*AP448/365),""))</f>
        <v>-349.83867888553408</v>
      </c>
      <c r="AV448" s="11">
        <f t="shared" si="45"/>
        <v>22</v>
      </c>
      <c r="AW448" s="12">
        <f>IF($H448="Cancelled","",IFERROR(IF(AV448="","",(T448*INDEX(Variables!$B$7:$D$7,IFERROR(MATCH(IF($B448="Robusta","Robusta",(IF($B448="","Arabica",$B448))&amp;" - "&amp;(IF($C448="","Commercial",$C448))),Variables!$B$1:$D$1,0),1))*(AV448/365))+(T448*INDEX(Variables!$B$9:$D$9,IFERROR(MATCH(IF($B448="Robusta","Robusta",(IF($B448="","Arabica",$B448))&amp;" - "&amp;(IF($C448="","Commercial",$C448))),Variables!$B$1:$D$1,0),1))*(AV448/365))+(INDEX(Variables!$B$8:$D$8,IFERROR(MATCH(IF($B448="Robusta","Robusta",(IF($B448="","Arabica",$B448))&amp;" - "&amp;(IF($C448="","Commercial",$C448))),Variables!$B$1:$D$1,0),1))*L448/16.67)),""))</f>
        <v>2447.5254677408748</v>
      </c>
      <c r="AX448" s="9"/>
      <c r="AY448" s="12"/>
      <c r="AZ448" s="10"/>
      <c r="BA448" s="9"/>
      <c r="BB448" s="10"/>
      <c r="BC448" s="9"/>
      <c r="BD448" s="9"/>
      <c r="BE448" s="9"/>
      <c r="BF448" s="9"/>
    </row>
    <row r="449" spans="1:58" x14ac:dyDescent="0.25">
      <c r="A449" s="9" t="s">
        <v>84</v>
      </c>
      <c r="B449" s="9" t="s">
        <v>85</v>
      </c>
      <c r="C449" s="9" t="s">
        <v>86</v>
      </c>
      <c r="D449" s="10">
        <v>45908</v>
      </c>
      <c r="E449" s="10">
        <v>45962</v>
      </c>
      <c r="F449" s="10">
        <v>45991</v>
      </c>
      <c r="G449" s="9">
        <v>3786953</v>
      </c>
      <c r="H449" s="9" t="str">
        <f t="shared" si="43"/>
        <v>Closed</v>
      </c>
      <c r="I449" s="9" t="str">
        <f t="shared" si="44"/>
        <v>All dates received</v>
      </c>
      <c r="J449" s="9" t="s">
        <v>102</v>
      </c>
      <c r="K449" s="9" t="s">
        <v>1141</v>
      </c>
      <c r="L449" s="11">
        <v>333</v>
      </c>
      <c r="M449" s="9" t="s">
        <v>1140</v>
      </c>
      <c r="N449" s="9" t="s">
        <v>432</v>
      </c>
      <c r="O449" s="9"/>
      <c r="P449" s="9"/>
      <c r="Q449" s="11">
        <v>52</v>
      </c>
      <c r="R449" s="9" t="s">
        <v>90</v>
      </c>
      <c r="S449" s="9" t="s">
        <v>178</v>
      </c>
      <c r="T449" s="12">
        <f>IF($H449="Cancelled","",IFERROR(((Q449+INDEX(Variables!$B$6:$D$6,IFERROR(MATCH(IF($B449="Robusta","Robusta",(IF($B449="","Arabica",$B449))&amp;" - "&amp;(IF($C449="","Commercial",$C449))),Variables!$B$1:$D$1,0),1)))*22.0462)*(L449/16.67),""))</f>
        <v>150967.40497180563</v>
      </c>
      <c r="U449" s="10">
        <v>45938</v>
      </c>
      <c r="V449" s="9" t="str">
        <f t="shared" si="49"/>
        <v>Sent</v>
      </c>
      <c r="W449" s="10">
        <v>45945</v>
      </c>
      <c r="X449" s="9" t="str">
        <f t="shared" si="50"/>
        <v>Approved</v>
      </c>
      <c r="Y449" s="10"/>
      <c r="Z449" s="10">
        <f>IF($H449="Cancelled","",IFERROR(IF(F449="","",F449-Variables!$B$13),""))</f>
        <v>45976</v>
      </c>
      <c r="AA449" s="11">
        <f>IF($H449="Cancelled","",IFERROR(IF(W449="","",(AVERAGE(E449:F449)-W449)-Variables!$B$14),""))</f>
        <v>1.5</v>
      </c>
      <c r="AB449" s="10">
        <v>46000</v>
      </c>
      <c r="AC449" s="11">
        <f>IF($H449="Cancelled","",IFERROR(IF(AB449="","",IF(AND(W449="",Y449=""),"",IF(Y449&gt;W449,Y449+Variables!$B$15+Variables!$B$16+Variables!$B$17-AB449,W449+Variables!$B$16+Variables!$B$17-AB449))),""))</f>
        <v>-47</v>
      </c>
      <c r="AD449" s="9" t="s">
        <v>163</v>
      </c>
      <c r="AE449" s="9" t="s">
        <v>164</v>
      </c>
      <c r="AF449" s="10"/>
      <c r="AG449" s="10"/>
      <c r="AH449" s="9"/>
      <c r="AI449" s="9">
        <v>262727104</v>
      </c>
      <c r="AJ449" s="9" t="s">
        <v>8</v>
      </c>
      <c r="AK449" s="10">
        <v>46007</v>
      </c>
      <c r="AL449" s="10">
        <v>46014</v>
      </c>
      <c r="AM449" s="10">
        <v>46014</v>
      </c>
      <c r="AN449" s="9" t="s">
        <v>95</v>
      </c>
      <c r="AO449" s="9"/>
      <c r="AP449" s="11">
        <f>IF($H449="Cancelled","",IFERROR(IF(OR(AK449="",AB449=""),"",(AB449+Variables!$B$18-AK449)),""))</f>
        <v>0</v>
      </c>
      <c r="AQ449" s="11">
        <f>IF($H449="Cancelled","",IFERROR(IF(OR(AM449="",AK449=""),"",(AK449+Variables!$B$19)-AM449),""))</f>
        <v>-2</v>
      </c>
      <c r="AR449" s="12">
        <f>IF($H449="Cancelled","",IFERROR(T449*INDEX(Variables!$B$7:$D$7,IFERROR(MATCH(IF($B449="Robusta","Robusta",(IF($B449="","Arabica",$B449))&amp;" - "&amp;(IF($C449="","Commercial",$C449))),Variables!$B$1:$D$1,0),1))*(AQ449/365),""))</f>
        <v>-53.340878908892961</v>
      </c>
      <c r="AS449" s="12">
        <f>IF($H449="Cancelled","",IFERROR((T449*INDEX(Variables!$B$7:$D$7,IFERROR(MATCH(IF($B449="Robusta","Robusta",(IF($B449="","Arabica",$B449))&amp;" - "&amp;(IF($C449="","Commercial",$C449))),Variables!$B$1:$D$1,0),1))*IFERROR(IF(W449="","",(AVERAGE(E449:F449)-W449)-Variables!$B$14),"")/365)+(L449/16.67*INDEX(Variables!$B$8:$D$8,IFERROR(MATCH(IF($B449="Robusta","Robusta",(IF($B449="","Arabica",$B449))&amp;" - "&amp;(IF($C449="","Commercial",$C449))),Variables!$B$1:$D$1,0),1))*IFERROR(IF(W449="","",(AVERAGE(E449:F449)-W449)-Variables!$B$14),""))+(T449*INDEX(Variables!$B$9:$D$9,IFERROR(MATCH(IF($B449="Robusta","Robusta",(IF($B449="","Arabica",$B449))&amp;" - "&amp;(IF($C449="","Commercial",$C449))),Variables!$B$1:$D$1,0),1))*IFERROR(IF(W449="","",(AVERAGE(E449:F449)-W449)-Variables!$B$14),"")/365),""))</f>
        <v>65.496409334079573</v>
      </c>
      <c r="AT449" s="12">
        <f>IF($H449="Cancelled","",IFERROR((T449*INDEX(Variables!$B$7:$D$7,IFERROR(MATCH(IF($B449="Robusta","Robusta",(IF($B449="","Arabica",$B449))&amp;" - "&amp;(IF($C449="","Commercial",$C449))),Variables!$B$1:$D$1,0),1))*AC449/365)+(L449/16.67*INDEX(Variables!$B$8:$D$8,IFERROR(MATCH(IF($B449="Robusta","Robusta",(IF($B449="","Arabica",$B449))&amp;" - "&amp;(IF($C449="","Commercial",$C449))),Variables!$B$1:$D$1,0),1))*AC449)+(T449*INDEX(Variables!$B$9:$D$9,IFERROR(MATCH(IF($B449="Robusta","Robusta",(IF($B449="","Arabica",$B449))&amp;" - "&amp;(IF($C449="","Commercial",$C449))),Variables!$B$1:$D$1,0),1))*AC449/365),""))</f>
        <v>-2052.2208258011597</v>
      </c>
      <c r="AU449" s="12">
        <f>IF($H449="Cancelled","",IFERROR((T449*INDEX(Variables!$B$7:$D$7,IFERROR(MATCH(IF($B449="Robusta","Robusta",(IF($B449="","Arabica",$B449))&amp;" - "&amp;(IF($C449="","Commercial",$C449))),Variables!$B$1:$D$1,0),1))*AP449/365)+(L449/16.67*INDEX(Variables!$B$8:$D$8,IFERROR(MATCH(IF($B449="Robusta","Robusta",(IF($B449="","Arabica",$B449))&amp;" - "&amp;(IF($C449="","Commercial",$C449))),Variables!$B$1:$D$1,0),1))*AP449)+(T449*INDEX(Variables!$B$9:$D$9,IFERROR(MATCH(IF($B449="Robusta","Robusta",(IF($B449="","Arabica",$B449))&amp;" - "&amp;(IF($C449="","Commercial",$C449))),Variables!$B$1:$D$1,0),1))*AP449/365),""))</f>
        <v>0</v>
      </c>
      <c r="AV449" s="11">
        <f t="shared" si="45"/>
        <v>-16</v>
      </c>
      <c r="AW449" s="12">
        <f>IF($H449="Cancelled","",IFERROR(IF(AV449="","",(T449*INDEX(Variables!$B$7:$D$7,IFERROR(MATCH(IF($B449="Robusta","Robusta",(IF($B449="","Arabica",$B449))&amp;" - "&amp;(IF($C449="","Commercial",$C449))),Variables!$B$1:$D$1,0),1))*(AV449/365))+(T449*INDEX(Variables!$B$9:$D$9,IFERROR(MATCH(IF($B449="Robusta","Robusta",(IF($B449="","Arabica",$B449))&amp;" - "&amp;(IF($C449="","Commercial",$C449))),Variables!$B$1:$D$1,0),1))*(AV449/365))+(INDEX(Variables!$B$8:$D$8,IFERROR(MATCH(IF($B449="Robusta","Robusta",(IF($B449="","Arabica",$B449))&amp;" - "&amp;(IF($C449="","Commercial",$C449))),Variables!$B$1:$D$1,0),1))*L449/16.67)),""))</f>
        <v>-415.57836623018204</v>
      </c>
      <c r="AX449" s="9"/>
      <c r="AY449" s="12"/>
      <c r="AZ449" s="10"/>
      <c r="BA449" s="9"/>
      <c r="BB449" s="10"/>
      <c r="BC449" s="9"/>
      <c r="BD449" s="9"/>
      <c r="BE449" s="9"/>
      <c r="BF449" s="9"/>
    </row>
    <row r="450" spans="1:58" x14ac:dyDescent="0.25">
      <c r="A450" s="9" t="s">
        <v>84</v>
      </c>
      <c r="B450" s="9" t="s">
        <v>85</v>
      </c>
      <c r="C450" s="9" t="s">
        <v>86</v>
      </c>
      <c r="D450" s="10">
        <v>45910</v>
      </c>
      <c r="E450" s="10">
        <v>45931</v>
      </c>
      <c r="F450" s="10">
        <v>45961</v>
      </c>
      <c r="G450" s="9">
        <v>3786952</v>
      </c>
      <c r="H450" s="9" t="str">
        <f t="shared" ref="H450:H513" si="51">IF(ISNUMBER(SEARCH("cancel",AN450)),"Cancelled",IF(AND(AK450&lt;&gt;"",AL450&lt;&gt;"",AM450&lt;&gt;""),"Closed","Open"))</f>
        <v>Closed</v>
      </c>
      <c r="I450" s="9" t="str">
        <f t="shared" ref="I450:I513" si="52">IF(AND(AK450&lt;&gt;"",AL450&lt;&gt;"",AM450&lt;&gt;""),"All dates received",_xlfn.TEXTJOIN(" and ",TRUE(),IF(AK450="","No sailing date",""),IF(AL450="","No shipping advice sent",""),IF(AM450="","No docs dispatch date","")))</f>
        <v>All dates received</v>
      </c>
      <c r="J450" s="9" t="s">
        <v>308</v>
      </c>
      <c r="K450" s="9">
        <v>5331</v>
      </c>
      <c r="L450" s="11">
        <v>2160</v>
      </c>
      <c r="M450" s="9" t="s">
        <v>1142</v>
      </c>
      <c r="N450" s="9" t="s">
        <v>122</v>
      </c>
      <c r="O450" s="9"/>
      <c r="P450" s="9"/>
      <c r="Q450" s="11">
        <v>12</v>
      </c>
      <c r="R450" s="9" t="s">
        <v>90</v>
      </c>
      <c r="S450" s="9" t="s">
        <v>106</v>
      </c>
      <c r="T450" s="12">
        <f>IF($H450="Cancelled","",IFERROR(((Q450+INDEX(Variables!$B$6:$D$6,IFERROR(MATCH(IF($B450="Robusta","Robusta",(IF($B450="","Arabica",$B450))&amp;" - "&amp;(IF($C450="","Commercial",$C450))),Variables!$B$1:$D$1,0),1)))*22.0462)*(L450/16.67),""))</f>
        <v>864983.38437912404</v>
      </c>
      <c r="U450" s="10">
        <v>45912</v>
      </c>
      <c r="V450" s="9" t="str">
        <f t="shared" si="49"/>
        <v>Sent</v>
      </c>
      <c r="W450" s="10">
        <v>45918</v>
      </c>
      <c r="X450" s="9" t="str">
        <f t="shared" si="50"/>
        <v>Approved</v>
      </c>
      <c r="Y450" s="10"/>
      <c r="Z450" s="10">
        <f>IF($H450="Cancelled","",IFERROR(IF(F450="","",F450-Variables!$B$13),""))</f>
        <v>45946</v>
      </c>
      <c r="AA450" s="11">
        <f>IF($H450="Cancelled","",IFERROR(IF(W450="","",(AVERAGE(E450:F450)-W450)-Variables!$B$14),""))</f>
        <v>-2</v>
      </c>
      <c r="AB450" s="10">
        <v>45930</v>
      </c>
      <c r="AC450" s="11">
        <f>IF($H450="Cancelled","",IFERROR(IF(AB450="","",IF(AND(W450="",Y450=""),"",IF(Y450&gt;W450,Y450+Variables!$B$15+Variables!$B$16+Variables!$B$17-AB450,W450+Variables!$B$16+Variables!$B$17-AB450))),""))</f>
        <v>-4</v>
      </c>
      <c r="AD450" s="9" t="s">
        <v>165</v>
      </c>
      <c r="AE450" s="9" t="s">
        <v>969</v>
      </c>
      <c r="AF450" s="10"/>
      <c r="AG450" s="10"/>
      <c r="AH450" s="9"/>
      <c r="AI450" s="9" t="s">
        <v>1143</v>
      </c>
      <c r="AJ450" s="9" t="s">
        <v>8</v>
      </c>
      <c r="AK450" s="10">
        <v>45945</v>
      </c>
      <c r="AL450" s="10">
        <v>45946</v>
      </c>
      <c r="AM450" s="10">
        <v>45951</v>
      </c>
      <c r="AN450" s="9" t="s">
        <v>95</v>
      </c>
      <c r="AO450" s="9"/>
      <c r="AP450" s="11">
        <f>IF($H450="Cancelled","",IFERROR(IF(OR(AK450="",AB450=""),"",(AB450+Variables!$B$18-AK450)),""))</f>
        <v>-8</v>
      </c>
      <c r="AQ450" s="11">
        <f>IF($H450="Cancelled","",IFERROR(IF(OR(AM450="",AK450=""),"",(AK450+Variables!$B$19)-AM450),""))</f>
        <v>-1</v>
      </c>
      <c r="AR450" s="12">
        <f>IF($H450="Cancelled","",IFERROR(T450*INDEX(Variables!$B$7:$D$7,IFERROR(MATCH(IF($B450="Robusta","Robusta",(IF($B450="","Arabica",$B450))&amp;" - "&amp;(IF($C450="","Commercial",$C450))),Variables!$B$1:$D$1,0),1))*(AQ450/365),""))</f>
        <v>-152.81104544715495</v>
      </c>
      <c r="AS450" s="12">
        <f>IF($H450="Cancelled","",IFERROR((T450*INDEX(Variables!$B$7:$D$7,IFERROR(MATCH(IF($B450="Robusta","Robusta",(IF($B450="","Arabica",$B450))&amp;" - "&amp;(IF($C450="","Commercial",$C450))),Variables!$B$1:$D$1,0),1))*IFERROR(IF(W450="","",(AVERAGE(E450:F450)-W450)-Variables!$B$14),"")/365)+(L450/16.67*INDEX(Variables!$B$8:$D$8,IFERROR(MATCH(IF($B450="Robusta","Robusta",(IF($B450="","Arabica",$B450))&amp;" - "&amp;(IF($C450="","Commercial",$C450))),Variables!$B$1:$D$1,0),1))*IFERROR(IF(W450="","",(AVERAGE(E450:F450)-W450)-Variables!$B$14),""))+(T450*INDEX(Variables!$B$9:$D$9,IFERROR(MATCH(IF($B450="Robusta","Robusta",(IF($B450="","Arabica",$B450))&amp;" - "&amp;(IF($C450="","Commercial",$C450))),Variables!$B$1:$D$1,0),1))*IFERROR(IF(W450="","",(AVERAGE(E450:F450)-W450)-Variables!$B$14),"")/365),""))</f>
        <v>-525.56214945559407</v>
      </c>
      <c r="AT450" s="12">
        <f>IF($H450="Cancelled","",IFERROR((T450*INDEX(Variables!$B$7:$D$7,IFERROR(MATCH(IF($B450="Robusta","Robusta",(IF($B450="","Arabica",$B450))&amp;" - "&amp;(IF($C450="","Commercial",$C450))),Variables!$B$1:$D$1,0),1))*AC450/365)+(L450/16.67*INDEX(Variables!$B$8:$D$8,IFERROR(MATCH(IF($B450="Robusta","Robusta",(IF($B450="","Arabica",$B450))&amp;" - "&amp;(IF($C450="","Commercial",$C450))),Variables!$B$1:$D$1,0),1))*AC450)+(T450*INDEX(Variables!$B$9:$D$9,IFERROR(MATCH(IF($B450="Robusta","Robusta",(IF($B450="","Arabica",$B450))&amp;" - "&amp;(IF($C450="","Commercial",$C450))),Variables!$B$1:$D$1,0),1))*AC450/365),""))</f>
        <v>-1051.1242989111881</v>
      </c>
      <c r="AU450" s="12">
        <f>IF($H450="Cancelled","",IFERROR((T450*INDEX(Variables!$B$7:$D$7,IFERROR(MATCH(IF($B450="Robusta","Robusta",(IF($B450="","Arabica",$B450))&amp;" - "&amp;(IF($C450="","Commercial",$C450))),Variables!$B$1:$D$1,0),1))*AP450/365)+(L450/16.67*INDEX(Variables!$B$8:$D$8,IFERROR(MATCH(IF($B450="Robusta","Robusta",(IF($B450="","Arabica",$B450))&amp;" - "&amp;(IF($C450="","Commercial",$C450))),Variables!$B$1:$D$1,0),1))*AP450)+(T450*INDEX(Variables!$B$9:$D$9,IFERROR(MATCH(IF($B450="Robusta","Robusta",(IF($B450="","Arabica",$B450))&amp;" - "&amp;(IF($C450="","Commercial",$C450))),Variables!$B$1:$D$1,0),1))*AP450/365),""))</f>
        <v>-2102.2485978223763</v>
      </c>
      <c r="AV450" s="11">
        <f t="shared" ref="AV450:AV513" si="53">IF($H450="Cancelled","",IFERROR(IF(AK450="","",F450-AK450),""))</f>
        <v>16</v>
      </c>
      <c r="AW450" s="12">
        <f>IF($H450="Cancelled","",IFERROR(IF(AV450="","",(T450*INDEX(Variables!$B$7:$D$7,IFERROR(MATCH(IF($B450="Robusta","Robusta",(IF($B450="","Arabica",$B450))&amp;" - "&amp;(IF($C450="","Commercial",$C450))),Variables!$B$1:$D$1,0),1))*(AV450/365))+(T450*INDEX(Variables!$B$9:$D$9,IFERROR(MATCH(IF($B450="Robusta","Robusta",(IF($B450="","Arabica",$B450))&amp;" - "&amp;(IF($C450="","Commercial",$C450))),Variables!$B$1:$D$1,0),1))*(AV450/365))+(INDEX(Variables!$B$8:$D$8,IFERROR(MATCH(IF($B450="Robusta","Robusta",(IF($B450="","Arabica",$B450))&amp;" - "&amp;(IF($C450="","Commercial",$C450))),Variables!$B$1:$D$1,0),1))*L450/16.67)),""))</f>
        <v>2584.497195644753</v>
      </c>
      <c r="AX450" s="9"/>
      <c r="AY450" s="12"/>
      <c r="AZ450" s="10"/>
      <c r="BA450" s="9"/>
      <c r="BB450" s="10"/>
      <c r="BC450" s="9"/>
      <c r="BD450" s="9"/>
      <c r="BE450" s="9"/>
      <c r="BF450" s="9"/>
    </row>
    <row r="451" spans="1:58" x14ac:dyDescent="0.25">
      <c r="A451" s="9" t="s">
        <v>84</v>
      </c>
      <c r="B451" s="9" t="s">
        <v>85</v>
      </c>
      <c r="C451" s="9" t="s">
        <v>86</v>
      </c>
      <c r="D451" s="10">
        <v>45911</v>
      </c>
      <c r="E451" s="10">
        <v>45931</v>
      </c>
      <c r="F451" s="10">
        <v>45961</v>
      </c>
      <c r="G451" s="9">
        <v>3786963</v>
      </c>
      <c r="H451" s="9" t="str">
        <f t="shared" si="51"/>
        <v>Closed</v>
      </c>
      <c r="I451" s="9" t="str">
        <f t="shared" si="52"/>
        <v>All dates received</v>
      </c>
      <c r="J451" s="9" t="s">
        <v>1095</v>
      </c>
      <c r="K451" s="9">
        <v>5340</v>
      </c>
      <c r="L451" s="11">
        <v>320</v>
      </c>
      <c r="M451" s="9" t="s">
        <v>1144</v>
      </c>
      <c r="N451" s="9" t="s">
        <v>334</v>
      </c>
      <c r="O451" s="9"/>
      <c r="P451" s="9"/>
      <c r="Q451" s="11">
        <v>70</v>
      </c>
      <c r="R451" s="9" t="s">
        <v>90</v>
      </c>
      <c r="S451" s="9" t="s">
        <v>123</v>
      </c>
      <c r="T451" s="12">
        <f>IF($H451="Cancelled","",IFERROR(((Q451+INDEX(Variables!$B$6:$D$6,IFERROR(MATCH(IF($B451="Robusta","Robusta",(IF($B451="","Arabica",$B451))&amp;" - "&amp;(IF($C451="","Commercial",$C451))),Variables!$B$1:$D$1,0),1)))*22.0462)*(L451/16.67),""))</f>
        <v>152691.42574685061</v>
      </c>
      <c r="U451" s="10">
        <v>45919</v>
      </c>
      <c r="V451" s="9" t="str">
        <f t="shared" si="49"/>
        <v>Sent</v>
      </c>
      <c r="W451" s="10">
        <v>45932</v>
      </c>
      <c r="X451" s="9" t="str">
        <f t="shared" si="50"/>
        <v>Approved</v>
      </c>
      <c r="Y451" s="10"/>
      <c r="Z451" s="10">
        <f>IF($H451="Cancelled","",IFERROR(IF(F451="","",F451-Variables!$B$13),""))</f>
        <v>45946</v>
      </c>
      <c r="AA451" s="11">
        <f>IF($H451="Cancelled","",IFERROR(IF(W451="","",(AVERAGE(E451:F451)-W451)-Variables!$B$14),""))</f>
        <v>-16</v>
      </c>
      <c r="AB451" s="10">
        <v>45958</v>
      </c>
      <c r="AC451" s="11">
        <f>IF($H451="Cancelled","",IFERROR(IF(AB451="","",IF(AND(W451="",Y451=""),"",IF(Y451&gt;W451,Y451+Variables!$B$15+Variables!$B$16+Variables!$B$17-AB451,W451+Variables!$B$16+Variables!$B$17-AB451))),""))</f>
        <v>-18</v>
      </c>
      <c r="AD451" s="9" t="s">
        <v>92</v>
      </c>
      <c r="AE451" s="9" t="s">
        <v>1145</v>
      </c>
      <c r="AF451" s="10"/>
      <c r="AG451" s="10"/>
      <c r="AH451" s="9"/>
      <c r="AI451" s="9" t="s">
        <v>1146</v>
      </c>
      <c r="AJ451" s="9" t="s">
        <v>1147</v>
      </c>
      <c r="AK451" s="10">
        <v>45970</v>
      </c>
      <c r="AL451" s="10">
        <v>45972</v>
      </c>
      <c r="AM451" s="10">
        <v>45974</v>
      </c>
      <c r="AN451" s="9" t="s">
        <v>95</v>
      </c>
      <c r="AO451" s="9"/>
      <c r="AP451" s="11">
        <f>IF($H451="Cancelled","",IFERROR(IF(OR(AK451="",AB451=""),"",(AB451+Variables!$B$18-AK451)),""))</f>
        <v>-5</v>
      </c>
      <c r="AQ451" s="11">
        <f>IF($H451="Cancelled","",IFERROR(IF(OR(AM451="",AK451=""),"",(AK451+Variables!$B$19)-AM451),""))</f>
        <v>1</v>
      </c>
      <c r="AR451" s="12">
        <f>IF($H451="Cancelled","",IFERROR(T451*INDEX(Variables!$B$7:$D$7,IFERROR(MATCH(IF($B451="Robusta","Robusta",(IF($B451="","Arabica",$B451))&amp;" - "&amp;(IF($C451="","Commercial",$C451))),Variables!$B$1:$D$1,0),1))*(AQ451/365),""))</f>
        <v>26.975011104913893</v>
      </c>
      <c r="AS451" s="12">
        <f>IF($H451="Cancelled","",IFERROR((T451*INDEX(Variables!$B$7:$D$7,IFERROR(MATCH(IF($B451="Robusta","Robusta",(IF($B451="","Arabica",$B451))&amp;" - "&amp;(IF($C451="","Commercial",$C451))),Variables!$B$1:$D$1,0),1))*IFERROR(IF(W451="","",(AVERAGE(E451:F451)-W451)-Variables!$B$14),"")/365)+(L451/16.67*INDEX(Variables!$B$8:$D$8,IFERROR(MATCH(IF($B451="Robusta","Robusta",(IF($B451="","Arabica",$B451))&amp;" - "&amp;(IF($C451="","Commercial",$C451))),Variables!$B$1:$D$1,0),1))*IFERROR(IF(W451="","",(AVERAGE(E451:F451)-W451)-Variables!$B$14),""))+(T451*INDEX(Variables!$B$9:$D$9,IFERROR(MATCH(IF($B451="Robusta","Robusta",(IF($B451="","Arabica",$B451))&amp;" - "&amp;(IF($C451="","Commercial",$C451))),Variables!$B$1:$D$1,0),1))*IFERROR(IF(W451="","",(AVERAGE(E451:F451)-W451)-Variables!$B$14),"")/365),""))</f>
        <v>-693.16433689937207</v>
      </c>
      <c r="AT451" s="12">
        <f>IF($H451="Cancelled","",IFERROR((T451*INDEX(Variables!$B$7:$D$7,IFERROR(MATCH(IF($B451="Robusta","Robusta",(IF($B451="","Arabica",$B451))&amp;" - "&amp;(IF($C451="","Commercial",$C451))),Variables!$B$1:$D$1,0),1))*AC451/365)+(L451/16.67*INDEX(Variables!$B$8:$D$8,IFERROR(MATCH(IF($B451="Robusta","Robusta",(IF($B451="","Arabica",$B451))&amp;" - "&amp;(IF($C451="","Commercial",$C451))),Variables!$B$1:$D$1,0),1))*AC451)+(T451*INDEX(Variables!$B$9:$D$9,IFERROR(MATCH(IF($B451="Robusta","Robusta",(IF($B451="","Arabica",$B451))&amp;" - "&amp;(IF($C451="","Commercial",$C451))),Variables!$B$1:$D$1,0),1))*AC451/365),""))</f>
        <v>-779.80987901179367</v>
      </c>
      <c r="AU451" s="12">
        <f>IF($H451="Cancelled","",IFERROR((T451*INDEX(Variables!$B$7:$D$7,IFERROR(MATCH(IF($B451="Robusta","Robusta",(IF($B451="","Arabica",$B451))&amp;" - "&amp;(IF($C451="","Commercial",$C451))),Variables!$B$1:$D$1,0),1))*AP451/365)+(L451/16.67*INDEX(Variables!$B$8:$D$8,IFERROR(MATCH(IF($B451="Robusta","Robusta",(IF($B451="","Arabica",$B451))&amp;" - "&amp;(IF($C451="","Commercial",$C451))),Variables!$B$1:$D$1,0),1))*AP451)+(T451*INDEX(Variables!$B$9:$D$9,IFERROR(MATCH(IF($B451="Robusta","Robusta",(IF($B451="","Arabica",$B451))&amp;" - "&amp;(IF($C451="","Commercial",$C451))),Variables!$B$1:$D$1,0),1))*AP451/365),""))</f>
        <v>-216.61385528105382</v>
      </c>
      <c r="AV451" s="11">
        <f t="shared" si="53"/>
        <v>-9</v>
      </c>
      <c r="AW451" s="12">
        <f>IF($H451="Cancelled","",IFERROR(IF(AV451="","",(T451*INDEX(Variables!$B$7:$D$7,IFERROR(MATCH(IF($B451="Robusta","Robusta",(IF($B451="","Arabica",$B451))&amp;" - "&amp;(IF($C451="","Commercial",$C451))),Variables!$B$1:$D$1,0),1))*(AV451/365))+(T451*INDEX(Variables!$B$9:$D$9,IFERROR(MATCH(IF($B451="Robusta","Robusta",(IF($B451="","Arabica",$B451))&amp;" - "&amp;(IF($C451="","Commercial",$C451))),Variables!$B$1:$D$1,0),1))*(AV451/365))+(INDEX(Variables!$B$8:$D$8,IFERROR(MATCH(IF($B451="Robusta","Robusta",(IF($B451="","Arabica",$B451))&amp;" - "&amp;(IF($C451="","Commercial",$C451))),Variables!$B$1:$D$1,0),1))*L451/16.67)),""))</f>
        <v>-229.90493950589683</v>
      </c>
      <c r="AX451" s="9"/>
      <c r="AY451" s="12"/>
      <c r="AZ451" s="10"/>
      <c r="BA451" s="9"/>
      <c r="BB451" s="10"/>
      <c r="BC451" s="9"/>
      <c r="BD451" s="9"/>
      <c r="BE451" s="9"/>
      <c r="BF451" s="9"/>
    </row>
    <row r="452" spans="1:58" x14ac:dyDescent="0.25">
      <c r="A452" s="9" t="s">
        <v>84</v>
      </c>
      <c r="B452" s="9" t="s">
        <v>85</v>
      </c>
      <c r="C452" s="9" t="s">
        <v>86</v>
      </c>
      <c r="D452" s="10">
        <v>45915</v>
      </c>
      <c r="E452" s="10">
        <v>45931</v>
      </c>
      <c r="F452" s="10">
        <v>45961</v>
      </c>
      <c r="G452" s="9">
        <v>3786964</v>
      </c>
      <c r="H452" s="9" t="str">
        <f t="shared" si="51"/>
        <v>Closed</v>
      </c>
      <c r="I452" s="9" t="str">
        <f t="shared" si="52"/>
        <v>All dates received</v>
      </c>
      <c r="J452" s="9" t="s">
        <v>102</v>
      </c>
      <c r="K452" s="9">
        <v>5338</v>
      </c>
      <c r="L452" s="11">
        <v>1440</v>
      </c>
      <c r="M452" s="9" t="s">
        <v>991</v>
      </c>
      <c r="N452" s="9" t="s">
        <v>121</v>
      </c>
      <c r="O452" s="9"/>
      <c r="P452" s="9"/>
      <c r="Q452" s="11">
        <v>23</v>
      </c>
      <c r="R452" s="9" t="s">
        <v>90</v>
      </c>
      <c r="S452" s="9" t="s">
        <v>1148</v>
      </c>
      <c r="T452" s="12">
        <f>IF($H452="Cancelled","",IFERROR(((Q452+INDEX(Variables!$B$6:$D$6,IFERROR(MATCH(IF($B452="Robusta","Robusta",(IF($B452="","Arabica",$B452))&amp;" - "&amp;(IF($C452="","Commercial",$C452))),Variables!$B$1:$D$1,0),1)))*22.0462)*(L452/16.67),""))</f>
        <v>597604.10836232756</v>
      </c>
      <c r="U452" s="10">
        <v>45922</v>
      </c>
      <c r="V452" s="9" t="str">
        <f t="shared" si="49"/>
        <v>Sent</v>
      </c>
      <c r="W452" s="10"/>
      <c r="X452" s="9" t="str">
        <f t="shared" si="50"/>
        <v/>
      </c>
      <c r="Y452" s="10"/>
      <c r="Z452" s="10">
        <f>IF($H452="Cancelled","",IFERROR(IF(F452="","",F452-Variables!$B$13),""))</f>
        <v>45946</v>
      </c>
      <c r="AA452" s="11" t="str">
        <f>IF($H452="Cancelled","",IFERROR(IF(W452="","",(AVERAGE(E452:F452)-W452)-Variables!$B$14),""))</f>
        <v/>
      </c>
      <c r="AB452" s="10">
        <v>45938</v>
      </c>
      <c r="AC452" s="11" t="str">
        <f>IF($H452="Cancelled","",IFERROR(IF(AB452="","",IF(AND(W452="",Y452=""),"",IF(Y452&gt;W452,Y452+Variables!$B$15+Variables!$B$16+Variables!$B$17-AB452,W452+Variables!$B$16+Variables!$B$17-AB452))),""))</f>
        <v/>
      </c>
      <c r="AD452" s="9" t="s">
        <v>163</v>
      </c>
      <c r="AE452" s="9" t="s">
        <v>847</v>
      </c>
      <c r="AF452" s="10"/>
      <c r="AG452" s="10"/>
      <c r="AH452" s="9"/>
      <c r="AI452" s="9">
        <v>259974822</v>
      </c>
      <c r="AJ452" s="9" t="s">
        <v>8</v>
      </c>
      <c r="AK452" s="10">
        <v>45947</v>
      </c>
      <c r="AL452" s="10">
        <v>45952</v>
      </c>
      <c r="AM452" s="10">
        <v>45952</v>
      </c>
      <c r="AN452" s="9" t="s">
        <v>95</v>
      </c>
      <c r="AO452" s="9"/>
      <c r="AP452" s="11">
        <f>IF($H452="Cancelled","",IFERROR(IF(OR(AK452="",AB452=""),"",(AB452+Variables!$B$18-AK452)),""))</f>
        <v>-2</v>
      </c>
      <c r="AQ452" s="11">
        <f>IF($H452="Cancelled","",IFERROR(IF(OR(AM452="",AK452=""),"",(AK452+Variables!$B$19)-AM452),""))</f>
        <v>0</v>
      </c>
      <c r="AR452" s="12">
        <f>IF($H452="Cancelled","",IFERROR(T452*INDEX(Variables!$B$7:$D$7,IFERROR(MATCH(IF($B452="Robusta","Robusta",(IF($B452="","Arabica",$B452))&amp;" - "&amp;(IF($C452="","Commercial",$C452))),Variables!$B$1:$D$1,0),1))*(AQ452/365),""))</f>
        <v>0</v>
      </c>
      <c r="AS452" s="12" t="str">
        <f>IF($H452="Cancelled","",IFERROR((T452*INDEX(Variables!$B$7:$D$7,IFERROR(MATCH(IF($B452="Robusta","Robusta",(IF($B452="","Arabica",$B452))&amp;" - "&amp;(IF($C452="","Commercial",$C452))),Variables!$B$1:$D$1,0),1))*IFERROR(IF(W452="","",(AVERAGE(E452:F452)-W452)-Variables!$B$14),"")/365)+(L452/16.67*INDEX(Variables!$B$8:$D$8,IFERROR(MATCH(IF($B452="Robusta","Robusta",(IF($B452="","Arabica",$B452))&amp;" - "&amp;(IF($C452="","Commercial",$C452))),Variables!$B$1:$D$1,0),1))*IFERROR(IF(W452="","",(AVERAGE(E452:F452)-W452)-Variables!$B$14),""))+(T452*INDEX(Variables!$B$9:$D$9,IFERROR(MATCH(IF($B452="Robusta","Robusta",(IF($B452="","Arabica",$B452))&amp;" - "&amp;(IF($C452="","Commercial",$C452))),Variables!$B$1:$D$1,0),1))*IFERROR(IF(W452="","",(AVERAGE(E452:F452)-W452)-Variables!$B$14),"")/365),""))</f>
        <v/>
      </c>
      <c r="AT452" s="12" t="str">
        <f>IF($H452="Cancelled","",IFERROR((T452*INDEX(Variables!$B$7:$D$7,IFERROR(MATCH(IF($B452="Robusta","Robusta",(IF($B452="","Arabica",$B452))&amp;" - "&amp;(IF($C452="","Commercial",$C452))),Variables!$B$1:$D$1,0),1))*AC452/365)+(L452/16.67*INDEX(Variables!$B$8:$D$8,IFERROR(MATCH(IF($B452="Robusta","Robusta",(IF($B452="","Arabica",$B452))&amp;" - "&amp;(IF($C452="","Commercial",$C452))),Variables!$B$1:$D$1,0),1))*AC452)+(T452*INDEX(Variables!$B$9:$D$9,IFERROR(MATCH(IF($B452="Robusta","Robusta",(IF($B452="","Arabica",$B452))&amp;" - "&amp;(IF($C452="","Commercial",$C452))),Variables!$B$1:$D$1,0),1))*AC452/365),""))</f>
        <v/>
      </c>
      <c r="AU452" s="12">
        <f>IF($H452="Cancelled","",IFERROR((T452*INDEX(Variables!$B$7:$D$7,IFERROR(MATCH(IF($B452="Robusta","Robusta",(IF($B452="","Arabica",$B452))&amp;" - "&amp;(IF($C452="","Commercial",$C452))),Variables!$B$1:$D$1,0),1))*AP452/365)+(L452/16.67*INDEX(Variables!$B$8:$D$8,IFERROR(MATCH(IF($B452="Robusta","Robusta",(IF($B452="","Arabica",$B452))&amp;" - "&amp;(IF($C452="","Commercial",$C452))),Variables!$B$1:$D$1,0),1))*AP452)+(T452*INDEX(Variables!$B$9:$D$9,IFERROR(MATCH(IF($B452="Robusta","Robusta",(IF($B452="","Arabica",$B452))&amp;" - "&amp;(IF($C452="","Commercial",$C452))),Variables!$B$1:$D$1,0),1))*AP452/365),""))</f>
        <v>-357.87186811793362</v>
      </c>
      <c r="AV452" s="11">
        <f t="shared" si="53"/>
        <v>14</v>
      </c>
      <c r="AW452" s="12">
        <f>IF($H452="Cancelled","",IFERROR(IF(AV452="","",(T452*INDEX(Variables!$B$7:$D$7,IFERROR(MATCH(IF($B452="Robusta","Robusta",(IF($B452="","Arabica",$B452))&amp;" - "&amp;(IF($C452="","Commercial",$C452))),Variables!$B$1:$D$1,0),1))*(AV452/365))+(T452*INDEX(Variables!$B$9:$D$9,IFERROR(MATCH(IF($B452="Robusta","Robusta",(IF($B452="","Arabica",$B452))&amp;" - "&amp;(IF($C452="","Commercial",$C452))),Variables!$B$1:$D$1,0),1))*(AV452/365))+(INDEX(Variables!$B$8:$D$8,IFERROR(MATCH(IF($B452="Robusta","Robusta",(IF($B452="","Arabica",$B452))&amp;" - "&amp;(IF($C452="","Commercial",$C452))),Variables!$B$1:$D$1,0),1))*L452/16.67)),""))</f>
        <v>1569.1030768255353</v>
      </c>
      <c r="AX452" s="9"/>
      <c r="AY452" s="12"/>
      <c r="AZ452" s="10"/>
      <c r="BA452" s="9"/>
      <c r="BB452" s="10"/>
      <c r="BC452" s="9"/>
      <c r="BD452" s="9"/>
      <c r="BE452" s="9"/>
      <c r="BF452" s="9"/>
    </row>
    <row r="453" spans="1:58" x14ac:dyDescent="0.25">
      <c r="A453" s="9" t="s">
        <v>84</v>
      </c>
      <c r="B453" s="9" t="s">
        <v>85</v>
      </c>
      <c r="C453" s="9" t="s">
        <v>86</v>
      </c>
      <c r="D453" s="10">
        <v>45915</v>
      </c>
      <c r="E453" s="10">
        <v>45931</v>
      </c>
      <c r="F453" s="10">
        <v>45961</v>
      </c>
      <c r="G453" s="9">
        <v>3786964</v>
      </c>
      <c r="H453" s="9" t="str">
        <f t="shared" si="51"/>
        <v>Closed</v>
      </c>
      <c r="I453" s="9" t="str">
        <f t="shared" si="52"/>
        <v>All dates received</v>
      </c>
      <c r="J453" s="9" t="s">
        <v>102</v>
      </c>
      <c r="K453" s="9">
        <v>5338</v>
      </c>
      <c r="L453" s="11">
        <v>360</v>
      </c>
      <c r="M453" s="9" t="s">
        <v>991</v>
      </c>
      <c r="N453" s="9" t="s">
        <v>121</v>
      </c>
      <c r="O453" s="9"/>
      <c r="P453" s="9"/>
      <c r="Q453" s="11">
        <v>23</v>
      </c>
      <c r="R453" s="9" t="s">
        <v>90</v>
      </c>
      <c r="S453" s="9" t="s">
        <v>1148</v>
      </c>
      <c r="T453" s="12">
        <f>IF($H453="Cancelled","",IFERROR(((Q453+INDEX(Variables!$B$6:$D$6,IFERROR(MATCH(IF($B453="Robusta","Robusta",(IF($B453="","Arabica",$B453))&amp;" - "&amp;(IF($C453="","Commercial",$C453))),Variables!$B$1:$D$1,0),1)))*22.0462)*(L453/16.67),""))</f>
        <v>149401.02709058189</v>
      </c>
      <c r="U453" s="10">
        <v>45922</v>
      </c>
      <c r="V453" s="9" t="str">
        <f t="shared" si="49"/>
        <v>Sent</v>
      </c>
      <c r="W453" s="10"/>
      <c r="X453" s="9" t="str">
        <f t="shared" si="50"/>
        <v/>
      </c>
      <c r="Y453" s="10"/>
      <c r="Z453" s="10">
        <f>IF($H453="Cancelled","",IFERROR(IF(F453="","",F453-Variables!$B$13),""))</f>
        <v>45946</v>
      </c>
      <c r="AA453" s="11" t="str">
        <f>IF($H453="Cancelled","",IFERROR(IF(W453="","",(AVERAGE(E453:F453)-W453)-Variables!$B$14),""))</f>
        <v/>
      </c>
      <c r="AB453" s="10">
        <v>45938</v>
      </c>
      <c r="AC453" s="11" t="str">
        <f>IF($H453="Cancelled","",IFERROR(IF(AB453="","",IF(AND(W453="",Y453=""),"",IF(Y453&gt;W453,Y453+Variables!$B$15+Variables!$B$16+Variables!$B$17-AB453,W453+Variables!$B$16+Variables!$B$17-AB453))),""))</f>
        <v/>
      </c>
      <c r="AD453" s="9" t="s">
        <v>163</v>
      </c>
      <c r="AE453" s="9" t="s">
        <v>164</v>
      </c>
      <c r="AF453" s="10"/>
      <c r="AG453" s="10"/>
      <c r="AH453" s="9"/>
      <c r="AI453" s="9">
        <v>260859258</v>
      </c>
      <c r="AJ453" s="9" t="s">
        <v>8</v>
      </c>
      <c r="AK453" s="10">
        <v>45955</v>
      </c>
      <c r="AL453" s="10">
        <v>45957</v>
      </c>
      <c r="AM453" s="10">
        <v>45957</v>
      </c>
      <c r="AN453" s="9" t="s">
        <v>95</v>
      </c>
      <c r="AO453" s="9"/>
      <c r="AP453" s="11">
        <f>IF($H453="Cancelled","",IFERROR(IF(OR(AK453="",AB453=""),"",(AB453+Variables!$B$18-AK453)),""))</f>
        <v>-10</v>
      </c>
      <c r="AQ453" s="11">
        <f>IF($H453="Cancelled","",IFERROR(IF(OR(AM453="",AK453=""),"",(AK453+Variables!$B$19)-AM453),""))</f>
        <v>3</v>
      </c>
      <c r="AR453" s="12">
        <f>IF($H453="Cancelled","",IFERROR(T453*INDEX(Variables!$B$7:$D$7,IFERROR(MATCH(IF($B453="Robusta","Robusta",(IF($B453="","Arabica",$B453))&amp;" - "&amp;(IF($C453="","Commercial",$C453))),Variables!$B$1:$D$1,0),1))*(AQ453/365),""))</f>
        <v>79.181152677208104</v>
      </c>
      <c r="AS453" s="12" t="str">
        <f>IF($H453="Cancelled","",IFERROR((T453*INDEX(Variables!$B$7:$D$7,IFERROR(MATCH(IF($B453="Robusta","Robusta",(IF($B453="","Arabica",$B453))&amp;" - "&amp;(IF($C453="","Commercial",$C453))),Variables!$B$1:$D$1,0),1))*IFERROR(IF(W453="","",(AVERAGE(E453:F453)-W453)-Variables!$B$14),"")/365)+(L453/16.67*INDEX(Variables!$B$8:$D$8,IFERROR(MATCH(IF($B453="Robusta","Robusta",(IF($B453="","Arabica",$B453))&amp;" - "&amp;(IF($C453="","Commercial",$C453))),Variables!$B$1:$D$1,0),1))*IFERROR(IF(W453="","",(AVERAGE(E453:F453)-W453)-Variables!$B$14),""))+(T453*INDEX(Variables!$B$9:$D$9,IFERROR(MATCH(IF($B453="Robusta","Robusta",(IF($B453="","Arabica",$B453))&amp;" - "&amp;(IF($C453="","Commercial",$C453))),Variables!$B$1:$D$1,0),1))*IFERROR(IF(W453="","",(AVERAGE(E453:F453)-W453)-Variables!$B$14),"")/365),""))</f>
        <v/>
      </c>
      <c r="AT453" s="12" t="str">
        <f>IF($H453="Cancelled","",IFERROR((T453*INDEX(Variables!$B$7:$D$7,IFERROR(MATCH(IF($B453="Robusta","Robusta",(IF($B453="","Arabica",$B453))&amp;" - "&amp;(IF($C453="","Commercial",$C453))),Variables!$B$1:$D$1,0),1))*AC453/365)+(L453/16.67*INDEX(Variables!$B$8:$D$8,IFERROR(MATCH(IF($B453="Robusta","Robusta",(IF($B453="","Arabica",$B453))&amp;" - "&amp;(IF($C453="","Commercial",$C453))),Variables!$B$1:$D$1,0),1))*AC453)+(T453*INDEX(Variables!$B$9:$D$9,IFERROR(MATCH(IF($B453="Robusta","Robusta",(IF($B453="","Arabica",$B453))&amp;" - "&amp;(IF($C453="","Commercial",$C453))),Variables!$B$1:$D$1,0),1))*AC453/365),""))</f>
        <v/>
      </c>
      <c r="AU453" s="12">
        <f>IF($H453="Cancelled","",IFERROR((T453*INDEX(Variables!$B$7:$D$7,IFERROR(MATCH(IF($B453="Robusta","Robusta",(IF($B453="","Arabica",$B453))&amp;" - "&amp;(IF($C453="","Commercial",$C453))),Variables!$B$1:$D$1,0),1))*AP453/365)+(L453/16.67*INDEX(Variables!$B$8:$D$8,IFERROR(MATCH(IF($B453="Robusta","Robusta",(IF($B453="","Arabica",$B453))&amp;" - "&amp;(IF($C453="","Commercial",$C453))),Variables!$B$1:$D$1,0),1))*AP453)+(T453*INDEX(Variables!$B$9:$D$9,IFERROR(MATCH(IF($B453="Robusta","Robusta",(IF($B453="","Arabica",$B453))&amp;" - "&amp;(IF($C453="","Commercial",$C453))),Variables!$B$1:$D$1,0),1))*AP453/365),""))</f>
        <v>-447.33983514741703</v>
      </c>
      <c r="AV453" s="11">
        <f t="shared" si="53"/>
        <v>6</v>
      </c>
      <c r="AW453" s="12">
        <f>IF($H453="Cancelled","",IFERROR(IF(AV453="","",(T453*INDEX(Variables!$B$7:$D$7,IFERROR(MATCH(IF($B453="Robusta","Robusta",(IF($B453="","Arabica",$B453))&amp;" - "&amp;(IF($C453="","Commercial",$C453))),Variables!$B$1:$D$1,0),1))*(AV453/365))+(T453*INDEX(Variables!$B$9:$D$9,IFERROR(MATCH(IF($B453="Robusta","Robusta",(IF($B453="","Arabica",$B453))&amp;" - "&amp;(IF($C453="","Commercial",$C453))),Variables!$B$1:$D$1,0),1))*(AV453/365))+(INDEX(Variables!$B$8:$D$8,IFERROR(MATCH(IF($B453="Robusta","Robusta",(IF($B453="","Arabica",$B453))&amp;" - "&amp;(IF($C453="","Commercial",$C453))),Variables!$B$1:$D$1,0),1))*L453/16.67)),""))</f>
        <v>178.4039010884502</v>
      </c>
      <c r="AX453" s="9"/>
      <c r="AY453" s="12"/>
      <c r="AZ453" s="10"/>
      <c r="BA453" s="9"/>
      <c r="BB453" s="10"/>
      <c r="BC453" s="9"/>
      <c r="BD453" s="9"/>
      <c r="BE453" s="9"/>
      <c r="BF453" s="9"/>
    </row>
    <row r="454" spans="1:58" x14ac:dyDescent="0.25">
      <c r="A454" s="9" t="s">
        <v>84</v>
      </c>
      <c r="B454" s="9" t="s">
        <v>85</v>
      </c>
      <c r="C454" s="9" t="s">
        <v>86</v>
      </c>
      <c r="D454" s="10">
        <v>45915</v>
      </c>
      <c r="E454" s="10">
        <v>45931</v>
      </c>
      <c r="F454" s="10">
        <v>45961</v>
      </c>
      <c r="G454" s="9">
        <v>3786966</v>
      </c>
      <c r="H454" s="9" t="str">
        <f t="shared" si="51"/>
        <v>Closed</v>
      </c>
      <c r="I454" s="9" t="str">
        <f t="shared" si="52"/>
        <v>All dates received</v>
      </c>
      <c r="J454" s="9" t="s">
        <v>102</v>
      </c>
      <c r="K454" s="9">
        <v>5339</v>
      </c>
      <c r="L454" s="11">
        <v>360</v>
      </c>
      <c r="M454" s="9" t="s">
        <v>1149</v>
      </c>
      <c r="N454" s="9" t="s">
        <v>126</v>
      </c>
      <c r="O454" s="9"/>
      <c r="P454" s="9"/>
      <c r="Q454" s="11">
        <v>35.5</v>
      </c>
      <c r="R454" s="9" t="s">
        <v>90</v>
      </c>
      <c r="S454" s="9" t="s">
        <v>1150</v>
      </c>
      <c r="T454" s="12">
        <f>IF($H454="Cancelled","",IFERROR(((Q454+INDEX(Variables!$B$6:$D$6,IFERROR(MATCH(IF($B454="Robusta","Robusta",(IF($B454="","Arabica",$B454))&amp;" - "&amp;(IF($C454="","Commercial",$C454))),Variables!$B$1:$D$1,0),1)))*22.0462)*(L454/16.67),""))</f>
        <v>155352.31083383321</v>
      </c>
      <c r="U454" s="10"/>
      <c r="V454" s="9" t="str">
        <f t="shared" si="49"/>
        <v/>
      </c>
      <c r="W454" s="10">
        <v>45916</v>
      </c>
      <c r="X454" s="9" t="str">
        <f t="shared" si="50"/>
        <v>Approved</v>
      </c>
      <c r="Y454" s="10">
        <v>45928</v>
      </c>
      <c r="Z454" s="10">
        <f>IF($H454="Cancelled","",IFERROR(IF(F454="","",F454-Variables!$B$13),""))</f>
        <v>45946</v>
      </c>
      <c r="AA454" s="11">
        <f>IF($H454="Cancelled","",IFERROR(IF(W454="","",(AVERAGE(E454:F454)-W454)-Variables!$B$14),""))</f>
        <v>0</v>
      </c>
      <c r="AB454" s="10">
        <v>45933</v>
      </c>
      <c r="AC454" s="11">
        <f>IF($H454="Cancelled","",IFERROR(IF(AB454="","",IF(AND(W454="",Y454=""),"",IF(Y454&gt;W454,Y454+Variables!$B$15+Variables!$B$16+Variables!$B$17-AB454,W454+Variables!$B$16+Variables!$B$17-AB454))),""))</f>
        <v>10</v>
      </c>
      <c r="AD454" s="9" t="s">
        <v>1151</v>
      </c>
      <c r="AE454" s="9" t="s">
        <v>219</v>
      </c>
      <c r="AF454" s="10"/>
      <c r="AG454" s="10"/>
      <c r="AH454" s="9"/>
      <c r="AI454" s="9">
        <v>259974808</v>
      </c>
      <c r="AJ454" s="9" t="s">
        <v>8</v>
      </c>
      <c r="AK454" s="10">
        <v>45940</v>
      </c>
      <c r="AL454" s="10">
        <v>45943</v>
      </c>
      <c r="AM454" s="10">
        <v>45943</v>
      </c>
      <c r="AN454" s="9" t="s">
        <v>95</v>
      </c>
      <c r="AO454" s="9"/>
      <c r="AP454" s="11">
        <f>IF($H454="Cancelled","",IFERROR(IF(OR(AK454="",AB454=""),"",(AB454+Variables!$B$18-AK454)),""))</f>
        <v>0</v>
      </c>
      <c r="AQ454" s="11">
        <f>IF($H454="Cancelled","",IFERROR(IF(OR(AM454="",AK454=""),"",(AK454+Variables!$B$19)-AM454),""))</f>
        <v>2</v>
      </c>
      <c r="AR454" s="12">
        <f>IF($H454="Cancelled","",IFERROR(T454*INDEX(Variables!$B$7:$D$7,IFERROR(MATCH(IF($B454="Robusta","Robusta",(IF($B454="","Arabica",$B454))&amp;" - "&amp;(IF($C454="","Commercial",$C454))),Variables!$B$1:$D$1,0),1))*(AQ454/365),""))</f>
        <v>54.890185083010415</v>
      </c>
      <c r="AS454" s="12">
        <f>IF($H454="Cancelled","",IFERROR((T454*INDEX(Variables!$B$7:$D$7,IFERROR(MATCH(IF($B454="Robusta","Robusta",(IF($B454="","Arabica",$B454))&amp;" - "&amp;(IF($C454="","Commercial",$C454))),Variables!$B$1:$D$1,0),1))*IFERROR(IF(W454="","",(AVERAGE(E454:F454)-W454)-Variables!$B$14),"")/365)+(L454/16.67*INDEX(Variables!$B$8:$D$8,IFERROR(MATCH(IF($B454="Robusta","Robusta",(IF($B454="","Arabica",$B454))&amp;" - "&amp;(IF($C454="","Commercial",$C454))),Variables!$B$1:$D$1,0),1))*IFERROR(IF(W454="","",(AVERAGE(E454:F454)-W454)-Variables!$B$14),""))+(T454*INDEX(Variables!$B$9:$D$9,IFERROR(MATCH(IF($B454="Robusta","Robusta",(IF($B454="","Arabica",$B454))&amp;" - "&amp;(IF($C454="","Commercial",$C454))),Variables!$B$1:$D$1,0),1))*IFERROR(IF(W454="","",(AVERAGE(E454:F454)-W454)-Variables!$B$14),"")/365),""))</f>
        <v>0</v>
      </c>
      <c r="AT454" s="12">
        <f>IF($H454="Cancelled","",IFERROR((T454*INDEX(Variables!$B$7:$D$7,IFERROR(MATCH(IF($B454="Robusta","Robusta",(IF($B454="","Arabica",$B454))&amp;" - "&amp;(IF($C454="","Commercial",$C454))),Variables!$B$1:$D$1,0),1))*AC454/365)+(L454/16.67*INDEX(Variables!$B$8:$D$8,IFERROR(MATCH(IF($B454="Robusta","Robusta",(IF($B454="","Arabica",$B454))&amp;" - "&amp;(IF($C454="","Commercial",$C454))),Variables!$B$1:$D$1,0),1))*AC454)+(T454*INDEX(Variables!$B$9:$D$9,IFERROR(MATCH(IF($B454="Robusta","Robusta",(IF($B454="","Arabica",$B454))&amp;" - "&amp;(IF($C454="","Commercial",$C454))),Variables!$B$1:$D$1,0),1))*AC454/365),""))</f>
        <v>457.98912749713884</v>
      </c>
      <c r="AU454" s="12">
        <f>IF($H454="Cancelled","",IFERROR((T454*INDEX(Variables!$B$7:$D$7,IFERROR(MATCH(IF($B454="Robusta","Robusta",(IF($B454="","Arabica",$B454))&amp;" - "&amp;(IF($C454="","Commercial",$C454))),Variables!$B$1:$D$1,0),1))*AP454/365)+(L454/16.67*INDEX(Variables!$B$8:$D$8,IFERROR(MATCH(IF($B454="Robusta","Robusta",(IF($B454="","Arabica",$B454))&amp;" - "&amp;(IF($C454="","Commercial",$C454))),Variables!$B$1:$D$1,0),1))*AP454)+(T454*INDEX(Variables!$B$9:$D$9,IFERROR(MATCH(IF($B454="Robusta","Robusta",(IF($B454="","Arabica",$B454))&amp;" - "&amp;(IF($C454="","Commercial",$C454))),Variables!$B$1:$D$1,0),1))*AP454/365),""))</f>
        <v>0</v>
      </c>
      <c r="AV454" s="11">
        <f t="shared" si="53"/>
        <v>21</v>
      </c>
      <c r="AW454" s="12">
        <f>IF($H454="Cancelled","",IFERROR(IF(AV454="","",(T454*INDEX(Variables!$B$7:$D$7,IFERROR(MATCH(IF($B454="Robusta","Robusta",(IF($B454="","Arabica",$B454))&amp;" - "&amp;(IF($C454="","Commercial",$C454))),Variables!$B$1:$D$1,0),1))*(AV454/365))+(T454*INDEX(Variables!$B$9:$D$9,IFERROR(MATCH(IF($B454="Robusta","Robusta",(IF($B454="","Arabica",$B454))&amp;" - "&amp;(IF($C454="","Commercial",$C454))),Variables!$B$1:$D$1,0),1))*(AV454/365))+(INDEX(Variables!$B$8:$D$8,IFERROR(MATCH(IF($B454="Robusta","Robusta",(IF($B454="","Arabica",$B454))&amp;" - "&amp;(IF($C454="","Commercial",$C454))),Variables!$B$1:$D$1,0),1))*L454/16.67)),""))</f>
        <v>601.77716774399141</v>
      </c>
      <c r="AX454" s="9"/>
      <c r="AY454" s="12"/>
      <c r="AZ454" s="10"/>
      <c r="BA454" s="9"/>
      <c r="BB454" s="10"/>
      <c r="BC454" s="9"/>
      <c r="BD454" s="9"/>
      <c r="BE454" s="9"/>
      <c r="BF454" s="9"/>
    </row>
    <row r="455" spans="1:58" x14ac:dyDescent="0.25">
      <c r="A455" s="9" t="s">
        <v>84</v>
      </c>
      <c r="B455" s="9" t="s">
        <v>85</v>
      </c>
      <c r="C455" s="9" t="s">
        <v>86</v>
      </c>
      <c r="D455" s="10">
        <v>45915</v>
      </c>
      <c r="E455" s="10">
        <v>45962</v>
      </c>
      <c r="F455" s="10">
        <v>45991</v>
      </c>
      <c r="G455" s="9">
        <v>3786965</v>
      </c>
      <c r="H455" s="9" t="str">
        <f t="shared" si="51"/>
        <v>Closed</v>
      </c>
      <c r="I455" s="9" t="str">
        <f t="shared" si="52"/>
        <v>All dates received</v>
      </c>
      <c r="J455" s="9" t="s">
        <v>102</v>
      </c>
      <c r="K455" s="9">
        <v>5345</v>
      </c>
      <c r="L455" s="11">
        <v>1800</v>
      </c>
      <c r="M455" s="9" t="s">
        <v>991</v>
      </c>
      <c r="N455" s="9" t="s">
        <v>121</v>
      </c>
      <c r="O455" s="9"/>
      <c r="P455" s="9"/>
      <c r="Q455" s="11">
        <v>23</v>
      </c>
      <c r="R455" s="9" t="s">
        <v>90</v>
      </c>
      <c r="S455" s="9" t="s">
        <v>656</v>
      </c>
      <c r="T455" s="12">
        <f>IF($H455="Cancelled","",IFERROR(((Q455+INDEX(Variables!$B$6:$D$6,IFERROR(MATCH(IF($B455="Robusta","Robusta",(IF($B455="","Arabica",$B455))&amp;" - "&amp;(IF($C455="","Commercial",$C455))),Variables!$B$1:$D$1,0),1)))*22.0462)*(L455/16.67),""))</f>
        <v>747005.1354529094</v>
      </c>
      <c r="U455" s="10">
        <v>45926</v>
      </c>
      <c r="V455" s="9" t="str">
        <f t="shared" si="49"/>
        <v>Sent</v>
      </c>
      <c r="W455" s="10">
        <v>45953</v>
      </c>
      <c r="X455" s="9" t="str">
        <f t="shared" si="50"/>
        <v>Approved</v>
      </c>
      <c r="Y455" s="10"/>
      <c r="Z455" s="10">
        <f>IF($H455="Cancelled","",IFERROR(IF(F455="","",F455-Variables!$B$13),""))</f>
        <v>45976</v>
      </c>
      <c r="AA455" s="11">
        <f>IF($H455="Cancelled","",IFERROR(IF(W455="","",(AVERAGE(E455:F455)-W455)-Variables!$B$14),""))</f>
        <v>-6.5</v>
      </c>
      <c r="AB455" s="10">
        <v>45959</v>
      </c>
      <c r="AC455" s="11">
        <f>IF($H455="Cancelled","",IFERROR(IF(AB455="","",IF(AND(W455="",Y455=""),"",IF(Y455&gt;W455,Y455+Variables!$B$15+Variables!$B$16+Variables!$B$17-AB455,W455+Variables!$B$16+Variables!$B$17-AB455))),""))</f>
        <v>2</v>
      </c>
      <c r="AD455" s="9" t="s">
        <v>163</v>
      </c>
      <c r="AE455" s="9" t="s">
        <v>219</v>
      </c>
      <c r="AF455" s="10"/>
      <c r="AG455" s="10"/>
      <c r="AH455" s="9"/>
      <c r="AI455" s="9">
        <v>260812660</v>
      </c>
      <c r="AJ455" s="9" t="s">
        <v>8</v>
      </c>
      <c r="AK455" s="10">
        <v>45969</v>
      </c>
      <c r="AL455" s="10">
        <v>45972</v>
      </c>
      <c r="AM455" s="10">
        <v>45972</v>
      </c>
      <c r="AN455" s="9" t="s">
        <v>95</v>
      </c>
      <c r="AO455" s="9"/>
      <c r="AP455" s="11">
        <f>IF($H455="Cancelled","",IFERROR(IF(OR(AK455="",AB455=""),"",(AB455+Variables!$B$18-AK455)),""))</f>
        <v>-3</v>
      </c>
      <c r="AQ455" s="11">
        <f>IF($H455="Cancelled","",IFERROR(IF(OR(AM455="",AK455=""),"",(AK455+Variables!$B$19)-AM455),""))</f>
        <v>2</v>
      </c>
      <c r="AR455" s="12">
        <f>IF($H455="Cancelled","",IFERROR(T455*INDEX(Variables!$B$7:$D$7,IFERROR(MATCH(IF($B455="Robusta","Robusta",(IF($B455="","Arabica",$B455))&amp;" - "&amp;(IF($C455="","Commercial",$C455))),Variables!$B$1:$D$1,0),1))*(AQ455/365),""))</f>
        <v>263.9371755906937</v>
      </c>
      <c r="AS455" s="12">
        <f>IF($H455="Cancelled","",IFERROR((T455*INDEX(Variables!$B$7:$D$7,IFERROR(MATCH(IF($B455="Robusta","Robusta",(IF($B455="","Arabica",$B455))&amp;" - "&amp;(IF($C455="","Commercial",$C455))),Variables!$B$1:$D$1,0),1))*IFERROR(IF(W455="","",(AVERAGE(E455:F455)-W455)-Variables!$B$14),"")/365)+(L455/16.67*INDEX(Variables!$B$8:$D$8,IFERROR(MATCH(IF($B455="Robusta","Robusta",(IF($B455="","Arabica",$B455))&amp;" - "&amp;(IF($C455="","Commercial",$C455))),Variables!$B$1:$D$1,0),1))*IFERROR(IF(W455="","",(AVERAGE(E455:F455)-W455)-Variables!$B$14),""))+(T455*INDEX(Variables!$B$9:$D$9,IFERROR(MATCH(IF($B455="Robusta","Robusta",(IF($B455="","Arabica",$B455))&amp;" - "&amp;(IF($C455="","Commercial",$C455))),Variables!$B$1:$D$1,0),1))*IFERROR(IF(W455="","",(AVERAGE(E455:F455)-W455)-Variables!$B$14),"")/365),""))</f>
        <v>-1453.8544642291051</v>
      </c>
      <c r="AT455" s="12">
        <f>IF($H455="Cancelled","",IFERROR((T455*INDEX(Variables!$B$7:$D$7,IFERROR(MATCH(IF($B455="Robusta","Robusta",(IF($B455="","Arabica",$B455))&amp;" - "&amp;(IF($C455="","Commercial",$C455))),Variables!$B$1:$D$1,0),1))*AC455/365)+(L455/16.67*INDEX(Variables!$B$8:$D$8,IFERROR(MATCH(IF($B455="Robusta","Robusta",(IF($B455="","Arabica",$B455))&amp;" - "&amp;(IF($C455="","Commercial",$C455))),Variables!$B$1:$D$1,0),1))*AC455)+(T455*INDEX(Variables!$B$9:$D$9,IFERROR(MATCH(IF($B455="Robusta","Robusta",(IF($B455="","Arabica",$B455))&amp;" - "&amp;(IF($C455="","Commercial",$C455))),Variables!$B$1:$D$1,0),1))*AC455/365),""))</f>
        <v>447.33983514741703</v>
      </c>
      <c r="AU455" s="12">
        <f>IF($H455="Cancelled","",IFERROR((T455*INDEX(Variables!$B$7:$D$7,IFERROR(MATCH(IF($B455="Robusta","Robusta",(IF($B455="","Arabica",$B455))&amp;" - "&amp;(IF($C455="","Commercial",$C455))),Variables!$B$1:$D$1,0),1))*AP455/365)+(L455/16.67*INDEX(Variables!$B$8:$D$8,IFERROR(MATCH(IF($B455="Robusta","Robusta",(IF($B455="","Arabica",$B455))&amp;" - "&amp;(IF($C455="","Commercial",$C455))),Variables!$B$1:$D$1,0),1))*AP455)+(T455*INDEX(Variables!$B$9:$D$9,IFERROR(MATCH(IF($B455="Robusta","Robusta",(IF($B455="","Arabica",$B455))&amp;" - "&amp;(IF($C455="","Commercial",$C455))),Variables!$B$1:$D$1,0),1))*AP455/365),""))</f>
        <v>-671.00975272112544</v>
      </c>
      <c r="AV455" s="11">
        <f t="shared" si="53"/>
        <v>22</v>
      </c>
      <c r="AW455" s="12">
        <f>IF($H455="Cancelled","",IFERROR(IF(AV455="","",(T455*INDEX(Variables!$B$7:$D$7,IFERROR(MATCH(IF($B455="Robusta","Robusta",(IF($B455="","Arabica",$B455))&amp;" - "&amp;(IF($C455="","Commercial",$C455))),Variables!$B$1:$D$1,0),1))*(AV455/365))+(T455*INDEX(Variables!$B$9:$D$9,IFERROR(MATCH(IF($B455="Robusta","Robusta",(IF($B455="","Arabica",$B455))&amp;" - "&amp;(IF($C455="","Commercial",$C455))),Variables!$B$1:$D$1,0),1))*(AV455/365))+(INDEX(Variables!$B$8:$D$8,IFERROR(MATCH(IF($B455="Robusta","Robusta",(IF($B455="","Arabica",$B455))&amp;" - "&amp;(IF($C455="","Commercial",$C455))),Variables!$B$1:$D$1,0),1))*L455/16.67)),""))</f>
        <v>3030.7381866215869</v>
      </c>
      <c r="AX455" s="9"/>
      <c r="AY455" s="12"/>
      <c r="AZ455" s="10"/>
      <c r="BA455" s="9"/>
      <c r="BB455" s="10"/>
      <c r="BC455" s="9"/>
      <c r="BD455" s="9"/>
      <c r="BE455" s="9"/>
      <c r="BF455" s="9"/>
    </row>
    <row r="456" spans="1:58" x14ac:dyDescent="0.25">
      <c r="A456" s="9" t="s">
        <v>84</v>
      </c>
      <c r="B456" s="9" t="s">
        <v>85</v>
      </c>
      <c r="C456" s="9" t="s">
        <v>86</v>
      </c>
      <c r="D456" s="10">
        <v>45915</v>
      </c>
      <c r="E456" s="10">
        <v>45962</v>
      </c>
      <c r="F456" s="10">
        <v>45991</v>
      </c>
      <c r="G456" s="9">
        <v>3786967</v>
      </c>
      <c r="H456" s="9" t="str">
        <f t="shared" si="51"/>
        <v>Closed</v>
      </c>
      <c r="I456" s="9" t="str">
        <f t="shared" si="52"/>
        <v>All dates received</v>
      </c>
      <c r="J456" s="9" t="s">
        <v>102</v>
      </c>
      <c r="K456" s="9">
        <v>5344</v>
      </c>
      <c r="L456" s="11">
        <v>360</v>
      </c>
      <c r="M456" s="9" t="s">
        <v>1149</v>
      </c>
      <c r="N456" s="9" t="s">
        <v>126</v>
      </c>
      <c r="O456" s="9"/>
      <c r="P456" s="9"/>
      <c r="Q456" s="11">
        <v>35.5</v>
      </c>
      <c r="R456" s="9" t="s">
        <v>90</v>
      </c>
      <c r="S456" s="9" t="s">
        <v>656</v>
      </c>
      <c r="T456" s="12">
        <f>IF($H456="Cancelled","",IFERROR(((Q456+INDEX(Variables!$B$6:$D$6,IFERROR(MATCH(IF($B456="Robusta","Robusta",(IF($B456="","Arabica",$B456))&amp;" - "&amp;(IF($C456="","Commercial",$C456))),Variables!$B$1:$D$1,0),1)))*22.0462)*(L456/16.67),""))</f>
        <v>155352.31083383321</v>
      </c>
      <c r="U456" s="10">
        <v>45926</v>
      </c>
      <c r="V456" s="9" t="str">
        <f t="shared" si="49"/>
        <v>Sent</v>
      </c>
      <c r="W456" s="10">
        <v>45940</v>
      </c>
      <c r="X456" s="9" t="str">
        <f t="shared" si="50"/>
        <v>Approved</v>
      </c>
      <c r="Y456" s="10"/>
      <c r="Z456" s="10">
        <f>IF($H456="Cancelled","",IFERROR(IF(F456="","",F456-Variables!$B$13),""))</f>
        <v>45976</v>
      </c>
      <c r="AA456" s="11">
        <f>IF($H456="Cancelled","",IFERROR(IF(W456="","",(AVERAGE(E456:F456)-W456)-Variables!$B$14),""))</f>
        <v>6.5</v>
      </c>
      <c r="AB456" s="10">
        <v>45957</v>
      </c>
      <c r="AC456" s="11">
        <f>IF($H456="Cancelled","",IFERROR(IF(AB456="","",IF(AND(W456="",Y456=""),"",IF(Y456&gt;W456,Y456+Variables!$B$15+Variables!$B$16+Variables!$B$17-AB456,W456+Variables!$B$16+Variables!$B$17-AB456))),""))</f>
        <v>-9</v>
      </c>
      <c r="AD456" s="9" t="s">
        <v>163</v>
      </c>
      <c r="AE456" s="9" t="s">
        <v>219</v>
      </c>
      <c r="AF456" s="10"/>
      <c r="AG456" s="10"/>
      <c r="AH456" s="9"/>
      <c r="AI456" s="9">
        <v>260945962</v>
      </c>
      <c r="AJ456" s="9" t="s">
        <v>8</v>
      </c>
      <c r="AK456" s="10">
        <v>45969</v>
      </c>
      <c r="AL456" s="10">
        <v>45972</v>
      </c>
      <c r="AM456" s="10">
        <v>45972</v>
      </c>
      <c r="AN456" s="9" t="s">
        <v>95</v>
      </c>
      <c r="AO456" s="9"/>
      <c r="AP456" s="11">
        <f>IF($H456="Cancelled","",IFERROR(IF(OR(AK456="",AB456=""),"",(AB456+Variables!$B$18-AK456)),""))</f>
        <v>-5</v>
      </c>
      <c r="AQ456" s="11">
        <f>IF($H456="Cancelled","",IFERROR(IF(OR(AM456="",AK456=""),"",(AK456+Variables!$B$19)-AM456),""))</f>
        <v>2</v>
      </c>
      <c r="AR456" s="12">
        <f>IF($H456="Cancelled","",IFERROR(T456*INDEX(Variables!$B$7:$D$7,IFERROR(MATCH(IF($B456="Robusta","Robusta",(IF($B456="","Arabica",$B456))&amp;" - "&amp;(IF($C456="","Commercial",$C456))),Variables!$B$1:$D$1,0),1))*(AQ456/365),""))</f>
        <v>54.890185083010415</v>
      </c>
      <c r="AS456" s="12">
        <f>IF($H456="Cancelled","",IFERROR((T456*INDEX(Variables!$B$7:$D$7,IFERROR(MATCH(IF($B456="Robusta","Robusta",(IF($B456="","Arabica",$B456))&amp;" - "&amp;(IF($C456="","Commercial",$C456))),Variables!$B$1:$D$1,0),1))*IFERROR(IF(W456="","",(AVERAGE(E456:F456)-W456)-Variables!$B$14),"")/365)+(L456/16.67*INDEX(Variables!$B$8:$D$8,IFERROR(MATCH(IF($B456="Robusta","Robusta",(IF($B456="","Arabica",$B456))&amp;" - "&amp;(IF($C456="","Commercial",$C456))),Variables!$B$1:$D$1,0),1))*IFERROR(IF(W456="","",(AVERAGE(E456:F456)-W456)-Variables!$B$14),""))+(T456*INDEX(Variables!$B$9:$D$9,IFERROR(MATCH(IF($B456="Robusta","Robusta",(IF($B456="","Arabica",$B456))&amp;" - "&amp;(IF($C456="","Commercial",$C456))),Variables!$B$1:$D$1,0),1))*IFERROR(IF(W456="","",(AVERAGE(E456:F456)-W456)-Variables!$B$14),"")/365),""))</f>
        <v>297.69293287314019</v>
      </c>
      <c r="AT456" s="12">
        <f>IF($H456="Cancelled","",IFERROR((T456*INDEX(Variables!$B$7:$D$7,IFERROR(MATCH(IF($B456="Robusta","Robusta",(IF($B456="","Arabica",$B456))&amp;" - "&amp;(IF($C456="","Commercial",$C456))),Variables!$B$1:$D$1,0),1))*AC456/365)+(L456/16.67*INDEX(Variables!$B$8:$D$8,IFERROR(MATCH(IF($B456="Robusta","Robusta",(IF($B456="","Arabica",$B456))&amp;" - "&amp;(IF($C456="","Commercial",$C456))),Variables!$B$1:$D$1,0),1))*AC456)+(T456*INDEX(Variables!$B$9:$D$9,IFERROR(MATCH(IF($B456="Robusta","Robusta",(IF($B456="","Arabica",$B456))&amp;" - "&amp;(IF($C456="","Commercial",$C456))),Variables!$B$1:$D$1,0),1))*AC456/365),""))</f>
        <v>-412.19021474742493</v>
      </c>
      <c r="AU456" s="12">
        <f>IF($H456="Cancelled","",IFERROR((T456*INDEX(Variables!$B$7:$D$7,IFERROR(MATCH(IF($B456="Robusta","Robusta",(IF($B456="","Arabica",$B456))&amp;" - "&amp;(IF($C456="","Commercial",$C456))),Variables!$B$1:$D$1,0),1))*AP456/365)+(L456/16.67*INDEX(Variables!$B$8:$D$8,IFERROR(MATCH(IF($B456="Robusta","Robusta",(IF($B456="","Arabica",$B456))&amp;" - "&amp;(IF($C456="","Commercial",$C456))),Variables!$B$1:$D$1,0),1))*AP456)+(T456*INDEX(Variables!$B$9:$D$9,IFERROR(MATCH(IF($B456="Robusta","Robusta",(IF($B456="","Arabica",$B456))&amp;" - "&amp;(IF($C456="","Commercial",$C456))),Variables!$B$1:$D$1,0),1))*AP456/365),""))</f>
        <v>-228.99456374856942</v>
      </c>
      <c r="AV456" s="11">
        <f t="shared" si="53"/>
        <v>22</v>
      </c>
      <c r="AW456" s="12">
        <f>IF($H456="Cancelled","",IFERROR(IF(AV456="","",(T456*INDEX(Variables!$B$7:$D$7,IFERROR(MATCH(IF($B456="Robusta","Robusta",(IF($B456="","Arabica",$B456))&amp;" - "&amp;(IF($C456="","Commercial",$C456))),Variables!$B$1:$D$1,0),1))*(AV456/365))+(T456*INDEX(Variables!$B$9:$D$9,IFERROR(MATCH(IF($B456="Robusta","Robusta",(IF($B456="","Arabica",$B456))&amp;" - "&amp;(IF($C456="","Commercial",$C456))),Variables!$B$1:$D$1,0),1))*(AV456/365))+(INDEX(Variables!$B$8:$D$8,IFERROR(MATCH(IF($B456="Robusta","Robusta",(IF($B456="","Arabica",$B456))&amp;" - "&amp;(IF($C456="","Commercial",$C456))),Variables!$B$1:$D$1,0),1))*L456/16.67)),""))</f>
        <v>629.57608049370538</v>
      </c>
      <c r="AX456" s="9"/>
      <c r="AY456" s="12"/>
      <c r="AZ456" s="10"/>
      <c r="BA456" s="9"/>
      <c r="BB456" s="10"/>
      <c r="BC456" s="9"/>
      <c r="BD456" s="9"/>
      <c r="BE456" s="9"/>
      <c r="BF456" s="9"/>
    </row>
    <row r="457" spans="1:58" x14ac:dyDescent="0.25">
      <c r="A457" s="9" t="s">
        <v>84</v>
      </c>
      <c r="B457" s="9" t="s">
        <v>85</v>
      </c>
      <c r="C457" s="9" t="s">
        <v>86</v>
      </c>
      <c r="D457" s="10">
        <v>45916</v>
      </c>
      <c r="E457" s="10">
        <v>45962</v>
      </c>
      <c r="F457" s="10">
        <v>46022</v>
      </c>
      <c r="G457" s="9">
        <v>3786968</v>
      </c>
      <c r="H457" s="9" t="str">
        <f t="shared" si="51"/>
        <v>Closed</v>
      </c>
      <c r="I457" s="9" t="str">
        <f t="shared" si="52"/>
        <v>All dates received</v>
      </c>
      <c r="J457" s="9" t="s">
        <v>308</v>
      </c>
      <c r="K457" s="9">
        <v>5346</v>
      </c>
      <c r="L457" s="11">
        <v>2520</v>
      </c>
      <c r="M457" s="9" t="s">
        <v>1152</v>
      </c>
      <c r="N457" s="9" t="s">
        <v>122</v>
      </c>
      <c r="O457" s="9"/>
      <c r="P457" s="9"/>
      <c r="Q457" s="11">
        <v>10</v>
      </c>
      <c r="R457" s="9" t="s">
        <v>90</v>
      </c>
      <c r="S457" s="9" t="s">
        <v>106</v>
      </c>
      <c r="T457" s="12">
        <f>IF($H457="Cancelled","",IFERROR(((Q457+INDEX(Variables!$B$6:$D$6,IFERROR(MATCH(IF($B457="Robusta","Robusta",(IF($B457="","Arabica",$B457))&amp;" - "&amp;(IF($C457="","Commercial",$C457))),Variables!$B$1:$D$1,0),1)))*22.0462)*(L457/16.67),""))</f>
        <v>1002481.8439832031</v>
      </c>
      <c r="U457" s="10">
        <v>45939</v>
      </c>
      <c r="V457" s="9" t="str">
        <f t="shared" si="49"/>
        <v>Sent</v>
      </c>
      <c r="W457" s="10">
        <v>45946</v>
      </c>
      <c r="X457" s="9" t="str">
        <f t="shared" si="50"/>
        <v>Approved</v>
      </c>
      <c r="Y457" s="10"/>
      <c r="Z457" s="10">
        <f>IF($H457="Cancelled","",IFERROR(IF(F457="","",F457-Variables!$B$13),""))</f>
        <v>46007</v>
      </c>
      <c r="AA457" s="11">
        <f>IF($H457="Cancelled","",IFERROR(IF(W457="","",(AVERAGE(E457:F457)-W457)-Variables!$B$14),""))</f>
        <v>16</v>
      </c>
      <c r="AB457" s="10">
        <v>45968</v>
      </c>
      <c r="AC457" s="11">
        <f>IF($H457="Cancelled","",IFERROR(IF(AB457="","",IF(AND(W457="",Y457=""),"",IF(Y457&gt;W457,Y457+Variables!$B$15+Variables!$B$16+Variables!$B$17-AB457,W457+Variables!$B$16+Variables!$B$17-AB457))),""))</f>
        <v>-14</v>
      </c>
      <c r="AD457" s="9" t="s">
        <v>165</v>
      </c>
      <c r="AE457" s="9" t="s">
        <v>818</v>
      </c>
      <c r="AF457" s="10"/>
      <c r="AG457" s="10"/>
      <c r="AH457" s="9"/>
      <c r="AI457" s="9" t="s">
        <v>1153</v>
      </c>
      <c r="AJ457" s="9" t="s">
        <v>8</v>
      </c>
      <c r="AK457" s="10">
        <v>45993</v>
      </c>
      <c r="AL457" s="10">
        <v>45995</v>
      </c>
      <c r="AM457" s="10">
        <v>45996</v>
      </c>
      <c r="AN457" s="9" t="s">
        <v>95</v>
      </c>
      <c r="AO457" s="9"/>
      <c r="AP457" s="11">
        <f>IF($H457="Cancelled","",IFERROR(IF(OR(AK457="",AB457=""),"",(AB457+Variables!$B$18-AK457)),""))</f>
        <v>-18</v>
      </c>
      <c r="AQ457" s="11">
        <f>IF($H457="Cancelled","",IFERROR(IF(OR(AM457="",AK457=""),"",(AK457+Variables!$B$19)-AM457),""))</f>
        <v>2</v>
      </c>
      <c r="AR457" s="12">
        <f>IF($H457="Cancelled","",IFERROR(T457*INDEX(Variables!$B$7:$D$7,IFERROR(MATCH(IF($B457="Robusta","Robusta",(IF($B457="","Arabica",$B457))&amp;" - "&amp;(IF($C457="","Commercial",$C457))),Variables!$B$1:$D$1,0),1))*(AQ457/365),""))</f>
        <v>354.20402608270518</v>
      </c>
      <c r="AS457" s="12">
        <f>IF($H457="Cancelled","",IFERROR((T457*INDEX(Variables!$B$7:$D$7,IFERROR(MATCH(IF($B457="Robusta","Robusta",(IF($B457="","Arabica",$B457))&amp;" - "&amp;(IF($C457="","Commercial",$C457))),Variables!$B$1:$D$1,0),1))*IFERROR(IF(W457="","",(AVERAGE(E457:F457)-W457)-Variables!$B$14),"")/365)+(L457/16.67*INDEX(Variables!$B$8:$D$8,IFERROR(MATCH(IF($B457="Robusta","Robusta",(IF($B457="","Arabica",$B457))&amp;" - "&amp;(IF($C457="","Commercial",$C457))),Variables!$B$1:$D$1,0),1))*IFERROR(IF(W457="","",(AVERAGE(E457:F457)-W457)-Variables!$B$14),""))+(T457*INDEX(Variables!$B$9:$D$9,IFERROR(MATCH(IF($B457="Robusta","Robusta",(IF($B457="","Arabica",$B457))&amp;" - "&amp;(IF($C457="","Commercial",$C457))),Variables!$B$1:$D$1,0),1))*IFERROR(IF(W457="","",(AVERAGE(E457:F457)-W457)-Variables!$B$14),"")/365),""))</f>
        <v>4886.16319636151</v>
      </c>
      <c r="AT457" s="12">
        <f>IF($H457="Cancelled","",IFERROR((T457*INDEX(Variables!$B$7:$D$7,IFERROR(MATCH(IF($B457="Robusta","Robusta",(IF($B457="","Arabica",$B457))&amp;" - "&amp;(IF($C457="","Commercial",$C457))),Variables!$B$1:$D$1,0),1))*AC457/365)+(L457/16.67*INDEX(Variables!$B$8:$D$8,IFERROR(MATCH(IF($B457="Robusta","Robusta",(IF($B457="","Arabica",$B457))&amp;" - "&amp;(IF($C457="","Commercial",$C457))),Variables!$B$1:$D$1,0),1))*AC457)+(T457*INDEX(Variables!$B$9:$D$9,IFERROR(MATCH(IF($B457="Robusta","Robusta",(IF($B457="","Arabica",$B457))&amp;" - "&amp;(IF($C457="","Commercial",$C457))),Variables!$B$1:$D$1,0),1))*AC457/365),""))</f>
        <v>-4275.3927968163207</v>
      </c>
      <c r="AU457" s="12">
        <f>IF($H457="Cancelled","",IFERROR((T457*INDEX(Variables!$B$7:$D$7,IFERROR(MATCH(IF($B457="Robusta","Robusta",(IF($B457="","Arabica",$B457))&amp;" - "&amp;(IF($C457="","Commercial",$C457))),Variables!$B$1:$D$1,0),1))*AP457/365)+(L457/16.67*INDEX(Variables!$B$8:$D$8,IFERROR(MATCH(IF($B457="Robusta","Robusta",(IF($B457="","Arabica",$B457))&amp;" - "&amp;(IF($C457="","Commercial",$C457))),Variables!$B$1:$D$1,0),1))*AP457)+(T457*INDEX(Variables!$B$9:$D$9,IFERROR(MATCH(IF($B457="Robusta","Robusta",(IF($B457="","Arabica",$B457))&amp;" - "&amp;(IF($C457="","Commercial",$C457))),Variables!$B$1:$D$1,0),1))*AP457/365),""))</f>
        <v>-5496.9335959066984</v>
      </c>
      <c r="AV457" s="11">
        <f t="shared" si="53"/>
        <v>29</v>
      </c>
      <c r="AW457" s="12">
        <f>IF($H457="Cancelled","",IFERROR(IF(AV457="","",(T457*INDEX(Variables!$B$7:$D$7,IFERROR(MATCH(IF($B457="Robusta","Robusta",(IF($B457="","Arabica",$B457))&amp;" - "&amp;(IF($C457="","Commercial",$C457))),Variables!$B$1:$D$1,0),1))*(AV457/365))+(T457*INDEX(Variables!$B$9:$D$9,IFERROR(MATCH(IF($B457="Robusta","Robusta",(IF($B457="","Arabica",$B457))&amp;" - "&amp;(IF($C457="","Commercial",$C457))),Variables!$B$1:$D$1,0),1))*(AV457/365))+(INDEX(Variables!$B$8:$D$8,IFERROR(MATCH(IF($B457="Robusta","Robusta",(IF($B457="","Arabica",$B457))&amp;" - "&amp;(IF($C457="","Commercial",$C457))),Variables!$B$1:$D$1,0),1))*L457/16.67)),""))</f>
        <v>5328.1707934052365</v>
      </c>
      <c r="AX457" s="9"/>
      <c r="AY457" s="12"/>
      <c r="AZ457" s="10"/>
      <c r="BA457" s="9"/>
      <c r="BB457" s="10"/>
      <c r="BC457" s="9"/>
      <c r="BD457" s="9"/>
      <c r="BE457" s="9"/>
      <c r="BF457" s="9"/>
    </row>
    <row r="458" spans="1:58" x14ac:dyDescent="0.25">
      <c r="A458" s="9" t="s">
        <v>84</v>
      </c>
      <c r="B458" s="9" t="s">
        <v>85</v>
      </c>
      <c r="C458" s="9" t="s">
        <v>86</v>
      </c>
      <c r="D458" s="10">
        <v>45918</v>
      </c>
      <c r="E458" s="10">
        <v>45931</v>
      </c>
      <c r="F458" s="10">
        <v>45961</v>
      </c>
      <c r="G458" s="9">
        <v>3786969</v>
      </c>
      <c r="H458" s="9" t="str">
        <f t="shared" si="51"/>
        <v>Closed</v>
      </c>
      <c r="I458" s="9" t="str">
        <f t="shared" si="52"/>
        <v>All dates received</v>
      </c>
      <c r="J458" s="9" t="s">
        <v>264</v>
      </c>
      <c r="K458" s="9">
        <v>5342</v>
      </c>
      <c r="L458" s="11">
        <v>1280</v>
      </c>
      <c r="M458" s="9" t="s">
        <v>1154</v>
      </c>
      <c r="N458" s="9" t="s">
        <v>122</v>
      </c>
      <c r="O458" s="9"/>
      <c r="P458" s="9"/>
      <c r="Q458" s="11">
        <v>-6</v>
      </c>
      <c r="R458" s="9" t="s">
        <v>202</v>
      </c>
      <c r="S458" s="9" t="s">
        <v>150</v>
      </c>
      <c r="T458" s="12">
        <f>IF($H458="Cancelled","",IFERROR(((Q458+INDEX(Variables!$B$6:$D$6,IFERROR(MATCH(IF($B458="Robusta","Robusta",(IF($B458="","Arabica",$B458))&amp;" - "&amp;(IF($C458="","Commercial",$C458))),Variables!$B$1:$D$1,0),1)))*22.0462)*(L458/16.67),""))</f>
        <v>482112.17353329324</v>
      </c>
      <c r="U458" s="10">
        <v>45922</v>
      </c>
      <c r="V458" s="9" t="str">
        <f t="shared" ref="V458:V489" si="54">IF(ISNUMBER(U458),"Sent","")</f>
        <v>Sent</v>
      </c>
      <c r="W458" s="10">
        <v>45929</v>
      </c>
      <c r="X458" s="9" t="str">
        <f t="shared" si="50"/>
        <v>Approved</v>
      </c>
      <c r="Y458" s="10"/>
      <c r="Z458" s="10">
        <f>IF($H458="Cancelled","",IFERROR(IF(F458="","",F458-Variables!$B$13),""))</f>
        <v>45946</v>
      </c>
      <c r="AA458" s="11">
        <f>IF($H458="Cancelled","",IFERROR(IF(W458="","",(AVERAGE(E458:F458)-W458)-Variables!$B$14),""))</f>
        <v>-13</v>
      </c>
      <c r="AB458" s="10">
        <v>45967</v>
      </c>
      <c r="AC458" s="11">
        <f>IF($H458="Cancelled","",IFERROR(IF(AB458="","",IF(AND(W458="",Y458=""),"",IF(Y458&gt;W458,Y458+Variables!$B$15+Variables!$B$16+Variables!$B$17-AB458,W458+Variables!$B$16+Variables!$B$17-AB458))),""))</f>
        <v>-30</v>
      </c>
      <c r="AD458" s="9" t="s">
        <v>151</v>
      </c>
      <c r="AE458" s="9" t="s">
        <v>908</v>
      </c>
      <c r="AF458" s="10">
        <v>45979</v>
      </c>
      <c r="AG458" s="10"/>
      <c r="AH458" s="9"/>
      <c r="AI458" s="9" t="s">
        <v>1155</v>
      </c>
      <c r="AJ458" s="9" t="s">
        <v>8</v>
      </c>
      <c r="AK458" s="10">
        <v>45989</v>
      </c>
      <c r="AL458" s="10">
        <v>45992</v>
      </c>
      <c r="AM458" s="10">
        <v>45992</v>
      </c>
      <c r="AN458" s="9" t="s">
        <v>95</v>
      </c>
      <c r="AO458" s="9"/>
      <c r="AP458" s="11">
        <f>IF($H458="Cancelled","",IFERROR(IF(OR(AK458="",AB458=""),"",(AB458+Variables!$B$18-AK458)),""))</f>
        <v>-15</v>
      </c>
      <c r="AQ458" s="11">
        <f>IF($H458="Cancelled","",IFERROR(IF(OR(AM458="",AK458=""),"",(AK458+Variables!$B$19)-AM458),""))</f>
        <v>2</v>
      </c>
      <c r="AR458" s="12">
        <f>IF($H458="Cancelled","",IFERROR(T458*INDEX(Variables!$B$7:$D$7,IFERROR(MATCH(IF($B458="Robusta","Robusta",(IF($B458="","Arabica",$B458))&amp;" - "&amp;(IF($C458="","Commercial",$C458))),Variables!$B$1:$D$1,0),1))*(AQ458/365),""))</f>
        <v>170.34330737648506</v>
      </c>
      <c r="AS458" s="12">
        <f>IF($H458="Cancelled","",IFERROR((T458*INDEX(Variables!$B$7:$D$7,IFERROR(MATCH(IF($B458="Robusta","Robusta",(IF($B458="","Arabica",$B458))&amp;" - "&amp;(IF($C458="","Commercial",$C458))),Variables!$B$1:$D$1,0),1))*IFERROR(IF(W458="","",(AVERAGE(E458:F458)-W458)-Variables!$B$14),"")/365)+(L458/16.67*INDEX(Variables!$B$8:$D$8,IFERROR(MATCH(IF($B458="Robusta","Robusta",(IF($B458="","Arabica",$B458))&amp;" - "&amp;(IF($C458="","Commercial",$C458))),Variables!$B$1:$D$1,0),1))*IFERROR(IF(W458="","",(AVERAGE(E458:F458)-W458)-Variables!$B$14),""))+(T458*INDEX(Variables!$B$9:$D$9,IFERROR(MATCH(IF($B458="Robusta","Robusta",(IF($B458="","Arabica",$B458))&amp;" - "&amp;(IF($C458="","Commercial",$C458))),Variables!$B$1:$D$1,0),1))*IFERROR(IF(W458="","",(AVERAGE(E458:F458)-W458)-Variables!$B$14),"")/365),""))</f>
        <v>-1953.505848764021</v>
      </c>
      <c r="AT458" s="12">
        <f>IF($H458="Cancelled","",IFERROR((T458*INDEX(Variables!$B$7:$D$7,IFERROR(MATCH(IF($B458="Robusta","Robusta",(IF($B458="","Arabica",$B458))&amp;" - "&amp;(IF($C458="","Commercial",$C458))),Variables!$B$1:$D$1,0),1))*AC458/365)+(L458/16.67*INDEX(Variables!$B$8:$D$8,IFERROR(MATCH(IF($B458="Robusta","Robusta",(IF($B458="","Arabica",$B458))&amp;" - "&amp;(IF($C458="","Commercial",$C458))),Variables!$B$1:$D$1,0),1))*AC458)+(T458*INDEX(Variables!$B$9:$D$9,IFERROR(MATCH(IF($B458="Robusta","Robusta",(IF($B458="","Arabica",$B458))&amp;" - "&amp;(IF($C458="","Commercial",$C458))),Variables!$B$1:$D$1,0),1))*AC458/365),""))</f>
        <v>-4508.0904202246638</v>
      </c>
      <c r="AU458" s="12">
        <f>IF($H458="Cancelled","",IFERROR((T458*INDEX(Variables!$B$7:$D$7,IFERROR(MATCH(IF($B458="Robusta","Robusta",(IF($B458="","Arabica",$B458))&amp;" - "&amp;(IF($C458="","Commercial",$C458))),Variables!$B$1:$D$1,0),1))*AP458/365)+(L458/16.67*INDEX(Variables!$B$8:$D$8,IFERROR(MATCH(IF($B458="Robusta","Robusta",(IF($B458="","Arabica",$B458))&amp;" - "&amp;(IF($C458="","Commercial",$C458))),Variables!$B$1:$D$1,0),1))*AP458)+(T458*INDEX(Variables!$B$9:$D$9,IFERROR(MATCH(IF($B458="Robusta","Robusta",(IF($B458="","Arabica",$B458))&amp;" - "&amp;(IF($C458="","Commercial",$C458))),Variables!$B$1:$D$1,0),1))*AP458/365),""))</f>
        <v>-2254.0452101123319</v>
      </c>
      <c r="AV458" s="11">
        <f t="shared" si="53"/>
        <v>-28</v>
      </c>
      <c r="AW458" s="12">
        <f>IF($H458="Cancelled","",IFERROR(IF(AV458="","",(T458*INDEX(Variables!$B$7:$D$7,IFERROR(MATCH(IF($B458="Robusta","Robusta",(IF($B458="","Arabica",$B458))&amp;" - "&amp;(IF($C458="","Commercial",$C458))),Variables!$B$1:$D$1,0),1))*(AV458/365))+(T458*INDEX(Variables!$B$9:$D$9,IFERROR(MATCH(IF($B458="Robusta","Robusta",(IF($B458="","Arabica",$B458))&amp;" - "&amp;(IF($C458="","Commercial",$C458))),Variables!$B$1:$D$1,0),1))*(AV458/365))+(INDEX(Variables!$B$8:$D$8,IFERROR(MATCH(IF($B458="Robusta","Robusta",(IF($B458="","Arabica",$B458))&amp;" - "&amp;(IF($C458="","Commercial",$C458))),Variables!$B$1:$D$1,0),1))*L458/16.67)),""))</f>
        <v>-2351.5510588763536</v>
      </c>
      <c r="AX458" s="9"/>
      <c r="AY458" s="12"/>
      <c r="AZ458" s="10"/>
      <c r="BA458" s="9"/>
      <c r="BB458" s="10"/>
      <c r="BC458" s="9"/>
      <c r="BD458" s="9"/>
      <c r="BE458" s="9"/>
      <c r="BF458" s="9"/>
    </row>
    <row r="459" spans="1:58" x14ac:dyDescent="0.25">
      <c r="A459" s="9" t="s">
        <v>84</v>
      </c>
      <c r="B459" s="9" t="s">
        <v>85</v>
      </c>
      <c r="C459" s="9" t="s">
        <v>86</v>
      </c>
      <c r="D459" s="10">
        <v>45918</v>
      </c>
      <c r="E459" s="10">
        <v>45931</v>
      </c>
      <c r="F459" s="10">
        <v>45961</v>
      </c>
      <c r="G459" s="9">
        <v>3786970</v>
      </c>
      <c r="H459" s="9" t="str">
        <f t="shared" si="51"/>
        <v>Closed</v>
      </c>
      <c r="I459" s="9" t="str">
        <f t="shared" si="52"/>
        <v>All dates received</v>
      </c>
      <c r="J459" s="9" t="s">
        <v>264</v>
      </c>
      <c r="K459" s="9">
        <v>5343</v>
      </c>
      <c r="L459" s="11">
        <v>640</v>
      </c>
      <c r="M459" s="9" t="s">
        <v>1156</v>
      </c>
      <c r="N459" s="9" t="s">
        <v>122</v>
      </c>
      <c r="O459" s="9"/>
      <c r="P459" s="9"/>
      <c r="Q459" s="11">
        <v>-1</v>
      </c>
      <c r="R459" s="9" t="s">
        <v>202</v>
      </c>
      <c r="S459" s="9" t="s">
        <v>150</v>
      </c>
      <c r="T459" s="12">
        <f>IF($H459="Cancelled","",IFERROR(((Q459+INDEX(Variables!$B$6:$D$6,IFERROR(MATCH(IF($B459="Robusta","Robusta",(IF($B459="","Arabica",$B459))&amp;" - "&amp;(IF($C459="","Commercial",$C459))),Variables!$B$1:$D$1,0),1)))*22.0462)*(L459/16.67),""))</f>
        <v>245288.11076184761</v>
      </c>
      <c r="U459" s="10">
        <v>45922</v>
      </c>
      <c r="V459" s="9" t="str">
        <f t="shared" si="54"/>
        <v>Sent</v>
      </c>
      <c r="W459" s="10">
        <v>45929</v>
      </c>
      <c r="X459" s="9" t="str">
        <f t="shared" si="50"/>
        <v>Approved</v>
      </c>
      <c r="Y459" s="10"/>
      <c r="Z459" s="10">
        <f>IF($H459="Cancelled","",IFERROR(IF(F459="","",F459-Variables!$B$13),""))</f>
        <v>45946</v>
      </c>
      <c r="AA459" s="11">
        <f>IF($H459="Cancelled","",IFERROR(IF(W459="","",(AVERAGE(E459:F459)-W459)-Variables!$B$14),""))</f>
        <v>-13</v>
      </c>
      <c r="AB459" s="10">
        <v>45967</v>
      </c>
      <c r="AC459" s="11">
        <f>IF($H459="Cancelled","",IFERROR(IF(AB459="","",IF(AND(W459="",Y459=""),"",IF(Y459&gt;W459,Y459+Variables!$B$15+Variables!$B$16+Variables!$B$17-AB459,W459+Variables!$B$16+Variables!$B$17-AB459))),""))</f>
        <v>-30</v>
      </c>
      <c r="AD459" s="9" t="s">
        <v>151</v>
      </c>
      <c r="AE459" s="9" t="s">
        <v>908</v>
      </c>
      <c r="AF459" s="10">
        <v>45979</v>
      </c>
      <c r="AG459" s="10"/>
      <c r="AH459" s="9"/>
      <c r="AI459" s="9" t="s">
        <v>1157</v>
      </c>
      <c r="AJ459" s="9" t="s">
        <v>8</v>
      </c>
      <c r="AK459" s="10">
        <v>45989</v>
      </c>
      <c r="AL459" s="10">
        <v>45992</v>
      </c>
      <c r="AM459" s="10">
        <v>45992</v>
      </c>
      <c r="AN459" s="9" t="s">
        <v>95</v>
      </c>
      <c r="AO459" s="9"/>
      <c r="AP459" s="11">
        <f>IF($H459="Cancelled","",IFERROR(IF(OR(AK459="",AB459=""),"",(AB459+Variables!$B$18-AK459)),""))</f>
        <v>-15</v>
      </c>
      <c r="AQ459" s="11">
        <f>IF($H459="Cancelled","",IFERROR(IF(OR(AM459="",AK459=""),"",(AK459+Variables!$B$19)-AM459),""))</f>
        <v>2</v>
      </c>
      <c r="AR459" s="12">
        <f>IF($H459="Cancelled","",IFERROR(T459*INDEX(Variables!$B$7:$D$7,IFERROR(MATCH(IF($B459="Robusta","Robusta",(IF($B459="","Arabica",$B459))&amp;" - "&amp;(IF($C459="","Commercial",$C459))),Variables!$B$1:$D$1,0),1))*(AQ459/365),""))</f>
        <v>86.666942552151284</v>
      </c>
      <c r="AS459" s="12">
        <f>IF($H459="Cancelled","",IFERROR((T459*INDEX(Variables!$B$7:$D$7,IFERROR(MATCH(IF($B459="Robusta","Robusta",(IF($B459="","Arabica",$B459))&amp;" - "&amp;(IF($C459="","Commercial",$C459))),Variables!$B$1:$D$1,0),1))*IFERROR(IF(W459="","",(AVERAGE(E459:F459)-W459)-Variables!$B$14),"")/365)+(L459/16.67*INDEX(Variables!$B$8:$D$8,IFERROR(MATCH(IF($B459="Robusta","Robusta",(IF($B459="","Arabica",$B459))&amp;" - "&amp;(IF($C459="","Commercial",$C459))),Variables!$B$1:$D$1,0),1))*IFERROR(IF(W459="","",(AVERAGE(E459:F459)-W459)-Variables!$B$14),""))+(T459*INDEX(Variables!$B$9:$D$9,IFERROR(MATCH(IF($B459="Robusta","Robusta",(IF($B459="","Arabica",$B459))&amp;" - "&amp;(IF($C459="","Commercial",$C459))),Variables!$B$1:$D$1,0),1))*IFERROR(IF(W459="","",(AVERAGE(E459:F459)-W459)-Variables!$B$14),"")/365),""))</f>
        <v>-986.59760353197578</v>
      </c>
      <c r="AT459" s="12">
        <f>IF($H459="Cancelled","",IFERROR((T459*INDEX(Variables!$B$7:$D$7,IFERROR(MATCH(IF($B459="Robusta","Robusta",(IF($B459="","Arabica",$B459))&amp;" - "&amp;(IF($C459="","Commercial",$C459))),Variables!$B$1:$D$1,0),1))*AC459/365)+(L459/16.67*INDEX(Variables!$B$8:$D$8,IFERROR(MATCH(IF($B459="Robusta","Robusta",(IF($B459="","Arabica",$B459))&amp;" - "&amp;(IF($C459="","Commercial",$C459))),Variables!$B$1:$D$1,0),1))*AC459)+(T459*INDEX(Variables!$B$9:$D$9,IFERROR(MATCH(IF($B459="Robusta","Robusta",(IF($B459="","Arabica",$B459))&amp;" - "&amp;(IF($C459="","Commercial",$C459))),Variables!$B$1:$D$1,0),1))*AC459/365),""))</f>
        <v>-2276.7637004584053</v>
      </c>
      <c r="AU459" s="12">
        <f>IF($H459="Cancelled","",IFERROR((T459*INDEX(Variables!$B$7:$D$7,IFERROR(MATCH(IF($B459="Robusta","Robusta",(IF($B459="","Arabica",$B459))&amp;" - "&amp;(IF($C459="","Commercial",$C459))),Variables!$B$1:$D$1,0),1))*AP459/365)+(L459/16.67*INDEX(Variables!$B$8:$D$8,IFERROR(MATCH(IF($B459="Robusta","Robusta",(IF($B459="","Arabica",$B459))&amp;" - "&amp;(IF($C459="","Commercial",$C459))),Variables!$B$1:$D$1,0),1))*AP459)+(T459*INDEX(Variables!$B$9:$D$9,IFERROR(MATCH(IF($B459="Robusta","Robusta",(IF($B459="","Arabica",$B459))&amp;" - "&amp;(IF($C459="","Commercial",$C459))),Variables!$B$1:$D$1,0),1))*AP459/365),""))</f>
        <v>-1138.3818502292027</v>
      </c>
      <c r="AV459" s="11">
        <f t="shared" si="53"/>
        <v>-28</v>
      </c>
      <c r="AW459" s="12">
        <f>IF($H459="Cancelled","",IFERROR(IF(AV459="","",(T459*INDEX(Variables!$B$7:$D$7,IFERROR(MATCH(IF($B459="Robusta","Robusta",(IF($B459="","Arabica",$B459))&amp;" - "&amp;(IF($C459="","Commercial",$C459))),Variables!$B$1:$D$1,0),1))*(AV459/365))+(T459*INDEX(Variables!$B$9:$D$9,IFERROR(MATCH(IF($B459="Robusta","Robusta",(IF($B459="","Arabica",$B459))&amp;" - "&amp;(IF($C459="","Commercial",$C459))),Variables!$B$1:$D$1,0),1))*(AV459/365))+(INDEX(Variables!$B$8:$D$8,IFERROR(MATCH(IF($B459="Robusta","Robusta",(IF($B459="","Arabica",$B459))&amp;" - "&amp;(IF($C459="","Commercial",$C459))),Variables!$B$1:$D$1,0),1))*L459/16.67)),""))</f>
        <v>-1196.9794537611785</v>
      </c>
      <c r="AX459" s="9"/>
      <c r="AY459" s="12"/>
      <c r="AZ459" s="10"/>
      <c r="BA459" s="9"/>
      <c r="BB459" s="10"/>
      <c r="BC459" s="9"/>
      <c r="BD459" s="9"/>
      <c r="BE459" s="9"/>
      <c r="BF459" s="9"/>
    </row>
    <row r="460" spans="1:58" x14ac:dyDescent="0.25">
      <c r="A460" s="9" t="s">
        <v>84</v>
      </c>
      <c r="B460" s="9" t="s">
        <v>85</v>
      </c>
      <c r="C460" s="9" t="s">
        <v>86</v>
      </c>
      <c r="D460" s="10">
        <v>45932</v>
      </c>
      <c r="E460" s="10">
        <v>45992</v>
      </c>
      <c r="F460" s="10">
        <v>46022</v>
      </c>
      <c r="G460" s="9">
        <v>3786971</v>
      </c>
      <c r="H460" s="9" t="str">
        <f t="shared" si="51"/>
        <v>Closed</v>
      </c>
      <c r="I460" s="9" t="str">
        <f t="shared" si="52"/>
        <v>All dates received</v>
      </c>
      <c r="J460" s="9" t="s">
        <v>308</v>
      </c>
      <c r="K460" s="9">
        <v>5349</v>
      </c>
      <c r="L460" s="11">
        <v>1440</v>
      </c>
      <c r="M460" s="9" t="s">
        <v>1158</v>
      </c>
      <c r="N460" s="9" t="s">
        <v>122</v>
      </c>
      <c r="O460" s="9"/>
      <c r="P460" s="9"/>
      <c r="Q460" s="11">
        <v>11</v>
      </c>
      <c r="R460" s="9" t="s">
        <v>90</v>
      </c>
      <c r="S460" s="9" t="s">
        <v>106</v>
      </c>
      <c r="T460" s="12">
        <f>IF($H460="Cancelled","",IFERROR(((Q460+INDEX(Variables!$B$6:$D$6,IFERROR(MATCH(IF($B460="Robusta","Robusta",(IF($B460="","Arabica",$B460))&amp;" - "&amp;(IF($C460="","Commercial",$C460))),Variables!$B$1:$D$1,0),1)))*22.0462)*(L460/16.67),""))</f>
        <v>574751.1787882424</v>
      </c>
      <c r="U460" s="10">
        <v>45953</v>
      </c>
      <c r="V460" s="9" t="str">
        <f t="shared" si="54"/>
        <v>Sent</v>
      </c>
      <c r="W460" s="10">
        <v>45961</v>
      </c>
      <c r="X460" s="9" t="str">
        <f t="shared" si="50"/>
        <v>Approved</v>
      </c>
      <c r="Y460" s="10"/>
      <c r="Z460" s="10">
        <f>IF($H460="Cancelled","",IFERROR(IF(F460="","",F460-Variables!$B$13),""))</f>
        <v>46007</v>
      </c>
      <c r="AA460" s="11">
        <f>IF($H460="Cancelled","",IFERROR(IF(W460="","",(AVERAGE(E460:F460)-W460)-Variables!$B$14),""))</f>
        <v>16</v>
      </c>
      <c r="AB460" s="10">
        <v>45974</v>
      </c>
      <c r="AC460" s="11">
        <f>IF($H460="Cancelled","",IFERROR(IF(AB460="","",IF(AND(W460="",Y460=""),"",IF(Y460&gt;W460,Y460+Variables!$B$15+Variables!$B$16+Variables!$B$17-AB460,W460+Variables!$B$16+Variables!$B$17-AB460))),""))</f>
        <v>-5</v>
      </c>
      <c r="AD460" s="9" t="s">
        <v>165</v>
      </c>
      <c r="AE460" s="9" t="s">
        <v>818</v>
      </c>
      <c r="AF460" s="10"/>
      <c r="AG460" s="10"/>
      <c r="AH460" s="9"/>
      <c r="AI460" s="9" t="s">
        <v>1159</v>
      </c>
      <c r="AJ460" s="9" t="s">
        <v>8</v>
      </c>
      <c r="AK460" s="10">
        <v>45993</v>
      </c>
      <c r="AL460" s="10">
        <v>45995</v>
      </c>
      <c r="AM460" s="10">
        <v>45996</v>
      </c>
      <c r="AN460" s="9" t="s">
        <v>95</v>
      </c>
      <c r="AO460" s="9"/>
      <c r="AP460" s="11">
        <f>IF($H460="Cancelled","",IFERROR(IF(OR(AK460="",AB460=""),"",(AB460+Variables!$B$18-AK460)),""))</f>
        <v>-12</v>
      </c>
      <c r="AQ460" s="11">
        <f>IF($H460="Cancelled","",IFERROR(IF(OR(AM460="",AK460=""),"",(AK460+Variables!$B$19)-AM460),""))</f>
        <v>2</v>
      </c>
      <c r="AR460" s="12">
        <f>IF($H460="Cancelled","",IFERROR(T460*INDEX(Variables!$B$7:$D$7,IFERROR(MATCH(IF($B460="Robusta","Robusta",(IF($B460="","Arabica",$B460))&amp;" - "&amp;(IF($C460="","Commercial",$C460))),Variables!$B$1:$D$1,0),1))*(AQ460/365),""))</f>
        <v>203.07518060744772</v>
      </c>
      <c r="AS460" s="12">
        <f>IF($H460="Cancelled","",IFERROR((T460*INDEX(Variables!$B$7:$D$7,IFERROR(MATCH(IF($B460="Robusta","Robusta",(IF($B460="","Arabica",$B460))&amp;" - "&amp;(IF($C460="","Commercial",$C460))),Variables!$B$1:$D$1,0),1))*IFERROR(IF(W460="","",(AVERAGE(E460:F460)-W460)-Variables!$B$14),"")/365)+(L460/16.67*INDEX(Variables!$B$8:$D$8,IFERROR(MATCH(IF($B460="Robusta","Robusta",(IF($B460="","Arabica",$B460))&amp;" - "&amp;(IF($C460="","Commercial",$C460))),Variables!$B$1:$D$1,0),1))*IFERROR(IF(W460="","",(AVERAGE(E460:F460)-W460)-Variables!$B$14),""))+(T460*INDEX(Variables!$B$9:$D$9,IFERROR(MATCH(IF($B460="Robusta","Robusta",(IF($B460="","Arabica",$B460))&amp;" - "&amp;(IF($C460="","Commercial",$C460))),Variables!$B$1:$D$1,0),1))*IFERROR(IF(W460="","",(AVERAGE(E460:F460)-W460)-Variables!$B$14),"")/365),""))</f>
        <v>2797.5456927467785</v>
      </c>
      <c r="AT460" s="12">
        <f>IF($H460="Cancelled","",IFERROR((T460*INDEX(Variables!$B$7:$D$7,IFERROR(MATCH(IF($B460="Robusta","Robusta",(IF($B460="","Arabica",$B460))&amp;" - "&amp;(IF($C460="","Commercial",$C460))),Variables!$B$1:$D$1,0),1))*AC460/365)+(L460/16.67*INDEX(Variables!$B$8:$D$8,IFERROR(MATCH(IF($B460="Robusta","Robusta",(IF($B460="","Arabica",$B460))&amp;" - "&amp;(IF($C460="","Commercial",$C460))),Variables!$B$1:$D$1,0),1))*AC460)+(T460*INDEX(Variables!$B$9:$D$9,IFERROR(MATCH(IF($B460="Robusta","Robusta",(IF($B460="","Arabica",$B460))&amp;" - "&amp;(IF($C460="","Commercial",$C460))),Variables!$B$1:$D$1,0),1))*AC460/365),""))</f>
        <v>-874.23302898336817</v>
      </c>
      <c r="AU460" s="12">
        <f>IF($H460="Cancelled","",IFERROR((T460*INDEX(Variables!$B$7:$D$7,IFERROR(MATCH(IF($B460="Robusta","Robusta",(IF($B460="","Arabica",$B460))&amp;" - "&amp;(IF($C460="","Commercial",$C460))),Variables!$B$1:$D$1,0),1))*AP460/365)+(L460/16.67*INDEX(Variables!$B$8:$D$8,IFERROR(MATCH(IF($B460="Robusta","Robusta",(IF($B460="","Arabica",$B460))&amp;" - "&amp;(IF($C460="","Commercial",$C460))),Variables!$B$1:$D$1,0),1))*AP460)+(T460*INDEX(Variables!$B$9:$D$9,IFERROR(MATCH(IF($B460="Robusta","Robusta",(IF($B460="","Arabica",$B460))&amp;" - "&amp;(IF($C460="","Commercial",$C460))),Variables!$B$1:$D$1,0),1))*AP460/365),""))</f>
        <v>-2098.1592695600834</v>
      </c>
      <c r="AV460" s="11">
        <f t="shared" si="53"/>
        <v>29</v>
      </c>
      <c r="AW460" s="12">
        <f>IF($H460="Cancelled","",IFERROR(IF(AV460="","",(T460*INDEX(Variables!$B$7:$D$7,IFERROR(MATCH(IF($B460="Robusta","Robusta",(IF($B460="","Arabica",$B460))&amp;" - "&amp;(IF($C460="","Commercial",$C460))),Variables!$B$1:$D$1,0),1))*(AV460/365))+(T460*INDEX(Variables!$B$9:$D$9,IFERROR(MATCH(IF($B460="Robusta","Robusta",(IF($B460="","Arabica",$B460))&amp;" - "&amp;(IF($C460="","Commercial",$C460))),Variables!$B$1:$D$1,0),1))*(AV460/365))+(INDEX(Variables!$B$8:$D$8,IFERROR(MATCH(IF($B460="Robusta","Robusta",(IF($B460="","Arabica",$B460))&amp;" - "&amp;(IF($C460="","Commercial",$C460))),Variables!$B$1:$D$1,0),1))*L460/16.67)),""))</f>
        <v>3054.5515681035354</v>
      </c>
      <c r="AX460" s="9"/>
      <c r="AY460" s="12"/>
      <c r="AZ460" s="10"/>
      <c r="BA460" s="9"/>
      <c r="BB460" s="10"/>
      <c r="BC460" s="9"/>
      <c r="BD460" s="9"/>
      <c r="BE460" s="9"/>
      <c r="BF460" s="9"/>
    </row>
    <row r="461" spans="1:58" x14ac:dyDescent="0.25">
      <c r="A461" s="9" t="s">
        <v>84</v>
      </c>
      <c r="B461" s="9" t="s">
        <v>85</v>
      </c>
      <c r="C461" s="9" t="s">
        <v>86</v>
      </c>
      <c r="D461" s="10">
        <v>45938</v>
      </c>
      <c r="E461" s="10">
        <v>45992</v>
      </c>
      <c r="F461" s="10">
        <v>46022</v>
      </c>
      <c r="G461" s="9">
        <v>3786972</v>
      </c>
      <c r="H461" s="9" t="str">
        <f t="shared" si="51"/>
        <v>Closed</v>
      </c>
      <c r="I461" s="9" t="str">
        <f t="shared" si="52"/>
        <v>All dates received</v>
      </c>
      <c r="J461" s="9" t="s">
        <v>494</v>
      </c>
      <c r="K461" s="9">
        <v>5350</v>
      </c>
      <c r="L461" s="11">
        <v>320</v>
      </c>
      <c r="M461" s="9" t="s">
        <v>1160</v>
      </c>
      <c r="N461" s="9" t="s">
        <v>126</v>
      </c>
      <c r="O461" s="9"/>
      <c r="P461" s="9"/>
      <c r="Q461" s="11">
        <v>40</v>
      </c>
      <c r="R461" s="9" t="s">
        <v>90</v>
      </c>
      <c r="S461" s="9" t="s">
        <v>150</v>
      </c>
      <c r="T461" s="12">
        <f>IF($H461="Cancelled","",IFERROR(((Q461+INDEX(Variables!$B$6:$D$6,IFERROR(MATCH(IF($B461="Robusta","Robusta",(IF($B461="","Arabica",$B461))&amp;" - "&amp;(IF($C461="","Commercial",$C461))),Variables!$B$1:$D$1,0),1)))*22.0462)*(L461/16.67),""))</f>
        <v>139995.35376124774</v>
      </c>
      <c r="U461" s="10">
        <v>45953</v>
      </c>
      <c r="V461" s="9" t="str">
        <f t="shared" si="54"/>
        <v>Sent</v>
      </c>
      <c r="W461" s="10">
        <v>45964</v>
      </c>
      <c r="X461" s="9" t="str">
        <f t="shared" si="50"/>
        <v>Approved</v>
      </c>
      <c r="Y461" s="10"/>
      <c r="Z461" s="10">
        <f>IF($H461="Cancelled","",IFERROR(IF(F461="","",F461-Variables!$B$13),""))</f>
        <v>46007</v>
      </c>
      <c r="AA461" s="11">
        <f>IF($H461="Cancelled","",IFERROR(IF(W461="","",(AVERAGE(E461:F461)-W461)-Variables!$B$14),""))</f>
        <v>13</v>
      </c>
      <c r="AB461" s="10">
        <v>45974</v>
      </c>
      <c r="AC461" s="11">
        <f>IF($H461="Cancelled","",IFERROR(IF(AB461="","",IF(AND(W461="",Y461=""),"",IF(Y461&gt;W461,Y461+Variables!$B$15+Variables!$B$16+Variables!$B$17-AB461,W461+Variables!$B$16+Variables!$B$17-AB461))),""))</f>
        <v>-2</v>
      </c>
      <c r="AD461" s="9" t="s">
        <v>1161</v>
      </c>
      <c r="AE461" s="9" t="s">
        <v>1162</v>
      </c>
      <c r="AF461" s="10"/>
      <c r="AG461" s="10"/>
      <c r="AH461" s="9"/>
      <c r="AI461" s="9" t="s">
        <v>1163</v>
      </c>
      <c r="AJ461" s="9" t="s">
        <v>8</v>
      </c>
      <c r="AK461" s="10">
        <v>45987</v>
      </c>
      <c r="AL461" s="10">
        <v>45988</v>
      </c>
      <c r="AM461" s="10">
        <v>45993</v>
      </c>
      <c r="AN461" s="9" t="s">
        <v>95</v>
      </c>
      <c r="AO461" s="9"/>
      <c r="AP461" s="11">
        <f>IF($H461="Cancelled","",IFERROR(IF(OR(AK461="",AB461=""),"",(AB461+Variables!$B$18-AK461)),""))</f>
        <v>-6</v>
      </c>
      <c r="AQ461" s="11">
        <f>IF($H461="Cancelled","",IFERROR(IF(OR(AM461="",AK461=""),"",(AK461+Variables!$B$19)-AM461),""))</f>
        <v>-1</v>
      </c>
      <c r="AR461" s="12">
        <f>IF($H461="Cancelled","",IFERROR(T461*INDEX(Variables!$B$7:$D$7,IFERROR(MATCH(IF($B461="Robusta","Robusta",(IF($B461="","Arabica",$B461))&amp;" - "&amp;(IF($C461="","Commercial",$C461))),Variables!$B$1:$D$1,0),1))*(AQ461/365),""))</f>
        <v>-24.732077809050764</v>
      </c>
      <c r="AS461" s="12">
        <f>IF($H461="Cancelled","",IFERROR((T461*INDEX(Variables!$B$7:$D$7,IFERROR(MATCH(IF($B461="Robusta","Robusta",(IF($B461="","Arabica",$B461))&amp;" - "&amp;(IF($C461="","Commercial",$C461))),Variables!$B$1:$D$1,0),1))*IFERROR(IF(W461="","",(AVERAGE(E461:F461)-W461)-Variables!$B$14),"")/365)+(L461/16.67*INDEX(Variables!$B$8:$D$8,IFERROR(MATCH(IF($B461="Robusta","Robusta",(IF($B461="","Arabica",$B461))&amp;" - "&amp;(IF($C461="","Commercial",$C461))),Variables!$B$1:$D$1,0),1))*IFERROR(IF(W461="","",(AVERAGE(E461:F461)-W461)-Variables!$B$14),""))+(T461*INDEX(Variables!$B$9:$D$9,IFERROR(MATCH(IF($B461="Robusta","Robusta",(IF($B461="","Arabica",$B461))&amp;" - "&amp;(IF($C461="","Commercial",$C461))),Variables!$B$1:$D$1,0),1))*IFERROR(IF(W461="","",(AVERAGE(E461:F461)-W461)-Variables!$B$14),"")/365),""))</f>
        <v>533.66198628084476</v>
      </c>
      <c r="AT461" s="12">
        <f>IF($H461="Cancelled","",IFERROR((T461*INDEX(Variables!$B$7:$D$7,IFERROR(MATCH(IF($B461="Robusta","Robusta",(IF($B461="","Arabica",$B461))&amp;" - "&amp;(IF($C461="","Commercial",$C461))),Variables!$B$1:$D$1,0),1))*AC461/365)+(L461/16.67*INDEX(Variables!$B$8:$D$8,IFERROR(MATCH(IF($B461="Robusta","Robusta",(IF($B461="","Arabica",$B461))&amp;" - "&amp;(IF($C461="","Commercial",$C461))),Variables!$B$1:$D$1,0),1))*AC461)+(T461*INDEX(Variables!$B$9:$D$9,IFERROR(MATCH(IF($B461="Robusta","Robusta",(IF($B461="","Arabica",$B461))&amp;" - "&amp;(IF($C461="","Commercial",$C461))),Variables!$B$1:$D$1,0),1))*AC461/365),""))</f>
        <v>-82.101844043206867</v>
      </c>
      <c r="AU461" s="12">
        <f>IF($H461="Cancelled","",IFERROR((T461*INDEX(Variables!$B$7:$D$7,IFERROR(MATCH(IF($B461="Robusta","Robusta",(IF($B461="","Arabica",$B461))&amp;" - "&amp;(IF($C461="","Commercial",$C461))),Variables!$B$1:$D$1,0),1))*AP461/365)+(L461/16.67*INDEX(Variables!$B$8:$D$8,IFERROR(MATCH(IF($B461="Robusta","Robusta",(IF($B461="","Arabica",$B461))&amp;" - "&amp;(IF($C461="","Commercial",$C461))),Variables!$B$1:$D$1,0),1))*AP461)+(T461*INDEX(Variables!$B$9:$D$9,IFERROR(MATCH(IF($B461="Robusta","Robusta",(IF($B461="","Arabica",$B461))&amp;" - "&amp;(IF($C461="","Commercial",$C461))),Variables!$B$1:$D$1,0),1))*AP461/365),""))</f>
        <v>-246.30553212962062</v>
      </c>
      <c r="AV461" s="11">
        <f t="shared" si="53"/>
        <v>35</v>
      </c>
      <c r="AW461" s="12">
        <f>IF($H461="Cancelled","",IFERROR(IF(AV461="","",(T461*INDEX(Variables!$B$7:$D$7,IFERROR(MATCH(IF($B461="Robusta","Robusta",(IF($B461="","Arabica",$B461))&amp;" - "&amp;(IF($C461="","Commercial",$C461))),Variables!$B$1:$D$1,0),1))*(AV461/365))+(T461*INDEX(Variables!$B$9:$D$9,IFERROR(MATCH(IF($B461="Robusta","Robusta",(IF($B461="","Arabica",$B461))&amp;" - "&amp;(IF($C461="","Commercial",$C461))),Variables!$B$1:$D$1,0),1))*(AV461/365))+(INDEX(Variables!$B$8:$D$8,IFERROR(MATCH(IF($B461="Robusta","Robusta",(IF($B461="","Arabica",$B461))&amp;" - "&amp;(IF($C461="","Commercial",$C461))),Variables!$B$1:$D$1,0),1))*L461/16.67)),""))</f>
        <v>892.78227075612028</v>
      </c>
      <c r="AX461" s="9"/>
      <c r="AY461" s="12"/>
      <c r="AZ461" s="10"/>
      <c r="BA461" s="9"/>
      <c r="BB461" s="10"/>
      <c r="BC461" s="9"/>
      <c r="BD461" s="9"/>
      <c r="BE461" s="9"/>
      <c r="BF461" s="9"/>
    </row>
    <row r="462" spans="1:58" x14ac:dyDescent="0.25">
      <c r="A462" s="9" t="s">
        <v>84</v>
      </c>
      <c r="B462" s="9" t="s">
        <v>85</v>
      </c>
      <c r="C462" s="9" t="s">
        <v>86</v>
      </c>
      <c r="D462" s="10">
        <v>45939</v>
      </c>
      <c r="E462" s="10">
        <v>45962</v>
      </c>
      <c r="F462" s="10">
        <v>45991</v>
      </c>
      <c r="G462" s="9">
        <v>3786974</v>
      </c>
      <c r="H462" s="9" t="str">
        <f t="shared" si="51"/>
        <v>Closed</v>
      </c>
      <c r="I462" s="9" t="str">
        <f t="shared" si="52"/>
        <v>All dates received</v>
      </c>
      <c r="J462" s="9" t="s">
        <v>102</v>
      </c>
      <c r="K462" s="9">
        <v>5347</v>
      </c>
      <c r="L462" s="11">
        <v>1440</v>
      </c>
      <c r="M462" s="9" t="s">
        <v>168</v>
      </c>
      <c r="N462" s="9" t="s">
        <v>450</v>
      </c>
      <c r="O462" s="9"/>
      <c r="P462" s="9"/>
      <c r="Q462" s="11">
        <v>15</v>
      </c>
      <c r="R462" s="9" t="s">
        <v>90</v>
      </c>
      <c r="S462" s="9" t="s">
        <v>1164</v>
      </c>
      <c r="T462" s="12">
        <f>IF($H462="Cancelled","",IFERROR(((Q462+INDEX(Variables!$B$6:$D$6,IFERROR(MATCH(IF($B462="Robusta","Robusta",(IF($B462="","Arabica",$B462))&amp;" - "&amp;(IF($C462="","Commercial",$C462))),Variables!$B$1:$D$1,0),1)))*22.0462)*(L462/16.67),""))</f>
        <v>582368.82197960408</v>
      </c>
      <c r="U462" s="10"/>
      <c r="V462" s="9" t="str">
        <f t="shared" si="54"/>
        <v/>
      </c>
      <c r="W462" s="10">
        <v>45946</v>
      </c>
      <c r="X462" s="9" t="str">
        <f t="shared" si="50"/>
        <v>Approved</v>
      </c>
      <c r="Y462" s="10">
        <v>45958</v>
      </c>
      <c r="Z462" s="10">
        <f>IF($H462="Cancelled","",IFERROR(IF(F462="","",F462-Variables!$B$13),""))</f>
        <v>45976</v>
      </c>
      <c r="AA462" s="11">
        <f>IF($H462="Cancelled","",IFERROR(IF(W462="","",(AVERAGE(E462:F462)-W462)-Variables!$B$14),""))</f>
        <v>0.5</v>
      </c>
      <c r="AB462" s="10">
        <v>45961</v>
      </c>
      <c r="AC462" s="11">
        <f>IF($H462="Cancelled","",IFERROR(IF(AB462="","",IF(AND(W462="",Y462=""),"",IF(Y462&gt;W462,Y462+Variables!$B$15+Variables!$B$16+Variables!$B$17-AB462,W462+Variables!$B$16+Variables!$B$17-AB462))),""))</f>
        <v>12</v>
      </c>
      <c r="AD462" s="9" t="s">
        <v>107</v>
      </c>
      <c r="AE462" s="9" t="s">
        <v>969</v>
      </c>
      <c r="AF462" s="10"/>
      <c r="AG462" s="10"/>
      <c r="AH462" s="9"/>
      <c r="AI462" s="9" t="s">
        <v>1165</v>
      </c>
      <c r="AJ462" s="9" t="s">
        <v>8</v>
      </c>
      <c r="AK462" s="10">
        <v>45978</v>
      </c>
      <c r="AL462" s="10">
        <v>45979</v>
      </c>
      <c r="AM462" s="10">
        <v>46014</v>
      </c>
      <c r="AN462" s="9" t="s">
        <v>95</v>
      </c>
      <c r="AO462" s="9"/>
      <c r="AP462" s="11">
        <f>IF($H462="Cancelled","",IFERROR(IF(OR(AK462="",AB462=""),"",(AB462+Variables!$B$18-AK462)),""))</f>
        <v>-10</v>
      </c>
      <c r="AQ462" s="11">
        <f>IF($H462="Cancelled","",IFERROR(IF(OR(AM462="",AK462=""),"",(AK462+Variables!$B$19)-AM462),""))</f>
        <v>-31</v>
      </c>
      <c r="AR462" s="12">
        <f>IF($H462="Cancelled","",IFERROR(T462*INDEX(Variables!$B$7:$D$7,IFERROR(MATCH(IF($B462="Robusta","Robusta",(IF($B462="","Arabica",$B462))&amp;" - "&amp;(IF($C462="","Commercial",$C462))),Variables!$B$1:$D$1,0),1))*(AQ462/365),""))</f>
        <v>-3189.3838587184937</v>
      </c>
      <c r="AS462" s="12">
        <f>IF($H462="Cancelled","",IFERROR((T462*INDEX(Variables!$B$7:$D$7,IFERROR(MATCH(IF($B462="Robusta","Robusta",(IF($B462="","Arabica",$B462))&amp;" - "&amp;(IF($C462="","Commercial",$C462))),Variables!$B$1:$D$1,0),1))*IFERROR(IF(W462="","",(AVERAGE(E462:F462)-W462)-Variables!$B$14),"")/365)+(L462/16.67*INDEX(Variables!$B$8:$D$8,IFERROR(MATCH(IF($B462="Robusta","Robusta",(IF($B462="","Arabica",$B462))&amp;" - "&amp;(IF($C462="","Commercial",$C462))),Variables!$B$1:$D$1,0),1))*IFERROR(IF(W462="","",(AVERAGE(E462:F462)-W462)-Variables!$B$14),""))+(T462*INDEX(Variables!$B$9:$D$9,IFERROR(MATCH(IF($B462="Robusta","Robusta",(IF($B462="","Arabica",$B462))&amp;" - "&amp;(IF($C462="","Commercial",$C462))),Variables!$B$1:$D$1,0),1))*IFERROR(IF(W462="","",(AVERAGE(E462:F462)-W462)-Variables!$B$14),"")/365),""))</f>
        <v>88.104857608719016</v>
      </c>
      <c r="AT462" s="12">
        <f>IF($H462="Cancelled","",IFERROR((T462*INDEX(Variables!$B$7:$D$7,IFERROR(MATCH(IF($B462="Robusta","Robusta",(IF($B462="","Arabica",$B462))&amp;" - "&amp;(IF($C462="","Commercial",$C462))),Variables!$B$1:$D$1,0),1))*AC462/365)+(L462/16.67*INDEX(Variables!$B$8:$D$8,IFERROR(MATCH(IF($B462="Robusta","Robusta",(IF($B462="","Arabica",$B462))&amp;" - "&amp;(IF($C462="","Commercial",$C462))),Variables!$B$1:$D$1,0),1))*AC462)+(T462*INDEX(Variables!$B$9:$D$9,IFERROR(MATCH(IF($B462="Robusta","Robusta",(IF($B462="","Arabica",$B462))&amp;" - "&amp;(IF($C462="","Commercial",$C462))),Variables!$B$1:$D$1,0),1))*AC462/365),""))</f>
        <v>2114.5165826092566</v>
      </c>
      <c r="AU462" s="12">
        <f>IF($H462="Cancelled","",IFERROR((T462*INDEX(Variables!$B$7:$D$7,IFERROR(MATCH(IF($B462="Robusta","Robusta",(IF($B462="","Arabica",$B462))&amp;" - "&amp;(IF($C462="","Commercial",$C462))),Variables!$B$1:$D$1,0),1))*AP462/365)+(L462/16.67*INDEX(Variables!$B$8:$D$8,IFERROR(MATCH(IF($B462="Robusta","Robusta",(IF($B462="","Arabica",$B462))&amp;" - "&amp;(IF($C462="","Commercial",$C462))),Variables!$B$1:$D$1,0),1))*AP462)+(T462*INDEX(Variables!$B$9:$D$9,IFERROR(MATCH(IF($B462="Robusta","Robusta",(IF($B462="","Arabica",$B462))&amp;" - "&amp;(IF($C462="","Commercial",$C462))),Variables!$B$1:$D$1,0),1))*AP462/365),""))</f>
        <v>-1762.0971521743804</v>
      </c>
      <c r="AV462" s="11">
        <f t="shared" si="53"/>
        <v>13</v>
      </c>
      <c r="AW462" s="12">
        <f>IF($H462="Cancelled","",IFERROR(IF(AV462="","",(T462*INDEX(Variables!$B$7:$D$7,IFERROR(MATCH(IF($B462="Robusta","Robusta",(IF($B462="","Arabica",$B462))&amp;" - "&amp;(IF($C462="","Commercial",$C462))),Variables!$B$1:$D$1,0),1))*(AV462/365))+(T462*INDEX(Variables!$B$9:$D$9,IFERROR(MATCH(IF($B462="Robusta","Robusta",(IF($B462="","Arabica",$B462))&amp;" - "&amp;(IF($C462="","Commercial",$C462))),Variables!$B$1:$D$1,0),1))*(AV462/365))+(INDEX(Variables!$B$8:$D$8,IFERROR(MATCH(IF($B462="Robusta","Robusta",(IF($B462="","Arabica",$B462))&amp;" - "&amp;(IF($C462="","Commercial",$C462))),Variables!$B$1:$D$1,0),1))*L462/16.67)),""))</f>
        <v>1426.7262978266942</v>
      </c>
      <c r="AX462" s="9"/>
      <c r="AY462" s="12"/>
      <c r="AZ462" s="10"/>
      <c r="BA462" s="9"/>
      <c r="BB462" s="10"/>
      <c r="BC462" s="9"/>
      <c r="BD462" s="9"/>
      <c r="BE462" s="9"/>
      <c r="BF462" s="9"/>
    </row>
    <row r="463" spans="1:58" x14ac:dyDescent="0.25">
      <c r="A463" s="9" t="s">
        <v>84</v>
      </c>
      <c r="B463" s="9" t="s">
        <v>85</v>
      </c>
      <c r="C463" s="9" t="s">
        <v>86</v>
      </c>
      <c r="D463" s="10">
        <v>45939</v>
      </c>
      <c r="E463" s="10">
        <v>46023</v>
      </c>
      <c r="F463" s="10">
        <v>46053</v>
      </c>
      <c r="G463" s="9">
        <v>3786973</v>
      </c>
      <c r="H463" s="9" t="str">
        <f t="shared" si="51"/>
        <v>Open</v>
      </c>
      <c r="I463" s="9" t="str">
        <f t="shared" si="52"/>
        <v>No docs dispatch date</v>
      </c>
      <c r="J463" s="9" t="s">
        <v>102</v>
      </c>
      <c r="K463" s="9">
        <v>5369</v>
      </c>
      <c r="L463" s="11">
        <v>333</v>
      </c>
      <c r="M463" s="9" t="s">
        <v>1166</v>
      </c>
      <c r="N463" s="9" t="s">
        <v>1130</v>
      </c>
      <c r="O463" s="9"/>
      <c r="P463" s="9"/>
      <c r="Q463" s="11">
        <v>47</v>
      </c>
      <c r="R463" s="9" t="s">
        <v>90</v>
      </c>
      <c r="S463" s="9" t="s">
        <v>106</v>
      </c>
      <c r="T463" s="12">
        <f>IF($H463="Cancelled","",IFERROR(((Q463+INDEX(Variables!$B$6:$D$6,IFERROR(MATCH(IF($B463="Robusta","Robusta",(IF($B463="","Arabica",$B463))&amp;" - "&amp;(IF($C463="","Commercial",$C463))),Variables!$B$1:$D$1,0),1)))*22.0462)*(L463/16.67),""))</f>
        <v>148765.42998680263</v>
      </c>
      <c r="U463" s="10">
        <v>45989</v>
      </c>
      <c r="V463" s="9" t="str">
        <f t="shared" si="54"/>
        <v>Sent</v>
      </c>
      <c r="W463" s="10">
        <v>45995</v>
      </c>
      <c r="X463" s="9" t="str">
        <f t="shared" si="50"/>
        <v>Approved</v>
      </c>
      <c r="Y463" s="10"/>
      <c r="Z463" s="10">
        <f>IF($H463="Cancelled","",IFERROR(IF(F463="","",F463-Variables!$B$13),""))</f>
        <v>46038</v>
      </c>
      <c r="AA463" s="11">
        <f>IF($H463="Cancelled","",IFERROR(IF(W463="","",(AVERAGE(E463:F463)-W463)-Variables!$B$14),""))</f>
        <v>13</v>
      </c>
      <c r="AB463" s="10">
        <v>46037</v>
      </c>
      <c r="AC463" s="11">
        <f>IF($H463="Cancelled","",IFERROR(IF(AB463="","",IF(AND(W463="",Y463=""),"",IF(Y463&gt;W463,Y463+Variables!$B$15+Variables!$B$16+Variables!$B$17-AB463,W463+Variables!$B$16+Variables!$B$17-AB463))),""))</f>
        <v>-34</v>
      </c>
      <c r="AD463" s="9" t="s">
        <v>163</v>
      </c>
      <c r="AE463" s="9" t="s">
        <v>598</v>
      </c>
      <c r="AF463" s="10"/>
      <c r="AG463" s="10"/>
      <c r="AH463" s="9"/>
      <c r="AI463" s="9">
        <v>265161587</v>
      </c>
      <c r="AJ463" s="9"/>
      <c r="AK463" s="10">
        <v>46045</v>
      </c>
      <c r="AL463" s="10">
        <v>46057</v>
      </c>
      <c r="AM463" s="10"/>
      <c r="AN463" s="9" t="s">
        <v>1016</v>
      </c>
      <c r="AO463" s="9"/>
      <c r="AP463" s="11">
        <f>IF($H463="Cancelled","",IFERROR(IF(OR(AK463="",AB463=""),"",(AB463+Variables!$B$18-AK463)),""))</f>
        <v>-1</v>
      </c>
      <c r="AQ463" s="11" t="str">
        <f>IF($H463="Cancelled","",IFERROR(IF(OR(AM463="",AK463=""),"",(AK463+Variables!$B$19)-AM463),""))</f>
        <v/>
      </c>
      <c r="AR463" s="12" t="str">
        <f>IF($H463="Cancelled","",IFERROR(T463*INDEX(Variables!$B$7:$D$7,IFERROR(MATCH(IF($B463="Robusta","Robusta",(IF($B463="","Arabica",$B463))&amp;" - "&amp;(IF($C463="","Commercial",$C463))),Variables!$B$1:$D$1,0),1))*(AQ463/365),""))</f>
        <v/>
      </c>
      <c r="AS463" s="12">
        <f>IF($H463="Cancelled","",IFERROR((T463*INDEX(Variables!$B$7:$D$7,IFERROR(MATCH(IF($B463="Robusta","Robusta",(IF($B463="","Arabica",$B463))&amp;" - "&amp;(IF($C463="","Commercial",$C463))),Variables!$B$1:$D$1,0),1))*IFERROR(IF(W463="","",(AVERAGE(E463:F463)-W463)-Variables!$B$14),"")/365)+(L463/16.67*INDEX(Variables!$B$8:$D$8,IFERROR(MATCH(IF($B463="Robusta","Robusta",(IF($B463="","Arabica",$B463))&amp;" - "&amp;(IF($C463="","Commercial",$C463))),Variables!$B$1:$D$1,0),1))*IFERROR(IF(W463="","",(AVERAGE(E463:F463)-W463)-Variables!$B$14),""))+(T463*INDEX(Variables!$B$9:$D$9,IFERROR(MATCH(IF($B463="Robusta","Robusta",(IF($B463="","Arabica",$B463))&amp;" - "&amp;(IF($C463="","Commercial",$C463))),Variables!$B$1:$D$1,0),1))*IFERROR(IF(W463="","",(AVERAGE(E463:F463)-W463)-Variables!$B$14),"")/365),""))</f>
        <v>562.51323794180666</v>
      </c>
      <c r="AT463" s="12">
        <f>IF($H463="Cancelled","",IFERROR((T463*INDEX(Variables!$B$7:$D$7,IFERROR(MATCH(IF($B463="Robusta","Robusta",(IF($B463="","Arabica",$B463))&amp;" - "&amp;(IF($C463="","Commercial",$C463))),Variables!$B$1:$D$1,0),1))*AC463/365)+(L463/16.67*INDEX(Variables!$B$8:$D$8,IFERROR(MATCH(IF($B463="Robusta","Robusta",(IF($B463="","Arabica",$B463))&amp;" - "&amp;(IF($C463="","Commercial",$C463))),Variables!$B$1:$D$1,0),1))*AC463)+(T463*INDEX(Variables!$B$9:$D$9,IFERROR(MATCH(IF($B463="Robusta","Robusta",(IF($B463="","Arabica",$B463))&amp;" - "&amp;(IF($C463="","Commercial",$C463))),Variables!$B$1:$D$1,0),1))*AC463/365),""))</f>
        <v>-1471.1884684631866</v>
      </c>
      <c r="AU463" s="12">
        <f>IF($H463="Cancelled","",IFERROR((T463*INDEX(Variables!$B$7:$D$7,IFERROR(MATCH(IF($B463="Robusta","Robusta",(IF($B463="","Arabica",$B463))&amp;" - "&amp;(IF($C463="","Commercial",$C463))),Variables!$B$1:$D$1,0),1))*AP463/365)+(L463/16.67*INDEX(Variables!$B$8:$D$8,IFERROR(MATCH(IF($B463="Robusta","Robusta",(IF($B463="","Arabica",$B463))&amp;" - "&amp;(IF($C463="","Commercial",$C463))),Variables!$B$1:$D$1,0),1))*AP463)+(T463*INDEX(Variables!$B$9:$D$9,IFERROR(MATCH(IF($B463="Robusta","Robusta",(IF($B463="","Arabica",$B463))&amp;" - "&amp;(IF($C463="","Commercial",$C463))),Variables!$B$1:$D$1,0),1))*AP463/365),""))</f>
        <v>-43.270249072446674</v>
      </c>
      <c r="AV463" s="11">
        <f t="shared" si="53"/>
        <v>8</v>
      </c>
      <c r="AW463" s="12">
        <f>IF($H463="Cancelled","",IFERROR(IF(AV463="","",(T463*INDEX(Variables!$B$7:$D$7,IFERROR(MATCH(IF($B463="Robusta","Robusta",(IF($B463="","Arabica",$B463))&amp;" - "&amp;(IF($C463="","Commercial",$C463))),Variables!$B$1:$D$1,0),1))*(AV463/365))+(T463*INDEX(Variables!$B$9:$D$9,IFERROR(MATCH(IF($B463="Robusta","Robusta",(IF($B463="","Arabica",$B463))&amp;" - "&amp;(IF($C463="","Commercial",$C463))),Variables!$B$1:$D$1,0),1))*(AV463/365))+(INDEX(Variables!$B$8:$D$8,IFERROR(MATCH(IF($B463="Robusta","Robusta",(IF($B463="","Arabica",$B463))&amp;" - "&amp;(IF($C463="","Commercial",$C463))),Variables!$B$1:$D$1,0),1))*L463/16.67)),""))</f>
        <v>229.61199257957335</v>
      </c>
      <c r="AX463" s="9"/>
      <c r="AY463" s="12"/>
      <c r="AZ463" s="10"/>
      <c r="BA463" s="9"/>
      <c r="BB463" s="10"/>
      <c r="BC463" s="9"/>
      <c r="BD463" s="9"/>
      <c r="BE463" s="9"/>
      <c r="BF463" s="9"/>
    </row>
    <row r="464" spans="1:58" x14ac:dyDescent="0.25">
      <c r="A464" s="9" t="s">
        <v>84</v>
      </c>
      <c r="B464" s="9" t="s">
        <v>85</v>
      </c>
      <c r="C464" s="9" t="s">
        <v>86</v>
      </c>
      <c r="D464" s="10">
        <v>45946</v>
      </c>
      <c r="E464" s="10">
        <v>45992</v>
      </c>
      <c r="F464" s="10">
        <v>46022</v>
      </c>
      <c r="G464" s="9">
        <v>3786975</v>
      </c>
      <c r="H464" s="9" t="str">
        <f t="shared" si="51"/>
        <v>Closed</v>
      </c>
      <c r="I464" s="9" t="str">
        <f t="shared" si="52"/>
        <v>All dates received</v>
      </c>
      <c r="J464" s="9" t="s">
        <v>102</v>
      </c>
      <c r="K464" s="9">
        <v>5352</v>
      </c>
      <c r="L464" s="11">
        <v>3600</v>
      </c>
      <c r="M464" s="9" t="s">
        <v>1167</v>
      </c>
      <c r="N464" s="9" t="s">
        <v>629</v>
      </c>
      <c r="O464" s="9"/>
      <c r="P464" s="9"/>
      <c r="Q464" s="11">
        <v>-17.5</v>
      </c>
      <c r="R464" s="9" t="s">
        <v>90</v>
      </c>
      <c r="S464" s="9" t="s">
        <v>162</v>
      </c>
      <c r="T464" s="12">
        <f>IF($H464="Cancelled","",IFERROR(((Q464+INDEX(Variables!$B$6:$D$6,IFERROR(MATCH(IF($B464="Robusta","Robusta",(IF($B464="","Arabica",$B464))&amp;" - "&amp;(IF($C464="","Commercial",$C464))),Variables!$B$1:$D$1,0),1)))*22.0462)*(L464/16.67),""))</f>
        <v>1301188.677624475</v>
      </c>
      <c r="U464" s="10"/>
      <c r="V464" s="9" t="str">
        <f t="shared" si="54"/>
        <v/>
      </c>
      <c r="W464" s="10">
        <v>45977</v>
      </c>
      <c r="X464" s="9" t="str">
        <f t="shared" si="50"/>
        <v>Approved</v>
      </c>
      <c r="Y464" s="10">
        <v>45981</v>
      </c>
      <c r="Z464" s="10">
        <f>IF($H464="Cancelled","",IFERROR(IF(F464="","",F464-Variables!$B$13),""))</f>
        <v>46007</v>
      </c>
      <c r="AA464" s="11">
        <f>IF($H464="Cancelled","",IFERROR(IF(W464="","",(AVERAGE(E464:F464)-W464)-Variables!$B$14),""))</f>
        <v>0</v>
      </c>
      <c r="AB464" s="10">
        <v>45986</v>
      </c>
      <c r="AC464" s="11">
        <f>IF($H464="Cancelled","",IFERROR(IF(AB464="","",IF(AND(W464="",Y464=""),"",IF(Y464&gt;W464,Y464+Variables!$B$15+Variables!$B$16+Variables!$B$17-AB464,W464+Variables!$B$16+Variables!$B$17-AB464))),""))</f>
        <v>10</v>
      </c>
      <c r="AD464" s="9" t="s">
        <v>163</v>
      </c>
      <c r="AE464" s="9" t="s">
        <v>1168</v>
      </c>
      <c r="AF464" s="10"/>
      <c r="AG464" s="10"/>
      <c r="AH464" s="9"/>
      <c r="AI464" s="9">
        <v>262190339</v>
      </c>
      <c r="AJ464" s="9" t="s">
        <v>8</v>
      </c>
      <c r="AK464" s="10">
        <v>45997</v>
      </c>
      <c r="AL464" s="10">
        <v>45999</v>
      </c>
      <c r="AM464" s="10">
        <v>45999</v>
      </c>
      <c r="AN464" s="9" t="s">
        <v>95</v>
      </c>
      <c r="AO464" s="9"/>
      <c r="AP464" s="11">
        <f>IF($H464="Cancelled","",IFERROR(IF(OR(AK464="",AB464=""),"",(AB464+Variables!$B$18-AK464)),""))</f>
        <v>-4</v>
      </c>
      <c r="AQ464" s="11">
        <f>IF($H464="Cancelled","",IFERROR(IF(OR(AM464="",AK464=""),"",(AK464+Variables!$B$19)-AM464),""))</f>
        <v>3</v>
      </c>
      <c r="AR464" s="12">
        <f>IF($H464="Cancelled","",IFERROR(T464*INDEX(Variables!$B$7:$D$7,IFERROR(MATCH(IF($B464="Robusta","Robusta",(IF($B464="","Arabica",$B464))&amp;" - "&amp;(IF($C464="","Commercial",$C464))),Variables!$B$1:$D$1,0),1))*(AQ464/365),""))</f>
        <v>689.61787847931714</v>
      </c>
      <c r="AS464" s="12">
        <f>IF($H464="Cancelled","",IFERROR((T464*INDEX(Variables!$B$7:$D$7,IFERROR(MATCH(IF($B464="Robusta","Robusta",(IF($B464="","Arabica",$B464))&amp;" - "&amp;(IF($C464="","Commercial",$C464))),Variables!$B$1:$D$1,0),1))*IFERROR(IF(W464="","",(AVERAGE(E464:F464)-W464)-Variables!$B$14),"")/365)+(L464/16.67*INDEX(Variables!$B$8:$D$8,IFERROR(MATCH(IF($B464="Robusta","Robusta",(IF($B464="","Arabica",$B464))&amp;" - "&amp;(IF($C464="","Commercial",$C464))),Variables!$B$1:$D$1,0),1))*IFERROR(IF(W464="","",(AVERAGE(E464:F464)-W464)-Variables!$B$14),""))+(T464*INDEX(Variables!$B$9:$D$9,IFERROR(MATCH(IF($B464="Robusta","Robusta",(IF($B464="","Arabica",$B464))&amp;" - "&amp;(IF($C464="","Commercial",$C464))),Variables!$B$1:$D$1,0),1))*IFERROR(IF(W464="","",(AVERAGE(E464:F464)-W464)-Variables!$B$14),"")/365),""))</f>
        <v>0</v>
      </c>
      <c r="AT464" s="12">
        <f>IF($H464="Cancelled","",IFERROR((T464*INDEX(Variables!$B$7:$D$7,IFERROR(MATCH(IF($B464="Robusta","Robusta",(IF($B464="","Arabica",$B464))&amp;" - "&amp;(IF($C464="","Commercial",$C464))),Variables!$B$1:$D$1,0),1))*AC464/365)+(L464/16.67*INDEX(Variables!$B$8:$D$8,IFERROR(MATCH(IF($B464="Robusta","Robusta",(IF($B464="","Arabica",$B464))&amp;" - "&amp;(IF($C464="","Commercial",$C464))),Variables!$B$1:$D$1,0),1))*AC464)+(T464*INDEX(Variables!$B$9:$D$9,IFERROR(MATCH(IF($B464="Robusta","Robusta",(IF($B464="","Arabica",$B464))&amp;" - "&amp;(IF($C464="","Commercial",$C464))),Variables!$B$1:$D$1,0),1))*AC464/365),""))</f>
        <v>4128.3612793431812</v>
      </c>
      <c r="AU464" s="12">
        <f>IF($H464="Cancelled","",IFERROR((T464*INDEX(Variables!$B$7:$D$7,IFERROR(MATCH(IF($B464="Robusta","Robusta",(IF($B464="","Arabica",$B464))&amp;" - "&amp;(IF($C464="","Commercial",$C464))),Variables!$B$1:$D$1,0),1))*AP464/365)+(L464/16.67*INDEX(Variables!$B$8:$D$8,IFERROR(MATCH(IF($B464="Robusta","Robusta",(IF($B464="","Arabica",$B464))&amp;" - "&amp;(IF($C464="","Commercial",$C464))),Variables!$B$1:$D$1,0),1))*AP464)+(T464*INDEX(Variables!$B$9:$D$9,IFERROR(MATCH(IF($B464="Robusta","Robusta",(IF($B464="","Arabica",$B464))&amp;" - "&amp;(IF($C464="","Commercial",$C464))),Variables!$B$1:$D$1,0),1))*AP464/365),""))</f>
        <v>-1651.3445117372728</v>
      </c>
      <c r="AV464" s="11">
        <f t="shared" si="53"/>
        <v>25</v>
      </c>
      <c r="AW464" s="12">
        <f>IF($H464="Cancelled","",IFERROR(IF(AV464="","",(T464*INDEX(Variables!$B$7:$D$7,IFERROR(MATCH(IF($B464="Robusta","Robusta",(IF($B464="","Arabica",$B464))&amp;" - "&amp;(IF($C464="","Commercial",$C464))),Variables!$B$1:$D$1,0),1))*(AV464/365))+(T464*INDEX(Variables!$B$9:$D$9,IFERROR(MATCH(IF($B464="Robusta","Robusta",(IF($B464="","Arabica",$B464))&amp;" - "&amp;(IF($C464="","Commercial",$C464))),Variables!$B$1:$D$1,0),1))*(AV464/365))+(INDEX(Variables!$B$8:$D$8,IFERROR(MATCH(IF($B464="Robusta","Robusta",(IF($B464="","Arabica",$B464))&amp;" - "&amp;(IF($C464="","Commercial",$C464))),Variables!$B$1:$D$1,0),1))*L464/16.67)),""))</f>
        <v>6000.9031983579553</v>
      </c>
      <c r="AX464" s="9"/>
      <c r="AY464" s="12"/>
      <c r="AZ464" s="10"/>
      <c r="BA464" s="9"/>
      <c r="BB464" s="10"/>
      <c r="BC464" s="9"/>
      <c r="BD464" s="9"/>
      <c r="BE464" s="9"/>
      <c r="BF464" s="9"/>
    </row>
    <row r="465" spans="1:58" x14ac:dyDescent="0.25">
      <c r="A465" s="9" t="s">
        <v>84</v>
      </c>
      <c r="B465" s="9" t="s">
        <v>85</v>
      </c>
      <c r="C465" s="9" t="s">
        <v>86</v>
      </c>
      <c r="D465" s="10">
        <v>45946</v>
      </c>
      <c r="E465" s="10">
        <v>45992</v>
      </c>
      <c r="F465" s="10">
        <v>46022</v>
      </c>
      <c r="G465" s="9">
        <v>3786977</v>
      </c>
      <c r="H465" s="9" t="str">
        <f t="shared" si="51"/>
        <v>Closed</v>
      </c>
      <c r="I465" s="9" t="str">
        <f t="shared" si="52"/>
        <v>All dates received</v>
      </c>
      <c r="J465" s="9" t="s">
        <v>102</v>
      </c>
      <c r="K465" s="9">
        <v>5353</v>
      </c>
      <c r="L465" s="11">
        <v>1080</v>
      </c>
      <c r="M465" s="9" t="s">
        <v>1169</v>
      </c>
      <c r="N465" s="9" t="s">
        <v>121</v>
      </c>
      <c r="O465" s="9"/>
      <c r="P465" s="9"/>
      <c r="Q465" s="11">
        <v>18</v>
      </c>
      <c r="R465" s="9" t="s">
        <v>90</v>
      </c>
      <c r="S465" s="9" t="s">
        <v>656</v>
      </c>
      <c r="T465" s="12">
        <f>IF($H465="Cancelled","",IFERROR(((Q465+INDEX(Variables!$B$6:$D$6,IFERROR(MATCH(IF($B465="Robusta","Robusta",(IF($B465="","Arabica",$B465))&amp;" - "&amp;(IF($C465="","Commercial",$C465))),Variables!$B$1:$D$1,0),1)))*22.0462)*(L465/16.67),""))</f>
        <v>441061.54077984393</v>
      </c>
      <c r="U465" s="10"/>
      <c r="V465" s="9" t="str">
        <f t="shared" si="54"/>
        <v/>
      </c>
      <c r="W465" s="10">
        <v>45977</v>
      </c>
      <c r="X465" s="9" t="str">
        <f t="shared" si="50"/>
        <v>Approved</v>
      </c>
      <c r="Y465" s="10">
        <v>45976</v>
      </c>
      <c r="Z465" s="10">
        <f>IF($H465="Cancelled","",IFERROR(IF(F465="","",F465-Variables!$B$13),""))</f>
        <v>46007</v>
      </c>
      <c r="AA465" s="11">
        <f>IF($H465="Cancelled","",IFERROR(IF(W465="","",(AVERAGE(E465:F465)-W465)-Variables!$B$14),""))</f>
        <v>0</v>
      </c>
      <c r="AB465" s="10">
        <v>45982</v>
      </c>
      <c r="AC465" s="11">
        <f>IF($H465="Cancelled","",IFERROR(IF(AB465="","",IF(AND(W465="",Y465=""),"",IF(Y465&gt;W465,Y465+Variables!$B$15+Variables!$B$16+Variables!$B$17-AB465,W465+Variables!$B$16+Variables!$B$17-AB465))),""))</f>
        <v>3</v>
      </c>
      <c r="AD465" s="9" t="s">
        <v>163</v>
      </c>
      <c r="AE465" s="9" t="s">
        <v>219</v>
      </c>
      <c r="AF465" s="10"/>
      <c r="AG465" s="10"/>
      <c r="AH465" s="9"/>
      <c r="AI465" s="9">
        <v>262190542</v>
      </c>
      <c r="AJ465" s="9" t="s">
        <v>8</v>
      </c>
      <c r="AK465" s="10">
        <v>45995</v>
      </c>
      <c r="AL465" s="10">
        <v>46001</v>
      </c>
      <c r="AM465" s="10">
        <v>46001</v>
      </c>
      <c r="AN465" s="9" t="s">
        <v>95</v>
      </c>
      <c r="AO465" s="9"/>
      <c r="AP465" s="11">
        <f>IF($H465="Cancelled","",IFERROR(IF(OR(AK465="",AB465=""),"",(AB465+Variables!$B$18-AK465)),""))</f>
        <v>-6</v>
      </c>
      <c r="AQ465" s="11">
        <f>IF($H465="Cancelled","",IFERROR(IF(OR(AM465="",AK465=""),"",(AK465+Variables!$B$19)-AM465),""))</f>
        <v>-1</v>
      </c>
      <c r="AR465" s="12">
        <f>IF($H465="Cancelled","",IFERROR(T465*INDEX(Variables!$B$7:$D$7,IFERROR(MATCH(IF($B465="Robusta","Robusta",(IF($B465="","Arabica",$B465))&amp;" - "&amp;(IF($C465="","Commercial",$C465))),Variables!$B$1:$D$1,0),1))*(AQ465/365),""))</f>
        <v>-77.919502698285072</v>
      </c>
      <c r="AS465" s="12">
        <f>IF($H465="Cancelled","",IFERROR((T465*INDEX(Variables!$B$7:$D$7,IFERROR(MATCH(IF($B465="Robusta","Robusta",(IF($B465="","Arabica",$B465))&amp;" - "&amp;(IF($C465="","Commercial",$C465))),Variables!$B$1:$D$1,0),1))*IFERROR(IF(W465="","",(AVERAGE(E465:F465)-W465)-Variables!$B$14),"")/365)+(L465/16.67*INDEX(Variables!$B$8:$D$8,IFERROR(MATCH(IF($B465="Robusta","Robusta",(IF($B465="","Arabica",$B465))&amp;" - "&amp;(IF($C465="","Commercial",$C465))),Variables!$B$1:$D$1,0),1))*IFERROR(IF(W465="","",(AVERAGE(E465:F465)-W465)-Variables!$B$14),""))+(T465*INDEX(Variables!$B$9:$D$9,IFERROR(MATCH(IF($B465="Robusta","Robusta",(IF($B465="","Arabica",$B465))&amp;" - "&amp;(IF($C465="","Commercial",$C465))),Variables!$B$1:$D$1,0),1))*IFERROR(IF(W465="","",(AVERAGE(E465:F465)-W465)-Variables!$B$14),"")/365),""))</f>
        <v>0</v>
      </c>
      <c r="AT465" s="12">
        <f>IF($H465="Cancelled","",IFERROR((T465*INDEX(Variables!$B$7:$D$7,IFERROR(MATCH(IF($B465="Robusta","Robusta",(IF($B465="","Arabica",$B465))&amp;" - "&amp;(IF($C465="","Commercial",$C465))),Variables!$B$1:$D$1,0),1))*AC465/365)+(L465/16.67*INDEX(Variables!$B$8:$D$8,IFERROR(MATCH(IF($B465="Robusta","Robusta",(IF($B465="","Arabica",$B465))&amp;" - "&amp;(IF($C465="","Commercial",$C465))),Variables!$B$1:$D$1,0),1))*AC465)+(T465*INDEX(Variables!$B$9:$D$9,IFERROR(MATCH(IF($B465="Robusta","Robusta",(IF($B465="","Arabica",$B465))&amp;" - "&amp;(IF($C465="","Commercial",$C465))),Variables!$B$1:$D$1,0),1))*AC465/365),""))</f>
        <v>398.77210638677531</v>
      </c>
      <c r="AU465" s="12">
        <f>IF($H465="Cancelled","",IFERROR((T465*INDEX(Variables!$B$7:$D$7,IFERROR(MATCH(IF($B465="Robusta","Robusta",(IF($B465="","Arabica",$B465))&amp;" - "&amp;(IF($C465="","Commercial",$C465))),Variables!$B$1:$D$1,0),1))*AP465/365)+(L465/16.67*INDEX(Variables!$B$8:$D$8,IFERROR(MATCH(IF($B465="Robusta","Robusta",(IF($B465="","Arabica",$B465))&amp;" - "&amp;(IF($C465="","Commercial",$C465))),Variables!$B$1:$D$1,0),1))*AP465)+(T465*INDEX(Variables!$B$9:$D$9,IFERROR(MATCH(IF($B465="Robusta","Robusta",(IF($B465="","Arabica",$B465))&amp;" - "&amp;(IF($C465="","Commercial",$C465))),Variables!$B$1:$D$1,0),1))*AP465/365),""))</f>
        <v>-797.54421277355061</v>
      </c>
      <c r="AV465" s="11">
        <f t="shared" si="53"/>
        <v>27</v>
      </c>
      <c r="AW465" s="12">
        <f>IF($H465="Cancelled","",IFERROR(IF(AV465="","",(T465*INDEX(Variables!$B$7:$D$7,IFERROR(MATCH(IF($B465="Robusta","Robusta",(IF($B465="","Arabica",$B465))&amp;" - "&amp;(IF($C465="","Commercial",$C465))),Variables!$B$1:$D$1,0),1))*(AV465/365))+(T465*INDEX(Variables!$B$9:$D$9,IFERROR(MATCH(IF($B465="Robusta","Robusta",(IF($B465="","Arabica",$B465))&amp;" - "&amp;(IF($C465="","Commercial",$C465))),Variables!$B$1:$D$1,0),1))*(AV465/365))+(INDEX(Variables!$B$8:$D$8,IFERROR(MATCH(IF($B465="Robusta","Robusta",(IF($B465="","Arabica",$B465))&amp;" - "&amp;(IF($C465="","Commercial",$C465))),Variables!$B$1:$D$1,0),1))*L465/16.67)),""))</f>
        <v>2184.9489574809786</v>
      </c>
      <c r="AX465" s="9"/>
      <c r="AY465" s="12"/>
      <c r="AZ465" s="10"/>
      <c r="BA465" s="9"/>
      <c r="BB465" s="10"/>
      <c r="BC465" s="9"/>
      <c r="BD465" s="9"/>
      <c r="BE465" s="9"/>
      <c r="BF465" s="9"/>
    </row>
    <row r="466" spans="1:58" x14ac:dyDescent="0.25">
      <c r="A466" s="9" t="s">
        <v>84</v>
      </c>
      <c r="B466" s="9" t="s">
        <v>85</v>
      </c>
      <c r="C466" s="9" t="s">
        <v>86</v>
      </c>
      <c r="D466" s="10">
        <v>45946</v>
      </c>
      <c r="E466" s="10">
        <v>46023</v>
      </c>
      <c r="F466" s="10">
        <v>46053</v>
      </c>
      <c r="G466" s="9">
        <v>3786976</v>
      </c>
      <c r="H466" s="9" t="str">
        <f t="shared" si="51"/>
        <v>Closed</v>
      </c>
      <c r="I466" s="9" t="str">
        <f t="shared" si="52"/>
        <v>All dates received</v>
      </c>
      <c r="J466" s="9" t="s">
        <v>102</v>
      </c>
      <c r="K466" s="9" t="s">
        <v>1170</v>
      </c>
      <c r="L466" s="11">
        <v>1080</v>
      </c>
      <c r="M466" s="9" t="s">
        <v>1171</v>
      </c>
      <c r="N466" s="9" t="s">
        <v>629</v>
      </c>
      <c r="O466" s="9"/>
      <c r="P466" s="9"/>
      <c r="Q466" s="11">
        <v>-20.5</v>
      </c>
      <c r="R466" s="9" t="s">
        <v>90</v>
      </c>
      <c r="S466" s="9" t="s">
        <v>178</v>
      </c>
      <c r="T466" s="12">
        <f>IF($H466="Cancelled","",IFERROR(((Q466+INDEX(Variables!$B$6:$D$6,IFERROR(MATCH(IF($B466="Robusta","Robusta",(IF($B466="","Arabica",$B466))&amp;" - "&amp;(IF($C466="","Commercial",$C466))),Variables!$B$1:$D$1,0),1)))*22.0462)*(L466/16.67),""))</f>
        <v>386071.67899220146</v>
      </c>
      <c r="U466" s="10">
        <v>45982</v>
      </c>
      <c r="V466" s="9" t="str">
        <f t="shared" si="54"/>
        <v>Sent</v>
      </c>
      <c r="W466" s="10">
        <v>45996</v>
      </c>
      <c r="X466" s="9" t="str">
        <f t="shared" si="50"/>
        <v>Approved</v>
      </c>
      <c r="Y466" s="10"/>
      <c r="Z466" s="10">
        <f>IF($H466="Cancelled","",IFERROR(IF(F466="","",F466-Variables!$B$13),""))</f>
        <v>46038</v>
      </c>
      <c r="AA466" s="11">
        <f>IF($H466="Cancelled","",IFERROR(IF(W466="","",(AVERAGE(E466:F466)-W466)-Variables!$B$14),""))</f>
        <v>12</v>
      </c>
      <c r="AB466" s="10">
        <v>46008</v>
      </c>
      <c r="AC466" s="11">
        <f>IF($H466="Cancelled","",IFERROR(IF(AB466="","",IF(AND(W466="",Y466=""),"",IF(Y466&gt;W466,Y466+Variables!$B$15+Variables!$B$16+Variables!$B$17-AB466,W466+Variables!$B$16+Variables!$B$17-AB466))),""))</f>
        <v>-4</v>
      </c>
      <c r="AD466" s="9" t="s">
        <v>107</v>
      </c>
      <c r="AE466" s="9" t="s">
        <v>818</v>
      </c>
      <c r="AF466" s="10"/>
      <c r="AG466" s="10"/>
      <c r="AH466" s="9"/>
      <c r="AI466" s="9" t="s">
        <v>1172</v>
      </c>
      <c r="AJ466" s="9" t="s">
        <v>8</v>
      </c>
      <c r="AK466" s="10">
        <v>46029</v>
      </c>
      <c r="AL466" s="10">
        <v>46036</v>
      </c>
      <c r="AM466" s="10">
        <v>46037</v>
      </c>
      <c r="AN466" s="9" t="s">
        <v>95</v>
      </c>
      <c r="AO466" s="9"/>
      <c r="AP466" s="11">
        <f>IF($H466="Cancelled","",IFERROR(IF(OR(AK466="",AB466=""),"",(AB466+Variables!$B$18-AK466)),""))</f>
        <v>-14</v>
      </c>
      <c r="AQ466" s="11">
        <f>IF($H466="Cancelled","",IFERROR(IF(OR(AM466="",AK466=""),"",(AK466+Variables!$B$19)-AM466),""))</f>
        <v>-3</v>
      </c>
      <c r="AR466" s="12">
        <f>IF($H466="Cancelled","",IFERROR(T466*INDEX(Variables!$B$7:$D$7,IFERROR(MATCH(IF($B466="Robusta","Robusta",(IF($B466="","Arabica",$B466))&amp;" - "&amp;(IF($C466="","Commercial",$C466))),Variables!$B$1:$D$1,0),1))*(AQ466/365),""))</f>
        <v>-204.61439358173368</v>
      </c>
      <c r="AS466" s="12">
        <f>IF($H466="Cancelled","",IFERROR((T466*INDEX(Variables!$B$7:$D$7,IFERROR(MATCH(IF($B466="Robusta","Robusta",(IF($B466="","Arabica",$B466))&amp;" - "&amp;(IF($C466="","Commercial",$C466))),Variables!$B$1:$D$1,0),1))*IFERROR(IF(W466="","",(AVERAGE(E466:F466)-W466)-Variables!$B$14),"")/365)+(L466/16.67*INDEX(Variables!$B$8:$D$8,IFERROR(MATCH(IF($B466="Robusta","Robusta",(IF($B466="","Arabica",$B466))&amp;" - "&amp;(IF($C466="","Commercial",$C466))),Variables!$B$1:$D$1,0),1))*IFERROR(IF(W466="","",(AVERAGE(E466:F466)-W466)-Variables!$B$14),""))+(T466*INDEX(Variables!$B$9:$D$9,IFERROR(MATCH(IF($B466="Robusta","Robusta",(IF($B466="","Arabica",$B466))&amp;" - "&amp;(IF($C466="","Commercial",$C466))),Variables!$B$1:$D$1,0),1))*IFERROR(IF(W466="","",(AVERAGE(E466:F466)-W466)-Variables!$B$14),"")/365),""))</f>
        <v>1477.0090719733857</v>
      </c>
      <c r="AT466" s="12">
        <f>IF($H466="Cancelled","",IFERROR((T466*INDEX(Variables!$B$7:$D$7,IFERROR(MATCH(IF($B466="Robusta","Robusta",(IF($B466="","Arabica",$B466))&amp;" - "&amp;(IF($C466="","Commercial",$C466))),Variables!$B$1:$D$1,0),1))*AC466/365)+(L466/16.67*INDEX(Variables!$B$8:$D$8,IFERROR(MATCH(IF($B466="Robusta","Robusta",(IF($B466="","Arabica",$B466))&amp;" - "&amp;(IF($C466="","Commercial",$C466))),Variables!$B$1:$D$1,0),1))*AC466)+(T466*INDEX(Variables!$B$9:$D$9,IFERROR(MATCH(IF($B466="Robusta","Robusta",(IF($B466="","Arabica",$B466))&amp;" - "&amp;(IF($C466="","Commercial",$C466))),Variables!$B$1:$D$1,0),1))*AC466/365),""))</f>
        <v>-492.33635732446191</v>
      </c>
      <c r="AU466" s="12">
        <f>IF($H466="Cancelled","",IFERROR((T466*INDEX(Variables!$B$7:$D$7,IFERROR(MATCH(IF($B466="Robusta","Robusta",(IF($B466="","Arabica",$B466))&amp;" - "&amp;(IF($C466="","Commercial",$C466))),Variables!$B$1:$D$1,0),1))*AP466/365)+(L466/16.67*INDEX(Variables!$B$8:$D$8,IFERROR(MATCH(IF($B466="Robusta","Robusta",(IF($B466="","Arabica",$B466))&amp;" - "&amp;(IF($C466="","Commercial",$C466))),Variables!$B$1:$D$1,0),1))*AP466)+(T466*INDEX(Variables!$B$9:$D$9,IFERROR(MATCH(IF($B466="Robusta","Robusta",(IF($B466="","Arabica",$B466))&amp;" - "&amp;(IF($C466="","Commercial",$C466))),Variables!$B$1:$D$1,0),1))*AP466/365),""))</f>
        <v>-1723.1772506356165</v>
      </c>
      <c r="AV466" s="11">
        <f t="shared" si="53"/>
        <v>24</v>
      </c>
      <c r="AW466" s="12">
        <f>IF($H466="Cancelled","",IFERROR(IF(AV466="","",(T466*INDEX(Variables!$B$7:$D$7,IFERROR(MATCH(IF($B466="Robusta","Robusta",(IF($B466="","Arabica",$B466))&amp;" - "&amp;(IF($C466="","Commercial",$C466))),Variables!$B$1:$D$1,0),1))*(AV466/365))+(T466*INDEX(Variables!$B$9:$D$9,IFERROR(MATCH(IF($B466="Robusta","Robusta",(IF($B466="","Arabica",$B466))&amp;" - "&amp;(IF($C466="","Commercial",$C466))),Variables!$B$1:$D$1,0),1))*(AV466/365))+(INDEX(Variables!$B$8:$D$8,IFERROR(MATCH(IF($B466="Robusta","Robusta",(IF($B466="","Arabica",$B466))&amp;" - "&amp;(IF($C466="","Commercial",$C466))),Variables!$B$1:$D$1,0),1))*L466/16.67)),""))</f>
        <v>1712.0181439467715</v>
      </c>
      <c r="AX466" s="9"/>
      <c r="AY466" s="12"/>
      <c r="AZ466" s="10"/>
      <c r="BA466" s="9"/>
      <c r="BB466" s="10"/>
      <c r="BC466" s="9"/>
      <c r="BD466" s="9"/>
      <c r="BE466" s="9"/>
      <c r="BF466" s="9"/>
    </row>
    <row r="467" spans="1:58" x14ac:dyDescent="0.25">
      <c r="A467" s="9" t="s">
        <v>84</v>
      </c>
      <c r="B467" s="9" t="s">
        <v>85</v>
      </c>
      <c r="C467" s="9" t="s">
        <v>86</v>
      </c>
      <c r="D467" s="10">
        <v>45946</v>
      </c>
      <c r="E467" s="10">
        <v>46023</v>
      </c>
      <c r="F467" s="10">
        <v>46053</v>
      </c>
      <c r="G467" s="9">
        <v>3786976</v>
      </c>
      <c r="H467" s="9" t="str">
        <f t="shared" si="51"/>
        <v>Closed</v>
      </c>
      <c r="I467" s="9" t="str">
        <f t="shared" si="52"/>
        <v>All dates received</v>
      </c>
      <c r="J467" s="9" t="s">
        <v>102</v>
      </c>
      <c r="K467" s="9" t="s">
        <v>1173</v>
      </c>
      <c r="L467" s="11">
        <v>1800</v>
      </c>
      <c r="M467" s="9" t="s">
        <v>1167</v>
      </c>
      <c r="N467" s="9" t="s">
        <v>629</v>
      </c>
      <c r="O467" s="9"/>
      <c r="P467" s="9"/>
      <c r="Q467" s="11">
        <v>-20.5</v>
      </c>
      <c r="R467" s="9" t="s">
        <v>90</v>
      </c>
      <c r="S467" s="9" t="s">
        <v>106</v>
      </c>
      <c r="T467" s="12">
        <f>IF($H467="Cancelled","",IFERROR(((Q467+INDEX(Variables!$B$6:$D$6,IFERROR(MATCH(IF($B467="Robusta","Robusta",(IF($B467="","Arabica",$B467))&amp;" - "&amp;(IF($C467="","Commercial",$C467))),Variables!$B$1:$D$1,0),1)))*22.0462)*(L467/16.67),""))</f>
        <v>643452.7983203358</v>
      </c>
      <c r="U467" s="10">
        <v>45982</v>
      </c>
      <c r="V467" s="9" t="str">
        <f t="shared" si="54"/>
        <v>Sent</v>
      </c>
      <c r="W467" s="10">
        <v>45996</v>
      </c>
      <c r="X467" s="9" t="str">
        <f t="shared" si="50"/>
        <v>Approved</v>
      </c>
      <c r="Y467" s="10"/>
      <c r="Z467" s="10">
        <f>IF($H467="Cancelled","",IFERROR(IF(F467="","",F467-Variables!$B$13),""))</f>
        <v>46038</v>
      </c>
      <c r="AA467" s="11">
        <f>IF($H467="Cancelled","",IFERROR(IF(W467="","",(AVERAGE(E467:F467)-W467)-Variables!$B$14),""))</f>
        <v>12</v>
      </c>
      <c r="AB467" s="10">
        <v>46009</v>
      </c>
      <c r="AC467" s="11">
        <f>IF($H467="Cancelled","",IFERROR(IF(AB467="","",IF(AND(W467="",Y467=""),"",IF(Y467&gt;W467,Y467+Variables!$B$15+Variables!$B$16+Variables!$B$17-AB467,W467+Variables!$B$16+Variables!$B$17-AB467))),""))</f>
        <v>-5</v>
      </c>
      <c r="AD467" s="9" t="s">
        <v>163</v>
      </c>
      <c r="AE467" s="9" t="s">
        <v>324</v>
      </c>
      <c r="AF467" s="10"/>
      <c r="AG467" s="10"/>
      <c r="AH467" s="9"/>
      <c r="AI467" s="9">
        <v>262547932</v>
      </c>
      <c r="AJ467" s="9" t="s">
        <v>8</v>
      </c>
      <c r="AK467" s="10">
        <v>46021</v>
      </c>
      <c r="AL467" s="10">
        <v>46031</v>
      </c>
      <c r="AM467" s="10">
        <v>46036</v>
      </c>
      <c r="AN467" s="9" t="s">
        <v>95</v>
      </c>
      <c r="AO467" s="9"/>
      <c r="AP467" s="11">
        <f>IF($H467="Cancelled","",IFERROR(IF(OR(AK467="",AB467=""),"",(AB467+Variables!$B$18-AK467)),""))</f>
        <v>-5</v>
      </c>
      <c r="AQ467" s="11">
        <f>IF($H467="Cancelled","",IFERROR(IF(OR(AM467="",AK467=""),"",(AK467+Variables!$B$19)-AM467),""))</f>
        <v>-10</v>
      </c>
      <c r="AR467" s="12">
        <f>IF($H467="Cancelled","",IFERROR(T467*INDEX(Variables!$B$7:$D$7,IFERROR(MATCH(IF($B467="Robusta","Robusta",(IF($B467="","Arabica",$B467))&amp;" - "&amp;(IF($C467="","Commercial",$C467))),Variables!$B$1:$D$1,0),1))*(AQ467/365),""))</f>
        <v>-1136.7466310096318</v>
      </c>
      <c r="AS467" s="12">
        <f>IF($H467="Cancelled","",IFERROR((T467*INDEX(Variables!$B$7:$D$7,IFERROR(MATCH(IF($B467="Robusta","Robusta",(IF($B467="","Arabica",$B467))&amp;" - "&amp;(IF($C467="","Commercial",$C467))),Variables!$B$1:$D$1,0),1))*IFERROR(IF(W467="","",(AVERAGE(E467:F467)-W467)-Variables!$B$14),"")/365)+(L467/16.67*INDEX(Variables!$B$8:$D$8,IFERROR(MATCH(IF($B467="Robusta","Robusta",(IF($B467="","Arabica",$B467))&amp;" - "&amp;(IF($C467="","Commercial",$C467))),Variables!$B$1:$D$1,0),1))*IFERROR(IF(W467="","",(AVERAGE(E467:F467)-W467)-Variables!$B$14),""))+(T467*INDEX(Variables!$B$9:$D$9,IFERROR(MATCH(IF($B467="Robusta","Robusta",(IF($B467="","Arabica",$B467))&amp;" - "&amp;(IF($C467="","Commercial",$C467))),Variables!$B$1:$D$1,0),1))*IFERROR(IF(W467="","",(AVERAGE(E467:F467)-W467)-Variables!$B$14),"")/365),""))</f>
        <v>2461.6817866223096</v>
      </c>
      <c r="AT467" s="12">
        <f>IF($H467="Cancelled","",IFERROR((T467*INDEX(Variables!$B$7:$D$7,IFERROR(MATCH(IF($B467="Robusta","Robusta",(IF($B467="","Arabica",$B467))&amp;" - "&amp;(IF($C467="","Commercial",$C467))),Variables!$B$1:$D$1,0),1))*AC467/365)+(L467/16.67*INDEX(Variables!$B$8:$D$8,IFERROR(MATCH(IF($B467="Robusta","Robusta",(IF($B467="","Arabica",$B467))&amp;" - "&amp;(IF($C467="","Commercial",$C467))),Variables!$B$1:$D$1,0),1))*AC467)+(T467*INDEX(Variables!$B$9:$D$9,IFERROR(MATCH(IF($B467="Robusta","Robusta",(IF($B467="","Arabica",$B467))&amp;" - "&amp;(IF($C467="","Commercial",$C467))),Variables!$B$1:$D$1,0),1))*AC467/365),""))</f>
        <v>-1025.7007444259623</v>
      </c>
      <c r="AU467" s="12">
        <f>IF($H467="Cancelled","",IFERROR((T467*INDEX(Variables!$B$7:$D$7,IFERROR(MATCH(IF($B467="Robusta","Robusta",(IF($B467="","Arabica",$B467))&amp;" - "&amp;(IF($C467="","Commercial",$C467))),Variables!$B$1:$D$1,0),1))*AP467/365)+(L467/16.67*INDEX(Variables!$B$8:$D$8,IFERROR(MATCH(IF($B467="Robusta","Robusta",(IF($B467="","Arabica",$B467))&amp;" - "&amp;(IF($C467="","Commercial",$C467))),Variables!$B$1:$D$1,0),1))*AP467)+(T467*INDEX(Variables!$B$9:$D$9,IFERROR(MATCH(IF($B467="Robusta","Robusta",(IF($B467="","Arabica",$B467))&amp;" - "&amp;(IF($C467="","Commercial",$C467))),Variables!$B$1:$D$1,0),1))*AP467/365),""))</f>
        <v>-1025.7007444259623</v>
      </c>
      <c r="AV467" s="11">
        <f t="shared" si="53"/>
        <v>32</v>
      </c>
      <c r="AW467" s="12">
        <f>IF($H467="Cancelled","",IFERROR(IF(AV467="","",(T467*INDEX(Variables!$B$7:$D$7,IFERROR(MATCH(IF($B467="Robusta","Robusta",(IF($B467="","Arabica",$B467))&amp;" - "&amp;(IF($C467="","Commercial",$C467))),Variables!$B$1:$D$1,0),1))*(AV467/365))+(T467*INDEX(Variables!$B$9:$D$9,IFERROR(MATCH(IF($B467="Robusta","Robusta",(IF($B467="","Arabica",$B467))&amp;" - "&amp;(IF($C467="","Commercial",$C467))),Variables!$B$1:$D$1,0),1))*(AV467/365))+(INDEX(Variables!$B$8:$D$8,IFERROR(MATCH(IF($B467="Robusta","Robusta",(IF($B467="","Arabica",$B467))&amp;" - "&amp;(IF($C467="","Commercial",$C467))),Variables!$B$1:$D$1,0),1))*L467/16.67)),""))</f>
        <v>3774.4847643261592</v>
      </c>
      <c r="AX467" s="9"/>
      <c r="AY467" s="12"/>
      <c r="AZ467" s="10"/>
      <c r="BA467" s="9"/>
      <c r="BB467" s="10"/>
      <c r="BC467" s="9"/>
      <c r="BD467" s="9"/>
      <c r="BE467" s="9"/>
      <c r="BF467" s="9"/>
    </row>
    <row r="468" spans="1:58" x14ac:dyDescent="0.25">
      <c r="A468" s="9" t="s">
        <v>84</v>
      </c>
      <c r="B468" s="9" t="s">
        <v>85</v>
      </c>
      <c r="C468" s="9" t="s">
        <v>86</v>
      </c>
      <c r="D468" s="10">
        <v>45946</v>
      </c>
      <c r="E468" s="10">
        <v>46023</v>
      </c>
      <c r="F468" s="10">
        <v>46053</v>
      </c>
      <c r="G468" s="9">
        <v>3786976</v>
      </c>
      <c r="H468" s="9" t="str">
        <f t="shared" si="51"/>
        <v>Closed</v>
      </c>
      <c r="I468" s="9" t="str">
        <f t="shared" si="52"/>
        <v>All dates received</v>
      </c>
      <c r="J468" s="9" t="s">
        <v>102</v>
      </c>
      <c r="K468" s="9" t="s">
        <v>1174</v>
      </c>
      <c r="L468" s="11">
        <v>720</v>
      </c>
      <c r="M468" s="9" t="s">
        <v>1167</v>
      </c>
      <c r="N468" s="9" t="s">
        <v>629</v>
      </c>
      <c r="O468" s="9"/>
      <c r="P468" s="9"/>
      <c r="Q468" s="11">
        <v>-20.5</v>
      </c>
      <c r="R468" s="9" t="s">
        <v>90</v>
      </c>
      <c r="S468" s="9" t="s">
        <v>656</v>
      </c>
      <c r="T468" s="12">
        <f>IF($H468="Cancelled","",IFERROR(((Q468+INDEX(Variables!$B$6:$D$6,IFERROR(MATCH(IF($B468="Robusta","Robusta",(IF($B468="","Arabica",$B468))&amp;" - "&amp;(IF($C468="","Commercial",$C468))),Variables!$B$1:$D$1,0),1)))*22.0462)*(L468/16.67),""))</f>
        <v>257381.11932813434</v>
      </c>
      <c r="U468" s="10">
        <v>45982</v>
      </c>
      <c r="V468" s="9" t="str">
        <f t="shared" si="54"/>
        <v>Sent</v>
      </c>
      <c r="W468" s="10">
        <v>45996</v>
      </c>
      <c r="X468" s="9" t="str">
        <f t="shared" si="50"/>
        <v>Approved</v>
      </c>
      <c r="Y468" s="10"/>
      <c r="Z468" s="10">
        <f>IF($H468="Cancelled","",IFERROR(IF(F468="","",F468-Variables!$B$13),""))</f>
        <v>46038</v>
      </c>
      <c r="AA468" s="11">
        <f>IF($H468="Cancelled","",IFERROR(IF(W468="","",(AVERAGE(E468:F468)-W468)-Variables!$B$14),""))</f>
        <v>12</v>
      </c>
      <c r="AB468" s="10">
        <v>46007</v>
      </c>
      <c r="AC468" s="11">
        <f>IF($H468="Cancelled","",IFERROR(IF(AB468="","",IF(AND(W468="",Y468=""),"",IF(Y468&gt;W468,Y468+Variables!$B$15+Variables!$B$16+Variables!$B$17-AB468,W468+Variables!$B$16+Variables!$B$17-AB468))),""))</f>
        <v>-3</v>
      </c>
      <c r="AD468" s="9" t="s">
        <v>163</v>
      </c>
      <c r="AE468" s="9" t="s">
        <v>598</v>
      </c>
      <c r="AF468" s="10"/>
      <c r="AG468" s="10"/>
      <c r="AH468" s="9"/>
      <c r="AI468" s="9">
        <v>262551127</v>
      </c>
      <c r="AJ468" s="9" t="s">
        <v>8</v>
      </c>
      <c r="AK468" s="10">
        <v>46017</v>
      </c>
      <c r="AL468" s="10">
        <v>46031</v>
      </c>
      <c r="AM468" s="10">
        <v>46036</v>
      </c>
      <c r="AN468" s="9" t="s">
        <v>95</v>
      </c>
      <c r="AO468" s="9"/>
      <c r="AP468" s="11">
        <f>IF($H468="Cancelled","",IFERROR(IF(OR(AK468="",AB468=""),"",(AB468+Variables!$B$18-AK468)),""))</f>
        <v>-3</v>
      </c>
      <c r="AQ468" s="11">
        <f>IF($H468="Cancelled","",IFERROR(IF(OR(AM468="",AK468=""),"",(AK468+Variables!$B$19)-AM468),""))</f>
        <v>-14</v>
      </c>
      <c r="AR468" s="12">
        <f>IF($H468="Cancelled","",IFERROR(T468*INDEX(Variables!$B$7:$D$7,IFERROR(MATCH(IF($B468="Robusta","Robusta",(IF($B468="","Arabica",$B468))&amp;" - "&amp;(IF($C468="","Commercial",$C468))),Variables!$B$1:$D$1,0),1))*(AQ468/365),""))</f>
        <v>-636.57811336539385</v>
      </c>
      <c r="AS468" s="12">
        <f>IF($H468="Cancelled","",IFERROR((T468*INDEX(Variables!$B$7:$D$7,IFERROR(MATCH(IF($B468="Robusta","Robusta",(IF($B468="","Arabica",$B468))&amp;" - "&amp;(IF($C468="","Commercial",$C468))),Variables!$B$1:$D$1,0),1))*IFERROR(IF(W468="","",(AVERAGE(E468:F468)-W468)-Variables!$B$14),"")/365)+(L468/16.67*INDEX(Variables!$B$8:$D$8,IFERROR(MATCH(IF($B468="Robusta","Robusta",(IF($B468="","Arabica",$B468))&amp;" - "&amp;(IF($C468="","Commercial",$C468))),Variables!$B$1:$D$1,0),1))*IFERROR(IF(W468="","",(AVERAGE(E468:F468)-W468)-Variables!$B$14),""))+(T468*INDEX(Variables!$B$9:$D$9,IFERROR(MATCH(IF($B468="Robusta","Robusta",(IF($B468="","Arabica",$B468))&amp;" - "&amp;(IF($C468="","Commercial",$C468))),Variables!$B$1:$D$1,0),1))*IFERROR(IF(W468="","",(AVERAGE(E468:F468)-W468)-Variables!$B$14),"")/365),""))</f>
        <v>984.67271464892406</v>
      </c>
      <c r="AT468" s="12">
        <f>IF($H468="Cancelled","",IFERROR((T468*INDEX(Variables!$B$7:$D$7,IFERROR(MATCH(IF($B468="Robusta","Robusta",(IF($B468="","Arabica",$B468))&amp;" - "&amp;(IF($C468="","Commercial",$C468))),Variables!$B$1:$D$1,0),1))*AC468/365)+(L468/16.67*INDEX(Variables!$B$8:$D$8,IFERROR(MATCH(IF($B468="Robusta","Robusta",(IF($B468="","Arabica",$B468))&amp;" - "&amp;(IF($C468="","Commercial",$C468))),Variables!$B$1:$D$1,0),1))*AC468)+(T468*INDEX(Variables!$B$9:$D$9,IFERROR(MATCH(IF($B468="Robusta","Robusta",(IF($B468="","Arabica",$B468))&amp;" - "&amp;(IF($C468="","Commercial",$C468))),Variables!$B$1:$D$1,0),1))*AC468/365),""))</f>
        <v>-246.16817866223101</v>
      </c>
      <c r="AU468" s="12">
        <f>IF($H468="Cancelled","",IFERROR((T468*INDEX(Variables!$B$7:$D$7,IFERROR(MATCH(IF($B468="Robusta","Robusta",(IF($B468="","Arabica",$B468))&amp;" - "&amp;(IF($C468="","Commercial",$C468))),Variables!$B$1:$D$1,0),1))*AP468/365)+(L468/16.67*INDEX(Variables!$B$8:$D$8,IFERROR(MATCH(IF($B468="Robusta","Robusta",(IF($B468="","Arabica",$B468))&amp;" - "&amp;(IF($C468="","Commercial",$C468))),Variables!$B$1:$D$1,0),1))*AP468)+(T468*INDEX(Variables!$B$9:$D$9,IFERROR(MATCH(IF($B468="Robusta","Robusta",(IF($B468="","Arabica",$B468))&amp;" - "&amp;(IF($C468="","Commercial",$C468))),Variables!$B$1:$D$1,0),1))*AP468/365),""))</f>
        <v>-246.16817866223101</v>
      </c>
      <c r="AV468" s="11">
        <f t="shared" si="53"/>
        <v>36</v>
      </c>
      <c r="AW468" s="12">
        <f>IF($H468="Cancelled","",IFERROR(IF(AV468="","",(T468*INDEX(Variables!$B$7:$D$7,IFERROR(MATCH(IF($B468="Robusta","Robusta",(IF($B468="","Arabica",$B468))&amp;" - "&amp;(IF($C468="","Commercial",$C468))),Variables!$B$1:$D$1,0),1))*(AV468/365))+(T468*INDEX(Variables!$B$9:$D$9,IFERROR(MATCH(IF($B468="Robusta","Robusta",(IF($B468="","Arabica",$B468))&amp;" - "&amp;(IF($C468="","Commercial",$C468))),Variables!$B$1:$D$1,0),1))*(AV468/365))+(INDEX(Variables!$B$8:$D$8,IFERROR(MATCH(IF($B468="Robusta","Robusta",(IF($B468="","Arabica",$B468))&amp;" - "&amp;(IF($C468="","Commercial",$C468))),Variables!$B$1:$D$1,0),1))*L468/16.67)),""))</f>
        <v>1694.0181439467719</v>
      </c>
      <c r="AX468" s="9"/>
      <c r="AY468" s="12"/>
      <c r="AZ468" s="10"/>
      <c r="BA468" s="9"/>
      <c r="BB468" s="10"/>
      <c r="BC468" s="9"/>
      <c r="BD468" s="9"/>
      <c r="BE468" s="9"/>
      <c r="BF468" s="9"/>
    </row>
    <row r="469" spans="1:58" x14ac:dyDescent="0.25">
      <c r="A469" s="9" t="s">
        <v>84</v>
      </c>
      <c r="B469" s="9" t="s">
        <v>85</v>
      </c>
      <c r="C469" s="9" t="s">
        <v>86</v>
      </c>
      <c r="D469" s="10">
        <v>45946</v>
      </c>
      <c r="E469" s="10">
        <v>46023</v>
      </c>
      <c r="F469" s="10">
        <v>46053</v>
      </c>
      <c r="G469" s="9">
        <v>3786978</v>
      </c>
      <c r="H469" s="9" t="str">
        <f t="shared" si="51"/>
        <v>Closed</v>
      </c>
      <c r="I469" s="9" t="str">
        <f t="shared" si="52"/>
        <v>All dates received</v>
      </c>
      <c r="J469" s="9" t="s">
        <v>102</v>
      </c>
      <c r="K469" s="9" t="s">
        <v>1175</v>
      </c>
      <c r="L469" s="11">
        <v>1440</v>
      </c>
      <c r="M469" s="9" t="s">
        <v>1169</v>
      </c>
      <c r="N469" s="9" t="s">
        <v>121</v>
      </c>
      <c r="O469" s="9"/>
      <c r="P469" s="9"/>
      <c r="Q469" s="11">
        <v>15</v>
      </c>
      <c r="R469" s="9" t="s">
        <v>90</v>
      </c>
      <c r="S469" s="9" t="s">
        <v>656</v>
      </c>
      <c r="T469" s="12">
        <f>IF($H469="Cancelled","",IFERROR(((Q469+INDEX(Variables!$B$6:$D$6,IFERROR(MATCH(IF($B469="Robusta","Robusta",(IF($B469="","Arabica",$B469))&amp;" - "&amp;(IF($C469="","Commercial",$C469))),Variables!$B$1:$D$1,0),1)))*22.0462)*(L469/16.67),""))</f>
        <v>582368.82197960408</v>
      </c>
      <c r="U469" s="10">
        <v>45982</v>
      </c>
      <c r="V469" s="9" t="str">
        <f t="shared" si="54"/>
        <v>Sent</v>
      </c>
      <c r="W469" s="10">
        <v>45996</v>
      </c>
      <c r="X469" s="9" t="str">
        <f t="shared" si="50"/>
        <v>Approved</v>
      </c>
      <c r="Y469" s="10"/>
      <c r="Z469" s="10">
        <f>IF($H469="Cancelled","",IFERROR(IF(F469="","",F469-Variables!$B$13),""))</f>
        <v>46038</v>
      </c>
      <c r="AA469" s="11">
        <f>IF($H469="Cancelled","",IFERROR(IF(W469="","",(AVERAGE(E469:F469)-W469)-Variables!$B$14),""))</f>
        <v>12</v>
      </c>
      <c r="AB469" s="10">
        <v>46007</v>
      </c>
      <c r="AC469" s="11">
        <f>IF($H469="Cancelled","",IFERROR(IF(AB469="","",IF(AND(W469="",Y469=""),"",IF(Y469&gt;W469,Y469+Variables!$B$15+Variables!$B$16+Variables!$B$17-AB469,W469+Variables!$B$16+Variables!$B$17-AB469))),""))</f>
        <v>-3</v>
      </c>
      <c r="AD469" s="9" t="s">
        <v>107</v>
      </c>
      <c r="AE469" s="9" t="s">
        <v>818</v>
      </c>
      <c r="AF469" s="10"/>
      <c r="AG469" s="10"/>
      <c r="AH469" s="9"/>
      <c r="AI469" s="9" t="s">
        <v>1176</v>
      </c>
      <c r="AJ469" s="9" t="s">
        <v>8</v>
      </c>
      <c r="AK469" s="10">
        <v>46029</v>
      </c>
      <c r="AL469" s="10">
        <v>46031</v>
      </c>
      <c r="AM469" s="10">
        <v>46031</v>
      </c>
      <c r="AN469" s="9" t="s">
        <v>95</v>
      </c>
      <c r="AO469" s="9"/>
      <c r="AP469" s="11">
        <f>IF($H469="Cancelled","",IFERROR(IF(OR(AK469="",AB469=""),"",(AB469+Variables!$B$18-AK469)),""))</f>
        <v>-15</v>
      </c>
      <c r="AQ469" s="11">
        <f>IF($H469="Cancelled","",IFERROR(IF(OR(AM469="",AK469=""),"",(AK469+Variables!$B$19)-AM469),""))</f>
        <v>3</v>
      </c>
      <c r="AR469" s="12">
        <f>IF($H469="Cancelled","",IFERROR(T469*INDEX(Variables!$B$7:$D$7,IFERROR(MATCH(IF($B469="Robusta","Robusta",(IF($B469="","Arabica",$B469))&amp;" - "&amp;(IF($C469="","Commercial",$C469))),Variables!$B$1:$D$1,0),1))*(AQ469/365),""))</f>
        <v>308.65005084372518</v>
      </c>
      <c r="AS469" s="12">
        <f>IF($H469="Cancelled","",IFERROR((T469*INDEX(Variables!$B$7:$D$7,IFERROR(MATCH(IF($B469="Robusta","Robusta",(IF($B469="","Arabica",$B469))&amp;" - "&amp;(IF($C469="","Commercial",$C469))),Variables!$B$1:$D$1,0),1))*IFERROR(IF(W469="","",(AVERAGE(E469:F469)-W469)-Variables!$B$14),"")/365)+(L469/16.67*INDEX(Variables!$B$8:$D$8,IFERROR(MATCH(IF($B469="Robusta","Robusta",(IF($B469="","Arabica",$B469))&amp;" - "&amp;(IF($C469="","Commercial",$C469))),Variables!$B$1:$D$1,0),1))*IFERROR(IF(W469="","",(AVERAGE(E469:F469)-W469)-Variables!$B$14),""))+(T469*INDEX(Variables!$B$9:$D$9,IFERROR(MATCH(IF($B469="Robusta","Robusta",(IF($B469="","Arabica",$B469))&amp;" - "&amp;(IF($C469="","Commercial",$C469))),Variables!$B$1:$D$1,0),1))*IFERROR(IF(W469="","",(AVERAGE(E469:F469)-W469)-Variables!$B$14),"")/365),""))</f>
        <v>2114.5165826092566</v>
      </c>
      <c r="AT469" s="12">
        <f>IF($H469="Cancelled","",IFERROR((T469*INDEX(Variables!$B$7:$D$7,IFERROR(MATCH(IF($B469="Robusta","Robusta",(IF($B469="","Arabica",$B469))&amp;" - "&amp;(IF($C469="","Commercial",$C469))),Variables!$B$1:$D$1,0),1))*AC469/365)+(L469/16.67*INDEX(Variables!$B$8:$D$8,IFERROR(MATCH(IF($B469="Robusta","Robusta",(IF($B469="","Arabica",$B469))&amp;" - "&amp;(IF($C469="","Commercial",$C469))),Variables!$B$1:$D$1,0),1))*AC469)+(T469*INDEX(Variables!$B$9:$D$9,IFERROR(MATCH(IF($B469="Robusta","Robusta",(IF($B469="","Arabica",$B469))&amp;" - "&amp;(IF($C469="","Commercial",$C469))),Variables!$B$1:$D$1,0),1))*AC469/365),""))</f>
        <v>-528.62914565231415</v>
      </c>
      <c r="AU469" s="12">
        <f>IF($H469="Cancelled","",IFERROR((T469*INDEX(Variables!$B$7:$D$7,IFERROR(MATCH(IF($B469="Robusta","Robusta",(IF($B469="","Arabica",$B469))&amp;" - "&amp;(IF($C469="","Commercial",$C469))),Variables!$B$1:$D$1,0),1))*AP469/365)+(L469/16.67*INDEX(Variables!$B$8:$D$8,IFERROR(MATCH(IF($B469="Robusta","Robusta",(IF($B469="","Arabica",$B469))&amp;" - "&amp;(IF($C469="","Commercial",$C469))),Variables!$B$1:$D$1,0),1))*AP469)+(T469*INDEX(Variables!$B$9:$D$9,IFERROR(MATCH(IF($B469="Robusta","Robusta",(IF($B469="","Arabica",$B469))&amp;" - "&amp;(IF($C469="","Commercial",$C469))),Variables!$B$1:$D$1,0),1))*AP469/365),""))</f>
        <v>-2643.1457282615706</v>
      </c>
      <c r="AV469" s="11">
        <f t="shared" si="53"/>
        <v>24</v>
      </c>
      <c r="AW469" s="12">
        <f>IF($H469="Cancelled","",IFERROR(IF(AV469="","",(T469*INDEX(Variables!$B$7:$D$7,IFERROR(MATCH(IF($B469="Robusta","Robusta",(IF($B469="","Arabica",$B469))&amp;" - "&amp;(IF($C469="","Commercial",$C469))),Variables!$B$1:$D$1,0),1))*(AV469/365))+(T469*INDEX(Variables!$B$9:$D$9,IFERROR(MATCH(IF($B469="Robusta","Robusta",(IF($B469="","Arabica",$B469))&amp;" - "&amp;(IF($C469="","Commercial",$C469))),Variables!$B$1:$D$1,0),1))*(AV469/365))+(INDEX(Variables!$B$8:$D$8,IFERROR(MATCH(IF($B469="Robusta","Robusta",(IF($B469="","Arabica",$B469))&amp;" - "&amp;(IF($C469="","Commercial",$C469))),Variables!$B$1:$D$1,0),1))*L469/16.67)),""))</f>
        <v>2573.0331652185123</v>
      </c>
      <c r="AX469" s="9"/>
      <c r="AY469" s="12"/>
      <c r="AZ469" s="10"/>
      <c r="BA469" s="9"/>
      <c r="BB469" s="10"/>
      <c r="BC469" s="9"/>
      <c r="BD469" s="9"/>
      <c r="BE469" s="9"/>
      <c r="BF469" s="9"/>
    </row>
    <row r="470" spans="1:58" x14ac:dyDescent="0.25">
      <c r="A470" s="9" t="s">
        <v>84</v>
      </c>
      <c r="B470" s="9" t="s">
        <v>85</v>
      </c>
      <c r="C470" s="9" t="s">
        <v>86</v>
      </c>
      <c r="D470" s="10">
        <v>45946</v>
      </c>
      <c r="E470" s="10">
        <v>46023</v>
      </c>
      <c r="F470" s="10">
        <v>46053</v>
      </c>
      <c r="G470" s="9">
        <v>3786978</v>
      </c>
      <c r="H470" s="9" t="str">
        <f t="shared" si="51"/>
        <v>Closed</v>
      </c>
      <c r="I470" s="9" t="str">
        <f t="shared" si="52"/>
        <v>All dates received</v>
      </c>
      <c r="J470" s="9" t="s">
        <v>102</v>
      </c>
      <c r="K470" s="9" t="s">
        <v>1177</v>
      </c>
      <c r="L470" s="11">
        <v>360</v>
      </c>
      <c r="M470" s="9" t="s">
        <v>1169</v>
      </c>
      <c r="N470" s="9" t="s">
        <v>121</v>
      </c>
      <c r="O470" s="9"/>
      <c r="P470" s="9"/>
      <c r="Q470" s="11">
        <v>15</v>
      </c>
      <c r="R470" s="9" t="s">
        <v>90</v>
      </c>
      <c r="S470" s="9" t="s">
        <v>656</v>
      </c>
      <c r="T470" s="12">
        <f>IF($H470="Cancelled","",IFERROR(((Q470+INDEX(Variables!$B$6:$D$6,IFERROR(MATCH(IF($B470="Robusta","Robusta",(IF($B470="","Arabica",$B470))&amp;" - "&amp;(IF($C470="","Commercial",$C470))),Variables!$B$1:$D$1,0),1)))*22.0462)*(L470/16.67),""))</f>
        <v>145592.20549490102</v>
      </c>
      <c r="U470" s="10">
        <v>45982</v>
      </c>
      <c r="V470" s="9" t="str">
        <f t="shared" si="54"/>
        <v>Sent</v>
      </c>
      <c r="W470" s="10">
        <v>45996</v>
      </c>
      <c r="X470" s="9" t="str">
        <f t="shared" si="50"/>
        <v>Approved</v>
      </c>
      <c r="Y470" s="10"/>
      <c r="Z470" s="10">
        <f>IF($H470="Cancelled","",IFERROR(IF(F470="","",F470-Variables!$B$13),""))</f>
        <v>46038</v>
      </c>
      <c r="AA470" s="11">
        <f>IF($H470="Cancelled","",IFERROR(IF(W470="","",(AVERAGE(E470:F470)-W470)-Variables!$B$14),""))</f>
        <v>12</v>
      </c>
      <c r="AB470" s="10">
        <v>46006</v>
      </c>
      <c r="AC470" s="11">
        <f>IF($H470="Cancelled","",IFERROR(IF(AB470="","",IF(AND(W470="",Y470=""),"",IF(Y470&gt;W470,Y470+Variables!$B$15+Variables!$B$16+Variables!$B$17-AB470,W470+Variables!$B$16+Variables!$B$17-AB470))),""))</f>
        <v>-2</v>
      </c>
      <c r="AD470" s="9" t="s">
        <v>163</v>
      </c>
      <c r="AE470" s="9" t="s">
        <v>598</v>
      </c>
      <c r="AF470" s="10"/>
      <c r="AG470" s="10"/>
      <c r="AH470" s="9"/>
      <c r="AI470" s="9">
        <v>262548264</v>
      </c>
      <c r="AJ470" s="9" t="s">
        <v>8</v>
      </c>
      <c r="AK470" s="10">
        <v>46017</v>
      </c>
      <c r="AL470" s="10">
        <v>46031</v>
      </c>
      <c r="AM470" s="10">
        <v>46037</v>
      </c>
      <c r="AN470" s="9" t="s">
        <v>95</v>
      </c>
      <c r="AO470" s="9"/>
      <c r="AP470" s="11">
        <f>IF($H470="Cancelled","",IFERROR(IF(OR(AK470="",AB470=""),"",(AB470+Variables!$B$18-AK470)),""))</f>
        <v>-4</v>
      </c>
      <c r="AQ470" s="11">
        <f>IF($H470="Cancelled","",IFERROR(IF(OR(AM470="",AK470=""),"",(AK470+Variables!$B$19)-AM470),""))</f>
        <v>-15</v>
      </c>
      <c r="AR470" s="12">
        <f>IF($H470="Cancelled","",IFERROR(T470*INDEX(Variables!$B$7:$D$7,IFERROR(MATCH(IF($B470="Robusta","Robusta",(IF($B470="","Arabica",$B470))&amp;" - "&amp;(IF($C470="","Commercial",$C470))),Variables!$B$1:$D$1,0),1))*(AQ470/365),""))</f>
        <v>-385.81256355465649</v>
      </c>
      <c r="AS470" s="12">
        <f>IF($H470="Cancelled","",IFERROR((T470*INDEX(Variables!$B$7:$D$7,IFERROR(MATCH(IF($B470="Robusta","Robusta",(IF($B470="","Arabica",$B470))&amp;" - "&amp;(IF($C470="","Commercial",$C470))),Variables!$B$1:$D$1,0),1))*IFERROR(IF(W470="","",(AVERAGE(E470:F470)-W470)-Variables!$B$14),"")/365)+(L470/16.67*INDEX(Variables!$B$8:$D$8,IFERROR(MATCH(IF($B470="Robusta","Robusta",(IF($B470="","Arabica",$B470))&amp;" - "&amp;(IF($C470="","Commercial",$C470))),Variables!$B$1:$D$1,0),1))*IFERROR(IF(W470="","",(AVERAGE(E470:F470)-W470)-Variables!$B$14),""))+(T470*INDEX(Variables!$B$9:$D$9,IFERROR(MATCH(IF($B470="Robusta","Robusta",(IF($B470="","Arabica",$B470))&amp;" - "&amp;(IF($C470="","Commercial",$C470))),Variables!$B$1:$D$1,0),1))*IFERROR(IF(W470="","",(AVERAGE(E470:F470)-W470)-Variables!$B$14),"")/365),""))</f>
        <v>528.62914565231415</v>
      </c>
      <c r="AT470" s="12">
        <f>IF($H470="Cancelled","",IFERROR((T470*INDEX(Variables!$B$7:$D$7,IFERROR(MATCH(IF($B470="Robusta","Robusta",(IF($B470="","Arabica",$B470))&amp;" - "&amp;(IF($C470="","Commercial",$C470))),Variables!$B$1:$D$1,0),1))*AC470/365)+(L470/16.67*INDEX(Variables!$B$8:$D$8,IFERROR(MATCH(IF($B470="Robusta","Robusta",(IF($B470="","Arabica",$B470))&amp;" - "&amp;(IF($C470="","Commercial",$C470))),Variables!$B$1:$D$1,0),1))*AC470)+(T470*INDEX(Variables!$B$9:$D$9,IFERROR(MATCH(IF($B470="Robusta","Robusta",(IF($B470="","Arabica",$B470))&amp;" - "&amp;(IF($C470="","Commercial",$C470))),Variables!$B$1:$D$1,0),1))*AC470/365),""))</f>
        <v>-88.104857608719016</v>
      </c>
      <c r="AU470" s="12">
        <f>IF($H470="Cancelled","",IFERROR((T470*INDEX(Variables!$B$7:$D$7,IFERROR(MATCH(IF($B470="Robusta","Robusta",(IF($B470="","Arabica",$B470))&amp;" - "&amp;(IF($C470="","Commercial",$C470))),Variables!$B$1:$D$1,0),1))*AP470/365)+(L470/16.67*INDEX(Variables!$B$8:$D$8,IFERROR(MATCH(IF($B470="Robusta","Robusta",(IF($B470="","Arabica",$B470))&amp;" - "&amp;(IF($C470="","Commercial",$C470))),Variables!$B$1:$D$1,0),1))*AP470)+(T470*INDEX(Variables!$B$9:$D$9,IFERROR(MATCH(IF($B470="Robusta","Robusta",(IF($B470="","Arabica",$B470))&amp;" - "&amp;(IF($C470="","Commercial",$C470))),Variables!$B$1:$D$1,0),1))*AP470/365),""))</f>
        <v>-176.20971521743803</v>
      </c>
      <c r="AV470" s="11">
        <f t="shared" si="53"/>
        <v>36</v>
      </c>
      <c r="AW470" s="12">
        <f>IF($H470="Cancelled","",IFERROR(IF(AV470="","",(T470*INDEX(Variables!$B$7:$D$7,IFERROR(MATCH(IF($B470="Robusta","Robusta",(IF($B470="","Arabica",$B470))&amp;" - "&amp;(IF($C470="","Commercial",$C470))),Variables!$B$1:$D$1,0),1))*(AV470/365))+(T470*INDEX(Variables!$B$9:$D$9,IFERROR(MATCH(IF($B470="Robusta","Robusta",(IF($B470="","Arabica",$B470))&amp;" - "&amp;(IF($C470="","Commercial",$C470))),Variables!$B$1:$D$1,0),1))*(AV470/365))+(INDEX(Variables!$B$8:$D$8,IFERROR(MATCH(IF($B470="Robusta","Robusta",(IF($B470="","Arabica",$B470))&amp;" - "&amp;(IF($C470="","Commercial",$C470))),Variables!$B$1:$D$1,0),1))*L470/16.67)),""))</f>
        <v>955.88743695694211</v>
      </c>
      <c r="AX470" s="9"/>
      <c r="AY470" s="12"/>
      <c r="AZ470" s="10"/>
      <c r="BA470" s="9"/>
      <c r="BB470" s="10"/>
      <c r="BC470" s="9"/>
      <c r="BD470" s="9"/>
      <c r="BE470" s="9"/>
      <c r="BF470" s="9"/>
    </row>
    <row r="471" spans="1:58" x14ac:dyDescent="0.25">
      <c r="A471" s="9" t="s">
        <v>84</v>
      </c>
      <c r="B471" s="9" t="s">
        <v>85</v>
      </c>
      <c r="C471" s="9" t="s">
        <v>86</v>
      </c>
      <c r="D471" s="10">
        <v>45951</v>
      </c>
      <c r="E471" s="10">
        <v>45992</v>
      </c>
      <c r="F471" s="10">
        <v>46053</v>
      </c>
      <c r="G471" s="9">
        <v>3786979</v>
      </c>
      <c r="H471" s="9" t="str">
        <f t="shared" si="51"/>
        <v>Closed</v>
      </c>
      <c r="I471" s="9" t="str">
        <f t="shared" si="52"/>
        <v>All dates received</v>
      </c>
      <c r="J471" s="9" t="s">
        <v>494</v>
      </c>
      <c r="K471" s="9" t="s">
        <v>1178</v>
      </c>
      <c r="L471" s="11">
        <v>200</v>
      </c>
      <c r="M471" s="9" t="s">
        <v>126</v>
      </c>
      <c r="N471" s="9" t="s">
        <v>126</v>
      </c>
      <c r="O471" s="9"/>
      <c r="P471" s="9"/>
      <c r="Q471" s="11">
        <v>43</v>
      </c>
      <c r="R471" s="9" t="s">
        <v>90</v>
      </c>
      <c r="S471" s="9" t="s">
        <v>150</v>
      </c>
      <c r="T471" s="12">
        <f>IF($H471="Cancelled","",IFERROR(((Q471+INDEX(Variables!$B$6:$D$6,IFERROR(MATCH(IF($B471="Robusta","Robusta",(IF($B471="","Arabica",$B471))&amp;" - "&amp;(IF($C471="","Commercial",$C471))),Variables!$B$1:$D$1,0),1)))*22.0462)*(L471/16.67),""))</f>
        <v>88290.60059988001</v>
      </c>
      <c r="U471" s="10">
        <v>45974</v>
      </c>
      <c r="V471" s="9" t="str">
        <f t="shared" si="54"/>
        <v>Sent</v>
      </c>
      <c r="W471" s="10">
        <v>45979</v>
      </c>
      <c r="X471" s="9" t="str">
        <f t="shared" si="50"/>
        <v>Approved</v>
      </c>
      <c r="Y471" s="10"/>
      <c r="Z471" s="10">
        <f>IF($H471="Cancelled","",IFERROR(IF(F471="","",F471-Variables!$B$13),""))</f>
        <v>46038</v>
      </c>
      <c r="AA471" s="11">
        <f>IF($H471="Cancelled","",IFERROR(IF(W471="","",(AVERAGE(E471:F471)-W471)-Variables!$B$14),""))</f>
        <v>13.5</v>
      </c>
      <c r="AB471" s="10">
        <v>45992</v>
      </c>
      <c r="AC471" s="11">
        <f>IF($H471="Cancelled","",IFERROR(IF(AB471="","",IF(AND(W471="",Y471=""),"",IF(Y471&gt;W471,Y471+Variables!$B$15+Variables!$B$16+Variables!$B$17-AB471,W471+Variables!$B$16+Variables!$B$17-AB471))),""))</f>
        <v>-5</v>
      </c>
      <c r="AD471" s="9" t="s">
        <v>151</v>
      </c>
      <c r="AE471" s="9" t="s">
        <v>1179</v>
      </c>
      <c r="AF471" s="10"/>
      <c r="AG471" s="10"/>
      <c r="AH471" s="9"/>
      <c r="AI471" s="9" t="s">
        <v>1180</v>
      </c>
      <c r="AJ471" s="9" t="s">
        <v>8</v>
      </c>
      <c r="AK471" s="10">
        <v>46015</v>
      </c>
      <c r="AL471" s="10">
        <v>46030</v>
      </c>
      <c r="AM471" s="10">
        <v>46048</v>
      </c>
      <c r="AN471" s="9" t="s">
        <v>95</v>
      </c>
      <c r="AO471" s="9"/>
      <c r="AP471" s="11">
        <f>IF($H471="Cancelled","",IFERROR(IF(OR(AK471="",AB471=""),"",(AB471+Variables!$B$18-AK471)),""))</f>
        <v>-16</v>
      </c>
      <c r="AQ471" s="11">
        <f>IF($H471="Cancelled","",IFERROR(IF(OR(AM471="",AK471=""),"",(AK471+Variables!$B$19)-AM471),""))</f>
        <v>-28</v>
      </c>
      <c r="AR471" s="12">
        <f>IF($H471="Cancelled","",IFERROR(T471*INDEX(Variables!$B$7:$D$7,IFERROR(MATCH(IF($B471="Robusta","Robusta",(IF($B471="","Arabica",$B471))&amp;" - "&amp;(IF($C471="","Commercial",$C471))),Variables!$B$1:$D$1,0),1))*(AQ471/365),""))</f>
        <v>-436.73649492614885</v>
      </c>
      <c r="AS471" s="12">
        <f>IF($H471="Cancelled","",IFERROR((T471*INDEX(Variables!$B$7:$D$7,IFERROR(MATCH(IF($B471="Robusta","Robusta",(IF($B471="","Arabica",$B471))&amp;" - "&amp;(IF($C471="","Commercial",$C471))),Variables!$B$1:$D$1,0),1))*IFERROR(IF(W471="","",(AVERAGE(E471:F471)-W471)-Variables!$B$14),"")/365)+(L471/16.67*INDEX(Variables!$B$8:$D$8,IFERROR(MATCH(IF($B471="Robusta","Robusta",(IF($B471="","Arabica",$B471))&amp;" - "&amp;(IF($C471="","Commercial",$C471))),Variables!$B$1:$D$1,0),1))*IFERROR(IF(W471="","",(AVERAGE(E471:F471)-W471)-Variables!$B$14),""))+(T471*INDEX(Variables!$B$9:$D$9,IFERROR(MATCH(IF($B471="Robusta","Robusta",(IF($B471="","Arabica",$B471))&amp;" - "&amp;(IF($C471="","Commercial",$C471))),Variables!$B$1:$D$1,0),1))*IFERROR(IF(W471="","",(AVERAGE(E471:F471)-W471)-Variables!$B$14),"")/365),""))</f>
        <v>348.28402718022892</v>
      </c>
      <c r="AT471" s="12">
        <f>IF($H471="Cancelled","",IFERROR((T471*INDEX(Variables!$B$7:$D$7,IFERROR(MATCH(IF($B471="Robusta","Robusta",(IF($B471="","Arabica",$B471))&amp;" - "&amp;(IF($C471="","Commercial",$C471))),Variables!$B$1:$D$1,0),1))*AC471/365)+(L471/16.67*INDEX(Variables!$B$8:$D$8,IFERROR(MATCH(IF($B471="Robusta","Robusta",(IF($B471="","Arabica",$B471))&amp;" - "&amp;(IF($C471="","Commercial",$C471))),Variables!$B$1:$D$1,0),1))*AC471)+(T471*INDEX(Variables!$B$9:$D$9,IFERROR(MATCH(IF($B471="Robusta","Robusta",(IF($B471="","Arabica",$B471))&amp;" - "&amp;(IF($C471="","Commercial",$C471))),Variables!$B$1:$D$1,0),1))*AC471/365),""))</f>
        <v>-128.99408414082552</v>
      </c>
      <c r="AU471" s="12">
        <f>IF($H471="Cancelled","",IFERROR((T471*INDEX(Variables!$B$7:$D$7,IFERROR(MATCH(IF($B471="Robusta","Robusta",(IF($B471="","Arabica",$B471))&amp;" - "&amp;(IF($C471="","Commercial",$C471))),Variables!$B$1:$D$1,0),1))*AP471/365)+(L471/16.67*INDEX(Variables!$B$8:$D$8,IFERROR(MATCH(IF($B471="Robusta","Robusta",(IF($B471="","Arabica",$B471))&amp;" - "&amp;(IF($C471="","Commercial",$C471))),Variables!$B$1:$D$1,0),1))*AP471)+(T471*INDEX(Variables!$B$9:$D$9,IFERROR(MATCH(IF($B471="Robusta","Robusta",(IF($B471="","Arabica",$B471))&amp;" - "&amp;(IF($C471="","Commercial",$C471))),Variables!$B$1:$D$1,0),1))*AP471/365),""))</f>
        <v>-412.78106925064168</v>
      </c>
      <c r="AV471" s="11">
        <f t="shared" si="53"/>
        <v>38</v>
      </c>
      <c r="AW471" s="12">
        <f>IF($H471="Cancelled","",IFERROR(IF(AV471="","",(T471*INDEX(Variables!$B$7:$D$7,IFERROR(MATCH(IF($B471="Robusta","Robusta",(IF($B471="","Arabica",$B471))&amp;" - "&amp;(IF($C471="","Commercial",$C471))),Variables!$B$1:$D$1,0),1))*(AV471/365))+(T471*INDEX(Variables!$B$9:$D$9,IFERROR(MATCH(IF($B471="Robusta","Robusta",(IF($B471="","Arabica",$B471))&amp;" - "&amp;(IF($C471="","Commercial",$C471))),Variables!$B$1:$D$1,0),1))*(AV471/365))+(INDEX(Variables!$B$8:$D$8,IFERROR(MATCH(IF($B471="Robusta","Robusta",(IF($B471="","Arabica",$B471))&amp;" - "&amp;(IF($C471="","Commercial",$C471))),Variables!$B$1:$D$1,0),1))*L471/16.67)),""))</f>
        <v>610.35503947027394</v>
      </c>
      <c r="AX471" s="9"/>
      <c r="AY471" s="12"/>
      <c r="AZ471" s="10"/>
      <c r="BA471" s="9"/>
      <c r="BB471" s="10"/>
      <c r="BC471" s="9"/>
      <c r="BD471" s="9"/>
      <c r="BE471" s="9"/>
      <c r="BF471" s="9"/>
    </row>
    <row r="472" spans="1:58" x14ac:dyDescent="0.25">
      <c r="A472" s="9" t="s">
        <v>84</v>
      </c>
      <c r="B472" s="9" t="s">
        <v>85</v>
      </c>
      <c r="C472" s="9" t="s">
        <v>86</v>
      </c>
      <c r="D472" s="10">
        <v>45958</v>
      </c>
      <c r="E472" s="10">
        <v>45992</v>
      </c>
      <c r="F472" s="10">
        <v>46022</v>
      </c>
      <c r="G472" s="9">
        <v>3786980</v>
      </c>
      <c r="H472" s="9" t="str">
        <f t="shared" si="51"/>
        <v>Closed</v>
      </c>
      <c r="I472" s="9" t="str">
        <f t="shared" si="52"/>
        <v>All dates received</v>
      </c>
      <c r="J472" s="9" t="s">
        <v>102</v>
      </c>
      <c r="K472" s="9">
        <v>5351</v>
      </c>
      <c r="L472" s="11">
        <v>720</v>
      </c>
      <c r="M472" s="9" t="s">
        <v>1181</v>
      </c>
      <c r="N472" s="9" t="s">
        <v>387</v>
      </c>
      <c r="O472" s="9"/>
      <c r="P472" s="9"/>
      <c r="Q472" s="11">
        <v>-25</v>
      </c>
      <c r="R472" s="9" t="s">
        <v>90</v>
      </c>
      <c r="S472" s="9" t="s">
        <v>106</v>
      </c>
      <c r="T472" s="12">
        <f>IF($H472="Cancelled","",IFERROR(((Q472+INDEX(Variables!$B$6:$D$6,IFERROR(MATCH(IF($B472="Robusta","Robusta",(IF($B472="","Arabica",$B472))&amp;" - "&amp;(IF($C472="","Commercial",$C472))),Variables!$B$1:$D$1,0),1)))*22.0462)*(L472/16.67),""))</f>
        <v>253096.19503299339</v>
      </c>
      <c r="U472" s="10"/>
      <c r="V472" s="9" t="str">
        <f t="shared" si="54"/>
        <v/>
      </c>
      <c r="W472" s="10">
        <v>45977</v>
      </c>
      <c r="X472" s="9" t="str">
        <f t="shared" si="50"/>
        <v>Approved</v>
      </c>
      <c r="Y472" s="10">
        <v>45971</v>
      </c>
      <c r="Z472" s="10">
        <f>IF($H472="Cancelled","",IFERROR(IF(F472="","",F472-Variables!$B$13),""))</f>
        <v>46007</v>
      </c>
      <c r="AA472" s="11">
        <f>IF($H472="Cancelled","",IFERROR(IF(W472="","",(AVERAGE(E472:F472)-W472)-Variables!$B$14),""))</f>
        <v>0</v>
      </c>
      <c r="AB472" s="10">
        <v>45975</v>
      </c>
      <c r="AC472" s="11">
        <f>IF($H472="Cancelled","",IFERROR(IF(AB472="","",IF(AND(W472="",Y472=""),"",IF(Y472&gt;W472,Y472+Variables!$B$15+Variables!$B$16+Variables!$B$17-AB472,W472+Variables!$B$16+Variables!$B$17-AB472))),""))</f>
        <v>10</v>
      </c>
      <c r="AD472" s="9" t="s">
        <v>1182</v>
      </c>
      <c r="AE472" s="9" t="s">
        <v>818</v>
      </c>
      <c r="AF472" s="10"/>
      <c r="AG472" s="10"/>
      <c r="AH472" s="9"/>
      <c r="AI472" s="9" t="s">
        <v>1183</v>
      </c>
      <c r="AJ472" s="9" t="s">
        <v>8</v>
      </c>
      <c r="AK472" s="10">
        <v>45993</v>
      </c>
      <c r="AL472" s="10">
        <v>45995</v>
      </c>
      <c r="AM472" s="10">
        <v>45996</v>
      </c>
      <c r="AN472" s="9" t="s">
        <v>95</v>
      </c>
      <c r="AO472" s="9"/>
      <c r="AP472" s="11">
        <f>IF($H472="Cancelled","",IFERROR(IF(OR(AK472="",AB472=""),"",(AB472+Variables!$B$18-AK472)),""))</f>
        <v>-11</v>
      </c>
      <c r="AQ472" s="11">
        <f>IF($H472="Cancelled","",IFERROR(IF(OR(AM472="",AK472=""),"",(AK472+Variables!$B$19)-AM472),""))</f>
        <v>2</v>
      </c>
      <c r="AR472" s="12">
        <f>IF($H472="Cancelled","",IFERROR(T472*INDEX(Variables!$B$7:$D$7,IFERROR(MATCH(IF($B472="Robusta","Robusta",(IF($B472="","Arabica",$B472))&amp;" - "&amp;(IF($C472="","Commercial",$C472))),Variables!$B$1:$D$1,0),1))*(AQ472/365),""))</f>
        <v>89.425750506062954</v>
      </c>
      <c r="AS472" s="12">
        <f>IF($H472="Cancelled","",IFERROR((T472*INDEX(Variables!$B$7:$D$7,IFERROR(MATCH(IF($B472="Robusta","Robusta",(IF($B472="","Arabica",$B472))&amp;" - "&amp;(IF($C472="","Commercial",$C472))),Variables!$B$1:$D$1,0),1))*IFERROR(IF(W472="","",(AVERAGE(E472:F472)-W472)-Variables!$B$14),"")/365)+(L472/16.67*INDEX(Variables!$B$8:$D$8,IFERROR(MATCH(IF($B472="Robusta","Robusta",(IF($B472="","Arabica",$B472))&amp;" - "&amp;(IF($C472="","Commercial",$C472))),Variables!$B$1:$D$1,0),1))*IFERROR(IF(W472="","",(AVERAGE(E472:F472)-W472)-Variables!$B$14),""))+(T472*INDEX(Variables!$B$9:$D$9,IFERROR(MATCH(IF($B472="Robusta","Robusta",(IF($B472="","Arabica",$B472))&amp;" - "&amp;(IF($C472="","Commercial",$C472))),Variables!$B$1:$D$1,0),1))*IFERROR(IF(W472="","",(AVERAGE(E472:F472)-W472)-Variables!$B$14),"")/365),""))</f>
        <v>0</v>
      </c>
      <c r="AT472" s="12">
        <f>IF($H472="Cancelled","",IFERROR((T472*INDEX(Variables!$B$7:$D$7,IFERROR(MATCH(IF($B472="Robusta","Robusta",(IF($B472="","Arabica",$B472))&amp;" - "&amp;(IF($C472="","Commercial",$C472))),Variables!$B$1:$D$1,0),1))*AC472/365)+(L472/16.67*INDEX(Variables!$B$8:$D$8,IFERROR(MATCH(IF($B472="Robusta","Robusta",(IF($B472="","Arabica",$B472))&amp;" - "&amp;(IF($C472="","Commercial",$C472))),Variables!$B$1:$D$1,0),1))*AC472)+(T472*INDEX(Variables!$B$9:$D$9,IFERROR(MATCH(IF($B472="Robusta","Robusta",(IF($B472="","Arabica",$B472))&amp;" - "&amp;(IF($C472="","Commercial",$C472))),Variables!$B$1:$D$1,0),1))*AC472/365),""))</f>
        <v>812.89310504897037</v>
      </c>
      <c r="AU472" s="12">
        <f>IF($H472="Cancelled","",IFERROR((T472*INDEX(Variables!$B$7:$D$7,IFERROR(MATCH(IF($B472="Robusta","Robusta",(IF($B472="","Arabica",$B472))&amp;" - "&amp;(IF($C472="","Commercial",$C472))),Variables!$B$1:$D$1,0),1))*AP472/365)+(L472/16.67*INDEX(Variables!$B$8:$D$8,IFERROR(MATCH(IF($B472="Robusta","Robusta",(IF($B472="","Arabica",$B472))&amp;" - "&amp;(IF($C472="","Commercial",$C472))),Variables!$B$1:$D$1,0),1))*AP472)+(T472*INDEX(Variables!$B$9:$D$9,IFERROR(MATCH(IF($B472="Robusta","Robusta",(IF($B472="","Arabica",$B472))&amp;" - "&amp;(IF($C472="","Commercial",$C472))),Variables!$B$1:$D$1,0),1))*AP472/365),""))</f>
        <v>-894.18241555386726</v>
      </c>
      <c r="AV472" s="11">
        <f t="shared" si="53"/>
        <v>29</v>
      </c>
      <c r="AW472" s="12">
        <f>IF($H472="Cancelled","",IFERROR(IF(AV472="","",(T472*INDEX(Variables!$B$7:$D$7,IFERROR(MATCH(IF($B472="Robusta","Robusta",(IF($B472="","Arabica",$B472))&amp;" - "&amp;(IF($C472="","Commercial",$C472))),Variables!$B$1:$D$1,0),1))*(AV472/365))+(T472*INDEX(Variables!$B$9:$D$9,IFERROR(MATCH(IF($B472="Robusta","Robusta",(IF($B472="","Arabica",$B472))&amp;" - "&amp;(IF($C472="","Commercial",$C472))),Variables!$B$1:$D$1,0),1))*(AV472/365))+(INDEX(Variables!$B$8:$D$8,IFERROR(MATCH(IF($B472="Robusta","Robusta",(IF($B472="","Arabica",$B472))&amp;" - "&amp;(IF($C472="","Commercial",$C472))),Variables!$B$1:$D$1,0),1))*L472/16.67)),""))</f>
        <v>1349.390004642014</v>
      </c>
      <c r="AX472" s="9"/>
      <c r="AY472" s="12"/>
      <c r="AZ472" s="10"/>
      <c r="BA472" s="9"/>
      <c r="BB472" s="10"/>
      <c r="BC472" s="9"/>
      <c r="BD472" s="9"/>
      <c r="BE472" s="9"/>
      <c r="BF472" s="9"/>
    </row>
    <row r="473" spans="1:58" x14ac:dyDescent="0.25">
      <c r="A473" s="9" t="s">
        <v>84</v>
      </c>
      <c r="B473" s="9" t="s">
        <v>85</v>
      </c>
      <c r="C473" s="9" t="s">
        <v>86</v>
      </c>
      <c r="D473" s="10">
        <v>45958</v>
      </c>
      <c r="E473" s="10">
        <v>46023</v>
      </c>
      <c r="F473" s="10">
        <v>46053</v>
      </c>
      <c r="G473" s="9">
        <v>3786981</v>
      </c>
      <c r="H473" s="9" t="str">
        <f t="shared" si="51"/>
        <v>Closed</v>
      </c>
      <c r="I473" s="9" t="str">
        <f t="shared" si="52"/>
        <v>All dates received</v>
      </c>
      <c r="J473" s="9" t="s">
        <v>102</v>
      </c>
      <c r="K473" s="9">
        <v>5360</v>
      </c>
      <c r="L473" s="11">
        <v>720</v>
      </c>
      <c r="M473" s="9" t="s">
        <v>1181</v>
      </c>
      <c r="N473" s="9" t="s">
        <v>387</v>
      </c>
      <c r="O473" s="9"/>
      <c r="P473" s="9"/>
      <c r="Q473" s="11">
        <v>-25</v>
      </c>
      <c r="R473" s="9" t="s">
        <v>90</v>
      </c>
      <c r="S473" s="9" t="s">
        <v>106</v>
      </c>
      <c r="T473" s="12">
        <f>IF($H473="Cancelled","",IFERROR(((Q473+INDEX(Variables!$B$6:$D$6,IFERROR(MATCH(IF($B473="Robusta","Robusta",(IF($B473="","Arabica",$B473))&amp;" - "&amp;(IF($C473="","Commercial",$C473))),Variables!$B$1:$D$1,0),1)))*22.0462)*(L473/16.67),""))</f>
        <v>253096.19503299339</v>
      </c>
      <c r="U473" s="10">
        <v>45974</v>
      </c>
      <c r="V473" s="9" t="str">
        <f t="shared" si="54"/>
        <v>Sent</v>
      </c>
      <c r="W473" s="10"/>
      <c r="X473" s="9" t="str">
        <f t="shared" si="50"/>
        <v/>
      </c>
      <c r="Y473" s="10"/>
      <c r="Z473" s="10">
        <f>IF($H473="Cancelled","",IFERROR(IF(F473="","",F473-Variables!$B$13),""))</f>
        <v>46038</v>
      </c>
      <c r="AA473" s="11" t="str">
        <f>IF($H473="Cancelled","",IFERROR(IF(W473="","",(AVERAGE(E473:F473)-W473)-Variables!$B$14),""))</f>
        <v/>
      </c>
      <c r="AB473" s="10">
        <v>45993</v>
      </c>
      <c r="AC473" s="11" t="str">
        <f>IF($H473="Cancelled","",IFERROR(IF(AB473="","",IF(AND(W473="",Y473=""),"",IF(Y473&gt;W473,Y473+Variables!$B$15+Variables!$B$16+Variables!$B$17-AB473,W473+Variables!$B$16+Variables!$B$17-AB473))),""))</f>
        <v/>
      </c>
      <c r="AD473" s="9" t="s">
        <v>163</v>
      </c>
      <c r="AE473" s="9" t="s">
        <v>324</v>
      </c>
      <c r="AF473" s="10"/>
      <c r="AG473" s="10"/>
      <c r="AH473" s="9"/>
      <c r="AI473" s="9">
        <v>262438001</v>
      </c>
      <c r="AJ473" s="9" t="s">
        <v>8</v>
      </c>
      <c r="AK473" s="10">
        <v>46002</v>
      </c>
      <c r="AL473" s="10">
        <v>46007</v>
      </c>
      <c r="AM473" s="10">
        <v>46010</v>
      </c>
      <c r="AN473" s="9" t="s">
        <v>95</v>
      </c>
      <c r="AO473" s="9"/>
      <c r="AP473" s="11">
        <f>IF($H473="Cancelled","",IFERROR(IF(OR(AK473="",AB473=""),"",(AB473+Variables!$B$18-AK473)),""))</f>
        <v>-2</v>
      </c>
      <c r="AQ473" s="11">
        <f>IF($H473="Cancelled","",IFERROR(IF(OR(AM473="",AK473=""),"",(AK473+Variables!$B$19)-AM473),""))</f>
        <v>-3</v>
      </c>
      <c r="AR473" s="12">
        <f>IF($H473="Cancelled","",IFERROR(T473*INDEX(Variables!$B$7:$D$7,IFERROR(MATCH(IF($B473="Robusta","Robusta",(IF($B473="","Arabica",$B473))&amp;" - "&amp;(IF($C473="","Commercial",$C473))),Variables!$B$1:$D$1,0),1))*(AQ473/365),""))</f>
        <v>-134.1386257590944</v>
      </c>
      <c r="AS473" s="12" t="str">
        <f>IF($H473="Cancelled","",IFERROR((T473*INDEX(Variables!$B$7:$D$7,IFERROR(MATCH(IF($B473="Robusta","Robusta",(IF($B473="","Arabica",$B473))&amp;" - "&amp;(IF($C473="","Commercial",$C473))),Variables!$B$1:$D$1,0),1))*IFERROR(IF(W473="","",(AVERAGE(E473:F473)-W473)-Variables!$B$14),"")/365)+(L473/16.67*INDEX(Variables!$B$8:$D$8,IFERROR(MATCH(IF($B473="Robusta","Robusta",(IF($B473="","Arabica",$B473))&amp;" - "&amp;(IF($C473="","Commercial",$C473))),Variables!$B$1:$D$1,0),1))*IFERROR(IF(W473="","",(AVERAGE(E473:F473)-W473)-Variables!$B$14),""))+(T473*INDEX(Variables!$B$9:$D$9,IFERROR(MATCH(IF($B473="Robusta","Robusta",(IF($B473="","Arabica",$B473))&amp;" - "&amp;(IF($C473="","Commercial",$C473))),Variables!$B$1:$D$1,0),1))*IFERROR(IF(W473="","",(AVERAGE(E473:F473)-W473)-Variables!$B$14),"")/365),""))</f>
        <v/>
      </c>
      <c r="AT473" s="12" t="str">
        <f>IF($H473="Cancelled","",IFERROR((T473*INDEX(Variables!$B$7:$D$7,IFERROR(MATCH(IF($B473="Robusta","Robusta",(IF($B473="","Arabica",$B473))&amp;" - "&amp;(IF($C473="","Commercial",$C473))),Variables!$B$1:$D$1,0),1))*AC473/365)+(L473/16.67*INDEX(Variables!$B$8:$D$8,IFERROR(MATCH(IF($B473="Robusta","Robusta",(IF($B473="","Arabica",$B473))&amp;" - "&amp;(IF($C473="","Commercial",$C473))),Variables!$B$1:$D$1,0),1))*AC473)+(T473*INDEX(Variables!$B$9:$D$9,IFERROR(MATCH(IF($B473="Robusta","Robusta",(IF($B473="","Arabica",$B473))&amp;" - "&amp;(IF($C473="","Commercial",$C473))),Variables!$B$1:$D$1,0),1))*AC473/365),""))</f>
        <v/>
      </c>
      <c r="AU473" s="12">
        <f>IF($H473="Cancelled","",IFERROR((T473*INDEX(Variables!$B$7:$D$7,IFERROR(MATCH(IF($B473="Robusta","Robusta",(IF($B473="","Arabica",$B473))&amp;" - "&amp;(IF($C473="","Commercial",$C473))),Variables!$B$1:$D$1,0),1))*AP473/365)+(L473/16.67*INDEX(Variables!$B$8:$D$8,IFERROR(MATCH(IF($B473="Robusta","Robusta",(IF($B473="","Arabica",$B473))&amp;" - "&amp;(IF($C473="","Commercial",$C473))),Variables!$B$1:$D$1,0),1))*AP473)+(T473*INDEX(Variables!$B$9:$D$9,IFERROR(MATCH(IF($B473="Robusta","Robusta",(IF($B473="","Arabica",$B473))&amp;" - "&amp;(IF($C473="","Commercial",$C473))),Variables!$B$1:$D$1,0),1))*AP473/365),""))</f>
        <v>-162.57862100979409</v>
      </c>
      <c r="AV473" s="11">
        <f t="shared" si="53"/>
        <v>51</v>
      </c>
      <c r="AW473" s="12">
        <f>IF($H473="Cancelled","",IFERROR(IF(AV473="","",(T473*INDEX(Variables!$B$7:$D$7,IFERROR(MATCH(IF($B473="Robusta","Robusta",(IF($B473="","Arabica",$B473))&amp;" - "&amp;(IF($C473="","Commercial",$C473))),Variables!$B$1:$D$1,0),1))*(AV473/365))+(T473*INDEX(Variables!$B$9:$D$9,IFERROR(MATCH(IF($B473="Robusta","Robusta",(IF($B473="","Arabica",$B473))&amp;" - "&amp;(IF($C473="","Commercial",$C473))),Variables!$B$1:$D$1,0),1))*(AV473/365))+(INDEX(Variables!$B$8:$D$8,IFERROR(MATCH(IF($B473="Robusta","Robusta",(IF($B473="","Arabica",$B473))&amp;" - "&amp;(IF($C473="","Commercial",$C473))),Variables!$B$1:$D$1,0),1))*L473/16.67)),""))</f>
        <v>2345.7548357497485</v>
      </c>
      <c r="AX473" s="9"/>
      <c r="AY473" s="12"/>
      <c r="AZ473" s="10"/>
      <c r="BA473" s="9"/>
      <c r="BB473" s="10"/>
      <c r="BC473" s="9"/>
      <c r="BD473" s="9"/>
      <c r="BE473" s="9"/>
      <c r="BF473" s="9"/>
    </row>
    <row r="474" spans="1:58" x14ac:dyDescent="0.25">
      <c r="A474" s="9" t="s">
        <v>84</v>
      </c>
      <c r="B474" s="9" t="s">
        <v>85</v>
      </c>
      <c r="C474" s="9" t="s">
        <v>86</v>
      </c>
      <c r="D474" s="10">
        <v>45959</v>
      </c>
      <c r="E474" s="10">
        <v>46023</v>
      </c>
      <c r="F474" s="10">
        <v>46053</v>
      </c>
      <c r="G474" s="9">
        <v>3786982</v>
      </c>
      <c r="H474" s="9" t="str">
        <f t="shared" si="51"/>
        <v>Open</v>
      </c>
      <c r="I474" s="9" t="str">
        <f t="shared" si="52"/>
        <v>No docs dispatch date</v>
      </c>
      <c r="J474" s="9" t="s">
        <v>322</v>
      </c>
      <c r="K474" s="9">
        <v>5357</v>
      </c>
      <c r="L474" s="11">
        <v>667</v>
      </c>
      <c r="M474" s="9" t="s">
        <v>1184</v>
      </c>
      <c r="N474" s="9" t="s">
        <v>387</v>
      </c>
      <c r="O474" s="9"/>
      <c r="P474" s="9"/>
      <c r="Q474" s="11">
        <v>-25</v>
      </c>
      <c r="R474" s="9" t="s">
        <v>90</v>
      </c>
      <c r="S474" s="9"/>
      <c r="T474" s="12">
        <f>IF($H474="Cancelled","",IFERROR(((Q474+INDEX(Variables!$B$6:$D$6,IFERROR(MATCH(IF($B474="Robusta","Robusta",(IF($B474="","Arabica",$B474))&amp;" - "&amp;(IF($C474="","Commercial",$C474))),Variables!$B$1:$D$1,0),1)))*22.0462)*(L474/16.67),""))</f>
        <v>234465.50289862027</v>
      </c>
      <c r="U474" s="10">
        <v>45982</v>
      </c>
      <c r="V474" s="9" t="str">
        <f t="shared" si="54"/>
        <v>Sent</v>
      </c>
      <c r="W474" s="10">
        <v>46031</v>
      </c>
      <c r="X474" s="9" t="str">
        <f t="shared" si="50"/>
        <v>Approved</v>
      </c>
      <c r="Y474" s="10"/>
      <c r="Z474" s="10">
        <f>IF($H474="Cancelled","",IFERROR(IF(F474="","",F474-Variables!$B$13),""))</f>
        <v>46038</v>
      </c>
      <c r="AA474" s="11">
        <f>IF($H474="Cancelled","",IFERROR(IF(W474="","",(AVERAGE(E474:F474)-W474)-Variables!$B$14),""))</f>
        <v>-23</v>
      </c>
      <c r="AB474" s="10">
        <v>46042</v>
      </c>
      <c r="AC474" s="11">
        <f>IF($H474="Cancelled","",IFERROR(IF(AB474="","",IF(AND(W474="",Y474=""),"",IF(Y474&gt;W474,Y474+Variables!$B$15+Variables!$B$16+Variables!$B$17-AB474,W474+Variables!$B$16+Variables!$B$17-AB474))),""))</f>
        <v>-3</v>
      </c>
      <c r="AD474" s="9" t="s">
        <v>130</v>
      </c>
      <c r="AE474" s="9" t="s">
        <v>1185</v>
      </c>
      <c r="AF474" s="10"/>
      <c r="AG474" s="10"/>
      <c r="AH474" s="9"/>
      <c r="AI474" s="9" t="s">
        <v>1186</v>
      </c>
      <c r="AJ474" s="9"/>
      <c r="AK474" s="10">
        <v>46063</v>
      </c>
      <c r="AL474" s="10">
        <v>46080</v>
      </c>
      <c r="AM474" s="10"/>
      <c r="AN474" s="9" t="s">
        <v>1016</v>
      </c>
      <c r="AO474" s="9"/>
      <c r="AP474" s="11">
        <f>IF($H474="Cancelled","",IFERROR(IF(OR(AK474="",AB474=""),"",(AB474+Variables!$B$18-AK474)),""))</f>
        <v>-14</v>
      </c>
      <c r="AQ474" s="11" t="str">
        <f>IF($H474="Cancelled","",IFERROR(IF(OR(AM474="",AK474=""),"",(AK474+Variables!$B$19)-AM474),""))</f>
        <v/>
      </c>
      <c r="AR474" s="12" t="str">
        <f>IF($H474="Cancelled","",IFERROR(T474*INDEX(Variables!$B$7:$D$7,IFERROR(MATCH(IF($B474="Robusta","Robusta",(IF($B474="","Arabica",$B474))&amp;" - "&amp;(IF($C474="","Commercial",$C474))),Variables!$B$1:$D$1,0),1))*(AQ474/365),""))</f>
        <v/>
      </c>
      <c r="AS474" s="12">
        <f>IF($H474="Cancelled","",IFERROR((T474*INDEX(Variables!$B$7:$D$7,IFERROR(MATCH(IF($B474="Robusta","Robusta",(IF($B474="","Arabica",$B474))&amp;" - "&amp;(IF($C474="","Commercial",$C474))),Variables!$B$1:$D$1,0),1))*IFERROR(IF(W474="","",(AVERAGE(E474:F474)-W474)-Variables!$B$14),"")/365)+(L474/16.67*INDEX(Variables!$B$8:$D$8,IFERROR(MATCH(IF($B474="Robusta","Robusta",(IF($B474="","Arabica",$B474))&amp;" - "&amp;(IF($C474="","Commercial",$C474))),Variables!$B$1:$D$1,0),1))*IFERROR(IF(W474="","",(AVERAGE(E474:F474)-W474)-Variables!$B$14),""))+(T474*INDEX(Variables!$B$9:$D$9,IFERROR(MATCH(IF($B474="Robusta","Robusta",(IF($B474="","Arabica",$B474))&amp;" - "&amp;(IF($C474="","Commercial",$C474))),Variables!$B$1:$D$1,0),1))*IFERROR(IF(W474="","",(AVERAGE(E474:F474)-W474)-Variables!$B$14),"")/365),""))</f>
        <v>-1732.0268228550351</v>
      </c>
      <c r="AT474" s="12">
        <f>IF($H474="Cancelled","",IFERROR((T474*INDEX(Variables!$B$7:$D$7,IFERROR(MATCH(IF($B474="Robusta","Robusta",(IF($B474="","Arabica",$B474))&amp;" - "&amp;(IF($C474="","Commercial",$C474))),Variables!$B$1:$D$1,0),1))*AC474/365)+(L474/16.67*INDEX(Variables!$B$8:$D$8,IFERROR(MATCH(IF($B474="Robusta","Robusta",(IF($B474="","Arabica",$B474))&amp;" - "&amp;(IF($C474="","Commercial",$C474))),Variables!$B$1:$D$1,0),1))*AC474)+(T474*INDEX(Variables!$B$9:$D$9,IFERROR(MATCH(IF($B474="Robusta","Robusta",(IF($B474="","Arabica",$B474))&amp;" - "&amp;(IF($C474="","Commercial",$C474))),Variables!$B$1:$D$1,0),1))*AC474/365),""))</f>
        <v>-225.91654211152635</v>
      </c>
      <c r="AU474" s="12">
        <f>IF($H474="Cancelled","",IFERROR((T474*INDEX(Variables!$B$7:$D$7,IFERROR(MATCH(IF($B474="Robusta","Robusta",(IF($B474="","Arabica",$B474))&amp;" - "&amp;(IF($C474="","Commercial",$C474))),Variables!$B$1:$D$1,0),1))*AP474/365)+(L474/16.67*INDEX(Variables!$B$8:$D$8,IFERROR(MATCH(IF($B474="Robusta","Robusta",(IF($B474="","Arabica",$B474))&amp;" - "&amp;(IF($C474="","Commercial",$C474))),Variables!$B$1:$D$1,0),1))*AP474)+(T474*INDEX(Variables!$B$9:$D$9,IFERROR(MATCH(IF($B474="Robusta","Robusta",(IF($B474="","Arabica",$B474))&amp;" - "&amp;(IF($C474="","Commercial",$C474))),Variables!$B$1:$D$1,0),1))*AP474/365),""))</f>
        <v>-1054.2771965204561</v>
      </c>
      <c r="AV474" s="11">
        <f t="shared" si="53"/>
        <v>-10</v>
      </c>
      <c r="AW474" s="12">
        <f>IF($H474="Cancelled","",IFERROR(IF(AV474="","",(T474*INDEX(Variables!$B$7:$D$7,IFERROR(MATCH(IF($B474="Robusta","Robusta",(IF($B474="","Arabica",$B474))&amp;" - "&amp;(IF($C474="","Commercial",$C474))),Variables!$B$1:$D$1,0),1))*(AV474/365))+(T474*INDEX(Variables!$B$9:$D$9,IFERROR(MATCH(IF($B474="Robusta","Robusta",(IF($B474="","Arabica",$B474))&amp;" - "&amp;(IF($C474="","Commercial",$C474))),Variables!$B$1:$D$1,0),1))*(AV474/365))+(INDEX(Variables!$B$8:$D$8,IFERROR(MATCH(IF($B474="Robusta","Robusta",(IF($B474="","Arabica",$B474))&amp;" - "&amp;(IF($C474="","Commercial",$C474))),Variables!$B$1:$D$1,0),1))*L474/16.67)),""))</f>
        <v>-386.20514037175428</v>
      </c>
      <c r="AX474" s="9"/>
      <c r="AY474" s="12"/>
      <c r="AZ474" s="10"/>
      <c r="BA474" s="9"/>
      <c r="BB474" s="10"/>
      <c r="BC474" s="9"/>
      <c r="BD474" s="9"/>
      <c r="BE474" s="9"/>
      <c r="BF474" s="9"/>
    </row>
    <row r="475" spans="1:58" x14ac:dyDescent="0.25">
      <c r="A475" s="9" t="s">
        <v>84</v>
      </c>
      <c r="B475" s="9" t="s">
        <v>85</v>
      </c>
      <c r="C475" s="9" t="s">
        <v>86</v>
      </c>
      <c r="D475" s="10">
        <v>46029</v>
      </c>
      <c r="E475" s="10">
        <v>46082</v>
      </c>
      <c r="F475" s="10">
        <v>46112</v>
      </c>
      <c r="G475" s="9">
        <v>3787089</v>
      </c>
      <c r="H475" s="9" t="str">
        <f t="shared" si="51"/>
        <v>Open</v>
      </c>
      <c r="I475" s="9" t="str">
        <f t="shared" si="52"/>
        <v>No sailing date and No shipping advice sent and No docs dispatch date</v>
      </c>
      <c r="J475" s="9" t="s">
        <v>240</v>
      </c>
      <c r="K475" s="9"/>
      <c r="L475" s="11">
        <v>320</v>
      </c>
      <c r="M475" s="9" t="s">
        <v>1187</v>
      </c>
      <c r="N475" s="9" t="s">
        <v>960</v>
      </c>
      <c r="O475" s="9"/>
      <c r="P475" s="9"/>
      <c r="Q475" s="11">
        <v>13</v>
      </c>
      <c r="R475" s="9" t="s">
        <v>90</v>
      </c>
      <c r="S475" s="9"/>
      <c r="T475" s="12">
        <f>IF($H475="Cancelled","",IFERROR(((Q475+INDEX(Variables!$B$6:$D$6,IFERROR(MATCH(IF($B475="Robusta","Robusta",(IF($B475="","Arabica",$B475))&amp;" - "&amp;(IF($C475="","Commercial",$C475))),Variables!$B$1:$D$1,0),1)))*22.0462)*(L475/16.67),""))</f>
        <v>128568.88897420514</v>
      </c>
      <c r="U475" s="10">
        <v>46072</v>
      </c>
      <c r="V475" s="9" t="str">
        <f t="shared" si="54"/>
        <v>Sent</v>
      </c>
      <c r="W475" s="10">
        <v>46090</v>
      </c>
      <c r="X475" s="9" t="str">
        <f t="shared" si="50"/>
        <v>Approved</v>
      </c>
      <c r="Y475" s="10"/>
      <c r="Z475" s="10">
        <f>IF($H475="Cancelled","",IFERROR(IF(F475="","",F475-Variables!$B$13),""))</f>
        <v>46097</v>
      </c>
      <c r="AA475" s="11">
        <f>IF($H475="Cancelled","",IFERROR(IF(W475="","",(AVERAGE(E475:F475)-W475)-Variables!$B$14),""))</f>
        <v>-23</v>
      </c>
      <c r="AB475" s="10"/>
      <c r="AC475" s="11" t="str">
        <f>IF($H475="Cancelled","",IFERROR(IF(AB475="","",IF(AND(W475="",Y475=""),"",IF(Y475&gt;W475,Y475+Variables!$B$15+Variables!$B$16+Variables!$B$17-AB475,W475+Variables!$B$16+Variables!$B$17-AB475))),""))</f>
        <v/>
      </c>
      <c r="AD475" s="9"/>
      <c r="AE475" s="9"/>
      <c r="AF475" s="10"/>
      <c r="AG475" s="10"/>
      <c r="AH475" s="9"/>
      <c r="AI475" s="9"/>
      <c r="AJ475" s="9"/>
      <c r="AK475" s="10"/>
      <c r="AL475" s="10"/>
      <c r="AM475" s="10"/>
      <c r="AN475" s="9" t="s">
        <v>1188</v>
      </c>
      <c r="AO475" s="9"/>
      <c r="AP475" s="11" t="str">
        <f>IF($H475="Cancelled","",IFERROR(IF(OR(AK475="",AB475=""),"",(AB475+Variables!$B$18-AK475)),""))</f>
        <v/>
      </c>
      <c r="AQ475" s="11" t="str">
        <f>IF($H475="Cancelled","",IFERROR(IF(OR(AM475="",AK475=""),"",(AK475+Variables!$B$19)-AM475),""))</f>
        <v/>
      </c>
      <c r="AR475" s="12" t="str">
        <f>IF($H475="Cancelled","",IFERROR(T475*INDEX(Variables!$B$7:$D$7,IFERROR(MATCH(IF($B475="Robusta","Robusta",(IF($B475="","Arabica",$B475))&amp;" - "&amp;(IF($C475="","Commercial",$C475))),Variables!$B$1:$D$1,0),1))*(AQ475/365),""))</f>
        <v/>
      </c>
      <c r="AS475" s="12">
        <f>IF($H475="Cancelled","",IFERROR((T475*INDEX(Variables!$B$7:$D$7,IFERROR(MATCH(IF($B475="Robusta","Robusta",(IF($B475="","Arabica",$B475))&amp;" - "&amp;(IF($C475="","Commercial",$C475))),Variables!$B$1:$D$1,0),1))*IFERROR(IF(W475="","",(AVERAGE(E475:F475)-W475)-Variables!$B$14),"")/365)+(L475/16.67*INDEX(Variables!$B$8:$D$8,IFERROR(MATCH(IF($B475="Robusta","Robusta",(IF($B475="","Arabica",$B475))&amp;" - "&amp;(IF($C475="","Commercial",$C475))),Variables!$B$1:$D$1,0),1))*IFERROR(IF(W475="","",(AVERAGE(E475:F475)-W475)-Variables!$B$14),""))+(T475*INDEX(Variables!$B$9:$D$9,IFERROR(MATCH(IF($B475="Robusta","Robusta",(IF($B475="","Arabica",$B475))&amp;" - "&amp;(IF($C475="","Commercial",$C475))),Variables!$B$1:$D$1,0),1))*IFERROR(IF(W475="","",(AVERAGE(E475:F475)-W475)-Variables!$B$14),"")/365),""))</f>
        <v>-897.14393148050738</v>
      </c>
      <c r="AT475" s="12" t="str">
        <f>IF($H475="Cancelled","",IFERROR((T475*INDEX(Variables!$B$7:$D$7,IFERROR(MATCH(IF($B475="Robusta","Robusta",(IF($B475="","Arabica",$B475))&amp;" - "&amp;(IF($C475="","Commercial",$C475))),Variables!$B$1:$D$1,0),1))*AC475/365)+(L475/16.67*INDEX(Variables!$B$8:$D$8,IFERROR(MATCH(IF($B475="Robusta","Robusta",(IF($B475="","Arabica",$B475))&amp;" - "&amp;(IF($C475="","Commercial",$C475))),Variables!$B$1:$D$1,0),1))*AC475)+(T475*INDEX(Variables!$B$9:$D$9,IFERROR(MATCH(IF($B475="Robusta","Robusta",(IF($B475="","Arabica",$B475))&amp;" - "&amp;(IF($C475="","Commercial",$C475))),Variables!$B$1:$D$1,0),1))*AC475/365),""))</f>
        <v/>
      </c>
      <c r="AU475" s="12" t="str">
        <f>IF($H475="Cancelled","",IFERROR((T475*INDEX(Variables!$B$7:$D$7,IFERROR(MATCH(IF($B475="Robusta","Robusta",(IF($B475="","Arabica",$B475))&amp;" - "&amp;(IF($C475="","Commercial",$C475))),Variables!$B$1:$D$1,0),1))*AP475/365)+(L475/16.67*INDEX(Variables!$B$8:$D$8,IFERROR(MATCH(IF($B475="Robusta","Robusta",(IF($B475="","Arabica",$B475))&amp;" - "&amp;(IF($C475="","Commercial",$C475))),Variables!$B$1:$D$1,0),1))*AP475)+(T475*INDEX(Variables!$B$9:$D$9,IFERROR(MATCH(IF($B475="Robusta","Robusta",(IF($B475="","Arabica",$B475))&amp;" - "&amp;(IF($C475="","Commercial",$C475))),Variables!$B$1:$D$1,0),1))*AP475/365),""))</f>
        <v/>
      </c>
      <c r="AV475" s="11" t="str">
        <f t="shared" si="53"/>
        <v/>
      </c>
      <c r="AW475" s="12" t="str">
        <f>IF($H475="Cancelled","",IFERROR(IF(AV475="","",(T475*INDEX(Variables!$B$7:$D$7,IFERROR(MATCH(IF($B475="Robusta","Robusta",(IF($B475="","Arabica",$B475))&amp;" - "&amp;(IF($C475="","Commercial",$C475))),Variables!$B$1:$D$1,0),1))*(AV475/365))+(T475*INDEX(Variables!$B$9:$D$9,IFERROR(MATCH(IF($B475="Robusta","Robusta",(IF($B475="","Arabica",$B475))&amp;" - "&amp;(IF($C475="","Commercial",$C475))),Variables!$B$1:$D$1,0),1))*(AV475/365))+(INDEX(Variables!$B$8:$D$8,IFERROR(MATCH(IF($B475="Robusta","Robusta",(IF($B475="","Arabica",$B475))&amp;" - "&amp;(IF($C475="","Commercial",$C475))),Variables!$B$1:$D$1,0),1))*L475/16.67)),""))</f>
        <v/>
      </c>
      <c r="AX475" s="9"/>
      <c r="AY475" s="12"/>
      <c r="AZ475" s="10"/>
      <c r="BA475" s="9"/>
      <c r="BB475" s="10"/>
      <c r="BC475" s="9"/>
      <c r="BD475" s="9"/>
      <c r="BE475" s="9"/>
      <c r="BF475" s="9"/>
    </row>
    <row r="476" spans="1:58" x14ac:dyDescent="0.25">
      <c r="A476" s="9" t="s">
        <v>84</v>
      </c>
      <c r="B476" s="9" t="s">
        <v>85</v>
      </c>
      <c r="C476" s="9" t="s">
        <v>86</v>
      </c>
      <c r="D476" s="10">
        <v>45968</v>
      </c>
      <c r="E476" s="10">
        <v>45992</v>
      </c>
      <c r="F476" s="10">
        <v>46022</v>
      </c>
      <c r="G476" s="9">
        <v>3786984</v>
      </c>
      <c r="H476" s="9" t="str">
        <f t="shared" si="51"/>
        <v>Closed</v>
      </c>
      <c r="I476" s="9" t="str">
        <f t="shared" si="52"/>
        <v>All dates received</v>
      </c>
      <c r="J476" s="9" t="s">
        <v>102</v>
      </c>
      <c r="K476" s="9">
        <v>5361</v>
      </c>
      <c r="L476" s="11">
        <v>667</v>
      </c>
      <c r="M476" s="9" t="s">
        <v>1189</v>
      </c>
      <c r="N476" s="9" t="s">
        <v>432</v>
      </c>
      <c r="O476" s="9"/>
      <c r="P476" s="9"/>
      <c r="Q476" s="11">
        <v>58</v>
      </c>
      <c r="R476" s="9" t="s">
        <v>90</v>
      </c>
      <c r="S476" s="9" t="s">
        <v>753</v>
      </c>
      <c r="T476" s="12">
        <f>IF($H476="Cancelled","",IFERROR(((Q476+INDEX(Variables!$B$6:$D$6,IFERROR(MATCH(IF($B476="Robusta","Robusta",(IF($B476="","Arabica",$B476))&amp;" - "&amp;(IF($C476="","Commercial",$C476))),Variables!$B$1:$D$1,0),1)))*22.0462)*(L476/16.67),""))</f>
        <v>307680.84052309534</v>
      </c>
      <c r="U476" s="10">
        <v>45980</v>
      </c>
      <c r="V476" s="9" t="str">
        <f t="shared" si="54"/>
        <v>Sent</v>
      </c>
      <c r="W476" s="10">
        <v>45993</v>
      </c>
      <c r="X476" s="9" t="str">
        <f t="shared" si="50"/>
        <v>Approved</v>
      </c>
      <c r="Y476" s="10"/>
      <c r="Z476" s="10">
        <f>IF($H476="Cancelled","",IFERROR(IF(F476="","",F476-Variables!$B$13),""))</f>
        <v>46007</v>
      </c>
      <c r="AA476" s="11">
        <f>IF($H476="Cancelled","",IFERROR(IF(W476="","",(AVERAGE(E476:F476)-W476)-Variables!$B$14),""))</f>
        <v>-16</v>
      </c>
      <c r="AB476" s="10">
        <v>46001</v>
      </c>
      <c r="AC476" s="11">
        <f>IF($H476="Cancelled","",IFERROR(IF(AB476="","",IF(AND(W476="",Y476=""),"",IF(Y476&gt;W476,Y476+Variables!$B$15+Variables!$B$16+Variables!$B$17-AB476,W476+Variables!$B$16+Variables!$B$17-AB476))),""))</f>
        <v>0</v>
      </c>
      <c r="AD476" s="9" t="s">
        <v>151</v>
      </c>
      <c r="AE476" s="9" t="s">
        <v>1179</v>
      </c>
      <c r="AF476" s="10"/>
      <c r="AG476" s="10"/>
      <c r="AH476" s="9"/>
      <c r="AI476" s="9" t="s">
        <v>1190</v>
      </c>
      <c r="AJ476" s="9" t="s">
        <v>8</v>
      </c>
      <c r="AK476" s="10">
        <v>46015</v>
      </c>
      <c r="AL476" s="10">
        <v>46030</v>
      </c>
      <c r="AM476" s="10">
        <v>46042</v>
      </c>
      <c r="AN476" s="9" t="s">
        <v>95</v>
      </c>
      <c r="AO476" s="9"/>
      <c r="AP476" s="11">
        <f>IF($H476="Cancelled","",IFERROR(IF(OR(AK476="",AB476=""),"",(AB476+Variables!$B$18-AK476)),""))</f>
        <v>-7</v>
      </c>
      <c r="AQ476" s="11">
        <f>IF($H476="Cancelled","",IFERROR(IF(OR(AM476="",AK476=""),"",(AK476+Variables!$B$19)-AM476),""))</f>
        <v>-22</v>
      </c>
      <c r="AR476" s="12">
        <f>IF($H476="Cancelled","",IFERROR(T476*INDEX(Variables!$B$7:$D$7,IFERROR(MATCH(IF($B476="Robusta","Robusta",(IF($B476="","Arabica",$B476))&amp;" - "&amp;(IF($C476="","Commercial",$C476))),Variables!$B$1:$D$1,0),1))*(AQ476/365),""))</f>
        <v>-1195.8318490003383</v>
      </c>
      <c r="AS476" s="12">
        <f>IF($H476="Cancelled","",IFERROR((T476*INDEX(Variables!$B$7:$D$7,IFERROR(MATCH(IF($B476="Robusta","Robusta",(IF($B476="","Arabica",$B476))&amp;" - "&amp;(IF($C476="","Commercial",$C476))),Variables!$B$1:$D$1,0),1))*IFERROR(IF(W476="","",(AVERAGE(E476:F476)-W476)-Variables!$B$14),"")/365)+(L476/16.67*INDEX(Variables!$B$8:$D$8,IFERROR(MATCH(IF($B476="Robusta","Robusta",(IF($B476="","Arabica",$B476))&amp;" - "&amp;(IF($C476="","Commercial",$C476))),Variables!$B$1:$D$1,0),1))*IFERROR(IF(W476="","",(AVERAGE(E476:F476)-W476)-Variables!$B$14),""))+(T476*INDEX(Variables!$B$9:$D$9,IFERROR(MATCH(IF($B476="Robusta","Robusta",(IF($B476="","Arabica",$B476))&amp;" - "&amp;(IF($C476="","Commercial",$C476))),Variables!$B$1:$D$1,0),1))*IFERROR(IF(W476="","",(AVERAGE(E476:F476)-W476)-Variables!$B$14),"")/365),""))</f>
        <v>-1414.5079486029674</v>
      </c>
      <c r="AT476" s="12">
        <f>IF($H476="Cancelled","",IFERROR((T476*INDEX(Variables!$B$7:$D$7,IFERROR(MATCH(IF($B476="Robusta","Robusta",(IF($B476="","Arabica",$B476))&amp;" - "&amp;(IF($C476="","Commercial",$C476))),Variables!$B$1:$D$1,0),1))*AC476/365)+(L476/16.67*INDEX(Variables!$B$8:$D$8,IFERROR(MATCH(IF($B476="Robusta","Robusta",(IF($B476="","Arabica",$B476))&amp;" - "&amp;(IF($C476="","Commercial",$C476))),Variables!$B$1:$D$1,0),1))*AC476)+(T476*INDEX(Variables!$B$9:$D$9,IFERROR(MATCH(IF($B476="Robusta","Robusta",(IF($B476="","Arabica",$B476))&amp;" - "&amp;(IF($C476="","Commercial",$C476))),Variables!$B$1:$D$1,0),1))*AC476/365),""))</f>
        <v>0</v>
      </c>
      <c r="AU476" s="12">
        <f>IF($H476="Cancelled","",IFERROR((T476*INDEX(Variables!$B$7:$D$7,IFERROR(MATCH(IF($B476="Robusta","Robusta",(IF($B476="","Arabica",$B476))&amp;" - "&amp;(IF($C476="","Commercial",$C476))),Variables!$B$1:$D$1,0),1))*AP476/365)+(L476/16.67*INDEX(Variables!$B$8:$D$8,IFERROR(MATCH(IF($B476="Robusta","Robusta",(IF($B476="","Arabica",$B476))&amp;" - "&amp;(IF($C476="","Commercial",$C476))),Variables!$B$1:$D$1,0),1))*AP476)+(T476*INDEX(Variables!$B$9:$D$9,IFERROR(MATCH(IF($B476="Robusta","Robusta",(IF($B476="","Arabica",$B476))&amp;" - "&amp;(IF($C476="","Commercial",$C476))),Variables!$B$1:$D$1,0),1))*AP476/365),""))</f>
        <v>-618.8472275137982</v>
      </c>
      <c r="AV476" s="11">
        <f t="shared" si="53"/>
        <v>7</v>
      </c>
      <c r="AW476" s="12">
        <f>IF($H476="Cancelled","",IFERROR(IF(AV476="","",(T476*INDEX(Variables!$B$7:$D$7,IFERROR(MATCH(IF($B476="Robusta","Robusta",(IF($B476="","Arabica",$B476))&amp;" - "&amp;(IF($C476="","Commercial",$C476))),Variables!$B$1:$D$1,0),1))*(AV476/365))+(T476*INDEX(Variables!$B$9:$D$9,IFERROR(MATCH(IF($B476="Robusta","Robusta",(IF($B476="","Arabica",$B476))&amp;" - "&amp;(IF($C476="","Commercial",$C476))),Variables!$B$1:$D$1,0),1))*(AV476/365))+(INDEX(Variables!$B$8:$D$8,IFERROR(MATCH(IF($B476="Robusta","Robusta",(IF($B476="","Arabica",$B476))&amp;" - "&amp;(IF($C476="","Commercial",$C476))),Variables!$B$1:$D$1,0),1))*L476/16.67)),""))</f>
        <v>418.74722751379818</v>
      </c>
      <c r="AX476" s="9"/>
      <c r="AY476" s="12"/>
      <c r="AZ476" s="10"/>
      <c r="BA476" s="9"/>
      <c r="BB476" s="10"/>
      <c r="BC476" s="9"/>
      <c r="BD476" s="9"/>
      <c r="BE476" s="9"/>
      <c r="BF476" s="9"/>
    </row>
    <row r="477" spans="1:58" x14ac:dyDescent="0.25">
      <c r="A477" s="9" t="s">
        <v>84</v>
      </c>
      <c r="B477" s="9" t="s">
        <v>85</v>
      </c>
      <c r="C477" s="9" t="s">
        <v>86</v>
      </c>
      <c r="D477" s="10">
        <v>46048</v>
      </c>
      <c r="E477" s="10">
        <v>46082</v>
      </c>
      <c r="F477" s="10">
        <v>46112</v>
      </c>
      <c r="G477" s="9">
        <v>3787164</v>
      </c>
      <c r="H477" s="9" t="str">
        <f t="shared" si="51"/>
        <v>Closed</v>
      </c>
      <c r="I477" s="9" t="str">
        <f t="shared" si="52"/>
        <v>All dates received</v>
      </c>
      <c r="J477" s="9" t="s">
        <v>240</v>
      </c>
      <c r="K477" s="9">
        <v>5408</v>
      </c>
      <c r="L477" s="11">
        <v>320</v>
      </c>
      <c r="M477" s="9" t="s">
        <v>1191</v>
      </c>
      <c r="N477" s="9" t="s">
        <v>387</v>
      </c>
      <c r="O477" s="9"/>
      <c r="P477" s="9"/>
      <c r="Q477" s="11">
        <v>-48</v>
      </c>
      <c r="R477" s="9" t="s">
        <v>90</v>
      </c>
      <c r="S477" s="9" t="s">
        <v>392</v>
      </c>
      <c r="T477" s="12">
        <f>IF($H477="Cancelled","",IFERROR(((Q477+INDEX(Variables!$B$6:$D$6,IFERROR(MATCH(IF($B477="Robusta","Robusta",(IF($B477="","Arabica",$B477))&amp;" - "&amp;(IF($C477="","Commercial",$C477))),Variables!$B$1:$D$1,0),1)))*22.0462)*(L477/16.67),""))</f>
        <v>102753.54260347929</v>
      </c>
      <c r="U477" s="10">
        <v>46051</v>
      </c>
      <c r="V477" s="9" t="str">
        <f t="shared" si="54"/>
        <v>Sent</v>
      </c>
      <c r="W477" s="10">
        <v>46059</v>
      </c>
      <c r="X477" s="9" t="str">
        <f t="shared" si="50"/>
        <v>Approved</v>
      </c>
      <c r="Y477" s="10"/>
      <c r="Z477" s="10">
        <f>IF($H477="Cancelled","",IFERROR(IF(F477="","",F477-Variables!$B$13),""))</f>
        <v>46097</v>
      </c>
      <c r="AA477" s="11">
        <f>IF($H477="Cancelled","",IFERROR(IF(W477="","",(AVERAGE(E477:F477)-W477)-Variables!$B$14),""))</f>
        <v>8</v>
      </c>
      <c r="AB477" s="10">
        <v>46078</v>
      </c>
      <c r="AC477" s="11">
        <f>IF($H477="Cancelled","",IFERROR(IF(AB477="","",IF(AND(W477="",Y477=""),"",IF(Y477&gt;W477,Y477+Variables!$B$15+Variables!$B$16+Variables!$B$17-AB477,W477+Variables!$B$16+Variables!$B$17-AB477))),""))</f>
        <v>-11</v>
      </c>
      <c r="AD477" s="9" t="s">
        <v>163</v>
      </c>
      <c r="AE477" s="9" t="s">
        <v>1192</v>
      </c>
      <c r="AF477" s="10">
        <v>46149</v>
      </c>
      <c r="AG477" s="10"/>
      <c r="AH477" s="9"/>
      <c r="AI477" s="9">
        <v>266549676</v>
      </c>
      <c r="AJ477" s="9"/>
      <c r="AK477" s="10">
        <v>46089</v>
      </c>
      <c r="AL477" s="10">
        <v>46091</v>
      </c>
      <c r="AM477" s="10">
        <v>46104</v>
      </c>
      <c r="AN477" s="9" t="s">
        <v>1193</v>
      </c>
      <c r="AO477" s="9"/>
      <c r="AP477" s="11">
        <f>IF($H477="Cancelled","",IFERROR(IF(OR(AK477="",AB477=""),"",(AB477+Variables!$B$18-AK477)),""))</f>
        <v>-4</v>
      </c>
      <c r="AQ477" s="11">
        <f>IF($H477="Cancelled","",IFERROR(IF(OR(AM477="",AK477=""),"",(AK477+Variables!$B$19)-AM477),""))</f>
        <v>-10</v>
      </c>
      <c r="AR477" s="12">
        <f>IF($H477="Cancelled","",IFERROR(T477*INDEX(Variables!$B$7:$D$7,IFERROR(MATCH(IF($B477="Robusta","Robusta",(IF($B477="","Arabica",$B477))&amp;" - "&amp;(IF($C477="","Commercial",$C477))),Variables!$B$1:$D$1,0),1))*(AQ477/365),""))</f>
        <v>-181.52806807852252</v>
      </c>
      <c r="AS477" s="12">
        <f>IF($H477="Cancelled","",IFERROR((T477*INDEX(Variables!$B$7:$D$7,IFERROR(MATCH(IF($B477="Robusta","Robusta",(IF($B477="","Arabica",$B477))&amp;" - "&amp;(IF($C477="","Commercial",$C477))),Variables!$B$1:$D$1,0),1))*IFERROR(IF(W477="","",(AVERAGE(E477:F477)-W477)-Variables!$B$14),"")/365)+(L477/16.67*INDEX(Variables!$B$8:$D$8,IFERROR(MATCH(IF($B477="Robusta","Robusta",(IF($B477="","Arabica",$B477))&amp;" - "&amp;(IF($C477="","Commercial",$C477))),Variables!$B$1:$D$1,0),1))*IFERROR(IF(W477="","",(AVERAGE(E477:F477)-W477)-Variables!$B$14),""))+(T477*INDEX(Variables!$B$9:$D$9,IFERROR(MATCH(IF($B477="Robusta","Robusta",(IF($B477="","Arabica",$B477))&amp;" - "&amp;(IF($C477="","Commercial",$C477))),Variables!$B$1:$D$1,0),1))*IFERROR(IF(W477="","",(AVERAGE(E477:F477)-W477)-Variables!$B$14),"")/365),""))</f>
        <v>275.09465216070896</v>
      </c>
      <c r="AT477" s="12">
        <f>IF($H477="Cancelled","",IFERROR((T477*INDEX(Variables!$B$7:$D$7,IFERROR(MATCH(IF($B477="Robusta","Robusta",(IF($B477="","Arabica",$B477))&amp;" - "&amp;(IF($C477="","Commercial",$C477))),Variables!$B$1:$D$1,0),1))*AC477/365)+(L477/16.67*INDEX(Variables!$B$8:$D$8,IFERROR(MATCH(IF($B477="Robusta","Robusta",(IF($B477="","Arabica",$B477))&amp;" - "&amp;(IF($C477="","Commercial",$C477))),Variables!$B$1:$D$1,0),1))*AC477)+(T477*INDEX(Variables!$B$9:$D$9,IFERROR(MATCH(IF($B477="Robusta","Robusta",(IF($B477="","Arabica",$B477))&amp;" - "&amp;(IF($C477="","Commercial",$C477))),Variables!$B$1:$D$1,0),1))*AC477/365),""))</f>
        <v>-378.25514672097478</v>
      </c>
      <c r="AU477" s="12">
        <f>IF($H477="Cancelled","",IFERROR((T477*INDEX(Variables!$B$7:$D$7,IFERROR(MATCH(IF($B477="Robusta","Robusta",(IF($B477="","Arabica",$B477))&amp;" - "&amp;(IF($C477="","Commercial",$C477))),Variables!$B$1:$D$1,0),1))*AP477/365)+(L477/16.67*INDEX(Variables!$B$8:$D$8,IFERROR(MATCH(IF($B477="Robusta","Robusta",(IF($B477="","Arabica",$B477))&amp;" - "&amp;(IF($C477="","Commercial",$C477))),Variables!$B$1:$D$1,0),1))*AP477)+(T477*INDEX(Variables!$B$9:$D$9,IFERROR(MATCH(IF($B477="Robusta","Robusta",(IF($B477="","Arabica",$B477))&amp;" - "&amp;(IF($C477="","Commercial",$C477))),Variables!$B$1:$D$1,0),1))*AP477/365),""))</f>
        <v>-137.54732608035448</v>
      </c>
      <c r="AV477" s="11">
        <f t="shared" si="53"/>
        <v>23</v>
      </c>
      <c r="AW477" s="12">
        <f>IF($H477="Cancelled","",IFERROR(IF(AV477="","",(T477*INDEX(Variables!$B$7:$D$7,IFERROR(MATCH(IF($B477="Robusta","Robusta",(IF($B477="","Arabica",$B477))&amp;" - "&amp;(IF($C477="","Commercial",$C477))),Variables!$B$1:$D$1,0),1))*(AV477/365))+(T477*INDEX(Variables!$B$9:$D$9,IFERROR(MATCH(IF($B477="Robusta","Robusta",(IF($B477="","Arabica",$B477))&amp;" - "&amp;(IF($C477="","Commercial",$C477))),Variables!$B$1:$D$1,0),1))*(AV477/365))+(INDEX(Variables!$B$8:$D$8,IFERROR(MATCH(IF($B477="Robusta","Robusta",(IF($B477="","Arabica",$B477))&amp;" - "&amp;(IF($C477="","Commercial",$C477))),Variables!$B$1:$D$1,0),1))*L477/16.67)),""))</f>
        <v>438.89712496203816</v>
      </c>
      <c r="AX477" s="9"/>
      <c r="AY477" s="12"/>
      <c r="AZ477" s="10"/>
      <c r="BA477" s="9"/>
      <c r="BB477" s="10"/>
      <c r="BC477" s="9"/>
      <c r="BD477" s="9"/>
      <c r="BE477" s="9"/>
      <c r="BF477" s="9"/>
    </row>
    <row r="478" spans="1:58" x14ac:dyDescent="0.25">
      <c r="A478" s="9" t="s">
        <v>84</v>
      </c>
      <c r="B478" s="9" t="s">
        <v>85</v>
      </c>
      <c r="C478" s="9" t="s">
        <v>86</v>
      </c>
      <c r="D478" s="10">
        <v>45972</v>
      </c>
      <c r="E478" s="10">
        <v>46037</v>
      </c>
      <c r="F478" s="10">
        <v>46067</v>
      </c>
      <c r="G478" s="9">
        <v>3786988</v>
      </c>
      <c r="H478" s="9" t="str">
        <f t="shared" si="51"/>
        <v>Closed</v>
      </c>
      <c r="I478" s="9" t="str">
        <f t="shared" si="52"/>
        <v>All dates received</v>
      </c>
      <c r="J478" s="9" t="s">
        <v>322</v>
      </c>
      <c r="K478" s="9" t="s">
        <v>1194</v>
      </c>
      <c r="L478" s="11">
        <v>280</v>
      </c>
      <c r="M478" s="9" t="s">
        <v>1144</v>
      </c>
      <c r="N478" s="9" t="s">
        <v>227</v>
      </c>
      <c r="O478" s="9"/>
      <c r="P478" s="9"/>
      <c r="Q478" s="11">
        <v>38</v>
      </c>
      <c r="R478" s="9" t="s">
        <v>90</v>
      </c>
      <c r="S478" s="9" t="s">
        <v>123</v>
      </c>
      <c r="T478" s="12">
        <f>IF($H478="Cancelled","",IFERROR(((Q478+INDEX(Variables!$B$6:$D$6,IFERROR(MATCH(IF($B478="Robusta","Robusta",(IF($B478="","Arabica",$B478))&amp;" - "&amp;(IF($C478="","Commercial",$C478))),Variables!$B$1:$D$1,0),1)))*22.0462)*(L478/16.67),""))</f>
        <v>121755.33034193159</v>
      </c>
      <c r="U478" s="10"/>
      <c r="V478" s="9" t="str">
        <f t="shared" si="54"/>
        <v/>
      </c>
      <c r="W478" s="10">
        <v>46021</v>
      </c>
      <c r="X478" s="9" t="str">
        <f t="shared" si="50"/>
        <v>Approved</v>
      </c>
      <c r="Y478" s="10">
        <v>46032</v>
      </c>
      <c r="Z478" s="10">
        <f>IF($H478="Cancelled","",IFERROR(IF(F478="","",F478-Variables!$B$13),""))</f>
        <v>46052</v>
      </c>
      <c r="AA478" s="11">
        <f>IF($H478="Cancelled","",IFERROR(IF(W478="","",(AVERAGE(E478:F478)-W478)-Variables!$B$14),""))</f>
        <v>1</v>
      </c>
      <c r="AB478" s="10">
        <v>46037</v>
      </c>
      <c r="AC478" s="11">
        <f>IF($H478="Cancelled","",IFERROR(IF(AB478="","",IF(AND(W478="",Y478=""),"",IF(Y478&gt;W478,Y478+Variables!$B$15+Variables!$B$16+Variables!$B$17-AB478,W478+Variables!$B$16+Variables!$B$17-AB478))),""))</f>
        <v>10</v>
      </c>
      <c r="AD478" s="9" t="s">
        <v>92</v>
      </c>
      <c r="AE478" s="9" t="s">
        <v>1145</v>
      </c>
      <c r="AF478" s="10"/>
      <c r="AG478" s="10"/>
      <c r="AH478" s="9"/>
      <c r="AI478" s="9" t="s">
        <v>1195</v>
      </c>
      <c r="AJ478" s="9" t="s">
        <v>1196</v>
      </c>
      <c r="AK478" s="10">
        <v>46047</v>
      </c>
      <c r="AL478" s="10">
        <v>46052</v>
      </c>
      <c r="AM478" s="10">
        <v>46073</v>
      </c>
      <c r="AN478" s="9" t="s">
        <v>95</v>
      </c>
      <c r="AO478" s="9"/>
      <c r="AP478" s="11">
        <f>IF($H478="Cancelled","",IFERROR(IF(OR(AK478="",AB478=""),"",(AB478+Variables!$B$18-AK478)),""))</f>
        <v>-3</v>
      </c>
      <c r="AQ478" s="11">
        <f>IF($H478="Cancelled","",IFERROR(IF(OR(AM478="",AK478=""),"",(AK478+Variables!$B$19)-AM478),""))</f>
        <v>-21</v>
      </c>
      <c r="AR478" s="12">
        <f>IF($H478="Cancelled","",IFERROR(T478*INDEX(Variables!$B$7:$D$7,IFERROR(MATCH(IF($B478="Robusta","Robusta",(IF($B478="","Arabica",$B478))&amp;" - "&amp;(IF($C478="","Commercial",$C478))),Variables!$B$1:$D$1,0),1))*(AQ478/365),""))</f>
        <v>-451.70433645387544</v>
      </c>
      <c r="AS478" s="12">
        <f>IF($H478="Cancelled","",IFERROR((T478*INDEX(Variables!$B$7:$D$7,IFERROR(MATCH(IF($B478="Robusta","Robusta",(IF($B478="","Arabica",$B478))&amp;" - "&amp;(IF($C478="","Commercial",$C478))),Variables!$B$1:$D$1,0),1))*IFERROR(IF(W478="","",(AVERAGE(E478:F478)-W478)-Variables!$B$14),"")/365)+(L478/16.67*INDEX(Variables!$B$8:$D$8,IFERROR(MATCH(IF($B478="Robusta","Robusta",(IF($B478="","Arabica",$B478))&amp;" - "&amp;(IF($C478="","Commercial",$C478))),Variables!$B$1:$D$1,0),1))*IFERROR(IF(W478="","",(AVERAGE(E478:F478)-W478)-Variables!$B$14),""))+(T478*INDEX(Variables!$B$9:$D$9,IFERROR(MATCH(IF($B478="Robusta","Robusta",(IF($B478="","Arabica",$B478))&amp;" - "&amp;(IF($C478="","Commercial",$C478))),Variables!$B$1:$D$1,0),1))*IFERROR(IF(W478="","",(AVERAGE(E478:F478)-W478)-Variables!$B$14),"")/365),""))</f>
        <v>35.787032241884248</v>
      </c>
      <c r="AT478" s="12">
        <f>IF($H478="Cancelled","",IFERROR((T478*INDEX(Variables!$B$7:$D$7,IFERROR(MATCH(IF($B478="Robusta","Robusta",(IF($B478="","Arabica",$B478))&amp;" - "&amp;(IF($C478="","Commercial",$C478))),Variables!$B$1:$D$1,0),1))*AC478/365)+(L478/16.67*INDEX(Variables!$B$8:$D$8,IFERROR(MATCH(IF($B478="Robusta","Robusta",(IF($B478="","Arabica",$B478))&amp;" - "&amp;(IF($C478="","Commercial",$C478))),Variables!$B$1:$D$1,0),1))*AC478)+(T478*INDEX(Variables!$B$9:$D$9,IFERROR(MATCH(IF($B478="Robusta","Robusta",(IF($B478="","Arabica",$B478))&amp;" - "&amp;(IF($C478="","Commercial",$C478))),Variables!$B$1:$D$1,0),1))*AC478/365),""))</f>
        <v>357.87032241884248</v>
      </c>
      <c r="AU478" s="12">
        <f>IF($H478="Cancelled","",IFERROR((T478*INDEX(Variables!$B$7:$D$7,IFERROR(MATCH(IF($B478="Robusta","Robusta",(IF($B478="","Arabica",$B478))&amp;" - "&amp;(IF($C478="","Commercial",$C478))),Variables!$B$1:$D$1,0),1))*AP478/365)+(L478/16.67*INDEX(Variables!$B$8:$D$8,IFERROR(MATCH(IF($B478="Robusta","Robusta",(IF($B478="","Arabica",$B478))&amp;" - "&amp;(IF($C478="","Commercial",$C478))),Variables!$B$1:$D$1,0),1))*AP478)+(T478*INDEX(Variables!$B$9:$D$9,IFERROR(MATCH(IF($B478="Robusta","Robusta",(IF($B478="","Arabica",$B478))&amp;" - "&amp;(IF($C478="","Commercial",$C478))),Variables!$B$1:$D$1,0),1))*AP478/365),""))</f>
        <v>-107.36109672565273</v>
      </c>
      <c r="AV478" s="11">
        <f t="shared" si="53"/>
        <v>20</v>
      </c>
      <c r="AW478" s="12">
        <f>IF($H478="Cancelled","",IFERROR(IF(AV478="","",(T478*INDEX(Variables!$B$7:$D$7,IFERROR(MATCH(IF($B478="Robusta","Robusta",(IF($B478="","Arabica",$B478))&amp;" - "&amp;(IF($C478="","Commercial",$C478))),Variables!$B$1:$D$1,0),1))*(AV478/365))+(T478*INDEX(Variables!$B$9:$D$9,IFERROR(MATCH(IF($B478="Robusta","Robusta",(IF($B478="","Arabica",$B478))&amp;" - "&amp;(IF($C478="","Commercial",$C478))),Variables!$B$1:$D$1,0),1))*(AV478/365))+(INDEX(Variables!$B$8:$D$8,IFERROR(MATCH(IF($B478="Robusta","Robusta",(IF($B478="","Arabica",$B478))&amp;" - "&amp;(IF($C478="","Commercial",$C478))),Variables!$B$1:$D$1,0),1))*L478/16.67)),""))</f>
        <v>449.7406448376849</v>
      </c>
      <c r="AX478" s="9"/>
      <c r="AY478" s="12"/>
      <c r="AZ478" s="10"/>
      <c r="BA478" s="9"/>
      <c r="BB478" s="10"/>
      <c r="BC478" s="9"/>
      <c r="BD478" s="9"/>
      <c r="BE478" s="9"/>
      <c r="BF478" s="9"/>
    </row>
    <row r="479" spans="1:58" x14ac:dyDescent="0.25">
      <c r="A479" s="9" t="s">
        <v>84</v>
      </c>
      <c r="B479" s="9" t="s">
        <v>85</v>
      </c>
      <c r="C479" s="9" t="s">
        <v>86</v>
      </c>
      <c r="D479" s="10">
        <v>45972</v>
      </c>
      <c r="E479" s="10">
        <v>46037</v>
      </c>
      <c r="F479" s="10">
        <v>46067</v>
      </c>
      <c r="G479" s="9">
        <v>3786989</v>
      </c>
      <c r="H479" s="9" t="str">
        <f t="shared" si="51"/>
        <v>Closed</v>
      </c>
      <c r="I479" s="9" t="str">
        <f t="shared" si="52"/>
        <v>All dates received</v>
      </c>
      <c r="J479" s="9" t="s">
        <v>322</v>
      </c>
      <c r="K479" s="9" t="s">
        <v>1197</v>
      </c>
      <c r="L479" s="11">
        <v>40</v>
      </c>
      <c r="M479" s="9" t="s">
        <v>1198</v>
      </c>
      <c r="N479" s="9" t="s">
        <v>149</v>
      </c>
      <c r="O479" s="9"/>
      <c r="P479" s="9"/>
      <c r="Q479" s="11">
        <v>23</v>
      </c>
      <c r="R479" s="9" t="s">
        <v>90</v>
      </c>
      <c r="S479" s="9" t="s">
        <v>123</v>
      </c>
      <c r="T479" s="12">
        <f>IF($H479="Cancelled","",IFERROR(((Q479+INDEX(Variables!$B$6:$D$6,IFERROR(MATCH(IF($B479="Robusta","Robusta",(IF($B479="","Arabica",$B479))&amp;" - "&amp;(IF($C479="","Commercial",$C479))),Variables!$B$1:$D$1,0),1)))*22.0462)*(L479/16.67),""))</f>
        <v>16600.114121175764</v>
      </c>
      <c r="U479" s="10"/>
      <c r="V479" s="9" t="str">
        <f t="shared" si="54"/>
        <v/>
      </c>
      <c r="W479" s="10">
        <v>46021</v>
      </c>
      <c r="X479" s="9" t="str">
        <f t="shared" si="50"/>
        <v>Approved</v>
      </c>
      <c r="Y479" s="10">
        <v>46032</v>
      </c>
      <c r="Z479" s="10">
        <f>IF($H479="Cancelled","",IFERROR(IF(F479="","",F479-Variables!$B$13),""))</f>
        <v>46052</v>
      </c>
      <c r="AA479" s="11">
        <f>IF($H479="Cancelled","",IFERROR(IF(W479="","",(AVERAGE(E479:F479)-W479)-Variables!$B$14),""))</f>
        <v>1</v>
      </c>
      <c r="AB479" s="10">
        <v>46037</v>
      </c>
      <c r="AC479" s="11">
        <f>IF($H479="Cancelled","",IFERROR(IF(AB479="","",IF(AND(W479="",Y479=""),"",IF(Y479&gt;W479,Y479+Variables!$B$15+Variables!$B$16+Variables!$B$17-AB479,W479+Variables!$B$16+Variables!$B$17-AB479))),""))</f>
        <v>10</v>
      </c>
      <c r="AD479" s="9" t="s">
        <v>92</v>
      </c>
      <c r="AE479" s="9" t="s">
        <v>1145</v>
      </c>
      <c r="AF479" s="10"/>
      <c r="AG479" s="10"/>
      <c r="AH479" s="9"/>
      <c r="AI479" s="9" t="s">
        <v>1195</v>
      </c>
      <c r="AJ479" s="9" t="s">
        <v>1196</v>
      </c>
      <c r="AK479" s="10">
        <v>46047</v>
      </c>
      <c r="AL479" s="10">
        <v>46052</v>
      </c>
      <c r="AM479" s="10">
        <v>46073</v>
      </c>
      <c r="AN479" s="9" t="s">
        <v>95</v>
      </c>
      <c r="AO479" s="9"/>
      <c r="AP479" s="11">
        <f>IF($H479="Cancelled","",IFERROR(IF(OR(AK479="",AB479=""),"",(AB479+Variables!$B$18-AK479)),""))</f>
        <v>-3</v>
      </c>
      <c r="AQ479" s="11">
        <f>IF($H479="Cancelled","",IFERROR(IF(OR(AM479="",AK479=""),"",(AK479+Variables!$B$19)-AM479),""))</f>
        <v>-21</v>
      </c>
      <c r="AR479" s="12">
        <f>IF($H479="Cancelled","",IFERROR(T479*INDEX(Variables!$B$7:$D$7,IFERROR(MATCH(IF($B479="Robusta","Robusta",(IF($B479="","Arabica",$B479))&amp;" - "&amp;(IF($C479="","Commercial",$C479))),Variables!$B$1:$D$1,0),1))*(AQ479/365),""))</f>
        <v>-61.585340971161862</v>
      </c>
      <c r="AS479" s="12">
        <f>IF($H479="Cancelled","",IFERROR((T479*INDEX(Variables!$B$7:$D$7,IFERROR(MATCH(IF($B479="Robusta","Robusta",(IF($B479="","Arabica",$B479))&amp;" - "&amp;(IF($C479="","Commercial",$C479))),Variables!$B$1:$D$1,0),1))*IFERROR(IF(W479="","",(AVERAGE(E479:F479)-W479)-Variables!$B$14),"")/365)+(L479/16.67*INDEX(Variables!$B$8:$D$8,IFERROR(MATCH(IF($B479="Robusta","Robusta",(IF($B479="","Arabica",$B479))&amp;" - "&amp;(IF($C479="","Commercial",$C479))),Variables!$B$1:$D$1,0),1))*IFERROR(IF(W479="","",(AVERAGE(E479:F479)-W479)-Variables!$B$14),""))+(T479*INDEX(Variables!$B$9:$D$9,IFERROR(MATCH(IF($B479="Robusta","Robusta",(IF($B479="","Arabica",$B479))&amp;" - "&amp;(IF($C479="","Commercial",$C479))),Variables!$B$1:$D$1,0),1))*IFERROR(IF(W479="","",(AVERAGE(E479:F479)-W479)-Variables!$B$14),"")/365),""))</f>
        <v>4.9704426127490775</v>
      </c>
      <c r="AT479" s="12">
        <f>IF($H479="Cancelled","",IFERROR((T479*INDEX(Variables!$B$7:$D$7,IFERROR(MATCH(IF($B479="Robusta","Robusta",(IF($B479="","Arabica",$B479))&amp;" - "&amp;(IF($C479="","Commercial",$C479))),Variables!$B$1:$D$1,0),1))*AC479/365)+(L479/16.67*INDEX(Variables!$B$8:$D$8,IFERROR(MATCH(IF($B479="Robusta","Robusta",(IF($B479="","Arabica",$B479))&amp;" - "&amp;(IF($C479="","Commercial",$C479))),Variables!$B$1:$D$1,0),1))*AC479)+(T479*INDEX(Variables!$B$9:$D$9,IFERROR(MATCH(IF($B479="Robusta","Robusta",(IF($B479="","Arabica",$B479))&amp;" - "&amp;(IF($C479="","Commercial",$C479))),Variables!$B$1:$D$1,0),1))*AC479/365),""))</f>
        <v>49.704426127490777</v>
      </c>
      <c r="AU479" s="12">
        <f>IF($H479="Cancelled","",IFERROR((T479*INDEX(Variables!$B$7:$D$7,IFERROR(MATCH(IF($B479="Robusta","Robusta",(IF($B479="","Arabica",$B479))&amp;" - "&amp;(IF($C479="","Commercial",$C479))),Variables!$B$1:$D$1,0),1))*AP479/365)+(L479/16.67*INDEX(Variables!$B$8:$D$8,IFERROR(MATCH(IF($B479="Robusta","Robusta",(IF($B479="","Arabica",$B479))&amp;" - "&amp;(IF($C479="","Commercial",$C479))),Variables!$B$1:$D$1,0),1))*AP479)+(T479*INDEX(Variables!$B$9:$D$9,IFERROR(MATCH(IF($B479="Robusta","Robusta",(IF($B479="","Arabica",$B479))&amp;" - "&amp;(IF($C479="","Commercial",$C479))),Variables!$B$1:$D$1,0),1))*AP479/365),""))</f>
        <v>-14.911327838247233</v>
      </c>
      <c r="AV479" s="11">
        <f t="shared" si="53"/>
        <v>20</v>
      </c>
      <c r="AW479" s="12">
        <f>IF($H479="Cancelled","",IFERROR(IF(AV479="","",(T479*INDEX(Variables!$B$7:$D$7,IFERROR(MATCH(IF($B479="Robusta","Robusta",(IF($B479="","Arabica",$B479))&amp;" - "&amp;(IF($C479="","Commercial",$C479))),Variables!$B$1:$D$1,0),1))*(AV479/365))+(T479*INDEX(Variables!$B$9:$D$9,IFERROR(MATCH(IF($B479="Robusta","Robusta",(IF($B479="","Arabica",$B479))&amp;" - "&amp;(IF($C479="","Commercial",$C479))),Variables!$B$1:$D$1,0),1))*(AV479/365))+(INDEX(Variables!$B$8:$D$8,IFERROR(MATCH(IF($B479="Robusta","Robusta",(IF($B479="","Arabica",$B479))&amp;" - "&amp;(IF($C479="","Commercial",$C479))),Variables!$B$1:$D$1,0),1))*L479/16.67)),""))</f>
        <v>61.408852254981554</v>
      </c>
      <c r="AX479" s="9"/>
      <c r="AY479" s="12"/>
      <c r="AZ479" s="10"/>
      <c r="BA479" s="9"/>
      <c r="BB479" s="10"/>
      <c r="BC479" s="9"/>
      <c r="BD479" s="9"/>
      <c r="BE479" s="9"/>
      <c r="BF479" s="9"/>
    </row>
    <row r="480" spans="1:58" x14ac:dyDescent="0.25">
      <c r="A480" s="9" t="s">
        <v>84</v>
      </c>
      <c r="B480" s="9" t="s">
        <v>85</v>
      </c>
      <c r="C480" s="9" t="s">
        <v>86</v>
      </c>
      <c r="D480" s="10">
        <v>45973</v>
      </c>
      <c r="E480" s="10">
        <v>45992</v>
      </c>
      <c r="F480" s="10">
        <v>46022</v>
      </c>
      <c r="G480" s="9">
        <v>3786986</v>
      </c>
      <c r="H480" s="9" t="str">
        <f t="shared" si="51"/>
        <v>Closed</v>
      </c>
      <c r="I480" s="9" t="str">
        <f t="shared" si="52"/>
        <v>All dates received</v>
      </c>
      <c r="J480" s="9" t="s">
        <v>102</v>
      </c>
      <c r="K480" s="9">
        <v>5354</v>
      </c>
      <c r="L480" s="11">
        <v>720</v>
      </c>
      <c r="M480" s="9" t="s">
        <v>1181</v>
      </c>
      <c r="N480" s="9" t="s">
        <v>387</v>
      </c>
      <c r="O480" s="9"/>
      <c r="P480" s="9"/>
      <c r="Q480" s="11">
        <v>-30</v>
      </c>
      <c r="R480" s="9" t="s">
        <v>90</v>
      </c>
      <c r="S480" s="9" t="s">
        <v>106</v>
      </c>
      <c r="T480" s="12">
        <f>IF($H480="Cancelled","",IFERROR(((Q480+INDEX(Variables!$B$6:$D$6,IFERROR(MATCH(IF($B480="Robusta","Robusta",(IF($B480="","Arabica",$B480))&amp;" - "&amp;(IF($C480="","Commercial",$C480))),Variables!$B$1:$D$1,0),1)))*22.0462)*(L480/16.67),""))</f>
        <v>248335.16803839229</v>
      </c>
      <c r="U480" s="10"/>
      <c r="V480" s="9" t="str">
        <f t="shared" si="54"/>
        <v/>
      </c>
      <c r="W480" s="10">
        <v>45976</v>
      </c>
      <c r="X480" s="9" t="str">
        <f t="shared" si="50"/>
        <v>Approved</v>
      </c>
      <c r="Y480" s="10">
        <v>46032</v>
      </c>
      <c r="Z480" s="10">
        <f>IF($H480="Cancelled","",IFERROR(IF(F480="","",F480-Variables!$B$13),""))</f>
        <v>46007</v>
      </c>
      <c r="AA480" s="11">
        <f>IF($H480="Cancelled","",IFERROR(IF(W480="","",(AVERAGE(E480:F480)-W480)-Variables!$B$14),""))</f>
        <v>1</v>
      </c>
      <c r="AB480" s="10">
        <v>45987</v>
      </c>
      <c r="AC480" s="11">
        <f>IF($H480="Cancelled","",IFERROR(IF(AB480="","",IF(AND(W480="",Y480=""),"",IF(Y480&gt;W480,Y480+Variables!$B$15+Variables!$B$16+Variables!$B$17-AB480,W480+Variables!$B$16+Variables!$B$17-AB480))),""))</f>
        <v>60</v>
      </c>
      <c r="AD480" s="9" t="s">
        <v>608</v>
      </c>
      <c r="AE480" s="9" t="s">
        <v>1168</v>
      </c>
      <c r="AF480" s="10"/>
      <c r="AG480" s="10"/>
      <c r="AH480" s="9"/>
      <c r="AI480" s="9">
        <v>262225662</v>
      </c>
      <c r="AJ480" s="9" t="s">
        <v>8</v>
      </c>
      <c r="AK480" s="10">
        <v>45997</v>
      </c>
      <c r="AL480" s="10">
        <v>45999</v>
      </c>
      <c r="AM480" s="10">
        <v>45999</v>
      </c>
      <c r="AN480" s="9" t="s">
        <v>95</v>
      </c>
      <c r="AO480" s="9"/>
      <c r="AP480" s="11">
        <f>IF($H480="Cancelled","",IFERROR(IF(OR(AK480="",AB480=""),"",(AB480+Variables!$B$18-AK480)),""))</f>
        <v>-3</v>
      </c>
      <c r="AQ480" s="11">
        <f>IF($H480="Cancelled","",IFERROR(IF(OR(AM480="",AK480=""),"",(AK480+Variables!$B$19)-AM480),""))</f>
        <v>3</v>
      </c>
      <c r="AR480" s="12">
        <f>IF($H480="Cancelled","",IFERROR(T480*INDEX(Variables!$B$7:$D$7,IFERROR(MATCH(IF($B480="Robusta","Robusta",(IF($B480="","Arabica",$B480))&amp;" - "&amp;(IF($C480="","Commercial",$C480))),Variables!$B$1:$D$1,0),1))*(AQ480/365),""))</f>
        <v>131.61532580124839</v>
      </c>
      <c r="AS480" s="12">
        <f>IF($H480="Cancelled","",IFERROR((T480*INDEX(Variables!$B$7:$D$7,IFERROR(MATCH(IF($B480="Robusta","Robusta",(IF($B480="","Arabica",$B480))&amp;" - "&amp;(IF($C480="","Commercial",$C480))),Variables!$B$1:$D$1,0),1))*IFERROR(IF(W480="","",(AVERAGE(E480:F480)-W480)-Variables!$B$14),"")/365)+(L480/16.67*INDEX(Variables!$B$8:$D$8,IFERROR(MATCH(IF($B480="Robusta","Robusta",(IF($B480="","Arabica",$B480))&amp;" - "&amp;(IF($C480="","Commercial",$C480))),Variables!$B$1:$D$1,0),1))*IFERROR(IF(W480="","",(AVERAGE(E480:F480)-W480)-Variables!$B$14),""))+(T480*INDEX(Variables!$B$9:$D$9,IFERROR(MATCH(IF($B480="Robusta","Robusta",(IF($B480="","Arabica",$B480))&amp;" - "&amp;(IF($C480="","Commercial",$C480))),Variables!$B$1:$D$1,0),1))*IFERROR(IF(W480="","",(AVERAGE(E480:F480)-W480)-Variables!$B$14),"")/365),""))</f>
        <v>80.437367116919276</v>
      </c>
      <c r="AT480" s="12">
        <f>IF($H480="Cancelled","",IFERROR((T480*INDEX(Variables!$B$7:$D$7,IFERROR(MATCH(IF($B480="Robusta","Robusta",(IF($B480="","Arabica",$B480))&amp;" - "&amp;(IF($C480="","Commercial",$C480))),Variables!$B$1:$D$1,0),1))*AC480/365)+(L480/16.67*INDEX(Variables!$B$8:$D$8,IFERROR(MATCH(IF($B480="Robusta","Robusta",(IF($B480="","Arabica",$B480))&amp;" - "&amp;(IF($C480="","Commercial",$C480))),Variables!$B$1:$D$1,0),1))*AC480)+(T480*INDEX(Variables!$B$9:$D$9,IFERROR(MATCH(IF($B480="Robusta","Robusta",(IF($B480="","Arabica",$B480))&amp;" - "&amp;(IF($C480="","Commercial",$C480))),Variables!$B$1:$D$1,0),1))*AC480/365),""))</f>
        <v>4826.242027015157</v>
      </c>
      <c r="AU480" s="12">
        <f>IF($H480="Cancelled","",IFERROR((T480*INDEX(Variables!$B$7:$D$7,IFERROR(MATCH(IF($B480="Robusta","Robusta",(IF($B480="","Arabica",$B480))&amp;" - "&amp;(IF($C480="","Commercial",$C480))),Variables!$B$1:$D$1,0),1))*AP480/365)+(L480/16.67*INDEX(Variables!$B$8:$D$8,IFERROR(MATCH(IF($B480="Robusta","Robusta",(IF($B480="","Arabica",$B480))&amp;" - "&amp;(IF($C480="","Commercial",$C480))),Variables!$B$1:$D$1,0),1))*AP480)+(T480*INDEX(Variables!$B$9:$D$9,IFERROR(MATCH(IF($B480="Robusta","Robusta",(IF($B480="","Arabica",$B480))&amp;" - "&amp;(IF($C480="","Commercial",$C480))),Variables!$B$1:$D$1,0),1))*AP480/365),""))</f>
        <v>-241.31210135075787</v>
      </c>
      <c r="AV480" s="11">
        <f t="shared" si="53"/>
        <v>25</v>
      </c>
      <c r="AW480" s="12">
        <f>IF($H480="Cancelled","",IFERROR(IF(AV480="","",(T480*INDEX(Variables!$B$7:$D$7,IFERROR(MATCH(IF($B480="Robusta","Robusta",(IF($B480="","Arabica",$B480))&amp;" - "&amp;(IF($C480="","Commercial",$C480))),Variables!$B$1:$D$1,0),1))*(AV480/365))+(T480*INDEX(Variables!$B$9:$D$9,IFERROR(MATCH(IF($B480="Robusta","Robusta",(IF($B480="","Arabica",$B480))&amp;" - "&amp;(IF($C480="","Commercial",$C480))),Variables!$B$1:$D$1,0),1))*(AV480/365))+(INDEX(Variables!$B$8:$D$8,IFERROR(MATCH(IF($B480="Robusta","Robusta",(IF($B480="","Arabica",$B480))&amp;" - "&amp;(IF($C480="","Commercial",$C480))),Variables!$B$1:$D$1,0),1))*L480/16.67)),""))</f>
        <v>1146.9341779229819</v>
      </c>
      <c r="AX480" s="9"/>
      <c r="AY480" s="12"/>
      <c r="AZ480" s="10"/>
      <c r="BA480" s="9"/>
      <c r="BB480" s="10"/>
      <c r="BC480" s="9"/>
      <c r="BD480" s="9"/>
      <c r="BE480" s="9"/>
      <c r="BF480" s="9"/>
    </row>
    <row r="481" spans="1:58" x14ac:dyDescent="0.25">
      <c r="A481" s="9" t="s">
        <v>84</v>
      </c>
      <c r="B481" s="9" t="s">
        <v>85</v>
      </c>
      <c r="C481" s="9" t="s">
        <v>86</v>
      </c>
      <c r="D481" s="10">
        <v>45973</v>
      </c>
      <c r="E481" s="10">
        <v>45962</v>
      </c>
      <c r="F481" s="10">
        <v>46022</v>
      </c>
      <c r="G481" s="9">
        <v>3786987</v>
      </c>
      <c r="H481" s="9" t="str">
        <f t="shared" si="51"/>
        <v>Closed</v>
      </c>
      <c r="I481" s="9" t="str">
        <f t="shared" si="52"/>
        <v>All dates received</v>
      </c>
      <c r="J481" s="9" t="s">
        <v>286</v>
      </c>
      <c r="K481" s="9">
        <v>5358</v>
      </c>
      <c r="L481" s="11">
        <v>250</v>
      </c>
      <c r="M481" s="9" t="s">
        <v>1199</v>
      </c>
      <c r="N481" s="9" t="s">
        <v>227</v>
      </c>
      <c r="O481" s="9"/>
      <c r="P481" s="9"/>
      <c r="Q481" s="11">
        <v>60</v>
      </c>
      <c r="R481" s="9" t="s">
        <v>90</v>
      </c>
      <c r="S481" s="9" t="s">
        <v>215</v>
      </c>
      <c r="T481" s="12">
        <f>IF($H481="Cancelled","",IFERROR(((Q481+INDEX(Variables!$B$6:$D$6,IFERROR(MATCH(IF($B481="Robusta","Robusta",(IF($B481="","Arabica",$B481))&amp;" - "&amp;(IF($C481="","Commercial",$C481))),Variables!$B$1:$D$1,0),1)))*22.0462)*(L481/16.67),""))</f>
        <v>115983.9076184763</v>
      </c>
      <c r="U481" s="10">
        <v>45974</v>
      </c>
      <c r="V481" s="9" t="str">
        <f t="shared" si="54"/>
        <v>Sent</v>
      </c>
      <c r="W481" s="10">
        <v>45987</v>
      </c>
      <c r="X481" s="9" t="str">
        <f t="shared" si="50"/>
        <v>Approved</v>
      </c>
      <c r="Y481" s="10"/>
      <c r="Z481" s="10">
        <f>IF($H481="Cancelled","",IFERROR(IF(F481="","",F481-Variables!$B$13),""))</f>
        <v>46007</v>
      </c>
      <c r="AA481" s="11">
        <f>IF($H481="Cancelled","",IFERROR(IF(W481="","",(AVERAGE(E481:F481)-W481)-Variables!$B$14),""))</f>
        <v>-25</v>
      </c>
      <c r="AB481" s="10">
        <v>45994</v>
      </c>
      <c r="AC481" s="11">
        <f>IF($H481="Cancelled","",IFERROR(IF(AB481="","",IF(AND(W481="",Y481=""),"",IF(Y481&gt;W481,Y481+Variables!$B$15+Variables!$B$16+Variables!$B$17-AB481,W481+Variables!$B$16+Variables!$B$17-AB481))),""))</f>
        <v>1</v>
      </c>
      <c r="AD481" s="9" t="s">
        <v>165</v>
      </c>
      <c r="AE481" s="9" t="s">
        <v>969</v>
      </c>
      <c r="AF481" s="10"/>
      <c r="AG481" s="10"/>
      <c r="AH481" s="9"/>
      <c r="AI481" s="9" t="s">
        <v>1200</v>
      </c>
      <c r="AJ481" s="9" t="s">
        <v>8</v>
      </c>
      <c r="AK481" s="10">
        <v>46009</v>
      </c>
      <c r="AL481" s="10">
        <v>46014</v>
      </c>
      <c r="AM481" s="10">
        <v>46014</v>
      </c>
      <c r="AN481" s="9" t="s">
        <v>95</v>
      </c>
      <c r="AO481" s="9"/>
      <c r="AP481" s="11">
        <f>IF($H481="Cancelled","",IFERROR(IF(OR(AK481="",AB481=""),"",(AB481+Variables!$B$18-AK481)),""))</f>
        <v>-8</v>
      </c>
      <c r="AQ481" s="11">
        <f>IF($H481="Cancelled","",IFERROR(IF(OR(AM481="",AK481=""),"",(AK481+Variables!$B$19)-AM481),""))</f>
        <v>0</v>
      </c>
      <c r="AR481" s="12">
        <f>IF($H481="Cancelled","",IFERROR(T481*INDEX(Variables!$B$7:$D$7,IFERROR(MATCH(IF($B481="Robusta","Robusta",(IF($B481="","Arabica",$B481))&amp;" - "&amp;(IF($C481="","Commercial",$C481))),Variables!$B$1:$D$1,0),1))*(AQ481/365),""))</f>
        <v>0</v>
      </c>
      <c r="AS481" s="12">
        <f>IF($H481="Cancelled","",IFERROR((T481*INDEX(Variables!$B$7:$D$7,IFERROR(MATCH(IF($B481="Robusta","Robusta",(IF($B481="","Arabica",$B481))&amp;" - "&amp;(IF($C481="","Commercial",$C481))),Variables!$B$1:$D$1,0),1))*IFERROR(IF(W481="","",(AVERAGE(E481:F481)-W481)-Variables!$B$14),"")/365)+(L481/16.67*INDEX(Variables!$B$8:$D$8,IFERROR(MATCH(IF($B481="Robusta","Robusta",(IF($B481="","Arabica",$B481))&amp;" - "&amp;(IF($C481="","Commercial",$C481))),Variables!$B$1:$D$1,0),1))*IFERROR(IF(W481="","",(AVERAGE(E481:F481)-W481)-Variables!$B$14),""))+(T481*INDEX(Variables!$B$9:$D$9,IFERROR(MATCH(IF($B481="Robusta","Robusta",(IF($B481="","Arabica",$B481))&amp;" - "&amp;(IF($C481="","Commercial",$C481))),Variables!$B$1:$D$1,0),1))*IFERROR(IF(W481="","",(AVERAGE(E481:F481)-W481)-Variables!$B$14),"")/365),""))</f>
        <v>-831.35718837255831</v>
      </c>
      <c r="AT481" s="12">
        <f>IF($H481="Cancelled","",IFERROR((T481*INDEX(Variables!$B$7:$D$7,IFERROR(MATCH(IF($B481="Robusta","Robusta",(IF($B481="","Arabica",$B481))&amp;" - "&amp;(IF($C481="","Commercial",$C481))),Variables!$B$1:$D$1,0),1))*AC481/365)+(L481/16.67*INDEX(Variables!$B$8:$D$8,IFERROR(MATCH(IF($B481="Robusta","Robusta",(IF($B481="","Arabica",$B481))&amp;" - "&amp;(IF($C481="","Commercial",$C481))),Variables!$B$1:$D$1,0),1))*AC481)+(T481*INDEX(Variables!$B$9:$D$9,IFERROR(MATCH(IF($B481="Robusta","Robusta",(IF($B481="","Arabica",$B481))&amp;" - "&amp;(IF($C481="","Commercial",$C481))),Variables!$B$1:$D$1,0),1))*AC481/365),""))</f>
        <v>33.254287534902332</v>
      </c>
      <c r="AU481" s="12">
        <f>IF($H481="Cancelled","",IFERROR((T481*INDEX(Variables!$B$7:$D$7,IFERROR(MATCH(IF($B481="Robusta","Robusta",(IF($B481="","Arabica",$B481))&amp;" - "&amp;(IF($C481="","Commercial",$C481))),Variables!$B$1:$D$1,0),1))*AP481/365)+(L481/16.67*INDEX(Variables!$B$8:$D$8,IFERROR(MATCH(IF($B481="Robusta","Robusta",(IF($B481="","Arabica",$B481))&amp;" - "&amp;(IF($C481="","Commercial",$C481))),Variables!$B$1:$D$1,0),1))*AP481)+(T481*INDEX(Variables!$B$9:$D$9,IFERROR(MATCH(IF($B481="Robusta","Robusta",(IF($B481="","Arabica",$B481))&amp;" - "&amp;(IF($C481="","Commercial",$C481))),Variables!$B$1:$D$1,0),1))*AP481/365),""))</f>
        <v>-266.03430027921866</v>
      </c>
      <c r="AV481" s="11">
        <f t="shared" si="53"/>
        <v>13</v>
      </c>
      <c r="AW481" s="12">
        <f>IF($H481="Cancelled","",IFERROR(IF(AV481="","",(T481*INDEX(Variables!$B$7:$D$7,IFERROR(MATCH(IF($B481="Robusta","Robusta",(IF($B481="","Arabica",$B481))&amp;" - "&amp;(IF($C481="","Commercial",$C481))),Variables!$B$1:$D$1,0),1))*(AV481/365))+(T481*INDEX(Variables!$B$9:$D$9,IFERROR(MATCH(IF($B481="Robusta","Robusta",(IF($B481="","Arabica",$B481))&amp;" - "&amp;(IF($C481="","Commercial",$C481))),Variables!$B$1:$D$1,0),1))*(AV481/365))+(INDEX(Variables!$B$8:$D$8,IFERROR(MATCH(IF($B481="Robusta","Robusta",(IF($B481="","Arabica",$B481))&amp;" - "&amp;(IF($C481="","Commercial",$C481))),Variables!$B$1:$D$1,0),1))*L481/16.67)),""))</f>
        <v>282.30573795373033</v>
      </c>
      <c r="AX481" s="9"/>
      <c r="AY481" s="12"/>
      <c r="AZ481" s="10"/>
      <c r="BA481" s="9"/>
      <c r="BB481" s="10"/>
      <c r="BC481" s="9"/>
      <c r="BD481" s="9"/>
      <c r="BE481" s="9"/>
      <c r="BF481" s="9"/>
    </row>
    <row r="482" spans="1:58" x14ac:dyDescent="0.25">
      <c r="A482" s="9" t="s">
        <v>84</v>
      </c>
      <c r="B482" s="9" t="s">
        <v>85</v>
      </c>
      <c r="C482" s="9" t="s">
        <v>86</v>
      </c>
      <c r="D482" s="10">
        <v>45973</v>
      </c>
      <c r="E482" s="10">
        <v>46023</v>
      </c>
      <c r="F482" s="10">
        <v>46053</v>
      </c>
      <c r="G482" s="9">
        <v>3786985</v>
      </c>
      <c r="H482" s="9" t="str">
        <f t="shared" si="51"/>
        <v>Closed</v>
      </c>
      <c r="I482" s="9" t="str">
        <f t="shared" si="52"/>
        <v>All dates received</v>
      </c>
      <c r="J482" s="9" t="s">
        <v>322</v>
      </c>
      <c r="K482" s="9">
        <v>5373</v>
      </c>
      <c r="L482" s="11">
        <v>320</v>
      </c>
      <c r="M482" s="9" t="s">
        <v>1144</v>
      </c>
      <c r="N482" s="9" t="s">
        <v>227</v>
      </c>
      <c r="O482" s="9"/>
      <c r="P482" s="9"/>
      <c r="Q482" s="11">
        <v>38</v>
      </c>
      <c r="R482" s="9" t="s">
        <v>90</v>
      </c>
      <c r="S482" s="9" t="s">
        <v>123</v>
      </c>
      <c r="T482" s="12">
        <f>IF($H482="Cancelled","",IFERROR(((Q482+INDEX(Variables!$B$6:$D$6,IFERROR(MATCH(IF($B482="Robusta","Robusta",(IF($B482="","Arabica",$B482))&amp;" - "&amp;(IF($C482="","Commercial",$C482))),Variables!$B$1:$D$1,0),1)))*22.0462)*(L482/16.67),""))</f>
        <v>139148.94896220753</v>
      </c>
      <c r="U482" s="10">
        <v>45982</v>
      </c>
      <c r="V482" s="9" t="str">
        <f t="shared" si="54"/>
        <v>Sent</v>
      </c>
      <c r="W482" s="10"/>
      <c r="X482" s="9" t="str">
        <f t="shared" si="50"/>
        <v/>
      </c>
      <c r="Y482" s="10"/>
      <c r="Z482" s="10">
        <f>IF($H482="Cancelled","",IFERROR(IF(F482="","",F482-Variables!$B$13),""))</f>
        <v>46038</v>
      </c>
      <c r="AA482" s="11" t="str">
        <f>IF($H482="Cancelled","",IFERROR(IF(W482="","",(AVERAGE(E482:F482)-W482)-Variables!$B$14),""))</f>
        <v/>
      </c>
      <c r="AB482" s="10">
        <v>46013</v>
      </c>
      <c r="AC482" s="11" t="str">
        <f>IF($H482="Cancelled","",IFERROR(IF(AB482="","",IF(AND(W482="",Y482=""),"",IF(Y482&gt;W482,Y482+Variables!$B$15+Variables!$B$16+Variables!$B$17-AB482,W482+Variables!$B$16+Variables!$B$17-AB482))),""))</f>
        <v/>
      </c>
      <c r="AD482" s="9" t="s">
        <v>1201</v>
      </c>
      <c r="AE482" s="9" t="s">
        <v>1202</v>
      </c>
      <c r="AF482" s="10"/>
      <c r="AG482" s="10"/>
      <c r="AH482" s="9"/>
      <c r="AI482" s="9" t="s">
        <v>1203</v>
      </c>
      <c r="AJ482" s="9" t="s">
        <v>1204</v>
      </c>
      <c r="AK482" s="10">
        <v>46026</v>
      </c>
      <c r="AL482" s="10">
        <v>46030</v>
      </c>
      <c r="AM482" s="10">
        <v>46048</v>
      </c>
      <c r="AN482" s="9" t="s">
        <v>1205</v>
      </c>
      <c r="AO482" s="9"/>
      <c r="AP482" s="11">
        <f>IF($H482="Cancelled","",IFERROR(IF(OR(AK482="",AB482=""),"",(AB482+Variables!$B$18-AK482)),""))</f>
        <v>-6</v>
      </c>
      <c r="AQ482" s="11">
        <f>IF($H482="Cancelled","",IFERROR(IF(OR(AM482="",AK482=""),"",(AK482+Variables!$B$19)-AM482),""))</f>
        <v>-17</v>
      </c>
      <c r="AR482" s="12">
        <f>IF($H482="Cancelled","",IFERROR(T482*INDEX(Variables!$B$7:$D$7,IFERROR(MATCH(IF($B482="Robusta","Robusta",(IF($B482="","Arabica",$B482))&amp;" - "&amp;(IF($C482="","Commercial",$C482))),Variables!$B$1:$D$1,0),1))*(AQ482/365),""))</f>
        <v>-417.90333168521806</v>
      </c>
      <c r="AS482" s="12" t="str">
        <f>IF($H482="Cancelled","",IFERROR((T482*INDEX(Variables!$B$7:$D$7,IFERROR(MATCH(IF($B482="Robusta","Robusta",(IF($B482="","Arabica",$B482))&amp;" - "&amp;(IF($C482="","Commercial",$C482))),Variables!$B$1:$D$1,0),1))*IFERROR(IF(W482="","",(AVERAGE(E482:F482)-W482)-Variables!$B$14),"")/365)+(L482/16.67*INDEX(Variables!$B$8:$D$8,IFERROR(MATCH(IF($B482="Robusta","Robusta",(IF($B482="","Arabica",$B482))&amp;" - "&amp;(IF($C482="","Commercial",$C482))),Variables!$B$1:$D$1,0),1))*IFERROR(IF(W482="","",(AVERAGE(E482:F482)-W482)-Variables!$B$14),""))+(T482*INDEX(Variables!$B$9:$D$9,IFERROR(MATCH(IF($B482="Robusta","Robusta",(IF($B482="","Arabica",$B482))&amp;" - "&amp;(IF($C482="","Commercial",$C482))),Variables!$B$1:$D$1,0),1))*IFERROR(IF(W482="","",(AVERAGE(E482:F482)-W482)-Variables!$B$14),"")/365),""))</f>
        <v/>
      </c>
      <c r="AT482" s="12" t="str">
        <f>IF($H482="Cancelled","",IFERROR((T482*INDEX(Variables!$B$7:$D$7,IFERROR(MATCH(IF($B482="Robusta","Robusta",(IF($B482="","Arabica",$B482))&amp;" - "&amp;(IF($C482="","Commercial",$C482))),Variables!$B$1:$D$1,0),1))*AC482/365)+(L482/16.67*INDEX(Variables!$B$8:$D$8,IFERROR(MATCH(IF($B482="Robusta","Robusta",(IF($B482="","Arabica",$B482))&amp;" - "&amp;(IF($C482="","Commercial",$C482))),Variables!$B$1:$D$1,0),1))*AC482)+(T482*INDEX(Variables!$B$9:$D$9,IFERROR(MATCH(IF($B482="Robusta","Robusta",(IF($B482="","Arabica",$B482))&amp;" - "&amp;(IF($C482="","Commercial",$C482))),Variables!$B$1:$D$1,0),1))*AC482/365),""))</f>
        <v/>
      </c>
      <c r="AU482" s="12">
        <f>IF($H482="Cancelled","",IFERROR((T482*INDEX(Variables!$B$7:$D$7,IFERROR(MATCH(IF($B482="Robusta","Robusta",(IF($B482="","Arabica",$B482))&amp;" - "&amp;(IF($C482="","Commercial",$C482))),Variables!$B$1:$D$1,0),1))*AP482/365)+(L482/16.67*INDEX(Variables!$B$8:$D$8,IFERROR(MATCH(IF($B482="Robusta","Robusta",(IF($B482="","Arabica",$B482))&amp;" - "&amp;(IF($C482="","Commercial",$C482))),Variables!$B$1:$D$1,0),1))*AP482)+(T482*INDEX(Variables!$B$9:$D$9,IFERROR(MATCH(IF($B482="Robusta","Robusta",(IF($B482="","Arabica",$B482))&amp;" - "&amp;(IF($C482="","Commercial",$C482))),Variables!$B$1:$D$1,0),1))*AP482/365),""))</f>
        <v>-245.39679251577763</v>
      </c>
      <c r="AV482" s="11">
        <f t="shared" si="53"/>
        <v>27</v>
      </c>
      <c r="AW482" s="12">
        <f>IF($H482="Cancelled","",IFERROR(IF(AV482="","",(T482*INDEX(Variables!$B$7:$D$7,IFERROR(MATCH(IF($B482="Robusta","Robusta",(IF($B482="","Arabica",$B482))&amp;" - "&amp;(IF($C482="","Commercial",$C482))),Variables!$B$1:$D$1,0),1))*(AV482/365))+(T482*INDEX(Variables!$B$9:$D$9,IFERROR(MATCH(IF($B482="Robusta","Robusta",(IF($B482="","Arabica",$B482))&amp;" - "&amp;(IF($C482="","Commercial",$C482))),Variables!$B$1:$D$1,0),1))*(AV482/365))+(INDEX(Variables!$B$8:$D$8,IFERROR(MATCH(IF($B482="Robusta","Robusta",(IF($B482="","Arabica",$B482))&amp;" - "&amp;(IF($C482="","Commercial",$C482))),Variables!$B$1:$D$1,0),1))*L482/16.67)),""))</f>
        <v>688.28556632099946</v>
      </c>
      <c r="AX482" s="9"/>
      <c r="AY482" s="12"/>
      <c r="AZ482" s="10"/>
      <c r="BA482" s="9"/>
      <c r="BB482" s="10"/>
      <c r="BC482" s="9"/>
      <c r="BD482" s="9"/>
      <c r="BE482" s="9"/>
      <c r="BF482" s="9"/>
    </row>
    <row r="483" spans="1:58" x14ac:dyDescent="0.25">
      <c r="A483" s="9" t="s">
        <v>84</v>
      </c>
      <c r="B483" s="9" t="s">
        <v>85</v>
      </c>
      <c r="C483" s="9" t="s">
        <v>86</v>
      </c>
      <c r="D483" s="10">
        <v>45974</v>
      </c>
      <c r="E483" s="10">
        <v>46023</v>
      </c>
      <c r="F483" s="10">
        <v>46053</v>
      </c>
      <c r="G483" s="9">
        <v>3786990</v>
      </c>
      <c r="H483" s="9" t="str">
        <f t="shared" si="51"/>
        <v>Open</v>
      </c>
      <c r="I483" s="9" t="str">
        <f t="shared" si="52"/>
        <v>No docs dispatch date</v>
      </c>
      <c r="J483" s="9" t="s">
        <v>1095</v>
      </c>
      <c r="K483" s="9">
        <v>5380</v>
      </c>
      <c r="L483" s="11">
        <v>320</v>
      </c>
      <c r="M483" s="9" t="s">
        <v>1144</v>
      </c>
      <c r="N483" s="9" t="s">
        <v>334</v>
      </c>
      <c r="O483" s="9"/>
      <c r="P483" s="9"/>
      <c r="Q483" s="11">
        <v>48</v>
      </c>
      <c r="R483" s="9" t="s">
        <v>90</v>
      </c>
      <c r="S483" s="9" t="s">
        <v>123</v>
      </c>
      <c r="T483" s="12">
        <f>IF($H483="Cancelled","",IFERROR(((Q483+INDEX(Variables!$B$6:$D$6,IFERROR(MATCH(IF($B483="Robusta","Robusta",(IF($B483="","Arabica",$B483))&amp;" - "&amp;(IF($C483="","Commercial",$C483))),Variables!$B$1:$D$1,0),1)))*22.0462)*(L483/16.67),""))</f>
        <v>143380.97295740849</v>
      </c>
      <c r="U483" s="10"/>
      <c r="V483" s="9" t="str">
        <f t="shared" si="54"/>
        <v/>
      </c>
      <c r="W483" s="10">
        <v>46006</v>
      </c>
      <c r="X483" s="9" t="str">
        <f t="shared" si="50"/>
        <v>Approved</v>
      </c>
      <c r="Y483" s="10">
        <v>46032</v>
      </c>
      <c r="Z483" s="10">
        <f>IF($H483="Cancelled","",IFERROR(IF(F483="","",F483-Variables!$B$13),""))</f>
        <v>46038</v>
      </c>
      <c r="AA483" s="11">
        <f>IF($H483="Cancelled","",IFERROR(IF(W483="","",(AVERAGE(E483:F483)-W483)-Variables!$B$14),""))</f>
        <v>2</v>
      </c>
      <c r="AB483" s="10">
        <v>46037</v>
      </c>
      <c r="AC483" s="11">
        <f>IF($H483="Cancelled","",IFERROR(IF(AB483="","",IF(AND(W483="",Y483=""),"",IF(Y483&gt;W483,Y483+Variables!$B$15+Variables!$B$16+Variables!$B$17-AB483,W483+Variables!$B$16+Variables!$B$17-AB483))),""))</f>
        <v>10</v>
      </c>
      <c r="AD483" s="9" t="s">
        <v>130</v>
      </c>
      <c r="AE483" s="9" t="s">
        <v>488</v>
      </c>
      <c r="AF483" s="10"/>
      <c r="AG483" s="10"/>
      <c r="AH483" s="9"/>
      <c r="AI483" s="9" t="s">
        <v>1206</v>
      </c>
      <c r="AJ483" s="9"/>
      <c r="AK483" s="10">
        <v>46056</v>
      </c>
      <c r="AL483" s="10">
        <v>46059</v>
      </c>
      <c r="AM483" s="10"/>
      <c r="AN483" s="9" t="s">
        <v>1016</v>
      </c>
      <c r="AO483" s="9"/>
      <c r="AP483" s="11">
        <f>IF($H483="Cancelled","",IFERROR(IF(OR(AK483="",AB483=""),"",(AB483+Variables!$B$18-AK483)),""))</f>
        <v>-12</v>
      </c>
      <c r="AQ483" s="11" t="str">
        <f>IF($H483="Cancelled","",IFERROR(IF(OR(AM483="",AK483=""),"",(AK483+Variables!$B$19)-AM483),""))</f>
        <v/>
      </c>
      <c r="AR483" s="12" t="str">
        <f>IF($H483="Cancelled","",IFERROR(T483*INDEX(Variables!$B$7:$D$7,IFERROR(MATCH(IF($B483="Robusta","Robusta",(IF($B483="","Arabica",$B483))&amp;" - "&amp;(IF($C483="","Commercial",$C483))),Variables!$B$1:$D$1,0),1))*(AQ483/365),""))</f>
        <v/>
      </c>
      <c r="AS483" s="12">
        <f>IF($H483="Cancelled","",IFERROR((T483*INDEX(Variables!$B$7:$D$7,IFERROR(MATCH(IF($B483="Robusta","Robusta",(IF($B483="","Arabica",$B483))&amp;" - "&amp;(IF($C483="","Commercial",$C483))),Variables!$B$1:$D$1,0),1))*IFERROR(IF(W483="","",(AVERAGE(E483:F483)-W483)-Variables!$B$14),"")/365)+(L483/16.67*INDEX(Variables!$B$8:$D$8,IFERROR(MATCH(IF($B483="Robusta","Robusta",(IF($B483="","Arabica",$B483))&amp;" - "&amp;(IF($C483="","Commercial",$C483))),Variables!$B$1:$D$1,0),1))*IFERROR(IF(W483="","",(AVERAGE(E483:F483)-W483)-Variables!$B$14),""))+(T483*INDEX(Variables!$B$9:$D$9,IFERROR(MATCH(IF($B483="Robusta","Robusta",(IF($B483="","Arabica",$B483))&amp;" - "&amp;(IF($C483="","Commercial",$C483))),Variables!$B$1:$D$1,0),1))*IFERROR(IF(W483="","",(AVERAGE(E483:F483)-W483)-Variables!$B$14),"")/365),""))</f>
        <v>83.31349686166412</v>
      </c>
      <c r="AT483" s="12">
        <f>IF($H483="Cancelled","",IFERROR((T483*INDEX(Variables!$B$7:$D$7,IFERROR(MATCH(IF($B483="Robusta","Robusta",(IF($B483="","Arabica",$B483))&amp;" - "&amp;(IF($C483="","Commercial",$C483))),Variables!$B$1:$D$1,0),1))*AC483/365)+(L483/16.67*INDEX(Variables!$B$8:$D$8,IFERROR(MATCH(IF($B483="Robusta","Robusta",(IF($B483="","Arabica",$B483))&amp;" - "&amp;(IF($C483="","Commercial",$C483))),Variables!$B$1:$D$1,0),1))*AC483)+(T483*INDEX(Variables!$B$9:$D$9,IFERROR(MATCH(IF($B483="Robusta","Robusta",(IF($B483="","Arabica",$B483))&amp;" - "&amp;(IF($C483="","Commercial",$C483))),Variables!$B$1:$D$1,0),1))*AC483/365),""))</f>
        <v>416.56748430832056</v>
      </c>
      <c r="AU483" s="12">
        <f>IF($H483="Cancelled","",IFERROR((T483*INDEX(Variables!$B$7:$D$7,IFERROR(MATCH(IF($B483="Robusta","Robusta",(IF($B483="","Arabica",$B483))&amp;" - "&amp;(IF($C483="","Commercial",$C483))),Variables!$B$1:$D$1,0),1))*AP483/365)+(L483/16.67*INDEX(Variables!$B$8:$D$8,IFERROR(MATCH(IF($B483="Robusta","Robusta",(IF($B483="","Arabica",$B483))&amp;" - "&amp;(IF($C483="","Commercial",$C483))),Variables!$B$1:$D$1,0),1))*AP483)+(T483*INDEX(Variables!$B$9:$D$9,IFERROR(MATCH(IF($B483="Robusta","Robusta",(IF($B483="","Arabica",$B483))&amp;" - "&amp;(IF($C483="","Commercial",$C483))),Variables!$B$1:$D$1,0),1))*AP483/365),""))</f>
        <v>-499.88098116998464</v>
      </c>
      <c r="AV483" s="11">
        <f t="shared" si="53"/>
        <v>-3</v>
      </c>
      <c r="AW483" s="12">
        <f>IF($H483="Cancelled","",IFERROR(IF(AV483="","",(T483*INDEX(Variables!$B$7:$D$7,IFERROR(MATCH(IF($B483="Robusta","Robusta",(IF($B483="","Arabica",$B483))&amp;" - "&amp;(IF($C483="","Commercial",$C483))),Variables!$B$1:$D$1,0),1))*(AV483/365))+(T483*INDEX(Variables!$B$9:$D$9,IFERROR(MATCH(IF($B483="Robusta","Robusta",(IF($B483="","Arabica",$B483))&amp;" - "&amp;(IF($C483="","Commercial",$C483))),Variables!$B$1:$D$1,0),1))*(AV483/365))+(INDEX(Variables!$B$8:$D$8,IFERROR(MATCH(IF($B483="Robusta","Robusta",(IF($B483="","Arabica",$B483))&amp;" - "&amp;(IF($C483="","Commercial",$C483))),Variables!$B$1:$D$1,0),1))*L483/16.67)),""))</f>
        <v>-60.970245292496159</v>
      </c>
      <c r="AX483" s="9"/>
      <c r="AY483" s="12"/>
      <c r="AZ483" s="10"/>
      <c r="BA483" s="9"/>
      <c r="BB483" s="10"/>
      <c r="BC483" s="9"/>
      <c r="BD483" s="9"/>
      <c r="BE483" s="9"/>
      <c r="BF483" s="9"/>
    </row>
    <row r="484" spans="1:58" x14ac:dyDescent="0.25">
      <c r="A484" s="9" t="s">
        <v>84</v>
      </c>
      <c r="B484" s="9" t="s">
        <v>85</v>
      </c>
      <c r="C484" s="9" t="s">
        <v>86</v>
      </c>
      <c r="D484" s="10">
        <v>45980</v>
      </c>
      <c r="E484" s="10">
        <v>45992</v>
      </c>
      <c r="F484" s="10">
        <v>46022</v>
      </c>
      <c r="G484" s="9">
        <v>3786991</v>
      </c>
      <c r="H484" s="9" t="str">
        <f t="shared" si="51"/>
        <v>Open</v>
      </c>
      <c r="I484" s="9" t="str">
        <f t="shared" si="52"/>
        <v>No docs dispatch date</v>
      </c>
      <c r="J484" s="9" t="s">
        <v>102</v>
      </c>
      <c r="K484" s="9" t="s">
        <v>1207</v>
      </c>
      <c r="L484" s="11">
        <v>333</v>
      </c>
      <c r="M484" s="9" t="s">
        <v>1189</v>
      </c>
      <c r="N484" s="9" t="s">
        <v>432</v>
      </c>
      <c r="O484" s="9"/>
      <c r="P484" s="9"/>
      <c r="Q484" s="11">
        <v>53</v>
      </c>
      <c r="R484" s="9" t="s">
        <v>90</v>
      </c>
      <c r="S484" s="9" t="s">
        <v>753</v>
      </c>
      <c r="T484" s="12">
        <f>IF($H484="Cancelled","",IFERROR(((Q484+INDEX(Variables!$B$6:$D$6,IFERROR(MATCH(IF($B484="Robusta","Robusta",(IF($B484="","Arabica",$B484))&amp;" - "&amp;(IF($C484="","Commercial",$C484))),Variables!$B$1:$D$1,0),1)))*22.0462)*(L484/16.67),""))</f>
        <v>151407.79996880621</v>
      </c>
      <c r="U484" s="10">
        <v>45989</v>
      </c>
      <c r="V484" s="9" t="str">
        <f t="shared" si="54"/>
        <v>Sent</v>
      </c>
      <c r="W484" s="10"/>
      <c r="X484" s="9" t="str">
        <f t="shared" si="50"/>
        <v/>
      </c>
      <c r="Y484" s="10"/>
      <c r="Z484" s="10">
        <f>IF($H484="Cancelled","",IFERROR(IF(F484="","",F484-Variables!$B$13),""))</f>
        <v>46007</v>
      </c>
      <c r="AA484" s="11" t="str">
        <f>IF($H484="Cancelled","",IFERROR(IF(W484="","",(AVERAGE(E484:F484)-W484)-Variables!$B$14),""))</f>
        <v/>
      </c>
      <c r="AB484" s="10">
        <v>46035</v>
      </c>
      <c r="AC484" s="11" t="str">
        <f>IF($H484="Cancelled","",IFERROR(IF(AB484="","",IF(AND(W484="",Y484=""),"",IF(Y484&gt;W484,Y484+Variables!$B$15+Variables!$B$16+Variables!$B$17-AB484,W484+Variables!$B$16+Variables!$B$17-AB484))),""))</f>
        <v/>
      </c>
      <c r="AD484" s="9" t="s">
        <v>151</v>
      </c>
      <c r="AE484" s="9" t="s">
        <v>1208</v>
      </c>
      <c r="AF484" s="10"/>
      <c r="AG484" s="10"/>
      <c r="AH484" s="9"/>
      <c r="AI484" s="9" t="s">
        <v>1209</v>
      </c>
      <c r="AJ484" s="9"/>
      <c r="AK484" s="10">
        <v>46044</v>
      </c>
      <c r="AL484" s="10">
        <v>46057</v>
      </c>
      <c r="AM484" s="10"/>
      <c r="AN484" s="9" t="s">
        <v>1016</v>
      </c>
      <c r="AO484" s="9"/>
      <c r="AP484" s="11">
        <f>IF($H484="Cancelled","",IFERROR(IF(OR(AK484="",AB484=""),"",(AB484+Variables!$B$18-AK484)),""))</f>
        <v>-2</v>
      </c>
      <c r="AQ484" s="11" t="str">
        <f>IF($H484="Cancelled","",IFERROR(IF(OR(AM484="",AK484=""),"",(AK484+Variables!$B$19)-AM484),""))</f>
        <v/>
      </c>
      <c r="AR484" s="12" t="str">
        <f>IF($H484="Cancelled","",IFERROR(T484*INDEX(Variables!$B$7:$D$7,IFERROR(MATCH(IF($B484="Robusta","Robusta",(IF($B484="","Arabica",$B484))&amp;" - "&amp;(IF($C484="","Commercial",$C484))),Variables!$B$1:$D$1,0),1))*(AQ484/365),""))</f>
        <v/>
      </c>
      <c r="AS484" s="12" t="str">
        <f>IF($H484="Cancelled","",IFERROR((T484*INDEX(Variables!$B$7:$D$7,IFERROR(MATCH(IF($B484="Robusta","Robusta",(IF($B484="","Arabica",$B484))&amp;" - "&amp;(IF($C484="","Commercial",$C484))),Variables!$B$1:$D$1,0),1))*IFERROR(IF(W484="","",(AVERAGE(E484:F484)-W484)-Variables!$B$14),"")/365)+(L484/16.67*INDEX(Variables!$B$8:$D$8,IFERROR(MATCH(IF($B484="Robusta","Robusta",(IF($B484="","Arabica",$B484))&amp;" - "&amp;(IF($C484="","Commercial",$C484))),Variables!$B$1:$D$1,0),1))*IFERROR(IF(W484="","",(AVERAGE(E484:F484)-W484)-Variables!$B$14),""))+(T484*INDEX(Variables!$B$9:$D$9,IFERROR(MATCH(IF($B484="Robusta","Robusta",(IF($B484="","Arabica",$B484))&amp;" - "&amp;(IF($C484="","Commercial",$C484))),Variables!$B$1:$D$1,0),1))*IFERROR(IF(W484="","",(AVERAGE(E484:F484)-W484)-Variables!$B$14),"")/365),""))</f>
        <v/>
      </c>
      <c r="AT484" s="12" t="str">
        <f>IF($H484="Cancelled","",IFERROR((T484*INDEX(Variables!$B$7:$D$7,IFERROR(MATCH(IF($B484="Robusta","Robusta",(IF($B484="","Arabica",$B484))&amp;" - "&amp;(IF($C484="","Commercial",$C484))),Variables!$B$1:$D$1,0),1))*AC484/365)+(L484/16.67*INDEX(Variables!$B$8:$D$8,IFERROR(MATCH(IF($B484="Robusta","Robusta",(IF($B484="","Arabica",$B484))&amp;" - "&amp;(IF($C484="","Commercial",$C484))),Variables!$B$1:$D$1,0),1))*AC484)+(T484*INDEX(Variables!$B$9:$D$9,IFERROR(MATCH(IF($B484="Robusta","Robusta",(IF($B484="","Arabica",$B484))&amp;" - "&amp;(IF($C484="","Commercial",$C484))),Variables!$B$1:$D$1,0),1))*AC484/365),""))</f>
        <v/>
      </c>
      <c r="AU484" s="12">
        <f>IF($H484="Cancelled","",IFERROR((T484*INDEX(Variables!$B$7:$D$7,IFERROR(MATCH(IF($B484="Robusta","Robusta",(IF($B484="","Arabica",$B484))&amp;" - "&amp;(IF($C484="","Commercial",$C484))),Variables!$B$1:$D$1,0),1))*AP484/365)+(L484/16.67*INDEX(Variables!$B$8:$D$8,IFERROR(MATCH(IF($B484="Robusta","Robusta",(IF($B484="","Arabica",$B484))&amp;" - "&amp;(IF($C484="","Commercial",$C484))),Variables!$B$1:$D$1,0),1))*AP484)+(T484*INDEX(Variables!$B$9:$D$9,IFERROR(MATCH(IF($B484="Robusta","Robusta",(IF($B484="","Arabica",$B484))&amp;" - "&amp;(IF($C484="","Commercial",$C484))),Variables!$B$1:$D$1,0),1))*AP484/365),""))</f>
        <v>-87.486155305548621</v>
      </c>
      <c r="AV484" s="11">
        <f t="shared" si="53"/>
        <v>-22</v>
      </c>
      <c r="AW484" s="12">
        <f>IF($H484="Cancelled","",IFERROR(IF(AV484="","",(T484*INDEX(Variables!$B$7:$D$7,IFERROR(MATCH(IF($B484="Robusta","Robusta",(IF($B484="","Arabica",$B484))&amp;" - "&amp;(IF($C484="","Commercial",$C484))),Variables!$B$1:$D$1,0),1))*(AV484/365))+(T484*INDEX(Variables!$B$9:$D$9,IFERROR(MATCH(IF($B484="Robusta","Robusta",(IF($B484="","Arabica",$B484))&amp;" - "&amp;(IF($C484="","Commercial",$C484))),Variables!$B$1:$D$1,0),1))*(AV484/365))+(INDEX(Variables!$B$8:$D$8,IFERROR(MATCH(IF($B484="Robusta","Robusta",(IF($B484="","Arabica",$B484))&amp;" - "&amp;(IF($C484="","Commercial",$C484))),Variables!$B$1:$D$1,0),1))*L484/16.67)),""))</f>
        <v>-579.39770836103492</v>
      </c>
      <c r="AX484" s="9"/>
      <c r="AY484" s="12"/>
      <c r="AZ484" s="10"/>
      <c r="BA484" s="9"/>
      <c r="BB484" s="10"/>
      <c r="BC484" s="9"/>
      <c r="BD484" s="9"/>
      <c r="BE484" s="9"/>
      <c r="BF484" s="9"/>
    </row>
    <row r="485" spans="1:58" x14ac:dyDescent="0.25">
      <c r="A485" s="9" t="s">
        <v>84</v>
      </c>
      <c r="B485" s="9" t="s">
        <v>85</v>
      </c>
      <c r="C485" s="9" t="s">
        <v>86</v>
      </c>
      <c r="D485" s="10">
        <v>45980</v>
      </c>
      <c r="E485" s="10">
        <v>45992</v>
      </c>
      <c r="F485" s="10">
        <v>46022</v>
      </c>
      <c r="G485" s="9">
        <v>3786991</v>
      </c>
      <c r="H485" s="9" t="str">
        <f t="shared" si="51"/>
        <v>Open</v>
      </c>
      <c r="I485" s="9" t="str">
        <f t="shared" si="52"/>
        <v>No docs dispatch date</v>
      </c>
      <c r="J485" s="9" t="s">
        <v>102</v>
      </c>
      <c r="K485" s="9" t="s">
        <v>1210</v>
      </c>
      <c r="L485" s="11">
        <v>334</v>
      </c>
      <c r="M485" s="9" t="s">
        <v>1189</v>
      </c>
      <c r="N485" s="9" t="s">
        <v>432</v>
      </c>
      <c r="O485" s="9"/>
      <c r="P485" s="9"/>
      <c r="Q485" s="11">
        <v>53</v>
      </c>
      <c r="R485" s="9" t="s">
        <v>90</v>
      </c>
      <c r="S485" s="9" t="s">
        <v>465</v>
      </c>
      <c r="T485" s="12">
        <f>IF($H485="Cancelled","",IFERROR(((Q485+INDEX(Variables!$B$6:$D$6,IFERROR(MATCH(IF($B485="Robusta","Robusta",(IF($B485="","Arabica",$B485))&amp;" - "&amp;(IF($C485="","Commercial",$C485))),Variables!$B$1:$D$1,0),1)))*22.0462)*(L485/16.67),""))</f>
        <v>151862.47804679064</v>
      </c>
      <c r="U485" s="10">
        <v>45989</v>
      </c>
      <c r="V485" s="9" t="str">
        <f t="shared" si="54"/>
        <v>Sent</v>
      </c>
      <c r="W485" s="10"/>
      <c r="X485" s="9" t="str">
        <f t="shared" si="50"/>
        <v/>
      </c>
      <c r="Y485" s="10"/>
      <c r="Z485" s="10">
        <f>IF($H485="Cancelled","",IFERROR(IF(F485="","",F485-Variables!$B$13),""))</f>
        <v>46007</v>
      </c>
      <c r="AA485" s="11" t="str">
        <f>IF($H485="Cancelled","",IFERROR(IF(W485="","",(AVERAGE(E485:F485)-W485)-Variables!$B$14),""))</f>
        <v/>
      </c>
      <c r="AB485" s="10">
        <v>46035</v>
      </c>
      <c r="AC485" s="11" t="str">
        <f>IF($H485="Cancelled","",IFERROR(IF(AB485="","",IF(AND(W485="",Y485=""),"",IF(Y485&gt;W485,Y485+Variables!$B$15+Variables!$B$16+Variables!$B$17-AB485,W485+Variables!$B$16+Variables!$B$17-AB485))),""))</f>
        <v/>
      </c>
      <c r="AD485" s="9" t="s">
        <v>163</v>
      </c>
      <c r="AE485" s="9" t="s">
        <v>598</v>
      </c>
      <c r="AF485" s="10"/>
      <c r="AG485" s="10"/>
      <c r="AH485" s="9"/>
      <c r="AI485" s="9">
        <v>263463374</v>
      </c>
      <c r="AJ485" s="9"/>
      <c r="AK485" s="10">
        <v>46045</v>
      </c>
      <c r="AL485" s="10">
        <v>46057</v>
      </c>
      <c r="AM485" s="10"/>
      <c r="AN485" s="9" t="s">
        <v>1016</v>
      </c>
      <c r="AO485" s="9"/>
      <c r="AP485" s="11">
        <f>IF($H485="Cancelled","",IFERROR(IF(OR(AK485="",AB485=""),"",(AB485+Variables!$B$18-AK485)),""))</f>
        <v>-3</v>
      </c>
      <c r="AQ485" s="11" t="str">
        <f>IF($H485="Cancelled","",IFERROR(IF(OR(AM485="",AK485=""),"",(AK485+Variables!$B$19)-AM485),""))</f>
        <v/>
      </c>
      <c r="AR485" s="12" t="str">
        <f>IF($H485="Cancelled","",IFERROR(T485*INDEX(Variables!$B$7:$D$7,IFERROR(MATCH(IF($B485="Robusta","Robusta",(IF($B485="","Arabica",$B485))&amp;" - "&amp;(IF($C485="","Commercial",$C485))),Variables!$B$1:$D$1,0),1))*(AQ485/365),""))</f>
        <v/>
      </c>
      <c r="AS485" s="12" t="str">
        <f>IF($H485="Cancelled","",IFERROR((T485*INDEX(Variables!$B$7:$D$7,IFERROR(MATCH(IF($B485="Robusta","Robusta",(IF($B485="","Arabica",$B485))&amp;" - "&amp;(IF($C485="","Commercial",$C485))),Variables!$B$1:$D$1,0),1))*IFERROR(IF(W485="","",(AVERAGE(E485:F485)-W485)-Variables!$B$14),"")/365)+(L485/16.67*INDEX(Variables!$B$8:$D$8,IFERROR(MATCH(IF($B485="Robusta","Robusta",(IF($B485="","Arabica",$B485))&amp;" - "&amp;(IF($C485="","Commercial",$C485))),Variables!$B$1:$D$1,0),1))*IFERROR(IF(W485="","",(AVERAGE(E485:F485)-W485)-Variables!$B$14),""))+(T485*INDEX(Variables!$B$9:$D$9,IFERROR(MATCH(IF($B485="Robusta","Robusta",(IF($B485="","Arabica",$B485))&amp;" - "&amp;(IF($C485="","Commercial",$C485))),Variables!$B$1:$D$1,0),1))*IFERROR(IF(W485="","",(AVERAGE(E485:F485)-W485)-Variables!$B$14),"")/365),""))</f>
        <v/>
      </c>
      <c r="AT485" s="12" t="str">
        <f>IF($H485="Cancelled","",IFERROR((T485*INDEX(Variables!$B$7:$D$7,IFERROR(MATCH(IF($B485="Robusta","Robusta",(IF($B485="","Arabica",$B485))&amp;" - "&amp;(IF($C485="","Commercial",$C485))),Variables!$B$1:$D$1,0),1))*AC485/365)+(L485/16.67*INDEX(Variables!$B$8:$D$8,IFERROR(MATCH(IF($B485="Robusta","Robusta",(IF($B485="","Arabica",$B485))&amp;" - "&amp;(IF($C485="","Commercial",$C485))),Variables!$B$1:$D$1,0),1))*AC485)+(T485*INDEX(Variables!$B$9:$D$9,IFERROR(MATCH(IF($B485="Robusta","Robusta",(IF($B485="","Arabica",$B485))&amp;" - "&amp;(IF($C485="","Commercial",$C485))),Variables!$B$1:$D$1,0),1))*AC485/365),""))</f>
        <v/>
      </c>
      <c r="AU485" s="12">
        <f>IF($H485="Cancelled","",IFERROR((T485*INDEX(Variables!$B$7:$D$7,IFERROR(MATCH(IF($B485="Robusta","Robusta",(IF($B485="","Arabica",$B485))&amp;" - "&amp;(IF($C485="","Commercial",$C485))),Variables!$B$1:$D$1,0),1))*AP485/365)+(L485/16.67*INDEX(Variables!$B$8:$D$8,IFERROR(MATCH(IF($B485="Robusta","Robusta",(IF($B485="","Arabica",$B485))&amp;" - "&amp;(IF($C485="","Commercial",$C485))),Variables!$B$1:$D$1,0),1))*AP485)+(T485*INDEX(Variables!$B$9:$D$9,IFERROR(MATCH(IF($B485="Robusta","Robusta",(IF($B485="","Arabica",$B485))&amp;" - "&amp;(IF($C485="","Commercial",$C485))),Variables!$B$1:$D$1,0),1))*AP485/365),""))</f>
        <v>-131.62331473897859</v>
      </c>
      <c r="AV485" s="11">
        <f t="shared" si="53"/>
        <v>-23</v>
      </c>
      <c r="AW485" s="12">
        <f>IF($H485="Cancelled","",IFERROR(IF(AV485="","",(T485*INDEX(Variables!$B$7:$D$7,IFERROR(MATCH(IF($B485="Robusta","Robusta",(IF($B485="","Arabica",$B485))&amp;" - "&amp;(IF($C485="","Commercial",$C485))),Variables!$B$1:$D$1,0),1))*(AV485/365))+(T485*INDEX(Variables!$B$9:$D$9,IFERROR(MATCH(IF($B485="Robusta","Robusta",(IF($B485="","Arabica",$B485))&amp;" - "&amp;(IF($C485="","Commercial",$C485))),Variables!$B$1:$D$1,0),1))*(AV485/365))+(INDEX(Variables!$B$8:$D$8,IFERROR(MATCH(IF($B485="Robusta","Robusta",(IF($B485="","Arabica",$B485))&amp;" - "&amp;(IF($C485="","Commercial",$C485))),Variables!$B$1:$D$1,0),1))*L485/16.67)),""))</f>
        <v>-608.31207966550255</v>
      </c>
      <c r="AX485" s="9"/>
      <c r="AY485" s="12"/>
      <c r="AZ485" s="10"/>
      <c r="BA485" s="9"/>
      <c r="BB485" s="10"/>
      <c r="BC485" s="9"/>
      <c r="BD485" s="9"/>
      <c r="BE485" s="9"/>
      <c r="BF485" s="9"/>
    </row>
    <row r="486" spans="1:58" x14ac:dyDescent="0.25">
      <c r="A486" s="9" t="s">
        <v>84</v>
      </c>
      <c r="B486" s="9" t="s">
        <v>85</v>
      </c>
      <c r="C486" s="9" t="s">
        <v>86</v>
      </c>
      <c r="D486" s="10">
        <v>45980</v>
      </c>
      <c r="E486" s="10">
        <v>46023</v>
      </c>
      <c r="F486" s="10">
        <v>46053</v>
      </c>
      <c r="G486" s="9">
        <v>3786992</v>
      </c>
      <c r="H486" s="9" t="str">
        <f t="shared" si="51"/>
        <v>Open</v>
      </c>
      <c r="I486" s="9" t="str">
        <f t="shared" si="52"/>
        <v>No docs dispatch date</v>
      </c>
      <c r="J486" s="9" t="s">
        <v>102</v>
      </c>
      <c r="K486" s="9" t="s">
        <v>1211</v>
      </c>
      <c r="L486" s="11">
        <v>1000</v>
      </c>
      <c r="M486" s="9" t="s">
        <v>1212</v>
      </c>
      <c r="N486" s="9" t="s">
        <v>432</v>
      </c>
      <c r="O486" s="9"/>
      <c r="P486" s="9"/>
      <c r="Q486" s="11">
        <v>53</v>
      </c>
      <c r="R486" s="9" t="s">
        <v>90</v>
      </c>
      <c r="S486" s="9" t="s">
        <v>462</v>
      </c>
      <c r="T486" s="12">
        <f>IF($H486="Cancelled","",IFERROR(((Q486+INDEX(Variables!$B$6:$D$6,IFERROR(MATCH(IF($B486="Robusta","Robusta",(IF($B486="","Arabica",$B486))&amp;" - "&amp;(IF($C486="","Commercial",$C486))),Variables!$B$1:$D$1,0),1)))*22.0462)*(L486/16.67),""))</f>
        <v>454678.07798440306</v>
      </c>
      <c r="U486" s="10">
        <v>45989</v>
      </c>
      <c r="V486" s="9" t="str">
        <f t="shared" si="54"/>
        <v>Sent</v>
      </c>
      <c r="W486" s="10"/>
      <c r="X486" s="9" t="str">
        <f t="shared" si="50"/>
        <v/>
      </c>
      <c r="Y486" s="10"/>
      <c r="Z486" s="10">
        <f>IF($H486="Cancelled","",IFERROR(IF(F486="","",F486-Variables!$B$13),""))</f>
        <v>46038</v>
      </c>
      <c r="AA486" s="11" t="str">
        <f>IF($H486="Cancelled","",IFERROR(IF(W486="","",(AVERAGE(E486:F486)-W486)-Variables!$B$14),""))</f>
        <v/>
      </c>
      <c r="AB486" s="10">
        <v>46043</v>
      </c>
      <c r="AC486" s="11" t="str">
        <f>IF($H486="Cancelled","",IFERROR(IF(AB486="","",IF(AND(W486="",Y486=""),"",IF(Y486&gt;W486,Y486+Variables!$B$15+Variables!$B$16+Variables!$B$17-AB486,W486+Variables!$B$16+Variables!$B$17-AB486))),""))</f>
        <v/>
      </c>
      <c r="AD486" s="9" t="s">
        <v>1213</v>
      </c>
      <c r="AE486" s="9" t="s">
        <v>219</v>
      </c>
      <c r="AF486" s="10"/>
      <c r="AG486" s="10"/>
      <c r="AH486" s="9"/>
      <c r="AI486" s="9">
        <v>264153748</v>
      </c>
      <c r="AJ486" s="9"/>
      <c r="AK486" s="10">
        <v>46053</v>
      </c>
      <c r="AL486" s="10">
        <v>46059</v>
      </c>
      <c r="AM486" s="10"/>
      <c r="AN486" s="9" t="s">
        <v>1016</v>
      </c>
      <c r="AO486" s="9"/>
      <c r="AP486" s="11">
        <f>IF($H486="Cancelled","",IFERROR(IF(OR(AK486="",AB486=""),"",(AB486+Variables!$B$18-AK486)),""))</f>
        <v>-3</v>
      </c>
      <c r="AQ486" s="11" t="str">
        <f>IF($H486="Cancelled","",IFERROR(IF(OR(AM486="",AK486=""),"",(AK486+Variables!$B$19)-AM486),""))</f>
        <v/>
      </c>
      <c r="AR486" s="12" t="str">
        <f>IF($H486="Cancelled","",IFERROR(T486*INDEX(Variables!$B$7:$D$7,IFERROR(MATCH(IF($B486="Robusta","Robusta",(IF($B486="","Arabica",$B486))&amp;" - "&amp;(IF($C486="","Commercial",$C486))),Variables!$B$1:$D$1,0),1))*(AQ486/365),""))</f>
        <v/>
      </c>
      <c r="AS486" s="12" t="str">
        <f>IF($H486="Cancelled","",IFERROR((T486*INDEX(Variables!$B$7:$D$7,IFERROR(MATCH(IF($B486="Robusta","Robusta",(IF($B486="","Arabica",$B486))&amp;" - "&amp;(IF($C486="","Commercial",$C486))),Variables!$B$1:$D$1,0),1))*IFERROR(IF(W486="","",(AVERAGE(E486:F486)-W486)-Variables!$B$14),"")/365)+(L486/16.67*INDEX(Variables!$B$8:$D$8,IFERROR(MATCH(IF($B486="Robusta","Robusta",(IF($B486="","Arabica",$B486))&amp;" - "&amp;(IF($C486="","Commercial",$C486))),Variables!$B$1:$D$1,0),1))*IFERROR(IF(W486="","",(AVERAGE(E486:F486)-W486)-Variables!$B$14),""))+(T486*INDEX(Variables!$B$9:$D$9,IFERROR(MATCH(IF($B486="Robusta","Robusta",(IF($B486="","Arabica",$B486))&amp;" - "&amp;(IF($C486="","Commercial",$C486))),Variables!$B$1:$D$1,0),1))*IFERROR(IF(W486="","",(AVERAGE(E486:F486)-W486)-Variables!$B$14),"")/365),""))</f>
        <v/>
      </c>
      <c r="AT486" s="12" t="str">
        <f>IF($H486="Cancelled","",IFERROR((T486*INDEX(Variables!$B$7:$D$7,IFERROR(MATCH(IF($B486="Robusta","Robusta",(IF($B486="","Arabica",$B486))&amp;" - "&amp;(IF($C486="","Commercial",$C486))),Variables!$B$1:$D$1,0),1))*AC486/365)+(L486/16.67*INDEX(Variables!$B$8:$D$8,IFERROR(MATCH(IF($B486="Robusta","Robusta",(IF($B486="","Arabica",$B486))&amp;" - "&amp;(IF($C486="","Commercial",$C486))),Variables!$B$1:$D$1,0),1))*AC486)+(T486*INDEX(Variables!$B$9:$D$9,IFERROR(MATCH(IF($B486="Robusta","Robusta",(IF($B486="","Arabica",$B486))&amp;" - "&amp;(IF($C486="","Commercial",$C486))),Variables!$B$1:$D$1,0),1))*AC486/365),""))</f>
        <v/>
      </c>
      <c r="AU486" s="12">
        <f>IF($H486="Cancelled","",IFERROR((T486*INDEX(Variables!$B$7:$D$7,IFERROR(MATCH(IF($B486="Robusta","Robusta",(IF($B486="","Arabica",$B486))&amp;" - "&amp;(IF($C486="","Commercial",$C486))),Variables!$B$1:$D$1,0),1))*AP486/365)+(L486/16.67*INDEX(Variables!$B$8:$D$8,IFERROR(MATCH(IF($B486="Robusta","Robusta",(IF($B486="","Arabica",$B486))&amp;" - "&amp;(IF($C486="","Commercial",$C486))),Variables!$B$1:$D$1,0),1))*AP486)+(T486*INDEX(Variables!$B$9:$D$9,IFERROR(MATCH(IF($B486="Robusta","Robusta",(IF($B486="","Arabica",$B486))&amp;" - "&amp;(IF($C486="","Commercial",$C486))),Variables!$B$1:$D$1,0),1))*AP486/365),""))</f>
        <v>-394.08178065562453</v>
      </c>
      <c r="AV486" s="11">
        <f t="shared" si="53"/>
        <v>0</v>
      </c>
      <c r="AW486" s="12">
        <f>IF($H486="Cancelled","",IFERROR(IF(AV486="","",(T486*INDEX(Variables!$B$7:$D$7,IFERROR(MATCH(IF($B486="Robusta","Robusta",(IF($B486="","Arabica",$B486))&amp;" - "&amp;(IF($C486="","Commercial",$C486))),Variables!$B$1:$D$1,0),1))*(AV486/365))+(T486*INDEX(Variables!$B$9:$D$9,IFERROR(MATCH(IF($B486="Robusta","Robusta",(IF($B486="","Arabica",$B486))&amp;" - "&amp;(IF($C486="","Commercial",$C486))),Variables!$B$1:$D$1,0),1))*(AV486/365))+(INDEX(Variables!$B$8:$D$8,IFERROR(MATCH(IF($B486="Robusta","Robusta",(IF($B486="","Arabica",$B486))&amp;" - "&amp;(IF($C486="","Commercial",$C486))),Variables!$B$1:$D$1,0),1))*L486/16.67)),""))</f>
        <v>50</v>
      </c>
      <c r="AX486" s="9"/>
      <c r="AY486" s="12"/>
      <c r="AZ486" s="10"/>
      <c r="BA486" s="9"/>
      <c r="BB486" s="10"/>
      <c r="BC486" s="9"/>
      <c r="BD486" s="9"/>
      <c r="BE486" s="9"/>
      <c r="BF486" s="9"/>
    </row>
    <row r="487" spans="1:58" x14ac:dyDescent="0.25">
      <c r="A487" s="9" t="s">
        <v>84</v>
      </c>
      <c r="B487" s="9" t="s">
        <v>85</v>
      </c>
      <c r="C487" s="9" t="s">
        <v>86</v>
      </c>
      <c r="D487" s="10">
        <v>45980</v>
      </c>
      <c r="E487" s="10">
        <v>46023</v>
      </c>
      <c r="F487" s="10">
        <v>46053</v>
      </c>
      <c r="G487" s="9">
        <v>3786992</v>
      </c>
      <c r="H487" s="9" t="str">
        <f t="shared" si="51"/>
        <v>Open</v>
      </c>
      <c r="I487" s="9" t="str">
        <f t="shared" si="52"/>
        <v>No docs dispatch date</v>
      </c>
      <c r="J487" s="9" t="s">
        <v>102</v>
      </c>
      <c r="K487" s="9" t="s">
        <v>1214</v>
      </c>
      <c r="L487" s="11">
        <v>333</v>
      </c>
      <c r="M487" s="9" t="s">
        <v>1212</v>
      </c>
      <c r="N487" s="9" t="s">
        <v>432</v>
      </c>
      <c r="O487" s="9"/>
      <c r="P487" s="9"/>
      <c r="Q487" s="11">
        <v>53</v>
      </c>
      <c r="R487" s="9" t="s">
        <v>90</v>
      </c>
      <c r="S487" s="9" t="s">
        <v>465</v>
      </c>
      <c r="T487" s="12">
        <f>IF($H487="Cancelled","",IFERROR(((Q487+INDEX(Variables!$B$6:$D$6,IFERROR(MATCH(IF($B487="Robusta","Robusta",(IF($B487="","Arabica",$B487))&amp;" - "&amp;(IF($C487="","Commercial",$C487))),Variables!$B$1:$D$1,0),1)))*22.0462)*(L487/16.67),""))</f>
        <v>151407.79996880621</v>
      </c>
      <c r="U487" s="10">
        <v>45989</v>
      </c>
      <c r="V487" s="9" t="str">
        <f t="shared" si="54"/>
        <v>Sent</v>
      </c>
      <c r="W487" s="10"/>
      <c r="X487" s="9" t="str">
        <f t="shared" si="50"/>
        <v/>
      </c>
      <c r="Y487" s="10"/>
      <c r="Z487" s="10">
        <f>IF($H487="Cancelled","",IFERROR(IF(F487="","",F487-Variables!$B$13),""))</f>
        <v>46038</v>
      </c>
      <c r="AA487" s="11" t="str">
        <f>IF($H487="Cancelled","",IFERROR(IF(W487="","",(AVERAGE(E487:F487)-W487)-Variables!$B$14),""))</f>
        <v/>
      </c>
      <c r="AB487" s="10">
        <v>46044</v>
      </c>
      <c r="AC487" s="11" t="str">
        <f>IF($H487="Cancelled","",IFERROR(IF(AB487="","",IF(AND(W487="",Y487=""),"",IF(Y487&gt;W487,Y487+Variables!$B$15+Variables!$B$16+Variables!$B$17-AB487,W487+Variables!$B$16+Variables!$B$17-AB487))),""))</f>
        <v/>
      </c>
      <c r="AD487" s="9" t="s">
        <v>1213</v>
      </c>
      <c r="AE487" s="9" t="s">
        <v>847</v>
      </c>
      <c r="AF487" s="10"/>
      <c r="AG487" s="10"/>
      <c r="AH487" s="9"/>
      <c r="AI487" s="9">
        <v>265442238</v>
      </c>
      <c r="AJ487" s="9"/>
      <c r="AK487" s="10">
        <v>46060</v>
      </c>
      <c r="AL487" s="10">
        <v>46064</v>
      </c>
      <c r="AM487" s="10"/>
      <c r="AN487" s="9" t="s">
        <v>1016</v>
      </c>
      <c r="AO487" s="9"/>
      <c r="AP487" s="11">
        <f>IF($H487="Cancelled","",IFERROR(IF(OR(AK487="",AB487=""),"",(AB487+Variables!$B$18-AK487)),""))</f>
        <v>-9</v>
      </c>
      <c r="AQ487" s="11" t="str">
        <f>IF($H487="Cancelled","",IFERROR(IF(OR(AM487="",AK487=""),"",(AK487+Variables!$B$19)-AM487),""))</f>
        <v/>
      </c>
      <c r="AR487" s="12" t="str">
        <f>IF($H487="Cancelled","",IFERROR(T487*INDEX(Variables!$B$7:$D$7,IFERROR(MATCH(IF($B487="Robusta","Robusta",(IF($B487="","Arabica",$B487))&amp;" - "&amp;(IF($C487="","Commercial",$C487))),Variables!$B$1:$D$1,0),1))*(AQ487/365),""))</f>
        <v/>
      </c>
      <c r="AS487" s="12" t="str">
        <f>IF($H487="Cancelled","",IFERROR((T487*INDEX(Variables!$B$7:$D$7,IFERROR(MATCH(IF($B487="Robusta","Robusta",(IF($B487="","Arabica",$B487))&amp;" - "&amp;(IF($C487="","Commercial",$C487))),Variables!$B$1:$D$1,0),1))*IFERROR(IF(W487="","",(AVERAGE(E487:F487)-W487)-Variables!$B$14),"")/365)+(L487/16.67*INDEX(Variables!$B$8:$D$8,IFERROR(MATCH(IF($B487="Robusta","Robusta",(IF($B487="","Arabica",$B487))&amp;" - "&amp;(IF($C487="","Commercial",$C487))),Variables!$B$1:$D$1,0),1))*IFERROR(IF(W487="","",(AVERAGE(E487:F487)-W487)-Variables!$B$14),""))+(T487*INDEX(Variables!$B$9:$D$9,IFERROR(MATCH(IF($B487="Robusta","Robusta",(IF($B487="","Arabica",$B487))&amp;" - "&amp;(IF($C487="","Commercial",$C487))),Variables!$B$1:$D$1,0),1))*IFERROR(IF(W487="","",(AVERAGE(E487:F487)-W487)-Variables!$B$14),"")/365),""))</f>
        <v/>
      </c>
      <c r="AT487" s="12" t="str">
        <f>IF($H487="Cancelled","",IFERROR((T487*INDEX(Variables!$B$7:$D$7,IFERROR(MATCH(IF($B487="Robusta","Robusta",(IF($B487="","Arabica",$B487))&amp;" - "&amp;(IF($C487="","Commercial",$C487))),Variables!$B$1:$D$1,0),1))*AC487/365)+(L487/16.67*INDEX(Variables!$B$8:$D$8,IFERROR(MATCH(IF($B487="Robusta","Robusta",(IF($B487="","Arabica",$B487))&amp;" - "&amp;(IF($C487="","Commercial",$C487))),Variables!$B$1:$D$1,0),1))*AC487)+(T487*INDEX(Variables!$B$9:$D$9,IFERROR(MATCH(IF($B487="Robusta","Robusta",(IF($B487="","Arabica",$B487))&amp;" - "&amp;(IF($C487="","Commercial",$C487))),Variables!$B$1:$D$1,0),1))*AC487/365),""))</f>
        <v/>
      </c>
      <c r="AU487" s="12">
        <f>IF($H487="Cancelled","",IFERROR((T487*INDEX(Variables!$B$7:$D$7,IFERROR(MATCH(IF($B487="Robusta","Robusta",(IF($B487="","Arabica",$B487))&amp;" - "&amp;(IF($C487="","Commercial",$C487))),Variables!$B$1:$D$1,0),1))*AP487/365)+(L487/16.67*INDEX(Variables!$B$8:$D$8,IFERROR(MATCH(IF($B487="Robusta","Robusta",(IF($B487="","Arabica",$B487))&amp;" - "&amp;(IF($C487="","Commercial",$C487))),Variables!$B$1:$D$1,0),1))*AP487)+(T487*INDEX(Variables!$B$9:$D$9,IFERROR(MATCH(IF($B487="Robusta","Robusta",(IF($B487="","Arabica",$B487))&amp;" - "&amp;(IF($C487="","Commercial",$C487))),Variables!$B$1:$D$1,0),1))*AP487/365),""))</f>
        <v>-393.68769887496882</v>
      </c>
      <c r="AV487" s="11">
        <f t="shared" si="53"/>
        <v>-7</v>
      </c>
      <c r="AW487" s="12">
        <f>IF($H487="Cancelled","",IFERROR(IF(AV487="","",(T487*INDEX(Variables!$B$7:$D$7,IFERROR(MATCH(IF($B487="Robusta","Robusta",(IF($B487="","Arabica",$B487))&amp;" - "&amp;(IF($C487="","Commercial",$C487))),Variables!$B$1:$D$1,0),1))*(AV487/365))+(T487*INDEX(Variables!$B$9:$D$9,IFERROR(MATCH(IF($B487="Robusta","Robusta",(IF($B487="","Arabica",$B487))&amp;" - "&amp;(IF($C487="","Commercial",$C487))),Variables!$B$1:$D$1,0),1))*(AV487/365))+(INDEX(Variables!$B$8:$D$8,IFERROR(MATCH(IF($B487="Robusta","Robusta",(IF($B487="","Arabica",$B487))&amp;" - "&amp;(IF($C487="","Commercial",$C487))),Variables!$B$1:$D$1,0),1))*L487/16.67)),""))</f>
        <v>-173.00154356942019</v>
      </c>
      <c r="AX487" s="9"/>
      <c r="AY487" s="12"/>
      <c r="AZ487" s="10"/>
      <c r="BA487" s="9"/>
      <c r="BB487" s="10"/>
      <c r="BC487" s="9"/>
      <c r="BD487" s="9"/>
      <c r="BE487" s="9"/>
      <c r="BF487" s="9"/>
    </row>
    <row r="488" spans="1:58" x14ac:dyDescent="0.25">
      <c r="A488" s="9" t="s">
        <v>84</v>
      </c>
      <c r="B488" s="9" t="s">
        <v>85</v>
      </c>
      <c r="C488" s="9" t="s">
        <v>86</v>
      </c>
      <c r="D488" s="10">
        <v>45980</v>
      </c>
      <c r="E488" s="10">
        <v>46054</v>
      </c>
      <c r="F488" s="10">
        <v>46081</v>
      </c>
      <c r="G488" s="9">
        <v>3786993</v>
      </c>
      <c r="H488" s="9" t="str">
        <f t="shared" si="51"/>
        <v>Open</v>
      </c>
      <c r="I488" s="9" t="str">
        <f t="shared" si="52"/>
        <v>No shipping advice sent and No docs dispatch date</v>
      </c>
      <c r="J488" s="9" t="s">
        <v>102</v>
      </c>
      <c r="K488" s="9" t="s">
        <v>1215</v>
      </c>
      <c r="L488" s="11">
        <v>333</v>
      </c>
      <c r="M488" s="9" t="s">
        <v>1212</v>
      </c>
      <c r="N488" s="9" t="s">
        <v>432</v>
      </c>
      <c r="O488" s="9"/>
      <c r="P488" s="9"/>
      <c r="Q488" s="11">
        <v>53</v>
      </c>
      <c r="R488" s="9" t="s">
        <v>90</v>
      </c>
      <c r="S488" s="9" t="s">
        <v>465</v>
      </c>
      <c r="T488" s="12">
        <f>IF($H488="Cancelled","",IFERROR(((Q488+INDEX(Variables!$B$6:$D$6,IFERROR(MATCH(IF($B488="Robusta","Robusta",(IF($B488="","Arabica",$B488))&amp;" - "&amp;(IF($C488="","Commercial",$C488))),Variables!$B$1:$D$1,0),1)))*22.0462)*(L488/16.67),""))</f>
        <v>151407.79996880621</v>
      </c>
      <c r="U488" s="10">
        <v>46034</v>
      </c>
      <c r="V488" s="9" t="str">
        <f t="shared" si="54"/>
        <v>Sent</v>
      </c>
      <c r="W488" s="10"/>
      <c r="X488" s="9" t="str">
        <f t="shared" si="50"/>
        <v/>
      </c>
      <c r="Y488" s="10"/>
      <c r="Z488" s="10">
        <f>IF($H488="Cancelled","",IFERROR(IF(F488="","",F488-Variables!$B$13),""))</f>
        <v>46066</v>
      </c>
      <c r="AA488" s="11" t="str">
        <f>IF($H488="Cancelled","",IFERROR(IF(W488="","",(AVERAGE(E488:F488)-W488)-Variables!$B$14),""))</f>
        <v/>
      </c>
      <c r="AB488" s="10">
        <v>46069</v>
      </c>
      <c r="AC488" s="11" t="str">
        <f>IF($H488="Cancelled","",IFERROR(IF(AB488="","",IF(AND(W488="",Y488=""),"",IF(Y488&gt;W488,Y488+Variables!$B$15+Variables!$B$16+Variables!$B$17-AB488,W488+Variables!$B$16+Variables!$B$17-AB488))),""))</f>
        <v/>
      </c>
      <c r="AD488" s="9" t="s">
        <v>163</v>
      </c>
      <c r="AE488" s="9" t="s">
        <v>1216</v>
      </c>
      <c r="AF488" s="10">
        <v>46071</v>
      </c>
      <c r="AG488" s="10"/>
      <c r="AH488" s="9"/>
      <c r="AI488" s="9">
        <v>265932748</v>
      </c>
      <c r="AJ488" s="9"/>
      <c r="AK488" s="10" t="s">
        <v>1217</v>
      </c>
      <c r="AL488" s="10"/>
      <c r="AM488" s="10"/>
      <c r="AN488" s="9" t="s">
        <v>1218</v>
      </c>
      <c r="AO488" s="9"/>
      <c r="AP488" s="11" t="str">
        <f>IF($H488="Cancelled","",IFERROR(IF(OR(AK488="",AB488=""),"",(AB488+Variables!$B$18-AK488)),""))</f>
        <v/>
      </c>
      <c r="AQ488" s="11" t="str">
        <f>IF($H488="Cancelled","",IFERROR(IF(OR(AM488="",AK488=""),"",(AK488+Variables!$B$19)-AM488),""))</f>
        <v/>
      </c>
      <c r="AR488" s="12" t="str">
        <f>IF($H488="Cancelled","",IFERROR(T488*INDEX(Variables!$B$7:$D$7,IFERROR(MATCH(IF($B488="Robusta","Robusta",(IF($B488="","Arabica",$B488))&amp;" - "&amp;(IF($C488="","Commercial",$C488))),Variables!$B$1:$D$1,0),1))*(AQ488/365),""))</f>
        <v/>
      </c>
      <c r="AS488" s="12" t="str">
        <f>IF($H488="Cancelled","",IFERROR((T488*INDEX(Variables!$B$7:$D$7,IFERROR(MATCH(IF($B488="Robusta","Robusta",(IF($B488="","Arabica",$B488))&amp;" - "&amp;(IF($C488="","Commercial",$C488))),Variables!$B$1:$D$1,0),1))*IFERROR(IF(W488="","",(AVERAGE(E488:F488)-W488)-Variables!$B$14),"")/365)+(L488/16.67*INDEX(Variables!$B$8:$D$8,IFERROR(MATCH(IF($B488="Robusta","Robusta",(IF($B488="","Arabica",$B488))&amp;" - "&amp;(IF($C488="","Commercial",$C488))),Variables!$B$1:$D$1,0),1))*IFERROR(IF(W488="","",(AVERAGE(E488:F488)-W488)-Variables!$B$14),""))+(T488*INDEX(Variables!$B$9:$D$9,IFERROR(MATCH(IF($B488="Robusta","Robusta",(IF($B488="","Arabica",$B488))&amp;" - "&amp;(IF($C488="","Commercial",$C488))),Variables!$B$1:$D$1,0),1))*IFERROR(IF(W488="","",(AVERAGE(E488:F488)-W488)-Variables!$B$14),"")/365),""))</f>
        <v/>
      </c>
      <c r="AT488" s="12" t="str">
        <f>IF($H488="Cancelled","",IFERROR((T488*INDEX(Variables!$B$7:$D$7,IFERROR(MATCH(IF($B488="Robusta","Robusta",(IF($B488="","Arabica",$B488))&amp;" - "&amp;(IF($C488="","Commercial",$C488))),Variables!$B$1:$D$1,0),1))*AC488/365)+(L488/16.67*INDEX(Variables!$B$8:$D$8,IFERROR(MATCH(IF($B488="Robusta","Robusta",(IF($B488="","Arabica",$B488))&amp;" - "&amp;(IF($C488="","Commercial",$C488))),Variables!$B$1:$D$1,0),1))*AC488)+(T488*INDEX(Variables!$B$9:$D$9,IFERROR(MATCH(IF($B488="Robusta","Robusta",(IF($B488="","Arabica",$B488))&amp;" - "&amp;(IF($C488="","Commercial",$C488))),Variables!$B$1:$D$1,0),1))*AC488/365),""))</f>
        <v/>
      </c>
      <c r="AU488" s="12" t="str">
        <f>IF($H488="Cancelled","",IFERROR((T488*INDEX(Variables!$B$7:$D$7,IFERROR(MATCH(IF($B488="Robusta","Robusta",(IF($B488="","Arabica",$B488))&amp;" - "&amp;(IF($C488="","Commercial",$C488))),Variables!$B$1:$D$1,0),1))*AP488/365)+(L488/16.67*INDEX(Variables!$B$8:$D$8,IFERROR(MATCH(IF($B488="Robusta","Robusta",(IF($B488="","Arabica",$B488))&amp;" - "&amp;(IF($C488="","Commercial",$C488))),Variables!$B$1:$D$1,0),1))*AP488)+(T488*INDEX(Variables!$B$9:$D$9,IFERROR(MATCH(IF($B488="Robusta","Robusta",(IF($B488="","Arabica",$B488))&amp;" - "&amp;(IF($C488="","Commercial",$C488))),Variables!$B$1:$D$1,0),1))*AP488/365),""))</f>
        <v/>
      </c>
      <c r="AV488" s="11" t="str">
        <f t="shared" si="53"/>
        <v/>
      </c>
      <c r="AW488" s="12" t="str">
        <f>IF($H488="Cancelled","",IFERROR(IF(AV488="","",(T488*INDEX(Variables!$B$7:$D$7,IFERROR(MATCH(IF($B488="Robusta","Robusta",(IF($B488="","Arabica",$B488))&amp;" - "&amp;(IF($C488="","Commercial",$C488))),Variables!$B$1:$D$1,0),1))*(AV488/365))+(T488*INDEX(Variables!$B$9:$D$9,IFERROR(MATCH(IF($B488="Robusta","Robusta",(IF($B488="","Arabica",$B488))&amp;" - "&amp;(IF($C488="","Commercial",$C488))),Variables!$B$1:$D$1,0),1))*(AV488/365))+(INDEX(Variables!$B$8:$D$8,IFERROR(MATCH(IF($B488="Robusta","Robusta",(IF($B488="","Arabica",$B488))&amp;" - "&amp;(IF($C488="","Commercial",$C488))),Variables!$B$1:$D$1,0),1))*L488/16.67)),""))</f>
        <v/>
      </c>
      <c r="AX488" s="9"/>
      <c r="AY488" s="12"/>
      <c r="AZ488" s="10"/>
      <c r="BA488" s="9"/>
      <c r="BB488" s="10"/>
      <c r="BC488" s="9"/>
      <c r="BD488" s="9"/>
      <c r="BE488" s="9"/>
      <c r="BF488" s="9"/>
    </row>
    <row r="489" spans="1:58" x14ac:dyDescent="0.25">
      <c r="A489" s="9" t="s">
        <v>84</v>
      </c>
      <c r="B489" s="9" t="s">
        <v>85</v>
      </c>
      <c r="C489" s="9" t="s">
        <v>86</v>
      </c>
      <c r="D489" s="10">
        <v>45980</v>
      </c>
      <c r="E489" s="10">
        <v>46054</v>
      </c>
      <c r="F489" s="10">
        <v>46081</v>
      </c>
      <c r="G489" s="9">
        <v>3786993</v>
      </c>
      <c r="H489" s="9" t="str">
        <f t="shared" si="51"/>
        <v>Open</v>
      </c>
      <c r="I489" s="9" t="str">
        <f t="shared" si="52"/>
        <v>No shipping advice sent and No docs dispatch date</v>
      </c>
      <c r="J489" s="9" t="s">
        <v>102</v>
      </c>
      <c r="K489" s="9" t="s">
        <v>1219</v>
      </c>
      <c r="L489" s="11">
        <v>1000</v>
      </c>
      <c r="M489" s="9" t="s">
        <v>1212</v>
      </c>
      <c r="N489" s="9" t="s">
        <v>432</v>
      </c>
      <c r="O489" s="9"/>
      <c r="P489" s="9"/>
      <c r="Q489" s="11">
        <v>53</v>
      </c>
      <c r="R489" s="9" t="s">
        <v>90</v>
      </c>
      <c r="S489" s="9" t="s">
        <v>207</v>
      </c>
      <c r="T489" s="12">
        <f>IF($H489="Cancelled","",IFERROR(((Q489+INDEX(Variables!$B$6:$D$6,IFERROR(MATCH(IF($B489="Robusta","Robusta",(IF($B489="","Arabica",$B489))&amp;" - "&amp;(IF($C489="","Commercial",$C489))),Variables!$B$1:$D$1,0),1)))*22.0462)*(L489/16.67),""))</f>
        <v>454678.07798440306</v>
      </c>
      <c r="U489" s="10">
        <v>46034</v>
      </c>
      <c r="V489" s="9" t="str">
        <f t="shared" si="54"/>
        <v>Sent</v>
      </c>
      <c r="W489" s="10">
        <v>46038</v>
      </c>
      <c r="X489" s="9" t="str">
        <f t="shared" si="50"/>
        <v>Approved</v>
      </c>
      <c r="Y489" s="10"/>
      <c r="Z489" s="10">
        <f>IF($H489="Cancelled","",IFERROR(IF(F489="","",F489-Variables!$B$13),""))</f>
        <v>46066</v>
      </c>
      <c r="AA489" s="11">
        <f>IF($H489="Cancelled","",IFERROR(IF(W489="","",(AVERAGE(E489:F489)-W489)-Variables!$B$14),""))</f>
        <v>-0.5</v>
      </c>
      <c r="AB489" s="10">
        <v>46063</v>
      </c>
      <c r="AC489" s="11">
        <f>IF($H489="Cancelled","",IFERROR(IF(AB489="","",IF(AND(W489="",Y489=""),"",IF(Y489&gt;W489,Y489+Variables!$B$15+Variables!$B$16+Variables!$B$17-AB489,W489+Variables!$B$16+Variables!$B$17-AB489))),""))</f>
        <v>-17</v>
      </c>
      <c r="AD489" s="9" t="s">
        <v>151</v>
      </c>
      <c r="AE489" s="9"/>
      <c r="AF489" s="10"/>
      <c r="AG489" s="10"/>
      <c r="AH489" s="9"/>
      <c r="AI489" s="9" t="s">
        <v>1220</v>
      </c>
      <c r="AJ489" s="9"/>
      <c r="AK489" s="10" t="s">
        <v>1221</v>
      </c>
      <c r="AL489" s="10"/>
      <c r="AM489" s="10"/>
      <c r="AN489" s="9" t="s">
        <v>1222</v>
      </c>
      <c r="AO489" s="9"/>
      <c r="AP489" s="11" t="str">
        <f>IF($H489="Cancelled","",IFERROR(IF(OR(AK489="",AB489=""),"",(AB489+Variables!$B$18-AK489)),""))</f>
        <v/>
      </c>
      <c r="AQ489" s="11" t="str">
        <f>IF($H489="Cancelled","",IFERROR(IF(OR(AM489="",AK489=""),"",(AK489+Variables!$B$19)-AM489),""))</f>
        <v/>
      </c>
      <c r="AR489" s="12" t="str">
        <f>IF($H489="Cancelled","",IFERROR(T489*INDEX(Variables!$B$7:$D$7,IFERROR(MATCH(IF($B489="Robusta","Robusta",(IF($B489="","Arabica",$B489))&amp;" - "&amp;(IF($C489="","Commercial",$C489))),Variables!$B$1:$D$1,0),1))*(AQ489/365),""))</f>
        <v/>
      </c>
      <c r="AS489" s="12">
        <f>IF($H489="Cancelled","",IFERROR((T489*INDEX(Variables!$B$7:$D$7,IFERROR(MATCH(IF($B489="Robusta","Robusta",(IF($B489="","Arabica",$B489))&amp;" - "&amp;(IF($C489="","Commercial",$C489))),Variables!$B$1:$D$1,0),1))*IFERROR(IF(W489="","",(AVERAGE(E489:F489)-W489)-Variables!$B$14),"")/365)+(L489/16.67*INDEX(Variables!$B$8:$D$8,IFERROR(MATCH(IF($B489="Robusta","Robusta",(IF($B489="","Arabica",$B489))&amp;" - "&amp;(IF($C489="","Commercial",$C489))),Variables!$B$1:$D$1,0),1))*IFERROR(IF(W489="","",(AVERAGE(E489:F489)-W489)-Variables!$B$14),""))+(T489*INDEX(Variables!$B$9:$D$9,IFERROR(MATCH(IF($B489="Robusta","Robusta",(IF($B489="","Arabica",$B489))&amp;" - "&amp;(IF($C489="","Commercial",$C489))),Variables!$B$1:$D$1,0),1))*IFERROR(IF(W489="","",(AVERAGE(E489:F489)-W489)-Variables!$B$14),"")/365),""))</f>
        <v>-65.680296775937421</v>
      </c>
      <c r="AT489" s="12">
        <f>IF($H489="Cancelled","",IFERROR((T489*INDEX(Variables!$B$7:$D$7,IFERROR(MATCH(IF($B489="Robusta","Robusta",(IF($B489="","Arabica",$B489))&amp;" - "&amp;(IF($C489="","Commercial",$C489))),Variables!$B$1:$D$1,0),1))*AC489/365)+(L489/16.67*INDEX(Variables!$B$8:$D$8,IFERROR(MATCH(IF($B489="Robusta","Robusta",(IF($B489="","Arabica",$B489))&amp;" - "&amp;(IF($C489="","Commercial",$C489))),Variables!$B$1:$D$1,0),1))*AC489)+(T489*INDEX(Variables!$B$9:$D$9,IFERROR(MATCH(IF($B489="Robusta","Robusta",(IF($B489="","Arabica",$B489))&amp;" - "&amp;(IF($C489="","Commercial",$C489))),Variables!$B$1:$D$1,0),1))*AC489/365),""))</f>
        <v>-2233.1300903818719</v>
      </c>
      <c r="AU489" s="12" t="str">
        <f>IF($H489="Cancelled","",IFERROR((T489*INDEX(Variables!$B$7:$D$7,IFERROR(MATCH(IF($B489="Robusta","Robusta",(IF($B489="","Arabica",$B489))&amp;" - "&amp;(IF($C489="","Commercial",$C489))),Variables!$B$1:$D$1,0),1))*AP489/365)+(L489/16.67*INDEX(Variables!$B$8:$D$8,IFERROR(MATCH(IF($B489="Robusta","Robusta",(IF($B489="","Arabica",$B489))&amp;" - "&amp;(IF($C489="","Commercial",$C489))),Variables!$B$1:$D$1,0),1))*AP489)+(T489*INDEX(Variables!$B$9:$D$9,IFERROR(MATCH(IF($B489="Robusta","Robusta",(IF($B489="","Arabica",$B489))&amp;" - "&amp;(IF($C489="","Commercial",$C489))),Variables!$B$1:$D$1,0),1))*AP489/365),""))</f>
        <v/>
      </c>
      <c r="AV489" s="11" t="str">
        <f t="shared" si="53"/>
        <v/>
      </c>
      <c r="AW489" s="12" t="str">
        <f>IF($H489="Cancelled","",IFERROR(IF(AV489="","",(T489*INDEX(Variables!$B$7:$D$7,IFERROR(MATCH(IF($B489="Robusta","Robusta",(IF($B489="","Arabica",$B489))&amp;" - "&amp;(IF($C489="","Commercial",$C489))),Variables!$B$1:$D$1,0),1))*(AV489/365))+(T489*INDEX(Variables!$B$9:$D$9,IFERROR(MATCH(IF($B489="Robusta","Robusta",(IF($B489="","Arabica",$B489))&amp;" - "&amp;(IF($C489="","Commercial",$C489))),Variables!$B$1:$D$1,0),1))*(AV489/365))+(INDEX(Variables!$B$8:$D$8,IFERROR(MATCH(IF($B489="Robusta","Robusta",(IF($B489="","Arabica",$B489))&amp;" - "&amp;(IF($C489="","Commercial",$C489))),Variables!$B$1:$D$1,0),1))*L489/16.67)),""))</f>
        <v/>
      </c>
      <c r="AX489" s="9"/>
      <c r="AY489" s="12"/>
      <c r="AZ489" s="10"/>
      <c r="BA489" s="9"/>
      <c r="BB489" s="10"/>
      <c r="BC489" s="9"/>
      <c r="BD489" s="9"/>
      <c r="BE489" s="9"/>
      <c r="BF489" s="9"/>
    </row>
    <row r="490" spans="1:58" x14ac:dyDescent="0.25">
      <c r="A490" s="9" t="s">
        <v>84</v>
      </c>
      <c r="B490" s="9" t="s">
        <v>85</v>
      </c>
      <c r="C490" s="9" t="s">
        <v>86</v>
      </c>
      <c r="D490" s="10">
        <v>46066</v>
      </c>
      <c r="E490" s="10">
        <v>46082</v>
      </c>
      <c r="F490" s="10">
        <v>46112</v>
      </c>
      <c r="G490" s="9">
        <v>3787290</v>
      </c>
      <c r="H490" s="9" t="str">
        <f t="shared" si="51"/>
        <v>Open</v>
      </c>
      <c r="I490" s="9" t="str">
        <f t="shared" si="52"/>
        <v>No shipping advice sent and No docs dispatch date</v>
      </c>
      <c r="J490" s="9" t="s">
        <v>240</v>
      </c>
      <c r="K490" s="9">
        <v>5467</v>
      </c>
      <c r="L490" s="11">
        <v>360</v>
      </c>
      <c r="M490" s="9" t="s">
        <v>1223</v>
      </c>
      <c r="N490" s="9" t="s">
        <v>387</v>
      </c>
      <c r="O490" s="9"/>
      <c r="P490" s="9"/>
      <c r="Q490" s="11">
        <v>-38</v>
      </c>
      <c r="R490" s="9" t="s">
        <v>90</v>
      </c>
      <c r="S490" s="9" t="s">
        <v>392</v>
      </c>
      <c r="T490" s="12">
        <f>IF($H490="Cancelled","",IFERROR(((Q490+INDEX(Variables!$B$6:$D$6,IFERROR(MATCH(IF($B490="Robusta","Robusta",(IF($B490="","Arabica",$B490))&amp;" - "&amp;(IF($C490="","Commercial",$C490))),Variables!$B$1:$D$1,0),1)))*22.0462)*(L490/16.67),""))</f>
        <v>120358.76242351528</v>
      </c>
      <c r="U490" s="10">
        <v>46072</v>
      </c>
      <c r="V490" s="9" t="str">
        <f t="shared" ref="V490:V521" si="55">IF(ISNUMBER(U490),"Sent","")</f>
        <v>Sent</v>
      </c>
      <c r="W490" s="10">
        <v>46099</v>
      </c>
      <c r="X490" s="9" t="str">
        <f t="shared" ref="X490:X553" si="56">IF(ISNUMBER(W490),"Approved","")</f>
        <v>Approved</v>
      </c>
      <c r="Y490" s="10"/>
      <c r="Z490" s="10">
        <f>IF($H490="Cancelled","",IFERROR(IF(F490="","",F490-Variables!$B$13),""))</f>
        <v>46097</v>
      </c>
      <c r="AA490" s="11">
        <f>IF($H490="Cancelled","",IFERROR(IF(W490="","",(AVERAGE(E490:F490)-W490)-Variables!$B$14),""))</f>
        <v>-32</v>
      </c>
      <c r="AB490" s="10">
        <v>46112</v>
      </c>
      <c r="AC490" s="11">
        <f>IF($H490="Cancelled","",IFERROR(IF(AB490="","",IF(AND(W490="",Y490=""),"",IF(Y490&gt;W490,Y490+Variables!$B$15+Variables!$B$16+Variables!$B$17-AB490,W490+Variables!$B$16+Variables!$B$17-AB490))),""))</f>
        <v>-5</v>
      </c>
      <c r="AD490" s="9" t="s">
        <v>1224</v>
      </c>
      <c r="AE490" s="9" t="s">
        <v>1225</v>
      </c>
      <c r="AF490" s="10">
        <v>46167</v>
      </c>
      <c r="AG490" s="10"/>
      <c r="AH490" s="9"/>
      <c r="AI490" s="9" t="s">
        <v>1226</v>
      </c>
      <c r="AJ490" s="9"/>
      <c r="AK490" s="10">
        <v>46112</v>
      </c>
      <c r="AL490" s="10"/>
      <c r="AM490" s="10"/>
      <c r="AN490" s="9" t="s">
        <v>1227</v>
      </c>
      <c r="AO490" s="9"/>
      <c r="AP490" s="11">
        <f>IF($H490="Cancelled","",IFERROR(IF(OR(AK490="",AB490=""),"",(AB490+Variables!$B$18-AK490)),""))</f>
        <v>7</v>
      </c>
      <c r="AQ490" s="11" t="str">
        <f>IF($H490="Cancelled","",IFERROR(IF(OR(AM490="",AK490=""),"",(AK490+Variables!$B$19)-AM490),""))</f>
        <v/>
      </c>
      <c r="AR490" s="12" t="str">
        <f>IF($H490="Cancelled","",IFERROR(T490*INDEX(Variables!$B$7:$D$7,IFERROR(MATCH(IF($B490="Robusta","Robusta",(IF($B490="","Arabica",$B490))&amp;" - "&amp;(IF($C490="","Commercial",$C490))),Variables!$B$1:$D$1,0),1))*(AQ490/365),""))</f>
        <v/>
      </c>
      <c r="AS490" s="12">
        <f>IF($H490="Cancelled","",IFERROR((T490*INDEX(Variables!$B$7:$D$7,IFERROR(MATCH(IF($B490="Robusta","Robusta",(IF($B490="","Arabica",$B490))&amp;" - "&amp;(IF($C490="","Commercial",$C490))),Variables!$B$1:$D$1,0),1))*IFERROR(IF(W490="","",(AVERAGE(E490:F490)-W490)-Variables!$B$14),"")/365)+(L490/16.67*INDEX(Variables!$B$8:$D$8,IFERROR(MATCH(IF($B490="Robusta","Robusta",(IF($B490="","Arabica",$B490))&amp;" - "&amp;(IF($C490="","Commercial",$C490))),Variables!$B$1:$D$1,0),1))*IFERROR(IF(W490="","",(AVERAGE(E490:F490)-W490)-Variables!$B$14),""))+(T490*INDEX(Variables!$B$9:$D$9,IFERROR(MATCH(IF($B490="Robusta","Robusta",(IF($B490="","Arabica",$B490))&amp;" - "&amp;(IF($C490="","Commercial",$C490))),Variables!$B$1:$D$1,0),1))*IFERROR(IF(W490="","",(AVERAGE(E490:F490)-W490)-Variables!$B$14),"")/365),""))</f>
        <v>-1265.1881231384782</v>
      </c>
      <c r="AT490" s="12">
        <f>IF($H490="Cancelled","",IFERROR((T490*INDEX(Variables!$B$7:$D$7,IFERROR(MATCH(IF($B490="Robusta","Robusta",(IF($B490="","Arabica",$B490))&amp;" - "&amp;(IF($C490="","Commercial",$C490))),Variables!$B$1:$D$1,0),1))*AC490/365)+(L490/16.67*INDEX(Variables!$B$8:$D$8,IFERROR(MATCH(IF($B490="Robusta","Robusta",(IF($B490="","Arabica",$B490))&amp;" - "&amp;(IF($C490="","Commercial",$C490))),Variables!$B$1:$D$1,0),1))*AC490)+(T490*INDEX(Variables!$B$9:$D$9,IFERROR(MATCH(IF($B490="Robusta","Robusta",(IF($B490="","Arabica",$B490))&amp;" - "&amp;(IF($C490="","Commercial",$C490))),Variables!$B$1:$D$1,0),1))*AC490/365),""))</f>
        <v>-197.68564424038723</v>
      </c>
      <c r="AU490" s="12">
        <f>IF($H490="Cancelled","",IFERROR((T490*INDEX(Variables!$B$7:$D$7,IFERROR(MATCH(IF($B490="Robusta","Robusta",(IF($B490="","Arabica",$B490))&amp;" - "&amp;(IF($C490="","Commercial",$C490))),Variables!$B$1:$D$1,0),1))*AP490/365)+(L490/16.67*INDEX(Variables!$B$8:$D$8,IFERROR(MATCH(IF($B490="Robusta","Robusta",(IF($B490="","Arabica",$B490))&amp;" - "&amp;(IF($C490="","Commercial",$C490))),Variables!$B$1:$D$1,0),1))*AP490)+(T490*INDEX(Variables!$B$9:$D$9,IFERROR(MATCH(IF($B490="Robusta","Robusta",(IF($B490="","Arabica",$B490))&amp;" - "&amp;(IF($C490="","Commercial",$C490))),Variables!$B$1:$D$1,0),1))*AP490/365),""))</f>
        <v>276.75990193654212</v>
      </c>
      <c r="AV490" s="11">
        <f t="shared" si="53"/>
        <v>0</v>
      </c>
      <c r="AW490" s="12">
        <f>IF($H490="Cancelled","",IFERROR(IF(AV490="","",(T490*INDEX(Variables!$B$7:$D$7,IFERROR(MATCH(IF($B490="Robusta","Robusta",(IF($B490="","Arabica",$B490))&amp;" - "&amp;(IF($C490="","Commercial",$C490))),Variables!$B$1:$D$1,0),1))*(AV490/365))+(T490*INDEX(Variables!$B$9:$D$9,IFERROR(MATCH(IF($B490="Robusta","Robusta",(IF($B490="","Arabica",$B490))&amp;" - "&amp;(IF($C490="","Commercial",$C490))),Variables!$B$1:$D$1,0),1))*(AV490/365))+(INDEX(Variables!$B$8:$D$8,IFERROR(MATCH(IF($B490="Robusta","Robusta",(IF($B490="","Arabica",$B490))&amp;" - "&amp;(IF($C490="","Commercial",$C490))),Variables!$B$1:$D$1,0),1))*L490/16.67)),""))</f>
        <v>18</v>
      </c>
      <c r="AX490" s="9"/>
      <c r="AY490" s="12"/>
      <c r="AZ490" s="10"/>
      <c r="BA490" s="9"/>
      <c r="BB490" s="10"/>
      <c r="BC490" s="9"/>
      <c r="BD490" s="9"/>
      <c r="BE490" s="9"/>
      <c r="BF490" s="9"/>
    </row>
    <row r="491" spans="1:58" x14ac:dyDescent="0.25">
      <c r="A491" s="9" t="s">
        <v>84</v>
      </c>
      <c r="B491" s="9" t="s">
        <v>85</v>
      </c>
      <c r="C491" s="9" t="s">
        <v>86</v>
      </c>
      <c r="D491" s="10">
        <v>46002</v>
      </c>
      <c r="E491" s="10">
        <v>46054</v>
      </c>
      <c r="F491" s="10">
        <v>46112</v>
      </c>
      <c r="G491" s="9">
        <v>3787037</v>
      </c>
      <c r="H491" s="9" t="str">
        <f t="shared" si="51"/>
        <v>Closed</v>
      </c>
      <c r="I491" s="9" t="str">
        <f t="shared" si="52"/>
        <v>All dates received</v>
      </c>
      <c r="J491" s="9" t="s">
        <v>322</v>
      </c>
      <c r="K491" s="9">
        <v>5425</v>
      </c>
      <c r="L491" s="11">
        <v>320</v>
      </c>
      <c r="M491" s="9" t="s">
        <v>1228</v>
      </c>
      <c r="N491" s="9" t="s">
        <v>126</v>
      </c>
      <c r="O491" s="9"/>
      <c r="P491" s="9"/>
      <c r="Q491" s="11">
        <v>23</v>
      </c>
      <c r="R491" s="9" t="s">
        <v>90</v>
      </c>
      <c r="S491" s="9" t="s">
        <v>156</v>
      </c>
      <c r="T491" s="12">
        <f>IF($H491="Cancelled","",IFERROR(((Q491+INDEX(Variables!$B$6:$D$6,IFERROR(MATCH(IF($B491="Robusta","Robusta",(IF($B491="","Arabica",$B491))&amp;" - "&amp;(IF($C491="","Commercial",$C491))),Variables!$B$1:$D$1,0),1)))*22.0462)*(L491/16.67),""))</f>
        <v>132800.91296940611</v>
      </c>
      <c r="U491" s="10">
        <v>46028</v>
      </c>
      <c r="V491" s="9" t="str">
        <f t="shared" si="55"/>
        <v>Sent</v>
      </c>
      <c r="W491" s="10">
        <v>46057</v>
      </c>
      <c r="X491" s="9" t="str">
        <f t="shared" si="56"/>
        <v>Approved</v>
      </c>
      <c r="Y491" s="10"/>
      <c r="Z491" s="10">
        <f>IF($H491="Cancelled","",IFERROR(IF(F491="","",F491-Variables!$B$13),""))</f>
        <v>46097</v>
      </c>
      <c r="AA491" s="11">
        <f>IF($H491="Cancelled","",IFERROR(IF(W491="","",(AVERAGE(E491:F491)-W491)-Variables!$B$14),""))</f>
        <v>-4</v>
      </c>
      <c r="AB491" s="10">
        <v>46080</v>
      </c>
      <c r="AC491" s="11">
        <f>IF($H491="Cancelled","",IFERROR(IF(AB491="","",IF(AND(W491="",Y491=""),"",IF(Y491&gt;W491,Y491+Variables!$B$15+Variables!$B$16+Variables!$B$17-AB491,W491+Variables!$B$16+Variables!$B$17-AB491))),""))</f>
        <v>-15</v>
      </c>
      <c r="AD491" s="9" t="s">
        <v>130</v>
      </c>
      <c r="AE491" s="9" t="s">
        <v>1229</v>
      </c>
      <c r="AF491" s="10">
        <v>46114</v>
      </c>
      <c r="AG491" s="10"/>
      <c r="AH491" s="9"/>
      <c r="AI491" s="9">
        <v>321600000862</v>
      </c>
      <c r="AJ491" s="9"/>
      <c r="AK491" s="10">
        <v>46089</v>
      </c>
      <c r="AL491" s="10">
        <v>46094</v>
      </c>
      <c r="AM491" s="10">
        <v>46108</v>
      </c>
      <c r="AN491" s="9" t="s">
        <v>1193</v>
      </c>
      <c r="AO491" s="9"/>
      <c r="AP491" s="11">
        <f>IF($H491="Cancelled","",IFERROR(IF(OR(AK491="",AB491=""),"",(AB491+Variables!$B$18-AK491)),""))</f>
        <v>-2</v>
      </c>
      <c r="AQ491" s="11">
        <f>IF($H491="Cancelled","",IFERROR(IF(OR(AM491="",AK491=""),"",(AK491+Variables!$B$19)-AM491),""))</f>
        <v>-14</v>
      </c>
      <c r="AR491" s="12">
        <f>IF($H491="Cancelled","",IFERROR(T491*INDEX(Variables!$B$7:$D$7,IFERROR(MATCH(IF($B491="Robusta","Robusta",(IF($B491="","Arabica",$B491))&amp;" - "&amp;(IF($C491="","Commercial",$C491))),Variables!$B$1:$D$1,0),1))*(AQ491/365),""))</f>
        <v>-328.4551518461966</v>
      </c>
      <c r="AS491" s="12">
        <f>IF($H491="Cancelled","",IFERROR((T491*INDEX(Variables!$B$7:$D$7,IFERROR(MATCH(IF($B491="Robusta","Robusta",(IF($B491="","Arabica",$B491))&amp;" - "&amp;(IF($C491="","Commercial",$C491))),Variables!$B$1:$D$1,0),1))*IFERROR(IF(W491="","",(AVERAGE(E491:F491)-W491)-Variables!$B$14),"")/365)+(L491/16.67*INDEX(Variables!$B$8:$D$8,IFERROR(MATCH(IF($B491="Robusta","Robusta",(IF($B491="","Arabica",$B491))&amp;" - "&amp;(IF($C491="","Commercial",$C491))),Variables!$B$1:$D$1,0),1))*IFERROR(IF(W491="","",(AVERAGE(E491:F491)-W491)-Variables!$B$14),""))+(T491*INDEX(Variables!$B$9:$D$9,IFERROR(MATCH(IF($B491="Robusta","Robusta",(IF($B491="","Arabica",$B491))&amp;" - "&amp;(IF($C491="","Commercial",$C491))),Variables!$B$1:$D$1,0),1))*IFERROR(IF(W491="","",(AVERAGE(E491:F491)-W491)-Variables!$B$14),"")/365),""))</f>
        <v>-159.05416360797048</v>
      </c>
      <c r="AT491" s="12">
        <f>IF($H491="Cancelled","",IFERROR((T491*INDEX(Variables!$B$7:$D$7,IFERROR(MATCH(IF($B491="Robusta","Robusta",(IF($B491="","Arabica",$B491))&amp;" - "&amp;(IF($C491="","Commercial",$C491))),Variables!$B$1:$D$1,0),1))*AC491/365)+(L491/16.67*INDEX(Variables!$B$8:$D$8,IFERROR(MATCH(IF($B491="Robusta","Robusta",(IF($B491="","Arabica",$B491))&amp;" - "&amp;(IF($C491="","Commercial",$C491))),Variables!$B$1:$D$1,0),1))*AC491)+(T491*INDEX(Variables!$B$9:$D$9,IFERROR(MATCH(IF($B491="Robusta","Robusta",(IF($B491="","Arabica",$B491))&amp;" - "&amp;(IF($C491="","Commercial",$C491))),Variables!$B$1:$D$1,0),1))*AC491/365),""))</f>
        <v>-596.45311352988927</v>
      </c>
      <c r="AU491" s="12">
        <f>IF($H491="Cancelled","",IFERROR((T491*INDEX(Variables!$B$7:$D$7,IFERROR(MATCH(IF($B491="Robusta","Robusta",(IF($B491="","Arabica",$B491))&amp;" - "&amp;(IF($C491="","Commercial",$C491))),Variables!$B$1:$D$1,0),1))*AP491/365)+(L491/16.67*INDEX(Variables!$B$8:$D$8,IFERROR(MATCH(IF($B491="Robusta","Robusta",(IF($B491="","Arabica",$B491))&amp;" - "&amp;(IF($C491="","Commercial",$C491))),Variables!$B$1:$D$1,0),1))*AP491)+(T491*INDEX(Variables!$B$9:$D$9,IFERROR(MATCH(IF($B491="Robusta","Robusta",(IF($B491="","Arabica",$B491))&amp;" - "&amp;(IF($C491="","Commercial",$C491))),Variables!$B$1:$D$1,0),1))*AP491/365),""))</f>
        <v>-79.52708180398524</v>
      </c>
      <c r="AV491" s="11">
        <f t="shared" si="53"/>
        <v>23</v>
      </c>
      <c r="AW491" s="12">
        <f>IF($H491="Cancelled","",IFERROR(IF(AV491="","",(T491*INDEX(Variables!$B$7:$D$7,IFERROR(MATCH(IF($B491="Robusta","Robusta",(IF($B491="","Arabica",$B491))&amp;" - "&amp;(IF($C491="","Commercial",$C491))),Variables!$B$1:$D$1,0),1))*(AV491/365))+(T491*INDEX(Variables!$B$9:$D$9,IFERROR(MATCH(IF($B491="Robusta","Robusta",(IF($B491="","Arabica",$B491))&amp;" - "&amp;(IF($C491="","Commercial",$C491))),Variables!$B$1:$D$1,0),1))*(AV491/365))+(INDEX(Variables!$B$8:$D$8,IFERROR(MATCH(IF($B491="Robusta","Robusta",(IF($B491="","Arabica",$B491))&amp;" - "&amp;(IF($C491="","Commercial",$C491))),Variables!$B$1:$D$1,0),1))*L491/16.67)),""))</f>
        <v>562.5614407458304</v>
      </c>
      <c r="AX491" s="9"/>
      <c r="AY491" s="12"/>
      <c r="AZ491" s="10"/>
      <c r="BA491" s="9"/>
      <c r="BB491" s="10"/>
      <c r="BC491" s="9"/>
      <c r="BD491" s="9"/>
      <c r="BE491" s="9"/>
      <c r="BF491" s="9"/>
    </row>
    <row r="492" spans="1:58" x14ac:dyDescent="0.25">
      <c r="A492" s="9" t="s">
        <v>84</v>
      </c>
      <c r="B492" s="9" t="s">
        <v>85</v>
      </c>
      <c r="C492" s="9" t="s">
        <v>86</v>
      </c>
      <c r="D492" s="10">
        <v>46043</v>
      </c>
      <c r="E492" s="10">
        <v>46082</v>
      </c>
      <c r="F492" s="10">
        <v>46112</v>
      </c>
      <c r="G492" s="9">
        <v>3787117</v>
      </c>
      <c r="H492" s="9" t="str">
        <f t="shared" si="51"/>
        <v>Open</v>
      </c>
      <c r="I492" s="9" t="str">
        <f t="shared" si="52"/>
        <v>No docs dispatch date</v>
      </c>
      <c r="J492" s="9" t="s">
        <v>322</v>
      </c>
      <c r="K492" s="9" t="s">
        <v>1230</v>
      </c>
      <c r="L492" s="11">
        <v>100</v>
      </c>
      <c r="M492" s="9" t="s">
        <v>1231</v>
      </c>
      <c r="N492" s="9" t="s">
        <v>346</v>
      </c>
      <c r="O492" s="9"/>
      <c r="P492" s="9"/>
      <c r="Q492" s="11">
        <v>103</v>
      </c>
      <c r="R492" s="9" t="s">
        <v>90</v>
      </c>
      <c r="S492" s="9" t="s">
        <v>123</v>
      </c>
      <c r="T492" s="12">
        <f>IF($H492="Cancelled","",IFERROR(((Q492+INDEX(Variables!$B$6:$D$6,IFERROR(MATCH(IF($B492="Robusta","Robusta",(IF($B492="","Arabica",$B492))&amp;" - "&amp;(IF($C492="","Commercial",$C492))),Variables!$B$1:$D$1,0),1)))*22.0462)*(L492/16.67),""))</f>
        <v>52080.345290941805</v>
      </c>
      <c r="U492" s="10">
        <v>46051</v>
      </c>
      <c r="V492" s="9" t="str">
        <f t="shared" si="55"/>
        <v>Sent</v>
      </c>
      <c r="W492" s="10">
        <v>46064</v>
      </c>
      <c r="X492" s="9" t="str">
        <f t="shared" si="56"/>
        <v>Approved</v>
      </c>
      <c r="Y492" s="10"/>
      <c r="Z492" s="10">
        <f>IF($H492="Cancelled","",IFERROR(IF(F492="","",F492-Variables!$B$13),""))</f>
        <v>46097</v>
      </c>
      <c r="AA492" s="11">
        <f>IF($H492="Cancelled","",IFERROR(IF(W492="","",(AVERAGE(E492:F492)-W492)-Variables!$B$14),""))</f>
        <v>3</v>
      </c>
      <c r="AB492" s="10">
        <v>46085</v>
      </c>
      <c r="AC492" s="11">
        <f>IF($H492="Cancelled","",IFERROR(IF(AB492="","",IF(AND(W492="",Y492=""),"",IF(Y492&gt;W492,Y492+Variables!$B$15+Variables!$B$16+Variables!$B$17-AB492,W492+Variables!$B$16+Variables!$B$17-AB492))),""))</f>
        <v>-13</v>
      </c>
      <c r="AD492" s="9" t="s">
        <v>92</v>
      </c>
      <c r="AE492" s="9" t="s">
        <v>1232</v>
      </c>
      <c r="AF492" s="10">
        <v>46117</v>
      </c>
      <c r="AG492" s="10"/>
      <c r="AH492" s="9"/>
      <c r="AI492" s="9" t="s">
        <v>1233</v>
      </c>
      <c r="AJ492" s="9"/>
      <c r="AK492" s="10">
        <v>46103</v>
      </c>
      <c r="AL492" s="10">
        <v>46105</v>
      </c>
      <c r="AM492" s="10"/>
      <c r="AN492" s="9" t="s">
        <v>1234</v>
      </c>
      <c r="AO492" s="9"/>
      <c r="AP492" s="11">
        <f>IF($H492="Cancelled","",IFERROR(IF(OR(AK492="",AB492=""),"",(AB492+Variables!$B$18-AK492)),""))</f>
        <v>-11</v>
      </c>
      <c r="AQ492" s="11" t="str">
        <f>IF($H492="Cancelled","",IFERROR(IF(OR(AM492="",AK492=""),"",(AK492+Variables!$B$19)-AM492),""))</f>
        <v/>
      </c>
      <c r="AR492" s="12" t="str">
        <f>IF($H492="Cancelled","",IFERROR(T492*INDEX(Variables!$B$7:$D$7,IFERROR(MATCH(IF($B492="Robusta","Robusta",(IF($B492="","Arabica",$B492))&amp;" - "&amp;(IF($C492="","Commercial",$C492))),Variables!$B$1:$D$1,0),1))*(AQ492/365),""))</f>
        <v/>
      </c>
      <c r="AS492" s="12">
        <f>IF($H492="Cancelled","",IFERROR((T492*INDEX(Variables!$B$7:$D$7,IFERROR(MATCH(IF($B492="Robusta","Robusta",(IF($B492="","Arabica",$B492))&amp;" - "&amp;(IF($C492="","Commercial",$C492))),Variables!$B$1:$D$1,0),1))*IFERROR(IF(W492="","",(AVERAGE(E492:F492)-W492)-Variables!$B$14),"")/365)+(L492/16.67*INDEX(Variables!$B$8:$D$8,IFERROR(MATCH(IF($B492="Robusta","Robusta",(IF($B492="","Arabica",$B492))&amp;" - "&amp;(IF($C492="","Commercial",$C492))),Variables!$B$1:$D$1,0),1))*IFERROR(IF(W492="","",(AVERAGE(E492:F492)-W492)-Variables!$B$14),""))+(T492*INDEX(Variables!$B$9:$D$9,IFERROR(MATCH(IF($B492="Robusta","Robusta",(IF($B492="","Arabica",$B492))&amp;" - "&amp;(IF($C492="","Commercial",$C492))),Variables!$B$1:$D$1,0),1))*IFERROR(IF(W492="","",(AVERAGE(E492:F492)-W492)-Variables!$B$14),"")/365),""))</f>
        <v>42.957942182136392</v>
      </c>
      <c r="AT492" s="12">
        <f>IF($H492="Cancelled","",IFERROR((T492*INDEX(Variables!$B$7:$D$7,IFERROR(MATCH(IF($B492="Robusta","Robusta",(IF($B492="","Arabica",$B492))&amp;" - "&amp;(IF($C492="","Commercial",$C492))),Variables!$B$1:$D$1,0),1))*AC492/365)+(L492/16.67*INDEX(Variables!$B$8:$D$8,IFERROR(MATCH(IF($B492="Robusta","Robusta",(IF($B492="","Arabica",$B492))&amp;" - "&amp;(IF($C492="","Commercial",$C492))),Variables!$B$1:$D$1,0),1))*AC492)+(T492*INDEX(Variables!$B$9:$D$9,IFERROR(MATCH(IF($B492="Robusta","Robusta",(IF($B492="","Arabica",$B492))&amp;" - "&amp;(IF($C492="","Commercial",$C492))),Variables!$B$1:$D$1,0),1))*AC492/365),""))</f>
        <v>-186.15108278925771</v>
      </c>
      <c r="AU492" s="12">
        <f>IF($H492="Cancelled","",IFERROR((T492*INDEX(Variables!$B$7:$D$7,IFERROR(MATCH(IF($B492="Robusta","Robusta",(IF($B492="","Arabica",$B492))&amp;" - "&amp;(IF($C492="","Commercial",$C492))),Variables!$B$1:$D$1,0),1))*AP492/365)+(L492/16.67*INDEX(Variables!$B$8:$D$8,IFERROR(MATCH(IF($B492="Robusta","Robusta",(IF($B492="","Arabica",$B492))&amp;" - "&amp;(IF($C492="","Commercial",$C492))),Variables!$B$1:$D$1,0),1))*AP492)+(T492*INDEX(Variables!$B$9:$D$9,IFERROR(MATCH(IF($B492="Robusta","Robusta",(IF($B492="","Arabica",$B492))&amp;" - "&amp;(IF($C492="","Commercial",$C492))),Variables!$B$1:$D$1,0),1))*AP492/365),""))</f>
        <v>-157.51245466783345</v>
      </c>
      <c r="AV492" s="11">
        <f t="shared" si="53"/>
        <v>9</v>
      </c>
      <c r="AW492" s="12">
        <f>IF($H492="Cancelled","",IFERROR(IF(AV492="","",(T492*INDEX(Variables!$B$7:$D$7,IFERROR(MATCH(IF($B492="Robusta","Robusta",(IF($B492="","Arabica",$B492))&amp;" - "&amp;(IF($C492="","Commercial",$C492))),Variables!$B$1:$D$1,0),1))*(AV492/365))+(T492*INDEX(Variables!$B$9:$D$9,IFERROR(MATCH(IF($B492="Robusta","Robusta",(IF($B492="","Arabica",$B492))&amp;" - "&amp;(IF($C492="","Commercial",$C492))),Variables!$B$1:$D$1,0),1))*(AV492/365))+(INDEX(Variables!$B$8:$D$8,IFERROR(MATCH(IF($B492="Robusta","Robusta",(IF($B492="","Arabica",$B492))&amp;" - "&amp;(IF($C492="","Commercial",$C492))),Variables!$B$1:$D$1,0),1))*L492/16.67)),""))</f>
        <v>88.873826546409177</v>
      </c>
      <c r="AX492" s="9"/>
      <c r="AY492" s="12"/>
      <c r="AZ492" s="10"/>
      <c r="BA492" s="9"/>
      <c r="BB492" s="10"/>
      <c r="BC492" s="9"/>
      <c r="BD492" s="9"/>
      <c r="BE492" s="9"/>
      <c r="BF492" s="9"/>
    </row>
    <row r="493" spans="1:58" x14ac:dyDescent="0.25">
      <c r="A493" s="9" t="s">
        <v>84</v>
      </c>
      <c r="B493" s="9" t="s">
        <v>85</v>
      </c>
      <c r="C493" s="9" t="s">
        <v>86</v>
      </c>
      <c r="D493" s="10">
        <v>46043</v>
      </c>
      <c r="E493" s="10">
        <v>46082</v>
      </c>
      <c r="F493" s="10">
        <v>46112</v>
      </c>
      <c r="G493" s="9">
        <v>3787118</v>
      </c>
      <c r="H493" s="9" t="str">
        <f t="shared" si="51"/>
        <v>Open</v>
      </c>
      <c r="I493" s="9" t="str">
        <f t="shared" si="52"/>
        <v>No docs dispatch date</v>
      </c>
      <c r="J493" s="9" t="s">
        <v>322</v>
      </c>
      <c r="K493" s="9" t="s">
        <v>1235</v>
      </c>
      <c r="L493" s="11">
        <v>120</v>
      </c>
      <c r="M493" s="9" t="s">
        <v>1236</v>
      </c>
      <c r="N493" s="9" t="s">
        <v>334</v>
      </c>
      <c r="O493" s="9"/>
      <c r="P493" s="9"/>
      <c r="Q493" s="11">
        <v>38</v>
      </c>
      <c r="R493" s="9" t="s">
        <v>90</v>
      </c>
      <c r="S493" s="9" t="s">
        <v>123</v>
      </c>
      <c r="T493" s="12">
        <f>IF($H493="Cancelled","",IFERROR(((Q493+INDEX(Variables!$B$6:$D$6,IFERROR(MATCH(IF($B493="Robusta","Robusta",(IF($B493="","Arabica",$B493))&amp;" - "&amp;(IF($C493="","Commercial",$C493))),Variables!$B$1:$D$1,0),1)))*22.0462)*(L493/16.67),""))</f>
        <v>52180.855860827825</v>
      </c>
      <c r="U493" s="10">
        <v>46051</v>
      </c>
      <c r="V493" s="9" t="str">
        <f t="shared" si="55"/>
        <v>Sent</v>
      </c>
      <c r="W493" s="10">
        <v>46064</v>
      </c>
      <c r="X493" s="9" t="str">
        <f t="shared" si="56"/>
        <v>Approved</v>
      </c>
      <c r="Y493" s="10"/>
      <c r="Z493" s="10">
        <f>IF($H493="Cancelled","",IFERROR(IF(F493="","",F493-Variables!$B$13),""))</f>
        <v>46097</v>
      </c>
      <c r="AA493" s="11">
        <f>IF($H493="Cancelled","",IFERROR(IF(W493="","",(AVERAGE(E493:F493)-W493)-Variables!$B$14),""))</f>
        <v>3</v>
      </c>
      <c r="AB493" s="10">
        <v>46085</v>
      </c>
      <c r="AC493" s="11">
        <f>IF($H493="Cancelled","",IFERROR(IF(AB493="","",IF(AND(W493="",Y493=""),"",IF(Y493&gt;W493,Y493+Variables!$B$15+Variables!$B$16+Variables!$B$17-AB493,W493+Variables!$B$16+Variables!$B$17-AB493))),""))</f>
        <v>-13</v>
      </c>
      <c r="AD493" s="9" t="s">
        <v>92</v>
      </c>
      <c r="AE493" s="9" t="s">
        <v>1232</v>
      </c>
      <c r="AF493" s="10">
        <v>46117</v>
      </c>
      <c r="AG493" s="10"/>
      <c r="AH493" s="9"/>
      <c r="AI493" s="9" t="s">
        <v>1233</v>
      </c>
      <c r="AJ493" s="9"/>
      <c r="AK493" s="10">
        <v>46103</v>
      </c>
      <c r="AL493" s="10">
        <v>46105</v>
      </c>
      <c r="AM493" s="10"/>
      <c r="AN493" s="9" t="s">
        <v>1234</v>
      </c>
      <c r="AO493" s="9"/>
      <c r="AP493" s="11">
        <f>IF($H493="Cancelled","",IFERROR(IF(OR(AK493="",AB493=""),"",(AB493+Variables!$B$18-AK493)),""))</f>
        <v>-11</v>
      </c>
      <c r="AQ493" s="11" t="str">
        <f>IF($H493="Cancelled","",IFERROR(IF(OR(AM493="",AK493=""),"",(AK493+Variables!$B$19)-AM493),""))</f>
        <v/>
      </c>
      <c r="AR493" s="12" t="str">
        <f>IF($H493="Cancelled","",IFERROR(T493*INDEX(Variables!$B$7:$D$7,IFERROR(MATCH(IF($B493="Robusta","Robusta",(IF($B493="","Arabica",$B493))&amp;" - "&amp;(IF($C493="","Commercial",$C493))),Variables!$B$1:$D$1,0),1))*(AQ493/365),""))</f>
        <v/>
      </c>
      <c r="AS493" s="12">
        <f>IF($H493="Cancelled","",IFERROR((T493*INDEX(Variables!$B$7:$D$7,IFERROR(MATCH(IF($B493="Robusta","Robusta",(IF($B493="","Arabica",$B493))&amp;" - "&amp;(IF($C493="","Commercial",$C493))),Variables!$B$1:$D$1,0),1))*IFERROR(IF(W493="","",(AVERAGE(E493:F493)-W493)-Variables!$B$14),"")/365)+(L493/16.67*INDEX(Variables!$B$8:$D$8,IFERROR(MATCH(IF($B493="Robusta","Robusta",(IF($B493="","Arabica",$B493))&amp;" - "&amp;(IF($C493="","Commercial",$C493))),Variables!$B$1:$D$1,0),1))*IFERROR(IF(W493="","",(AVERAGE(E493:F493)-W493)-Variables!$B$14),""))+(T493*INDEX(Variables!$B$9:$D$9,IFERROR(MATCH(IF($B493="Robusta","Robusta",(IF($B493="","Arabica",$B493))&amp;" - "&amp;(IF($C493="","Commercial",$C493))),Variables!$B$1:$D$1,0),1))*IFERROR(IF(W493="","",(AVERAGE(E493:F493)-W493)-Variables!$B$14),"")/365),""))</f>
        <v>46.01189859670832</v>
      </c>
      <c r="AT493" s="12">
        <f>IF($H493="Cancelled","",IFERROR((T493*INDEX(Variables!$B$7:$D$7,IFERROR(MATCH(IF($B493="Robusta","Robusta",(IF($B493="","Arabica",$B493))&amp;" - "&amp;(IF($C493="","Commercial",$C493))),Variables!$B$1:$D$1,0),1))*AC493/365)+(L493/16.67*INDEX(Variables!$B$8:$D$8,IFERROR(MATCH(IF($B493="Robusta","Robusta",(IF($B493="","Arabica",$B493))&amp;" - "&amp;(IF($C493="","Commercial",$C493))),Variables!$B$1:$D$1,0),1))*AC493)+(T493*INDEX(Variables!$B$9:$D$9,IFERROR(MATCH(IF($B493="Robusta","Robusta",(IF($B493="","Arabica",$B493))&amp;" - "&amp;(IF($C493="","Commercial",$C493))),Variables!$B$1:$D$1,0),1))*AC493/365),""))</f>
        <v>-199.38489391906936</v>
      </c>
      <c r="AU493" s="12">
        <f>IF($H493="Cancelled","",IFERROR((T493*INDEX(Variables!$B$7:$D$7,IFERROR(MATCH(IF($B493="Robusta","Robusta",(IF($B493="","Arabica",$B493))&amp;" - "&amp;(IF($C493="","Commercial",$C493))),Variables!$B$1:$D$1,0),1))*AP493/365)+(L493/16.67*INDEX(Variables!$B$8:$D$8,IFERROR(MATCH(IF($B493="Robusta","Robusta",(IF($B493="","Arabica",$B493))&amp;" - "&amp;(IF($C493="","Commercial",$C493))),Variables!$B$1:$D$1,0),1))*AP493)+(T493*INDEX(Variables!$B$9:$D$9,IFERROR(MATCH(IF($B493="Robusta","Robusta",(IF($B493="","Arabica",$B493))&amp;" - "&amp;(IF($C493="","Commercial",$C493))),Variables!$B$1:$D$1,0),1))*AP493/365),""))</f>
        <v>-168.71029485459715</v>
      </c>
      <c r="AV493" s="11">
        <f t="shared" si="53"/>
        <v>9</v>
      </c>
      <c r="AW493" s="12">
        <f>IF($H493="Cancelled","",IFERROR(IF(AV493="","",(T493*INDEX(Variables!$B$7:$D$7,IFERROR(MATCH(IF($B493="Robusta","Robusta",(IF($B493="","Arabica",$B493))&amp;" - "&amp;(IF($C493="","Commercial",$C493))),Variables!$B$1:$D$1,0),1))*(AV493/365))+(T493*INDEX(Variables!$B$9:$D$9,IFERROR(MATCH(IF($B493="Robusta","Robusta",(IF($B493="","Arabica",$B493))&amp;" - "&amp;(IF($C493="","Commercial",$C493))),Variables!$B$1:$D$1,0),1))*(AV493/365))+(INDEX(Variables!$B$8:$D$8,IFERROR(MATCH(IF($B493="Robusta","Robusta",(IF($B493="","Arabica",$B493))&amp;" - "&amp;(IF($C493="","Commercial",$C493))),Variables!$B$1:$D$1,0),1))*L493/16.67)),""))</f>
        <v>90.035695790124933</v>
      </c>
      <c r="AX493" s="9"/>
      <c r="AY493" s="12"/>
      <c r="AZ493" s="10"/>
      <c r="BA493" s="9"/>
      <c r="BB493" s="10"/>
      <c r="BC493" s="9"/>
      <c r="BD493" s="9"/>
      <c r="BE493" s="9"/>
      <c r="BF493" s="9"/>
    </row>
    <row r="494" spans="1:58" x14ac:dyDescent="0.25">
      <c r="A494" s="9" t="s">
        <v>84</v>
      </c>
      <c r="B494" s="9" t="s">
        <v>85</v>
      </c>
      <c r="C494" s="9" t="s">
        <v>86</v>
      </c>
      <c r="D494" s="10">
        <v>45981</v>
      </c>
      <c r="E494" s="10">
        <v>45992</v>
      </c>
      <c r="F494" s="10">
        <v>46022</v>
      </c>
      <c r="G494" s="9">
        <v>3786995</v>
      </c>
      <c r="H494" s="9" t="str">
        <f t="shared" si="51"/>
        <v>Closed</v>
      </c>
      <c r="I494" s="9" t="str">
        <f t="shared" si="52"/>
        <v>All dates received</v>
      </c>
      <c r="J494" s="9" t="s">
        <v>1237</v>
      </c>
      <c r="K494" s="9">
        <v>5364</v>
      </c>
      <c r="L494" s="11">
        <v>320</v>
      </c>
      <c r="M494" s="9" t="s">
        <v>1144</v>
      </c>
      <c r="N494" s="9" t="s">
        <v>227</v>
      </c>
      <c r="O494" s="9"/>
      <c r="P494" s="9"/>
      <c r="Q494" s="11">
        <v>45</v>
      </c>
      <c r="R494" s="9" t="s">
        <v>90</v>
      </c>
      <c r="S494" s="9" t="s">
        <v>335</v>
      </c>
      <c r="T494" s="12">
        <f>IF($H494="Cancelled","",IFERROR(((Q494+INDEX(Variables!$B$6:$D$6,IFERROR(MATCH(IF($B494="Robusta","Robusta",(IF($B494="","Arabica",$B494))&amp;" - "&amp;(IF($C494="","Commercial",$C494))),Variables!$B$1:$D$1,0),1)))*22.0462)*(L494/16.67),""))</f>
        <v>142111.3657588482</v>
      </c>
      <c r="U494" s="10">
        <v>45985</v>
      </c>
      <c r="V494" s="9" t="str">
        <f t="shared" si="55"/>
        <v>Sent</v>
      </c>
      <c r="W494" s="10"/>
      <c r="X494" s="9" t="str">
        <f t="shared" si="56"/>
        <v/>
      </c>
      <c r="Y494" s="10"/>
      <c r="Z494" s="10">
        <f>IF($H494="Cancelled","",IFERROR(IF(F494="","",F494-Variables!$B$13),""))</f>
        <v>46007</v>
      </c>
      <c r="AA494" s="11" t="str">
        <f>IF($H494="Cancelled","",IFERROR(IF(W494="","",(AVERAGE(E494:F494)-W494)-Variables!$B$14),""))</f>
        <v/>
      </c>
      <c r="AB494" s="10">
        <v>46010</v>
      </c>
      <c r="AC494" s="11" t="str">
        <f>IF($H494="Cancelled","",IFERROR(IF(AB494="","",IF(AND(W494="",Y494=""),"",IF(Y494&gt;W494,Y494+Variables!$B$15+Variables!$B$16+Variables!$B$17-AB494,W494+Variables!$B$16+Variables!$B$17-AB494))),""))</f>
        <v/>
      </c>
      <c r="AD494" s="9" t="s">
        <v>92</v>
      </c>
      <c r="AE494" s="9" t="s">
        <v>1238</v>
      </c>
      <c r="AF494" s="10"/>
      <c r="AG494" s="10"/>
      <c r="AH494" s="9"/>
      <c r="AI494" s="9" t="s">
        <v>1239</v>
      </c>
      <c r="AJ494" s="9" t="s">
        <v>1240</v>
      </c>
      <c r="AK494" s="10">
        <v>46039</v>
      </c>
      <c r="AL494" s="10">
        <v>46043</v>
      </c>
      <c r="AM494" s="10">
        <v>46055</v>
      </c>
      <c r="AN494" s="9" t="s">
        <v>95</v>
      </c>
      <c r="AO494" s="9"/>
      <c r="AP494" s="11">
        <f>IF($H494="Cancelled","",IFERROR(IF(OR(AK494="",AB494=""),"",(AB494+Variables!$B$18-AK494)),""))</f>
        <v>-22</v>
      </c>
      <c r="AQ494" s="11">
        <f>IF($H494="Cancelled","",IFERROR(IF(OR(AM494="",AK494=""),"",(AK494+Variables!$B$19)-AM494),""))</f>
        <v>-11</v>
      </c>
      <c r="AR494" s="12">
        <f>IF($H494="Cancelled","",IFERROR(T494*INDEX(Variables!$B$7:$D$7,IFERROR(MATCH(IF($B494="Robusta","Robusta",(IF($B494="","Arabica",$B494))&amp;" - "&amp;(IF($C494="","Commercial",$C494))),Variables!$B$1:$D$1,0),1))*(AQ494/365),""))</f>
        <v>-276.16490027530745</v>
      </c>
      <c r="AS494" s="12" t="str">
        <f>IF($H494="Cancelled","",IFERROR((T494*INDEX(Variables!$B$7:$D$7,IFERROR(MATCH(IF($B494="Robusta","Robusta",(IF($B494="","Arabica",$B494))&amp;" - "&amp;(IF($C494="","Commercial",$C494))),Variables!$B$1:$D$1,0),1))*IFERROR(IF(W494="","",(AVERAGE(E494:F494)-W494)-Variables!$B$14),"")/365)+(L494/16.67*INDEX(Variables!$B$8:$D$8,IFERROR(MATCH(IF($B494="Robusta","Robusta",(IF($B494="","Arabica",$B494))&amp;" - "&amp;(IF($C494="","Commercial",$C494))),Variables!$B$1:$D$1,0),1))*IFERROR(IF(W494="","",(AVERAGE(E494:F494)-W494)-Variables!$B$14),""))+(T494*INDEX(Variables!$B$9:$D$9,IFERROR(MATCH(IF($B494="Robusta","Robusta",(IF($B494="","Arabica",$B494))&amp;" - "&amp;(IF($C494="","Commercial",$C494))),Variables!$B$1:$D$1,0),1))*IFERROR(IF(W494="","",(AVERAGE(E494:F494)-W494)-Variables!$B$14),"")/365),""))</f>
        <v/>
      </c>
      <c r="AT494" s="12" t="str">
        <f>IF($H494="Cancelled","",IFERROR((T494*INDEX(Variables!$B$7:$D$7,IFERROR(MATCH(IF($B494="Robusta","Robusta",(IF($B494="","Arabica",$B494))&amp;" - "&amp;(IF($C494="","Commercial",$C494))),Variables!$B$1:$D$1,0),1))*AC494/365)+(L494/16.67*INDEX(Variables!$B$8:$D$8,IFERROR(MATCH(IF($B494="Robusta","Robusta",(IF($B494="","Arabica",$B494))&amp;" - "&amp;(IF($C494="","Commercial",$C494))),Variables!$B$1:$D$1,0),1))*AC494)+(T494*INDEX(Variables!$B$9:$D$9,IFERROR(MATCH(IF($B494="Robusta","Robusta",(IF($B494="","Arabica",$B494))&amp;" - "&amp;(IF($C494="","Commercial",$C494))),Variables!$B$1:$D$1,0),1))*AC494/365),""))</f>
        <v/>
      </c>
      <c r="AU494" s="12">
        <f>IF($H494="Cancelled","",IFERROR((T494*INDEX(Variables!$B$7:$D$7,IFERROR(MATCH(IF($B494="Robusta","Robusta",(IF($B494="","Arabica",$B494))&amp;" - "&amp;(IF($C494="","Commercial",$C494))),Variables!$B$1:$D$1,0),1))*AP494/365)+(L494/16.67*INDEX(Variables!$B$8:$D$8,IFERROR(MATCH(IF($B494="Robusta","Robusta",(IF($B494="","Arabica",$B494))&amp;" - "&amp;(IF($C494="","Commercial",$C494))),Variables!$B$1:$D$1,0),1))*AP494)+(T494*INDEX(Variables!$B$9:$D$9,IFERROR(MATCH(IF($B494="Robusta","Robusta",(IF($B494="","Arabica",$B494))&amp;" - "&amp;(IF($C494="","Commercial",$C494))),Variables!$B$1:$D$1,0),1))*AP494/365),""))</f>
        <v>-911.45039760216901</v>
      </c>
      <c r="AV494" s="11">
        <f t="shared" si="53"/>
        <v>-17</v>
      </c>
      <c r="AW494" s="12">
        <f>IF($H494="Cancelled","",IFERROR(IF(AV494="","",(T494*INDEX(Variables!$B$7:$D$7,IFERROR(MATCH(IF($B494="Robusta","Robusta",(IF($B494="","Arabica",$B494))&amp;" - "&amp;(IF($C494="","Commercial",$C494))),Variables!$B$1:$D$1,0),1))*(AV494/365))+(T494*INDEX(Variables!$B$9:$D$9,IFERROR(MATCH(IF($B494="Robusta","Robusta",(IF($B494="","Arabica",$B494))&amp;" - "&amp;(IF($C494="","Commercial",$C494))),Variables!$B$1:$D$1,0),1))*(AV494/365))+(INDEX(Variables!$B$8:$D$8,IFERROR(MATCH(IF($B494="Robusta","Robusta",(IF($B494="","Arabica",$B494))&amp;" - "&amp;(IF($C494="","Commercial",$C494))),Variables!$B$1:$D$1,0),1))*L494/16.67)),""))</f>
        <v>-416.30257996531247</v>
      </c>
      <c r="AX494" s="9"/>
      <c r="AY494" s="12"/>
      <c r="AZ494" s="10"/>
      <c r="BA494" s="9"/>
      <c r="BB494" s="10"/>
      <c r="BC494" s="9"/>
      <c r="BD494" s="9"/>
      <c r="BE494" s="9"/>
      <c r="BF494" s="9"/>
    </row>
    <row r="495" spans="1:58" x14ac:dyDescent="0.25">
      <c r="A495" s="9" t="s">
        <v>84</v>
      </c>
      <c r="B495" s="9" t="s">
        <v>85</v>
      </c>
      <c r="C495" s="9" t="s">
        <v>86</v>
      </c>
      <c r="D495" s="10">
        <v>45981</v>
      </c>
      <c r="E495" s="10">
        <v>45992</v>
      </c>
      <c r="F495" s="10">
        <v>46022</v>
      </c>
      <c r="G495" s="9">
        <v>3786996</v>
      </c>
      <c r="H495" s="9" t="str">
        <f t="shared" si="51"/>
        <v>Closed</v>
      </c>
      <c r="I495" s="9" t="str">
        <f t="shared" si="52"/>
        <v>All dates received</v>
      </c>
      <c r="J495" s="9" t="s">
        <v>1237</v>
      </c>
      <c r="K495" s="9">
        <v>5365</v>
      </c>
      <c r="L495" s="11">
        <v>320</v>
      </c>
      <c r="M495" s="9" t="s">
        <v>1241</v>
      </c>
      <c r="N495" s="9" t="s">
        <v>227</v>
      </c>
      <c r="O495" s="9"/>
      <c r="P495" s="9"/>
      <c r="Q495" s="11">
        <v>48</v>
      </c>
      <c r="R495" s="9" t="s">
        <v>90</v>
      </c>
      <c r="S495" s="9" t="s">
        <v>1242</v>
      </c>
      <c r="T495" s="12">
        <f>IF($H495="Cancelled","",IFERROR(((Q495+INDEX(Variables!$B$6:$D$6,IFERROR(MATCH(IF($B495="Robusta","Robusta",(IF($B495="","Arabica",$B495))&amp;" - "&amp;(IF($C495="","Commercial",$C495))),Variables!$B$1:$D$1,0),1)))*22.0462)*(L495/16.67),""))</f>
        <v>143380.97295740849</v>
      </c>
      <c r="U495" s="10">
        <v>45985</v>
      </c>
      <c r="V495" s="9" t="str">
        <f t="shared" si="55"/>
        <v>Sent</v>
      </c>
      <c r="W495" s="10"/>
      <c r="X495" s="9" t="str">
        <f t="shared" si="56"/>
        <v/>
      </c>
      <c r="Y495" s="10"/>
      <c r="Z495" s="10">
        <f>IF($H495="Cancelled","",IFERROR(IF(F495="","",F495-Variables!$B$13),""))</f>
        <v>46007</v>
      </c>
      <c r="AA495" s="11" t="str">
        <f>IF($H495="Cancelled","",IFERROR(IF(W495="","",(AVERAGE(E495:F495)-W495)-Variables!$B$14),""))</f>
        <v/>
      </c>
      <c r="AB495" s="10">
        <v>46011</v>
      </c>
      <c r="AC495" s="11" t="str">
        <f>IF($H495="Cancelled","",IFERROR(IF(AB495="","",IF(AND(W495="",Y495=""),"",IF(Y495&gt;W495,Y495+Variables!$B$15+Variables!$B$16+Variables!$B$17-AB495,W495+Variables!$B$16+Variables!$B$17-AB495))),""))</f>
        <v/>
      </c>
      <c r="AD495" s="9" t="s">
        <v>163</v>
      </c>
      <c r="AE495" s="9" t="s">
        <v>164</v>
      </c>
      <c r="AF495" s="10"/>
      <c r="AG495" s="10"/>
      <c r="AH495" s="9"/>
      <c r="AI495" s="9">
        <v>263327998</v>
      </c>
      <c r="AJ495" s="9" t="s">
        <v>1243</v>
      </c>
      <c r="AK495" s="10">
        <v>46037</v>
      </c>
      <c r="AL495" s="10">
        <v>46042</v>
      </c>
      <c r="AM495" s="10">
        <v>46058</v>
      </c>
      <c r="AN495" s="9" t="s">
        <v>95</v>
      </c>
      <c r="AO495" s="9"/>
      <c r="AP495" s="11">
        <f>IF($H495="Cancelled","",IFERROR(IF(OR(AK495="",AB495=""),"",(AB495+Variables!$B$18-AK495)),""))</f>
        <v>-19</v>
      </c>
      <c r="AQ495" s="11">
        <f>IF($H495="Cancelled","",IFERROR(IF(OR(AM495="",AK495=""),"",(AK495+Variables!$B$19)-AM495),""))</f>
        <v>-16</v>
      </c>
      <c r="AR495" s="12">
        <f>IF($H495="Cancelled","",IFERROR(T495*INDEX(Variables!$B$7:$D$7,IFERROR(MATCH(IF($B495="Robusta","Robusta",(IF($B495="","Arabica",$B495))&amp;" - "&amp;(IF($C495="","Commercial",$C495))),Variables!$B$1:$D$1,0),1))*(AQ495/365),""))</f>
        <v>-405.2830936738282</v>
      </c>
      <c r="AS495" s="12" t="str">
        <f>IF($H495="Cancelled","",IFERROR((T495*INDEX(Variables!$B$7:$D$7,IFERROR(MATCH(IF($B495="Robusta","Robusta",(IF($B495="","Arabica",$B495))&amp;" - "&amp;(IF($C495="","Commercial",$C495))),Variables!$B$1:$D$1,0),1))*IFERROR(IF(W495="","",(AVERAGE(E495:F495)-W495)-Variables!$B$14),"")/365)+(L495/16.67*INDEX(Variables!$B$8:$D$8,IFERROR(MATCH(IF($B495="Robusta","Robusta",(IF($B495="","Arabica",$B495))&amp;" - "&amp;(IF($C495="","Commercial",$C495))),Variables!$B$1:$D$1,0),1))*IFERROR(IF(W495="","",(AVERAGE(E495:F495)-W495)-Variables!$B$14),""))+(T495*INDEX(Variables!$B$9:$D$9,IFERROR(MATCH(IF($B495="Robusta","Robusta",(IF($B495="","Arabica",$B495))&amp;" - "&amp;(IF($C495="","Commercial",$C495))),Variables!$B$1:$D$1,0),1))*IFERROR(IF(W495="","",(AVERAGE(E495:F495)-W495)-Variables!$B$14),"")/365),""))</f>
        <v/>
      </c>
      <c r="AT495" s="12" t="str">
        <f>IF($H495="Cancelled","",IFERROR((T495*INDEX(Variables!$B$7:$D$7,IFERROR(MATCH(IF($B495="Robusta","Robusta",(IF($B495="","Arabica",$B495))&amp;" - "&amp;(IF($C495="","Commercial",$C495))),Variables!$B$1:$D$1,0),1))*AC495/365)+(L495/16.67*INDEX(Variables!$B$8:$D$8,IFERROR(MATCH(IF($B495="Robusta","Robusta",(IF($B495="","Arabica",$B495))&amp;" - "&amp;(IF($C495="","Commercial",$C495))),Variables!$B$1:$D$1,0),1))*AC495)+(T495*INDEX(Variables!$B$9:$D$9,IFERROR(MATCH(IF($B495="Robusta","Robusta",(IF($B495="","Arabica",$B495))&amp;" - "&amp;(IF($C495="","Commercial",$C495))),Variables!$B$1:$D$1,0),1))*AC495/365),""))</f>
        <v/>
      </c>
      <c r="AU495" s="12">
        <f>IF($H495="Cancelled","",IFERROR((T495*INDEX(Variables!$B$7:$D$7,IFERROR(MATCH(IF($B495="Robusta","Robusta",(IF($B495="","Arabica",$B495))&amp;" - "&amp;(IF($C495="","Commercial",$C495))),Variables!$B$1:$D$1,0),1))*AP495/365)+(L495/16.67*INDEX(Variables!$B$8:$D$8,IFERROR(MATCH(IF($B495="Robusta","Robusta",(IF($B495="","Arabica",$B495))&amp;" - "&amp;(IF($C495="","Commercial",$C495))),Variables!$B$1:$D$1,0),1))*AP495)+(T495*INDEX(Variables!$B$9:$D$9,IFERROR(MATCH(IF($B495="Robusta","Robusta",(IF($B495="","Arabica",$B495))&amp;" - "&amp;(IF($C495="","Commercial",$C495))),Variables!$B$1:$D$1,0),1))*AP495/365),""))</f>
        <v>-791.47822018580894</v>
      </c>
      <c r="AV495" s="11">
        <f t="shared" si="53"/>
        <v>-15</v>
      </c>
      <c r="AW495" s="12">
        <f>IF($H495="Cancelled","",IFERROR(IF(AV495="","",(T495*INDEX(Variables!$B$7:$D$7,IFERROR(MATCH(IF($B495="Robusta","Robusta",(IF($B495="","Arabica",$B495))&amp;" - "&amp;(IF($C495="","Commercial",$C495))),Variables!$B$1:$D$1,0),1))*(AV495/365))+(T495*INDEX(Variables!$B$9:$D$9,IFERROR(MATCH(IF($B495="Robusta","Robusta",(IF($B495="","Arabica",$B495))&amp;" - "&amp;(IF($C495="","Commercial",$C495))),Variables!$B$1:$D$1,0),1))*(AV495/365))+(INDEX(Variables!$B$8:$D$8,IFERROR(MATCH(IF($B495="Robusta","Robusta",(IF($B495="","Arabica",$B495))&amp;" - "&amp;(IF($C495="","Commercial",$C495))),Variables!$B$1:$D$1,0),1))*L495/16.67)),""))</f>
        <v>-368.85122646248072</v>
      </c>
      <c r="AX495" s="9"/>
      <c r="AY495" s="12"/>
      <c r="AZ495" s="10"/>
      <c r="BA495" s="9"/>
      <c r="BB495" s="10"/>
      <c r="BC495" s="9"/>
      <c r="BD495" s="9"/>
      <c r="BE495" s="9"/>
      <c r="BF495" s="9"/>
    </row>
    <row r="496" spans="1:58" x14ac:dyDescent="0.25">
      <c r="A496" s="9" t="s">
        <v>84</v>
      </c>
      <c r="B496" s="9" t="s">
        <v>85</v>
      </c>
      <c r="C496" s="9" t="s">
        <v>86</v>
      </c>
      <c r="D496" s="10">
        <v>45981</v>
      </c>
      <c r="E496" s="10">
        <v>45992</v>
      </c>
      <c r="F496" s="10">
        <v>46053</v>
      </c>
      <c r="G496" s="9">
        <v>3786997</v>
      </c>
      <c r="H496" s="9" t="str">
        <f t="shared" si="51"/>
        <v>Closed</v>
      </c>
      <c r="I496" s="9" t="str">
        <f t="shared" si="52"/>
        <v>All dates received</v>
      </c>
      <c r="J496" s="9" t="s">
        <v>494</v>
      </c>
      <c r="K496" s="9" t="s">
        <v>1244</v>
      </c>
      <c r="L496" s="11">
        <v>120</v>
      </c>
      <c r="M496" s="9" t="s">
        <v>1245</v>
      </c>
      <c r="N496" s="9" t="s">
        <v>227</v>
      </c>
      <c r="O496" s="9"/>
      <c r="P496" s="9"/>
      <c r="Q496" s="11">
        <v>58</v>
      </c>
      <c r="R496" s="9" t="s">
        <v>90</v>
      </c>
      <c r="S496" s="9" t="s">
        <v>150</v>
      </c>
      <c r="T496" s="12">
        <f>IF($H496="Cancelled","",IFERROR(((Q496+INDEX(Variables!$B$6:$D$6,IFERROR(MATCH(IF($B496="Robusta","Robusta",(IF($B496="","Arabica",$B496))&amp;" - "&amp;(IF($C496="","Commercial",$C496))),Variables!$B$1:$D$1,0),1)))*22.0462)*(L496/16.67),""))</f>
        <v>55354.873857228544</v>
      </c>
      <c r="U496" s="10">
        <v>45982</v>
      </c>
      <c r="V496" s="9" t="str">
        <f t="shared" si="55"/>
        <v>Sent</v>
      </c>
      <c r="W496" s="10">
        <v>45986</v>
      </c>
      <c r="X496" s="9" t="str">
        <f t="shared" si="56"/>
        <v>Approved</v>
      </c>
      <c r="Y496" s="10"/>
      <c r="Z496" s="10">
        <f>IF($H496="Cancelled","",IFERROR(IF(F496="","",F496-Variables!$B$13),""))</f>
        <v>46038</v>
      </c>
      <c r="AA496" s="11">
        <f>IF($H496="Cancelled","",IFERROR(IF(W496="","",(AVERAGE(E496:F496)-W496)-Variables!$B$14),""))</f>
        <v>6.5</v>
      </c>
      <c r="AB496" s="10">
        <v>45992</v>
      </c>
      <c r="AC496" s="11">
        <f>IF($H496="Cancelled","",IFERROR(IF(AB496="","",IF(AND(W496="",Y496=""),"",IF(Y496&gt;W496,Y496+Variables!$B$15+Variables!$B$16+Variables!$B$17-AB496,W496+Variables!$B$16+Variables!$B$17-AB496))),""))</f>
        <v>2</v>
      </c>
      <c r="AD496" s="9" t="s">
        <v>151</v>
      </c>
      <c r="AE496" s="9" t="s">
        <v>1179</v>
      </c>
      <c r="AF496" s="10"/>
      <c r="AG496" s="10"/>
      <c r="AH496" s="9"/>
      <c r="AI496" s="9" t="s">
        <v>1180</v>
      </c>
      <c r="AJ496" s="9" t="s">
        <v>8</v>
      </c>
      <c r="AK496" s="10">
        <v>46015</v>
      </c>
      <c r="AL496" s="10">
        <v>46030</v>
      </c>
      <c r="AM496" s="10">
        <v>46048</v>
      </c>
      <c r="AN496" s="9" t="s">
        <v>95</v>
      </c>
      <c r="AO496" s="9"/>
      <c r="AP496" s="11">
        <f>IF($H496="Cancelled","",IFERROR(IF(OR(AK496="",AB496=""),"",(AB496+Variables!$B$18-AK496)),""))</f>
        <v>-16</v>
      </c>
      <c r="AQ496" s="11">
        <f>IF($H496="Cancelled","",IFERROR(IF(OR(AM496="",AK496=""),"",(AK496+Variables!$B$19)-AM496),""))</f>
        <v>-28</v>
      </c>
      <c r="AR496" s="12">
        <f>IF($H496="Cancelled","",IFERROR(T496*INDEX(Variables!$B$7:$D$7,IFERROR(MATCH(IF($B496="Robusta","Robusta",(IF($B496="","Arabica",$B496))&amp;" - "&amp;(IF($C496="","Commercial",$C496))),Variables!$B$1:$D$1,0),1))*(AQ496/365),""))</f>
        <v>-273.81729675897071</v>
      </c>
      <c r="AS496" s="12">
        <f>IF($H496="Cancelled","",IFERROR((T496*INDEX(Variables!$B$7:$D$7,IFERROR(MATCH(IF($B496="Robusta","Robusta",(IF($B496="","Arabica",$B496))&amp;" - "&amp;(IF($C496="","Commercial",$C496))),Variables!$B$1:$D$1,0),1))*IFERROR(IF(W496="","",(AVERAGE(E496:F496)-W496)-Variables!$B$14),"")/365)+(L496/16.67*INDEX(Variables!$B$8:$D$8,IFERROR(MATCH(IF($B496="Robusta","Robusta",(IF($B496="","Arabica",$B496))&amp;" - "&amp;(IF($C496="","Commercial",$C496))),Variables!$B$1:$D$1,0),1))*IFERROR(IF(W496="","",(AVERAGE(E496:F496)-W496)-Variables!$B$14),""))+(T496*INDEX(Variables!$B$9:$D$9,IFERROR(MATCH(IF($B496="Robusta","Robusta",(IF($B496="","Arabica",$B496))&amp;" - "&amp;(IF($C496="","Commercial",$C496))),Variables!$B$1:$D$1,0),1))*IFERROR(IF(W496="","",(AVERAGE(E496:F496)-W496)-Variables!$B$14),"")/365),""))</f>
        <v>103.38420164077158</v>
      </c>
      <c r="AT496" s="12">
        <f>IF($H496="Cancelled","",IFERROR((T496*INDEX(Variables!$B$7:$D$7,IFERROR(MATCH(IF($B496="Robusta","Robusta",(IF($B496="","Arabica",$B496))&amp;" - "&amp;(IF($C496="","Commercial",$C496))),Variables!$B$1:$D$1,0),1))*AC496/365)+(L496/16.67*INDEX(Variables!$B$8:$D$8,IFERROR(MATCH(IF($B496="Robusta","Robusta",(IF($B496="","Arabica",$B496))&amp;" - "&amp;(IF($C496="","Commercial",$C496))),Variables!$B$1:$D$1,0),1))*AC496)+(T496*INDEX(Variables!$B$9:$D$9,IFERROR(MATCH(IF($B496="Robusta","Robusta",(IF($B496="","Arabica",$B496))&amp;" - "&amp;(IF($C496="","Commercial",$C496))),Variables!$B$1:$D$1,0),1))*AC496/365),""))</f>
        <v>31.810523581775872</v>
      </c>
      <c r="AU496" s="12">
        <f>IF($H496="Cancelled","",IFERROR((T496*INDEX(Variables!$B$7:$D$7,IFERROR(MATCH(IF($B496="Robusta","Robusta",(IF($B496="","Arabica",$B496))&amp;" - "&amp;(IF($C496="","Commercial",$C496))),Variables!$B$1:$D$1,0),1))*AP496/365)+(L496/16.67*INDEX(Variables!$B$8:$D$8,IFERROR(MATCH(IF($B496="Robusta","Robusta",(IF($B496="","Arabica",$B496))&amp;" - "&amp;(IF($C496="","Commercial",$C496))),Variables!$B$1:$D$1,0),1))*AP496)+(T496*INDEX(Variables!$B$9:$D$9,IFERROR(MATCH(IF($B496="Robusta","Robusta",(IF($B496="","Arabica",$B496))&amp;" - "&amp;(IF($C496="","Commercial",$C496))),Variables!$B$1:$D$1,0),1))*AP496/365),""))</f>
        <v>-254.48418865420697</v>
      </c>
      <c r="AV496" s="11">
        <f t="shared" si="53"/>
        <v>38</v>
      </c>
      <c r="AW496" s="12">
        <f>IF($H496="Cancelled","",IFERROR(IF(AV496="","",(T496*INDEX(Variables!$B$7:$D$7,IFERROR(MATCH(IF($B496="Robusta","Robusta",(IF($B496="","Arabica",$B496))&amp;" - "&amp;(IF($C496="","Commercial",$C496))),Variables!$B$1:$D$1,0),1))*(AV496/365))+(T496*INDEX(Variables!$B$9:$D$9,IFERROR(MATCH(IF($B496="Robusta","Robusta",(IF($B496="","Arabica",$B496))&amp;" - "&amp;(IF($C496="","Commercial",$C496))),Variables!$B$1:$D$1,0),1))*(AV496/365))+(INDEX(Variables!$B$8:$D$8,IFERROR(MATCH(IF($B496="Robusta","Robusta",(IF($B496="","Arabica",$B496))&amp;" - "&amp;(IF($C496="","Commercial",$C496))),Variables!$B$1:$D$1,0),1))*L496/16.67)),""))</f>
        <v>382.39994805374158</v>
      </c>
      <c r="AX496" s="9"/>
      <c r="AY496" s="12"/>
      <c r="AZ496" s="10"/>
      <c r="BA496" s="9"/>
      <c r="BB496" s="10"/>
      <c r="BC496" s="9"/>
      <c r="BD496" s="9"/>
      <c r="BE496" s="9"/>
      <c r="BF496" s="9"/>
    </row>
    <row r="497" spans="1:58" x14ac:dyDescent="0.25">
      <c r="A497" s="9" t="s">
        <v>84</v>
      </c>
      <c r="B497" s="9" t="s">
        <v>85</v>
      </c>
      <c r="C497" s="9" t="s">
        <v>86</v>
      </c>
      <c r="D497" s="10">
        <v>46043</v>
      </c>
      <c r="E497" s="10">
        <v>46082</v>
      </c>
      <c r="F497" s="10">
        <v>46112</v>
      </c>
      <c r="G497" s="9">
        <v>3787120</v>
      </c>
      <c r="H497" s="9" t="str">
        <f t="shared" si="51"/>
        <v>Open</v>
      </c>
      <c r="I497" s="9" t="str">
        <f t="shared" si="52"/>
        <v>No shipping advice sent and No docs dispatch date</v>
      </c>
      <c r="J497" s="9" t="s">
        <v>322</v>
      </c>
      <c r="K497" s="9" t="s">
        <v>1246</v>
      </c>
      <c r="L497" s="11">
        <v>260</v>
      </c>
      <c r="M497" s="9" t="s">
        <v>1236</v>
      </c>
      <c r="N497" s="9" t="s">
        <v>334</v>
      </c>
      <c r="O497" s="9"/>
      <c r="P497" s="9"/>
      <c r="Q497" s="11">
        <v>38</v>
      </c>
      <c r="R497" s="9" t="s">
        <v>90</v>
      </c>
      <c r="S497" s="9" t="s">
        <v>123</v>
      </c>
      <c r="T497" s="12">
        <f>IF($H497="Cancelled","",IFERROR(((Q497+INDEX(Variables!$B$6:$D$6,IFERROR(MATCH(IF($B497="Robusta","Robusta",(IF($B497="","Arabica",$B497))&amp;" - "&amp;(IF($C497="","Commercial",$C497))),Variables!$B$1:$D$1,0),1)))*22.0462)*(L497/16.67),""))</f>
        <v>113058.52103179363</v>
      </c>
      <c r="U497" s="10">
        <v>46051</v>
      </c>
      <c r="V497" s="9" t="str">
        <f t="shared" si="55"/>
        <v>Sent</v>
      </c>
      <c r="W497" s="10">
        <v>46066</v>
      </c>
      <c r="X497" s="9" t="str">
        <f t="shared" si="56"/>
        <v>Approved</v>
      </c>
      <c r="Y497" s="10"/>
      <c r="Z497" s="10">
        <f>IF($H497="Cancelled","",IFERROR(IF(F497="","",F497-Variables!$B$13),""))</f>
        <v>46097</v>
      </c>
      <c r="AA497" s="11">
        <f>IF($H497="Cancelled","",IFERROR(IF(W497="","",(AVERAGE(E497:F497)-W497)-Variables!$B$14),""))</f>
        <v>1</v>
      </c>
      <c r="AB497" s="10">
        <v>46094</v>
      </c>
      <c r="AC497" s="11">
        <f>IF($H497="Cancelled","",IFERROR(IF(AB497="","",IF(AND(W497="",Y497=""),"",IF(Y497&gt;W497,Y497+Variables!$B$15+Variables!$B$16+Variables!$B$17-AB497,W497+Variables!$B$16+Variables!$B$17-AB497))),""))</f>
        <v>-20</v>
      </c>
      <c r="AD497" s="9" t="s">
        <v>1247</v>
      </c>
      <c r="AE497" s="9" t="s">
        <v>1248</v>
      </c>
      <c r="AF497" s="10"/>
      <c r="AG497" s="10"/>
      <c r="AH497" s="9"/>
      <c r="AI497" s="9">
        <v>3216000001060</v>
      </c>
      <c r="AJ497" s="9"/>
      <c r="AK497" s="10">
        <v>46103</v>
      </c>
      <c r="AL497" s="10"/>
      <c r="AM497" s="10"/>
      <c r="AN497" s="9" t="s">
        <v>1249</v>
      </c>
      <c r="AO497" s="9"/>
      <c r="AP497" s="11">
        <f>IF($H497="Cancelled","",IFERROR(IF(OR(AK497="",AB497=""),"",(AB497+Variables!$B$18-AK497)),""))</f>
        <v>-2</v>
      </c>
      <c r="AQ497" s="11" t="str">
        <f>IF($H497="Cancelled","",IFERROR(IF(OR(AM497="",AK497=""),"",(AK497+Variables!$B$19)-AM497),""))</f>
        <v/>
      </c>
      <c r="AR497" s="12" t="str">
        <f>IF($H497="Cancelled","",IFERROR(T497*INDEX(Variables!$B$7:$D$7,IFERROR(MATCH(IF($B497="Robusta","Robusta",(IF($B497="","Arabica",$B497))&amp;" - "&amp;(IF($C497="","Commercial",$C497))),Variables!$B$1:$D$1,0),1))*(AQ497/365),""))</f>
        <v/>
      </c>
      <c r="AS497" s="12">
        <f>IF($H497="Cancelled","",IFERROR((T497*INDEX(Variables!$B$7:$D$7,IFERROR(MATCH(IF($B497="Robusta","Robusta",(IF($B497="","Arabica",$B497))&amp;" - "&amp;(IF($C497="","Commercial",$C497))),Variables!$B$1:$D$1,0),1))*IFERROR(IF(W497="","",(AVERAGE(E497:F497)-W497)-Variables!$B$14),"")/365)+(L497/16.67*INDEX(Variables!$B$8:$D$8,IFERROR(MATCH(IF($B497="Robusta","Robusta",(IF($B497="","Arabica",$B497))&amp;" - "&amp;(IF($C497="","Commercial",$C497))),Variables!$B$1:$D$1,0),1))*IFERROR(IF(W497="","",(AVERAGE(E497:F497)-W497)-Variables!$B$14),""))+(T497*INDEX(Variables!$B$9:$D$9,IFERROR(MATCH(IF($B497="Robusta","Robusta",(IF($B497="","Arabica",$B497))&amp;" - "&amp;(IF($C497="","Commercial",$C497))),Variables!$B$1:$D$1,0),1))*IFERROR(IF(W497="","",(AVERAGE(E497:F497)-W497)-Variables!$B$14),"")/365),""))</f>
        <v>33.230815653178233</v>
      </c>
      <c r="AT497" s="12">
        <f>IF($H497="Cancelled","",IFERROR((T497*INDEX(Variables!$B$7:$D$7,IFERROR(MATCH(IF($B497="Robusta","Robusta",(IF($B497="","Arabica",$B497))&amp;" - "&amp;(IF($C497="","Commercial",$C497))),Variables!$B$1:$D$1,0),1))*AC497/365)+(L497/16.67*INDEX(Variables!$B$8:$D$8,IFERROR(MATCH(IF($B497="Robusta","Robusta",(IF($B497="","Arabica",$B497))&amp;" - "&amp;(IF($C497="","Commercial",$C497))),Variables!$B$1:$D$1,0),1))*AC497)+(T497*INDEX(Variables!$B$9:$D$9,IFERROR(MATCH(IF($B497="Robusta","Robusta",(IF($B497="","Arabica",$B497))&amp;" - "&amp;(IF($C497="","Commercial",$C497))),Variables!$B$1:$D$1,0),1))*AC497/365),""))</f>
        <v>-664.61631306356469</v>
      </c>
      <c r="AU497" s="12">
        <f>IF($H497="Cancelled","",IFERROR((T497*INDEX(Variables!$B$7:$D$7,IFERROR(MATCH(IF($B497="Robusta","Robusta",(IF($B497="","Arabica",$B497))&amp;" - "&amp;(IF($C497="","Commercial",$C497))),Variables!$B$1:$D$1,0),1))*AP497/365)+(L497/16.67*INDEX(Variables!$B$8:$D$8,IFERROR(MATCH(IF($B497="Robusta","Robusta",(IF($B497="","Arabica",$B497))&amp;" - "&amp;(IF($C497="","Commercial",$C497))),Variables!$B$1:$D$1,0),1))*AP497)+(T497*INDEX(Variables!$B$9:$D$9,IFERROR(MATCH(IF($B497="Robusta","Robusta",(IF($B497="","Arabica",$B497))&amp;" - "&amp;(IF($C497="","Commercial",$C497))),Variables!$B$1:$D$1,0),1))*AP497/365),""))</f>
        <v>-66.461631306356466</v>
      </c>
      <c r="AV497" s="11">
        <f t="shared" si="53"/>
        <v>9</v>
      </c>
      <c r="AW497" s="12">
        <f>IF($H497="Cancelled","",IFERROR(IF(AV497="","",(T497*INDEX(Variables!$B$7:$D$7,IFERROR(MATCH(IF($B497="Robusta","Robusta",(IF($B497="","Arabica",$B497))&amp;" - "&amp;(IF($C497="","Commercial",$C497))),Variables!$B$1:$D$1,0),1))*(AV497/365))+(T497*INDEX(Variables!$B$9:$D$9,IFERROR(MATCH(IF($B497="Robusta","Robusta",(IF($B497="","Arabica",$B497))&amp;" - "&amp;(IF($C497="","Commercial",$C497))),Variables!$B$1:$D$1,0),1))*(AV497/365))+(INDEX(Variables!$B$8:$D$8,IFERROR(MATCH(IF($B497="Robusta","Robusta",(IF($B497="","Arabica",$B497))&amp;" - "&amp;(IF($C497="","Commercial",$C497))),Variables!$B$1:$D$1,0),1))*L497/16.67)),""))</f>
        <v>195.07734087860405</v>
      </c>
      <c r="AX497" s="9"/>
      <c r="AY497" s="12"/>
      <c r="AZ497" s="10"/>
      <c r="BA497" s="9"/>
      <c r="BB497" s="10"/>
      <c r="BC497" s="9"/>
      <c r="BD497" s="9"/>
      <c r="BE497" s="9"/>
      <c r="BF497" s="9"/>
    </row>
    <row r="498" spans="1:58" x14ac:dyDescent="0.25">
      <c r="A498" s="9" t="s">
        <v>84</v>
      </c>
      <c r="B498" s="9" t="s">
        <v>85</v>
      </c>
      <c r="C498" s="9" t="s">
        <v>86</v>
      </c>
      <c r="D498" s="10">
        <v>45985</v>
      </c>
      <c r="E498" s="10">
        <v>45962</v>
      </c>
      <c r="F498" s="10">
        <v>46022</v>
      </c>
      <c r="G498" s="9">
        <v>3786999</v>
      </c>
      <c r="H498" s="9" t="str">
        <f t="shared" si="51"/>
        <v>Open</v>
      </c>
      <c r="I498" s="9" t="str">
        <f t="shared" si="52"/>
        <v>No sailing date and No shipping advice sent and No docs dispatch date</v>
      </c>
      <c r="J498" s="9" t="s">
        <v>494</v>
      </c>
      <c r="K498" s="9"/>
      <c r="L498" s="11">
        <v>50</v>
      </c>
      <c r="M498" s="9" t="s">
        <v>1250</v>
      </c>
      <c r="N498" s="9" t="s">
        <v>1251</v>
      </c>
      <c r="O498" s="9"/>
      <c r="P498" s="9"/>
      <c r="Q498" s="11">
        <v>48.45</v>
      </c>
      <c r="R498" s="9" t="s">
        <v>195</v>
      </c>
      <c r="S498" s="9"/>
      <c r="T498" s="12">
        <f>IF($H498="Cancelled","",IFERROR(((Q498+INDEX(Variables!$B$6:$D$6,IFERROR(MATCH(IF($B498="Robusta","Robusta",(IF($B498="","Arabica",$B498))&amp;" - "&amp;(IF($C498="","Commercial",$C498))),Variables!$B$1:$D$1,0),1)))*22.0462)*(L498/16.67),""))</f>
        <v>22433.033443311335</v>
      </c>
      <c r="U498" s="10"/>
      <c r="V498" s="9" t="str">
        <f t="shared" si="55"/>
        <v/>
      </c>
      <c r="W498" s="10"/>
      <c r="X498" s="9" t="str">
        <f t="shared" si="56"/>
        <v/>
      </c>
      <c r="Y498" s="10"/>
      <c r="Z498" s="10">
        <f>IF($H498="Cancelled","",IFERROR(IF(F498="","",F498-Variables!$B$13),""))</f>
        <v>46007</v>
      </c>
      <c r="AA498" s="11" t="str">
        <f>IF($H498="Cancelled","",IFERROR(IF(W498="","",(AVERAGE(E498:F498)-W498)-Variables!$B$14),""))</f>
        <v/>
      </c>
      <c r="AB498" s="10"/>
      <c r="AC498" s="11" t="str">
        <f>IF($H498="Cancelled","",IFERROR(IF(AB498="","",IF(AND(W498="",Y498=""),"",IF(Y498&gt;W498,Y498+Variables!$B$15+Variables!$B$16+Variables!$B$17-AB498,W498+Variables!$B$16+Variables!$B$17-AB498))),""))</f>
        <v/>
      </c>
      <c r="AD498" s="9"/>
      <c r="AE498" s="9"/>
      <c r="AF498" s="10"/>
      <c r="AG498" s="10"/>
      <c r="AH498" s="9"/>
      <c r="AI498" s="9"/>
      <c r="AJ498" s="9"/>
      <c r="AK498" s="10"/>
      <c r="AL498" s="10"/>
      <c r="AM498" s="10"/>
      <c r="AN498" s="9" t="s">
        <v>1252</v>
      </c>
      <c r="AO498" s="9"/>
      <c r="AP498" s="11" t="str">
        <f>IF($H498="Cancelled","",IFERROR(IF(OR(AK498="",AB498=""),"",(AB498+Variables!$B$18-AK498)),""))</f>
        <v/>
      </c>
      <c r="AQ498" s="11" t="str">
        <f>IF($H498="Cancelled","",IFERROR(IF(OR(AM498="",AK498=""),"",(AK498+Variables!$B$19)-AM498),""))</f>
        <v/>
      </c>
      <c r="AR498" s="12" t="str">
        <f>IF($H498="Cancelled","",IFERROR(T498*INDEX(Variables!$B$7:$D$7,IFERROR(MATCH(IF($B498="Robusta","Robusta",(IF($B498="","Arabica",$B498))&amp;" - "&amp;(IF($C498="","Commercial",$C498))),Variables!$B$1:$D$1,0),1))*(AQ498/365),""))</f>
        <v/>
      </c>
      <c r="AS498" s="12" t="str">
        <f>IF($H498="Cancelled","",IFERROR((T498*INDEX(Variables!$B$7:$D$7,IFERROR(MATCH(IF($B498="Robusta","Robusta",(IF($B498="","Arabica",$B498))&amp;" - "&amp;(IF($C498="","Commercial",$C498))),Variables!$B$1:$D$1,0),1))*IFERROR(IF(W498="","",(AVERAGE(E498:F498)-W498)-Variables!$B$14),"")/365)+(L498/16.67*INDEX(Variables!$B$8:$D$8,IFERROR(MATCH(IF($B498="Robusta","Robusta",(IF($B498="","Arabica",$B498))&amp;" - "&amp;(IF($C498="","Commercial",$C498))),Variables!$B$1:$D$1,0),1))*IFERROR(IF(W498="","",(AVERAGE(E498:F498)-W498)-Variables!$B$14),""))+(T498*INDEX(Variables!$B$9:$D$9,IFERROR(MATCH(IF($B498="Robusta","Robusta",(IF($B498="","Arabica",$B498))&amp;" - "&amp;(IF($C498="","Commercial",$C498))),Variables!$B$1:$D$1,0),1))*IFERROR(IF(W498="","",(AVERAGE(E498:F498)-W498)-Variables!$B$14),"")/365),""))</f>
        <v/>
      </c>
      <c r="AT498" s="12" t="str">
        <f>IF($H498="Cancelled","",IFERROR((T498*INDEX(Variables!$B$7:$D$7,IFERROR(MATCH(IF($B498="Robusta","Robusta",(IF($B498="","Arabica",$B498))&amp;" - "&amp;(IF($C498="","Commercial",$C498))),Variables!$B$1:$D$1,0),1))*AC498/365)+(L498/16.67*INDEX(Variables!$B$8:$D$8,IFERROR(MATCH(IF($B498="Robusta","Robusta",(IF($B498="","Arabica",$B498))&amp;" - "&amp;(IF($C498="","Commercial",$C498))),Variables!$B$1:$D$1,0),1))*AC498)+(T498*INDEX(Variables!$B$9:$D$9,IFERROR(MATCH(IF($B498="Robusta","Robusta",(IF($B498="","Arabica",$B498))&amp;" - "&amp;(IF($C498="","Commercial",$C498))),Variables!$B$1:$D$1,0),1))*AC498/365),""))</f>
        <v/>
      </c>
      <c r="AU498" s="12" t="str">
        <f>IF($H498="Cancelled","",IFERROR((T498*INDEX(Variables!$B$7:$D$7,IFERROR(MATCH(IF($B498="Robusta","Robusta",(IF($B498="","Arabica",$B498))&amp;" - "&amp;(IF($C498="","Commercial",$C498))),Variables!$B$1:$D$1,0),1))*AP498/365)+(L498/16.67*INDEX(Variables!$B$8:$D$8,IFERROR(MATCH(IF($B498="Robusta","Robusta",(IF($B498="","Arabica",$B498))&amp;" - "&amp;(IF($C498="","Commercial",$C498))),Variables!$B$1:$D$1,0),1))*AP498)+(T498*INDEX(Variables!$B$9:$D$9,IFERROR(MATCH(IF($B498="Robusta","Robusta",(IF($B498="","Arabica",$B498))&amp;" - "&amp;(IF($C498="","Commercial",$C498))),Variables!$B$1:$D$1,0),1))*AP498/365),""))</f>
        <v/>
      </c>
      <c r="AV498" s="11" t="str">
        <f t="shared" si="53"/>
        <v/>
      </c>
      <c r="AW498" s="12" t="str">
        <f>IF($H498="Cancelled","",IFERROR(IF(AV498="","",(T498*INDEX(Variables!$B$7:$D$7,IFERROR(MATCH(IF($B498="Robusta","Robusta",(IF($B498="","Arabica",$B498))&amp;" - "&amp;(IF($C498="","Commercial",$C498))),Variables!$B$1:$D$1,0),1))*(AV498/365))+(T498*INDEX(Variables!$B$9:$D$9,IFERROR(MATCH(IF($B498="Robusta","Robusta",(IF($B498="","Arabica",$B498))&amp;" - "&amp;(IF($C498="","Commercial",$C498))),Variables!$B$1:$D$1,0),1))*(AV498/365))+(INDEX(Variables!$B$8:$D$8,IFERROR(MATCH(IF($B498="Robusta","Robusta",(IF($B498="","Arabica",$B498))&amp;" - "&amp;(IF($C498="","Commercial",$C498))),Variables!$B$1:$D$1,0),1))*L498/16.67)),""))</f>
        <v/>
      </c>
      <c r="AX498" s="9"/>
      <c r="AY498" s="12"/>
      <c r="AZ498" s="10"/>
      <c r="BA498" s="9"/>
      <c r="BB498" s="10"/>
      <c r="BC498" s="9"/>
      <c r="BD498" s="9"/>
      <c r="BE498" s="9"/>
      <c r="BF498" s="9"/>
    </row>
    <row r="499" spans="1:58" x14ac:dyDescent="0.25">
      <c r="A499" s="9" t="s">
        <v>84</v>
      </c>
      <c r="B499" s="9" t="s">
        <v>85</v>
      </c>
      <c r="C499" s="9" t="s">
        <v>86</v>
      </c>
      <c r="D499" s="10">
        <v>45986</v>
      </c>
      <c r="E499" s="10">
        <v>45992</v>
      </c>
      <c r="F499" s="10">
        <v>46022</v>
      </c>
      <c r="G499" s="9">
        <v>3787001</v>
      </c>
      <c r="H499" s="9" t="str">
        <f t="shared" si="51"/>
        <v>Closed</v>
      </c>
      <c r="I499" s="9" t="str">
        <f t="shared" si="52"/>
        <v>All dates received</v>
      </c>
      <c r="J499" s="9" t="s">
        <v>210</v>
      </c>
      <c r="K499" s="9">
        <v>5372</v>
      </c>
      <c r="L499" s="11">
        <v>320</v>
      </c>
      <c r="M499" s="9" t="s">
        <v>1253</v>
      </c>
      <c r="N499" s="9" t="s">
        <v>126</v>
      </c>
      <c r="O499" s="9"/>
      <c r="P499" s="9"/>
      <c r="Q499" s="11">
        <v>8</v>
      </c>
      <c r="R499" s="9" t="s">
        <v>90</v>
      </c>
      <c r="S499" s="9" t="s">
        <v>150</v>
      </c>
      <c r="T499" s="12">
        <f>IF($H499="Cancelled","",IFERROR(((Q499+INDEX(Variables!$B$6:$D$6,IFERROR(MATCH(IF($B499="Robusta","Robusta",(IF($B499="","Arabica",$B499))&amp;" - "&amp;(IF($C499="","Commercial",$C499))),Variables!$B$1:$D$1,0),1)))*22.0462)*(L499/16.67),""))</f>
        <v>126452.87697660466</v>
      </c>
      <c r="U499" s="10"/>
      <c r="V499" s="9" t="str">
        <f t="shared" si="55"/>
        <v/>
      </c>
      <c r="W499" s="10">
        <v>45977</v>
      </c>
      <c r="X499" s="9" t="str">
        <f t="shared" si="56"/>
        <v>Approved</v>
      </c>
      <c r="Y499" s="10">
        <v>46001</v>
      </c>
      <c r="Z499" s="10">
        <f>IF($H499="Cancelled","",IFERROR(IF(F499="","",F499-Variables!$B$13),""))</f>
        <v>46007</v>
      </c>
      <c r="AA499" s="11">
        <f>IF($H499="Cancelled","",IFERROR(IF(W499="","",(AVERAGE(E499:F499)-W499)-Variables!$B$14),""))</f>
        <v>0</v>
      </c>
      <c r="AB499" s="10">
        <v>46010</v>
      </c>
      <c r="AC499" s="11">
        <f>IF($H499="Cancelled","",IFERROR(IF(AB499="","",IF(AND(W499="",Y499=""),"",IF(Y499&gt;W499,Y499+Variables!$B$15+Variables!$B$16+Variables!$B$17-AB499,W499+Variables!$B$16+Variables!$B$17-AB499))),""))</f>
        <v>6</v>
      </c>
      <c r="AD499" s="9" t="s">
        <v>163</v>
      </c>
      <c r="AE499" s="9" t="s">
        <v>847</v>
      </c>
      <c r="AF499" s="10"/>
      <c r="AG499" s="10"/>
      <c r="AH499" s="9"/>
      <c r="AI499" s="9">
        <v>263283893</v>
      </c>
      <c r="AJ499" s="9" t="s">
        <v>8</v>
      </c>
      <c r="AK499" s="10">
        <v>46031</v>
      </c>
      <c r="AL499" s="10">
        <v>46042</v>
      </c>
      <c r="AM499" s="10">
        <v>46058</v>
      </c>
      <c r="AN499" s="9" t="s">
        <v>95</v>
      </c>
      <c r="AO499" s="9"/>
      <c r="AP499" s="11">
        <f>IF($H499="Cancelled","",IFERROR(IF(OR(AK499="",AB499=""),"",(AB499+Variables!$B$18-AK499)),""))</f>
        <v>-14</v>
      </c>
      <c r="AQ499" s="11">
        <f>IF($H499="Cancelled","",IFERROR(IF(OR(AM499="",AK499=""),"",(AK499+Variables!$B$19)-AM499),""))</f>
        <v>-22</v>
      </c>
      <c r="AR499" s="12">
        <f>IF($H499="Cancelled","",IFERROR(T499*INDEX(Variables!$B$7:$D$7,IFERROR(MATCH(IF($B499="Robusta","Robusta",(IF($B499="","Arabica",$B499))&amp;" - "&amp;(IF($C499="","Commercial",$C499))),Variables!$B$1:$D$1,0),1))*(AQ499/365),""))</f>
        <v>-491.47154378952871</v>
      </c>
      <c r="AS499" s="12">
        <f>IF($H499="Cancelled","",IFERROR((T499*INDEX(Variables!$B$7:$D$7,IFERROR(MATCH(IF($B499="Robusta","Robusta",(IF($B499="","Arabica",$B499))&amp;" - "&amp;(IF($C499="","Commercial",$C499))),Variables!$B$1:$D$1,0),1))*IFERROR(IF(W499="","",(AVERAGE(E499:F499)-W499)-Variables!$B$14),"")/365)+(L499/16.67*INDEX(Variables!$B$8:$D$8,IFERROR(MATCH(IF($B499="Robusta","Robusta",(IF($B499="","Arabica",$B499))&amp;" - "&amp;(IF($C499="","Commercial",$C499))),Variables!$B$1:$D$1,0),1))*IFERROR(IF(W499="","",(AVERAGE(E499:F499)-W499)-Variables!$B$14),""))+(T499*INDEX(Variables!$B$9:$D$9,IFERROR(MATCH(IF($B499="Robusta","Robusta",(IF($B499="","Arabica",$B499))&amp;" - "&amp;(IF($C499="","Commercial",$C499))),Variables!$B$1:$D$1,0),1))*IFERROR(IF(W499="","",(AVERAGE(E499:F499)-W499)-Variables!$B$14),"")/365),""))</f>
        <v>0</v>
      </c>
      <c r="AT499" s="12">
        <f>IF($H499="Cancelled","",IFERROR((T499*INDEX(Variables!$B$7:$D$7,IFERROR(MATCH(IF($B499="Robusta","Robusta",(IF($B499="","Arabica",$B499))&amp;" - "&amp;(IF($C499="","Commercial",$C499))),Variables!$B$1:$D$1,0),1))*AC499/365)+(L499/16.67*INDEX(Variables!$B$8:$D$8,IFERROR(MATCH(IF($B499="Robusta","Robusta",(IF($B499="","Arabica",$B499))&amp;" - "&amp;(IF($C499="","Commercial",$C499))),Variables!$B$1:$D$1,0),1))*AC499)+(T499*INDEX(Variables!$B$9:$D$9,IFERROR(MATCH(IF($B499="Robusta","Robusta",(IF($B499="","Arabica",$B499))&amp;" - "&amp;(IF($C499="","Commercial",$C499))),Variables!$B$1:$D$1,0),1))*AC499/365),""))</f>
        <v>231.76569830813375</v>
      </c>
      <c r="AU499" s="12">
        <f>IF($H499="Cancelled","",IFERROR((T499*INDEX(Variables!$B$7:$D$7,IFERROR(MATCH(IF($B499="Robusta","Robusta",(IF($B499="","Arabica",$B499))&amp;" - "&amp;(IF($C499="","Commercial",$C499))),Variables!$B$1:$D$1,0),1))*AP499/365)+(L499/16.67*INDEX(Variables!$B$8:$D$8,IFERROR(MATCH(IF($B499="Robusta","Robusta",(IF($B499="","Arabica",$B499))&amp;" - "&amp;(IF($C499="","Commercial",$C499))),Variables!$B$1:$D$1,0),1))*AP499)+(T499*INDEX(Variables!$B$9:$D$9,IFERROR(MATCH(IF($B499="Robusta","Robusta",(IF($B499="","Arabica",$B499))&amp;" - "&amp;(IF($C499="","Commercial",$C499))),Variables!$B$1:$D$1,0),1))*AP499/365),""))</f>
        <v>-540.78662938564526</v>
      </c>
      <c r="AV499" s="11">
        <f t="shared" si="53"/>
        <v>-9</v>
      </c>
      <c r="AW499" s="12">
        <f>IF($H499="Cancelled","",IFERROR(IF(AV499="","",(T499*INDEX(Variables!$B$7:$D$7,IFERROR(MATCH(IF($B499="Robusta","Robusta",(IF($B499="","Arabica",$B499))&amp;" - "&amp;(IF($C499="","Commercial",$C499))),Variables!$B$1:$D$1,0),1))*(AV499/365))+(T499*INDEX(Variables!$B$9:$D$9,IFERROR(MATCH(IF($B499="Robusta","Robusta",(IF($B499="","Arabica",$B499))&amp;" - "&amp;(IF($C499="","Commercial",$C499))),Variables!$B$1:$D$1,0),1))*(AV499/365))+(INDEX(Variables!$B$8:$D$8,IFERROR(MATCH(IF($B499="Robusta","Robusta",(IF($B499="","Arabica",$B499))&amp;" - "&amp;(IF($C499="","Commercial",$C499))),Variables!$B$1:$D$1,0),1))*L499/16.67)),""))</f>
        <v>-187.64854746220061</v>
      </c>
      <c r="AX499" s="9"/>
      <c r="AY499" s="12"/>
      <c r="AZ499" s="10"/>
      <c r="BA499" s="9"/>
      <c r="BB499" s="10"/>
      <c r="BC499" s="9"/>
      <c r="BD499" s="9"/>
      <c r="BE499" s="9"/>
      <c r="BF499" s="9"/>
    </row>
    <row r="500" spans="1:58" x14ac:dyDescent="0.25">
      <c r="A500" s="9" t="s">
        <v>84</v>
      </c>
      <c r="B500" s="9" t="s">
        <v>85</v>
      </c>
      <c r="C500" s="9" t="s">
        <v>86</v>
      </c>
      <c r="D500" s="10">
        <v>45986</v>
      </c>
      <c r="E500" s="10">
        <v>46023</v>
      </c>
      <c r="F500" s="10">
        <v>46053</v>
      </c>
      <c r="G500" s="9">
        <v>3787002</v>
      </c>
      <c r="H500" s="9" t="str">
        <f t="shared" si="51"/>
        <v>Open</v>
      </c>
      <c r="I500" s="9" t="str">
        <f t="shared" si="52"/>
        <v>No docs dispatch date</v>
      </c>
      <c r="J500" s="9" t="s">
        <v>102</v>
      </c>
      <c r="K500" s="9">
        <v>5383</v>
      </c>
      <c r="L500" s="11">
        <v>1440</v>
      </c>
      <c r="M500" s="9" t="s">
        <v>1181</v>
      </c>
      <c r="N500" s="9" t="s">
        <v>387</v>
      </c>
      <c r="O500" s="9"/>
      <c r="P500" s="9"/>
      <c r="Q500" s="11">
        <v>-50</v>
      </c>
      <c r="R500" s="9" t="s">
        <v>90</v>
      </c>
      <c r="S500" s="9" t="s">
        <v>106</v>
      </c>
      <c r="T500" s="12">
        <f>IF($H500="Cancelled","",IFERROR(((Q500+INDEX(Variables!$B$6:$D$6,IFERROR(MATCH(IF($B500="Robusta","Robusta",(IF($B500="","Arabica",$B500))&amp;" - "&amp;(IF($C500="","Commercial",$C500))),Variables!$B$1:$D$1,0),1)))*22.0462)*(L500/16.67),""))</f>
        <v>458582.12011997594</v>
      </c>
      <c r="U500" s="10">
        <v>46013</v>
      </c>
      <c r="V500" s="9" t="str">
        <f t="shared" si="55"/>
        <v>Sent</v>
      </c>
      <c r="W500" s="10"/>
      <c r="X500" s="9" t="str">
        <f t="shared" si="56"/>
        <v/>
      </c>
      <c r="Y500" s="10"/>
      <c r="Z500" s="10">
        <f>IF($H500="Cancelled","",IFERROR(IF(F500="","",F500-Variables!$B$13),""))</f>
        <v>46038</v>
      </c>
      <c r="AA500" s="11" t="str">
        <f>IF($H500="Cancelled","",IFERROR(IF(W500="","",(AVERAGE(E500:F500)-W500)-Variables!$B$14),""))</f>
        <v/>
      </c>
      <c r="AB500" s="10">
        <v>46039</v>
      </c>
      <c r="AC500" s="11" t="str">
        <f>IF($H500="Cancelled","",IFERROR(IF(AB500="","",IF(AND(W500="",Y500=""),"",IF(Y500&gt;W500,Y500+Variables!$B$15+Variables!$B$16+Variables!$B$17-AB500,W500+Variables!$B$16+Variables!$B$17-AB500))),""))</f>
        <v/>
      </c>
      <c r="AD500" s="9" t="s">
        <v>107</v>
      </c>
      <c r="AE500" s="9" t="s">
        <v>219</v>
      </c>
      <c r="AF500" s="10"/>
      <c r="AG500" s="10"/>
      <c r="AH500" s="9"/>
      <c r="AI500" s="9">
        <v>265161588</v>
      </c>
      <c r="AJ500" s="9"/>
      <c r="AK500" s="10">
        <v>46053</v>
      </c>
      <c r="AL500" s="10">
        <v>46059</v>
      </c>
      <c r="AM500" s="10"/>
      <c r="AN500" s="9" t="s">
        <v>1016</v>
      </c>
      <c r="AO500" s="9"/>
      <c r="AP500" s="11">
        <f>IF($H500="Cancelled","",IFERROR(IF(OR(AK500="",AB500=""),"",(AB500+Variables!$B$18-AK500)),""))</f>
        <v>-7</v>
      </c>
      <c r="AQ500" s="11" t="str">
        <f>IF($H500="Cancelled","",IFERROR(IF(OR(AM500="",AK500=""),"",(AK500+Variables!$B$19)-AM500),""))</f>
        <v/>
      </c>
      <c r="AR500" s="12" t="str">
        <f>IF($H500="Cancelled","",IFERROR(T500*INDEX(Variables!$B$7:$D$7,IFERROR(MATCH(IF($B500="Robusta","Robusta",(IF($B500="","Arabica",$B500))&amp;" - "&amp;(IF($C500="","Commercial",$C500))),Variables!$B$1:$D$1,0),1))*(AQ500/365),""))</f>
        <v/>
      </c>
      <c r="AS500" s="12" t="str">
        <f>IF($H500="Cancelled","",IFERROR((T500*INDEX(Variables!$B$7:$D$7,IFERROR(MATCH(IF($B500="Robusta","Robusta",(IF($B500="","Arabica",$B500))&amp;" - "&amp;(IF($C500="","Commercial",$C500))),Variables!$B$1:$D$1,0),1))*IFERROR(IF(W500="","",(AVERAGE(E500:F500)-W500)-Variables!$B$14),"")/365)+(L500/16.67*INDEX(Variables!$B$8:$D$8,IFERROR(MATCH(IF($B500="Robusta","Robusta",(IF($B500="","Arabica",$B500))&amp;" - "&amp;(IF($C500="","Commercial",$C500))),Variables!$B$1:$D$1,0),1))*IFERROR(IF(W500="","",(AVERAGE(E500:F500)-W500)-Variables!$B$14),""))+(T500*INDEX(Variables!$B$9:$D$9,IFERROR(MATCH(IF($B500="Robusta","Robusta",(IF($B500="","Arabica",$B500))&amp;" - "&amp;(IF($C500="","Commercial",$C500))),Variables!$B$1:$D$1,0),1))*IFERROR(IF(W500="","",(AVERAGE(E500:F500)-W500)-Variables!$B$14),"")/365),""))</f>
        <v/>
      </c>
      <c r="AT500" s="12" t="str">
        <f>IF($H500="Cancelled","",IFERROR((T500*INDEX(Variables!$B$7:$D$7,IFERROR(MATCH(IF($B500="Robusta","Robusta",(IF($B500="","Arabica",$B500))&amp;" - "&amp;(IF($C500="","Commercial",$C500))),Variables!$B$1:$D$1,0),1))*AC500/365)+(L500/16.67*INDEX(Variables!$B$8:$D$8,IFERROR(MATCH(IF($B500="Robusta","Robusta",(IF($B500="","Arabica",$B500))&amp;" - "&amp;(IF($C500="","Commercial",$C500))),Variables!$B$1:$D$1,0),1))*AC500)+(T500*INDEX(Variables!$B$9:$D$9,IFERROR(MATCH(IF($B500="Robusta","Robusta",(IF($B500="","Arabica",$B500))&amp;" - "&amp;(IF($C500="","Commercial",$C500))),Variables!$B$1:$D$1,0),1))*AC500/365),""))</f>
        <v/>
      </c>
      <c r="AU500" s="12">
        <f>IF($H500="Cancelled","",IFERROR((T500*INDEX(Variables!$B$7:$D$7,IFERROR(MATCH(IF($B500="Robusta","Robusta",(IF($B500="","Arabica",$B500))&amp;" - "&amp;(IF($C500="","Commercial",$C500))),Variables!$B$1:$D$1,0),1))*AP500/365)+(L500/16.67*INDEX(Variables!$B$8:$D$8,IFERROR(MATCH(IF($B500="Robusta","Robusta",(IF($B500="","Arabica",$B500))&amp;" - "&amp;(IF($C500="","Commercial",$C500))),Variables!$B$1:$D$1,0),1))*AP500)+(T500*INDEX(Variables!$B$9:$D$9,IFERROR(MATCH(IF($B500="Robusta","Robusta",(IF($B500="","Arabica",$B500))&amp;" - "&amp;(IF($C500="","Commercial",$C500))),Variables!$B$1:$D$1,0),1))*AP500/365),""))</f>
        <v>-1078.4143099101163</v>
      </c>
      <c r="AV500" s="11">
        <f t="shared" si="53"/>
        <v>0</v>
      </c>
      <c r="AW500" s="12">
        <f>IF($H500="Cancelled","",IFERROR(IF(AV500="","",(T500*INDEX(Variables!$B$7:$D$7,IFERROR(MATCH(IF($B500="Robusta","Robusta",(IF($B500="","Arabica",$B500))&amp;" - "&amp;(IF($C500="","Commercial",$C500))),Variables!$B$1:$D$1,0),1))*(AV500/365))+(T500*INDEX(Variables!$B$9:$D$9,IFERROR(MATCH(IF($B500="Robusta","Robusta",(IF($B500="","Arabica",$B500))&amp;" - "&amp;(IF($C500="","Commercial",$C500))),Variables!$B$1:$D$1,0),1))*(AV500/365))+(INDEX(Variables!$B$8:$D$8,IFERROR(MATCH(IF($B500="Robusta","Robusta",(IF($B500="","Arabica",$B500))&amp;" - "&amp;(IF($C500="","Commercial",$C500))),Variables!$B$1:$D$1,0),1))*L500/16.67)),""))</f>
        <v>72</v>
      </c>
      <c r="AX500" s="9"/>
      <c r="AY500" s="12"/>
      <c r="AZ500" s="10"/>
      <c r="BA500" s="9"/>
      <c r="BB500" s="10"/>
      <c r="BC500" s="9"/>
      <c r="BD500" s="9"/>
      <c r="BE500" s="9"/>
      <c r="BF500" s="9"/>
    </row>
    <row r="501" spans="1:58" x14ac:dyDescent="0.25">
      <c r="A501" s="9" t="s">
        <v>84</v>
      </c>
      <c r="B501" s="9" t="s">
        <v>85</v>
      </c>
      <c r="C501" s="9" t="s">
        <v>86</v>
      </c>
      <c r="D501" s="10">
        <v>45986</v>
      </c>
      <c r="E501" s="10">
        <v>46054</v>
      </c>
      <c r="F501" s="10">
        <v>46081</v>
      </c>
      <c r="G501" s="9">
        <v>3787000</v>
      </c>
      <c r="H501" s="9" t="str">
        <f t="shared" si="51"/>
        <v>Closed</v>
      </c>
      <c r="I501" s="9" t="str">
        <f t="shared" si="52"/>
        <v>All dates received</v>
      </c>
      <c r="J501" s="9" t="s">
        <v>102</v>
      </c>
      <c r="K501" s="9" t="s">
        <v>1254</v>
      </c>
      <c r="L501" s="11">
        <v>360</v>
      </c>
      <c r="M501" s="9" t="s">
        <v>936</v>
      </c>
      <c r="N501" s="9" t="s">
        <v>126</v>
      </c>
      <c r="O501" s="9"/>
      <c r="P501" s="9"/>
      <c r="Q501" s="11">
        <v>18.5</v>
      </c>
      <c r="R501" s="9" t="s">
        <v>90</v>
      </c>
      <c r="S501" s="9" t="s">
        <v>162</v>
      </c>
      <c r="T501" s="12">
        <f>IF($H501="Cancelled","",IFERROR(((Q501+INDEX(Variables!$B$6:$D$6,IFERROR(MATCH(IF($B501="Robusta","Robusta",(IF($B501="","Arabica",$B501))&amp;" - "&amp;(IF($C501="","Commercial",$C501))),Variables!$B$1:$D$1,0),1)))*22.0462)*(L501/16.67),""))</f>
        <v>147258.56494301138</v>
      </c>
      <c r="U501" s="10">
        <v>46034</v>
      </c>
      <c r="V501" s="9" t="str">
        <f t="shared" si="55"/>
        <v>Sent</v>
      </c>
      <c r="W501" s="10"/>
      <c r="X501" s="9" t="str">
        <f t="shared" si="56"/>
        <v/>
      </c>
      <c r="Y501" s="10"/>
      <c r="Z501" s="10">
        <f>IF($H501="Cancelled","",IFERROR(IF(F501="","",F501-Variables!$B$13),""))</f>
        <v>46066</v>
      </c>
      <c r="AA501" s="11" t="str">
        <f>IF($H501="Cancelled","",IFERROR(IF(W501="","",(AVERAGE(E501:F501)-W501)-Variables!$B$14),""))</f>
        <v/>
      </c>
      <c r="AB501" s="10">
        <v>46049</v>
      </c>
      <c r="AC501" s="11" t="str">
        <f>IF($H501="Cancelled","",IFERROR(IF(AB501="","",IF(AND(W501="",Y501=""),"",IF(Y501&gt;W501,Y501+Variables!$B$15+Variables!$B$16+Variables!$B$17-AB501,W501+Variables!$B$16+Variables!$B$17-AB501))),""))</f>
        <v/>
      </c>
      <c r="AD501" s="9" t="s">
        <v>165</v>
      </c>
      <c r="AE501" s="9" t="s">
        <v>818</v>
      </c>
      <c r="AF501" s="10"/>
      <c r="AG501" s="10"/>
      <c r="AH501" s="9"/>
      <c r="AI501" s="9" t="s">
        <v>1255</v>
      </c>
      <c r="AJ501" s="9" t="s">
        <v>8</v>
      </c>
      <c r="AK501" s="10">
        <v>46061</v>
      </c>
      <c r="AL501" s="10">
        <v>46070</v>
      </c>
      <c r="AM501" s="10">
        <v>46070</v>
      </c>
      <c r="AN501" s="9" t="s">
        <v>95</v>
      </c>
      <c r="AO501" s="9"/>
      <c r="AP501" s="11">
        <f>IF($H501="Cancelled","",IFERROR(IF(OR(AK501="",AB501=""),"",(AB501+Variables!$B$18-AK501)),""))</f>
        <v>-5</v>
      </c>
      <c r="AQ501" s="11">
        <f>IF($H501="Cancelled","",IFERROR(IF(OR(AM501="",AK501=""),"",(AK501+Variables!$B$19)-AM501),""))</f>
        <v>-4</v>
      </c>
      <c r="AR501" s="12">
        <f>IF($H501="Cancelled","",IFERROR(T501*INDEX(Variables!$B$7:$D$7,IFERROR(MATCH(IF($B501="Robusta","Robusta",(IF($B501="","Arabica",$B501))&amp;" - "&amp;(IF($C501="","Commercial",$C501))),Variables!$B$1:$D$1,0),1))*(AQ501/365),""))</f>
        <v>-104.06089026156985</v>
      </c>
      <c r="AS501" s="12" t="str">
        <f>IF($H501="Cancelled","",IFERROR((T501*INDEX(Variables!$B$7:$D$7,IFERROR(MATCH(IF($B501="Robusta","Robusta",(IF($B501="","Arabica",$B501))&amp;" - "&amp;(IF($C501="","Commercial",$C501))),Variables!$B$1:$D$1,0),1))*IFERROR(IF(W501="","",(AVERAGE(E501:F501)-W501)-Variables!$B$14),"")/365)+(L501/16.67*INDEX(Variables!$B$8:$D$8,IFERROR(MATCH(IF($B501="Robusta","Robusta",(IF($B501="","Arabica",$B501))&amp;" - "&amp;(IF($C501="","Commercial",$C501))),Variables!$B$1:$D$1,0),1))*IFERROR(IF(W501="","",(AVERAGE(E501:F501)-W501)-Variables!$B$14),""))+(T501*INDEX(Variables!$B$9:$D$9,IFERROR(MATCH(IF($B501="Robusta","Robusta",(IF($B501="","Arabica",$B501))&amp;" - "&amp;(IF($C501="","Commercial",$C501))),Variables!$B$1:$D$1,0),1))*IFERROR(IF(W501="","",(AVERAGE(E501:F501)-W501)-Variables!$B$14),"")/365),""))</f>
        <v/>
      </c>
      <c r="AT501" s="12" t="str">
        <f>IF($H501="Cancelled","",IFERROR((T501*INDEX(Variables!$B$7:$D$7,IFERROR(MATCH(IF($B501="Robusta","Robusta",(IF($B501="","Arabica",$B501))&amp;" - "&amp;(IF($C501="","Commercial",$C501))),Variables!$B$1:$D$1,0),1))*AC501/365)+(L501/16.67*INDEX(Variables!$B$8:$D$8,IFERROR(MATCH(IF($B501="Robusta","Robusta",(IF($B501="","Arabica",$B501))&amp;" - "&amp;(IF($C501="","Commercial",$C501))),Variables!$B$1:$D$1,0),1))*AC501)+(T501*INDEX(Variables!$B$9:$D$9,IFERROR(MATCH(IF($B501="Robusta","Robusta",(IF($B501="","Arabica",$B501))&amp;" - "&amp;(IF($C501="","Commercial",$C501))),Variables!$B$1:$D$1,0),1))*AC501/365),""))</f>
        <v/>
      </c>
      <c r="AU501" s="12">
        <f>IF($H501="Cancelled","",IFERROR((T501*INDEX(Variables!$B$7:$D$7,IFERROR(MATCH(IF($B501="Robusta","Robusta",(IF($B501="","Arabica",$B501))&amp;" - "&amp;(IF($C501="","Commercial",$C501))),Variables!$B$1:$D$1,0),1))*AP501/365)+(L501/16.67*INDEX(Variables!$B$8:$D$8,IFERROR(MATCH(IF($B501="Robusta","Robusta",(IF($B501="","Arabica",$B501))&amp;" - "&amp;(IF($C501="","Commercial",$C501))),Variables!$B$1:$D$1,0),1))*AP501)+(T501*INDEX(Variables!$B$9:$D$9,IFERROR(MATCH(IF($B501="Robusta","Robusta",(IF($B501="","Arabica",$B501))&amp;" - "&amp;(IF($C501="","Commercial",$C501))),Variables!$B$1:$D$1,0),1))*AP501/365),""))</f>
        <v>-221.75304495075858</v>
      </c>
      <c r="AV501" s="11">
        <f t="shared" si="53"/>
        <v>20</v>
      </c>
      <c r="AW501" s="12">
        <f>IF($H501="Cancelled","",IFERROR(IF(AV501="","",(T501*INDEX(Variables!$B$7:$D$7,IFERROR(MATCH(IF($B501="Robusta","Robusta",(IF($B501="","Arabica",$B501))&amp;" - "&amp;(IF($C501="","Commercial",$C501))),Variables!$B$1:$D$1,0),1))*(AV501/365))+(T501*INDEX(Variables!$B$9:$D$9,IFERROR(MATCH(IF($B501="Robusta","Robusta",(IF($B501="","Arabica",$B501))&amp;" - "&amp;(IF($C501="","Commercial",$C501))),Variables!$B$1:$D$1,0),1))*(AV501/365))+(INDEX(Variables!$B$8:$D$8,IFERROR(MATCH(IF($B501="Robusta","Robusta",(IF($B501="","Arabica",$B501))&amp;" - "&amp;(IF($C501="","Commercial",$C501))),Variables!$B$1:$D$1,0),1))*L501/16.67)),""))</f>
        <v>545.0121798030342</v>
      </c>
      <c r="AX501" s="9"/>
      <c r="AY501" s="12"/>
      <c r="AZ501" s="10"/>
      <c r="BA501" s="9"/>
      <c r="BB501" s="10"/>
      <c r="BC501" s="9"/>
      <c r="BD501" s="9"/>
      <c r="BE501" s="9"/>
      <c r="BF501" s="9"/>
    </row>
    <row r="502" spans="1:58" x14ac:dyDescent="0.25">
      <c r="A502" s="9" t="s">
        <v>84</v>
      </c>
      <c r="B502" s="9" t="s">
        <v>85</v>
      </c>
      <c r="C502" s="9" t="s">
        <v>86</v>
      </c>
      <c r="D502" s="10">
        <v>45986</v>
      </c>
      <c r="E502" s="10">
        <v>46054</v>
      </c>
      <c r="F502" s="10">
        <v>46081</v>
      </c>
      <c r="G502" s="9">
        <v>3787000</v>
      </c>
      <c r="H502" s="9" t="str">
        <f t="shared" si="51"/>
        <v>Closed</v>
      </c>
      <c r="I502" s="9" t="str">
        <f t="shared" si="52"/>
        <v>All dates received</v>
      </c>
      <c r="J502" s="9" t="s">
        <v>102</v>
      </c>
      <c r="K502" s="9" t="s">
        <v>1256</v>
      </c>
      <c r="L502" s="11">
        <v>360</v>
      </c>
      <c r="M502" s="9" t="s">
        <v>936</v>
      </c>
      <c r="N502" s="9" t="s">
        <v>126</v>
      </c>
      <c r="O502" s="9"/>
      <c r="P502" s="9"/>
      <c r="Q502" s="11">
        <v>18.5</v>
      </c>
      <c r="R502" s="9" t="s">
        <v>90</v>
      </c>
      <c r="S502" s="9" t="s">
        <v>162</v>
      </c>
      <c r="T502" s="12">
        <f>IF($H502="Cancelled","",IFERROR(((Q502+INDEX(Variables!$B$6:$D$6,IFERROR(MATCH(IF($B502="Robusta","Robusta",(IF($B502="","Arabica",$B502))&amp;" - "&amp;(IF($C502="","Commercial",$C502))),Variables!$B$1:$D$1,0),1)))*22.0462)*(L502/16.67),""))</f>
        <v>147258.56494301138</v>
      </c>
      <c r="U502" s="10">
        <v>46034</v>
      </c>
      <c r="V502" s="9" t="str">
        <f t="shared" si="55"/>
        <v>Sent</v>
      </c>
      <c r="W502" s="10"/>
      <c r="X502" s="9" t="str">
        <f t="shared" si="56"/>
        <v/>
      </c>
      <c r="Y502" s="10"/>
      <c r="Z502" s="10">
        <f>IF($H502="Cancelled","",IFERROR(IF(F502="","",F502-Variables!$B$13),""))</f>
        <v>46066</v>
      </c>
      <c r="AA502" s="11" t="str">
        <f>IF($H502="Cancelled","",IFERROR(IF(W502="","",(AVERAGE(E502:F502)-W502)-Variables!$B$14),""))</f>
        <v/>
      </c>
      <c r="AB502" s="10">
        <v>46049</v>
      </c>
      <c r="AC502" s="11" t="str">
        <f>IF($H502="Cancelled","",IFERROR(IF(AB502="","",IF(AND(W502="",Y502=""),"",IF(Y502&gt;W502,Y502+Variables!$B$15+Variables!$B$16+Variables!$B$17-AB502,W502+Variables!$B$16+Variables!$B$17-AB502))),""))</f>
        <v/>
      </c>
      <c r="AD502" s="9" t="s">
        <v>163</v>
      </c>
      <c r="AE502" s="9" t="s">
        <v>847</v>
      </c>
      <c r="AF502" s="10"/>
      <c r="AG502" s="10"/>
      <c r="AH502" s="9"/>
      <c r="AI502" s="9">
        <v>265381858</v>
      </c>
      <c r="AJ502" s="9" t="s">
        <v>8</v>
      </c>
      <c r="AK502" s="10">
        <v>46060</v>
      </c>
      <c r="AL502" s="10">
        <v>46070</v>
      </c>
      <c r="AM502" s="10">
        <v>46070</v>
      </c>
      <c r="AN502" s="9" t="s">
        <v>95</v>
      </c>
      <c r="AO502" s="9"/>
      <c r="AP502" s="11">
        <f>IF($H502="Cancelled","",IFERROR(IF(OR(AK502="",AB502=""),"",(AB502+Variables!$B$18-AK502)),""))</f>
        <v>-4</v>
      </c>
      <c r="AQ502" s="11">
        <f>IF($H502="Cancelled","",IFERROR(IF(OR(AM502="",AK502=""),"",(AK502+Variables!$B$19)-AM502),""))</f>
        <v>-5</v>
      </c>
      <c r="AR502" s="12">
        <f>IF($H502="Cancelled","",IFERROR(T502*INDEX(Variables!$B$7:$D$7,IFERROR(MATCH(IF($B502="Robusta","Robusta",(IF($B502="","Arabica",$B502))&amp;" - "&amp;(IF($C502="","Commercial",$C502))),Variables!$B$1:$D$1,0),1))*(AQ502/365),""))</f>
        <v>-130.07611282696232</v>
      </c>
      <c r="AS502" s="12" t="str">
        <f>IF($H502="Cancelled","",IFERROR((T502*INDEX(Variables!$B$7:$D$7,IFERROR(MATCH(IF($B502="Robusta","Robusta",(IF($B502="","Arabica",$B502))&amp;" - "&amp;(IF($C502="","Commercial",$C502))),Variables!$B$1:$D$1,0),1))*IFERROR(IF(W502="","",(AVERAGE(E502:F502)-W502)-Variables!$B$14),"")/365)+(L502/16.67*INDEX(Variables!$B$8:$D$8,IFERROR(MATCH(IF($B502="Robusta","Robusta",(IF($B502="","Arabica",$B502))&amp;" - "&amp;(IF($C502="","Commercial",$C502))),Variables!$B$1:$D$1,0),1))*IFERROR(IF(W502="","",(AVERAGE(E502:F502)-W502)-Variables!$B$14),""))+(T502*INDEX(Variables!$B$9:$D$9,IFERROR(MATCH(IF($B502="Robusta","Robusta",(IF($B502="","Arabica",$B502))&amp;" - "&amp;(IF($C502="","Commercial",$C502))),Variables!$B$1:$D$1,0),1))*IFERROR(IF(W502="","",(AVERAGE(E502:F502)-W502)-Variables!$B$14),"")/365),""))</f>
        <v/>
      </c>
      <c r="AT502" s="12" t="str">
        <f>IF($H502="Cancelled","",IFERROR((T502*INDEX(Variables!$B$7:$D$7,IFERROR(MATCH(IF($B502="Robusta","Robusta",(IF($B502="","Arabica",$B502))&amp;" - "&amp;(IF($C502="","Commercial",$C502))),Variables!$B$1:$D$1,0),1))*AC502/365)+(L502/16.67*INDEX(Variables!$B$8:$D$8,IFERROR(MATCH(IF($B502="Robusta","Robusta",(IF($B502="","Arabica",$B502))&amp;" - "&amp;(IF($C502="","Commercial",$C502))),Variables!$B$1:$D$1,0),1))*AC502)+(T502*INDEX(Variables!$B$9:$D$9,IFERROR(MATCH(IF($B502="Robusta","Robusta",(IF($B502="","Arabica",$B502))&amp;" - "&amp;(IF($C502="","Commercial",$C502))),Variables!$B$1:$D$1,0),1))*AC502/365),""))</f>
        <v/>
      </c>
      <c r="AU502" s="12">
        <f>IF($H502="Cancelled","",IFERROR((T502*INDEX(Variables!$B$7:$D$7,IFERROR(MATCH(IF($B502="Robusta","Robusta",(IF($B502="","Arabica",$B502))&amp;" - "&amp;(IF($C502="","Commercial",$C502))),Variables!$B$1:$D$1,0),1))*AP502/365)+(L502/16.67*INDEX(Variables!$B$8:$D$8,IFERROR(MATCH(IF($B502="Robusta","Robusta",(IF($B502="","Arabica",$B502))&amp;" - "&amp;(IF($C502="","Commercial",$C502))),Variables!$B$1:$D$1,0),1))*AP502)+(T502*INDEX(Variables!$B$9:$D$9,IFERROR(MATCH(IF($B502="Robusta","Robusta",(IF($B502="","Arabica",$B502))&amp;" - "&amp;(IF($C502="","Commercial",$C502))),Variables!$B$1:$D$1,0),1))*AP502/365),""))</f>
        <v>-177.40243596060685</v>
      </c>
      <c r="AV502" s="11">
        <f t="shared" si="53"/>
        <v>21</v>
      </c>
      <c r="AW502" s="12">
        <f>IF($H502="Cancelled","",IFERROR(IF(AV502="","",(T502*INDEX(Variables!$B$7:$D$7,IFERROR(MATCH(IF($B502="Robusta","Robusta",(IF($B502="","Arabica",$B502))&amp;" - "&amp;(IF($C502="","Commercial",$C502))),Variables!$B$1:$D$1,0),1))*(AV502/365))+(T502*INDEX(Variables!$B$9:$D$9,IFERROR(MATCH(IF($B502="Robusta","Robusta",(IF($B502="","Arabica",$B502))&amp;" - "&amp;(IF($C502="","Commercial",$C502))),Variables!$B$1:$D$1,0),1))*(AV502/365))+(INDEX(Variables!$B$8:$D$8,IFERROR(MATCH(IF($B502="Robusta","Robusta",(IF($B502="","Arabica",$B502))&amp;" - "&amp;(IF($C502="","Commercial",$C502))),Variables!$B$1:$D$1,0),1))*L502/16.67)),""))</f>
        <v>571.36278879318593</v>
      </c>
      <c r="AX502" s="9"/>
      <c r="AY502" s="12"/>
      <c r="AZ502" s="10"/>
      <c r="BA502" s="9"/>
      <c r="BB502" s="10"/>
      <c r="BC502" s="9"/>
      <c r="BD502" s="9"/>
      <c r="BE502" s="9"/>
      <c r="BF502" s="9"/>
    </row>
    <row r="503" spans="1:58" x14ac:dyDescent="0.25">
      <c r="A503" s="9" t="s">
        <v>84</v>
      </c>
      <c r="B503" s="9" t="s">
        <v>85</v>
      </c>
      <c r="C503" s="9" t="s">
        <v>86</v>
      </c>
      <c r="D503" s="10">
        <v>46043</v>
      </c>
      <c r="E503" s="10">
        <v>46082</v>
      </c>
      <c r="F503" s="10">
        <v>46112</v>
      </c>
      <c r="G503" s="9">
        <v>3787119</v>
      </c>
      <c r="H503" s="9" t="str">
        <f t="shared" si="51"/>
        <v>Open</v>
      </c>
      <c r="I503" s="9" t="str">
        <f t="shared" si="52"/>
        <v>No docs dispatch date</v>
      </c>
      <c r="J503" s="9" t="s">
        <v>322</v>
      </c>
      <c r="K503" s="9" t="s">
        <v>1257</v>
      </c>
      <c r="L503" s="11">
        <v>100</v>
      </c>
      <c r="M503" s="9" t="s">
        <v>1258</v>
      </c>
      <c r="N503" s="9" t="s">
        <v>126</v>
      </c>
      <c r="O503" s="9"/>
      <c r="P503" s="9"/>
      <c r="Q503" s="11">
        <v>25</v>
      </c>
      <c r="R503" s="9" t="s">
        <v>90</v>
      </c>
      <c r="S503" s="9" t="s">
        <v>123</v>
      </c>
      <c r="T503" s="12">
        <f>IF($H503="Cancelled","",IFERROR(((Q503+INDEX(Variables!$B$6:$D$6,IFERROR(MATCH(IF($B503="Robusta","Robusta",(IF($B503="","Arabica",$B503))&amp;" - "&amp;(IF($C503="","Commercial",$C503))),Variables!$B$1:$D$1,0),1)))*22.0462)*(L503/16.67),""))</f>
        <v>41764.786802639464</v>
      </c>
      <c r="U503" s="10">
        <v>46051</v>
      </c>
      <c r="V503" s="9" t="str">
        <f t="shared" si="55"/>
        <v>Sent</v>
      </c>
      <c r="W503" s="10">
        <v>46064</v>
      </c>
      <c r="X503" s="9" t="str">
        <f t="shared" si="56"/>
        <v>Approved</v>
      </c>
      <c r="Y503" s="10"/>
      <c r="Z503" s="10">
        <f>IF($H503="Cancelled","",IFERROR(IF(F503="","",F503-Variables!$B$13),""))</f>
        <v>46097</v>
      </c>
      <c r="AA503" s="11">
        <f>IF($H503="Cancelled","",IFERROR(IF(W503="","",(AVERAGE(E503:F503)-W503)-Variables!$B$14),""))</f>
        <v>3</v>
      </c>
      <c r="AB503" s="10">
        <v>46085</v>
      </c>
      <c r="AC503" s="11">
        <f>IF($H503="Cancelled","",IFERROR(IF(AB503="","",IF(AND(W503="",Y503=""),"",IF(Y503&gt;W503,Y503+Variables!$B$15+Variables!$B$16+Variables!$B$17-AB503,W503+Variables!$B$16+Variables!$B$17-AB503))),""))</f>
        <v>-13</v>
      </c>
      <c r="AD503" s="9" t="s">
        <v>92</v>
      </c>
      <c r="AE503" s="9" t="s">
        <v>1232</v>
      </c>
      <c r="AF503" s="10">
        <v>46117</v>
      </c>
      <c r="AG503" s="10"/>
      <c r="AH503" s="9"/>
      <c r="AI503" s="9" t="s">
        <v>1233</v>
      </c>
      <c r="AJ503" s="9"/>
      <c r="AK503" s="10">
        <v>46103</v>
      </c>
      <c r="AL503" s="10">
        <v>46105</v>
      </c>
      <c r="AM503" s="10"/>
      <c r="AN503" s="9" t="s">
        <v>1234</v>
      </c>
      <c r="AO503" s="9"/>
      <c r="AP503" s="11">
        <f>IF($H503="Cancelled","",IFERROR(IF(OR(AK503="",AB503=""),"",(AB503+Variables!$B$18-AK503)),""))</f>
        <v>-11</v>
      </c>
      <c r="AQ503" s="11" t="str">
        <f>IF($H503="Cancelled","",IFERROR(IF(OR(AM503="",AK503=""),"",(AK503+Variables!$B$19)-AM503),""))</f>
        <v/>
      </c>
      <c r="AR503" s="12" t="str">
        <f>IF($H503="Cancelled","",IFERROR(T503*INDEX(Variables!$B$7:$D$7,IFERROR(MATCH(IF($B503="Robusta","Robusta",(IF($B503="","Arabica",$B503))&amp;" - "&amp;(IF($C503="","Commercial",$C503))),Variables!$B$1:$D$1,0),1))*(AQ503/365),""))</f>
        <v/>
      </c>
      <c r="AS503" s="12">
        <f>IF($H503="Cancelled","",IFERROR((T503*INDEX(Variables!$B$7:$D$7,IFERROR(MATCH(IF($B503="Robusta","Robusta",(IF($B503="","Arabica",$B503))&amp;" - "&amp;(IF($C503="","Commercial",$C503))),Variables!$B$1:$D$1,0),1))*IFERROR(IF(W503="","",(AVERAGE(E503:F503)-W503)-Variables!$B$14),"")/365)+(L503/16.67*INDEX(Variables!$B$8:$D$8,IFERROR(MATCH(IF($B503="Robusta","Robusta",(IF($B503="","Arabica",$B503))&amp;" - "&amp;(IF($C503="","Commercial",$C503))),Variables!$B$1:$D$1,0),1))*IFERROR(IF(W503="","",(AVERAGE(E503:F503)-W503)-Variables!$B$14),""))+(T503*INDEX(Variables!$B$9:$D$9,IFERROR(MATCH(IF($B503="Robusta","Robusta",(IF($B503="","Arabica",$B503))&amp;" - "&amp;(IF($C503="","Commercial",$C503))),Variables!$B$1:$D$1,0),1))*IFERROR(IF(W503="","",(AVERAGE(E503:F503)-W503)-Variables!$B$14),"")/365),""))</f>
        <v>37.420310160281041</v>
      </c>
      <c r="AT503" s="12">
        <f>IF($H503="Cancelled","",IFERROR((T503*INDEX(Variables!$B$7:$D$7,IFERROR(MATCH(IF($B503="Robusta","Robusta",(IF($B503="","Arabica",$B503))&amp;" - "&amp;(IF($C503="","Commercial",$C503))),Variables!$B$1:$D$1,0),1))*AC503/365)+(L503/16.67*INDEX(Variables!$B$8:$D$8,IFERROR(MATCH(IF($B503="Robusta","Robusta",(IF($B503="","Arabica",$B503))&amp;" - "&amp;(IF($C503="","Commercial",$C503))),Variables!$B$1:$D$1,0),1))*AC503)+(T503*INDEX(Variables!$B$9:$D$9,IFERROR(MATCH(IF($B503="Robusta","Robusta",(IF($B503="","Arabica",$B503))&amp;" - "&amp;(IF($C503="","Commercial",$C503))),Variables!$B$1:$D$1,0),1))*AC503/365),""))</f>
        <v>-162.15467736121781</v>
      </c>
      <c r="AU503" s="12">
        <f>IF($H503="Cancelled","",IFERROR((T503*INDEX(Variables!$B$7:$D$7,IFERROR(MATCH(IF($B503="Robusta","Robusta",(IF($B503="","Arabica",$B503))&amp;" - "&amp;(IF($C503="","Commercial",$C503))),Variables!$B$1:$D$1,0),1))*AP503/365)+(L503/16.67*INDEX(Variables!$B$8:$D$8,IFERROR(MATCH(IF($B503="Robusta","Robusta",(IF($B503="","Arabica",$B503))&amp;" - "&amp;(IF($C503="","Commercial",$C503))),Variables!$B$1:$D$1,0),1))*AP503)+(T503*INDEX(Variables!$B$9:$D$9,IFERROR(MATCH(IF($B503="Robusta","Robusta",(IF($B503="","Arabica",$B503))&amp;" - "&amp;(IF($C503="","Commercial",$C503))),Variables!$B$1:$D$1,0),1))*AP503/365),""))</f>
        <v>-137.20780392103046</v>
      </c>
      <c r="AV503" s="11">
        <f t="shared" si="53"/>
        <v>9</v>
      </c>
      <c r="AW503" s="12">
        <f>IF($H503="Cancelled","",IFERROR(IF(AV503="","",(T503*INDEX(Variables!$B$7:$D$7,IFERROR(MATCH(IF($B503="Robusta","Robusta",(IF($B503="","Arabica",$B503))&amp;" - "&amp;(IF($C503="","Commercial",$C503))),Variables!$B$1:$D$1,0),1))*(AV503/365))+(T503*INDEX(Variables!$B$9:$D$9,IFERROR(MATCH(IF($B503="Robusta","Robusta",(IF($B503="","Arabica",$B503))&amp;" - "&amp;(IF($C503="","Commercial",$C503))),Variables!$B$1:$D$1,0),1))*(AV503/365))+(INDEX(Variables!$B$8:$D$8,IFERROR(MATCH(IF($B503="Robusta","Robusta",(IF($B503="","Arabica",$B503))&amp;" - "&amp;(IF($C503="","Commercial",$C503))),Variables!$B$1:$D$1,0),1))*L503/16.67)),""))</f>
        <v>72.260930480843101</v>
      </c>
      <c r="AX503" s="9"/>
      <c r="AY503" s="12"/>
      <c r="AZ503" s="10"/>
      <c r="BA503" s="9"/>
      <c r="BB503" s="10"/>
      <c r="BC503" s="9"/>
      <c r="BD503" s="9"/>
      <c r="BE503" s="9"/>
      <c r="BF503" s="9"/>
    </row>
    <row r="504" spans="1:58" x14ac:dyDescent="0.25">
      <c r="A504" s="9" t="s">
        <v>84</v>
      </c>
      <c r="B504" s="9" t="s">
        <v>85</v>
      </c>
      <c r="C504" s="9" t="s">
        <v>86</v>
      </c>
      <c r="D504" s="10">
        <v>45970</v>
      </c>
      <c r="E504" s="10">
        <v>46082</v>
      </c>
      <c r="F504" s="10">
        <v>46112</v>
      </c>
      <c r="G504" s="9">
        <v>3787035</v>
      </c>
      <c r="H504" s="9" t="str">
        <f t="shared" si="51"/>
        <v>Open</v>
      </c>
      <c r="I504" s="9" t="str">
        <f t="shared" si="52"/>
        <v>No docs dispatch date</v>
      </c>
      <c r="J504" s="9" t="s">
        <v>102</v>
      </c>
      <c r="K504" s="9" t="s">
        <v>1259</v>
      </c>
      <c r="L504" s="11">
        <v>334</v>
      </c>
      <c r="M504" s="9" t="s">
        <v>1260</v>
      </c>
      <c r="N504" s="9" t="s">
        <v>432</v>
      </c>
      <c r="O504" s="9"/>
      <c r="P504" s="9"/>
      <c r="Q504" s="11">
        <v>53.5</v>
      </c>
      <c r="R504" s="9" t="s">
        <v>90</v>
      </c>
      <c r="S504" s="9" t="s">
        <v>465</v>
      </c>
      <c r="T504" s="12">
        <f>IF($H504="Cancelled","",IFERROR(((Q504+INDEX(Variables!$B$6:$D$6,IFERROR(MATCH(IF($B504="Robusta","Robusta",(IF($B504="","Arabica",$B504))&amp;" - "&amp;(IF($C504="","Commercial",$C504))),Variables!$B$1:$D$1,0),1)))*22.0462)*(L504/16.67),""))</f>
        <v>152083.33679904017</v>
      </c>
      <c r="U504" s="10">
        <v>46052</v>
      </c>
      <c r="V504" s="9" t="str">
        <f t="shared" si="55"/>
        <v>Sent</v>
      </c>
      <c r="W504" s="10">
        <v>46059</v>
      </c>
      <c r="X504" s="9" t="str">
        <f t="shared" si="56"/>
        <v>Approved</v>
      </c>
      <c r="Y504" s="10"/>
      <c r="Z504" s="10">
        <f>IF($H504="Cancelled","",IFERROR(IF(F504="","",F504-Variables!$B$13),""))</f>
        <v>46097</v>
      </c>
      <c r="AA504" s="11">
        <f>IF($H504="Cancelled","",IFERROR(IF(W504="","",(AVERAGE(E504:F504)-W504)-Variables!$B$14),""))</f>
        <v>8</v>
      </c>
      <c r="AB504" s="10">
        <v>46079</v>
      </c>
      <c r="AC504" s="11">
        <f>IF($H504="Cancelled","",IFERROR(IF(AB504="","",IF(AND(W504="",Y504=""),"",IF(Y504&gt;W504,Y504+Variables!$B$15+Variables!$B$16+Variables!$B$17-AB504,W504+Variables!$B$16+Variables!$B$17-AB504))),""))</f>
        <v>-12</v>
      </c>
      <c r="AD504" s="9" t="s">
        <v>163</v>
      </c>
      <c r="AE504" s="9" t="s">
        <v>1261</v>
      </c>
      <c r="AF504" s="10">
        <v>46155</v>
      </c>
      <c r="AG504" s="10"/>
      <c r="AH504" s="9"/>
      <c r="AI504" s="9">
        <v>266531389</v>
      </c>
      <c r="AJ504" s="9"/>
      <c r="AK504" s="10">
        <v>46089</v>
      </c>
      <c r="AL504" s="10">
        <v>46112</v>
      </c>
      <c r="AM504" s="10"/>
      <c r="AN504" s="9" t="s">
        <v>1234</v>
      </c>
      <c r="AO504" s="9"/>
      <c r="AP504" s="11">
        <f>IF($H504="Cancelled","",IFERROR(IF(OR(AK504="",AB504=""),"",(AB504+Variables!$B$18-AK504)),""))</f>
        <v>-3</v>
      </c>
      <c r="AQ504" s="11" t="str">
        <f>IF($H504="Cancelled","",IFERROR(IF(OR(AM504="",AK504=""),"",(AK504+Variables!$B$19)-AM504),""))</f>
        <v/>
      </c>
      <c r="AR504" s="12" t="str">
        <f>IF($H504="Cancelled","",IFERROR(T504*INDEX(Variables!$B$7:$D$7,IFERROR(MATCH(IF($B504="Robusta","Robusta",(IF($B504="","Arabica",$B504))&amp;" - "&amp;(IF($C504="","Commercial",$C504))),Variables!$B$1:$D$1,0),1))*(AQ504/365),""))</f>
        <v/>
      </c>
      <c r="AS504" s="12">
        <f>IF($H504="Cancelled","",IFERROR((T504*INDEX(Variables!$B$7:$D$7,IFERROR(MATCH(IF($B504="Robusta","Robusta",(IF($B504="","Arabica",$B504))&amp;" - "&amp;(IF($C504="","Commercial",$C504))),Variables!$B$1:$D$1,0),1))*IFERROR(IF(W504="","",(AVERAGE(E504:F504)-W504)-Variables!$B$14),"")/365)+(L504/16.67*INDEX(Variables!$B$8:$D$8,IFERROR(MATCH(IF($B504="Robusta","Robusta",(IF($B504="","Arabica",$B504))&amp;" - "&amp;(IF($C504="","Commercial",$C504))),Variables!$B$1:$D$1,0),1))*IFERROR(IF(W504="","",(AVERAGE(E504:F504)-W504)-Variables!$B$14),""))+(T504*INDEX(Variables!$B$9:$D$9,IFERROR(MATCH(IF($B504="Robusta","Robusta",(IF($B504="","Arabica",$B504))&amp;" - "&amp;(IF($C504="","Commercial",$C504))),Variables!$B$1:$D$1,0),1))*IFERROR(IF(W504="","",(AVERAGE(E504:F504)-W504)-Variables!$B$14),"")/365),""))</f>
        <v>351.3116716279257</v>
      </c>
      <c r="AT504" s="12">
        <f>IF($H504="Cancelled","",IFERROR((T504*INDEX(Variables!$B$7:$D$7,IFERROR(MATCH(IF($B504="Robusta","Robusta",(IF($B504="","Arabica",$B504))&amp;" - "&amp;(IF($C504="","Commercial",$C504))),Variables!$B$1:$D$1,0),1))*AC504/365)+(L504/16.67*INDEX(Variables!$B$8:$D$8,IFERROR(MATCH(IF($B504="Robusta","Robusta",(IF($B504="","Arabica",$B504))&amp;" - "&amp;(IF($C504="","Commercial",$C504))),Variables!$B$1:$D$1,0),1))*AC504)+(T504*INDEX(Variables!$B$9:$D$9,IFERROR(MATCH(IF($B504="Robusta","Robusta",(IF($B504="","Arabica",$B504))&amp;" - "&amp;(IF($C504="","Commercial",$C504))),Variables!$B$1:$D$1,0),1))*AC504/365),""))</f>
        <v>-526.96750744188853</v>
      </c>
      <c r="AU504" s="12">
        <f>IF($H504="Cancelled","",IFERROR((T504*INDEX(Variables!$B$7:$D$7,IFERROR(MATCH(IF($B504="Robusta","Robusta",(IF($B504="","Arabica",$B504))&amp;" - "&amp;(IF($C504="","Commercial",$C504))),Variables!$B$1:$D$1,0),1))*AP504/365)+(L504/16.67*INDEX(Variables!$B$8:$D$8,IFERROR(MATCH(IF($B504="Robusta","Robusta",(IF($B504="","Arabica",$B504))&amp;" - "&amp;(IF($C504="","Commercial",$C504))),Variables!$B$1:$D$1,0),1))*AP504)+(T504*INDEX(Variables!$B$9:$D$9,IFERROR(MATCH(IF($B504="Robusta","Robusta",(IF($B504="","Arabica",$B504))&amp;" - "&amp;(IF($C504="","Commercial",$C504))),Variables!$B$1:$D$1,0),1))*AP504/365),""))</f>
        <v>-131.74187686047213</v>
      </c>
      <c r="AV504" s="11">
        <f t="shared" si="53"/>
        <v>23</v>
      </c>
      <c r="AW504" s="12">
        <f>IF($H504="Cancelled","",IFERROR(IF(AV504="","",(T504*INDEX(Variables!$B$7:$D$7,IFERROR(MATCH(IF($B504="Robusta","Robusta",(IF($B504="","Arabica",$B504))&amp;" - "&amp;(IF($C504="","Commercial",$C504))),Variables!$B$1:$D$1,0),1))*(AV504/365))+(T504*INDEX(Variables!$B$9:$D$9,IFERROR(MATCH(IF($B504="Robusta","Robusta",(IF($B504="","Arabica",$B504))&amp;" - "&amp;(IF($C504="","Commercial",$C504))),Variables!$B$1:$D$1,0),1))*(AV504/365))+(INDEX(Variables!$B$8:$D$8,IFERROR(MATCH(IF($B504="Robusta","Robusta",(IF($B504="","Arabica",$B504))&amp;" - "&amp;(IF($C504="","Commercial",$C504))),Variables!$B$1:$D$1,0),1))*L504/16.67)),""))</f>
        <v>642.62105593028662</v>
      </c>
      <c r="AX504" s="9"/>
      <c r="AY504" s="12"/>
      <c r="AZ504" s="10"/>
      <c r="BA504" s="9"/>
      <c r="BB504" s="10"/>
      <c r="BC504" s="9"/>
      <c r="BD504" s="9"/>
      <c r="BE504" s="9"/>
      <c r="BF504" s="9"/>
    </row>
    <row r="505" spans="1:58" x14ac:dyDescent="0.25">
      <c r="A505" s="9" t="s">
        <v>84</v>
      </c>
      <c r="B505" s="9" t="s">
        <v>85</v>
      </c>
      <c r="C505" s="9" t="s">
        <v>86</v>
      </c>
      <c r="D505" s="10">
        <v>45988</v>
      </c>
      <c r="E505" s="10">
        <v>46023</v>
      </c>
      <c r="F505" s="10">
        <v>46053</v>
      </c>
      <c r="G505" s="9">
        <v>3787006</v>
      </c>
      <c r="H505" s="9" t="str">
        <f t="shared" si="51"/>
        <v>Open</v>
      </c>
      <c r="I505" s="9" t="str">
        <f t="shared" si="52"/>
        <v>No docs dispatch date</v>
      </c>
      <c r="J505" s="9" t="s">
        <v>102</v>
      </c>
      <c r="K505" s="9" t="s">
        <v>1262</v>
      </c>
      <c r="L505" s="11">
        <v>667</v>
      </c>
      <c r="M505" s="9" t="s">
        <v>1212</v>
      </c>
      <c r="N505" s="9" t="s">
        <v>432</v>
      </c>
      <c r="O505" s="9"/>
      <c r="P505" s="9"/>
      <c r="Q505" s="11">
        <v>48</v>
      </c>
      <c r="R505" s="9" t="s">
        <v>90</v>
      </c>
      <c r="S505" s="9" t="s">
        <v>207</v>
      </c>
      <c r="T505" s="12">
        <f>IF($H505="Cancelled","",IFERROR(((Q505+INDEX(Variables!$B$6:$D$6,IFERROR(MATCH(IF($B505="Robusta","Robusta",(IF($B505="","Arabica",$B505))&amp;" - "&amp;(IF($C505="","Commercial",$C505))),Variables!$B$1:$D$1,0),1)))*22.0462)*(L505/16.67),""))</f>
        <v>298859.71550809836</v>
      </c>
      <c r="U505" s="10"/>
      <c r="V505" s="9" t="str">
        <f t="shared" si="55"/>
        <v/>
      </c>
      <c r="W505" s="10">
        <v>46006</v>
      </c>
      <c r="X505" s="9" t="str">
        <f t="shared" si="56"/>
        <v>Approved</v>
      </c>
      <c r="Y505" s="10">
        <v>46032</v>
      </c>
      <c r="Z505" s="10">
        <f>IF($H505="Cancelled","",IFERROR(IF(F505="","",F505-Variables!$B$13),""))</f>
        <v>46038</v>
      </c>
      <c r="AA505" s="11">
        <f>IF($H505="Cancelled","",IFERROR(IF(W505="","",(AVERAGE(E505:F505)-W505)-Variables!$B$14),""))</f>
        <v>2</v>
      </c>
      <c r="AB505" s="10">
        <v>46041</v>
      </c>
      <c r="AC505" s="11">
        <f>IF($H505="Cancelled","",IFERROR(IF(AB505="","",IF(AND(W505="",Y505=""),"",IF(Y505&gt;W505,Y505+Variables!$B$15+Variables!$B$16+Variables!$B$17-AB505,W505+Variables!$B$16+Variables!$B$17-AB505))),""))</f>
        <v>6</v>
      </c>
      <c r="AD505" s="9" t="s">
        <v>151</v>
      </c>
      <c r="AE505" s="9" t="s">
        <v>1263</v>
      </c>
      <c r="AF505" s="10"/>
      <c r="AG505" s="10"/>
      <c r="AH505" s="9"/>
      <c r="AI505" s="9" t="s">
        <v>1264</v>
      </c>
      <c r="AJ505" s="9"/>
      <c r="AK505" s="10">
        <v>46061</v>
      </c>
      <c r="AL505" s="10">
        <v>46064</v>
      </c>
      <c r="AM505" s="10"/>
      <c r="AN505" s="9" t="s">
        <v>1016</v>
      </c>
      <c r="AO505" s="9"/>
      <c r="AP505" s="11">
        <f>IF($H505="Cancelled","",IFERROR(IF(OR(AK505="",AB505=""),"",(AB505+Variables!$B$18-AK505)),""))</f>
        <v>-13</v>
      </c>
      <c r="AQ505" s="11" t="str">
        <f>IF($H505="Cancelled","",IFERROR(IF(OR(AM505="",AK505=""),"",(AK505+Variables!$B$19)-AM505),""))</f>
        <v/>
      </c>
      <c r="AR505" s="12" t="str">
        <f>IF($H505="Cancelled","",IFERROR(T505*INDEX(Variables!$B$7:$D$7,IFERROR(MATCH(IF($B505="Robusta","Robusta",(IF($B505="","Arabica",$B505))&amp;" - "&amp;(IF($C505="","Commercial",$C505))),Variables!$B$1:$D$1,0),1))*(AQ505/365),""))</f>
        <v/>
      </c>
      <c r="AS505" s="12">
        <f>IF($H505="Cancelled","",IFERROR((T505*INDEX(Variables!$B$7:$D$7,IFERROR(MATCH(IF($B505="Robusta","Robusta",(IF($B505="","Arabica",$B505))&amp;" - "&amp;(IF($C505="","Commercial",$C505))),Variables!$B$1:$D$1,0),1))*IFERROR(IF(W505="","",(AVERAGE(E505:F505)-W505)-Variables!$B$14),"")/365)+(L505/16.67*INDEX(Variables!$B$8:$D$8,IFERROR(MATCH(IF($B505="Robusta","Robusta",(IF($B505="","Arabica",$B505))&amp;" - "&amp;(IF($C505="","Commercial",$C505))),Variables!$B$1:$D$1,0),1))*IFERROR(IF(W505="","",(AVERAGE(E505:F505)-W505)-Variables!$B$14),""))+(T505*INDEX(Variables!$B$9:$D$9,IFERROR(MATCH(IF($B505="Robusta","Robusta",(IF($B505="","Arabica",$B505))&amp;" - "&amp;(IF($C505="","Commercial",$C505))),Variables!$B$1:$D$1,0),1))*IFERROR(IF(W505="","",(AVERAGE(E505:F505)-W505)-Variables!$B$14),"")/365),""))</f>
        <v>173.65657002103114</v>
      </c>
      <c r="AT505" s="12">
        <f>IF($H505="Cancelled","",IFERROR((T505*INDEX(Variables!$B$7:$D$7,IFERROR(MATCH(IF($B505="Robusta","Robusta",(IF($B505="","Arabica",$B505))&amp;" - "&amp;(IF($C505="","Commercial",$C505))),Variables!$B$1:$D$1,0),1))*AC505/365)+(L505/16.67*INDEX(Variables!$B$8:$D$8,IFERROR(MATCH(IF($B505="Robusta","Robusta",(IF($B505="","Arabica",$B505))&amp;" - "&amp;(IF($C505="","Commercial",$C505))),Variables!$B$1:$D$1,0),1))*AC505)+(T505*INDEX(Variables!$B$9:$D$9,IFERROR(MATCH(IF($B505="Robusta","Robusta",(IF($B505="","Arabica",$B505))&amp;" - "&amp;(IF($C505="","Commercial",$C505))),Variables!$B$1:$D$1,0),1))*AC505/365),""))</f>
        <v>520.96971006309332</v>
      </c>
      <c r="AU505" s="12">
        <f>IF($H505="Cancelled","",IFERROR((T505*INDEX(Variables!$B$7:$D$7,IFERROR(MATCH(IF($B505="Robusta","Robusta",(IF($B505="","Arabica",$B505))&amp;" - "&amp;(IF($C505="","Commercial",$C505))),Variables!$B$1:$D$1,0),1))*AP505/365)+(L505/16.67*INDEX(Variables!$B$8:$D$8,IFERROR(MATCH(IF($B505="Robusta","Robusta",(IF($B505="","Arabica",$B505))&amp;" - "&amp;(IF($C505="","Commercial",$C505))),Variables!$B$1:$D$1,0),1))*AP505)+(T505*INDEX(Variables!$B$9:$D$9,IFERROR(MATCH(IF($B505="Robusta","Robusta",(IF($B505="","Arabica",$B505))&amp;" - "&amp;(IF($C505="","Commercial",$C505))),Variables!$B$1:$D$1,0),1))*AP505/365),""))</f>
        <v>-1128.7677051367023</v>
      </c>
      <c r="AV505" s="11">
        <f t="shared" si="53"/>
        <v>-8</v>
      </c>
      <c r="AW505" s="12">
        <f>IF($H505="Cancelled","",IFERROR(IF(AV505="","",(T505*INDEX(Variables!$B$7:$D$7,IFERROR(MATCH(IF($B505="Robusta","Robusta",(IF($B505="","Arabica",$B505))&amp;" - "&amp;(IF($C505="","Commercial",$C505))),Variables!$B$1:$D$1,0),1))*(AV505/365))+(T505*INDEX(Variables!$B$9:$D$9,IFERROR(MATCH(IF($B505="Robusta","Robusta",(IF($B505="","Arabica",$B505))&amp;" - "&amp;(IF($C505="","Commercial",$C505))),Variables!$B$1:$D$1,0),1))*(AV505/365))+(INDEX(Variables!$B$8:$D$8,IFERROR(MATCH(IF($B505="Robusta","Robusta",(IF($B505="","Arabica",$B505))&amp;" - "&amp;(IF($C505="","Commercial",$C505))),Variables!$B$1:$D$1,0),1))*L505/16.67)),""))</f>
        <v>-394.47628008412454</v>
      </c>
      <c r="AX505" s="9"/>
      <c r="AY505" s="12"/>
      <c r="AZ505" s="10"/>
      <c r="BA505" s="9"/>
      <c r="BB505" s="10"/>
      <c r="BC505" s="9"/>
      <c r="BD505" s="9"/>
      <c r="BE505" s="9"/>
      <c r="BF505" s="9"/>
    </row>
    <row r="506" spans="1:58" x14ac:dyDescent="0.25">
      <c r="A506" s="9" t="s">
        <v>84</v>
      </c>
      <c r="B506" s="9" t="s">
        <v>85</v>
      </c>
      <c r="C506" s="9" t="s">
        <v>86</v>
      </c>
      <c r="D506" s="10">
        <v>45988</v>
      </c>
      <c r="E506" s="10">
        <v>46023</v>
      </c>
      <c r="F506" s="10">
        <v>46053</v>
      </c>
      <c r="G506" s="9">
        <v>3787006</v>
      </c>
      <c r="H506" s="9" t="str">
        <f t="shared" si="51"/>
        <v>Open</v>
      </c>
      <c r="I506" s="9" t="str">
        <f t="shared" si="52"/>
        <v>No docs dispatch date</v>
      </c>
      <c r="J506" s="9" t="s">
        <v>102</v>
      </c>
      <c r="K506" s="9" t="s">
        <v>1265</v>
      </c>
      <c r="L506" s="11">
        <v>667</v>
      </c>
      <c r="M506" s="9" t="s">
        <v>1212</v>
      </c>
      <c r="N506" s="9" t="s">
        <v>432</v>
      </c>
      <c r="O506" s="9"/>
      <c r="P506" s="9"/>
      <c r="Q506" s="11">
        <v>48</v>
      </c>
      <c r="R506" s="9" t="s">
        <v>90</v>
      </c>
      <c r="S506" s="9" t="s">
        <v>753</v>
      </c>
      <c r="T506" s="12">
        <f>IF($H506="Cancelled","",IFERROR(((Q506+INDEX(Variables!$B$6:$D$6,IFERROR(MATCH(IF($B506="Robusta","Robusta",(IF($B506="","Arabica",$B506))&amp;" - "&amp;(IF($C506="","Commercial",$C506))),Variables!$B$1:$D$1,0),1)))*22.0462)*(L506/16.67),""))</f>
        <v>298859.71550809836</v>
      </c>
      <c r="U506" s="10"/>
      <c r="V506" s="9" t="str">
        <f t="shared" si="55"/>
        <v/>
      </c>
      <c r="W506" s="10">
        <v>46006</v>
      </c>
      <c r="X506" s="9" t="str">
        <f t="shared" si="56"/>
        <v>Approved</v>
      </c>
      <c r="Y506" s="10">
        <v>46032</v>
      </c>
      <c r="Z506" s="10">
        <f>IF($H506="Cancelled","",IFERROR(IF(F506="","",F506-Variables!$B$13),""))</f>
        <v>46038</v>
      </c>
      <c r="AA506" s="11">
        <f>IF($H506="Cancelled","",IFERROR(IF(W506="","",(AVERAGE(E506:F506)-W506)-Variables!$B$14),""))</f>
        <v>2</v>
      </c>
      <c r="AB506" s="10">
        <v>46043</v>
      </c>
      <c r="AC506" s="11">
        <f>IF($H506="Cancelled","",IFERROR(IF(AB506="","",IF(AND(W506="",Y506=""),"",IF(Y506&gt;W506,Y506+Variables!$B$15+Variables!$B$16+Variables!$B$17-AB506,W506+Variables!$B$16+Variables!$B$17-AB506))),""))</f>
        <v>4</v>
      </c>
      <c r="AD506" s="9" t="s">
        <v>107</v>
      </c>
      <c r="AE506" s="9" t="s">
        <v>1266</v>
      </c>
      <c r="AF506" s="10"/>
      <c r="AG506" s="10"/>
      <c r="AH506" s="9"/>
      <c r="AI506" s="9" t="s">
        <v>1267</v>
      </c>
      <c r="AJ506" s="9"/>
      <c r="AK506" s="10">
        <v>46061</v>
      </c>
      <c r="AL506" s="10">
        <v>46064</v>
      </c>
      <c r="AM506" s="10"/>
      <c r="AN506" s="9" t="s">
        <v>1016</v>
      </c>
      <c r="AO506" s="9"/>
      <c r="AP506" s="11">
        <f>IF($H506="Cancelled","",IFERROR(IF(OR(AK506="",AB506=""),"",(AB506+Variables!$B$18-AK506)),""))</f>
        <v>-11</v>
      </c>
      <c r="AQ506" s="11" t="str">
        <f>IF($H506="Cancelled","",IFERROR(IF(OR(AM506="",AK506=""),"",(AK506+Variables!$B$19)-AM506),""))</f>
        <v/>
      </c>
      <c r="AR506" s="12" t="str">
        <f>IF($H506="Cancelled","",IFERROR(T506*INDEX(Variables!$B$7:$D$7,IFERROR(MATCH(IF($B506="Robusta","Robusta",(IF($B506="","Arabica",$B506))&amp;" - "&amp;(IF($C506="","Commercial",$C506))),Variables!$B$1:$D$1,0),1))*(AQ506/365),""))</f>
        <v/>
      </c>
      <c r="AS506" s="12">
        <f>IF($H506="Cancelled","",IFERROR((T506*INDEX(Variables!$B$7:$D$7,IFERROR(MATCH(IF($B506="Robusta","Robusta",(IF($B506="","Arabica",$B506))&amp;" - "&amp;(IF($C506="","Commercial",$C506))),Variables!$B$1:$D$1,0),1))*IFERROR(IF(W506="","",(AVERAGE(E506:F506)-W506)-Variables!$B$14),"")/365)+(L506/16.67*INDEX(Variables!$B$8:$D$8,IFERROR(MATCH(IF($B506="Robusta","Robusta",(IF($B506="","Arabica",$B506))&amp;" - "&amp;(IF($C506="","Commercial",$C506))),Variables!$B$1:$D$1,0),1))*IFERROR(IF(W506="","",(AVERAGE(E506:F506)-W506)-Variables!$B$14),""))+(T506*INDEX(Variables!$B$9:$D$9,IFERROR(MATCH(IF($B506="Robusta","Robusta",(IF($B506="","Arabica",$B506))&amp;" - "&amp;(IF($C506="","Commercial",$C506))),Variables!$B$1:$D$1,0),1))*IFERROR(IF(W506="","",(AVERAGE(E506:F506)-W506)-Variables!$B$14),"")/365),""))</f>
        <v>173.65657002103114</v>
      </c>
      <c r="AT506" s="12">
        <f>IF($H506="Cancelled","",IFERROR((T506*INDEX(Variables!$B$7:$D$7,IFERROR(MATCH(IF($B506="Robusta","Robusta",(IF($B506="","Arabica",$B506))&amp;" - "&amp;(IF($C506="","Commercial",$C506))),Variables!$B$1:$D$1,0),1))*AC506/365)+(L506/16.67*INDEX(Variables!$B$8:$D$8,IFERROR(MATCH(IF($B506="Robusta","Robusta",(IF($B506="","Arabica",$B506))&amp;" - "&amp;(IF($C506="","Commercial",$C506))),Variables!$B$1:$D$1,0),1))*AC506)+(T506*INDEX(Variables!$B$9:$D$9,IFERROR(MATCH(IF($B506="Robusta","Robusta",(IF($B506="","Arabica",$B506))&amp;" - "&amp;(IF($C506="","Commercial",$C506))),Variables!$B$1:$D$1,0),1))*AC506/365),""))</f>
        <v>347.31314004206229</v>
      </c>
      <c r="AU506" s="12">
        <f>IF($H506="Cancelled","",IFERROR((T506*INDEX(Variables!$B$7:$D$7,IFERROR(MATCH(IF($B506="Robusta","Robusta",(IF($B506="","Arabica",$B506))&amp;" - "&amp;(IF($C506="","Commercial",$C506))),Variables!$B$1:$D$1,0),1))*AP506/365)+(L506/16.67*INDEX(Variables!$B$8:$D$8,IFERROR(MATCH(IF($B506="Robusta","Robusta",(IF($B506="","Arabica",$B506))&amp;" - "&amp;(IF($C506="","Commercial",$C506))),Variables!$B$1:$D$1,0),1))*AP506)+(T506*INDEX(Variables!$B$9:$D$9,IFERROR(MATCH(IF($B506="Robusta","Robusta",(IF($B506="","Arabica",$B506))&amp;" - "&amp;(IF($C506="","Commercial",$C506))),Variables!$B$1:$D$1,0),1))*AP506/365),""))</f>
        <v>-955.11113511567135</v>
      </c>
      <c r="AV506" s="11">
        <f t="shared" si="53"/>
        <v>-8</v>
      </c>
      <c r="AW506" s="12">
        <f>IF($H506="Cancelled","",IFERROR(IF(AV506="","",(T506*INDEX(Variables!$B$7:$D$7,IFERROR(MATCH(IF($B506="Robusta","Robusta",(IF($B506="","Arabica",$B506))&amp;" - "&amp;(IF($C506="","Commercial",$C506))),Variables!$B$1:$D$1,0),1))*(AV506/365))+(T506*INDEX(Variables!$B$9:$D$9,IFERROR(MATCH(IF($B506="Robusta","Robusta",(IF($B506="","Arabica",$B506))&amp;" - "&amp;(IF($C506="","Commercial",$C506))),Variables!$B$1:$D$1,0),1))*(AV506/365))+(INDEX(Variables!$B$8:$D$8,IFERROR(MATCH(IF($B506="Robusta","Robusta",(IF($B506="","Arabica",$B506))&amp;" - "&amp;(IF($C506="","Commercial",$C506))),Variables!$B$1:$D$1,0),1))*L506/16.67)),""))</f>
        <v>-394.47628008412454</v>
      </c>
      <c r="AX506" s="9"/>
      <c r="AY506" s="12"/>
      <c r="AZ506" s="10"/>
      <c r="BA506" s="9"/>
      <c r="BB506" s="10"/>
      <c r="BC506" s="9"/>
      <c r="BD506" s="9"/>
      <c r="BE506" s="9"/>
      <c r="BF506" s="9"/>
    </row>
    <row r="507" spans="1:58" x14ac:dyDescent="0.25">
      <c r="A507" s="9" t="s">
        <v>84</v>
      </c>
      <c r="B507" s="9" t="s">
        <v>85</v>
      </c>
      <c r="C507" s="9" t="s">
        <v>86</v>
      </c>
      <c r="D507" s="10">
        <v>45988</v>
      </c>
      <c r="E507" s="10">
        <v>46054</v>
      </c>
      <c r="F507" s="10">
        <v>46081</v>
      </c>
      <c r="G507" s="9">
        <v>3787007</v>
      </c>
      <c r="H507" s="9" t="str">
        <f t="shared" si="51"/>
        <v>Open</v>
      </c>
      <c r="I507" s="9" t="str">
        <f t="shared" si="52"/>
        <v>No shipping advice sent and No docs dispatch date</v>
      </c>
      <c r="J507" s="9" t="s">
        <v>102</v>
      </c>
      <c r="K507" s="9" t="s">
        <v>1268</v>
      </c>
      <c r="L507" s="11">
        <v>334</v>
      </c>
      <c r="M507" s="9" t="s">
        <v>1269</v>
      </c>
      <c r="N507" s="9" t="s">
        <v>432</v>
      </c>
      <c r="O507" s="9"/>
      <c r="P507" s="9"/>
      <c r="Q507" s="11">
        <v>48</v>
      </c>
      <c r="R507" s="9" t="s">
        <v>90</v>
      </c>
      <c r="S507" s="9" t="s">
        <v>462</v>
      </c>
      <c r="T507" s="12">
        <f>IF($H507="Cancelled","",IFERROR(((Q507+INDEX(Variables!$B$6:$D$6,IFERROR(MATCH(IF($B507="Robusta","Robusta",(IF($B507="","Arabica",$B507))&amp;" - "&amp;(IF($C507="","Commercial",$C507))),Variables!$B$1:$D$1,0),1)))*22.0462)*(L507/16.67),""))</f>
        <v>149653.89052429513</v>
      </c>
      <c r="U507" s="10">
        <v>46034</v>
      </c>
      <c r="V507" s="9" t="str">
        <f t="shared" si="55"/>
        <v>Sent</v>
      </c>
      <c r="W507" s="10"/>
      <c r="X507" s="9" t="str">
        <f t="shared" si="56"/>
        <v/>
      </c>
      <c r="Y507" s="10"/>
      <c r="Z507" s="10">
        <f>IF($H507="Cancelled","",IFERROR(IF(F507="","",F507-Variables!$B$13),""))</f>
        <v>46066</v>
      </c>
      <c r="AA507" s="11" t="str">
        <f>IF($H507="Cancelled","",IFERROR(IF(W507="","",(AVERAGE(E507:F507)-W507)-Variables!$B$14),""))</f>
        <v/>
      </c>
      <c r="AB507" s="10">
        <v>46072</v>
      </c>
      <c r="AC507" s="11" t="str">
        <f>IF($H507="Cancelled","",IFERROR(IF(AB507="","",IF(AND(W507="",Y507=""),"",IF(Y507&gt;W507,Y507+Variables!$B$15+Variables!$B$16+Variables!$B$17-AB507,W507+Variables!$B$16+Variables!$B$17-AB507))),""))</f>
        <v/>
      </c>
      <c r="AD507" s="9" t="s">
        <v>151</v>
      </c>
      <c r="AE507" s="9" t="s">
        <v>1270</v>
      </c>
      <c r="AF507" s="10"/>
      <c r="AG507" s="10"/>
      <c r="AH507" s="9"/>
      <c r="AI507" s="9" t="s">
        <v>1271</v>
      </c>
      <c r="AJ507" s="9"/>
      <c r="AK507" s="10">
        <v>46206</v>
      </c>
      <c r="AL507" s="10"/>
      <c r="AM507" s="10"/>
      <c r="AN507" s="9" t="s">
        <v>1272</v>
      </c>
      <c r="AO507" s="9"/>
      <c r="AP507" s="11">
        <f>IF($H507="Cancelled","",IFERROR(IF(OR(AK507="",AB507=""),"",(AB507+Variables!$B$18-AK507)),""))</f>
        <v>-127</v>
      </c>
      <c r="AQ507" s="11" t="str">
        <f>IF($H507="Cancelled","",IFERROR(IF(OR(AM507="",AK507=""),"",(AK507+Variables!$B$19)-AM507),""))</f>
        <v/>
      </c>
      <c r="AR507" s="12" t="str">
        <f>IF($H507="Cancelled","",IFERROR(T507*INDEX(Variables!$B$7:$D$7,IFERROR(MATCH(IF($B507="Robusta","Robusta",(IF($B507="","Arabica",$B507))&amp;" - "&amp;(IF($C507="","Commercial",$C507))),Variables!$B$1:$D$1,0),1))*(AQ507/365),""))</f>
        <v/>
      </c>
      <c r="AS507" s="12" t="str">
        <f>IF($H507="Cancelled","",IFERROR((T507*INDEX(Variables!$B$7:$D$7,IFERROR(MATCH(IF($B507="Robusta","Robusta",(IF($B507="","Arabica",$B507))&amp;" - "&amp;(IF($C507="","Commercial",$C507))),Variables!$B$1:$D$1,0),1))*IFERROR(IF(W507="","",(AVERAGE(E507:F507)-W507)-Variables!$B$14),"")/365)+(L507/16.67*INDEX(Variables!$B$8:$D$8,IFERROR(MATCH(IF($B507="Robusta","Robusta",(IF($B507="","Arabica",$B507))&amp;" - "&amp;(IF($C507="","Commercial",$C507))),Variables!$B$1:$D$1,0),1))*IFERROR(IF(W507="","",(AVERAGE(E507:F507)-W507)-Variables!$B$14),""))+(T507*INDEX(Variables!$B$9:$D$9,IFERROR(MATCH(IF($B507="Robusta","Robusta",(IF($B507="","Arabica",$B507))&amp;" - "&amp;(IF($C507="","Commercial",$C507))),Variables!$B$1:$D$1,0),1))*IFERROR(IF(W507="","",(AVERAGE(E507:F507)-W507)-Variables!$B$14),"")/365),""))</f>
        <v/>
      </c>
      <c r="AT507" s="12" t="str">
        <f>IF($H507="Cancelled","",IFERROR((T507*INDEX(Variables!$B$7:$D$7,IFERROR(MATCH(IF($B507="Robusta","Robusta",(IF($B507="","Arabica",$B507))&amp;" - "&amp;(IF($C507="","Commercial",$C507))),Variables!$B$1:$D$1,0),1))*AC507/365)+(L507/16.67*INDEX(Variables!$B$8:$D$8,IFERROR(MATCH(IF($B507="Robusta","Robusta",(IF($B507="","Arabica",$B507))&amp;" - "&amp;(IF($C507="","Commercial",$C507))),Variables!$B$1:$D$1,0),1))*AC507)+(T507*INDEX(Variables!$B$9:$D$9,IFERROR(MATCH(IF($B507="Robusta","Robusta",(IF($B507="","Arabica",$B507))&amp;" - "&amp;(IF($C507="","Commercial",$C507))),Variables!$B$1:$D$1,0),1))*AC507/365),""))</f>
        <v/>
      </c>
      <c r="AU507" s="12">
        <f>IF($H507="Cancelled","",IFERROR((T507*INDEX(Variables!$B$7:$D$7,IFERROR(MATCH(IF($B507="Robusta","Robusta",(IF($B507="","Arabica",$B507))&amp;" - "&amp;(IF($C507="","Commercial",$C507))),Variables!$B$1:$D$1,0),1))*AP507/365)+(L507/16.67*INDEX(Variables!$B$8:$D$8,IFERROR(MATCH(IF($B507="Robusta","Robusta",(IF($B507="","Arabica",$B507))&amp;" - "&amp;(IF($C507="","Commercial",$C507))),Variables!$B$1:$D$1,0),1))*AP507)+(T507*INDEX(Variables!$B$9:$D$9,IFERROR(MATCH(IF($B507="Robusta","Robusta",(IF($B507="","Arabica",$B507))&amp;" - "&amp;(IF($C507="","Commercial",$C507))),Variables!$B$1:$D$1,0),1))*AP507/365),""))</f>
        <v>-5521.8623591844826</v>
      </c>
      <c r="AV507" s="11">
        <f t="shared" si="53"/>
        <v>-125</v>
      </c>
      <c r="AW507" s="12">
        <f>IF($H507="Cancelled","",IFERROR(IF(AV507="","",(T507*INDEX(Variables!$B$7:$D$7,IFERROR(MATCH(IF($B507="Robusta","Robusta",(IF($B507="","Arabica",$B507))&amp;" - "&amp;(IF($C507="","Commercial",$C507))),Variables!$B$1:$D$1,0),1))*(AV507/365))+(T507*INDEX(Variables!$B$9:$D$9,IFERROR(MATCH(IF($B507="Robusta","Robusta",(IF($B507="","Arabica",$B507))&amp;" - "&amp;(IF($C507="","Commercial",$C507))),Variables!$B$1:$D$1,0),1))*(AV507/365))+(INDEX(Variables!$B$8:$D$8,IFERROR(MATCH(IF($B507="Robusta","Robusta",(IF($B507="","Arabica",$B507))&amp;" - "&amp;(IF($C507="","Commercial",$C507))),Variables!$B$1:$D$1,0),1))*L507/16.67)),""))</f>
        <v>-3330.7038968351198</v>
      </c>
      <c r="AX507" s="9"/>
      <c r="AY507" s="12"/>
      <c r="AZ507" s="10"/>
      <c r="BA507" s="9"/>
      <c r="BB507" s="10"/>
      <c r="BC507" s="9"/>
      <c r="BD507" s="9"/>
      <c r="BE507" s="9"/>
      <c r="BF507" s="9"/>
    </row>
    <row r="508" spans="1:58" x14ac:dyDescent="0.25">
      <c r="A508" s="9" t="s">
        <v>84</v>
      </c>
      <c r="B508" s="9" t="s">
        <v>85</v>
      </c>
      <c r="C508" s="9" t="s">
        <v>86</v>
      </c>
      <c r="D508" s="10">
        <v>45988</v>
      </c>
      <c r="E508" s="10">
        <v>46054</v>
      </c>
      <c r="F508" s="10">
        <v>46081</v>
      </c>
      <c r="G508" s="9">
        <v>3787007</v>
      </c>
      <c r="H508" s="9" t="str">
        <f t="shared" si="51"/>
        <v>Open</v>
      </c>
      <c r="I508" s="9" t="str">
        <f t="shared" si="52"/>
        <v>No sailing date and No shipping advice sent and No docs dispatch date</v>
      </c>
      <c r="J508" s="9" t="s">
        <v>102</v>
      </c>
      <c r="K508" s="9" t="s">
        <v>1273</v>
      </c>
      <c r="L508" s="11">
        <v>334</v>
      </c>
      <c r="M508" s="9" t="s">
        <v>1269</v>
      </c>
      <c r="N508" s="9" t="s">
        <v>432</v>
      </c>
      <c r="O508" s="9"/>
      <c r="P508" s="9"/>
      <c r="Q508" s="11">
        <v>48</v>
      </c>
      <c r="R508" s="9" t="s">
        <v>90</v>
      </c>
      <c r="S508" s="9" t="s">
        <v>753</v>
      </c>
      <c r="T508" s="12">
        <f>IF($H508="Cancelled","",IFERROR(((Q508+INDEX(Variables!$B$6:$D$6,IFERROR(MATCH(IF($B508="Robusta","Robusta",(IF($B508="","Arabica",$B508))&amp;" - "&amp;(IF($C508="","Commercial",$C508))),Variables!$B$1:$D$1,0),1)))*22.0462)*(L508/16.67),""))</f>
        <v>149653.89052429513</v>
      </c>
      <c r="U508" s="10">
        <v>46034</v>
      </c>
      <c r="V508" s="9" t="str">
        <f t="shared" si="55"/>
        <v>Sent</v>
      </c>
      <c r="W508" s="10"/>
      <c r="X508" s="9" t="str">
        <f t="shared" si="56"/>
        <v/>
      </c>
      <c r="Y508" s="10"/>
      <c r="Z508" s="10">
        <f>IF($H508="Cancelled","",IFERROR(IF(F508="","",F508-Variables!$B$13),""))</f>
        <v>46066</v>
      </c>
      <c r="AA508" s="11" t="str">
        <f>IF($H508="Cancelled","",IFERROR(IF(W508="","",(AVERAGE(E508:F508)-W508)-Variables!$B$14),""))</f>
        <v/>
      </c>
      <c r="AB508" s="10">
        <v>46070</v>
      </c>
      <c r="AC508" s="11" t="str">
        <f>IF($H508="Cancelled","",IFERROR(IF(AB508="","",IF(AND(W508="",Y508=""),"",IF(Y508&gt;W508,Y508+Variables!$B$15+Variables!$B$16+Variables!$B$17-AB508,W508+Variables!$B$16+Variables!$B$17-AB508))),""))</f>
        <v/>
      </c>
      <c r="AD508" s="9" t="s">
        <v>107</v>
      </c>
      <c r="AE508" s="9"/>
      <c r="AF508" s="10"/>
      <c r="AG508" s="10"/>
      <c r="AH508" s="9"/>
      <c r="AI508" s="9"/>
      <c r="AJ508" s="9"/>
      <c r="AK508" s="10"/>
      <c r="AL508" s="10"/>
      <c r="AM508" s="10"/>
      <c r="AN508" s="9" t="s">
        <v>1274</v>
      </c>
      <c r="AO508" s="9"/>
      <c r="AP508" s="11" t="str">
        <f>IF($H508="Cancelled","",IFERROR(IF(OR(AK508="",AB508=""),"",(AB508+Variables!$B$18-AK508)),""))</f>
        <v/>
      </c>
      <c r="AQ508" s="11" t="str">
        <f>IF($H508="Cancelled","",IFERROR(IF(OR(AM508="",AK508=""),"",(AK508+Variables!$B$19)-AM508),""))</f>
        <v/>
      </c>
      <c r="AR508" s="12" t="str">
        <f>IF($H508="Cancelled","",IFERROR(T508*INDEX(Variables!$B$7:$D$7,IFERROR(MATCH(IF($B508="Robusta","Robusta",(IF($B508="","Arabica",$B508))&amp;" - "&amp;(IF($C508="","Commercial",$C508))),Variables!$B$1:$D$1,0),1))*(AQ508/365),""))</f>
        <v/>
      </c>
      <c r="AS508" s="12" t="str">
        <f>IF($H508="Cancelled","",IFERROR((T508*INDEX(Variables!$B$7:$D$7,IFERROR(MATCH(IF($B508="Robusta","Robusta",(IF($B508="","Arabica",$B508))&amp;" - "&amp;(IF($C508="","Commercial",$C508))),Variables!$B$1:$D$1,0),1))*IFERROR(IF(W508="","",(AVERAGE(E508:F508)-W508)-Variables!$B$14),"")/365)+(L508/16.67*INDEX(Variables!$B$8:$D$8,IFERROR(MATCH(IF($B508="Robusta","Robusta",(IF($B508="","Arabica",$B508))&amp;" - "&amp;(IF($C508="","Commercial",$C508))),Variables!$B$1:$D$1,0),1))*IFERROR(IF(W508="","",(AVERAGE(E508:F508)-W508)-Variables!$B$14),""))+(T508*INDEX(Variables!$B$9:$D$9,IFERROR(MATCH(IF($B508="Robusta","Robusta",(IF($B508="","Arabica",$B508))&amp;" - "&amp;(IF($C508="","Commercial",$C508))),Variables!$B$1:$D$1,0),1))*IFERROR(IF(W508="","",(AVERAGE(E508:F508)-W508)-Variables!$B$14),"")/365),""))</f>
        <v/>
      </c>
      <c r="AT508" s="12" t="str">
        <f>IF($H508="Cancelled","",IFERROR((T508*INDEX(Variables!$B$7:$D$7,IFERROR(MATCH(IF($B508="Robusta","Robusta",(IF($B508="","Arabica",$B508))&amp;" - "&amp;(IF($C508="","Commercial",$C508))),Variables!$B$1:$D$1,0),1))*AC508/365)+(L508/16.67*INDEX(Variables!$B$8:$D$8,IFERROR(MATCH(IF($B508="Robusta","Robusta",(IF($B508="","Arabica",$B508))&amp;" - "&amp;(IF($C508="","Commercial",$C508))),Variables!$B$1:$D$1,0),1))*AC508)+(T508*INDEX(Variables!$B$9:$D$9,IFERROR(MATCH(IF($B508="Robusta","Robusta",(IF($B508="","Arabica",$B508))&amp;" - "&amp;(IF($C508="","Commercial",$C508))),Variables!$B$1:$D$1,0),1))*AC508/365),""))</f>
        <v/>
      </c>
      <c r="AU508" s="12" t="str">
        <f>IF($H508="Cancelled","",IFERROR((T508*INDEX(Variables!$B$7:$D$7,IFERROR(MATCH(IF($B508="Robusta","Robusta",(IF($B508="","Arabica",$B508))&amp;" - "&amp;(IF($C508="","Commercial",$C508))),Variables!$B$1:$D$1,0),1))*AP508/365)+(L508/16.67*INDEX(Variables!$B$8:$D$8,IFERROR(MATCH(IF($B508="Robusta","Robusta",(IF($B508="","Arabica",$B508))&amp;" - "&amp;(IF($C508="","Commercial",$C508))),Variables!$B$1:$D$1,0),1))*AP508)+(T508*INDEX(Variables!$B$9:$D$9,IFERROR(MATCH(IF($B508="Robusta","Robusta",(IF($B508="","Arabica",$B508))&amp;" - "&amp;(IF($C508="","Commercial",$C508))),Variables!$B$1:$D$1,0),1))*AP508/365),""))</f>
        <v/>
      </c>
      <c r="AV508" s="11" t="str">
        <f t="shared" si="53"/>
        <v/>
      </c>
      <c r="AW508" s="12" t="str">
        <f>IF($H508="Cancelled","",IFERROR(IF(AV508="","",(T508*INDEX(Variables!$B$7:$D$7,IFERROR(MATCH(IF($B508="Robusta","Robusta",(IF($B508="","Arabica",$B508))&amp;" - "&amp;(IF($C508="","Commercial",$C508))),Variables!$B$1:$D$1,0),1))*(AV508/365))+(T508*INDEX(Variables!$B$9:$D$9,IFERROR(MATCH(IF($B508="Robusta","Robusta",(IF($B508="","Arabica",$B508))&amp;" - "&amp;(IF($C508="","Commercial",$C508))),Variables!$B$1:$D$1,0),1))*(AV508/365))+(INDEX(Variables!$B$8:$D$8,IFERROR(MATCH(IF($B508="Robusta","Robusta",(IF($B508="","Arabica",$B508))&amp;" - "&amp;(IF($C508="","Commercial",$C508))),Variables!$B$1:$D$1,0),1))*L508/16.67)),""))</f>
        <v/>
      </c>
      <c r="AX508" s="9"/>
      <c r="AY508" s="12"/>
      <c r="AZ508" s="10"/>
      <c r="BA508" s="9"/>
      <c r="BB508" s="10"/>
      <c r="BC508" s="9"/>
      <c r="BD508" s="9"/>
      <c r="BE508" s="9"/>
      <c r="BF508" s="9"/>
    </row>
    <row r="509" spans="1:58" x14ac:dyDescent="0.25">
      <c r="A509" s="9" t="s">
        <v>84</v>
      </c>
      <c r="B509" s="9" t="s">
        <v>85</v>
      </c>
      <c r="C509" s="9" t="s">
        <v>86</v>
      </c>
      <c r="D509" s="10">
        <v>45988</v>
      </c>
      <c r="E509" s="10">
        <v>46054</v>
      </c>
      <c r="F509" s="10">
        <v>46081</v>
      </c>
      <c r="G509" s="9">
        <v>3787007</v>
      </c>
      <c r="H509" s="9" t="str">
        <f t="shared" si="51"/>
        <v>Open</v>
      </c>
      <c r="I509" s="9" t="str">
        <f t="shared" si="52"/>
        <v>No sailing date and No shipping advice sent and No docs dispatch date</v>
      </c>
      <c r="J509" s="9" t="s">
        <v>102</v>
      </c>
      <c r="K509" s="9" t="s">
        <v>1275</v>
      </c>
      <c r="L509" s="11">
        <v>666</v>
      </c>
      <c r="M509" s="9" t="s">
        <v>1269</v>
      </c>
      <c r="N509" s="9" t="s">
        <v>432</v>
      </c>
      <c r="O509" s="9"/>
      <c r="P509" s="9"/>
      <c r="Q509" s="11">
        <v>48</v>
      </c>
      <c r="R509" s="9" t="s">
        <v>90</v>
      </c>
      <c r="S509" s="9" t="s">
        <v>759</v>
      </c>
      <c r="T509" s="12">
        <f>IF($H509="Cancelled","",IFERROR(((Q509+INDEX(Variables!$B$6:$D$6,IFERROR(MATCH(IF($B509="Robusta","Robusta",(IF($B509="","Arabica",$B509))&amp;" - "&amp;(IF($C509="","Commercial",$C509))),Variables!$B$1:$D$1,0),1)))*22.0462)*(L509/16.67),""))</f>
        <v>298411.64996760647</v>
      </c>
      <c r="U509" s="10">
        <v>46034</v>
      </c>
      <c r="V509" s="9" t="str">
        <f t="shared" si="55"/>
        <v>Sent</v>
      </c>
      <c r="W509" s="10"/>
      <c r="X509" s="9" t="str">
        <f t="shared" si="56"/>
        <v/>
      </c>
      <c r="Y509" s="10"/>
      <c r="Z509" s="10">
        <f>IF($H509="Cancelled","",IFERROR(IF(F509="","",F509-Variables!$B$13),""))</f>
        <v>46066</v>
      </c>
      <c r="AA509" s="11" t="str">
        <f>IF($H509="Cancelled","",IFERROR(IF(W509="","",(AVERAGE(E509:F509)-W509)-Variables!$B$14),""))</f>
        <v/>
      </c>
      <c r="AB509" s="10">
        <v>46071</v>
      </c>
      <c r="AC509" s="11" t="str">
        <f>IF($H509="Cancelled","",IFERROR(IF(AB509="","",IF(AND(W509="",Y509=""),"",IF(Y509&gt;W509,Y509+Variables!$B$15+Variables!$B$16+Variables!$B$17-AB509,W509+Variables!$B$16+Variables!$B$17-AB509))),""))</f>
        <v/>
      </c>
      <c r="AD509" s="9" t="s">
        <v>163</v>
      </c>
      <c r="AE509" s="9"/>
      <c r="AF509" s="10"/>
      <c r="AG509" s="10"/>
      <c r="AH509" s="9"/>
      <c r="AI509" s="9"/>
      <c r="AJ509" s="9"/>
      <c r="AK509" s="10"/>
      <c r="AL509" s="10"/>
      <c r="AM509" s="10"/>
      <c r="AN509" s="9" t="s">
        <v>1276</v>
      </c>
      <c r="AO509" s="9"/>
      <c r="AP509" s="11" t="str">
        <f>IF($H509="Cancelled","",IFERROR(IF(OR(AK509="",AB509=""),"",(AB509+Variables!$B$18-AK509)),""))</f>
        <v/>
      </c>
      <c r="AQ509" s="11" t="str">
        <f>IF($H509="Cancelled","",IFERROR(IF(OR(AM509="",AK509=""),"",(AK509+Variables!$B$19)-AM509),""))</f>
        <v/>
      </c>
      <c r="AR509" s="12" t="str">
        <f>IF($H509="Cancelled","",IFERROR(T509*INDEX(Variables!$B$7:$D$7,IFERROR(MATCH(IF($B509="Robusta","Robusta",(IF($B509="","Arabica",$B509))&amp;" - "&amp;(IF($C509="","Commercial",$C509))),Variables!$B$1:$D$1,0),1))*(AQ509/365),""))</f>
        <v/>
      </c>
      <c r="AS509" s="12" t="str">
        <f>IF($H509="Cancelled","",IFERROR((T509*INDEX(Variables!$B$7:$D$7,IFERROR(MATCH(IF($B509="Robusta","Robusta",(IF($B509="","Arabica",$B509))&amp;" - "&amp;(IF($C509="","Commercial",$C509))),Variables!$B$1:$D$1,0),1))*IFERROR(IF(W509="","",(AVERAGE(E509:F509)-W509)-Variables!$B$14),"")/365)+(L509/16.67*INDEX(Variables!$B$8:$D$8,IFERROR(MATCH(IF($B509="Robusta","Robusta",(IF($B509="","Arabica",$B509))&amp;" - "&amp;(IF($C509="","Commercial",$C509))),Variables!$B$1:$D$1,0),1))*IFERROR(IF(W509="","",(AVERAGE(E509:F509)-W509)-Variables!$B$14),""))+(T509*INDEX(Variables!$B$9:$D$9,IFERROR(MATCH(IF($B509="Robusta","Robusta",(IF($B509="","Arabica",$B509))&amp;" - "&amp;(IF($C509="","Commercial",$C509))),Variables!$B$1:$D$1,0),1))*IFERROR(IF(W509="","",(AVERAGE(E509:F509)-W509)-Variables!$B$14),"")/365),""))</f>
        <v/>
      </c>
      <c r="AT509" s="12" t="str">
        <f>IF($H509="Cancelled","",IFERROR((T509*INDEX(Variables!$B$7:$D$7,IFERROR(MATCH(IF($B509="Robusta","Robusta",(IF($B509="","Arabica",$B509))&amp;" - "&amp;(IF($C509="","Commercial",$C509))),Variables!$B$1:$D$1,0),1))*AC509/365)+(L509/16.67*INDEX(Variables!$B$8:$D$8,IFERROR(MATCH(IF($B509="Robusta","Robusta",(IF($B509="","Arabica",$B509))&amp;" - "&amp;(IF($C509="","Commercial",$C509))),Variables!$B$1:$D$1,0),1))*AC509)+(T509*INDEX(Variables!$B$9:$D$9,IFERROR(MATCH(IF($B509="Robusta","Robusta",(IF($B509="","Arabica",$B509))&amp;" - "&amp;(IF($C509="","Commercial",$C509))),Variables!$B$1:$D$1,0),1))*AC509/365),""))</f>
        <v/>
      </c>
      <c r="AU509" s="12" t="str">
        <f>IF($H509="Cancelled","",IFERROR((T509*INDEX(Variables!$B$7:$D$7,IFERROR(MATCH(IF($B509="Robusta","Robusta",(IF($B509="","Arabica",$B509))&amp;" - "&amp;(IF($C509="","Commercial",$C509))),Variables!$B$1:$D$1,0),1))*AP509/365)+(L509/16.67*INDEX(Variables!$B$8:$D$8,IFERROR(MATCH(IF($B509="Robusta","Robusta",(IF($B509="","Arabica",$B509))&amp;" - "&amp;(IF($C509="","Commercial",$C509))),Variables!$B$1:$D$1,0),1))*AP509)+(T509*INDEX(Variables!$B$9:$D$9,IFERROR(MATCH(IF($B509="Robusta","Robusta",(IF($B509="","Arabica",$B509))&amp;" - "&amp;(IF($C509="","Commercial",$C509))),Variables!$B$1:$D$1,0),1))*AP509/365),""))</f>
        <v/>
      </c>
      <c r="AV509" s="11" t="str">
        <f t="shared" si="53"/>
        <v/>
      </c>
      <c r="AW509" s="12" t="str">
        <f>IF($H509="Cancelled","",IFERROR(IF(AV509="","",(T509*INDEX(Variables!$B$7:$D$7,IFERROR(MATCH(IF($B509="Robusta","Robusta",(IF($B509="","Arabica",$B509))&amp;" - "&amp;(IF($C509="","Commercial",$C509))),Variables!$B$1:$D$1,0),1))*(AV509/365))+(T509*INDEX(Variables!$B$9:$D$9,IFERROR(MATCH(IF($B509="Robusta","Robusta",(IF($B509="","Arabica",$B509))&amp;" - "&amp;(IF($C509="","Commercial",$C509))),Variables!$B$1:$D$1,0),1))*(AV509/365))+(INDEX(Variables!$B$8:$D$8,IFERROR(MATCH(IF($B509="Robusta","Robusta",(IF($B509="","Arabica",$B509))&amp;" - "&amp;(IF($C509="","Commercial",$C509))),Variables!$B$1:$D$1,0),1))*L509/16.67)),""))</f>
        <v/>
      </c>
      <c r="AX509" s="9"/>
      <c r="AY509" s="12"/>
      <c r="AZ509" s="10"/>
      <c r="BA509" s="9"/>
      <c r="BB509" s="10"/>
      <c r="BC509" s="9"/>
      <c r="BD509" s="9"/>
      <c r="BE509" s="9"/>
      <c r="BF509" s="9"/>
    </row>
    <row r="510" spans="1:58" x14ac:dyDescent="0.25">
      <c r="A510" s="9" t="s">
        <v>84</v>
      </c>
      <c r="B510" s="9" t="s">
        <v>85</v>
      </c>
      <c r="C510" s="9" t="s">
        <v>86</v>
      </c>
      <c r="D510" s="10">
        <v>45988</v>
      </c>
      <c r="E510" s="10">
        <v>46054</v>
      </c>
      <c r="F510" s="10">
        <v>46081</v>
      </c>
      <c r="G510" s="9">
        <v>3787007</v>
      </c>
      <c r="H510" s="9" t="str">
        <f t="shared" si="51"/>
        <v>Open</v>
      </c>
      <c r="I510" s="9" t="str">
        <f t="shared" si="52"/>
        <v>No sailing date and No shipping advice sent and No docs dispatch date</v>
      </c>
      <c r="J510" s="9" t="s">
        <v>102</v>
      </c>
      <c r="K510" s="9" t="s">
        <v>1277</v>
      </c>
      <c r="L510" s="11">
        <v>1667</v>
      </c>
      <c r="M510" s="9" t="s">
        <v>1269</v>
      </c>
      <c r="N510" s="9" t="s">
        <v>432</v>
      </c>
      <c r="O510" s="9"/>
      <c r="P510" s="9"/>
      <c r="Q510" s="11">
        <v>48</v>
      </c>
      <c r="R510" s="9" t="s">
        <v>90</v>
      </c>
      <c r="S510" s="9" t="s">
        <v>207</v>
      </c>
      <c r="T510" s="12">
        <f>IF($H510="Cancelled","",IFERROR(((Q510+INDEX(Variables!$B$6:$D$6,IFERROR(MATCH(IF($B510="Robusta","Robusta",(IF($B510="","Arabica",$B510))&amp;" - "&amp;(IF($C510="","Commercial",$C510))),Variables!$B$1:$D$1,0),1)))*22.0462)*(L510/16.67),""))</f>
        <v>746925.25599999994</v>
      </c>
      <c r="U510" s="10">
        <v>46034</v>
      </c>
      <c r="V510" s="9" t="str">
        <f t="shared" si="55"/>
        <v>Sent</v>
      </c>
      <c r="W510" s="10"/>
      <c r="X510" s="9" t="str">
        <f t="shared" si="56"/>
        <v/>
      </c>
      <c r="Y510" s="10"/>
      <c r="Z510" s="10">
        <f>IF($H510="Cancelled","",IFERROR(IF(F510="","",F510-Variables!$B$13),""))</f>
        <v>46066</v>
      </c>
      <c r="AA510" s="11" t="str">
        <f>IF($H510="Cancelled","",IFERROR(IF(W510="","",(AVERAGE(E510:F510)-W510)-Variables!$B$14),""))</f>
        <v/>
      </c>
      <c r="AB510" s="10">
        <v>46073</v>
      </c>
      <c r="AC510" s="11" t="str">
        <f>IF($H510="Cancelled","",IFERROR(IF(AB510="","",IF(AND(W510="",Y510=""),"",IF(Y510&gt;W510,Y510+Variables!$B$15+Variables!$B$16+Variables!$B$17-AB510,W510+Variables!$B$16+Variables!$B$17-AB510))),""))</f>
        <v/>
      </c>
      <c r="AD510" s="9" t="s">
        <v>163</v>
      </c>
      <c r="AE510" s="9"/>
      <c r="AF510" s="10"/>
      <c r="AG510" s="10"/>
      <c r="AH510" s="9"/>
      <c r="AI510" s="9"/>
      <c r="AJ510" s="9"/>
      <c r="AK510" s="10"/>
      <c r="AL510" s="10"/>
      <c r="AM510" s="10"/>
      <c r="AN510" s="9" t="s">
        <v>1276</v>
      </c>
      <c r="AO510" s="9"/>
      <c r="AP510" s="11" t="str">
        <f>IF($H510="Cancelled","",IFERROR(IF(OR(AK510="",AB510=""),"",(AB510+Variables!$B$18-AK510)),""))</f>
        <v/>
      </c>
      <c r="AQ510" s="11" t="str">
        <f>IF($H510="Cancelled","",IFERROR(IF(OR(AM510="",AK510=""),"",(AK510+Variables!$B$19)-AM510),""))</f>
        <v/>
      </c>
      <c r="AR510" s="12" t="str">
        <f>IF($H510="Cancelled","",IFERROR(T510*INDEX(Variables!$B$7:$D$7,IFERROR(MATCH(IF($B510="Robusta","Robusta",(IF($B510="","Arabica",$B510))&amp;" - "&amp;(IF($C510="","Commercial",$C510))),Variables!$B$1:$D$1,0),1))*(AQ510/365),""))</f>
        <v/>
      </c>
      <c r="AS510" s="12" t="str">
        <f>IF($H510="Cancelled","",IFERROR((T510*INDEX(Variables!$B$7:$D$7,IFERROR(MATCH(IF($B510="Robusta","Robusta",(IF($B510="","Arabica",$B510))&amp;" - "&amp;(IF($C510="","Commercial",$C510))),Variables!$B$1:$D$1,0),1))*IFERROR(IF(W510="","",(AVERAGE(E510:F510)-W510)-Variables!$B$14),"")/365)+(L510/16.67*INDEX(Variables!$B$8:$D$8,IFERROR(MATCH(IF($B510="Robusta","Robusta",(IF($B510="","Arabica",$B510))&amp;" - "&amp;(IF($C510="","Commercial",$C510))),Variables!$B$1:$D$1,0),1))*IFERROR(IF(W510="","",(AVERAGE(E510:F510)-W510)-Variables!$B$14),""))+(T510*INDEX(Variables!$B$9:$D$9,IFERROR(MATCH(IF($B510="Robusta","Robusta",(IF($B510="","Arabica",$B510))&amp;" - "&amp;(IF($C510="","Commercial",$C510))),Variables!$B$1:$D$1,0),1))*IFERROR(IF(W510="","",(AVERAGE(E510:F510)-W510)-Variables!$B$14),"")/365),""))</f>
        <v/>
      </c>
      <c r="AT510" s="12" t="str">
        <f>IF($H510="Cancelled","",IFERROR((T510*INDEX(Variables!$B$7:$D$7,IFERROR(MATCH(IF($B510="Robusta","Robusta",(IF($B510="","Arabica",$B510))&amp;" - "&amp;(IF($C510="","Commercial",$C510))),Variables!$B$1:$D$1,0),1))*AC510/365)+(L510/16.67*INDEX(Variables!$B$8:$D$8,IFERROR(MATCH(IF($B510="Robusta","Robusta",(IF($B510="","Arabica",$B510))&amp;" - "&amp;(IF($C510="","Commercial",$C510))),Variables!$B$1:$D$1,0),1))*AC510)+(T510*INDEX(Variables!$B$9:$D$9,IFERROR(MATCH(IF($B510="Robusta","Robusta",(IF($B510="","Arabica",$B510))&amp;" - "&amp;(IF($C510="","Commercial",$C510))),Variables!$B$1:$D$1,0),1))*AC510/365),""))</f>
        <v/>
      </c>
      <c r="AU510" s="12" t="str">
        <f>IF($H510="Cancelled","",IFERROR((T510*INDEX(Variables!$B$7:$D$7,IFERROR(MATCH(IF($B510="Robusta","Robusta",(IF($B510="","Arabica",$B510))&amp;" - "&amp;(IF($C510="","Commercial",$C510))),Variables!$B$1:$D$1,0),1))*AP510/365)+(L510/16.67*INDEX(Variables!$B$8:$D$8,IFERROR(MATCH(IF($B510="Robusta","Robusta",(IF($B510="","Arabica",$B510))&amp;" - "&amp;(IF($C510="","Commercial",$C510))),Variables!$B$1:$D$1,0),1))*AP510)+(T510*INDEX(Variables!$B$9:$D$9,IFERROR(MATCH(IF($B510="Robusta","Robusta",(IF($B510="","Arabica",$B510))&amp;" - "&amp;(IF($C510="","Commercial",$C510))),Variables!$B$1:$D$1,0),1))*AP510/365),""))</f>
        <v/>
      </c>
      <c r="AV510" s="11" t="str">
        <f t="shared" si="53"/>
        <v/>
      </c>
      <c r="AW510" s="12" t="str">
        <f>IF($H510="Cancelled","",IFERROR(IF(AV510="","",(T510*INDEX(Variables!$B$7:$D$7,IFERROR(MATCH(IF($B510="Robusta","Robusta",(IF($B510="","Arabica",$B510))&amp;" - "&amp;(IF($C510="","Commercial",$C510))),Variables!$B$1:$D$1,0),1))*(AV510/365))+(T510*INDEX(Variables!$B$9:$D$9,IFERROR(MATCH(IF($B510="Robusta","Robusta",(IF($B510="","Arabica",$B510))&amp;" - "&amp;(IF($C510="","Commercial",$C510))),Variables!$B$1:$D$1,0),1))*(AV510/365))+(INDEX(Variables!$B$8:$D$8,IFERROR(MATCH(IF($B510="Robusta","Robusta",(IF($B510="","Arabica",$B510))&amp;" - "&amp;(IF($C510="","Commercial",$C510))),Variables!$B$1:$D$1,0),1))*L510/16.67)),""))</f>
        <v/>
      </c>
      <c r="AX510" s="9"/>
      <c r="AY510" s="12"/>
      <c r="AZ510" s="10"/>
      <c r="BA510" s="9"/>
      <c r="BB510" s="10"/>
      <c r="BC510" s="9"/>
      <c r="BD510" s="9"/>
      <c r="BE510" s="9"/>
      <c r="BF510" s="9"/>
    </row>
    <row r="511" spans="1:58" x14ac:dyDescent="0.25">
      <c r="A511" s="9" t="s">
        <v>84</v>
      </c>
      <c r="B511" s="9" t="s">
        <v>85</v>
      </c>
      <c r="C511" s="9" t="s">
        <v>86</v>
      </c>
      <c r="D511" s="10">
        <v>45988</v>
      </c>
      <c r="E511" s="10">
        <v>46054</v>
      </c>
      <c r="F511" s="10">
        <v>46081</v>
      </c>
      <c r="G511" s="9">
        <v>3787007</v>
      </c>
      <c r="H511" s="9" t="str">
        <f t="shared" si="51"/>
        <v>Open</v>
      </c>
      <c r="I511" s="9" t="str">
        <f t="shared" si="52"/>
        <v>No sailing date and No shipping advice sent and No docs dispatch date</v>
      </c>
      <c r="J511" s="9" t="s">
        <v>102</v>
      </c>
      <c r="K511" s="9" t="s">
        <v>1278</v>
      </c>
      <c r="L511" s="11">
        <v>666</v>
      </c>
      <c r="M511" s="9" t="s">
        <v>1269</v>
      </c>
      <c r="N511" s="9" t="s">
        <v>432</v>
      </c>
      <c r="O511" s="9"/>
      <c r="P511" s="9"/>
      <c r="Q511" s="11">
        <v>48</v>
      </c>
      <c r="R511" s="9" t="s">
        <v>90</v>
      </c>
      <c r="S511" s="9" t="s">
        <v>465</v>
      </c>
      <c r="T511" s="12">
        <f>IF($H511="Cancelled","",IFERROR(((Q511+INDEX(Variables!$B$6:$D$6,IFERROR(MATCH(IF($B511="Robusta","Robusta",(IF($B511="","Arabica",$B511))&amp;" - "&amp;(IF($C511="","Commercial",$C511))),Variables!$B$1:$D$1,0),1)))*22.0462)*(L511/16.67),""))</f>
        <v>298411.64996760647</v>
      </c>
      <c r="U511" s="10">
        <v>46034</v>
      </c>
      <c r="V511" s="9" t="str">
        <f t="shared" si="55"/>
        <v>Sent</v>
      </c>
      <c r="W511" s="10"/>
      <c r="X511" s="9" t="str">
        <f t="shared" si="56"/>
        <v/>
      </c>
      <c r="Y511" s="10"/>
      <c r="Z511" s="10">
        <f>IF($H511="Cancelled","",IFERROR(IF(F511="","",F511-Variables!$B$13),""))</f>
        <v>46066</v>
      </c>
      <c r="AA511" s="11" t="str">
        <f>IF($H511="Cancelled","",IFERROR(IF(W511="","",(AVERAGE(E511:F511)-W511)-Variables!$B$14),""))</f>
        <v/>
      </c>
      <c r="AB511" s="10">
        <v>46071</v>
      </c>
      <c r="AC511" s="11" t="str">
        <f>IF($H511="Cancelled","",IFERROR(IF(AB511="","",IF(AND(W511="",Y511=""),"",IF(Y511&gt;W511,Y511+Variables!$B$15+Variables!$B$16+Variables!$B$17-AB511,W511+Variables!$B$16+Variables!$B$17-AB511))),""))</f>
        <v/>
      </c>
      <c r="AD511" s="9" t="s">
        <v>151</v>
      </c>
      <c r="AE511" s="9"/>
      <c r="AF511" s="10"/>
      <c r="AG511" s="10"/>
      <c r="AH511" s="9"/>
      <c r="AI511" s="9"/>
      <c r="AJ511" s="9"/>
      <c r="AK511" s="10"/>
      <c r="AL511" s="10"/>
      <c r="AM511" s="10"/>
      <c r="AN511" s="9" t="s">
        <v>1279</v>
      </c>
      <c r="AO511" s="9"/>
      <c r="AP511" s="11" t="str">
        <f>IF($H511="Cancelled","",IFERROR(IF(OR(AK511="",AB511=""),"",(AB511+Variables!$B$18-AK511)),""))</f>
        <v/>
      </c>
      <c r="AQ511" s="11" t="str">
        <f>IF($H511="Cancelled","",IFERROR(IF(OR(AM511="",AK511=""),"",(AK511+Variables!$B$19)-AM511),""))</f>
        <v/>
      </c>
      <c r="AR511" s="12" t="str">
        <f>IF($H511="Cancelled","",IFERROR(T511*INDEX(Variables!$B$7:$D$7,IFERROR(MATCH(IF($B511="Robusta","Robusta",(IF($B511="","Arabica",$B511))&amp;" - "&amp;(IF($C511="","Commercial",$C511))),Variables!$B$1:$D$1,0),1))*(AQ511/365),""))</f>
        <v/>
      </c>
      <c r="AS511" s="12" t="str">
        <f>IF($H511="Cancelled","",IFERROR((T511*INDEX(Variables!$B$7:$D$7,IFERROR(MATCH(IF($B511="Robusta","Robusta",(IF($B511="","Arabica",$B511))&amp;" - "&amp;(IF($C511="","Commercial",$C511))),Variables!$B$1:$D$1,0),1))*IFERROR(IF(W511="","",(AVERAGE(E511:F511)-W511)-Variables!$B$14),"")/365)+(L511/16.67*INDEX(Variables!$B$8:$D$8,IFERROR(MATCH(IF($B511="Robusta","Robusta",(IF($B511="","Arabica",$B511))&amp;" - "&amp;(IF($C511="","Commercial",$C511))),Variables!$B$1:$D$1,0),1))*IFERROR(IF(W511="","",(AVERAGE(E511:F511)-W511)-Variables!$B$14),""))+(T511*INDEX(Variables!$B$9:$D$9,IFERROR(MATCH(IF($B511="Robusta","Robusta",(IF($B511="","Arabica",$B511))&amp;" - "&amp;(IF($C511="","Commercial",$C511))),Variables!$B$1:$D$1,0),1))*IFERROR(IF(W511="","",(AVERAGE(E511:F511)-W511)-Variables!$B$14),"")/365),""))</f>
        <v/>
      </c>
      <c r="AT511" s="12" t="str">
        <f>IF($H511="Cancelled","",IFERROR((T511*INDEX(Variables!$B$7:$D$7,IFERROR(MATCH(IF($B511="Robusta","Robusta",(IF($B511="","Arabica",$B511))&amp;" - "&amp;(IF($C511="","Commercial",$C511))),Variables!$B$1:$D$1,0),1))*AC511/365)+(L511/16.67*INDEX(Variables!$B$8:$D$8,IFERROR(MATCH(IF($B511="Robusta","Robusta",(IF($B511="","Arabica",$B511))&amp;" - "&amp;(IF($C511="","Commercial",$C511))),Variables!$B$1:$D$1,0),1))*AC511)+(T511*INDEX(Variables!$B$9:$D$9,IFERROR(MATCH(IF($B511="Robusta","Robusta",(IF($B511="","Arabica",$B511))&amp;" - "&amp;(IF($C511="","Commercial",$C511))),Variables!$B$1:$D$1,0),1))*AC511/365),""))</f>
        <v/>
      </c>
      <c r="AU511" s="12" t="str">
        <f>IF($H511="Cancelled","",IFERROR((T511*INDEX(Variables!$B$7:$D$7,IFERROR(MATCH(IF($B511="Robusta","Robusta",(IF($B511="","Arabica",$B511))&amp;" - "&amp;(IF($C511="","Commercial",$C511))),Variables!$B$1:$D$1,0),1))*AP511/365)+(L511/16.67*INDEX(Variables!$B$8:$D$8,IFERROR(MATCH(IF($B511="Robusta","Robusta",(IF($B511="","Arabica",$B511))&amp;" - "&amp;(IF($C511="","Commercial",$C511))),Variables!$B$1:$D$1,0),1))*AP511)+(T511*INDEX(Variables!$B$9:$D$9,IFERROR(MATCH(IF($B511="Robusta","Robusta",(IF($B511="","Arabica",$B511))&amp;" - "&amp;(IF($C511="","Commercial",$C511))),Variables!$B$1:$D$1,0),1))*AP511/365),""))</f>
        <v/>
      </c>
      <c r="AV511" s="11" t="str">
        <f t="shared" si="53"/>
        <v/>
      </c>
      <c r="AW511" s="12" t="str">
        <f>IF($H511="Cancelled","",IFERROR(IF(AV511="","",(T511*INDEX(Variables!$B$7:$D$7,IFERROR(MATCH(IF($B511="Robusta","Robusta",(IF($B511="","Arabica",$B511))&amp;" - "&amp;(IF($C511="","Commercial",$C511))),Variables!$B$1:$D$1,0),1))*(AV511/365))+(T511*INDEX(Variables!$B$9:$D$9,IFERROR(MATCH(IF($B511="Robusta","Robusta",(IF($B511="","Arabica",$B511))&amp;" - "&amp;(IF($C511="","Commercial",$C511))),Variables!$B$1:$D$1,0),1))*(AV511/365))+(INDEX(Variables!$B$8:$D$8,IFERROR(MATCH(IF($B511="Robusta","Robusta",(IF($B511="","Arabica",$B511))&amp;" - "&amp;(IF($C511="","Commercial",$C511))),Variables!$B$1:$D$1,0),1))*L511/16.67)),""))</f>
        <v/>
      </c>
      <c r="AX511" s="9"/>
      <c r="AY511" s="12"/>
      <c r="AZ511" s="10"/>
      <c r="BA511" s="9"/>
      <c r="BB511" s="10"/>
      <c r="BC511" s="9"/>
      <c r="BD511" s="9"/>
      <c r="BE511" s="9"/>
      <c r="BF511" s="9"/>
    </row>
    <row r="512" spans="1:58" x14ac:dyDescent="0.25">
      <c r="A512" s="9" t="s">
        <v>84</v>
      </c>
      <c r="B512" s="9" t="s">
        <v>85</v>
      </c>
      <c r="C512" s="9" t="s">
        <v>86</v>
      </c>
      <c r="D512" s="10">
        <v>45980</v>
      </c>
      <c r="E512" s="10">
        <v>46082</v>
      </c>
      <c r="F512" s="10">
        <v>46112</v>
      </c>
      <c r="G512" s="9">
        <v>3786994</v>
      </c>
      <c r="H512" s="9" t="str">
        <f t="shared" si="51"/>
        <v>Open</v>
      </c>
      <c r="I512" s="9" t="str">
        <f t="shared" si="52"/>
        <v>No docs dispatch date</v>
      </c>
      <c r="J512" s="9" t="s">
        <v>102</v>
      </c>
      <c r="K512" s="9" t="s">
        <v>1280</v>
      </c>
      <c r="L512" s="11">
        <v>333</v>
      </c>
      <c r="M512" s="9" t="s">
        <v>1212</v>
      </c>
      <c r="N512" s="9" t="s">
        <v>432</v>
      </c>
      <c r="O512" s="9"/>
      <c r="P512" s="9"/>
      <c r="Q512" s="11">
        <v>53</v>
      </c>
      <c r="R512" s="9" t="s">
        <v>90</v>
      </c>
      <c r="S512" s="9" t="s">
        <v>759</v>
      </c>
      <c r="T512" s="12">
        <f>IF($H512="Cancelled","",IFERROR(((Q512+INDEX(Variables!$B$6:$D$6,IFERROR(MATCH(IF($B512="Robusta","Robusta",(IF($B512="","Arabica",$B512))&amp;" - "&amp;(IF($C512="","Commercial",$C512))),Variables!$B$1:$D$1,0),1)))*22.0462)*(L512/16.67),""))</f>
        <v>151407.79996880621</v>
      </c>
      <c r="U512" s="10">
        <v>46051</v>
      </c>
      <c r="V512" s="9" t="str">
        <f t="shared" si="55"/>
        <v>Sent</v>
      </c>
      <c r="W512" s="10">
        <v>46058</v>
      </c>
      <c r="X512" s="9" t="str">
        <f t="shared" si="56"/>
        <v>Approved</v>
      </c>
      <c r="Y512" s="10"/>
      <c r="Z512" s="10">
        <f>IF($H512="Cancelled","",IFERROR(IF(F512="","",F512-Variables!$B$13),""))</f>
        <v>46097</v>
      </c>
      <c r="AA512" s="11">
        <f>IF($H512="Cancelled","",IFERROR(IF(W512="","",(AVERAGE(E512:F512)-W512)-Variables!$B$14),""))</f>
        <v>9</v>
      </c>
      <c r="AB512" s="10">
        <v>46086</v>
      </c>
      <c r="AC512" s="11">
        <f>IF($H512="Cancelled","",IFERROR(IF(AB512="","",IF(AND(W512="",Y512=""),"",IF(Y512&gt;W512,Y512+Variables!$B$15+Variables!$B$16+Variables!$B$17-AB512,W512+Variables!$B$16+Variables!$B$17-AB512))),""))</f>
        <v>-20</v>
      </c>
      <c r="AD512" s="9" t="s">
        <v>163</v>
      </c>
      <c r="AE512" s="9" t="s">
        <v>1281</v>
      </c>
      <c r="AF512" s="10">
        <v>46145</v>
      </c>
      <c r="AG512" s="10"/>
      <c r="AH512" s="9"/>
      <c r="AI512" s="9">
        <v>266896517</v>
      </c>
      <c r="AJ512" s="9"/>
      <c r="AK512" s="10">
        <v>46098</v>
      </c>
      <c r="AL512" s="10">
        <v>46108</v>
      </c>
      <c r="AM512" s="10"/>
      <c r="AN512" s="9" t="s">
        <v>1282</v>
      </c>
      <c r="AO512" s="9"/>
      <c r="AP512" s="11">
        <f>IF($H512="Cancelled","",IFERROR(IF(OR(AK512="",AB512=""),"",(AB512+Variables!$B$18-AK512)),""))</f>
        <v>-5</v>
      </c>
      <c r="AQ512" s="11" t="str">
        <f>IF($H512="Cancelled","",IFERROR(IF(OR(AM512="",AK512=""),"",(AK512+Variables!$B$19)-AM512),""))</f>
        <v/>
      </c>
      <c r="AR512" s="12" t="str">
        <f>IF($H512="Cancelled","",IFERROR(T512*INDEX(Variables!$B$7:$D$7,IFERROR(MATCH(IF($B512="Robusta","Robusta",(IF($B512="","Arabica",$B512))&amp;" - "&amp;(IF($C512="","Commercial",$C512))),Variables!$B$1:$D$1,0),1))*(AQ512/365),""))</f>
        <v/>
      </c>
      <c r="AS512" s="12">
        <f>IF($H512="Cancelled","",IFERROR((T512*INDEX(Variables!$B$7:$D$7,IFERROR(MATCH(IF($B512="Robusta","Robusta",(IF($B512="","Arabica",$B512))&amp;" - "&amp;(IF($C512="","Commercial",$C512))),Variables!$B$1:$D$1,0),1))*IFERROR(IF(W512="","",(AVERAGE(E512:F512)-W512)-Variables!$B$14),"")/365)+(L512/16.67*INDEX(Variables!$B$8:$D$8,IFERROR(MATCH(IF($B512="Robusta","Robusta",(IF($B512="","Arabica",$B512))&amp;" - "&amp;(IF($C512="","Commercial",$C512))),Variables!$B$1:$D$1,0),1))*IFERROR(IF(W512="","",(AVERAGE(E512:F512)-W512)-Variables!$B$14),""))+(T512*INDEX(Variables!$B$9:$D$9,IFERROR(MATCH(IF($B512="Robusta","Robusta",(IF($B512="","Arabica",$B512))&amp;" - "&amp;(IF($C512="","Commercial",$C512))),Variables!$B$1:$D$1,0),1))*IFERROR(IF(W512="","",(AVERAGE(E512:F512)-W512)-Variables!$B$14),"")/365),""))</f>
        <v>393.68769887496882</v>
      </c>
      <c r="AT512" s="12">
        <f>IF($H512="Cancelled","",IFERROR((T512*INDEX(Variables!$B$7:$D$7,IFERROR(MATCH(IF($B512="Robusta","Robusta",(IF($B512="","Arabica",$B512))&amp;" - "&amp;(IF($C512="","Commercial",$C512))),Variables!$B$1:$D$1,0),1))*AC512/365)+(L512/16.67*INDEX(Variables!$B$8:$D$8,IFERROR(MATCH(IF($B512="Robusta","Robusta",(IF($B512="","Arabica",$B512))&amp;" - "&amp;(IF($C512="","Commercial",$C512))),Variables!$B$1:$D$1,0),1))*AC512)+(T512*INDEX(Variables!$B$9:$D$9,IFERROR(MATCH(IF($B512="Robusta","Robusta",(IF($B512="","Arabica",$B512))&amp;" - "&amp;(IF($C512="","Commercial",$C512))),Variables!$B$1:$D$1,0),1))*AC512/365),""))</f>
        <v>-874.86155305548641</v>
      </c>
      <c r="AU512" s="12">
        <f>IF($H512="Cancelled","",IFERROR((T512*INDEX(Variables!$B$7:$D$7,IFERROR(MATCH(IF($B512="Robusta","Robusta",(IF($B512="","Arabica",$B512))&amp;" - "&amp;(IF($C512="","Commercial",$C512))),Variables!$B$1:$D$1,0),1))*AP512/365)+(L512/16.67*INDEX(Variables!$B$8:$D$8,IFERROR(MATCH(IF($B512="Robusta","Robusta",(IF($B512="","Arabica",$B512))&amp;" - "&amp;(IF($C512="","Commercial",$C512))),Variables!$B$1:$D$1,0),1))*AP512)+(T512*INDEX(Variables!$B$9:$D$9,IFERROR(MATCH(IF($B512="Robusta","Robusta",(IF($B512="","Arabica",$B512))&amp;" - "&amp;(IF($C512="","Commercial",$C512))),Variables!$B$1:$D$1,0),1))*AP512/365),""))</f>
        <v>-218.7153882638716</v>
      </c>
      <c r="AV512" s="11">
        <f t="shared" si="53"/>
        <v>14</v>
      </c>
      <c r="AW512" s="12">
        <f>IF($H512="Cancelled","",IFERROR(IF(AV512="","",(T512*INDEX(Variables!$B$7:$D$7,IFERROR(MATCH(IF($B512="Robusta","Robusta",(IF($B512="","Arabica",$B512))&amp;" - "&amp;(IF($C512="","Commercial",$C512))),Variables!$B$1:$D$1,0),1))*(AV512/365))+(T512*INDEX(Variables!$B$9:$D$9,IFERROR(MATCH(IF($B512="Robusta","Robusta",(IF($B512="","Arabica",$B512))&amp;" - "&amp;(IF($C512="","Commercial",$C512))),Variables!$B$1:$D$1,0),1))*(AV512/365))+(INDEX(Variables!$B$8:$D$8,IFERROR(MATCH(IF($B512="Robusta","Robusta",(IF($B512="","Arabica",$B512))&amp;" - "&amp;(IF($C512="","Commercial",$C512))),Variables!$B$1:$D$1,0),1))*L512/16.67)),""))</f>
        <v>395.95308713884037</v>
      </c>
      <c r="AX512" s="9"/>
      <c r="AY512" s="12"/>
      <c r="AZ512" s="10"/>
      <c r="BA512" s="9"/>
      <c r="BB512" s="10"/>
      <c r="BC512" s="9"/>
      <c r="BD512" s="9"/>
      <c r="BE512" s="9"/>
      <c r="BF512" s="9"/>
    </row>
    <row r="513" spans="1:58" x14ac:dyDescent="0.25">
      <c r="A513" s="9" t="s">
        <v>84</v>
      </c>
      <c r="B513" s="9" t="s">
        <v>85</v>
      </c>
      <c r="C513" s="9" t="s">
        <v>86</v>
      </c>
      <c r="D513" s="10">
        <v>45980</v>
      </c>
      <c r="E513" s="10">
        <v>46082</v>
      </c>
      <c r="F513" s="10">
        <v>46112</v>
      </c>
      <c r="G513" s="9">
        <v>3786994</v>
      </c>
      <c r="H513" s="9" t="str">
        <f t="shared" si="51"/>
        <v>Open</v>
      </c>
      <c r="I513" s="9" t="str">
        <f t="shared" si="52"/>
        <v>No docs dispatch date</v>
      </c>
      <c r="J513" s="9" t="s">
        <v>102</v>
      </c>
      <c r="K513" s="9" t="s">
        <v>1283</v>
      </c>
      <c r="L513" s="11">
        <v>333</v>
      </c>
      <c r="M513" s="9" t="s">
        <v>1212</v>
      </c>
      <c r="N513" s="9" t="s">
        <v>432</v>
      </c>
      <c r="O513" s="9"/>
      <c r="P513" s="9"/>
      <c r="Q513" s="11">
        <v>53</v>
      </c>
      <c r="R513" s="9" t="s">
        <v>90</v>
      </c>
      <c r="S513" s="9" t="s">
        <v>462</v>
      </c>
      <c r="T513" s="12">
        <f>IF($H513="Cancelled","",IFERROR(((Q513+INDEX(Variables!$B$6:$D$6,IFERROR(MATCH(IF($B513="Robusta","Robusta",(IF($B513="","Arabica",$B513))&amp;" - "&amp;(IF($C513="","Commercial",$C513))),Variables!$B$1:$D$1,0),1)))*22.0462)*(L513/16.67),""))</f>
        <v>151407.79996880621</v>
      </c>
      <c r="U513" s="10">
        <v>46051</v>
      </c>
      <c r="V513" s="9" t="str">
        <f t="shared" si="55"/>
        <v>Sent</v>
      </c>
      <c r="W513" s="10">
        <v>46058</v>
      </c>
      <c r="X513" s="9" t="str">
        <f t="shared" si="56"/>
        <v>Approved</v>
      </c>
      <c r="Y513" s="10"/>
      <c r="Z513" s="10">
        <f>IF($H513="Cancelled","",IFERROR(IF(F513="","",F513-Variables!$B$13),""))</f>
        <v>46097</v>
      </c>
      <c r="AA513" s="11">
        <f>IF($H513="Cancelled","",IFERROR(IF(W513="","",(AVERAGE(E513:F513)-W513)-Variables!$B$14),""))</f>
        <v>9</v>
      </c>
      <c r="AB513" s="10">
        <v>46085</v>
      </c>
      <c r="AC513" s="11">
        <f>IF($H513="Cancelled","",IFERROR(IF(AB513="","",IF(AND(W513="",Y513=""),"",IF(Y513&gt;W513,Y513+Variables!$B$15+Variables!$B$16+Variables!$B$17-AB513,W513+Variables!$B$16+Variables!$B$17-AB513))),""))</f>
        <v>-19</v>
      </c>
      <c r="AD513" s="9" t="s">
        <v>151</v>
      </c>
      <c r="AE513" s="9" t="s">
        <v>1284</v>
      </c>
      <c r="AF513" s="10" t="s">
        <v>1285</v>
      </c>
      <c r="AG513" s="10"/>
      <c r="AH513" s="9"/>
      <c r="AI513" s="9" t="s">
        <v>1286</v>
      </c>
      <c r="AJ513" s="9"/>
      <c r="AK513" s="10">
        <v>46104</v>
      </c>
      <c r="AL513" s="10">
        <v>46108</v>
      </c>
      <c r="AM513" s="10"/>
      <c r="AN513" s="9" t="s">
        <v>1282</v>
      </c>
      <c r="AO513" s="9"/>
      <c r="AP513" s="11">
        <f>IF($H513="Cancelled","",IFERROR(IF(OR(AK513="",AB513=""),"",(AB513+Variables!$B$18-AK513)),""))</f>
        <v>-12</v>
      </c>
      <c r="AQ513" s="11" t="str">
        <f>IF($H513="Cancelled","",IFERROR(IF(OR(AM513="",AK513=""),"",(AK513+Variables!$B$19)-AM513),""))</f>
        <v/>
      </c>
      <c r="AR513" s="12" t="str">
        <f>IF($H513="Cancelled","",IFERROR(T513*INDEX(Variables!$B$7:$D$7,IFERROR(MATCH(IF($B513="Robusta","Robusta",(IF($B513="","Arabica",$B513))&amp;" - "&amp;(IF($C513="","Commercial",$C513))),Variables!$B$1:$D$1,0),1))*(AQ513/365),""))</f>
        <v/>
      </c>
      <c r="AS513" s="12">
        <f>IF($H513="Cancelled","",IFERROR((T513*INDEX(Variables!$B$7:$D$7,IFERROR(MATCH(IF($B513="Robusta","Robusta",(IF($B513="","Arabica",$B513))&amp;" - "&amp;(IF($C513="","Commercial",$C513))),Variables!$B$1:$D$1,0),1))*IFERROR(IF(W513="","",(AVERAGE(E513:F513)-W513)-Variables!$B$14),"")/365)+(L513/16.67*INDEX(Variables!$B$8:$D$8,IFERROR(MATCH(IF($B513="Robusta","Robusta",(IF($B513="","Arabica",$B513))&amp;" - "&amp;(IF($C513="","Commercial",$C513))),Variables!$B$1:$D$1,0),1))*IFERROR(IF(W513="","",(AVERAGE(E513:F513)-W513)-Variables!$B$14),""))+(T513*INDEX(Variables!$B$9:$D$9,IFERROR(MATCH(IF($B513="Robusta","Robusta",(IF($B513="","Arabica",$B513))&amp;" - "&amp;(IF($C513="","Commercial",$C513))),Variables!$B$1:$D$1,0),1))*IFERROR(IF(W513="","",(AVERAGE(E513:F513)-W513)-Variables!$B$14),"")/365),""))</f>
        <v>393.68769887496882</v>
      </c>
      <c r="AT513" s="12">
        <f>IF($H513="Cancelled","",IFERROR((T513*INDEX(Variables!$B$7:$D$7,IFERROR(MATCH(IF($B513="Robusta","Robusta",(IF($B513="","Arabica",$B513))&amp;" - "&amp;(IF($C513="","Commercial",$C513))),Variables!$B$1:$D$1,0),1))*AC513/365)+(L513/16.67*INDEX(Variables!$B$8:$D$8,IFERROR(MATCH(IF($B513="Robusta","Robusta",(IF($B513="","Arabica",$B513))&amp;" - "&amp;(IF($C513="","Commercial",$C513))),Variables!$B$1:$D$1,0),1))*AC513)+(T513*INDEX(Variables!$B$9:$D$9,IFERROR(MATCH(IF($B513="Robusta","Robusta",(IF($B513="","Arabica",$B513))&amp;" - "&amp;(IF($C513="","Commercial",$C513))),Variables!$B$1:$D$1,0),1))*AC513/365),""))</f>
        <v>-831.11847540271197</v>
      </c>
      <c r="AU513" s="12">
        <f>IF($H513="Cancelled","",IFERROR((T513*INDEX(Variables!$B$7:$D$7,IFERROR(MATCH(IF($B513="Robusta","Robusta",(IF($B513="","Arabica",$B513))&amp;" - "&amp;(IF($C513="","Commercial",$C513))),Variables!$B$1:$D$1,0),1))*AP513/365)+(L513/16.67*INDEX(Variables!$B$8:$D$8,IFERROR(MATCH(IF($B513="Robusta","Robusta",(IF($B513="","Arabica",$B513))&amp;" - "&amp;(IF($C513="","Commercial",$C513))),Variables!$B$1:$D$1,0),1))*AP513)+(T513*INDEX(Variables!$B$9:$D$9,IFERROR(MATCH(IF($B513="Robusta","Robusta",(IF($B513="","Arabica",$B513))&amp;" - "&amp;(IF($C513="","Commercial",$C513))),Variables!$B$1:$D$1,0),1))*AP513/365),""))</f>
        <v>-524.91693183329176</v>
      </c>
      <c r="AV513" s="11">
        <f t="shared" si="53"/>
        <v>8</v>
      </c>
      <c r="AW513" s="12">
        <f>IF($H513="Cancelled","",IFERROR(IF(AV513="","",(T513*INDEX(Variables!$B$7:$D$7,IFERROR(MATCH(IF($B513="Robusta","Robusta",(IF($B513="","Arabica",$B513))&amp;" - "&amp;(IF($C513="","Commercial",$C513))),Variables!$B$1:$D$1,0),1))*(AV513/365))+(T513*INDEX(Variables!$B$9:$D$9,IFERROR(MATCH(IF($B513="Robusta","Robusta",(IF($B513="","Arabica",$B513))&amp;" - "&amp;(IF($C513="","Commercial",$C513))),Variables!$B$1:$D$1,0),1))*(AV513/365))+(INDEX(Variables!$B$8:$D$8,IFERROR(MATCH(IF($B513="Robusta","Robusta",(IF($B513="","Arabica",$B513))&amp;" - "&amp;(IF($C513="","Commercial",$C513))),Variables!$B$1:$D$1,0),1))*L513/16.67)),""))</f>
        <v>233.39462122219453</v>
      </c>
      <c r="AX513" s="9"/>
      <c r="AY513" s="12"/>
      <c r="AZ513" s="10"/>
      <c r="BA513" s="9"/>
      <c r="BB513" s="10"/>
      <c r="BC513" s="9"/>
      <c r="BD513" s="9"/>
      <c r="BE513" s="9"/>
      <c r="BF513" s="9"/>
    </row>
    <row r="514" spans="1:58" x14ac:dyDescent="0.25">
      <c r="A514" s="9" t="s">
        <v>84</v>
      </c>
      <c r="B514" s="9" t="s">
        <v>85</v>
      </c>
      <c r="C514" s="9" t="s">
        <v>86</v>
      </c>
      <c r="D514" s="10">
        <v>45980</v>
      </c>
      <c r="E514" s="10">
        <v>46082</v>
      </c>
      <c r="F514" s="10">
        <v>46112</v>
      </c>
      <c r="G514" s="9">
        <v>3786994</v>
      </c>
      <c r="H514" s="9" t="str">
        <f t="shared" ref="H514:H577" si="57">IF(ISNUMBER(SEARCH("cancel",AN514)),"Cancelled",IF(AND(AK514&lt;&gt;"",AL514&lt;&gt;"",AM514&lt;&gt;""),"Closed","Open"))</f>
        <v>Open</v>
      </c>
      <c r="I514" s="9" t="str">
        <f t="shared" ref="I514:I577" si="58">IF(AND(AK514&lt;&gt;"",AL514&lt;&gt;"",AM514&lt;&gt;""),"All dates received",_xlfn.TEXTJOIN(" and ",TRUE(),IF(AK514="","No sailing date",""),IF(AL514="","No shipping advice sent",""),IF(AM514="","No docs dispatch date","")))</f>
        <v>No docs dispatch date</v>
      </c>
      <c r="J514" s="9" t="s">
        <v>102</v>
      </c>
      <c r="K514" s="9" t="s">
        <v>1287</v>
      </c>
      <c r="L514" s="11">
        <v>333</v>
      </c>
      <c r="M514" s="9" t="s">
        <v>1212</v>
      </c>
      <c r="N514" s="9" t="s">
        <v>432</v>
      </c>
      <c r="O514" s="9"/>
      <c r="P514" s="9"/>
      <c r="Q514" s="11">
        <v>53</v>
      </c>
      <c r="R514" s="9" t="s">
        <v>90</v>
      </c>
      <c r="S514" s="9" t="s">
        <v>753</v>
      </c>
      <c r="T514" s="12">
        <f>IF($H514="Cancelled","",IFERROR(((Q514+INDEX(Variables!$B$6:$D$6,IFERROR(MATCH(IF($B514="Robusta","Robusta",(IF($B514="","Arabica",$B514))&amp;" - "&amp;(IF($C514="","Commercial",$C514))),Variables!$B$1:$D$1,0),1)))*22.0462)*(L514/16.67),""))</f>
        <v>151407.79996880621</v>
      </c>
      <c r="U514" s="10">
        <v>46051</v>
      </c>
      <c r="V514" s="9" t="str">
        <f t="shared" si="55"/>
        <v>Sent</v>
      </c>
      <c r="W514" s="10">
        <v>46058</v>
      </c>
      <c r="X514" s="9" t="str">
        <f t="shared" si="56"/>
        <v>Approved</v>
      </c>
      <c r="Y514" s="10"/>
      <c r="Z514" s="10">
        <f>IF($H514="Cancelled","",IFERROR(IF(F514="","",F514-Variables!$B$13),""))</f>
        <v>46097</v>
      </c>
      <c r="AA514" s="11">
        <f>IF($H514="Cancelled","",IFERROR(IF(W514="","",(AVERAGE(E514:F514)-W514)-Variables!$B$14),""))</f>
        <v>9</v>
      </c>
      <c r="AB514" s="10">
        <v>46086</v>
      </c>
      <c r="AC514" s="11">
        <f>IF($H514="Cancelled","",IFERROR(IF(AB514="","",IF(AND(W514="",Y514=""),"",IF(Y514&gt;W514,Y514+Variables!$B$15+Variables!$B$16+Variables!$B$17-AB514,W514+Variables!$B$16+Variables!$B$17-AB514))),""))</f>
        <v>-20</v>
      </c>
      <c r="AD514" s="9" t="s">
        <v>163</v>
      </c>
      <c r="AE514" s="9" t="s">
        <v>1288</v>
      </c>
      <c r="AF514" s="10">
        <v>46129</v>
      </c>
      <c r="AG514" s="10"/>
      <c r="AH514" s="9"/>
      <c r="AI514" s="9">
        <v>266895568</v>
      </c>
      <c r="AJ514" s="9"/>
      <c r="AK514" s="10">
        <v>46095</v>
      </c>
      <c r="AL514" s="10">
        <v>46108</v>
      </c>
      <c r="AM514" s="10"/>
      <c r="AN514" s="9" t="s">
        <v>1282</v>
      </c>
      <c r="AO514" s="9"/>
      <c r="AP514" s="11">
        <f>IF($H514="Cancelled","",IFERROR(IF(OR(AK514="",AB514=""),"",(AB514+Variables!$B$18-AK514)),""))</f>
        <v>-2</v>
      </c>
      <c r="AQ514" s="11" t="str">
        <f>IF($H514="Cancelled","",IFERROR(IF(OR(AM514="",AK514=""),"",(AK514+Variables!$B$19)-AM514),""))</f>
        <v/>
      </c>
      <c r="AR514" s="12" t="str">
        <f>IF($H514="Cancelled","",IFERROR(T514*INDEX(Variables!$B$7:$D$7,IFERROR(MATCH(IF($B514="Robusta","Robusta",(IF($B514="","Arabica",$B514))&amp;" - "&amp;(IF($C514="","Commercial",$C514))),Variables!$B$1:$D$1,0),1))*(AQ514/365),""))</f>
        <v/>
      </c>
      <c r="AS514" s="12">
        <f>IF($H514="Cancelled","",IFERROR((T514*INDEX(Variables!$B$7:$D$7,IFERROR(MATCH(IF($B514="Robusta","Robusta",(IF($B514="","Arabica",$B514))&amp;" - "&amp;(IF($C514="","Commercial",$C514))),Variables!$B$1:$D$1,0),1))*IFERROR(IF(W514="","",(AVERAGE(E514:F514)-W514)-Variables!$B$14),"")/365)+(L514/16.67*INDEX(Variables!$B$8:$D$8,IFERROR(MATCH(IF($B514="Robusta","Robusta",(IF($B514="","Arabica",$B514))&amp;" - "&amp;(IF($C514="","Commercial",$C514))),Variables!$B$1:$D$1,0),1))*IFERROR(IF(W514="","",(AVERAGE(E514:F514)-W514)-Variables!$B$14),""))+(T514*INDEX(Variables!$B$9:$D$9,IFERROR(MATCH(IF($B514="Robusta","Robusta",(IF($B514="","Arabica",$B514))&amp;" - "&amp;(IF($C514="","Commercial",$C514))),Variables!$B$1:$D$1,0),1))*IFERROR(IF(W514="","",(AVERAGE(E514:F514)-W514)-Variables!$B$14),"")/365),""))</f>
        <v>393.68769887496882</v>
      </c>
      <c r="AT514" s="12">
        <f>IF($H514="Cancelled","",IFERROR((T514*INDEX(Variables!$B$7:$D$7,IFERROR(MATCH(IF($B514="Robusta","Robusta",(IF($B514="","Arabica",$B514))&amp;" - "&amp;(IF($C514="","Commercial",$C514))),Variables!$B$1:$D$1,0),1))*AC514/365)+(L514/16.67*INDEX(Variables!$B$8:$D$8,IFERROR(MATCH(IF($B514="Robusta","Robusta",(IF($B514="","Arabica",$B514))&amp;" - "&amp;(IF($C514="","Commercial",$C514))),Variables!$B$1:$D$1,0),1))*AC514)+(T514*INDEX(Variables!$B$9:$D$9,IFERROR(MATCH(IF($B514="Robusta","Robusta",(IF($B514="","Arabica",$B514))&amp;" - "&amp;(IF($C514="","Commercial",$C514))),Variables!$B$1:$D$1,0),1))*AC514/365),""))</f>
        <v>-874.86155305548641</v>
      </c>
      <c r="AU514" s="12">
        <f>IF($H514="Cancelled","",IFERROR((T514*INDEX(Variables!$B$7:$D$7,IFERROR(MATCH(IF($B514="Robusta","Robusta",(IF($B514="","Arabica",$B514))&amp;" - "&amp;(IF($C514="","Commercial",$C514))),Variables!$B$1:$D$1,0),1))*AP514/365)+(L514/16.67*INDEX(Variables!$B$8:$D$8,IFERROR(MATCH(IF($B514="Robusta","Robusta",(IF($B514="","Arabica",$B514))&amp;" - "&amp;(IF($C514="","Commercial",$C514))),Variables!$B$1:$D$1,0),1))*AP514)+(T514*INDEX(Variables!$B$9:$D$9,IFERROR(MATCH(IF($B514="Robusta","Robusta",(IF($B514="","Arabica",$B514))&amp;" - "&amp;(IF($C514="","Commercial",$C514))),Variables!$B$1:$D$1,0),1))*AP514/365),""))</f>
        <v>-87.486155305548621</v>
      </c>
      <c r="AV514" s="11">
        <f t="shared" ref="AV514:AV577" si="59">IF($H514="Cancelled","",IFERROR(IF(AK514="","",F514-AK514),""))</f>
        <v>17</v>
      </c>
      <c r="AW514" s="12">
        <f>IF($H514="Cancelled","",IFERROR(IF(AV514="","",(T514*INDEX(Variables!$B$7:$D$7,IFERROR(MATCH(IF($B514="Robusta","Robusta",(IF($B514="","Arabica",$B514))&amp;" - "&amp;(IF($C514="","Commercial",$C514))),Variables!$B$1:$D$1,0),1))*(AV514/365))+(T514*INDEX(Variables!$B$9:$D$9,IFERROR(MATCH(IF($B514="Robusta","Robusta",(IF($B514="","Arabica",$B514))&amp;" - "&amp;(IF($C514="","Commercial",$C514))),Variables!$B$1:$D$1,0),1))*(AV514/365))+(INDEX(Variables!$B$8:$D$8,IFERROR(MATCH(IF($B514="Robusta","Robusta",(IF($B514="","Arabica",$B514))&amp;" - "&amp;(IF($C514="","Commercial",$C514))),Variables!$B$1:$D$1,0),1))*L514/16.67)),""))</f>
        <v>477.23232009716332</v>
      </c>
      <c r="AX514" s="9"/>
      <c r="AY514" s="12"/>
      <c r="AZ514" s="10"/>
      <c r="BA514" s="9"/>
      <c r="BB514" s="10"/>
      <c r="BC514" s="9"/>
      <c r="BD514" s="9"/>
      <c r="BE514" s="9"/>
      <c r="BF514" s="9"/>
    </row>
    <row r="515" spans="1:58" x14ac:dyDescent="0.25">
      <c r="A515" s="9" t="s">
        <v>84</v>
      </c>
      <c r="B515" s="9" t="s">
        <v>85</v>
      </c>
      <c r="C515" s="9" t="s">
        <v>86</v>
      </c>
      <c r="D515" s="10">
        <v>45980</v>
      </c>
      <c r="E515" s="10">
        <v>46082</v>
      </c>
      <c r="F515" s="10">
        <v>46112</v>
      </c>
      <c r="G515" s="9">
        <v>3786994</v>
      </c>
      <c r="H515" s="9" t="str">
        <f t="shared" si="57"/>
        <v>Open</v>
      </c>
      <c r="I515" s="9" t="str">
        <f t="shared" si="58"/>
        <v>No docs dispatch date</v>
      </c>
      <c r="J515" s="9" t="s">
        <v>102</v>
      </c>
      <c r="K515" s="9" t="s">
        <v>1289</v>
      </c>
      <c r="L515" s="11">
        <v>334</v>
      </c>
      <c r="M515" s="9" t="s">
        <v>1212</v>
      </c>
      <c r="N515" s="9" t="s">
        <v>432</v>
      </c>
      <c r="O515" s="9"/>
      <c r="P515" s="9"/>
      <c r="Q515" s="11">
        <v>53</v>
      </c>
      <c r="R515" s="9" t="s">
        <v>90</v>
      </c>
      <c r="S515" s="9" t="s">
        <v>465</v>
      </c>
      <c r="T515" s="12">
        <f>IF($H515="Cancelled","",IFERROR(((Q515+INDEX(Variables!$B$6:$D$6,IFERROR(MATCH(IF($B515="Robusta","Robusta",(IF($B515="","Arabica",$B515))&amp;" - "&amp;(IF($C515="","Commercial",$C515))),Variables!$B$1:$D$1,0),1)))*22.0462)*(L515/16.67),""))</f>
        <v>151862.47804679064</v>
      </c>
      <c r="U515" s="10">
        <v>46051</v>
      </c>
      <c r="V515" s="9" t="str">
        <f t="shared" si="55"/>
        <v>Sent</v>
      </c>
      <c r="W515" s="10">
        <v>46058</v>
      </c>
      <c r="X515" s="9" t="str">
        <f t="shared" si="56"/>
        <v>Approved</v>
      </c>
      <c r="Y515" s="10"/>
      <c r="Z515" s="10">
        <f>IF($H515="Cancelled","",IFERROR(IF(F515="","",F515-Variables!$B$13),""))</f>
        <v>46097</v>
      </c>
      <c r="AA515" s="11">
        <f>IF($H515="Cancelled","",IFERROR(IF(W515="","",(AVERAGE(E515:F515)-W515)-Variables!$B$14),""))</f>
        <v>9</v>
      </c>
      <c r="AB515" s="10">
        <v>46086</v>
      </c>
      <c r="AC515" s="11">
        <f>IF($H515="Cancelled","",IFERROR(IF(AB515="","",IF(AND(W515="",Y515=""),"",IF(Y515&gt;W515,Y515+Variables!$B$15+Variables!$B$16+Variables!$B$17-AB515,W515+Variables!$B$16+Variables!$B$17-AB515))),""))</f>
        <v>-20</v>
      </c>
      <c r="AD515" s="9" t="s">
        <v>163</v>
      </c>
      <c r="AE515" s="9" t="s">
        <v>1288</v>
      </c>
      <c r="AF515" s="10"/>
      <c r="AG515" s="10"/>
      <c r="AH515" s="9"/>
      <c r="AI515" s="9" t="s">
        <v>1290</v>
      </c>
      <c r="AJ515" s="9"/>
      <c r="AK515" s="10">
        <v>46094</v>
      </c>
      <c r="AL515" s="10">
        <v>46108</v>
      </c>
      <c r="AM515" s="10"/>
      <c r="AN515" s="9" t="s">
        <v>1282</v>
      </c>
      <c r="AO515" s="9"/>
      <c r="AP515" s="11">
        <f>IF($H515="Cancelled","",IFERROR(IF(OR(AK515="",AB515=""),"",(AB515+Variables!$B$18-AK515)),""))</f>
        <v>-1</v>
      </c>
      <c r="AQ515" s="11" t="str">
        <f>IF($H515="Cancelled","",IFERROR(IF(OR(AM515="",AK515=""),"",(AK515+Variables!$B$19)-AM515),""))</f>
        <v/>
      </c>
      <c r="AR515" s="12" t="str">
        <f>IF($H515="Cancelled","",IFERROR(T515*INDEX(Variables!$B$7:$D$7,IFERROR(MATCH(IF($B515="Robusta","Robusta",(IF($B515="","Arabica",$B515))&amp;" - "&amp;(IF($C515="","Commercial",$C515))),Variables!$B$1:$D$1,0),1))*(AQ515/365),""))</f>
        <v/>
      </c>
      <c r="AS515" s="12">
        <f>IF($H515="Cancelled","",IFERROR((T515*INDEX(Variables!$B$7:$D$7,IFERROR(MATCH(IF($B515="Robusta","Robusta",(IF($B515="","Arabica",$B515))&amp;" - "&amp;(IF($C515="","Commercial",$C515))),Variables!$B$1:$D$1,0),1))*IFERROR(IF(W515="","",(AVERAGE(E515:F515)-W515)-Variables!$B$14),"")/365)+(L515/16.67*INDEX(Variables!$B$8:$D$8,IFERROR(MATCH(IF($B515="Robusta","Robusta",(IF($B515="","Arabica",$B515))&amp;" - "&amp;(IF($C515="","Commercial",$C515))),Variables!$B$1:$D$1,0),1))*IFERROR(IF(W515="","",(AVERAGE(E515:F515)-W515)-Variables!$B$14),""))+(T515*INDEX(Variables!$B$9:$D$9,IFERROR(MATCH(IF($B515="Robusta","Robusta",(IF($B515="","Arabica",$B515))&amp;" - "&amp;(IF($C515="","Commercial",$C515))),Variables!$B$1:$D$1,0),1))*IFERROR(IF(W515="","",(AVERAGE(E515:F515)-W515)-Variables!$B$14),"")/365),""))</f>
        <v>394.86994421693572</v>
      </c>
      <c r="AT515" s="12">
        <f>IF($H515="Cancelled","",IFERROR((T515*INDEX(Variables!$B$7:$D$7,IFERROR(MATCH(IF($B515="Robusta","Robusta",(IF($B515="","Arabica",$B515))&amp;" - "&amp;(IF($C515="","Commercial",$C515))),Variables!$B$1:$D$1,0),1))*AC515/365)+(L515/16.67*INDEX(Variables!$B$8:$D$8,IFERROR(MATCH(IF($B515="Robusta","Robusta",(IF($B515="","Arabica",$B515))&amp;" - "&amp;(IF($C515="","Commercial",$C515))),Variables!$B$1:$D$1,0),1))*AC515)+(T515*INDEX(Variables!$B$9:$D$9,IFERROR(MATCH(IF($B515="Robusta","Robusta",(IF($B515="","Arabica",$B515))&amp;" - "&amp;(IF($C515="","Commercial",$C515))),Variables!$B$1:$D$1,0),1))*AC515/365),""))</f>
        <v>-877.48876492652403</v>
      </c>
      <c r="AU515" s="12">
        <f>IF($H515="Cancelled","",IFERROR((T515*INDEX(Variables!$B$7:$D$7,IFERROR(MATCH(IF($B515="Robusta","Robusta",(IF($B515="","Arabica",$B515))&amp;" - "&amp;(IF($C515="","Commercial",$C515))),Variables!$B$1:$D$1,0),1))*AP515/365)+(L515/16.67*INDEX(Variables!$B$8:$D$8,IFERROR(MATCH(IF($B515="Robusta","Robusta",(IF($B515="","Arabica",$B515))&amp;" - "&amp;(IF($C515="","Commercial",$C515))),Variables!$B$1:$D$1,0),1))*AP515)+(T515*INDEX(Variables!$B$9:$D$9,IFERROR(MATCH(IF($B515="Robusta","Robusta",(IF($B515="","Arabica",$B515))&amp;" - "&amp;(IF($C515="","Commercial",$C515))),Variables!$B$1:$D$1,0),1))*AP515/365),""))</f>
        <v>-43.874438246326193</v>
      </c>
      <c r="AV515" s="11">
        <f t="shared" si="59"/>
        <v>18</v>
      </c>
      <c r="AW515" s="12">
        <f>IF($H515="Cancelled","",IFERROR(IF(AV515="","",(T515*INDEX(Variables!$B$7:$D$7,IFERROR(MATCH(IF($B515="Robusta","Robusta",(IF($B515="","Arabica",$B515))&amp;" - "&amp;(IF($C515="","Commercial",$C515))),Variables!$B$1:$D$1,0),1))*(AV515/365))+(T515*INDEX(Variables!$B$9:$D$9,IFERROR(MATCH(IF($B515="Robusta","Robusta",(IF($B515="","Arabica",$B515))&amp;" - "&amp;(IF($C515="","Commercial",$C515))),Variables!$B$1:$D$1,0),1))*(AV515/365))+(INDEX(Variables!$B$8:$D$8,IFERROR(MATCH(IF($B515="Robusta","Robusta",(IF($B515="","Arabica",$B515))&amp;" - "&amp;(IF($C515="","Commercial",$C515))),Variables!$B$1:$D$1,0),1))*L515/16.67)),""))</f>
        <v>505.83988843387152</v>
      </c>
      <c r="AX515" s="9"/>
      <c r="AY515" s="12"/>
      <c r="AZ515" s="10"/>
      <c r="BA515" s="9"/>
      <c r="BB515" s="10"/>
      <c r="BC515" s="9"/>
      <c r="BD515" s="9"/>
      <c r="BE515" s="9"/>
      <c r="BF515" s="9"/>
    </row>
    <row r="516" spans="1:58" x14ac:dyDescent="0.25">
      <c r="A516" s="9" t="s">
        <v>84</v>
      </c>
      <c r="B516" s="9" t="s">
        <v>85</v>
      </c>
      <c r="C516" s="9" t="s">
        <v>86</v>
      </c>
      <c r="D516" s="10">
        <v>45989</v>
      </c>
      <c r="E516" s="10">
        <v>46054</v>
      </c>
      <c r="F516" s="10">
        <v>46081</v>
      </c>
      <c r="G516" s="9">
        <v>3787017</v>
      </c>
      <c r="H516" s="9" t="str">
        <f t="shared" si="57"/>
        <v>Open</v>
      </c>
      <c r="I516" s="9" t="str">
        <f t="shared" si="58"/>
        <v>No sailing date and No shipping advice sent and No docs dispatch date</v>
      </c>
      <c r="J516" s="9" t="s">
        <v>303</v>
      </c>
      <c r="K516" s="9">
        <v>5392</v>
      </c>
      <c r="L516" s="11">
        <v>320</v>
      </c>
      <c r="M516" s="9" t="s">
        <v>1291</v>
      </c>
      <c r="N516" s="9" t="s">
        <v>126</v>
      </c>
      <c r="O516" s="9"/>
      <c r="P516" s="9"/>
      <c r="Q516" s="11">
        <v>18</v>
      </c>
      <c r="R516" s="9" t="s">
        <v>90</v>
      </c>
      <c r="S516" s="9" t="s">
        <v>91</v>
      </c>
      <c r="T516" s="12">
        <f>IF($H516="Cancelled","",IFERROR(((Q516+INDEX(Variables!$B$6:$D$6,IFERROR(MATCH(IF($B516="Robusta","Robusta",(IF($B516="","Arabica",$B516))&amp;" - "&amp;(IF($C516="","Commercial",$C516))),Variables!$B$1:$D$1,0),1)))*22.0462)*(L516/16.67),""))</f>
        <v>130684.90097180562</v>
      </c>
      <c r="U516" s="10">
        <v>46015</v>
      </c>
      <c r="V516" s="9" t="str">
        <f t="shared" si="55"/>
        <v>Sent</v>
      </c>
      <c r="W516" s="10"/>
      <c r="X516" s="9" t="str">
        <f t="shared" si="56"/>
        <v/>
      </c>
      <c r="Y516" s="10"/>
      <c r="Z516" s="10">
        <f>IF($H516="Cancelled","",IFERROR(IF(F516="","",F516-Variables!$B$13),""))</f>
        <v>46066</v>
      </c>
      <c r="AA516" s="11" t="str">
        <f>IF($H516="Cancelled","",IFERROR(IF(W516="","",(AVERAGE(E516:F516)-W516)-Variables!$B$14),""))</f>
        <v/>
      </c>
      <c r="AB516" s="10">
        <v>46070</v>
      </c>
      <c r="AC516" s="11" t="str">
        <f>IF($H516="Cancelled","",IFERROR(IF(AB516="","",IF(AND(W516="",Y516=""),"",IF(Y516&gt;W516,Y516+Variables!$B$15+Variables!$B$16+Variables!$B$17-AB516,W516+Variables!$B$16+Variables!$B$17-AB516))),""))</f>
        <v/>
      </c>
      <c r="AD516" s="9" t="s">
        <v>163</v>
      </c>
      <c r="AE516" s="9"/>
      <c r="AF516" s="10"/>
      <c r="AG516" s="10"/>
      <c r="AH516" s="9"/>
      <c r="AI516" s="9"/>
      <c r="AJ516" s="9"/>
      <c r="AK516" s="10"/>
      <c r="AL516" s="10"/>
      <c r="AM516" s="10"/>
      <c r="AN516" s="9" t="s">
        <v>1292</v>
      </c>
      <c r="AO516" s="9"/>
      <c r="AP516" s="11" t="str">
        <f>IF($H516="Cancelled","",IFERROR(IF(OR(AK516="",AB516=""),"",(AB516+Variables!$B$18-AK516)),""))</f>
        <v/>
      </c>
      <c r="AQ516" s="11" t="str">
        <f>IF($H516="Cancelled","",IFERROR(IF(OR(AM516="",AK516=""),"",(AK516+Variables!$B$19)-AM516),""))</f>
        <v/>
      </c>
      <c r="AR516" s="12" t="str">
        <f>IF($H516="Cancelled","",IFERROR(T516*INDEX(Variables!$B$7:$D$7,IFERROR(MATCH(IF($B516="Robusta","Robusta",(IF($B516="","Arabica",$B516))&amp;" - "&amp;(IF($C516="","Commercial",$C516))),Variables!$B$1:$D$1,0),1))*(AQ516/365),""))</f>
        <v/>
      </c>
      <c r="AS516" s="12" t="str">
        <f>IF($H516="Cancelled","",IFERROR((T516*INDEX(Variables!$B$7:$D$7,IFERROR(MATCH(IF($B516="Robusta","Robusta",(IF($B516="","Arabica",$B516))&amp;" - "&amp;(IF($C516="","Commercial",$C516))),Variables!$B$1:$D$1,0),1))*IFERROR(IF(W516="","",(AVERAGE(E516:F516)-W516)-Variables!$B$14),"")/365)+(L516/16.67*INDEX(Variables!$B$8:$D$8,IFERROR(MATCH(IF($B516="Robusta","Robusta",(IF($B516="","Arabica",$B516))&amp;" - "&amp;(IF($C516="","Commercial",$C516))),Variables!$B$1:$D$1,0),1))*IFERROR(IF(W516="","",(AVERAGE(E516:F516)-W516)-Variables!$B$14),""))+(T516*INDEX(Variables!$B$9:$D$9,IFERROR(MATCH(IF($B516="Robusta","Robusta",(IF($B516="","Arabica",$B516))&amp;" - "&amp;(IF($C516="","Commercial",$C516))),Variables!$B$1:$D$1,0),1))*IFERROR(IF(W516="","",(AVERAGE(E516:F516)-W516)-Variables!$B$14),"")/365),""))</f>
        <v/>
      </c>
      <c r="AT516" s="12" t="str">
        <f>IF($H516="Cancelled","",IFERROR((T516*INDEX(Variables!$B$7:$D$7,IFERROR(MATCH(IF($B516="Robusta","Robusta",(IF($B516="","Arabica",$B516))&amp;" - "&amp;(IF($C516="","Commercial",$C516))),Variables!$B$1:$D$1,0),1))*AC516/365)+(L516/16.67*INDEX(Variables!$B$8:$D$8,IFERROR(MATCH(IF($B516="Robusta","Robusta",(IF($B516="","Arabica",$B516))&amp;" - "&amp;(IF($C516="","Commercial",$C516))),Variables!$B$1:$D$1,0),1))*AC516)+(T516*INDEX(Variables!$B$9:$D$9,IFERROR(MATCH(IF($B516="Robusta","Robusta",(IF($B516="","Arabica",$B516))&amp;" - "&amp;(IF($C516="","Commercial",$C516))),Variables!$B$1:$D$1,0),1))*AC516/365),""))</f>
        <v/>
      </c>
      <c r="AU516" s="12" t="str">
        <f>IF($H516="Cancelled","",IFERROR((T516*INDEX(Variables!$B$7:$D$7,IFERROR(MATCH(IF($B516="Robusta","Robusta",(IF($B516="","Arabica",$B516))&amp;" - "&amp;(IF($C516="","Commercial",$C516))),Variables!$B$1:$D$1,0),1))*AP516/365)+(L516/16.67*INDEX(Variables!$B$8:$D$8,IFERROR(MATCH(IF($B516="Robusta","Robusta",(IF($B516="","Arabica",$B516))&amp;" - "&amp;(IF($C516="","Commercial",$C516))),Variables!$B$1:$D$1,0),1))*AP516)+(T516*INDEX(Variables!$B$9:$D$9,IFERROR(MATCH(IF($B516="Robusta","Robusta",(IF($B516="","Arabica",$B516))&amp;" - "&amp;(IF($C516="","Commercial",$C516))),Variables!$B$1:$D$1,0),1))*AP516/365),""))</f>
        <v/>
      </c>
      <c r="AV516" s="11" t="str">
        <f t="shared" si="59"/>
        <v/>
      </c>
      <c r="AW516" s="12" t="str">
        <f>IF($H516="Cancelled","",IFERROR(IF(AV516="","",(T516*INDEX(Variables!$B$7:$D$7,IFERROR(MATCH(IF($B516="Robusta","Robusta",(IF($B516="","Arabica",$B516))&amp;" - "&amp;(IF($C516="","Commercial",$C516))),Variables!$B$1:$D$1,0),1))*(AV516/365))+(T516*INDEX(Variables!$B$9:$D$9,IFERROR(MATCH(IF($B516="Robusta","Robusta",(IF($B516="","Arabica",$B516))&amp;" - "&amp;(IF($C516="","Commercial",$C516))),Variables!$B$1:$D$1,0),1))*(AV516/365))+(INDEX(Variables!$B$8:$D$8,IFERROR(MATCH(IF($B516="Robusta","Robusta",(IF($B516="","Arabica",$B516))&amp;" - "&amp;(IF($C516="","Commercial",$C516))),Variables!$B$1:$D$1,0),1))*L516/16.67)),""))</f>
        <v/>
      </c>
      <c r="AX516" s="9"/>
      <c r="AY516" s="12"/>
      <c r="AZ516" s="10"/>
      <c r="BA516" s="9"/>
      <c r="BB516" s="10"/>
      <c r="BC516" s="9"/>
      <c r="BD516" s="9"/>
      <c r="BE516" s="9"/>
      <c r="BF516" s="9"/>
    </row>
    <row r="517" spans="1:58" x14ac:dyDescent="0.25">
      <c r="A517" s="9" t="s">
        <v>84</v>
      </c>
      <c r="B517" s="9" t="s">
        <v>85</v>
      </c>
      <c r="C517" s="9" t="s">
        <v>86</v>
      </c>
      <c r="D517" s="10">
        <v>45993</v>
      </c>
      <c r="E517" s="10">
        <v>46023</v>
      </c>
      <c r="F517" s="10">
        <v>46053</v>
      </c>
      <c r="G517" s="9">
        <v>3787020</v>
      </c>
      <c r="H517" s="9" t="str">
        <f t="shared" si="57"/>
        <v>Closed</v>
      </c>
      <c r="I517" s="9" t="str">
        <f t="shared" si="58"/>
        <v>All dates received</v>
      </c>
      <c r="J517" s="9" t="s">
        <v>308</v>
      </c>
      <c r="K517" s="9">
        <v>5375</v>
      </c>
      <c r="L517" s="11">
        <v>1440</v>
      </c>
      <c r="M517" s="9" t="s">
        <v>1293</v>
      </c>
      <c r="N517" s="9" t="s">
        <v>122</v>
      </c>
      <c r="O517" s="9"/>
      <c r="P517" s="9"/>
      <c r="Q517" s="11">
        <v>4</v>
      </c>
      <c r="R517" s="9" t="s">
        <v>90</v>
      </c>
      <c r="S517" s="9" t="s">
        <v>106</v>
      </c>
      <c r="T517" s="12">
        <f>IF($H517="Cancelled","",IFERROR(((Q517+INDEX(Variables!$B$6:$D$6,IFERROR(MATCH(IF($B517="Robusta","Robusta",(IF($B517="","Arabica",$B517))&amp;" - "&amp;(IF($C517="","Commercial",$C517))),Variables!$B$1:$D$1,0),1)))*22.0462)*(L517/16.67),""))</f>
        <v>561420.30320335925</v>
      </c>
      <c r="U517" s="10"/>
      <c r="V517" s="9" t="str">
        <f t="shared" si="55"/>
        <v/>
      </c>
      <c r="W517" s="10">
        <v>46006</v>
      </c>
      <c r="X517" s="9" t="str">
        <f t="shared" si="56"/>
        <v>Approved</v>
      </c>
      <c r="Y517" s="10">
        <v>46032</v>
      </c>
      <c r="Z517" s="10">
        <f>IF($H517="Cancelled","",IFERROR(IF(F517="","",F517-Variables!$B$13),""))</f>
        <v>46038</v>
      </c>
      <c r="AA517" s="11">
        <f>IF($H517="Cancelled","",IFERROR(IF(W517="","",(AVERAGE(E517:F517)-W517)-Variables!$B$14),""))</f>
        <v>2</v>
      </c>
      <c r="AB517" s="10">
        <v>46038</v>
      </c>
      <c r="AC517" s="11">
        <f>IF($H517="Cancelled","",IFERROR(IF(AB517="","",IF(AND(W517="",Y517=""),"",IF(Y517&gt;W517,Y517+Variables!$B$15+Variables!$B$16+Variables!$B$17-AB517,W517+Variables!$B$16+Variables!$B$17-AB517))),""))</f>
        <v>9</v>
      </c>
      <c r="AD517" s="9" t="s">
        <v>165</v>
      </c>
      <c r="AE517" s="9" t="s">
        <v>1294</v>
      </c>
      <c r="AF517" s="10"/>
      <c r="AG517" s="10"/>
      <c r="AH517" s="9"/>
      <c r="AI517" s="9">
        <v>911913</v>
      </c>
      <c r="AJ517" s="9"/>
      <c r="AK517" s="10">
        <v>46061</v>
      </c>
      <c r="AL517" s="10">
        <v>46070</v>
      </c>
      <c r="AM517" s="10" t="s">
        <v>1295</v>
      </c>
      <c r="AN517" s="9" t="s">
        <v>1193</v>
      </c>
      <c r="AO517" s="9"/>
      <c r="AP517" s="11">
        <f>IF($H517="Cancelled","",IFERROR(IF(OR(AK517="",AB517=""),"",(AB517+Variables!$B$18-AK517)),""))</f>
        <v>-16</v>
      </c>
      <c r="AQ517" s="11">
        <f>IF($H517="Cancelled","",IFERROR(IF(OR(AM517="",AK517=""),"",(AK517+Variables!$B$19)-AM517),""))</f>
        <v>-14</v>
      </c>
      <c r="AR517" s="12">
        <f>IF($H517="Cancelled","",IFERROR(T517*INDEX(Variables!$B$7:$D$7,IFERROR(MATCH(IF($B517="Robusta","Robusta",(IF($B517="","Arabica",$B517))&amp;" - "&amp;(IF($C517="","Commercial",$C517))),Variables!$B$1:$D$1,0),1))*(AQ517/365),""))</f>
        <v>-1388.5551448029457</v>
      </c>
      <c r="AS517" s="12">
        <f>IF($H517="Cancelled","",IFERROR((T517*INDEX(Variables!$B$7:$D$7,IFERROR(MATCH(IF($B517="Robusta","Robusta",(IF($B517="","Arabica",$B517))&amp;" - "&amp;(IF($C517="","Commercial",$C517))),Variables!$B$1:$D$1,0),1))*IFERROR(IF(W517="","",(AVERAGE(E517:F517)-W517)-Variables!$B$14),"")/365)+(L517/16.67*INDEX(Variables!$B$8:$D$8,IFERROR(MATCH(IF($B517="Robusta","Robusta",(IF($B517="","Arabica",$B517))&amp;" - "&amp;(IF($C517="","Commercial",$C517))),Variables!$B$1:$D$1,0),1))*IFERROR(IF(W517="","",(AVERAGE(E517:F517)-W517)-Variables!$B$14),""))+(T517*INDEX(Variables!$B$9:$D$9,IFERROR(MATCH(IF($B517="Robusta","Robusta",(IF($B517="","Arabica",$B517))&amp;" - "&amp;(IF($C517="","Commercial",$C517))),Variables!$B$1:$D$1,0),1))*IFERROR(IF(W517="","",(AVERAGE(E517:F517)-W517)-Variables!$B$14),"")/365),""))</f>
        <v>344.92232862067186</v>
      </c>
      <c r="AT517" s="12">
        <f>IF($H517="Cancelled","",IFERROR((T517*INDEX(Variables!$B$7:$D$7,IFERROR(MATCH(IF($B517="Robusta","Robusta",(IF($B517="","Arabica",$B517))&amp;" - "&amp;(IF($C517="","Commercial",$C517))),Variables!$B$1:$D$1,0),1))*AC517/365)+(L517/16.67*INDEX(Variables!$B$8:$D$8,IFERROR(MATCH(IF($B517="Robusta","Robusta",(IF($B517="","Arabica",$B517))&amp;" - "&amp;(IF($C517="","Commercial",$C517))),Variables!$B$1:$D$1,0),1))*AC517)+(T517*INDEX(Variables!$B$9:$D$9,IFERROR(MATCH(IF($B517="Robusta","Robusta",(IF($B517="","Arabica",$B517))&amp;" - "&amp;(IF($C517="","Commercial",$C517))),Variables!$B$1:$D$1,0),1))*AC517/365),""))</f>
        <v>1552.1504787930232</v>
      </c>
      <c r="AU517" s="12">
        <f>IF($H517="Cancelled","",IFERROR((T517*INDEX(Variables!$B$7:$D$7,IFERROR(MATCH(IF($B517="Robusta","Robusta",(IF($B517="","Arabica",$B517))&amp;" - "&amp;(IF($C517="","Commercial",$C517))),Variables!$B$1:$D$1,0),1))*AP517/365)+(L517/16.67*INDEX(Variables!$B$8:$D$8,IFERROR(MATCH(IF($B517="Robusta","Robusta",(IF($B517="","Arabica",$B517))&amp;" - "&amp;(IF($C517="","Commercial",$C517))),Variables!$B$1:$D$1,0),1))*AP517)+(T517*INDEX(Variables!$B$9:$D$9,IFERROR(MATCH(IF($B517="Robusta","Robusta",(IF($B517="","Arabica",$B517))&amp;" - "&amp;(IF($C517="","Commercial",$C517))),Variables!$B$1:$D$1,0),1))*AP517/365),""))</f>
        <v>-2759.3786289653749</v>
      </c>
      <c r="AV517" s="11">
        <f t="shared" si="59"/>
        <v>-8</v>
      </c>
      <c r="AW517" s="12">
        <f>IF($H517="Cancelled","",IFERROR(IF(AV517="","",(T517*INDEX(Variables!$B$7:$D$7,IFERROR(MATCH(IF($B517="Robusta","Robusta",(IF($B517="","Arabica",$B517))&amp;" - "&amp;(IF($C517="","Commercial",$C517))),Variables!$B$1:$D$1,0),1))*(AV517/365))+(T517*INDEX(Variables!$B$9:$D$9,IFERROR(MATCH(IF($B517="Robusta","Robusta",(IF($B517="","Arabica",$B517))&amp;" - "&amp;(IF($C517="","Commercial",$C517))),Variables!$B$1:$D$1,0),1))*(AV517/365))+(INDEX(Variables!$B$8:$D$8,IFERROR(MATCH(IF($B517="Robusta","Robusta",(IF($B517="","Arabica",$B517))&amp;" - "&amp;(IF($C517="","Commercial",$C517))),Variables!$B$1:$D$1,0),1))*L517/16.67)),""))</f>
        <v>-731.68931448268734</v>
      </c>
      <c r="AX517" s="9"/>
      <c r="AY517" s="12"/>
      <c r="AZ517" s="10"/>
      <c r="BA517" s="9"/>
      <c r="BB517" s="10"/>
      <c r="BC517" s="9"/>
      <c r="BD517" s="9"/>
      <c r="BE517" s="9"/>
      <c r="BF517" s="9"/>
    </row>
    <row r="518" spans="1:58" x14ac:dyDescent="0.25">
      <c r="A518" s="9" t="s">
        <v>84</v>
      </c>
      <c r="B518" s="9" t="s">
        <v>85</v>
      </c>
      <c r="C518" s="9" t="s">
        <v>86</v>
      </c>
      <c r="D518" s="10">
        <v>45993</v>
      </c>
      <c r="E518" s="10">
        <v>45992</v>
      </c>
      <c r="F518" s="10">
        <v>46053</v>
      </c>
      <c r="G518" s="9">
        <v>3787033</v>
      </c>
      <c r="H518" s="9" t="str">
        <f t="shared" si="57"/>
        <v>Open</v>
      </c>
      <c r="I518" s="9" t="str">
        <f t="shared" si="58"/>
        <v>No sailing date and No shipping advice sent and No docs dispatch date</v>
      </c>
      <c r="J518" s="9" t="s">
        <v>240</v>
      </c>
      <c r="K518" s="9"/>
      <c r="L518" s="11">
        <v>320</v>
      </c>
      <c r="M518" s="9" t="s">
        <v>1296</v>
      </c>
      <c r="N518" s="9" t="s">
        <v>960</v>
      </c>
      <c r="O518" s="9"/>
      <c r="P518" s="9"/>
      <c r="Q518" s="11">
        <v>13.5</v>
      </c>
      <c r="R518" s="9" t="s">
        <v>90</v>
      </c>
      <c r="S518" s="9" t="s">
        <v>243</v>
      </c>
      <c r="T518" s="12">
        <f>IF($H518="Cancelled","",IFERROR(((Q518+INDEX(Variables!$B$6:$D$6,IFERROR(MATCH(IF($B518="Robusta","Robusta",(IF($B518="","Arabica",$B518))&amp;" - "&amp;(IF($C518="","Commercial",$C518))),Variables!$B$1:$D$1,0),1)))*22.0462)*(L518/16.67),""))</f>
        <v>128780.4901739652</v>
      </c>
      <c r="U518" s="10">
        <v>46014</v>
      </c>
      <c r="V518" s="9" t="str">
        <f t="shared" si="55"/>
        <v>Sent</v>
      </c>
      <c r="W518" s="10"/>
      <c r="X518" s="9" t="str">
        <f t="shared" si="56"/>
        <v/>
      </c>
      <c r="Y518" s="10"/>
      <c r="Z518" s="10">
        <f>IF($H518="Cancelled","",IFERROR(IF(F518="","",F518-Variables!$B$13),""))</f>
        <v>46038</v>
      </c>
      <c r="AA518" s="11" t="str">
        <f>IF($H518="Cancelled","",IFERROR(IF(W518="","",(AVERAGE(E518:F518)-W518)-Variables!$B$14),""))</f>
        <v/>
      </c>
      <c r="AB518" s="10"/>
      <c r="AC518" s="11" t="str">
        <f>IF($H518="Cancelled","",IFERROR(IF(AB518="","",IF(AND(W518="",Y518=""),"",IF(Y518&gt;W518,Y518+Variables!$B$15+Variables!$B$16+Variables!$B$17-AB518,W518+Variables!$B$16+Variables!$B$17-AB518))),""))</f>
        <v/>
      </c>
      <c r="AD518" s="9" t="s">
        <v>107</v>
      </c>
      <c r="AE518" s="9"/>
      <c r="AF518" s="10"/>
      <c r="AG518" s="10"/>
      <c r="AH518" s="9"/>
      <c r="AI518" s="9"/>
      <c r="AJ518" s="9"/>
      <c r="AK518" s="10"/>
      <c r="AL518" s="10"/>
      <c r="AM518" s="10"/>
      <c r="AN518" s="9" t="s">
        <v>1297</v>
      </c>
      <c r="AO518" s="9"/>
      <c r="AP518" s="11" t="str">
        <f>IF($H518="Cancelled","",IFERROR(IF(OR(AK518="",AB518=""),"",(AB518+Variables!$B$18-AK518)),""))</f>
        <v/>
      </c>
      <c r="AQ518" s="11" t="str">
        <f>IF($H518="Cancelled","",IFERROR(IF(OR(AM518="",AK518=""),"",(AK518+Variables!$B$19)-AM518),""))</f>
        <v/>
      </c>
      <c r="AR518" s="12" t="str">
        <f>IF($H518="Cancelled","",IFERROR(T518*INDEX(Variables!$B$7:$D$7,IFERROR(MATCH(IF($B518="Robusta","Robusta",(IF($B518="","Arabica",$B518))&amp;" - "&amp;(IF($C518="","Commercial",$C518))),Variables!$B$1:$D$1,0),1))*(AQ518/365),""))</f>
        <v/>
      </c>
      <c r="AS518" s="12" t="str">
        <f>IF($H518="Cancelled","",IFERROR((T518*INDEX(Variables!$B$7:$D$7,IFERROR(MATCH(IF($B518="Robusta","Robusta",(IF($B518="","Arabica",$B518))&amp;" - "&amp;(IF($C518="","Commercial",$C518))),Variables!$B$1:$D$1,0),1))*IFERROR(IF(W518="","",(AVERAGE(E518:F518)-W518)-Variables!$B$14),"")/365)+(L518/16.67*INDEX(Variables!$B$8:$D$8,IFERROR(MATCH(IF($B518="Robusta","Robusta",(IF($B518="","Arabica",$B518))&amp;" - "&amp;(IF($C518="","Commercial",$C518))),Variables!$B$1:$D$1,0),1))*IFERROR(IF(W518="","",(AVERAGE(E518:F518)-W518)-Variables!$B$14),""))+(T518*INDEX(Variables!$B$9:$D$9,IFERROR(MATCH(IF($B518="Robusta","Robusta",(IF($B518="","Arabica",$B518))&amp;" - "&amp;(IF($C518="","Commercial",$C518))),Variables!$B$1:$D$1,0),1))*IFERROR(IF(W518="","",(AVERAGE(E518:F518)-W518)-Variables!$B$14),"")/365),""))</f>
        <v/>
      </c>
      <c r="AT518" s="12" t="str">
        <f>IF($H518="Cancelled","",IFERROR((T518*INDEX(Variables!$B$7:$D$7,IFERROR(MATCH(IF($B518="Robusta","Robusta",(IF($B518="","Arabica",$B518))&amp;" - "&amp;(IF($C518="","Commercial",$C518))),Variables!$B$1:$D$1,0),1))*AC518/365)+(L518/16.67*INDEX(Variables!$B$8:$D$8,IFERROR(MATCH(IF($B518="Robusta","Robusta",(IF($B518="","Arabica",$B518))&amp;" - "&amp;(IF($C518="","Commercial",$C518))),Variables!$B$1:$D$1,0),1))*AC518)+(T518*INDEX(Variables!$B$9:$D$9,IFERROR(MATCH(IF($B518="Robusta","Robusta",(IF($B518="","Arabica",$B518))&amp;" - "&amp;(IF($C518="","Commercial",$C518))),Variables!$B$1:$D$1,0),1))*AC518/365),""))</f>
        <v/>
      </c>
      <c r="AU518" s="12" t="str">
        <f>IF($H518="Cancelled","",IFERROR((T518*INDEX(Variables!$B$7:$D$7,IFERROR(MATCH(IF($B518="Robusta","Robusta",(IF($B518="","Arabica",$B518))&amp;" - "&amp;(IF($C518="","Commercial",$C518))),Variables!$B$1:$D$1,0),1))*AP518/365)+(L518/16.67*INDEX(Variables!$B$8:$D$8,IFERROR(MATCH(IF($B518="Robusta","Robusta",(IF($B518="","Arabica",$B518))&amp;" - "&amp;(IF($C518="","Commercial",$C518))),Variables!$B$1:$D$1,0),1))*AP518)+(T518*INDEX(Variables!$B$9:$D$9,IFERROR(MATCH(IF($B518="Robusta","Robusta",(IF($B518="","Arabica",$B518))&amp;" - "&amp;(IF($C518="","Commercial",$C518))),Variables!$B$1:$D$1,0),1))*AP518/365),""))</f>
        <v/>
      </c>
      <c r="AV518" s="11" t="str">
        <f t="shared" si="59"/>
        <v/>
      </c>
      <c r="AW518" s="12" t="str">
        <f>IF($H518="Cancelled","",IFERROR(IF(AV518="","",(T518*INDEX(Variables!$B$7:$D$7,IFERROR(MATCH(IF($B518="Robusta","Robusta",(IF($B518="","Arabica",$B518))&amp;" - "&amp;(IF($C518="","Commercial",$C518))),Variables!$B$1:$D$1,0),1))*(AV518/365))+(T518*INDEX(Variables!$B$9:$D$9,IFERROR(MATCH(IF($B518="Robusta","Robusta",(IF($B518="","Arabica",$B518))&amp;" - "&amp;(IF($C518="","Commercial",$C518))),Variables!$B$1:$D$1,0),1))*(AV518/365))+(INDEX(Variables!$B$8:$D$8,IFERROR(MATCH(IF($B518="Robusta","Robusta",(IF($B518="","Arabica",$B518))&amp;" - "&amp;(IF($C518="","Commercial",$C518))),Variables!$B$1:$D$1,0),1))*L518/16.67)),""))</f>
        <v/>
      </c>
      <c r="AX518" s="9"/>
      <c r="AY518" s="12"/>
      <c r="AZ518" s="10"/>
      <c r="BA518" s="9"/>
      <c r="BB518" s="10"/>
      <c r="BC518" s="9"/>
      <c r="BD518" s="9"/>
      <c r="BE518" s="9"/>
      <c r="BF518" s="9"/>
    </row>
    <row r="519" spans="1:58" x14ac:dyDescent="0.25">
      <c r="A519" s="9" t="s">
        <v>84</v>
      </c>
      <c r="B519" s="9" t="s">
        <v>85</v>
      </c>
      <c r="C519" s="9" t="s">
        <v>86</v>
      </c>
      <c r="D519" s="10">
        <v>45993</v>
      </c>
      <c r="E519" s="10">
        <v>46054</v>
      </c>
      <c r="F519" s="10">
        <v>46081</v>
      </c>
      <c r="G519" s="9">
        <v>3787034</v>
      </c>
      <c r="H519" s="9" t="str">
        <f t="shared" si="57"/>
        <v>Open</v>
      </c>
      <c r="I519" s="9" t="str">
        <f t="shared" si="58"/>
        <v>No sailing date and No shipping advice sent and No docs dispatch date</v>
      </c>
      <c r="J519" s="9" t="s">
        <v>240</v>
      </c>
      <c r="K519" s="9"/>
      <c r="L519" s="11">
        <v>320</v>
      </c>
      <c r="M519" s="9" t="s">
        <v>1296</v>
      </c>
      <c r="N519" s="9" t="s">
        <v>960</v>
      </c>
      <c r="O519" s="9"/>
      <c r="P519" s="9"/>
      <c r="Q519" s="11">
        <v>13.5</v>
      </c>
      <c r="R519" s="9" t="s">
        <v>90</v>
      </c>
      <c r="S519" s="9"/>
      <c r="T519" s="12">
        <f>IF($H519="Cancelled","",IFERROR(((Q519+INDEX(Variables!$B$6:$D$6,IFERROR(MATCH(IF($B519="Robusta","Robusta",(IF($B519="","Arabica",$B519))&amp;" - "&amp;(IF($C519="","Commercial",$C519))),Variables!$B$1:$D$1,0),1)))*22.0462)*(L519/16.67),""))</f>
        <v>128780.4901739652</v>
      </c>
      <c r="U519" s="10">
        <v>46045</v>
      </c>
      <c r="V519" s="9" t="str">
        <f t="shared" si="55"/>
        <v>Sent</v>
      </c>
      <c r="W519" s="10">
        <v>46057</v>
      </c>
      <c r="X519" s="9" t="str">
        <f t="shared" si="56"/>
        <v>Approved</v>
      </c>
      <c r="Y519" s="10"/>
      <c r="Z519" s="10">
        <f>IF($H519="Cancelled","",IFERROR(IF(F519="","",F519-Variables!$B$13),""))</f>
        <v>46066</v>
      </c>
      <c r="AA519" s="11">
        <f>IF($H519="Cancelled","",IFERROR(IF(W519="","",(AVERAGE(E519:F519)-W519)-Variables!$B$14),""))</f>
        <v>-19.5</v>
      </c>
      <c r="AB519" s="10"/>
      <c r="AC519" s="11" t="str">
        <f>IF($H519="Cancelled","",IFERROR(IF(AB519="","",IF(AND(W519="",Y519=""),"",IF(Y519&gt;W519,Y519+Variables!$B$15+Variables!$B$16+Variables!$B$17-AB519,W519+Variables!$B$16+Variables!$B$17-AB519))),""))</f>
        <v/>
      </c>
      <c r="AD519" s="9"/>
      <c r="AE519" s="9"/>
      <c r="AF519" s="10"/>
      <c r="AG519" s="10"/>
      <c r="AH519" s="9"/>
      <c r="AI519" s="9"/>
      <c r="AJ519" s="9"/>
      <c r="AK519" s="10"/>
      <c r="AL519" s="10"/>
      <c r="AM519" s="10"/>
      <c r="AN519" s="9" t="s">
        <v>1188</v>
      </c>
      <c r="AO519" s="9"/>
      <c r="AP519" s="11" t="str">
        <f>IF($H519="Cancelled","",IFERROR(IF(OR(AK519="",AB519=""),"",(AB519+Variables!$B$18-AK519)),""))</f>
        <v/>
      </c>
      <c r="AQ519" s="11" t="str">
        <f>IF($H519="Cancelled","",IFERROR(IF(OR(AM519="",AK519=""),"",(AK519+Variables!$B$19)-AM519),""))</f>
        <v/>
      </c>
      <c r="AR519" s="12" t="str">
        <f>IF($H519="Cancelled","",IFERROR(T519*INDEX(Variables!$B$7:$D$7,IFERROR(MATCH(IF($B519="Robusta","Robusta",(IF($B519="","Arabica",$B519))&amp;" - "&amp;(IF($C519="","Commercial",$C519))),Variables!$B$1:$D$1,0),1))*(AQ519/365),""))</f>
        <v/>
      </c>
      <c r="AS519" s="12">
        <f>IF($H519="Cancelled","",IFERROR((T519*INDEX(Variables!$B$7:$D$7,IFERROR(MATCH(IF($B519="Robusta","Robusta",(IF($B519="","Arabica",$B519))&amp;" - "&amp;(IF($C519="","Commercial",$C519))),Variables!$B$1:$D$1,0),1))*IFERROR(IF(W519="","",(AVERAGE(E519:F519)-W519)-Variables!$B$14),"")/365)+(L519/16.67*INDEX(Variables!$B$8:$D$8,IFERROR(MATCH(IF($B519="Robusta","Robusta",(IF($B519="","Arabica",$B519))&amp;" - "&amp;(IF($C519="","Commercial",$C519))),Variables!$B$1:$D$1,0),1))*IFERROR(IF(W519="","",(AVERAGE(E519:F519)-W519)-Variables!$B$14),""))+(T519*INDEX(Variables!$B$9:$D$9,IFERROR(MATCH(IF($B519="Robusta","Robusta",(IF($B519="","Arabica",$B519))&amp;" - "&amp;(IF($C519="","Commercial",$C519))),Variables!$B$1:$D$1,0),1))*IFERROR(IF(W519="","",(AVERAGE(E519:F519)-W519)-Variables!$B$14),"")/365),""))</f>
        <v>-761.3603798001559</v>
      </c>
      <c r="AT519" s="12" t="str">
        <f>IF($H519="Cancelled","",IFERROR((T519*INDEX(Variables!$B$7:$D$7,IFERROR(MATCH(IF($B519="Robusta","Robusta",(IF($B519="","Arabica",$B519))&amp;" - "&amp;(IF($C519="","Commercial",$C519))),Variables!$B$1:$D$1,0),1))*AC519/365)+(L519/16.67*INDEX(Variables!$B$8:$D$8,IFERROR(MATCH(IF($B519="Robusta","Robusta",(IF($B519="","Arabica",$B519))&amp;" - "&amp;(IF($C519="","Commercial",$C519))),Variables!$B$1:$D$1,0),1))*AC519)+(T519*INDEX(Variables!$B$9:$D$9,IFERROR(MATCH(IF($B519="Robusta","Robusta",(IF($B519="","Arabica",$B519))&amp;" - "&amp;(IF($C519="","Commercial",$C519))),Variables!$B$1:$D$1,0),1))*AC519/365),""))</f>
        <v/>
      </c>
      <c r="AU519" s="12" t="str">
        <f>IF($H519="Cancelled","",IFERROR((T519*INDEX(Variables!$B$7:$D$7,IFERROR(MATCH(IF($B519="Robusta","Robusta",(IF($B519="","Arabica",$B519))&amp;" - "&amp;(IF($C519="","Commercial",$C519))),Variables!$B$1:$D$1,0),1))*AP519/365)+(L519/16.67*INDEX(Variables!$B$8:$D$8,IFERROR(MATCH(IF($B519="Robusta","Robusta",(IF($B519="","Arabica",$B519))&amp;" - "&amp;(IF($C519="","Commercial",$C519))),Variables!$B$1:$D$1,0),1))*AP519)+(T519*INDEX(Variables!$B$9:$D$9,IFERROR(MATCH(IF($B519="Robusta","Robusta",(IF($B519="","Arabica",$B519))&amp;" - "&amp;(IF($C519="","Commercial",$C519))),Variables!$B$1:$D$1,0),1))*AP519/365),""))</f>
        <v/>
      </c>
      <c r="AV519" s="11" t="str">
        <f t="shared" si="59"/>
        <v/>
      </c>
      <c r="AW519" s="12" t="str">
        <f>IF($H519="Cancelled","",IFERROR(IF(AV519="","",(T519*INDEX(Variables!$B$7:$D$7,IFERROR(MATCH(IF($B519="Robusta","Robusta",(IF($B519="","Arabica",$B519))&amp;" - "&amp;(IF($C519="","Commercial",$C519))),Variables!$B$1:$D$1,0),1))*(AV519/365))+(T519*INDEX(Variables!$B$9:$D$9,IFERROR(MATCH(IF($B519="Robusta","Robusta",(IF($B519="","Arabica",$B519))&amp;" - "&amp;(IF($C519="","Commercial",$C519))),Variables!$B$1:$D$1,0),1))*(AV519/365))+(INDEX(Variables!$B$8:$D$8,IFERROR(MATCH(IF($B519="Robusta","Robusta",(IF($B519="","Arabica",$B519))&amp;" - "&amp;(IF($C519="","Commercial",$C519))),Variables!$B$1:$D$1,0),1))*L519/16.67)),""))</f>
        <v/>
      </c>
      <c r="AX519" s="9"/>
      <c r="AY519" s="12"/>
      <c r="AZ519" s="10"/>
      <c r="BA519" s="9"/>
      <c r="BB519" s="10"/>
      <c r="BC519" s="9"/>
      <c r="BD519" s="9"/>
      <c r="BE519" s="9"/>
      <c r="BF519" s="9"/>
    </row>
    <row r="520" spans="1:58" x14ac:dyDescent="0.25">
      <c r="A520" s="9" t="s">
        <v>84</v>
      </c>
      <c r="B520" s="9" t="s">
        <v>85</v>
      </c>
      <c r="C520" s="9" t="s">
        <v>86</v>
      </c>
      <c r="D520" s="10">
        <v>45994</v>
      </c>
      <c r="E520" s="10">
        <v>46023</v>
      </c>
      <c r="F520" s="10">
        <v>46053</v>
      </c>
      <c r="G520" s="9">
        <v>3787022</v>
      </c>
      <c r="H520" s="9" t="str">
        <f t="shared" si="57"/>
        <v>Open</v>
      </c>
      <c r="I520" s="9" t="str">
        <f t="shared" si="58"/>
        <v>No sailing date and No shipping advice sent and No docs dispatch date</v>
      </c>
      <c r="J520" s="9" t="s">
        <v>303</v>
      </c>
      <c r="K520" s="9">
        <v>5382</v>
      </c>
      <c r="L520" s="11">
        <v>320</v>
      </c>
      <c r="M520" s="9" t="s">
        <v>1291</v>
      </c>
      <c r="N520" s="9" t="s">
        <v>149</v>
      </c>
      <c r="O520" s="9"/>
      <c r="P520" s="9"/>
      <c r="Q520" s="11">
        <v>15</v>
      </c>
      <c r="R520" s="9" t="s">
        <v>90</v>
      </c>
      <c r="S520" s="9" t="s">
        <v>312</v>
      </c>
      <c r="T520" s="12">
        <f>IF($H520="Cancelled","",IFERROR(((Q520+INDEX(Variables!$B$6:$D$6,IFERROR(MATCH(IF($B520="Robusta","Robusta",(IF($B520="","Arabica",$B520))&amp;" - "&amp;(IF($C520="","Commercial",$C520))),Variables!$B$1:$D$1,0),1)))*22.0462)*(L520/16.67),""))</f>
        <v>129415.29377324534</v>
      </c>
      <c r="U520" s="10">
        <v>46002</v>
      </c>
      <c r="V520" s="9" t="str">
        <f t="shared" si="55"/>
        <v>Sent</v>
      </c>
      <c r="W520" s="10">
        <v>46007</v>
      </c>
      <c r="X520" s="9" t="str">
        <f t="shared" si="56"/>
        <v>Approved</v>
      </c>
      <c r="Y520" s="10"/>
      <c r="Z520" s="10">
        <f>IF($H520="Cancelled","",IFERROR(IF(F520="","",F520-Variables!$B$13),""))</f>
        <v>46038</v>
      </c>
      <c r="AA520" s="11">
        <f>IF($H520="Cancelled","",IFERROR(IF(W520="","",(AVERAGE(E520:F520)-W520)-Variables!$B$14),""))</f>
        <v>1</v>
      </c>
      <c r="AB520" s="10">
        <v>46049</v>
      </c>
      <c r="AC520" s="11">
        <f>IF($H520="Cancelled","",IFERROR(IF(AB520="","",IF(AND(W520="",Y520=""),"",IF(Y520&gt;W520,Y520+Variables!$B$15+Variables!$B$16+Variables!$B$17-AB520,W520+Variables!$B$16+Variables!$B$17-AB520))),""))</f>
        <v>-34</v>
      </c>
      <c r="AD520" s="9" t="s">
        <v>163</v>
      </c>
      <c r="AE520" s="9"/>
      <c r="AF520" s="10"/>
      <c r="AG520" s="10"/>
      <c r="AH520" s="9"/>
      <c r="AI520" s="9"/>
      <c r="AJ520" s="9"/>
      <c r="AK520" s="10"/>
      <c r="AL520" s="10"/>
      <c r="AM520" s="10"/>
      <c r="AN520" s="9" t="s">
        <v>1298</v>
      </c>
      <c r="AO520" s="9"/>
      <c r="AP520" s="11" t="str">
        <f>IF($H520="Cancelled","",IFERROR(IF(OR(AK520="",AB520=""),"",(AB520+Variables!$B$18-AK520)),""))</f>
        <v/>
      </c>
      <c r="AQ520" s="11" t="str">
        <f>IF($H520="Cancelled","",IFERROR(IF(OR(AM520="",AK520=""),"",(AK520+Variables!$B$19)-AM520),""))</f>
        <v/>
      </c>
      <c r="AR520" s="12" t="str">
        <f>IF($H520="Cancelled","",IFERROR(T520*INDEX(Variables!$B$7:$D$7,IFERROR(MATCH(IF($B520="Robusta","Robusta",(IF($B520="","Arabica",$B520))&amp;" - "&amp;(IF($C520="","Commercial",$C520))),Variables!$B$1:$D$1,0),1))*(AQ520/365),""))</f>
        <v/>
      </c>
      <c r="AS520" s="12">
        <f>IF($H520="Cancelled","",IFERROR((T520*INDEX(Variables!$B$7:$D$7,IFERROR(MATCH(IF($B520="Robusta","Robusta",(IF($B520="","Arabica",$B520))&amp;" - "&amp;(IF($C520="","Commercial",$C520))),Variables!$B$1:$D$1,0),1))*IFERROR(IF(W520="","",(AVERAGE(E520:F520)-W520)-Variables!$B$14),"")/365)+(L520/16.67*INDEX(Variables!$B$8:$D$8,IFERROR(MATCH(IF($B520="Robusta","Robusta",(IF($B520="","Arabica",$B520))&amp;" - "&amp;(IF($C520="","Commercial",$C520))),Variables!$B$1:$D$1,0),1))*IFERROR(IF(W520="","",(AVERAGE(E520:F520)-W520)-Variables!$B$14),""))+(T520*INDEX(Variables!$B$9:$D$9,IFERROR(MATCH(IF($B520="Robusta","Robusta",(IF($B520="","Arabica",$B520))&amp;" - "&amp;(IF($C520="","Commercial",$C520))),Variables!$B$1:$D$1,0),1))*IFERROR(IF(W520="","",(AVERAGE(E520:F520)-W520)-Variables!$B$14),"")/365),""))</f>
        <v>39.157714492764001</v>
      </c>
      <c r="AT520" s="12">
        <f>IF($H520="Cancelled","",IFERROR((T520*INDEX(Variables!$B$7:$D$7,IFERROR(MATCH(IF($B520="Robusta","Robusta",(IF($B520="","Arabica",$B520))&amp;" - "&amp;(IF($C520="","Commercial",$C520))),Variables!$B$1:$D$1,0),1))*AC520/365)+(L520/16.67*INDEX(Variables!$B$8:$D$8,IFERROR(MATCH(IF($B520="Robusta","Robusta",(IF($B520="","Arabica",$B520))&amp;" - "&amp;(IF($C520="","Commercial",$C520))),Variables!$B$1:$D$1,0),1))*AC520)+(T520*INDEX(Variables!$B$9:$D$9,IFERROR(MATCH(IF($B520="Robusta","Robusta",(IF($B520="","Arabica",$B520))&amp;" - "&amp;(IF($C520="","Commercial",$C520))),Variables!$B$1:$D$1,0),1))*AC520/365),""))</f>
        <v>-1331.3622927539759</v>
      </c>
      <c r="AU520" s="12" t="str">
        <f>IF($H520="Cancelled","",IFERROR((T520*INDEX(Variables!$B$7:$D$7,IFERROR(MATCH(IF($B520="Robusta","Robusta",(IF($B520="","Arabica",$B520))&amp;" - "&amp;(IF($C520="","Commercial",$C520))),Variables!$B$1:$D$1,0),1))*AP520/365)+(L520/16.67*INDEX(Variables!$B$8:$D$8,IFERROR(MATCH(IF($B520="Robusta","Robusta",(IF($B520="","Arabica",$B520))&amp;" - "&amp;(IF($C520="","Commercial",$C520))),Variables!$B$1:$D$1,0),1))*AP520)+(T520*INDEX(Variables!$B$9:$D$9,IFERROR(MATCH(IF($B520="Robusta","Robusta",(IF($B520="","Arabica",$B520))&amp;" - "&amp;(IF($C520="","Commercial",$C520))),Variables!$B$1:$D$1,0),1))*AP520/365),""))</f>
        <v/>
      </c>
      <c r="AV520" s="11" t="str">
        <f t="shared" si="59"/>
        <v/>
      </c>
      <c r="AW520" s="12" t="str">
        <f>IF($H520="Cancelled","",IFERROR(IF(AV520="","",(T520*INDEX(Variables!$B$7:$D$7,IFERROR(MATCH(IF($B520="Robusta","Robusta",(IF($B520="","Arabica",$B520))&amp;" - "&amp;(IF($C520="","Commercial",$C520))),Variables!$B$1:$D$1,0),1))*(AV520/365))+(T520*INDEX(Variables!$B$9:$D$9,IFERROR(MATCH(IF($B520="Robusta","Robusta",(IF($B520="","Arabica",$B520))&amp;" - "&amp;(IF($C520="","Commercial",$C520))),Variables!$B$1:$D$1,0),1))*(AV520/365))+(INDEX(Variables!$B$8:$D$8,IFERROR(MATCH(IF($B520="Robusta","Robusta",(IF($B520="","Arabica",$B520))&amp;" - "&amp;(IF($C520="","Commercial",$C520))),Variables!$B$1:$D$1,0),1))*L520/16.67)),""))</f>
        <v/>
      </c>
      <c r="AX520" s="9"/>
      <c r="AY520" s="12"/>
      <c r="AZ520" s="10"/>
      <c r="BA520" s="9"/>
      <c r="BB520" s="10"/>
      <c r="BC520" s="9"/>
      <c r="BD520" s="9"/>
      <c r="BE520" s="9"/>
      <c r="BF520" s="9"/>
    </row>
    <row r="521" spans="1:58" x14ac:dyDescent="0.25">
      <c r="A521" s="9" t="s">
        <v>84</v>
      </c>
      <c r="B521" s="9" t="s">
        <v>85</v>
      </c>
      <c r="C521" s="9" t="s">
        <v>86</v>
      </c>
      <c r="D521" s="10">
        <v>45994</v>
      </c>
      <c r="E521" s="10">
        <v>46023</v>
      </c>
      <c r="F521" s="10">
        <v>46053</v>
      </c>
      <c r="G521" s="9">
        <v>3787064</v>
      </c>
      <c r="H521" s="9" t="str">
        <f t="shared" si="57"/>
        <v>Open</v>
      </c>
      <c r="I521" s="9" t="str">
        <f t="shared" si="58"/>
        <v>No sailing date and No shipping advice sent and No docs dispatch date</v>
      </c>
      <c r="J521" s="9" t="s">
        <v>102</v>
      </c>
      <c r="K521" s="9">
        <v>5391</v>
      </c>
      <c r="L521" s="11">
        <v>320</v>
      </c>
      <c r="M521" s="9" t="s">
        <v>1012</v>
      </c>
      <c r="N521" s="9" t="s">
        <v>432</v>
      </c>
      <c r="O521" s="9"/>
      <c r="P521" s="9"/>
      <c r="Q521" s="11">
        <v>95.75</v>
      </c>
      <c r="R521" s="9" t="s">
        <v>90</v>
      </c>
      <c r="S521" s="9" t="s">
        <v>821</v>
      </c>
      <c r="T521" s="12">
        <f>IF($H521="Cancelled","",IFERROR(((Q521+INDEX(Variables!$B$6:$D$6,IFERROR(MATCH(IF($B521="Robusta","Robusta",(IF($B521="","Arabica",$B521))&amp;" - "&amp;(IF($C521="","Commercial",$C521))),Variables!$B$1:$D$1,0),1)))*22.0462)*(L521/16.67),""))</f>
        <v>163588.88753449309</v>
      </c>
      <c r="U521" s="10">
        <v>46028</v>
      </c>
      <c r="V521" s="9" t="str">
        <f t="shared" si="55"/>
        <v>Sent</v>
      </c>
      <c r="W521" s="10">
        <v>46044</v>
      </c>
      <c r="X521" s="9" t="str">
        <f t="shared" si="56"/>
        <v>Approved</v>
      </c>
      <c r="Y521" s="10"/>
      <c r="Z521" s="10">
        <f>IF($H521="Cancelled","",IFERROR(IF(F521="","",F521-Variables!$B$13),""))</f>
        <v>46038</v>
      </c>
      <c r="AA521" s="11">
        <f>IF($H521="Cancelled","",IFERROR(IF(W521="","",(AVERAGE(E521:F521)-W521)-Variables!$B$14),""))</f>
        <v>-36</v>
      </c>
      <c r="AB521" s="10">
        <v>46050</v>
      </c>
      <c r="AC521" s="11">
        <f>IF($H521="Cancelled","",IFERROR(IF(AB521="","",IF(AND(W521="",Y521=""),"",IF(Y521&gt;W521,Y521+Variables!$B$15+Variables!$B$16+Variables!$B$17-AB521,W521+Variables!$B$16+Variables!$B$17-AB521))),""))</f>
        <v>2</v>
      </c>
      <c r="AD521" s="9" t="s">
        <v>107</v>
      </c>
      <c r="AE521" s="9"/>
      <c r="AF521" s="10"/>
      <c r="AG521" s="10"/>
      <c r="AH521" s="9"/>
      <c r="AI521" s="9"/>
      <c r="AJ521" s="9"/>
      <c r="AK521" s="10"/>
      <c r="AL521" s="10"/>
      <c r="AM521" s="10"/>
      <c r="AN521" s="9" t="s">
        <v>1299</v>
      </c>
      <c r="AO521" s="9"/>
      <c r="AP521" s="11" t="str">
        <f>IF($H521="Cancelled","",IFERROR(IF(OR(AK521="",AB521=""),"",(AB521+Variables!$B$18-AK521)),""))</f>
        <v/>
      </c>
      <c r="AQ521" s="11" t="str">
        <f>IF($H521="Cancelled","",IFERROR(IF(OR(AM521="",AK521=""),"",(AK521+Variables!$B$19)-AM521),""))</f>
        <v/>
      </c>
      <c r="AR521" s="12" t="str">
        <f>IF($H521="Cancelled","",IFERROR(T521*INDEX(Variables!$B$7:$D$7,IFERROR(MATCH(IF($B521="Robusta","Robusta",(IF($B521="","Arabica",$B521))&amp;" - "&amp;(IF($C521="","Commercial",$C521))),Variables!$B$1:$D$1,0),1))*(AQ521/365),""))</f>
        <v/>
      </c>
      <c r="AS521" s="12">
        <f>IF($H521="Cancelled","",IFERROR((T521*INDEX(Variables!$B$7:$D$7,IFERROR(MATCH(IF($B521="Robusta","Robusta",(IF($B521="","Arabica",$B521))&amp;" - "&amp;(IF($C521="","Commercial",$C521))),Variables!$B$1:$D$1,0),1))*IFERROR(IF(W521="","",(AVERAGE(E521:F521)-W521)-Variables!$B$14),"")/365)+(L521/16.67*INDEX(Variables!$B$8:$D$8,IFERROR(MATCH(IF($B521="Robusta","Robusta",(IF($B521="","Arabica",$B521))&amp;" - "&amp;(IF($C521="","Commercial",$C521))),Variables!$B$1:$D$1,0),1))*IFERROR(IF(W521="","",(AVERAGE(E521:F521)-W521)-Variables!$B$14),""))+(T521*INDEX(Variables!$B$9:$D$9,IFERROR(MATCH(IF($B521="Robusta","Robusta",(IF($B521="","Arabica",$B521))&amp;" - "&amp;(IF($C521="","Commercial",$C521))),Variables!$B$1:$D$1,0),1))*IFERROR(IF(W521="","",(AVERAGE(E521:F521)-W521)-Variables!$B$14),"")/365),""))</f>
        <v>-1629.8198931929537</v>
      </c>
      <c r="AT521" s="12">
        <f>IF($H521="Cancelled","",IFERROR((T521*INDEX(Variables!$B$7:$D$7,IFERROR(MATCH(IF($B521="Robusta","Robusta",(IF($B521="","Arabica",$B521))&amp;" - "&amp;(IF($C521="","Commercial",$C521))),Variables!$B$1:$D$1,0),1))*AC521/365)+(L521/16.67*INDEX(Variables!$B$8:$D$8,IFERROR(MATCH(IF($B521="Robusta","Robusta",(IF($B521="","Arabica",$B521))&amp;" - "&amp;(IF($C521="","Commercial",$C521))),Variables!$B$1:$D$1,0),1))*AC521)+(T521*INDEX(Variables!$B$9:$D$9,IFERROR(MATCH(IF($B521="Robusta","Robusta",(IF($B521="","Arabica",$B521))&amp;" - "&amp;(IF($C521="","Commercial",$C521))),Variables!$B$1:$D$1,0),1))*AC521/365),""))</f>
        <v>90.545549621830773</v>
      </c>
      <c r="AU521" s="12" t="str">
        <f>IF($H521="Cancelled","",IFERROR((T521*INDEX(Variables!$B$7:$D$7,IFERROR(MATCH(IF($B521="Robusta","Robusta",(IF($B521="","Arabica",$B521))&amp;" - "&amp;(IF($C521="","Commercial",$C521))),Variables!$B$1:$D$1,0),1))*AP521/365)+(L521/16.67*INDEX(Variables!$B$8:$D$8,IFERROR(MATCH(IF($B521="Robusta","Robusta",(IF($B521="","Arabica",$B521))&amp;" - "&amp;(IF($C521="","Commercial",$C521))),Variables!$B$1:$D$1,0),1))*AP521)+(T521*INDEX(Variables!$B$9:$D$9,IFERROR(MATCH(IF($B521="Robusta","Robusta",(IF($B521="","Arabica",$B521))&amp;" - "&amp;(IF($C521="","Commercial",$C521))),Variables!$B$1:$D$1,0),1))*AP521/365),""))</f>
        <v/>
      </c>
      <c r="AV521" s="11" t="str">
        <f t="shared" si="59"/>
        <v/>
      </c>
      <c r="AW521" s="12" t="str">
        <f>IF($H521="Cancelled","",IFERROR(IF(AV521="","",(T521*INDEX(Variables!$B$7:$D$7,IFERROR(MATCH(IF($B521="Robusta","Robusta",(IF($B521="","Arabica",$B521))&amp;" - "&amp;(IF($C521="","Commercial",$C521))),Variables!$B$1:$D$1,0),1))*(AV521/365))+(T521*INDEX(Variables!$B$9:$D$9,IFERROR(MATCH(IF($B521="Robusta","Robusta",(IF($B521="","Arabica",$B521))&amp;" - "&amp;(IF($C521="","Commercial",$C521))),Variables!$B$1:$D$1,0),1))*(AV521/365))+(INDEX(Variables!$B$8:$D$8,IFERROR(MATCH(IF($B521="Robusta","Robusta",(IF($B521="","Arabica",$B521))&amp;" - "&amp;(IF($C521="","Commercial",$C521))),Variables!$B$1:$D$1,0),1))*L521/16.67)),""))</f>
        <v/>
      </c>
      <c r="AX521" s="9"/>
      <c r="AY521" s="12"/>
      <c r="AZ521" s="10"/>
      <c r="BA521" s="9"/>
      <c r="BB521" s="10"/>
      <c r="BC521" s="9"/>
      <c r="BD521" s="9"/>
      <c r="BE521" s="9"/>
      <c r="BF521" s="9"/>
    </row>
    <row r="522" spans="1:58" x14ac:dyDescent="0.25">
      <c r="A522" s="9" t="s">
        <v>84</v>
      </c>
      <c r="B522" s="9" t="s">
        <v>85</v>
      </c>
      <c r="C522" s="9" t="s">
        <v>86</v>
      </c>
      <c r="D522" s="10">
        <v>45994</v>
      </c>
      <c r="E522" s="10">
        <v>46054</v>
      </c>
      <c r="F522" s="10">
        <v>46081</v>
      </c>
      <c r="G522" s="9">
        <v>3787023</v>
      </c>
      <c r="H522" s="9" t="str">
        <f t="shared" si="57"/>
        <v>Open</v>
      </c>
      <c r="I522" s="9" t="str">
        <f t="shared" si="58"/>
        <v>No sailing date and No shipping advice sent and No docs dispatch date</v>
      </c>
      <c r="J522" s="9" t="s">
        <v>102</v>
      </c>
      <c r="K522" s="9">
        <v>5403</v>
      </c>
      <c r="L522" s="11">
        <v>1667</v>
      </c>
      <c r="M522" s="9" t="s">
        <v>1300</v>
      </c>
      <c r="N522" s="9" t="s">
        <v>432</v>
      </c>
      <c r="O522" s="9"/>
      <c r="P522" s="9"/>
      <c r="Q522" s="11">
        <v>53</v>
      </c>
      <c r="R522" s="9" t="s">
        <v>90</v>
      </c>
      <c r="S522" s="9" t="s">
        <v>156</v>
      </c>
      <c r="T522" s="12">
        <f>IF($H522="Cancelled","",IFERROR(((Q522+INDEX(Variables!$B$6:$D$6,IFERROR(MATCH(IF($B522="Robusta","Robusta",(IF($B522="","Arabica",$B522))&amp;" - "&amp;(IF($C522="","Commercial",$C522))),Variables!$B$1:$D$1,0),1)))*22.0462)*(L522/16.67),""))</f>
        <v>757948.35599999991</v>
      </c>
      <c r="U522" s="10">
        <v>46034</v>
      </c>
      <c r="V522" s="9" t="str">
        <f t="shared" ref="V522:V553" si="60">IF(ISNUMBER(U522),"Sent","")</f>
        <v>Sent</v>
      </c>
      <c r="W522" s="10"/>
      <c r="X522" s="9" t="str">
        <f t="shared" si="56"/>
        <v/>
      </c>
      <c r="Y522" s="10"/>
      <c r="Z522" s="10">
        <f>IF($H522="Cancelled","",IFERROR(IF(F522="","",F522-Variables!$B$13),""))</f>
        <v>46066</v>
      </c>
      <c r="AA522" s="11" t="str">
        <f>IF($H522="Cancelled","",IFERROR(IF(W522="","",(AVERAGE(E522:F522)-W522)-Variables!$B$14),""))</f>
        <v/>
      </c>
      <c r="AB522" s="10">
        <v>46076</v>
      </c>
      <c r="AC522" s="11" t="str">
        <f>IF($H522="Cancelled","",IFERROR(IF(AB522="","",IF(AND(W522="",Y522=""),"",IF(Y522&gt;W522,Y522+Variables!$B$15+Variables!$B$16+Variables!$B$17-AB522,W522+Variables!$B$16+Variables!$B$17-AB522))),""))</f>
        <v/>
      </c>
      <c r="AD522" s="9" t="s">
        <v>163</v>
      </c>
      <c r="AE522" s="9" t="s">
        <v>955</v>
      </c>
      <c r="AF522" s="10"/>
      <c r="AG522" s="10"/>
      <c r="AH522" s="9"/>
      <c r="AI522" s="9">
        <v>266307816</v>
      </c>
      <c r="AJ522" s="9"/>
      <c r="AK522" s="10"/>
      <c r="AL522" s="10"/>
      <c r="AM522" s="10"/>
      <c r="AN522" s="9" t="s">
        <v>1301</v>
      </c>
      <c r="AO522" s="9"/>
      <c r="AP522" s="11" t="str">
        <f>IF($H522="Cancelled","",IFERROR(IF(OR(AK522="",AB522=""),"",(AB522+Variables!$B$18-AK522)),""))</f>
        <v/>
      </c>
      <c r="AQ522" s="11" t="str">
        <f>IF($H522="Cancelled","",IFERROR(IF(OR(AM522="",AK522=""),"",(AK522+Variables!$B$19)-AM522),""))</f>
        <v/>
      </c>
      <c r="AR522" s="12" t="str">
        <f>IF($H522="Cancelled","",IFERROR(T522*INDEX(Variables!$B$7:$D$7,IFERROR(MATCH(IF($B522="Robusta","Robusta",(IF($B522="","Arabica",$B522))&amp;" - "&amp;(IF($C522="","Commercial",$C522))),Variables!$B$1:$D$1,0),1))*(AQ522/365),""))</f>
        <v/>
      </c>
      <c r="AS522" s="12" t="str">
        <f>IF($H522="Cancelled","",IFERROR((T522*INDEX(Variables!$B$7:$D$7,IFERROR(MATCH(IF($B522="Robusta","Robusta",(IF($B522="","Arabica",$B522))&amp;" - "&amp;(IF($C522="","Commercial",$C522))),Variables!$B$1:$D$1,0),1))*IFERROR(IF(W522="","",(AVERAGE(E522:F522)-W522)-Variables!$B$14),"")/365)+(L522/16.67*INDEX(Variables!$B$8:$D$8,IFERROR(MATCH(IF($B522="Robusta","Robusta",(IF($B522="","Arabica",$B522))&amp;" - "&amp;(IF($C522="","Commercial",$C522))),Variables!$B$1:$D$1,0),1))*IFERROR(IF(W522="","",(AVERAGE(E522:F522)-W522)-Variables!$B$14),""))+(T522*INDEX(Variables!$B$9:$D$9,IFERROR(MATCH(IF($B522="Robusta","Robusta",(IF($B522="","Arabica",$B522))&amp;" - "&amp;(IF($C522="","Commercial",$C522))),Variables!$B$1:$D$1,0),1))*IFERROR(IF(W522="","",(AVERAGE(E522:F522)-W522)-Variables!$B$14),"")/365),""))</f>
        <v/>
      </c>
      <c r="AT522" s="12" t="str">
        <f>IF($H522="Cancelled","",IFERROR((T522*INDEX(Variables!$B$7:$D$7,IFERROR(MATCH(IF($B522="Robusta","Robusta",(IF($B522="","Arabica",$B522))&amp;" - "&amp;(IF($C522="","Commercial",$C522))),Variables!$B$1:$D$1,0),1))*AC522/365)+(L522/16.67*INDEX(Variables!$B$8:$D$8,IFERROR(MATCH(IF($B522="Robusta","Robusta",(IF($B522="","Arabica",$B522))&amp;" - "&amp;(IF($C522="","Commercial",$C522))),Variables!$B$1:$D$1,0),1))*AC522)+(T522*INDEX(Variables!$B$9:$D$9,IFERROR(MATCH(IF($B522="Robusta","Robusta",(IF($B522="","Arabica",$B522))&amp;" - "&amp;(IF($C522="","Commercial",$C522))),Variables!$B$1:$D$1,0),1))*AC522/365),""))</f>
        <v/>
      </c>
      <c r="AU522" s="12" t="str">
        <f>IF($H522="Cancelled","",IFERROR((T522*INDEX(Variables!$B$7:$D$7,IFERROR(MATCH(IF($B522="Robusta","Robusta",(IF($B522="","Arabica",$B522))&amp;" - "&amp;(IF($C522="","Commercial",$C522))),Variables!$B$1:$D$1,0),1))*AP522/365)+(L522/16.67*INDEX(Variables!$B$8:$D$8,IFERROR(MATCH(IF($B522="Robusta","Robusta",(IF($B522="","Arabica",$B522))&amp;" - "&amp;(IF($C522="","Commercial",$C522))),Variables!$B$1:$D$1,0),1))*AP522)+(T522*INDEX(Variables!$B$9:$D$9,IFERROR(MATCH(IF($B522="Robusta","Robusta",(IF($B522="","Arabica",$B522))&amp;" - "&amp;(IF($C522="","Commercial",$C522))),Variables!$B$1:$D$1,0),1))*AP522/365),""))</f>
        <v/>
      </c>
      <c r="AV522" s="11" t="str">
        <f t="shared" si="59"/>
        <v/>
      </c>
      <c r="AW522" s="12" t="str">
        <f>IF($H522="Cancelled","",IFERROR(IF(AV522="","",(T522*INDEX(Variables!$B$7:$D$7,IFERROR(MATCH(IF($B522="Robusta","Robusta",(IF($B522="","Arabica",$B522))&amp;" - "&amp;(IF($C522="","Commercial",$C522))),Variables!$B$1:$D$1,0),1))*(AV522/365))+(T522*INDEX(Variables!$B$9:$D$9,IFERROR(MATCH(IF($B522="Robusta","Robusta",(IF($B522="","Arabica",$B522))&amp;" - "&amp;(IF($C522="","Commercial",$C522))),Variables!$B$1:$D$1,0),1))*(AV522/365))+(INDEX(Variables!$B$8:$D$8,IFERROR(MATCH(IF($B522="Robusta","Robusta",(IF($B522="","Arabica",$B522))&amp;" - "&amp;(IF($C522="","Commercial",$C522))),Variables!$B$1:$D$1,0),1))*L522/16.67)),""))</f>
        <v/>
      </c>
      <c r="AX522" s="9"/>
      <c r="AY522" s="12"/>
      <c r="AZ522" s="10"/>
      <c r="BA522" s="9"/>
      <c r="BB522" s="10"/>
      <c r="BC522" s="9"/>
      <c r="BD522" s="9"/>
      <c r="BE522" s="9"/>
      <c r="BF522" s="9"/>
    </row>
    <row r="523" spans="1:58" x14ac:dyDescent="0.25">
      <c r="A523" s="9" t="s">
        <v>84</v>
      </c>
      <c r="B523" s="9" t="s">
        <v>85</v>
      </c>
      <c r="C523" s="9" t="s">
        <v>86</v>
      </c>
      <c r="D523" s="10">
        <v>45986</v>
      </c>
      <c r="E523" s="10">
        <v>46082</v>
      </c>
      <c r="F523" s="10">
        <v>46112</v>
      </c>
      <c r="G523" s="9">
        <v>3787003</v>
      </c>
      <c r="H523" s="9" t="str">
        <f t="shared" si="57"/>
        <v>Open</v>
      </c>
      <c r="I523" s="9" t="str">
        <f t="shared" si="58"/>
        <v>No shipping advice sent and No docs dispatch date</v>
      </c>
      <c r="J523" s="9" t="s">
        <v>102</v>
      </c>
      <c r="K523" s="9">
        <v>5405</v>
      </c>
      <c r="L523" s="11">
        <v>34</v>
      </c>
      <c r="M523" s="9" t="s">
        <v>1302</v>
      </c>
      <c r="N523" s="9" t="s">
        <v>1130</v>
      </c>
      <c r="O523" s="9"/>
      <c r="P523" s="9"/>
      <c r="Q523" s="11">
        <v>117.3</v>
      </c>
      <c r="R523" s="9" t="s">
        <v>90</v>
      </c>
      <c r="S523" s="9" t="s">
        <v>106</v>
      </c>
      <c r="T523" s="12">
        <f>IF($H523="Cancelled","",IFERROR(((Q523+INDEX(Variables!$B$6:$D$6,IFERROR(MATCH(IF($B523="Robusta","Robusta",(IF($B523="","Arabica",$B523))&amp;" - "&amp;(IF($C523="","Commercial",$C523))),Variables!$B$1:$D$1,0),1)))*22.0462)*(L523/16.67),""))</f>
        <v>18350.320544691062</v>
      </c>
      <c r="U523" s="10">
        <v>46051</v>
      </c>
      <c r="V523" s="9" t="str">
        <f t="shared" si="60"/>
        <v>Sent</v>
      </c>
      <c r="W523" s="10">
        <v>46065</v>
      </c>
      <c r="X523" s="9" t="str">
        <f t="shared" si="56"/>
        <v>Approved</v>
      </c>
      <c r="Y523" s="10"/>
      <c r="Z523" s="10">
        <f>IF($H523="Cancelled","",IFERROR(IF(F523="","",F523-Variables!$B$13),""))</f>
        <v>46097</v>
      </c>
      <c r="AA523" s="11">
        <f>IF($H523="Cancelled","",IFERROR(IF(W523="","",(AVERAGE(E523:F523)-W523)-Variables!$B$14),""))</f>
        <v>2</v>
      </c>
      <c r="AB523" s="10">
        <v>46081</v>
      </c>
      <c r="AC523" s="11">
        <f>IF($H523="Cancelled","",IFERROR(IF(AB523="","",IF(AND(W523="",Y523=""),"",IF(Y523&gt;W523,Y523+Variables!$B$15+Variables!$B$16+Variables!$B$17-AB523,W523+Variables!$B$16+Variables!$B$17-AB523))),""))</f>
        <v>-8</v>
      </c>
      <c r="AD523" s="9" t="s">
        <v>163</v>
      </c>
      <c r="AE523" s="9" t="s">
        <v>1261</v>
      </c>
      <c r="AF523" s="10">
        <v>46134</v>
      </c>
      <c r="AG523" s="10"/>
      <c r="AH523" s="9"/>
      <c r="AI523" s="9">
        <v>266588433</v>
      </c>
      <c r="AJ523" s="9"/>
      <c r="AK523" s="10">
        <v>46087</v>
      </c>
      <c r="AL523" s="10"/>
      <c r="AM523" s="10"/>
      <c r="AN523" s="9" t="s">
        <v>1303</v>
      </c>
      <c r="AO523" s="9"/>
      <c r="AP523" s="11">
        <f>IF($H523="Cancelled","",IFERROR(IF(OR(AK523="",AB523=""),"",(AB523+Variables!$B$18-AK523)),""))</f>
        <v>1</v>
      </c>
      <c r="AQ523" s="11" t="str">
        <f>IF($H523="Cancelled","",IFERROR(IF(OR(AM523="",AK523=""),"",(AK523+Variables!$B$19)-AM523),""))</f>
        <v/>
      </c>
      <c r="AR523" s="12" t="str">
        <f>IF($H523="Cancelled","",IFERROR(T523*INDEX(Variables!$B$7:$D$7,IFERROR(MATCH(IF($B523="Robusta","Robusta",(IF($B523="","Arabica",$B523))&amp;" - "&amp;(IF($C523="","Commercial",$C523))),Variables!$B$1:$D$1,0),1))*(AQ523/365),""))</f>
        <v/>
      </c>
      <c r="AS523" s="12">
        <f>IF($H523="Cancelled","",IFERROR((T523*INDEX(Variables!$B$7:$D$7,IFERROR(MATCH(IF($B523="Robusta","Robusta",(IF($B523="","Arabica",$B523))&amp;" - "&amp;(IF($C523="","Commercial",$C523))),Variables!$B$1:$D$1,0),1))*IFERROR(IF(W523="","",(AVERAGE(E523:F523)-W523)-Variables!$B$14),"")/365)+(L523/16.67*INDEX(Variables!$B$8:$D$8,IFERROR(MATCH(IF($B523="Robusta","Robusta",(IF($B523="","Arabica",$B523))&amp;" - "&amp;(IF($C523="","Commercial",$C523))),Variables!$B$1:$D$1,0),1))*IFERROR(IF(W523="","",(AVERAGE(E523:F523)-W523)-Variables!$B$14),""))+(T523*INDEX(Variables!$B$9:$D$9,IFERROR(MATCH(IF($B523="Robusta","Robusta",(IF($B523="","Arabica",$B523))&amp;" - "&amp;(IF($C523="","Commercial",$C523))),Variables!$B$1:$D$1,0),1))*IFERROR(IF(W523="","",(AVERAGE(E523:F523)-W523)-Variables!$B$14),"")/365),""))</f>
        <v>9.9672529364146829</v>
      </c>
      <c r="AT523" s="12">
        <f>IF($H523="Cancelled","",IFERROR((T523*INDEX(Variables!$B$7:$D$7,IFERROR(MATCH(IF($B523="Robusta","Robusta",(IF($B523="","Arabica",$B523))&amp;" - "&amp;(IF($C523="","Commercial",$C523))),Variables!$B$1:$D$1,0),1))*AC523/365)+(L523/16.67*INDEX(Variables!$B$8:$D$8,IFERROR(MATCH(IF($B523="Robusta","Robusta",(IF($B523="","Arabica",$B523))&amp;" - "&amp;(IF($C523="","Commercial",$C523))),Variables!$B$1:$D$1,0),1))*AC523)+(T523*INDEX(Variables!$B$9:$D$9,IFERROR(MATCH(IF($B523="Robusta","Robusta",(IF($B523="","Arabica",$B523))&amp;" - "&amp;(IF($C523="","Commercial",$C523))),Variables!$B$1:$D$1,0),1))*AC523/365),""))</f>
        <v>-39.869011745658732</v>
      </c>
      <c r="AU523" s="12">
        <f>IF($H523="Cancelled","",IFERROR((T523*INDEX(Variables!$B$7:$D$7,IFERROR(MATCH(IF($B523="Robusta","Robusta",(IF($B523="","Arabica",$B523))&amp;" - "&amp;(IF($C523="","Commercial",$C523))),Variables!$B$1:$D$1,0),1))*AP523/365)+(L523/16.67*INDEX(Variables!$B$8:$D$8,IFERROR(MATCH(IF($B523="Robusta","Robusta",(IF($B523="","Arabica",$B523))&amp;" - "&amp;(IF($C523="","Commercial",$C523))),Variables!$B$1:$D$1,0),1))*AP523)+(T523*INDEX(Variables!$B$9:$D$9,IFERROR(MATCH(IF($B523="Robusta","Robusta",(IF($B523="","Arabica",$B523))&amp;" - "&amp;(IF($C523="","Commercial",$C523))),Variables!$B$1:$D$1,0),1))*AP523/365),""))</f>
        <v>4.9836264682073415</v>
      </c>
      <c r="AV523" s="11">
        <f t="shared" si="59"/>
        <v>25</v>
      </c>
      <c r="AW523" s="12">
        <f>IF($H523="Cancelled","",IFERROR(IF(AV523="","",(T523*INDEX(Variables!$B$7:$D$7,IFERROR(MATCH(IF($B523="Robusta","Robusta",(IF($B523="","Arabica",$B523))&amp;" - "&amp;(IF($C523="","Commercial",$C523))),Variables!$B$1:$D$1,0),1))*(AV523/365))+(T523*INDEX(Variables!$B$9:$D$9,IFERROR(MATCH(IF($B523="Robusta","Robusta",(IF($B523="","Arabica",$B523))&amp;" - "&amp;(IF($C523="","Commercial",$C523))),Variables!$B$1:$D$1,0),1))*(AV523/365))+(INDEX(Variables!$B$8:$D$8,IFERROR(MATCH(IF($B523="Robusta","Robusta",(IF($B523="","Arabica",$B523))&amp;" - "&amp;(IF($C523="","Commercial",$C523))),Variables!$B$1:$D$1,0),1))*L523/16.67)),""))</f>
        <v>83.790661705183538</v>
      </c>
      <c r="AX523" s="9"/>
      <c r="AY523" s="12"/>
      <c r="AZ523" s="10"/>
      <c r="BA523" s="9"/>
      <c r="BB523" s="10"/>
      <c r="BC523" s="9"/>
      <c r="BD523" s="9"/>
      <c r="BE523" s="9"/>
      <c r="BF523" s="9"/>
    </row>
    <row r="524" spans="1:58" x14ac:dyDescent="0.25">
      <c r="A524" s="9" t="s">
        <v>84</v>
      </c>
      <c r="B524" s="9" t="s">
        <v>85</v>
      </c>
      <c r="C524" s="9" t="s">
        <v>86</v>
      </c>
      <c r="D524" s="10">
        <v>45986</v>
      </c>
      <c r="E524" s="10">
        <v>46082</v>
      </c>
      <c r="F524" s="10">
        <v>46112</v>
      </c>
      <c r="G524" s="9">
        <v>3787003</v>
      </c>
      <c r="H524" s="9" t="str">
        <f t="shared" si="57"/>
        <v>Open</v>
      </c>
      <c r="I524" s="9" t="str">
        <f t="shared" si="58"/>
        <v>No shipping advice sent and No docs dispatch date</v>
      </c>
      <c r="J524" s="9" t="s">
        <v>102</v>
      </c>
      <c r="K524" s="9" t="s">
        <v>1304</v>
      </c>
      <c r="L524" s="11">
        <v>168</v>
      </c>
      <c r="M524" s="9" t="s">
        <v>1302</v>
      </c>
      <c r="N524" s="9" t="s">
        <v>1130</v>
      </c>
      <c r="O524" s="9"/>
      <c r="P524" s="9"/>
      <c r="Q524" s="11">
        <v>117.3</v>
      </c>
      <c r="R524" s="9" t="s">
        <v>90</v>
      </c>
      <c r="S524" s="9"/>
      <c r="T524" s="12">
        <f>IF($H524="Cancelled","",IFERROR(((Q524+INDEX(Variables!$B$6:$D$6,IFERROR(MATCH(IF($B524="Robusta","Robusta",(IF($B524="","Arabica",$B524))&amp;" - "&amp;(IF($C524="","Commercial",$C524))),Variables!$B$1:$D$1,0),1)))*22.0462)*(L524/16.67),""))</f>
        <v>90672.172103179357</v>
      </c>
      <c r="U524" s="10">
        <v>46051</v>
      </c>
      <c r="V524" s="9" t="str">
        <f t="shared" si="60"/>
        <v>Sent</v>
      </c>
      <c r="W524" s="10">
        <v>46065</v>
      </c>
      <c r="X524" s="9" t="str">
        <f t="shared" si="56"/>
        <v>Approved</v>
      </c>
      <c r="Y524" s="10"/>
      <c r="Z524" s="10">
        <f>IF($H524="Cancelled","",IFERROR(IF(F524="","",F524-Variables!$B$13),""))</f>
        <v>46097</v>
      </c>
      <c r="AA524" s="11">
        <f>IF($H524="Cancelled","",IFERROR(IF(W524="","",(AVERAGE(E524:F524)-W524)-Variables!$B$14),""))</f>
        <v>2</v>
      </c>
      <c r="AB524" s="10">
        <v>46100</v>
      </c>
      <c r="AC524" s="11">
        <f>IF($H524="Cancelled","",IFERROR(IF(AB524="","",IF(AND(W524="",Y524=""),"",IF(Y524&gt;W524,Y524+Variables!$B$15+Variables!$B$16+Variables!$B$17-AB524,W524+Variables!$B$16+Variables!$B$17-AB524))),""))</f>
        <v>-27</v>
      </c>
      <c r="AD524" s="9" t="s">
        <v>163</v>
      </c>
      <c r="AE524" s="9" t="s">
        <v>1305</v>
      </c>
      <c r="AF524" s="10">
        <v>46144</v>
      </c>
      <c r="AG524" s="10"/>
      <c r="AH524" s="9"/>
      <c r="AI524" s="9">
        <v>267420833</v>
      </c>
      <c r="AJ524" s="9"/>
      <c r="AK524" s="10">
        <v>46111</v>
      </c>
      <c r="AL524" s="10"/>
      <c r="AM524" s="10"/>
      <c r="AN524" s="9" t="s">
        <v>1306</v>
      </c>
      <c r="AO524" s="9"/>
      <c r="AP524" s="11">
        <f>IF($H524="Cancelled","",IFERROR(IF(OR(AK524="",AB524=""),"",(AB524+Variables!$B$18-AK524)),""))</f>
        <v>-4</v>
      </c>
      <c r="AQ524" s="11" t="str">
        <f>IF($H524="Cancelled","",IFERROR(IF(OR(AM524="",AK524=""),"",(AK524+Variables!$B$19)-AM524),""))</f>
        <v/>
      </c>
      <c r="AR524" s="12" t="str">
        <f>IF($H524="Cancelled","",IFERROR(T524*INDEX(Variables!$B$7:$D$7,IFERROR(MATCH(IF($B524="Robusta","Robusta",(IF($B524="","Arabica",$B524))&amp;" - "&amp;(IF($C524="","Commercial",$C524))),Variables!$B$1:$D$1,0),1))*(AQ524/365),""))</f>
        <v/>
      </c>
      <c r="AS524" s="12">
        <f>IF($H524="Cancelled","",IFERROR((T524*INDEX(Variables!$B$7:$D$7,IFERROR(MATCH(IF($B524="Robusta","Robusta",(IF($B524="","Arabica",$B524))&amp;" - "&amp;(IF($C524="","Commercial",$C524))),Variables!$B$1:$D$1,0),1))*IFERROR(IF(W524="","",(AVERAGE(E524:F524)-W524)-Variables!$B$14),"")/365)+(L524/16.67*INDEX(Variables!$B$8:$D$8,IFERROR(MATCH(IF($B524="Robusta","Robusta",(IF($B524="","Arabica",$B524))&amp;" - "&amp;(IF($C524="","Commercial",$C524))),Variables!$B$1:$D$1,0),1))*IFERROR(IF(W524="","",(AVERAGE(E524:F524)-W524)-Variables!$B$14),""))+(T524*INDEX(Variables!$B$9:$D$9,IFERROR(MATCH(IF($B524="Robusta","Robusta",(IF($B524="","Arabica",$B524))&amp;" - "&amp;(IF($C524="","Commercial",$C524))),Variables!$B$1:$D$1,0),1))*IFERROR(IF(W524="","",(AVERAGE(E524:F524)-W524)-Variables!$B$14),"")/365),""))</f>
        <v>49.249955685813738</v>
      </c>
      <c r="AT524" s="12">
        <f>IF($H524="Cancelled","",IFERROR((T524*INDEX(Variables!$B$7:$D$7,IFERROR(MATCH(IF($B524="Robusta","Robusta",(IF($B524="","Arabica",$B524))&amp;" - "&amp;(IF($C524="","Commercial",$C524))),Variables!$B$1:$D$1,0),1))*AC524/365)+(L524/16.67*INDEX(Variables!$B$8:$D$8,IFERROR(MATCH(IF($B524="Robusta","Robusta",(IF($B524="","Arabica",$B524))&amp;" - "&amp;(IF($C524="","Commercial",$C524))),Variables!$B$1:$D$1,0),1))*AC524)+(T524*INDEX(Variables!$B$9:$D$9,IFERROR(MATCH(IF($B524="Robusta","Robusta",(IF($B524="","Arabica",$B524))&amp;" - "&amp;(IF($C524="","Commercial",$C524))),Variables!$B$1:$D$1,0),1))*AC524/365),""))</f>
        <v>-664.87440175848531</v>
      </c>
      <c r="AU524" s="12">
        <f>IF($H524="Cancelled","",IFERROR((T524*INDEX(Variables!$B$7:$D$7,IFERROR(MATCH(IF($B524="Robusta","Robusta",(IF($B524="","Arabica",$B524))&amp;" - "&amp;(IF($C524="","Commercial",$C524))),Variables!$B$1:$D$1,0),1))*AP524/365)+(L524/16.67*INDEX(Variables!$B$8:$D$8,IFERROR(MATCH(IF($B524="Robusta","Robusta",(IF($B524="","Arabica",$B524))&amp;" - "&amp;(IF($C524="","Commercial",$C524))),Variables!$B$1:$D$1,0),1))*AP524)+(T524*INDEX(Variables!$B$9:$D$9,IFERROR(MATCH(IF($B524="Robusta","Robusta",(IF($B524="","Arabica",$B524))&amp;" - "&amp;(IF($C524="","Commercial",$C524))),Variables!$B$1:$D$1,0),1))*AP524/365),""))</f>
        <v>-98.499911371627476</v>
      </c>
      <c r="AV524" s="11">
        <f t="shared" si="59"/>
        <v>1</v>
      </c>
      <c r="AW524" s="12">
        <f>IF($H524="Cancelled","",IFERROR(IF(AV524="","",(T524*INDEX(Variables!$B$7:$D$7,IFERROR(MATCH(IF($B524="Robusta","Robusta",(IF($B524="","Arabica",$B524))&amp;" - "&amp;(IF($C524="","Commercial",$C524))),Variables!$B$1:$D$1,0),1))*(AV524/365))+(T524*INDEX(Variables!$B$9:$D$9,IFERROR(MATCH(IF($B524="Robusta","Robusta",(IF($B524="","Arabica",$B524))&amp;" - "&amp;(IF($C524="","Commercial",$C524))),Variables!$B$1:$D$1,0),1))*(AV524/365))+(INDEX(Variables!$B$8:$D$8,IFERROR(MATCH(IF($B524="Robusta","Robusta",(IF($B524="","Arabica",$B524))&amp;" - "&amp;(IF($C524="","Commercial",$C524))),Variables!$B$1:$D$1,0),1))*L524/16.67)),""))</f>
        <v>24.624977842906866</v>
      </c>
      <c r="AX524" s="9"/>
      <c r="AY524" s="12"/>
      <c r="AZ524" s="10"/>
      <c r="BA524" s="9"/>
      <c r="BB524" s="10"/>
      <c r="BC524" s="9"/>
      <c r="BD524" s="9"/>
      <c r="BE524" s="9"/>
      <c r="BF524" s="9"/>
    </row>
    <row r="525" spans="1:58" x14ac:dyDescent="0.25">
      <c r="A525" s="9" t="s">
        <v>84</v>
      </c>
      <c r="B525" s="9" t="s">
        <v>85</v>
      </c>
      <c r="C525" s="9" t="s">
        <v>86</v>
      </c>
      <c r="D525" s="10">
        <v>45995</v>
      </c>
      <c r="E525" s="10">
        <v>45992</v>
      </c>
      <c r="F525" s="10">
        <v>46022</v>
      </c>
      <c r="G525" s="9">
        <v>3787026</v>
      </c>
      <c r="H525" s="9" t="str">
        <f t="shared" si="57"/>
        <v>Closed</v>
      </c>
      <c r="I525" s="9" t="str">
        <f t="shared" si="58"/>
        <v>All dates received</v>
      </c>
      <c r="J525" s="9" t="s">
        <v>102</v>
      </c>
      <c r="K525" s="9">
        <v>5371</v>
      </c>
      <c r="L525" s="11">
        <v>1280</v>
      </c>
      <c r="M525" s="9" t="s">
        <v>1307</v>
      </c>
      <c r="N525" s="9" t="s">
        <v>934</v>
      </c>
      <c r="O525" s="9"/>
      <c r="P525" s="9"/>
      <c r="Q525" s="11">
        <v>-20</v>
      </c>
      <c r="R525" s="9" t="s">
        <v>90</v>
      </c>
      <c r="S525" s="9" t="s">
        <v>106</v>
      </c>
      <c r="T525" s="12">
        <f>IF($H525="Cancelled","",IFERROR(((Q525+INDEX(Variables!$B$6:$D$6,IFERROR(MATCH(IF($B525="Robusta","Robusta",(IF($B525="","Arabica",$B525))&amp;" - "&amp;(IF($C525="","Commercial",$C525))),Variables!$B$1:$D$1,0),1)))*22.0462)*(L525/16.67),""))</f>
        <v>458412.8391601679</v>
      </c>
      <c r="U525" s="10"/>
      <c r="V525" s="9" t="str">
        <f t="shared" si="60"/>
        <v/>
      </c>
      <c r="W525" s="10">
        <v>45977</v>
      </c>
      <c r="X525" s="9" t="str">
        <f t="shared" si="56"/>
        <v>Approved</v>
      </c>
      <c r="Y525" s="10">
        <v>46001</v>
      </c>
      <c r="Z525" s="10">
        <f>IF($H525="Cancelled","",IFERROR(IF(F525="","",F525-Variables!$B$13),""))</f>
        <v>46007</v>
      </c>
      <c r="AA525" s="11">
        <f>IF($H525="Cancelled","",IFERROR(IF(W525="","",(AVERAGE(E525:F525)-W525)-Variables!$B$14),""))</f>
        <v>0</v>
      </c>
      <c r="AB525" s="10">
        <v>46010</v>
      </c>
      <c r="AC525" s="11">
        <f>IF($H525="Cancelled","",IFERROR(IF(AB525="","",IF(AND(W525="",Y525=""),"",IF(Y525&gt;W525,Y525+Variables!$B$15+Variables!$B$16+Variables!$B$17-AB525,W525+Variables!$B$16+Variables!$B$17-AB525))),""))</f>
        <v>6</v>
      </c>
      <c r="AD525" s="9" t="s">
        <v>165</v>
      </c>
      <c r="AE525" s="9" t="s">
        <v>818</v>
      </c>
      <c r="AF525" s="10"/>
      <c r="AG525" s="10"/>
      <c r="AH525" s="9"/>
      <c r="AI525" s="9" t="s">
        <v>1308</v>
      </c>
      <c r="AJ525" s="9" t="s">
        <v>8</v>
      </c>
      <c r="AK525" s="10">
        <v>46029</v>
      </c>
      <c r="AL525" s="10">
        <v>46031</v>
      </c>
      <c r="AM525" s="10">
        <v>46045</v>
      </c>
      <c r="AN525" s="9" t="s">
        <v>95</v>
      </c>
      <c r="AO525" s="9"/>
      <c r="AP525" s="11">
        <f>IF($H525="Cancelled","",IFERROR(IF(OR(AK525="",AB525=""),"",(AB525+Variables!$B$18-AK525)),""))</f>
        <v>-12</v>
      </c>
      <c r="AQ525" s="11">
        <f>IF($H525="Cancelled","",IFERROR(IF(OR(AM525="",AK525=""),"",(AK525+Variables!$B$19)-AM525),""))</f>
        <v>-11</v>
      </c>
      <c r="AR525" s="12">
        <f>IF($H525="Cancelled","",IFERROR(T525*INDEX(Variables!$B$7:$D$7,IFERROR(MATCH(IF($B525="Robusta","Robusta",(IF($B525="","Arabica",$B525))&amp;" - "&amp;(IF($C525="","Commercial",$C525))),Variables!$B$1:$D$1,0),1))*(AQ525/365),""))</f>
        <v>-890.8332935622783</v>
      </c>
      <c r="AS525" s="12">
        <f>IF($H525="Cancelled","",IFERROR((T525*INDEX(Variables!$B$7:$D$7,IFERROR(MATCH(IF($B525="Robusta","Robusta",(IF($B525="","Arabica",$B525))&amp;" - "&amp;(IF($C525="","Commercial",$C525))),Variables!$B$1:$D$1,0),1))*IFERROR(IF(W525="","",(AVERAGE(E525:F525)-W525)-Variables!$B$14),"")/365)+(L525/16.67*INDEX(Variables!$B$8:$D$8,IFERROR(MATCH(IF($B525="Robusta","Robusta",(IF($B525="","Arabica",$B525))&amp;" - "&amp;(IF($C525="","Commercial",$C525))),Variables!$B$1:$D$1,0),1))*IFERROR(IF(W525="","",(AVERAGE(E525:F525)-W525)-Variables!$B$14),""))+(T525*INDEX(Variables!$B$9:$D$9,IFERROR(MATCH(IF($B525="Robusta","Robusta",(IF($B525="","Arabica",$B525))&amp;" - "&amp;(IF($C525="","Commercial",$C525))),Variables!$B$1:$D$1,0),1))*IFERROR(IF(W525="","",(AVERAGE(E525:F525)-W525)-Variables!$B$14),"")/365),""))</f>
        <v>0</v>
      </c>
      <c r="AT525" s="12">
        <f>IF($H525="Cancelled","",IFERROR((T525*INDEX(Variables!$B$7:$D$7,IFERROR(MATCH(IF($B525="Robusta","Robusta",(IF($B525="","Arabica",$B525))&amp;" - "&amp;(IF($C525="","Commercial",$C525))),Variables!$B$1:$D$1,0),1))*AC525/365)+(L525/16.67*INDEX(Variables!$B$8:$D$8,IFERROR(MATCH(IF($B525="Robusta","Robusta",(IF($B525="","Arabica",$B525))&amp;" - "&amp;(IF($C525="","Commercial",$C525))),Variables!$B$1:$D$1,0),1))*AC525)+(T525*INDEX(Variables!$B$9:$D$9,IFERROR(MATCH(IF($B525="Robusta","Robusta",(IF($B525="","Arabica",$B525))&amp;" - "&amp;(IF($C525="","Commercial",$C525))),Variables!$B$1:$D$1,0),1))*AC525/365),""))</f>
        <v>876.17337485733083</v>
      </c>
      <c r="AU525" s="12">
        <f>IF($H525="Cancelled","",IFERROR((T525*INDEX(Variables!$B$7:$D$7,IFERROR(MATCH(IF($B525="Robusta","Robusta",(IF($B525="","Arabica",$B525))&amp;" - "&amp;(IF($C525="","Commercial",$C525))),Variables!$B$1:$D$1,0),1))*AP525/365)+(L525/16.67*INDEX(Variables!$B$8:$D$8,IFERROR(MATCH(IF($B525="Robusta","Robusta",(IF($B525="","Arabica",$B525))&amp;" - "&amp;(IF($C525="","Commercial",$C525))),Variables!$B$1:$D$1,0),1))*AP525)+(T525*INDEX(Variables!$B$9:$D$9,IFERROR(MATCH(IF($B525="Robusta","Robusta",(IF($B525="","Arabica",$B525))&amp;" - "&amp;(IF($C525="","Commercial",$C525))),Variables!$B$1:$D$1,0),1))*AP525/365),""))</f>
        <v>-1752.3467497146617</v>
      </c>
      <c r="AV525" s="11">
        <f t="shared" si="59"/>
        <v>-7</v>
      </c>
      <c r="AW525" s="12">
        <f>IF($H525="Cancelled","",IFERROR(IF(AV525="","",(T525*INDEX(Variables!$B$7:$D$7,IFERROR(MATCH(IF($B525="Robusta","Robusta",(IF($B525="","Arabica",$B525))&amp;" - "&amp;(IF($C525="","Commercial",$C525))),Variables!$B$1:$D$1,0),1))*(AV525/365))+(T525*INDEX(Variables!$B$9:$D$9,IFERROR(MATCH(IF($B525="Robusta","Robusta",(IF($B525="","Arabica",$B525))&amp;" - "&amp;(IF($C525="","Commercial",$C525))),Variables!$B$1:$D$1,0),1))*(AV525/365))+(INDEX(Variables!$B$8:$D$8,IFERROR(MATCH(IF($B525="Robusta","Robusta",(IF($B525="","Arabica",$B525))&amp;" - "&amp;(IF($C525="","Commercial",$C525))),Variables!$B$1:$D$1,0),1))*L525/16.67)),""))</f>
        <v>-510.20227066688597</v>
      </c>
      <c r="AX525" s="9"/>
      <c r="AY525" s="12"/>
      <c r="AZ525" s="10"/>
      <c r="BA525" s="9"/>
      <c r="BB525" s="10"/>
      <c r="BC525" s="9"/>
      <c r="BD525" s="9"/>
      <c r="BE525" s="9"/>
      <c r="BF525" s="9"/>
    </row>
    <row r="526" spans="1:58" x14ac:dyDescent="0.25">
      <c r="A526" s="9" t="s">
        <v>84</v>
      </c>
      <c r="B526" s="9" t="s">
        <v>85</v>
      </c>
      <c r="C526" s="9" t="s">
        <v>86</v>
      </c>
      <c r="D526" s="10">
        <v>45995</v>
      </c>
      <c r="E526" s="10">
        <v>45992</v>
      </c>
      <c r="F526" s="10">
        <v>46022</v>
      </c>
      <c r="G526" s="9">
        <v>3787027</v>
      </c>
      <c r="H526" s="9" t="str">
        <f t="shared" si="57"/>
        <v>Closed</v>
      </c>
      <c r="I526" s="9" t="str">
        <f t="shared" si="58"/>
        <v>All dates received</v>
      </c>
      <c r="J526" s="9" t="s">
        <v>102</v>
      </c>
      <c r="K526" s="9">
        <v>5370</v>
      </c>
      <c r="L526" s="11">
        <v>720</v>
      </c>
      <c r="M526" s="9" t="s">
        <v>1309</v>
      </c>
      <c r="N526" s="9" t="s">
        <v>387</v>
      </c>
      <c r="O526" s="9"/>
      <c r="P526" s="9"/>
      <c r="Q526" s="11">
        <v>-60</v>
      </c>
      <c r="R526" s="9" t="s">
        <v>90</v>
      </c>
      <c r="S526" s="9" t="s">
        <v>106</v>
      </c>
      <c r="T526" s="12">
        <f>IF($H526="Cancelled","",IFERROR(((Q526+INDEX(Variables!$B$6:$D$6,IFERROR(MATCH(IF($B526="Robusta","Robusta",(IF($B526="","Arabica",$B526))&amp;" - "&amp;(IF($C526="","Commercial",$C526))),Variables!$B$1:$D$1,0),1)))*22.0462)*(L526/16.67),""))</f>
        <v>219769.00607078584</v>
      </c>
      <c r="U526" s="10"/>
      <c r="V526" s="9" t="str">
        <f t="shared" si="60"/>
        <v/>
      </c>
      <c r="W526" s="10">
        <v>45977</v>
      </c>
      <c r="X526" s="9" t="str">
        <f t="shared" si="56"/>
        <v>Approved</v>
      </c>
      <c r="Y526" s="10">
        <v>46001</v>
      </c>
      <c r="Z526" s="10">
        <f>IF($H526="Cancelled","",IFERROR(IF(F526="","",F526-Variables!$B$13),""))</f>
        <v>46007</v>
      </c>
      <c r="AA526" s="11">
        <f>IF($H526="Cancelled","",IFERROR(IF(W526="","",(AVERAGE(E526:F526)-W526)-Variables!$B$14),""))</f>
        <v>0</v>
      </c>
      <c r="AB526" s="10">
        <v>46007</v>
      </c>
      <c r="AC526" s="11">
        <f>IF($H526="Cancelled","",IFERROR(IF(AB526="","",IF(AND(W526="",Y526=""),"",IF(Y526&gt;W526,Y526+Variables!$B$15+Variables!$B$16+Variables!$B$17-AB526,W526+Variables!$B$16+Variables!$B$17-AB526))),""))</f>
        <v>9</v>
      </c>
      <c r="AD526" s="9" t="s">
        <v>165</v>
      </c>
      <c r="AE526" s="9" t="s">
        <v>818</v>
      </c>
      <c r="AF526" s="10"/>
      <c r="AG526" s="10"/>
      <c r="AH526" s="9"/>
      <c r="AI526" s="9" t="s">
        <v>1310</v>
      </c>
      <c r="AJ526" s="9" t="s">
        <v>8</v>
      </c>
      <c r="AK526" s="10">
        <v>46029</v>
      </c>
      <c r="AL526" s="10">
        <v>46031</v>
      </c>
      <c r="AM526" s="10">
        <v>46045</v>
      </c>
      <c r="AN526" s="9" t="s">
        <v>95</v>
      </c>
      <c r="AO526" s="9"/>
      <c r="AP526" s="11">
        <f>IF($H526="Cancelled","",IFERROR(IF(OR(AK526="",AB526=""),"",(AB526+Variables!$B$18-AK526)),""))</f>
        <v>-15</v>
      </c>
      <c r="AQ526" s="11">
        <f>IF($H526="Cancelled","",IFERROR(IF(OR(AM526="",AK526=""),"",(AK526+Variables!$B$19)-AM526),""))</f>
        <v>-11</v>
      </c>
      <c r="AR526" s="12">
        <f>IF($H526="Cancelled","",IFERROR(T526*INDEX(Variables!$B$7:$D$7,IFERROR(MATCH(IF($B526="Robusta","Robusta",(IF($B526="","Arabica",$B526))&amp;" - "&amp;(IF($C526="","Commercial",$C526))),Variables!$B$1:$D$1,0),1))*(AQ526/365),""))</f>
        <v>-427.07692886529833</v>
      </c>
      <c r="AS526" s="12">
        <f>IF($H526="Cancelled","",IFERROR((T526*INDEX(Variables!$B$7:$D$7,IFERROR(MATCH(IF($B526="Robusta","Robusta",(IF($B526="","Arabica",$B526))&amp;" - "&amp;(IF($C526="","Commercial",$C526))),Variables!$B$1:$D$1,0),1))*IFERROR(IF(W526="","",(AVERAGE(E526:F526)-W526)-Variables!$B$14),"")/365)+(L526/16.67*INDEX(Variables!$B$8:$D$8,IFERROR(MATCH(IF($B526="Robusta","Robusta",(IF($B526="","Arabica",$B526))&amp;" - "&amp;(IF($C526="","Commercial",$C526))),Variables!$B$1:$D$1,0),1))*IFERROR(IF(W526="","",(AVERAGE(E526:F526)-W526)-Variables!$B$14),""))+(T526*INDEX(Variables!$B$9:$D$9,IFERROR(MATCH(IF($B526="Robusta","Robusta",(IF($B526="","Arabica",$B526))&amp;" - "&amp;(IF($C526="","Commercial",$C526))),Variables!$B$1:$D$1,0),1))*IFERROR(IF(W526="","",(AVERAGE(E526:F526)-W526)-Variables!$B$14),"")/365),""))</f>
        <v>0</v>
      </c>
      <c r="AT526" s="12">
        <f>IF($H526="Cancelled","",IFERROR((T526*INDEX(Variables!$B$7:$D$7,IFERROR(MATCH(IF($B526="Robusta","Robusta",(IF($B526="","Arabica",$B526))&amp;" - "&amp;(IF($C526="","Commercial",$C526))),Variables!$B$1:$D$1,0),1))*AC526/365)+(L526/16.67*INDEX(Variables!$B$8:$D$8,IFERROR(MATCH(IF($B526="Robusta","Robusta",(IF($B526="","Arabica",$B526))&amp;" - "&amp;(IF($C526="","Commercial",$C526))),Variables!$B$1:$D$1,0),1))*AC526)+(T526*INDEX(Variables!$B$9:$D$9,IFERROR(MATCH(IF($B526="Robusta","Robusta",(IF($B526="","Arabica",$B526))&amp;" - "&amp;(IF($C526="","Commercial",$C526))),Variables!$B$1:$D$1,0),1))*AC526/365),""))</f>
        <v>677.9313611014752</v>
      </c>
      <c r="AU526" s="12">
        <f>IF($H526="Cancelled","",IFERROR((T526*INDEX(Variables!$B$7:$D$7,IFERROR(MATCH(IF($B526="Robusta","Robusta",(IF($B526="","Arabica",$B526))&amp;" - "&amp;(IF($C526="","Commercial",$C526))),Variables!$B$1:$D$1,0),1))*AP526/365)+(L526/16.67*INDEX(Variables!$B$8:$D$8,IFERROR(MATCH(IF($B526="Robusta","Robusta",(IF($B526="","Arabica",$B526))&amp;" - "&amp;(IF($C526="","Commercial",$C526))),Variables!$B$1:$D$1,0),1))*AP526)+(T526*INDEX(Variables!$B$9:$D$9,IFERROR(MATCH(IF($B526="Robusta","Robusta",(IF($B526="","Arabica",$B526))&amp;" - "&amp;(IF($C526="","Commercial",$C526))),Variables!$B$1:$D$1,0),1))*AP526/365),""))</f>
        <v>-1129.8856018357922</v>
      </c>
      <c r="AV526" s="11">
        <f t="shared" si="59"/>
        <v>-7</v>
      </c>
      <c r="AW526" s="12">
        <f>IF($H526="Cancelled","",IFERROR(IF(AV526="","",(T526*INDEX(Variables!$B$7:$D$7,IFERROR(MATCH(IF($B526="Robusta","Robusta",(IF($B526="","Arabica",$B526))&amp;" - "&amp;(IF($C526="","Commercial",$C526))),Variables!$B$1:$D$1,0),1))*(AV526/365))+(T526*INDEX(Variables!$B$9:$D$9,IFERROR(MATCH(IF($B526="Robusta","Robusta",(IF($B526="","Arabica",$B526))&amp;" - "&amp;(IF($C526="","Commercial",$C526))),Variables!$B$1:$D$1,0),1))*(AV526/365))+(INDEX(Variables!$B$8:$D$8,IFERROR(MATCH(IF($B526="Robusta","Robusta",(IF($B526="","Arabica",$B526))&amp;" - "&amp;(IF($C526="","Commercial",$C526))),Variables!$B$1:$D$1,0),1))*L526/16.67)),""))</f>
        <v>-239.27994752336957</v>
      </c>
      <c r="AX526" s="9"/>
      <c r="AY526" s="12"/>
      <c r="AZ526" s="10"/>
      <c r="BA526" s="9"/>
      <c r="BB526" s="10"/>
      <c r="BC526" s="9"/>
      <c r="BD526" s="9"/>
      <c r="BE526" s="9"/>
      <c r="BF526" s="9"/>
    </row>
    <row r="527" spans="1:58" x14ac:dyDescent="0.25">
      <c r="A527" s="9" t="s">
        <v>84</v>
      </c>
      <c r="B527" s="9" t="s">
        <v>85</v>
      </c>
      <c r="C527" s="9" t="s">
        <v>86</v>
      </c>
      <c r="D527" s="10">
        <v>45996</v>
      </c>
      <c r="E527" s="10">
        <v>45992</v>
      </c>
      <c r="F527" s="10">
        <v>46022</v>
      </c>
      <c r="G527" s="9">
        <v>3787019</v>
      </c>
      <c r="H527" s="9" t="str">
        <f t="shared" si="57"/>
        <v>Open</v>
      </c>
      <c r="I527" s="9" t="str">
        <f t="shared" si="58"/>
        <v>No docs dispatch date</v>
      </c>
      <c r="J527" s="9" t="s">
        <v>322</v>
      </c>
      <c r="K527" s="9">
        <v>5366</v>
      </c>
      <c r="L527" s="11">
        <v>320</v>
      </c>
      <c r="M527" s="9" t="s">
        <v>1311</v>
      </c>
      <c r="N527" s="9" t="s">
        <v>126</v>
      </c>
      <c r="O527" s="9"/>
      <c r="P527" s="9"/>
      <c r="Q527" s="11">
        <v>18</v>
      </c>
      <c r="R527" s="9" t="s">
        <v>90</v>
      </c>
      <c r="S527" s="9" t="s">
        <v>156</v>
      </c>
      <c r="T527" s="12">
        <f>IF($H527="Cancelled","",IFERROR(((Q527+INDEX(Variables!$B$6:$D$6,IFERROR(MATCH(IF($B527="Robusta","Robusta",(IF($B527="","Arabica",$B527))&amp;" - "&amp;(IF($C527="","Commercial",$C527))),Variables!$B$1:$D$1,0),1)))*22.0462)*(L527/16.67),""))</f>
        <v>130684.90097180562</v>
      </c>
      <c r="U527" s="10">
        <v>46010</v>
      </c>
      <c r="V527" s="9" t="str">
        <f t="shared" si="60"/>
        <v>Sent</v>
      </c>
      <c r="W527" s="10">
        <v>46027</v>
      </c>
      <c r="X527" s="9" t="str">
        <f t="shared" si="56"/>
        <v>Approved</v>
      </c>
      <c r="Y527" s="10"/>
      <c r="Z527" s="10">
        <f>IF($H527="Cancelled","",IFERROR(IF(F527="","",F527-Variables!$B$13),""))</f>
        <v>46007</v>
      </c>
      <c r="AA527" s="11">
        <f>IF($H527="Cancelled","",IFERROR(IF(W527="","",(AVERAGE(E527:F527)-W527)-Variables!$B$14),""))</f>
        <v>-50</v>
      </c>
      <c r="AB527" s="10">
        <v>46044</v>
      </c>
      <c r="AC527" s="11">
        <f>IF($H527="Cancelled","",IFERROR(IF(AB527="","",IF(AND(W527="",Y527=""),"",IF(Y527&gt;W527,Y527+Variables!$B$15+Variables!$B$16+Variables!$B$17-AB527,W527+Variables!$B$16+Variables!$B$17-AB527))),""))</f>
        <v>-9</v>
      </c>
      <c r="AD527" s="9" t="s">
        <v>130</v>
      </c>
      <c r="AE527" s="9" t="s">
        <v>488</v>
      </c>
      <c r="AF527" s="10"/>
      <c r="AG527" s="10"/>
      <c r="AH527" s="9"/>
      <c r="AI527" s="9" t="s">
        <v>1312</v>
      </c>
      <c r="AJ527" s="9"/>
      <c r="AK527" s="10">
        <v>46056</v>
      </c>
      <c r="AL527" s="10">
        <v>46059</v>
      </c>
      <c r="AM527" s="10"/>
      <c r="AN527" s="9" t="s">
        <v>1016</v>
      </c>
      <c r="AO527" s="9"/>
      <c r="AP527" s="11">
        <f>IF($H527="Cancelled","",IFERROR(IF(OR(AK527="",AB527=""),"",(AB527+Variables!$B$18-AK527)),""))</f>
        <v>-5</v>
      </c>
      <c r="AQ527" s="11" t="str">
        <f>IF($H527="Cancelled","",IFERROR(IF(OR(AM527="",AK527=""),"",(AK527+Variables!$B$19)-AM527),""))</f>
        <v/>
      </c>
      <c r="AR527" s="12" t="str">
        <f>IF($H527="Cancelled","",IFERROR(T527*INDEX(Variables!$B$7:$D$7,IFERROR(MATCH(IF($B527="Robusta","Robusta",(IF($B527="","Arabica",$B527))&amp;" - "&amp;(IF($C527="","Commercial",$C527))),Variables!$B$1:$D$1,0),1))*(AQ527/365),""))</f>
        <v/>
      </c>
      <c r="AS527" s="12">
        <f>IF($H527="Cancelled","",IFERROR((T527*INDEX(Variables!$B$7:$D$7,IFERROR(MATCH(IF($B527="Robusta","Robusta",(IF($B527="","Arabica",$B527))&amp;" - "&amp;(IF($C527="","Commercial",$C527))),Variables!$B$1:$D$1,0),1))*IFERROR(IF(W527="","",(AVERAGE(E527:F527)-W527)-Variables!$B$14),"")/365)+(L527/16.67*INDEX(Variables!$B$8:$D$8,IFERROR(MATCH(IF($B527="Robusta","Robusta",(IF($B527="","Arabica",$B527))&amp;" - "&amp;(IF($C527="","Commercial",$C527))),Variables!$B$1:$D$1,0),1))*IFERROR(IF(W527="","",(AVERAGE(E527:F527)-W527)-Variables!$B$14),""))+(T527*INDEX(Variables!$B$9:$D$9,IFERROR(MATCH(IF($B527="Robusta","Robusta",(IF($B527="","Arabica",$B527))&amp;" - "&amp;(IF($C527="","Commercial",$C527))),Variables!$B$1:$D$1,0),1))*IFERROR(IF(W527="","",(AVERAGE(E527:F527)-W527)-Variables!$B$14),"")/365),""))</f>
        <v>-1969.2449698112366</v>
      </c>
      <c r="AT527" s="12">
        <f>IF($H527="Cancelled","",IFERROR((T527*INDEX(Variables!$B$7:$D$7,IFERROR(MATCH(IF($B527="Robusta","Robusta",(IF($B527="","Arabica",$B527))&amp;" - "&amp;(IF($C527="","Commercial",$C527))),Variables!$B$1:$D$1,0),1))*AC527/365)+(L527/16.67*INDEX(Variables!$B$8:$D$8,IFERROR(MATCH(IF($B527="Robusta","Robusta",(IF($B527="","Arabica",$B527))&amp;" - "&amp;(IF($C527="","Commercial",$C527))),Variables!$B$1:$D$1,0),1))*AC527)+(T527*INDEX(Variables!$B$9:$D$9,IFERROR(MATCH(IF($B527="Robusta","Robusta",(IF($B527="","Arabica",$B527))&amp;" - "&amp;(IF($C527="","Commercial",$C527))),Variables!$B$1:$D$1,0),1))*AC527/365),""))</f>
        <v>-354.4640945660226</v>
      </c>
      <c r="AU527" s="12">
        <f>IF($H527="Cancelled","",IFERROR((T527*INDEX(Variables!$B$7:$D$7,IFERROR(MATCH(IF($B527="Robusta","Robusta",(IF($B527="","Arabica",$B527))&amp;" - "&amp;(IF($C527="","Commercial",$C527))),Variables!$B$1:$D$1,0),1))*AP527/365)+(L527/16.67*INDEX(Variables!$B$8:$D$8,IFERROR(MATCH(IF($B527="Robusta","Robusta",(IF($B527="","Arabica",$B527))&amp;" - "&amp;(IF($C527="","Commercial",$C527))),Variables!$B$1:$D$1,0),1))*AP527)+(T527*INDEX(Variables!$B$9:$D$9,IFERROR(MATCH(IF($B527="Robusta","Robusta",(IF($B527="","Arabica",$B527))&amp;" - "&amp;(IF($C527="","Commercial",$C527))),Variables!$B$1:$D$1,0),1))*AP527/365),""))</f>
        <v>-196.9244969811237</v>
      </c>
      <c r="AV527" s="11">
        <f t="shared" si="59"/>
        <v>-34</v>
      </c>
      <c r="AW527" s="12">
        <f>IF($H527="Cancelled","",IFERROR(IF(AV527="","",(T527*INDEX(Variables!$B$7:$D$7,IFERROR(MATCH(IF($B527="Robusta","Robusta",(IF($B527="","Arabica",$B527))&amp;" - "&amp;(IF($C527="","Commercial",$C527))),Variables!$B$1:$D$1,0),1))*(AV527/365))+(T527*INDEX(Variables!$B$9:$D$9,IFERROR(MATCH(IF($B527="Robusta","Robusta",(IF($B527="","Arabica",$B527))&amp;" - "&amp;(IF($C527="","Commercial",$C527))),Variables!$B$1:$D$1,0),1))*(AV527/365))+(INDEX(Variables!$B$8:$D$8,IFERROR(MATCH(IF($B527="Robusta","Robusta",(IF($B527="","Arabica",$B527))&amp;" - "&amp;(IF($C527="","Commercial",$C527))),Variables!$B$1:$D$1,0),1))*L527/16.67)),""))</f>
        <v>-779.0865794716409</v>
      </c>
      <c r="AX527" s="9"/>
      <c r="AY527" s="12"/>
      <c r="AZ527" s="10"/>
      <c r="BA527" s="9"/>
      <c r="BB527" s="10"/>
      <c r="BC527" s="9"/>
      <c r="BD527" s="9"/>
      <c r="BE527" s="9"/>
      <c r="BF527" s="9"/>
    </row>
    <row r="528" spans="1:58" x14ac:dyDescent="0.25">
      <c r="A528" s="9" t="s">
        <v>84</v>
      </c>
      <c r="B528" s="9" t="s">
        <v>85</v>
      </c>
      <c r="C528" s="9" t="s">
        <v>86</v>
      </c>
      <c r="D528" s="10">
        <v>45996</v>
      </c>
      <c r="E528" s="10">
        <v>46054</v>
      </c>
      <c r="F528" s="10">
        <v>46081</v>
      </c>
      <c r="G528" s="9">
        <v>3787021</v>
      </c>
      <c r="H528" s="9" t="str">
        <f t="shared" si="57"/>
        <v>Open</v>
      </c>
      <c r="I528" s="9" t="str">
        <f t="shared" si="58"/>
        <v>No shipping advice sent and No docs dispatch date</v>
      </c>
      <c r="J528" s="9" t="s">
        <v>303</v>
      </c>
      <c r="K528" s="9">
        <v>5393</v>
      </c>
      <c r="L528" s="11">
        <v>320</v>
      </c>
      <c r="M528" s="9" t="s">
        <v>1291</v>
      </c>
      <c r="N528" s="9" t="s">
        <v>126</v>
      </c>
      <c r="O528" s="9"/>
      <c r="P528" s="9"/>
      <c r="Q528" s="11">
        <v>15</v>
      </c>
      <c r="R528" s="9" t="s">
        <v>90</v>
      </c>
      <c r="S528" s="9" t="s">
        <v>312</v>
      </c>
      <c r="T528" s="12">
        <f>IF($H528="Cancelled","",IFERROR(((Q528+INDEX(Variables!$B$6:$D$6,IFERROR(MATCH(IF($B528="Robusta","Robusta",(IF($B528="","Arabica",$B528))&amp;" - "&amp;(IF($C528="","Commercial",$C528))),Variables!$B$1:$D$1,0),1)))*22.0462)*(L528/16.67),""))</f>
        <v>129415.29377324534</v>
      </c>
      <c r="U528" s="10">
        <v>46015</v>
      </c>
      <c r="V528" s="9" t="str">
        <f t="shared" si="60"/>
        <v>Sent</v>
      </c>
      <c r="W528" s="10"/>
      <c r="X528" s="9" t="str">
        <f t="shared" si="56"/>
        <v/>
      </c>
      <c r="Y528" s="10"/>
      <c r="Z528" s="10">
        <f>IF($H528="Cancelled","",IFERROR(IF(F528="","",F528-Variables!$B$13),""))</f>
        <v>46066</v>
      </c>
      <c r="AA528" s="11" t="str">
        <f>IF($H528="Cancelled","",IFERROR(IF(W528="","",(AVERAGE(E528:F528)-W528)-Variables!$B$14),""))</f>
        <v/>
      </c>
      <c r="AB528" s="10">
        <v>46063</v>
      </c>
      <c r="AC528" s="11" t="str">
        <f>IF($H528="Cancelled","",IFERROR(IF(AB528="","",IF(AND(W528="",Y528=""),"",IF(Y528&gt;W528,Y528+Variables!$B$15+Variables!$B$16+Variables!$B$17-AB528,W528+Variables!$B$16+Variables!$B$17-AB528))),""))</f>
        <v/>
      </c>
      <c r="AD528" s="9" t="s">
        <v>1313</v>
      </c>
      <c r="AE528" s="9" t="s">
        <v>1314</v>
      </c>
      <c r="AF528" s="10"/>
      <c r="AG528" s="10"/>
      <c r="AH528" s="9"/>
      <c r="AI528" s="9" t="s">
        <v>1315</v>
      </c>
      <c r="AJ528" s="9"/>
      <c r="AK528" s="10">
        <v>46146</v>
      </c>
      <c r="AL528" s="10"/>
      <c r="AM528" s="10"/>
      <c r="AN528" s="9" t="s">
        <v>1316</v>
      </c>
      <c r="AO528" s="9"/>
      <c r="AP528" s="11">
        <f>IF($H528="Cancelled","",IFERROR(IF(OR(AK528="",AB528=""),"",(AB528+Variables!$B$18-AK528)),""))</f>
        <v>-76</v>
      </c>
      <c r="AQ528" s="11" t="str">
        <f>IF($H528="Cancelled","",IFERROR(IF(OR(AM528="",AK528=""),"",(AK528+Variables!$B$19)-AM528),""))</f>
        <v/>
      </c>
      <c r="AR528" s="12" t="str">
        <f>IF($H528="Cancelled","",IFERROR(T528*INDEX(Variables!$B$7:$D$7,IFERROR(MATCH(IF($B528="Robusta","Robusta",(IF($B528="","Arabica",$B528))&amp;" - "&amp;(IF($C528="","Commercial",$C528))),Variables!$B$1:$D$1,0),1))*(AQ528/365),""))</f>
        <v/>
      </c>
      <c r="AS528" s="12" t="str">
        <f>IF($H528="Cancelled","",IFERROR((T528*INDEX(Variables!$B$7:$D$7,IFERROR(MATCH(IF($B528="Robusta","Robusta",(IF($B528="","Arabica",$B528))&amp;" - "&amp;(IF($C528="","Commercial",$C528))),Variables!$B$1:$D$1,0),1))*IFERROR(IF(W528="","",(AVERAGE(E528:F528)-W528)-Variables!$B$14),"")/365)+(L528/16.67*INDEX(Variables!$B$8:$D$8,IFERROR(MATCH(IF($B528="Robusta","Robusta",(IF($B528="","Arabica",$B528))&amp;" - "&amp;(IF($C528="","Commercial",$C528))),Variables!$B$1:$D$1,0),1))*IFERROR(IF(W528="","",(AVERAGE(E528:F528)-W528)-Variables!$B$14),""))+(T528*INDEX(Variables!$B$9:$D$9,IFERROR(MATCH(IF($B528="Robusta","Robusta",(IF($B528="","Arabica",$B528))&amp;" - "&amp;(IF($C528="","Commercial",$C528))),Variables!$B$1:$D$1,0),1))*IFERROR(IF(W528="","",(AVERAGE(E528:F528)-W528)-Variables!$B$14),"")/365),""))</f>
        <v/>
      </c>
      <c r="AT528" s="12" t="str">
        <f>IF($H528="Cancelled","",IFERROR((T528*INDEX(Variables!$B$7:$D$7,IFERROR(MATCH(IF($B528="Robusta","Robusta",(IF($B528="","Arabica",$B528))&amp;" - "&amp;(IF($C528="","Commercial",$C528))),Variables!$B$1:$D$1,0),1))*AC528/365)+(L528/16.67*INDEX(Variables!$B$8:$D$8,IFERROR(MATCH(IF($B528="Robusta","Robusta",(IF($B528="","Arabica",$B528))&amp;" - "&amp;(IF($C528="","Commercial",$C528))),Variables!$B$1:$D$1,0),1))*AC528)+(T528*INDEX(Variables!$B$9:$D$9,IFERROR(MATCH(IF($B528="Robusta","Robusta",(IF($B528="","Arabica",$B528))&amp;" - "&amp;(IF($C528="","Commercial",$C528))),Variables!$B$1:$D$1,0),1))*AC528/365),""))</f>
        <v/>
      </c>
      <c r="AU528" s="12">
        <f>IF($H528="Cancelled","",IFERROR((T528*INDEX(Variables!$B$7:$D$7,IFERROR(MATCH(IF($B528="Robusta","Robusta",(IF($B528="","Arabica",$B528))&amp;" - "&amp;(IF($C528="","Commercial",$C528))),Variables!$B$1:$D$1,0),1))*AP528/365)+(L528/16.67*INDEX(Variables!$B$8:$D$8,IFERROR(MATCH(IF($B528="Robusta","Robusta",(IF($B528="","Arabica",$B528))&amp;" - "&amp;(IF($C528="","Commercial",$C528))),Variables!$B$1:$D$1,0),1))*AP528)+(T528*INDEX(Variables!$B$9:$D$9,IFERROR(MATCH(IF($B528="Robusta","Robusta",(IF($B528="","Arabica",$B528))&amp;" - "&amp;(IF($C528="","Commercial",$C528))),Variables!$B$1:$D$1,0),1))*AP528/365),""))</f>
        <v>-2975.9863014500638</v>
      </c>
      <c r="AV528" s="11">
        <f t="shared" si="59"/>
        <v>-65</v>
      </c>
      <c r="AW528" s="12" t="e" cm="1" vm="1">
        <f t="array" aca="1" ref="AW528" ca="1">Variables!A3:E11+Variables!A5+Variables!B6</f>
        <v>#VALUE!</v>
      </c>
      <c r="AX528" s="9"/>
      <c r="AY528" s="12"/>
      <c r="AZ528" s="10"/>
      <c r="BA528" s="9"/>
      <c r="BB528" s="10"/>
      <c r="BC528" s="9"/>
      <c r="BD528" s="9"/>
      <c r="BE528" s="9"/>
      <c r="BF528" s="9"/>
    </row>
    <row r="529" spans="1:58" x14ac:dyDescent="0.25">
      <c r="A529" s="9" t="s">
        <v>84</v>
      </c>
      <c r="B529" s="9" t="s">
        <v>85</v>
      </c>
      <c r="C529" s="9" t="s">
        <v>86</v>
      </c>
      <c r="D529" s="10">
        <v>46000</v>
      </c>
      <c r="E529" s="10">
        <v>45992</v>
      </c>
      <c r="F529" s="10">
        <v>46053</v>
      </c>
      <c r="G529" s="9">
        <v>3787029</v>
      </c>
      <c r="H529" s="9" t="str">
        <f t="shared" si="57"/>
        <v>Open</v>
      </c>
      <c r="I529" s="9" t="str">
        <f t="shared" si="58"/>
        <v>No docs dispatch date</v>
      </c>
      <c r="J529" s="9" t="s">
        <v>193</v>
      </c>
      <c r="K529" s="9">
        <v>5376</v>
      </c>
      <c r="L529" s="11">
        <v>548</v>
      </c>
      <c r="M529" s="9" t="s">
        <v>1317</v>
      </c>
      <c r="N529" s="9" t="s">
        <v>1018</v>
      </c>
      <c r="O529" s="9"/>
      <c r="P529" s="9"/>
      <c r="Q529" s="11">
        <v>-183.75</v>
      </c>
      <c r="R529" s="9" t="s">
        <v>90</v>
      </c>
      <c r="S529" s="9" t="s">
        <v>106</v>
      </c>
      <c r="T529" s="12">
        <f>IF($H529="Cancelled","",IFERROR(((Q529+INDEX(Variables!$B$6:$D$6,IFERROR(MATCH(IF($B529="Robusta","Robusta",(IF($B529="","Arabica",$B529))&amp;" - "&amp;(IF($C529="","Commercial",$C529))),Variables!$B$1:$D$1,0),1)))*22.0462)*(L529/16.67),""))</f>
        <v>77582.786387522501</v>
      </c>
      <c r="U529" s="10"/>
      <c r="V529" s="9" t="str">
        <f t="shared" si="60"/>
        <v/>
      </c>
      <c r="W529" s="10">
        <v>45991</v>
      </c>
      <c r="X529" s="9" t="str">
        <f t="shared" si="56"/>
        <v>Approved</v>
      </c>
      <c r="Y529" s="10">
        <v>46032</v>
      </c>
      <c r="Z529" s="10">
        <f>IF($H529="Cancelled","",IFERROR(IF(F529="","",F529-Variables!$B$13),""))</f>
        <v>46038</v>
      </c>
      <c r="AA529" s="11">
        <f>IF($H529="Cancelled","",IFERROR(IF(W529="","",(AVERAGE(E529:F529)-W529)-Variables!$B$14),""))</f>
        <v>1.5</v>
      </c>
      <c r="AB529" s="10">
        <v>46035</v>
      </c>
      <c r="AC529" s="11">
        <f>IF($H529="Cancelled","",IFERROR(IF(AB529="","",IF(AND(W529="",Y529=""),"",IF(Y529&gt;W529,Y529+Variables!$B$15+Variables!$B$16+Variables!$B$17-AB529,W529+Variables!$B$16+Variables!$B$17-AB529))),""))</f>
        <v>12</v>
      </c>
      <c r="AD529" s="9" t="s">
        <v>165</v>
      </c>
      <c r="AE529" s="9" t="s">
        <v>969</v>
      </c>
      <c r="AF529" s="10"/>
      <c r="AG529" s="10"/>
      <c r="AH529" s="9"/>
      <c r="AI529" s="9" t="s">
        <v>1318</v>
      </c>
      <c r="AJ529" s="9"/>
      <c r="AK529" s="10">
        <v>46027</v>
      </c>
      <c r="AL529" s="10">
        <v>46028</v>
      </c>
      <c r="AM529" s="10"/>
      <c r="AN529" s="9" t="s">
        <v>1016</v>
      </c>
      <c r="AO529" s="9"/>
      <c r="AP529" s="11">
        <f>IF($H529="Cancelled","",IFERROR(IF(OR(AK529="",AB529=""),"",(AB529+Variables!$B$18-AK529)),""))</f>
        <v>15</v>
      </c>
      <c r="AQ529" s="11" t="str">
        <f>IF($H529="Cancelled","",IFERROR(IF(OR(AM529="",AK529=""),"",(AK529+Variables!$B$19)-AM529),""))</f>
        <v/>
      </c>
      <c r="AR529" s="12" t="str">
        <f>IF($H529="Cancelled","",IFERROR(T529*INDEX(Variables!$B$7:$D$7,IFERROR(MATCH(IF($B529="Robusta","Robusta",(IF($B529="","Arabica",$B529))&amp;" - "&amp;(IF($C529="","Commercial",$C529))),Variables!$B$1:$D$1,0),1))*(AQ529/365),""))</f>
        <v/>
      </c>
      <c r="AS529" s="12">
        <f>IF($H529="Cancelled","",IFERROR((T529*INDEX(Variables!$B$7:$D$7,IFERROR(MATCH(IF($B529="Robusta","Robusta",(IF($B529="","Arabica",$B529))&amp;" - "&amp;(IF($C529="","Commercial",$C529))),Variables!$B$1:$D$1,0),1))*IFERROR(IF(W529="","",(AVERAGE(E529:F529)-W529)-Variables!$B$14),"")/365)+(L529/16.67*INDEX(Variables!$B$8:$D$8,IFERROR(MATCH(IF($B529="Robusta","Robusta",(IF($B529="","Arabica",$B529))&amp;" - "&amp;(IF($C529="","Commercial",$C529))),Variables!$B$1:$D$1,0),1))*IFERROR(IF(W529="","",(AVERAGE(E529:F529)-W529)-Variables!$B$14),""))+(T529*INDEX(Variables!$B$9:$D$9,IFERROR(MATCH(IF($B529="Robusta","Robusta",(IF($B529="","Arabica",$B529))&amp;" - "&amp;(IF($C529="","Commercial",$C529))),Variables!$B$1:$D$1,0),1))*IFERROR(IF(W529="","",(AVERAGE(E529:F529)-W529)-Variables!$B$14),"")/365),""))</f>
        <v>61.924123227622403</v>
      </c>
      <c r="AT529" s="12">
        <f>IF($H529="Cancelled","",IFERROR((T529*INDEX(Variables!$B$7:$D$7,IFERROR(MATCH(IF($B529="Robusta","Robusta",(IF($B529="","Arabica",$B529))&amp;" - "&amp;(IF($C529="","Commercial",$C529))),Variables!$B$1:$D$1,0),1))*AC529/365)+(L529/16.67*INDEX(Variables!$B$8:$D$8,IFERROR(MATCH(IF($B529="Robusta","Robusta",(IF($B529="","Arabica",$B529))&amp;" - "&amp;(IF($C529="","Commercial",$C529))),Variables!$B$1:$D$1,0),1))*AC529)+(T529*INDEX(Variables!$B$9:$D$9,IFERROR(MATCH(IF($B529="Robusta","Robusta",(IF($B529="","Arabica",$B529))&amp;" - "&amp;(IF($C529="","Commercial",$C529))),Variables!$B$1:$D$1,0),1))*AC529/365),""))</f>
        <v>495.39298582097922</v>
      </c>
      <c r="AU529" s="12">
        <f>IF($H529="Cancelled","",IFERROR((T529*INDEX(Variables!$B$7:$D$7,IFERROR(MATCH(IF($B529="Robusta","Robusta",(IF($B529="","Arabica",$B529))&amp;" - "&amp;(IF($C529="","Commercial",$C529))),Variables!$B$1:$D$1,0),1))*AP529/365)+(L529/16.67*INDEX(Variables!$B$8:$D$8,IFERROR(MATCH(IF($B529="Robusta","Robusta",(IF($B529="","Arabica",$B529))&amp;" - "&amp;(IF($C529="","Commercial",$C529))),Variables!$B$1:$D$1,0),1))*AP529)+(T529*INDEX(Variables!$B$9:$D$9,IFERROR(MATCH(IF($B529="Robusta","Robusta",(IF($B529="","Arabica",$B529))&amp;" - "&amp;(IF($C529="","Commercial",$C529))),Variables!$B$1:$D$1,0),1))*AP529/365),""))</f>
        <v>619.24123227622408</v>
      </c>
      <c r="AV529" s="11">
        <f t="shared" si="59"/>
        <v>26</v>
      </c>
      <c r="AW529" s="12">
        <f>IF($H529="Cancelled","",IFERROR(IF(AV529="","",(T529*INDEX(Variables!$B$7:$D$7,IFERROR(MATCH(IF($B529="Robusta","Robusta",(IF($B529="","Arabica",$B529))&amp;" - "&amp;(IF($C529="","Commercial",$C529))),Variables!$B$1:$D$1,0),1))*(AV529/365))+(T529*INDEX(Variables!$B$9:$D$9,IFERROR(MATCH(IF($B529="Robusta","Robusta",(IF($B529="","Arabica",$B529))&amp;" - "&amp;(IF($C529="","Commercial",$C529))),Variables!$B$1:$D$1,0),1))*(AV529/365))+(INDEX(Variables!$B$8:$D$8,IFERROR(MATCH(IF($B529="Robusta","Robusta",(IF($B529="","Arabica",$B529))&amp;" - "&amp;(IF($C529="","Commercial",$C529))),Variables!$B$1:$D$1,0),1))*L529/16.67)),""))</f>
        <v>388.35146927878827</v>
      </c>
      <c r="AX529" s="9"/>
      <c r="AY529" s="12"/>
      <c r="AZ529" s="10"/>
      <c r="BA529" s="9"/>
      <c r="BB529" s="10"/>
      <c r="BC529" s="9"/>
      <c r="BD529" s="9"/>
      <c r="BE529" s="9"/>
      <c r="BF529" s="9"/>
    </row>
    <row r="530" spans="1:58" x14ac:dyDescent="0.25">
      <c r="A530" s="9" t="s">
        <v>84</v>
      </c>
      <c r="B530" s="9" t="s">
        <v>85</v>
      </c>
      <c r="C530" s="9" t="s">
        <v>86</v>
      </c>
      <c r="D530" s="10">
        <v>46000</v>
      </c>
      <c r="E530" s="10">
        <v>45992</v>
      </c>
      <c r="F530" s="10">
        <v>46053</v>
      </c>
      <c r="G530" s="9">
        <v>3787030</v>
      </c>
      <c r="H530" s="9" t="str">
        <f t="shared" si="57"/>
        <v>Open</v>
      </c>
      <c r="I530" s="9" t="str">
        <f t="shared" si="58"/>
        <v>No docs dispatch date</v>
      </c>
      <c r="J530" s="9" t="s">
        <v>193</v>
      </c>
      <c r="K530" s="9">
        <v>5377</v>
      </c>
      <c r="L530" s="11">
        <v>900</v>
      </c>
      <c r="M530" s="9" t="s">
        <v>1319</v>
      </c>
      <c r="N530" s="9" t="s">
        <v>1018</v>
      </c>
      <c r="O530" s="9"/>
      <c r="P530" s="9"/>
      <c r="Q530" s="11">
        <v>-178.75</v>
      </c>
      <c r="R530" s="9" t="s">
        <v>90</v>
      </c>
      <c r="S530" s="9" t="s">
        <v>106</v>
      </c>
      <c r="T530" s="12">
        <f>IF($H530="Cancelled","",IFERROR(((Q530+INDEX(Variables!$B$6:$D$6,IFERROR(MATCH(IF($B530="Robusta","Robusta",(IF($B530="","Arabica",$B530))&amp;" - "&amp;(IF($C530="","Commercial",$C530))),Variables!$B$1:$D$1,0),1)))*22.0462)*(L530/16.67),""))</f>
        <v>133368.26868626275</v>
      </c>
      <c r="U530" s="10"/>
      <c r="V530" s="9" t="str">
        <f t="shared" si="60"/>
        <v/>
      </c>
      <c r="W530" s="10">
        <v>45991</v>
      </c>
      <c r="X530" s="9" t="str">
        <f t="shared" si="56"/>
        <v>Approved</v>
      </c>
      <c r="Y530" s="10">
        <v>46032</v>
      </c>
      <c r="Z530" s="10">
        <f>IF($H530="Cancelled","",IFERROR(IF(F530="","",F530-Variables!$B$13),""))</f>
        <v>46038</v>
      </c>
      <c r="AA530" s="11">
        <f>IF($H530="Cancelled","",IFERROR(IF(W530="","",(AVERAGE(E530:F530)-W530)-Variables!$B$14),""))</f>
        <v>1.5</v>
      </c>
      <c r="AB530" s="10">
        <v>46035</v>
      </c>
      <c r="AC530" s="11">
        <f>IF($H530="Cancelled","",IFERROR(IF(AB530="","",IF(AND(W530="",Y530=""),"",IF(Y530&gt;W530,Y530+Variables!$B$15+Variables!$B$16+Variables!$B$17-AB530,W530+Variables!$B$16+Variables!$B$17-AB530))),""))</f>
        <v>12</v>
      </c>
      <c r="AD530" s="9" t="s">
        <v>165</v>
      </c>
      <c r="AE530" s="9" t="s">
        <v>969</v>
      </c>
      <c r="AF530" s="10"/>
      <c r="AG530" s="10"/>
      <c r="AH530" s="9"/>
      <c r="AI530" s="9" t="s">
        <v>1320</v>
      </c>
      <c r="AJ530" s="9"/>
      <c r="AK530" s="10">
        <v>46027</v>
      </c>
      <c r="AL530" s="10">
        <v>46028</v>
      </c>
      <c r="AM530" s="10"/>
      <c r="AN530" s="9" t="s">
        <v>1016</v>
      </c>
      <c r="AO530" s="9"/>
      <c r="AP530" s="11">
        <f>IF($H530="Cancelled","",IFERROR(IF(OR(AK530="",AB530=""),"",(AB530+Variables!$B$18-AK530)),""))</f>
        <v>15</v>
      </c>
      <c r="AQ530" s="11" t="str">
        <f>IF($H530="Cancelled","",IFERROR(IF(OR(AM530="",AK530=""),"",(AK530+Variables!$B$19)-AM530),""))</f>
        <v/>
      </c>
      <c r="AR530" s="12" t="str">
        <f>IF($H530="Cancelled","",IFERROR(T530*INDEX(Variables!$B$7:$D$7,IFERROR(MATCH(IF($B530="Robusta","Robusta",(IF($B530="","Arabica",$B530))&amp;" - "&amp;(IF($C530="","Commercial",$C530))),Variables!$B$1:$D$1,0),1))*(AQ530/365),""))</f>
        <v/>
      </c>
      <c r="AS530" s="12">
        <f>IF($H530="Cancelled","",IFERROR((T530*INDEX(Variables!$B$7:$D$7,IFERROR(MATCH(IF($B530="Robusta","Robusta",(IF($B530="","Arabica",$B530))&amp;" - "&amp;(IF($C530="","Commercial",$C530))),Variables!$B$1:$D$1,0),1))*IFERROR(IF(W530="","",(AVERAGE(E530:F530)-W530)-Variables!$B$14),"")/365)+(L530/16.67*INDEX(Variables!$B$8:$D$8,IFERROR(MATCH(IF($B530="Robusta","Robusta",(IF($B530="","Arabica",$B530))&amp;" - "&amp;(IF($C530="","Commercial",$C530))),Variables!$B$1:$D$1,0),1))*IFERROR(IF(W530="","",(AVERAGE(E530:F530)-W530)-Variables!$B$14),""))+(T530*INDEX(Variables!$B$9:$D$9,IFERROR(MATCH(IF($B530="Robusta","Robusta",(IF($B530="","Arabica",$B530))&amp;" - "&amp;(IF($C530="","Commercial",$C530))),Variables!$B$1:$D$1,0),1))*IFERROR(IF(W530="","",(AVERAGE(E530:F530)-W530)-Variables!$B$14),"")/365),""))</f>
        <v>103.29759623358994</v>
      </c>
      <c r="AT530" s="12">
        <f>IF($H530="Cancelled","",IFERROR((T530*INDEX(Variables!$B$7:$D$7,IFERROR(MATCH(IF($B530="Robusta","Robusta",(IF($B530="","Arabica",$B530))&amp;" - "&amp;(IF($C530="","Commercial",$C530))),Variables!$B$1:$D$1,0),1))*AC530/365)+(L530/16.67*INDEX(Variables!$B$8:$D$8,IFERROR(MATCH(IF($B530="Robusta","Robusta",(IF($B530="","Arabica",$B530))&amp;" - "&amp;(IF($C530="","Commercial",$C530))),Variables!$B$1:$D$1,0),1))*AC530)+(T530*INDEX(Variables!$B$9:$D$9,IFERROR(MATCH(IF($B530="Robusta","Robusta",(IF($B530="","Arabica",$B530))&amp;" - "&amp;(IF($C530="","Commercial",$C530))),Variables!$B$1:$D$1,0),1))*AC530/365),""))</f>
        <v>826.38076986871954</v>
      </c>
      <c r="AU530" s="12">
        <f>IF($H530="Cancelled","",IFERROR((T530*INDEX(Variables!$B$7:$D$7,IFERROR(MATCH(IF($B530="Robusta","Robusta",(IF($B530="","Arabica",$B530))&amp;" - "&amp;(IF($C530="","Commercial",$C530))),Variables!$B$1:$D$1,0),1))*AP530/365)+(L530/16.67*INDEX(Variables!$B$8:$D$8,IFERROR(MATCH(IF($B530="Robusta","Robusta",(IF($B530="","Arabica",$B530))&amp;" - "&amp;(IF($C530="","Commercial",$C530))),Variables!$B$1:$D$1,0),1))*AP530)+(T530*INDEX(Variables!$B$9:$D$9,IFERROR(MATCH(IF($B530="Robusta","Robusta",(IF($B530="","Arabica",$B530))&amp;" - "&amp;(IF($C530="","Commercial",$C530))),Variables!$B$1:$D$1,0),1))*AP530/365),""))</f>
        <v>1032.9759623358996</v>
      </c>
      <c r="AV530" s="11">
        <f t="shared" si="59"/>
        <v>26</v>
      </c>
      <c r="AW530" s="12">
        <f>IF($H530="Cancelled","",IFERROR(IF(AV530="","",(T530*INDEX(Variables!$B$7:$D$7,IFERROR(MATCH(IF($B530="Robusta","Robusta",(IF($B530="","Arabica",$B530))&amp;" - "&amp;(IF($C530="","Commercial",$C530))),Variables!$B$1:$D$1,0),1))*(AV530/365))+(T530*INDEX(Variables!$B$9:$D$9,IFERROR(MATCH(IF($B530="Robusta","Robusta",(IF($B530="","Arabica",$B530))&amp;" - "&amp;(IF($C530="","Commercial",$C530))),Variables!$B$1:$D$1,0),1))*(AV530/365))+(INDEX(Variables!$B$8:$D$8,IFERROR(MATCH(IF($B530="Robusta","Robusta",(IF($B530="","Arabica",$B530))&amp;" - "&amp;(IF($C530="","Commercial",$C530))),Variables!$B$1:$D$1,0),1))*L530/16.67)),""))</f>
        <v>665.49166804889262</v>
      </c>
      <c r="AX530" s="9"/>
      <c r="AY530" s="12"/>
      <c r="AZ530" s="10"/>
      <c r="BA530" s="9"/>
      <c r="BB530" s="10"/>
      <c r="BC530" s="9"/>
      <c r="BD530" s="9"/>
      <c r="BE530" s="9"/>
      <c r="BF530" s="9"/>
    </row>
    <row r="531" spans="1:58" x14ac:dyDescent="0.25">
      <c r="A531" s="9" t="s">
        <v>84</v>
      </c>
      <c r="B531" s="9" t="s">
        <v>85</v>
      </c>
      <c r="C531" s="9" t="s">
        <v>86</v>
      </c>
      <c r="D531" s="10">
        <v>45988</v>
      </c>
      <c r="E531" s="10">
        <v>46082</v>
      </c>
      <c r="F531" s="10">
        <v>46112</v>
      </c>
      <c r="G531" s="9">
        <v>3787008</v>
      </c>
      <c r="H531" s="9" t="str">
        <f t="shared" si="57"/>
        <v>Open</v>
      </c>
      <c r="I531" s="9" t="str">
        <f t="shared" si="58"/>
        <v>No shipping advice sent and No docs dispatch date</v>
      </c>
      <c r="J531" s="9" t="s">
        <v>102</v>
      </c>
      <c r="K531" s="9" t="s">
        <v>1321</v>
      </c>
      <c r="L531" s="11">
        <v>1667</v>
      </c>
      <c r="M531" s="9" t="s">
        <v>1269</v>
      </c>
      <c r="N531" s="9" t="s">
        <v>432</v>
      </c>
      <c r="O531" s="9"/>
      <c r="P531" s="9"/>
      <c r="Q531" s="11">
        <v>48</v>
      </c>
      <c r="R531" s="9" t="s">
        <v>90</v>
      </c>
      <c r="S531" s="9" t="s">
        <v>207</v>
      </c>
      <c r="T531" s="12">
        <f>IF($H531="Cancelled","",IFERROR(((Q531+INDEX(Variables!$B$6:$D$6,IFERROR(MATCH(IF($B531="Robusta","Robusta",(IF($B531="","Arabica",$B531))&amp;" - "&amp;(IF($C531="","Commercial",$C531))),Variables!$B$1:$D$1,0),1)))*22.0462)*(L531/16.67),""))</f>
        <v>746925.25599999994</v>
      </c>
      <c r="U531" s="10">
        <v>46051</v>
      </c>
      <c r="V531" s="9" t="str">
        <f t="shared" si="60"/>
        <v>Sent</v>
      </c>
      <c r="W531" s="10">
        <v>46059</v>
      </c>
      <c r="X531" s="9" t="str">
        <f t="shared" si="56"/>
        <v>Approved</v>
      </c>
      <c r="Y531" s="10"/>
      <c r="Z531" s="10">
        <f>IF($H531="Cancelled","",IFERROR(IF(F531="","",F531-Variables!$B$13),""))</f>
        <v>46097</v>
      </c>
      <c r="AA531" s="11">
        <f>IF($H531="Cancelled","",IFERROR(IF(W531="","",(AVERAGE(E531:F531)-W531)-Variables!$B$14),""))</f>
        <v>8</v>
      </c>
      <c r="AB531" s="10">
        <v>46106</v>
      </c>
      <c r="AC531" s="11">
        <f>IF($H531="Cancelled","",IFERROR(IF(AB531="","",IF(AND(W531="",Y531=""),"",IF(Y531&gt;W531,Y531+Variables!$B$15+Variables!$B$16+Variables!$B$17-AB531,W531+Variables!$B$16+Variables!$B$17-AB531))),""))</f>
        <v>-39</v>
      </c>
      <c r="AD531" s="9" t="s">
        <v>163</v>
      </c>
      <c r="AE531" s="9" t="s">
        <v>1305</v>
      </c>
      <c r="AF531" s="10">
        <v>46163</v>
      </c>
      <c r="AG531" s="10"/>
      <c r="AH531" s="9"/>
      <c r="AI531" s="9">
        <v>267423281</v>
      </c>
      <c r="AJ531" s="9"/>
      <c r="AK531" s="10">
        <v>46112</v>
      </c>
      <c r="AL531" s="10"/>
      <c r="AM531" s="10"/>
      <c r="AN531" s="9" t="s">
        <v>1249</v>
      </c>
      <c r="AO531" s="9"/>
      <c r="AP531" s="11">
        <f>IF($H531="Cancelled","",IFERROR(IF(OR(AK531="",AB531=""),"",(AB531+Variables!$B$18-AK531)),""))</f>
        <v>1</v>
      </c>
      <c r="AQ531" s="11" t="str">
        <f>IF($H531="Cancelled","",IFERROR(IF(OR(AM531="",AK531=""),"",(AK531+Variables!$B$19)-AM531),""))</f>
        <v/>
      </c>
      <c r="AR531" s="12" t="str">
        <f>IF($H531="Cancelled","",IFERROR(T531*INDEX(Variables!$B$7:$D$7,IFERROR(MATCH(IF($B531="Robusta","Robusta",(IF($B531="","Arabica",$B531))&amp;" - "&amp;(IF($C531="","Commercial",$C531))),Variables!$B$1:$D$1,0),1))*(AQ531/365),""))</f>
        <v/>
      </c>
      <c r="AS531" s="12">
        <f>IF($H531="Cancelled","",IFERROR((T531*INDEX(Variables!$B$7:$D$7,IFERROR(MATCH(IF($B531="Robusta","Robusta",(IF($B531="","Arabica",$B531))&amp;" - "&amp;(IF($C531="","Commercial",$C531))),Variables!$B$1:$D$1,0),1))*IFERROR(IF(W531="","",(AVERAGE(E531:F531)-W531)-Variables!$B$14),"")/365)+(L531/16.67*INDEX(Variables!$B$8:$D$8,IFERROR(MATCH(IF($B531="Robusta","Robusta",(IF($B531="","Arabica",$B531))&amp;" - "&amp;(IF($C531="","Commercial",$C531))),Variables!$B$1:$D$1,0),1))*IFERROR(IF(W531="","",(AVERAGE(E531:F531)-W531)-Variables!$B$14),""))+(T531*INDEX(Variables!$B$9:$D$9,IFERROR(MATCH(IF($B531="Robusta","Robusta",(IF($B531="","Arabica",$B531))&amp;" - "&amp;(IF($C531="","Commercial",$C531))),Variables!$B$1:$D$1,0),1))*IFERROR(IF(W531="","",(AVERAGE(E531:F531)-W531)-Variables!$B$14),"")/365),""))</f>
        <v>1736.0449908549258</v>
      </c>
      <c r="AT531" s="12">
        <f>IF($H531="Cancelled","",IFERROR((T531*INDEX(Variables!$B$7:$D$7,IFERROR(MATCH(IF($B531="Robusta","Robusta",(IF($B531="","Arabica",$B531))&amp;" - "&amp;(IF($C531="","Commercial",$C531))),Variables!$B$1:$D$1,0),1))*AC531/365)+(L531/16.67*INDEX(Variables!$B$8:$D$8,IFERROR(MATCH(IF($B531="Robusta","Robusta",(IF($B531="","Arabica",$B531))&amp;" - "&amp;(IF($C531="","Commercial",$C531))),Variables!$B$1:$D$1,0),1))*AC531)+(T531*INDEX(Variables!$B$9:$D$9,IFERROR(MATCH(IF($B531="Robusta","Robusta",(IF($B531="","Arabica",$B531))&amp;" - "&amp;(IF($C531="","Commercial",$C531))),Variables!$B$1:$D$1,0),1))*AC531/365),""))</f>
        <v>-8463.2193304177636</v>
      </c>
      <c r="AU531" s="12">
        <f>IF($H531="Cancelled","",IFERROR((T531*INDEX(Variables!$B$7:$D$7,IFERROR(MATCH(IF($B531="Robusta","Robusta",(IF($B531="","Arabica",$B531))&amp;" - "&amp;(IF($C531="","Commercial",$C531))),Variables!$B$1:$D$1,0),1))*AP531/365)+(L531/16.67*INDEX(Variables!$B$8:$D$8,IFERROR(MATCH(IF($B531="Robusta","Robusta",(IF($B531="","Arabica",$B531))&amp;" - "&amp;(IF($C531="","Commercial",$C531))),Variables!$B$1:$D$1,0),1))*AP531)+(T531*INDEX(Variables!$B$9:$D$9,IFERROR(MATCH(IF($B531="Robusta","Robusta",(IF($B531="","Arabica",$B531))&amp;" - "&amp;(IF($C531="","Commercial",$C531))),Variables!$B$1:$D$1,0),1))*AP531/365),""))</f>
        <v>217.00562385686572</v>
      </c>
      <c r="AV531" s="11">
        <f t="shared" si="59"/>
        <v>0</v>
      </c>
      <c r="AW531" s="12">
        <f>IF($H531="Cancelled","",IFERROR(IF(AV531="","",(T531*INDEX(Variables!$B$7:$D$7,IFERROR(MATCH(IF($B531="Robusta","Robusta",(IF($B531="","Arabica",$B531))&amp;" - "&amp;(IF($C531="","Commercial",$C531))),Variables!$B$1:$D$1,0),1))*(AV531/365))+(T531*INDEX(Variables!$B$9:$D$9,IFERROR(MATCH(IF($B531="Robusta","Robusta",(IF($B531="","Arabica",$B531))&amp;" - "&amp;(IF($C531="","Commercial",$C531))),Variables!$B$1:$D$1,0),1))*(AV531/365))+(INDEX(Variables!$B$8:$D$8,IFERROR(MATCH(IF($B531="Robusta","Robusta",(IF($B531="","Arabica",$B531))&amp;" - "&amp;(IF($C531="","Commercial",$C531))),Variables!$B$1:$D$1,0),1))*L531/16.67)),""))</f>
        <v>83.350000000000009</v>
      </c>
      <c r="AX531" s="9"/>
      <c r="AY531" s="12"/>
      <c r="AZ531" s="10"/>
      <c r="BA531" s="9"/>
      <c r="BB531" s="10"/>
      <c r="BC531" s="9"/>
      <c r="BD531" s="9"/>
      <c r="BE531" s="9"/>
      <c r="BF531" s="9"/>
    </row>
    <row r="532" spans="1:58" x14ac:dyDescent="0.25">
      <c r="A532" s="9" t="s">
        <v>84</v>
      </c>
      <c r="B532" s="9" t="s">
        <v>85</v>
      </c>
      <c r="C532" s="9" t="s">
        <v>86</v>
      </c>
      <c r="D532" s="10">
        <v>45988</v>
      </c>
      <c r="E532" s="10">
        <v>46082</v>
      </c>
      <c r="F532" s="10">
        <v>46112</v>
      </c>
      <c r="G532" s="9">
        <v>3787008</v>
      </c>
      <c r="H532" s="9" t="str">
        <f t="shared" si="57"/>
        <v>Open</v>
      </c>
      <c r="I532" s="9" t="str">
        <f t="shared" si="58"/>
        <v>No shipping advice sent and No docs dispatch date</v>
      </c>
      <c r="J532" s="9" t="s">
        <v>102</v>
      </c>
      <c r="K532" s="9" t="s">
        <v>1322</v>
      </c>
      <c r="L532" s="11">
        <v>1000</v>
      </c>
      <c r="M532" s="9" t="s">
        <v>1269</v>
      </c>
      <c r="N532" s="9" t="s">
        <v>432</v>
      </c>
      <c r="O532" s="9"/>
      <c r="P532" s="9"/>
      <c r="Q532" s="11">
        <v>48</v>
      </c>
      <c r="R532" s="9" t="s">
        <v>90</v>
      </c>
      <c r="S532" s="9" t="s">
        <v>462</v>
      </c>
      <c r="T532" s="12">
        <f>IF($H532="Cancelled","",IFERROR(((Q532+INDEX(Variables!$B$6:$D$6,IFERROR(MATCH(IF($B532="Robusta","Robusta",(IF($B532="","Arabica",$B532))&amp;" - "&amp;(IF($C532="","Commercial",$C532))),Variables!$B$1:$D$1,0),1)))*22.0462)*(L532/16.67),""))</f>
        <v>448065.54049190157</v>
      </c>
      <c r="U532" s="10">
        <v>46051</v>
      </c>
      <c r="V532" s="9" t="str">
        <f t="shared" si="60"/>
        <v>Sent</v>
      </c>
      <c r="W532" s="10">
        <v>46059</v>
      </c>
      <c r="X532" s="9" t="str">
        <f t="shared" si="56"/>
        <v>Approved</v>
      </c>
      <c r="Y532" s="10"/>
      <c r="Z532" s="10">
        <f>IF($H532="Cancelled","",IFERROR(IF(F532="","",F532-Variables!$B$13),""))</f>
        <v>46097</v>
      </c>
      <c r="AA532" s="11">
        <f>IF($H532="Cancelled","",IFERROR(IF(W532="","",(AVERAGE(E532:F532)-W532)-Variables!$B$14),""))</f>
        <v>8</v>
      </c>
      <c r="AB532" s="10">
        <v>46104</v>
      </c>
      <c r="AC532" s="11">
        <f>IF($H532="Cancelled","",IFERROR(IF(AB532="","",IF(AND(W532="",Y532=""),"",IF(Y532&gt;W532,Y532+Variables!$B$15+Variables!$B$16+Variables!$B$17-AB532,W532+Variables!$B$16+Variables!$B$17-AB532))),""))</f>
        <v>-37</v>
      </c>
      <c r="AD532" s="9" t="s">
        <v>163</v>
      </c>
      <c r="AE532" s="9" t="s">
        <v>1323</v>
      </c>
      <c r="AF532" s="10"/>
      <c r="AG532" s="10"/>
      <c r="AH532" s="9"/>
      <c r="AI532" s="9">
        <v>267423454</v>
      </c>
      <c r="AJ532" s="9"/>
      <c r="AK532" s="10">
        <v>46116</v>
      </c>
      <c r="AL532" s="10"/>
      <c r="AM532" s="10"/>
      <c r="AN532" s="9" t="s">
        <v>1249</v>
      </c>
      <c r="AO532" s="9"/>
      <c r="AP532" s="11">
        <f>IF($H532="Cancelled","",IFERROR(IF(OR(AK532="",AB532=""),"",(AB532+Variables!$B$18-AK532)),""))</f>
        <v>-5</v>
      </c>
      <c r="AQ532" s="11" t="str">
        <f>IF($H532="Cancelled","",IFERROR(IF(OR(AM532="",AK532=""),"",(AK532+Variables!$B$19)-AM532),""))</f>
        <v/>
      </c>
      <c r="AR532" s="12" t="str">
        <f>IF($H532="Cancelled","",IFERROR(T532*INDEX(Variables!$B$7:$D$7,IFERROR(MATCH(IF($B532="Robusta","Robusta",(IF($B532="","Arabica",$B532))&amp;" - "&amp;(IF($C532="","Commercial",$C532))),Variables!$B$1:$D$1,0),1))*(AQ532/365),""))</f>
        <v/>
      </c>
      <c r="AS532" s="12">
        <f>IF($H532="Cancelled","",IFERROR((T532*INDEX(Variables!$B$7:$D$7,IFERROR(MATCH(IF($B532="Robusta","Robusta",(IF($B532="","Arabica",$B532))&amp;" - "&amp;(IF($C532="","Commercial",$C532))),Variables!$B$1:$D$1,0),1))*IFERROR(IF(W532="","",(AVERAGE(E532:F532)-W532)-Variables!$B$14),"")/365)+(L532/16.67*INDEX(Variables!$B$8:$D$8,IFERROR(MATCH(IF($B532="Robusta","Robusta",(IF($B532="","Arabica",$B532))&amp;" - "&amp;(IF($C532="","Commercial",$C532))),Variables!$B$1:$D$1,0),1))*IFERROR(IF(W532="","",(AVERAGE(E532:F532)-W532)-Variables!$B$14),""))+(T532*INDEX(Variables!$B$9:$D$9,IFERROR(MATCH(IF($B532="Robusta","Robusta",(IF($B532="","Arabica",$B532))&amp;" - "&amp;(IF($C532="","Commercial",$C532))),Variables!$B$1:$D$1,0),1))*IFERROR(IF(W532="","",(AVERAGE(E532:F532)-W532)-Variables!$B$14),"")/365),""))</f>
        <v>1041.4187107708015</v>
      </c>
      <c r="AT532" s="12">
        <f>IF($H532="Cancelled","",IFERROR((T532*INDEX(Variables!$B$7:$D$7,IFERROR(MATCH(IF($B532="Robusta","Robusta",(IF($B532="","Arabica",$B532))&amp;" - "&amp;(IF($C532="","Commercial",$C532))),Variables!$B$1:$D$1,0),1))*AC532/365)+(L532/16.67*INDEX(Variables!$B$8:$D$8,IFERROR(MATCH(IF($B532="Robusta","Robusta",(IF($B532="","Arabica",$B532))&amp;" - "&amp;(IF($C532="","Commercial",$C532))),Variables!$B$1:$D$1,0),1))*AC532)+(T532*INDEX(Variables!$B$9:$D$9,IFERROR(MATCH(IF($B532="Robusta","Robusta",(IF($B532="","Arabica",$B532))&amp;" - "&amp;(IF($C532="","Commercial",$C532))),Variables!$B$1:$D$1,0),1))*AC532/365),""))</f>
        <v>-4816.5615373149576</v>
      </c>
      <c r="AU532" s="12">
        <f>IF($H532="Cancelled","",IFERROR((T532*INDEX(Variables!$B$7:$D$7,IFERROR(MATCH(IF($B532="Robusta","Robusta",(IF($B532="","Arabica",$B532))&amp;" - "&amp;(IF($C532="","Commercial",$C532))),Variables!$B$1:$D$1,0),1))*AP532/365)+(L532/16.67*INDEX(Variables!$B$8:$D$8,IFERROR(MATCH(IF($B532="Robusta","Robusta",(IF($B532="","Arabica",$B532))&amp;" - "&amp;(IF($C532="","Commercial",$C532))),Variables!$B$1:$D$1,0),1))*AP532)+(T532*INDEX(Variables!$B$9:$D$9,IFERROR(MATCH(IF($B532="Robusta","Robusta",(IF($B532="","Arabica",$B532))&amp;" - "&amp;(IF($C532="","Commercial",$C532))),Variables!$B$1:$D$1,0),1))*AP532/365),""))</f>
        <v>-650.88669423175088</v>
      </c>
      <c r="AV532" s="11">
        <f t="shared" si="59"/>
        <v>-4</v>
      </c>
      <c r="AW532" s="12">
        <f>IF($H532="Cancelled","",IFERROR(IF(AV532="","",(T532*INDEX(Variables!$B$7:$D$7,IFERROR(MATCH(IF($B532="Robusta","Robusta",(IF($B532="","Arabica",$B532))&amp;" - "&amp;(IF($C532="","Commercial",$C532))),Variables!$B$1:$D$1,0),1))*(AV532/365))+(T532*INDEX(Variables!$B$9:$D$9,IFERROR(MATCH(IF($B532="Robusta","Robusta",(IF($B532="","Arabica",$B532))&amp;" - "&amp;(IF($C532="","Commercial",$C532))),Variables!$B$1:$D$1,0),1))*(AV532/365))+(INDEX(Variables!$B$8:$D$8,IFERROR(MATCH(IF($B532="Robusta","Robusta",(IF($B532="","Arabica",$B532))&amp;" - "&amp;(IF($C532="","Commercial",$C532))),Variables!$B$1:$D$1,0),1))*L532/16.67)),""))</f>
        <v>-270.70935538540073</v>
      </c>
      <c r="AX532" s="9"/>
      <c r="AY532" s="12"/>
      <c r="AZ532" s="10"/>
      <c r="BA532" s="9"/>
      <c r="BB532" s="10"/>
      <c r="BC532" s="9"/>
      <c r="BD532" s="9"/>
      <c r="BE532" s="9"/>
      <c r="BF532" s="9"/>
    </row>
    <row r="533" spans="1:58" x14ac:dyDescent="0.25">
      <c r="A533" s="9" t="s">
        <v>84</v>
      </c>
      <c r="B533" s="9" t="s">
        <v>85</v>
      </c>
      <c r="C533" s="9" t="s">
        <v>86</v>
      </c>
      <c r="D533" s="10">
        <v>45988</v>
      </c>
      <c r="E533" s="10">
        <v>46082</v>
      </c>
      <c r="F533" s="10">
        <v>46112</v>
      </c>
      <c r="G533" s="9">
        <v>3787008</v>
      </c>
      <c r="H533" s="9" t="str">
        <f t="shared" si="57"/>
        <v>Open</v>
      </c>
      <c r="I533" s="9" t="str">
        <f t="shared" si="58"/>
        <v>No shipping advice sent and No docs dispatch date</v>
      </c>
      <c r="J533" s="9" t="s">
        <v>102</v>
      </c>
      <c r="K533" s="9" t="s">
        <v>1324</v>
      </c>
      <c r="L533" s="11">
        <v>667</v>
      </c>
      <c r="M533" s="9" t="s">
        <v>1269</v>
      </c>
      <c r="N533" s="9" t="s">
        <v>432</v>
      </c>
      <c r="O533" s="9"/>
      <c r="P533" s="9"/>
      <c r="Q533" s="11">
        <v>48</v>
      </c>
      <c r="R533" s="9" t="s">
        <v>90</v>
      </c>
      <c r="S533" s="9" t="s">
        <v>465</v>
      </c>
      <c r="T533" s="12">
        <f>IF($H533="Cancelled","",IFERROR(((Q533+INDEX(Variables!$B$6:$D$6,IFERROR(MATCH(IF($B533="Robusta","Robusta",(IF($B533="","Arabica",$B533))&amp;" - "&amp;(IF($C533="","Commercial",$C533))),Variables!$B$1:$D$1,0),1)))*22.0462)*(L533/16.67),""))</f>
        <v>298859.71550809836</v>
      </c>
      <c r="U533" s="10">
        <v>46051</v>
      </c>
      <c r="V533" s="9" t="str">
        <f t="shared" si="60"/>
        <v>Sent</v>
      </c>
      <c r="W533" s="10">
        <v>46059</v>
      </c>
      <c r="X533" s="9" t="str">
        <f t="shared" si="56"/>
        <v>Approved</v>
      </c>
      <c r="Y533" s="10"/>
      <c r="Z533" s="10">
        <f>IF($H533="Cancelled","",IFERROR(IF(F533="","",F533-Variables!$B$13),""))</f>
        <v>46097</v>
      </c>
      <c r="AA533" s="11">
        <f>IF($H533="Cancelled","",IFERROR(IF(W533="","",(AVERAGE(E533:F533)-W533)-Variables!$B$14),""))</f>
        <v>8</v>
      </c>
      <c r="AB533" s="10">
        <v>46104</v>
      </c>
      <c r="AC533" s="11">
        <f>IF($H533="Cancelled","",IFERROR(IF(AB533="","",IF(AND(W533="",Y533=""),"",IF(Y533&gt;W533,Y533+Variables!$B$15+Variables!$B$16+Variables!$B$17-AB533,W533+Variables!$B$16+Variables!$B$17-AB533))),""))</f>
        <v>-37</v>
      </c>
      <c r="AD533" s="9" t="s">
        <v>1224</v>
      </c>
      <c r="AE533" s="9" t="s">
        <v>1325</v>
      </c>
      <c r="AF533" s="10">
        <v>46171</v>
      </c>
      <c r="AG533" s="10"/>
      <c r="AH533" s="9"/>
      <c r="AI533" s="9" t="s">
        <v>1326</v>
      </c>
      <c r="AJ533" s="9"/>
      <c r="AK533" s="10">
        <v>46112</v>
      </c>
      <c r="AL533" s="10"/>
      <c r="AM533" s="10"/>
      <c r="AN533" s="9" t="s">
        <v>1249</v>
      </c>
      <c r="AO533" s="9"/>
      <c r="AP533" s="11">
        <f>IF($H533="Cancelled","",IFERROR(IF(OR(AK533="",AB533=""),"",(AB533+Variables!$B$18-AK533)),""))</f>
        <v>-1</v>
      </c>
      <c r="AQ533" s="11" t="str">
        <f>IF($H533="Cancelled","",IFERROR(IF(OR(AM533="",AK533=""),"",(AK533+Variables!$B$19)-AM533),""))</f>
        <v/>
      </c>
      <c r="AR533" s="12" t="str">
        <f>IF($H533="Cancelled","",IFERROR(T533*INDEX(Variables!$B$7:$D$7,IFERROR(MATCH(IF($B533="Robusta","Robusta",(IF($B533="","Arabica",$B533))&amp;" - "&amp;(IF($C533="","Commercial",$C533))),Variables!$B$1:$D$1,0),1))*(AQ533/365),""))</f>
        <v/>
      </c>
      <c r="AS533" s="12">
        <f>IF($H533="Cancelled","",IFERROR((T533*INDEX(Variables!$B$7:$D$7,IFERROR(MATCH(IF($B533="Robusta","Robusta",(IF($B533="","Arabica",$B533))&amp;" - "&amp;(IF($C533="","Commercial",$C533))),Variables!$B$1:$D$1,0),1))*IFERROR(IF(W533="","",(AVERAGE(E533:F533)-W533)-Variables!$B$14),"")/365)+(L533/16.67*INDEX(Variables!$B$8:$D$8,IFERROR(MATCH(IF($B533="Robusta","Robusta",(IF($B533="","Arabica",$B533))&amp;" - "&amp;(IF($C533="","Commercial",$C533))),Variables!$B$1:$D$1,0),1))*IFERROR(IF(W533="","",(AVERAGE(E533:F533)-W533)-Variables!$B$14),""))+(T533*INDEX(Variables!$B$9:$D$9,IFERROR(MATCH(IF($B533="Robusta","Robusta",(IF($B533="","Arabica",$B533))&amp;" - "&amp;(IF($C533="","Commercial",$C533))),Variables!$B$1:$D$1,0),1))*IFERROR(IF(W533="","",(AVERAGE(E533:F533)-W533)-Variables!$B$14),"")/365),""))</f>
        <v>694.62628008412457</v>
      </c>
      <c r="AT533" s="12">
        <f>IF($H533="Cancelled","",IFERROR((T533*INDEX(Variables!$B$7:$D$7,IFERROR(MATCH(IF($B533="Robusta","Robusta",(IF($B533="","Arabica",$B533))&amp;" - "&amp;(IF($C533="","Commercial",$C533))),Variables!$B$1:$D$1,0),1))*AC533/365)+(L533/16.67*INDEX(Variables!$B$8:$D$8,IFERROR(MATCH(IF($B533="Robusta","Robusta",(IF($B533="","Arabica",$B533))&amp;" - "&amp;(IF($C533="","Commercial",$C533))),Variables!$B$1:$D$1,0),1))*AC533)+(T533*INDEX(Variables!$B$9:$D$9,IFERROR(MATCH(IF($B533="Robusta","Robusta",(IF($B533="","Arabica",$B533))&amp;" - "&amp;(IF($C533="","Commercial",$C533))),Variables!$B$1:$D$1,0),1))*AC533/365),""))</f>
        <v>-3212.646545389076</v>
      </c>
      <c r="AU533" s="12">
        <f>IF($H533="Cancelled","",IFERROR((T533*INDEX(Variables!$B$7:$D$7,IFERROR(MATCH(IF($B533="Robusta","Robusta",(IF($B533="","Arabica",$B533))&amp;" - "&amp;(IF($C533="","Commercial",$C533))),Variables!$B$1:$D$1,0),1))*AP533/365)+(L533/16.67*INDEX(Variables!$B$8:$D$8,IFERROR(MATCH(IF($B533="Robusta","Robusta",(IF($B533="","Arabica",$B533))&amp;" - "&amp;(IF($C533="","Commercial",$C533))),Variables!$B$1:$D$1,0),1))*AP533)+(T533*INDEX(Variables!$B$9:$D$9,IFERROR(MATCH(IF($B533="Robusta","Robusta",(IF($B533="","Arabica",$B533))&amp;" - "&amp;(IF($C533="","Commercial",$C533))),Variables!$B$1:$D$1,0),1))*AP533/365),""))</f>
        <v>-86.828285010515572</v>
      </c>
      <c r="AV533" s="11">
        <f t="shared" si="59"/>
        <v>0</v>
      </c>
      <c r="AW533" s="12">
        <f>IF($H533="Cancelled","",IFERROR(IF(AV533="","",(T533*INDEX(Variables!$B$7:$D$7,IFERROR(MATCH(IF($B533="Robusta","Robusta",(IF($B533="","Arabica",$B533))&amp;" - "&amp;(IF($C533="","Commercial",$C533))),Variables!$B$1:$D$1,0),1))*(AV533/365))+(T533*INDEX(Variables!$B$9:$D$9,IFERROR(MATCH(IF($B533="Robusta","Robusta",(IF($B533="","Arabica",$B533))&amp;" - "&amp;(IF($C533="","Commercial",$C533))),Variables!$B$1:$D$1,0),1))*(AV533/365))+(INDEX(Variables!$B$8:$D$8,IFERROR(MATCH(IF($B533="Robusta","Robusta",(IF($B533="","Arabica",$B533))&amp;" - "&amp;(IF($C533="","Commercial",$C533))),Variables!$B$1:$D$1,0),1))*L533/16.67)),""))</f>
        <v>33.35</v>
      </c>
      <c r="AX533" s="9"/>
      <c r="AY533" s="12"/>
      <c r="AZ533" s="10"/>
      <c r="BA533" s="9"/>
      <c r="BB533" s="10"/>
      <c r="BC533" s="9"/>
      <c r="BD533" s="9"/>
      <c r="BE533" s="9"/>
      <c r="BF533" s="9"/>
    </row>
    <row r="534" spans="1:58" x14ac:dyDescent="0.25">
      <c r="A534" s="9" t="s">
        <v>84</v>
      </c>
      <c r="B534" s="9" t="s">
        <v>85</v>
      </c>
      <c r="C534" s="9" t="s">
        <v>86</v>
      </c>
      <c r="D534" s="10">
        <v>45988</v>
      </c>
      <c r="E534" s="10">
        <v>46082</v>
      </c>
      <c r="F534" s="10">
        <v>46112</v>
      </c>
      <c r="G534" s="9">
        <v>3787008</v>
      </c>
      <c r="H534" s="9" t="str">
        <f t="shared" si="57"/>
        <v>Open</v>
      </c>
      <c r="I534" s="9" t="str">
        <f t="shared" si="58"/>
        <v>No shipping advice sent and No docs dispatch date</v>
      </c>
      <c r="J534" s="9" t="s">
        <v>102</v>
      </c>
      <c r="K534" s="9" t="s">
        <v>1327</v>
      </c>
      <c r="L534" s="11">
        <v>334</v>
      </c>
      <c r="M534" s="9" t="s">
        <v>1269</v>
      </c>
      <c r="N534" s="9" t="s">
        <v>432</v>
      </c>
      <c r="O534" s="9"/>
      <c r="P534" s="9"/>
      <c r="Q534" s="11">
        <v>48</v>
      </c>
      <c r="R534" s="9" t="s">
        <v>90</v>
      </c>
      <c r="S534" s="9" t="s">
        <v>753</v>
      </c>
      <c r="T534" s="12">
        <f>IF($H534="Cancelled","",IFERROR(((Q534+INDEX(Variables!$B$6:$D$6,IFERROR(MATCH(IF($B534="Robusta","Robusta",(IF($B534="","Arabica",$B534))&amp;" - "&amp;(IF($C534="","Commercial",$C534))),Variables!$B$1:$D$1,0),1)))*22.0462)*(L534/16.67),""))</f>
        <v>149653.89052429513</v>
      </c>
      <c r="U534" s="10">
        <v>46051</v>
      </c>
      <c r="V534" s="9" t="str">
        <f t="shared" si="60"/>
        <v>Sent</v>
      </c>
      <c r="W534" s="10">
        <v>46059</v>
      </c>
      <c r="X534" s="9" t="str">
        <f t="shared" si="56"/>
        <v>Approved</v>
      </c>
      <c r="Y534" s="10"/>
      <c r="Z534" s="10">
        <f>IF($H534="Cancelled","",IFERROR(IF(F534="","",F534-Variables!$B$13),""))</f>
        <v>46097</v>
      </c>
      <c r="AA534" s="11">
        <f>IF($H534="Cancelled","",IFERROR(IF(W534="","",(AVERAGE(E534:F534)-W534)-Variables!$B$14),""))</f>
        <v>8</v>
      </c>
      <c r="AB534" s="10">
        <v>46104</v>
      </c>
      <c r="AC534" s="11">
        <f>IF($H534="Cancelled","",IFERROR(IF(AB534="","",IF(AND(W534="",Y534=""),"",IF(Y534&gt;W534,Y534+Variables!$B$15+Variables!$B$16+Variables!$B$17-AB534,W534+Variables!$B$16+Variables!$B$17-AB534))),""))</f>
        <v>-37</v>
      </c>
      <c r="AD534" s="9" t="s">
        <v>1224</v>
      </c>
      <c r="AE534" s="9" t="s">
        <v>1328</v>
      </c>
      <c r="AF534" s="10">
        <v>46178</v>
      </c>
      <c r="AG534" s="10"/>
      <c r="AH534" s="9"/>
      <c r="AI534" s="9" t="s">
        <v>1329</v>
      </c>
      <c r="AJ534" s="9"/>
      <c r="AK534" s="10">
        <v>46112</v>
      </c>
      <c r="AL534" s="10"/>
      <c r="AM534" s="10"/>
      <c r="AN534" s="9" t="s">
        <v>1249</v>
      </c>
      <c r="AO534" s="9"/>
      <c r="AP534" s="11">
        <f>IF($H534="Cancelled","",IFERROR(IF(OR(AK534="",AB534=""),"",(AB534+Variables!$B$18-AK534)),""))</f>
        <v>-1</v>
      </c>
      <c r="AQ534" s="11" t="str">
        <f>IF($H534="Cancelled","",IFERROR(IF(OR(AM534="",AK534=""),"",(AK534+Variables!$B$19)-AM534),""))</f>
        <v/>
      </c>
      <c r="AR534" s="12" t="str">
        <f>IF($H534="Cancelled","",IFERROR(T534*INDEX(Variables!$B$7:$D$7,IFERROR(MATCH(IF($B534="Robusta","Robusta",(IF($B534="","Arabica",$B534))&amp;" - "&amp;(IF($C534="","Commercial",$C534))),Variables!$B$1:$D$1,0),1))*(AQ534/365),""))</f>
        <v/>
      </c>
      <c r="AS534" s="12">
        <f>IF($H534="Cancelled","",IFERROR((T534*INDEX(Variables!$B$7:$D$7,IFERROR(MATCH(IF($B534="Robusta","Robusta",(IF($B534="","Arabica",$B534))&amp;" - "&amp;(IF($C534="","Commercial",$C534))),Variables!$B$1:$D$1,0),1))*IFERROR(IF(W534="","",(AVERAGE(E534:F534)-W534)-Variables!$B$14),"")/365)+(L534/16.67*INDEX(Variables!$B$8:$D$8,IFERROR(MATCH(IF($B534="Robusta","Robusta",(IF($B534="","Arabica",$B534))&amp;" - "&amp;(IF($C534="","Commercial",$C534))),Variables!$B$1:$D$1,0),1))*IFERROR(IF(W534="","",(AVERAGE(E534:F534)-W534)-Variables!$B$14),""))+(T534*INDEX(Variables!$B$9:$D$9,IFERROR(MATCH(IF($B534="Robusta","Robusta",(IF($B534="","Arabica",$B534))&amp;" - "&amp;(IF($C534="","Commercial",$C534))),Variables!$B$1:$D$1,0),1))*IFERROR(IF(W534="","",(AVERAGE(E534:F534)-W534)-Variables!$B$14),"")/365),""))</f>
        <v>347.83384939744775</v>
      </c>
      <c r="AT534" s="12">
        <f>IF($H534="Cancelled","",IFERROR((T534*INDEX(Variables!$B$7:$D$7,IFERROR(MATCH(IF($B534="Robusta","Robusta",(IF($B534="","Arabica",$B534))&amp;" - "&amp;(IF($C534="","Commercial",$C534))),Variables!$B$1:$D$1,0),1))*AC534/365)+(L534/16.67*INDEX(Variables!$B$8:$D$8,IFERROR(MATCH(IF($B534="Robusta","Robusta",(IF($B534="","Arabica",$B534))&amp;" - "&amp;(IF($C534="","Commercial",$C534))),Variables!$B$1:$D$1,0),1))*AC534)+(T534*INDEX(Variables!$B$9:$D$9,IFERROR(MATCH(IF($B534="Robusta","Robusta",(IF($B534="","Arabica",$B534))&amp;" - "&amp;(IF($C534="","Commercial",$C534))),Variables!$B$1:$D$1,0),1))*AC534/365),""))</f>
        <v>-1608.7315534631957</v>
      </c>
      <c r="AU534" s="12">
        <f>IF($H534="Cancelled","",IFERROR((T534*INDEX(Variables!$B$7:$D$7,IFERROR(MATCH(IF($B534="Robusta","Robusta",(IF($B534="","Arabica",$B534))&amp;" - "&amp;(IF($C534="","Commercial",$C534))),Variables!$B$1:$D$1,0),1))*AP534/365)+(L534/16.67*INDEX(Variables!$B$8:$D$8,IFERROR(MATCH(IF($B534="Robusta","Robusta",(IF($B534="","Arabica",$B534))&amp;" - "&amp;(IF($C534="","Commercial",$C534))),Variables!$B$1:$D$1,0),1))*AP534)+(T534*INDEX(Variables!$B$9:$D$9,IFERROR(MATCH(IF($B534="Robusta","Robusta",(IF($B534="","Arabica",$B534))&amp;" - "&amp;(IF($C534="","Commercial",$C534))),Variables!$B$1:$D$1,0),1))*AP534/365),""))</f>
        <v>-43.479231174680969</v>
      </c>
      <c r="AV534" s="11">
        <f t="shared" si="59"/>
        <v>0</v>
      </c>
      <c r="AW534" s="12">
        <f>IF($H534="Cancelled","",IFERROR(IF(AV534="","",(T534*INDEX(Variables!$B$7:$D$7,IFERROR(MATCH(IF($B534="Robusta","Robusta",(IF($B534="","Arabica",$B534))&amp;" - "&amp;(IF($C534="","Commercial",$C534))),Variables!$B$1:$D$1,0),1))*(AV534/365))+(T534*INDEX(Variables!$B$9:$D$9,IFERROR(MATCH(IF($B534="Robusta","Robusta",(IF($B534="","Arabica",$B534))&amp;" - "&amp;(IF($C534="","Commercial",$C534))),Variables!$B$1:$D$1,0),1))*(AV534/365))+(INDEX(Variables!$B$8:$D$8,IFERROR(MATCH(IF($B534="Robusta","Robusta",(IF($B534="","Arabica",$B534))&amp;" - "&amp;(IF($C534="","Commercial",$C534))),Variables!$B$1:$D$1,0),1))*L534/16.67)),""))</f>
        <v>16.700000000000003</v>
      </c>
      <c r="AX534" s="9"/>
      <c r="AY534" s="12"/>
      <c r="AZ534" s="10"/>
      <c r="BA534" s="9"/>
      <c r="BB534" s="10"/>
      <c r="BC534" s="9"/>
      <c r="BD534" s="9"/>
      <c r="BE534" s="9"/>
      <c r="BF534" s="9"/>
    </row>
    <row r="535" spans="1:58" x14ac:dyDescent="0.25">
      <c r="A535" s="9" t="s">
        <v>84</v>
      </c>
      <c r="B535" s="9" t="s">
        <v>85</v>
      </c>
      <c r="C535" s="9" t="s">
        <v>86</v>
      </c>
      <c r="D535" s="10">
        <v>46001</v>
      </c>
      <c r="E535" s="10">
        <v>45992</v>
      </c>
      <c r="F535" s="10">
        <v>46022</v>
      </c>
      <c r="G535" s="9">
        <v>3787032</v>
      </c>
      <c r="H535" s="9" t="str">
        <f t="shared" si="57"/>
        <v>Open</v>
      </c>
      <c r="I535" s="9" t="str">
        <f t="shared" si="58"/>
        <v>No docs dispatch date</v>
      </c>
      <c r="J535" s="9" t="s">
        <v>718</v>
      </c>
      <c r="K535" s="9">
        <v>5384</v>
      </c>
      <c r="L535" s="11">
        <v>320</v>
      </c>
      <c r="M535" s="9" t="s">
        <v>1330</v>
      </c>
      <c r="N535" s="9" t="s">
        <v>334</v>
      </c>
      <c r="O535" s="9"/>
      <c r="P535" s="9"/>
      <c r="Q535" s="11">
        <v>32</v>
      </c>
      <c r="R535" s="9" t="s">
        <v>90</v>
      </c>
      <c r="S535" s="9" t="s">
        <v>150</v>
      </c>
      <c r="T535" s="12">
        <f>IF($H535="Cancelled","",IFERROR(((Q535+INDEX(Variables!$B$6:$D$6,IFERROR(MATCH(IF($B535="Robusta","Robusta",(IF($B535="","Arabica",$B535))&amp;" - "&amp;(IF($C535="","Commercial",$C535))),Variables!$B$1:$D$1,0),1)))*22.0462)*(L535/16.67),""))</f>
        <v>136609.73456508698</v>
      </c>
      <c r="U535" s="10"/>
      <c r="V535" s="9" t="str">
        <f t="shared" si="60"/>
        <v/>
      </c>
      <c r="W535" s="10">
        <v>45977</v>
      </c>
      <c r="X535" s="9" t="str">
        <f t="shared" si="56"/>
        <v>Approved</v>
      </c>
      <c r="Y535" s="10">
        <v>46032</v>
      </c>
      <c r="Z535" s="10">
        <f>IF($H535="Cancelled","",IFERROR(IF(F535="","",F535-Variables!$B$13),""))</f>
        <v>46007</v>
      </c>
      <c r="AA535" s="11">
        <f>IF($H535="Cancelled","",IFERROR(IF(W535="","",(AVERAGE(E535:F535)-W535)-Variables!$B$14),""))</f>
        <v>0</v>
      </c>
      <c r="AB535" s="10">
        <v>46037</v>
      </c>
      <c r="AC535" s="11">
        <f>IF($H535="Cancelled","",IFERROR(IF(AB535="","",IF(AND(W535="",Y535=""),"",IF(Y535&gt;W535,Y535+Variables!$B$15+Variables!$B$16+Variables!$B$17-AB535,W535+Variables!$B$16+Variables!$B$17-AB535))),""))</f>
        <v>10</v>
      </c>
      <c r="AD535" s="9" t="s">
        <v>884</v>
      </c>
      <c r="AE535" s="9" t="s">
        <v>1331</v>
      </c>
      <c r="AF535" s="10"/>
      <c r="AG535" s="10"/>
      <c r="AH535" s="9"/>
      <c r="AI535" s="9" t="s">
        <v>1332</v>
      </c>
      <c r="AJ535" s="9"/>
      <c r="AK535" s="10">
        <v>46053</v>
      </c>
      <c r="AL535" s="10">
        <v>46059</v>
      </c>
      <c r="AM535" s="10"/>
      <c r="AN535" s="9" t="s">
        <v>1016</v>
      </c>
      <c r="AO535" s="9"/>
      <c r="AP535" s="11">
        <f>IF($H535="Cancelled","",IFERROR(IF(OR(AK535="",AB535=""),"",(AB535+Variables!$B$18-AK535)),""))</f>
        <v>-9</v>
      </c>
      <c r="AQ535" s="11" t="str">
        <f>IF($H535="Cancelled","",IFERROR(IF(OR(AM535="",AK535=""),"",(AK535+Variables!$B$19)-AM535),""))</f>
        <v/>
      </c>
      <c r="AR535" s="12" t="str">
        <f>IF($H535="Cancelled","",IFERROR(T535*INDEX(Variables!$B$7:$D$7,IFERROR(MATCH(IF($B535="Robusta","Robusta",(IF($B535="","Arabica",$B535))&amp;" - "&amp;(IF($C535="","Commercial",$C535))),Variables!$B$1:$D$1,0),1))*(AQ535/365),""))</f>
        <v/>
      </c>
      <c r="AS535" s="12">
        <f>IF($H535="Cancelled","",IFERROR((T535*INDEX(Variables!$B$7:$D$7,IFERROR(MATCH(IF($B535="Robusta","Robusta",(IF($B535="","Arabica",$B535))&amp;" - "&amp;(IF($C535="","Commercial",$C535))),Variables!$B$1:$D$1,0),1))*IFERROR(IF(W535="","",(AVERAGE(E535:F535)-W535)-Variables!$B$14),"")/365)+(L535/16.67*INDEX(Variables!$B$8:$D$8,IFERROR(MATCH(IF($B535="Robusta","Robusta",(IF($B535="","Arabica",$B535))&amp;" - "&amp;(IF($C535="","Commercial",$C535))),Variables!$B$1:$D$1,0),1))*IFERROR(IF(W535="","",(AVERAGE(E535:F535)-W535)-Variables!$B$14),""))+(T535*INDEX(Variables!$B$9:$D$9,IFERROR(MATCH(IF($B535="Robusta","Robusta",(IF($B535="","Arabica",$B535))&amp;" - "&amp;(IF($C535="","Commercial",$C535))),Variables!$B$1:$D$1,0),1))*IFERROR(IF(W535="","",(AVERAGE(E535:F535)-W535)-Variables!$B$14),"")/365),""))</f>
        <v>0</v>
      </c>
      <c r="AT535" s="12">
        <f>IF($H535="Cancelled","",IFERROR((T535*INDEX(Variables!$B$7:$D$7,IFERROR(MATCH(IF($B535="Robusta","Robusta",(IF($B535="","Arabica",$B535))&amp;" - "&amp;(IF($C535="","Commercial",$C535))),Variables!$B$1:$D$1,0),1))*AC535/365)+(L535/16.67*INDEX(Variables!$B$8:$D$8,IFERROR(MATCH(IF($B535="Robusta","Robusta",(IF($B535="","Arabica",$B535))&amp;" - "&amp;(IF($C535="","Commercial",$C535))),Variables!$B$1:$D$1,0),1))*AC535)+(T535*INDEX(Variables!$B$9:$D$9,IFERROR(MATCH(IF($B535="Robusta","Robusta",(IF($B535="","Arabica",$B535))&amp;" - "&amp;(IF($C535="","Commercial",$C535))),Variables!$B$1:$D$1,0),1))*AC535/365),""))</f>
        <v>404.45095612374814</v>
      </c>
      <c r="AU535" s="12">
        <f>IF($H535="Cancelled","",IFERROR((T535*INDEX(Variables!$B$7:$D$7,IFERROR(MATCH(IF($B535="Robusta","Robusta",(IF($B535="","Arabica",$B535))&amp;" - "&amp;(IF($C535="","Commercial",$C535))),Variables!$B$1:$D$1,0),1))*AP535/365)+(L535/16.67*INDEX(Variables!$B$8:$D$8,IFERROR(MATCH(IF($B535="Robusta","Robusta",(IF($B535="","Arabica",$B535))&amp;" - "&amp;(IF($C535="","Commercial",$C535))),Variables!$B$1:$D$1,0),1))*AP535)+(T535*INDEX(Variables!$B$9:$D$9,IFERROR(MATCH(IF($B535="Robusta","Robusta",(IF($B535="","Arabica",$B535))&amp;" - "&amp;(IF($C535="","Commercial",$C535))),Variables!$B$1:$D$1,0),1))*AP535/365),""))</f>
        <v>-364.00586051137338</v>
      </c>
      <c r="AV535" s="11">
        <f t="shared" si="59"/>
        <v>-31</v>
      </c>
      <c r="AW535" s="12">
        <f>IF($H535="Cancelled","",IFERROR(IF(AV535="","",(T535*INDEX(Variables!$B$7:$D$7,IFERROR(MATCH(IF($B535="Robusta","Robusta",(IF($B535="","Arabica",$B535))&amp;" - "&amp;(IF($C535="","Commercial",$C535))),Variables!$B$1:$D$1,0),1))*(AV535/365))+(T535*INDEX(Variables!$B$9:$D$9,IFERROR(MATCH(IF($B535="Robusta","Robusta",(IF($B535="","Arabica",$B535))&amp;" - "&amp;(IF($C535="","Commercial",$C535))),Variables!$B$1:$D$1,0),1))*(AV535/365))+(INDEX(Variables!$B$8:$D$8,IFERROR(MATCH(IF($B535="Robusta","Robusta",(IF($B535="","Arabica",$B535))&amp;" - "&amp;(IF($C535="","Commercial",$C535))),Variables!$B$1:$D$1,0),1))*L535/16.67)),""))</f>
        <v>-741.7979639836193</v>
      </c>
      <c r="AX535" s="9"/>
      <c r="AY535" s="12"/>
      <c r="AZ535" s="10"/>
      <c r="BA535" s="9"/>
      <c r="BB535" s="10"/>
      <c r="BC535" s="9"/>
      <c r="BD535" s="9"/>
      <c r="BE535" s="9"/>
      <c r="BF535" s="9"/>
    </row>
    <row r="536" spans="1:58" x14ac:dyDescent="0.25">
      <c r="A536" s="9" t="s">
        <v>84</v>
      </c>
      <c r="B536" s="9" t="s">
        <v>85</v>
      </c>
      <c r="C536" s="9" t="s">
        <v>86</v>
      </c>
      <c r="D536" s="10">
        <v>46001</v>
      </c>
      <c r="E536" s="10">
        <v>46054</v>
      </c>
      <c r="F536" s="10">
        <v>46081</v>
      </c>
      <c r="G536" s="9">
        <v>3787031</v>
      </c>
      <c r="H536" s="9" t="str">
        <f t="shared" si="57"/>
        <v>Open</v>
      </c>
      <c r="I536" s="9" t="str">
        <f t="shared" si="58"/>
        <v>No sailing date and No shipping advice sent and No docs dispatch date</v>
      </c>
      <c r="J536" s="9" t="s">
        <v>303</v>
      </c>
      <c r="K536" s="9">
        <v>5394</v>
      </c>
      <c r="L536" s="11">
        <v>320</v>
      </c>
      <c r="M536" s="9" t="s">
        <v>1291</v>
      </c>
      <c r="N536" s="9" t="s">
        <v>126</v>
      </c>
      <c r="O536" s="9"/>
      <c r="P536" s="9"/>
      <c r="Q536" s="11">
        <v>18</v>
      </c>
      <c r="R536" s="9" t="s">
        <v>90</v>
      </c>
      <c r="S536" s="9" t="s">
        <v>1333</v>
      </c>
      <c r="T536" s="12">
        <f>IF($H536="Cancelled","",IFERROR(((Q536+INDEX(Variables!$B$6:$D$6,IFERROR(MATCH(IF($B536="Robusta","Robusta",(IF($B536="","Arabica",$B536))&amp;" - "&amp;(IF($C536="","Commercial",$C536))),Variables!$B$1:$D$1,0),1)))*22.0462)*(L536/16.67),""))</f>
        <v>130684.90097180562</v>
      </c>
      <c r="U536" s="10">
        <v>46015</v>
      </c>
      <c r="V536" s="9" t="str">
        <f t="shared" si="60"/>
        <v>Sent</v>
      </c>
      <c r="W536" s="10"/>
      <c r="X536" s="9" t="str">
        <f t="shared" si="56"/>
        <v/>
      </c>
      <c r="Y536" s="10"/>
      <c r="Z536" s="10">
        <f>IF($H536="Cancelled","",IFERROR(IF(F536="","",F536-Variables!$B$13),""))</f>
        <v>46066</v>
      </c>
      <c r="AA536" s="11" t="str">
        <f>IF($H536="Cancelled","",IFERROR(IF(W536="","",(AVERAGE(E536:F536)-W536)-Variables!$B$14),""))</f>
        <v/>
      </c>
      <c r="AB536" s="10">
        <v>46063</v>
      </c>
      <c r="AC536" s="11" t="str">
        <f>IF($H536="Cancelled","",IFERROR(IF(AB536="","",IF(AND(W536="",Y536=""),"",IF(Y536&gt;W536,Y536+Variables!$B$15+Variables!$B$16+Variables!$B$17-AB536,W536+Variables!$B$16+Variables!$B$17-AB536))),""))</f>
        <v/>
      </c>
      <c r="AD536" s="9" t="s">
        <v>305</v>
      </c>
      <c r="AE536" s="9" t="s">
        <v>1334</v>
      </c>
      <c r="AF536" s="10"/>
      <c r="AG536" s="10"/>
      <c r="AH536" s="9"/>
      <c r="AI536" s="9" t="s">
        <v>1335</v>
      </c>
      <c r="AJ536" s="9"/>
      <c r="AK536" s="10"/>
      <c r="AL536" s="10"/>
      <c r="AM536" s="10"/>
      <c r="AN536" s="9" t="s">
        <v>1336</v>
      </c>
      <c r="AO536" s="9"/>
      <c r="AP536" s="11" t="str">
        <f>IF($H536="Cancelled","",IFERROR(IF(OR(AK536="",AB536=""),"",(AB536+Variables!$B$18-AK536)),""))</f>
        <v/>
      </c>
      <c r="AQ536" s="11" t="str">
        <f>IF($H536="Cancelled","",IFERROR(IF(OR(AM536="",AK536=""),"",(AK536+Variables!$B$19)-AM536),""))</f>
        <v/>
      </c>
      <c r="AR536" s="12" t="str">
        <f>IF($H536="Cancelled","",IFERROR(T536*INDEX(Variables!$B$7:$D$7,IFERROR(MATCH(IF($B536="Robusta","Robusta",(IF($B536="","Arabica",$B536))&amp;" - "&amp;(IF($C536="","Commercial",$C536))),Variables!$B$1:$D$1,0),1))*(AQ536/365),""))</f>
        <v/>
      </c>
      <c r="AS536" s="12" t="str">
        <f>IF($H536="Cancelled","",IFERROR((T536*INDEX(Variables!$B$7:$D$7,IFERROR(MATCH(IF($B536="Robusta","Robusta",(IF($B536="","Arabica",$B536))&amp;" - "&amp;(IF($C536="","Commercial",$C536))),Variables!$B$1:$D$1,0),1))*IFERROR(IF(W536="","",(AVERAGE(E536:F536)-W536)-Variables!$B$14),"")/365)+(L536/16.67*INDEX(Variables!$B$8:$D$8,IFERROR(MATCH(IF($B536="Robusta","Robusta",(IF($B536="","Arabica",$B536))&amp;" - "&amp;(IF($C536="","Commercial",$C536))),Variables!$B$1:$D$1,0),1))*IFERROR(IF(W536="","",(AVERAGE(E536:F536)-W536)-Variables!$B$14),""))+(T536*INDEX(Variables!$B$9:$D$9,IFERROR(MATCH(IF($B536="Robusta","Robusta",(IF($B536="","Arabica",$B536))&amp;" - "&amp;(IF($C536="","Commercial",$C536))),Variables!$B$1:$D$1,0),1))*IFERROR(IF(W536="","",(AVERAGE(E536:F536)-W536)-Variables!$B$14),"")/365),""))</f>
        <v/>
      </c>
      <c r="AT536" s="12" t="str">
        <f>IF($H536="Cancelled","",IFERROR((T536*INDEX(Variables!$B$7:$D$7,IFERROR(MATCH(IF($B536="Robusta","Robusta",(IF($B536="","Arabica",$B536))&amp;" - "&amp;(IF($C536="","Commercial",$C536))),Variables!$B$1:$D$1,0),1))*AC536/365)+(L536/16.67*INDEX(Variables!$B$8:$D$8,IFERROR(MATCH(IF($B536="Robusta","Robusta",(IF($B536="","Arabica",$B536))&amp;" - "&amp;(IF($C536="","Commercial",$C536))),Variables!$B$1:$D$1,0),1))*AC536)+(T536*INDEX(Variables!$B$9:$D$9,IFERROR(MATCH(IF($B536="Robusta","Robusta",(IF($B536="","Arabica",$B536))&amp;" - "&amp;(IF($C536="","Commercial",$C536))),Variables!$B$1:$D$1,0),1))*AC536/365),""))</f>
        <v/>
      </c>
      <c r="AU536" s="12" t="str">
        <f>IF($H536="Cancelled","",IFERROR((T536*INDEX(Variables!$B$7:$D$7,IFERROR(MATCH(IF($B536="Robusta","Robusta",(IF($B536="","Arabica",$B536))&amp;" - "&amp;(IF($C536="","Commercial",$C536))),Variables!$B$1:$D$1,0),1))*AP536/365)+(L536/16.67*INDEX(Variables!$B$8:$D$8,IFERROR(MATCH(IF($B536="Robusta","Robusta",(IF($B536="","Arabica",$B536))&amp;" - "&amp;(IF($C536="","Commercial",$C536))),Variables!$B$1:$D$1,0),1))*AP536)+(T536*INDEX(Variables!$B$9:$D$9,IFERROR(MATCH(IF($B536="Robusta","Robusta",(IF($B536="","Arabica",$B536))&amp;" - "&amp;(IF($C536="","Commercial",$C536))),Variables!$B$1:$D$1,0),1))*AP536/365),""))</f>
        <v/>
      </c>
      <c r="AV536" s="11" t="str">
        <f t="shared" si="59"/>
        <v/>
      </c>
      <c r="AW536" s="12" t="str">
        <f>IF($H536="Cancelled","",IFERROR(IF(AV536="","",(T536*INDEX(Variables!$B$7:$D$7,IFERROR(MATCH(IF($B536="Robusta","Robusta",(IF($B536="","Arabica",$B536))&amp;" - "&amp;(IF($C536="","Commercial",$C536))),Variables!$B$1:$D$1,0),1))*(AV536/365))+(T536*INDEX(Variables!$B$9:$D$9,IFERROR(MATCH(IF($B536="Robusta","Robusta",(IF($B536="","Arabica",$B536))&amp;" - "&amp;(IF($C536="","Commercial",$C536))),Variables!$B$1:$D$1,0),1))*(AV536/365))+(INDEX(Variables!$B$8:$D$8,IFERROR(MATCH(IF($B536="Robusta","Robusta",(IF($B536="","Arabica",$B536))&amp;" - "&amp;(IF($C536="","Commercial",$C536))),Variables!$B$1:$D$1,0),1))*L536/16.67)),""))</f>
        <v/>
      </c>
      <c r="AX536" s="9"/>
      <c r="AY536" s="12"/>
      <c r="AZ536" s="10"/>
      <c r="BA536" s="9"/>
      <c r="BB536" s="10"/>
      <c r="BC536" s="9"/>
      <c r="BD536" s="9"/>
      <c r="BE536" s="9"/>
      <c r="BF536" s="9"/>
    </row>
    <row r="537" spans="1:58" x14ac:dyDescent="0.25">
      <c r="A537" s="9" t="s">
        <v>84</v>
      </c>
      <c r="B537" s="9" t="s">
        <v>85</v>
      </c>
      <c r="C537" s="9" t="s">
        <v>86</v>
      </c>
      <c r="D537" s="10">
        <v>46002</v>
      </c>
      <c r="E537" s="10">
        <v>45992</v>
      </c>
      <c r="F537" s="10">
        <v>46053</v>
      </c>
      <c r="G537" s="9">
        <v>3787036</v>
      </c>
      <c r="H537" s="9" t="str">
        <f t="shared" si="57"/>
        <v>Open</v>
      </c>
      <c r="I537" s="9" t="str">
        <f t="shared" si="58"/>
        <v>No docs dispatch date</v>
      </c>
      <c r="J537" s="9" t="s">
        <v>322</v>
      </c>
      <c r="K537" s="9">
        <v>5374</v>
      </c>
      <c r="L537" s="11">
        <v>320</v>
      </c>
      <c r="M537" s="9" t="s">
        <v>1311</v>
      </c>
      <c r="N537" s="9" t="s">
        <v>126</v>
      </c>
      <c r="O537" s="9"/>
      <c r="P537" s="9"/>
      <c r="Q537" s="11">
        <v>20</v>
      </c>
      <c r="R537" s="9" t="s">
        <v>90</v>
      </c>
      <c r="S537" s="9" t="s">
        <v>156</v>
      </c>
      <c r="T537" s="12">
        <f>IF($H537="Cancelled","",IFERROR(((Q537+INDEX(Variables!$B$6:$D$6,IFERROR(MATCH(IF($B537="Robusta","Robusta",(IF($B537="","Arabica",$B537))&amp;" - "&amp;(IF($C537="","Commercial",$C537))),Variables!$B$1:$D$1,0),1)))*22.0462)*(L537/16.67),""))</f>
        <v>131531.30577084582</v>
      </c>
      <c r="U537" s="10"/>
      <c r="V537" s="9" t="str">
        <f t="shared" si="60"/>
        <v/>
      </c>
      <c r="W537" s="10">
        <v>45991</v>
      </c>
      <c r="X537" s="9" t="str">
        <f t="shared" si="56"/>
        <v>Approved</v>
      </c>
      <c r="Y537" s="10">
        <v>46042</v>
      </c>
      <c r="Z537" s="10">
        <f>IF($H537="Cancelled","",IFERROR(IF(F537="","",F537-Variables!$B$13),""))</f>
        <v>46038</v>
      </c>
      <c r="AA537" s="11">
        <f>IF($H537="Cancelled","",IFERROR(IF(W537="","",(AVERAGE(E537:F537)-W537)-Variables!$B$14),""))</f>
        <v>1.5</v>
      </c>
      <c r="AB537" s="10">
        <v>46044</v>
      </c>
      <c r="AC537" s="11">
        <f>IF($H537="Cancelled","",IFERROR(IF(AB537="","",IF(AND(W537="",Y537=""),"",IF(Y537&gt;W537,Y537+Variables!$B$15+Variables!$B$16+Variables!$B$17-AB537,W537+Variables!$B$16+Variables!$B$17-AB537))),""))</f>
        <v>13</v>
      </c>
      <c r="AD537" s="9" t="s">
        <v>130</v>
      </c>
      <c r="AE537" s="9" t="s">
        <v>488</v>
      </c>
      <c r="AF537" s="10"/>
      <c r="AG537" s="10"/>
      <c r="AH537" s="9"/>
      <c r="AI537" s="9" t="s">
        <v>1337</v>
      </c>
      <c r="AJ537" s="9"/>
      <c r="AK537" s="10">
        <v>46056</v>
      </c>
      <c r="AL537" s="10">
        <v>46059</v>
      </c>
      <c r="AM537" s="10"/>
      <c r="AN537" s="9" t="s">
        <v>1016</v>
      </c>
      <c r="AO537" s="9"/>
      <c r="AP537" s="11">
        <f>IF($H537="Cancelled","",IFERROR(IF(OR(AK537="",AB537=""),"",(AB537+Variables!$B$18-AK537)),""))</f>
        <v>-5</v>
      </c>
      <c r="AQ537" s="11" t="str">
        <f>IF($H537="Cancelled","",IFERROR(IF(OR(AM537="",AK537=""),"",(AK537+Variables!$B$19)-AM537),""))</f>
        <v/>
      </c>
      <c r="AR537" s="12" t="str">
        <f>IF($H537="Cancelled","",IFERROR(T537*INDEX(Variables!$B$7:$D$7,IFERROR(MATCH(IF($B537="Robusta","Robusta",(IF($B537="","Arabica",$B537))&amp;" - "&amp;(IF($C537="","Commercial",$C537))),Variables!$B$1:$D$1,0),1))*(AQ537/365),""))</f>
        <v/>
      </c>
      <c r="AS537" s="12">
        <f>IF($H537="Cancelled","",IFERROR((T537*INDEX(Variables!$B$7:$D$7,IFERROR(MATCH(IF($B537="Robusta","Robusta",(IF($B537="","Arabica",$B537))&amp;" - "&amp;(IF($C537="","Commercial",$C537))),Variables!$B$1:$D$1,0),1))*IFERROR(IF(W537="","",(AVERAGE(E537:F537)-W537)-Variables!$B$14),"")/365)+(L537/16.67*INDEX(Variables!$B$8:$D$8,IFERROR(MATCH(IF($B537="Robusta","Robusta",(IF($B537="","Arabica",$B537))&amp;" - "&amp;(IF($C537="","Commercial",$C537))),Variables!$B$1:$D$1,0),1))*IFERROR(IF(W537="","",(AVERAGE(E537:F537)-W537)-Variables!$B$14),""))+(T537*INDEX(Variables!$B$9:$D$9,IFERROR(MATCH(IF($B537="Robusta","Robusta",(IF($B537="","Arabica",$B537))&amp;" - "&amp;(IF($C537="","Commercial",$C537))),Variables!$B$1:$D$1,0),1))*IFERROR(IF(W537="","",(AVERAGE(E537:F537)-W537)-Variables!$B$14),"")/365),""))</f>
        <v>59.304533997797826</v>
      </c>
      <c r="AT537" s="12">
        <f>IF($H537="Cancelled","",IFERROR((T537*INDEX(Variables!$B$7:$D$7,IFERROR(MATCH(IF($B537="Robusta","Robusta",(IF($B537="","Arabica",$B537))&amp;" - "&amp;(IF($C537="","Commercial",$C537))),Variables!$B$1:$D$1,0),1))*AC537/365)+(L537/16.67*INDEX(Variables!$B$8:$D$8,IFERROR(MATCH(IF($B537="Robusta","Robusta",(IF($B537="","Arabica",$B537))&amp;" - "&amp;(IF($C537="","Commercial",$C537))),Variables!$B$1:$D$1,0),1))*AC537)+(T537*INDEX(Variables!$B$9:$D$9,IFERROR(MATCH(IF($B537="Robusta","Robusta",(IF($B537="","Arabica",$B537))&amp;" - "&amp;(IF($C537="","Commercial",$C537))),Variables!$B$1:$D$1,0),1))*AC537/365),""))</f>
        <v>513.97262798091458</v>
      </c>
      <c r="AU537" s="12">
        <f>IF($H537="Cancelled","",IFERROR((T537*INDEX(Variables!$B$7:$D$7,IFERROR(MATCH(IF($B537="Robusta","Robusta",(IF($B537="","Arabica",$B537))&amp;" - "&amp;(IF($C537="","Commercial",$C537))),Variables!$B$1:$D$1,0),1))*AP537/365)+(L537/16.67*INDEX(Variables!$B$8:$D$8,IFERROR(MATCH(IF($B537="Robusta","Robusta",(IF($B537="","Arabica",$B537))&amp;" - "&amp;(IF($C537="","Commercial",$C537))),Variables!$B$1:$D$1,0),1))*AP537)+(T537*INDEX(Variables!$B$9:$D$9,IFERROR(MATCH(IF($B537="Robusta","Robusta",(IF($B537="","Arabica",$B537))&amp;" - "&amp;(IF($C537="","Commercial",$C537))),Variables!$B$1:$D$1,0),1))*AP537/365),""))</f>
        <v>-197.68177999265944</v>
      </c>
      <c r="AV537" s="11">
        <f t="shared" si="59"/>
        <v>-3</v>
      </c>
      <c r="AW537" s="12">
        <f>IF($H537="Cancelled","",IFERROR(IF(AV537="","",(T537*INDEX(Variables!$B$7:$D$7,IFERROR(MATCH(IF($B537="Robusta","Robusta",(IF($B537="","Arabica",$B537))&amp;" - "&amp;(IF($C537="","Commercial",$C537))),Variables!$B$1:$D$1,0),1))*(AV537/365))+(T537*INDEX(Variables!$B$9:$D$9,IFERROR(MATCH(IF($B537="Robusta","Robusta",(IF($B537="","Arabica",$B537))&amp;" - "&amp;(IF($C537="","Commercial",$C537))),Variables!$B$1:$D$1,0),1))*(AV537/365))+(INDEX(Variables!$B$8:$D$8,IFERROR(MATCH(IF($B537="Robusta","Robusta",(IF($B537="","Arabica",$B537))&amp;" - "&amp;(IF($C537="","Commercial",$C537))),Variables!$B$1:$D$1,0),1))*L537/16.67)),""))</f>
        <v>-54.609067995595652</v>
      </c>
      <c r="AX537" s="9"/>
      <c r="AY537" s="12"/>
      <c r="AZ537" s="10"/>
      <c r="BA537" s="9"/>
      <c r="BB537" s="10"/>
      <c r="BC537" s="9"/>
      <c r="BD537" s="9"/>
      <c r="BE537" s="9"/>
      <c r="BF537" s="9"/>
    </row>
    <row r="538" spans="1:58" x14ac:dyDescent="0.25">
      <c r="A538" s="9" t="s">
        <v>84</v>
      </c>
      <c r="B538" s="9" t="s">
        <v>85</v>
      </c>
      <c r="C538" s="9" t="s">
        <v>86</v>
      </c>
      <c r="D538" s="10">
        <v>45994</v>
      </c>
      <c r="E538" s="10">
        <v>46082</v>
      </c>
      <c r="F538" s="10">
        <v>46112</v>
      </c>
      <c r="G538" s="9">
        <v>3787018</v>
      </c>
      <c r="H538" s="9" t="str">
        <f t="shared" si="57"/>
        <v>Open</v>
      </c>
      <c r="I538" s="9" t="str">
        <f t="shared" si="58"/>
        <v>No sailing date and No shipping advice sent and No docs dispatch date</v>
      </c>
      <c r="J538" s="9" t="s">
        <v>102</v>
      </c>
      <c r="K538" s="9" t="s">
        <v>1338</v>
      </c>
      <c r="L538" s="11">
        <v>1</v>
      </c>
      <c r="M538" s="9" t="s">
        <v>1339</v>
      </c>
      <c r="N538" s="9" t="s">
        <v>1130</v>
      </c>
      <c r="O538" s="9"/>
      <c r="P538" s="9"/>
      <c r="Q538" s="11">
        <v>38.950000000000003</v>
      </c>
      <c r="R538" s="9" t="s">
        <v>90</v>
      </c>
      <c r="S538" s="9"/>
      <c r="T538" s="12">
        <f>IF($H538="Cancelled","",IFERROR(((Q538+INDEX(Variables!$B$6:$D$6,IFERROR(MATCH(IF($B538="Robusta","Robusta",(IF($B538="","Arabica",$B538))&amp;" - "&amp;(IF($C538="","Commercial",$C538))),Variables!$B$1:$D$1,0),1)))*22.0462)*(L538/16.67),""))</f>
        <v>436.09684763047386</v>
      </c>
      <c r="U538" s="10">
        <v>46051</v>
      </c>
      <c r="V538" s="9" t="str">
        <f t="shared" si="60"/>
        <v>Sent</v>
      </c>
      <c r="W538" s="10">
        <v>46083</v>
      </c>
      <c r="X538" s="9" t="str">
        <f t="shared" si="56"/>
        <v>Approved</v>
      </c>
      <c r="Y538" s="10"/>
      <c r="Z538" s="10">
        <f>IF($H538="Cancelled","",IFERROR(IF(F538="","",F538-Variables!$B$13),""))</f>
        <v>46097</v>
      </c>
      <c r="AA538" s="11">
        <f>IF($H538="Cancelled","",IFERROR(IF(W538="","",(AVERAGE(E538:F538)-W538)-Variables!$B$14),""))</f>
        <v>-16</v>
      </c>
      <c r="AB538" s="10">
        <v>46090</v>
      </c>
      <c r="AC538" s="11">
        <f>IF($H538="Cancelled","",IFERROR(IF(AB538="","",IF(AND(W538="",Y538=""),"",IF(Y538&gt;W538,Y538+Variables!$B$15+Variables!$B$16+Variables!$B$17-AB538,W538+Variables!$B$16+Variables!$B$17-AB538))),""))</f>
        <v>1</v>
      </c>
      <c r="AD538" s="9"/>
      <c r="AE538" s="9"/>
      <c r="AF538" s="10"/>
      <c r="AG538" s="10"/>
      <c r="AH538" s="9"/>
      <c r="AI538" s="9"/>
      <c r="AJ538" s="9"/>
      <c r="AK538" s="10"/>
      <c r="AL538" s="10"/>
      <c r="AM538" s="10"/>
      <c r="AN538" s="9" t="s">
        <v>1340</v>
      </c>
      <c r="AO538" s="9"/>
      <c r="AP538" s="11" t="str">
        <f>IF($H538="Cancelled","",IFERROR(IF(OR(AK538="",AB538=""),"",(AB538+Variables!$B$18-AK538)),""))</f>
        <v/>
      </c>
      <c r="AQ538" s="11" t="str">
        <f>IF($H538="Cancelled","",IFERROR(IF(OR(AM538="",AK538=""),"",(AK538+Variables!$B$19)-AM538),""))</f>
        <v/>
      </c>
      <c r="AR538" s="12" t="str">
        <f>IF($H538="Cancelled","",IFERROR(T538*INDEX(Variables!$B$7:$D$7,IFERROR(MATCH(IF($B538="Robusta","Robusta",(IF($B538="","Arabica",$B538))&amp;" - "&amp;(IF($C538="","Commercial",$C538))),Variables!$B$1:$D$1,0),1))*(AQ538/365),""))</f>
        <v/>
      </c>
      <c r="AS538" s="12">
        <f>IF($H538="Cancelled","",IFERROR((T538*INDEX(Variables!$B$7:$D$7,IFERROR(MATCH(IF($B538="Robusta","Robusta",(IF($B538="","Arabica",$B538))&amp;" - "&amp;(IF($C538="","Commercial",$C538))),Variables!$B$1:$D$1,0),1))*IFERROR(IF(W538="","",(AVERAGE(E538:F538)-W538)-Variables!$B$14),"")/365)+(L538/16.67*INDEX(Variables!$B$8:$D$8,IFERROR(MATCH(IF($B538="Robusta","Robusta",(IF($B538="","Arabica",$B538))&amp;" - "&amp;(IF($C538="","Commercial",$C538))),Variables!$B$1:$D$1,0),1))*IFERROR(IF(W538="","",(AVERAGE(E538:F538)-W538)-Variables!$B$14),""))+(T538*INDEX(Variables!$B$9:$D$9,IFERROR(MATCH(IF($B538="Robusta","Robusta",(IF($B538="","Arabica",$B538))&amp;" - "&amp;(IF($C538="","Commercial",$C538))),Variables!$B$1:$D$1,0),1))*IFERROR(IF(W538="","",(AVERAGE(E538:F538)-W538)-Variables!$B$14),"")/365),""))</f>
        <v>-2.048570365269609</v>
      </c>
      <c r="AT538" s="12">
        <f>IF($H538="Cancelled","",IFERROR((T538*INDEX(Variables!$B$7:$D$7,IFERROR(MATCH(IF($B538="Robusta","Robusta",(IF($B538="","Arabica",$B538))&amp;" - "&amp;(IF($C538="","Commercial",$C538))),Variables!$B$1:$D$1,0),1))*AC538/365)+(L538/16.67*INDEX(Variables!$B$8:$D$8,IFERROR(MATCH(IF($B538="Robusta","Robusta",(IF($B538="","Arabica",$B538))&amp;" - "&amp;(IF($C538="","Commercial",$C538))),Variables!$B$1:$D$1,0),1))*AC538)+(T538*INDEX(Variables!$B$9:$D$9,IFERROR(MATCH(IF($B538="Robusta","Robusta",(IF($B538="","Arabica",$B538))&amp;" - "&amp;(IF($C538="","Commercial",$C538))),Variables!$B$1:$D$1,0),1))*AC538/365),""))</f>
        <v>0.12803564782935056</v>
      </c>
      <c r="AU538" s="12" t="str">
        <f>IF($H538="Cancelled","",IFERROR((T538*INDEX(Variables!$B$7:$D$7,IFERROR(MATCH(IF($B538="Robusta","Robusta",(IF($B538="","Arabica",$B538))&amp;" - "&amp;(IF($C538="","Commercial",$C538))),Variables!$B$1:$D$1,0),1))*AP538/365)+(L538/16.67*INDEX(Variables!$B$8:$D$8,IFERROR(MATCH(IF($B538="Robusta","Robusta",(IF($B538="","Arabica",$B538))&amp;" - "&amp;(IF($C538="","Commercial",$C538))),Variables!$B$1:$D$1,0),1))*AP538)+(T538*INDEX(Variables!$B$9:$D$9,IFERROR(MATCH(IF($B538="Robusta","Robusta",(IF($B538="","Arabica",$B538))&amp;" - "&amp;(IF($C538="","Commercial",$C538))),Variables!$B$1:$D$1,0),1))*AP538/365),""))</f>
        <v/>
      </c>
      <c r="AV538" s="11" t="str">
        <f t="shared" si="59"/>
        <v/>
      </c>
      <c r="AW538" s="12" t="str">
        <f>IF($H538="Cancelled","",IFERROR(IF(AV538="","",(T538*INDEX(Variables!$B$7:$D$7,IFERROR(MATCH(IF($B538="Robusta","Robusta",(IF($B538="","Arabica",$B538))&amp;" - "&amp;(IF($C538="","Commercial",$C538))),Variables!$B$1:$D$1,0),1))*(AV538/365))+(T538*INDEX(Variables!$B$9:$D$9,IFERROR(MATCH(IF($B538="Robusta","Robusta",(IF($B538="","Arabica",$B538))&amp;" - "&amp;(IF($C538="","Commercial",$C538))),Variables!$B$1:$D$1,0),1))*(AV538/365))+(INDEX(Variables!$B$8:$D$8,IFERROR(MATCH(IF($B538="Robusta","Robusta",(IF($B538="","Arabica",$B538))&amp;" - "&amp;(IF($C538="","Commercial",$C538))),Variables!$B$1:$D$1,0),1))*L538/16.67)),""))</f>
        <v/>
      </c>
      <c r="AX538" s="9"/>
      <c r="AY538" s="12"/>
      <c r="AZ538" s="10"/>
      <c r="BA538" s="9"/>
      <c r="BB538" s="10"/>
      <c r="BC538" s="9"/>
      <c r="BD538" s="9"/>
      <c r="BE538" s="9"/>
      <c r="BF538" s="9"/>
    </row>
    <row r="539" spans="1:58" x14ac:dyDescent="0.25">
      <c r="A539" s="9" t="s">
        <v>84</v>
      </c>
      <c r="B539" s="9" t="s">
        <v>85</v>
      </c>
      <c r="C539" s="9" t="s">
        <v>86</v>
      </c>
      <c r="D539" s="10">
        <v>46003</v>
      </c>
      <c r="E539" s="10">
        <v>46023</v>
      </c>
      <c r="F539" s="10">
        <v>46053</v>
      </c>
      <c r="G539" s="9">
        <v>3787051</v>
      </c>
      <c r="H539" s="9" t="str">
        <f t="shared" si="57"/>
        <v>Closed</v>
      </c>
      <c r="I539" s="9" t="str">
        <f t="shared" si="58"/>
        <v>All dates received</v>
      </c>
      <c r="J539" s="9" t="s">
        <v>1341</v>
      </c>
      <c r="K539" s="9">
        <v>5402</v>
      </c>
      <c r="L539" s="11">
        <v>320</v>
      </c>
      <c r="M539" s="9" t="s">
        <v>334</v>
      </c>
      <c r="N539" s="9" t="s">
        <v>227</v>
      </c>
      <c r="O539" s="9"/>
      <c r="P539" s="9"/>
      <c r="Q539" s="11">
        <v>20</v>
      </c>
      <c r="R539" s="9" t="s">
        <v>90</v>
      </c>
      <c r="S539" s="9" t="s">
        <v>150</v>
      </c>
      <c r="T539" s="12">
        <f>IF($H539="Cancelled","",IFERROR(((Q539+INDEX(Variables!$B$6:$D$6,IFERROR(MATCH(IF($B539="Robusta","Robusta",(IF($B539="","Arabica",$B539))&amp;" - "&amp;(IF($C539="","Commercial",$C539))),Variables!$B$1:$D$1,0),1)))*22.0462)*(L539/16.67),""))</f>
        <v>131531.30577084582</v>
      </c>
      <c r="U539" s="10"/>
      <c r="V539" s="9" t="str">
        <f t="shared" si="60"/>
        <v/>
      </c>
      <c r="W539" s="10">
        <v>46006</v>
      </c>
      <c r="X539" s="9" t="str">
        <f t="shared" si="56"/>
        <v>Approved</v>
      </c>
      <c r="Y539" s="10">
        <v>46042</v>
      </c>
      <c r="Z539" s="10">
        <f>IF($H539="Cancelled","",IFERROR(IF(F539="","",F539-Variables!$B$13),""))</f>
        <v>46038</v>
      </c>
      <c r="AA539" s="11">
        <f>IF($H539="Cancelled","",IFERROR(IF(W539="","",(AVERAGE(E539:F539)-W539)-Variables!$B$14),""))</f>
        <v>2</v>
      </c>
      <c r="AB539" s="10">
        <v>46059</v>
      </c>
      <c r="AC539" s="11">
        <f>IF($H539="Cancelled","",IFERROR(IF(AB539="","",IF(AND(W539="",Y539=""),"",IF(Y539&gt;W539,Y539+Variables!$B$15+Variables!$B$16+Variables!$B$17-AB539,W539+Variables!$B$16+Variables!$B$17-AB539))),""))</f>
        <v>-2</v>
      </c>
      <c r="AD539" s="9" t="s">
        <v>151</v>
      </c>
      <c r="AE539" s="9" t="s">
        <v>1342</v>
      </c>
      <c r="AF539" s="10"/>
      <c r="AG539" s="10"/>
      <c r="AH539" s="9"/>
      <c r="AI539" s="9" t="s">
        <v>1343</v>
      </c>
      <c r="AJ539" s="9" t="s">
        <v>8</v>
      </c>
      <c r="AK539" s="10">
        <v>46075</v>
      </c>
      <c r="AL539" s="10">
        <v>46083</v>
      </c>
      <c r="AM539" s="10">
        <v>46093</v>
      </c>
      <c r="AN539" s="9" t="s">
        <v>95</v>
      </c>
      <c r="AO539" s="9"/>
      <c r="AP539" s="11">
        <f>IF($H539="Cancelled","",IFERROR(IF(OR(AK539="",AB539=""),"",(AB539+Variables!$B$18-AK539)),""))</f>
        <v>-9</v>
      </c>
      <c r="AQ539" s="11">
        <f>IF($H539="Cancelled","",IFERROR(IF(OR(AM539="",AK539=""),"",(AK539+Variables!$B$19)-AM539),""))</f>
        <v>-13</v>
      </c>
      <c r="AR539" s="12">
        <f>IF($H539="Cancelled","",IFERROR(T539*INDEX(Variables!$B$7:$D$7,IFERROR(MATCH(IF($B539="Robusta","Robusta",(IF($B539="","Arabica",$B539))&amp;" - "&amp;(IF($C539="","Commercial",$C539))),Variables!$B$1:$D$1,0),1))*(AQ539/365),""))</f>
        <v>-302.07825628684617</v>
      </c>
      <c r="AS539" s="12">
        <f>IF($H539="Cancelled","",IFERROR((T539*INDEX(Variables!$B$7:$D$7,IFERROR(MATCH(IF($B539="Robusta","Robusta",(IF($B539="","Arabica",$B539))&amp;" - "&amp;(IF($C539="","Commercial",$C539))),Variables!$B$1:$D$1,0),1))*IFERROR(IF(W539="","",(AVERAGE(E539:F539)-W539)-Variables!$B$14),"")/365)+(L539/16.67*INDEX(Variables!$B$8:$D$8,IFERROR(MATCH(IF($B539="Robusta","Robusta",(IF($B539="","Arabica",$B539))&amp;" - "&amp;(IF($C539="","Commercial",$C539))),Variables!$B$1:$D$1,0),1))*IFERROR(IF(W539="","",(AVERAGE(E539:F539)-W539)-Variables!$B$14),""))+(T539*INDEX(Variables!$B$9:$D$9,IFERROR(MATCH(IF($B539="Robusta","Robusta",(IF($B539="","Arabica",$B539))&amp;" - "&amp;(IF($C539="","Commercial",$C539))),Variables!$B$1:$D$1,0),1))*IFERROR(IF(W539="","",(AVERAGE(E539:F539)-W539)-Variables!$B$14),"")/365),""))</f>
        <v>79.072711997063763</v>
      </c>
      <c r="AT539" s="12">
        <f>IF($H539="Cancelled","",IFERROR((T539*INDEX(Variables!$B$7:$D$7,IFERROR(MATCH(IF($B539="Robusta","Robusta",(IF($B539="","Arabica",$B539))&amp;" - "&amp;(IF($C539="","Commercial",$C539))),Variables!$B$1:$D$1,0),1))*AC539/365)+(L539/16.67*INDEX(Variables!$B$8:$D$8,IFERROR(MATCH(IF($B539="Robusta","Robusta",(IF($B539="","Arabica",$B539))&amp;" - "&amp;(IF($C539="","Commercial",$C539))),Variables!$B$1:$D$1,0),1))*AC539)+(T539*INDEX(Variables!$B$9:$D$9,IFERROR(MATCH(IF($B539="Robusta","Robusta",(IF($B539="","Arabica",$B539))&amp;" - "&amp;(IF($C539="","Commercial",$C539))),Variables!$B$1:$D$1,0),1))*AC539/365),""))</f>
        <v>-79.072711997063763</v>
      </c>
      <c r="AU539" s="12">
        <f>IF($H539="Cancelled","",IFERROR((T539*INDEX(Variables!$B$7:$D$7,IFERROR(MATCH(IF($B539="Robusta","Robusta",(IF($B539="","Arabica",$B539))&amp;" - "&amp;(IF($C539="","Commercial",$C539))),Variables!$B$1:$D$1,0),1))*AP539/365)+(L539/16.67*INDEX(Variables!$B$8:$D$8,IFERROR(MATCH(IF($B539="Robusta","Robusta",(IF($B539="","Arabica",$B539))&amp;" - "&amp;(IF($C539="","Commercial",$C539))),Variables!$B$1:$D$1,0),1))*AP539)+(T539*INDEX(Variables!$B$9:$D$9,IFERROR(MATCH(IF($B539="Robusta","Robusta",(IF($B539="","Arabica",$B539))&amp;" - "&amp;(IF($C539="","Commercial",$C539))),Variables!$B$1:$D$1,0),1))*AP539/365),""))</f>
        <v>-355.82720398678697</v>
      </c>
      <c r="AV539" s="11">
        <f t="shared" si="59"/>
        <v>-22</v>
      </c>
      <c r="AW539" s="12">
        <f>IF($H539="Cancelled","",IFERROR(IF(AV539="","",(T539*INDEX(Variables!$B$7:$D$7,IFERROR(MATCH(IF($B539="Robusta","Robusta",(IF($B539="","Arabica",$B539))&amp;" - "&amp;(IF($C539="","Commercial",$C539))),Variables!$B$1:$D$1,0),1))*(AV539/365))+(T539*INDEX(Variables!$B$9:$D$9,IFERROR(MATCH(IF($B539="Robusta","Robusta",(IF($B539="","Arabica",$B539))&amp;" - "&amp;(IF($C539="","Commercial",$C539))),Variables!$B$1:$D$1,0),1))*(AV539/365))+(INDEX(Variables!$B$8:$D$8,IFERROR(MATCH(IF($B539="Robusta","Robusta",(IF($B539="","Arabica",$B539))&amp;" - "&amp;(IF($C539="","Commercial",$C539))),Variables!$B$1:$D$1,0),1))*L539/16.67)),""))</f>
        <v>-501.79983196770149</v>
      </c>
      <c r="AX539" s="9"/>
      <c r="AY539" s="12"/>
      <c r="AZ539" s="10"/>
      <c r="BA539" s="9"/>
      <c r="BB539" s="10"/>
      <c r="BC539" s="9"/>
      <c r="BD539" s="9"/>
      <c r="BE539" s="9"/>
      <c r="BF539" s="9"/>
    </row>
    <row r="540" spans="1:58" x14ac:dyDescent="0.25">
      <c r="A540" s="9" t="s">
        <v>84</v>
      </c>
      <c r="B540" s="9" t="s">
        <v>85</v>
      </c>
      <c r="C540" s="9" t="s">
        <v>86</v>
      </c>
      <c r="D540" s="10">
        <v>45994</v>
      </c>
      <c r="E540" s="10">
        <v>46082</v>
      </c>
      <c r="F540" s="10">
        <v>46112</v>
      </c>
      <c r="G540" s="9">
        <v>3787024</v>
      </c>
      <c r="H540" s="9" t="str">
        <f t="shared" si="57"/>
        <v>Open</v>
      </c>
      <c r="I540" s="9" t="str">
        <f t="shared" si="58"/>
        <v>No docs dispatch date</v>
      </c>
      <c r="J540" s="9" t="s">
        <v>102</v>
      </c>
      <c r="K540" s="9">
        <v>5426</v>
      </c>
      <c r="L540" s="11">
        <v>1667</v>
      </c>
      <c r="M540" s="9" t="s">
        <v>1260</v>
      </c>
      <c r="N540" s="9" t="s">
        <v>432</v>
      </c>
      <c r="O540" s="9"/>
      <c r="P540" s="9"/>
      <c r="Q540" s="11">
        <v>53</v>
      </c>
      <c r="R540" s="9" t="s">
        <v>90</v>
      </c>
      <c r="S540" s="9" t="s">
        <v>156</v>
      </c>
      <c r="T540" s="12">
        <f>IF($H540="Cancelled","",IFERROR(((Q540+INDEX(Variables!$B$6:$D$6,IFERROR(MATCH(IF($B540="Robusta","Robusta",(IF($B540="","Arabica",$B540))&amp;" - "&amp;(IF($C540="","Commercial",$C540))),Variables!$B$1:$D$1,0),1)))*22.0462)*(L540/16.67),""))</f>
        <v>757948.35599999991</v>
      </c>
      <c r="U540" s="10">
        <v>46051</v>
      </c>
      <c r="V540" s="9" t="str">
        <f t="shared" si="60"/>
        <v>Sent</v>
      </c>
      <c r="W540" s="10">
        <v>46059</v>
      </c>
      <c r="X540" s="9" t="str">
        <f t="shared" si="56"/>
        <v>Approved</v>
      </c>
      <c r="Y540" s="10"/>
      <c r="Z540" s="10">
        <f>IF($H540="Cancelled","",IFERROR(IF(F540="","",F540-Variables!$B$13),""))</f>
        <v>46097</v>
      </c>
      <c r="AA540" s="11">
        <f>IF($H540="Cancelled","",IFERROR(IF(W540="","",(AVERAGE(E540:F540)-W540)-Variables!$B$14),""))</f>
        <v>8</v>
      </c>
      <c r="AB540" s="10">
        <v>46092</v>
      </c>
      <c r="AC540" s="11">
        <f>IF($H540="Cancelled","",IFERROR(IF(AB540="","",IF(AND(W540="",Y540=""),"",IF(Y540&gt;W540,Y540+Variables!$B$15+Variables!$B$16+Variables!$B$17-AB540,W540+Variables!$B$16+Variables!$B$17-AB540))),""))</f>
        <v>-25</v>
      </c>
      <c r="AD540" s="9" t="s">
        <v>163</v>
      </c>
      <c r="AE540" s="9" t="s">
        <v>1281</v>
      </c>
      <c r="AF540" s="10">
        <v>46120</v>
      </c>
      <c r="AG540" s="10"/>
      <c r="AH540" s="9"/>
      <c r="AI540" s="9">
        <v>267086823</v>
      </c>
      <c r="AJ540" s="9"/>
      <c r="AK540" s="10">
        <v>46098</v>
      </c>
      <c r="AL540" s="10">
        <v>46107</v>
      </c>
      <c r="AM540" s="10"/>
      <c r="AN540" s="9" t="s">
        <v>1282</v>
      </c>
      <c r="AO540" s="9"/>
      <c r="AP540" s="11">
        <f>IF($H540="Cancelled","",IFERROR(IF(OR(AK540="",AB540=""),"",(AB540+Variables!$B$18-AK540)),""))</f>
        <v>1</v>
      </c>
      <c r="AQ540" s="11" t="str">
        <f>IF($H540="Cancelled","",IFERROR(IF(OR(AM540="",AK540=""),"",(AK540+Variables!$B$19)-AM540),""))</f>
        <v/>
      </c>
      <c r="AR540" s="12" t="str">
        <f>IF($H540="Cancelled","",IFERROR(T540*INDEX(Variables!$B$7:$D$7,IFERROR(MATCH(IF($B540="Robusta","Robusta",(IF($B540="","Arabica",$B540))&amp;" - "&amp;(IF($C540="","Commercial",$C540))),Variables!$B$1:$D$1,0),1))*(AQ540/365),""))</f>
        <v/>
      </c>
      <c r="AS540" s="12">
        <f>IF($H540="Cancelled","",IFERROR((T540*INDEX(Variables!$B$7:$D$7,IFERROR(MATCH(IF($B540="Robusta","Robusta",(IF($B540="","Arabica",$B540))&amp;" - "&amp;(IF($C540="","Commercial",$C540))),Variables!$B$1:$D$1,0),1))*IFERROR(IF(W540="","",(AVERAGE(E540:F540)-W540)-Variables!$B$14),"")/365)+(L540/16.67*INDEX(Variables!$B$8:$D$8,IFERROR(MATCH(IF($B540="Robusta","Robusta",(IF($B540="","Arabica",$B540))&amp;" - "&amp;(IF($C540="","Commercial",$C540))),Variables!$B$1:$D$1,0),1))*IFERROR(IF(W540="","",(AVERAGE(E540:F540)-W540)-Variables!$B$14),""))+(T540*INDEX(Variables!$B$9:$D$9,IFERROR(MATCH(IF($B540="Robusta","Robusta",(IF($B540="","Arabica",$B540))&amp;" - "&amp;(IF($C540="","Commercial",$C540))),Variables!$B$1:$D$1,0),1))*IFERROR(IF(W540="","",(AVERAGE(E540:F540)-W540)-Variables!$B$14),"")/365),""))</f>
        <v>1751.8248756078026</v>
      </c>
      <c r="AT540" s="12">
        <f>IF($H540="Cancelled","",IFERROR((T540*INDEX(Variables!$B$7:$D$7,IFERROR(MATCH(IF($B540="Robusta","Robusta",(IF($B540="","Arabica",$B540))&amp;" - "&amp;(IF($C540="","Commercial",$C540))),Variables!$B$1:$D$1,0),1))*AC540/365)+(L540/16.67*INDEX(Variables!$B$8:$D$8,IFERROR(MATCH(IF($B540="Robusta","Robusta",(IF($B540="","Arabica",$B540))&amp;" - "&amp;(IF($C540="","Commercial",$C540))),Variables!$B$1:$D$1,0),1))*AC540)+(T540*INDEX(Variables!$B$9:$D$9,IFERROR(MATCH(IF($B540="Robusta","Robusta",(IF($B540="","Arabica",$B540))&amp;" - "&amp;(IF($C540="","Commercial",$C540))),Variables!$B$1:$D$1,0),1))*AC540/365),""))</f>
        <v>-5474.4527362743838</v>
      </c>
      <c r="AU540" s="12">
        <f>IF($H540="Cancelled","",IFERROR((T540*INDEX(Variables!$B$7:$D$7,IFERROR(MATCH(IF($B540="Robusta","Robusta",(IF($B540="","Arabica",$B540))&amp;" - "&amp;(IF($C540="","Commercial",$C540))),Variables!$B$1:$D$1,0),1))*AP540/365)+(L540/16.67*INDEX(Variables!$B$8:$D$8,IFERROR(MATCH(IF($B540="Robusta","Robusta",(IF($B540="","Arabica",$B540))&amp;" - "&amp;(IF($C540="","Commercial",$C540))),Variables!$B$1:$D$1,0),1))*AP540)+(T540*INDEX(Variables!$B$9:$D$9,IFERROR(MATCH(IF($B540="Robusta","Robusta",(IF($B540="","Arabica",$B540))&amp;" - "&amp;(IF($C540="","Commercial",$C540))),Variables!$B$1:$D$1,0),1))*AP540/365),""))</f>
        <v>218.97810945097532</v>
      </c>
      <c r="AV540" s="11">
        <f t="shared" si="59"/>
        <v>14</v>
      </c>
      <c r="AW540" s="12">
        <f>IF($H540="Cancelled","",IFERROR(IF(AV540="","",(T540*INDEX(Variables!$B$7:$D$7,IFERROR(MATCH(IF($B540="Robusta","Robusta",(IF($B540="","Arabica",$B540))&amp;" - "&amp;(IF($C540="","Commercial",$C540))),Variables!$B$1:$D$1,0),1))*(AV540/365))+(T540*INDEX(Variables!$B$9:$D$9,IFERROR(MATCH(IF($B540="Robusta","Robusta",(IF($B540="","Arabica",$B540))&amp;" - "&amp;(IF($C540="","Commercial",$C540))),Variables!$B$1:$D$1,0),1))*(AV540/365))+(INDEX(Variables!$B$8:$D$8,IFERROR(MATCH(IF($B540="Robusta","Robusta",(IF($B540="","Arabica",$B540))&amp;" - "&amp;(IF($C540="","Commercial",$C540))),Variables!$B$1:$D$1,0),1))*L540/16.67)),""))</f>
        <v>1982.1435323136548</v>
      </c>
      <c r="AX540" s="9"/>
      <c r="AY540" s="12"/>
      <c r="AZ540" s="10"/>
      <c r="BA540" s="9"/>
      <c r="BB540" s="10"/>
      <c r="BC540" s="9"/>
      <c r="BD540" s="9"/>
      <c r="BE540" s="9"/>
      <c r="BF540" s="9"/>
    </row>
    <row r="541" spans="1:58" x14ac:dyDescent="0.25">
      <c r="A541" s="9" t="s">
        <v>84</v>
      </c>
      <c r="B541" s="9" t="s">
        <v>85</v>
      </c>
      <c r="C541" s="9" t="s">
        <v>86</v>
      </c>
      <c r="D541" s="10">
        <v>46008</v>
      </c>
      <c r="E541" s="10">
        <v>46054</v>
      </c>
      <c r="F541" s="10">
        <v>46081</v>
      </c>
      <c r="G541" s="9">
        <v>3787060</v>
      </c>
      <c r="H541" s="9" t="str">
        <f t="shared" si="57"/>
        <v>Open</v>
      </c>
      <c r="I541" s="9" t="str">
        <f t="shared" si="58"/>
        <v>No sailing date and No shipping advice sent and No docs dispatch date</v>
      </c>
      <c r="J541" s="9" t="s">
        <v>102</v>
      </c>
      <c r="K541" s="9">
        <v>5387</v>
      </c>
      <c r="L541" s="11">
        <v>3600</v>
      </c>
      <c r="M541" s="9" t="s">
        <v>991</v>
      </c>
      <c r="N541" s="9" t="s">
        <v>121</v>
      </c>
      <c r="O541" s="9"/>
      <c r="P541" s="9"/>
      <c r="Q541" s="11">
        <v>14</v>
      </c>
      <c r="R541" s="9" t="s">
        <v>90</v>
      </c>
      <c r="S541" s="9" t="s">
        <v>1150</v>
      </c>
      <c r="T541" s="12">
        <f>IF($H541="Cancelled","",IFERROR(((Q541+INDEX(Variables!$B$6:$D$6,IFERROR(MATCH(IF($B541="Robusta","Robusta",(IF($B541="","Arabica",$B541))&amp;" - "&amp;(IF($C541="","Commercial",$C541))),Variables!$B$1:$D$1,0),1)))*22.0462)*(L541/16.67),""))</f>
        <v>1451161.0279544089</v>
      </c>
      <c r="U541" s="10">
        <v>46034</v>
      </c>
      <c r="V541" s="9" t="str">
        <f t="shared" si="60"/>
        <v>Sent</v>
      </c>
      <c r="W541" s="10"/>
      <c r="X541" s="9" t="str">
        <f t="shared" si="56"/>
        <v/>
      </c>
      <c r="Y541" s="10"/>
      <c r="Z541" s="10">
        <f>IF($H541="Cancelled","",IFERROR(IF(F541="","",F541-Variables!$B$13),""))</f>
        <v>46066</v>
      </c>
      <c r="AA541" s="11" t="str">
        <f>IF($H541="Cancelled","",IFERROR(IF(W541="","",(AVERAGE(E541:F541)-W541)-Variables!$B$14),""))</f>
        <v/>
      </c>
      <c r="AB541" s="10">
        <v>46065</v>
      </c>
      <c r="AC541" s="11" t="str">
        <f>IF($H541="Cancelled","",IFERROR(IF(AB541="","",IF(AND(W541="",Y541=""),"",IF(Y541&gt;W541,Y541+Variables!$B$15+Variables!$B$16+Variables!$B$17-AB541,W541+Variables!$B$16+Variables!$B$17-AB541))),""))</f>
        <v/>
      </c>
      <c r="AD541" s="9" t="s">
        <v>165</v>
      </c>
      <c r="AE541" s="9" t="s">
        <v>1344</v>
      </c>
      <c r="AF541" s="10"/>
      <c r="AG541" s="10"/>
      <c r="AH541" s="9"/>
      <c r="AI541" s="9">
        <v>265571694</v>
      </c>
      <c r="AJ541" s="9"/>
      <c r="AK541" s="10"/>
      <c r="AL541" s="10"/>
      <c r="AM541" s="10"/>
      <c r="AN541" s="9" t="s">
        <v>1345</v>
      </c>
      <c r="AO541" s="9"/>
      <c r="AP541" s="11" t="str">
        <f>IF($H541="Cancelled","",IFERROR(IF(OR(AK541="",AB541=""),"",(AB541+Variables!$B$18-AK541)),""))</f>
        <v/>
      </c>
      <c r="AQ541" s="11" t="str">
        <f>IF($H541="Cancelled","",IFERROR(IF(OR(AM541="",AK541=""),"",(AK541+Variables!$B$19)-AM541),""))</f>
        <v/>
      </c>
      <c r="AR541" s="12" t="str">
        <f>IF($H541="Cancelled","",IFERROR(T541*INDEX(Variables!$B$7:$D$7,IFERROR(MATCH(IF($B541="Robusta","Robusta",(IF($B541="","Arabica",$B541))&amp;" - "&amp;(IF($C541="","Commercial",$C541))),Variables!$B$1:$D$1,0),1))*(AQ541/365),""))</f>
        <v/>
      </c>
      <c r="AS541" s="12" t="str">
        <f>IF($H541="Cancelled","",IFERROR((T541*INDEX(Variables!$B$7:$D$7,IFERROR(MATCH(IF($B541="Robusta","Robusta",(IF($B541="","Arabica",$B541))&amp;" - "&amp;(IF($C541="","Commercial",$C541))),Variables!$B$1:$D$1,0),1))*IFERROR(IF(W541="","",(AVERAGE(E541:F541)-W541)-Variables!$B$14),"")/365)+(L541/16.67*INDEX(Variables!$B$8:$D$8,IFERROR(MATCH(IF($B541="Robusta","Robusta",(IF($B541="","Arabica",$B541))&amp;" - "&amp;(IF($C541="","Commercial",$C541))),Variables!$B$1:$D$1,0),1))*IFERROR(IF(W541="","",(AVERAGE(E541:F541)-W541)-Variables!$B$14),""))+(T541*INDEX(Variables!$B$9:$D$9,IFERROR(MATCH(IF($B541="Robusta","Robusta",(IF($B541="","Arabica",$B541))&amp;" - "&amp;(IF($C541="","Commercial",$C541))),Variables!$B$1:$D$1,0),1))*IFERROR(IF(W541="","",(AVERAGE(E541:F541)-W541)-Variables!$B$14),"")/365),""))</f>
        <v/>
      </c>
      <c r="AT541" s="12" t="str">
        <f>IF($H541="Cancelled","",IFERROR((T541*INDEX(Variables!$B$7:$D$7,IFERROR(MATCH(IF($B541="Robusta","Robusta",(IF($B541="","Arabica",$B541))&amp;" - "&amp;(IF($C541="","Commercial",$C541))),Variables!$B$1:$D$1,0),1))*AC541/365)+(L541/16.67*INDEX(Variables!$B$8:$D$8,IFERROR(MATCH(IF($B541="Robusta","Robusta",(IF($B541="","Arabica",$B541))&amp;" - "&amp;(IF($C541="","Commercial",$C541))),Variables!$B$1:$D$1,0),1))*AC541)+(T541*INDEX(Variables!$B$9:$D$9,IFERROR(MATCH(IF($B541="Robusta","Robusta",(IF($B541="","Arabica",$B541))&amp;" - "&amp;(IF($C541="","Commercial",$C541))),Variables!$B$1:$D$1,0),1))*AC541/365),""))</f>
        <v/>
      </c>
      <c r="AU541" s="12" t="str">
        <f>IF($H541="Cancelled","",IFERROR((T541*INDEX(Variables!$B$7:$D$7,IFERROR(MATCH(IF($B541="Robusta","Robusta",(IF($B541="","Arabica",$B541))&amp;" - "&amp;(IF($C541="","Commercial",$C541))),Variables!$B$1:$D$1,0),1))*AP541/365)+(L541/16.67*INDEX(Variables!$B$8:$D$8,IFERROR(MATCH(IF($B541="Robusta","Robusta",(IF($B541="","Arabica",$B541))&amp;" - "&amp;(IF($C541="","Commercial",$C541))),Variables!$B$1:$D$1,0),1))*AP541)+(T541*INDEX(Variables!$B$9:$D$9,IFERROR(MATCH(IF($B541="Robusta","Robusta",(IF($B541="","Arabica",$B541))&amp;" - "&amp;(IF($C541="","Commercial",$C541))),Variables!$B$1:$D$1,0),1))*AP541/365),""))</f>
        <v/>
      </c>
      <c r="AV541" s="11" t="str">
        <f t="shared" si="59"/>
        <v/>
      </c>
      <c r="AW541" s="12" t="str">
        <f>IF($H541="Cancelled","",IFERROR(IF(AV541="","",(T541*INDEX(Variables!$B$7:$D$7,IFERROR(MATCH(IF($B541="Robusta","Robusta",(IF($B541="","Arabica",$B541))&amp;" - "&amp;(IF($C541="","Commercial",$C541))),Variables!$B$1:$D$1,0),1))*(AV541/365))+(T541*INDEX(Variables!$B$9:$D$9,IFERROR(MATCH(IF($B541="Robusta","Robusta",(IF($B541="","Arabica",$B541))&amp;" - "&amp;(IF($C541="","Commercial",$C541))),Variables!$B$1:$D$1,0),1))*(AV541/365))+(INDEX(Variables!$B$8:$D$8,IFERROR(MATCH(IF($B541="Robusta","Robusta",(IF($B541="","Arabica",$B541))&amp;" - "&amp;(IF($C541="","Commercial",$C541))),Variables!$B$1:$D$1,0),1))*L541/16.67)),""))</f>
        <v/>
      </c>
      <c r="AX541" s="9"/>
      <c r="AY541" s="12"/>
      <c r="AZ541" s="10"/>
      <c r="BA541" s="9"/>
      <c r="BB541" s="10"/>
      <c r="BC541" s="9"/>
      <c r="BD541" s="9"/>
      <c r="BE541" s="9"/>
      <c r="BF541" s="9"/>
    </row>
    <row r="542" spans="1:58" x14ac:dyDescent="0.25">
      <c r="A542" s="9" t="s">
        <v>84</v>
      </c>
      <c r="B542" s="9" t="s">
        <v>85</v>
      </c>
      <c r="C542" s="9" t="s">
        <v>86</v>
      </c>
      <c r="D542" s="10">
        <v>46008</v>
      </c>
      <c r="E542" s="10">
        <v>46054</v>
      </c>
      <c r="F542" s="10">
        <v>46081</v>
      </c>
      <c r="G542" s="9">
        <v>3787061</v>
      </c>
      <c r="H542" s="9" t="str">
        <f t="shared" si="57"/>
        <v>Open</v>
      </c>
      <c r="I542" s="9" t="str">
        <f t="shared" si="58"/>
        <v>No docs dispatch date</v>
      </c>
      <c r="J542" s="9" t="s">
        <v>102</v>
      </c>
      <c r="K542" s="9" t="s">
        <v>1346</v>
      </c>
      <c r="L542" s="11">
        <v>360</v>
      </c>
      <c r="M542" s="9" t="s">
        <v>1347</v>
      </c>
      <c r="N542" s="9" t="s">
        <v>122</v>
      </c>
      <c r="O542" s="9"/>
      <c r="P542" s="9"/>
      <c r="Q542" s="11">
        <v>-9</v>
      </c>
      <c r="R542" s="9" t="s">
        <v>90</v>
      </c>
      <c r="S542" s="9" t="s">
        <v>178</v>
      </c>
      <c r="T542" s="12">
        <f>IF($H542="Cancelled","",IFERROR(((Q542+INDEX(Variables!$B$6:$D$6,IFERROR(MATCH(IF($B542="Robusta","Robusta",(IF($B542="","Arabica",$B542))&amp;" - "&amp;(IF($C542="","Commercial",$C542))),Variables!$B$1:$D$1,0),1)))*22.0462)*(L542/16.67),""))</f>
        <v>134165.74070785844</v>
      </c>
      <c r="U542" s="10">
        <v>46037</v>
      </c>
      <c r="V542" s="9" t="str">
        <f t="shared" si="60"/>
        <v>Sent</v>
      </c>
      <c r="W542" s="10"/>
      <c r="X542" s="9" t="str">
        <f t="shared" si="56"/>
        <v/>
      </c>
      <c r="Y542" s="10"/>
      <c r="Z542" s="10">
        <f>IF($H542="Cancelled","",IFERROR(IF(F542="","",F542-Variables!$B$13),""))</f>
        <v>46066</v>
      </c>
      <c r="AA542" s="11" t="str">
        <f>IF($H542="Cancelled","",IFERROR(IF(W542="","",(AVERAGE(E542:F542)-W542)-Variables!$B$14),""))</f>
        <v/>
      </c>
      <c r="AB542" s="10">
        <v>46066</v>
      </c>
      <c r="AC542" s="11" t="str">
        <f>IF($H542="Cancelled","",IFERROR(IF(AB542="","",IF(AND(W542="",Y542=""),"",IF(Y542&gt;W542,Y542+Variables!$B$15+Variables!$B$16+Variables!$B$17-AB542,W542+Variables!$B$16+Variables!$B$17-AB542))),""))</f>
        <v/>
      </c>
      <c r="AD542" s="9" t="s">
        <v>165</v>
      </c>
      <c r="AE542" s="9" t="s">
        <v>1348</v>
      </c>
      <c r="AF542" s="10"/>
      <c r="AG542" s="10"/>
      <c r="AH542" s="9"/>
      <c r="AI542" s="9" t="s">
        <v>1349</v>
      </c>
      <c r="AJ542" s="9"/>
      <c r="AK542" s="10">
        <v>46093</v>
      </c>
      <c r="AL542" s="10">
        <v>46097</v>
      </c>
      <c r="AM542" s="10"/>
      <c r="AN542" s="9" t="s">
        <v>1350</v>
      </c>
      <c r="AO542" s="9"/>
      <c r="AP542" s="11">
        <f>IF($H542="Cancelled","",IFERROR(IF(OR(AK542="",AB542=""),"",(AB542+Variables!$B$18-AK542)),""))</f>
        <v>-20</v>
      </c>
      <c r="AQ542" s="11" t="str">
        <f>IF($H542="Cancelled","",IFERROR(IF(OR(AM542="",AK542=""),"",(AK542+Variables!$B$19)-AM542),""))</f>
        <v/>
      </c>
      <c r="AR542" s="12" t="str">
        <f>IF($H542="Cancelled","",IFERROR(T542*INDEX(Variables!$B$7:$D$7,IFERROR(MATCH(IF($B542="Robusta","Robusta",(IF($B542="","Arabica",$B542))&amp;" - "&amp;(IF($C542="","Commercial",$C542))),Variables!$B$1:$D$1,0),1))*(AQ542/365),""))</f>
        <v/>
      </c>
      <c r="AS542" s="12" t="str">
        <f>IF($H542="Cancelled","",IFERROR((T542*INDEX(Variables!$B$7:$D$7,IFERROR(MATCH(IF($B542="Robusta","Robusta",(IF($B542="","Arabica",$B542))&amp;" - "&amp;(IF($C542="","Commercial",$C542))),Variables!$B$1:$D$1,0),1))*IFERROR(IF(W542="","",(AVERAGE(E542:F542)-W542)-Variables!$B$14),"")/365)+(L542/16.67*INDEX(Variables!$B$8:$D$8,IFERROR(MATCH(IF($B542="Robusta","Robusta",(IF($B542="","Arabica",$B542))&amp;" - "&amp;(IF($C542="","Commercial",$C542))),Variables!$B$1:$D$1,0),1))*IFERROR(IF(W542="","",(AVERAGE(E542:F542)-W542)-Variables!$B$14),""))+(T542*INDEX(Variables!$B$9:$D$9,IFERROR(MATCH(IF($B542="Robusta","Robusta",(IF($B542="","Arabica",$B542))&amp;" - "&amp;(IF($C542="","Commercial",$C542))),Variables!$B$1:$D$1,0),1))*IFERROR(IF(W542="","",(AVERAGE(E542:F542)-W542)-Variables!$B$14),"")/365),""))</f>
        <v/>
      </c>
      <c r="AT542" s="12" t="str">
        <f>IF($H542="Cancelled","",IFERROR((T542*INDEX(Variables!$B$7:$D$7,IFERROR(MATCH(IF($B542="Robusta","Robusta",(IF($B542="","Arabica",$B542))&amp;" - "&amp;(IF($C542="","Commercial",$C542))),Variables!$B$1:$D$1,0),1))*AC542/365)+(L542/16.67*INDEX(Variables!$B$8:$D$8,IFERROR(MATCH(IF($B542="Robusta","Robusta",(IF($B542="","Arabica",$B542))&amp;" - "&amp;(IF($C542="","Commercial",$C542))),Variables!$B$1:$D$1,0),1))*AC542)+(T542*INDEX(Variables!$B$9:$D$9,IFERROR(MATCH(IF($B542="Robusta","Robusta",(IF($B542="","Arabica",$B542))&amp;" - "&amp;(IF($C542="","Commercial",$C542))),Variables!$B$1:$D$1,0),1))*AC542/365),""))</f>
        <v/>
      </c>
      <c r="AU542" s="12">
        <f>IF($H542="Cancelled","",IFERROR((T542*INDEX(Variables!$B$7:$D$7,IFERROR(MATCH(IF($B542="Robusta","Robusta",(IF($B542="","Arabica",$B542))&amp;" - "&amp;(IF($C542="","Commercial",$C542))),Variables!$B$1:$D$1,0),1))*AP542/365)+(L542/16.67*INDEX(Variables!$B$8:$D$8,IFERROR(MATCH(IF($B542="Robusta","Robusta",(IF($B542="","Arabica",$B542))&amp;" - "&amp;(IF($C542="","Commercial",$C542))),Variables!$B$1:$D$1,0),1))*AP542)+(T542*INDEX(Variables!$B$9:$D$9,IFERROR(MATCH(IF($B542="Robusta","Robusta",(IF($B542="","Arabica",$B542))&amp;" - "&amp;(IF($C542="","Commercial",$C542))),Variables!$B$1:$D$1,0),1))*AP542/365),""))</f>
        <v>-840.15529346425831</v>
      </c>
      <c r="AV542" s="11">
        <f t="shared" si="59"/>
        <v>-12</v>
      </c>
      <c r="AW542" s="12">
        <f>IF($H542="Cancelled","",IFERROR(IF(AV542="","",(T542*INDEX(Variables!$B$7:$D$7,IFERROR(MATCH(IF($B542="Robusta","Robusta",(IF($B542="","Arabica",$B542))&amp;" - "&amp;(IF($C542="","Commercial",$C542))),Variables!$B$1:$D$1,0),1))*(AV542/365))+(T542*INDEX(Variables!$B$9:$D$9,IFERROR(MATCH(IF($B542="Robusta","Robusta",(IF($B542="","Arabica",$B542))&amp;" - "&amp;(IF($C542="","Commercial",$C542))),Variables!$B$1:$D$1,0),1))*(AV542/365))+(INDEX(Variables!$B$8:$D$8,IFERROR(MATCH(IF($B542="Robusta","Robusta",(IF($B542="","Arabica",$B542))&amp;" - "&amp;(IF($C542="","Commercial",$C542))),Variables!$B$1:$D$1,0),1))*L542/16.67)),""))</f>
        <v>-270.0931760785549</v>
      </c>
      <c r="AX542" s="9"/>
      <c r="AY542" s="12"/>
      <c r="AZ542" s="10"/>
      <c r="BA542" s="9"/>
      <c r="BB542" s="10"/>
      <c r="BC542" s="9"/>
      <c r="BD542" s="9"/>
      <c r="BE542" s="9"/>
      <c r="BF542" s="9"/>
    </row>
    <row r="543" spans="1:58" x14ac:dyDescent="0.25">
      <c r="A543" s="9" t="s">
        <v>84</v>
      </c>
      <c r="B543" s="9" t="s">
        <v>85</v>
      </c>
      <c r="C543" s="9" t="s">
        <v>86</v>
      </c>
      <c r="D543" s="10">
        <v>46008</v>
      </c>
      <c r="E543" s="10">
        <v>46054</v>
      </c>
      <c r="F543" s="10">
        <v>46081</v>
      </c>
      <c r="G543" s="9">
        <v>3787061</v>
      </c>
      <c r="H543" s="9" t="str">
        <f t="shared" si="57"/>
        <v>Open</v>
      </c>
      <c r="I543" s="9" t="str">
        <f t="shared" si="58"/>
        <v>No docs dispatch date</v>
      </c>
      <c r="J543" s="9" t="s">
        <v>102</v>
      </c>
      <c r="K543" s="9" t="s">
        <v>1351</v>
      </c>
      <c r="L543" s="11">
        <v>2160</v>
      </c>
      <c r="M543" s="9" t="s">
        <v>1347</v>
      </c>
      <c r="N543" s="9" t="s">
        <v>122</v>
      </c>
      <c r="O543" s="9"/>
      <c r="P543" s="9"/>
      <c r="Q543" s="11">
        <v>-9</v>
      </c>
      <c r="R543" s="9" t="s">
        <v>90</v>
      </c>
      <c r="S543" s="9" t="s">
        <v>106</v>
      </c>
      <c r="T543" s="12">
        <f>IF($H543="Cancelled","",IFERROR(((Q543+INDEX(Variables!$B$6:$D$6,IFERROR(MATCH(IF($B543="Robusta","Robusta",(IF($B543="","Arabica",$B543))&amp;" - "&amp;(IF($C543="","Commercial",$C543))),Variables!$B$1:$D$1,0),1)))*22.0462)*(L543/16.67),""))</f>
        <v>804994.44424715044</v>
      </c>
      <c r="U543" s="10">
        <v>46037</v>
      </c>
      <c r="V543" s="9" t="str">
        <f t="shared" si="60"/>
        <v>Sent</v>
      </c>
      <c r="W543" s="10"/>
      <c r="X543" s="9" t="str">
        <f t="shared" si="56"/>
        <v/>
      </c>
      <c r="Y543" s="10"/>
      <c r="Z543" s="10">
        <f>IF($H543="Cancelled","",IFERROR(IF(F543="","",F543-Variables!$B$13),""))</f>
        <v>46066</v>
      </c>
      <c r="AA543" s="11" t="str">
        <f>IF($H543="Cancelled","",IFERROR(IF(W543="","",(AVERAGE(E543:F543)-W543)-Variables!$B$14),""))</f>
        <v/>
      </c>
      <c r="AB543" s="10">
        <v>46070</v>
      </c>
      <c r="AC543" s="11" t="str">
        <f>IF($H543="Cancelled","",IFERROR(IF(AB543="","",IF(AND(W543="",Y543=""),"",IF(Y543&gt;W543,Y543+Variables!$B$15+Variables!$B$16+Variables!$B$17-AB543,W543+Variables!$B$16+Variables!$B$17-AB543))),""))</f>
        <v/>
      </c>
      <c r="AD543" s="9" t="s">
        <v>165</v>
      </c>
      <c r="AE543" s="9" t="s">
        <v>1352</v>
      </c>
      <c r="AF543" s="10"/>
      <c r="AG543" s="10"/>
      <c r="AH543" s="9"/>
      <c r="AI543" s="9" t="s">
        <v>1353</v>
      </c>
      <c r="AJ543" s="9"/>
      <c r="AK543" s="10">
        <v>46093</v>
      </c>
      <c r="AL543" s="10">
        <v>46097</v>
      </c>
      <c r="AM543" s="10"/>
      <c r="AN543" s="9" t="s">
        <v>1350</v>
      </c>
      <c r="AO543" s="9"/>
      <c r="AP543" s="11">
        <f>IF($H543="Cancelled","",IFERROR(IF(OR(AK543="",AB543=""),"",(AB543+Variables!$B$18-AK543)),""))</f>
        <v>-16</v>
      </c>
      <c r="AQ543" s="11" t="str">
        <f>IF($H543="Cancelled","",IFERROR(IF(OR(AM543="",AK543=""),"",(AK543+Variables!$B$19)-AM543),""))</f>
        <v/>
      </c>
      <c r="AR543" s="12" t="str">
        <f>IF($H543="Cancelled","",IFERROR(T543*INDEX(Variables!$B$7:$D$7,IFERROR(MATCH(IF($B543="Robusta","Robusta",(IF($B543="","Arabica",$B543))&amp;" - "&amp;(IF($C543="","Commercial",$C543))),Variables!$B$1:$D$1,0),1))*(AQ543/365),""))</f>
        <v/>
      </c>
      <c r="AS543" s="12" t="str">
        <f>IF($H543="Cancelled","",IFERROR((T543*INDEX(Variables!$B$7:$D$7,IFERROR(MATCH(IF($B543="Robusta","Robusta",(IF($B543="","Arabica",$B543))&amp;" - "&amp;(IF($C543="","Commercial",$C543))),Variables!$B$1:$D$1,0),1))*IFERROR(IF(W543="","",(AVERAGE(E543:F543)-W543)-Variables!$B$14),"")/365)+(L543/16.67*INDEX(Variables!$B$8:$D$8,IFERROR(MATCH(IF($B543="Robusta","Robusta",(IF($B543="","Arabica",$B543))&amp;" - "&amp;(IF($C543="","Commercial",$C543))),Variables!$B$1:$D$1,0),1))*IFERROR(IF(W543="","",(AVERAGE(E543:F543)-W543)-Variables!$B$14),""))+(T543*INDEX(Variables!$B$9:$D$9,IFERROR(MATCH(IF($B543="Robusta","Robusta",(IF($B543="","Arabica",$B543))&amp;" - "&amp;(IF($C543="","Commercial",$C543))),Variables!$B$1:$D$1,0),1))*IFERROR(IF(W543="","",(AVERAGE(E543:F543)-W543)-Variables!$B$14),"")/365),""))</f>
        <v/>
      </c>
      <c r="AT543" s="12" t="str">
        <f>IF($H543="Cancelled","",IFERROR((T543*INDEX(Variables!$B$7:$D$7,IFERROR(MATCH(IF($B543="Robusta","Robusta",(IF($B543="","Arabica",$B543))&amp;" - "&amp;(IF($C543="","Commercial",$C543))),Variables!$B$1:$D$1,0),1))*AC543/365)+(L543/16.67*INDEX(Variables!$B$8:$D$8,IFERROR(MATCH(IF($B543="Robusta","Robusta",(IF($B543="","Arabica",$B543))&amp;" - "&amp;(IF($C543="","Commercial",$C543))),Variables!$B$1:$D$1,0),1))*AC543)+(T543*INDEX(Variables!$B$9:$D$9,IFERROR(MATCH(IF($B543="Robusta","Robusta",(IF($B543="","Arabica",$B543))&amp;" - "&amp;(IF($C543="","Commercial",$C543))),Variables!$B$1:$D$1,0),1))*AC543/365),""))</f>
        <v/>
      </c>
      <c r="AU543" s="12">
        <f>IF($H543="Cancelled","",IFERROR((T543*INDEX(Variables!$B$7:$D$7,IFERROR(MATCH(IF($B543="Robusta","Robusta",(IF($B543="","Arabica",$B543))&amp;" - "&amp;(IF($C543="","Commercial",$C543))),Variables!$B$1:$D$1,0),1))*AP543/365)+(L543/16.67*INDEX(Variables!$B$8:$D$8,IFERROR(MATCH(IF($B543="Robusta","Robusta",(IF($B543="","Arabica",$B543))&amp;" - "&amp;(IF($C543="","Commercial",$C543))),Variables!$B$1:$D$1,0),1))*AP543)+(T543*INDEX(Variables!$B$9:$D$9,IFERROR(MATCH(IF($B543="Robusta","Robusta",(IF($B543="","Arabica",$B543))&amp;" - "&amp;(IF($C543="","Commercial",$C543))),Variables!$B$1:$D$1,0),1))*AP543/365),""))</f>
        <v>-4032.7454086284388</v>
      </c>
      <c r="AV543" s="11">
        <f t="shared" si="59"/>
        <v>-12</v>
      </c>
      <c r="AW543" s="12">
        <f>IF($H543="Cancelled","",IFERROR(IF(AV543="","",(T543*INDEX(Variables!$B$7:$D$7,IFERROR(MATCH(IF($B543="Robusta","Robusta",(IF($B543="","Arabica",$B543))&amp;" - "&amp;(IF($C543="","Commercial",$C543))),Variables!$B$1:$D$1,0),1))*(AV543/365))+(T543*INDEX(Variables!$B$9:$D$9,IFERROR(MATCH(IF($B543="Robusta","Robusta",(IF($B543="","Arabica",$B543))&amp;" - "&amp;(IF($C543="","Commercial",$C543))),Variables!$B$1:$D$1,0),1))*(AV543/365))+(INDEX(Variables!$B$8:$D$8,IFERROR(MATCH(IF($B543="Robusta","Robusta",(IF($B543="","Arabica",$B543))&amp;" - "&amp;(IF($C543="","Commercial",$C543))),Variables!$B$1:$D$1,0),1))*L543/16.67)),""))</f>
        <v>-1620.5590564713291</v>
      </c>
      <c r="AX543" s="9"/>
      <c r="AY543" s="12"/>
      <c r="AZ543" s="10"/>
      <c r="BA543" s="9"/>
      <c r="BB543" s="10"/>
      <c r="BC543" s="9"/>
      <c r="BD543" s="9"/>
      <c r="BE543" s="9"/>
      <c r="BF543" s="9"/>
    </row>
    <row r="544" spans="1:58" x14ac:dyDescent="0.25">
      <c r="A544" s="9" t="s">
        <v>84</v>
      </c>
      <c r="B544" s="9" t="s">
        <v>85</v>
      </c>
      <c r="C544" s="9" t="s">
        <v>86</v>
      </c>
      <c r="D544" s="10">
        <v>46008</v>
      </c>
      <c r="E544" s="10">
        <v>46054</v>
      </c>
      <c r="F544" s="10">
        <v>46081</v>
      </c>
      <c r="G544" s="9">
        <v>3787061</v>
      </c>
      <c r="H544" s="9" t="str">
        <f t="shared" si="57"/>
        <v>Open</v>
      </c>
      <c r="I544" s="9" t="str">
        <f t="shared" si="58"/>
        <v>No docs dispatch date</v>
      </c>
      <c r="J544" s="9" t="s">
        <v>102</v>
      </c>
      <c r="K544" s="9" t="s">
        <v>1354</v>
      </c>
      <c r="L544" s="11">
        <v>720</v>
      </c>
      <c r="M544" s="9" t="s">
        <v>1347</v>
      </c>
      <c r="N544" s="9" t="s">
        <v>122</v>
      </c>
      <c r="O544" s="9"/>
      <c r="P544" s="9"/>
      <c r="Q544" s="11">
        <v>-9</v>
      </c>
      <c r="R544" s="9" t="s">
        <v>90</v>
      </c>
      <c r="S544" s="9" t="s">
        <v>293</v>
      </c>
      <c r="T544" s="12">
        <f>IF($H544="Cancelled","",IFERROR(((Q544+INDEX(Variables!$B$6:$D$6,IFERROR(MATCH(IF($B544="Robusta","Robusta",(IF($B544="","Arabica",$B544))&amp;" - "&amp;(IF($C544="","Commercial",$C544))),Variables!$B$1:$D$1,0),1)))*22.0462)*(L544/16.67),""))</f>
        <v>268331.48141571687</v>
      </c>
      <c r="U544" s="10">
        <v>46037</v>
      </c>
      <c r="V544" s="9" t="str">
        <f t="shared" si="60"/>
        <v>Sent</v>
      </c>
      <c r="W544" s="10"/>
      <c r="X544" s="9" t="str">
        <f t="shared" si="56"/>
        <v/>
      </c>
      <c r="Y544" s="10"/>
      <c r="Z544" s="10">
        <f>IF($H544="Cancelled","",IFERROR(IF(F544="","",F544-Variables!$B$13),""))</f>
        <v>46066</v>
      </c>
      <c r="AA544" s="11" t="str">
        <f>IF($H544="Cancelled","",IFERROR(IF(W544="","",(AVERAGE(E544:F544)-W544)-Variables!$B$14),""))</f>
        <v/>
      </c>
      <c r="AB544" s="10">
        <v>46070</v>
      </c>
      <c r="AC544" s="11" t="str">
        <f>IF($H544="Cancelled","",IFERROR(IF(AB544="","",IF(AND(W544="",Y544=""),"",IF(Y544&gt;W544,Y544+Variables!$B$15+Variables!$B$16+Variables!$B$17-AB544,W544+Variables!$B$16+Variables!$B$17-AB544))),""))</f>
        <v/>
      </c>
      <c r="AD544" s="9" t="s">
        <v>107</v>
      </c>
      <c r="AE544" s="9" t="s">
        <v>1352</v>
      </c>
      <c r="AF544" s="10"/>
      <c r="AG544" s="10"/>
      <c r="AH544" s="9"/>
      <c r="AI544" s="9" t="s">
        <v>1355</v>
      </c>
      <c r="AJ544" s="9"/>
      <c r="AK544" s="10">
        <v>46090</v>
      </c>
      <c r="AL544" s="10">
        <v>46097</v>
      </c>
      <c r="AM544" s="10"/>
      <c r="AN544" s="9" t="s">
        <v>1350</v>
      </c>
      <c r="AO544" s="9"/>
      <c r="AP544" s="11">
        <f>IF($H544="Cancelled","",IFERROR(IF(OR(AK544="",AB544=""),"",(AB544+Variables!$B$18-AK544)),""))</f>
        <v>-13</v>
      </c>
      <c r="AQ544" s="11" t="str">
        <f>IF($H544="Cancelled","",IFERROR(IF(OR(AM544="",AK544=""),"",(AK544+Variables!$B$19)-AM544),""))</f>
        <v/>
      </c>
      <c r="AR544" s="12" t="str">
        <f>IF($H544="Cancelled","",IFERROR(T544*INDEX(Variables!$B$7:$D$7,IFERROR(MATCH(IF($B544="Robusta","Robusta",(IF($B544="","Arabica",$B544))&amp;" - "&amp;(IF($C544="","Commercial",$C544))),Variables!$B$1:$D$1,0),1))*(AQ544/365),""))</f>
        <v/>
      </c>
      <c r="AS544" s="12" t="str">
        <f>IF($H544="Cancelled","",IFERROR((T544*INDEX(Variables!$B$7:$D$7,IFERROR(MATCH(IF($B544="Robusta","Robusta",(IF($B544="","Arabica",$B544))&amp;" - "&amp;(IF($C544="","Commercial",$C544))),Variables!$B$1:$D$1,0),1))*IFERROR(IF(W544="","",(AVERAGE(E544:F544)-W544)-Variables!$B$14),"")/365)+(L544/16.67*INDEX(Variables!$B$8:$D$8,IFERROR(MATCH(IF($B544="Robusta","Robusta",(IF($B544="","Arabica",$B544))&amp;" - "&amp;(IF($C544="","Commercial",$C544))),Variables!$B$1:$D$1,0),1))*IFERROR(IF(W544="","",(AVERAGE(E544:F544)-W544)-Variables!$B$14),""))+(T544*INDEX(Variables!$B$9:$D$9,IFERROR(MATCH(IF($B544="Robusta","Robusta",(IF($B544="","Arabica",$B544))&amp;" - "&amp;(IF($C544="","Commercial",$C544))),Variables!$B$1:$D$1,0),1))*IFERROR(IF(W544="","",(AVERAGE(E544:F544)-W544)-Variables!$B$14),"")/365),""))</f>
        <v/>
      </c>
      <c r="AT544" s="12" t="str">
        <f>IF($H544="Cancelled","",IFERROR((T544*INDEX(Variables!$B$7:$D$7,IFERROR(MATCH(IF($B544="Robusta","Robusta",(IF($B544="","Arabica",$B544))&amp;" - "&amp;(IF($C544="","Commercial",$C544))),Variables!$B$1:$D$1,0),1))*AC544/365)+(L544/16.67*INDEX(Variables!$B$8:$D$8,IFERROR(MATCH(IF($B544="Robusta","Robusta",(IF($B544="","Arabica",$B544))&amp;" - "&amp;(IF($C544="","Commercial",$C544))),Variables!$B$1:$D$1,0),1))*AC544)+(T544*INDEX(Variables!$B$9:$D$9,IFERROR(MATCH(IF($B544="Robusta","Robusta",(IF($B544="","Arabica",$B544))&amp;" - "&amp;(IF($C544="","Commercial",$C544))),Variables!$B$1:$D$1,0),1))*AC544/365),""))</f>
        <v/>
      </c>
      <c r="AU544" s="12">
        <f>IF($H544="Cancelled","",IFERROR((T544*INDEX(Variables!$B$7:$D$7,IFERROR(MATCH(IF($B544="Robusta","Robusta",(IF($B544="","Arabica",$B544))&amp;" - "&amp;(IF($C544="","Commercial",$C544))),Variables!$B$1:$D$1,0),1))*AP544/365)+(L544/16.67*INDEX(Variables!$B$8:$D$8,IFERROR(MATCH(IF($B544="Robusta","Robusta",(IF($B544="","Arabica",$B544))&amp;" - "&amp;(IF($C544="","Commercial",$C544))),Variables!$B$1:$D$1,0),1))*AP544)+(T544*INDEX(Variables!$B$9:$D$9,IFERROR(MATCH(IF($B544="Robusta","Robusta",(IF($B544="","Arabica",$B544))&amp;" - "&amp;(IF($C544="","Commercial",$C544))),Variables!$B$1:$D$1,0),1))*AP544/365),""))</f>
        <v>-1092.2018815035358</v>
      </c>
      <c r="AV544" s="11">
        <f t="shared" si="59"/>
        <v>-9</v>
      </c>
      <c r="AW544" s="12">
        <f>IF($H544="Cancelled","",IFERROR(IF(AV544="","",(T544*INDEX(Variables!$B$7:$D$7,IFERROR(MATCH(IF($B544="Robusta","Robusta",(IF($B544="","Arabica",$B544))&amp;" - "&amp;(IF($C544="","Commercial",$C544))),Variables!$B$1:$D$1,0),1))*(AV544/365))+(T544*INDEX(Variables!$B$9:$D$9,IFERROR(MATCH(IF($B544="Robusta","Robusta",(IF($B544="","Arabica",$B544))&amp;" - "&amp;(IF($C544="","Commercial",$C544))),Variables!$B$1:$D$1,0),1))*(AV544/365))+(INDEX(Variables!$B$8:$D$8,IFERROR(MATCH(IF($B544="Robusta","Robusta",(IF($B544="","Arabica",$B544))&amp;" - "&amp;(IF($C544="","Commercial",$C544))),Variables!$B$1:$D$1,0),1))*L544/16.67)),""))</f>
        <v>-396.13976411783239</v>
      </c>
      <c r="AX544" s="9"/>
      <c r="AY544" s="12"/>
      <c r="AZ544" s="10"/>
      <c r="BA544" s="9"/>
      <c r="BB544" s="10"/>
      <c r="BC544" s="9"/>
      <c r="BD544" s="9"/>
      <c r="BE544" s="9"/>
      <c r="BF544" s="9"/>
    </row>
    <row r="545" spans="1:58" x14ac:dyDescent="0.25">
      <c r="A545" s="9" t="s">
        <v>84</v>
      </c>
      <c r="B545" s="9" t="s">
        <v>85</v>
      </c>
      <c r="C545" s="9" t="s">
        <v>86</v>
      </c>
      <c r="D545" s="10">
        <v>46008</v>
      </c>
      <c r="E545" s="10">
        <v>46054</v>
      </c>
      <c r="F545" s="10">
        <v>46081</v>
      </c>
      <c r="G545" s="9">
        <v>3787061</v>
      </c>
      <c r="H545" s="9" t="str">
        <f t="shared" si="57"/>
        <v>Open</v>
      </c>
      <c r="I545" s="9" t="str">
        <f t="shared" si="58"/>
        <v>No docs dispatch date</v>
      </c>
      <c r="J545" s="9" t="s">
        <v>102</v>
      </c>
      <c r="K545" s="9" t="s">
        <v>1356</v>
      </c>
      <c r="L545" s="11">
        <v>360</v>
      </c>
      <c r="M545" s="9" t="s">
        <v>1347</v>
      </c>
      <c r="N545" s="9" t="s">
        <v>122</v>
      </c>
      <c r="O545" s="9"/>
      <c r="P545" s="9"/>
      <c r="Q545" s="11">
        <v>-9</v>
      </c>
      <c r="R545" s="9" t="s">
        <v>90</v>
      </c>
      <c r="S545" s="9" t="s">
        <v>215</v>
      </c>
      <c r="T545" s="12">
        <f>IF($H545="Cancelled","",IFERROR(((Q545+INDEX(Variables!$B$6:$D$6,IFERROR(MATCH(IF($B545="Robusta","Robusta",(IF($B545="","Arabica",$B545))&amp;" - "&amp;(IF($C545="","Commercial",$C545))),Variables!$B$1:$D$1,0),1)))*22.0462)*(L545/16.67),""))</f>
        <v>134165.74070785844</v>
      </c>
      <c r="U545" s="10">
        <v>46037</v>
      </c>
      <c r="V545" s="9" t="str">
        <f t="shared" si="60"/>
        <v>Sent</v>
      </c>
      <c r="W545" s="10"/>
      <c r="X545" s="9" t="str">
        <f t="shared" si="56"/>
        <v/>
      </c>
      <c r="Y545" s="10"/>
      <c r="Z545" s="10">
        <f>IF($H545="Cancelled","",IFERROR(IF(F545="","",F545-Variables!$B$13),""))</f>
        <v>46066</v>
      </c>
      <c r="AA545" s="11" t="str">
        <f>IF($H545="Cancelled","",IFERROR(IF(W545="","",(AVERAGE(E545:F545)-W545)-Variables!$B$14),""))</f>
        <v/>
      </c>
      <c r="AB545" s="10">
        <v>46069</v>
      </c>
      <c r="AC545" s="11" t="str">
        <f>IF($H545="Cancelled","",IFERROR(IF(AB545="","",IF(AND(W545="",Y545=""),"",IF(Y545&gt;W545,Y545+Variables!$B$15+Variables!$B$16+Variables!$B$17-AB545,W545+Variables!$B$16+Variables!$B$17-AB545))),""))</f>
        <v/>
      </c>
      <c r="AD545" s="9" t="s">
        <v>165</v>
      </c>
      <c r="AE545" s="9"/>
      <c r="AF545" s="10"/>
      <c r="AG545" s="10"/>
      <c r="AH545" s="9"/>
      <c r="AI545" s="9" t="s">
        <v>1357</v>
      </c>
      <c r="AJ545" s="9"/>
      <c r="AK545" s="10">
        <v>46093</v>
      </c>
      <c r="AL545" s="10">
        <v>46097</v>
      </c>
      <c r="AM545" s="10"/>
      <c r="AN545" s="9" t="s">
        <v>1350</v>
      </c>
      <c r="AO545" s="9"/>
      <c r="AP545" s="11">
        <f>IF($H545="Cancelled","",IFERROR(IF(OR(AK545="",AB545=""),"",(AB545+Variables!$B$18-AK545)),""))</f>
        <v>-17</v>
      </c>
      <c r="AQ545" s="11" t="str">
        <f>IF($H545="Cancelled","",IFERROR(IF(OR(AM545="",AK545=""),"",(AK545+Variables!$B$19)-AM545),""))</f>
        <v/>
      </c>
      <c r="AR545" s="12" t="str">
        <f>IF($H545="Cancelled","",IFERROR(T545*INDEX(Variables!$B$7:$D$7,IFERROR(MATCH(IF($B545="Robusta","Robusta",(IF($B545="","Arabica",$B545))&amp;" - "&amp;(IF($C545="","Commercial",$C545))),Variables!$B$1:$D$1,0),1))*(AQ545/365),""))</f>
        <v/>
      </c>
      <c r="AS545" s="12" t="str">
        <f>IF($H545="Cancelled","",IFERROR((T545*INDEX(Variables!$B$7:$D$7,IFERROR(MATCH(IF($B545="Robusta","Robusta",(IF($B545="","Arabica",$B545))&amp;" - "&amp;(IF($C545="","Commercial",$C545))),Variables!$B$1:$D$1,0),1))*IFERROR(IF(W545="","",(AVERAGE(E545:F545)-W545)-Variables!$B$14),"")/365)+(L545/16.67*INDEX(Variables!$B$8:$D$8,IFERROR(MATCH(IF($B545="Robusta","Robusta",(IF($B545="","Arabica",$B545))&amp;" - "&amp;(IF($C545="","Commercial",$C545))),Variables!$B$1:$D$1,0),1))*IFERROR(IF(W545="","",(AVERAGE(E545:F545)-W545)-Variables!$B$14),""))+(T545*INDEX(Variables!$B$9:$D$9,IFERROR(MATCH(IF($B545="Robusta","Robusta",(IF($B545="","Arabica",$B545))&amp;" - "&amp;(IF($C545="","Commercial",$C545))),Variables!$B$1:$D$1,0),1))*IFERROR(IF(W545="","",(AVERAGE(E545:F545)-W545)-Variables!$B$14),"")/365),""))</f>
        <v/>
      </c>
      <c r="AT545" s="12" t="str">
        <f>IF($H545="Cancelled","",IFERROR((T545*INDEX(Variables!$B$7:$D$7,IFERROR(MATCH(IF($B545="Robusta","Robusta",(IF($B545="","Arabica",$B545))&amp;" - "&amp;(IF($C545="","Commercial",$C545))),Variables!$B$1:$D$1,0),1))*AC545/365)+(L545/16.67*INDEX(Variables!$B$8:$D$8,IFERROR(MATCH(IF($B545="Robusta","Robusta",(IF($B545="","Arabica",$B545))&amp;" - "&amp;(IF($C545="","Commercial",$C545))),Variables!$B$1:$D$1,0),1))*AC545)+(T545*INDEX(Variables!$B$9:$D$9,IFERROR(MATCH(IF($B545="Robusta","Robusta",(IF($B545="","Arabica",$B545))&amp;" - "&amp;(IF($C545="","Commercial",$C545))),Variables!$B$1:$D$1,0),1))*AC545/365),""))</f>
        <v/>
      </c>
      <c r="AU545" s="12">
        <f>IF($H545="Cancelled","",IFERROR((T545*INDEX(Variables!$B$7:$D$7,IFERROR(MATCH(IF($B545="Robusta","Robusta",(IF($B545="","Arabica",$B545))&amp;" - "&amp;(IF($C545="","Commercial",$C545))),Variables!$B$1:$D$1,0),1))*AP545/365)+(L545/16.67*INDEX(Variables!$B$8:$D$8,IFERROR(MATCH(IF($B545="Robusta","Robusta",(IF($B545="","Arabica",$B545))&amp;" - "&amp;(IF($C545="","Commercial",$C545))),Variables!$B$1:$D$1,0),1))*AP545)+(T545*INDEX(Variables!$B$9:$D$9,IFERROR(MATCH(IF($B545="Robusta","Robusta",(IF($B545="","Arabica",$B545))&amp;" - "&amp;(IF($C545="","Commercial",$C545))),Variables!$B$1:$D$1,0),1))*AP545/365),""))</f>
        <v>-714.13199944461951</v>
      </c>
      <c r="AV545" s="11">
        <f t="shared" si="59"/>
        <v>-12</v>
      </c>
      <c r="AW545" s="12">
        <f>IF($H545="Cancelled","",IFERROR(IF(AV545="","",(T545*INDEX(Variables!$B$7:$D$7,IFERROR(MATCH(IF($B545="Robusta","Robusta",(IF($B545="","Arabica",$B545))&amp;" - "&amp;(IF($C545="","Commercial",$C545))),Variables!$B$1:$D$1,0),1))*(AV545/365))+(T545*INDEX(Variables!$B$9:$D$9,IFERROR(MATCH(IF($B545="Robusta","Robusta",(IF($B545="","Arabica",$B545))&amp;" - "&amp;(IF($C545="","Commercial",$C545))),Variables!$B$1:$D$1,0),1))*(AV545/365))+(INDEX(Variables!$B$8:$D$8,IFERROR(MATCH(IF($B545="Robusta","Robusta",(IF($B545="","Arabica",$B545))&amp;" - "&amp;(IF($C545="","Commercial",$C545))),Variables!$B$1:$D$1,0),1))*L545/16.67)),""))</f>
        <v>-270.0931760785549</v>
      </c>
      <c r="AX545" s="9"/>
      <c r="AY545" s="12"/>
      <c r="AZ545" s="10"/>
      <c r="BA545" s="9"/>
      <c r="BB545" s="10"/>
      <c r="BC545" s="9"/>
      <c r="BD545" s="9"/>
      <c r="BE545" s="9"/>
      <c r="BF545" s="9"/>
    </row>
    <row r="546" spans="1:58" x14ac:dyDescent="0.25">
      <c r="A546" s="9" t="s">
        <v>84</v>
      </c>
      <c r="B546" s="9" t="s">
        <v>85</v>
      </c>
      <c r="C546" s="9" t="s">
        <v>86</v>
      </c>
      <c r="D546" s="10">
        <v>46008</v>
      </c>
      <c r="E546" s="10">
        <v>46054</v>
      </c>
      <c r="F546" s="10">
        <v>46081</v>
      </c>
      <c r="G546" s="9">
        <v>3787062</v>
      </c>
      <c r="H546" s="9" t="str">
        <f t="shared" si="57"/>
        <v>Open</v>
      </c>
      <c r="I546" s="9" t="str">
        <f t="shared" si="58"/>
        <v>No shipping advice sent and No docs dispatch date</v>
      </c>
      <c r="J546" s="9" t="s">
        <v>102</v>
      </c>
      <c r="K546" s="9" t="s">
        <v>1358</v>
      </c>
      <c r="L546" s="11">
        <v>1080</v>
      </c>
      <c r="M546" s="9" t="s">
        <v>1359</v>
      </c>
      <c r="N546" s="9" t="s">
        <v>629</v>
      </c>
      <c r="O546" s="9"/>
      <c r="P546" s="9"/>
      <c r="Q546" s="11">
        <v>-9</v>
      </c>
      <c r="R546" s="9" t="s">
        <v>90</v>
      </c>
      <c r="S546" s="9" t="s">
        <v>178</v>
      </c>
      <c r="T546" s="12">
        <f>IF($H546="Cancelled","",IFERROR(((Q546+INDEX(Variables!$B$6:$D$6,IFERROR(MATCH(IF($B546="Robusta","Robusta",(IF($B546="","Arabica",$B546))&amp;" - "&amp;(IF($C546="","Commercial",$C546))),Variables!$B$1:$D$1,0),1)))*22.0462)*(L546/16.67),""))</f>
        <v>402497.22212357522</v>
      </c>
      <c r="U546" s="10"/>
      <c r="V546" s="9" t="str">
        <f t="shared" si="60"/>
        <v/>
      </c>
      <c r="W546" s="10">
        <v>46037</v>
      </c>
      <c r="X546" s="9" t="str">
        <f t="shared" si="56"/>
        <v>Approved</v>
      </c>
      <c r="Y546" s="10">
        <v>46042</v>
      </c>
      <c r="Z546" s="10">
        <f>IF($H546="Cancelled","",IFERROR(IF(F546="","",F546-Variables!$B$13),""))</f>
        <v>46066</v>
      </c>
      <c r="AA546" s="11">
        <f>IF($H546="Cancelled","",IFERROR(IF(W546="","",(AVERAGE(E546:F546)-W546)-Variables!$B$14),""))</f>
        <v>0.5</v>
      </c>
      <c r="AB546" s="10">
        <v>46065</v>
      </c>
      <c r="AC546" s="11">
        <f>IF($H546="Cancelled","",IFERROR(IF(AB546="","",IF(AND(W546="",Y546=""),"",IF(Y546&gt;W546,Y546+Variables!$B$15+Variables!$B$16+Variables!$B$17-AB546,W546+Variables!$B$16+Variables!$B$17-AB546))),""))</f>
        <v>-8</v>
      </c>
      <c r="AD546" s="9" t="s">
        <v>165</v>
      </c>
      <c r="AE546" s="9" t="s">
        <v>818</v>
      </c>
      <c r="AF546" s="10"/>
      <c r="AG546" s="10"/>
      <c r="AH546" s="9"/>
      <c r="AI546" s="9">
        <v>915969</v>
      </c>
      <c r="AJ546" s="9"/>
      <c r="AK546" s="10">
        <v>46093</v>
      </c>
      <c r="AL546" s="10"/>
      <c r="AM546" s="10"/>
      <c r="AN546" s="9" t="s">
        <v>1360</v>
      </c>
      <c r="AO546" s="9"/>
      <c r="AP546" s="11">
        <f>IF($H546="Cancelled","",IFERROR(IF(OR(AK546="",AB546=""),"",(AB546+Variables!$B$18-AK546)),""))</f>
        <v>-21</v>
      </c>
      <c r="AQ546" s="11" t="str">
        <f>IF($H546="Cancelled","",IFERROR(IF(OR(AM546="",AK546=""),"",(AK546+Variables!$B$19)-AM546),""))</f>
        <v/>
      </c>
      <c r="AR546" s="12" t="str">
        <f>IF($H546="Cancelled","",IFERROR(T546*INDEX(Variables!$B$7:$D$7,IFERROR(MATCH(IF($B546="Robusta","Robusta",(IF($B546="","Arabica",$B546))&amp;" - "&amp;(IF($C546="","Commercial",$C546))),Variables!$B$1:$D$1,0),1))*(AQ546/365),""))</f>
        <v/>
      </c>
      <c r="AS546" s="12">
        <f>IF($H546="Cancelled","",IFERROR((T546*INDEX(Variables!$B$7:$D$7,IFERROR(MATCH(IF($B546="Robusta","Robusta",(IF($B546="","Arabica",$B546))&amp;" - "&amp;(IF($C546="","Commercial",$C546))),Variables!$B$1:$D$1,0),1))*IFERROR(IF(W546="","",(AVERAGE(E546:F546)-W546)-Variables!$B$14),"")/365)+(L546/16.67*INDEX(Variables!$B$8:$D$8,IFERROR(MATCH(IF($B546="Robusta","Robusta",(IF($B546="","Arabica",$B546))&amp;" - "&amp;(IF($C546="","Commercial",$C546))),Variables!$B$1:$D$1,0),1))*IFERROR(IF(W546="","",(AVERAGE(E546:F546)-W546)-Variables!$B$14),""))+(T546*INDEX(Variables!$B$9:$D$9,IFERROR(MATCH(IF($B546="Robusta","Robusta",(IF($B546="","Arabica",$B546))&amp;" - "&amp;(IF($C546="","Commercial",$C546))),Variables!$B$1:$D$1,0),1))*IFERROR(IF(W546="","",(AVERAGE(E546:F546)-W546)-Variables!$B$14),"")/365),""))</f>
        <v>63.011647009819356</v>
      </c>
      <c r="AT546" s="12">
        <f>IF($H546="Cancelled","",IFERROR((T546*INDEX(Variables!$B$7:$D$7,IFERROR(MATCH(IF($B546="Robusta","Robusta",(IF($B546="","Arabica",$B546))&amp;" - "&amp;(IF($C546="","Commercial",$C546))),Variables!$B$1:$D$1,0),1))*AC546/365)+(L546/16.67*INDEX(Variables!$B$8:$D$8,IFERROR(MATCH(IF($B546="Robusta","Robusta",(IF($B546="","Arabica",$B546))&amp;" - "&amp;(IF($C546="","Commercial",$C546))),Variables!$B$1:$D$1,0),1))*AC546)+(T546*INDEX(Variables!$B$9:$D$9,IFERROR(MATCH(IF($B546="Robusta","Robusta",(IF($B546="","Arabica",$B546))&amp;" - "&amp;(IF($C546="","Commercial",$C546))),Variables!$B$1:$D$1,0),1))*AC546/365),""))</f>
        <v>-1008.1863521571097</v>
      </c>
      <c r="AU546" s="12">
        <f>IF($H546="Cancelled","",IFERROR((T546*INDEX(Variables!$B$7:$D$7,IFERROR(MATCH(IF($B546="Robusta","Robusta",(IF($B546="","Arabica",$B546))&amp;" - "&amp;(IF($C546="","Commercial",$C546))),Variables!$B$1:$D$1,0),1))*AP546/365)+(L546/16.67*INDEX(Variables!$B$8:$D$8,IFERROR(MATCH(IF($B546="Robusta","Robusta",(IF($B546="","Arabica",$B546))&amp;" - "&amp;(IF($C546="","Commercial",$C546))),Variables!$B$1:$D$1,0),1))*AP546)+(T546*INDEX(Variables!$B$9:$D$9,IFERROR(MATCH(IF($B546="Robusta","Robusta",(IF($B546="","Arabica",$B546))&amp;" - "&amp;(IF($C546="","Commercial",$C546))),Variables!$B$1:$D$1,0),1))*AP546/365),""))</f>
        <v>-2646.4891744124129</v>
      </c>
      <c r="AV546" s="11">
        <f t="shared" si="59"/>
        <v>-12</v>
      </c>
      <c r="AW546" s="12">
        <f>IF($H546="Cancelled","",IFERROR(IF(AV546="","",(T546*INDEX(Variables!$B$7:$D$7,IFERROR(MATCH(IF($B546="Robusta","Robusta",(IF($B546="","Arabica",$B546))&amp;" - "&amp;(IF($C546="","Commercial",$C546))),Variables!$B$1:$D$1,0),1))*(AV546/365))+(T546*INDEX(Variables!$B$9:$D$9,IFERROR(MATCH(IF($B546="Robusta","Robusta",(IF($B546="","Arabica",$B546))&amp;" - "&amp;(IF($C546="","Commercial",$C546))),Variables!$B$1:$D$1,0),1))*(AV546/365))+(INDEX(Variables!$B$8:$D$8,IFERROR(MATCH(IF($B546="Robusta","Robusta",(IF($B546="","Arabica",$B546))&amp;" - "&amp;(IF($C546="","Commercial",$C546))),Variables!$B$1:$D$1,0),1))*L546/16.67)),""))</f>
        <v>-810.27952823566454</v>
      </c>
      <c r="AX546" s="9"/>
      <c r="AY546" s="12"/>
      <c r="AZ546" s="10"/>
      <c r="BA546" s="9"/>
      <c r="BB546" s="10"/>
      <c r="BC546" s="9"/>
      <c r="BD546" s="9"/>
      <c r="BE546" s="9"/>
      <c r="BF546" s="9"/>
    </row>
    <row r="547" spans="1:58" x14ac:dyDescent="0.25">
      <c r="A547" s="9" t="s">
        <v>84</v>
      </c>
      <c r="B547" s="9" t="s">
        <v>85</v>
      </c>
      <c r="C547" s="9" t="s">
        <v>86</v>
      </c>
      <c r="D547" s="10">
        <v>46008</v>
      </c>
      <c r="E547" s="10">
        <v>46054</v>
      </c>
      <c r="F547" s="10">
        <v>46081</v>
      </c>
      <c r="G547" s="9">
        <v>3787062</v>
      </c>
      <c r="H547" s="9" t="str">
        <f t="shared" si="57"/>
        <v>Open</v>
      </c>
      <c r="I547" s="9" t="str">
        <f t="shared" si="58"/>
        <v>No shipping advice sent and No docs dispatch date</v>
      </c>
      <c r="J547" s="9" t="s">
        <v>102</v>
      </c>
      <c r="K547" s="9" t="s">
        <v>1361</v>
      </c>
      <c r="L547" s="11">
        <v>720</v>
      </c>
      <c r="M547" s="9" t="s">
        <v>1359</v>
      </c>
      <c r="N547" s="9" t="s">
        <v>629</v>
      </c>
      <c r="O547" s="9"/>
      <c r="P547" s="9"/>
      <c r="Q547" s="11">
        <v>-9</v>
      </c>
      <c r="R547" s="9" t="s">
        <v>90</v>
      </c>
      <c r="S547" s="9" t="s">
        <v>1150</v>
      </c>
      <c r="T547" s="12">
        <f>IF($H547="Cancelled","",IFERROR(((Q547+INDEX(Variables!$B$6:$D$6,IFERROR(MATCH(IF($B547="Robusta","Robusta",(IF($B547="","Arabica",$B547))&amp;" - "&amp;(IF($C547="","Commercial",$C547))),Variables!$B$1:$D$1,0),1)))*22.0462)*(L547/16.67),""))</f>
        <v>268331.48141571687</v>
      </c>
      <c r="U547" s="10"/>
      <c r="V547" s="9" t="str">
        <f t="shared" si="60"/>
        <v/>
      </c>
      <c r="W547" s="10">
        <v>46037</v>
      </c>
      <c r="X547" s="9" t="str">
        <f t="shared" si="56"/>
        <v>Approved</v>
      </c>
      <c r="Y547" s="10">
        <v>46042</v>
      </c>
      <c r="Z547" s="10">
        <f>IF($H547="Cancelled","",IFERROR(IF(F547="","",F547-Variables!$B$13),""))</f>
        <v>46066</v>
      </c>
      <c r="AA547" s="11">
        <f>IF($H547="Cancelled","",IFERROR(IF(W547="","",(AVERAGE(E547:F547)-W547)-Variables!$B$14),""))</f>
        <v>0.5</v>
      </c>
      <c r="AB547" s="10">
        <v>46066</v>
      </c>
      <c r="AC547" s="11">
        <f>IF($H547="Cancelled","",IFERROR(IF(AB547="","",IF(AND(W547="",Y547=""),"",IF(Y547&gt;W547,Y547+Variables!$B$15+Variables!$B$16+Variables!$B$17-AB547,W547+Variables!$B$16+Variables!$B$17-AB547))),""))</f>
        <v>-9</v>
      </c>
      <c r="AD547" s="9" t="s">
        <v>165</v>
      </c>
      <c r="AE547" s="9" t="s">
        <v>818</v>
      </c>
      <c r="AF547" s="10"/>
      <c r="AG547" s="10"/>
      <c r="AH547" s="9"/>
      <c r="AI547" s="9">
        <v>914531</v>
      </c>
      <c r="AJ547" s="9"/>
      <c r="AK547" s="10">
        <v>46093</v>
      </c>
      <c r="AL547" s="10"/>
      <c r="AM547" s="10"/>
      <c r="AN547" s="9" t="s">
        <v>1360</v>
      </c>
      <c r="AO547" s="9"/>
      <c r="AP547" s="11">
        <f>IF($H547="Cancelled","",IFERROR(IF(OR(AK547="",AB547=""),"",(AB547+Variables!$B$18-AK547)),""))</f>
        <v>-20</v>
      </c>
      <c r="AQ547" s="11" t="str">
        <f>IF($H547="Cancelled","",IFERROR(IF(OR(AM547="",AK547=""),"",(AK547+Variables!$B$19)-AM547),""))</f>
        <v/>
      </c>
      <c r="AR547" s="12" t="str">
        <f>IF($H547="Cancelled","",IFERROR(T547*INDEX(Variables!$B$7:$D$7,IFERROR(MATCH(IF($B547="Robusta","Robusta",(IF($B547="","Arabica",$B547))&amp;" - "&amp;(IF($C547="","Commercial",$C547))),Variables!$B$1:$D$1,0),1))*(AQ547/365),""))</f>
        <v/>
      </c>
      <c r="AS547" s="12">
        <f>IF($H547="Cancelled","",IFERROR((T547*INDEX(Variables!$B$7:$D$7,IFERROR(MATCH(IF($B547="Robusta","Robusta",(IF($B547="","Arabica",$B547))&amp;" - "&amp;(IF($C547="","Commercial",$C547))),Variables!$B$1:$D$1,0),1))*IFERROR(IF(W547="","",(AVERAGE(E547:F547)-W547)-Variables!$B$14),"")/365)+(L547/16.67*INDEX(Variables!$B$8:$D$8,IFERROR(MATCH(IF($B547="Robusta","Robusta",(IF($B547="","Arabica",$B547))&amp;" - "&amp;(IF($C547="","Commercial",$C547))),Variables!$B$1:$D$1,0),1))*IFERROR(IF(W547="","",(AVERAGE(E547:F547)-W547)-Variables!$B$14),""))+(T547*INDEX(Variables!$B$9:$D$9,IFERROR(MATCH(IF($B547="Robusta","Robusta",(IF($B547="","Arabica",$B547))&amp;" - "&amp;(IF($C547="","Commercial",$C547))),Variables!$B$1:$D$1,0),1))*IFERROR(IF(W547="","",(AVERAGE(E547:F547)-W547)-Variables!$B$14),"")/365),""))</f>
        <v>42.007764673212918</v>
      </c>
      <c r="AT547" s="12">
        <f>IF($H547="Cancelled","",IFERROR((T547*INDEX(Variables!$B$7:$D$7,IFERROR(MATCH(IF($B547="Robusta","Robusta",(IF($B547="","Arabica",$B547))&amp;" - "&amp;(IF($C547="","Commercial",$C547))),Variables!$B$1:$D$1,0),1))*AC547/365)+(L547/16.67*INDEX(Variables!$B$8:$D$8,IFERROR(MATCH(IF($B547="Robusta","Robusta",(IF($B547="","Arabica",$B547))&amp;" - "&amp;(IF($C547="","Commercial",$C547))),Variables!$B$1:$D$1,0),1))*AC547)+(T547*INDEX(Variables!$B$9:$D$9,IFERROR(MATCH(IF($B547="Robusta","Robusta",(IF($B547="","Arabica",$B547))&amp;" - "&amp;(IF($C547="","Commercial",$C547))),Variables!$B$1:$D$1,0),1))*AC547/365),""))</f>
        <v>-756.13976411783256</v>
      </c>
      <c r="AU547" s="12">
        <f>IF($H547="Cancelled","",IFERROR((T547*INDEX(Variables!$B$7:$D$7,IFERROR(MATCH(IF($B547="Robusta","Robusta",(IF($B547="","Arabica",$B547))&amp;" - "&amp;(IF($C547="","Commercial",$C547))),Variables!$B$1:$D$1,0),1))*AP547/365)+(L547/16.67*INDEX(Variables!$B$8:$D$8,IFERROR(MATCH(IF($B547="Robusta","Robusta",(IF($B547="","Arabica",$B547))&amp;" - "&amp;(IF($C547="","Commercial",$C547))),Variables!$B$1:$D$1,0),1))*AP547)+(T547*INDEX(Variables!$B$9:$D$9,IFERROR(MATCH(IF($B547="Robusta","Robusta",(IF($B547="","Arabica",$B547))&amp;" - "&amp;(IF($C547="","Commercial",$C547))),Variables!$B$1:$D$1,0),1))*AP547/365),""))</f>
        <v>-1680.3105869285166</v>
      </c>
      <c r="AV547" s="11">
        <f t="shared" si="59"/>
        <v>-12</v>
      </c>
      <c r="AW547" s="12">
        <f>IF($H547="Cancelled","",IFERROR(IF(AV547="","",(T547*INDEX(Variables!$B$7:$D$7,IFERROR(MATCH(IF($B547="Robusta","Robusta",(IF($B547="","Arabica",$B547))&amp;" - "&amp;(IF($C547="","Commercial",$C547))),Variables!$B$1:$D$1,0),1))*(AV547/365))+(T547*INDEX(Variables!$B$9:$D$9,IFERROR(MATCH(IF($B547="Robusta","Robusta",(IF($B547="","Arabica",$B547))&amp;" - "&amp;(IF($C547="","Commercial",$C547))),Variables!$B$1:$D$1,0),1))*(AV547/365))+(INDEX(Variables!$B$8:$D$8,IFERROR(MATCH(IF($B547="Robusta","Robusta",(IF($B547="","Arabica",$B547))&amp;" - "&amp;(IF($C547="","Commercial",$C547))),Variables!$B$1:$D$1,0),1))*L547/16.67)),""))</f>
        <v>-540.18635215710981</v>
      </c>
      <c r="AX547" s="9"/>
      <c r="AY547" s="12"/>
      <c r="AZ547" s="10"/>
      <c r="BA547" s="9"/>
      <c r="BB547" s="10"/>
      <c r="BC547" s="9"/>
      <c r="BD547" s="9"/>
      <c r="BE547" s="9"/>
      <c r="BF547" s="9"/>
    </row>
    <row r="548" spans="1:58" x14ac:dyDescent="0.25">
      <c r="A548" s="9" t="s">
        <v>84</v>
      </c>
      <c r="B548" s="9" t="s">
        <v>85</v>
      </c>
      <c r="C548" s="9" t="s">
        <v>86</v>
      </c>
      <c r="D548" s="10">
        <v>46000</v>
      </c>
      <c r="E548" s="10">
        <v>46082</v>
      </c>
      <c r="F548" s="10">
        <v>46112</v>
      </c>
      <c r="G548" s="9">
        <v>3787035</v>
      </c>
      <c r="H548" s="9" t="str">
        <f t="shared" si="57"/>
        <v>Open</v>
      </c>
      <c r="I548" s="9" t="str">
        <f t="shared" si="58"/>
        <v>No docs dispatch date</v>
      </c>
      <c r="J548" s="9" t="s">
        <v>102</v>
      </c>
      <c r="K548" s="9" t="s">
        <v>1362</v>
      </c>
      <c r="L548" s="11">
        <v>334</v>
      </c>
      <c r="M548" s="9" t="s">
        <v>1260</v>
      </c>
      <c r="N548" s="9" t="s">
        <v>432</v>
      </c>
      <c r="O548" s="9"/>
      <c r="P548" s="9"/>
      <c r="Q548" s="11">
        <v>53.5</v>
      </c>
      <c r="R548" s="9" t="s">
        <v>90</v>
      </c>
      <c r="S548" s="9" t="s">
        <v>753</v>
      </c>
      <c r="T548" s="12">
        <f>IF($H548="Cancelled","",IFERROR(((Q548+INDEX(Variables!$B$6:$D$6,IFERROR(MATCH(IF($B548="Robusta","Robusta",(IF($B548="","Arabica",$B548))&amp;" - "&amp;(IF($C548="","Commercial",$C548))),Variables!$B$1:$D$1,0),1)))*22.0462)*(L548/16.67),""))</f>
        <v>152083.33679904017</v>
      </c>
      <c r="U548" s="10">
        <v>46052</v>
      </c>
      <c r="V548" s="9" t="str">
        <f t="shared" si="60"/>
        <v>Sent</v>
      </c>
      <c r="W548" s="10">
        <v>46059</v>
      </c>
      <c r="X548" s="9" t="str">
        <f t="shared" si="56"/>
        <v>Approved</v>
      </c>
      <c r="Y548" s="10"/>
      <c r="Z548" s="10">
        <f>IF($H548="Cancelled","",IFERROR(IF(F548="","",F548-Variables!$B$13),""))</f>
        <v>46097</v>
      </c>
      <c r="AA548" s="11">
        <f>IF($H548="Cancelled","",IFERROR(IF(W548="","",(AVERAGE(E548:F548)-W548)-Variables!$B$14),""))</f>
        <v>8</v>
      </c>
      <c r="AB548" s="10">
        <v>46077</v>
      </c>
      <c r="AC548" s="11">
        <f>IF($H548="Cancelled","",IFERROR(IF(AB548="","",IF(AND(W548="",Y548=""),"",IF(Y548&gt;W548,Y548+Variables!$B$15+Variables!$B$16+Variables!$B$17-AB548,W548+Variables!$B$16+Variables!$B$17-AB548))),""))</f>
        <v>-10</v>
      </c>
      <c r="AD548" s="9" t="s">
        <v>151</v>
      </c>
      <c r="AE548" s="9" t="s">
        <v>1363</v>
      </c>
      <c r="AF548" s="10">
        <v>46160</v>
      </c>
      <c r="AG548" s="10"/>
      <c r="AH548" s="9"/>
      <c r="AI548" s="9" t="s">
        <v>1364</v>
      </c>
      <c r="AJ548" s="9"/>
      <c r="AK548" s="10">
        <v>46089</v>
      </c>
      <c r="AL548" s="10">
        <v>46112</v>
      </c>
      <c r="AM548" s="10"/>
      <c r="AN548" s="9" t="s">
        <v>1234</v>
      </c>
      <c r="AO548" s="9"/>
      <c r="AP548" s="11">
        <f>IF($H548="Cancelled","",IFERROR(IF(OR(AK548="",AB548=""),"",(AB548+Variables!$B$18-AK548)),""))</f>
        <v>-5</v>
      </c>
      <c r="AQ548" s="11" t="str">
        <f>IF($H548="Cancelled","",IFERROR(IF(OR(AM548="",AK548=""),"",(AK548+Variables!$B$19)-AM548),""))</f>
        <v/>
      </c>
      <c r="AR548" s="12" t="str">
        <f>IF($H548="Cancelled","",IFERROR(T548*INDEX(Variables!$B$7:$D$7,IFERROR(MATCH(IF($B548="Robusta","Robusta",(IF($B548="","Arabica",$B548))&amp;" - "&amp;(IF($C548="","Commercial",$C548))),Variables!$B$1:$D$1,0),1))*(AQ548/365),""))</f>
        <v/>
      </c>
      <c r="AS548" s="12">
        <f>IF($H548="Cancelled","",IFERROR((T548*INDEX(Variables!$B$7:$D$7,IFERROR(MATCH(IF($B548="Robusta","Robusta",(IF($B548="","Arabica",$B548))&amp;" - "&amp;(IF($C548="","Commercial",$C548))),Variables!$B$1:$D$1,0),1))*IFERROR(IF(W548="","",(AVERAGE(E548:F548)-W548)-Variables!$B$14),"")/365)+(L548/16.67*INDEX(Variables!$B$8:$D$8,IFERROR(MATCH(IF($B548="Robusta","Robusta",(IF($B548="","Arabica",$B548))&amp;" - "&amp;(IF($C548="","Commercial",$C548))),Variables!$B$1:$D$1,0),1))*IFERROR(IF(W548="","",(AVERAGE(E548:F548)-W548)-Variables!$B$14),""))+(T548*INDEX(Variables!$B$9:$D$9,IFERROR(MATCH(IF($B548="Robusta","Robusta",(IF($B548="","Arabica",$B548))&amp;" - "&amp;(IF($C548="","Commercial",$C548))),Variables!$B$1:$D$1,0),1))*IFERROR(IF(W548="","",(AVERAGE(E548:F548)-W548)-Variables!$B$14),"")/365),""))</f>
        <v>351.3116716279257</v>
      </c>
      <c r="AT548" s="12">
        <f>IF($H548="Cancelled","",IFERROR((T548*INDEX(Variables!$B$7:$D$7,IFERROR(MATCH(IF($B548="Robusta","Robusta",(IF($B548="","Arabica",$B548))&amp;" - "&amp;(IF($C548="","Commercial",$C548))),Variables!$B$1:$D$1,0),1))*AC548/365)+(L548/16.67*INDEX(Variables!$B$8:$D$8,IFERROR(MATCH(IF($B548="Robusta","Robusta",(IF($B548="","Arabica",$B548))&amp;" - "&amp;(IF($C548="","Commercial",$C548))),Variables!$B$1:$D$1,0),1))*AC548)+(T548*INDEX(Variables!$B$9:$D$9,IFERROR(MATCH(IF($B548="Robusta","Robusta",(IF($B548="","Arabica",$B548))&amp;" - "&amp;(IF($C548="","Commercial",$C548))),Variables!$B$1:$D$1,0),1))*AC548/365),""))</f>
        <v>-439.13958953490715</v>
      </c>
      <c r="AU548" s="12">
        <f>IF($H548="Cancelled","",IFERROR((T548*INDEX(Variables!$B$7:$D$7,IFERROR(MATCH(IF($B548="Robusta","Robusta",(IF($B548="","Arabica",$B548))&amp;" - "&amp;(IF($C548="","Commercial",$C548))),Variables!$B$1:$D$1,0),1))*AP548/365)+(L548/16.67*INDEX(Variables!$B$8:$D$8,IFERROR(MATCH(IF($B548="Robusta","Robusta",(IF($B548="","Arabica",$B548))&amp;" - "&amp;(IF($C548="","Commercial",$C548))),Variables!$B$1:$D$1,0),1))*AP548)+(T548*INDEX(Variables!$B$9:$D$9,IFERROR(MATCH(IF($B548="Robusta","Robusta",(IF($B548="","Arabica",$B548))&amp;" - "&amp;(IF($C548="","Commercial",$C548))),Variables!$B$1:$D$1,0),1))*AP548/365),""))</f>
        <v>-219.56979476745357</v>
      </c>
      <c r="AV548" s="11">
        <f t="shared" si="59"/>
        <v>23</v>
      </c>
      <c r="AW548" s="12">
        <f>IF($H548="Cancelled","",IFERROR(IF(AV548="","",(T548*INDEX(Variables!$B$7:$D$7,IFERROR(MATCH(IF($B548="Robusta","Robusta",(IF($B548="","Arabica",$B548))&amp;" - "&amp;(IF($C548="","Commercial",$C548))),Variables!$B$1:$D$1,0),1))*(AV548/365))+(T548*INDEX(Variables!$B$9:$D$9,IFERROR(MATCH(IF($B548="Robusta","Robusta",(IF($B548="","Arabica",$B548))&amp;" - "&amp;(IF($C548="","Commercial",$C548))),Variables!$B$1:$D$1,0),1))*(AV548/365))+(INDEX(Variables!$B$8:$D$8,IFERROR(MATCH(IF($B548="Robusta","Robusta",(IF($B548="","Arabica",$B548))&amp;" - "&amp;(IF($C548="","Commercial",$C548))),Variables!$B$1:$D$1,0),1))*L548/16.67)),""))</f>
        <v>642.62105593028662</v>
      </c>
      <c r="AX548" s="9"/>
      <c r="AY548" s="12"/>
      <c r="AZ548" s="10"/>
      <c r="BA548" s="9"/>
      <c r="BB548" s="10"/>
      <c r="BC548" s="9"/>
      <c r="BD548" s="9"/>
      <c r="BE548" s="9"/>
      <c r="BF548" s="9"/>
    </row>
    <row r="549" spans="1:58" x14ac:dyDescent="0.25">
      <c r="A549" s="9" t="s">
        <v>84</v>
      </c>
      <c r="B549" s="9" t="s">
        <v>85</v>
      </c>
      <c r="C549" s="9" t="s">
        <v>86</v>
      </c>
      <c r="D549" s="10">
        <v>46013</v>
      </c>
      <c r="E549" s="10">
        <v>46023</v>
      </c>
      <c r="F549" s="10">
        <v>46053</v>
      </c>
      <c r="G549" s="9">
        <v>3787067</v>
      </c>
      <c r="H549" s="9" t="str">
        <f t="shared" si="57"/>
        <v>Open</v>
      </c>
      <c r="I549" s="9" t="str">
        <f t="shared" si="58"/>
        <v>No sailing date and No shipping advice sent and No docs dispatch date</v>
      </c>
      <c r="J549" s="9" t="s">
        <v>322</v>
      </c>
      <c r="K549" s="9">
        <v>5379</v>
      </c>
      <c r="L549" s="11">
        <v>640</v>
      </c>
      <c r="M549" s="9" t="s">
        <v>126</v>
      </c>
      <c r="N549" s="9" t="s">
        <v>126</v>
      </c>
      <c r="O549" s="9"/>
      <c r="P549" s="9"/>
      <c r="Q549" s="11">
        <v>21</v>
      </c>
      <c r="R549" s="9" t="s">
        <v>90</v>
      </c>
      <c r="S549" s="9" t="s">
        <v>123</v>
      </c>
      <c r="T549" s="12">
        <f>IF($H549="Cancelled","",IFERROR(((Q549+INDEX(Variables!$B$6:$D$6,IFERROR(MATCH(IF($B549="Robusta","Robusta",(IF($B549="","Arabica",$B549))&amp;" - "&amp;(IF($C549="","Commercial",$C549))),Variables!$B$1:$D$1,0),1)))*22.0462)*(L549/16.67),""))</f>
        <v>263909.01634073182</v>
      </c>
      <c r="U549" s="10">
        <v>46028</v>
      </c>
      <c r="V549" s="9" t="str">
        <f t="shared" si="60"/>
        <v>Sent</v>
      </c>
      <c r="W549" s="10">
        <v>46048</v>
      </c>
      <c r="X549" s="9" t="str">
        <f t="shared" si="56"/>
        <v>Approved</v>
      </c>
      <c r="Y549" s="10"/>
      <c r="Z549" s="10">
        <f>IF($H549="Cancelled","",IFERROR(IF(F549="","",F549-Variables!$B$13),""))</f>
        <v>46038</v>
      </c>
      <c r="AA549" s="11">
        <f>IF($H549="Cancelled","",IFERROR(IF(W549="","",(AVERAGE(E549:F549)-W549)-Variables!$B$14),""))</f>
        <v>-40</v>
      </c>
      <c r="AB549" s="10">
        <v>46049</v>
      </c>
      <c r="AC549" s="11">
        <f>IF($H549="Cancelled","",IFERROR(IF(AB549="","",IF(AND(W549="",Y549=""),"",IF(Y549&gt;W549,Y549+Variables!$B$15+Variables!$B$16+Variables!$B$17-AB549,W549+Variables!$B$16+Variables!$B$17-AB549))),""))</f>
        <v>7</v>
      </c>
      <c r="AD549" s="9" t="s">
        <v>92</v>
      </c>
      <c r="AE549" s="9"/>
      <c r="AF549" s="10"/>
      <c r="AG549" s="10"/>
      <c r="AH549" s="9"/>
      <c r="AI549" s="9"/>
      <c r="AJ549" s="9"/>
      <c r="AK549" s="10"/>
      <c r="AL549" s="10"/>
      <c r="AM549" s="10"/>
      <c r="AN549" s="9" t="s">
        <v>1365</v>
      </c>
      <c r="AO549" s="9"/>
      <c r="AP549" s="11" t="str">
        <f>IF($H549="Cancelled","",IFERROR(IF(OR(AK549="",AB549=""),"",(AB549+Variables!$B$18-AK549)),""))</f>
        <v/>
      </c>
      <c r="AQ549" s="11" t="str">
        <f>IF($H549="Cancelled","",IFERROR(IF(OR(AM549="",AK549=""),"",(AK549+Variables!$B$19)-AM549),""))</f>
        <v/>
      </c>
      <c r="AR549" s="12" t="str">
        <f>IF($H549="Cancelled","",IFERROR(T549*INDEX(Variables!$B$7:$D$7,IFERROR(MATCH(IF($B549="Robusta","Robusta",(IF($B549="","Arabica",$B549))&amp;" - "&amp;(IF($C549="","Commercial",$C549))),Variables!$B$1:$D$1,0),1))*(AQ549/365),""))</f>
        <v/>
      </c>
      <c r="AS549" s="12">
        <f>IF($H549="Cancelled","",IFERROR((T549*INDEX(Variables!$B$7:$D$7,IFERROR(MATCH(IF($B549="Robusta","Robusta",(IF($B549="","Arabica",$B549))&amp;" - "&amp;(IF($C549="","Commercial",$C549))),Variables!$B$1:$D$1,0),1))*IFERROR(IF(W549="","",(AVERAGE(E549:F549)-W549)-Variables!$B$14),"")/365)+(L549/16.67*INDEX(Variables!$B$8:$D$8,IFERROR(MATCH(IF($B549="Robusta","Robusta",(IF($B549="","Arabica",$B549))&amp;" - "&amp;(IF($C549="","Commercial",$C549))),Variables!$B$1:$D$1,0),1))*IFERROR(IF(W549="","",(AVERAGE(E549:F549)-W549)-Variables!$B$14),""))+(T549*INDEX(Variables!$B$9:$D$9,IFERROR(MATCH(IF($B549="Robusta","Robusta",(IF($B549="","Arabica",$B549))&amp;" - "&amp;(IF($C549="","Commercial",$C549))),Variables!$B$1:$D$1,0),1))*IFERROR(IF(W549="","",(AVERAGE(E549:F549)-W549)-Variables!$B$14),"")/365),""))</f>
        <v>-3168.9667439748373</v>
      </c>
      <c r="AT549" s="12">
        <f>IF($H549="Cancelled","",IFERROR((T549*INDEX(Variables!$B$7:$D$7,IFERROR(MATCH(IF($B549="Robusta","Robusta",(IF($B549="","Arabica",$B549))&amp;" - "&amp;(IF($C549="","Commercial",$C549))),Variables!$B$1:$D$1,0),1))*AC549/365)+(L549/16.67*INDEX(Variables!$B$8:$D$8,IFERROR(MATCH(IF($B549="Robusta","Robusta",(IF($B549="","Arabica",$B549))&amp;" - "&amp;(IF($C549="","Commercial",$C549))),Variables!$B$1:$D$1,0),1))*AC549)+(T549*INDEX(Variables!$B$9:$D$9,IFERROR(MATCH(IF($B549="Robusta","Robusta",(IF($B549="","Arabica",$B549))&amp;" - "&amp;(IF($C549="","Commercial",$C549))),Variables!$B$1:$D$1,0),1))*AC549/365),""))</f>
        <v>554.56918019559646</v>
      </c>
      <c r="AU549" s="12" t="str">
        <f>IF($H549="Cancelled","",IFERROR((T549*INDEX(Variables!$B$7:$D$7,IFERROR(MATCH(IF($B549="Robusta","Robusta",(IF($B549="","Arabica",$B549))&amp;" - "&amp;(IF($C549="","Commercial",$C549))),Variables!$B$1:$D$1,0),1))*AP549/365)+(L549/16.67*INDEX(Variables!$B$8:$D$8,IFERROR(MATCH(IF($B549="Robusta","Robusta",(IF($B549="","Arabica",$B549))&amp;" - "&amp;(IF($C549="","Commercial",$C549))),Variables!$B$1:$D$1,0),1))*AP549)+(T549*INDEX(Variables!$B$9:$D$9,IFERROR(MATCH(IF($B549="Robusta","Robusta",(IF($B549="","Arabica",$B549))&amp;" - "&amp;(IF($C549="","Commercial",$C549))),Variables!$B$1:$D$1,0),1))*AP549/365),""))</f>
        <v/>
      </c>
      <c r="AV549" s="11" t="str">
        <f t="shared" si="59"/>
        <v/>
      </c>
      <c r="AW549" s="12" t="str">
        <f>IF($H549="Cancelled","",IFERROR(IF(AV549="","",(T549*INDEX(Variables!$B$7:$D$7,IFERROR(MATCH(IF($B549="Robusta","Robusta",(IF($B549="","Arabica",$B549))&amp;" - "&amp;(IF($C549="","Commercial",$C549))),Variables!$B$1:$D$1,0),1))*(AV549/365))+(T549*INDEX(Variables!$B$9:$D$9,IFERROR(MATCH(IF($B549="Robusta","Robusta",(IF($B549="","Arabica",$B549))&amp;" - "&amp;(IF($C549="","Commercial",$C549))),Variables!$B$1:$D$1,0),1))*(AV549/365))+(INDEX(Variables!$B$8:$D$8,IFERROR(MATCH(IF($B549="Robusta","Robusta",(IF($B549="","Arabica",$B549))&amp;" - "&amp;(IF($C549="","Commercial",$C549))),Variables!$B$1:$D$1,0),1))*L549/16.67)),""))</f>
        <v/>
      </c>
      <c r="AX549" s="9"/>
      <c r="AY549" s="12"/>
      <c r="AZ549" s="10"/>
      <c r="BA549" s="9"/>
      <c r="BB549" s="10"/>
      <c r="BC549" s="9"/>
      <c r="BD549" s="9"/>
      <c r="BE549" s="9"/>
      <c r="BF549" s="9"/>
    </row>
    <row r="550" spans="1:58" x14ac:dyDescent="0.25">
      <c r="A550" s="9" t="s">
        <v>84</v>
      </c>
      <c r="B550" s="9" t="s">
        <v>85</v>
      </c>
      <c r="C550" s="9" t="s">
        <v>86</v>
      </c>
      <c r="D550" s="10">
        <v>46014</v>
      </c>
      <c r="E550" s="10">
        <v>46054</v>
      </c>
      <c r="F550" s="10">
        <v>46081</v>
      </c>
      <c r="G550" s="9">
        <v>3787076</v>
      </c>
      <c r="H550" s="9" t="str">
        <f t="shared" si="57"/>
        <v>Open</v>
      </c>
      <c r="I550" s="9" t="str">
        <f t="shared" si="58"/>
        <v>No sailing date and No shipping advice sent and No docs dispatch date</v>
      </c>
      <c r="J550" s="9" t="s">
        <v>1366</v>
      </c>
      <c r="K550" s="9">
        <v>5401</v>
      </c>
      <c r="L550" s="11">
        <v>320</v>
      </c>
      <c r="M550" s="9" t="s">
        <v>1367</v>
      </c>
      <c r="N550" s="9" t="s">
        <v>334</v>
      </c>
      <c r="O550" s="9"/>
      <c r="P550" s="9"/>
      <c r="Q550" s="11">
        <v>26</v>
      </c>
      <c r="R550" s="9" t="s">
        <v>90</v>
      </c>
      <c r="S550" s="9" t="s">
        <v>123</v>
      </c>
      <c r="T550" s="12">
        <f>IF($H550="Cancelled","",IFERROR(((Q550+INDEX(Variables!$B$6:$D$6,IFERROR(MATCH(IF($B550="Robusta","Robusta",(IF($B550="","Arabica",$B550))&amp;" - "&amp;(IF($C550="","Commercial",$C550))),Variables!$B$1:$D$1,0),1)))*22.0462)*(L550/16.67),""))</f>
        <v>134070.52016796637</v>
      </c>
      <c r="U550" s="10">
        <v>46031</v>
      </c>
      <c r="V550" s="9" t="str">
        <f t="shared" si="60"/>
        <v>Sent</v>
      </c>
      <c r="W550" s="10"/>
      <c r="X550" s="9" t="str">
        <f t="shared" si="56"/>
        <v/>
      </c>
      <c r="Y550" s="10"/>
      <c r="Z550" s="10">
        <f>IF($H550="Cancelled","",IFERROR(IF(F550="","",F550-Variables!$B$13),""))</f>
        <v>46066</v>
      </c>
      <c r="AA550" s="11" t="str">
        <f>IF($H550="Cancelled","",IFERROR(IF(W550="","",(AVERAGE(E550:F550)-W550)-Variables!$B$14),""))</f>
        <v/>
      </c>
      <c r="AB550" s="10">
        <v>46059</v>
      </c>
      <c r="AC550" s="11" t="str">
        <f>IF($H550="Cancelled","",IFERROR(IF(AB550="","",IF(AND(W550="",Y550=""),"",IF(Y550&gt;W550,Y550+Variables!$B$15+Variables!$B$16+Variables!$B$17-AB550,W550+Variables!$B$16+Variables!$B$17-AB550))),""))</f>
        <v/>
      </c>
      <c r="AD550" s="9" t="s">
        <v>1368</v>
      </c>
      <c r="AE550" s="9" t="s">
        <v>1369</v>
      </c>
      <c r="AF550" s="10"/>
      <c r="AG550" s="10"/>
      <c r="AH550" s="9"/>
      <c r="AI550" s="9" t="s">
        <v>1370</v>
      </c>
      <c r="AJ550" s="9"/>
      <c r="AK550" s="10"/>
      <c r="AL550" s="10"/>
      <c r="AM550" s="10"/>
      <c r="AN550" s="9" t="s">
        <v>1371</v>
      </c>
      <c r="AO550" s="9"/>
      <c r="AP550" s="11" t="str">
        <f>IF($H550="Cancelled","",IFERROR(IF(OR(AK550="",AB550=""),"",(AB550+Variables!$B$18-AK550)),""))</f>
        <v/>
      </c>
      <c r="AQ550" s="11" t="str">
        <f>IF($H550="Cancelled","",IFERROR(IF(OR(AM550="",AK550=""),"",(AK550+Variables!$B$19)-AM550),""))</f>
        <v/>
      </c>
      <c r="AR550" s="12" t="str">
        <f>IF($H550="Cancelled","",IFERROR(T550*INDEX(Variables!$B$7:$D$7,IFERROR(MATCH(IF($B550="Robusta","Robusta",(IF($B550="","Arabica",$B550))&amp;" - "&amp;(IF($C550="","Commercial",$C550))),Variables!$B$1:$D$1,0),1))*(AQ550/365),""))</f>
        <v/>
      </c>
      <c r="AS550" s="12" t="str">
        <f>IF($H550="Cancelled","",IFERROR((T550*INDEX(Variables!$B$7:$D$7,IFERROR(MATCH(IF($B550="Robusta","Robusta",(IF($B550="","Arabica",$B550))&amp;" - "&amp;(IF($C550="","Commercial",$C550))),Variables!$B$1:$D$1,0),1))*IFERROR(IF(W550="","",(AVERAGE(E550:F550)-W550)-Variables!$B$14),"")/365)+(L550/16.67*INDEX(Variables!$B$8:$D$8,IFERROR(MATCH(IF($B550="Robusta","Robusta",(IF($B550="","Arabica",$B550))&amp;" - "&amp;(IF($C550="","Commercial",$C550))),Variables!$B$1:$D$1,0),1))*IFERROR(IF(W550="","",(AVERAGE(E550:F550)-W550)-Variables!$B$14),""))+(T550*INDEX(Variables!$B$9:$D$9,IFERROR(MATCH(IF($B550="Robusta","Robusta",(IF($B550="","Arabica",$B550))&amp;" - "&amp;(IF($C550="","Commercial",$C550))),Variables!$B$1:$D$1,0),1))*IFERROR(IF(W550="","",(AVERAGE(E550:F550)-W550)-Variables!$B$14),"")/365),""))</f>
        <v/>
      </c>
      <c r="AT550" s="12" t="str">
        <f>IF($H550="Cancelled","",IFERROR((T550*INDEX(Variables!$B$7:$D$7,IFERROR(MATCH(IF($B550="Robusta","Robusta",(IF($B550="","Arabica",$B550))&amp;" - "&amp;(IF($C550="","Commercial",$C550))),Variables!$B$1:$D$1,0),1))*AC550/365)+(L550/16.67*INDEX(Variables!$B$8:$D$8,IFERROR(MATCH(IF($B550="Robusta","Robusta",(IF($B550="","Arabica",$B550))&amp;" - "&amp;(IF($C550="","Commercial",$C550))),Variables!$B$1:$D$1,0),1))*AC550)+(T550*INDEX(Variables!$B$9:$D$9,IFERROR(MATCH(IF($B550="Robusta","Robusta",(IF($B550="","Arabica",$B550))&amp;" - "&amp;(IF($C550="","Commercial",$C550))),Variables!$B$1:$D$1,0),1))*AC550/365),""))</f>
        <v/>
      </c>
      <c r="AU550" s="12" t="str">
        <f>IF($H550="Cancelled","",IFERROR((T550*INDEX(Variables!$B$7:$D$7,IFERROR(MATCH(IF($B550="Robusta","Robusta",(IF($B550="","Arabica",$B550))&amp;" - "&amp;(IF($C550="","Commercial",$C550))),Variables!$B$1:$D$1,0),1))*AP550/365)+(L550/16.67*INDEX(Variables!$B$8:$D$8,IFERROR(MATCH(IF($B550="Robusta","Robusta",(IF($B550="","Arabica",$B550))&amp;" - "&amp;(IF($C550="","Commercial",$C550))),Variables!$B$1:$D$1,0),1))*AP550)+(T550*INDEX(Variables!$B$9:$D$9,IFERROR(MATCH(IF($B550="Robusta","Robusta",(IF($B550="","Arabica",$B550))&amp;" - "&amp;(IF($C550="","Commercial",$C550))),Variables!$B$1:$D$1,0),1))*AP550/365),""))</f>
        <v/>
      </c>
      <c r="AV550" s="11" t="str">
        <f t="shared" si="59"/>
        <v/>
      </c>
      <c r="AW550" s="12" t="str">
        <f>IF($H550="Cancelled","",IFERROR(IF(AV550="","",(T550*INDEX(Variables!$B$7:$D$7,IFERROR(MATCH(IF($B550="Robusta","Robusta",(IF($B550="","Arabica",$B550))&amp;" - "&amp;(IF($C550="","Commercial",$C550))),Variables!$B$1:$D$1,0),1))*(AV550/365))+(T550*INDEX(Variables!$B$9:$D$9,IFERROR(MATCH(IF($B550="Robusta","Robusta",(IF($B550="","Arabica",$B550))&amp;" - "&amp;(IF($C550="","Commercial",$C550))),Variables!$B$1:$D$1,0),1))*(AV550/365))+(INDEX(Variables!$B$8:$D$8,IFERROR(MATCH(IF($B550="Robusta","Robusta",(IF($B550="","Arabica",$B550))&amp;" - "&amp;(IF($C550="","Commercial",$C550))),Variables!$B$1:$D$1,0),1))*L550/16.67)),""))</f>
        <v/>
      </c>
      <c r="AX550" s="9"/>
      <c r="AY550" s="12"/>
      <c r="AZ550" s="10"/>
      <c r="BA550" s="9"/>
      <c r="BB550" s="10"/>
      <c r="BC550" s="9"/>
      <c r="BD550" s="9"/>
      <c r="BE550" s="9"/>
      <c r="BF550" s="9"/>
    </row>
    <row r="551" spans="1:58" x14ac:dyDescent="0.25">
      <c r="A551" s="9" t="s">
        <v>84</v>
      </c>
      <c r="B551" s="9" t="s">
        <v>85</v>
      </c>
      <c r="C551" s="9" t="s">
        <v>86</v>
      </c>
      <c r="D551" s="10">
        <v>46029</v>
      </c>
      <c r="E551" s="10">
        <v>46054</v>
      </c>
      <c r="F551" s="10">
        <v>46081</v>
      </c>
      <c r="G551" s="9">
        <v>3787088</v>
      </c>
      <c r="H551" s="9" t="str">
        <f t="shared" si="57"/>
        <v>Open</v>
      </c>
      <c r="I551" s="9" t="str">
        <f t="shared" si="58"/>
        <v>No sailing date and No shipping advice sent and No docs dispatch date</v>
      </c>
      <c r="J551" s="9" t="s">
        <v>235</v>
      </c>
      <c r="K551" s="9">
        <v>5395</v>
      </c>
      <c r="L551" s="11">
        <v>320</v>
      </c>
      <c r="M551" s="9" t="s">
        <v>1372</v>
      </c>
      <c r="N551" s="9" t="s">
        <v>237</v>
      </c>
      <c r="O551" s="9"/>
      <c r="P551" s="9"/>
      <c r="Q551" s="11">
        <v>50</v>
      </c>
      <c r="R551" s="9" t="s">
        <v>90</v>
      </c>
      <c r="S551" s="9" t="s">
        <v>106</v>
      </c>
      <c r="T551" s="12">
        <f>IF($H551="Cancelled","",IFERROR(((Q551+INDEX(Variables!$B$6:$D$6,IFERROR(MATCH(IF($B551="Robusta","Robusta",(IF($B551="","Arabica",$B551))&amp;" - "&amp;(IF($C551="","Commercial",$C551))),Variables!$B$1:$D$1,0),1)))*22.0462)*(L551/16.67),""))</f>
        <v>144227.3777564487</v>
      </c>
      <c r="U551" s="10">
        <v>46030</v>
      </c>
      <c r="V551" s="9" t="str">
        <f t="shared" si="60"/>
        <v>Sent</v>
      </c>
      <c r="W551" s="10"/>
      <c r="X551" s="9" t="str">
        <f t="shared" si="56"/>
        <v/>
      </c>
      <c r="Y551" s="10"/>
      <c r="Z551" s="10">
        <f>IF($H551="Cancelled","",IFERROR(IF(F551="","",F551-Variables!$B$13),""))</f>
        <v>46066</v>
      </c>
      <c r="AA551" s="11" t="str">
        <f>IF($H551="Cancelled","",IFERROR(IF(W551="","",(AVERAGE(E551:F551)-W551)-Variables!$B$14),""))</f>
        <v/>
      </c>
      <c r="AB551" s="10">
        <v>46057</v>
      </c>
      <c r="AC551" s="11" t="str">
        <f>IF($H551="Cancelled","",IFERROR(IF(AB551="","",IF(AND(W551="",Y551=""),"",IF(Y551&gt;W551,Y551+Variables!$B$15+Variables!$B$16+Variables!$B$17-AB551,W551+Variables!$B$16+Variables!$B$17-AB551))),""))</f>
        <v/>
      </c>
      <c r="AD551" s="9" t="s">
        <v>1373</v>
      </c>
      <c r="AE551" s="9"/>
      <c r="AF551" s="10"/>
      <c r="AG551" s="10"/>
      <c r="AH551" s="9"/>
      <c r="AI551" s="9"/>
      <c r="AJ551" s="9"/>
      <c r="AK551" s="10"/>
      <c r="AL551" s="10"/>
      <c r="AM551" s="10"/>
      <c r="AN551" s="9" t="s">
        <v>1374</v>
      </c>
      <c r="AO551" s="9"/>
      <c r="AP551" s="11" t="str">
        <f>IF($H551="Cancelled","",IFERROR(IF(OR(AK551="",AB551=""),"",(AB551+Variables!$B$18-AK551)),""))</f>
        <v/>
      </c>
      <c r="AQ551" s="11" t="str">
        <f>IF($H551="Cancelled","",IFERROR(IF(OR(AM551="",AK551=""),"",(AK551+Variables!$B$19)-AM551),""))</f>
        <v/>
      </c>
      <c r="AR551" s="12" t="str">
        <f>IF($H551="Cancelled","",IFERROR(T551*INDEX(Variables!$B$7:$D$7,IFERROR(MATCH(IF($B551="Robusta","Robusta",(IF($B551="","Arabica",$B551))&amp;" - "&amp;(IF($C551="","Commercial",$C551))),Variables!$B$1:$D$1,0),1))*(AQ551/365),""))</f>
        <v/>
      </c>
      <c r="AS551" s="12" t="str">
        <f>IF($H551="Cancelled","",IFERROR((T551*INDEX(Variables!$B$7:$D$7,IFERROR(MATCH(IF($B551="Robusta","Robusta",(IF($B551="","Arabica",$B551))&amp;" - "&amp;(IF($C551="","Commercial",$C551))),Variables!$B$1:$D$1,0),1))*IFERROR(IF(W551="","",(AVERAGE(E551:F551)-W551)-Variables!$B$14),"")/365)+(L551/16.67*INDEX(Variables!$B$8:$D$8,IFERROR(MATCH(IF($B551="Robusta","Robusta",(IF($B551="","Arabica",$B551))&amp;" - "&amp;(IF($C551="","Commercial",$C551))),Variables!$B$1:$D$1,0),1))*IFERROR(IF(W551="","",(AVERAGE(E551:F551)-W551)-Variables!$B$14),""))+(T551*INDEX(Variables!$B$9:$D$9,IFERROR(MATCH(IF($B551="Robusta","Robusta",(IF($B551="","Arabica",$B551))&amp;" - "&amp;(IF($C551="","Commercial",$C551))),Variables!$B$1:$D$1,0),1))*IFERROR(IF(W551="","",(AVERAGE(E551:F551)-W551)-Variables!$B$14),"")/365),""))</f>
        <v/>
      </c>
      <c r="AT551" s="12" t="str">
        <f>IF($H551="Cancelled","",IFERROR((T551*INDEX(Variables!$B$7:$D$7,IFERROR(MATCH(IF($B551="Robusta","Robusta",(IF($B551="","Arabica",$B551))&amp;" - "&amp;(IF($C551="","Commercial",$C551))),Variables!$B$1:$D$1,0),1))*AC551/365)+(L551/16.67*INDEX(Variables!$B$8:$D$8,IFERROR(MATCH(IF($B551="Robusta","Robusta",(IF($B551="","Arabica",$B551))&amp;" - "&amp;(IF($C551="","Commercial",$C551))),Variables!$B$1:$D$1,0),1))*AC551)+(T551*INDEX(Variables!$B$9:$D$9,IFERROR(MATCH(IF($B551="Robusta","Robusta",(IF($B551="","Arabica",$B551))&amp;" - "&amp;(IF($C551="","Commercial",$C551))),Variables!$B$1:$D$1,0),1))*AC551/365),""))</f>
        <v/>
      </c>
      <c r="AU551" s="12" t="str">
        <f>IF($H551="Cancelled","",IFERROR((T551*INDEX(Variables!$B$7:$D$7,IFERROR(MATCH(IF($B551="Robusta","Robusta",(IF($B551="","Arabica",$B551))&amp;" - "&amp;(IF($C551="","Commercial",$C551))),Variables!$B$1:$D$1,0),1))*AP551/365)+(L551/16.67*INDEX(Variables!$B$8:$D$8,IFERROR(MATCH(IF($B551="Robusta","Robusta",(IF($B551="","Arabica",$B551))&amp;" - "&amp;(IF($C551="","Commercial",$C551))),Variables!$B$1:$D$1,0),1))*AP551)+(T551*INDEX(Variables!$B$9:$D$9,IFERROR(MATCH(IF($B551="Robusta","Robusta",(IF($B551="","Arabica",$B551))&amp;" - "&amp;(IF($C551="","Commercial",$C551))),Variables!$B$1:$D$1,0),1))*AP551/365),""))</f>
        <v/>
      </c>
      <c r="AV551" s="11" t="str">
        <f t="shared" si="59"/>
        <v/>
      </c>
      <c r="AW551" s="12" t="str">
        <f>IF($H551="Cancelled","",IFERROR(IF(AV551="","",(T551*INDEX(Variables!$B$7:$D$7,IFERROR(MATCH(IF($B551="Robusta","Robusta",(IF($B551="","Arabica",$B551))&amp;" - "&amp;(IF($C551="","Commercial",$C551))),Variables!$B$1:$D$1,0),1))*(AV551/365))+(T551*INDEX(Variables!$B$9:$D$9,IFERROR(MATCH(IF($B551="Robusta","Robusta",(IF($B551="","Arabica",$B551))&amp;" - "&amp;(IF($C551="","Commercial",$C551))),Variables!$B$1:$D$1,0),1))*(AV551/365))+(INDEX(Variables!$B$8:$D$8,IFERROR(MATCH(IF($B551="Robusta","Robusta",(IF($B551="","Arabica",$B551))&amp;" - "&amp;(IF($C551="","Commercial",$C551))),Variables!$B$1:$D$1,0),1))*L551/16.67)),""))</f>
        <v/>
      </c>
      <c r="AX551" s="9"/>
      <c r="AY551" s="12"/>
      <c r="AZ551" s="10"/>
      <c r="BA551" s="9"/>
      <c r="BB551" s="10"/>
      <c r="BC551" s="9"/>
      <c r="BD551" s="9"/>
      <c r="BE551" s="9"/>
      <c r="BF551" s="9"/>
    </row>
    <row r="552" spans="1:58" x14ac:dyDescent="0.25">
      <c r="A552" s="9" t="s">
        <v>84</v>
      </c>
      <c r="B552" s="9" t="s">
        <v>85</v>
      </c>
      <c r="C552" s="9" t="s">
        <v>86</v>
      </c>
      <c r="D552" s="10">
        <v>46000</v>
      </c>
      <c r="E552" s="10">
        <v>46082</v>
      </c>
      <c r="F552" s="10">
        <v>46112</v>
      </c>
      <c r="G552" s="9">
        <v>3787035</v>
      </c>
      <c r="H552" s="9" t="str">
        <f t="shared" si="57"/>
        <v>Open</v>
      </c>
      <c r="I552" s="9" t="str">
        <f t="shared" si="58"/>
        <v>No docs dispatch date</v>
      </c>
      <c r="J552" s="9" t="s">
        <v>102</v>
      </c>
      <c r="K552" s="9" t="s">
        <v>1375</v>
      </c>
      <c r="L552" s="11">
        <v>334</v>
      </c>
      <c r="M552" s="9" t="s">
        <v>1260</v>
      </c>
      <c r="N552" s="9" t="s">
        <v>432</v>
      </c>
      <c r="O552" s="9"/>
      <c r="P552" s="9"/>
      <c r="Q552" s="11">
        <v>53.5</v>
      </c>
      <c r="R552" s="9" t="s">
        <v>90</v>
      </c>
      <c r="S552" s="9" t="s">
        <v>462</v>
      </c>
      <c r="T552" s="12">
        <f>IF($H552="Cancelled","",IFERROR(((Q552+INDEX(Variables!$B$6:$D$6,IFERROR(MATCH(IF($B552="Robusta","Robusta",(IF($B552="","Arabica",$B552))&amp;" - "&amp;(IF($C552="","Commercial",$C552))),Variables!$B$1:$D$1,0),1)))*22.0462)*(L552/16.67),""))</f>
        <v>152083.33679904017</v>
      </c>
      <c r="U552" s="10">
        <v>46052</v>
      </c>
      <c r="V552" s="9" t="str">
        <f t="shared" si="60"/>
        <v>Sent</v>
      </c>
      <c r="W552" s="10">
        <v>46059</v>
      </c>
      <c r="X552" s="9" t="str">
        <f t="shared" si="56"/>
        <v>Approved</v>
      </c>
      <c r="Y552" s="10"/>
      <c r="Z552" s="10">
        <f>IF($H552="Cancelled","",IFERROR(IF(F552="","",F552-Variables!$B$13),""))</f>
        <v>46097</v>
      </c>
      <c r="AA552" s="11">
        <f>IF($H552="Cancelled","",IFERROR(IF(W552="","",(AVERAGE(E552:F552)-W552)-Variables!$B$14),""))</f>
        <v>8</v>
      </c>
      <c r="AB552" s="10">
        <v>46077</v>
      </c>
      <c r="AC552" s="11">
        <f>IF($H552="Cancelled","",IFERROR(IF(AB552="","",IF(AND(W552="",Y552=""),"",IF(Y552&gt;W552,Y552+Variables!$B$15+Variables!$B$16+Variables!$B$17-AB552,W552+Variables!$B$16+Variables!$B$17-AB552))),""))</f>
        <v>-10</v>
      </c>
      <c r="AD552" s="9" t="s">
        <v>151</v>
      </c>
      <c r="AE552" s="9" t="s">
        <v>1284</v>
      </c>
      <c r="AF552" s="10">
        <v>46146</v>
      </c>
      <c r="AG552" s="10"/>
      <c r="AH552" s="9"/>
      <c r="AI552" s="9" t="s">
        <v>1376</v>
      </c>
      <c r="AJ552" s="9"/>
      <c r="AK552" s="10">
        <v>46101</v>
      </c>
      <c r="AL552" s="10">
        <v>46112</v>
      </c>
      <c r="AM552" s="10"/>
      <c r="AN552" s="9" t="s">
        <v>1377</v>
      </c>
      <c r="AO552" s="9"/>
      <c r="AP552" s="11">
        <f>IF($H552="Cancelled","",IFERROR(IF(OR(AK552="",AB552=""),"",(AB552+Variables!$B$18-AK552)),""))</f>
        <v>-17</v>
      </c>
      <c r="AQ552" s="11" t="str">
        <f>IF($H552="Cancelled","",IFERROR(IF(OR(AM552="",AK552=""),"",(AK552+Variables!$B$19)-AM552),""))</f>
        <v/>
      </c>
      <c r="AR552" s="12" t="str">
        <f>IF($H552="Cancelled","",IFERROR(T552*INDEX(Variables!$B$7:$D$7,IFERROR(MATCH(IF($B552="Robusta","Robusta",(IF($B552="","Arabica",$B552))&amp;" - "&amp;(IF($C552="","Commercial",$C552))),Variables!$B$1:$D$1,0),1))*(AQ552/365),""))</f>
        <v/>
      </c>
      <c r="AS552" s="12">
        <f>IF($H552="Cancelled","",IFERROR((T552*INDEX(Variables!$B$7:$D$7,IFERROR(MATCH(IF($B552="Robusta","Robusta",(IF($B552="","Arabica",$B552))&amp;" - "&amp;(IF($C552="","Commercial",$C552))),Variables!$B$1:$D$1,0),1))*IFERROR(IF(W552="","",(AVERAGE(E552:F552)-W552)-Variables!$B$14),"")/365)+(L552/16.67*INDEX(Variables!$B$8:$D$8,IFERROR(MATCH(IF($B552="Robusta","Robusta",(IF($B552="","Arabica",$B552))&amp;" - "&amp;(IF($C552="","Commercial",$C552))),Variables!$B$1:$D$1,0),1))*IFERROR(IF(W552="","",(AVERAGE(E552:F552)-W552)-Variables!$B$14),""))+(T552*INDEX(Variables!$B$9:$D$9,IFERROR(MATCH(IF($B552="Robusta","Robusta",(IF($B552="","Arabica",$B552))&amp;" - "&amp;(IF($C552="","Commercial",$C552))),Variables!$B$1:$D$1,0),1))*IFERROR(IF(W552="","",(AVERAGE(E552:F552)-W552)-Variables!$B$14),"")/365),""))</f>
        <v>351.3116716279257</v>
      </c>
      <c r="AT552" s="12">
        <f>IF($H552="Cancelled","",IFERROR((T552*INDEX(Variables!$B$7:$D$7,IFERROR(MATCH(IF($B552="Robusta","Robusta",(IF($B552="","Arabica",$B552))&amp;" - "&amp;(IF($C552="","Commercial",$C552))),Variables!$B$1:$D$1,0),1))*AC552/365)+(L552/16.67*INDEX(Variables!$B$8:$D$8,IFERROR(MATCH(IF($B552="Robusta","Robusta",(IF($B552="","Arabica",$B552))&amp;" - "&amp;(IF($C552="","Commercial",$C552))),Variables!$B$1:$D$1,0),1))*AC552)+(T552*INDEX(Variables!$B$9:$D$9,IFERROR(MATCH(IF($B552="Robusta","Robusta",(IF($B552="","Arabica",$B552))&amp;" - "&amp;(IF($C552="","Commercial",$C552))),Variables!$B$1:$D$1,0),1))*AC552/365),""))</f>
        <v>-439.13958953490715</v>
      </c>
      <c r="AU552" s="12">
        <f>IF($H552="Cancelled","",IFERROR((T552*INDEX(Variables!$B$7:$D$7,IFERROR(MATCH(IF($B552="Robusta","Robusta",(IF($B552="","Arabica",$B552))&amp;" - "&amp;(IF($C552="","Commercial",$C552))),Variables!$B$1:$D$1,0),1))*AP552/365)+(L552/16.67*INDEX(Variables!$B$8:$D$8,IFERROR(MATCH(IF($B552="Robusta","Robusta",(IF($B552="","Arabica",$B552))&amp;" - "&amp;(IF($C552="","Commercial",$C552))),Variables!$B$1:$D$1,0),1))*AP552)+(T552*INDEX(Variables!$B$9:$D$9,IFERROR(MATCH(IF($B552="Robusta","Robusta",(IF($B552="","Arabica",$B552))&amp;" - "&amp;(IF($C552="","Commercial",$C552))),Variables!$B$1:$D$1,0),1))*AP552/365),""))</f>
        <v>-746.53730220934222</v>
      </c>
      <c r="AV552" s="11">
        <f t="shared" si="59"/>
        <v>11</v>
      </c>
      <c r="AW552" s="12">
        <f>IF($H552="Cancelled","",IFERROR(IF(AV552="","",(T552*INDEX(Variables!$B$7:$D$7,IFERROR(MATCH(IF($B552="Robusta","Robusta",(IF($B552="","Arabica",$B552))&amp;" - "&amp;(IF($C552="","Commercial",$C552))),Variables!$B$1:$D$1,0),1))*(AV552/365))+(T552*INDEX(Variables!$B$9:$D$9,IFERROR(MATCH(IF($B552="Robusta","Robusta",(IF($B552="","Arabica",$B552))&amp;" - "&amp;(IF($C552="","Commercial",$C552))),Variables!$B$1:$D$1,0),1))*(AV552/365))+(INDEX(Variables!$B$8:$D$8,IFERROR(MATCH(IF($B552="Robusta","Robusta",(IF($B552="","Arabica",$B552))&amp;" - "&amp;(IF($C552="","Commercial",$C552))),Variables!$B$1:$D$1,0),1))*L552/16.67)),""))</f>
        <v>316.05354848839784</v>
      </c>
      <c r="AX552" s="9"/>
      <c r="AY552" s="12"/>
      <c r="AZ552" s="10"/>
      <c r="BA552" s="9"/>
      <c r="BB552" s="10"/>
      <c r="BC552" s="9"/>
      <c r="BD552" s="9"/>
      <c r="BE552" s="9"/>
      <c r="BF552" s="9"/>
    </row>
    <row r="553" spans="1:58" x14ac:dyDescent="0.25">
      <c r="A553" s="9" t="s">
        <v>84</v>
      </c>
      <c r="B553" s="9" t="s">
        <v>85</v>
      </c>
      <c r="C553" s="9" t="s">
        <v>86</v>
      </c>
      <c r="D553" s="10">
        <v>46000</v>
      </c>
      <c r="E553" s="10">
        <v>46082</v>
      </c>
      <c r="F553" s="10">
        <v>46112</v>
      </c>
      <c r="G553" s="9">
        <v>3787035</v>
      </c>
      <c r="H553" s="9" t="str">
        <f t="shared" si="57"/>
        <v>Open</v>
      </c>
      <c r="I553" s="9" t="str">
        <f t="shared" si="58"/>
        <v>No docs dispatch date</v>
      </c>
      <c r="J553" s="9" t="s">
        <v>102</v>
      </c>
      <c r="K553" s="9" t="s">
        <v>1378</v>
      </c>
      <c r="L553" s="11">
        <v>667</v>
      </c>
      <c r="M553" s="9" t="s">
        <v>1260</v>
      </c>
      <c r="N553" s="9" t="s">
        <v>432</v>
      </c>
      <c r="O553" s="9"/>
      <c r="P553" s="9"/>
      <c r="Q553" s="11">
        <v>53.5</v>
      </c>
      <c r="R553" s="9" t="s">
        <v>90</v>
      </c>
      <c r="S553" s="9" t="s">
        <v>207</v>
      </c>
      <c r="T553" s="12">
        <f>IF($H553="Cancelled","",IFERROR(((Q553+INDEX(Variables!$B$6:$D$6,IFERROR(MATCH(IF($B553="Robusta","Robusta",(IF($B553="","Arabica",$B553))&amp;" - "&amp;(IF($C553="","Commercial",$C553))),Variables!$B$1:$D$1,0),1)))*22.0462)*(L553/16.67),""))</f>
        <v>303711.3342663467</v>
      </c>
      <c r="U553" s="10">
        <v>46052</v>
      </c>
      <c r="V553" s="9" t="str">
        <f t="shared" si="60"/>
        <v>Sent</v>
      </c>
      <c r="W553" s="10">
        <v>46059</v>
      </c>
      <c r="X553" s="9" t="str">
        <f t="shared" si="56"/>
        <v>Approved</v>
      </c>
      <c r="Y553" s="10"/>
      <c r="Z553" s="10">
        <f>IF($H553="Cancelled","",IFERROR(IF(F553="","",F553-Variables!$B$13),""))</f>
        <v>46097</v>
      </c>
      <c r="AA553" s="11">
        <f>IF($H553="Cancelled","",IFERROR(IF(W553="","",(AVERAGE(E553:F553)-W553)-Variables!$B$14),""))</f>
        <v>8</v>
      </c>
      <c r="AB553" s="10">
        <v>46078</v>
      </c>
      <c r="AC553" s="11">
        <f>IF($H553="Cancelled","",IFERROR(IF(AB553="","",IF(AND(W553="",Y553=""),"",IF(Y553&gt;W553,Y553+Variables!$B$15+Variables!$B$16+Variables!$B$17-AB553,W553+Variables!$B$16+Variables!$B$17-AB553))),""))</f>
        <v>-11</v>
      </c>
      <c r="AD553" s="9" t="s">
        <v>151</v>
      </c>
      <c r="AE553" s="9" t="s">
        <v>1379</v>
      </c>
      <c r="AF553" s="10">
        <v>46146</v>
      </c>
      <c r="AG553" s="10"/>
      <c r="AH553" s="9"/>
      <c r="AI553" s="9" t="s">
        <v>1380</v>
      </c>
      <c r="AJ553" s="9"/>
      <c r="AK553" s="10">
        <v>46101</v>
      </c>
      <c r="AL553" s="10">
        <v>46112</v>
      </c>
      <c r="AM553" s="10"/>
      <c r="AN553" s="9" t="s">
        <v>1234</v>
      </c>
      <c r="AO553" s="9"/>
      <c r="AP553" s="11">
        <f>IF($H553="Cancelled","",IFERROR(IF(OR(AK553="",AB553=""),"",(AB553+Variables!$B$18-AK553)),""))</f>
        <v>-16</v>
      </c>
      <c r="AQ553" s="11" t="str">
        <f>IF($H553="Cancelled","",IFERROR(IF(OR(AM553="",AK553=""),"",(AK553+Variables!$B$19)-AM553),""))</f>
        <v/>
      </c>
      <c r="AR553" s="12" t="str">
        <f>IF($H553="Cancelled","",IFERROR(T553*INDEX(Variables!$B$7:$D$7,IFERROR(MATCH(IF($B553="Robusta","Robusta",(IF($B553="","Arabica",$B553))&amp;" - "&amp;(IF($C553="","Commercial",$C553))),Variables!$B$1:$D$1,0),1))*(AQ553/365),""))</f>
        <v/>
      </c>
      <c r="AS553" s="12">
        <f>IF($H553="Cancelled","",IFERROR((T553*INDEX(Variables!$B$7:$D$7,IFERROR(MATCH(IF($B553="Robusta","Robusta",(IF($B553="","Arabica",$B553))&amp;" - "&amp;(IF($C553="","Commercial",$C553))),Variables!$B$1:$D$1,0),1))*IFERROR(IF(W553="","",(AVERAGE(E553:F553)-W553)-Variables!$B$14),"")/365)+(L553/16.67*INDEX(Variables!$B$8:$D$8,IFERROR(MATCH(IF($B553="Robusta","Robusta",(IF($B553="","Arabica",$B553))&amp;" - "&amp;(IF($C553="","Commercial",$C553))),Variables!$B$1:$D$1,0),1))*IFERROR(IF(W553="","",(AVERAGE(E553:F553)-W553)-Variables!$B$14),""))+(T553*INDEX(Variables!$B$9:$D$9,IFERROR(MATCH(IF($B553="Robusta","Robusta",(IF($B553="","Arabica",$B553))&amp;" - "&amp;(IF($C553="","Commercial",$C553))),Variables!$B$1:$D$1,0),1))*IFERROR(IF(W553="","",(AVERAGE(E553:F553)-W553)-Variables!$B$14),"")/365),""))</f>
        <v>701.57151190367199</v>
      </c>
      <c r="AT553" s="12">
        <f>IF($H553="Cancelled","",IFERROR((T553*INDEX(Variables!$B$7:$D$7,IFERROR(MATCH(IF($B553="Robusta","Robusta",(IF($B553="","Arabica",$B553))&amp;" - "&amp;(IF($C553="","Commercial",$C553))),Variables!$B$1:$D$1,0),1))*AC553/365)+(L553/16.67*INDEX(Variables!$B$8:$D$8,IFERROR(MATCH(IF($B553="Robusta","Robusta",(IF($B553="","Arabica",$B553))&amp;" - "&amp;(IF($C553="","Commercial",$C553))),Variables!$B$1:$D$1,0),1))*AC553)+(T553*INDEX(Variables!$B$9:$D$9,IFERROR(MATCH(IF($B553="Robusta","Robusta",(IF($B553="","Arabica",$B553))&amp;" - "&amp;(IF($C553="","Commercial",$C553))),Variables!$B$1:$D$1,0),1))*AC553/365),""))</f>
        <v>-964.66082886754907</v>
      </c>
      <c r="AU553" s="12">
        <f>IF($H553="Cancelled","",IFERROR((T553*INDEX(Variables!$B$7:$D$7,IFERROR(MATCH(IF($B553="Robusta","Robusta",(IF($B553="","Arabica",$B553))&amp;" - "&amp;(IF($C553="","Commercial",$C553))),Variables!$B$1:$D$1,0),1))*AP553/365)+(L553/16.67*INDEX(Variables!$B$8:$D$8,IFERROR(MATCH(IF($B553="Robusta","Robusta",(IF($B553="","Arabica",$B553))&amp;" - "&amp;(IF($C553="","Commercial",$C553))),Variables!$B$1:$D$1,0),1))*AP553)+(T553*INDEX(Variables!$B$9:$D$9,IFERROR(MATCH(IF($B553="Robusta","Robusta",(IF($B553="","Arabica",$B553))&amp;" - "&amp;(IF($C553="","Commercial",$C553))),Variables!$B$1:$D$1,0),1))*AP553/365),""))</f>
        <v>-1403.143023807344</v>
      </c>
      <c r="AV553" s="11">
        <f t="shared" si="59"/>
        <v>11</v>
      </c>
      <c r="AW553" s="12">
        <f>IF($H553="Cancelled","",IFERROR(IF(AV553="","",(T553*INDEX(Variables!$B$7:$D$7,IFERROR(MATCH(IF($B553="Robusta","Robusta",(IF($B553="","Arabica",$B553))&amp;" - "&amp;(IF($C553="","Commercial",$C553))),Variables!$B$1:$D$1,0),1))*(AV553/365))+(T553*INDEX(Variables!$B$9:$D$9,IFERROR(MATCH(IF($B553="Robusta","Robusta",(IF($B553="","Arabica",$B553))&amp;" - "&amp;(IF($C553="","Commercial",$C553))),Variables!$B$1:$D$1,0),1))*(AV553/365))+(INDEX(Variables!$B$8:$D$8,IFERROR(MATCH(IF($B553="Robusta","Robusta",(IF($B553="","Arabica",$B553))&amp;" - "&amp;(IF($C553="","Commercial",$C553))),Variables!$B$1:$D$1,0),1))*L553/16.67)),""))</f>
        <v>631.16082886754907</v>
      </c>
      <c r="AX553" s="9"/>
      <c r="AY553" s="12"/>
      <c r="AZ553" s="10"/>
      <c r="BA553" s="9"/>
      <c r="BB553" s="10"/>
      <c r="BC553" s="9"/>
      <c r="BD553" s="9"/>
      <c r="BE553" s="9"/>
      <c r="BF553" s="9"/>
    </row>
    <row r="554" spans="1:58" x14ac:dyDescent="0.25">
      <c r="A554" s="9" t="s">
        <v>84</v>
      </c>
      <c r="B554" s="9" t="s">
        <v>85</v>
      </c>
      <c r="C554" s="9" t="s">
        <v>86</v>
      </c>
      <c r="D554" s="10">
        <v>46006</v>
      </c>
      <c r="E554" s="10">
        <v>46082</v>
      </c>
      <c r="F554" s="10">
        <v>46112</v>
      </c>
      <c r="G554" s="9">
        <v>3787054</v>
      </c>
      <c r="H554" s="9" t="str">
        <f t="shared" si="57"/>
        <v>Open</v>
      </c>
      <c r="I554" s="9" t="str">
        <f t="shared" si="58"/>
        <v>No sailing date and No shipping advice sent and No docs dispatch date</v>
      </c>
      <c r="J554" s="9" t="s">
        <v>102</v>
      </c>
      <c r="K554" s="9">
        <v>5443</v>
      </c>
      <c r="L554" s="11">
        <v>720</v>
      </c>
      <c r="M554" s="9" t="s">
        <v>1381</v>
      </c>
      <c r="N554" s="9" t="s">
        <v>1130</v>
      </c>
      <c r="O554" s="9"/>
      <c r="P554" s="9"/>
      <c r="Q554" s="11">
        <v>86.5</v>
      </c>
      <c r="R554" s="9" t="s">
        <v>90</v>
      </c>
      <c r="S554" s="9" t="s">
        <v>1032</v>
      </c>
      <c r="T554" s="12">
        <f>IF($H554="Cancelled","",IFERROR(((Q554+INDEX(Variables!$B$6:$D$6,IFERROR(MATCH(IF($B554="Robusta","Robusta",(IF($B554="","Arabica",$B554))&amp;" - "&amp;(IF($C554="","Commercial",$C554))),Variables!$B$1:$D$1,0),1)))*22.0462)*(L554/16.67),""))</f>
        <v>359267.09701259743</v>
      </c>
      <c r="U554" s="10">
        <v>46097</v>
      </c>
      <c r="V554" s="9" t="str">
        <f t="shared" ref="V554:V578" si="61">IF(ISNUMBER(U554),"Sent","")</f>
        <v>Sent</v>
      </c>
      <c r="W554" s="10"/>
      <c r="X554" s="9" t="str">
        <f t="shared" ref="X554:X617" si="62">IF(ISNUMBER(W554),"Approved","")</f>
        <v/>
      </c>
      <c r="Y554" s="10"/>
      <c r="Z554" s="10">
        <f>IF($H554="Cancelled","",IFERROR(IF(F554="","",F554-Variables!$B$13),""))</f>
        <v>46097</v>
      </c>
      <c r="AA554" s="11" t="str">
        <f>IF($H554="Cancelled","",IFERROR(IF(W554="","",(AVERAGE(E554:F554)-W554)-Variables!$B$14),""))</f>
        <v/>
      </c>
      <c r="AB554" s="10"/>
      <c r="AC554" s="11" t="str">
        <f>IF($H554="Cancelled","",IFERROR(IF(AB554="","",IF(AND(W554="",Y554=""),"",IF(Y554&gt;W554,Y554+Variables!$B$15+Variables!$B$16+Variables!$B$17-AB554,W554+Variables!$B$16+Variables!$B$17-AB554))),""))</f>
        <v/>
      </c>
      <c r="AD554" s="9" t="s">
        <v>107</v>
      </c>
      <c r="AE554" s="9"/>
      <c r="AF554" s="10"/>
      <c r="AG554" s="10"/>
      <c r="AH554" s="9"/>
      <c r="AI554" s="9"/>
      <c r="AJ554" s="9"/>
      <c r="AK554" s="10"/>
      <c r="AL554" s="10"/>
      <c r="AM554" s="10"/>
      <c r="AN554" s="9" t="s">
        <v>1382</v>
      </c>
      <c r="AO554" s="9"/>
      <c r="AP554" s="11" t="str">
        <f>IF($H554="Cancelled","",IFERROR(IF(OR(AK554="",AB554=""),"",(AB554+Variables!$B$18-AK554)),""))</f>
        <v/>
      </c>
      <c r="AQ554" s="11" t="str">
        <f>IF($H554="Cancelled","",IFERROR(IF(OR(AM554="",AK554=""),"",(AK554+Variables!$B$19)-AM554),""))</f>
        <v/>
      </c>
      <c r="AR554" s="12" t="str">
        <f>IF($H554="Cancelled","",IFERROR(T554*INDEX(Variables!$B$7:$D$7,IFERROR(MATCH(IF($B554="Robusta","Robusta",(IF($B554="","Arabica",$B554))&amp;" - "&amp;(IF($C554="","Commercial",$C554))),Variables!$B$1:$D$1,0),1))*(AQ554/365),""))</f>
        <v/>
      </c>
      <c r="AS554" s="12" t="str">
        <f>IF($H554="Cancelled","",IFERROR((T554*INDEX(Variables!$B$7:$D$7,IFERROR(MATCH(IF($B554="Robusta","Robusta",(IF($B554="","Arabica",$B554))&amp;" - "&amp;(IF($C554="","Commercial",$C554))),Variables!$B$1:$D$1,0),1))*IFERROR(IF(W554="","",(AVERAGE(E554:F554)-W554)-Variables!$B$14),"")/365)+(L554/16.67*INDEX(Variables!$B$8:$D$8,IFERROR(MATCH(IF($B554="Robusta","Robusta",(IF($B554="","Arabica",$B554))&amp;" - "&amp;(IF($C554="","Commercial",$C554))),Variables!$B$1:$D$1,0),1))*IFERROR(IF(W554="","",(AVERAGE(E554:F554)-W554)-Variables!$B$14),""))+(T554*INDEX(Variables!$B$9:$D$9,IFERROR(MATCH(IF($B554="Robusta","Robusta",(IF($B554="","Arabica",$B554))&amp;" - "&amp;(IF($C554="","Commercial",$C554))),Variables!$B$1:$D$1,0),1))*IFERROR(IF(W554="","",(AVERAGE(E554:F554)-W554)-Variables!$B$14),"")/365),""))</f>
        <v/>
      </c>
      <c r="AT554" s="12" t="str">
        <f>IF($H554="Cancelled","",IFERROR((T554*INDEX(Variables!$B$7:$D$7,IFERROR(MATCH(IF($B554="Robusta","Robusta",(IF($B554="","Arabica",$B554))&amp;" - "&amp;(IF($C554="","Commercial",$C554))),Variables!$B$1:$D$1,0),1))*AC554/365)+(L554/16.67*INDEX(Variables!$B$8:$D$8,IFERROR(MATCH(IF($B554="Robusta","Robusta",(IF($B554="","Arabica",$B554))&amp;" - "&amp;(IF($C554="","Commercial",$C554))),Variables!$B$1:$D$1,0),1))*AC554)+(T554*INDEX(Variables!$B$9:$D$9,IFERROR(MATCH(IF($B554="Robusta","Robusta",(IF($B554="","Arabica",$B554))&amp;" - "&amp;(IF($C554="","Commercial",$C554))),Variables!$B$1:$D$1,0),1))*AC554/365),""))</f>
        <v/>
      </c>
      <c r="AU554" s="12" t="str">
        <f>IF($H554="Cancelled","",IFERROR((T554*INDEX(Variables!$B$7:$D$7,IFERROR(MATCH(IF($B554="Robusta","Robusta",(IF($B554="","Arabica",$B554))&amp;" - "&amp;(IF($C554="","Commercial",$C554))),Variables!$B$1:$D$1,0),1))*AP554/365)+(L554/16.67*INDEX(Variables!$B$8:$D$8,IFERROR(MATCH(IF($B554="Robusta","Robusta",(IF($B554="","Arabica",$B554))&amp;" - "&amp;(IF($C554="","Commercial",$C554))),Variables!$B$1:$D$1,0),1))*AP554)+(T554*INDEX(Variables!$B$9:$D$9,IFERROR(MATCH(IF($B554="Robusta","Robusta",(IF($B554="","Arabica",$B554))&amp;" - "&amp;(IF($C554="","Commercial",$C554))),Variables!$B$1:$D$1,0),1))*AP554/365),""))</f>
        <v/>
      </c>
      <c r="AV554" s="11" t="str">
        <f t="shared" si="59"/>
        <v/>
      </c>
      <c r="AW554" s="12" t="str">
        <f>IF($H554="Cancelled","",IFERROR(IF(AV554="","",(T554*INDEX(Variables!$B$7:$D$7,IFERROR(MATCH(IF($B554="Robusta","Robusta",(IF($B554="","Arabica",$B554))&amp;" - "&amp;(IF($C554="","Commercial",$C554))),Variables!$B$1:$D$1,0),1))*(AV554/365))+(T554*INDEX(Variables!$B$9:$D$9,IFERROR(MATCH(IF($B554="Robusta","Robusta",(IF($B554="","Arabica",$B554))&amp;" - "&amp;(IF($C554="","Commercial",$C554))),Variables!$B$1:$D$1,0),1))*(AV554/365))+(INDEX(Variables!$B$8:$D$8,IFERROR(MATCH(IF($B554="Robusta","Robusta",(IF($B554="","Arabica",$B554))&amp;" - "&amp;(IF($C554="","Commercial",$C554))),Variables!$B$1:$D$1,0),1))*L554/16.67)),""))</f>
        <v/>
      </c>
      <c r="AX554" s="9"/>
      <c r="AY554" s="12"/>
      <c r="AZ554" s="10"/>
      <c r="BA554" s="9"/>
      <c r="BB554" s="10"/>
      <c r="BC554" s="9"/>
      <c r="BD554" s="9"/>
      <c r="BE554" s="9"/>
      <c r="BF554" s="9"/>
    </row>
    <row r="555" spans="1:58" x14ac:dyDescent="0.25">
      <c r="A555" s="9" t="s">
        <v>84</v>
      </c>
      <c r="B555" s="9" t="s">
        <v>85</v>
      </c>
      <c r="C555" s="9" t="s">
        <v>86</v>
      </c>
      <c r="D555" s="10">
        <v>46034</v>
      </c>
      <c r="E555" s="10">
        <v>46082</v>
      </c>
      <c r="F555" s="10">
        <v>46112</v>
      </c>
      <c r="G555" s="9">
        <v>3787092</v>
      </c>
      <c r="H555" s="9" t="str">
        <f t="shared" si="57"/>
        <v>Open</v>
      </c>
      <c r="I555" s="9" t="str">
        <f t="shared" si="58"/>
        <v>No docs dispatch date</v>
      </c>
      <c r="J555" s="9" t="s">
        <v>102</v>
      </c>
      <c r="K555" s="9" t="s">
        <v>1383</v>
      </c>
      <c r="L555" s="11">
        <v>667</v>
      </c>
      <c r="M555" s="9" t="s">
        <v>1260</v>
      </c>
      <c r="N555" s="9" t="s">
        <v>432</v>
      </c>
      <c r="O555" s="9"/>
      <c r="P555" s="9"/>
      <c r="Q555" s="11">
        <v>53</v>
      </c>
      <c r="R555" s="9" t="s">
        <v>90</v>
      </c>
      <c r="S555" s="9" t="s">
        <v>753</v>
      </c>
      <c r="T555" s="12">
        <f>IF($H555="Cancelled","",IFERROR(((Q555+INDEX(Variables!$B$6:$D$6,IFERROR(MATCH(IF($B555="Robusta","Robusta",(IF($B555="","Arabica",$B555))&amp;" - "&amp;(IF($C555="","Commercial",$C555))),Variables!$B$1:$D$1,0),1)))*22.0462)*(L555/16.67),""))</f>
        <v>303270.27801559685</v>
      </c>
      <c r="U555" s="10">
        <v>46051</v>
      </c>
      <c r="V555" s="9" t="str">
        <f t="shared" si="61"/>
        <v>Sent</v>
      </c>
      <c r="W555" s="10">
        <v>46058</v>
      </c>
      <c r="X555" s="9" t="str">
        <f t="shared" si="62"/>
        <v>Approved</v>
      </c>
      <c r="Y555" s="10"/>
      <c r="Z555" s="10">
        <f>IF($H555="Cancelled","",IFERROR(IF(F555="","",F555-Variables!$B$13),""))</f>
        <v>46097</v>
      </c>
      <c r="AA555" s="11">
        <f>IF($H555="Cancelled","",IFERROR(IF(W555="","",(AVERAGE(E555:F555)-W555)-Variables!$B$14),""))</f>
        <v>9</v>
      </c>
      <c r="AB555" s="10">
        <v>46094</v>
      </c>
      <c r="AC555" s="11">
        <f>IF($H555="Cancelled","",IFERROR(IF(AB555="","",IF(AND(W555="",Y555=""),"",IF(Y555&gt;W555,Y555+Variables!$B$15+Variables!$B$16+Variables!$B$17-AB555,W555+Variables!$B$16+Variables!$B$17-AB555))),""))</f>
        <v>-28</v>
      </c>
      <c r="AD555" s="9" t="s">
        <v>163</v>
      </c>
      <c r="AE555" s="9" t="s">
        <v>1384</v>
      </c>
      <c r="AF555" s="10">
        <v>46143</v>
      </c>
      <c r="AG555" s="10"/>
      <c r="AH555" s="9"/>
      <c r="AI555" s="9">
        <v>267083936</v>
      </c>
      <c r="AJ555" s="9"/>
      <c r="AK555" s="10">
        <v>46101</v>
      </c>
      <c r="AL555" s="10">
        <v>46108</v>
      </c>
      <c r="AM555" s="10"/>
      <c r="AN555" s="9" t="s">
        <v>1282</v>
      </c>
      <c r="AO555" s="9"/>
      <c r="AP555" s="11">
        <f>IF($H555="Cancelled","",IFERROR(IF(OR(AK555="",AB555=""),"",(AB555+Variables!$B$18-AK555)),""))</f>
        <v>0</v>
      </c>
      <c r="AQ555" s="11" t="str">
        <f>IF($H555="Cancelled","",IFERROR(IF(OR(AM555="",AK555=""),"",(AK555+Variables!$B$19)-AM555),""))</f>
        <v/>
      </c>
      <c r="AR555" s="12" t="str">
        <f>IF($H555="Cancelled","",IFERROR(T555*INDEX(Variables!$B$7:$D$7,IFERROR(MATCH(IF($B555="Robusta","Robusta",(IF($B555="","Arabica",$B555))&amp;" - "&amp;(IF($C555="","Commercial",$C555))),Variables!$B$1:$D$1,0),1))*(AQ555/365),""))</f>
        <v/>
      </c>
      <c r="AS555" s="12">
        <f>IF($H555="Cancelled","",IFERROR((T555*INDEX(Variables!$B$7:$D$7,IFERROR(MATCH(IF($B555="Robusta","Robusta",(IF($B555="","Arabica",$B555))&amp;" - "&amp;(IF($C555="","Commercial",$C555))),Variables!$B$1:$D$1,0),1))*IFERROR(IF(W555="","",(AVERAGE(E555:F555)-W555)-Variables!$B$14),"")/365)+(L555/16.67*INDEX(Variables!$B$8:$D$8,IFERROR(MATCH(IF($B555="Robusta","Robusta",(IF($B555="","Arabica",$B555))&amp;" - "&amp;(IF($C555="","Commercial",$C555))),Variables!$B$1:$D$1,0),1))*IFERROR(IF(W555="","",(AVERAGE(E555:F555)-W555)-Variables!$B$14),""))+(T555*INDEX(Variables!$B$9:$D$9,IFERROR(MATCH(IF($B555="Robusta","Robusta",(IF($B555="","Arabica",$B555))&amp;" - "&amp;(IF($C555="","Commercial",$C555))),Variables!$B$1:$D$1,0),1))*IFERROR(IF(W555="","",(AVERAGE(E555:F555)-W555)-Variables!$B$14),"")/365),""))</f>
        <v>788.55764309190454</v>
      </c>
      <c r="AT555" s="12">
        <f>IF($H555="Cancelled","",IFERROR((T555*INDEX(Variables!$B$7:$D$7,IFERROR(MATCH(IF($B555="Robusta","Robusta",(IF($B555="","Arabica",$B555))&amp;" - "&amp;(IF($C555="","Commercial",$C555))),Variables!$B$1:$D$1,0),1))*AC555/365)+(L555/16.67*INDEX(Variables!$B$8:$D$8,IFERROR(MATCH(IF($B555="Robusta","Robusta",(IF($B555="","Arabica",$B555))&amp;" - "&amp;(IF($C555="","Commercial",$C555))),Variables!$B$1:$D$1,0),1))*AC555)+(T555*INDEX(Variables!$B$9:$D$9,IFERROR(MATCH(IF($B555="Robusta","Robusta",(IF($B555="","Arabica",$B555))&amp;" - "&amp;(IF($C555="","Commercial",$C555))),Variables!$B$1:$D$1,0),1))*AC555/365),""))</f>
        <v>-2453.2904451748145</v>
      </c>
      <c r="AU555" s="12">
        <f>IF($H555="Cancelled","",IFERROR((T555*INDEX(Variables!$B$7:$D$7,IFERROR(MATCH(IF($B555="Robusta","Robusta",(IF($B555="","Arabica",$B555))&amp;" - "&amp;(IF($C555="","Commercial",$C555))),Variables!$B$1:$D$1,0),1))*AP555/365)+(L555/16.67*INDEX(Variables!$B$8:$D$8,IFERROR(MATCH(IF($B555="Robusta","Robusta",(IF($B555="","Arabica",$B555))&amp;" - "&amp;(IF($C555="","Commercial",$C555))),Variables!$B$1:$D$1,0),1))*AP555)+(T555*INDEX(Variables!$B$9:$D$9,IFERROR(MATCH(IF($B555="Robusta","Robusta",(IF($B555="","Arabica",$B555))&amp;" - "&amp;(IF($C555="","Commercial",$C555))),Variables!$B$1:$D$1,0),1))*AP555/365),""))</f>
        <v>0</v>
      </c>
      <c r="AV555" s="11">
        <f t="shared" si="59"/>
        <v>11</v>
      </c>
      <c r="AW555" s="12">
        <f>IF($H555="Cancelled","",IFERROR(IF(AV555="","",(T555*INDEX(Variables!$B$7:$D$7,IFERROR(MATCH(IF($B555="Robusta","Robusta",(IF($B555="","Arabica",$B555))&amp;" - "&amp;(IF($C555="","Commercial",$C555))),Variables!$B$1:$D$1,0),1))*(AV555/365))+(T555*INDEX(Variables!$B$9:$D$9,IFERROR(MATCH(IF($B555="Robusta","Robusta",(IF($B555="","Arabica",$B555))&amp;" - "&amp;(IF($C555="","Commercial",$C555))),Variables!$B$1:$D$1,0),1))*(AV555/365))+(INDEX(Variables!$B$8:$D$8,IFERROR(MATCH(IF($B555="Robusta","Robusta",(IF($B555="","Arabica",$B555))&amp;" - "&amp;(IF($C555="","Commercial",$C555))),Variables!$B$1:$D$1,0),1))*L555/16.67)),""))</f>
        <v>630.29267489010567</v>
      </c>
      <c r="AX555" s="9"/>
      <c r="AY555" s="12"/>
      <c r="AZ555" s="10"/>
      <c r="BA555" s="9"/>
      <c r="BB555" s="10"/>
      <c r="BC555" s="9"/>
      <c r="BD555" s="9"/>
      <c r="BE555" s="9"/>
      <c r="BF555" s="9"/>
    </row>
    <row r="556" spans="1:58" x14ac:dyDescent="0.25">
      <c r="A556" s="9" t="s">
        <v>84</v>
      </c>
      <c r="B556" s="9" t="s">
        <v>85</v>
      </c>
      <c r="C556" s="9" t="s">
        <v>86</v>
      </c>
      <c r="D556" s="10">
        <v>46034</v>
      </c>
      <c r="E556" s="10">
        <v>46082</v>
      </c>
      <c r="F556" s="10">
        <v>46112</v>
      </c>
      <c r="G556" s="9">
        <v>3787092</v>
      </c>
      <c r="H556" s="9" t="str">
        <f t="shared" si="57"/>
        <v>Open</v>
      </c>
      <c r="I556" s="9" t="str">
        <f t="shared" si="58"/>
        <v>No docs dispatch date</v>
      </c>
      <c r="J556" s="9" t="s">
        <v>102</v>
      </c>
      <c r="K556" s="9" t="s">
        <v>1385</v>
      </c>
      <c r="L556" s="11">
        <v>1000</v>
      </c>
      <c r="M556" s="9" t="s">
        <v>1260</v>
      </c>
      <c r="N556" s="9" t="s">
        <v>432</v>
      </c>
      <c r="O556" s="9"/>
      <c r="P556" s="9"/>
      <c r="Q556" s="11">
        <v>53</v>
      </c>
      <c r="R556" s="9" t="s">
        <v>90</v>
      </c>
      <c r="S556" s="9" t="s">
        <v>465</v>
      </c>
      <c r="T556" s="12">
        <f>IF($H556="Cancelled","",IFERROR(((Q556+INDEX(Variables!$B$6:$D$6,IFERROR(MATCH(IF($B556="Robusta","Robusta",(IF($B556="","Arabica",$B556))&amp;" - "&amp;(IF($C556="","Commercial",$C556))),Variables!$B$1:$D$1,0),1)))*22.0462)*(L556/16.67),""))</f>
        <v>454678.07798440306</v>
      </c>
      <c r="U556" s="10">
        <v>46051</v>
      </c>
      <c r="V556" s="9" t="str">
        <f t="shared" si="61"/>
        <v>Sent</v>
      </c>
      <c r="W556" s="10">
        <v>46058</v>
      </c>
      <c r="X556" s="9" t="str">
        <f t="shared" si="62"/>
        <v>Approved</v>
      </c>
      <c r="Y556" s="10"/>
      <c r="Z556" s="10">
        <f>IF($H556="Cancelled","",IFERROR(IF(F556="","",F556-Variables!$B$13),""))</f>
        <v>46097</v>
      </c>
      <c r="AA556" s="11">
        <f>IF($H556="Cancelled","",IFERROR(IF(W556="","",(AVERAGE(E556:F556)-W556)-Variables!$B$14),""))</f>
        <v>9</v>
      </c>
      <c r="AB556" s="10">
        <v>46092</v>
      </c>
      <c r="AC556" s="11">
        <f>IF($H556="Cancelled","",IFERROR(IF(AB556="","",IF(AND(W556="",Y556=""),"",IF(Y556&gt;W556,Y556+Variables!$B$15+Variables!$B$16+Variables!$B$17-AB556,W556+Variables!$B$16+Variables!$B$17-AB556))),""))</f>
        <v>-26</v>
      </c>
      <c r="AD556" s="9" t="s">
        <v>1224</v>
      </c>
      <c r="AE556" s="9" t="s">
        <v>1386</v>
      </c>
      <c r="AF556" s="10">
        <v>46164</v>
      </c>
      <c r="AG556" s="10"/>
      <c r="AH556" s="9"/>
      <c r="AI556" s="9" t="s">
        <v>1387</v>
      </c>
      <c r="AJ556" s="9"/>
      <c r="AK556" s="10">
        <v>46104</v>
      </c>
      <c r="AL556" s="10">
        <v>46112</v>
      </c>
      <c r="AM556" s="10"/>
      <c r="AN556" s="9" t="s">
        <v>1282</v>
      </c>
      <c r="AO556" s="9"/>
      <c r="AP556" s="11">
        <f>IF($H556="Cancelled","",IFERROR(IF(OR(AK556="",AB556=""),"",(AB556+Variables!$B$18-AK556)),""))</f>
        <v>-5</v>
      </c>
      <c r="AQ556" s="11" t="str">
        <f>IF($H556="Cancelled","",IFERROR(IF(OR(AM556="",AK556=""),"",(AK556+Variables!$B$19)-AM556),""))</f>
        <v/>
      </c>
      <c r="AR556" s="12" t="str">
        <f>IF($H556="Cancelled","",IFERROR(T556*INDEX(Variables!$B$7:$D$7,IFERROR(MATCH(IF($B556="Robusta","Robusta",(IF($B556="","Arabica",$B556))&amp;" - "&amp;(IF($C556="","Commercial",$C556))),Variables!$B$1:$D$1,0),1))*(AQ556/365),""))</f>
        <v/>
      </c>
      <c r="AS556" s="12">
        <f>IF($H556="Cancelled","",IFERROR((T556*INDEX(Variables!$B$7:$D$7,IFERROR(MATCH(IF($B556="Robusta","Robusta",(IF($B556="","Arabica",$B556))&amp;" - "&amp;(IF($C556="","Commercial",$C556))),Variables!$B$1:$D$1,0),1))*IFERROR(IF(W556="","",(AVERAGE(E556:F556)-W556)-Variables!$B$14),"")/365)+(L556/16.67*INDEX(Variables!$B$8:$D$8,IFERROR(MATCH(IF($B556="Robusta","Robusta",(IF($B556="","Arabica",$B556))&amp;" - "&amp;(IF($C556="","Commercial",$C556))),Variables!$B$1:$D$1,0),1))*IFERROR(IF(W556="","",(AVERAGE(E556:F556)-W556)-Variables!$B$14),""))+(T556*INDEX(Variables!$B$9:$D$9,IFERROR(MATCH(IF($B556="Robusta","Robusta",(IF($B556="","Arabica",$B556))&amp;" - "&amp;(IF($C556="","Commercial",$C556))),Variables!$B$1:$D$1,0),1))*IFERROR(IF(W556="","",(AVERAGE(E556:F556)-W556)-Variables!$B$14),"")/365),""))</f>
        <v>1182.2453419668734</v>
      </c>
      <c r="AT556" s="12">
        <f>IF($H556="Cancelled","",IFERROR((T556*INDEX(Variables!$B$7:$D$7,IFERROR(MATCH(IF($B556="Robusta","Robusta",(IF($B556="","Arabica",$B556))&amp;" - "&amp;(IF($C556="","Commercial",$C556))),Variables!$B$1:$D$1,0),1))*AC556/365)+(L556/16.67*INDEX(Variables!$B$8:$D$8,IFERROR(MATCH(IF($B556="Robusta","Robusta",(IF($B556="","Arabica",$B556))&amp;" - "&amp;(IF($C556="","Commercial",$C556))),Variables!$B$1:$D$1,0),1))*AC556)+(T556*INDEX(Variables!$B$9:$D$9,IFERROR(MATCH(IF($B556="Robusta","Robusta",(IF($B556="","Arabica",$B556))&amp;" - "&amp;(IF($C556="","Commercial",$C556))),Variables!$B$1:$D$1,0),1))*AC556/365),""))</f>
        <v>-3415.375432348746</v>
      </c>
      <c r="AU556" s="12">
        <f>IF($H556="Cancelled","",IFERROR((T556*INDEX(Variables!$B$7:$D$7,IFERROR(MATCH(IF($B556="Robusta","Robusta",(IF($B556="","Arabica",$B556))&amp;" - "&amp;(IF($C556="","Commercial",$C556))),Variables!$B$1:$D$1,0),1))*AP556/365)+(L556/16.67*INDEX(Variables!$B$8:$D$8,IFERROR(MATCH(IF($B556="Robusta","Robusta",(IF($B556="","Arabica",$B556))&amp;" - "&amp;(IF($C556="","Commercial",$C556))),Variables!$B$1:$D$1,0),1))*AP556)+(T556*INDEX(Variables!$B$9:$D$9,IFERROR(MATCH(IF($B556="Robusta","Robusta",(IF($B556="","Arabica",$B556))&amp;" - "&amp;(IF($C556="","Commercial",$C556))),Variables!$B$1:$D$1,0),1))*AP556/365),""))</f>
        <v>-656.80296775937404</v>
      </c>
      <c r="AV556" s="11">
        <f t="shared" si="59"/>
        <v>8</v>
      </c>
      <c r="AW556" s="12">
        <f>IF($H556="Cancelled","",IFERROR(IF(AV556="","",(T556*INDEX(Variables!$B$7:$D$7,IFERROR(MATCH(IF($B556="Robusta","Robusta",(IF($B556="","Arabica",$B556))&amp;" - "&amp;(IF($C556="","Commercial",$C556))),Variables!$B$1:$D$1,0),1))*(AV556/365))+(T556*INDEX(Variables!$B$9:$D$9,IFERROR(MATCH(IF($B556="Robusta","Robusta",(IF($B556="","Arabica",$B556))&amp;" - "&amp;(IF($C556="","Commercial",$C556))),Variables!$B$1:$D$1,0),1))*(AV556/365))+(INDEX(Variables!$B$8:$D$8,IFERROR(MATCH(IF($B556="Robusta","Robusta",(IF($B556="","Arabica",$B556))&amp;" - "&amp;(IF($C556="","Commercial",$C556))),Variables!$B$1:$D$1,0),1))*L556/16.67)),""))</f>
        <v>700.88474841499863</v>
      </c>
      <c r="AX556" s="9"/>
      <c r="AY556" s="12"/>
      <c r="AZ556" s="10"/>
      <c r="BA556" s="9"/>
      <c r="BB556" s="10"/>
      <c r="BC556" s="9"/>
      <c r="BD556" s="9"/>
      <c r="BE556" s="9"/>
      <c r="BF556" s="9"/>
    </row>
    <row r="557" spans="1:58" x14ac:dyDescent="0.25">
      <c r="A557" s="9" t="s">
        <v>84</v>
      </c>
      <c r="B557" s="9" t="s">
        <v>85</v>
      </c>
      <c r="C557" s="9" t="s">
        <v>86</v>
      </c>
      <c r="D557" s="10">
        <v>46034</v>
      </c>
      <c r="E557" s="10">
        <v>46082</v>
      </c>
      <c r="F557" s="10">
        <v>46112</v>
      </c>
      <c r="G557" s="9">
        <v>3787093</v>
      </c>
      <c r="H557" s="9" t="str">
        <f t="shared" si="57"/>
        <v>Open</v>
      </c>
      <c r="I557" s="9" t="str">
        <f t="shared" si="58"/>
        <v>No docs dispatch date</v>
      </c>
      <c r="J557" s="9" t="s">
        <v>102</v>
      </c>
      <c r="K557" s="9">
        <v>5420</v>
      </c>
      <c r="L557" s="11">
        <v>1667</v>
      </c>
      <c r="M557" s="9" t="s">
        <v>1388</v>
      </c>
      <c r="N557" s="9" t="s">
        <v>432</v>
      </c>
      <c r="O557" s="9"/>
      <c r="P557" s="9"/>
      <c r="Q557" s="11">
        <v>53</v>
      </c>
      <c r="R557" s="9" t="s">
        <v>90</v>
      </c>
      <c r="S557" s="9" t="s">
        <v>462</v>
      </c>
      <c r="T557" s="12">
        <f>IF($H557="Cancelled","",IFERROR(((Q557+INDEX(Variables!$B$6:$D$6,IFERROR(MATCH(IF($B557="Robusta","Robusta",(IF($B557="","Arabica",$B557))&amp;" - "&amp;(IF($C557="","Commercial",$C557))),Variables!$B$1:$D$1,0),1)))*22.0462)*(L557/16.67),""))</f>
        <v>757948.35599999991</v>
      </c>
      <c r="U557" s="10">
        <v>46051</v>
      </c>
      <c r="V557" s="9" t="str">
        <f t="shared" si="61"/>
        <v>Sent</v>
      </c>
      <c r="W557" s="10">
        <v>46058</v>
      </c>
      <c r="X557" s="9" t="str">
        <f t="shared" si="62"/>
        <v>Approved</v>
      </c>
      <c r="Y557" s="10"/>
      <c r="Z557" s="10">
        <f>IF($H557="Cancelled","",IFERROR(IF(F557="","",F557-Variables!$B$13),""))</f>
        <v>46097</v>
      </c>
      <c r="AA557" s="11">
        <f>IF($H557="Cancelled","",IFERROR(IF(W557="","",(AVERAGE(E557:F557)-W557)-Variables!$B$14),""))</f>
        <v>9</v>
      </c>
      <c r="AB557" s="10">
        <v>46091</v>
      </c>
      <c r="AC557" s="11">
        <f>IF($H557="Cancelled","",IFERROR(IF(AB557="","",IF(AND(W557="",Y557=""),"",IF(Y557&gt;W557,Y557+Variables!$B$15+Variables!$B$16+Variables!$B$17-AB557,W557+Variables!$B$16+Variables!$B$17-AB557))),""))</f>
        <v>-25</v>
      </c>
      <c r="AD557" s="9" t="s">
        <v>163</v>
      </c>
      <c r="AE557" s="9" t="s">
        <v>1389</v>
      </c>
      <c r="AF557" s="10">
        <v>46144</v>
      </c>
      <c r="AG557" s="10"/>
      <c r="AH557" s="9"/>
      <c r="AI557" s="9">
        <v>266894610</v>
      </c>
      <c r="AJ557" s="9"/>
      <c r="AK557" s="10">
        <v>46101</v>
      </c>
      <c r="AL557" s="10">
        <v>46108</v>
      </c>
      <c r="AM557" s="10"/>
      <c r="AN557" s="9" t="s">
        <v>1282</v>
      </c>
      <c r="AO557" s="9"/>
      <c r="AP557" s="11">
        <f>IF($H557="Cancelled","",IFERROR(IF(OR(AK557="",AB557=""),"",(AB557+Variables!$B$18-AK557)),""))</f>
        <v>-3</v>
      </c>
      <c r="AQ557" s="11" t="str">
        <f>IF($H557="Cancelled","",IFERROR(IF(OR(AM557="",AK557=""),"",(AK557+Variables!$B$19)-AM557),""))</f>
        <v/>
      </c>
      <c r="AR557" s="12" t="str">
        <f>IF($H557="Cancelled","",IFERROR(T557*INDEX(Variables!$B$7:$D$7,IFERROR(MATCH(IF($B557="Robusta","Robusta",(IF($B557="","Arabica",$B557))&amp;" - "&amp;(IF($C557="","Commercial",$C557))),Variables!$B$1:$D$1,0),1))*(AQ557/365),""))</f>
        <v/>
      </c>
      <c r="AS557" s="12">
        <f>IF($H557="Cancelled","",IFERROR((T557*INDEX(Variables!$B$7:$D$7,IFERROR(MATCH(IF($B557="Robusta","Robusta",(IF($B557="","Arabica",$B557))&amp;" - "&amp;(IF($C557="","Commercial",$C557))),Variables!$B$1:$D$1,0),1))*IFERROR(IF(W557="","",(AVERAGE(E557:F557)-W557)-Variables!$B$14),"")/365)+(L557/16.67*INDEX(Variables!$B$8:$D$8,IFERROR(MATCH(IF($B557="Robusta","Robusta",(IF($B557="","Arabica",$B557))&amp;" - "&amp;(IF($C557="","Commercial",$C557))),Variables!$B$1:$D$1,0),1))*IFERROR(IF(W557="","",(AVERAGE(E557:F557)-W557)-Variables!$B$14),""))+(T557*INDEX(Variables!$B$9:$D$9,IFERROR(MATCH(IF($B557="Robusta","Robusta",(IF($B557="","Arabica",$B557))&amp;" - "&amp;(IF($C557="","Commercial",$C557))),Variables!$B$1:$D$1,0),1))*IFERROR(IF(W557="","",(AVERAGE(E557:F557)-W557)-Variables!$B$14),"")/365),""))</f>
        <v>1970.8029850587779</v>
      </c>
      <c r="AT557" s="12">
        <f>IF($H557="Cancelled","",IFERROR((T557*INDEX(Variables!$B$7:$D$7,IFERROR(MATCH(IF($B557="Robusta","Robusta",(IF($B557="","Arabica",$B557))&amp;" - "&amp;(IF($C557="","Commercial",$C557))),Variables!$B$1:$D$1,0),1))*AC557/365)+(L557/16.67*INDEX(Variables!$B$8:$D$8,IFERROR(MATCH(IF($B557="Robusta","Robusta",(IF($B557="","Arabica",$B557))&amp;" - "&amp;(IF($C557="","Commercial",$C557))),Variables!$B$1:$D$1,0),1))*AC557)+(T557*INDEX(Variables!$B$9:$D$9,IFERROR(MATCH(IF($B557="Robusta","Robusta",(IF($B557="","Arabica",$B557))&amp;" - "&amp;(IF($C557="","Commercial",$C557))),Variables!$B$1:$D$1,0),1))*AC557/365),""))</f>
        <v>-5474.4527362743838</v>
      </c>
      <c r="AU557" s="12">
        <f>IF($H557="Cancelled","",IFERROR((T557*INDEX(Variables!$B$7:$D$7,IFERROR(MATCH(IF($B557="Robusta","Robusta",(IF($B557="","Arabica",$B557))&amp;" - "&amp;(IF($C557="","Commercial",$C557))),Variables!$B$1:$D$1,0),1))*AP557/365)+(L557/16.67*INDEX(Variables!$B$8:$D$8,IFERROR(MATCH(IF($B557="Robusta","Robusta",(IF($B557="","Arabica",$B557))&amp;" - "&amp;(IF($C557="","Commercial",$C557))),Variables!$B$1:$D$1,0),1))*AP557)+(T557*INDEX(Variables!$B$9:$D$9,IFERROR(MATCH(IF($B557="Robusta","Robusta",(IF($B557="","Arabica",$B557))&amp;" - "&amp;(IF($C557="","Commercial",$C557))),Variables!$B$1:$D$1,0),1))*AP557/365),""))</f>
        <v>-656.93432835292606</v>
      </c>
      <c r="AV557" s="11">
        <f t="shared" si="59"/>
        <v>11</v>
      </c>
      <c r="AW557" s="12">
        <f>IF($H557="Cancelled","",IFERROR(IF(AV557="","",(T557*INDEX(Variables!$B$7:$D$7,IFERROR(MATCH(IF($B557="Robusta","Robusta",(IF($B557="","Arabica",$B557))&amp;" - "&amp;(IF($C557="","Commercial",$C557))),Variables!$B$1:$D$1,0),1))*(AV557/365))+(T557*INDEX(Variables!$B$9:$D$9,IFERROR(MATCH(IF($B557="Robusta","Robusta",(IF($B557="","Arabica",$B557))&amp;" - "&amp;(IF($C557="","Commercial",$C557))),Variables!$B$1:$D$1,0),1))*(AV557/365))+(INDEX(Variables!$B$8:$D$8,IFERROR(MATCH(IF($B557="Robusta","Robusta",(IF($B557="","Arabica",$B557))&amp;" - "&amp;(IF($C557="","Commercial",$C557))),Variables!$B$1:$D$1,0),1))*L557/16.67)),""))</f>
        <v>1575.2592039607289</v>
      </c>
      <c r="AX557" s="9"/>
      <c r="AY557" s="12"/>
      <c r="AZ557" s="10"/>
      <c r="BA557" s="9"/>
      <c r="BB557" s="10"/>
      <c r="BC557" s="9"/>
      <c r="BD557" s="9"/>
      <c r="BE557" s="9"/>
      <c r="BF557" s="9"/>
    </row>
    <row r="558" spans="1:58" x14ac:dyDescent="0.25">
      <c r="A558" s="9" t="s">
        <v>84</v>
      </c>
      <c r="B558" s="9" t="s">
        <v>85</v>
      </c>
      <c r="C558" s="9" t="s">
        <v>86</v>
      </c>
      <c r="D558" s="10">
        <v>46035</v>
      </c>
      <c r="E558" s="10">
        <v>46054</v>
      </c>
      <c r="F558" s="10">
        <v>46081</v>
      </c>
      <c r="G558" s="9">
        <v>3787098</v>
      </c>
      <c r="H558" s="9" t="str">
        <f t="shared" si="57"/>
        <v>Closed</v>
      </c>
      <c r="I558" s="9" t="str">
        <f t="shared" si="58"/>
        <v>All dates received</v>
      </c>
      <c r="J558" s="9" t="s">
        <v>308</v>
      </c>
      <c r="K558" s="9">
        <v>5399</v>
      </c>
      <c r="L558" s="11">
        <v>2160</v>
      </c>
      <c r="M558" s="9" t="s">
        <v>1390</v>
      </c>
      <c r="N558" s="9" t="s">
        <v>432</v>
      </c>
      <c r="O558" s="9"/>
      <c r="P558" s="9"/>
      <c r="Q558" s="11">
        <v>63.16</v>
      </c>
      <c r="R558" s="9" t="s">
        <v>90</v>
      </c>
      <c r="S558" s="9" t="s">
        <v>106</v>
      </c>
      <c r="T558" s="12">
        <f>IF($H558="Cancelled","",IFERROR(((Q558+INDEX(Variables!$B$6:$D$6,IFERROR(MATCH(IF($B558="Robusta","Robusta",(IF($B558="","Arabica",$B558))&amp;" - "&amp;(IF($C558="","Commercial",$C558))),Variables!$B$1:$D$1,0),1)))*22.0462)*(L558/16.67),""))</f>
        <v>1011127.8690053988</v>
      </c>
      <c r="U558" s="10">
        <v>46036</v>
      </c>
      <c r="V558" s="9" t="str">
        <f t="shared" si="61"/>
        <v>Sent</v>
      </c>
      <c r="W558" s="10"/>
      <c r="X558" s="9"/>
      <c r="Y558" s="10"/>
      <c r="Z558" s="10">
        <f>IF($H558="Cancelled","",IFERROR(IF(F558="","",F558-Variables!$B$13),""))</f>
        <v>46066</v>
      </c>
      <c r="AA558" s="11" t="str">
        <f>IF($H558="Cancelled","",IFERROR(IF(W558="","",(AVERAGE(E558:F558)-W558)-Variables!$B$14),""))</f>
        <v/>
      </c>
      <c r="AB558" s="10">
        <v>46056</v>
      </c>
      <c r="AC558" s="11" t="str">
        <f>IF($H558="Cancelled","",IFERROR(IF(AB558="","",IF(AND(W558="",Y558=""),"",IF(Y558&gt;W558,Y558+Variables!$B$15+Variables!$B$16+Variables!$B$17-AB558,W558+Variables!$B$16+Variables!$B$17-AB558))),""))</f>
        <v/>
      </c>
      <c r="AD558" s="9" t="s">
        <v>165</v>
      </c>
      <c r="AE558" s="9" t="s">
        <v>1391</v>
      </c>
      <c r="AF558" s="10"/>
      <c r="AG558" s="10"/>
      <c r="AH558" s="9"/>
      <c r="AI558" s="9">
        <v>914601</v>
      </c>
      <c r="AJ558" s="9"/>
      <c r="AK558" s="10">
        <v>46072</v>
      </c>
      <c r="AL558" s="10">
        <v>46085</v>
      </c>
      <c r="AM558" s="10">
        <v>46085</v>
      </c>
      <c r="AN558" s="9" t="s">
        <v>1193</v>
      </c>
      <c r="AO558" s="9"/>
      <c r="AP558" s="11">
        <f>IF($H558="Cancelled","",IFERROR(IF(OR(AK558="",AB558=""),"",(AB558+Variables!$B$18-AK558)),""))</f>
        <v>-9</v>
      </c>
      <c r="AQ558" s="11">
        <f>IF($H558="Cancelled","",IFERROR(IF(OR(AM558="",AK558=""),"",(AK558+Variables!$B$19)-AM558),""))</f>
        <v>-8</v>
      </c>
      <c r="AR558" s="12">
        <f>IF($H558="Cancelled","",IFERROR(T558*INDEX(Variables!$B$7:$D$7,IFERROR(MATCH(IF($B558="Robusta","Robusta",(IF($B558="","Arabica",$B558))&amp;" - "&amp;(IF($C558="","Commercial",$C558))),Variables!$B$1:$D$1,0),1))*(AQ558/365),""))</f>
        <v>-1429.0356049266834</v>
      </c>
      <c r="AS558" s="12" t="str">
        <f>IF($H558="Cancelled","",IFERROR((T558*INDEX(Variables!$B$7:$D$7,IFERROR(MATCH(IF($B558="Robusta","Robusta",(IF($B558="","Arabica",$B558))&amp;" - "&amp;(IF($C558="","Commercial",$C558))),Variables!$B$1:$D$1,0),1))*IFERROR(IF(W558="","",(AVERAGE(E558:F558)-W558)-Variables!$B$14),"")/365)+(L558/16.67*INDEX(Variables!$B$8:$D$8,IFERROR(MATCH(IF($B558="Robusta","Robusta",(IF($B558="","Arabica",$B558))&amp;" - "&amp;(IF($C558="","Commercial",$C558))),Variables!$B$1:$D$1,0),1))*IFERROR(IF(W558="","",(AVERAGE(E558:F558)-W558)-Variables!$B$14),""))+(T558*INDEX(Variables!$B$9:$D$9,IFERROR(MATCH(IF($B558="Robusta","Robusta",(IF($B558="","Arabica",$B558))&amp;" - "&amp;(IF($C558="","Commercial",$C558))),Variables!$B$1:$D$1,0),1))*IFERROR(IF(W558="","",(AVERAGE(E558:F558)-W558)-Variables!$B$14),"")/365),""))</f>
        <v/>
      </c>
      <c r="AT558" s="12" t="str">
        <f>IF($H558="Cancelled","",IFERROR((T558*INDEX(Variables!$B$7:$D$7,IFERROR(MATCH(IF($B558="Robusta","Robusta",(IF($B558="","Arabica",$B558))&amp;" - "&amp;(IF($C558="","Commercial",$C558))),Variables!$B$1:$D$1,0),1))*AC558/365)+(L558/16.67*INDEX(Variables!$B$8:$D$8,IFERROR(MATCH(IF($B558="Robusta","Robusta",(IF($B558="","Arabica",$B558))&amp;" - "&amp;(IF($C558="","Commercial",$C558))),Variables!$B$1:$D$1,0),1))*AC558)+(T558*INDEX(Variables!$B$9:$D$9,IFERROR(MATCH(IF($B558="Robusta","Robusta",(IF($B558="","Arabica",$B558))&amp;" - "&amp;(IF($C558="","Commercial",$C558))),Variables!$B$1:$D$1,0),1))*AC558/365),""))</f>
        <v/>
      </c>
      <c r="AU558" s="12">
        <f>IF($H558="Cancelled","",IFERROR((T558*INDEX(Variables!$B$7:$D$7,IFERROR(MATCH(IF($B558="Robusta","Robusta",(IF($B558="","Arabica",$B558))&amp;" - "&amp;(IF($C558="","Commercial",$C558))),Variables!$B$1:$D$1,0),1))*AP558/365)+(L558/16.67*INDEX(Variables!$B$8:$D$8,IFERROR(MATCH(IF($B558="Robusta","Robusta",(IF($B558="","Arabica",$B558))&amp;" - "&amp;(IF($C558="","Commercial",$C558))),Variables!$B$1:$D$1,0),1))*AP558)+(T558*INDEX(Variables!$B$9:$D$9,IFERROR(MATCH(IF($B558="Robusta","Robusta",(IF($B558="","Arabica",$B558))&amp;" - "&amp;(IF($C558="","Commercial",$C558))),Variables!$B$1:$D$1,0),1))*AP558/365),""))</f>
        <v>-2600.3909606864572</v>
      </c>
      <c r="AV558" s="11">
        <f t="shared" si="59"/>
        <v>9</v>
      </c>
      <c r="AW558" s="12">
        <f>IF($H558="Cancelled","",IFERROR(IF(AV558="","",(T558*INDEX(Variables!$B$7:$D$7,IFERROR(MATCH(IF($B558="Robusta","Robusta",(IF($B558="","Arabica",$B558))&amp;" - "&amp;(IF($C558="","Commercial",$C558))),Variables!$B$1:$D$1,0),1))*(AV558/365))+(T558*INDEX(Variables!$B$9:$D$9,IFERROR(MATCH(IF($B558="Robusta","Robusta",(IF($B558="","Arabica",$B558))&amp;" - "&amp;(IF($C558="","Commercial",$C558))),Variables!$B$1:$D$1,0),1))*(AV558/365))+(INDEX(Variables!$B$8:$D$8,IFERROR(MATCH(IF($B558="Robusta","Robusta",(IF($B558="","Arabica",$B558))&amp;" - "&amp;(IF($C558="","Commercial",$C558))),Variables!$B$1:$D$1,0),1))*L558/16.67)),""))</f>
        <v>1736.3909606864577</v>
      </c>
      <c r="AX558" s="9"/>
      <c r="AY558" s="12"/>
      <c r="AZ558" s="10"/>
      <c r="BA558" s="9"/>
      <c r="BB558" s="10"/>
      <c r="BC558" s="9"/>
      <c r="BD558" s="9"/>
      <c r="BE558" s="9"/>
      <c r="BF558" s="9"/>
    </row>
    <row r="559" spans="1:58" x14ac:dyDescent="0.25">
      <c r="A559" s="9" t="s">
        <v>84</v>
      </c>
      <c r="B559" s="9" t="s">
        <v>85</v>
      </c>
      <c r="C559" s="9" t="s">
        <v>86</v>
      </c>
      <c r="D559" s="10">
        <v>46036</v>
      </c>
      <c r="E559" s="10">
        <v>46054</v>
      </c>
      <c r="F559" s="10">
        <v>46081</v>
      </c>
      <c r="G559" s="9">
        <v>3787100</v>
      </c>
      <c r="H559" s="9" t="str">
        <f t="shared" si="57"/>
        <v>Open</v>
      </c>
      <c r="I559" s="9" t="str">
        <f t="shared" si="58"/>
        <v>No sailing date and No shipping advice sent and No docs dispatch date</v>
      </c>
      <c r="J559" s="9" t="s">
        <v>1392</v>
      </c>
      <c r="K559" s="9">
        <v>5404</v>
      </c>
      <c r="L559" s="11">
        <v>300</v>
      </c>
      <c r="M559" s="9" t="s">
        <v>1393</v>
      </c>
      <c r="N559" s="9" t="s">
        <v>1018</v>
      </c>
      <c r="O559" s="9"/>
      <c r="P559" s="9"/>
      <c r="Q559" s="11">
        <v>-163.05000000000001</v>
      </c>
      <c r="R559" s="9" t="s">
        <v>90</v>
      </c>
      <c r="S559" s="9" t="s">
        <v>401</v>
      </c>
      <c r="T559" s="12">
        <f>IF($H559="Cancelled","",IFERROR(((Q559+INDEX(Variables!$B$6:$D$6,IFERROR(MATCH(IF($B559="Robusta","Robusta",(IF($B559="","Arabica",$B559))&amp;" - "&amp;(IF($C559="","Commercial",$C559))),Variables!$B$1:$D$1,0),1)))*22.0462)*(L559/16.67),""))</f>
        <v>50685.099880023983</v>
      </c>
      <c r="U559" s="10"/>
      <c r="V559" s="9" t="str">
        <f t="shared" si="61"/>
        <v/>
      </c>
      <c r="W559" s="10">
        <v>46037</v>
      </c>
      <c r="X559" s="9" t="str">
        <f t="shared" si="62"/>
        <v>Approved</v>
      </c>
      <c r="Y559" s="10">
        <v>46042</v>
      </c>
      <c r="Z559" s="10">
        <f>IF($H559="Cancelled","",IFERROR(IF(F559="","",F559-Variables!$B$13),""))</f>
        <v>46066</v>
      </c>
      <c r="AA559" s="11">
        <f>IF($H559="Cancelled","",IFERROR(IF(W559="","",(AVERAGE(E559:F559)-W559)-Variables!$B$14),""))</f>
        <v>0.5</v>
      </c>
      <c r="AB559" s="10">
        <v>46065</v>
      </c>
      <c r="AC559" s="11">
        <f>IF($H559="Cancelled","",IFERROR(IF(AB559="","",IF(AND(W559="",Y559=""),"",IF(Y559&gt;W559,Y559+Variables!$B$15+Variables!$B$16+Variables!$B$17-AB559,W559+Variables!$B$16+Variables!$B$17-AB559))),""))</f>
        <v>-8</v>
      </c>
      <c r="AD559" s="9" t="s">
        <v>107</v>
      </c>
      <c r="AE559" s="9"/>
      <c r="AF559" s="10"/>
      <c r="AG559" s="10"/>
      <c r="AH559" s="9"/>
      <c r="AI559" s="9"/>
      <c r="AJ559" s="9"/>
      <c r="AK559" s="10"/>
      <c r="AL559" s="10"/>
      <c r="AM559" s="10"/>
      <c r="AN559" s="9" t="s">
        <v>1394</v>
      </c>
      <c r="AO559" s="9"/>
      <c r="AP559" s="11" t="str">
        <f>IF($H559="Cancelled","",IFERROR(IF(OR(AK559="",AB559=""),"",(AB559+Variables!$B$18-AK559)),""))</f>
        <v/>
      </c>
      <c r="AQ559" s="11" t="str">
        <f>IF($H559="Cancelled","",IFERROR(IF(OR(AM559="",AK559=""),"",(AK559+Variables!$B$19)-AM559),""))</f>
        <v/>
      </c>
      <c r="AR559" s="12" t="str">
        <f>IF($H559="Cancelled","",IFERROR(T559*INDEX(Variables!$B$7:$D$7,IFERROR(MATCH(IF($B559="Robusta","Robusta",(IF($B559="","Arabica",$B559))&amp;" - "&amp;(IF($C559="","Commercial",$C559))),Variables!$B$1:$D$1,0),1))*(AQ559/365),""))</f>
        <v/>
      </c>
      <c r="AS559" s="12">
        <f>IF($H559="Cancelled","",IFERROR((T559*INDEX(Variables!$B$7:$D$7,IFERROR(MATCH(IF($B559="Robusta","Robusta",(IF($B559="","Arabica",$B559))&amp;" - "&amp;(IF($C559="","Commercial",$C559))),Variables!$B$1:$D$1,0),1))*IFERROR(IF(W559="","",(AVERAGE(E559:F559)-W559)-Variables!$B$14),"")/365)+(L559/16.67*INDEX(Variables!$B$8:$D$8,IFERROR(MATCH(IF($B559="Robusta","Robusta",(IF($B559="","Arabica",$B559))&amp;" - "&amp;(IF($C559="","Commercial",$C559))),Variables!$B$1:$D$1,0),1))*IFERROR(IF(W559="","",(AVERAGE(E559:F559)-W559)-Variables!$B$14),""))+(T559*INDEX(Variables!$B$9:$D$9,IFERROR(MATCH(IF($B559="Robusta","Robusta",(IF($B559="","Arabica",$B559))&amp;" - "&amp;(IF($C559="","Commercial",$C559))),Variables!$B$1:$D$1,0),1))*IFERROR(IF(W559="","",(AVERAGE(E559:F559)-W559)-Variables!$B$14),"")/365),""))</f>
        <v>12.034823658923214</v>
      </c>
      <c r="AT559" s="12">
        <f>IF($H559="Cancelled","",IFERROR((T559*INDEX(Variables!$B$7:$D$7,IFERROR(MATCH(IF($B559="Robusta","Robusta",(IF($B559="","Arabica",$B559))&amp;" - "&amp;(IF($C559="","Commercial",$C559))),Variables!$B$1:$D$1,0),1))*AC559/365)+(L559/16.67*INDEX(Variables!$B$8:$D$8,IFERROR(MATCH(IF($B559="Robusta","Robusta",(IF($B559="","Arabica",$B559))&amp;" - "&amp;(IF($C559="","Commercial",$C559))),Variables!$B$1:$D$1,0),1))*AC559)+(T559*INDEX(Variables!$B$9:$D$9,IFERROR(MATCH(IF($B559="Robusta","Robusta",(IF($B559="","Arabica",$B559))&amp;" - "&amp;(IF($C559="","Commercial",$C559))),Variables!$B$1:$D$1,0),1))*AC559/365),""))</f>
        <v>-192.55717854277142</v>
      </c>
      <c r="AU559" s="12" t="str">
        <f>IF($H559="Cancelled","",IFERROR((T559*INDEX(Variables!$B$7:$D$7,IFERROR(MATCH(IF($B559="Robusta","Robusta",(IF($B559="","Arabica",$B559))&amp;" - "&amp;(IF($C559="","Commercial",$C559))),Variables!$B$1:$D$1,0),1))*AP559/365)+(L559/16.67*INDEX(Variables!$B$8:$D$8,IFERROR(MATCH(IF($B559="Robusta","Robusta",(IF($B559="","Arabica",$B559))&amp;" - "&amp;(IF($C559="","Commercial",$C559))),Variables!$B$1:$D$1,0),1))*AP559)+(T559*INDEX(Variables!$B$9:$D$9,IFERROR(MATCH(IF($B559="Robusta","Robusta",(IF($B559="","Arabica",$B559))&amp;" - "&amp;(IF($C559="","Commercial",$C559))),Variables!$B$1:$D$1,0),1))*AP559/365),""))</f>
        <v/>
      </c>
      <c r="AV559" s="11" t="str">
        <f t="shared" si="59"/>
        <v/>
      </c>
      <c r="AW559" s="12" t="str">
        <f>IF($H559="Cancelled","",IFERROR(IF(AV559="","",(T559*INDEX(Variables!$B$7:$D$7,IFERROR(MATCH(IF($B559="Robusta","Robusta",(IF($B559="","Arabica",$B559))&amp;" - "&amp;(IF($C559="","Commercial",$C559))),Variables!$B$1:$D$1,0),1))*(AV559/365))+(T559*INDEX(Variables!$B$9:$D$9,IFERROR(MATCH(IF($B559="Robusta","Robusta",(IF($B559="","Arabica",$B559))&amp;" - "&amp;(IF($C559="","Commercial",$C559))),Variables!$B$1:$D$1,0),1))*(AV559/365))+(INDEX(Variables!$B$8:$D$8,IFERROR(MATCH(IF($B559="Robusta","Robusta",(IF($B559="","Arabica",$B559))&amp;" - "&amp;(IF($C559="","Commercial",$C559))),Variables!$B$1:$D$1,0),1))*L559/16.67)),""))</f>
        <v/>
      </c>
      <c r="AX559" s="9"/>
      <c r="AY559" s="12"/>
      <c r="AZ559" s="10"/>
      <c r="BA559" s="9"/>
      <c r="BB559" s="10"/>
      <c r="BC559" s="9"/>
      <c r="BD559" s="9"/>
      <c r="BE559" s="9"/>
      <c r="BF559" s="9"/>
    </row>
    <row r="560" spans="1:58" x14ac:dyDescent="0.25">
      <c r="A560" s="9" t="s">
        <v>84</v>
      </c>
      <c r="B560" s="9" t="s">
        <v>85</v>
      </c>
      <c r="C560" s="9" t="s">
        <v>86</v>
      </c>
      <c r="D560" s="10">
        <v>46036</v>
      </c>
      <c r="E560" s="10">
        <v>46054</v>
      </c>
      <c r="F560" s="10">
        <v>46081</v>
      </c>
      <c r="G560" s="9">
        <v>3787107</v>
      </c>
      <c r="H560" s="9" t="str">
        <f t="shared" si="57"/>
        <v>Open</v>
      </c>
      <c r="I560" s="9" t="str">
        <f t="shared" si="58"/>
        <v>No sailing date and No shipping advice sent and No docs dispatch date</v>
      </c>
      <c r="J560" s="9" t="s">
        <v>1395</v>
      </c>
      <c r="K560" s="9" t="s">
        <v>1396</v>
      </c>
      <c r="L560" s="11">
        <v>216</v>
      </c>
      <c r="M560" s="9" t="s">
        <v>1397</v>
      </c>
      <c r="N560" s="9" t="s">
        <v>126</v>
      </c>
      <c r="O560" s="9"/>
      <c r="P560" s="9"/>
      <c r="Q560" s="11">
        <v>33</v>
      </c>
      <c r="R560" s="9" t="s">
        <v>90</v>
      </c>
      <c r="S560" s="9" t="s">
        <v>458</v>
      </c>
      <c r="T560" s="12">
        <f>IF($H560="Cancelled","",IFERROR(((Q560+INDEX(Variables!$B$6:$D$6,IFERROR(MATCH(IF($B560="Robusta","Robusta",(IF($B560="","Arabica",$B560))&amp;" - "&amp;(IF($C560="","Commercial",$C560))),Variables!$B$1:$D$1,0),1)))*22.0462)*(L560/16.67),""))</f>
        <v>92497.232451109769</v>
      </c>
      <c r="U560" s="10">
        <v>46044</v>
      </c>
      <c r="V560" s="9" t="str">
        <f t="shared" si="61"/>
        <v>Sent</v>
      </c>
      <c r="W560" s="10">
        <v>46062</v>
      </c>
      <c r="X560" s="9" t="str">
        <f t="shared" si="62"/>
        <v>Approved</v>
      </c>
      <c r="Y560" s="10"/>
      <c r="Z560" s="10">
        <f>IF($H560="Cancelled","",IFERROR(IF(F560="","",F560-Variables!$B$13),""))</f>
        <v>46066</v>
      </c>
      <c r="AA560" s="11">
        <f>IF($H560="Cancelled","",IFERROR(IF(W560="","",(AVERAGE(E560:F560)-W560)-Variables!$B$14),""))</f>
        <v>-24.5</v>
      </c>
      <c r="AB560" s="10">
        <v>46115</v>
      </c>
      <c r="AC560" s="11">
        <f>IF($H560="Cancelled","",IFERROR(IF(AB560="","",IF(AND(W560="",Y560=""),"",IF(Y560&gt;W560,Y560+Variables!$B$15+Variables!$B$16+Variables!$B$17-AB560,W560+Variables!$B$16+Variables!$B$17-AB560))),""))</f>
        <v>-45</v>
      </c>
      <c r="AD560" s="9" t="s">
        <v>151</v>
      </c>
      <c r="AE560" s="9"/>
      <c r="AF560" s="10"/>
      <c r="AG560" s="10"/>
      <c r="AH560" s="9"/>
      <c r="AI560" s="9" t="s">
        <v>1398</v>
      </c>
      <c r="AJ560" s="9"/>
      <c r="AK560" s="10"/>
      <c r="AL560" s="10"/>
      <c r="AM560" s="10"/>
      <c r="AN560" s="9" t="s">
        <v>1188</v>
      </c>
      <c r="AO560" s="9"/>
      <c r="AP560" s="11" t="str">
        <f>IF($H560="Cancelled","",IFERROR(IF(OR(AK560="",AB560=""),"",(AB560+Variables!$B$18-AK560)),""))</f>
        <v/>
      </c>
      <c r="AQ560" s="11" t="str">
        <f>IF($H560="Cancelled","",IFERROR(IF(OR(AM560="",AK560=""),"",(AK560+Variables!$B$19)-AM560),""))</f>
        <v/>
      </c>
      <c r="AR560" s="12" t="str">
        <f>IF($H560="Cancelled","",IFERROR(T560*INDEX(Variables!$B$7:$D$7,IFERROR(MATCH(IF($B560="Robusta","Robusta",(IF($B560="","Arabica",$B560))&amp;" - "&amp;(IF($C560="","Commercial",$C560))),Variables!$B$1:$D$1,0),1))*(AQ560/365),""))</f>
        <v/>
      </c>
      <c r="AS560" s="12">
        <f>IF($H560="Cancelled","",IFERROR((T560*INDEX(Variables!$B$7:$D$7,IFERROR(MATCH(IF($B560="Robusta","Robusta",(IF($B560="","Arabica",$B560))&amp;" - "&amp;(IF($C560="","Commercial",$C560))),Variables!$B$1:$D$1,0),1))*IFERROR(IF(W560="","",(AVERAGE(E560:F560)-W560)-Variables!$B$14),"")/365)+(L560/16.67*INDEX(Variables!$B$8:$D$8,IFERROR(MATCH(IF($B560="Robusta","Robusta",(IF($B560="","Arabica",$B560))&amp;" - "&amp;(IF($C560="","Commercial",$C560))),Variables!$B$1:$D$1,0),1))*IFERROR(IF(W560="","",(AVERAGE(E560:F560)-W560)-Variables!$B$14),""))+(T560*INDEX(Variables!$B$9:$D$9,IFERROR(MATCH(IF($B560="Robusta","Robusta",(IF($B560="","Arabica",$B560))&amp;" - "&amp;(IF($C560="","Commercial",$C560))),Variables!$B$1:$D$1,0),1))*IFERROR(IF(W560="","",(AVERAGE(E560:F560)-W560)-Variables!$B$14),"")/365),""))</f>
        <v>-670.11312546997578</v>
      </c>
      <c r="AT560" s="12">
        <f>IF($H560="Cancelled","",IFERROR((T560*INDEX(Variables!$B$7:$D$7,IFERROR(MATCH(IF($B560="Robusta","Robusta",(IF($B560="","Arabica",$B560))&amp;" - "&amp;(IF($C560="","Commercial",$C560))),Variables!$B$1:$D$1,0),1))*AC560/365)+(L560/16.67*INDEX(Variables!$B$8:$D$8,IFERROR(MATCH(IF($B560="Robusta","Robusta",(IF($B560="","Arabica",$B560))&amp;" - "&amp;(IF($C560="","Commercial",$C560))),Variables!$B$1:$D$1,0),1))*AC560)+(T560*INDEX(Variables!$B$9:$D$9,IFERROR(MATCH(IF($B560="Robusta","Robusta",(IF($B560="","Arabica",$B560))&amp;" - "&amp;(IF($C560="","Commercial",$C560))),Variables!$B$1:$D$1,0),1))*AC560/365),""))</f>
        <v>-1230.8200263734252</v>
      </c>
      <c r="AU560" s="12" t="str">
        <f>IF($H560="Cancelled","",IFERROR((T560*INDEX(Variables!$B$7:$D$7,IFERROR(MATCH(IF($B560="Robusta","Robusta",(IF($B560="","Arabica",$B560))&amp;" - "&amp;(IF($C560="","Commercial",$C560))),Variables!$B$1:$D$1,0),1))*AP560/365)+(L560/16.67*INDEX(Variables!$B$8:$D$8,IFERROR(MATCH(IF($B560="Robusta","Robusta",(IF($B560="","Arabica",$B560))&amp;" - "&amp;(IF($C560="","Commercial",$C560))),Variables!$B$1:$D$1,0),1))*AP560)+(T560*INDEX(Variables!$B$9:$D$9,IFERROR(MATCH(IF($B560="Robusta","Robusta",(IF($B560="","Arabica",$B560))&amp;" - "&amp;(IF($C560="","Commercial",$C560))),Variables!$B$1:$D$1,0),1))*AP560/365),""))</f>
        <v/>
      </c>
      <c r="AV560" s="11" t="str">
        <f t="shared" si="59"/>
        <v/>
      </c>
      <c r="AW560" s="12" t="str">
        <f>IF($H560="Cancelled","",IFERROR(IF(AV560="","",(T560*INDEX(Variables!$B$7:$D$7,IFERROR(MATCH(IF($B560="Robusta","Robusta",(IF($B560="","Arabica",$B560))&amp;" - "&amp;(IF($C560="","Commercial",$C560))),Variables!$B$1:$D$1,0),1))*(AV560/365))+(T560*INDEX(Variables!$B$9:$D$9,IFERROR(MATCH(IF($B560="Robusta","Robusta",(IF($B560="","Arabica",$B560))&amp;" - "&amp;(IF($C560="","Commercial",$C560))),Variables!$B$1:$D$1,0),1))*(AV560/365))+(INDEX(Variables!$B$8:$D$8,IFERROR(MATCH(IF($B560="Robusta","Robusta",(IF($B560="","Arabica",$B560))&amp;" - "&amp;(IF($C560="","Commercial",$C560))),Variables!$B$1:$D$1,0),1))*L560/16.67)),""))</f>
        <v/>
      </c>
      <c r="AX560" s="9"/>
      <c r="AY560" s="12"/>
      <c r="AZ560" s="10"/>
      <c r="BA560" s="9"/>
      <c r="BB560" s="10"/>
      <c r="BC560" s="9"/>
      <c r="BD560" s="9"/>
      <c r="BE560" s="9"/>
      <c r="BF560" s="9"/>
    </row>
    <row r="561" spans="1:58" x14ac:dyDescent="0.25">
      <c r="A561" s="9" t="s">
        <v>84</v>
      </c>
      <c r="B561" s="9" t="s">
        <v>85</v>
      </c>
      <c r="C561" s="9" t="s">
        <v>86</v>
      </c>
      <c r="D561" s="10">
        <v>46034</v>
      </c>
      <c r="E561" s="10">
        <v>46082</v>
      </c>
      <c r="F561" s="10">
        <v>46112</v>
      </c>
      <c r="G561" s="9">
        <v>3787094</v>
      </c>
      <c r="H561" s="9" t="str">
        <f t="shared" si="57"/>
        <v>Open</v>
      </c>
      <c r="I561" s="9" t="str">
        <f t="shared" si="58"/>
        <v>No shipping advice sent and No docs dispatch date</v>
      </c>
      <c r="J561" s="9" t="s">
        <v>102</v>
      </c>
      <c r="K561" s="9" t="s">
        <v>1399</v>
      </c>
      <c r="L561" s="11">
        <v>1333</v>
      </c>
      <c r="M561" s="9" t="s">
        <v>1260</v>
      </c>
      <c r="N561" s="9" t="s">
        <v>432</v>
      </c>
      <c r="O561" s="9"/>
      <c r="P561" s="9"/>
      <c r="Q561" s="11">
        <v>53</v>
      </c>
      <c r="R561" s="9" t="s">
        <v>90</v>
      </c>
      <c r="S561" s="9" t="s">
        <v>462</v>
      </c>
      <c r="T561" s="12">
        <f>IF($H561="Cancelled","",IFERROR(((Q561+INDEX(Variables!$B$6:$D$6,IFERROR(MATCH(IF($B561="Robusta","Robusta",(IF($B561="","Arabica",$B561))&amp;" - "&amp;(IF($C561="","Commercial",$C561))),Variables!$B$1:$D$1,0),1)))*22.0462)*(L561/16.67),""))</f>
        <v>606085.87795320933</v>
      </c>
      <c r="U561" s="10">
        <v>46051</v>
      </c>
      <c r="V561" s="9" t="str">
        <f t="shared" si="61"/>
        <v>Sent</v>
      </c>
      <c r="W561" s="10">
        <v>46059</v>
      </c>
      <c r="X561" s="9" t="str">
        <f t="shared" si="62"/>
        <v>Approved</v>
      </c>
      <c r="Y561" s="10"/>
      <c r="Z561" s="10">
        <f>IF($H561="Cancelled","",IFERROR(IF(F561="","",F561-Variables!$B$13),""))</f>
        <v>46097</v>
      </c>
      <c r="AA561" s="11">
        <f>IF($H561="Cancelled","",IFERROR(IF(W561="","",(AVERAGE(E561:F561)-W561)-Variables!$B$14),""))</f>
        <v>8</v>
      </c>
      <c r="AB561" s="10">
        <v>46099</v>
      </c>
      <c r="AC561" s="11">
        <f>IF($H561="Cancelled","",IFERROR(IF(AB561="","",IF(AND(W561="",Y561=""),"",IF(Y561&gt;W561,Y561+Variables!$B$15+Variables!$B$16+Variables!$B$17-AB561,W561+Variables!$B$16+Variables!$B$17-AB561))),""))</f>
        <v>-32</v>
      </c>
      <c r="AD561" s="9" t="s">
        <v>163</v>
      </c>
      <c r="AE561" s="9" t="s">
        <v>1400</v>
      </c>
      <c r="AF561" s="10">
        <v>46158</v>
      </c>
      <c r="AG561" s="10"/>
      <c r="AH561" s="9"/>
      <c r="AI561" s="9">
        <v>267421208</v>
      </c>
      <c r="AJ561" s="9"/>
      <c r="AK561" s="10">
        <v>46109</v>
      </c>
      <c r="AL561" s="10"/>
      <c r="AM561" s="10"/>
      <c r="AN561" s="9" t="s">
        <v>1282</v>
      </c>
      <c r="AO561" s="9"/>
      <c r="AP561" s="11">
        <f>IF($H561="Cancelled","",IFERROR(IF(OR(AK561="",AB561=""),"",(AB561+Variables!$B$18-AK561)),""))</f>
        <v>-3</v>
      </c>
      <c r="AQ561" s="11" t="str">
        <f>IF($H561="Cancelled","",IFERROR(IF(OR(AM561="",AK561=""),"",(AK561+Variables!$B$19)-AM561),""))</f>
        <v/>
      </c>
      <c r="AR561" s="12" t="str">
        <f>IF($H561="Cancelled","",IFERROR(T561*INDEX(Variables!$B$7:$D$7,IFERROR(MATCH(IF($B561="Robusta","Robusta",(IF($B561="","Arabica",$B561))&amp;" - "&amp;(IF($C561="","Commercial",$C561))),Variables!$B$1:$D$1,0),1))*(AQ561/365),""))</f>
        <v/>
      </c>
      <c r="AS561" s="12">
        <f>IF($H561="Cancelled","",IFERROR((T561*INDEX(Variables!$B$7:$D$7,IFERROR(MATCH(IF($B561="Robusta","Robusta",(IF($B561="","Arabica",$B561))&amp;" - "&amp;(IF($C561="","Commercial",$C561))),Variables!$B$1:$D$1,0),1))*IFERROR(IF(W561="","",(AVERAGE(E561:F561)-W561)-Variables!$B$14),"")/365)+(L561/16.67*INDEX(Variables!$B$8:$D$8,IFERROR(MATCH(IF($B561="Robusta","Robusta",(IF($B561="","Arabica",$B561))&amp;" - "&amp;(IF($C561="","Commercial",$C561))),Variables!$B$1:$D$1,0),1))*IFERROR(IF(W561="","",(AVERAGE(E561:F561)-W561)-Variables!$B$14),""))+(T561*INDEX(Variables!$B$9:$D$9,IFERROR(MATCH(IF($B561="Robusta","Robusta",(IF($B561="","Arabica",$B561))&amp;" - "&amp;(IF($C561="","Commercial",$C561))),Variables!$B$1:$D$1,0),1))*IFERROR(IF(W561="","",(AVERAGE(E561:F561)-W561)-Variables!$B$14),"")/365),""))</f>
        <v>1400.8293696371932</v>
      </c>
      <c r="AT561" s="12">
        <f>IF($H561="Cancelled","",IFERROR((T561*INDEX(Variables!$B$7:$D$7,IFERROR(MATCH(IF($B561="Robusta","Robusta",(IF($B561="","Arabica",$B561))&amp;" - "&amp;(IF($C561="","Commercial",$C561))),Variables!$B$1:$D$1,0),1))*AC561/365)+(L561/16.67*INDEX(Variables!$B$8:$D$8,IFERROR(MATCH(IF($B561="Robusta","Robusta",(IF($B561="","Arabica",$B561))&amp;" - "&amp;(IF($C561="","Commercial",$C561))),Variables!$B$1:$D$1,0),1))*AC561)+(T561*INDEX(Variables!$B$9:$D$9,IFERROR(MATCH(IF($B561="Robusta","Robusta",(IF($B561="","Arabica",$B561))&amp;" - "&amp;(IF($C561="","Commercial",$C561))),Variables!$B$1:$D$1,0),1))*AC561/365),""))</f>
        <v>-5603.3174785487727</v>
      </c>
      <c r="AU561" s="12">
        <f>IF($H561="Cancelled","",IFERROR((T561*INDEX(Variables!$B$7:$D$7,IFERROR(MATCH(IF($B561="Robusta","Robusta",(IF($B561="","Arabica",$B561))&amp;" - "&amp;(IF($C561="","Commercial",$C561))),Variables!$B$1:$D$1,0),1))*AP561/365)+(L561/16.67*INDEX(Variables!$B$8:$D$8,IFERROR(MATCH(IF($B561="Robusta","Robusta",(IF($B561="","Arabica",$B561))&amp;" - "&amp;(IF($C561="","Commercial",$C561))),Variables!$B$1:$D$1,0),1))*AP561)+(T561*INDEX(Variables!$B$9:$D$9,IFERROR(MATCH(IF($B561="Robusta","Robusta",(IF($B561="","Arabica",$B561))&amp;" - "&amp;(IF($C561="","Commercial",$C561))),Variables!$B$1:$D$1,0),1))*AP561/365),""))</f>
        <v>-525.31101361394747</v>
      </c>
      <c r="AV561" s="11">
        <f t="shared" si="59"/>
        <v>3</v>
      </c>
      <c r="AW561" s="12">
        <f>IF($H561="Cancelled","",IFERROR(IF(AV561="","",(T561*INDEX(Variables!$B$7:$D$7,IFERROR(MATCH(IF($B561="Robusta","Robusta",(IF($B561="","Arabica",$B561))&amp;" - "&amp;(IF($C561="","Commercial",$C561))),Variables!$B$1:$D$1,0),1))*(AV561/365))+(T561*INDEX(Variables!$B$9:$D$9,IFERROR(MATCH(IF($B561="Robusta","Robusta",(IF($B561="","Arabica",$B561))&amp;" - "&amp;(IF($C561="","Commercial",$C561))),Variables!$B$1:$D$1,0),1))*(AV561/365))+(INDEX(Variables!$B$8:$D$8,IFERROR(MATCH(IF($B561="Robusta","Robusta",(IF($B561="","Arabica",$B561))&amp;" - "&amp;(IF($C561="","Commercial",$C561))),Variables!$B$1:$D$1,0),1))*L561/16.67)),""))</f>
        <v>392.0110136139474</v>
      </c>
      <c r="AX561" s="9"/>
      <c r="AY561" s="12"/>
      <c r="AZ561" s="10"/>
      <c r="BA561" s="9"/>
      <c r="BB561" s="10"/>
      <c r="BC561" s="9"/>
      <c r="BD561" s="9"/>
      <c r="BE561" s="9"/>
      <c r="BF561" s="9"/>
    </row>
    <row r="562" spans="1:58" x14ac:dyDescent="0.25">
      <c r="A562" s="9" t="s">
        <v>84</v>
      </c>
      <c r="B562" s="9" t="s">
        <v>85</v>
      </c>
      <c r="C562" s="9" t="s">
        <v>86</v>
      </c>
      <c r="D562" s="10">
        <v>46042</v>
      </c>
      <c r="E562" s="10">
        <v>46054</v>
      </c>
      <c r="F562" s="10">
        <v>46081</v>
      </c>
      <c r="G562" s="9">
        <v>3787114</v>
      </c>
      <c r="H562" s="9" t="str">
        <f t="shared" si="57"/>
        <v>Open</v>
      </c>
      <c r="I562" s="9" t="str">
        <f t="shared" si="58"/>
        <v>No shipping advice sent and No docs dispatch date</v>
      </c>
      <c r="J562" s="9" t="s">
        <v>257</v>
      </c>
      <c r="K562" s="9" t="s">
        <v>1401</v>
      </c>
      <c r="L562" s="11">
        <v>80</v>
      </c>
      <c r="M562" s="9" t="s">
        <v>1402</v>
      </c>
      <c r="N562" s="9" t="s">
        <v>1035</v>
      </c>
      <c r="O562" s="9"/>
      <c r="P562" s="9"/>
      <c r="Q562" s="11">
        <v>21</v>
      </c>
      <c r="R562" s="9" t="s">
        <v>90</v>
      </c>
      <c r="S562" s="9"/>
      <c r="T562" s="12">
        <f>IF($H562="Cancelled","",IFERROR(((Q562+INDEX(Variables!$B$6:$D$6,IFERROR(MATCH(IF($B562="Robusta","Robusta",(IF($B562="","Arabica",$B562))&amp;" - "&amp;(IF($C562="","Commercial",$C562))),Variables!$B$1:$D$1,0),1)))*22.0462)*(L562/16.67),""))</f>
        <v>32988.627042591477</v>
      </c>
      <c r="U562" s="10">
        <v>46051</v>
      </c>
      <c r="V562" s="9" t="str">
        <f t="shared" si="61"/>
        <v>Sent</v>
      </c>
      <c r="W562" s="10">
        <v>46055</v>
      </c>
      <c r="X562" s="9" t="str">
        <f t="shared" si="62"/>
        <v>Approved</v>
      </c>
      <c r="Y562" s="10"/>
      <c r="Z562" s="10">
        <f>IF($H562="Cancelled","",IFERROR(IF(F562="","",F562-Variables!$B$13),""))</f>
        <v>46066</v>
      </c>
      <c r="AA562" s="11">
        <f>IF($H562="Cancelled","",IFERROR(IF(W562="","",(AVERAGE(E562:F562)-W562)-Variables!$B$14),""))</f>
        <v>-17.5</v>
      </c>
      <c r="AB562" s="10">
        <v>46105</v>
      </c>
      <c r="AC562" s="11">
        <f>IF($H562="Cancelled","",IFERROR(IF(AB562="","",IF(AND(W562="",Y562=""),"",IF(Y562&gt;W562,Y562+Variables!$B$15+Variables!$B$16+Variables!$B$17-AB562,W562+Variables!$B$16+Variables!$B$17-AB562))),""))</f>
        <v>-42</v>
      </c>
      <c r="AD562" s="9" t="s">
        <v>1403</v>
      </c>
      <c r="AE562" s="9" t="s">
        <v>1404</v>
      </c>
      <c r="AF562" s="10"/>
      <c r="AG562" s="10"/>
      <c r="AH562" s="9"/>
      <c r="AI562" s="9">
        <v>921062</v>
      </c>
      <c r="AJ562" s="9"/>
      <c r="AK562" s="10">
        <v>46112</v>
      </c>
      <c r="AL562" s="10"/>
      <c r="AM562" s="10"/>
      <c r="AN562" s="9" t="s">
        <v>1306</v>
      </c>
      <c r="AO562" s="9"/>
      <c r="AP562" s="11">
        <f>IF($H562="Cancelled","",IFERROR(IF(OR(AK562="",AB562=""),"",(AB562+Variables!$B$18-AK562)),""))</f>
        <v>0</v>
      </c>
      <c r="AQ562" s="11" t="str">
        <f>IF($H562="Cancelled","",IFERROR(IF(OR(AM562="",AK562=""),"",(AK562+Variables!$B$19)-AM562),""))</f>
        <v/>
      </c>
      <c r="AR562" s="12" t="str">
        <f>IF($H562="Cancelled","",IFERROR(T562*INDEX(Variables!$B$7:$D$7,IFERROR(MATCH(IF($B562="Robusta","Robusta",(IF($B562="","Arabica",$B562))&amp;" - "&amp;(IF($C562="","Commercial",$C562))),Variables!$B$1:$D$1,0),1))*(AQ562/365),""))</f>
        <v/>
      </c>
      <c r="AS562" s="12">
        <f>IF($H562="Cancelled","",IFERROR((T562*INDEX(Variables!$B$7:$D$7,IFERROR(MATCH(IF($B562="Robusta","Robusta",(IF($B562="","Arabica",$B562))&amp;" - "&amp;(IF($C562="","Commercial",$C562))),Variables!$B$1:$D$1,0),1))*IFERROR(IF(W562="","",(AVERAGE(E562:F562)-W562)-Variables!$B$14),"")/365)+(L562/16.67*INDEX(Variables!$B$8:$D$8,IFERROR(MATCH(IF($B562="Robusta","Robusta",(IF($B562="","Arabica",$B562))&amp;" - "&amp;(IF($C562="","Commercial",$C562))),Variables!$B$1:$D$1,0),1))*IFERROR(IF(W562="","",(AVERAGE(E562:F562)-W562)-Variables!$B$14),""))+(T562*INDEX(Variables!$B$9:$D$9,IFERROR(MATCH(IF($B562="Robusta","Robusta",(IF($B562="","Arabica",$B562))&amp;" - "&amp;(IF($C562="","Commercial",$C562))),Variables!$B$1:$D$1,0),1))*IFERROR(IF(W562="","",(AVERAGE(E562:F562)-W562)-Variables!$B$14),"")/365),""))</f>
        <v>-173.30286881112391</v>
      </c>
      <c r="AT562" s="12">
        <f>IF($H562="Cancelled","",IFERROR((T562*INDEX(Variables!$B$7:$D$7,IFERROR(MATCH(IF($B562="Robusta","Robusta",(IF($B562="","Arabica",$B562))&amp;" - "&amp;(IF($C562="","Commercial",$C562))),Variables!$B$1:$D$1,0),1))*AC562/365)+(L562/16.67*INDEX(Variables!$B$8:$D$8,IFERROR(MATCH(IF($B562="Robusta","Robusta",(IF($B562="","Arabica",$B562))&amp;" - "&amp;(IF($C562="","Commercial",$C562))),Variables!$B$1:$D$1,0),1))*AC562)+(T562*INDEX(Variables!$B$9:$D$9,IFERROR(MATCH(IF($B562="Robusta","Robusta",(IF($B562="","Arabica",$B562))&amp;" - "&amp;(IF($C562="","Commercial",$C562))),Variables!$B$1:$D$1,0),1))*AC562/365),""))</f>
        <v>-415.92688514669737</v>
      </c>
      <c r="AU562" s="12">
        <f>IF($H562="Cancelled","",IFERROR((T562*INDEX(Variables!$B$7:$D$7,IFERROR(MATCH(IF($B562="Robusta","Robusta",(IF($B562="","Arabica",$B562))&amp;" - "&amp;(IF($C562="","Commercial",$C562))),Variables!$B$1:$D$1,0),1))*AP562/365)+(L562/16.67*INDEX(Variables!$B$8:$D$8,IFERROR(MATCH(IF($B562="Robusta","Robusta",(IF($B562="","Arabica",$B562))&amp;" - "&amp;(IF($C562="","Commercial",$C562))),Variables!$B$1:$D$1,0),1))*AP562)+(T562*INDEX(Variables!$B$9:$D$9,IFERROR(MATCH(IF($B562="Robusta","Robusta",(IF($B562="","Arabica",$B562))&amp;" - "&amp;(IF($C562="","Commercial",$C562))),Variables!$B$1:$D$1,0),1))*AP562/365),""))</f>
        <v>0</v>
      </c>
      <c r="AV562" s="11">
        <f t="shared" si="59"/>
        <v>-31</v>
      </c>
      <c r="AW562" s="12">
        <f>IF($H562="Cancelled","",IFERROR(IF(AV562="","",(T562*INDEX(Variables!$B$7:$D$7,IFERROR(MATCH(IF($B562="Robusta","Robusta",(IF($B562="","Arabica",$B562))&amp;" - "&amp;(IF($C562="","Commercial",$C562))),Variables!$B$1:$D$1,0),1))*(AV562/365))+(T562*INDEX(Variables!$B$9:$D$9,IFERROR(MATCH(IF($B562="Robusta","Robusta",(IF($B562="","Arabica",$B562))&amp;" - "&amp;(IF($C562="","Commercial",$C562))),Variables!$B$1:$D$1,0),1))*(AV562/365))+(INDEX(Variables!$B$8:$D$8,IFERROR(MATCH(IF($B562="Robusta","Robusta",(IF($B562="","Arabica",$B562))&amp;" - "&amp;(IF($C562="","Commercial",$C562))),Variables!$B$1:$D$1,0),1))*L562/16.67)),""))</f>
        <v>-178.99365332256232</v>
      </c>
      <c r="AX562" s="9"/>
      <c r="AY562" s="12"/>
      <c r="AZ562" s="10"/>
      <c r="BA562" s="9"/>
      <c r="BB562" s="10"/>
      <c r="BC562" s="9"/>
      <c r="BD562" s="9"/>
      <c r="BE562" s="9"/>
      <c r="BF562" s="9"/>
    </row>
    <row r="563" spans="1:58" x14ac:dyDescent="0.25">
      <c r="A563" s="9" t="s">
        <v>84</v>
      </c>
      <c r="B563" s="9" t="s">
        <v>85</v>
      </c>
      <c r="C563" s="9" t="s">
        <v>86</v>
      </c>
      <c r="D563" s="10">
        <v>46042</v>
      </c>
      <c r="E563" s="10">
        <v>46054</v>
      </c>
      <c r="F563" s="10">
        <v>46081</v>
      </c>
      <c r="G563" s="9">
        <v>3787115</v>
      </c>
      <c r="H563" s="9" t="str">
        <f t="shared" si="57"/>
        <v>Open</v>
      </c>
      <c r="I563" s="9" t="str">
        <f t="shared" si="58"/>
        <v>No shipping advice sent and No docs dispatch date</v>
      </c>
      <c r="J563" s="9" t="s">
        <v>257</v>
      </c>
      <c r="K563" s="9" t="s">
        <v>1405</v>
      </c>
      <c r="L563" s="11">
        <v>100</v>
      </c>
      <c r="M563" s="9" t="s">
        <v>1406</v>
      </c>
      <c r="N563" s="9" t="s">
        <v>1035</v>
      </c>
      <c r="O563" s="9"/>
      <c r="P563" s="9"/>
      <c r="Q563" s="11">
        <v>20</v>
      </c>
      <c r="R563" s="9" t="s">
        <v>90</v>
      </c>
      <c r="S563" s="9"/>
      <c r="T563" s="12">
        <f>IF($H563="Cancelled","",IFERROR(((Q563+INDEX(Variables!$B$6:$D$6,IFERROR(MATCH(IF($B563="Robusta","Robusta",(IF($B563="","Arabica",$B563))&amp;" - "&amp;(IF($C563="","Commercial",$C563))),Variables!$B$1:$D$1,0),1)))*22.0462)*(L563/16.67),""))</f>
        <v>41103.533053389314</v>
      </c>
      <c r="U563" s="10">
        <v>46058</v>
      </c>
      <c r="V563" s="9" t="str">
        <f t="shared" si="61"/>
        <v>Sent</v>
      </c>
      <c r="W563" s="10">
        <v>46064</v>
      </c>
      <c r="X563" s="9" t="str">
        <f t="shared" si="62"/>
        <v>Approved</v>
      </c>
      <c r="Y563" s="10"/>
      <c r="Z563" s="10">
        <f>IF($H563="Cancelled","",IFERROR(IF(F563="","",F563-Variables!$B$13),""))</f>
        <v>46066</v>
      </c>
      <c r="AA563" s="11">
        <f>IF($H563="Cancelled","",IFERROR(IF(W563="","",(AVERAGE(E563:F563)-W563)-Variables!$B$14),""))</f>
        <v>-26.5</v>
      </c>
      <c r="AB563" s="10">
        <v>46105</v>
      </c>
      <c r="AC563" s="11">
        <f>IF($H563="Cancelled","",IFERROR(IF(AB563="","",IF(AND(W563="",Y563=""),"",IF(Y563&gt;W563,Y563+Variables!$B$15+Variables!$B$16+Variables!$B$17-AB563,W563+Variables!$B$16+Variables!$B$17-AB563))),""))</f>
        <v>-33</v>
      </c>
      <c r="AD563" s="9" t="s">
        <v>1403</v>
      </c>
      <c r="AE563" s="9" t="s">
        <v>1404</v>
      </c>
      <c r="AF563" s="10"/>
      <c r="AG563" s="10"/>
      <c r="AH563" s="9"/>
      <c r="AI563" s="9">
        <v>921062</v>
      </c>
      <c r="AJ563" s="9"/>
      <c r="AK563" s="10">
        <v>46112</v>
      </c>
      <c r="AL563" s="10"/>
      <c r="AM563" s="10"/>
      <c r="AN563" s="9" t="s">
        <v>1306</v>
      </c>
      <c r="AO563" s="9"/>
      <c r="AP563" s="11">
        <f>IF($H563="Cancelled","",IFERROR(IF(OR(AK563="",AB563=""),"",(AB563+Variables!$B$18-AK563)),""))</f>
        <v>0</v>
      </c>
      <c r="AQ563" s="11" t="str">
        <f>IF($H563="Cancelled","",IFERROR(IF(OR(AM563="",AK563=""),"",(AK563+Variables!$B$19)-AM563),""))</f>
        <v/>
      </c>
      <c r="AR563" s="12" t="str">
        <f>IF($H563="Cancelled","",IFERROR(T563*INDEX(Variables!$B$7:$D$7,IFERROR(MATCH(IF($B563="Robusta","Robusta",(IF($B563="","Arabica",$B563))&amp;" - "&amp;(IF($C563="","Commercial",$C563))),Variables!$B$1:$D$1,0),1))*(AQ563/365),""))</f>
        <v/>
      </c>
      <c r="AS563" s="12">
        <f>IF($H563="Cancelled","",IFERROR((T563*INDEX(Variables!$B$7:$D$7,IFERROR(MATCH(IF($B563="Robusta","Robusta",(IF($B563="","Arabica",$B563))&amp;" - "&amp;(IF($C563="","Commercial",$C563))),Variables!$B$1:$D$1,0),1))*IFERROR(IF(W563="","",(AVERAGE(E563:F563)-W563)-Variables!$B$14),"")/365)+(L563/16.67*INDEX(Variables!$B$8:$D$8,IFERROR(MATCH(IF($B563="Robusta","Robusta",(IF($B563="","Arabica",$B563))&amp;" - "&amp;(IF($C563="","Commercial",$C563))),Variables!$B$1:$D$1,0),1))*IFERROR(IF(W563="","",(AVERAGE(E563:F563)-W563)-Variables!$B$14),""))+(T563*INDEX(Variables!$B$9:$D$9,IFERROR(MATCH(IF($B563="Robusta","Robusta",(IF($B563="","Arabica",$B563))&amp;" - "&amp;(IF($C563="","Commercial",$C563))),Variables!$B$1:$D$1,0),1))*IFERROR(IF(W563="","",(AVERAGE(E563:F563)-W563)-Variables!$B$14),"")/365),""))</f>
        <v>-327.41044811284218</v>
      </c>
      <c r="AT563" s="12">
        <f>IF($H563="Cancelled","",IFERROR((T563*INDEX(Variables!$B$7:$D$7,IFERROR(MATCH(IF($B563="Robusta","Robusta",(IF($B563="","Arabica",$B563))&amp;" - "&amp;(IF($C563="","Commercial",$C563))),Variables!$B$1:$D$1,0),1))*AC563/365)+(L563/16.67*INDEX(Variables!$B$8:$D$8,IFERROR(MATCH(IF($B563="Robusta","Robusta",(IF($B563="","Arabica",$B563))&amp;" - "&amp;(IF($C563="","Commercial",$C563))),Variables!$B$1:$D$1,0),1))*AC563)+(T563*INDEX(Variables!$B$9:$D$9,IFERROR(MATCH(IF($B563="Robusta","Robusta",(IF($B563="","Arabica",$B563))&amp;" - "&amp;(IF($C563="","Commercial",$C563))),Variables!$B$1:$D$1,0),1))*AC563/365),""))</f>
        <v>-407.7186712348601</v>
      </c>
      <c r="AU563" s="12">
        <f>IF($H563="Cancelled","",IFERROR((T563*INDEX(Variables!$B$7:$D$7,IFERROR(MATCH(IF($B563="Robusta","Robusta",(IF($B563="","Arabica",$B563))&amp;" - "&amp;(IF($C563="","Commercial",$C563))),Variables!$B$1:$D$1,0),1))*AP563/365)+(L563/16.67*INDEX(Variables!$B$8:$D$8,IFERROR(MATCH(IF($B563="Robusta","Robusta",(IF($B563="","Arabica",$B563))&amp;" - "&amp;(IF($C563="","Commercial",$C563))),Variables!$B$1:$D$1,0),1))*AP563)+(T563*INDEX(Variables!$B$9:$D$9,IFERROR(MATCH(IF($B563="Robusta","Robusta",(IF($B563="","Arabica",$B563))&amp;" - "&amp;(IF($C563="","Commercial",$C563))),Variables!$B$1:$D$1,0),1))*AP563/365),""))</f>
        <v>0</v>
      </c>
      <c r="AV563" s="11">
        <f t="shared" si="59"/>
        <v>-31</v>
      </c>
      <c r="AW563" s="12">
        <f>IF($H563="Cancelled","",IFERROR(IF(AV563="","",(T563*INDEX(Variables!$B$7:$D$7,IFERROR(MATCH(IF($B563="Robusta","Robusta",(IF($B563="","Arabica",$B563))&amp;" - "&amp;(IF($C563="","Commercial",$C563))),Variables!$B$1:$D$1,0),1))*(AV563/365))+(T563*INDEX(Variables!$B$9:$D$9,IFERROR(MATCH(IF($B563="Robusta","Robusta",(IF($B563="","Arabica",$B563))&amp;" - "&amp;(IF($C563="","Commercial",$C563))),Variables!$B$1:$D$1,0),1))*(AV563/365))+(INDEX(Variables!$B$8:$D$8,IFERROR(MATCH(IF($B563="Robusta","Robusta",(IF($B563="","Arabica",$B563))&amp;" - "&amp;(IF($C563="","Commercial",$C563))),Variables!$B$1:$D$1,0),1))*L563/16.67)),""))</f>
        <v>-223.00844873577765</v>
      </c>
      <c r="AX563" s="9"/>
      <c r="AY563" s="12"/>
      <c r="AZ563" s="10"/>
      <c r="BA563" s="9"/>
      <c r="BB563" s="10"/>
      <c r="BC563" s="9"/>
      <c r="BD563" s="9"/>
      <c r="BE563" s="9"/>
      <c r="BF563" s="9"/>
    </row>
    <row r="564" spans="1:58" x14ac:dyDescent="0.25">
      <c r="A564" s="9" t="s">
        <v>84</v>
      </c>
      <c r="B564" s="9" t="s">
        <v>85</v>
      </c>
      <c r="C564" s="9" t="s">
        <v>86</v>
      </c>
      <c r="D564" s="10">
        <v>46042</v>
      </c>
      <c r="E564" s="10">
        <v>46054</v>
      </c>
      <c r="F564" s="10">
        <v>46081</v>
      </c>
      <c r="G564" s="9">
        <v>3787116</v>
      </c>
      <c r="H564" s="9" t="str">
        <f t="shared" si="57"/>
        <v>Open</v>
      </c>
      <c r="I564" s="9" t="str">
        <f t="shared" si="58"/>
        <v>No shipping advice sent and No docs dispatch date</v>
      </c>
      <c r="J564" s="9" t="s">
        <v>257</v>
      </c>
      <c r="K564" s="9" t="s">
        <v>1407</v>
      </c>
      <c r="L564" s="11">
        <v>50</v>
      </c>
      <c r="M564" s="9" t="s">
        <v>1408</v>
      </c>
      <c r="N564" s="9" t="s">
        <v>543</v>
      </c>
      <c r="O564" s="9"/>
      <c r="P564" s="9"/>
      <c r="Q564" s="11">
        <v>30</v>
      </c>
      <c r="R564" s="9" t="s">
        <v>90</v>
      </c>
      <c r="S564" s="9"/>
      <c r="T564" s="12">
        <f>IF($H564="Cancelled","",IFERROR(((Q564+INDEX(Variables!$B$6:$D$6,IFERROR(MATCH(IF($B564="Robusta","Robusta",(IF($B564="","Arabica",$B564))&amp;" - "&amp;(IF($C564="","Commercial",$C564))),Variables!$B$1:$D$1,0),1)))*22.0462)*(L564/16.67),""))</f>
        <v>21213.020275944808</v>
      </c>
      <c r="U564" s="10">
        <v>46058</v>
      </c>
      <c r="V564" s="9" t="str">
        <f t="shared" si="61"/>
        <v>Sent</v>
      </c>
      <c r="W564" s="10">
        <v>46064</v>
      </c>
      <c r="X564" s="9" t="str">
        <f t="shared" si="62"/>
        <v>Approved</v>
      </c>
      <c r="Y564" s="10"/>
      <c r="Z564" s="10">
        <f>IF($H564="Cancelled","",IFERROR(IF(F564="","",F564-Variables!$B$13),""))</f>
        <v>46066</v>
      </c>
      <c r="AA564" s="11">
        <f>IF($H564="Cancelled","",IFERROR(IF(W564="","",(AVERAGE(E564:F564)-W564)-Variables!$B$14),""))</f>
        <v>-26.5</v>
      </c>
      <c r="AB564" s="10">
        <v>46105</v>
      </c>
      <c r="AC564" s="11">
        <f>IF($H564="Cancelled","",IFERROR(IF(AB564="","",IF(AND(W564="",Y564=""),"",IF(Y564&gt;W564,Y564+Variables!$B$15+Variables!$B$16+Variables!$B$17-AB564,W564+Variables!$B$16+Variables!$B$17-AB564))),""))</f>
        <v>-33</v>
      </c>
      <c r="AD564" s="9" t="s">
        <v>1403</v>
      </c>
      <c r="AE564" s="9" t="s">
        <v>1404</v>
      </c>
      <c r="AF564" s="10"/>
      <c r="AG564" s="10"/>
      <c r="AH564" s="9"/>
      <c r="AI564" s="9">
        <v>921062</v>
      </c>
      <c r="AJ564" s="9"/>
      <c r="AK564" s="10">
        <v>46112</v>
      </c>
      <c r="AL564" s="10"/>
      <c r="AM564" s="10"/>
      <c r="AN564" s="9" t="s">
        <v>1306</v>
      </c>
      <c r="AO564" s="9"/>
      <c r="AP564" s="11">
        <f>IF($H564="Cancelled","",IFERROR(IF(OR(AK564="",AB564=""),"",(AB564+Variables!$B$18-AK564)),""))</f>
        <v>0</v>
      </c>
      <c r="AQ564" s="11" t="str">
        <f>IF($H564="Cancelled","",IFERROR(IF(OR(AM564="",AK564=""),"",(AK564+Variables!$B$19)-AM564),""))</f>
        <v/>
      </c>
      <c r="AR564" s="12" t="str">
        <f>IF($H564="Cancelled","",IFERROR(T564*INDEX(Variables!$B$7:$D$7,IFERROR(MATCH(IF($B564="Robusta","Robusta",(IF($B564="","Arabica",$B564))&amp;" - "&amp;(IF($C564="","Commercial",$C564))),Variables!$B$1:$D$1,0),1))*(AQ564/365),""))</f>
        <v/>
      </c>
      <c r="AS564" s="12">
        <f>IF($H564="Cancelled","",IFERROR((T564*INDEX(Variables!$B$7:$D$7,IFERROR(MATCH(IF($B564="Robusta","Robusta",(IF($B564="","Arabica",$B564))&amp;" - "&amp;(IF($C564="","Commercial",$C564))),Variables!$B$1:$D$1,0),1))*IFERROR(IF(W564="","",(AVERAGE(E564:F564)-W564)-Variables!$B$14),"")/365)+(L564/16.67*INDEX(Variables!$B$8:$D$8,IFERROR(MATCH(IF($B564="Robusta","Robusta",(IF($B564="","Arabica",$B564))&amp;" - "&amp;(IF($C564="","Commercial",$C564))),Variables!$B$1:$D$1,0),1))*IFERROR(IF(W564="","",(AVERAGE(E564:F564)-W564)-Variables!$B$14),""))+(T564*INDEX(Variables!$B$9:$D$9,IFERROR(MATCH(IF($B564="Robusta","Robusta",(IF($B564="","Arabica",$B564))&amp;" - "&amp;(IF($C564="","Commercial",$C564))),Variables!$B$1:$D$1,0),1))*IFERROR(IF(W564="","",(AVERAGE(E564:F564)-W564)-Variables!$B$14),"")/365),""))</f>
        <v>-166.84084902606139</v>
      </c>
      <c r="AT564" s="12">
        <f>IF($H564="Cancelled","",IFERROR((T564*INDEX(Variables!$B$7:$D$7,IFERROR(MATCH(IF($B564="Robusta","Robusta",(IF($B564="","Arabica",$B564))&amp;" - "&amp;(IF($C564="","Commercial",$C564))),Variables!$B$1:$D$1,0),1))*AC564/365)+(L564/16.67*INDEX(Variables!$B$8:$D$8,IFERROR(MATCH(IF($B564="Robusta","Robusta",(IF($B564="","Arabica",$B564))&amp;" - "&amp;(IF($C564="","Commercial",$C564))),Variables!$B$1:$D$1,0),1))*AC564)+(T564*INDEX(Variables!$B$9:$D$9,IFERROR(MATCH(IF($B564="Robusta","Robusta",(IF($B564="","Arabica",$B564))&amp;" - "&amp;(IF($C564="","Commercial",$C564))),Variables!$B$1:$D$1,0),1))*AC564/365),""))</f>
        <v>-207.76407614566136</v>
      </c>
      <c r="AU564" s="12">
        <f>IF($H564="Cancelled","",IFERROR((T564*INDEX(Variables!$B$7:$D$7,IFERROR(MATCH(IF($B564="Robusta","Robusta",(IF($B564="","Arabica",$B564))&amp;" - "&amp;(IF($C564="","Commercial",$C564))),Variables!$B$1:$D$1,0),1))*AP564/365)+(L564/16.67*INDEX(Variables!$B$8:$D$8,IFERROR(MATCH(IF($B564="Robusta","Robusta",(IF($B564="","Arabica",$B564))&amp;" - "&amp;(IF($C564="","Commercial",$C564))),Variables!$B$1:$D$1,0),1))*AP564)+(T564*INDEX(Variables!$B$9:$D$9,IFERROR(MATCH(IF($B564="Robusta","Robusta",(IF($B564="","Arabica",$B564))&amp;" - "&amp;(IF($C564="","Commercial",$C564))),Variables!$B$1:$D$1,0),1))*AP564/365),""))</f>
        <v>0</v>
      </c>
      <c r="AV564" s="11">
        <f t="shared" si="59"/>
        <v>-31</v>
      </c>
      <c r="AW564" s="12">
        <f>IF($H564="Cancelled","",IFERROR(IF(AV564="","",(T564*INDEX(Variables!$B$7:$D$7,IFERROR(MATCH(IF($B564="Robusta","Robusta",(IF($B564="","Arabica",$B564))&amp;" - "&amp;(IF($C564="","Commercial",$C564))),Variables!$B$1:$D$1,0),1))*(AV564/365))+(T564*INDEX(Variables!$B$9:$D$9,IFERROR(MATCH(IF($B564="Robusta","Robusta",(IF($B564="","Arabica",$B564))&amp;" - "&amp;(IF($C564="","Commercial",$C564))),Variables!$B$1:$D$1,0),1))*(AV564/365))+(INDEX(Variables!$B$8:$D$8,IFERROR(MATCH(IF($B564="Robusta","Robusta",(IF($B564="","Arabica",$B564))&amp;" - "&amp;(IF($C564="","Commercial",$C564))),Variables!$B$1:$D$1,0),1))*L564/16.67)),""))</f>
        <v>-115.17231395501521</v>
      </c>
      <c r="AX564" s="9"/>
      <c r="AY564" s="12"/>
      <c r="AZ564" s="10"/>
      <c r="BA564" s="9"/>
      <c r="BB564" s="10"/>
      <c r="BC564" s="9"/>
      <c r="BD564" s="9"/>
      <c r="BE564" s="9"/>
      <c r="BF564" s="9"/>
    </row>
    <row r="565" spans="1:58" x14ac:dyDescent="0.25">
      <c r="A565" s="9" t="s">
        <v>84</v>
      </c>
      <c r="B565" s="9" t="s">
        <v>85</v>
      </c>
      <c r="C565" s="9" t="s">
        <v>86</v>
      </c>
      <c r="D565" s="10">
        <v>46034</v>
      </c>
      <c r="E565" s="10">
        <v>46082</v>
      </c>
      <c r="F565" s="10">
        <v>46112</v>
      </c>
      <c r="G565" s="9">
        <v>3787094</v>
      </c>
      <c r="H565" s="9" t="str">
        <f t="shared" si="57"/>
        <v>Open</v>
      </c>
      <c r="I565" s="9" t="str">
        <f t="shared" si="58"/>
        <v>No shipping advice sent and No docs dispatch date</v>
      </c>
      <c r="J565" s="9" t="s">
        <v>102</v>
      </c>
      <c r="K565" s="9" t="s">
        <v>1409</v>
      </c>
      <c r="L565" s="11">
        <v>334</v>
      </c>
      <c r="M565" s="9" t="s">
        <v>1260</v>
      </c>
      <c r="N565" s="9" t="s">
        <v>432</v>
      </c>
      <c r="O565" s="9"/>
      <c r="P565" s="9"/>
      <c r="Q565" s="11">
        <v>53</v>
      </c>
      <c r="R565" s="9" t="s">
        <v>90</v>
      </c>
      <c r="S565" s="9" t="s">
        <v>1410</v>
      </c>
      <c r="T565" s="12">
        <f>IF($H565="Cancelled","",IFERROR(((Q565+INDEX(Variables!$B$6:$D$6,IFERROR(MATCH(IF($B565="Robusta","Robusta",(IF($B565="","Arabica",$B565))&amp;" - "&amp;(IF($C565="","Commercial",$C565))),Variables!$B$1:$D$1,0),1)))*22.0462)*(L565/16.67),""))</f>
        <v>151862.47804679064</v>
      </c>
      <c r="U565" s="10">
        <v>46051</v>
      </c>
      <c r="V565" s="9" t="str">
        <f t="shared" si="61"/>
        <v>Sent</v>
      </c>
      <c r="W565" s="10">
        <v>46059</v>
      </c>
      <c r="X565" s="9" t="str">
        <f t="shared" si="62"/>
        <v>Approved</v>
      </c>
      <c r="Y565" s="10"/>
      <c r="Z565" s="10">
        <f>IF($H565="Cancelled","",IFERROR(IF(F565="","",F565-Variables!$B$13),""))</f>
        <v>46097</v>
      </c>
      <c r="AA565" s="11">
        <f>IF($H565="Cancelled","",IFERROR(IF(W565="","",(AVERAGE(E565:F565)-W565)-Variables!$B$14),""))</f>
        <v>8</v>
      </c>
      <c r="AB565" s="10">
        <v>46098</v>
      </c>
      <c r="AC565" s="11">
        <f>IF($H565="Cancelled","",IFERROR(IF(AB565="","",IF(AND(W565="",Y565=""),"",IF(Y565&gt;W565,Y565+Variables!$B$15+Variables!$B$16+Variables!$B$17-AB565,W565+Variables!$B$16+Variables!$B$17-AB565))),""))</f>
        <v>-31</v>
      </c>
      <c r="AD565" s="9" t="s">
        <v>163</v>
      </c>
      <c r="AE565" s="9" t="s">
        <v>1305</v>
      </c>
      <c r="AF565" s="10">
        <v>46159</v>
      </c>
      <c r="AG565" s="10"/>
      <c r="AH565" s="9"/>
      <c r="AI565" s="9">
        <v>267431284</v>
      </c>
      <c r="AJ565" s="9"/>
      <c r="AK565" s="10">
        <v>46112</v>
      </c>
      <c r="AL565" s="10"/>
      <c r="AM565" s="10"/>
      <c r="AN565" s="9" t="s">
        <v>1411</v>
      </c>
      <c r="AO565" s="9"/>
      <c r="AP565" s="11">
        <f>IF($H565="Cancelled","",IFERROR(IF(OR(AK565="",AB565=""),"",(AB565+Variables!$B$18-AK565)),""))</f>
        <v>-7</v>
      </c>
      <c r="AQ565" s="11" t="str">
        <f>IF($H565="Cancelled","",IFERROR(IF(OR(AM565="",AK565=""),"",(AK565+Variables!$B$19)-AM565),""))</f>
        <v/>
      </c>
      <c r="AR565" s="12" t="str">
        <f>IF($H565="Cancelled","",IFERROR(T565*INDEX(Variables!$B$7:$D$7,IFERROR(MATCH(IF($B565="Robusta","Robusta",(IF($B565="","Arabica",$B565))&amp;" - "&amp;(IF($C565="","Commercial",$C565))),Variables!$B$1:$D$1,0),1))*(AQ565/365),""))</f>
        <v/>
      </c>
      <c r="AS565" s="12">
        <f>IF($H565="Cancelled","",IFERROR((T565*INDEX(Variables!$B$7:$D$7,IFERROR(MATCH(IF($B565="Robusta","Robusta",(IF($B565="","Arabica",$B565))&amp;" - "&amp;(IF($C565="","Commercial",$C565))),Variables!$B$1:$D$1,0),1))*IFERROR(IF(W565="","",(AVERAGE(E565:F565)-W565)-Variables!$B$14),"")/365)+(L565/16.67*INDEX(Variables!$B$8:$D$8,IFERROR(MATCH(IF($B565="Robusta","Robusta",(IF($B565="","Arabica",$B565))&amp;" - "&amp;(IF($C565="","Commercial",$C565))),Variables!$B$1:$D$1,0),1))*IFERROR(IF(W565="","",(AVERAGE(E565:F565)-W565)-Variables!$B$14),""))+(T565*INDEX(Variables!$B$9:$D$9,IFERROR(MATCH(IF($B565="Robusta","Robusta",(IF($B565="","Arabica",$B565))&amp;" - "&amp;(IF($C565="","Commercial",$C565))),Variables!$B$1:$D$1,0),1))*IFERROR(IF(W565="","",(AVERAGE(E565:F565)-W565)-Variables!$B$14),"")/365),""))</f>
        <v>350.99550597060954</v>
      </c>
      <c r="AT565" s="12">
        <f>IF($H565="Cancelled","",IFERROR((T565*INDEX(Variables!$B$7:$D$7,IFERROR(MATCH(IF($B565="Robusta","Robusta",(IF($B565="","Arabica",$B565))&amp;" - "&amp;(IF($C565="","Commercial",$C565))),Variables!$B$1:$D$1,0),1))*AC565/365)+(L565/16.67*INDEX(Variables!$B$8:$D$8,IFERROR(MATCH(IF($B565="Robusta","Robusta",(IF($B565="","Arabica",$B565))&amp;" - "&amp;(IF($C565="","Commercial",$C565))),Variables!$B$1:$D$1,0),1))*AC565)+(T565*INDEX(Variables!$B$9:$D$9,IFERROR(MATCH(IF($B565="Robusta","Robusta",(IF($B565="","Arabica",$B565))&amp;" - "&amp;(IF($C565="","Commercial",$C565))),Variables!$B$1:$D$1,0),1))*AC565/365),""))</f>
        <v>-1360.1075856361119</v>
      </c>
      <c r="AU565" s="12">
        <f>IF($H565="Cancelled","",IFERROR((T565*INDEX(Variables!$B$7:$D$7,IFERROR(MATCH(IF($B565="Robusta","Robusta",(IF($B565="","Arabica",$B565))&amp;" - "&amp;(IF($C565="","Commercial",$C565))),Variables!$B$1:$D$1,0),1))*AP565/365)+(L565/16.67*INDEX(Variables!$B$8:$D$8,IFERROR(MATCH(IF($B565="Robusta","Robusta",(IF($B565="","Arabica",$B565))&amp;" - "&amp;(IF($C565="","Commercial",$C565))),Variables!$B$1:$D$1,0),1))*AP565)+(T565*INDEX(Variables!$B$9:$D$9,IFERROR(MATCH(IF($B565="Robusta","Robusta",(IF($B565="","Arabica",$B565))&amp;" - "&amp;(IF($C565="","Commercial",$C565))),Variables!$B$1:$D$1,0),1))*AP565/365),""))</f>
        <v>-307.12106772428336</v>
      </c>
      <c r="AV565" s="11">
        <f t="shared" si="59"/>
        <v>0</v>
      </c>
      <c r="AW565" s="12">
        <f>IF($H565="Cancelled","",IFERROR(IF(AV565="","",(T565*INDEX(Variables!$B$7:$D$7,IFERROR(MATCH(IF($B565="Robusta","Robusta",(IF($B565="","Arabica",$B565))&amp;" - "&amp;(IF($C565="","Commercial",$C565))),Variables!$B$1:$D$1,0),1))*(AV565/365))+(T565*INDEX(Variables!$B$9:$D$9,IFERROR(MATCH(IF($B565="Robusta","Robusta",(IF($B565="","Arabica",$B565))&amp;" - "&amp;(IF($C565="","Commercial",$C565))),Variables!$B$1:$D$1,0),1))*(AV565/365))+(INDEX(Variables!$B$8:$D$8,IFERROR(MATCH(IF($B565="Robusta","Robusta",(IF($B565="","Arabica",$B565))&amp;" - "&amp;(IF($C565="","Commercial",$C565))),Variables!$B$1:$D$1,0),1))*L565/16.67)),""))</f>
        <v>16.700000000000003</v>
      </c>
      <c r="AX565" s="9"/>
      <c r="AY565" s="12"/>
      <c r="AZ565" s="10"/>
      <c r="BA565" s="9"/>
      <c r="BB565" s="10"/>
      <c r="BC565" s="9"/>
      <c r="BD565" s="9"/>
      <c r="BE565" s="9"/>
      <c r="BF565" s="9"/>
    </row>
    <row r="566" spans="1:58" x14ac:dyDescent="0.25">
      <c r="A566" s="9" t="s">
        <v>84</v>
      </c>
      <c r="B566" s="9" t="s">
        <v>85</v>
      </c>
      <c r="C566" s="9" t="s">
        <v>86</v>
      </c>
      <c r="D566" s="10">
        <v>46049</v>
      </c>
      <c r="E566" s="10">
        <v>46082</v>
      </c>
      <c r="F566" s="10">
        <v>46112</v>
      </c>
      <c r="G566" s="9">
        <v>3787139</v>
      </c>
      <c r="H566" s="9" t="str">
        <f t="shared" si="57"/>
        <v>Open</v>
      </c>
      <c r="I566" s="9" t="str">
        <f t="shared" si="58"/>
        <v>No shipping advice sent and No docs dispatch date</v>
      </c>
      <c r="J566" s="9" t="s">
        <v>102</v>
      </c>
      <c r="K566" s="9" t="s">
        <v>1412</v>
      </c>
      <c r="L566" s="11">
        <v>333</v>
      </c>
      <c r="M566" s="9" t="s">
        <v>1413</v>
      </c>
      <c r="N566" s="9" t="s">
        <v>105</v>
      </c>
      <c r="O566" s="9"/>
      <c r="P566" s="9"/>
      <c r="Q566" s="11">
        <v>40</v>
      </c>
      <c r="R566" s="9" t="s">
        <v>90</v>
      </c>
      <c r="S566" s="9"/>
      <c r="T566" s="12">
        <f>IF($H566="Cancelled","",IFERROR(((Q566+INDEX(Variables!$B$6:$D$6,IFERROR(MATCH(IF($B566="Robusta","Robusta",(IF($B566="","Arabica",$B566))&amp;" - "&amp;(IF($C566="","Commercial",$C566))),Variables!$B$1:$D$1,0),1)))*22.0462)*(L566/16.67),""))</f>
        <v>145682.66500779844</v>
      </c>
      <c r="U566" s="10">
        <v>46072</v>
      </c>
      <c r="V566" s="9" t="str">
        <f t="shared" si="61"/>
        <v>Sent</v>
      </c>
      <c r="W566" s="10">
        <v>46079</v>
      </c>
      <c r="X566" s="9" t="str">
        <f t="shared" si="62"/>
        <v>Approved</v>
      </c>
      <c r="Y566" s="10"/>
      <c r="Z566" s="10">
        <f>IF($H566="Cancelled","",IFERROR(IF(F566="","",F566-Variables!$B$13),""))</f>
        <v>46097</v>
      </c>
      <c r="AA566" s="11">
        <f>IF($H566="Cancelled","",IFERROR(IF(W566="","",(AVERAGE(E566:F566)-W566)-Variables!$B$14),""))</f>
        <v>-12</v>
      </c>
      <c r="AB566" s="10">
        <v>46111</v>
      </c>
      <c r="AC566" s="11">
        <f>IF($H566="Cancelled","",IFERROR(IF(AB566="","",IF(AND(W566="",Y566=""),"",IF(Y566&gt;W566,Y566+Variables!$B$15+Variables!$B$16+Variables!$B$17-AB566,W566+Variables!$B$16+Variables!$B$17-AB566))),""))</f>
        <v>-24</v>
      </c>
      <c r="AD566" s="9" t="s">
        <v>163</v>
      </c>
      <c r="AE566" s="9" t="s">
        <v>1414</v>
      </c>
      <c r="AF566" s="10">
        <v>46176</v>
      </c>
      <c r="AG566" s="10"/>
      <c r="AH566" s="9"/>
      <c r="AI566" s="9">
        <v>267598395</v>
      </c>
      <c r="AJ566" s="9"/>
      <c r="AK566" s="10">
        <v>46121</v>
      </c>
      <c r="AL566" s="10"/>
      <c r="AM566" s="10"/>
      <c r="AN566" s="9" t="s">
        <v>1249</v>
      </c>
      <c r="AO566" s="9"/>
      <c r="AP566" s="11">
        <f>IF($H566="Cancelled","",IFERROR(IF(OR(AK566="",AB566=""),"",(AB566+Variables!$B$18-AK566)),""))</f>
        <v>-3</v>
      </c>
      <c r="AQ566" s="11" t="str">
        <f>IF($H566="Cancelled","",IFERROR(IF(OR(AM566="",AK566=""),"",(AK566+Variables!$B$19)-AM566),""))</f>
        <v/>
      </c>
      <c r="AR566" s="12" t="str">
        <f>IF($H566="Cancelled","",IFERROR(T566*INDEX(Variables!$B$7:$D$7,IFERROR(MATCH(IF($B566="Robusta","Robusta",(IF($B566="","Arabica",$B566))&amp;" - "&amp;(IF($C566="","Commercial",$C566))),Variables!$B$1:$D$1,0),1))*(AQ566/365),""))</f>
        <v/>
      </c>
      <c r="AS566" s="12">
        <f>IF($H566="Cancelled","",IFERROR((T566*INDEX(Variables!$B$7:$D$7,IFERROR(MATCH(IF($B566="Robusta","Robusta",(IF($B566="","Arabica",$B566))&amp;" - "&amp;(IF($C566="","Commercial",$C566))),Variables!$B$1:$D$1,0),1))*IFERROR(IF(W566="","",(AVERAGE(E566:F566)-W566)-Variables!$B$14),"")/365)+(L566/16.67*INDEX(Variables!$B$8:$D$8,IFERROR(MATCH(IF($B566="Robusta","Robusta",(IF($B566="","Arabica",$B566))&amp;" - "&amp;(IF($C566="","Commercial",$C566))),Variables!$B$1:$D$1,0),1))*IFERROR(IF(W566="","",(AVERAGE(E566:F566)-W566)-Variables!$B$14),""))+(T566*INDEX(Variables!$B$9:$D$9,IFERROR(MATCH(IF($B566="Robusta","Robusta",(IF($B566="","Arabica",$B566))&amp;" - "&amp;(IF($C566="","Commercial",$C566))),Variables!$B$1:$D$1,0),1))*IFERROR(IF(W566="","",(AVERAGE(E566:F566)-W566)-Variables!$B$14),"")/365),""))</f>
        <v>-512.62338874477291</v>
      </c>
      <c r="AT566" s="12">
        <f>IF($H566="Cancelled","",IFERROR((T566*INDEX(Variables!$B$7:$D$7,IFERROR(MATCH(IF($B566="Robusta","Robusta",(IF($B566="","Arabica",$B566))&amp;" - "&amp;(IF($C566="","Commercial",$C566))),Variables!$B$1:$D$1,0),1))*AC566/365)+(L566/16.67*INDEX(Variables!$B$8:$D$8,IFERROR(MATCH(IF($B566="Robusta","Robusta",(IF($B566="","Arabica",$B566))&amp;" - "&amp;(IF($C566="","Commercial",$C566))),Variables!$B$1:$D$1,0),1))*AC566)+(T566*INDEX(Variables!$B$9:$D$9,IFERROR(MATCH(IF($B566="Robusta","Robusta",(IF($B566="","Arabica",$B566))&amp;" - "&amp;(IF($C566="","Commercial",$C566))),Variables!$B$1:$D$1,0),1))*AC566/365),""))</f>
        <v>-1025.2467774895458</v>
      </c>
      <c r="AU566" s="12">
        <f>IF($H566="Cancelled","",IFERROR((T566*INDEX(Variables!$B$7:$D$7,IFERROR(MATCH(IF($B566="Robusta","Robusta",(IF($B566="","Arabica",$B566))&amp;" - "&amp;(IF($C566="","Commercial",$C566))),Variables!$B$1:$D$1,0),1))*AP566/365)+(L566/16.67*INDEX(Variables!$B$8:$D$8,IFERROR(MATCH(IF($B566="Robusta","Robusta",(IF($B566="","Arabica",$B566))&amp;" - "&amp;(IF($C566="","Commercial",$C566))),Variables!$B$1:$D$1,0),1))*AP566)+(T566*INDEX(Variables!$B$9:$D$9,IFERROR(MATCH(IF($B566="Robusta","Robusta",(IF($B566="","Arabica",$B566))&amp;" - "&amp;(IF($C566="","Commercial",$C566))),Variables!$B$1:$D$1,0),1))*AP566/365),""))</f>
        <v>-128.15584718619323</v>
      </c>
      <c r="AV566" s="11">
        <f t="shared" si="59"/>
        <v>-9</v>
      </c>
      <c r="AW566" s="12">
        <f>IF($H566="Cancelled","",IFERROR(IF(AV566="","",(T566*INDEX(Variables!$B$7:$D$7,IFERROR(MATCH(IF($B566="Robusta","Robusta",(IF($B566="","Arabica",$B566))&amp;" - "&amp;(IF($C566="","Commercial",$C566))),Variables!$B$1:$D$1,0),1))*(AV566/365))+(T566*INDEX(Variables!$B$9:$D$9,IFERROR(MATCH(IF($B566="Robusta","Robusta",(IF($B566="","Arabica",$B566))&amp;" - "&amp;(IF($C566="","Commercial",$C566))),Variables!$B$1:$D$1,0),1))*(AV566/365))+(INDEX(Variables!$B$8:$D$8,IFERROR(MATCH(IF($B566="Robusta","Robusta",(IF($B566="","Arabica",$B566))&amp;" - "&amp;(IF($C566="","Commercial",$C566))),Variables!$B$1:$D$1,0),1))*L566/16.67)),""))</f>
        <v>-217.96754155857968</v>
      </c>
      <c r="AX566" s="9"/>
      <c r="AY566" s="12"/>
      <c r="AZ566" s="10"/>
      <c r="BA566" s="9"/>
      <c r="BB566" s="10"/>
      <c r="BC566" s="9"/>
      <c r="BD566" s="9"/>
      <c r="BE566" s="9"/>
      <c r="BF566" s="9"/>
    </row>
    <row r="567" spans="1:58" x14ac:dyDescent="0.25">
      <c r="A567" s="9" t="s">
        <v>84</v>
      </c>
      <c r="B567" s="9" t="s">
        <v>85</v>
      </c>
      <c r="C567" s="9" t="s">
        <v>86</v>
      </c>
      <c r="D567" s="10">
        <v>46049</v>
      </c>
      <c r="E567" s="10">
        <v>46082</v>
      </c>
      <c r="F567" s="10">
        <v>46112</v>
      </c>
      <c r="G567" s="9">
        <v>3787139</v>
      </c>
      <c r="H567" s="9" t="str">
        <f t="shared" si="57"/>
        <v>Open</v>
      </c>
      <c r="I567" s="9" t="str">
        <f t="shared" si="58"/>
        <v>No shipping advice sent and No docs dispatch date</v>
      </c>
      <c r="J567" s="9" t="s">
        <v>102</v>
      </c>
      <c r="K567" s="9" t="s">
        <v>1415</v>
      </c>
      <c r="L567" s="11">
        <v>1667</v>
      </c>
      <c r="M567" s="9" t="s">
        <v>1413</v>
      </c>
      <c r="N567" s="9" t="s">
        <v>105</v>
      </c>
      <c r="O567" s="9"/>
      <c r="P567" s="9"/>
      <c r="Q567" s="11">
        <v>40</v>
      </c>
      <c r="R567" s="9" t="s">
        <v>90</v>
      </c>
      <c r="S567" s="9" t="s">
        <v>465</v>
      </c>
      <c r="T567" s="12">
        <f>IF($H567="Cancelled","",IFERROR(((Q567+INDEX(Variables!$B$6:$D$6,IFERROR(MATCH(IF($B567="Robusta","Robusta",(IF($B567="","Arabica",$B567))&amp;" - "&amp;(IF($C567="","Commercial",$C567))),Variables!$B$1:$D$1,0),1)))*22.0462)*(L567/16.67),""))</f>
        <v>729288.29599999986</v>
      </c>
      <c r="U567" s="10">
        <v>46072</v>
      </c>
      <c r="V567" s="9" t="str">
        <f t="shared" si="61"/>
        <v>Sent</v>
      </c>
      <c r="W567" s="10">
        <v>46079</v>
      </c>
      <c r="X567" s="9" t="str">
        <f t="shared" si="62"/>
        <v>Approved</v>
      </c>
      <c r="Y567" s="10"/>
      <c r="Z567" s="10">
        <f>IF($H567="Cancelled","",IFERROR(IF(F567="","",F567-Variables!$B$13),""))</f>
        <v>46097</v>
      </c>
      <c r="AA567" s="11">
        <f>IF($H567="Cancelled","",IFERROR(IF(W567="","",(AVERAGE(E567:F567)-W567)-Variables!$B$14),""))</f>
        <v>-12</v>
      </c>
      <c r="AB567" s="10">
        <v>46119</v>
      </c>
      <c r="AC567" s="11">
        <f>IF($H567="Cancelled","",IFERROR(IF(AB567="","",IF(AND(W567="",Y567=""),"",IF(Y567&gt;W567,Y567+Variables!$B$15+Variables!$B$16+Variables!$B$17-AB567,W567+Variables!$B$16+Variables!$B$17-AB567))),""))</f>
        <v>-32</v>
      </c>
      <c r="AD567" s="9" t="s">
        <v>163</v>
      </c>
      <c r="AE567" s="9" t="s">
        <v>1414</v>
      </c>
      <c r="AF567" s="10">
        <v>46176</v>
      </c>
      <c r="AG567" s="10"/>
      <c r="AH567" s="9"/>
      <c r="AI567" s="9">
        <v>267598861</v>
      </c>
      <c r="AJ567" s="9"/>
      <c r="AK567" s="10">
        <v>46121</v>
      </c>
      <c r="AL567" s="10"/>
      <c r="AM567" s="10"/>
      <c r="AN567" s="9" t="s">
        <v>1416</v>
      </c>
      <c r="AO567" s="9"/>
      <c r="AP567" s="11">
        <f>IF($H567="Cancelled","",IFERROR(IF(OR(AK567="",AB567=""),"",(AB567+Variables!$B$18-AK567)),""))</f>
        <v>5</v>
      </c>
      <c r="AQ567" s="11" t="str">
        <f>IF($H567="Cancelled","",IFERROR(IF(OR(AM567="",AK567=""),"",(AK567+Variables!$B$19)-AM567),""))</f>
        <v/>
      </c>
      <c r="AR567" s="12" t="str">
        <f>IF($H567="Cancelled","",IFERROR(T567*INDEX(Variables!$B$7:$D$7,IFERROR(MATCH(IF($B567="Robusta","Robusta",(IF($B567="","Arabica",$B567))&amp;" - "&amp;(IF($C567="","Commercial",$C567))),Variables!$B$1:$D$1,0),1))*(AQ567/365),""))</f>
        <v/>
      </c>
      <c r="AS567" s="12">
        <f>IF($H567="Cancelled","",IFERROR((T567*INDEX(Variables!$B$7:$D$7,IFERROR(MATCH(IF($B567="Robusta","Robusta",(IF($B567="","Arabica",$B567))&amp;" - "&amp;(IF($C567="","Commercial",$C567))),Variables!$B$1:$D$1,0),1))*IFERROR(IF(W567="","",(AVERAGE(E567:F567)-W567)-Variables!$B$14),"")/365)+(L567/16.67*INDEX(Variables!$B$8:$D$8,IFERROR(MATCH(IF($B567="Robusta","Robusta",(IF($B567="","Arabica",$B567))&amp;" - "&amp;(IF($C567="","Commercial",$C567))),Variables!$B$1:$D$1,0),1))*IFERROR(IF(W567="","",(AVERAGE(E567:F567)-W567)-Variables!$B$14),""))+(T567*INDEX(Variables!$B$9:$D$9,IFERROR(MATCH(IF($B567="Robusta","Robusta",(IF($B567="","Arabica",$B567))&amp;" - "&amp;(IF($C567="","Commercial",$C567))),Variables!$B$1:$D$1,0),1))*IFERROR(IF(W567="","",(AVERAGE(E567:F567)-W567)-Variables!$B$14),"")/365),""))</f>
        <v>-2566.1957628754849</v>
      </c>
      <c r="AT567" s="12">
        <f>IF($H567="Cancelled","",IFERROR((T567*INDEX(Variables!$B$7:$D$7,IFERROR(MATCH(IF($B567="Robusta","Robusta",(IF($B567="","Arabica",$B567))&amp;" - "&amp;(IF($C567="","Commercial",$C567))),Variables!$B$1:$D$1,0),1))*AC567/365)+(L567/16.67*INDEX(Variables!$B$8:$D$8,IFERROR(MATCH(IF($B567="Robusta","Robusta",(IF($B567="","Arabica",$B567))&amp;" - "&amp;(IF($C567="","Commercial",$C567))),Variables!$B$1:$D$1,0),1))*AC567)+(T567*INDEX(Variables!$B$9:$D$9,IFERROR(MATCH(IF($B567="Robusta","Robusta",(IF($B567="","Arabica",$B567))&amp;" - "&amp;(IF($C567="","Commercial",$C567))),Variables!$B$1:$D$1,0),1))*AC567/365),""))</f>
        <v>-6843.1887010012924</v>
      </c>
      <c r="AU567" s="12">
        <f>IF($H567="Cancelled","",IFERROR((T567*INDEX(Variables!$B$7:$D$7,IFERROR(MATCH(IF($B567="Robusta","Robusta",(IF($B567="","Arabica",$B567))&amp;" - "&amp;(IF($C567="","Commercial",$C567))),Variables!$B$1:$D$1,0),1))*AP567/365)+(L567/16.67*INDEX(Variables!$B$8:$D$8,IFERROR(MATCH(IF($B567="Robusta","Robusta",(IF($B567="","Arabica",$B567))&amp;" - "&amp;(IF($C567="","Commercial",$C567))),Variables!$B$1:$D$1,0),1))*AP567)+(T567*INDEX(Variables!$B$9:$D$9,IFERROR(MATCH(IF($B567="Robusta","Robusta",(IF($B567="","Arabica",$B567))&amp;" - "&amp;(IF($C567="","Commercial",$C567))),Variables!$B$1:$D$1,0),1))*AP567/365),""))</f>
        <v>1069.248234531452</v>
      </c>
      <c r="AV567" s="11">
        <f t="shared" si="59"/>
        <v>-9</v>
      </c>
      <c r="AW567" s="12">
        <f>IF($H567="Cancelled","",IFERROR(IF(AV567="","",(T567*INDEX(Variables!$B$7:$D$7,IFERROR(MATCH(IF($B567="Robusta","Robusta",(IF($B567="","Arabica",$B567))&amp;" - "&amp;(IF($C567="","Commercial",$C567))),Variables!$B$1:$D$1,0),1))*(AV567/365))+(T567*INDEX(Variables!$B$9:$D$9,IFERROR(MATCH(IF($B567="Robusta","Robusta",(IF($B567="","Arabica",$B567))&amp;" - "&amp;(IF($C567="","Commercial",$C567))),Variables!$B$1:$D$1,0),1))*(AV567/365))+(INDEX(Variables!$B$8:$D$8,IFERROR(MATCH(IF($B567="Robusta","Robusta",(IF($B567="","Arabica",$B567))&amp;" - "&amp;(IF($C567="","Commercial",$C567))),Variables!$B$1:$D$1,0),1))*L567/16.67)),""))</f>
        <v>-1091.1468221566136</v>
      </c>
      <c r="AX567" s="9"/>
      <c r="AY567" s="12"/>
      <c r="AZ567" s="10"/>
      <c r="BA567" s="9"/>
      <c r="BB567" s="10"/>
      <c r="BC567" s="9"/>
      <c r="BD567" s="9"/>
      <c r="BE567" s="9"/>
      <c r="BF567" s="9"/>
    </row>
    <row r="568" spans="1:58" x14ac:dyDescent="0.25">
      <c r="A568" s="9" t="s">
        <v>84</v>
      </c>
      <c r="B568" s="9" t="s">
        <v>85</v>
      </c>
      <c r="C568" s="9" t="s">
        <v>86</v>
      </c>
      <c r="D568" s="10">
        <v>46049</v>
      </c>
      <c r="E568" s="10">
        <v>46082</v>
      </c>
      <c r="F568" s="10">
        <v>46112</v>
      </c>
      <c r="G568" s="9">
        <v>3787139</v>
      </c>
      <c r="H568" s="9" t="str">
        <f t="shared" si="57"/>
        <v>Open</v>
      </c>
      <c r="I568" s="9" t="str">
        <f t="shared" si="58"/>
        <v>No shipping advice sent and No docs dispatch date</v>
      </c>
      <c r="J568" s="9" t="s">
        <v>102</v>
      </c>
      <c r="K568" s="9" t="s">
        <v>1417</v>
      </c>
      <c r="L568" s="11">
        <v>667</v>
      </c>
      <c r="M568" s="9" t="s">
        <v>1413</v>
      </c>
      <c r="N568" s="9" t="s">
        <v>105</v>
      </c>
      <c r="O568" s="9"/>
      <c r="P568" s="9"/>
      <c r="Q568" s="11">
        <v>40</v>
      </c>
      <c r="R568" s="9" t="s">
        <v>90</v>
      </c>
      <c r="S568" s="9"/>
      <c r="T568" s="12">
        <f>IF($H568="Cancelled","",IFERROR(((Q568+INDEX(Variables!$B$6:$D$6,IFERROR(MATCH(IF($B568="Robusta","Robusta",(IF($B568="","Arabica",$B568))&amp;" - "&amp;(IF($C568="","Commercial",$C568))),Variables!$B$1:$D$1,0),1)))*22.0462)*(L568/16.67),""))</f>
        <v>291802.81549610075</v>
      </c>
      <c r="U568" s="10">
        <v>46072</v>
      </c>
      <c r="V568" s="9" t="str">
        <f t="shared" si="61"/>
        <v>Sent</v>
      </c>
      <c r="W568" s="10">
        <v>46079</v>
      </c>
      <c r="X568" s="9" t="str">
        <f t="shared" si="62"/>
        <v>Approved</v>
      </c>
      <c r="Y568" s="10"/>
      <c r="Z568" s="10">
        <f>IF($H568="Cancelled","",IFERROR(IF(F568="","",F568-Variables!$B$13),""))</f>
        <v>46097</v>
      </c>
      <c r="AA568" s="11">
        <f>IF($H568="Cancelled","",IFERROR(IF(W568="","",(AVERAGE(E568:F568)-W568)-Variables!$B$14),""))</f>
        <v>-12</v>
      </c>
      <c r="AB568" s="10"/>
      <c r="AC568" s="11" t="str">
        <f>IF($H568="Cancelled","",IFERROR(IF(AB568="","",IF(AND(W568="",Y568=""),"",IF(Y568&gt;W568,Y568+Variables!$B$15+Variables!$B$16+Variables!$B$17-AB568,W568+Variables!$B$16+Variables!$B$17-AB568))),""))</f>
        <v/>
      </c>
      <c r="AD568" s="9" t="s">
        <v>163</v>
      </c>
      <c r="AE568" s="9" t="s">
        <v>1414</v>
      </c>
      <c r="AF568" s="10">
        <v>46176</v>
      </c>
      <c r="AG568" s="10"/>
      <c r="AH568" s="9"/>
      <c r="AI568" s="9">
        <v>268612705</v>
      </c>
      <c r="AJ568" s="9"/>
      <c r="AK568" s="10">
        <v>46121</v>
      </c>
      <c r="AL568" s="10"/>
      <c r="AM568" s="10"/>
      <c r="AN568" s="9" t="s">
        <v>1188</v>
      </c>
      <c r="AO568" s="9"/>
      <c r="AP568" s="11" t="str">
        <f>IF($H568="Cancelled","",IFERROR(IF(OR(AK568="",AB568=""),"",(AB568+Variables!$B$18-AK568)),""))</f>
        <v/>
      </c>
      <c r="AQ568" s="11" t="str">
        <f>IF($H568="Cancelled","",IFERROR(IF(OR(AM568="",AK568=""),"",(AK568+Variables!$B$19)-AM568),""))</f>
        <v/>
      </c>
      <c r="AR568" s="12" t="str">
        <f>IF($H568="Cancelled","",IFERROR(T568*INDEX(Variables!$B$7:$D$7,IFERROR(MATCH(IF($B568="Robusta","Robusta",(IF($B568="","Arabica",$B568))&amp;" - "&amp;(IF($C568="","Commercial",$C568))),Variables!$B$1:$D$1,0),1))*(AQ568/365),""))</f>
        <v/>
      </c>
      <c r="AS568" s="12">
        <f>IF($H568="Cancelled","",IFERROR((T568*INDEX(Variables!$B$7:$D$7,IFERROR(MATCH(IF($B568="Robusta","Robusta",(IF($B568="","Arabica",$B568))&amp;" - "&amp;(IF($C568="","Commercial",$C568))),Variables!$B$1:$D$1,0),1))*IFERROR(IF(W568="","",(AVERAGE(E568:F568)-W568)-Variables!$B$14),"")/365)+(L568/16.67*INDEX(Variables!$B$8:$D$8,IFERROR(MATCH(IF($B568="Robusta","Robusta",(IF($B568="","Arabica",$B568))&amp;" - "&amp;(IF($C568="","Commercial",$C568))),Variables!$B$1:$D$1,0),1))*IFERROR(IF(W568="","",(AVERAGE(E568:F568)-W568)-Variables!$B$14),""))+(T568*INDEX(Variables!$B$9:$D$9,IFERROR(MATCH(IF($B568="Robusta","Robusta",(IF($B568="","Arabica",$B568))&amp;" - "&amp;(IF($C568="","Commercial",$C568))),Variables!$B$1:$D$1,0),1))*IFERROR(IF(W568="","",(AVERAGE(E568:F568)-W568)-Variables!$B$14),"")/365),""))</f>
        <v>-1026.786187065356</v>
      </c>
      <c r="AT568" s="12" t="str">
        <f>IF($H568="Cancelled","",IFERROR((T568*INDEX(Variables!$B$7:$D$7,IFERROR(MATCH(IF($B568="Robusta","Robusta",(IF($B568="","Arabica",$B568))&amp;" - "&amp;(IF($C568="","Commercial",$C568))),Variables!$B$1:$D$1,0),1))*AC568/365)+(L568/16.67*INDEX(Variables!$B$8:$D$8,IFERROR(MATCH(IF($B568="Robusta","Robusta",(IF($B568="","Arabica",$B568))&amp;" - "&amp;(IF($C568="","Commercial",$C568))),Variables!$B$1:$D$1,0),1))*AC568)+(T568*INDEX(Variables!$B$9:$D$9,IFERROR(MATCH(IF($B568="Robusta","Robusta",(IF($B568="","Arabica",$B568))&amp;" - "&amp;(IF($C568="","Commercial",$C568))),Variables!$B$1:$D$1,0),1))*AC568/365),""))</f>
        <v/>
      </c>
      <c r="AU568" s="12" t="str">
        <f>IF($H568="Cancelled","",IFERROR((T568*INDEX(Variables!$B$7:$D$7,IFERROR(MATCH(IF($B568="Robusta","Robusta",(IF($B568="","Arabica",$B568))&amp;" - "&amp;(IF($C568="","Commercial",$C568))),Variables!$B$1:$D$1,0),1))*AP568/365)+(L568/16.67*INDEX(Variables!$B$8:$D$8,IFERROR(MATCH(IF($B568="Robusta","Robusta",(IF($B568="","Arabica",$B568))&amp;" - "&amp;(IF($C568="","Commercial",$C568))),Variables!$B$1:$D$1,0),1))*AP568)+(T568*INDEX(Variables!$B$9:$D$9,IFERROR(MATCH(IF($B568="Robusta","Robusta",(IF($B568="","Arabica",$B568))&amp;" - "&amp;(IF($C568="","Commercial",$C568))),Variables!$B$1:$D$1,0),1))*AP568/365),""))</f>
        <v/>
      </c>
      <c r="AV568" s="11">
        <f t="shared" si="59"/>
        <v>-9</v>
      </c>
      <c r="AW568" s="12">
        <f>IF($H568="Cancelled","",IFERROR(IF(AV568="","",(T568*INDEX(Variables!$B$7:$D$7,IFERROR(MATCH(IF($B568="Robusta","Robusta",(IF($B568="","Arabica",$B568))&amp;" - "&amp;(IF($C568="","Commercial",$C568))),Variables!$B$1:$D$1,0),1))*(AV568/365))+(T568*INDEX(Variables!$B$9:$D$9,IFERROR(MATCH(IF($B568="Robusta","Robusta",(IF($B568="","Arabica",$B568))&amp;" - "&amp;(IF($C568="","Commercial",$C568))),Variables!$B$1:$D$1,0),1))*(AV568/365))+(INDEX(Variables!$B$8:$D$8,IFERROR(MATCH(IF($B568="Robusta","Robusta",(IF($B568="","Arabica",$B568))&amp;" - "&amp;(IF($C568="","Commercial",$C568))),Variables!$B$1:$D$1,0),1))*L568/16.67)),""))</f>
        <v>-436.58964029901693</v>
      </c>
      <c r="AX568" s="9"/>
      <c r="AY568" s="12"/>
      <c r="AZ568" s="10"/>
      <c r="BA568" s="9"/>
      <c r="BB568" s="10"/>
      <c r="BC568" s="9"/>
      <c r="BD568" s="9"/>
      <c r="BE568" s="9"/>
      <c r="BF568" s="9"/>
    </row>
    <row r="569" spans="1:58" x14ac:dyDescent="0.25">
      <c r="A569" s="9" t="s">
        <v>84</v>
      </c>
      <c r="B569" s="9" t="s">
        <v>85</v>
      </c>
      <c r="C569" s="9" t="s">
        <v>86</v>
      </c>
      <c r="D569" s="10">
        <v>46049</v>
      </c>
      <c r="E569" s="10">
        <v>46082</v>
      </c>
      <c r="F569" s="10">
        <v>46112</v>
      </c>
      <c r="G569" s="9">
        <v>3787140</v>
      </c>
      <c r="H569" s="9" t="str">
        <f t="shared" si="57"/>
        <v>Open</v>
      </c>
      <c r="I569" s="9" t="str">
        <f t="shared" si="58"/>
        <v>No shipping advice sent and No docs dispatch date</v>
      </c>
      <c r="J569" s="9" t="s">
        <v>102</v>
      </c>
      <c r="K569" s="9" t="s">
        <v>1418</v>
      </c>
      <c r="L569" s="11">
        <v>1000</v>
      </c>
      <c r="M569" s="9" t="s">
        <v>1413</v>
      </c>
      <c r="N569" s="9" t="s">
        <v>105</v>
      </c>
      <c r="O569" s="9"/>
      <c r="P569" s="9"/>
      <c r="Q569" s="11">
        <v>40</v>
      </c>
      <c r="R569" s="9" t="s">
        <v>90</v>
      </c>
      <c r="S569" s="9" t="s">
        <v>1410</v>
      </c>
      <c r="T569" s="12">
        <f>IF($H569="Cancelled","",IFERROR(((Q569+INDEX(Variables!$B$6:$D$6,IFERROR(MATCH(IF($B569="Robusta","Robusta",(IF($B569="","Arabica",$B569))&amp;" - "&amp;(IF($C569="","Commercial",$C569))),Variables!$B$1:$D$1,0),1)))*22.0462)*(L569/16.67),""))</f>
        <v>437485.48050389916</v>
      </c>
      <c r="U569" s="10">
        <v>46072</v>
      </c>
      <c r="V569" s="9" t="str">
        <f t="shared" si="61"/>
        <v>Sent</v>
      </c>
      <c r="W569" s="10">
        <v>46079</v>
      </c>
      <c r="X569" s="9" t="str">
        <f t="shared" si="62"/>
        <v>Approved</v>
      </c>
      <c r="Y569" s="10"/>
      <c r="Z569" s="10">
        <f>IF($H569="Cancelled","",IFERROR(IF(F569="","",F569-Variables!$B$13),""))</f>
        <v>46097</v>
      </c>
      <c r="AA569" s="11">
        <f>IF($H569="Cancelled","",IFERROR(IF(W569="","",(AVERAGE(E569:F569)-W569)-Variables!$B$14),""))</f>
        <v>-12</v>
      </c>
      <c r="AB569" s="10">
        <v>46109</v>
      </c>
      <c r="AC569" s="11">
        <f>IF($H569="Cancelled","",IFERROR(IF(AB569="","",IF(AND(W569="",Y569=""),"",IF(Y569&gt;W569,Y569+Variables!$B$15+Variables!$B$16+Variables!$B$17-AB569,W569+Variables!$B$16+Variables!$B$17-AB569))),""))</f>
        <v>-22</v>
      </c>
      <c r="AD569" s="9" t="s">
        <v>163</v>
      </c>
      <c r="AE569" s="9" t="s">
        <v>1419</v>
      </c>
      <c r="AF569" s="10">
        <v>46166</v>
      </c>
      <c r="AG569" s="10"/>
      <c r="AH569" s="9"/>
      <c r="AI569" s="9">
        <v>267496846</v>
      </c>
      <c r="AJ569" s="9"/>
      <c r="AK569" s="10">
        <v>46118</v>
      </c>
      <c r="AL569" s="10"/>
      <c r="AM569" s="10"/>
      <c r="AN569" s="9" t="s">
        <v>1411</v>
      </c>
      <c r="AO569" s="9"/>
      <c r="AP569" s="11">
        <f>IF($H569="Cancelled","",IFERROR(IF(OR(AK569="",AB569=""),"",(AB569+Variables!$B$18-AK569)),""))</f>
        <v>-2</v>
      </c>
      <c r="AQ569" s="11" t="str">
        <f>IF($H569="Cancelled","",IFERROR(IF(OR(AM569="",AK569=""),"",(AK569+Variables!$B$19)-AM569),""))</f>
        <v/>
      </c>
      <c r="AR569" s="12" t="str">
        <f>IF($H569="Cancelled","",IFERROR(T569*INDEX(Variables!$B$7:$D$7,IFERROR(MATCH(IF($B569="Robusta","Robusta",(IF($B569="","Arabica",$B569))&amp;" - "&amp;(IF($C569="","Commercial",$C569))),Variables!$B$1:$D$1,0),1))*(AQ569/365),""))</f>
        <v/>
      </c>
      <c r="AS569" s="12">
        <f>IF($H569="Cancelled","",IFERROR((T569*INDEX(Variables!$B$7:$D$7,IFERROR(MATCH(IF($B569="Robusta","Robusta",(IF($B569="","Arabica",$B569))&amp;" - "&amp;(IF($C569="","Commercial",$C569))),Variables!$B$1:$D$1,0),1))*IFERROR(IF(W569="","",(AVERAGE(E569:F569)-W569)-Variables!$B$14),"")/365)+(L569/16.67*INDEX(Variables!$B$8:$D$8,IFERROR(MATCH(IF($B569="Robusta","Robusta",(IF($B569="","Arabica",$B569))&amp;" - "&amp;(IF($C569="","Commercial",$C569))),Variables!$B$1:$D$1,0),1))*IFERROR(IF(W569="","",(AVERAGE(E569:F569)-W569)-Variables!$B$14),""))+(T569*INDEX(Variables!$B$9:$D$9,IFERROR(MATCH(IF($B569="Robusta","Robusta",(IF($B569="","Arabica",$B569))&amp;" - "&amp;(IF($C569="","Commercial",$C569))),Variables!$B$1:$D$1,0),1))*IFERROR(IF(W569="","",(AVERAGE(E569:F569)-W569)-Variables!$B$14),"")/365),""))</f>
        <v>-1539.4095758101289</v>
      </c>
      <c r="AT569" s="12">
        <f>IF($H569="Cancelled","",IFERROR((T569*INDEX(Variables!$B$7:$D$7,IFERROR(MATCH(IF($B569="Robusta","Robusta",(IF($B569="","Arabica",$B569))&amp;" - "&amp;(IF($C569="","Commercial",$C569))),Variables!$B$1:$D$1,0),1))*AC569/365)+(L569/16.67*INDEX(Variables!$B$8:$D$8,IFERROR(MATCH(IF($B569="Robusta","Robusta",(IF($B569="","Arabica",$B569))&amp;" - "&amp;(IF($C569="","Commercial",$C569))),Variables!$B$1:$D$1,0),1))*AC569)+(T569*INDEX(Variables!$B$9:$D$9,IFERROR(MATCH(IF($B569="Robusta","Robusta",(IF($B569="","Arabica",$B569))&amp;" - "&amp;(IF($C569="","Commercial",$C569))),Variables!$B$1:$D$1,0),1))*AC569/365),""))</f>
        <v>-2822.2508889852365</v>
      </c>
      <c r="AU569" s="12">
        <f>IF($H569="Cancelled","",IFERROR((T569*INDEX(Variables!$B$7:$D$7,IFERROR(MATCH(IF($B569="Robusta","Robusta",(IF($B569="","Arabica",$B569))&amp;" - "&amp;(IF($C569="","Commercial",$C569))),Variables!$B$1:$D$1,0),1))*AP569/365)+(L569/16.67*INDEX(Variables!$B$8:$D$8,IFERROR(MATCH(IF($B569="Robusta","Robusta",(IF($B569="","Arabica",$B569))&amp;" - "&amp;(IF($C569="","Commercial",$C569))),Variables!$B$1:$D$1,0),1))*AP569)+(T569*INDEX(Variables!$B$9:$D$9,IFERROR(MATCH(IF($B569="Robusta","Robusta",(IF($B569="","Arabica",$B569))&amp;" - "&amp;(IF($C569="","Commercial",$C569))),Variables!$B$1:$D$1,0),1))*AP569/365),""))</f>
        <v>-256.56826263502154</v>
      </c>
      <c r="AV569" s="11">
        <f t="shared" si="59"/>
        <v>-6</v>
      </c>
      <c r="AW569" s="12">
        <f>IF($H569="Cancelled","",IFERROR(IF(AV569="","",(T569*INDEX(Variables!$B$7:$D$7,IFERROR(MATCH(IF($B569="Robusta","Robusta",(IF($B569="","Arabica",$B569))&amp;" - "&amp;(IF($C569="","Commercial",$C569))),Variables!$B$1:$D$1,0),1))*(AV569/365))+(T569*INDEX(Variables!$B$9:$D$9,IFERROR(MATCH(IF($B569="Robusta","Robusta",(IF($B569="","Arabica",$B569))&amp;" - "&amp;(IF($C569="","Commercial",$C569))),Variables!$B$1:$D$1,0),1))*(AV569/365))+(INDEX(Variables!$B$8:$D$8,IFERROR(MATCH(IF($B569="Robusta","Robusta",(IF($B569="","Arabica",$B569))&amp;" - "&amp;(IF($C569="","Commercial",$C569))),Variables!$B$1:$D$1,0),1))*L569/16.67)),""))</f>
        <v>-419.70478790506445</v>
      </c>
      <c r="AX569" s="9"/>
      <c r="AY569" s="12"/>
      <c r="AZ569" s="10"/>
      <c r="BA569" s="9"/>
      <c r="BB569" s="10"/>
      <c r="BC569" s="9"/>
      <c r="BD569" s="9"/>
      <c r="BE569" s="9"/>
      <c r="BF569" s="9"/>
    </row>
    <row r="570" spans="1:58" x14ac:dyDescent="0.25">
      <c r="A570" s="9" t="s">
        <v>84</v>
      </c>
      <c r="B570" s="9" t="s">
        <v>85</v>
      </c>
      <c r="C570" s="9" t="s">
        <v>86</v>
      </c>
      <c r="D570" s="10">
        <v>46049</v>
      </c>
      <c r="E570" s="10">
        <v>46082</v>
      </c>
      <c r="F570" s="10">
        <v>46112</v>
      </c>
      <c r="G570" s="9">
        <v>3787140</v>
      </c>
      <c r="H570" s="9" t="str">
        <f t="shared" si="57"/>
        <v>Open</v>
      </c>
      <c r="I570" s="9" t="str">
        <f t="shared" si="58"/>
        <v>No shipping advice sent and No docs dispatch date</v>
      </c>
      <c r="J570" s="9" t="s">
        <v>102</v>
      </c>
      <c r="K570" s="9" t="s">
        <v>1420</v>
      </c>
      <c r="L570" s="11">
        <v>1667</v>
      </c>
      <c r="M570" s="9" t="s">
        <v>1413</v>
      </c>
      <c r="N570" s="9" t="s">
        <v>105</v>
      </c>
      <c r="O570" s="9"/>
      <c r="P570" s="9"/>
      <c r="Q570" s="11">
        <v>40</v>
      </c>
      <c r="R570" s="9" t="s">
        <v>90</v>
      </c>
      <c r="S570" s="9" t="s">
        <v>207</v>
      </c>
      <c r="T570" s="12">
        <f>IF($H570="Cancelled","",IFERROR(((Q570+INDEX(Variables!$B$6:$D$6,IFERROR(MATCH(IF($B570="Robusta","Robusta",(IF($B570="","Arabica",$B570))&amp;" - "&amp;(IF($C570="","Commercial",$C570))),Variables!$B$1:$D$1,0),1)))*22.0462)*(L570/16.67),""))</f>
        <v>729288.29599999986</v>
      </c>
      <c r="U570" s="10">
        <v>46072</v>
      </c>
      <c r="V570" s="9" t="str">
        <f t="shared" si="61"/>
        <v>Sent</v>
      </c>
      <c r="W570" s="10">
        <v>46079</v>
      </c>
      <c r="X570" s="9" t="str">
        <f t="shared" si="62"/>
        <v>Approved</v>
      </c>
      <c r="Y570" s="10"/>
      <c r="Z570" s="10">
        <f>IF($H570="Cancelled","",IFERROR(IF(F570="","",F570-Variables!$B$13),""))</f>
        <v>46097</v>
      </c>
      <c r="AA570" s="11">
        <f>IF($H570="Cancelled","",IFERROR(IF(W570="","",(AVERAGE(E570:F570)-W570)-Variables!$B$14),""))</f>
        <v>-12</v>
      </c>
      <c r="AB570" s="10">
        <v>46107</v>
      </c>
      <c r="AC570" s="11">
        <f>IF($H570="Cancelled","",IFERROR(IF(AB570="","",IF(AND(W570="",Y570=""),"",IF(Y570&gt;W570,Y570+Variables!$B$15+Variables!$B$16+Variables!$B$17-AB570,W570+Variables!$B$16+Variables!$B$17-AB570))),""))</f>
        <v>-20</v>
      </c>
      <c r="AD570" s="9" t="s">
        <v>163</v>
      </c>
      <c r="AE570" s="9" t="s">
        <v>1419</v>
      </c>
      <c r="AF570" s="10">
        <v>46166</v>
      </c>
      <c r="AG570" s="10"/>
      <c r="AH570" s="9"/>
      <c r="AI570" s="9">
        <v>267496897</v>
      </c>
      <c r="AJ570" s="9"/>
      <c r="AK570" s="10">
        <v>46118</v>
      </c>
      <c r="AL570" s="10"/>
      <c r="AM570" s="10"/>
      <c r="AN570" s="9" t="s">
        <v>1411</v>
      </c>
      <c r="AO570" s="9"/>
      <c r="AP570" s="11">
        <f>IF($H570="Cancelled","",IFERROR(IF(OR(AK570="",AB570=""),"",(AB570+Variables!$B$18-AK570)),""))</f>
        <v>-4</v>
      </c>
      <c r="AQ570" s="11" t="str">
        <f>IF($H570="Cancelled","",IFERROR(IF(OR(AM570="",AK570=""),"",(AK570+Variables!$B$19)-AM570),""))</f>
        <v/>
      </c>
      <c r="AR570" s="12" t="str">
        <f>IF($H570="Cancelled","",IFERROR(T570*INDEX(Variables!$B$7:$D$7,IFERROR(MATCH(IF($B570="Robusta","Robusta",(IF($B570="","Arabica",$B570))&amp;" - "&amp;(IF($C570="","Commercial",$C570))),Variables!$B$1:$D$1,0),1))*(AQ570/365),""))</f>
        <v/>
      </c>
      <c r="AS570" s="12">
        <f>IF($H570="Cancelled","",IFERROR((T570*INDEX(Variables!$B$7:$D$7,IFERROR(MATCH(IF($B570="Robusta","Robusta",(IF($B570="","Arabica",$B570))&amp;" - "&amp;(IF($C570="","Commercial",$C570))),Variables!$B$1:$D$1,0),1))*IFERROR(IF(W570="","",(AVERAGE(E570:F570)-W570)-Variables!$B$14),"")/365)+(L570/16.67*INDEX(Variables!$B$8:$D$8,IFERROR(MATCH(IF($B570="Robusta","Robusta",(IF($B570="","Arabica",$B570))&amp;" - "&amp;(IF($C570="","Commercial",$C570))),Variables!$B$1:$D$1,0),1))*IFERROR(IF(W570="","",(AVERAGE(E570:F570)-W570)-Variables!$B$14),""))+(T570*INDEX(Variables!$B$9:$D$9,IFERROR(MATCH(IF($B570="Robusta","Robusta",(IF($B570="","Arabica",$B570))&amp;" - "&amp;(IF($C570="","Commercial",$C570))),Variables!$B$1:$D$1,0),1))*IFERROR(IF(W570="","",(AVERAGE(E570:F570)-W570)-Variables!$B$14),"")/365),""))</f>
        <v>-2566.1957628754849</v>
      </c>
      <c r="AT570" s="12">
        <f>IF($H570="Cancelled","",IFERROR((T570*INDEX(Variables!$B$7:$D$7,IFERROR(MATCH(IF($B570="Robusta","Robusta",(IF($B570="","Arabica",$B570))&amp;" - "&amp;(IF($C570="","Commercial",$C570))),Variables!$B$1:$D$1,0),1))*AC570/365)+(L570/16.67*INDEX(Variables!$B$8:$D$8,IFERROR(MATCH(IF($B570="Robusta","Robusta",(IF($B570="","Arabica",$B570))&amp;" - "&amp;(IF($C570="","Commercial",$C570))),Variables!$B$1:$D$1,0),1))*AC570)+(T570*INDEX(Variables!$B$9:$D$9,IFERROR(MATCH(IF($B570="Robusta","Robusta",(IF($B570="","Arabica",$B570))&amp;" - "&amp;(IF($C570="","Commercial",$C570))),Variables!$B$1:$D$1,0),1))*AC570/365),""))</f>
        <v>-4276.992938125808</v>
      </c>
      <c r="AU570" s="12">
        <f>IF($H570="Cancelled","",IFERROR((T570*INDEX(Variables!$B$7:$D$7,IFERROR(MATCH(IF($B570="Robusta","Robusta",(IF($B570="","Arabica",$B570))&amp;" - "&amp;(IF($C570="","Commercial",$C570))),Variables!$B$1:$D$1,0),1))*AP570/365)+(L570/16.67*INDEX(Variables!$B$8:$D$8,IFERROR(MATCH(IF($B570="Robusta","Robusta",(IF($B570="","Arabica",$B570))&amp;" - "&amp;(IF($C570="","Commercial",$C570))),Variables!$B$1:$D$1,0),1))*AP570)+(T570*INDEX(Variables!$B$9:$D$9,IFERROR(MATCH(IF($B570="Robusta","Robusta",(IF($B570="","Arabica",$B570))&amp;" - "&amp;(IF($C570="","Commercial",$C570))),Variables!$B$1:$D$1,0),1))*AP570/365),""))</f>
        <v>-855.39858762516155</v>
      </c>
      <c r="AV570" s="11">
        <f t="shared" si="59"/>
        <v>-6</v>
      </c>
      <c r="AW570" s="12">
        <f>IF($H570="Cancelled","",IFERROR(IF(AV570="","",(T570*INDEX(Variables!$B$7:$D$7,IFERROR(MATCH(IF($B570="Robusta","Robusta",(IF($B570="","Arabica",$B570))&amp;" - "&amp;(IF($C570="","Commercial",$C570))),Variables!$B$1:$D$1,0),1))*(AV570/365))+(T570*INDEX(Variables!$B$9:$D$9,IFERROR(MATCH(IF($B570="Robusta","Robusta",(IF($B570="","Arabica",$B570))&amp;" - "&amp;(IF($C570="","Commercial",$C570))),Variables!$B$1:$D$1,0),1))*(AV570/365))+(INDEX(Variables!$B$8:$D$8,IFERROR(MATCH(IF($B570="Robusta","Robusta",(IF($B570="","Arabica",$B570))&amp;" - "&amp;(IF($C570="","Commercial",$C570))),Variables!$B$1:$D$1,0),1))*L570/16.67)),""))</f>
        <v>-699.64788143774229</v>
      </c>
      <c r="AX570" s="9"/>
      <c r="AY570" s="12"/>
      <c r="AZ570" s="10"/>
      <c r="BA570" s="9"/>
      <c r="BB570" s="10"/>
      <c r="BC570" s="9"/>
      <c r="BD570" s="9"/>
      <c r="BE570" s="9"/>
      <c r="BF570" s="9"/>
    </row>
    <row r="571" spans="1:58" x14ac:dyDescent="0.25">
      <c r="A571" s="9" t="s">
        <v>84</v>
      </c>
      <c r="B571" s="9" t="s">
        <v>85</v>
      </c>
      <c r="C571" s="9" t="s">
        <v>86</v>
      </c>
      <c r="D571" s="10">
        <v>46055</v>
      </c>
      <c r="E571" s="10">
        <v>46082</v>
      </c>
      <c r="F571" s="10">
        <v>46112</v>
      </c>
      <c r="G571" s="9">
        <v>3787210</v>
      </c>
      <c r="H571" s="9" t="str">
        <f t="shared" si="57"/>
        <v>Open</v>
      </c>
      <c r="I571" s="9" t="str">
        <f t="shared" si="58"/>
        <v>No shipping advice sent and No docs dispatch date</v>
      </c>
      <c r="J571" s="9" t="s">
        <v>102</v>
      </c>
      <c r="K571" s="9">
        <v>5432</v>
      </c>
      <c r="L571" s="11">
        <v>1333</v>
      </c>
      <c r="M571" s="9" t="s">
        <v>1413</v>
      </c>
      <c r="N571" s="9" t="s">
        <v>105</v>
      </c>
      <c r="O571" s="9"/>
      <c r="P571" s="9"/>
      <c r="Q571" s="11">
        <v>40</v>
      </c>
      <c r="R571" s="9" t="s">
        <v>90</v>
      </c>
      <c r="S571" s="9" t="s">
        <v>465</v>
      </c>
      <c r="T571" s="12">
        <f>IF($H571="Cancelled","",IFERROR(((Q571+INDEX(Variables!$B$6:$D$6,IFERROR(MATCH(IF($B571="Robusta","Robusta",(IF($B571="","Arabica",$B571))&amp;" - "&amp;(IF($C571="","Commercial",$C571))),Variables!$B$1:$D$1,0),1)))*22.0462)*(L571/16.67),""))</f>
        <v>583168.14551169763</v>
      </c>
      <c r="U571" s="10">
        <v>46072</v>
      </c>
      <c r="V571" s="9" t="str">
        <f t="shared" si="61"/>
        <v>Sent</v>
      </c>
      <c r="W571" s="10">
        <v>46079</v>
      </c>
      <c r="X571" s="9" t="str">
        <f t="shared" si="62"/>
        <v>Approved</v>
      </c>
      <c r="Y571" s="10"/>
      <c r="Z571" s="10">
        <f>IF($H571="Cancelled","",IFERROR(IF(F571="","",F571-Variables!$B$13),""))</f>
        <v>46097</v>
      </c>
      <c r="AA571" s="11">
        <f>IF($H571="Cancelled","",IFERROR(IF(W571="","",(AVERAGE(E571:F571)-W571)-Variables!$B$14),""))</f>
        <v>-12</v>
      </c>
      <c r="AB571" s="10">
        <v>46114</v>
      </c>
      <c r="AC571" s="11">
        <f>IF($H571="Cancelled","",IFERROR(IF(AB571="","",IF(AND(W571="",Y571=""),"",IF(Y571&gt;W571,Y571+Variables!$B$15+Variables!$B$16+Variables!$B$17-AB571,W571+Variables!$B$16+Variables!$B$17-AB571))),""))</f>
        <v>-27</v>
      </c>
      <c r="AD571" s="9" t="s">
        <v>163</v>
      </c>
      <c r="AE571" s="9" t="s">
        <v>1421</v>
      </c>
      <c r="AF571" s="10">
        <v>46176</v>
      </c>
      <c r="AG571" s="10"/>
      <c r="AH571" s="9"/>
      <c r="AI571" s="9">
        <v>267598817</v>
      </c>
      <c r="AJ571" s="9"/>
      <c r="AK571" s="10">
        <v>46121</v>
      </c>
      <c r="AL571" s="10"/>
      <c r="AM571" s="10"/>
      <c r="AN571" s="9" t="s">
        <v>1422</v>
      </c>
      <c r="AO571" s="9"/>
      <c r="AP571" s="11">
        <f>IF($H571="Cancelled","",IFERROR(IF(OR(AK571="",AB571=""),"",(AB571+Variables!$B$18-AK571)),""))</f>
        <v>0</v>
      </c>
      <c r="AQ571" s="11" t="str">
        <f>IF($H571="Cancelled","",IFERROR(IF(OR(AM571="",AK571=""),"",(AK571+Variables!$B$19)-AM571),""))</f>
        <v/>
      </c>
      <c r="AR571" s="12" t="str">
        <f>IF($H571="Cancelled","",IFERROR(T571*INDEX(Variables!$B$7:$D$7,IFERROR(MATCH(IF($B571="Robusta","Robusta",(IF($B571="","Arabica",$B571))&amp;" - "&amp;(IF($C571="","Commercial",$C571))),Variables!$B$1:$D$1,0),1))*(AQ571/365),""))</f>
        <v/>
      </c>
      <c r="AS571" s="12">
        <f>IF($H571="Cancelled","",IFERROR((T571*INDEX(Variables!$B$7:$D$7,IFERROR(MATCH(IF($B571="Robusta","Robusta",(IF($B571="","Arabica",$B571))&amp;" - "&amp;(IF($C571="","Commercial",$C571))),Variables!$B$1:$D$1,0),1))*IFERROR(IF(W571="","",(AVERAGE(E571:F571)-W571)-Variables!$B$14),"")/365)+(L571/16.67*INDEX(Variables!$B$8:$D$8,IFERROR(MATCH(IF($B571="Robusta","Robusta",(IF($B571="","Arabica",$B571))&amp;" - "&amp;(IF($C571="","Commercial",$C571))),Variables!$B$1:$D$1,0),1))*IFERROR(IF(W571="","",(AVERAGE(E571:F571)-W571)-Variables!$B$14),""))+(T571*INDEX(Variables!$B$9:$D$9,IFERROR(MATCH(IF($B571="Robusta","Robusta",(IF($B571="","Arabica",$B571))&amp;" - "&amp;(IF($C571="","Commercial",$C571))),Variables!$B$1:$D$1,0),1))*IFERROR(IF(W571="","",(AVERAGE(E571:F571)-W571)-Variables!$B$14),"")/365),""))</f>
        <v>-2052.0329645549018</v>
      </c>
      <c r="AT571" s="12">
        <f>IF($H571="Cancelled","",IFERROR((T571*INDEX(Variables!$B$7:$D$7,IFERROR(MATCH(IF($B571="Robusta","Robusta",(IF($B571="","Arabica",$B571))&amp;" - "&amp;(IF($C571="","Commercial",$C571))),Variables!$B$1:$D$1,0),1))*AC571/365)+(L571/16.67*INDEX(Variables!$B$8:$D$8,IFERROR(MATCH(IF($B571="Robusta","Robusta",(IF($B571="","Arabica",$B571))&amp;" - "&amp;(IF($C571="","Commercial",$C571))),Variables!$B$1:$D$1,0),1))*AC571)+(T571*INDEX(Variables!$B$9:$D$9,IFERROR(MATCH(IF($B571="Robusta","Robusta",(IF($B571="","Arabica",$B571))&amp;" - "&amp;(IF($C571="","Commercial",$C571))),Variables!$B$1:$D$1,0),1))*AC571/365),""))</f>
        <v>-4617.0741702485293</v>
      </c>
      <c r="AU571" s="12">
        <f>IF($H571="Cancelled","",IFERROR((T571*INDEX(Variables!$B$7:$D$7,IFERROR(MATCH(IF($B571="Robusta","Robusta",(IF($B571="","Arabica",$B571))&amp;" - "&amp;(IF($C571="","Commercial",$C571))),Variables!$B$1:$D$1,0),1))*AP571/365)+(L571/16.67*INDEX(Variables!$B$8:$D$8,IFERROR(MATCH(IF($B571="Robusta","Robusta",(IF($B571="","Arabica",$B571))&amp;" - "&amp;(IF($C571="","Commercial",$C571))),Variables!$B$1:$D$1,0),1))*AP571)+(T571*INDEX(Variables!$B$9:$D$9,IFERROR(MATCH(IF($B571="Robusta","Robusta",(IF($B571="","Arabica",$B571))&amp;" - "&amp;(IF($C571="","Commercial",$C571))),Variables!$B$1:$D$1,0),1))*AP571/365),""))</f>
        <v>0</v>
      </c>
      <c r="AV571" s="11">
        <f t="shared" si="59"/>
        <v>-9</v>
      </c>
      <c r="AW571" s="12">
        <f>IF($H571="Cancelled","",IFERROR(IF(AV571="","",(T571*INDEX(Variables!$B$7:$D$7,IFERROR(MATCH(IF($B571="Robusta","Robusta",(IF($B571="","Arabica",$B571))&amp;" - "&amp;(IF($C571="","Commercial",$C571))),Variables!$B$1:$D$1,0),1))*(AV571/365))+(T571*INDEX(Variables!$B$9:$D$9,IFERROR(MATCH(IF($B571="Robusta","Robusta",(IF($B571="","Arabica",$B571))&amp;" - "&amp;(IF($C571="","Commercial",$C571))),Variables!$B$1:$D$1,0),1))*(AV571/365))+(INDEX(Variables!$B$8:$D$8,IFERROR(MATCH(IF($B571="Robusta","Robusta",(IF($B571="","Arabica",$B571))&amp;" - "&amp;(IF($C571="","Commercial",$C571))),Variables!$B$1:$D$1,0),1))*L571/16.67)),""))</f>
        <v>-872.52472341617636</v>
      </c>
      <c r="AX571" s="9"/>
      <c r="AY571" s="12"/>
      <c r="AZ571" s="10"/>
      <c r="BA571" s="9"/>
      <c r="BB571" s="10"/>
      <c r="BC571" s="9"/>
      <c r="BD571" s="9"/>
      <c r="BE571" s="9"/>
      <c r="BF571" s="9"/>
    </row>
    <row r="572" spans="1:58" x14ac:dyDescent="0.25">
      <c r="A572" s="9" t="s">
        <v>84</v>
      </c>
      <c r="B572" s="9" t="s">
        <v>85</v>
      </c>
      <c r="C572" s="9" t="s">
        <v>86</v>
      </c>
      <c r="D572" s="10">
        <v>46048</v>
      </c>
      <c r="E572" s="10">
        <v>46023</v>
      </c>
      <c r="F572" s="10">
        <v>46081</v>
      </c>
      <c r="G572" s="9">
        <v>3787159</v>
      </c>
      <c r="H572" s="9" t="str">
        <f t="shared" si="57"/>
        <v>Closed</v>
      </c>
      <c r="I572" s="9" t="str">
        <f t="shared" si="58"/>
        <v>All dates received</v>
      </c>
      <c r="J572" s="9" t="s">
        <v>1423</v>
      </c>
      <c r="K572" s="9">
        <v>5400</v>
      </c>
      <c r="L572" s="11">
        <v>320</v>
      </c>
      <c r="M572" s="9" t="s">
        <v>1424</v>
      </c>
      <c r="N572" s="9" t="s">
        <v>1425</v>
      </c>
      <c r="O572" s="9"/>
      <c r="P572" s="9"/>
      <c r="Q572" s="11">
        <v>63</v>
      </c>
      <c r="R572" s="9" t="s">
        <v>195</v>
      </c>
      <c r="S572" s="9" t="s">
        <v>91</v>
      </c>
      <c r="T572" s="12">
        <f>IF($H572="Cancelled","",IFERROR(((Q572+INDEX(Variables!$B$6:$D$6,IFERROR(MATCH(IF($B572="Robusta","Robusta",(IF($B572="","Arabica",$B572))&amp;" - "&amp;(IF($C572="","Commercial",$C572))),Variables!$B$1:$D$1,0),1)))*22.0462)*(L572/16.67),""))</f>
        <v>149729.00895020994</v>
      </c>
      <c r="U572" s="10"/>
      <c r="V572" s="9" t="str">
        <f t="shared" si="61"/>
        <v/>
      </c>
      <c r="W572" s="10">
        <v>46022</v>
      </c>
      <c r="X572" s="9" t="str">
        <f t="shared" si="62"/>
        <v>Approved</v>
      </c>
      <c r="Y572" s="10">
        <v>46049</v>
      </c>
      <c r="Z572" s="10">
        <f>IF($H572="Cancelled","",IFERROR(IF(F572="","",F572-Variables!$B$13),""))</f>
        <v>46066</v>
      </c>
      <c r="AA572" s="11">
        <f>IF($H572="Cancelled","",IFERROR(IF(W572="","",(AVERAGE(E572:F572)-W572)-Variables!$B$14),""))</f>
        <v>0</v>
      </c>
      <c r="AB572" s="10">
        <v>46057</v>
      </c>
      <c r="AC572" s="11">
        <f>IF($H572="Cancelled","",IFERROR(IF(AB572="","",IF(AND(W572="",Y572=""),"",IF(Y572&gt;W572,Y572+Variables!$B$15+Variables!$B$16+Variables!$B$17-AB572,W572+Variables!$B$16+Variables!$B$17-AB572))),""))</f>
        <v>7</v>
      </c>
      <c r="AD572" s="9" t="s">
        <v>1313</v>
      </c>
      <c r="AE572" s="9" t="s">
        <v>1426</v>
      </c>
      <c r="AF572" s="10">
        <v>46130</v>
      </c>
      <c r="AG572" s="10"/>
      <c r="AH572" s="9"/>
      <c r="AI572" s="9" t="s">
        <v>1427</v>
      </c>
      <c r="AJ572" s="9" t="s">
        <v>1427</v>
      </c>
      <c r="AK572" s="10">
        <v>46083</v>
      </c>
      <c r="AL572" s="10">
        <v>46090</v>
      </c>
      <c r="AM572" s="10">
        <v>46090</v>
      </c>
      <c r="AN572" s="9" t="s">
        <v>1193</v>
      </c>
      <c r="AO572" s="9"/>
      <c r="AP572" s="11">
        <f>IF($H572="Cancelled","",IFERROR(IF(OR(AK572="",AB572=""),"",(AB572+Variables!$B$18-AK572)),""))</f>
        <v>-19</v>
      </c>
      <c r="AQ572" s="11">
        <f>IF($H572="Cancelled","",IFERROR(IF(OR(AM572="",AK572=""),"",(AK572+Variables!$B$19)-AM572),""))</f>
        <v>-2</v>
      </c>
      <c r="AR572" s="12">
        <f>IF($H572="Cancelled","",IFERROR(T572*INDEX(Variables!$B$7:$D$7,IFERROR(MATCH(IF($B572="Robusta","Robusta",(IF($B572="","Arabica",$B572))&amp;" - "&amp;(IF($C572="","Commercial",$C572))),Variables!$B$1:$D$1,0),1))*(AQ572/365),""))</f>
        <v>-52.903320005091658</v>
      </c>
      <c r="AS572" s="12">
        <f>IF($H572="Cancelled","",IFERROR((T572*INDEX(Variables!$B$7:$D$7,IFERROR(MATCH(IF($B572="Robusta","Robusta",(IF($B572="","Arabica",$B572))&amp;" - "&amp;(IF($C572="","Commercial",$C572))),Variables!$B$1:$D$1,0),1))*IFERROR(IF(W572="","",(AVERAGE(E572:F572)-W572)-Variables!$B$14),"")/365)+(L572/16.67*INDEX(Variables!$B$8:$D$8,IFERROR(MATCH(IF($B572="Robusta","Robusta",(IF($B572="","Arabica",$B572))&amp;" - "&amp;(IF($C572="","Commercial",$C572))),Variables!$B$1:$D$1,0),1))*IFERROR(IF(W572="","",(AVERAGE(E572:F572)-W572)-Variables!$B$14),""))+(T572*INDEX(Variables!$B$9:$D$9,IFERROR(MATCH(IF($B572="Robusta","Robusta",(IF($B572="","Arabica",$B572))&amp;" - "&amp;(IF($C572="","Commercial",$C572))),Variables!$B$1:$D$1,0),1))*IFERROR(IF(W572="","",(AVERAGE(E572:F572)-W572)-Variables!$B$14),"")/365),""))</f>
        <v>0</v>
      </c>
      <c r="AT572" s="12">
        <f>IF($H572="Cancelled","",IFERROR((T572*INDEX(Variables!$B$7:$D$7,IFERROR(MATCH(IF($B572="Robusta","Robusta",(IF($B572="","Arabica",$B572))&amp;" - "&amp;(IF($C572="","Commercial",$C572))),Variables!$B$1:$D$1,0),1))*AC572/365)+(L572/16.67*INDEX(Variables!$B$8:$D$8,IFERROR(MATCH(IF($B572="Robusta","Robusta",(IF($B572="","Arabica",$B572))&amp;" - "&amp;(IF($C572="","Commercial",$C572))),Variables!$B$1:$D$1,0),1))*AC572)+(T572*INDEX(Variables!$B$9:$D$9,IFERROR(MATCH(IF($B572="Robusta","Robusta",(IF($B572="","Arabica",$B572))&amp;" - "&amp;(IF($C572="","Commercial",$C572))),Variables!$B$1:$D$1,0),1))*AC572/365),""))</f>
        <v>299.54871063695003</v>
      </c>
      <c r="AU572" s="12">
        <f>IF($H572="Cancelled","",IFERROR((T572*INDEX(Variables!$B$7:$D$7,IFERROR(MATCH(IF($B572="Robusta","Robusta",(IF($B572="","Arabica",$B572))&amp;" - "&amp;(IF($C572="","Commercial",$C572))),Variables!$B$1:$D$1,0),1))*AP572/365)+(L572/16.67*INDEX(Variables!$B$8:$D$8,IFERROR(MATCH(IF($B572="Robusta","Robusta",(IF($B572="","Arabica",$B572))&amp;" - "&amp;(IF($C572="","Commercial",$C572))),Variables!$B$1:$D$1,0),1))*AP572)+(T572*INDEX(Variables!$B$9:$D$9,IFERROR(MATCH(IF($B572="Robusta","Robusta",(IF($B572="","Arabica",$B572))&amp;" - "&amp;(IF($C572="","Commercial",$C572))),Variables!$B$1:$D$1,0),1))*AP572/365),""))</f>
        <v>-813.06078601457875</v>
      </c>
      <c r="AV572" s="11">
        <f t="shared" si="59"/>
        <v>-2</v>
      </c>
      <c r="AW572" s="12">
        <f>IF($H572="Cancelled","",IFERROR(IF(AV572="","",(T572*INDEX(Variables!$B$7:$D$7,IFERROR(MATCH(IF($B572="Robusta","Robusta",(IF($B572="","Arabica",$B572))&amp;" - "&amp;(IF($C572="","Commercial",$C572))),Variables!$B$1:$D$1,0),1))*(AV572/365))+(T572*INDEX(Variables!$B$9:$D$9,IFERROR(MATCH(IF($B572="Robusta","Robusta",(IF($B572="","Arabica",$B572))&amp;" - "&amp;(IF($C572="","Commercial",$C572))),Variables!$B$1:$D$1,0),1))*(AV572/365))+(INDEX(Variables!$B$8:$D$8,IFERROR(MATCH(IF($B572="Robusta","Robusta",(IF($B572="","Arabica",$B572))&amp;" - "&amp;(IF($C572="","Commercial",$C572))),Variables!$B$1:$D$1,0),1))*L572/16.67)),""))</f>
        <v>-37.585345896271434</v>
      </c>
      <c r="AX572" s="9"/>
      <c r="AY572" s="12"/>
      <c r="AZ572" s="10"/>
      <c r="BA572" s="9"/>
      <c r="BB572" s="10"/>
      <c r="BC572" s="9"/>
      <c r="BD572" s="9"/>
      <c r="BE572" s="9"/>
      <c r="BF572" s="9"/>
    </row>
    <row r="573" spans="1:58" x14ac:dyDescent="0.25">
      <c r="A573" s="9" t="s">
        <v>84</v>
      </c>
      <c r="B573" s="9" t="s">
        <v>85</v>
      </c>
      <c r="C573" s="9" t="s">
        <v>86</v>
      </c>
      <c r="D573" s="10">
        <v>46055</v>
      </c>
      <c r="E573" s="10">
        <v>46082</v>
      </c>
      <c r="F573" s="10">
        <v>46112</v>
      </c>
      <c r="G573" s="9">
        <v>3787211</v>
      </c>
      <c r="H573" s="9" t="str">
        <f t="shared" si="57"/>
        <v>Open</v>
      </c>
      <c r="I573" s="9" t="str">
        <f t="shared" si="58"/>
        <v>No sailing date and No shipping advice sent and No docs dispatch date</v>
      </c>
      <c r="J573" s="9" t="s">
        <v>102</v>
      </c>
      <c r="K573" s="9"/>
      <c r="L573" s="11">
        <v>3333</v>
      </c>
      <c r="M573" s="9" t="s">
        <v>1413</v>
      </c>
      <c r="N573" s="9" t="s">
        <v>105</v>
      </c>
      <c r="O573" s="9"/>
      <c r="P573" s="9"/>
      <c r="Q573" s="11">
        <v>40</v>
      </c>
      <c r="R573" s="9" t="s">
        <v>90</v>
      </c>
      <c r="S573" s="9"/>
      <c r="T573" s="12">
        <f>IF($H573="Cancelled","",IFERROR(((Q573+INDEX(Variables!$B$6:$D$6,IFERROR(MATCH(IF($B573="Robusta","Robusta",(IF($B573="","Arabica",$B573))&amp;" - "&amp;(IF($C573="","Commercial",$C573))),Variables!$B$1:$D$1,0),1)))*22.0462)*(L573/16.67),""))</f>
        <v>1458139.1065194961</v>
      </c>
      <c r="U573" s="10">
        <v>46072</v>
      </c>
      <c r="V573" s="9" t="str">
        <f t="shared" si="61"/>
        <v>Sent</v>
      </c>
      <c r="W573" s="10">
        <v>46079</v>
      </c>
      <c r="X573" s="9" t="str">
        <f t="shared" si="62"/>
        <v>Approved</v>
      </c>
      <c r="Y573" s="10"/>
      <c r="Z573" s="10">
        <f>IF($H573="Cancelled","",IFERROR(IF(F573="","",F573-Variables!$B$13),""))</f>
        <v>46097</v>
      </c>
      <c r="AA573" s="11">
        <f>IF($H573="Cancelled","",IFERROR(IF(W573="","",(AVERAGE(E573:F573)-W573)-Variables!$B$14),""))</f>
        <v>-12</v>
      </c>
      <c r="AB573" s="10"/>
      <c r="AC573" s="11" t="str">
        <f>IF($H573="Cancelled","",IFERROR(IF(AB573="","",IF(AND(W573="",Y573=""),"",IF(Y573&gt;W573,Y573+Variables!$B$15+Variables!$B$16+Variables!$B$17-AB573,W573+Variables!$B$16+Variables!$B$17-AB573))),""))</f>
        <v/>
      </c>
      <c r="AD573" s="9"/>
      <c r="AE573" s="9"/>
      <c r="AF573" s="10"/>
      <c r="AG573" s="10"/>
      <c r="AH573" s="9"/>
      <c r="AI573" s="9"/>
      <c r="AJ573" s="9"/>
      <c r="AK573" s="10"/>
      <c r="AL573" s="10"/>
      <c r="AM573" s="10"/>
      <c r="AN573" s="9" t="s">
        <v>1188</v>
      </c>
      <c r="AO573" s="9"/>
      <c r="AP573" s="11" t="str">
        <f>IF($H573="Cancelled","",IFERROR(IF(OR(AK573="",AB573=""),"",(AB573+Variables!$B$18-AK573)),""))</f>
        <v/>
      </c>
      <c r="AQ573" s="11" t="str">
        <f>IF($H573="Cancelled","",IFERROR(IF(OR(AM573="",AK573=""),"",(AK573+Variables!$B$19)-AM573),""))</f>
        <v/>
      </c>
      <c r="AR573" s="12" t="str">
        <f>IF($H573="Cancelled","",IFERROR(T573*INDEX(Variables!$B$7:$D$7,IFERROR(MATCH(IF($B573="Robusta","Robusta",(IF($B573="","Arabica",$B573))&amp;" - "&amp;(IF($C573="","Commercial",$C573))),Variables!$B$1:$D$1,0),1))*(AQ573/365),""))</f>
        <v/>
      </c>
      <c r="AS573" s="12">
        <f>IF($H573="Cancelled","",IFERROR((T573*INDEX(Variables!$B$7:$D$7,IFERROR(MATCH(IF($B573="Robusta","Robusta",(IF($B573="","Arabica",$B573))&amp;" - "&amp;(IF($C573="","Commercial",$C573))),Variables!$B$1:$D$1,0),1))*IFERROR(IF(W573="","",(AVERAGE(E573:F573)-W573)-Variables!$B$14),"")/365)+(L573/16.67*INDEX(Variables!$B$8:$D$8,IFERROR(MATCH(IF($B573="Robusta","Robusta",(IF($B573="","Arabica",$B573))&amp;" - "&amp;(IF($C573="","Commercial",$C573))),Variables!$B$1:$D$1,0),1))*IFERROR(IF(W573="","",(AVERAGE(E573:F573)-W573)-Variables!$B$14),""))+(T573*INDEX(Variables!$B$9:$D$9,IFERROR(MATCH(IF($B573="Robusta","Robusta",(IF($B573="","Arabica",$B573))&amp;" - "&amp;(IF($C573="","Commercial",$C573))),Variables!$B$1:$D$1,0),1))*IFERROR(IF(W573="","",(AVERAGE(E573:F573)-W573)-Variables!$B$14),"")/365),""))</f>
        <v>-5130.8521161751605</v>
      </c>
      <c r="AT573" s="12" t="str">
        <f>IF($H573="Cancelled","",IFERROR((T573*INDEX(Variables!$B$7:$D$7,IFERROR(MATCH(IF($B573="Robusta","Robusta",(IF($B573="","Arabica",$B573))&amp;" - "&amp;(IF($C573="","Commercial",$C573))),Variables!$B$1:$D$1,0),1))*AC573/365)+(L573/16.67*INDEX(Variables!$B$8:$D$8,IFERROR(MATCH(IF($B573="Robusta","Robusta",(IF($B573="","Arabica",$B573))&amp;" - "&amp;(IF($C573="","Commercial",$C573))),Variables!$B$1:$D$1,0),1))*AC573)+(T573*INDEX(Variables!$B$9:$D$9,IFERROR(MATCH(IF($B573="Robusta","Robusta",(IF($B573="","Arabica",$B573))&amp;" - "&amp;(IF($C573="","Commercial",$C573))),Variables!$B$1:$D$1,0),1))*AC573/365),""))</f>
        <v/>
      </c>
      <c r="AU573" s="12" t="str">
        <f>IF($H573="Cancelled","",IFERROR((T573*INDEX(Variables!$B$7:$D$7,IFERROR(MATCH(IF($B573="Robusta","Robusta",(IF($B573="","Arabica",$B573))&amp;" - "&amp;(IF($C573="","Commercial",$C573))),Variables!$B$1:$D$1,0),1))*AP573/365)+(L573/16.67*INDEX(Variables!$B$8:$D$8,IFERROR(MATCH(IF($B573="Robusta","Robusta",(IF($B573="","Arabica",$B573))&amp;" - "&amp;(IF($C573="","Commercial",$C573))),Variables!$B$1:$D$1,0),1))*AP573)+(T573*INDEX(Variables!$B$9:$D$9,IFERROR(MATCH(IF($B573="Robusta","Robusta",(IF($B573="","Arabica",$B573))&amp;" - "&amp;(IF($C573="","Commercial",$C573))),Variables!$B$1:$D$1,0),1))*AP573/365),""))</f>
        <v/>
      </c>
      <c r="AV573" s="11" t="str">
        <f t="shared" si="59"/>
        <v/>
      </c>
      <c r="AW573" s="12" t="str">
        <f>IF($H573="Cancelled","",IFERROR(IF(AV573="","",(T573*INDEX(Variables!$B$7:$D$7,IFERROR(MATCH(IF($B573="Robusta","Robusta",(IF($B573="","Arabica",$B573))&amp;" - "&amp;(IF($C573="","Commercial",$C573))),Variables!$B$1:$D$1,0),1))*(AV573/365))+(T573*INDEX(Variables!$B$9:$D$9,IFERROR(MATCH(IF($B573="Robusta","Robusta",(IF($B573="","Arabica",$B573))&amp;" - "&amp;(IF($C573="","Commercial",$C573))),Variables!$B$1:$D$1,0),1))*(AV573/365))+(INDEX(Variables!$B$8:$D$8,IFERROR(MATCH(IF($B573="Robusta","Robusta",(IF($B573="","Arabica",$B573))&amp;" - "&amp;(IF($C573="","Commercial",$C573))),Variables!$B$1:$D$1,0),1))*L573/16.67)),""))</f>
        <v/>
      </c>
      <c r="AX573" s="9"/>
      <c r="AY573" s="12"/>
      <c r="AZ573" s="10"/>
      <c r="BA573" s="9"/>
      <c r="BB573" s="10"/>
      <c r="BC573" s="9"/>
      <c r="BD573" s="9"/>
      <c r="BE573" s="9"/>
      <c r="BF573" s="9"/>
    </row>
    <row r="574" spans="1:58" x14ac:dyDescent="0.25">
      <c r="A574" s="9" t="s">
        <v>84</v>
      </c>
      <c r="B574" s="9" t="s">
        <v>85</v>
      </c>
      <c r="C574" s="9" t="s">
        <v>86</v>
      </c>
      <c r="D574" s="10">
        <v>46064</v>
      </c>
      <c r="E574" s="10">
        <v>46082</v>
      </c>
      <c r="F574" s="10">
        <v>46112</v>
      </c>
      <c r="G574" s="9">
        <v>3787253</v>
      </c>
      <c r="H574" s="9" t="str">
        <f t="shared" si="57"/>
        <v>Open</v>
      </c>
      <c r="I574" s="9" t="str">
        <f t="shared" si="58"/>
        <v>No sailing date and No shipping advice sent and No docs dispatch date</v>
      </c>
      <c r="J574" s="9" t="s">
        <v>102</v>
      </c>
      <c r="K574" s="9">
        <v>5481</v>
      </c>
      <c r="L574" s="11">
        <v>2160</v>
      </c>
      <c r="M574" s="9" t="s">
        <v>1428</v>
      </c>
      <c r="N574" s="9" t="s">
        <v>1429</v>
      </c>
      <c r="O574" s="9"/>
      <c r="P574" s="9"/>
      <c r="Q574" s="11">
        <v>-8</v>
      </c>
      <c r="R574" s="9" t="s">
        <v>90</v>
      </c>
      <c r="S574" s="9" t="s">
        <v>106</v>
      </c>
      <c r="T574" s="12">
        <f>IF($H574="Cancelled","",IFERROR(((Q574+INDEX(Variables!$B$6:$D$6,IFERROR(MATCH(IF($B574="Robusta","Robusta",(IF($B574="","Arabica",$B574))&amp;" - "&amp;(IF($C574="","Commercial",$C574))),Variables!$B$1:$D$1,0),1)))*22.0462)*(L574/16.67),""))</f>
        <v>807851.06044391112</v>
      </c>
      <c r="U574" s="10">
        <v>46072</v>
      </c>
      <c r="V574" s="9" t="str">
        <f t="shared" si="61"/>
        <v>Sent</v>
      </c>
      <c r="W574" s="10">
        <v>46076</v>
      </c>
      <c r="X574" s="9" t="str">
        <f t="shared" si="62"/>
        <v>Approved</v>
      </c>
      <c r="Y574" s="10"/>
      <c r="Z574" s="10">
        <f>IF($H574="Cancelled","",IFERROR(IF(F574="","",F574-Variables!$B$13),""))</f>
        <v>46097</v>
      </c>
      <c r="AA574" s="11">
        <f>IF($H574="Cancelled","",IFERROR(IF(W574="","",(AVERAGE(E574:F574)-W574)-Variables!$B$14),""))</f>
        <v>-9</v>
      </c>
      <c r="AB574" s="10"/>
      <c r="AC574" s="11" t="str">
        <f>IF($H574="Cancelled","",IFERROR(IF(AB574="","",IF(AND(W574="",Y574=""),"",IF(Y574&gt;W574,Y574+Variables!$B$15+Variables!$B$16+Variables!$B$17-AB574,W574+Variables!$B$16+Variables!$B$17-AB574))),""))</f>
        <v/>
      </c>
      <c r="AD574" s="9" t="s">
        <v>107</v>
      </c>
      <c r="AE574" s="9"/>
      <c r="AF574" s="10"/>
      <c r="AG574" s="10"/>
      <c r="AH574" s="9"/>
      <c r="AI574" s="9"/>
      <c r="AJ574" s="9"/>
      <c r="AK574" s="10"/>
      <c r="AL574" s="10"/>
      <c r="AM574" s="10"/>
      <c r="AN574" s="9" t="s">
        <v>1430</v>
      </c>
      <c r="AO574" s="9"/>
      <c r="AP574" s="11" t="str">
        <f>IF($H574="Cancelled","",IFERROR(IF(OR(AK574="",AB574=""),"",(AB574+Variables!$B$18-AK574)),""))</f>
        <v/>
      </c>
      <c r="AQ574" s="11" t="str">
        <f>IF($H574="Cancelled","",IFERROR(IF(OR(AM574="",AK574=""),"",(AK574+Variables!$B$19)-AM574),""))</f>
        <v/>
      </c>
      <c r="AR574" s="12" t="str">
        <f>IF($H574="Cancelled","",IFERROR(T574*INDEX(Variables!$B$7:$D$7,IFERROR(MATCH(IF($B574="Robusta","Robusta",(IF($B574="","Arabica",$B574))&amp;" - "&amp;(IF($C574="","Commercial",$C574))),Variables!$B$1:$D$1,0),1))*(AQ574/365),""))</f>
        <v/>
      </c>
      <c r="AS574" s="12">
        <f>IF($H574="Cancelled","",IFERROR((T574*INDEX(Variables!$B$7:$D$7,IFERROR(MATCH(IF($B574="Robusta","Robusta",(IF($B574="","Arabica",$B574))&amp;" - "&amp;(IF($C574="","Commercial",$C574))),Variables!$B$1:$D$1,0),1))*IFERROR(IF(W574="","",(AVERAGE(E574:F574)-W574)-Variables!$B$14),"")/365)+(L574/16.67*INDEX(Variables!$B$8:$D$8,IFERROR(MATCH(IF($B574="Robusta","Robusta",(IF($B574="","Arabica",$B574))&amp;" - "&amp;(IF($C574="","Commercial",$C574))),Variables!$B$1:$D$1,0),1))*IFERROR(IF(W574="","",(AVERAGE(E574:F574)-W574)-Variables!$B$14),""))+(T574*INDEX(Variables!$B$9:$D$9,IFERROR(MATCH(IF($B574="Robusta","Robusta",(IF($B574="","Arabica",$B574))&amp;" - "&amp;(IF($C574="","Commercial",$C574))),Variables!$B$1:$D$1,0),1))*IFERROR(IF(W574="","",(AVERAGE(E574:F574)-W574)-Variables!$B$14),"")/365),""))</f>
        <v>-2273.0197866485769</v>
      </c>
      <c r="AT574" s="12" t="str">
        <f>IF($H574="Cancelled","",IFERROR((T574*INDEX(Variables!$B$7:$D$7,IFERROR(MATCH(IF($B574="Robusta","Robusta",(IF($B574="","Arabica",$B574))&amp;" - "&amp;(IF($C574="","Commercial",$C574))),Variables!$B$1:$D$1,0),1))*AC574/365)+(L574/16.67*INDEX(Variables!$B$8:$D$8,IFERROR(MATCH(IF($B574="Robusta","Robusta",(IF($B574="","Arabica",$B574))&amp;" - "&amp;(IF($C574="","Commercial",$C574))),Variables!$B$1:$D$1,0),1))*AC574)+(T574*INDEX(Variables!$B$9:$D$9,IFERROR(MATCH(IF($B574="Robusta","Robusta",(IF($B574="","Arabica",$B574))&amp;" - "&amp;(IF($C574="","Commercial",$C574))),Variables!$B$1:$D$1,0),1))*AC574/365),""))</f>
        <v/>
      </c>
      <c r="AU574" s="12" t="str">
        <f>IF($H574="Cancelled","",IFERROR((T574*INDEX(Variables!$B$7:$D$7,IFERROR(MATCH(IF($B574="Robusta","Robusta",(IF($B574="","Arabica",$B574))&amp;" - "&amp;(IF($C574="","Commercial",$C574))),Variables!$B$1:$D$1,0),1))*AP574/365)+(L574/16.67*INDEX(Variables!$B$8:$D$8,IFERROR(MATCH(IF($B574="Robusta","Robusta",(IF($B574="","Arabica",$B574))&amp;" - "&amp;(IF($C574="","Commercial",$C574))),Variables!$B$1:$D$1,0),1))*AP574)+(T574*INDEX(Variables!$B$9:$D$9,IFERROR(MATCH(IF($B574="Robusta","Robusta",(IF($B574="","Arabica",$B574))&amp;" - "&amp;(IF($C574="","Commercial",$C574))),Variables!$B$1:$D$1,0),1))*AP574/365),""))</f>
        <v/>
      </c>
      <c r="AV574" s="11" t="str">
        <f t="shared" si="59"/>
        <v/>
      </c>
      <c r="AW574" s="12" t="str">
        <f>IF($H574="Cancelled","",IFERROR(IF(AV574="","",(T574*INDEX(Variables!$B$7:$D$7,IFERROR(MATCH(IF($B574="Robusta","Robusta",(IF($B574="","Arabica",$B574))&amp;" - "&amp;(IF($C574="","Commercial",$C574))),Variables!$B$1:$D$1,0),1))*(AV574/365))+(T574*INDEX(Variables!$B$9:$D$9,IFERROR(MATCH(IF($B574="Robusta","Robusta",(IF($B574="","Arabica",$B574))&amp;" - "&amp;(IF($C574="","Commercial",$C574))),Variables!$B$1:$D$1,0),1))*(AV574/365))+(INDEX(Variables!$B$8:$D$8,IFERROR(MATCH(IF($B574="Robusta","Robusta",(IF($B574="","Arabica",$B574))&amp;" - "&amp;(IF($C574="","Commercial",$C574))),Variables!$B$1:$D$1,0),1))*L574/16.67)),""))</f>
        <v/>
      </c>
      <c r="AX574" s="9"/>
      <c r="AY574" s="12"/>
      <c r="AZ574" s="10"/>
      <c r="BA574" s="9"/>
      <c r="BB574" s="10"/>
      <c r="BC574" s="9"/>
      <c r="BD574" s="9"/>
      <c r="BE574" s="9"/>
      <c r="BF574" s="9"/>
    </row>
    <row r="575" spans="1:58" x14ac:dyDescent="0.25">
      <c r="A575" s="9" t="s">
        <v>84</v>
      </c>
      <c r="B575" s="9" t="s">
        <v>85</v>
      </c>
      <c r="C575" s="9" t="s">
        <v>86</v>
      </c>
      <c r="D575" s="10">
        <v>46078</v>
      </c>
      <c r="E575" s="10">
        <v>46082</v>
      </c>
      <c r="F575" s="10">
        <v>46112</v>
      </c>
      <c r="G575" s="9">
        <v>3787356</v>
      </c>
      <c r="H575" s="9" t="str">
        <f t="shared" si="57"/>
        <v>Open</v>
      </c>
      <c r="I575" s="9" t="str">
        <f t="shared" si="58"/>
        <v>No shipping advice sent and No docs dispatch date</v>
      </c>
      <c r="J575" s="9" t="s">
        <v>102</v>
      </c>
      <c r="K575" s="9">
        <v>5465</v>
      </c>
      <c r="L575" s="11">
        <v>320</v>
      </c>
      <c r="M575" s="9" t="s">
        <v>1431</v>
      </c>
      <c r="N575" s="9" t="s">
        <v>1130</v>
      </c>
      <c r="O575" s="9"/>
      <c r="P575" s="9"/>
      <c r="Q575" s="11">
        <v>65</v>
      </c>
      <c r="R575" s="9" t="s">
        <v>90</v>
      </c>
      <c r="S575" s="9" t="s">
        <v>162</v>
      </c>
      <c r="T575" s="12">
        <f>IF($H575="Cancelled","",IFERROR(((Q575+INDEX(Variables!$B$6:$D$6,IFERROR(MATCH(IF($B575="Robusta","Robusta",(IF($B575="","Arabica",$B575))&amp;" - "&amp;(IF($C575="","Commercial",$C575))),Variables!$B$1:$D$1,0),1)))*22.0462)*(L575/16.67),""))</f>
        <v>150575.41374925012</v>
      </c>
      <c r="U575" s="10">
        <v>46086</v>
      </c>
      <c r="V575" s="9" t="str">
        <f t="shared" si="61"/>
        <v>Sent</v>
      </c>
      <c r="W575" s="10">
        <v>46094</v>
      </c>
      <c r="X575" s="9" t="str">
        <f t="shared" si="62"/>
        <v>Approved</v>
      </c>
      <c r="Y575" s="10"/>
      <c r="Z575" s="10">
        <f>IF($H575="Cancelled","",IFERROR(IF(F575="","",F575-Variables!$B$13),""))</f>
        <v>46097</v>
      </c>
      <c r="AA575" s="11">
        <f>IF($H575="Cancelled","",IFERROR(IF(W575="","",(AVERAGE(E575:F575)-W575)-Variables!$B$14),""))</f>
        <v>-27</v>
      </c>
      <c r="AB575" s="10">
        <v>46109</v>
      </c>
      <c r="AC575" s="11">
        <f>IF($H575="Cancelled","",IFERROR(IF(AB575="","",IF(AND(W575="",Y575=""),"",IF(Y575&gt;W575,Y575+Variables!$B$15+Variables!$B$16+Variables!$B$17-AB575,W575+Variables!$B$16+Variables!$B$17-AB575))),""))</f>
        <v>-7</v>
      </c>
      <c r="AD575" s="9" t="s">
        <v>107</v>
      </c>
      <c r="AE575" s="9" t="s">
        <v>1432</v>
      </c>
      <c r="AF575" s="10">
        <v>46174</v>
      </c>
      <c r="AG575" s="10"/>
      <c r="AH575" s="9"/>
      <c r="AI575" s="9" t="s">
        <v>1433</v>
      </c>
      <c r="AJ575" s="9"/>
      <c r="AK575" s="10">
        <v>46116</v>
      </c>
      <c r="AL575" s="10"/>
      <c r="AM575" s="10"/>
      <c r="AN575" s="9" t="s">
        <v>1411</v>
      </c>
      <c r="AO575" s="9"/>
      <c r="AP575" s="11">
        <f>IF($H575="Cancelled","",IFERROR(IF(OR(AK575="",AB575=""),"",(AB575+Variables!$B$18-AK575)),""))</f>
        <v>0</v>
      </c>
      <c r="AQ575" s="11" t="str">
        <f>IF($H575="Cancelled","",IFERROR(IF(OR(AM575="",AK575=""),"",(AK575+Variables!$B$19)-AM575),""))</f>
        <v/>
      </c>
      <c r="AR575" s="12" t="str">
        <f>IF($H575="Cancelled","",IFERROR(T575*INDEX(Variables!$B$7:$D$7,IFERROR(MATCH(IF($B575="Robusta","Robusta",(IF($B575="","Arabica",$B575))&amp;" - "&amp;(IF($C575="","Commercial",$C575))),Variables!$B$1:$D$1,0),1))*(AQ575/365),""))</f>
        <v/>
      </c>
      <c r="AS575" s="12">
        <f>IF($H575="Cancelled","",IFERROR((T575*INDEX(Variables!$B$7:$D$7,IFERROR(MATCH(IF($B575="Robusta","Robusta",(IF($B575="","Arabica",$B575))&amp;" - "&amp;(IF($C575="","Commercial",$C575))),Variables!$B$1:$D$1,0),1))*IFERROR(IF(W575="","",(AVERAGE(E575:F575)-W575)-Variables!$B$14),"")/365)+(L575/16.67*INDEX(Variables!$B$8:$D$8,IFERROR(MATCH(IF($B575="Robusta","Robusta",(IF($B575="","Arabica",$B575))&amp;" - "&amp;(IF($C575="","Commercial",$C575))),Variables!$B$1:$D$1,0),1))*IFERROR(IF(W575="","",(AVERAGE(E575:F575)-W575)-Variables!$B$14),""))+(T575*INDEX(Variables!$B$9:$D$9,IFERROR(MATCH(IF($B575="Robusta","Robusta",(IF($B575="","Arabica",$B575))&amp;" - "&amp;(IF($C575="","Commercial",$C575))),Variables!$B$1:$D$1,0),1))*IFERROR(IF(W575="","",(AVERAGE(E575:F575)-W575)-Variables!$B$14),"")/365),""))</f>
        <v>-1159.4914978619577</v>
      </c>
      <c r="AT575" s="12">
        <f>IF($H575="Cancelled","",IFERROR((T575*INDEX(Variables!$B$7:$D$7,IFERROR(MATCH(IF($B575="Robusta","Robusta",(IF($B575="","Arabica",$B575))&amp;" - "&amp;(IF($C575="","Commercial",$C575))),Variables!$B$1:$D$1,0),1))*AC575/365)+(L575/16.67*INDEX(Variables!$B$8:$D$8,IFERROR(MATCH(IF($B575="Robusta","Robusta",(IF($B575="","Arabica",$B575))&amp;" - "&amp;(IF($C575="","Commercial",$C575))),Variables!$B$1:$D$1,0),1))*AC575)+(T575*INDEX(Variables!$B$9:$D$9,IFERROR(MATCH(IF($B575="Robusta","Robusta",(IF($B575="","Arabica",$B575))&amp;" - "&amp;(IF($C575="","Commercial",$C575))),Variables!$B$1:$D$1,0),1))*AC575/365),""))</f>
        <v>-300.60890685310011</v>
      </c>
      <c r="AU575" s="12">
        <f>IF($H575="Cancelled","",IFERROR((T575*INDEX(Variables!$B$7:$D$7,IFERROR(MATCH(IF($B575="Robusta","Robusta",(IF($B575="","Arabica",$B575))&amp;" - "&amp;(IF($C575="","Commercial",$C575))),Variables!$B$1:$D$1,0),1))*AP575/365)+(L575/16.67*INDEX(Variables!$B$8:$D$8,IFERROR(MATCH(IF($B575="Robusta","Robusta",(IF($B575="","Arabica",$B575))&amp;" - "&amp;(IF($C575="","Commercial",$C575))),Variables!$B$1:$D$1,0),1))*AP575)+(T575*INDEX(Variables!$B$9:$D$9,IFERROR(MATCH(IF($B575="Robusta","Robusta",(IF($B575="","Arabica",$B575))&amp;" - "&amp;(IF($C575="","Commercial",$C575))),Variables!$B$1:$D$1,0),1))*AP575/365),""))</f>
        <v>0</v>
      </c>
      <c r="AV575" s="11">
        <f t="shared" si="59"/>
        <v>-4</v>
      </c>
      <c r="AW575" s="12">
        <f>IF($H575="Cancelled","",IFERROR(IF(AV575="","",(T575*INDEX(Variables!$B$7:$D$7,IFERROR(MATCH(IF($B575="Robusta","Robusta",(IF($B575="","Arabica",$B575))&amp;" - "&amp;(IF($C575="","Commercial",$C575))),Variables!$B$1:$D$1,0),1))*(AV575/365))+(T575*INDEX(Variables!$B$9:$D$9,IFERROR(MATCH(IF($B575="Robusta","Robusta",(IF($B575="","Arabica",$B575))&amp;" - "&amp;(IF($C575="","Commercial",$C575))),Variables!$B$1:$D$1,0),1))*(AV575/365))+(INDEX(Variables!$B$8:$D$8,IFERROR(MATCH(IF($B575="Robusta","Robusta",(IF($B575="","Arabica",$B575))&amp;" - "&amp;(IF($C575="","Commercial",$C575))),Variables!$B$1:$D$1,0),1))*L575/16.67)),""))</f>
        <v>-91.776518201771481</v>
      </c>
      <c r="AX575" s="9"/>
      <c r="AY575" s="12"/>
      <c r="AZ575" s="10"/>
      <c r="BA575" s="9"/>
      <c r="BB575" s="10"/>
      <c r="BC575" s="9"/>
      <c r="BD575" s="9"/>
      <c r="BE575" s="9"/>
      <c r="BF575" s="9"/>
    </row>
    <row r="576" spans="1:58" x14ac:dyDescent="0.25">
      <c r="A576" s="9" t="s">
        <v>84</v>
      </c>
      <c r="B576" s="9" t="s">
        <v>85</v>
      </c>
      <c r="C576" s="9" t="s">
        <v>86</v>
      </c>
      <c r="D576" s="10">
        <v>46090</v>
      </c>
      <c r="E576" s="10">
        <v>46082</v>
      </c>
      <c r="F576" s="10">
        <v>46112</v>
      </c>
      <c r="G576" s="9">
        <v>3787409</v>
      </c>
      <c r="H576" s="9" t="str">
        <f t="shared" si="57"/>
        <v>Open</v>
      </c>
      <c r="I576" s="9" t="str">
        <f t="shared" si="58"/>
        <v>No sailing date and No shipping advice sent and No docs dispatch date</v>
      </c>
      <c r="J576" s="9" t="s">
        <v>102</v>
      </c>
      <c r="K576" s="9">
        <v>5447</v>
      </c>
      <c r="L576" s="11">
        <v>1440</v>
      </c>
      <c r="M576" s="9" t="s">
        <v>1434</v>
      </c>
      <c r="N576" s="9" t="s">
        <v>432</v>
      </c>
      <c r="O576" s="9"/>
      <c r="P576" s="9"/>
      <c r="Q576" s="11">
        <v>48</v>
      </c>
      <c r="R576" s="9" t="s">
        <v>90</v>
      </c>
      <c r="S576" s="9" t="s">
        <v>1435</v>
      </c>
      <c r="T576" s="12">
        <f>IF($H576="Cancelled","",IFERROR(((Q576+INDEX(Variables!$B$6:$D$6,IFERROR(MATCH(IF($B576="Robusta","Robusta",(IF($B576="","Arabica",$B576))&amp;" - "&amp;(IF($C576="","Commercial",$C576))),Variables!$B$1:$D$1,0),1)))*22.0462)*(L576/16.67),""))</f>
        <v>645214.37830833835</v>
      </c>
      <c r="U576" s="10">
        <v>46093</v>
      </c>
      <c r="V576" s="9" t="str">
        <f t="shared" si="61"/>
        <v>Sent</v>
      </c>
      <c r="W576" s="10"/>
      <c r="X576" s="9" t="str">
        <f t="shared" si="62"/>
        <v/>
      </c>
      <c r="Y576" s="10"/>
      <c r="Z576" s="10">
        <f>IF($H576="Cancelled","",IFERROR(IF(F576="","",F576-Variables!$B$13),""))</f>
        <v>46097</v>
      </c>
      <c r="AA576" s="11" t="str">
        <f>IF($H576="Cancelled","",IFERROR(IF(W576="","",(AVERAGE(E576:F576)-W576)-Variables!$B$14),""))</f>
        <v/>
      </c>
      <c r="AB576" s="10"/>
      <c r="AC576" s="11" t="str">
        <f>IF($H576="Cancelled","",IFERROR(IF(AB576="","",IF(AND(W576="",Y576=""),"",IF(Y576&gt;W576,Y576+Variables!$B$15+Variables!$B$16+Variables!$B$17-AB576,W576+Variables!$B$16+Variables!$B$17-AB576))),""))</f>
        <v/>
      </c>
      <c r="AD576" s="9" t="s">
        <v>1026</v>
      </c>
      <c r="AE576" s="9"/>
      <c r="AF576" s="10"/>
      <c r="AG576" s="10"/>
      <c r="AH576" s="9"/>
      <c r="AI576" s="9"/>
      <c r="AJ576" s="9"/>
      <c r="AK576" s="10"/>
      <c r="AL576" s="10"/>
      <c r="AM576" s="10"/>
      <c r="AN576" s="9" t="s">
        <v>1382</v>
      </c>
      <c r="AO576" s="9"/>
      <c r="AP576" s="11" t="str">
        <f>IF($H576="Cancelled","",IFERROR(IF(OR(AK576="",AB576=""),"",(AB576+Variables!$B$18-AK576)),""))</f>
        <v/>
      </c>
      <c r="AQ576" s="11" t="str">
        <f>IF($H576="Cancelled","",IFERROR(IF(OR(AM576="",AK576=""),"",(AK576+Variables!$B$19)-AM576),""))</f>
        <v/>
      </c>
      <c r="AR576" s="12" t="str">
        <f>IF($H576="Cancelled","",IFERROR(T576*INDEX(Variables!$B$7:$D$7,IFERROR(MATCH(IF($B576="Robusta","Robusta",(IF($B576="","Arabica",$B576))&amp;" - "&amp;(IF($C576="","Commercial",$C576))),Variables!$B$1:$D$1,0),1))*(AQ576/365),""))</f>
        <v/>
      </c>
      <c r="AS576" s="12" t="str">
        <f>IF($H576="Cancelled","",IFERROR((T576*INDEX(Variables!$B$7:$D$7,IFERROR(MATCH(IF($B576="Robusta","Robusta",(IF($B576="","Arabica",$B576))&amp;" - "&amp;(IF($C576="","Commercial",$C576))),Variables!$B$1:$D$1,0),1))*IFERROR(IF(W576="","",(AVERAGE(E576:F576)-W576)-Variables!$B$14),"")/365)+(L576/16.67*INDEX(Variables!$B$8:$D$8,IFERROR(MATCH(IF($B576="Robusta","Robusta",(IF($B576="","Arabica",$B576))&amp;" - "&amp;(IF($C576="","Commercial",$C576))),Variables!$B$1:$D$1,0),1))*IFERROR(IF(W576="","",(AVERAGE(E576:F576)-W576)-Variables!$B$14),""))+(T576*INDEX(Variables!$B$9:$D$9,IFERROR(MATCH(IF($B576="Robusta","Robusta",(IF($B576="","Arabica",$B576))&amp;" - "&amp;(IF($C576="","Commercial",$C576))),Variables!$B$1:$D$1,0),1))*IFERROR(IF(W576="","",(AVERAGE(E576:F576)-W576)-Variables!$B$14),"")/365),""))</f>
        <v/>
      </c>
      <c r="AT576" s="12" t="str">
        <f>IF($H576="Cancelled","",IFERROR((T576*INDEX(Variables!$B$7:$D$7,IFERROR(MATCH(IF($B576="Robusta","Robusta",(IF($B576="","Arabica",$B576))&amp;" - "&amp;(IF($C576="","Commercial",$C576))),Variables!$B$1:$D$1,0),1))*AC576/365)+(L576/16.67*INDEX(Variables!$B$8:$D$8,IFERROR(MATCH(IF($B576="Robusta","Robusta",(IF($B576="","Arabica",$B576))&amp;" - "&amp;(IF($C576="","Commercial",$C576))),Variables!$B$1:$D$1,0),1))*AC576)+(T576*INDEX(Variables!$B$9:$D$9,IFERROR(MATCH(IF($B576="Robusta","Robusta",(IF($B576="","Arabica",$B576))&amp;" - "&amp;(IF($C576="","Commercial",$C576))),Variables!$B$1:$D$1,0),1))*AC576/365),""))</f>
        <v/>
      </c>
      <c r="AU576" s="12" t="str">
        <f>IF($H576="Cancelled","",IFERROR((T576*INDEX(Variables!$B$7:$D$7,IFERROR(MATCH(IF($B576="Robusta","Robusta",(IF($B576="","Arabica",$B576))&amp;" - "&amp;(IF($C576="","Commercial",$C576))),Variables!$B$1:$D$1,0),1))*AP576/365)+(L576/16.67*INDEX(Variables!$B$8:$D$8,IFERROR(MATCH(IF($B576="Robusta","Robusta",(IF($B576="","Arabica",$B576))&amp;" - "&amp;(IF($C576="","Commercial",$C576))),Variables!$B$1:$D$1,0),1))*AP576)+(T576*INDEX(Variables!$B$9:$D$9,IFERROR(MATCH(IF($B576="Robusta","Robusta",(IF($B576="","Arabica",$B576))&amp;" - "&amp;(IF($C576="","Commercial",$C576))),Variables!$B$1:$D$1,0),1))*AP576/365),""))</f>
        <v/>
      </c>
      <c r="AV576" s="11" t="str">
        <f t="shared" si="59"/>
        <v/>
      </c>
      <c r="AW576" s="12" t="str">
        <f>IF($H576="Cancelled","",IFERROR(IF(AV576="","",(T576*INDEX(Variables!$B$7:$D$7,IFERROR(MATCH(IF($B576="Robusta","Robusta",(IF($B576="","Arabica",$B576))&amp;" - "&amp;(IF($C576="","Commercial",$C576))),Variables!$B$1:$D$1,0),1))*(AV576/365))+(T576*INDEX(Variables!$B$9:$D$9,IFERROR(MATCH(IF($B576="Robusta","Robusta",(IF($B576="","Arabica",$B576))&amp;" - "&amp;(IF($C576="","Commercial",$C576))),Variables!$B$1:$D$1,0),1))*(AV576/365))+(INDEX(Variables!$B$8:$D$8,IFERROR(MATCH(IF($B576="Robusta","Robusta",(IF($B576="","Arabica",$B576))&amp;" - "&amp;(IF($C576="","Commercial",$C576))),Variables!$B$1:$D$1,0),1))*L576/16.67)),""))</f>
        <v/>
      </c>
      <c r="AX576" s="9"/>
      <c r="AY576" s="12"/>
      <c r="AZ576" s="10"/>
      <c r="BA576" s="9"/>
      <c r="BB576" s="10"/>
      <c r="BC576" s="9"/>
      <c r="BD576" s="9"/>
      <c r="BE576" s="9"/>
      <c r="BF576" s="9"/>
    </row>
    <row r="577" spans="1:58" x14ac:dyDescent="0.25">
      <c r="A577" s="9" t="s">
        <v>84</v>
      </c>
      <c r="B577" s="9" t="s">
        <v>85</v>
      </c>
      <c r="C577" s="9" t="s">
        <v>86</v>
      </c>
      <c r="D577" s="10">
        <v>46101</v>
      </c>
      <c r="E577" s="10">
        <v>46082</v>
      </c>
      <c r="F577" s="10">
        <v>46112</v>
      </c>
      <c r="G577" s="9">
        <v>3787459</v>
      </c>
      <c r="H577" s="9" t="str">
        <f t="shared" si="57"/>
        <v>Open</v>
      </c>
      <c r="I577" s="9" t="str">
        <f t="shared" si="58"/>
        <v>No shipping advice sent and No docs dispatch date</v>
      </c>
      <c r="J577" s="9" t="s">
        <v>102</v>
      </c>
      <c r="K577" s="9">
        <v>5463</v>
      </c>
      <c r="L577" s="11">
        <v>720</v>
      </c>
      <c r="M577" s="9" t="s">
        <v>1436</v>
      </c>
      <c r="N577" s="9" t="s">
        <v>105</v>
      </c>
      <c r="O577" s="9"/>
      <c r="P577" s="9"/>
      <c r="Q577" s="11">
        <v>26</v>
      </c>
      <c r="R577" s="9" t="s">
        <v>195</v>
      </c>
      <c r="S577" s="9" t="s">
        <v>162</v>
      </c>
      <c r="T577" s="12">
        <f>IF($H577="Cancelled","",IFERROR(((Q577+INDEX(Variables!$B$6:$D$6,IFERROR(MATCH(IF($B577="Robusta","Robusta",(IF($B577="","Arabica",$B577))&amp;" - "&amp;(IF($C577="","Commercial",$C577))),Variables!$B$1:$D$1,0),1)))*22.0462)*(L577/16.67),""))</f>
        <v>301658.6703779244</v>
      </c>
      <c r="U577" s="10"/>
      <c r="V577" s="9" t="str">
        <f t="shared" si="61"/>
        <v/>
      </c>
      <c r="W577" s="10">
        <v>46067</v>
      </c>
      <c r="X577" s="9" t="str">
        <f t="shared" si="62"/>
        <v>Approved</v>
      </c>
      <c r="Y577" s="10">
        <v>46080</v>
      </c>
      <c r="Z577" s="10">
        <f>IF($H577="Cancelled","",IFERROR(IF(F577="","",F577-Variables!$B$13),""))</f>
        <v>46097</v>
      </c>
      <c r="AA577" s="11">
        <f>IF($H577="Cancelled","",IFERROR(IF(W577="","",(AVERAGE(E577:F577)-W577)-Variables!$B$14),""))</f>
        <v>0</v>
      </c>
      <c r="AB577" s="10">
        <v>46111</v>
      </c>
      <c r="AC577" s="11">
        <f>IF($H577="Cancelled","",IFERROR(IF(AB577="","",IF(AND(W577="",Y577=""),"",IF(Y577&gt;W577,Y577+Variables!$B$15+Variables!$B$16+Variables!$B$17-AB577,W577+Variables!$B$16+Variables!$B$17-AB577))),""))</f>
        <v>-16</v>
      </c>
      <c r="AD577" s="9" t="s">
        <v>107</v>
      </c>
      <c r="AE577" s="9" t="s">
        <v>1437</v>
      </c>
      <c r="AF577" s="10">
        <v>46181</v>
      </c>
      <c r="AG577" s="10"/>
      <c r="AH577" s="9"/>
      <c r="AI577" s="9" t="s">
        <v>1438</v>
      </c>
      <c r="AJ577" s="9"/>
      <c r="AK577" s="10">
        <v>46122</v>
      </c>
      <c r="AL577" s="10"/>
      <c r="AM577" s="10"/>
      <c r="AN577" s="9" t="s">
        <v>1249</v>
      </c>
      <c r="AO577" s="9"/>
      <c r="AP577" s="11">
        <f>IF($H577="Cancelled","",IFERROR(IF(OR(AK577="",AB577=""),"",(AB577+Variables!$B$18-AK577)),""))</f>
        <v>-4</v>
      </c>
      <c r="AQ577" s="11" t="str">
        <f>IF($H577="Cancelled","",IFERROR(IF(OR(AM577="",AK577=""),"",(AK577+Variables!$B$19)-AM577),""))</f>
        <v/>
      </c>
      <c r="AR577" s="12" t="str">
        <f>IF($H577="Cancelled","",IFERROR(T577*INDEX(Variables!$B$7:$D$7,IFERROR(MATCH(IF($B577="Robusta","Robusta",(IF($B577="","Arabica",$B577))&amp;" - "&amp;(IF($C577="","Commercial",$C577))),Variables!$B$1:$D$1,0),1))*(AQ577/365),""))</f>
        <v/>
      </c>
      <c r="AS577" s="12">
        <f>IF($H577="Cancelled","",IFERROR((T577*INDEX(Variables!$B$7:$D$7,IFERROR(MATCH(IF($B577="Robusta","Robusta",(IF($B577="","Arabica",$B577))&amp;" - "&amp;(IF($C577="","Commercial",$C577))),Variables!$B$1:$D$1,0),1))*IFERROR(IF(W577="","",(AVERAGE(E577:F577)-W577)-Variables!$B$14),"")/365)+(L577/16.67*INDEX(Variables!$B$8:$D$8,IFERROR(MATCH(IF($B577="Robusta","Robusta",(IF($B577="","Arabica",$B577))&amp;" - "&amp;(IF($C577="","Commercial",$C577))),Variables!$B$1:$D$1,0),1))*IFERROR(IF(W577="","",(AVERAGE(E577:F577)-W577)-Variables!$B$14),""))+(T577*INDEX(Variables!$B$9:$D$9,IFERROR(MATCH(IF($B577="Robusta","Robusta",(IF($B577="","Arabica",$B577))&amp;" - "&amp;(IF($C577="","Commercial",$C577))),Variables!$B$1:$D$1,0),1))*IFERROR(IF(W577="","",(AVERAGE(E577:F577)-W577)-Variables!$B$14),"")/365),""))</f>
        <v>0</v>
      </c>
      <c r="AT577" s="12">
        <f>IF($H577="Cancelled","",IFERROR((T577*INDEX(Variables!$B$7:$D$7,IFERROR(MATCH(IF($B577="Robusta","Robusta",(IF($B577="","Arabica",$B577))&amp;" - "&amp;(IF($C577="","Commercial",$C577))),Variables!$B$1:$D$1,0),1))*AC577/365)+(L577/16.67*INDEX(Variables!$B$8:$D$8,IFERROR(MATCH(IF($B577="Robusta","Robusta",(IF($B577="","Arabica",$B577))&amp;" - "&amp;(IF($C577="","Commercial",$C577))),Variables!$B$1:$D$1,0),1))*AC577)+(T577*INDEX(Variables!$B$9:$D$9,IFERROR(MATCH(IF($B577="Robusta","Robusta",(IF($B577="","Arabica",$B577))&amp;" - "&amp;(IF($C577="","Commercial",$C577))),Variables!$B$1:$D$1,0),1))*AC577/365),""))</f>
        <v>-1439.6661289963208</v>
      </c>
      <c r="AU577" s="12">
        <f>IF($H577="Cancelled","",IFERROR((T577*INDEX(Variables!$B$7:$D$7,IFERROR(MATCH(IF($B577="Robusta","Robusta",(IF($B577="","Arabica",$B577))&amp;" - "&amp;(IF($C577="","Commercial",$C577))),Variables!$B$1:$D$1,0),1))*AP577/365)+(L577/16.67*INDEX(Variables!$B$8:$D$8,IFERROR(MATCH(IF($B577="Robusta","Robusta",(IF($B577="","Arabica",$B577))&amp;" - "&amp;(IF($C577="","Commercial",$C577))),Variables!$B$1:$D$1,0),1))*AP577)+(T577*INDEX(Variables!$B$9:$D$9,IFERROR(MATCH(IF($B577="Robusta","Robusta",(IF($B577="","Arabica",$B577))&amp;" - "&amp;(IF($C577="","Commercial",$C577))),Variables!$B$1:$D$1,0),1))*AP577/365),""))</f>
        <v>-359.91653224908021</v>
      </c>
      <c r="AV577" s="11">
        <f t="shared" si="59"/>
        <v>-10</v>
      </c>
      <c r="AW577" s="12">
        <f>IF($H577="Cancelled","",IFERROR(IF(AV577="","",(T577*INDEX(Variables!$B$7:$D$7,IFERROR(MATCH(IF($B577="Robusta","Robusta",(IF($B577="","Arabica",$B577))&amp;" - "&amp;(IF($C577="","Commercial",$C577))),Variables!$B$1:$D$1,0),1))*(AV577/365))+(T577*INDEX(Variables!$B$9:$D$9,IFERROR(MATCH(IF($B577="Robusta","Robusta",(IF($B577="","Arabica",$B577))&amp;" - "&amp;(IF($C577="","Commercial",$C577))),Variables!$B$1:$D$1,0),1))*(AV577/365))+(INDEX(Variables!$B$8:$D$8,IFERROR(MATCH(IF($B577="Robusta","Robusta",(IF($B577="","Arabica",$B577))&amp;" - "&amp;(IF($C577="","Commercial",$C577))),Variables!$B$1:$D$1,0),1))*L577/16.67)),""))</f>
        <v>-503.79133062270034</v>
      </c>
      <c r="AX577" s="9"/>
      <c r="AY577" s="12"/>
      <c r="AZ577" s="10"/>
      <c r="BA577" s="9"/>
      <c r="BB577" s="10"/>
      <c r="BC577" s="9"/>
      <c r="BD577" s="9"/>
      <c r="BE577" s="9"/>
      <c r="BF577" s="9"/>
    </row>
    <row r="578" spans="1:58" x14ac:dyDescent="0.25">
      <c r="A578" s="9" t="s">
        <v>84</v>
      </c>
      <c r="B578" s="9" t="s">
        <v>85</v>
      </c>
      <c r="C578" s="9" t="s">
        <v>86</v>
      </c>
      <c r="D578" s="10">
        <v>46058</v>
      </c>
      <c r="E578" s="10">
        <v>46082</v>
      </c>
      <c r="F578" s="10">
        <v>46112</v>
      </c>
      <c r="G578" s="9">
        <v>3787221</v>
      </c>
      <c r="H578" s="9" t="str">
        <f t="shared" ref="H578:H641" si="63">IF(ISNUMBER(SEARCH("cancel",AN578)),"Cancelled",IF(AND(AK578&lt;&gt;"",AL578&lt;&gt;"",AM578&lt;&gt;""),"Closed","Open"))</f>
        <v>Open</v>
      </c>
      <c r="I578" s="9" t="str">
        <f t="shared" ref="I578:I641" si="64">IF(AND(AK578&lt;&gt;"",AL578&lt;&gt;"",AM578&lt;&gt;""),"All dates received",_xlfn.TEXTJOIN(" and ",TRUE(),IF(AK578="","No sailing date",""),IF(AL578="","No shipping advice sent",""),IF(AM578="","No docs dispatch date","")))</f>
        <v>No sailing date and No shipping advice sent and No docs dispatch date</v>
      </c>
      <c r="J578" s="9" t="s">
        <v>1439</v>
      </c>
      <c r="K578" s="9">
        <v>5478</v>
      </c>
      <c r="L578" s="11">
        <v>3600</v>
      </c>
      <c r="M578" s="9" t="s">
        <v>1428</v>
      </c>
      <c r="N578" s="9" t="s">
        <v>1429</v>
      </c>
      <c r="O578" s="9"/>
      <c r="P578" s="9"/>
      <c r="Q578" s="11">
        <v>-10</v>
      </c>
      <c r="R578" s="9" t="s">
        <v>90</v>
      </c>
      <c r="S578" s="9" t="s">
        <v>106</v>
      </c>
      <c r="T578" s="12">
        <f>IF($H578="Cancelled","",IFERROR(((Q578+INDEX(Variables!$B$6:$D$6,IFERROR(MATCH(IF($B578="Robusta","Robusta",(IF($B578="","Arabica",$B578))&amp;" - "&amp;(IF($C578="","Commercial",$C578))),Variables!$B$1:$D$1,0),1)))*22.0462)*(L578/16.67),""))</f>
        <v>1336896.3800839828</v>
      </c>
      <c r="U578" s="10">
        <v>46079</v>
      </c>
      <c r="V578" s="9" t="str">
        <f t="shared" si="61"/>
        <v>Sent</v>
      </c>
      <c r="W578" s="10">
        <v>46084</v>
      </c>
      <c r="X578" s="9" t="str">
        <f t="shared" si="62"/>
        <v>Approved</v>
      </c>
      <c r="Y578" s="10"/>
      <c r="Z578" s="10">
        <f>IF($H578="Cancelled","",IFERROR(IF(F578="","",F578-Variables!$B$13),""))</f>
        <v>46097</v>
      </c>
      <c r="AA578" s="11">
        <f>IF($H578="Cancelled","",IFERROR(IF(W578="","",(AVERAGE(E578:F578)-W578)-Variables!$B$14),""))</f>
        <v>-17</v>
      </c>
      <c r="AB578" s="10"/>
      <c r="AC578" s="11" t="str">
        <f>IF($H578="Cancelled","",IFERROR(IF(AB578="","",IF(AND(W578="",Y578=""),"",IF(Y578&gt;W578,Y578+Variables!$B$15+Variables!$B$16+Variables!$B$17-AB578,W578+Variables!$B$16+Variables!$B$17-AB578))),""))</f>
        <v/>
      </c>
      <c r="AD578" s="9" t="s">
        <v>1373</v>
      </c>
      <c r="AE578" s="9"/>
      <c r="AF578" s="10"/>
      <c r="AG578" s="10"/>
      <c r="AH578" s="9"/>
      <c r="AI578" s="9"/>
      <c r="AJ578" s="9"/>
      <c r="AK578" s="10"/>
      <c r="AL578" s="10"/>
      <c r="AM578" s="10"/>
      <c r="AN578" s="9" t="s">
        <v>1188</v>
      </c>
      <c r="AO578" s="9"/>
      <c r="AP578" s="11" t="str">
        <f>IF($H578="Cancelled","",IFERROR(IF(OR(AK578="",AB578=""),"",(AB578+Variables!$B$18-AK578)),""))</f>
        <v/>
      </c>
      <c r="AQ578" s="11" t="str">
        <f>IF($H578="Cancelled","",IFERROR(IF(OR(AM578="",AK578=""),"",(AK578+Variables!$B$19)-AM578),""))</f>
        <v/>
      </c>
      <c r="AR578" s="12" t="str">
        <f>IF($H578="Cancelled","",IFERROR(T578*INDEX(Variables!$B$7:$D$7,IFERROR(MATCH(IF($B578="Robusta","Robusta",(IF($B578="","Arabica",$B578))&amp;" - "&amp;(IF($C578="","Commercial",$C578))),Variables!$B$1:$D$1,0),1))*(AQ578/365),""))</f>
        <v/>
      </c>
      <c r="AS578" s="12">
        <f>IF($H578="Cancelled","",IFERROR((T578*INDEX(Variables!$B$7:$D$7,IFERROR(MATCH(IF($B578="Robusta","Robusta",(IF($B578="","Arabica",$B578))&amp;" - "&amp;(IF($C578="","Commercial",$C578))),Variables!$B$1:$D$1,0),1))*IFERROR(IF(W578="","",(AVERAGE(E578:F578)-W578)-Variables!$B$14),"")/365)+(L578/16.67*INDEX(Variables!$B$8:$D$8,IFERROR(MATCH(IF($B578="Robusta","Robusta",(IF($B578="","Arabica",$B578))&amp;" - "&amp;(IF($C578="","Commercial",$C578))),Variables!$B$1:$D$1,0),1))*IFERROR(IF(W578="","",(AVERAGE(E578:F578)-W578)-Variables!$B$14),""))+(T578*INDEX(Variables!$B$9:$D$9,IFERROR(MATCH(IF($B578="Robusta","Robusta",(IF($B578="","Arabica",$B578))&amp;" - "&amp;(IF($C578="","Commercial",$C578))),Variables!$B$1:$D$1,0),1))*IFERROR(IF(W578="","",(AVERAGE(E578:F578)-W578)-Variables!$B$14),"")/365),""))</f>
        <v>-7126.8369568505723</v>
      </c>
      <c r="AT578" s="12" t="str">
        <f>IF($H578="Cancelled","",IFERROR((T578*INDEX(Variables!$B$7:$D$7,IFERROR(MATCH(IF($B578="Robusta","Robusta",(IF($B578="","Arabica",$B578))&amp;" - "&amp;(IF($C578="","Commercial",$C578))),Variables!$B$1:$D$1,0),1))*AC578/365)+(L578/16.67*INDEX(Variables!$B$8:$D$8,IFERROR(MATCH(IF($B578="Robusta","Robusta",(IF($B578="","Arabica",$B578))&amp;" - "&amp;(IF($C578="","Commercial",$C578))),Variables!$B$1:$D$1,0),1))*AC578)+(T578*INDEX(Variables!$B$9:$D$9,IFERROR(MATCH(IF($B578="Robusta","Robusta",(IF($B578="","Arabica",$B578))&amp;" - "&amp;(IF($C578="","Commercial",$C578))),Variables!$B$1:$D$1,0),1))*AC578/365),""))</f>
        <v/>
      </c>
      <c r="AU578" s="12" t="str">
        <f>IF($H578="Cancelled","",IFERROR((T578*INDEX(Variables!$B$7:$D$7,IFERROR(MATCH(IF($B578="Robusta","Robusta",(IF($B578="","Arabica",$B578))&amp;" - "&amp;(IF($C578="","Commercial",$C578))),Variables!$B$1:$D$1,0),1))*AP578/365)+(L578/16.67*INDEX(Variables!$B$8:$D$8,IFERROR(MATCH(IF($B578="Robusta","Robusta",(IF($B578="","Arabica",$B578))&amp;" - "&amp;(IF($C578="","Commercial",$C578))),Variables!$B$1:$D$1,0),1))*AP578)+(T578*INDEX(Variables!$B$9:$D$9,IFERROR(MATCH(IF($B578="Robusta","Robusta",(IF($B578="","Arabica",$B578))&amp;" - "&amp;(IF($C578="","Commercial",$C578))),Variables!$B$1:$D$1,0),1))*AP578/365),""))</f>
        <v/>
      </c>
      <c r="AV578" s="11" t="str">
        <f t="shared" ref="AV578:AV641" si="65">IF($H578="Cancelled","",IFERROR(IF(AK578="","",F578-AK578),""))</f>
        <v/>
      </c>
      <c r="AW578" s="12" t="str">
        <f>IF($H578="Cancelled","",IFERROR(IF(AV578="","",(T578*INDEX(Variables!$B$7:$D$7,IFERROR(MATCH(IF($B578="Robusta","Robusta",(IF($B578="","Arabica",$B578))&amp;" - "&amp;(IF($C578="","Commercial",$C578))),Variables!$B$1:$D$1,0),1))*(AV578/365))+(T578*INDEX(Variables!$B$9:$D$9,IFERROR(MATCH(IF($B578="Robusta","Robusta",(IF($B578="","Arabica",$B578))&amp;" - "&amp;(IF($C578="","Commercial",$C578))),Variables!$B$1:$D$1,0),1))*(AV578/365))+(INDEX(Variables!$B$8:$D$8,IFERROR(MATCH(IF($B578="Robusta","Robusta",(IF($B578="","Arabica",$B578))&amp;" - "&amp;(IF($C578="","Commercial",$C578))),Variables!$B$1:$D$1,0),1))*L578/16.67)),""))</f>
        <v/>
      </c>
      <c r="AX578" s="9"/>
      <c r="AY578" s="12"/>
      <c r="AZ578" s="10"/>
      <c r="BA578" s="9"/>
      <c r="BB578" s="10"/>
      <c r="BC578" s="9"/>
      <c r="BD578" s="9"/>
      <c r="BE578" s="9"/>
      <c r="BF578" s="9"/>
    </row>
    <row r="579" spans="1:58" x14ac:dyDescent="0.25">
      <c r="A579" s="9" t="s">
        <v>84</v>
      </c>
      <c r="B579" s="9" t="s">
        <v>85</v>
      </c>
      <c r="C579" s="9" t="s">
        <v>86</v>
      </c>
      <c r="D579" s="10">
        <v>46041</v>
      </c>
      <c r="E579" s="10">
        <v>46082</v>
      </c>
      <c r="F579" s="10">
        <v>46112</v>
      </c>
      <c r="G579" s="9">
        <v>3787112</v>
      </c>
      <c r="H579" s="9" t="str">
        <f t="shared" si="63"/>
        <v>Open</v>
      </c>
      <c r="I579" s="9" t="str">
        <f t="shared" si="64"/>
        <v>No sailing date and No shipping advice sent and No docs dispatch date</v>
      </c>
      <c r="J579" s="9" t="s">
        <v>344</v>
      </c>
      <c r="K579" s="9">
        <v>5406</v>
      </c>
      <c r="L579" s="11">
        <v>333</v>
      </c>
      <c r="M579" s="9" t="s">
        <v>1440</v>
      </c>
      <c r="N579" s="9" t="s">
        <v>237</v>
      </c>
      <c r="O579" s="9"/>
      <c r="P579" s="9"/>
      <c r="Q579" s="11">
        <v>70</v>
      </c>
      <c r="R579" s="9" t="s">
        <v>195</v>
      </c>
      <c r="S579" s="9"/>
      <c r="T579" s="12">
        <f>IF($H579="Cancelled","",IFERROR(((Q579+INDEX(Variables!$B$6:$D$6,IFERROR(MATCH(IF($B579="Robusta","Robusta",(IF($B579="","Arabica",$B579))&amp;" - "&amp;(IF($C579="","Commercial",$C579))),Variables!$B$1:$D$1,0),1)))*22.0462)*(L579/16.67),""))</f>
        <v>158894.51491781641</v>
      </c>
      <c r="U579" s="10"/>
      <c r="V579" s="9" t="s">
        <v>195</v>
      </c>
      <c r="W579" s="10">
        <v>46067</v>
      </c>
      <c r="X579" s="9" t="str">
        <f t="shared" si="62"/>
        <v>Approved</v>
      </c>
      <c r="Y579" s="10">
        <v>46073</v>
      </c>
      <c r="Z579" s="10">
        <f>IF($H579="Cancelled","",IFERROR(IF(F579="","",F579-Variables!$B$13),""))</f>
        <v>46097</v>
      </c>
      <c r="AA579" s="11">
        <f>IF($H579="Cancelled","",IFERROR(IF(W579="","",(AVERAGE(E579:F579)-W579)-Variables!$B$14),""))</f>
        <v>0</v>
      </c>
      <c r="AB579" s="10">
        <v>46079</v>
      </c>
      <c r="AC579" s="11">
        <f>IF($H579="Cancelled","",IFERROR(IF(AB579="","",IF(AND(W579="",Y579=""),"",IF(Y579&gt;W579,Y579+Variables!$B$15+Variables!$B$16+Variables!$B$17-AB579,W579+Variables!$B$16+Variables!$B$17-AB579))),""))</f>
        <v>9</v>
      </c>
      <c r="AD579" s="9"/>
      <c r="AE579" s="9"/>
      <c r="AF579" s="10"/>
      <c r="AG579" s="10"/>
      <c r="AH579" s="9"/>
      <c r="AI579" s="9"/>
      <c r="AJ579" s="9"/>
      <c r="AK579" s="10"/>
      <c r="AL579" s="10"/>
      <c r="AM579" s="10"/>
      <c r="AN579" s="9" t="s">
        <v>1188</v>
      </c>
      <c r="AO579" s="9"/>
      <c r="AP579" s="11" t="str">
        <f>IF($H579="Cancelled","",IFERROR(IF(OR(AK579="",AB579=""),"",(AB579+Variables!$B$18-AK579)),""))</f>
        <v/>
      </c>
      <c r="AQ579" s="11" t="str">
        <f>IF($H579="Cancelled","",IFERROR(IF(OR(AM579="",AK579=""),"",(AK579+Variables!$B$19)-AM579),""))</f>
        <v/>
      </c>
      <c r="AR579" s="12" t="str">
        <f>IF($H579="Cancelled","",IFERROR(T579*INDEX(Variables!$B$7:$D$7,IFERROR(MATCH(IF($B579="Robusta","Robusta",(IF($B579="","Arabica",$B579))&amp;" - "&amp;(IF($C579="","Commercial",$C579))),Variables!$B$1:$D$1,0),1))*(AQ579/365),""))</f>
        <v/>
      </c>
      <c r="AS579" s="12">
        <f>IF($H579="Cancelled","",IFERROR((T579*INDEX(Variables!$B$7:$D$7,IFERROR(MATCH(IF($B579="Robusta","Robusta",(IF($B579="","Arabica",$B579))&amp;" - "&amp;(IF($C579="","Commercial",$C579))),Variables!$B$1:$D$1,0),1))*IFERROR(IF(W579="","",(AVERAGE(E579:F579)-W579)-Variables!$B$14),"")/365)+(L579/16.67*INDEX(Variables!$B$8:$D$8,IFERROR(MATCH(IF($B579="Robusta","Robusta",(IF($B579="","Arabica",$B579))&amp;" - "&amp;(IF($C579="","Commercial",$C579))),Variables!$B$1:$D$1,0),1))*IFERROR(IF(W579="","",(AVERAGE(E579:F579)-W579)-Variables!$B$14),""))+(T579*INDEX(Variables!$B$9:$D$9,IFERROR(MATCH(IF($B579="Robusta","Robusta",(IF($B579="","Arabica",$B579))&amp;" - "&amp;(IF($C579="","Commercial",$C579))),Variables!$B$1:$D$1,0),1))*IFERROR(IF(W579="","",(AVERAGE(E579:F579)-W579)-Variables!$B$14),"")/365),""))</f>
        <v>0</v>
      </c>
      <c r="AT579" s="12">
        <f>IF($H579="Cancelled","",IFERROR((T579*INDEX(Variables!$B$7:$D$7,IFERROR(MATCH(IF($B579="Robusta","Robusta",(IF($B579="","Arabica",$B579))&amp;" - "&amp;(IF($C579="","Commercial",$C579))),Variables!$B$1:$D$1,0),1))*AC579/365)+(L579/16.67*INDEX(Variables!$B$8:$D$8,IFERROR(MATCH(IF($B579="Robusta","Robusta",(IF($B579="","Arabica",$B579))&amp;" - "&amp;(IF($C579="","Commercial",$C579))),Variables!$B$1:$D$1,0),1))*AC579)+(T579*INDEX(Variables!$B$9:$D$9,IFERROR(MATCH(IF($B579="Robusta","Robusta",(IF($B579="","Arabica",$B579))&amp;" - "&amp;(IF($C579="","Commercial",$C579))),Variables!$B$1:$D$1,0),1))*AC579/365),""))</f>
        <v>405.74482767332387</v>
      </c>
      <c r="AU579" s="12" t="str">
        <f>IF($H579="Cancelled","",IFERROR((T579*INDEX(Variables!$B$7:$D$7,IFERROR(MATCH(IF($B579="Robusta","Robusta",(IF($B579="","Arabica",$B579))&amp;" - "&amp;(IF($C579="","Commercial",$C579))),Variables!$B$1:$D$1,0),1))*AP579/365)+(L579/16.67*INDEX(Variables!$B$8:$D$8,IFERROR(MATCH(IF($B579="Robusta","Robusta",(IF($B579="","Arabica",$B579))&amp;" - "&amp;(IF($C579="","Commercial",$C579))),Variables!$B$1:$D$1,0),1))*AP579)+(T579*INDEX(Variables!$B$9:$D$9,IFERROR(MATCH(IF($B579="Robusta","Robusta",(IF($B579="","Arabica",$B579))&amp;" - "&amp;(IF($C579="","Commercial",$C579))),Variables!$B$1:$D$1,0),1))*AP579/365),""))</f>
        <v/>
      </c>
      <c r="AV579" s="11" t="str">
        <f t="shared" si="65"/>
        <v/>
      </c>
      <c r="AW579" s="12" t="str">
        <f>IF($H579="Cancelled","",IFERROR(IF(AV579="","",(T579*INDEX(Variables!$B$7:$D$7,IFERROR(MATCH(IF($B579="Robusta","Robusta",(IF($B579="","Arabica",$B579))&amp;" - "&amp;(IF($C579="","Commercial",$C579))),Variables!$B$1:$D$1,0),1))*(AV579/365))+(T579*INDEX(Variables!$B$9:$D$9,IFERROR(MATCH(IF($B579="Robusta","Robusta",(IF($B579="","Arabica",$B579))&amp;" - "&amp;(IF($C579="","Commercial",$C579))),Variables!$B$1:$D$1,0),1))*(AV579/365))+(INDEX(Variables!$B$8:$D$8,IFERROR(MATCH(IF($B579="Robusta","Robusta",(IF($B579="","Arabica",$B579))&amp;" - "&amp;(IF($C579="","Commercial",$C579))),Variables!$B$1:$D$1,0),1))*L579/16.67)),""))</f>
        <v/>
      </c>
      <c r="AX579" s="9"/>
      <c r="AY579" s="12"/>
      <c r="AZ579" s="10"/>
      <c r="BA579" s="9"/>
      <c r="BB579" s="10"/>
      <c r="BC579" s="9"/>
      <c r="BD579" s="9"/>
      <c r="BE579" s="9"/>
      <c r="BF579" s="9"/>
    </row>
    <row r="580" spans="1:58" x14ac:dyDescent="0.25">
      <c r="A580" s="9" t="s">
        <v>84</v>
      </c>
      <c r="B580" s="9" t="s">
        <v>85</v>
      </c>
      <c r="C580" s="9" t="s">
        <v>86</v>
      </c>
      <c r="D580" s="10">
        <v>45982</v>
      </c>
      <c r="E580" s="10">
        <v>46082</v>
      </c>
      <c r="F580" s="10">
        <v>46112</v>
      </c>
      <c r="G580" s="9">
        <v>3786998</v>
      </c>
      <c r="H580" s="9" t="str">
        <f t="shared" si="63"/>
        <v>Open</v>
      </c>
      <c r="I580" s="9" t="str">
        <f t="shared" si="64"/>
        <v>No sailing date and No shipping advice sent and No docs dispatch date</v>
      </c>
      <c r="J580" s="9" t="s">
        <v>286</v>
      </c>
      <c r="K580" s="9"/>
      <c r="L580" s="11">
        <v>333</v>
      </c>
      <c r="M580" s="9" t="s">
        <v>1441</v>
      </c>
      <c r="N580" s="9" t="s">
        <v>1018</v>
      </c>
      <c r="O580" s="9"/>
      <c r="P580" s="9"/>
      <c r="Q580" s="11">
        <v>-115</v>
      </c>
      <c r="R580" s="9" t="s">
        <v>90</v>
      </c>
      <c r="S580" s="9"/>
      <c r="T580" s="12">
        <f>IF($H580="Cancelled","",IFERROR(((Q580+INDEX(Variables!$B$6:$D$6,IFERROR(MATCH(IF($B580="Robusta","Robusta",(IF($B580="","Arabica",$B580))&amp;" - "&amp;(IF($C580="","Commercial",$C580))),Variables!$B$1:$D$1,0),1)))*22.0462)*(L580/16.67),""))</f>
        <v>77421.44047270545</v>
      </c>
      <c r="U580" s="10"/>
      <c r="V580" s="9" t="str">
        <f t="shared" ref="V580:V643" si="66">IF(ISNUMBER(U580),"Sent","")</f>
        <v/>
      </c>
      <c r="W580" s="10">
        <v>46048</v>
      </c>
      <c r="X580" s="9" t="str">
        <f t="shared" si="62"/>
        <v>Approved</v>
      </c>
      <c r="Y580" s="10">
        <v>45342</v>
      </c>
      <c r="Z580" s="10">
        <f>IF($H580="Cancelled","",IFERROR(IF(F580="","",F580-Variables!$B$13),""))</f>
        <v>46097</v>
      </c>
      <c r="AA580" s="11">
        <f>IF($H580="Cancelled","",IFERROR(IF(W580="","",(AVERAGE(E580:F580)-W580)-Variables!$B$14),""))</f>
        <v>19</v>
      </c>
      <c r="AB580" s="10">
        <v>46077</v>
      </c>
      <c r="AC580" s="11">
        <f>IF($H580="Cancelled","",IFERROR(IF(AB580="","",IF(AND(W580="",Y580=""),"",IF(Y580&gt;W580,Y580+Variables!$B$15+Variables!$B$16+Variables!$B$17-AB580,W580+Variables!$B$16+Variables!$B$17-AB580))),""))</f>
        <v>-21</v>
      </c>
      <c r="AD580" s="9"/>
      <c r="AE580" s="9"/>
      <c r="AF580" s="10"/>
      <c r="AG580" s="10"/>
      <c r="AH580" s="9"/>
      <c r="AI580" s="9"/>
      <c r="AJ580" s="9"/>
      <c r="AK580" s="10"/>
      <c r="AL580" s="10"/>
      <c r="AM580" s="10"/>
      <c r="AN580" s="9" t="s">
        <v>1188</v>
      </c>
      <c r="AO580" s="9"/>
      <c r="AP580" s="11" t="str">
        <f>IF($H580="Cancelled","",IFERROR(IF(OR(AK580="",AB580=""),"",(AB580+Variables!$B$18-AK580)),""))</f>
        <v/>
      </c>
      <c r="AQ580" s="11" t="str">
        <f>IF($H580="Cancelled","",IFERROR(IF(OR(AM580="",AK580=""),"",(AK580+Variables!$B$19)-AM580),""))</f>
        <v/>
      </c>
      <c r="AR580" s="12" t="str">
        <f>IF($H580="Cancelled","",IFERROR(T580*INDEX(Variables!$B$7:$D$7,IFERROR(MATCH(IF($B580="Robusta","Robusta",(IF($B580="","Arabica",$B580))&amp;" - "&amp;(IF($C580="","Commercial",$C580))),Variables!$B$1:$D$1,0),1))*(AQ580/365),""))</f>
        <v/>
      </c>
      <c r="AS580" s="12">
        <f>IF($H580="Cancelled","",IFERROR((T580*INDEX(Variables!$B$7:$D$7,IFERROR(MATCH(IF($B580="Robusta","Robusta",(IF($B580="","Arabica",$B580))&amp;" - "&amp;(IF($C580="","Commercial",$C580))),Variables!$B$1:$D$1,0),1))*IFERROR(IF(W580="","",(AVERAGE(E580:F580)-W580)-Variables!$B$14),"")/365)+(L580/16.67*INDEX(Variables!$B$8:$D$8,IFERROR(MATCH(IF($B580="Robusta","Robusta",(IF($B580="","Arabica",$B580))&amp;" - "&amp;(IF($C580="","Commercial",$C580))),Variables!$B$1:$D$1,0),1))*IFERROR(IF(W580="","",(AVERAGE(E580:F580)-W580)-Variables!$B$14),""))+(T580*INDEX(Variables!$B$9:$D$9,IFERROR(MATCH(IF($B580="Robusta","Robusta",(IF($B580="","Arabica",$B580))&amp;" - "&amp;(IF($C580="","Commercial",$C580))),Variables!$B$1:$D$1,0),1))*IFERROR(IF(W580="","",(AVERAGE(E580:F580)-W580)-Variables!$B$14),"")/365),""))</f>
        <v>579.57367066840243</v>
      </c>
      <c r="AT580" s="12">
        <f>IF($H580="Cancelled","",IFERROR((T580*INDEX(Variables!$B$7:$D$7,IFERROR(MATCH(IF($B580="Robusta","Robusta",(IF($B580="","Arabica",$B580))&amp;" - "&amp;(IF($C580="","Commercial",$C580))),Variables!$B$1:$D$1,0),1))*AC580/365)+(L580/16.67*INDEX(Variables!$B$8:$D$8,IFERROR(MATCH(IF($B580="Robusta","Robusta",(IF($B580="","Arabica",$B580))&amp;" - "&amp;(IF($C580="","Commercial",$C580))),Variables!$B$1:$D$1,0),1))*AC580)+(T580*INDEX(Variables!$B$9:$D$9,IFERROR(MATCH(IF($B580="Robusta","Robusta",(IF($B580="","Arabica",$B580))&amp;" - "&amp;(IF($C580="","Commercial",$C580))),Variables!$B$1:$D$1,0),1))*AC580/365),""))</f>
        <v>-640.58142547560283</v>
      </c>
      <c r="AU580" s="12" t="str">
        <f>IF($H580="Cancelled","",IFERROR((T580*INDEX(Variables!$B$7:$D$7,IFERROR(MATCH(IF($B580="Robusta","Robusta",(IF($B580="","Arabica",$B580))&amp;" - "&amp;(IF($C580="","Commercial",$C580))),Variables!$B$1:$D$1,0),1))*AP580/365)+(L580/16.67*INDEX(Variables!$B$8:$D$8,IFERROR(MATCH(IF($B580="Robusta","Robusta",(IF($B580="","Arabica",$B580))&amp;" - "&amp;(IF($C580="","Commercial",$C580))),Variables!$B$1:$D$1,0),1))*AP580)+(T580*INDEX(Variables!$B$9:$D$9,IFERROR(MATCH(IF($B580="Robusta","Robusta",(IF($B580="","Arabica",$B580))&amp;" - "&amp;(IF($C580="","Commercial",$C580))),Variables!$B$1:$D$1,0),1))*AP580/365),""))</f>
        <v/>
      </c>
      <c r="AV580" s="11" t="str">
        <f t="shared" si="65"/>
        <v/>
      </c>
      <c r="AW580" s="12" t="str">
        <f>IF($H580="Cancelled","",IFERROR(IF(AV580="","",(T580*INDEX(Variables!$B$7:$D$7,IFERROR(MATCH(IF($B580="Robusta","Robusta",(IF($B580="","Arabica",$B580))&amp;" - "&amp;(IF($C580="","Commercial",$C580))),Variables!$B$1:$D$1,0),1))*(AV580/365))+(T580*INDEX(Variables!$B$9:$D$9,IFERROR(MATCH(IF($B580="Robusta","Robusta",(IF($B580="","Arabica",$B580))&amp;" - "&amp;(IF($C580="","Commercial",$C580))),Variables!$B$1:$D$1,0),1))*(AV580/365))+(INDEX(Variables!$B$8:$D$8,IFERROR(MATCH(IF($B580="Robusta","Robusta",(IF($B580="","Arabica",$B580))&amp;" - "&amp;(IF($C580="","Commercial",$C580))),Variables!$B$1:$D$1,0),1))*L580/16.67)),""))</f>
        <v/>
      </c>
      <c r="AX580" s="9"/>
      <c r="AY580" s="12"/>
      <c r="AZ580" s="10"/>
      <c r="BA580" s="9"/>
      <c r="BB580" s="10"/>
      <c r="BC580" s="9"/>
      <c r="BD580" s="9"/>
      <c r="BE580" s="9"/>
      <c r="BF580" s="9"/>
    </row>
    <row r="581" spans="1:58" x14ac:dyDescent="0.25">
      <c r="A581" s="9" t="s">
        <v>84</v>
      </c>
      <c r="B581" s="9" t="s">
        <v>85</v>
      </c>
      <c r="C581" s="9" t="s">
        <v>86</v>
      </c>
      <c r="D581" s="10">
        <v>46000</v>
      </c>
      <c r="E581" s="10">
        <v>46082</v>
      </c>
      <c r="F581" s="10">
        <v>46112</v>
      </c>
      <c r="G581" s="9">
        <v>3787028</v>
      </c>
      <c r="H581" s="9" t="str">
        <f t="shared" si="63"/>
        <v>Open</v>
      </c>
      <c r="I581" s="9" t="str">
        <f t="shared" si="64"/>
        <v>No sailing date and No shipping advice sent and No docs dispatch date</v>
      </c>
      <c r="J581" s="9" t="s">
        <v>303</v>
      </c>
      <c r="K581" s="9"/>
      <c r="L581" s="11">
        <v>32</v>
      </c>
      <c r="M581" s="9" t="s">
        <v>1442</v>
      </c>
      <c r="N581" s="9" t="s">
        <v>1251</v>
      </c>
      <c r="O581" s="9"/>
      <c r="P581" s="9"/>
      <c r="Q581" s="11">
        <v>70</v>
      </c>
      <c r="R581" s="9" t="s">
        <v>90</v>
      </c>
      <c r="S581" s="9"/>
      <c r="T581" s="12">
        <f>IF($H581="Cancelled","",IFERROR(((Q581+INDEX(Variables!$B$6:$D$6,IFERROR(MATCH(IF($B581="Robusta","Robusta",(IF($B581="","Arabica",$B581))&amp;" - "&amp;(IF($C581="","Commercial",$C581))),Variables!$B$1:$D$1,0),1)))*22.0462)*(L581/16.67),""))</f>
        <v>15269.14257468506</v>
      </c>
      <c r="U581" s="10">
        <v>46055</v>
      </c>
      <c r="V581" s="9" t="str">
        <f t="shared" si="66"/>
        <v>Sent</v>
      </c>
      <c r="W581" s="10">
        <v>46107</v>
      </c>
      <c r="X581" s="9" t="str">
        <f t="shared" si="62"/>
        <v>Approved</v>
      </c>
      <c r="Y581" s="10"/>
      <c r="Z581" s="10">
        <f>IF($H581="Cancelled","",IFERROR(IF(F581="","",F581-Variables!$B$13),""))</f>
        <v>46097</v>
      </c>
      <c r="AA581" s="11">
        <f>IF($H581="Cancelled","",IFERROR(IF(W581="","",(AVERAGE(E581:F581)-W581)-Variables!$B$14),""))</f>
        <v>-40</v>
      </c>
      <c r="AB581" s="10"/>
      <c r="AC581" s="11" t="str">
        <f>IF($H581="Cancelled","",IFERROR(IF(AB581="","",IF(AND(W581="",Y581=""),"",IF(Y581&gt;W581,Y581+Variables!$B$15+Variables!$B$16+Variables!$B$17-AB581,W581+Variables!$B$16+Variables!$B$17-AB581))),""))</f>
        <v/>
      </c>
      <c r="AD581" s="9"/>
      <c r="AE581" s="9"/>
      <c r="AF581" s="10"/>
      <c r="AG581" s="10"/>
      <c r="AH581" s="9"/>
      <c r="AI581" s="9"/>
      <c r="AJ581" s="9"/>
      <c r="AK581" s="10"/>
      <c r="AL581" s="10"/>
      <c r="AM581" s="10"/>
      <c r="AN581" s="9" t="s">
        <v>1188</v>
      </c>
      <c r="AO581" s="9"/>
      <c r="AP581" s="11" t="str">
        <f>IF($H581="Cancelled","",IFERROR(IF(OR(AK581="",AB581=""),"",(AB581+Variables!$B$18-AK581)),""))</f>
        <v/>
      </c>
      <c r="AQ581" s="11" t="str">
        <f>IF($H581="Cancelled","",IFERROR(IF(OR(AM581="",AK581=""),"",(AK581+Variables!$B$19)-AM581),""))</f>
        <v/>
      </c>
      <c r="AR581" s="12" t="str">
        <f>IF($H581="Cancelled","",IFERROR(T581*INDEX(Variables!$B$7:$D$7,IFERROR(MATCH(IF($B581="Robusta","Robusta",(IF($B581="","Arabica",$B581))&amp;" - "&amp;(IF($C581="","Commercial",$C581))),Variables!$B$1:$D$1,0),1))*(AQ581/365),""))</f>
        <v/>
      </c>
      <c r="AS581" s="12">
        <f>IF($H581="Cancelled","",IFERROR((T581*INDEX(Variables!$B$7:$D$7,IFERROR(MATCH(IF($B581="Robusta","Robusta",(IF($B581="","Arabica",$B581))&amp;" - "&amp;(IF($C581="","Commercial",$C581))),Variables!$B$1:$D$1,0),1))*IFERROR(IF(W581="","",(AVERAGE(E581:F581)-W581)-Variables!$B$14),"")/365)+(L581/16.67*INDEX(Variables!$B$8:$D$8,IFERROR(MATCH(IF($B581="Robusta","Robusta",(IF($B581="","Arabica",$B581))&amp;" - "&amp;(IF($C581="","Commercial",$C581))),Variables!$B$1:$D$1,0),1))*IFERROR(IF(W581="","",(AVERAGE(E581:F581)-W581)-Variables!$B$14),""))+(T581*INDEX(Variables!$B$9:$D$9,IFERROR(MATCH(IF($B581="Robusta","Robusta",(IF($B581="","Arabica",$B581))&amp;" - "&amp;(IF($C581="","Commercial",$C581))),Variables!$B$1:$D$1,0),1))*IFERROR(IF(W581="","",(AVERAGE(E581:F581)-W581)-Variables!$B$14),"")/365),""))</f>
        <v>-173.29108422484302</v>
      </c>
      <c r="AT581" s="12" t="str">
        <f>IF($H581="Cancelled","",IFERROR((T581*INDEX(Variables!$B$7:$D$7,IFERROR(MATCH(IF($B581="Robusta","Robusta",(IF($B581="","Arabica",$B581))&amp;" - "&amp;(IF($C581="","Commercial",$C581))),Variables!$B$1:$D$1,0),1))*AC581/365)+(L581/16.67*INDEX(Variables!$B$8:$D$8,IFERROR(MATCH(IF($B581="Robusta","Robusta",(IF($B581="","Arabica",$B581))&amp;" - "&amp;(IF($C581="","Commercial",$C581))),Variables!$B$1:$D$1,0),1))*AC581)+(T581*INDEX(Variables!$B$9:$D$9,IFERROR(MATCH(IF($B581="Robusta","Robusta",(IF($B581="","Arabica",$B581))&amp;" - "&amp;(IF($C581="","Commercial",$C581))),Variables!$B$1:$D$1,0),1))*AC581/365),""))</f>
        <v/>
      </c>
      <c r="AU581" s="12" t="str">
        <f>IF($H581="Cancelled","",IFERROR((T581*INDEX(Variables!$B$7:$D$7,IFERROR(MATCH(IF($B581="Robusta","Robusta",(IF($B581="","Arabica",$B581))&amp;" - "&amp;(IF($C581="","Commercial",$C581))),Variables!$B$1:$D$1,0),1))*AP581/365)+(L581/16.67*INDEX(Variables!$B$8:$D$8,IFERROR(MATCH(IF($B581="Robusta","Robusta",(IF($B581="","Arabica",$B581))&amp;" - "&amp;(IF($C581="","Commercial",$C581))),Variables!$B$1:$D$1,0),1))*AP581)+(T581*INDEX(Variables!$B$9:$D$9,IFERROR(MATCH(IF($B581="Robusta","Robusta",(IF($B581="","Arabica",$B581))&amp;" - "&amp;(IF($C581="","Commercial",$C581))),Variables!$B$1:$D$1,0),1))*AP581/365),""))</f>
        <v/>
      </c>
      <c r="AV581" s="11" t="str">
        <f t="shared" si="65"/>
        <v/>
      </c>
      <c r="AW581" s="12" t="str">
        <f>IF($H581="Cancelled","",IFERROR(IF(AV581="","",(T581*INDEX(Variables!$B$7:$D$7,IFERROR(MATCH(IF($B581="Robusta","Robusta",(IF($B581="","Arabica",$B581))&amp;" - "&amp;(IF($C581="","Commercial",$C581))),Variables!$B$1:$D$1,0),1))*(AV581/365))+(T581*INDEX(Variables!$B$9:$D$9,IFERROR(MATCH(IF($B581="Robusta","Robusta",(IF($B581="","Arabica",$B581))&amp;" - "&amp;(IF($C581="","Commercial",$C581))),Variables!$B$1:$D$1,0),1))*(AV581/365))+(INDEX(Variables!$B$8:$D$8,IFERROR(MATCH(IF($B581="Robusta","Robusta",(IF($B581="","Arabica",$B581))&amp;" - "&amp;(IF($C581="","Commercial",$C581))),Variables!$B$1:$D$1,0),1))*L581/16.67)),""))</f>
        <v/>
      </c>
      <c r="AX581" s="9"/>
      <c r="AY581" s="12"/>
      <c r="AZ581" s="10"/>
      <c r="BA581" s="9"/>
      <c r="BB581" s="10"/>
      <c r="BC581" s="9"/>
      <c r="BD581" s="9"/>
      <c r="BE581" s="9"/>
      <c r="BF581" s="9"/>
    </row>
    <row r="582" spans="1:58" x14ac:dyDescent="0.25">
      <c r="A582" s="9" t="s">
        <v>84</v>
      </c>
      <c r="B582" s="9" t="s">
        <v>85</v>
      </c>
      <c r="C582" s="9" t="s">
        <v>86</v>
      </c>
      <c r="D582" s="10">
        <v>46009</v>
      </c>
      <c r="E582" s="10">
        <v>46082</v>
      </c>
      <c r="F582" s="10">
        <v>46112</v>
      </c>
      <c r="G582" s="9">
        <v>3787063</v>
      </c>
      <c r="H582" s="9" t="str">
        <f t="shared" si="63"/>
        <v>Open</v>
      </c>
      <c r="I582" s="9" t="str">
        <f t="shared" si="64"/>
        <v>No sailing date and No shipping advice sent and No docs dispatch date</v>
      </c>
      <c r="J582" s="9" t="s">
        <v>303</v>
      </c>
      <c r="K582" s="9" t="s">
        <v>1443</v>
      </c>
      <c r="L582" s="11">
        <v>160</v>
      </c>
      <c r="M582" s="9" t="s">
        <v>1444</v>
      </c>
      <c r="N582" s="9" t="s">
        <v>126</v>
      </c>
      <c r="O582" s="9"/>
      <c r="P582" s="9"/>
      <c r="Q582" s="11">
        <v>38</v>
      </c>
      <c r="R582" s="9" t="s">
        <v>90</v>
      </c>
      <c r="S582" s="9" t="s">
        <v>91</v>
      </c>
      <c r="T582" s="12">
        <f>IF($H582="Cancelled","",IFERROR(((Q582+INDEX(Variables!$B$6:$D$6,IFERROR(MATCH(IF($B582="Robusta","Robusta",(IF($B582="","Arabica",$B582))&amp;" - "&amp;(IF($C582="","Commercial",$C582))),Variables!$B$1:$D$1,0),1)))*22.0462)*(L582/16.67),""))</f>
        <v>69574.474481103767</v>
      </c>
      <c r="U582" s="10">
        <v>46063</v>
      </c>
      <c r="V582" s="9" t="str">
        <f t="shared" si="66"/>
        <v>Sent</v>
      </c>
      <c r="W582" s="10">
        <v>46107</v>
      </c>
      <c r="X582" s="9" t="str">
        <f t="shared" si="62"/>
        <v>Approved</v>
      </c>
      <c r="Y582" s="10"/>
      <c r="Z582" s="10">
        <f>IF($H582="Cancelled","",IFERROR(IF(F582="","",F582-Variables!$B$13),""))</f>
        <v>46097</v>
      </c>
      <c r="AA582" s="11">
        <f>IF($H582="Cancelled","",IFERROR(IF(W582="","",(AVERAGE(E582:F582)-W582)-Variables!$B$14),""))</f>
        <v>-40</v>
      </c>
      <c r="AB582" s="10"/>
      <c r="AC582" s="11" t="str">
        <f>IF($H582="Cancelled","",IFERROR(IF(AB582="","",IF(AND(W582="",Y582=""),"",IF(Y582&gt;W582,Y582+Variables!$B$15+Variables!$B$16+Variables!$B$17-AB582,W582+Variables!$B$16+Variables!$B$17-AB582))),""))</f>
        <v/>
      </c>
      <c r="AD582" s="9" t="s">
        <v>163</v>
      </c>
      <c r="AE582" s="9"/>
      <c r="AF582" s="10"/>
      <c r="AG582" s="10"/>
      <c r="AH582" s="9"/>
      <c r="AI582" s="9"/>
      <c r="AJ582" s="9"/>
      <c r="AK582" s="10"/>
      <c r="AL582" s="10"/>
      <c r="AM582" s="10"/>
      <c r="AN582" s="9" t="s">
        <v>1445</v>
      </c>
      <c r="AO582" s="9"/>
      <c r="AP582" s="11" t="str">
        <f>IF($H582="Cancelled","",IFERROR(IF(OR(AK582="",AB582=""),"",(AB582+Variables!$B$18-AK582)),""))</f>
        <v/>
      </c>
      <c r="AQ582" s="11" t="str">
        <f>IF($H582="Cancelled","",IFERROR(IF(OR(AM582="",AK582=""),"",(AK582+Variables!$B$19)-AM582),""))</f>
        <v/>
      </c>
      <c r="AR582" s="12" t="str">
        <f>IF($H582="Cancelled","",IFERROR(T582*INDEX(Variables!$B$7:$D$7,IFERROR(MATCH(IF($B582="Robusta","Robusta",(IF($B582="","Arabica",$B582))&amp;" - "&amp;(IF($C582="","Commercial",$C582))),Variables!$B$1:$D$1,0),1))*(AQ582/365),""))</f>
        <v/>
      </c>
      <c r="AS582" s="12">
        <f>IF($H582="Cancelled","",IFERROR((T582*INDEX(Variables!$B$7:$D$7,IFERROR(MATCH(IF($B582="Robusta","Robusta",(IF($B582="","Arabica",$B582))&amp;" - "&amp;(IF($C582="","Commercial",$C582))),Variables!$B$1:$D$1,0),1))*IFERROR(IF(W582="","",(AVERAGE(E582:F582)-W582)-Variables!$B$14),"")/365)+(L582/16.67*INDEX(Variables!$B$8:$D$8,IFERROR(MATCH(IF($B582="Robusta","Robusta",(IF($B582="","Arabica",$B582))&amp;" - "&amp;(IF($C582="","Commercial",$C582))),Variables!$B$1:$D$1,0),1))*IFERROR(IF(W582="","",(AVERAGE(E582:F582)-W582)-Variables!$B$14),""))+(T582*INDEX(Variables!$B$9:$D$9,IFERROR(MATCH(IF($B582="Robusta","Robusta",(IF($B582="","Arabica",$B582))&amp;" - "&amp;(IF($C582="","Commercial",$C582))),Variables!$B$1:$D$1,0),1))*IFERROR(IF(W582="","",(AVERAGE(E582:F582)-W582)-Variables!$B$14),"")/365),""))</f>
        <v>-817.98930838592548</v>
      </c>
      <c r="AT582" s="12" t="str">
        <f>IF($H582="Cancelled","",IFERROR((T582*INDEX(Variables!$B$7:$D$7,IFERROR(MATCH(IF($B582="Robusta","Robusta",(IF($B582="","Arabica",$B582))&amp;" - "&amp;(IF($C582="","Commercial",$C582))),Variables!$B$1:$D$1,0),1))*AC582/365)+(L582/16.67*INDEX(Variables!$B$8:$D$8,IFERROR(MATCH(IF($B582="Robusta","Robusta",(IF($B582="","Arabica",$B582))&amp;" - "&amp;(IF($C582="","Commercial",$C582))),Variables!$B$1:$D$1,0),1))*AC582)+(T582*INDEX(Variables!$B$9:$D$9,IFERROR(MATCH(IF($B582="Robusta","Robusta",(IF($B582="","Arabica",$B582))&amp;" - "&amp;(IF($C582="","Commercial",$C582))),Variables!$B$1:$D$1,0),1))*AC582/365),""))</f>
        <v/>
      </c>
      <c r="AU582" s="12" t="str">
        <f>IF($H582="Cancelled","",IFERROR((T582*INDEX(Variables!$B$7:$D$7,IFERROR(MATCH(IF($B582="Robusta","Robusta",(IF($B582="","Arabica",$B582))&amp;" - "&amp;(IF($C582="","Commercial",$C582))),Variables!$B$1:$D$1,0),1))*AP582/365)+(L582/16.67*INDEX(Variables!$B$8:$D$8,IFERROR(MATCH(IF($B582="Robusta","Robusta",(IF($B582="","Arabica",$B582))&amp;" - "&amp;(IF($C582="","Commercial",$C582))),Variables!$B$1:$D$1,0),1))*AP582)+(T582*INDEX(Variables!$B$9:$D$9,IFERROR(MATCH(IF($B582="Robusta","Robusta",(IF($B582="","Arabica",$B582))&amp;" - "&amp;(IF($C582="","Commercial",$C582))),Variables!$B$1:$D$1,0),1))*AP582/365),""))</f>
        <v/>
      </c>
      <c r="AV582" s="11" t="str">
        <f t="shared" si="65"/>
        <v/>
      </c>
      <c r="AW582" s="12" t="str">
        <f>IF($H582="Cancelled","",IFERROR(IF(AV582="","",(T582*INDEX(Variables!$B$7:$D$7,IFERROR(MATCH(IF($B582="Robusta","Robusta",(IF($B582="","Arabica",$B582))&amp;" - "&amp;(IF($C582="","Commercial",$C582))),Variables!$B$1:$D$1,0),1))*(AV582/365))+(T582*INDEX(Variables!$B$9:$D$9,IFERROR(MATCH(IF($B582="Robusta","Robusta",(IF($B582="","Arabica",$B582))&amp;" - "&amp;(IF($C582="","Commercial",$C582))),Variables!$B$1:$D$1,0),1))*(AV582/365))+(INDEX(Variables!$B$8:$D$8,IFERROR(MATCH(IF($B582="Robusta","Robusta",(IF($B582="","Arabica",$B582))&amp;" - "&amp;(IF($C582="","Commercial",$C582))),Variables!$B$1:$D$1,0),1))*L582/16.67)),""))</f>
        <v/>
      </c>
      <c r="AX582" s="9"/>
      <c r="AY582" s="12"/>
      <c r="AZ582" s="10"/>
      <c r="BA582" s="9"/>
      <c r="BB582" s="10"/>
      <c r="BC582" s="9"/>
      <c r="BD582" s="9"/>
      <c r="BE582" s="9"/>
      <c r="BF582" s="9"/>
    </row>
    <row r="583" spans="1:58" x14ac:dyDescent="0.25">
      <c r="A583" s="9" t="s">
        <v>84</v>
      </c>
      <c r="B583" s="9" t="s">
        <v>85</v>
      </c>
      <c r="C583" s="9" t="s">
        <v>86</v>
      </c>
      <c r="D583" s="10">
        <v>46057</v>
      </c>
      <c r="E583" s="10">
        <v>46082</v>
      </c>
      <c r="F583" s="10">
        <v>46112</v>
      </c>
      <c r="G583" s="9">
        <v>3787216</v>
      </c>
      <c r="H583" s="9" t="str">
        <f t="shared" si="63"/>
        <v>Open</v>
      </c>
      <c r="I583" s="9" t="str">
        <f t="shared" si="64"/>
        <v>No shipping advice sent and No docs dispatch date</v>
      </c>
      <c r="J583" s="9" t="s">
        <v>235</v>
      </c>
      <c r="K583" s="9" t="s">
        <v>1446</v>
      </c>
      <c r="L583" s="11">
        <v>200</v>
      </c>
      <c r="M583" s="9" t="s">
        <v>126</v>
      </c>
      <c r="N583" s="9" t="s">
        <v>126</v>
      </c>
      <c r="O583" s="9"/>
      <c r="P583" s="9"/>
      <c r="Q583" s="11">
        <v>28</v>
      </c>
      <c r="R583" s="9" t="s">
        <v>90</v>
      </c>
      <c r="S583" s="9" t="s">
        <v>106</v>
      </c>
      <c r="T583" s="12">
        <f>IF($H583="Cancelled","",IFERROR(((Q583+INDEX(Variables!$B$6:$D$6,IFERROR(MATCH(IF($B583="Robusta","Robusta",(IF($B583="","Arabica",$B583))&amp;" - "&amp;(IF($C583="","Commercial",$C583))),Variables!$B$1:$D$1,0),1)))*22.0462)*(L583/16.67),""))</f>
        <v>84323.078104379107</v>
      </c>
      <c r="U583" s="10">
        <v>46066</v>
      </c>
      <c r="V583" s="9" t="str">
        <f t="shared" si="66"/>
        <v>Sent</v>
      </c>
      <c r="W583" s="10">
        <v>46076</v>
      </c>
      <c r="X583" s="9" t="str">
        <f t="shared" si="62"/>
        <v>Approved</v>
      </c>
      <c r="Y583" s="10"/>
      <c r="Z583" s="10">
        <f>IF($H583="Cancelled","",IFERROR(IF(F583="","",F583-Variables!$B$13),""))</f>
        <v>46097</v>
      </c>
      <c r="AA583" s="11">
        <f>IF($H583="Cancelled","",IFERROR(IF(W583="","",(AVERAGE(E583:F583)-W583)-Variables!$B$14),""))</f>
        <v>-9</v>
      </c>
      <c r="AB583" s="10">
        <v>46100</v>
      </c>
      <c r="AC583" s="11">
        <f>IF($H583="Cancelled","",IFERROR(IF(AB583="","",IF(AND(W583="",Y583=""),"",IF(Y583&gt;W583,Y583+Variables!$B$15+Variables!$B$16+Variables!$B$17-AB583,W583+Variables!$B$16+Variables!$B$17-AB583))),""))</f>
        <v>-16</v>
      </c>
      <c r="AD583" s="9" t="s">
        <v>107</v>
      </c>
      <c r="AE583" s="9" t="s">
        <v>1432</v>
      </c>
      <c r="AF583" s="10">
        <v>46172</v>
      </c>
      <c r="AG583" s="10"/>
      <c r="AH583" s="9"/>
      <c r="AI583" s="9" t="s">
        <v>1447</v>
      </c>
      <c r="AJ583" s="9"/>
      <c r="AK583" s="10">
        <v>46116</v>
      </c>
      <c r="AL583" s="10"/>
      <c r="AM583" s="10"/>
      <c r="AN583" s="9" t="s">
        <v>1306</v>
      </c>
      <c r="AO583" s="9"/>
      <c r="AP583" s="11">
        <f>IF($H583="Cancelled","",IFERROR(IF(OR(AK583="",AB583=""),"",(AB583+Variables!$B$18-AK583)),""))</f>
        <v>-9</v>
      </c>
      <c r="AQ583" s="11" t="str">
        <f>IF($H583="Cancelled","",IFERROR(IF(OR(AM583="",AK583=""),"",(AK583+Variables!$B$19)-AM583),""))</f>
        <v/>
      </c>
      <c r="AR583" s="12" t="str">
        <f>IF($H583="Cancelled","",IFERROR(T583*INDEX(Variables!$B$7:$D$7,IFERROR(MATCH(IF($B583="Robusta","Robusta",(IF($B583="","Arabica",$B583))&amp;" - "&amp;(IF($C583="","Commercial",$C583))),Variables!$B$1:$D$1,0),1))*(AQ583/365),""))</f>
        <v/>
      </c>
      <c r="AS583" s="12">
        <f>IF($H583="Cancelled","",IFERROR((T583*INDEX(Variables!$B$7:$D$7,IFERROR(MATCH(IF($B583="Robusta","Robusta",(IF($B583="","Arabica",$B583))&amp;" - "&amp;(IF($C583="","Commercial",$C583))),Variables!$B$1:$D$1,0),1))*IFERROR(IF(W583="","",(AVERAGE(E583:F583)-W583)-Variables!$B$14),"")/365)+(L583/16.67*INDEX(Variables!$B$8:$D$8,IFERROR(MATCH(IF($B583="Robusta","Robusta",(IF($B583="","Arabica",$B583))&amp;" - "&amp;(IF($C583="","Commercial",$C583))),Variables!$B$1:$D$1,0),1))*IFERROR(IF(W583="","",(AVERAGE(E583:F583)-W583)-Variables!$B$14),""))+(T583*INDEX(Variables!$B$9:$D$9,IFERROR(MATCH(IF($B583="Robusta","Robusta",(IF($B583="","Arabica",$B583))&amp;" - "&amp;(IF($C583="","Commercial",$C583))),Variables!$B$1:$D$1,0),1))*IFERROR(IF(W583="","",(AVERAGE(E583:F583)-W583)-Variables!$B$14),"")/365),""))</f>
        <v>-225.79977604365283</v>
      </c>
      <c r="AT583" s="12">
        <f>IF($H583="Cancelled","",IFERROR((T583*INDEX(Variables!$B$7:$D$7,IFERROR(MATCH(IF($B583="Robusta","Robusta",(IF($B583="","Arabica",$B583))&amp;" - "&amp;(IF($C583="","Commercial",$C583))),Variables!$B$1:$D$1,0),1))*AC583/365)+(L583/16.67*INDEX(Variables!$B$8:$D$8,IFERROR(MATCH(IF($B583="Robusta","Robusta",(IF($B583="","Arabica",$B583))&amp;" - "&amp;(IF($C583="","Commercial",$C583))),Variables!$B$1:$D$1,0),1))*AC583)+(T583*INDEX(Variables!$B$9:$D$9,IFERROR(MATCH(IF($B583="Robusta","Robusta",(IF($B583="","Arabica",$B583))&amp;" - "&amp;(IF($C583="","Commercial",$C583))),Variables!$B$1:$D$1,0),1))*AC583/365),""))</f>
        <v>-401.42182407760504</v>
      </c>
      <c r="AU583" s="12">
        <f>IF($H583="Cancelled","",IFERROR((T583*INDEX(Variables!$B$7:$D$7,IFERROR(MATCH(IF($B583="Robusta","Robusta",(IF($B583="","Arabica",$B583))&amp;" - "&amp;(IF($C583="","Commercial",$C583))),Variables!$B$1:$D$1,0),1))*AP583/365)+(L583/16.67*INDEX(Variables!$B$8:$D$8,IFERROR(MATCH(IF($B583="Robusta","Robusta",(IF($B583="","Arabica",$B583))&amp;" - "&amp;(IF($C583="","Commercial",$C583))),Variables!$B$1:$D$1,0),1))*AP583)+(T583*INDEX(Variables!$B$9:$D$9,IFERROR(MATCH(IF($B583="Robusta","Robusta",(IF($B583="","Arabica",$B583))&amp;" - "&amp;(IF($C583="","Commercial",$C583))),Variables!$B$1:$D$1,0),1))*AP583/365),""))</f>
        <v>-225.79977604365283</v>
      </c>
      <c r="AV583" s="11">
        <f t="shared" si="65"/>
        <v>-4</v>
      </c>
      <c r="AW583" s="12">
        <f>IF($H583="Cancelled","",IFERROR(IF(AV583="","",(T583*INDEX(Variables!$B$7:$D$7,IFERROR(MATCH(IF($B583="Robusta","Robusta",(IF($B583="","Arabica",$B583))&amp;" - "&amp;(IF($C583="","Commercial",$C583))),Variables!$B$1:$D$1,0),1))*(AV583/365))+(T583*INDEX(Variables!$B$9:$D$9,IFERROR(MATCH(IF($B583="Robusta","Robusta",(IF($B583="","Arabica",$B583))&amp;" - "&amp;(IF($C583="","Commercial",$C583))),Variables!$B$1:$D$1,0),1))*(AV583/365))+(INDEX(Variables!$B$8:$D$8,IFERROR(MATCH(IF($B583="Robusta","Robusta",(IF($B583="","Arabica",$B583))&amp;" - "&amp;(IF($C583="","Commercial",$C583))),Variables!$B$1:$D$1,0),1))*L583/16.67)),""))</f>
        <v>-50.355456019401252</v>
      </c>
      <c r="AX583" s="9"/>
      <c r="AY583" s="12"/>
      <c r="AZ583" s="10"/>
      <c r="BA583" s="9"/>
      <c r="BB583" s="10"/>
      <c r="BC583" s="9"/>
      <c r="BD583" s="9"/>
      <c r="BE583" s="9"/>
      <c r="BF583" s="9"/>
    </row>
    <row r="584" spans="1:58" x14ac:dyDescent="0.25">
      <c r="A584" s="9" t="s">
        <v>84</v>
      </c>
      <c r="B584" s="9" t="s">
        <v>85</v>
      </c>
      <c r="C584" s="9" t="s">
        <v>86</v>
      </c>
      <c r="D584" s="10">
        <v>46057</v>
      </c>
      <c r="E584" s="10">
        <v>46082</v>
      </c>
      <c r="F584" s="10">
        <v>46112</v>
      </c>
      <c r="G584" s="9">
        <v>3787217</v>
      </c>
      <c r="H584" s="9" t="str">
        <f t="shared" si="63"/>
        <v>Open</v>
      </c>
      <c r="I584" s="9" t="str">
        <f t="shared" si="64"/>
        <v>No shipping advice sent and No docs dispatch date</v>
      </c>
      <c r="J584" s="9" t="s">
        <v>235</v>
      </c>
      <c r="K584" s="9" t="s">
        <v>1448</v>
      </c>
      <c r="L584" s="11">
        <v>120</v>
      </c>
      <c r="M584" s="9" t="s">
        <v>1449</v>
      </c>
      <c r="N584" s="9" t="s">
        <v>1130</v>
      </c>
      <c r="O584" s="9"/>
      <c r="P584" s="9"/>
      <c r="Q584" s="11">
        <v>55</v>
      </c>
      <c r="R584" s="9" t="s">
        <v>90</v>
      </c>
      <c r="S584" s="9" t="s">
        <v>106</v>
      </c>
      <c r="T584" s="12">
        <f>IF($H584="Cancelled","",IFERROR(((Q584+INDEX(Variables!$B$6:$D$6,IFERROR(MATCH(IF($B584="Robusta","Robusta",(IF($B584="","Arabica",$B584))&amp;" - "&amp;(IF($C584="","Commercial",$C584))),Variables!$B$1:$D$1,0),1)))*22.0462)*(L584/16.67),""))</f>
        <v>54878.771157768446</v>
      </c>
      <c r="U584" s="10">
        <v>46066</v>
      </c>
      <c r="V584" s="9" t="str">
        <f t="shared" si="66"/>
        <v>Sent</v>
      </c>
      <c r="W584" s="10">
        <v>46071</v>
      </c>
      <c r="X584" s="9" t="str">
        <f t="shared" si="62"/>
        <v>Approved</v>
      </c>
      <c r="Y584" s="10"/>
      <c r="Z584" s="10">
        <f>IF($H584="Cancelled","",IFERROR(IF(F584="","",F584-Variables!$B$13),""))</f>
        <v>46097</v>
      </c>
      <c r="AA584" s="11">
        <f>IF($H584="Cancelled","",IFERROR(IF(W584="","",(AVERAGE(E584:F584)-W584)-Variables!$B$14),""))</f>
        <v>-4</v>
      </c>
      <c r="AB584" s="10">
        <v>46100</v>
      </c>
      <c r="AC584" s="11">
        <f>IF($H584="Cancelled","",IFERROR(IF(AB584="","",IF(AND(W584="",Y584=""),"",IF(Y584&gt;W584,Y584+Variables!$B$15+Variables!$B$16+Variables!$B$17-AB584,W584+Variables!$B$16+Variables!$B$17-AB584))),""))</f>
        <v>-21</v>
      </c>
      <c r="AD584" s="9" t="s">
        <v>107</v>
      </c>
      <c r="AE584" s="9" t="s">
        <v>1432</v>
      </c>
      <c r="AF584" s="10">
        <v>46172</v>
      </c>
      <c r="AG584" s="10"/>
      <c r="AH584" s="9"/>
      <c r="AI584" s="9" t="s">
        <v>1447</v>
      </c>
      <c r="AJ584" s="9"/>
      <c r="AK584" s="10">
        <v>46116</v>
      </c>
      <c r="AL584" s="10"/>
      <c r="AM584" s="10"/>
      <c r="AN584" s="9" t="s">
        <v>1306</v>
      </c>
      <c r="AO584" s="9"/>
      <c r="AP584" s="11">
        <f>IF($H584="Cancelled","",IFERROR(IF(OR(AK584="",AB584=""),"",(AB584+Variables!$B$18-AK584)),""))</f>
        <v>-9</v>
      </c>
      <c r="AQ584" s="11" t="str">
        <f>IF($H584="Cancelled","",IFERROR(IF(OR(AM584="",AK584=""),"",(AK584+Variables!$B$19)-AM584),""))</f>
        <v/>
      </c>
      <c r="AR584" s="12" t="str">
        <f>IF($H584="Cancelled","",IFERROR(T584*INDEX(Variables!$B$7:$D$7,IFERROR(MATCH(IF($B584="Robusta","Robusta",(IF($B584="","Arabica",$B584))&amp;" - "&amp;(IF($C584="","Commercial",$C584))),Variables!$B$1:$D$1,0),1))*(AQ584/365),""))</f>
        <v/>
      </c>
      <c r="AS584" s="12">
        <f>IF($H584="Cancelled","",IFERROR((T584*INDEX(Variables!$B$7:$D$7,IFERROR(MATCH(IF($B584="Robusta","Robusta",(IF($B584="","Arabica",$B584))&amp;" - "&amp;(IF($C584="","Commercial",$C584))),Variables!$B$1:$D$1,0),1))*IFERROR(IF(W584="","",(AVERAGE(E584:F584)-W584)-Variables!$B$14),"")/365)+(L584/16.67*INDEX(Variables!$B$8:$D$8,IFERROR(MATCH(IF($B584="Robusta","Robusta",(IF($B584="","Arabica",$B584))&amp;" - "&amp;(IF($C584="","Commercial",$C584))),Variables!$B$1:$D$1,0),1))*IFERROR(IF(W584="","",(AVERAGE(E584:F584)-W584)-Variables!$B$14),""))+(T584*INDEX(Variables!$B$9:$D$9,IFERROR(MATCH(IF($B584="Robusta","Robusta",(IF($B584="","Arabica",$B584))&amp;" - "&amp;(IF($C584="","Commercial",$C584))),Variables!$B$1:$D$1,0),1))*IFERROR(IF(W584="","",(AVERAGE(E584:F584)-W584)-Variables!$B$14),"")/365),""))</f>
        <v>-63.28026980836065</v>
      </c>
      <c r="AT584" s="12">
        <f>IF($H584="Cancelled","",IFERROR((T584*INDEX(Variables!$B$7:$D$7,IFERROR(MATCH(IF($B584="Robusta","Robusta",(IF($B584="","Arabica",$B584))&amp;" - "&amp;(IF($C584="","Commercial",$C584))),Variables!$B$1:$D$1,0),1))*AC584/365)+(L584/16.67*INDEX(Variables!$B$8:$D$8,IFERROR(MATCH(IF($B584="Robusta","Robusta",(IF($B584="","Arabica",$B584))&amp;" - "&amp;(IF($C584="","Commercial",$C584))),Variables!$B$1:$D$1,0),1))*AC584)+(T584*INDEX(Variables!$B$9:$D$9,IFERROR(MATCH(IF($B584="Robusta","Robusta",(IF($B584="","Arabica",$B584))&amp;" - "&amp;(IF($C584="","Commercial",$C584))),Variables!$B$1:$D$1,0),1))*AC584/365),""))</f>
        <v>-332.2214164938934</v>
      </c>
      <c r="AU584" s="12">
        <f>IF($H584="Cancelled","",IFERROR((T584*INDEX(Variables!$B$7:$D$7,IFERROR(MATCH(IF($B584="Robusta","Robusta",(IF($B584="","Arabica",$B584))&amp;" - "&amp;(IF($C584="","Commercial",$C584))),Variables!$B$1:$D$1,0),1))*AP584/365)+(L584/16.67*INDEX(Variables!$B$8:$D$8,IFERROR(MATCH(IF($B584="Robusta","Robusta",(IF($B584="","Arabica",$B584))&amp;" - "&amp;(IF($C584="","Commercial",$C584))),Variables!$B$1:$D$1,0),1))*AP584)+(T584*INDEX(Variables!$B$9:$D$9,IFERROR(MATCH(IF($B584="Robusta","Robusta",(IF($B584="","Arabica",$B584))&amp;" - "&amp;(IF($C584="","Commercial",$C584))),Variables!$B$1:$D$1,0),1))*AP584/365),""))</f>
        <v>-142.38060706881146</v>
      </c>
      <c r="AV584" s="11">
        <f t="shared" si="65"/>
        <v>-4</v>
      </c>
      <c r="AW584" s="12">
        <f>IF($H584="Cancelled","",IFERROR(IF(AV584="","",(T584*INDEX(Variables!$B$7:$D$7,IFERROR(MATCH(IF($B584="Robusta","Robusta",(IF($B584="","Arabica",$B584))&amp;" - "&amp;(IF($C584="","Commercial",$C584))),Variables!$B$1:$D$1,0),1))*(AV584/365))+(T584*INDEX(Variables!$B$9:$D$9,IFERROR(MATCH(IF($B584="Robusta","Robusta",(IF($B584="","Arabica",$B584))&amp;" - "&amp;(IF($C584="","Commercial",$C584))),Variables!$B$1:$D$1,0),1))*(AV584/365))+(INDEX(Variables!$B$8:$D$8,IFERROR(MATCH(IF($B584="Robusta","Robusta",(IF($B584="","Arabica",$B584))&amp;" - "&amp;(IF($C584="","Commercial",$C584))),Variables!$B$1:$D$1,0),1))*L584/16.67)),""))</f>
        <v>-33.28026980836065</v>
      </c>
      <c r="AX584" s="9"/>
      <c r="AY584" s="12"/>
      <c r="AZ584" s="10"/>
      <c r="BA584" s="9"/>
      <c r="BB584" s="10"/>
      <c r="BC584" s="9"/>
      <c r="BD584" s="9"/>
      <c r="BE584" s="9"/>
      <c r="BF584" s="9"/>
    </row>
    <row r="585" spans="1:58" x14ac:dyDescent="0.25">
      <c r="A585" s="9" t="s">
        <v>84</v>
      </c>
      <c r="B585" s="9" t="s">
        <v>85</v>
      </c>
      <c r="C585" s="9" t="s">
        <v>86</v>
      </c>
      <c r="D585" s="10">
        <v>46080</v>
      </c>
      <c r="E585" s="10">
        <v>46082</v>
      </c>
      <c r="F585" s="10">
        <v>46112</v>
      </c>
      <c r="G585" s="9">
        <v>3787364</v>
      </c>
      <c r="H585" s="9" t="str">
        <f t="shared" si="63"/>
        <v>Open</v>
      </c>
      <c r="I585" s="9" t="str">
        <f t="shared" si="64"/>
        <v>No shipping advice sent and No docs dispatch date</v>
      </c>
      <c r="J585" s="9" t="s">
        <v>494</v>
      </c>
      <c r="K585" s="9" t="s">
        <v>1450</v>
      </c>
      <c r="L585" s="11">
        <v>320</v>
      </c>
      <c r="M585" s="9" t="s">
        <v>649</v>
      </c>
      <c r="N585" s="9" t="s">
        <v>121</v>
      </c>
      <c r="O585" s="9"/>
      <c r="P585" s="9"/>
      <c r="Q585" s="11">
        <v>25</v>
      </c>
      <c r="R585" s="9" t="s">
        <v>90</v>
      </c>
      <c r="S585" s="9" t="s">
        <v>207</v>
      </c>
      <c r="T585" s="12">
        <f>IF($H585="Cancelled","",IFERROR(((Q585+INDEX(Variables!$B$6:$D$6,IFERROR(MATCH(IF($B585="Robusta","Robusta",(IF($B585="","Arabica",$B585))&amp;" - "&amp;(IF($C585="","Commercial",$C585))),Variables!$B$1:$D$1,0),1)))*22.0462)*(L585/16.67),""))</f>
        <v>133647.31776844629</v>
      </c>
      <c r="U585" s="10">
        <v>46086</v>
      </c>
      <c r="V585" s="9" t="str">
        <f t="shared" si="66"/>
        <v>Sent</v>
      </c>
      <c r="W585" s="10">
        <v>46094</v>
      </c>
      <c r="X585" s="9" t="str">
        <f t="shared" si="62"/>
        <v>Approved</v>
      </c>
      <c r="Y585" s="10"/>
      <c r="Z585" s="10">
        <f>IF($H585="Cancelled","",IFERROR(IF(F585="","",F585-Variables!$B$13),""))</f>
        <v>46097</v>
      </c>
      <c r="AA585" s="11">
        <f>IF($H585="Cancelled","",IFERROR(IF(W585="","",(AVERAGE(E585:F585)-W585)-Variables!$B$14),""))</f>
        <v>-27</v>
      </c>
      <c r="AB585" s="10">
        <v>46111</v>
      </c>
      <c r="AC585" s="11">
        <f>IF($H585="Cancelled","",IFERROR(IF(AB585="","",IF(AND(W585="",Y585=""),"",IF(Y585&gt;W585,Y585+Variables!$B$15+Variables!$B$16+Variables!$B$17-AB585,W585+Variables!$B$16+Variables!$B$17-AB585))),""))</f>
        <v>-9</v>
      </c>
      <c r="AD585" s="9" t="s">
        <v>1224</v>
      </c>
      <c r="AE585" s="9" t="s">
        <v>1451</v>
      </c>
      <c r="AF585" s="10">
        <v>46202</v>
      </c>
      <c r="AG585" s="10"/>
      <c r="AH585" s="9"/>
      <c r="AI585" s="9" t="s">
        <v>1452</v>
      </c>
      <c r="AJ585" s="9"/>
      <c r="AK585" s="10">
        <v>46119</v>
      </c>
      <c r="AL585" s="10"/>
      <c r="AM585" s="10"/>
      <c r="AN585" s="9" t="s">
        <v>1249</v>
      </c>
      <c r="AO585" s="9"/>
      <c r="AP585" s="11">
        <f>IF($H585="Cancelled","",IFERROR(IF(OR(AK585="",AB585=""),"",(AB585+Variables!$B$18-AK585)),""))</f>
        <v>-1</v>
      </c>
      <c r="AQ585" s="11" t="str">
        <f>IF($H585="Cancelled","",IFERROR(IF(OR(AM585="",AK585=""),"",(AK585+Variables!$B$19)-AM585),""))</f>
        <v/>
      </c>
      <c r="AR585" s="12" t="str">
        <f>IF($H585="Cancelled","",IFERROR(T585*INDEX(Variables!$B$7:$D$7,IFERROR(MATCH(IF($B585="Robusta","Robusta",(IF($B585="","Arabica",$B585))&amp;" - "&amp;(IF($C585="","Commercial",$C585))),Variables!$B$1:$D$1,0),1))*(AQ585/365),""))</f>
        <v/>
      </c>
      <c r="AS585" s="12">
        <f>IF($H585="Cancelled","",IFERROR((T585*INDEX(Variables!$B$7:$D$7,IFERROR(MATCH(IF($B585="Robusta","Robusta",(IF($B585="","Arabica",$B585))&amp;" - "&amp;(IF($C585="","Commercial",$C585))),Variables!$B$1:$D$1,0),1))*IFERROR(IF(W585="","",(AVERAGE(E585:F585)-W585)-Variables!$B$14),"")/365)+(L585/16.67*INDEX(Variables!$B$8:$D$8,IFERROR(MATCH(IF($B585="Robusta","Robusta",(IF($B585="","Arabica",$B585))&amp;" - "&amp;(IF($C585="","Commercial",$C585))),Variables!$B$1:$D$1,0),1))*IFERROR(IF(W585="","",(AVERAGE(E585:F585)-W585)-Variables!$B$14),""))+(T585*INDEX(Variables!$B$9:$D$9,IFERROR(MATCH(IF($B585="Robusta","Robusta",(IF($B585="","Arabica",$B585))&amp;" - "&amp;(IF($C585="","Commercial",$C585))),Variables!$B$1:$D$1,0),1))*IFERROR(IF(W585="","",(AVERAGE(E585:F585)-W585)-Variables!$B$14),"")/365),""))</f>
        <v>-1077.7049326160939</v>
      </c>
      <c r="AT585" s="12">
        <f>IF($H585="Cancelled","",IFERROR((T585*INDEX(Variables!$B$7:$D$7,IFERROR(MATCH(IF($B585="Robusta","Robusta",(IF($B585="","Arabica",$B585))&amp;" - "&amp;(IF($C585="","Commercial",$C585))),Variables!$B$1:$D$1,0),1))*AC585/365)+(L585/16.67*INDEX(Variables!$B$8:$D$8,IFERROR(MATCH(IF($B585="Robusta","Robusta",(IF($B585="","Arabica",$B585))&amp;" - "&amp;(IF($C585="","Commercial",$C585))),Variables!$B$1:$D$1,0),1))*AC585)+(T585*INDEX(Variables!$B$9:$D$9,IFERROR(MATCH(IF($B585="Robusta","Robusta",(IF($B585="","Arabica",$B585))&amp;" - "&amp;(IF($C585="","Commercial",$C585))),Variables!$B$1:$D$1,0),1))*AC585/365),""))</f>
        <v>-359.23497753869793</v>
      </c>
      <c r="AU585" s="12">
        <f>IF($H585="Cancelled","",IFERROR((T585*INDEX(Variables!$B$7:$D$7,IFERROR(MATCH(IF($B585="Robusta","Robusta",(IF($B585="","Arabica",$B585))&amp;" - "&amp;(IF($C585="","Commercial",$C585))),Variables!$B$1:$D$1,0),1))*AP585/365)+(L585/16.67*INDEX(Variables!$B$8:$D$8,IFERROR(MATCH(IF($B585="Robusta","Robusta",(IF($B585="","Arabica",$B585))&amp;" - "&amp;(IF($C585="","Commercial",$C585))),Variables!$B$1:$D$1,0),1))*AP585)+(T585*INDEX(Variables!$B$9:$D$9,IFERROR(MATCH(IF($B585="Robusta","Robusta",(IF($B585="","Arabica",$B585))&amp;" - "&amp;(IF($C585="","Commercial",$C585))),Variables!$B$1:$D$1,0),1))*AP585/365),""))</f>
        <v>-39.91499750429977</v>
      </c>
      <c r="AV585" s="11">
        <f t="shared" si="65"/>
        <v>-7</v>
      </c>
      <c r="AW585" s="12">
        <f>IF($H585="Cancelled","",IFERROR(IF(AV585="","",(T585*INDEX(Variables!$B$7:$D$7,IFERROR(MATCH(IF($B585="Robusta","Robusta",(IF($B585="","Arabica",$B585))&amp;" - "&amp;(IF($C585="","Commercial",$C585))),Variables!$B$1:$D$1,0),1))*(AV585/365))+(T585*INDEX(Variables!$B$9:$D$9,IFERROR(MATCH(IF($B585="Robusta","Robusta",(IF($B585="","Arabica",$B585))&amp;" - "&amp;(IF($C585="","Commercial",$C585))),Variables!$B$1:$D$1,0),1))*(AV585/365))+(INDEX(Variables!$B$8:$D$8,IFERROR(MATCH(IF($B585="Robusta","Robusta",(IF($B585="","Arabica",$B585))&amp;" - "&amp;(IF($C585="","Commercial",$C585))),Variables!$B$1:$D$1,0),1))*L585/16.67)),""))</f>
        <v>-151.40498253009841</v>
      </c>
      <c r="AX585" s="9"/>
      <c r="AY585" s="12"/>
      <c r="AZ585" s="10"/>
      <c r="BA585" s="9"/>
      <c r="BB585" s="10"/>
      <c r="BC585" s="9"/>
      <c r="BD585" s="9"/>
      <c r="BE585" s="9"/>
      <c r="BF585" s="9"/>
    </row>
    <row r="586" spans="1:58" x14ac:dyDescent="0.25">
      <c r="A586" s="9" t="s">
        <v>84</v>
      </c>
      <c r="B586" s="9" t="s">
        <v>85</v>
      </c>
      <c r="C586" s="9" t="s">
        <v>86</v>
      </c>
      <c r="D586" s="10">
        <v>46080</v>
      </c>
      <c r="E586" s="10">
        <v>46082</v>
      </c>
      <c r="F586" s="10">
        <v>46112</v>
      </c>
      <c r="G586" s="9">
        <v>3787364</v>
      </c>
      <c r="H586" s="9" t="str">
        <f t="shared" si="63"/>
        <v>Open</v>
      </c>
      <c r="I586" s="9" t="str">
        <f t="shared" si="64"/>
        <v>No shipping advice sent and No docs dispatch date</v>
      </c>
      <c r="J586" s="9" t="s">
        <v>494</v>
      </c>
      <c r="K586" s="9" t="s">
        <v>1453</v>
      </c>
      <c r="L586" s="11">
        <v>320</v>
      </c>
      <c r="M586" s="9" t="s">
        <v>649</v>
      </c>
      <c r="N586" s="9" t="s">
        <v>121</v>
      </c>
      <c r="O586" s="9"/>
      <c r="P586" s="9"/>
      <c r="Q586" s="11">
        <v>25</v>
      </c>
      <c r="R586" s="9" t="s">
        <v>90</v>
      </c>
      <c r="S586" s="9" t="s">
        <v>207</v>
      </c>
      <c r="T586" s="12">
        <f>IF($H586="Cancelled","",IFERROR(((Q586+INDEX(Variables!$B$6:$D$6,IFERROR(MATCH(IF($B586="Robusta","Robusta",(IF($B586="","Arabica",$B586))&amp;" - "&amp;(IF($C586="","Commercial",$C586))),Variables!$B$1:$D$1,0),1)))*22.0462)*(L586/16.67),""))</f>
        <v>133647.31776844629</v>
      </c>
      <c r="U586" s="10">
        <v>46086</v>
      </c>
      <c r="V586" s="9" t="str">
        <f t="shared" si="66"/>
        <v>Sent</v>
      </c>
      <c r="W586" s="10">
        <v>46094</v>
      </c>
      <c r="X586" s="9" t="str">
        <f t="shared" si="62"/>
        <v>Approved</v>
      </c>
      <c r="Y586" s="10"/>
      <c r="Z586" s="10">
        <f>IF($H586="Cancelled","",IFERROR(IF(F586="","",F586-Variables!$B$13),""))</f>
        <v>46097</v>
      </c>
      <c r="AA586" s="11">
        <f>IF($H586="Cancelled","",IFERROR(IF(W586="","",(AVERAGE(E586:F586)-W586)-Variables!$B$14),""))</f>
        <v>-27</v>
      </c>
      <c r="AB586" s="10">
        <v>46111</v>
      </c>
      <c r="AC586" s="11">
        <f>IF($H586="Cancelled","",IFERROR(IF(AB586="","",IF(AND(W586="",Y586=""),"",IF(Y586&gt;W586,Y586+Variables!$B$15+Variables!$B$16+Variables!$B$17-AB586,W586+Variables!$B$16+Variables!$B$17-AB586))),""))</f>
        <v>-9</v>
      </c>
      <c r="AD586" s="9" t="s">
        <v>1224</v>
      </c>
      <c r="AE586" s="9" t="s">
        <v>1451</v>
      </c>
      <c r="AF586" s="10">
        <v>46202</v>
      </c>
      <c r="AG586" s="10"/>
      <c r="AH586" s="9"/>
      <c r="AI586" s="9" t="s">
        <v>1452</v>
      </c>
      <c r="AJ586" s="9"/>
      <c r="AK586" s="10">
        <v>46119</v>
      </c>
      <c r="AL586" s="10"/>
      <c r="AM586" s="10"/>
      <c r="AN586" s="9" t="s">
        <v>1249</v>
      </c>
      <c r="AO586" s="9"/>
      <c r="AP586" s="11">
        <f>IF($H586="Cancelled","",IFERROR(IF(OR(AK586="",AB586=""),"",(AB586+Variables!$B$18-AK586)),""))</f>
        <v>-1</v>
      </c>
      <c r="AQ586" s="11" t="str">
        <f>IF($H586="Cancelled","",IFERROR(IF(OR(AM586="",AK586=""),"",(AK586+Variables!$B$19)-AM586),""))</f>
        <v/>
      </c>
      <c r="AR586" s="12" t="str">
        <f>IF($H586="Cancelled","",IFERROR(T586*INDEX(Variables!$B$7:$D$7,IFERROR(MATCH(IF($B586="Robusta","Robusta",(IF($B586="","Arabica",$B586))&amp;" - "&amp;(IF($C586="","Commercial",$C586))),Variables!$B$1:$D$1,0),1))*(AQ586/365),""))</f>
        <v/>
      </c>
      <c r="AS586" s="12">
        <f>IF($H586="Cancelled","",IFERROR((T586*INDEX(Variables!$B$7:$D$7,IFERROR(MATCH(IF($B586="Robusta","Robusta",(IF($B586="","Arabica",$B586))&amp;" - "&amp;(IF($C586="","Commercial",$C586))),Variables!$B$1:$D$1,0),1))*IFERROR(IF(W586="","",(AVERAGE(E586:F586)-W586)-Variables!$B$14),"")/365)+(L586/16.67*INDEX(Variables!$B$8:$D$8,IFERROR(MATCH(IF($B586="Robusta","Robusta",(IF($B586="","Arabica",$B586))&amp;" - "&amp;(IF($C586="","Commercial",$C586))),Variables!$B$1:$D$1,0),1))*IFERROR(IF(W586="","",(AVERAGE(E586:F586)-W586)-Variables!$B$14),""))+(T586*INDEX(Variables!$B$9:$D$9,IFERROR(MATCH(IF($B586="Robusta","Robusta",(IF($B586="","Arabica",$B586))&amp;" - "&amp;(IF($C586="","Commercial",$C586))),Variables!$B$1:$D$1,0),1))*IFERROR(IF(W586="","",(AVERAGE(E586:F586)-W586)-Variables!$B$14),"")/365),""))</f>
        <v>-1077.7049326160939</v>
      </c>
      <c r="AT586" s="12">
        <f>IF($H586="Cancelled","",IFERROR((T586*INDEX(Variables!$B$7:$D$7,IFERROR(MATCH(IF($B586="Robusta","Robusta",(IF($B586="","Arabica",$B586))&amp;" - "&amp;(IF($C586="","Commercial",$C586))),Variables!$B$1:$D$1,0),1))*AC586/365)+(L586/16.67*INDEX(Variables!$B$8:$D$8,IFERROR(MATCH(IF($B586="Robusta","Robusta",(IF($B586="","Arabica",$B586))&amp;" - "&amp;(IF($C586="","Commercial",$C586))),Variables!$B$1:$D$1,0),1))*AC586)+(T586*INDEX(Variables!$B$9:$D$9,IFERROR(MATCH(IF($B586="Robusta","Robusta",(IF($B586="","Arabica",$B586))&amp;" - "&amp;(IF($C586="","Commercial",$C586))),Variables!$B$1:$D$1,0),1))*AC586/365),""))</f>
        <v>-359.23497753869793</v>
      </c>
      <c r="AU586" s="12">
        <f>IF($H586="Cancelled","",IFERROR((T586*INDEX(Variables!$B$7:$D$7,IFERROR(MATCH(IF($B586="Robusta","Robusta",(IF($B586="","Arabica",$B586))&amp;" - "&amp;(IF($C586="","Commercial",$C586))),Variables!$B$1:$D$1,0),1))*AP586/365)+(L586/16.67*INDEX(Variables!$B$8:$D$8,IFERROR(MATCH(IF($B586="Robusta","Robusta",(IF($B586="","Arabica",$B586))&amp;" - "&amp;(IF($C586="","Commercial",$C586))),Variables!$B$1:$D$1,0),1))*AP586)+(T586*INDEX(Variables!$B$9:$D$9,IFERROR(MATCH(IF($B586="Robusta","Robusta",(IF($B586="","Arabica",$B586))&amp;" - "&amp;(IF($C586="","Commercial",$C586))),Variables!$B$1:$D$1,0),1))*AP586/365),""))</f>
        <v>-39.91499750429977</v>
      </c>
      <c r="AV586" s="11">
        <f t="shared" si="65"/>
        <v>-7</v>
      </c>
      <c r="AW586" s="12">
        <f>IF($H586="Cancelled","",IFERROR(IF(AV586="","",(T586*INDEX(Variables!$B$7:$D$7,IFERROR(MATCH(IF($B586="Robusta","Robusta",(IF($B586="","Arabica",$B586))&amp;" - "&amp;(IF($C586="","Commercial",$C586))),Variables!$B$1:$D$1,0),1))*(AV586/365))+(T586*INDEX(Variables!$B$9:$D$9,IFERROR(MATCH(IF($B586="Robusta","Robusta",(IF($B586="","Arabica",$B586))&amp;" - "&amp;(IF($C586="","Commercial",$C586))),Variables!$B$1:$D$1,0),1))*(AV586/365))+(INDEX(Variables!$B$8:$D$8,IFERROR(MATCH(IF($B586="Robusta","Robusta",(IF($B586="","Arabica",$B586))&amp;" - "&amp;(IF($C586="","Commercial",$C586))),Variables!$B$1:$D$1,0),1))*L586/16.67)),""))</f>
        <v>-151.40498253009841</v>
      </c>
      <c r="AX586" s="9"/>
      <c r="AY586" s="12"/>
      <c r="AZ586" s="10"/>
      <c r="BA586" s="9"/>
      <c r="BB586" s="10"/>
      <c r="BC586" s="9"/>
      <c r="BD586" s="9"/>
      <c r="BE586" s="9"/>
      <c r="BF586" s="9"/>
    </row>
    <row r="587" spans="1:58" x14ac:dyDescent="0.25">
      <c r="A587" s="9" t="s">
        <v>84</v>
      </c>
      <c r="B587" s="9" t="s">
        <v>85</v>
      </c>
      <c r="C587" s="9" t="s">
        <v>86</v>
      </c>
      <c r="D587" s="10">
        <v>46059</v>
      </c>
      <c r="E587" s="10">
        <v>46082</v>
      </c>
      <c r="F587" s="10">
        <v>46095</v>
      </c>
      <c r="G587" s="9">
        <v>3787233</v>
      </c>
      <c r="H587" s="9" t="str">
        <f t="shared" si="63"/>
        <v>Open</v>
      </c>
      <c r="I587" s="9" t="str">
        <f t="shared" si="64"/>
        <v>No shipping advice sent and No docs dispatch date</v>
      </c>
      <c r="J587" s="9" t="s">
        <v>1366</v>
      </c>
      <c r="K587" s="9">
        <v>5444</v>
      </c>
      <c r="L587" s="11">
        <v>320</v>
      </c>
      <c r="M587" s="9" t="s">
        <v>126</v>
      </c>
      <c r="N587" s="9" t="s">
        <v>126</v>
      </c>
      <c r="O587" s="9"/>
      <c r="P587" s="9"/>
      <c r="Q587" s="11">
        <v>29</v>
      </c>
      <c r="R587" s="9" t="s">
        <v>90</v>
      </c>
      <c r="S587" s="9" t="s">
        <v>150</v>
      </c>
      <c r="T587" s="12">
        <f>IF($H587="Cancelled","",IFERROR(((Q587+INDEX(Variables!$B$6:$D$6,IFERROR(MATCH(IF($B587="Robusta","Robusta",(IF($B587="","Arabica",$B587))&amp;" - "&amp;(IF($C587="","Commercial",$C587))),Variables!$B$1:$D$1,0),1)))*22.0462)*(L587/16.67),""))</f>
        <v>135340.12736652666</v>
      </c>
      <c r="U587" s="10">
        <v>46077</v>
      </c>
      <c r="V587" s="9" t="str">
        <f t="shared" si="66"/>
        <v>Sent</v>
      </c>
      <c r="W587" s="10">
        <v>46085</v>
      </c>
      <c r="X587" s="9" t="str">
        <f t="shared" si="62"/>
        <v>Approved</v>
      </c>
      <c r="Y587" s="10"/>
      <c r="Z587" s="10">
        <f>IF($H587="Cancelled","",IFERROR(IF(F587="","",F587-Variables!$B$13),""))</f>
        <v>46080</v>
      </c>
      <c r="AA587" s="11">
        <f>IF($H587="Cancelled","",IFERROR(IF(W587="","",(AVERAGE(E587:F587)-W587)-Variables!$B$14),""))</f>
        <v>-26.5</v>
      </c>
      <c r="AB587" s="10">
        <v>46100</v>
      </c>
      <c r="AC587" s="11">
        <f>IF($H587="Cancelled","",IFERROR(IF(AB587="","",IF(AND(W587="",Y587=""),"",IF(Y587&gt;W587,Y587+Variables!$B$15+Variables!$B$16+Variables!$B$17-AB587,W587+Variables!$B$16+Variables!$B$17-AB587))),""))</f>
        <v>-7</v>
      </c>
      <c r="AD587" s="9" t="s">
        <v>1313</v>
      </c>
      <c r="AE587" s="9" t="s">
        <v>1437</v>
      </c>
      <c r="AF587" s="10">
        <v>46178</v>
      </c>
      <c r="AG587" s="10"/>
      <c r="AH587" s="9"/>
      <c r="AI587" s="9" t="s">
        <v>1454</v>
      </c>
      <c r="AJ587" s="9"/>
      <c r="AK587" s="10">
        <v>46116</v>
      </c>
      <c r="AL587" s="10"/>
      <c r="AM587" s="10"/>
      <c r="AN587" s="9" t="s">
        <v>1306</v>
      </c>
      <c r="AO587" s="9"/>
      <c r="AP587" s="11">
        <f>IF($H587="Cancelled","",IFERROR(IF(OR(AK587="",AB587=""),"",(AB587+Variables!$B$18-AK587)),""))</f>
        <v>-9</v>
      </c>
      <c r="AQ587" s="11" t="str">
        <f>IF($H587="Cancelled","",IFERROR(IF(OR(AM587="",AK587=""),"",(AK587+Variables!$B$19)-AM587),""))</f>
        <v/>
      </c>
      <c r="AR587" s="12" t="str">
        <f>IF($H587="Cancelled","",IFERROR(T587*INDEX(Variables!$B$7:$D$7,IFERROR(MATCH(IF($B587="Robusta","Robusta",(IF($B587="","Arabica",$B587))&amp;" - "&amp;(IF($C587="","Commercial",$C587))),Variables!$B$1:$D$1,0),1))*(AQ587/365),""))</f>
        <v/>
      </c>
      <c r="AS587" s="12">
        <f>IF($H587="Cancelled","",IFERROR((T587*INDEX(Variables!$B$7:$D$7,IFERROR(MATCH(IF($B587="Robusta","Robusta",(IF($B587="","Arabica",$B587))&amp;" - "&amp;(IF($C587="","Commercial",$C587))),Variables!$B$1:$D$1,0),1))*IFERROR(IF(W587="","",(AVERAGE(E587:F587)-W587)-Variables!$B$14),"")/365)+(L587/16.67*INDEX(Variables!$B$8:$D$8,IFERROR(MATCH(IF($B587="Robusta","Robusta",(IF($B587="","Arabica",$B587))&amp;" - "&amp;(IF($C587="","Commercial",$C587))),Variables!$B$1:$D$1,0),1))*IFERROR(IF(W587="","",(AVERAGE(E587:F587)-W587)-Variables!$B$14),""))+(T587*INDEX(Variables!$B$9:$D$9,IFERROR(MATCH(IF($B587="Robusta","Robusta",(IF($B587="","Arabica",$B587))&amp;" - "&amp;(IF($C587="","Commercial",$C587))),Variables!$B$1:$D$1,0),1))*IFERROR(IF(W587="","",(AVERAGE(E587:F587)-W587)-Variables!$B$14),"")/365),""))</f>
        <v>-1065.7746337862231</v>
      </c>
      <c r="AT587" s="12">
        <f>IF($H587="Cancelled","",IFERROR((T587*INDEX(Variables!$B$7:$D$7,IFERROR(MATCH(IF($B587="Robusta","Robusta",(IF($B587="","Arabica",$B587))&amp;" - "&amp;(IF($C587="","Commercial",$C587))),Variables!$B$1:$D$1,0),1))*AC587/365)+(L587/16.67*INDEX(Variables!$B$8:$D$8,IFERROR(MATCH(IF($B587="Robusta","Robusta",(IF($B587="","Arabica",$B587))&amp;" - "&amp;(IF($C587="","Commercial",$C587))),Variables!$B$1:$D$1,0),1))*AC587)+(T587*INDEX(Variables!$B$9:$D$9,IFERROR(MATCH(IF($B587="Robusta","Robusta",(IF($B587="","Arabica",$B587))&amp;" - "&amp;(IF($C587="","Commercial",$C587))),Variables!$B$1:$D$1,0),1))*AC587/365),""))</f>
        <v>-281.52537496239853</v>
      </c>
      <c r="AU587" s="12">
        <f>IF($H587="Cancelled","",IFERROR((T587*INDEX(Variables!$B$7:$D$7,IFERROR(MATCH(IF($B587="Robusta","Robusta",(IF($B587="","Arabica",$B587))&amp;" - "&amp;(IF($C587="","Commercial",$C587))),Variables!$B$1:$D$1,0),1))*AP587/365)+(L587/16.67*INDEX(Variables!$B$8:$D$8,IFERROR(MATCH(IF($B587="Robusta","Robusta",(IF($B587="","Arabica",$B587))&amp;" - "&amp;(IF($C587="","Commercial",$C587))),Variables!$B$1:$D$1,0),1))*AP587)+(T587*INDEX(Variables!$B$9:$D$9,IFERROR(MATCH(IF($B587="Robusta","Robusta",(IF($B587="","Arabica",$B587))&amp;" - "&amp;(IF($C587="","Commercial",$C587))),Variables!$B$1:$D$1,0),1))*AP587/365),""))</f>
        <v>-361.9611963802268</v>
      </c>
      <c r="AV587" s="11">
        <f t="shared" si="65"/>
        <v>-21</v>
      </c>
      <c r="AW587" s="12">
        <f>IF($H587="Cancelled","",IFERROR(IF(AV587="","",(T587*INDEX(Variables!$B$7:$D$7,IFERROR(MATCH(IF($B587="Robusta","Robusta",(IF($B587="","Arabica",$B587))&amp;" - "&amp;(IF($C587="","Commercial",$C587))),Variables!$B$1:$D$1,0),1))*(AV587/365))+(T587*INDEX(Variables!$B$9:$D$9,IFERROR(MATCH(IF($B587="Robusta","Robusta",(IF($B587="","Arabica",$B587))&amp;" - "&amp;(IF($C587="","Commercial",$C587))),Variables!$B$1:$D$1,0),1))*(AV587/365))+(INDEX(Variables!$B$8:$D$8,IFERROR(MATCH(IF($B587="Robusta","Robusta",(IF($B587="","Arabica",$B587))&amp;" - "&amp;(IF($C587="","Commercial",$C587))),Variables!$B$1:$D$1,0),1))*L587/16.67)),""))</f>
        <v>-492.5761248871957</v>
      </c>
      <c r="AX587" s="9"/>
      <c r="AY587" s="12"/>
      <c r="AZ587" s="10"/>
      <c r="BA587" s="9"/>
      <c r="BB587" s="10"/>
      <c r="BC587" s="9"/>
      <c r="BD587" s="9"/>
      <c r="BE587" s="9"/>
      <c r="BF587" s="9"/>
    </row>
    <row r="588" spans="1:58" x14ac:dyDescent="0.25">
      <c r="A588" s="9" t="s">
        <v>84</v>
      </c>
      <c r="B588" s="9" t="s">
        <v>85</v>
      </c>
      <c r="C588" s="9" t="s">
        <v>86</v>
      </c>
      <c r="D588" s="10">
        <v>46064</v>
      </c>
      <c r="E588" s="10">
        <v>46082</v>
      </c>
      <c r="F588" s="10">
        <v>46112</v>
      </c>
      <c r="G588" s="9">
        <v>3787249</v>
      </c>
      <c r="H588" s="9" t="str">
        <f t="shared" si="63"/>
        <v>Open</v>
      </c>
      <c r="I588" s="9" t="str">
        <f t="shared" si="64"/>
        <v>No shipping advice sent and No docs dispatch date</v>
      </c>
      <c r="J588" s="9" t="s">
        <v>1455</v>
      </c>
      <c r="K588" s="9" t="s">
        <v>1456</v>
      </c>
      <c r="L588" s="11">
        <v>320</v>
      </c>
      <c r="M588" s="9" t="s">
        <v>1457</v>
      </c>
      <c r="N588" s="9" t="s">
        <v>227</v>
      </c>
      <c r="O588" s="9"/>
      <c r="P588" s="9"/>
      <c r="Q588" s="11">
        <v>46</v>
      </c>
      <c r="R588" s="9" t="s">
        <v>90</v>
      </c>
      <c r="S588" s="9" t="s">
        <v>207</v>
      </c>
      <c r="T588" s="12">
        <f>IF($H588="Cancelled","",IFERROR(((Q588+INDEX(Variables!$B$6:$D$6,IFERROR(MATCH(IF($B588="Robusta","Robusta",(IF($B588="","Arabica",$B588))&amp;" - "&amp;(IF($C588="","Commercial",$C588))),Variables!$B$1:$D$1,0),1)))*22.0462)*(L588/16.67),""))</f>
        <v>142534.56815836829</v>
      </c>
      <c r="U588" s="10">
        <v>46070</v>
      </c>
      <c r="V588" s="9" t="str">
        <f t="shared" si="66"/>
        <v>Sent</v>
      </c>
      <c r="W588" s="10">
        <v>46077</v>
      </c>
      <c r="X588" s="9" t="str">
        <f t="shared" si="62"/>
        <v>Approved</v>
      </c>
      <c r="Y588" s="10"/>
      <c r="Z588" s="10">
        <f>IF($H588="Cancelled","",IFERROR(IF(F588="","",F588-Variables!$B$13),""))</f>
        <v>46097</v>
      </c>
      <c r="AA588" s="11">
        <f>IF($H588="Cancelled","",IFERROR(IF(W588="","",(AVERAGE(E588:F588)-W588)-Variables!$B$14),""))</f>
        <v>-10</v>
      </c>
      <c r="AB588" s="10">
        <v>46106</v>
      </c>
      <c r="AC588" s="11">
        <f>IF($H588="Cancelled","",IFERROR(IF(AB588="","",IF(AND(W588="",Y588=""),"",IF(Y588&gt;W588,Y588+Variables!$B$15+Variables!$B$16+Variables!$B$17-AB588,W588+Variables!$B$16+Variables!$B$17-AB588))),""))</f>
        <v>-21</v>
      </c>
      <c r="AD588" s="9" t="s">
        <v>1458</v>
      </c>
      <c r="AE588" s="9" t="s">
        <v>1459</v>
      </c>
      <c r="AF588" s="10">
        <v>46168</v>
      </c>
      <c r="AG588" s="10"/>
      <c r="AH588" s="9"/>
      <c r="AI588" s="9" t="s">
        <v>1460</v>
      </c>
      <c r="AJ588" s="9"/>
      <c r="AK588" s="10">
        <v>46112</v>
      </c>
      <c r="AL588" s="10"/>
      <c r="AM588" s="10"/>
      <c r="AN588" s="9" t="s">
        <v>1306</v>
      </c>
      <c r="AO588" s="9"/>
      <c r="AP588" s="11">
        <f>IF($H588="Cancelled","",IFERROR(IF(OR(AK588="",AB588=""),"",(AB588+Variables!$B$18-AK588)),""))</f>
        <v>1</v>
      </c>
      <c r="AQ588" s="11" t="str">
        <f>IF($H588="Cancelled","",IFERROR(IF(OR(AM588="",AK588=""),"",(AK588+Variables!$B$19)-AM588),""))</f>
        <v/>
      </c>
      <c r="AR588" s="12" t="str">
        <f>IF($H588="Cancelled","",IFERROR(T588*INDEX(Variables!$B$7:$D$7,IFERROR(MATCH(IF($B588="Robusta","Robusta",(IF($B588="","Arabica",$B588))&amp;" - "&amp;(IF($C588="","Commercial",$C588))),Variables!$B$1:$D$1,0),1))*(AQ588/365),""))</f>
        <v/>
      </c>
      <c r="AS588" s="12">
        <f>IF($H588="Cancelled","",IFERROR((T588*INDEX(Variables!$B$7:$D$7,IFERROR(MATCH(IF($B588="Robusta","Robusta",(IF($B588="","Arabica",$B588))&amp;" - "&amp;(IF($C588="","Commercial",$C588))),Variables!$B$1:$D$1,0),1))*IFERROR(IF(W588="","",(AVERAGE(E588:F588)-W588)-Variables!$B$14),"")/365)+(L588/16.67*INDEX(Variables!$B$8:$D$8,IFERROR(MATCH(IF($B588="Robusta","Robusta",(IF($B588="","Arabica",$B588))&amp;" - "&amp;(IF($C588="","Commercial",$C588))),Variables!$B$1:$D$1,0),1))*IFERROR(IF(W588="","",(AVERAGE(E588:F588)-W588)-Variables!$B$14),""))+(T588*INDEX(Variables!$B$9:$D$9,IFERROR(MATCH(IF($B588="Robusta","Robusta",(IF($B588="","Arabica",$B588))&amp;" - "&amp;(IF($C588="","Commercial",$C588))),Variables!$B$1:$D$1,0),1))*IFERROR(IF(W588="","",(AVERAGE(E588:F588)-W588)-Variables!$B$14),"")/365),""))</f>
        <v>-415.05291828524895</v>
      </c>
      <c r="AT588" s="12">
        <f>IF($H588="Cancelled","",IFERROR((T588*INDEX(Variables!$B$7:$D$7,IFERROR(MATCH(IF($B588="Robusta","Robusta",(IF($B588="","Arabica",$B588))&amp;" - "&amp;(IF($C588="","Commercial",$C588))),Variables!$B$1:$D$1,0),1))*AC588/365)+(L588/16.67*INDEX(Variables!$B$8:$D$8,IFERROR(MATCH(IF($B588="Robusta","Robusta",(IF($B588="","Arabica",$B588))&amp;" - "&amp;(IF($C588="","Commercial",$C588))),Variables!$B$1:$D$1,0),1))*AC588)+(T588*INDEX(Variables!$B$9:$D$9,IFERROR(MATCH(IF($B588="Robusta","Robusta",(IF($B588="","Arabica",$B588))&amp;" - "&amp;(IF($C588="","Commercial",$C588))),Variables!$B$1:$D$1,0),1))*AC588/365),""))</f>
        <v>-871.61112839902285</v>
      </c>
      <c r="AU588" s="12">
        <f>IF($H588="Cancelled","",IFERROR((T588*INDEX(Variables!$B$7:$D$7,IFERROR(MATCH(IF($B588="Robusta","Robusta",(IF($B588="","Arabica",$B588))&amp;" - "&amp;(IF($C588="","Commercial",$C588))),Variables!$B$1:$D$1,0),1))*AP588/365)+(L588/16.67*INDEX(Variables!$B$8:$D$8,IFERROR(MATCH(IF($B588="Robusta","Robusta",(IF($B588="","Arabica",$B588))&amp;" - "&amp;(IF($C588="","Commercial",$C588))),Variables!$B$1:$D$1,0),1))*AP588)+(T588*INDEX(Variables!$B$9:$D$9,IFERROR(MATCH(IF($B588="Robusta","Robusta",(IF($B588="","Arabica",$B588))&amp;" - "&amp;(IF($C588="","Commercial",$C588))),Variables!$B$1:$D$1,0),1))*AP588/365),""))</f>
        <v>41.505291828524896</v>
      </c>
      <c r="AV588" s="11">
        <f t="shared" si="65"/>
        <v>0</v>
      </c>
      <c r="AW588" s="12">
        <f>IF($H588="Cancelled","",IFERROR(IF(AV588="","",(T588*INDEX(Variables!$B$7:$D$7,IFERROR(MATCH(IF($B588="Robusta","Robusta",(IF($B588="","Arabica",$B588))&amp;" - "&amp;(IF($C588="","Commercial",$C588))),Variables!$B$1:$D$1,0),1))*(AV588/365))+(T588*INDEX(Variables!$B$9:$D$9,IFERROR(MATCH(IF($B588="Robusta","Robusta",(IF($B588="","Arabica",$B588))&amp;" - "&amp;(IF($C588="","Commercial",$C588))),Variables!$B$1:$D$1,0),1))*(AV588/365))+(INDEX(Variables!$B$8:$D$8,IFERROR(MATCH(IF($B588="Robusta","Robusta",(IF($B588="","Arabica",$B588))&amp;" - "&amp;(IF($C588="","Commercial",$C588))),Variables!$B$1:$D$1,0),1))*L588/16.67)),""))</f>
        <v>16</v>
      </c>
      <c r="AX588" s="9"/>
      <c r="AY588" s="12"/>
      <c r="AZ588" s="10"/>
      <c r="BA588" s="9"/>
      <c r="BB588" s="10"/>
      <c r="BC588" s="9"/>
      <c r="BD588" s="9"/>
      <c r="BE588" s="9"/>
      <c r="BF588" s="9"/>
    </row>
    <row r="589" spans="1:58" x14ac:dyDescent="0.25">
      <c r="A589" s="9" t="s">
        <v>84</v>
      </c>
      <c r="B589" s="9" t="s">
        <v>85</v>
      </c>
      <c r="C589" s="9" t="s">
        <v>86</v>
      </c>
      <c r="D589" s="10">
        <v>46064</v>
      </c>
      <c r="E589" s="10">
        <v>46082</v>
      </c>
      <c r="F589" s="10">
        <v>46112</v>
      </c>
      <c r="G589" s="9">
        <v>3787250</v>
      </c>
      <c r="H589" s="9" t="str">
        <f t="shared" si="63"/>
        <v>Open</v>
      </c>
      <c r="I589" s="9" t="str">
        <f t="shared" si="64"/>
        <v>No shipping advice sent and No docs dispatch date</v>
      </c>
      <c r="J589" s="9" t="s">
        <v>1455</v>
      </c>
      <c r="K589" s="9" t="s">
        <v>1461</v>
      </c>
      <c r="L589" s="11">
        <v>320</v>
      </c>
      <c r="M589" s="9" t="s">
        <v>361</v>
      </c>
      <c r="N589" s="9" t="s">
        <v>126</v>
      </c>
      <c r="O589" s="9"/>
      <c r="P589" s="9"/>
      <c r="Q589" s="11">
        <v>33</v>
      </c>
      <c r="R589" s="9" t="s">
        <v>90</v>
      </c>
      <c r="S589" s="9" t="s">
        <v>207</v>
      </c>
      <c r="T589" s="12">
        <f>IF($H589="Cancelled","",IFERROR(((Q589+INDEX(Variables!$B$6:$D$6,IFERROR(MATCH(IF($B589="Robusta","Robusta",(IF($B589="","Arabica",$B589))&amp;" - "&amp;(IF($C589="","Commercial",$C589))),Variables!$B$1:$D$1,0),1)))*22.0462)*(L589/16.67),""))</f>
        <v>137032.93696460707</v>
      </c>
      <c r="U589" s="10">
        <v>46070</v>
      </c>
      <c r="V589" s="9" t="str">
        <f t="shared" si="66"/>
        <v>Sent</v>
      </c>
      <c r="W589" s="10">
        <v>46077</v>
      </c>
      <c r="X589" s="9" t="str">
        <f t="shared" si="62"/>
        <v>Approved</v>
      </c>
      <c r="Y589" s="10"/>
      <c r="Z589" s="10">
        <f>IF($H589="Cancelled","",IFERROR(IF(F589="","",F589-Variables!$B$13),""))</f>
        <v>46097</v>
      </c>
      <c r="AA589" s="11">
        <f>IF($H589="Cancelled","",IFERROR(IF(W589="","",(AVERAGE(E589:F589)-W589)-Variables!$B$14),""))</f>
        <v>-10</v>
      </c>
      <c r="AB589" s="10">
        <v>46106</v>
      </c>
      <c r="AC589" s="11">
        <f>IF($H589="Cancelled","",IFERROR(IF(AB589="","",IF(AND(W589="",Y589=""),"",IF(Y589&gt;W589,Y589+Variables!$B$15+Variables!$B$16+Variables!$B$17-AB589,W589+Variables!$B$16+Variables!$B$17-AB589))),""))</f>
        <v>-21</v>
      </c>
      <c r="AD589" s="9" t="s">
        <v>1458</v>
      </c>
      <c r="AE589" s="9" t="s">
        <v>1459</v>
      </c>
      <c r="AF589" s="10">
        <v>46168</v>
      </c>
      <c r="AG589" s="10"/>
      <c r="AH589" s="9"/>
      <c r="AI589" s="9" t="s">
        <v>1462</v>
      </c>
      <c r="AJ589" s="9"/>
      <c r="AK589" s="10">
        <v>46112</v>
      </c>
      <c r="AL589" s="10"/>
      <c r="AM589" s="10"/>
      <c r="AN589" s="9" t="s">
        <v>1306</v>
      </c>
      <c r="AO589" s="9"/>
      <c r="AP589" s="11">
        <f>IF($H589="Cancelled","",IFERROR(IF(OR(AK589="",AB589=""),"",(AB589+Variables!$B$18-AK589)),""))</f>
        <v>1</v>
      </c>
      <c r="AQ589" s="11" t="str">
        <f>IF($H589="Cancelled","",IFERROR(IF(OR(AM589="",AK589=""),"",(AK589+Variables!$B$19)-AM589),""))</f>
        <v/>
      </c>
      <c r="AR589" s="12" t="str">
        <f>IF($H589="Cancelled","",IFERROR(T589*INDEX(Variables!$B$7:$D$7,IFERROR(MATCH(IF($B589="Robusta","Robusta",(IF($B589="","Arabica",$B589))&amp;" - "&amp;(IF($C589="","Commercial",$C589))),Variables!$B$1:$D$1,0),1))*(AQ589/365),""))</f>
        <v/>
      </c>
      <c r="AS589" s="12">
        <f>IF($H589="Cancelled","",IFERROR((T589*INDEX(Variables!$B$7:$D$7,IFERROR(MATCH(IF($B589="Robusta","Robusta",(IF($B589="","Arabica",$B589))&amp;" - "&amp;(IF($C589="","Commercial",$C589))),Variables!$B$1:$D$1,0),1))*IFERROR(IF(W589="","",(AVERAGE(E589:F589)-W589)-Variables!$B$14),"")/365)+(L589/16.67*INDEX(Variables!$B$8:$D$8,IFERROR(MATCH(IF($B589="Robusta","Robusta",(IF($B589="","Arabica",$B589))&amp;" - "&amp;(IF($C589="","Commercial",$C589))),Variables!$B$1:$D$1,0),1))*IFERROR(IF(W589="","",(AVERAGE(E589:F589)-W589)-Variables!$B$14),""))+(T589*INDEX(Variables!$B$9:$D$9,IFERROR(MATCH(IF($B589="Robusta","Robusta",(IF($B589="","Arabica",$B589))&amp;" - "&amp;(IF($C589="","Commercial",$C589))),Variables!$B$1:$D$1,0),1))*IFERROR(IF(W589="","",(AVERAGE(E589:F589)-W589)-Variables!$B$14),"")/365),""))</f>
        <v>-405.20823913528397</v>
      </c>
      <c r="AT589" s="12">
        <f>IF($H589="Cancelled","",IFERROR((T589*INDEX(Variables!$B$7:$D$7,IFERROR(MATCH(IF($B589="Robusta","Robusta",(IF($B589="","Arabica",$B589))&amp;" - "&amp;(IF($C589="","Commercial",$C589))),Variables!$B$1:$D$1,0),1))*AC589/365)+(L589/16.67*INDEX(Variables!$B$8:$D$8,IFERROR(MATCH(IF($B589="Robusta","Robusta",(IF($B589="","Arabica",$B589))&amp;" - "&amp;(IF($C589="","Commercial",$C589))),Variables!$B$1:$D$1,0),1))*AC589)+(T589*INDEX(Variables!$B$9:$D$9,IFERROR(MATCH(IF($B589="Robusta","Robusta",(IF($B589="","Arabica",$B589))&amp;" - "&amp;(IF($C589="","Commercial",$C589))),Variables!$B$1:$D$1,0),1))*AC589/365),""))</f>
        <v>-850.93730218409632</v>
      </c>
      <c r="AU589" s="12">
        <f>IF($H589="Cancelled","",IFERROR((T589*INDEX(Variables!$B$7:$D$7,IFERROR(MATCH(IF($B589="Robusta","Robusta",(IF($B589="","Arabica",$B589))&amp;" - "&amp;(IF($C589="","Commercial",$C589))),Variables!$B$1:$D$1,0),1))*AP589/365)+(L589/16.67*INDEX(Variables!$B$8:$D$8,IFERROR(MATCH(IF($B589="Robusta","Robusta",(IF($B589="","Arabica",$B589))&amp;" - "&amp;(IF($C589="","Commercial",$C589))),Variables!$B$1:$D$1,0),1))*AP589)+(T589*INDEX(Variables!$B$9:$D$9,IFERROR(MATCH(IF($B589="Robusta","Robusta",(IF($B589="","Arabica",$B589))&amp;" - "&amp;(IF($C589="","Commercial",$C589))),Variables!$B$1:$D$1,0),1))*AP589/365),""))</f>
        <v>40.520823913528396</v>
      </c>
      <c r="AV589" s="11">
        <f t="shared" si="65"/>
        <v>0</v>
      </c>
      <c r="AW589" s="12">
        <f>IF($H589="Cancelled","",IFERROR(IF(AV589="","",(T589*INDEX(Variables!$B$7:$D$7,IFERROR(MATCH(IF($B589="Robusta","Robusta",(IF($B589="","Arabica",$B589))&amp;" - "&amp;(IF($C589="","Commercial",$C589))),Variables!$B$1:$D$1,0),1))*(AV589/365))+(T589*INDEX(Variables!$B$9:$D$9,IFERROR(MATCH(IF($B589="Robusta","Robusta",(IF($B589="","Arabica",$B589))&amp;" - "&amp;(IF($C589="","Commercial",$C589))),Variables!$B$1:$D$1,0),1))*(AV589/365))+(INDEX(Variables!$B$8:$D$8,IFERROR(MATCH(IF($B589="Robusta","Robusta",(IF($B589="","Arabica",$B589))&amp;" - "&amp;(IF($C589="","Commercial",$C589))),Variables!$B$1:$D$1,0),1))*L589/16.67)),""))</f>
        <v>16</v>
      </c>
      <c r="AX589" s="9"/>
      <c r="AY589" s="12"/>
      <c r="AZ589" s="10"/>
      <c r="BA589" s="9"/>
      <c r="BB589" s="10"/>
      <c r="BC589" s="9"/>
      <c r="BD589" s="9"/>
      <c r="BE589" s="9"/>
      <c r="BF589" s="9"/>
    </row>
    <row r="590" spans="1:58" x14ac:dyDescent="0.25">
      <c r="A590" s="9" t="s">
        <v>84</v>
      </c>
      <c r="B590" s="9" t="s">
        <v>85</v>
      </c>
      <c r="C590" s="9" t="s">
        <v>86</v>
      </c>
      <c r="D590" s="10">
        <v>45959</v>
      </c>
      <c r="E590" s="10">
        <v>46068</v>
      </c>
      <c r="F590" s="10">
        <v>46088</v>
      </c>
      <c r="G590" s="9">
        <v>3786983</v>
      </c>
      <c r="H590" s="9" t="str">
        <f t="shared" si="63"/>
        <v>Open</v>
      </c>
      <c r="I590" s="9" t="str">
        <f t="shared" si="64"/>
        <v>No sailing date and No shipping advice sent and No docs dispatch date</v>
      </c>
      <c r="J590" s="9" t="s">
        <v>210</v>
      </c>
      <c r="K590" s="9">
        <v>5407</v>
      </c>
      <c r="L590" s="11">
        <v>320</v>
      </c>
      <c r="M590" s="9" t="s">
        <v>1463</v>
      </c>
      <c r="N590" s="9" t="s">
        <v>868</v>
      </c>
      <c r="O590" s="9"/>
      <c r="P590" s="9"/>
      <c r="Q590" s="11">
        <v>24</v>
      </c>
      <c r="R590" s="9" t="s">
        <v>90</v>
      </c>
      <c r="S590" s="9"/>
      <c r="T590" s="12">
        <f>IF($H590="Cancelled","",IFERROR(((Q590+INDEX(Variables!$B$6:$D$6,IFERROR(MATCH(IF($B590="Robusta","Robusta",(IF($B590="","Arabica",$B590))&amp;" - "&amp;(IF($C590="","Commercial",$C590))),Variables!$B$1:$D$1,0),1)))*22.0462)*(L590/16.67),""))</f>
        <v>133224.1153689262</v>
      </c>
      <c r="U590" s="10">
        <v>46051</v>
      </c>
      <c r="V590" s="9" t="str">
        <f t="shared" si="66"/>
        <v>Sent</v>
      </c>
      <c r="W590" s="10">
        <v>46059</v>
      </c>
      <c r="X590" s="9" t="str">
        <f t="shared" si="62"/>
        <v>Approved</v>
      </c>
      <c r="Y590" s="10"/>
      <c r="Z590" s="10">
        <f>IF($H590="Cancelled","",IFERROR(IF(F590="","",F590-Variables!$B$13),""))</f>
        <v>46073</v>
      </c>
      <c r="AA590" s="11">
        <f>IF($H590="Cancelled","",IFERROR(IF(W590="","",(AVERAGE(E590:F590)-W590)-Variables!$B$14),""))</f>
        <v>-11</v>
      </c>
      <c r="AB590" s="10">
        <v>46088</v>
      </c>
      <c r="AC590" s="11">
        <f>IF($H590="Cancelled","",IFERROR(IF(AB590="","",IF(AND(W590="",Y590=""),"",IF(Y590&gt;W590,Y590+Variables!$B$15+Variables!$B$16+Variables!$B$17-AB590,W590+Variables!$B$16+Variables!$B$17-AB590))),""))</f>
        <v>-21</v>
      </c>
      <c r="AD590" s="9"/>
      <c r="AE590" s="9"/>
      <c r="AF590" s="10"/>
      <c r="AG590" s="10"/>
      <c r="AH590" s="9"/>
      <c r="AI590" s="9"/>
      <c r="AJ590" s="9"/>
      <c r="AK590" s="10"/>
      <c r="AL590" s="10"/>
      <c r="AM590" s="10"/>
      <c r="AN590" s="9" t="s">
        <v>1306</v>
      </c>
      <c r="AO590" s="9"/>
      <c r="AP590" s="11" t="str">
        <f>IF($H590="Cancelled","",IFERROR(IF(OR(AK590="",AB590=""),"",(AB590+Variables!$B$18-AK590)),""))</f>
        <v/>
      </c>
      <c r="AQ590" s="11" t="str">
        <f>IF($H590="Cancelled","",IFERROR(IF(OR(AM590="",AK590=""),"",(AK590+Variables!$B$19)-AM590),""))</f>
        <v/>
      </c>
      <c r="AR590" s="12" t="str">
        <f>IF($H590="Cancelled","",IFERROR(T590*INDEX(Variables!$B$7:$D$7,IFERROR(MATCH(IF($B590="Robusta","Robusta",(IF($B590="","Arabica",$B590))&amp;" - "&amp;(IF($C590="","Commercial",$C590))),Variables!$B$1:$D$1,0),1))*(AQ590/365),""))</f>
        <v/>
      </c>
      <c r="AS590" s="12">
        <f>IF($H590="Cancelled","",IFERROR((T590*INDEX(Variables!$B$7:$D$7,IFERROR(MATCH(IF($B590="Robusta","Robusta",(IF($B590="","Arabica",$B590))&amp;" - "&amp;(IF($C590="","Commercial",$C590))),Variables!$B$1:$D$1,0),1))*IFERROR(IF(W590="","",(AVERAGE(E590:F590)-W590)-Variables!$B$14),"")/365)+(L590/16.67*INDEX(Variables!$B$8:$D$8,IFERROR(MATCH(IF($B590="Robusta","Robusta",(IF($B590="","Arabica",$B590))&amp;" - "&amp;(IF($C590="","Commercial",$C590))),Variables!$B$1:$D$1,0),1))*IFERROR(IF(W590="","",(AVERAGE(E590:F590)-W590)-Variables!$B$14),""))+(T590*INDEX(Variables!$B$9:$D$9,IFERROR(MATCH(IF($B590="Robusta","Robusta",(IF($B590="","Arabica",$B590))&amp;" - "&amp;(IF($C590="","Commercial",$C590))),Variables!$B$1:$D$1,0),1))*IFERROR(IF(W590="","",(AVERAGE(E590:F590)-W590)-Variables!$B$14),"")/365),""))</f>
        <v>-438.23196123460815</v>
      </c>
      <c r="AT590" s="12">
        <f>IF($H590="Cancelled","",IFERROR((T590*INDEX(Variables!$B$7:$D$7,IFERROR(MATCH(IF($B590="Robusta","Robusta",(IF($B590="","Arabica",$B590))&amp;" - "&amp;(IF($C590="","Commercial",$C590))),Variables!$B$1:$D$1,0),1))*AC590/365)+(L590/16.67*INDEX(Variables!$B$8:$D$8,IFERROR(MATCH(IF($B590="Robusta","Robusta",(IF($B590="","Arabica",$B590))&amp;" - "&amp;(IF($C590="","Commercial",$C590))),Variables!$B$1:$D$1,0),1))*AC590)+(T590*INDEX(Variables!$B$9:$D$9,IFERROR(MATCH(IF($B590="Robusta","Robusta",(IF($B590="","Arabica",$B590))&amp;" - "&amp;(IF($C590="","Commercial",$C590))),Variables!$B$1:$D$1,0),1))*AC590/365),""))</f>
        <v>-836.62465326607014</v>
      </c>
      <c r="AU590" s="12" t="str">
        <f>IF($H590="Cancelled","",IFERROR((T590*INDEX(Variables!$B$7:$D$7,IFERROR(MATCH(IF($B590="Robusta","Robusta",(IF($B590="","Arabica",$B590))&amp;" - "&amp;(IF($C590="","Commercial",$C590))),Variables!$B$1:$D$1,0),1))*AP590/365)+(L590/16.67*INDEX(Variables!$B$8:$D$8,IFERROR(MATCH(IF($B590="Robusta","Robusta",(IF($B590="","Arabica",$B590))&amp;" - "&amp;(IF($C590="","Commercial",$C590))),Variables!$B$1:$D$1,0),1))*AP590)+(T590*INDEX(Variables!$B$9:$D$9,IFERROR(MATCH(IF($B590="Robusta","Robusta",(IF($B590="","Arabica",$B590))&amp;" - "&amp;(IF($C590="","Commercial",$C590))),Variables!$B$1:$D$1,0),1))*AP590/365),""))</f>
        <v/>
      </c>
      <c r="AV590" s="11" t="str">
        <f t="shared" si="65"/>
        <v/>
      </c>
      <c r="AW590" s="12" t="str">
        <f>IF($H590="Cancelled","",IFERROR(IF(AV590="","",(T590*INDEX(Variables!$B$7:$D$7,IFERROR(MATCH(IF($B590="Robusta","Robusta",(IF($B590="","Arabica",$B590))&amp;" - "&amp;(IF($C590="","Commercial",$C590))),Variables!$B$1:$D$1,0),1))*(AV590/365))+(T590*INDEX(Variables!$B$9:$D$9,IFERROR(MATCH(IF($B590="Robusta","Robusta",(IF($B590="","Arabica",$B590))&amp;" - "&amp;(IF($C590="","Commercial",$C590))),Variables!$B$1:$D$1,0),1))*(AV590/365))+(INDEX(Variables!$B$8:$D$8,IFERROR(MATCH(IF($B590="Robusta","Robusta",(IF($B590="","Arabica",$B590))&amp;" - "&amp;(IF($C590="","Commercial",$C590))),Variables!$B$1:$D$1,0),1))*L590/16.67)),""))</f>
        <v/>
      </c>
      <c r="AX590" s="9"/>
      <c r="AY590" s="12"/>
      <c r="AZ590" s="10"/>
      <c r="BA590" s="9"/>
      <c r="BB590" s="10"/>
      <c r="BC590" s="9"/>
      <c r="BD590" s="9"/>
      <c r="BE590" s="9"/>
      <c r="BF590" s="9"/>
    </row>
    <row r="591" spans="1:58" x14ac:dyDescent="0.25">
      <c r="A591" s="9" t="s">
        <v>84</v>
      </c>
      <c r="B591" s="9" t="s">
        <v>85</v>
      </c>
      <c r="C591" s="9" t="s">
        <v>86</v>
      </c>
      <c r="D591" s="10">
        <v>46058</v>
      </c>
      <c r="E591" s="10">
        <v>46082</v>
      </c>
      <c r="F591" s="10">
        <v>46112</v>
      </c>
      <c r="G591" s="9">
        <v>3787223</v>
      </c>
      <c r="H591" s="9" t="str">
        <f t="shared" si="63"/>
        <v>Open</v>
      </c>
      <c r="I591" s="9" t="str">
        <f t="shared" si="64"/>
        <v>No sailing date and No shipping advice sent and No docs dispatch date</v>
      </c>
      <c r="J591" s="9" t="s">
        <v>210</v>
      </c>
      <c r="K591" s="9">
        <v>5436</v>
      </c>
      <c r="L591" s="11">
        <v>320</v>
      </c>
      <c r="M591" s="9" t="s">
        <v>1464</v>
      </c>
      <c r="N591" s="9" t="s">
        <v>121</v>
      </c>
      <c r="O591" s="9"/>
      <c r="P591" s="9"/>
      <c r="Q591" s="11">
        <v>19</v>
      </c>
      <c r="R591" s="9" t="s">
        <v>90</v>
      </c>
      <c r="S591" s="9"/>
      <c r="T591" s="12">
        <f>IF($H591="Cancelled","",IFERROR(((Q591+INDEX(Variables!$B$6:$D$6,IFERROR(MATCH(IF($B591="Robusta","Robusta",(IF($B591="","Arabica",$B591))&amp;" - "&amp;(IF($C591="","Commercial",$C591))),Variables!$B$1:$D$1,0),1)))*22.0462)*(L591/16.67),""))</f>
        <v>131108.10337132573</v>
      </c>
      <c r="U591" s="10">
        <v>46072</v>
      </c>
      <c r="V591" s="9" t="str">
        <f t="shared" si="66"/>
        <v>Sent</v>
      </c>
      <c r="W591" s="10">
        <v>46076</v>
      </c>
      <c r="X591" s="9" t="str">
        <f t="shared" si="62"/>
        <v>Approved</v>
      </c>
      <c r="Y591" s="10"/>
      <c r="Z591" s="10">
        <f>IF($H591="Cancelled","",IFERROR(IF(F591="","",F591-Variables!$B$13),""))</f>
        <v>46097</v>
      </c>
      <c r="AA591" s="11">
        <f>IF($H591="Cancelled","",IFERROR(IF(W591="","",(AVERAGE(E591:F591)-W591)-Variables!$B$14),""))</f>
        <v>-9</v>
      </c>
      <c r="AB591" s="10">
        <v>46088</v>
      </c>
      <c r="AC591" s="11">
        <f>IF($H591="Cancelled","",IFERROR(IF(AB591="","",IF(AND(W591="",Y591=""),"",IF(Y591&gt;W591,Y591+Variables!$B$15+Variables!$B$16+Variables!$B$17-AB591,W591+Variables!$B$16+Variables!$B$17-AB591))),""))</f>
        <v>-4</v>
      </c>
      <c r="AD591" s="9"/>
      <c r="AE591" s="9"/>
      <c r="AF591" s="10"/>
      <c r="AG591" s="10"/>
      <c r="AH591" s="9"/>
      <c r="AI591" s="9"/>
      <c r="AJ591" s="9"/>
      <c r="AK591" s="10"/>
      <c r="AL591" s="10"/>
      <c r="AM591" s="10"/>
      <c r="AN591" s="9" t="s">
        <v>1188</v>
      </c>
      <c r="AO591" s="9"/>
      <c r="AP591" s="11" t="str">
        <f>IF($H591="Cancelled","",IFERROR(IF(OR(AK591="",AB591=""),"",(AB591+Variables!$B$18-AK591)),""))</f>
        <v/>
      </c>
      <c r="AQ591" s="11" t="str">
        <f>IF($H591="Cancelled","",IFERROR(IF(OR(AM591="",AK591=""),"",(AK591+Variables!$B$19)-AM591),""))</f>
        <v/>
      </c>
      <c r="AR591" s="12" t="str">
        <f>IF($H591="Cancelled","",IFERROR(T591*INDEX(Variables!$B$7:$D$7,IFERROR(MATCH(IF($B591="Robusta","Robusta",(IF($B591="","Arabica",$B591))&amp;" - "&amp;(IF($C591="","Commercial",$C591))),Variables!$B$1:$D$1,0),1))*(AQ591/365),""))</f>
        <v/>
      </c>
      <c r="AS591" s="12">
        <f>IF($H591="Cancelled","",IFERROR((T591*INDEX(Variables!$B$7:$D$7,IFERROR(MATCH(IF($B591="Robusta","Robusta",(IF($B591="","Arabica",$B591))&amp;" - "&amp;(IF($C591="","Commercial",$C591))),Variables!$B$1:$D$1,0),1))*IFERROR(IF(W591="","",(AVERAGE(E591:F591)-W591)-Variables!$B$14),"")/365)+(L591/16.67*INDEX(Variables!$B$8:$D$8,IFERROR(MATCH(IF($B591="Robusta","Robusta",(IF($B591="","Arabica",$B591))&amp;" - "&amp;(IF($C591="","Commercial",$C591))),Variables!$B$1:$D$1,0),1))*IFERROR(IF(W591="","",(AVERAGE(E591:F591)-W591)-Variables!$B$14),""))+(T591*INDEX(Variables!$B$9:$D$9,IFERROR(MATCH(IF($B591="Robusta","Robusta",(IF($B591="","Arabica",$B591))&amp;" - "&amp;(IF($C591="","Commercial",$C591))),Variables!$B$1:$D$1,0),1))*IFERROR(IF(W591="","",(AVERAGE(E591:F591)-W591)-Variables!$B$14),"")/365),""))</f>
        <v>-355.14564927640481</v>
      </c>
      <c r="AT591" s="12">
        <f>IF($H591="Cancelled","",IFERROR((T591*INDEX(Variables!$B$7:$D$7,IFERROR(MATCH(IF($B591="Robusta","Robusta",(IF($B591="","Arabica",$B591))&amp;" - "&amp;(IF($C591="","Commercial",$C591))),Variables!$B$1:$D$1,0),1))*AC591/365)+(L591/16.67*INDEX(Variables!$B$8:$D$8,IFERROR(MATCH(IF($B591="Robusta","Robusta",(IF($B591="","Arabica",$B591))&amp;" - "&amp;(IF($C591="","Commercial",$C591))),Variables!$B$1:$D$1,0),1))*AC591)+(T591*INDEX(Variables!$B$9:$D$9,IFERROR(MATCH(IF($B591="Robusta","Robusta",(IF($B591="","Arabica",$B591))&amp;" - "&amp;(IF($C591="","Commercial",$C591))),Variables!$B$1:$D$1,0),1))*AC591/365),""))</f>
        <v>-157.84251078951323</v>
      </c>
      <c r="AU591" s="12" t="str">
        <f>IF($H591="Cancelled","",IFERROR((T591*INDEX(Variables!$B$7:$D$7,IFERROR(MATCH(IF($B591="Robusta","Robusta",(IF($B591="","Arabica",$B591))&amp;" - "&amp;(IF($C591="","Commercial",$C591))),Variables!$B$1:$D$1,0),1))*AP591/365)+(L591/16.67*INDEX(Variables!$B$8:$D$8,IFERROR(MATCH(IF($B591="Robusta","Robusta",(IF($B591="","Arabica",$B591))&amp;" - "&amp;(IF($C591="","Commercial",$C591))),Variables!$B$1:$D$1,0),1))*AP591)+(T591*INDEX(Variables!$B$9:$D$9,IFERROR(MATCH(IF($B591="Robusta","Robusta",(IF($B591="","Arabica",$B591))&amp;" - "&amp;(IF($C591="","Commercial",$C591))),Variables!$B$1:$D$1,0),1))*AP591/365),""))</f>
        <v/>
      </c>
      <c r="AV591" s="11" t="str">
        <f t="shared" si="65"/>
        <v/>
      </c>
      <c r="AW591" s="12" t="str">
        <f>IF($H591="Cancelled","",IFERROR(IF(AV591="","",(T591*INDEX(Variables!$B$7:$D$7,IFERROR(MATCH(IF($B591="Robusta","Robusta",(IF($B591="","Arabica",$B591))&amp;" - "&amp;(IF($C591="","Commercial",$C591))),Variables!$B$1:$D$1,0),1))*(AV591/365))+(T591*INDEX(Variables!$B$9:$D$9,IFERROR(MATCH(IF($B591="Robusta","Robusta",(IF($B591="","Arabica",$B591))&amp;" - "&amp;(IF($C591="","Commercial",$C591))),Variables!$B$1:$D$1,0),1))*(AV591/365))+(INDEX(Variables!$B$8:$D$8,IFERROR(MATCH(IF($B591="Robusta","Robusta",(IF($B591="","Arabica",$B591))&amp;" - "&amp;(IF($C591="","Commercial",$C591))),Variables!$B$1:$D$1,0),1))*L591/16.67)),""))</f>
        <v/>
      </c>
      <c r="AX591" s="9"/>
      <c r="AY591" s="12"/>
      <c r="AZ591" s="10"/>
      <c r="BA591" s="9"/>
      <c r="BB591" s="10"/>
      <c r="BC591" s="9"/>
      <c r="BD591" s="9"/>
      <c r="BE591" s="9"/>
      <c r="BF591" s="9"/>
    </row>
    <row r="592" spans="1:58" x14ac:dyDescent="0.25">
      <c r="A592" s="9" t="s">
        <v>84</v>
      </c>
      <c r="B592" s="9" t="s">
        <v>85</v>
      </c>
      <c r="C592" s="9" t="s">
        <v>86</v>
      </c>
      <c r="D592" s="10">
        <v>46071</v>
      </c>
      <c r="E592" s="10">
        <v>46082</v>
      </c>
      <c r="F592" s="10">
        <v>46095</v>
      </c>
      <c r="G592" s="9">
        <v>3787315</v>
      </c>
      <c r="H592" s="9" t="str">
        <f t="shared" si="63"/>
        <v>Open</v>
      </c>
      <c r="I592" s="9" t="str">
        <f t="shared" si="64"/>
        <v>No shipping advice sent and No docs dispatch date</v>
      </c>
      <c r="J592" s="9" t="s">
        <v>210</v>
      </c>
      <c r="K592" s="9" t="s">
        <v>1465</v>
      </c>
      <c r="L592" s="11">
        <v>160</v>
      </c>
      <c r="M592" s="9" t="s">
        <v>1466</v>
      </c>
      <c r="N592" s="9" t="s">
        <v>126</v>
      </c>
      <c r="O592" s="9"/>
      <c r="P592" s="9"/>
      <c r="Q592" s="11">
        <v>20</v>
      </c>
      <c r="R592" s="9" t="s">
        <v>90</v>
      </c>
      <c r="S592" s="9" t="s">
        <v>150</v>
      </c>
      <c r="T592" s="12">
        <f>IF($H592="Cancelled","",IFERROR(((Q592+INDEX(Variables!$B$6:$D$6,IFERROR(MATCH(IF($B592="Robusta","Robusta",(IF($B592="","Arabica",$B592))&amp;" - "&amp;(IF($C592="","Commercial",$C592))),Variables!$B$1:$D$1,0),1)))*22.0462)*(L592/16.67),""))</f>
        <v>65765.652885422911</v>
      </c>
      <c r="U592" s="10">
        <v>46072</v>
      </c>
      <c r="V592" s="9" t="str">
        <f t="shared" si="66"/>
        <v>Sent</v>
      </c>
      <c r="W592" s="10">
        <v>46079</v>
      </c>
      <c r="X592" s="9" t="str">
        <f t="shared" si="62"/>
        <v>Approved</v>
      </c>
      <c r="Y592" s="10"/>
      <c r="Z592" s="10">
        <f>IF($H592="Cancelled","",IFERROR(IF(F592="","",F592-Variables!$B$13),""))</f>
        <v>46080</v>
      </c>
      <c r="AA592" s="11">
        <f>IF($H592="Cancelled","",IFERROR(IF(W592="","",(AVERAGE(E592:F592)-W592)-Variables!$B$14),""))</f>
        <v>-20.5</v>
      </c>
      <c r="AB592" s="10">
        <v>46106</v>
      </c>
      <c r="AC592" s="11">
        <f>IF($H592="Cancelled","",IFERROR(IF(AB592="","",IF(AND(W592="",Y592=""),"",IF(Y592&gt;W592,Y592+Variables!$B$15+Variables!$B$16+Variables!$B$17-AB592,W592+Variables!$B$16+Variables!$B$17-AB592))),""))</f>
        <v>-19</v>
      </c>
      <c r="AD592" s="9" t="s">
        <v>1313</v>
      </c>
      <c r="AE592" s="9" t="s">
        <v>1432</v>
      </c>
      <c r="AF592" s="10">
        <v>46166</v>
      </c>
      <c r="AG592" s="10"/>
      <c r="AH592" s="9"/>
      <c r="AI592" s="9" t="s">
        <v>1467</v>
      </c>
      <c r="AJ592" s="9"/>
      <c r="AK592" s="10">
        <v>46112</v>
      </c>
      <c r="AL592" s="10"/>
      <c r="AM592" s="10"/>
      <c r="AN592" s="9" t="s">
        <v>1306</v>
      </c>
      <c r="AO592" s="9"/>
      <c r="AP592" s="11">
        <f>IF($H592="Cancelled","",IFERROR(IF(OR(AK592="",AB592=""),"",(AB592+Variables!$B$18-AK592)),""))</f>
        <v>1</v>
      </c>
      <c r="AQ592" s="11" t="str">
        <f>IF($H592="Cancelled","",IFERROR(IF(OR(AM592="",AK592=""),"",(AK592+Variables!$B$19)-AM592),""))</f>
        <v/>
      </c>
      <c r="AR592" s="12" t="str">
        <f>IF($H592="Cancelled","",IFERROR(T592*INDEX(Variables!$B$7:$D$7,IFERROR(MATCH(IF($B592="Robusta","Robusta",(IF($B592="","Arabica",$B592))&amp;" - "&amp;(IF($C592="","Commercial",$C592))),Variables!$B$1:$D$1,0),1))*(AQ592/365),""))</f>
        <v/>
      </c>
      <c r="AS592" s="12">
        <f>IF($H592="Cancelled","",IFERROR((T592*INDEX(Variables!$B$7:$D$7,IFERROR(MATCH(IF($B592="Robusta","Robusta",(IF($B592="","Arabica",$B592))&amp;" - "&amp;(IF($C592="","Commercial",$C592))),Variables!$B$1:$D$1,0),1))*IFERROR(IF(W592="","",(AVERAGE(E592:F592)-W592)-Variables!$B$14),"")/365)+(L592/16.67*INDEX(Variables!$B$8:$D$8,IFERROR(MATCH(IF($B592="Robusta","Robusta",(IF($B592="","Arabica",$B592))&amp;" - "&amp;(IF($C592="","Commercial",$C592))),Variables!$B$1:$D$1,0),1))*IFERROR(IF(W592="","",(AVERAGE(E592:F592)-W592)-Variables!$B$14),""))+(T592*INDEX(Variables!$B$9:$D$9,IFERROR(MATCH(IF($B592="Robusta","Robusta",(IF($B592="","Arabica",$B592))&amp;" - "&amp;(IF($C592="","Commercial",$C592))),Variables!$B$1:$D$1,0),1))*IFERROR(IF(W592="","",(AVERAGE(E592:F592)-W592)-Variables!$B$14),"")/365),""))</f>
        <v>-405.24764898495181</v>
      </c>
      <c r="AT592" s="12">
        <f>IF($H592="Cancelled","",IFERROR((T592*INDEX(Variables!$B$7:$D$7,IFERROR(MATCH(IF($B592="Robusta","Robusta",(IF($B592="","Arabica",$B592))&amp;" - "&amp;(IF($C592="","Commercial",$C592))),Variables!$B$1:$D$1,0),1))*AC592/365)+(L592/16.67*INDEX(Variables!$B$8:$D$8,IFERROR(MATCH(IF($B592="Robusta","Robusta",(IF($B592="","Arabica",$B592))&amp;" - "&amp;(IF($C592="","Commercial",$C592))),Variables!$B$1:$D$1,0),1))*AC592)+(T592*INDEX(Variables!$B$9:$D$9,IFERROR(MATCH(IF($B592="Robusta","Robusta",(IF($B592="","Arabica",$B592))&amp;" - "&amp;(IF($C592="","Commercial",$C592))),Variables!$B$1:$D$1,0),1))*AC592/365),""))</f>
        <v>-375.59538198605293</v>
      </c>
      <c r="AU592" s="12">
        <f>IF($H592="Cancelled","",IFERROR((T592*INDEX(Variables!$B$7:$D$7,IFERROR(MATCH(IF($B592="Robusta","Robusta",(IF($B592="","Arabica",$B592))&amp;" - "&amp;(IF($C592="","Commercial",$C592))),Variables!$B$1:$D$1,0),1))*AP592/365)+(L592/16.67*INDEX(Variables!$B$8:$D$8,IFERROR(MATCH(IF($B592="Robusta","Robusta",(IF($B592="","Arabica",$B592))&amp;" - "&amp;(IF($C592="","Commercial",$C592))),Variables!$B$1:$D$1,0),1))*AP592)+(T592*INDEX(Variables!$B$9:$D$9,IFERROR(MATCH(IF($B592="Robusta","Robusta",(IF($B592="","Arabica",$B592))&amp;" - "&amp;(IF($C592="","Commercial",$C592))),Variables!$B$1:$D$1,0),1))*AP592/365),""))</f>
        <v>19.768177999265941</v>
      </c>
      <c r="AV592" s="11">
        <f t="shared" si="65"/>
        <v>-17</v>
      </c>
      <c r="AW592" s="12">
        <f>IF($H592="Cancelled","",IFERROR(IF(AV592="","",(T592*INDEX(Variables!$B$7:$D$7,IFERROR(MATCH(IF($B592="Robusta","Robusta",(IF($B592="","Arabica",$B592))&amp;" - "&amp;(IF($C592="","Commercial",$C592))),Variables!$B$1:$D$1,0),1))*(AV592/365))+(T592*INDEX(Variables!$B$9:$D$9,IFERROR(MATCH(IF($B592="Robusta","Robusta",(IF($B592="","Arabica",$B592))&amp;" - "&amp;(IF($C592="","Commercial",$C592))),Variables!$B$1:$D$1,0),1))*(AV592/365))+(INDEX(Variables!$B$8:$D$8,IFERROR(MATCH(IF($B592="Robusta","Robusta",(IF($B592="","Arabica",$B592))&amp;" - "&amp;(IF($C592="","Commercial",$C592))),Variables!$B$1:$D$1,0),1))*L592/16.67)),""))</f>
        <v>-192.05902598752104</v>
      </c>
      <c r="AX592" s="9"/>
      <c r="AY592" s="12"/>
      <c r="AZ592" s="10"/>
      <c r="BA592" s="9"/>
      <c r="BB592" s="10"/>
      <c r="BC592" s="9"/>
      <c r="BD592" s="9"/>
      <c r="BE592" s="9"/>
      <c r="BF592" s="9"/>
    </row>
    <row r="593" spans="1:58" x14ac:dyDescent="0.25">
      <c r="A593" s="9" t="s">
        <v>84</v>
      </c>
      <c r="B593" s="9" t="s">
        <v>85</v>
      </c>
      <c r="C593" s="9" t="s">
        <v>86</v>
      </c>
      <c r="D593" s="10">
        <v>46071</v>
      </c>
      <c r="E593" s="10">
        <v>46082</v>
      </c>
      <c r="F593" s="10">
        <v>46095</v>
      </c>
      <c r="G593" s="9">
        <v>3787316</v>
      </c>
      <c r="H593" s="9" t="str">
        <f t="shared" si="63"/>
        <v>Open</v>
      </c>
      <c r="I593" s="9" t="str">
        <f t="shared" si="64"/>
        <v>No shipping advice sent and No docs dispatch date</v>
      </c>
      <c r="J593" s="9" t="s">
        <v>210</v>
      </c>
      <c r="K593" s="9" t="s">
        <v>1468</v>
      </c>
      <c r="L593" s="11">
        <v>160</v>
      </c>
      <c r="M593" s="9" t="s">
        <v>1469</v>
      </c>
      <c r="N593" s="9" t="s">
        <v>868</v>
      </c>
      <c r="O593" s="9"/>
      <c r="P593" s="9"/>
      <c r="Q593" s="11">
        <v>20</v>
      </c>
      <c r="R593" s="9" t="s">
        <v>90</v>
      </c>
      <c r="S593" s="9" t="s">
        <v>150</v>
      </c>
      <c r="T593" s="12">
        <f>IF($H593="Cancelled","",IFERROR(((Q593+INDEX(Variables!$B$6:$D$6,IFERROR(MATCH(IF($B593="Robusta","Robusta",(IF($B593="","Arabica",$B593))&amp;" - "&amp;(IF($C593="","Commercial",$C593))),Variables!$B$1:$D$1,0),1)))*22.0462)*(L593/16.67),""))</f>
        <v>65765.652885422911</v>
      </c>
      <c r="U593" s="10">
        <v>46072</v>
      </c>
      <c r="V593" s="9" t="str">
        <f t="shared" si="66"/>
        <v>Sent</v>
      </c>
      <c r="W593" s="10">
        <v>46079</v>
      </c>
      <c r="X593" s="9" t="str">
        <f t="shared" si="62"/>
        <v>Approved</v>
      </c>
      <c r="Y593" s="10"/>
      <c r="Z593" s="10">
        <f>IF($H593="Cancelled","",IFERROR(IF(F593="","",F593-Variables!$B$13),""))</f>
        <v>46080</v>
      </c>
      <c r="AA593" s="11">
        <f>IF($H593="Cancelled","",IFERROR(IF(W593="","",(AVERAGE(E593:F593)-W593)-Variables!$B$14),""))</f>
        <v>-20.5</v>
      </c>
      <c r="AB593" s="10">
        <v>46106</v>
      </c>
      <c r="AC593" s="11">
        <f>IF($H593="Cancelled","",IFERROR(IF(AB593="","",IF(AND(W593="",Y593=""),"",IF(Y593&gt;W593,Y593+Variables!$B$15+Variables!$B$16+Variables!$B$17-AB593,W593+Variables!$B$16+Variables!$B$17-AB593))),""))</f>
        <v>-19</v>
      </c>
      <c r="AD593" s="9" t="s">
        <v>1313</v>
      </c>
      <c r="AE593" s="9" t="s">
        <v>1432</v>
      </c>
      <c r="AF593" s="10">
        <v>46166</v>
      </c>
      <c r="AG593" s="10"/>
      <c r="AH593" s="9"/>
      <c r="AI593" s="9" t="s">
        <v>1467</v>
      </c>
      <c r="AJ593" s="9"/>
      <c r="AK593" s="10">
        <v>46112</v>
      </c>
      <c r="AL593" s="10"/>
      <c r="AM593" s="10"/>
      <c r="AN593" s="9" t="s">
        <v>1306</v>
      </c>
      <c r="AO593" s="9"/>
      <c r="AP593" s="11">
        <f>IF($H593="Cancelled","",IFERROR(IF(OR(AK593="",AB593=""),"",(AB593+Variables!$B$18-AK593)),""))</f>
        <v>1</v>
      </c>
      <c r="AQ593" s="11" t="str">
        <f>IF($H593="Cancelled","",IFERROR(IF(OR(AM593="",AK593=""),"",(AK593+Variables!$B$19)-AM593),""))</f>
        <v/>
      </c>
      <c r="AR593" s="12" t="str">
        <f>IF($H593="Cancelled","",IFERROR(T593*INDEX(Variables!$B$7:$D$7,IFERROR(MATCH(IF($B593="Robusta","Robusta",(IF($B593="","Arabica",$B593))&amp;" - "&amp;(IF($C593="","Commercial",$C593))),Variables!$B$1:$D$1,0),1))*(AQ593/365),""))</f>
        <v/>
      </c>
      <c r="AS593" s="12">
        <f>IF($H593="Cancelled","",IFERROR((T593*INDEX(Variables!$B$7:$D$7,IFERROR(MATCH(IF($B593="Robusta","Robusta",(IF($B593="","Arabica",$B593))&amp;" - "&amp;(IF($C593="","Commercial",$C593))),Variables!$B$1:$D$1,0),1))*IFERROR(IF(W593="","",(AVERAGE(E593:F593)-W593)-Variables!$B$14),"")/365)+(L593/16.67*INDEX(Variables!$B$8:$D$8,IFERROR(MATCH(IF($B593="Robusta","Robusta",(IF($B593="","Arabica",$B593))&amp;" - "&amp;(IF($C593="","Commercial",$C593))),Variables!$B$1:$D$1,0),1))*IFERROR(IF(W593="","",(AVERAGE(E593:F593)-W593)-Variables!$B$14),""))+(T593*INDEX(Variables!$B$9:$D$9,IFERROR(MATCH(IF($B593="Robusta","Robusta",(IF($B593="","Arabica",$B593))&amp;" - "&amp;(IF($C593="","Commercial",$C593))),Variables!$B$1:$D$1,0),1))*IFERROR(IF(W593="","",(AVERAGE(E593:F593)-W593)-Variables!$B$14),"")/365),""))</f>
        <v>-405.24764898495181</v>
      </c>
      <c r="AT593" s="12">
        <f>IF($H593="Cancelled","",IFERROR((T593*INDEX(Variables!$B$7:$D$7,IFERROR(MATCH(IF($B593="Robusta","Robusta",(IF($B593="","Arabica",$B593))&amp;" - "&amp;(IF($C593="","Commercial",$C593))),Variables!$B$1:$D$1,0),1))*AC593/365)+(L593/16.67*INDEX(Variables!$B$8:$D$8,IFERROR(MATCH(IF($B593="Robusta","Robusta",(IF($B593="","Arabica",$B593))&amp;" - "&amp;(IF($C593="","Commercial",$C593))),Variables!$B$1:$D$1,0),1))*AC593)+(T593*INDEX(Variables!$B$9:$D$9,IFERROR(MATCH(IF($B593="Robusta","Robusta",(IF($B593="","Arabica",$B593))&amp;" - "&amp;(IF($C593="","Commercial",$C593))),Variables!$B$1:$D$1,0),1))*AC593/365),""))</f>
        <v>-375.59538198605293</v>
      </c>
      <c r="AU593" s="12">
        <f>IF($H593="Cancelled","",IFERROR((T593*INDEX(Variables!$B$7:$D$7,IFERROR(MATCH(IF($B593="Robusta","Robusta",(IF($B593="","Arabica",$B593))&amp;" - "&amp;(IF($C593="","Commercial",$C593))),Variables!$B$1:$D$1,0),1))*AP593/365)+(L593/16.67*INDEX(Variables!$B$8:$D$8,IFERROR(MATCH(IF($B593="Robusta","Robusta",(IF($B593="","Arabica",$B593))&amp;" - "&amp;(IF($C593="","Commercial",$C593))),Variables!$B$1:$D$1,0),1))*AP593)+(T593*INDEX(Variables!$B$9:$D$9,IFERROR(MATCH(IF($B593="Robusta","Robusta",(IF($B593="","Arabica",$B593))&amp;" - "&amp;(IF($C593="","Commercial",$C593))),Variables!$B$1:$D$1,0),1))*AP593/365),""))</f>
        <v>19.768177999265941</v>
      </c>
      <c r="AV593" s="11">
        <f t="shared" si="65"/>
        <v>-17</v>
      </c>
      <c r="AW593" s="12">
        <f>IF($H593="Cancelled","",IFERROR(IF(AV593="","",(T593*INDEX(Variables!$B$7:$D$7,IFERROR(MATCH(IF($B593="Robusta","Robusta",(IF($B593="","Arabica",$B593))&amp;" - "&amp;(IF($C593="","Commercial",$C593))),Variables!$B$1:$D$1,0),1))*(AV593/365))+(T593*INDEX(Variables!$B$9:$D$9,IFERROR(MATCH(IF($B593="Robusta","Robusta",(IF($B593="","Arabica",$B593))&amp;" - "&amp;(IF($C593="","Commercial",$C593))),Variables!$B$1:$D$1,0),1))*(AV593/365))+(INDEX(Variables!$B$8:$D$8,IFERROR(MATCH(IF($B593="Robusta","Robusta",(IF($B593="","Arabica",$B593))&amp;" - "&amp;(IF($C593="","Commercial",$C593))),Variables!$B$1:$D$1,0),1))*L593/16.67)),""))</f>
        <v>-192.05902598752104</v>
      </c>
      <c r="AX593" s="9"/>
      <c r="AY593" s="12"/>
      <c r="AZ593" s="10"/>
      <c r="BA593" s="9"/>
      <c r="BB593" s="10"/>
      <c r="BC593" s="9"/>
      <c r="BD593" s="9"/>
      <c r="BE593" s="9"/>
      <c r="BF593" s="9"/>
    </row>
    <row r="594" spans="1:58" x14ac:dyDescent="0.25">
      <c r="A594" s="9" t="s">
        <v>84</v>
      </c>
      <c r="B594" s="9" t="s">
        <v>85</v>
      </c>
      <c r="C594" s="9" t="s">
        <v>86</v>
      </c>
      <c r="D594" s="10">
        <v>46071</v>
      </c>
      <c r="E594" s="10">
        <v>46113</v>
      </c>
      <c r="F594" s="10">
        <v>46112</v>
      </c>
      <c r="G594" s="9">
        <v>3787307</v>
      </c>
      <c r="H594" s="9" t="str">
        <f t="shared" si="63"/>
        <v>Open</v>
      </c>
      <c r="I594" s="9" t="str">
        <f t="shared" si="64"/>
        <v>No shipping advice sent and No docs dispatch date</v>
      </c>
      <c r="J594" s="9" t="s">
        <v>210</v>
      </c>
      <c r="K594" s="9" t="s">
        <v>1470</v>
      </c>
      <c r="L594" s="11">
        <v>320</v>
      </c>
      <c r="M594" s="9" t="s">
        <v>1471</v>
      </c>
      <c r="N594" s="9" t="s">
        <v>868</v>
      </c>
      <c r="O594" s="9"/>
      <c r="P594" s="9"/>
      <c r="Q594" s="11">
        <v>20</v>
      </c>
      <c r="R594" s="9" t="s">
        <v>90</v>
      </c>
      <c r="S594" s="9" t="s">
        <v>234</v>
      </c>
      <c r="T594" s="12">
        <f>IF($H594="Cancelled","",IFERROR(((Q594+INDEX(Variables!$B$6:$D$6,IFERROR(MATCH(IF($B594="Robusta","Robusta",(IF($B594="","Arabica",$B594))&amp;" - "&amp;(IF($C594="","Commercial",$C594))),Variables!$B$1:$D$1,0),1)))*22.0462)*(L594/16.67),""))</f>
        <v>131531.30577084582</v>
      </c>
      <c r="U594" s="10">
        <v>46072</v>
      </c>
      <c r="V594" s="9" t="str">
        <f t="shared" si="66"/>
        <v>Sent</v>
      </c>
      <c r="W594" s="10">
        <v>46090</v>
      </c>
      <c r="X594" s="9" t="str">
        <f t="shared" si="62"/>
        <v>Approved</v>
      </c>
      <c r="Y594" s="10"/>
      <c r="Z594" s="10">
        <f>IF($H594="Cancelled","",IFERROR(IF(F594="","",F594-Variables!$B$13),""))</f>
        <v>46097</v>
      </c>
      <c r="AA594" s="11">
        <f>IF($H594="Cancelled","",IFERROR(IF(W594="","",(AVERAGE(E594:F594)-W594)-Variables!$B$14),""))</f>
        <v>-7.5</v>
      </c>
      <c r="AB594" s="10">
        <v>46111</v>
      </c>
      <c r="AC594" s="11">
        <f>IF($H594="Cancelled","",IFERROR(IF(AB594="","",IF(AND(W594="",Y594=""),"",IF(Y594&gt;W594,Y594+Variables!$B$15+Variables!$B$16+Variables!$B$17-AB594,W594+Variables!$B$16+Variables!$B$17-AB594))),""))</f>
        <v>-13</v>
      </c>
      <c r="AD594" s="9" t="s">
        <v>107</v>
      </c>
      <c r="AE594" s="9" t="s">
        <v>1472</v>
      </c>
      <c r="AF594" s="10"/>
      <c r="AG594" s="10"/>
      <c r="AH594" s="9"/>
      <c r="AI594" s="9" t="s">
        <v>1473</v>
      </c>
      <c r="AJ594" s="9"/>
      <c r="AK594" s="10">
        <v>46116</v>
      </c>
      <c r="AL594" s="10"/>
      <c r="AM594" s="10"/>
      <c r="AN594" s="9" t="s">
        <v>1249</v>
      </c>
      <c r="AO594" s="9"/>
      <c r="AP594" s="11">
        <f>IF($H594="Cancelled","",IFERROR(IF(OR(AK594="",AB594=""),"",(AB594+Variables!$B$18-AK594)),""))</f>
        <v>2</v>
      </c>
      <c r="AQ594" s="11" t="str">
        <f>IF($H594="Cancelled","",IFERROR(IF(OR(AM594="",AK594=""),"",(AK594+Variables!$B$19)-AM594),""))</f>
        <v/>
      </c>
      <c r="AR594" s="12" t="str">
        <f>IF($H594="Cancelled","",IFERROR(T594*INDEX(Variables!$B$7:$D$7,IFERROR(MATCH(IF($B594="Robusta","Robusta",(IF($B594="","Arabica",$B594))&amp;" - "&amp;(IF($C594="","Commercial",$C594))),Variables!$B$1:$D$1,0),1))*(AQ594/365),""))</f>
        <v/>
      </c>
      <c r="AS594" s="12">
        <f>IF($H594="Cancelled","",IFERROR((T594*INDEX(Variables!$B$7:$D$7,IFERROR(MATCH(IF($B594="Robusta","Robusta",(IF($B594="","Arabica",$B594))&amp;" - "&amp;(IF($C594="","Commercial",$C594))),Variables!$B$1:$D$1,0),1))*IFERROR(IF(W594="","",(AVERAGE(E594:F594)-W594)-Variables!$B$14),"")/365)+(L594/16.67*INDEX(Variables!$B$8:$D$8,IFERROR(MATCH(IF($B594="Robusta","Robusta",(IF($B594="","Arabica",$B594))&amp;" - "&amp;(IF($C594="","Commercial",$C594))),Variables!$B$1:$D$1,0),1))*IFERROR(IF(W594="","",(AVERAGE(E594:F594)-W594)-Variables!$B$14),""))+(T594*INDEX(Variables!$B$9:$D$9,IFERROR(MATCH(IF($B594="Robusta","Robusta",(IF($B594="","Arabica",$B594))&amp;" - "&amp;(IF($C594="","Commercial",$C594))),Variables!$B$1:$D$1,0),1))*IFERROR(IF(W594="","",(AVERAGE(E594:F594)-W594)-Variables!$B$14),"")/365),""))</f>
        <v>-296.52266998898909</v>
      </c>
      <c r="AT594" s="12">
        <f>IF($H594="Cancelled","",IFERROR((T594*INDEX(Variables!$B$7:$D$7,IFERROR(MATCH(IF($B594="Robusta","Robusta",(IF($B594="","Arabica",$B594))&amp;" - "&amp;(IF($C594="","Commercial",$C594))),Variables!$B$1:$D$1,0),1))*AC594/365)+(L594/16.67*INDEX(Variables!$B$8:$D$8,IFERROR(MATCH(IF($B594="Robusta","Robusta",(IF($B594="","Arabica",$B594))&amp;" - "&amp;(IF($C594="","Commercial",$C594))),Variables!$B$1:$D$1,0),1))*AC594)+(T594*INDEX(Variables!$B$9:$D$9,IFERROR(MATCH(IF($B594="Robusta","Robusta",(IF($B594="","Arabica",$B594))&amp;" - "&amp;(IF($C594="","Commercial",$C594))),Variables!$B$1:$D$1,0),1))*AC594/365),""))</f>
        <v>-513.97262798091458</v>
      </c>
      <c r="AU594" s="12">
        <f>IF($H594="Cancelled","",IFERROR((T594*INDEX(Variables!$B$7:$D$7,IFERROR(MATCH(IF($B594="Robusta","Robusta",(IF($B594="","Arabica",$B594))&amp;" - "&amp;(IF($C594="","Commercial",$C594))),Variables!$B$1:$D$1,0),1))*AP594/365)+(L594/16.67*INDEX(Variables!$B$8:$D$8,IFERROR(MATCH(IF($B594="Robusta","Robusta",(IF($B594="","Arabica",$B594))&amp;" - "&amp;(IF($C594="","Commercial",$C594))),Variables!$B$1:$D$1,0),1))*AP594)+(T594*INDEX(Variables!$B$9:$D$9,IFERROR(MATCH(IF($B594="Robusta","Robusta",(IF($B594="","Arabica",$B594))&amp;" - "&amp;(IF($C594="","Commercial",$C594))),Variables!$B$1:$D$1,0),1))*AP594/365),""))</f>
        <v>79.072711997063763</v>
      </c>
      <c r="AV594" s="11">
        <f t="shared" si="65"/>
        <v>-4</v>
      </c>
      <c r="AW594" s="12">
        <f>IF($H594="Cancelled","",IFERROR(IF(AV594="","",(T594*INDEX(Variables!$B$7:$D$7,IFERROR(MATCH(IF($B594="Robusta","Robusta",(IF($B594="","Arabica",$B594))&amp;" - "&amp;(IF($C594="","Commercial",$C594))),Variables!$B$1:$D$1,0),1))*(AV594/365))+(T594*INDEX(Variables!$B$9:$D$9,IFERROR(MATCH(IF($B594="Robusta","Robusta",(IF($B594="","Arabica",$B594))&amp;" - "&amp;(IF($C594="","Commercial",$C594))),Variables!$B$1:$D$1,0),1))*(AV594/365))+(INDEX(Variables!$B$8:$D$8,IFERROR(MATCH(IF($B594="Robusta","Robusta",(IF($B594="","Arabica",$B594))&amp;" - "&amp;(IF($C594="","Commercial",$C594))),Variables!$B$1:$D$1,0),1))*L594/16.67)),""))</f>
        <v>-78.14542399412754</v>
      </c>
      <c r="AX594" s="9"/>
      <c r="AY594" s="12"/>
      <c r="AZ594" s="10"/>
      <c r="BA594" s="9"/>
      <c r="BB594" s="10"/>
      <c r="BC594" s="9"/>
      <c r="BD594" s="9"/>
      <c r="BE594" s="9"/>
      <c r="BF594" s="9"/>
    </row>
    <row r="595" spans="1:58" x14ac:dyDescent="0.25">
      <c r="A595" s="9" t="s">
        <v>84</v>
      </c>
      <c r="B595" s="9" t="s">
        <v>85</v>
      </c>
      <c r="C595" s="9" t="s">
        <v>86</v>
      </c>
      <c r="D595" s="10">
        <v>46071</v>
      </c>
      <c r="E595" s="10">
        <v>46113</v>
      </c>
      <c r="F595" s="10">
        <v>46112</v>
      </c>
      <c r="G595" s="9">
        <v>3787307</v>
      </c>
      <c r="H595" s="9" t="str">
        <f t="shared" si="63"/>
        <v>Open</v>
      </c>
      <c r="I595" s="9" t="str">
        <f t="shared" si="64"/>
        <v>No shipping advice sent and No docs dispatch date</v>
      </c>
      <c r="J595" s="9" t="s">
        <v>210</v>
      </c>
      <c r="K595" s="9" t="s">
        <v>1474</v>
      </c>
      <c r="L595" s="11">
        <v>320</v>
      </c>
      <c r="M595" s="9" t="s">
        <v>1471</v>
      </c>
      <c r="N595" s="9" t="s">
        <v>868</v>
      </c>
      <c r="O595" s="9"/>
      <c r="P595" s="9"/>
      <c r="Q595" s="11">
        <v>20</v>
      </c>
      <c r="R595" s="9" t="s">
        <v>90</v>
      </c>
      <c r="S595" s="9" t="s">
        <v>234</v>
      </c>
      <c r="T595" s="12">
        <f>IF($H595="Cancelled","",IFERROR(((Q595+INDEX(Variables!$B$6:$D$6,IFERROR(MATCH(IF($B595="Robusta","Robusta",(IF($B595="","Arabica",$B595))&amp;" - "&amp;(IF($C595="","Commercial",$C595))),Variables!$B$1:$D$1,0),1)))*22.0462)*(L595/16.67),""))</f>
        <v>131531.30577084582</v>
      </c>
      <c r="U595" s="10">
        <v>46072</v>
      </c>
      <c r="V595" s="9" t="str">
        <f t="shared" si="66"/>
        <v>Sent</v>
      </c>
      <c r="W595" s="10">
        <v>46090</v>
      </c>
      <c r="X595" s="9" t="str">
        <f t="shared" si="62"/>
        <v>Approved</v>
      </c>
      <c r="Y595" s="10"/>
      <c r="Z595" s="10">
        <f>IF($H595="Cancelled","",IFERROR(IF(F595="","",F595-Variables!$B$13),""))</f>
        <v>46097</v>
      </c>
      <c r="AA595" s="11">
        <f>IF($H595="Cancelled","",IFERROR(IF(W595="","",(AVERAGE(E595:F595)-W595)-Variables!$B$14),""))</f>
        <v>-7.5</v>
      </c>
      <c r="AB595" s="10">
        <v>46111</v>
      </c>
      <c r="AC595" s="11">
        <f>IF($H595="Cancelled","",IFERROR(IF(AB595="","",IF(AND(W595="",Y595=""),"",IF(Y595&gt;W595,Y595+Variables!$B$15+Variables!$B$16+Variables!$B$17-AB595,W595+Variables!$B$16+Variables!$B$17-AB595))),""))</f>
        <v>-13</v>
      </c>
      <c r="AD595" s="9" t="s">
        <v>107</v>
      </c>
      <c r="AE595" s="9" t="s">
        <v>1472</v>
      </c>
      <c r="AF595" s="10"/>
      <c r="AG595" s="10"/>
      <c r="AH595" s="9"/>
      <c r="AI595" s="9" t="s">
        <v>1473</v>
      </c>
      <c r="AJ595" s="9"/>
      <c r="AK595" s="10">
        <v>46116</v>
      </c>
      <c r="AL595" s="10"/>
      <c r="AM595" s="10"/>
      <c r="AN595" s="9" t="s">
        <v>1249</v>
      </c>
      <c r="AO595" s="9"/>
      <c r="AP595" s="11">
        <f>IF($H595="Cancelled","",IFERROR(IF(OR(AK595="",AB595=""),"",(AB595+Variables!$B$18-AK595)),""))</f>
        <v>2</v>
      </c>
      <c r="AQ595" s="11" t="str">
        <f>IF($H595="Cancelled","",IFERROR(IF(OR(AM595="",AK595=""),"",(AK595+Variables!$B$19)-AM595),""))</f>
        <v/>
      </c>
      <c r="AR595" s="12" t="str">
        <f>IF($H595="Cancelled","",IFERROR(T595*INDEX(Variables!$B$7:$D$7,IFERROR(MATCH(IF($B595="Robusta","Robusta",(IF($B595="","Arabica",$B595))&amp;" - "&amp;(IF($C595="","Commercial",$C595))),Variables!$B$1:$D$1,0),1))*(AQ595/365),""))</f>
        <v/>
      </c>
      <c r="AS595" s="12">
        <f>IF($H595="Cancelled","",IFERROR((T595*INDEX(Variables!$B$7:$D$7,IFERROR(MATCH(IF($B595="Robusta","Robusta",(IF($B595="","Arabica",$B595))&amp;" - "&amp;(IF($C595="","Commercial",$C595))),Variables!$B$1:$D$1,0),1))*IFERROR(IF(W595="","",(AVERAGE(E595:F595)-W595)-Variables!$B$14),"")/365)+(L595/16.67*INDEX(Variables!$B$8:$D$8,IFERROR(MATCH(IF($B595="Robusta","Robusta",(IF($B595="","Arabica",$B595))&amp;" - "&amp;(IF($C595="","Commercial",$C595))),Variables!$B$1:$D$1,0),1))*IFERROR(IF(W595="","",(AVERAGE(E595:F595)-W595)-Variables!$B$14),""))+(T595*INDEX(Variables!$B$9:$D$9,IFERROR(MATCH(IF($B595="Robusta","Robusta",(IF($B595="","Arabica",$B595))&amp;" - "&amp;(IF($C595="","Commercial",$C595))),Variables!$B$1:$D$1,0),1))*IFERROR(IF(W595="","",(AVERAGE(E595:F595)-W595)-Variables!$B$14),"")/365),""))</f>
        <v>-296.52266998898909</v>
      </c>
      <c r="AT595" s="12">
        <f>IF($H595="Cancelled","",IFERROR((T595*INDEX(Variables!$B$7:$D$7,IFERROR(MATCH(IF($B595="Robusta","Robusta",(IF($B595="","Arabica",$B595))&amp;" - "&amp;(IF($C595="","Commercial",$C595))),Variables!$B$1:$D$1,0),1))*AC595/365)+(L595/16.67*INDEX(Variables!$B$8:$D$8,IFERROR(MATCH(IF($B595="Robusta","Robusta",(IF($B595="","Arabica",$B595))&amp;" - "&amp;(IF($C595="","Commercial",$C595))),Variables!$B$1:$D$1,0),1))*AC595)+(T595*INDEX(Variables!$B$9:$D$9,IFERROR(MATCH(IF($B595="Robusta","Robusta",(IF($B595="","Arabica",$B595))&amp;" - "&amp;(IF($C595="","Commercial",$C595))),Variables!$B$1:$D$1,0),1))*AC595/365),""))</f>
        <v>-513.97262798091458</v>
      </c>
      <c r="AU595" s="12">
        <f>IF($H595="Cancelled","",IFERROR((T595*INDEX(Variables!$B$7:$D$7,IFERROR(MATCH(IF($B595="Robusta","Robusta",(IF($B595="","Arabica",$B595))&amp;" - "&amp;(IF($C595="","Commercial",$C595))),Variables!$B$1:$D$1,0),1))*AP595/365)+(L595/16.67*INDEX(Variables!$B$8:$D$8,IFERROR(MATCH(IF($B595="Robusta","Robusta",(IF($B595="","Arabica",$B595))&amp;" - "&amp;(IF($C595="","Commercial",$C595))),Variables!$B$1:$D$1,0),1))*AP595)+(T595*INDEX(Variables!$B$9:$D$9,IFERROR(MATCH(IF($B595="Robusta","Robusta",(IF($B595="","Arabica",$B595))&amp;" - "&amp;(IF($C595="","Commercial",$C595))),Variables!$B$1:$D$1,0),1))*AP595/365),""))</f>
        <v>79.072711997063763</v>
      </c>
      <c r="AV595" s="11">
        <f t="shared" si="65"/>
        <v>-4</v>
      </c>
      <c r="AW595" s="12">
        <f>IF($H595="Cancelled","",IFERROR(IF(AV595="","",(T595*INDEX(Variables!$B$7:$D$7,IFERROR(MATCH(IF($B595="Robusta","Robusta",(IF($B595="","Arabica",$B595))&amp;" - "&amp;(IF($C595="","Commercial",$C595))),Variables!$B$1:$D$1,0),1))*(AV595/365))+(T595*INDEX(Variables!$B$9:$D$9,IFERROR(MATCH(IF($B595="Robusta","Robusta",(IF($B595="","Arabica",$B595))&amp;" - "&amp;(IF($C595="","Commercial",$C595))),Variables!$B$1:$D$1,0),1))*(AV595/365))+(INDEX(Variables!$B$8:$D$8,IFERROR(MATCH(IF($B595="Robusta","Robusta",(IF($B595="","Arabica",$B595))&amp;" - "&amp;(IF($C595="","Commercial",$C595))),Variables!$B$1:$D$1,0),1))*L595/16.67)),""))</f>
        <v>-78.14542399412754</v>
      </c>
      <c r="AX595" s="9"/>
      <c r="AY595" s="12"/>
      <c r="AZ595" s="10"/>
      <c r="BA595" s="9"/>
      <c r="BB595" s="10"/>
      <c r="BC595" s="9"/>
      <c r="BD595" s="9"/>
      <c r="BE595" s="9"/>
      <c r="BF595" s="9"/>
    </row>
    <row r="596" spans="1:58" x14ac:dyDescent="0.25">
      <c r="A596" s="9" t="s">
        <v>84</v>
      </c>
      <c r="B596" s="9" t="s">
        <v>85</v>
      </c>
      <c r="C596" s="9" t="s">
        <v>86</v>
      </c>
      <c r="D596" s="10">
        <v>46042</v>
      </c>
      <c r="E596" s="10">
        <v>46082</v>
      </c>
      <c r="F596" s="10">
        <v>46112</v>
      </c>
      <c r="G596" s="9">
        <v>3787113</v>
      </c>
      <c r="H596" s="9" t="str">
        <f t="shared" si="63"/>
        <v>Closed</v>
      </c>
      <c r="I596" s="9" t="str">
        <f t="shared" si="64"/>
        <v>All dates received</v>
      </c>
      <c r="J596" s="9" t="s">
        <v>308</v>
      </c>
      <c r="K596" s="9">
        <v>5409</v>
      </c>
      <c r="L596" s="11">
        <v>1800</v>
      </c>
      <c r="M596" s="9" t="s">
        <v>1390</v>
      </c>
      <c r="N596" s="9" t="s">
        <v>237</v>
      </c>
      <c r="O596" s="9"/>
      <c r="P596" s="9"/>
      <c r="Q596" s="11">
        <v>73</v>
      </c>
      <c r="R596" s="9" t="s">
        <v>90</v>
      </c>
      <c r="S596" s="9" t="s">
        <v>106</v>
      </c>
      <c r="T596" s="12">
        <f>IF($H596="Cancelled","",IFERROR(((Q596+INDEX(Variables!$B$6:$D$6,IFERROR(MATCH(IF($B596="Robusta","Robusta",(IF($B596="","Arabica",$B596))&amp;" - "&amp;(IF($C596="","Commercial",$C596))),Variables!$B$1:$D$1,0),1)))*22.0462)*(L596/16.67),""))</f>
        <v>866030.81031793624</v>
      </c>
      <c r="U596" s="10">
        <v>46051</v>
      </c>
      <c r="V596" s="9" t="str">
        <f t="shared" si="66"/>
        <v>Sent</v>
      </c>
      <c r="W596" s="10"/>
      <c r="X596" s="9" t="str">
        <f t="shared" si="62"/>
        <v/>
      </c>
      <c r="Y596" s="10"/>
      <c r="Z596" s="10">
        <f>IF($H596="Cancelled","",IFERROR(IF(F596="","",F596-Variables!$B$13),""))</f>
        <v>46097</v>
      </c>
      <c r="AA596" s="11" t="str">
        <f>IF($H596="Cancelled","",IFERROR(IF(W596="","",(AVERAGE(E596:F596)-W596)-Variables!$B$14),""))</f>
        <v/>
      </c>
      <c r="AB596" s="10">
        <v>46079</v>
      </c>
      <c r="AC596" s="11" t="str">
        <f>IF($H596="Cancelled","",IFERROR(IF(AB596="","",IF(AND(W596="",Y596=""),"",IF(Y596&gt;W596,Y596+Variables!$B$15+Variables!$B$16+Variables!$B$17-AB596,W596+Variables!$B$16+Variables!$B$17-AB596))),""))</f>
        <v/>
      </c>
      <c r="AD596" s="9" t="s">
        <v>165</v>
      </c>
      <c r="AE596" s="9" t="s">
        <v>818</v>
      </c>
      <c r="AF596" s="10">
        <v>46126</v>
      </c>
      <c r="AG596" s="10"/>
      <c r="AH596" s="9"/>
      <c r="AI596" s="9" t="s">
        <v>1475</v>
      </c>
      <c r="AJ596" s="9"/>
      <c r="AK596" s="10">
        <v>46093</v>
      </c>
      <c r="AL596" s="10">
        <v>46100</v>
      </c>
      <c r="AM596" s="10">
        <v>46107</v>
      </c>
      <c r="AN596" s="9" t="s">
        <v>1193</v>
      </c>
      <c r="AO596" s="9"/>
      <c r="AP596" s="11">
        <f>IF($H596="Cancelled","",IFERROR(IF(OR(AK596="",AB596=""),"",(AB596+Variables!$B$18-AK596)),""))</f>
        <v>-7</v>
      </c>
      <c r="AQ596" s="11">
        <f>IF($H596="Cancelled","",IFERROR(IF(OR(AM596="",AK596=""),"",(AK596+Variables!$B$19)-AM596),""))</f>
        <v>-9</v>
      </c>
      <c r="AR596" s="12">
        <f>IF($H596="Cancelled","",IFERROR(T596*INDEX(Variables!$B$7:$D$7,IFERROR(MATCH(IF($B596="Robusta","Robusta",(IF($B596="","Arabica",$B596))&amp;" - "&amp;(IF($C596="","Commercial",$C596))),Variables!$B$1:$D$1,0),1))*(AQ596/365),""))</f>
        <v>-1376.9647869965727</v>
      </c>
      <c r="AS596" s="12" t="str">
        <f>IF($H596="Cancelled","",IFERROR((T596*INDEX(Variables!$B$7:$D$7,IFERROR(MATCH(IF($B596="Robusta","Robusta",(IF($B596="","Arabica",$B596))&amp;" - "&amp;(IF($C596="","Commercial",$C596))),Variables!$B$1:$D$1,0),1))*IFERROR(IF(W596="","",(AVERAGE(E596:F596)-W596)-Variables!$B$14),"")/365)+(L596/16.67*INDEX(Variables!$B$8:$D$8,IFERROR(MATCH(IF($B596="Robusta","Robusta",(IF($B596="","Arabica",$B596))&amp;" - "&amp;(IF($C596="","Commercial",$C596))),Variables!$B$1:$D$1,0),1))*IFERROR(IF(W596="","",(AVERAGE(E596:F596)-W596)-Variables!$B$14),""))+(T596*INDEX(Variables!$B$9:$D$9,IFERROR(MATCH(IF($B596="Robusta","Robusta",(IF($B596="","Arabica",$B596))&amp;" - "&amp;(IF($C596="","Commercial",$C596))),Variables!$B$1:$D$1,0),1))*IFERROR(IF(W596="","",(AVERAGE(E596:F596)-W596)-Variables!$B$14),"")/365),""))</f>
        <v/>
      </c>
      <c r="AT596" s="12" t="str">
        <f>IF($H596="Cancelled","",IFERROR((T596*INDEX(Variables!$B$7:$D$7,IFERROR(MATCH(IF($B596="Robusta","Robusta",(IF($B596="","Arabica",$B596))&amp;" - "&amp;(IF($C596="","Commercial",$C596))),Variables!$B$1:$D$1,0),1))*AC596/365)+(L596/16.67*INDEX(Variables!$B$8:$D$8,IFERROR(MATCH(IF($B596="Robusta","Robusta",(IF($B596="","Arabica",$B596))&amp;" - "&amp;(IF($C596="","Commercial",$C596))),Variables!$B$1:$D$1,0),1))*AC596)+(T596*INDEX(Variables!$B$9:$D$9,IFERROR(MATCH(IF($B596="Robusta","Robusta",(IF($B596="","Arabica",$B596))&amp;" - "&amp;(IF($C596="","Commercial",$C596))),Variables!$B$1:$D$1,0),1))*AC596/365),""))</f>
        <v/>
      </c>
      <c r="AU596" s="12">
        <f>IF($H596="Cancelled","",IFERROR((T596*INDEX(Variables!$B$7:$D$7,IFERROR(MATCH(IF($B596="Robusta","Robusta",(IF($B596="","Arabica",$B596))&amp;" - "&amp;(IF($C596="","Commercial",$C596))),Variables!$B$1:$D$1,0),1))*AP596/365)+(L596/16.67*INDEX(Variables!$B$8:$D$8,IFERROR(MATCH(IF($B596="Robusta","Robusta",(IF($B596="","Arabica",$B596))&amp;" - "&amp;(IF($C596="","Commercial",$C596))),Variables!$B$1:$D$1,0),1))*AP596)+(T596*INDEX(Variables!$B$9:$D$9,IFERROR(MATCH(IF($B596="Robusta","Robusta",(IF($B596="","Arabica",$B596))&amp;" - "&amp;(IF($C596="","Commercial",$C596))),Variables!$B$1:$D$1,0),1))*AP596/365),""))</f>
        <v>-1714.7795159120649</v>
      </c>
      <c r="AV596" s="11">
        <f t="shared" si="65"/>
        <v>19</v>
      </c>
      <c r="AW596" s="12">
        <f>IF($H596="Cancelled","",IFERROR(IF(AV596="","",(T596*INDEX(Variables!$B$7:$D$7,IFERROR(MATCH(IF($B596="Robusta","Robusta",(IF($B596="","Arabica",$B596))&amp;" - "&amp;(IF($C596="","Commercial",$C596))),Variables!$B$1:$D$1,0),1))*(AV596/365))+(T596*INDEX(Variables!$B$9:$D$9,IFERROR(MATCH(IF($B596="Robusta","Robusta",(IF($B596="","Arabica",$B596))&amp;" - "&amp;(IF($C596="","Commercial",$C596))),Variables!$B$1:$D$1,0),1))*(AV596/365))+(INDEX(Variables!$B$8:$D$8,IFERROR(MATCH(IF($B596="Robusta","Robusta",(IF($B596="","Arabica",$B596))&amp;" - "&amp;(IF($C596="","Commercial",$C596))),Variables!$B$1:$D$1,0),1))*L596/16.67)),""))</f>
        <v>3034.4015431898906</v>
      </c>
      <c r="AX596" s="9"/>
      <c r="AY596" s="12"/>
      <c r="AZ596" s="10"/>
      <c r="BA596" s="9"/>
      <c r="BB596" s="10"/>
      <c r="BC596" s="9"/>
      <c r="BD596" s="9"/>
      <c r="BE596" s="9"/>
      <c r="BF596" s="9"/>
    </row>
    <row r="597" spans="1:58" x14ac:dyDescent="0.25">
      <c r="A597" s="9" t="s">
        <v>84</v>
      </c>
      <c r="B597" s="9" t="s">
        <v>85</v>
      </c>
      <c r="C597" s="9" t="s">
        <v>86</v>
      </c>
      <c r="D597" s="10">
        <v>46049</v>
      </c>
      <c r="E597" s="10">
        <v>46082</v>
      </c>
      <c r="F597" s="10">
        <v>46112</v>
      </c>
      <c r="G597" s="9">
        <v>3787202</v>
      </c>
      <c r="H597" s="9" t="str">
        <f t="shared" si="63"/>
        <v>Open</v>
      </c>
      <c r="I597" s="9" t="str">
        <f t="shared" si="64"/>
        <v>No shipping advice sent and No docs dispatch date</v>
      </c>
      <c r="J597" s="9" t="s">
        <v>308</v>
      </c>
      <c r="K597" s="9">
        <v>5438</v>
      </c>
      <c r="L597" s="11">
        <v>1080</v>
      </c>
      <c r="M597" s="9" t="s">
        <v>1476</v>
      </c>
      <c r="N597" s="9" t="s">
        <v>237</v>
      </c>
      <c r="O597" s="9"/>
      <c r="P597" s="9"/>
      <c r="Q597" s="11">
        <v>55</v>
      </c>
      <c r="R597" s="9" t="s">
        <v>90</v>
      </c>
      <c r="S597" s="9" t="s">
        <v>106</v>
      </c>
      <c r="T597" s="12">
        <f>IF($H597="Cancelled","",IFERROR(((Q597+INDEX(Variables!$B$6:$D$6,IFERROR(MATCH(IF($B597="Robusta","Robusta",(IF($B597="","Arabica",$B597))&amp;" - "&amp;(IF($C597="","Commercial",$C597))),Variables!$B$1:$D$1,0),1)))*22.0462)*(L597/16.67),""))</f>
        <v>493908.94041991595</v>
      </c>
      <c r="U597" s="10">
        <v>46066</v>
      </c>
      <c r="V597" s="9" t="str">
        <f t="shared" si="66"/>
        <v>Sent</v>
      </c>
      <c r="W597" s="10">
        <v>46071</v>
      </c>
      <c r="X597" s="9" t="str">
        <f t="shared" si="62"/>
        <v>Approved</v>
      </c>
      <c r="Y597" s="10"/>
      <c r="Z597" s="10">
        <f>IF($H597="Cancelled","",IFERROR(IF(F597="","",F597-Variables!$B$13),""))</f>
        <v>46097</v>
      </c>
      <c r="AA597" s="11">
        <f>IF($H597="Cancelled","",IFERROR(IF(W597="","",(AVERAGE(E597:F597)-W597)-Variables!$B$14),""))</f>
        <v>-4</v>
      </c>
      <c r="AB597" s="10">
        <v>46097</v>
      </c>
      <c r="AC597" s="11">
        <f>IF($H597="Cancelled","",IFERROR(IF(AB597="","",IF(AND(W597="",Y597=""),"",IF(Y597&gt;W597,Y597+Variables!$B$15+Variables!$B$16+Variables!$B$17-AB597,W597+Variables!$B$16+Variables!$B$17-AB597))),""))</f>
        <v>-18</v>
      </c>
      <c r="AD597" s="9" t="s">
        <v>165</v>
      </c>
      <c r="AE597" s="9" t="s">
        <v>1477</v>
      </c>
      <c r="AF597" s="10"/>
      <c r="AG597" s="10"/>
      <c r="AH597" s="9"/>
      <c r="AI597" s="9">
        <v>919992</v>
      </c>
      <c r="AJ597" s="9"/>
      <c r="AK597" s="10">
        <v>46116</v>
      </c>
      <c r="AL597" s="10"/>
      <c r="AM597" s="10"/>
      <c r="AN597" s="9" t="s">
        <v>1478</v>
      </c>
      <c r="AO597" s="9"/>
      <c r="AP597" s="11">
        <f>IF($H597="Cancelled","",IFERROR(IF(OR(AK597="",AB597=""),"",(AB597+Variables!$B$18-AK597)),""))</f>
        <v>-12</v>
      </c>
      <c r="AQ597" s="11" t="str">
        <f>IF($H597="Cancelled","",IFERROR(IF(OR(AM597="",AK597=""),"",(AK597+Variables!$B$19)-AM597),""))</f>
        <v/>
      </c>
      <c r="AR597" s="12" t="str">
        <f>IF($H597="Cancelled","",IFERROR(T597*INDEX(Variables!$B$7:$D$7,IFERROR(MATCH(IF($B597="Robusta","Robusta",(IF($B597="","Arabica",$B597))&amp;" - "&amp;(IF($C597="","Commercial",$C597))),Variables!$B$1:$D$1,0),1))*(AQ597/365),""))</f>
        <v/>
      </c>
      <c r="AS597" s="12">
        <f>IF($H597="Cancelled","",IFERROR((T597*INDEX(Variables!$B$7:$D$7,IFERROR(MATCH(IF($B597="Robusta","Robusta",(IF($B597="","Arabica",$B597))&amp;" - "&amp;(IF($C597="","Commercial",$C597))),Variables!$B$1:$D$1,0),1))*IFERROR(IF(W597="","",(AVERAGE(E597:F597)-W597)-Variables!$B$14),"")/365)+(L597/16.67*INDEX(Variables!$B$8:$D$8,IFERROR(MATCH(IF($B597="Robusta","Robusta",(IF($B597="","Arabica",$B597))&amp;" - "&amp;(IF($C597="","Commercial",$C597))),Variables!$B$1:$D$1,0),1))*IFERROR(IF(W597="","",(AVERAGE(E597:F597)-W597)-Variables!$B$14),""))+(T597*INDEX(Variables!$B$9:$D$9,IFERROR(MATCH(IF($B597="Robusta","Robusta",(IF($B597="","Arabica",$B597))&amp;" - "&amp;(IF($C597="","Commercial",$C597))),Variables!$B$1:$D$1,0),1))*IFERROR(IF(W597="","",(AVERAGE(E597:F597)-W597)-Variables!$B$14),"")/365),""))</f>
        <v>-569.52242827524583</v>
      </c>
      <c r="AT597" s="12">
        <f>IF($H597="Cancelled","",IFERROR((T597*INDEX(Variables!$B$7:$D$7,IFERROR(MATCH(IF($B597="Robusta","Robusta",(IF($B597="","Arabica",$B597))&amp;" - "&amp;(IF($C597="","Commercial",$C597))),Variables!$B$1:$D$1,0),1))*AC597/365)+(L597/16.67*INDEX(Variables!$B$8:$D$8,IFERROR(MATCH(IF($B597="Robusta","Robusta",(IF($B597="","Arabica",$B597))&amp;" - "&amp;(IF($C597="","Commercial",$C597))),Variables!$B$1:$D$1,0),1))*AC597)+(T597*INDEX(Variables!$B$9:$D$9,IFERROR(MATCH(IF($B597="Robusta","Robusta",(IF($B597="","Arabica",$B597))&amp;" - "&amp;(IF($C597="","Commercial",$C597))),Variables!$B$1:$D$1,0),1))*AC597/365),""))</f>
        <v>-2562.8509272386059</v>
      </c>
      <c r="AU597" s="12">
        <f>IF($H597="Cancelled","",IFERROR((T597*INDEX(Variables!$B$7:$D$7,IFERROR(MATCH(IF($B597="Robusta","Robusta",(IF($B597="","Arabica",$B597))&amp;" - "&amp;(IF($C597="","Commercial",$C597))),Variables!$B$1:$D$1,0),1))*AP597/365)+(L597/16.67*INDEX(Variables!$B$8:$D$8,IFERROR(MATCH(IF($B597="Robusta","Robusta",(IF($B597="","Arabica",$B597))&amp;" - "&amp;(IF($C597="","Commercial",$C597))),Variables!$B$1:$D$1,0),1))*AP597)+(T597*INDEX(Variables!$B$9:$D$9,IFERROR(MATCH(IF($B597="Robusta","Robusta",(IF($B597="","Arabica",$B597))&amp;" - "&amp;(IF($C597="","Commercial",$C597))),Variables!$B$1:$D$1,0),1))*AP597/365),""))</f>
        <v>-1708.5672848257375</v>
      </c>
      <c r="AV597" s="11">
        <f t="shared" si="65"/>
        <v>-4</v>
      </c>
      <c r="AW597" s="12">
        <f>IF($H597="Cancelled","",IFERROR(IF(AV597="","",(T597*INDEX(Variables!$B$7:$D$7,IFERROR(MATCH(IF($B597="Robusta","Robusta",(IF($B597="","Arabica",$B597))&amp;" - "&amp;(IF($C597="","Commercial",$C597))),Variables!$B$1:$D$1,0),1))*(AV597/365))+(T597*INDEX(Variables!$B$9:$D$9,IFERROR(MATCH(IF($B597="Robusta","Robusta",(IF($B597="","Arabica",$B597))&amp;" - "&amp;(IF($C597="","Commercial",$C597))),Variables!$B$1:$D$1,0),1))*(AV597/365))+(INDEX(Variables!$B$8:$D$8,IFERROR(MATCH(IF($B597="Robusta","Robusta",(IF($B597="","Arabica",$B597))&amp;" - "&amp;(IF($C597="","Commercial",$C597))),Variables!$B$1:$D$1,0),1))*L597/16.67)),""))</f>
        <v>-299.52242827524583</v>
      </c>
      <c r="AX597" s="9"/>
      <c r="AY597" s="12"/>
      <c r="AZ597" s="10"/>
      <c r="BA597" s="9"/>
      <c r="BB597" s="10"/>
      <c r="BC597" s="9"/>
      <c r="BD597" s="9"/>
      <c r="BE597" s="9"/>
      <c r="BF597" s="9"/>
    </row>
    <row r="598" spans="1:58" x14ac:dyDescent="0.25">
      <c r="A598" s="9" t="s">
        <v>84</v>
      </c>
      <c r="B598" s="9" t="s">
        <v>85</v>
      </c>
      <c r="C598" s="9" t="s">
        <v>86</v>
      </c>
      <c r="D598" s="10">
        <v>46049</v>
      </c>
      <c r="E598" s="10">
        <v>46082</v>
      </c>
      <c r="F598" s="10">
        <v>46112</v>
      </c>
      <c r="G598" s="9">
        <v>3787203</v>
      </c>
      <c r="H598" s="9" t="str">
        <f t="shared" si="63"/>
        <v>Closed</v>
      </c>
      <c r="I598" s="9" t="str">
        <f t="shared" si="64"/>
        <v>All dates received</v>
      </c>
      <c r="J598" s="9" t="s">
        <v>308</v>
      </c>
      <c r="K598" s="9">
        <v>5410</v>
      </c>
      <c r="L598" s="11">
        <v>360</v>
      </c>
      <c r="M598" s="9" t="s">
        <v>1479</v>
      </c>
      <c r="N598" s="9" t="s">
        <v>432</v>
      </c>
      <c r="O598" s="9"/>
      <c r="P598" s="9"/>
      <c r="Q598" s="11">
        <v>70</v>
      </c>
      <c r="R598" s="9" t="s">
        <v>90</v>
      </c>
      <c r="S598" s="9" t="s">
        <v>106</v>
      </c>
      <c r="T598" s="12">
        <f>IF($H598="Cancelled","",IFERROR(((Q598+INDEX(Variables!$B$6:$D$6,IFERROR(MATCH(IF($B598="Robusta","Robusta",(IF($B598="","Arabica",$B598))&amp;" - "&amp;(IF($C598="","Commercial",$C598))),Variables!$B$1:$D$1,0),1)))*22.0462)*(L598/16.67),""))</f>
        <v>171777.85396520694</v>
      </c>
      <c r="U598" s="10">
        <v>46051</v>
      </c>
      <c r="V598" s="9" t="str">
        <f t="shared" si="66"/>
        <v>Sent</v>
      </c>
      <c r="W598" s="10">
        <v>46063</v>
      </c>
      <c r="X598" s="9" t="str">
        <f t="shared" si="62"/>
        <v>Approved</v>
      </c>
      <c r="Y598" s="10"/>
      <c r="Z598" s="10">
        <f>IF($H598="Cancelled","",IFERROR(IF(F598="","",F598-Variables!$B$13),""))</f>
        <v>46097</v>
      </c>
      <c r="AA598" s="11">
        <f>IF($H598="Cancelled","",IFERROR(IF(W598="","",(AVERAGE(E598:F598)-W598)-Variables!$B$14),""))</f>
        <v>4</v>
      </c>
      <c r="AB598" s="10">
        <v>46074</v>
      </c>
      <c r="AC598" s="11">
        <f>IF($H598="Cancelled","",IFERROR(IF(AB598="","",IF(AND(W598="",Y598=""),"",IF(Y598&gt;W598,Y598+Variables!$B$15+Variables!$B$16+Variables!$B$17-AB598,W598+Variables!$B$16+Variables!$B$17-AB598))),""))</f>
        <v>-3</v>
      </c>
      <c r="AD598" s="9" t="s">
        <v>165</v>
      </c>
      <c r="AE598" s="9" t="s">
        <v>818</v>
      </c>
      <c r="AF598" s="10">
        <v>46126</v>
      </c>
      <c r="AG598" s="10"/>
      <c r="AH598" s="9"/>
      <c r="AI598" s="9" t="s">
        <v>1480</v>
      </c>
      <c r="AJ598" s="9"/>
      <c r="AK598" s="10">
        <v>46093</v>
      </c>
      <c r="AL598" s="10">
        <v>46100</v>
      </c>
      <c r="AM598" s="10">
        <v>46107</v>
      </c>
      <c r="AN598" s="9" t="s">
        <v>1193</v>
      </c>
      <c r="AO598" s="9"/>
      <c r="AP598" s="11">
        <f>IF($H598="Cancelled","",IFERROR(IF(OR(AK598="",AB598=""),"",(AB598+Variables!$B$18-AK598)),""))</f>
        <v>-12</v>
      </c>
      <c r="AQ598" s="11">
        <f>IF($H598="Cancelled","",IFERROR(IF(OR(AM598="",AK598=""),"",(AK598+Variables!$B$19)-AM598),""))</f>
        <v>-9</v>
      </c>
      <c r="AR598" s="12">
        <f>IF($H598="Cancelled","",IFERROR(T598*INDEX(Variables!$B$7:$D$7,IFERROR(MATCH(IF($B598="Robusta","Robusta",(IF($B598="","Arabica",$B598))&amp;" - "&amp;(IF($C598="","Commercial",$C598))),Variables!$B$1:$D$1,0),1))*(AQ598/365),""))</f>
        <v>-273.12198743725321</v>
      </c>
      <c r="AS598" s="12">
        <f>IF($H598="Cancelled","",IFERROR((T598*INDEX(Variables!$B$7:$D$7,IFERROR(MATCH(IF($B598="Robusta","Robusta",(IF($B598="","Arabica",$B598))&amp;" - "&amp;(IF($C598="","Commercial",$C598))),Variables!$B$1:$D$1,0),1))*IFERROR(IF(W598="","",(AVERAGE(E598:F598)-W598)-Variables!$B$14),"")/365)+(L598/16.67*INDEX(Variables!$B$8:$D$8,IFERROR(MATCH(IF($B598="Robusta","Robusta",(IF($B598="","Arabica",$B598))&amp;" - "&amp;(IF($C598="","Commercial",$C598))),Variables!$B$1:$D$1,0),1))*IFERROR(IF(W598="","",(AVERAGE(E598:F598)-W598)-Variables!$B$14),""))+(T598*INDEX(Variables!$B$9:$D$9,IFERROR(MATCH(IF($B598="Robusta","Robusta",(IF($B598="","Arabica",$B598))&amp;" - "&amp;(IF($C598="","Commercial",$C598))),Variables!$B$1:$D$1,0),1))*IFERROR(IF(W598="","",(AVERAGE(E598:F598)-W598)-Variables!$B$14),"")/365),""))</f>
        <v>194.95246975294845</v>
      </c>
      <c r="AT598" s="12">
        <f>IF($H598="Cancelled","",IFERROR((T598*INDEX(Variables!$B$7:$D$7,IFERROR(MATCH(IF($B598="Robusta","Robusta",(IF($B598="","Arabica",$B598))&amp;" - "&amp;(IF($C598="","Commercial",$C598))),Variables!$B$1:$D$1,0),1))*AC598/365)+(L598/16.67*INDEX(Variables!$B$8:$D$8,IFERROR(MATCH(IF($B598="Robusta","Robusta",(IF($B598="","Arabica",$B598))&amp;" - "&amp;(IF($C598="","Commercial",$C598))),Variables!$B$1:$D$1,0),1))*AC598)+(T598*INDEX(Variables!$B$9:$D$9,IFERROR(MATCH(IF($B598="Robusta","Robusta",(IF($B598="","Arabica",$B598))&amp;" - "&amp;(IF($C598="","Commercial",$C598))),Variables!$B$1:$D$1,0),1))*AC598/365),""))</f>
        <v>-146.21435231471133</v>
      </c>
      <c r="AU598" s="12">
        <f>IF($H598="Cancelled","",IFERROR((T598*INDEX(Variables!$B$7:$D$7,IFERROR(MATCH(IF($B598="Robusta","Robusta",(IF($B598="","Arabica",$B598))&amp;" - "&amp;(IF($C598="","Commercial",$C598))),Variables!$B$1:$D$1,0),1))*AP598/365)+(L598/16.67*INDEX(Variables!$B$8:$D$8,IFERROR(MATCH(IF($B598="Robusta","Robusta",(IF($B598="","Arabica",$B598))&amp;" - "&amp;(IF($C598="","Commercial",$C598))),Variables!$B$1:$D$1,0),1))*AP598)+(T598*INDEX(Variables!$B$9:$D$9,IFERROR(MATCH(IF($B598="Robusta","Robusta",(IF($B598="","Arabica",$B598))&amp;" - "&amp;(IF($C598="","Commercial",$C598))),Variables!$B$1:$D$1,0),1))*AP598/365),""))</f>
        <v>-584.85740925884534</v>
      </c>
      <c r="AV598" s="11">
        <f t="shared" si="65"/>
        <v>19</v>
      </c>
      <c r="AW598" s="12">
        <f>IF($H598="Cancelled","",IFERROR(IF(AV598="","",(T598*INDEX(Variables!$B$7:$D$7,IFERROR(MATCH(IF($B598="Robusta","Robusta",(IF($B598="","Arabica",$B598))&amp;" - "&amp;(IF($C598="","Commercial",$C598))),Variables!$B$1:$D$1,0),1))*(AV598/365))+(T598*INDEX(Variables!$B$9:$D$9,IFERROR(MATCH(IF($B598="Robusta","Robusta",(IF($B598="","Arabica",$B598))&amp;" - "&amp;(IF($C598="","Commercial",$C598))),Variables!$B$1:$D$1,0),1))*(AV598/365))+(INDEX(Variables!$B$8:$D$8,IFERROR(MATCH(IF($B598="Robusta","Robusta",(IF($B598="","Arabica",$B598))&amp;" - "&amp;(IF($C598="","Commercial",$C598))),Variables!$B$1:$D$1,0),1))*L598/16.67)),""))</f>
        <v>602.02423132650506</v>
      </c>
      <c r="AX598" s="9"/>
      <c r="AY598" s="12"/>
      <c r="AZ598" s="10"/>
      <c r="BA598" s="9"/>
      <c r="BB598" s="10"/>
      <c r="BC598" s="9"/>
      <c r="BD598" s="9"/>
      <c r="BE598" s="9"/>
      <c r="BF598" s="9"/>
    </row>
    <row r="599" spans="1:58" x14ac:dyDescent="0.25">
      <c r="A599" s="9" t="s">
        <v>84</v>
      </c>
      <c r="B599" s="9" t="s">
        <v>85</v>
      </c>
      <c r="C599" s="9" t="s">
        <v>86</v>
      </c>
      <c r="D599" s="10">
        <v>46063</v>
      </c>
      <c r="E599" s="10">
        <v>46082</v>
      </c>
      <c r="F599" s="10">
        <v>46112</v>
      </c>
      <c r="G599" s="9">
        <v>3787248</v>
      </c>
      <c r="H599" s="9" t="str">
        <f t="shared" si="63"/>
        <v>Open</v>
      </c>
      <c r="I599" s="9" t="str">
        <f t="shared" si="64"/>
        <v>No shipping advice sent and No docs dispatch date</v>
      </c>
      <c r="J599" s="9" t="s">
        <v>308</v>
      </c>
      <c r="K599" s="9">
        <v>5437</v>
      </c>
      <c r="L599" s="11">
        <v>1080</v>
      </c>
      <c r="M599" s="9" t="s">
        <v>1390</v>
      </c>
      <c r="N599" s="9" t="s">
        <v>237</v>
      </c>
      <c r="O599" s="9"/>
      <c r="P599" s="9"/>
      <c r="Q599" s="11">
        <v>69</v>
      </c>
      <c r="R599" s="9" t="s">
        <v>90</v>
      </c>
      <c r="S599" s="9" t="s">
        <v>106</v>
      </c>
      <c r="T599" s="12">
        <f>IF($H599="Cancelled","",IFERROR(((Q599+INDEX(Variables!$B$6:$D$6,IFERROR(MATCH(IF($B599="Robusta","Robusta",(IF($B599="","Arabica",$B599))&amp;" - "&amp;(IF($C599="","Commercial",$C599))),Variables!$B$1:$D$1,0),1)))*22.0462)*(L599/16.67),""))</f>
        <v>513905.25379724044</v>
      </c>
      <c r="U599" s="10">
        <v>46066</v>
      </c>
      <c r="V599" s="9" t="str">
        <f t="shared" si="66"/>
        <v>Sent</v>
      </c>
      <c r="W599" s="10">
        <v>46071</v>
      </c>
      <c r="X599" s="9" t="str">
        <f t="shared" si="62"/>
        <v>Approved</v>
      </c>
      <c r="Y599" s="10"/>
      <c r="Z599" s="10">
        <f>IF($H599="Cancelled","",IFERROR(IF(F599="","",F599-Variables!$B$13),""))</f>
        <v>46097</v>
      </c>
      <c r="AA599" s="11">
        <f>IF($H599="Cancelled","",IFERROR(IF(W599="","",(AVERAGE(E599:F599)-W599)-Variables!$B$14),""))</f>
        <v>-4</v>
      </c>
      <c r="AB599" s="10">
        <v>46094</v>
      </c>
      <c r="AC599" s="11">
        <f>IF($H599="Cancelled","",IFERROR(IF(AB599="","",IF(AND(W599="",Y599=""),"",IF(Y599&gt;W599,Y599+Variables!$B$15+Variables!$B$16+Variables!$B$17-AB599,W599+Variables!$B$16+Variables!$B$17-AB599))),""))</f>
        <v>-15</v>
      </c>
      <c r="AD599" s="9" t="s">
        <v>165</v>
      </c>
      <c r="AE599" s="9" t="s">
        <v>1477</v>
      </c>
      <c r="AF599" s="10">
        <v>46156</v>
      </c>
      <c r="AG599" s="10"/>
      <c r="AH599" s="9"/>
      <c r="AI599" s="9">
        <v>919994</v>
      </c>
      <c r="AJ599" s="9"/>
      <c r="AK599" s="10">
        <v>46116</v>
      </c>
      <c r="AL599" s="10"/>
      <c r="AM599" s="10"/>
      <c r="AN599" s="9" t="s">
        <v>1478</v>
      </c>
      <c r="AO599" s="9"/>
      <c r="AP599" s="11">
        <f>IF($H599="Cancelled","",IFERROR(IF(OR(AK599="",AB599=""),"",(AB599+Variables!$B$18-AK599)),""))</f>
        <v>-15</v>
      </c>
      <c r="AQ599" s="11" t="str">
        <f>IF($H599="Cancelled","",IFERROR(IF(OR(AM599="",AK599=""),"",(AK599+Variables!$B$19)-AM599),""))</f>
        <v/>
      </c>
      <c r="AR599" s="12" t="str">
        <f>IF($H599="Cancelled","",IFERROR(T599*INDEX(Variables!$B$7:$D$7,IFERROR(MATCH(IF($B599="Robusta","Robusta",(IF($B599="","Arabica",$B599))&amp;" - "&amp;(IF($C599="","Commercial",$C599))),Variables!$B$1:$D$1,0),1))*(AQ599/365),""))</f>
        <v/>
      </c>
      <c r="AS599" s="12">
        <f>IF($H599="Cancelled","",IFERROR((T599*INDEX(Variables!$B$7:$D$7,IFERROR(MATCH(IF($B599="Robusta","Robusta",(IF($B599="","Arabica",$B599))&amp;" - "&amp;(IF($C599="","Commercial",$C599))),Variables!$B$1:$D$1,0),1))*IFERROR(IF(W599="","",(AVERAGE(E599:F599)-W599)-Variables!$B$14),"")/365)+(L599/16.67*INDEX(Variables!$B$8:$D$8,IFERROR(MATCH(IF($B599="Robusta","Robusta",(IF($B599="","Arabica",$B599))&amp;" - "&amp;(IF($C599="","Commercial",$C599))),Variables!$B$1:$D$1,0),1))*IFERROR(IF(W599="","",(AVERAGE(E599:F599)-W599)-Variables!$B$14),""))+(T599*INDEX(Variables!$B$9:$D$9,IFERROR(MATCH(IF($B599="Robusta","Robusta",(IF($B599="","Arabica",$B599))&amp;" - "&amp;(IF($C599="","Commercial",$C599))),Variables!$B$1:$D$1,0),1))*IFERROR(IF(W599="","",(AVERAGE(E599:F599)-W599)-Variables!$B$14),"")/365),""))</f>
        <v>-583.8350771932719</v>
      </c>
      <c r="AT599" s="12">
        <f>IF($H599="Cancelled","",IFERROR((T599*INDEX(Variables!$B$7:$D$7,IFERROR(MATCH(IF($B599="Robusta","Robusta",(IF($B599="","Arabica",$B599))&amp;" - "&amp;(IF($C599="","Commercial",$C599))),Variables!$B$1:$D$1,0),1))*AC599/365)+(L599/16.67*INDEX(Variables!$B$8:$D$8,IFERROR(MATCH(IF($B599="Robusta","Robusta",(IF($B599="","Arabica",$B599))&amp;" - "&amp;(IF($C599="","Commercial",$C599))),Variables!$B$1:$D$1,0),1))*AC599)+(T599*INDEX(Variables!$B$9:$D$9,IFERROR(MATCH(IF($B599="Robusta","Robusta",(IF($B599="","Arabica",$B599))&amp;" - "&amp;(IF($C599="","Commercial",$C599))),Variables!$B$1:$D$1,0),1))*AC599/365),""))</f>
        <v>-2189.3815394747699</v>
      </c>
      <c r="AU599" s="12">
        <f>IF($H599="Cancelled","",IFERROR((T599*INDEX(Variables!$B$7:$D$7,IFERROR(MATCH(IF($B599="Robusta","Robusta",(IF($B599="","Arabica",$B599))&amp;" - "&amp;(IF($C599="","Commercial",$C599))),Variables!$B$1:$D$1,0),1))*AP599/365)+(L599/16.67*INDEX(Variables!$B$8:$D$8,IFERROR(MATCH(IF($B599="Robusta","Robusta",(IF($B599="","Arabica",$B599))&amp;" - "&amp;(IF($C599="","Commercial",$C599))),Variables!$B$1:$D$1,0),1))*AP599)+(T599*INDEX(Variables!$B$9:$D$9,IFERROR(MATCH(IF($B599="Robusta","Robusta",(IF($B599="","Arabica",$B599))&amp;" - "&amp;(IF($C599="","Commercial",$C599))),Variables!$B$1:$D$1,0),1))*AP599/365),""))</f>
        <v>-2189.3815394747699</v>
      </c>
      <c r="AV599" s="11">
        <f t="shared" si="65"/>
        <v>-4</v>
      </c>
      <c r="AW599" s="12">
        <f>IF($H599="Cancelled","",IFERROR(IF(AV599="","",(T599*INDEX(Variables!$B$7:$D$7,IFERROR(MATCH(IF($B599="Robusta","Robusta",(IF($B599="","Arabica",$B599))&amp;" - "&amp;(IF($C599="","Commercial",$C599))),Variables!$B$1:$D$1,0),1))*(AV599/365))+(T599*INDEX(Variables!$B$9:$D$9,IFERROR(MATCH(IF($B599="Robusta","Robusta",(IF($B599="","Arabica",$B599))&amp;" - "&amp;(IF($C599="","Commercial",$C599))),Variables!$B$1:$D$1,0),1))*(AV599/365))+(INDEX(Variables!$B$8:$D$8,IFERROR(MATCH(IF($B599="Robusta","Robusta",(IF($B599="","Arabica",$B599))&amp;" - "&amp;(IF($C599="","Commercial",$C599))),Variables!$B$1:$D$1,0),1))*L599/16.67)),""))</f>
        <v>-313.83507719327196</v>
      </c>
      <c r="AX599" s="9"/>
      <c r="AY599" s="12"/>
      <c r="AZ599" s="10"/>
      <c r="BA599" s="9"/>
      <c r="BB599" s="10"/>
      <c r="BC599" s="9"/>
      <c r="BD599" s="9"/>
      <c r="BE599" s="9"/>
      <c r="BF599" s="9"/>
    </row>
    <row r="600" spans="1:58" x14ac:dyDescent="0.25">
      <c r="A600" s="9" t="s">
        <v>84</v>
      </c>
      <c r="B600" s="9" t="s">
        <v>85</v>
      </c>
      <c r="C600" s="9" t="s">
        <v>86</v>
      </c>
      <c r="D600" s="10">
        <v>46065</v>
      </c>
      <c r="E600" s="10">
        <v>46082</v>
      </c>
      <c r="F600" s="10">
        <v>46112</v>
      </c>
      <c r="G600" s="9">
        <v>3787263</v>
      </c>
      <c r="H600" s="9" t="str">
        <f t="shared" si="63"/>
        <v>Closed</v>
      </c>
      <c r="I600" s="9" t="str">
        <f t="shared" si="64"/>
        <v>All dates received</v>
      </c>
      <c r="J600" s="9" t="s">
        <v>308</v>
      </c>
      <c r="K600" s="9">
        <v>5428</v>
      </c>
      <c r="L600" s="11">
        <v>1440</v>
      </c>
      <c r="M600" s="9" t="s">
        <v>1479</v>
      </c>
      <c r="N600" s="9" t="s">
        <v>432</v>
      </c>
      <c r="O600" s="9"/>
      <c r="P600" s="9"/>
      <c r="Q600" s="11">
        <v>79</v>
      </c>
      <c r="R600" s="9" t="s">
        <v>90</v>
      </c>
      <c r="S600" s="9" t="s">
        <v>106</v>
      </c>
      <c r="T600" s="12">
        <f>IF($H600="Cancelled","",IFERROR(((Q600+INDEX(Variables!$B$6:$D$6,IFERROR(MATCH(IF($B600="Robusta","Robusta",(IF($B600="","Arabica",$B600))&amp;" - "&amp;(IF($C600="","Commercial",$C600))),Variables!$B$1:$D$1,0),1)))*22.0462)*(L600/16.67),""))</f>
        <v>704251.11304139171</v>
      </c>
      <c r="U600" s="10">
        <v>46070</v>
      </c>
      <c r="V600" s="9" t="str">
        <f t="shared" si="66"/>
        <v>Sent</v>
      </c>
      <c r="W600" s="10">
        <v>46079</v>
      </c>
      <c r="X600" s="9" t="str">
        <f t="shared" si="62"/>
        <v>Approved</v>
      </c>
      <c r="Y600" s="10"/>
      <c r="Z600" s="10">
        <f>IF($H600="Cancelled","",IFERROR(IF(F600="","",F600-Variables!$B$13),""))</f>
        <v>46097</v>
      </c>
      <c r="AA600" s="11">
        <f>IF($H600="Cancelled","",IFERROR(IF(W600="","",(AVERAGE(E600:F600)-W600)-Variables!$B$14),""))</f>
        <v>-12</v>
      </c>
      <c r="AB600" s="10">
        <v>46089</v>
      </c>
      <c r="AC600" s="11">
        <f>IF($H600="Cancelled","",IFERROR(IF(AB600="","",IF(AND(W600="",Y600=""),"",IF(Y600&gt;W600,Y600+Variables!$B$15+Variables!$B$16+Variables!$B$17-AB600,W600+Variables!$B$16+Variables!$B$17-AB600))),""))</f>
        <v>-2</v>
      </c>
      <c r="AD600" s="9" t="s">
        <v>165</v>
      </c>
      <c r="AE600" s="9" t="s">
        <v>1481</v>
      </c>
      <c r="AF600" s="10">
        <v>46140</v>
      </c>
      <c r="AG600" s="10"/>
      <c r="AH600" s="9"/>
      <c r="AI600" s="9" t="s">
        <v>1482</v>
      </c>
      <c r="AJ600" s="9"/>
      <c r="AK600" s="10">
        <v>46103</v>
      </c>
      <c r="AL600" s="10">
        <v>46107</v>
      </c>
      <c r="AM600" s="10">
        <v>46107</v>
      </c>
      <c r="AN600" s="9" t="s">
        <v>1193</v>
      </c>
      <c r="AO600" s="9"/>
      <c r="AP600" s="11">
        <f>IF($H600="Cancelled","",IFERROR(IF(OR(AK600="",AB600=""),"",(AB600+Variables!$B$18-AK600)),""))</f>
        <v>-7</v>
      </c>
      <c r="AQ600" s="11">
        <f>IF($H600="Cancelled","",IFERROR(IF(OR(AM600="",AK600=""),"",(AK600+Variables!$B$19)-AM600),""))</f>
        <v>1</v>
      </c>
      <c r="AR600" s="12">
        <f>IF($H600="Cancelled","",IFERROR(T600*INDEX(Variables!$B$7:$D$7,IFERROR(MATCH(IF($B600="Robusta","Robusta",(IF($B600="","Arabica",$B600))&amp;" - "&amp;(IF($C600="","Commercial",$C600))),Variables!$B$1:$D$1,0),1))*(AQ600/365),""))</f>
        <v>124.41550992152776</v>
      </c>
      <c r="AS600" s="12">
        <f>IF($H600="Cancelled","",IFERROR((T600*INDEX(Variables!$B$7:$D$7,IFERROR(MATCH(IF($B600="Robusta","Robusta",(IF($B600="","Arabica",$B600))&amp;" - "&amp;(IF($C600="","Commercial",$C600))),Variables!$B$1:$D$1,0),1))*IFERROR(IF(W600="","",(AVERAGE(E600:F600)-W600)-Variables!$B$14),"")/365)+(L600/16.67*INDEX(Variables!$B$8:$D$8,IFERROR(MATCH(IF($B600="Robusta","Robusta",(IF($B600="","Arabica",$B600))&amp;" - "&amp;(IF($C600="","Commercial",$C600))),Variables!$B$1:$D$1,0),1))*IFERROR(IF(W600="","",(AVERAGE(E600:F600)-W600)-Variables!$B$14),""))+(T600*INDEX(Variables!$B$9:$D$9,IFERROR(MATCH(IF($B600="Robusta","Robusta",(IF($B600="","Arabica",$B600))&amp;" - "&amp;(IF($C600="","Commercial",$C600))),Variables!$B$1:$D$1,0),1))*IFERROR(IF(W600="","",(AVERAGE(E600:F600)-W600)-Variables!$B$14),"")/365),""))</f>
        <v>-2376.2335913960201</v>
      </c>
      <c r="AT600" s="12">
        <f>IF($H600="Cancelled","",IFERROR((T600*INDEX(Variables!$B$7:$D$7,IFERROR(MATCH(IF($B600="Robusta","Robusta",(IF($B600="","Arabica",$B600))&amp;" - "&amp;(IF($C600="","Commercial",$C600))),Variables!$B$1:$D$1,0),1))*AC600/365)+(L600/16.67*INDEX(Variables!$B$8:$D$8,IFERROR(MATCH(IF($B600="Robusta","Robusta",(IF($B600="","Arabica",$B600))&amp;" - "&amp;(IF($C600="","Commercial",$C600))),Variables!$B$1:$D$1,0),1))*AC600)+(T600*INDEX(Variables!$B$9:$D$9,IFERROR(MATCH(IF($B600="Robusta","Robusta",(IF($B600="","Arabica",$B600))&amp;" - "&amp;(IF($C600="","Commercial",$C600))),Variables!$B$1:$D$1,0),1))*AC600/365),""))</f>
        <v>-396.03893189933666</v>
      </c>
      <c r="AU600" s="12">
        <f>IF($H600="Cancelled","",IFERROR((T600*INDEX(Variables!$B$7:$D$7,IFERROR(MATCH(IF($B600="Robusta","Robusta",(IF($B600="","Arabica",$B600))&amp;" - "&amp;(IF($C600="","Commercial",$C600))),Variables!$B$1:$D$1,0),1))*AP600/365)+(L600/16.67*INDEX(Variables!$B$8:$D$8,IFERROR(MATCH(IF($B600="Robusta","Robusta",(IF($B600="","Arabica",$B600))&amp;" - "&amp;(IF($C600="","Commercial",$C600))),Variables!$B$1:$D$1,0),1))*AP600)+(T600*INDEX(Variables!$B$9:$D$9,IFERROR(MATCH(IF($B600="Robusta","Robusta",(IF($B600="","Arabica",$B600))&amp;" - "&amp;(IF($C600="","Commercial",$C600))),Variables!$B$1:$D$1,0),1))*AP600/365),""))</f>
        <v>-1386.1362616476783</v>
      </c>
      <c r="AV600" s="11">
        <f t="shared" si="65"/>
        <v>9</v>
      </c>
      <c r="AW600" s="12">
        <f>IF($H600="Cancelled","",IFERROR(IF(AV600="","",(T600*INDEX(Variables!$B$7:$D$7,IFERROR(MATCH(IF($B600="Robusta","Robusta",(IF($B600="","Arabica",$B600))&amp;" - "&amp;(IF($C600="","Commercial",$C600))),Variables!$B$1:$D$1,0),1))*(AV600/365))+(T600*INDEX(Variables!$B$9:$D$9,IFERROR(MATCH(IF($B600="Robusta","Robusta",(IF($B600="","Arabica",$B600))&amp;" - "&amp;(IF($C600="","Commercial",$C600))),Variables!$B$1:$D$1,0),1))*(AV600/365))+(INDEX(Variables!$B$8:$D$8,IFERROR(MATCH(IF($B600="Robusta","Robusta",(IF($B600="","Arabica",$B600))&amp;" - "&amp;(IF($C600="","Commercial",$C600))),Variables!$B$1:$D$1,0),1))*L600/16.67)),""))</f>
        <v>1206.1751935470149</v>
      </c>
      <c r="AX600" s="9"/>
      <c r="AY600" s="12"/>
      <c r="AZ600" s="10"/>
      <c r="BA600" s="9"/>
      <c r="BB600" s="10"/>
      <c r="BC600" s="9"/>
      <c r="BD600" s="9"/>
      <c r="BE600" s="9"/>
      <c r="BF600" s="9"/>
    </row>
    <row r="601" spans="1:58" x14ac:dyDescent="0.25">
      <c r="A601" s="9" t="s">
        <v>84</v>
      </c>
      <c r="B601" s="9" t="s">
        <v>85</v>
      </c>
      <c r="C601" s="9" t="s">
        <v>86</v>
      </c>
      <c r="D601" s="10">
        <v>46071</v>
      </c>
      <c r="E601" s="10">
        <v>46082</v>
      </c>
      <c r="F601" s="10">
        <v>46112</v>
      </c>
      <c r="G601" s="9">
        <v>3787306</v>
      </c>
      <c r="H601" s="9" t="str">
        <f t="shared" si="63"/>
        <v>Open</v>
      </c>
      <c r="I601" s="9" t="str">
        <f t="shared" si="64"/>
        <v>No shipping advice sent and No docs dispatch date</v>
      </c>
      <c r="J601" s="9" t="s">
        <v>308</v>
      </c>
      <c r="K601" s="9">
        <v>5441</v>
      </c>
      <c r="L601" s="11">
        <v>3600</v>
      </c>
      <c r="M601" s="9" t="s">
        <v>1483</v>
      </c>
      <c r="N601" s="9" t="s">
        <v>432</v>
      </c>
      <c r="O601" s="9"/>
      <c r="P601" s="9"/>
      <c r="Q601" s="11">
        <v>68.5</v>
      </c>
      <c r="R601" s="9" t="s">
        <v>90</v>
      </c>
      <c r="S601" s="9" t="s">
        <v>106</v>
      </c>
      <c r="T601" s="12">
        <f>IF($H601="Cancelled","",IFERROR(((Q601+INDEX(Variables!$B$6:$D$6,IFERROR(MATCH(IF($B601="Robusta","Robusta",(IF($B601="","Arabica",$B601))&amp;" - "&amp;(IF($C601="","Commercial",$C601))),Variables!$B$1:$D$1,0),1)))*22.0462)*(L601/16.67),""))</f>
        <v>1710636.9991601678</v>
      </c>
      <c r="U601" s="10">
        <v>46086</v>
      </c>
      <c r="V601" s="9" t="str">
        <f t="shared" si="66"/>
        <v>Sent</v>
      </c>
      <c r="W601" s="10">
        <v>46097</v>
      </c>
      <c r="X601" s="9" t="str">
        <f t="shared" si="62"/>
        <v>Approved</v>
      </c>
      <c r="Y601" s="10"/>
      <c r="Z601" s="10">
        <f>IF($H601="Cancelled","",IFERROR(IF(F601="","",F601-Variables!$B$13),""))</f>
        <v>46097</v>
      </c>
      <c r="AA601" s="11">
        <f>IF($H601="Cancelled","",IFERROR(IF(W601="","",(AVERAGE(E601:F601)-W601)-Variables!$B$14),""))</f>
        <v>-30</v>
      </c>
      <c r="AB601" s="10">
        <v>46109</v>
      </c>
      <c r="AC601" s="11">
        <f>IF($H601="Cancelled","",IFERROR(IF(AB601="","",IF(AND(W601="",Y601=""),"",IF(Y601&gt;W601,Y601+Variables!$B$15+Variables!$B$16+Variables!$B$17-AB601,W601+Variables!$B$16+Variables!$B$17-AB601))),""))</f>
        <v>-4</v>
      </c>
      <c r="AD601" s="9" t="s">
        <v>165</v>
      </c>
      <c r="AE601" s="9" t="s">
        <v>1484</v>
      </c>
      <c r="AF601" s="10"/>
      <c r="AG601" s="10"/>
      <c r="AH601" s="9"/>
      <c r="AI601" s="9">
        <v>920683</v>
      </c>
      <c r="AJ601" s="9"/>
      <c r="AK601" s="10">
        <v>46120</v>
      </c>
      <c r="AL601" s="10"/>
      <c r="AM601" s="10"/>
      <c r="AN601" s="9" t="s">
        <v>1485</v>
      </c>
      <c r="AO601" s="9"/>
      <c r="AP601" s="11">
        <f>IF($H601="Cancelled","",IFERROR(IF(OR(AK601="",AB601=""),"",(AB601+Variables!$B$18-AK601)),""))</f>
        <v>-4</v>
      </c>
      <c r="AQ601" s="11" t="str">
        <f>IF($H601="Cancelled","",IFERROR(IF(OR(AM601="",AK601=""),"",(AK601+Variables!$B$19)-AM601),""))</f>
        <v/>
      </c>
      <c r="AR601" s="12" t="str">
        <f>IF($H601="Cancelled","",IFERROR(T601*INDEX(Variables!$B$7:$D$7,IFERROR(MATCH(IF($B601="Robusta","Robusta",(IF($B601="","Arabica",$B601))&amp;" - "&amp;(IF($C601="","Commercial",$C601))),Variables!$B$1:$D$1,0),1))*(AQ601/365),""))</f>
        <v/>
      </c>
      <c r="AS601" s="12">
        <f>IF($H601="Cancelled","",IFERROR((T601*INDEX(Variables!$B$7:$D$7,IFERROR(MATCH(IF($B601="Robusta","Robusta",(IF($B601="","Arabica",$B601))&amp;" - "&amp;(IF($C601="","Commercial",$C601))),Variables!$B$1:$D$1,0),1))*IFERROR(IF(W601="","",(AVERAGE(E601:F601)-W601)-Variables!$B$14),"")/365)+(L601/16.67*INDEX(Variables!$B$8:$D$8,IFERROR(MATCH(IF($B601="Robusta","Robusta",(IF($B601="","Arabica",$B601))&amp;" - "&amp;(IF($C601="","Commercial",$C601))),Variables!$B$1:$D$1,0),1))*IFERROR(IF(W601="","",(AVERAGE(E601:F601)-W601)-Variables!$B$14),""))+(T601*INDEX(Variables!$B$9:$D$9,IFERROR(MATCH(IF($B601="Robusta","Robusta",(IF($B601="","Arabica",$B601))&amp;" - "&amp;(IF($C601="","Commercial",$C601))),Variables!$B$1:$D$1,0),1))*IFERROR(IF(W601="","",(AVERAGE(E601:F601)-W601)-Variables!$B$14),"")/365),""))</f>
        <v>-14583.097779012132</v>
      </c>
      <c r="AT601" s="12">
        <f>IF($H601="Cancelled","",IFERROR((T601*INDEX(Variables!$B$7:$D$7,IFERROR(MATCH(IF($B601="Robusta","Robusta",(IF($B601="","Arabica",$B601))&amp;" - "&amp;(IF($C601="","Commercial",$C601))),Variables!$B$1:$D$1,0),1))*AC601/365)+(L601/16.67*INDEX(Variables!$B$8:$D$8,IFERROR(MATCH(IF($B601="Robusta","Robusta",(IF($B601="","Arabica",$B601))&amp;" - "&amp;(IF($C601="","Commercial",$C601))),Variables!$B$1:$D$1,0),1))*AC601)+(T601*INDEX(Variables!$B$9:$D$9,IFERROR(MATCH(IF($B601="Robusta","Robusta",(IF($B601="","Arabica",$B601))&amp;" - "&amp;(IF($C601="","Commercial",$C601))),Variables!$B$1:$D$1,0),1))*AC601/365),""))</f>
        <v>-1944.4130372016177</v>
      </c>
      <c r="AU601" s="12">
        <f>IF($H601="Cancelled","",IFERROR((T601*INDEX(Variables!$B$7:$D$7,IFERROR(MATCH(IF($B601="Robusta","Robusta",(IF($B601="","Arabica",$B601))&amp;" - "&amp;(IF($C601="","Commercial",$C601))),Variables!$B$1:$D$1,0),1))*AP601/365)+(L601/16.67*INDEX(Variables!$B$8:$D$8,IFERROR(MATCH(IF($B601="Robusta","Robusta",(IF($B601="","Arabica",$B601))&amp;" - "&amp;(IF($C601="","Commercial",$C601))),Variables!$B$1:$D$1,0),1))*AP601)+(T601*INDEX(Variables!$B$9:$D$9,IFERROR(MATCH(IF($B601="Robusta","Robusta",(IF($B601="","Arabica",$B601))&amp;" - "&amp;(IF($C601="","Commercial",$C601))),Variables!$B$1:$D$1,0),1))*AP601/365),""))</f>
        <v>-1944.4130372016177</v>
      </c>
      <c r="AV601" s="11">
        <f t="shared" si="65"/>
        <v>-8</v>
      </c>
      <c r="AW601" s="12">
        <f>IF($H601="Cancelled","",IFERROR(IF(AV601="","",(T601*INDEX(Variables!$B$7:$D$7,IFERROR(MATCH(IF($B601="Robusta","Robusta",(IF($B601="","Arabica",$B601))&amp;" - "&amp;(IF($C601="","Commercial",$C601))),Variables!$B$1:$D$1,0),1))*(AV601/365))+(T601*INDEX(Variables!$B$9:$D$9,IFERROR(MATCH(IF($B601="Robusta","Robusta",(IF($B601="","Arabica",$B601))&amp;" - "&amp;(IF($C601="","Commercial",$C601))),Variables!$B$1:$D$1,0),1))*(AV601/365))+(INDEX(Variables!$B$8:$D$8,IFERROR(MATCH(IF($B601="Robusta","Robusta",(IF($B601="","Arabica",$B601))&amp;" - "&amp;(IF($C601="","Commercial",$C601))),Variables!$B$1:$D$1,0),1))*L601/16.67)),""))</f>
        <v>-2268.8260744032355</v>
      </c>
      <c r="AX601" s="9"/>
      <c r="AY601" s="12"/>
      <c r="AZ601" s="10"/>
      <c r="BA601" s="9"/>
      <c r="BB601" s="10"/>
      <c r="BC601" s="9"/>
      <c r="BD601" s="9"/>
      <c r="BE601" s="9"/>
      <c r="BF601" s="9"/>
    </row>
    <row r="602" spans="1:58" x14ac:dyDescent="0.25">
      <c r="A602" s="9" t="s">
        <v>84</v>
      </c>
      <c r="B602" s="9" t="s">
        <v>85</v>
      </c>
      <c r="C602" s="9" t="s">
        <v>1486</v>
      </c>
      <c r="D602" s="10">
        <v>45338</v>
      </c>
      <c r="E602" s="10">
        <v>45352</v>
      </c>
      <c r="F602" s="10">
        <v>45382</v>
      </c>
      <c r="G602" s="9">
        <v>3786112</v>
      </c>
      <c r="H602" s="9" t="str">
        <f t="shared" si="63"/>
        <v>Closed</v>
      </c>
      <c r="I602" s="9" t="str">
        <f t="shared" si="64"/>
        <v>All dates received</v>
      </c>
      <c r="J602" s="9" t="s">
        <v>1487</v>
      </c>
      <c r="K602" s="9">
        <v>4721</v>
      </c>
      <c r="L602" s="11">
        <v>57</v>
      </c>
      <c r="M602" s="9" t="s">
        <v>1488</v>
      </c>
      <c r="N602" s="9"/>
      <c r="O602" s="9"/>
      <c r="P602" s="9"/>
      <c r="Q602" s="11"/>
      <c r="R602" s="9" t="s">
        <v>195</v>
      </c>
      <c r="S602" s="9" t="s">
        <v>183</v>
      </c>
      <c r="T602" s="12">
        <f>IF($H602="Cancelled","",IFERROR(((Q602+INDEX(Variables!$B$6:$D$6,IFERROR(MATCH(IF($B602="Robusta","Robusta",(IF($B602="","Arabica",$B602))&amp;" - "&amp;(IF($C602="","Commercial",$C602))),Variables!$B$1:$D$1,0),1)))*22.0462)*(L602/16.67),""))</f>
        <v>21921.355292141568</v>
      </c>
      <c r="U602" s="10"/>
      <c r="V602" s="9" t="str">
        <f t="shared" si="66"/>
        <v/>
      </c>
      <c r="W602" s="10">
        <v>45337</v>
      </c>
      <c r="X602" s="9" t="str">
        <f t="shared" si="62"/>
        <v>Approved</v>
      </c>
      <c r="Y602" s="10">
        <v>45349</v>
      </c>
      <c r="Z602" s="10">
        <f>IF($H602="Cancelled","",IFERROR(IF(F602="","",F602-Variables!$B$13),""))</f>
        <v>45367</v>
      </c>
      <c r="AA602" s="11">
        <f>IF($H602="Cancelled","",IFERROR(IF(W602="","",(AVERAGE(E602:F602)-W602)-Variables!$B$14),""))</f>
        <v>0</v>
      </c>
      <c r="AB602" s="10">
        <v>45370</v>
      </c>
      <c r="AC602" s="11">
        <f>IF($H602="Cancelled","",IFERROR(IF(AB602="","",IF(AND(W602="",Y602=""),"",IF(Y602&gt;W602,Y602+Variables!$B$15+Variables!$B$16+Variables!$B$17-AB602,W602+Variables!$B$16+Variables!$B$17-AB602))),""))</f>
        <v>-6</v>
      </c>
      <c r="AD602" s="9" t="s">
        <v>1489</v>
      </c>
      <c r="AE602" s="9" t="s">
        <v>1490</v>
      </c>
      <c r="AF602" s="10"/>
      <c r="AG602" s="10"/>
      <c r="AH602" s="9"/>
      <c r="AI602" s="9" t="s">
        <v>1491</v>
      </c>
      <c r="AJ602" s="9">
        <v>3331746596</v>
      </c>
      <c r="AK602" s="10">
        <v>45381</v>
      </c>
      <c r="AL602" s="10">
        <v>45384</v>
      </c>
      <c r="AM602" s="10">
        <v>45393</v>
      </c>
      <c r="AN602" s="9" t="s">
        <v>1492</v>
      </c>
      <c r="AO602" s="9"/>
      <c r="AP602" s="11">
        <f>IF($H602="Cancelled","",IFERROR(IF(OR(AK602="",AB602=""),"",(AB602+Variables!$B$18-AK602)),""))</f>
        <v>-4</v>
      </c>
      <c r="AQ602" s="11">
        <f>IF($H602="Cancelled","",IFERROR(IF(OR(AM602="",AK602=""),"",(AK602+Variables!$B$19)-AM602),""))</f>
        <v>-7</v>
      </c>
      <c r="AR602" s="12">
        <f>IF($H602="Cancelled","",IFERROR(T602*INDEX(Variables!$B$7:$D$7,IFERROR(MATCH(IF($B602="Robusta","Robusta",(IF($B602="","Arabica",$B602))&amp;" - "&amp;(IF($C602="","Commercial",$C602))),Variables!$B$1:$D$1,0),1))*(AQ602/365),""))</f>
        <v>-27.108932913787722</v>
      </c>
      <c r="AS602" s="12">
        <f>IF($H602="Cancelled","",IFERROR((T602*INDEX(Variables!$B$7:$D$7,IFERROR(MATCH(IF($B602="Robusta","Robusta",(IF($B602="","Arabica",$B602))&amp;" - "&amp;(IF($C602="","Commercial",$C602))),Variables!$B$1:$D$1,0),1))*IFERROR(IF(W602="","",(AVERAGE(E602:F602)-W602)-Variables!$B$14),"")/365)+(L602/16.67*INDEX(Variables!$B$8:$D$8,IFERROR(MATCH(IF($B602="Robusta","Robusta",(IF($B602="","Arabica",$B602))&amp;" - "&amp;(IF($C602="","Commercial",$C602))),Variables!$B$1:$D$1,0),1))*IFERROR(IF(W602="","",(AVERAGE(E602:F602)-W602)-Variables!$B$14),""))+(T602*INDEX(Variables!$B$9:$D$9,IFERROR(MATCH(IF($B602="Robusta","Robusta",(IF($B602="","Arabica",$B602))&amp;" - "&amp;(IF($C602="","Commercial",$C602))),Variables!$B$1:$D$1,0),1))*IFERROR(IF(W602="","",(AVERAGE(E602:F602)-W602)-Variables!$B$14),"")/365),""))</f>
        <v>0</v>
      </c>
      <c r="AT602" s="12">
        <f>IF($H602="Cancelled","",IFERROR((T602*INDEX(Variables!$B$7:$D$7,IFERROR(MATCH(IF($B602="Robusta","Robusta",(IF($B602="","Arabica",$B602))&amp;" - "&amp;(IF($C602="","Commercial",$C602))),Variables!$B$1:$D$1,0),1))*AC602/365)+(L602/16.67*INDEX(Variables!$B$8:$D$8,IFERROR(MATCH(IF($B602="Robusta","Robusta",(IF($B602="","Arabica",$B602))&amp;" - "&amp;(IF($C602="","Commercial",$C602))),Variables!$B$1:$D$1,0),1))*AC602)+(T602*INDEX(Variables!$B$9:$D$9,IFERROR(MATCH(IF($B602="Robusta","Robusta",(IF($B602="","Arabica",$B602))&amp;" - "&amp;(IF($C602="","Commercial",$C602))),Variables!$B$1:$D$1,0),1))*AC602/365),""))</f>
        <v>-40.63578803627324</v>
      </c>
      <c r="AU602" s="12">
        <f>IF($H602="Cancelled","",IFERROR((T602*INDEX(Variables!$B$7:$D$7,IFERROR(MATCH(IF($B602="Robusta","Robusta",(IF($B602="","Arabica",$B602))&amp;" - "&amp;(IF($C602="","Commercial",$C602))),Variables!$B$1:$D$1,0),1))*AP602/365)+(L602/16.67*INDEX(Variables!$B$8:$D$8,IFERROR(MATCH(IF($B602="Robusta","Robusta",(IF($B602="","Arabica",$B602))&amp;" - "&amp;(IF($C602="","Commercial",$C602))),Variables!$B$1:$D$1,0),1))*AP602)+(T602*INDEX(Variables!$B$9:$D$9,IFERROR(MATCH(IF($B602="Robusta","Robusta",(IF($B602="","Arabica",$B602))&amp;" - "&amp;(IF($C602="","Commercial",$C602))),Variables!$B$1:$D$1,0),1))*AP602/365),""))</f>
        <v>-27.090525357515492</v>
      </c>
      <c r="AV602" s="11">
        <f t="shared" si="65"/>
        <v>1</v>
      </c>
      <c r="AW602" s="12">
        <f>IF($H602="Cancelled","",IFERROR(IF(AV602="","",(T602*INDEX(Variables!$B$7:$D$7,IFERROR(MATCH(IF($B602="Robusta","Robusta",(IF($B602="","Arabica",$B602))&amp;" - "&amp;(IF($C602="","Commercial",$C602))),Variables!$B$1:$D$1,0),1))*(AV602/365))+(T602*INDEX(Variables!$B$9:$D$9,IFERROR(MATCH(IF($B602="Robusta","Robusta",(IF($B602="","Arabica",$B602))&amp;" - "&amp;(IF($C602="","Commercial",$C602))),Variables!$B$1:$D$1,0),1))*(AV602/365))+(INDEX(Variables!$B$8:$D$8,IFERROR(MATCH(IF($B602="Robusta","Robusta",(IF($B602="","Arabica",$B602))&amp;" - "&amp;(IF($C602="","Commercial",$C602))),Variables!$B$1:$D$1,0),1))*L602/16.67)),""))</f>
        <v>6.7726313393788722</v>
      </c>
      <c r="AX602" s="9"/>
      <c r="AY602" s="12"/>
      <c r="AZ602" s="10"/>
      <c r="BA602" s="9"/>
      <c r="BB602" s="10"/>
      <c r="BC602" s="9"/>
      <c r="BD602" s="9"/>
      <c r="BE602" s="9"/>
      <c r="BF602" s="9"/>
    </row>
    <row r="603" spans="1:58" x14ac:dyDescent="0.25">
      <c r="A603" s="9" t="s">
        <v>84</v>
      </c>
      <c r="B603" s="9" t="s">
        <v>85</v>
      </c>
      <c r="C603" s="9" t="s">
        <v>1486</v>
      </c>
      <c r="D603" s="10">
        <v>45338</v>
      </c>
      <c r="E603" s="10">
        <v>45352</v>
      </c>
      <c r="F603" s="10">
        <v>45382</v>
      </c>
      <c r="G603" s="9">
        <v>3786114</v>
      </c>
      <c r="H603" s="9" t="str">
        <f t="shared" si="63"/>
        <v>Closed</v>
      </c>
      <c r="I603" s="9" t="str">
        <f t="shared" si="64"/>
        <v>All dates received</v>
      </c>
      <c r="J603" s="9" t="s">
        <v>1487</v>
      </c>
      <c r="K603" s="9">
        <v>4722</v>
      </c>
      <c r="L603" s="11">
        <v>50</v>
      </c>
      <c r="M603" s="9" t="s">
        <v>1493</v>
      </c>
      <c r="N603" s="9"/>
      <c r="O603" s="9"/>
      <c r="P603" s="9"/>
      <c r="Q603" s="11"/>
      <c r="R603" s="9" t="s">
        <v>195</v>
      </c>
      <c r="S603" s="9" t="s">
        <v>183</v>
      </c>
      <c r="T603" s="12">
        <f>IF($H603="Cancelled","",IFERROR(((Q603+INDEX(Variables!$B$6:$D$6,IFERROR(MATCH(IF($B603="Robusta","Robusta",(IF($B603="","Arabica",$B603))&amp;" - "&amp;(IF($C603="","Commercial",$C603))),Variables!$B$1:$D$1,0),1)))*22.0462)*(L603/16.67),""))</f>
        <v>19229.259028194359</v>
      </c>
      <c r="U603" s="10"/>
      <c r="V603" s="9" t="str">
        <f t="shared" si="66"/>
        <v/>
      </c>
      <c r="W603" s="10">
        <v>45337</v>
      </c>
      <c r="X603" s="9" t="str">
        <f t="shared" si="62"/>
        <v>Approved</v>
      </c>
      <c r="Y603" s="10">
        <v>45349</v>
      </c>
      <c r="Z603" s="10">
        <f>IF($H603="Cancelled","",IFERROR(IF(F603="","",F603-Variables!$B$13),""))</f>
        <v>45367</v>
      </c>
      <c r="AA603" s="11">
        <f>IF($H603="Cancelled","",IFERROR(IF(W603="","",(AVERAGE(E603:F603)-W603)-Variables!$B$14),""))</f>
        <v>0</v>
      </c>
      <c r="AB603" s="10">
        <v>45370</v>
      </c>
      <c r="AC603" s="11">
        <f>IF($H603="Cancelled","",IFERROR(IF(AB603="","",IF(AND(W603="",Y603=""),"",IF(Y603&gt;W603,Y603+Variables!$B$15+Variables!$B$16+Variables!$B$17-AB603,W603+Variables!$B$16+Variables!$B$17-AB603))),""))</f>
        <v>-6</v>
      </c>
      <c r="AD603" s="9" t="s">
        <v>1489</v>
      </c>
      <c r="AE603" s="9" t="s">
        <v>1490</v>
      </c>
      <c r="AF603" s="10"/>
      <c r="AG603" s="10"/>
      <c r="AH603" s="9"/>
      <c r="AI603" s="9" t="s">
        <v>1491</v>
      </c>
      <c r="AJ603" s="9">
        <v>3331746596</v>
      </c>
      <c r="AK603" s="10">
        <v>45381</v>
      </c>
      <c r="AL603" s="10">
        <v>45384</v>
      </c>
      <c r="AM603" s="10">
        <v>45393</v>
      </c>
      <c r="AN603" s="9" t="s">
        <v>1492</v>
      </c>
      <c r="AO603" s="9"/>
      <c r="AP603" s="11">
        <f>IF($H603="Cancelled","",IFERROR(IF(OR(AK603="",AB603=""),"",(AB603+Variables!$B$18-AK603)),""))</f>
        <v>-4</v>
      </c>
      <c r="AQ603" s="11">
        <f>IF($H603="Cancelled","",IFERROR(IF(OR(AM603="",AK603=""),"",(AK603+Variables!$B$19)-AM603),""))</f>
        <v>-7</v>
      </c>
      <c r="AR603" s="12">
        <f>IF($H603="Cancelled","",IFERROR(T603*INDEX(Variables!$B$7:$D$7,IFERROR(MATCH(IF($B603="Robusta","Robusta",(IF($B603="","Arabica",$B603))&amp;" - "&amp;(IF($C603="","Commercial",$C603))),Variables!$B$1:$D$1,0),1))*(AQ603/365),""))</f>
        <v>-23.779765713848882</v>
      </c>
      <c r="AS603" s="12">
        <f>IF($H603="Cancelled","",IFERROR((T603*INDEX(Variables!$B$7:$D$7,IFERROR(MATCH(IF($B603="Robusta","Robusta",(IF($B603="","Arabica",$B603))&amp;" - "&amp;(IF($C603="","Commercial",$C603))),Variables!$B$1:$D$1,0),1))*IFERROR(IF(W603="","",(AVERAGE(E603:F603)-W603)-Variables!$B$14),"")/365)+(L603/16.67*INDEX(Variables!$B$8:$D$8,IFERROR(MATCH(IF($B603="Robusta","Robusta",(IF($B603="","Arabica",$B603))&amp;" - "&amp;(IF($C603="","Commercial",$C603))),Variables!$B$1:$D$1,0),1))*IFERROR(IF(W603="","",(AVERAGE(E603:F603)-W603)-Variables!$B$14),""))+(T603*INDEX(Variables!$B$9:$D$9,IFERROR(MATCH(IF($B603="Robusta","Robusta",(IF($B603="","Arabica",$B603))&amp;" - "&amp;(IF($C603="","Commercial",$C603))),Variables!$B$1:$D$1,0),1))*IFERROR(IF(W603="","",(AVERAGE(E603:F603)-W603)-Variables!$B$14),"")/365),""))</f>
        <v>0</v>
      </c>
      <c r="AT603" s="12">
        <f>IF($H603="Cancelled","",IFERROR((T603*INDEX(Variables!$B$7:$D$7,IFERROR(MATCH(IF($B603="Robusta","Robusta",(IF($B603="","Arabica",$B603))&amp;" - "&amp;(IF($C603="","Commercial",$C603))),Variables!$B$1:$D$1,0),1))*AC603/365)+(L603/16.67*INDEX(Variables!$B$8:$D$8,IFERROR(MATCH(IF($B603="Robusta","Robusta",(IF($B603="","Arabica",$B603))&amp;" - "&amp;(IF($C603="","Commercial",$C603))),Variables!$B$1:$D$1,0),1))*AC603)+(T603*INDEX(Variables!$B$9:$D$9,IFERROR(MATCH(IF($B603="Robusta","Robusta",(IF($B603="","Arabica",$B603))&amp;" - "&amp;(IF($C603="","Commercial",$C603))),Variables!$B$1:$D$1,0),1))*AC603/365),""))</f>
        <v>-35.645428101994064</v>
      </c>
      <c r="AU603" s="12">
        <f>IF($H603="Cancelled","",IFERROR((T603*INDEX(Variables!$B$7:$D$7,IFERROR(MATCH(IF($B603="Robusta","Robusta",(IF($B603="","Arabica",$B603))&amp;" - "&amp;(IF($C603="","Commercial",$C603))),Variables!$B$1:$D$1,0),1))*AP603/365)+(L603/16.67*INDEX(Variables!$B$8:$D$8,IFERROR(MATCH(IF($B603="Robusta","Robusta",(IF($B603="","Arabica",$B603))&amp;" - "&amp;(IF($C603="","Commercial",$C603))),Variables!$B$1:$D$1,0),1))*AP603)+(T603*INDEX(Variables!$B$9:$D$9,IFERROR(MATCH(IF($B603="Robusta","Robusta",(IF($B603="","Arabica",$B603))&amp;" - "&amp;(IF($C603="","Commercial",$C603))),Variables!$B$1:$D$1,0),1))*AP603/365),""))</f>
        <v>-23.76361873466271</v>
      </c>
      <c r="AV603" s="11">
        <f t="shared" si="65"/>
        <v>1</v>
      </c>
      <c r="AW603" s="12">
        <f>IF($H603="Cancelled","",IFERROR(IF(AV603="","",(T603*INDEX(Variables!$B$7:$D$7,IFERROR(MATCH(IF($B603="Robusta","Robusta",(IF($B603="","Arabica",$B603))&amp;" - "&amp;(IF($C603="","Commercial",$C603))),Variables!$B$1:$D$1,0),1))*(AV603/365))+(T603*INDEX(Variables!$B$9:$D$9,IFERROR(MATCH(IF($B603="Robusta","Robusta",(IF($B603="","Arabica",$B603))&amp;" - "&amp;(IF($C603="","Commercial",$C603))),Variables!$B$1:$D$1,0),1))*(AV603/365))+(INDEX(Variables!$B$8:$D$8,IFERROR(MATCH(IF($B603="Robusta","Robusta",(IF($B603="","Arabica",$B603))&amp;" - "&amp;(IF($C603="","Commercial",$C603))),Variables!$B$1:$D$1,0),1))*L603/16.67)),""))</f>
        <v>5.9409046836656776</v>
      </c>
      <c r="AX603" s="9"/>
      <c r="AY603" s="12"/>
      <c r="AZ603" s="10"/>
      <c r="BA603" s="9"/>
      <c r="BB603" s="10"/>
      <c r="BC603" s="9"/>
      <c r="BD603" s="9"/>
      <c r="BE603" s="9"/>
      <c r="BF603" s="9"/>
    </row>
    <row r="604" spans="1:58" x14ac:dyDescent="0.25">
      <c r="A604" s="9" t="s">
        <v>84</v>
      </c>
      <c r="B604" s="9" t="s">
        <v>85</v>
      </c>
      <c r="C604" s="9" t="s">
        <v>1486</v>
      </c>
      <c r="D604" s="10">
        <v>45338</v>
      </c>
      <c r="E604" s="10">
        <v>45352</v>
      </c>
      <c r="F604" s="10">
        <v>45382</v>
      </c>
      <c r="G604" s="9">
        <v>3786117</v>
      </c>
      <c r="H604" s="9" t="str">
        <f t="shared" si="63"/>
        <v>Closed</v>
      </c>
      <c r="I604" s="9" t="str">
        <f t="shared" si="64"/>
        <v>All dates received</v>
      </c>
      <c r="J604" s="9" t="s">
        <v>1487</v>
      </c>
      <c r="K604" s="9">
        <v>4725</v>
      </c>
      <c r="L604" s="11">
        <v>84</v>
      </c>
      <c r="M604" s="9" t="s">
        <v>1494</v>
      </c>
      <c r="N604" s="9"/>
      <c r="O604" s="9"/>
      <c r="P604" s="9"/>
      <c r="Q604" s="11"/>
      <c r="R604" s="9" t="s">
        <v>195</v>
      </c>
      <c r="S604" s="9" t="s">
        <v>183</v>
      </c>
      <c r="T604" s="12">
        <f>IF($H604="Cancelled","",IFERROR(((Q604+INDEX(Variables!$B$6:$D$6,IFERROR(MATCH(IF($B604="Robusta","Robusta",(IF($B604="","Arabica",$B604))&amp;" - "&amp;(IF($C604="","Commercial",$C604))),Variables!$B$1:$D$1,0),1)))*22.0462)*(L604/16.67),""))</f>
        <v>32305.155167366524</v>
      </c>
      <c r="U604" s="10"/>
      <c r="V604" s="9" t="str">
        <f t="shared" si="66"/>
        <v/>
      </c>
      <c r="W604" s="10">
        <v>45337</v>
      </c>
      <c r="X604" s="9" t="str">
        <f t="shared" si="62"/>
        <v>Approved</v>
      </c>
      <c r="Y604" s="10">
        <v>45349</v>
      </c>
      <c r="Z604" s="10">
        <f>IF($H604="Cancelled","",IFERROR(IF(F604="","",F604-Variables!$B$13),""))</f>
        <v>45367</v>
      </c>
      <c r="AA604" s="11">
        <f>IF($H604="Cancelled","",IFERROR(IF(W604="","",(AVERAGE(E604:F604)-W604)-Variables!$B$14),""))</f>
        <v>0</v>
      </c>
      <c r="AB604" s="10">
        <v>45370</v>
      </c>
      <c r="AC604" s="11">
        <f>IF($H604="Cancelled","",IFERROR(IF(AB604="","",IF(AND(W604="",Y604=""),"",IF(Y604&gt;W604,Y604+Variables!$B$15+Variables!$B$16+Variables!$B$17-AB604,W604+Variables!$B$16+Variables!$B$17-AB604))),""))</f>
        <v>-6</v>
      </c>
      <c r="AD604" s="9" t="s">
        <v>1489</v>
      </c>
      <c r="AE604" s="9" t="s">
        <v>1490</v>
      </c>
      <c r="AF604" s="10"/>
      <c r="AG604" s="10"/>
      <c r="AH604" s="9"/>
      <c r="AI604" s="9" t="s">
        <v>1491</v>
      </c>
      <c r="AJ604" s="9">
        <v>3331746596</v>
      </c>
      <c r="AK604" s="10">
        <v>45381</v>
      </c>
      <c r="AL604" s="10">
        <v>45384</v>
      </c>
      <c r="AM604" s="10">
        <v>45393</v>
      </c>
      <c r="AN604" s="9" t="s">
        <v>1492</v>
      </c>
      <c r="AO604" s="9"/>
      <c r="AP604" s="11">
        <f>IF($H604="Cancelled","",IFERROR(IF(OR(AK604="",AB604=""),"",(AB604+Variables!$B$18-AK604)),""))</f>
        <v>-4</v>
      </c>
      <c r="AQ604" s="11">
        <f>IF($H604="Cancelled","",IFERROR(IF(OR(AM604="",AK604=""),"",(AK604+Variables!$B$19)-AM604),""))</f>
        <v>-7</v>
      </c>
      <c r="AR604" s="12">
        <f>IF($H604="Cancelled","",IFERROR(T604*INDEX(Variables!$B$7:$D$7,IFERROR(MATCH(IF($B604="Robusta","Robusta",(IF($B604="","Arabica",$B604))&amp;" - "&amp;(IF($C604="","Commercial",$C604))),Variables!$B$1:$D$1,0),1))*(AQ604/365),""))</f>
        <v>-39.950006399266123</v>
      </c>
      <c r="AS604" s="12">
        <f>IF($H604="Cancelled","",IFERROR((T604*INDEX(Variables!$B$7:$D$7,IFERROR(MATCH(IF($B604="Robusta","Robusta",(IF($B604="","Arabica",$B604))&amp;" - "&amp;(IF($C604="","Commercial",$C604))),Variables!$B$1:$D$1,0),1))*IFERROR(IF(W604="","",(AVERAGE(E604:F604)-W604)-Variables!$B$14),"")/365)+(L604/16.67*INDEX(Variables!$B$8:$D$8,IFERROR(MATCH(IF($B604="Robusta","Robusta",(IF($B604="","Arabica",$B604))&amp;" - "&amp;(IF($C604="","Commercial",$C604))),Variables!$B$1:$D$1,0),1))*IFERROR(IF(W604="","",(AVERAGE(E604:F604)-W604)-Variables!$B$14),""))+(T604*INDEX(Variables!$B$9:$D$9,IFERROR(MATCH(IF($B604="Robusta","Robusta",(IF($B604="","Arabica",$B604))&amp;" - "&amp;(IF($C604="","Commercial",$C604))),Variables!$B$1:$D$1,0),1))*IFERROR(IF(W604="","",(AVERAGE(E604:F604)-W604)-Variables!$B$14),"")/365),""))</f>
        <v>0</v>
      </c>
      <c r="AT604" s="12">
        <f>IF($H604="Cancelled","",IFERROR((T604*INDEX(Variables!$B$7:$D$7,IFERROR(MATCH(IF($B604="Robusta","Robusta",(IF($B604="","Arabica",$B604))&amp;" - "&amp;(IF($C604="","Commercial",$C604))),Variables!$B$1:$D$1,0),1))*AC604/365)+(L604/16.67*INDEX(Variables!$B$8:$D$8,IFERROR(MATCH(IF($B604="Robusta","Robusta",(IF($B604="","Arabica",$B604))&amp;" - "&amp;(IF($C604="","Commercial",$C604))),Variables!$B$1:$D$1,0),1))*AC604)+(T604*INDEX(Variables!$B$9:$D$9,IFERROR(MATCH(IF($B604="Robusta","Robusta",(IF($B604="","Arabica",$B604))&amp;" - "&amp;(IF($C604="","Commercial",$C604))),Variables!$B$1:$D$1,0),1))*AC604/365),""))</f>
        <v>-59.884319211350032</v>
      </c>
      <c r="AU604" s="12">
        <f>IF($H604="Cancelled","",IFERROR((T604*INDEX(Variables!$B$7:$D$7,IFERROR(MATCH(IF($B604="Robusta","Robusta",(IF($B604="","Arabica",$B604))&amp;" - "&amp;(IF($C604="","Commercial",$C604))),Variables!$B$1:$D$1,0),1))*AP604/365)+(L604/16.67*INDEX(Variables!$B$8:$D$8,IFERROR(MATCH(IF($B604="Robusta","Robusta",(IF($B604="","Arabica",$B604))&amp;" - "&amp;(IF($C604="","Commercial",$C604))),Variables!$B$1:$D$1,0),1))*AP604)+(T604*INDEX(Variables!$B$9:$D$9,IFERROR(MATCH(IF($B604="Robusta","Robusta",(IF($B604="","Arabica",$B604))&amp;" - "&amp;(IF($C604="","Commercial",$C604))),Variables!$B$1:$D$1,0),1))*AP604/365),""))</f>
        <v>-39.922879474233355</v>
      </c>
      <c r="AV604" s="11">
        <f t="shared" si="65"/>
        <v>1</v>
      </c>
      <c r="AW604" s="12">
        <f>IF($H604="Cancelled","",IFERROR(IF(AV604="","",(T604*INDEX(Variables!$B$7:$D$7,IFERROR(MATCH(IF($B604="Robusta","Robusta",(IF($B604="","Arabica",$B604))&amp;" - "&amp;(IF($C604="","Commercial",$C604))),Variables!$B$1:$D$1,0),1))*(AV604/365))+(T604*INDEX(Variables!$B$9:$D$9,IFERROR(MATCH(IF($B604="Robusta","Robusta",(IF($B604="","Arabica",$B604))&amp;" - "&amp;(IF($C604="","Commercial",$C604))),Variables!$B$1:$D$1,0),1))*(AV604/365))+(INDEX(Variables!$B$8:$D$8,IFERROR(MATCH(IF($B604="Robusta","Robusta",(IF($B604="","Arabica",$B604))&amp;" - "&amp;(IF($C604="","Commercial",$C604))),Variables!$B$1:$D$1,0),1))*L604/16.67)),""))</f>
        <v>9.9807198685583387</v>
      </c>
      <c r="AX604" s="9"/>
      <c r="AY604" s="12"/>
      <c r="AZ604" s="10"/>
      <c r="BA604" s="9"/>
      <c r="BB604" s="10"/>
      <c r="BC604" s="9"/>
      <c r="BD604" s="9"/>
      <c r="BE604" s="9"/>
      <c r="BF604" s="9"/>
    </row>
    <row r="605" spans="1:58" x14ac:dyDescent="0.25">
      <c r="A605" s="9" t="s">
        <v>84</v>
      </c>
      <c r="B605" s="9" t="s">
        <v>85</v>
      </c>
      <c r="C605" s="9" t="s">
        <v>1486</v>
      </c>
      <c r="D605" s="10">
        <v>45338</v>
      </c>
      <c r="E605" s="10">
        <v>45352</v>
      </c>
      <c r="F605" s="10">
        <v>45382</v>
      </c>
      <c r="G605" s="9">
        <v>3786118</v>
      </c>
      <c r="H605" s="9" t="str">
        <f t="shared" si="63"/>
        <v>Closed</v>
      </c>
      <c r="I605" s="9" t="str">
        <f t="shared" si="64"/>
        <v>All dates received</v>
      </c>
      <c r="J605" s="9" t="s">
        <v>1487</v>
      </c>
      <c r="K605" s="9">
        <v>4726</v>
      </c>
      <c r="L605" s="11">
        <v>15</v>
      </c>
      <c r="M605" s="9" t="s">
        <v>1495</v>
      </c>
      <c r="N605" s="9"/>
      <c r="O605" s="9"/>
      <c r="P605" s="9"/>
      <c r="Q605" s="11"/>
      <c r="R605" s="9" t="s">
        <v>195</v>
      </c>
      <c r="S605" s="9" t="s">
        <v>183</v>
      </c>
      <c r="T605" s="12">
        <f>IF($H605="Cancelled","",IFERROR(((Q605+INDEX(Variables!$B$6:$D$6,IFERROR(MATCH(IF($B605="Robusta","Robusta",(IF($B605="","Arabica",$B605))&amp;" - "&amp;(IF($C605="","Commercial",$C605))),Variables!$B$1:$D$1,0),1)))*22.0462)*(L605/16.67),""))</f>
        <v>5768.7777084583076</v>
      </c>
      <c r="U605" s="10"/>
      <c r="V605" s="9" t="str">
        <f t="shared" si="66"/>
        <v/>
      </c>
      <c r="W605" s="10">
        <v>45337</v>
      </c>
      <c r="X605" s="9" t="str">
        <f t="shared" si="62"/>
        <v>Approved</v>
      </c>
      <c r="Y605" s="10">
        <v>45349</v>
      </c>
      <c r="Z605" s="10">
        <f>IF($H605="Cancelled","",IFERROR(IF(F605="","",F605-Variables!$B$13),""))</f>
        <v>45367</v>
      </c>
      <c r="AA605" s="11">
        <f>IF($H605="Cancelled","",IFERROR(IF(W605="","",(AVERAGE(E605:F605)-W605)-Variables!$B$14),""))</f>
        <v>0</v>
      </c>
      <c r="AB605" s="10">
        <v>45370</v>
      </c>
      <c r="AC605" s="11">
        <f>IF($H605="Cancelled","",IFERROR(IF(AB605="","",IF(AND(W605="",Y605=""),"",IF(Y605&gt;W605,Y605+Variables!$B$15+Variables!$B$16+Variables!$B$17-AB605,W605+Variables!$B$16+Variables!$B$17-AB605))),""))</f>
        <v>-6</v>
      </c>
      <c r="AD605" s="9" t="s">
        <v>1489</v>
      </c>
      <c r="AE605" s="9" t="s">
        <v>1490</v>
      </c>
      <c r="AF605" s="10"/>
      <c r="AG605" s="10"/>
      <c r="AH605" s="9"/>
      <c r="AI605" s="9" t="s">
        <v>1491</v>
      </c>
      <c r="AJ605" s="9">
        <v>3331746596</v>
      </c>
      <c r="AK605" s="10">
        <v>45381</v>
      </c>
      <c r="AL605" s="10">
        <v>45384</v>
      </c>
      <c r="AM605" s="10">
        <v>45393</v>
      </c>
      <c r="AN605" s="9" t="s">
        <v>1492</v>
      </c>
      <c r="AO605" s="9"/>
      <c r="AP605" s="11">
        <f>IF($H605="Cancelled","",IFERROR(IF(OR(AK605="",AB605=""),"",(AB605+Variables!$B$18-AK605)),""))</f>
        <v>-4</v>
      </c>
      <c r="AQ605" s="11">
        <f>IF($H605="Cancelled","",IFERROR(IF(OR(AM605="",AK605=""),"",(AK605+Variables!$B$19)-AM605),""))</f>
        <v>-7</v>
      </c>
      <c r="AR605" s="12">
        <f>IF($H605="Cancelled","",IFERROR(T605*INDEX(Variables!$B$7:$D$7,IFERROR(MATCH(IF($B605="Robusta","Robusta",(IF($B605="","Arabica",$B605))&amp;" - "&amp;(IF($C605="","Commercial",$C605))),Variables!$B$1:$D$1,0),1))*(AQ605/365),""))</f>
        <v>-7.1339297141546636</v>
      </c>
      <c r="AS605" s="12">
        <f>IF($H605="Cancelled","",IFERROR((T605*INDEX(Variables!$B$7:$D$7,IFERROR(MATCH(IF($B605="Robusta","Robusta",(IF($B605="","Arabica",$B605))&amp;" - "&amp;(IF($C605="","Commercial",$C605))),Variables!$B$1:$D$1,0),1))*IFERROR(IF(W605="","",(AVERAGE(E605:F605)-W605)-Variables!$B$14),"")/365)+(L605/16.67*INDEX(Variables!$B$8:$D$8,IFERROR(MATCH(IF($B605="Robusta","Robusta",(IF($B605="","Arabica",$B605))&amp;" - "&amp;(IF($C605="","Commercial",$C605))),Variables!$B$1:$D$1,0),1))*IFERROR(IF(W605="","",(AVERAGE(E605:F605)-W605)-Variables!$B$14),""))+(T605*INDEX(Variables!$B$9:$D$9,IFERROR(MATCH(IF($B605="Robusta","Robusta",(IF($B605="","Arabica",$B605))&amp;" - "&amp;(IF($C605="","Commercial",$C605))),Variables!$B$1:$D$1,0),1))*IFERROR(IF(W605="","",(AVERAGE(E605:F605)-W605)-Variables!$B$14),"")/365),""))</f>
        <v>0</v>
      </c>
      <c r="AT605" s="12">
        <f>IF($H605="Cancelled","",IFERROR((T605*INDEX(Variables!$B$7:$D$7,IFERROR(MATCH(IF($B605="Robusta","Robusta",(IF($B605="","Arabica",$B605))&amp;" - "&amp;(IF($C605="","Commercial",$C605))),Variables!$B$1:$D$1,0),1))*AC605/365)+(L605/16.67*INDEX(Variables!$B$8:$D$8,IFERROR(MATCH(IF($B605="Robusta","Robusta",(IF($B605="","Arabica",$B605))&amp;" - "&amp;(IF($C605="","Commercial",$C605))),Variables!$B$1:$D$1,0),1))*AC605)+(T605*INDEX(Variables!$B$9:$D$9,IFERROR(MATCH(IF($B605="Robusta","Robusta",(IF($B605="","Arabica",$B605))&amp;" - "&amp;(IF($C605="","Commercial",$C605))),Variables!$B$1:$D$1,0),1))*AC605/365),""))</f>
        <v>-10.693628430598221</v>
      </c>
      <c r="AU605" s="12">
        <f>IF($H605="Cancelled","",IFERROR((T605*INDEX(Variables!$B$7:$D$7,IFERROR(MATCH(IF($B605="Robusta","Robusta",(IF($B605="","Arabica",$B605))&amp;" - "&amp;(IF($C605="","Commercial",$C605))),Variables!$B$1:$D$1,0),1))*AP605/365)+(L605/16.67*INDEX(Variables!$B$8:$D$8,IFERROR(MATCH(IF($B605="Robusta","Robusta",(IF($B605="","Arabica",$B605))&amp;" - "&amp;(IF($C605="","Commercial",$C605))),Variables!$B$1:$D$1,0),1))*AP605)+(T605*INDEX(Variables!$B$9:$D$9,IFERROR(MATCH(IF($B605="Robusta","Robusta",(IF($B605="","Arabica",$B605))&amp;" - "&amp;(IF($C605="","Commercial",$C605))),Variables!$B$1:$D$1,0),1))*AP605/365),""))</f>
        <v>-7.1290856203988131</v>
      </c>
      <c r="AV605" s="11">
        <f t="shared" si="65"/>
        <v>1</v>
      </c>
      <c r="AW605" s="12">
        <f>IF($H605="Cancelled","",IFERROR(IF(AV605="","",(T605*INDEX(Variables!$B$7:$D$7,IFERROR(MATCH(IF($B605="Robusta","Robusta",(IF($B605="","Arabica",$B605))&amp;" - "&amp;(IF($C605="","Commercial",$C605))),Variables!$B$1:$D$1,0),1))*(AV605/365))+(T605*INDEX(Variables!$B$9:$D$9,IFERROR(MATCH(IF($B605="Robusta","Robusta",(IF($B605="","Arabica",$B605))&amp;" - "&amp;(IF($C605="","Commercial",$C605))),Variables!$B$1:$D$1,0),1))*(AV605/365))+(INDEX(Variables!$B$8:$D$8,IFERROR(MATCH(IF($B605="Robusta","Robusta",(IF($B605="","Arabica",$B605))&amp;" - "&amp;(IF($C605="","Commercial",$C605))),Variables!$B$1:$D$1,0),1))*L605/16.67)),""))</f>
        <v>1.7822714050997033</v>
      </c>
      <c r="AX605" s="9"/>
      <c r="AY605" s="12"/>
      <c r="AZ605" s="10"/>
      <c r="BA605" s="9"/>
      <c r="BB605" s="10"/>
      <c r="BC605" s="9"/>
      <c r="BD605" s="9"/>
      <c r="BE605" s="9"/>
      <c r="BF605" s="9"/>
    </row>
    <row r="606" spans="1:58" x14ac:dyDescent="0.25">
      <c r="A606" s="9" t="s">
        <v>84</v>
      </c>
      <c r="B606" s="9" t="s">
        <v>85</v>
      </c>
      <c r="C606" s="9" t="s">
        <v>1486</v>
      </c>
      <c r="D606" s="10">
        <v>45338</v>
      </c>
      <c r="E606" s="10">
        <v>45352</v>
      </c>
      <c r="F606" s="10">
        <v>45382</v>
      </c>
      <c r="G606" s="9">
        <v>3786116</v>
      </c>
      <c r="H606" s="9" t="str">
        <f t="shared" si="63"/>
        <v>Closed</v>
      </c>
      <c r="I606" s="9" t="str">
        <f t="shared" si="64"/>
        <v>All dates received</v>
      </c>
      <c r="J606" s="9" t="s">
        <v>1487</v>
      </c>
      <c r="K606" s="9">
        <v>4724</v>
      </c>
      <c r="L606" s="11">
        <v>40</v>
      </c>
      <c r="M606" s="9" t="s">
        <v>1496</v>
      </c>
      <c r="N606" s="9"/>
      <c r="O606" s="9"/>
      <c r="P606" s="9"/>
      <c r="Q606" s="11"/>
      <c r="R606" s="9" t="s">
        <v>195</v>
      </c>
      <c r="S606" s="9" t="s">
        <v>183</v>
      </c>
      <c r="T606" s="12">
        <f>IF($H606="Cancelled","",IFERROR(((Q606+INDEX(Variables!$B$6:$D$6,IFERROR(MATCH(IF($B606="Robusta","Robusta",(IF($B606="","Arabica",$B606))&amp;" - "&amp;(IF($C606="","Commercial",$C606))),Variables!$B$1:$D$1,0),1)))*22.0462)*(L606/16.67),""))</f>
        <v>15383.407222555488</v>
      </c>
      <c r="U606" s="10"/>
      <c r="V606" s="9" t="str">
        <f t="shared" si="66"/>
        <v/>
      </c>
      <c r="W606" s="10">
        <v>45337</v>
      </c>
      <c r="X606" s="9" t="str">
        <f t="shared" si="62"/>
        <v>Approved</v>
      </c>
      <c r="Y606" s="10">
        <v>45349</v>
      </c>
      <c r="Z606" s="10">
        <f>IF($H606="Cancelled","",IFERROR(IF(F606="","",F606-Variables!$B$13),""))</f>
        <v>45367</v>
      </c>
      <c r="AA606" s="11">
        <f>IF($H606="Cancelled","",IFERROR(IF(W606="","",(AVERAGE(E606:F606)-W606)-Variables!$B$14),""))</f>
        <v>0</v>
      </c>
      <c r="AB606" s="10">
        <v>45372</v>
      </c>
      <c r="AC606" s="11">
        <f>IF($H606="Cancelled","",IFERROR(IF(AB606="","",IF(AND(W606="",Y606=""),"",IF(Y606&gt;W606,Y606+Variables!$B$15+Variables!$B$16+Variables!$B$17-AB606,W606+Variables!$B$16+Variables!$B$17-AB606))),""))</f>
        <v>-8</v>
      </c>
      <c r="AD606" s="9" t="s">
        <v>1489</v>
      </c>
      <c r="AE606" s="9" t="s">
        <v>1490</v>
      </c>
      <c r="AF606" s="10"/>
      <c r="AG606" s="10"/>
      <c r="AH606" s="9"/>
      <c r="AI606" s="9" t="s">
        <v>1497</v>
      </c>
      <c r="AJ606" s="9">
        <v>3331746596</v>
      </c>
      <c r="AK606" s="10">
        <v>45381</v>
      </c>
      <c r="AL606" s="10">
        <v>45384</v>
      </c>
      <c r="AM606" s="10">
        <v>45393</v>
      </c>
      <c r="AN606" s="9" t="s">
        <v>1492</v>
      </c>
      <c r="AO606" s="9"/>
      <c r="AP606" s="11">
        <f>IF($H606="Cancelled","",IFERROR(IF(OR(AK606="",AB606=""),"",(AB606+Variables!$B$18-AK606)),""))</f>
        <v>-2</v>
      </c>
      <c r="AQ606" s="11">
        <f>IF($H606="Cancelled","",IFERROR(IF(OR(AM606="",AK606=""),"",(AK606+Variables!$B$19)-AM606),""))</f>
        <v>-7</v>
      </c>
      <c r="AR606" s="12">
        <f>IF($H606="Cancelled","",IFERROR(T606*INDEX(Variables!$B$7:$D$7,IFERROR(MATCH(IF($B606="Robusta","Robusta",(IF($B606="","Arabica",$B606))&amp;" - "&amp;(IF($C606="","Commercial",$C606))),Variables!$B$1:$D$1,0),1))*(AQ606/365),""))</f>
        <v>-19.023812571079105</v>
      </c>
      <c r="AS606" s="12">
        <f>IF($H606="Cancelled","",IFERROR((T606*INDEX(Variables!$B$7:$D$7,IFERROR(MATCH(IF($B606="Robusta","Robusta",(IF($B606="","Arabica",$B606))&amp;" - "&amp;(IF($C606="","Commercial",$C606))),Variables!$B$1:$D$1,0),1))*IFERROR(IF(W606="","",(AVERAGE(E606:F606)-W606)-Variables!$B$14),"")/365)+(L606/16.67*INDEX(Variables!$B$8:$D$8,IFERROR(MATCH(IF($B606="Robusta","Robusta",(IF($B606="","Arabica",$B606))&amp;" - "&amp;(IF($C606="","Commercial",$C606))),Variables!$B$1:$D$1,0),1))*IFERROR(IF(W606="","",(AVERAGE(E606:F606)-W606)-Variables!$B$14),""))+(T606*INDEX(Variables!$B$9:$D$9,IFERROR(MATCH(IF($B606="Robusta","Robusta",(IF($B606="","Arabica",$B606))&amp;" - "&amp;(IF($C606="","Commercial",$C606))),Variables!$B$1:$D$1,0),1))*IFERROR(IF(W606="","",(AVERAGE(E606:F606)-W606)-Variables!$B$14),"")/365),""))</f>
        <v>0</v>
      </c>
      <c r="AT606" s="12">
        <f>IF($H606="Cancelled","",IFERROR((T606*INDEX(Variables!$B$7:$D$7,IFERROR(MATCH(IF($B606="Robusta","Robusta",(IF($B606="","Arabica",$B606))&amp;" - "&amp;(IF($C606="","Commercial",$C606))),Variables!$B$1:$D$1,0),1))*AC606/365)+(L606/16.67*INDEX(Variables!$B$8:$D$8,IFERROR(MATCH(IF($B606="Robusta","Robusta",(IF($B606="","Arabica",$B606))&amp;" - "&amp;(IF($C606="","Commercial",$C606))),Variables!$B$1:$D$1,0),1))*AC606)+(T606*INDEX(Variables!$B$9:$D$9,IFERROR(MATCH(IF($B606="Robusta","Robusta",(IF($B606="","Arabica",$B606))&amp;" - "&amp;(IF($C606="","Commercial",$C606))),Variables!$B$1:$D$1,0),1))*AC606/365),""))</f>
        <v>-38.021789975460337</v>
      </c>
      <c r="AU606" s="12">
        <f>IF($H606="Cancelled","",IFERROR((T606*INDEX(Variables!$B$7:$D$7,IFERROR(MATCH(IF($B606="Robusta","Robusta",(IF($B606="","Arabica",$B606))&amp;" - "&amp;(IF($C606="","Commercial",$C606))),Variables!$B$1:$D$1,0),1))*AP606/365)+(L606/16.67*INDEX(Variables!$B$8:$D$8,IFERROR(MATCH(IF($B606="Robusta","Robusta",(IF($B606="","Arabica",$B606))&amp;" - "&amp;(IF($C606="","Commercial",$C606))),Variables!$B$1:$D$1,0),1))*AP606)+(T606*INDEX(Variables!$B$9:$D$9,IFERROR(MATCH(IF($B606="Robusta","Robusta",(IF($B606="","Arabica",$B606))&amp;" - "&amp;(IF($C606="","Commercial",$C606))),Variables!$B$1:$D$1,0),1))*AP606/365),""))</f>
        <v>-9.5054474938650841</v>
      </c>
      <c r="AV606" s="11">
        <f t="shared" si="65"/>
        <v>1</v>
      </c>
      <c r="AW606" s="12">
        <f>IF($H606="Cancelled","",IFERROR(IF(AV606="","",(T606*INDEX(Variables!$B$7:$D$7,IFERROR(MATCH(IF($B606="Robusta","Robusta",(IF($B606="","Arabica",$B606))&amp;" - "&amp;(IF($C606="","Commercial",$C606))),Variables!$B$1:$D$1,0),1))*(AV606/365))+(T606*INDEX(Variables!$B$9:$D$9,IFERROR(MATCH(IF($B606="Robusta","Robusta",(IF($B606="","Arabica",$B606))&amp;" - "&amp;(IF($C606="","Commercial",$C606))),Variables!$B$1:$D$1,0),1))*(AV606/365))+(INDEX(Variables!$B$8:$D$8,IFERROR(MATCH(IF($B606="Robusta","Robusta",(IF($B606="","Arabica",$B606))&amp;" - "&amp;(IF($C606="","Commercial",$C606))),Variables!$B$1:$D$1,0),1))*L606/16.67)),""))</f>
        <v>4.7527237469325421</v>
      </c>
      <c r="AX606" s="9"/>
      <c r="AY606" s="12"/>
      <c r="AZ606" s="10"/>
      <c r="BA606" s="9"/>
      <c r="BB606" s="10"/>
      <c r="BC606" s="9"/>
      <c r="BD606" s="9"/>
      <c r="BE606" s="9"/>
      <c r="BF606" s="9"/>
    </row>
    <row r="607" spans="1:58" x14ac:dyDescent="0.25">
      <c r="A607" s="9" t="s">
        <v>84</v>
      </c>
      <c r="B607" s="9" t="s">
        <v>85</v>
      </c>
      <c r="C607" s="9" t="s">
        <v>1486</v>
      </c>
      <c r="D607" s="10">
        <v>45338</v>
      </c>
      <c r="E607" s="10">
        <v>45352</v>
      </c>
      <c r="F607" s="10">
        <v>45382</v>
      </c>
      <c r="G607" s="9">
        <v>3786119</v>
      </c>
      <c r="H607" s="9" t="str">
        <f t="shared" si="63"/>
        <v>Closed</v>
      </c>
      <c r="I607" s="9" t="str">
        <f t="shared" si="64"/>
        <v>All dates received</v>
      </c>
      <c r="J607" s="9" t="s">
        <v>1487</v>
      </c>
      <c r="K607" s="9">
        <v>4727</v>
      </c>
      <c r="L607" s="11">
        <v>29</v>
      </c>
      <c r="M607" s="9" t="s">
        <v>1498</v>
      </c>
      <c r="N607" s="9"/>
      <c r="O607" s="9"/>
      <c r="P607" s="9"/>
      <c r="Q607" s="11"/>
      <c r="R607" s="9" t="s">
        <v>195</v>
      </c>
      <c r="S607" s="9" t="s">
        <v>183</v>
      </c>
      <c r="T607" s="12">
        <f>IF($H607="Cancelled","",IFERROR(((Q607+INDEX(Variables!$B$6:$D$6,IFERROR(MATCH(IF($B607="Robusta","Robusta",(IF($B607="","Arabica",$B607))&amp;" - "&amp;(IF($C607="","Commercial",$C607))),Variables!$B$1:$D$1,0),1)))*22.0462)*(L607/16.67),""))</f>
        <v>11152.970236352729</v>
      </c>
      <c r="U607" s="10"/>
      <c r="V607" s="9" t="str">
        <f t="shared" si="66"/>
        <v/>
      </c>
      <c r="W607" s="10">
        <v>45337</v>
      </c>
      <c r="X607" s="9" t="str">
        <f t="shared" si="62"/>
        <v>Approved</v>
      </c>
      <c r="Y607" s="10">
        <v>45349</v>
      </c>
      <c r="Z607" s="10">
        <f>IF($H607="Cancelled","",IFERROR(IF(F607="","",F607-Variables!$B$13),""))</f>
        <v>45367</v>
      </c>
      <c r="AA607" s="11">
        <f>IF($H607="Cancelled","",IFERROR(IF(W607="","",(AVERAGE(E607:F607)-W607)-Variables!$B$14),""))</f>
        <v>0</v>
      </c>
      <c r="AB607" s="10">
        <v>45372</v>
      </c>
      <c r="AC607" s="11">
        <f>IF($H607="Cancelled","",IFERROR(IF(AB607="","",IF(AND(W607="",Y607=""),"",IF(Y607&gt;W607,Y607+Variables!$B$15+Variables!$B$16+Variables!$B$17-AB607,W607+Variables!$B$16+Variables!$B$17-AB607))),""))</f>
        <v>-8</v>
      </c>
      <c r="AD607" s="9" t="s">
        <v>1489</v>
      </c>
      <c r="AE607" s="9" t="s">
        <v>1490</v>
      </c>
      <c r="AF607" s="10"/>
      <c r="AG607" s="10"/>
      <c r="AH607" s="9"/>
      <c r="AI607" s="9" t="s">
        <v>1497</v>
      </c>
      <c r="AJ607" s="9">
        <v>3331746596</v>
      </c>
      <c r="AK607" s="10">
        <v>45381</v>
      </c>
      <c r="AL607" s="10">
        <v>45384</v>
      </c>
      <c r="AM607" s="10">
        <v>45393</v>
      </c>
      <c r="AN607" s="9" t="s">
        <v>1492</v>
      </c>
      <c r="AO607" s="9"/>
      <c r="AP607" s="11">
        <f>IF($H607="Cancelled","",IFERROR(IF(OR(AK607="",AB607=""),"",(AB607+Variables!$B$18-AK607)),""))</f>
        <v>-2</v>
      </c>
      <c r="AQ607" s="11">
        <f>IF($H607="Cancelled","",IFERROR(IF(OR(AM607="",AK607=""),"",(AK607+Variables!$B$19)-AM607),""))</f>
        <v>-7</v>
      </c>
      <c r="AR607" s="12">
        <f>IF($H607="Cancelled","",IFERROR(T607*INDEX(Variables!$B$7:$D$7,IFERROR(MATCH(IF($B607="Robusta","Robusta",(IF($B607="","Arabica",$B607))&amp;" - "&amp;(IF($C607="","Commercial",$C607))),Variables!$B$1:$D$1,0),1))*(AQ607/365),""))</f>
        <v>-13.792264114032351</v>
      </c>
      <c r="AS607" s="12">
        <f>IF($H607="Cancelled","",IFERROR((T607*INDEX(Variables!$B$7:$D$7,IFERROR(MATCH(IF($B607="Robusta","Robusta",(IF($B607="","Arabica",$B607))&amp;" - "&amp;(IF($C607="","Commercial",$C607))),Variables!$B$1:$D$1,0),1))*IFERROR(IF(W607="","",(AVERAGE(E607:F607)-W607)-Variables!$B$14),"")/365)+(L607/16.67*INDEX(Variables!$B$8:$D$8,IFERROR(MATCH(IF($B607="Robusta","Robusta",(IF($B607="","Arabica",$B607))&amp;" - "&amp;(IF($C607="","Commercial",$C607))),Variables!$B$1:$D$1,0),1))*IFERROR(IF(W607="","",(AVERAGE(E607:F607)-W607)-Variables!$B$14),""))+(T607*INDEX(Variables!$B$9:$D$9,IFERROR(MATCH(IF($B607="Robusta","Robusta",(IF($B607="","Arabica",$B607))&amp;" - "&amp;(IF($C607="","Commercial",$C607))),Variables!$B$1:$D$1,0),1))*IFERROR(IF(W607="","",(AVERAGE(E607:F607)-W607)-Variables!$B$14),"")/365),""))</f>
        <v>0</v>
      </c>
      <c r="AT607" s="12">
        <f>IF($H607="Cancelled","",IFERROR((T607*INDEX(Variables!$B$7:$D$7,IFERROR(MATCH(IF($B607="Robusta","Robusta",(IF($B607="","Arabica",$B607))&amp;" - "&amp;(IF($C607="","Commercial",$C607))),Variables!$B$1:$D$1,0),1))*AC607/365)+(L607/16.67*INDEX(Variables!$B$8:$D$8,IFERROR(MATCH(IF($B607="Robusta","Robusta",(IF($B607="","Arabica",$B607))&amp;" - "&amp;(IF($C607="","Commercial",$C607))),Variables!$B$1:$D$1,0),1))*AC607)+(T607*INDEX(Variables!$B$9:$D$9,IFERROR(MATCH(IF($B607="Robusta","Robusta",(IF($B607="","Arabica",$B607))&amp;" - "&amp;(IF($C607="","Commercial",$C607))),Variables!$B$1:$D$1,0),1))*AC607/365),""))</f>
        <v>-27.565797732208747</v>
      </c>
      <c r="AU607" s="12">
        <f>IF($H607="Cancelled","",IFERROR((T607*INDEX(Variables!$B$7:$D$7,IFERROR(MATCH(IF($B607="Robusta","Robusta",(IF($B607="","Arabica",$B607))&amp;" - "&amp;(IF($C607="","Commercial",$C607))),Variables!$B$1:$D$1,0),1))*AP607/365)+(L607/16.67*INDEX(Variables!$B$8:$D$8,IFERROR(MATCH(IF($B607="Robusta","Robusta",(IF($B607="","Arabica",$B607))&amp;" - "&amp;(IF($C607="","Commercial",$C607))),Variables!$B$1:$D$1,0),1))*AP607)+(T607*INDEX(Variables!$B$9:$D$9,IFERROR(MATCH(IF($B607="Robusta","Robusta",(IF($B607="","Arabica",$B607))&amp;" - "&amp;(IF($C607="","Commercial",$C607))),Variables!$B$1:$D$1,0),1))*AP607/365),""))</f>
        <v>-6.8914494330521867</v>
      </c>
      <c r="AV607" s="11">
        <f t="shared" si="65"/>
        <v>1</v>
      </c>
      <c r="AW607" s="12">
        <f>IF($H607="Cancelled","",IFERROR(IF(AV607="","",(T607*INDEX(Variables!$B$7:$D$7,IFERROR(MATCH(IF($B607="Robusta","Robusta",(IF($B607="","Arabica",$B607))&amp;" - "&amp;(IF($C607="","Commercial",$C607))),Variables!$B$1:$D$1,0),1))*(AV607/365))+(T607*INDEX(Variables!$B$9:$D$9,IFERROR(MATCH(IF($B607="Robusta","Robusta",(IF($B607="","Arabica",$B607))&amp;" - "&amp;(IF($C607="","Commercial",$C607))),Variables!$B$1:$D$1,0),1))*(AV607/365))+(INDEX(Variables!$B$8:$D$8,IFERROR(MATCH(IF($B607="Robusta","Robusta",(IF($B607="","Arabica",$B607))&amp;" - "&amp;(IF($C607="","Commercial",$C607))),Variables!$B$1:$D$1,0),1))*L607/16.67)),""))</f>
        <v>3.4457247165260934</v>
      </c>
      <c r="AX607" s="9"/>
      <c r="AY607" s="12"/>
      <c r="AZ607" s="10"/>
      <c r="BA607" s="9"/>
      <c r="BB607" s="10"/>
      <c r="BC607" s="9"/>
      <c r="BD607" s="9"/>
      <c r="BE607" s="9"/>
      <c r="BF607" s="9"/>
    </row>
    <row r="608" spans="1:58" x14ac:dyDescent="0.25">
      <c r="A608" s="9" t="s">
        <v>84</v>
      </c>
      <c r="B608" s="9" t="s">
        <v>85</v>
      </c>
      <c r="C608" s="9" t="s">
        <v>1486</v>
      </c>
      <c r="D608" s="10">
        <v>45338</v>
      </c>
      <c r="E608" s="10">
        <v>45352</v>
      </c>
      <c r="F608" s="10">
        <v>45382</v>
      </c>
      <c r="G608" s="9">
        <v>3786120</v>
      </c>
      <c r="H608" s="9" t="str">
        <f t="shared" si="63"/>
        <v>Closed</v>
      </c>
      <c r="I608" s="9" t="str">
        <f t="shared" si="64"/>
        <v>All dates received</v>
      </c>
      <c r="J608" s="9" t="s">
        <v>1487</v>
      </c>
      <c r="K608" s="9">
        <v>4728</v>
      </c>
      <c r="L608" s="11">
        <v>68</v>
      </c>
      <c r="M608" s="9" t="s">
        <v>1499</v>
      </c>
      <c r="N608" s="9"/>
      <c r="O608" s="9"/>
      <c r="P608" s="9"/>
      <c r="Q608" s="11"/>
      <c r="R608" s="9" t="s">
        <v>195</v>
      </c>
      <c r="S608" s="9" t="s">
        <v>183</v>
      </c>
      <c r="T608" s="12">
        <f>IF($H608="Cancelled","",IFERROR(((Q608+INDEX(Variables!$B$6:$D$6,IFERROR(MATCH(IF($B608="Robusta","Robusta",(IF($B608="","Arabica",$B608))&amp;" - "&amp;(IF($C608="","Commercial",$C608))),Variables!$B$1:$D$1,0),1)))*22.0462)*(L608/16.67),""))</f>
        <v>26151.792278344332</v>
      </c>
      <c r="U608" s="10"/>
      <c r="V608" s="9" t="str">
        <f t="shared" si="66"/>
        <v/>
      </c>
      <c r="W608" s="10">
        <v>45337</v>
      </c>
      <c r="X608" s="9" t="str">
        <f t="shared" si="62"/>
        <v>Approved</v>
      </c>
      <c r="Y608" s="10">
        <v>45349</v>
      </c>
      <c r="Z608" s="10">
        <f>IF($H608="Cancelled","",IFERROR(IF(F608="","",F608-Variables!$B$13),""))</f>
        <v>45367</v>
      </c>
      <c r="AA608" s="11">
        <f>IF($H608="Cancelled","",IFERROR(IF(W608="","",(AVERAGE(E608:F608)-W608)-Variables!$B$14),""))</f>
        <v>0</v>
      </c>
      <c r="AB608" s="10">
        <v>45372</v>
      </c>
      <c r="AC608" s="11">
        <f>IF($H608="Cancelled","",IFERROR(IF(AB608="","",IF(AND(W608="",Y608=""),"",IF(Y608&gt;W608,Y608+Variables!$B$15+Variables!$B$16+Variables!$B$17-AB608,W608+Variables!$B$16+Variables!$B$17-AB608))),""))</f>
        <v>-8</v>
      </c>
      <c r="AD608" s="9" t="s">
        <v>1489</v>
      </c>
      <c r="AE608" s="9" t="s">
        <v>1490</v>
      </c>
      <c r="AF608" s="10"/>
      <c r="AG608" s="10"/>
      <c r="AH608" s="9"/>
      <c r="AI608" s="9" t="s">
        <v>1497</v>
      </c>
      <c r="AJ608" s="9">
        <v>3331746596</v>
      </c>
      <c r="AK608" s="10">
        <v>45381</v>
      </c>
      <c r="AL608" s="10">
        <v>45384</v>
      </c>
      <c r="AM608" s="10">
        <v>45393</v>
      </c>
      <c r="AN608" s="9" t="s">
        <v>1492</v>
      </c>
      <c r="AO608" s="9"/>
      <c r="AP608" s="11">
        <f>IF($H608="Cancelled","",IFERROR(IF(OR(AK608="",AB608=""),"",(AB608+Variables!$B$18-AK608)),""))</f>
        <v>-2</v>
      </c>
      <c r="AQ608" s="11">
        <f>IF($H608="Cancelled","",IFERROR(IF(OR(AM608="",AK608=""),"",(AK608+Variables!$B$19)-AM608),""))</f>
        <v>-7</v>
      </c>
      <c r="AR608" s="12">
        <f>IF($H608="Cancelled","",IFERROR(T608*INDEX(Variables!$B$7:$D$7,IFERROR(MATCH(IF($B608="Robusta","Robusta",(IF($B608="","Arabica",$B608))&amp;" - "&amp;(IF($C608="","Commercial",$C608))),Variables!$B$1:$D$1,0),1))*(AQ608/365),""))</f>
        <v>-32.340481370834482</v>
      </c>
      <c r="AS608" s="12">
        <f>IF($H608="Cancelled","",IFERROR((T608*INDEX(Variables!$B$7:$D$7,IFERROR(MATCH(IF($B608="Robusta","Robusta",(IF($B608="","Arabica",$B608))&amp;" - "&amp;(IF($C608="","Commercial",$C608))),Variables!$B$1:$D$1,0),1))*IFERROR(IF(W608="","",(AVERAGE(E608:F608)-W608)-Variables!$B$14),"")/365)+(L608/16.67*INDEX(Variables!$B$8:$D$8,IFERROR(MATCH(IF($B608="Robusta","Robusta",(IF($B608="","Arabica",$B608))&amp;" - "&amp;(IF($C608="","Commercial",$C608))),Variables!$B$1:$D$1,0),1))*IFERROR(IF(W608="","",(AVERAGE(E608:F608)-W608)-Variables!$B$14),""))+(T608*INDEX(Variables!$B$9:$D$9,IFERROR(MATCH(IF($B608="Robusta","Robusta",(IF($B608="","Arabica",$B608))&amp;" - "&amp;(IF($C608="","Commercial",$C608))),Variables!$B$1:$D$1,0),1))*IFERROR(IF(W608="","",(AVERAGE(E608:F608)-W608)-Variables!$B$14),"")/365),""))</f>
        <v>0</v>
      </c>
      <c r="AT608" s="12">
        <f>IF($H608="Cancelled","",IFERROR((T608*INDEX(Variables!$B$7:$D$7,IFERROR(MATCH(IF($B608="Robusta","Robusta",(IF($B608="","Arabica",$B608))&amp;" - "&amp;(IF($C608="","Commercial",$C608))),Variables!$B$1:$D$1,0),1))*AC608/365)+(L608/16.67*INDEX(Variables!$B$8:$D$8,IFERROR(MATCH(IF($B608="Robusta","Robusta",(IF($B608="","Arabica",$B608))&amp;" - "&amp;(IF($C608="","Commercial",$C608))),Variables!$B$1:$D$1,0),1))*AC608)+(T608*INDEX(Variables!$B$9:$D$9,IFERROR(MATCH(IF($B608="Robusta","Robusta",(IF($B608="","Arabica",$B608))&amp;" - "&amp;(IF($C608="","Commercial",$C608))),Variables!$B$1:$D$1,0),1))*AC608/365),""))</f>
        <v>-64.637042958282578</v>
      </c>
      <c r="AU608" s="12">
        <f>IF($H608="Cancelled","",IFERROR((T608*INDEX(Variables!$B$7:$D$7,IFERROR(MATCH(IF($B608="Robusta","Robusta",(IF($B608="","Arabica",$B608))&amp;" - "&amp;(IF($C608="","Commercial",$C608))),Variables!$B$1:$D$1,0),1))*AP608/365)+(L608/16.67*INDEX(Variables!$B$8:$D$8,IFERROR(MATCH(IF($B608="Robusta","Robusta",(IF($B608="","Arabica",$B608))&amp;" - "&amp;(IF($C608="","Commercial",$C608))),Variables!$B$1:$D$1,0),1))*AP608)+(T608*INDEX(Variables!$B$9:$D$9,IFERROR(MATCH(IF($B608="Robusta","Robusta",(IF($B608="","Arabica",$B608))&amp;" - "&amp;(IF($C608="","Commercial",$C608))),Variables!$B$1:$D$1,0),1))*AP608/365),""))</f>
        <v>-16.159260739570644</v>
      </c>
      <c r="AV608" s="11">
        <f t="shared" si="65"/>
        <v>1</v>
      </c>
      <c r="AW608" s="12">
        <f>IF($H608="Cancelled","",IFERROR(IF(AV608="","",(T608*INDEX(Variables!$B$7:$D$7,IFERROR(MATCH(IF($B608="Robusta","Robusta",(IF($B608="","Arabica",$B608))&amp;" - "&amp;(IF($C608="","Commercial",$C608))),Variables!$B$1:$D$1,0),1))*(AV608/365))+(T608*INDEX(Variables!$B$9:$D$9,IFERROR(MATCH(IF($B608="Robusta","Robusta",(IF($B608="","Arabica",$B608))&amp;" - "&amp;(IF($C608="","Commercial",$C608))),Variables!$B$1:$D$1,0),1))*(AV608/365))+(INDEX(Variables!$B$8:$D$8,IFERROR(MATCH(IF($B608="Robusta","Robusta",(IF($B608="","Arabica",$B608))&amp;" - "&amp;(IF($C608="","Commercial",$C608))),Variables!$B$1:$D$1,0),1))*L608/16.67)),""))</f>
        <v>8.079630369785324</v>
      </c>
      <c r="AX608" s="9"/>
      <c r="AY608" s="12"/>
      <c r="AZ608" s="10"/>
      <c r="BA608" s="9"/>
      <c r="BB608" s="10"/>
      <c r="BC608" s="9"/>
      <c r="BD608" s="9"/>
      <c r="BE608" s="9"/>
      <c r="BF608" s="9"/>
    </row>
    <row r="609" spans="1:58" x14ac:dyDescent="0.25">
      <c r="A609" s="9" t="s">
        <v>84</v>
      </c>
      <c r="B609" s="9" t="s">
        <v>85</v>
      </c>
      <c r="C609" s="9" t="s">
        <v>1486</v>
      </c>
      <c r="D609" s="10">
        <v>45338</v>
      </c>
      <c r="E609" s="10">
        <v>45352</v>
      </c>
      <c r="F609" s="10">
        <v>45382</v>
      </c>
      <c r="G609" s="9">
        <v>3786122</v>
      </c>
      <c r="H609" s="9" t="str">
        <f t="shared" si="63"/>
        <v>Closed</v>
      </c>
      <c r="I609" s="9" t="str">
        <f t="shared" si="64"/>
        <v>All dates received</v>
      </c>
      <c r="J609" s="9" t="s">
        <v>1487</v>
      </c>
      <c r="K609" s="9">
        <v>4730</v>
      </c>
      <c r="L609" s="11">
        <v>39</v>
      </c>
      <c r="M609" s="9" t="s">
        <v>1500</v>
      </c>
      <c r="N609" s="9"/>
      <c r="O609" s="9"/>
      <c r="P609" s="9"/>
      <c r="Q609" s="11"/>
      <c r="R609" s="9" t="s">
        <v>195</v>
      </c>
      <c r="S609" s="9" t="s">
        <v>183</v>
      </c>
      <c r="T609" s="12">
        <f>IF($H609="Cancelled","",IFERROR(((Q609+INDEX(Variables!$B$6:$D$6,IFERROR(MATCH(IF($B609="Robusta","Robusta",(IF($B609="","Arabica",$B609))&amp;" - "&amp;(IF($C609="","Commercial",$C609))),Variables!$B$1:$D$1,0),1)))*22.0462)*(L609/16.67),""))</f>
        <v>14998.8220419916</v>
      </c>
      <c r="U609" s="10"/>
      <c r="V609" s="9" t="str">
        <f t="shared" si="66"/>
        <v/>
      </c>
      <c r="W609" s="10">
        <v>45337</v>
      </c>
      <c r="X609" s="9" t="str">
        <f t="shared" si="62"/>
        <v>Approved</v>
      </c>
      <c r="Y609" s="10">
        <v>45349</v>
      </c>
      <c r="Z609" s="10">
        <f>IF($H609="Cancelled","",IFERROR(IF(F609="","",F609-Variables!$B$13),""))</f>
        <v>45367</v>
      </c>
      <c r="AA609" s="11">
        <f>IF($H609="Cancelled","",IFERROR(IF(W609="","",(AVERAGE(E609:F609)-W609)-Variables!$B$14),""))</f>
        <v>0</v>
      </c>
      <c r="AB609" s="10">
        <v>45372</v>
      </c>
      <c r="AC609" s="11">
        <f>IF($H609="Cancelled","",IFERROR(IF(AB609="","",IF(AND(W609="",Y609=""),"",IF(Y609&gt;W609,Y609+Variables!$B$15+Variables!$B$16+Variables!$B$17-AB609,W609+Variables!$B$16+Variables!$B$17-AB609))),""))</f>
        <v>-8</v>
      </c>
      <c r="AD609" s="9" t="s">
        <v>1489</v>
      </c>
      <c r="AE609" s="9" t="s">
        <v>1490</v>
      </c>
      <c r="AF609" s="10"/>
      <c r="AG609" s="10"/>
      <c r="AH609" s="9"/>
      <c r="AI609" s="9" t="s">
        <v>1497</v>
      </c>
      <c r="AJ609" s="9">
        <v>3331746596</v>
      </c>
      <c r="AK609" s="10">
        <v>45381</v>
      </c>
      <c r="AL609" s="10">
        <v>45384</v>
      </c>
      <c r="AM609" s="10">
        <v>45393</v>
      </c>
      <c r="AN609" s="9" t="s">
        <v>1492</v>
      </c>
      <c r="AO609" s="9"/>
      <c r="AP609" s="11">
        <f>IF($H609="Cancelled","",IFERROR(IF(OR(AK609="",AB609=""),"",(AB609+Variables!$B$18-AK609)),""))</f>
        <v>-2</v>
      </c>
      <c r="AQ609" s="11">
        <f>IF($H609="Cancelled","",IFERROR(IF(OR(AM609="",AK609=""),"",(AK609+Variables!$B$19)-AM609),""))</f>
        <v>-7</v>
      </c>
      <c r="AR609" s="12">
        <f>IF($H609="Cancelled","",IFERROR(T609*INDEX(Variables!$B$7:$D$7,IFERROR(MATCH(IF($B609="Robusta","Robusta",(IF($B609="","Arabica",$B609))&amp;" - "&amp;(IF($C609="","Commercial",$C609))),Variables!$B$1:$D$1,0),1))*(AQ609/365),""))</f>
        <v>-18.548217256802126</v>
      </c>
      <c r="AS609" s="12">
        <f>IF($H609="Cancelled","",IFERROR((T609*INDEX(Variables!$B$7:$D$7,IFERROR(MATCH(IF($B609="Robusta","Robusta",(IF($B609="","Arabica",$B609))&amp;" - "&amp;(IF($C609="","Commercial",$C609))),Variables!$B$1:$D$1,0),1))*IFERROR(IF(W609="","",(AVERAGE(E609:F609)-W609)-Variables!$B$14),"")/365)+(L609/16.67*INDEX(Variables!$B$8:$D$8,IFERROR(MATCH(IF($B609="Robusta","Robusta",(IF($B609="","Arabica",$B609))&amp;" - "&amp;(IF($C609="","Commercial",$C609))),Variables!$B$1:$D$1,0),1))*IFERROR(IF(W609="","",(AVERAGE(E609:F609)-W609)-Variables!$B$14),""))+(T609*INDEX(Variables!$B$9:$D$9,IFERROR(MATCH(IF($B609="Robusta","Robusta",(IF($B609="","Arabica",$B609))&amp;" - "&amp;(IF($C609="","Commercial",$C609))),Variables!$B$1:$D$1,0),1))*IFERROR(IF(W609="","",(AVERAGE(E609:F609)-W609)-Variables!$B$14),"")/365),""))</f>
        <v>0</v>
      </c>
      <c r="AT609" s="12">
        <f>IF($H609="Cancelled","",IFERROR((T609*INDEX(Variables!$B$7:$D$7,IFERROR(MATCH(IF($B609="Robusta","Robusta",(IF($B609="","Arabica",$B609))&amp;" - "&amp;(IF($C609="","Commercial",$C609))),Variables!$B$1:$D$1,0),1))*AC609/365)+(L609/16.67*INDEX(Variables!$B$8:$D$8,IFERROR(MATCH(IF($B609="Robusta","Robusta",(IF($B609="","Arabica",$B609))&amp;" - "&amp;(IF($C609="","Commercial",$C609))),Variables!$B$1:$D$1,0),1))*AC609)+(T609*INDEX(Variables!$B$9:$D$9,IFERROR(MATCH(IF($B609="Robusta","Robusta",(IF($B609="","Arabica",$B609))&amp;" - "&amp;(IF($C609="","Commercial",$C609))),Variables!$B$1:$D$1,0),1))*AC609/365),""))</f>
        <v>-37.071245226073827</v>
      </c>
      <c r="AU609" s="12">
        <f>IF($H609="Cancelled","",IFERROR((T609*INDEX(Variables!$B$7:$D$7,IFERROR(MATCH(IF($B609="Robusta","Robusta",(IF($B609="","Arabica",$B609))&amp;" - "&amp;(IF($C609="","Commercial",$C609))),Variables!$B$1:$D$1,0),1))*AP609/365)+(L609/16.67*INDEX(Variables!$B$8:$D$8,IFERROR(MATCH(IF($B609="Robusta","Robusta",(IF($B609="","Arabica",$B609))&amp;" - "&amp;(IF($C609="","Commercial",$C609))),Variables!$B$1:$D$1,0),1))*AP609)+(T609*INDEX(Variables!$B$9:$D$9,IFERROR(MATCH(IF($B609="Robusta","Robusta",(IF($B609="","Arabica",$B609))&amp;" - "&amp;(IF($C609="","Commercial",$C609))),Variables!$B$1:$D$1,0),1))*AP609/365),""))</f>
        <v>-9.2678113065184569</v>
      </c>
      <c r="AV609" s="11">
        <f t="shared" si="65"/>
        <v>1</v>
      </c>
      <c r="AW609" s="12">
        <f>IF($H609="Cancelled","",IFERROR(IF(AV609="","",(T609*INDEX(Variables!$B$7:$D$7,IFERROR(MATCH(IF($B609="Robusta","Robusta",(IF($B609="","Arabica",$B609))&amp;" - "&amp;(IF($C609="","Commercial",$C609))),Variables!$B$1:$D$1,0),1))*(AV609/365))+(T609*INDEX(Variables!$B$9:$D$9,IFERROR(MATCH(IF($B609="Robusta","Robusta",(IF($B609="","Arabica",$B609))&amp;" - "&amp;(IF($C609="","Commercial",$C609))),Variables!$B$1:$D$1,0),1))*(AV609/365))+(INDEX(Variables!$B$8:$D$8,IFERROR(MATCH(IF($B609="Robusta","Robusta",(IF($B609="","Arabica",$B609))&amp;" - "&amp;(IF($C609="","Commercial",$C609))),Variables!$B$1:$D$1,0),1))*L609/16.67)),""))</f>
        <v>4.6339056532592284</v>
      </c>
      <c r="AX609" s="9"/>
      <c r="AY609" s="12"/>
      <c r="AZ609" s="10"/>
      <c r="BA609" s="9"/>
      <c r="BB609" s="10"/>
      <c r="BC609" s="9"/>
      <c r="BD609" s="9"/>
      <c r="BE609" s="9"/>
      <c r="BF609" s="9"/>
    </row>
    <row r="610" spans="1:58" x14ac:dyDescent="0.25">
      <c r="A610" s="9" t="s">
        <v>84</v>
      </c>
      <c r="B610" s="9" t="s">
        <v>85</v>
      </c>
      <c r="C610" s="9" t="s">
        <v>1486</v>
      </c>
      <c r="D610" s="10">
        <v>45338</v>
      </c>
      <c r="E610" s="10">
        <v>45352</v>
      </c>
      <c r="F610" s="10">
        <v>45382</v>
      </c>
      <c r="G610" s="9">
        <v>3786123</v>
      </c>
      <c r="H610" s="9" t="str">
        <f t="shared" si="63"/>
        <v>Closed</v>
      </c>
      <c r="I610" s="9" t="str">
        <f t="shared" si="64"/>
        <v>All dates received</v>
      </c>
      <c r="J610" s="9" t="s">
        <v>1487</v>
      </c>
      <c r="K610" s="9">
        <v>4731</v>
      </c>
      <c r="L610" s="11">
        <v>30</v>
      </c>
      <c r="M610" s="9" t="s">
        <v>1501</v>
      </c>
      <c r="N610" s="9"/>
      <c r="O610" s="9"/>
      <c r="P610" s="9"/>
      <c r="Q610" s="11"/>
      <c r="R610" s="9" t="s">
        <v>195</v>
      </c>
      <c r="S610" s="9" t="s">
        <v>183</v>
      </c>
      <c r="T610" s="12">
        <f>IF($H610="Cancelled","",IFERROR(((Q610+INDEX(Variables!$B$6:$D$6,IFERROR(MATCH(IF($B610="Robusta","Robusta",(IF($B610="","Arabica",$B610))&amp;" - "&amp;(IF($C610="","Commercial",$C610))),Variables!$B$1:$D$1,0),1)))*22.0462)*(L610/16.67),""))</f>
        <v>11537.555416916615</v>
      </c>
      <c r="U610" s="10"/>
      <c r="V610" s="9" t="str">
        <f t="shared" si="66"/>
        <v/>
      </c>
      <c r="W610" s="10">
        <v>45337</v>
      </c>
      <c r="X610" s="9" t="str">
        <f t="shared" si="62"/>
        <v>Approved</v>
      </c>
      <c r="Y610" s="10">
        <v>45349</v>
      </c>
      <c r="Z610" s="10">
        <f>IF($H610="Cancelled","",IFERROR(IF(F610="","",F610-Variables!$B$13),""))</f>
        <v>45367</v>
      </c>
      <c r="AA610" s="11">
        <f>IF($H610="Cancelled","",IFERROR(IF(W610="","",(AVERAGE(E610:F610)-W610)-Variables!$B$14),""))</f>
        <v>0</v>
      </c>
      <c r="AB610" s="10">
        <v>45372</v>
      </c>
      <c r="AC610" s="11">
        <f>IF($H610="Cancelled","",IFERROR(IF(AB610="","",IF(AND(W610="",Y610=""),"",IF(Y610&gt;W610,Y610+Variables!$B$15+Variables!$B$16+Variables!$B$17-AB610,W610+Variables!$B$16+Variables!$B$17-AB610))),""))</f>
        <v>-8</v>
      </c>
      <c r="AD610" s="9" t="s">
        <v>1489</v>
      </c>
      <c r="AE610" s="9" t="s">
        <v>1490</v>
      </c>
      <c r="AF610" s="10"/>
      <c r="AG610" s="10"/>
      <c r="AH610" s="9"/>
      <c r="AI610" s="9" t="s">
        <v>1497</v>
      </c>
      <c r="AJ610" s="9">
        <v>3331746596</v>
      </c>
      <c r="AK610" s="10">
        <v>45381</v>
      </c>
      <c r="AL610" s="10">
        <v>45384</v>
      </c>
      <c r="AM610" s="10">
        <v>45393</v>
      </c>
      <c r="AN610" s="9" t="s">
        <v>1492</v>
      </c>
      <c r="AO610" s="9"/>
      <c r="AP610" s="11">
        <f>IF($H610="Cancelled","",IFERROR(IF(OR(AK610="",AB610=""),"",(AB610+Variables!$B$18-AK610)),""))</f>
        <v>-2</v>
      </c>
      <c r="AQ610" s="11">
        <f>IF($H610="Cancelled","",IFERROR(IF(OR(AM610="",AK610=""),"",(AK610+Variables!$B$19)-AM610),""))</f>
        <v>-7</v>
      </c>
      <c r="AR610" s="12">
        <f>IF($H610="Cancelled","",IFERROR(T610*INDEX(Variables!$B$7:$D$7,IFERROR(MATCH(IF($B610="Robusta","Robusta",(IF($B610="","Arabica",$B610))&amp;" - "&amp;(IF($C610="","Commercial",$C610))),Variables!$B$1:$D$1,0),1))*(AQ610/365),""))</f>
        <v>-14.267859428309327</v>
      </c>
      <c r="AS610" s="12">
        <f>IF($H610="Cancelled","",IFERROR((T610*INDEX(Variables!$B$7:$D$7,IFERROR(MATCH(IF($B610="Robusta","Robusta",(IF($B610="","Arabica",$B610))&amp;" - "&amp;(IF($C610="","Commercial",$C610))),Variables!$B$1:$D$1,0),1))*IFERROR(IF(W610="","",(AVERAGE(E610:F610)-W610)-Variables!$B$14),"")/365)+(L610/16.67*INDEX(Variables!$B$8:$D$8,IFERROR(MATCH(IF($B610="Robusta","Robusta",(IF($B610="","Arabica",$B610))&amp;" - "&amp;(IF($C610="","Commercial",$C610))),Variables!$B$1:$D$1,0),1))*IFERROR(IF(W610="","",(AVERAGE(E610:F610)-W610)-Variables!$B$14),""))+(T610*INDEX(Variables!$B$9:$D$9,IFERROR(MATCH(IF($B610="Robusta","Robusta",(IF($B610="","Arabica",$B610))&amp;" - "&amp;(IF($C610="","Commercial",$C610))),Variables!$B$1:$D$1,0),1))*IFERROR(IF(W610="","",(AVERAGE(E610:F610)-W610)-Variables!$B$14),"")/365),""))</f>
        <v>0</v>
      </c>
      <c r="AT610" s="12">
        <f>IF($H610="Cancelled","",IFERROR((T610*INDEX(Variables!$B$7:$D$7,IFERROR(MATCH(IF($B610="Robusta","Robusta",(IF($B610="","Arabica",$B610))&amp;" - "&amp;(IF($C610="","Commercial",$C610))),Variables!$B$1:$D$1,0),1))*AC610/365)+(L610/16.67*INDEX(Variables!$B$8:$D$8,IFERROR(MATCH(IF($B610="Robusta","Robusta",(IF($B610="","Arabica",$B610))&amp;" - "&amp;(IF($C610="","Commercial",$C610))),Variables!$B$1:$D$1,0),1))*AC610)+(T610*INDEX(Variables!$B$9:$D$9,IFERROR(MATCH(IF($B610="Robusta","Robusta",(IF($B610="","Arabica",$B610))&amp;" - "&amp;(IF($C610="","Commercial",$C610))),Variables!$B$1:$D$1,0),1))*AC610/365),""))</f>
        <v>-28.516342481595252</v>
      </c>
      <c r="AU610" s="12">
        <f>IF($H610="Cancelled","",IFERROR((T610*INDEX(Variables!$B$7:$D$7,IFERROR(MATCH(IF($B610="Robusta","Robusta",(IF($B610="","Arabica",$B610))&amp;" - "&amp;(IF($C610="","Commercial",$C610))),Variables!$B$1:$D$1,0),1))*AP610/365)+(L610/16.67*INDEX(Variables!$B$8:$D$8,IFERROR(MATCH(IF($B610="Robusta","Robusta",(IF($B610="","Arabica",$B610))&amp;" - "&amp;(IF($C610="","Commercial",$C610))),Variables!$B$1:$D$1,0),1))*AP610)+(T610*INDEX(Variables!$B$9:$D$9,IFERROR(MATCH(IF($B610="Robusta","Robusta",(IF($B610="","Arabica",$B610))&amp;" - "&amp;(IF($C610="","Commercial",$C610))),Variables!$B$1:$D$1,0),1))*AP610/365),""))</f>
        <v>-7.1290856203988131</v>
      </c>
      <c r="AV610" s="11">
        <f t="shared" si="65"/>
        <v>1</v>
      </c>
      <c r="AW610" s="12">
        <f>IF($H610="Cancelled","",IFERROR(IF(AV610="","",(T610*INDEX(Variables!$B$7:$D$7,IFERROR(MATCH(IF($B610="Robusta","Robusta",(IF($B610="","Arabica",$B610))&amp;" - "&amp;(IF($C610="","Commercial",$C610))),Variables!$B$1:$D$1,0),1))*(AV610/365))+(T610*INDEX(Variables!$B$9:$D$9,IFERROR(MATCH(IF($B610="Robusta","Robusta",(IF($B610="","Arabica",$B610))&amp;" - "&amp;(IF($C610="","Commercial",$C610))),Variables!$B$1:$D$1,0),1))*(AV610/365))+(INDEX(Variables!$B$8:$D$8,IFERROR(MATCH(IF($B610="Robusta","Robusta",(IF($B610="","Arabica",$B610))&amp;" - "&amp;(IF($C610="","Commercial",$C610))),Variables!$B$1:$D$1,0),1))*L610/16.67)),""))</f>
        <v>3.5645428101994066</v>
      </c>
      <c r="AX610" s="9"/>
      <c r="AY610" s="12"/>
      <c r="AZ610" s="10"/>
      <c r="BA610" s="9"/>
      <c r="BB610" s="10"/>
      <c r="BC610" s="9"/>
      <c r="BD610" s="9"/>
      <c r="BE610" s="9"/>
      <c r="BF610" s="9"/>
    </row>
    <row r="611" spans="1:58" x14ac:dyDescent="0.25">
      <c r="A611" s="9" t="s">
        <v>84</v>
      </c>
      <c r="B611" s="9" t="s">
        <v>85</v>
      </c>
      <c r="C611" s="9" t="s">
        <v>1486</v>
      </c>
      <c r="D611" s="10">
        <v>45338</v>
      </c>
      <c r="E611" s="10">
        <v>45352</v>
      </c>
      <c r="F611" s="10">
        <v>45382</v>
      </c>
      <c r="G611" s="9">
        <v>3786115</v>
      </c>
      <c r="H611" s="9" t="str">
        <f t="shared" si="63"/>
        <v>Closed</v>
      </c>
      <c r="I611" s="9" t="str">
        <f t="shared" si="64"/>
        <v>All dates received</v>
      </c>
      <c r="J611" s="9" t="s">
        <v>1487</v>
      </c>
      <c r="K611" s="9">
        <v>4723</v>
      </c>
      <c r="L611" s="11">
        <v>19</v>
      </c>
      <c r="M611" s="9" t="s">
        <v>1502</v>
      </c>
      <c r="N611" s="9"/>
      <c r="O611" s="9"/>
      <c r="P611" s="9"/>
      <c r="Q611" s="11"/>
      <c r="R611" s="9" t="s">
        <v>195</v>
      </c>
      <c r="S611" s="9" t="s">
        <v>335</v>
      </c>
      <c r="T611" s="12">
        <f>IF($H611="Cancelled","",IFERROR(((Q611+INDEX(Variables!$B$6:$D$6,IFERROR(MATCH(IF($B611="Robusta","Robusta",(IF($B611="","Arabica",$B611))&amp;" - "&amp;(IF($C611="","Commercial",$C611))),Variables!$B$1:$D$1,0),1)))*22.0462)*(L611/16.67),""))</f>
        <v>7307.1184307138565</v>
      </c>
      <c r="U611" s="10"/>
      <c r="V611" s="9" t="str">
        <f t="shared" si="66"/>
        <v/>
      </c>
      <c r="W611" s="10">
        <v>45337</v>
      </c>
      <c r="X611" s="9" t="str">
        <f t="shared" si="62"/>
        <v>Approved</v>
      </c>
      <c r="Y611" s="10">
        <v>45439</v>
      </c>
      <c r="Z611" s="10">
        <f>IF($H611="Cancelled","",IFERROR(IF(F611="","",F611-Variables!$B$13),""))</f>
        <v>45367</v>
      </c>
      <c r="AA611" s="11">
        <f>IF($H611="Cancelled","",IFERROR(IF(W611="","",(AVERAGE(E611:F611)-W611)-Variables!$B$14),""))</f>
        <v>0</v>
      </c>
      <c r="AB611" s="10">
        <v>45446</v>
      </c>
      <c r="AC611" s="11">
        <f>IF($H611="Cancelled","",IFERROR(IF(AB611="","",IF(AND(W611="",Y611=""),"",IF(Y611&gt;W611,Y611+Variables!$B$15+Variables!$B$16+Variables!$B$17-AB611,W611+Variables!$B$16+Variables!$B$17-AB611))),""))</f>
        <v>8</v>
      </c>
      <c r="AD611" s="9" t="s">
        <v>107</v>
      </c>
      <c r="AE611" s="9" t="s">
        <v>1503</v>
      </c>
      <c r="AF611" s="10"/>
      <c r="AG611" s="10"/>
      <c r="AH611" s="9"/>
      <c r="AI611" s="9" t="s">
        <v>1504</v>
      </c>
      <c r="AJ611" s="9" t="s">
        <v>1505</v>
      </c>
      <c r="AK611" s="10">
        <v>45454</v>
      </c>
      <c r="AL611" s="10">
        <v>45455</v>
      </c>
      <c r="AM611" s="10">
        <v>45464</v>
      </c>
      <c r="AN611" s="9" t="s">
        <v>1492</v>
      </c>
      <c r="AO611" s="9"/>
      <c r="AP611" s="11">
        <f>IF($H611="Cancelled","",IFERROR(IF(OR(AK611="",AB611=""),"",(AB611+Variables!$B$18-AK611)),""))</f>
        <v>-1</v>
      </c>
      <c r="AQ611" s="11">
        <f>IF($H611="Cancelled","",IFERROR(IF(OR(AM611="",AK611=""),"",(AK611+Variables!$B$19)-AM611),""))</f>
        <v>-5</v>
      </c>
      <c r="AR611" s="12">
        <f>IF($H611="Cancelled","",IFERROR(T611*INDEX(Variables!$B$7:$D$7,IFERROR(MATCH(IF($B611="Robusta","Robusta",(IF($B611="","Arabica",$B611))&amp;" - "&amp;(IF($C611="","Commercial",$C611))),Variables!$B$1:$D$1,0),1))*(AQ611/365),""))</f>
        <v>-6.4545078366161244</v>
      </c>
      <c r="AS611" s="12">
        <f>IF($H611="Cancelled","",IFERROR((T611*INDEX(Variables!$B$7:$D$7,IFERROR(MATCH(IF($B611="Robusta","Robusta",(IF($B611="","Arabica",$B611))&amp;" - "&amp;(IF($C611="","Commercial",$C611))),Variables!$B$1:$D$1,0),1))*IFERROR(IF(W611="","",(AVERAGE(E611:F611)-W611)-Variables!$B$14),"")/365)+(L611/16.67*INDEX(Variables!$B$8:$D$8,IFERROR(MATCH(IF($B611="Robusta","Robusta",(IF($B611="","Arabica",$B611))&amp;" - "&amp;(IF($C611="","Commercial",$C611))),Variables!$B$1:$D$1,0),1))*IFERROR(IF(W611="","",(AVERAGE(E611:F611)-W611)-Variables!$B$14),""))+(T611*INDEX(Variables!$B$9:$D$9,IFERROR(MATCH(IF($B611="Robusta","Robusta",(IF($B611="","Arabica",$B611))&amp;" - "&amp;(IF($C611="","Commercial",$C611))),Variables!$B$1:$D$1,0),1))*IFERROR(IF(W611="","",(AVERAGE(E611:F611)-W611)-Variables!$B$14),"")/365),""))</f>
        <v>0</v>
      </c>
      <c r="AT611" s="12">
        <f>IF($H611="Cancelled","",IFERROR((T611*INDEX(Variables!$B$7:$D$7,IFERROR(MATCH(IF($B611="Robusta","Robusta",(IF($B611="","Arabica",$B611))&amp;" - "&amp;(IF($C611="","Commercial",$C611))),Variables!$B$1:$D$1,0),1))*AC611/365)+(L611/16.67*INDEX(Variables!$B$8:$D$8,IFERROR(MATCH(IF($B611="Robusta","Robusta",(IF($B611="","Arabica",$B611))&amp;" - "&amp;(IF($C611="","Commercial",$C611))),Variables!$B$1:$D$1,0),1))*AC611)+(T611*INDEX(Variables!$B$9:$D$9,IFERROR(MATCH(IF($B611="Robusta","Robusta",(IF($B611="","Arabica",$B611))&amp;" - "&amp;(IF($C611="","Commercial",$C611))),Variables!$B$1:$D$1,0),1))*AC611/365),""))</f>
        <v>18.060350238343659</v>
      </c>
      <c r="AU611" s="12">
        <f>IF($H611="Cancelled","",IFERROR((T611*INDEX(Variables!$B$7:$D$7,IFERROR(MATCH(IF($B611="Robusta","Robusta",(IF($B611="","Arabica",$B611))&amp;" - "&amp;(IF($C611="","Commercial",$C611))),Variables!$B$1:$D$1,0),1))*AP611/365)+(L611/16.67*INDEX(Variables!$B$8:$D$8,IFERROR(MATCH(IF($B611="Robusta","Robusta",(IF($B611="","Arabica",$B611))&amp;" - "&amp;(IF($C611="","Commercial",$C611))),Variables!$B$1:$D$1,0),1))*AP611)+(T611*INDEX(Variables!$B$9:$D$9,IFERROR(MATCH(IF($B611="Robusta","Robusta",(IF($B611="","Arabica",$B611))&amp;" - "&amp;(IF($C611="","Commercial",$C611))),Variables!$B$1:$D$1,0),1))*AP611/365),""))</f>
        <v>-2.2575437797929574</v>
      </c>
      <c r="AV611" s="11">
        <f t="shared" si="65"/>
        <v>-72</v>
      </c>
      <c r="AW611" s="12">
        <f>IF($H611="Cancelled","",IFERROR(IF(AV611="","",(T611*INDEX(Variables!$B$7:$D$7,IFERROR(MATCH(IF($B611="Robusta","Robusta",(IF($B611="","Arabica",$B611))&amp;" - "&amp;(IF($C611="","Commercial",$C611))),Variables!$B$1:$D$1,0),1))*(AV611/365))+(T611*INDEX(Variables!$B$9:$D$9,IFERROR(MATCH(IF($B611="Robusta","Robusta",(IF($B611="","Arabica",$B611))&amp;" - "&amp;(IF($C611="","Commercial",$C611))),Variables!$B$1:$D$1,0),1))*(AV611/365))+(INDEX(Variables!$B$8:$D$8,IFERROR(MATCH(IF($B611="Robusta","Robusta",(IF($B611="","Arabica",$B611))&amp;" - "&amp;(IF($C611="","Commercial",$C611))),Variables!$B$1:$D$1,0),1))*L611/16.67)),""))</f>
        <v>-93.193152145092938</v>
      </c>
      <c r="AX611" s="9"/>
      <c r="AY611" s="12"/>
      <c r="AZ611" s="10"/>
      <c r="BA611" s="9"/>
      <c r="BB611" s="10"/>
      <c r="BC611" s="9"/>
      <c r="BD611" s="9"/>
      <c r="BE611" s="9"/>
      <c r="BF611" s="9"/>
    </row>
    <row r="612" spans="1:58" x14ac:dyDescent="0.25">
      <c r="A612" s="9" t="s">
        <v>84</v>
      </c>
      <c r="B612" s="9" t="s">
        <v>85</v>
      </c>
      <c r="C612" s="9" t="s">
        <v>1486</v>
      </c>
      <c r="D612" s="10">
        <v>45338</v>
      </c>
      <c r="E612" s="10">
        <v>45352</v>
      </c>
      <c r="F612" s="10">
        <v>45382</v>
      </c>
      <c r="G612" s="9">
        <v>3786116</v>
      </c>
      <c r="H612" s="9" t="str">
        <f t="shared" si="63"/>
        <v>Open</v>
      </c>
      <c r="I612" s="9" t="str">
        <f t="shared" si="64"/>
        <v>No sailing date and No shipping advice sent and No docs dispatch date</v>
      </c>
      <c r="J612" s="9" t="s">
        <v>1487</v>
      </c>
      <c r="K612" s="9">
        <v>4944</v>
      </c>
      <c r="L612" s="11">
        <v>10</v>
      </c>
      <c r="M612" s="9" t="s">
        <v>1506</v>
      </c>
      <c r="N612" s="9"/>
      <c r="O612" s="9"/>
      <c r="P612" s="9"/>
      <c r="Q612" s="11"/>
      <c r="R612" s="9" t="s">
        <v>195</v>
      </c>
      <c r="S612" s="9"/>
      <c r="T612" s="12">
        <f>IF($H612="Cancelled","",IFERROR(((Q612+INDEX(Variables!$B$6:$D$6,IFERROR(MATCH(IF($B612="Robusta","Robusta",(IF($B612="","Arabica",$B612))&amp;" - "&amp;(IF($C612="","Commercial",$C612))),Variables!$B$1:$D$1,0),1)))*22.0462)*(L612/16.67),""))</f>
        <v>3845.8518056388721</v>
      </c>
      <c r="U612" s="10"/>
      <c r="V612" s="9" t="str">
        <f t="shared" si="66"/>
        <v/>
      </c>
      <c r="W612" s="10">
        <v>45337</v>
      </c>
      <c r="X612" s="9" t="str">
        <f t="shared" si="62"/>
        <v>Approved</v>
      </c>
      <c r="Y612" s="10">
        <v>45439</v>
      </c>
      <c r="Z612" s="10">
        <f>IF($H612="Cancelled","",IFERROR(IF(F612="","",F612-Variables!$B$13),""))</f>
        <v>45367</v>
      </c>
      <c r="AA612" s="11">
        <f>IF($H612="Cancelled","",IFERROR(IF(W612="","",(AVERAGE(E612:F612)-W612)-Variables!$B$14),""))</f>
        <v>0</v>
      </c>
      <c r="AB612" s="10">
        <v>45461</v>
      </c>
      <c r="AC612" s="11">
        <f>IF($H612="Cancelled","",IFERROR(IF(AB612="","",IF(AND(W612="",Y612=""),"",IF(Y612&gt;W612,Y612+Variables!$B$15+Variables!$B$16+Variables!$B$17-AB612,W612+Variables!$B$16+Variables!$B$17-AB612))),""))</f>
        <v>-7</v>
      </c>
      <c r="AD612" s="9"/>
      <c r="AE612" s="9"/>
      <c r="AF612" s="10"/>
      <c r="AG612" s="10"/>
      <c r="AH612" s="9"/>
      <c r="AI612" s="9"/>
      <c r="AJ612" s="9"/>
      <c r="AK612" s="10"/>
      <c r="AL612" s="10"/>
      <c r="AM612" s="10"/>
      <c r="AN612" s="9" t="s">
        <v>1507</v>
      </c>
      <c r="AO612" s="9"/>
      <c r="AP612" s="11" t="str">
        <f>IF($H612="Cancelled","",IFERROR(IF(OR(AK612="",AB612=""),"",(AB612+Variables!$B$18-AK612)),""))</f>
        <v/>
      </c>
      <c r="AQ612" s="11" t="str">
        <f>IF($H612="Cancelled","",IFERROR(IF(OR(AM612="",AK612=""),"",(AK612+Variables!$B$19)-AM612),""))</f>
        <v/>
      </c>
      <c r="AR612" s="12" t="str">
        <f>IF($H612="Cancelled","",IFERROR(T612*INDEX(Variables!$B$7:$D$7,IFERROR(MATCH(IF($B612="Robusta","Robusta",(IF($B612="","Arabica",$B612))&amp;" - "&amp;(IF($C612="","Commercial",$C612))),Variables!$B$1:$D$1,0),1))*(AQ612/365),""))</f>
        <v/>
      </c>
      <c r="AS612" s="12">
        <f>IF($H612="Cancelled","",IFERROR((T612*INDEX(Variables!$B$7:$D$7,IFERROR(MATCH(IF($B612="Robusta","Robusta",(IF($B612="","Arabica",$B612))&amp;" - "&amp;(IF($C612="","Commercial",$C612))),Variables!$B$1:$D$1,0),1))*IFERROR(IF(W612="","",(AVERAGE(E612:F612)-W612)-Variables!$B$14),"")/365)+(L612/16.67*INDEX(Variables!$B$8:$D$8,IFERROR(MATCH(IF($B612="Robusta","Robusta",(IF($B612="","Arabica",$B612))&amp;" - "&amp;(IF($C612="","Commercial",$C612))),Variables!$B$1:$D$1,0),1))*IFERROR(IF(W612="","",(AVERAGE(E612:F612)-W612)-Variables!$B$14),""))+(T612*INDEX(Variables!$B$9:$D$9,IFERROR(MATCH(IF($B612="Robusta","Robusta",(IF($B612="","Arabica",$B612))&amp;" - "&amp;(IF($C612="","Commercial",$C612))),Variables!$B$1:$D$1,0),1))*IFERROR(IF(W612="","",(AVERAGE(E612:F612)-W612)-Variables!$B$14),"")/365),""))</f>
        <v>0</v>
      </c>
      <c r="AT612" s="12">
        <f>IF($H612="Cancelled","",IFERROR((T612*INDEX(Variables!$B$7:$D$7,IFERROR(MATCH(IF($B612="Robusta","Robusta",(IF($B612="","Arabica",$B612))&amp;" - "&amp;(IF($C612="","Commercial",$C612))),Variables!$B$1:$D$1,0),1))*AC612/365)+(L612/16.67*INDEX(Variables!$B$8:$D$8,IFERROR(MATCH(IF($B612="Robusta","Robusta",(IF($B612="","Arabica",$B612))&amp;" - "&amp;(IF($C612="","Commercial",$C612))),Variables!$B$1:$D$1,0),1))*AC612)+(T612*INDEX(Variables!$B$9:$D$9,IFERROR(MATCH(IF($B612="Robusta","Robusta",(IF($B612="","Arabica",$B612))&amp;" - "&amp;(IF($C612="","Commercial",$C612))),Variables!$B$1:$D$1,0),1))*AC612/365),""))</f>
        <v>-8.3172665571319495</v>
      </c>
      <c r="AU612" s="12" t="str">
        <f>IF($H612="Cancelled","",IFERROR((T612*INDEX(Variables!$B$7:$D$7,IFERROR(MATCH(IF($B612="Robusta","Robusta",(IF($B612="","Arabica",$B612))&amp;" - "&amp;(IF($C612="","Commercial",$C612))),Variables!$B$1:$D$1,0),1))*AP612/365)+(L612/16.67*INDEX(Variables!$B$8:$D$8,IFERROR(MATCH(IF($B612="Robusta","Robusta",(IF($B612="","Arabica",$B612))&amp;" - "&amp;(IF($C612="","Commercial",$C612))),Variables!$B$1:$D$1,0),1))*AP612)+(T612*INDEX(Variables!$B$9:$D$9,IFERROR(MATCH(IF($B612="Robusta","Robusta",(IF($B612="","Arabica",$B612))&amp;" - "&amp;(IF($C612="","Commercial",$C612))),Variables!$B$1:$D$1,0),1))*AP612/365),""))</f>
        <v/>
      </c>
      <c r="AV612" s="11" t="str">
        <f t="shared" si="65"/>
        <v/>
      </c>
      <c r="AW612" s="12" t="str">
        <f>IF($H612="Cancelled","",IFERROR(IF(AV612="","",(T612*INDEX(Variables!$B$7:$D$7,IFERROR(MATCH(IF($B612="Robusta","Robusta",(IF($B612="","Arabica",$B612))&amp;" - "&amp;(IF($C612="","Commercial",$C612))),Variables!$B$1:$D$1,0),1))*(AV612/365))+(T612*INDEX(Variables!$B$9:$D$9,IFERROR(MATCH(IF($B612="Robusta","Robusta",(IF($B612="","Arabica",$B612))&amp;" - "&amp;(IF($C612="","Commercial",$C612))),Variables!$B$1:$D$1,0),1))*(AV612/365))+(INDEX(Variables!$B$8:$D$8,IFERROR(MATCH(IF($B612="Robusta","Robusta",(IF($B612="","Arabica",$B612))&amp;" - "&amp;(IF($C612="","Commercial",$C612))),Variables!$B$1:$D$1,0),1))*L612/16.67)),""))</f>
        <v/>
      </c>
      <c r="AX612" s="9"/>
      <c r="AY612" s="12"/>
      <c r="AZ612" s="10"/>
      <c r="BA612" s="9"/>
      <c r="BB612" s="10"/>
      <c r="BC612" s="9"/>
      <c r="BD612" s="9"/>
      <c r="BE612" s="9"/>
      <c r="BF612" s="9"/>
    </row>
    <row r="613" spans="1:58" x14ac:dyDescent="0.25">
      <c r="A613" s="9" t="s">
        <v>84</v>
      </c>
      <c r="B613" s="9" t="s">
        <v>85</v>
      </c>
      <c r="C613" s="9" t="s">
        <v>1486</v>
      </c>
      <c r="D613" s="10">
        <v>45338</v>
      </c>
      <c r="E613" s="10">
        <v>45352</v>
      </c>
      <c r="F613" s="10">
        <v>45382</v>
      </c>
      <c r="G613" s="9">
        <v>3786123</v>
      </c>
      <c r="H613" s="9" t="str">
        <f t="shared" si="63"/>
        <v>Open</v>
      </c>
      <c r="I613" s="9" t="str">
        <f t="shared" si="64"/>
        <v>No sailing date and No shipping advice sent and No docs dispatch date</v>
      </c>
      <c r="J613" s="9" t="s">
        <v>1487</v>
      </c>
      <c r="K613" s="9">
        <v>4943</v>
      </c>
      <c r="L613" s="11">
        <v>10</v>
      </c>
      <c r="M613" s="9" t="s">
        <v>1508</v>
      </c>
      <c r="N613" s="9"/>
      <c r="O613" s="9"/>
      <c r="P613" s="9"/>
      <c r="Q613" s="11"/>
      <c r="R613" s="9" t="s">
        <v>195</v>
      </c>
      <c r="S613" s="9"/>
      <c r="T613" s="12">
        <f>IF($H613="Cancelled","",IFERROR(((Q613+INDEX(Variables!$B$6:$D$6,IFERROR(MATCH(IF($B613="Robusta","Robusta",(IF($B613="","Arabica",$B613))&amp;" - "&amp;(IF($C613="","Commercial",$C613))),Variables!$B$1:$D$1,0),1)))*22.0462)*(L613/16.67),""))</f>
        <v>3845.8518056388721</v>
      </c>
      <c r="U613" s="10"/>
      <c r="V613" s="9" t="str">
        <f t="shared" si="66"/>
        <v/>
      </c>
      <c r="W613" s="10">
        <v>45337</v>
      </c>
      <c r="X613" s="9" t="str">
        <f t="shared" si="62"/>
        <v>Approved</v>
      </c>
      <c r="Y613" s="10">
        <v>45439</v>
      </c>
      <c r="Z613" s="10">
        <f>IF($H613="Cancelled","",IFERROR(IF(F613="","",F613-Variables!$B$13),""))</f>
        <v>45367</v>
      </c>
      <c r="AA613" s="11">
        <f>IF($H613="Cancelled","",IFERROR(IF(W613="","",(AVERAGE(E613:F613)-W613)-Variables!$B$14),""))</f>
        <v>0</v>
      </c>
      <c r="AB613" s="10">
        <v>45461</v>
      </c>
      <c r="AC613" s="11">
        <f>IF($H613="Cancelled","",IFERROR(IF(AB613="","",IF(AND(W613="",Y613=""),"",IF(Y613&gt;W613,Y613+Variables!$B$15+Variables!$B$16+Variables!$B$17-AB613,W613+Variables!$B$16+Variables!$B$17-AB613))),""))</f>
        <v>-7</v>
      </c>
      <c r="AD613" s="9"/>
      <c r="AE613" s="9"/>
      <c r="AF613" s="10"/>
      <c r="AG613" s="10"/>
      <c r="AH613" s="9"/>
      <c r="AI613" s="9"/>
      <c r="AJ613" s="9"/>
      <c r="AK613" s="10"/>
      <c r="AL613" s="10"/>
      <c r="AM613" s="10"/>
      <c r="AN613" s="9" t="s">
        <v>1509</v>
      </c>
      <c r="AO613" s="9"/>
      <c r="AP613" s="11" t="str">
        <f>IF($H613="Cancelled","",IFERROR(IF(OR(AK613="",AB613=""),"",(AB613+Variables!$B$18-AK613)),""))</f>
        <v/>
      </c>
      <c r="AQ613" s="11" t="str">
        <f>IF($H613="Cancelled","",IFERROR(IF(OR(AM613="",AK613=""),"",(AK613+Variables!$B$19)-AM613),""))</f>
        <v/>
      </c>
      <c r="AR613" s="12" t="str">
        <f>IF($H613="Cancelled","",IFERROR(T613*INDEX(Variables!$B$7:$D$7,IFERROR(MATCH(IF($B613="Robusta","Robusta",(IF($B613="","Arabica",$B613))&amp;" - "&amp;(IF($C613="","Commercial",$C613))),Variables!$B$1:$D$1,0),1))*(AQ613/365),""))</f>
        <v/>
      </c>
      <c r="AS613" s="12">
        <f>IF($H613="Cancelled","",IFERROR((T613*INDEX(Variables!$B$7:$D$7,IFERROR(MATCH(IF($B613="Robusta","Robusta",(IF($B613="","Arabica",$B613))&amp;" - "&amp;(IF($C613="","Commercial",$C613))),Variables!$B$1:$D$1,0),1))*IFERROR(IF(W613="","",(AVERAGE(E613:F613)-W613)-Variables!$B$14),"")/365)+(L613/16.67*INDEX(Variables!$B$8:$D$8,IFERROR(MATCH(IF($B613="Robusta","Robusta",(IF($B613="","Arabica",$B613))&amp;" - "&amp;(IF($C613="","Commercial",$C613))),Variables!$B$1:$D$1,0),1))*IFERROR(IF(W613="","",(AVERAGE(E613:F613)-W613)-Variables!$B$14),""))+(T613*INDEX(Variables!$B$9:$D$9,IFERROR(MATCH(IF($B613="Robusta","Robusta",(IF($B613="","Arabica",$B613))&amp;" - "&amp;(IF($C613="","Commercial",$C613))),Variables!$B$1:$D$1,0),1))*IFERROR(IF(W613="","",(AVERAGE(E613:F613)-W613)-Variables!$B$14),"")/365),""))</f>
        <v>0</v>
      </c>
      <c r="AT613" s="12">
        <f>IF($H613="Cancelled","",IFERROR((T613*INDEX(Variables!$B$7:$D$7,IFERROR(MATCH(IF($B613="Robusta","Robusta",(IF($B613="","Arabica",$B613))&amp;" - "&amp;(IF($C613="","Commercial",$C613))),Variables!$B$1:$D$1,0),1))*AC613/365)+(L613/16.67*INDEX(Variables!$B$8:$D$8,IFERROR(MATCH(IF($B613="Robusta","Robusta",(IF($B613="","Arabica",$B613))&amp;" - "&amp;(IF($C613="","Commercial",$C613))),Variables!$B$1:$D$1,0),1))*AC613)+(T613*INDEX(Variables!$B$9:$D$9,IFERROR(MATCH(IF($B613="Robusta","Robusta",(IF($B613="","Arabica",$B613))&amp;" - "&amp;(IF($C613="","Commercial",$C613))),Variables!$B$1:$D$1,0),1))*AC613/365),""))</f>
        <v>-8.3172665571319495</v>
      </c>
      <c r="AU613" s="12" t="str">
        <f>IF($H613="Cancelled","",IFERROR((T613*INDEX(Variables!$B$7:$D$7,IFERROR(MATCH(IF($B613="Robusta","Robusta",(IF($B613="","Arabica",$B613))&amp;" - "&amp;(IF($C613="","Commercial",$C613))),Variables!$B$1:$D$1,0),1))*AP613/365)+(L613/16.67*INDEX(Variables!$B$8:$D$8,IFERROR(MATCH(IF($B613="Robusta","Robusta",(IF($B613="","Arabica",$B613))&amp;" - "&amp;(IF($C613="","Commercial",$C613))),Variables!$B$1:$D$1,0),1))*AP613)+(T613*INDEX(Variables!$B$9:$D$9,IFERROR(MATCH(IF($B613="Robusta","Robusta",(IF($B613="","Arabica",$B613))&amp;" - "&amp;(IF($C613="","Commercial",$C613))),Variables!$B$1:$D$1,0),1))*AP613/365),""))</f>
        <v/>
      </c>
      <c r="AV613" s="11" t="str">
        <f t="shared" si="65"/>
        <v/>
      </c>
      <c r="AW613" s="12" t="str">
        <f>IF($H613="Cancelled","",IFERROR(IF(AV613="","",(T613*INDEX(Variables!$B$7:$D$7,IFERROR(MATCH(IF($B613="Robusta","Robusta",(IF($B613="","Arabica",$B613))&amp;" - "&amp;(IF($C613="","Commercial",$C613))),Variables!$B$1:$D$1,0),1))*(AV613/365))+(T613*INDEX(Variables!$B$9:$D$9,IFERROR(MATCH(IF($B613="Robusta","Robusta",(IF($B613="","Arabica",$B613))&amp;" - "&amp;(IF($C613="","Commercial",$C613))),Variables!$B$1:$D$1,0),1))*(AV613/365))+(INDEX(Variables!$B$8:$D$8,IFERROR(MATCH(IF($B613="Robusta","Robusta",(IF($B613="","Arabica",$B613))&amp;" - "&amp;(IF($C613="","Commercial",$C613))),Variables!$B$1:$D$1,0),1))*L613/16.67)),""))</f>
        <v/>
      </c>
      <c r="AX613" s="9"/>
      <c r="AY613" s="12"/>
      <c r="AZ613" s="10"/>
      <c r="BA613" s="9"/>
      <c r="BB613" s="10"/>
      <c r="BC613" s="9"/>
      <c r="BD613" s="9"/>
      <c r="BE613" s="9"/>
      <c r="BF613" s="9"/>
    </row>
    <row r="614" spans="1:58" x14ac:dyDescent="0.25">
      <c r="A614" s="9" t="s">
        <v>84</v>
      </c>
      <c r="B614" s="9" t="s">
        <v>85</v>
      </c>
      <c r="C614" s="9" t="s">
        <v>1486</v>
      </c>
      <c r="D614" s="10">
        <v>45338</v>
      </c>
      <c r="E614" s="10">
        <v>45352</v>
      </c>
      <c r="F614" s="10">
        <v>45412</v>
      </c>
      <c r="G614" s="9">
        <v>3786124</v>
      </c>
      <c r="H614" s="9" t="str">
        <f t="shared" si="63"/>
        <v>Closed</v>
      </c>
      <c r="I614" s="9" t="str">
        <f t="shared" si="64"/>
        <v>All dates received</v>
      </c>
      <c r="J614" s="9" t="s">
        <v>1487</v>
      </c>
      <c r="K614" s="9">
        <v>4744</v>
      </c>
      <c r="L614" s="11">
        <v>41</v>
      </c>
      <c r="M614" s="9" t="s">
        <v>1510</v>
      </c>
      <c r="N614" s="9"/>
      <c r="O614" s="9"/>
      <c r="P614" s="9"/>
      <c r="Q614" s="11"/>
      <c r="R614" s="9" t="s">
        <v>195</v>
      </c>
      <c r="S614" s="9" t="s">
        <v>183</v>
      </c>
      <c r="T614" s="12">
        <f>IF($H614="Cancelled","",IFERROR(((Q614+INDEX(Variables!$B$6:$D$6,IFERROR(MATCH(IF($B614="Robusta","Robusta",(IF($B614="","Arabica",$B614))&amp;" - "&amp;(IF($C614="","Commercial",$C614))),Variables!$B$1:$D$1,0),1)))*22.0462)*(L614/16.67),""))</f>
        <v>15767.992403119373</v>
      </c>
      <c r="U614" s="10"/>
      <c r="V614" s="9" t="str">
        <f t="shared" si="66"/>
        <v/>
      </c>
      <c r="W614" s="10">
        <v>45337</v>
      </c>
      <c r="X614" s="9" t="str">
        <f t="shared" si="62"/>
        <v>Approved</v>
      </c>
      <c r="Y614" s="10">
        <v>45349</v>
      </c>
      <c r="Z614" s="10">
        <f>IF($H614="Cancelled","",IFERROR(IF(F614="","",F614-Variables!$B$13),""))</f>
        <v>45397</v>
      </c>
      <c r="AA614" s="11">
        <f>IF($H614="Cancelled","",IFERROR(IF(W614="","",(AVERAGE(E614:F614)-W614)-Variables!$B$14),""))</f>
        <v>15</v>
      </c>
      <c r="AB614" s="10">
        <v>45370</v>
      </c>
      <c r="AC614" s="11">
        <f>IF($H614="Cancelled","",IFERROR(IF(AB614="","",IF(AND(W614="",Y614=""),"",IF(Y614&gt;W614,Y614+Variables!$B$15+Variables!$B$16+Variables!$B$17-AB614,W614+Variables!$B$16+Variables!$B$17-AB614))),""))</f>
        <v>-6</v>
      </c>
      <c r="AD614" s="9" t="s">
        <v>1489</v>
      </c>
      <c r="AE614" s="9" t="s">
        <v>1490</v>
      </c>
      <c r="AF614" s="10"/>
      <c r="AG614" s="10"/>
      <c r="AH614" s="9"/>
      <c r="AI614" s="9" t="s">
        <v>1491</v>
      </c>
      <c r="AJ614" s="9">
        <v>3331746596</v>
      </c>
      <c r="AK614" s="10">
        <v>45381</v>
      </c>
      <c r="AL614" s="10">
        <v>45384</v>
      </c>
      <c r="AM614" s="10">
        <v>45393</v>
      </c>
      <c r="AN614" s="9" t="s">
        <v>1492</v>
      </c>
      <c r="AO614" s="9"/>
      <c r="AP614" s="11">
        <f>IF($H614="Cancelled","",IFERROR(IF(OR(AK614="",AB614=""),"",(AB614+Variables!$B$18-AK614)),""))</f>
        <v>-4</v>
      </c>
      <c r="AQ614" s="11">
        <f>IF($H614="Cancelled","",IFERROR(IF(OR(AM614="",AK614=""),"",(AK614+Variables!$B$19)-AM614),""))</f>
        <v>-7</v>
      </c>
      <c r="AR614" s="12">
        <f>IF($H614="Cancelled","",IFERROR(T614*INDEX(Variables!$B$7:$D$7,IFERROR(MATCH(IF($B614="Robusta","Robusta",(IF($B614="","Arabica",$B614))&amp;" - "&amp;(IF($C614="","Commercial",$C614))),Variables!$B$1:$D$1,0),1))*(AQ614/365),""))</f>
        <v>-19.499407885356078</v>
      </c>
      <c r="AS614" s="12">
        <f>IF($H614="Cancelled","",IFERROR((T614*INDEX(Variables!$B$7:$D$7,IFERROR(MATCH(IF($B614="Robusta","Robusta",(IF($B614="","Arabica",$B614))&amp;" - "&amp;(IF($C614="","Commercial",$C614))),Variables!$B$1:$D$1,0),1))*IFERROR(IF(W614="","",(AVERAGE(E614:F614)-W614)-Variables!$B$14),"")/365)+(L614/16.67*INDEX(Variables!$B$8:$D$8,IFERROR(MATCH(IF($B614="Robusta","Robusta",(IF($B614="","Arabica",$B614))&amp;" - "&amp;(IF($C614="","Commercial",$C614))),Variables!$B$1:$D$1,0),1))*IFERROR(IF(W614="","",(AVERAGE(E614:F614)-W614)-Variables!$B$14),""))+(T614*INDEX(Variables!$B$9:$D$9,IFERROR(MATCH(IF($B614="Robusta","Robusta",(IF($B614="","Arabica",$B614))&amp;" - "&amp;(IF($C614="","Commercial",$C614))),Variables!$B$1:$D$1,0),1))*IFERROR(IF(W614="","",(AVERAGE(E614:F614)-W614)-Variables!$B$14),"")/365),""))</f>
        <v>73.07312760908782</v>
      </c>
      <c r="AT614" s="12">
        <f>IF($H614="Cancelled","",IFERROR((T614*INDEX(Variables!$B$7:$D$7,IFERROR(MATCH(IF($B614="Robusta","Robusta",(IF($B614="","Arabica",$B614))&amp;" - "&amp;(IF($C614="","Commercial",$C614))),Variables!$B$1:$D$1,0),1))*AC614/365)+(L614/16.67*INDEX(Variables!$B$8:$D$8,IFERROR(MATCH(IF($B614="Robusta","Robusta",(IF($B614="","Arabica",$B614))&amp;" - "&amp;(IF($C614="","Commercial",$C614))),Variables!$B$1:$D$1,0),1))*AC614)+(T614*INDEX(Variables!$B$9:$D$9,IFERROR(MATCH(IF($B614="Robusta","Robusta",(IF($B614="","Arabica",$B614))&amp;" - "&amp;(IF($C614="","Commercial",$C614))),Variables!$B$1:$D$1,0),1))*AC614/365),""))</f>
        <v>-29.229251043635134</v>
      </c>
      <c r="AU614" s="12">
        <f>IF($H614="Cancelled","",IFERROR((T614*INDEX(Variables!$B$7:$D$7,IFERROR(MATCH(IF($B614="Robusta","Robusta",(IF($B614="","Arabica",$B614))&amp;" - "&amp;(IF($C614="","Commercial",$C614))),Variables!$B$1:$D$1,0),1))*AP614/365)+(L614/16.67*INDEX(Variables!$B$8:$D$8,IFERROR(MATCH(IF($B614="Robusta","Robusta",(IF($B614="","Arabica",$B614))&amp;" - "&amp;(IF($C614="","Commercial",$C614))),Variables!$B$1:$D$1,0),1))*AP614)+(T614*INDEX(Variables!$B$9:$D$9,IFERROR(MATCH(IF($B614="Robusta","Robusta",(IF($B614="","Arabica",$B614))&amp;" - "&amp;(IF($C614="","Commercial",$C614))),Variables!$B$1:$D$1,0),1))*AP614/365),""))</f>
        <v>-19.486167362423423</v>
      </c>
      <c r="AV614" s="11">
        <f t="shared" si="65"/>
        <v>31</v>
      </c>
      <c r="AW614" s="12">
        <f>IF($H614="Cancelled","",IFERROR(IF(AV614="","",(T614*INDEX(Variables!$B$7:$D$7,IFERROR(MATCH(IF($B614="Robusta","Robusta",(IF($B614="","Arabica",$B614))&amp;" - "&amp;(IF($C614="","Commercial",$C614))),Variables!$B$1:$D$1,0),1))*(AV614/365))+(T614*INDEX(Variables!$B$9:$D$9,IFERROR(MATCH(IF($B614="Robusta","Robusta",(IF($B614="","Arabica",$B614))&amp;" - "&amp;(IF($C614="","Commercial",$C614))),Variables!$B$1:$D$1,0),1))*(AV614/365))+(INDEX(Variables!$B$8:$D$8,IFERROR(MATCH(IF($B614="Robusta","Robusta",(IF($B614="","Arabica",$B614))&amp;" - "&amp;(IF($C614="","Commercial",$C614))),Variables!$B$1:$D$1,0),1))*L614/16.67)),""))</f>
        <v>89.517797058781511</v>
      </c>
      <c r="AX614" s="9"/>
      <c r="AY614" s="12"/>
      <c r="AZ614" s="10"/>
      <c r="BA614" s="9"/>
      <c r="BB614" s="10"/>
      <c r="BC614" s="9"/>
      <c r="BD614" s="9"/>
      <c r="BE614" s="9"/>
      <c r="BF614" s="9"/>
    </row>
    <row r="615" spans="1:58" x14ac:dyDescent="0.25">
      <c r="A615" s="9" t="s">
        <v>84</v>
      </c>
      <c r="B615" s="9" t="s">
        <v>85</v>
      </c>
      <c r="C615" s="9" t="s">
        <v>1486</v>
      </c>
      <c r="D615" s="10">
        <v>45341</v>
      </c>
      <c r="E615" s="10">
        <v>45352</v>
      </c>
      <c r="F615" s="10">
        <v>45412</v>
      </c>
      <c r="G615" s="9">
        <v>3786129</v>
      </c>
      <c r="H615" s="9" t="str">
        <f t="shared" si="63"/>
        <v>Closed</v>
      </c>
      <c r="I615" s="9" t="str">
        <f t="shared" si="64"/>
        <v>All dates received</v>
      </c>
      <c r="J615" s="9" t="s">
        <v>225</v>
      </c>
      <c r="K615" s="9">
        <v>4805</v>
      </c>
      <c r="L615" s="11">
        <v>10</v>
      </c>
      <c r="M615" s="9" t="s">
        <v>1511</v>
      </c>
      <c r="N615" s="9"/>
      <c r="O615" s="9"/>
      <c r="P615" s="9"/>
      <c r="Q615" s="11"/>
      <c r="R615" s="9" t="s">
        <v>195</v>
      </c>
      <c r="S615" s="9" t="s">
        <v>228</v>
      </c>
      <c r="T615" s="12">
        <f>IF($H615="Cancelled","",IFERROR(((Q615+INDEX(Variables!$B$6:$D$6,IFERROR(MATCH(IF($B615="Robusta","Robusta",(IF($B615="","Arabica",$B615))&amp;" - "&amp;(IF($C615="","Commercial",$C615))),Variables!$B$1:$D$1,0),1)))*22.0462)*(L615/16.67),""))</f>
        <v>3845.8518056388721</v>
      </c>
      <c r="U615" s="10"/>
      <c r="V615" s="9" t="str">
        <f t="shared" si="66"/>
        <v/>
      </c>
      <c r="W615" s="10">
        <v>45366</v>
      </c>
      <c r="X615" s="9" t="str">
        <f t="shared" si="62"/>
        <v>Approved</v>
      </c>
      <c r="Y615" s="10">
        <v>45463</v>
      </c>
      <c r="Z615" s="10">
        <f>IF($H615="Cancelled","",IFERROR(IF(F615="","",F615-Variables!$B$13),""))</f>
        <v>45397</v>
      </c>
      <c r="AA615" s="11">
        <f>IF($H615="Cancelled","",IFERROR(IF(W615="","",(AVERAGE(E615:F615)-W615)-Variables!$B$14),""))</f>
        <v>-14</v>
      </c>
      <c r="AB615" s="10">
        <v>45471</v>
      </c>
      <c r="AC615" s="11">
        <f>IF($H615="Cancelled","",IFERROR(IF(AB615="","",IF(AND(W615="",Y615=""),"",IF(Y615&gt;W615,Y615+Variables!$B$15+Variables!$B$16+Variables!$B$17-AB615,W615+Variables!$B$16+Variables!$B$17-AB615))),""))</f>
        <v>7</v>
      </c>
      <c r="AD615" s="9" t="s">
        <v>107</v>
      </c>
      <c r="AE615" s="9" t="s">
        <v>364</v>
      </c>
      <c r="AF615" s="10"/>
      <c r="AG615" s="10"/>
      <c r="AH615" s="9"/>
      <c r="AI615" s="9" t="s">
        <v>1512</v>
      </c>
      <c r="AJ615" s="9" t="s">
        <v>511</v>
      </c>
      <c r="AK615" s="10">
        <v>45491</v>
      </c>
      <c r="AL615" s="10">
        <v>45495</v>
      </c>
      <c r="AM615" s="10">
        <v>45510</v>
      </c>
      <c r="AN615" s="9" t="s">
        <v>1492</v>
      </c>
      <c r="AO615" s="9"/>
      <c r="AP615" s="11">
        <f>IF($H615="Cancelled","",IFERROR(IF(OR(AK615="",AB615=""),"",(AB615+Variables!$B$18-AK615)),""))</f>
        <v>-13</v>
      </c>
      <c r="AQ615" s="11">
        <f>IF($H615="Cancelled","",IFERROR(IF(OR(AM615="",AK615=""),"",(AK615+Variables!$B$19)-AM615),""))</f>
        <v>-14</v>
      </c>
      <c r="AR615" s="12">
        <f>IF($H615="Cancelled","",IFERROR(T615*INDEX(Variables!$B$7:$D$7,IFERROR(MATCH(IF($B615="Robusta","Robusta",(IF($B615="","Arabica",$B615))&amp;" - "&amp;(IF($C615="","Commercial",$C615))),Variables!$B$1:$D$1,0),1))*(AQ615/365),""))</f>
        <v>-9.5119062855395526</v>
      </c>
      <c r="AS615" s="12">
        <f>IF($H615="Cancelled","",IFERROR((T615*INDEX(Variables!$B$7:$D$7,IFERROR(MATCH(IF($B615="Robusta","Robusta",(IF($B615="","Arabica",$B615))&amp;" - "&amp;(IF($C615="","Commercial",$C615))),Variables!$B$1:$D$1,0),1))*IFERROR(IF(W615="","",(AVERAGE(E615:F615)-W615)-Variables!$B$14),"")/365)+(L615/16.67*INDEX(Variables!$B$8:$D$8,IFERROR(MATCH(IF($B615="Robusta","Robusta",(IF($B615="","Arabica",$B615))&amp;" - "&amp;(IF($C615="","Commercial",$C615))),Variables!$B$1:$D$1,0),1))*IFERROR(IF(W615="","",(AVERAGE(E615:F615)-W615)-Variables!$B$14),""))+(T615*INDEX(Variables!$B$9:$D$9,IFERROR(MATCH(IF($B615="Robusta","Robusta",(IF($B615="","Arabica",$B615))&amp;" - "&amp;(IF($C615="","Commercial",$C615))),Variables!$B$1:$D$1,0),1))*IFERROR(IF(W615="","",(AVERAGE(E615:F615)-W615)-Variables!$B$14),"")/365),""))</f>
        <v>-16.634533114263899</v>
      </c>
      <c r="AT615" s="12">
        <f>IF($H615="Cancelled","",IFERROR((T615*INDEX(Variables!$B$7:$D$7,IFERROR(MATCH(IF($B615="Robusta","Robusta",(IF($B615="","Arabica",$B615))&amp;" - "&amp;(IF($C615="","Commercial",$C615))),Variables!$B$1:$D$1,0),1))*AC615/365)+(L615/16.67*INDEX(Variables!$B$8:$D$8,IFERROR(MATCH(IF($B615="Robusta","Robusta",(IF($B615="","Arabica",$B615))&amp;" - "&amp;(IF($C615="","Commercial",$C615))),Variables!$B$1:$D$1,0),1))*AC615)+(T615*INDEX(Variables!$B$9:$D$9,IFERROR(MATCH(IF($B615="Robusta","Robusta",(IF($B615="","Arabica",$B615))&amp;" - "&amp;(IF($C615="","Commercial",$C615))),Variables!$B$1:$D$1,0),1))*AC615/365),""))</f>
        <v>8.3172665571319495</v>
      </c>
      <c r="AU615" s="12">
        <f>IF($H615="Cancelled","",IFERROR((T615*INDEX(Variables!$B$7:$D$7,IFERROR(MATCH(IF($B615="Robusta","Robusta",(IF($B615="","Arabica",$B615))&amp;" - "&amp;(IF($C615="","Commercial",$C615))),Variables!$B$1:$D$1,0),1))*AP615/365)+(L615/16.67*INDEX(Variables!$B$8:$D$8,IFERROR(MATCH(IF($B615="Robusta","Robusta",(IF($B615="","Arabica",$B615))&amp;" - "&amp;(IF($C615="","Commercial",$C615))),Variables!$B$1:$D$1,0),1))*AP615)+(T615*INDEX(Variables!$B$9:$D$9,IFERROR(MATCH(IF($B615="Robusta","Robusta",(IF($B615="","Arabica",$B615))&amp;" - "&amp;(IF($C615="","Commercial",$C615))),Variables!$B$1:$D$1,0),1))*AP615/365),""))</f>
        <v>-15.446352177530761</v>
      </c>
      <c r="AV615" s="11">
        <f t="shared" si="65"/>
        <v>-79</v>
      </c>
      <c r="AW615" s="12">
        <f>IF($H615="Cancelled","",IFERROR(IF(AV615="","",(T615*INDEX(Variables!$B$7:$D$7,IFERROR(MATCH(IF($B615="Robusta","Robusta",(IF($B615="","Arabica",$B615))&amp;" - "&amp;(IF($C615="","Commercial",$C615))),Variables!$B$1:$D$1,0),1))*(AV615/365))+(T615*INDEX(Variables!$B$9:$D$9,IFERROR(MATCH(IF($B615="Robusta","Robusta",(IF($B615="","Arabica",$B615))&amp;" - "&amp;(IF($C615="","Commercial",$C615))),Variables!$B$1:$D$1,0),1))*(AV615/365))+(INDEX(Variables!$B$8:$D$8,IFERROR(MATCH(IF($B615="Robusta","Robusta",(IF($B615="","Arabica",$B615))&amp;" - "&amp;(IF($C615="","Commercial",$C615))),Variables!$B$1:$D$1,0),1))*L615/16.67)),""))</f>
        <v>-53.866294001917709</v>
      </c>
      <c r="AX615" s="9"/>
      <c r="AY615" s="12"/>
      <c r="AZ615" s="10"/>
      <c r="BA615" s="9"/>
      <c r="BB615" s="10"/>
      <c r="BC615" s="9"/>
      <c r="BD615" s="9"/>
      <c r="BE615" s="9"/>
      <c r="BF615" s="9"/>
    </row>
    <row r="616" spans="1:58" x14ac:dyDescent="0.25">
      <c r="A616" s="9" t="s">
        <v>84</v>
      </c>
      <c r="B616" s="9" t="s">
        <v>85</v>
      </c>
      <c r="C616" s="9" t="s">
        <v>1486</v>
      </c>
      <c r="D616" s="10">
        <v>45341</v>
      </c>
      <c r="E616" s="10">
        <v>45352</v>
      </c>
      <c r="F616" s="10">
        <v>45412</v>
      </c>
      <c r="G616" s="9">
        <v>3786130</v>
      </c>
      <c r="H616" s="9" t="str">
        <f t="shared" si="63"/>
        <v>Closed</v>
      </c>
      <c r="I616" s="9" t="str">
        <f t="shared" si="64"/>
        <v>All dates received</v>
      </c>
      <c r="J616" s="9" t="s">
        <v>225</v>
      </c>
      <c r="K616" s="9">
        <v>4806</v>
      </c>
      <c r="L616" s="11">
        <v>9</v>
      </c>
      <c r="M616" s="9" t="s">
        <v>1513</v>
      </c>
      <c r="N616" s="9"/>
      <c r="O616" s="9"/>
      <c r="P616" s="9"/>
      <c r="Q616" s="11"/>
      <c r="R616" s="9" t="s">
        <v>195</v>
      </c>
      <c r="S616" s="9" t="s">
        <v>228</v>
      </c>
      <c r="T616" s="12">
        <f>IF($H616="Cancelled","",IFERROR(((Q616+INDEX(Variables!$B$6:$D$6,IFERROR(MATCH(IF($B616="Robusta","Robusta",(IF($B616="","Arabica",$B616))&amp;" - "&amp;(IF($C616="","Commercial",$C616))),Variables!$B$1:$D$1,0),1)))*22.0462)*(L616/16.67),""))</f>
        <v>3461.2666250749849</v>
      </c>
      <c r="U616" s="10"/>
      <c r="V616" s="9" t="str">
        <f t="shared" si="66"/>
        <v/>
      </c>
      <c r="W616" s="10">
        <v>45366</v>
      </c>
      <c r="X616" s="9" t="str">
        <f t="shared" si="62"/>
        <v>Approved</v>
      </c>
      <c r="Y616" s="10">
        <v>45463</v>
      </c>
      <c r="Z616" s="10">
        <f>IF($H616="Cancelled","",IFERROR(IF(F616="","",F616-Variables!$B$13),""))</f>
        <v>45397</v>
      </c>
      <c r="AA616" s="11">
        <f>IF($H616="Cancelled","",IFERROR(IF(W616="","",(AVERAGE(E616:F616)-W616)-Variables!$B$14),""))</f>
        <v>-14</v>
      </c>
      <c r="AB616" s="10">
        <v>45471</v>
      </c>
      <c r="AC616" s="11">
        <f>IF($H616="Cancelled","",IFERROR(IF(AB616="","",IF(AND(W616="",Y616=""),"",IF(Y616&gt;W616,Y616+Variables!$B$15+Variables!$B$16+Variables!$B$17-AB616,W616+Variables!$B$16+Variables!$B$17-AB616))),""))</f>
        <v>7</v>
      </c>
      <c r="AD616" s="9" t="s">
        <v>107</v>
      </c>
      <c r="AE616" s="9" t="s">
        <v>364</v>
      </c>
      <c r="AF616" s="10"/>
      <c r="AG616" s="10"/>
      <c r="AH616" s="9"/>
      <c r="AI616" s="9" t="s">
        <v>1512</v>
      </c>
      <c r="AJ616" s="9" t="s">
        <v>511</v>
      </c>
      <c r="AK616" s="10">
        <v>45491</v>
      </c>
      <c r="AL616" s="10">
        <v>45495</v>
      </c>
      <c r="AM616" s="10">
        <v>45510</v>
      </c>
      <c r="AN616" s="9" t="s">
        <v>1492</v>
      </c>
      <c r="AO616" s="9"/>
      <c r="AP616" s="11">
        <f>IF($H616="Cancelled","",IFERROR(IF(OR(AK616="",AB616=""),"",(AB616+Variables!$B$18-AK616)),""))</f>
        <v>-13</v>
      </c>
      <c r="AQ616" s="11">
        <f>IF($H616="Cancelled","",IFERROR(IF(OR(AM616="",AK616=""),"",(AK616+Variables!$B$19)-AM616),""))</f>
        <v>-14</v>
      </c>
      <c r="AR616" s="12">
        <f>IF($H616="Cancelled","",IFERROR(T616*INDEX(Variables!$B$7:$D$7,IFERROR(MATCH(IF($B616="Robusta","Robusta",(IF($B616="","Arabica",$B616))&amp;" - "&amp;(IF($C616="","Commercial",$C616))),Variables!$B$1:$D$1,0),1))*(AQ616/365),""))</f>
        <v>-8.5607156569855967</v>
      </c>
      <c r="AS616" s="12">
        <f>IF($H616="Cancelled","",IFERROR((T616*INDEX(Variables!$B$7:$D$7,IFERROR(MATCH(IF($B616="Robusta","Robusta",(IF($B616="","Arabica",$B616))&amp;" - "&amp;(IF($C616="","Commercial",$C616))),Variables!$B$1:$D$1,0),1))*IFERROR(IF(W616="","",(AVERAGE(E616:F616)-W616)-Variables!$B$14),"")/365)+(L616/16.67*INDEX(Variables!$B$8:$D$8,IFERROR(MATCH(IF($B616="Robusta","Robusta",(IF($B616="","Arabica",$B616))&amp;" - "&amp;(IF($C616="","Commercial",$C616))),Variables!$B$1:$D$1,0),1))*IFERROR(IF(W616="","",(AVERAGE(E616:F616)-W616)-Variables!$B$14),""))+(T616*INDEX(Variables!$B$9:$D$9,IFERROR(MATCH(IF($B616="Robusta","Robusta",(IF($B616="","Arabica",$B616))&amp;" - "&amp;(IF($C616="","Commercial",$C616))),Variables!$B$1:$D$1,0),1))*IFERROR(IF(W616="","",(AVERAGE(E616:F616)-W616)-Variables!$B$14),"")/365),""))</f>
        <v>-14.971079802837508</v>
      </c>
      <c r="AT616" s="12">
        <f>IF($H616="Cancelled","",IFERROR((T616*INDEX(Variables!$B$7:$D$7,IFERROR(MATCH(IF($B616="Robusta","Robusta",(IF($B616="","Arabica",$B616))&amp;" - "&amp;(IF($C616="","Commercial",$C616))),Variables!$B$1:$D$1,0),1))*AC616/365)+(L616/16.67*INDEX(Variables!$B$8:$D$8,IFERROR(MATCH(IF($B616="Robusta","Robusta",(IF($B616="","Arabica",$B616))&amp;" - "&amp;(IF($C616="","Commercial",$C616))),Variables!$B$1:$D$1,0),1))*AC616)+(T616*INDEX(Variables!$B$9:$D$9,IFERROR(MATCH(IF($B616="Robusta","Robusta",(IF($B616="","Arabica",$B616))&amp;" - "&amp;(IF($C616="","Commercial",$C616))),Variables!$B$1:$D$1,0),1))*AC616/365),""))</f>
        <v>7.485539901418754</v>
      </c>
      <c r="AU616" s="12">
        <f>IF($H616="Cancelled","",IFERROR((T616*INDEX(Variables!$B$7:$D$7,IFERROR(MATCH(IF($B616="Robusta","Robusta",(IF($B616="","Arabica",$B616))&amp;" - "&amp;(IF($C616="","Commercial",$C616))),Variables!$B$1:$D$1,0),1))*AP616/365)+(L616/16.67*INDEX(Variables!$B$8:$D$8,IFERROR(MATCH(IF($B616="Robusta","Robusta",(IF($B616="","Arabica",$B616))&amp;" - "&amp;(IF($C616="","Commercial",$C616))),Variables!$B$1:$D$1,0),1))*AP616)+(T616*INDEX(Variables!$B$9:$D$9,IFERROR(MATCH(IF($B616="Robusta","Robusta",(IF($B616="","Arabica",$B616))&amp;" - "&amp;(IF($C616="","Commercial",$C616))),Variables!$B$1:$D$1,0),1))*AP616/365),""))</f>
        <v>-13.901716959777685</v>
      </c>
      <c r="AV616" s="11">
        <f t="shared" si="65"/>
        <v>-79</v>
      </c>
      <c r="AW616" s="12">
        <f>IF($H616="Cancelled","",IFERROR(IF(AV616="","",(T616*INDEX(Variables!$B$7:$D$7,IFERROR(MATCH(IF($B616="Robusta","Robusta",(IF($B616="","Arabica",$B616))&amp;" - "&amp;(IF($C616="","Commercial",$C616))),Variables!$B$1:$D$1,0),1))*(AV616/365))+(T616*INDEX(Variables!$B$9:$D$9,IFERROR(MATCH(IF($B616="Robusta","Robusta",(IF($B616="","Arabica",$B616))&amp;" - "&amp;(IF($C616="","Commercial",$C616))),Variables!$B$1:$D$1,0),1))*(AV616/365))+(INDEX(Variables!$B$8:$D$8,IFERROR(MATCH(IF($B616="Robusta","Robusta",(IF($B616="","Arabica",$B616))&amp;" - "&amp;(IF($C616="","Commercial",$C616))),Variables!$B$1:$D$1,0),1))*L616/16.67)),""))</f>
        <v>-48.479664601725936</v>
      </c>
      <c r="AX616" s="9"/>
      <c r="AY616" s="12"/>
      <c r="AZ616" s="10"/>
      <c r="BA616" s="9"/>
      <c r="BB616" s="10"/>
      <c r="BC616" s="9"/>
      <c r="BD616" s="9"/>
      <c r="BE616" s="9"/>
      <c r="BF616" s="9"/>
    </row>
    <row r="617" spans="1:58" x14ac:dyDescent="0.25">
      <c r="A617" s="9" t="s">
        <v>84</v>
      </c>
      <c r="B617" s="9" t="s">
        <v>85</v>
      </c>
      <c r="C617" s="9" t="s">
        <v>1486</v>
      </c>
      <c r="D617" s="10">
        <v>45341</v>
      </c>
      <c r="E617" s="10">
        <v>45352</v>
      </c>
      <c r="F617" s="10">
        <v>45412</v>
      </c>
      <c r="G617" s="9">
        <v>3786131</v>
      </c>
      <c r="H617" s="9" t="str">
        <f t="shared" si="63"/>
        <v>Closed</v>
      </c>
      <c r="I617" s="9" t="str">
        <f t="shared" si="64"/>
        <v>All dates received</v>
      </c>
      <c r="J617" s="9" t="s">
        <v>225</v>
      </c>
      <c r="K617" s="9">
        <v>4807</v>
      </c>
      <c r="L617" s="11">
        <v>8</v>
      </c>
      <c r="M617" s="9" t="s">
        <v>1514</v>
      </c>
      <c r="N617" s="9"/>
      <c r="O617" s="9"/>
      <c r="P617" s="9"/>
      <c r="Q617" s="11"/>
      <c r="R617" s="9" t="s">
        <v>195</v>
      </c>
      <c r="S617" s="9" t="s">
        <v>228</v>
      </c>
      <c r="T617" s="12">
        <f>IF($H617="Cancelled","",IFERROR(((Q617+INDEX(Variables!$B$6:$D$6,IFERROR(MATCH(IF($B617="Robusta","Robusta",(IF($B617="","Arabica",$B617))&amp;" - "&amp;(IF($C617="","Commercial",$C617))),Variables!$B$1:$D$1,0),1)))*22.0462)*(L617/16.67),""))</f>
        <v>3076.6814445110972</v>
      </c>
      <c r="U617" s="10"/>
      <c r="V617" s="9" t="str">
        <f t="shared" si="66"/>
        <v/>
      </c>
      <c r="W617" s="10">
        <v>45366</v>
      </c>
      <c r="X617" s="9" t="str">
        <f t="shared" si="62"/>
        <v>Approved</v>
      </c>
      <c r="Y617" s="10">
        <v>45463</v>
      </c>
      <c r="Z617" s="10">
        <f>IF($H617="Cancelled","",IFERROR(IF(F617="","",F617-Variables!$B$13),""))</f>
        <v>45397</v>
      </c>
      <c r="AA617" s="11">
        <f>IF($H617="Cancelled","",IFERROR(IF(W617="","",(AVERAGE(E617:F617)-W617)-Variables!$B$14),""))</f>
        <v>-14</v>
      </c>
      <c r="AB617" s="10">
        <v>45471</v>
      </c>
      <c r="AC617" s="11">
        <f>IF($H617="Cancelled","",IFERROR(IF(AB617="","",IF(AND(W617="",Y617=""),"",IF(Y617&gt;W617,Y617+Variables!$B$15+Variables!$B$16+Variables!$B$17-AB617,W617+Variables!$B$16+Variables!$B$17-AB617))),""))</f>
        <v>7</v>
      </c>
      <c r="AD617" s="9" t="s">
        <v>107</v>
      </c>
      <c r="AE617" s="9" t="s">
        <v>364</v>
      </c>
      <c r="AF617" s="10"/>
      <c r="AG617" s="10"/>
      <c r="AH617" s="9"/>
      <c r="AI617" s="9" t="s">
        <v>1512</v>
      </c>
      <c r="AJ617" s="9" t="s">
        <v>511</v>
      </c>
      <c r="AK617" s="10">
        <v>45491</v>
      </c>
      <c r="AL617" s="10">
        <v>45495</v>
      </c>
      <c r="AM617" s="10">
        <v>45510</v>
      </c>
      <c r="AN617" s="9" t="s">
        <v>1492</v>
      </c>
      <c r="AO617" s="9"/>
      <c r="AP617" s="11">
        <f>IF($H617="Cancelled","",IFERROR(IF(OR(AK617="",AB617=""),"",(AB617+Variables!$B$18-AK617)),""))</f>
        <v>-13</v>
      </c>
      <c r="AQ617" s="11">
        <f>IF($H617="Cancelled","",IFERROR(IF(OR(AM617="",AK617=""),"",(AK617+Variables!$B$19)-AM617),""))</f>
        <v>-14</v>
      </c>
      <c r="AR617" s="12">
        <f>IF($H617="Cancelled","",IFERROR(T617*INDEX(Variables!$B$7:$D$7,IFERROR(MATCH(IF($B617="Robusta","Robusta",(IF($B617="","Arabica",$B617))&amp;" - "&amp;(IF($C617="","Commercial",$C617))),Variables!$B$1:$D$1,0),1))*(AQ617/365),""))</f>
        <v>-7.6095250284316407</v>
      </c>
      <c r="AS617" s="12">
        <f>IF($H617="Cancelled","",IFERROR((T617*INDEX(Variables!$B$7:$D$7,IFERROR(MATCH(IF($B617="Robusta","Robusta",(IF($B617="","Arabica",$B617))&amp;" - "&amp;(IF($C617="","Commercial",$C617))),Variables!$B$1:$D$1,0),1))*IFERROR(IF(W617="","",(AVERAGE(E617:F617)-W617)-Variables!$B$14),"")/365)+(L617/16.67*INDEX(Variables!$B$8:$D$8,IFERROR(MATCH(IF($B617="Robusta","Robusta",(IF($B617="","Arabica",$B617))&amp;" - "&amp;(IF($C617="","Commercial",$C617))),Variables!$B$1:$D$1,0),1))*IFERROR(IF(W617="","",(AVERAGE(E617:F617)-W617)-Variables!$B$14),""))+(T617*INDEX(Variables!$B$9:$D$9,IFERROR(MATCH(IF($B617="Robusta","Robusta",(IF($B617="","Arabica",$B617))&amp;" - "&amp;(IF($C617="","Commercial",$C617))),Variables!$B$1:$D$1,0),1))*IFERROR(IF(W617="","",(AVERAGE(E617:F617)-W617)-Variables!$B$14),"")/365),""))</f>
        <v>-13.307626491411117</v>
      </c>
      <c r="AT617" s="12">
        <f>IF($H617="Cancelled","",IFERROR((T617*INDEX(Variables!$B$7:$D$7,IFERROR(MATCH(IF($B617="Robusta","Robusta",(IF($B617="","Arabica",$B617))&amp;" - "&amp;(IF($C617="","Commercial",$C617))),Variables!$B$1:$D$1,0),1))*AC617/365)+(L617/16.67*INDEX(Variables!$B$8:$D$8,IFERROR(MATCH(IF($B617="Robusta","Robusta",(IF($B617="","Arabica",$B617))&amp;" - "&amp;(IF($C617="","Commercial",$C617))),Variables!$B$1:$D$1,0),1))*AC617)+(T617*INDEX(Variables!$B$9:$D$9,IFERROR(MATCH(IF($B617="Robusta","Robusta",(IF($B617="","Arabica",$B617))&amp;" - "&amp;(IF($C617="","Commercial",$C617))),Variables!$B$1:$D$1,0),1))*AC617/365),""))</f>
        <v>6.6538132457055585</v>
      </c>
      <c r="AU617" s="12">
        <f>IF($H617="Cancelled","",IFERROR((T617*INDEX(Variables!$B$7:$D$7,IFERROR(MATCH(IF($B617="Robusta","Robusta",(IF($B617="","Arabica",$B617))&amp;" - "&amp;(IF($C617="","Commercial",$C617))),Variables!$B$1:$D$1,0),1))*AP617/365)+(L617/16.67*INDEX(Variables!$B$8:$D$8,IFERROR(MATCH(IF($B617="Robusta","Robusta",(IF($B617="","Arabica",$B617))&amp;" - "&amp;(IF($C617="","Commercial",$C617))),Variables!$B$1:$D$1,0),1))*AP617)+(T617*INDEX(Variables!$B$9:$D$9,IFERROR(MATCH(IF($B617="Robusta","Robusta",(IF($B617="","Arabica",$B617))&amp;" - "&amp;(IF($C617="","Commercial",$C617))),Variables!$B$1:$D$1,0),1))*AP617/365),""))</f>
        <v>-12.357081742024608</v>
      </c>
      <c r="AV617" s="11">
        <f t="shared" si="65"/>
        <v>-79</v>
      </c>
      <c r="AW617" s="12">
        <f>IF($H617="Cancelled","",IFERROR(IF(AV617="","",(T617*INDEX(Variables!$B$7:$D$7,IFERROR(MATCH(IF($B617="Robusta","Robusta",(IF($B617="","Arabica",$B617))&amp;" - "&amp;(IF($C617="","Commercial",$C617))),Variables!$B$1:$D$1,0),1))*(AV617/365))+(T617*INDEX(Variables!$B$9:$D$9,IFERROR(MATCH(IF($B617="Robusta","Robusta",(IF($B617="","Arabica",$B617))&amp;" - "&amp;(IF($C617="","Commercial",$C617))),Variables!$B$1:$D$1,0),1))*(AV617/365))+(INDEX(Variables!$B$8:$D$8,IFERROR(MATCH(IF($B617="Robusta","Robusta",(IF($B617="","Arabica",$B617))&amp;" - "&amp;(IF($C617="","Commercial",$C617))),Variables!$B$1:$D$1,0),1))*L617/16.67)),""))</f>
        <v>-43.093035201534157</v>
      </c>
      <c r="AX617" s="9"/>
      <c r="AY617" s="12"/>
      <c r="AZ617" s="10"/>
      <c r="BA617" s="9"/>
      <c r="BB617" s="10"/>
      <c r="BC617" s="9"/>
      <c r="BD617" s="9"/>
      <c r="BE617" s="9"/>
      <c r="BF617" s="9"/>
    </row>
    <row r="618" spans="1:58" x14ac:dyDescent="0.25">
      <c r="A618" s="9" t="s">
        <v>84</v>
      </c>
      <c r="B618" s="9" t="s">
        <v>85</v>
      </c>
      <c r="C618" s="9" t="s">
        <v>1486</v>
      </c>
      <c r="D618" s="10">
        <v>45341</v>
      </c>
      <c r="E618" s="10">
        <v>45352</v>
      </c>
      <c r="F618" s="10">
        <v>45412</v>
      </c>
      <c r="G618" s="9">
        <v>3786132</v>
      </c>
      <c r="H618" s="9" t="str">
        <f t="shared" si="63"/>
        <v>Closed</v>
      </c>
      <c r="I618" s="9" t="str">
        <f t="shared" si="64"/>
        <v>All dates received</v>
      </c>
      <c r="J618" s="9" t="s">
        <v>225</v>
      </c>
      <c r="K618" s="9">
        <v>4808</v>
      </c>
      <c r="L618" s="11">
        <v>5</v>
      </c>
      <c r="M618" s="9" t="s">
        <v>1515</v>
      </c>
      <c r="N618" s="9"/>
      <c r="O618" s="9"/>
      <c r="P618" s="9"/>
      <c r="Q618" s="11"/>
      <c r="R618" s="9" t="s">
        <v>195</v>
      </c>
      <c r="S618" s="9" t="s">
        <v>228</v>
      </c>
      <c r="T618" s="12">
        <f>IF($H618="Cancelled","",IFERROR(((Q618+INDEX(Variables!$B$6:$D$6,IFERROR(MATCH(IF($B618="Robusta","Robusta",(IF($B618="","Arabica",$B618))&amp;" - "&amp;(IF($C618="","Commercial",$C618))),Variables!$B$1:$D$1,0),1)))*22.0462)*(L618/16.67),""))</f>
        <v>1922.925902819436</v>
      </c>
      <c r="U618" s="10"/>
      <c r="V618" s="9" t="str">
        <f t="shared" si="66"/>
        <v/>
      </c>
      <c r="W618" s="10">
        <v>45366</v>
      </c>
      <c r="X618" s="9" t="str">
        <f t="shared" ref="X618:X681" si="67">IF(ISNUMBER(W618),"Approved","")</f>
        <v>Approved</v>
      </c>
      <c r="Y618" s="10">
        <v>45463</v>
      </c>
      <c r="Z618" s="10">
        <f>IF($H618="Cancelled","",IFERROR(IF(F618="","",F618-Variables!$B$13),""))</f>
        <v>45397</v>
      </c>
      <c r="AA618" s="11">
        <f>IF($H618="Cancelled","",IFERROR(IF(W618="","",(AVERAGE(E618:F618)-W618)-Variables!$B$14),""))</f>
        <v>-14</v>
      </c>
      <c r="AB618" s="10">
        <v>45471</v>
      </c>
      <c r="AC618" s="11">
        <f>IF($H618="Cancelled","",IFERROR(IF(AB618="","",IF(AND(W618="",Y618=""),"",IF(Y618&gt;W618,Y618+Variables!$B$15+Variables!$B$16+Variables!$B$17-AB618,W618+Variables!$B$16+Variables!$B$17-AB618))),""))</f>
        <v>7</v>
      </c>
      <c r="AD618" s="9" t="s">
        <v>107</v>
      </c>
      <c r="AE618" s="9" t="s">
        <v>364</v>
      </c>
      <c r="AF618" s="10"/>
      <c r="AG618" s="10"/>
      <c r="AH618" s="9"/>
      <c r="AI618" s="9" t="s">
        <v>1512</v>
      </c>
      <c r="AJ618" s="9" t="s">
        <v>511</v>
      </c>
      <c r="AK618" s="10">
        <v>45491</v>
      </c>
      <c r="AL618" s="10">
        <v>45495</v>
      </c>
      <c r="AM618" s="10">
        <v>45510</v>
      </c>
      <c r="AN618" s="9" t="s">
        <v>1492</v>
      </c>
      <c r="AO618" s="9"/>
      <c r="AP618" s="11">
        <f>IF($H618="Cancelled","",IFERROR(IF(OR(AK618="",AB618=""),"",(AB618+Variables!$B$18-AK618)),""))</f>
        <v>-13</v>
      </c>
      <c r="AQ618" s="11">
        <f>IF($H618="Cancelled","",IFERROR(IF(OR(AM618="",AK618=""),"",(AK618+Variables!$B$19)-AM618),""))</f>
        <v>-14</v>
      </c>
      <c r="AR618" s="12">
        <f>IF($H618="Cancelled","",IFERROR(T618*INDEX(Variables!$B$7:$D$7,IFERROR(MATCH(IF($B618="Robusta","Robusta",(IF($B618="","Arabica",$B618))&amp;" - "&amp;(IF($C618="","Commercial",$C618))),Variables!$B$1:$D$1,0),1))*(AQ618/365),""))</f>
        <v>-4.7559531427697763</v>
      </c>
      <c r="AS618" s="12">
        <f>IF($H618="Cancelled","",IFERROR((T618*INDEX(Variables!$B$7:$D$7,IFERROR(MATCH(IF($B618="Robusta","Robusta",(IF($B618="","Arabica",$B618))&amp;" - "&amp;(IF($C618="","Commercial",$C618))),Variables!$B$1:$D$1,0),1))*IFERROR(IF(W618="","",(AVERAGE(E618:F618)-W618)-Variables!$B$14),"")/365)+(L618/16.67*INDEX(Variables!$B$8:$D$8,IFERROR(MATCH(IF($B618="Robusta","Robusta",(IF($B618="","Arabica",$B618))&amp;" - "&amp;(IF($C618="","Commercial",$C618))),Variables!$B$1:$D$1,0),1))*IFERROR(IF(W618="","",(AVERAGE(E618:F618)-W618)-Variables!$B$14),""))+(T618*INDEX(Variables!$B$9:$D$9,IFERROR(MATCH(IF($B618="Robusta","Robusta",(IF($B618="","Arabica",$B618))&amp;" - "&amp;(IF($C618="","Commercial",$C618))),Variables!$B$1:$D$1,0),1))*IFERROR(IF(W618="","",(AVERAGE(E618:F618)-W618)-Variables!$B$14),"")/365),""))</f>
        <v>-8.3172665571319495</v>
      </c>
      <c r="AT618" s="12">
        <f>IF($H618="Cancelled","",IFERROR((T618*INDEX(Variables!$B$7:$D$7,IFERROR(MATCH(IF($B618="Robusta","Robusta",(IF($B618="","Arabica",$B618))&amp;" - "&amp;(IF($C618="","Commercial",$C618))),Variables!$B$1:$D$1,0),1))*AC618/365)+(L618/16.67*INDEX(Variables!$B$8:$D$8,IFERROR(MATCH(IF($B618="Robusta","Robusta",(IF($B618="","Arabica",$B618))&amp;" - "&amp;(IF($C618="","Commercial",$C618))),Variables!$B$1:$D$1,0),1))*AC618)+(T618*INDEX(Variables!$B$9:$D$9,IFERROR(MATCH(IF($B618="Robusta","Robusta",(IF($B618="","Arabica",$B618))&amp;" - "&amp;(IF($C618="","Commercial",$C618))),Variables!$B$1:$D$1,0),1))*AC618/365),""))</f>
        <v>4.1586332785659748</v>
      </c>
      <c r="AU618" s="12">
        <f>IF($H618="Cancelled","",IFERROR((T618*INDEX(Variables!$B$7:$D$7,IFERROR(MATCH(IF($B618="Robusta","Robusta",(IF($B618="","Arabica",$B618))&amp;" - "&amp;(IF($C618="","Commercial",$C618))),Variables!$B$1:$D$1,0),1))*AP618/365)+(L618/16.67*INDEX(Variables!$B$8:$D$8,IFERROR(MATCH(IF($B618="Robusta","Robusta",(IF($B618="","Arabica",$B618))&amp;" - "&amp;(IF($C618="","Commercial",$C618))),Variables!$B$1:$D$1,0),1))*AP618)+(T618*INDEX(Variables!$B$9:$D$9,IFERROR(MATCH(IF($B618="Robusta","Robusta",(IF($B618="","Arabica",$B618))&amp;" - "&amp;(IF($C618="","Commercial",$C618))),Variables!$B$1:$D$1,0),1))*AP618/365),""))</f>
        <v>-7.7231760887653804</v>
      </c>
      <c r="AV618" s="11">
        <f t="shared" si="65"/>
        <v>-79</v>
      </c>
      <c r="AW618" s="12">
        <f>IF($H618="Cancelled","",IFERROR(IF(AV618="","",(T618*INDEX(Variables!$B$7:$D$7,IFERROR(MATCH(IF($B618="Robusta","Robusta",(IF($B618="","Arabica",$B618))&amp;" - "&amp;(IF($C618="","Commercial",$C618))),Variables!$B$1:$D$1,0),1))*(AV618/365))+(T618*INDEX(Variables!$B$9:$D$9,IFERROR(MATCH(IF($B618="Robusta","Robusta",(IF($B618="","Arabica",$B618))&amp;" - "&amp;(IF($C618="","Commercial",$C618))),Variables!$B$1:$D$1,0),1))*(AV618/365))+(INDEX(Variables!$B$8:$D$8,IFERROR(MATCH(IF($B618="Robusta","Robusta",(IF($B618="","Arabica",$B618))&amp;" - "&amp;(IF($C618="","Commercial",$C618))),Variables!$B$1:$D$1,0),1))*L618/16.67)),""))</f>
        <v>-26.933147000958854</v>
      </c>
      <c r="AX618" s="9"/>
      <c r="AY618" s="12"/>
      <c r="AZ618" s="10"/>
      <c r="BA618" s="9"/>
      <c r="BB618" s="10"/>
      <c r="BC618" s="9"/>
      <c r="BD618" s="9"/>
      <c r="BE618" s="9"/>
      <c r="BF618" s="9"/>
    </row>
    <row r="619" spans="1:58" x14ac:dyDescent="0.25">
      <c r="A619" s="9" t="s">
        <v>84</v>
      </c>
      <c r="B619" s="9" t="s">
        <v>85</v>
      </c>
      <c r="C619" s="9" t="s">
        <v>1486</v>
      </c>
      <c r="D619" s="10">
        <v>45341</v>
      </c>
      <c r="E619" s="10">
        <v>45352</v>
      </c>
      <c r="F619" s="10">
        <v>45412</v>
      </c>
      <c r="G619" s="9">
        <v>3786133</v>
      </c>
      <c r="H619" s="9" t="str">
        <f t="shared" si="63"/>
        <v>Closed</v>
      </c>
      <c r="I619" s="9" t="str">
        <f t="shared" si="64"/>
        <v>All dates received</v>
      </c>
      <c r="J619" s="9" t="s">
        <v>225</v>
      </c>
      <c r="K619" s="9">
        <v>4809</v>
      </c>
      <c r="L619" s="11">
        <v>10</v>
      </c>
      <c r="M619" s="9" t="s">
        <v>1516</v>
      </c>
      <c r="N619" s="9"/>
      <c r="O619" s="9"/>
      <c r="P619" s="9"/>
      <c r="Q619" s="11"/>
      <c r="R619" s="9" t="s">
        <v>195</v>
      </c>
      <c r="S619" s="9" t="s">
        <v>228</v>
      </c>
      <c r="T619" s="12">
        <f>IF($H619="Cancelled","",IFERROR(((Q619+INDEX(Variables!$B$6:$D$6,IFERROR(MATCH(IF($B619="Robusta","Robusta",(IF($B619="","Arabica",$B619))&amp;" - "&amp;(IF($C619="","Commercial",$C619))),Variables!$B$1:$D$1,0),1)))*22.0462)*(L619/16.67),""))</f>
        <v>3845.8518056388721</v>
      </c>
      <c r="U619" s="10"/>
      <c r="V619" s="9" t="str">
        <f t="shared" si="66"/>
        <v/>
      </c>
      <c r="W619" s="10">
        <v>45366</v>
      </c>
      <c r="X619" s="9" t="str">
        <f t="shared" si="67"/>
        <v>Approved</v>
      </c>
      <c r="Y619" s="10">
        <v>45463</v>
      </c>
      <c r="Z619" s="10">
        <f>IF($H619="Cancelled","",IFERROR(IF(F619="","",F619-Variables!$B$13),""))</f>
        <v>45397</v>
      </c>
      <c r="AA619" s="11">
        <f>IF($H619="Cancelled","",IFERROR(IF(W619="","",(AVERAGE(E619:F619)-W619)-Variables!$B$14),""))</f>
        <v>-14</v>
      </c>
      <c r="AB619" s="10">
        <v>45471</v>
      </c>
      <c r="AC619" s="11">
        <f>IF($H619="Cancelled","",IFERROR(IF(AB619="","",IF(AND(W619="",Y619=""),"",IF(Y619&gt;W619,Y619+Variables!$B$15+Variables!$B$16+Variables!$B$17-AB619,W619+Variables!$B$16+Variables!$B$17-AB619))),""))</f>
        <v>7</v>
      </c>
      <c r="AD619" s="9" t="s">
        <v>107</v>
      </c>
      <c r="AE619" s="9" t="s">
        <v>364</v>
      </c>
      <c r="AF619" s="10"/>
      <c r="AG619" s="10"/>
      <c r="AH619" s="9"/>
      <c r="AI619" s="9" t="s">
        <v>1512</v>
      </c>
      <c r="AJ619" s="9" t="s">
        <v>511</v>
      </c>
      <c r="AK619" s="10">
        <v>45491</v>
      </c>
      <c r="AL619" s="10">
        <v>45495</v>
      </c>
      <c r="AM619" s="10">
        <v>45510</v>
      </c>
      <c r="AN619" s="9" t="s">
        <v>1492</v>
      </c>
      <c r="AO619" s="9"/>
      <c r="AP619" s="11">
        <f>IF($H619="Cancelled","",IFERROR(IF(OR(AK619="",AB619=""),"",(AB619+Variables!$B$18-AK619)),""))</f>
        <v>-13</v>
      </c>
      <c r="AQ619" s="11">
        <f>IF($H619="Cancelled","",IFERROR(IF(OR(AM619="",AK619=""),"",(AK619+Variables!$B$19)-AM619),""))</f>
        <v>-14</v>
      </c>
      <c r="AR619" s="12">
        <f>IF($H619="Cancelled","",IFERROR(T619*INDEX(Variables!$B$7:$D$7,IFERROR(MATCH(IF($B619="Robusta","Robusta",(IF($B619="","Arabica",$B619))&amp;" - "&amp;(IF($C619="","Commercial",$C619))),Variables!$B$1:$D$1,0),1))*(AQ619/365),""))</f>
        <v>-9.5119062855395526</v>
      </c>
      <c r="AS619" s="12">
        <f>IF($H619="Cancelled","",IFERROR((T619*INDEX(Variables!$B$7:$D$7,IFERROR(MATCH(IF($B619="Robusta","Robusta",(IF($B619="","Arabica",$B619))&amp;" - "&amp;(IF($C619="","Commercial",$C619))),Variables!$B$1:$D$1,0),1))*IFERROR(IF(W619="","",(AVERAGE(E619:F619)-W619)-Variables!$B$14),"")/365)+(L619/16.67*INDEX(Variables!$B$8:$D$8,IFERROR(MATCH(IF($B619="Robusta","Robusta",(IF($B619="","Arabica",$B619))&amp;" - "&amp;(IF($C619="","Commercial",$C619))),Variables!$B$1:$D$1,0),1))*IFERROR(IF(W619="","",(AVERAGE(E619:F619)-W619)-Variables!$B$14),""))+(T619*INDEX(Variables!$B$9:$D$9,IFERROR(MATCH(IF($B619="Robusta","Robusta",(IF($B619="","Arabica",$B619))&amp;" - "&amp;(IF($C619="","Commercial",$C619))),Variables!$B$1:$D$1,0),1))*IFERROR(IF(W619="","",(AVERAGE(E619:F619)-W619)-Variables!$B$14),"")/365),""))</f>
        <v>-16.634533114263899</v>
      </c>
      <c r="AT619" s="12">
        <f>IF($H619="Cancelled","",IFERROR((T619*INDEX(Variables!$B$7:$D$7,IFERROR(MATCH(IF($B619="Robusta","Robusta",(IF($B619="","Arabica",$B619))&amp;" - "&amp;(IF($C619="","Commercial",$C619))),Variables!$B$1:$D$1,0),1))*AC619/365)+(L619/16.67*INDEX(Variables!$B$8:$D$8,IFERROR(MATCH(IF($B619="Robusta","Robusta",(IF($B619="","Arabica",$B619))&amp;" - "&amp;(IF($C619="","Commercial",$C619))),Variables!$B$1:$D$1,0),1))*AC619)+(T619*INDEX(Variables!$B$9:$D$9,IFERROR(MATCH(IF($B619="Robusta","Robusta",(IF($B619="","Arabica",$B619))&amp;" - "&amp;(IF($C619="","Commercial",$C619))),Variables!$B$1:$D$1,0),1))*AC619/365),""))</f>
        <v>8.3172665571319495</v>
      </c>
      <c r="AU619" s="12">
        <f>IF($H619="Cancelled","",IFERROR((T619*INDEX(Variables!$B$7:$D$7,IFERROR(MATCH(IF($B619="Robusta","Robusta",(IF($B619="","Arabica",$B619))&amp;" - "&amp;(IF($C619="","Commercial",$C619))),Variables!$B$1:$D$1,0),1))*AP619/365)+(L619/16.67*INDEX(Variables!$B$8:$D$8,IFERROR(MATCH(IF($B619="Robusta","Robusta",(IF($B619="","Arabica",$B619))&amp;" - "&amp;(IF($C619="","Commercial",$C619))),Variables!$B$1:$D$1,0),1))*AP619)+(T619*INDEX(Variables!$B$9:$D$9,IFERROR(MATCH(IF($B619="Robusta","Robusta",(IF($B619="","Arabica",$B619))&amp;" - "&amp;(IF($C619="","Commercial",$C619))),Variables!$B$1:$D$1,0),1))*AP619/365),""))</f>
        <v>-15.446352177530761</v>
      </c>
      <c r="AV619" s="11">
        <f t="shared" si="65"/>
        <v>-79</v>
      </c>
      <c r="AW619" s="12">
        <f>IF($H619="Cancelled","",IFERROR(IF(AV619="","",(T619*INDEX(Variables!$B$7:$D$7,IFERROR(MATCH(IF($B619="Robusta","Robusta",(IF($B619="","Arabica",$B619))&amp;" - "&amp;(IF($C619="","Commercial",$C619))),Variables!$B$1:$D$1,0),1))*(AV619/365))+(T619*INDEX(Variables!$B$9:$D$9,IFERROR(MATCH(IF($B619="Robusta","Robusta",(IF($B619="","Arabica",$B619))&amp;" - "&amp;(IF($C619="","Commercial",$C619))),Variables!$B$1:$D$1,0),1))*(AV619/365))+(INDEX(Variables!$B$8:$D$8,IFERROR(MATCH(IF($B619="Robusta","Robusta",(IF($B619="","Arabica",$B619))&amp;" - "&amp;(IF($C619="","Commercial",$C619))),Variables!$B$1:$D$1,0),1))*L619/16.67)),""))</f>
        <v>-53.866294001917709</v>
      </c>
      <c r="AX619" s="9"/>
      <c r="AY619" s="12"/>
      <c r="AZ619" s="10"/>
      <c r="BA619" s="9"/>
      <c r="BB619" s="10"/>
      <c r="BC619" s="9"/>
      <c r="BD619" s="9"/>
      <c r="BE619" s="9"/>
      <c r="BF619" s="9"/>
    </row>
    <row r="620" spans="1:58" x14ac:dyDescent="0.25">
      <c r="A620" s="9" t="s">
        <v>84</v>
      </c>
      <c r="B620" s="9" t="s">
        <v>85</v>
      </c>
      <c r="C620" s="9" t="s">
        <v>1486</v>
      </c>
      <c r="D620" s="10">
        <v>45341</v>
      </c>
      <c r="E620" s="10">
        <v>45352</v>
      </c>
      <c r="F620" s="10">
        <v>45412</v>
      </c>
      <c r="G620" s="9">
        <v>3786134</v>
      </c>
      <c r="H620" s="9" t="str">
        <f t="shared" si="63"/>
        <v>Closed</v>
      </c>
      <c r="I620" s="9" t="str">
        <f t="shared" si="64"/>
        <v>All dates received</v>
      </c>
      <c r="J620" s="9" t="s">
        <v>225</v>
      </c>
      <c r="K620" s="9">
        <v>4810</v>
      </c>
      <c r="L620" s="11">
        <v>5</v>
      </c>
      <c r="M620" s="9" t="s">
        <v>1517</v>
      </c>
      <c r="N620" s="9"/>
      <c r="O620" s="9"/>
      <c r="P620" s="9"/>
      <c r="Q620" s="11"/>
      <c r="R620" s="9" t="s">
        <v>195</v>
      </c>
      <c r="S620" s="9" t="s">
        <v>228</v>
      </c>
      <c r="T620" s="12">
        <f>IF($H620="Cancelled","",IFERROR(((Q620+INDEX(Variables!$B$6:$D$6,IFERROR(MATCH(IF($B620="Robusta","Robusta",(IF($B620="","Arabica",$B620))&amp;" - "&amp;(IF($C620="","Commercial",$C620))),Variables!$B$1:$D$1,0),1)))*22.0462)*(L620/16.67),""))</f>
        <v>1922.925902819436</v>
      </c>
      <c r="U620" s="10"/>
      <c r="V620" s="9" t="str">
        <f t="shared" si="66"/>
        <v/>
      </c>
      <c r="W620" s="10">
        <v>45366</v>
      </c>
      <c r="X620" s="9" t="str">
        <f t="shared" si="67"/>
        <v>Approved</v>
      </c>
      <c r="Y620" s="10">
        <v>45463</v>
      </c>
      <c r="Z620" s="10">
        <f>IF($H620="Cancelled","",IFERROR(IF(F620="","",F620-Variables!$B$13),""))</f>
        <v>45397</v>
      </c>
      <c r="AA620" s="11">
        <f>IF($H620="Cancelled","",IFERROR(IF(W620="","",(AVERAGE(E620:F620)-W620)-Variables!$B$14),""))</f>
        <v>-14</v>
      </c>
      <c r="AB620" s="10">
        <v>45471</v>
      </c>
      <c r="AC620" s="11">
        <f>IF($H620="Cancelled","",IFERROR(IF(AB620="","",IF(AND(W620="",Y620=""),"",IF(Y620&gt;W620,Y620+Variables!$B$15+Variables!$B$16+Variables!$B$17-AB620,W620+Variables!$B$16+Variables!$B$17-AB620))),""))</f>
        <v>7</v>
      </c>
      <c r="AD620" s="9" t="s">
        <v>107</v>
      </c>
      <c r="AE620" s="9" t="s">
        <v>364</v>
      </c>
      <c r="AF620" s="10"/>
      <c r="AG620" s="10"/>
      <c r="AH620" s="9"/>
      <c r="AI620" s="9" t="s">
        <v>1512</v>
      </c>
      <c r="AJ620" s="9" t="s">
        <v>511</v>
      </c>
      <c r="AK620" s="10">
        <v>45491</v>
      </c>
      <c r="AL620" s="10">
        <v>45495</v>
      </c>
      <c r="AM620" s="10">
        <v>45510</v>
      </c>
      <c r="AN620" s="9" t="s">
        <v>1492</v>
      </c>
      <c r="AO620" s="9"/>
      <c r="AP620" s="11">
        <f>IF($H620="Cancelled","",IFERROR(IF(OR(AK620="",AB620=""),"",(AB620+Variables!$B$18-AK620)),""))</f>
        <v>-13</v>
      </c>
      <c r="AQ620" s="11">
        <f>IF($H620="Cancelled","",IFERROR(IF(OR(AM620="",AK620=""),"",(AK620+Variables!$B$19)-AM620),""))</f>
        <v>-14</v>
      </c>
      <c r="AR620" s="12">
        <f>IF($H620="Cancelled","",IFERROR(T620*INDEX(Variables!$B$7:$D$7,IFERROR(MATCH(IF($B620="Robusta","Robusta",(IF($B620="","Arabica",$B620))&amp;" - "&amp;(IF($C620="","Commercial",$C620))),Variables!$B$1:$D$1,0),1))*(AQ620/365),""))</f>
        <v>-4.7559531427697763</v>
      </c>
      <c r="AS620" s="12">
        <f>IF($H620="Cancelled","",IFERROR((T620*INDEX(Variables!$B$7:$D$7,IFERROR(MATCH(IF($B620="Robusta","Robusta",(IF($B620="","Arabica",$B620))&amp;" - "&amp;(IF($C620="","Commercial",$C620))),Variables!$B$1:$D$1,0),1))*IFERROR(IF(W620="","",(AVERAGE(E620:F620)-W620)-Variables!$B$14),"")/365)+(L620/16.67*INDEX(Variables!$B$8:$D$8,IFERROR(MATCH(IF($B620="Robusta","Robusta",(IF($B620="","Arabica",$B620))&amp;" - "&amp;(IF($C620="","Commercial",$C620))),Variables!$B$1:$D$1,0),1))*IFERROR(IF(W620="","",(AVERAGE(E620:F620)-W620)-Variables!$B$14),""))+(T620*INDEX(Variables!$B$9:$D$9,IFERROR(MATCH(IF($B620="Robusta","Robusta",(IF($B620="","Arabica",$B620))&amp;" - "&amp;(IF($C620="","Commercial",$C620))),Variables!$B$1:$D$1,0),1))*IFERROR(IF(W620="","",(AVERAGE(E620:F620)-W620)-Variables!$B$14),"")/365),""))</f>
        <v>-8.3172665571319495</v>
      </c>
      <c r="AT620" s="12">
        <f>IF($H620="Cancelled","",IFERROR((T620*INDEX(Variables!$B$7:$D$7,IFERROR(MATCH(IF($B620="Robusta","Robusta",(IF($B620="","Arabica",$B620))&amp;" - "&amp;(IF($C620="","Commercial",$C620))),Variables!$B$1:$D$1,0),1))*AC620/365)+(L620/16.67*INDEX(Variables!$B$8:$D$8,IFERROR(MATCH(IF($B620="Robusta","Robusta",(IF($B620="","Arabica",$B620))&amp;" - "&amp;(IF($C620="","Commercial",$C620))),Variables!$B$1:$D$1,0),1))*AC620)+(T620*INDEX(Variables!$B$9:$D$9,IFERROR(MATCH(IF($B620="Robusta","Robusta",(IF($B620="","Arabica",$B620))&amp;" - "&amp;(IF($C620="","Commercial",$C620))),Variables!$B$1:$D$1,0),1))*AC620/365),""))</f>
        <v>4.1586332785659748</v>
      </c>
      <c r="AU620" s="12">
        <f>IF($H620="Cancelled","",IFERROR((T620*INDEX(Variables!$B$7:$D$7,IFERROR(MATCH(IF($B620="Robusta","Robusta",(IF($B620="","Arabica",$B620))&amp;" - "&amp;(IF($C620="","Commercial",$C620))),Variables!$B$1:$D$1,0),1))*AP620/365)+(L620/16.67*INDEX(Variables!$B$8:$D$8,IFERROR(MATCH(IF($B620="Robusta","Robusta",(IF($B620="","Arabica",$B620))&amp;" - "&amp;(IF($C620="","Commercial",$C620))),Variables!$B$1:$D$1,0),1))*AP620)+(T620*INDEX(Variables!$B$9:$D$9,IFERROR(MATCH(IF($B620="Robusta","Robusta",(IF($B620="","Arabica",$B620))&amp;" - "&amp;(IF($C620="","Commercial",$C620))),Variables!$B$1:$D$1,0),1))*AP620/365),""))</f>
        <v>-7.7231760887653804</v>
      </c>
      <c r="AV620" s="11">
        <f t="shared" si="65"/>
        <v>-79</v>
      </c>
      <c r="AW620" s="12">
        <f>IF($H620="Cancelled","",IFERROR(IF(AV620="","",(T620*INDEX(Variables!$B$7:$D$7,IFERROR(MATCH(IF($B620="Robusta","Robusta",(IF($B620="","Arabica",$B620))&amp;" - "&amp;(IF($C620="","Commercial",$C620))),Variables!$B$1:$D$1,0),1))*(AV620/365))+(T620*INDEX(Variables!$B$9:$D$9,IFERROR(MATCH(IF($B620="Robusta","Robusta",(IF($B620="","Arabica",$B620))&amp;" - "&amp;(IF($C620="","Commercial",$C620))),Variables!$B$1:$D$1,0),1))*(AV620/365))+(INDEX(Variables!$B$8:$D$8,IFERROR(MATCH(IF($B620="Robusta","Robusta",(IF($B620="","Arabica",$B620))&amp;" - "&amp;(IF($C620="","Commercial",$C620))),Variables!$B$1:$D$1,0),1))*L620/16.67)),""))</f>
        <v>-26.933147000958854</v>
      </c>
      <c r="AX620" s="9"/>
      <c r="AY620" s="12"/>
      <c r="AZ620" s="10"/>
      <c r="BA620" s="9"/>
      <c r="BB620" s="10"/>
      <c r="BC620" s="9"/>
      <c r="BD620" s="9"/>
      <c r="BE620" s="9"/>
      <c r="BF620" s="9"/>
    </row>
    <row r="621" spans="1:58" x14ac:dyDescent="0.25">
      <c r="A621" s="9" t="s">
        <v>84</v>
      </c>
      <c r="B621" s="9" t="s">
        <v>85</v>
      </c>
      <c r="C621" s="9" t="s">
        <v>1486</v>
      </c>
      <c r="D621" s="10">
        <v>45341</v>
      </c>
      <c r="E621" s="10">
        <v>45352</v>
      </c>
      <c r="F621" s="10">
        <v>45412</v>
      </c>
      <c r="G621" s="9">
        <v>3786135</v>
      </c>
      <c r="H621" s="9" t="str">
        <f t="shared" si="63"/>
        <v>Closed</v>
      </c>
      <c r="I621" s="9" t="str">
        <f t="shared" si="64"/>
        <v>All dates received</v>
      </c>
      <c r="J621" s="9" t="s">
        <v>225</v>
      </c>
      <c r="K621" s="9">
        <v>4811</v>
      </c>
      <c r="L621" s="11">
        <v>35</v>
      </c>
      <c r="M621" s="9" t="s">
        <v>1518</v>
      </c>
      <c r="N621" s="9"/>
      <c r="O621" s="9"/>
      <c r="P621" s="9"/>
      <c r="Q621" s="11"/>
      <c r="R621" s="9" t="s">
        <v>195</v>
      </c>
      <c r="S621" s="9" t="s">
        <v>228</v>
      </c>
      <c r="T621" s="12">
        <f>IF($H621="Cancelled","",IFERROR(((Q621+INDEX(Variables!$B$6:$D$6,IFERROR(MATCH(IF($B621="Robusta","Robusta",(IF($B621="","Arabica",$B621))&amp;" - "&amp;(IF($C621="","Commercial",$C621))),Variables!$B$1:$D$1,0),1)))*22.0462)*(L621/16.67),""))</f>
        <v>13460.481319736051</v>
      </c>
      <c r="U621" s="10"/>
      <c r="V621" s="9" t="str">
        <f t="shared" si="66"/>
        <v/>
      </c>
      <c r="W621" s="10">
        <v>45366</v>
      </c>
      <c r="X621" s="9" t="str">
        <f t="shared" si="67"/>
        <v>Approved</v>
      </c>
      <c r="Y621" s="10">
        <v>45463</v>
      </c>
      <c r="Z621" s="10">
        <f>IF($H621="Cancelled","",IFERROR(IF(F621="","",F621-Variables!$B$13),""))</f>
        <v>45397</v>
      </c>
      <c r="AA621" s="11">
        <f>IF($H621="Cancelled","",IFERROR(IF(W621="","",(AVERAGE(E621:F621)-W621)-Variables!$B$14),""))</f>
        <v>-14</v>
      </c>
      <c r="AB621" s="10">
        <v>45471</v>
      </c>
      <c r="AC621" s="11">
        <f>IF($H621="Cancelled","",IFERROR(IF(AB621="","",IF(AND(W621="",Y621=""),"",IF(Y621&gt;W621,Y621+Variables!$B$15+Variables!$B$16+Variables!$B$17-AB621,W621+Variables!$B$16+Variables!$B$17-AB621))),""))</f>
        <v>7</v>
      </c>
      <c r="AD621" s="9" t="s">
        <v>107</v>
      </c>
      <c r="AE621" s="9" t="s">
        <v>364</v>
      </c>
      <c r="AF621" s="10"/>
      <c r="AG621" s="10"/>
      <c r="AH621" s="9"/>
      <c r="AI621" s="9" t="s">
        <v>1512</v>
      </c>
      <c r="AJ621" s="9" t="s">
        <v>511</v>
      </c>
      <c r="AK621" s="10">
        <v>45491</v>
      </c>
      <c r="AL621" s="10">
        <v>45495</v>
      </c>
      <c r="AM621" s="10">
        <v>45510</v>
      </c>
      <c r="AN621" s="9" t="s">
        <v>1492</v>
      </c>
      <c r="AO621" s="9"/>
      <c r="AP621" s="11">
        <f>IF($H621="Cancelled","",IFERROR(IF(OR(AK621="",AB621=""),"",(AB621+Variables!$B$18-AK621)),""))</f>
        <v>-13</v>
      </c>
      <c r="AQ621" s="11">
        <f>IF($H621="Cancelled","",IFERROR(IF(OR(AM621="",AK621=""),"",(AK621+Variables!$B$19)-AM621),""))</f>
        <v>-14</v>
      </c>
      <c r="AR621" s="12">
        <f>IF($H621="Cancelled","",IFERROR(T621*INDEX(Variables!$B$7:$D$7,IFERROR(MATCH(IF($B621="Robusta","Robusta",(IF($B621="","Arabica",$B621))&amp;" - "&amp;(IF($C621="","Commercial",$C621))),Variables!$B$1:$D$1,0),1))*(AQ621/365),""))</f>
        <v>-33.291671999388427</v>
      </c>
      <c r="AS621" s="12">
        <f>IF($H621="Cancelled","",IFERROR((T621*INDEX(Variables!$B$7:$D$7,IFERROR(MATCH(IF($B621="Robusta","Robusta",(IF($B621="","Arabica",$B621))&amp;" - "&amp;(IF($C621="","Commercial",$C621))),Variables!$B$1:$D$1,0),1))*IFERROR(IF(W621="","",(AVERAGE(E621:F621)-W621)-Variables!$B$14),"")/365)+(L621/16.67*INDEX(Variables!$B$8:$D$8,IFERROR(MATCH(IF($B621="Robusta","Robusta",(IF($B621="","Arabica",$B621))&amp;" - "&amp;(IF($C621="","Commercial",$C621))),Variables!$B$1:$D$1,0),1))*IFERROR(IF(W621="","",(AVERAGE(E621:F621)-W621)-Variables!$B$14),""))+(T621*INDEX(Variables!$B$9:$D$9,IFERROR(MATCH(IF($B621="Robusta","Robusta",(IF($B621="","Arabica",$B621))&amp;" - "&amp;(IF($C621="","Commercial",$C621))),Variables!$B$1:$D$1,0),1))*IFERROR(IF(W621="","",(AVERAGE(E621:F621)-W621)-Variables!$B$14),"")/365),""))</f>
        <v>-58.220865899923638</v>
      </c>
      <c r="AT621" s="12">
        <f>IF($H621="Cancelled","",IFERROR((T621*INDEX(Variables!$B$7:$D$7,IFERROR(MATCH(IF($B621="Robusta","Robusta",(IF($B621="","Arabica",$B621))&amp;" - "&amp;(IF($C621="","Commercial",$C621))),Variables!$B$1:$D$1,0),1))*AC621/365)+(L621/16.67*INDEX(Variables!$B$8:$D$8,IFERROR(MATCH(IF($B621="Robusta","Robusta",(IF($B621="","Arabica",$B621))&amp;" - "&amp;(IF($C621="","Commercial",$C621))),Variables!$B$1:$D$1,0),1))*AC621)+(T621*INDEX(Variables!$B$9:$D$9,IFERROR(MATCH(IF($B621="Robusta","Robusta",(IF($B621="","Arabica",$B621))&amp;" - "&amp;(IF($C621="","Commercial",$C621))),Variables!$B$1:$D$1,0),1))*AC621/365),""))</f>
        <v>29.110432949961819</v>
      </c>
      <c r="AU621" s="12">
        <f>IF($H621="Cancelled","",IFERROR((T621*INDEX(Variables!$B$7:$D$7,IFERROR(MATCH(IF($B621="Robusta","Robusta",(IF($B621="","Arabica",$B621))&amp;" - "&amp;(IF($C621="","Commercial",$C621))),Variables!$B$1:$D$1,0),1))*AP621/365)+(L621/16.67*INDEX(Variables!$B$8:$D$8,IFERROR(MATCH(IF($B621="Robusta","Robusta",(IF($B621="","Arabica",$B621))&amp;" - "&amp;(IF($C621="","Commercial",$C621))),Variables!$B$1:$D$1,0),1))*AP621)+(T621*INDEX(Variables!$B$9:$D$9,IFERROR(MATCH(IF($B621="Robusta","Robusta",(IF($B621="","Arabica",$B621))&amp;" - "&amp;(IF($C621="","Commercial",$C621))),Variables!$B$1:$D$1,0),1))*AP621/365),""))</f>
        <v>-54.062232621357659</v>
      </c>
      <c r="AV621" s="11">
        <f t="shared" si="65"/>
        <v>-79</v>
      </c>
      <c r="AW621" s="12">
        <f>IF($H621="Cancelled","",IFERROR(IF(AV621="","",(T621*INDEX(Variables!$B$7:$D$7,IFERROR(MATCH(IF($B621="Robusta","Robusta",(IF($B621="","Arabica",$B621))&amp;" - "&amp;(IF($C621="","Commercial",$C621))),Variables!$B$1:$D$1,0),1))*(AV621/365))+(T621*INDEX(Variables!$B$9:$D$9,IFERROR(MATCH(IF($B621="Robusta","Robusta",(IF($B621="","Arabica",$B621))&amp;" - "&amp;(IF($C621="","Commercial",$C621))),Variables!$B$1:$D$1,0),1))*(AV621/365))+(INDEX(Variables!$B$8:$D$8,IFERROR(MATCH(IF($B621="Robusta","Robusta",(IF($B621="","Arabica",$B621))&amp;" - "&amp;(IF($C621="","Commercial",$C621))),Variables!$B$1:$D$1,0),1))*L621/16.67)),""))</f>
        <v>-188.53202900671198</v>
      </c>
      <c r="AX621" s="9"/>
      <c r="AY621" s="12"/>
      <c r="AZ621" s="10"/>
      <c r="BA621" s="9"/>
      <c r="BB621" s="10"/>
      <c r="BC621" s="9"/>
      <c r="BD621" s="9"/>
      <c r="BE621" s="9"/>
      <c r="BF621" s="9"/>
    </row>
    <row r="622" spans="1:58" x14ac:dyDescent="0.25">
      <c r="A622" s="9" t="s">
        <v>84</v>
      </c>
      <c r="B622" s="9" t="s">
        <v>85</v>
      </c>
      <c r="C622" s="9" t="s">
        <v>1486</v>
      </c>
      <c r="D622" s="10">
        <v>45351</v>
      </c>
      <c r="E622" s="10">
        <v>45383</v>
      </c>
      <c r="F622" s="10">
        <v>45412</v>
      </c>
      <c r="G622" s="9">
        <v>3786150</v>
      </c>
      <c r="H622" s="9" t="str">
        <f t="shared" si="63"/>
        <v>Closed</v>
      </c>
      <c r="I622" s="9" t="str">
        <f t="shared" si="64"/>
        <v>All dates received</v>
      </c>
      <c r="J622" s="9" t="s">
        <v>1487</v>
      </c>
      <c r="K622" s="9">
        <v>4747</v>
      </c>
      <c r="L622" s="11">
        <v>5</v>
      </c>
      <c r="M622" s="9" t="s">
        <v>1519</v>
      </c>
      <c r="N622" s="9"/>
      <c r="O622" s="9"/>
      <c r="P622" s="9"/>
      <c r="Q622" s="11"/>
      <c r="R622" s="9" t="s">
        <v>195</v>
      </c>
      <c r="S622" s="9" t="s">
        <v>183</v>
      </c>
      <c r="T622" s="12">
        <f>IF($H622="Cancelled","",IFERROR(((Q622+INDEX(Variables!$B$6:$D$6,IFERROR(MATCH(IF($B622="Robusta","Robusta",(IF($B622="","Arabica",$B622))&amp;" - "&amp;(IF($C622="","Commercial",$C622))),Variables!$B$1:$D$1,0),1)))*22.0462)*(L622/16.67),""))</f>
        <v>1922.925902819436</v>
      </c>
      <c r="U622" s="10"/>
      <c r="V622" s="9" t="str">
        <f t="shared" si="66"/>
        <v/>
      </c>
      <c r="W622" s="10">
        <v>45342</v>
      </c>
      <c r="X622" s="9" t="str">
        <f t="shared" si="67"/>
        <v>Approved</v>
      </c>
      <c r="Y622" s="10">
        <v>45371</v>
      </c>
      <c r="Z622" s="10">
        <f>IF($H622="Cancelled","",IFERROR(IF(F622="","",F622-Variables!$B$13),""))</f>
        <v>45397</v>
      </c>
      <c r="AA622" s="11">
        <f>IF($H622="Cancelled","",IFERROR(IF(W622="","",(AVERAGE(E622:F622)-W622)-Variables!$B$14),""))</f>
        <v>25.5</v>
      </c>
      <c r="AB622" s="10">
        <v>45372</v>
      </c>
      <c r="AC622" s="11">
        <f>IF($H622="Cancelled","",IFERROR(IF(AB622="","",IF(AND(W622="",Y622=""),"",IF(Y622&gt;W622,Y622+Variables!$B$15+Variables!$B$16+Variables!$B$17-AB622,W622+Variables!$B$16+Variables!$B$17-AB622))),""))</f>
        <v>14</v>
      </c>
      <c r="AD622" s="9" t="s">
        <v>1489</v>
      </c>
      <c r="AE622" s="9" t="s">
        <v>1490</v>
      </c>
      <c r="AF622" s="10"/>
      <c r="AG622" s="10"/>
      <c r="AH622" s="9"/>
      <c r="AI622" s="9" t="s">
        <v>1497</v>
      </c>
      <c r="AJ622" s="9">
        <v>3331746596</v>
      </c>
      <c r="AK622" s="10">
        <v>45381</v>
      </c>
      <c r="AL622" s="10">
        <v>45384</v>
      </c>
      <c r="AM622" s="10">
        <v>45393</v>
      </c>
      <c r="AN622" s="9" t="s">
        <v>1492</v>
      </c>
      <c r="AO622" s="9"/>
      <c r="AP622" s="11">
        <f>IF($H622="Cancelled","",IFERROR(IF(OR(AK622="",AB622=""),"",(AB622+Variables!$B$18-AK622)),""))</f>
        <v>-2</v>
      </c>
      <c r="AQ622" s="11">
        <f>IF($H622="Cancelled","",IFERROR(IF(OR(AM622="",AK622=""),"",(AK622+Variables!$B$19)-AM622),""))</f>
        <v>-7</v>
      </c>
      <c r="AR622" s="12">
        <f>IF($H622="Cancelled","",IFERROR(T622*INDEX(Variables!$B$7:$D$7,IFERROR(MATCH(IF($B622="Robusta","Robusta",(IF($B622="","Arabica",$B622))&amp;" - "&amp;(IF($C622="","Commercial",$C622))),Variables!$B$1:$D$1,0),1))*(AQ622/365),""))</f>
        <v>-2.3779765713848882</v>
      </c>
      <c r="AS622" s="12">
        <f>IF($H622="Cancelled","",IFERROR((T622*INDEX(Variables!$B$7:$D$7,IFERROR(MATCH(IF($B622="Robusta","Robusta",(IF($B622="","Arabica",$B622))&amp;" - "&amp;(IF($C622="","Commercial",$C622))),Variables!$B$1:$D$1,0),1))*IFERROR(IF(W622="","",(AVERAGE(E622:F622)-W622)-Variables!$B$14),"")/365)+(L622/16.67*INDEX(Variables!$B$8:$D$8,IFERROR(MATCH(IF($B622="Robusta","Robusta",(IF($B622="","Arabica",$B622))&amp;" - "&amp;(IF($C622="","Commercial",$C622))),Variables!$B$1:$D$1,0),1))*IFERROR(IF(W622="","",(AVERAGE(E622:F622)-W622)-Variables!$B$14),""))+(T622*INDEX(Variables!$B$9:$D$9,IFERROR(MATCH(IF($B622="Robusta","Robusta",(IF($B622="","Arabica",$B622))&amp;" - "&amp;(IF($C622="","Commercial",$C622))),Variables!$B$1:$D$1,0),1))*IFERROR(IF(W622="","",(AVERAGE(E622:F622)-W622)-Variables!$B$14),"")/365),""))</f>
        <v>15.149306943347478</v>
      </c>
      <c r="AT622" s="12">
        <f>IF($H622="Cancelled","",IFERROR((T622*INDEX(Variables!$B$7:$D$7,IFERROR(MATCH(IF($B622="Robusta","Robusta",(IF($B622="","Arabica",$B622))&amp;" - "&amp;(IF($C622="","Commercial",$C622))),Variables!$B$1:$D$1,0),1))*AC622/365)+(L622/16.67*INDEX(Variables!$B$8:$D$8,IFERROR(MATCH(IF($B622="Robusta","Robusta",(IF($B622="","Arabica",$B622))&amp;" - "&amp;(IF($C622="","Commercial",$C622))),Variables!$B$1:$D$1,0),1))*AC622)+(T622*INDEX(Variables!$B$9:$D$9,IFERROR(MATCH(IF($B622="Robusta","Robusta",(IF($B622="","Arabica",$B622))&amp;" - "&amp;(IF($C622="","Commercial",$C622))),Variables!$B$1:$D$1,0),1))*AC622/365),""))</f>
        <v>8.3172665571319495</v>
      </c>
      <c r="AU622" s="12">
        <f>IF($H622="Cancelled","",IFERROR((T622*INDEX(Variables!$B$7:$D$7,IFERROR(MATCH(IF($B622="Robusta","Robusta",(IF($B622="","Arabica",$B622))&amp;" - "&amp;(IF($C622="","Commercial",$C622))),Variables!$B$1:$D$1,0),1))*AP622/365)+(L622/16.67*INDEX(Variables!$B$8:$D$8,IFERROR(MATCH(IF($B622="Robusta","Robusta",(IF($B622="","Arabica",$B622))&amp;" - "&amp;(IF($C622="","Commercial",$C622))),Variables!$B$1:$D$1,0),1))*AP622)+(T622*INDEX(Variables!$B$9:$D$9,IFERROR(MATCH(IF($B622="Robusta","Robusta",(IF($B622="","Arabica",$B622))&amp;" - "&amp;(IF($C622="","Commercial",$C622))),Variables!$B$1:$D$1,0),1))*AP622/365),""))</f>
        <v>-1.1881809367331355</v>
      </c>
      <c r="AV622" s="11">
        <f t="shared" si="65"/>
        <v>31</v>
      </c>
      <c r="AW622" s="12">
        <f>IF($H622="Cancelled","",IFERROR(IF(AV622="","",(T622*INDEX(Variables!$B$7:$D$7,IFERROR(MATCH(IF($B622="Robusta","Robusta",(IF($B622="","Arabica",$B622))&amp;" - "&amp;(IF($C622="","Commercial",$C622))),Variables!$B$1:$D$1,0),1))*(AV622/365))+(T622*INDEX(Variables!$B$9:$D$9,IFERROR(MATCH(IF($B622="Robusta","Robusta",(IF($B622="","Arabica",$B622))&amp;" - "&amp;(IF($C622="","Commercial",$C622))),Variables!$B$1:$D$1,0),1))*(AV622/365))+(INDEX(Variables!$B$8:$D$8,IFERROR(MATCH(IF($B622="Robusta","Robusta",(IF($B622="","Arabica",$B622))&amp;" - "&amp;(IF($C622="","Commercial",$C622))),Variables!$B$1:$D$1,0),1))*L622/16.67)),""))</f>
        <v>10.9168045193636</v>
      </c>
      <c r="AX622" s="9"/>
      <c r="AY622" s="12"/>
      <c r="AZ622" s="10"/>
      <c r="BA622" s="9"/>
      <c r="BB622" s="10"/>
      <c r="BC622" s="9"/>
      <c r="BD622" s="9"/>
      <c r="BE622" s="9"/>
      <c r="BF622" s="9"/>
    </row>
    <row r="623" spans="1:58" x14ac:dyDescent="0.25">
      <c r="A623" s="9" t="s">
        <v>84</v>
      </c>
      <c r="B623" s="9" t="s">
        <v>85</v>
      </c>
      <c r="C623" s="9" t="s">
        <v>1486</v>
      </c>
      <c r="D623" s="10">
        <v>45351</v>
      </c>
      <c r="E623" s="10">
        <v>45383</v>
      </c>
      <c r="F623" s="10">
        <v>45412</v>
      </c>
      <c r="G623" s="9">
        <v>3786148</v>
      </c>
      <c r="H623" s="9" t="str">
        <f t="shared" si="63"/>
        <v>Closed</v>
      </c>
      <c r="I623" s="9" t="str">
        <f t="shared" si="64"/>
        <v>All dates received</v>
      </c>
      <c r="J623" s="9" t="s">
        <v>1487</v>
      </c>
      <c r="K623" s="9">
        <v>4782</v>
      </c>
      <c r="L623" s="11">
        <v>5</v>
      </c>
      <c r="M623" s="9" t="s">
        <v>1520</v>
      </c>
      <c r="N623" s="9"/>
      <c r="O623" s="9"/>
      <c r="P623" s="9"/>
      <c r="Q623" s="11"/>
      <c r="R623" s="9" t="s">
        <v>195</v>
      </c>
      <c r="S623" s="9" t="s">
        <v>183</v>
      </c>
      <c r="T623" s="12">
        <f>IF($H623="Cancelled","",IFERROR(((Q623+INDEX(Variables!$B$6:$D$6,IFERROR(MATCH(IF($B623="Robusta","Robusta",(IF($B623="","Arabica",$B623))&amp;" - "&amp;(IF($C623="","Commercial",$C623))),Variables!$B$1:$D$1,0),1)))*22.0462)*(L623/16.67),""))</f>
        <v>1922.925902819436</v>
      </c>
      <c r="U623" s="10"/>
      <c r="V623" s="9" t="str">
        <f t="shared" si="66"/>
        <v/>
      </c>
      <c r="W623" s="10">
        <v>45342</v>
      </c>
      <c r="X623" s="9" t="str">
        <f t="shared" si="67"/>
        <v>Approved</v>
      </c>
      <c r="Y623" s="10">
        <v>45372</v>
      </c>
      <c r="Z623" s="10">
        <f>IF($H623="Cancelled","",IFERROR(IF(F623="","",F623-Variables!$B$13),""))</f>
        <v>45397</v>
      </c>
      <c r="AA623" s="11">
        <f>IF($H623="Cancelled","",IFERROR(IF(W623="","",(AVERAGE(E623:F623)-W623)-Variables!$B$14),""))</f>
        <v>25.5</v>
      </c>
      <c r="AB623" s="10">
        <v>45390</v>
      </c>
      <c r="AC623" s="11">
        <f>IF($H623="Cancelled","",IFERROR(IF(AB623="","",IF(AND(W623="",Y623=""),"",IF(Y623&gt;W623,Y623+Variables!$B$15+Variables!$B$16+Variables!$B$17-AB623,W623+Variables!$B$16+Variables!$B$17-AB623))),""))</f>
        <v>-3</v>
      </c>
      <c r="AD623" s="9" t="s">
        <v>107</v>
      </c>
      <c r="AE623" s="9" t="s">
        <v>198</v>
      </c>
      <c r="AF623" s="10"/>
      <c r="AG623" s="10"/>
      <c r="AH623" s="9"/>
      <c r="AI623" s="9" t="s">
        <v>1521</v>
      </c>
      <c r="AJ623" s="9">
        <v>1841037015</v>
      </c>
      <c r="AK623" s="10">
        <v>45399</v>
      </c>
      <c r="AL623" s="10">
        <v>45401</v>
      </c>
      <c r="AM623" s="10">
        <v>45405</v>
      </c>
      <c r="AN623" s="9" t="s">
        <v>1492</v>
      </c>
      <c r="AO623" s="9"/>
      <c r="AP623" s="11">
        <f>IF($H623="Cancelled","",IFERROR(IF(OR(AK623="",AB623=""),"",(AB623+Variables!$B$18-AK623)),""))</f>
        <v>-2</v>
      </c>
      <c r="AQ623" s="11">
        <f>IF($H623="Cancelled","",IFERROR(IF(OR(AM623="",AK623=""),"",(AK623+Variables!$B$19)-AM623),""))</f>
        <v>-1</v>
      </c>
      <c r="AR623" s="12">
        <f>IF($H623="Cancelled","",IFERROR(T623*INDEX(Variables!$B$7:$D$7,IFERROR(MATCH(IF($B623="Robusta","Robusta",(IF($B623="","Arabica",$B623))&amp;" - "&amp;(IF($C623="","Commercial",$C623))),Variables!$B$1:$D$1,0),1))*(AQ623/365),""))</f>
        <v>-0.33971093876926972</v>
      </c>
      <c r="AS623" s="12">
        <f>IF($H623="Cancelled","",IFERROR((T623*INDEX(Variables!$B$7:$D$7,IFERROR(MATCH(IF($B623="Robusta","Robusta",(IF($B623="","Arabica",$B623))&amp;" - "&amp;(IF($C623="","Commercial",$C623))),Variables!$B$1:$D$1,0),1))*IFERROR(IF(W623="","",(AVERAGE(E623:F623)-W623)-Variables!$B$14),"")/365)+(L623/16.67*INDEX(Variables!$B$8:$D$8,IFERROR(MATCH(IF($B623="Robusta","Robusta",(IF($B623="","Arabica",$B623))&amp;" - "&amp;(IF($C623="","Commercial",$C623))),Variables!$B$1:$D$1,0),1))*IFERROR(IF(W623="","",(AVERAGE(E623:F623)-W623)-Variables!$B$14),""))+(T623*INDEX(Variables!$B$9:$D$9,IFERROR(MATCH(IF($B623="Robusta","Robusta",(IF($B623="","Arabica",$B623))&amp;" - "&amp;(IF($C623="","Commercial",$C623))),Variables!$B$1:$D$1,0),1))*IFERROR(IF(W623="","",(AVERAGE(E623:F623)-W623)-Variables!$B$14),"")/365),""))</f>
        <v>15.149306943347478</v>
      </c>
      <c r="AT623" s="12">
        <f>IF($H623="Cancelled","",IFERROR((T623*INDEX(Variables!$B$7:$D$7,IFERROR(MATCH(IF($B623="Robusta","Robusta",(IF($B623="","Arabica",$B623))&amp;" - "&amp;(IF($C623="","Commercial",$C623))),Variables!$B$1:$D$1,0),1))*AC623/365)+(L623/16.67*INDEX(Variables!$B$8:$D$8,IFERROR(MATCH(IF($B623="Robusta","Robusta",(IF($B623="","Arabica",$B623))&amp;" - "&amp;(IF($C623="","Commercial",$C623))),Variables!$B$1:$D$1,0),1))*AC623)+(T623*INDEX(Variables!$B$9:$D$9,IFERROR(MATCH(IF($B623="Robusta","Robusta",(IF($B623="","Arabica",$B623))&amp;" - "&amp;(IF($C623="","Commercial",$C623))),Variables!$B$1:$D$1,0),1))*AC623/365),""))</f>
        <v>-1.7822714050997033</v>
      </c>
      <c r="AU623" s="12">
        <f>IF($H623="Cancelled","",IFERROR((T623*INDEX(Variables!$B$7:$D$7,IFERROR(MATCH(IF($B623="Robusta","Robusta",(IF($B623="","Arabica",$B623))&amp;" - "&amp;(IF($C623="","Commercial",$C623))),Variables!$B$1:$D$1,0),1))*AP623/365)+(L623/16.67*INDEX(Variables!$B$8:$D$8,IFERROR(MATCH(IF($B623="Robusta","Robusta",(IF($B623="","Arabica",$B623))&amp;" - "&amp;(IF($C623="","Commercial",$C623))),Variables!$B$1:$D$1,0),1))*AP623)+(T623*INDEX(Variables!$B$9:$D$9,IFERROR(MATCH(IF($B623="Robusta","Robusta",(IF($B623="","Arabica",$B623))&amp;" - "&amp;(IF($C623="","Commercial",$C623))),Variables!$B$1:$D$1,0),1))*AP623/365),""))</f>
        <v>-1.1881809367331355</v>
      </c>
      <c r="AV623" s="11">
        <f t="shared" si="65"/>
        <v>13</v>
      </c>
      <c r="AW623" s="12">
        <f>IF($H623="Cancelled","",IFERROR(IF(AV623="","",(T623*INDEX(Variables!$B$7:$D$7,IFERROR(MATCH(IF($B623="Robusta","Robusta",(IF($B623="","Arabica",$B623))&amp;" - "&amp;(IF($C623="","Commercial",$C623))),Variables!$B$1:$D$1,0),1))*(AV623/365))+(T623*INDEX(Variables!$B$9:$D$9,IFERROR(MATCH(IF($B623="Robusta","Robusta",(IF($B623="","Arabica",$B623))&amp;" - "&amp;(IF($C623="","Commercial",$C623))),Variables!$B$1:$D$1,0),1))*(AV623/365))+(INDEX(Variables!$B$8:$D$8,IFERROR(MATCH(IF($B623="Robusta","Robusta",(IF($B623="","Arabica",$B623))&amp;" - "&amp;(IF($C623="","Commercial",$C623))),Variables!$B$1:$D$1,0),1))*L623/16.67)),""))</f>
        <v>4.7231760887653804</v>
      </c>
      <c r="AX623" s="9"/>
      <c r="AY623" s="12"/>
      <c r="AZ623" s="10"/>
      <c r="BA623" s="9"/>
      <c r="BB623" s="10"/>
      <c r="BC623" s="9"/>
      <c r="BD623" s="9"/>
      <c r="BE623" s="9"/>
      <c r="BF623" s="9"/>
    </row>
    <row r="624" spans="1:58" x14ac:dyDescent="0.25">
      <c r="A624" s="9" t="s">
        <v>84</v>
      </c>
      <c r="B624" s="9" t="s">
        <v>85</v>
      </c>
      <c r="C624" s="9" t="s">
        <v>1486</v>
      </c>
      <c r="D624" s="10">
        <v>45351</v>
      </c>
      <c r="E624" s="10">
        <v>45383</v>
      </c>
      <c r="F624" s="10">
        <v>45412</v>
      </c>
      <c r="G624" s="9">
        <v>3786145</v>
      </c>
      <c r="H624" s="9" t="str">
        <f t="shared" si="63"/>
        <v>Open</v>
      </c>
      <c r="I624" s="9" t="str">
        <f t="shared" si="64"/>
        <v>No docs dispatch date</v>
      </c>
      <c r="J624" s="9" t="s">
        <v>1487</v>
      </c>
      <c r="K624" s="9">
        <v>4748</v>
      </c>
      <c r="L624" s="11">
        <v>25</v>
      </c>
      <c r="M624" s="9" t="s">
        <v>1522</v>
      </c>
      <c r="N624" s="9"/>
      <c r="O624" s="9"/>
      <c r="P624" s="9"/>
      <c r="Q624" s="11"/>
      <c r="R624" s="9" t="s">
        <v>195</v>
      </c>
      <c r="S624" s="9" t="s">
        <v>578</v>
      </c>
      <c r="T624" s="12">
        <f>IF($H624="Cancelled","",IFERROR(((Q624+INDEX(Variables!$B$6:$D$6,IFERROR(MATCH(IF($B624="Robusta","Robusta",(IF($B624="","Arabica",$B624))&amp;" - "&amp;(IF($C624="","Commercial",$C624))),Variables!$B$1:$D$1,0),1)))*22.0462)*(L624/16.67),""))</f>
        <v>9614.6295140971797</v>
      </c>
      <c r="U624" s="10"/>
      <c r="V624" s="9" t="str">
        <f t="shared" si="66"/>
        <v/>
      </c>
      <c r="W624" s="10">
        <v>45371</v>
      </c>
      <c r="X624" s="9" t="str">
        <f t="shared" si="67"/>
        <v>Approved</v>
      </c>
      <c r="Y624" s="10">
        <v>45381</v>
      </c>
      <c r="Z624" s="10">
        <f>IF($H624="Cancelled","",IFERROR(IF(F624="","",F624-Variables!$B$13),""))</f>
        <v>45397</v>
      </c>
      <c r="AA624" s="11">
        <f>IF($H624="Cancelled","",IFERROR(IF(W624="","",(AVERAGE(E624:F624)-W624)-Variables!$B$14),""))</f>
        <v>-3.5</v>
      </c>
      <c r="AB624" s="10">
        <v>45401</v>
      </c>
      <c r="AC624" s="11">
        <f>IF($H624="Cancelled","",IFERROR(IF(AB624="","",IF(AND(W624="",Y624=""),"",IF(Y624&gt;W624,Y624+Variables!$B$15+Variables!$B$16+Variables!$B$17-AB624,W624+Variables!$B$16+Variables!$B$17-AB624))),""))</f>
        <v>-5</v>
      </c>
      <c r="AD624" s="9"/>
      <c r="AE624" s="9" t="s">
        <v>209</v>
      </c>
      <c r="AF624" s="10"/>
      <c r="AG624" s="10"/>
      <c r="AH624" s="9"/>
      <c r="AI624" s="9" t="s">
        <v>1523</v>
      </c>
      <c r="AJ624" s="9">
        <v>2856486102</v>
      </c>
      <c r="AK624" s="10">
        <v>45411</v>
      </c>
      <c r="AL624" s="10">
        <v>45415</v>
      </c>
      <c r="AM624" s="10"/>
      <c r="AN624" s="9" t="s">
        <v>1492</v>
      </c>
      <c r="AO624" s="9"/>
      <c r="AP624" s="11">
        <f>IF($H624="Cancelled","",IFERROR(IF(OR(AK624="",AB624=""),"",(AB624+Variables!$B$18-AK624)),""))</f>
        <v>-3</v>
      </c>
      <c r="AQ624" s="11" t="str">
        <f>IF($H624="Cancelled","",IFERROR(IF(OR(AM624="",AK624=""),"",(AK624+Variables!$B$19)-AM624),""))</f>
        <v/>
      </c>
      <c r="AR624" s="12" t="str">
        <f>IF($H624="Cancelled","",IFERROR(T624*INDEX(Variables!$B$7:$D$7,IFERROR(MATCH(IF($B624="Robusta","Robusta",(IF($B624="","Arabica",$B624))&amp;" - "&amp;(IF($C624="","Commercial",$C624))),Variables!$B$1:$D$1,0),1))*(AQ624/365),""))</f>
        <v/>
      </c>
      <c r="AS624" s="12">
        <f>IF($H624="Cancelled","",IFERROR((T624*INDEX(Variables!$B$7:$D$7,IFERROR(MATCH(IF($B624="Robusta","Robusta",(IF($B624="","Arabica",$B624))&amp;" - "&amp;(IF($C624="","Commercial",$C624))),Variables!$B$1:$D$1,0),1))*IFERROR(IF(W624="","",(AVERAGE(E624:F624)-W624)-Variables!$B$14),"")/365)+(L624/16.67*INDEX(Variables!$B$8:$D$8,IFERROR(MATCH(IF($B624="Robusta","Robusta",(IF($B624="","Arabica",$B624))&amp;" - "&amp;(IF($C624="","Commercial",$C624))),Variables!$B$1:$D$1,0),1))*IFERROR(IF(W624="","",(AVERAGE(E624:F624)-W624)-Variables!$B$14),""))+(T624*INDEX(Variables!$B$9:$D$9,IFERROR(MATCH(IF($B624="Robusta","Robusta",(IF($B624="","Arabica",$B624))&amp;" - "&amp;(IF($C624="","Commercial",$C624))),Variables!$B$1:$D$1,0),1))*IFERROR(IF(W624="","",(AVERAGE(E624:F624)-W624)-Variables!$B$14),"")/365),""))</f>
        <v>-10.396583196414936</v>
      </c>
      <c r="AT624" s="12">
        <f>IF($H624="Cancelled","",IFERROR((T624*INDEX(Variables!$B$7:$D$7,IFERROR(MATCH(IF($B624="Robusta","Robusta",(IF($B624="","Arabica",$B624))&amp;" - "&amp;(IF($C624="","Commercial",$C624))),Variables!$B$1:$D$1,0),1))*AC624/365)+(L624/16.67*INDEX(Variables!$B$8:$D$8,IFERROR(MATCH(IF($B624="Robusta","Robusta",(IF($B624="","Arabica",$B624))&amp;" - "&amp;(IF($C624="","Commercial",$C624))),Variables!$B$1:$D$1,0),1))*AC624)+(T624*INDEX(Variables!$B$9:$D$9,IFERROR(MATCH(IF($B624="Robusta","Robusta",(IF($B624="","Arabica",$B624))&amp;" - "&amp;(IF($C624="","Commercial",$C624))),Variables!$B$1:$D$1,0),1))*AC624/365),""))</f>
        <v>-14.852261709164194</v>
      </c>
      <c r="AU624" s="12">
        <f>IF($H624="Cancelled","",IFERROR((T624*INDEX(Variables!$B$7:$D$7,IFERROR(MATCH(IF($B624="Robusta","Robusta",(IF($B624="","Arabica",$B624))&amp;" - "&amp;(IF($C624="","Commercial",$C624))),Variables!$B$1:$D$1,0),1))*AP624/365)+(L624/16.67*INDEX(Variables!$B$8:$D$8,IFERROR(MATCH(IF($B624="Robusta","Robusta",(IF($B624="","Arabica",$B624))&amp;" - "&amp;(IF($C624="","Commercial",$C624))),Variables!$B$1:$D$1,0),1))*AP624)+(T624*INDEX(Variables!$B$9:$D$9,IFERROR(MATCH(IF($B624="Robusta","Robusta",(IF($B624="","Arabica",$B624))&amp;" - "&amp;(IF($C624="","Commercial",$C624))),Variables!$B$1:$D$1,0),1))*AP624/365),""))</f>
        <v>-8.9113570254985159</v>
      </c>
      <c r="AV624" s="11">
        <f t="shared" si="65"/>
        <v>1</v>
      </c>
      <c r="AW624" s="12">
        <f>IF($H624="Cancelled","",IFERROR(IF(AV624="","",(T624*INDEX(Variables!$B$7:$D$7,IFERROR(MATCH(IF($B624="Robusta","Robusta",(IF($B624="","Arabica",$B624))&amp;" - "&amp;(IF($C624="","Commercial",$C624))),Variables!$B$1:$D$1,0),1))*(AV624/365))+(T624*INDEX(Variables!$B$9:$D$9,IFERROR(MATCH(IF($B624="Robusta","Robusta",(IF($B624="","Arabica",$B624))&amp;" - "&amp;(IF($C624="","Commercial",$C624))),Variables!$B$1:$D$1,0),1))*(AV624/365))+(INDEX(Variables!$B$8:$D$8,IFERROR(MATCH(IF($B624="Robusta","Robusta",(IF($B624="","Arabica",$B624))&amp;" - "&amp;(IF($C624="","Commercial",$C624))),Variables!$B$1:$D$1,0),1))*L624/16.67)),""))</f>
        <v>2.9704523418328388</v>
      </c>
      <c r="AX624" s="9"/>
      <c r="AY624" s="12"/>
      <c r="AZ624" s="10"/>
      <c r="BA624" s="9"/>
      <c r="BB624" s="10"/>
      <c r="BC624" s="9"/>
      <c r="BD624" s="9"/>
      <c r="BE624" s="9"/>
      <c r="BF624" s="9"/>
    </row>
    <row r="625" spans="1:58" x14ac:dyDescent="0.25">
      <c r="A625" s="9" t="s">
        <v>84</v>
      </c>
      <c r="B625" s="9" t="s">
        <v>85</v>
      </c>
      <c r="C625" s="9" t="s">
        <v>1486</v>
      </c>
      <c r="D625" s="10">
        <v>45351</v>
      </c>
      <c r="E625" s="10">
        <v>45383</v>
      </c>
      <c r="F625" s="10">
        <v>45412</v>
      </c>
      <c r="G625" s="9">
        <v>3786146</v>
      </c>
      <c r="H625" s="9" t="str">
        <f t="shared" si="63"/>
        <v>Open</v>
      </c>
      <c r="I625" s="9" t="str">
        <f t="shared" si="64"/>
        <v>No docs dispatch date</v>
      </c>
      <c r="J625" s="9" t="s">
        <v>1487</v>
      </c>
      <c r="K625" s="9">
        <v>4749</v>
      </c>
      <c r="L625" s="11">
        <v>25</v>
      </c>
      <c r="M625" s="9" t="s">
        <v>1524</v>
      </c>
      <c r="N625" s="9"/>
      <c r="O625" s="9"/>
      <c r="P625" s="9"/>
      <c r="Q625" s="11"/>
      <c r="R625" s="9" t="s">
        <v>195</v>
      </c>
      <c r="S625" s="9" t="s">
        <v>578</v>
      </c>
      <c r="T625" s="12">
        <f>IF($H625="Cancelled","",IFERROR(((Q625+INDEX(Variables!$B$6:$D$6,IFERROR(MATCH(IF($B625="Robusta","Robusta",(IF($B625="","Arabica",$B625))&amp;" - "&amp;(IF($C625="","Commercial",$C625))),Variables!$B$1:$D$1,0),1)))*22.0462)*(L625/16.67),""))</f>
        <v>9614.6295140971797</v>
      </c>
      <c r="U625" s="10"/>
      <c r="V625" s="9" t="str">
        <f t="shared" si="66"/>
        <v/>
      </c>
      <c r="W625" s="10">
        <v>45371</v>
      </c>
      <c r="X625" s="9" t="str">
        <f t="shared" si="67"/>
        <v>Approved</v>
      </c>
      <c r="Y625" s="10">
        <v>45372</v>
      </c>
      <c r="Z625" s="10">
        <f>IF($H625="Cancelled","",IFERROR(IF(F625="","",F625-Variables!$B$13),""))</f>
        <v>45397</v>
      </c>
      <c r="AA625" s="11">
        <f>IF($H625="Cancelled","",IFERROR(IF(W625="","",(AVERAGE(E625:F625)-W625)-Variables!$B$14),""))</f>
        <v>-3.5</v>
      </c>
      <c r="AB625" s="10">
        <v>45401</v>
      </c>
      <c r="AC625" s="11">
        <f>IF($H625="Cancelled","",IFERROR(IF(AB625="","",IF(AND(W625="",Y625=""),"",IF(Y625&gt;W625,Y625+Variables!$B$15+Variables!$B$16+Variables!$B$17-AB625,W625+Variables!$B$16+Variables!$B$17-AB625))),""))</f>
        <v>-14</v>
      </c>
      <c r="AD625" s="9"/>
      <c r="AE625" s="9" t="s">
        <v>209</v>
      </c>
      <c r="AF625" s="10"/>
      <c r="AG625" s="10"/>
      <c r="AH625" s="9"/>
      <c r="AI625" s="9" t="s">
        <v>1523</v>
      </c>
      <c r="AJ625" s="9">
        <v>2856486102</v>
      </c>
      <c r="AK625" s="10">
        <v>45411</v>
      </c>
      <c r="AL625" s="10">
        <v>45415</v>
      </c>
      <c r="AM625" s="10"/>
      <c r="AN625" s="9" t="s">
        <v>1492</v>
      </c>
      <c r="AO625" s="9"/>
      <c r="AP625" s="11">
        <f>IF($H625="Cancelled","",IFERROR(IF(OR(AK625="",AB625=""),"",(AB625+Variables!$B$18-AK625)),""))</f>
        <v>-3</v>
      </c>
      <c r="AQ625" s="11" t="str">
        <f>IF($H625="Cancelled","",IFERROR(IF(OR(AM625="",AK625=""),"",(AK625+Variables!$B$19)-AM625),""))</f>
        <v/>
      </c>
      <c r="AR625" s="12" t="str">
        <f>IF($H625="Cancelled","",IFERROR(T625*INDEX(Variables!$B$7:$D$7,IFERROR(MATCH(IF($B625="Robusta","Robusta",(IF($B625="","Arabica",$B625))&amp;" - "&amp;(IF($C625="","Commercial",$C625))),Variables!$B$1:$D$1,0),1))*(AQ625/365),""))</f>
        <v/>
      </c>
      <c r="AS625" s="12">
        <f>IF($H625="Cancelled","",IFERROR((T625*INDEX(Variables!$B$7:$D$7,IFERROR(MATCH(IF($B625="Robusta","Robusta",(IF($B625="","Arabica",$B625))&amp;" - "&amp;(IF($C625="","Commercial",$C625))),Variables!$B$1:$D$1,0),1))*IFERROR(IF(W625="","",(AVERAGE(E625:F625)-W625)-Variables!$B$14),"")/365)+(L625/16.67*INDEX(Variables!$B$8:$D$8,IFERROR(MATCH(IF($B625="Robusta","Robusta",(IF($B625="","Arabica",$B625))&amp;" - "&amp;(IF($C625="","Commercial",$C625))),Variables!$B$1:$D$1,0),1))*IFERROR(IF(W625="","",(AVERAGE(E625:F625)-W625)-Variables!$B$14),""))+(T625*INDEX(Variables!$B$9:$D$9,IFERROR(MATCH(IF($B625="Robusta","Robusta",(IF($B625="","Arabica",$B625))&amp;" - "&amp;(IF($C625="","Commercial",$C625))),Variables!$B$1:$D$1,0),1))*IFERROR(IF(W625="","",(AVERAGE(E625:F625)-W625)-Variables!$B$14),"")/365),""))</f>
        <v>-10.396583196414936</v>
      </c>
      <c r="AT625" s="12">
        <f>IF($H625="Cancelled","",IFERROR((T625*INDEX(Variables!$B$7:$D$7,IFERROR(MATCH(IF($B625="Robusta","Robusta",(IF($B625="","Arabica",$B625))&amp;" - "&amp;(IF($C625="","Commercial",$C625))),Variables!$B$1:$D$1,0),1))*AC625/365)+(L625/16.67*INDEX(Variables!$B$8:$D$8,IFERROR(MATCH(IF($B625="Robusta","Robusta",(IF($B625="","Arabica",$B625))&amp;" - "&amp;(IF($C625="","Commercial",$C625))),Variables!$B$1:$D$1,0),1))*AC625)+(T625*INDEX(Variables!$B$9:$D$9,IFERROR(MATCH(IF($B625="Robusta","Robusta",(IF($B625="","Arabica",$B625))&amp;" - "&amp;(IF($C625="","Commercial",$C625))),Variables!$B$1:$D$1,0),1))*AC625/365),""))</f>
        <v>-41.586332785659742</v>
      </c>
      <c r="AU625" s="12">
        <f>IF($H625="Cancelled","",IFERROR((T625*INDEX(Variables!$B$7:$D$7,IFERROR(MATCH(IF($B625="Robusta","Robusta",(IF($B625="","Arabica",$B625))&amp;" - "&amp;(IF($C625="","Commercial",$C625))),Variables!$B$1:$D$1,0),1))*AP625/365)+(L625/16.67*INDEX(Variables!$B$8:$D$8,IFERROR(MATCH(IF($B625="Robusta","Robusta",(IF($B625="","Arabica",$B625))&amp;" - "&amp;(IF($C625="","Commercial",$C625))),Variables!$B$1:$D$1,0),1))*AP625)+(T625*INDEX(Variables!$B$9:$D$9,IFERROR(MATCH(IF($B625="Robusta","Robusta",(IF($B625="","Arabica",$B625))&amp;" - "&amp;(IF($C625="","Commercial",$C625))),Variables!$B$1:$D$1,0),1))*AP625/365),""))</f>
        <v>-8.9113570254985159</v>
      </c>
      <c r="AV625" s="11">
        <f t="shared" si="65"/>
        <v>1</v>
      </c>
      <c r="AW625" s="12">
        <f>IF($H625="Cancelled","",IFERROR(IF(AV625="","",(T625*INDEX(Variables!$B$7:$D$7,IFERROR(MATCH(IF($B625="Robusta","Robusta",(IF($B625="","Arabica",$B625))&amp;" - "&amp;(IF($C625="","Commercial",$C625))),Variables!$B$1:$D$1,0),1))*(AV625/365))+(T625*INDEX(Variables!$B$9:$D$9,IFERROR(MATCH(IF($B625="Robusta","Robusta",(IF($B625="","Arabica",$B625))&amp;" - "&amp;(IF($C625="","Commercial",$C625))),Variables!$B$1:$D$1,0),1))*(AV625/365))+(INDEX(Variables!$B$8:$D$8,IFERROR(MATCH(IF($B625="Robusta","Robusta",(IF($B625="","Arabica",$B625))&amp;" - "&amp;(IF($C625="","Commercial",$C625))),Variables!$B$1:$D$1,0),1))*L625/16.67)),""))</f>
        <v>2.9704523418328388</v>
      </c>
      <c r="AX625" s="9"/>
      <c r="AY625" s="12"/>
      <c r="AZ625" s="10"/>
      <c r="BA625" s="9"/>
      <c r="BB625" s="10"/>
      <c r="BC625" s="9"/>
      <c r="BD625" s="9"/>
      <c r="BE625" s="9"/>
      <c r="BF625" s="9"/>
    </row>
    <row r="626" spans="1:58" x14ac:dyDescent="0.25">
      <c r="A626" s="9" t="s">
        <v>84</v>
      </c>
      <c r="B626" s="9" t="s">
        <v>85</v>
      </c>
      <c r="C626" s="9" t="s">
        <v>1486</v>
      </c>
      <c r="D626" s="10">
        <v>45351</v>
      </c>
      <c r="E626" s="10">
        <v>45383</v>
      </c>
      <c r="F626" s="10">
        <v>45412</v>
      </c>
      <c r="G626" s="9">
        <v>3786147</v>
      </c>
      <c r="H626" s="9" t="str">
        <f t="shared" si="63"/>
        <v>Open</v>
      </c>
      <c r="I626" s="9" t="str">
        <f t="shared" si="64"/>
        <v>No docs dispatch date</v>
      </c>
      <c r="J626" s="9" t="s">
        <v>1487</v>
      </c>
      <c r="K626" s="9">
        <v>4750</v>
      </c>
      <c r="L626" s="11">
        <v>25</v>
      </c>
      <c r="M626" s="9" t="s">
        <v>1525</v>
      </c>
      <c r="N626" s="9"/>
      <c r="O626" s="9"/>
      <c r="P626" s="9"/>
      <c r="Q626" s="11"/>
      <c r="R626" s="9" t="s">
        <v>195</v>
      </c>
      <c r="S626" s="9" t="s">
        <v>578</v>
      </c>
      <c r="T626" s="12">
        <f>IF($H626="Cancelled","",IFERROR(((Q626+INDEX(Variables!$B$6:$D$6,IFERROR(MATCH(IF($B626="Robusta","Robusta",(IF($B626="","Arabica",$B626))&amp;" - "&amp;(IF($C626="","Commercial",$C626))),Variables!$B$1:$D$1,0),1)))*22.0462)*(L626/16.67),""))</f>
        <v>9614.6295140971797</v>
      </c>
      <c r="U626" s="10"/>
      <c r="V626" s="9" t="str">
        <f t="shared" si="66"/>
        <v/>
      </c>
      <c r="W626" s="10">
        <v>45371</v>
      </c>
      <c r="X626" s="9" t="str">
        <f t="shared" si="67"/>
        <v>Approved</v>
      </c>
      <c r="Y626" s="10">
        <v>45381</v>
      </c>
      <c r="Z626" s="10">
        <f>IF($H626="Cancelled","",IFERROR(IF(F626="","",F626-Variables!$B$13),""))</f>
        <v>45397</v>
      </c>
      <c r="AA626" s="11">
        <f>IF($H626="Cancelled","",IFERROR(IF(W626="","",(AVERAGE(E626:F626)-W626)-Variables!$B$14),""))</f>
        <v>-3.5</v>
      </c>
      <c r="AB626" s="10">
        <v>45401</v>
      </c>
      <c r="AC626" s="11">
        <f>IF($H626="Cancelled","",IFERROR(IF(AB626="","",IF(AND(W626="",Y626=""),"",IF(Y626&gt;W626,Y626+Variables!$B$15+Variables!$B$16+Variables!$B$17-AB626,W626+Variables!$B$16+Variables!$B$17-AB626))),""))</f>
        <v>-5</v>
      </c>
      <c r="AD626" s="9"/>
      <c r="AE626" s="9" t="s">
        <v>209</v>
      </c>
      <c r="AF626" s="10"/>
      <c r="AG626" s="10"/>
      <c r="AH626" s="9"/>
      <c r="AI626" s="9" t="s">
        <v>1523</v>
      </c>
      <c r="AJ626" s="9">
        <v>2856486102</v>
      </c>
      <c r="AK626" s="10">
        <v>45411</v>
      </c>
      <c r="AL626" s="10">
        <v>45415</v>
      </c>
      <c r="AM626" s="10"/>
      <c r="AN626" s="9" t="s">
        <v>1492</v>
      </c>
      <c r="AO626" s="9"/>
      <c r="AP626" s="11">
        <f>IF($H626="Cancelled","",IFERROR(IF(OR(AK626="",AB626=""),"",(AB626+Variables!$B$18-AK626)),""))</f>
        <v>-3</v>
      </c>
      <c r="AQ626" s="11" t="str">
        <f>IF($H626="Cancelled","",IFERROR(IF(OR(AM626="",AK626=""),"",(AK626+Variables!$B$19)-AM626),""))</f>
        <v/>
      </c>
      <c r="AR626" s="12" t="str">
        <f>IF($H626="Cancelled","",IFERROR(T626*INDEX(Variables!$B$7:$D$7,IFERROR(MATCH(IF($B626="Robusta","Robusta",(IF($B626="","Arabica",$B626))&amp;" - "&amp;(IF($C626="","Commercial",$C626))),Variables!$B$1:$D$1,0),1))*(AQ626/365),""))</f>
        <v/>
      </c>
      <c r="AS626" s="12">
        <f>IF($H626="Cancelled","",IFERROR((T626*INDEX(Variables!$B$7:$D$7,IFERROR(MATCH(IF($B626="Robusta","Robusta",(IF($B626="","Arabica",$B626))&amp;" - "&amp;(IF($C626="","Commercial",$C626))),Variables!$B$1:$D$1,0),1))*IFERROR(IF(W626="","",(AVERAGE(E626:F626)-W626)-Variables!$B$14),"")/365)+(L626/16.67*INDEX(Variables!$B$8:$D$8,IFERROR(MATCH(IF($B626="Robusta","Robusta",(IF($B626="","Arabica",$B626))&amp;" - "&amp;(IF($C626="","Commercial",$C626))),Variables!$B$1:$D$1,0),1))*IFERROR(IF(W626="","",(AVERAGE(E626:F626)-W626)-Variables!$B$14),""))+(T626*INDEX(Variables!$B$9:$D$9,IFERROR(MATCH(IF($B626="Robusta","Robusta",(IF($B626="","Arabica",$B626))&amp;" - "&amp;(IF($C626="","Commercial",$C626))),Variables!$B$1:$D$1,0),1))*IFERROR(IF(W626="","",(AVERAGE(E626:F626)-W626)-Variables!$B$14),"")/365),""))</f>
        <v>-10.396583196414936</v>
      </c>
      <c r="AT626" s="12">
        <f>IF($H626="Cancelled","",IFERROR((T626*INDEX(Variables!$B$7:$D$7,IFERROR(MATCH(IF($B626="Robusta","Robusta",(IF($B626="","Arabica",$B626))&amp;" - "&amp;(IF($C626="","Commercial",$C626))),Variables!$B$1:$D$1,0),1))*AC626/365)+(L626/16.67*INDEX(Variables!$B$8:$D$8,IFERROR(MATCH(IF($B626="Robusta","Robusta",(IF($B626="","Arabica",$B626))&amp;" - "&amp;(IF($C626="","Commercial",$C626))),Variables!$B$1:$D$1,0),1))*AC626)+(T626*INDEX(Variables!$B$9:$D$9,IFERROR(MATCH(IF($B626="Robusta","Robusta",(IF($B626="","Arabica",$B626))&amp;" - "&amp;(IF($C626="","Commercial",$C626))),Variables!$B$1:$D$1,0),1))*AC626/365),""))</f>
        <v>-14.852261709164194</v>
      </c>
      <c r="AU626" s="12">
        <f>IF($H626="Cancelled","",IFERROR((T626*INDEX(Variables!$B$7:$D$7,IFERROR(MATCH(IF($B626="Robusta","Robusta",(IF($B626="","Arabica",$B626))&amp;" - "&amp;(IF($C626="","Commercial",$C626))),Variables!$B$1:$D$1,0),1))*AP626/365)+(L626/16.67*INDEX(Variables!$B$8:$D$8,IFERROR(MATCH(IF($B626="Robusta","Robusta",(IF($B626="","Arabica",$B626))&amp;" - "&amp;(IF($C626="","Commercial",$C626))),Variables!$B$1:$D$1,0),1))*AP626)+(T626*INDEX(Variables!$B$9:$D$9,IFERROR(MATCH(IF($B626="Robusta","Robusta",(IF($B626="","Arabica",$B626))&amp;" - "&amp;(IF($C626="","Commercial",$C626))),Variables!$B$1:$D$1,0),1))*AP626/365),""))</f>
        <v>-8.9113570254985159</v>
      </c>
      <c r="AV626" s="11">
        <f t="shared" si="65"/>
        <v>1</v>
      </c>
      <c r="AW626" s="12">
        <f>IF($H626="Cancelled","",IFERROR(IF(AV626="","",(T626*INDEX(Variables!$B$7:$D$7,IFERROR(MATCH(IF($B626="Robusta","Robusta",(IF($B626="","Arabica",$B626))&amp;" - "&amp;(IF($C626="","Commercial",$C626))),Variables!$B$1:$D$1,0),1))*(AV626/365))+(T626*INDEX(Variables!$B$9:$D$9,IFERROR(MATCH(IF($B626="Robusta","Robusta",(IF($B626="","Arabica",$B626))&amp;" - "&amp;(IF($C626="","Commercial",$C626))),Variables!$B$1:$D$1,0),1))*(AV626/365))+(INDEX(Variables!$B$8:$D$8,IFERROR(MATCH(IF($B626="Robusta","Robusta",(IF($B626="","Arabica",$B626))&amp;" - "&amp;(IF($C626="","Commercial",$C626))),Variables!$B$1:$D$1,0),1))*L626/16.67)),""))</f>
        <v>2.9704523418328388</v>
      </c>
      <c r="AX626" s="9"/>
      <c r="AY626" s="12"/>
      <c r="AZ626" s="10"/>
      <c r="BA626" s="9"/>
      <c r="BB626" s="10"/>
      <c r="BC626" s="9"/>
      <c r="BD626" s="9"/>
      <c r="BE626" s="9"/>
      <c r="BF626" s="9"/>
    </row>
    <row r="627" spans="1:58" x14ac:dyDescent="0.25">
      <c r="A627" s="9" t="s">
        <v>84</v>
      </c>
      <c r="B627" s="9" t="s">
        <v>85</v>
      </c>
      <c r="C627" s="9" t="s">
        <v>1486</v>
      </c>
      <c r="D627" s="10">
        <v>45351</v>
      </c>
      <c r="E627" s="10">
        <v>45383</v>
      </c>
      <c r="F627" s="10">
        <v>45412</v>
      </c>
      <c r="G627" s="9">
        <v>3786148</v>
      </c>
      <c r="H627" s="9" t="str">
        <f t="shared" si="63"/>
        <v>Open</v>
      </c>
      <c r="I627" s="9" t="str">
        <f t="shared" si="64"/>
        <v>No docs dispatch date</v>
      </c>
      <c r="J627" s="9" t="s">
        <v>1487</v>
      </c>
      <c r="K627" s="9">
        <v>4751</v>
      </c>
      <c r="L627" s="11">
        <v>20</v>
      </c>
      <c r="M627" s="9" t="s">
        <v>1526</v>
      </c>
      <c r="N627" s="9"/>
      <c r="O627" s="9"/>
      <c r="P627" s="9"/>
      <c r="Q627" s="11"/>
      <c r="R627" s="9" t="s">
        <v>195</v>
      </c>
      <c r="S627" s="9" t="s">
        <v>578</v>
      </c>
      <c r="T627" s="12">
        <f>IF($H627="Cancelled","",IFERROR(((Q627+INDEX(Variables!$B$6:$D$6,IFERROR(MATCH(IF($B627="Robusta","Robusta",(IF($B627="","Arabica",$B627))&amp;" - "&amp;(IF($C627="","Commercial",$C627))),Variables!$B$1:$D$1,0),1)))*22.0462)*(L627/16.67),""))</f>
        <v>7691.7036112777441</v>
      </c>
      <c r="U627" s="10"/>
      <c r="V627" s="9" t="str">
        <f t="shared" si="66"/>
        <v/>
      </c>
      <c r="W627" s="10">
        <v>45371</v>
      </c>
      <c r="X627" s="9" t="str">
        <f t="shared" si="67"/>
        <v>Approved</v>
      </c>
      <c r="Y627" s="10">
        <v>45381</v>
      </c>
      <c r="Z627" s="10">
        <f>IF($H627="Cancelled","",IFERROR(IF(F627="","",F627-Variables!$B$13),""))</f>
        <v>45397</v>
      </c>
      <c r="AA627" s="11">
        <f>IF($H627="Cancelled","",IFERROR(IF(W627="","",(AVERAGE(E627:F627)-W627)-Variables!$B$14),""))</f>
        <v>-3.5</v>
      </c>
      <c r="AB627" s="10">
        <v>45401</v>
      </c>
      <c r="AC627" s="11">
        <f>IF($H627="Cancelled","",IFERROR(IF(AB627="","",IF(AND(W627="",Y627=""),"",IF(Y627&gt;W627,Y627+Variables!$B$15+Variables!$B$16+Variables!$B$17-AB627,W627+Variables!$B$16+Variables!$B$17-AB627))),""))</f>
        <v>-5</v>
      </c>
      <c r="AD627" s="9"/>
      <c r="AE627" s="9" t="s">
        <v>209</v>
      </c>
      <c r="AF627" s="10"/>
      <c r="AG627" s="10"/>
      <c r="AH627" s="9"/>
      <c r="AI627" s="9" t="s">
        <v>1523</v>
      </c>
      <c r="AJ627" s="9">
        <v>2856486102</v>
      </c>
      <c r="AK627" s="10">
        <v>45411</v>
      </c>
      <c r="AL627" s="10">
        <v>45415</v>
      </c>
      <c r="AM627" s="10"/>
      <c r="AN627" s="9" t="s">
        <v>1492</v>
      </c>
      <c r="AO627" s="9"/>
      <c r="AP627" s="11">
        <f>IF($H627="Cancelled","",IFERROR(IF(OR(AK627="",AB627=""),"",(AB627+Variables!$B$18-AK627)),""))</f>
        <v>-3</v>
      </c>
      <c r="AQ627" s="11" t="str">
        <f>IF($H627="Cancelled","",IFERROR(IF(OR(AM627="",AK627=""),"",(AK627+Variables!$B$19)-AM627),""))</f>
        <v/>
      </c>
      <c r="AR627" s="12" t="str">
        <f>IF($H627="Cancelled","",IFERROR(T627*INDEX(Variables!$B$7:$D$7,IFERROR(MATCH(IF($B627="Robusta","Robusta",(IF($B627="","Arabica",$B627))&amp;" - "&amp;(IF($C627="","Commercial",$C627))),Variables!$B$1:$D$1,0),1))*(AQ627/365),""))</f>
        <v/>
      </c>
      <c r="AS627" s="12">
        <f>IF($H627="Cancelled","",IFERROR((T627*INDEX(Variables!$B$7:$D$7,IFERROR(MATCH(IF($B627="Robusta","Robusta",(IF($B627="","Arabica",$B627))&amp;" - "&amp;(IF($C627="","Commercial",$C627))),Variables!$B$1:$D$1,0),1))*IFERROR(IF(W627="","",(AVERAGE(E627:F627)-W627)-Variables!$B$14),"")/365)+(L627/16.67*INDEX(Variables!$B$8:$D$8,IFERROR(MATCH(IF($B627="Robusta","Robusta",(IF($B627="","Arabica",$B627))&amp;" - "&amp;(IF($C627="","Commercial",$C627))),Variables!$B$1:$D$1,0),1))*IFERROR(IF(W627="","",(AVERAGE(E627:F627)-W627)-Variables!$B$14),""))+(T627*INDEX(Variables!$B$9:$D$9,IFERROR(MATCH(IF($B627="Robusta","Robusta",(IF($B627="","Arabica",$B627))&amp;" - "&amp;(IF($C627="","Commercial",$C627))),Variables!$B$1:$D$1,0),1))*IFERROR(IF(W627="","",(AVERAGE(E627:F627)-W627)-Variables!$B$14),"")/365),""))</f>
        <v>-8.3172665571319495</v>
      </c>
      <c r="AT627" s="12">
        <f>IF($H627="Cancelled","",IFERROR((T627*INDEX(Variables!$B$7:$D$7,IFERROR(MATCH(IF($B627="Robusta","Robusta",(IF($B627="","Arabica",$B627))&amp;" - "&amp;(IF($C627="","Commercial",$C627))),Variables!$B$1:$D$1,0),1))*AC627/365)+(L627/16.67*INDEX(Variables!$B$8:$D$8,IFERROR(MATCH(IF($B627="Robusta","Robusta",(IF($B627="","Arabica",$B627))&amp;" - "&amp;(IF($C627="","Commercial",$C627))),Variables!$B$1:$D$1,0),1))*AC627)+(T627*INDEX(Variables!$B$9:$D$9,IFERROR(MATCH(IF($B627="Robusta","Robusta",(IF($B627="","Arabica",$B627))&amp;" - "&amp;(IF($C627="","Commercial",$C627))),Variables!$B$1:$D$1,0),1))*AC627/365),""))</f>
        <v>-11.881809367331355</v>
      </c>
      <c r="AU627" s="12">
        <f>IF($H627="Cancelled","",IFERROR((T627*INDEX(Variables!$B$7:$D$7,IFERROR(MATCH(IF($B627="Robusta","Robusta",(IF($B627="","Arabica",$B627))&amp;" - "&amp;(IF($C627="","Commercial",$C627))),Variables!$B$1:$D$1,0),1))*AP627/365)+(L627/16.67*INDEX(Variables!$B$8:$D$8,IFERROR(MATCH(IF($B627="Robusta","Robusta",(IF($B627="","Arabica",$B627))&amp;" - "&amp;(IF($C627="","Commercial",$C627))),Variables!$B$1:$D$1,0),1))*AP627)+(T627*INDEX(Variables!$B$9:$D$9,IFERROR(MATCH(IF($B627="Robusta","Robusta",(IF($B627="","Arabica",$B627))&amp;" - "&amp;(IF($C627="","Commercial",$C627))),Variables!$B$1:$D$1,0),1))*AP627/365),""))</f>
        <v>-7.1290856203988131</v>
      </c>
      <c r="AV627" s="11">
        <f t="shared" si="65"/>
        <v>1</v>
      </c>
      <c r="AW627" s="12">
        <f>IF($H627="Cancelled","",IFERROR(IF(AV627="","",(T627*INDEX(Variables!$B$7:$D$7,IFERROR(MATCH(IF($B627="Robusta","Robusta",(IF($B627="","Arabica",$B627))&amp;" - "&amp;(IF($C627="","Commercial",$C627))),Variables!$B$1:$D$1,0),1))*(AV627/365))+(T627*INDEX(Variables!$B$9:$D$9,IFERROR(MATCH(IF($B627="Robusta","Robusta",(IF($B627="","Arabica",$B627))&amp;" - "&amp;(IF($C627="","Commercial",$C627))),Variables!$B$1:$D$1,0),1))*(AV627/365))+(INDEX(Variables!$B$8:$D$8,IFERROR(MATCH(IF($B627="Robusta","Robusta",(IF($B627="","Arabica",$B627))&amp;" - "&amp;(IF($C627="","Commercial",$C627))),Variables!$B$1:$D$1,0),1))*L627/16.67)),""))</f>
        <v>2.376361873466271</v>
      </c>
      <c r="AX627" s="9"/>
      <c r="AY627" s="12"/>
      <c r="AZ627" s="10"/>
      <c r="BA627" s="9"/>
      <c r="BB627" s="10"/>
      <c r="BC627" s="9"/>
      <c r="BD627" s="9"/>
      <c r="BE627" s="9"/>
      <c r="BF627" s="9"/>
    </row>
    <row r="628" spans="1:58" x14ac:dyDescent="0.25">
      <c r="A628" s="9" t="s">
        <v>84</v>
      </c>
      <c r="B628" s="9" t="s">
        <v>85</v>
      </c>
      <c r="C628" s="9" t="s">
        <v>1486</v>
      </c>
      <c r="D628" s="10">
        <v>45351</v>
      </c>
      <c r="E628" s="10">
        <v>45383</v>
      </c>
      <c r="F628" s="10">
        <v>45412</v>
      </c>
      <c r="G628" s="9">
        <v>3786149</v>
      </c>
      <c r="H628" s="9" t="str">
        <f t="shared" si="63"/>
        <v>Open</v>
      </c>
      <c r="I628" s="9" t="str">
        <f t="shared" si="64"/>
        <v>No docs dispatch date</v>
      </c>
      <c r="J628" s="9" t="s">
        <v>1487</v>
      </c>
      <c r="K628" s="9">
        <v>4752</v>
      </c>
      <c r="L628" s="11">
        <v>9</v>
      </c>
      <c r="M628" s="9" t="s">
        <v>1527</v>
      </c>
      <c r="N628" s="9"/>
      <c r="O628" s="9"/>
      <c r="P628" s="9"/>
      <c r="Q628" s="11"/>
      <c r="R628" s="9" t="s">
        <v>195</v>
      </c>
      <c r="S628" s="9" t="s">
        <v>578</v>
      </c>
      <c r="T628" s="12">
        <f>IF($H628="Cancelled","",IFERROR(((Q628+INDEX(Variables!$B$6:$D$6,IFERROR(MATCH(IF($B628="Robusta","Robusta",(IF($B628="","Arabica",$B628))&amp;" - "&amp;(IF($C628="","Commercial",$C628))),Variables!$B$1:$D$1,0),1)))*22.0462)*(L628/16.67),""))</f>
        <v>3461.2666250749849</v>
      </c>
      <c r="U628" s="10"/>
      <c r="V628" s="9" t="str">
        <f t="shared" si="66"/>
        <v/>
      </c>
      <c r="W628" s="10">
        <v>45371</v>
      </c>
      <c r="X628" s="9" t="str">
        <f t="shared" si="67"/>
        <v>Approved</v>
      </c>
      <c r="Y628" s="10">
        <v>45381</v>
      </c>
      <c r="Z628" s="10">
        <f>IF($H628="Cancelled","",IFERROR(IF(F628="","",F628-Variables!$B$13),""))</f>
        <v>45397</v>
      </c>
      <c r="AA628" s="11">
        <f>IF($H628="Cancelled","",IFERROR(IF(W628="","",(AVERAGE(E628:F628)-W628)-Variables!$B$14),""))</f>
        <v>-3.5</v>
      </c>
      <c r="AB628" s="10">
        <v>45401</v>
      </c>
      <c r="AC628" s="11">
        <f>IF($H628="Cancelled","",IFERROR(IF(AB628="","",IF(AND(W628="",Y628=""),"",IF(Y628&gt;W628,Y628+Variables!$B$15+Variables!$B$16+Variables!$B$17-AB628,W628+Variables!$B$16+Variables!$B$17-AB628))),""))</f>
        <v>-5</v>
      </c>
      <c r="AD628" s="9"/>
      <c r="AE628" s="9" t="s">
        <v>209</v>
      </c>
      <c r="AF628" s="10"/>
      <c r="AG628" s="10"/>
      <c r="AH628" s="9"/>
      <c r="AI628" s="9" t="s">
        <v>1523</v>
      </c>
      <c r="AJ628" s="9">
        <v>2856486102</v>
      </c>
      <c r="AK628" s="10">
        <v>45411</v>
      </c>
      <c r="AL628" s="10">
        <v>45415</v>
      </c>
      <c r="AM628" s="10"/>
      <c r="AN628" s="9" t="s">
        <v>1492</v>
      </c>
      <c r="AO628" s="9"/>
      <c r="AP628" s="11">
        <f>IF($H628="Cancelled","",IFERROR(IF(OR(AK628="",AB628=""),"",(AB628+Variables!$B$18-AK628)),""))</f>
        <v>-3</v>
      </c>
      <c r="AQ628" s="11" t="str">
        <f>IF($H628="Cancelled","",IFERROR(IF(OR(AM628="",AK628=""),"",(AK628+Variables!$B$19)-AM628),""))</f>
        <v/>
      </c>
      <c r="AR628" s="12" t="str">
        <f>IF($H628="Cancelled","",IFERROR(T628*INDEX(Variables!$B$7:$D$7,IFERROR(MATCH(IF($B628="Robusta","Robusta",(IF($B628="","Arabica",$B628))&amp;" - "&amp;(IF($C628="","Commercial",$C628))),Variables!$B$1:$D$1,0),1))*(AQ628/365),""))</f>
        <v/>
      </c>
      <c r="AS628" s="12">
        <f>IF($H628="Cancelled","",IFERROR((T628*INDEX(Variables!$B$7:$D$7,IFERROR(MATCH(IF($B628="Robusta","Robusta",(IF($B628="","Arabica",$B628))&amp;" - "&amp;(IF($C628="","Commercial",$C628))),Variables!$B$1:$D$1,0),1))*IFERROR(IF(W628="","",(AVERAGE(E628:F628)-W628)-Variables!$B$14),"")/365)+(L628/16.67*INDEX(Variables!$B$8:$D$8,IFERROR(MATCH(IF($B628="Robusta","Robusta",(IF($B628="","Arabica",$B628))&amp;" - "&amp;(IF($C628="","Commercial",$C628))),Variables!$B$1:$D$1,0),1))*IFERROR(IF(W628="","",(AVERAGE(E628:F628)-W628)-Variables!$B$14),""))+(T628*INDEX(Variables!$B$9:$D$9,IFERROR(MATCH(IF($B628="Robusta","Robusta",(IF($B628="","Arabica",$B628))&amp;" - "&amp;(IF($C628="","Commercial",$C628))),Variables!$B$1:$D$1,0),1))*IFERROR(IF(W628="","",(AVERAGE(E628:F628)-W628)-Variables!$B$14),"")/365),""))</f>
        <v>-3.742769950709377</v>
      </c>
      <c r="AT628" s="12">
        <f>IF($H628="Cancelled","",IFERROR((T628*INDEX(Variables!$B$7:$D$7,IFERROR(MATCH(IF($B628="Robusta","Robusta",(IF($B628="","Arabica",$B628))&amp;" - "&amp;(IF($C628="","Commercial",$C628))),Variables!$B$1:$D$1,0),1))*AC628/365)+(L628/16.67*INDEX(Variables!$B$8:$D$8,IFERROR(MATCH(IF($B628="Robusta","Robusta",(IF($B628="","Arabica",$B628))&amp;" - "&amp;(IF($C628="","Commercial",$C628))),Variables!$B$1:$D$1,0),1))*AC628)+(T628*INDEX(Variables!$B$9:$D$9,IFERROR(MATCH(IF($B628="Robusta","Robusta",(IF($B628="","Arabica",$B628))&amp;" - "&amp;(IF($C628="","Commercial",$C628))),Variables!$B$1:$D$1,0),1))*AC628/365),""))</f>
        <v>-5.3468142152991103</v>
      </c>
      <c r="AU628" s="12">
        <f>IF($H628="Cancelled","",IFERROR((T628*INDEX(Variables!$B$7:$D$7,IFERROR(MATCH(IF($B628="Robusta","Robusta",(IF($B628="","Arabica",$B628))&amp;" - "&amp;(IF($C628="","Commercial",$C628))),Variables!$B$1:$D$1,0),1))*AP628/365)+(L628/16.67*INDEX(Variables!$B$8:$D$8,IFERROR(MATCH(IF($B628="Robusta","Robusta",(IF($B628="","Arabica",$B628))&amp;" - "&amp;(IF($C628="","Commercial",$C628))),Variables!$B$1:$D$1,0),1))*AP628)+(T628*INDEX(Variables!$B$9:$D$9,IFERROR(MATCH(IF($B628="Robusta","Robusta",(IF($B628="","Arabica",$B628))&amp;" - "&amp;(IF($C628="","Commercial",$C628))),Variables!$B$1:$D$1,0),1))*AP628/365),""))</f>
        <v>-3.2080885291794661</v>
      </c>
      <c r="AV628" s="11">
        <f t="shared" si="65"/>
        <v>1</v>
      </c>
      <c r="AW628" s="12">
        <f>IF($H628="Cancelled","",IFERROR(IF(AV628="","",(T628*INDEX(Variables!$B$7:$D$7,IFERROR(MATCH(IF($B628="Robusta","Robusta",(IF($B628="","Arabica",$B628))&amp;" - "&amp;(IF($C628="","Commercial",$C628))),Variables!$B$1:$D$1,0),1))*(AV628/365))+(T628*INDEX(Variables!$B$9:$D$9,IFERROR(MATCH(IF($B628="Robusta","Robusta",(IF($B628="","Arabica",$B628))&amp;" - "&amp;(IF($C628="","Commercial",$C628))),Variables!$B$1:$D$1,0),1))*(AV628/365))+(INDEX(Variables!$B$8:$D$8,IFERROR(MATCH(IF($B628="Robusta","Robusta",(IF($B628="","Arabica",$B628))&amp;" - "&amp;(IF($C628="","Commercial",$C628))),Variables!$B$1:$D$1,0),1))*L628/16.67)),""))</f>
        <v>1.0693628430598221</v>
      </c>
      <c r="AX628" s="9"/>
      <c r="AY628" s="12"/>
      <c r="AZ628" s="10"/>
      <c r="BA628" s="9"/>
      <c r="BB628" s="10"/>
      <c r="BC628" s="9"/>
      <c r="BD628" s="9"/>
      <c r="BE628" s="9"/>
      <c r="BF628" s="9"/>
    </row>
    <row r="629" spans="1:58" x14ac:dyDescent="0.25">
      <c r="A629" s="9" t="s">
        <v>84</v>
      </c>
      <c r="B629" s="9" t="s">
        <v>85</v>
      </c>
      <c r="C629" s="9" t="s">
        <v>1486</v>
      </c>
      <c r="D629" s="10">
        <v>45351</v>
      </c>
      <c r="E629" s="10">
        <v>45383</v>
      </c>
      <c r="F629" s="10">
        <v>45412</v>
      </c>
      <c r="G629" s="9">
        <v>3786150</v>
      </c>
      <c r="H629" s="9" t="str">
        <f t="shared" si="63"/>
        <v>Open</v>
      </c>
      <c r="I629" s="9" t="str">
        <f t="shared" si="64"/>
        <v>No docs dispatch date</v>
      </c>
      <c r="J629" s="9" t="s">
        <v>1487</v>
      </c>
      <c r="K629" s="9">
        <v>4753</v>
      </c>
      <c r="L629" s="11">
        <v>20</v>
      </c>
      <c r="M629" s="9" t="s">
        <v>1528</v>
      </c>
      <c r="N629" s="9"/>
      <c r="O629" s="9"/>
      <c r="P629" s="9"/>
      <c r="Q629" s="11"/>
      <c r="R629" s="9" t="s">
        <v>195</v>
      </c>
      <c r="S629" s="9" t="s">
        <v>578</v>
      </c>
      <c r="T629" s="12">
        <f>IF($H629="Cancelled","",IFERROR(((Q629+INDEX(Variables!$B$6:$D$6,IFERROR(MATCH(IF($B629="Robusta","Robusta",(IF($B629="","Arabica",$B629))&amp;" - "&amp;(IF($C629="","Commercial",$C629))),Variables!$B$1:$D$1,0),1)))*22.0462)*(L629/16.67),""))</f>
        <v>7691.7036112777441</v>
      </c>
      <c r="U629" s="10"/>
      <c r="V629" s="9" t="str">
        <f t="shared" si="66"/>
        <v/>
      </c>
      <c r="W629" s="10">
        <v>45371</v>
      </c>
      <c r="X629" s="9" t="str">
        <f t="shared" si="67"/>
        <v>Approved</v>
      </c>
      <c r="Y629" s="10">
        <v>45381</v>
      </c>
      <c r="Z629" s="10">
        <f>IF($H629="Cancelled","",IFERROR(IF(F629="","",F629-Variables!$B$13),""))</f>
        <v>45397</v>
      </c>
      <c r="AA629" s="11">
        <f>IF($H629="Cancelled","",IFERROR(IF(W629="","",(AVERAGE(E629:F629)-W629)-Variables!$B$14),""))</f>
        <v>-3.5</v>
      </c>
      <c r="AB629" s="10">
        <v>45401</v>
      </c>
      <c r="AC629" s="11">
        <f>IF($H629="Cancelled","",IFERROR(IF(AB629="","",IF(AND(W629="",Y629=""),"",IF(Y629&gt;W629,Y629+Variables!$B$15+Variables!$B$16+Variables!$B$17-AB629,W629+Variables!$B$16+Variables!$B$17-AB629))),""))</f>
        <v>-5</v>
      </c>
      <c r="AD629" s="9"/>
      <c r="AE629" s="9" t="s">
        <v>209</v>
      </c>
      <c r="AF629" s="10"/>
      <c r="AG629" s="10"/>
      <c r="AH629" s="9"/>
      <c r="AI629" s="9" t="s">
        <v>1523</v>
      </c>
      <c r="AJ629" s="9">
        <v>2856486102</v>
      </c>
      <c r="AK629" s="10">
        <v>45411</v>
      </c>
      <c r="AL629" s="10">
        <v>45415</v>
      </c>
      <c r="AM629" s="10"/>
      <c r="AN629" s="9" t="s">
        <v>1492</v>
      </c>
      <c r="AO629" s="9"/>
      <c r="AP629" s="11">
        <f>IF($H629="Cancelled","",IFERROR(IF(OR(AK629="",AB629=""),"",(AB629+Variables!$B$18-AK629)),""))</f>
        <v>-3</v>
      </c>
      <c r="AQ629" s="11" t="str">
        <f>IF($H629="Cancelled","",IFERROR(IF(OR(AM629="",AK629=""),"",(AK629+Variables!$B$19)-AM629),""))</f>
        <v/>
      </c>
      <c r="AR629" s="12" t="str">
        <f>IF($H629="Cancelled","",IFERROR(T629*INDEX(Variables!$B$7:$D$7,IFERROR(MATCH(IF($B629="Robusta","Robusta",(IF($B629="","Arabica",$B629))&amp;" - "&amp;(IF($C629="","Commercial",$C629))),Variables!$B$1:$D$1,0),1))*(AQ629/365),""))</f>
        <v/>
      </c>
      <c r="AS629" s="12">
        <f>IF($H629="Cancelled","",IFERROR((T629*INDEX(Variables!$B$7:$D$7,IFERROR(MATCH(IF($B629="Robusta","Robusta",(IF($B629="","Arabica",$B629))&amp;" - "&amp;(IF($C629="","Commercial",$C629))),Variables!$B$1:$D$1,0),1))*IFERROR(IF(W629="","",(AVERAGE(E629:F629)-W629)-Variables!$B$14),"")/365)+(L629/16.67*INDEX(Variables!$B$8:$D$8,IFERROR(MATCH(IF($B629="Robusta","Robusta",(IF($B629="","Arabica",$B629))&amp;" - "&amp;(IF($C629="","Commercial",$C629))),Variables!$B$1:$D$1,0),1))*IFERROR(IF(W629="","",(AVERAGE(E629:F629)-W629)-Variables!$B$14),""))+(T629*INDEX(Variables!$B$9:$D$9,IFERROR(MATCH(IF($B629="Robusta","Robusta",(IF($B629="","Arabica",$B629))&amp;" - "&amp;(IF($C629="","Commercial",$C629))),Variables!$B$1:$D$1,0),1))*IFERROR(IF(W629="","",(AVERAGE(E629:F629)-W629)-Variables!$B$14),"")/365),""))</f>
        <v>-8.3172665571319495</v>
      </c>
      <c r="AT629" s="12">
        <f>IF($H629="Cancelled","",IFERROR((T629*INDEX(Variables!$B$7:$D$7,IFERROR(MATCH(IF($B629="Robusta","Robusta",(IF($B629="","Arabica",$B629))&amp;" - "&amp;(IF($C629="","Commercial",$C629))),Variables!$B$1:$D$1,0),1))*AC629/365)+(L629/16.67*INDEX(Variables!$B$8:$D$8,IFERROR(MATCH(IF($B629="Robusta","Robusta",(IF($B629="","Arabica",$B629))&amp;" - "&amp;(IF($C629="","Commercial",$C629))),Variables!$B$1:$D$1,0),1))*AC629)+(T629*INDEX(Variables!$B$9:$D$9,IFERROR(MATCH(IF($B629="Robusta","Robusta",(IF($B629="","Arabica",$B629))&amp;" - "&amp;(IF($C629="","Commercial",$C629))),Variables!$B$1:$D$1,0),1))*AC629/365),""))</f>
        <v>-11.881809367331355</v>
      </c>
      <c r="AU629" s="12">
        <f>IF($H629="Cancelled","",IFERROR((T629*INDEX(Variables!$B$7:$D$7,IFERROR(MATCH(IF($B629="Robusta","Robusta",(IF($B629="","Arabica",$B629))&amp;" - "&amp;(IF($C629="","Commercial",$C629))),Variables!$B$1:$D$1,0),1))*AP629/365)+(L629/16.67*INDEX(Variables!$B$8:$D$8,IFERROR(MATCH(IF($B629="Robusta","Robusta",(IF($B629="","Arabica",$B629))&amp;" - "&amp;(IF($C629="","Commercial",$C629))),Variables!$B$1:$D$1,0),1))*AP629)+(T629*INDEX(Variables!$B$9:$D$9,IFERROR(MATCH(IF($B629="Robusta","Robusta",(IF($B629="","Arabica",$B629))&amp;" - "&amp;(IF($C629="","Commercial",$C629))),Variables!$B$1:$D$1,0),1))*AP629/365),""))</f>
        <v>-7.1290856203988131</v>
      </c>
      <c r="AV629" s="11">
        <f t="shared" si="65"/>
        <v>1</v>
      </c>
      <c r="AW629" s="12">
        <f>IF($H629="Cancelled","",IFERROR(IF(AV629="","",(T629*INDEX(Variables!$B$7:$D$7,IFERROR(MATCH(IF($B629="Robusta","Robusta",(IF($B629="","Arabica",$B629))&amp;" - "&amp;(IF($C629="","Commercial",$C629))),Variables!$B$1:$D$1,0),1))*(AV629/365))+(T629*INDEX(Variables!$B$9:$D$9,IFERROR(MATCH(IF($B629="Robusta","Robusta",(IF($B629="","Arabica",$B629))&amp;" - "&amp;(IF($C629="","Commercial",$C629))),Variables!$B$1:$D$1,0),1))*(AV629/365))+(INDEX(Variables!$B$8:$D$8,IFERROR(MATCH(IF($B629="Robusta","Robusta",(IF($B629="","Arabica",$B629))&amp;" - "&amp;(IF($C629="","Commercial",$C629))),Variables!$B$1:$D$1,0),1))*L629/16.67)),""))</f>
        <v>2.376361873466271</v>
      </c>
      <c r="AX629" s="9"/>
      <c r="AY629" s="12"/>
      <c r="AZ629" s="10"/>
      <c r="BA629" s="9"/>
      <c r="BB629" s="10"/>
      <c r="BC629" s="9"/>
      <c r="BD629" s="9"/>
      <c r="BE629" s="9"/>
      <c r="BF629" s="9"/>
    </row>
    <row r="630" spans="1:58" x14ac:dyDescent="0.25">
      <c r="A630" s="9" t="s">
        <v>84</v>
      </c>
      <c r="B630" s="9" t="s">
        <v>85</v>
      </c>
      <c r="C630" s="9" t="s">
        <v>1486</v>
      </c>
      <c r="D630" s="10">
        <v>45351</v>
      </c>
      <c r="E630" s="10">
        <v>45383</v>
      </c>
      <c r="F630" s="10">
        <v>45412</v>
      </c>
      <c r="G630" s="9">
        <v>3786151</v>
      </c>
      <c r="H630" s="9" t="str">
        <f t="shared" si="63"/>
        <v>Open</v>
      </c>
      <c r="I630" s="9" t="str">
        <f t="shared" si="64"/>
        <v>No docs dispatch date</v>
      </c>
      <c r="J630" s="9" t="s">
        <v>1487</v>
      </c>
      <c r="K630" s="9">
        <v>4754</v>
      </c>
      <c r="L630" s="11">
        <v>5</v>
      </c>
      <c r="M630" s="9" t="s">
        <v>1529</v>
      </c>
      <c r="N630" s="9"/>
      <c r="O630" s="9"/>
      <c r="P630" s="9"/>
      <c r="Q630" s="11"/>
      <c r="R630" s="9" t="s">
        <v>195</v>
      </c>
      <c r="S630" s="9" t="s">
        <v>578</v>
      </c>
      <c r="T630" s="12">
        <f>IF($H630="Cancelled","",IFERROR(((Q630+INDEX(Variables!$B$6:$D$6,IFERROR(MATCH(IF($B630="Robusta","Robusta",(IF($B630="","Arabica",$B630))&amp;" - "&amp;(IF($C630="","Commercial",$C630))),Variables!$B$1:$D$1,0),1)))*22.0462)*(L630/16.67),""))</f>
        <v>1922.925902819436</v>
      </c>
      <c r="U630" s="10"/>
      <c r="V630" s="9" t="str">
        <f t="shared" si="66"/>
        <v/>
      </c>
      <c r="W630" s="10">
        <v>45371</v>
      </c>
      <c r="X630" s="9" t="str">
        <f t="shared" si="67"/>
        <v>Approved</v>
      </c>
      <c r="Y630" s="10">
        <v>45381</v>
      </c>
      <c r="Z630" s="10">
        <f>IF($H630="Cancelled","",IFERROR(IF(F630="","",F630-Variables!$B$13),""))</f>
        <v>45397</v>
      </c>
      <c r="AA630" s="11">
        <f>IF($H630="Cancelled","",IFERROR(IF(W630="","",(AVERAGE(E630:F630)-W630)-Variables!$B$14),""))</f>
        <v>-3.5</v>
      </c>
      <c r="AB630" s="10">
        <v>45401</v>
      </c>
      <c r="AC630" s="11">
        <f>IF($H630="Cancelled","",IFERROR(IF(AB630="","",IF(AND(W630="",Y630=""),"",IF(Y630&gt;W630,Y630+Variables!$B$15+Variables!$B$16+Variables!$B$17-AB630,W630+Variables!$B$16+Variables!$B$17-AB630))),""))</f>
        <v>-5</v>
      </c>
      <c r="AD630" s="9"/>
      <c r="AE630" s="9" t="s">
        <v>209</v>
      </c>
      <c r="AF630" s="10"/>
      <c r="AG630" s="10"/>
      <c r="AH630" s="9"/>
      <c r="AI630" s="9" t="s">
        <v>1523</v>
      </c>
      <c r="AJ630" s="9">
        <v>2856486102</v>
      </c>
      <c r="AK630" s="10">
        <v>45411</v>
      </c>
      <c r="AL630" s="10">
        <v>45415</v>
      </c>
      <c r="AM630" s="10"/>
      <c r="AN630" s="9" t="s">
        <v>1492</v>
      </c>
      <c r="AO630" s="9"/>
      <c r="AP630" s="11">
        <f>IF($H630="Cancelled","",IFERROR(IF(OR(AK630="",AB630=""),"",(AB630+Variables!$B$18-AK630)),""))</f>
        <v>-3</v>
      </c>
      <c r="AQ630" s="11" t="str">
        <f>IF($H630="Cancelled","",IFERROR(IF(OR(AM630="",AK630=""),"",(AK630+Variables!$B$19)-AM630),""))</f>
        <v/>
      </c>
      <c r="AR630" s="12" t="str">
        <f>IF($H630="Cancelled","",IFERROR(T630*INDEX(Variables!$B$7:$D$7,IFERROR(MATCH(IF($B630="Robusta","Robusta",(IF($B630="","Arabica",$B630))&amp;" - "&amp;(IF($C630="","Commercial",$C630))),Variables!$B$1:$D$1,0),1))*(AQ630/365),""))</f>
        <v/>
      </c>
      <c r="AS630" s="12">
        <f>IF($H630="Cancelled","",IFERROR((T630*INDEX(Variables!$B$7:$D$7,IFERROR(MATCH(IF($B630="Robusta","Robusta",(IF($B630="","Arabica",$B630))&amp;" - "&amp;(IF($C630="","Commercial",$C630))),Variables!$B$1:$D$1,0),1))*IFERROR(IF(W630="","",(AVERAGE(E630:F630)-W630)-Variables!$B$14),"")/365)+(L630/16.67*INDEX(Variables!$B$8:$D$8,IFERROR(MATCH(IF($B630="Robusta","Robusta",(IF($B630="","Arabica",$B630))&amp;" - "&amp;(IF($C630="","Commercial",$C630))),Variables!$B$1:$D$1,0),1))*IFERROR(IF(W630="","",(AVERAGE(E630:F630)-W630)-Variables!$B$14),""))+(T630*INDEX(Variables!$B$9:$D$9,IFERROR(MATCH(IF($B630="Robusta","Robusta",(IF($B630="","Arabica",$B630))&amp;" - "&amp;(IF($C630="","Commercial",$C630))),Variables!$B$1:$D$1,0),1))*IFERROR(IF(W630="","",(AVERAGE(E630:F630)-W630)-Variables!$B$14),"")/365),""))</f>
        <v>-2.0793166392829874</v>
      </c>
      <c r="AT630" s="12">
        <f>IF($H630="Cancelled","",IFERROR((T630*INDEX(Variables!$B$7:$D$7,IFERROR(MATCH(IF($B630="Robusta","Robusta",(IF($B630="","Arabica",$B630))&amp;" - "&amp;(IF($C630="","Commercial",$C630))),Variables!$B$1:$D$1,0),1))*AC630/365)+(L630/16.67*INDEX(Variables!$B$8:$D$8,IFERROR(MATCH(IF($B630="Robusta","Robusta",(IF($B630="","Arabica",$B630))&amp;" - "&amp;(IF($C630="","Commercial",$C630))),Variables!$B$1:$D$1,0),1))*AC630)+(T630*INDEX(Variables!$B$9:$D$9,IFERROR(MATCH(IF($B630="Robusta","Robusta",(IF($B630="","Arabica",$B630))&amp;" - "&amp;(IF($C630="","Commercial",$C630))),Variables!$B$1:$D$1,0),1))*AC630/365),""))</f>
        <v>-2.9704523418328388</v>
      </c>
      <c r="AU630" s="12">
        <f>IF($H630="Cancelled","",IFERROR((T630*INDEX(Variables!$B$7:$D$7,IFERROR(MATCH(IF($B630="Robusta","Robusta",(IF($B630="","Arabica",$B630))&amp;" - "&amp;(IF($C630="","Commercial",$C630))),Variables!$B$1:$D$1,0),1))*AP630/365)+(L630/16.67*INDEX(Variables!$B$8:$D$8,IFERROR(MATCH(IF($B630="Robusta","Robusta",(IF($B630="","Arabica",$B630))&amp;" - "&amp;(IF($C630="","Commercial",$C630))),Variables!$B$1:$D$1,0),1))*AP630)+(T630*INDEX(Variables!$B$9:$D$9,IFERROR(MATCH(IF($B630="Robusta","Robusta",(IF($B630="","Arabica",$B630))&amp;" - "&amp;(IF($C630="","Commercial",$C630))),Variables!$B$1:$D$1,0),1))*AP630/365),""))</f>
        <v>-1.7822714050997033</v>
      </c>
      <c r="AV630" s="11">
        <f t="shared" si="65"/>
        <v>1</v>
      </c>
      <c r="AW630" s="12">
        <f>IF($H630="Cancelled","",IFERROR(IF(AV630="","",(T630*INDEX(Variables!$B$7:$D$7,IFERROR(MATCH(IF($B630="Robusta","Robusta",(IF($B630="","Arabica",$B630))&amp;" - "&amp;(IF($C630="","Commercial",$C630))),Variables!$B$1:$D$1,0),1))*(AV630/365))+(T630*INDEX(Variables!$B$9:$D$9,IFERROR(MATCH(IF($B630="Robusta","Robusta",(IF($B630="","Arabica",$B630))&amp;" - "&amp;(IF($C630="","Commercial",$C630))),Variables!$B$1:$D$1,0),1))*(AV630/365))+(INDEX(Variables!$B$8:$D$8,IFERROR(MATCH(IF($B630="Robusta","Robusta",(IF($B630="","Arabica",$B630))&amp;" - "&amp;(IF($C630="","Commercial",$C630))),Variables!$B$1:$D$1,0),1))*L630/16.67)),""))</f>
        <v>0.59409046836656776</v>
      </c>
      <c r="AX630" s="9"/>
      <c r="AY630" s="12"/>
      <c r="AZ630" s="10"/>
      <c r="BA630" s="9"/>
      <c r="BB630" s="10"/>
      <c r="BC630" s="9"/>
      <c r="BD630" s="9"/>
      <c r="BE630" s="9"/>
      <c r="BF630" s="9"/>
    </row>
    <row r="631" spans="1:58" x14ac:dyDescent="0.25">
      <c r="A631" s="9" t="s">
        <v>84</v>
      </c>
      <c r="B631" s="9" t="s">
        <v>85</v>
      </c>
      <c r="C631" s="9" t="s">
        <v>1486</v>
      </c>
      <c r="D631" s="10">
        <v>45351</v>
      </c>
      <c r="E631" s="10">
        <v>45383</v>
      </c>
      <c r="F631" s="10">
        <v>45412</v>
      </c>
      <c r="G631" s="9">
        <v>3786152</v>
      </c>
      <c r="H631" s="9" t="str">
        <f t="shared" si="63"/>
        <v>Open</v>
      </c>
      <c r="I631" s="9" t="str">
        <f t="shared" si="64"/>
        <v>No docs dispatch date</v>
      </c>
      <c r="J631" s="9" t="s">
        <v>1487</v>
      </c>
      <c r="K631" s="9">
        <v>4755</v>
      </c>
      <c r="L631" s="11">
        <v>20</v>
      </c>
      <c r="M631" s="9" t="s">
        <v>1530</v>
      </c>
      <c r="N631" s="9"/>
      <c r="O631" s="9"/>
      <c r="P631" s="9"/>
      <c r="Q631" s="11"/>
      <c r="R631" s="9" t="s">
        <v>195</v>
      </c>
      <c r="S631" s="9" t="s">
        <v>578</v>
      </c>
      <c r="T631" s="12">
        <f>IF($H631="Cancelled","",IFERROR(((Q631+INDEX(Variables!$B$6:$D$6,IFERROR(MATCH(IF($B631="Robusta","Robusta",(IF($B631="","Arabica",$B631))&amp;" - "&amp;(IF($C631="","Commercial",$C631))),Variables!$B$1:$D$1,0),1)))*22.0462)*(L631/16.67),""))</f>
        <v>7691.7036112777441</v>
      </c>
      <c r="U631" s="10"/>
      <c r="V631" s="9" t="str">
        <f t="shared" si="66"/>
        <v/>
      </c>
      <c r="W631" s="10">
        <v>45371</v>
      </c>
      <c r="X631" s="9" t="str">
        <f t="shared" si="67"/>
        <v>Approved</v>
      </c>
      <c r="Y631" s="10">
        <v>45381</v>
      </c>
      <c r="Z631" s="10">
        <f>IF($H631="Cancelled","",IFERROR(IF(F631="","",F631-Variables!$B$13),""))</f>
        <v>45397</v>
      </c>
      <c r="AA631" s="11">
        <f>IF($H631="Cancelled","",IFERROR(IF(W631="","",(AVERAGE(E631:F631)-W631)-Variables!$B$14),""))</f>
        <v>-3.5</v>
      </c>
      <c r="AB631" s="10">
        <v>45401</v>
      </c>
      <c r="AC631" s="11">
        <f>IF($H631="Cancelled","",IFERROR(IF(AB631="","",IF(AND(W631="",Y631=""),"",IF(Y631&gt;W631,Y631+Variables!$B$15+Variables!$B$16+Variables!$B$17-AB631,W631+Variables!$B$16+Variables!$B$17-AB631))),""))</f>
        <v>-5</v>
      </c>
      <c r="AD631" s="9"/>
      <c r="AE631" s="9" t="s">
        <v>209</v>
      </c>
      <c r="AF631" s="10"/>
      <c r="AG631" s="10"/>
      <c r="AH631" s="9"/>
      <c r="AI631" s="9" t="s">
        <v>1523</v>
      </c>
      <c r="AJ631" s="9">
        <v>2856486102</v>
      </c>
      <c r="AK631" s="10">
        <v>45411</v>
      </c>
      <c r="AL631" s="10">
        <v>45415</v>
      </c>
      <c r="AM631" s="10"/>
      <c r="AN631" s="9" t="s">
        <v>1492</v>
      </c>
      <c r="AO631" s="9"/>
      <c r="AP631" s="11">
        <f>IF($H631="Cancelled","",IFERROR(IF(OR(AK631="",AB631=""),"",(AB631+Variables!$B$18-AK631)),""))</f>
        <v>-3</v>
      </c>
      <c r="AQ631" s="11" t="str">
        <f>IF($H631="Cancelled","",IFERROR(IF(OR(AM631="",AK631=""),"",(AK631+Variables!$B$19)-AM631),""))</f>
        <v/>
      </c>
      <c r="AR631" s="12" t="str">
        <f>IF($H631="Cancelled","",IFERROR(T631*INDEX(Variables!$B$7:$D$7,IFERROR(MATCH(IF($B631="Robusta","Robusta",(IF($B631="","Arabica",$B631))&amp;" - "&amp;(IF($C631="","Commercial",$C631))),Variables!$B$1:$D$1,0),1))*(AQ631/365),""))</f>
        <v/>
      </c>
      <c r="AS631" s="12">
        <f>IF($H631="Cancelled","",IFERROR((T631*INDEX(Variables!$B$7:$D$7,IFERROR(MATCH(IF($B631="Robusta","Robusta",(IF($B631="","Arabica",$B631))&amp;" - "&amp;(IF($C631="","Commercial",$C631))),Variables!$B$1:$D$1,0),1))*IFERROR(IF(W631="","",(AVERAGE(E631:F631)-W631)-Variables!$B$14),"")/365)+(L631/16.67*INDEX(Variables!$B$8:$D$8,IFERROR(MATCH(IF($B631="Robusta","Robusta",(IF($B631="","Arabica",$B631))&amp;" - "&amp;(IF($C631="","Commercial",$C631))),Variables!$B$1:$D$1,0),1))*IFERROR(IF(W631="","",(AVERAGE(E631:F631)-W631)-Variables!$B$14),""))+(T631*INDEX(Variables!$B$9:$D$9,IFERROR(MATCH(IF($B631="Robusta","Robusta",(IF($B631="","Arabica",$B631))&amp;" - "&amp;(IF($C631="","Commercial",$C631))),Variables!$B$1:$D$1,0),1))*IFERROR(IF(W631="","",(AVERAGE(E631:F631)-W631)-Variables!$B$14),"")/365),""))</f>
        <v>-8.3172665571319495</v>
      </c>
      <c r="AT631" s="12">
        <f>IF($H631="Cancelled","",IFERROR((T631*INDEX(Variables!$B$7:$D$7,IFERROR(MATCH(IF($B631="Robusta","Robusta",(IF($B631="","Arabica",$B631))&amp;" - "&amp;(IF($C631="","Commercial",$C631))),Variables!$B$1:$D$1,0),1))*AC631/365)+(L631/16.67*INDEX(Variables!$B$8:$D$8,IFERROR(MATCH(IF($B631="Robusta","Robusta",(IF($B631="","Arabica",$B631))&amp;" - "&amp;(IF($C631="","Commercial",$C631))),Variables!$B$1:$D$1,0),1))*AC631)+(T631*INDEX(Variables!$B$9:$D$9,IFERROR(MATCH(IF($B631="Robusta","Robusta",(IF($B631="","Arabica",$B631))&amp;" - "&amp;(IF($C631="","Commercial",$C631))),Variables!$B$1:$D$1,0),1))*AC631/365),""))</f>
        <v>-11.881809367331355</v>
      </c>
      <c r="AU631" s="12">
        <f>IF($H631="Cancelled","",IFERROR((T631*INDEX(Variables!$B$7:$D$7,IFERROR(MATCH(IF($B631="Robusta","Robusta",(IF($B631="","Arabica",$B631))&amp;" - "&amp;(IF($C631="","Commercial",$C631))),Variables!$B$1:$D$1,0),1))*AP631/365)+(L631/16.67*INDEX(Variables!$B$8:$D$8,IFERROR(MATCH(IF($B631="Robusta","Robusta",(IF($B631="","Arabica",$B631))&amp;" - "&amp;(IF($C631="","Commercial",$C631))),Variables!$B$1:$D$1,0),1))*AP631)+(T631*INDEX(Variables!$B$9:$D$9,IFERROR(MATCH(IF($B631="Robusta","Robusta",(IF($B631="","Arabica",$B631))&amp;" - "&amp;(IF($C631="","Commercial",$C631))),Variables!$B$1:$D$1,0),1))*AP631/365),""))</f>
        <v>-7.1290856203988131</v>
      </c>
      <c r="AV631" s="11">
        <f t="shared" si="65"/>
        <v>1</v>
      </c>
      <c r="AW631" s="12">
        <f>IF($H631="Cancelled","",IFERROR(IF(AV631="","",(T631*INDEX(Variables!$B$7:$D$7,IFERROR(MATCH(IF($B631="Robusta","Robusta",(IF($B631="","Arabica",$B631))&amp;" - "&amp;(IF($C631="","Commercial",$C631))),Variables!$B$1:$D$1,0),1))*(AV631/365))+(T631*INDEX(Variables!$B$9:$D$9,IFERROR(MATCH(IF($B631="Robusta","Robusta",(IF($B631="","Arabica",$B631))&amp;" - "&amp;(IF($C631="","Commercial",$C631))),Variables!$B$1:$D$1,0),1))*(AV631/365))+(INDEX(Variables!$B$8:$D$8,IFERROR(MATCH(IF($B631="Robusta","Robusta",(IF($B631="","Arabica",$B631))&amp;" - "&amp;(IF($C631="","Commercial",$C631))),Variables!$B$1:$D$1,0),1))*L631/16.67)),""))</f>
        <v>2.376361873466271</v>
      </c>
      <c r="AX631" s="9"/>
      <c r="AY631" s="12"/>
      <c r="AZ631" s="10"/>
      <c r="BA631" s="9"/>
      <c r="BB631" s="10"/>
      <c r="BC631" s="9"/>
      <c r="BD631" s="9"/>
      <c r="BE631" s="9"/>
      <c r="BF631" s="9"/>
    </row>
    <row r="632" spans="1:58" x14ac:dyDescent="0.25">
      <c r="A632" s="9" t="s">
        <v>84</v>
      </c>
      <c r="B632" s="9" t="s">
        <v>85</v>
      </c>
      <c r="C632" s="9" t="s">
        <v>1486</v>
      </c>
      <c r="D632" s="10">
        <v>45351</v>
      </c>
      <c r="E632" s="10">
        <v>45383</v>
      </c>
      <c r="F632" s="10">
        <v>45412</v>
      </c>
      <c r="G632" s="9">
        <v>3786153</v>
      </c>
      <c r="H632" s="9" t="str">
        <f t="shared" si="63"/>
        <v>Open</v>
      </c>
      <c r="I632" s="9" t="str">
        <f t="shared" si="64"/>
        <v>No docs dispatch date</v>
      </c>
      <c r="J632" s="9" t="s">
        <v>1487</v>
      </c>
      <c r="K632" s="9">
        <v>4756</v>
      </c>
      <c r="L632" s="11">
        <v>11</v>
      </c>
      <c r="M632" s="9" t="s">
        <v>1531</v>
      </c>
      <c r="N632" s="9"/>
      <c r="O632" s="9"/>
      <c r="P632" s="9"/>
      <c r="Q632" s="11"/>
      <c r="R632" s="9" t="s">
        <v>195</v>
      </c>
      <c r="S632" s="9" t="s">
        <v>578</v>
      </c>
      <c r="T632" s="12">
        <f>IF($H632="Cancelled","",IFERROR(((Q632+INDEX(Variables!$B$6:$D$6,IFERROR(MATCH(IF($B632="Robusta","Robusta",(IF($B632="","Arabica",$B632))&amp;" - "&amp;(IF($C632="","Commercial",$C632))),Variables!$B$1:$D$1,0),1)))*22.0462)*(L632/16.67),""))</f>
        <v>4230.4369862027588</v>
      </c>
      <c r="U632" s="10"/>
      <c r="V632" s="9" t="str">
        <f t="shared" si="66"/>
        <v/>
      </c>
      <c r="W632" s="10">
        <v>45371</v>
      </c>
      <c r="X632" s="9" t="str">
        <f t="shared" si="67"/>
        <v>Approved</v>
      </c>
      <c r="Y632" s="10">
        <v>45381</v>
      </c>
      <c r="Z632" s="10">
        <f>IF($H632="Cancelled","",IFERROR(IF(F632="","",F632-Variables!$B$13),""))</f>
        <v>45397</v>
      </c>
      <c r="AA632" s="11">
        <f>IF($H632="Cancelled","",IFERROR(IF(W632="","",(AVERAGE(E632:F632)-W632)-Variables!$B$14),""))</f>
        <v>-3.5</v>
      </c>
      <c r="AB632" s="10">
        <v>45401</v>
      </c>
      <c r="AC632" s="11">
        <f>IF($H632="Cancelled","",IFERROR(IF(AB632="","",IF(AND(W632="",Y632=""),"",IF(Y632&gt;W632,Y632+Variables!$B$15+Variables!$B$16+Variables!$B$17-AB632,W632+Variables!$B$16+Variables!$B$17-AB632))),""))</f>
        <v>-5</v>
      </c>
      <c r="AD632" s="9"/>
      <c r="AE632" s="9" t="s">
        <v>209</v>
      </c>
      <c r="AF632" s="10"/>
      <c r="AG632" s="10"/>
      <c r="AH632" s="9"/>
      <c r="AI632" s="9" t="s">
        <v>1523</v>
      </c>
      <c r="AJ632" s="9">
        <v>2856486102</v>
      </c>
      <c r="AK632" s="10">
        <v>45411</v>
      </c>
      <c r="AL632" s="10">
        <v>45415</v>
      </c>
      <c r="AM632" s="10"/>
      <c r="AN632" s="9" t="s">
        <v>1492</v>
      </c>
      <c r="AO632" s="9"/>
      <c r="AP632" s="11">
        <f>IF($H632="Cancelled","",IFERROR(IF(OR(AK632="",AB632=""),"",(AB632+Variables!$B$18-AK632)),""))</f>
        <v>-3</v>
      </c>
      <c r="AQ632" s="11" t="str">
        <f>IF($H632="Cancelled","",IFERROR(IF(OR(AM632="",AK632=""),"",(AK632+Variables!$B$19)-AM632),""))</f>
        <v/>
      </c>
      <c r="AR632" s="12" t="str">
        <f>IF($H632="Cancelled","",IFERROR(T632*INDEX(Variables!$B$7:$D$7,IFERROR(MATCH(IF($B632="Robusta","Robusta",(IF($B632="","Arabica",$B632))&amp;" - "&amp;(IF($C632="","Commercial",$C632))),Variables!$B$1:$D$1,0),1))*(AQ632/365),""))</f>
        <v/>
      </c>
      <c r="AS632" s="12">
        <f>IF($H632="Cancelled","",IFERROR((T632*INDEX(Variables!$B$7:$D$7,IFERROR(MATCH(IF($B632="Robusta","Robusta",(IF($B632="","Arabica",$B632))&amp;" - "&amp;(IF($C632="","Commercial",$C632))),Variables!$B$1:$D$1,0),1))*IFERROR(IF(W632="","",(AVERAGE(E632:F632)-W632)-Variables!$B$14),"")/365)+(L632/16.67*INDEX(Variables!$B$8:$D$8,IFERROR(MATCH(IF($B632="Robusta","Robusta",(IF($B632="","Arabica",$B632))&amp;" - "&amp;(IF($C632="","Commercial",$C632))),Variables!$B$1:$D$1,0),1))*IFERROR(IF(W632="","",(AVERAGE(E632:F632)-W632)-Variables!$B$14),""))+(T632*INDEX(Variables!$B$9:$D$9,IFERROR(MATCH(IF($B632="Robusta","Robusta",(IF($B632="","Arabica",$B632))&amp;" - "&amp;(IF($C632="","Commercial",$C632))),Variables!$B$1:$D$1,0),1))*IFERROR(IF(W632="","",(AVERAGE(E632:F632)-W632)-Variables!$B$14),"")/365),""))</f>
        <v>-4.5744966064225725</v>
      </c>
      <c r="AT632" s="12">
        <f>IF($H632="Cancelled","",IFERROR((T632*INDEX(Variables!$B$7:$D$7,IFERROR(MATCH(IF($B632="Robusta","Robusta",(IF($B632="","Arabica",$B632))&amp;" - "&amp;(IF($C632="","Commercial",$C632))),Variables!$B$1:$D$1,0),1))*AC632/365)+(L632/16.67*INDEX(Variables!$B$8:$D$8,IFERROR(MATCH(IF($B632="Robusta","Robusta",(IF($B632="","Arabica",$B632))&amp;" - "&amp;(IF($C632="","Commercial",$C632))),Variables!$B$1:$D$1,0),1))*AC632)+(T632*INDEX(Variables!$B$9:$D$9,IFERROR(MATCH(IF($B632="Robusta","Robusta",(IF($B632="","Arabica",$B632))&amp;" - "&amp;(IF($C632="","Commercial",$C632))),Variables!$B$1:$D$1,0),1))*AC632/365),""))</f>
        <v>-6.5349951520322458</v>
      </c>
      <c r="AU632" s="12">
        <f>IF($H632="Cancelled","",IFERROR((T632*INDEX(Variables!$B$7:$D$7,IFERROR(MATCH(IF($B632="Robusta","Robusta",(IF($B632="","Arabica",$B632))&amp;" - "&amp;(IF($C632="","Commercial",$C632))),Variables!$B$1:$D$1,0),1))*AP632/365)+(L632/16.67*INDEX(Variables!$B$8:$D$8,IFERROR(MATCH(IF($B632="Robusta","Robusta",(IF($B632="","Arabica",$B632))&amp;" - "&amp;(IF($C632="","Commercial",$C632))),Variables!$B$1:$D$1,0),1))*AP632)+(T632*INDEX(Variables!$B$9:$D$9,IFERROR(MATCH(IF($B632="Robusta","Robusta",(IF($B632="","Arabica",$B632))&amp;" - "&amp;(IF($C632="","Commercial",$C632))),Variables!$B$1:$D$1,0),1))*AP632/365),""))</f>
        <v>-3.9209970912193475</v>
      </c>
      <c r="AV632" s="11">
        <f t="shared" si="65"/>
        <v>1</v>
      </c>
      <c r="AW632" s="12">
        <f>IF($H632="Cancelled","",IFERROR(IF(AV632="","",(T632*INDEX(Variables!$B$7:$D$7,IFERROR(MATCH(IF($B632="Robusta","Robusta",(IF($B632="","Arabica",$B632))&amp;" - "&amp;(IF($C632="","Commercial",$C632))),Variables!$B$1:$D$1,0),1))*(AV632/365))+(T632*INDEX(Variables!$B$9:$D$9,IFERROR(MATCH(IF($B632="Robusta","Robusta",(IF($B632="","Arabica",$B632))&amp;" - "&amp;(IF($C632="","Commercial",$C632))),Variables!$B$1:$D$1,0),1))*(AV632/365))+(INDEX(Variables!$B$8:$D$8,IFERROR(MATCH(IF($B632="Robusta","Robusta",(IF($B632="","Arabica",$B632))&amp;" - "&amp;(IF($C632="","Commercial",$C632))),Variables!$B$1:$D$1,0),1))*L632/16.67)),""))</f>
        <v>1.3069990304064492</v>
      </c>
      <c r="AX632" s="9"/>
      <c r="AY632" s="12"/>
      <c r="AZ632" s="10"/>
      <c r="BA632" s="9"/>
      <c r="BB632" s="10"/>
      <c r="BC632" s="9"/>
      <c r="BD632" s="9"/>
      <c r="BE632" s="9"/>
      <c r="BF632" s="9"/>
    </row>
    <row r="633" spans="1:58" x14ac:dyDescent="0.25">
      <c r="A633" s="9" t="s">
        <v>84</v>
      </c>
      <c r="B633" s="9" t="s">
        <v>85</v>
      </c>
      <c r="C633" s="9" t="s">
        <v>1486</v>
      </c>
      <c r="D633" s="10">
        <v>45351</v>
      </c>
      <c r="E633" s="10">
        <v>45383</v>
      </c>
      <c r="F633" s="10">
        <v>45412</v>
      </c>
      <c r="G633" s="9">
        <v>3786146</v>
      </c>
      <c r="H633" s="9" t="str">
        <f t="shared" si="63"/>
        <v>Open</v>
      </c>
      <c r="I633" s="9" t="str">
        <f t="shared" si="64"/>
        <v>No sailing date and No shipping advice sent and No docs dispatch date</v>
      </c>
      <c r="J633" s="9" t="s">
        <v>1487</v>
      </c>
      <c r="K633" s="9">
        <v>4749</v>
      </c>
      <c r="L633" s="11">
        <v>10</v>
      </c>
      <c r="M633" s="9" t="s">
        <v>1532</v>
      </c>
      <c r="N633" s="9"/>
      <c r="O633" s="9"/>
      <c r="P633" s="9"/>
      <c r="Q633" s="11"/>
      <c r="R633" s="9" t="s">
        <v>195</v>
      </c>
      <c r="S633" s="9" t="s">
        <v>578</v>
      </c>
      <c r="T633" s="12">
        <f>IF($H633="Cancelled","",IFERROR(((Q633+INDEX(Variables!$B$6:$D$6,IFERROR(MATCH(IF($B633="Robusta","Robusta",(IF($B633="","Arabica",$B633))&amp;" - "&amp;(IF($C633="","Commercial",$C633))),Variables!$B$1:$D$1,0),1)))*22.0462)*(L633/16.67),""))</f>
        <v>3845.8518056388721</v>
      </c>
      <c r="U633" s="10"/>
      <c r="V633" s="9" t="str">
        <f t="shared" si="66"/>
        <v/>
      </c>
      <c r="W633" s="10"/>
      <c r="X633" s="9" t="str">
        <f t="shared" si="67"/>
        <v/>
      </c>
      <c r="Y633" s="10"/>
      <c r="Z633" s="10">
        <f>IF($H633="Cancelled","",IFERROR(IF(F633="","",F633-Variables!$B$13),""))</f>
        <v>45397</v>
      </c>
      <c r="AA633" s="11" t="str">
        <f>IF($H633="Cancelled","",IFERROR(IF(W633="","",(AVERAGE(E633:F633)-W633)-Variables!$B$14),""))</f>
        <v/>
      </c>
      <c r="AB633" s="10"/>
      <c r="AC633" s="11" t="str">
        <f>IF($H633="Cancelled","",IFERROR(IF(AB633="","",IF(AND(W633="",Y633=""),"",IF(Y633&gt;W633,Y633+Variables!$B$15+Variables!$B$16+Variables!$B$17-AB633,W633+Variables!$B$16+Variables!$B$17-AB633))),""))</f>
        <v/>
      </c>
      <c r="AD633" s="9"/>
      <c r="AE633" s="9"/>
      <c r="AF633" s="10"/>
      <c r="AG633" s="10"/>
      <c r="AH633" s="9"/>
      <c r="AI633" s="9"/>
      <c r="AJ633" s="9"/>
      <c r="AK633" s="10"/>
      <c r="AL633" s="10"/>
      <c r="AM633" s="10"/>
      <c r="AN633" s="9" t="s">
        <v>1533</v>
      </c>
      <c r="AO633" s="9"/>
      <c r="AP633" s="11" t="str">
        <f>IF($H633="Cancelled","",IFERROR(IF(OR(AK633="",AB633=""),"",(AB633+Variables!$B$18-AK633)),""))</f>
        <v/>
      </c>
      <c r="AQ633" s="11" t="str">
        <f>IF($H633="Cancelled","",IFERROR(IF(OR(AM633="",AK633=""),"",(AK633+Variables!$B$19)-AM633),""))</f>
        <v/>
      </c>
      <c r="AR633" s="12" t="str">
        <f>IF($H633="Cancelled","",IFERROR(T633*INDEX(Variables!$B$7:$D$7,IFERROR(MATCH(IF($B633="Robusta","Robusta",(IF($B633="","Arabica",$B633))&amp;" - "&amp;(IF($C633="","Commercial",$C633))),Variables!$B$1:$D$1,0),1))*(AQ633/365),""))</f>
        <v/>
      </c>
      <c r="AS633" s="12" t="str">
        <f>IF($H633="Cancelled","",IFERROR((T633*INDEX(Variables!$B$7:$D$7,IFERROR(MATCH(IF($B633="Robusta","Robusta",(IF($B633="","Arabica",$B633))&amp;" - "&amp;(IF($C633="","Commercial",$C633))),Variables!$B$1:$D$1,0),1))*IFERROR(IF(W633="","",(AVERAGE(E633:F633)-W633)-Variables!$B$14),"")/365)+(L633/16.67*INDEX(Variables!$B$8:$D$8,IFERROR(MATCH(IF($B633="Robusta","Robusta",(IF($B633="","Arabica",$B633))&amp;" - "&amp;(IF($C633="","Commercial",$C633))),Variables!$B$1:$D$1,0),1))*IFERROR(IF(W633="","",(AVERAGE(E633:F633)-W633)-Variables!$B$14),""))+(T633*INDEX(Variables!$B$9:$D$9,IFERROR(MATCH(IF($B633="Robusta","Robusta",(IF($B633="","Arabica",$B633))&amp;" - "&amp;(IF($C633="","Commercial",$C633))),Variables!$B$1:$D$1,0),1))*IFERROR(IF(W633="","",(AVERAGE(E633:F633)-W633)-Variables!$B$14),"")/365),""))</f>
        <v/>
      </c>
      <c r="AT633" s="12" t="str">
        <f>IF($H633="Cancelled","",IFERROR((T633*INDEX(Variables!$B$7:$D$7,IFERROR(MATCH(IF($B633="Robusta","Robusta",(IF($B633="","Arabica",$B633))&amp;" - "&amp;(IF($C633="","Commercial",$C633))),Variables!$B$1:$D$1,0),1))*AC633/365)+(L633/16.67*INDEX(Variables!$B$8:$D$8,IFERROR(MATCH(IF($B633="Robusta","Robusta",(IF($B633="","Arabica",$B633))&amp;" - "&amp;(IF($C633="","Commercial",$C633))),Variables!$B$1:$D$1,0),1))*AC633)+(T633*INDEX(Variables!$B$9:$D$9,IFERROR(MATCH(IF($B633="Robusta","Robusta",(IF($B633="","Arabica",$B633))&amp;" - "&amp;(IF($C633="","Commercial",$C633))),Variables!$B$1:$D$1,0),1))*AC633/365),""))</f>
        <v/>
      </c>
      <c r="AU633" s="12" t="str">
        <f>IF($H633="Cancelled","",IFERROR((T633*INDEX(Variables!$B$7:$D$7,IFERROR(MATCH(IF($B633="Robusta","Robusta",(IF($B633="","Arabica",$B633))&amp;" - "&amp;(IF($C633="","Commercial",$C633))),Variables!$B$1:$D$1,0),1))*AP633/365)+(L633/16.67*INDEX(Variables!$B$8:$D$8,IFERROR(MATCH(IF($B633="Robusta","Robusta",(IF($B633="","Arabica",$B633))&amp;" - "&amp;(IF($C633="","Commercial",$C633))),Variables!$B$1:$D$1,0),1))*AP633)+(T633*INDEX(Variables!$B$9:$D$9,IFERROR(MATCH(IF($B633="Robusta","Robusta",(IF($B633="","Arabica",$B633))&amp;" - "&amp;(IF($C633="","Commercial",$C633))),Variables!$B$1:$D$1,0),1))*AP633/365),""))</f>
        <v/>
      </c>
      <c r="AV633" s="11" t="str">
        <f t="shared" si="65"/>
        <v/>
      </c>
      <c r="AW633" s="12" t="str">
        <f>IF($H633="Cancelled","",IFERROR(IF(AV633="","",(T633*INDEX(Variables!$B$7:$D$7,IFERROR(MATCH(IF($B633="Robusta","Robusta",(IF($B633="","Arabica",$B633))&amp;" - "&amp;(IF($C633="","Commercial",$C633))),Variables!$B$1:$D$1,0),1))*(AV633/365))+(T633*INDEX(Variables!$B$9:$D$9,IFERROR(MATCH(IF($B633="Robusta","Robusta",(IF($B633="","Arabica",$B633))&amp;" - "&amp;(IF($C633="","Commercial",$C633))),Variables!$B$1:$D$1,0),1))*(AV633/365))+(INDEX(Variables!$B$8:$D$8,IFERROR(MATCH(IF($B633="Robusta","Robusta",(IF($B633="","Arabica",$B633))&amp;" - "&amp;(IF($C633="","Commercial",$C633))),Variables!$B$1:$D$1,0),1))*L633/16.67)),""))</f>
        <v/>
      </c>
      <c r="AX633" s="9"/>
      <c r="AY633" s="12"/>
      <c r="AZ633" s="10"/>
      <c r="BA633" s="9"/>
      <c r="BB633" s="10"/>
      <c r="BC633" s="9"/>
      <c r="BD633" s="9"/>
      <c r="BE633" s="9"/>
      <c r="BF633" s="9"/>
    </row>
    <row r="634" spans="1:58" x14ac:dyDescent="0.25">
      <c r="A634" s="9" t="s">
        <v>84</v>
      </c>
      <c r="B634" s="9" t="s">
        <v>85</v>
      </c>
      <c r="C634" s="9" t="s">
        <v>1486</v>
      </c>
      <c r="D634" s="10">
        <v>45351</v>
      </c>
      <c r="E634" s="10">
        <v>45383</v>
      </c>
      <c r="F634" s="10">
        <v>45412</v>
      </c>
      <c r="G634" s="9">
        <v>3786147</v>
      </c>
      <c r="H634" s="9" t="str">
        <f t="shared" si="63"/>
        <v>Open</v>
      </c>
      <c r="I634" s="9" t="str">
        <f t="shared" si="64"/>
        <v>No sailing date and No shipping advice sent and No docs dispatch date</v>
      </c>
      <c r="J634" s="9" t="s">
        <v>1487</v>
      </c>
      <c r="K634" s="9">
        <v>4750</v>
      </c>
      <c r="L634" s="11">
        <v>8</v>
      </c>
      <c r="M634" s="9" t="s">
        <v>1534</v>
      </c>
      <c r="N634" s="9"/>
      <c r="O634" s="9"/>
      <c r="P634" s="9"/>
      <c r="Q634" s="11"/>
      <c r="R634" s="9" t="s">
        <v>195</v>
      </c>
      <c r="S634" s="9" t="s">
        <v>578</v>
      </c>
      <c r="T634" s="12">
        <f>IF($H634="Cancelled","",IFERROR(((Q634+INDEX(Variables!$B$6:$D$6,IFERROR(MATCH(IF($B634="Robusta","Robusta",(IF($B634="","Arabica",$B634))&amp;" - "&amp;(IF($C634="","Commercial",$C634))),Variables!$B$1:$D$1,0),1)))*22.0462)*(L634/16.67),""))</f>
        <v>3076.6814445110972</v>
      </c>
      <c r="U634" s="10"/>
      <c r="V634" s="9" t="str">
        <f t="shared" si="66"/>
        <v/>
      </c>
      <c r="W634" s="10"/>
      <c r="X634" s="9" t="str">
        <f t="shared" si="67"/>
        <v/>
      </c>
      <c r="Y634" s="10"/>
      <c r="Z634" s="10">
        <f>IF($H634="Cancelled","",IFERROR(IF(F634="","",F634-Variables!$B$13),""))</f>
        <v>45397</v>
      </c>
      <c r="AA634" s="11" t="str">
        <f>IF($H634="Cancelled","",IFERROR(IF(W634="","",(AVERAGE(E634:F634)-W634)-Variables!$B$14),""))</f>
        <v/>
      </c>
      <c r="AB634" s="10"/>
      <c r="AC634" s="11" t="str">
        <f>IF($H634="Cancelled","",IFERROR(IF(AB634="","",IF(AND(W634="",Y634=""),"",IF(Y634&gt;W634,Y634+Variables!$B$15+Variables!$B$16+Variables!$B$17-AB634,W634+Variables!$B$16+Variables!$B$17-AB634))),""))</f>
        <v/>
      </c>
      <c r="AD634" s="9"/>
      <c r="AE634" s="9"/>
      <c r="AF634" s="10"/>
      <c r="AG634" s="10"/>
      <c r="AH634" s="9"/>
      <c r="AI634" s="9"/>
      <c r="AJ634" s="9"/>
      <c r="AK634" s="10"/>
      <c r="AL634" s="10"/>
      <c r="AM634" s="10"/>
      <c r="AN634" s="9" t="s">
        <v>1533</v>
      </c>
      <c r="AO634" s="9"/>
      <c r="AP634" s="11" t="str">
        <f>IF($H634="Cancelled","",IFERROR(IF(OR(AK634="",AB634=""),"",(AB634+Variables!$B$18-AK634)),""))</f>
        <v/>
      </c>
      <c r="AQ634" s="11" t="str">
        <f>IF($H634="Cancelled","",IFERROR(IF(OR(AM634="",AK634=""),"",(AK634+Variables!$B$19)-AM634),""))</f>
        <v/>
      </c>
      <c r="AR634" s="12" t="str">
        <f>IF($H634="Cancelled","",IFERROR(T634*INDEX(Variables!$B$7:$D$7,IFERROR(MATCH(IF($B634="Robusta","Robusta",(IF($B634="","Arabica",$B634))&amp;" - "&amp;(IF($C634="","Commercial",$C634))),Variables!$B$1:$D$1,0),1))*(AQ634/365),""))</f>
        <v/>
      </c>
      <c r="AS634" s="12" t="str">
        <f>IF($H634="Cancelled","",IFERROR((T634*INDEX(Variables!$B$7:$D$7,IFERROR(MATCH(IF($B634="Robusta","Robusta",(IF($B634="","Arabica",$B634))&amp;" - "&amp;(IF($C634="","Commercial",$C634))),Variables!$B$1:$D$1,0),1))*IFERROR(IF(W634="","",(AVERAGE(E634:F634)-W634)-Variables!$B$14),"")/365)+(L634/16.67*INDEX(Variables!$B$8:$D$8,IFERROR(MATCH(IF($B634="Robusta","Robusta",(IF($B634="","Arabica",$B634))&amp;" - "&amp;(IF($C634="","Commercial",$C634))),Variables!$B$1:$D$1,0),1))*IFERROR(IF(W634="","",(AVERAGE(E634:F634)-W634)-Variables!$B$14),""))+(T634*INDEX(Variables!$B$9:$D$9,IFERROR(MATCH(IF($B634="Robusta","Robusta",(IF($B634="","Arabica",$B634))&amp;" - "&amp;(IF($C634="","Commercial",$C634))),Variables!$B$1:$D$1,0),1))*IFERROR(IF(W634="","",(AVERAGE(E634:F634)-W634)-Variables!$B$14),"")/365),""))</f>
        <v/>
      </c>
      <c r="AT634" s="12" t="str">
        <f>IF($H634="Cancelled","",IFERROR((T634*INDEX(Variables!$B$7:$D$7,IFERROR(MATCH(IF($B634="Robusta","Robusta",(IF($B634="","Arabica",$B634))&amp;" - "&amp;(IF($C634="","Commercial",$C634))),Variables!$B$1:$D$1,0),1))*AC634/365)+(L634/16.67*INDEX(Variables!$B$8:$D$8,IFERROR(MATCH(IF($B634="Robusta","Robusta",(IF($B634="","Arabica",$B634))&amp;" - "&amp;(IF($C634="","Commercial",$C634))),Variables!$B$1:$D$1,0),1))*AC634)+(T634*INDEX(Variables!$B$9:$D$9,IFERROR(MATCH(IF($B634="Robusta","Robusta",(IF($B634="","Arabica",$B634))&amp;" - "&amp;(IF($C634="","Commercial",$C634))),Variables!$B$1:$D$1,0),1))*AC634/365),""))</f>
        <v/>
      </c>
      <c r="AU634" s="12" t="str">
        <f>IF($H634="Cancelled","",IFERROR((T634*INDEX(Variables!$B$7:$D$7,IFERROR(MATCH(IF($B634="Robusta","Robusta",(IF($B634="","Arabica",$B634))&amp;" - "&amp;(IF($C634="","Commercial",$C634))),Variables!$B$1:$D$1,0),1))*AP634/365)+(L634/16.67*INDEX(Variables!$B$8:$D$8,IFERROR(MATCH(IF($B634="Robusta","Robusta",(IF($B634="","Arabica",$B634))&amp;" - "&amp;(IF($C634="","Commercial",$C634))),Variables!$B$1:$D$1,0),1))*AP634)+(T634*INDEX(Variables!$B$9:$D$9,IFERROR(MATCH(IF($B634="Robusta","Robusta",(IF($B634="","Arabica",$B634))&amp;" - "&amp;(IF($C634="","Commercial",$C634))),Variables!$B$1:$D$1,0),1))*AP634/365),""))</f>
        <v/>
      </c>
      <c r="AV634" s="11" t="str">
        <f t="shared" si="65"/>
        <v/>
      </c>
      <c r="AW634" s="12" t="str">
        <f>IF($H634="Cancelled","",IFERROR(IF(AV634="","",(T634*INDEX(Variables!$B$7:$D$7,IFERROR(MATCH(IF($B634="Robusta","Robusta",(IF($B634="","Arabica",$B634))&amp;" - "&amp;(IF($C634="","Commercial",$C634))),Variables!$B$1:$D$1,0),1))*(AV634/365))+(T634*INDEX(Variables!$B$9:$D$9,IFERROR(MATCH(IF($B634="Robusta","Robusta",(IF($B634="","Arabica",$B634))&amp;" - "&amp;(IF($C634="","Commercial",$C634))),Variables!$B$1:$D$1,0),1))*(AV634/365))+(INDEX(Variables!$B$8:$D$8,IFERROR(MATCH(IF($B634="Robusta","Robusta",(IF($B634="","Arabica",$B634))&amp;" - "&amp;(IF($C634="","Commercial",$C634))),Variables!$B$1:$D$1,0),1))*L634/16.67)),""))</f>
        <v/>
      </c>
      <c r="AX634" s="9"/>
      <c r="AY634" s="12"/>
      <c r="AZ634" s="10"/>
      <c r="BA634" s="9"/>
      <c r="BB634" s="10"/>
      <c r="BC634" s="9"/>
      <c r="BD634" s="9"/>
      <c r="BE634" s="9"/>
      <c r="BF634" s="9"/>
    </row>
    <row r="635" spans="1:58" x14ac:dyDescent="0.25">
      <c r="A635" s="9" t="s">
        <v>84</v>
      </c>
      <c r="B635" s="9" t="s">
        <v>85</v>
      </c>
      <c r="C635" s="9" t="s">
        <v>1486</v>
      </c>
      <c r="D635" s="10">
        <v>45352</v>
      </c>
      <c r="E635" s="10">
        <v>45383</v>
      </c>
      <c r="F635" s="10">
        <v>45412</v>
      </c>
      <c r="G635" s="9">
        <v>3786156</v>
      </c>
      <c r="H635" s="9" t="str">
        <f t="shared" si="63"/>
        <v>Closed</v>
      </c>
      <c r="I635" s="9" t="str">
        <f t="shared" si="64"/>
        <v>All dates received</v>
      </c>
      <c r="J635" s="9" t="s">
        <v>235</v>
      </c>
      <c r="K635" s="9">
        <v>4796</v>
      </c>
      <c r="L635" s="11">
        <v>30</v>
      </c>
      <c r="M635" s="9" t="s">
        <v>1535</v>
      </c>
      <c r="N635" s="9"/>
      <c r="O635" s="9"/>
      <c r="P635" s="9"/>
      <c r="Q635" s="11"/>
      <c r="R635" s="9" t="s">
        <v>195</v>
      </c>
      <c r="S635" s="9" t="s">
        <v>1536</v>
      </c>
      <c r="T635" s="12">
        <f>IF($H635="Cancelled","",IFERROR(((Q635+INDEX(Variables!$B$6:$D$6,IFERROR(MATCH(IF($B635="Robusta","Robusta",(IF($B635="","Arabica",$B635))&amp;" - "&amp;(IF($C635="","Commercial",$C635))),Variables!$B$1:$D$1,0),1)))*22.0462)*(L635/16.67),""))</f>
        <v>11537.555416916615</v>
      </c>
      <c r="U635" s="10"/>
      <c r="V635" s="9" t="str">
        <f t="shared" si="66"/>
        <v/>
      </c>
      <c r="W635" s="10">
        <v>45371</v>
      </c>
      <c r="X635" s="9" t="str">
        <f t="shared" si="67"/>
        <v>Approved</v>
      </c>
      <c r="Y635" s="10">
        <v>45381</v>
      </c>
      <c r="Z635" s="10">
        <f>IF($H635="Cancelled","",IFERROR(IF(F635="","",F635-Variables!$B$13),""))</f>
        <v>45397</v>
      </c>
      <c r="AA635" s="11">
        <f>IF($H635="Cancelled","",IFERROR(IF(W635="","",(AVERAGE(E635:F635)-W635)-Variables!$B$14),""))</f>
        <v>-3.5</v>
      </c>
      <c r="AB635" s="10">
        <v>45401</v>
      </c>
      <c r="AC635" s="11">
        <f>IF($H635="Cancelled","",IFERROR(IF(AB635="","",IF(AND(W635="",Y635=""),"",IF(Y635&gt;W635,Y635+Variables!$B$15+Variables!$B$16+Variables!$B$17-AB635,W635+Variables!$B$16+Variables!$B$17-AB635))),""))</f>
        <v>-5</v>
      </c>
      <c r="AD635" s="9" t="s">
        <v>107</v>
      </c>
      <c r="AE635" s="9" t="s">
        <v>364</v>
      </c>
      <c r="AF635" s="10"/>
      <c r="AG635" s="10"/>
      <c r="AH635" s="9"/>
      <c r="AI635" s="9" t="s">
        <v>1537</v>
      </c>
      <c r="AJ635" s="9">
        <v>7144566365</v>
      </c>
      <c r="AK635" s="10">
        <v>45418</v>
      </c>
      <c r="AL635" s="10">
        <v>45421</v>
      </c>
      <c r="AM635" s="10">
        <v>45426</v>
      </c>
      <c r="AN635" s="9" t="s">
        <v>1492</v>
      </c>
      <c r="AO635" s="9"/>
      <c r="AP635" s="11">
        <f>IF($H635="Cancelled","",IFERROR(IF(OR(AK635="",AB635=""),"",(AB635+Variables!$B$18-AK635)),""))</f>
        <v>-10</v>
      </c>
      <c r="AQ635" s="11">
        <f>IF($H635="Cancelled","",IFERROR(IF(OR(AM635="",AK635=""),"",(AK635+Variables!$B$19)-AM635),""))</f>
        <v>-3</v>
      </c>
      <c r="AR635" s="12">
        <f>IF($H635="Cancelled","",IFERROR(T635*INDEX(Variables!$B$7:$D$7,IFERROR(MATCH(IF($B635="Robusta","Robusta",(IF($B635="","Arabica",$B635))&amp;" - "&amp;(IF($C635="","Commercial",$C635))),Variables!$B$1:$D$1,0),1))*(AQ635/365),""))</f>
        <v>-6.1147968978468539</v>
      </c>
      <c r="AS635" s="12">
        <f>IF($H635="Cancelled","",IFERROR((T635*INDEX(Variables!$B$7:$D$7,IFERROR(MATCH(IF($B635="Robusta","Robusta",(IF($B635="","Arabica",$B635))&amp;" - "&amp;(IF($C635="","Commercial",$C635))),Variables!$B$1:$D$1,0),1))*IFERROR(IF(W635="","",(AVERAGE(E635:F635)-W635)-Variables!$B$14),"")/365)+(L635/16.67*INDEX(Variables!$B$8:$D$8,IFERROR(MATCH(IF($B635="Robusta","Robusta",(IF($B635="","Arabica",$B635))&amp;" - "&amp;(IF($C635="","Commercial",$C635))),Variables!$B$1:$D$1,0),1))*IFERROR(IF(W635="","",(AVERAGE(E635:F635)-W635)-Variables!$B$14),""))+(T635*INDEX(Variables!$B$9:$D$9,IFERROR(MATCH(IF($B635="Robusta","Robusta",(IF($B635="","Arabica",$B635))&amp;" - "&amp;(IF($C635="","Commercial",$C635))),Variables!$B$1:$D$1,0),1))*IFERROR(IF(W635="","",(AVERAGE(E635:F635)-W635)-Variables!$B$14),"")/365),""))</f>
        <v>-12.475899835697923</v>
      </c>
      <c r="AT635" s="12">
        <f>IF($H635="Cancelled","",IFERROR((T635*INDEX(Variables!$B$7:$D$7,IFERROR(MATCH(IF($B635="Robusta","Robusta",(IF($B635="","Arabica",$B635))&amp;" - "&amp;(IF($C635="","Commercial",$C635))),Variables!$B$1:$D$1,0),1))*AC635/365)+(L635/16.67*INDEX(Variables!$B$8:$D$8,IFERROR(MATCH(IF($B635="Robusta","Robusta",(IF($B635="","Arabica",$B635))&amp;" - "&amp;(IF($C635="","Commercial",$C635))),Variables!$B$1:$D$1,0),1))*AC635)+(T635*INDEX(Variables!$B$9:$D$9,IFERROR(MATCH(IF($B635="Robusta","Robusta",(IF($B635="","Arabica",$B635))&amp;" - "&amp;(IF($C635="","Commercial",$C635))),Variables!$B$1:$D$1,0),1))*AC635/365),""))</f>
        <v>-17.822714050997032</v>
      </c>
      <c r="AU635" s="12">
        <f>IF($H635="Cancelled","",IFERROR((T635*INDEX(Variables!$B$7:$D$7,IFERROR(MATCH(IF($B635="Robusta","Robusta",(IF($B635="","Arabica",$B635))&amp;" - "&amp;(IF($C635="","Commercial",$C635))),Variables!$B$1:$D$1,0),1))*AP635/365)+(L635/16.67*INDEX(Variables!$B$8:$D$8,IFERROR(MATCH(IF($B635="Robusta","Robusta",(IF($B635="","Arabica",$B635))&amp;" - "&amp;(IF($C635="","Commercial",$C635))),Variables!$B$1:$D$1,0),1))*AP635)+(T635*INDEX(Variables!$B$9:$D$9,IFERROR(MATCH(IF($B635="Robusta","Robusta",(IF($B635="","Arabica",$B635))&amp;" - "&amp;(IF($C635="","Commercial",$C635))),Variables!$B$1:$D$1,0),1))*AP635/365),""))</f>
        <v>-35.645428101994064</v>
      </c>
      <c r="AV635" s="11">
        <f t="shared" si="65"/>
        <v>-6</v>
      </c>
      <c r="AW635" s="12">
        <f>IF($H635="Cancelled","",IFERROR(IF(AV635="","",(T635*INDEX(Variables!$B$7:$D$7,IFERROR(MATCH(IF($B635="Robusta","Robusta",(IF($B635="","Arabica",$B635))&amp;" - "&amp;(IF($C635="","Commercial",$C635))),Variables!$B$1:$D$1,0),1))*(AV635/365))+(T635*INDEX(Variables!$B$9:$D$9,IFERROR(MATCH(IF($B635="Robusta","Robusta",(IF($B635="","Arabica",$B635))&amp;" - "&amp;(IF($C635="","Commercial",$C635))),Variables!$B$1:$D$1,0),1))*(AV635/365))+(INDEX(Variables!$B$8:$D$8,IFERROR(MATCH(IF($B635="Robusta","Robusta",(IF($B635="","Arabica",$B635))&amp;" - "&amp;(IF($C635="","Commercial",$C635))),Variables!$B$1:$D$1,0),1))*L635/16.67)),""))</f>
        <v>-10.887256861196438</v>
      </c>
      <c r="AX635" s="9"/>
      <c r="AY635" s="12"/>
      <c r="AZ635" s="10"/>
      <c r="BA635" s="9"/>
      <c r="BB635" s="10"/>
      <c r="BC635" s="9"/>
      <c r="BD635" s="9"/>
      <c r="BE635" s="9"/>
      <c r="BF635" s="9"/>
    </row>
    <row r="636" spans="1:58" x14ac:dyDescent="0.25">
      <c r="A636" s="9" t="s">
        <v>84</v>
      </c>
      <c r="B636" s="9" t="s">
        <v>85</v>
      </c>
      <c r="C636" s="9" t="s">
        <v>1486</v>
      </c>
      <c r="D636" s="10">
        <v>45352</v>
      </c>
      <c r="E636" s="10">
        <v>45383</v>
      </c>
      <c r="F636" s="10">
        <v>45412</v>
      </c>
      <c r="G636" s="9">
        <v>3786157</v>
      </c>
      <c r="H636" s="9" t="str">
        <f t="shared" si="63"/>
        <v>Closed</v>
      </c>
      <c r="I636" s="9" t="str">
        <f t="shared" si="64"/>
        <v>All dates received</v>
      </c>
      <c r="J636" s="9" t="s">
        <v>235</v>
      </c>
      <c r="K636" s="9">
        <v>4799</v>
      </c>
      <c r="L636" s="11">
        <v>55</v>
      </c>
      <c r="M636" s="9" t="s">
        <v>1538</v>
      </c>
      <c r="N636" s="9"/>
      <c r="O636" s="9"/>
      <c r="P636" s="9"/>
      <c r="Q636" s="11"/>
      <c r="R636" s="9" t="s">
        <v>195</v>
      </c>
      <c r="S636" s="9" t="s">
        <v>1536</v>
      </c>
      <c r="T636" s="12">
        <f>IF($H636="Cancelled","",IFERROR(((Q636+INDEX(Variables!$B$6:$D$6,IFERROR(MATCH(IF($B636="Robusta","Robusta",(IF($B636="","Arabica",$B636))&amp;" - "&amp;(IF($C636="","Commercial",$C636))),Variables!$B$1:$D$1,0),1)))*22.0462)*(L636/16.67),""))</f>
        <v>21152.184931013795</v>
      </c>
      <c r="U636" s="10"/>
      <c r="V636" s="9" t="str">
        <f t="shared" si="66"/>
        <v/>
      </c>
      <c r="W636" s="10">
        <v>45371</v>
      </c>
      <c r="X636" s="9" t="str">
        <f t="shared" si="67"/>
        <v>Approved</v>
      </c>
      <c r="Y636" s="10">
        <v>45381</v>
      </c>
      <c r="Z636" s="10">
        <f>IF($H636="Cancelled","",IFERROR(IF(F636="","",F636-Variables!$B$13),""))</f>
        <v>45397</v>
      </c>
      <c r="AA636" s="11">
        <f>IF($H636="Cancelled","",IFERROR(IF(W636="","",(AVERAGE(E636:F636)-W636)-Variables!$B$14),""))</f>
        <v>-3.5</v>
      </c>
      <c r="AB636" s="10">
        <v>45401</v>
      </c>
      <c r="AC636" s="11">
        <f>IF($H636="Cancelled","",IFERROR(IF(AB636="","",IF(AND(W636="",Y636=""),"",IF(Y636&gt;W636,Y636+Variables!$B$15+Variables!$B$16+Variables!$B$17-AB636,W636+Variables!$B$16+Variables!$B$17-AB636))),""))</f>
        <v>-5</v>
      </c>
      <c r="AD636" s="9" t="s">
        <v>107</v>
      </c>
      <c r="AE636" s="9" t="s">
        <v>364</v>
      </c>
      <c r="AF636" s="10"/>
      <c r="AG636" s="10"/>
      <c r="AH636" s="9"/>
      <c r="AI636" s="9" t="s">
        <v>1537</v>
      </c>
      <c r="AJ636" s="9">
        <v>7144566365</v>
      </c>
      <c r="AK636" s="10">
        <v>45418</v>
      </c>
      <c r="AL636" s="10">
        <v>45421</v>
      </c>
      <c r="AM636" s="10">
        <v>45426</v>
      </c>
      <c r="AN636" s="9" t="s">
        <v>1492</v>
      </c>
      <c r="AO636" s="9"/>
      <c r="AP636" s="11">
        <f>IF($H636="Cancelled","",IFERROR(IF(OR(AK636="",AB636=""),"",(AB636+Variables!$B$18-AK636)),""))</f>
        <v>-10</v>
      </c>
      <c r="AQ636" s="11">
        <f>IF($H636="Cancelled","",IFERROR(IF(OR(AM636="",AK636=""),"",(AK636+Variables!$B$19)-AM636),""))</f>
        <v>-3</v>
      </c>
      <c r="AR636" s="12">
        <f>IF($H636="Cancelled","",IFERROR(T636*INDEX(Variables!$B$7:$D$7,IFERROR(MATCH(IF($B636="Robusta","Robusta",(IF($B636="","Arabica",$B636))&amp;" - "&amp;(IF($C636="","Commercial",$C636))),Variables!$B$1:$D$1,0),1))*(AQ636/365),""))</f>
        <v>-11.210460979385898</v>
      </c>
      <c r="AS636" s="12">
        <f>IF($H636="Cancelled","",IFERROR((T636*INDEX(Variables!$B$7:$D$7,IFERROR(MATCH(IF($B636="Robusta","Robusta",(IF($B636="","Arabica",$B636))&amp;" - "&amp;(IF($C636="","Commercial",$C636))),Variables!$B$1:$D$1,0),1))*IFERROR(IF(W636="","",(AVERAGE(E636:F636)-W636)-Variables!$B$14),"")/365)+(L636/16.67*INDEX(Variables!$B$8:$D$8,IFERROR(MATCH(IF($B636="Robusta","Robusta",(IF($B636="","Arabica",$B636))&amp;" - "&amp;(IF($C636="","Commercial",$C636))),Variables!$B$1:$D$1,0),1))*IFERROR(IF(W636="","",(AVERAGE(E636:F636)-W636)-Variables!$B$14),""))+(T636*INDEX(Variables!$B$9:$D$9,IFERROR(MATCH(IF($B636="Robusta","Robusta",(IF($B636="","Arabica",$B636))&amp;" - "&amp;(IF($C636="","Commercial",$C636))),Variables!$B$1:$D$1,0),1))*IFERROR(IF(W636="","",(AVERAGE(E636:F636)-W636)-Variables!$B$14),"")/365),""))</f>
        <v>-22.872483032112861</v>
      </c>
      <c r="AT636" s="12">
        <f>IF($H636="Cancelled","",IFERROR((T636*INDEX(Variables!$B$7:$D$7,IFERROR(MATCH(IF($B636="Robusta","Robusta",(IF($B636="","Arabica",$B636))&amp;" - "&amp;(IF($C636="","Commercial",$C636))),Variables!$B$1:$D$1,0),1))*AC636/365)+(L636/16.67*INDEX(Variables!$B$8:$D$8,IFERROR(MATCH(IF($B636="Robusta","Robusta",(IF($B636="","Arabica",$B636))&amp;" - "&amp;(IF($C636="","Commercial",$C636))),Variables!$B$1:$D$1,0),1))*AC636)+(T636*INDEX(Variables!$B$9:$D$9,IFERROR(MATCH(IF($B636="Robusta","Robusta",(IF($B636="","Arabica",$B636))&amp;" - "&amp;(IF($C636="","Commercial",$C636))),Variables!$B$1:$D$1,0),1))*AC636/365),""))</f>
        <v>-32.674975760161225</v>
      </c>
      <c r="AU636" s="12">
        <f>IF($H636="Cancelled","",IFERROR((T636*INDEX(Variables!$B$7:$D$7,IFERROR(MATCH(IF($B636="Robusta","Robusta",(IF($B636="","Arabica",$B636))&amp;" - "&amp;(IF($C636="","Commercial",$C636))),Variables!$B$1:$D$1,0),1))*AP636/365)+(L636/16.67*INDEX(Variables!$B$8:$D$8,IFERROR(MATCH(IF($B636="Robusta","Robusta",(IF($B636="","Arabica",$B636))&amp;" - "&amp;(IF($C636="","Commercial",$C636))),Variables!$B$1:$D$1,0),1))*AP636)+(T636*INDEX(Variables!$B$9:$D$9,IFERROR(MATCH(IF($B636="Robusta","Robusta",(IF($B636="","Arabica",$B636))&amp;" - "&amp;(IF($C636="","Commercial",$C636))),Variables!$B$1:$D$1,0),1))*AP636/365),""))</f>
        <v>-65.349951520322449</v>
      </c>
      <c r="AV636" s="11">
        <f t="shared" si="65"/>
        <v>-6</v>
      </c>
      <c r="AW636" s="12">
        <f>IF($H636="Cancelled","",IFERROR(IF(AV636="","",(T636*INDEX(Variables!$B$7:$D$7,IFERROR(MATCH(IF($B636="Robusta","Robusta",(IF($B636="","Arabica",$B636))&amp;" - "&amp;(IF($C636="","Commercial",$C636))),Variables!$B$1:$D$1,0),1))*(AV636/365))+(T636*INDEX(Variables!$B$9:$D$9,IFERROR(MATCH(IF($B636="Robusta","Robusta",(IF($B636="","Arabica",$B636))&amp;" - "&amp;(IF($C636="","Commercial",$C636))),Variables!$B$1:$D$1,0),1))*(AV636/365))+(INDEX(Variables!$B$8:$D$8,IFERROR(MATCH(IF($B636="Robusta","Robusta",(IF($B636="","Arabica",$B636))&amp;" - "&amp;(IF($C636="","Commercial",$C636))),Variables!$B$1:$D$1,0),1))*L636/16.67)),""))</f>
        <v>-19.959970912193469</v>
      </c>
      <c r="AX636" s="9"/>
      <c r="AY636" s="12"/>
      <c r="AZ636" s="10"/>
      <c r="BA636" s="9"/>
      <c r="BB636" s="10"/>
      <c r="BC636" s="9"/>
      <c r="BD636" s="9"/>
      <c r="BE636" s="9"/>
      <c r="BF636" s="9"/>
    </row>
    <row r="637" spans="1:58" x14ac:dyDescent="0.25">
      <c r="A637" s="9" t="s">
        <v>84</v>
      </c>
      <c r="B637" s="9" t="s">
        <v>85</v>
      </c>
      <c r="C637" s="9" t="s">
        <v>1486</v>
      </c>
      <c r="D637" s="10">
        <v>45352</v>
      </c>
      <c r="E637" s="10">
        <v>45383</v>
      </c>
      <c r="F637" s="10">
        <v>45412</v>
      </c>
      <c r="G637" s="9">
        <v>3786158</v>
      </c>
      <c r="H637" s="9" t="str">
        <f t="shared" si="63"/>
        <v>Closed</v>
      </c>
      <c r="I637" s="9" t="str">
        <f t="shared" si="64"/>
        <v>All dates received</v>
      </c>
      <c r="J637" s="9" t="s">
        <v>235</v>
      </c>
      <c r="K637" s="9">
        <v>4798</v>
      </c>
      <c r="L637" s="11">
        <v>10</v>
      </c>
      <c r="M637" s="9" t="s">
        <v>1539</v>
      </c>
      <c r="N637" s="9"/>
      <c r="O637" s="9"/>
      <c r="P637" s="9"/>
      <c r="Q637" s="11"/>
      <c r="R637" s="9" t="s">
        <v>195</v>
      </c>
      <c r="S637" s="9" t="s">
        <v>1536</v>
      </c>
      <c r="T637" s="12">
        <f>IF($H637="Cancelled","",IFERROR(((Q637+INDEX(Variables!$B$6:$D$6,IFERROR(MATCH(IF($B637="Robusta","Robusta",(IF($B637="","Arabica",$B637))&amp;" - "&amp;(IF($C637="","Commercial",$C637))),Variables!$B$1:$D$1,0),1)))*22.0462)*(L637/16.67),""))</f>
        <v>3845.8518056388721</v>
      </c>
      <c r="U637" s="10"/>
      <c r="V637" s="9" t="str">
        <f t="shared" si="66"/>
        <v/>
      </c>
      <c r="W637" s="10">
        <v>45371</v>
      </c>
      <c r="X637" s="9" t="str">
        <f t="shared" si="67"/>
        <v>Approved</v>
      </c>
      <c r="Y637" s="10">
        <v>45381</v>
      </c>
      <c r="Z637" s="10">
        <f>IF($H637="Cancelled","",IFERROR(IF(F637="","",F637-Variables!$B$13),""))</f>
        <v>45397</v>
      </c>
      <c r="AA637" s="11">
        <f>IF($H637="Cancelled","",IFERROR(IF(W637="","",(AVERAGE(E637:F637)-W637)-Variables!$B$14),""))</f>
        <v>-3.5</v>
      </c>
      <c r="AB637" s="10">
        <v>45401</v>
      </c>
      <c r="AC637" s="11">
        <f>IF($H637="Cancelled","",IFERROR(IF(AB637="","",IF(AND(W637="",Y637=""),"",IF(Y637&gt;W637,Y637+Variables!$B$15+Variables!$B$16+Variables!$B$17-AB637,W637+Variables!$B$16+Variables!$B$17-AB637))),""))</f>
        <v>-5</v>
      </c>
      <c r="AD637" s="9" t="s">
        <v>107</v>
      </c>
      <c r="AE637" s="9" t="s">
        <v>364</v>
      </c>
      <c r="AF637" s="10"/>
      <c r="AG637" s="10"/>
      <c r="AH637" s="9"/>
      <c r="AI637" s="9" t="s">
        <v>1537</v>
      </c>
      <c r="AJ637" s="9">
        <v>7144566365</v>
      </c>
      <c r="AK637" s="10">
        <v>45418</v>
      </c>
      <c r="AL637" s="10">
        <v>45421</v>
      </c>
      <c r="AM637" s="10">
        <v>45426</v>
      </c>
      <c r="AN637" s="9" t="s">
        <v>1492</v>
      </c>
      <c r="AO637" s="9"/>
      <c r="AP637" s="11">
        <f>IF($H637="Cancelled","",IFERROR(IF(OR(AK637="",AB637=""),"",(AB637+Variables!$B$18-AK637)),""))</f>
        <v>-10</v>
      </c>
      <c r="AQ637" s="11">
        <f>IF($H637="Cancelled","",IFERROR(IF(OR(AM637="",AK637=""),"",(AK637+Variables!$B$19)-AM637),""))</f>
        <v>-3</v>
      </c>
      <c r="AR637" s="12">
        <f>IF($H637="Cancelled","",IFERROR(T637*INDEX(Variables!$B$7:$D$7,IFERROR(MATCH(IF($B637="Robusta","Robusta",(IF($B637="","Arabica",$B637))&amp;" - "&amp;(IF($C637="","Commercial",$C637))),Variables!$B$1:$D$1,0),1))*(AQ637/365),""))</f>
        <v>-2.0382656326156181</v>
      </c>
      <c r="AS637" s="12">
        <f>IF($H637="Cancelled","",IFERROR((T637*INDEX(Variables!$B$7:$D$7,IFERROR(MATCH(IF($B637="Robusta","Robusta",(IF($B637="","Arabica",$B637))&amp;" - "&amp;(IF($C637="","Commercial",$C637))),Variables!$B$1:$D$1,0),1))*IFERROR(IF(W637="","",(AVERAGE(E637:F637)-W637)-Variables!$B$14),"")/365)+(L637/16.67*INDEX(Variables!$B$8:$D$8,IFERROR(MATCH(IF($B637="Robusta","Robusta",(IF($B637="","Arabica",$B637))&amp;" - "&amp;(IF($C637="","Commercial",$C637))),Variables!$B$1:$D$1,0),1))*IFERROR(IF(W637="","",(AVERAGE(E637:F637)-W637)-Variables!$B$14),""))+(T637*INDEX(Variables!$B$9:$D$9,IFERROR(MATCH(IF($B637="Robusta","Robusta",(IF($B637="","Arabica",$B637))&amp;" - "&amp;(IF($C637="","Commercial",$C637))),Variables!$B$1:$D$1,0),1))*IFERROR(IF(W637="","",(AVERAGE(E637:F637)-W637)-Variables!$B$14),"")/365),""))</f>
        <v>-4.1586332785659748</v>
      </c>
      <c r="AT637" s="12">
        <f>IF($H637="Cancelled","",IFERROR((T637*INDEX(Variables!$B$7:$D$7,IFERROR(MATCH(IF($B637="Robusta","Robusta",(IF($B637="","Arabica",$B637))&amp;" - "&amp;(IF($C637="","Commercial",$C637))),Variables!$B$1:$D$1,0),1))*AC637/365)+(L637/16.67*INDEX(Variables!$B$8:$D$8,IFERROR(MATCH(IF($B637="Robusta","Robusta",(IF($B637="","Arabica",$B637))&amp;" - "&amp;(IF($C637="","Commercial",$C637))),Variables!$B$1:$D$1,0),1))*AC637)+(T637*INDEX(Variables!$B$9:$D$9,IFERROR(MATCH(IF($B637="Robusta","Robusta",(IF($B637="","Arabica",$B637))&amp;" - "&amp;(IF($C637="","Commercial",$C637))),Variables!$B$1:$D$1,0),1))*AC637/365),""))</f>
        <v>-5.9409046836656776</v>
      </c>
      <c r="AU637" s="12">
        <f>IF($H637="Cancelled","",IFERROR((T637*INDEX(Variables!$B$7:$D$7,IFERROR(MATCH(IF($B637="Robusta","Robusta",(IF($B637="","Arabica",$B637))&amp;" - "&amp;(IF($C637="","Commercial",$C637))),Variables!$B$1:$D$1,0),1))*AP637/365)+(L637/16.67*INDEX(Variables!$B$8:$D$8,IFERROR(MATCH(IF($B637="Robusta","Robusta",(IF($B637="","Arabica",$B637))&amp;" - "&amp;(IF($C637="","Commercial",$C637))),Variables!$B$1:$D$1,0),1))*AP637)+(T637*INDEX(Variables!$B$9:$D$9,IFERROR(MATCH(IF($B637="Robusta","Robusta",(IF($B637="","Arabica",$B637))&amp;" - "&amp;(IF($C637="","Commercial",$C637))),Variables!$B$1:$D$1,0),1))*AP637/365),""))</f>
        <v>-11.881809367331355</v>
      </c>
      <c r="AV637" s="11">
        <f t="shared" si="65"/>
        <v>-6</v>
      </c>
      <c r="AW637" s="12">
        <f>IF($H637="Cancelled","",IFERROR(IF(AV637="","",(T637*INDEX(Variables!$B$7:$D$7,IFERROR(MATCH(IF($B637="Robusta","Robusta",(IF($B637="","Arabica",$B637))&amp;" - "&amp;(IF($C637="","Commercial",$C637))),Variables!$B$1:$D$1,0),1))*(AV637/365))+(T637*INDEX(Variables!$B$9:$D$9,IFERROR(MATCH(IF($B637="Robusta","Robusta",(IF($B637="","Arabica",$B637))&amp;" - "&amp;(IF($C637="","Commercial",$C637))),Variables!$B$1:$D$1,0),1))*(AV637/365))+(INDEX(Variables!$B$8:$D$8,IFERROR(MATCH(IF($B637="Robusta","Robusta",(IF($B637="","Arabica",$B637))&amp;" - "&amp;(IF($C637="","Commercial",$C637))),Variables!$B$1:$D$1,0),1))*L637/16.67)),""))</f>
        <v>-3.6290856203988131</v>
      </c>
      <c r="AX637" s="9"/>
      <c r="AY637" s="12"/>
      <c r="AZ637" s="10"/>
      <c r="BA637" s="9"/>
      <c r="BB637" s="10"/>
      <c r="BC637" s="9"/>
      <c r="BD637" s="9"/>
      <c r="BE637" s="9"/>
      <c r="BF637" s="9"/>
    </row>
    <row r="638" spans="1:58" x14ac:dyDescent="0.25">
      <c r="A638" s="9" t="s">
        <v>84</v>
      </c>
      <c r="B638" s="9" t="s">
        <v>85</v>
      </c>
      <c r="C638" s="9" t="s">
        <v>1486</v>
      </c>
      <c r="D638" s="10">
        <v>45352</v>
      </c>
      <c r="E638" s="10">
        <v>45383</v>
      </c>
      <c r="F638" s="10">
        <v>45412</v>
      </c>
      <c r="G638" s="9">
        <v>3786159</v>
      </c>
      <c r="H638" s="9" t="str">
        <f t="shared" si="63"/>
        <v>Closed</v>
      </c>
      <c r="I638" s="9" t="str">
        <f t="shared" si="64"/>
        <v>All dates received</v>
      </c>
      <c r="J638" s="9" t="s">
        <v>235</v>
      </c>
      <c r="K638" s="9">
        <v>4791</v>
      </c>
      <c r="L638" s="11">
        <v>10</v>
      </c>
      <c r="M638" s="9" t="s">
        <v>1540</v>
      </c>
      <c r="N638" s="9"/>
      <c r="O638" s="9"/>
      <c r="P638" s="9"/>
      <c r="Q638" s="11"/>
      <c r="R638" s="9" t="s">
        <v>195</v>
      </c>
      <c r="S638" s="9" t="s">
        <v>106</v>
      </c>
      <c r="T638" s="12">
        <f>IF($H638="Cancelled","",IFERROR(((Q638+INDEX(Variables!$B$6:$D$6,IFERROR(MATCH(IF($B638="Robusta","Robusta",(IF($B638="","Arabica",$B638))&amp;" - "&amp;(IF($C638="","Commercial",$C638))),Variables!$B$1:$D$1,0),1)))*22.0462)*(L638/16.67),""))</f>
        <v>3845.8518056388721</v>
      </c>
      <c r="U638" s="10"/>
      <c r="V638" s="9" t="str">
        <f t="shared" si="66"/>
        <v/>
      </c>
      <c r="W638" s="10">
        <v>45371</v>
      </c>
      <c r="X638" s="9" t="str">
        <f t="shared" si="67"/>
        <v>Approved</v>
      </c>
      <c r="Y638" s="10">
        <v>45381</v>
      </c>
      <c r="Z638" s="10">
        <f>IF($H638="Cancelled","",IFERROR(IF(F638="","",F638-Variables!$B$13),""))</f>
        <v>45397</v>
      </c>
      <c r="AA638" s="11">
        <f>IF($H638="Cancelled","",IFERROR(IF(W638="","",(AVERAGE(E638:F638)-W638)-Variables!$B$14),""))</f>
        <v>-3.5</v>
      </c>
      <c r="AB638" s="10">
        <v>45401</v>
      </c>
      <c r="AC638" s="11">
        <f>IF($H638="Cancelled","",IFERROR(IF(AB638="","",IF(AND(W638="",Y638=""),"",IF(Y638&gt;W638,Y638+Variables!$B$15+Variables!$B$16+Variables!$B$17-AB638,W638+Variables!$B$16+Variables!$B$17-AB638))),""))</f>
        <v>-5</v>
      </c>
      <c r="AD638" s="9" t="s">
        <v>107</v>
      </c>
      <c r="AE638" s="9" t="s">
        <v>364</v>
      </c>
      <c r="AF638" s="10"/>
      <c r="AG638" s="10"/>
      <c r="AH638" s="9"/>
      <c r="AI638" s="9" t="s">
        <v>1541</v>
      </c>
      <c r="AJ638" s="9">
        <v>7144566365</v>
      </c>
      <c r="AK638" s="10">
        <v>45418</v>
      </c>
      <c r="AL638" s="10">
        <v>45421</v>
      </c>
      <c r="AM638" s="10">
        <v>45426</v>
      </c>
      <c r="AN638" s="9" t="s">
        <v>1492</v>
      </c>
      <c r="AO638" s="9"/>
      <c r="AP638" s="11">
        <f>IF($H638="Cancelled","",IFERROR(IF(OR(AK638="",AB638=""),"",(AB638+Variables!$B$18-AK638)),""))</f>
        <v>-10</v>
      </c>
      <c r="AQ638" s="11">
        <f>IF($H638="Cancelled","",IFERROR(IF(OR(AM638="",AK638=""),"",(AK638+Variables!$B$19)-AM638),""))</f>
        <v>-3</v>
      </c>
      <c r="AR638" s="12">
        <f>IF($H638="Cancelled","",IFERROR(T638*INDEX(Variables!$B$7:$D$7,IFERROR(MATCH(IF($B638="Robusta","Robusta",(IF($B638="","Arabica",$B638))&amp;" - "&amp;(IF($C638="","Commercial",$C638))),Variables!$B$1:$D$1,0),1))*(AQ638/365),""))</f>
        <v>-2.0382656326156181</v>
      </c>
      <c r="AS638" s="12">
        <f>IF($H638="Cancelled","",IFERROR((T638*INDEX(Variables!$B$7:$D$7,IFERROR(MATCH(IF($B638="Robusta","Robusta",(IF($B638="","Arabica",$B638))&amp;" - "&amp;(IF($C638="","Commercial",$C638))),Variables!$B$1:$D$1,0),1))*IFERROR(IF(W638="","",(AVERAGE(E638:F638)-W638)-Variables!$B$14),"")/365)+(L638/16.67*INDEX(Variables!$B$8:$D$8,IFERROR(MATCH(IF($B638="Robusta","Robusta",(IF($B638="","Arabica",$B638))&amp;" - "&amp;(IF($C638="","Commercial",$C638))),Variables!$B$1:$D$1,0),1))*IFERROR(IF(W638="","",(AVERAGE(E638:F638)-W638)-Variables!$B$14),""))+(T638*INDEX(Variables!$B$9:$D$9,IFERROR(MATCH(IF($B638="Robusta","Robusta",(IF($B638="","Arabica",$B638))&amp;" - "&amp;(IF($C638="","Commercial",$C638))),Variables!$B$1:$D$1,0),1))*IFERROR(IF(W638="","",(AVERAGE(E638:F638)-W638)-Variables!$B$14),"")/365),""))</f>
        <v>-4.1586332785659748</v>
      </c>
      <c r="AT638" s="12">
        <f>IF($H638="Cancelled","",IFERROR((T638*INDEX(Variables!$B$7:$D$7,IFERROR(MATCH(IF($B638="Robusta","Robusta",(IF($B638="","Arabica",$B638))&amp;" - "&amp;(IF($C638="","Commercial",$C638))),Variables!$B$1:$D$1,0),1))*AC638/365)+(L638/16.67*INDEX(Variables!$B$8:$D$8,IFERROR(MATCH(IF($B638="Robusta","Robusta",(IF($B638="","Arabica",$B638))&amp;" - "&amp;(IF($C638="","Commercial",$C638))),Variables!$B$1:$D$1,0),1))*AC638)+(T638*INDEX(Variables!$B$9:$D$9,IFERROR(MATCH(IF($B638="Robusta","Robusta",(IF($B638="","Arabica",$B638))&amp;" - "&amp;(IF($C638="","Commercial",$C638))),Variables!$B$1:$D$1,0),1))*AC638/365),""))</f>
        <v>-5.9409046836656776</v>
      </c>
      <c r="AU638" s="12">
        <f>IF($H638="Cancelled","",IFERROR((T638*INDEX(Variables!$B$7:$D$7,IFERROR(MATCH(IF($B638="Robusta","Robusta",(IF($B638="","Arabica",$B638))&amp;" - "&amp;(IF($C638="","Commercial",$C638))),Variables!$B$1:$D$1,0),1))*AP638/365)+(L638/16.67*INDEX(Variables!$B$8:$D$8,IFERROR(MATCH(IF($B638="Robusta","Robusta",(IF($B638="","Arabica",$B638))&amp;" - "&amp;(IF($C638="","Commercial",$C638))),Variables!$B$1:$D$1,0),1))*AP638)+(T638*INDEX(Variables!$B$9:$D$9,IFERROR(MATCH(IF($B638="Robusta","Robusta",(IF($B638="","Arabica",$B638))&amp;" - "&amp;(IF($C638="","Commercial",$C638))),Variables!$B$1:$D$1,0),1))*AP638/365),""))</f>
        <v>-11.881809367331355</v>
      </c>
      <c r="AV638" s="11">
        <f t="shared" si="65"/>
        <v>-6</v>
      </c>
      <c r="AW638" s="12">
        <f>IF($H638="Cancelled","",IFERROR(IF(AV638="","",(T638*INDEX(Variables!$B$7:$D$7,IFERROR(MATCH(IF($B638="Robusta","Robusta",(IF($B638="","Arabica",$B638))&amp;" - "&amp;(IF($C638="","Commercial",$C638))),Variables!$B$1:$D$1,0),1))*(AV638/365))+(T638*INDEX(Variables!$B$9:$D$9,IFERROR(MATCH(IF($B638="Robusta","Robusta",(IF($B638="","Arabica",$B638))&amp;" - "&amp;(IF($C638="","Commercial",$C638))),Variables!$B$1:$D$1,0),1))*(AV638/365))+(INDEX(Variables!$B$8:$D$8,IFERROR(MATCH(IF($B638="Robusta","Robusta",(IF($B638="","Arabica",$B638))&amp;" - "&amp;(IF($C638="","Commercial",$C638))),Variables!$B$1:$D$1,0),1))*L638/16.67)),""))</f>
        <v>-3.6290856203988131</v>
      </c>
      <c r="AX638" s="9"/>
      <c r="AY638" s="12"/>
      <c r="AZ638" s="10"/>
      <c r="BA638" s="9"/>
      <c r="BB638" s="10"/>
      <c r="BC638" s="9"/>
      <c r="BD638" s="9"/>
      <c r="BE638" s="9"/>
      <c r="BF638" s="9"/>
    </row>
    <row r="639" spans="1:58" x14ac:dyDescent="0.25">
      <c r="A639" s="9" t="s">
        <v>84</v>
      </c>
      <c r="B639" s="9" t="s">
        <v>85</v>
      </c>
      <c r="C639" s="9" t="s">
        <v>1486</v>
      </c>
      <c r="D639" s="10">
        <v>45352</v>
      </c>
      <c r="E639" s="10">
        <v>45383</v>
      </c>
      <c r="F639" s="10">
        <v>45412</v>
      </c>
      <c r="G639" s="9">
        <v>3786163</v>
      </c>
      <c r="H639" s="9" t="str">
        <f t="shared" si="63"/>
        <v>Closed</v>
      </c>
      <c r="I639" s="9" t="str">
        <f t="shared" si="64"/>
        <v>All dates received</v>
      </c>
      <c r="J639" s="9" t="s">
        <v>235</v>
      </c>
      <c r="K639" s="9">
        <v>4797</v>
      </c>
      <c r="L639" s="11">
        <v>60</v>
      </c>
      <c r="M639" s="9" t="s">
        <v>1542</v>
      </c>
      <c r="N639" s="9"/>
      <c r="O639" s="9"/>
      <c r="P639" s="9"/>
      <c r="Q639" s="11"/>
      <c r="R639" s="9" t="s">
        <v>195</v>
      </c>
      <c r="S639" s="9" t="s">
        <v>106</v>
      </c>
      <c r="T639" s="12">
        <f>IF($H639="Cancelled","",IFERROR(((Q639+INDEX(Variables!$B$6:$D$6,IFERROR(MATCH(IF($B639="Robusta","Robusta",(IF($B639="","Arabica",$B639))&amp;" - "&amp;(IF($C639="","Commercial",$C639))),Variables!$B$1:$D$1,0),1)))*22.0462)*(L639/16.67),""))</f>
        <v>23075.110833833231</v>
      </c>
      <c r="U639" s="10"/>
      <c r="V639" s="9" t="str">
        <f t="shared" si="66"/>
        <v/>
      </c>
      <c r="W639" s="10">
        <v>45371</v>
      </c>
      <c r="X639" s="9" t="str">
        <f t="shared" si="67"/>
        <v>Approved</v>
      </c>
      <c r="Y639" s="10">
        <v>45381</v>
      </c>
      <c r="Z639" s="10">
        <f>IF($H639="Cancelled","",IFERROR(IF(F639="","",F639-Variables!$B$13),""))</f>
        <v>45397</v>
      </c>
      <c r="AA639" s="11">
        <f>IF($H639="Cancelled","",IFERROR(IF(W639="","",(AVERAGE(E639:F639)-W639)-Variables!$B$14),""))</f>
        <v>-3.5</v>
      </c>
      <c r="AB639" s="10">
        <v>45401</v>
      </c>
      <c r="AC639" s="11">
        <f>IF($H639="Cancelled","",IFERROR(IF(AB639="","",IF(AND(W639="",Y639=""),"",IF(Y639&gt;W639,Y639+Variables!$B$15+Variables!$B$16+Variables!$B$17-AB639,W639+Variables!$B$16+Variables!$B$17-AB639))),""))</f>
        <v>-5</v>
      </c>
      <c r="AD639" s="9" t="s">
        <v>107</v>
      </c>
      <c r="AE639" s="9" t="s">
        <v>364</v>
      </c>
      <c r="AF639" s="10"/>
      <c r="AG639" s="10"/>
      <c r="AH639" s="9"/>
      <c r="AI639" s="9" t="s">
        <v>1537</v>
      </c>
      <c r="AJ639" s="9">
        <v>7144566365</v>
      </c>
      <c r="AK639" s="10">
        <v>45418</v>
      </c>
      <c r="AL639" s="10">
        <v>45421</v>
      </c>
      <c r="AM639" s="10">
        <v>45428</v>
      </c>
      <c r="AN639" s="9" t="s">
        <v>1492</v>
      </c>
      <c r="AO639" s="9"/>
      <c r="AP639" s="11">
        <f>IF($H639="Cancelled","",IFERROR(IF(OR(AK639="",AB639=""),"",(AB639+Variables!$B$18-AK639)),""))</f>
        <v>-10</v>
      </c>
      <c r="AQ639" s="11">
        <f>IF($H639="Cancelled","",IFERROR(IF(OR(AM639="",AK639=""),"",(AK639+Variables!$B$19)-AM639),""))</f>
        <v>-5</v>
      </c>
      <c r="AR639" s="12">
        <f>IF($H639="Cancelled","",IFERROR(T639*INDEX(Variables!$B$7:$D$7,IFERROR(MATCH(IF($B639="Robusta","Robusta",(IF($B639="","Arabica",$B639))&amp;" - "&amp;(IF($C639="","Commercial",$C639))),Variables!$B$1:$D$1,0),1))*(AQ639/365),""))</f>
        <v>-20.38265632615618</v>
      </c>
      <c r="AS639" s="12">
        <f>IF($H639="Cancelled","",IFERROR((T639*INDEX(Variables!$B$7:$D$7,IFERROR(MATCH(IF($B639="Robusta","Robusta",(IF($B639="","Arabica",$B639))&amp;" - "&amp;(IF($C639="","Commercial",$C639))),Variables!$B$1:$D$1,0),1))*IFERROR(IF(W639="","",(AVERAGE(E639:F639)-W639)-Variables!$B$14),"")/365)+(L639/16.67*INDEX(Variables!$B$8:$D$8,IFERROR(MATCH(IF($B639="Robusta","Robusta",(IF($B639="","Arabica",$B639))&amp;" - "&amp;(IF($C639="","Commercial",$C639))),Variables!$B$1:$D$1,0),1))*IFERROR(IF(W639="","",(AVERAGE(E639:F639)-W639)-Variables!$B$14),""))+(T639*INDEX(Variables!$B$9:$D$9,IFERROR(MATCH(IF($B639="Robusta","Robusta",(IF($B639="","Arabica",$B639))&amp;" - "&amp;(IF($C639="","Commercial",$C639))),Variables!$B$1:$D$1,0),1))*IFERROR(IF(W639="","",(AVERAGE(E639:F639)-W639)-Variables!$B$14),"")/365),""))</f>
        <v>-24.951799671395847</v>
      </c>
      <c r="AT639" s="12">
        <f>IF($H639="Cancelled","",IFERROR((T639*INDEX(Variables!$B$7:$D$7,IFERROR(MATCH(IF($B639="Robusta","Robusta",(IF($B639="","Arabica",$B639))&amp;" - "&amp;(IF($C639="","Commercial",$C639))),Variables!$B$1:$D$1,0),1))*AC639/365)+(L639/16.67*INDEX(Variables!$B$8:$D$8,IFERROR(MATCH(IF($B639="Robusta","Robusta",(IF($B639="","Arabica",$B639))&amp;" - "&amp;(IF($C639="","Commercial",$C639))),Variables!$B$1:$D$1,0),1))*AC639)+(T639*INDEX(Variables!$B$9:$D$9,IFERROR(MATCH(IF($B639="Robusta","Robusta",(IF($B639="","Arabica",$B639))&amp;" - "&amp;(IF($C639="","Commercial",$C639))),Variables!$B$1:$D$1,0),1))*AC639/365),""))</f>
        <v>-35.645428101994064</v>
      </c>
      <c r="AU639" s="12">
        <f>IF($H639="Cancelled","",IFERROR((T639*INDEX(Variables!$B$7:$D$7,IFERROR(MATCH(IF($B639="Robusta","Robusta",(IF($B639="","Arabica",$B639))&amp;" - "&amp;(IF($C639="","Commercial",$C639))),Variables!$B$1:$D$1,0),1))*AP639/365)+(L639/16.67*INDEX(Variables!$B$8:$D$8,IFERROR(MATCH(IF($B639="Robusta","Robusta",(IF($B639="","Arabica",$B639))&amp;" - "&amp;(IF($C639="","Commercial",$C639))),Variables!$B$1:$D$1,0),1))*AP639)+(T639*INDEX(Variables!$B$9:$D$9,IFERROR(MATCH(IF($B639="Robusta","Robusta",(IF($B639="","Arabica",$B639))&amp;" - "&amp;(IF($C639="","Commercial",$C639))),Variables!$B$1:$D$1,0),1))*AP639/365),""))</f>
        <v>-71.290856203988128</v>
      </c>
      <c r="AV639" s="11">
        <f t="shared" si="65"/>
        <v>-6</v>
      </c>
      <c r="AW639" s="12">
        <f>IF($H639="Cancelled","",IFERROR(IF(AV639="","",(T639*INDEX(Variables!$B$7:$D$7,IFERROR(MATCH(IF($B639="Robusta","Robusta",(IF($B639="","Arabica",$B639))&amp;" - "&amp;(IF($C639="","Commercial",$C639))),Variables!$B$1:$D$1,0),1))*(AV639/365))+(T639*INDEX(Variables!$B$9:$D$9,IFERROR(MATCH(IF($B639="Robusta","Robusta",(IF($B639="","Arabica",$B639))&amp;" - "&amp;(IF($C639="","Commercial",$C639))),Variables!$B$1:$D$1,0),1))*(AV639/365))+(INDEX(Variables!$B$8:$D$8,IFERROR(MATCH(IF($B639="Robusta","Robusta",(IF($B639="","Arabica",$B639))&amp;" - "&amp;(IF($C639="","Commercial",$C639))),Variables!$B$1:$D$1,0),1))*L639/16.67)),""))</f>
        <v>-21.774513722392875</v>
      </c>
      <c r="AX639" s="9"/>
      <c r="AY639" s="12"/>
      <c r="AZ639" s="10"/>
      <c r="BA639" s="9"/>
      <c r="BB639" s="10"/>
      <c r="BC639" s="9"/>
      <c r="BD639" s="9"/>
      <c r="BE639" s="9"/>
      <c r="BF639" s="9"/>
    </row>
    <row r="640" spans="1:58" x14ac:dyDescent="0.25">
      <c r="A640" s="9" t="s">
        <v>84</v>
      </c>
      <c r="B640" s="9" t="s">
        <v>85</v>
      </c>
      <c r="C640" s="9" t="s">
        <v>1486</v>
      </c>
      <c r="D640" s="10">
        <v>45352</v>
      </c>
      <c r="E640" s="10">
        <v>45383</v>
      </c>
      <c r="F640" s="10">
        <v>45412</v>
      </c>
      <c r="G640" s="9">
        <v>3786164</v>
      </c>
      <c r="H640" s="9" t="str">
        <f t="shared" si="63"/>
        <v>Closed</v>
      </c>
      <c r="I640" s="9" t="str">
        <f t="shared" si="64"/>
        <v>All dates received</v>
      </c>
      <c r="J640" s="9" t="s">
        <v>235</v>
      </c>
      <c r="K640" s="9">
        <v>4795</v>
      </c>
      <c r="L640" s="11">
        <v>67</v>
      </c>
      <c r="M640" s="9" t="s">
        <v>1543</v>
      </c>
      <c r="N640" s="9"/>
      <c r="O640" s="9"/>
      <c r="P640" s="9"/>
      <c r="Q640" s="11"/>
      <c r="R640" s="9" t="s">
        <v>195</v>
      </c>
      <c r="S640" s="9" t="s">
        <v>106</v>
      </c>
      <c r="T640" s="12">
        <f>IF($H640="Cancelled","",IFERROR(((Q640+INDEX(Variables!$B$6:$D$6,IFERROR(MATCH(IF($B640="Robusta","Robusta",(IF($B640="","Arabica",$B640))&amp;" - "&amp;(IF($C640="","Commercial",$C640))),Variables!$B$1:$D$1,0),1)))*22.0462)*(L640/16.67),""))</f>
        <v>25767.207097780443</v>
      </c>
      <c r="U640" s="10"/>
      <c r="V640" s="9" t="str">
        <f t="shared" si="66"/>
        <v/>
      </c>
      <c r="W640" s="10">
        <v>45371</v>
      </c>
      <c r="X640" s="9" t="str">
        <f t="shared" si="67"/>
        <v>Approved</v>
      </c>
      <c r="Y640" s="10">
        <v>45381</v>
      </c>
      <c r="Z640" s="10">
        <f>IF($H640="Cancelled","",IFERROR(IF(F640="","",F640-Variables!$B$13),""))</f>
        <v>45397</v>
      </c>
      <c r="AA640" s="11">
        <f>IF($H640="Cancelled","",IFERROR(IF(W640="","",(AVERAGE(E640:F640)-W640)-Variables!$B$14),""))</f>
        <v>-3.5</v>
      </c>
      <c r="AB640" s="10">
        <v>45401</v>
      </c>
      <c r="AC640" s="11">
        <f>IF($H640="Cancelled","",IFERROR(IF(AB640="","",IF(AND(W640="",Y640=""),"",IF(Y640&gt;W640,Y640+Variables!$B$15+Variables!$B$16+Variables!$B$17-AB640,W640+Variables!$B$16+Variables!$B$17-AB640))),""))</f>
        <v>-5</v>
      </c>
      <c r="AD640" s="9" t="s">
        <v>107</v>
      </c>
      <c r="AE640" s="9" t="s">
        <v>364</v>
      </c>
      <c r="AF640" s="10"/>
      <c r="AG640" s="10"/>
      <c r="AH640" s="9"/>
      <c r="AI640" s="9" t="s">
        <v>1537</v>
      </c>
      <c r="AJ640" s="9">
        <v>7144566365</v>
      </c>
      <c r="AK640" s="10">
        <v>45418</v>
      </c>
      <c r="AL640" s="10">
        <v>45421</v>
      </c>
      <c r="AM640" s="10">
        <v>45428</v>
      </c>
      <c r="AN640" s="9" t="s">
        <v>1492</v>
      </c>
      <c r="AO640" s="9"/>
      <c r="AP640" s="11">
        <f>IF($H640="Cancelled","",IFERROR(IF(OR(AK640="",AB640=""),"",(AB640+Variables!$B$18-AK640)),""))</f>
        <v>-10</v>
      </c>
      <c r="AQ640" s="11">
        <f>IF($H640="Cancelled","",IFERROR(IF(OR(AM640="",AK640=""),"",(AK640+Variables!$B$19)-AM640),""))</f>
        <v>-5</v>
      </c>
      <c r="AR640" s="12">
        <f>IF($H640="Cancelled","",IFERROR(T640*INDEX(Variables!$B$7:$D$7,IFERROR(MATCH(IF($B640="Robusta","Robusta",(IF($B640="","Arabica",$B640))&amp;" - "&amp;(IF($C640="","Commercial",$C640))),Variables!$B$1:$D$1,0),1))*(AQ640/365),""))</f>
        <v>-22.760632897541072</v>
      </c>
      <c r="AS640" s="12">
        <f>IF($H640="Cancelled","",IFERROR((T640*INDEX(Variables!$B$7:$D$7,IFERROR(MATCH(IF($B640="Robusta","Robusta",(IF($B640="","Arabica",$B640))&amp;" - "&amp;(IF($C640="","Commercial",$C640))),Variables!$B$1:$D$1,0),1))*IFERROR(IF(W640="","",(AVERAGE(E640:F640)-W640)-Variables!$B$14),"")/365)+(L640/16.67*INDEX(Variables!$B$8:$D$8,IFERROR(MATCH(IF($B640="Robusta","Robusta",(IF($B640="","Arabica",$B640))&amp;" - "&amp;(IF($C640="","Commercial",$C640))),Variables!$B$1:$D$1,0),1))*IFERROR(IF(W640="","",(AVERAGE(E640:F640)-W640)-Variables!$B$14),""))+(T640*INDEX(Variables!$B$9:$D$9,IFERROR(MATCH(IF($B640="Robusta","Robusta",(IF($B640="","Arabica",$B640))&amp;" - "&amp;(IF($C640="","Commercial",$C640))),Variables!$B$1:$D$1,0),1))*IFERROR(IF(W640="","",(AVERAGE(E640:F640)-W640)-Variables!$B$14),"")/365),""))</f>
        <v>-27.86284296639203</v>
      </c>
      <c r="AT640" s="12">
        <f>IF($H640="Cancelled","",IFERROR((T640*INDEX(Variables!$B$7:$D$7,IFERROR(MATCH(IF($B640="Robusta","Robusta",(IF($B640="","Arabica",$B640))&amp;" - "&amp;(IF($C640="","Commercial",$C640))),Variables!$B$1:$D$1,0),1))*AC640/365)+(L640/16.67*INDEX(Variables!$B$8:$D$8,IFERROR(MATCH(IF($B640="Robusta","Robusta",(IF($B640="","Arabica",$B640))&amp;" - "&amp;(IF($C640="","Commercial",$C640))),Variables!$B$1:$D$1,0),1))*AC640)+(T640*INDEX(Variables!$B$9:$D$9,IFERROR(MATCH(IF($B640="Robusta","Robusta",(IF($B640="","Arabica",$B640))&amp;" - "&amp;(IF($C640="","Commercial",$C640))),Variables!$B$1:$D$1,0),1))*AC640/365),""))</f>
        <v>-39.804061380560043</v>
      </c>
      <c r="AU640" s="12">
        <f>IF($H640="Cancelled","",IFERROR((T640*INDEX(Variables!$B$7:$D$7,IFERROR(MATCH(IF($B640="Robusta","Robusta",(IF($B640="","Arabica",$B640))&amp;" - "&amp;(IF($C640="","Commercial",$C640))),Variables!$B$1:$D$1,0),1))*AP640/365)+(L640/16.67*INDEX(Variables!$B$8:$D$8,IFERROR(MATCH(IF($B640="Robusta","Robusta",(IF($B640="","Arabica",$B640))&amp;" - "&amp;(IF($C640="","Commercial",$C640))),Variables!$B$1:$D$1,0),1))*AP640)+(T640*INDEX(Variables!$B$9:$D$9,IFERROR(MATCH(IF($B640="Robusta","Robusta",(IF($B640="","Arabica",$B640))&amp;" - "&amp;(IF($C640="","Commercial",$C640))),Variables!$B$1:$D$1,0),1))*AP640/365),""))</f>
        <v>-79.608122761120086</v>
      </c>
      <c r="AV640" s="11">
        <f t="shared" si="65"/>
        <v>-6</v>
      </c>
      <c r="AW640" s="12">
        <f>IF($H640="Cancelled","",IFERROR(IF(AV640="","",(T640*INDEX(Variables!$B$7:$D$7,IFERROR(MATCH(IF($B640="Robusta","Robusta",(IF($B640="","Arabica",$B640))&amp;" - "&amp;(IF($C640="","Commercial",$C640))),Variables!$B$1:$D$1,0),1))*(AV640/365))+(T640*INDEX(Variables!$B$9:$D$9,IFERROR(MATCH(IF($B640="Robusta","Robusta",(IF($B640="","Arabica",$B640))&amp;" - "&amp;(IF($C640="","Commercial",$C640))),Variables!$B$1:$D$1,0),1))*(AV640/365))+(INDEX(Variables!$B$8:$D$8,IFERROR(MATCH(IF($B640="Robusta","Robusta",(IF($B640="","Arabica",$B640))&amp;" - "&amp;(IF($C640="","Commercial",$C640))),Variables!$B$1:$D$1,0),1))*L640/16.67)),""))</f>
        <v>-24.314873656672049</v>
      </c>
      <c r="AX640" s="9"/>
      <c r="AY640" s="12"/>
      <c r="AZ640" s="10"/>
      <c r="BA640" s="9"/>
      <c r="BB640" s="10"/>
      <c r="BC640" s="9"/>
      <c r="BD640" s="9"/>
      <c r="BE640" s="9"/>
      <c r="BF640" s="9"/>
    </row>
    <row r="641" spans="1:58" x14ac:dyDescent="0.25">
      <c r="A641" s="9" t="s">
        <v>84</v>
      </c>
      <c r="B641" s="9" t="s">
        <v>85</v>
      </c>
      <c r="C641" s="9" t="s">
        <v>1486</v>
      </c>
      <c r="D641" s="10">
        <v>45352</v>
      </c>
      <c r="E641" s="10">
        <v>45383</v>
      </c>
      <c r="F641" s="10">
        <v>45412</v>
      </c>
      <c r="G641" s="9">
        <v>3786165</v>
      </c>
      <c r="H641" s="9" t="str">
        <f t="shared" si="63"/>
        <v>Closed</v>
      </c>
      <c r="I641" s="9" t="str">
        <f t="shared" si="64"/>
        <v>All dates received</v>
      </c>
      <c r="J641" s="9" t="s">
        <v>235</v>
      </c>
      <c r="K641" s="9">
        <v>4792</v>
      </c>
      <c r="L641" s="11">
        <v>60</v>
      </c>
      <c r="M641" s="9" t="s">
        <v>1544</v>
      </c>
      <c r="N641" s="9"/>
      <c r="O641" s="9"/>
      <c r="P641" s="9"/>
      <c r="Q641" s="11"/>
      <c r="R641" s="9" t="s">
        <v>195</v>
      </c>
      <c r="S641" s="9" t="s">
        <v>106</v>
      </c>
      <c r="T641" s="12">
        <f>IF($H641="Cancelled","",IFERROR(((Q641+INDEX(Variables!$B$6:$D$6,IFERROR(MATCH(IF($B641="Robusta","Robusta",(IF($B641="","Arabica",$B641))&amp;" - "&amp;(IF($C641="","Commercial",$C641))),Variables!$B$1:$D$1,0),1)))*22.0462)*(L641/16.67),""))</f>
        <v>23075.110833833231</v>
      </c>
      <c r="U641" s="10"/>
      <c r="V641" s="9" t="str">
        <f t="shared" si="66"/>
        <v/>
      </c>
      <c r="W641" s="10">
        <v>45371</v>
      </c>
      <c r="X641" s="9" t="str">
        <f t="shared" si="67"/>
        <v>Approved</v>
      </c>
      <c r="Y641" s="10">
        <v>45381</v>
      </c>
      <c r="Z641" s="10">
        <f>IF($H641="Cancelled","",IFERROR(IF(F641="","",F641-Variables!$B$13),""))</f>
        <v>45397</v>
      </c>
      <c r="AA641" s="11">
        <f>IF($H641="Cancelled","",IFERROR(IF(W641="","",(AVERAGE(E641:F641)-W641)-Variables!$B$14),""))</f>
        <v>-3.5</v>
      </c>
      <c r="AB641" s="10">
        <v>45401</v>
      </c>
      <c r="AC641" s="11">
        <f>IF($H641="Cancelled","",IFERROR(IF(AB641="","",IF(AND(W641="",Y641=""),"",IF(Y641&gt;W641,Y641+Variables!$B$15+Variables!$B$16+Variables!$B$17-AB641,W641+Variables!$B$16+Variables!$B$17-AB641))),""))</f>
        <v>-5</v>
      </c>
      <c r="AD641" s="9" t="s">
        <v>107</v>
      </c>
      <c r="AE641" s="9" t="s">
        <v>364</v>
      </c>
      <c r="AF641" s="10"/>
      <c r="AG641" s="10"/>
      <c r="AH641" s="9"/>
      <c r="AI641" s="9" t="s">
        <v>1541</v>
      </c>
      <c r="AJ641" s="9">
        <v>7144566365</v>
      </c>
      <c r="AK641" s="10">
        <v>45418</v>
      </c>
      <c r="AL641" s="10">
        <v>45421</v>
      </c>
      <c r="AM641" s="10">
        <v>45426</v>
      </c>
      <c r="AN641" s="9" t="s">
        <v>1492</v>
      </c>
      <c r="AO641" s="9"/>
      <c r="AP641" s="11">
        <f>IF($H641="Cancelled","",IFERROR(IF(OR(AK641="",AB641=""),"",(AB641+Variables!$B$18-AK641)),""))</f>
        <v>-10</v>
      </c>
      <c r="AQ641" s="11">
        <f>IF($H641="Cancelled","",IFERROR(IF(OR(AM641="",AK641=""),"",(AK641+Variables!$B$19)-AM641),""))</f>
        <v>-3</v>
      </c>
      <c r="AR641" s="12">
        <f>IF($H641="Cancelled","",IFERROR(T641*INDEX(Variables!$B$7:$D$7,IFERROR(MATCH(IF($B641="Robusta","Robusta",(IF($B641="","Arabica",$B641))&amp;" - "&amp;(IF($C641="","Commercial",$C641))),Variables!$B$1:$D$1,0),1))*(AQ641/365),""))</f>
        <v>-12.229593795693708</v>
      </c>
      <c r="AS641" s="12">
        <f>IF($H641="Cancelled","",IFERROR((T641*INDEX(Variables!$B$7:$D$7,IFERROR(MATCH(IF($B641="Robusta","Robusta",(IF($B641="","Arabica",$B641))&amp;" - "&amp;(IF($C641="","Commercial",$C641))),Variables!$B$1:$D$1,0),1))*IFERROR(IF(W641="","",(AVERAGE(E641:F641)-W641)-Variables!$B$14),"")/365)+(L641/16.67*INDEX(Variables!$B$8:$D$8,IFERROR(MATCH(IF($B641="Robusta","Robusta",(IF($B641="","Arabica",$B641))&amp;" - "&amp;(IF($C641="","Commercial",$C641))),Variables!$B$1:$D$1,0),1))*IFERROR(IF(W641="","",(AVERAGE(E641:F641)-W641)-Variables!$B$14),""))+(T641*INDEX(Variables!$B$9:$D$9,IFERROR(MATCH(IF($B641="Robusta","Robusta",(IF($B641="","Arabica",$B641))&amp;" - "&amp;(IF($C641="","Commercial",$C641))),Variables!$B$1:$D$1,0),1))*IFERROR(IF(W641="","",(AVERAGE(E641:F641)-W641)-Variables!$B$14),"")/365),""))</f>
        <v>-24.951799671395847</v>
      </c>
      <c r="AT641" s="12">
        <f>IF($H641="Cancelled","",IFERROR((T641*INDEX(Variables!$B$7:$D$7,IFERROR(MATCH(IF($B641="Robusta","Robusta",(IF($B641="","Arabica",$B641))&amp;" - "&amp;(IF($C641="","Commercial",$C641))),Variables!$B$1:$D$1,0),1))*AC641/365)+(L641/16.67*INDEX(Variables!$B$8:$D$8,IFERROR(MATCH(IF($B641="Robusta","Robusta",(IF($B641="","Arabica",$B641))&amp;" - "&amp;(IF($C641="","Commercial",$C641))),Variables!$B$1:$D$1,0),1))*AC641)+(T641*INDEX(Variables!$B$9:$D$9,IFERROR(MATCH(IF($B641="Robusta","Robusta",(IF($B641="","Arabica",$B641))&amp;" - "&amp;(IF($C641="","Commercial",$C641))),Variables!$B$1:$D$1,0),1))*AC641/365),""))</f>
        <v>-35.645428101994064</v>
      </c>
      <c r="AU641" s="12">
        <f>IF($H641="Cancelled","",IFERROR((T641*INDEX(Variables!$B$7:$D$7,IFERROR(MATCH(IF($B641="Robusta","Robusta",(IF($B641="","Arabica",$B641))&amp;" - "&amp;(IF($C641="","Commercial",$C641))),Variables!$B$1:$D$1,0),1))*AP641/365)+(L641/16.67*INDEX(Variables!$B$8:$D$8,IFERROR(MATCH(IF($B641="Robusta","Robusta",(IF($B641="","Arabica",$B641))&amp;" - "&amp;(IF($C641="","Commercial",$C641))),Variables!$B$1:$D$1,0),1))*AP641)+(T641*INDEX(Variables!$B$9:$D$9,IFERROR(MATCH(IF($B641="Robusta","Robusta",(IF($B641="","Arabica",$B641))&amp;" - "&amp;(IF($C641="","Commercial",$C641))),Variables!$B$1:$D$1,0),1))*AP641/365),""))</f>
        <v>-71.290856203988128</v>
      </c>
      <c r="AV641" s="11">
        <f t="shared" si="65"/>
        <v>-6</v>
      </c>
      <c r="AW641" s="12">
        <f>IF($H641="Cancelled","",IFERROR(IF(AV641="","",(T641*INDEX(Variables!$B$7:$D$7,IFERROR(MATCH(IF($B641="Robusta","Robusta",(IF($B641="","Arabica",$B641))&amp;" - "&amp;(IF($C641="","Commercial",$C641))),Variables!$B$1:$D$1,0),1))*(AV641/365))+(T641*INDEX(Variables!$B$9:$D$9,IFERROR(MATCH(IF($B641="Robusta","Robusta",(IF($B641="","Arabica",$B641))&amp;" - "&amp;(IF($C641="","Commercial",$C641))),Variables!$B$1:$D$1,0),1))*(AV641/365))+(INDEX(Variables!$B$8:$D$8,IFERROR(MATCH(IF($B641="Robusta","Robusta",(IF($B641="","Arabica",$B641))&amp;" - "&amp;(IF($C641="","Commercial",$C641))),Variables!$B$1:$D$1,0),1))*L641/16.67)),""))</f>
        <v>-21.774513722392875</v>
      </c>
      <c r="AX641" s="9"/>
      <c r="AY641" s="12"/>
      <c r="AZ641" s="10"/>
      <c r="BA641" s="9"/>
      <c r="BB641" s="10"/>
      <c r="BC641" s="9"/>
      <c r="BD641" s="9"/>
      <c r="BE641" s="9"/>
      <c r="BF641" s="9"/>
    </row>
    <row r="642" spans="1:58" x14ac:dyDescent="0.25">
      <c r="A642" s="9" t="s">
        <v>84</v>
      </c>
      <c r="B642" s="9" t="s">
        <v>85</v>
      </c>
      <c r="C642" s="9" t="s">
        <v>1486</v>
      </c>
      <c r="D642" s="10">
        <v>45352</v>
      </c>
      <c r="E642" s="10">
        <v>45383</v>
      </c>
      <c r="F642" s="10">
        <v>45412</v>
      </c>
      <c r="G642" s="9">
        <v>3786166</v>
      </c>
      <c r="H642" s="9" t="str">
        <f t="shared" ref="H642:H705" si="68">IF(ISNUMBER(SEARCH("cancel",AN642)),"Cancelled",IF(AND(AK642&lt;&gt;"",AL642&lt;&gt;"",AM642&lt;&gt;""),"Closed","Open"))</f>
        <v>Closed</v>
      </c>
      <c r="I642" s="9" t="str">
        <f t="shared" ref="I642:I705" si="69">IF(AND(AK642&lt;&gt;"",AL642&lt;&gt;"",AM642&lt;&gt;""),"All dates received",_xlfn.TEXTJOIN(" and ",TRUE(),IF(AK642="","No sailing date",""),IF(AL642="","No shipping advice sent",""),IF(AM642="","No docs dispatch date","")))</f>
        <v>All dates received</v>
      </c>
      <c r="J642" s="9" t="s">
        <v>235</v>
      </c>
      <c r="K642" s="9">
        <v>4793</v>
      </c>
      <c r="L642" s="11">
        <v>72</v>
      </c>
      <c r="M642" s="9" t="s">
        <v>1545</v>
      </c>
      <c r="N642" s="9"/>
      <c r="O642" s="9"/>
      <c r="P642" s="9"/>
      <c r="Q642" s="11"/>
      <c r="R642" s="9" t="s">
        <v>195</v>
      </c>
      <c r="S642" s="9" t="s">
        <v>106</v>
      </c>
      <c r="T642" s="12">
        <f>IF($H642="Cancelled","",IFERROR(((Q642+INDEX(Variables!$B$6:$D$6,IFERROR(MATCH(IF($B642="Robusta","Robusta",(IF($B642="","Arabica",$B642))&amp;" - "&amp;(IF($C642="","Commercial",$C642))),Variables!$B$1:$D$1,0),1)))*22.0462)*(L642/16.67),""))</f>
        <v>27690.133000599879</v>
      </c>
      <c r="U642" s="10"/>
      <c r="V642" s="9" t="str">
        <f t="shared" si="66"/>
        <v/>
      </c>
      <c r="W642" s="10">
        <v>45371</v>
      </c>
      <c r="X642" s="9" t="str">
        <f t="shared" si="67"/>
        <v>Approved</v>
      </c>
      <c r="Y642" s="10">
        <v>45381</v>
      </c>
      <c r="Z642" s="10">
        <f>IF($H642="Cancelled","",IFERROR(IF(F642="","",F642-Variables!$B$13),""))</f>
        <v>45397</v>
      </c>
      <c r="AA642" s="11">
        <f>IF($H642="Cancelled","",IFERROR(IF(W642="","",(AVERAGE(E642:F642)-W642)-Variables!$B$14),""))</f>
        <v>-3.5</v>
      </c>
      <c r="AB642" s="10">
        <v>45401</v>
      </c>
      <c r="AC642" s="11">
        <f>IF($H642="Cancelled","",IFERROR(IF(AB642="","",IF(AND(W642="",Y642=""),"",IF(Y642&gt;W642,Y642+Variables!$B$15+Variables!$B$16+Variables!$B$17-AB642,W642+Variables!$B$16+Variables!$B$17-AB642))),""))</f>
        <v>-5</v>
      </c>
      <c r="AD642" s="9" t="s">
        <v>107</v>
      </c>
      <c r="AE642" s="9" t="s">
        <v>364</v>
      </c>
      <c r="AF642" s="10"/>
      <c r="AG642" s="10"/>
      <c r="AH642" s="9"/>
      <c r="AI642" s="9" t="s">
        <v>1541</v>
      </c>
      <c r="AJ642" s="9">
        <v>7144566365</v>
      </c>
      <c r="AK642" s="10">
        <v>45418</v>
      </c>
      <c r="AL642" s="10">
        <v>45421</v>
      </c>
      <c r="AM642" s="10">
        <v>45426</v>
      </c>
      <c r="AN642" s="9" t="s">
        <v>1492</v>
      </c>
      <c r="AO642" s="9"/>
      <c r="AP642" s="11">
        <f>IF($H642="Cancelled","",IFERROR(IF(OR(AK642="",AB642=""),"",(AB642+Variables!$B$18-AK642)),""))</f>
        <v>-10</v>
      </c>
      <c r="AQ642" s="11">
        <f>IF($H642="Cancelled","",IFERROR(IF(OR(AM642="",AK642=""),"",(AK642+Variables!$B$19)-AM642),""))</f>
        <v>-3</v>
      </c>
      <c r="AR642" s="12">
        <f>IF($H642="Cancelled","",IFERROR(T642*INDEX(Variables!$B$7:$D$7,IFERROR(MATCH(IF($B642="Robusta","Robusta",(IF($B642="","Arabica",$B642))&amp;" - "&amp;(IF($C642="","Commercial",$C642))),Variables!$B$1:$D$1,0),1))*(AQ642/365),""))</f>
        <v>-14.67551255483245</v>
      </c>
      <c r="AS642" s="12">
        <f>IF($H642="Cancelled","",IFERROR((T642*INDEX(Variables!$B$7:$D$7,IFERROR(MATCH(IF($B642="Robusta","Robusta",(IF($B642="","Arabica",$B642))&amp;" - "&amp;(IF($C642="","Commercial",$C642))),Variables!$B$1:$D$1,0),1))*IFERROR(IF(W642="","",(AVERAGE(E642:F642)-W642)-Variables!$B$14),"")/365)+(L642/16.67*INDEX(Variables!$B$8:$D$8,IFERROR(MATCH(IF($B642="Robusta","Robusta",(IF($B642="","Arabica",$B642))&amp;" - "&amp;(IF($C642="","Commercial",$C642))),Variables!$B$1:$D$1,0),1))*IFERROR(IF(W642="","",(AVERAGE(E642:F642)-W642)-Variables!$B$14),""))+(T642*INDEX(Variables!$B$9:$D$9,IFERROR(MATCH(IF($B642="Robusta","Robusta",(IF($B642="","Arabica",$B642))&amp;" - "&amp;(IF($C642="","Commercial",$C642))),Variables!$B$1:$D$1,0),1))*IFERROR(IF(W642="","",(AVERAGE(E642:F642)-W642)-Variables!$B$14),"")/365),""))</f>
        <v>-29.942159605675016</v>
      </c>
      <c r="AT642" s="12">
        <f>IF($H642="Cancelled","",IFERROR((T642*INDEX(Variables!$B$7:$D$7,IFERROR(MATCH(IF($B642="Robusta","Robusta",(IF($B642="","Arabica",$B642))&amp;" - "&amp;(IF($C642="","Commercial",$C642))),Variables!$B$1:$D$1,0),1))*AC642/365)+(L642/16.67*INDEX(Variables!$B$8:$D$8,IFERROR(MATCH(IF($B642="Robusta","Robusta",(IF($B642="","Arabica",$B642))&amp;" - "&amp;(IF($C642="","Commercial",$C642))),Variables!$B$1:$D$1,0),1))*AC642)+(T642*INDEX(Variables!$B$9:$D$9,IFERROR(MATCH(IF($B642="Robusta","Robusta",(IF($B642="","Arabica",$B642))&amp;" - "&amp;(IF($C642="","Commercial",$C642))),Variables!$B$1:$D$1,0),1))*AC642/365),""))</f>
        <v>-42.774513722392882</v>
      </c>
      <c r="AU642" s="12">
        <f>IF($H642="Cancelled","",IFERROR((T642*INDEX(Variables!$B$7:$D$7,IFERROR(MATCH(IF($B642="Robusta","Robusta",(IF($B642="","Arabica",$B642))&amp;" - "&amp;(IF($C642="","Commercial",$C642))),Variables!$B$1:$D$1,0),1))*AP642/365)+(L642/16.67*INDEX(Variables!$B$8:$D$8,IFERROR(MATCH(IF($B642="Robusta","Robusta",(IF($B642="","Arabica",$B642))&amp;" - "&amp;(IF($C642="","Commercial",$C642))),Variables!$B$1:$D$1,0),1))*AP642)+(T642*INDEX(Variables!$B$9:$D$9,IFERROR(MATCH(IF($B642="Robusta","Robusta",(IF($B642="","Arabica",$B642))&amp;" - "&amp;(IF($C642="","Commercial",$C642))),Variables!$B$1:$D$1,0),1))*AP642/365),""))</f>
        <v>-85.549027444785764</v>
      </c>
      <c r="AV642" s="11">
        <f t="shared" ref="AV642:AV705" si="70">IF($H642="Cancelled","",IFERROR(IF(AK642="","",F642-AK642),""))</f>
        <v>-6</v>
      </c>
      <c r="AW642" s="12">
        <f>IF($H642="Cancelled","",IFERROR(IF(AV642="","",(T642*INDEX(Variables!$B$7:$D$7,IFERROR(MATCH(IF($B642="Robusta","Robusta",(IF($B642="","Arabica",$B642))&amp;" - "&amp;(IF($C642="","Commercial",$C642))),Variables!$B$1:$D$1,0),1))*(AV642/365))+(T642*INDEX(Variables!$B$9:$D$9,IFERROR(MATCH(IF($B642="Robusta","Robusta",(IF($B642="","Arabica",$B642))&amp;" - "&amp;(IF($C642="","Commercial",$C642))),Variables!$B$1:$D$1,0),1))*(AV642/365))+(INDEX(Variables!$B$8:$D$8,IFERROR(MATCH(IF($B642="Robusta","Robusta",(IF($B642="","Arabica",$B642))&amp;" - "&amp;(IF($C642="","Commercial",$C642))),Variables!$B$1:$D$1,0),1))*L642/16.67)),""))</f>
        <v>-26.129416466871451</v>
      </c>
      <c r="AX642" s="9"/>
      <c r="AY642" s="12"/>
      <c r="AZ642" s="10"/>
      <c r="BA642" s="9"/>
      <c r="BB642" s="10"/>
      <c r="BC642" s="9"/>
      <c r="BD642" s="9"/>
      <c r="BE642" s="9"/>
      <c r="BF642" s="9"/>
    </row>
    <row r="643" spans="1:58" x14ac:dyDescent="0.25">
      <c r="A643" s="9" t="s">
        <v>84</v>
      </c>
      <c r="B643" s="9" t="s">
        <v>85</v>
      </c>
      <c r="C643" s="9" t="s">
        <v>1486</v>
      </c>
      <c r="D643" s="10">
        <v>45352</v>
      </c>
      <c r="E643" s="10">
        <v>45383</v>
      </c>
      <c r="F643" s="10">
        <v>45412</v>
      </c>
      <c r="G643" s="9">
        <v>3786164</v>
      </c>
      <c r="H643" s="9" t="str">
        <f t="shared" si="68"/>
        <v>Open</v>
      </c>
      <c r="I643" s="9" t="str">
        <f t="shared" si="69"/>
        <v>No sailing date and No shipping advice sent and No docs dispatch date</v>
      </c>
      <c r="J643" s="9" t="s">
        <v>235</v>
      </c>
      <c r="K643" s="9">
        <v>4788</v>
      </c>
      <c r="L643" s="11">
        <v>1</v>
      </c>
      <c r="M643" s="9" t="s">
        <v>1546</v>
      </c>
      <c r="N643" s="9"/>
      <c r="O643" s="9"/>
      <c r="P643" s="9"/>
      <c r="Q643" s="11"/>
      <c r="R643" s="9" t="s">
        <v>195</v>
      </c>
      <c r="S643" s="9"/>
      <c r="T643" s="12">
        <f>IF($H643="Cancelled","",IFERROR(((Q643+INDEX(Variables!$B$6:$D$6,IFERROR(MATCH(IF($B643="Robusta","Robusta",(IF($B643="","Arabica",$B643))&amp;" - "&amp;(IF($C643="","Commercial",$C643))),Variables!$B$1:$D$1,0),1)))*22.0462)*(L643/16.67),""))</f>
        <v>384.58518056388715</v>
      </c>
      <c r="U643" s="10"/>
      <c r="V643" s="9" t="str">
        <f t="shared" si="66"/>
        <v/>
      </c>
      <c r="W643" s="10">
        <v>45371</v>
      </c>
      <c r="X643" s="9" t="str">
        <f t="shared" si="67"/>
        <v>Approved</v>
      </c>
      <c r="Y643" s="10">
        <v>45381</v>
      </c>
      <c r="Z643" s="10">
        <f>IF($H643="Cancelled","",IFERROR(IF(F643="","",F643-Variables!$B$13),""))</f>
        <v>45397</v>
      </c>
      <c r="AA643" s="11">
        <f>IF($H643="Cancelled","",IFERROR(IF(W643="","",(AVERAGE(E643:F643)-W643)-Variables!$B$14),""))</f>
        <v>-3.5</v>
      </c>
      <c r="AB643" s="10">
        <v>45407</v>
      </c>
      <c r="AC643" s="11">
        <f>IF($H643="Cancelled","",IFERROR(IF(AB643="","",IF(AND(W643="",Y643=""),"",IF(Y643&gt;W643,Y643+Variables!$B$15+Variables!$B$16+Variables!$B$17-AB643,W643+Variables!$B$16+Variables!$B$17-AB643))),""))</f>
        <v>-11</v>
      </c>
      <c r="AD643" s="9" t="s">
        <v>1547</v>
      </c>
      <c r="AE643" s="9"/>
      <c r="AF643" s="10"/>
      <c r="AG643" s="10"/>
      <c r="AH643" s="9"/>
      <c r="AI643" s="9"/>
      <c r="AJ643" s="9"/>
      <c r="AK643" s="10"/>
      <c r="AL643" s="10"/>
      <c r="AM643" s="10"/>
      <c r="AN643" s="9" t="s">
        <v>1548</v>
      </c>
      <c r="AO643" s="9"/>
      <c r="AP643" s="11" t="str">
        <f>IF($H643="Cancelled","",IFERROR(IF(OR(AK643="",AB643=""),"",(AB643+Variables!$B$18-AK643)),""))</f>
        <v/>
      </c>
      <c r="AQ643" s="11" t="str">
        <f>IF($H643="Cancelled","",IFERROR(IF(OR(AM643="",AK643=""),"",(AK643+Variables!$B$19)-AM643),""))</f>
        <v/>
      </c>
      <c r="AR643" s="12" t="str">
        <f>IF($H643="Cancelled","",IFERROR(T643*INDEX(Variables!$B$7:$D$7,IFERROR(MATCH(IF($B643="Robusta","Robusta",(IF($B643="","Arabica",$B643))&amp;" - "&amp;(IF($C643="","Commercial",$C643))),Variables!$B$1:$D$1,0),1))*(AQ643/365),""))</f>
        <v/>
      </c>
      <c r="AS643" s="12">
        <f>IF($H643="Cancelled","",IFERROR((T643*INDEX(Variables!$B$7:$D$7,IFERROR(MATCH(IF($B643="Robusta","Robusta",(IF($B643="","Arabica",$B643))&amp;" - "&amp;(IF($C643="","Commercial",$C643))),Variables!$B$1:$D$1,0),1))*IFERROR(IF(W643="","",(AVERAGE(E643:F643)-W643)-Variables!$B$14),"")/365)+(L643/16.67*INDEX(Variables!$B$8:$D$8,IFERROR(MATCH(IF($B643="Robusta","Robusta",(IF($B643="","Arabica",$B643))&amp;" - "&amp;(IF($C643="","Commercial",$C643))),Variables!$B$1:$D$1,0),1))*IFERROR(IF(W643="","",(AVERAGE(E643:F643)-W643)-Variables!$B$14),""))+(T643*INDEX(Variables!$B$9:$D$9,IFERROR(MATCH(IF($B643="Robusta","Robusta",(IF($B643="","Arabica",$B643))&amp;" - "&amp;(IF($C643="","Commercial",$C643))),Variables!$B$1:$D$1,0),1))*IFERROR(IF(W643="","",(AVERAGE(E643:F643)-W643)-Variables!$B$14),"")/365),""))</f>
        <v>-0.41586332785659741</v>
      </c>
      <c r="AT643" s="12">
        <f>IF($H643="Cancelled","",IFERROR((T643*INDEX(Variables!$B$7:$D$7,IFERROR(MATCH(IF($B643="Robusta","Robusta",(IF($B643="","Arabica",$B643))&amp;" - "&amp;(IF($C643="","Commercial",$C643))),Variables!$B$1:$D$1,0),1))*AC643/365)+(L643/16.67*INDEX(Variables!$B$8:$D$8,IFERROR(MATCH(IF($B643="Robusta","Robusta",(IF($B643="","Arabica",$B643))&amp;" - "&amp;(IF($C643="","Commercial",$C643))),Variables!$B$1:$D$1,0),1))*AC643)+(T643*INDEX(Variables!$B$9:$D$9,IFERROR(MATCH(IF($B643="Robusta","Robusta",(IF($B643="","Arabica",$B643))&amp;" - "&amp;(IF($C643="","Commercial",$C643))),Variables!$B$1:$D$1,0),1))*AC643/365),""))</f>
        <v>-1.3069990304064489</v>
      </c>
      <c r="AU643" s="12" t="str">
        <f>IF($H643="Cancelled","",IFERROR((T643*INDEX(Variables!$B$7:$D$7,IFERROR(MATCH(IF($B643="Robusta","Robusta",(IF($B643="","Arabica",$B643))&amp;" - "&amp;(IF($C643="","Commercial",$C643))),Variables!$B$1:$D$1,0),1))*AP643/365)+(L643/16.67*INDEX(Variables!$B$8:$D$8,IFERROR(MATCH(IF($B643="Robusta","Robusta",(IF($B643="","Arabica",$B643))&amp;" - "&amp;(IF($C643="","Commercial",$C643))),Variables!$B$1:$D$1,0),1))*AP643)+(T643*INDEX(Variables!$B$9:$D$9,IFERROR(MATCH(IF($B643="Robusta","Robusta",(IF($B643="","Arabica",$B643))&amp;" - "&amp;(IF($C643="","Commercial",$C643))),Variables!$B$1:$D$1,0),1))*AP643/365),""))</f>
        <v/>
      </c>
      <c r="AV643" s="11" t="str">
        <f t="shared" si="70"/>
        <v/>
      </c>
      <c r="AW643" s="12" t="str">
        <f>IF($H643="Cancelled","",IFERROR(IF(AV643="","",(T643*INDEX(Variables!$B$7:$D$7,IFERROR(MATCH(IF($B643="Robusta","Robusta",(IF($B643="","Arabica",$B643))&amp;" - "&amp;(IF($C643="","Commercial",$C643))),Variables!$B$1:$D$1,0),1))*(AV643/365))+(T643*INDEX(Variables!$B$9:$D$9,IFERROR(MATCH(IF($B643="Robusta","Robusta",(IF($B643="","Arabica",$B643))&amp;" - "&amp;(IF($C643="","Commercial",$C643))),Variables!$B$1:$D$1,0),1))*(AV643/365))+(INDEX(Variables!$B$8:$D$8,IFERROR(MATCH(IF($B643="Robusta","Robusta",(IF($B643="","Arabica",$B643))&amp;" - "&amp;(IF($C643="","Commercial",$C643))),Variables!$B$1:$D$1,0),1))*L643/16.67)),""))</f>
        <v/>
      </c>
      <c r="AX643" s="9"/>
      <c r="AY643" s="12"/>
      <c r="AZ643" s="10"/>
      <c r="BA643" s="9"/>
      <c r="BB643" s="10"/>
      <c r="BC643" s="9"/>
      <c r="BD643" s="9"/>
      <c r="BE643" s="9"/>
      <c r="BF643" s="9"/>
    </row>
    <row r="644" spans="1:58" x14ac:dyDescent="0.25">
      <c r="A644" s="9" t="s">
        <v>84</v>
      </c>
      <c r="B644" s="9" t="s">
        <v>85</v>
      </c>
      <c r="C644" s="9" t="s">
        <v>1486</v>
      </c>
      <c r="D644" s="10">
        <v>45352</v>
      </c>
      <c r="E644" s="10">
        <v>45383</v>
      </c>
      <c r="F644" s="10">
        <v>45412</v>
      </c>
      <c r="G644" s="9">
        <v>3786166</v>
      </c>
      <c r="H644" s="9" t="str">
        <f t="shared" si="68"/>
        <v>Open</v>
      </c>
      <c r="I644" s="9" t="str">
        <f t="shared" si="69"/>
        <v>No sailing date and No shipping advice sent and No docs dispatch date</v>
      </c>
      <c r="J644" s="9" t="s">
        <v>235</v>
      </c>
      <c r="K644" s="9">
        <v>4789</v>
      </c>
      <c r="L644" s="11">
        <v>1</v>
      </c>
      <c r="M644" s="9" t="s">
        <v>1549</v>
      </c>
      <c r="N644" s="9"/>
      <c r="O644" s="9"/>
      <c r="P644" s="9"/>
      <c r="Q644" s="11"/>
      <c r="R644" s="9" t="s">
        <v>195</v>
      </c>
      <c r="S644" s="9"/>
      <c r="T644" s="12">
        <f>IF($H644="Cancelled","",IFERROR(((Q644+INDEX(Variables!$B$6:$D$6,IFERROR(MATCH(IF($B644="Robusta","Robusta",(IF($B644="","Arabica",$B644))&amp;" - "&amp;(IF($C644="","Commercial",$C644))),Variables!$B$1:$D$1,0),1)))*22.0462)*(L644/16.67),""))</f>
        <v>384.58518056388715</v>
      </c>
      <c r="U644" s="10"/>
      <c r="V644" s="9" t="str">
        <f t="shared" ref="V644:V707" si="71">IF(ISNUMBER(U644),"Sent","")</f>
        <v/>
      </c>
      <c r="W644" s="10">
        <v>45371</v>
      </c>
      <c r="X644" s="9" t="str">
        <f t="shared" si="67"/>
        <v>Approved</v>
      </c>
      <c r="Y644" s="10">
        <v>45381</v>
      </c>
      <c r="Z644" s="10">
        <f>IF($H644="Cancelled","",IFERROR(IF(F644="","",F644-Variables!$B$13),""))</f>
        <v>45397</v>
      </c>
      <c r="AA644" s="11">
        <f>IF($H644="Cancelled","",IFERROR(IF(W644="","",(AVERAGE(E644:F644)-W644)-Variables!$B$14),""))</f>
        <v>-3.5</v>
      </c>
      <c r="AB644" s="10">
        <v>45407</v>
      </c>
      <c r="AC644" s="11">
        <f>IF($H644="Cancelled","",IFERROR(IF(AB644="","",IF(AND(W644="",Y644=""),"",IF(Y644&gt;W644,Y644+Variables!$B$15+Variables!$B$16+Variables!$B$17-AB644,W644+Variables!$B$16+Variables!$B$17-AB644))),""))</f>
        <v>-11</v>
      </c>
      <c r="AD644" s="9" t="s">
        <v>1550</v>
      </c>
      <c r="AE644" s="9"/>
      <c r="AF644" s="10"/>
      <c r="AG644" s="10"/>
      <c r="AH644" s="9"/>
      <c r="AI644" s="9"/>
      <c r="AJ644" s="9"/>
      <c r="AK644" s="10"/>
      <c r="AL644" s="10"/>
      <c r="AM644" s="10"/>
      <c r="AN644" s="9" t="s">
        <v>1548</v>
      </c>
      <c r="AO644" s="9"/>
      <c r="AP644" s="11" t="str">
        <f>IF($H644="Cancelled","",IFERROR(IF(OR(AK644="",AB644=""),"",(AB644+Variables!$B$18-AK644)),""))</f>
        <v/>
      </c>
      <c r="AQ644" s="11" t="str">
        <f>IF($H644="Cancelled","",IFERROR(IF(OR(AM644="",AK644=""),"",(AK644+Variables!$B$19)-AM644),""))</f>
        <v/>
      </c>
      <c r="AR644" s="12" t="str">
        <f>IF($H644="Cancelled","",IFERROR(T644*INDEX(Variables!$B$7:$D$7,IFERROR(MATCH(IF($B644="Robusta","Robusta",(IF($B644="","Arabica",$B644))&amp;" - "&amp;(IF($C644="","Commercial",$C644))),Variables!$B$1:$D$1,0),1))*(AQ644/365),""))</f>
        <v/>
      </c>
      <c r="AS644" s="12">
        <f>IF($H644="Cancelled","",IFERROR((T644*INDEX(Variables!$B$7:$D$7,IFERROR(MATCH(IF($B644="Robusta","Robusta",(IF($B644="","Arabica",$B644))&amp;" - "&amp;(IF($C644="","Commercial",$C644))),Variables!$B$1:$D$1,0),1))*IFERROR(IF(W644="","",(AVERAGE(E644:F644)-W644)-Variables!$B$14),"")/365)+(L644/16.67*INDEX(Variables!$B$8:$D$8,IFERROR(MATCH(IF($B644="Robusta","Robusta",(IF($B644="","Arabica",$B644))&amp;" - "&amp;(IF($C644="","Commercial",$C644))),Variables!$B$1:$D$1,0),1))*IFERROR(IF(W644="","",(AVERAGE(E644:F644)-W644)-Variables!$B$14),""))+(T644*INDEX(Variables!$B$9:$D$9,IFERROR(MATCH(IF($B644="Robusta","Robusta",(IF($B644="","Arabica",$B644))&amp;" - "&amp;(IF($C644="","Commercial",$C644))),Variables!$B$1:$D$1,0),1))*IFERROR(IF(W644="","",(AVERAGE(E644:F644)-W644)-Variables!$B$14),"")/365),""))</f>
        <v>-0.41586332785659741</v>
      </c>
      <c r="AT644" s="12">
        <f>IF($H644="Cancelled","",IFERROR((T644*INDEX(Variables!$B$7:$D$7,IFERROR(MATCH(IF($B644="Robusta","Robusta",(IF($B644="","Arabica",$B644))&amp;" - "&amp;(IF($C644="","Commercial",$C644))),Variables!$B$1:$D$1,0),1))*AC644/365)+(L644/16.67*INDEX(Variables!$B$8:$D$8,IFERROR(MATCH(IF($B644="Robusta","Robusta",(IF($B644="","Arabica",$B644))&amp;" - "&amp;(IF($C644="","Commercial",$C644))),Variables!$B$1:$D$1,0),1))*AC644)+(T644*INDEX(Variables!$B$9:$D$9,IFERROR(MATCH(IF($B644="Robusta","Robusta",(IF($B644="","Arabica",$B644))&amp;" - "&amp;(IF($C644="","Commercial",$C644))),Variables!$B$1:$D$1,0),1))*AC644/365),""))</f>
        <v>-1.3069990304064489</v>
      </c>
      <c r="AU644" s="12" t="str">
        <f>IF($H644="Cancelled","",IFERROR((T644*INDEX(Variables!$B$7:$D$7,IFERROR(MATCH(IF($B644="Robusta","Robusta",(IF($B644="","Arabica",$B644))&amp;" - "&amp;(IF($C644="","Commercial",$C644))),Variables!$B$1:$D$1,0),1))*AP644/365)+(L644/16.67*INDEX(Variables!$B$8:$D$8,IFERROR(MATCH(IF($B644="Robusta","Robusta",(IF($B644="","Arabica",$B644))&amp;" - "&amp;(IF($C644="","Commercial",$C644))),Variables!$B$1:$D$1,0),1))*AP644)+(T644*INDEX(Variables!$B$9:$D$9,IFERROR(MATCH(IF($B644="Robusta","Robusta",(IF($B644="","Arabica",$B644))&amp;" - "&amp;(IF($C644="","Commercial",$C644))),Variables!$B$1:$D$1,0),1))*AP644/365),""))</f>
        <v/>
      </c>
      <c r="AV644" s="11" t="str">
        <f t="shared" si="70"/>
        <v/>
      </c>
      <c r="AW644" s="12" t="str">
        <f>IF($H644="Cancelled","",IFERROR(IF(AV644="","",(T644*INDEX(Variables!$B$7:$D$7,IFERROR(MATCH(IF($B644="Robusta","Robusta",(IF($B644="","Arabica",$B644))&amp;" - "&amp;(IF($C644="","Commercial",$C644))),Variables!$B$1:$D$1,0),1))*(AV644/365))+(T644*INDEX(Variables!$B$9:$D$9,IFERROR(MATCH(IF($B644="Robusta","Robusta",(IF($B644="","Arabica",$B644))&amp;" - "&amp;(IF($C644="","Commercial",$C644))),Variables!$B$1:$D$1,0),1))*(AV644/365))+(INDEX(Variables!$B$8:$D$8,IFERROR(MATCH(IF($B644="Robusta","Robusta",(IF($B644="","Arabica",$B644))&amp;" - "&amp;(IF($C644="","Commercial",$C644))),Variables!$B$1:$D$1,0),1))*L644/16.67)),""))</f>
        <v/>
      </c>
      <c r="AX644" s="9"/>
      <c r="AY644" s="12"/>
      <c r="AZ644" s="10"/>
      <c r="BA644" s="9"/>
      <c r="BB644" s="10"/>
      <c r="BC644" s="9"/>
      <c r="BD644" s="9"/>
      <c r="BE644" s="9"/>
      <c r="BF644" s="9"/>
    </row>
    <row r="645" spans="1:58" x14ac:dyDescent="0.25">
      <c r="A645" s="9" t="s">
        <v>84</v>
      </c>
      <c r="B645" s="9" t="s">
        <v>85</v>
      </c>
      <c r="C645" s="9" t="s">
        <v>1486</v>
      </c>
      <c r="D645" s="10">
        <v>45352</v>
      </c>
      <c r="E645" s="10">
        <v>45383</v>
      </c>
      <c r="F645" s="10">
        <v>45412</v>
      </c>
      <c r="G645" s="9">
        <v>3786167</v>
      </c>
      <c r="H645" s="9" t="str">
        <f t="shared" si="68"/>
        <v>Open</v>
      </c>
      <c r="I645" s="9" t="str">
        <f t="shared" si="69"/>
        <v>No sailing date and No shipping advice sent and No docs dispatch date</v>
      </c>
      <c r="J645" s="9" t="s">
        <v>235</v>
      </c>
      <c r="K645" s="9">
        <v>4790</v>
      </c>
      <c r="L645" s="11">
        <v>1</v>
      </c>
      <c r="M645" s="9" t="s">
        <v>1551</v>
      </c>
      <c r="N645" s="9"/>
      <c r="O645" s="9"/>
      <c r="P645" s="9"/>
      <c r="Q645" s="11"/>
      <c r="R645" s="9" t="s">
        <v>195</v>
      </c>
      <c r="S645" s="9"/>
      <c r="T645" s="12">
        <f>IF($H645="Cancelled","",IFERROR(((Q645+INDEX(Variables!$B$6:$D$6,IFERROR(MATCH(IF($B645="Robusta","Robusta",(IF($B645="","Arabica",$B645))&amp;" - "&amp;(IF($C645="","Commercial",$C645))),Variables!$B$1:$D$1,0),1)))*22.0462)*(L645/16.67),""))</f>
        <v>384.58518056388715</v>
      </c>
      <c r="U645" s="10"/>
      <c r="V645" s="9" t="str">
        <f t="shared" si="71"/>
        <v/>
      </c>
      <c r="W645" s="10">
        <v>45371</v>
      </c>
      <c r="X645" s="9" t="str">
        <f t="shared" si="67"/>
        <v>Approved</v>
      </c>
      <c r="Y645" s="10">
        <v>45381</v>
      </c>
      <c r="Z645" s="10">
        <f>IF($H645="Cancelled","",IFERROR(IF(F645="","",F645-Variables!$B$13),""))</f>
        <v>45397</v>
      </c>
      <c r="AA645" s="11">
        <f>IF($H645="Cancelled","",IFERROR(IF(W645="","",(AVERAGE(E645:F645)-W645)-Variables!$B$14),""))</f>
        <v>-3.5</v>
      </c>
      <c r="AB645" s="10">
        <v>45407</v>
      </c>
      <c r="AC645" s="11">
        <f>IF($H645="Cancelled","",IFERROR(IF(AB645="","",IF(AND(W645="",Y645=""),"",IF(Y645&gt;W645,Y645+Variables!$B$15+Variables!$B$16+Variables!$B$17-AB645,W645+Variables!$B$16+Variables!$B$17-AB645))),""))</f>
        <v>-11</v>
      </c>
      <c r="AD645" s="9" t="s">
        <v>1550</v>
      </c>
      <c r="AE645" s="9"/>
      <c r="AF645" s="10"/>
      <c r="AG645" s="10"/>
      <c r="AH645" s="9"/>
      <c r="AI645" s="9"/>
      <c r="AJ645" s="9"/>
      <c r="AK645" s="10"/>
      <c r="AL645" s="10"/>
      <c r="AM645" s="10"/>
      <c r="AN645" s="9" t="s">
        <v>1548</v>
      </c>
      <c r="AO645" s="9"/>
      <c r="AP645" s="11" t="str">
        <f>IF($H645="Cancelled","",IFERROR(IF(OR(AK645="",AB645=""),"",(AB645+Variables!$B$18-AK645)),""))</f>
        <v/>
      </c>
      <c r="AQ645" s="11" t="str">
        <f>IF($H645="Cancelled","",IFERROR(IF(OR(AM645="",AK645=""),"",(AK645+Variables!$B$19)-AM645),""))</f>
        <v/>
      </c>
      <c r="AR645" s="12" t="str">
        <f>IF($H645="Cancelled","",IFERROR(T645*INDEX(Variables!$B$7:$D$7,IFERROR(MATCH(IF($B645="Robusta","Robusta",(IF($B645="","Arabica",$B645))&amp;" - "&amp;(IF($C645="","Commercial",$C645))),Variables!$B$1:$D$1,0),1))*(AQ645/365),""))</f>
        <v/>
      </c>
      <c r="AS645" s="12">
        <f>IF($H645="Cancelled","",IFERROR((T645*INDEX(Variables!$B$7:$D$7,IFERROR(MATCH(IF($B645="Robusta","Robusta",(IF($B645="","Arabica",$B645))&amp;" - "&amp;(IF($C645="","Commercial",$C645))),Variables!$B$1:$D$1,0),1))*IFERROR(IF(W645="","",(AVERAGE(E645:F645)-W645)-Variables!$B$14),"")/365)+(L645/16.67*INDEX(Variables!$B$8:$D$8,IFERROR(MATCH(IF($B645="Robusta","Robusta",(IF($B645="","Arabica",$B645))&amp;" - "&amp;(IF($C645="","Commercial",$C645))),Variables!$B$1:$D$1,0),1))*IFERROR(IF(W645="","",(AVERAGE(E645:F645)-W645)-Variables!$B$14),""))+(T645*INDEX(Variables!$B$9:$D$9,IFERROR(MATCH(IF($B645="Robusta","Robusta",(IF($B645="","Arabica",$B645))&amp;" - "&amp;(IF($C645="","Commercial",$C645))),Variables!$B$1:$D$1,0),1))*IFERROR(IF(W645="","",(AVERAGE(E645:F645)-W645)-Variables!$B$14),"")/365),""))</f>
        <v>-0.41586332785659741</v>
      </c>
      <c r="AT645" s="12">
        <f>IF($H645="Cancelled","",IFERROR((T645*INDEX(Variables!$B$7:$D$7,IFERROR(MATCH(IF($B645="Robusta","Robusta",(IF($B645="","Arabica",$B645))&amp;" - "&amp;(IF($C645="","Commercial",$C645))),Variables!$B$1:$D$1,0),1))*AC645/365)+(L645/16.67*INDEX(Variables!$B$8:$D$8,IFERROR(MATCH(IF($B645="Robusta","Robusta",(IF($B645="","Arabica",$B645))&amp;" - "&amp;(IF($C645="","Commercial",$C645))),Variables!$B$1:$D$1,0),1))*AC645)+(T645*INDEX(Variables!$B$9:$D$9,IFERROR(MATCH(IF($B645="Robusta","Robusta",(IF($B645="","Arabica",$B645))&amp;" - "&amp;(IF($C645="","Commercial",$C645))),Variables!$B$1:$D$1,0),1))*AC645/365),""))</f>
        <v>-1.3069990304064489</v>
      </c>
      <c r="AU645" s="12" t="str">
        <f>IF($H645="Cancelled","",IFERROR((T645*INDEX(Variables!$B$7:$D$7,IFERROR(MATCH(IF($B645="Robusta","Robusta",(IF($B645="","Arabica",$B645))&amp;" - "&amp;(IF($C645="","Commercial",$C645))),Variables!$B$1:$D$1,0),1))*AP645/365)+(L645/16.67*INDEX(Variables!$B$8:$D$8,IFERROR(MATCH(IF($B645="Robusta","Robusta",(IF($B645="","Arabica",$B645))&amp;" - "&amp;(IF($C645="","Commercial",$C645))),Variables!$B$1:$D$1,0),1))*AP645)+(T645*INDEX(Variables!$B$9:$D$9,IFERROR(MATCH(IF($B645="Robusta","Robusta",(IF($B645="","Arabica",$B645))&amp;" - "&amp;(IF($C645="","Commercial",$C645))),Variables!$B$1:$D$1,0),1))*AP645/365),""))</f>
        <v/>
      </c>
      <c r="AV645" s="11" t="str">
        <f t="shared" si="70"/>
        <v/>
      </c>
      <c r="AW645" s="12" t="str">
        <f>IF($H645="Cancelled","",IFERROR(IF(AV645="","",(T645*INDEX(Variables!$B$7:$D$7,IFERROR(MATCH(IF($B645="Robusta","Robusta",(IF($B645="","Arabica",$B645))&amp;" - "&amp;(IF($C645="","Commercial",$C645))),Variables!$B$1:$D$1,0),1))*(AV645/365))+(T645*INDEX(Variables!$B$9:$D$9,IFERROR(MATCH(IF($B645="Robusta","Robusta",(IF($B645="","Arabica",$B645))&amp;" - "&amp;(IF($C645="","Commercial",$C645))),Variables!$B$1:$D$1,0),1))*(AV645/365))+(INDEX(Variables!$B$8:$D$8,IFERROR(MATCH(IF($B645="Robusta","Robusta",(IF($B645="","Arabica",$B645))&amp;" - "&amp;(IF($C645="","Commercial",$C645))),Variables!$B$1:$D$1,0),1))*L645/16.67)),""))</f>
        <v/>
      </c>
      <c r="AX645" s="9"/>
      <c r="AY645" s="12"/>
      <c r="AZ645" s="10"/>
      <c r="BA645" s="9"/>
      <c r="BB645" s="10"/>
      <c r="BC645" s="9"/>
      <c r="BD645" s="9"/>
      <c r="BE645" s="9"/>
      <c r="BF645" s="9"/>
    </row>
    <row r="646" spans="1:58" x14ac:dyDescent="0.25">
      <c r="A646" s="9" t="s">
        <v>84</v>
      </c>
      <c r="B646" s="9" t="s">
        <v>85</v>
      </c>
      <c r="C646" s="9" t="s">
        <v>1486</v>
      </c>
      <c r="D646" s="10">
        <v>45352</v>
      </c>
      <c r="E646" s="10">
        <v>45383</v>
      </c>
      <c r="F646" s="10">
        <v>45412</v>
      </c>
      <c r="G646" s="9">
        <v>3786160</v>
      </c>
      <c r="H646" s="9" t="str">
        <f t="shared" si="68"/>
        <v>Closed</v>
      </c>
      <c r="I646" s="9" t="str">
        <f t="shared" si="69"/>
        <v>All dates received</v>
      </c>
      <c r="J646" s="9" t="s">
        <v>1552</v>
      </c>
      <c r="K646" s="9">
        <v>4783</v>
      </c>
      <c r="L646" s="11">
        <v>45</v>
      </c>
      <c r="M646" s="9" t="s">
        <v>1553</v>
      </c>
      <c r="N646" s="9"/>
      <c r="O646" s="9"/>
      <c r="P646" s="9"/>
      <c r="Q646" s="11"/>
      <c r="R646" s="9" t="s">
        <v>195</v>
      </c>
      <c r="S646" s="9" t="s">
        <v>207</v>
      </c>
      <c r="T646" s="12">
        <f>IF($H646="Cancelled","",IFERROR(((Q646+INDEX(Variables!$B$6:$D$6,IFERROR(MATCH(IF($B646="Robusta","Robusta",(IF($B646="","Arabica",$B646))&amp;" - "&amp;(IF($C646="","Commercial",$C646))),Variables!$B$1:$D$1,0),1)))*22.0462)*(L646/16.67),""))</f>
        <v>17306.333125374924</v>
      </c>
      <c r="U646" s="10"/>
      <c r="V646" s="9" t="str">
        <f t="shared" si="71"/>
        <v/>
      </c>
      <c r="W646" s="10">
        <v>45371</v>
      </c>
      <c r="X646" s="9" t="str">
        <f t="shared" si="67"/>
        <v>Approved</v>
      </c>
      <c r="Y646" s="10">
        <v>45381</v>
      </c>
      <c r="Z646" s="10">
        <f>IF($H646="Cancelled","",IFERROR(IF(F646="","",F646-Variables!$B$13),""))</f>
        <v>45397</v>
      </c>
      <c r="AA646" s="11">
        <f>IF($H646="Cancelled","",IFERROR(IF(W646="","",(AVERAGE(E646:F646)-W646)-Variables!$B$14),""))</f>
        <v>-3.5</v>
      </c>
      <c r="AB646" s="10">
        <v>45411</v>
      </c>
      <c r="AC646" s="11">
        <f>IF($H646="Cancelled","",IFERROR(IF(AB646="","",IF(AND(W646="",Y646=""),"",IF(Y646&gt;W646,Y646+Variables!$B$15+Variables!$B$16+Variables!$B$17-AB646,W646+Variables!$B$16+Variables!$B$17-AB646))),""))</f>
        <v>-15</v>
      </c>
      <c r="AD646" s="9" t="s">
        <v>180</v>
      </c>
      <c r="AE646" s="9" t="s">
        <v>267</v>
      </c>
      <c r="AF646" s="10"/>
      <c r="AG646" s="10"/>
      <c r="AH646" s="9"/>
      <c r="AI646" s="9" t="s">
        <v>1554</v>
      </c>
      <c r="AJ646" s="9">
        <v>9148513776</v>
      </c>
      <c r="AK646" s="10">
        <v>45420</v>
      </c>
      <c r="AL646" s="10">
        <v>45421</v>
      </c>
      <c r="AM646" s="10">
        <v>45428</v>
      </c>
      <c r="AN646" s="9" t="s">
        <v>1492</v>
      </c>
      <c r="AO646" s="9"/>
      <c r="AP646" s="11">
        <f>IF($H646="Cancelled","",IFERROR(IF(OR(AK646="",AB646=""),"",(AB646+Variables!$B$18-AK646)),""))</f>
        <v>-2</v>
      </c>
      <c r="AQ646" s="11">
        <f>IF($H646="Cancelled","",IFERROR(IF(OR(AM646="",AK646=""),"",(AK646+Variables!$B$19)-AM646),""))</f>
        <v>-3</v>
      </c>
      <c r="AR646" s="12">
        <f>IF($H646="Cancelled","",IFERROR(T646*INDEX(Variables!$B$7:$D$7,IFERROR(MATCH(IF($B646="Robusta","Robusta",(IF($B646="","Arabica",$B646))&amp;" - "&amp;(IF($C646="","Commercial",$C646))),Variables!$B$1:$D$1,0),1))*(AQ646/365),""))</f>
        <v>-9.1721953467702804</v>
      </c>
      <c r="AS646" s="12">
        <f>IF($H646="Cancelled","",IFERROR((T646*INDEX(Variables!$B$7:$D$7,IFERROR(MATCH(IF($B646="Robusta","Robusta",(IF($B646="","Arabica",$B646))&amp;" - "&amp;(IF($C646="","Commercial",$C646))),Variables!$B$1:$D$1,0),1))*IFERROR(IF(W646="","",(AVERAGE(E646:F646)-W646)-Variables!$B$14),"")/365)+(L646/16.67*INDEX(Variables!$B$8:$D$8,IFERROR(MATCH(IF($B646="Robusta","Robusta",(IF($B646="","Arabica",$B646))&amp;" - "&amp;(IF($C646="","Commercial",$C646))),Variables!$B$1:$D$1,0),1))*IFERROR(IF(W646="","",(AVERAGE(E646:F646)-W646)-Variables!$B$14),""))+(T646*INDEX(Variables!$B$9:$D$9,IFERROR(MATCH(IF($B646="Robusta","Robusta",(IF($B646="","Arabica",$B646))&amp;" - "&amp;(IF($C646="","Commercial",$C646))),Variables!$B$1:$D$1,0),1))*IFERROR(IF(W646="","",(AVERAGE(E646:F646)-W646)-Variables!$B$14),"")/365),""))</f>
        <v>-18.713849753546889</v>
      </c>
      <c r="AT646" s="12">
        <f>IF($H646="Cancelled","",IFERROR((T646*INDEX(Variables!$B$7:$D$7,IFERROR(MATCH(IF($B646="Robusta","Robusta",(IF($B646="","Arabica",$B646))&amp;" - "&amp;(IF($C646="","Commercial",$C646))),Variables!$B$1:$D$1,0),1))*AC646/365)+(L646/16.67*INDEX(Variables!$B$8:$D$8,IFERROR(MATCH(IF($B646="Robusta","Robusta",(IF($B646="","Arabica",$B646))&amp;" - "&amp;(IF($C646="","Commercial",$C646))),Variables!$B$1:$D$1,0),1))*AC646)+(T646*INDEX(Variables!$B$9:$D$9,IFERROR(MATCH(IF($B646="Robusta","Robusta",(IF($B646="","Arabica",$B646))&amp;" - "&amp;(IF($C646="","Commercial",$C646))),Variables!$B$1:$D$1,0),1))*AC646/365),""))</f>
        <v>-80.202213229486659</v>
      </c>
      <c r="AU646" s="12">
        <f>IF($H646="Cancelled","",IFERROR((T646*INDEX(Variables!$B$7:$D$7,IFERROR(MATCH(IF($B646="Robusta","Robusta",(IF($B646="","Arabica",$B646))&amp;" - "&amp;(IF($C646="","Commercial",$C646))),Variables!$B$1:$D$1,0),1))*AP646/365)+(L646/16.67*INDEX(Variables!$B$8:$D$8,IFERROR(MATCH(IF($B646="Robusta","Robusta",(IF($B646="","Arabica",$B646))&amp;" - "&amp;(IF($C646="","Commercial",$C646))),Variables!$B$1:$D$1,0),1))*AP646)+(T646*INDEX(Variables!$B$9:$D$9,IFERROR(MATCH(IF($B646="Robusta","Robusta",(IF($B646="","Arabica",$B646))&amp;" - "&amp;(IF($C646="","Commercial",$C646))),Variables!$B$1:$D$1,0),1))*AP646/365),""))</f>
        <v>-10.693628430598221</v>
      </c>
      <c r="AV646" s="11">
        <f t="shared" si="70"/>
        <v>-8</v>
      </c>
      <c r="AW646" s="12">
        <f>IF($H646="Cancelled","",IFERROR(IF(AV646="","",(T646*INDEX(Variables!$B$7:$D$7,IFERROR(MATCH(IF($B646="Robusta","Robusta",(IF($B646="","Arabica",$B646))&amp;" - "&amp;(IF($C646="","Commercial",$C646))),Variables!$B$1:$D$1,0),1))*(AV646/365))+(T646*INDEX(Variables!$B$9:$D$9,IFERROR(MATCH(IF($B646="Robusta","Robusta",(IF($B646="","Arabica",$B646))&amp;" - "&amp;(IF($C646="","Commercial",$C646))),Variables!$B$1:$D$1,0),1))*(AV646/365))+(INDEX(Variables!$B$8:$D$8,IFERROR(MATCH(IF($B646="Robusta","Robusta",(IF($B646="","Arabica",$B646))&amp;" - "&amp;(IF($C646="","Commercial",$C646))),Variables!$B$1:$D$1,0),1))*L646/16.67)),""))</f>
        <v>-22.524513722392882</v>
      </c>
      <c r="AX646" s="9"/>
      <c r="AY646" s="12"/>
      <c r="AZ646" s="10"/>
      <c r="BA646" s="9"/>
      <c r="BB646" s="10"/>
      <c r="BC646" s="9"/>
      <c r="BD646" s="9"/>
      <c r="BE646" s="9"/>
      <c r="BF646" s="9"/>
    </row>
    <row r="647" spans="1:58" x14ac:dyDescent="0.25">
      <c r="A647" s="9" t="s">
        <v>84</v>
      </c>
      <c r="B647" s="9" t="s">
        <v>85</v>
      </c>
      <c r="C647" s="9" t="s">
        <v>1486</v>
      </c>
      <c r="D647" s="10">
        <v>45352</v>
      </c>
      <c r="E647" s="10">
        <v>45383</v>
      </c>
      <c r="F647" s="10">
        <v>45412</v>
      </c>
      <c r="G647" s="9">
        <v>3786161</v>
      </c>
      <c r="H647" s="9" t="str">
        <f t="shared" si="68"/>
        <v>Closed</v>
      </c>
      <c r="I647" s="9" t="str">
        <f t="shared" si="69"/>
        <v>All dates received</v>
      </c>
      <c r="J647" s="9" t="s">
        <v>1552</v>
      </c>
      <c r="K647" s="9">
        <v>4784</v>
      </c>
      <c r="L647" s="11">
        <v>30</v>
      </c>
      <c r="M647" s="9" t="s">
        <v>1555</v>
      </c>
      <c r="N647" s="9"/>
      <c r="O647" s="9"/>
      <c r="P647" s="9"/>
      <c r="Q647" s="11"/>
      <c r="R647" s="9" t="s">
        <v>195</v>
      </c>
      <c r="S647" s="9" t="s">
        <v>207</v>
      </c>
      <c r="T647" s="12">
        <f>IF($H647="Cancelled","",IFERROR(((Q647+INDEX(Variables!$B$6:$D$6,IFERROR(MATCH(IF($B647="Robusta","Robusta",(IF($B647="","Arabica",$B647))&amp;" - "&amp;(IF($C647="","Commercial",$C647))),Variables!$B$1:$D$1,0),1)))*22.0462)*(L647/16.67),""))</f>
        <v>11537.555416916615</v>
      </c>
      <c r="U647" s="10"/>
      <c r="V647" s="9" t="str">
        <f t="shared" si="71"/>
        <v/>
      </c>
      <c r="W647" s="10">
        <v>45371</v>
      </c>
      <c r="X647" s="9" t="str">
        <f t="shared" si="67"/>
        <v>Approved</v>
      </c>
      <c r="Y647" s="10">
        <v>45381</v>
      </c>
      <c r="Z647" s="10">
        <f>IF($H647="Cancelled","",IFERROR(IF(F647="","",F647-Variables!$B$13),""))</f>
        <v>45397</v>
      </c>
      <c r="AA647" s="11">
        <f>IF($H647="Cancelled","",IFERROR(IF(W647="","",(AVERAGE(E647:F647)-W647)-Variables!$B$14),""))</f>
        <v>-3.5</v>
      </c>
      <c r="AB647" s="10">
        <v>45411</v>
      </c>
      <c r="AC647" s="11">
        <f>IF($H647="Cancelled","",IFERROR(IF(AB647="","",IF(AND(W647="",Y647=""),"",IF(Y647&gt;W647,Y647+Variables!$B$15+Variables!$B$16+Variables!$B$17-AB647,W647+Variables!$B$16+Variables!$B$17-AB647))),""))</f>
        <v>-15</v>
      </c>
      <c r="AD647" s="9" t="s">
        <v>180</v>
      </c>
      <c r="AE647" s="9" t="s">
        <v>267</v>
      </c>
      <c r="AF647" s="10"/>
      <c r="AG647" s="10"/>
      <c r="AH647" s="9"/>
      <c r="AI647" s="9" t="s">
        <v>1554</v>
      </c>
      <c r="AJ647" s="9">
        <v>9148513776</v>
      </c>
      <c r="AK647" s="10">
        <v>45420</v>
      </c>
      <c r="AL647" s="10">
        <v>45421</v>
      </c>
      <c r="AM647" s="10">
        <v>45428</v>
      </c>
      <c r="AN647" s="9" t="s">
        <v>1492</v>
      </c>
      <c r="AO647" s="9"/>
      <c r="AP647" s="11">
        <f>IF($H647="Cancelled","",IFERROR(IF(OR(AK647="",AB647=""),"",(AB647+Variables!$B$18-AK647)),""))</f>
        <v>-2</v>
      </c>
      <c r="AQ647" s="11">
        <f>IF($H647="Cancelled","",IFERROR(IF(OR(AM647="",AK647=""),"",(AK647+Variables!$B$19)-AM647),""))</f>
        <v>-3</v>
      </c>
      <c r="AR647" s="12">
        <f>IF($H647="Cancelled","",IFERROR(T647*INDEX(Variables!$B$7:$D$7,IFERROR(MATCH(IF($B647="Robusta","Robusta",(IF($B647="","Arabica",$B647))&amp;" - "&amp;(IF($C647="","Commercial",$C647))),Variables!$B$1:$D$1,0),1))*(AQ647/365),""))</f>
        <v>-6.1147968978468539</v>
      </c>
      <c r="AS647" s="12">
        <f>IF($H647="Cancelled","",IFERROR((T647*INDEX(Variables!$B$7:$D$7,IFERROR(MATCH(IF($B647="Robusta","Robusta",(IF($B647="","Arabica",$B647))&amp;" - "&amp;(IF($C647="","Commercial",$C647))),Variables!$B$1:$D$1,0),1))*IFERROR(IF(W647="","",(AVERAGE(E647:F647)-W647)-Variables!$B$14),"")/365)+(L647/16.67*INDEX(Variables!$B$8:$D$8,IFERROR(MATCH(IF($B647="Robusta","Robusta",(IF($B647="","Arabica",$B647))&amp;" - "&amp;(IF($C647="","Commercial",$C647))),Variables!$B$1:$D$1,0),1))*IFERROR(IF(W647="","",(AVERAGE(E647:F647)-W647)-Variables!$B$14),""))+(T647*INDEX(Variables!$B$9:$D$9,IFERROR(MATCH(IF($B647="Robusta","Robusta",(IF($B647="","Arabica",$B647))&amp;" - "&amp;(IF($C647="","Commercial",$C647))),Variables!$B$1:$D$1,0),1))*IFERROR(IF(W647="","",(AVERAGE(E647:F647)-W647)-Variables!$B$14),"")/365),""))</f>
        <v>-12.475899835697923</v>
      </c>
      <c r="AT647" s="12">
        <f>IF($H647="Cancelled","",IFERROR((T647*INDEX(Variables!$B$7:$D$7,IFERROR(MATCH(IF($B647="Robusta","Robusta",(IF($B647="","Arabica",$B647))&amp;" - "&amp;(IF($C647="","Commercial",$C647))),Variables!$B$1:$D$1,0),1))*AC647/365)+(L647/16.67*INDEX(Variables!$B$8:$D$8,IFERROR(MATCH(IF($B647="Robusta","Robusta",(IF($B647="","Arabica",$B647))&amp;" - "&amp;(IF($C647="","Commercial",$C647))),Variables!$B$1:$D$1,0),1))*AC647)+(T647*INDEX(Variables!$B$9:$D$9,IFERROR(MATCH(IF($B647="Robusta","Robusta",(IF($B647="","Arabica",$B647))&amp;" - "&amp;(IF($C647="","Commercial",$C647))),Variables!$B$1:$D$1,0),1))*AC647/365),""))</f>
        <v>-53.468142152991106</v>
      </c>
      <c r="AU647" s="12">
        <f>IF($H647="Cancelled","",IFERROR((T647*INDEX(Variables!$B$7:$D$7,IFERROR(MATCH(IF($B647="Robusta","Robusta",(IF($B647="","Arabica",$B647))&amp;" - "&amp;(IF($C647="","Commercial",$C647))),Variables!$B$1:$D$1,0),1))*AP647/365)+(L647/16.67*INDEX(Variables!$B$8:$D$8,IFERROR(MATCH(IF($B647="Robusta","Robusta",(IF($B647="","Arabica",$B647))&amp;" - "&amp;(IF($C647="","Commercial",$C647))),Variables!$B$1:$D$1,0),1))*AP647)+(T647*INDEX(Variables!$B$9:$D$9,IFERROR(MATCH(IF($B647="Robusta","Robusta",(IF($B647="","Arabica",$B647))&amp;" - "&amp;(IF($C647="","Commercial",$C647))),Variables!$B$1:$D$1,0),1))*AP647/365),""))</f>
        <v>-7.1290856203988131</v>
      </c>
      <c r="AV647" s="11">
        <f t="shared" si="70"/>
        <v>-8</v>
      </c>
      <c r="AW647" s="12">
        <f>IF($H647="Cancelled","",IFERROR(IF(AV647="","",(T647*INDEX(Variables!$B$7:$D$7,IFERROR(MATCH(IF($B647="Robusta","Robusta",(IF($B647="","Arabica",$B647))&amp;" - "&amp;(IF($C647="","Commercial",$C647))),Variables!$B$1:$D$1,0),1))*(AV647/365))+(T647*INDEX(Variables!$B$9:$D$9,IFERROR(MATCH(IF($B647="Robusta","Robusta",(IF($B647="","Arabica",$B647))&amp;" - "&amp;(IF($C647="","Commercial",$C647))),Variables!$B$1:$D$1,0),1))*(AV647/365))+(INDEX(Variables!$B$8:$D$8,IFERROR(MATCH(IF($B647="Robusta","Robusta",(IF($B647="","Arabica",$B647))&amp;" - "&amp;(IF($C647="","Commercial",$C647))),Variables!$B$1:$D$1,0),1))*L647/16.67)),""))</f>
        <v>-15.016342481595252</v>
      </c>
      <c r="AX647" s="9"/>
      <c r="AY647" s="12"/>
      <c r="AZ647" s="10"/>
      <c r="BA647" s="9"/>
      <c r="BB647" s="10"/>
      <c r="BC647" s="9"/>
      <c r="BD647" s="9"/>
      <c r="BE647" s="9"/>
      <c r="BF647" s="9"/>
    </row>
    <row r="648" spans="1:58" x14ac:dyDescent="0.25">
      <c r="A648" s="9" t="s">
        <v>84</v>
      </c>
      <c r="B648" s="9" t="s">
        <v>85</v>
      </c>
      <c r="C648" s="9" t="s">
        <v>1486</v>
      </c>
      <c r="D648" s="10">
        <v>45352</v>
      </c>
      <c r="E648" s="10">
        <v>45383</v>
      </c>
      <c r="F648" s="10">
        <v>45412</v>
      </c>
      <c r="G648" s="9">
        <v>3786154</v>
      </c>
      <c r="H648" s="9" t="str">
        <f t="shared" si="68"/>
        <v>Closed</v>
      </c>
      <c r="I648" s="9" t="str">
        <f t="shared" si="69"/>
        <v>All dates received</v>
      </c>
      <c r="J648" s="9" t="s">
        <v>235</v>
      </c>
      <c r="K648" s="9">
        <v>4901</v>
      </c>
      <c r="L648" s="11">
        <v>40</v>
      </c>
      <c r="M648" s="9" t="s">
        <v>1556</v>
      </c>
      <c r="N648" s="9"/>
      <c r="O648" s="9"/>
      <c r="P648" s="9"/>
      <c r="Q648" s="11"/>
      <c r="R648" s="9" t="s">
        <v>195</v>
      </c>
      <c r="S648" s="9" t="s">
        <v>1536</v>
      </c>
      <c r="T648" s="12">
        <f>IF($H648="Cancelled","",IFERROR(((Q648+INDEX(Variables!$B$6:$D$6,IFERROR(MATCH(IF($B648="Robusta","Robusta",(IF($B648="","Arabica",$B648))&amp;" - "&amp;(IF($C648="","Commercial",$C648))),Variables!$B$1:$D$1,0),1)))*22.0462)*(L648/16.67),""))</f>
        <v>15383.407222555488</v>
      </c>
      <c r="U648" s="10"/>
      <c r="V648" s="9" t="str">
        <f t="shared" si="71"/>
        <v/>
      </c>
      <c r="W648" s="10">
        <v>45371</v>
      </c>
      <c r="X648" s="9" t="str">
        <f t="shared" si="67"/>
        <v>Approved</v>
      </c>
      <c r="Y648" s="10">
        <v>45412</v>
      </c>
      <c r="Z648" s="10">
        <f>IF($H648="Cancelled","",IFERROR(IF(F648="","",F648-Variables!$B$13),""))</f>
        <v>45397</v>
      </c>
      <c r="AA648" s="11">
        <f>IF($H648="Cancelled","",IFERROR(IF(W648="","",(AVERAGE(E648:F648)-W648)-Variables!$B$14),""))</f>
        <v>-3.5</v>
      </c>
      <c r="AB648" s="10">
        <v>45425</v>
      </c>
      <c r="AC648" s="11">
        <f>IF($H648="Cancelled","",IFERROR(IF(AB648="","",IF(AND(W648="",Y648=""),"",IF(Y648&gt;W648,Y648+Variables!$B$15+Variables!$B$16+Variables!$B$17-AB648,W648+Variables!$B$16+Variables!$B$17-AB648))),""))</f>
        <v>2</v>
      </c>
      <c r="AD648" s="9" t="s">
        <v>107</v>
      </c>
      <c r="AE648" s="9" t="s">
        <v>1557</v>
      </c>
      <c r="AF648" s="10"/>
      <c r="AG648" s="10"/>
      <c r="AH648" s="9"/>
      <c r="AI648" s="9" t="s">
        <v>1558</v>
      </c>
      <c r="AJ648" s="9" t="s">
        <v>8</v>
      </c>
      <c r="AK648" s="10">
        <v>45434</v>
      </c>
      <c r="AL648" s="10">
        <v>45436</v>
      </c>
      <c r="AM648" s="10">
        <v>45441</v>
      </c>
      <c r="AN648" s="9" t="s">
        <v>1492</v>
      </c>
      <c r="AO648" s="9"/>
      <c r="AP648" s="11">
        <f>IF($H648="Cancelled","",IFERROR(IF(OR(AK648="",AB648=""),"",(AB648+Variables!$B$18-AK648)),""))</f>
        <v>-2</v>
      </c>
      <c r="AQ648" s="11">
        <f>IF($H648="Cancelled","",IFERROR(IF(OR(AM648="",AK648=""),"",(AK648+Variables!$B$19)-AM648),""))</f>
        <v>-2</v>
      </c>
      <c r="AR648" s="12">
        <f>IF($H648="Cancelled","",IFERROR(T648*INDEX(Variables!$B$7:$D$7,IFERROR(MATCH(IF($B648="Robusta","Robusta",(IF($B648="","Arabica",$B648))&amp;" - "&amp;(IF($C648="","Commercial",$C648))),Variables!$B$1:$D$1,0),1))*(AQ648/365),""))</f>
        <v>-5.4353750203083155</v>
      </c>
      <c r="AS648" s="12">
        <f>IF($H648="Cancelled","",IFERROR((T648*INDEX(Variables!$B$7:$D$7,IFERROR(MATCH(IF($B648="Robusta","Robusta",(IF($B648="","Arabica",$B648))&amp;" - "&amp;(IF($C648="","Commercial",$C648))),Variables!$B$1:$D$1,0),1))*IFERROR(IF(W648="","",(AVERAGE(E648:F648)-W648)-Variables!$B$14),"")/365)+(L648/16.67*INDEX(Variables!$B$8:$D$8,IFERROR(MATCH(IF($B648="Robusta","Robusta",(IF($B648="","Arabica",$B648))&amp;" - "&amp;(IF($C648="","Commercial",$C648))),Variables!$B$1:$D$1,0),1))*IFERROR(IF(W648="","",(AVERAGE(E648:F648)-W648)-Variables!$B$14),""))+(T648*INDEX(Variables!$B$9:$D$9,IFERROR(MATCH(IF($B648="Robusta","Robusta",(IF($B648="","Arabica",$B648))&amp;" - "&amp;(IF($C648="","Commercial",$C648))),Variables!$B$1:$D$1,0),1))*IFERROR(IF(W648="","",(AVERAGE(E648:F648)-W648)-Variables!$B$14),"")/365),""))</f>
        <v>-16.634533114263899</v>
      </c>
      <c r="AT648" s="12">
        <f>IF($H648="Cancelled","",IFERROR((T648*INDEX(Variables!$B$7:$D$7,IFERROR(MATCH(IF($B648="Robusta","Robusta",(IF($B648="","Arabica",$B648))&amp;" - "&amp;(IF($C648="","Commercial",$C648))),Variables!$B$1:$D$1,0),1))*AC648/365)+(L648/16.67*INDEX(Variables!$B$8:$D$8,IFERROR(MATCH(IF($B648="Robusta","Robusta",(IF($B648="","Arabica",$B648))&amp;" - "&amp;(IF($C648="","Commercial",$C648))),Variables!$B$1:$D$1,0),1))*AC648)+(T648*INDEX(Variables!$B$9:$D$9,IFERROR(MATCH(IF($B648="Robusta","Robusta",(IF($B648="","Arabica",$B648))&amp;" - "&amp;(IF($C648="","Commercial",$C648))),Variables!$B$1:$D$1,0),1))*AC648/365),""))</f>
        <v>9.5054474938650841</v>
      </c>
      <c r="AU648" s="12">
        <f>IF($H648="Cancelled","",IFERROR((T648*INDEX(Variables!$B$7:$D$7,IFERROR(MATCH(IF($B648="Robusta","Robusta",(IF($B648="","Arabica",$B648))&amp;" - "&amp;(IF($C648="","Commercial",$C648))),Variables!$B$1:$D$1,0),1))*AP648/365)+(L648/16.67*INDEX(Variables!$B$8:$D$8,IFERROR(MATCH(IF($B648="Robusta","Robusta",(IF($B648="","Arabica",$B648))&amp;" - "&amp;(IF($C648="","Commercial",$C648))),Variables!$B$1:$D$1,0),1))*AP648)+(T648*INDEX(Variables!$B$9:$D$9,IFERROR(MATCH(IF($B648="Robusta","Robusta",(IF($B648="","Arabica",$B648))&amp;" - "&amp;(IF($C648="","Commercial",$C648))),Variables!$B$1:$D$1,0),1))*AP648/365),""))</f>
        <v>-9.5054474938650841</v>
      </c>
      <c r="AV648" s="11">
        <f t="shared" si="70"/>
        <v>-22</v>
      </c>
      <c r="AW648" s="12">
        <f>IF($H648="Cancelled","",IFERROR(IF(AV648="","",(T648*INDEX(Variables!$B$7:$D$7,IFERROR(MATCH(IF($B648="Robusta","Robusta",(IF($B648="","Arabica",$B648))&amp;" - "&amp;(IF($C648="","Commercial",$C648))),Variables!$B$1:$D$1,0),1))*(AV648/365))+(T648*INDEX(Variables!$B$9:$D$9,IFERROR(MATCH(IF($B648="Robusta","Robusta",(IF($B648="","Arabica",$B648))&amp;" - "&amp;(IF($C648="","Commercial",$C648))),Variables!$B$1:$D$1,0),1))*(AV648/365))+(INDEX(Variables!$B$8:$D$8,IFERROR(MATCH(IF($B648="Robusta","Robusta",(IF($B648="","Arabica",$B648))&amp;" - "&amp;(IF($C648="","Commercial",$C648))),Variables!$B$1:$D$1,0),1))*L648/16.67)),""))</f>
        <v>-58.559922432515933</v>
      </c>
      <c r="AX648" s="9"/>
      <c r="AY648" s="12"/>
      <c r="AZ648" s="10"/>
      <c r="BA648" s="9"/>
      <c r="BB648" s="10"/>
      <c r="BC648" s="9"/>
      <c r="BD648" s="9"/>
      <c r="BE648" s="9"/>
      <c r="BF648" s="9"/>
    </row>
    <row r="649" spans="1:58" x14ac:dyDescent="0.25">
      <c r="A649" s="9" t="s">
        <v>84</v>
      </c>
      <c r="B649" s="9" t="s">
        <v>85</v>
      </c>
      <c r="C649" s="9" t="s">
        <v>1486</v>
      </c>
      <c r="D649" s="10">
        <v>45352</v>
      </c>
      <c r="E649" s="10">
        <v>45383</v>
      </c>
      <c r="F649" s="10">
        <v>45412</v>
      </c>
      <c r="G649" s="9">
        <v>3786155</v>
      </c>
      <c r="H649" s="9" t="str">
        <f t="shared" si="68"/>
        <v>Closed</v>
      </c>
      <c r="I649" s="9" t="str">
        <f t="shared" si="69"/>
        <v>All dates received</v>
      </c>
      <c r="J649" s="9" t="s">
        <v>235</v>
      </c>
      <c r="K649" s="9">
        <v>4902</v>
      </c>
      <c r="L649" s="11">
        <v>60</v>
      </c>
      <c r="M649" s="9" t="s">
        <v>1559</v>
      </c>
      <c r="N649" s="9"/>
      <c r="O649" s="9"/>
      <c r="P649" s="9"/>
      <c r="Q649" s="11"/>
      <c r="R649" s="9" t="s">
        <v>195</v>
      </c>
      <c r="S649" s="9" t="s">
        <v>1536</v>
      </c>
      <c r="T649" s="12">
        <f>IF($H649="Cancelled","",IFERROR(((Q649+INDEX(Variables!$B$6:$D$6,IFERROR(MATCH(IF($B649="Robusta","Robusta",(IF($B649="","Arabica",$B649))&amp;" - "&amp;(IF($C649="","Commercial",$C649))),Variables!$B$1:$D$1,0),1)))*22.0462)*(L649/16.67),""))</f>
        <v>23075.110833833231</v>
      </c>
      <c r="U649" s="10"/>
      <c r="V649" s="9" t="str">
        <f t="shared" si="71"/>
        <v/>
      </c>
      <c r="W649" s="10">
        <v>45371</v>
      </c>
      <c r="X649" s="9" t="str">
        <f t="shared" si="67"/>
        <v>Approved</v>
      </c>
      <c r="Y649" s="10">
        <v>45412</v>
      </c>
      <c r="Z649" s="10">
        <f>IF($H649="Cancelled","",IFERROR(IF(F649="","",F649-Variables!$B$13),""))</f>
        <v>45397</v>
      </c>
      <c r="AA649" s="11">
        <f>IF($H649="Cancelled","",IFERROR(IF(W649="","",(AVERAGE(E649:F649)-W649)-Variables!$B$14),""))</f>
        <v>-3.5</v>
      </c>
      <c r="AB649" s="10">
        <v>45425</v>
      </c>
      <c r="AC649" s="11">
        <f>IF($H649="Cancelled","",IFERROR(IF(AB649="","",IF(AND(W649="",Y649=""),"",IF(Y649&gt;W649,Y649+Variables!$B$15+Variables!$B$16+Variables!$B$17-AB649,W649+Variables!$B$16+Variables!$B$17-AB649))),""))</f>
        <v>2</v>
      </c>
      <c r="AD649" s="9" t="s">
        <v>107</v>
      </c>
      <c r="AE649" s="9" t="s">
        <v>1557</v>
      </c>
      <c r="AF649" s="10"/>
      <c r="AG649" s="10"/>
      <c r="AH649" s="9"/>
      <c r="AI649" s="9" t="s">
        <v>1558</v>
      </c>
      <c r="AJ649" s="9" t="s">
        <v>8</v>
      </c>
      <c r="AK649" s="10">
        <v>45434</v>
      </c>
      <c r="AL649" s="10">
        <v>45436</v>
      </c>
      <c r="AM649" s="10">
        <v>45441</v>
      </c>
      <c r="AN649" s="9" t="s">
        <v>1492</v>
      </c>
      <c r="AO649" s="9"/>
      <c r="AP649" s="11">
        <f>IF($H649="Cancelled","",IFERROR(IF(OR(AK649="",AB649=""),"",(AB649+Variables!$B$18-AK649)),""))</f>
        <v>-2</v>
      </c>
      <c r="AQ649" s="11">
        <f>IF($H649="Cancelled","",IFERROR(IF(OR(AM649="",AK649=""),"",(AK649+Variables!$B$19)-AM649),""))</f>
        <v>-2</v>
      </c>
      <c r="AR649" s="12">
        <f>IF($H649="Cancelled","",IFERROR(T649*INDEX(Variables!$B$7:$D$7,IFERROR(MATCH(IF($B649="Robusta","Robusta",(IF($B649="","Arabica",$B649))&amp;" - "&amp;(IF($C649="","Commercial",$C649))),Variables!$B$1:$D$1,0),1))*(AQ649/365),""))</f>
        <v>-8.1530625304624724</v>
      </c>
      <c r="AS649" s="12">
        <f>IF($H649="Cancelled","",IFERROR((T649*INDEX(Variables!$B$7:$D$7,IFERROR(MATCH(IF($B649="Robusta","Robusta",(IF($B649="","Arabica",$B649))&amp;" - "&amp;(IF($C649="","Commercial",$C649))),Variables!$B$1:$D$1,0),1))*IFERROR(IF(W649="","",(AVERAGE(E649:F649)-W649)-Variables!$B$14),"")/365)+(L649/16.67*INDEX(Variables!$B$8:$D$8,IFERROR(MATCH(IF($B649="Robusta","Robusta",(IF($B649="","Arabica",$B649))&amp;" - "&amp;(IF($C649="","Commercial",$C649))),Variables!$B$1:$D$1,0),1))*IFERROR(IF(W649="","",(AVERAGE(E649:F649)-W649)-Variables!$B$14),""))+(T649*INDEX(Variables!$B$9:$D$9,IFERROR(MATCH(IF($B649="Robusta","Robusta",(IF($B649="","Arabica",$B649))&amp;" - "&amp;(IF($C649="","Commercial",$C649))),Variables!$B$1:$D$1,0),1))*IFERROR(IF(W649="","",(AVERAGE(E649:F649)-W649)-Variables!$B$14),"")/365),""))</f>
        <v>-24.951799671395847</v>
      </c>
      <c r="AT649" s="12">
        <f>IF($H649="Cancelled","",IFERROR((T649*INDEX(Variables!$B$7:$D$7,IFERROR(MATCH(IF($B649="Robusta","Robusta",(IF($B649="","Arabica",$B649))&amp;" - "&amp;(IF($C649="","Commercial",$C649))),Variables!$B$1:$D$1,0),1))*AC649/365)+(L649/16.67*INDEX(Variables!$B$8:$D$8,IFERROR(MATCH(IF($B649="Robusta","Robusta",(IF($B649="","Arabica",$B649))&amp;" - "&amp;(IF($C649="","Commercial",$C649))),Variables!$B$1:$D$1,0),1))*AC649)+(T649*INDEX(Variables!$B$9:$D$9,IFERROR(MATCH(IF($B649="Robusta","Robusta",(IF($B649="","Arabica",$B649))&amp;" - "&amp;(IF($C649="","Commercial",$C649))),Variables!$B$1:$D$1,0),1))*AC649/365),""))</f>
        <v>14.258171240797626</v>
      </c>
      <c r="AU649" s="12">
        <f>IF($H649="Cancelled","",IFERROR((T649*INDEX(Variables!$B$7:$D$7,IFERROR(MATCH(IF($B649="Robusta","Robusta",(IF($B649="","Arabica",$B649))&amp;" - "&amp;(IF($C649="","Commercial",$C649))),Variables!$B$1:$D$1,0),1))*AP649/365)+(L649/16.67*INDEX(Variables!$B$8:$D$8,IFERROR(MATCH(IF($B649="Robusta","Robusta",(IF($B649="","Arabica",$B649))&amp;" - "&amp;(IF($C649="","Commercial",$C649))),Variables!$B$1:$D$1,0),1))*AP649)+(T649*INDEX(Variables!$B$9:$D$9,IFERROR(MATCH(IF($B649="Robusta","Robusta",(IF($B649="","Arabica",$B649))&amp;" - "&amp;(IF($C649="","Commercial",$C649))),Variables!$B$1:$D$1,0),1))*AP649/365),""))</f>
        <v>-14.258171240797626</v>
      </c>
      <c r="AV649" s="11">
        <f t="shared" si="70"/>
        <v>-22</v>
      </c>
      <c r="AW649" s="12">
        <f>IF($H649="Cancelled","",IFERROR(IF(AV649="","",(T649*INDEX(Variables!$B$7:$D$7,IFERROR(MATCH(IF($B649="Robusta","Robusta",(IF($B649="","Arabica",$B649))&amp;" - "&amp;(IF($C649="","Commercial",$C649))),Variables!$B$1:$D$1,0),1))*(AV649/365))+(T649*INDEX(Variables!$B$9:$D$9,IFERROR(MATCH(IF($B649="Robusta","Robusta",(IF($B649="","Arabica",$B649))&amp;" - "&amp;(IF($C649="","Commercial",$C649))),Variables!$B$1:$D$1,0),1))*(AV649/365))+(INDEX(Variables!$B$8:$D$8,IFERROR(MATCH(IF($B649="Robusta","Robusta",(IF($B649="","Arabica",$B649))&amp;" - "&amp;(IF($C649="","Commercial",$C649))),Variables!$B$1:$D$1,0),1))*L649/16.67)),""))</f>
        <v>-87.839883648773892</v>
      </c>
      <c r="AX649" s="9"/>
      <c r="AY649" s="12"/>
      <c r="AZ649" s="10"/>
      <c r="BA649" s="9"/>
      <c r="BB649" s="10"/>
      <c r="BC649" s="9"/>
      <c r="BD649" s="9"/>
      <c r="BE649" s="9"/>
      <c r="BF649" s="9"/>
    </row>
    <row r="650" spans="1:58" x14ac:dyDescent="0.25">
      <c r="A650" s="9" t="s">
        <v>84</v>
      </c>
      <c r="B650" s="9" t="s">
        <v>85</v>
      </c>
      <c r="C650" s="9" t="s">
        <v>1486</v>
      </c>
      <c r="D650" s="10">
        <v>45352</v>
      </c>
      <c r="E650" s="10">
        <v>45383</v>
      </c>
      <c r="F650" s="10">
        <v>45412</v>
      </c>
      <c r="G650" s="9">
        <v>3786167</v>
      </c>
      <c r="H650" s="9" t="str">
        <f t="shared" si="68"/>
        <v>Closed</v>
      </c>
      <c r="I650" s="9" t="str">
        <f t="shared" si="69"/>
        <v>All dates received</v>
      </c>
      <c r="J650" s="9" t="s">
        <v>235</v>
      </c>
      <c r="K650" s="9">
        <v>4903</v>
      </c>
      <c r="L650" s="11">
        <v>67</v>
      </c>
      <c r="M650" s="9" t="s">
        <v>1560</v>
      </c>
      <c r="N650" s="9"/>
      <c r="O650" s="9"/>
      <c r="P650" s="9"/>
      <c r="Q650" s="11"/>
      <c r="R650" s="9" t="s">
        <v>195</v>
      </c>
      <c r="S650" s="9" t="s">
        <v>1536</v>
      </c>
      <c r="T650" s="12">
        <f>IF($H650="Cancelled","",IFERROR(((Q650+INDEX(Variables!$B$6:$D$6,IFERROR(MATCH(IF($B650="Robusta","Robusta",(IF($B650="","Arabica",$B650))&amp;" - "&amp;(IF($C650="","Commercial",$C650))),Variables!$B$1:$D$1,0),1)))*22.0462)*(L650/16.67),""))</f>
        <v>25767.207097780443</v>
      </c>
      <c r="U650" s="10"/>
      <c r="V650" s="9" t="str">
        <f t="shared" si="71"/>
        <v/>
      </c>
      <c r="W650" s="10">
        <v>45371</v>
      </c>
      <c r="X650" s="9" t="str">
        <f t="shared" si="67"/>
        <v>Approved</v>
      </c>
      <c r="Y650" s="10">
        <v>45412</v>
      </c>
      <c r="Z650" s="10">
        <f>IF($H650="Cancelled","",IFERROR(IF(F650="","",F650-Variables!$B$13),""))</f>
        <v>45397</v>
      </c>
      <c r="AA650" s="11">
        <f>IF($H650="Cancelled","",IFERROR(IF(W650="","",(AVERAGE(E650:F650)-W650)-Variables!$B$14),""))</f>
        <v>-3.5</v>
      </c>
      <c r="AB650" s="10">
        <v>45425</v>
      </c>
      <c r="AC650" s="11">
        <f>IF($H650="Cancelled","",IFERROR(IF(AB650="","",IF(AND(W650="",Y650=""),"",IF(Y650&gt;W650,Y650+Variables!$B$15+Variables!$B$16+Variables!$B$17-AB650,W650+Variables!$B$16+Variables!$B$17-AB650))),""))</f>
        <v>2</v>
      </c>
      <c r="AD650" s="9" t="s">
        <v>107</v>
      </c>
      <c r="AE650" s="9" t="s">
        <v>1557</v>
      </c>
      <c r="AF650" s="10"/>
      <c r="AG650" s="10"/>
      <c r="AH650" s="9"/>
      <c r="AI650" s="9" t="s">
        <v>1558</v>
      </c>
      <c r="AJ650" s="9" t="s">
        <v>8</v>
      </c>
      <c r="AK650" s="10">
        <v>45434</v>
      </c>
      <c r="AL650" s="10">
        <v>45436</v>
      </c>
      <c r="AM650" s="10">
        <v>45441</v>
      </c>
      <c r="AN650" s="9" t="s">
        <v>1492</v>
      </c>
      <c r="AO650" s="9"/>
      <c r="AP650" s="11">
        <f>IF($H650="Cancelled","",IFERROR(IF(OR(AK650="",AB650=""),"",(AB650+Variables!$B$18-AK650)),""))</f>
        <v>-2</v>
      </c>
      <c r="AQ650" s="11">
        <f>IF($H650="Cancelled","",IFERROR(IF(OR(AM650="",AK650=""),"",(AK650+Variables!$B$19)-AM650),""))</f>
        <v>-2</v>
      </c>
      <c r="AR650" s="12">
        <f>IF($H650="Cancelled","",IFERROR(T650*INDEX(Variables!$B$7:$D$7,IFERROR(MATCH(IF($B650="Robusta","Robusta",(IF($B650="","Arabica",$B650))&amp;" - "&amp;(IF($C650="","Commercial",$C650))),Variables!$B$1:$D$1,0),1))*(AQ650/365),""))</f>
        <v>-9.1042531590164284</v>
      </c>
      <c r="AS650" s="12">
        <f>IF($H650="Cancelled","",IFERROR((T650*INDEX(Variables!$B$7:$D$7,IFERROR(MATCH(IF($B650="Robusta","Robusta",(IF($B650="","Arabica",$B650))&amp;" - "&amp;(IF($C650="","Commercial",$C650))),Variables!$B$1:$D$1,0),1))*IFERROR(IF(W650="","",(AVERAGE(E650:F650)-W650)-Variables!$B$14),"")/365)+(L650/16.67*INDEX(Variables!$B$8:$D$8,IFERROR(MATCH(IF($B650="Robusta","Robusta",(IF($B650="","Arabica",$B650))&amp;" - "&amp;(IF($C650="","Commercial",$C650))),Variables!$B$1:$D$1,0),1))*IFERROR(IF(W650="","",(AVERAGE(E650:F650)-W650)-Variables!$B$14),""))+(T650*INDEX(Variables!$B$9:$D$9,IFERROR(MATCH(IF($B650="Robusta","Robusta",(IF($B650="","Arabica",$B650))&amp;" - "&amp;(IF($C650="","Commercial",$C650))),Variables!$B$1:$D$1,0),1))*IFERROR(IF(W650="","",(AVERAGE(E650:F650)-W650)-Variables!$B$14),"")/365),""))</f>
        <v>-27.86284296639203</v>
      </c>
      <c r="AT650" s="12">
        <f>IF($H650="Cancelled","",IFERROR((T650*INDEX(Variables!$B$7:$D$7,IFERROR(MATCH(IF($B650="Robusta","Robusta",(IF($B650="","Arabica",$B650))&amp;" - "&amp;(IF($C650="","Commercial",$C650))),Variables!$B$1:$D$1,0),1))*AC650/365)+(L650/16.67*INDEX(Variables!$B$8:$D$8,IFERROR(MATCH(IF($B650="Robusta","Robusta",(IF($B650="","Arabica",$B650))&amp;" - "&amp;(IF($C650="","Commercial",$C650))),Variables!$B$1:$D$1,0),1))*AC650)+(T650*INDEX(Variables!$B$9:$D$9,IFERROR(MATCH(IF($B650="Robusta","Robusta",(IF($B650="","Arabica",$B650))&amp;" - "&amp;(IF($C650="","Commercial",$C650))),Variables!$B$1:$D$1,0),1))*AC650/365),""))</f>
        <v>15.921624552224017</v>
      </c>
      <c r="AU650" s="12">
        <f>IF($H650="Cancelled","",IFERROR((T650*INDEX(Variables!$B$7:$D$7,IFERROR(MATCH(IF($B650="Robusta","Robusta",(IF($B650="","Arabica",$B650))&amp;" - "&amp;(IF($C650="","Commercial",$C650))),Variables!$B$1:$D$1,0),1))*AP650/365)+(L650/16.67*INDEX(Variables!$B$8:$D$8,IFERROR(MATCH(IF($B650="Robusta","Robusta",(IF($B650="","Arabica",$B650))&amp;" - "&amp;(IF($C650="","Commercial",$C650))),Variables!$B$1:$D$1,0),1))*AP650)+(T650*INDEX(Variables!$B$9:$D$9,IFERROR(MATCH(IF($B650="Robusta","Robusta",(IF($B650="","Arabica",$B650))&amp;" - "&amp;(IF($C650="","Commercial",$C650))),Variables!$B$1:$D$1,0),1))*AP650/365),""))</f>
        <v>-15.921624552224017</v>
      </c>
      <c r="AV650" s="11">
        <f t="shared" si="70"/>
        <v>-22</v>
      </c>
      <c r="AW650" s="12">
        <f>IF($H650="Cancelled","",IFERROR(IF(AV650="","",(T650*INDEX(Variables!$B$7:$D$7,IFERROR(MATCH(IF($B650="Robusta","Robusta",(IF($B650="","Arabica",$B650))&amp;" - "&amp;(IF($C650="","Commercial",$C650))),Variables!$B$1:$D$1,0),1))*(AV650/365))+(T650*INDEX(Variables!$B$9:$D$9,IFERROR(MATCH(IF($B650="Robusta","Robusta",(IF($B650="","Arabica",$B650))&amp;" - "&amp;(IF($C650="","Commercial",$C650))),Variables!$B$1:$D$1,0),1))*(AV650/365))+(INDEX(Variables!$B$8:$D$8,IFERROR(MATCH(IF($B650="Robusta","Robusta",(IF($B650="","Arabica",$B650))&amp;" - "&amp;(IF($C650="","Commercial",$C650))),Variables!$B$1:$D$1,0),1))*L650/16.67)),""))</f>
        <v>-98.087870074464206</v>
      </c>
      <c r="AX650" s="9"/>
      <c r="AY650" s="12"/>
      <c r="AZ650" s="10"/>
      <c r="BA650" s="9"/>
      <c r="BB650" s="10"/>
      <c r="BC650" s="9"/>
      <c r="BD650" s="9"/>
      <c r="BE650" s="9"/>
      <c r="BF650" s="9"/>
    </row>
    <row r="651" spans="1:58" x14ac:dyDescent="0.25">
      <c r="A651" s="9" t="s">
        <v>84</v>
      </c>
      <c r="B651" s="9" t="s">
        <v>85</v>
      </c>
      <c r="C651" s="9" t="s">
        <v>1486</v>
      </c>
      <c r="D651" s="10">
        <v>45358</v>
      </c>
      <c r="E651" s="10">
        <v>45383</v>
      </c>
      <c r="F651" s="10">
        <v>45412</v>
      </c>
      <c r="G651" s="9">
        <v>3786173</v>
      </c>
      <c r="H651" s="9" t="str">
        <f t="shared" si="68"/>
        <v>Closed</v>
      </c>
      <c r="I651" s="9" t="str">
        <f t="shared" si="69"/>
        <v>All dates received</v>
      </c>
      <c r="J651" s="9" t="s">
        <v>235</v>
      </c>
      <c r="K651" s="9">
        <v>4800</v>
      </c>
      <c r="L651" s="11">
        <v>70</v>
      </c>
      <c r="M651" s="9" t="s">
        <v>1561</v>
      </c>
      <c r="N651" s="9"/>
      <c r="O651" s="9"/>
      <c r="P651" s="9"/>
      <c r="Q651" s="11"/>
      <c r="R651" s="9" t="s">
        <v>195</v>
      </c>
      <c r="S651" s="9" t="s">
        <v>106</v>
      </c>
      <c r="T651" s="12">
        <f>IF($H651="Cancelled","",IFERROR(((Q651+INDEX(Variables!$B$6:$D$6,IFERROR(MATCH(IF($B651="Robusta","Robusta",(IF($B651="","Arabica",$B651))&amp;" - "&amp;(IF($C651="","Commercial",$C651))),Variables!$B$1:$D$1,0),1)))*22.0462)*(L651/16.67),""))</f>
        <v>26920.962639472102</v>
      </c>
      <c r="U651" s="10"/>
      <c r="V651" s="9" t="str">
        <f t="shared" si="71"/>
        <v/>
      </c>
      <c r="W651" s="10">
        <v>45371</v>
      </c>
      <c r="X651" s="9" t="str">
        <f t="shared" si="67"/>
        <v>Approved</v>
      </c>
      <c r="Y651" s="10">
        <v>45392</v>
      </c>
      <c r="Z651" s="10">
        <f>IF($H651="Cancelled","",IFERROR(IF(F651="","",F651-Variables!$B$13),""))</f>
        <v>45397</v>
      </c>
      <c r="AA651" s="11">
        <f>IF($H651="Cancelled","",IFERROR(IF(W651="","",(AVERAGE(E651:F651)-W651)-Variables!$B$14),""))</f>
        <v>-3.5</v>
      </c>
      <c r="AB651" s="10">
        <v>45401</v>
      </c>
      <c r="AC651" s="11">
        <f>IF($H651="Cancelled","",IFERROR(IF(AB651="","",IF(AND(W651="",Y651=""),"",IF(Y651&gt;W651,Y651+Variables!$B$15+Variables!$B$16+Variables!$B$17-AB651,W651+Variables!$B$16+Variables!$B$17-AB651))),""))</f>
        <v>6</v>
      </c>
      <c r="AD651" s="9" t="s">
        <v>107</v>
      </c>
      <c r="AE651" s="9" t="s">
        <v>364</v>
      </c>
      <c r="AF651" s="10"/>
      <c r="AG651" s="10"/>
      <c r="AH651" s="9"/>
      <c r="AI651" s="9" t="s">
        <v>1537</v>
      </c>
      <c r="AJ651" s="9">
        <v>7144566365</v>
      </c>
      <c r="AK651" s="10">
        <v>45418</v>
      </c>
      <c r="AL651" s="10">
        <v>45421</v>
      </c>
      <c r="AM651" s="10">
        <v>45426</v>
      </c>
      <c r="AN651" s="9" t="s">
        <v>1492</v>
      </c>
      <c r="AO651" s="9"/>
      <c r="AP651" s="11">
        <f>IF($H651="Cancelled","",IFERROR(IF(OR(AK651="",AB651=""),"",(AB651+Variables!$B$18-AK651)),""))</f>
        <v>-10</v>
      </c>
      <c r="AQ651" s="11">
        <f>IF($H651="Cancelled","",IFERROR(IF(OR(AM651="",AK651=""),"",(AK651+Variables!$B$19)-AM651),""))</f>
        <v>-3</v>
      </c>
      <c r="AR651" s="12">
        <f>IF($H651="Cancelled","",IFERROR(T651*INDEX(Variables!$B$7:$D$7,IFERROR(MATCH(IF($B651="Robusta","Robusta",(IF($B651="","Arabica",$B651))&amp;" - "&amp;(IF($C651="","Commercial",$C651))),Variables!$B$1:$D$1,0),1))*(AQ651/365),""))</f>
        <v>-14.267859428309325</v>
      </c>
      <c r="AS651" s="12">
        <f>IF($H651="Cancelled","",IFERROR((T651*INDEX(Variables!$B$7:$D$7,IFERROR(MATCH(IF($B651="Robusta","Robusta",(IF($B651="","Arabica",$B651))&amp;" - "&amp;(IF($C651="","Commercial",$C651))),Variables!$B$1:$D$1,0),1))*IFERROR(IF(W651="","",(AVERAGE(E651:F651)-W651)-Variables!$B$14),"")/365)+(L651/16.67*INDEX(Variables!$B$8:$D$8,IFERROR(MATCH(IF($B651="Robusta","Robusta",(IF($B651="","Arabica",$B651))&amp;" - "&amp;(IF($C651="","Commercial",$C651))),Variables!$B$1:$D$1,0),1))*IFERROR(IF(W651="","",(AVERAGE(E651:F651)-W651)-Variables!$B$14),""))+(T651*INDEX(Variables!$B$9:$D$9,IFERROR(MATCH(IF($B651="Robusta","Robusta",(IF($B651="","Arabica",$B651))&amp;" - "&amp;(IF($C651="","Commercial",$C651))),Variables!$B$1:$D$1,0),1))*IFERROR(IF(W651="","",(AVERAGE(E651:F651)-W651)-Variables!$B$14),"")/365),""))</f>
        <v>-29.110432949961819</v>
      </c>
      <c r="AT651" s="12">
        <f>IF($H651="Cancelled","",IFERROR((T651*INDEX(Variables!$B$7:$D$7,IFERROR(MATCH(IF($B651="Robusta","Robusta",(IF($B651="","Arabica",$B651))&amp;" - "&amp;(IF($C651="","Commercial",$C651))),Variables!$B$1:$D$1,0),1))*AC651/365)+(L651/16.67*INDEX(Variables!$B$8:$D$8,IFERROR(MATCH(IF($B651="Robusta","Robusta",(IF($B651="","Arabica",$B651))&amp;" - "&amp;(IF($C651="","Commercial",$C651))),Variables!$B$1:$D$1,0),1))*AC651)+(T651*INDEX(Variables!$B$9:$D$9,IFERROR(MATCH(IF($B651="Robusta","Robusta",(IF($B651="","Arabica",$B651))&amp;" - "&amp;(IF($C651="","Commercial",$C651))),Variables!$B$1:$D$1,0),1))*AC651/365),""))</f>
        <v>49.903599342791694</v>
      </c>
      <c r="AU651" s="12">
        <f>IF($H651="Cancelled","",IFERROR((T651*INDEX(Variables!$B$7:$D$7,IFERROR(MATCH(IF($B651="Robusta","Robusta",(IF($B651="","Arabica",$B651))&amp;" - "&amp;(IF($C651="","Commercial",$C651))),Variables!$B$1:$D$1,0),1))*AP651/365)+(L651/16.67*INDEX(Variables!$B$8:$D$8,IFERROR(MATCH(IF($B651="Robusta","Robusta",(IF($B651="","Arabica",$B651))&amp;" - "&amp;(IF($C651="","Commercial",$C651))),Variables!$B$1:$D$1,0),1))*AP651)+(T651*INDEX(Variables!$B$9:$D$9,IFERROR(MATCH(IF($B651="Robusta","Robusta",(IF($B651="","Arabica",$B651))&amp;" - "&amp;(IF($C651="","Commercial",$C651))),Variables!$B$1:$D$1,0),1))*AP651/365),""))</f>
        <v>-83.172665571319484</v>
      </c>
      <c r="AV651" s="11">
        <f t="shared" si="70"/>
        <v>-6</v>
      </c>
      <c r="AW651" s="12">
        <f>IF($H651="Cancelled","",IFERROR(IF(AV651="","",(T651*INDEX(Variables!$B$7:$D$7,IFERROR(MATCH(IF($B651="Robusta","Robusta",(IF($B651="","Arabica",$B651))&amp;" - "&amp;(IF($C651="","Commercial",$C651))),Variables!$B$1:$D$1,0),1))*(AV651/365))+(T651*INDEX(Variables!$B$9:$D$9,IFERROR(MATCH(IF($B651="Robusta","Robusta",(IF($B651="","Arabica",$B651))&amp;" - "&amp;(IF($C651="","Commercial",$C651))),Variables!$B$1:$D$1,0),1))*(AV651/365))+(INDEX(Variables!$B$8:$D$8,IFERROR(MATCH(IF($B651="Robusta","Robusta",(IF($B651="","Arabica",$B651))&amp;" - "&amp;(IF($C651="","Commercial",$C651))),Variables!$B$1:$D$1,0),1))*L651/16.67)),""))</f>
        <v>-25.40359934279169</v>
      </c>
      <c r="AX651" s="9"/>
      <c r="AY651" s="12"/>
      <c r="AZ651" s="10"/>
      <c r="BA651" s="9"/>
      <c r="BB651" s="10"/>
      <c r="BC651" s="9"/>
      <c r="BD651" s="9"/>
      <c r="BE651" s="9"/>
      <c r="BF651" s="9"/>
    </row>
    <row r="652" spans="1:58" x14ac:dyDescent="0.25">
      <c r="A652" s="9" t="s">
        <v>84</v>
      </c>
      <c r="B652" s="9" t="s">
        <v>85</v>
      </c>
      <c r="C652" s="9" t="s">
        <v>1486</v>
      </c>
      <c r="D652" s="10">
        <v>45392</v>
      </c>
      <c r="E652" s="10">
        <v>45383</v>
      </c>
      <c r="F652" s="10">
        <v>45412</v>
      </c>
      <c r="G652" s="9">
        <v>3786289</v>
      </c>
      <c r="H652" s="9" t="str">
        <f t="shared" si="68"/>
        <v>Closed</v>
      </c>
      <c r="I652" s="9" t="str">
        <f t="shared" si="69"/>
        <v>All dates received</v>
      </c>
      <c r="J652" s="9" t="s">
        <v>1487</v>
      </c>
      <c r="K652" s="9">
        <v>4867</v>
      </c>
      <c r="L652" s="11">
        <v>50</v>
      </c>
      <c r="M652" s="9" t="s">
        <v>1562</v>
      </c>
      <c r="N652" s="9"/>
      <c r="O652" s="9"/>
      <c r="P652" s="9"/>
      <c r="Q652" s="11"/>
      <c r="R652" s="9" t="s">
        <v>195</v>
      </c>
      <c r="S652" s="9" t="s">
        <v>183</v>
      </c>
      <c r="T652" s="12">
        <f>IF($H652="Cancelled","",IFERROR(((Q652+INDEX(Variables!$B$6:$D$6,IFERROR(MATCH(IF($B652="Robusta","Robusta",(IF($B652="","Arabica",$B652))&amp;" - "&amp;(IF($C652="","Commercial",$C652))),Variables!$B$1:$D$1,0),1)))*22.0462)*(L652/16.67),""))</f>
        <v>19229.259028194359</v>
      </c>
      <c r="U652" s="10"/>
      <c r="V652" s="9" t="str">
        <f t="shared" si="71"/>
        <v/>
      </c>
      <c r="W652" s="10">
        <v>45371</v>
      </c>
      <c r="X652" s="9" t="str">
        <f t="shared" si="67"/>
        <v>Approved</v>
      </c>
      <c r="Y652" s="10">
        <v>45412</v>
      </c>
      <c r="Z652" s="10">
        <f>IF($H652="Cancelled","",IFERROR(IF(F652="","",F652-Variables!$B$13),""))</f>
        <v>45397</v>
      </c>
      <c r="AA652" s="11">
        <f>IF($H652="Cancelled","",IFERROR(IF(W652="","",(AVERAGE(E652:F652)-W652)-Variables!$B$14),""))</f>
        <v>-3.5</v>
      </c>
      <c r="AB652" s="10">
        <v>45432</v>
      </c>
      <c r="AC652" s="11">
        <f>IF($H652="Cancelled","",IFERROR(IF(AB652="","",IF(AND(W652="",Y652=""),"",IF(Y652&gt;W652,Y652+Variables!$B$15+Variables!$B$16+Variables!$B$17-AB652,W652+Variables!$B$16+Variables!$B$17-AB652))),""))</f>
        <v>-5</v>
      </c>
      <c r="AD652" s="9" t="s">
        <v>107</v>
      </c>
      <c r="AE652" s="9" t="s">
        <v>184</v>
      </c>
      <c r="AF652" s="10"/>
      <c r="AG652" s="10"/>
      <c r="AH652" s="9"/>
      <c r="AI652" s="9" t="s">
        <v>1563</v>
      </c>
      <c r="AJ652" s="9" t="s">
        <v>1505</v>
      </c>
      <c r="AK652" s="10">
        <v>45454</v>
      </c>
      <c r="AL652" s="10">
        <v>45455</v>
      </c>
      <c r="AM652" s="10">
        <v>45464</v>
      </c>
      <c r="AN652" s="9" t="s">
        <v>1492</v>
      </c>
      <c r="AO652" s="9"/>
      <c r="AP652" s="11">
        <f>IF($H652="Cancelled","",IFERROR(IF(OR(AK652="",AB652=""),"",(AB652+Variables!$B$18-AK652)),""))</f>
        <v>-15</v>
      </c>
      <c r="AQ652" s="11">
        <f>IF($H652="Cancelled","",IFERROR(IF(OR(AM652="",AK652=""),"",(AK652+Variables!$B$19)-AM652),""))</f>
        <v>-5</v>
      </c>
      <c r="AR652" s="12">
        <f>IF($H652="Cancelled","",IFERROR(T652*INDEX(Variables!$B$7:$D$7,IFERROR(MATCH(IF($B652="Robusta","Robusta",(IF($B652="","Arabica",$B652))&amp;" - "&amp;(IF($C652="","Commercial",$C652))),Variables!$B$1:$D$1,0),1))*(AQ652/365),""))</f>
        <v>-16.985546938463486</v>
      </c>
      <c r="AS652" s="12">
        <f>IF($H652="Cancelled","",IFERROR((T652*INDEX(Variables!$B$7:$D$7,IFERROR(MATCH(IF($B652="Robusta","Robusta",(IF($B652="","Arabica",$B652))&amp;" - "&amp;(IF($C652="","Commercial",$C652))),Variables!$B$1:$D$1,0),1))*IFERROR(IF(W652="","",(AVERAGE(E652:F652)-W652)-Variables!$B$14),"")/365)+(L652/16.67*INDEX(Variables!$B$8:$D$8,IFERROR(MATCH(IF($B652="Robusta","Robusta",(IF($B652="","Arabica",$B652))&amp;" - "&amp;(IF($C652="","Commercial",$C652))),Variables!$B$1:$D$1,0),1))*IFERROR(IF(W652="","",(AVERAGE(E652:F652)-W652)-Variables!$B$14),""))+(T652*INDEX(Variables!$B$9:$D$9,IFERROR(MATCH(IF($B652="Robusta","Robusta",(IF($B652="","Arabica",$B652))&amp;" - "&amp;(IF($C652="","Commercial",$C652))),Variables!$B$1:$D$1,0),1))*IFERROR(IF(W652="","",(AVERAGE(E652:F652)-W652)-Variables!$B$14),"")/365),""))</f>
        <v>-20.793166392829871</v>
      </c>
      <c r="AT652" s="12">
        <f>IF($H652="Cancelled","",IFERROR((T652*INDEX(Variables!$B$7:$D$7,IFERROR(MATCH(IF($B652="Robusta","Robusta",(IF($B652="","Arabica",$B652))&amp;" - "&amp;(IF($C652="","Commercial",$C652))),Variables!$B$1:$D$1,0),1))*AC652/365)+(L652/16.67*INDEX(Variables!$B$8:$D$8,IFERROR(MATCH(IF($B652="Robusta","Robusta",(IF($B652="","Arabica",$B652))&amp;" - "&amp;(IF($C652="","Commercial",$C652))),Variables!$B$1:$D$1,0),1))*AC652)+(T652*INDEX(Variables!$B$9:$D$9,IFERROR(MATCH(IF($B652="Robusta","Robusta",(IF($B652="","Arabica",$B652))&amp;" - "&amp;(IF($C652="","Commercial",$C652))),Variables!$B$1:$D$1,0),1))*AC652/365),""))</f>
        <v>-29.704523418328389</v>
      </c>
      <c r="AU652" s="12">
        <f>IF($H652="Cancelled","",IFERROR((T652*INDEX(Variables!$B$7:$D$7,IFERROR(MATCH(IF($B652="Robusta","Robusta",(IF($B652="","Arabica",$B652))&amp;" - "&amp;(IF($C652="","Commercial",$C652))),Variables!$B$1:$D$1,0),1))*AP652/365)+(L652/16.67*INDEX(Variables!$B$8:$D$8,IFERROR(MATCH(IF($B652="Robusta","Robusta",(IF($B652="","Arabica",$B652))&amp;" - "&amp;(IF($C652="","Commercial",$C652))),Variables!$B$1:$D$1,0),1))*AP652)+(T652*INDEX(Variables!$B$9:$D$9,IFERROR(MATCH(IF($B652="Robusta","Robusta",(IF($B652="","Arabica",$B652))&amp;" - "&amp;(IF($C652="","Commercial",$C652))),Variables!$B$1:$D$1,0),1))*AP652/365),""))</f>
        <v>-89.113570254985177</v>
      </c>
      <c r="AV652" s="11">
        <f t="shared" si="70"/>
        <v>-42</v>
      </c>
      <c r="AW652" s="12">
        <f>IF($H652="Cancelled","",IFERROR(IF(AV652="","",(T652*INDEX(Variables!$B$7:$D$7,IFERROR(MATCH(IF($B652="Robusta","Robusta",(IF($B652="","Arabica",$B652))&amp;" - "&amp;(IF($C652="","Commercial",$C652))),Variables!$B$1:$D$1,0),1))*(AV652/365))+(T652*INDEX(Variables!$B$9:$D$9,IFERROR(MATCH(IF($B652="Robusta","Robusta",(IF($B652="","Arabica",$B652))&amp;" - "&amp;(IF($C652="","Commercial",$C652))),Variables!$B$1:$D$1,0),1))*(AV652/365))+(INDEX(Variables!$B$8:$D$8,IFERROR(MATCH(IF($B652="Robusta","Robusta",(IF($B652="","Arabica",$B652))&amp;" - "&amp;(IF($C652="","Commercial",$C652))),Variables!$B$1:$D$1,0),1))*L652/16.67)),""))</f>
        <v>-142.01799671395847</v>
      </c>
      <c r="AX652" s="9"/>
      <c r="AY652" s="12"/>
      <c r="AZ652" s="10"/>
      <c r="BA652" s="9"/>
      <c r="BB652" s="10"/>
      <c r="BC652" s="9"/>
      <c r="BD652" s="9"/>
      <c r="BE652" s="9"/>
      <c r="BF652" s="9"/>
    </row>
    <row r="653" spans="1:58" x14ac:dyDescent="0.25">
      <c r="A653" s="9" t="s">
        <v>84</v>
      </c>
      <c r="B653" s="9" t="s">
        <v>85</v>
      </c>
      <c r="C653" s="9" t="s">
        <v>1486</v>
      </c>
      <c r="D653" s="10">
        <v>45392</v>
      </c>
      <c r="E653" s="10">
        <v>45383</v>
      </c>
      <c r="F653" s="10">
        <v>45412</v>
      </c>
      <c r="G653" s="9">
        <v>3786290</v>
      </c>
      <c r="H653" s="9" t="str">
        <f t="shared" si="68"/>
        <v>Closed</v>
      </c>
      <c r="I653" s="9" t="str">
        <f t="shared" si="69"/>
        <v>All dates received</v>
      </c>
      <c r="J653" s="9" t="s">
        <v>1487</v>
      </c>
      <c r="K653" s="9">
        <v>4868</v>
      </c>
      <c r="L653" s="11">
        <v>41</v>
      </c>
      <c r="M653" s="9" t="s">
        <v>1564</v>
      </c>
      <c r="N653" s="9"/>
      <c r="O653" s="9"/>
      <c r="P653" s="9"/>
      <c r="Q653" s="11"/>
      <c r="R653" s="9" t="s">
        <v>195</v>
      </c>
      <c r="S653" s="9" t="s">
        <v>183</v>
      </c>
      <c r="T653" s="12">
        <f>IF($H653="Cancelled","",IFERROR(((Q653+INDEX(Variables!$B$6:$D$6,IFERROR(MATCH(IF($B653="Robusta","Robusta",(IF($B653="","Arabica",$B653))&amp;" - "&amp;(IF($C653="","Commercial",$C653))),Variables!$B$1:$D$1,0),1)))*22.0462)*(L653/16.67),""))</f>
        <v>15767.992403119373</v>
      </c>
      <c r="U653" s="10"/>
      <c r="V653" s="9" t="str">
        <f t="shared" si="71"/>
        <v/>
      </c>
      <c r="W653" s="10">
        <v>45371</v>
      </c>
      <c r="X653" s="9" t="str">
        <f t="shared" si="67"/>
        <v>Approved</v>
      </c>
      <c r="Y653" s="10">
        <v>45412</v>
      </c>
      <c r="Z653" s="10">
        <f>IF($H653="Cancelled","",IFERROR(IF(F653="","",F653-Variables!$B$13),""))</f>
        <v>45397</v>
      </c>
      <c r="AA653" s="11">
        <f>IF($H653="Cancelled","",IFERROR(IF(W653="","",(AVERAGE(E653:F653)-W653)-Variables!$B$14),""))</f>
        <v>-3.5</v>
      </c>
      <c r="AB653" s="10">
        <v>45432</v>
      </c>
      <c r="AC653" s="11">
        <f>IF($H653="Cancelled","",IFERROR(IF(AB653="","",IF(AND(W653="",Y653=""),"",IF(Y653&gt;W653,Y653+Variables!$B$15+Variables!$B$16+Variables!$B$17-AB653,W653+Variables!$B$16+Variables!$B$17-AB653))),""))</f>
        <v>-5</v>
      </c>
      <c r="AD653" s="9" t="s">
        <v>107</v>
      </c>
      <c r="AE653" s="9" t="s">
        <v>184</v>
      </c>
      <c r="AF653" s="10"/>
      <c r="AG653" s="10"/>
      <c r="AH653" s="9"/>
      <c r="AI653" s="9" t="s">
        <v>1563</v>
      </c>
      <c r="AJ653" s="9" t="s">
        <v>1505</v>
      </c>
      <c r="AK653" s="10">
        <v>45454</v>
      </c>
      <c r="AL653" s="10">
        <v>45455</v>
      </c>
      <c r="AM653" s="10">
        <v>45464</v>
      </c>
      <c r="AN653" s="9" t="s">
        <v>1492</v>
      </c>
      <c r="AO653" s="9"/>
      <c r="AP653" s="11">
        <f>IF($H653="Cancelled","",IFERROR(IF(OR(AK653="",AB653=""),"",(AB653+Variables!$B$18-AK653)),""))</f>
        <v>-15</v>
      </c>
      <c r="AQ653" s="11">
        <f>IF($H653="Cancelled","",IFERROR(IF(OR(AM653="",AK653=""),"",(AK653+Variables!$B$19)-AM653),""))</f>
        <v>-5</v>
      </c>
      <c r="AR653" s="12">
        <f>IF($H653="Cancelled","",IFERROR(T653*INDEX(Variables!$B$7:$D$7,IFERROR(MATCH(IF($B653="Robusta","Robusta",(IF($B653="","Arabica",$B653))&amp;" - "&amp;(IF($C653="","Commercial",$C653))),Variables!$B$1:$D$1,0),1))*(AQ653/365),""))</f>
        <v>-13.928148489540055</v>
      </c>
      <c r="AS653" s="12">
        <f>IF($H653="Cancelled","",IFERROR((T653*INDEX(Variables!$B$7:$D$7,IFERROR(MATCH(IF($B653="Robusta","Robusta",(IF($B653="","Arabica",$B653))&amp;" - "&amp;(IF($C653="","Commercial",$C653))),Variables!$B$1:$D$1,0),1))*IFERROR(IF(W653="","",(AVERAGE(E653:F653)-W653)-Variables!$B$14),"")/365)+(L653/16.67*INDEX(Variables!$B$8:$D$8,IFERROR(MATCH(IF($B653="Robusta","Robusta",(IF($B653="","Arabica",$B653))&amp;" - "&amp;(IF($C653="","Commercial",$C653))),Variables!$B$1:$D$1,0),1))*IFERROR(IF(W653="","",(AVERAGE(E653:F653)-W653)-Variables!$B$14),""))+(T653*INDEX(Variables!$B$9:$D$9,IFERROR(MATCH(IF($B653="Robusta","Robusta",(IF($B653="","Arabica",$B653))&amp;" - "&amp;(IF($C653="","Commercial",$C653))),Variables!$B$1:$D$1,0),1))*IFERROR(IF(W653="","",(AVERAGE(E653:F653)-W653)-Variables!$B$14),"")/365),""))</f>
        <v>-17.050396442120491</v>
      </c>
      <c r="AT653" s="12">
        <f>IF($H653="Cancelled","",IFERROR((T653*INDEX(Variables!$B$7:$D$7,IFERROR(MATCH(IF($B653="Robusta","Robusta",(IF($B653="","Arabica",$B653))&amp;" - "&amp;(IF($C653="","Commercial",$C653))),Variables!$B$1:$D$1,0),1))*AC653/365)+(L653/16.67*INDEX(Variables!$B$8:$D$8,IFERROR(MATCH(IF($B653="Robusta","Robusta",(IF($B653="","Arabica",$B653))&amp;" - "&amp;(IF($C653="","Commercial",$C653))),Variables!$B$1:$D$1,0),1))*AC653)+(T653*INDEX(Variables!$B$9:$D$9,IFERROR(MATCH(IF($B653="Robusta","Robusta",(IF($B653="","Arabica",$B653))&amp;" - "&amp;(IF($C653="","Commercial",$C653))),Variables!$B$1:$D$1,0),1))*AC653/365),""))</f>
        <v>-24.357709203029277</v>
      </c>
      <c r="AU653" s="12">
        <f>IF($H653="Cancelled","",IFERROR((T653*INDEX(Variables!$B$7:$D$7,IFERROR(MATCH(IF($B653="Robusta","Robusta",(IF($B653="","Arabica",$B653))&amp;" - "&amp;(IF($C653="","Commercial",$C653))),Variables!$B$1:$D$1,0),1))*AP653/365)+(L653/16.67*INDEX(Variables!$B$8:$D$8,IFERROR(MATCH(IF($B653="Robusta","Robusta",(IF($B653="","Arabica",$B653))&amp;" - "&amp;(IF($C653="","Commercial",$C653))),Variables!$B$1:$D$1,0),1))*AP653)+(T653*INDEX(Variables!$B$9:$D$9,IFERROR(MATCH(IF($B653="Robusta","Robusta",(IF($B653="","Arabica",$B653))&amp;" - "&amp;(IF($C653="","Commercial",$C653))),Variables!$B$1:$D$1,0),1))*AP653/365),""))</f>
        <v>-73.07312760908782</v>
      </c>
      <c r="AV653" s="11">
        <f t="shared" si="70"/>
        <v>-42</v>
      </c>
      <c r="AW653" s="12">
        <f>IF($H653="Cancelled","",IFERROR(IF(AV653="","",(T653*INDEX(Variables!$B$7:$D$7,IFERROR(MATCH(IF($B653="Robusta","Robusta",(IF($B653="","Arabica",$B653))&amp;" - "&amp;(IF($C653="","Commercial",$C653))),Variables!$B$1:$D$1,0),1))*(AV653/365))+(T653*INDEX(Variables!$B$9:$D$9,IFERROR(MATCH(IF($B653="Robusta","Robusta",(IF($B653="","Arabica",$B653))&amp;" - "&amp;(IF($C653="","Commercial",$C653))),Variables!$B$1:$D$1,0),1))*(AV653/365))+(INDEX(Variables!$B$8:$D$8,IFERROR(MATCH(IF($B653="Robusta","Robusta",(IF($B653="","Arabica",$B653))&amp;" - "&amp;(IF($C653="","Commercial",$C653))),Variables!$B$1:$D$1,0),1))*L653/16.67)),""))</f>
        <v>-116.45475730544592</v>
      </c>
      <c r="AX653" s="9"/>
      <c r="AY653" s="12"/>
      <c r="AZ653" s="10"/>
      <c r="BA653" s="9"/>
      <c r="BB653" s="10"/>
      <c r="BC653" s="9"/>
      <c r="BD653" s="9"/>
      <c r="BE653" s="9"/>
      <c r="BF653" s="9"/>
    </row>
    <row r="654" spans="1:58" x14ac:dyDescent="0.25">
      <c r="A654" s="9" t="s">
        <v>84</v>
      </c>
      <c r="B654" s="9" t="s">
        <v>85</v>
      </c>
      <c r="C654" s="9" t="s">
        <v>1486</v>
      </c>
      <c r="D654" s="10">
        <v>45392</v>
      </c>
      <c r="E654" s="10">
        <v>45383</v>
      </c>
      <c r="F654" s="10">
        <v>45412</v>
      </c>
      <c r="G654" s="9">
        <v>3786291</v>
      </c>
      <c r="H654" s="9" t="str">
        <f t="shared" si="68"/>
        <v>Closed</v>
      </c>
      <c r="I654" s="9" t="str">
        <f t="shared" si="69"/>
        <v>All dates received</v>
      </c>
      <c r="J654" s="9" t="s">
        <v>1487</v>
      </c>
      <c r="K654" s="9">
        <v>4869</v>
      </c>
      <c r="L654" s="11">
        <v>50</v>
      </c>
      <c r="M654" s="9" t="s">
        <v>1565</v>
      </c>
      <c r="N654" s="9"/>
      <c r="O654" s="9"/>
      <c r="P654" s="9"/>
      <c r="Q654" s="11"/>
      <c r="R654" s="9" t="s">
        <v>195</v>
      </c>
      <c r="S654" s="9" t="s">
        <v>183</v>
      </c>
      <c r="T654" s="12">
        <f>IF($H654="Cancelled","",IFERROR(((Q654+INDEX(Variables!$B$6:$D$6,IFERROR(MATCH(IF($B654="Robusta","Robusta",(IF($B654="","Arabica",$B654))&amp;" - "&amp;(IF($C654="","Commercial",$C654))),Variables!$B$1:$D$1,0),1)))*22.0462)*(L654/16.67),""))</f>
        <v>19229.259028194359</v>
      </c>
      <c r="U654" s="10"/>
      <c r="V654" s="9" t="str">
        <f t="shared" si="71"/>
        <v/>
      </c>
      <c r="W654" s="10">
        <v>45371</v>
      </c>
      <c r="X654" s="9" t="str">
        <f t="shared" si="67"/>
        <v>Approved</v>
      </c>
      <c r="Y654" s="10">
        <v>45412</v>
      </c>
      <c r="Z654" s="10">
        <f>IF($H654="Cancelled","",IFERROR(IF(F654="","",F654-Variables!$B$13),""))</f>
        <v>45397</v>
      </c>
      <c r="AA654" s="11">
        <f>IF($H654="Cancelled","",IFERROR(IF(W654="","",(AVERAGE(E654:F654)-W654)-Variables!$B$14),""))</f>
        <v>-3.5</v>
      </c>
      <c r="AB654" s="10">
        <v>45432</v>
      </c>
      <c r="AC654" s="11">
        <f>IF($H654="Cancelled","",IFERROR(IF(AB654="","",IF(AND(W654="",Y654=""),"",IF(Y654&gt;W654,Y654+Variables!$B$15+Variables!$B$16+Variables!$B$17-AB654,W654+Variables!$B$16+Variables!$B$17-AB654))),""))</f>
        <v>-5</v>
      </c>
      <c r="AD654" s="9" t="s">
        <v>107</v>
      </c>
      <c r="AE654" s="9" t="s">
        <v>184</v>
      </c>
      <c r="AF654" s="10"/>
      <c r="AG654" s="10"/>
      <c r="AH654" s="9"/>
      <c r="AI654" s="9" t="s">
        <v>1563</v>
      </c>
      <c r="AJ654" s="9" t="s">
        <v>1505</v>
      </c>
      <c r="AK654" s="10">
        <v>45454</v>
      </c>
      <c r="AL654" s="10">
        <v>45455</v>
      </c>
      <c r="AM654" s="10">
        <v>45464</v>
      </c>
      <c r="AN654" s="9" t="s">
        <v>1492</v>
      </c>
      <c r="AO654" s="9"/>
      <c r="AP654" s="11">
        <f>IF($H654="Cancelled","",IFERROR(IF(OR(AK654="",AB654=""),"",(AB654+Variables!$B$18-AK654)),""))</f>
        <v>-15</v>
      </c>
      <c r="AQ654" s="11">
        <f>IF($H654="Cancelled","",IFERROR(IF(OR(AM654="",AK654=""),"",(AK654+Variables!$B$19)-AM654),""))</f>
        <v>-5</v>
      </c>
      <c r="AR654" s="12">
        <f>IF($H654="Cancelled","",IFERROR(T654*INDEX(Variables!$B$7:$D$7,IFERROR(MATCH(IF($B654="Robusta","Robusta",(IF($B654="","Arabica",$B654))&amp;" - "&amp;(IF($C654="","Commercial",$C654))),Variables!$B$1:$D$1,0),1))*(AQ654/365),""))</f>
        <v>-16.985546938463486</v>
      </c>
      <c r="AS654" s="12">
        <f>IF($H654="Cancelled","",IFERROR((T654*INDEX(Variables!$B$7:$D$7,IFERROR(MATCH(IF($B654="Robusta","Robusta",(IF($B654="","Arabica",$B654))&amp;" - "&amp;(IF($C654="","Commercial",$C654))),Variables!$B$1:$D$1,0),1))*IFERROR(IF(W654="","",(AVERAGE(E654:F654)-W654)-Variables!$B$14),"")/365)+(L654/16.67*INDEX(Variables!$B$8:$D$8,IFERROR(MATCH(IF($B654="Robusta","Robusta",(IF($B654="","Arabica",$B654))&amp;" - "&amp;(IF($C654="","Commercial",$C654))),Variables!$B$1:$D$1,0),1))*IFERROR(IF(W654="","",(AVERAGE(E654:F654)-W654)-Variables!$B$14),""))+(T654*INDEX(Variables!$B$9:$D$9,IFERROR(MATCH(IF($B654="Robusta","Robusta",(IF($B654="","Arabica",$B654))&amp;" - "&amp;(IF($C654="","Commercial",$C654))),Variables!$B$1:$D$1,0),1))*IFERROR(IF(W654="","",(AVERAGE(E654:F654)-W654)-Variables!$B$14),"")/365),""))</f>
        <v>-20.793166392829871</v>
      </c>
      <c r="AT654" s="12">
        <f>IF($H654="Cancelled","",IFERROR((T654*INDEX(Variables!$B$7:$D$7,IFERROR(MATCH(IF($B654="Robusta","Robusta",(IF($B654="","Arabica",$B654))&amp;" - "&amp;(IF($C654="","Commercial",$C654))),Variables!$B$1:$D$1,0),1))*AC654/365)+(L654/16.67*INDEX(Variables!$B$8:$D$8,IFERROR(MATCH(IF($B654="Robusta","Robusta",(IF($B654="","Arabica",$B654))&amp;" - "&amp;(IF($C654="","Commercial",$C654))),Variables!$B$1:$D$1,0),1))*AC654)+(T654*INDEX(Variables!$B$9:$D$9,IFERROR(MATCH(IF($B654="Robusta","Robusta",(IF($B654="","Arabica",$B654))&amp;" - "&amp;(IF($C654="","Commercial",$C654))),Variables!$B$1:$D$1,0),1))*AC654/365),""))</f>
        <v>-29.704523418328389</v>
      </c>
      <c r="AU654" s="12">
        <f>IF($H654="Cancelled","",IFERROR((T654*INDEX(Variables!$B$7:$D$7,IFERROR(MATCH(IF($B654="Robusta","Robusta",(IF($B654="","Arabica",$B654))&amp;" - "&amp;(IF($C654="","Commercial",$C654))),Variables!$B$1:$D$1,0),1))*AP654/365)+(L654/16.67*INDEX(Variables!$B$8:$D$8,IFERROR(MATCH(IF($B654="Robusta","Robusta",(IF($B654="","Arabica",$B654))&amp;" - "&amp;(IF($C654="","Commercial",$C654))),Variables!$B$1:$D$1,0),1))*AP654)+(T654*INDEX(Variables!$B$9:$D$9,IFERROR(MATCH(IF($B654="Robusta","Robusta",(IF($B654="","Arabica",$B654))&amp;" - "&amp;(IF($C654="","Commercial",$C654))),Variables!$B$1:$D$1,0),1))*AP654/365),""))</f>
        <v>-89.113570254985177</v>
      </c>
      <c r="AV654" s="11">
        <f t="shared" si="70"/>
        <v>-42</v>
      </c>
      <c r="AW654" s="12">
        <f>IF($H654="Cancelled","",IFERROR(IF(AV654="","",(T654*INDEX(Variables!$B$7:$D$7,IFERROR(MATCH(IF($B654="Robusta","Robusta",(IF($B654="","Arabica",$B654))&amp;" - "&amp;(IF($C654="","Commercial",$C654))),Variables!$B$1:$D$1,0),1))*(AV654/365))+(T654*INDEX(Variables!$B$9:$D$9,IFERROR(MATCH(IF($B654="Robusta","Robusta",(IF($B654="","Arabica",$B654))&amp;" - "&amp;(IF($C654="","Commercial",$C654))),Variables!$B$1:$D$1,0),1))*(AV654/365))+(INDEX(Variables!$B$8:$D$8,IFERROR(MATCH(IF($B654="Robusta","Robusta",(IF($B654="","Arabica",$B654))&amp;" - "&amp;(IF($C654="","Commercial",$C654))),Variables!$B$1:$D$1,0),1))*L654/16.67)),""))</f>
        <v>-142.01799671395847</v>
      </c>
      <c r="AX654" s="9"/>
      <c r="AY654" s="12"/>
      <c r="AZ654" s="10"/>
      <c r="BA654" s="9"/>
      <c r="BB654" s="10"/>
      <c r="BC654" s="9"/>
      <c r="BD654" s="9"/>
      <c r="BE654" s="9"/>
      <c r="BF654" s="9"/>
    </row>
    <row r="655" spans="1:58" x14ac:dyDescent="0.25">
      <c r="A655" s="9" t="s">
        <v>84</v>
      </c>
      <c r="B655" s="9" t="s">
        <v>85</v>
      </c>
      <c r="C655" s="9" t="s">
        <v>1486</v>
      </c>
      <c r="D655" s="10">
        <v>45392</v>
      </c>
      <c r="E655" s="10">
        <v>45383</v>
      </c>
      <c r="F655" s="10">
        <v>45412</v>
      </c>
      <c r="G655" s="9">
        <v>3786292</v>
      </c>
      <c r="H655" s="9" t="str">
        <f t="shared" si="68"/>
        <v>Closed</v>
      </c>
      <c r="I655" s="9" t="str">
        <f t="shared" si="69"/>
        <v>All dates received</v>
      </c>
      <c r="J655" s="9" t="s">
        <v>1487</v>
      </c>
      <c r="K655" s="9">
        <v>4870</v>
      </c>
      <c r="L655" s="11">
        <v>50</v>
      </c>
      <c r="M655" s="9" t="s">
        <v>1566</v>
      </c>
      <c r="N655" s="9"/>
      <c r="O655" s="9"/>
      <c r="P655" s="9"/>
      <c r="Q655" s="11"/>
      <c r="R655" s="9" t="s">
        <v>195</v>
      </c>
      <c r="S655" s="9" t="s">
        <v>183</v>
      </c>
      <c r="T655" s="12">
        <f>IF($H655="Cancelled","",IFERROR(((Q655+INDEX(Variables!$B$6:$D$6,IFERROR(MATCH(IF($B655="Robusta","Robusta",(IF($B655="","Arabica",$B655))&amp;" - "&amp;(IF($C655="","Commercial",$C655))),Variables!$B$1:$D$1,0),1)))*22.0462)*(L655/16.67),""))</f>
        <v>19229.259028194359</v>
      </c>
      <c r="U655" s="10"/>
      <c r="V655" s="9" t="str">
        <f t="shared" si="71"/>
        <v/>
      </c>
      <c r="W655" s="10">
        <v>45371</v>
      </c>
      <c r="X655" s="9" t="str">
        <f t="shared" si="67"/>
        <v>Approved</v>
      </c>
      <c r="Y655" s="10">
        <v>45422</v>
      </c>
      <c r="Z655" s="10">
        <f>IF($H655="Cancelled","",IFERROR(IF(F655="","",F655-Variables!$B$13),""))</f>
        <v>45397</v>
      </c>
      <c r="AA655" s="11">
        <f>IF($H655="Cancelled","",IFERROR(IF(W655="","",(AVERAGE(E655:F655)-W655)-Variables!$B$14),""))</f>
        <v>-3.5</v>
      </c>
      <c r="AB655" s="10">
        <v>45432</v>
      </c>
      <c r="AC655" s="11">
        <f>IF($H655="Cancelled","",IFERROR(IF(AB655="","",IF(AND(W655="",Y655=""),"",IF(Y655&gt;W655,Y655+Variables!$B$15+Variables!$B$16+Variables!$B$17-AB655,W655+Variables!$B$16+Variables!$B$17-AB655))),""))</f>
        <v>5</v>
      </c>
      <c r="AD655" s="9" t="s">
        <v>107</v>
      </c>
      <c r="AE655" s="9" t="s">
        <v>184</v>
      </c>
      <c r="AF655" s="10"/>
      <c r="AG655" s="10"/>
      <c r="AH655" s="9"/>
      <c r="AI655" s="9" t="s">
        <v>1563</v>
      </c>
      <c r="AJ655" s="9" t="s">
        <v>1505</v>
      </c>
      <c r="AK655" s="10">
        <v>45454</v>
      </c>
      <c r="AL655" s="10">
        <v>45455</v>
      </c>
      <c r="AM655" s="10">
        <v>45464</v>
      </c>
      <c r="AN655" s="9" t="s">
        <v>1492</v>
      </c>
      <c r="AO655" s="9"/>
      <c r="AP655" s="11">
        <f>IF($H655="Cancelled","",IFERROR(IF(OR(AK655="",AB655=""),"",(AB655+Variables!$B$18-AK655)),""))</f>
        <v>-15</v>
      </c>
      <c r="AQ655" s="11">
        <f>IF($H655="Cancelled","",IFERROR(IF(OR(AM655="",AK655=""),"",(AK655+Variables!$B$19)-AM655),""))</f>
        <v>-5</v>
      </c>
      <c r="AR655" s="12">
        <f>IF($H655="Cancelled","",IFERROR(T655*INDEX(Variables!$B$7:$D$7,IFERROR(MATCH(IF($B655="Robusta","Robusta",(IF($B655="","Arabica",$B655))&amp;" - "&amp;(IF($C655="","Commercial",$C655))),Variables!$B$1:$D$1,0),1))*(AQ655/365),""))</f>
        <v>-16.985546938463486</v>
      </c>
      <c r="AS655" s="12">
        <f>IF($H655="Cancelled","",IFERROR((T655*INDEX(Variables!$B$7:$D$7,IFERROR(MATCH(IF($B655="Robusta","Robusta",(IF($B655="","Arabica",$B655))&amp;" - "&amp;(IF($C655="","Commercial",$C655))),Variables!$B$1:$D$1,0),1))*IFERROR(IF(W655="","",(AVERAGE(E655:F655)-W655)-Variables!$B$14),"")/365)+(L655/16.67*INDEX(Variables!$B$8:$D$8,IFERROR(MATCH(IF($B655="Robusta","Robusta",(IF($B655="","Arabica",$B655))&amp;" - "&amp;(IF($C655="","Commercial",$C655))),Variables!$B$1:$D$1,0),1))*IFERROR(IF(W655="","",(AVERAGE(E655:F655)-W655)-Variables!$B$14),""))+(T655*INDEX(Variables!$B$9:$D$9,IFERROR(MATCH(IF($B655="Robusta","Robusta",(IF($B655="","Arabica",$B655))&amp;" - "&amp;(IF($C655="","Commercial",$C655))),Variables!$B$1:$D$1,0),1))*IFERROR(IF(W655="","",(AVERAGE(E655:F655)-W655)-Variables!$B$14),"")/365),""))</f>
        <v>-20.793166392829871</v>
      </c>
      <c r="AT655" s="12">
        <f>IF($H655="Cancelled","",IFERROR((T655*INDEX(Variables!$B$7:$D$7,IFERROR(MATCH(IF($B655="Robusta","Robusta",(IF($B655="","Arabica",$B655))&amp;" - "&amp;(IF($C655="","Commercial",$C655))),Variables!$B$1:$D$1,0),1))*AC655/365)+(L655/16.67*INDEX(Variables!$B$8:$D$8,IFERROR(MATCH(IF($B655="Robusta","Robusta",(IF($B655="","Arabica",$B655))&amp;" - "&amp;(IF($C655="","Commercial",$C655))),Variables!$B$1:$D$1,0),1))*AC655)+(T655*INDEX(Variables!$B$9:$D$9,IFERROR(MATCH(IF($B655="Robusta","Robusta",(IF($B655="","Arabica",$B655))&amp;" - "&amp;(IF($C655="","Commercial",$C655))),Variables!$B$1:$D$1,0),1))*AC655/365),""))</f>
        <v>29.704523418328389</v>
      </c>
      <c r="AU655" s="12">
        <f>IF($H655="Cancelled","",IFERROR((T655*INDEX(Variables!$B$7:$D$7,IFERROR(MATCH(IF($B655="Robusta","Robusta",(IF($B655="","Arabica",$B655))&amp;" - "&amp;(IF($C655="","Commercial",$C655))),Variables!$B$1:$D$1,0),1))*AP655/365)+(L655/16.67*INDEX(Variables!$B$8:$D$8,IFERROR(MATCH(IF($B655="Robusta","Robusta",(IF($B655="","Arabica",$B655))&amp;" - "&amp;(IF($C655="","Commercial",$C655))),Variables!$B$1:$D$1,0),1))*AP655)+(T655*INDEX(Variables!$B$9:$D$9,IFERROR(MATCH(IF($B655="Robusta","Robusta",(IF($B655="","Arabica",$B655))&amp;" - "&amp;(IF($C655="","Commercial",$C655))),Variables!$B$1:$D$1,0),1))*AP655/365),""))</f>
        <v>-89.113570254985177</v>
      </c>
      <c r="AV655" s="11">
        <f t="shared" si="70"/>
        <v>-42</v>
      </c>
      <c r="AW655" s="12">
        <f>IF($H655="Cancelled","",IFERROR(IF(AV655="","",(T655*INDEX(Variables!$B$7:$D$7,IFERROR(MATCH(IF($B655="Robusta","Robusta",(IF($B655="","Arabica",$B655))&amp;" - "&amp;(IF($C655="","Commercial",$C655))),Variables!$B$1:$D$1,0),1))*(AV655/365))+(T655*INDEX(Variables!$B$9:$D$9,IFERROR(MATCH(IF($B655="Robusta","Robusta",(IF($B655="","Arabica",$B655))&amp;" - "&amp;(IF($C655="","Commercial",$C655))),Variables!$B$1:$D$1,0),1))*(AV655/365))+(INDEX(Variables!$B$8:$D$8,IFERROR(MATCH(IF($B655="Robusta","Robusta",(IF($B655="","Arabica",$B655))&amp;" - "&amp;(IF($C655="","Commercial",$C655))),Variables!$B$1:$D$1,0),1))*L655/16.67)),""))</f>
        <v>-142.01799671395847</v>
      </c>
      <c r="AX655" s="9"/>
      <c r="AY655" s="12"/>
      <c r="AZ655" s="10"/>
      <c r="BA655" s="9"/>
      <c r="BB655" s="10"/>
      <c r="BC655" s="9"/>
      <c r="BD655" s="9"/>
      <c r="BE655" s="9"/>
      <c r="BF655" s="9"/>
    </row>
    <row r="656" spans="1:58" x14ac:dyDescent="0.25">
      <c r="A656" s="9" t="s">
        <v>84</v>
      </c>
      <c r="B656" s="9" t="s">
        <v>85</v>
      </c>
      <c r="C656" s="9" t="s">
        <v>1486</v>
      </c>
      <c r="D656" s="10">
        <v>45392</v>
      </c>
      <c r="E656" s="10">
        <v>45383</v>
      </c>
      <c r="F656" s="10">
        <v>45412</v>
      </c>
      <c r="G656" s="9">
        <v>3786293</v>
      </c>
      <c r="H656" s="9" t="str">
        <f t="shared" si="68"/>
        <v>Closed</v>
      </c>
      <c r="I656" s="9" t="str">
        <f t="shared" si="69"/>
        <v>All dates received</v>
      </c>
      <c r="J656" s="9" t="s">
        <v>1487</v>
      </c>
      <c r="K656" s="9">
        <v>4871</v>
      </c>
      <c r="L656" s="11">
        <v>25</v>
      </c>
      <c r="M656" s="9" t="s">
        <v>1567</v>
      </c>
      <c r="N656" s="9"/>
      <c r="O656" s="9"/>
      <c r="P656" s="9"/>
      <c r="Q656" s="11"/>
      <c r="R656" s="9" t="s">
        <v>195</v>
      </c>
      <c r="S656" s="9" t="s">
        <v>183</v>
      </c>
      <c r="T656" s="12">
        <f>IF($H656="Cancelled","",IFERROR(((Q656+INDEX(Variables!$B$6:$D$6,IFERROR(MATCH(IF($B656="Robusta","Robusta",(IF($B656="","Arabica",$B656))&amp;" - "&amp;(IF($C656="","Commercial",$C656))),Variables!$B$1:$D$1,0),1)))*22.0462)*(L656/16.67),""))</f>
        <v>9614.6295140971797</v>
      </c>
      <c r="U656" s="10"/>
      <c r="V656" s="9" t="str">
        <f t="shared" si="71"/>
        <v/>
      </c>
      <c r="W656" s="10">
        <v>45371</v>
      </c>
      <c r="X656" s="9" t="str">
        <f t="shared" si="67"/>
        <v>Approved</v>
      </c>
      <c r="Y656" s="10">
        <v>45422</v>
      </c>
      <c r="Z656" s="10">
        <f>IF($H656="Cancelled","",IFERROR(IF(F656="","",F656-Variables!$B$13),""))</f>
        <v>45397</v>
      </c>
      <c r="AA656" s="11">
        <f>IF($H656="Cancelled","",IFERROR(IF(W656="","",(AVERAGE(E656:F656)-W656)-Variables!$B$14),""))</f>
        <v>-3.5</v>
      </c>
      <c r="AB656" s="10">
        <v>45432</v>
      </c>
      <c r="AC656" s="11">
        <f>IF($H656="Cancelled","",IFERROR(IF(AB656="","",IF(AND(W656="",Y656=""),"",IF(Y656&gt;W656,Y656+Variables!$B$15+Variables!$B$16+Variables!$B$17-AB656,W656+Variables!$B$16+Variables!$B$17-AB656))),""))</f>
        <v>5</v>
      </c>
      <c r="AD656" s="9" t="s">
        <v>107</v>
      </c>
      <c r="AE656" s="9" t="s">
        <v>184</v>
      </c>
      <c r="AF656" s="10"/>
      <c r="AG656" s="10"/>
      <c r="AH656" s="9"/>
      <c r="AI656" s="9" t="s">
        <v>1563</v>
      </c>
      <c r="AJ656" s="9" t="s">
        <v>1505</v>
      </c>
      <c r="AK656" s="10">
        <v>45454</v>
      </c>
      <c r="AL656" s="10">
        <v>45455</v>
      </c>
      <c r="AM656" s="10">
        <v>45464</v>
      </c>
      <c r="AN656" s="9" t="s">
        <v>1492</v>
      </c>
      <c r="AO656" s="9"/>
      <c r="AP656" s="11">
        <f>IF($H656="Cancelled","",IFERROR(IF(OR(AK656="",AB656=""),"",(AB656+Variables!$B$18-AK656)),""))</f>
        <v>-15</v>
      </c>
      <c r="AQ656" s="11">
        <f>IF($H656="Cancelled","",IFERROR(IF(OR(AM656="",AK656=""),"",(AK656+Variables!$B$19)-AM656),""))</f>
        <v>-5</v>
      </c>
      <c r="AR656" s="12">
        <f>IF($H656="Cancelled","",IFERROR(T656*INDEX(Variables!$B$7:$D$7,IFERROR(MATCH(IF($B656="Robusta","Robusta",(IF($B656="","Arabica",$B656))&amp;" - "&amp;(IF($C656="","Commercial",$C656))),Variables!$B$1:$D$1,0),1))*(AQ656/365),""))</f>
        <v>-8.4927734692317429</v>
      </c>
      <c r="AS656" s="12">
        <f>IF($H656="Cancelled","",IFERROR((T656*INDEX(Variables!$B$7:$D$7,IFERROR(MATCH(IF($B656="Robusta","Robusta",(IF($B656="","Arabica",$B656))&amp;" - "&amp;(IF($C656="","Commercial",$C656))),Variables!$B$1:$D$1,0),1))*IFERROR(IF(W656="","",(AVERAGE(E656:F656)-W656)-Variables!$B$14),"")/365)+(L656/16.67*INDEX(Variables!$B$8:$D$8,IFERROR(MATCH(IF($B656="Robusta","Robusta",(IF($B656="","Arabica",$B656))&amp;" - "&amp;(IF($C656="","Commercial",$C656))),Variables!$B$1:$D$1,0),1))*IFERROR(IF(W656="","",(AVERAGE(E656:F656)-W656)-Variables!$B$14),""))+(T656*INDEX(Variables!$B$9:$D$9,IFERROR(MATCH(IF($B656="Robusta","Robusta",(IF($B656="","Arabica",$B656))&amp;" - "&amp;(IF($C656="","Commercial",$C656))),Variables!$B$1:$D$1,0),1))*IFERROR(IF(W656="","",(AVERAGE(E656:F656)-W656)-Variables!$B$14),"")/365),""))</f>
        <v>-10.396583196414936</v>
      </c>
      <c r="AT656" s="12">
        <f>IF($H656="Cancelled","",IFERROR((T656*INDEX(Variables!$B$7:$D$7,IFERROR(MATCH(IF($B656="Robusta","Robusta",(IF($B656="","Arabica",$B656))&amp;" - "&amp;(IF($C656="","Commercial",$C656))),Variables!$B$1:$D$1,0),1))*AC656/365)+(L656/16.67*INDEX(Variables!$B$8:$D$8,IFERROR(MATCH(IF($B656="Robusta","Robusta",(IF($B656="","Arabica",$B656))&amp;" - "&amp;(IF($C656="","Commercial",$C656))),Variables!$B$1:$D$1,0),1))*AC656)+(T656*INDEX(Variables!$B$9:$D$9,IFERROR(MATCH(IF($B656="Robusta","Robusta",(IF($B656="","Arabica",$B656))&amp;" - "&amp;(IF($C656="","Commercial",$C656))),Variables!$B$1:$D$1,0),1))*AC656/365),""))</f>
        <v>14.852261709164194</v>
      </c>
      <c r="AU656" s="12">
        <f>IF($H656="Cancelled","",IFERROR((T656*INDEX(Variables!$B$7:$D$7,IFERROR(MATCH(IF($B656="Robusta","Robusta",(IF($B656="","Arabica",$B656))&amp;" - "&amp;(IF($C656="","Commercial",$C656))),Variables!$B$1:$D$1,0),1))*AP656/365)+(L656/16.67*INDEX(Variables!$B$8:$D$8,IFERROR(MATCH(IF($B656="Robusta","Robusta",(IF($B656="","Arabica",$B656))&amp;" - "&amp;(IF($C656="","Commercial",$C656))),Variables!$B$1:$D$1,0),1))*AP656)+(T656*INDEX(Variables!$B$9:$D$9,IFERROR(MATCH(IF($B656="Robusta","Robusta",(IF($B656="","Arabica",$B656))&amp;" - "&amp;(IF($C656="","Commercial",$C656))),Variables!$B$1:$D$1,0),1))*AP656/365),""))</f>
        <v>-44.556785127492589</v>
      </c>
      <c r="AV656" s="11">
        <f t="shared" si="70"/>
        <v>-42</v>
      </c>
      <c r="AW656" s="12">
        <f>IF($H656="Cancelled","",IFERROR(IF(AV656="","",(T656*INDEX(Variables!$B$7:$D$7,IFERROR(MATCH(IF($B656="Robusta","Robusta",(IF($B656="","Arabica",$B656))&amp;" - "&amp;(IF($C656="","Commercial",$C656))),Variables!$B$1:$D$1,0),1))*(AV656/365))+(T656*INDEX(Variables!$B$9:$D$9,IFERROR(MATCH(IF($B656="Robusta","Robusta",(IF($B656="","Arabica",$B656))&amp;" - "&amp;(IF($C656="","Commercial",$C656))),Variables!$B$1:$D$1,0),1))*(AV656/365))+(INDEX(Variables!$B$8:$D$8,IFERROR(MATCH(IF($B656="Robusta","Robusta",(IF($B656="","Arabica",$B656))&amp;" - "&amp;(IF($C656="","Commercial",$C656))),Variables!$B$1:$D$1,0),1))*L656/16.67)),""))</f>
        <v>-71.008998356979234</v>
      </c>
      <c r="AX656" s="9"/>
      <c r="AY656" s="12"/>
      <c r="AZ656" s="10"/>
      <c r="BA656" s="9"/>
      <c r="BB656" s="10"/>
      <c r="BC656" s="9"/>
      <c r="BD656" s="9"/>
      <c r="BE656" s="9"/>
      <c r="BF656" s="9"/>
    </row>
    <row r="657" spans="1:58" x14ac:dyDescent="0.25">
      <c r="A657" s="9" t="s">
        <v>84</v>
      </c>
      <c r="B657" s="9" t="s">
        <v>85</v>
      </c>
      <c r="C657" s="9" t="s">
        <v>1486</v>
      </c>
      <c r="D657" s="10">
        <v>45392</v>
      </c>
      <c r="E657" s="10">
        <v>45383</v>
      </c>
      <c r="F657" s="10">
        <v>45412</v>
      </c>
      <c r="G657" s="9">
        <v>3786294</v>
      </c>
      <c r="H657" s="9" t="str">
        <f t="shared" si="68"/>
        <v>Closed</v>
      </c>
      <c r="I657" s="9" t="str">
        <f t="shared" si="69"/>
        <v>All dates received</v>
      </c>
      <c r="J657" s="9" t="s">
        <v>1487</v>
      </c>
      <c r="K657" s="9">
        <v>4872</v>
      </c>
      <c r="L657" s="11">
        <v>34</v>
      </c>
      <c r="M657" s="9" t="s">
        <v>1568</v>
      </c>
      <c r="N657" s="9"/>
      <c r="O657" s="9"/>
      <c r="P657" s="9"/>
      <c r="Q657" s="11"/>
      <c r="R657" s="9" t="s">
        <v>195</v>
      </c>
      <c r="S657" s="9" t="s">
        <v>183</v>
      </c>
      <c r="T657" s="12">
        <f>IF($H657="Cancelled","",IFERROR(((Q657+INDEX(Variables!$B$6:$D$6,IFERROR(MATCH(IF($B657="Robusta","Robusta",(IF($B657="","Arabica",$B657))&amp;" - "&amp;(IF($C657="","Commercial",$C657))),Variables!$B$1:$D$1,0),1)))*22.0462)*(L657/16.67),""))</f>
        <v>13075.896139172166</v>
      </c>
      <c r="U657" s="10"/>
      <c r="V657" s="9" t="str">
        <f t="shared" si="71"/>
        <v/>
      </c>
      <c r="W657" s="10">
        <v>45371</v>
      </c>
      <c r="X657" s="9" t="str">
        <f t="shared" si="67"/>
        <v>Approved</v>
      </c>
      <c r="Y657" s="10">
        <v>45422</v>
      </c>
      <c r="Z657" s="10">
        <f>IF($H657="Cancelled","",IFERROR(IF(F657="","",F657-Variables!$B$13),""))</f>
        <v>45397</v>
      </c>
      <c r="AA657" s="11">
        <f>IF($H657="Cancelled","",IFERROR(IF(W657="","",(AVERAGE(E657:F657)-W657)-Variables!$B$14),""))</f>
        <v>-3.5</v>
      </c>
      <c r="AB657" s="10">
        <v>45432</v>
      </c>
      <c r="AC657" s="11">
        <f>IF($H657="Cancelled","",IFERROR(IF(AB657="","",IF(AND(W657="",Y657=""),"",IF(Y657&gt;W657,Y657+Variables!$B$15+Variables!$B$16+Variables!$B$17-AB657,W657+Variables!$B$16+Variables!$B$17-AB657))),""))</f>
        <v>5</v>
      </c>
      <c r="AD657" s="9" t="s">
        <v>107</v>
      </c>
      <c r="AE657" s="9" t="s">
        <v>184</v>
      </c>
      <c r="AF657" s="10"/>
      <c r="AG657" s="10"/>
      <c r="AH657" s="9"/>
      <c r="AI657" s="9" t="s">
        <v>1563</v>
      </c>
      <c r="AJ657" s="9" t="s">
        <v>1505</v>
      </c>
      <c r="AK657" s="10">
        <v>45454</v>
      </c>
      <c r="AL657" s="10">
        <v>45455</v>
      </c>
      <c r="AM657" s="10">
        <v>45464</v>
      </c>
      <c r="AN657" s="9" t="s">
        <v>1492</v>
      </c>
      <c r="AO657" s="9"/>
      <c r="AP657" s="11">
        <f>IF($H657="Cancelled","",IFERROR(IF(OR(AK657="",AB657=""),"",(AB657+Variables!$B$18-AK657)),""))</f>
        <v>-15</v>
      </c>
      <c r="AQ657" s="11">
        <f>IF($H657="Cancelled","",IFERROR(IF(OR(AM657="",AK657=""),"",(AK657+Variables!$B$19)-AM657),""))</f>
        <v>-5</v>
      </c>
      <c r="AR657" s="12">
        <f>IF($H657="Cancelled","",IFERROR(T657*INDEX(Variables!$B$7:$D$7,IFERROR(MATCH(IF($B657="Robusta","Robusta",(IF($B657="","Arabica",$B657))&amp;" - "&amp;(IF($C657="","Commercial",$C657))),Variables!$B$1:$D$1,0),1))*(AQ657/365),""))</f>
        <v>-11.55017191815517</v>
      </c>
      <c r="AS657" s="12">
        <f>IF($H657="Cancelled","",IFERROR((T657*INDEX(Variables!$B$7:$D$7,IFERROR(MATCH(IF($B657="Robusta","Robusta",(IF($B657="","Arabica",$B657))&amp;" - "&amp;(IF($C657="","Commercial",$C657))),Variables!$B$1:$D$1,0),1))*IFERROR(IF(W657="","",(AVERAGE(E657:F657)-W657)-Variables!$B$14),"")/365)+(L657/16.67*INDEX(Variables!$B$8:$D$8,IFERROR(MATCH(IF($B657="Robusta","Robusta",(IF($B657="","Arabica",$B657))&amp;" - "&amp;(IF($C657="","Commercial",$C657))),Variables!$B$1:$D$1,0),1))*IFERROR(IF(W657="","",(AVERAGE(E657:F657)-W657)-Variables!$B$14),""))+(T657*INDEX(Variables!$B$9:$D$9,IFERROR(MATCH(IF($B657="Robusta","Robusta",(IF($B657="","Arabica",$B657))&amp;" - "&amp;(IF($C657="","Commercial",$C657))),Variables!$B$1:$D$1,0),1))*IFERROR(IF(W657="","",(AVERAGE(E657:F657)-W657)-Variables!$B$14),"")/365),""))</f>
        <v>-14.139353147124316</v>
      </c>
      <c r="AT657" s="12">
        <f>IF($H657="Cancelled","",IFERROR((T657*INDEX(Variables!$B$7:$D$7,IFERROR(MATCH(IF($B657="Robusta","Robusta",(IF($B657="","Arabica",$B657))&amp;" - "&amp;(IF($C657="","Commercial",$C657))),Variables!$B$1:$D$1,0),1))*AC657/365)+(L657/16.67*INDEX(Variables!$B$8:$D$8,IFERROR(MATCH(IF($B657="Robusta","Robusta",(IF($B657="","Arabica",$B657))&amp;" - "&amp;(IF($C657="","Commercial",$C657))),Variables!$B$1:$D$1,0),1))*AC657)+(T657*INDEX(Variables!$B$9:$D$9,IFERROR(MATCH(IF($B657="Robusta","Robusta",(IF($B657="","Arabica",$B657))&amp;" - "&amp;(IF($C657="","Commercial",$C657))),Variables!$B$1:$D$1,0),1))*AC657/365),""))</f>
        <v>20.199075924463308</v>
      </c>
      <c r="AU657" s="12">
        <f>IF($H657="Cancelled","",IFERROR((T657*INDEX(Variables!$B$7:$D$7,IFERROR(MATCH(IF($B657="Robusta","Robusta",(IF($B657="","Arabica",$B657))&amp;" - "&amp;(IF($C657="","Commercial",$C657))),Variables!$B$1:$D$1,0),1))*AP657/365)+(L657/16.67*INDEX(Variables!$B$8:$D$8,IFERROR(MATCH(IF($B657="Robusta","Robusta",(IF($B657="","Arabica",$B657))&amp;" - "&amp;(IF($C657="","Commercial",$C657))),Variables!$B$1:$D$1,0),1))*AP657)+(T657*INDEX(Variables!$B$9:$D$9,IFERROR(MATCH(IF($B657="Robusta","Robusta",(IF($B657="","Arabica",$B657))&amp;" - "&amp;(IF($C657="","Commercial",$C657))),Variables!$B$1:$D$1,0),1))*AP657/365),""))</f>
        <v>-60.597227773389918</v>
      </c>
      <c r="AV657" s="11">
        <f t="shared" si="70"/>
        <v>-42</v>
      </c>
      <c r="AW657" s="12">
        <f>IF($H657="Cancelled","",IFERROR(IF(AV657="","",(T657*INDEX(Variables!$B$7:$D$7,IFERROR(MATCH(IF($B657="Robusta","Robusta",(IF($B657="","Arabica",$B657))&amp;" - "&amp;(IF($C657="","Commercial",$C657))),Variables!$B$1:$D$1,0),1))*(AV657/365))+(T657*INDEX(Variables!$B$9:$D$9,IFERROR(MATCH(IF($B657="Robusta","Robusta",(IF($B657="","Arabica",$B657))&amp;" - "&amp;(IF($C657="","Commercial",$C657))),Variables!$B$1:$D$1,0),1))*(AV657/365))+(INDEX(Variables!$B$8:$D$8,IFERROR(MATCH(IF($B657="Robusta","Robusta",(IF($B657="","Arabica",$B657))&amp;" - "&amp;(IF($C657="","Commercial",$C657))),Variables!$B$1:$D$1,0),1))*L657/16.67)),""))</f>
        <v>-96.572237765491764</v>
      </c>
      <c r="AX657" s="9"/>
      <c r="AY657" s="12"/>
      <c r="AZ657" s="10"/>
      <c r="BA657" s="9"/>
      <c r="BB657" s="10"/>
      <c r="BC657" s="9"/>
      <c r="BD657" s="9"/>
      <c r="BE657" s="9"/>
      <c r="BF657" s="9"/>
    </row>
    <row r="658" spans="1:58" x14ac:dyDescent="0.25">
      <c r="A658" s="9" t="s">
        <v>84</v>
      </c>
      <c r="B658" s="9" t="s">
        <v>85</v>
      </c>
      <c r="C658" s="9" t="s">
        <v>1486</v>
      </c>
      <c r="D658" s="10">
        <v>45393</v>
      </c>
      <c r="E658" s="10">
        <v>45383</v>
      </c>
      <c r="F658" s="10">
        <v>45412</v>
      </c>
      <c r="G658" s="9">
        <v>3786295</v>
      </c>
      <c r="H658" s="9" t="str">
        <f t="shared" si="68"/>
        <v>Closed</v>
      </c>
      <c r="I658" s="9" t="str">
        <f t="shared" si="69"/>
        <v>All dates received</v>
      </c>
      <c r="J658" s="9" t="s">
        <v>303</v>
      </c>
      <c r="K658" s="9">
        <v>4874</v>
      </c>
      <c r="L658" s="11">
        <v>10</v>
      </c>
      <c r="M658" s="9" t="s">
        <v>1569</v>
      </c>
      <c r="N658" s="9"/>
      <c r="O658" s="9"/>
      <c r="P658" s="9"/>
      <c r="Q658" s="11"/>
      <c r="R658" s="9" t="s">
        <v>195</v>
      </c>
      <c r="S658" s="9" t="s">
        <v>312</v>
      </c>
      <c r="T658" s="12">
        <f>IF($H658="Cancelled","",IFERROR(((Q658+INDEX(Variables!$B$6:$D$6,IFERROR(MATCH(IF($B658="Robusta","Robusta",(IF($B658="","Arabica",$B658))&amp;" - "&amp;(IF($C658="","Commercial",$C658))),Variables!$B$1:$D$1,0),1)))*22.0462)*(L658/16.67),""))</f>
        <v>3845.8518056388721</v>
      </c>
      <c r="U658" s="10"/>
      <c r="V658" s="9" t="str">
        <f t="shared" si="71"/>
        <v/>
      </c>
      <c r="W658" s="10">
        <v>45371</v>
      </c>
      <c r="X658" s="9" t="str">
        <f t="shared" si="67"/>
        <v>Approved</v>
      </c>
      <c r="Y658" s="10">
        <v>45392</v>
      </c>
      <c r="Z658" s="10">
        <f>IF($H658="Cancelled","",IFERROR(IF(F658="","",F658-Variables!$B$13),""))</f>
        <v>45397</v>
      </c>
      <c r="AA658" s="11">
        <f>IF($H658="Cancelled","",IFERROR(IF(W658="","",(AVERAGE(E658:F658)-W658)-Variables!$B$14),""))</f>
        <v>-3.5</v>
      </c>
      <c r="AB658" s="10">
        <v>45408</v>
      </c>
      <c r="AC658" s="11">
        <f>IF($H658="Cancelled","",IFERROR(IF(AB658="","",IF(AND(W658="",Y658=""),"",IF(Y658&gt;W658,Y658+Variables!$B$15+Variables!$B$16+Variables!$B$17-AB658,W658+Variables!$B$16+Variables!$B$17-AB658))),""))</f>
        <v>-1</v>
      </c>
      <c r="AD658" s="9" t="s">
        <v>305</v>
      </c>
      <c r="AE658" s="9" t="s">
        <v>267</v>
      </c>
      <c r="AF658" s="10"/>
      <c r="AG658" s="10"/>
      <c r="AH658" s="9"/>
      <c r="AI658" s="9" t="s">
        <v>313</v>
      </c>
      <c r="AJ658" s="9" t="s">
        <v>307</v>
      </c>
      <c r="AK658" s="10">
        <v>45420</v>
      </c>
      <c r="AL658" s="10">
        <v>45421</v>
      </c>
      <c r="AM658" s="10">
        <v>45436</v>
      </c>
      <c r="AN658" s="9" t="s">
        <v>1492</v>
      </c>
      <c r="AO658" s="9"/>
      <c r="AP658" s="11">
        <f>IF($H658="Cancelled","",IFERROR(IF(OR(AK658="",AB658=""),"",(AB658+Variables!$B$18-AK658)),""))</f>
        <v>-5</v>
      </c>
      <c r="AQ658" s="11">
        <f>IF($H658="Cancelled","",IFERROR(IF(OR(AM658="",AK658=""),"",(AK658+Variables!$B$19)-AM658),""))</f>
        <v>-11</v>
      </c>
      <c r="AR658" s="12">
        <f>IF($H658="Cancelled","",IFERROR(T658*INDEX(Variables!$B$7:$D$7,IFERROR(MATCH(IF($B658="Robusta","Robusta",(IF($B658="","Arabica",$B658))&amp;" - "&amp;(IF($C658="","Commercial",$C658))),Variables!$B$1:$D$1,0),1))*(AQ658/365),""))</f>
        <v>-7.4736406529239341</v>
      </c>
      <c r="AS658" s="12">
        <f>IF($H658="Cancelled","",IFERROR((T658*INDEX(Variables!$B$7:$D$7,IFERROR(MATCH(IF($B658="Robusta","Robusta",(IF($B658="","Arabica",$B658))&amp;" - "&amp;(IF($C658="","Commercial",$C658))),Variables!$B$1:$D$1,0),1))*IFERROR(IF(W658="","",(AVERAGE(E658:F658)-W658)-Variables!$B$14),"")/365)+(L658/16.67*INDEX(Variables!$B$8:$D$8,IFERROR(MATCH(IF($B658="Robusta","Robusta",(IF($B658="","Arabica",$B658))&amp;" - "&amp;(IF($C658="","Commercial",$C658))),Variables!$B$1:$D$1,0),1))*IFERROR(IF(W658="","",(AVERAGE(E658:F658)-W658)-Variables!$B$14),""))+(T658*INDEX(Variables!$B$9:$D$9,IFERROR(MATCH(IF($B658="Robusta","Robusta",(IF($B658="","Arabica",$B658))&amp;" - "&amp;(IF($C658="","Commercial",$C658))),Variables!$B$1:$D$1,0),1))*IFERROR(IF(W658="","",(AVERAGE(E658:F658)-W658)-Variables!$B$14),"")/365),""))</f>
        <v>-4.1586332785659748</v>
      </c>
      <c r="AT658" s="12">
        <f>IF($H658="Cancelled","",IFERROR((T658*INDEX(Variables!$B$7:$D$7,IFERROR(MATCH(IF($B658="Robusta","Robusta",(IF($B658="","Arabica",$B658))&amp;" - "&amp;(IF($C658="","Commercial",$C658))),Variables!$B$1:$D$1,0),1))*AC658/365)+(L658/16.67*INDEX(Variables!$B$8:$D$8,IFERROR(MATCH(IF($B658="Robusta","Robusta",(IF($B658="","Arabica",$B658))&amp;" - "&amp;(IF($C658="","Commercial",$C658))),Variables!$B$1:$D$1,0),1))*AC658)+(T658*INDEX(Variables!$B$9:$D$9,IFERROR(MATCH(IF($B658="Robusta","Robusta",(IF($B658="","Arabica",$B658))&amp;" - "&amp;(IF($C658="","Commercial",$C658))),Variables!$B$1:$D$1,0),1))*AC658/365),""))</f>
        <v>-1.1881809367331355</v>
      </c>
      <c r="AU658" s="12">
        <f>IF($H658="Cancelled","",IFERROR((T658*INDEX(Variables!$B$7:$D$7,IFERROR(MATCH(IF($B658="Robusta","Robusta",(IF($B658="","Arabica",$B658))&amp;" - "&amp;(IF($C658="","Commercial",$C658))),Variables!$B$1:$D$1,0),1))*AP658/365)+(L658/16.67*INDEX(Variables!$B$8:$D$8,IFERROR(MATCH(IF($B658="Robusta","Robusta",(IF($B658="","Arabica",$B658))&amp;" - "&amp;(IF($C658="","Commercial",$C658))),Variables!$B$1:$D$1,0),1))*AP658)+(T658*INDEX(Variables!$B$9:$D$9,IFERROR(MATCH(IF($B658="Robusta","Robusta",(IF($B658="","Arabica",$B658))&amp;" - "&amp;(IF($C658="","Commercial",$C658))),Variables!$B$1:$D$1,0),1))*AP658/365),""))</f>
        <v>-5.9409046836656776</v>
      </c>
      <c r="AV658" s="11">
        <f t="shared" si="70"/>
        <v>-8</v>
      </c>
      <c r="AW658" s="12">
        <f>IF($H658="Cancelled","",IFERROR(IF(AV658="","",(T658*INDEX(Variables!$B$7:$D$7,IFERROR(MATCH(IF($B658="Robusta","Robusta",(IF($B658="","Arabica",$B658))&amp;" - "&amp;(IF($C658="","Commercial",$C658))),Variables!$B$1:$D$1,0),1))*(AV658/365))+(T658*INDEX(Variables!$B$9:$D$9,IFERROR(MATCH(IF($B658="Robusta","Robusta",(IF($B658="","Arabica",$B658))&amp;" - "&amp;(IF($C658="","Commercial",$C658))),Variables!$B$1:$D$1,0),1))*(AV658/365))+(INDEX(Variables!$B$8:$D$8,IFERROR(MATCH(IF($B658="Robusta","Robusta",(IF($B658="","Arabica",$B658))&amp;" - "&amp;(IF($C658="","Commercial",$C658))),Variables!$B$1:$D$1,0),1))*L658/16.67)),""))</f>
        <v>-5.005447493865085</v>
      </c>
      <c r="AX658" s="9"/>
      <c r="AY658" s="12"/>
      <c r="AZ658" s="10"/>
      <c r="BA658" s="9"/>
      <c r="BB658" s="10"/>
      <c r="BC658" s="9"/>
      <c r="BD658" s="9"/>
      <c r="BE658" s="9"/>
      <c r="BF658" s="9"/>
    </row>
    <row r="659" spans="1:58" x14ac:dyDescent="0.25">
      <c r="A659" s="9" t="s">
        <v>84</v>
      </c>
      <c r="B659" s="9" t="s">
        <v>85</v>
      </c>
      <c r="C659" s="9" t="s">
        <v>1486</v>
      </c>
      <c r="D659" s="10">
        <v>45393</v>
      </c>
      <c r="E659" s="10">
        <v>45383</v>
      </c>
      <c r="F659" s="10">
        <v>45412</v>
      </c>
      <c r="G659" s="9">
        <v>3786296</v>
      </c>
      <c r="H659" s="9" t="str">
        <f t="shared" si="68"/>
        <v>Closed</v>
      </c>
      <c r="I659" s="9" t="str">
        <f t="shared" si="69"/>
        <v>All dates received</v>
      </c>
      <c r="J659" s="9" t="s">
        <v>303</v>
      </c>
      <c r="K659" s="9">
        <v>4875</v>
      </c>
      <c r="L659" s="11">
        <v>10</v>
      </c>
      <c r="M659" s="9" t="s">
        <v>1570</v>
      </c>
      <c r="N659" s="9"/>
      <c r="O659" s="9"/>
      <c r="P659" s="9"/>
      <c r="Q659" s="11"/>
      <c r="R659" s="9" t="s">
        <v>195</v>
      </c>
      <c r="S659" s="9" t="s">
        <v>312</v>
      </c>
      <c r="T659" s="12">
        <f>IF($H659="Cancelled","",IFERROR(((Q659+INDEX(Variables!$B$6:$D$6,IFERROR(MATCH(IF($B659="Robusta","Robusta",(IF($B659="","Arabica",$B659))&amp;" - "&amp;(IF($C659="","Commercial",$C659))),Variables!$B$1:$D$1,0),1)))*22.0462)*(L659/16.67),""))</f>
        <v>3845.8518056388721</v>
      </c>
      <c r="U659" s="10"/>
      <c r="V659" s="9" t="str">
        <f t="shared" si="71"/>
        <v/>
      </c>
      <c r="W659" s="10">
        <v>45371</v>
      </c>
      <c r="X659" s="9" t="str">
        <f t="shared" si="67"/>
        <v>Approved</v>
      </c>
      <c r="Y659" s="10">
        <v>45392</v>
      </c>
      <c r="Z659" s="10">
        <f>IF($H659="Cancelled","",IFERROR(IF(F659="","",F659-Variables!$B$13),""))</f>
        <v>45397</v>
      </c>
      <c r="AA659" s="11">
        <f>IF($H659="Cancelled","",IFERROR(IF(W659="","",(AVERAGE(E659:F659)-W659)-Variables!$B$14),""))</f>
        <v>-3.5</v>
      </c>
      <c r="AB659" s="10">
        <v>45408</v>
      </c>
      <c r="AC659" s="11">
        <f>IF($H659="Cancelled","",IFERROR(IF(AB659="","",IF(AND(W659="",Y659=""),"",IF(Y659&gt;W659,Y659+Variables!$B$15+Variables!$B$16+Variables!$B$17-AB659,W659+Variables!$B$16+Variables!$B$17-AB659))),""))</f>
        <v>-1</v>
      </c>
      <c r="AD659" s="9" t="s">
        <v>305</v>
      </c>
      <c r="AE659" s="9" t="s">
        <v>267</v>
      </c>
      <c r="AF659" s="10"/>
      <c r="AG659" s="10"/>
      <c r="AH659" s="9"/>
      <c r="AI659" s="9" t="s">
        <v>313</v>
      </c>
      <c r="AJ659" s="9" t="s">
        <v>307</v>
      </c>
      <c r="AK659" s="10">
        <v>45420</v>
      </c>
      <c r="AL659" s="10">
        <v>45421</v>
      </c>
      <c r="AM659" s="10">
        <v>45436</v>
      </c>
      <c r="AN659" s="9" t="s">
        <v>1492</v>
      </c>
      <c r="AO659" s="9"/>
      <c r="AP659" s="11">
        <f>IF($H659="Cancelled","",IFERROR(IF(OR(AK659="",AB659=""),"",(AB659+Variables!$B$18-AK659)),""))</f>
        <v>-5</v>
      </c>
      <c r="AQ659" s="11">
        <f>IF($H659="Cancelled","",IFERROR(IF(OR(AM659="",AK659=""),"",(AK659+Variables!$B$19)-AM659),""))</f>
        <v>-11</v>
      </c>
      <c r="AR659" s="12">
        <f>IF($H659="Cancelled","",IFERROR(T659*INDEX(Variables!$B$7:$D$7,IFERROR(MATCH(IF($B659="Robusta","Robusta",(IF($B659="","Arabica",$B659))&amp;" - "&amp;(IF($C659="","Commercial",$C659))),Variables!$B$1:$D$1,0),1))*(AQ659/365),""))</f>
        <v>-7.4736406529239341</v>
      </c>
      <c r="AS659" s="12">
        <f>IF($H659="Cancelled","",IFERROR((T659*INDEX(Variables!$B$7:$D$7,IFERROR(MATCH(IF($B659="Robusta","Robusta",(IF($B659="","Arabica",$B659))&amp;" - "&amp;(IF($C659="","Commercial",$C659))),Variables!$B$1:$D$1,0),1))*IFERROR(IF(W659="","",(AVERAGE(E659:F659)-W659)-Variables!$B$14),"")/365)+(L659/16.67*INDEX(Variables!$B$8:$D$8,IFERROR(MATCH(IF($B659="Robusta","Robusta",(IF($B659="","Arabica",$B659))&amp;" - "&amp;(IF($C659="","Commercial",$C659))),Variables!$B$1:$D$1,0),1))*IFERROR(IF(W659="","",(AVERAGE(E659:F659)-W659)-Variables!$B$14),""))+(T659*INDEX(Variables!$B$9:$D$9,IFERROR(MATCH(IF($B659="Robusta","Robusta",(IF($B659="","Arabica",$B659))&amp;" - "&amp;(IF($C659="","Commercial",$C659))),Variables!$B$1:$D$1,0),1))*IFERROR(IF(W659="","",(AVERAGE(E659:F659)-W659)-Variables!$B$14),"")/365),""))</f>
        <v>-4.1586332785659748</v>
      </c>
      <c r="AT659" s="12">
        <f>IF($H659="Cancelled","",IFERROR((T659*INDEX(Variables!$B$7:$D$7,IFERROR(MATCH(IF($B659="Robusta","Robusta",(IF($B659="","Arabica",$B659))&amp;" - "&amp;(IF($C659="","Commercial",$C659))),Variables!$B$1:$D$1,0),1))*AC659/365)+(L659/16.67*INDEX(Variables!$B$8:$D$8,IFERROR(MATCH(IF($B659="Robusta","Robusta",(IF($B659="","Arabica",$B659))&amp;" - "&amp;(IF($C659="","Commercial",$C659))),Variables!$B$1:$D$1,0),1))*AC659)+(T659*INDEX(Variables!$B$9:$D$9,IFERROR(MATCH(IF($B659="Robusta","Robusta",(IF($B659="","Arabica",$B659))&amp;" - "&amp;(IF($C659="","Commercial",$C659))),Variables!$B$1:$D$1,0),1))*AC659/365),""))</f>
        <v>-1.1881809367331355</v>
      </c>
      <c r="AU659" s="12">
        <f>IF($H659="Cancelled","",IFERROR((T659*INDEX(Variables!$B$7:$D$7,IFERROR(MATCH(IF($B659="Robusta","Robusta",(IF($B659="","Arabica",$B659))&amp;" - "&amp;(IF($C659="","Commercial",$C659))),Variables!$B$1:$D$1,0),1))*AP659/365)+(L659/16.67*INDEX(Variables!$B$8:$D$8,IFERROR(MATCH(IF($B659="Robusta","Robusta",(IF($B659="","Arabica",$B659))&amp;" - "&amp;(IF($C659="","Commercial",$C659))),Variables!$B$1:$D$1,0),1))*AP659)+(T659*INDEX(Variables!$B$9:$D$9,IFERROR(MATCH(IF($B659="Robusta","Robusta",(IF($B659="","Arabica",$B659))&amp;" - "&amp;(IF($C659="","Commercial",$C659))),Variables!$B$1:$D$1,0),1))*AP659/365),""))</f>
        <v>-5.9409046836656776</v>
      </c>
      <c r="AV659" s="11">
        <f t="shared" si="70"/>
        <v>-8</v>
      </c>
      <c r="AW659" s="12">
        <f>IF($H659="Cancelled","",IFERROR(IF(AV659="","",(T659*INDEX(Variables!$B$7:$D$7,IFERROR(MATCH(IF($B659="Robusta","Robusta",(IF($B659="","Arabica",$B659))&amp;" - "&amp;(IF($C659="","Commercial",$C659))),Variables!$B$1:$D$1,0),1))*(AV659/365))+(T659*INDEX(Variables!$B$9:$D$9,IFERROR(MATCH(IF($B659="Robusta","Robusta",(IF($B659="","Arabica",$B659))&amp;" - "&amp;(IF($C659="","Commercial",$C659))),Variables!$B$1:$D$1,0),1))*(AV659/365))+(INDEX(Variables!$B$8:$D$8,IFERROR(MATCH(IF($B659="Robusta","Robusta",(IF($B659="","Arabica",$B659))&amp;" - "&amp;(IF($C659="","Commercial",$C659))),Variables!$B$1:$D$1,0),1))*L659/16.67)),""))</f>
        <v>-5.005447493865085</v>
      </c>
      <c r="AX659" s="9"/>
      <c r="AY659" s="12"/>
      <c r="AZ659" s="10"/>
      <c r="BA659" s="9"/>
      <c r="BB659" s="10"/>
      <c r="BC659" s="9"/>
      <c r="BD659" s="9"/>
      <c r="BE659" s="9"/>
      <c r="BF659" s="9"/>
    </row>
    <row r="660" spans="1:58" x14ac:dyDescent="0.25">
      <c r="A660" s="9" t="s">
        <v>84</v>
      </c>
      <c r="B660" s="9" t="s">
        <v>85</v>
      </c>
      <c r="C660" s="9" t="s">
        <v>1486</v>
      </c>
      <c r="D660" s="10">
        <v>45393</v>
      </c>
      <c r="E660" s="10">
        <v>45383</v>
      </c>
      <c r="F660" s="10">
        <v>45412</v>
      </c>
      <c r="G660" s="9">
        <v>3786297</v>
      </c>
      <c r="H660" s="9" t="str">
        <f t="shared" si="68"/>
        <v>Closed</v>
      </c>
      <c r="I660" s="9" t="str">
        <f t="shared" si="69"/>
        <v>All dates received</v>
      </c>
      <c r="J660" s="9" t="s">
        <v>303</v>
      </c>
      <c r="K660" s="9">
        <v>4876</v>
      </c>
      <c r="L660" s="11">
        <v>10</v>
      </c>
      <c r="M660" s="9" t="s">
        <v>1571</v>
      </c>
      <c r="N660" s="9"/>
      <c r="O660" s="9"/>
      <c r="P660" s="9"/>
      <c r="Q660" s="11"/>
      <c r="R660" s="9" t="s">
        <v>195</v>
      </c>
      <c r="S660" s="9" t="s">
        <v>312</v>
      </c>
      <c r="T660" s="12">
        <f>IF($H660="Cancelled","",IFERROR(((Q660+INDEX(Variables!$B$6:$D$6,IFERROR(MATCH(IF($B660="Robusta","Robusta",(IF($B660="","Arabica",$B660))&amp;" - "&amp;(IF($C660="","Commercial",$C660))),Variables!$B$1:$D$1,0),1)))*22.0462)*(L660/16.67),""))</f>
        <v>3845.8518056388721</v>
      </c>
      <c r="U660" s="10"/>
      <c r="V660" s="9" t="str">
        <f t="shared" si="71"/>
        <v/>
      </c>
      <c r="W660" s="10">
        <v>45371</v>
      </c>
      <c r="X660" s="9" t="str">
        <f t="shared" si="67"/>
        <v>Approved</v>
      </c>
      <c r="Y660" s="10">
        <v>45392</v>
      </c>
      <c r="Z660" s="10">
        <f>IF($H660="Cancelled","",IFERROR(IF(F660="","",F660-Variables!$B$13),""))</f>
        <v>45397</v>
      </c>
      <c r="AA660" s="11">
        <f>IF($H660="Cancelled","",IFERROR(IF(W660="","",(AVERAGE(E660:F660)-W660)-Variables!$B$14),""))</f>
        <v>-3.5</v>
      </c>
      <c r="AB660" s="10">
        <v>45408</v>
      </c>
      <c r="AC660" s="11">
        <f>IF($H660="Cancelled","",IFERROR(IF(AB660="","",IF(AND(W660="",Y660=""),"",IF(Y660&gt;W660,Y660+Variables!$B$15+Variables!$B$16+Variables!$B$17-AB660,W660+Variables!$B$16+Variables!$B$17-AB660))),""))</f>
        <v>-1</v>
      </c>
      <c r="AD660" s="9" t="s">
        <v>305</v>
      </c>
      <c r="AE660" s="9" t="s">
        <v>267</v>
      </c>
      <c r="AF660" s="10"/>
      <c r="AG660" s="10"/>
      <c r="AH660" s="9"/>
      <c r="AI660" s="9" t="s">
        <v>313</v>
      </c>
      <c r="AJ660" s="9" t="s">
        <v>307</v>
      </c>
      <c r="AK660" s="10">
        <v>45420</v>
      </c>
      <c r="AL660" s="10">
        <v>45421</v>
      </c>
      <c r="AM660" s="10">
        <v>45436</v>
      </c>
      <c r="AN660" s="9" t="s">
        <v>1492</v>
      </c>
      <c r="AO660" s="9"/>
      <c r="AP660" s="11">
        <f>IF($H660="Cancelled","",IFERROR(IF(OR(AK660="",AB660=""),"",(AB660+Variables!$B$18-AK660)),""))</f>
        <v>-5</v>
      </c>
      <c r="AQ660" s="11">
        <f>IF($H660="Cancelled","",IFERROR(IF(OR(AM660="",AK660=""),"",(AK660+Variables!$B$19)-AM660),""))</f>
        <v>-11</v>
      </c>
      <c r="AR660" s="12">
        <f>IF($H660="Cancelled","",IFERROR(T660*INDEX(Variables!$B$7:$D$7,IFERROR(MATCH(IF($B660="Robusta","Robusta",(IF($B660="","Arabica",$B660))&amp;" - "&amp;(IF($C660="","Commercial",$C660))),Variables!$B$1:$D$1,0),1))*(AQ660/365),""))</f>
        <v>-7.4736406529239341</v>
      </c>
      <c r="AS660" s="12">
        <f>IF($H660="Cancelled","",IFERROR((T660*INDEX(Variables!$B$7:$D$7,IFERROR(MATCH(IF($B660="Robusta","Robusta",(IF($B660="","Arabica",$B660))&amp;" - "&amp;(IF($C660="","Commercial",$C660))),Variables!$B$1:$D$1,0),1))*IFERROR(IF(W660="","",(AVERAGE(E660:F660)-W660)-Variables!$B$14),"")/365)+(L660/16.67*INDEX(Variables!$B$8:$D$8,IFERROR(MATCH(IF($B660="Robusta","Robusta",(IF($B660="","Arabica",$B660))&amp;" - "&amp;(IF($C660="","Commercial",$C660))),Variables!$B$1:$D$1,0),1))*IFERROR(IF(W660="","",(AVERAGE(E660:F660)-W660)-Variables!$B$14),""))+(T660*INDEX(Variables!$B$9:$D$9,IFERROR(MATCH(IF($B660="Robusta","Robusta",(IF($B660="","Arabica",$B660))&amp;" - "&amp;(IF($C660="","Commercial",$C660))),Variables!$B$1:$D$1,0),1))*IFERROR(IF(W660="","",(AVERAGE(E660:F660)-W660)-Variables!$B$14),"")/365),""))</f>
        <v>-4.1586332785659748</v>
      </c>
      <c r="AT660" s="12">
        <f>IF($H660="Cancelled","",IFERROR((T660*INDEX(Variables!$B$7:$D$7,IFERROR(MATCH(IF($B660="Robusta","Robusta",(IF($B660="","Arabica",$B660))&amp;" - "&amp;(IF($C660="","Commercial",$C660))),Variables!$B$1:$D$1,0),1))*AC660/365)+(L660/16.67*INDEX(Variables!$B$8:$D$8,IFERROR(MATCH(IF($B660="Robusta","Robusta",(IF($B660="","Arabica",$B660))&amp;" - "&amp;(IF($C660="","Commercial",$C660))),Variables!$B$1:$D$1,0),1))*AC660)+(T660*INDEX(Variables!$B$9:$D$9,IFERROR(MATCH(IF($B660="Robusta","Robusta",(IF($B660="","Arabica",$B660))&amp;" - "&amp;(IF($C660="","Commercial",$C660))),Variables!$B$1:$D$1,0),1))*AC660/365),""))</f>
        <v>-1.1881809367331355</v>
      </c>
      <c r="AU660" s="12">
        <f>IF($H660="Cancelled","",IFERROR((T660*INDEX(Variables!$B$7:$D$7,IFERROR(MATCH(IF($B660="Robusta","Robusta",(IF($B660="","Arabica",$B660))&amp;" - "&amp;(IF($C660="","Commercial",$C660))),Variables!$B$1:$D$1,0),1))*AP660/365)+(L660/16.67*INDEX(Variables!$B$8:$D$8,IFERROR(MATCH(IF($B660="Robusta","Robusta",(IF($B660="","Arabica",$B660))&amp;" - "&amp;(IF($C660="","Commercial",$C660))),Variables!$B$1:$D$1,0),1))*AP660)+(T660*INDEX(Variables!$B$9:$D$9,IFERROR(MATCH(IF($B660="Robusta","Robusta",(IF($B660="","Arabica",$B660))&amp;" - "&amp;(IF($C660="","Commercial",$C660))),Variables!$B$1:$D$1,0),1))*AP660/365),""))</f>
        <v>-5.9409046836656776</v>
      </c>
      <c r="AV660" s="11">
        <f t="shared" si="70"/>
        <v>-8</v>
      </c>
      <c r="AW660" s="12">
        <f>IF($H660="Cancelled","",IFERROR(IF(AV660="","",(T660*INDEX(Variables!$B$7:$D$7,IFERROR(MATCH(IF($B660="Robusta","Robusta",(IF($B660="","Arabica",$B660))&amp;" - "&amp;(IF($C660="","Commercial",$C660))),Variables!$B$1:$D$1,0),1))*(AV660/365))+(T660*INDEX(Variables!$B$9:$D$9,IFERROR(MATCH(IF($B660="Robusta","Robusta",(IF($B660="","Arabica",$B660))&amp;" - "&amp;(IF($C660="","Commercial",$C660))),Variables!$B$1:$D$1,0),1))*(AV660/365))+(INDEX(Variables!$B$8:$D$8,IFERROR(MATCH(IF($B660="Robusta","Robusta",(IF($B660="","Arabica",$B660))&amp;" - "&amp;(IF($C660="","Commercial",$C660))),Variables!$B$1:$D$1,0),1))*L660/16.67)),""))</f>
        <v>-5.005447493865085</v>
      </c>
      <c r="AX660" s="9"/>
      <c r="AY660" s="12"/>
      <c r="AZ660" s="10"/>
      <c r="BA660" s="9"/>
      <c r="BB660" s="10"/>
      <c r="BC660" s="9"/>
      <c r="BD660" s="9"/>
      <c r="BE660" s="9"/>
      <c r="BF660" s="9"/>
    </row>
    <row r="661" spans="1:58" x14ac:dyDescent="0.25">
      <c r="A661" s="9" t="s">
        <v>84</v>
      </c>
      <c r="B661" s="9" t="s">
        <v>85</v>
      </c>
      <c r="C661" s="9" t="s">
        <v>1486</v>
      </c>
      <c r="D661" s="10">
        <v>45393</v>
      </c>
      <c r="E661" s="10">
        <v>45383</v>
      </c>
      <c r="F661" s="10">
        <v>45412</v>
      </c>
      <c r="G661" s="9">
        <v>3786298</v>
      </c>
      <c r="H661" s="9" t="str">
        <f t="shared" si="68"/>
        <v>Closed</v>
      </c>
      <c r="I661" s="9" t="str">
        <f t="shared" si="69"/>
        <v>All dates received</v>
      </c>
      <c r="J661" s="9" t="s">
        <v>303</v>
      </c>
      <c r="K661" s="9">
        <v>4878</v>
      </c>
      <c r="L661" s="11">
        <v>8</v>
      </c>
      <c r="M661" s="9" t="s">
        <v>1572</v>
      </c>
      <c r="N661" s="9"/>
      <c r="O661" s="9"/>
      <c r="P661" s="9"/>
      <c r="Q661" s="11"/>
      <c r="R661" s="9" t="s">
        <v>195</v>
      </c>
      <c r="S661" s="9" t="s">
        <v>91</v>
      </c>
      <c r="T661" s="12">
        <f>IF($H661="Cancelled","",IFERROR(((Q661+INDEX(Variables!$B$6:$D$6,IFERROR(MATCH(IF($B661="Robusta","Robusta",(IF($B661="","Arabica",$B661))&amp;" - "&amp;(IF($C661="","Commercial",$C661))),Variables!$B$1:$D$1,0),1)))*22.0462)*(L661/16.67),""))</f>
        <v>3076.6814445110972</v>
      </c>
      <c r="U661" s="10"/>
      <c r="V661" s="9" t="str">
        <f t="shared" si="71"/>
        <v/>
      </c>
      <c r="W661" s="10">
        <v>45371</v>
      </c>
      <c r="X661" s="9" t="str">
        <f t="shared" si="67"/>
        <v>Approved</v>
      </c>
      <c r="Y661" s="10">
        <v>45412</v>
      </c>
      <c r="Z661" s="10">
        <f>IF($H661="Cancelled","",IFERROR(IF(F661="","",F661-Variables!$B$13),""))</f>
        <v>45397</v>
      </c>
      <c r="AA661" s="11">
        <f>IF($H661="Cancelled","",IFERROR(IF(W661="","",(AVERAGE(E661:F661)-W661)-Variables!$B$14),""))</f>
        <v>-3.5</v>
      </c>
      <c r="AB661" s="10">
        <v>45419</v>
      </c>
      <c r="AC661" s="11">
        <f>IF($H661="Cancelled","",IFERROR(IF(AB661="","",IF(AND(W661="",Y661=""),"",IF(Y661&gt;W661,Y661+Variables!$B$15+Variables!$B$16+Variables!$B$17-AB661,W661+Variables!$B$16+Variables!$B$17-AB661))),""))</f>
        <v>8</v>
      </c>
      <c r="AD661" s="9" t="s">
        <v>305</v>
      </c>
      <c r="AE661" s="9" t="s">
        <v>254</v>
      </c>
      <c r="AF661" s="10"/>
      <c r="AG661" s="10"/>
      <c r="AH661" s="9"/>
      <c r="AI661" s="9" t="s">
        <v>306</v>
      </c>
      <c r="AJ661" s="9" t="s">
        <v>307</v>
      </c>
      <c r="AK661" s="10">
        <v>45429</v>
      </c>
      <c r="AL661" s="10">
        <v>45432</v>
      </c>
      <c r="AM661" s="10">
        <v>45436</v>
      </c>
      <c r="AN661" s="9" t="s">
        <v>1492</v>
      </c>
      <c r="AO661" s="9"/>
      <c r="AP661" s="11">
        <f>IF($H661="Cancelled","",IFERROR(IF(OR(AK661="",AB661=""),"",(AB661+Variables!$B$18-AK661)),""))</f>
        <v>-3</v>
      </c>
      <c r="AQ661" s="11">
        <f>IF($H661="Cancelled","",IFERROR(IF(OR(AM661="",AK661=""),"",(AK661+Variables!$B$19)-AM661),""))</f>
        <v>-2</v>
      </c>
      <c r="AR661" s="12">
        <f>IF($H661="Cancelled","",IFERROR(T661*INDEX(Variables!$B$7:$D$7,IFERROR(MATCH(IF($B661="Robusta","Robusta",(IF($B661="","Arabica",$B661))&amp;" - "&amp;(IF($C661="","Commercial",$C661))),Variables!$B$1:$D$1,0),1))*(AQ661/365),""))</f>
        <v>-1.0870750040616628</v>
      </c>
      <c r="AS661" s="12">
        <f>IF($H661="Cancelled","",IFERROR((T661*INDEX(Variables!$B$7:$D$7,IFERROR(MATCH(IF($B661="Robusta","Robusta",(IF($B661="","Arabica",$B661))&amp;" - "&amp;(IF($C661="","Commercial",$C661))),Variables!$B$1:$D$1,0),1))*IFERROR(IF(W661="","",(AVERAGE(E661:F661)-W661)-Variables!$B$14),"")/365)+(L661/16.67*INDEX(Variables!$B$8:$D$8,IFERROR(MATCH(IF($B661="Robusta","Robusta",(IF($B661="","Arabica",$B661))&amp;" - "&amp;(IF($C661="","Commercial",$C661))),Variables!$B$1:$D$1,0),1))*IFERROR(IF(W661="","",(AVERAGE(E661:F661)-W661)-Variables!$B$14),""))+(T661*INDEX(Variables!$B$9:$D$9,IFERROR(MATCH(IF($B661="Robusta","Robusta",(IF($B661="","Arabica",$B661))&amp;" - "&amp;(IF($C661="","Commercial",$C661))),Variables!$B$1:$D$1,0),1))*IFERROR(IF(W661="","",(AVERAGE(E661:F661)-W661)-Variables!$B$14),"")/365),""))</f>
        <v>-3.3269066228527793</v>
      </c>
      <c r="AT661" s="12">
        <f>IF($H661="Cancelled","",IFERROR((T661*INDEX(Variables!$B$7:$D$7,IFERROR(MATCH(IF($B661="Robusta","Robusta",(IF($B661="","Arabica",$B661))&amp;" - "&amp;(IF($C661="","Commercial",$C661))),Variables!$B$1:$D$1,0),1))*AC661/365)+(L661/16.67*INDEX(Variables!$B$8:$D$8,IFERROR(MATCH(IF($B661="Robusta","Robusta",(IF($B661="","Arabica",$B661))&amp;" - "&amp;(IF($C661="","Commercial",$C661))),Variables!$B$1:$D$1,0),1))*AC661)+(T661*INDEX(Variables!$B$9:$D$9,IFERROR(MATCH(IF($B661="Robusta","Robusta",(IF($B661="","Arabica",$B661))&amp;" - "&amp;(IF($C661="","Commercial",$C661))),Variables!$B$1:$D$1,0),1))*AC661/365),""))</f>
        <v>7.6043579950920668</v>
      </c>
      <c r="AU661" s="12">
        <f>IF($H661="Cancelled","",IFERROR((T661*INDEX(Variables!$B$7:$D$7,IFERROR(MATCH(IF($B661="Robusta","Robusta",(IF($B661="","Arabica",$B661))&amp;" - "&amp;(IF($C661="","Commercial",$C661))),Variables!$B$1:$D$1,0),1))*AP661/365)+(L661/16.67*INDEX(Variables!$B$8:$D$8,IFERROR(MATCH(IF($B661="Robusta","Robusta",(IF($B661="","Arabica",$B661))&amp;" - "&amp;(IF($C661="","Commercial",$C661))),Variables!$B$1:$D$1,0),1))*AP661)+(T661*INDEX(Variables!$B$9:$D$9,IFERROR(MATCH(IF($B661="Robusta","Robusta",(IF($B661="","Arabica",$B661))&amp;" - "&amp;(IF($C661="","Commercial",$C661))),Variables!$B$1:$D$1,0),1))*AP661/365),""))</f>
        <v>-2.8516342481595252</v>
      </c>
      <c r="AV661" s="11">
        <f t="shared" si="70"/>
        <v>-17</v>
      </c>
      <c r="AW661" s="12">
        <f>IF($H661="Cancelled","",IFERROR(IF(AV661="","",(T661*INDEX(Variables!$B$7:$D$7,IFERROR(MATCH(IF($B661="Robusta","Robusta",(IF($B661="","Arabica",$B661))&amp;" - "&amp;(IF($C661="","Commercial",$C661))),Variables!$B$1:$D$1,0),1))*(AV661/365))+(T661*INDEX(Variables!$B$9:$D$9,IFERROR(MATCH(IF($B661="Robusta","Robusta",(IF($B661="","Arabica",$B661))&amp;" - "&amp;(IF($C661="","Commercial",$C661))),Variables!$B$1:$D$1,0),1))*(AV661/365))+(INDEX(Variables!$B$8:$D$8,IFERROR(MATCH(IF($B661="Robusta","Robusta",(IF($B661="","Arabica",$B661))&amp;" - "&amp;(IF($C661="","Commercial",$C661))),Variables!$B$1:$D$1,0),1))*L661/16.67)),""))</f>
        <v>-8.9592607395706416</v>
      </c>
      <c r="AX661" s="9"/>
      <c r="AY661" s="12"/>
      <c r="AZ661" s="10"/>
      <c r="BA661" s="9"/>
      <c r="BB661" s="10"/>
      <c r="BC661" s="9"/>
      <c r="BD661" s="9"/>
      <c r="BE661" s="9"/>
      <c r="BF661" s="9"/>
    </row>
    <row r="662" spans="1:58" x14ac:dyDescent="0.25">
      <c r="A662" s="9" t="s">
        <v>84</v>
      </c>
      <c r="B662" s="9" t="s">
        <v>85</v>
      </c>
      <c r="C662" s="9" t="s">
        <v>1486</v>
      </c>
      <c r="D662" s="10">
        <v>45393</v>
      </c>
      <c r="E662" s="10">
        <v>45383</v>
      </c>
      <c r="F662" s="10">
        <v>45412</v>
      </c>
      <c r="G662" s="9">
        <v>3786299</v>
      </c>
      <c r="H662" s="9" t="str">
        <f t="shared" si="68"/>
        <v>Closed</v>
      </c>
      <c r="I662" s="9" t="str">
        <f t="shared" si="69"/>
        <v>All dates received</v>
      </c>
      <c r="J662" s="9" t="s">
        <v>303</v>
      </c>
      <c r="K662" s="9">
        <v>4879</v>
      </c>
      <c r="L662" s="11">
        <v>8</v>
      </c>
      <c r="M662" s="9" t="s">
        <v>1573</v>
      </c>
      <c r="N662" s="9"/>
      <c r="O662" s="9"/>
      <c r="P662" s="9"/>
      <c r="Q662" s="11"/>
      <c r="R662" s="9" t="s">
        <v>195</v>
      </c>
      <c r="S662" s="9" t="s">
        <v>91</v>
      </c>
      <c r="T662" s="12">
        <f>IF($H662="Cancelled","",IFERROR(((Q662+INDEX(Variables!$B$6:$D$6,IFERROR(MATCH(IF($B662="Robusta","Robusta",(IF($B662="","Arabica",$B662))&amp;" - "&amp;(IF($C662="","Commercial",$C662))),Variables!$B$1:$D$1,0),1)))*22.0462)*(L662/16.67),""))</f>
        <v>3076.6814445110972</v>
      </c>
      <c r="U662" s="10"/>
      <c r="V662" s="9" t="str">
        <f t="shared" si="71"/>
        <v/>
      </c>
      <c r="W662" s="10">
        <v>45371</v>
      </c>
      <c r="X662" s="9" t="str">
        <f t="shared" si="67"/>
        <v>Approved</v>
      </c>
      <c r="Y662" s="10">
        <v>45432</v>
      </c>
      <c r="Z662" s="10">
        <f>IF($H662="Cancelled","",IFERROR(IF(F662="","",F662-Variables!$B$13),""))</f>
        <v>45397</v>
      </c>
      <c r="AA662" s="11">
        <f>IF($H662="Cancelled","",IFERROR(IF(W662="","",(AVERAGE(E662:F662)-W662)-Variables!$B$14),""))</f>
        <v>-3.5</v>
      </c>
      <c r="AB662" s="10">
        <v>45419</v>
      </c>
      <c r="AC662" s="11">
        <f>IF($H662="Cancelled","",IFERROR(IF(AB662="","",IF(AND(W662="",Y662=""),"",IF(Y662&gt;W662,Y662+Variables!$B$15+Variables!$B$16+Variables!$B$17-AB662,W662+Variables!$B$16+Variables!$B$17-AB662))),""))</f>
        <v>28</v>
      </c>
      <c r="AD662" s="9" t="s">
        <v>305</v>
      </c>
      <c r="AE662" s="9" t="s">
        <v>254</v>
      </c>
      <c r="AF662" s="10"/>
      <c r="AG662" s="10"/>
      <c r="AH662" s="9"/>
      <c r="AI662" s="9" t="s">
        <v>306</v>
      </c>
      <c r="AJ662" s="9" t="s">
        <v>307</v>
      </c>
      <c r="AK662" s="10">
        <v>45429</v>
      </c>
      <c r="AL662" s="10">
        <v>45432</v>
      </c>
      <c r="AM662" s="10">
        <v>45436</v>
      </c>
      <c r="AN662" s="9" t="s">
        <v>1492</v>
      </c>
      <c r="AO662" s="9"/>
      <c r="AP662" s="11">
        <f>IF($H662="Cancelled","",IFERROR(IF(OR(AK662="",AB662=""),"",(AB662+Variables!$B$18-AK662)),""))</f>
        <v>-3</v>
      </c>
      <c r="AQ662" s="11">
        <f>IF($H662="Cancelled","",IFERROR(IF(OR(AM662="",AK662=""),"",(AK662+Variables!$B$19)-AM662),""))</f>
        <v>-2</v>
      </c>
      <c r="AR662" s="12">
        <f>IF($H662="Cancelled","",IFERROR(T662*INDEX(Variables!$B$7:$D$7,IFERROR(MATCH(IF($B662="Robusta","Robusta",(IF($B662="","Arabica",$B662))&amp;" - "&amp;(IF($C662="","Commercial",$C662))),Variables!$B$1:$D$1,0),1))*(AQ662/365),""))</f>
        <v>-1.0870750040616628</v>
      </c>
      <c r="AS662" s="12">
        <f>IF($H662="Cancelled","",IFERROR((T662*INDEX(Variables!$B$7:$D$7,IFERROR(MATCH(IF($B662="Robusta","Robusta",(IF($B662="","Arabica",$B662))&amp;" - "&amp;(IF($C662="","Commercial",$C662))),Variables!$B$1:$D$1,0),1))*IFERROR(IF(W662="","",(AVERAGE(E662:F662)-W662)-Variables!$B$14),"")/365)+(L662/16.67*INDEX(Variables!$B$8:$D$8,IFERROR(MATCH(IF($B662="Robusta","Robusta",(IF($B662="","Arabica",$B662))&amp;" - "&amp;(IF($C662="","Commercial",$C662))),Variables!$B$1:$D$1,0),1))*IFERROR(IF(W662="","",(AVERAGE(E662:F662)-W662)-Variables!$B$14),""))+(T662*INDEX(Variables!$B$9:$D$9,IFERROR(MATCH(IF($B662="Robusta","Robusta",(IF($B662="","Arabica",$B662))&amp;" - "&amp;(IF($C662="","Commercial",$C662))),Variables!$B$1:$D$1,0),1))*IFERROR(IF(W662="","",(AVERAGE(E662:F662)-W662)-Variables!$B$14),"")/365),""))</f>
        <v>-3.3269066228527793</v>
      </c>
      <c r="AT662" s="12">
        <f>IF($H662="Cancelled","",IFERROR((T662*INDEX(Variables!$B$7:$D$7,IFERROR(MATCH(IF($B662="Robusta","Robusta",(IF($B662="","Arabica",$B662))&amp;" - "&amp;(IF($C662="","Commercial",$C662))),Variables!$B$1:$D$1,0),1))*AC662/365)+(L662/16.67*INDEX(Variables!$B$8:$D$8,IFERROR(MATCH(IF($B662="Robusta","Robusta",(IF($B662="","Arabica",$B662))&amp;" - "&amp;(IF($C662="","Commercial",$C662))),Variables!$B$1:$D$1,0),1))*AC662)+(T662*INDEX(Variables!$B$9:$D$9,IFERROR(MATCH(IF($B662="Robusta","Robusta",(IF($B662="","Arabica",$B662))&amp;" - "&amp;(IF($C662="","Commercial",$C662))),Variables!$B$1:$D$1,0),1))*AC662/365),""))</f>
        <v>26.615252982822234</v>
      </c>
      <c r="AU662" s="12">
        <f>IF($H662="Cancelled","",IFERROR((T662*INDEX(Variables!$B$7:$D$7,IFERROR(MATCH(IF($B662="Robusta","Robusta",(IF($B662="","Arabica",$B662))&amp;" - "&amp;(IF($C662="","Commercial",$C662))),Variables!$B$1:$D$1,0),1))*AP662/365)+(L662/16.67*INDEX(Variables!$B$8:$D$8,IFERROR(MATCH(IF($B662="Robusta","Robusta",(IF($B662="","Arabica",$B662))&amp;" - "&amp;(IF($C662="","Commercial",$C662))),Variables!$B$1:$D$1,0),1))*AP662)+(T662*INDEX(Variables!$B$9:$D$9,IFERROR(MATCH(IF($B662="Robusta","Robusta",(IF($B662="","Arabica",$B662))&amp;" - "&amp;(IF($C662="","Commercial",$C662))),Variables!$B$1:$D$1,0),1))*AP662/365),""))</f>
        <v>-2.8516342481595252</v>
      </c>
      <c r="AV662" s="11">
        <f t="shared" si="70"/>
        <v>-17</v>
      </c>
      <c r="AW662" s="12">
        <f>IF($H662="Cancelled","",IFERROR(IF(AV662="","",(T662*INDEX(Variables!$B$7:$D$7,IFERROR(MATCH(IF($B662="Robusta","Robusta",(IF($B662="","Arabica",$B662))&amp;" - "&amp;(IF($C662="","Commercial",$C662))),Variables!$B$1:$D$1,0),1))*(AV662/365))+(T662*INDEX(Variables!$B$9:$D$9,IFERROR(MATCH(IF($B662="Robusta","Robusta",(IF($B662="","Arabica",$B662))&amp;" - "&amp;(IF($C662="","Commercial",$C662))),Variables!$B$1:$D$1,0),1))*(AV662/365))+(INDEX(Variables!$B$8:$D$8,IFERROR(MATCH(IF($B662="Robusta","Robusta",(IF($B662="","Arabica",$B662))&amp;" - "&amp;(IF($C662="","Commercial",$C662))),Variables!$B$1:$D$1,0),1))*L662/16.67)),""))</f>
        <v>-8.9592607395706416</v>
      </c>
      <c r="AX662" s="9"/>
      <c r="AY662" s="12"/>
      <c r="AZ662" s="10"/>
      <c r="BA662" s="9"/>
      <c r="BB662" s="10"/>
      <c r="BC662" s="9"/>
      <c r="BD662" s="9"/>
      <c r="BE662" s="9"/>
      <c r="BF662" s="9"/>
    </row>
    <row r="663" spans="1:58" x14ac:dyDescent="0.25">
      <c r="A663" s="9" t="s">
        <v>84</v>
      </c>
      <c r="B663" s="9" t="s">
        <v>85</v>
      </c>
      <c r="C663" s="9" t="s">
        <v>1486</v>
      </c>
      <c r="D663" s="10">
        <v>45393</v>
      </c>
      <c r="E663" s="10">
        <v>45383</v>
      </c>
      <c r="F663" s="10">
        <v>45412</v>
      </c>
      <c r="G663" s="9">
        <v>3786300</v>
      </c>
      <c r="H663" s="9" t="str">
        <f t="shared" si="68"/>
        <v>Closed</v>
      </c>
      <c r="I663" s="9" t="str">
        <f t="shared" si="69"/>
        <v>All dates received</v>
      </c>
      <c r="J663" s="9" t="s">
        <v>303</v>
      </c>
      <c r="K663" s="9">
        <v>4880</v>
      </c>
      <c r="L663" s="11">
        <v>8</v>
      </c>
      <c r="M663" s="9" t="s">
        <v>1574</v>
      </c>
      <c r="N663" s="9"/>
      <c r="O663" s="9"/>
      <c r="P663" s="9"/>
      <c r="Q663" s="11"/>
      <c r="R663" s="9" t="s">
        <v>195</v>
      </c>
      <c r="S663" s="9" t="s">
        <v>91</v>
      </c>
      <c r="T663" s="12">
        <f>IF($H663="Cancelled","",IFERROR(((Q663+INDEX(Variables!$B$6:$D$6,IFERROR(MATCH(IF($B663="Robusta","Robusta",(IF($B663="","Arabica",$B663))&amp;" - "&amp;(IF($C663="","Commercial",$C663))),Variables!$B$1:$D$1,0),1)))*22.0462)*(L663/16.67),""))</f>
        <v>3076.6814445110972</v>
      </c>
      <c r="U663" s="10"/>
      <c r="V663" s="9" t="str">
        <f t="shared" si="71"/>
        <v/>
      </c>
      <c r="W663" s="10">
        <v>45371</v>
      </c>
      <c r="X663" s="9" t="str">
        <f t="shared" si="67"/>
        <v>Approved</v>
      </c>
      <c r="Y663" s="10">
        <v>45432</v>
      </c>
      <c r="Z663" s="10">
        <f>IF($H663="Cancelled","",IFERROR(IF(F663="","",F663-Variables!$B$13),""))</f>
        <v>45397</v>
      </c>
      <c r="AA663" s="11">
        <f>IF($H663="Cancelled","",IFERROR(IF(W663="","",(AVERAGE(E663:F663)-W663)-Variables!$B$14),""))</f>
        <v>-3.5</v>
      </c>
      <c r="AB663" s="10">
        <v>45419</v>
      </c>
      <c r="AC663" s="11">
        <f>IF($H663="Cancelled","",IFERROR(IF(AB663="","",IF(AND(W663="",Y663=""),"",IF(Y663&gt;W663,Y663+Variables!$B$15+Variables!$B$16+Variables!$B$17-AB663,W663+Variables!$B$16+Variables!$B$17-AB663))),""))</f>
        <v>28</v>
      </c>
      <c r="AD663" s="9" t="s">
        <v>305</v>
      </c>
      <c r="AE663" s="9" t="s">
        <v>254</v>
      </c>
      <c r="AF663" s="10"/>
      <c r="AG663" s="10"/>
      <c r="AH663" s="9"/>
      <c r="AI663" s="9" t="s">
        <v>306</v>
      </c>
      <c r="AJ663" s="9" t="s">
        <v>307</v>
      </c>
      <c r="AK663" s="10">
        <v>45429</v>
      </c>
      <c r="AL663" s="10">
        <v>45432</v>
      </c>
      <c r="AM663" s="10">
        <v>45436</v>
      </c>
      <c r="AN663" s="9" t="s">
        <v>1492</v>
      </c>
      <c r="AO663" s="9"/>
      <c r="AP663" s="11">
        <f>IF($H663="Cancelled","",IFERROR(IF(OR(AK663="",AB663=""),"",(AB663+Variables!$B$18-AK663)),""))</f>
        <v>-3</v>
      </c>
      <c r="AQ663" s="11">
        <f>IF($H663="Cancelled","",IFERROR(IF(OR(AM663="",AK663=""),"",(AK663+Variables!$B$19)-AM663),""))</f>
        <v>-2</v>
      </c>
      <c r="AR663" s="12">
        <f>IF($H663="Cancelled","",IFERROR(T663*INDEX(Variables!$B$7:$D$7,IFERROR(MATCH(IF($B663="Robusta","Robusta",(IF($B663="","Arabica",$B663))&amp;" - "&amp;(IF($C663="","Commercial",$C663))),Variables!$B$1:$D$1,0),1))*(AQ663/365),""))</f>
        <v>-1.0870750040616628</v>
      </c>
      <c r="AS663" s="12">
        <f>IF($H663="Cancelled","",IFERROR((T663*INDEX(Variables!$B$7:$D$7,IFERROR(MATCH(IF($B663="Robusta","Robusta",(IF($B663="","Arabica",$B663))&amp;" - "&amp;(IF($C663="","Commercial",$C663))),Variables!$B$1:$D$1,0),1))*IFERROR(IF(W663="","",(AVERAGE(E663:F663)-W663)-Variables!$B$14),"")/365)+(L663/16.67*INDEX(Variables!$B$8:$D$8,IFERROR(MATCH(IF($B663="Robusta","Robusta",(IF($B663="","Arabica",$B663))&amp;" - "&amp;(IF($C663="","Commercial",$C663))),Variables!$B$1:$D$1,0),1))*IFERROR(IF(W663="","",(AVERAGE(E663:F663)-W663)-Variables!$B$14),""))+(T663*INDEX(Variables!$B$9:$D$9,IFERROR(MATCH(IF($B663="Robusta","Robusta",(IF($B663="","Arabica",$B663))&amp;" - "&amp;(IF($C663="","Commercial",$C663))),Variables!$B$1:$D$1,0),1))*IFERROR(IF(W663="","",(AVERAGE(E663:F663)-W663)-Variables!$B$14),"")/365),""))</f>
        <v>-3.3269066228527793</v>
      </c>
      <c r="AT663" s="12">
        <f>IF($H663="Cancelled","",IFERROR((T663*INDEX(Variables!$B$7:$D$7,IFERROR(MATCH(IF($B663="Robusta","Robusta",(IF($B663="","Arabica",$B663))&amp;" - "&amp;(IF($C663="","Commercial",$C663))),Variables!$B$1:$D$1,0),1))*AC663/365)+(L663/16.67*INDEX(Variables!$B$8:$D$8,IFERROR(MATCH(IF($B663="Robusta","Robusta",(IF($B663="","Arabica",$B663))&amp;" - "&amp;(IF($C663="","Commercial",$C663))),Variables!$B$1:$D$1,0),1))*AC663)+(T663*INDEX(Variables!$B$9:$D$9,IFERROR(MATCH(IF($B663="Robusta","Robusta",(IF($B663="","Arabica",$B663))&amp;" - "&amp;(IF($C663="","Commercial",$C663))),Variables!$B$1:$D$1,0),1))*AC663/365),""))</f>
        <v>26.615252982822234</v>
      </c>
      <c r="AU663" s="12">
        <f>IF($H663="Cancelled","",IFERROR((T663*INDEX(Variables!$B$7:$D$7,IFERROR(MATCH(IF($B663="Robusta","Robusta",(IF($B663="","Arabica",$B663))&amp;" - "&amp;(IF($C663="","Commercial",$C663))),Variables!$B$1:$D$1,0),1))*AP663/365)+(L663/16.67*INDEX(Variables!$B$8:$D$8,IFERROR(MATCH(IF($B663="Robusta","Robusta",(IF($B663="","Arabica",$B663))&amp;" - "&amp;(IF($C663="","Commercial",$C663))),Variables!$B$1:$D$1,0),1))*AP663)+(T663*INDEX(Variables!$B$9:$D$9,IFERROR(MATCH(IF($B663="Robusta","Robusta",(IF($B663="","Arabica",$B663))&amp;" - "&amp;(IF($C663="","Commercial",$C663))),Variables!$B$1:$D$1,0),1))*AP663/365),""))</f>
        <v>-2.8516342481595252</v>
      </c>
      <c r="AV663" s="11">
        <f t="shared" si="70"/>
        <v>-17</v>
      </c>
      <c r="AW663" s="12">
        <f>IF($H663="Cancelled","",IFERROR(IF(AV663="","",(T663*INDEX(Variables!$B$7:$D$7,IFERROR(MATCH(IF($B663="Robusta","Robusta",(IF($B663="","Arabica",$B663))&amp;" - "&amp;(IF($C663="","Commercial",$C663))),Variables!$B$1:$D$1,0),1))*(AV663/365))+(T663*INDEX(Variables!$B$9:$D$9,IFERROR(MATCH(IF($B663="Robusta","Robusta",(IF($B663="","Arabica",$B663))&amp;" - "&amp;(IF($C663="","Commercial",$C663))),Variables!$B$1:$D$1,0),1))*(AV663/365))+(INDEX(Variables!$B$8:$D$8,IFERROR(MATCH(IF($B663="Robusta","Robusta",(IF($B663="","Arabica",$B663))&amp;" - "&amp;(IF($C663="","Commercial",$C663))),Variables!$B$1:$D$1,0),1))*L663/16.67)),""))</f>
        <v>-8.9592607395706416</v>
      </c>
      <c r="AX663" s="9"/>
      <c r="AY663" s="12"/>
      <c r="AZ663" s="10"/>
      <c r="BA663" s="9"/>
      <c r="BB663" s="10"/>
      <c r="BC663" s="9"/>
      <c r="BD663" s="9"/>
      <c r="BE663" s="9"/>
      <c r="BF663" s="9"/>
    </row>
    <row r="664" spans="1:58" x14ac:dyDescent="0.25">
      <c r="A664" s="9" t="s">
        <v>84</v>
      </c>
      <c r="B664" s="9" t="s">
        <v>85</v>
      </c>
      <c r="C664" s="9" t="s">
        <v>1486</v>
      </c>
      <c r="D664" s="10">
        <v>45427</v>
      </c>
      <c r="E664" s="10">
        <v>45413</v>
      </c>
      <c r="F664" s="10">
        <v>45442</v>
      </c>
      <c r="G664" s="9">
        <v>3786375</v>
      </c>
      <c r="H664" s="9" t="str">
        <f t="shared" si="68"/>
        <v>Closed</v>
      </c>
      <c r="I664" s="9" t="str">
        <f t="shared" si="69"/>
        <v>All dates received</v>
      </c>
      <c r="J664" s="9" t="s">
        <v>257</v>
      </c>
      <c r="K664" s="9">
        <v>4942</v>
      </c>
      <c r="L664" s="11">
        <v>20</v>
      </c>
      <c r="M664" s="9" t="s">
        <v>1575</v>
      </c>
      <c r="N664" s="9"/>
      <c r="O664" s="9"/>
      <c r="P664" s="9"/>
      <c r="Q664" s="11"/>
      <c r="R664" s="9" t="s">
        <v>195</v>
      </c>
      <c r="S664" s="9" t="s">
        <v>1121</v>
      </c>
      <c r="T664" s="12">
        <f>IF($H664="Cancelled","",IFERROR(((Q664+INDEX(Variables!$B$6:$D$6,IFERROR(MATCH(IF($B664="Robusta","Robusta",(IF($B664="","Arabica",$B664))&amp;" - "&amp;(IF($C664="","Commercial",$C664))),Variables!$B$1:$D$1,0),1)))*22.0462)*(L664/16.67),""))</f>
        <v>7691.7036112777441</v>
      </c>
      <c r="U664" s="10"/>
      <c r="V664" s="9" t="str">
        <f t="shared" si="71"/>
        <v/>
      </c>
      <c r="W664" s="10">
        <v>45371</v>
      </c>
      <c r="X664" s="9" t="str">
        <f t="shared" si="67"/>
        <v>Approved</v>
      </c>
      <c r="Y664" s="10">
        <v>45432</v>
      </c>
      <c r="Z664" s="10">
        <f>IF($H664="Cancelled","",IFERROR(IF(F664="","",F664-Variables!$B$13),""))</f>
        <v>45427</v>
      </c>
      <c r="AA664" s="11">
        <f>IF($H664="Cancelled","",IFERROR(IF(W664="","",(AVERAGE(E664:F664)-W664)-Variables!$B$14),""))</f>
        <v>26.5</v>
      </c>
      <c r="AB664" s="10">
        <v>45443</v>
      </c>
      <c r="AC664" s="11">
        <f>IF($H664="Cancelled","",IFERROR(IF(AB664="","",IF(AND(W664="",Y664=""),"",IF(Y664&gt;W664,Y664+Variables!$B$15+Variables!$B$16+Variables!$B$17-AB664,W664+Variables!$B$16+Variables!$B$17-AB664))),""))</f>
        <v>4</v>
      </c>
      <c r="AD664" s="9" t="s">
        <v>165</v>
      </c>
      <c r="AE664" s="9" t="s">
        <v>184</v>
      </c>
      <c r="AF664" s="10"/>
      <c r="AG664" s="10"/>
      <c r="AH664" s="9"/>
      <c r="AI664" s="9" t="s">
        <v>1576</v>
      </c>
      <c r="AJ664" s="9" t="s">
        <v>8</v>
      </c>
      <c r="AK664" s="10">
        <v>45454</v>
      </c>
      <c r="AL664" s="10">
        <v>45457</v>
      </c>
      <c r="AM664" s="10">
        <v>45463</v>
      </c>
      <c r="AN664" s="9" t="s">
        <v>1492</v>
      </c>
      <c r="AO664" s="9"/>
      <c r="AP664" s="11">
        <f>IF($H664="Cancelled","",IFERROR(IF(OR(AK664="",AB664=""),"",(AB664+Variables!$B$18-AK664)),""))</f>
        <v>-4</v>
      </c>
      <c r="AQ664" s="11">
        <f>IF($H664="Cancelled","",IFERROR(IF(OR(AM664="",AK664=""),"",(AK664+Variables!$B$19)-AM664),""))</f>
        <v>-4</v>
      </c>
      <c r="AR664" s="12">
        <f>IF($H664="Cancelled","",IFERROR(T664*INDEX(Variables!$B$7:$D$7,IFERROR(MATCH(IF($B664="Robusta","Robusta",(IF($B664="","Arabica",$B664))&amp;" - "&amp;(IF($C664="","Commercial",$C664))),Variables!$B$1:$D$1,0),1))*(AQ664/365),""))</f>
        <v>-5.4353750203083155</v>
      </c>
      <c r="AS664" s="12">
        <f>IF($H664="Cancelled","",IFERROR((T664*INDEX(Variables!$B$7:$D$7,IFERROR(MATCH(IF($B664="Robusta","Robusta",(IF($B664="","Arabica",$B664))&amp;" - "&amp;(IF($C664="","Commercial",$C664))),Variables!$B$1:$D$1,0),1))*IFERROR(IF(W664="","",(AVERAGE(E664:F664)-W664)-Variables!$B$14),"")/365)+(L664/16.67*INDEX(Variables!$B$8:$D$8,IFERROR(MATCH(IF($B664="Robusta","Robusta",(IF($B664="","Arabica",$B664))&amp;" - "&amp;(IF($C664="","Commercial",$C664))),Variables!$B$1:$D$1,0),1))*IFERROR(IF(W664="","",(AVERAGE(E664:F664)-W664)-Variables!$B$14),""))+(T664*INDEX(Variables!$B$9:$D$9,IFERROR(MATCH(IF($B664="Robusta","Robusta",(IF($B664="","Arabica",$B664))&amp;" - "&amp;(IF($C664="","Commercial",$C664))),Variables!$B$1:$D$1,0),1))*IFERROR(IF(W664="","",(AVERAGE(E664:F664)-W664)-Variables!$B$14),"")/365),""))</f>
        <v>62.97358964685619</v>
      </c>
      <c r="AT664" s="12">
        <f>IF($H664="Cancelled","",IFERROR((T664*INDEX(Variables!$B$7:$D$7,IFERROR(MATCH(IF($B664="Robusta","Robusta",(IF($B664="","Arabica",$B664))&amp;" - "&amp;(IF($C664="","Commercial",$C664))),Variables!$B$1:$D$1,0),1))*AC664/365)+(L664/16.67*INDEX(Variables!$B$8:$D$8,IFERROR(MATCH(IF($B664="Robusta","Robusta",(IF($B664="","Arabica",$B664))&amp;" - "&amp;(IF($C664="","Commercial",$C664))),Variables!$B$1:$D$1,0),1))*AC664)+(T664*INDEX(Variables!$B$9:$D$9,IFERROR(MATCH(IF($B664="Robusta","Robusta",(IF($B664="","Arabica",$B664))&amp;" - "&amp;(IF($C664="","Commercial",$C664))),Variables!$B$1:$D$1,0),1))*AC664/365),""))</f>
        <v>9.5054474938650841</v>
      </c>
      <c r="AU664" s="12">
        <f>IF($H664="Cancelled","",IFERROR((T664*INDEX(Variables!$B$7:$D$7,IFERROR(MATCH(IF($B664="Robusta","Robusta",(IF($B664="","Arabica",$B664))&amp;" - "&amp;(IF($C664="","Commercial",$C664))),Variables!$B$1:$D$1,0),1))*AP664/365)+(L664/16.67*INDEX(Variables!$B$8:$D$8,IFERROR(MATCH(IF($B664="Robusta","Robusta",(IF($B664="","Arabica",$B664))&amp;" - "&amp;(IF($C664="","Commercial",$C664))),Variables!$B$1:$D$1,0),1))*AP664)+(T664*INDEX(Variables!$B$9:$D$9,IFERROR(MATCH(IF($B664="Robusta","Robusta",(IF($B664="","Arabica",$B664))&amp;" - "&amp;(IF($C664="","Commercial",$C664))),Variables!$B$1:$D$1,0),1))*AP664/365),""))</f>
        <v>-9.5054474938650841</v>
      </c>
      <c r="AV664" s="11">
        <f t="shared" si="70"/>
        <v>-12</v>
      </c>
      <c r="AW664" s="12">
        <f>IF($H664="Cancelled","",IFERROR(IF(AV664="","",(T664*INDEX(Variables!$B$7:$D$7,IFERROR(MATCH(IF($B664="Robusta","Robusta",(IF($B664="","Arabica",$B664))&amp;" - "&amp;(IF($C664="","Commercial",$C664))),Variables!$B$1:$D$1,0),1))*(AV664/365))+(T664*INDEX(Variables!$B$9:$D$9,IFERROR(MATCH(IF($B664="Robusta","Robusta",(IF($B664="","Arabica",$B664))&amp;" - "&amp;(IF($C664="","Commercial",$C664))),Variables!$B$1:$D$1,0),1))*(AV664/365))+(INDEX(Variables!$B$8:$D$8,IFERROR(MATCH(IF($B664="Robusta","Robusta",(IF($B664="","Arabica",$B664))&amp;" - "&amp;(IF($C664="","Commercial",$C664))),Variables!$B$1:$D$1,0),1))*L664/16.67)),""))</f>
        <v>-15.516342481595252</v>
      </c>
      <c r="AX664" s="9"/>
      <c r="AY664" s="12"/>
      <c r="AZ664" s="10"/>
      <c r="BA664" s="9"/>
      <c r="BB664" s="10"/>
      <c r="BC664" s="9"/>
      <c r="BD664" s="9"/>
      <c r="BE664" s="9"/>
      <c r="BF664" s="9"/>
    </row>
    <row r="665" spans="1:58" x14ac:dyDescent="0.25">
      <c r="A665" s="9" t="s">
        <v>84</v>
      </c>
      <c r="B665" s="9" t="s">
        <v>85</v>
      </c>
      <c r="C665" s="9" t="s">
        <v>1486</v>
      </c>
      <c r="D665" s="10">
        <v>45359</v>
      </c>
      <c r="E665" s="10">
        <v>45383</v>
      </c>
      <c r="F665" s="10">
        <v>45443</v>
      </c>
      <c r="G665" s="9">
        <v>3786188</v>
      </c>
      <c r="H665" s="9" t="str">
        <f t="shared" si="68"/>
        <v>Closed</v>
      </c>
      <c r="I665" s="9" t="str">
        <f t="shared" si="69"/>
        <v>All dates received</v>
      </c>
      <c r="J665" s="9" t="s">
        <v>102</v>
      </c>
      <c r="K665" s="9">
        <v>4837</v>
      </c>
      <c r="L665" s="11">
        <v>20</v>
      </c>
      <c r="M665" s="9" t="s">
        <v>1577</v>
      </c>
      <c r="N665" s="9"/>
      <c r="O665" s="9"/>
      <c r="P665" s="9"/>
      <c r="Q665" s="11"/>
      <c r="R665" s="9" t="s">
        <v>195</v>
      </c>
      <c r="S665" s="9" t="s">
        <v>554</v>
      </c>
      <c r="T665" s="12">
        <f>IF($H665="Cancelled","",IFERROR(((Q665+INDEX(Variables!$B$6:$D$6,IFERROR(MATCH(IF($B665="Robusta","Robusta",(IF($B665="","Arabica",$B665))&amp;" - "&amp;(IF($C665="","Commercial",$C665))),Variables!$B$1:$D$1,0),1)))*22.0462)*(L665/16.67),""))</f>
        <v>7691.7036112777441</v>
      </c>
      <c r="U665" s="10"/>
      <c r="V665" s="9" t="str">
        <f t="shared" si="71"/>
        <v/>
      </c>
      <c r="W665" s="10">
        <v>45371</v>
      </c>
      <c r="X665" s="9" t="str">
        <f t="shared" si="67"/>
        <v>Approved</v>
      </c>
      <c r="Y665" s="10">
        <v>45422</v>
      </c>
      <c r="Z665" s="10">
        <f>IF($H665="Cancelled","",IFERROR(IF(F665="","",F665-Variables!$B$13),""))</f>
        <v>45428</v>
      </c>
      <c r="AA665" s="11">
        <f>IF($H665="Cancelled","",IFERROR(IF(W665="","",(AVERAGE(E665:F665)-W665)-Variables!$B$14),""))</f>
        <v>12</v>
      </c>
      <c r="AB665" s="10">
        <v>45433</v>
      </c>
      <c r="AC665" s="11">
        <f>IF($H665="Cancelled","",IFERROR(IF(AB665="","",IF(AND(W665="",Y665=""),"",IF(Y665&gt;W665,Y665+Variables!$B$15+Variables!$B$16+Variables!$B$17-AB665,W665+Variables!$B$16+Variables!$B$17-AB665))),""))</f>
        <v>4</v>
      </c>
      <c r="AD665" s="9" t="s">
        <v>107</v>
      </c>
      <c r="AE665" s="9" t="s">
        <v>184</v>
      </c>
      <c r="AF665" s="10"/>
      <c r="AG665" s="10"/>
      <c r="AH665" s="9"/>
      <c r="AI665" s="9" t="s">
        <v>1578</v>
      </c>
      <c r="AJ665" s="9" t="s">
        <v>8</v>
      </c>
      <c r="AK665" s="10">
        <v>45454</v>
      </c>
      <c r="AL665" s="10">
        <v>45457</v>
      </c>
      <c r="AM665" s="10">
        <v>45463</v>
      </c>
      <c r="AN665" s="9" t="s">
        <v>1492</v>
      </c>
      <c r="AO665" s="9"/>
      <c r="AP665" s="11">
        <f>IF($H665="Cancelled","",IFERROR(IF(OR(AK665="",AB665=""),"",(AB665+Variables!$B$18-AK665)),""))</f>
        <v>-14</v>
      </c>
      <c r="AQ665" s="11">
        <f>IF($H665="Cancelled","",IFERROR(IF(OR(AM665="",AK665=""),"",(AK665+Variables!$B$19)-AM665),""))</f>
        <v>-4</v>
      </c>
      <c r="AR665" s="12">
        <f>IF($H665="Cancelled","",IFERROR(T665*INDEX(Variables!$B$7:$D$7,IFERROR(MATCH(IF($B665="Robusta","Robusta",(IF($B665="","Arabica",$B665))&amp;" - "&amp;(IF($C665="","Commercial",$C665))),Variables!$B$1:$D$1,0),1))*(AQ665/365),""))</f>
        <v>-5.4353750203083155</v>
      </c>
      <c r="AS665" s="12">
        <f>IF($H665="Cancelled","",IFERROR((T665*INDEX(Variables!$B$7:$D$7,IFERROR(MATCH(IF($B665="Robusta","Robusta",(IF($B665="","Arabica",$B665))&amp;" - "&amp;(IF($C665="","Commercial",$C665))),Variables!$B$1:$D$1,0),1))*IFERROR(IF(W665="","",(AVERAGE(E665:F665)-W665)-Variables!$B$14),"")/365)+(L665/16.67*INDEX(Variables!$B$8:$D$8,IFERROR(MATCH(IF($B665="Robusta","Robusta",(IF($B665="","Arabica",$B665))&amp;" - "&amp;(IF($C665="","Commercial",$C665))),Variables!$B$1:$D$1,0),1))*IFERROR(IF(W665="","",(AVERAGE(E665:F665)-W665)-Variables!$B$14),""))+(T665*INDEX(Variables!$B$9:$D$9,IFERROR(MATCH(IF($B665="Robusta","Robusta",(IF($B665="","Arabica",$B665))&amp;" - "&amp;(IF($C665="","Commercial",$C665))),Variables!$B$1:$D$1,0),1))*IFERROR(IF(W665="","",(AVERAGE(E665:F665)-W665)-Variables!$B$14),"")/365),""))</f>
        <v>28.516342481595252</v>
      </c>
      <c r="AT665" s="12">
        <f>IF($H665="Cancelled","",IFERROR((T665*INDEX(Variables!$B$7:$D$7,IFERROR(MATCH(IF($B665="Robusta","Robusta",(IF($B665="","Arabica",$B665))&amp;" - "&amp;(IF($C665="","Commercial",$C665))),Variables!$B$1:$D$1,0),1))*AC665/365)+(L665/16.67*INDEX(Variables!$B$8:$D$8,IFERROR(MATCH(IF($B665="Robusta","Robusta",(IF($B665="","Arabica",$B665))&amp;" - "&amp;(IF($C665="","Commercial",$C665))),Variables!$B$1:$D$1,0),1))*AC665)+(T665*INDEX(Variables!$B$9:$D$9,IFERROR(MATCH(IF($B665="Robusta","Robusta",(IF($B665="","Arabica",$B665))&amp;" - "&amp;(IF($C665="","Commercial",$C665))),Variables!$B$1:$D$1,0),1))*AC665/365),""))</f>
        <v>9.5054474938650841</v>
      </c>
      <c r="AU665" s="12">
        <f>IF($H665="Cancelled","",IFERROR((T665*INDEX(Variables!$B$7:$D$7,IFERROR(MATCH(IF($B665="Robusta","Robusta",(IF($B665="","Arabica",$B665))&amp;" - "&amp;(IF($C665="","Commercial",$C665))),Variables!$B$1:$D$1,0),1))*AP665/365)+(L665/16.67*INDEX(Variables!$B$8:$D$8,IFERROR(MATCH(IF($B665="Robusta","Robusta",(IF($B665="","Arabica",$B665))&amp;" - "&amp;(IF($C665="","Commercial",$C665))),Variables!$B$1:$D$1,0),1))*AP665)+(T665*INDEX(Variables!$B$9:$D$9,IFERROR(MATCH(IF($B665="Robusta","Robusta",(IF($B665="","Arabica",$B665))&amp;" - "&amp;(IF($C665="","Commercial",$C665))),Variables!$B$1:$D$1,0),1))*AP665/365),""))</f>
        <v>-33.269066228527798</v>
      </c>
      <c r="AV665" s="11">
        <f t="shared" si="70"/>
        <v>-11</v>
      </c>
      <c r="AW665" s="12">
        <f>IF($H665="Cancelled","",IFERROR(IF(AV665="","",(T665*INDEX(Variables!$B$7:$D$7,IFERROR(MATCH(IF($B665="Robusta","Robusta",(IF($B665="","Arabica",$B665))&amp;" - "&amp;(IF($C665="","Commercial",$C665))),Variables!$B$1:$D$1,0),1))*(AV665/365))+(T665*INDEX(Variables!$B$9:$D$9,IFERROR(MATCH(IF($B665="Robusta","Robusta",(IF($B665="","Arabica",$B665))&amp;" - "&amp;(IF($C665="","Commercial",$C665))),Variables!$B$1:$D$1,0),1))*(AV665/365))+(INDEX(Variables!$B$8:$D$8,IFERROR(MATCH(IF($B665="Robusta","Robusta",(IF($B665="","Arabica",$B665))&amp;" - "&amp;(IF($C665="","Commercial",$C665))),Variables!$B$1:$D$1,0),1))*L665/16.67)),""))</f>
        <v>-14.139980608128983</v>
      </c>
      <c r="AX665" s="9"/>
      <c r="AY665" s="12"/>
      <c r="AZ665" s="10"/>
      <c r="BA665" s="9"/>
      <c r="BB665" s="10"/>
      <c r="BC665" s="9"/>
      <c r="BD665" s="9"/>
      <c r="BE665" s="9"/>
      <c r="BF665" s="9"/>
    </row>
    <row r="666" spans="1:58" x14ac:dyDescent="0.25">
      <c r="A666" s="9" t="s">
        <v>84</v>
      </c>
      <c r="B666" s="9" t="s">
        <v>85</v>
      </c>
      <c r="C666" s="9" t="s">
        <v>1486</v>
      </c>
      <c r="D666" s="10">
        <v>45359</v>
      </c>
      <c r="E666" s="10">
        <v>45383</v>
      </c>
      <c r="F666" s="10">
        <v>45443</v>
      </c>
      <c r="G666" s="9">
        <v>3786189</v>
      </c>
      <c r="H666" s="9" t="str">
        <f t="shared" si="68"/>
        <v>Closed</v>
      </c>
      <c r="I666" s="9" t="str">
        <f t="shared" si="69"/>
        <v>All dates received</v>
      </c>
      <c r="J666" s="9" t="s">
        <v>102</v>
      </c>
      <c r="K666" s="9">
        <v>4838</v>
      </c>
      <c r="L666" s="11">
        <v>15</v>
      </c>
      <c r="M666" s="9" t="s">
        <v>1579</v>
      </c>
      <c r="N666" s="9"/>
      <c r="O666" s="9"/>
      <c r="P666" s="9"/>
      <c r="Q666" s="11"/>
      <c r="R666" s="9" t="s">
        <v>195</v>
      </c>
      <c r="S666" s="9" t="s">
        <v>554</v>
      </c>
      <c r="T666" s="12">
        <f>IF($H666="Cancelled","",IFERROR(((Q666+INDEX(Variables!$B$6:$D$6,IFERROR(MATCH(IF($B666="Robusta","Robusta",(IF($B666="","Arabica",$B666))&amp;" - "&amp;(IF($C666="","Commercial",$C666))),Variables!$B$1:$D$1,0),1)))*22.0462)*(L666/16.67),""))</f>
        <v>5768.7777084583076</v>
      </c>
      <c r="U666" s="10"/>
      <c r="V666" s="9" t="str">
        <f t="shared" si="71"/>
        <v/>
      </c>
      <c r="W666" s="10">
        <v>45371</v>
      </c>
      <c r="X666" s="9" t="str">
        <f t="shared" si="67"/>
        <v>Approved</v>
      </c>
      <c r="Y666" s="10">
        <v>45422</v>
      </c>
      <c r="Z666" s="10">
        <f>IF($H666="Cancelled","",IFERROR(IF(F666="","",F666-Variables!$B$13),""))</f>
        <v>45428</v>
      </c>
      <c r="AA666" s="11">
        <f>IF($H666="Cancelled","",IFERROR(IF(W666="","",(AVERAGE(E666:F666)-W666)-Variables!$B$14),""))</f>
        <v>12</v>
      </c>
      <c r="AB666" s="10">
        <v>45433</v>
      </c>
      <c r="AC666" s="11">
        <f>IF($H666="Cancelled","",IFERROR(IF(AB666="","",IF(AND(W666="",Y666=""),"",IF(Y666&gt;W666,Y666+Variables!$B$15+Variables!$B$16+Variables!$B$17-AB666,W666+Variables!$B$16+Variables!$B$17-AB666))),""))</f>
        <v>4</v>
      </c>
      <c r="AD666" s="9" t="s">
        <v>107</v>
      </c>
      <c r="AE666" s="9" t="s">
        <v>184</v>
      </c>
      <c r="AF666" s="10"/>
      <c r="AG666" s="10"/>
      <c r="AH666" s="9"/>
      <c r="AI666" s="9" t="s">
        <v>1578</v>
      </c>
      <c r="AJ666" s="9" t="s">
        <v>8</v>
      </c>
      <c r="AK666" s="10">
        <v>45454</v>
      </c>
      <c r="AL666" s="10">
        <v>45457</v>
      </c>
      <c r="AM666" s="10">
        <v>45463</v>
      </c>
      <c r="AN666" s="9" t="s">
        <v>1492</v>
      </c>
      <c r="AO666" s="9"/>
      <c r="AP666" s="11">
        <f>IF($H666="Cancelled","",IFERROR(IF(OR(AK666="",AB666=""),"",(AB666+Variables!$B$18-AK666)),""))</f>
        <v>-14</v>
      </c>
      <c r="AQ666" s="11">
        <f>IF($H666="Cancelled","",IFERROR(IF(OR(AM666="",AK666=""),"",(AK666+Variables!$B$19)-AM666),""))</f>
        <v>-4</v>
      </c>
      <c r="AR666" s="12">
        <f>IF($H666="Cancelled","",IFERROR(T666*INDEX(Variables!$B$7:$D$7,IFERROR(MATCH(IF($B666="Robusta","Robusta",(IF($B666="","Arabica",$B666))&amp;" - "&amp;(IF($C666="","Commercial",$C666))),Variables!$B$1:$D$1,0),1))*(AQ666/365),""))</f>
        <v>-4.0765312652312362</v>
      </c>
      <c r="AS666" s="12">
        <f>IF($H666="Cancelled","",IFERROR((T666*INDEX(Variables!$B$7:$D$7,IFERROR(MATCH(IF($B666="Robusta","Robusta",(IF($B666="","Arabica",$B666))&amp;" - "&amp;(IF($C666="","Commercial",$C666))),Variables!$B$1:$D$1,0),1))*IFERROR(IF(W666="","",(AVERAGE(E666:F666)-W666)-Variables!$B$14),"")/365)+(L666/16.67*INDEX(Variables!$B$8:$D$8,IFERROR(MATCH(IF($B666="Robusta","Robusta",(IF($B666="","Arabica",$B666))&amp;" - "&amp;(IF($C666="","Commercial",$C666))),Variables!$B$1:$D$1,0),1))*IFERROR(IF(W666="","",(AVERAGE(E666:F666)-W666)-Variables!$B$14),""))+(T666*INDEX(Variables!$B$9:$D$9,IFERROR(MATCH(IF($B666="Robusta","Robusta",(IF($B666="","Arabica",$B666))&amp;" - "&amp;(IF($C666="","Commercial",$C666))),Variables!$B$1:$D$1,0),1))*IFERROR(IF(W666="","",(AVERAGE(E666:F666)-W666)-Variables!$B$14),"")/365),""))</f>
        <v>21.387256861196441</v>
      </c>
      <c r="AT666" s="12">
        <f>IF($H666="Cancelled","",IFERROR((T666*INDEX(Variables!$B$7:$D$7,IFERROR(MATCH(IF($B666="Robusta","Robusta",(IF($B666="","Arabica",$B666))&amp;" - "&amp;(IF($C666="","Commercial",$C666))),Variables!$B$1:$D$1,0),1))*AC666/365)+(L666/16.67*INDEX(Variables!$B$8:$D$8,IFERROR(MATCH(IF($B666="Robusta","Robusta",(IF($B666="","Arabica",$B666))&amp;" - "&amp;(IF($C666="","Commercial",$C666))),Variables!$B$1:$D$1,0),1))*AC666)+(T666*INDEX(Variables!$B$9:$D$9,IFERROR(MATCH(IF($B666="Robusta","Robusta",(IF($B666="","Arabica",$B666))&amp;" - "&amp;(IF($C666="","Commercial",$C666))),Variables!$B$1:$D$1,0),1))*AC666/365),""))</f>
        <v>7.1290856203988131</v>
      </c>
      <c r="AU666" s="12">
        <f>IF($H666="Cancelled","",IFERROR((T666*INDEX(Variables!$B$7:$D$7,IFERROR(MATCH(IF($B666="Robusta","Robusta",(IF($B666="","Arabica",$B666))&amp;" - "&amp;(IF($C666="","Commercial",$C666))),Variables!$B$1:$D$1,0),1))*AP666/365)+(L666/16.67*INDEX(Variables!$B$8:$D$8,IFERROR(MATCH(IF($B666="Robusta","Robusta",(IF($B666="","Arabica",$B666))&amp;" - "&amp;(IF($C666="","Commercial",$C666))),Variables!$B$1:$D$1,0),1))*AP666)+(T666*INDEX(Variables!$B$9:$D$9,IFERROR(MATCH(IF($B666="Robusta","Robusta",(IF($B666="","Arabica",$B666))&amp;" - "&amp;(IF($C666="","Commercial",$C666))),Variables!$B$1:$D$1,0),1))*AP666/365),""))</f>
        <v>-24.951799671395847</v>
      </c>
      <c r="AV666" s="11">
        <f t="shared" si="70"/>
        <v>-11</v>
      </c>
      <c r="AW666" s="12">
        <f>IF($H666="Cancelled","",IFERROR(IF(AV666="","",(T666*INDEX(Variables!$B$7:$D$7,IFERROR(MATCH(IF($B666="Robusta","Robusta",(IF($B666="","Arabica",$B666))&amp;" - "&amp;(IF($C666="","Commercial",$C666))),Variables!$B$1:$D$1,0),1))*(AV666/365))+(T666*INDEX(Variables!$B$9:$D$9,IFERROR(MATCH(IF($B666="Robusta","Robusta",(IF($B666="","Arabica",$B666))&amp;" - "&amp;(IF($C666="","Commercial",$C666))),Variables!$B$1:$D$1,0),1))*(AV666/365))+(INDEX(Variables!$B$8:$D$8,IFERROR(MATCH(IF($B666="Robusta","Robusta",(IF($B666="","Arabica",$B666))&amp;" - "&amp;(IF($C666="","Commercial",$C666))),Variables!$B$1:$D$1,0),1))*L666/16.67)),""))</f>
        <v>-10.604985456096736</v>
      </c>
      <c r="AX666" s="9"/>
      <c r="AY666" s="12"/>
      <c r="AZ666" s="10"/>
      <c r="BA666" s="9"/>
      <c r="BB666" s="10"/>
      <c r="BC666" s="9"/>
      <c r="BD666" s="9"/>
      <c r="BE666" s="9"/>
      <c r="BF666" s="9"/>
    </row>
    <row r="667" spans="1:58" x14ac:dyDescent="0.25">
      <c r="A667" s="9" t="s">
        <v>84</v>
      </c>
      <c r="B667" s="9" t="s">
        <v>85</v>
      </c>
      <c r="C667" s="9" t="s">
        <v>1486</v>
      </c>
      <c r="D667" s="10">
        <v>45359</v>
      </c>
      <c r="E667" s="10">
        <v>45383</v>
      </c>
      <c r="F667" s="10">
        <v>45443</v>
      </c>
      <c r="G667" s="9">
        <v>3786190</v>
      </c>
      <c r="H667" s="9" t="str">
        <f t="shared" si="68"/>
        <v>Closed</v>
      </c>
      <c r="I667" s="9" t="str">
        <f t="shared" si="69"/>
        <v>All dates received</v>
      </c>
      <c r="J667" s="9" t="s">
        <v>102</v>
      </c>
      <c r="K667" s="9">
        <v>4839</v>
      </c>
      <c r="L667" s="11">
        <v>15</v>
      </c>
      <c r="M667" s="9" t="s">
        <v>1580</v>
      </c>
      <c r="N667" s="9"/>
      <c r="O667" s="9"/>
      <c r="P667" s="9"/>
      <c r="Q667" s="11"/>
      <c r="R667" s="9" t="s">
        <v>195</v>
      </c>
      <c r="S667" s="9" t="s">
        <v>554</v>
      </c>
      <c r="T667" s="12">
        <f>IF($H667="Cancelled","",IFERROR(((Q667+INDEX(Variables!$B$6:$D$6,IFERROR(MATCH(IF($B667="Robusta","Robusta",(IF($B667="","Arabica",$B667))&amp;" - "&amp;(IF($C667="","Commercial",$C667))),Variables!$B$1:$D$1,0),1)))*22.0462)*(L667/16.67),""))</f>
        <v>5768.7777084583076</v>
      </c>
      <c r="U667" s="10"/>
      <c r="V667" s="9" t="str">
        <f t="shared" si="71"/>
        <v/>
      </c>
      <c r="W667" s="10">
        <v>45371</v>
      </c>
      <c r="X667" s="9" t="str">
        <f t="shared" si="67"/>
        <v>Approved</v>
      </c>
      <c r="Y667" s="10">
        <v>45422</v>
      </c>
      <c r="Z667" s="10">
        <f>IF($H667="Cancelled","",IFERROR(IF(F667="","",F667-Variables!$B$13),""))</f>
        <v>45428</v>
      </c>
      <c r="AA667" s="11">
        <f>IF($H667="Cancelled","",IFERROR(IF(W667="","",(AVERAGE(E667:F667)-W667)-Variables!$B$14),""))</f>
        <v>12</v>
      </c>
      <c r="AB667" s="10">
        <v>45433</v>
      </c>
      <c r="AC667" s="11">
        <f>IF($H667="Cancelled","",IFERROR(IF(AB667="","",IF(AND(W667="",Y667=""),"",IF(Y667&gt;W667,Y667+Variables!$B$15+Variables!$B$16+Variables!$B$17-AB667,W667+Variables!$B$16+Variables!$B$17-AB667))),""))</f>
        <v>4</v>
      </c>
      <c r="AD667" s="9" t="s">
        <v>107</v>
      </c>
      <c r="AE667" s="9" t="s">
        <v>184</v>
      </c>
      <c r="AF667" s="10"/>
      <c r="AG667" s="10"/>
      <c r="AH667" s="9"/>
      <c r="AI667" s="9" t="s">
        <v>1578</v>
      </c>
      <c r="AJ667" s="9" t="s">
        <v>8</v>
      </c>
      <c r="AK667" s="10">
        <v>45454</v>
      </c>
      <c r="AL667" s="10">
        <v>45457</v>
      </c>
      <c r="AM667" s="10">
        <v>45463</v>
      </c>
      <c r="AN667" s="9" t="s">
        <v>1492</v>
      </c>
      <c r="AO667" s="9"/>
      <c r="AP667" s="11">
        <f>IF($H667="Cancelled","",IFERROR(IF(OR(AK667="",AB667=""),"",(AB667+Variables!$B$18-AK667)),""))</f>
        <v>-14</v>
      </c>
      <c r="AQ667" s="11">
        <f>IF($H667="Cancelled","",IFERROR(IF(OR(AM667="",AK667=""),"",(AK667+Variables!$B$19)-AM667),""))</f>
        <v>-4</v>
      </c>
      <c r="AR667" s="12">
        <f>IF($H667="Cancelled","",IFERROR(T667*INDEX(Variables!$B$7:$D$7,IFERROR(MATCH(IF($B667="Robusta","Robusta",(IF($B667="","Arabica",$B667))&amp;" - "&amp;(IF($C667="","Commercial",$C667))),Variables!$B$1:$D$1,0),1))*(AQ667/365),""))</f>
        <v>-4.0765312652312362</v>
      </c>
      <c r="AS667" s="12">
        <f>IF($H667="Cancelled","",IFERROR((T667*INDEX(Variables!$B$7:$D$7,IFERROR(MATCH(IF($B667="Robusta","Robusta",(IF($B667="","Arabica",$B667))&amp;" - "&amp;(IF($C667="","Commercial",$C667))),Variables!$B$1:$D$1,0),1))*IFERROR(IF(W667="","",(AVERAGE(E667:F667)-W667)-Variables!$B$14),"")/365)+(L667/16.67*INDEX(Variables!$B$8:$D$8,IFERROR(MATCH(IF($B667="Robusta","Robusta",(IF($B667="","Arabica",$B667))&amp;" - "&amp;(IF($C667="","Commercial",$C667))),Variables!$B$1:$D$1,0),1))*IFERROR(IF(W667="","",(AVERAGE(E667:F667)-W667)-Variables!$B$14),""))+(T667*INDEX(Variables!$B$9:$D$9,IFERROR(MATCH(IF($B667="Robusta","Robusta",(IF($B667="","Arabica",$B667))&amp;" - "&amp;(IF($C667="","Commercial",$C667))),Variables!$B$1:$D$1,0),1))*IFERROR(IF(W667="","",(AVERAGE(E667:F667)-W667)-Variables!$B$14),"")/365),""))</f>
        <v>21.387256861196441</v>
      </c>
      <c r="AT667" s="12">
        <f>IF($H667="Cancelled","",IFERROR((T667*INDEX(Variables!$B$7:$D$7,IFERROR(MATCH(IF($B667="Robusta","Robusta",(IF($B667="","Arabica",$B667))&amp;" - "&amp;(IF($C667="","Commercial",$C667))),Variables!$B$1:$D$1,0),1))*AC667/365)+(L667/16.67*INDEX(Variables!$B$8:$D$8,IFERROR(MATCH(IF($B667="Robusta","Robusta",(IF($B667="","Arabica",$B667))&amp;" - "&amp;(IF($C667="","Commercial",$C667))),Variables!$B$1:$D$1,0),1))*AC667)+(T667*INDEX(Variables!$B$9:$D$9,IFERROR(MATCH(IF($B667="Robusta","Robusta",(IF($B667="","Arabica",$B667))&amp;" - "&amp;(IF($C667="","Commercial",$C667))),Variables!$B$1:$D$1,0),1))*AC667/365),""))</f>
        <v>7.1290856203988131</v>
      </c>
      <c r="AU667" s="12">
        <f>IF($H667="Cancelled","",IFERROR((T667*INDEX(Variables!$B$7:$D$7,IFERROR(MATCH(IF($B667="Robusta","Robusta",(IF($B667="","Arabica",$B667))&amp;" - "&amp;(IF($C667="","Commercial",$C667))),Variables!$B$1:$D$1,0),1))*AP667/365)+(L667/16.67*INDEX(Variables!$B$8:$D$8,IFERROR(MATCH(IF($B667="Robusta","Robusta",(IF($B667="","Arabica",$B667))&amp;" - "&amp;(IF($C667="","Commercial",$C667))),Variables!$B$1:$D$1,0),1))*AP667)+(T667*INDEX(Variables!$B$9:$D$9,IFERROR(MATCH(IF($B667="Robusta","Robusta",(IF($B667="","Arabica",$B667))&amp;" - "&amp;(IF($C667="","Commercial",$C667))),Variables!$B$1:$D$1,0),1))*AP667/365),""))</f>
        <v>-24.951799671395847</v>
      </c>
      <c r="AV667" s="11">
        <f t="shared" si="70"/>
        <v>-11</v>
      </c>
      <c r="AW667" s="12">
        <f>IF($H667="Cancelled","",IFERROR(IF(AV667="","",(T667*INDEX(Variables!$B$7:$D$7,IFERROR(MATCH(IF($B667="Robusta","Robusta",(IF($B667="","Arabica",$B667))&amp;" - "&amp;(IF($C667="","Commercial",$C667))),Variables!$B$1:$D$1,0),1))*(AV667/365))+(T667*INDEX(Variables!$B$9:$D$9,IFERROR(MATCH(IF($B667="Robusta","Robusta",(IF($B667="","Arabica",$B667))&amp;" - "&amp;(IF($C667="","Commercial",$C667))),Variables!$B$1:$D$1,0),1))*(AV667/365))+(INDEX(Variables!$B$8:$D$8,IFERROR(MATCH(IF($B667="Robusta","Robusta",(IF($B667="","Arabica",$B667))&amp;" - "&amp;(IF($C667="","Commercial",$C667))),Variables!$B$1:$D$1,0),1))*L667/16.67)),""))</f>
        <v>-10.604985456096736</v>
      </c>
      <c r="AX667" s="9"/>
      <c r="AY667" s="12"/>
      <c r="AZ667" s="10"/>
      <c r="BA667" s="9"/>
      <c r="BB667" s="10"/>
      <c r="BC667" s="9"/>
      <c r="BD667" s="9"/>
      <c r="BE667" s="9"/>
      <c r="BF667" s="9"/>
    </row>
    <row r="668" spans="1:58" x14ac:dyDescent="0.25">
      <c r="A668" s="9" t="s">
        <v>84</v>
      </c>
      <c r="B668" s="9" t="s">
        <v>85</v>
      </c>
      <c r="C668" s="9" t="s">
        <v>1486</v>
      </c>
      <c r="D668" s="10">
        <v>45372</v>
      </c>
      <c r="E668" s="10">
        <v>45413</v>
      </c>
      <c r="F668" s="10">
        <v>45443</v>
      </c>
      <c r="G668" s="9">
        <v>3786240</v>
      </c>
      <c r="H668" s="9" t="str">
        <f t="shared" si="68"/>
        <v>Closed</v>
      </c>
      <c r="I668" s="9" t="str">
        <f t="shared" si="69"/>
        <v>All dates received</v>
      </c>
      <c r="J668" s="9" t="s">
        <v>102</v>
      </c>
      <c r="K668" s="9">
        <v>4843</v>
      </c>
      <c r="L668" s="11">
        <v>15</v>
      </c>
      <c r="M668" s="9" t="s">
        <v>1581</v>
      </c>
      <c r="N668" s="9"/>
      <c r="O668" s="9"/>
      <c r="P668" s="9"/>
      <c r="Q668" s="11"/>
      <c r="R668" s="9" t="s">
        <v>195</v>
      </c>
      <c r="S668" s="9" t="s">
        <v>554</v>
      </c>
      <c r="T668" s="12">
        <f>IF($H668="Cancelled","",IFERROR(((Q668+INDEX(Variables!$B$6:$D$6,IFERROR(MATCH(IF($B668="Robusta","Robusta",(IF($B668="","Arabica",$B668))&amp;" - "&amp;(IF($C668="","Commercial",$C668))),Variables!$B$1:$D$1,0),1)))*22.0462)*(L668/16.67),""))</f>
        <v>5768.7777084583076</v>
      </c>
      <c r="U668" s="10"/>
      <c r="V668" s="9" t="str">
        <f t="shared" si="71"/>
        <v/>
      </c>
      <c r="W668" s="10">
        <v>45371</v>
      </c>
      <c r="X668" s="9" t="str">
        <f t="shared" si="67"/>
        <v>Approved</v>
      </c>
      <c r="Y668" s="10">
        <v>45422</v>
      </c>
      <c r="Z668" s="10">
        <f>IF($H668="Cancelled","",IFERROR(IF(F668="","",F668-Variables!$B$13),""))</f>
        <v>45428</v>
      </c>
      <c r="AA668" s="11">
        <f>IF($H668="Cancelled","",IFERROR(IF(W668="","",(AVERAGE(E668:F668)-W668)-Variables!$B$14),""))</f>
        <v>27</v>
      </c>
      <c r="AB668" s="10">
        <v>45433</v>
      </c>
      <c r="AC668" s="11">
        <f>IF($H668="Cancelled","",IFERROR(IF(AB668="","",IF(AND(W668="",Y668=""),"",IF(Y668&gt;W668,Y668+Variables!$B$15+Variables!$B$16+Variables!$B$17-AB668,W668+Variables!$B$16+Variables!$B$17-AB668))),""))</f>
        <v>4</v>
      </c>
      <c r="AD668" s="9" t="s">
        <v>107</v>
      </c>
      <c r="AE668" s="9" t="s">
        <v>184</v>
      </c>
      <c r="AF668" s="10"/>
      <c r="AG668" s="10"/>
      <c r="AH668" s="9"/>
      <c r="AI668" s="9" t="s">
        <v>1578</v>
      </c>
      <c r="AJ668" s="9" t="s">
        <v>8</v>
      </c>
      <c r="AK668" s="10">
        <v>45454</v>
      </c>
      <c r="AL668" s="10">
        <v>45455</v>
      </c>
      <c r="AM668" s="10">
        <v>45466</v>
      </c>
      <c r="AN668" s="9" t="s">
        <v>1492</v>
      </c>
      <c r="AO668" s="9"/>
      <c r="AP668" s="11">
        <f>IF($H668="Cancelled","",IFERROR(IF(OR(AK668="",AB668=""),"",(AB668+Variables!$B$18-AK668)),""))</f>
        <v>-14</v>
      </c>
      <c r="AQ668" s="11">
        <f>IF($H668="Cancelled","",IFERROR(IF(OR(AM668="",AK668=""),"",(AK668+Variables!$B$19)-AM668),""))</f>
        <v>-7</v>
      </c>
      <c r="AR668" s="12">
        <f>IF($H668="Cancelled","",IFERROR(T668*INDEX(Variables!$B$7:$D$7,IFERROR(MATCH(IF($B668="Robusta","Robusta",(IF($B668="","Arabica",$B668))&amp;" - "&amp;(IF($C668="","Commercial",$C668))),Variables!$B$1:$D$1,0),1))*(AQ668/365),""))</f>
        <v>-7.1339297141546636</v>
      </c>
      <c r="AS668" s="12">
        <f>IF($H668="Cancelled","",IFERROR((T668*INDEX(Variables!$B$7:$D$7,IFERROR(MATCH(IF($B668="Robusta","Robusta",(IF($B668="","Arabica",$B668))&amp;" - "&amp;(IF($C668="","Commercial",$C668))),Variables!$B$1:$D$1,0),1))*IFERROR(IF(W668="","",(AVERAGE(E668:F668)-W668)-Variables!$B$14),"")/365)+(L668/16.67*INDEX(Variables!$B$8:$D$8,IFERROR(MATCH(IF($B668="Robusta","Robusta",(IF($B668="","Arabica",$B668))&amp;" - "&amp;(IF($C668="","Commercial",$C668))),Variables!$B$1:$D$1,0),1))*IFERROR(IF(W668="","",(AVERAGE(E668:F668)-W668)-Variables!$B$14),""))+(T668*INDEX(Variables!$B$9:$D$9,IFERROR(MATCH(IF($B668="Robusta","Robusta",(IF($B668="","Arabica",$B668))&amp;" - "&amp;(IF($C668="","Commercial",$C668))),Variables!$B$1:$D$1,0),1))*IFERROR(IF(W668="","",(AVERAGE(E668:F668)-W668)-Variables!$B$14),"")/365),""))</f>
        <v>48.121327937691987</v>
      </c>
      <c r="AT668" s="12">
        <f>IF($H668="Cancelled","",IFERROR((T668*INDEX(Variables!$B$7:$D$7,IFERROR(MATCH(IF($B668="Robusta","Robusta",(IF($B668="","Arabica",$B668))&amp;" - "&amp;(IF($C668="","Commercial",$C668))),Variables!$B$1:$D$1,0),1))*AC668/365)+(L668/16.67*INDEX(Variables!$B$8:$D$8,IFERROR(MATCH(IF($B668="Robusta","Robusta",(IF($B668="","Arabica",$B668))&amp;" - "&amp;(IF($C668="","Commercial",$C668))),Variables!$B$1:$D$1,0),1))*AC668)+(T668*INDEX(Variables!$B$9:$D$9,IFERROR(MATCH(IF($B668="Robusta","Robusta",(IF($B668="","Arabica",$B668))&amp;" - "&amp;(IF($C668="","Commercial",$C668))),Variables!$B$1:$D$1,0),1))*AC668/365),""))</f>
        <v>7.1290856203988131</v>
      </c>
      <c r="AU668" s="12">
        <f>IF($H668="Cancelled","",IFERROR((T668*INDEX(Variables!$B$7:$D$7,IFERROR(MATCH(IF($B668="Robusta","Robusta",(IF($B668="","Arabica",$B668))&amp;" - "&amp;(IF($C668="","Commercial",$C668))),Variables!$B$1:$D$1,0),1))*AP668/365)+(L668/16.67*INDEX(Variables!$B$8:$D$8,IFERROR(MATCH(IF($B668="Robusta","Robusta",(IF($B668="","Arabica",$B668))&amp;" - "&amp;(IF($C668="","Commercial",$C668))),Variables!$B$1:$D$1,0),1))*AP668)+(T668*INDEX(Variables!$B$9:$D$9,IFERROR(MATCH(IF($B668="Robusta","Robusta",(IF($B668="","Arabica",$B668))&amp;" - "&amp;(IF($C668="","Commercial",$C668))),Variables!$B$1:$D$1,0),1))*AP668/365),""))</f>
        <v>-24.951799671395847</v>
      </c>
      <c r="AV668" s="11">
        <f t="shared" si="70"/>
        <v>-11</v>
      </c>
      <c r="AW668" s="12">
        <f>IF($H668="Cancelled","",IFERROR(IF(AV668="","",(T668*INDEX(Variables!$B$7:$D$7,IFERROR(MATCH(IF($B668="Robusta","Robusta",(IF($B668="","Arabica",$B668))&amp;" - "&amp;(IF($C668="","Commercial",$C668))),Variables!$B$1:$D$1,0),1))*(AV668/365))+(T668*INDEX(Variables!$B$9:$D$9,IFERROR(MATCH(IF($B668="Robusta","Robusta",(IF($B668="","Arabica",$B668))&amp;" - "&amp;(IF($C668="","Commercial",$C668))),Variables!$B$1:$D$1,0),1))*(AV668/365))+(INDEX(Variables!$B$8:$D$8,IFERROR(MATCH(IF($B668="Robusta","Robusta",(IF($B668="","Arabica",$B668))&amp;" - "&amp;(IF($C668="","Commercial",$C668))),Variables!$B$1:$D$1,0),1))*L668/16.67)),""))</f>
        <v>-10.604985456096736</v>
      </c>
      <c r="AX668" s="9"/>
      <c r="AY668" s="12"/>
      <c r="AZ668" s="10"/>
      <c r="BA668" s="9"/>
      <c r="BB668" s="10"/>
      <c r="BC668" s="9"/>
      <c r="BD668" s="9"/>
      <c r="BE668" s="9"/>
      <c r="BF668" s="9"/>
    </row>
    <row r="669" spans="1:58" x14ac:dyDescent="0.25">
      <c r="A669" s="9" t="s">
        <v>84</v>
      </c>
      <c r="B669" s="9" t="s">
        <v>85</v>
      </c>
      <c r="C669" s="9" t="s">
        <v>1486</v>
      </c>
      <c r="D669" s="10">
        <v>45372</v>
      </c>
      <c r="E669" s="10">
        <v>45413</v>
      </c>
      <c r="F669" s="10">
        <v>45443</v>
      </c>
      <c r="G669" s="9">
        <v>3786241</v>
      </c>
      <c r="H669" s="9" t="str">
        <f t="shared" si="68"/>
        <v>Closed</v>
      </c>
      <c r="I669" s="9" t="str">
        <f t="shared" si="69"/>
        <v>All dates received</v>
      </c>
      <c r="J669" s="9" t="s">
        <v>102</v>
      </c>
      <c r="K669" s="9">
        <v>4844</v>
      </c>
      <c r="L669" s="11">
        <v>20</v>
      </c>
      <c r="M669" s="9" t="s">
        <v>1582</v>
      </c>
      <c r="N669" s="9"/>
      <c r="O669" s="9"/>
      <c r="P669" s="9"/>
      <c r="Q669" s="11"/>
      <c r="R669" s="9" t="s">
        <v>195</v>
      </c>
      <c r="S669" s="9" t="s">
        <v>554</v>
      </c>
      <c r="T669" s="12">
        <f>IF($H669="Cancelled","",IFERROR(((Q669+INDEX(Variables!$B$6:$D$6,IFERROR(MATCH(IF($B669="Robusta","Robusta",(IF($B669="","Arabica",$B669))&amp;" - "&amp;(IF($C669="","Commercial",$C669))),Variables!$B$1:$D$1,0),1)))*22.0462)*(L669/16.67),""))</f>
        <v>7691.7036112777441</v>
      </c>
      <c r="U669" s="10"/>
      <c r="V669" s="9" t="str">
        <f t="shared" si="71"/>
        <v/>
      </c>
      <c r="W669" s="10">
        <v>45371</v>
      </c>
      <c r="X669" s="9" t="str">
        <f t="shared" si="67"/>
        <v>Approved</v>
      </c>
      <c r="Y669" s="10">
        <v>45422</v>
      </c>
      <c r="Z669" s="10">
        <f>IF($H669="Cancelled","",IFERROR(IF(F669="","",F669-Variables!$B$13),""))</f>
        <v>45428</v>
      </c>
      <c r="AA669" s="11">
        <f>IF($H669="Cancelled","",IFERROR(IF(W669="","",(AVERAGE(E669:F669)-W669)-Variables!$B$14),""))</f>
        <v>27</v>
      </c>
      <c r="AB669" s="10">
        <v>45433</v>
      </c>
      <c r="AC669" s="11">
        <f>IF($H669="Cancelled","",IFERROR(IF(AB669="","",IF(AND(W669="",Y669=""),"",IF(Y669&gt;W669,Y669+Variables!$B$15+Variables!$B$16+Variables!$B$17-AB669,W669+Variables!$B$16+Variables!$B$17-AB669))),""))</f>
        <v>4</v>
      </c>
      <c r="AD669" s="9" t="s">
        <v>107</v>
      </c>
      <c r="AE669" s="9" t="s">
        <v>184</v>
      </c>
      <c r="AF669" s="10"/>
      <c r="AG669" s="10"/>
      <c r="AH669" s="9"/>
      <c r="AI669" s="9" t="s">
        <v>1578</v>
      </c>
      <c r="AJ669" s="9" t="s">
        <v>8</v>
      </c>
      <c r="AK669" s="10">
        <v>45454</v>
      </c>
      <c r="AL669" s="10">
        <v>45455</v>
      </c>
      <c r="AM669" s="10">
        <v>45467</v>
      </c>
      <c r="AN669" s="9" t="s">
        <v>1492</v>
      </c>
      <c r="AO669" s="9"/>
      <c r="AP669" s="11">
        <f>IF($H669="Cancelled","",IFERROR(IF(OR(AK669="",AB669=""),"",(AB669+Variables!$B$18-AK669)),""))</f>
        <v>-14</v>
      </c>
      <c r="AQ669" s="11">
        <f>IF($H669="Cancelled","",IFERROR(IF(OR(AM669="",AK669=""),"",(AK669+Variables!$B$19)-AM669),""))</f>
        <v>-8</v>
      </c>
      <c r="AR669" s="12">
        <f>IF($H669="Cancelled","",IFERROR(T669*INDEX(Variables!$B$7:$D$7,IFERROR(MATCH(IF($B669="Robusta","Robusta",(IF($B669="","Arabica",$B669))&amp;" - "&amp;(IF($C669="","Commercial",$C669))),Variables!$B$1:$D$1,0),1))*(AQ669/365),""))</f>
        <v>-10.870750040616631</v>
      </c>
      <c r="AS669" s="12">
        <f>IF($H669="Cancelled","",IFERROR((T669*INDEX(Variables!$B$7:$D$7,IFERROR(MATCH(IF($B669="Robusta","Robusta",(IF($B669="","Arabica",$B669))&amp;" - "&amp;(IF($C669="","Commercial",$C669))),Variables!$B$1:$D$1,0),1))*IFERROR(IF(W669="","",(AVERAGE(E669:F669)-W669)-Variables!$B$14),"")/365)+(L669/16.67*INDEX(Variables!$B$8:$D$8,IFERROR(MATCH(IF($B669="Robusta","Robusta",(IF($B669="","Arabica",$B669))&amp;" - "&amp;(IF($C669="","Commercial",$C669))),Variables!$B$1:$D$1,0),1))*IFERROR(IF(W669="","",(AVERAGE(E669:F669)-W669)-Variables!$B$14),""))+(T669*INDEX(Variables!$B$9:$D$9,IFERROR(MATCH(IF($B669="Robusta","Robusta",(IF($B669="","Arabica",$B669))&amp;" - "&amp;(IF($C669="","Commercial",$C669))),Variables!$B$1:$D$1,0),1))*IFERROR(IF(W669="","",(AVERAGE(E669:F669)-W669)-Variables!$B$14),"")/365),""))</f>
        <v>64.161770583589316</v>
      </c>
      <c r="AT669" s="12">
        <f>IF($H669="Cancelled","",IFERROR((T669*INDEX(Variables!$B$7:$D$7,IFERROR(MATCH(IF($B669="Robusta","Robusta",(IF($B669="","Arabica",$B669))&amp;" - "&amp;(IF($C669="","Commercial",$C669))),Variables!$B$1:$D$1,0),1))*AC669/365)+(L669/16.67*INDEX(Variables!$B$8:$D$8,IFERROR(MATCH(IF($B669="Robusta","Robusta",(IF($B669="","Arabica",$B669))&amp;" - "&amp;(IF($C669="","Commercial",$C669))),Variables!$B$1:$D$1,0),1))*AC669)+(T669*INDEX(Variables!$B$9:$D$9,IFERROR(MATCH(IF($B669="Robusta","Robusta",(IF($B669="","Arabica",$B669))&amp;" - "&amp;(IF($C669="","Commercial",$C669))),Variables!$B$1:$D$1,0),1))*AC669/365),""))</f>
        <v>9.5054474938650841</v>
      </c>
      <c r="AU669" s="12">
        <f>IF($H669="Cancelled","",IFERROR((T669*INDEX(Variables!$B$7:$D$7,IFERROR(MATCH(IF($B669="Robusta","Robusta",(IF($B669="","Arabica",$B669))&amp;" - "&amp;(IF($C669="","Commercial",$C669))),Variables!$B$1:$D$1,0),1))*AP669/365)+(L669/16.67*INDEX(Variables!$B$8:$D$8,IFERROR(MATCH(IF($B669="Robusta","Robusta",(IF($B669="","Arabica",$B669))&amp;" - "&amp;(IF($C669="","Commercial",$C669))),Variables!$B$1:$D$1,0),1))*AP669)+(T669*INDEX(Variables!$B$9:$D$9,IFERROR(MATCH(IF($B669="Robusta","Robusta",(IF($B669="","Arabica",$B669))&amp;" - "&amp;(IF($C669="","Commercial",$C669))),Variables!$B$1:$D$1,0),1))*AP669/365),""))</f>
        <v>-33.269066228527798</v>
      </c>
      <c r="AV669" s="11">
        <f t="shared" si="70"/>
        <v>-11</v>
      </c>
      <c r="AW669" s="12">
        <f>IF($H669="Cancelled","",IFERROR(IF(AV669="","",(T669*INDEX(Variables!$B$7:$D$7,IFERROR(MATCH(IF($B669="Robusta","Robusta",(IF($B669="","Arabica",$B669))&amp;" - "&amp;(IF($C669="","Commercial",$C669))),Variables!$B$1:$D$1,0),1))*(AV669/365))+(T669*INDEX(Variables!$B$9:$D$9,IFERROR(MATCH(IF($B669="Robusta","Robusta",(IF($B669="","Arabica",$B669))&amp;" - "&amp;(IF($C669="","Commercial",$C669))),Variables!$B$1:$D$1,0),1))*(AV669/365))+(INDEX(Variables!$B$8:$D$8,IFERROR(MATCH(IF($B669="Robusta","Robusta",(IF($B669="","Arabica",$B669))&amp;" - "&amp;(IF($C669="","Commercial",$C669))),Variables!$B$1:$D$1,0),1))*L669/16.67)),""))</f>
        <v>-14.139980608128983</v>
      </c>
      <c r="AX669" s="9"/>
      <c r="AY669" s="12"/>
      <c r="AZ669" s="10"/>
      <c r="BA669" s="9"/>
      <c r="BB669" s="10"/>
      <c r="BC669" s="9"/>
      <c r="BD669" s="9"/>
      <c r="BE669" s="9"/>
      <c r="BF669" s="9"/>
    </row>
    <row r="670" spans="1:58" x14ac:dyDescent="0.25">
      <c r="A670" s="9" t="s">
        <v>84</v>
      </c>
      <c r="B670" s="9" t="s">
        <v>85</v>
      </c>
      <c r="C670" s="9" t="s">
        <v>1486</v>
      </c>
      <c r="D670" s="10">
        <v>45372</v>
      </c>
      <c r="E670" s="10">
        <v>45413</v>
      </c>
      <c r="F670" s="10">
        <v>45443</v>
      </c>
      <c r="G670" s="9">
        <v>3786242</v>
      </c>
      <c r="H670" s="9" t="str">
        <f t="shared" si="68"/>
        <v>Closed</v>
      </c>
      <c r="I670" s="9" t="str">
        <f t="shared" si="69"/>
        <v>All dates received</v>
      </c>
      <c r="J670" s="9" t="s">
        <v>102</v>
      </c>
      <c r="K670" s="9">
        <v>4886</v>
      </c>
      <c r="L670" s="11">
        <v>25</v>
      </c>
      <c r="M670" s="9" t="s">
        <v>1583</v>
      </c>
      <c r="N670" s="9"/>
      <c r="O670" s="9"/>
      <c r="P670" s="9"/>
      <c r="Q670" s="11"/>
      <c r="R670" s="9" t="s">
        <v>195</v>
      </c>
      <c r="S670" s="9" t="s">
        <v>554</v>
      </c>
      <c r="T670" s="12">
        <f>IF($H670="Cancelled","",IFERROR(((Q670+INDEX(Variables!$B$6:$D$6,IFERROR(MATCH(IF($B670="Robusta","Robusta",(IF($B670="","Arabica",$B670))&amp;" - "&amp;(IF($C670="","Commercial",$C670))),Variables!$B$1:$D$1,0),1)))*22.0462)*(L670/16.67),""))</f>
        <v>9614.6295140971797</v>
      </c>
      <c r="U670" s="10"/>
      <c r="V670" s="9" t="str">
        <f t="shared" si="71"/>
        <v/>
      </c>
      <c r="W670" s="10">
        <v>45371</v>
      </c>
      <c r="X670" s="9" t="str">
        <f t="shared" si="67"/>
        <v>Approved</v>
      </c>
      <c r="Y670" s="10">
        <v>45422</v>
      </c>
      <c r="Z670" s="10">
        <f>IF($H670="Cancelled","",IFERROR(IF(F670="","",F670-Variables!$B$13),""))</f>
        <v>45428</v>
      </c>
      <c r="AA670" s="11">
        <f>IF($H670="Cancelled","",IFERROR(IF(W670="","",(AVERAGE(E670:F670)-W670)-Variables!$B$14),""))</f>
        <v>27</v>
      </c>
      <c r="AB670" s="10">
        <v>45433</v>
      </c>
      <c r="AC670" s="11">
        <f>IF($H670="Cancelled","",IFERROR(IF(AB670="","",IF(AND(W670="",Y670=""),"",IF(Y670&gt;W670,Y670+Variables!$B$15+Variables!$B$16+Variables!$B$17-AB670,W670+Variables!$B$16+Variables!$B$17-AB670))),""))</f>
        <v>4</v>
      </c>
      <c r="AD670" s="9" t="s">
        <v>107</v>
      </c>
      <c r="AE670" s="9" t="s">
        <v>184</v>
      </c>
      <c r="AF670" s="10"/>
      <c r="AG670" s="10"/>
      <c r="AH670" s="9"/>
      <c r="AI670" s="9" t="s">
        <v>1578</v>
      </c>
      <c r="AJ670" s="9" t="s">
        <v>8</v>
      </c>
      <c r="AK670" s="10">
        <v>45454</v>
      </c>
      <c r="AL670" s="10">
        <v>45455</v>
      </c>
      <c r="AM670" s="10">
        <v>45468</v>
      </c>
      <c r="AN670" s="9" t="s">
        <v>1492</v>
      </c>
      <c r="AO670" s="9"/>
      <c r="AP670" s="11">
        <f>IF($H670="Cancelled","",IFERROR(IF(OR(AK670="",AB670=""),"",(AB670+Variables!$B$18-AK670)),""))</f>
        <v>-14</v>
      </c>
      <c r="AQ670" s="11">
        <f>IF($H670="Cancelled","",IFERROR(IF(OR(AM670="",AK670=""),"",(AK670+Variables!$B$19)-AM670),""))</f>
        <v>-9</v>
      </c>
      <c r="AR670" s="12">
        <f>IF($H670="Cancelled","",IFERROR(T670*INDEX(Variables!$B$7:$D$7,IFERROR(MATCH(IF($B670="Robusta","Robusta",(IF($B670="","Arabica",$B670))&amp;" - "&amp;(IF($C670="","Commercial",$C670))),Variables!$B$1:$D$1,0),1))*(AQ670/365),""))</f>
        <v>-15.286992244617137</v>
      </c>
      <c r="AS670" s="12">
        <f>IF($H670="Cancelled","",IFERROR((T670*INDEX(Variables!$B$7:$D$7,IFERROR(MATCH(IF($B670="Robusta","Robusta",(IF($B670="","Arabica",$B670))&amp;" - "&amp;(IF($C670="","Commercial",$C670))),Variables!$B$1:$D$1,0),1))*IFERROR(IF(W670="","",(AVERAGE(E670:F670)-W670)-Variables!$B$14),"")/365)+(L670/16.67*INDEX(Variables!$B$8:$D$8,IFERROR(MATCH(IF($B670="Robusta","Robusta",(IF($B670="","Arabica",$B670))&amp;" - "&amp;(IF($C670="","Commercial",$C670))),Variables!$B$1:$D$1,0),1))*IFERROR(IF(W670="","",(AVERAGE(E670:F670)-W670)-Variables!$B$14),""))+(T670*INDEX(Variables!$B$9:$D$9,IFERROR(MATCH(IF($B670="Robusta","Robusta",(IF($B670="","Arabica",$B670))&amp;" - "&amp;(IF($C670="","Commercial",$C670))),Variables!$B$1:$D$1,0),1))*IFERROR(IF(W670="","",(AVERAGE(E670:F670)-W670)-Variables!$B$14),"")/365),""))</f>
        <v>80.202213229486645</v>
      </c>
      <c r="AT670" s="12">
        <f>IF($H670="Cancelled","",IFERROR((T670*INDEX(Variables!$B$7:$D$7,IFERROR(MATCH(IF($B670="Robusta","Robusta",(IF($B670="","Arabica",$B670))&amp;" - "&amp;(IF($C670="","Commercial",$C670))),Variables!$B$1:$D$1,0),1))*AC670/365)+(L670/16.67*INDEX(Variables!$B$8:$D$8,IFERROR(MATCH(IF($B670="Robusta","Robusta",(IF($B670="","Arabica",$B670))&amp;" - "&amp;(IF($C670="","Commercial",$C670))),Variables!$B$1:$D$1,0),1))*AC670)+(T670*INDEX(Variables!$B$9:$D$9,IFERROR(MATCH(IF($B670="Robusta","Robusta",(IF($B670="","Arabica",$B670))&amp;" - "&amp;(IF($C670="","Commercial",$C670))),Variables!$B$1:$D$1,0),1))*AC670/365),""))</f>
        <v>11.881809367331355</v>
      </c>
      <c r="AU670" s="12">
        <f>IF($H670="Cancelled","",IFERROR((T670*INDEX(Variables!$B$7:$D$7,IFERROR(MATCH(IF($B670="Robusta","Robusta",(IF($B670="","Arabica",$B670))&amp;" - "&amp;(IF($C670="","Commercial",$C670))),Variables!$B$1:$D$1,0),1))*AP670/365)+(L670/16.67*INDEX(Variables!$B$8:$D$8,IFERROR(MATCH(IF($B670="Robusta","Robusta",(IF($B670="","Arabica",$B670))&amp;" - "&amp;(IF($C670="","Commercial",$C670))),Variables!$B$1:$D$1,0),1))*AP670)+(T670*INDEX(Variables!$B$9:$D$9,IFERROR(MATCH(IF($B670="Robusta","Robusta",(IF($B670="","Arabica",$B670))&amp;" - "&amp;(IF($C670="","Commercial",$C670))),Variables!$B$1:$D$1,0),1))*AP670/365),""))</f>
        <v>-41.586332785659742</v>
      </c>
      <c r="AV670" s="11">
        <f t="shared" si="70"/>
        <v>-11</v>
      </c>
      <c r="AW670" s="12">
        <f>IF($H670="Cancelled","",IFERROR(IF(AV670="","",(T670*INDEX(Variables!$B$7:$D$7,IFERROR(MATCH(IF($B670="Robusta","Robusta",(IF($B670="","Arabica",$B670))&amp;" - "&amp;(IF($C670="","Commercial",$C670))),Variables!$B$1:$D$1,0),1))*(AV670/365))+(T670*INDEX(Variables!$B$9:$D$9,IFERROR(MATCH(IF($B670="Robusta","Robusta",(IF($B670="","Arabica",$B670))&amp;" - "&amp;(IF($C670="","Commercial",$C670))),Variables!$B$1:$D$1,0),1))*(AV670/365))+(INDEX(Variables!$B$8:$D$8,IFERROR(MATCH(IF($B670="Robusta","Robusta",(IF($B670="","Arabica",$B670))&amp;" - "&amp;(IF($C670="","Commercial",$C670))),Variables!$B$1:$D$1,0),1))*L670/16.67)),""))</f>
        <v>-17.674975760161232</v>
      </c>
      <c r="AX670" s="9"/>
      <c r="AY670" s="12"/>
      <c r="AZ670" s="10"/>
      <c r="BA670" s="9"/>
      <c r="BB670" s="10"/>
      <c r="BC670" s="9"/>
      <c r="BD670" s="9"/>
      <c r="BE670" s="9"/>
      <c r="BF670" s="9"/>
    </row>
    <row r="671" spans="1:58" x14ac:dyDescent="0.25">
      <c r="A671" s="9" t="s">
        <v>84</v>
      </c>
      <c r="B671" s="9" t="s">
        <v>85</v>
      </c>
      <c r="C671" s="9" t="s">
        <v>1486</v>
      </c>
      <c r="D671" s="10">
        <v>45372</v>
      </c>
      <c r="E671" s="10">
        <v>45413</v>
      </c>
      <c r="F671" s="10">
        <v>45443</v>
      </c>
      <c r="G671" s="9">
        <v>3786243</v>
      </c>
      <c r="H671" s="9" t="str">
        <f t="shared" si="68"/>
        <v>Closed</v>
      </c>
      <c r="I671" s="9" t="str">
        <f t="shared" si="69"/>
        <v>All dates received</v>
      </c>
      <c r="J671" s="9" t="s">
        <v>102</v>
      </c>
      <c r="K671" s="9">
        <v>4845</v>
      </c>
      <c r="L671" s="11">
        <v>20</v>
      </c>
      <c r="M671" s="9" t="s">
        <v>1584</v>
      </c>
      <c r="N671" s="9"/>
      <c r="O671" s="9"/>
      <c r="P671" s="9"/>
      <c r="Q671" s="11"/>
      <c r="R671" s="9" t="s">
        <v>195</v>
      </c>
      <c r="S671" s="9" t="s">
        <v>554</v>
      </c>
      <c r="T671" s="12">
        <f>IF($H671="Cancelled","",IFERROR(((Q671+INDEX(Variables!$B$6:$D$6,IFERROR(MATCH(IF($B671="Robusta","Robusta",(IF($B671="","Arabica",$B671))&amp;" - "&amp;(IF($C671="","Commercial",$C671))),Variables!$B$1:$D$1,0),1)))*22.0462)*(L671/16.67),""))</f>
        <v>7691.7036112777441</v>
      </c>
      <c r="U671" s="10"/>
      <c r="V671" s="9" t="str">
        <f t="shared" si="71"/>
        <v/>
      </c>
      <c r="W671" s="10">
        <v>45371</v>
      </c>
      <c r="X671" s="9" t="str">
        <f t="shared" si="67"/>
        <v>Approved</v>
      </c>
      <c r="Y671" s="10">
        <v>45422</v>
      </c>
      <c r="Z671" s="10">
        <f>IF($H671="Cancelled","",IFERROR(IF(F671="","",F671-Variables!$B$13),""))</f>
        <v>45428</v>
      </c>
      <c r="AA671" s="11">
        <f>IF($H671="Cancelled","",IFERROR(IF(W671="","",(AVERAGE(E671:F671)-W671)-Variables!$B$14),""))</f>
        <v>27</v>
      </c>
      <c r="AB671" s="10">
        <v>45433</v>
      </c>
      <c r="AC671" s="11">
        <f>IF($H671="Cancelled","",IFERROR(IF(AB671="","",IF(AND(W671="",Y671=""),"",IF(Y671&gt;W671,Y671+Variables!$B$15+Variables!$B$16+Variables!$B$17-AB671,W671+Variables!$B$16+Variables!$B$17-AB671))),""))</f>
        <v>4</v>
      </c>
      <c r="AD671" s="9" t="s">
        <v>107</v>
      </c>
      <c r="AE671" s="9" t="s">
        <v>184</v>
      </c>
      <c r="AF671" s="10"/>
      <c r="AG671" s="10"/>
      <c r="AH671" s="9"/>
      <c r="AI671" s="9" t="s">
        <v>1578</v>
      </c>
      <c r="AJ671" s="9" t="s">
        <v>8</v>
      </c>
      <c r="AK671" s="10">
        <v>45454</v>
      </c>
      <c r="AL671" s="10">
        <v>45455</v>
      </c>
      <c r="AM671" s="10">
        <v>45469</v>
      </c>
      <c r="AN671" s="9" t="s">
        <v>1492</v>
      </c>
      <c r="AO671" s="9"/>
      <c r="AP671" s="11">
        <f>IF($H671="Cancelled","",IFERROR(IF(OR(AK671="",AB671=""),"",(AB671+Variables!$B$18-AK671)),""))</f>
        <v>-14</v>
      </c>
      <c r="AQ671" s="11">
        <f>IF($H671="Cancelled","",IFERROR(IF(OR(AM671="",AK671=""),"",(AK671+Variables!$B$19)-AM671),""))</f>
        <v>-10</v>
      </c>
      <c r="AR671" s="12">
        <f>IF($H671="Cancelled","",IFERROR(T671*INDEX(Variables!$B$7:$D$7,IFERROR(MATCH(IF($B671="Robusta","Robusta",(IF($B671="","Arabica",$B671))&amp;" - "&amp;(IF($C671="","Commercial",$C671))),Variables!$B$1:$D$1,0),1))*(AQ671/365),""))</f>
        <v>-13.588437550770788</v>
      </c>
      <c r="AS671" s="12">
        <f>IF($H671="Cancelled","",IFERROR((T671*INDEX(Variables!$B$7:$D$7,IFERROR(MATCH(IF($B671="Robusta","Robusta",(IF($B671="","Arabica",$B671))&amp;" - "&amp;(IF($C671="","Commercial",$C671))),Variables!$B$1:$D$1,0),1))*IFERROR(IF(W671="","",(AVERAGE(E671:F671)-W671)-Variables!$B$14),"")/365)+(L671/16.67*INDEX(Variables!$B$8:$D$8,IFERROR(MATCH(IF($B671="Robusta","Robusta",(IF($B671="","Arabica",$B671))&amp;" - "&amp;(IF($C671="","Commercial",$C671))),Variables!$B$1:$D$1,0),1))*IFERROR(IF(W671="","",(AVERAGE(E671:F671)-W671)-Variables!$B$14),""))+(T671*INDEX(Variables!$B$9:$D$9,IFERROR(MATCH(IF($B671="Robusta","Robusta",(IF($B671="","Arabica",$B671))&amp;" - "&amp;(IF($C671="","Commercial",$C671))),Variables!$B$1:$D$1,0),1))*IFERROR(IF(W671="","",(AVERAGE(E671:F671)-W671)-Variables!$B$14),"")/365),""))</f>
        <v>64.161770583589316</v>
      </c>
      <c r="AT671" s="12">
        <f>IF($H671="Cancelled","",IFERROR((T671*INDEX(Variables!$B$7:$D$7,IFERROR(MATCH(IF($B671="Robusta","Robusta",(IF($B671="","Arabica",$B671))&amp;" - "&amp;(IF($C671="","Commercial",$C671))),Variables!$B$1:$D$1,0),1))*AC671/365)+(L671/16.67*INDEX(Variables!$B$8:$D$8,IFERROR(MATCH(IF($B671="Robusta","Robusta",(IF($B671="","Arabica",$B671))&amp;" - "&amp;(IF($C671="","Commercial",$C671))),Variables!$B$1:$D$1,0),1))*AC671)+(T671*INDEX(Variables!$B$9:$D$9,IFERROR(MATCH(IF($B671="Robusta","Robusta",(IF($B671="","Arabica",$B671))&amp;" - "&amp;(IF($C671="","Commercial",$C671))),Variables!$B$1:$D$1,0),1))*AC671/365),""))</f>
        <v>9.5054474938650841</v>
      </c>
      <c r="AU671" s="12">
        <f>IF($H671="Cancelled","",IFERROR((T671*INDEX(Variables!$B$7:$D$7,IFERROR(MATCH(IF($B671="Robusta","Robusta",(IF($B671="","Arabica",$B671))&amp;" - "&amp;(IF($C671="","Commercial",$C671))),Variables!$B$1:$D$1,0),1))*AP671/365)+(L671/16.67*INDEX(Variables!$B$8:$D$8,IFERROR(MATCH(IF($B671="Robusta","Robusta",(IF($B671="","Arabica",$B671))&amp;" - "&amp;(IF($C671="","Commercial",$C671))),Variables!$B$1:$D$1,0),1))*AP671)+(T671*INDEX(Variables!$B$9:$D$9,IFERROR(MATCH(IF($B671="Robusta","Robusta",(IF($B671="","Arabica",$B671))&amp;" - "&amp;(IF($C671="","Commercial",$C671))),Variables!$B$1:$D$1,0),1))*AP671/365),""))</f>
        <v>-33.269066228527798</v>
      </c>
      <c r="AV671" s="11">
        <f t="shared" si="70"/>
        <v>-11</v>
      </c>
      <c r="AW671" s="12">
        <f>IF($H671="Cancelled","",IFERROR(IF(AV671="","",(T671*INDEX(Variables!$B$7:$D$7,IFERROR(MATCH(IF($B671="Robusta","Robusta",(IF($B671="","Arabica",$B671))&amp;" - "&amp;(IF($C671="","Commercial",$C671))),Variables!$B$1:$D$1,0),1))*(AV671/365))+(T671*INDEX(Variables!$B$9:$D$9,IFERROR(MATCH(IF($B671="Robusta","Robusta",(IF($B671="","Arabica",$B671))&amp;" - "&amp;(IF($C671="","Commercial",$C671))),Variables!$B$1:$D$1,0),1))*(AV671/365))+(INDEX(Variables!$B$8:$D$8,IFERROR(MATCH(IF($B671="Robusta","Robusta",(IF($B671="","Arabica",$B671))&amp;" - "&amp;(IF($C671="","Commercial",$C671))),Variables!$B$1:$D$1,0),1))*L671/16.67)),""))</f>
        <v>-14.139980608128983</v>
      </c>
      <c r="AX671" s="9"/>
      <c r="AY671" s="12"/>
      <c r="AZ671" s="10"/>
      <c r="BA671" s="9"/>
      <c r="BB671" s="10"/>
      <c r="BC671" s="9"/>
      <c r="BD671" s="9"/>
      <c r="BE671" s="9"/>
      <c r="BF671" s="9"/>
    </row>
    <row r="672" spans="1:58" x14ac:dyDescent="0.25">
      <c r="A672" s="9" t="s">
        <v>84</v>
      </c>
      <c r="B672" s="9" t="s">
        <v>85</v>
      </c>
      <c r="C672" s="9" t="s">
        <v>1486</v>
      </c>
      <c r="D672" s="10">
        <v>45372</v>
      </c>
      <c r="E672" s="10">
        <v>45413</v>
      </c>
      <c r="F672" s="10">
        <v>45443</v>
      </c>
      <c r="G672" s="9">
        <v>3786244</v>
      </c>
      <c r="H672" s="9" t="str">
        <f t="shared" si="68"/>
        <v>Closed</v>
      </c>
      <c r="I672" s="9" t="str">
        <f t="shared" si="69"/>
        <v>All dates received</v>
      </c>
      <c r="J672" s="9" t="s">
        <v>102</v>
      </c>
      <c r="K672" s="9">
        <v>4885</v>
      </c>
      <c r="L672" s="11">
        <v>10</v>
      </c>
      <c r="M672" s="9" t="s">
        <v>1585</v>
      </c>
      <c r="N672" s="9"/>
      <c r="O672" s="9"/>
      <c r="P672" s="9"/>
      <c r="Q672" s="11"/>
      <c r="R672" s="9" t="s">
        <v>195</v>
      </c>
      <c r="S672" s="9" t="s">
        <v>554</v>
      </c>
      <c r="T672" s="12">
        <f>IF($H672="Cancelled","",IFERROR(((Q672+INDEX(Variables!$B$6:$D$6,IFERROR(MATCH(IF($B672="Robusta","Robusta",(IF($B672="","Arabica",$B672))&amp;" - "&amp;(IF($C672="","Commercial",$C672))),Variables!$B$1:$D$1,0),1)))*22.0462)*(L672/16.67),""))</f>
        <v>3845.8518056388721</v>
      </c>
      <c r="U672" s="10"/>
      <c r="V672" s="9" t="str">
        <f t="shared" si="71"/>
        <v/>
      </c>
      <c r="W672" s="10">
        <v>45371</v>
      </c>
      <c r="X672" s="9" t="str">
        <f t="shared" si="67"/>
        <v>Approved</v>
      </c>
      <c r="Y672" s="10">
        <v>45422</v>
      </c>
      <c r="Z672" s="10">
        <f>IF($H672="Cancelled","",IFERROR(IF(F672="","",F672-Variables!$B$13),""))</f>
        <v>45428</v>
      </c>
      <c r="AA672" s="11">
        <f>IF($H672="Cancelled","",IFERROR(IF(W672="","",(AVERAGE(E672:F672)-W672)-Variables!$B$14),""))</f>
        <v>27</v>
      </c>
      <c r="AB672" s="10">
        <v>45433</v>
      </c>
      <c r="AC672" s="11">
        <f>IF($H672="Cancelled","",IFERROR(IF(AB672="","",IF(AND(W672="",Y672=""),"",IF(Y672&gt;W672,Y672+Variables!$B$15+Variables!$B$16+Variables!$B$17-AB672,W672+Variables!$B$16+Variables!$B$17-AB672))),""))</f>
        <v>4</v>
      </c>
      <c r="AD672" s="9" t="s">
        <v>107</v>
      </c>
      <c r="AE672" s="9" t="s">
        <v>184</v>
      </c>
      <c r="AF672" s="10"/>
      <c r="AG672" s="10"/>
      <c r="AH672" s="9"/>
      <c r="AI672" s="9" t="s">
        <v>1578</v>
      </c>
      <c r="AJ672" s="9" t="s">
        <v>8</v>
      </c>
      <c r="AK672" s="10">
        <v>45454</v>
      </c>
      <c r="AL672" s="10">
        <v>45455</v>
      </c>
      <c r="AM672" s="10">
        <v>45470</v>
      </c>
      <c r="AN672" s="9" t="s">
        <v>1492</v>
      </c>
      <c r="AO672" s="9"/>
      <c r="AP672" s="11">
        <f>IF($H672="Cancelled","",IFERROR(IF(OR(AK672="",AB672=""),"",(AB672+Variables!$B$18-AK672)),""))</f>
        <v>-14</v>
      </c>
      <c r="AQ672" s="11">
        <f>IF($H672="Cancelled","",IFERROR(IF(OR(AM672="",AK672=""),"",(AK672+Variables!$B$19)-AM672),""))</f>
        <v>-11</v>
      </c>
      <c r="AR672" s="12">
        <f>IF($H672="Cancelled","",IFERROR(T672*INDEX(Variables!$B$7:$D$7,IFERROR(MATCH(IF($B672="Robusta","Robusta",(IF($B672="","Arabica",$B672))&amp;" - "&amp;(IF($C672="","Commercial",$C672))),Variables!$B$1:$D$1,0),1))*(AQ672/365),""))</f>
        <v>-7.4736406529239341</v>
      </c>
      <c r="AS672" s="12">
        <f>IF($H672="Cancelled","",IFERROR((T672*INDEX(Variables!$B$7:$D$7,IFERROR(MATCH(IF($B672="Robusta","Robusta",(IF($B672="","Arabica",$B672))&amp;" - "&amp;(IF($C672="","Commercial",$C672))),Variables!$B$1:$D$1,0),1))*IFERROR(IF(W672="","",(AVERAGE(E672:F672)-W672)-Variables!$B$14),"")/365)+(L672/16.67*INDEX(Variables!$B$8:$D$8,IFERROR(MATCH(IF($B672="Robusta","Robusta",(IF($B672="","Arabica",$B672))&amp;" - "&amp;(IF($C672="","Commercial",$C672))),Variables!$B$1:$D$1,0),1))*IFERROR(IF(W672="","",(AVERAGE(E672:F672)-W672)-Variables!$B$14),""))+(T672*INDEX(Variables!$B$9:$D$9,IFERROR(MATCH(IF($B672="Robusta","Robusta",(IF($B672="","Arabica",$B672))&amp;" - "&amp;(IF($C672="","Commercial",$C672))),Variables!$B$1:$D$1,0),1))*IFERROR(IF(W672="","",(AVERAGE(E672:F672)-W672)-Variables!$B$14),"")/365),""))</f>
        <v>32.080885291794658</v>
      </c>
      <c r="AT672" s="12">
        <f>IF($H672="Cancelled","",IFERROR((T672*INDEX(Variables!$B$7:$D$7,IFERROR(MATCH(IF($B672="Robusta","Robusta",(IF($B672="","Arabica",$B672))&amp;" - "&amp;(IF($C672="","Commercial",$C672))),Variables!$B$1:$D$1,0),1))*AC672/365)+(L672/16.67*INDEX(Variables!$B$8:$D$8,IFERROR(MATCH(IF($B672="Robusta","Robusta",(IF($B672="","Arabica",$B672))&amp;" - "&amp;(IF($C672="","Commercial",$C672))),Variables!$B$1:$D$1,0),1))*AC672)+(T672*INDEX(Variables!$B$9:$D$9,IFERROR(MATCH(IF($B672="Robusta","Robusta",(IF($B672="","Arabica",$B672))&amp;" - "&amp;(IF($C672="","Commercial",$C672))),Variables!$B$1:$D$1,0),1))*AC672/365),""))</f>
        <v>4.7527237469325421</v>
      </c>
      <c r="AU672" s="12">
        <f>IF($H672="Cancelled","",IFERROR((T672*INDEX(Variables!$B$7:$D$7,IFERROR(MATCH(IF($B672="Robusta","Robusta",(IF($B672="","Arabica",$B672))&amp;" - "&amp;(IF($C672="","Commercial",$C672))),Variables!$B$1:$D$1,0),1))*AP672/365)+(L672/16.67*INDEX(Variables!$B$8:$D$8,IFERROR(MATCH(IF($B672="Robusta","Robusta",(IF($B672="","Arabica",$B672))&amp;" - "&amp;(IF($C672="","Commercial",$C672))),Variables!$B$1:$D$1,0),1))*AP672)+(T672*INDEX(Variables!$B$9:$D$9,IFERROR(MATCH(IF($B672="Robusta","Robusta",(IF($B672="","Arabica",$B672))&amp;" - "&amp;(IF($C672="","Commercial",$C672))),Variables!$B$1:$D$1,0),1))*AP672/365),""))</f>
        <v>-16.634533114263899</v>
      </c>
      <c r="AV672" s="11">
        <f t="shared" si="70"/>
        <v>-11</v>
      </c>
      <c r="AW672" s="12">
        <f>IF($H672="Cancelled","",IFERROR(IF(AV672="","",(T672*INDEX(Variables!$B$7:$D$7,IFERROR(MATCH(IF($B672="Robusta","Robusta",(IF($B672="","Arabica",$B672))&amp;" - "&amp;(IF($C672="","Commercial",$C672))),Variables!$B$1:$D$1,0),1))*(AV672/365))+(T672*INDEX(Variables!$B$9:$D$9,IFERROR(MATCH(IF($B672="Robusta","Robusta",(IF($B672="","Arabica",$B672))&amp;" - "&amp;(IF($C672="","Commercial",$C672))),Variables!$B$1:$D$1,0),1))*(AV672/365))+(INDEX(Variables!$B$8:$D$8,IFERROR(MATCH(IF($B672="Robusta","Robusta",(IF($B672="","Arabica",$B672))&amp;" - "&amp;(IF($C672="","Commercial",$C672))),Variables!$B$1:$D$1,0),1))*L672/16.67)),""))</f>
        <v>-7.0699903040644916</v>
      </c>
      <c r="AX672" s="9"/>
      <c r="AY672" s="12"/>
      <c r="AZ672" s="10"/>
      <c r="BA672" s="9"/>
      <c r="BB672" s="10"/>
      <c r="BC672" s="9"/>
      <c r="BD672" s="9"/>
      <c r="BE672" s="9"/>
      <c r="BF672" s="9"/>
    </row>
    <row r="673" spans="1:58" x14ac:dyDescent="0.25">
      <c r="A673" s="9" t="s">
        <v>84</v>
      </c>
      <c r="B673" s="9" t="s">
        <v>85</v>
      </c>
      <c r="C673" s="9" t="s">
        <v>1486</v>
      </c>
      <c r="D673" s="10">
        <v>45372</v>
      </c>
      <c r="E673" s="10">
        <v>45413</v>
      </c>
      <c r="F673" s="10">
        <v>45443</v>
      </c>
      <c r="G673" s="9">
        <v>3786245</v>
      </c>
      <c r="H673" s="9" t="str">
        <f t="shared" si="68"/>
        <v>Closed</v>
      </c>
      <c r="I673" s="9" t="str">
        <f t="shared" si="69"/>
        <v>All dates received</v>
      </c>
      <c r="J673" s="9" t="s">
        <v>102</v>
      </c>
      <c r="K673" s="9">
        <v>4846</v>
      </c>
      <c r="L673" s="11">
        <v>10</v>
      </c>
      <c r="M673" s="9" t="s">
        <v>1586</v>
      </c>
      <c r="N673" s="9"/>
      <c r="O673" s="9"/>
      <c r="P673" s="9"/>
      <c r="Q673" s="11"/>
      <c r="R673" s="9" t="s">
        <v>195</v>
      </c>
      <c r="S673" s="9" t="s">
        <v>554</v>
      </c>
      <c r="T673" s="12">
        <f>IF($H673="Cancelled","",IFERROR(((Q673+INDEX(Variables!$B$6:$D$6,IFERROR(MATCH(IF($B673="Robusta","Robusta",(IF($B673="","Arabica",$B673))&amp;" - "&amp;(IF($C673="","Commercial",$C673))),Variables!$B$1:$D$1,0),1)))*22.0462)*(L673/16.67),""))</f>
        <v>3845.8518056388721</v>
      </c>
      <c r="U673" s="10"/>
      <c r="V673" s="9" t="str">
        <f t="shared" si="71"/>
        <v/>
      </c>
      <c r="W673" s="10">
        <v>45371</v>
      </c>
      <c r="X673" s="9" t="str">
        <f t="shared" si="67"/>
        <v>Approved</v>
      </c>
      <c r="Y673" s="10">
        <v>45422</v>
      </c>
      <c r="Z673" s="10">
        <f>IF($H673="Cancelled","",IFERROR(IF(F673="","",F673-Variables!$B$13),""))</f>
        <v>45428</v>
      </c>
      <c r="AA673" s="11">
        <f>IF($H673="Cancelled","",IFERROR(IF(W673="","",(AVERAGE(E673:F673)-W673)-Variables!$B$14),""))</f>
        <v>27</v>
      </c>
      <c r="AB673" s="10">
        <v>45433</v>
      </c>
      <c r="AC673" s="11">
        <f>IF($H673="Cancelled","",IFERROR(IF(AB673="","",IF(AND(W673="",Y673=""),"",IF(Y673&gt;W673,Y673+Variables!$B$15+Variables!$B$16+Variables!$B$17-AB673,W673+Variables!$B$16+Variables!$B$17-AB673))),""))</f>
        <v>4</v>
      </c>
      <c r="AD673" s="9" t="s">
        <v>107</v>
      </c>
      <c r="AE673" s="9" t="s">
        <v>184</v>
      </c>
      <c r="AF673" s="10"/>
      <c r="AG673" s="10"/>
      <c r="AH673" s="9"/>
      <c r="AI673" s="9" t="s">
        <v>1578</v>
      </c>
      <c r="AJ673" s="9" t="s">
        <v>8</v>
      </c>
      <c r="AK673" s="10">
        <v>45454</v>
      </c>
      <c r="AL673" s="10">
        <v>45455</v>
      </c>
      <c r="AM673" s="10">
        <v>45471</v>
      </c>
      <c r="AN673" s="9" t="s">
        <v>1492</v>
      </c>
      <c r="AO673" s="9"/>
      <c r="AP673" s="11">
        <f>IF($H673="Cancelled","",IFERROR(IF(OR(AK673="",AB673=""),"",(AB673+Variables!$B$18-AK673)),""))</f>
        <v>-14</v>
      </c>
      <c r="AQ673" s="11">
        <f>IF($H673="Cancelled","",IFERROR(IF(OR(AM673="",AK673=""),"",(AK673+Variables!$B$19)-AM673),""))</f>
        <v>-12</v>
      </c>
      <c r="AR673" s="12">
        <f>IF($H673="Cancelled","",IFERROR(T673*INDEX(Variables!$B$7:$D$7,IFERROR(MATCH(IF($B673="Robusta","Robusta",(IF($B673="","Arabica",$B673))&amp;" - "&amp;(IF($C673="","Commercial",$C673))),Variables!$B$1:$D$1,0),1))*(AQ673/365),""))</f>
        <v>-8.1530625304624724</v>
      </c>
      <c r="AS673" s="12">
        <f>IF($H673="Cancelled","",IFERROR((T673*INDEX(Variables!$B$7:$D$7,IFERROR(MATCH(IF($B673="Robusta","Robusta",(IF($B673="","Arabica",$B673))&amp;" - "&amp;(IF($C673="","Commercial",$C673))),Variables!$B$1:$D$1,0),1))*IFERROR(IF(W673="","",(AVERAGE(E673:F673)-W673)-Variables!$B$14),"")/365)+(L673/16.67*INDEX(Variables!$B$8:$D$8,IFERROR(MATCH(IF($B673="Robusta","Robusta",(IF($B673="","Arabica",$B673))&amp;" - "&amp;(IF($C673="","Commercial",$C673))),Variables!$B$1:$D$1,0),1))*IFERROR(IF(W673="","",(AVERAGE(E673:F673)-W673)-Variables!$B$14),""))+(T673*INDEX(Variables!$B$9:$D$9,IFERROR(MATCH(IF($B673="Robusta","Robusta",(IF($B673="","Arabica",$B673))&amp;" - "&amp;(IF($C673="","Commercial",$C673))),Variables!$B$1:$D$1,0),1))*IFERROR(IF(W673="","",(AVERAGE(E673:F673)-W673)-Variables!$B$14),"")/365),""))</f>
        <v>32.080885291794658</v>
      </c>
      <c r="AT673" s="12">
        <f>IF($H673="Cancelled","",IFERROR((T673*INDEX(Variables!$B$7:$D$7,IFERROR(MATCH(IF($B673="Robusta","Robusta",(IF($B673="","Arabica",$B673))&amp;" - "&amp;(IF($C673="","Commercial",$C673))),Variables!$B$1:$D$1,0),1))*AC673/365)+(L673/16.67*INDEX(Variables!$B$8:$D$8,IFERROR(MATCH(IF($B673="Robusta","Robusta",(IF($B673="","Arabica",$B673))&amp;" - "&amp;(IF($C673="","Commercial",$C673))),Variables!$B$1:$D$1,0),1))*AC673)+(T673*INDEX(Variables!$B$9:$D$9,IFERROR(MATCH(IF($B673="Robusta","Robusta",(IF($B673="","Arabica",$B673))&amp;" - "&amp;(IF($C673="","Commercial",$C673))),Variables!$B$1:$D$1,0),1))*AC673/365),""))</f>
        <v>4.7527237469325421</v>
      </c>
      <c r="AU673" s="12">
        <f>IF($H673="Cancelled","",IFERROR((T673*INDEX(Variables!$B$7:$D$7,IFERROR(MATCH(IF($B673="Robusta","Robusta",(IF($B673="","Arabica",$B673))&amp;" - "&amp;(IF($C673="","Commercial",$C673))),Variables!$B$1:$D$1,0),1))*AP673/365)+(L673/16.67*INDEX(Variables!$B$8:$D$8,IFERROR(MATCH(IF($B673="Robusta","Robusta",(IF($B673="","Arabica",$B673))&amp;" - "&amp;(IF($C673="","Commercial",$C673))),Variables!$B$1:$D$1,0),1))*AP673)+(T673*INDEX(Variables!$B$9:$D$9,IFERROR(MATCH(IF($B673="Robusta","Robusta",(IF($B673="","Arabica",$B673))&amp;" - "&amp;(IF($C673="","Commercial",$C673))),Variables!$B$1:$D$1,0),1))*AP673/365),""))</f>
        <v>-16.634533114263899</v>
      </c>
      <c r="AV673" s="11">
        <f t="shared" si="70"/>
        <v>-11</v>
      </c>
      <c r="AW673" s="12">
        <f>IF($H673="Cancelled","",IFERROR(IF(AV673="","",(T673*INDEX(Variables!$B$7:$D$7,IFERROR(MATCH(IF($B673="Robusta","Robusta",(IF($B673="","Arabica",$B673))&amp;" - "&amp;(IF($C673="","Commercial",$C673))),Variables!$B$1:$D$1,0),1))*(AV673/365))+(T673*INDEX(Variables!$B$9:$D$9,IFERROR(MATCH(IF($B673="Robusta","Robusta",(IF($B673="","Arabica",$B673))&amp;" - "&amp;(IF($C673="","Commercial",$C673))),Variables!$B$1:$D$1,0),1))*(AV673/365))+(INDEX(Variables!$B$8:$D$8,IFERROR(MATCH(IF($B673="Robusta","Robusta",(IF($B673="","Arabica",$B673))&amp;" - "&amp;(IF($C673="","Commercial",$C673))),Variables!$B$1:$D$1,0),1))*L673/16.67)),""))</f>
        <v>-7.0699903040644916</v>
      </c>
      <c r="AX673" s="9"/>
      <c r="AY673" s="12"/>
      <c r="AZ673" s="10"/>
      <c r="BA673" s="9"/>
      <c r="BB673" s="10"/>
      <c r="BC673" s="9"/>
      <c r="BD673" s="9"/>
      <c r="BE673" s="9"/>
      <c r="BF673" s="9"/>
    </row>
    <row r="674" spans="1:58" x14ac:dyDescent="0.25">
      <c r="A674" s="9" t="s">
        <v>84</v>
      </c>
      <c r="B674" s="9" t="s">
        <v>85</v>
      </c>
      <c r="C674" s="9" t="s">
        <v>1486</v>
      </c>
      <c r="D674" s="10">
        <v>45372</v>
      </c>
      <c r="E674" s="10">
        <v>45413</v>
      </c>
      <c r="F674" s="10">
        <v>45443</v>
      </c>
      <c r="G674" s="9">
        <v>3786246</v>
      </c>
      <c r="H674" s="9" t="str">
        <f t="shared" si="68"/>
        <v>Closed</v>
      </c>
      <c r="I674" s="9" t="str">
        <f t="shared" si="69"/>
        <v>All dates received</v>
      </c>
      <c r="J674" s="9" t="s">
        <v>102</v>
      </c>
      <c r="K674" s="9">
        <v>4887</v>
      </c>
      <c r="L674" s="11">
        <v>10</v>
      </c>
      <c r="M674" s="9" t="s">
        <v>1587</v>
      </c>
      <c r="N674" s="9"/>
      <c r="O674" s="9"/>
      <c r="P674" s="9"/>
      <c r="Q674" s="11"/>
      <c r="R674" s="9" t="s">
        <v>195</v>
      </c>
      <c r="S674" s="9" t="s">
        <v>554</v>
      </c>
      <c r="T674" s="12">
        <f>IF($H674="Cancelled","",IFERROR(((Q674+INDEX(Variables!$B$6:$D$6,IFERROR(MATCH(IF($B674="Robusta","Robusta",(IF($B674="","Arabica",$B674))&amp;" - "&amp;(IF($C674="","Commercial",$C674))),Variables!$B$1:$D$1,0),1)))*22.0462)*(L674/16.67),""))</f>
        <v>3845.8518056388721</v>
      </c>
      <c r="U674" s="10"/>
      <c r="V674" s="9" t="str">
        <f t="shared" si="71"/>
        <v/>
      </c>
      <c r="W674" s="10">
        <v>45371</v>
      </c>
      <c r="X674" s="9" t="str">
        <f t="shared" si="67"/>
        <v>Approved</v>
      </c>
      <c r="Y674" s="10">
        <v>45422</v>
      </c>
      <c r="Z674" s="10">
        <f>IF($H674="Cancelled","",IFERROR(IF(F674="","",F674-Variables!$B$13),""))</f>
        <v>45428</v>
      </c>
      <c r="AA674" s="11">
        <f>IF($H674="Cancelled","",IFERROR(IF(W674="","",(AVERAGE(E674:F674)-W674)-Variables!$B$14),""))</f>
        <v>27</v>
      </c>
      <c r="AB674" s="10">
        <v>45433</v>
      </c>
      <c r="AC674" s="11">
        <f>IF($H674="Cancelled","",IFERROR(IF(AB674="","",IF(AND(W674="",Y674=""),"",IF(Y674&gt;W674,Y674+Variables!$B$15+Variables!$B$16+Variables!$B$17-AB674,W674+Variables!$B$16+Variables!$B$17-AB674))),""))</f>
        <v>4</v>
      </c>
      <c r="AD674" s="9" t="s">
        <v>107</v>
      </c>
      <c r="AE674" s="9" t="s">
        <v>184</v>
      </c>
      <c r="AF674" s="10"/>
      <c r="AG674" s="10"/>
      <c r="AH674" s="9"/>
      <c r="AI674" s="9" t="s">
        <v>1578</v>
      </c>
      <c r="AJ674" s="9" t="s">
        <v>8</v>
      </c>
      <c r="AK674" s="10">
        <v>45454</v>
      </c>
      <c r="AL674" s="10">
        <v>45455</v>
      </c>
      <c r="AM674" s="10">
        <v>45472</v>
      </c>
      <c r="AN674" s="9" t="s">
        <v>1492</v>
      </c>
      <c r="AO674" s="9"/>
      <c r="AP674" s="11">
        <f>IF($H674="Cancelled","",IFERROR(IF(OR(AK674="",AB674=""),"",(AB674+Variables!$B$18-AK674)),""))</f>
        <v>-14</v>
      </c>
      <c r="AQ674" s="11">
        <f>IF($H674="Cancelled","",IFERROR(IF(OR(AM674="",AK674=""),"",(AK674+Variables!$B$19)-AM674),""))</f>
        <v>-13</v>
      </c>
      <c r="AR674" s="12">
        <f>IF($H674="Cancelled","",IFERROR(T674*INDEX(Variables!$B$7:$D$7,IFERROR(MATCH(IF($B674="Robusta","Robusta",(IF($B674="","Arabica",$B674))&amp;" - "&amp;(IF($C674="","Commercial",$C674))),Variables!$B$1:$D$1,0),1))*(AQ674/365),""))</f>
        <v>-8.8324844080010116</v>
      </c>
      <c r="AS674" s="12">
        <f>IF($H674="Cancelled","",IFERROR((T674*INDEX(Variables!$B$7:$D$7,IFERROR(MATCH(IF($B674="Robusta","Robusta",(IF($B674="","Arabica",$B674))&amp;" - "&amp;(IF($C674="","Commercial",$C674))),Variables!$B$1:$D$1,0),1))*IFERROR(IF(W674="","",(AVERAGE(E674:F674)-W674)-Variables!$B$14),"")/365)+(L674/16.67*INDEX(Variables!$B$8:$D$8,IFERROR(MATCH(IF($B674="Robusta","Robusta",(IF($B674="","Arabica",$B674))&amp;" - "&amp;(IF($C674="","Commercial",$C674))),Variables!$B$1:$D$1,0),1))*IFERROR(IF(W674="","",(AVERAGE(E674:F674)-W674)-Variables!$B$14),""))+(T674*INDEX(Variables!$B$9:$D$9,IFERROR(MATCH(IF($B674="Robusta","Robusta",(IF($B674="","Arabica",$B674))&amp;" - "&amp;(IF($C674="","Commercial",$C674))),Variables!$B$1:$D$1,0),1))*IFERROR(IF(W674="","",(AVERAGE(E674:F674)-W674)-Variables!$B$14),"")/365),""))</f>
        <v>32.080885291794658</v>
      </c>
      <c r="AT674" s="12">
        <f>IF($H674="Cancelled","",IFERROR((T674*INDEX(Variables!$B$7:$D$7,IFERROR(MATCH(IF($B674="Robusta","Robusta",(IF($B674="","Arabica",$B674))&amp;" - "&amp;(IF($C674="","Commercial",$C674))),Variables!$B$1:$D$1,0),1))*AC674/365)+(L674/16.67*INDEX(Variables!$B$8:$D$8,IFERROR(MATCH(IF($B674="Robusta","Robusta",(IF($B674="","Arabica",$B674))&amp;" - "&amp;(IF($C674="","Commercial",$C674))),Variables!$B$1:$D$1,0),1))*AC674)+(T674*INDEX(Variables!$B$9:$D$9,IFERROR(MATCH(IF($B674="Robusta","Robusta",(IF($B674="","Arabica",$B674))&amp;" - "&amp;(IF($C674="","Commercial",$C674))),Variables!$B$1:$D$1,0),1))*AC674/365),""))</f>
        <v>4.7527237469325421</v>
      </c>
      <c r="AU674" s="12">
        <f>IF($H674="Cancelled","",IFERROR((T674*INDEX(Variables!$B$7:$D$7,IFERROR(MATCH(IF($B674="Robusta","Robusta",(IF($B674="","Arabica",$B674))&amp;" - "&amp;(IF($C674="","Commercial",$C674))),Variables!$B$1:$D$1,0),1))*AP674/365)+(L674/16.67*INDEX(Variables!$B$8:$D$8,IFERROR(MATCH(IF($B674="Robusta","Robusta",(IF($B674="","Arabica",$B674))&amp;" - "&amp;(IF($C674="","Commercial",$C674))),Variables!$B$1:$D$1,0),1))*AP674)+(T674*INDEX(Variables!$B$9:$D$9,IFERROR(MATCH(IF($B674="Robusta","Robusta",(IF($B674="","Arabica",$B674))&amp;" - "&amp;(IF($C674="","Commercial",$C674))),Variables!$B$1:$D$1,0),1))*AP674/365),""))</f>
        <v>-16.634533114263899</v>
      </c>
      <c r="AV674" s="11">
        <f t="shared" si="70"/>
        <v>-11</v>
      </c>
      <c r="AW674" s="12">
        <f>IF($H674="Cancelled","",IFERROR(IF(AV674="","",(T674*INDEX(Variables!$B$7:$D$7,IFERROR(MATCH(IF($B674="Robusta","Robusta",(IF($B674="","Arabica",$B674))&amp;" - "&amp;(IF($C674="","Commercial",$C674))),Variables!$B$1:$D$1,0),1))*(AV674/365))+(T674*INDEX(Variables!$B$9:$D$9,IFERROR(MATCH(IF($B674="Robusta","Robusta",(IF($B674="","Arabica",$B674))&amp;" - "&amp;(IF($C674="","Commercial",$C674))),Variables!$B$1:$D$1,0),1))*(AV674/365))+(INDEX(Variables!$B$8:$D$8,IFERROR(MATCH(IF($B674="Robusta","Robusta",(IF($B674="","Arabica",$B674))&amp;" - "&amp;(IF($C674="","Commercial",$C674))),Variables!$B$1:$D$1,0),1))*L674/16.67)),""))</f>
        <v>-7.0699903040644916</v>
      </c>
      <c r="AX674" s="9"/>
      <c r="AY674" s="12"/>
      <c r="AZ674" s="10"/>
      <c r="BA674" s="9"/>
      <c r="BB674" s="10"/>
      <c r="BC674" s="9"/>
      <c r="BD674" s="9"/>
      <c r="BE674" s="9"/>
      <c r="BF674" s="9"/>
    </row>
    <row r="675" spans="1:58" x14ac:dyDescent="0.25">
      <c r="A675" s="9" t="s">
        <v>84</v>
      </c>
      <c r="B675" s="9" t="s">
        <v>85</v>
      </c>
      <c r="C675" s="9" t="s">
        <v>1486</v>
      </c>
      <c r="D675" s="10">
        <v>45372</v>
      </c>
      <c r="E675" s="10">
        <v>45413</v>
      </c>
      <c r="F675" s="10">
        <v>45443</v>
      </c>
      <c r="G675" s="9">
        <v>3786247</v>
      </c>
      <c r="H675" s="9" t="str">
        <f t="shared" si="68"/>
        <v>Closed</v>
      </c>
      <c r="I675" s="9" t="str">
        <f t="shared" si="69"/>
        <v>All dates received</v>
      </c>
      <c r="J675" s="9" t="s">
        <v>102</v>
      </c>
      <c r="K675" s="9">
        <v>4888</v>
      </c>
      <c r="L675" s="11">
        <v>5</v>
      </c>
      <c r="M675" s="9" t="s">
        <v>1588</v>
      </c>
      <c r="N675" s="9"/>
      <c r="O675" s="9"/>
      <c r="P675" s="9"/>
      <c r="Q675" s="11"/>
      <c r="R675" s="9" t="s">
        <v>195</v>
      </c>
      <c r="S675" s="9" t="s">
        <v>554</v>
      </c>
      <c r="T675" s="12">
        <f>IF($H675="Cancelled","",IFERROR(((Q675+INDEX(Variables!$B$6:$D$6,IFERROR(MATCH(IF($B675="Robusta","Robusta",(IF($B675="","Arabica",$B675))&amp;" - "&amp;(IF($C675="","Commercial",$C675))),Variables!$B$1:$D$1,0),1)))*22.0462)*(L675/16.67),""))</f>
        <v>1922.925902819436</v>
      </c>
      <c r="U675" s="10"/>
      <c r="V675" s="9" t="str">
        <f t="shared" si="71"/>
        <v/>
      </c>
      <c r="W675" s="10">
        <v>45371</v>
      </c>
      <c r="X675" s="9" t="str">
        <f t="shared" si="67"/>
        <v>Approved</v>
      </c>
      <c r="Y675" s="10">
        <v>45422</v>
      </c>
      <c r="Z675" s="10">
        <f>IF($H675="Cancelled","",IFERROR(IF(F675="","",F675-Variables!$B$13),""))</f>
        <v>45428</v>
      </c>
      <c r="AA675" s="11">
        <f>IF($H675="Cancelled","",IFERROR(IF(W675="","",(AVERAGE(E675:F675)-W675)-Variables!$B$14),""))</f>
        <v>27</v>
      </c>
      <c r="AB675" s="10">
        <v>45433</v>
      </c>
      <c r="AC675" s="11">
        <f>IF($H675="Cancelled","",IFERROR(IF(AB675="","",IF(AND(W675="",Y675=""),"",IF(Y675&gt;W675,Y675+Variables!$B$15+Variables!$B$16+Variables!$B$17-AB675,W675+Variables!$B$16+Variables!$B$17-AB675))),""))</f>
        <v>4</v>
      </c>
      <c r="AD675" s="9" t="s">
        <v>107</v>
      </c>
      <c r="AE675" s="9" t="s">
        <v>184</v>
      </c>
      <c r="AF675" s="10"/>
      <c r="AG675" s="10"/>
      <c r="AH675" s="9"/>
      <c r="AI675" s="9" t="s">
        <v>1578</v>
      </c>
      <c r="AJ675" s="9" t="s">
        <v>8</v>
      </c>
      <c r="AK675" s="10">
        <v>45454</v>
      </c>
      <c r="AL675" s="10">
        <v>45455</v>
      </c>
      <c r="AM675" s="10">
        <v>45473</v>
      </c>
      <c r="AN675" s="9" t="s">
        <v>1492</v>
      </c>
      <c r="AO675" s="9"/>
      <c r="AP675" s="11">
        <f>IF($H675="Cancelled","",IFERROR(IF(OR(AK675="",AB675=""),"",(AB675+Variables!$B$18-AK675)),""))</f>
        <v>-14</v>
      </c>
      <c r="AQ675" s="11">
        <f>IF($H675="Cancelled","",IFERROR(IF(OR(AM675="",AK675=""),"",(AK675+Variables!$B$19)-AM675),""))</f>
        <v>-14</v>
      </c>
      <c r="AR675" s="12">
        <f>IF($H675="Cancelled","",IFERROR(T675*INDEX(Variables!$B$7:$D$7,IFERROR(MATCH(IF($B675="Robusta","Robusta",(IF($B675="","Arabica",$B675))&amp;" - "&amp;(IF($C675="","Commercial",$C675))),Variables!$B$1:$D$1,0),1))*(AQ675/365),""))</f>
        <v>-4.7559531427697763</v>
      </c>
      <c r="AS675" s="12">
        <f>IF($H675="Cancelled","",IFERROR((T675*INDEX(Variables!$B$7:$D$7,IFERROR(MATCH(IF($B675="Robusta","Robusta",(IF($B675="","Arabica",$B675))&amp;" - "&amp;(IF($C675="","Commercial",$C675))),Variables!$B$1:$D$1,0),1))*IFERROR(IF(W675="","",(AVERAGE(E675:F675)-W675)-Variables!$B$14),"")/365)+(L675/16.67*INDEX(Variables!$B$8:$D$8,IFERROR(MATCH(IF($B675="Robusta","Robusta",(IF($B675="","Arabica",$B675))&amp;" - "&amp;(IF($C675="","Commercial",$C675))),Variables!$B$1:$D$1,0),1))*IFERROR(IF(W675="","",(AVERAGE(E675:F675)-W675)-Variables!$B$14),""))+(T675*INDEX(Variables!$B$9:$D$9,IFERROR(MATCH(IF($B675="Robusta","Robusta",(IF($B675="","Arabica",$B675))&amp;" - "&amp;(IF($C675="","Commercial",$C675))),Variables!$B$1:$D$1,0),1))*IFERROR(IF(W675="","",(AVERAGE(E675:F675)-W675)-Variables!$B$14),"")/365),""))</f>
        <v>16.040442645897329</v>
      </c>
      <c r="AT675" s="12">
        <f>IF($H675="Cancelled","",IFERROR((T675*INDEX(Variables!$B$7:$D$7,IFERROR(MATCH(IF($B675="Robusta","Robusta",(IF($B675="","Arabica",$B675))&amp;" - "&amp;(IF($C675="","Commercial",$C675))),Variables!$B$1:$D$1,0),1))*AC675/365)+(L675/16.67*INDEX(Variables!$B$8:$D$8,IFERROR(MATCH(IF($B675="Robusta","Robusta",(IF($B675="","Arabica",$B675))&amp;" - "&amp;(IF($C675="","Commercial",$C675))),Variables!$B$1:$D$1,0),1))*AC675)+(T675*INDEX(Variables!$B$9:$D$9,IFERROR(MATCH(IF($B675="Robusta","Robusta",(IF($B675="","Arabica",$B675))&amp;" - "&amp;(IF($C675="","Commercial",$C675))),Variables!$B$1:$D$1,0),1))*AC675/365),""))</f>
        <v>2.376361873466271</v>
      </c>
      <c r="AU675" s="12">
        <f>IF($H675="Cancelled","",IFERROR((T675*INDEX(Variables!$B$7:$D$7,IFERROR(MATCH(IF($B675="Robusta","Robusta",(IF($B675="","Arabica",$B675))&amp;" - "&amp;(IF($C675="","Commercial",$C675))),Variables!$B$1:$D$1,0),1))*AP675/365)+(L675/16.67*INDEX(Variables!$B$8:$D$8,IFERROR(MATCH(IF($B675="Robusta","Robusta",(IF($B675="","Arabica",$B675))&amp;" - "&amp;(IF($C675="","Commercial",$C675))),Variables!$B$1:$D$1,0),1))*AP675)+(T675*INDEX(Variables!$B$9:$D$9,IFERROR(MATCH(IF($B675="Robusta","Robusta",(IF($B675="","Arabica",$B675))&amp;" - "&amp;(IF($C675="","Commercial",$C675))),Variables!$B$1:$D$1,0),1))*AP675/365),""))</f>
        <v>-8.3172665571319495</v>
      </c>
      <c r="AV675" s="11">
        <f t="shared" si="70"/>
        <v>-11</v>
      </c>
      <c r="AW675" s="12">
        <f>IF($H675="Cancelled","",IFERROR(IF(AV675="","",(T675*INDEX(Variables!$B$7:$D$7,IFERROR(MATCH(IF($B675="Robusta","Robusta",(IF($B675="","Arabica",$B675))&amp;" - "&amp;(IF($C675="","Commercial",$C675))),Variables!$B$1:$D$1,0),1))*(AV675/365))+(T675*INDEX(Variables!$B$9:$D$9,IFERROR(MATCH(IF($B675="Robusta","Robusta",(IF($B675="","Arabica",$B675))&amp;" - "&amp;(IF($C675="","Commercial",$C675))),Variables!$B$1:$D$1,0),1))*(AV675/365))+(INDEX(Variables!$B$8:$D$8,IFERROR(MATCH(IF($B675="Robusta","Robusta",(IF($B675="","Arabica",$B675))&amp;" - "&amp;(IF($C675="","Commercial",$C675))),Variables!$B$1:$D$1,0),1))*L675/16.67)),""))</f>
        <v>-3.5349951520322458</v>
      </c>
      <c r="AX675" s="9"/>
      <c r="AY675" s="12"/>
      <c r="AZ675" s="10"/>
      <c r="BA675" s="9"/>
      <c r="BB675" s="10"/>
      <c r="BC675" s="9"/>
      <c r="BD675" s="9"/>
      <c r="BE675" s="9"/>
      <c r="BF675" s="9"/>
    </row>
    <row r="676" spans="1:58" x14ac:dyDescent="0.25">
      <c r="A676" s="9" t="s">
        <v>84</v>
      </c>
      <c r="B676" s="9" t="s">
        <v>85</v>
      </c>
      <c r="C676" s="9" t="s">
        <v>1486</v>
      </c>
      <c r="D676" s="10">
        <v>45372</v>
      </c>
      <c r="E676" s="10">
        <v>45413</v>
      </c>
      <c r="F676" s="10">
        <v>45443</v>
      </c>
      <c r="G676" s="9">
        <v>3786237</v>
      </c>
      <c r="H676" s="9" t="str">
        <f t="shared" si="68"/>
        <v>Closed</v>
      </c>
      <c r="I676" s="9" t="str">
        <f t="shared" si="69"/>
        <v>All dates received</v>
      </c>
      <c r="J676" s="9" t="s">
        <v>102</v>
      </c>
      <c r="K676" s="9">
        <v>4840</v>
      </c>
      <c r="L676" s="11">
        <v>10</v>
      </c>
      <c r="M676" s="9" t="s">
        <v>1589</v>
      </c>
      <c r="N676" s="9"/>
      <c r="O676" s="9"/>
      <c r="P676" s="9"/>
      <c r="Q676" s="11"/>
      <c r="R676" s="9" t="s">
        <v>195</v>
      </c>
      <c r="S676" s="9" t="s">
        <v>554</v>
      </c>
      <c r="T676" s="12">
        <f>IF($H676="Cancelled","",IFERROR(((Q676+INDEX(Variables!$B$6:$D$6,IFERROR(MATCH(IF($B676="Robusta","Robusta",(IF($B676="","Arabica",$B676))&amp;" - "&amp;(IF($C676="","Commercial",$C676))),Variables!$B$1:$D$1,0),1)))*22.0462)*(L676/16.67),""))</f>
        <v>3845.8518056388721</v>
      </c>
      <c r="U676" s="10"/>
      <c r="V676" s="9" t="str">
        <f t="shared" si="71"/>
        <v/>
      </c>
      <c r="W676" s="10">
        <v>45371</v>
      </c>
      <c r="X676" s="9" t="str">
        <f t="shared" si="67"/>
        <v>Approved</v>
      </c>
      <c r="Y676" s="10">
        <v>45422</v>
      </c>
      <c r="Z676" s="10">
        <f>IF($H676="Cancelled","",IFERROR(IF(F676="","",F676-Variables!$B$13),""))</f>
        <v>45428</v>
      </c>
      <c r="AA676" s="11">
        <f>IF($H676="Cancelled","",IFERROR(IF(W676="","",(AVERAGE(E676:F676)-W676)-Variables!$B$14),""))</f>
        <v>27</v>
      </c>
      <c r="AB676" s="10">
        <v>45433</v>
      </c>
      <c r="AC676" s="11">
        <f>IF($H676="Cancelled","",IFERROR(IF(AB676="","",IF(AND(W676="",Y676=""),"",IF(Y676&gt;W676,Y676+Variables!$B$15+Variables!$B$16+Variables!$B$17-AB676,W676+Variables!$B$16+Variables!$B$17-AB676))),""))</f>
        <v>4</v>
      </c>
      <c r="AD676" s="9" t="s">
        <v>107</v>
      </c>
      <c r="AE676" s="9" t="s">
        <v>184</v>
      </c>
      <c r="AF676" s="10"/>
      <c r="AG676" s="10"/>
      <c r="AH676" s="9"/>
      <c r="AI676" s="9" t="s">
        <v>1578</v>
      </c>
      <c r="AJ676" s="9" t="s">
        <v>8</v>
      </c>
      <c r="AK676" s="10">
        <v>45454</v>
      </c>
      <c r="AL676" s="10">
        <v>45455</v>
      </c>
      <c r="AM676" s="10">
        <v>45463</v>
      </c>
      <c r="AN676" s="9" t="s">
        <v>1492</v>
      </c>
      <c r="AO676" s="9"/>
      <c r="AP676" s="11">
        <f>IF($H676="Cancelled","",IFERROR(IF(OR(AK676="",AB676=""),"",(AB676+Variables!$B$18-AK676)),""))</f>
        <v>-14</v>
      </c>
      <c r="AQ676" s="11">
        <f>IF($H676="Cancelled","",IFERROR(IF(OR(AM676="",AK676=""),"",(AK676+Variables!$B$19)-AM676),""))</f>
        <v>-4</v>
      </c>
      <c r="AR676" s="12">
        <f>IF($H676="Cancelled","",IFERROR(T676*INDEX(Variables!$B$7:$D$7,IFERROR(MATCH(IF($B676="Robusta","Robusta",(IF($B676="","Arabica",$B676))&amp;" - "&amp;(IF($C676="","Commercial",$C676))),Variables!$B$1:$D$1,0),1))*(AQ676/365),""))</f>
        <v>-2.7176875101541578</v>
      </c>
      <c r="AS676" s="12">
        <f>IF($H676="Cancelled","",IFERROR((T676*INDEX(Variables!$B$7:$D$7,IFERROR(MATCH(IF($B676="Robusta","Robusta",(IF($B676="","Arabica",$B676))&amp;" - "&amp;(IF($C676="","Commercial",$C676))),Variables!$B$1:$D$1,0),1))*IFERROR(IF(W676="","",(AVERAGE(E676:F676)-W676)-Variables!$B$14),"")/365)+(L676/16.67*INDEX(Variables!$B$8:$D$8,IFERROR(MATCH(IF($B676="Robusta","Robusta",(IF($B676="","Arabica",$B676))&amp;" - "&amp;(IF($C676="","Commercial",$C676))),Variables!$B$1:$D$1,0),1))*IFERROR(IF(W676="","",(AVERAGE(E676:F676)-W676)-Variables!$B$14),""))+(T676*INDEX(Variables!$B$9:$D$9,IFERROR(MATCH(IF($B676="Robusta","Robusta",(IF($B676="","Arabica",$B676))&amp;" - "&amp;(IF($C676="","Commercial",$C676))),Variables!$B$1:$D$1,0),1))*IFERROR(IF(W676="","",(AVERAGE(E676:F676)-W676)-Variables!$B$14),"")/365),""))</f>
        <v>32.080885291794658</v>
      </c>
      <c r="AT676" s="12">
        <f>IF($H676="Cancelled","",IFERROR((T676*INDEX(Variables!$B$7:$D$7,IFERROR(MATCH(IF($B676="Robusta","Robusta",(IF($B676="","Arabica",$B676))&amp;" - "&amp;(IF($C676="","Commercial",$C676))),Variables!$B$1:$D$1,0),1))*AC676/365)+(L676/16.67*INDEX(Variables!$B$8:$D$8,IFERROR(MATCH(IF($B676="Robusta","Robusta",(IF($B676="","Arabica",$B676))&amp;" - "&amp;(IF($C676="","Commercial",$C676))),Variables!$B$1:$D$1,0),1))*AC676)+(T676*INDEX(Variables!$B$9:$D$9,IFERROR(MATCH(IF($B676="Robusta","Robusta",(IF($B676="","Arabica",$B676))&amp;" - "&amp;(IF($C676="","Commercial",$C676))),Variables!$B$1:$D$1,0),1))*AC676/365),""))</f>
        <v>4.7527237469325421</v>
      </c>
      <c r="AU676" s="12">
        <f>IF($H676="Cancelled","",IFERROR((T676*INDEX(Variables!$B$7:$D$7,IFERROR(MATCH(IF($B676="Robusta","Robusta",(IF($B676="","Arabica",$B676))&amp;" - "&amp;(IF($C676="","Commercial",$C676))),Variables!$B$1:$D$1,0),1))*AP676/365)+(L676/16.67*INDEX(Variables!$B$8:$D$8,IFERROR(MATCH(IF($B676="Robusta","Robusta",(IF($B676="","Arabica",$B676))&amp;" - "&amp;(IF($C676="","Commercial",$C676))),Variables!$B$1:$D$1,0),1))*AP676)+(T676*INDEX(Variables!$B$9:$D$9,IFERROR(MATCH(IF($B676="Robusta","Robusta",(IF($B676="","Arabica",$B676))&amp;" - "&amp;(IF($C676="","Commercial",$C676))),Variables!$B$1:$D$1,0),1))*AP676/365),""))</f>
        <v>-16.634533114263899</v>
      </c>
      <c r="AV676" s="11">
        <f t="shared" si="70"/>
        <v>-11</v>
      </c>
      <c r="AW676" s="12">
        <f>IF($H676="Cancelled","",IFERROR(IF(AV676="","",(T676*INDEX(Variables!$B$7:$D$7,IFERROR(MATCH(IF($B676="Robusta","Robusta",(IF($B676="","Arabica",$B676))&amp;" - "&amp;(IF($C676="","Commercial",$C676))),Variables!$B$1:$D$1,0),1))*(AV676/365))+(T676*INDEX(Variables!$B$9:$D$9,IFERROR(MATCH(IF($B676="Robusta","Robusta",(IF($B676="","Arabica",$B676))&amp;" - "&amp;(IF($C676="","Commercial",$C676))),Variables!$B$1:$D$1,0),1))*(AV676/365))+(INDEX(Variables!$B$8:$D$8,IFERROR(MATCH(IF($B676="Robusta","Robusta",(IF($B676="","Arabica",$B676))&amp;" - "&amp;(IF($C676="","Commercial",$C676))),Variables!$B$1:$D$1,0),1))*L676/16.67)),""))</f>
        <v>-7.0699903040644916</v>
      </c>
      <c r="AX676" s="9"/>
      <c r="AY676" s="12"/>
      <c r="AZ676" s="10"/>
      <c r="BA676" s="9"/>
      <c r="BB676" s="10"/>
      <c r="BC676" s="9"/>
      <c r="BD676" s="9"/>
      <c r="BE676" s="9"/>
      <c r="BF676" s="9"/>
    </row>
    <row r="677" spans="1:58" x14ac:dyDescent="0.25">
      <c r="A677" s="9" t="s">
        <v>84</v>
      </c>
      <c r="B677" s="9" t="s">
        <v>85</v>
      </c>
      <c r="C677" s="9" t="s">
        <v>1486</v>
      </c>
      <c r="D677" s="10">
        <v>45372</v>
      </c>
      <c r="E677" s="10">
        <v>45413</v>
      </c>
      <c r="F677" s="10">
        <v>45443</v>
      </c>
      <c r="G677" s="9">
        <v>3786238</v>
      </c>
      <c r="H677" s="9" t="str">
        <f t="shared" si="68"/>
        <v>Closed</v>
      </c>
      <c r="I677" s="9" t="str">
        <f t="shared" si="69"/>
        <v>All dates received</v>
      </c>
      <c r="J677" s="9" t="s">
        <v>102</v>
      </c>
      <c r="K677" s="9">
        <v>4841</v>
      </c>
      <c r="L677" s="11">
        <v>20</v>
      </c>
      <c r="M677" s="9" t="s">
        <v>1590</v>
      </c>
      <c r="N677" s="9"/>
      <c r="O677" s="9"/>
      <c r="P677" s="9"/>
      <c r="Q677" s="11"/>
      <c r="R677" s="9" t="s">
        <v>195</v>
      </c>
      <c r="S677" s="9" t="s">
        <v>554</v>
      </c>
      <c r="T677" s="12">
        <f>IF($H677="Cancelled","",IFERROR(((Q677+INDEX(Variables!$B$6:$D$6,IFERROR(MATCH(IF($B677="Robusta","Robusta",(IF($B677="","Arabica",$B677))&amp;" - "&amp;(IF($C677="","Commercial",$C677))),Variables!$B$1:$D$1,0),1)))*22.0462)*(L677/16.67),""))</f>
        <v>7691.7036112777441</v>
      </c>
      <c r="U677" s="10"/>
      <c r="V677" s="9" t="str">
        <f t="shared" si="71"/>
        <v/>
      </c>
      <c r="W677" s="10">
        <v>45371</v>
      </c>
      <c r="X677" s="9" t="str">
        <f t="shared" si="67"/>
        <v>Approved</v>
      </c>
      <c r="Y677" s="10">
        <v>45422</v>
      </c>
      <c r="Z677" s="10">
        <f>IF($H677="Cancelled","",IFERROR(IF(F677="","",F677-Variables!$B$13),""))</f>
        <v>45428</v>
      </c>
      <c r="AA677" s="11">
        <f>IF($H677="Cancelled","",IFERROR(IF(W677="","",(AVERAGE(E677:F677)-W677)-Variables!$B$14),""))</f>
        <v>27</v>
      </c>
      <c r="AB677" s="10">
        <v>45433</v>
      </c>
      <c r="AC677" s="11">
        <f>IF($H677="Cancelled","",IFERROR(IF(AB677="","",IF(AND(W677="",Y677=""),"",IF(Y677&gt;W677,Y677+Variables!$B$15+Variables!$B$16+Variables!$B$17-AB677,W677+Variables!$B$16+Variables!$B$17-AB677))),""))</f>
        <v>4</v>
      </c>
      <c r="AD677" s="9" t="s">
        <v>107</v>
      </c>
      <c r="AE677" s="9" t="s">
        <v>184</v>
      </c>
      <c r="AF677" s="10"/>
      <c r="AG677" s="10"/>
      <c r="AH677" s="9"/>
      <c r="AI677" s="9" t="s">
        <v>1578</v>
      </c>
      <c r="AJ677" s="9" t="s">
        <v>8</v>
      </c>
      <c r="AK677" s="10">
        <v>45454</v>
      </c>
      <c r="AL677" s="10">
        <v>45455</v>
      </c>
      <c r="AM677" s="10">
        <v>45464</v>
      </c>
      <c r="AN677" s="9" t="s">
        <v>1492</v>
      </c>
      <c r="AO677" s="9"/>
      <c r="AP677" s="11">
        <f>IF($H677="Cancelled","",IFERROR(IF(OR(AK677="",AB677=""),"",(AB677+Variables!$B$18-AK677)),""))</f>
        <v>-14</v>
      </c>
      <c r="AQ677" s="11">
        <f>IF($H677="Cancelled","",IFERROR(IF(OR(AM677="",AK677=""),"",(AK677+Variables!$B$19)-AM677),""))</f>
        <v>-5</v>
      </c>
      <c r="AR677" s="12">
        <f>IF($H677="Cancelled","",IFERROR(T677*INDEX(Variables!$B$7:$D$7,IFERROR(MATCH(IF($B677="Robusta","Robusta",(IF($B677="","Arabica",$B677))&amp;" - "&amp;(IF($C677="","Commercial",$C677))),Variables!$B$1:$D$1,0),1))*(AQ677/365),""))</f>
        <v>-6.794218775385394</v>
      </c>
      <c r="AS677" s="12">
        <f>IF($H677="Cancelled","",IFERROR((T677*INDEX(Variables!$B$7:$D$7,IFERROR(MATCH(IF($B677="Robusta","Robusta",(IF($B677="","Arabica",$B677))&amp;" - "&amp;(IF($C677="","Commercial",$C677))),Variables!$B$1:$D$1,0),1))*IFERROR(IF(W677="","",(AVERAGE(E677:F677)-W677)-Variables!$B$14),"")/365)+(L677/16.67*INDEX(Variables!$B$8:$D$8,IFERROR(MATCH(IF($B677="Robusta","Robusta",(IF($B677="","Arabica",$B677))&amp;" - "&amp;(IF($C677="","Commercial",$C677))),Variables!$B$1:$D$1,0),1))*IFERROR(IF(W677="","",(AVERAGE(E677:F677)-W677)-Variables!$B$14),""))+(T677*INDEX(Variables!$B$9:$D$9,IFERROR(MATCH(IF($B677="Robusta","Robusta",(IF($B677="","Arabica",$B677))&amp;" - "&amp;(IF($C677="","Commercial",$C677))),Variables!$B$1:$D$1,0),1))*IFERROR(IF(W677="","",(AVERAGE(E677:F677)-W677)-Variables!$B$14),"")/365),""))</f>
        <v>64.161770583589316</v>
      </c>
      <c r="AT677" s="12">
        <f>IF($H677="Cancelled","",IFERROR((T677*INDEX(Variables!$B$7:$D$7,IFERROR(MATCH(IF($B677="Robusta","Robusta",(IF($B677="","Arabica",$B677))&amp;" - "&amp;(IF($C677="","Commercial",$C677))),Variables!$B$1:$D$1,0),1))*AC677/365)+(L677/16.67*INDEX(Variables!$B$8:$D$8,IFERROR(MATCH(IF($B677="Robusta","Robusta",(IF($B677="","Arabica",$B677))&amp;" - "&amp;(IF($C677="","Commercial",$C677))),Variables!$B$1:$D$1,0),1))*AC677)+(T677*INDEX(Variables!$B$9:$D$9,IFERROR(MATCH(IF($B677="Robusta","Robusta",(IF($B677="","Arabica",$B677))&amp;" - "&amp;(IF($C677="","Commercial",$C677))),Variables!$B$1:$D$1,0),1))*AC677/365),""))</f>
        <v>9.5054474938650841</v>
      </c>
      <c r="AU677" s="12">
        <f>IF($H677="Cancelled","",IFERROR((T677*INDEX(Variables!$B$7:$D$7,IFERROR(MATCH(IF($B677="Robusta","Robusta",(IF($B677="","Arabica",$B677))&amp;" - "&amp;(IF($C677="","Commercial",$C677))),Variables!$B$1:$D$1,0),1))*AP677/365)+(L677/16.67*INDEX(Variables!$B$8:$D$8,IFERROR(MATCH(IF($B677="Robusta","Robusta",(IF($B677="","Arabica",$B677))&amp;" - "&amp;(IF($C677="","Commercial",$C677))),Variables!$B$1:$D$1,0),1))*AP677)+(T677*INDEX(Variables!$B$9:$D$9,IFERROR(MATCH(IF($B677="Robusta","Robusta",(IF($B677="","Arabica",$B677))&amp;" - "&amp;(IF($C677="","Commercial",$C677))),Variables!$B$1:$D$1,0),1))*AP677/365),""))</f>
        <v>-33.269066228527798</v>
      </c>
      <c r="AV677" s="11">
        <f t="shared" si="70"/>
        <v>-11</v>
      </c>
      <c r="AW677" s="12">
        <f>IF($H677="Cancelled","",IFERROR(IF(AV677="","",(T677*INDEX(Variables!$B$7:$D$7,IFERROR(MATCH(IF($B677="Robusta","Robusta",(IF($B677="","Arabica",$B677))&amp;" - "&amp;(IF($C677="","Commercial",$C677))),Variables!$B$1:$D$1,0),1))*(AV677/365))+(T677*INDEX(Variables!$B$9:$D$9,IFERROR(MATCH(IF($B677="Robusta","Robusta",(IF($B677="","Arabica",$B677))&amp;" - "&amp;(IF($C677="","Commercial",$C677))),Variables!$B$1:$D$1,0),1))*(AV677/365))+(INDEX(Variables!$B$8:$D$8,IFERROR(MATCH(IF($B677="Robusta","Robusta",(IF($B677="","Arabica",$B677))&amp;" - "&amp;(IF($C677="","Commercial",$C677))),Variables!$B$1:$D$1,0),1))*L677/16.67)),""))</f>
        <v>-14.139980608128983</v>
      </c>
      <c r="AX677" s="9"/>
      <c r="AY677" s="12"/>
      <c r="AZ677" s="10"/>
      <c r="BA677" s="9"/>
      <c r="BB677" s="10"/>
      <c r="BC677" s="9"/>
      <c r="BD677" s="9"/>
      <c r="BE677" s="9"/>
      <c r="BF677" s="9"/>
    </row>
    <row r="678" spans="1:58" x14ac:dyDescent="0.25">
      <c r="A678" s="9" t="s">
        <v>84</v>
      </c>
      <c r="B678" s="9" t="s">
        <v>85</v>
      </c>
      <c r="C678" s="9" t="s">
        <v>1486</v>
      </c>
      <c r="D678" s="10">
        <v>45372</v>
      </c>
      <c r="E678" s="10">
        <v>45413</v>
      </c>
      <c r="F678" s="10">
        <v>45443</v>
      </c>
      <c r="G678" s="9">
        <v>3786239</v>
      </c>
      <c r="H678" s="9" t="str">
        <f t="shared" si="68"/>
        <v>Closed</v>
      </c>
      <c r="I678" s="9" t="str">
        <f t="shared" si="69"/>
        <v>All dates received</v>
      </c>
      <c r="J678" s="9" t="s">
        <v>102</v>
      </c>
      <c r="K678" s="9">
        <v>4842</v>
      </c>
      <c r="L678" s="11">
        <v>25</v>
      </c>
      <c r="M678" s="9" t="s">
        <v>1591</v>
      </c>
      <c r="N678" s="9"/>
      <c r="O678" s="9"/>
      <c r="P678" s="9"/>
      <c r="Q678" s="11"/>
      <c r="R678" s="9" t="s">
        <v>195</v>
      </c>
      <c r="S678" s="9" t="s">
        <v>554</v>
      </c>
      <c r="T678" s="12">
        <f>IF($H678="Cancelled","",IFERROR(((Q678+INDEX(Variables!$B$6:$D$6,IFERROR(MATCH(IF($B678="Robusta","Robusta",(IF($B678="","Arabica",$B678))&amp;" - "&amp;(IF($C678="","Commercial",$C678))),Variables!$B$1:$D$1,0),1)))*22.0462)*(L678/16.67),""))</f>
        <v>9614.6295140971797</v>
      </c>
      <c r="U678" s="10"/>
      <c r="V678" s="9" t="str">
        <f t="shared" si="71"/>
        <v/>
      </c>
      <c r="W678" s="10">
        <v>45371</v>
      </c>
      <c r="X678" s="9" t="str">
        <f t="shared" si="67"/>
        <v>Approved</v>
      </c>
      <c r="Y678" s="10">
        <v>45422</v>
      </c>
      <c r="Z678" s="10">
        <f>IF($H678="Cancelled","",IFERROR(IF(F678="","",F678-Variables!$B$13),""))</f>
        <v>45428</v>
      </c>
      <c r="AA678" s="11">
        <f>IF($H678="Cancelled","",IFERROR(IF(W678="","",(AVERAGE(E678:F678)-W678)-Variables!$B$14),""))</f>
        <v>27</v>
      </c>
      <c r="AB678" s="10">
        <v>45433</v>
      </c>
      <c r="AC678" s="11">
        <f>IF($H678="Cancelled","",IFERROR(IF(AB678="","",IF(AND(W678="",Y678=""),"",IF(Y678&gt;W678,Y678+Variables!$B$15+Variables!$B$16+Variables!$B$17-AB678,W678+Variables!$B$16+Variables!$B$17-AB678))),""))</f>
        <v>4</v>
      </c>
      <c r="AD678" s="9" t="s">
        <v>107</v>
      </c>
      <c r="AE678" s="9" t="s">
        <v>184</v>
      </c>
      <c r="AF678" s="10"/>
      <c r="AG678" s="10"/>
      <c r="AH678" s="9"/>
      <c r="AI678" s="9" t="s">
        <v>1578</v>
      </c>
      <c r="AJ678" s="9" t="s">
        <v>8</v>
      </c>
      <c r="AK678" s="10">
        <v>45454</v>
      </c>
      <c r="AL678" s="10">
        <v>45455</v>
      </c>
      <c r="AM678" s="10">
        <v>45465</v>
      </c>
      <c r="AN678" s="9" t="s">
        <v>1492</v>
      </c>
      <c r="AO678" s="9"/>
      <c r="AP678" s="11">
        <f>IF($H678="Cancelled","",IFERROR(IF(OR(AK678="",AB678=""),"",(AB678+Variables!$B$18-AK678)),""))</f>
        <v>-14</v>
      </c>
      <c r="AQ678" s="11">
        <f>IF($H678="Cancelled","",IFERROR(IF(OR(AM678="",AK678=""),"",(AK678+Variables!$B$19)-AM678),""))</f>
        <v>-6</v>
      </c>
      <c r="AR678" s="12">
        <f>IF($H678="Cancelled","",IFERROR(T678*INDEX(Variables!$B$7:$D$7,IFERROR(MATCH(IF($B678="Robusta","Robusta",(IF($B678="","Arabica",$B678))&amp;" - "&amp;(IF($C678="","Commercial",$C678))),Variables!$B$1:$D$1,0),1))*(AQ678/365),""))</f>
        <v>-10.19132816307809</v>
      </c>
      <c r="AS678" s="12">
        <f>IF($H678="Cancelled","",IFERROR((T678*INDEX(Variables!$B$7:$D$7,IFERROR(MATCH(IF($B678="Robusta","Robusta",(IF($B678="","Arabica",$B678))&amp;" - "&amp;(IF($C678="","Commercial",$C678))),Variables!$B$1:$D$1,0),1))*IFERROR(IF(W678="","",(AVERAGE(E678:F678)-W678)-Variables!$B$14),"")/365)+(L678/16.67*INDEX(Variables!$B$8:$D$8,IFERROR(MATCH(IF($B678="Robusta","Robusta",(IF($B678="","Arabica",$B678))&amp;" - "&amp;(IF($C678="","Commercial",$C678))),Variables!$B$1:$D$1,0),1))*IFERROR(IF(W678="","",(AVERAGE(E678:F678)-W678)-Variables!$B$14),""))+(T678*INDEX(Variables!$B$9:$D$9,IFERROR(MATCH(IF($B678="Robusta","Robusta",(IF($B678="","Arabica",$B678))&amp;" - "&amp;(IF($C678="","Commercial",$C678))),Variables!$B$1:$D$1,0),1))*IFERROR(IF(W678="","",(AVERAGE(E678:F678)-W678)-Variables!$B$14),"")/365),""))</f>
        <v>80.202213229486645</v>
      </c>
      <c r="AT678" s="12">
        <f>IF($H678="Cancelled","",IFERROR((T678*INDEX(Variables!$B$7:$D$7,IFERROR(MATCH(IF($B678="Robusta","Robusta",(IF($B678="","Arabica",$B678))&amp;" - "&amp;(IF($C678="","Commercial",$C678))),Variables!$B$1:$D$1,0),1))*AC678/365)+(L678/16.67*INDEX(Variables!$B$8:$D$8,IFERROR(MATCH(IF($B678="Robusta","Robusta",(IF($B678="","Arabica",$B678))&amp;" - "&amp;(IF($C678="","Commercial",$C678))),Variables!$B$1:$D$1,0),1))*AC678)+(T678*INDEX(Variables!$B$9:$D$9,IFERROR(MATCH(IF($B678="Robusta","Robusta",(IF($B678="","Arabica",$B678))&amp;" - "&amp;(IF($C678="","Commercial",$C678))),Variables!$B$1:$D$1,0),1))*AC678/365),""))</f>
        <v>11.881809367331355</v>
      </c>
      <c r="AU678" s="12">
        <f>IF($H678="Cancelled","",IFERROR((T678*INDEX(Variables!$B$7:$D$7,IFERROR(MATCH(IF($B678="Robusta","Robusta",(IF($B678="","Arabica",$B678))&amp;" - "&amp;(IF($C678="","Commercial",$C678))),Variables!$B$1:$D$1,0),1))*AP678/365)+(L678/16.67*INDEX(Variables!$B$8:$D$8,IFERROR(MATCH(IF($B678="Robusta","Robusta",(IF($B678="","Arabica",$B678))&amp;" - "&amp;(IF($C678="","Commercial",$C678))),Variables!$B$1:$D$1,0),1))*AP678)+(T678*INDEX(Variables!$B$9:$D$9,IFERROR(MATCH(IF($B678="Robusta","Robusta",(IF($B678="","Arabica",$B678))&amp;" - "&amp;(IF($C678="","Commercial",$C678))),Variables!$B$1:$D$1,0),1))*AP678/365),""))</f>
        <v>-41.586332785659742</v>
      </c>
      <c r="AV678" s="11">
        <f t="shared" si="70"/>
        <v>-11</v>
      </c>
      <c r="AW678" s="12">
        <f>IF($H678="Cancelled","",IFERROR(IF(AV678="","",(T678*INDEX(Variables!$B$7:$D$7,IFERROR(MATCH(IF($B678="Robusta","Robusta",(IF($B678="","Arabica",$B678))&amp;" - "&amp;(IF($C678="","Commercial",$C678))),Variables!$B$1:$D$1,0),1))*(AV678/365))+(T678*INDEX(Variables!$B$9:$D$9,IFERROR(MATCH(IF($B678="Robusta","Robusta",(IF($B678="","Arabica",$B678))&amp;" - "&amp;(IF($C678="","Commercial",$C678))),Variables!$B$1:$D$1,0),1))*(AV678/365))+(INDEX(Variables!$B$8:$D$8,IFERROR(MATCH(IF($B678="Robusta","Robusta",(IF($B678="","Arabica",$B678))&amp;" - "&amp;(IF($C678="","Commercial",$C678))),Variables!$B$1:$D$1,0),1))*L678/16.67)),""))</f>
        <v>-17.674975760161232</v>
      </c>
      <c r="AX678" s="9"/>
      <c r="AY678" s="12"/>
      <c r="AZ678" s="10"/>
      <c r="BA678" s="9"/>
      <c r="BB678" s="10"/>
      <c r="BC678" s="9"/>
      <c r="BD678" s="9"/>
      <c r="BE678" s="9"/>
      <c r="BF678" s="9"/>
    </row>
    <row r="679" spans="1:58" x14ac:dyDescent="0.25">
      <c r="A679" s="9" t="s">
        <v>84</v>
      </c>
      <c r="B679" s="9" t="s">
        <v>85</v>
      </c>
      <c r="C679" s="9" t="s">
        <v>1486</v>
      </c>
      <c r="D679" s="10">
        <v>45358</v>
      </c>
      <c r="E679" s="10">
        <v>45413</v>
      </c>
      <c r="F679" s="10">
        <v>45443</v>
      </c>
      <c r="G679" s="9">
        <v>3786169</v>
      </c>
      <c r="H679" s="9" t="str">
        <f t="shared" si="68"/>
        <v>Closed</v>
      </c>
      <c r="I679" s="9" t="str">
        <f t="shared" si="69"/>
        <v>All dates received</v>
      </c>
      <c r="J679" s="9" t="s">
        <v>1592</v>
      </c>
      <c r="K679" s="9">
        <v>4912</v>
      </c>
      <c r="L679" s="11">
        <v>10</v>
      </c>
      <c r="M679" s="9" t="s">
        <v>1593</v>
      </c>
      <c r="N679" s="9"/>
      <c r="O679" s="9"/>
      <c r="P679" s="9"/>
      <c r="Q679" s="11"/>
      <c r="R679" s="9" t="s">
        <v>195</v>
      </c>
      <c r="S679" s="9" t="s">
        <v>578</v>
      </c>
      <c r="T679" s="12">
        <f>IF($H679="Cancelled","",IFERROR(((Q679+INDEX(Variables!$B$6:$D$6,IFERROR(MATCH(IF($B679="Robusta","Robusta",(IF($B679="","Arabica",$B679))&amp;" - "&amp;(IF($C679="","Commercial",$C679))),Variables!$B$1:$D$1,0),1)))*22.0462)*(L679/16.67),""))</f>
        <v>3845.8518056388721</v>
      </c>
      <c r="U679" s="10"/>
      <c r="V679" s="9" t="str">
        <f t="shared" si="71"/>
        <v/>
      </c>
      <c r="W679" s="10">
        <v>45371</v>
      </c>
      <c r="X679" s="9" t="str">
        <f t="shared" si="67"/>
        <v>Approved</v>
      </c>
      <c r="Y679" s="10">
        <v>45422</v>
      </c>
      <c r="Z679" s="10">
        <f>IF($H679="Cancelled","",IFERROR(IF(F679="","",F679-Variables!$B$13),""))</f>
        <v>45428</v>
      </c>
      <c r="AA679" s="11">
        <f>IF($H679="Cancelled","",IFERROR(IF(W679="","",(AVERAGE(E679:F679)-W679)-Variables!$B$14),""))</f>
        <v>27</v>
      </c>
      <c r="AB679" s="10">
        <v>45432</v>
      </c>
      <c r="AC679" s="11">
        <f>IF($H679="Cancelled","",IFERROR(IF(AB679="","",IF(AND(W679="",Y679=""),"",IF(Y679&gt;W679,Y679+Variables!$B$15+Variables!$B$16+Variables!$B$17-AB679,W679+Variables!$B$16+Variables!$B$17-AB679))),""))</f>
        <v>5</v>
      </c>
      <c r="AD679" s="9" t="s">
        <v>180</v>
      </c>
      <c r="AE679" s="9" t="s">
        <v>181</v>
      </c>
      <c r="AF679" s="10"/>
      <c r="AG679" s="10"/>
      <c r="AH679" s="9"/>
      <c r="AI679" s="9" t="s">
        <v>1594</v>
      </c>
      <c r="AJ679" s="9" t="s">
        <v>1595</v>
      </c>
      <c r="AK679" s="10">
        <v>45442</v>
      </c>
      <c r="AL679" s="10">
        <v>45443</v>
      </c>
      <c r="AM679" s="10">
        <v>45453</v>
      </c>
      <c r="AN679" s="9" t="s">
        <v>1492</v>
      </c>
      <c r="AO679" s="9"/>
      <c r="AP679" s="11">
        <f>IF($H679="Cancelled","",IFERROR(IF(OR(AK679="",AB679=""),"",(AB679+Variables!$B$18-AK679)),""))</f>
        <v>-3</v>
      </c>
      <c r="AQ679" s="11">
        <f>IF($H679="Cancelled","",IFERROR(IF(OR(AM679="",AK679=""),"",(AK679+Variables!$B$19)-AM679),""))</f>
        <v>-6</v>
      </c>
      <c r="AR679" s="12">
        <f>IF($H679="Cancelled","",IFERROR(T679*INDEX(Variables!$B$7:$D$7,IFERROR(MATCH(IF($B679="Robusta","Robusta",(IF($B679="","Arabica",$B679))&amp;" - "&amp;(IF($C679="","Commercial",$C679))),Variables!$B$1:$D$1,0),1))*(AQ679/365),""))</f>
        <v>-4.0765312652312362</v>
      </c>
      <c r="AS679" s="12">
        <f>IF($H679="Cancelled","",IFERROR((T679*INDEX(Variables!$B$7:$D$7,IFERROR(MATCH(IF($B679="Robusta","Robusta",(IF($B679="","Arabica",$B679))&amp;" - "&amp;(IF($C679="","Commercial",$C679))),Variables!$B$1:$D$1,0),1))*IFERROR(IF(W679="","",(AVERAGE(E679:F679)-W679)-Variables!$B$14),"")/365)+(L679/16.67*INDEX(Variables!$B$8:$D$8,IFERROR(MATCH(IF($B679="Robusta","Robusta",(IF($B679="","Arabica",$B679))&amp;" - "&amp;(IF($C679="","Commercial",$C679))),Variables!$B$1:$D$1,0),1))*IFERROR(IF(W679="","",(AVERAGE(E679:F679)-W679)-Variables!$B$14),""))+(T679*INDEX(Variables!$B$9:$D$9,IFERROR(MATCH(IF($B679="Robusta","Robusta",(IF($B679="","Arabica",$B679))&amp;" - "&amp;(IF($C679="","Commercial",$C679))),Variables!$B$1:$D$1,0),1))*IFERROR(IF(W679="","",(AVERAGE(E679:F679)-W679)-Variables!$B$14),"")/365),""))</f>
        <v>32.080885291794658</v>
      </c>
      <c r="AT679" s="12">
        <f>IF($H679="Cancelled","",IFERROR((T679*INDEX(Variables!$B$7:$D$7,IFERROR(MATCH(IF($B679="Robusta","Robusta",(IF($B679="","Arabica",$B679))&amp;" - "&amp;(IF($C679="","Commercial",$C679))),Variables!$B$1:$D$1,0),1))*AC679/365)+(L679/16.67*INDEX(Variables!$B$8:$D$8,IFERROR(MATCH(IF($B679="Robusta","Robusta",(IF($B679="","Arabica",$B679))&amp;" - "&amp;(IF($C679="","Commercial",$C679))),Variables!$B$1:$D$1,0),1))*AC679)+(T679*INDEX(Variables!$B$9:$D$9,IFERROR(MATCH(IF($B679="Robusta","Robusta",(IF($B679="","Arabica",$B679))&amp;" - "&amp;(IF($C679="","Commercial",$C679))),Variables!$B$1:$D$1,0),1))*AC679/365),""))</f>
        <v>5.9409046836656776</v>
      </c>
      <c r="AU679" s="12">
        <f>IF($H679="Cancelled","",IFERROR((T679*INDEX(Variables!$B$7:$D$7,IFERROR(MATCH(IF($B679="Robusta","Robusta",(IF($B679="","Arabica",$B679))&amp;" - "&amp;(IF($C679="","Commercial",$C679))),Variables!$B$1:$D$1,0),1))*AP679/365)+(L679/16.67*INDEX(Variables!$B$8:$D$8,IFERROR(MATCH(IF($B679="Robusta","Robusta",(IF($B679="","Arabica",$B679))&amp;" - "&amp;(IF($C679="","Commercial",$C679))),Variables!$B$1:$D$1,0),1))*AP679)+(T679*INDEX(Variables!$B$9:$D$9,IFERROR(MATCH(IF($B679="Robusta","Robusta",(IF($B679="","Arabica",$B679))&amp;" - "&amp;(IF($C679="","Commercial",$C679))),Variables!$B$1:$D$1,0),1))*AP679/365),""))</f>
        <v>-3.5645428101994066</v>
      </c>
      <c r="AV679" s="11">
        <f t="shared" si="70"/>
        <v>1</v>
      </c>
      <c r="AW679" s="12">
        <f>IF($H679="Cancelled","",IFERROR(IF(AV679="","",(T679*INDEX(Variables!$B$7:$D$7,IFERROR(MATCH(IF($B679="Robusta","Robusta",(IF($B679="","Arabica",$B679))&amp;" - "&amp;(IF($C679="","Commercial",$C679))),Variables!$B$1:$D$1,0),1))*(AV679/365))+(T679*INDEX(Variables!$B$9:$D$9,IFERROR(MATCH(IF($B679="Robusta","Robusta",(IF($B679="","Arabica",$B679))&amp;" - "&amp;(IF($C679="","Commercial",$C679))),Variables!$B$1:$D$1,0),1))*(AV679/365))+(INDEX(Variables!$B$8:$D$8,IFERROR(MATCH(IF($B679="Robusta","Robusta",(IF($B679="","Arabica",$B679))&amp;" - "&amp;(IF($C679="","Commercial",$C679))),Variables!$B$1:$D$1,0),1))*L679/16.67)),""))</f>
        <v>1.1881809367331355</v>
      </c>
      <c r="AX679" s="9"/>
      <c r="AY679" s="12"/>
      <c r="AZ679" s="10"/>
      <c r="BA679" s="9"/>
      <c r="BB679" s="10"/>
      <c r="BC679" s="9"/>
      <c r="BD679" s="9"/>
      <c r="BE679" s="9"/>
      <c r="BF679" s="9"/>
    </row>
    <row r="680" spans="1:58" x14ac:dyDescent="0.25">
      <c r="A680" s="9" t="s">
        <v>84</v>
      </c>
      <c r="B680" s="9" t="s">
        <v>85</v>
      </c>
      <c r="C680" s="9" t="s">
        <v>1486</v>
      </c>
      <c r="D680" s="10">
        <v>45358</v>
      </c>
      <c r="E680" s="10">
        <v>45413</v>
      </c>
      <c r="F680" s="10">
        <v>45443</v>
      </c>
      <c r="G680" s="9">
        <v>3786170</v>
      </c>
      <c r="H680" s="9" t="str">
        <f t="shared" si="68"/>
        <v>Closed</v>
      </c>
      <c r="I680" s="9" t="str">
        <f t="shared" si="69"/>
        <v>All dates received</v>
      </c>
      <c r="J680" s="9" t="s">
        <v>1592</v>
      </c>
      <c r="K680" s="9">
        <v>4913</v>
      </c>
      <c r="L680" s="11">
        <v>9</v>
      </c>
      <c r="M680" s="9" t="s">
        <v>1596</v>
      </c>
      <c r="N680" s="9"/>
      <c r="O680" s="9"/>
      <c r="P680" s="9"/>
      <c r="Q680" s="11"/>
      <c r="R680" s="9" t="s">
        <v>195</v>
      </c>
      <c r="S680" s="9" t="s">
        <v>578</v>
      </c>
      <c r="T680" s="12">
        <f>IF($H680="Cancelled","",IFERROR(((Q680+INDEX(Variables!$B$6:$D$6,IFERROR(MATCH(IF($B680="Robusta","Robusta",(IF($B680="","Arabica",$B680))&amp;" - "&amp;(IF($C680="","Commercial",$C680))),Variables!$B$1:$D$1,0),1)))*22.0462)*(L680/16.67),""))</f>
        <v>3461.2666250749849</v>
      </c>
      <c r="U680" s="10"/>
      <c r="V680" s="9" t="str">
        <f t="shared" si="71"/>
        <v/>
      </c>
      <c r="W680" s="10">
        <v>45371</v>
      </c>
      <c r="X680" s="9" t="str">
        <f t="shared" si="67"/>
        <v>Approved</v>
      </c>
      <c r="Y680" s="10">
        <v>45422</v>
      </c>
      <c r="Z680" s="10">
        <f>IF($H680="Cancelled","",IFERROR(IF(F680="","",F680-Variables!$B$13),""))</f>
        <v>45428</v>
      </c>
      <c r="AA680" s="11">
        <f>IF($H680="Cancelled","",IFERROR(IF(W680="","",(AVERAGE(E680:F680)-W680)-Variables!$B$14),""))</f>
        <v>27</v>
      </c>
      <c r="AB680" s="10">
        <v>45432</v>
      </c>
      <c r="AC680" s="11">
        <f>IF($H680="Cancelled","",IFERROR(IF(AB680="","",IF(AND(W680="",Y680=""),"",IF(Y680&gt;W680,Y680+Variables!$B$15+Variables!$B$16+Variables!$B$17-AB680,W680+Variables!$B$16+Variables!$B$17-AB680))),""))</f>
        <v>5</v>
      </c>
      <c r="AD680" s="9" t="s">
        <v>180</v>
      </c>
      <c r="AE680" s="9" t="s">
        <v>181</v>
      </c>
      <c r="AF680" s="10"/>
      <c r="AG680" s="10"/>
      <c r="AH680" s="9"/>
      <c r="AI680" s="9" t="s">
        <v>1594</v>
      </c>
      <c r="AJ680" s="9" t="s">
        <v>1595</v>
      </c>
      <c r="AK680" s="10">
        <v>45442</v>
      </c>
      <c r="AL680" s="10">
        <v>45443</v>
      </c>
      <c r="AM680" s="10">
        <v>45453</v>
      </c>
      <c r="AN680" s="9" t="s">
        <v>1492</v>
      </c>
      <c r="AO680" s="9"/>
      <c r="AP680" s="11">
        <f>IF($H680="Cancelled","",IFERROR(IF(OR(AK680="",AB680=""),"",(AB680+Variables!$B$18-AK680)),""))</f>
        <v>-3</v>
      </c>
      <c r="AQ680" s="11">
        <f>IF($H680="Cancelled","",IFERROR(IF(OR(AM680="",AK680=""),"",(AK680+Variables!$B$19)-AM680),""))</f>
        <v>-6</v>
      </c>
      <c r="AR680" s="12">
        <f>IF($H680="Cancelled","",IFERROR(T680*INDEX(Variables!$B$7:$D$7,IFERROR(MATCH(IF($B680="Robusta","Robusta",(IF($B680="","Arabica",$B680))&amp;" - "&amp;(IF($C680="","Commercial",$C680))),Variables!$B$1:$D$1,0),1))*(AQ680/365),""))</f>
        <v>-3.6688781387081124</v>
      </c>
      <c r="AS680" s="12">
        <f>IF($H680="Cancelled","",IFERROR((T680*INDEX(Variables!$B$7:$D$7,IFERROR(MATCH(IF($B680="Robusta","Robusta",(IF($B680="","Arabica",$B680))&amp;" - "&amp;(IF($C680="","Commercial",$C680))),Variables!$B$1:$D$1,0),1))*IFERROR(IF(W680="","",(AVERAGE(E680:F680)-W680)-Variables!$B$14),"")/365)+(L680/16.67*INDEX(Variables!$B$8:$D$8,IFERROR(MATCH(IF($B680="Robusta","Robusta",(IF($B680="","Arabica",$B680))&amp;" - "&amp;(IF($C680="","Commercial",$C680))),Variables!$B$1:$D$1,0),1))*IFERROR(IF(W680="","",(AVERAGE(E680:F680)-W680)-Variables!$B$14),""))+(T680*INDEX(Variables!$B$9:$D$9,IFERROR(MATCH(IF($B680="Robusta","Robusta",(IF($B680="","Arabica",$B680))&amp;" - "&amp;(IF($C680="","Commercial",$C680))),Variables!$B$1:$D$1,0),1))*IFERROR(IF(W680="","",(AVERAGE(E680:F680)-W680)-Variables!$B$14),"")/365),""))</f>
        <v>28.872796762615195</v>
      </c>
      <c r="AT680" s="12">
        <f>IF($H680="Cancelled","",IFERROR((T680*INDEX(Variables!$B$7:$D$7,IFERROR(MATCH(IF($B680="Robusta","Robusta",(IF($B680="","Arabica",$B680))&amp;" - "&amp;(IF($C680="","Commercial",$C680))),Variables!$B$1:$D$1,0),1))*AC680/365)+(L680/16.67*INDEX(Variables!$B$8:$D$8,IFERROR(MATCH(IF($B680="Robusta","Robusta",(IF($B680="","Arabica",$B680))&amp;" - "&amp;(IF($C680="","Commercial",$C680))),Variables!$B$1:$D$1,0),1))*AC680)+(T680*INDEX(Variables!$B$9:$D$9,IFERROR(MATCH(IF($B680="Robusta","Robusta",(IF($B680="","Arabica",$B680))&amp;" - "&amp;(IF($C680="","Commercial",$C680))),Variables!$B$1:$D$1,0),1))*AC680/365),""))</f>
        <v>5.3468142152991103</v>
      </c>
      <c r="AU680" s="12">
        <f>IF($H680="Cancelled","",IFERROR((T680*INDEX(Variables!$B$7:$D$7,IFERROR(MATCH(IF($B680="Robusta","Robusta",(IF($B680="","Arabica",$B680))&amp;" - "&amp;(IF($C680="","Commercial",$C680))),Variables!$B$1:$D$1,0),1))*AP680/365)+(L680/16.67*INDEX(Variables!$B$8:$D$8,IFERROR(MATCH(IF($B680="Robusta","Robusta",(IF($B680="","Arabica",$B680))&amp;" - "&amp;(IF($C680="","Commercial",$C680))),Variables!$B$1:$D$1,0),1))*AP680)+(T680*INDEX(Variables!$B$9:$D$9,IFERROR(MATCH(IF($B680="Robusta","Robusta",(IF($B680="","Arabica",$B680))&amp;" - "&amp;(IF($C680="","Commercial",$C680))),Variables!$B$1:$D$1,0),1))*AP680/365),""))</f>
        <v>-3.2080885291794661</v>
      </c>
      <c r="AV680" s="11">
        <f t="shared" si="70"/>
        <v>1</v>
      </c>
      <c r="AW680" s="12">
        <f>IF($H680="Cancelled","",IFERROR(IF(AV680="","",(T680*INDEX(Variables!$B$7:$D$7,IFERROR(MATCH(IF($B680="Robusta","Robusta",(IF($B680="","Arabica",$B680))&amp;" - "&amp;(IF($C680="","Commercial",$C680))),Variables!$B$1:$D$1,0),1))*(AV680/365))+(T680*INDEX(Variables!$B$9:$D$9,IFERROR(MATCH(IF($B680="Robusta","Robusta",(IF($B680="","Arabica",$B680))&amp;" - "&amp;(IF($C680="","Commercial",$C680))),Variables!$B$1:$D$1,0),1))*(AV680/365))+(INDEX(Variables!$B$8:$D$8,IFERROR(MATCH(IF($B680="Robusta","Robusta",(IF($B680="","Arabica",$B680))&amp;" - "&amp;(IF($C680="","Commercial",$C680))),Variables!$B$1:$D$1,0),1))*L680/16.67)),""))</f>
        <v>1.0693628430598221</v>
      </c>
      <c r="AX680" s="9"/>
      <c r="AY680" s="12"/>
      <c r="AZ680" s="10"/>
      <c r="BA680" s="9"/>
      <c r="BB680" s="10"/>
      <c r="BC680" s="9"/>
      <c r="BD680" s="9"/>
      <c r="BE680" s="9"/>
      <c r="BF680" s="9"/>
    </row>
    <row r="681" spans="1:58" x14ac:dyDescent="0.25">
      <c r="A681" s="9" t="s">
        <v>84</v>
      </c>
      <c r="B681" s="9" t="s">
        <v>85</v>
      </c>
      <c r="C681" s="9" t="s">
        <v>1486</v>
      </c>
      <c r="D681" s="10">
        <v>45359</v>
      </c>
      <c r="E681" s="10">
        <v>45413</v>
      </c>
      <c r="F681" s="10">
        <v>45443</v>
      </c>
      <c r="G681" s="9">
        <v>3786176</v>
      </c>
      <c r="H681" s="9" t="str">
        <f t="shared" si="68"/>
        <v>Closed</v>
      </c>
      <c r="I681" s="9" t="str">
        <f t="shared" si="69"/>
        <v>All dates received</v>
      </c>
      <c r="J681" s="9" t="s">
        <v>1487</v>
      </c>
      <c r="K681" s="9">
        <v>4745</v>
      </c>
      <c r="L681" s="11">
        <v>25</v>
      </c>
      <c r="M681" s="9" t="s">
        <v>1597</v>
      </c>
      <c r="N681" s="9"/>
      <c r="O681" s="9"/>
      <c r="P681" s="9"/>
      <c r="Q681" s="11"/>
      <c r="R681" s="9" t="s">
        <v>195</v>
      </c>
      <c r="S681" s="9" t="s">
        <v>183</v>
      </c>
      <c r="T681" s="12">
        <f>IF($H681="Cancelled","",IFERROR(((Q681+INDEX(Variables!$B$6:$D$6,IFERROR(MATCH(IF($B681="Robusta","Robusta",(IF($B681="","Arabica",$B681))&amp;" - "&amp;(IF($C681="","Commercial",$C681))),Variables!$B$1:$D$1,0),1)))*22.0462)*(L681/16.67),""))</f>
        <v>9614.6295140971797</v>
      </c>
      <c r="U681" s="10"/>
      <c r="V681" s="9" t="str">
        <f t="shared" si="71"/>
        <v/>
      </c>
      <c r="W681" s="10">
        <v>45371</v>
      </c>
      <c r="X681" s="9" t="str">
        <f t="shared" si="67"/>
        <v>Approved</v>
      </c>
      <c r="Y681" s="10">
        <v>45422</v>
      </c>
      <c r="Z681" s="10">
        <f>IF($H681="Cancelled","",IFERROR(IF(F681="","",F681-Variables!$B$13),""))</f>
        <v>45428</v>
      </c>
      <c r="AA681" s="11">
        <f>IF($H681="Cancelled","",IFERROR(IF(W681="","",(AVERAGE(E681:F681)-W681)-Variables!$B$14),""))</f>
        <v>27</v>
      </c>
      <c r="AB681" s="10">
        <v>45372</v>
      </c>
      <c r="AC681" s="11">
        <f>IF($H681="Cancelled","",IFERROR(IF(AB681="","",IF(AND(W681="",Y681=""),"",IF(Y681&gt;W681,Y681+Variables!$B$15+Variables!$B$16+Variables!$B$17-AB681,W681+Variables!$B$16+Variables!$B$17-AB681))),""))</f>
        <v>65</v>
      </c>
      <c r="AD681" s="9" t="s">
        <v>1489</v>
      </c>
      <c r="AE681" s="9" t="s">
        <v>1490</v>
      </c>
      <c r="AF681" s="10"/>
      <c r="AG681" s="10"/>
      <c r="AH681" s="9"/>
      <c r="AI681" s="9" t="s">
        <v>1497</v>
      </c>
      <c r="AJ681" s="9">
        <v>3331746596</v>
      </c>
      <c r="AK681" s="10">
        <v>45381</v>
      </c>
      <c r="AL681" s="10">
        <v>45384</v>
      </c>
      <c r="AM681" s="10">
        <v>45393</v>
      </c>
      <c r="AN681" s="9" t="s">
        <v>1492</v>
      </c>
      <c r="AO681" s="9"/>
      <c r="AP681" s="11">
        <f>IF($H681="Cancelled","",IFERROR(IF(OR(AK681="",AB681=""),"",(AB681+Variables!$B$18-AK681)),""))</f>
        <v>-2</v>
      </c>
      <c r="AQ681" s="11">
        <f>IF($H681="Cancelled","",IFERROR(IF(OR(AM681="",AK681=""),"",(AK681+Variables!$B$19)-AM681),""))</f>
        <v>-7</v>
      </c>
      <c r="AR681" s="12">
        <f>IF($H681="Cancelled","",IFERROR(T681*INDEX(Variables!$B$7:$D$7,IFERROR(MATCH(IF($B681="Robusta","Robusta",(IF($B681="","Arabica",$B681))&amp;" - "&amp;(IF($C681="","Commercial",$C681))),Variables!$B$1:$D$1,0),1))*(AQ681/365),""))</f>
        <v>-11.889882856924441</v>
      </c>
      <c r="AS681" s="12">
        <f>IF($H681="Cancelled","",IFERROR((T681*INDEX(Variables!$B$7:$D$7,IFERROR(MATCH(IF($B681="Robusta","Robusta",(IF($B681="","Arabica",$B681))&amp;" - "&amp;(IF($C681="","Commercial",$C681))),Variables!$B$1:$D$1,0),1))*IFERROR(IF(W681="","",(AVERAGE(E681:F681)-W681)-Variables!$B$14),"")/365)+(L681/16.67*INDEX(Variables!$B$8:$D$8,IFERROR(MATCH(IF($B681="Robusta","Robusta",(IF($B681="","Arabica",$B681))&amp;" - "&amp;(IF($C681="","Commercial",$C681))),Variables!$B$1:$D$1,0),1))*IFERROR(IF(W681="","",(AVERAGE(E681:F681)-W681)-Variables!$B$14),""))+(T681*INDEX(Variables!$B$9:$D$9,IFERROR(MATCH(IF($B681="Robusta","Robusta",(IF($B681="","Arabica",$B681))&amp;" - "&amp;(IF($C681="","Commercial",$C681))),Variables!$B$1:$D$1,0),1))*IFERROR(IF(W681="","",(AVERAGE(E681:F681)-W681)-Variables!$B$14),"")/365),""))</f>
        <v>80.202213229486645</v>
      </c>
      <c r="AT681" s="12">
        <f>IF($H681="Cancelled","",IFERROR((T681*INDEX(Variables!$B$7:$D$7,IFERROR(MATCH(IF($B681="Robusta","Robusta",(IF($B681="","Arabica",$B681))&amp;" - "&amp;(IF($C681="","Commercial",$C681))),Variables!$B$1:$D$1,0),1))*AC681/365)+(L681/16.67*INDEX(Variables!$B$8:$D$8,IFERROR(MATCH(IF($B681="Robusta","Robusta",(IF($B681="","Arabica",$B681))&amp;" - "&amp;(IF($C681="","Commercial",$C681))),Variables!$B$1:$D$1,0),1))*AC681)+(T681*INDEX(Variables!$B$9:$D$9,IFERROR(MATCH(IF($B681="Robusta","Robusta",(IF($B681="","Arabica",$B681))&amp;" - "&amp;(IF($C681="","Commercial",$C681))),Variables!$B$1:$D$1,0),1))*AC681/365),""))</f>
        <v>193.07940221913452</v>
      </c>
      <c r="AU681" s="12">
        <f>IF($H681="Cancelled","",IFERROR((T681*INDEX(Variables!$B$7:$D$7,IFERROR(MATCH(IF($B681="Robusta","Robusta",(IF($B681="","Arabica",$B681))&amp;" - "&amp;(IF($C681="","Commercial",$C681))),Variables!$B$1:$D$1,0),1))*AP681/365)+(L681/16.67*INDEX(Variables!$B$8:$D$8,IFERROR(MATCH(IF($B681="Robusta","Robusta",(IF($B681="","Arabica",$B681))&amp;" - "&amp;(IF($C681="","Commercial",$C681))),Variables!$B$1:$D$1,0),1))*AP681)+(T681*INDEX(Variables!$B$9:$D$9,IFERROR(MATCH(IF($B681="Robusta","Robusta",(IF($B681="","Arabica",$B681))&amp;" - "&amp;(IF($C681="","Commercial",$C681))),Variables!$B$1:$D$1,0),1))*AP681/365),""))</f>
        <v>-5.9409046836656776</v>
      </c>
      <c r="AV681" s="11">
        <f t="shared" si="70"/>
        <v>62</v>
      </c>
      <c r="AW681" s="12">
        <f>IF($H681="Cancelled","",IFERROR(IF(AV681="","",(T681*INDEX(Variables!$B$7:$D$7,IFERROR(MATCH(IF($B681="Robusta","Robusta",(IF($B681="","Arabica",$B681))&amp;" - "&amp;(IF($C681="","Commercial",$C681))),Variables!$B$1:$D$1,0),1))*(AV681/365))+(T681*INDEX(Variables!$B$9:$D$9,IFERROR(MATCH(IF($B681="Robusta","Robusta",(IF($B681="","Arabica",$B681))&amp;" - "&amp;(IF($C681="","Commercial",$C681))),Variables!$B$1:$D$1,0),1))*(AV681/365))+(INDEX(Variables!$B$8:$D$8,IFERROR(MATCH(IF($B681="Robusta","Robusta",(IF($B681="","Arabica",$B681))&amp;" - "&amp;(IF($C681="","Commercial",$C681))),Variables!$B$1:$D$1,0),1))*L681/16.67)),""))</f>
        <v>107.91804519363602</v>
      </c>
      <c r="AX681" s="9"/>
      <c r="AY681" s="12"/>
      <c r="AZ681" s="10"/>
      <c r="BA681" s="9"/>
      <c r="BB681" s="10"/>
      <c r="BC681" s="9"/>
      <c r="BD681" s="9"/>
      <c r="BE681" s="9"/>
      <c r="BF681" s="9"/>
    </row>
    <row r="682" spans="1:58" x14ac:dyDescent="0.25">
      <c r="A682" s="9" t="s">
        <v>84</v>
      </c>
      <c r="B682" s="9" t="s">
        <v>85</v>
      </c>
      <c r="C682" s="9" t="s">
        <v>1486</v>
      </c>
      <c r="D682" s="10">
        <v>45359</v>
      </c>
      <c r="E682" s="10">
        <v>45413</v>
      </c>
      <c r="F682" s="10">
        <v>45443</v>
      </c>
      <c r="G682" s="9">
        <v>3786180</v>
      </c>
      <c r="H682" s="9" t="str">
        <f t="shared" si="68"/>
        <v>Closed</v>
      </c>
      <c r="I682" s="9" t="str">
        <f t="shared" si="69"/>
        <v>All dates received</v>
      </c>
      <c r="J682" s="9" t="s">
        <v>1487</v>
      </c>
      <c r="K682" s="9">
        <v>4746</v>
      </c>
      <c r="L682" s="11">
        <v>10</v>
      </c>
      <c r="M682" s="9" t="s">
        <v>1598</v>
      </c>
      <c r="N682" s="9"/>
      <c r="O682" s="9"/>
      <c r="P682" s="9"/>
      <c r="Q682" s="11"/>
      <c r="R682" s="9" t="s">
        <v>195</v>
      </c>
      <c r="S682" s="9" t="s">
        <v>183</v>
      </c>
      <c r="T682" s="12">
        <f>IF($H682="Cancelled","",IFERROR(((Q682+INDEX(Variables!$B$6:$D$6,IFERROR(MATCH(IF($B682="Robusta","Robusta",(IF($B682="","Arabica",$B682))&amp;" - "&amp;(IF($C682="","Commercial",$C682))),Variables!$B$1:$D$1,0),1)))*22.0462)*(L682/16.67),""))</f>
        <v>3845.8518056388721</v>
      </c>
      <c r="U682" s="10"/>
      <c r="V682" s="9" t="str">
        <f t="shared" si="71"/>
        <v/>
      </c>
      <c r="W682" s="10">
        <v>45432</v>
      </c>
      <c r="X682" s="9" t="str">
        <f t="shared" ref="X682:X745" si="72">IF(ISNUMBER(W682),"Approved","")</f>
        <v>Approved</v>
      </c>
      <c r="Y682" s="10">
        <v>45361</v>
      </c>
      <c r="Z682" s="10">
        <f>IF($H682="Cancelled","",IFERROR(IF(F682="","",F682-Variables!$B$13),""))</f>
        <v>45428</v>
      </c>
      <c r="AA682" s="11">
        <f>IF($H682="Cancelled","",IFERROR(IF(W682="","",(AVERAGE(E682:F682)-W682)-Variables!$B$14),""))</f>
        <v>-34</v>
      </c>
      <c r="AB682" s="10">
        <v>45372</v>
      </c>
      <c r="AC682" s="11">
        <f>IF($H682="Cancelled","",IFERROR(IF(AB682="","",IF(AND(W682="",Y682=""),"",IF(Y682&gt;W682,Y682+Variables!$B$15+Variables!$B$16+Variables!$B$17-AB682,W682+Variables!$B$16+Variables!$B$17-AB682))),""))</f>
        <v>68</v>
      </c>
      <c r="AD682" s="9" t="s">
        <v>1489</v>
      </c>
      <c r="AE682" s="9" t="s">
        <v>1490</v>
      </c>
      <c r="AF682" s="10"/>
      <c r="AG682" s="10"/>
      <c r="AH682" s="9"/>
      <c r="AI682" s="9" t="s">
        <v>1497</v>
      </c>
      <c r="AJ682" s="9">
        <v>3331746596</v>
      </c>
      <c r="AK682" s="10">
        <v>45381</v>
      </c>
      <c r="AL682" s="10">
        <v>45384</v>
      </c>
      <c r="AM682" s="10">
        <v>45393</v>
      </c>
      <c r="AN682" s="9" t="s">
        <v>1492</v>
      </c>
      <c r="AO682" s="9"/>
      <c r="AP682" s="11">
        <f>IF($H682="Cancelled","",IFERROR(IF(OR(AK682="",AB682=""),"",(AB682+Variables!$B$18-AK682)),""))</f>
        <v>-2</v>
      </c>
      <c r="AQ682" s="11">
        <f>IF($H682="Cancelled","",IFERROR(IF(OR(AM682="",AK682=""),"",(AK682+Variables!$B$19)-AM682),""))</f>
        <v>-7</v>
      </c>
      <c r="AR682" s="12">
        <f>IF($H682="Cancelled","",IFERROR(T682*INDEX(Variables!$B$7:$D$7,IFERROR(MATCH(IF($B682="Robusta","Robusta",(IF($B682="","Arabica",$B682))&amp;" - "&amp;(IF($C682="","Commercial",$C682))),Variables!$B$1:$D$1,0),1))*(AQ682/365),""))</f>
        <v>-4.7559531427697763</v>
      </c>
      <c r="AS682" s="12">
        <f>IF($H682="Cancelled","",IFERROR((T682*INDEX(Variables!$B$7:$D$7,IFERROR(MATCH(IF($B682="Robusta","Robusta",(IF($B682="","Arabica",$B682))&amp;" - "&amp;(IF($C682="","Commercial",$C682))),Variables!$B$1:$D$1,0),1))*IFERROR(IF(W682="","",(AVERAGE(E682:F682)-W682)-Variables!$B$14),"")/365)+(L682/16.67*INDEX(Variables!$B$8:$D$8,IFERROR(MATCH(IF($B682="Robusta","Robusta",(IF($B682="","Arabica",$B682))&amp;" - "&amp;(IF($C682="","Commercial",$C682))),Variables!$B$1:$D$1,0),1))*IFERROR(IF(W682="","",(AVERAGE(E682:F682)-W682)-Variables!$B$14),""))+(T682*INDEX(Variables!$B$9:$D$9,IFERROR(MATCH(IF($B682="Robusta","Robusta",(IF($B682="","Arabica",$B682))&amp;" - "&amp;(IF($C682="","Commercial",$C682))),Variables!$B$1:$D$1,0),1))*IFERROR(IF(W682="","",(AVERAGE(E682:F682)-W682)-Variables!$B$14),"")/365),""))</f>
        <v>-40.398151848926616</v>
      </c>
      <c r="AT682" s="12">
        <f>IF($H682="Cancelled","",IFERROR((T682*INDEX(Variables!$B$7:$D$7,IFERROR(MATCH(IF($B682="Robusta","Robusta",(IF($B682="","Arabica",$B682))&amp;" - "&amp;(IF($C682="","Commercial",$C682))),Variables!$B$1:$D$1,0),1))*AC682/365)+(L682/16.67*INDEX(Variables!$B$8:$D$8,IFERROR(MATCH(IF($B682="Robusta","Robusta",(IF($B682="","Arabica",$B682))&amp;" - "&amp;(IF($C682="","Commercial",$C682))),Variables!$B$1:$D$1,0),1))*AC682)+(T682*INDEX(Variables!$B$9:$D$9,IFERROR(MATCH(IF($B682="Robusta","Robusta",(IF($B682="","Arabica",$B682))&amp;" - "&amp;(IF($C682="","Commercial",$C682))),Variables!$B$1:$D$1,0),1))*AC682/365),""))</f>
        <v>80.796303697853233</v>
      </c>
      <c r="AU682" s="12">
        <f>IF($H682="Cancelled","",IFERROR((T682*INDEX(Variables!$B$7:$D$7,IFERROR(MATCH(IF($B682="Robusta","Robusta",(IF($B682="","Arabica",$B682))&amp;" - "&amp;(IF($C682="","Commercial",$C682))),Variables!$B$1:$D$1,0),1))*AP682/365)+(L682/16.67*INDEX(Variables!$B$8:$D$8,IFERROR(MATCH(IF($B682="Robusta","Robusta",(IF($B682="","Arabica",$B682))&amp;" - "&amp;(IF($C682="","Commercial",$C682))),Variables!$B$1:$D$1,0),1))*AP682)+(T682*INDEX(Variables!$B$9:$D$9,IFERROR(MATCH(IF($B682="Robusta","Robusta",(IF($B682="","Arabica",$B682))&amp;" - "&amp;(IF($C682="","Commercial",$C682))),Variables!$B$1:$D$1,0),1))*AP682/365),""))</f>
        <v>-2.376361873466271</v>
      </c>
      <c r="AV682" s="11">
        <f t="shared" si="70"/>
        <v>62</v>
      </c>
      <c r="AW682" s="12">
        <f>IF($H682="Cancelled","",IFERROR(IF(AV682="","",(T682*INDEX(Variables!$B$7:$D$7,IFERROR(MATCH(IF($B682="Robusta","Robusta",(IF($B682="","Arabica",$B682))&amp;" - "&amp;(IF($C682="","Commercial",$C682))),Variables!$B$1:$D$1,0),1))*(AV682/365))+(T682*INDEX(Variables!$B$9:$D$9,IFERROR(MATCH(IF($B682="Robusta","Robusta",(IF($B682="","Arabica",$B682))&amp;" - "&amp;(IF($C682="","Commercial",$C682))),Variables!$B$1:$D$1,0),1))*(AV682/365))+(INDEX(Variables!$B$8:$D$8,IFERROR(MATCH(IF($B682="Robusta","Robusta",(IF($B682="","Arabica",$B682))&amp;" - "&amp;(IF($C682="","Commercial",$C682))),Variables!$B$1:$D$1,0),1))*L682/16.67)),""))</f>
        <v>43.1672180774544</v>
      </c>
      <c r="AX682" s="9"/>
      <c r="AY682" s="12"/>
      <c r="AZ682" s="10"/>
      <c r="BA682" s="9"/>
      <c r="BB682" s="10"/>
      <c r="BC682" s="9"/>
      <c r="BD682" s="9"/>
      <c r="BE682" s="9"/>
      <c r="BF682" s="9"/>
    </row>
    <row r="683" spans="1:58" x14ac:dyDescent="0.25">
      <c r="A683" s="9" t="s">
        <v>84</v>
      </c>
      <c r="B683" s="9" t="s">
        <v>85</v>
      </c>
      <c r="C683" s="9" t="s">
        <v>1486</v>
      </c>
      <c r="D683" s="10">
        <v>45359</v>
      </c>
      <c r="E683" s="10">
        <v>45413</v>
      </c>
      <c r="F683" s="10">
        <v>45443</v>
      </c>
      <c r="G683" s="9">
        <v>3786174</v>
      </c>
      <c r="H683" s="9" t="str">
        <f t="shared" si="68"/>
        <v>Closed</v>
      </c>
      <c r="I683" s="9" t="str">
        <f t="shared" si="69"/>
        <v>All dates received</v>
      </c>
      <c r="J683" s="9" t="s">
        <v>1487</v>
      </c>
      <c r="K683" s="9">
        <v>4772</v>
      </c>
      <c r="L683" s="11">
        <v>20</v>
      </c>
      <c r="M683" s="9" t="s">
        <v>1599</v>
      </c>
      <c r="N683" s="9"/>
      <c r="O683" s="9"/>
      <c r="P683" s="9"/>
      <c r="Q683" s="11"/>
      <c r="R683" s="9" t="s">
        <v>195</v>
      </c>
      <c r="S683" s="9" t="s">
        <v>183</v>
      </c>
      <c r="T683" s="12">
        <f>IF($H683="Cancelled","",IFERROR(((Q683+INDEX(Variables!$B$6:$D$6,IFERROR(MATCH(IF($B683="Robusta","Robusta",(IF($B683="","Arabica",$B683))&amp;" - "&amp;(IF($C683="","Commercial",$C683))),Variables!$B$1:$D$1,0),1)))*22.0462)*(L683/16.67),""))</f>
        <v>7691.7036112777441</v>
      </c>
      <c r="U683" s="10"/>
      <c r="V683" s="9" t="str">
        <f t="shared" si="71"/>
        <v/>
      </c>
      <c r="W683" s="10">
        <v>45432</v>
      </c>
      <c r="X683" s="9" t="str">
        <f t="shared" si="72"/>
        <v>Approved</v>
      </c>
      <c r="Y683" s="10">
        <v>45381</v>
      </c>
      <c r="Z683" s="10">
        <f>IF($H683="Cancelled","",IFERROR(IF(F683="","",F683-Variables!$B$13),""))</f>
        <v>45428</v>
      </c>
      <c r="AA683" s="11">
        <f>IF($H683="Cancelled","",IFERROR(IF(W683="","",(AVERAGE(E683:F683)-W683)-Variables!$B$14),""))</f>
        <v>-34</v>
      </c>
      <c r="AB683" s="10">
        <v>45390</v>
      </c>
      <c r="AC683" s="11">
        <f>IF($H683="Cancelled","",IFERROR(IF(AB683="","",IF(AND(W683="",Y683=""),"",IF(Y683&gt;W683,Y683+Variables!$B$15+Variables!$B$16+Variables!$B$17-AB683,W683+Variables!$B$16+Variables!$B$17-AB683))),""))</f>
        <v>50</v>
      </c>
      <c r="AD683" s="9" t="s">
        <v>107</v>
      </c>
      <c r="AE683" s="9" t="s">
        <v>198</v>
      </c>
      <c r="AF683" s="10"/>
      <c r="AG683" s="10"/>
      <c r="AH683" s="9"/>
      <c r="AI683" s="9" t="s">
        <v>1521</v>
      </c>
      <c r="AJ683" s="9">
        <v>1841037015</v>
      </c>
      <c r="AK683" s="10">
        <v>45399</v>
      </c>
      <c r="AL683" s="10">
        <v>45401</v>
      </c>
      <c r="AM683" s="10">
        <v>45405</v>
      </c>
      <c r="AN683" s="9" t="s">
        <v>1492</v>
      </c>
      <c r="AO683" s="9"/>
      <c r="AP683" s="11">
        <f>IF($H683="Cancelled","",IFERROR(IF(OR(AK683="",AB683=""),"",(AB683+Variables!$B$18-AK683)),""))</f>
        <v>-2</v>
      </c>
      <c r="AQ683" s="11">
        <f>IF($H683="Cancelled","",IFERROR(IF(OR(AM683="",AK683=""),"",(AK683+Variables!$B$19)-AM683),""))</f>
        <v>-1</v>
      </c>
      <c r="AR683" s="12">
        <f>IF($H683="Cancelled","",IFERROR(T683*INDEX(Variables!$B$7:$D$7,IFERROR(MATCH(IF($B683="Robusta","Robusta",(IF($B683="","Arabica",$B683))&amp;" - "&amp;(IF($C683="","Commercial",$C683))),Variables!$B$1:$D$1,0),1))*(AQ683/365),""))</f>
        <v>-1.3588437550770789</v>
      </c>
      <c r="AS683" s="12">
        <f>IF($H683="Cancelled","",IFERROR((T683*INDEX(Variables!$B$7:$D$7,IFERROR(MATCH(IF($B683="Robusta","Robusta",(IF($B683="","Arabica",$B683))&amp;" - "&amp;(IF($C683="","Commercial",$C683))),Variables!$B$1:$D$1,0),1))*IFERROR(IF(W683="","",(AVERAGE(E683:F683)-W683)-Variables!$B$14),"")/365)+(L683/16.67*INDEX(Variables!$B$8:$D$8,IFERROR(MATCH(IF($B683="Robusta","Robusta",(IF($B683="","Arabica",$B683))&amp;" - "&amp;(IF($C683="","Commercial",$C683))),Variables!$B$1:$D$1,0),1))*IFERROR(IF(W683="","",(AVERAGE(E683:F683)-W683)-Variables!$B$14),""))+(T683*INDEX(Variables!$B$9:$D$9,IFERROR(MATCH(IF($B683="Robusta","Robusta",(IF($B683="","Arabica",$B683))&amp;" - "&amp;(IF($C683="","Commercial",$C683))),Variables!$B$1:$D$1,0),1))*IFERROR(IF(W683="","",(AVERAGE(E683:F683)-W683)-Variables!$B$14),"")/365),""))</f>
        <v>-80.796303697853233</v>
      </c>
      <c r="AT683" s="12">
        <f>IF($H683="Cancelled","",IFERROR((T683*INDEX(Variables!$B$7:$D$7,IFERROR(MATCH(IF($B683="Robusta","Robusta",(IF($B683="","Arabica",$B683))&amp;" - "&amp;(IF($C683="","Commercial",$C683))),Variables!$B$1:$D$1,0),1))*AC683/365)+(L683/16.67*INDEX(Variables!$B$8:$D$8,IFERROR(MATCH(IF($B683="Robusta","Robusta",(IF($B683="","Arabica",$B683))&amp;" - "&amp;(IF($C683="","Commercial",$C683))),Variables!$B$1:$D$1,0),1))*AC683)+(T683*INDEX(Variables!$B$9:$D$9,IFERROR(MATCH(IF($B683="Robusta","Robusta",(IF($B683="","Arabica",$B683))&amp;" - "&amp;(IF($C683="","Commercial",$C683))),Variables!$B$1:$D$1,0),1))*AC683/365),""))</f>
        <v>118.81809367331356</v>
      </c>
      <c r="AU683" s="12">
        <f>IF($H683="Cancelled","",IFERROR((T683*INDEX(Variables!$B$7:$D$7,IFERROR(MATCH(IF($B683="Robusta","Robusta",(IF($B683="","Arabica",$B683))&amp;" - "&amp;(IF($C683="","Commercial",$C683))),Variables!$B$1:$D$1,0),1))*AP683/365)+(L683/16.67*INDEX(Variables!$B$8:$D$8,IFERROR(MATCH(IF($B683="Robusta","Robusta",(IF($B683="","Arabica",$B683))&amp;" - "&amp;(IF($C683="","Commercial",$C683))),Variables!$B$1:$D$1,0),1))*AP683)+(T683*INDEX(Variables!$B$9:$D$9,IFERROR(MATCH(IF($B683="Robusta","Robusta",(IF($B683="","Arabica",$B683))&amp;" - "&amp;(IF($C683="","Commercial",$C683))),Variables!$B$1:$D$1,0),1))*AP683/365),""))</f>
        <v>-4.7527237469325421</v>
      </c>
      <c r="AV683" s="11">
        <f t="shared" si="70"/>
        <v>44</v>
      </c>
      <c r="AW683" s="12">
        <f>IF($H683="Cancelled","",IFERROR(IF(AV683="","",(T683*INDEX(Variables!$B$7:$D$7,IFERROR(MATCH(IF($B683="Robusta","Robusta",(IF($B683="","Arabica",$B683))&amp;" - "&amp;(IF($C683="","Commercial",$C683))),Variables!$B$1:$D$1,0),1))*(AV683/365))+(T683*INDEX(Variables!$B$9:$D$9,IFERROR(MATCH(IF($B683="Robusta","Robusta",(IF($B683="","Arabica",$B683))&amp;" - "&amp;(IF($C683="","Commercial",$C683))),Variables!$B$1:$D$1,0),1))*(AV683/365))+(INDEX(Variables!$B$8:$D$8,IFERROR(MATCH(IF($B683="Robusta","Robusta",(IF($B683="","Arabica",$B683))&amp;" - "&amp;(IF($C683="","Commercial",$C683))),Variables!$B$1:$D$1,0),1))*L683/16.67)),""))</f>
        <v>61.559922432515933</v>
      </c>
      <c r="AX683" s="9"/>
      <c r="AY683" s="12"/>
      <c r="AZ683" s="10"/>
      <c r="BA683" s="9"/>
      <c r="BB683" s="10"/>
      <c r="BC683" s="9"/>
      <c r="BD683" s="9"/>
      <c r="BE683" s="9"/>
      <c r="BF683" s="9"/>
    </row>
    <row r="684" spans="1:58" x14ac:dyDescent="0.25">
      <c r="A684" s="9" t="s">
        <v>84</v>
      </c>
      <c r="B684" s="9" t="s">
        <v>85</v>
      </c>
      <c r="C684" s="9" t="s">
        <v>1486</v>
      </c>
      <c r="D684" s="10">
        <v>45359</v>
      </c>
      <c r="E684" s="10">
        <v>45413</v>
      </c>
      <c r="F684" s="10">
        <v>45443</v>
      </c>
      <c r="G684" s="9">
        <v>3786175</v>
      </c>
      <c r="H684" s="9" t="str">
        <f t="shared" si="68"/>
        <v>Closed</v>
      </c>
      <c r="I684" s="9" t="str">
        <f t="shared" si="69"/>
        <v>All dates received</v>
      </c>
      <c r="J684" s="9" t="s">
        <v>1487</v>
      </c>
      <c r="K684" s="9">
        <v>4773</v>
      </c>
      <c r="L684" s="11">
        <v>10</v>
      </c>
      <c r="M684" s="9" t="s">
        <v>1600</v>
      </c>
      <c r="N684" s="9"/>
      <c r="O684" s="9"/>
      <c r="P684" s="9"/>
      <c r="Q684" s="11"/>
      <c r="R684" s="9" t="s">
        <v>195</v>
      </c>
      <c r="S684" s="9" t="s">
        <v>183</v>
      </c>
      <c r="T684" s="12">
        <f>IF($H684="Cancelled","",IFERROR(((Q684+INDEX(Variables!$B$6:$D$6,IFERROR(MATCH(IF($B684="Robusta","Robusta",(IF($B684="","Arabica",$B684))&amp;" - "&amp;(IF($C684="","Commercial",$C684))),Variables!$B$1:$D$1,0),1)))*22.0462)*(L684/16.67),""))</f>
        <v>3845.8518056388721</v>
      </c>
      <c r="U684" s="10"/>
      <c r="V684" s="9" t="str">
        <f t="shared" si="71"/>
        <v/>
      </c>
      <c r="W684" s="10">
        <v>45432</v>
      </c>
      <c r="X684" s="9" t="str">
        <f t="shared" si="72"/>
        <v>Approved</v>
      </c>
      <c r="Y684" s="10">
        <v>45381</v>
      </c>
      <c r="Z684" s="10">
        <f>IF($H684="Cancelled","",IFERROR(IF(F684="","",F684-Variables!$B$13),""))</f>
        <v>45428</v>
      </c>
      <c r="AA684" s="11">
        <f>IF($H684="Cancelled","",IFERROR(IF(W684="","",(AVERAGE(E684:F684)-W684)-Variables!$B$14),""))</f>
        <v>-34</v>
      </c>
      <c r="AB684" s="10">
        <v>45390</v>
      </c>
      <c r="AC684" s="11">
        <f>IF($H684="Cancelled","",IFERROR(IF(AB684="","",IF(AND(W684="",Y684=""),"",IF(Y684&gt;W684,Y684+Variables!$B$15+Variables!$B$16+Variables!$B$17-AB684,W684+Variables!$B$16+Variables!$B$17-AB684))),""))</f>
        <v>50</v>
      </c>
      <c r="AD684" s="9" t="s">
        <v>107</v>
      </c>
      <c r="AE684" s="9" t="s">
        <v>198</v>
      </c>
      <c r="AF684" s="10"/>
      <c r="AG684" s="10"/>
      <c r="AH684" s="9"/>
      <c r="AI684" s="9" t="s">
        <v>1521</v>
      </c>
      <c r="AJ684" s="9">
        <v>1841037015</v>
      </c>
      <c r="AK684" s="10">
        <v>45399</v>
      </c>
      <c r="AL684" s="10">
        <v>45401</v>
      </c>
      <c r="AM684" s="10">
        <v>45405</v>
      </c>
      <c r="AN684" s="9" t="s">
        <v>1492</v>
      </c>
      <c r="AO684" s="9"/>
      <c r="AP684" s="11">
        <f>IF($H684="Cancelled","",IFERROR(IF(OR(AK684="",AB684=""),"",(AB684+Variables!$B$18-AK684)),""))</f>
        <v>-2</v>
      </c>
      <c r="AQ684" s="11">
        <f>IF($H684="Cancelled","",IFERROR(IF(OR(AM684="",AK684=""),"",(AK684+Variables!$B$19)-AM684),""))</f>
        <v>-1</v>
      </c>
      <c r="AR684" s="12">
        <f>IF($H684="Cancelled","",IFERROR(T684*INDEX(Variables!$B$7:$D$7,IFERROR(MATCH(IF($B684="Robusta","Robusta",(IF($B684="","Arabica",$B684))&amp;" - "&amp;(IF($C684="","Commercial",$C684))),Variables!$B$1:$D$1,0),1))*(AQ684/365),""))</f>
        <v>-0.67942187753853944</v>
      </c>
      <c r="AS684" s="12">
        <f>IF($H684="Cancelled","",IFERROR((T684*INDEX(Variables!$B$7:$D$7,IFERROR(MATCH(IF($B684="Robusta","Robusta",(IF($B684="","Arabica",$B684))&amp;" - "&amp;(IF($C684="","Commercial",$C684))),Variables!$B$1:$D$1,0),1))*IFERROR(IF(W684="","",(AVERAGE(E684:F684)-W684)-Variables!$B$14),"")/365)+(L684/16.67*INDEX(Variables!$B$8:$D$8,IFERROR(MATCH(IF($B684="Robusta","Robusta",(IF($B684="","Arabica",$B684))&amp;" - "&amp;(IF($C684="","Commercial",$C684))),Variables!$B$1:$D$1,0),1))*IFERROR(IF(W684="","",(AVERAGE(E684:F684)-W684)-Variables!$B$14),""))+(T684*INDEX(Variables!$B$9:$D$9,IFERROR(MATCH(IF($B684="Robusta","Robusta",(IF($B684="","Arabica",$B684))&amp;" - "&amp;(IF($C684="","Commercial",$C684))),Variables!$B$1:$D$1,0),1))*IFERROR(IF(W684="","",(AVERAGE(E684:F684)-W684)-Variables!$B$14),"")/365),""))</f>
        <v>-40.398151848926616</v>
      </c>
      <c r="AT684" s="12">
        <f>IF($H684="Cancelled","",IFERROR((T684*INDEX(Variables!$B$7:$D$7,IFERROR(MATCH(IF($B684="Robusta","Robusta",(IF($B684="","Arabica",$B684))&amp;" - "&amp;(IF($C684="","Commercial",$C684))),Variables!$B$1:$D$1,0),1))*AC684/365)+(L684/16.67*INDEX(Variables!$B$8:$D$8,IFERROR(MATCH(IF($B684="Robusta","Robusta",(IF($B684="","Arabica",$B684))&amp;" - "&amp;(IF($C684="","Commercial",$C684))),Variables!$B$1:$D$1,0),1))*AC684)+(T684*INDEX(Variables!$B$9:$D$9,IFERROR(MATCH(IF($B684="Robusta","Robusta",(IF($B684="","Arabica",$B684))&amp;" - "&amp;(IF($C684="","Commercial",$C684))),Variables!$B$1:$D$1,0),1))*AC684/365),""))</f>
        <v>59.409046836656778</v>
      </c>
      <c r="AU684" s="12">
        <f>IF($H684="Cancelled","",IFERROR((T684*INDEX(Variables!$B$7:$D$7,IFERROR(MATCH(IF($B684="Robusta","Robusta",(IF($B684="","Arabica",$B684))&amp;" - "&amp;(IF($C684="","Commercial",$C684))),Variables!$B$1:$D$1,0),1))*AP684/365)+(L684/16.67*INDEX(Variables!$B$8:$D$8,IFERROR(MATCH(IF($B684="Robusta","Robusta",(IF($B684="","Arabica",$B684))&amp;" - "&amp;(IF($C684="","Commercial",$C684))),Variables!$B$1:$D$1,0),1))*AP684)+(T684*INDEX(Variables!$B$9:$D$9,IFERROR(MATCH(IF($B684="Robusta","Robusta",(IF($B684="","Arabica",$B684))&amp;" - "&amp;(IF($C684="","Commercial",$C684))),Variables!$B$1:$D$1,0),1))*AP684/365),""))</f>
        <v>-2.376361873466271</v>
      </c>
      <c r="AV684" s="11">
        <f t="shared" si="70"/>
        <v>44</v>
      </c>
      <c r="AW684" s="12">
        <f>IF($H684="Cancelled","",IFERROR(IF(AV684="","",(T684*INDEX(Variables!$B$7:$D$7,IFERROR(MATCH(IF($B684="Robusta","Robusta",(IF($B684="","Arabica",$B684))&amp;" - "&amp;(IF($C684="","Commercial",$C684))),Variables!$B$1:$D$1,0),1))*(AV684/365))+(T684*INDEX(Variables!$B$9:$D$9,IFERROR(MATCH(IF($B684="Robusta","Robusta",(IF($B684="","Arabica",$B684))&amp;" - "&amp;(IF($C684="","Commercial",$C684))),Variables!$B$1:$D$1,0),1))*(AV684/365))+(INDEX(Variables!$B$8:$D$8,IFERROR(MATCH(IF($B684="Robusta","Robusta",(IF($B684="","Arabica",$B684))&amp;" - "&amp;(IF($C684="","Commercial",$C684))),Variables!$B$1:$D$1,0),1))*L684/16.67)),""))</f>
        <v>30.779961216257966</v>
      </c>
      <c r="AX684" s="9"/>
      <c r="AY684" s="12"/>
      <c r="AZ684" s="10"/>
      <c r="BA684" s="9"/>
      <c r="BB684" s="10"/>
      <c r="BC684" s="9"/>
      <c r="BD684" s="9"/>
      <c r="BE684" s="9"/>
      <c r="BF684" s="9"/>
    </row>
    <row r="685" spans="1:58" x14ac:dyDescent="0.25">
      <c r="A685" s="9" t="s">
        <v>84</v>
      </c>
      <c r="B685" s="9" t="s">
        <v>85</v>
      </c>
      <c r="C685" s="9" t="s">
        <v>1486</v>
      </c>
      <c r="D685" s="10">
        <v>45359</v>
      </c>
      <c r="E685" s="10">
        <v>45413</v>
      </c>
      <c r="F685" s="10">
        <v>45443</v>
      </c>
      <c r="G685" s="9">
        <v>3786177</v>
      </c>
      <c r="H685" s="9" t="str">
        <f t="shared" si="68"/>
        <v>Closed</v>
      </c>
      <c r="I685" s="9" t="str">
        <f t="shared" si="69"/>
        <v>All dates received</v>
      </c>
      <c r="J685" s="9" t="s">
        <v>1487</v>
      </c>
      <c r="K685" s="9">
        <v>4774</v>
      </c>
      <c r="L685" s="11">
        <v>25</v>
      </c>
      <c r="M685" s="9" t="s">
        <v>1601</v>
      </c>
      <c r="N685" s="9"/>
      <c r="O685" s="9"/>
      <c r="P685" s="9"/>
      <c r="Q685" s="11"/>
      <c r="R685" s="9" t="s">
        <v>195</v>
      </c>
      <c r="S685" s="9" t="s">
        <v>183</v>
      </c>
      <c r="T685" s="12">
        <f>IF($H685="Cancelled","",IFERROR(((Q685+INDEX(Variables!$B$6:$D$6,IFERROR(MATCH(IF($B685="Robusta","Robusta",(IF($B685="","Arabica",$B685))&amp;" - "&amp;(IF($C685="","Commercial",$C685))),Variables!$B$1:$D$1,0),1)))*22.0462)*(L685/16.67),""))</f>
        <v>9614.6295140971797</v>
      </c>
      <c r="U685" s="10"/>
      <c r="V685" s="9" t="str">
        <f t="shared" si="71"/>
        <v/>
      </c>
      <c r="W685" s="10">
        <v>45432</v>
      </c>
      <c r="X685" s="9" t="str">
        <f t="shared" si="72"/>
        <v>Approved</v>
      </c>
      <c r="Y685" s="10">
        <v>45381</v>
      </c>
      <c r="Z685" s="10">
        <f>IF($H685="Cancelled","",IFERROR(IF(F685="","",F685-Variables!$B$13),""))</f>
        <v>45428</v>
      </c>
      <c r="AA685" s="11">
        <f>IF($H685="Cancelled","",IFERROR(IF(W685="","",(AVERAGE(E685:F685)-W685)-Variables!$B$14),""))</f>
        <v>-34</v>
      </c>
      <c r="AB685" s="10">
        <v>45390</v>
      </c>
      <c r="AC685" s="11">
        <f>IF($H685="Cancelled","",IFERROR(IF(AB685="","",IF(AND(W685="",Y685=""),"",IF(Y685&gt;W685,Y685+Variables!$B$15+Variables!$B$16+Variables!$B$17-AB685,W685+Variables!$B$16+Variables!$B$17-AB685))),""))</f>
        <v>50</v>
      </c>
      <c r="AD685" s="9" t="s">
        <v>107</v>
      </c>
      <c r="AE685" s="9" t="s">
        <v>198</v>
      </c>
      <c r="AF685" s="10"/>
      <c r="AG685" s="10"/>
      <c r="AH685" s="9"/>
      <c r="AI685" s="9" t="s">
        <v>1521</v>
      </c>
      <c r="AJ685" s="9">
        <v>1841037015</v>
      </c>
      <c r="AK685" s="10">
        <v>45399</v>
      </c>
      <c r="AL685" s="10">
        <v>45401</v>
      </c>
      <c r="AM685" s="10">
        <v>45405</v>
      </c>
      <c r="AN685" s="9" t="s">
        <v>1492</v>
      </c>
      <c r="AO685" s="9"/>
      <c r="AP685" s="11">
        <f>IF($H685="Cancelled","",IFERROR(IF(OR(AK685="",AB685=""),"",(AB685+Variables!$B$18-AK685)),""))</f>
        <v>-2</v>
      </c>
      <c r="AQ685" s="11">
        <f>IF($H685="Cancelled","",IFERROR(IF(OR(AM685="",AK685=""),"",(AK685+Variables!$B$19)-AM685),""))</f>
        <v>-1</v>
      </c>
      <c r="AR685" s="12">
        <f>IF($H685="Cancelled","",IFERROR(T685*INDEX(Variables!$B$7:$D$7,IFERROR(MATCH(IF($B685="Robusta","Robusta",(IF($B685="","Arabica",$B685))&amp;" - "&amp;(IF($C685="","Commercial",$C685))),Variables!$B$1:$D$1,0),1))*(AQ685/365),""))</f>
        <v>-1.6985546938463485</v>
      </c>
      <c r="AS685" s="12">
        <f>IF($H685="Cancelled","",IFERROR((T685*INDEX(Variables!$B$7:$D$7,IFERROR(MATCH(IF($B685="Robusta","Robusta",(IF($B685="","Arabica",$B685))&amp;" - "&amp;(IF($C685="","Commercial",$C685))),Variables!$B$1:$D$1,0),1))*IFERROR(IF(W685="","",(AVERAGE(E685:F685)-W685)-Variables!$B$14),"")/365)+(L685/16.67*INDEX(Variables!$B$8:$D$8,IFERROR(MATCH(IF($B685="Robusta","Robusta",(IF($B685="","Arabica",$B685))&amp;" - "&amp;(IF($C685="","Commercial",$C685))),Variables!$B$1:$D$1,0),1))*IFERROR(IF(W685="","",(AVERAGE(E685:F685)-W685)-Variables!$B$14),""))+(T685*INDEX(Variables!$B$9:$D$9,IFERROR(MATCH(IF($B685="Robusta","Robusta",(IF($B685="","Arabica",$B685))&amp;" - "&amp;(IF($C685="","Commercial",$C685))),Variables!$B$1:$D$1,0),1))*IFERROR(IF(W685="","",(AVERAGE(E685:F685)-W685)-Variables!$B$14),"")/365),""))</f>
        <v>-100.99537962231652</v>
      </c>
      <c r="AT685" s="12">
        <f>IF($H685="Cancelled","",IFERROR((T685*INDEX(Variables!$B$7:$D$7,IFERROR(MATCH(IF($B685="Robusta","Robusta",(IF($B685="","Arabica",$B685))&amp;" - "&amp;(IF($C685="","Commercial",$C685))),Variables!$B$1:$D$1,0),1))*AC685/365)+(L685/16.67*INDEX(Variables!$B$8:$D$8,IFERROR(MATCH(IF($B685="Robusta","Robusta",(IF($B685="","Arabica",$B685))&amp;" - "&amp;(IF($C685="","Commercial",$C685))),Variables!$B$1:$D$1,0),1))*AC685)+(T685*INDEX(Variables!$B$9:$D$9,IFERROR(MATCH(IF($B685="Robusta","Robusta",(IF($B685="","Arabica",$B685))&amp;" - "&amp;(IF($C685="","Commercial",$C685))),Variables!$B$1:$D$1,0),1))*AC685/365),""))</f>
        <v>148.52261709164193</v>
      </c>
      <c r="AU685" s="12">
        <f>IF($H685="Cancelled","",IFERROR((T685*INDEX(Variables!$B$7:$D$7,IFERROR(MATCH(IF($B685="Robusta","Robusta",(IF($B685="","Arabica",$B685))&amp;" - "&amp;(IF($C685="","Commercial",$C685))),Variables!$B$1:$D$1,0),1))*AP685/365)+(L685/16.67*INDEX(Variables!$B$8:$D$8,IFERROR(MATCH(IF($B685="Robusta","Robusta",(IF($B685="","Arabica",$B685))&amp;" - "&amp;(IF($C685="","Commercial",$C685))),Variables!$B$1:$D$1,0),1))*AP685)+(T685*INDEX(Variables!$B$9:$D$9,IFERROR(MATCH(IF($B685="Robusta","Robusta",(IF($B685="","Arabica",$B685))&amp;" - "&amp;(IF($C685="","Commercial",$C685))),Variables!$B$1:$D$1,0),1))*AP685/365),""))</f>
        <v>-5.9409046836656776</v>
      </c>
      <c r="AV685" s="11">
        <f t="shared" si="70"/>
        <v>44</v>
      </c>
      <c r="AW685" s="12">
        <f>IF($H685="Cancelled","",IFERROR(IF(AV685="","",(T685*INDEX(Variables!$B$7:$D$7,IFERROR(MATCH(IF($B685="Robusta","Robusta",(IF($B685="","Arabica",$B685))&amp;" - "&amp;(IF($C685="","Commercial",$C685))),Variables!$B$1:$D$1,0),1))*(AV685/365))+(T685*INDEX(Variables!$B$9:$D$9,IFERROR(MATCH(IF($B685="Robusta","Robusta",(IF($B685="","Arabica",$B685))&amp;" - "&amp;(IF($C685="","Commercial",$C685))),Variables!$B$1:$D$1,0),1))*(AV685/365))+(INDEX(Variables!$B$8:$D$8,IFERROR(MATCH(IF($B685="Robusta","Robusta",(IF($B685="","Arabica",$B685))&amp;" - "&amp;(IF($C685="","Commercial",$C685))),Variables!$B$1:$D$1,0),1))*L685/16.67)),""))</f>
        <v>76.949903040644926</v>
      </c>
      <c r="AX685" s="9"/>
      <c r="AY685" s="12"/>
      <c r="AZ685" s="10"/>
      <c r="BA685" s="9"/>
      <c r="BB685" s="10"/>
      <c r="BC685" s="9"/>
      <c r="BD685" s="9"/>
      <c r="BE685" s="9"/>
      <c r="BF685" s="9"/>
    </row>
    <row r="686" spans="1:58" x14ac:dyDescent="0.25">
      <c r="A686" s="9" t="s">
        <v>84</v>
      </c>
      <c r="B686" s="9" t="s">
        <v>85</v>
      </c>
      <c r="C686" s="9" t="s">
        <v>1486</v>
      </c>
      <c r="D686" s="10">
        <v>45359</v>
      </c>
      <c r="E686" s="10">
        <v>45413</v>
      </c>
      <c r="F686" s="10">
        <v>45443</v>
      </c>
      <c r="G686" s="9">
        <v>3786178</v>
      </c>
      <c r="H686" s="9" t="str">
        <f t="shared" si="68"/>
        <v>Closed</v>
      </c>
      <c r="I686" s="9" t="str">
        <f t="shared" si="69"/>
        <v>All dates received</v>
      </c>
      <c r="J686" s="9" t="s">
        <v>1487</v>
      </c>
      <c r="K686" s="9">
        <v>4775</v>
      </c>
      <c r="L686" s="11">
        <v>15</v>
      </c>
      <c r="M686" s="9" t="s">
        <v>1602</v>
      </c>
      <c r="N686" s="9"/>
      <c r="O686" s="9"/>
      <c r="P686" s="9"/>
      <c r="Q686" s="11"/>
      <c r="R686" s="9" t="s">
        <v>195</v>
      </c>
      <c r="S686" s="9" t="s">
        <v>183</v>
      </c>
      <c r="T686" s="12">
        <f>IF($H686="Cancelled","",IFERROR(((Q686+INDEX(Variables!$B$6:$D$6,IFERROR(MATCH(IF($B686="Robusta","Robusta",(IF($B686="","Arabica",$B686))&amp;" - "&amp;(IF($C686="","Commercial",$C686))),Variables!$B$1:$D$1,0),1)))*22.0462)*(L686/16.67),""))</f>
        <v>5768.7777084583076</v>
      </c>
      <c r="U686" s="10"/>
      <c r="V686" s="9" t="str">
        <f t="shared" si="71"/>
        <v/>
      </c>
      <c r="W686" s="10">
        <v>45432</v>
      </c>
      <c r="X686" s="9" t="str">
        <f t="shared" si="72"/>
        <v>Approved</v>
      </c>
      <c r="Y686" s="10">
        <v>45381</v>
      </c>
      <c r="Z686" s="10">
        <f>IF($H686="Cancelled","",IFERROR(IF(F686="","",F686-Variables!$B$13),""))</f>
        <v>45428</v>
      </c>
      <c r="AA686" s="11">
        <f>IF($H686="Cancelled","",IFERROR(IF(W686="","",(AVERAGE(E686:F686)-W686)-Variables!$B$14),""))</f>
        <v>-34</v>
      </c>
      <c r="AB686" s="10">
        <v>45390</v>
      </c>
      <c r="AC686" s="11">
        <f>IF($H686="Cancelled","",IFERROR(IF(AB686="","",IF(AND(W686="",Y686=""),"",IF(Y686&gt;W686,Y686+Variables!$B$15+Variables!$B$16+Variables!$B$17-AB686,W686+Variables!$B$16+Variables!$B$17-AB686))),""))</f>
        <v>50</v>
      </c>
      <c r="AD686" s="9" t="s">
        <v>107</v>
      </c>
      <c r="AE686" s="9" t="s">
        <v>198</v>
      </c>
      <c r="AF686" s="10"/>
      <c r="AG686" s="10"/>
      <c r="AH686" s="9"/>
      <c r="AI686" s="9" t="s">
        <v>1521</v>
      </c>
      <c r="AJ686" s="9">
        <v>1841037015</v>
      </c>
      <c r="AK686" s="10">
        <v>45399</v>
      </c>
      <c r="AL686" s="10">
        <v>45401</v>
      </c>
      <c r="AM686" s="10">
        <v>45405</v>
      </c>
      <c r="AN686" s="9" t="s">
        <v>1492</v>
      </c>
      <c r="AO686" s="9"/>
      <c r="AP686" s="11">
        <f>IF($H686="Cancelled","",IFERROR(IF(OR(AK686="",AB686=""),"",(AB686+Variables!$B$18-AK686)),""))</f>
        <v>-2</v>
      </c>
      <c r="AQ686" s="11">
        <f>IF($H686="Cancelled","",IFERROR(IF(OR(AM686="",AK686=""),"",(AK686+Variables!$B$19)-AM686),""))</f>
        <v>-1</v>
      </c>
      <c r="AR686" s="12">
        <f>IF($H686="Cancelled","",IFERROR(T686*INDEX(Variables!$B$7:$D$7,IFERROR(MATCH(IF($B686="Robusta","Robusta",(IF($B686="","Arabica",$B686))&amp;" - "&amp;(IF($C686="","Commercial",$C686))),Variables!$B$1:$D$1,0),1))*(AQ686/365),""))</f>
        <v>-1.0191328163078091</v>
      </c>
      <c r="AS686" s="12">
        <f>IF($H686="Cancelled","",IFERROR((T686*INDEX(Variables!$B$7:$D$7,IFERROR(MATCH(IF($B686="Robusta","Robusta",(IF($B686="","Arabica",$B686))&amp;" - "&amp;(IF($C686="","Commercial",$C686))),Variables!$B$1:$D$1,0),1))*IFERROR(IF(W686="","",(AVERAGE(E686:F686)-W686)-Variables!$B$14),"")/365)+(L686/16.67*INDEX(Variables!$B$8:$D$8,IFERROR(MATCH(IF($B686="Robusta","Robusta",(IF($B686="","Arabica",$B686))&amp;" - "&amp;(IF($C686="","Commercial",$C686))),Variables!$B$1:$D$1,0),1))*IFERROR(IF(W686="","",(AVERAGE(E686:F686)-W686)-Variables!$B$14),""))+(T686*INDEX(Variables!$B$9:$D$9,IFERROR(MATCH(IF($B686="Robusta","Robusta",(IF($B686="","Arabica",$B686))&amp;" - "&amp;(IF($C686="","Commercial",$C686))),Variables!$B$1:$D$1,0),1))*IFERROR(IF(W686="","",(AVERAGE(E686:F686)-W686)-Variables!$B$14),"")/365),""))</f>
        <v>-60.597227773389911</v>
      </c>
      <c r="AT686" s="12">
        <f>IF($H686="Cancelled","",IFERROR((T686*INDEX(Variables!$B$7:$D$7,IFERROR(MATCH(IF($B686="Robusta","Robusta",(IF($B686="","Arabica",$B686))&amp;" - "&amp;(IF($C686="","Commercial",$C686))),Variables!$B$1:$D$1,0),1))*AC686/365)+(L686/16.67*INDEX(Variables!$B$8:$D$8,IFERROR(MATCH(IF($B686="Robusta","Robusta",(IF($B686="","Arabica",$B686))&amp;" - "&amp;(IF($C686="","Commercial",$C686))),Variables!$B$1:$D$1,0),1))*AC686)+(T686*INDEX(Variables!$B$9:$D$9,IFERROR(MATCH(IF($B686="Robusta","Robusta",(IF($B686="","Arabica",$B686))&amp;" - "&amp;(IF($C686="","Commercial",$C686))),Variables!$B$1:$D$1,0),1))*AC686/365),""))</f>
        <v>89.113570254985149</v>
      </c>
      <c r="AU686" s="12">
        <f>IF($H686="Cancelled","",IFERROR((T686*INDEX(Variables!$B$7:$D$7,IFERROR(MATCH(IF($B686="Robusta","Robusta",(IF($B686="","Arabica",$B686))&amp;" - "&amp;(IF($C686="","Commercial",$C686))),Variables!$B$1:$D$1,0),1))*AP686/365)+(L686/16.67*INDEX(Variables!$B$8:$D$8,IFERROR(MATCH(IF($B686="Robusta","Robusta",(IF($B686="","Arabica",$B686))&amp;" - "&amp;(IF($C686="","Commercial",$C686))),Variables!$B$1:$D$1,0),1))*AP686)+(T686*INDEX(Variables!$B$9:$D$9,IFERROR(MATCH(IF($B686="Robusta","Robusta",(IF($B686="","Arabica",$B686))&amp;" - "&amp;(IF($C686="","Commercial",$C686))),Variables!$B$1:$D$1,0),1))*AP686/365),""))</f>
        <v>-3.5645428101994066</v>
      </c>
      <c r="AV686" s="11">
        <f t="shared" si="70"/>
        <v>44</v>
      </c>
      <c r="AW686" s="12">
        <f>IF($H686="Cancelled","",IFERROR(IF(AV686="","",(T686*INDEX(Variables!$B$7:$D$7,IFERROR(MATCH(IF($B686="Robusta","Robusta",(IF($B686="","Arabica",$B686))&amp;" - "&amp;(IF($C686="","Commercial",$C686))),Variables!$B$1:$D$1,0),1))*(AV686/365))+(T686*INDEX(Variables!$B$9:$D$9,IFERROR(MATCH(IF($B686="Robusta","Robusta",(IF($B686="","Arabica",$B686))&amp;" - "&amp;(IF($C686="","Commercial",$C686))),Variables!$B$1:$D$1,0),1))*(AV686/365))+(INDEX(Variables!$B$8:$D$8,IFERROR(MATCH(IF($B686="Robusta","Robusta",(IF($B686="","Arabica",$B686))&amp;" - "&amp;(IF($C686="","Commercial",$C686))),Variables!$B$1:$D$1,0),1))*L686/16.67)),""))</f>
        <v>46.169941824386946</v>
      </c>
      <c r="AX686" s="9"/>
      <c r="AY686" s="12"/>
      <c r="AZ686" s="10"/>
      <c r="BA686" s="9"/>
      <c r="BB686" s="10"/>
      <c r="BC686" s="9"/>
      <c r="BD686" s="9"/>
      <c r="BE686" s="9"/>
      <c r="BF686" s="9"/>
    </row>
    <row r="687" spans="1:58" x14ac:dyDescent="0.25">
      <c r="A687" s="9" t="s">
        <v>84</v>
      </c>
      <c r="B687" s="9" t="s">
        <v>85</v>
      </c>
      <c r="C687" s="9" t="s">
        <v>1486</v>
      </c>
      <c r="D687" s="10">
        <v>45359</v>
      </c>
      <c r="E687" s="10">
        <v>45413</v>
      </c>
      <c r="F687" s="10">
        <v>45443</v>
      </c>
      <c r="G687" s="9">
        <v>3786179</v>
      </c>
      <c r="H687" s="9" t="str">
        <f t="shared" si="68"/>
        <v>Closed</v>
      </c>
      <c r="I687" s="9" t="str">
        <f t="shared" si="69"/>
        <v>All dates received</v>
      </c>
      <c r="J687" s="9" t="s">
        <v>1487</v>
      </c>
      <c r="K687" s="9">
        <v>4776</v>
      </c>
      <c r="L687" s="11">
        <v>15</v>
      </c>
      <c r="M687" s="9" t="s">
        <v>1603</v>
      </c>
      <c r="N687" s="9"/>
      <c r="O687" s="9"/>
      <c r="P687" s="9"/>
      <c r="Q687" s="11"/>
      <c r="R687" s="9" t="s">
        <v>195</v>
      </c>
      <c r="S687" s="9" t="s">
        <v>183</v>
      </c>
      <c r="T687" s="12">
        <f>IF($H687="Cancelled","",IFERROR(((Q687+INDEX(Variables!$B$6:$D$6,IFERROR(MATCH(IF($B687="Robusta","Robusta",(IF($B687="","Arabica",$B687))&amp;" - "&amp;(IF($C687="","Commercial",$C687))),Variables!$B$1:$D$1,0),1)))*22.0462)*(L687/16.67),""))</f>
        <v>5768.7777084583076</v>
      </c>
      <c r="U687" s="10"/>
      <c r="V687" s="9" t="str">
        <f t="shared" si="71"/>
        <v/>
      </c>
      <c r="W687" s="10">
        <v>45432</v>
      </c>
      <c r="X687" s="9" t="str">
        <f t="shared" si="72"/>
        <v>Approved</v>
      </c>
      <c r="Y687" s="10">
        <v>45381</v>
      </c>
      <c r="Z687" s="10">
        <f>IF($H687="Cancelled","",IFERROR(IF(F687="","",F687-Variables!$B$13),""))</f>
        <v>45428</v>
      </c>
      <c r="AA687" s="11">
        <f>IF($H687="Cancelled","",IFERROR(IF(W687="","",(AVERAGE(E687:F687)-W687)-Variables!$B$14),""))</f>
        <v>-34</v>
      </c>
      <c r="AB687" s="10">
        <v>45390</v>
      </c>
      <c r="AC687" s="11">
        <f>IF($H687="Cancelled","",IFERROR(IF(AB687="","",IF(AND(W687="",Y687=""),"",IF(Y687&gt;W687,Y687+Variables!$B$15+Variables!$B$16+Variables!$B$17-AB687,W687+Variables!$B$16+Variables!$B$17-AB687))),""))</f>
        <v>50</v>
      </c>
      <c r="AD687" s="9" t="s">
        <v>107</v>
      </c>
      <c r="AE687" s="9" t="s">
        <v>198</v>
      </c>
      <c r="AF687" s="10"/>
      <c r="AG687" s="10"/>
      <c r="AH687" s="9"/>
      <c r="AI687" s="9" t="s">
        <v>1521</v>
      </c>
      <c r="AJ687" s="9">
        <v>1841037015</v>
      </c>
      <c r="AK687" s="10">
        <v>45399</v>
      </c>
      <c r="AL687" s="10">
        <v>45401</v>
      </c>
      <c r="AM687" s="10">
        <v>45405</v>
      </c>
      <c r="AN687" s="9" t="s">
        <v>1492</v>
      </c>
      <c r="AO687" s="9"/>
      <c r="AP687" s="11">
        <f>IF($H687="Cancelled","",IFERROR(IF(OR(AK687="",AB687=""),"",(AB687+Variables!$B$18-AK687)),""))</f>
        <v>-2</v>
      </c>
      <c r="AQ687" s="11">
        <f>IF($H687="Cancelled","",IFERROR(IF(OR(AM687="",AK687=""),"",(AK687+Variables!$B$19)-AM687),""))</f>
        <v>-1</v>
      </c>
      <c r="AR687" s="12">
        <f>IF($H687="Cancelled","",IFERROR(T687*INDEX(Variables!$B$7:$D$7,IFERROR(MATCH(IF($B687="Robusta","Robusta",(IF($B687="","Arabica",$B687))&amp;" - "&amp;(IF($C687="","Commercial",$C687))),Variables!$B$1:$D$1,0),1))*(AQ687/365),""))</f>
        <v>-1.0191328163078091</v>
      </c>
      <c r="AS687" s="12">
        <f>IF($H687="Cancelled","",IFERROR((T687*INDEX(Variables!$B$7:$D$7,IFERROR(MATCH(IF($B687="Robusta","Robusta",(IF($B687="","Arabica",$B687))&amp;" - "&amp;(IF($C687="","Commercial",$C687))),Variables!$B$1:$D$1,0),1))*IFERROR(IF(W687="","",(AVERAGE(E687:F687)-W687)-Variables!$B$14),"")/365)+(L687/16.67*INDEX(Variables!$B$8:$D$8,IFERROR(MATCH(IF($B687="Robusta","Robusta",(IF($B687="","Arabica",$B687))&amp;" - "&amp;(IF($C687="","Commercial",$C687))),Variables!$B$1:$D$1,0),1))*IFERROR(IF(W687="","",(AVERAGE(E687:F687)-W687)-Variables!$B$14),""))+(T687*INDEX(Variables!$B$9:$D$9,IFERROR(MATCH(IF($B687="Robusta","Robusta",(IF($B687="","Arabica",$B687))&amp;" - "&amp;(IF($C687="","Commercial",$C687))),Variables!$B$1:$D$1,0),1))*IFERROR(IF(W687="","",(AVERAGE(E687:F687)-W687)-Variables!$B$14),"")/365),""))</f>
        <v>-60.597227773389911</v>
      </c>
      <c r="AT687" s="12">
        <f>IF($H687="Cancelled","",IFERROR((T687*INDEX(Variables!$B$7:$D$7,IFERROR(MATCH(IF($B687="Robusta","Robusta",(IF($B687="","Arabica",$B687))&amp;" - "&amp;(IF($C687="","Commercial",$C687))),Variables!$B$1:$D$1,0),1))*AC687/365)+(L687/16.67*INDEX(Variables!$B$8:$D$8,IFERROR(MATCH(IF($B687="Robusta","Robusta",(IF($B687="","Arabica",$B687))&amp;" - "&amp;(IF($C687="","Commercial",$C687))),Variables!$B$1:$D$1,0),1))*AC687)+(T687*INDEX(Variables!$B$9:$D$9,IFERROR(MATCH(IF($B687="Robusta","Robusta",(IF($B687="","Arabica",$B687))&amp;" - "&amp;(IF($C687="","Commercial",$C687))),Variables!$B$1:$D$1,0),1))*AC687/365),""))</f>
        <v>89.113570254985149</v>
      </c>
      <c r="AU687" s="12">
        <f>IF($H687="Cancelled","",IFERROR((T687*INDEX(Variables!$B$7:$D$7,IFERROR(MATCH(IF($B687="Robusta","Robusta",(IF($B687="","Arabica",$B687))&amp;" - "&amp;(IF($C687="","Commercial",$C687))),Variables!$B$1:$D$1,0),1))*AP687/365)+(L687/16.67*INDEX(Variables!$B$8:$D$8,IFERROR(MATCH(IF($B687="Robusta","Robusta",(IF($B687="","Arabica",$B687))&amp;" - "&amp;(IF($C687="","Commercial",$C687))),Variables!$B$1:$D$1,0),1))*AP687)+(T687*INDEX(Variables!$B$9:$D$9,IFERROR(MATCH(IF($B687="Robusta","Robusta",(IF($B687="","Arabica",$B687))&amp;" - "&amp;(IF($C687="","Commercial",$C687))),Variables!$B$1:$D$1,0),1))*AP687/365),""))</f>
        <v>-3.5645428101994066</v>
      </c>
      <c r="AV687" s="11">
        <f t="shared" si="70"/>
        <v>44</v>
      </c>
      <c r="AW687" s="12">
        <f>IF($H687="Cancelled","",IFERROR(IF(AV687="","",(T687*INDEX(Variables!$B$7:$D$7,IFERROR(MATCH(IF($B687="Robusta","Robusta",(IF($B687="","Arabica",$B687))&amp;" - "&amp;(IF($C687="","Commercial",$C687))),Variables!$B$1:$D$1,0),1))*(AV687/365))+(T687*INDEX(Variables!$B$9:$D$9,IFERROR(MATCH(IF($B687="Robusta","Robusta",(IF($B687="","Arabica",$B687))&amp;" - "&amp;(IF($C687="","Commercial",$C687))),Variables!$B$1:$D$1,0),1))*(AV687/365))+(INDEX(Variables!$B$8:$D$8,IFERROR(MATCH(IF($B687="Robusta","Robusta",(IF($B687="","Arabica",$B687))&amp;" - "&amp;(IF($C687="","Commercial",$C687))),Variables!$B$1:$D$1,0),1))*L687/16.67)),""))</f>
        <v>46.169941824386946</v>
      </c>
      <c r="AX687" s="9"/>
      <c r="AY687" s="12"/>
      <c r="AZ687" s="10"/>
      <c r="BA687" s="9"/>
      <c r="BB687" s="10"/>
      <c r="BC687" s="9"/>
      <c r="BD687" s="9"/>
      <c r="BE687" s="9"/>
      <c r="BF687" s="9"/>
    </row>
    <row r="688" spans="1:58" x14ac:dyDescent="0.25">
      <c r="A688" s="9" t="s">
        <v>84</v>
      </c>
      <c r="B688" s="9" t="s">
        <v>85</v>
      </c>
      <c r="C688" s="9" t="s">
        <v>1486</v>
      </c>
      <c r="D688" s="10">
        <v>45359</v>
      </c>
      <c r="E688" s="10">
        <v>45413</v>
      </c>
      <c r="F688" s="10">
        <v>45443</v>
      </c>
      <c r="G688" s="9">
        <v>3786181</v>
      </c>
      <c r="H688" s="9" t="str">
        <f t="shared" si="68"/>
        <v>Closed</v>
      </c>
      <c r="I688" s="9" t="str">
        <f t="shared" si="69"/>
        <v>All dates received</v>
      </c>
      <c r="J688" s="9" t="s">
        <v>1487</v>
      </c>
      <c r="K688" s="9">
        <v>4777</v>
      </c>
      <c r="L688" s="11">
        <v>10</v>
      </c>
      <c r="M688" s="9" t="s">
        <v>1604</v>
      </c>
      <c r="N688" s="9"/>
      <c r="O688" s="9"/>
      <c r="P688" s="9"/>
      <c r="Q688" s="11"/>
      <c r="R688" s="9" t="s">
        <v>195</v>
      </c>
      <c r="S688" s="9" t="s">
        <v>183</v>
      </c>
      <c r="T688" s="12">
        <f>IF($H688="Cancelled","",IFERROR(((Q688+INDEX(Variables!$B$6:$D$6,IFERROR(MATCH(IF($B688="Robusta","Robusta",(IF($B688="","Arabica",$B688))&amp;" - "&amp;(IF($C688="","Commercial",$C688))),Variables!$B$1:$D$1,0),1)))*22.0462)*(L688/16.67),""))</f>
        <v>3845.8518056388721</v>
      </c>
      <c r="U688" s="10"/>
      <c r="V688" s="9" t="str">
        <f t="shared" si="71"/>
        <v/>
      </c>
      <c r="W688" s="10">
        <v>45432</v>
      </c>
      <c r="X688" s="9" t="str">
        <f t="shared" si="72"/>
        <v>Approved</v>
      </c>
      <c r="Y688" s="10">
        <v>45381</v>
      </c>
      <c r="Z688" s="10">
        <f>IF($H688="Cancelled","",IFERROR(IF(F688="","",F688-Variables!$B$13),""))</f>
        <v>45428</v>
      </c>
      <c r="AA688" s="11">
        <f>IF($H688="Cancelled","",IFERROR(IF(W688="","",(AVERAGE(E688:F688)-W688)-Variables!$B$14),""))</f>
        <v>-34</v>
      </c>
      <c r="AB688" s="10">
        <v>45390</v>
      </c>
      <c r="AC688" s="11">
        <f>IF($H688="Cancelled","",IFERROR(IF(AB688="","",IF(AND(W688="",Y688=""),"",IF(Y688&gt;W688,Y688+Variables!$B$15+Variables!$B$16+Variables!$B$17-AB688,W688+Variables!$B$16+Variables!$B$17-AB688))),""))</f>
        <v>50</v>
      </c>
      <c r="AD688" s="9" t="s">
        <v>107</v>
      </c>
      <c r="AE688" s="9" t="s">
        <v>198</v>
      </c>
      <c r="AF688" s="10"/>
      <c r="AG688" s="10"/>
      <c r="AH688" s="9"/>
      <c r="AI688" s="9" t="s">
        <v>1521</v>
      </c>
      <c r="AJ688" s="9">
        <v>1841037015</v>
      </c>
      <c r="AK688" s="10">
        <v>45399</v>
      </c>
      <c r="AL688" s="10">
        <v>45401</v>
      </c>
      <c r="AM688" s="10">
        <v>45405</v>
      </c>
      <c r="AN688" s="9" t="s">
        <v>1492</v>
      </c>
      <c r="AO688" s="9"/>
      <c r="AP688" s="11">
        <f>IF($H688="Cancelled","",IFERROR(IF(OR(AK688="",AB688=""),"",(AB688+Variables!$B$18-AK688)),""))</f>
        <v>-2</v>
      </c>
      <c r="AQ688" s="11">
        <f>IF($H688="Cancelled","",IFERROR(IF(OR(AM688="",AK688=""),"",(AK688+Variables!$B$19)-AM688),""))</f>
        <v>-1</v>
      </c>
      <c r="AR688" s="12">
        <f>IF($H688="Cancelled","",IFERROR(T688*INDEX(Variables!$B$7:$D$7,IFERROR(MATCH(IF($B688="Robusta","Robusta",(IF($B688="","Arabica",$B688))&amp;" - "&amp;(IF($C688="","Commercial",$C688))),Variables!$B$1:$D$1,0),1))*(AQ688/365),""))</f>
        <v>-0.67942187753853944</v>
      </c>
      <c r="AS688" s="12">
        <f>IF($H688="Cancelled","",IFERROR((T688*INDEX(Variables!$B$7:$D$7,IFERROR(MATCH(IF($B688="Robusta","Robusta",(IF($B688="","Arabica",$B688))&amp;" - "&amp;(IF($C688="","Commercial",$C688))),Variables!$B$1:$D$1,0),1))*IFERROR(IF(W688="","",(AVERAGE(E688:F688)-W688)-Variables!$B$14),"")/365)+(L688/16.67*INDEX(Variables!$B$8:$D$8,IFERROR(MATCH(IF($B688="Robusta","Robusta",(IF($B688="","Arabica",$B688))&amp;" - "&amp;(IF($C688="","Commercial",$C688))),Variables!$B$1:$D$1,0),1))*IFERROR(IF(W688="","",(AVERAGE(E688:F688)-W688)-Variables!$B$14),""))+(T688*INDEX(Variables!$B$9:$D$9,IFERROR(MATCH(IF($B688="Robusta","Robusta",(IF($B688="","Arabica",$B688))&amp;" - "&amp;(IF($C688="","Commercial",$C688))),Variables!$B$1:$D$1,0),1))*IFERROR(IF(W688="","",(AVERAGE(E688:F688)-W688)-Variables!$B$14),"")/365),""))</f>
        <v>-40.398151848926616</v>
      </c>
      <c r="AT688" s="12">
        <f>IF($H688="Cancelled","",IFERROR((T688*INDEX(Variables!$B$7:$D$7,IFERROR(MATCH(IF($B688="Robusta","Robusta",(IF($B688="","Arabica",$B688))&amp;" - "&amp;(IF($C688="","Commercial",$C688))),Variables!$B$1:$D$1,0),1))*AC688/365)+(L688/16.67*INDEX(Variables!$B$8:$D$8,IFERROR(MATCH(IF($B688="Robusta","Robusta",(IF($B688="","Arabica",$B688))&amp;" - "&amp;(IF($C688="","Commercial",$C688))),Variables!$B$1:$D$1,0),1))*AC688)+(T688*INDEX(Variables!$B$9:$D$9,IFERROR(MATCH(IF($B688="Robusta","Robusta",(IF($B688="","Arabica",$B688))&amp;" - "&amp;(IF($C688="","Commercial",$C688))),Variables!$B$1:$D$1,0),1))*AC688/365),""))</f>
        <v>59.409046836656778</v>
      </c>
      <c r="AU688" s="12">
        <f>IF($H688="Cancelled","",IFERROR((T688*INDEX(Variables!$B$7:$D$7,IFERROR(MATCH(IF($B688="Robusta","Robusta",(IF($B688="","Arabica",$B688))&amp;" - "&amp;(IF($C688="","Commercial",$C688))),Variables!$B$1:$D$1,0),1))*AP688/365)+(L688/16.67*INDEX(Variables!$B$8:$D$8,IFERROR(MATCH(IF($B688="Robusta","Robusta",(IF($B688="","Arabica",$B688))&amp;" - "&amp;(IF($C688="","Commercial",$C688))),Variables!$B$1:$D$1,0),1))*AP688)+(T688*INDEX(Variables!$B$9:$D$9,IFERROR(MATCH(IF($B688="Robusta","Robusta",(IF($B688="","Arabica",$B688))&amp;" - "&amp;(IF($C688="","Commercial",$C688))),Variables!$B$1:$D$1,0),1))*AP688/365),""))</f>
        <v>-2.376361873466271</v>
      </c>
      <c r="AV688" s="11">
        <f t="shared" si="70"/>
        <v>44</v>
      </c>
      <c r="AW688" s="12">
        <f>IF($H688="Cancelled","",IFERROR(IF(AV688="","",(T688*INDEX(Variables!$B$7:$D$7,IFERROR(MATCH(IF($B688="Robusta","Robusta",(IF($B688="","Arabica",$B688))&amp;" - "&amp;(IF($C688="","Commercial",$C688))),Variables!$B$1:$D$1,0),1))*(AV688/365))+(T688*INDEX(Variables!$B$9:$D$9,IFERROR(MATCH(IF($B688="Robusta","Robusta",(IF($B688="","Arabica",$B688))&amp;" - "&amp;(IF($C688="","Commercial",$C688))),Variables!$B$1:$D$1,0),1))*(AV688/365))+(INDEX(Variables!$B$8:$D$8,IFERROR(MATCH(IF($B688="Robusta","Robusta",(IF($B688="","Arabica",$B688))&amp;" - "&amp;(IF($C688="","Commercial",$C688))),Variables!$B$1:$D$1,0),1))*L688/16.67)),""))</f>
        <v>30.779961216257966</v>
      </c>
      <c r="AX688" s="9"/>
      <c r="AY688" s="12"/>
      <c r="AZ688" s="10"/>
      <c r="BA688" s="9"/>
      <c r="BB688" s="10"/>
      <c r="BC688" s="9"/>
      <c r="BD688" s="9"/>
      <c r="BE688" s="9"/>
      <c r="BF688" s="9"/>
    </row>
    <row r="689" spans="1:58" x14ac:dyDescent="0.25">
      <c r="A689" s="9" t="s">
        <v>84</v>
      </c>
      <c r="B689" s="9" t="s">
        <v>85</v>
      </c>
      <c r="C689" s="9" t="s">
        <v>1486</v>
      </c>
      <c r="D689" s="10">
        <v>45359</v>
      </c>
      <c r="E689" s="10">
        <v>45413</v>
      </c>
      <c r="F689" s="10">
        <v>45443</v>
      </c>
      <c r="G689" s="9">
        <v>3786182</v>
      </c>
      <c r="H689" s="9" t="str">
        <f t="shared" si="68"/>
        <v>Closed</v>
      </c>
      <c r="I689" s="9" t="str">
        <f t="shared" si="69"/>
        <v>All dates received</v>
      </c>
      <c r="J689" s="9" t="s">
        <v>1487</v>
      </c>
      <c r="K689" s="9">
        <v>4778</v>
      </c>
      <c r="L689" s="11">
        <v>20</v>
      </c>
      <c r="M689" s="9" t="s">
        <v>1605</v>
      </c>
      <c r="N689" s="9"/>
      <c r="O689" s="9"/>
      <c r="P689" s="9"/>
      <c r="Q689" s="11"/>
      <c r="R689" s="9" t="s">
        <v>195</v>
      </c>
      <c r="S689" s="9" t="s">
        <v>183</v>
      </c>
      <c r="T689" s="12">
        <f>IF($H689="Cancelled","",IFERROR(((Q689+INDEX(Variables!$B$6:$D$6,IFERROR(MATCH(IF($B689="Robusta","Robusta",(IF($B689="","Arabica",$B689))&amp;" - "&amp;(IF($C689="","Commercial",$C689))),Variables!$B$1:$D$1,0),1)))*22.0462)*(L689/16.67),""))</f>
        <v>7691.7036112777441</v>
      </c>
      <c r="U689" s="10"/>
      <c r="V689" s="9" t="str">
        <f t="shared" si="71"/>
        <v/>
      </c>
      <c r="W689" s="10">
        <v>45432</v>
      </c>
      <c r="X689" s="9" t="str">
        <f t="shared" si="72"/>
        <v>Approved</v>
      </c>
      <c r="Y689" s="10">
        <v>45381</v>
      </c>
      <c r="Z689" s="10">
        <f>IF($H689="Cancelled","",IFERROR(IF(F689="","",F689-Variables!$B$13),""))</f>
        <v>45428</v>
      </c>
      <c r="AA689" s="11">
        <f>IF($H689="Cancelled","",IFERROR(IF(W689="","",(AVERAGE(E689:F689)-W689)-Variables!$B$14),""))</f>
        <v>-34</v>
      </c>
      <c r="AB689" s="10">
        <v>45390</v>
      </c>
      <c r="AC689" s="11">
        <f>IF($H689="Cancelled","",IFERROR(IF(AB689="","",IF(AND(W689="",Y689=""),"",IF(Y689&gt;W689,Y689+Variables!$B$15+Variables!$B$16+Variables!$B$17-AB689,W689+Variables!$B$16+Variables!$B$17-AB689))),""))</f>
        <v>50</v>
      </c>
      <c r="AD689" s="9" t="s">
        <v>107</v>
      </c>
      <c r="AE689" s="9" t="s">
        <v>198</v>
      </c>
      <c r="AF689" s="10"/>
      <c r="AG689" s="10"/>
      <c r="AH689" s="9"/>
      <c r="AI689" s="9" t="s">
        <v>1521</v>
      </c>
      <c r="AJ689" s="9">
        <v>1841037015</v>
      </c>
      <c r="AK689" s="10">
        <v>45399</v>
      </c>
      <c r="AL689" s="10">
        <v>45401</v>
      </c>
      <c r="AM689" s="10">
        <v>45405</v>
      </c>
      <c r="AN689" s="9" t="s">
        <v>1492</v>
      </c>
      <c r="AO689" s="9"/>
      <c r="AP689" s="11">
        <f>IF($H689="Cancelled","",IFERROR(IF(OR(AK689="",AB689=""),"",(AB689+Variables!$B$18-AK689)),""))</f>
        <v>-2</v>
      </c>
      <c r="AQ689" s="11">
        <f>IF($H689="Cancelled","",IFERROR(IF(OR(AM689="",AK689=""),"",(AK689+Variables!$B$19)-AM689),""))</f>
        <v>-1</v>
      </c>
      <c r="AR689" s="12">
        <f>IF($H689="Cancelled","",IFERROR(T689*INDEX(Variables!$B$7:$D$7,IFERROR(MATCH(IF($B689="Robusta","Robusta",(IF($B689="","Arabica",$B689))&amp;" - "&amp;(IF($C689="","Commercial",$C689))),Variables!$B$1:$D$1,0),1))*(AQ689/365),""))</f>
        <v>-1.3588437550770789</v>
      </c>
      <c r="AS689" s="12">
        <f>IF($H689="Cancelled","",IFERROR((T689*INDEX(Variables!$B$7:$D$7,IFERROR(MATCH(IF($B689="Robusta","Robusta",(IF($B689="","Arabica",$B689))&amp;" - "&amp;(IF($C689="","Commercial",$C689))),Variables!$B$1:$D$1,0),1))*IFERROR(IF(W689="","",(AVERAGE(E689:F689)-W689)-Variables!$B$14),"")/365)+(L689/16.67*INDEX(Variables!$B$8:$D$8,IFERROR(MATCH(IF($B689="Robusta","Robusta",(IF($B689="","Arabica",$B689))&amp;" - "&amp;(IF($C689="","Commercial",$C689))),Variables!$B$1:$D$1,0),1))*IFERROR(IF(W689="","",(AVERAGE(E689:F689)-W689)-Variables!$B$14),""))+(T689*INDEX(Variables!$B$9:$D$9,IFERROR(MATCH(IF($B689="Robusta","Robusta",(IF($B689="","Arabica",$B689))&amp;" - "&amp;(IF($C689="","Commercial",$C689))),Variables!$B$1:$D$1,0),1))*IFERROR(IF(W689="","",(AVERAGE(E689:F689)-W689)-Variables!$B$14),"")/365),""))</f>
        <v>-80.796303697853233</v>
      </c>
      <c r="AT689" s="12">
        <f>IF($H689="Cancelled","",IFERROR((T689*INDEX(Variables!$B$7:$D$7,IFERROR(MATCH(IF($B689="Robusta","Robusta",(IF($B689="","Arabica",$B689))&amp;" - "&amp;(IF($C689="","Commercial",$C689))),Variables!$B$1:$D$1,0),1))*AC689/365)+(L689/16.67*INDEX(Variables!$B$8:$D$8,IFERROR(MATCH(IF($B689="Robusta","Robusta",(IF($B689="","Arabica",$B689))&amp;" - "&amp;(IF($C689="","Commercial",$C689))),Variables!$B$1:$D$1,0),1))*AC689)+(T689*INDEX(Variables!$B$9:$D$9,IFERROR(MATCH(IF($B689="Robusta","Robusta",(IF($B689="","Arabica",$B689))&amp;" - "&amp;(IF($C689="","Commercial",$C689))),Variables!$B$1:$D$1,0),1))*AC689/365),""))</f>
        <v>118.81809367331356</v>
      </c>
      <c r="AU689" s="12">
        <f>IF($H689="Cancelled","",IFERROR((T689*INDEX(Variables!$B$7:$D$7,IFERROR(MATCH(IF($B689="Robusta","Robusta",(IF($B689="","Arabica",$B689))&amp;" - "&amp;(IF($C689="","Commercial",$C689))),Variables!$B$1:$D$1,0),1))*AP689/365)+(L689/16.67*INDEX(Variables!$B$8:$D$8,IFERROR(MATCH(IF($B689="Robusta","Robusta",(IF($B689="","Arabica",$B689))&amp;" - "&amp;(IF($C689="","Commercial",$C689))),Variables!$B$1:$D$1,0),1))*AP689)+(T689*INDEX(Variables!$B$9:$D$9,IFERROR(MATCH(IF($B689="Robusta","Robusta",(IF($B689="","Arabica",$B689))&amp;" - "&amp;(IF($C689="","Commercial",$C689))),Variables!$B$1:$D$1,0),1))*AP689/365),""))</f>
        <v>-4.7527237469325421</v>
      </c>
      <c r="AV689" s="11">
        <f t="shared" si="70"/>
        <v>44</v>
      </c>
      <c r="AW689" s="12">
        <f>IF($H689="Cancelled","",IFERROR(IF(AV689="","",(T689*INDEX(Variables!$B$7:$D$7,IFERROR(MATCH(IF($B689="Robusta","Robusta",(IF($B689="","Arabica",$B689))&amp;" - "&amp;(IF($C689="","Commercial",$C689))),Variables!$B$1:$D$1,0),1))*(AV689/365))+(T689*INDEX(Variables!$B$9:$D$9,IFERROR(MATCH(IF($B689="Robusta","Robusta",(IF($B689="","Arabica",$B689))&amp;" - "&amp;(IF($C689="","Commercial",$C689))),Variables!$B$1:$D$1,0),1))*(AV689/365))+(INDEX(Variables!$B$8:$D$8,IFERROR(MATCH(IF($B689="Robusta","Robusta",(IF($B689="","Arabica",$B689))&amp;" - "&amp;(IF($C689="","Commercial",$C689))),Variables!$B$1:$D$1,0),1))*L689/16.67)),""))</f>
        <v>61.559922432515933</v>
      </c>
      <c r="AX689" s="9"/>
      <c r="AY689" s="12"/>
      <c r="AZ689" s="10"/>
      <c r="BA689" s="9"/>
      <c r="BB689" s="10"/>
      <c r="BC689" s="9"/>
      <c r="BD689" s="9"/>
      <c r="BE689" s="9"/>
      <c r="BF689" s="9"/>
    </row>
    <row r="690" spans="1:58" x14ac:dyDescent="0.25">
      <c r="A690" s="9" t="s">
        <v>84</v>
      </c>
      <c r="B690" s="9" t="s">
        <v>85</v>
      </c>
      <c r="C690" s="9" t="s">
        <v>1486</v>
      </c>
      <c r="D690" s="10">
        <v>45359</v>
      </c>
      <c r="E690" s="10">
        <v>45413</v>
      </c>
      <c r="F690" s="10">
        <v>45443</v>
      </c>
      <c r="G690" s="9">
        <v>3786183</v>
      </c>
      <c r="H690" s="9" t="str">
        <f t="shared" si="68"/>
        <v>Closed</v>
      </c>
      <c r="I690" s="9" t="str">
        <f t="shared" si="69"/>
        <v>All dates received</v>
      </c>
      <c r="J690" s="9" t="s">
        <v>1487</v>
      </c>
      <c r="K690" s="9">
        <v>4762</v>
      </c>
      <c r="L690" s="11">
        <v>30</v>
      </c>
      <c r="M690" s="9" t="s">
        <v>1606</v>
      </c>
      <c r="N690" s="9"/>
      <c r="O690" s="9"/>
      <c r="P690" s="9"/>
      <c r="Q690" s="11"/>
      <c r="R690" s="9" t="s">
        <v>195</v>
      </c>
      <c r="S690" s="9" t="s">
        <v>335</v>
      </c>
      <c r="T690" s="12">
        <f>IF($H690="Cancelled","",IFERROR(((Q690+INDEX(Variables!$B$6:$D$6,IFERROR(MATCH(IF($B690="Robusta","Robusta",(IF($B690="","Arabica",$B690))&amp;" - "&amp;(IF($C690="","Commercial",$C690))),Variables!$B$1:$D$1,0),1)))*22.0462)*(L690/16.67),""))</f>
        <v>11537.555416916615</v>
      </c>
      <c r="U690" s="10"/>
      <c r="V690" s="9" t="str">
        <f t="shared" si="71"/>
        <v/>
      </c>
      <c r="W690" s="10">
        <v>45432</v>
      </c>
      <c r="X690" s="9" t="str">
        <f t="shared" si="72"/>
        <v>Approved</v>
      </c>
      <c r="Y690" s="10">
        <v>45442</v>
      </c>
      <c r="Z690" s="10">
        <f>IF($H690="Cancelled","",IFERROR(IF(F690="","",F690-Variables!$B$13),""))</f>
        <v>45428</v>
      </c>
      <c r="AA690" s="11">
        <f>IF($H690="Cancelled","",IFERROR(IF(W690="","",(AVERAGE(E690:F690)-W690)-Variables!$B$14),""))</f>
        <v>-34</v>
      </c>
      <c r="AB690" s="10">
        <v>45446</v>
      </c>
      <c r="AC690" s="11">
        <f>IF($H690="Cancelled","",IFERROR(IF(AB690="","",IF(AND(W690="",Y690=""),"",IF(Y690&gt;W690,Y690+Variables!$B$15+Variables!$B$16+Variables!$B$17-AB690,W690+Variables!$B$16+Variables!$B$17-AB690))),""))</f>
        <v>11</v>
      </c>
      <c r="AD690" s="9" t="s">
        <v>107</v>
      </c>
      <c r="AE690" s="9" t="s">
        <v>184</v>
      </c>
      <c r="AF690" s="10"/>
      <c r="AG690" s="10"/>
      <c r="AH690" s="9"/>
      <c r="AI690" s="9" t="s">
        <v>1504</v>
      </c>
      <c r="AJ690" s="9" t="s">
        <v>1505</v>
      </c>
      <c r="AK690" s="10">
        <v>45454</v>
      </c>
      <c r="AL690" s="10">
        <v>45455</v>
      </c>
      <c r="AM690" s="10">
        <v>45464</v>
      </c>
      <c r="AN690" s="9" t="s">
        <v>1492</v>
      </c>
      <c r="AO690" s="9"/>
      <c r="AP690" s="11">
        <f>IF($H690="Cancelled","",IFERROR(IF(OR(AK690="",AB690=""),"",(AB690+Variables!$B$18-AK690)),""))</f>
        <v>-1</v>
      </c>
      <c r="AQ690" s="11">
        <f>IF($H690="Cancelled","",IFERROR(IF(OR(AM690="",AK690=""),"",(AK690+Variables!$B$19)-AM690),""))</f>
        <v>-5</v>
      </c>
      <c r="AR690" s="12">
        <f>IF($H690="Cancelled","",IFERROR(T690*INDEX(Variables!$B$7:$D$7,IFERROR(MATCH(IF($B690="Robusta","Robusta",(IF($B690="","Arabica",$B690))&amp;" - "&amp;(IF($C690="","Commercial",$C690))),Variables!$B$1:$D$1,0),1))*(AQ690/365),""))</f>
        <v>-10.19132816307809</v>
      </c>
      <c r="AS690" s="12">
        <f>IF($H690="Cancelled","",IFERROR((T690*INDEX(Variables!$B$7:$D$7,IFERROR(MATCH(IF($B690="Robusta","Robusta",(IF($B690="","Arabica",$B690))&amp;" - "&amp;(IF($C690="","Commercial",$C690))),Variables!$B$1:$D$1,0),1))*IFERROR(IF(W690="","",(AVERAGE(E690:F690)-W690)-Variables!$B$14),"")/365)+(L690/16.67*INDEX(Variables!$B$8:$D$8,IFERROR(MATCH(IF($B690="Robusta","Robusta",(IF($B690="","Arabica",$B690))&amp;" - "&amp;(IF($C690="","Commercial",$C690))),Variables!$B$1:$D$1,0),1))*IFERROR(IF(W690="","",(AVERAGE(E690:F690)-W690)-Variables!$B$14),""))+(T690*INDEX(Variables!$B$9:$D$9,IFERROR(MATCH(IF($B690="Robusta","Robusta",(IF($B690="","Arabica",$B690))&amp;" - "&amp;(IF($C690="","Commercial",$C690))),Variables!$B$1:$D$1,0),1))*IFERROR(IF(W690="","",(AVERAGE(E690:F690)-W690)-Variables!$B$14),"")/365),""))</f>
        <v>-121.19445554677982</v>
      </c>
      <c r="AT690" s="12">
        <f>IF($H690="Cancelled","",IFERROR((T690*INDEX(Variables!$B$7:$D$7,IFERROR(MATCH(IF($B690="Robusta","Robusta",(IF($B690="","Arabica",$B690))&amp;" - "&amp;(IF($C690="","Commercial",$C690))),Variables!$B$1:$D$1,0),1))*AC690/365)+(L690/16.67*INDEX(Variables!$B$8:$D$8,IFERROR(MATCH(IF($B690="Robusta","Robusta",(IF($B690="","Arabica",$B690))&amp;" - "&amp;(IF($C690="","Commercial",$C690))),Variables!$B$1:$D$1,0),1))*AC690)+(T690*INDEX(Variables!$B$9:$D$9,IFERROR(MATCH(IF($B690="Robusta","Robusta",(IF($B690="","Arabica",$B690))&amp;" - "&amp;(IF($C690="","Commercial",$C690))),Variables!$B$1:$D$1,0),1))*AC690/365),""))</f>
        <v>39.209970912193469</v>
      </c>
      <c r="AU690" s="12">
        <f>IF($H690="Cancelled","",IFERROR((T690*INDEX(Variables!$B$7:$D$7,IFERROR(MATCH(IF($B690="Robusta","Robusta",(IF($B690="","Arabica",$B690))&amp;" - "&amp;(IF($C690="","Commercial",$C690))),Variables!$B$1:$D$1,0),1))*AP690/365)+(L690/16.67*INDEX(Variables!$B$8:$D$8,IFERROR(MATCH(IF($B690="Robusta","Robusta",(IF($B690="","Arabica",$B690))&amp;" - "&amp;(IF($C690="","Commercial",$C690))),Variables!$B$1:$D$1,0),1))*AP690)+(T690*INDEX(Variables!$B$9:$D$9,IFERROR(MATCH(IF($B690="Robusta","Robusta",(IF($B690="","Arabica",$B690))&amp;" - "&amp;(IF($C690="","Commercial",$C690))),Variables!$B$1:$D$1,0),1))*AP690/365),""))</f>
        <v>-3.5645428101994066</v>
      </c>
      <c r="AV690" s="11">
        <f t="shared" si="70"/>
        <v>-11</v>
      </c>
      <c r="AW690" s="12">
        <f>IF($H690="Cancelled","",IFERROR(IF(AV690="","",(T690*INDEX(Variables!$B$7:$D$7,IFERROR(MATCH(IF($B690="Robusta","Robusta",(IF($B690="","Arabica",$B690))&amp;" - "&amp;(IF($C690="","Commercial",$C690))),Variables!$B$1:$D$1,0),1))*(AV690/365))+(T690*INDEX(Variables!$B$9:$D$9,IFERROR(MATCH(IF($B690="Robusta","Robusta",(IF($B690="","Arabica",$B690))&amp;" - "&amp;(IF($C690="","Commercial",$C690))),Variables!$B$1:$D$1,0),1))*(AV690/365))+(INDEX(Variables!$B$8:$D$8,IFERROR(MATCH(IF($B690="Robusta","Robusta",(IF($B690="","Arabica",$B690))&amp;" - "&amp;(IF($C690="","Commercial",$C690))),Variables!$B$1:$D$1,0),1))*L690/16.67)),""))</f>
        <v>-21.209970912193473</v>
      </c>
      <c r="AX690" s="9"/>
      <c r="AY690" s="12"/>
      <c r="AZ690" s="10"/>
      <c r="BA690" s="9"/>
      <c r="BB690" s="10"/>
      <c r="BC690" s="9"/>
      <c r="BD690" s="9"/>
      <c r="BE690" s="9"/>
      <c r="BF690" s="9"/>
    </row>
    <row r="691" spans="1:58" x14ac:dyDescent="0.25">
      <c r="A691" s="9" t="s">
        <v>84</v>
      </c>
      <c r="B691" s="9" t="s">
        <v>85</v>
      </c>
      <c r="C691" s="9" t="s">
        <v>1486</v>
      </c>
      <c r="D691" s="10">
        <v>45359</v>
      </c>
      <c r="E691" s="10">
        <v>45413</v>
      </c>
      <c r="F691" s="10">
        <v>45443</v>
      </c>
      <c r="G691" s="9">
        <v>3786184</v>
      </c>
      <c r="H691" s="9" t="str">
        <f t="shared" si="68"/>
        <v>Closed</v>
      </c>
      <c r="I691" s="9" t="str">
        <f t="shared" si="69"/>
        <v>All dates received</v>
      </c>
      <c r="J691" s="9" t="s">
        <v>1487</v>
      </c>
      <c r="K691" s="9">
        <v>4764</v>
      </c>
      <c r="L691" s="11">
        <v>20</v>
      </c>
      <c r="M691" s="9" t="s">
        <v>1607</v>
      </c>
      <c r="N691" s="9"/>
      <c r="O691" s="9"/>
      <c r="P691" s="9"/>
      <c r="Q691" s="11"/>
      <c r="R691" s="9" t="s">
        <v>195</v>
      </c>
      <c r="S691" s="9" t="s">
        <v>335</v>
      </c>
      <c r="T691" s="12">
        <f>IF($H691="Cancelled","",IFERROR(((Q691+INDEX(Variables!$B$6:$D$6,IFERROR(MATCH(IF($B691="Robusta","Robusta",(IF($B691="","Arabica",$B691))&amp;" - "&amp;(IF($C691="","Commercial",$C691))),Variables!$B$1:$D$1,0),1)))*22.0462)*(L691/16.67),""))</f>
        <v>7691.7036112777441</v>
      </c>
      <c r="U691" s="10"/>
      <c r="V691" s="9" t="str">
        <f t="shared" si="71"/>
        <v/>
      </c>
      <c r="W691" s="10">
        <v>45371</v>
      </c>
      <c r="X691" s="9" t="str">
        <f t="shared" si="72"/>
        <v>Approved</v>
      </c>
      <c r="Y691" s="10">
        <v>45442</v>
      </c>
      <c r="Z691" s="10">
        <f>IF($H691="Cancelled","",IFERROR(IF(F691="","",F691-Variables!$B$13),""))</f>
        <v>45428</v>
      </c>
      <c r="AA691" s="11">
        <f>IF($H691="Cancelled","",IFERROR(IF(W691="","",(AVERAGE(E691:F691)-W691)-Variables!$B$14),""))</f>
        <v>27</v>
      </c>
      <c r="AB691" s="10">
        <v>45446</v>
      </c>
      <c r="AC691" s="11">
        <f>IF($H691="Cancelled","",IFERROR(IF(AB691="","",IF(AND(W691="",Y691=""),"",IF(Y691&gt;W691,Y691+Variables!$B$15+Variables!$B$16+Variables!$B$17-AB691,W691+Variables!$B$16+Variables!$B$17-AB691))),""))</f>
        <v>11</v>
      </c>
      <c r="AD691" s="9" t="s">
        <v>107</v>
      </c>
      <c r="AE691" s="9" t="s">
        <v>184</v>
      </c>
      <c r="AF691" s="10"/>
      <c r="AG691" s="10"/>
      <c r="AH691" s="9"/>
      <c r="AI691" s="9" t="s">
        <v>1504</v>
      </c>
      <c r="AJ691" s="9" t="s">
        <v>1505</v>
      </c>
      <c r="AK691" s="10">
        <v>45454</v>
      </c>
      <c r="AL691" s="10">
        <v>45455</v>
      </c>
      <c r="AM691" s="10">
        <v>45464</v>
      </c>
      <c r="AN691" s="9" t="s">
        <v>1492</v>
      </c>
      <c r="AO691" s="9"/>
      <c r="AP691" s="11">
        <f>IF($H691="Cancelled","",IFERROR(IF(OR(AK691="",AB691=""),"",(AB691+Variables!$B$18-AK691)),""))</f>
        <v>-1</v>
      </c>
      <c r="AQ691" s="11">
        <f>IF($H691="Cancelled","",IFERROR(IF(OR(AM691="",AK691=""),"",(AK691+Variables!$B$19)-AM691),""))</f>
        <v>-5</v>
      </c>
      <c r="AR691" s="12">
        <f>IF($H691="Cancelled","",IFERROR(T691*INDEX(Variables!$B$7:$D$7,IFERROR(MATCH(IF($B691="Robusta","Robusta",(IF($B691="","Arabica",$B691))&amp;" - "&amp;(IF($C691="","Commercial",$C691))),Variables!$B$1:$D$1,0),1))*(AQ691/365),""))</f>
        <v>-6.794218775385394</v>
      </c>
      <c r="AS691" s="12">
        <f>IF($H691="Cancelled","",IFERROR((T691*INDEX(Variables!$B$7:$D$7,IFERROR(MATCH(IF($B691="Robusta","Robusta",(IF($B691="","Arabica",$B691))&amp;" - "&amp;(IF($C691="","Commercial",$C691))),Variables!$B$1:$D$1,0),1))*IFERROR(IF(W691="","",(AVERAGE(E691:F691)-W691)-Variables!$B$14),"")/365)+(L691/16.67*INDEX(Variables!$B$8:$D$8,IFERROR(MATCH(IF($B691="Robusta","Robusta",(IF($B691="","Arabica",$B691))&amp;" - "&amp;(IF($C691="","Commercial",$C691))),Variables!$B$1:$D$1,0),1))*IFERROR(IF(W691="","",(AVERAGE(E691:F691)-W691)-Variables!$B$14),""))+(T691*INDEX(Variables!$B$9:$D$9,IFERROR(MATCH(IF($B691="Robusta","Robusta",(IF($B691="","Arabica",$B691))&amp;" - "&amp;(IF($C691="","Commercial",$C691))),Variables!$B$1:$D$1,0),1))*IFERROR(IF(W691="","",(AVERAGE(E691:F691)-W691)-Variables!$B$14),"")/365),""))</f>
        <v>64.161770583589316</v>
      </c>
      <c r="AT691" s="12">
        <f>IF($H691="Cancelled","",IFERROR((T691*INDEX(Variables!$B$7:$D$7,IFERROR(MATCH(IF($B691="Robusta","Robusta",(IF($B691="","Arabica",$B691))&amp;" - "&amp;(IF($C691="","Commercial",$C691))),Variables!$B$1:$D$1,0),1))*AC691/365)+(L691/16.67*INDEX(Variables!$B$8:$D$8,IFERROR(MATCH(IF($B691="Robusta","Robusta",(IF($B691="","Arabica",$B691))&amp;" - "&amp;(IF($C691="","Commercial",$C691))),Variables!$B$1:$D$1,0),1))*AC691)+(T691*INDEX(Variables!$B$9:$D$9,IFERROR(MATCH(IF($B691="Robusta","Robusta",(IF($B691="","Arabica",$B691))&amp;" - "&amp;(IF($C691="","Commercial",$C691))),Variables!$B$1:$D$1,0),1))*AC691/365),""))</f>
        <v>26.139980608128983</v>
      </c>
      <c r="AU691" s="12">
        <f>IF($H691="Cancelled","",IFERROR((T691*INDEX(Variables!$B$7:$D$7,IFERROR(MATCH(IF($B691="Robusta","Robusta",(IF($B691="","Arabica",$B691))&amp;" - "&amp;(IF($C691="","Commercial",$C691))),Variables!$B$1:$D$1,0),1))*AP691/365)+(L691/16.67*INDEX(Variables!$B$8:$D$8,IFERROR(MATCH(IF($B691="Robusta","Robusta",(IF($B691="","Arabica",$B691))&amp;" - "&amp;(IF($C691="","Commercial",$C691))),Variables!$B$1:$D$1,0),1))*AP691)+(T691*INDEX(Variables!$B$9:$D$9,IFERROR(MATCH(IF($B691="Robusta","Robusta",(IF($B691="","Arabica",$B691))&amp;" - "&amp;(IF($C691="","Commercial",$C691))),Variables!$B$1:$D$1,0),1))*AP691/365),""))</f>
        <v>-2.376361873466271</v>
      </c>
      <c r="AV691" s="11">
        <f t="shared" si="70"/>
        <v>-11</v>
      </c>
      <c r="AW691" s="12">
        <f>IF($H691="Cancelled","",IFERROR(IF(AV691="","",(T691*INDEX(Variables!$B$7:$D$7,IFERROR(MATCH(IF($B691="Robusta","Robusta",(IF($B691="","Arabica",$B691))&amp;" - "&amp;(IF($C691="","Commercial",$C691))),Variables!$B$1:$D$1,0),1))*(AV691/365))+(T691*INDEX(Variables!$B$9:$D$9,IFERROR(MATCH(IF($B691="Robusta","Robusta",(IF($B691="","Arabica",$B691))&amp;" - "&amp;(IF($C691="","Commercial",$C691))),Variables!$B$1:$D$1,0),1))*(AV691/365))+(INDEX(Variables!$B$8:$D$8,IFERROR(MATCH(IF($B691="Robusta","Robusta",(IF($B691="","Arabica",$B691))&amp;" - "&amp;(IF($C691="","Commercial",$C691))),Variables!$B$1:$D$1,0),1))*L691/16.67)),""))</f>
        <v>-14.139980608128983</v>
      </c>
      <c r="AX691" s="9"/>
      <c r="AY691" s="12"/>
      <c r="AZ691" s="10"/>
      <c r="BA691" s="9"/>
      <c r="BB691" s="10"/>
      <c r="BC691" s="9"/>
      <c r="BD691" s="9"/>
      <c r="BE691" s="9"/>
      <c r="BF691" s="9"/>
    </row>
    <row r="692" spans="1:58" x14ac:dyDescent="0.25">
      <c r="A692" s="9" t="s">
        <v>84</v>
      </c>
      <c r="B692" s="9" t="s">
        <v>85</v>
      </c>
      <c r="C692" s="9" t="s">
        <v>1486</v>
      </c>
      <c r="D692" s="10">
        <v>45359</v>
      </c>
      <c r="E692" s="10">
        <v>45413</v>
      </c>
      <c r="F692" s="10">
        <v>45443</v>
      </c>
      <c r="G692" s="9">
        <v>3786185</v>
      </c>
      <c r="H692" s="9" t="str">
        <f t="shared" si="68"/>
        <v>Closed</v>
      </c>
      <c r="I692" s="9" t="str">
        <f t="shared" si="69"/>
        <v>All dates received</v>
      </c>
      <c r="J692" s="9" t="s">
        <v>1487</v>
      </c>
      <c r="K692" s="9">
        <v>4765</v>
      </c>
      <c r="L692" s="11">
        <v>20</v>
      </c>
      <c r="M692" s="9" t="s">
        <v>1608</v>
      </c>
      <c r="N692" s="9"/>
      <c r="O692" s="9"/>
      <c r="P692" s="9"/>
      <c r="Q692" s="11"/>
      <c r="R692" s="9" t="s">
        <v>195</v>
      </c>
      <c r="S692" s="9" t="s">
        <v>335</v>
      </c>
      <c r="T692" s="12">
        <f>IF($H692="Cancelled","",IFERROR(((Q692+INDEX(Variables!$B$6:$D$6,IFERROR(MATCH(IF($B692="Robusta","Robusta",(IF($B692="","Arabica",$B692))&amp;" - "&amp;(IF($C692="","Commercial",$C692))),Variables!$B$1:$D$1,0),1)))*22.0462)*(L692/16.67),""))</f>
        <v>7691.7036112777441</v>
      </c>
      <c r="U692" s="10"/>
      <c r="V692" s="9" t="str">
        <f t="shared" si="71"/>
        <v/>
      </c>
      <c r="W692" s="10">
        <v>45371</v>
      </c>
      <c r="X692" s="9" t="str">
        <f t="shared" si="72"/>
        <v>Approved</v>
      </c>
      <c r="Y692" s="10">
        <v>45442</v>
      </c>
      <c r="Z692" s="10">
        <f>IF($H692="Cancelled","",IFERROR(IF(F692="","",F692-Variables!$B$13),""))</f>
        <v>45428</v>
      </c>
      <c r="AA692" s="11">
        <f>IF($H692="Cancelled","",IFERROR(IF(W692="","",(AVERAGE(E692:F692)-W692)-Variables!$B$14),""))</f>
        <v>27</v>
      </c>
      <c r="AB692" s="10">
        <v>45446</v>
      </c>
      <c r="AC692" s="11">
        <f>IF($H692="Cancelled","",IFERROR(IF(AB692="","",IF(AND(W692="",Y692=""),"",IF(Y692&gt;W692,Y692+Variables!$B$15+Variables!$B$16+Variables!$B$17-AB692,W692+Variables!$B$16+Variables!$B$17-AB692))),""))</f>
        <v>11</v>
      </c>
      <c r="AD692" s="9" t="s">
        <v>107</v>
      </c>
      <c r="AE692" s="9" t="s">
        <v>184</v>
      </c>
      <c r="AF692" s="10"/>
      <c r="AG692" s="10"/>
      <c r="AH692" s="9"/>
      <c r="AI692" s="9" t="s">
        <v>1504</v>
      </c>
      <c r="AJ692" s="9" t="s">
        <v>1505</v>
      </c>
      <c r="AK692" s="10">
        <v>45454</v>
      </c>
      <c r="AL692" s="10">
        <v>45455</v>
      </c>
      <c r="AM692" s="10">
        <v>45464</v>
      </c>
      <c r="AN692" s="9" t="s">
        <v>1492</v>
      </c>
      <c r="AO692" s="9"/>
      <c r="AP692" s="11">
        <f>IF($H692="Cancelled","",IFERROR(IF(OR(AK692="",AB692=""),"",(AB692+Variables!$B$18-AK692)),""))</f>
        <v>-1</v>
      </c>
      <c r="AQ692" s="11">
        <f>IF($H692="Cancelled","",IFERROR(IF(OR(AM692="",AK692=""),"",(AK692+Variables!$B$19)-AM692),""))</f>
        <v>-5</v>
      </c>
      <c r="AR692" s="12">
        <f>IF($H692="Cancelled","",IFERROR(T692*INDEX(Variables!$B$7:$D$7,IFERROR(MATCH(IF($B692="Robusta","Robusta",(IF($B692="","Arabica",$B692))&amp;" - "&amp;(IF($C692="","Commercial",$C692))),Variables!$B$1:$D$1,0),1))*(AQ692/365),""))</f>
        <v>-6.794218775385394</v>
      </c>
      <c r="AS692" s="12">
        <f>IF($H692="Cancelled","",IFERROR((T692*INDEX(Variables!$B$7:$D$7,IFERROR(MATCH(IF($B692="Robusta","Robusta",(IF($B692="","Arabica",$B692))&amp;" - "&amp;(IF($C692="","Commercial",$C692))),Variables!$B$1:$D$1,0),1))*IFERROR(IF(W692="","",(AVERAGE(E692:F692)-W692)-Variables!$B$14),"")/365)+(L692/16.67*INDEX(Variables!$B$8:$D$8,IFERROR(MATCH(IF($B692="Robusta","Robusta",(IF($B692="","Arabica",$B692))&amp;" - "&amp;(IF($C692="","Commercial",$C692))),Variables!$B$1:$D$1,0),1))*IFERROR(IF(W692="","",(AVERAGE(E692:F692)-W692)-Variables!$B$14),""))+(T692*INDEX(Variables!$B$9:$D$9,IFERROR(MATCH(IF($B692="Robusta","Robusta",(IF($B692="","Arabica",$B692))&amp;" - "&amp;(IF($C692="","Commercial",$C692))),Variables!$B$1:$D$1,0),1))*IFERROR(IF(W692="","",(AVERAGE(E692:F692)-W692)-Variables!$B$14),"")/365),""))</f>
        <v>64.161770583589316</v>
      </c>
      <c r="AT692" s="12">
        <f>IF($H692="Cancelled","",IFERROR((T692*INDEX(Variables!$B$7:$D$7,IFERROR(MATCH(IF($B692="Robusta","Robusta",(IF($B692="","Arabica",$B692))&amp;" - "&amp;(IF($C692="","Commercial",$C692))),Variables!$B$1:$D$1,0),1))*AC692/365)+(L692/16.67*INDEX(Variables!$B$8:$D$8,IFERROR(MATCH(IF($B692="Robusta","Robusta",(IF($B692="","Arabica",$B692))&amp;" - "&amp;(IF($C692="","Commercial",$C692))),Variables!$B$1:$D$1,0),1))*AC692)+(T692*INDEX(Variables!$B$9:$D$9,IFERROR(MATCH(IF($B692="Robusta","Robusta",(IF($B692="","Arabica",$B692))&amp;" - "&amp;(IF($C692="","Commercial",$C692))),Variables!$B$1:$D$1,0),1))*AC692/365),""))</f>
        <v>26.139980608128983</v>
      </c>
      <c r="AU692" s="12">
        <f>IF($H692="Cancelled","",IFERROR((T692*INDEX(Variables!$B$7:$D$7,IFERROR(MATCH(IF($B692="Robusta","Robusta",(IF($B692="","Arabica",$B692))&amp;" - "&amp;(IF($C692="","Commercial",$C692))),Variables!$B$1:$D$1,0),1))*AP692/365)+(L692/16.67*INDEX(Variables!$B$8:$D$8,IFERROR(MATCH(IF($B692="Robusta","Robusta",(IF($B692="","Arabica",$B692))&amp;" - "&amp;(IF($C692="","Commercial",$C692))),Variables!$B$1:$D$1,0),1))*AP692)+(T692*INDEX(Variables!$B$9:$D$9,IFERROR(MATCH(IF($B692="Robusta","Robusta",(IF($B692="","Arabica",$B692))&amp;" - "&amp;(IF($C692="","Commercial",$C692))),Variables!$B$1:$D$1,0),1))*AP692/365),""))</f>
        <v>-2.376361873466271</v>
      </c>
      <c r="AV692" s="11">
        <f t="shared" si="70"/>
        <v>-11</v>
      </c>
      <c r="AW692" s="12">
        <f>IF($H692="Cancelled","",IFERROR(IF(AV692="","",(T692*INDEX(Variables!$B$7:$D$7,IFERROR(MATCH(IF($B692="Robusta","Robusta",(IF($B692="","Arabica",$B692))&amp;" - "&amp;(IF($C692="","Commercial",$C692))),Variables!$B$1:$D$1,0),1))*(AV692/365))+(T692*INDEX(Variables!$B$9:$D$9,IFERROR(MATCH(IF($B692="Robusta","Robusta",(IF($B692="","Arabica",$B692))&amp;" - "&amp;(IF($C692="","Commercial",$C692))),Variables!$B$1:$D$1,0),1))*(AV692/365))+(INDEX(Variables!$B$8:$D$8,IFERROR(MATCH(IF($B692="Robusta","Robusta",(IF($B692="","Arabica",$B692))&amp;" - "&amp;(IF($C692="","Commercial",$C692))),Variables!$B$1:$D$1,0),1))*L692/16.67)),""))</f>
        <v>-14.139980608128983</v>
      </c>
      <c r="AX692" s="9"/>
      <c r="AY692" s="12"/>
      <c r="AZ692" s="10"/>
      <c r="BA692" s="9"/>
      <c r="BB692" s="10"/>
      <c r="BC692" s="9"/>
      <c r="BD692" s="9"/>
      <c r="BE692" s="9"/>
      <c r="BF692" s="9"/>
    </row>
    <row r="693" spans="1:58" x14ac:dyDescent="0.25">
      <c r="A693" s="9" t="s">
        <v>84</v>
      </c>
      <c r="B693" s="9" t="s">
        <v>85</v>
      </c>
      <c r="C693" s="9" t="s">
        <v>1486</v>
      </c>
      <c r="D693" s="10">
        <v>45359</v>
      </c>
      <c r="E693" s="10">
        <v>45413</v>
      </c>
      <c r="F693" s="10">
        <v>45443</v>
      </c>
      <c r="G693" s="9">
        <v>3786186</v>
      </c>
      <c r="H693" s="9" t="str">
        <f t="shared" si="68"/>
        <v>Closed</v>
      </c>
      <c r="I693" s="9" t="str">
        <f t="shared" si="69"/>
        <v>All dates received</v>
      </c>
      <c r="J693" s="9" t="s">
        <v>1487</v>
      </c>
      <c r="K693" s="9">
        <v>4766</v>
      </c>
      <c r="L693" s="11">
        <v>20</v>
      </c>
      <c r="M693" s="9" t="s">
        <v>1609</v>
      </c>
      <c r="N693" s="9"/>
      <c r="O693" s="9"/>
      <c r="P693" s="9"/>
      <c r="Q693" s="11"/>
      <c r="R693" s="9" t="s">
        <v>195</v>
      </c>
      <c r="S693" s="9" t="s">
        <v>335</v>
      </c>
      <c r="T693" s="12">
        <f>IF($H693="Cancelled","",IFERROR(((Q693+INDEX(Variables!$B$6:$D$6,IFERROR(MATCH(IF($B693="Robusta","Robusta",(IF($B693="","Arabica",$B693))&amp;" - "&amp;(IF($C693="","Commercial",$C693))),Variables!$B$1:$D$1,0),1)))*22.0462)*(L693/16.67),""))</f>
        <v>7691.7036112777441</v>
      </c>
      <c r="U693" s="10"/>
      <c r="V693" s="9" t="str">
        <f t="shared" si="71"/>
        <v/>
      </c>
      <c r="W693" s="10">
        <v>45371</v>
      </c>
      <c r="X693" s="9" t="str">
        <f t="shared" si="72"/>
        <v>Approved</v>
      </c>
      <c r="Y693" s="10">
        <v>45442</v>
      </c>
      <c r="Z693" s="10">
        <f>IF($H693="Cancelled","",IFERROR(IF(F693="","",F693-Variables!$B$13),""))</f>
        <v>45428</v>
      </c>
      <c r="AA693" s="11">
        <f>IF($H693="Cancelled","",IFERROR(IF(W693="","",(AVERAGE(E693:F693)-W693)-Variables!$B$14),""))</f>
        <v>27</v>
      </c>
      <c r="AB693" s="10">
        <v>45446</v>
      </c>
      <c r="AC693" s="11">
        <f>IF($H693="Cancelled","",IFERROR(IF(AB693="","",IF(AND(W693="",Y693=""),"",IF(Y693&gt;W693,Y693+Variables!$B$15+Variables!$B$16+Variables!$B$17-AB693,W693+Variables!$B$16+Variables!$B$17-AB693))),""))</f>
        <v>11</v>
      </c>
      <c r="AD693" s="9" t="s">
        <v>107</v>
      </c>
      <c r="AE693" s="9" t="s">
        <v>184</v>
      </c>
      <c r="AF693" s="10"/>
      <c r="AG693" s="10"/>
      <c r="AH693" s="9"/>
      <c r="AI693" s="9" t="s">
        <v>1504</v>
      </c>
      <c r="AJ693" s="9" t="s">
        <v>1505</v>
      </c>
      <c r="AK693" s="10">
        <v>45454</v>
      </c>
      <c r="AL693" s="10">
        <v>45455</v>
      </c>
      <c r="AM693" s="10">
        <v>45464</v>
      </c>
      <c r="AN693" s="9" t="s">
        <v>1492</v>
      </c>
      <c r="AO693" s="9"/>
      <c r="AP693" s="11">
        <f>IF($H693="Cancelled","",IFERROR(IF(OR(AK693="",AB693=""),"",(AB693+Variables!$B$18-AK693)),""))</f>
        <v>-1</v>
      </c>
      <c r="AQ693" s="11">
        <f>IF($H693="Cancelled","",IFERROR(IF(OR(AM693="",AK693=""),"",(AK693+Variables!$B$19)-AM693),""))</f>
        <v>-5</v>
      </c>
      <c r="AR693" s="12">
        <f>IF($H693="Cancelled","",IFERROR(T693*INDEX(Variables!$B$7:$D$7,IFERROR(MATCH(IF($B693="Robusta","Robusta",(IF($B693="","Arabica",$B693))&amp;" - "&amp;(IF($C693="","Commercial",$C693))),Variables!$B$1:$D$1,0),1))*(AQ693/365),""))</f>
        <v>-6.794218775385394</v>
      </c>
      <c r="AS693" s="12">
        <f>IF($H693="Cancelled","",IFERROR((T693*INDEX(Variables!$B$7:$D$7,IFERROR(MATCH(IF($B693="Robusta","Robusta",(IF($B693="","Arabica",$B693))&amp;" - "&amp;(IF($C693="","Commercial",$C693))),Variables!$B$1:$D$1,0),1))*IFERROR(IF(W693="","",(AVERAGE(E693:F693)-W693)-Variables!$B$14),"")/365)+(L693/16.67*INDEX(Variables!$B$8:$D$8,IFERROR(MATCH(IF($B693="Robusta","Robusta",(IF($B693="","Arabica",$B693))&amp;" - "&amp;(IF($C693="","Commercial",$C693))),Variables!$B$1:$D$1,0),1))*IFERROR(IF(W693="","",(AVERAGE(E693:F693)-W693)-Variables!$B$14),""))+(T693*INDEX(Variables!$B$9:$D$9,IFERROR(MATCH(IF($B693="Robusta","Robusta",(IF($B693="","Arabica",$B693))&amp;" - "&amp;(IF($C693="","Commercial",$C693))),Variables!$B$1:$D$1,0),1))*IFERROR(IF(W693="","",(AVERAGE(E693:F693)-W693)-Variables!$B$14),"")/365),""))</f>
        <v>64.161770583589316</v>
      </c>
      <c r="AT693" s="12">
        <f>IF($H693="Cancelled","",IFERROR((T693*INDEX(Variables!$B$7:$D$7,IFERROR(MATCH(IF($B693="Robusta","Robusta",(IF($B693="","Arabica",$B693))&amp;" - "&amp;(IF($C693="","Commercial",$C693))),Variables!$B$1:$D$1,0),1))*AC693/365)+(L693/16.67*INDEX(Variables!$B$8:$D$8,IFERROR(MATCH(IF($B693="Robusta","Robusta",(IF($B693="","Arabica",$B693))&amp;" - "&amp;(IF($C693="","Commercial",$C693))),Variables!$B$1:$D$1,0),1))*AC693)+(T693*INDEX(Variables!$B$9:$D$9,IFERROR(MATCH(IF($B693="Robusta","Robusta",(IF($B693="","Arabica",$B693))&amp;" - "&amp;(IF($C693="","Commercial",$C693))),Variables!$B$1:$D$1,0),1))*AC693/365),""))</f>
        <v>26.139980608128983</v>
      </c>
      <c r="AU693" s="12">
        <f>IF($H693="Cancelled","",IFERROR((T693*INDEX(Variables!$B$7:$D$7,IFERROR(MATCH(IF($B693="Robusta","Robusta",(IF($B693="","Arabica",$B693))&amp;" - "&amp;(IF($C693="","Commercial",$C693))),Variables!$B$1:$D$1,0),1))*AP693/365)+(L693/16.67*INDEX(Variables!$B$8:$D$8,IFERROR(MATCH(IF($B693="Robusta","Robusta",(IF($B693="","Arabica",$B693))&amp;" - "&amp;(IF($C693="","Commercial",$C693))),Variables!$B$1:$D$1,0),1))*AP693)+(T693*INDEX(Variables!$B$9:$D$9,IFERROR(MATCH(IF($B693="Robusta","Robusta",(IF($B693="","Arabica",$B693))&amp;" - "&amp;(IF($C693="","Commercial",$C693))),Variables!$B$1:$D$1,0),1))*AP693/365),""))</f>
        <v>-2.376361873466271</v>
      </c>
      <c r="AV693" s="11">
        <f t="shared" si="70"/>
        <v>-11</v>
      </c>
      <c r="AW693" s="12">
        <f>IF($H693="Cancelled","",IFERROR(IF(AV693="","",(T693*INDEX(Variables!$B$7:$D$7,IFERROR(MATCH(IF($B693="Robusta","Robusta",(IF($B693="","Arabica",$B693))&amp;" - "&amp;(IF($C693="","Commercial",$C693))),Variables!$B$1:$D$1,0),1))*(AV693/365))+(T693*INDEX(Variables!$B$9:$D$9,IFERROR(MATCH(IF($B693="Robusta","Robusta",(IF($B693="","Arabica",$B693))&amp;" - "&amp;(IF($C693="","Commercial",$C693))),Variables!$B$1:$D$1,0),1))*(AV693/365))+(INDEX(Variables!$B$8:$D$8,IFERROR(MATCH(IF($B693="Robusta","Robusta",(IF($B693="","Arabica",$B693))&amp;" - "&amp;(IF($C693="","Commercial",$C693))),Variables!$B$1:$D$1,0),1))*L693/16.67)),""))</f>
        <v>-14.139980608128983</v>
      </c>
      <c r="AX693" s="9"/>
      <c r="AY693" s="12"/>
      <c r="AZ693" s="10"/>
      <c r="BA693" s="9"/>
      <c r="BB693" s="10"/>
      <c r="BC693" s="9"/>
      <c r="BD693" s="9"/>
      <c r="BE693" s="9"/>
      <c r="BF693" s="9"/>
    </row>
    <row r="694" spans="1:58" x14ac:dyDescent="0.25">
      <c r="A694" s="9" t="s">
        <v>84</v>
      </c>
      <c r="B694" s="9" t="s">
        <v>85</v>
      </c>
      <c r="C694" s="9" t="s">
        <v>1486</v>
      </c>
      <c r="D694" s="10">
        <v>45359</v>
      </c>
      <c r="E694" s="10">
        <v>45413</v>
      </c>
      <c r="F694" s="10">
        <v>45443</v>
      </c>
      <c r="G694" s="9">
        <v>3786187</v>
      </c>
      <c r="H694" s="9" t="str">
        <f t="shared" si="68"/>
        <v>Closed</v>
      </c>
      <c r="I694" s="9" t="str">
        <f t="shared" si="69"/>
        <v>All dates received</v>
      </c>
      <c r="J694" s="9" t="s">
        <v>1487</v>
      </c>
      <c r="K694" s="9">
        <v>4767</v>
      </c>
      <c r="L694" s="11">
        <v>20</v>
      </c>
      <c r="M694" s="9" t="s">
        <v>1610</v>
      </c>
      <c r="N694" s="9"/>
      <c r="O694" s="9"/>
      <c r="P694" s="9"/>
      <c r="Q694" s="11"/>
      <c r="R694" s="9" t="s">
        <v>195</v>
      </c>
      <c r="S694" s="9" t="s">
        <v>335</v>
      </c>
      <c r="T694" s="12">
        <f>IF($H694="Cancelled","",IFERROR(((Q694+INDEX(Variables!$B$6:$D$6,IFERROR(MATCH(IF($B694="Robusta","Robusta",(IF($B694="","Arabica",$B694))&amp;" - "&amp;(IF($C694="","Commercial",$C694))),Variables!$B$1:$D$1,0),1)))*22.0462)*(L694/16.67),""))</f>
        <v>7691.7036112777441</v>
      </c>
      <c r="U694" s="10"/>
      <c r="V694" s="9" t="str">
        <f t="shared" si="71"/>
        <v/>
      </c>
      <c r="W694" s="10">
        <v>45371</v>
      </c>
      <c r="X694" s="9" t="str">
        <f t="shared" si="72"/>
        <v>Approved</v>
      </c>
      <c r="Y694" s="10">
        <v>45442</v>
      </c>
      <c r="Z694" s="10">
        <f>IF($H694="Cancelled","",IFERROR(IF(F694="","",F694-Variables!$B$13),""))</f>
        <v>45428</v>
      </c>
      <c r="AA694" s="11">
        <f>IF($H694="Cancelled","",IFERROR(IF(W694="","",(AVERAGE(E694:F694)-W694)-Variables!$B$14),""))</f>
        <v>27</v>
      </c>
      <c r="AB694" s="10">
        <v>45446</v>
      </c>
      <c r="AC694" s="11">
        <f>IF($H694="Cancelled","",IFERROR(IF(AB694="","",IF(AND(W694="",Y694=""),"",IF(Y694&gt;W694,Y694+Variables!$B$15+Variables!$B$16+Variables!$B$17-AB694,W694+Variables!$B$16+Variables!$B$17-AB694))),""))</f>
        <v>11</v>
      </c>
      <c r="AD694" s="9" t="s">
        <v>107</v>
      </c>
      <c r="AE694" s="9" t="s">
        <v>184</v>
      </c>
      <c r="AF694" s="10"/>
      <c r="AG694" s="10"/>
      <c r="AH694" s="9"/>
      <c r="AI694" s="9" t="s">
        <v>1504</v>
      </c>
      <c r="AJ694" s="9" t="s">
        <v>1505</v>
      </c>
      <c r="AK694" s="10">
        <v>45454</v>
      </c>
      <c r="AL694" s="10">
        <v>45455</v>
      </c>
      <c r="AM694" s="10">
        <v>45464</v>
      </c>
      <c r="AN694" s="9" t="s">
        <v>1492</v>
      </c>
      <c r="AO694" s="9"/>
      <c r="AP694" s="11">
        <f>IF($H694="Cancelled","",IFERROR(IF(OR(AK694="",AB694=""),"",(AB694+Variables!$B$18-AK694)),""))</f>
        <v>-1</v>
      </c>
      <c r="AQ694" s="11">
        <f>IF($H694="Cancelled","",IFERROR(IF(OR(AM694="",AK694=""),"",(AK694+Variables!$B$19)-AM694),""))</f>
        <v>-5</v>
      </c>
      <c r="AR694" s="12">
        <f>IF($H694="Cancelled","",IFERROR(T694*INDEX(Variables!$B$7:$D$7,IFERROR(MATCH(IF($B694="Robusta","Robusta",(IF($B694="","Arabica",$B694))&amp;" - "&amp;(IF($C694="","Commercial",$C694))),Variables!$B$1:$D$1,0),1))*(AQ694/365),""))</f>
        <v>-6.794218775385394</v>
      </c>
      <c r="AS694" s="12">
        <f>IF($H694="Cancelled","",IFERROR((T694*INDEX(Variables!$B$7:$D$7,IFERROR(MATCH(IF($B694="Robusta","Robusta",(IF($B694="","Arabica",$B694))&amp;" - "&amp;(IF($C694="","Commercial",$C694))),Variables!$B$1:$D$1,0),1))*IFERROR(IF(W694="","",(AVERAGE(E694:F694)-W694)-Variables!$B$14),"")/365)+(L694/16.67*INDEX(Variables!$B$8:$D$8,IFERROR(MATCH(IF($B694="Robusta","Robusta",(IF($B694="","Arabica",$B694))&amp;" - "&amp;(IF($C694="","Commercial",$C694))),Variables!$B$1:$D$1,0),1))*IFERROR(IF(W694="","",(AVERAGE(E694:F694)-W694)-Variables!$B$14),""))+(T694*INDEX(Variables!$B$9:$D$9,IFERROR(MATCH(IF($B694="Robusta","Robusta",(IF($B694="","Arabica",$B694))&amp;" - "&amp;(IF($C694="","Commercial",$C694))),Variables!$B$1:$D$1,0),1))*IFERROR(IF(W694="","",(AVERAGE(E694:F694)-W694)-Variables!$B$14),"")/365),""))</f>
        <v>64.161770583589316</v>
      </c>
      <c r="AT694" s="12">
        <f>IF($H694="Cancelled","",IFERROR((T694*INDEX(Variables!$B$7:$D$7,IFERROR(MATCH(IF($B694="Robusta","Robusta",(IF($B694="","Arabica",$B694))&amp;" - "&amp;(IF($C694="","Commercial",$C694))),Variables!$B$1:$D$1,0),1))*AC694/365)+(L694/16.67*INDEX(Variables!$B$8:$D$8,IFERROR(MATCH(IF($B694="Robusta","Robusta",(IF($B694="","Arabica",$B694))&amp;" - "&amp;(IF($C694="","Commercial",$C694))),Variables!$B$1:$D$1,0),1))*AC694)+(T694*INDEX(Variables!$B$9:$D$9,IFERROR(MATCH(IF($B694="Robusta","Robusta",(IF($B694="","Arabica",$B694))&amp;" - "&amp;(IF($C694="","Commercial",$C694))),Variables!$B$1:$D$1,0),1))*AC694/365),""))</f>
        <v>26.139980608128983</v>
      </c>
      <c r="AU694" s="12">
        <f>IF($H694="Cancelled","",IFERROR((T694*INDEX(Variables!$B$7:$D$7,IFERROR(MATCH(IF($B694="Robusta","Robusta",(IF($B694="","Arabica",$B694))&amp;" - "&amp;(IF($C694="","Commercial",$C694))),Variables!$B$1:$D$1,0),1))*AP694/365)+(L694/16.67*INDEX(Variables!$B$8:$D$8,IFERROR(MATCH(IF($B694="Robusta","Robusta",(IF($B694="","Arabica",$B694))&amp;" - "&amp;(IF($C694="","Commercial",$C694))),Variables!$B$1:$D$1,0),1))*AP694)+(T694*INDEX(Variables!$B$9:$D$9,IFERROR(MATCH(IF($B694="Robusta","Robusta",(IF($B694="","Arabica",$B694))&amp;" - "&amp;(IF($C694="","Commercial",$C694))),Variables!$B$1:$D$1,0),1))*AP694/365),""))</f>
        <v>-2.376361873466271</v>
      </c>
      <c r="AV694" s="11">
        <f t="shared" si="70"/>
        <v>-11</v>
      </c>
      <c r="AW694" s="12">
        <f>IF($H694="Cancelled","",IFERROR(IF(AV694="","",(T694*INDEX(Variables!$B$7:$D$7,IFERROR(MATCH(IF($B694="Robusta","Robusta",(IF($B694="","Arabica",$B694))&amp;" - "&amp;(IF($C694="","Commercial",$C694))),Variables!$B$1:$D$1,0),1))*(AV694/365))+(T694*INDEX(Variables!$B$9:$D$9,IFERROR(MATCH(IF($B694="Robusta","Robusta",(IF($B694="","Arabica",$B694))&amp;" - "&amp;(IF($C694="","Commercial",$C694))),Variables!$B$1:$D$1,0),1))*(AV694/365))+(INDEX(Variables!$B$8:$D$8,IFERROR(MATCH(IF($B694="Robusta","Robusta",(IF($B694="","Arabica",$B694))&amp;" - "&amp;(IF($C694="","Commercial",$C694))),Variables!$B$1:$D$1,0),1))*L694/16.67)),""))</f>
        <v>-14.139980608128983</v>
      </c>
      <c r="AX694" s="9"/>
      <c r="AY694" s="12"/>
      <c r="AZ694" s="10"/>
      <c r="BA694" s="9"/>
      <c r="BB694" s="10"/>
      <c r="BC694" s="9"/>
      <c r="BD694" s="9"/>
      <c r="BE694" s="9"/>
      <c r="BF694" s="9"/>
    </row>
    <row r="695" spans="1:58" x14ac:dyDescent="0.25">
      <c r="A695" s="9" t="s">
        <v>84</v>
      </c>
      <c r="B695" s="9" t="s">
        <v>85</v>
      </c>
      <c r="C695" s="9" t="s">
        <v>1486</v>
      </c>
      <c r="D695" s="10">
        <v>45363</v>
      </c>
      <c r="E695" s="10">
        <v>45413</v>
      </c>
      <c r="F695" s="10">
        <v>45443</v>
      </c>
      <c r="G695" s="9">
        <v>3786191</v>
      </c>
      <c r="H695" s="9" t="str">
        <f t="shared" si="68"/>
        <v>Closed</v>
      </c>
      <c r="I695" s="9" t="str">
        <f t="shared" si="69"/>
        <v>All dates received</v>
      </c>
      <c r="J695" s="9" t="s">
        <v>1592</v>
      </c>
      <c r="K695" s="9">
        <v>4914</v>
      </c>
      <c r="L695" s="11">
        <v>25</v>
      </c>
      <c r="M695" s="9" t="s">
        <v>1611</v>
      </c>
      <c r="N695" s="9"/>
      <c r="O695" s="9"/>
      <c r="P695" s="9"/>
      <c r="Q695" s="11"/>
      <c r="R695" s="9" t="s">
        <v>195</v>
      </c>
      <c r="S695" s="9" t="s">
        <v>578</v>
      </c>
      <c r="T695" s="12">
        <f>IF($H695="Cancelled","",IFERROR(((Q695+INDEX(Variables!$B$6:$D$6,IFERROR(MATCH(IF($B695="Robusta","Robusta",(IF($B695="","Arabica",$B695))&amp;" - "&amp;(IF($C695="","Commercial",$C695))),Variables!$B$1:$D$1,0),1)))*22.0462)*(L695/16.67),""))</f>
        <v>9614.6295140971797</v>
      </c>
      <c r="U695" s="10"/>
      <c r="V695" s="9" t="str">
        <f t="shared" si="71"/>
        <v/>
      </c>
      <c r="W695" s="10">
        <v>45371</v>
      </c>
      <c r="X695" s="9" t="str">
        <f t="shared" si="72"/>
        <v>Approved</v>
      </c>
      <c r="Y695" s="10">
        <v>45422</v>
      </c>
      <c r="Z695" s="10">
        <f>IF($H695="Cancelled","",IFERROR(IF(F695="","",F695-Variables!$B$13),""))</f>
        <v>45428</v>
      </c>
      <c r="AA695" s="11">
        <f>IF($H695="Cancelled","",IFERROR(IF(W695="","",(AVERAGE(E695:F695)-W695)-Variables!$B$14),""))</f>
        <v>27</v>
      </c>
      <c r="AB695" s="10">
        <v>45432</v>
      </c>
      <c r="AC695" s="11">
        <f>IF($H695="Cancelled","",IFERROR(IF(AB695="","",IF(AND(W695="",Y695=""),"",IF(Y695&gt;W695,Y695+Variables!$B$15+Variables!$B$16+Variables!$B$17-AB695,W695+Variables!$B$16+Variables!$B$17-AB695))),""))</f>
        <v>5</v>
      </c>
      <c r="AD695" s="9" t="s">
        <v>180</v>
      </c>
      <c r="AE695" s="9" t="s">
        <v>181</v>
      </c>
      <c r="AF695" s="10"/>
      <c r="AG695" s="10"/>
      <c r="AH695" s="9"/>
      <c r="AI695" s="9" t="s">
        <v>1594</v>
      </c>
      <c r="AJ695" s="9" t="s">
        <v>1595</v>
      </c>
      <c r="AK695" s="10">
        <v>45442</v>
      </c>
      <c r="AL695" s="10">
        <v>45443</v>
      </c>
      <c r="AM695" s="10">
        <v>45453</v>
      </c>
      <c r="AN695" s="9" t="s">
        <v>1492</v>
      </c>
      <c r="AO695" s="9"/>
      <c r="AP695" s="11">
        <f>IF($H695="Cancelled","",IFERROR(IF(OR(AK695="",AB695=""),"",(AB695+Variables!$B$18-AK695)),""))</f>
        <v>-3</v>
      </c>
      <c r="AQ695" s="11">
        <f>IF($H695="Cancelled","",IFERROR(IF(OR(AM695="",AK695=""),"",(AK695+Variables!$B$19)-AM695),""))</f>
        <v>-6</v>
      </c>
      <c r="AR695" s="12">
        <f>IF($H695="Cancelled","",IFERROR(T695*INDEX(Variables!$B$7:$D$7,IFERROR(MATCH(IF($B695="Robusta","Robusta",(IF($B695="","Arabica",$B695))&amp;" - "&amp;(IF($C695="","Commercial",$C695))),Variables!$B$1:$D$1,0),1))*(AQ695/365),""))</f>
        <v>-10.19132816307809</v>
      </c>
      <c r="AS695" s="12">
        <f>IF($H695="Cancelled","",IFERROR((T695*INDEX(Variables!$B$7:$D$7,IFERROR(MATCH(IF($B695="Robusta","Robusta",(IF($B695="","Arabica",$B695))&amp;" - "&amp;(IF($C695="","Commercial",$C695))),Variables!$B$1:$D$1,0),1))*IFERROR(IF(W695="","",(AVERAGE(E695:F695)-W695)-Variables!$B$14),"")/365)+(L695/16.67*INDEX(Variables!$B$8:$D$8,IFERROR(MATCH(IF($B695="Robusta","Robusta",(IF($B695="","Arabica",$B695))&amp;" - "&amp;(IF($C695="","Commercial",$C695))),Variables!$B$1:$D$1,0),1))*IFERROR(IF(W695="","",(AVERAGE(E695:F695)-W695)-Variables!$B$14),""))+(T695*INDEX(Variables!$B$9:$D$9,IFERROR(MATCH(IF($B695="Robusta","Robusta",(IF($B695="","Arabica",$B695))&amp;" - "&amp;(IF($C695="","Commercial",$C695))),Variables!$B$1:$D$1,0),1))*IFERROR(IF(W695="","",(AVERAGE(E695:F695)-W695)-Variables!$B$14),"")/365),""))</f>
        <v>80.202213229486645</v>
      </c>
      <c r="AT695" s="12">
        <f>IF($H695="Cancelled","",IFERROR((T695*INDEX(Variables!$B$7:$D$7,IFERROR(MATCH(IF($B695="Robusta","Robusta",(IF($B695="","Arabica",$B695))&amp;" - "&amp;(IF($C695="","Commercial",$C695))),Variables!$B$1:$D$1,0),1))*AC695/365)+(L695/16.67*INDEX(Variables!$B$8:$D$8,IFERROR(MATCH(IF($B695="Robusta","Robusta",(IF($B695="","Arabica",$B695))&amp;" - "&amp;(IF($C695="","Commercial",$C695))),Variables!$B$1:$D$1,0),1))*AC695)+(T695*INDEX(Variables!$B$9:$D$9,IFERROR(MATCH(IF($B695="Robusta","Robusta",(IF($B695="","Arabica",$B695))&amp;" - "&amp;(IF($C695="","Commercial",$C695))),Variables!$B$1:$D$1,0),1))*AC695/365),""))</f>
        <v>14.852261709164194</v>
      </c>
      <c r="AU695" s="12">
        <f>IF($H695="Cancelled","",IFERROR((T695*INDEX(Variables!$B$7:$D$7,IFERROR(MATCH(IF($B695="Robusta","Robusta",(IF($B695="","Arabica",$B695))&amp;" - "&amp;(IF($C695="","Commercial",$C695))),Variables!$B$1:$D$1,0),1))*AP695/365)+(L695/16.67*INDEX(Variables!$B$8:$D$8,IFERROR(MATCH(IF($B695="Robusta","Robusta",(IF($B695="","Arabica",$B695))&amp;" - "&amp;(IF($C695="","Commercial",$C695))),Variables!$B$1:$D$1,0),1))*AP695)+(T695*INDEX(Variables!$B$9:$D$9,IFERROR(MATCH(IF($B695="Robusta","Robusta",(IF($B695="","Arabica",$B695))&amp;" - "&amp;(IF($C695="","Commercial",$C695))),Variables!$B$1:$D$1,0),1))*AP695/365),""))</f>
        <v>-8.9113570254985159</v>
      </c>
      <c r="AV695" s="11">
        <f t="shared" si="70"/>
        <v>1</v>
      </c>
      <c r="AW695" s="12">
        <f>IF($H695="Cancelled","",IFERROR(IF(AV695="","",(T695*INDEX(Variables!$B$7:$D$7,IFERROR(MATCH(IF($B695="Robusta","Robusta",(IF($B695="","Arabica",$B695))&amp;" - "&amp;(IF($C695="","Commercial",$C695))),Variables!$B$1:$D$1,0),1))*(AV695/365))+(T695*INDEX(Variables!$B$9:$D$9,IFERROR(MATCH(IF($B695="Robusta","Robusta",(IF($B695="","Arabica",$B695))&amp;" - "&amp;(IF($C695="","Commercial",$C695))),Variables!$B$1:$D$1,0),1))*(AV695/365))+(INDEX(Variables!$B$8:$D$8,IFERROR(MATCH(IF($B695="Robusta","Robusta",(IF($B695="","Arabica",$B695))&amp;" - "&amp;(IF($C695="","Commercial",$C695))),Variables!$B$1:$D$1,0),1))*L695/16.67)),""))</f>
        <v>2.9704523418328388</v>
      </c>
      <c r="AX695" s="9"/>
      <c r="AY695" s="12"/>
      <c r="AZ695" s="10"/>
      <c r="BA695" s="9"/>
      <c r="BB695" s="10"/>
      <c r="BC695" s="9"/>
      <c r="BD695" s="9"/>
      <c r="BE695" s="9"/>
      <c r="BF695" s="9"/>
    </row>
    <row r="696" spans="1:58" x14ac:dyDescent="0.25">
      <c r="A696" s="9" t="s">
        <v>84</v>
      </c>
      <c r="B696" s="9" t="s">
        <v>85</v>
      </c>
      <c r="C696" s="9" t="s">
        <v>1486</v>
      </c>
      <c r="D696" s="10">
        <v>45363</v>
      </c>
      <c r="E696" s="10">
        <v>45413</v>
      </c>
      <c r="F696" s="10">
        <v>45443</v>
      </c>
      <c r="G696" s="9">
        <v>3786192</v>
      </c>
      <c r="H696" s="9" t="str">
        <f t="shared" si="68"/>
        <v>Closed</v>
      </c>
      <c r="I696" s="9" t="str">
        <f t="shared" si="69"/>
        <v>All dates received</v>
      </c>
      <c r="J696" s="9" t="s">
        <v>1592</v>
      </c>
      <c r="K696" s="9">
        <v>4915</v>
      </c>
      <c r="L696" s="11">
        <v>15</v>
      </c>
      <c r="M696" s="9" t="s">
        <v>1612</v>
      </c>
      <c r="N696" s="9"/>
      <c r="O696" s="9"/>
      <c r="P696" s="9"/>
      <c r="Q696" s="11"/>
      <c r="R696" s="9" t="s">
        <v>195</v>
      </c>
      <c r="S696" s="9" t="s">
        <v>578</v>
      </c>
      <c r="T696" s="12">
        <f>IF($H696="Cancelled","",IFERROR(((Q696+INDEX(Variables!$B$6:$D$6,IFERROR(MATCH(IF($B696="Robusta","Robusta",(IF($B696="","Arabica",$B696))&amp;" - "&amp;(IF($C696="","Commercial",$C696))),Variables!$B$1:$D$1,0),1)))*22.0462)*(L696/16.67),""))</f>
        <v>5768.7777084583076</v>
      </c>
      <c r="U696" s="10"/>
      <c r="V696" s="9" t="str">
        <f t="shared" si="71"/>
        <v/>
      </c>
      <c r="W696" s="10">
        <v>45371</v>
      </c>
      <c r="X696" s="9" t="str">
        <f t="shared" si="72"/>
        <v>Approved</v>
      </c>
      <c r="Y696" s="10">
        <v>45422</v>
      </c>
      <c r="Z696" s="10">
        <f>IF($H696="Cancelled","",IFERROR(IF(F696="","",F696-Variables!$B$13),""))</f>
        <v>45428</v>
      </c>
      <c r="AA696" s="11">
        <f>IF($H696="Cancelled","",IFERROR(IF(W696="","",(AVERAGE(E696:F696)-W696)-Variables!$B$14),""))</f>
        <v>27</v>
      </c>
      <c r="AB696" s="10">
        <v>45432</v>
      </c>
      <c r="AC696" s="11">
        <f>IF($H696="Cancelled","",IFERROR(IF(AB696="","",IF(AND(W696="",Y696=""),"",IF(Y696&gt;W696,Y696+Variables!$B$15+Variables!$B$16+Variables!$B$17-AB696,W696+Variables!$B$16+Variables!$B$17-AB696))),""))</f>
        <v>5</v>
      </c>
      <c r="AD696" s="9" t="s">
        <v>180</v>
      </c>
      <c r="AE696" s="9" t="s">
        <v>181</v>
      </c>
      <c r="AF696" s="10"/>
      <c r="AG696" s="10"/>
      <c r="AH696" s="9"/>
      <c r="AI696" s="9" t="s">
        <v>1594</v>
      </c>
      <c r="AJ696" s="9" t="s">
        <v>1595</v>
      </c>
      <c r="AK696" s="10">
        <v>45442</v>
      </c>
      <c r="AL696" s="10">
        <v>45443</v>
      </c>
      <c r="AM696" s="10">
        <v>45453</v>
      </c>
      <c r="AN696" s="9" t="s">
        <v>1492</v>
      </c>
      <c r="AO696" s="9"/>
      <c r="AP696" s="11">
        <f>IF($H696="Cancelled","",IFERROR(IF(OR(AK696="",AB696=""),"",(AB696+Variables!$B$18-AK696)),""))</f>
        <v>-3</v>
      </c>
      <c r="AQ696" s="11">
        <f>IF($H696="Cancelled","",IFERROR(IF(OR(AM696="",AK696=""),"",(AK696+Variables!$B$19)-AM696),""))</f>
        <v>-6</v>
      </c>
      <c r="AR696" s="12">
        <f>IF($H696="Cancelled","",IFERROR(T696*INDEX(Variables!$B$7:$D$7,IFERROR(MATCH(IF($B696="Robusta","Robusta",(IF($B696="","Arabica",$B696))&amp;" - "&amp;(IF($C696="","Commercial",$C696))),Variables!$B$1:$D$1,0),1))*(AQ696/365),""))</f>
        <v>-6.1147968978468539</v>
      </c>
      <c r="AS696" s="12">
        <f>IF($H696="Cancelled","",IFERROR((T696*INDEX(Variables!$B$7:$D$7,IFERROR(MATCH(IF($B696="Robusta","Robusta",(IF($B696="","Arabica",$B696))&amp;" - "&amp;(IF($C696="","Commercial",$C696))),Variables!$B$1:$D$1,0),1))*IFERROR(IF(W696="","",(AVERAGE(E696:F696)-W696)-Variables!$B$14),"")/365)+(L696/16.67*INDEX(Variables!$B$8:$D$8,IFERROR(MATCH(IF($B696="Robusta","Robusta",(IF($B696="","Arabica",$B696))&amp;" - "&amp;(IF($C696="","Commercial",$C696))),Variables!$B$1:$D$1,0),1))*IFERROR(IF(W696="","",(AVERAGE(E696:F696)-W696)-Variables!$B$14),""))+(T696*INDEX(Variables!$B$9:$D$9,IFERROR(MATCH(IF($B696="Robusta","Robusta",(IF($B696="","Arabica",$B696))&amp;" - "&amp;(IF($C696="","Commercial",$C696))),Variables!$B$1:$D$1,0),1))*IFERROR(IF(W696="","",(AVERAGE(E696:F696)-W696)-Variables!$B$14),"")/365),""))</f>
        <v>48.121327937691987</v>
      </c>
      <c r="AT696" s="12">
        <f>IF($H696="Cancelled","",IFERROR((T696*INDEX(Variables!$B$7:$D$7,IFERROR(MATCH(IF($B696="Robusta","Robusta",(IF($B696="","Arabica",$B696))&amp;" - "&amp;(IF($C696="","Commercial",$C696))),Variables!$B$1:$D$1,0),1))*AC696/365)+(L696/16.67*INDEX(Variables!$B$8:$D$8,IFERROR(MATCH(IF($B696="Robusta","Robusta",(IF($B696="","Arabica",$B696))&amp;" - "&amp;(IF($C696="","Commercial",$C696))),Variables!$B$1:$D$1,0),1))*AC696)+(T696*INDEX(Variables!$B$9:$D$9,IFERROR(MATCH(IF($B696="Robusta","Robusta",(IF($B696="","Arabica",$B696))&amp;" - "&amp;(IF($C696="","Commercial",$C696))),Variables!$B$1:$D$1,0),1))*AC696/365),""))</f>
        <v>8.9113570254985159</v>
      </c>
      <c r="AU696" s="12">
        <f>IF($H696="Cancelled","",IFERROR((T696*INDEX(Variables!$B$7:$D$7,IFERROR(MATCH(IF($B696="Robusta","Robusta",(IF($B696="","Arabica",$B696))&amp;" - "&amp;(IF($C696="","Commercial",$C696))),Variables!$B$1:$D$1,0),1))*AP696/365)+(L696/16.67*INDEX(Variables!$B$8:$D$8,IFERROR(MATCH(IF($B696="Robusta","Robusta",(IF($B696="","Arabica",$B696))&amp;" - "&amp;(IF($C696="","Commercial",$C696))),Variables!$B$1:$D$1,0),1))*AP696)+(T696*INDEX(Variables!$B$9:$D$9,IFERROR(MATCH(IF($B696="Robusta","Robusta",(IF($B696="","Arabica",$B696))&amp;" - "&amp;(IF($C696="","Commercial",$C696))),Variables!$B$1:$D$1,0),1))*AP696/365),""))</f>
        <v>-5.3468142152991103</v>
      </c>
      <c r="AV696" s="11">
        <f t="shared" si="70"/>
        <v>1</v>
      </c>
      <c r="AW696" s="12">
        <f>IF($H696="Cancelled","",IFERROR(IF(AV696="","",(T696*INDEX(Variables!$B$7:$D$7,IFERROR(MATCH(IF($B696="Robusta","Robusta",(IF($B696="","Arabica",$B696))&amp;" - "&amp;(IF($C696="","Commercial",$C696))),Variables!$B$1:$D$1,0),1))*(AV696/365))+(T696*INDEX(Variables!$B$9:$D$9,IFERROR(MATCH(IF($B696="Robusta","Robusta",(IF($B696="","Arabica",$B696))&amp;" - "&amp;(IF($C696="","Commercial",$C696))),Variables!$B$1:$D$1,0),1))*(AV696/365))+(INDEX(Variables!$B$8:$D$8,IFERROR(MATCH(IF($B696="Robusta","Robusta",(IF($B696="","Arabica",$B696))&amp;" - "&amp;(IF($C696="","Commercial",$C696))),Variables!$B$1:$D$1,0),1))*L696/16.67)),""))</f>
        <v>1.7822714050997033</v>
      </c>
      <c r="AX696" s="9"/>
      <c r="AY696" s="12"/>
      <c r="AZ696" s="10"/>
      <c r="BA696" s="9"/>
      <c r="BB696" s="10"/>
      <c r="BC696" s="9"/>
      <c r="BD696" s="9"/>
      <c r="BE696" s="9"/>
      <c r="BF696" s="9"/>
    </row>
    <row r="697" spans="1:58" x14ac:dyDescent="0.25">
      <c r="A697" s="9" t="s">
        <v>84</v>
      </c>
      <c r="B697" s="9" t="s">
        <v>85</v>
      </c>
      <c r="C697" s="9" t="s">
        <v>1486</v>
      </c>
      <c r="D697" s="10">
        <v>45363</v>
      </c>
      <c r="E697" s="10">
        <v>45413</v>
      </c>
      <c r="F697" s="10">
        <v>45443</v>
      </c>
      <c r="G697" s="9">
        <v>3786193</v>
      </c>
      <c r="H697" s="9" t="str">
        <f t="shared" si="68"/>
        <v>Closed</v>
      </c>
      <c r="I697" s="9" t="str">
        <f t="shared" si="69"/>
        <v>All dates received</v>
      </c>
      <c r="J697" s="9" t="s">
        <v>1592</v>
      </c>
      <c r="K697" s="9">
        <v>4916</v>
      </c>
      <c r="L697" s="11">
        <v>15</v>
      </c>
      <c r="M697" s="9" t="s">
        <v>1613</v>
      </c>
      <c r="N697" s="9"/>
      <c r="O697" s="9"/>
      <c r="P697" s="9"/>
      <c r="Q697" s="11"/>
      <c r="R697" s="9" t="s">
        <v>195</v>
      </c>
      <c r="S697" s="9" t="s">
        <v>578</v>
      </c>
      <c r="T697" s="12">
        <f>IF($H697="Cancelled","",IFERROR(((Q697+INDEX(Variables!$B$6:$D$6,IFERROR(MATCH(IF($B697="Robusta","Robusta",(IF($B697="","Arabica",$B697))&amp;" - "&amp;(IF($C697="","Commercial",$C697))),Variables!$B$1:$D$1,0),1)))*22.0462)*(L697/16.67),""))</f>
        <v>5768.7777084583076</v>
      </c>
      <c r="U697" s="10"/>
      <c r="V697" s="9" t="str">
        <f t="shared" si="71"/>
        <v/>
      </c>
      <c r="W697" s="10">
        <v>45371</v>
      </c>
      <c r="X697" s="9" t="str">
        <f t="shared" si="72"/>
        <v>Approved</v>
      </c>
      <c r="Y697" s="10">
        <v>45422</v>
      </c>
      <c r="Z697" s="10">
        <f>IF($H697="Cancelled","",IFERROR(IF(F697="","",F697-Variables!$B$13),""))</f>
        <v>45428</v>
      </c>
      <c r="AA697" s="11">
        <f>IF($H697="Cancelled","",IFERROR(IF(W697="","",(AVERAGE(E697:F697)-W697)-Variables!$B$14),""))</f>
        <v>27</v>
      </c>
      <c r="AB697" s="10">
        <v>45432</v>
      </c>
      <c r="AC697" s="11">
        <f>IF($H697="Cancelled","",IFERROR(IF(AB697="","",IF(AND(W697="",Y697=""),"",IF(Y697&gt;W697,Y697+Variables!$B$15+Variables!$B$16+Variables!$B$17-AB697,W697+Variables!$B$16+Variables!$B$17-AB697))),""))</f>
        <v>5</v>
      </c>
      <c r="AD697" s="9" t="s">
        <v>180</v>
      </c>
      <c r="AE697" s="9" t="s">
        <v>181</v>
      </c>
      <c r="AF697" s="10"/>
      <c r="AG697" s="10"/>
      <c r="AH697" s="9"/>
      <c r="AI697" s="9" t="s">
        <v>1594</v>
      </c>
      <c r="AJ697" s="9" t="s">
        <v>1595</v>
      </c>
      <c r="AK697" s="10">
        <v>45442</v>
      </c>
      <c r="AL697" s="10">
        <v>45443</v>
      </c>
      <c r="AM697" s="10">
        <v>45453</v>
      </c>
      <c r="AN697" s="9" t="s">
        <v>1492</v>
      </c>
      <c r="AO697" s="9"/>
      <c r="AP697" s="11">
        <f>IF($H697="Cancelled","",IFERROR(IF(OR(AK697="",AB697=""),"",(AB697+Variables!$B$18-AK697)),""))</f>
        <v>-3</v>
      </c>
      <c r="AQ697" s="11">
        <f>IF($H697="Cancelled","",IFERROR(IF(OR(AM697="",AK697=""),"",(AK697+Variables!$B$19)-AM697),""))</f>
        <v>-6</v>
      </c>
      <c r="AR697" s="12">
        <f>IF($H697="Cancelled","",IFERROR(T697*INDEX(Variables!$B$7:$D$7,IFERROR(MATCH(IF($B697="Robusta","Robusta",(IF($B697="","Arabica",$B697))&amp;" - "&amp;(IF($C697="","Commercial",$C697))),Variables!$B$1:$D$1,0),1))*(AQ697/365),""))</f>
        <v>-6.1147968978468539</v>
      </c>
      <c r="AS697" s="12">
        <f>IF($H697="Cancelled","",IFERROR((T697*INDEX(Variables!$B$7:$D$7,IFERROR(MATCH(IF($B697="Robusta","Robusta",(IF($B697="","Arabica",$B697))&amp;" - "&amp;(IF($C697="","Commercial",$C697))),Variables!$B$1:$D$1,0),1))*IFERROR(IF(W697="","",(AVERAGE(E697:F697)-W697)-Variables!$B$14),"")/365)+(L697/16.67*INDEX(Variables!$B$8:$D$8,IFERROR(MATCH(IF($B697="Robusta","Robusta",(IF($B697="","Arabica",$B697))&amp;" - "&amp;(IF($C697="","Commercial",$C697))),Variables!$B$1:$D$1,0),1))*IFERROR(IF(W697="","",(AVERAGE(E697:F697)-W697)-Variables!$B$14),""))+(T697*INDEX(Variables!$B$9:$D$9,IFERROR(MATCH(IF($B697="Robusta","Robusta",(IF($B697="","Arabica",$B697))&amp;" - "&amp;(IF($C697="","Commercial",$C697))),Variables!$B$1:$D$1,0),1))*IFERROR(IF(W697="","",(AVERAGE(E697:F697)-W697)-Variables!$B$14),"")/365),""))</f>
        <v>48.121327937691987</v>
      </c>
      <c r="AT697" s="12">
        <f>IF($H697="Cancelled","",IFERROR((T697*INDEX(Variables!$B$7:$D$7,IFERROR(MATCH(IF($B697="Robusta","Robusta",(IF($B697="","Arabica",$B697))&amp;" - "&amp;(IF($C697="","Commercial",$C697))),Variables!$B$1:$D$1,0),1))*AC697/365)+(L697/16.67*INDEX(Variables!$B$8:$D$8,IFERROR(MATCH(IF($B697="Robusta","Robusta",(IF($B697="","Arabica",$B697))&amp;" - "&amp;(IF($C697="","Commercial",$C697))),Variables!$B$1:$D$1,0),1))*AC697)+(T697*INDEX(Variables!$B$9:$D$9,IFERROR(MATCH(IF($B697="Robusta","Robusta",(IF($B697="","Arabica",$B697))&amp;" - "&amp;(IF($C697="","Commercial",$C697))),Variables!$B$1:$D$1,0),1))*AC697/365),""))</f>
        <v>8.9113570254985159</v>
      </c>
      <c r="AU697" s="12">
        <f>IF($H697="Cancelled","",IFERROR((T697*INDEX(Variables!$B$7:$D$7,IFERROR(MATCH(IF($B697="Robusta","Robusta",(IF($B697="","Arabica",$B697))&amp;" - "&amp;(IF($C697="","Commercial",$C697))),Variables!$B$1:$D$1,0),1))*AP697/365)+(L697/16.67*INDEX(Variables!$B$8:$D$8,IFERROR(MATCH(IF($B697="Robusta","Robusta",(IF($B697="","Arabica",$B697))&amp;" - "&amp;(IF($C697="","Commercial",$C697))),Variables!$B$1:$D$1,0),1))*AP697)+(T697*INDEX(Variables!$B$9:$D$9,IFERROR(MATCH(IF($B697="Robusta","Robusta",(IF($B697="","Arabica",$B697))&amp;" - "&amp;(IF($C697="","Commercial",$C697))),Variables!$B$1:$D$1,0),1))*AP697/365),""))</f>
        <v>-5.3468142152991103</v>
      </c>
      <c r="AV697" s="11">
        <f t="shared" si="70"/>
        <v>1</v>
      </c>
      <c r="AW697" s="12">
        <f>IF($H697="Cancelled","",IFERROR(IF(AV697="","",(T697*INDEX(Variables!$B$7:$D$7,IFERROR(MATCH(IF($B697="Robusta","Robusta",(IF($B697="","Arabica",$B697))&amp;" - "&amp;(IF($C697="","Commercial",$C697))),Variables!$B$1:$D$1,0),1))*(AV697/365))+(T697*INDEX(Variables!$B$9:$D$9,IFERROR(MATCH(IF($B697="Robusta","Robusta",(IF($B697="","Arabica",$B697))&amp;" - "&amp;(IF($C697="","Commercial",$C697))),Variables!$B$1:$D$1,0),1))*(AV697/365))+(INDEX(Variables!$B$8:$D$8,IFERROR(MATCH(IF($B697="Robusta","Robusta",(IF($B697="","Arabica",$B697))&amp;" - "&amp;(IF($C697="","Commercial",$C697))),Variables!$B$1:$D$1,0),1))*L697/16.67)),""))</f>
        <v>1.7822714050997033</v>
      </c>
      <c r="AX697" s="9"/>
      <c r="AY697" s="12"/>
      <c r="AZ697" s="10"/>
      <c r="BA697" s="9"/>
      <c r="BB697" s="10"/>
      <c r="BC697" s="9"/>
      <c r="BD697" s="9"/>
      <c r="BE697" s="9"/>
      <c r="BF697" s="9"/>
    </row>
    <row r="698" spans="1:58" x14ac:dyDescent="0.25">
      <c r="A698" s="9" t="s">
        <v>84</v>
      </c>
      <c r="B698" s="9" t="s">
        <v>85</v>
      </c>
      <c r="C698" s="9" t="s">
        <v>1486</v>
      </c>
      <c r="D698" s="10">
        <v>45365</v>
      </c>
      <c r="E698" s="10">
        <v>45383</v>
      </c>
      <c r="F698" s="10">
        <v>45443</v>
      </c>
      <c r="G698" s="9">
        <v>3786195</v>
      </c>
      <c r="H698" s="9" t="str">
        <f t="shared" si="68"/>
        <v>Closed</v>
      </c>
      <c r="I698" s="9" t="str">
        <f t="shared" si="69"/>
        <v>All dates received</v>
      </c>
      <c r="J698" s="9" t="s">
        <v>235</v>
      </c>
      <c r="K698" s="9">
        <v>4794</v>
      </c>
      <c r="L698" s="11">
        <v>87</v>
      </c>
      <c r="M698" s="9" t="s">
        <v>1614</v>
      </c>
      <c r="N698" s="9"/>
      <c r="O698" s="9"/>
      <c r="P698" s="9"/>
      <c r="Q698" s="11"/>
      <c r="R698" s="9" t="s">
        <v>195</v>
      </c>
      <c r="S698" s="9" t="s">
        <v>106</v>
      </c>
      <c r="T698" s="12">
        <f>IF($H698="Cancelled","",IFERROR(((Q698+INDEX(Variables!$B$6:$D$6,IFERROR(MATCH(IF($B698="Robusta","Robusta",(IF($B698="","Arabica",$B698))&amp;" - "&amp;(IF($C698="","Commercial",$C698))),Variables!$B$1:$D$1,0),1)))*22.0462)*(L698/16.67),""))</f>
        <v>33458.910709058182</v>
      </c>
      <c r="U698" s="10"/>
      <c r="V698" s="9" t="str">
        <f t="shared" si="71"/>
        <v/>
      </c>
      <c r="W698" s="10">
        <v>45371</v>
      </c>
      <c r="X698" s="9" t="str">
        <f t="shared" si="72"/>
        <v>Approved</v>
      </c>
      <c r="Y698" s="10">
        <v>45381</v>
      </c>
      <c r="Z698" s="10">
        <f>IF($H698="Cancelled","",IFERROR(IF(F698="","",F698-Variables!$B$13),""))</f>
        <v>45428</v>
      </c>
      <c r="AA698" s="11">
        <f>IF($H698="Cancelled","",IFERROR(IF(W698="","",(AVERAGE(E698:F698)-W698)-Variables!$B$14),""))</f>
        <v>12</v>
      </c>
      <c r="AB698" s="10">
        <v>45401</v>
      </c>
      <c r="AC698" s="11">
        <f>IF($H698="Cancelled","",IFERROR(IF(AB698="","",IF(AND(W698="",Y698=""),"",IF(Y698&gt;W698,Y698+Variables!$B$15+Variables!$B$16+Variables!$B$17-AB698,W698+Variables!$B$16+Variables!$B$17-AB698))),""))</f>
        <v>-5</v>
      </c>
      <c r="AD698" s="9" t="s">
        <v>107</v>
      </c>
      <c r="AE698" s="9" t="s">
        <v>364</v>
      </c>
      <c r="AF698" s="10"/>
      <c r="AG698" s="10"/>
      <c r="AH698" s="9"/>
      <c r="AI698" s="9" t="s">
        <v>1541</v>
      </c>
      <c r="AJ698" s="9" t="s">
        <v>1615</v>
      </c>
      <c r="AK698" s="10">
        <v>45418</v>
      </c>
      <c r="AL698" s="10">
        <v>45421</v>
      </c>
      <c r="AM698" s="10">
        <v>45426</v>
      </c>
      <c r="AN698" s="9" t="s">
        <v>1492</v>
      </c>
      <c r="AO698" s="9"/>
      <c r="AP698" s="11">
        <f>IF($H698="Cancelled","",IFERROR(IF(OR(AK698="",AB698=""),"",(AB698+Variables!$B$18-AK698)),""))</f>
        <v>-10</v>
      </c>
      <c r="AQ698" s="11">
        <f>IF($H698="Cancelled","",IFERROR(IF(OR(AM698="",AK698=""),"",(AK698+Variables!$B$19)-AM698),""))</f>
        <v>-3</v>
      </c>
      <c r="AR698" s="12">
        <f>IF($H698="Cancelled","",IFERROR(T698*INDEX(Variables!$B$7:$D$7,IFERROR(MATCH(IF($B698="Robusta","Robusta",(IF($B698="","Arabica",$B698))&amp;" - "&amp;(IF($C698="","Commercial",$C698))),Variables!$B$1:$D$1,0),1))*(AQ698/365),""))</f>
        <v>-17.732911003755873</v>
      </c>
      <c r="AS698" s="12">
        <f>IF($H698="Cancelled","",IFERROR((T698*INDEX(Variables!$B$7:$D$7,IFERROR(MATCH(IF($B698="Robusta","Robusta",(IF($B698="","Arabica",$B698))&amp;" - "&amp;(IF($C698="","Commercial",$C698))),Variables!$B$1:$D$1,0),1))*IFERROR(IF(W698="","",(AVERAGE(E698:F698)-W698)-Variables!$B$14),"")/365)+(L698/16.67*INDEX(Variables!$B$8:$D$8,IFERROR(MATCH(IF($B698="Robusta","Robusta",(IF($B698="","Arabica",$B698))&amp;" - "&amp;(IF($C698="","Commercial",$C698))),Variables!$B$1:$D$1,0),1))*IFERROR(IF(W698="","",(AVERAGE(E698:F698)-W698)-Variables!$B$14),""))+(T698*INDEX(Variables!$B$9:$D$9,IFERROR(MATCH(IF($B698="Robusta","Robusta",(IF($B698="","Arabica",$B698))&amp;" - "&amp;(IF($C698="","Commercial",$C698))),Variables!$B$1:$D$1,0),1))*IFERROR(IF(W698="","",(AVERAGE(E698:F698)-W698)-Variables!$B$14),"")/365),""))</f>
        <v>124.04608979493932</v>
      </c>
      <c r="AT698" s="12">
        <f>IF($H698="Cancelled","",IFERROR((T698*INDEX(Variables!$B$7:$D$7,IFERROR(MATCH(IF($B698="Robusta","Robusta",(IF($B698="","Arabica",$B698))&amp;" - "&amp;(IF($C698="","Commercial",$C698))),Variables!$B$1:$D$1,0),1))*AC698/365)+(L698/16.67*INDEX(Variables!$B$8:$D$8,IFERROR(MATCH(IF($B698="Robusta","Robusta",(IF($B698="","Arabica",$B698))&amp;" - "&amp;(IF($C698="","Commercial",$C698))),Variables!$B$1:$D$1,0),1))*AC698)+(T698*INDEX(Variables!$B$9:$D$9,IFERROR(MATCH(IF($B698="Robusta","Robusta",(IF($B698="","Arabica",$B698))&amp;" - "&amp;(IF($C698="","Commercial",$C698))),Variables!$B$1:$D$1,0),1))*AC698/365),""))</f>
        <v>-51.685870747891393</v>
      </c>
      <c r="AU698" s="12">
        <f>IF($H698="Cancelled","",IFERROR((T698*INDEX(Variables!$B$7:$D$7,IFERROR(MATCH(IF($B698="Robusta","Robusta",(IF($B698="","Arabica",$B698))&amp;" - "&amp;(IF($C698="","Commercial",$C698))),Variables!$B$1:$D$1,0),1))*AP698/365)+(L698/16.67*INDEX(Variables!$B$8:$D$8,IFERROR(MATCH(IF($B698="Robusta","Robusta",(IF($B698="","Arabica",$B698))&amp;" - "&amp;(IF($C698="","Commercial",$C698))),Variables!$B$1:$D$1,0),1))*AP698)+(T698*INDEX(Variables!$B$9:$D$9,IFERROR(MATCH(IF($B698="Robusta","Robusta",(IF($B698="","Arabica",$B698))&amp;" - "&amp;(IF($C698="","Commercial",$C698))),Variables!$B$1:$D$1,0),1))*AP698/365),""))</f>
        <v>-103.37174149578279</v>
      </c>
      <c r="AV698" s="11">
        <f t="shared" si="70"/>
        <v>25</v>
      </c>
      <c r="AW698" s="12">
        <f>IF($H698="Cancelled","",IFERROR(IF(AV698="","",(T698*INDEX(Variables!$B$7:$D$7,IFERROR(MATCH(IF($B698="Robusta","Robusta",(IF($B698="","Arabica",$B698))&amp;" - "&amp;(IF($C698="","Commercial",$C698))),Variables!$B$1:$D$1,0),1))*(AV698/365))+(T698*INDEX(Variables!$B$9:$D$9,IFERROR(MATCH(IF($B698="Robusta","Robusta",(IF($B698="","Arabica",$B698))&amp;" - "&amp;(IF($C698="","Commercial",$C698))),Variables!$B$1:$D$1,0),1))*(AV698/365))+(INDEX(Variables!$B$8:$D$8,IFERROR(MATCH(IF($B698="Robusta","Robusta",(IF($B698="","Arabica",$B698))&amp;" - "&amp;(IF($C698="","Commercial",$C698))),Variables!$B$1:$D$1,0),1))*L698/16.67)),""))</f>
        <v>154.02935373945695</v>
      </c>
      <c r="AX698" s="9"/>
      <c r="AY698" s="12"/>
      <c r="AZ698" s="10"/>
      <c r="BA698" s="9"/>
      <c r="BB698" s="10"/>
      <c r="BC698" s="9"/>
      <c r="BD698" s="9"/>
      <c r="BE698" s="9"/>
      <c r="BF698" s="9"/>
    </row>
    <row r="699" spans="1:58" x14ac:dyDescent="0.25">
      <c r="A699" s="9" t="s">
        <v>84</v>
      </c>
      <c r="B699" s="9" t="s">
        <v>85</v>
      </c>
      <c r="C699" s="9" t="s">
        <v>1486</v>
      </c>
      <c r="D699" s="10">
        <v>45369</v>
      </c>
      <c r="E699" s="10">
        <v>45413</v>
      </c>
      <c r="F699" s="10">
        <v>45443</v>
      </c>
      <c r="G699" s="9">
        <v>3786198</v>
      </c>
      <c r="H699" s="9" t="str">
        <f t="shared" si="68"/>
        <v>Closed</v>
      </c>
      <c r="I699" s="9" t="str">
        <f t="shared" si="69"/>
        <v>All dates received</v>
      </c>
      <c r="J699" s="9" t="s">
        <v>303</v>
      </c>
      <c r="K699" s="9">
        <v>4881</v>
      </c>
      <c r="L699" s="11">
        <v>3</v>
      </c>
      <c r="M699" s="9" t="s">
        <v>1616</v>
      </c>
      <c r="N699" s="9"/>
      <c r="O699" s="9"/>
      <c r="P699" s="9"/>
      <c r="Q699" s="11"/>
      <c r="R699" s="9" t="s">
        <v>195</v>
      </c>
      <c r="S699" s="9" t="s">
        <v>91</v>
      </c>
      <c r="T699" s="12">
        <f>IF($H699="Cancelled","",IFERROR(((Q699+INDEX(Variables!$B$6:$D$6,IFERROR(MATCH(IF($B699="Robusta","Robusta",(IF($B699="","Arabica",$B699))&amp;" - "&amp;(IF($C699="","Commercial",$C699))),Variables!$B$1:$D$1,0),1)))*22.0462)*(L699/16.67),""))</f>
        <v>1153.7555416916614</v>
      </c>
      <c r="U699" s="10"/>
      <c r="V699" s="9" t="str">
        <f t="shared" si="71"/>
        <v/>
      </c>
      <c r="W699" s="10">
        <v>45371</v>
      </c>
      <c r="X699" s="9" t="str">
        <f t="shared" si="72"/>
        <v>Approved</v>
      </c>
      <c r="Y699" s="10">
        <v>45412</v>
      </c>
      <c r="Z699" s="10">
        <f>IF($H699="Cancelled","",IFERROR(IF(F699="","",F699-Variables!$B$13),""))</f>
        <v>45428</v>
      </c>
      <c r="AA699" s="11">
        <f>IF($H699="Cancelled","",IFERROR(IF(W699="","",(AVERAGE(E699:F699)-W699)-Variables!$B$14),""))</f>
        <v>27</v>
      </c>
      <c r="AB699" s="10">
        <v>45419</v>
      </c>
      <c r="AC699" s="11">
        <f>IF($H699="Cancelled","",IFERROR(IF(AB699="","",IF(AND(W699="",Y699=""),"",IF(Y699&gt;W699,Y699+Variables!$B$15+Variables!$B$16+Variables!$B$17-AB699,W699+Variables!$B$16+Variables!$B$17-AB699))),""))</f>
        <v>8</v>
      </c>
      <c r="AD699" s="9" t="s">
        <v>305</v>
      </c>
      <c r="AE699" s="9" t="s">
        <v>254</v>
      </c>
      <c r="AF699" s="10"/>
      <c r="AG699" s="10"/>
      <c r="AH699" s="9"/>
      <c r="AI699" s="9" t="s">
        <v>306</v>
      </c>
      <c r="AJ699" s="9" t="s">
        <v>307</v>
      </c>
      <c r="AK699" s="10">
        <v>45429</v>
      </c>
      <c r="AL699" s="10">
        <v>45432</v>
      </c>
      <c r="AM699" s="10">
        <v>45436</v>
      </c>
      <c r="AN699" s="9" t="s">
        <v>1492</v>
      </c>
      <c r="AO699" s="9"/>
      <c r="AP699" s="11">
        <f>IF($H699="Cancelled","",IFERROR(IF(OR(AK699="",AB699=""),"",(AB699+Variables!$B$18-AK699)),""))</f>
        <v>-3</v>
      </c>
      <c r="AQ699" s="11">
        <f>IF($H699="Cancelled","",IFERROR(IF(OR(AM699="",AK699=""),"",(AK699+Variables!$B$19)-AM699),""))</f>
        <v>-2</v>
      </c>
      <c r="AR699" s="12">
        <f>IF($H699="Cancelled","",IFERROR(T699*INDEX(Variables!$B$7:$D$7,IFERROR(MATCH(IF($B699="Robusta","Robusta",(IF($B699="","Arabica",$B699))&amp;" - "&amp;(IF($C699="","Commercial",$C699))),Variables!$B$1:$D$1,0),1))*(AQ699/365),""))</f>
        <v>-0.40765312652312352</v>
      </c>
      <c r="AS699" s="12">
        <f>IF($H699="Cancelled","",IFERROR((T699*INDEX(Variables!$B$7:$D$7,IFERROR(MATCH(IF($B699="Robusta","Robusta",(IF($B699="","Arabica",$B699))&amp;" - "&amp;(IF($C699="","Commercial",$C699))),Variables!$B$1:$D$1,0),1))*IFERROR(IF(W699="","",(AVERAGE(E699:F699)-W699)-Variables!$B$14),"")/365)+(L699/16.67*INDEX(Variables!$B$8:$D$8,IFERROR(MATCH(IF($B699="Robusta","Robusta",(IF($B699="","Arabica",$B699))&amp;" - "&amp;(IF($C699="","Commercial",$C699))),Variables!$B$1:$D$1,0),1))*IFERROR(IF(W699="","",(AVERAGE(E699:F699)-W699)-Variables!$B$14),""))+(T699*INDEX(Variables!$B$9:$D$9,IFERROR(MATCH(IF($B699="Robusta","Robusta",(IF($B699="","Arabica",$B699))&amp;" - "&amp;(IF($C699="","Commercial",$C699))),Variables!$B$1:$D$1,0),1))*IFERROR(IF(W699="","",(AVERAGE(E699:F699)-W699)-Variables!$B$14),"")/365),""))</f>
        <v>9.6242655875383978</v>
      </c>
      <c r="AT699" s="12">
        <f>IF($H699="Cancelled","",IFERROR((T699*INDEX(Variables!$B$7:$D$7,IFERROR(MATCH(IF($B699="Robusta","Robusta",(IF($B699="","Arabica",$B699))&amp;" - "&amp;(IF($C699="","Commercial",$C699))),Variables!$B$1:$D$1,0),1))*AC699/365)+(L699/16.67*INDEX(Variables!$B$8:$D$8,IFERROR(MATCH(IF($B699="Robusta","Robusta",(IF($B699="","Arabica",$B699))&amp;" - "&amp;(IF($C699="","Commercial",$C699))),Variables!$B$1:$D$1,0),1))*AC699)+(T699*INDEX(Variables!$B$9:$D$9,IFERROR(MATCH(IF($B699="Robusta","Robusta",(IF($B699="","Arabica",$B699))&amp;" - "&amp;(IF($C699="","Commercial",$C699))),Variables!$B$1:$D$1,0),1))*AC699/365),""))</f>
        <v>2.8516342481595247</v>
      </c>
      <c r="AU699" s="12">
        <f>IF($H699="Cancelled","",IFERROR((T699*INDEX(Variables!$B$7:$D$7,IFERROR(MATCH(IF($B699="Robusta","Robusta",(IF($B699="","Arabica",$B699))&amp;" - "&amp;(IF($C699="","Commercial",$C699))),Variables!$B$1:$D$1,0),1))*AP699/365)+(L699/16.67*INDEX(Variables!$B$8:$D$8,IFERROR(MATCH(IF($B699="Robusta","Robusta",(IF($B699="","Arabica",$B699))&amp;" - "&amp;(IF($C699="","Commercial",$C699))),Variables!$B$1:$D$1,0),1))*AP699)+(T699*INDEX(Variables!$B$9:$D$9,IFERROR(MATCH(IF($B699="Robusta","Robusta",(IF($B699="","Arabica",$B699))&amp;" - "&amp;(IF($C699="","Commercial",$C699))),Variables!$B$1:$D$1,0),1))*AP699/365),""))</f>
        <v>-1.0693628430598217</v>
      </c>
      <c r="AV699" s="11">
        <f t="shared" si="70"/>
        <v>14</v>
      </c>
      <c r="AW699" s="12">
        <f>IF($H699="Cancelled","",IFERROR(IF(AV699="","",(T699*INDEX(Variables!$B$7:$D$7,IFERROR(MATCH(IF($B699="Robusta","Robusta",(IF($B699="","Arabica",$B699))&amp;" - "&amp;(IF($C699="","Commercial",$C699))),Variables!$B$1:$D$1,0),1))*(AV699/365))+(T699*INDEX(Variables!$B$9:$D$9,IFERROR(MATCH(IF($B699="Robusta","Robusta",(IF($B699="","Arabica",$B699))&amp;" - "&amp;(IF($C699="","Commercial",$C699))),Variables!$B$1:$D$1,0),1))*(AV699/365))+(INDEX(Variables!$B$8:$D$8,IFERROR(MATCH(IF($B699="Robusta","Robusta",(IF($B699="","Arabica",$B699))&amp;" - "&amp;(IF($C699="","Commercial",$C699))),Variables!$B$1:$D$1,0),1))*L699/16.67)),""))</f>
        <v>3.0403599342791687</v>
      </c>
      <c r="AX699" s="9"/>
      <c r="AY699" s="12"/>
      <c r="AZ699" s="10"/>
      <c r="BA699" s="9"/>
      <c r="BB699" s="10"/>
      <c r="BC699" s="9"/>
      <c r="BD699" s="9"/>
      <c r="BE699" s="9"/>
      <c r="BF699" s="9"/>
    </row>
    <row r="700" spans="1:58" x14ac:dyDescent="0.25">
      <c r="A700" s="9" t="s">
        <v>84</v>
      </c>
      <c r="B700" s="9" t="s">
        <v>85</v>
      </c>
      <c r="C700" s="9" t="s">
        <v>1486</v>
      </c>
      <c r="D700" s="10">
        <v>45369</v>
      </c>
      <c r="E700" s="10">
        <v>45413</v>
      </c>
      <c r="F700" s="10">
        <v>45443</v>
      </c>
      <c r="G700" s="9">
        <v>3786199</v>
      </c>
      <c r="H700" s="9" t="str">
        <f t="shared" si="68"/>
        <v>Closed</v>
      </c>
      <c r="I700" s="9" t="str">
        <f t="shared" si="69"/>
        <v>All dates received</v>
      </c>
      <c r="J700" s="9" t="s">
        <v>303</v>
      </c>
      <c r="K700" s="9">
        <v>4882</v>
      </c>
      <c r="L700" s="11">
        <v>3</v>
      </c>
      <c r="M700" s="9" t="s">
        <v>1617</v>
      </c>
      <c r="N700" s="9"/>
      <c r="O700" s="9"/>
      <c r="P700" s="9"/>
      <c r="Q700" s="11"/>
      <c r="R700" s="9" t="s">
        <v>195</v>
      </c>
      <c r="S700" s="9" t="s">
        <v>91</v>
      </c>
      <c r="T700" s="12">
        <f>IF($H700="Cancelled","",IFERROR(((Q700+INDEX(Variables!$B$6:$D$6,IFERROR(MATCH(IF($B700="Robusta","Robusta",(IF($B700="","Arabica",$B700))&amp;" - "&amp;(IF($C700="","Commercial",$C700))),Variables!$B$1:$D$1,0),1)))*22.0462)*(L700/16.67),""))</f>
        <v>1153.7555416916614</v>
      </c>
      <c r="U700" s="10"/>
      <c r="V700" s="9" t="str">
        <f t="shared" si="71"/>
        <v/>
      </c>
      <c r="W700" s="10">
        <v>45371</v>
      </c>
      <c r="X700" s="9" t="str">
        <f t="shared" si="72"/>
        <v>Approved</v>
      </c>
      <c r="Y700" s="10">
        <v>45412</v>
      </c>
      <c r="Z700" s="10">
        <f>IF($H700="Cancelled","",IFERROR(IF(F700="","",F700-Variables!$B$13),""))</f>
        <v>45428</v>
      </c>
      <c r="AA700" s="11">
        <f>IF($H700="Cancelled","",IFERROR(IF(W700="","",(AVERAGE(E700:F700)-W700)-Variables!$B$14),""))</f>
        <v>27</v>
      </c>
      <c r="AB700" s="10">
        <v>45419</v>
      </c>
      <c r="AC700" s="11">
        <f>IF($H700="Cancelled","",IFERROR(IF(AB700="","",IF(AND(W700="",Y700=""),"",IF(Y700&gt;W700,Y700+Variables!$B$15+Variables!$B$16+Variables!$B$17-AB700,W700+Variables!$B$16+Variables!$B$17-AB700))),""))</f>
        <v>8</v>
      </c>
      <c r="AD700" s="9" t="s">
        <v>305</v>
      </c>
      <c r="AE700" s="9" t="s">
        <v>254</v>
      </c>
      <c r="AF700" s="10"/>
      <c r="AG700" s="10"/>
      <c r="AH700" s="9"/>
      <c r="AI700" s="9" t="s">
        <v>306</v>
      </c>
      <c r="AJ700" s="9" t="s">
        <v>307</v>
      </c>
      <c r="AK700" s="10">
        <v>45429</v>
      </c>
      <c r="AL700" s="10">
        <v>45432</v>
      </c>
      <c r="AM700" s="10">
        <v>45436</v>
      </c>
      <c r="AN700" s="9" t="s">
        <v>1492</v>
      </c>
      <c r="AO700" s="9"/>
      <c r="AP700" s="11">
        <f>IF($H700="Cancelled","",IFERROR(IF(OR(AK700="",AB700=""),"",(AB700+Variables!$B$18-AK700)),""))</f>
        <v>-3</v>
      </c>
      <c r="AQ700" s="11">
        <f>IF($H700="Cancelled","",IFERROR(IF(OR(AM700="",AK700=""),"",(AK700+Variables!$B$19)-AM700),""))</f>
        <v>-2</v>
      </c>
      <c r="AR700" s="12">
        <f>IF($H700="Cancelled","",IFERROR(T700*INDEX(Variables!$B$7:$D$7,IFERROR(MATCH(IF($B700="Robusta","Robusta",(IF($B700="","Arabica",$B700))&amp;" - "&amp;(IF($C700="","Commercial",$C700))),Variables!$B$1:$D$1,0),1))*(AQ700/365),""))</f>
        <v>-0.40765312652312352</v>
      </c>
      <c r="AS700" s="12">
        <f>IF($H700="Cancelled","",IFERROR((T700*INDEX(Variables!$B$7:$D$7,IFERROR(MATCH(IF($B700="Robusta","Robusta",(IF($B700="","Arabica",$B700))&amp;" - "&amp;(IF($C700="","Commercial",$C700))),Variables!$B$1:$D$1,0),1))*IFERROR(IF(W700="","",(AVERAGE(E700:F700)-W700)-Variables!$B$14),"")/365)+(L700/16.67*INDEX(Variables!$B$8:$D$8,IFERROR(MATCH(IF($B700="Robusta","Robusta",(IF($B700="","Arabica",$B700))&amp;" - "&amp;(IF($C700="","Commercial",$C700))),Variables!$B$1:$D$1,0),1))*IFERROR(IF(W700="","",(AVERAGE(E700:F700)-W700)-Variables!$B$14),""))+(T700*INDEX(Variables!$B$9:$D$9,IFERROR(MATCH(IF($B700="Robusta","Robusta",(IF($B700="","Arabica",$B700))&amp;" - "&amp;(IF($C700="","Commercial",$C700))),Variables!$B$1:$D$1,0),1))*IFERROR(IF(W700="","",(AVERAGE(E700:F700)-W700)-Variables!$B$14),"")/365),""))</f>
        <v>9.6242655875383978</v>
      </c>
      <c r="AT700" s="12">
        <f>IF($H700="Cancelled","",IFERROR((T700*INDEX(Variables!$B$7:$D$7,IFERROR(MATCH(IF($B700="Robusta","Robusta",(IF($B700="","Arabica",$B700))&amp;" - "&amp;(IF($C700="","Commercial",$C700))),Variables!$B$1:$D$1,0),1))*AC700/365)+(L700/16.67*INDEX(Variables!$B$8:$D$8,IFERROR(MATCH(IF($B700="Robusta","Robusta",(IF($B700="","Arabica",$B700))&amp;" - "&amp;(IF($C700="","Commercial",$C700))),Variables!$B$1:$D$1,0),1))*AC700)+(T700*INDEX(Variables!$B$9:$D$9,IFERROR(MATCH(IF($B700="Robusta","Robusta",(IF($B700="","Arabica",$B700))&amp;" - "&amp;(IF($C700="","Commercial",$C700))),Variables!$B$1:$D$1,0),1))*AC700/365),""))</f>
        <v>2.8516342481595247</v>
      </c>
      <c r="AU700" s="12">
        <f>IF($H700="Cancelled","",IFERROR((T700*INDEX(Variables!$B$7:$D$7,IFERROR(MATCH(IF($B700="Robusta","Robusta",(IF($B700="","Arabica",$B700))&amp;" - "&amp;(IF($C700="","Commercial",$C700))),Variables!$B$1:$D$1,0),1))*AP700/365)+(L700/16.67*INDEX(Variables!$B$8:$D$8,IFERROR(MATCH(IF($B700="Robusta","Robusta",(IF($B700="","Arabica",$B700))&amp;" - "&amp;(IF($C700="","Commercial",$C700))),Variables!$B$1:$D$1,0),1))*AP700)+(T700*INDEX(Variables!$B$9:$D$9,IFERROR(MATCH(IF($B700="Robusta","Robusta",(IF($B700="","Arabica",$B700))&amp;" - "&amp;(IF($C700="","Commercial",$C700))),Variables!$B$1:$D$1,0),1))*AP700/365),""))</f>
        <v>-1.0693628430598217</v>
      </c>
      <c r="AV700" s="11">
        <f t="shared" si="70"/>
        <v>14</v>
      </c>
      <c r="AW700" s="12">
        <f>IF($H700="Cancelled","",IFERROR(IF(AV700="","",(T700*INDEX(Variables!$B$7:$D$7,IFERROR(MATCH(IF($B700="Robusta","Robusta",(IF($B700="","Arabica",$B700))&amp;" - "&amp;(IF($C700="","Commercial",$C700))),Variables!$B$1:$D$1,0),1))*(AV700/365))+(T700*INDEX(Variables!$B$9:$D$9,IFERROR(MATCH(IF($B700="Robusta","Robusta",(IF($B700="","Arabica",$B700))&amp;" - "&amp;(IF($C700="","Commercial",$C700))),Variables!$B$1:$D$1,0),1))*(AV700/365))+(INDEX(Variables!$B$8:$D$8,IFERROR(MATCH(IF($B700="Robusta","Robusta",(IF($B700="","Arabica",$B700))&amp;" - "&amp;(IF($C700="","Commercial",$C700))),Variables!$B$1:$D$1,0),1))*L700/16.67)),""))</f>
        <v>3.0403599342791687</v>
      </c>
      <c r="AX700" s="9"/>
      <c r="AY700" s="12"/>
      <c r="AZ700" s="10"/>
      <c r="BA700" s="9"/>
      <c r="BB700" s="10"/>
      <c r="BC700" s="9"/>
      <c r="BD700" s="9"/>
      <c r="BE700" s="9"/>
      <c r="BF700" s="9"/>
    </row>
    <row r="701" spans="1:58" x14ac:dyDescent="0.25">
      <c r="A701" s="9" t="s">
        <v>84</v>
      </c>
      <c r="B701" s="9" t="s">
        <v>85</v>
      </c>
      <c r="C701" s="9" t="s">
        <v>1486</v>
      </c>
      <c r="D701" s="10">
        <v>45371</v>
      </c>
      <c r="E701" s="10">
        <v>45413</v>
      </c>
      <c r="F701" s="10">
        <v>45443</v>
      </c>
      <c r="G701" s="9">
        <v>3786206</v>
      </c>
      <c r="H701" s="9" t="str">
        <f t="shared" si="68"/>
        <v>Closed</v>
      </c>
      <c r="I701" s="9" t="str">
        <f t="shared" si="69"/>
        <v>All dates received</v>
      </c>
      <c r="J701" s="9" t="s">
        <v>1487</v>
      </c>
      <c r="K701" s="9">
        <v>4780</v>
      </c>
      <c r="L701" s="11">
        <v>40</v>
      </c>
      <c r="M701" s="9" t="s">
        <v>1618</v>
      </c>
      <c r="N701" s="9"/>
      <c r="O701" s="9"/>
      <c r="P701" s="9"/>
      <c r="Q701" s="11"/>
      <c r="R701" s="9" t="s">
        <v>195</v>
      </c>
      <c r="S701" s="9" t="s">
        <v>183</v>
      </c>
      <c r="T701" s="12">
        <f>IF($H701="Cancelled","",IFERROR(((Q701+INDEX(Variables!$B$6:$D$6,IFERROR(MATCH(IF($B701="Robusta","Robusta",(IF($B701="","Arabica",$B701))&amp;" - "&amp;(IF($C701="","Commercial",$C701))),Variables!$B$1:$D$1,0),1)))*22.0462)*(L701/16.67),""))</f>
        <v>15383.407222555488</v>
      </c>
      <c r="U701" s="10"/>
      <c r="V701" s="9" t="str">
        <f t="shared" si="71"/>
        <v/>
      </c>
      <c r="W701" s="10">
        <v>45371</v>
      </c>
      <c r="X701" s="9" t="str">
        <f t="shared" si="72"/>
        <v>Approved</v>
      </c>
      <c r="Y701" s="10">
        <v>45385</v>
      </c>
      <c r="Z701" s="10">
        <f>IF($H701="Cancelled","",IFERROR(IF(F701="","",F701-Variables!$B$13),""))</f>
        <v>45428</v>
      </c>
      <c r="AA701" s="11">
        <f>IF($H701="Cancelled","",IFERROR(IF(W701="","",(AVERAGE(E701:F701)-W701)-Variables!$B$14),""))</f>
        <v>27</v>
      </c>
      <c r="AB701" s="10">
        <v>45390</v>
      </c>
      <c r="AC701" s="11">
        <f>IF($H701="Cancelled","",IFERROR(IF(AB701="","",IF(AND(W701="",Y701=""),"",IF(Y701&gt;W701,Y701+Variables!$B$15+Variables!$B$16+Variables!$B$17-AB701,W701+Variables!$B$16+Variables!$B$17-AB701))),""))</f>
        <v>10</v>
      </c>
      <c r="AD701" s="9" t="s">
        <v>107</v>
      </c>
      <c r="AE701" s="9" t="s">
        <v>198</v>
      </c>
      <c r="AF701" s="10"/>
      <c r="AG701" s="10"/>
      <c r="AH701" s="9"/>
      <c r="AI701" s="9" t="s">
        <v>1521</v>
      </c>
      <c r="AJ701" s="9">
        <v>1841037015</v>
      </c>
      <c r="AK701" s="10">
        <v>45399</v>
      </c>
      <c r="AL701" s="10">
        <v>45401</v>
      </c>
      <c r="AM701" s="10">
        <v>45405</v>
      </c>
      <c r="AN701" s="9" t="s">
        <v>1492</v>
      </c>
      <c r="AO701" s="9"/>
      <c r="AP701" s="11">
        <f>IF($H701="Cancelled","",IFERROR(IF(OR(AK701="",AB701=""),"",(AB701+Variables!$B$18-AK701)),""))</f>
        <v>-2</v>
      </c>
      <c r="AQ701" s="11">
        <f>IF($H701="Cancelled","",IFERROR(IF(OR(AM701="",AK701=""),"",(AK701+Variables!$B$19)-AM701),""))</f>
        <v>-1</v>
      </c>
      <c r="AR701" s="12">
        <f>IF($H701="Cancelled","",IFERROR(T701*INDEX(Variables!$B$7:$D$7,IFERROR(MATCH(IF($B701="Robusta","Robusta",(IF($B701="","Arabica",$B701))&amp;" - "&amp;(IF($C701="","Commercial",$C701))),Variables!$B$1:$D$1,0),1))*(AQ701/365),""))</f>
        <v>-2.7176875101541578</v>
      </c>
      <c r="AS701" s="12">
        <f>IF($H701="Cancelled","",IFERROR((T701*INDEX(Variables!$B$7:$D$7,IFERROR(MATCH(IF($B701="Robusta","Robusta",(IF($B701="","Arabica",$B701))&amp;" - "&amp;(IF($C701="","Commercial",$C701))),Variables!$B$1:$D$1,0),1))*IFERROR(IF(W701="","",(AVERAGE(E701:F701)-W701)-Variables!$B$14),"")/365)+(L701/16.67*INDEX(Variables!$B$8:$D$8,IFERROR(MATCH(IF($B701="Robusta","Robusta",(IF($B701="","Arabica",$B701))&amp;" - "&amp;(IF($C701="","Commercial",$C701))),Variables!$B$1:$D$1,0),1))*IFERROR(IF(W701="","",(AVERAGE(E701:F701)-W701)-Variables!$B$14),""))+(T701*INDEX(Variables!$B$9:$D$9,IFERROR(MATCH(IF($B701="Robusta","Robusta",(IF($B701="","Arabica",$B701))&amp;" - "&amp;(IF($C701="","Commercial",$C701))),Variables!$B$1:$D$1,0),1))*IFERROR(IF(W701="","",(AVERAGE(E701:F701)-W701)-Variables!$B$14),"")/365),""))</f>
        <v>128.32354116717863</v>
      </c>
      <c r="AT701" s="12">
        <f>IF($H701="Cancelled","",IFERROR((T701*INDEX(Variables!$B$7:$D$7,IFERROR(MATCH(IF($B701="Robusta","Robusta",(IF($B701="","Arabica",$B701))&amp;" - "&amp;(IF($C701="","Commercial",$C701))),Variables!$B$1:$D$1,0),1))*AC701/365)+(L701/16.67*INDEX(Variables!$B$8:$D$8,IFERROR(MATCH(IF($B701="Robusta","Robusta",(IF($B701="","Arabica",$B701))&amp;" - "&amp;(IF($C701="","Commercial",$C701))),Variables!$B$1:$D$1,0),1))*AC701)+(T701*INDEX(Variables!$B$9:$D$9,IFERROR(MATCH(IF($B701="Robusta","Robusta",(IF($B701="","Arabica",$B701))&amp;" - "&amp;(IF($C701="","Commercial",$C701))),Variables!$B$1:$D$1,0),1))*AC701/365),""))</f>
        <v>47.527237469325421</v>
      </c>
      <c r="AU701" s="12">
        <f>IF($H701="Cancelled","",IFERROR((T701*INDEX(Variables!$B$7:$D$7,IFERROR(MATCH(IF($B701="Robusta","Robusta",(IF($B701="","Arabica",$B701))&amp;" - "&amp;(IF($C701="","Commercial",$C701))),Variables!$B$1:$D$1,0),1))*AP701/365)+(L701/16.67*INDEX(Variables!$B$8:$D$8,IFERROR(MATCH(IF($B701="Robusta","Robusta",(IF($B701="","Arabica",$B701))&amp;" - "&amp;(IF($C701="","Commercial",$C701))),Variables!$B$1:$D$1,0),1))*AP701)+(T701*INDEX(Variables!$B$9:$D$9,IFERROR(MATCH(IF($B701="Robusta","Robusta",(IF($B701="","Arabica",$B701))&amp;" - "&amp;(IF($C701="","Commercial",$C701))),Variables!$B$1:$D$1,0),1))*AP701/365),""))</f>
        <v>-9.5054474938650841</v>
      </c>
      <c r="AV701" s="11">
        <f t="shared" si="70"/>
        <v>44</v>
      </c>
      <c r="AW701" s="12">
        <f>IF($H701="Cancelled","",IFERROR(IF(AV701="","",(T701*INDEX(Variables!$B$7:$D$7,IFERROR(MATCH(IF($B701="Robusta","Robusta",(IF($B701="","Arabica",$B701))&amp;" - "&amp;(IF($C701="","Commercial",$C701))),Variables!$B$1:$D$1,0),1))*(AV701/365))+(T701*INDEX(Variables!$B$9:$D$9,IFERROR(MATCH(IF($B701="Robusta","Robusta",(IF($B701="","Arabica",$B701))&amp;" - "&amp;(IF($C701="","Commercial",$C701))),Variables!$B$1:$D$1,0),1))*(AV701/365))+(INDEX(Variables!$B$8:$D$8,IFERROR(MATCH(IF($B701="Robusta","Robusta",(IF($B701="","Arabica",$B701))&amp;" - "&amp;(IF($C701="","Commercial",$C701))),Variables!$B$1:$D$1,0),1))*L701/16.67)),""))</f>
        <v>123.11984486503187</v>
      </c>
      <c r="AX701" s="9"/>
      <c r="AY701" s="12"/>
      <c r="AZ701" s="10"/>
      <c r="BA701" s="9"/>
      <c r="BB701" s="10"/>
      <c r="BC701" s="9"/>
      <c r="BD701" s="9"/>
      <c r="BE701" s="9"/>
      <c r="BF701" s="9"/>
    </row>
    <row r="702" spans="1:58" x14ac:dyDescent="0.25">
      <c r="A702" s="9" t="s">
        <v>84</v>
      </c>
      <c r="B702" s="9" t="s">
        <v>85</v>
      </c>
      <c r="C702" s="9" t="s">
        <v>1486</v>
      </c>
      <c r="D702" s="10">
        <v>45371</v>
      </c>
      <c r="E702" s="10">
        <v>45413</v>
      </c>
      <c r="F702" s="10">
        <v>45443</v>
      </c>
      <c r="G702" s="9">
        <v>3786207</v>
      </c>
      <c r="H702" s="9" t="str">
        <f t="shared" si="68"/>
        <v>Closed</v>
      </c>
      <c r="I702" s="9" t="str">
        <f t="shared" si="69"/>
        <v>All dates received</v>
      </c>
      <c r="J702" s="9" t="s">
        <v>1487</v>
      </c>
      <c r="K702" s="9">
        <v>4779</v>
      </c>
      <c r="L702" s="11">
        <v>23</v>
      </c>
      <c r="M702" s="9" t="s">
        <v>1619</v>
      </c>
      <c r="N702" s="9"/>
      <c r="O702" s="9"/>
      <c r="P702" s="9"/>
      <c r="Q702" s="11"/>
      <c r="R702" s="9" t="s">
        <v>195</v>
      </c>
      <c r="S702" s="9" t="s">
        <v>183</v>
      </c>
      <c r="T702" s="12">
        <f>IF($H702="Cancelled","",IFERROR(((Q702+INDEX(Variables!$B$6:$D$6,IFERROR(MATCH(IF($B702="Robusta","Robusta",(IF($B702="","Arabica",$B702))&amp;" - "&amp;(IF($C702="","Commercial",$C702))),Variables!$B$1:$D$1,0),1)))*22.0462)*(L702/16.67),""))</f>
        <v>8845.4591529694044</v>
      </c>
      <c r="U702" s="10"/>
      <c r="V702" s="9" t="str">
        <f t="shared" si="71"/>
        <v/>
      </c>
      <c r="W702" s="10">
        <v>45371</v>
      </c>
      <c r="X702" s="9" t="str">
        <f t="shared" si="72"/>
        <v>Approved</v>
      </c>
      <c r="Y702" s="10">
        <v>45385</v>
      </c>
      <c r="Z702" s="10">
        <f>IF($H702="Cancelled","",IFERROR(IF(F702="","",F702-Variables!$B$13),""))</f>
        <v>45428</v>
      </c>
      <c r="AA702" s="11">
        <f>IF($H702="Cancelled","",IFERROR(IF(W702="","",(AVERAGE(E702:F702)-W702)-Variables!$B$14),""))</f>
        <v>27</v>
      </c>
      <c r="AB702" s="10">
        <v>45390</v>
      </c>
      <c r="AC702" s="11">
        <f>IF($H702="Cancelled","",IFERROR(IF(AB702="","",IF(AND(W702="",Y702=""),"",IF(Y702&gt;W702,Y702+Variables!$B$15+Variables!$B$16+Variables!$B$17-AB702,W702+Variables!$B$16+Variables!$B$17-AB702))),""))</f>
        <v>10</v>
      </c>
      <c r="AD702" s="9" t="s">
        <v>107</v>
      </c>
      <c r="AE702" s="9" t="s">
        <v>198</v>
      </c>
      <c r="AF702" s="10"/>
      <c r="AG702" s="10"/>
      <c r="AH702" s="9"/>
      <c r="AI702" s="9" t="s">
        <v>1521</v>
      </c>
      <c r="AJ702" s="9">
        <v>1841037015</v>
      </c>
      <c r="AK702" s="10">
        <v>45399</v>
      </c>
      <c r="AL702" s="10">
        <v>45401</v>
      </c>
      <c r="AM702" s="10">
        <v>45405</v>
      </c>
      <c r="AN702" s="9" t="s">
        <v>1492</v>
      </c>
      <c r="AO702" s="9"/>
      <c r="AP702" s="11">
        <f>IF($H702="Cancelled","",IFERROR(IF(OR(AK702="",AB702=""),"",(AB702+Variables!$B$18-AK702)),""))</f>
        <v>-2</v>
      </c>
      <c r="AQ702" s="11">
        <f>IF($H702="Cancelled","",IFERROR(IF(OR(AM702="",AK702=""),"",(AK702+Variables!$B$19)-AM702),""))</f>
        <v>-1</v>
      </c>
      <c r="AR702" s="12">
        <f>IF($H702="Cancelled","",IFERROR(T702*INDEX(Variables!$B$7:$D$7,IFERROR(MATCH(IF($B702="Robusta","Robusta",(IF($B702="","Arabica",$B702))&amp;" - "&amp;(IF($C702="","Commercial",$C702))),Variables!$B$1:$D$1,0),1))*(AQ702/365),""))</f>
        <v>-1.5626703183386403</v>
      </c>
      <c r="AS702" s="12">
        <f>IF($H702="Cancelled","",IFERROR((T702*INDEX(Variables!$B$7:$D$7,IFERROR(MATCH(IF($B702="Robusta","Robusta",(IF($B702="","Arabica",$B702))&amp;" - "&amp;(IF($C702="","Commercial",$C702))),Variables!$B$1:$D$1,0),1))*IFERROR(IF(W702="","",(AVERAGE(E702:F702)-W702)-Variables!$B$14),"")/365)+(L702/16.67*INDEX(Variables!$B$8:$D$8,IFERROR(MATCH(IF($B702="Robusta","Robusta",(IF($B702="","Arabica",$B702))&amp;" - "&amp;(IF($C702="","Commercial",$C702))),Variables!$B$1:$D$1,0),1))*IFERROR(IF(W702="","",(AVERAGE(E702:F702)-W702)-Variables!$B$14),""))+(T702*INDEX(Variables!$B$9:$D$9,IFERROR(MATCH(IF($B702="Robusta","Robusta",(IF($B702="","Arabica",$B702))&amp;" - "&amp;(IF($C702="","Commercial",$C702))),Variables!$B$1:$D$1,0),1))*IFERROR(IF(W702="","",(AVERAGE(E702:F702)-W702)-Variables!$B$14),"")/365),""))</f>
        <v>73.786036171127705</v>
      </c>
      <c r="AT702" s="12">
        <f>IF($H702="Cancelled","",IFERROR((T702*INDEX(Variables!$B$7:$D$7,IFERROR(MATCH(IF($B702="Robusta","Robusta",(IF($B702="","Arabica",$B702))&amp;" - "&amp;(IF($C702="","Commercial",$C702))),Variables!$B$1:$D$1,0),1))*AC702/365)+(L702/16.67*INDEX(Variables!$B$8:$D$8,IFERROR(MATCH(IF($B702="Robusta","Robusta",(IF($B702="","Arabica",$B702))&amp;" - "&amp;(IF($C702="","Commercial",$C702))),Variables!$B$1:$D$1,0),1))*AC702)+(T702*INDEX(Variables!$B$9:$D$9,IFERROR(MATCH(IF($B702="Robusta","Robusta",(IF($B702="","Arabica",$B702))&amp;" - "&amp;(IF($C702="","Commercial",$C702))),Variables!$B$1:$D$1,0),1))*AC702/365),""))</f>
        <v>27.328161544862116</v>
      </c>
      <c r="AU702" s="12">
        <f>IF($H702="Cancelled","",IFERROR((T702*INDEX(Variables!$B$7:$D$7,IFERROR(MATCH(IF($B702="Robusta","Robusta",(IF($B702="","Arabica",$B702))&amp;" - "&amp;(IF($C702="","Commercial",$C702))),Variables!$B$1:$D$1,0),1))*AP702/365)+(L702/16.67*INDEX(Variables!$B$8:$D$8,IFERROR(MATCH(IF($B702="Robusta","Robusta",(IF($B702="","Arabica",$B702))&amp;" - "&amp;(IF($C702="","Commercial",$C702))),Variables!$B$1:$D$1,0),1))*AP702)+(T702*INDEX(Variables!$B$9:$D$9,IFERROR(MATCH(IF($B702="Robusta","Robusta",(IF($B702="","Arabica",$B702))&amp;" - "&amp;(IF($C702="","Commercial",$C702))),Variables!$B$1:$D$1,0),1))*AP702/365),""))</f>
        <v>-5.4656323089724221</v>
      </c>
      <c r="AV702" s="11">
        <f t="shared" si="70"/>
        <v>44</v>
      </c>
      <c r="AW702" s="12">
        <f>IF($H702="Cancelled","",IFERROR(IF(AV702="","",(T702*INDEX(Variables!$B$7:$D$7,IFERROR(MATCH(IF($B702="Robusta","Robusta",(IF($B702="","Arabica",$B702))&amp;" - "&amp;(IF($C702="","Commercial",$C702))),Variables!$B$1:$D$1,0),1))*(AV702/365))+(T702*INDEX(Variables!$B$9:$D$9,IFERROR(MATCH(IF($B702="Robusta","Robusta",(IF($B702="","Arabica",$B702))&amp;" - "&amp;(IF($C702="","Commercial",$C702))),Variables!$B$1:$D$1,0),1))*(AV702/365))+(INDEX(Variables!$B$8:$D$8,IFERROR(MATCH(IF($B702="Robusta","Robusta",(IF($B702="","Arabica",$B702))&amp;" - "&amp;(IF($C702="","Commercial",$C702))),Variables!$B$1:$D$1,0),1))*L702/16.67)),""))</f>
        <v>70.793910797393309</v>
      </c>
      <c r="AX702" s="9"/>
      <c r="AY702" s="12"/>
      <c r="AZ702" s="10"/>
      <c r="BA702" s="9"/>
      <c r="BB702" s="10"/>
      <c r="BC702" s="9"/>
      <c r="BD702" s="9"/>
      <c r="BE702" s="9"/>
      <c r="BF702" s="9"/>
    </row>
    <row r="703" spans="1:58" x14ac:dyDescent="0.25">
      <c r="A703" s="9" t="s">
        <v>84</v>
      </c>
      <c r="B703" s="9" t="s">
        <v>85</v>
      </c>
      <c r="C703" s="9" t="s">
        <v>1486</v>
      </c>
      <c r="D703" s="10">
        <v>45371</v>
      </c>
      <c r="E703" s="10">
        <v>45413</v>
      </c>
      <c r="F703" s="10">
        <v>45443</v>
      </c>
      <c r="G703" s="9">
        <v>3786208</v>
      </c>
      <c r="H703" s="9" t="str">
        <f t="shared" si="68"/>
        <v>Closed</v>
      </c>
      <c r="I703" s="9" t="str">
        <f t="shared" si="69"/>
        <v>All dates received</v>
      </c>
      <c r="J703" s="9" t="s">
        <v>1487</v>
      </c>
      <c r="K703" s="9">
        <v>4781</v>
      </c>
      <c r="L703" s="11">
        <v>41</v>
      </c>
      <c r="M703" s="9" t="s">
        <v>1620</v>
      </c>
      <c r="N703" s="9"/>
      <c r="O703" s="9"/>
      <c r="P703" s="9"/>
      <c r="Q703" s="11"/>
      <c r="R703" s="9" t="s">
        <v>195</v>
      </c>
      <c r="S703" s="9" t="s">
        <v>183</v>
      </c>
      <c r="T703" s="12">
        <f>IF($H703="Cancelled","",IFERROR(((Q703+INDEX(Variables!$B$6:$D$6,IFERROR(MATCH(IF($B703="Robusta","Robusta",(IF($B703="","Arabica",$B703))&amp;" - "&amp;(IF($C703="","Commercial",$C703))),Variables!$B$1:$D$1,0),1)))*22.0462)*(L703/16.67),""))</f>
        <v>15767.992403119373</v>
      </c>
      <c r="U703" s="10"/>
      <c r="V703" s="9" t="str">
        <f t="shared" si="71"/>
        <v/>
      </c>
      <c r="W703" s="10">
        <v>45371</v>
      </c>
      <c r="X703" s="9" t="str">
        <f t="shared" si="72"/>
        <v>Approved</v>
      </c>
      <c r="Y703" s="10">
        <v>45384</v>
      </c>
      <c r="Z703" s="10">
        <f>IF($H703="Cancelled","",IFERROR(IF(F703="","",F703-Variables!$B$13),""))</f>
        <v>45428</v>
      </c>
      <c r="AA703" s="11">
        <f>IF($H703="Cancelled","",IFERROR(IF(W703="","",(AVERAGE(E703:F703)-W703)-Variables!$B$14),""))</f>
        <v>27</v>
      </c>
      <c r="AB703" s="10">
        <v>45390</v>
      </c>
      <c r="AC703" s="11">
        <f>IF($H703="Cancelled","",IFERROR(IF(AB703="","",IF(AND(W703="",Y703=""),"",IF(Y703&gt;W703,Y703+Variables!$B$15+Variables!$B$16+Variables!$B$17-AB703,W703+Variables!$B$16+Variables!$B$17-AB703))),""))</f>
        <v>9</v>
      </c>
      <c r="AD703" s="9" t="s">
        <v>107</v>
      </c>
      <c r="AE703" s="9" t="s">
        <v>198</v>
      </c>
      <c r="AF703" s="10"/>
      <c r="AG703" s="10"/>
      <c r="AH703" s="9"/>
      <c r="AI703" s="9" t="s">
        <v>1521</v>
      </c>
      <c r="AJ703" s="9">
        <v>1841037015</v>
      </c>
      <c r="AK703" s="10">
        <v>45399</v>
      </c>
      <c r="AL703" s="10">
        <v>45401</v>
      </c>
      <c r="AM703" s="10">
        <v>45405</v>
      </c>
      <c r="AN703" s="9" t="s">
        <v>1492</v>
      </c>
      <c r="AO703" s="9"/>
      <c r="AP703" s="11">
        <f>IF($H703="Cancelled","",IFERROR(IF(OR(AK703="",AB703=""),"",(AB703+Variables!$B$18-AK703)),""))</f>
        <v>-2</v>
      </c>
      <c r="AQ703" s="11">
        <f>IF($H703="Cancelled","",IFERROR(IF(OR(AM703="",AK703=""),"",(AK703+Variables!$B$19)-AM703),""))</f>
        <v>-1</v>
      </c>
      <c r="AR703" s="12">
        <f>IF($H703="Cancelled","",IFERROR(T703*INDEX(Variables!$B$7:$D$7,IFERROR(MATCH(IF($B703="Robusta","Robusta",(IF($B703="","Arabica",$B703))&amp;" - "&amp;(IF($C703="","Commercial",$C703))),Variables!$B$1:$D$1,0),1))*(AQ703/365),""))</f>
        <v>-2.7856296979080111</v>
      </c>
      <c r="AS703" s="12">
        <f>IF($H703="Cancelled","",IFERROR((T703*INDEX(Variables!$B$7:$D$7,IFERROR(MATCH(IF($B703="Robusta","Robusta",(IF($B703="","Arabica",$B703))&amp;" - "&amp;(IF($C703="","Commercial",$C703))),Variables!$B$1:$D$1,0),1))*IFERROR(IF(W703="","",(AVERAGE(E703:F703)-W703)-Variables!$B$14),"")/365)+(L703/16.67*INDEX(Variables!$B$8:$D$8,IFERROR(MATCH(IF($B703="Robusta","Robusta",(IF($B703="","Arabica",$B703))&amp;" - "&amp;(IF($C703="","Commercial",$C703))),Variables!$B$1:$D$1,0),1))*IFERROR(IF(W703="","",(AVERAGE(E703:F703)-W703)-Variables!$B$14),""))+(T703*INDEX(Variables!$B$9:$D$9,IFERROR(MATCH(IF($B703="Robusta","Robusta",(IF($B703="","Arabica",$B703))&amp;" - "&amp;(IF($C703="","Commercial",$C703))),Variables!$B$1:$D$1,0),1))*IFERROR(IF(W703="","",(AVERAGE(E703:F703)-W703)-Variables!$B$14),"")/365),""))</f>
        <v>131.5316296963581</v>
      </c>
      <c r="AT703" s="12">
        <f>IF($H703="Cancelled","",IFERROR((T703*INDEX(Variables!$B$7:$D$7,IFERROR(MATCH(IF($B703="Robusta","Robusta",(IF($B703="","Arabica",$B703))&amp;" - "&amp;(IF($C703="","Commercial",$C703))),Variables!$B$1:$D$1,0),1))*AC703/365)+(L703/16.67*INDEX(Variables!$B$8:$D$8,IFERROR(MATCH(IF($B703="Robusta","Robusta",(IF($B703="","Arabica",$B703))&amp;" - "&amp;(IF($C703="","Commercial",$C703))),Variables!$B$1:$D$1,0),1))*AC703)+(T703*INDEX(Variables!$B$9:$D$9,IFERROR(MATCH(IF($B703="Robusta","Robusta",(IF($B703="","Arabica",$B703))&amp;" - "&amp;(IF($C703="","Commercial",$C703))),Variables!$B$1:$D$1,0),1))*AC703/365),""))</f>
        <v>43.843876565452696</v>
      </c>
      <c r="AU703" s="12">
        <f>IF($H703="Cancelled","",IFERROR((T703*INDEX(Variables!$B$7:$D$7,IFERROR(MATCH(IF($B703="Robusta","Robusta",(IF($B703="","Arabica",$B703))&amp;" - "&amp;(IF($C703="","Commercial",$C703))),Variables!$B$1:$D$1,0),1))*AP703/365)+(L703/16.67*INDEX(Variables!$B$8:$D$8,IFERROR(MATCH(IF($B703="Robusta","Robusta",(IF($B703="","Arabica",$B703))&amp;" - "&amp;(IF($C703="","Commercial",$C703))),Variables!$B$1:$D$1,0),1))*AP703)+(T703*INDEX(Variables!$B$9:$D$9,IFERROR(MATCH(IF($B703="Robusta","Robusta",(IF($B703="","Arabica",$B703))&amp;" - "&amp;(IF($C703="","Commercial",$C703))),Variables!$B$1:$D$1,0),1))*AP703/365),""))</f>
        <v>-9.7430836812117114</v>
      </c>
      <c r="AV703" s="11">
        <f t="shared" si="70"/>
        <v>44</v>
      </c>
      <c r="AW703" s="12">
        <f>IF($H703="Cancelled","",IFERROR(IF(AV703="","",(T703*INDEX(Variables!$B$7:$D$7,IFERROR(MATCH(IF($B703="Robusta","Robusta",(IF($B703="","Arabica",$B703))&amp;" - "&amp;(IF($C703="","Commercial",$C703))),Variables!$B$1:$D$1,0),1))*(AV703/365))+(T703*INDEX(Variables!$B$9:$D$9,IFERROR(MATCH(IF($B703="Robusta","Robusta",(IF($B703="","Arabica",$B703))&amp;" - "&amp;(IF($C703="","Commercial",$C703))),Variables!$B$1:$D$1,0),1))*(AV703/365))+(INDEX(Variables!$B$8:$D$8,IFERROR(MATCH(IF($B703="Robusta","Robusta",(IF($B703="","Arabica",$B703))&amp;" - "&amp;(IF($C703="","Commercial",$C703))),Variables!$B$1:$D$1,0),1))*L703/16.67)),""))</f>
        <v>126.19784098665764</v>
      </c>
      <c r="AX703" s="9"/>
      <c r="AY703" s="12"/>
      <c r="AZ703" s="10"/>
      <c r="BA703" s="9"/>
      <c r="BB703" s="10"/>
      <c r="BC703" s="9"/>
      <c r="BD703" s="9"/>
      <c r="BE703" s="9"/>
      <c r="BF703" s="9"/>
    </row>
    <row r="704" spans="1:58" x14ac:dyDescent="0.25">
      <c r="A704" s="9" t="s">
        <v>84</v>
      </c>
      <c r="B704" s="9" t="s">
        <v>85</v>
      </c>
      <c r="C704" s="9" t="s">
        <v>1486</v>
      </c>
      <c r="D704" s="10">
        <v>45371</v>
      </c>
      <c r="E704" s="10">
        <v>45413</v>
      </c>
      <c r="F704" s="10">
        <v>45443</v>
      </c>
      <c r="G704" s="9">
        <v>3786202</v>
      </c>
      <c r="H704" s="9" t="str">
        <f t="shared" si="68"/>
        <v>Closed</v>
      </c>
      <c r="I704" s="9" t="str">
        <f t="shared" si="69"/>
        <v>All dates received</v>
      </c>
      <c r="J704" s="9" t="s">
        <v>1552</v>
      </c>
      <c r="K704" s="9">
        <v>4783</v>
      </c>
      <c r="L704" s="11">
        <v>25</v>
      </c>
      <c r="M704" s="9" t="s">
        <v>1621</v>
      </c>
      <c r="N704" s="9"/>
      <c r="O704" s="9"/>
      <c r="P704" s="9"/>
      <c r="Q704" s="11"/>
      <c r="R704" s="9" t="s">
        <v>195</v>
      </c>
      <c r="S704" s="9" t="s">
        <v>207</v>
      </c>
      <c r="T704" s="12">
        <f>IF($H704="Cancelled","",IFERROR(((Q704+INDEX(Variables!$B$6:$D$6,IFERROR(MATCH(IF($B704="Robusta","Robusta",(IF($B704="","Arabica",$B704))&amp;" - "&amp;(IF($C704="","Commercial",$C704))),Variables!$B$1:$D$1,0),1)))*22.0462)*(L704/16.67),""))</f>
        <v>9614.6295140971797</v>
      </c>
      <c r="U704" s="10"/>
      <c r="V704" s="9" t="str">
        <f t="shared" si="71"/>
        <v/>
      </c>
      <c r="W704" s="10">
        <v>45371</v>
      </c>
      <c r="X704" s="9" t="str">
        <f t="shared" si="72"/>
        <v>Approved</v>
      </c>
      <c r="Y704" s="10">
        <v>45402</v>
      </c>
      <c r="Z704" s="10">
        <f>IF($H704="Cancelled","",IFERROR(IF(F704="","",F704-Variables!$B$13),""))</f>
        <v>45428</v>
      </c>
      <c r="AA704" s="11">
        <f>IF($H704="Cancelled","",IFERROR(IF(W704="","",(AVERAGE(E704:F704)-W704)-Variables!$B$14),""))</f>
        <v>27</v>
      </c>
      <c r="AB704" s="10">
        <v>45411</v>
      </c>
      <c r="AC704" s="11">
        <f>IF($H704="Cancelled","",IFERROR(IF(AB704="","",IF(AND(W704="",Y704=""),"",IF(Y704&gt;W704,Y704+Variables!$B$15+Variables!$B$16+Variables!$B$17-AB704,W704+Variables!$B$16+Variables!$B$17-AB704))),""))</f>
        <v>6</v>
      </c>
      <c r="AD704" s="9" t="s">
        <v>180</v>
      </c>
      <c r="AE704" s="9" t="s">
        <v>1622</v>
      </c>
      <c r="AF704" s="10"/>
      <c r="AG704" s="10"/>
      <c r="AH704" s="9"/>
      <c r="AI704" s="9" t="s">
        <v>1623</v>
      </c>
      <c r="AJ704" s="9">
        <v>9148513776</v>
      </c>
      <c r="AK704" s="10">
        <v>45420</v>
      </c>
      <c r="AL704" s="10">
        <v>45421</v>
      </c>
      <c r="AM704" s="10">
        <v>45428</v>
      </c>
      <c r="AN704" s="9" t="s">
        <v>1492</v>
      </c>
      <c r="AO704" s="9"/>
      <c r="AP704" s="11">
        <f>IF($H704="Cancelled","",IFERROR(IF(OR(AK704="",AB704=""),"",(AB704+Variables!$B$18-AK704)),""))</f>
        <v>-2</v>
      </c>
      <c r="AQ704" s="11">
        <f>IF($H704="Cancelled","",IFERROR(IF(OR(AM704="",AK704=""),"",(AK704+Variables!$B$19)-AM704),""))</f>
        <v>-3</v>
      </c>
      <c r="AR704" s="12">
        <f>IF($H704="Cancelled","",IFERROR(T704*INDEX(Variables!$B$7:$D$7,IFERROR(MATCH(IF($B704="Robusta","Robusta",(IF($B704="","Arabica",$B704))&amp;" - "&amp;(IF($C704="","Commercial",$C704))),Variables!$B$1:$D$1,0),1))*(AQ704/365),""))</f>
        <v>-5.095664081539045</v>
      </c>
      <c r="AS704" s="12">
        <f>IF($H704="Cancelled","",IFERROR((T704*INDEX(Variables!$B$7:$D$7,IFERROR(MATCH(IF($B704="Robusta","Robusta",(IF($B704="","Arabica",$B704))&amp;" - "&amp;(IF($C704="","Commercial",$C704))),Variables!$B$1:$D$1,0),1))*IFERROR(IF(W704="","",(AVERAGE(E704:F704)-W704)-Variables!$B$14),"")/365)+(L704/16.67*INDEX(Variables!$B$8:$D$8,IFERROR(MATCH(IF($B704="Robusta","Robusta",(IF($B704="","Arabica",$B704))&amp;" - "&amp;(IF($C704="","Commercial",$C704))),Variables!$B$1:$D$1,0),1))*IFERROR(IF(W704="","",(AVERAGE(E704:F704)-W704)-Variables!$B$14),""))+(T704*INDEX(Variables!$B$9:$D$9,IFERROR(MATCH(IF($B704="Robusta","Robusta",(IF($B704="","Arabica",$B704))&amp;" - "&amp;(IF($C704="","Commercial",$C704))),Variables!$B$1:$D$1,0),1))*IFERROR(IF(W704="","",(AVERAGE(E704:F704)-W704)-Variables!$B$14),"")/365),""))</f>
        <v>80.202213229486645</v>
      </c>
      <c r="AT704" s="12">
        <f>IF($H704="Cancelled","",IFERROR((T704*INDEX(Variables!$B$7:$D$7,IFERROR(MATCH(IF($B704="Robusta","Robusta",(IF($B704="","Arabica",$B704))&amp;" - "&amp;(IF($C704="","Commercial",$C704))),Variables!$B$1:$D$1,0),1))*AC704/365)+(L704/16.67*INDEX(Variables!$B$8:$D$8,IFERROR(MATCH(IF($B704="Robusta","Robusta",(IF($B704="","Arabica",$B704))&amp;" - "&amp;(IF($C704="","Commercial",$C704))),Variables!$B$1:$D$1,0),1))*AC704)+(T704*INDEX(Variables!$B$9:$D$9,IFERROR(MATCH(IF($B704="Robusta","Robusta",(IF($B704="","Arabica",$B704))&amp;" - "&amp;(IF($C704="","Commercial",$C704))),Variables!$B$1:$D$1,0),1))*AC704/365),""))</f>
        <v>17.822714050997032</v>
      </c>
      <c r="AU704" s="12">
        <f>IF($H704="Cancelled","",IFERROR((T704*INDEX(Variables!$B$7:$D$7,IFERROR(MATCH(IF($B704="Robusta","Robusta",(IF($B704="","Arabica",$B704))&amp;" - "&amp;(IF($C704="","Commercial",$C704))),Variables!$B$1:$D$1,0),1))*AP704/365)+(L704/16.67*INDEX(Variables!$B$8:$D$8,IFERROR(MATCH(IF($B704="Robusta","Robusta",(IF($B704="","Arabica",$B704))&amp;" - "&amp;(IF($C704="","Commercial",$C704))),Variables!$B$1:$D$1,0),1))*AP704)+(T704*INDEX(Variables!$B$9:$D$9,IFERROR(MATCH(IF($B704="Robusta","Robusta",(IF($B704="","Arabica",$B704))&amp;" - "&amp;(IF($C704="","Commercial",$C704))),Variables!$B$1:$D$1,0),1))*AP704/365),""))</f>
        <v>-5.9409046836656776</v>
      </c>
      <c r="AV704" s="11">
        <f t="shared" si="70"/>
        <v>23</v>
      </c>
      <c r="AW704" s="12">
        <f>IF($H704="Cancelled","",IFERROR(IF(AV704="","",(T704*INDEX(Variables!$B$7:$D$7,IFERROR(MATCH(IF($B704="Robusta","Robusta",(IF($B704="","Arabica",$B704))&amp;" - "&amp;(IF($C704="","Commercial",$C704))),Variables!$B$1:$D$1,0),1))*(AV704/365))+(T704*INDEX(Variables!$B$9:$D$9,IFERROR(MATCH(IF($B704="Robusta","Robusta",(IF($B704="","Arabica",$B704))&amp;" - "&amp;(IF($C704="","Commercial",$C704))),Variables!$B$1:$D$1,0),1))*(AV704/365))+(INDEX(Variables!$B$8:$D$8,IFERROR(MATCH(IF($B704="Robusta","Robusta",(IF($B704="","Arabica",$B704))&amp;" - "&amp;(IF($C704="","Commercial",$C704))),Variables!$B$1:$D$1,0),1))*L704/16.67)),""))</f>
        <v>40.820403862155295</v>
      </c>
      <c r="AX704" s="9"/>
      <c r="AY704" s="12"/>
      <c r="AZ704" s="10"/>
      <c r="BA704" s="9"/>
      <c r="BB704" s="10"/>
      <c r="BC704" s="9"/>
      <c r="BD704" s="9"/>
      <c r="BE704" s="9"/>
      <c r="BF704" s="9"/>
    </row>
    <row r="705" spans="1:58" x14ac:dyDescent="0.25">
      <c r="A705" s="9" t="s">
        <v>84</v>
      </c>
      <c r="B705" s="9" t="s">
        <v>85</v>
      </c>
      <c r="C705" s="9" t="s">
        <v>1486</v>
      </c>
      <c r="D705" s="10">
        <v>45371</v>
      </c>
      <c r="E705" s="10">
        <v>45413</v>
      </c>
      <c r="F705" s="10">
        <v>45443</v>
      </c>
      <c r="G705" s="9">
        <v>3786203</v>
      </c>
      <c r="H705" s="9" t="str">
        <f t="shared" si="68"/>
        <v>Closed</v>
      </c>
      <c r="I705" s="9" t="str">
        <f t="shared" si="69"/>
        <v>All dates received</v>
      </c>
      <c r="J705" s="9" t="s">
        <v>1552</v>
      </c>
      <c r="K705" s="9">
        <v>4784</v>
      </c>
      <c r="L705" s="11">
        <v>50</v>
      </c>
      <c r="M705" s="9" t="s">
        <v>1624</v>
      </c>
      <c r="N705" s="9"/>
      <c r="O705" s="9"/>
      <c r="P705" s="9"/>
      <c r="Q705" s="11"/>
      <c r="R705" s="9" t="s">
        <v>195</v>
      </c>
      <c r="S705" s="9" t="s">
        <v>207</v>
      </c>
      <c r="T705" s="12">
        <f>IF($H705="Cancelled","",IFERROR(((Q705+INDEX(Variables!$B$6:$D$6,IFERROR(MATCH(IF($B705="Robusta","Robusta",(IF($B705="","Arabica",$B705))&amp;" - "&amp;(IF($C705="","Commercial",$C705))),Variables!$B$1:$D$1,0),1)))*22.0462)*(L705/16.67),""))</f>
        <v>19229.259028194359</v>
      </c>
      <c r="U705" s="10"/>
      <c r="V705" s="9" t="str">
        <f t="shared" si="71"/>
        <v/>
      </c>
      <c r="W705" s="10">
        <v>45371</v>
      </c>
      <c r="X705" s="9" t="str">
        <f t="shared" si="72"/>
        <v>Approved</v>
      </c>
      <c r="Y705" s="10">
        <v>45402</v>
      </c>
      <c r="Z705" s="10">
        <f>IF($H705="Cancelled","",IFERROR(IF(F705="","",F705-Variables!$B$13),""))</f>
        <v>45428</v>
      </c>
      <c r="AA705" s="11">
        <f>IF($H705="Cancelled","",IFERROR(IF(W705="","",(AVERAGE(E705:F705)-W705)-Variables!$B$14),""))</f>
        <v>27</v>
      </c>
      <c r="AB705" s="10">
        <v>45411</v>
      </c>
      <c r="AC705" s="11">
        <f>IF($H705="Cancelled","",IFERROR(IF(AB705="","",IF(AND(W705="",Y705=""),"",IF(Y705&gt;W705,Y705+Variables!$B$15+Variables!$B$16+Variables!$B$17-AB705,W705+Variables!$B$16+Variables!$B$17-AB705))),""))</f>
        <v>6</v>
      </c>
      <c r="AD705" s="9" t="s">
        <v>180</v>
      </c>
      <c r="AE705" s="9" t="s">
        <v>1622</v>
      </c>
      <c r="AF705" s="10"/>
      <c r="AG705" s="10"/>
      <c r="AH705" s="9"/>
      <c r="AI705" s="9" t="s">
        <v>1623</v>
      </c>
      <c r="AJ705" s="9">
        <v>9148513776</v>
      </c>
      <c r="AK705" s="10">
        <v>45420</v>
      </c>
      <c r="AL705" s="10">
        <v>45421</v>
      </c>
      <c r="AM705" s="10">
        <v>45428</v>
      </c>
      <c r="AN705" s="9" t="s">
        <v>1492</v>
      </c>
      <c r="AO705" s="9"/>
      <c r="AP705" s="11">
        <f>IF($H705="Cancelled","",IFERROR(IF(OR(AK705="",AB705=""),"",(AB705+Variables!$B$18-AK705)),""))</f>
        <v>-2</v>
      </c>
      <c r="AQ705" s="11">
        <f>IF($H705="Cancelled","",IFERROR(IF(OR(AM705="",AK705=""),"",(AK705+Variables!$B$19)-AM705),""))</f>
        <v>-3</v>
      </c>
      <c r="AR705" s="12">
        <f>IF($H705="Cancelled","",IFERROR(T705*INDEX(Variables!$B$7:$D$7,IFERROR(MATCH(IF($B705="Robusta","Robusta",(IF($B705="","Arabica",$B705))&amp;" - "&amp;(IF($C705="","Commercial",$C705))),Variables!$B$1:$D$1,0),1))*(AQ705/365),""))</f>
        <v>-10.19132816307809</v>
      </c>
      <c r="AS705" s="12">
        <f>IF($H705="Cancelled","",IFERROR((T705*INDEX(Variables!$B$7:$D$7,IFERROR(MATCH(IF($B705="Robusta","Robusta",(IF($B705="","Arabica",$B705))&amp;" - "&amp;(IF($C705="","Commercial",$C705))),Variables!$B$1:$D$1,0),1))*IFERROR(IF(W705="","",(AVERAGE(E705:F705)-W705)-Variables!$B$14),"")/365)+(L705/16.67*INDEX(Variables!$B$8:$D$8,IFERROR(MATCH(IF($B705="Robusta","Robusta",(IF($B705="","Arabica",$B705))&amp;" - "&amp;(IF($C705="","Commercial",$C705))),Variables!$B$1:$D$1,0),1))*IFERROR(IF(W705="","",(AVERAGE(E705:F705)-W705)-Variables!$B$14),""))+(T705*INDEX(Variables!$B$9:$D$9,IFERROR(MATCH(IF($B705="Robusta","Robusta",(IF($B705="","Arabica",$B705))&amp;" - "&amp;(IF($C705="","Commercial",$C705))),Variables!$B$1:$D$1,0),1))*IFERROR(IF(W705="","",(AVERAGE(E705:F705)-W705)-Variables!$B$14),"")/365),""))</f>
        <v>160.40442645897329</v>
      </c>
      <c r="AT705" s="12">
        <f>IF($H705="Cancelled","",IFERROR((T705*INDEX(Variables!$B$7:$D$7,IFERROR(MATCH(IF($B705="Robusta","Robusta",(IF($B705="","Arabica",$B705))&amp;" - "&amp;(IF($C705="","Commercial",$C705))),Variables!$B$1:$D$1,0),1))*AC705/365)+(L705/16.67*INDEX(Variables!$B$8:$D$8,IFERROR(MATCH(IF($B705="Robusta","Robusta",(IF($B705="","Arabica",$B705))&amp;" - "&amp;(IF($C705="","Commercial",$C705))),Variables!$B$1:$D$1,0),1))*AC705)+(T705*INDEX(Variables!$B$9:$D$9,IFERROR(MATCH(IF($B705="Robusta","Robusta",(IF($B705="","Arabica",$B705))&amp;" - "&amp;(IF($C705="","Commercial",$C705))),Variables!$B$1:$D$1,0),1))*AC705/365),""))</f>
        <v>35.645428101994064</v>
      </c>
      <c r="AU705" s="12">
        <f>IF($H705="Cancelled","",IFERROR((T705*INDEX(Variables!$B$7:$D$7,IFERROR(MATCH(IF($B705="Robusta","Robusta",(IF($B705="","Arabica",$B705))&amp;" - "&amp;(IF($C705="","Commercial",$C705))),Variables!$B$1:$D$1,0),1))*AP705/365)+(L705/16.67*INDEX(Variables!$B$8:$D$8,IFERROR(MATCH(IF($B705="Robusta","Robusta",(IF($B705="","Arabica",$B705))&amp;" - "&amp;(IF($C705="","Commercial",$C705))),Variables!$B$1:$D$1,0),1))*AP705)+(T705*INDEX(Variables!$B$9:$D$9,IFERROR(MATCH(IF($B705="Robusta","Robusta",(IF($B705="","Arabica",$B705))&amp;" - "&amp;(IF($C705="","Commercial",$C705))),Variables!$B$1:$D$1,0),1))*AP705/365),""))</f>
        <v>-11.881809367331355</v>
      </c>
      <c r="AV705" s="11">
        <f t="shared" si="70"/>
        <v>23</v>
      </c>
      <c r="AW705" s="12">
        <f>IF($H705="Cancelled","",IFERROR(IF(AV705="","",(T705*INDEX(Variables!$B$7:$D$7,IFERROR(MATCH(IF($B705="Robusta","Robusta",(IF($B705="","Arabica",$B705))&amp;" - "&amp;(IF($C705="","Commercial",$C705))),Variables!$B$1:$D$1,0),1))*(AV705/365))+(T705*INDEX(Variables!$B$9:$D$9,IFERROR(MATCH(IF($B705="Robusta","Robusta",(IF($B705="","Arabica",$B705))&amp;" - "&amp;(IF($C705="","Commercial",$C705))),Variables!$B$1:$D$1,0),1))*(AV705/365))+(INDEX(Variables!$B$8:$D$8,IFERROR(MATCH(IF($B705="Robusta","Robusta",(IF($B705="","Arabica",$B705))&amp;" - "&amp;(IF($C705="","Commercial",$C705))),Variables!$B$1:$D$1,0),1))*L705/16.67)),""))</f>
        <v>81.640807724310591</v>
      </c>
      <c r="AX705" s="9"/>
      <c r="AY705" s="12"/>
      <c r="AZ705" s="10"/>
      <c r="BA705" s="9"/>
      <c r="BB705" s="10"/>
      <c r="BC705" s="9"/>
      <c r="BD705" s="9"/>
      <c r="BE705" s="9"/>
      <c r="BF705" s="9"/>
    </row>
    <row r="706" spans="1:58" x14ac:dyDescent="0.25">
      <c r="A706" s="9" t="s">
        <v>84</v>
      </c>
      <c r="B706" s="9" t="s">
        <v>85</v>
      </c>
      <c r="C706" s="9" t="s">
        <v>1486</v>
      </c>
      <c r="D706" s="10">
        <v>45371</v>
      </c>
      <c r="E706" s="10">
        <v>45413</v>
      </c>
      <c r="F706" s="10">
        <v>45443</v>
      </c>
      <c r="G706" s="9">
        <v>3786204</v>
      </c>
      <c r="H706" s="9" t="str">
        <f t="shared" ref="H706:H769" si="73">IF(ISNUMBER(SEARCH("cancel",AN706)),"Cancelled",IF(AND(AK706&lt;&gt;"",AL706&lt;&gt;"",AM706&lt;&gt;""),"Closed","Open"))</f>
        <v>Closed</v>
      </c>
      <c r="I706" s="9" t="str">
        <f t="shared" ref="I706:I769" si="74">IF(AND(AK706&lt;&gt;"",AL706&lt;&gt;"",AM706&lt;&gt;""),"All dates received",_xlfn.TEXTJOIN(" and ",TRUE(),IF(AK706="","No sailing date",""),IF(AL706="","No shipping advice sent",""),IF(AM706="","No docs dispatch date","")))</f>
        <v>All dates received</v>
      </c>
      <c r="J706" s="9" t="s">
        <v>1552</v>
      </c>
      <c r="K706" s="9">
        <v>4785</v>
      </c>
      <c r="L706" s="11">
        <v>30</v>
      </c>
      <c r="M706" s="9" t="s">
        <v>1625</v>
      </c>
      <c r="N706" s="9"/>
      <c r="O706" s="9"/>
      <c r="P706" s="9"/>
      <c r="Q706" s="11"/>
      <c r="R706" s="9" t="s">
        <v>195</v>
      </c>
      <c r="S706" s="9" t="s">
        <v>207</v>
      </c>
      <c r="T706" s="12">
        <f>IF($H706="Cancelled","",IFERROR(((Q706+INDEX(Variables!$B$6:$D$6,IFERROR(MATCH(IF($B706="Robusta","Robusta",(IF($B706="","Arabica",$B706))&amp;" - "&amp;(IF($C706="","Commercial",$C706))),Variables!$B$1:$D$1,0),1)))*22.0462)*(L706/16.67),""))</f>
        <v>11537.555416916615</v>
      </c>
      <c r="U706" s="10"/>
      <c r="V706" s="9" t="str">
        <f t="shared" si="71"/>
        <v/>
      </c>
      <c r="W706" s="10">
        <v>45371</v>
      </c>
      <c r="X706" s="9" t="str">
        <f t="shared" si="72"/>
        <v>Approved</v>
      </c>
      <c r="Y706" s="10">
        <v>45402</v>
      </c>
      <c r="Z706" s="10">
        <f>IF($H706="Cancelled","",IFERROR(IF(F706="","",F706-Variables!$B$13),""))</f>
        <v>45428</v>
      </c>
      <c r="AA706" s="11">
        <f>IF($H706="Cancelled","",IFERROR(IF(W706="","",(AVERAGE(E706:F706)-W706)-Variables!$B$14),""))</f>
        <v>27</v>
      </c>
      <c r="AB706" s="10">
        <v>45411</v>
      </c>
      <c r="AC706" s="11">
        <f>IF($H706="Cancelled","",IFERROR(IF(AB706="","",IF(AND(W706="",Y706=""),"",IF(Y706&gt;W706,Y706+Variables!$B$15+Variables!$B$16+Variables!$B$17-AB706,W706+Variables!$B$16+Variables!$B$17-AB706))),""))</f>
        <v>6</v>
      </c>
      <c r="AD706" s="9" t="s">
        <v>180</v>
      </c>
      <c r="AE706" s="9" t="s">
        <v>1622</v>
      </c>
      <c r="AF706" s="10"/>
      <c r="AG706" s="10"/>
      <c r="AH706" s="9"/>
      <c r="AI706" s="9" t="s">
        <v>1623</v>
      </c>
      <c r="AJ706" s="9">
        <v>9148513776</v>
      </c>
      <c r="AK706" s="10">
        <v>45420</v>
      </c>
      <c r="AL706" s="10">
        <v>45421</v>
      </c>
      <c r="AM706" s="10">
        <v>45428</v>
      </c>
      <c r="AN706" s="9" t="s">
        <v>1492</v>
      </c>
      <c r="AO706" s="9"/>
      <c r="AP706" s="11">
        <f>IF($H706="Cancelled","",IFERROR(IF(OR(AK706="",AB706=""),"",(AB706+Variables!$B$18-AK706)),""))</f>
        <v>-2</v>
      </c>
      <c r="AQ706" s="11">
        <f>IF($H706="Cancelled","",IFERROR(IF(OR(AM706="",AK706=""),"",(AK706+Variables!$B$19)-AM706),""))</f>
        <v>-3</v>
      </c>
      <c r="AR706" s="12">
        <f>IF($H706="Cancelled","",IFERROR(T706*INDEX(Variables!$B$7:$D$7,IFERROR(MATCH(IF($B706="Robusta","Robusta",(IF($B706="","Arabica",$B706))&amp;" - "&amp;(IF($C706="","Commercial",$C706))),Variables!$B$1:$D$1,0),1))*(AQ706/365),""))</f>
        <v>-6.1147968978468539</v>
      </c>
      <c r="AS706" s="12">
        <f>IF($H706="Cancelled","",IFERROR((T706*INDEX(Variables!$B$7:$D$7,IFERROR(MATCH(IF($B706="Robusta","Robusta",(IF($B706="","Arabica",$B706))&amp;" - "&amp;(IF($C706="","Commercial",$C706))),Variables!$B$1:$D$1,0),1))*IFERROR(IF(W706="","",(AVERAGE(E706:F706)-W706)-Variables!$B$14),"")/365)+(L706/16.67*INDEX(Variables!$B$8:$D$8,IFERROR(MATCH(IF($B706="Robusta","Robusta",(IF($B706="","Arabica",$B706))&amp;" - "&amp;(IF($C706="","Commercial",$C706))),Variables!$B$1:$D$1,0),1))*IFERROR(IF(W706="","",(AVERAGE(E706:F706)-W706)-Variables!$B$14),""))+(T706*INDEX(Variables!$B$9:$D$9,IFERROR(MATCH(IF($B706="Robusta","Robusta",(IF($B706="","Arabica",$B706))&amp;" - "&amp;(IF($C706="","Commercial",$C706))),Variables!$B$1:$D$1,0),1))*IFERROR(IF(W706="","",(AVERAGE(E706:F706)-W706)-Variables!$B$14),"")/365),""))</f>
        <v>96.242655875383974</v>
      </c>
      <c r="AT706" s="12">
        <f>IF($H706="Cancelled","",IFERROR((T706*INDEX(Variables!$B$7:$D$7,IFERROR(MATCH(IF($B706="Robusta","Robusta",(IF($B706="","Arabica",$B706))&amp;" - "&amp;(IF($C706="","Commercial",$C706))),Variables!$B$1:$D$1,0),1))*AC706/365)+(L706/16.67*INDEX(Variables!$B$8:$D$8,IFERROR(MATCH(IF($B706="Robusta","Robusta",(IF($B706="","Arabica",$B706))&amp;" - "&amp;(IF($C706="","Commercial",$C706))),Variables!$B$1:$D$1,0),1))*AC706)+(T706*INDEX(Variables!$B$9:$D$9,IFERROR(MATCH(IF($B706="Robusta","Robusta",(IF($B706="","Arabica",$B706))&amp;" - "&amp;(IF($C706="","Commercial",$C706))),Variables!$B$1:$D$1,0),1))*AC706/365),""))</f>
        <v>21.387256861196441</v>
      </c>
      <c r="AU706" s="12">
        <f>IF($H706="Cancelled","",IFERROR((T706*INDEX(Variables!$B$7:$D$7,IFERROR(MATCH(IF($B706="Robusta","Robusta",(IF($B706="","Arabica",$B706))&amp;" - "&amp;(IF($C706="","Commercial",$C706))),Variables!$B$1:$D$1,0),1))*AP706/365)+(L706/16.67*INDEX(Variables!$B$8:$D$8,IFERROR(MATCH(IF($B706="Robusta","Robusta",(IF($B706="","Arabica",$B706))&amp;" - "&amp;(IF($C706="","Commercial",$C706))),Variables!$B$1:$D$1,0),1))*AP706)+(T706*INDEX(Variables!$B$9:$D$9,IFERROR(MATCH(IF($B706="Robusta","Robusta",(IF($B706="","Arabica",$B706))&amp;" - "&amp;(IF($C706="","Commercial",$C706))),Variables!$B$1:$D$1,0),1))*AP706/365),""))</f>
        <v>-7.1290856203988131</v>
      </c>
      <c r="AV706" s="11">
        <f t="shared" ref="AV706:AV769" si="75">IF($H706="Cancelled","",IFERROR(IF(AK706="","",F706-AK706),""))</f>
        <v>23</v>
      </c>
      <c r="AW706" s="12">
        <f>IF($H706="Cancelled","",IFERROR(IF(AV706="","",(T706*INDEX(Variables!$B$7:$D$7,IFERROR(MATCH(IF($B706="Robusta","Robusta",(IF($B706="","Arabica",$B706))&amp;" - "&amp;(IF($C706="","Commercial",$C706))),Variables!$B$1:$D$1,0),1))*(AV706/365))+(T706*INDEX(Variables!$B$9:$D$9,IFERROR(MATCH(IF($B706="Robusta","Robusta",(IF($B706="","Arabica",$B706))&amp;" - "&amp;(IF($C706="","Commercial",$C706))),Variables!$B$1:$D$1,0),1))*(AV706/365))+(INDEX(Variables!$B$8:$D$8,IFERROR(MATCH(IF($B706="Robusta","Robusta",(IF($B706="","Arabica",$B706))&amp;" - "&amp;(IF($C706="","Commercial",$C706))),Variables!$B$1:$D$1,0),1))*L706/16.67)),""))</f>
        <v>48.984484634586352</v>
      </c>
      <c r="AX706" s="9"/>
      <c r="AY706" s="12"/>
      <c r="AZ706" s="10"/>
      <c r="BA706" s="9"/>
      <c r="BB706" s="10"/>
      <c r="BC706" s="9"/>
      <c r="BD706" s="9"/>
      <c r="BE706" s="9"/>
      <c r="BF706" s="9"/>
    </row>
    <row r="707" spans="1:58" x14ac:dyDescent="0.25">
      <c r="A707" s="9" t="s">
        <v>84</v>
      </c>
      <c r="B707" s="9" t="s">
        <v>85</v>
      </c>
      <c r="C707" s="9" t="s">
        <v>1486</v>
      </c>
      <c r="D707" s="10">
        <v>45372</v>
      </c>
      <c r="E707" s="10">
        <v>45413</v>
      </c>
      <c r="F707" s="10">
        <v>45443</v>
      </c>
      <c r="G707" s="9">
        <v>3786226</v>
      </c>
      <c r="H707" s="9" t="str">
        <f t="shared" si="73"/>
        <v>Closed</v>
      </c>
      <c r="I707" s="9" t="str">
        <f t="shared" si="74"/>
        <v>All dates received</v>
      </c>
      <c r="J707" s="9" t="s">
        <v>225</v>
      </c>
      <c r="K707" s="9">
        <v>4824</v>
      </c>
      <c r="L707" s="11">
        <v>52</v>
      </c>
      <c r="M707" s="9" t="s">
        <v>1626</v>
      </c>
      <c r="N707" s="9"/>
      <c r="O707" s="9"/>
      <c r="P707" s="9"/>
      <c r="Q707" s="11"/>
      <c r="R707" s="9" t="s">
        <v>195</v>
      </c>
      <c r="S707" s="9" t="s">
        <v>1627</v>
      </c>
      <c r="T707" s="12">
        <f>IF($H707="Cancelled","",IFERROR(((Q707+INDEX(Variables!$B$6:$D$6,IFERROR(MATCH(IF($B707="Robusta","Robusta",(IF($B707="","Arabica",$B707))&amp;" - "&amp;(IF($C707="","Commercial",$C707))),Variables!$B$1:$D$1,0),1)))*22.0462)*(L707/16.67),""))</f>
        <v>19998.429389322137</v>
      </c>
      <c r="U707" s="10"/>
      <c r="V707" s="9" t="str">
        <f t="shared" si="71"/>
        <v/>
      </c>
      <c r="W707" s="10">
        <v>45366</v>
      </c>
      <c r="X707" s="9" t="str">
        <f t="shared" si="72"/>
        <v>Approved</v>
      </c>
      <c r="Y707" s="10">
        <v>45400</v>
      </c>
      <c r="Z707" s="10">
        <f>IF($H707="Cancelled","",IFERROR(IF(F707="","",F707-Variables!$B$13),""))</f>
        <v>45428</v>
      </c>
      <c r="AA707" s="11">
        <f>IF($H707="Cancelled","",IFERROR(IF(W707="","",(AVERAGE(E707:F707)-W707)-Variables!$B$14),""))</f>
        <v>32</v>
      </c>
      <c r="AB707" s="10">
        <v>45408</v>
      </c>
      <c r="AC707" s="11">
        <f>IF($H707="Cancelled","",IFERROR(IF(AB707="","",IF(AND(W707="",Y707=""),"",IF(Y707&gt;W707,Y707+Variables!$B$15+Variables!$B$16+Variables!$B$17-AB707,W707+Variables!$B$16+Variables!$B$17-AB707))),""))</f>
        <v>7</v>
      </c>
      <c r="AD707" s="9" t="s">
        <v>107</v>
      </c>
      <c r="AE707" s="9" t="s">
        <v>364</v>
      </c>
      <c r="AF707" s="10"/>
      <c r="AG707" s="10"/>
      <c r="AH707" s="9"/>
      <c r="AI707" s="9" t="s">
        <v>1628</v>
      </c>
      <c r="AJ707" s="9">
        <v>3073278121</v>
      </c>
      <c r="AK707" s="10">
        <v>45418</v>
      </c>
      <c r="AL707" s="10">
        <v>45421</v>
      </c>
      <c r="AM707" s="10">
        <v>45425</v>
      </c>
      <c r="AN707" s="9" t="s">
        <v>1492</v>
      </c>
      <c r="AO707" s="9"/>
      <c r="AP707" s="11">
        <f>IF($H707="Cancelled","",IFERROR(IF(OR(AK707="",AB707=""),"",(AB707+Variables!$B$18-AK707)),""))</f>
        <v>-3</v>
      </c>
      <c r="AQ707" s="11">
        <f>IF($H707="Cancelled","",IFERROR(IF(OR(AM707="",AK707=""),"",(AK707+Variables!$B$19)-AM707),""))</f>
        <v>-2</v>
      </c>
      <c r="AR707" s="12">
        <f>IF($H707="Cancelled","",IFERROR(T707*INDEX(Variables!$B$7:$D$7,IFERROR(MATCH(IF($B707="Robusta","Robusta",(IF($B707="","Arabica",$B707))&amp;" - "&amp;(IF($C707="","Commercial",$C707))),Variables!$B$1:$D$1,0),1))*(AQ707/365),""))</f>
        <v>-7.0659875264008107</v>
      </c>
      <c r="AS707" s="12">
        <f>IF($H707="Cancelled","",IFERROR((T707*INDEX(Variables!$B$7:$D$7,IFERROR(MATCH(IF($B707="Robusta","Robusta",(IF($B707="","Arabica",$B707))&amp;" - "&amp;(IF($C707="","Commercial",$C707))),Variables!$B$1:$D$1,0),1))*IFERROR(IF(W707="","",(AVERAGE(E707:F707)-W707)-Variables!$B$14),"")/365)+(L707/16.67*INDEX(Variables!$B$8:$D$8,IFERROR(MATCH(IF($B707="Robusta","Robusta",(IF($B707="","Arabica",$B707))&amp;" - "&amp;(IF($C707="","Commercial",$C707))),Variables!$B$1:$D$1,0),1))*IFERROR(IF(W707="","",(AVERAGE(E707:F707)-W707)-Variables!$B$14),""))+(T707*INDEX(Variables!$B$9:$D$9,IFERROR(MATCH(IF($B707="Robusta","Robusta",(IF($B707="","Arabica",$B707))&amp;" - "&amp;(IF($C707="","Commercial",$C707))),Variables!$B$1:$D$1,0),1))*IFERROR(IF(W707="","",(AVERAGE(E707:F707)-W707)-Variables!$B$14),"")/365),""))</f>
        <v>197.71330787239378</v>
      </c>
      <c r="AT707" s="12">
        <f>IF($H707="Cancelled","",IFERROR((T707*INDEX(Variables!$B$7:$D$7,IFERROR(MATCH(IF($B707="Robusta","Robusta",(IF($B707="","Arabica",$B707))&amp;" - "&amp;(IF($C707="","Commercial",$C707))),Variables!$B$1:$D$1,0),1))*AC707/365)+(L707/16.67*INDEX(Variables!$B$8:$D$8,IFERROR(MATCH(IF($B707="Robusta","Robusta",(IF($B707="","Arabica",$B707))&amp;" - "&amp;(IF($C707="","Commercial",$C707))),Variables!$B$1:$D$1,0),1))*AC707)+(T707*INDEX(Variables!$B$9:$D$9,IFERROR(MATCH(IF($B707="Robusta","Robusta",(IF($B707="","Arabica",$B707))&amp;" - "&amp;(IF($C707="","Commercial",$C707))),Variables!$B$1:$D$1,0),1))*AC707/365),""))</f>
        <v>43.249786097086137</v>
      </c>
      <c r="AU707" s="12">
        <f>IF($H707="Cancelled","",IFERROR((T707*INDEX(Variables!$B$7:$D$7,IFERROR(MATCH(IF($B707="Robusta","Robusta",(IF($B707="","Arabica",$B707))&amp;" - "&amp;(IF($C707="","Commercial",$C707))),Variables!$B$1:$D$1,0),1))*AP707/365)+(L707/16.67*INDEX(Variables!$B$8:$D$8,IFERROR(MATCH(IF($B707="Robusta","Robusta",(IF($B707="","Arabica",$B707))&amp;" - "&amp;(IF($C707="","Commercial",$C707))),Variables!$B$1:$D$1,0),1))*AP707)+(T707*INDEX(Variables!$B$9:$D$9,IFERROR(MATCH(IF($B707="Robusta","Robusta",(IF($B707="","Arabica",$B707))&amp;" - "&amp;(IF($C707="","Commercial",$C707))),Variables!$B$1:$D$1,0),1))*AP707/365),""))</f>
        <v>-18.535622613036917</v>
      </c>
      <c r="AV707" s="11">
        <f t="shared" si="75"/>
        <v>25</v>
      </c>
      <c r="AW707" s="12">
        <f>IF($H707="Cancelled","",IFERROR(IF(AV707="","",(T707*INDEX(Variables!$B$7:$D$7,IFERROR(MATCH(IF($B707="Robusta","Robusta",(IF($B707="","Arabica",$B707))&amp;" - "&amp;(IF($C707="","Commercial",$C707))),Variables!$B$1:$D$1,0),1))*(AV707/365))+(T707*INDEX(Variables!$B$9:$D$9,IFERROR(MATCH(IF($B707="Robusta","Robusta",(IF($B707="","Arabica",$B707))&amp;" - "&amp;(IF($C707="","Commercial",$C707))),Variables!$B$1:$D$1,0),1))*(AV707/365))+(INDEX(Variables!$B$8:$D$8,IFERROR(MATCH(IF($B707="Robusta","Robusta",(IF($B707="","Arabica",$B707))&amp;" - "&amp;(IF($C707="","Commercial",$C707))),Variables!$B$1:$D$1,0),1))*L707/16.67)),""))</f>
        <v>92.06352177530762</v>
      </c>
      <c r="AX707" s="9"/>
      <c r="AY707" s="12"/>
      <c r="AZ707" s="10"/>
      <c r="BA707" s="9"/>
      <c r="BB707" s="10"/>
      <c r="BC707" s="9"/>
      <c r="BD707" s="9"/>
      <c r="BE707" s="9"/>
      <c r="BF707" s="9"/>
    </row>
    <row r="708" spans="1:58" x14ac:dyDescent="0.25">
      <c r="A708" s="9" t="s">
        <v>84</v>
      </c>
      <c r="B708" s="9" t="s">
        <v>85</v>
      </c>
      <c r="C708" s="9" t="s">
        <v>1486</v>
      </c>
      <c r="D708" s="10">
        <v>45372</v>
      </c>
      <c r="E708" s="10">
        <v>45413</v>
      </c>
      <c r="F708" s="10">
        <v>45443</v>
      </c>
      <c r="G708" s="9">
        <v>3786228</v>
      </c>
      <c r="H708" s="9" t="str">
        <f t="shared" si="73"/>
        <v>Closed</v>
      </c>
      <c r="I708" s="9" t="str">
        <f t="shared" si="74"/>
        <v>All dates received</v>
      </c>
      <c r="J708" s="9" t="s">
        <v>225</v>
      </c>
      <c r="K708" s="9">
        <v>4826</v>
      </c>
      <c r="L708" s="11">
        <v>40</v>
      </c>
      <c r="M708" s="9" t="s">
        <v>1629</v>
      </c>
      <c r="N708" s="9"/>
      <c r="O708" s="9"/>
      <c r="P708" s="9"/>
      <c r="Q708" s="11"/>
      <c r="R708" s="9" t="s">
        <v>195</v>
      </c>
      <c r="S708" s="9" t="s">
        <v>1627</v>
      </c>
      <c r="T708" s="12">
        <f>IF($H708="Cancelled","",IFERROR(((Q708+INDEX(Variables!$B$6:$D$6,IFERROR(MATCH(IF($B708="Robusta","Robusta",(IF($B708="","Arabica",$B708))&amp;" - "&amp;(IF($C708="","Commercial",$C708))),Variables!$B$1:$D$1,0),1)))*22.0462)*(L708/16.67),""))</f>
        <v>15383.407222555488</v>
      </c>
      <c r="U708" s="10"/>
      <c r="V708" s="9" t="str">
        <f t="shared" ref="V708:V771" si="76">IF(ISNUMBER(U708),"Sent","")</f>
        <v/>
      </c>
      <c r="W708" s="10">
        <v>45397</v>
      </c>
      <c r="X708" s="9" t="str">
        <f t="shared" si="72"/>
        <v>Approved</v>
      </c>
      <c r="Y708" s="10">
        <v>45400</v>
      </c>
      <c r="Z708" s="10">
        <f>IF($H708="Cancelled","",IFERROR(IF(F708="","",F708-Variables!$B$13),""))</f>
        <v>45428</v>
      </c>
      <c r="AA708" s="11">
        <f>IF($H708="Cancelled","",IFERROR(IF(W708="","",(AVERAGE(E708:F708)-W708)-Variables!$B$14),""))</f>
        <v>1</v>
      </c>
      <c r="AB708" s="10">
        <v>45408</v>
      </c>
      <c r="AC708" s="11">
        <f>IF($H708="Cancelled","",IFERROR(IF(AB708="","",IF(AND(W708="",Y708=""),"",IF(Y708&gt;W708,Y708+Variables!$B$15+Variables!$B$16+Variables!$B$17-AB708,W708+Variables!$B$16+Variables!$B$17-AB708))),""))</f>
        <v>7</v>
      </c>
      <c r="AD708" s="9" t="s">
        <v>107</v>
      </c>
      <c r="AE708" s="9" t="s">
        <v>364</v>
      </c>
      <c r="AF708" s="10"/>
      <c r="AG708" s="10"/>
      <c r="AH708" s="9"/>
      <c r="AI708" s="9" t="s">
        <v>1628</v>
      </c>
      <c r="AJ708" s="9">
        <v>3073278121</v>
      </c>
      <c r="AK708" s="10">
        <v>45418</v>
      </c>
      <c r="AL708" s="10">
        <v>45421</v>
      </c>
      <c r="AM708" s="10">
        <v>45425</v>
      </c>
      <c r="AN708" s="9" t="s">
        <v>1492</v>
      </c>
      <c r="AO708" s="9"/>
      <c r="AP708" s="11">
        <f>IF($H708="Cancelled","",IFERROR(IF(OR(AK708="",AB708=""),"",(AB708+Variables!$B$18-AK708)),""))</f>
        <v>-3</v>
      </c>
      <c r="AQ708" s="11">
        <f>IF($H708="Cancelled","",IFERROR(IF(OR(AM708="",AK708=""),"",(AK708+Variables!$B$19)-AM708),""))</f>
        <v>-2</v>
      </c>
      <c r="AR708" s="12">
        <f>IF($H708="Cancelled","",IFERROR(T708*INDEX(Variables!$B$7:$D$7,IFERROR(MATCH(IF($B708="Robusta","Robusta",(IF($B708="","Arabica",$B708))&amp;" - "&amp;(IF($C708="","Commercial",$C708))),Variables!$B$1:$D$1,0),1))*(AQ708/365),""))</f>
        <v>-5.4353750203083155</v>
      </c>
      <c r="AS708" s="12">
        <f>IF($H708="Cancelled","",IFERROR((T708*INDEX(Variables!$B$7:$D$7,IFERROR(MATCH(IF($B708="Robusta","Robusta",(IF($B708="","Arabica",$B708))&amp;" - "&amp;(IF($C708="","Commercial",$C708))),Variables!$B$1:$D$1,0),1))*IFERROR(IF(W708="","",(AVERAGE(E708:F708)-W708)-Variables!$B$14),"")/365)+(L708/16.67*INDEX(Variables!$B$8:$D$8,IFERROR(MATCH(IF($B708="Robusta","Robusta",(IF($B708="","Arabica",$B708))&amp;" - "&amp;(IF($C708="","Commercial",$C708))),Variables!$B$1:$D$1,0),1))*IFERROR(IF(W708="","",(AVERAGE(E708:F708)-W708)-Variables!$B$14),""))+(T708*INDEX(Variables!$B$9:$D$9,IFERROR(MATCH(IF($B708="Robusta","Robusta",(IF($B708="","Arabica",$B708))&amp;" - "&amp;(IF($C708="","Commercial",$C708))),Variables!$B$1:$D$1,0),1))*IFERROR(IF(W708="","",(AVERAGE(E708:F708)-W708)-Variables!$B$14),"")/365),""))</f>
        <v>4.7527237469325421</v>
      </c>
      <c r="AT708" s="12">
        <f>IF($H708="Cancelled","",IFERROR((T708*INDEX(Variables!$B$7:$D$7,IFERROR(MATCH(IF($B708="Robusta","Robusta",(IF($B708="","Arabica",$B708))&amp;" - "&amp;(IF($C708="","Commercial",$C708))),Variables!$B$1:$D$1,0),1))*AC708/365)+(L708/16.67*INDEX(Variables!$B$8:$D$8,IFERROR(MATCH(IF($B708="Robusta","Robusta",(IF($B708="","Arabica",$B708))&amp;" - "&amp;(IF($C708="","Commercial",$C708))),Variables!$B$1:$D$1,0),1))*AC708)+(T708*INDEX(Variables!$B$9:$D$9,IFERROR(MATCH(IF($B708="Robusta","Robusta",(IF($B708="","Arabica",$B708))&amp;" - "&amp;(IF($C708="","Commercial",$C708))),Variables!$B$1:$D$1,0),1))*AC708/365),""))</f>
        <v>33.269066228527798</v>
      </c>
      <c r="AU708" s="12">
        <f>IF($H708="Cancelled","",IFERROR((T708*INDEX(Variables!$B$7:$D$7,IFERROR(MATCH(IF($B708="Robusta","Robusta",(IF($B708="","Arabica",$B708))&amp;" - "&amp;(IF($C708="","Commercial",$C708))),Variables!$B$1:$D$1,0),1))*AP708/365)+(L708/16.67*INDEX(Variables!$B$8:$D$8,IFERROR(MATCH(IF($B708="Robusta","Robusta",(IF($B708="","Arabica",$B708))&amp;" - "&amp;(IF($C708="","Commercial",$C708))),Variables!$B$1:$D$1,0),1))*AP708)+(T708*INDEX(Variables!$B$9:$D$9,IFERROR(MATCH(IF($B708="Robusta","Robusta",(IF($B708="","Arabica",$B708))&amp;" - "&amp;(IF($C708="","Commercial",$C708))),Variables!$B$1:$D$1,0),1))*AP708/365),""))</f>
        <v>-14.258171240797626</v>
      </c>
      <c r="AV708" s="11">
        <f t="shared" si="75"/>
        <v>25</v>
      </c>
      <c r="AW708" s="12">
        <f>IF($H708="Cancelled","",IFERROR(IF(AV708="","",(T708*INDEX(Variables!$B$7:$D$7,IFERROR(MATCH(IF($B708="Robusta","Robusta",(IF($B708="","Arabica",$B708))&amp;" - "&amp;(IF($C708="","Commercial",$C708))),Variables!$B$1:$D$1,0),1))*(AV708/365))+(T708*INDEX(Variables!$B$9:$D$9,IFERROR(MATCH(IF($B708="Robusta","Robusta",(IF($B708="","Arabica",$B708))&amp;" - "&amp;(IF($C708="","Commercial",$C708))),Variables!$B$1:$D$1,0),1))*(AV708/365))+(INDEX(Variables!$B$8:$D$8,IFERROR(MATCH(IF($B708="Robusta","Robusta",(IF($B708="","Arabica",$B708))&amp;" - "&amp;(IF($C708="","Commercial",$C708))),Variables!$B$1:$D$1,0),1))*L708/16.67)),""))</f>
        <v>70.818093673313555</v>
      </c>
      <c r="AX708" s="9"/>
      <c r="AY708" s="12"/>
      <c r="AZ708" s="10"/>
      <c r="BA708" s="9"/>
      <c r="BB708" s="10"/>
      <c r="BC708" s="9"/>
      <c r="BD708" s="9"/>
      <c r="BE708" s="9"/>
      <c r="BF708" s="9"/>
    </row>
    <row r="709" spans="1:58" x14ac:dyDescent="0.25">
      <c r="A709" s="9" t="s">
        <v>84</v>
      </c>
      <c r="B709" s="9" t="s">
        <v>85</v>
      </c>
      <c r="C709" s="9" t="s">
        <v>1486</v>
      </c>
      <c r="D709" s="10">
        <v>45372</v>
      </c>
      <c r="E709" s="10">
        <v>45413</v>
      </c>
      <c r="F709" s="10">
        <v>45443</v>
      </c>
      <c r="G709" s="9">
        <v>3786229</v>
      </c>
      <c r="H709" s="9" t="str">
        <f t="shared" si="73"/>
        <v>Closed</v>
      </c>
      <c r="I709" s="9" t="str">
        <f t="shared" si="74"/>
        <v>All dates received</v>
      </c>
      <c r="J709" s="9" t="s">
        <v>225</v>
      </c>
      <c r="K709" s="9">
        <v>4827</v>
      </c>
      <c r="L709" s="11">
        <v>50</v>
      </c>
      <c r="M709" s="9" t="s">
        <v>1630</v>
      </c>
      <c r="N709" s="9"/>
      <c r="O709" s="9"/>
      <c r="P709" s="9"/>
      <c r="Q709" s="11"/>
      <c r="R709" s="9" t="s">
        <v>195</v>
      </c>
      <c r="S709" s="9" t="s">
        <v>1627</v>
      </c>
      <c r="T709" s="12">
        <f>IF($H709="Cancelled","",IFERROR(((Q709+INDEX(Variables!$B$6:$D$6,IFERROR(MATCH(IF($B709="Robusta","Robusta",(IF($B709="","Arabica",$B709))&amp;" - "&amp;(IF($C709="","Commercial",$C709))),Variables!$B$1:$D$1,0),1)))*22.0462)*(L709/16.67),""))</f>
        <v>19229.259028194359</v>
      </c>
      <c r="U709" s="10"/>
      <c r="V709" s="9" t="str">
        <f t="shared" si="76"/>
        <v/>
      </c>
      <c r="W709" s="10">
        <v>45397</v>
      </c>
      <c r="X709" s="9" t="str">
        <f t="shared" si="72"/>
        <v>Approved</v>
      </c>
      <c r="Y709" s="10">
        <v>45400</v>
      </c>
      <c r="Z709" s="10">
        <f>IF($H709="Cancelled","",IFERROR(IF(F709="","",F709-Variables!$B$13),""))</f>
        <v>45428</v>
      </c>
      <c r="AA709" s="11">
        <f>IF($H709="Cancelled","",IFERROR(IF(W709="","",(AVERAGE(E709:F709)-W709)-Variables!$B$14),""))</f>
        <v>1</v>
      </c>
      <c r="AB709" s="10">
        <v>45408</v>
      </c>
      <c r="AC709" s="11">
        <f>IF($H709="Cancelled","",IFERROR(IF(AB709="","",IF(AND(W709="",Y709=""),"",IF(Y709&gt;W709,Y709+Variables!$B$15+Variables!$B$16+Variables!$B$17-AB709,W709+Variables!$B$16+Variables!$B$17-AB709))),""))</f>
        <v>7</v>
      </c>
      <c r="AD709" s="9" t="s">
        <v>107</v>
      </c>
      <c r="AE709" s="9" t="s">
        <v>364</v>
      </c>
      <c r="AF709" s="10"/>
      <c r="AG709" s="10"/>
      <c r="AH709" s="9"/>
      <c r="AI709" s="9" t="s">
        <v>1628</v>
      </c>
      <c r="AJ709" s="9">
        <v>3073278121</v>
      </c>
      <c r="AK709" s="10">
        <v>45418</v>
      </c>
      <c r="AL709" s="10">
        <v>45421</v>
      </c>
      <c r="AM709" s="10">
        <v>45425</v>
      </c>
      <c r="AN709" s="9" t="s">
        <v>1492</v>
      </c>
      <c r="AO709" s="9"/>
      <c r="AP709" s="11">
        <f>IF($H709="Cancelled","",IFERROR(IF(OR(AK709="",AB709=""),"",(AB709+Variables!$B$18-AK709)),""))</f>
        <v>-3</v>
      </c>
      <c r="AQ709" s="11">
        <f>IF($H709="Cancelled","",IFERROR(IF(OR(AM709="",AK709=""),"",(AK709+Variables!$B$19)-AM709),""))</f>
        <v>-2</v>
      </c>
      <c r="AR709" s="12">
        <f>IF($H709="Cancelled","",IFERROR(T709*INDEX(Variables!$B$7:$D$7,IFERROR(MATCH(IF($B709="Robusta","Robusta",(IF($B709="","Arabica",$B709))&amp;" - "&amp;(IF($C709="","Commercial",$C709))),Variables!$B$1:$D$1,0),1))*(AQ709/365),""))</f>
        <v>-6.794218775385394</v>
      </c>
      <c r="AS709" s="12">
        <f>IF($H709="Cancelled","",IFERROR((T709*INDEX(Variables!$B$7:$D$7,IFERROR(MATCH(IF($B709="Robusta","Robusta",(IF($B709="","Arabica",$B709))&amp;" - "&amp;(IF($C709="","Commercial",$C709))),Variables!$B$1:$D$1,0),1))*IFERROR(IF(W709="","",(AVERAGE(E709:F709)-W709)-Variables!$B$14),"")/365)+(L709/16.67*INDEX(Variables!$B$8:$D$8,IFERROR(MATCH(IF($B709="Robusta","Robusta",(IF($B709="","Arabica",$B709))&amp;" - "&amp;(IF($C709="","Commercial",$C709))),Variables!$B$1:$D$1,0),1))*IFERROR(IF(W709="","",(AVERAGE(E709:F709)-W709)-Variables!$B$14),""))+(T709*INDEX(Variables!$B$9:$D$9,IFERROR(MATCH(IF($B709="Robusta","Robusta",(IF($B709="","Arabica",$B709))&amp;" - "&amp;(IF($C709="","Commercial",$C709))),Variables!$B$1:$D$1,0),1))*IFERROR(IF(W709="","",(AVERAGE(E709:F709)-W709)-Variables!$B$14),"")/365),""))</f>
        <v>5.9409046836656776</v>
      </c>
      <c r="AT709" s="12">
        <f>IF($H709="Cancelled","",IFERROR((T709*INDEX(Variables!$B$7:$D$7,IFERROR(MATCH(IF($B709="Robusta","Robusta",(IF($B709="","Arabica",$B709))&amp;" - "&amp;(IF($C709="","Commercial",$C709))),Variables!$B$1:$D$1,0),1))*AC709/365)+(L709/16.67*INDEX(Variables!$B$8:$D$8,IFERROR(MATCH(IF($B709="Robusta","Robusta",(IF($B709="","Arabica",$B709))&amp;" - "&amp;(IF($C709="","Commercial",$C709))),Variables!$B$1:$D$1,0),1))*AC709)+(T709*INDEX(Variables!$B$9:$D$9,IFERROR(MATCH(IF($B709="Robusta","Robusta",(IF($B709="","Arabica",$B709))&amp;" - "&amp;(IF($C709="","Commercial",$C709))),Variables!$B$1:$D$1,0),1))*AC709/365),""))</f>
        <v>41.586332785659742</v>
      </c>
      <c r="AU709" s="12">
        <f>IF($H709="Cancelled","",IFERROR((T709*INDEX(Variables!$B$7:$D$7,IFERROR(MATCH(IF($B709="Robusta","Robusta",(IF($B709="","Arabica",$B709))&amp;" - "&amp;(IF($C709="","Commercial",$C709))),Variables!$B$1:$D$1,0),1))*AP709/365)+(L709/16.67*INDEX(Variables!$B$8:$D$8,IFERROR(MATCH(IF($B709="Robusta","Robusta",(IF($B709="","Arabica",$B709))&amp;" - "&amp;(IF($C709="","Commercial",$C709))),Variables!$B$1:$D$1,0),1))*AP709)+(T709*INDEX(Variables!$B$9:$D$9,IFERROR(MATCH(IF($B709="Robusta","Robusta",(IF($B709="","Arabica",$B709))&amp;" - "&amp;(IF($C709="","Commercial",$C709))),Variables!$B$1:$D$1,0),1))*AP709/365),""))</f>
        <v>-17.822714050997032</v>
      </c>
      <c r="AV709" s="11">
        <f t="shared" si="75"/>
        <v>25</v>
      </c>
      <c r="AW709" s="12">
        <f>IF($H709="Cancelled","",IFERROR(IF(AV709="","",(T709*INDEX(Variables!$B$7:$D$7,IFERROR(MATCH(IF($B709="Robusta","Robusta",(IF($B709="","Arabica",$B709))&amp;" - "&amp;(IF($C709="","Commercial",$C709))),Variables!$B$1:$D$1,0),1))*(AV709/365))+(T709*INDEX(Variables!$B$9:$D$9,IFERROR(MATCH(IF($B709="Robusta","Robusta",(IF($B709="","Arabica",$B709))&amp;" - "&amp;(IF($C709="","Commercial",$C709))),Variables!$B$1:$D$1,0),1))*(AV709/365))+(INDEX(Variables!$B$8:$D$8,IFERROR(MATCH(IF($B709="Robusta","Robusta",(IF($B709="","Arabica",$B709))&amp;" - "&amp;(IF($C709="","Commercial",$C709))),Variables!$B$1:$D$1,0),1))*L709/16.67)),""))</f>
        <v>88.522617091641948</v>
      </c>
      <c r="AX709" s="9"/>
      <c r="AY709" s="12"/>
      <c r="AZ709" s="10"/>
      <c r="BA709" s="9"/>
      <c r="BB709" s="10"/>
      <c r="BC709" s="9"/>
      <c r="BD709" s="9"/>
      <c r="BE709" s="9"/>
      <c r="BF709" s="9"/>
    </row>
    <row r="710" spans="1:58" x14ac:dyDescent="0.25">
      <c r="A710" s="9" t="s">
        <v>84</v>
      </c>
      <c r="B710" s="9" t="s">
        <v>85</v>
      </c>
      <c r="C710" s="9" t="s">
        <v>1486</v>
      </c>
      <c r="D710" s="10">
        <v>45372</v>
      </c>
      <c r="E710" s="10">
        <v>45413</v>
      </c>
      <c r="F710" s="10">
        <v>45443</v>
      </c>
      <c r="G710" s="9">
        <v>3786230</v>
      </c>
      <c r="H710" s="9" t="str">
        <f t="shared" si="73"/>
        <v>Closed</v>
      </c>
      <c r="I710" s="9" t="str">
        <f t="shared" si="74"/>
        <v>All dates received</v>
      </c>
      <c r="J710" s="9" t="s">
        <v>225</v>
      </c>
      <c r="K710" s="9">
        <v>4828</v>
      </c>
      <c r="L710" s="11">
        <v>81</v>
      </c>
      <c r="M710" s="9" t="s">
        <v>1631</v>
      </c>
      <c r="N710" s="9"/>
      <c r="O710" s="9"/>
      <c r="P710" s="9"/>
      <c r="Q710" s="11"/>
      <c r="R710" s="9" t="s">
        <v>195</v>
      </c>
      <c r="S710" s="9" t="s">
        <v>1627</v>
      </c>
      <c r="T710" s="12">
        <f>IF($H710="Cancelled","",IFERROR(((Q710+INDEX(Variables!$B$6:$D$6,IFERROR(MATCH(IF($B710="Robusta","Robusta",(IF($B710="","Arabica",$B710))&amp;" - "&amp;(IF($C710="","Commercial",$C710))),Variables!$B$1:$D$1,0),1)))*22.0462)*(L710/16.67),""))</f>
        <v>31151.399625674865</v>
      </c>
      <c r="U710" s="10"/>
      <c r="V710" s="9" t="str">
        <f t="shared" si="76"/>
        <v/>
      </c>
      <c r="W710" s="10">
        <v>45397</v>
      </c>
      <c r="X710" s="9" t="str">
        <f t="shared" si="72"/>
        <v>Approved</v>
      </c>
      <c r="Y710" s="10">
        <v>45400</v>
      </c>
      <c r="Z710" s="10">
        <f>IF($H710="Cancelled","",IFERROR(IF(F710="","",F710-Variables!$B$13),""))</f>
        <v>45428</v>
      </c>
      <c r="AA710" s="11">
        <f>IF($H710="Cancelled","",IFERROR(IF(W710="","",(AVERAGE(E710:F710)-W710)-Variables!$B$14),""))</f>
        <v>1</v>
      </c>
      <c r="AB710" s="10">
        <v>45408</v>
      </c>
      <c r="AC710" s="11">
        <f>IF($H710="Cancelled","",IFERROR(IF(AB710="","",IF(AND(W710="",Y710=""),"",IF(Y710&gt;W710,Y710+Variables!$B$15+Variables!$B$16+Variables!$B$17-AB710,W710+Variables!$B$16+Variables!$B$17-AB710))),""))</f>
        <v>7</v>
      </c>
      <c r="AD710" s="9" t="s">
        <v>107</v>
      </c>
      <c r="AE710" s="9" t="s">
        <v>364</v>
      </c>
      <c r="AF710" s="10"/>
      <c r="AG710" s="10"/>
      <c r="AH710" s="9"/>
      <c r="AI710" s="9" t="s">
        <v>1628</v>
      </c>
      <c r="AJ710" s="9">
        <v>3073278121</v>
      </c>
      <c r="AK710" s="10">
        <v>45418</v>
      </c>
      <c r="AL710" s="10">
        <v>45421</v>
      </c>
      <c r="AM710" s="10">
        <v>45425</v>
      </c>
      <c r="AN710" s="9" t="s">
        <v>1492</v>
      </c>
      <c r="AO710" s="9"/>
      <c r="AP710" s="11">
        <f>IF($H710="Cancelled","",IFERROR(IF(OR(AK710="",AB710=""),"",(AB710+Variables!$B$18-AK710)),""))</f>
        <v>-3</v>
      </c>
      <c r="AQ710" s="11">
        <f>IF($H710="Cancelled","",IFERROR(IF(OR(AM710="",AK710=""),"",(AK710+Variables!$B$19)-AM710),""))</f>
        <v>-2</v>
      </c>
      <c r="AR710" s="12">
        <f>IF($H710="Cancelled","",IFERROR(T710*INDEX(Variables!$B$7:$D$7,IFERROR(MATCH(IF($B710="Robusta","Robusta",(IF($B710="","Arabica",$B710))&amp;" - "&amp;(IF($C710="","Commercial",$C710))),Variables!$B$1:$D$1,0),1))*(AQ710/365),""))</f>
        <v>-11.006634416124339</v>
      </c>
      <c r="AS710" s="12">
        <f>IF($H710="Cancelled","",IFERROR((T710*INDEX(Variables!$B$7:$D$7,IFERROR(MATCH(IF($B710="Robusta","Robusta",(IF($B710="","Arabica",$B710))&amp;" - "&amp;(IF($C710="","Commercial",$C710))),Variables!$B$1:$D$1,0),1))*IFERROR(IF(W710="","",(AVERAGE(E710:F710)-W710)-Variables!$B$14),"")/365)+(L710/16.67*INDEX(Variables!$B$8:$D$8,IFERROR(MATCH(IF($B710="Robusta","Robusta",(IF($B710="","Arabica",$B710))&amp;" - "&amp;(IF($C710="","Commercial",$C710))),Variables!$B$1:$D$1,0),1))*IFERROR(IF(W710="","",(AVERAGE(E710:F710)-W710)-Variables!$B$14),""))+(T710*INDEX(Variables!$B$9:$D$9,IFERROR(MATCH(IF($B710="Robusta","Robusta",(IF($B710="","Arabica",$B710))&amp;" - "&amp;(IF($C710="","Commercial",$C710))),Variables!$B$1:$D$1,0),1))*IFERROR(IF(W710="","",(AVERAGE(E710:F710)-W710)-Variables!$B$14),"")/365),""))</f>
        <v>9.6242655875383996</v>
      </c>
      <c r="AT710" s="12">
        <f>IF($H710="Cancelled","",IFERROR((T710*INDEX(Variables!$B$7:$D$7,IFERROR(MATCH(IF($B710="Robusta","Robusta",(IF($B710="","Arabica",$B710))&amp;" - "&amp;(IF($C710="","Commercial",$C710))),Variables!$B$1:$D$1,0),1))*AC710/365)+(L710/16.67*INDEX(Variables!$B$8:$D$8,IFERROR(MATCH(IF($B710="Robusta","Robusta",(IF($B710="","Arabica",$B710))&amp;" - "&amp;(IF($C710="","Commercial",$C710))),Variables!$B$1:$D$1,0),1))*AC710)+(T710*INDEX(Variables!$B$9:$D$9,IFERROR(MATCH(IF($B710="Robusta","Robusta",(IF($B710="","Arabica",$B710))&amp;" - "&amp;(IF($C710="","Commercial",$C710))),Variables!$B$1:$D$1,0),1))*AC710/365),""))</f>
        <v>67.369859112768793</v>
      </c>
      <c r="AU710" s="12">
        <f>IF($H710="Cancelled","",IFERROR((T710*INDEX(Variables!$B$7:$D$7,IFERROR(MATCH(IF($B710="Robusta","Robusta",(IF($B710="","Arabica",$B710))&amp;" - "&amp;(IF($C710="","Commercial",$C710))),Variables!$B$1:$D$1,0),1))*AP710/365)+(L710/16.67*INDEX(Variables!$B$8:$D$8,IFERROR(MATCH(IF($B710="Robusta","Robusta",(IF($B710="","Arabica",$B710))&amp;" - "&amp;(IF($C710="","Commercial",$C710))),Variables!$B$1:$D$1,0),1))*AP710)+(T710*INDEX(Variables!$B$9:$D$9,IFERROR(MATCH(IF($B710="Robusta","Robusta",(IF($B710="","Arabica",$B710))&amp;" - "&amp;(IF($C710="","Commercial",$C710))),Variables!$B$1:$D$1,0),1))*AP710/365),""))</f>
        <v>-28.872796762615199</v>
      </c>
      <c r="AV710" s="11">
        <f t="shared" si="75"/>
        <v>25</v>
      </c>
      <c r="AW710" s="12">
        <f>IF($H710="Cancelled","",IFERROR(IF(AV710="","",(T710*INDEX(Variables!$B$7:$D$7,IFERROR(MATCH(IF($B710="Robusta","Robusta",(IF($B710="","Arabica",$B710))&amp;" - "&amp;(IF($C710="","Commercial",$C710))),Variables!$B$1:$D$1,0),1))*(AV710/365))+(T710*INDEX(Variables!$B$9:$D$9,IFERROR(MATCH(IF($B710="Robusta","Robusta",(IF($B710="","Arabica",$B710))&amp;" - "&amp;(IF($C710="","Commercial",$C710))),Variables!$B$1:$D$1,0),1))*(AV710/365))+(INDEX(Variables!$B$8:$D$8,IFERROR(MATCH(IF($B710="Robusta","Robusta",(IF($B710="","Arabica",$B710))&amp;" - "&amp;(IF($C710="","Commercial",$C710))),Variables!$B$1:$D$1,0),1))*L710/16.67)),""))</f>
        <v>143.40663968845996</v>
      </c>
      <c r="AX710" s="9"/>
      <c r="AY710" s="12"/>
      <c r="AZ710" s="10"/>
      <c r="BA710" s="9"/>
      <c r="BB710" s="10"/>
      <c r="BC710" s="9"/>
      <c r="BD710" s="9"/>
      <c r="BE710" s="9"/>
      <c r="BF710" s="9"/>
    </row>
    <row r="711" spans="1:58" x14ac:dyDescent="0.25">
      <c r="A711" s="9" t="s">
        <v>84</v>
      </c>
      <c r="B711" s="9" t="s">
        <v>85</v>
      </c>
      <c r="C711" s="9" t="s">
        <v>1486</v>
      </c>
      <c r="D711" s="10">
        <v>45372</v>
      </c>
      <c r="E711" s="10">
        <v>45413</v>
      </c>
      <c r="F711" s="10">
        <v>45443</v>
      </c>
      <c r="G711" s="9">
        <v>3786231</v>
      </c>
      <c r="H711" s="9" t="str">
        <f t="shared" si="73"/>
        <v>Closed</v>
      </c>
      <c r="I711" s="9" t="str">
        <f t="shared" si="74"/>
        <v>All dates received</v>
      </c>
      <c r="J711" s="9" t="s">
        <v>225</v>
      </c>
      <c r="K711" s="9">
        <v>4829</v>
      </c>
      <c r="L711" s="11">
        <v>50</v>
      </c>
      <c r="M711" s="9" t="s">
        <v>1632</v>
      </c>
      <c r="N711" s="9"/>
      <c r="O711" s="9"/>
      <c r="P711" s="9"/>
      <c r="Q711" s="11"/>
      <c r="R711" s="9" t="s">
        <v>195</v>
      </c>
      <c r="S711" s="9" t="s">
        <v>1627</v>
      </c>
      <c r="T711" s="12">
        <f>IF($H711="Cancelled","",IFERROR(((Q711+INDEX(Variables!$B$6:$D$6,IFERROR(MATCH(IF($B711="Robusta","Robusta",(IF($B711="","Arabica",$B711))&amp;" - "&amp;(IF($C711="","Commercial",$C711))),Variables!$B$1:$D$1,0),1)))*22.0462)*(L711/16.67),""))</f>
        <v>19229.259028194359</v>
      </c>
      <c r="U711" s="10"/>
      <c r="V711" s="9" t="str">
        <f t="shared" si="76"/>
        <v/>
      </c>
      <c r="W711" s="10">
        <v>45397</v>
      </c>
      <c r="X711" s="9" t="str">
        <f t="shared" si="72"/>
        <v>Approved</v>
      </c>
      <c r="Y711" s="10">
        <v>45400</v>
      </c>
      <c r="Z711" s="10">
        <f>IF($H711="Cancelled","",IFERROR(IF(F711="","",F711-Variables!$B$13),""))</f>
        <v>45428</v>
      </c>
      <c r="AA711" s="11">
        <f>IF($H711="Cancelled","",IFERROR(IF(W711="","",(AVERAGE(E711:F711)-W711)-Variables!$B$14),""))</f>
        <v>1</v>
      </c>
      <c r="AB711" s="10">
        <v>45408</v>
      </c>
      <c r="AC711" s="11">
        <f>IF($H711="Cancelled","",IFERROR(IF(AB711="","",IF(AND(W711="",Y711=""),"",IF(Y711&gt;W711,Y711+Variables!$B$15+Variables!$B$16+Variables!$B$17-AB711,W711+Variables!$B$16+Variables!$B$17-AB711))),""))</f>
        <v>7</v>
      </c>
      <c r="AD711" s="9" t="s">
        <v>107</v>
      </c>
      <c r="AE711" s="9" t="s">
        <v>364</v>
      </c>
      <c r="AF711" s="10"/>
      <c r="AG711" s="10"/>
      <c r="AH711" s="9"/>
      <c r="AI711" s="9" t="s">
        <v>1628</v>
      </c>
      <c r="AJ711" s="9">
        <v>3073278121</v>
      </c>
      <c r="AK711" s="10">
        <v>45418</v>
      </c>
      <c r="AL711" s="10">
        <v>45421</v>
      </c>
      <c r="AM711" s="10">
        <v>45425</v>
      </c>
      <c r="AN711" s="9" t="s">
        <v>1492</v>
      </c>
      <c r="AO711" s="9"/>
      <c r="AP711" s="11">
        <f>IF($H711="Cancelled","",IFERROR(IF(OR(AK711="",AB711=""),"",(AB711+Variables!$B$18-AK711)),""))</f>
        <v>-3</v>
      </c>
      <c r="AQ711" s="11">
        <f>IF($H711="Cancelled","",IFERROR(IF(OR(AM711="",AK711=""),"",(AK711+Variables!$B$19)-AM711),""))</f>
        <v>-2</v>
      </c>
      <c r="AR711" s="12">
        <f>IF($H711="Cancelled","",IFERROR(T711*INDEX(Variables!$B$7:$D$7,IFERROR(MATCH(IF($B711="Robusta","Robusta",(IF($B711="","Arabica",$B711))&amp;" - "&amp;(IF($C711="","Commercial",$C711))),Variables!$B$1:$D$1,0),1))*(AQ711/365),""))</f>
        <v>-6.794218775385394</v>
      </c>
      <c r="AS711" s="12">
        <f>IF($H711="Cancelled","",IFERROR((T711*INDEX(Variables!$B$7:$D$7,IFERROR(MATCH(IF($B711="Robusta","Robusta",(IF($B711="","Arabica",$B711))&amp;" - "&amp;(IF($C711="","Commercial",$C711))),Variables!$B$1:$D$1,0),1))*IFERROR(IF(W711="","",(AVERAGE(E711:F711)-W711)-Variables!$B$14),"")/365)+(L711/16.67*INDEX(Variables!$B$8:$D$8,IFERROR(MATCH(IF($B711="Robusta","Robusta",(IF($B711="","Arabica",$B711))&amp;" - "&amp;(IF($C711="","Commercial",$C711))),Variables!$B$1:$D$1,0),1))*IFERROR(IF(W711="","",(AVERAGE(E711:F711)-W711)-Variables!$B$14),""))+(T711*INDEX(Variables!$B$9:$D$9,IFERROR(MATCH(IF($B711="Robusta","Robusta",(IF($B711="","Arabica",$B711))&amp;" - "&amp;(IF($C711="","Commercial",$C711))),Variables!$B$1:$D$1,0),1))*IFERROR(IF(W711="","",(AVERAGE(E711:F711)-W711)-Variables!$B$14),"")/365),""))</f>
        <v>5.9409046836656776</v>
      </c>
      <c r="AT711" s="12">
        <f>IF($H711="Cancelled","",IFERROR((T711*INDEX(Variables!$B$7:$D$7,IFERROR(MATCH(IF($B711="Robusta","Robusta",(IF($B711="","Arabica",$B711))&amp;" - "&amp;(IF($C711="","Commercial",$C711))),Variables!$B$1:$D$1,0),1))*AC711/365)+(L711/16.67*INDEX(Variables!$B$8:$D$8,IFERROR(MATCH(IF($B711="Robusta","Robusta",(IF($B711="","Arabica",$B711))&amp;" - "&amp;(IF($C711="","Commercial",$C711))),Variables!$B$1:$D$1,0),1))*AC711)+(T711*INDEX(Variables!$B$9:$D$9,IFERROR(MATCH(IF($B711="Robusta","Robusta",(IF($B711="","Arabica",$B711))&amp;" - "&amp;(IF($C711="","Commercial",$C711))),Variables!$B$1:$D$1,0),1))*AC711/365),""))</f>
        <v>41.586332785659742</v>
      </c>
      <c r="AU711" s="12">
        <f>IF($H711="Cancelled","",IFERROR((T711*INDEX(Variables!$B$7:$D$7,IFERROR(MATCH(IF($B711="Robusta","Robusta",(IF($B711="","Arabica",$B711))&amp;" - "&amp;(IF($C711="","Commercial",$C711))),Variables!$B$1:$D$1,0),1))*AP711/365)+(L711/16.67*INDEX(Variables!$B$8:$D$8,IFERROR(MATCH(IF($B711="Robusta","Robusta",(IF($B711="","Arabica",$B711))&amp;" - "&amp;(IF($C711="","Commercial",$C711))),Variables!$B$1:$D$1,0),1))*AP711)+(T711*INDEX(Variables!$B$9:$D$9,IFERROR(MATCH(IF($B711="Robusta","Robusta",(IF($B711="","Arabica",$B711))&amp;" - "&amp;(IF($C711="","Commercial",$C711))),Variables!$B$1:$D$1,0),1))*AP711/365),""))</f>
        <v>-17.822714050997032</v>
      </c>
      <c r="AV711" s="11">
        <f t="shared" si="75"/>
        <v>25</v>
      </c>
      <c r="AW711" s="12">
        <f>IF($H711="Cancelled","",IFERROR(IF(AV711="","",(T711*INDEX(Variables!$B$7:$D$7,IFERROR(MATCH(IF($B711="Robusta","Robusta",(IF($B711="","Arabica",$B711))&amp;" - "&amp;(IF($C711="","Commercial",$C711))),Variables!$B$1:$D$1,0),1))*(AV711/365))+(T711*INDEX(Variables!$B$9:$D$9,IFERROR(MATCH(IF($B711="Robusta","Robusta",(IF($B711="","Arabica",$B711))&amp;" - "&amp;(IF($C711="","Commercial",$C711))),Variables!$B$1:$D$1,0),1))*(AV711/365))+(INDEX(Variables!$B$8:$D$8,IFERROR(MATCH(IF($B711="Robusta","Robusta",(IF($B711="","Arabica",$B711))&amp;" - "&amp;(IF($C711="","Commercial",$C711))),Variables!$B$1:$D$1,0),1))*L711/16.67)),""))</f>
        <v>88.522617091641948</v>
      </c>
      <c r="AX711" s="9"/>
      <c r="AY711" s="12"/>
      <c r="AZ711" s="10"/>
      <c r="BA711" s="9"/>
      <c r="BB711" s="10"/>
      <c r="BC711" s="9"/>
      <c r="BD711" s="9"/>
      <c r="BE711" s="9"/>
      <c r="BF711" s="9"/>
    </row>
    <row r="712" spans="1:58" x14ac:dyDescent="0.25">
      <c r="A712" s="9" t="s">
        <v>84</v>
      </c>
      <c r="B712" s="9" t="s">
        <v>85</v>
      </c>
      <c r="C712" s="9" t="s">
        <v>1486</v>
      </c>
      <c r="D712" s="10">
        <v>45372</v>
      </c>
      <c r="E712" s="10">
        <v>45413</v>
      </c>
      <c r="F712" s="10">
        <v>45443</v>
      </c>
      <c r="G712" s="9">
        <v>3786232</v>
      </c>
      <c r="H712" s="9" t="str">
        <f t="shared" si="73"/>
        <v>Closed</v>
      </c>
      <c r="I712" s="9" t="str">
        <f t="shared" si="74"/>
        <v>All dates received</v>
      </c>
      <c r="J712" s="9" t="s">
        <v>225</v>
      </c>
      <c r="K712" s="9">
        <v>4830</v>
      </c>
      <c r="L712" s="11">
        <v>17</v>
      </c>
      <c r="M712" s="9" t="s">
        <v>1633</v>
      </c>
      <c r="N712" s="9"/>
      <c r="O712" s="9"/>
      <c r="P712" s="9"/>
      <c r="Q712" s="11"/>
      <c r="R712" s="9" t="s">
        <v>195</v>
      </c>
      <c r="S712" s="9" t="s">
        <v>1627</v>
      </c>
      <c r="T712" s="12">
        <f>IF($H712="Cancelled","",IFERROR(((Q712+INDEX(Variables!$B$6:$D$6,IFERROR(MATCH(IF($B712="Robusta","Robusta",(IF($B712="","Arabica",$B712))&amp;" - "&amp;(IF($C712="","Commercial",$C712))),Variables!$B$1:$D$1,0),1)))*22.0462)*(L712/16.67),""))</f>
        <v>6537.948069586083</v>
      </c>
      <c r="U712" s="10"/>
      <c r="V712" s="9" t="str">
        <f t="shared" si="76"/>
        <v/>
      </c>
      <c r="W712" s="10">
        <v>45397</v>
      </c>
      <c r="X712" s="9" t="str">
        <f t="shared" si="72"/>
        <v>Approved</v>
      </c>
      <c r="Y712" s="10">
        <v>45400</v>
      </c>
      <c r="Z712" s="10">
        <f>IF($H712="Cancelled","",IFERROR(IF(F712="","",F712-Variables!$B$13),""))</f>
        <v>45428</v>
      </c>
      <c r="AA712" s="11">
        <f>IF($H712="Cancelled","",IFERROR(IF(W712="","",(AVERAGE(E712:F712)-W712)-Variables!$B$14),""))</f>
        <v>1</v>
      </c>
      <c r="AB712" s="10">
        <v>45408</v>
      </c>
      <c r="AC712" s="11">
        <f>IF($H712="Cancelled","",IFERROR(IF(AB712="","",IF(AND(W712="",Y712=""),"",IF(Y712&gt;W712,Y712+Variables!$B$15+Variables!$B$16+Variables!$B$17-AB712,W712+Variables!$B$16+Variables!$B$17-AB712))),""))</f>
        <v>7</v>
      </c>
      <c r="AD712" s="9" t="s">
        <v>107</v>
      </c>
      <c r="AE712" s="9" t="s">
        <v>364</v>
      </c>
      <c r="AF712" s="10"/>
      <c r="AG712" s="10"/>
      <c r="AH712" s="9"/>
      <c r="AI712" s="9" t="s">
        <v>1628</v>
      </c>
      <c r="AJ712" s="9">
        <v>3073278121</v>
      </c>
      <c r="AK712" s="10">
        <v>45418</v>
      </c>
      <c r="AL712" s="10">
        <v>45421</v>
      </c>
      <c r="AM712" s="10">
        <v>45425</v>
      </c>
      <c r="AN712" s="9" t="s">
        <v>1492</v>
      </c>
      <c r="AO712" s="9"/>
      <c r="AP712" s="11">
        <f>IF($H712="Cancelled","",IFERROR(IF(OR(AK712="",AB712=""),"",(AB712+Variables!$B$18-AK712)),""))</f>
        <v>-3</v>
      </c>
      <c r="AQ712" s="11">
        <f>IF($H712="Cancelled","",IFERROR(IF(OR(AM712="",AK712=""),"",(AK712+Variables!$B$19)-AM712),""))</f>
        <v>-2</v>
      </c>
      <c r="AR712" s="12">
        <f>IF($H712="Cancelled","",IFERROR(T712*INDEX(Variables!$B$7:$D$7,IFERROR(MATCH(IF($B712="Robusta","Robusta",(IF($B712="","Arabica",$B712))&amp;" - "&amp;(IF($C712="","Commercial",$C712))),Variables!$B$1:$D$1,0),1))*(AQ712/365),""))</f>
        <v>-2.3100343836310344</v>
      </c>
      <c r="AS712" s="12">
        <f>IF($H712="Cancelled","",IFERROR((T712*INDEX(Variables!$B$7:$D$7,IFERROR(MATCH(IF($B712="Robusta","Robusta",(IF($B712="","Arabica",$B712))&amp;" - "&amp;(IF($C712="","Commercial",$C712))),Variables!$B$1:$D$1,0),1))*IFERROR(IF(W712="","",(AVERAGE(E712:F712)-W712)-Variables!$B$14),"")/365)+(L712/16.67*INDEX(Variables!$B$8:$D$8,IFERROR(MATCH(IF($B712="Robusta","Robusta",(IF($B712="","Arabica",$B712))&amp;" - "&amp;(IF($C712="","Commercial",$C712))),Variables!$B$1:$D$1,0),1))*IFERROR(IF(W712="","",(AVERAGE(E712:F712)-W712)-Variables!$B$14),""))+(T712*INDEX(Variables!$B$9:$D$9,IFERROR(MATCH(IF($B712="Robusta","Robusta",(IF($B712="","Arabica",$B712))&amp;" - "&amp;(IF($C712="","Commercial",$C712))),Variables!$B$1:$D$1,0),1))*IFERROR(IF(W712="","",(AVERAGE(E712:F712)-W712)-Variables!$B$14),"")/365),""))</f>
        <v>2.0199075924463306</v>
      </c>
      <c r="AT712" s="12">
        <f>IF($H712="Cancelled","",IFERROR((T712*INDEX(Variables!$B$7:$D$7,IFERROR(MATCH(IF($B712="Robusta","Robusta",(IF($B712="","Arabica",$B712))&amp;" - "&amp;(IF($C712="","Commercial",$C712))),Variables!$B$1:$D$1,0),1))*AC712/365)+(L712/16.67*INDEX(Variables!$B$8:$D$8,IFERROR(MATCH(IF($B712="Robusta","Robusta",(IF($B712="","Arabica",$B712))&amp;" - "&amp;(IF($C712="","Commercial",$C712))),Variables!$B$1:$D$1,0),1))*AC712)+(T712*INDEX(Variables!$B$9:$D$9,IFERROR(MATCH(IF($B712="Robusta","Robusta",(IF($B712="","Arabica",$B712))&amp;" - "&amp;(IF($C712="","Commercial",$C712))),Variables!$B$1:$D$1,0),1))*AC712/365),""))</f>
        <v>14.139353147124316</v>
      </c>
      <c r="AU712" s="12">
        <f>IF($H712="Cancelled","",IFERROR((T712*INDEX(Variables!$B$7:$D$7,IFERROR(MATCH(IF($B712="Robusta","Robusta",(IF($B712="","Arabica",$B712))&amp;" - "&amp;(IF($C712="","Commercial",$C712))),Variables!$B$1:$D$1,0),1))*AP712/365)+(L712/16.67*INDEX(Variables!$B$8:$D$8,IFERROR(MATCH(IF($B712="Robusta","Robusta",(IF($B712="","Arabica",$B712))&amp;" - "&amp;(IF($C712="","Commercial",$C712))),Variables!$B$1:$D$1,0),1))*AP712)+(T712*INDEX(Variables!$B$9:$D$9,IFERROR(MATCH(IF($B712="Robusta","Robusta",(IF($B712="","Arabica",$B712))&amp;" - "&amp;(IF($C712="","Commercial",$C712))),Variables!$B$1:$D$1,0),1))*AP712/365),""))</f>
        <v>-6.0597227773389921</v>
      </c>
      <c r="AV712" s="11">
        <f t="shared" si="75"/>
        <v>25</v>
      </c>
      <c r="AW712" s="12">
        <f>IF($H712="Cancelled","",IFERROR(IF(AV712="","",(T712*INDEX(Variables!$B$7:$D$7,IFERROR(MATCH(IF($B712="Robusta","Robusta",(IF($B712="","Arabica",$B712))&amp;" - "&amp;(IF($C712="","Commercial",$C712))),Variables!$B$1:$D$1,0),1))*(AV712/365))+(T712*INDEX(Variables!$B$9:$D$9,IFERROR(MATCH(IF($B712="Robusta","Robusta",(IF($B712="","Arabica",$B712))&amp;" - "&amp;(IF($C712="","Commercial",$C712))),Variables!$B$1:$D$1,0),1))*(AV712/365))+(INDEX(Variables!$B$8:$D$8,IFERROR(MATCH(IF($B712="Robusta","Robusta",(IF($B712="","Arabica",$B712))&amp;" - "&amp;(IF($C712="","Commercial",$C712))),Variables!$B$1:$D$1,0),1))*L712/16.67)),""))</f>
        <v>30.097689811158265</v>
      </c>
      <c r="AX712" s="9"/>
      <c r="AY712" s="12"/>
      <c r="AZ712" s="10"/>
      <c r="BA712" s="9"/>
      <c r="BB712" s="10"/>
      <c r="BC712" s="9"/>
      <c r="BD712" s="9"/>
      <c r="BE712" s="9"/>
      <c r="BF712" s="9"/>
    </row>
    <row r="713" spans="1:58" x14ac:dyDescent="0.25">
      <c r="A713" s="9" t="s">
        <v>84</v>
      </c>
      <c r="B713" s="9" t="s">
        <v>85</v>
      </c>
      <c r="C713" s="9" t="s">
        <v>1486</v>
      </c>
      <c r="D713" s="10">
        <v>45372</v>
      </c>
      <c r="E713" s="10">
        <v>45413</v>
      </c>
      <c r="F713" s="10">
        <v>45443</v>
      </c>
      <c r="G713" s="9">
        <v>3786233</v>
      </c>
      <c r="H713" s="9" t="str">
        <f t="shared" si="73"/>
        <v>Closed</v>
      </c>
      <c r="I713" s="9" t="str">
        <f t="shared" si="74"/>
        <v>All dates received</v>
      </c>
      <c r="J713" s="9" t="s">
        <v>225</v>
      </c>
      <c r="K713" s="9">
        <v>4831</v>
      </c>
      <c r="L713" s="11">
        <v>30</v>
      </c>
      <c r="M713" s="9" t="s">
        <v>1634</v>
      </c>
      <c r="N713" s="9"/>
      <c r="O713" s="9"/>
      <c r="P713" s="9"/>
      <c r="Q713" s="11"/>
      <c r="R713" s="9" t="s">
        <v>195</v>
      </c>
      <c r="S713" s="9" t="s">
        <v>1627</v>
      </c>
      <c r="T713" s="12">
        <f>IF($H713="Cancelled","",IFERROR(((Q713+INDEX(Variables!$B$6:$D$6,IFERROR(MATCH(IF($B713="Robusta","Robusta",(IF($B713="","Arabica",$B713))&amp;" - "&amp;(IF($C713="","Commercial",$C713))),Variables!$B$1:$D$1,0),1)))*22.0462)*(L713/16.67),""))</f>
        <v>11537.555416916615</v>
      </c>
      <c r="U713" s="10"/>
      <c r="V713" s="9" t="str">
        <f t="shared" si="76"/>
        <v/>
      </c>
      <c r="W713" s="10">
        <v>45397</v>
      </c>
      <c r="X713" s="9" t="str">
        <f t="shared" si="72"/>
        <v>Approved</v>
      </c>
      <c r="Y713" s="10">
        <v>45400</v>
      </c>
      <c r="Z713" s="10">
        <f>IF($H713="Cancelled","",IFERROR(IF(F713="","",F713-Variables!$B$13),""))</f>
        <v>45428</v>
      </c>
      <c r="AA713" s="11">
        <f>IF($H713="Cancelled","",IFERROR(IF(W713="","",(AVERAGE(E713:F713)-W713)-Variables!$B$14),""))</f>
        <v>1</v>
      </c>
      <c r="AB713" s="10">
        <v>45408</v>
      </c>
      <c r="AC713" s="11">
        <f>IF($H713="Cancelled","",IFERROR(IF(AB713="","",IF(AND(W713="",Y713=""),"",IF(Y713&gt;W713,Y713+Variables!$B$15+Variables!$B$16+Variables!$B$17-AB713,W713+Variables!$B$16+Variables!$B$17-AB713))),""))</f>
        <v>7</v>
      </c>
      <c r="AD713" s="9" t="s">
        <v>107</v>
      </c>
      <c r="AE713" s="9" t="s">
        <v>364</v>
      </c>
      <c r="AF713" s="10"/>
      <c r="AG713" s="10"/>
      <c r="AH713" s="9"/>
      <c r="AI713" s="9" t="s">
        <v>1628</v>
      </c>
      <c r="AJ713" s="9">
        <v>3073278121</v>
      </c>
      <c r="AK713" s="10">
        <v>45418</v>
      </c>
      <c r="AL713" s="10">
        <v>45421</v>
      </c>
      <c r="AM713" s="10">
        <v>45425</v>
      </c>
      <c r="AN713" s="9" t="s">
        <v>1492</v>
      </c>
      <c r="AO713" s="9"/>
      <c r="AP713" s="11">
        <f>IF($H713="Cancelled","",IFERROR(IF(OR(AK713="",AB713=""),"",(AB713+Variables!$B$18-AK713)),""))</f>
        <v>-3</v>
      </c>
      <c r="AQ713" s="11">
        <f>IF($H713="Cancelled","",IFERROR(IF(OR(AM713="",AK713=""),"",(AK713+Variables!$B$19)-AM713),""))</f>
        <v>-2</v>
      </c>
      <c r="AR713" s="12">
        <f>IF($H713="Cancelled","",IFERROR(T713*INDEX(Variables!$B$7:$D$7,IFERROR(MATCH(IF($B713="Robusta","Robusta",(IF($B713="","Arabica",$B713))&amp;" - "&amp;(IF($C713="","Commercial",$C713))),Variables!$B$1:$D$1,0),1))*(AQ713/365),""))</f>
        <v>-4.0765312652312362</v>
      </c>
      <c r="AS713" s="12">
        <f>IF($H713="Cancelled","",IFERROR((T713*INDEX(Variables!$B$7:$D$7,IFERROR(MATCH(IF($B713="Robusta","Robusta",(IF($B713="","Arabica",$B713))&amp;" - "&amp;(IF($C713="","Commercial",$C713))),Variables!$B$1:$D$1,0),1))*IFERROR(IF(W713="","",(AVERAGE(E713:F713)-W713)-Variables!$B$14),"")/365)+(L713/16.67*INDEX(Variables!$B$8:$D$8,IFERROR(MATCH(IF($B713="Robusta","Robusta",(IF($B713="","Arabica",$B713))&amp;" - "&amp;(IF($C713="","Commercial",$C713))),Variables!$B$1:$D$1,0),1))*IFERROR(IF(W713="","",(AVERAGE(E713:F713)-W713)-Variables!$B$14),""))+(T713*INDEX(Variables!$B$9:$D$9,IFERROR(MATCH(IF($B713="Robusta","Robusta",(IF($B713="","Arabica",$B713))&amp;" - "&amp;(IF($C713="","Commercial",$C713))),Variables!$B$1:$D$1,0),1))*IFERROR(IF(W713="","",(AVERAGE(E713:F713)-W713)-Variables!$B$14),"")/365),""))</f>
        <v>3.5645428101994066</v>
      </c>
      <c r="AT713" s="12">
        <f>IF($H713="Cancelled","",IFERROR((T713*INDEX(Variables!$B$7:$D$7,IFERROR(MATCH(IF($B713="Robusta","Robusta",(IF($B713="","Arabica",$B713))&amp;" - "&amp;(IF($C713="","Commercial",$C713))),Variables!$B$1:$D$1,0),1))*AC713/365)+(L713/16.67*INDEX(Variables!$B$8:$D$8,IFERROR(MATCH(IF($B713="Robusta","Robusta",(IF($B713="","Arabica",$B713))&amp;" - "&amp;(IF($C713="","Commercial",$C713))),Variables!$B$1:$D$1,0),1))*AC713)+(T713*INDEX(Variables!$B$9:$D$9,IFERROR(MATCH(IF($B713="Robusta","Robusta",(IF($B713="","Arabica",$B713))&amp;" - "&amp;(IF($C713="","Commercial",$C713))),Variables!$B$1:$D$1,0),1))*AC713/365),""))</f>
        <v>24.951799671395847</v>
      </c>
      <c r="AU713" s="12">
        <f>IF($H713="Cancelled","",IFERROR((T713*INDEX(Variables!$B$7:$D$7,IFERROR(MATCH(IF($B713="Robusta","Robusta",(IF($B713="","Arabica",$B713))&amp;" - "&amp;(IF($C713="","Commercial",$C713))),Variables!$B$1:$D$1,0),1))*AP713/365)+(L713/16.67*INDEX(Variables!$B$8:$D$8,IFERROR(MATCH(IF($B713="Robusta","Robusta",(IF($B713="","Arabica",$B713))&amp;" - "&amp;(IF($C713="","Commercial",$C713))),Variables!$B$1:$D$1,0),1))*AP713)+(T713*INDEX(Variables!$B$9:$D$9,IFERROR(MATCH(IF($B713="Robusta","Robusta",(IF($B713="","Arabica",$B713))&amp;" - "&amp;(IF($C713="","Commercial",$C713))),Variables!$B$1:$D$1,0),1))*AP713/365),""))</f>
        <v>-10.693628430598221</v>
      </c>
      <c r="AV713" s="11">
        <f t="shared" si="75"/>
        <v>25</v>
      </c>
      <c r="AW713" s="12">
        <f>IF($H713="Cancelled","",IFERROR(IF(AV713="","",(T713*INDEX(Variables!$B$7:$D$7,IFERROR(MATCH(IF($B713="Robusta","Robusta",(IF($B713="","Arabica",$B713))&amp;" - "&amp;(IF($C713="","Commercial",$C713))),Variables!$B$1:$D$1,0),1))*(AV713/365))+(T713*INDEX(Variables!$B$9:$D$9,IFERROR(MATCH(IF($B713="Robusta","Robusta",(IF($B713="","Arabica",$B713))&amp;" - "&amp;(IF($C713="","Commercial",$C713))),Variables!$B$1:$D$1,0),1))*(AV713/365))+(INDEX(Variables!$B$8:$D$8,IFERROR(MATCH(IF($B713="Robusta","Robusta",(IF($B713="","Arabica",$B713))&amp;" - "&amp;(IF($C713="","Commercial",$C713))),Variables!$B$1:$D$1,0),1))*L713/16.67)),""))</f>
        <v>53.113570254985163</v>
      </c>
      <c r="AX713" s="9"/>
      <c r="AY713" s="12"/>
      <c r="AZ713" s="10"/>
      <c r="BA713" s="9"/>
      <c r="BB713" s="10"/>
      <c r="BC713" s="9"/>
      <c r="BD713" s="9"/>
      <c r="BE713" s="9"/>
      <c r="BF713" s="9"/>
    </row>
    <row r="714" spans="1:58" x14ac:dyDescent="0.25">
      <c r="A714" s="9" t="s">
        <v>84</v>
      </c>
      <c r="B714" s="9" t="s">
        <v>85</v>
      </c>
      <c r="C714" s="9" t="s">
        <v>1486</v>
      </c>
      <c r="D714" s="10">
        <v>45372</v>
      </c>
      <c r="E714" s="10">
        <v>45413</v>
      </c>
      <c r="F714" s="10">
        <v>45443</v>
      </c>
      <c r="G714" s="9">
        <v>3786230</v>
      </c>
      <c r="H714" s="9" t="str">
        <f t="shared" si="73"/>
        <v>Closed</v>
      </c>
      <c r="I714" s="9" t="str">
        <f t="shared" si="74"/>
        <v>All dates received</v>
      </c>
      <c r="J714" s="9" t="s">
        <v>225</v>
      </c>
      <c r="K714" s="9" t="s">
        <v>1635</v>
      </c>
      <c r="L714" s="11">
        <v>320</v>
      </c>
      <c r="M714" s="9" t="s">
        <v>1631</v>
      </c>
      <c r="N714" s="9"/>
      <c r="O714" s="9"/>
      <c r="P714" s="9"/>
      <c r="Q714" s="11"/>
      <c r="R714" s="9" t="s">
        <v>195</v>
      </c>
      <c r="S714" s="9" t="s">
        <v>1627</v>
      </c>
      <c r="T714" s="12">
        <f>IF($H714="Cancelled","",IFERROR(((Q714+INDEX(Variables!$B$6:$D$6,IFERROR(MATCH(IF($B714="Robusta","Robusta",(IF($B714="","Arabica",$B714))&amp;" - "&amp;(IF($C714="","Commercial",$C714))),Variables!$B$1:$D$1,0),1)))*22.0462)*(L714/16.67),""))</f>
        <v>123067.25778044391</v>
      </c>
      <c r="U714" s="10"/>
      <c r="V714" s="9" t="str">
        <f t="shared" si="76"/>
        <v/>
      </c>
      <c r="W714" s="10">
        <v>45397</v>
      </c>
      <c r="X714" s="9" t="str">
        <f t="shared" si="72"/>
        <v>Approved</v>
      </c>
      <c r="Y714" s="10">
        <v>45400</v>
      </c>
      <c r="Z714" s="10">
        <f>IF($H714="Cancelled","",IFERROR(IF(F714="","",F714-Variables!$B$13),""))</f>
        <v>45428</v>
      </c>
      <c r="AA714" s="11">
        <f>IF($H714="Cancelled","",IFERROR(IF(W714="","",(AVERAGE(E714:F714)-W714)-Variables!$B$14),""))</f>
        <v>1</v>
      </c>
      <c r="AB714" s="10">
        <v>45411</v>
      </c>
      <c r="AC714" s="11">
        <f>IF($H714="Cancelled","",IFERROR(IF(AB714="","",IF(AND(W714="",Y714=""),"",IF(Y714&gt;W714,Y714+Variables!$B$15+Variables!$B$16+Variables!$B$17-AB714,W714+Variables!$B$16+Variables!$B$17-AB714))),""))</f>
        <v>4</v>
      </c>
      <c r="AD714" s="9" t="s">
        <v>107</v>
      </c>
      <c r="AE714" s="9" t="s">
        <v>364</v>
      </c>
      <c r="AF714" s="10"/>
      <c r="AG714" s="10"/>
      <c r="AH714" s="9"/>
      <c r="AI714" s="9" t="s">
        <v>1628</v>
      </c>
      <c r="AJ714" s="9">
        <v>3073278121</v>
      </c>
      <c r="AK714" s="10">
        <v>45418</v>
      </c>
      <c r="AL714" s="10">
        <v>45421</v>
      </c>
      <c r="AM714" s="10">
        <v>45425</v>
      </c>
      <c r="AN714" s="9" t="s">
        <v>1492</v>
      </c>
      <c r="AO714" s="9"/>
      <c r="AP714" s="11">
        <f>IF($H714="Cancelled","",IFERROR(IF(OR(AK714="",AB714=""),"",(AB714+Variables!$B$18-AK714)),""))</f>
        <v>0</v>
      </c>
      <c r="AQ714" s="11">
        <f>IF($H714="Cancelled","",IFERROR(IF(OR(AM714="",AK714=""),"",(AK714+Variables!$B$19)-AM714),""))</f>
        <v>-2</v>
      </c>
      <c r="AR714" s="12">
        <f>IF($H714="Cancelled","",IFERROR(T714*INDEX(Variables!$B$7:$D$7,IFERROR(MATCH(IF($B714="Robusta","Robusta",(IF($B714="","Arabica",$B714))&amp;" - "&amp;(IF($C714="","Commercial",$C714))),Variables!$B$1:$D$1,0),1))*(AQ714/365),""))</f>
        <v>-43.483000162466524</v>
      </c>
      <c r="AS714" s="12">
        <f>IF($H714="Cancelled","",IFERROR((T714*INDEX(Variables!$B$7:$D$7,IFERROR(MATCH(IF($B714="Robusta","Robusta",(IF($B714="","Arabica",$B714))&amp;" - "&amp;(IF($C714="","Commercial",$C714))),Variables!$B$1:$D$1,0),1))*IFERROR(IF(W714="","",(AVERAGE(E714:F714)-W714)-Variables!$B$14),"")/365)+(L714/16.67*INDEX(Variables!$B$8:$D$8,IFERROR(MATCH(IF($B714="Robusta","Robusta",(IF($B714="","Arabica",$B714))&amp;" - "&amp;(IF($C714="","Commercial",$C714))),Variables!$B$1:$D$1,0),1))*IFERROR(IF(W714="","",(AVERAGE(E714:F714)-W714)-Variables!$B$14),""))+(T714*INDEX(Variables!$B$9:$D$9,IFERROR(MATCH(IF($B714="Robusta","Robusta",(IF($B714="","Arabica",$B714))&amp;" - "&amp;(IF($C714="","Commercial",$C714))),Variables!$B$1:$D$1,0),1))*IFERROR(IF(W714="","",(AVERAGE(E714:F714)-W714)-Variables!$B$14),"")/365),""))</f>
        <v>38.021789975460337</v>
      </c>
      <c r="AT714" s="12">
        <f>IF($H714="Cancelled","",IFERROR((T714*INDEX(Variables!$B$7:$D$7,IFERROR(MATCH(IF($B714="Robusta","Robusta",(IF($B714="","Arabica",$B714))&amp;" - "&amp;(IF($C714="","Commercial",$C714))),Variables!$B$1:$D$1,0),1))*AC714/365)+(L714/16.67*INDEX(Variables!$B$8:$D$8,IFERROR(MATCH(IF($B714="Robusta","Robusta",(IF($B714="","Arabica",$B714))&amp;" - "&amp;(IF($C714="","Commercial",$C714))),Variables!$B$1:$D$1,0),1))*AC714)+(T714*INDEX(Variables!$B$9:$D$9,IFERROR(MATCH(IF($B714="Robusta","Robusta",(IF($B714="","Arabica",$B714))&amp;" - "&amp;(IF($C714="","Commercial",$C714))),Variables!$B$1:$D$1,0),1))*AC714/365),""))</f>
        <v>152.08715990184135</v>
      </c>
      <c r="AU714" s="12">
        <f>IF($H714="Cancelled","",IFERROR((T714*INDEX(Variables!$B$7:$D$7,IFERROR(MATCH(IF($B714="Robusta","Robusta",(IF($B714="","Arabica",$B714))&amp;" - "&amp;(IF($C714="","Commercial",$C714))),Variables!$B$1:$D$1,0),1))*AP714/365)+(L714/16.67*INDEX(Variables!$B$8:$D$8,IFERROR(MATCH(IF($B714="Robusta","Robusta",(IF($B714="","Arabica",$B714))&amp;" - "&amp;(IF($C714="","Commercial",$C714))),Variables!$B$1:$D$1,0),1))*AP714)+(T714*INDEX(Variables!$B$9:$D$9,IFERROR(MATCH(IF($B714="Robusta","Robusta",(IF($B714="","Arabica",$B714))&amp;" - "&amp;(IF($C714="","Commercial",$C714))),Variables!$B$1:$D$1,0),1))*AP714/365),""))</f>
        <v>0</v>
      </c>
      <c r="AV714" s="11">
        <f t="shared" si="75"/>
        <v>25</v>
      </c>
      <c r="AW714" s="12">
        <f>IF($H714="Cancelled","",IFERROR(IF(AV714="","",(T714*INDEX(Variables!$B$7:$D$7,IFERROR(MATCH(IF($B714="Robusta","Robusta",(IF($B714="","Arabica",$B714))&amp;" - "&amp;(IF($C714="","Commercial",$C714))),Variables!$B$1:$D$1,0),1))*(AV714/365))+(T714*INDEX(Variables!$B$9:$D$9,IFERROR(MATCH(IF($B714="Robusta","Robusta",(IF($B714="","Arabica",$B714))&amp;" - "&amp;(IF($C714="","Commercial",$C714))),Variables!$B$1:$D$1,0),1))*(AV714/365))+(INDEX(Variables!$B$8:$D$8,IFERROR(MATCH(IF($B714="Robusta","Robusta",(IF($B714="","Arabica",$B714))&amp;" - "&amp;(IF($C714="","Commercial",$C714))),Variables!$B$1:$D$1,0),1))*L714/16.67)),""))</f>
        <v>566.54474938650844</v>
      </c>
      <c r="AX714" s="9"/>
      <c r="AY714" s="12"/>
      <c r="AZ714" s="10"/>
      <c r="BA714" s="9"/>
      <c r="BB714" s="10"/>
      <c r="BC714" s="9"/>
      <c r="BD714" s="9"/>
      <c r="BE714" s="9"/>
      <c r="BF714" s="9"/>
    </row>
    <row r="715" spans="1:58" x14ac:dyDescent="0.25">
      <c r="A715" s="9" t="s">
        <v>84</v>
      </c>
      <c r="B715" s="9" t="s">
        <v>85</v>
      </c>
      <c r="C715" s="9" t="s">
        <v>1486</v>
      </c>
      <c r="D715" s="10">
        <v>45372</v>
      </c>
      <c r="E715" s="10">
        <v>45413</v>
      </c>
      <c r="F715" s="10">
        <v>45443</v>
      </c>
      <c r="G715" s="9">
        <v>3786213</v>
      </c>
      <c r="H715" s="9" t="str">
        <f t="shared" si="73"/>
        <v>Closed</v>
      </c>
      <c r="I715" s="9" t="str">
        <f t="shared" si="74"/>
        <v>All dates received</v>
      </c>
      <c r="J715" s="9" t="s">
        <v>225</v>
      </c>
      <c r="K715" s="9">
        <v>4910</v>
      </c>
      <c r="L715" s="11">
        <v>100</v>
      </c>
      <c r="M715" s="9" t="s">
        <v>1636</v>
      </c>
      <c r="N715" s="9"/>
      <c r="O715" s="9"/>
      <c r="P715" s="9"/>
      <c r="Q715" s="11"/>
      <c r="R715" s="9" t="s">
        <v>195</v>
      </c>
      <c r="S715" s="9" t="s">
        <v>1627</v>
      </c>
      <c r="T715" s="12">
        <f>IF($H715="Cancelled","",IFERROR(((Q715+INDEX(Variables!$B$6:$D$6,IFERROR(MATCH(IF($B715="Robusta","Robusta",(IF($B715="","Arabica",$B715))&amp;" - "&amp;(IF($C715="","Commercial",$C715))),Variables!$B$1:$D$1,0),1)))*22.0462)*(L715/16.67),""))</f>
        <v>38458.518056388719</v>
      </c>
      <c r="U715" s="10"/>
      <c r="V715" s="9" t="str">
        <f t="shared" si="76"/>
        <v/>
      </c>
      <c r="W715" s="10">
        <v>45397</v>
      </c>
      <c r="X715" s="9" t="str">
        <f t="shared" si="72"/>
        <v>Approved</v>
      </c>
      <c r="Y715" s="10">
        <v>45400</v>
      </c>
      <c r="Z715" s="10">
        <f>IF($H715="Cancelled","",IFERROR(IF(F715="","",F715-Variables!$B$13),""))</f>
        <v>45428</v>
      </c>
      <c r="AA715" s="11">
        <f>IF($H715="Cancelled","",IFERROR(IF(W715="","",(AVERAGE(E715:F715)-W715)-Variables!$B$14),""))</f>
        <v>1</v>
      </c>
      <c r="AB715" s="10">
        <v>45425</v>
      </c>
      <c r="AC715" s="11">
        <f>IF($H715="Cancelled","",IFERROR(IF(AB715="","",IF(AND(W715="",Y715=""),"",IF(Y715&gt;W715,Y715+Variables!$B$15+Variables!$B$16+Variables!$B$17-AB715,W715+Variables!$B$16+Variables!$B$17-AB715))),""))</f>
        <v>-10</v>
      </c>
      <c r="AD715" s="9" t="s">
        <v>107</v>
      </c>
      <c r="AE715" s="9" t="s">
        <v>174</v>
      </c>
      <c r="AF715" s="10"/>
      <c r="AG715" s="10"/>
      <c r="AH715" s="9"/>
      <c r="AI715" s="9" t="s">
        <v>1637</v>
      </c>
      <c r="AJ715" s="9" t="s">
        <v>1595</v>
      </c>
      <c r="AK715" s="10">
        <v>45439</v>
      </c>
      <c r="AL715" s="10">
        <v>45441</v>
      </c>
      <c r="AM715" s="10">
        <v>45453</v>
      </c>
      <c r="AN715" s="9" t="s">
        <v>1492</v>
      </c>
      <c r="AO715" s="9"/>
      <c r="AP715" s="11">
        <f>IF($H715="Cancelled","",IFERROR(IF(OR(AK715="",AB715=""),"",(AB715+Variables!$B$18-AK715)),""))</f>
        <v>-7</v>
      </c>
      <c r="AQ715" s="11">
        <f>IF($H715="Cancelled","",IFERROR(IF(OR(AM715="",AK715=""),"",(AK715+Variables!$B$19)-AM715),""))</f>
        <v>-9</v>
      </c>
      <c r="AR715" s="12">
        <f>IF($H715="Cancelled","",IFERROR(T715*INDEX(Variables!$B$7:$D$7,IFERROR(MATCH(IF($B715="Robusta","Robusta",(IF($B715="","Arabica",$B715))&amp;" - "&amp;(IF($C715="","Commercial",$C715))),Variables!$B$1:$D$1,0),1))*(AQ715/365),""))</f>
        <v>-61.147968978468548</v>
      </c>
      <c r="AS715" s="12">
        <f>IF($H715="Cancelled","",IFERROR((T715*INDEX(Variables!$B$7:$D$7,IFERROR(MATCH(IF($B715="Robusta","Robusta",(IF($B715="","Arabica",$B715))&amp;" - "&amp;(IF($C715="","Commercial",$C715))),Variables!$B$1:$D$1,0),1))*IFERROR(IF(W715="","",(AVERAGE(E715:F715)-W715)-Variables!$B$14),"")/365)+(L715/16.67*INDEX(Variables!$B$8:$D$8,IFERROR(MATCH(IF($B715="Robusta","Robusta",(IF($B715="","Arabica",$B715))&amp;" - "&amp;(IF($C715="","Commercial",$C715))),Variables!$B$1:$D$1,0),1))*IFERROR(IF(W715="","",(AVERAGE(E715:F715)-W715)-Variables!$B$14),""))+(T715*INDEX(Variables!$B$9:$D$9,IFERROR(MATCH(IF($B715="Robusta","Robusta",(IF($B715="","Arabica",$B715))&amp;" - "&amp;(IF($C715="","Commercial",$C715))),Variables!$B$1:$D$1,0),1))*IFERROR(IF(W715="","",(AVERAGE(E715:F715)-W715)-Variables!$B$14),"")/365),""))</f>
        <v>11.881809367331355</v>
      </c>
      <c r="AT715" s="12">
        <f>IF($H715="Cancelled","",IFERROR((T715*INDEX(Variables!$B$7:$D$7,IFERROR(MATCH(IF($B715="Robusta","Robusta",(IF($B715="","Arabica",$B715))&amp;" - "&amp;(IF($C715="","Commercial",$C715))),Variables!$B$1:$D$1,0),1))*AC715/365)+(L715/16.67*INDEX(Variables!$B$8:$D$8,IFERROR(MATCH(IF($B715="Robusta","Robusta",(IF($B715="","Arabica",$B715))&amp;" - "&amp;(IF($C715="","Commercial",$C715))),Variables!$B$1:$D$1,0),1))*AC715)+(T715*INDEX(Variables!$B$9:$D$9,IFERROR(MATCH(IF($B715="Robusta","Robusta",(IF($B715="","Arabica",$B715))&amp;" - "&amp;(IF($C715="","Commercial",$C715))),Variables!$B$1:$D$1,0),1))*AC715/365),""))</f>
        <v>-118.81809367331356</v>
      </c>
      <c r="AU715" s="12">
        <f>IF($H715="Cancelled","",IFERROR((T715*INDEX(Variables!$B$7:$D$7,IFERROR(MATCH(IF($B715="Robusta","Robusta",(IF($B715="","Arabica",$B715))&amp;" - "&amp;(IF($C715="","Commercial",$C715))),Variables!$B$1:$D$1,0),1))*AP715/365)+(L715/16.67*INDEX(Variables!$B$8:$D$8,IFERROR(MATCH(IF($B715="Robusta","Robusta",(IF($B715="","Arabica",$B715))&amp;" - "&amp;(IF($C715="","Commercial",$C715))),Variables!$B$1:$D$1,0),1))*AP715)+(T715*INDEX(Variables!$B$9:$D$9,IFERROR(MATCH(IF($B715="Robusta","Robusta",(IF($B715="","Arabica",$B715))&amp;" - "&amp;(IF($C715="","Commercial",$C715))),Variables!$B$1:$D$1,0),1))*AP715/365),""))</f>
        <v>-83.172665571319484</v>
      </c>
      <c r="AV715" s="11">
        <f t="shared" si="75"/>
        <v>4</v>
      </c>
      <c r="AW715" s="12">
        <f>IF($H715="Cancelled","",IFERROR(IF(AV715="","",(T715*INDEX(Variables!$B$7:$D$7,IFERROR(MATCH(IF($B715="Robusta","Robusta",(IF($B715="","Arabica",$B715))&amp;" - "&amp;(IF($C715="","Commercial",$C715))),Variables!$B$1:$D$1,0),1))*(AV715/365))+(T715*INDEX(Variables!$B$9:$D$9,IFERROR(MATCH(IF($B715="Robusta","Robusta",(IF($B715="","Arabica",$B715))&amp;" - "&amp;(IF($C715="","Commercial",$C715))),Variables!$B$1:$D$1,0),1))*(AV715/365))+(INDEX(Variables!$B$8:$D$8,IFERROR(MATCH(IF($B715="Robusta","Robusta",(IF($B715="","Arabica",$B715))&amp;" - "&amp;(IF($C715="","Commercial",$C715))),Variables!$B$1:$D$1,0),1))*L715/16.67)),""))</f>
        <v>32.527237469325421</v>
      </c>
      <c r="AX715" s="9"/>
      <c r="AY715" s="12"/>
      <c r="AZ715" s="10"/>
      <c r="BA715" s="9"/>
      <c r="BB715" s="10"/>
      <c r="BC715" s="9"/>
      <c r="BD715" s="9"/>
      <c r="BE715" s="9"/>
      <c r="BF715" s="9"/>
    </row>
    <row r="716" spans="1:58" x14ac:dyDescent="0.25">
      <c r="A716" s="9" t="s">
        <v>84</v>
      </c>
      <c r="B716" s="9" t="s">
        <v>85</v>
      </c>
      <c r="C716" s="9" t="s">
        <v>1486</v>
      </c>
      <c r="D716" s="10">
        <v>45372</v>
      </c>
      <c r="E716" s="10">
        <v>45413</v>
      </c>
      <c r="F716" s="10">
        <v>45443</v>
      </c>
      <c r="G716" s="9">
        <v>3786214</v>
      </c>
      <c r="H716" s="9" t="str">
        <f t="shared" si="73"/>
        <v>Closed</v>
      </c>
      <c r="I716" s="9" t="str">
        <f t="shared" si="74"/>
        <v>All dates received</v>
      </c>
      <c r="J716" s="9" t="s">
        <v>225</v>
      </c>
      <c r="K716" s="9">
        <v>4812</v>
      </c>
      <c r="L716" s="11">
        <v>50</v>
      </c>
      <c r="M716" s="9" t="s">
        <v>1638</v>
      </c>
      <c r="N716" s="9"/>
      <c r="O716" s="9"/>
      <c r="P716" s="9"/>
      <c r="Q716" s="11"/>
      <c r="R716" s="9" t="s">
        <v>195</v>
      </c>
      <c r="S716" s="9" t="s">
        <v>1627</v>
      </c>
      <c r="T716" s="12">
        <f>IF($H716="Cancelled","",IFERROR(((Q716+INDEX(Variables!$B$6:$D$6,IFERROR(MATCH(IF($B716="Robusta","Robusta",(IF($B716="","Arabica",$B716))&amp;" - "&amp;(IF($C716="","Commercial",$C716))),Variables!$B$1:$D$1,0),1)))*22.0462)*(L716/16.67),""))</f>
        <v>19229.259028194359</v>
      </c>
      <c r="U716" s="10"/>
      <c r="V716" s="9" t="str">
        <f t="shared" si="76"/>
        <v/>
      </c>
      <c r="W716" s="10">
        <v>45397</v>
      </c>
      <c r="X716" s="9" t="str">
        <f t="shared" si="72"/>
        <v>Approved</v>
      </c>
      <c r="Y716" s="10">
        <v>45400</v>
      </c>
      <c r="Z716" s="10">
        <f>IF($H716="Cancelled","",IFERROR(IF(F716="","",F716-Variables!$B$13),""))</f>
        <v>45428</v>
      </c>
      <c r="AA716" s="11">
        <f>IF($H716="Cancelled","",IFERROR(IF(W716="","",(AVERAGE(E716:F716)-W716)-Variables!$B$14),""))</f>
        <v>1</v>
      </c>
      <c r="AB716" s="10">
        <v>45425</v>
      </c>
      <c r="AC716" s="11">
        <f>IF($H716="Cancelled","",IFERROR(IF(AB716="","",IF(AND(W716="",Y716=""),"",IF(Y716&gt;W716,Y716+Variables!$B$15+Variables!$B$16+Variables!$B$17-AB716,W716+Variables!$B$16+Variables!$B$17-AB716))),""))</f>
        <v>-10</v>
      </c>
      <c r="AD716" s="9" t="s">
        <v>107</v>
      </c>
      <c r="AE716" s="9" t="s">
        <v>174</v>
      </c>
      <c r="AF716" s="10"/>
      <c r="AG716" s="10"/>
      <c r="AH716" s="9"/>
      <c r="AI716" s="9" t="s">
        <v>1637</v>
      </c>
      <c r="AJ716" s="9" t="s">
        <v>1595</v>
      </c>
      <c r="AK716" s="10">
        <v>45439</v>
      </c>
      <c r="AL716" s="10">
        <v>45441</v>
      </c>
      <c r="AM716" s="10">
        <v>45453</v>
      </c>
      <c r="AN716" s="9" t="s">
        <v>1492</v>
      </c>
      <c r="AO716" s="9"/>
      <c r="AP716" s="11">
        <f>IF($H716="Cancelled","",IFERROR(IF(OR(AK716="",AB716=""),"",(AB716+Variables!$B$18-AK716)),""))</f>
        <v>-7</v>
      </c>
      <c r="AQ716" s="11">
        <f>IF($H716="Cancelled","",IFERROR(IF(OR(AM716="",AK716=""),"",(AK716+Variables!$B$19)-AM716),""))</f>
        <v>-9</v>
      </c>
      <c r="AR716" s="12">
        <f>IF($H716="Cancelled","",IFERROR(T716*INDEX(Variables!$B$7:$D$7,IFERROR(MATCH(IF($B716="Robusta","Robusta",(IF($B716="","Arabica",$B716))&amp;" - "&amp;(IF($C716="","Commercial",$C716))),Variables!$B$1:$D$1,0),1))*(AQ716/365),""))</f>
        <v>-30.573984489234274</v>
      </c>
      <c r="AS716" s="12">
        <f>IF($H716="Cancelled","",IFERROR((T716*INDEX(Variables!$B$7:$D$7,IFERROR(MATCH(IF($B716="Robusta","Robusta",(IF($B716="","Arabica",$B716))&amp;" - "&amp;(IF($C716="","Commercial",$C716))),Variables!$B$1:$D$1,0),1))*IFERROR(IF(W716="","",(AVERAGE(E716:F716)-W716)-Variables!$B$14),"")/365)+(L716/16.67*INDEX(Variables!$B$8:$D$8,IFERROR(MATCH(IF($B716="Robusta","Robusta",(IF($B716="","Arabica",$B716))&amp;" - "&amp;(IF($C716="","Commercial",$C716))),Variables!$B$1:$D$1,0),1))*IFERROR(IF(W716="","",(AVERAGE(E716:F716)-W716)-Variables!$B$14),""))+(T716*INDEX(Variables!$B$9:$D$9,IFERROR(MATCH(IF($B716="Robusta","Robusta",(IF($B716="","Arabica",$B716))&amp;" - "&amp;(IF($C716="","Commercial",$C716))),Variables!$B$1:$D$1,0),1))*IFERROR(IF(W716="","",(AVERAGE(E716:F716)-W716)-Variables!$B$14),"")/365),""))</f>
        <v>5.9409046836656776</v>
      </c>
      <c r="AT716" s="12">
        <f>IF($H716="Cancelled","",IFERROR((T716*INDEX(Variables!$B$7:$D$7,IFERROR(MATCH(IF($B716="Robusta","Robusta",(IF($B716="","Arabica",$B716))&amp;" - "&amp;(IF($C716="","Commercial",$C716))),Variables!$B$1:$D$1,0),1))*AC716/365)+(L716/16.67*INDEX(Variables!$B$8:$D$8,IFERROR(MATCH(IF($B716="Robusta","Robusta",(IF($B716="","Arabica",$B716))&amp;" - "&amp;(IF($C716="","Commercial",$C716))),Variables!$B$1:$D$1,0),1))*AC716)+(T716*INDEX(Variables!$B$9:$D$9,IFERROR(MATCH(IF($B716="Robusta","Robusta",(IF($B716="","Arabica",$B716))&amp;" - "&amp;(IF($C716="","Commercial",$C716))),Variables!$B$1:$D$1,0),1))*AC716/365),""))</f>
        <v>-59.409046836656778</v>
      </c>
      <c r="AU716" s="12">
        <f>IF($H716="Cancelled","",IFERROR((T716*INDEX(Variables!$B$7:$D$7,IFERROR(MATCH(IF($B716="Robusta","Robusta",(IF($B716="","Arabica",$B716))&amp;" - "&amp;(IF($C716="","Commercial",$C716))),Variables!$B$1:$D$1,0),1))*AP716/365)+(L716/16.67*INDEX(Variables!$B$8:$D$8,IFERROR(MATCH(IF($B716="Robusta","Robusta",(IF($B716="","Arabica",$B716))&amp;" - "&amp;(IF($C716="","Commercial",$C716))),Variables!$B$1:$D$1,0),1))*AP716)+(T716*INDEX(Variables!$B$9:$D$9,IFERROR(MATCH(IF($B716="Robusta","Robusta",(IF($B716="","Arabica",$B716))&amp;" - "&amp;(IF($C716="","Commercial",$C716))),Variables!$B$1:$D$1,0),1))*AP716/365),""))</f>
        <v>-41.586332785659742</v>
      </c>
      <c r="AV716" s="11">
        <f t="shared" si="75"/>
        <v>4</v>
      </c>
      <c r="AW716" s="12">
        <f>IF($H716="Cancelled","",IFERROR(IF(AV716="","",(T716*INDEX(Variables!$B$7:$D$7,IFERROR(MATCH(IF($B716="Robusta","Robusta",(IF($B716="","Arabica",$B716))&amp;" - "&amp;(IF($C716="","Commercial",$C716))),Variables!$B$1:$D$1,0),1))*(AV716/365))+(T716*INDEX(Variables!$B$9:$D$9,IFERROR(MATCH(IF($B716="Robusta","Robusta",(IF($B716="","Arabica",$B716))&amp;" - "&amp;(IF($C716="","Commercial",$C716))),Variables!$B$1:$D$1,0),1))*(AV716/365))+(INDEX(Variables!$B$8:$D$8,IFERROR(MATCH(IF($B716="Robusta","Robusta",(IF($B716="","Arabica",$B716))&amp;" - "&amp;(IF($C716="","Commercial",$C716))),Variables!$B$1:$D$1,0),1))*L716/16.67)),""))</f>
        <v>16.26361873466271</v>
      </c>
      <c r="AX716" s="9"/>
      <c r="AY716" s="12"/>
      <c r="AZ716" s="10"/>
      <c r="BA716" s="9"/>
      <c r="BB716" s="10"/>
      <c r="BC716" s="9"/>
      <c r="BD716" s="9"/>
      <c r="BE716" s="9"/>
      <c r="BF716" s="9"/>
    </row>
    <row r="717" spans="1:58" x14ac:dyDescent="0.25">
      <c r="A717" s="9" t="s">
        <v>84</v>
      </c>
      <c r="B717" s="9" t="s">
        <v>85</v>
      </c>
      <c r="C717" s="9" t="s">
        <v>1486</v>
      </c>
      <c r="D717" s="10">
        <v>45372</v>
      </c>
      <c r="E717" s="10">
        <v>45413</v>
      </c>
      <c r="F717" s="10">
        <v>45443</v>
      </c>
      <c r="G717" s="9">
        <v>3786216</v>
      </c>
      <c r="H717" s="9" t="str">
        <f t="shared" si="73"/>
        <v>Closed</v>
      </c>
      <c r="I717" s="9" t="str">
        <f t="shared" si="74"/>
        <v>All dates received</v>
      </c>
      <c r="J717" s="9" t="s">
        <v>225</v>
      </c>
      <c r="K717" s="9">
        <v>4814</v>
      </c>
      <c r="L717" s="11">
        <v>15</v>
      </c>
      <c r="M717" s="9" t="s">
        <v>1639</v>
      </c>
      <c r="N717" s="9"/>
      <c r="O717" s="9"/>
      <c r="P717" s="9"/>
      <c r="Q717" s="11"/>
      <c r="R717" s="9" t="s">
        <v>195</v>
      </c>
      <c r="S717" s="9" t="s">
        <v>1627</v>
      </c>
      <c r="T717" s="12">
        <f>IF($H717="Cancelled","",IFERROR(((Q717+INDEX(Variables!$B$6:$D$6,IFERROR(MATCH(IF($B717="Robusta","Robusta",(IF($B717="","Arabica",$B717))&amp;" - "&amp;(IF($C717="","Commercial",$C717))),Variables!$B$1:$D$1,0),1)))*22.0462)*(L717/16.67),""))</f>
        <v>5768.7777084583076</v>
      </c>
      <c r="U717" s="10"/>
      <c r="V717" s="9" t="str">
        <f t="shared" si="76"/>
        <v/>
      </c>
      <c r="W717" s="10">
        <v>45397</v>
      </c>
      <c r="X717" s="9" t="str">
        <f t="shared" si="72"/>
        <v>Approved</v>
      </c>
      <c r="Y717" s="10">
        <v>45400</v>
      </c>
      <c r="Z717" s="10">
        <f>IF($H717="Cancelled","",IFERROR(IF(F717="","",F717-Variables!$B$13),""))</f>
        <v>45428</v>
      </c>
      <c r="AA717" s="11">
        <f>IF($H717="Cancelled","",IFERROR(IF(W717="","",(AVERAGE(E717:F717)-W717)-Variables!$B$14),""))</f>
        <v>1</v>
      </c>
      <c r="AB717" s="10">
        <v>45425</v>
      </c>
      <c r="AC717" s="11">
        <f>IF($H717="Cancelled","",IFERROR(IF(AB717="","",IF(AND(W717="",Y717=""),"",IF(Y717&gt;W717,Y717+Variables!$B$15+Variables!$B$16+Variables!$B$17-AB717,W717+Variables!$B$16+Variables!$B$17-AB717))),""))</f>
        <v>-10</v>
      </c>
      <c r="AD717" s="9" t="s">
        <v>107</v>
      </c>
      <c r="AE717" s="9" t="s">
        <v>174</v>
      </c>
      <c r="AF717" s="10"/>
      <c r="AG717" s="10"/>
      <c r="AH717" s="9"/>
      <c r="AI717" s="9" t="s">
        <v>1637</v>
      </c>
      <c r="AJ717" s="9" t="s">
        <v>1595</v>
      </c>
      <c r="AK717" s="10">
        <v>45439</v>
      </c>
      <c r="AL717" s="10">
        <v>45441</v>
      </c>
      <c r="AM717" s="10">
        <v>45453</v>
      </c>
      <c r="AN717" s="9" t="s">
        <v>1492</v>
      </c>
      <c r="AO717" s="9"/>
      <c r="AP717" s="11">
        <f>IF($H717="Cancelled","",IFERROR(IF(OR(AK717="",AB717=""),"",(AB717+Variables!$B$18-AK717)),""))</f>
        <v>-7</v>
      </c>
      <c r="AQ717" s="11">
        <f>IF($H717="Cancelled","",IFERROR(IF(OR(AM717="",AK717=""),"",(AK717+Variables!$B$19)-AM717),""))</f>
        <v>-9</v>
      </c>
      <c r="AR717" s="12">
        <f>IF($H717="Cancelled","",IFERROR(T717*INDEX(Variables!$B$7:$D$7,IFERROR(MATCH(IF($B717="Robusta","Robusta",(IF($B717="","Arabica",$B717))&amp;" - "&amp;(IF($C717="","Commercial",$C717))),Variables!$B$1:$D$1,0),1))*(AQ717/365),""))</f>
        <v>-9.1721953467702821</v>
      </c>
      <c r="AS717" s="12">
        <f>IF($H717="Cancelled","",IFERROR((T717*INDEX(Variables!$B$7:$D$7,IFERROR(MATCH(IF($B717="Robusta","Robusta",(IF($B717="","Arabica",$B717))&amp;" - "&amp;(IF($C717="","Commercial",$C717))),Variables!$B$1:$D$1,0),1))*IFERROR(IF(W717="","",(AVERAGE(E717:F717)-W717)-Variables!$B$14),"")/365)+(L717/16.67*INDEX(Variables!$B$8:$D$8,IFERROR(MATCH(IF($B717="Robusta","Robusta",(IF($B717="","Arabica",$B717))&amp;" - "&amp;(IF($C717="","Commercial",$C717))),Variables!$B$1:$D$1,0),1))*IFERROR(IF(W717="","",(AVERAGE(E717:F717)-W717)-Variables!$B$14),""))+(T717*INDEX(Variables!$B$9:$D$9,IFERROR(MATCH(IF($B717="Robusta","Robusta",(IF($B717="","Arabica",$B717))&amp;" - "&amp;(IF($C717="","Commercial",$C717))),Variables!$B$1:$D$1,0),1))*IFERROR(IF(W717="","",(AVERAGE(E717:F717)-W717)-Variables!$B$14),"")/365),""))</f>
        <v>1.7822714050997033</v>
      </c>
      <c r="AT717" s="12">
        <f>IF($H717="Cancelled","",IFERROR((T717*INDEX(Variables!$B$7:$D$7,IFERROR(MATCH(IF($B717="Robusta","Robusta",(IF($B717="","Arabica",$B717))&amp;" - "&amp;(IF($C717="","Commercial",$C717))),Variables!$B$1:$D$1,0),1))*AC717/365)+(L717/16.67*INDEX(Variables!$B$8:$D$8,IFERROR(MATCH(IF($B717="Robusta","Robusta",(IF($B717="","Arabica",$B717))&amp;" - "&amp;(IF($C717="","Commercial",$C717))),Variables!$B$1:$D$1,0),1))*AC717)+(T717*INDEX(Variables!$B$9:$D$9,IFERROR(MATCH(IF($B717="Robusta","Robusta",(IF($B717="","Arabica",$B717))&amp;" - "&amp;(IF($C717="","Commercial",$C717))),Variables!$B$1:$D$1,0),1))*AC717/365),""))</f>
        <v>-17.822714050997032</v>
      </c>
      <c r="AU717" s="12">
        <f>IF($H717="Cancelled","",IFERROR((T717*INDEX(Variables!$B$7:$D$7,IFERROR(MATCH(IF($B717="Robusta","Robusta",(IF($B717="","Arabica",$B717))&amp;" - "&amp;(IF($C717="","Commercial",$C717))),Variables!$B$1:$D$1,0),1))*AP717/365)+(L717/16.67*INDEX(Variables!$B$8:$D$8,IFERROR(MATCH(IF($B717="Robusta","Robusta",(IF($B717="","Arabica",$B717))&amp;" - "&amp;(IF($C717="","Commercial",$C717))),Variables!$B$1:$D$1,0),1))*AP717)+(T717*INDEX(Variables!$B$9:$D$9,IFERROR(MATCH(IF($B717="Robusta","Robusta",(IF($B717="","Arabica",$B717))&amp;" - "&amp;(IF($C717="","Commercial",$C717))),Variables!$B$1:$D$1,0),1))*AP717/365),""))</f>
        <v>-12.475899835697923</v>
      </c>
      <c r="AV717" s="11">
        <f t="shared" si="75"/>
        <v>4</v>
      </c>
      <c r="AW717" s="12">
        <f>IF($H717="Cancelled","",IFERROR(IF(AV717="","",(T717*INDEX(Variables!$B$7:$D$7,IFERROR(MATCH(IF($B717="Robusta","Robusta",(IF($B717="","Arabica",$B717))&amp;" - "&amp;(IF($C717="","Commercial",$C717))),Variables!$B$1:$D$1,0),1))*(AV717/365))+(T717*INDEX(Variables!$B$9:$D$9,IFERROR(MATCH(IF($B717="Robusta","Robusta",(IF($B717="","Arabica",$B717))&amp;" - "&amp;(IF($C717="","Commercial",$C717))),Variables!$B$1:$D$1,0),1))*(AV717/365))+(INDEX(Variables!$B$8:$D$8,IFERROR(MATCH(IF($B717="Robusta","Robusta",(IF($B717="","Arabica",$B717))&amp;" - "&amp;(IF($C717="","Commercial",$C717))),Variables!$B$1:$D$1,0),1))*L717/16.67)),""))</f>
        <v>4.8790856203988131</v>
      </c>
      <c r="AX717" s="9"/>
      <c r="AY717" s="12"/>
      <c r="AZ717" s="10"/>
      <c r="BA717" s="9"/>
      <c r="BB717" s="10"/>
      <c r="BC717" s="9"/>
      <c r="BD717" s="9"/>
      <c r="BE717" s="9"/>
      <c r="BF717" s="9"/>
    </row>
    <row r="718" spans="1:58" x14ac:dyDescent="0.25">
      <c r="A718" s="9" t="s">
        <v>84</v>
      </c>
      <c r="B718" s="9" t="s">
        <v>85</v>
      </c>
      <c r="C718" s="9" t="s">
        <v>1486</v>
      </c>
      <c r="D718" s="10">
        <v>45372</v>
      </c>
      <c r="E718" s="10">
        <v>45413</v>
      </c>
      <c r="F718" s="10">
        <v>45443</v>
      </c>
      <c r="G718" s="9">
        <v>3786217</v>
      </c>
      <c r="H718" s="9" t="str">
        <f t="shared" si="73"/>
        <v>Closed</v>
      </c>
      <c r="I718" s="9" t="str">
        <f t="shared" si="74"/>
        <v>All dates received</v>
      </c>
      <c r="J718" s="9" t="s">
        <v>225</v>
      </c>
      <c r="K718" s="9">
        <v>4815</v>
      </c>
      <c r="L718" s="11">
        <v>10</v>
      </c>
      <c r="M718" s="9" t="s">
        <v>1640</v>
      </c>
      <c r="N718" s="9"/>
      <c r="O718" s="9"/>
      <c r="P718" s="9"/>
      <c r="Q718" s="11"/>
      <c r="R718" s="9" t="s">
        <v>195</v>
      </c>
      <c r="S718" s="9" t="s">
        <v>1627</v>
      </c>
      <c r="T718" s="12">
        <f>IF($H718="Cancelled","",IFERROR(((Q718+INDEX(Variables!$B$6:$D$6,IFERROR(MATCH(IF($B718="Robusta","Robusta",(IF($B718="","Arabica",$B718))&amp;" - "&amp;(IF($C718="","Commercial",$C718))),Variables!$B$1:$D$1,0),1)))*22.0462)*(L718/16.67),""))</f>
        <v>3845.8518056388721</v>
      </c>
      <c r="U718" s="10"/>
      <c r="V718" s="9" t="str">
        <f t="shared" si="76"/>
        <v/>
      </c>
      <c r="W718" s="10">
        <v>45397</v>
      </c>
      <c r="X718" s="9" t="str">
        <f t="shared" si="72"/>
        <v>Approved</v>
      </c>
      <c r="Y718" s="10">
        <v>45400</v>
      </c>
      <c r="Z718" s="10">
        <f>IF($H718="Cancelled","",IFERROR(IF(F718="","",F718-Variables!$B$13),""))</f>
        <v>45428</v>
      </c>
      <c r="AA718" s="11">
        <f>IF($H718="Cancelled","",IFERROR(IF(W718="","",(AVERAGE(E718:F718)-W718)-Variables!$B$14),""))</f>
        <v>1</v>
      </c>
      <c r="AB718" s="10">
        <v>45425</v>
      </c>
      <c r="AC718" s="11">
        <f>IF($H718="Cancelled","",IFERROR(IF(AB718="","",IF(AND(W718="",Y718=""),"",IF(Y718&gt;W718,Y718+Variables!$B$15+Variables!$B$16+Variables!$B$17-AB718,W718+Variables!$B$16+Variables!$B$17-AB718))),""))</f>
        <v>-10</v>
      </c>
      <c r="AD718" s="9" t="s">
        <v>107</v>
      </c>
      <c r="AE718" s="9" t="s">
        <v>174</v>
      </c>
      <c r="AF718" s="10"/>
      <c r="AG718" s="10"/>
      <c r="AH718" s="9"/>
      <c r="AI718" s="9" t="s">
        <v>1637</v>
      </c>
      <c r="AJ718" s="9" t="s">
        <v>1595</v>
      </c>
      <c r="AK718" s="10">
        <v>45439</v>
      </c>
      <c r="AL718" s="10">
        <v>45441</v>
      </c>
      <c r="AM718" s="10">
        <v>45453</v>
      </c>
      <c r="AN718" s="9" t="s">
        <v>1492</v>
      </c>
      <c r="AO718" s="9"/>
      <c r="AP718" s="11">
        <f>IF($H718="Cancelled","",IFERROR(IF(OR(AK718="",AB718=""),"",(AB718+Variables!$B$18-AK718)),""))</f>
        <v>-7</v>
      </c>
      <c r="AQ718" s="11">
        <f>IF($H718="Cancelled","",IFERROR(IF(OR(AM718="",AK718=""),"",(AK718+Variables!$B$19)-AM718),""))</f>
        <v>-9</v>
      </c>
      <c r="AR718" s="12">
        <f>IF($H718="Cancelled","",IFERROR(T718*INDEX(Variables!$B$7:$D$7,IFERROR(MATCH(IF($B718="Robusta","Robusta",(IF($B718="","Arabica",$B718))&amp;" - "&amp;(IF($C718="","Commercial",$C718))),Variables!$B$1:$D$1,0),1))*(AQ718/365),""))</f>
        <v>-6.1147968978468548</v>
      </c>
      <c r="AS718" s="12">
        <f>IF($H718="Cancelled","",IFERROR((T718*INDEX(Variables!$B$7:$D$7,IFERROR(MATCH(IF($B718="Robusta","Robusta",(IF($B718="","Arabica",$B718))&amp;" - "&amp;(IF($C718="","Commercial",$C718))),Variables!$B$1:$D$1,0),1))*IFERROR(IF(W718="","",(AVERAGE(E718:F718)-W718)-Variables!$B$14),"")/365)+(L718/16.67*INDEX(Variables!$B$8:$D$8,IFERROR(MATCH(IF($B718="Robusta","Robusta",(IF($B718="","Arabica",$B718))&amp;" - "&amp;(IF($C718="","Commercial",$C718))),Variables!$B$1:$D$1,0),1))*IFERROR(IF(W718="","",(AVERAGE(E718:F718)-W718)-Variables!$B$14),""))+(T718*INDEX(Variables!$B$9:$D$9,IFERROR(MATCH(IF($B718="Robusta","Robusta",(IF($B718="","Arabica",$B718))&amp;" - "&amp;(IF($C718="","Commercial",$C718))),Variables!$B$1:$D$1,0),1))*IFERROR(IF(W718="","",(AVERAGE(E718:F718)-W718)-Variables!$B$14),"")/365),""))</f>
        <v>1.1881809367331355</v>
      </c>
      <c r="AT718" s="12">
        <f>IF($H718="Cancelled","",IFERROR((T718*INDEX(Variables!$B$7:$D$7,IFERROR(MATCH(IF($B718="Robusta","Robusta",(IF($B718="","Arabica",$B718))&amp;" - "&amp;(IF($C718="","Commercial",$C718))),Variables!$B$1:$D$1,0),1))*AC718/365)+(L718/16.67*INDEX(Variables!$B$8:$D$8,IFERROR(MATCH(IF($B718="Robusta","Robusta",(IF($B718="","Arabica",$B718))&amp;" - "&amp;(IF($C718="","Commercial",$C718))),Variables!$B$1:$D$1,0),1))*AC718)+(T718*INDEX(Variables!$B$9:$D$9,IFERROR(MATCH(IF($B718="Robusta","Robusta",(IF($B718="","Arabica",$B718))&amp;" - "&amp;(IF($C718="","Commercial",$C718))),Variables!$B$1:$D$1,0),1))*AC718/365),""))</f>
        <v>-11.881809367331355</v>
      </c>
      <c r="AU718" s="12">
        <f>IF($H718="Cancelled","",IFERROR((T718*INDEX(Variables!$B$7:$D$7,IFERROR(MATCH(IF($B718="Robusta","Robusta",(IF($B718="","Arabica",$B718))&amp;" - "&amp;(IF($C718="","Commercial",$C718))),Variables!$B$1:$D$1,0),1))*AP718/365)+(L718/16.67*INDEX(Variables!$B$8:$D$8,IFERROR(MATCH(IF($B718="Robusta","Robusta",(IF($B718="","Arabica",$B718))&amp;" - "&amp;(IF($C718="","Commercial",$C718))),Variables!$B$1:$D$1,0),1))*AP718)+(T718*INDEX(Variables!$B$9:$D$9,IFERROR(MATCH(IF($B718="Robusta","Robusta",(IF($B718="","Arabica",$B718))&amp;" - "&amp;(IF($C718="","Commercial",$C718))),Variables!$B$1:$D$1,0),1))*AP718/365),""))</f>
        <v>-8.3172665571319495</v>
      </c>
      <c r="AV718" s="11">
        <f t="shared" si="75"/>
        <v>4</v>
      </c>
      <c r="AW718" s="12">
        <f>IF($H718="Cancelled","",IFERROR(IF(AV718="","",(T718*INDEX(Variables!$B$7:$D$7,IFERROR(MATCH(IF($B718="Robusta","Robusta",(IF($B718="","Arabica",$B718))&amp;" - "&amp;(IF($C718="","Commercial",$C718))),Variables!$B$1:$D$1,0),1))*(AV718/365))+(T718*INDEX(Variables!$B$9:$D$9,IFERROR(MATCH(IF($B718="Robusta","Robusta",(IF($B718="","Arabica",$B718))&amp;" - "&amp;(IF($C718="","Commercial",$C718))),Variables!$B$1:$D$1,0),1))*(AV718/365))+(INDEX(Variables!$B$8:$D$8,IFERROR(MATCH(IF($B718="Robusta","Robusta",(IF($B718="","Arabica",$B718))&amp;" - "&amp;(IF($C718="","Commercial",$C718))),Variables!$B$1:$D$1,0),1))*L718/16.67)),""))</f>
        <v>3.2527237469325425</v>
      </c>
      <c r="AX718" s="9"/>
      <c r="AY718" s="12"/>
      <c r="AZ718" s="10"/>
      <c r="BA718" s="9"/>
      <c r="BB718" s="10"/>
      <c r="BC718" s="9"/>
      <c r="BD718" s="9"/>
      <c r="BE718" s="9"/>
      <c r="BF718" s="9"/>
    </row>
    <row r="719" spans="1:58" x14ac:dyDescent="0.25">
      <c r="A719" s="9" t="s">
        <v>84</v>
      </c>
      <c r="B719" s="9" t="s">
        <v>85</v>
      </c>
      <c r="C719" s="9" t="s">
        <v>1486</v>
      </c>
      <c r="D719" s="10">
        <v>45372</v>
      </c>
      <c r="E719" s="10">
        <v>45413</v>
      </c>
      <c r="F719" s="10">
        <v>45443</v>
      </c>
      <c r="G719" s="9">
        <v>3786218</v>
      </c>
      <c r="H719" s="9" t="str">
        <f t="shared" si="73"/>
        <v>Closed</v>
      </c>
      <c r="I719" s="9" t="str">
        <f t="shared" si="74"/>
        <v>All dates received</v>
      </c>
      <c r="J719" s="9" t="s">
        <v>225</v>
      </c>
      <c r="K719" s="9">
        <v>4816</v>
      </c>
      <c r="L719" s="11">
        <v>10</v>
      </c>
      <c r="M719" s="9" t="s">
        <v>1641</v>
      </c>
      <c r="N719" s="9"/>
      <c r="O719" s="9"/>
      <c r="P719" s="9"/>
      <c r="Q719" s="11"/>
      <c r="R719" s="9" t="s">
        <v>195</v>
      </c>
      <c r="S719" s="9" t="s">
        <v>1627</v>
      </c>
      <c r="T719" s="12">
        <f>IF($H719="Cancelled","",IFERROR(((Q719+INDEX(Variables!$B$6:$D$6,IFERROR(MATCH(IF($B719="Robusta","Robusta",(IF($B719="","Arabica",$B719))&amp;" - "&amp;(IF($C719="","Commercial",$C719))),Variables!$B$1:$D$1,0),1)))*22.0462)*(L719/16.67),""))</f>
        <v>3845.8518056388721</v>
      </c>
      <c r="U719" s="10"/>
      <c r="V719" s="9" t="str">
        <f t="shared" si="76"/>
        <v/>
      </c>
      <c r="W719" s="10">
        <v>45397</v>
      </c>
      <c r="X719" s="9" t="str">
        <f t="shared" si="72"/>
        <v>Approved</v>
      </c>
      <c r="Y719" s="10">
        <v>45400</v>
      </c>
      <c r="Z719" s="10">
        <f>IF($H719="Cancelled","",IFERROR(IF(F719="","",F719-Variables!$B$13),""))</f>
        <v>45428</v>
      </c>
      <c r="AA719" s="11">
        <f>IF($H719="Cancelled","",IFERROR(IF(W719="","",(AVERAGE(E719:F719)-W719)-Variables!$B$14),""))</f>
        <v>1</v>
      </c>
      <c r="AB719" s="10">
        <v>45425</v>
      </c>
      <c r="AC719" s="11">
        <f>IF($H719="Cancelled","",IFERROR(IF(AB719="","",IF(AND(W719="",Y719=""),"",IF(Y719&gt;W719,Y719+Variables!$B$15+Variables!$B$16+Variables!$B$17-AB719,W719+Variables!$B$16+Variables!$B$17-AB719))),""))</f>
        <v>-10</v>
      </c>
      <c r="AD719" s="9" t="s">
        <v>107</v>
      </c>
      <c r="AE719" s="9" t="s">
        <v>174</v>
      </c>
      <c r="AF719" s="10"/>
      <c r="AG719" s="10"/>
      <c r="AH719" s="9"/>
      <c r="AI719" s="9" t="s">
        <v>1637</v>
      </c>
      <c r="AJ719" s="9" t="s">
        <v>1595</v>
      </c>
      <c r="AK719" s="10">
        <v>45439</v>
      </c>
      <c r="AL719" s="10">
        <v>45441</v>
      </c>
      <c r="AM719" s="10">
        <v>45453</v>
      </c>
      <c r="AN719" s="9" t="s">
        <v>1492</v>
      </c>
      <c r="AO719" s="9"/>
      <c r="AP719" s="11">
        <f>IF($H719="Cancelled","",IFERROR(IF(OR(AK719="",AB719=""),"",(AB719+Variables!$B$18-AK719)),""))</f>
        <v>-7</v>
      </c>
      <c r="AQ719" s="11">
        <f>IF($H719="Cancelled","",IFERROR(IF(OR(AM719="",AK719=""),"",(AK719+Variables!$B$19)-AM719),""))</f>
        <v>-9</v>
      </c>
      <c r="AR719" s="12">
        <f>IF($H719="Cancelled","",IFERROR(T719*INDEX(Variables!$B$7:$D$7,IFERROR(MATCH(IF($B719="Robusta","Robusta",(IF($B719="","Arabica",$B719))&amp;" - "&amp;(IF($C719="","Commercial",$C719))),Variables!$B$1:$D$1,0),1))*(AQ719/365),""))</f>
        <v>-6.1147968978468548</v>
      </c>
      <c r="AS719" s="12">
        <f>IF($H719="Cancelled","",IFERROR((T719*INDEX(Variables!$B$7:$D$7,IFERROR(MATCH(IF($B719="Robusta","Robusta",(IF($B719="","Arabica",$B719))&amp;" - "&amp;(IF($C719="","Commercial",$C719))),Variables!$B$1:$D$1,0),1))*IFERROR(IF(W719="","",(AVERAGE(E719:F719)-W719)-Variables!$B$14),"")/365)+(L719/16.67*INDEX(Variables!$B$8:$D$8,IFERROR(MATCH(IF($B719="Robusta","Robusta",(IF($B719="","Arabica",$B719))&amp;" - "&amp;(IF($C719="","Commercial",$C719))),Variables!$B$1:$D$1,0),1))*IFERROR(IF(W719="","",(AVERAGE(E719:F719)-W719)-Variables!$B$14),""))+(T719*INDEX(Variables!$B$9:$D$9,IFERROR(MATCH(IF($B719="Robusta","Robusta",(IF($B719="","Arabica",$B719))&amp;" - "&amp;(IF($C719="","Commercial",$C719))),Variables!$B$1:$D$1,0),1))*IFERROR(IF(W719="","",(AVERAGE(E719:F719)-W719)-Variables!$B$14),"")/365),""))</f>
        <v>1.1881809367331355</v>
      </c>
      <c r="AT719" s="12">
        <f>IF($H719="Cancelled","",IFERROR((T719*INDEX(Variables!$B$7:$D$7,IFERROR(MATCH(IF($B719="Robusta","Robusta",(IF($B719="","Arabica",$B719))&amp;" - "&amp;(IF($C719="","Commercial",$C719))),Variables!$B$1:$D$1,0),1))*AC719/365)+(L719/16.67*INDEX(Variables!$B$8:$D$8,IFERROR(MATCH(IF($B719="Robusta","Robusta",(IF($B719="","Arabica",$B719))&amp;" - "&amp;(IF($C719="","Commercial",$C719))),Variables!$B$1:$D$1,0),1))*AC719)+(T719*INDEX(Variables!$B$9:$D$9,IFERROR(MATCH(IF($B719="Robusta","Robusta",(IF($B719="","Arabica",$B719))&amp;" - "&amp;(IF($C719="","Commercial",$C719))),Variables!$B$1:$D$1,0),1))*AC719/365),""))</f>
        <v>-11.881809367331355</v>
      </c>
      <c r="AU719" s="12">
        <f>IF($H719="Cancelled","",IFERROR((T719*INDEX(Variables!$B$7:$D$7,IFERROR(MATCH(IF($B719="Robusta","Robusta",(IF($B719="","Arabica",$B719))&amp;" - "&amp;(IF($C719="","Commercial",$C719))),Variables!$B$1:$D$1,0),1))*AP719/365)+(L719/16.67*INDEX(Variables!$B$8:$D$8,IFERROR(MATCH(IF($B719="Robusta","Robusta",(IF($B719="","Arabica",$B719))&amp;" - "&amp;(IF($C719="","Commercial",$C719))),Variables!$B$1:$D$1,0),1))*AP719)+(T719*INDEX(Variables!$B$9:$D$9,IFERROR(MATCH(IF($B719="Robusta","Robusta",(IF($B719="","Arabica",$B719))&amp;" - "&amp;(IF($C719="","Commercial",$C719))),Variables!$B$1:$D$1,0),1))*AP719/365),""))</f>
        <v>-8.3172665571319495</v>
      </c>
      <c r="AV719" s="11">
        <f t="shared" si="75"/>
        <v>4</v>
      </c>
      <c r="AW719" s="12">
        <f>IF($H719="Cancelled","",IFERROR(IF(AV719="","",(T719*INDEX(Variables!$B$7:$D$7,IFERROR(MATCH(IF($B719="Robusta","Robusta",(IF($B719="","Arabica",$B719))&amp;" - "&amp;(IF($C719="","Commercial",$C719))),Variables!$B$1:$D$1,0),1))*(AV719/365))+(T719*INDEX(Variables!$B$9:$D$9,IFERROR(MATCH(IF($B719="Robusta","Robusta",(IF($B719="","Arabica",$B719))&amp;" - "&amp;(IF($C719="","Commercial",$C719))),Variables!$B$1:$D$1,0),1))*(AV719/365))+(INDEX(Variables!$B$8:$D$8,IFERROR(MATCH(IF($B719="Robusta","Robusta",(IF($B719="","Arabica",$B719))&amp;" - "&amp;(IF($C719="","Commercial",$C719))),Variables!$B$1:$D$1,0),1))*L719/16.67)),""))</f>
        <v>3.2527237469325425</v>
      </c>
      <c r="AX719" s="9"/>
      <c r="AY719" s="12"/>
      <c r="AZ719" s="10"/>
      <c r="BA719" s="9"/>
      <c r="BB719" s="10"/>
      <c r="BC719" s="9"/>
      <c r="BD719" s="9"/>
      <c r="BE719" s="9"/>
      <c r="BF719" s="9"/>
    </row>
    <row r="720" spans="1:58" x14ac:dyDescent="0.25">
      <c r="A720" s="9" t="s">
        <v>84</v>
      </c>
      <c r="B720" s="9" t="s">
        <v>85</v>
      </c>
      <c r="C720" s="9" t="s">
        <v>1486</v>
      </c>
      <c r="D720" s="10">
        <v>45372</v>
      </c>
      <c r="E720" s="10">
        <v>45413</v>
      </c>
      <c r="F720" s="10">
        <v>45443</v>
      </c>
      <c r="G720" s="9">
        <v>3786219</v>
      </c>
      <c r="H720" s="9" t="str">
        <f t="shared" si="73"/>
        <v>Closed</v>
      </c>
      <c r="I720" s="9" t="str">
        <f t="shared" si="74"/>
        <v>All dates received</v>
      </c>
      <c r="J720" s="9" t="s">
        <v>225</v>
      </c>
      <c r="K720" s="9">
        <v>4817</v>
      </c>
      <c r="L720" s="11">
        <v>11</v>
      </c>
      <c r="M720" s="9" t="s">
        <v>1642</v>
      </c>
      <c r="N720" s="9"/>
      <c r="O720" s="9"/>
      <c r="P720" s="9"/>
      <c r="Q720" s="11"/>
      <c r="R720" s="9" t="s">
        <v>195</v>
      </c>
      <c r="S720" s="9" t="s">
        <v>1627</v>
      </c>
      <c r="T720" s="12">
        <f>IF($H720="Cancelled","",IFERROR(((Q720+INDEX(Variables!$B$6:$D$6,IFERROR(MATCH(IF($B720="Robusta","Robusta",(IF($B720="","Arabica",$B720))&amp;" - "&amp;(IF($C720="","Commercial",$C720))),Variables!$B$1:$D$1,0),1)))*22.0462)*(L720/16.67),""))</f>
        <v>4230.4369862027588</v>
      </c>
      <c r="U720" s="10"/>
      <c r="V720" s="9" t="str">
        <f t="shared" si="76"/>
        <v/>
      </c>
      <c r="W720" s="10">
        <v>45397</v>
      </c>
      <c r="X720" s="9" t="str">
        <f t="shared" si="72"/>
        <v>Approved</v>
      </c>
      <c r="Y720" s="10">
        <v>45400</v>
      </c>
      <c r="Z720" s="10">
        <f>IF($H720="Cancelled","",IFERROR(IF(F720="","",F720-Variables!$B$13),""))</f>
        <v>45428</v>
      </c>
      <c r="AA720" s="11">
        <f>IF($H720="Cancelled","",IFERROR(IF(W720="","",(AVERAGE(E720:F720)-W720)-Variables!$B$14),""))</f>
        <v>1</v>
      </c>
      <c r="AB720" s="10">
        <v>45425</v>
      </c>
      <c r="AC720" s="11">
        <f>IF($H720="Cancelled","",IFERROR(IF(AB720="","",IF(AND(W720="",Y720=""),"",IF(Y720&gt;W720,Y720+Variables!$B$15+Variables!$B$16+Variables!$B$17-AB720,W720+Variables!$B$16+Variables!$B$17-AB720))),""))</f>
        <v>-10</v>
      </c>
      <c r="AD720" s="9" t="s">
        <v>107</v>
      </c>
      <c r="AE720" s="9" t="s">
        <v>174</v>
      </c>
      <c r="AF720" s="10"/>
      <c r="AG720" s="10"/>
      <c r="AH720" s="9"/>
      <c r="AI720" s="9" t="s">
        <v>1637</v>
      </c>
      <c r="AJ720" s="9" t="s">
        <v>1595</v>
      </c>
      <c r="AK720" s="10">
        <v>45439</v>
      </c>
      <c r="AL720" s="10">
        <v>45441</v>
      </c>
      <c r="AM720" s="10">
        <v>45453</v>
      </c>
      <c r="AN720" s="9" t="s">
        <v>1492</v>
      </c>
      <c r="AO720" s="9"/>
      <c r="AP720" s="11">
        <f>IF($H720="Cancelled","",IFERROR(IF(OR(AK720="",AB720=""),"",(AB720+Variables!$B$18-AK720)),""))</f>
        <v>-7</v>
      </c>
      <c r="AQ720" s="11">
        <f>IF($H720="Cancelled","",IFERROR(IF(OR(AM720="",AK720=""),"",(AK720+Variables!$B$19)-AM720),""))</f>
        <v>-9</v>
      </c>
      <c r="AR720" s="12">
        <f>IF($H720="Cancelled","",IFERROR(T720*INDEX(Variables!$B$7:$D$7,IFERROR(MATCH(IF($B720="Robusta","Robusta",(IF($B720="","Arabica",$B720))&amp;" - "&amp;(IF($C720="","Commercial",$C720))),Variables!$B$1:$D$1,0),1))*(AQ720/365),""))</f>
        <v>-6.7262765876315393</v>
      </c>
      <c r="AS720" s="12">
        <f>IF($H720="Cancelled","",IFERROR((T720*INDEX(Variables!$B$7:$D$7,IFERROR(MATCH(IF($B720="Robusta","Robusta",(IF($B720="","Arabica",$B720))&amp;" - "&amp;(IF($C720="","Commercial",$C720))),Variables!$B$1:$D$1,0),1))*IFERROR(IF(W720="","",(AVERAGE(E720:F720)-W720)-Variables!$B$14),"")/365)+(L720/16.67*INDEX(Variables!$B$8:$D$8,IFERROR(MATCH(IF($B720="Robusta","Robusta",(IF($B720="","Arabica",$B720))&amp;" - "&amp;(IF($C720="","Commercial",$C720))),Variables!$B$1:$D$1,0),1))*IFERROR(IF(W720="","",(AVERAGE(E720:F720)-W720)-Variables!$B$14),""))+(T720*INDEX(Variables!$B$9:$D$9,IFERROR(MATCH(IF($B720="Robusta","Robusta",(IF($B720="","Arabica",$B720))&amp;" - "&amp;(IF($C720="","Commercial",$C720))),Variables!$B$1:$D$1,0),1))*IFERROR(IF(W720="","",(AVERAGE(E720:F720)-W720)-Variables!$B$14),"")/365),""))</f>
        <v>1.3069990304064489</v>
      </c>
      <c r="AT720" s="12">
        <f>IF($H720="Cancelled","",IFERROR((T720*INDEX(Variables!$B$7:$D$7,IFERROR(MATCH(IF($B720="Robusta","Robusta",(IF($B720="","Arabica",$B720))&amp;" - "&amp;(IF($C720="","Commercial",$C720))),Variables!$B$1:$D$1,0),1))*AC720/365)+(L720/16.67*INDEX(Variables!$B$8:$D$8,IFERROR(MATCH(IF($B720="Robusta","Robusta",(IF($B720="","Arabica",$B720))&amp;" - "&amp;(IF($C720="","Commercial",$C720))),Variables!$B$1:$D$1,0),1))*AC720)+(T720*INDEX(Variables!$B$9:$D$9,IFERROR(MATCH(IF($B720="Robusta","Robusta",(IF($B720="","Arabica",$B720))&amp;" - "&amp;(IF($C720="","Commercial",$C720))),Variables!$B$1:$D$1,0),1))*AC720/365),""))</f>
        <v>-13.069990304064492</v>
      </c>
      <c r="AU720" s="12">
        <f>IF($H720="Cancelled","",IFERROR((T720*INDEX(Variables!$B$7:$D$7,IFERROR(MATCH(IF($B720="Robusta","Robusta",(IF($B720="","Arabica",$B720))&amp;" - "&amp;(IF($C720="","Commercial",$C720))),Variables!$B$1:$D$1,0),1))*AP720/365)+(L720/16.67*INDEX(Variables!$B$8:$D$8,IFERROR(MATCH(IF($B720="Robusta","Robusta",(IF($B720="","Arabica",$B720))&amp;" - "&amp;(IF($C720="","Commercial",$C720))),Variables!$B$1:$D$1,0),1))*AP720)+(T720*INDEX(Variables!$B$9:$D$9,IFERROR(MATCH(IF($B720="Robusta","Robusta",(IF($B720="","Arabica",$B720))&amp;" - "&amp;(IF($C720="","Commercial",$C720))),Variables!$B$1:$D$1,0),1))*AP720/365),""))</f>
        <v>-9.148993212845145</v>
      </c>
      <c r="AV720" s="11">
        <f t="shared" si="75"/>
        <v>4</v>
      </c>
      <c r="AW720" s="12">
        <f>IF($H720="Cancelled","",IFERROR(IF(AV720="","",(T720*INDEX(Variables!$B$7:$D$7,IFERROR(MATCH(IF($B720="Robusta","Robusta",(IF($B720="","Arabica",$B720))&amp;" - "&amp;(IF($C720="","Commercial",$C720))),Variables!$B$1:$D$1,0),1))*(AV720/365))+(T720*INDEX(Variables!$B$9:$D$9,IFERROR(MATCH(IF($B720="Robusta","Robusta",(IF($B720="","Arabica",$B720))&amp;" - "&amp;(IF($C720="","Commercial",$C720))),Variables!$B$1:$D$1,0),1))*(AV720/365))+(INDEX(Variables!$B$8:$D$8,IFERROR(MATCH(IF($B720="Robusta","Robusta",(IF($B720="","Arabica",$B720))&amp;" - "&amp;(IF($C720="","Commercial",$C720))),Variables!$B$1:$D$1,0),1))*L720/16.67)),""))</f>
        <v>3.5779961216257963</v>
      </c>
      <c r="AX720" s="9"/>
      <c r="AY720" s="12"/>
      <c r="AZ720" s="10"/>
      <c r="BA720" s="9"/>
      <c r="BB720" s="10"/>
      <c r="BC720" s="9"/>
      <c r="BD720" s="9"/>
      <c r="BE720" s="9"/>
      <c r="BF720" s="9"/>
    </row>
    <row r="721" spans="1:58" x14ac:dyDescent="0.25">
      <c r="A721" s="9" t="s">
        <v>84</v>
      </c>
      <c r="B721" s="9" t="s">
        <v>85</v>
      </c>
      <c r="C721" s="9" t="s">
        <v>1486</v>
      </c>
      <c r="D721" s="10">
        <v>45372</v>
      </c>
      <c r="E721" s="10">
        <v>45413</v>
      </c>
      <c r="F721" s="10">
        <v>45443</v>
      </c>
      <c r="G721" s="9">
        <v>3786220</v>
      </c>
      <c r="H721" s="9" t="str">
        <f t="shared" si="73"/>
        <v>Closed</v>
      </c>
      <c r="I721" s="9" t="str">
        <f t="shared" si="74"/>
        <v>All dates received</v>
      </c>
      <c r="J721" s="9" t="s">
        <v>225</v>
      </c>
      <c r="K721" s="9">
        <v>4818</v>
      </c>
      <c r="L721" s="11">
        <v>10</v>
      </c>
      <c r="M721" s="9" t="s">
        <v>1643</v>
      </c>
      <c r="N721" s="9"/>
      <c r="O721" s="9"/>
      <c r="P721" s="9"/>
      <c r="Q721" s="11"/>
      <c r="R721" s="9" t="s">
        <v>195</v>
      </c>
      <c r="S721" s="9" t="s">
        <v>1627</v>
      </c>
      <c r="T721" s="12">
        <f>IF($H721="Cancelled","",IFERROR(((Q721+INDEX(Variables!$B$6:$D$6,IFERROR(MATCH(IF($B721="Robusta","Robusta",(IF($B721="","Arabica",$B721))&amp;" - "&amp;(IF($C721="","Commercial",$C721))),Variables!$B$1:$D$1,0),1)))*22.0462)*(L721/16.67),""))</f>
        <v>3845.8518056388721</v>
      </c>
      <c r="U721" s="10"/>
      <c r="V721" s="9" t="str">
        <f t="shared" si="76"/>
        <v/>
      </c>
      <c r="W721" s="10">
        <v>45397</v>
      </c>
      <c r="X721" s="9" t="str">
        <f t="shared" si="72"/>
        <v>Approved</v>
      </c>
      <c r="Y721" s="10">
        <v>45400</v>
      </c>
      <c r="Z721" s="10">
        <f>IF($H721="Cancelled","",IFERROR(IF(F721="","",F721-Variables!$B$13),""))</f>
        <v>45428</v>
      </c>
      <c r="AA721" s="11">
        <f>IF($H721="Cancelled","",IFERROR(IF(W721="","",(AVERAGE(E721:F721)-W721)-Variables!$B$14),""))</f>
        <v>1</v>
      </c>
      <c r="AB721" s="10">
        <v>45425</v>
      </c>
      <c r="AC721" s="11">
        <f>IF($H721="Cancelled","",IFERROR(IF(AB721="","",IF(AND(W721="",Y721=""),"",IF(Y721&gt;W721,Y721+Variables!$B$15+Variables!$B$16+Variables!$B$17-AB721,W721+Variables!$B$16+Variables!$B$17-AB721))),""))</f>
        <v>-10</v>
      </c>
      <c r="AD721" s="9" t="s">
        <v>107</v>
      </c>
      <c r="AE721" s="9" t="s">
        <v>174</v>
      </c>
      <c r="AF721" s="10"/>
      <c r="AG721" s="10"/>
      <c r="AH721" s="9"/>
      <c r="AI721" s="9" t="s">
        <v>1637</v>
      </c>
      <c r="AJ721" s="9" t="s">
        <v>1595</v>
      </c>
      <c r="AK721" s="10">
        <v>45439</v>
      </c>
      <c r="AL721" s="10">
        <v>45441</v>
      </c>
      <c r="AM721" s="10">
        <v>45453</v>
      </c>
      <c r="AN721" s="9" t="s">
        <v>1492</v>
      </c>
      <c r="AO721" s="9"/>
      <c r="AP721" s="11">
        <f>IF($H721="Cancelled","",IFERROR(IF(OR(AK721="",AB721=""),"",(AB721+Variables!$B$18-AK721)),""))</f>
        <v>-7</v>
      </c>
      <c r="AQ721" s="11">
        <f>IF($H721="Cancelled","",IFERROR(IF(OR(AM721="",AK721=""),"",(AK721+Variables!$B$19)-AM721),""))</f>
        <v>-9</v>
      </c>
      <c r="AR721" s="12">
        <f>IF($H721="Cancelled","",IFERROR(T721*INDEX(Variables!$B$7:$D$7,IFERROR(MATCH(IF($B721="Robusta","Robusta",(IF($B721="","Arabica",$B721))&amp;" - "&amp;(IF($C721="","Commercial",$C721))),Variables!$B$1:$D$1,0),1))*(AQ721/365),""))</f>
        <v>-6.1147968978468548</v>
      </c>
      <c r="AS721" s="12">
        <f>IF($H721="Cancelled","",IFERROR((T721*INDEX(Variables!$B$7:$D$7,IFERROR(MATCH(IF($B721="Robusta","Robusta",(IF($B721="","Arabica",$B721))&amp;" - "&amp;(IF($C721="","Commercial",$C721))),Variables!$B$1:$D$1,0),1))*IFERROR(IF(W721="","",(AVERAGE(E721:F721)-W721)-Variables!$B$14),"")/365)+(L721/16.67*INDEX(Variables!$B$8:$D$8,IFERROR(MATCH(IF($B721="Robusta","Robusta",(IF($B721="","Arabica",$B721))&amp;" - "&amp;(IF($C721="","Commercial",$C721))),Variables!$B$1:$D$1,0),1))*IFERROR(IF(W721="","",(AVERAGE(E721:F721)-W721)-Variables!$B$14),""))+(T721*INDEX(Variables!$B$9:$D$9,IFERROR(MATCH(IF($B721="Robusta","Robusta",(IF($B721="","Arabica",$B721))&amp;" - "&amp;(IF($C721="","Commercial",$C721))),Variables!$B$1:$D$1,0),1))*IFERROR(IF(W721="","",(AVERAGE(E721:F721)-W721)-Variables!$B$14),"")/365),""))</f>
        <v>1.1881809367331355</v>
      </c>
      <c r="AT721" s="12">
        <f>IF($H721="Cancelled","",IFERROR((T721*INDEX(Variables!$B$7:$D$7,IFERROR(MATCH(IF($B721="Robusta","Robusta",(IF($B721="","Arabica",$B721))&amp;" - "&amp;(IF($C721="","Commercial",$C721))),Variables!$B$1:$D$1,0),1))*AC721/365)+(L721/16.67*INDEX(Variables!$B$8:$D$8,IFERROR(MATCH(IF($B721="Robusta","Robusta",(IF($B721="","Arabica",$B721))&amp;" - "&amp;(IF($C721="","Commercial",$C721))),Variables!$B$1:$D$1,0),1))*AC721)+(T721*INDEX(Variables!$B$9:$D$9,IFERROR(MATCH(IF($B721="Robusta","Robusta",(IF($B721="","Arabica",$B721))&amp;" - "&amp;(IF($C721="","Commercial",$C721))),Variables!$B$1:$D$1,0),1))*AC721/365),""))</f>
        <v>-11.881809367331355</v>
      </c>
      <c r="AU721" s="12">
        <f>IF($H721="Cancelled","",IFERROR((T721*INDEX(Variables!$B$7:$D$7,IFERROR(MATCH(IF($B721="Robusta","Robusta",(IF($B721="","Arabica",$B721))&amp;" - "&amp;(IF($C721="","Commercial",$C721))),Variables!$B$1:$D$1,0),1))*AP721/365)+(L721/16.67*INDEX(Variables!$B$8:$D$8,IFERROR(MATCH(IF($B721="Robusta","Robusta",(IF($B721="","Arabica",$B721))&amp;" - "&amp;(IF($C721="","Commercial",$C721))),Variables!$B$1:$D$1,0),1))*AP721)+(T721*INDEX(Variables!$B$9:$D$9,IFERROR(MATCH(IF($B721="Robusta","Robusta",(IF($B721="","Arabica",$B721))&amp;" - "&amp;(IF($C721="","Commercial",$C721))),Variables!$B$1:$D$1,0),1))*AP721/365),""))</f>
        <v>-8.3172665571319495</v>
      </c>
      <c r="AV721" s="11">
        <f t="shared" si="75"/>
        <v>4</v>
      </c>
      <c r="AW721" s="12">
        <f>IF($H721="Cancelled","",IFERROR(IF(AV721="","",(T721*INDEX(Variables!$B$7:$D$7,IFERROR(MATCH(IF($B721="Robusta","Robusta",(IF($B721="","Arabica",$B721))&amp;" - "&amp;(IF($C721="","Commercial",$C721))),Variables!$B$1:$D$1,0),1))*(AV721/365))+(T721*INDEX(Variables!$B$9:$D$9,IFERROR(MATCH(IF($B721="Robusta","Robusta",(IF($B721="","Arabica",$B721))&amp;" - "&amp;(IF($C721="","Commercial",$C721))),Variables!$B$1:$D$1,0),1))*(AV721/365))+(INDEX(Variables!$B$8:$D$8,IFERROR(MATCH(IF($B721="Robusta","Robusta",(IF($B721="","Arabica",$B721))&amp;" - "&amp;(IF($C721="","Commercial",$C721))),Variables!$B$1:$D$1,0),1))*L721/16.67)),""))</f>
        <v>3.2527237469325425</v>
      </c>
      <c r="AX721" s="9"/>
      <c r="AY721" s="12"/>
      <c r="AZ721" s="10"/>
      <c r="BA721" s="9"/>
      <c r="BB721" s="10"/>
      <c r="BC721" s="9"/>
      <c r="BD721" s="9"/>
      <c r="BE721" s="9"/>
      <c r="BF721" s="9"/>
    </row>
    <row r="722" spans="1:58" x14ac:dyDescent="0.25">
      <c r="A722" s="9" t="s">
        <v>84</v>
      </c>
      <c r="B722" s="9" t="s">
        <v>85</v>
      </c>
      <c r="C722" s="9" t="s">
        <v>1486</v>
      </c>
      <c r="D722" s="10">
        <v>45372</v>
      </c>
      <c r="E722" s="10">
        <v>45413</v>
      </c>
      <c r="F722" s="10">
        <v>45443</v>
      </c>
      <c r="G722" s="9">
        <v>3786221</v>
      </c>
      <c r="H722" s="9" t="str">
        <f t="shared" si="73"/>
        <v>Closed</v>
      </c>
      <c r="I722" s="9" t="str">
        <f t="shared" si="74"/>
        <v>All dates received</v>
      </c>
      <c r="J722" s="9" t="s">
        <v>225</v>
      </c>
      <c r="K722" s="9">
        <v>4819</v>
      </c>
      <c r="L722" s="11">
        <v>15</v>
      </c>
      <c r="M722" s="9" t="s">
        <v>1644</v>
      </c>
      <c r="N722" s="9"/>
      <c r="O722" s="9"/>
      <c r="P722" s="9"/>
      <c r="Q722" s="11"/>
      <c r="R722" s="9" t="s">
        <v>195</v>
      </c>
      <c r="S722" s="9" t="s">
        <v>1627</v>
      </c>
      <c r="T722" s="12">
        <f>IF($H722="Cancelled","",IFERROR(((Q722+INDEX(Variables!$B$6:$D$6,IFERROR(MATCH(IF($B722="Robusta","Robusta",(IF($B722="","Arabica",$B722))&amp;" - "&amp;(IF($C722="","Commercial",$C722))),Variables!$B$1:$D$1,0),1)))*22.0462)*(L722/16.67),""))</f>
        <v>5768.7777084583076</v>
      </c>
      <c r="U722" s="10"/>
      <c r="V722" s="9" t="str">
        <f t="shared" si="76"/>
        <v/>
      </c>
      <c r="W722" s="10">
        <v>45397</v>
      </c>
      <c r="X722" s="9" t="str">
        <f t="shared" si="72"/>
        <v>Approved</v>
      </c>
      <c r="Y722" s="10">
        <v>45400</v>
      </c>
      <c r="Z722" s="10">
        <f>IF($H722="Cancelled","",IFERROR(IF(F722="","",F722-Variables!$B$13),""))</f>
        <v>45428</v>
      </c>
      <c r="AA722" s="11">
        <f>IF($H722="Cancelled","",IFERROR(IF(W722="","",(AVERAGE(E722:F722)-W722)-Variables!$B$14),""))</f>
        <v>1</v>
      </c>
      <c r="AB722" s="10">
        <v>45425</v>
      </c>
      <c r="AC722" s="11">
        <f>IF($H722="Cancelled","",IFERROR(IF(AB722="","",IF(AND(W722="",Y722=""),"",IF(Y722&gt;W722,Y722+Variables!$B$15+Variables!$B$16+Variables!$B$17-AB722,W722+Variables!$B$16+Variables!$B$17-AB722))),""))</f>
        <v>-10</v>
      </c>
      <c r="AD722" s="9" t="s">
        <v>107</v>
      </c>
      <c r="AE722" s="9" t="s">
        <v>174</v>
      </c>
      <c r="AF722" s="10"/>
      <c r="AG722" s="10"/>
      <c r="AH722" s="9"/>
      <c r="AI722" s="9" t="s">
        <v>1637</v>
      </c>
      <c r="AJ722" s="9" t="s">
        <v>1595</v>
      </c>
      <c r="AK722" s="10">
        <v>45439</v>
      </c>
      <c r="AL722" s="10">
        <v>45441</v>
      </c>
      <c r="AM722" s="10">
        <v>45453</v>
      </c>
      <c r="AN722" s="9" t="s">
        <v>1492</v>
      </c>
      <c r="AO722" s="9"/>
      <c r="AP722" s="11">
        <f>IF($H722="Cancelled","",IFERROR(IF(OR(AK722="",AB722=""),"",(AB722+Variables!$B$18-AK722)),""))</f>
        <v>-7</v>
      </c>
      <c r="AQ722" s="11">
        <f>IF($H722="Cancelled","",IFERROR(IF(OR(AM722="",AK722=""),"",(AK722+Variables!$B$19)-AM722),""))</f>
        <v>-9</v>
      </c>
      <c r="AR722" s="12">
        <f>IF($H722="Cancelled","",IFERROR(T722*INDEX(Variables!$B$7:$D$7,IFERROR(MATCH(IF($B722="Robusta","Robusta",(IF($B722="","Arabica",$B722))&amp;" - "&amp;(IF($C722="","Commercial",$C722))),Variables!$B$1:$D$1,0),1))*(AQ722/365),""))</f>
        <v>-9.1721953467702821</v>
      </c>
      <c r="AS722" s="12">
        <f>IF($H722="Cancelled","",IFERROR((T722*INDEX(Variables!$B$7:$D$7,IFERROR(MATCH(IF($B722="Robusta","Robusta",(IF($B722="","Arabica",$B722))&amp;" - "&amp;(IF($C722="","Commercial",$C722))),Variables!$B$1:$D$1,0),1))*IFERROR(IF(W722="","",(AVERAGE(E722:F722)-W722)-Variables!$B$14),"")/365)+(L722/16.67*INDEX(Variables!$B$8:$D$8,IFERROR(MATCH(IF($B722="Robusta","Robusta",(IF($B722="","Arabica",$B722))&amp;" - "&amp;(IF($C722="","Commercial",$C722))),Variables!$B$1:$D$1,0),1))*IFERROR(IF(W722="","",(AVERAGE(E722:F722)-W722)-Variables!$B$14),""))+(T722*INDEX(Variables!$B$9:$D$9,IFERROR(MATCH(IF($B722="Robusta","Robusta",(IF($B722="","Arabica",$B722))&amp;" - "&amp;(IF($C722="","Commercial",$C722))),Variables!$B$1:$D$1,0),1))*IFERROR(IF(W722="","",(AVERAGE(E722:F722)-W722)-Variables!$B$14),"")/365),""))</f>
        <v>1.7822714050997033</v>
      </c>
      <c r="AT722" s="12">
        <f>IF($H722="Cancelled","",IFERROR((T722*INDEX(Variables!$B$7:$D$7,IFERROR(MATCH(IF($B722="Robusta","Robusta",(IF($B722="","Arabica",$B722))&amp;" - "&amp;(IF($C722="","Commercial",$C722))),Variables!$B$1:$D$1,0),1))*AC722/365)+(L722/16.67*INDEX(Variables!$B$8:$D$8,IFERROR(MATCH(IF($B722="Robusta","Robusta",(IF($B722="","Arabica",$B722))&amp;" - "&amp;(IF($C722="","Commercial",$C722))),Variables!$B$1:$D$1,0),1))*AC722)+(T722*INDEX(Variables!$B$9:$D$9,IFERROR(MATCH(IF($B722="Robusta","Robusta",(IF($B722="","Arabica",$B722))&amp;" - "&amp;(IF($C722="","Commercial",$C722))),Variables!$B$1:$D$1,0),1))*AC722/365),""))</f>
        <v>-17.822714050997032</v>
      </c>
      <c r="AU722" s="12">
        <f>IF($H722="Cancelled","",IFERROR((T722*INDEX(Variables!$B$7:$D$7,IFERROR(MATCH(IF($B722="Robusta","Robusta",(IF($B722="","Arabica",$B722))&amp;" - "&amp;(IF($C722="","Commercial",$C722))),Variables!$B$1:$D$1,0),1))*AP722/365)+(L722/16.67*INDEX(Variables!$B$8:$D$8,IFERROR(MATCH(IF($B722="Robusta","Robusta",(IF($B722="","Arabica",$B722))&amp;" - "&amp;(IF($C722="","Commercial",$C722))),Variables!$B$1:$D$1,0),1))*AP722)+(T722*INDEX(Variables!$B$9:$D$9,IFERROR(MATCH(IF($B722="Robusta","Robusta",(IF($B722="","Arabica",$B722))&amp;" - "&amp;(IF($C722="","Commercial",$C722))),Variables!$B$1:$D$1,0),1))*AP722/365),""))</f>
        <v>-12.475899835697923</v>
      </c>
      <c r="AV722" s="11">
        <f t="shared" si="75"/>
        <v>4</v>
      </c>
      <c r="AW722" s="12">
        <f>IF($H722="Cancelled","",IFERROR(IF(AV722="","",(T722*INDEX(Variables!$B$7:$D$7,IFERROR(MATCH(IF($B722="Robusta","Robusta",(IF($B722="","Arabica",$B722))&amp;" - "&amp;(IF($C722="","Commercial",$C722))),Variables!$B$1:$D$1,0),1))*(AV722/365))+(T722*INDEX(Variables!$B$9:$D$9,IFERROR(MATCH(IF($B722="Robusta","Robusta",(IF($B722="","Arabica",$B722))&amp;" - "&amp;(IF($C722="","Commercial",$C722))),Variables!$B$1:$D$1,0),1))*(AV722/365))+(INDEX(Variables!$B$8:$D$8,IFERROR(MATCH(IF($B722="Robusta","Robusta",(IF($B722="","Arabica",$B722))&amp;" - "&amp;(IF($C722="","Commercial",$C722))),Variables!$B$1:$D$1,0),1))*L722/16.67)),""))</f>
        <v>4.8790856203988131</v>
      </c>
      <c r="AX722" s="9"/>
      <c r="AY722" s="12"/>
      <c r="AZ722" s="10"/>
      <c r="BA722" s="9"/>
      <c r="BB722" s="10"/>
      <c r="BC722" s="9"/>
      <c r="BD722" s="9"/>
      <c r="BE722" s="9"/>
      <c r="BF722" s="9"/>
    </row>
    <row r="723" spans="1:58" x14ac:dyDescent="0.25">
      <c r="A723" s="9" t="s">
        <v>84</v>
      </c>
      <c r="B723" s="9" t="s">
        <v>85</v>
      </c>
      <c r="C723" s="9" t="s">
        <v>1486</v>
      </c>
      <c r="D723" s="10">
        <v>45372</v>
      </c>
      <c r="E723" s="10">
        <v>45413</v>
      </c>
      <c r="F723" s="10">
        <v>45443</v>
      </c>
      <c r="G723" s="9">
        <v>3786222</v>
      </c>
      <c r="H723" s="9" t="str">
        <f t="shared" si="73"/>
        <v>Closed</v>
      </c>
      <c r="I723" s="9" t="str">
        <f t="shared" si="74"/>
        <v>All dates received</v>
      </c>
      <c r="J723" s="9" t="s">
        <v>225</v>
      </c>
      <c r="K723" s="9">
        <v>4820</v>
      </c>
      <c r="L723" s="11">
        <v>16</v>
      </c>
      <c r="M723" s="9" t="s">
        <v>1645</v>
      </c>
      <c r="N723" s="9"/>
      <c r="O723" s="9"/>
      <c r="P723" s="9"/>
      <c r="Q723" s="11"/>
      <c r="R723" s="9" t="s">
        <v>195</v>
      </c>
      <c r="S723" s="9" t="s">
        <v>1627</v>
      </c>
      <c r="T723" s="12">
        <f>IF($H723="Cancelled","",IFERROR(((Q723+INDEX(Variables!$B$6:$D$6,IFERROR(MATCH(IF($B723="Robusta","Robusta",(IF($B723="","Arabica",$B723))&amp;" - "&amp;(IF($C723="","Commercial",$C723))),Variables!$B$1:$D$1,0),1)))*22.0462)*(L723/16.67),""))</f>
        <v>6153.3628890221944</v>
      </c>
      <c r="U723" s="10"/>
      <c r="V723" s="9" t="str">
        <f t="shared" si="76"/>
        <v/>
      </c>
      <c r="W723" s="10">
        <v>45397</v>
      </c>
      <c r="X723" s="9" t="str">
        <f t="shared" si="72"/>
        <v>Approved</v>
      </c>
      <c r="Y723" s="10">
        <v>45400</v>
      </c>
      <c r="Z723" s="10">
        <f>IF($H723="Cancelled","",IFERROR(IF(F723="","",F723-Variables!$B$13),""))</f>
        <v>45428</v>
      </c>
      <c r="AA723" s="11">
        <f>IF($H723="Cancelled","",IFERROR(IF(W723="","",(AVERAGE(E723:F723)-W723)-Variables!$B$14),""))</f>
        <v>1</v>
      </c>
      <c r="AB723" s="10">
        <v>45425</v>
      </c>
      <c r="AC723" s="11">
        <f>IF($H723="Cancelled","",IFERROR(IF(AB723="","",IF(AND(W723="",Y723=""),"",IF(Y723&gt;W723,Y723+Variables!$B$15+Variables!$B$16+Variables!$B$17-AB723,W723+Variables!$B$16+Variables!$B$17-AB723))),""))</f>
        <v>-10</v>
      </c>
      <c r="AD723" s="9" t="s">
        <v>107</v>
      </c>
      <c r="AE723" s="9" t="s">
        <v>174</v>
      </c>
      <c r="AF723" s="10"/>
      <c r="AG723" s="10"/>
      <c r="AH723" s="9"/>
      <c r="AI723" s="9" t="s">
        <v>1637</v>
      </c>
      <c r="AJ723" s="9" t="s">
        <v>1595</v>
      </c>
      <c r="AK723" s="10">
        <v>45439</v>
      </c>
      <c r="AL723" s="10">
        <v>45441</v>
      </c>
      <c r="AM723" s="10">
        <v>45453</v>
      </c>
      <c r="AN723" s="9" t="s">
        <v>1492</v>
      </c>
      <c r="AO723" s="9"/>
      <c r="AP723" s="11">
        <f>IF($H723="Cancelled","",IFERROR(IF(OR(AK723="",AB723=""),"",(AB723+Variables!$B$18-AK723)),""))</f>
        <v>-7</v>
      </c>
      <c r="AQ723" s="11">
        <f>IF($H723="Cancelled","",IFERROR(IF(OR(AM723="",AK723=""),"",(AK723+Variables!$B$19)-AM723),""))</f>
        <v>-9</v>
      </c>
      <c r="AR723" s="12">
        <f>IF($H723="Cancelled","",IFERROR(T723*INDEX(Variables!$B$7:$D$7,IFERROR(MATCH(IF($B723="Robusta","Robusta",(IF($B723="","Arabica",$B723))&amp;" - "&amp;(IF($C723="","Commercial",$C723))),Variables!$B$1:$D$1,0),1))*(AQ723/365),""))</f>
        <v>-9.7836750365549658</v>
      </c>
      <c r="AS723" s="12">
        <f>IF($H723="Cancelled","",IFERROR((T723*INDEX(Variables!$B$7:$D$7,IFERROR(MATCH(IF($B723="Robusta","Robusta",(IF($B723="","Arabica",$B723))&amp;" - "&amp;(IF($C723="","Commercial",$C723))),Variables!$B$1:$D$1,0),1))*IFERROR(IF(W723="","",(AVERAGE(E723:F723)-W723)-Variables!$B$14),"")/365)+(L723/16.67*INDEX(Variables!$B$8:$D$8,IFERROR(MATCH(IF($B723="Robusta","Robusta",(IF($B723="","Arabica",$B723))&amp;" - "&amp;(IF($C723="","Commercial",$C723))),Variables!$B$1:$D$1,0),1))*IFERROR(IF(W723="","",(AVERAGE(E723:F723)-W723)-Variables!$B$14),""))+(T723*INDEX(Variables!$B$9:$D$9,IFERROR(MATCH(IF($B723="Robusta","Robusta",(IF($B723="","Arabica",$B723))&amp;" - "&amp;(IF($C723="","Commercial",$C723))),Variables!$B$1:$D$1,0),1))*IFERROR(IF(W723="","",(AVERAGE(E723:F723)-W723)-Variables!$B$14),"")/365),""))</f>
        <v>1.9010894987730167</v>
      </c>
      <c r="AT723" s="12">
        <f>IF($H723="Cancelled","",IFERROR((T723*INDEX(Variables!$B$7:$D$7,IFERROR(MATCH(IF($B723="Robusta","Robusta",(IF($B723="","Arabica",$B723))&amp;" - "&amp;(IF($C723="","Commercial",$C723))),Variables!$B$1:$D$1,0),1))*AC723/365)+(L723/16.67*INDEX(Variables!$B$8:$D$8,IFERROR(MATCH(IF($B723="Robusta","Robusta",(IF($B723="","Arabica",$B723))&amp;" - "&amp;(IF($C723="","Commercial",$C723))),Variables!$B$1:$D$1,0),1))*AC723)+(T723*INDEX(Variables!$B$9:$D$9,IFERROR(MATCH(IF($B723="Robusta","Robusta",(IF($B723="","Arabica",$B723))&amp;" - "&amp;(IF($C723="","Commercial",$C723))),Variables!$B$1:$D$1,0),1))*AC723/365),""))</f>
        <v>-19.010894987730165</v>
      </c>
      <c r="AU723" s="12">
        <f>IF($H723="Cancelled","",IFERROR((T723*INDEX(Variables!$B$7:$D$7,IFERROR(MATCH(IF($B723="Robusta","Robusta",(IF($B723="","Arabica",$B723))&amp;" - "&amp;(IF($C723="","Commercial",$C723))),Variables!$B$1:$D$1,0),1))*AP723/365)+(L723/16.67*INDEX(Variables!$B$8:$D$8,IFERROR(MATCH(IF($B723="Robusta","Robusta",(IF($B723="","Arabica",$B723))&amp;" - "&amp;(IF($C723="","Commercial",$C723))),Variables!$B$1:$D$1,0),1))*AP723)+(T723*INDEX(Variables!$B$9:$D$9,IFERROR(MATCH(IF($B723="Robusta","Robusta",(IF($B723="","Arabica",$B723))&amp;" - "&amp;(IF($C723="","Commercial",$C723))),Variables!$B$1:$D$1,0),1))*AP723/365),""))</f>
        <v>-13.307626491411117</v>
      </c>
      <c r="AV723" s="11">
        <f t="shared" si="75"/>
        <v>4</v>
      </c>
      <c r="AW723" s="12">
        <f>IF($H723="Cancelled","",IFERROR(IF(AV723="","",(T723*INDEX(Variables!$B$7:$D$7,IFERROR(MATCH(IF($B723="Robusta","Robusta",(IF($B723="","Arabica",$B723))&amp;" - "&amp;(IF($C723="","Commercial",$C723))),Variables!$B$1:$D$1,0),1))*(AV723/365))+(T723*INDEX(Variables!$B$9:$D$9,IFERROR(MATCH(IF($B723="Robusta","Robusta",(IF($B723="","Arabica",$B723))&amp;" - "&amp;(IF($C723="","Commercial",$C723))),Variables!$B$1:$D$1,0),1))*(AV723/365))+(INDEX(Variables!$B$8:$D$8,IFERROR(MATCH(IF($B723="Robusta","Robusta",(IF($B723="","Arabica",$B723))&amp;" - "&amp;(IF($C723="","Commercial",$C723))),Variables!$B$1:$D$1,0),1))*L723/16.67)),""))</f>
        <v>5.2043579950920664</v>
      </c>
      <c r="AX723" s="9"/>
      <c r="AY723" s="12"/>
      <c r="AZ723" s="10"/>
      <c r="BA723" s="9"/>
      <c r="BB723" s="10"/>
      <c r="BC723" s="9"/>
      <c r="BD723" s="9"/>
      <c r="BE723" s="9"/>
      <c r="BF723" s="9"/>
    </row>
    <row r="724" spans="1:58" x14ac:dyDescent="0.25">
      <c r="A724" s="9" t="s">
        <v>84</v>
      </c>
      <c r="B724" s="9" t="s">
        <v>85</v>
      </c>
      <c r="C724" s="9" t="s">
        <v>1486</v>
      </c>
      <c r="D724" s="10">
        <v>45372</v>
      </c>
      <c r="E724" s="10">
        <v>45413</v>
      </c>
      <c r="F724" s="10">
        <v>45443</v>
      </c>
      <c r="G724" s="9">
        <v>3786223</v>
      </c>
      <c r="H724" s="9" t="str">
        <f t="shared" si="73"/>
        <v>Closed</v>
      </c>
      <c r="I724" s="9" t="str">
        <f t="shared" si="74"/>
        <v>All dates received</v>
      </c>
      <c r="J724" s="9" t="s">
        <v>225</v>
      </c>
      <c r="K724" s="9">
        <v>4821</v>
      </c>
      <c r="L724" s="11">
        <v>10</v>
      </c>
      <c r="M724" s="9" t="s">
        <v>1646</v>
      </c>
      <c r="N724" s="9"/>
      <c r="O724" s="9"/>
      <c r="P724" s="9"/>
      <c r="Q724" s="11"/>
      <c r="R724" s="9" t="s">
        <v>195</v>
      </c>
      <c r="S724" s="9" t="s">
        <v>1627</v>
      </c>
      <c r="T724" s="12">
        <f>IF($H724="Cancelled","",IFERROR(((Q724+INDEX(Variables!$B$6:$D$6,IFERROR(MATCH(IF($B724="Robusta","Robusta",(IF($B724="","Arabica",$B724))&amp;" - "&amp;(IF($C724="","Commercial",$C724))),Variables!$B$1:$D$1,0),1)))*22.0462)*(L724/16.67),""))</f>
        <v>3845.8518056388721</v>
      </c>
      <c r="U724" s="10"/>
      <c r="V724" s="9" t="str">
        <f t="shared" si="76"/>
        <v/>
      </c>
      <c r="W724" s="10">
        <v>45397</v>
      </c>
      <c r="X724" s="9" t="str">
        <f t="shared" si="72"/>
        <v>Approved</v>
      </c>
      <c r="Y724" s="10">
        <v>45400</v>
      </c>
      <c r="Z724" s="10">
        <f>IF($H724="Cancelled","",IFERROR(IF(F724="","",F724-Variables!$B$13),""))</f>
        <v>45428</v>
      </c>
      <c r="AA724" s="11">
        <f>IF($H724="Cancelled","",IFERROR(IF(W724="","",(AVERAGE(E724:F724)-W724)-Variables!$B$14),""))</f>
        <v>1</v>
      </c>
      <c r="AB724" s="10">
        <v>45425</v>
      </c>
      <c r="AC724" s="11">
        <f>IF($H724="Cancelled","",IFERROR(IF(AB724="","",IF(AND(W724="",Y724=""),"",IF(Y724&gt;W724,Y724+Variables!$B$15+Variables!$B$16+Variables!$B$17-AB724,W724+Variables!$B$16+Variables!$B$17-AB724))),""))</f>
        <v>-10</v>
      </c>
      <c r="AD724" s="9" t="s">
        <v>107</v>
      </c>
      <c r="AE724" s="9" t="s">
        <v>174</v>
      </c>
      <c r="AF724" s="10"/>
      <c r="AG724" s="10"/>
      <c r="AH724" s="9"/>
      <c r="AI724" s="9" t="s">
        <v>1637</v>
      </c>
      <c r="AJ724" s="9" t="s">
        <v>1595</v>
      </c>
      <c r="AK724" s="10">
        <v>45439</v>
      </c>
      <c r="AL724" s="10">
        <v>45441</v>
      </c>
      <c r="AM724" s="10">
        <v>45453</v>
      </c>
      <c r="AN724" s="9" t="s">
        <v>1492</v>
      </c>
      <c r="AO724" s="9"/>
      <c r="AP724" s="11">
        <f>IF($H724="Cancelled","",IFERROR(IF(OR(AK724="",AB724=""),"",(AB724+Variables!$B$18-AK724)),""))</f>
        <v>-7</v>
      </c>
      <c r="AQ724" s="11">
        <f>IF($H724="Cancelled","",IFERROR(IF(OR(AM724="",AK724=""),"",(AK724+Variables!$B$19)-AM724),""))</f>
        <v>-9</v>
      </c>
      <c r="AR724" s="12">
        <f>IF($H724="Cancelled","",IFERROR(T724*INDEX(Variables!$B$7:$D$7,IFERROR(MATCH(IF($B724="Robusta","Robusta",(IF($B724="","Arabica",$B724))&amp;" - "&amp;(IF($C724="","Commercial",$C724))),Variables!$B$1:$D$1,0),1))*(AQ724/365),""))</f>
        <v>-6.1147968978468548</v>
      </c>
      <c r="AS724" s="12">
        <f>IF($H724="Cancelled","",IFERROR((T724*INDEX(Variables!$B$7:$D$7,IFERROR(MATCH(IF($B724="Robusta","Robusta",(IF($B724="","Arabica",$B724))&amp;" - "&amp;(IF($C724="","Commercial",$C724))),Variables!$B$1:$D$1,0),1))*IFERROR(IF(W724="","",(AVERAGE(E724:F724)-W724)-Variables!$B$14),"")/365)+(L724/16.67*INDEX(Variables!$B$8:$D$8,IFERROR(MATCH(IF($B724="Robusta","Robusta",(IF($B724="","Arabica",$B724))&amp;" - "&amp;(IF($C724="","Commercial",$C724))),Variables!$B$1:$D$1,0),1))*IFERROR(IF(W724="","",(AVERAGE(E724:F724)-W724)-Variables!$B$14),""))+(T724*INDEX(Variables!$B$9:$D$9,IFERROR(MATCH(IF($B724="Robusta","Robusta",(IF($B724="","Arabica",$B724))&amp;" - "&amp;(IF($C724="","Commercial",$C724))),Variables!$B$1:$D$1,0),1))*IFERROR(IF(W724="","",(AVERAGE(E724:F724)-W724)-Variables!$B$14),"")/365),""))</f>
        <v>1.1881809367331355</v>
      </c>
      <c r="AT724" s="12">
        <f>IF($H724="Cancelled","",IFERROR((T724*INDEX(Variables!$B$7:$D$7,IFERROR(MATCH(IF($B724="Robusta","Robusta",(IF($B724="","Arabica",$B724))&amp;" - "&amp;(IF($C724="","Commercial",$C724))),Variables!$B$1:$D$1,0),1))*AC724/365)+(L724/16.67*INDEX(Variables!$B$8:$D$8,IFERROR(MATCH(IF($B724="Robusta","Robusta",(IF($B724="","Arabica",$B724))&amp;" - "&amp;(IF($C724="","Commercial",$C724))),Variables!$B$1:$D$1,0),1))*AC724)+(T724*INDEX(Variables!$B$9:$D$9,IFERROR(MATCH(IF($B724="Robusta","Robusta",(IF($B724="","Arabica",$B724))&amp;" - "&amp;(IF($C724="","Commercial",$C724))),Variables!$B$1:$D$1,0),1))*AC724/365),""))</f>
        <v>-11.881809367331355</v>
      </c>
      <c r="AU724" s="12">
        <f>IF($H724="Cancelled","",IFERROR((T724*INDEX(Variables!$B$7:$D$7,IFERROR(MATCH(IF($B724="Robusta","Robusta",(IF($B724="","Arabica",$B724))&amp;" - "&amp;(IF($C724="","Commercial",$C724))),Variables!$B$1:$D$1,0),1))*AP724/365)+(L724/16.67*INDEX(Variables!$B$8:$D$8,IFERROR(MATCH(IF($B724="Robusta","Robusta",(IF($B724="","Arabica",$B724))&amp;" - "&amp;(IF($C724="","Commercial",$C724))),Variables!$B$1:$D$1,0),1))*AP724)+(T724*INDEX(Variables!$B$9:$D$9,IFERROR(MATCH(IF($B724="Robusta","Robusta",(IF($B724="","Arabica",$B724))&amp;" - "&amp;(IF($C724="","Commercial",$C724))),Variables!$B$1:$D$1,0),1))*AP724/365),""))</f>
        <v>-8.3172665571319495</v>
      </c>
      <c r="AV724" s="11">
        <f t="shared" si="75"/>
        <v>4</v>
      </c>
      <c r="AW724" s="12">
        <f>IF($H724="Cancelled","",IFERROR(IF(AV724="","",(T724*INDEX(Variables!$B$7:$D$7,IFERROR(MATCH(IF($B724="Robusta","Robusta",(IF($B724="","Arabica",$B724))&amp;" - "&amp;(IF($C724="","Commercial",$C724))),Variables!$B$1:$D$1,0),1))*(AV724/365))+(T724*INDEX(Variables!$B$9:$D$9,IFERROR(MATCH(IF($B724="Robusta","Robusta",(IF($B724="","Arabica",$B724))&amp;" - "&amp;(IF($C724="","Commercial",$C724))),Variables!$B$1:$D$1,0),1))*(AV724/365))+(INDEX(Variables!$B$8:$D$8,IFERROR(MATCH(IF($B724="Robusta","Robusta",(IF($B724="","Arabica",$B724))&amp;" - "&amp;(IF($C724="","Commercial",$C724))),Variables!$B$1:$D$1,0),1))*L724/16.67)),""))</f>
        <v>3.2527237469325425</v>
      </c>
      <c r="AX724" s="9"/>
      <c r="AY724" s="12"/>
      <c r="AZ724" s="10"/>
      <c r="BA724" s="9"/>
      <c r="BB724" s="10"/>
      <c r="BC724" s="9"/>
      <c r="BD724" s="9"/>
      <c r="BE724" s="9"/>
      <c r="BF724" s="9"/>
    </row>
    <row r="725" spans="1:58" x14ac:dyDescent="0.25">
      <c r="A725" s="9" t="s">
        <v>84</v>
      </c>
      <c r="B725" s="9" t="s">
        <v>85</v>
      </c>
      <c r="C725" s="9" t="s">
        <v>1486</v>
      </c>
      <c r="D725" s="10">
        <v>45372</v>
      </c>
      <c r="E725" s="10">
        <v>45413</v>
      </c>
      <c r="F725" s="10">
        <v>45443</v>
      </c>
      <c r="G725" s="9">
        <v>3786224</v>
      </c>
      <c r="H725" s="9" t="str">
        <f t="shared" si="73"/>
        <v>Closed</v>
      </c>
      <c r="I725" s="9" t="str">
        <f t="shared" si="74"/>
        <v>All dates received</v>
      </c>
      <c r="J725" s="9" t="s">
        <v>225</v>
      </c>
      <c r="K725" s="9">
        <v>4822</v>
      </c>
      <c r="L725" s="11">
        <v>10</v>
      </c>
      <c r="M725" s="9" t="s">
        <v>1647</v>
      </c>
      <c r="N725" s="9"/>
      <c r="O725" s="9"/>
      <c r="P725" s="9"/>
      <c r="Q725" s="11"/>
      <c r="R725" s="9" t="s">
        <v>195</v>
      </c>
      <c r="S725" s="9" t="s">
        <v>1627</v>
      </c>
      <c r="T725" s="12">
        <f>IF($H725="Cancelled","",IFERROR(((Q725+INDEX(Variables!$B$6:$D$6,IFERROR(MATCH(IF($B725="Robusta","Robusta",(IF($B725="","Arabica",$B725))&amp;" - "&amp;(IF($C725="","Commercial",$C725))),Variables!$B$1:$D$1,0),1)))*22.0462)*(L725/16.67),""))</f>
        <v>3845.8518056388721</v>
      </c>
      <c r="U725" s="10"/>
      <c r="V725" s="9" t="str">
        <f t="shared" si="76"/>
        <v/>
      </c>
      <c r="W725" s="10">
        <v>45397</v>
      </c>
      <c r="X725" s="9" t="str">
        <f t="shared" si="72"/>
        <v>Approved</v>
      </c>
      <c r="Y725" s="10">
        <v>45400</v>
      </c>
      <c r="Z725" s="10">
        <f>IF($H725="Cancelled","",IFERROR(IF(F725="","",F725-Variables!$B$13),""))</f>
        <v>45428</v>
      </c>
      <c r="AA725" s="11">
        <f>IF($H725="Cancelled","",IFERROR(IF(W725="","",(AVERAGE(E725:F725)-W725)-Variables!$B$14),""))</f>
        <v>1</v>
      </c>
      <c r="AB725" s="10">
        <v>45425</v>
      </c>
      <c r="AC725" s="11">
        <f>IF($H725="Cancelled","",IFERROR(IF(AB725="","",IF(AND(W725="",Y725=""),"",IF(Y725&gt;W725,Y725+Variables!$B$15+Variables!$B$16+Variables!$B$17-AB725,W725+Variables!$B$16+Variables!$B$17-AB725))),""))</f>
        <v>-10</v>
      </c>
      <c r="AD725" s="9" t="s">
        <v>107</v>
      </c>
      <c r="AE725" s="9" t="s">
        <v>174</v>
      </c>
      <c r="AF725" s="10"/>
      <c r="AG725" s="10"/>
      <c r="AH725" s="9"/>
      <c r="AI725" s="9" t="s">
        <v>1637</v>
      </c>
      <c r="AJ725" s="9" t="s">
        <v>1595</v>
      </c>
      <c r="AK725" s="10">
        <v>45439</v>
      </c>
      <c r="AL725" s="10">
        <v>45441</v>
      </c>
      <c r="AM725" s="10">
        <v>45453</v>
      </c>
      <c r="AN725" s="9" t="s">
        <v>1492</v>
      </c>
      <c r="AO725" s="9"/>
      <c r="AP725" s="11">
        <f>IF($H725="Cancelled","",IFERROR(IF(OR(AK725="",AB725=""),"",(AB725+Variables!$B$18-AK725)),""))</f>
        <v>-7</v>
      </c>
      <c r="AQ725" s="11">
        <f>IF($H725="Cancelled","",IFERROR(IF(OR(AM725="",AK725=""),"",(AK725+Variables!$B$19)-AM725),""))</f>
        <v>-9</v>
      </c>
      <c r="AR725" s="12">
        <f>IF($H725="Cancelled","",IFERROR(T725*INDEX(Variables!$B$7:$D$7,IFERROR(MATCH(IF($B725="Robusta","Robusta",(IF($B725="","Arabica",$B725))&amp;" - "&amp;(IF($C725="","Commercial",$C725))),Variables!$B$1:$D$1,0),1))*(AQ725/365),""))</f>
        <v>-6.1147968978468548</v>
      </c>
      <c r="AS725" s="12">
        <f>IF($H725="Cancelled","",IFERROR((T725*INDEX(Variables!$B$7:$D$7,IFERROR(MATCH(IF($B725="Robusta","Robusta",(IF($B725="","Arabica",$B725))&amp;" - "&amp;(IF($C725="","Commercial",$C725))),Variables!$B$1:$D$1,0),1))*IFERROR(IF(W725="","",(AVERAGE(E725:F725)-W725)-Variables!$B$14),"")/365)+(L725/16.67*INDEX(Variables!$B$8:$D$8,IFERROR(MATCH(IF($B725="Robusta","Robusta",(IF($B725="","Arabica",$B725))&amp;" - "&amp;(IF($C725="","Commercial",$C725))),Variables!$B$1:$D$1,0),1))*IFERROR(IF(W725="","",(AVERAGE(E725:F725)-W725)-Variables!$B$14),""))+(T725*INDEX(Variables!$B$9:$D$9,IFERROR(MATCH(IF($B725="Robusta","Robusta",(IF($B725="","Arabica",$B725))&amp;" - "&amp;(IF($C725="","Commercial",$C725))),Variables!$B$1:$D$1,0),1))*IFERROR(IF(W725="","",(AVERAGE(E725:F725)-W725)-Variables!$B$14),"")/365),""))</f>
        <v>1.1881809367331355</v>
      </c>
      <c r="AT725" s="12">
        <f>IF($H725="Cancelled","",IFERROR((T725*INDEX(Variables!$B$7:$D$7,IFERROR(MATCH(IF($B725="Robusta","Robusta",(IF($B725="","Arabica",$B725))&amp;" - "&amp;(IF($C725="","Commercial",$C725))),Variables!$B$1:$D$1,0),1))*AC725/365)+(L725/16.67*INDEX(Variables!$B$8:$D$8,IFERROR(MATCH(IF($B725="Robusta","Robusta",(IF($B725="","Arabica",$B725))&amp;" - "&amp;(IF($C725="","Commercial",$C725))),Variables!$B$1:$D$1,0),1))*AC725)+(T725*INDEX(Variables!$B$9:$D$9,IFERROR(MATCH(IF($B725="Robusta","Robusta",(IF($B725="","Arabica",$B725))&amp;" - "&amp;(IF($C725="","Commercial",$C725))),Variables!$B$1:$D$1,0),1))*AC725/365),""))</f>
        <v>-11.881809367331355</v>
      </c>
      <c r="AU725" s="12">
        <f>IF($H725="Cancelled","",IFERROR((T725*INDEX(Variables!$B$7:$D$7,IFERROR(MATCH(IF($B725="Robusta","Robusta",(IF($B725="","Arabica",$B725))&amp;" - "&amp;(IF($C725="","Commercial",$C725))),Variables!$B$1:$D$1,0),1))*AP725/365)+(L725/16.67*INDEX(Variables!$B$8:$D$8,IFERROR(MATCH(IF($B725="Robusta","Robusta",(IF($B725="","Arabica",$B725))&amp;" - "&amp;(IF($C725="","Commercial",$C725))),Variables!$B$1:$D$1,0),1))*AP725)+(T725*INDEX(Variables!$B$9:$D$9,IFERROR(MATCH(IF($B725="Robusta","Robusta",(IF($B725="","Arabica",$B725))&amp;" - "&amp;(IF($C725="","Commercial",$C725))),Variables!$B$1:$D$1,0),1))*AP725/365),""))</f>
        <v>-8.3172665571319495</v>
      </c>
      <c r="AV725" s="11">
        <f t="shared" si="75"/>
        <v>4</v>
      </c>
      <c r="AW725" s="12">
        <f>IF($H725="Cancelled","",IFERROR(IF(AV725="","",(T725*INDEX(Variables!$B$7:$D$7,IFERROR(MATCH(IF($B725="Robusta","Robusta",(IF($B725="","Arabica",$B725))&amp;" - "&amp;(IF($C725="","Commercial",$C725))),Variables!$B$1:$D$1,0),1))*(AV725/365))+(T725*INDEX(Variables!$B$9:$D$9,IFERROR(MATCH(IF($B725="Robusta","Robusta",(IF($B725="","Arabica",$B725))&amp;" - "&amp;(IF($C725="","Commercial",$C725))),Variables!$B$1:$D$1,0),1))*(AV725/365))+(INDEX(Variables!$B$8:$D$8,IFERROR(MATCH(IF($B725="Robusta","Robusta",(IF($B725="","Arabica",$B725))&amp;" - "&amp;(IF($C725="","Commercial",$C725))),Variables!$B$1:$D$1,0),1))*L725/16.67)),""))</f>
        <v>3.2527237469325425</v>
      </c>
      <c r="AX725" s="9"/>
      <c r="AY725" s="12"/>
      <c r="AZ725" s="10"/>
      <c r="BA725" s="9"/>
      <c r="BB725" s="10"/>
      <c r="BC725" s="9"/>
      <c r="BD725" s="9"/>
      <c r="BE725" s="9"/>
      <c r="BF725" s="9"/>
    </row>
    <row r="726" spans="1:58" x14ac:dyDescent="0.25">
      <c r="A726" s="9" t="s">
        <v>84</v>
      </c>
      <c r="B726" s="9" t="s">
        <v>85</v>
      </c>
      <c r="C726" s="9" t="s">
        <v>1486</v>
      </c>
      <c r="D726" s="10">
        <v>45372</v>
      </c>
      <c r="E726" s="10">
        <v>45413</v>
      </c>
      <c r="F726" s="10">
        <v>45443</v>
      </c>
      <c r="G726" s="9">
        <v>3786225</v>
      </c>
      <c r="H726" s="9" t="str">
        <f t="shared" si="73"/>
        <v>Closed</v>
      </c>
      <c r="I726" s="9" t="str">
        <f t="shared" si="74"/>
        <v>All dates received</v>
      </c>
      <c r="J726" s="9" t="s">
        <v>225</v>
      </c>
      <c r="K726" s="9">
        <v>4823</v>
      </c>
      <c r="L726" s="11">
        <v>10</v>
      </c>
      <c r="M726" s="9" t="s">
        <v>1648</v>
      </c>
      <c r="N726" s="9"/>
      <c r="O726" s="9"/>
      <c r="P726" s="9"/>
      <c r="Q726" s="11"/>
      <c r="R726" s="9" t="s">
        <v>195</v>
      </c>
      <c r="S726" s="9" t="s">
        <v>1627</v>
      </c>
      <c r="T726" s="12">
        <f>IF($H726="Cancelled","",IFERROR(((Q726+INDEX(Variables!$B$6:$D$6,IFERROR(MATCH(IF($B726="Robusta","Robusta",(IF($B726="","Arabica",$B726))&amp;" - "&amp;(IF($C726="","Commercial",$C726))),Variables!$B$1:$D$1,0),1)))*22.0462)*(L726/16.67),""))</f>
        <v>3845.8518056388721</v>
      </c>
      <c r="U726" s="10"/>
      <c r="V726" s="9" t="str">
        <f t="shared" si="76"/>
        <v/>
      </c>
      <c r="W726" s="10">
        <v>45397</v>
      </c>
      <c r="X726" s="9" t="str">
        <f t="shared" si="72"/>
        <v>Approved</v>
      </c>
      <c r="Y726" s="10">
        <v>45400</v>
      </c>
      <c r="Z726" s="10">
        <f>IF($H726="Cancelled","",IFERROR(IF(F726="","",F726-Variables!$B$13),""))</f>
        <v>45428</v>
      </c>
      <c r="AA726" s="11">
        <f>IF($H726="Cancelled","",IFERROR(IF(W726="","",(AVERAGE(E726:F726)-W726)-Variables!$B$14),""))</f>
        <v>1</v>
      </c>
      <c r="AB726" s="10">
        <v>45425</v>
      </c>
      <c r="AC726" s="11">
        <f>IF($H726="Cancelled","",IFERROR(IF(AB726="","",IF(AND(W726="",Y726=""),"",IF(Y726&gt;W726,Y726+Variables!$B$15+Variables!$B$16+Variables!$B$17-AB726,W726+Variables!$B$16+Variables!$B$17-AB726))),""))</f>
        <v>-10</v>
      </c>
      <c r="AD726" s="9" t="s">
        <v>107</v>
      </c>
      <c r="AE726" s="9" t="s">
        <v>174</v>
      </c>
      <c r="AF726" s="10"/>
      <c r="AG726" s="10"/>
      <c r="AH726" s="9"/>
      <c r="AI726" s="9" t="s">
        <v>1637</v>
      </c>
      <c r="AJ726" s="9" t="s">
        <v>1595</v>
      </c>
      <c r="AK726" s="10">
        <v>45439</v>
      </c>
      <c r="AL726" s="10">
        <v>45441</v>
      </c>
      <c r="AM726" s="10">
        <v>45453</v>
      </c>
      <c r="AN726" s="9" t="s">
        <v>1492</v>
      </c>
      <c r="AO726" s="9"/>
      <c r="AP726" s="11">
        <f>IF($H726="Cancelled","",IFERROR(IF(OR(AK726="",AB726=""),"",(AB726+Variables!$B$18-AK726)),""))</f>
        <v>-7</v>
      </c>
      <c r="AQ726" s="11">
        <f>IF($H726="Cancelled","",IFERROR(IF(OR(AM726="",AK726=""),"",(AK726+Variables!$B$19)-AM726),""))</f>
        <v>-9</v>
      </c>
      <c r="AR726" s="12">
        <f>IF($H726="Cancelled","",IFERROR(T726*INDEX(Variables!$B$7:$D$7,IFERROR(MATCH(IF($B726="Robusta","Robusta",(IF($B726="","Arabica",$B726))&amp;" - "&amp;(IF($C726="","Commercial",$C726))),Variables!$B$1:$D$1,0),1))*(AQ726/365),""))</f>
        <v>-6.1147968978468548</v>
      </c>
      <c r="AS726" s="12">
        <f>IF($H726="Cancelled","",IFERROR((T726*INDEX(Variables!$B$7:$D$7,IFERROR(MATCH(IF($B726="Robusta","Robusta",(IF($B726="","Arabica",$B726))&amp;" - "&amp;(IF($C726="","Commercial",$C726))),Variables!$B$1:$D$1,0),1))*IFERROR(IF(W726="","",(AVERAGE(E726:F726)-W726)-Variables!$B$14),"")/365)+(L726/16.67*INDEX(Variables!$B$8:$D$8,IFERROR(MATCH(IF($B726="Robusta","Robusta",(IF($B726="","Arabica",$B726))&amp;" - "&amp;(IF($C726="","Commercial",$C726))),Variables!$B$1:$D$1,0),1))*IFERROR(IF(W726="","",(AVERAGE(E726:F726)-W726)-Variables!$B$14),""))+(T726*INDEX(Variables!$B$9:$D$9,IFERROR(MATCH(IF($B726="Robusta","Robusta",(IF($B726="","Arabica",$B726))&amp;" - "&amp;(IF($C726="","Commercial",$C726))),Variables!$B$1:$D$1,0),1))*IFERROR(IF(W726="","",(AVERAGE(E726:F726)-W726)-Variables!$B$14),"")/365),""))</f>
        <v>1.1881809367331355</v>
      </c>
      <c r="AT726" s="12">
        <f>IF($H726="Cancelled","",IFERROR((T726*INDEX(Variables!$B$7:$D$7,IFERROR(MATCH(IF($B726="Robusta","Robusta",(IF($B726="","Arabica",$B726))&amp;" - "&amp;(IF($C726="","Commercial",$C726))),Variables!$B$1:$D$1,0),1))*AC726/365)+(L726/16.67*INDEX(Variables!$B$8:$D$8,IFERROR(MATCH(IF($B726="Robusta","Robusta",(IF($B726="","Arabica",$B726))&amp;" - "&amp;(IF($C726="","Commercial",$C726))),Variables!$B$1:$D$1,0),1))*AC726)+(T726*INDEX(Variables!$B$9:$D$9,IFERROR(MATCH(IF($B726="Robusta","Robusta",(IF($B726="","Arabica",$B726))&amp;" - "&amp;(IF($C726="","Commercial",$C726))),Variables!$B$1:$D$1,0),1))*AC726/365),""))</f>
        <v>-11.881809367331355</v>
      </c>
      <c r="AU726" s="12">
        <f>IF($H726="Cancelled","",IFERROR((T726*INDEX(Variables!$B$7:$D$7,IFERROR(MATCH(IF($B726="Robusta","Robusta",(IF($B726="","Arabica",$B726))&amp;" - "&amp;(IF($C726="","Commercial",$C726))),Variables!$B$1:$D$1,0),1))*AP726/365)+(L726/16.67*INDEX(Variables!$B$8:$D$8,IFERROR(MATCH(IF($B726="Robusta","Robusta",(IF($B726="","Arabica",$B726))&amp;" - "&amp;(IF($C726="","Commercial",$C726))),Variables!$B$1:$D$1,0),1))*AP726)+(T726*INDEX(Variables!$B$9:$D$9,IFERROR(MATCH(IF($B726="Robusta","Robusta",(IF($B726="","Arabica",$B726))&amp;" - "&amp;(IF($C726="","Commercial",$C726))),Variables!$B$1:$D$1,0),1))*AP726/365),""))</f>
        <v>-8.3172665571319495</v>
      </c>
      <c r="AV726" s="11">
        <f t="shared" si="75"/>
        <v>4</v>
      </c>
      <c r="AW726" s="12">
        <f>IF($H726="Cancelled","",IFERROR(IF(AV726="","",(T726*INDEX(Variables!$B$7:$D$7,IFERROR(MATCH(IF($B726="Robusta","Robusta",(IF($B726="","Arabica",$B726))&amp;" - "&amp;(IF($C726="","Commercial",$C726))),Variables!$B$1:$D$1,0),1))*(AV726/365))+(T726*INDEX(Variables!$B$9:$D$9,IFERROR(MATCH(IF($B726="Robusta","Robusta",(IF($B726="","Arabica",$B726))&amp;" - "&amp;(IF($C726="","Commercial",$C726))),Variables!$B$1:$D$1,0),1))*(AV726/365))+(INDEX(Variables!$B$8:$D$8,IFERROR(MATCH(IF($B726="Robusta","Robusta",(IF($B726="","Arabica",$B726))&amp;" - "&amp;(IF($C726="","Commercial",$C726))),Variables!$B$1:$D$1,0),1))*L726/16.67)),""))</f>
        <v>3.2527237469325425</v>
      </c>
      <c r="AX726" s="9"/>
      <c r="AY726" s="12"/>
      <c r="AZ726" s="10"/>
      <c r="BA726" s="9"/>
      <c r="BB726" s="10"/>
      <c r="BC726" s="9"/>
      <c r="BD726" s="9"/>
      <c r="BE726" s="9"/>
      <c r="BF726" s="9"/>
    </row>
    <row r="727" spans="1:58" x14ac:dyDescent="0.25">
      <c r="A727" s="9" t="s">
        <v>84</v>
      </c>
      <c r="B727" s="9" t="s">
        <v>85</v>
      </c>
      <c r="C727" s="9" t="s">
        <v>1486</v>
      </c>
      <c r="D727" s="10">
        <v>45372</v>
      </c>
      <c r="E727" s="10">
        <v>45413</v>
      </c>
      <c r="F727" s="10">
        <v>45443</v>
      </c>
      <c r="G727" s="9">
        <v>3786227</v>
      </c>
      <c r="H727" s="9" t="str">
        <f t="shared" si="73"/>
        <v>Closed</v>
      </c>
      <c r="I727" s="9" t="str">
        <f t="shared" si="74"/>
        <v>All dates received</v>
      </c>
      <c r="J727" s="9" t="s">
        <v>225</v>
      </c>
      <c r="K727" s="9">
        <v>4825</v>
      </c>
      <c r="L727" s="11">
        <v>15</v>
      </c>
      <c r="M727" s="9" t="s">
        <v>1649</v>
      </c>
      <c r="N727" s="9"/>
      <c r="O727" s="9"/>
      <c r="P727" s="9"/>
      <c r="Q727" s="11"/>
      <c r="R727" s="9" t="s">
        <v>195</v>
      </c>
      <c r="S727" s="9" t="s">
        <v>1627</v>
      </c>
      <c r="T727" s="12">
        <f>IF($H727="Cancelled","",IFERROR(((Q727+INDEX(Variables!$B$6:$D$6,IFERROR(MATCH(IF($B727="Robusta","Robusta",(IF($B727="","Arabica",$B727))&amp;" - "&amp;(IF($C727="","Commercial",$C727))),Variables!$B$1:$D$1,0),1)))*22.0462)*(L727/16.67),""))</f>
        <v>5768.7777084583076</v>
      </c>
      <c r="U727" s="10"/>
      <c r="V727" s="9" t="str">
        <f t="shared" si="76"/>
        <v/>
      </c>
      <c r="W727" s="10">
        <v>45397</v>
      </c>
      <c r="X727" s="9" t="str">
        <f t="shared" si="72"/>
        <v>Approved</v>
      </c>
      <c r="Y727" s="10">
        <v>45400</v>
      </c>
      <c r="Z727" s="10">
        <f>IF($H727="Cancelled","",IFERROR(IF(F727="","",F727-Variables!$B$13),""))</f>
        <v>45428</v>
      </c>
      <c r="AA727" s="11">
        <f>IF($H727="Cancelled","",IFERROR(IF(W727="","",(AVERAGE(E727:F727)-W727)-Variables!$B$14),""))</f>
        <v>1</v>
      </c>
      <c r="AB727" s="10">
        <v>45425</v>
      </c>
      <c r="AC727" s="11">
        <f>IF($H727="Cancelled","",IFERROR(IF(AB727="","",IF(AND(W727="",Y727=""),"",IF(Y727&gt;W727,Y727+Variables!$B$15+Variables!$B$16+Variables!$B$17-AB727,W727+Variables!$B$16+Variables!$B$17-AB727))),""))</f>
        <v>-10</v>
      </c>
      <c r="AD727" s="9" t="s">
        <v>107</v>
      </c>
      <c r="AE727" s="9" t="s">
        <v>174</v>
      </c>
      <c r="AF727" s="10"/>
      <c r="AG727" s="10"/>
      <c r="AH727" s="9"/>
      <c r="AI727" s="9" t="s">
        <v>1637</v>
      </c>
      <c r="AJ727" s="9" t="s">
        <v>1595</v>
      </c>
      <c r="AK727" s="10">
        <v>45439</v>
      </c>
      <c r="AL727" s="10">
        <v>45441</v>
      </c>
      <c r="AM727" s="10">
        <v>45453</v>
      </c>
      <c r="AN727" s="9" t="s">
        <v>1492</v>
      </c>
      <c r="AO727" s="9"/>
      <c r="AP727" s="11">
        <f>IF($H727="Cancelled","",IFERROR(IF(OR(AK727="",AB727=""),"",(AB727+Variables!$B$18-AK727)),""))</f>
        <v>-7</v>
      </c>
      <c r="AQ727" s="11">
        <f>IF($H727="Cancelled","",IFERROR(IF(OR(AM727="",AK727=""),"",(AK727+Variables!$B$19)-AM727),""))</f>
        <v>-9</v>
      </c>
      <c r="AR727" s="12">
        <f>IF($H727="Cancelled","",IFERROR(T727*INDEX(Variables!$B$7:$D$7,IFERROR(MATCH(IF($B727="Robusta","Robusta",(IF($B727="","Arabica",$B727))&amp;" - "&amp;(IF($C727="","Commercial",$C727))),Variables!$B$1:$D$1,0),1))*(AQ727/365),""))</f>
        <v>-9.1721953467702821</v>
      </c>
      <c r="AS727" s="12">
        <f>IF($H727="Cancelled","",IFERROR((T727*INDEX(Variables!$B$7:$D$7,IFERROR(MATCH(IF($B727="Robusta","Robusta",(IF($B727="","Arabica",$B727))&amp;" - "&amp;(IF($C727="","Commercial",$C727))),Variables!$B$1:$D$1,0),1))*IFERROR(IF(W727="","",(AVERAGE(E727:F727)-W727)-Variables!$B$14),"")/365)+(L727/16.67*INDEX(Variables!$B$8:$D$8,IFERROR(MATCH(IF($B727="Robusta","Robusta",(IF($B727="","Arabica",$B727))&amp;" - "&amp;(IF($C727="","Commercial",$C727))),Variables!$B$1:$D$1,0),1))*IFERROR(IF(W727="","",(AVERAGE(E727:F727)-W727)-Variables!$B$14),""))+(T727*INDEX(Variables!$B$9:$D$9,IFERROR(MATCH(IF($B727="Robusta","Robusta",(IF($B727="","Arabica",$B727))&amp;" - "&amp;(IF($C727="","Commercial",$C727))),Variables!$B$1:$D$1,0),1))*IFERROR(IF(W727="","",(AVERAGE(E727:F727)-W727)-Variables!$B$14),"")/365),""))</f>
        <v>1.7822714050997033</v>
      </c>
      <c r="AT727" s="12">
        <f>IF($H727="Cancelled","",IFERROR((T727*INDEX(Variables!$B$7:$D$7,IFERROR(MATCH(IF($B727="Robusta","Robusta",(IF($B727="","Arabica",$B727))&amp;" - "&amp;(IF($C727="","Commercial",$C727))),Variables!$B$1:$D$1,0),1))*AC727/365)+(L727/16.67*INDEX(Variables!$B$8:$D$8,IFERROR(MATCH(IF($B727="Robusta","Robusta",(IF($B727="","Arabica",$B727))&amp;" - "&amp;(IF($C727="","Commercial",$C727))),Variables!$B$1:$D$1,0),1))*AC727)+(T727*INDEX(Variables!$B$9:$D$9,IFERROR(MATCH(IF($B727="Robusta","Robusta",(IF($B727="","Arabica",$B727))&amp;" - "&amp;(IF($C727="","Commercial",$C727))),Variables!$B$1:$D$1,0),1))*AC727/365),""))</f>
        <v>-17.822714050997032</v>
      </c>
      <c r="AU727" s="12">
        <f>IF($H727="Cancelled","",IFERROR((T727*INDEX(Variables!$B$7:$D$7,IFERROR(MATCH(IF($B727="Robusta","Robusta",(IF($B727="","Arabica",$B727))&amp;" - "&amp;(IF($C727="","Commercial",$C727))),Variables!$B$1:$D$1,0),1))*AP727/365)+(L727/16.67*INDEX(Variables!$B$8:$D$8,IFERROR(MATCH(IF($B727="Robusta","Robusta",(IF($B727="","Arabica",$B727))&amp;" - "&amp;(IF($C727="","Commercial",$C727))),Variables!$B$1:$D$1,0),1))*AP727)+(T727*INDEX(Variables!$B$9:$D$9,IFERROR(MATCH(IF($B727="Robusta","Robusta",(IF($B727="","Arabica",$B727))&amp;" - "&amp;(IF($C727="","Commercial",$C727))),Variables!$B$1:$D$1,0),1))*AP727/365),""))</f>
        <v>-12.475899835697923</v>
      </c>
      <c r="AV727" s="11">
        <f t="shared" si="75"/>
        <v>4</v>
      </c>
      <c r="AW727" s="12">
        <f>IF($H727="Cancelled","",IFERROR(IF(AV727="","",(T727*INDEX(Variables!$B$7:$D$7,IFERROR(MATCH(IF($B727="Robusta","Robusta",(IF($B727="","Arabica",$B727))&amp;" - "&amp;(IF($C727="","Commercial",$C727))),Variables!$B$1:$D$1,0),1))*(AV727/365))+(T727*INDEX(Variables!$B$9:$D$9,IFERROR(MATCH(IF($B727="Robusta","Robusta",(IF($B727="","Arabica",$B727))&amp;" - "&amp;(IF($C727="","Commercial",$C727))),Variables!$B$1:$D$1,0),1))*(AV727/365))+(INDEX(Variables!$B$8:$D$8,IFERROR(MATCH(IF($B727="Robusta","Robusta",(IF($B727="","Arabica",$B727))&amp;" - "&amp;(IF($C727="","Commercial",$C727))),Variables!$B$1:$D$1,0),1))*L727/16.67)),""))</f>
        <v>4.8790856203988131</v>
      </c>
      <c r="AX727" s="9"/>
      <c r="AY727" s="12"/>
      <c r="AZ727" s="10"/>
      <c r="BA727" s="9"/>
      <c r="BB727" s="10"/>
      <c r="BC727" s="9"/>
      <c r="BD727" s="9"/>
      <c r="BE727" s="9"/>
      <c r="BF727" s="9"/>
    </row>
    <row r="728" spans="1:58" x14ac:dyDescent="0.25">
      <c r="A728" s="9" t="s">
        <v>84</v>
      </c>
      <c r="B728" s="9" t="s">
        <v>85</v>
      </c>
      <c r="C728" s="9" t="s">
        <v>1486</v>
      </c>
      <c r="D728" s="10">
        <v>45372</v>
      </c>
      <c r="E728" s="10">
        <v>45413</v>
      </c>
      <c r="F728" s="10">
        <v>45443</v>
      </c>
      <c r="G728" s="9">
        <v>3786215</v>
      </c>
      <c r="H728" s="9" t="str">
        <f t="shared" si="73"/>
        <v>Closed</v>
      </c>
      <c r="I728" s="9" t="str">
        <f t="shared" si="74"/>
        <v>All dates received</v>
      </c>
      <c r="J728" s="9" t="s">
        <v>225</v>
      </c>
      <c r="K728" s="9">
        <v>4813</v>
      </c>
      <c r="L728" s="11">
        <v>105</v>
      </c>
      <c r="M728" s="9" t="s">
        <v>1650</v>
      </c>
      <c r="N728" s="9"/>
      <c r="O728" s="9"/>
      <c r="P728" s="9"/>
      <c r="Q728" s="11"/>
      <c r="R728" s="9" t="s">
        <v>195</v>
      </c>
      <c r="S728" s="9" t="s">
        <v>1627</v>
      </c>
      <c r="T728" s="12">
        <f>IF($H728="Cancelled","",IFERROR(((Q728+INDEX(Variables!$B$6:$D$6,IFERROR(MATCH(IF($B728="Robusta","Robusta",(IF($B728="","Arabica",$B728))&amp;" - "&amp;(IF($C728="","Commercial",$C728))),Variables!$B$1:$D$1,0),1)))*22.0462)*(L728/16.67),""))</f>
        <v>40381.443959208154</v>
      </c>
      <c r="U728" s="10"/>
      <c r="V728" s="9" t="str">
        <f t="shared" si="76"/>
        <v/>
      </c>
      <c r="W728" s="10">
        <v>45397</v>
      </c>
      <c r="X728" s="9" t="str">
        <f t="shared" si="72"/>
        <v>Approved</v>
      </c>
      <c r="Y728" s="10">
        <v>45400</v>
      </c>
      <c r="Z728" s="10">
        <f>IF($H728="Cancelled","",IFERROR(IF(F728="","",F728-Variables!$B$13),""))</f>
        <v>45428</v>
      </c>
      <c r="AA728" s="11">
        <f>IF($H728="Cancelled","",IFERROR(IF(W728="","",(AVERAGE(E728:F728)-W728)-Variables!$B$14),""))</f>
        <v>1</v>
      </c>
      <c r="AB728" s="10">
        <v>45471</v>
      </c>
      <c r="AC728" s="11">
        <f>IF($H728="Cancelled","",IFERROR(IF(AB728="","",IF(AND(W728="",Y728=""),"",IF(Y728&gt;W728,Y728+Variables!$B$15+Variables!$B$16+Variables!$B$17-AB728,W728+Variables!$B$16+Variables!$B$17-AB728))),""))</f>
        <v>-56</v>
      </c>
      <c r="AD728" s="9" t="s">
        <v>107</v>
      </c>
      <c r="AE728" s="9" t="s">
        <v>364</v>
      </c>
      <c r="AF728" s="10"/>
      <c r="AG728" s="10"/>
      <c r="AH728" s="9"/>
      <c r="AI728" s="9" t="s">
        <v>1512</v>
      </c>
      <c r="AJ728" s="9" t="s">
        <v>511</v>
      </c>
      <c r="AK728" s="10">
        <v>45491</v>
      </c>
      <c r="AL728" s="10">
        <v>45495</v>
      </c>
      <c r="AM728" s="10">
        <v>45510</v>
      </c>
      <c r="AN728" s="9" t="s">
        <v>1492</v>
      </c>
      <c r="AO728" s="9"/>
      <c r="AP728" s="11">
        <f>IF($H728="Cancelled","",IFERROR(IF(OR(AK728="",AB728=""),"",(AB728+Variables!$B$18-AK728)),""))</f>
        <v>-13</v>
      </c>
      <c r="AQ728" s="11">
        <f>IF($H728="Cancelled","",IFERROR(IF(OR(AM728="",AK728=""),"",(AK728+Variables!$B$19)-AM728),""))</f>
        <v>-14</v>
      </c>
      <c r="AR728" s="12">
        <f>IF($H728="Cancelled","",IFERROR(T728*INDEX(Variables!$B$7:$D$7,IFERROR(MATCH(IF($B728="Robusta","Robusta",(IF($B728="","Arabica",$B728))&amp;" - "&amp;(IF($C728="","Commercial",$C728))),Variables!$B$1:$D$1,0),1))*(AQ728/365),""))</f>
        <v>-99.875015998165296</v>
      </c>
      <c r="AS728" s="12">
        <f>IF($H728="Cancelled","",IFERROR((T728*INDEX(Variables!$B$7:$D$7,IFERROR(MATCH(IF($B728="Robusta","Robusta",(IF($B728="","Arabica",$B728))&amp;" - "&amp;(IF($C728="","Commercial",$C728))),Variables!$B$1:$D$1,0),1))*IFERROR(IF(W728="","",(AVERAGE(E728:F728)-W728)-Variables!$B$14),"")/365)+(L728/16.67*INDEX(Variables!$B$8:$D$8,IFERROR(MATCH(IF($B728="Robusta","Robusta",(IF($B728="","Arabica",$B728))&amp;" - "&amp;(IF($C728="","Commercial",$C728))),Variables!$B$1:$D$1,0),1))*IFERROR(IF(W728="","",(AVERAGE(E728:F728)-W728)-Variables!$B$14),""))+(T728*INDEX(Variables!$B$9:$D$9,IFERROR(MATCH(IF($B728="Robusta","Robusta",(IF($B728="","Arabica",$B728))&amp;" - "&amp;(IF($C728="","Commercial",$C728))),Variables!$B$1:$D$1,0),1))*IFERROR(IF(W728="","",(AVERAGE(E728:F728)-W728)-Variables!$B$14),"")/365),""))</f>
        <v>12.475899835697923</v>
      </c>
      <c r="AT728" s="12">
        <f>IF($H728="Cancelled","",IFERROR((T728*INDEX(Variables!$B$7:$D$7,IFERROR(MATCH(IF($B728="Robusta","Robusta",(IF($B728="","Arabica",$B728))&amp;" - "&amp;(IF($C728="","Commercial",$C728))),Variables!$B$1:$D$1,0),1))*AC728/365)+(L728/16.67*INDEX(Variables!$B$8:$D$8,IFERROR(MATCH(IF($B728="Robusta","Robusta",(IF($B728="","Arabica",$B728))&amp;" - "&amp;(IF($C728="","Commercial",$C728))),Variables!$B$1:$D$1,0),1))*AC728)+(T728*INDEX(Variables!$B$9:$D$9,IFERROR(MATCH(IF($B728="Robusta","Robusta",(IF($B728="","Arabica",$B728))&amp;" - "&amp;(IF($C728="","Commercial",$C728))),Variables!$B$1:$D$1,0),1))*AC728/365),""))</f>
        <v>-698.65039079908365</v>
      </c>
      <c r="AU728" s="12">
        <f>IF($H728="Cancelled","",IFERROR((T728*INDEX(Variables!$B$7:$D$7,IFERROR(MATCH(IF($B728="Robusta","Robusta",(IF($B728="","Arabica",$B728))&amp;" - "&amp;(IF($C728="","Commercial",$C728))),Variables!$B$1:$D$1,0),1))*AP728/365)+(L728/16.67*INDEX(Variables!$B$8:$D$8,IFERROR(MATCH(IF($B728="Robusta","Robusta",(IF($B728="","Arabica",$B728))&amp;" - "&amp;(IF($C728="","Commercial",$C728))),Variables!$B$1:$D$1,0),1))*AP728)+(T728*INDEX(Variables!$B$9:$D$9,IFERROR(MATCH(IF($B728="Robusta","Robusta",(IF($B728="","Arabica",$B728))&amp;" - "&amp;(IF($C728="","Commercial",$C728))),Variables!$B$1:$D$1,0),1))*AP728/365),""))</f>
        <v>-162.18669786407301</v>
      </c>
      <c r="AV728" s="11">
        <f t="shared" si="75"/>
        <v>-48</v>
      </c>
      <c r="AW728" s="12">
        <f>IF($H728="Cancelled","",IFERROR(IF(AV728="","",(T728*INDEX(Variables!$B$7:$D$7,IFERROR(MATCH(IF($B728="Robusta","Robusta",(IF($B728="","Arabica",$B728))&amp;" - "&amp;(IF($C728="","Commercial",$C728))),Variables!$B$1:$D$1,0),1))*(AV728/365))+(T728*INDEX(Variables!$B$9:$D$9,IFERROR(MATCH(IF($B728="Robusta","Robusta",(IF($B728="","Arabica",$B728))&amp;" - "&amp;(IF($C728="","Commercial",$C728))),Variables!$B$1:$D$1,0),1))*(AV728/365))+(INDEX(Variables!$B$8:$D$8,IFERROR(MATCH(IF($B728="Robusta","Robusta",(IF($B728="","Arabica",$B728))&amp;" - "&amp;(IF($C728="","Commercial",$C728))),Variables!$B$1:$D$1,0),1))*L728/16.67)),""))</f>
        <v>-341.59319211350032</v>
      </c>
      <c r="AX728" s="9"/>
      <c r="AY728" s="12"/>
      <c r="AZ728" s="10"/>
      <c r="BA728" s="9"/>
      <c r="BB728" s="10"/>
      <c r="BC728" s="9"/>
      <c r="BD728" s="9"/>
      <c r="BE728" s="9"/>
      <c r="BF728" s="9"/>
    </row>
    <row r="729" spans="1:58" x14ac:dyDescent="0.25">
      <c r="A729" s="9" t="s">
        <v>84</v>
      </c>
      <c r="B729" s="9" t="s">
        <v>85</v>
      </c>
      <c r="C729" s="9" t="s">
        <v>1486</v>
      </c>
      <c r="D729" s="10">
        <v>45376</v>
      </c>
      <c r="E729" s="10">
        <v>45413</v>
      </c>
      <c r="F729" s="10">
        <v>45443</v>
      </c>
      <c r="G729" s="9">
        <v>3786251</v>
      </c>
      <c r="H729" s="9" t="str">
        <f t="shared" si="73"/>
        <v>Open</v>
      </c>
      <c r="I729" s="9" t="str">
        <f t="shared" si="74"/>
        <v>No sailing date and No shipping advice sent and No docs dispatch date</v>
      </c>
      <c r="J729" s="9" t="s">
        <v>257</v>
      </c>
      <c r="K729" s="9"/>
      <c r="L729" s="11">
        <v>2</v>
      </c>
      <c r="M729" s="9" t="s">
        <v>1651</v>
      </c>
      <c r="N729" s="9"/>
      <c r="O729" s="9"/>
      <c r="P729" s="9"/>
      <c r="Q729" s="11"/>
      <c r="R729" s="9" t="s">
        <v>90</v>
      </c>
      <c r="S729" s="9"/>
      <c r="T729" s="12">
        <f>IF($H729="Cancelled","",IFERROR(((Q729+INDEX(Variables!$B$6:$D$6,IFERROR(MATCH(IF($B729="Robusta","Robusta",(IF($B729="","Arabica",$B729))&amp;" - "&amp;(IF($C729="","Commercial",$C729))),Variables!$B$1:$D$1,0),1)))*22.0462)*(L729/16.67),""))</f>
        <v>769.1703611277743</v>
      </c>
      <c r="U729" s="10"/>
      <c r="V729" s="9" t="str">
        <f t="shared" si="76"/>
        <v/>
      </c>
      <c r="W729" s="10"/>
      <c r="X729" s="9" t="str">
        <f t="shared" si="72"/>
        <v/>
      </c>
      <c r="Y729" s="10"/>
      <c r="Z729" s="10">
        <f>IF($H729="Cancelled","",IFERROR(IF(F729="","",F729-Variables!$B$13),""))</f>
        <v>45428</v>
      </c>
      <c r="AA729" s="11" t="str">
        <f>IF($H729="Cancelled","",IFERROR(IF(W729="","",(AVERAGE(E729:F729)-W729)-Variables!$B$14),""))</f>
        <v/>
      </c>
      <c r="AB729" s="10"/>
      <c r="AC729" s="11" t="str">
        <f>IF($H729="Cancelled","",IFERROR(IF(AB729="","",IF(AND(W729="",Y729=""),"",IF(Y729&gt;W729,Y729+Variables!$B$15+Variables!$B$16+Variables!$B$17-AB729,W729+Variables!$B$16+Variables!$B$17-AB729))),""))</f>
        <v/>
      </c>
      <c r="AD729" s="9"/>
      <c r="AE729" s="9"/>
      <c r="AF729" s="10"/>
      <c r="AG729" s="10"/>
      <c r="AH729" s="9"/>
      <c r="AI729" s="9"/>
      <c r="AJ729" s="9"/>
      <c r="AK729" s="10"/>
      <c r="AL729" s="10"/>
      <c r="AM729" s="10"/>
      <c r="AN729" s="9" t="s">
        <v>1652</v>
      </c>
      <c r="AO729" s="9"/>
      <c r="AP729" s="11" t="str">
        <f>IF($H729="Cancelled","",IFERROR(IF(OR(AK729="",AB729=""),"",(AB729+Variables!$B$18-AK729)),""))</f>
        <v/>
      </c>
      <c r="AQ729" s="11" t="str">
        <f>IF($H729="Cancelled","",IFERROR(IF(OR(AM729="",AK729=""),"",(AK729+Variables!$B$19)-AM729),""))</f>
        <v/>
      </c>
      <c r="AR729" s="12" t="str">
        <f>IF($H729="Cancelled","",IFERROR(T729*INDEX(Variables!$B$7:$D$7,IFERROR(MATCH(IF($B729="Robusta","Robusta",(IF($B729="","Arabica",$B729))&amp;" - "&amp;(IF($C729="","Commercial",$C729))),Variables!$B$1:$D$1,0),1))*(AQ729/365),""))</f>
        <v/>
      </c>
      <c r="AS729" s="12" t="str">
        <f>IF($H729="Cancelled","",IFERROR((T729*INDEX(Variables!$B$7:$D$7,IFERROR(MATCH(IF($B729="Robusta","Robusta",(IF($B729="","Arabica",$B729))&amp;" - "&amp;(IF($C729="","Commercial",$C729))),Variables!$B$1:$D$1,0),1))*IFERROR(IF(W729="","",(AVERAGE(E729:F729)-W729)-Variables!$B$14),"")/365)+(L729/16.67*INDEX(Variables!$B$8:$D$8,IFERROR(MATCH(IF($B729="Robusta","Robusta",(IF($B729="","Arabica",$B729))&amp;" - "&amp;(IF($C729="","Commercial",$C729))),Variables!$B$1:$D$1,0),1))*IFERROR(IF(W729="","",(AVERAGE(E729:F729)-W729)-Variables!$B$14),""))+(T729*INDEX(Variables!$B$9:$D$9,IFERROR(MATCH(IF($B729="Robusta","Robusta",(IF($B729="","Arabica",$B729))&amp;" - "&amp;(IF($C729="","Commercial",$C729))),Variables!$B$1:$D$1,0),1))*IFERROR(IF(W729="","",(AVERAGE(E729:F729)-W729)-Variables!$B$14),"")/365),""))</f>
        <v/>
      </c>
      <c r="AT729" s="12" t="str">
        <f>IF($H729="Cancelled","",IFERROR((T729*INDEX(Variables!$B$7:$D$7,IFERROR(MATCH(IF($B729="Robusta","Robusta",(IF($B729="","Arabica",$B729))&amp;" - "&amp;(IF($C729="","Commercial",$C729))),Variables!$B$1:$D$1,0),1))*AC729/365)+(L729/16.67*INDEX(Variables!$B$8:$D$8,IFERROR(MATCH(IF($B729="Robusta","Robusta",(IF($B729="","Arabica",$B729))&amp;" - "&amp;(IF($C729="","Commercial",$C729))),Variables!$B$1:$D$1,0),1))*AC729)+(T729*INDEX(Variables!$B$9:$D$9,IFERROR(MATCH(IF($B729="Robusta","Robusta",(IF($B729="","Arabica",$B729))&amp;" - "&amp;(IF($C729="","Commercial",$C729))),Variables!$B$1:$D$1,0),1))*AC729/365),""))</f>
        <v/>
      </c>
      <c r="AU729" s="12" t="str">
        <f>IF($H729="Cancelled","",IFERROR((T729*INDEX(Variables!$B$7:$D$7,IFERROR(MATCH(IF($B729="Robusta","Robusta",(IF($B729="","Arabica",$B729))&amp;" - "&amp;(IF($C729="","Commercial",$C729))),Variables!$B$1:$D$1,0),1))*AP729/365)+(L729/16.67*INDEX(Variables!$B$8:$D$8,IFERROR(MATCH(IF($B729="Robusta","Robusta",(IF($B729="","Arabica",$B729))&amp;" - "&amp;(IF($C729="","Commercial",$C729))),Variables!$B$1:$D$1,0),1))*AP729)+(T729*INDEX(Variables!$B$9:$D$9,IFERROR(MATCH(IF($B729="Robusta","Robusta",(IF($B729="","Arabica",$B729))&amp;" - "&amp;(IF($C729="","Commercial",$C729))),Variables!$B$1:$D$1,0),1))*AP729/365),""))</f>
        <v/>
      </c>
      <c r="AV729" s="11" t="str">
        <f t="shared" si="75"/>
        <v/>
      </c>
      <c r="AW729" s="12" t="str">
        <f>IF($H729="Cancelled","",IFERROR(IF(AV729="","",(T729*INDEX(Variables!$B$7:$D$7,IFERROR(MATCH(IF($B729="Robusta","Robusta",(IF($B729="","Arabica",$B729))&amp;" - "&amp;(IF($C729="","Commercial",$C729))),Variables!$B$1:$D$1,0),1))*(AV729/365))+(T729*INDEX(Variables!$B$9:$D$9,IFERROR(MATCH(IF($B729="Robusta","Robusta",(IF($B729="","Arabica",$B729))&amp;" - "&amp;(IF($C729="","Commercial",$C729))),Variables!$B$1:$D$1,0),1))*(AV729/365))+(INDEX(Variables!$B$8:$D$8,IFERROR(MATCH(IF($B729="Robusta","Robusta",(IF($B729="","Arabica",$B729))&amp;" - "&amp;(IF($C729="","Commercial",$C729))),Variables!$B$1:$D$1,0),1))*L729/16.67)),""))</f>
        <v/>
      </c>
      <c r="AX729" s="9"/>
      <c r="AY729" s="12"/>
      <c r="AZ729" s="10"/>
      <c r="BA729" s="9"/>
      <c r="BB729" s="10"/>
      <c r="BC729" s="9"/>
      <c r="BD729" s="9"/>
      <c r="BE729" s="9"/>
      <c r="BF729" s="9"/>
    </row>
    <row r="730" spans="1:58" x14ac:dyDescent="0.25">
      <c r="A730" s="9" t="s">
        <v>84</v>
      </c>
      <c r="B730" s="9" t="s">
        <v>85</v>
      </c>
      <c r="C730" s="9" t="s">
        <v>1486</v>
      </c>
      <c r="D730" s="10">
        <v>45378</v>
      </c>
      <c r="E730" s="10">
        <v>45413</v>
      </c>
      <c r="F730" s="10">
        <v>45443</v>
      </c>
      <c r="G730" s="9">
        <v>3786256</v>
      </c>
      <c r="H730" s="9" t="str">
        <f t="shared" si="73"/>
        <v>Closed</v>
      </c>
      <c r="I730" s="9" t="str">
        <f t="shared" si="74"/>
        <v>All dates received</v>
      </c>
      <c r="J730" s="9" t="s">
        <v>1653</v>
      </c>
      <c r="K730" s="9">
        <v>4991</v>
      </c>
      <c r="L730" s="11">
        <v>78</v>
      </c>
      <c r="M730" s="9" t="s">
        <v>1654</v>
      </c>
      <c r="N730" s="9"/>
      <c r="O730" s="9"/>
      <c r="P730" s="9"/>
      <c r="Q730" s="11"/>
      <c r="R730" s="9" t="s">
        <v>90</v>
      </c>
      <c r="S730" s="9" t="s">
        <v>312</v>
      </c>
      <c r="T730" s="12">
        <f>IF($H730="Cancelled","",IFERROR(((Q730+INDEX(Variables!$B$6:$D$6,IFERROR(MATCH(IF($B730="Robusta","Robusta",(IF($B730="","Arabica",$B730))&amp;" - "&amp;(IF($C730="","Commercial",$C730))),Variables!$B$1:$D$1,0),1)))*22.0462)*(L730/16.67),""))</f>
        <v>29997.644083983199</v>
      </c>
      <c r="U730" s="10">
        <v>45412</v>
      </c>
      <c r="V730" s="9" t="str">
        <f t="shared" si="76"/>
        <v>Sent</v>
      </c>
      <c r="W730" s="10">
        <v>45422</v>
      </c>
      <c r="X730" s="9" t="str">
        <f t="shared" si="72"/>
        <v>Approved</v>
      </c>
      <c r="Y730" s="10"/>
      <c r="Z730" s="10">
        <f>IF($H730="Cancelled","",IFERROR(IF(F730="","",F730-Variables!$B$13),""))</f>
        <v>45428</v>
      </c>
      <c r="AA730" s="11">
        <f>IF($H730="Cancelled","",IFERROR(IF(W730="","",(AVERAGE(E730:F730)-W730)-Variables!$B$14),""))</f>
        <v>-24</v>
      </c>
      <c r="AB730" s="10">
        <v>45471</v>
      </c>
      <c r="AC730" s="11">
        <f>IF($H730="Cancelled","",IFERROR(IF(AB730="","",IF(AND(W730="",Y730=""),"",IF(Y730&gt;W730,Y730+Variables!$B$15+Variables!$B$16+Variables!$B$17-AB730,W730+Variables!$B$16+Variables!$B$17-AB730))),""))</f>
        <v>-41</v>
      </c>
      <c r="AD730" s="9" t="s">
        <v>163</v>
      </c>
      <c r="AE730" s="9" t="s">
        <v>254</v>
      </c>
      <c r="AF730" s="10"/>
      <c r="AG730" s="10"/>
      <c r="AH730" s="9"/>
      <c r="AI730" s="9" t="s">
        <v>1655</v>
      </c>
      <c r="AJ730" s="9" t="s">
        <v>1656</v>
      </c>
      <c r="AK730" s="10">
        <v>45481</v>
      </c>
      <c r="AL730" s="10">
        <v>45483</v>
      </c>
      <c r="AM730" s="10">
        <v>45499</v>
      </c>
      <c r="AN730" s="9" t="s">
        <v>1492</v>
      </c>
      <c r="AO730" s="9"/>
      <c r="AP730" s="11">
        <f>IF($H730="Cancelled","",IFERROR(IF(OR(AK730="",AB730=""),"",(AB730+Variables!$B$18-AK730)),""))</f>
        <v>-3</v>
      </c>
      <c r="AQ730" s="11">
        <f>IF($H730="Cancelled","",IFERROR(IF(OR(AM730="",AK730=""),"",(AK730+Variables!$B$19)-AM730),""))</f>
        <v>-13</v>
      </c>
      <c r="AR730" s="12">
        <f>IF($H730="Cancelled","",IFERROR(T730*INDEX(Variables!$B$7:$D$7,IFERROR(MATCH(IF($B730="Robusta","Robusta",(IF($B730="","Arabica",$B730))&amp;" - "&amp;(IF($C730="","Commercial",$C730))),Variables!$B$1:$D$1,0),1))*(AQ730/365),""))</f>
        <v>-68.893378382407889</v>
      </c>
      <c r="AS730" s="12">
        <f>IF($H730="Cancelled","",IFERROR((T730*INDEX(Variables!$B$7:$D$7,IFERROR(MATCH(IF($B730="Robusta","Robusta",(IF($B730="","Arabica",$B730))&amp;" - "&amp;(IF($C730="","Commercial",$C730))),Variables!$B$1:$D$1,0),1))*IFERROR(IF(W730="","",(AVERAGE(E730:F730)-W730)-Variables!$B$14),"")/365)+(L730/16.67*INDEX(Variables!$B$8:$D$8,IFERROR(MATCH(IF($B730="Robusta","Robusta",(IF($B730="","Arabica",$B730))&amp;" - "&amp;(IF($C730="","Commercial",$C730))),Variables!$B$1:$D$1,0),1))*IFERROR(IF(W730="","",(AVERAGE(E730:F730)-W730)-Variables!$B$14),""))+(T730*INDEX(Variables!$B$9:$D$9,IFERROR(MATCH(IF($B730="Robusta","Robusta",(IF($B730="","Arabica",$B730))&amp;" - "&amp;(IF($C730="","Commercial",$C730))),Variables!$B$1:$D$1,0),1))*IFERROR(IF(W730="","",(AVERAGE(E730:F730)-W730)-Variables!$B$14),"")/365),""))</f>
        <v>-222.42747135644296</v>
      </c>
      <c r="AT730" s="12">
        <f>IF($H730="Cancelled","",IFERROR((T730*INDEX(Variables!$B$7:$D$7,IFERROR(MATCH(IF($B730="Robusta","Robusta",(IF($B730="","Arabica",$B730))&amp;" - "&amp;(IF($C730="","Commercial",$C730))),Variables!$B$1:$D$1,0),1))*AC730/365)+(L730/16.67*INDEX(Variables!$B$8:$D$8,IFERROR(MATCH(IF($B730="Robusta","Robusta",(IF($B730="","Arabica",$B730))&amp;" - "&amp;(IF($C730="","Commercial",$C730))),Variables!$B$1:$D$1,0),1))*AC730)+(T730*INDEX(Variables!$B$9:$D$9,IFERROR(MATCH(IF($B730="Robusta","Robusta",(IF($B730="","Arabica",$B730))&amp;" - "&amp;(IF($C730="","Commercial",$C730))),Variables!$B$1:$D$1,0),1))*AC730/365),""))</f>
        <v>-379.98026356725671</v>
      </c>
      <c r="AU730" s="12">
        <f>IF($H730="Cancelled","",IFERROR((T730*INDEX(Variables!$B$7:$D$7,IFERROR(MATCH(IF($B730="Robusta","Robusta",(IF($B730="","Arabica",$B730))&amp;" - "&amp;(IF($C730="","Commercial",$C730))),Variables!$B$1:$D$1,0),1))*AP730/365)+(L730/16.67*INDEX(Variables!$B$8:$D$8,IFERROR(MATCH(IF($B730="Robusta","Robusta",(IF($B730="","Arabica",$B730))&amp;" - "&amp;(IF($C730="","Commercial",$C730))),Variables!$B$1:$D$1,0),1))*AP730)+(T730*INDEX(Variables!$B$9:$D$9,IFERROR(MATCH(IF($B730="Robusta","Robusta",(IF($B730="","Arabica",$B730))&amp;" - "&amp;(IF($C730="","Commercial",$C730))),Variables!$B$1:$D$1,0),1))*AP730/365),""))</f>
        <v>-27.803433919555371</v>
      </c>
      <c r="AV730" s="11">
        <f t="shared" si="75"/>
        <v>-38</v>
      </c>
      <c r="AW730" s="12">
        <f>IF($H730="Cancelled","",IFERROR(IF(AV730="","",(T730*INDEX(Variables!$B$7:$D$7,IFERROR(MATCH(IF($B730="Robusta","Robusta",(IF($B730="","Arabica",$B730))&amp;" - "&amp;(IF($C730="","Commercial",$C730))),Variables!$B$1:$D$1,0),1))*(AV730/365))+(T730*INDEX(Variables!$B$9:$D$9,IFERROR(MATCH(IF($B730="Robusta","Robusta",(IF($B730="","Arabica",$B730))&amp;" - "&amp;(IF($C730="","Commercial",$C730))),Variables!$B$1:$D$1,0),1))*(AV730/365))+(INDEX(Variables!$B$8:$D$8,IFERROR(MATCH(IF($B730="Robusta","Robusta",(IF($B730="","Arabica",$B730))&amp;" - "&amp;(IF($C730="","Commercial",$C730))),Variables!$B$1:$D$1,0),1))*L730/16.67)),""))</f>
        <v>-200.07682964770137</v>
      </c>
      <c r="AX730" s="9"/>
      <c r="AY730" s="12"/>
      <c r="AZ730" s="10"/>
      <c r="BA730" s="9"/>
      <c r="BB730" s="10"/>
      <c r="BC730" s="9"/>
      <c r="BD730" s="9"/>
      <c r="BE730" s="9"/>
      <c r="BF730" s="9"/>
    </row>
    <row r="731" spans="1:58" x14ac:dyDescent="0.25">
      <c r="A731" s="9" t="s">
        <v>84</v>
      </c>
      <c r="B731" s="9" t="s">
        <v>85</v>
      </c>
      <c r="C731" s="9" t="s">
        <v>1486</v>
      </c>
      <c r="D731" s="10">
        <v>45378</v>
      </c>
      <c r="E731" s="10">
        <v>45413</v>
      </c>
      <c r="F731" s="10">
        <v>45443</v>
      </c>
      <c r="G731" s="9">
        <v>3786257</v>
      </c>
      <c r="H731" s="9" t="str">
        <f t="shared" si="73"/>
        <v>Closed</v>
      </c>
      <c r="I731" s="9" t="str">
        <f t="shared" si="74"/>
        <v>All dates received</v>
      </c>
      <c r="J731" s="9" t="s">
        <v>1653</v>
      </c>
      <c r="K731" s="9">
        <v>4992</v>
      </c>
      <c r="L731" s="11">
        <v>32</v>
      </c>
      <c r="M731" s="9" t="s">
        <v>1657</v>
      </c>
      <c r="N731" s="9"/>
      <c r="O731" s="9"/>
      <c r="P731" s="9"/>
      <c r="Q731" s="11"/>
      <c r="R731" s="9" t="s">
        <v>90</v>
      </c>
      <c r="S731" s="9" t="s">
        <v>312</v>
      </c>
      <c r="T731" s="12">
        <f>IF($H731="Cancelled","",IFERROR(((Q731+INDEX(Variables!$B$6:$D$6,IFERROR(MATCH(IF($B731="Robusta","Robusta",(IF($B731="","Arabica",$B731))&amp;" - "&amp;(IF($C731="","Commercial",$C731))),Variables!$B$1:$D$1,0),1)))*22.0462)*(L731/16.67),""))</f>
        <v>12306.725778044389</v>
      </c>
      <c r="U731" s="10">
        <v>45412</v>
      </c>
      <c r="V731" s="9" t="str">
        <f t="shared" si="76"/>
        <v>Sent</v>
      </c>
      <c r="W731" s="10">
        <v>45422</v>
      </c>
      <c r="X731" s="9" t="str">
        <f t="shared" si="72"/>
        <v>Approved</v>
      </c>
      <c r="Y731" s="10"/>
      <c r="Z731" s="10">
        <f>IF($H731="Cancelled","",IFERROR(IF(F731="","",F731-Variables!$B$13),""))</f>
        <v>45428</v>
      </c>
      <c r="AA731" s="11">
        <f>IF($H731="Cancelled","",IFERROR(IF(W731="","",(AVERAGE(E731:F731)-W731)-Variables!$B$14),""))</f>
        <v>-24</v>
      </c>
      <c r="AB731" s="10">
        <v>45471</v>
      </c>
      <c r="AC731" s="11">
        <f>IF($H731="Cancelled","",IFERROR(IF(AB731="","",IF(AND(W731="",Y731=""),"",IF(Y731&gt;W731,Y731+Variables!$B$15+Variables!$B$16+Variables!$B$17-AB731,W731+Variables!$B$16+Variables!$B$17-AB731))),""))</f>
        <v>-41</v>
      </c>
      <c r="AD731" s="9" t="s">
        <v>163</v>
      </c>
      <c r="AE731" s="9" t="s">
        <v>254</v>
      </c>
      <c r="AF731" s="10"/>
      <c r="AG731" s="10"/>
      <c r="AH731" s="9"/>
      <c r="AI731" s="9" t="s">
        <v>1655</v>
      </c>
      <c r="AJ731" s="9" t="s">
        <v>1656</v>
      </c>
      <c r="AK731" s="10">
        <v>45481</v>
      </c>
      <c r="AL731" s="10">
        <v>45483</v>
      </c>
      <c r="AM731" s="10">
        <v>45499</v>
      </c>
      <c r="AN731" s="9" t="s">
        <v>1492</v>
      </c>
      <c r="AO731" s="9"/>
      <c r="AP731" s="11">
        <f>IF($H731="Cancelled","",IFERROR(IF(OR(AK731="",AB731=""),"",(AB731+Variables!$B$18-AK731)),""))</f>
        <v>-3</v>
      </c>
      <c r="AQ731" s="11">
        <f>IF($H731="Cancelled","",IFERROR(IF(OR(AM731="",AK731=""),"",(AK731+Variables!$B$19)-AM731),""))</f>
        <v>-13</v>
      </c>
      <c r="AR731" s="12">
        <f>IF($H731="Cancelled","",IFERROR(T731*INDEX(Variables!$B$7:$D$7,IFERROR(MATCH(IF($B731="Robusta","Robusta",(IF($B731="","Arabica",$B731))&amp;" - "&amp;(IF($C731="","Commercial",$C731))),Variables!$B$1:$D$1,0),1))*(AQ731/365),""))</f>
        <v>-28.263950105603236</v>
      </c>
      <c r="AS731" s="12">
        <f>IF($H731="Cancelled","",IFERROR((T731*INDEX(Variables!$B$7:$D$7,IFERROR(MATCH(IF($B731="Robusta","Robusta",(IF($B731="","Arabica",$B731))&amp;" - "&amp;(IF($C731="","Commercial",$C731))),Variables!$B$1:$D$1,0),1))*IFERROR(IF(W731="","",(AVERAGE(E731:F731)-W731)-Variables!$B$14),"")/365)+(L731/16.67*INDEX(Variables!$B$8:$D$8,IFERROR(MATCH(IF($B731="Robusta","Robusta",(IF($B731="","Arabica",$B731))&amp;" - "&amp;(IF($C731="","Commercial",$C731))),Variables!$B$1:$D$1,0),1))*IFERROR(IF(W731="","",(AVERAGE(E731:F731)-W731)-Variables!$B$14),""))+(T731*INDEX(Variables!$B$9:$D$9,IFERROR(MATCH(IF($B731="Robusta","Robusta",(IF($B731="","Arabica",$B731))&amp;" - "&amp;(IF($C731="","Commercial",$C731))),Variables!$B$1:$D$1,0),1))*IFERROR(IF(W731="","",(AVERAGE(E731:F731)-W731)-Variables!$B$14),"")/365),""))</f>
        <v>-91.252295941104805</v>
      </c>
      <c r="AT731" s="12">
        <f>IF($H731="Cancelled","",IFERROR((T731*INDEX(Variables!$B$7:$D$7,IFERROR(MATCH(IF($B731="Robusta","Robusta",(IF($B731="","Arabica",$B731))&amp;" - "&amp;(IF($C731="","Commercial",$C731))),Variables!$B$1:$D$1,0),1))*AC731/365)+(L731/16.67*INDEX(Variables!$B$8:$D$8,IFERROR(MATCH(IF($B731="Robusta","Robusta",(IF($B731="","Arabica",$B731))&amp;" - "&amp;(IF($C731="","Commercial",$C731))),Variables!$B$1:$D$1,0),1))*AC731)+(T731*INDEX(Variables!$B$9:$D$9,IFERROR(MATCH(IF($B731="Robusta","Robusta",(IF($B731="","Arabica",$B731))&amp;" - "&amp;(IF($C731="","Commercial",$C731))),Variables!$B$1:$D$1,0),1))*AC731/365),""))</f>
        <v>-155.88933889938738</v>
      </c>
      <c r="AU731" s="12">
        <f>IF($H731="Cancelled","",IFERROR((T731*INDEX(Variables!$B$7:$D$7,IFERROR(MATCH(IF($B731="Robusta","Robusta",(IF($B731="","Arabica",$B731))&amp;" - "&amp;(IF($C731="","Commercial",$C731))),Variables!$B$1:$D$1,0),1))*AP731/365)+(L731/16.67*INDEX(Variables!$B$8:$D$8,IFERROR(MATCH(IF($B731="Robusta","Robusta",(IF($B731="","Arabica",$B731))&amp;" - "&amp;(IF($C731="","Commercial",$C731))),Variables!$B$1:$D$1,0),1))*AP731)+(T731*INDEX(Variables!$B$9:$D$9,IFERROR(MATCH(IF($B731="Robusta","Robusta",(IF($B731="","Arabica",$B731))&amp;" - "&amp;(IF($C731="","Commercial",$C731))),Variables!$B$1:$D$1,0),1))*AP731/365),""))</f>
        <v>-11.406536992638101</v>
      </c>
      <c r="AV731" s="11">
        <f t="shared" si="75"/>
        <v>-38</v>
      </c>
      <c r="AW731" s="12">
        <f>IF($H731="Cancelled","",IFERROR(IF(AV731="","",(T731*INDEX(Variables!$B$7:$D$7,IFERROR(MATCH(IF($B731="Robusta","Robusta",(IF($B731="","Arabica",$B731))&amp;" - "&amp;(IF($C731="","Commercial",$C731))),Variables!$B$1:$D$1,0),1))*(AV731/365))+(T731*INDEX(Variables!$B$9:$D$9,IFERROR(MATCH(IF($B731="Robusta","Robusta",(IF($B731="","Arabica",$B731))&amp;" - "&amp;(IF($C731="","Commercial",$C731))),Variables!$B$1:$D$1,0),1))*(AV731/365))+(INDEX(Variables!$B$8:$D$8,IFERROR(MATCH(IF($B731="Robusta","Robusta",(IF($B731="","Arabica",$B731))&amp;" - "&amp;(IF($C731="","Commercial",$C731))),Variables!$B$1:$D$1,0),1))*L731/16.67)),""))</f>
        <v>-82.082801906749282</v>
      </c>
      <c r="AX731" s="9"/>
      <c r="AY731" s="12"/>
      <c r="AZ731" s="10"/>
      <c r="BA731" s="9"/>
      <c r="BB731" s="10"/>
      <c r="BC731" s="9"/>
      <c r="BD731" s="9"/>
      <c r="BE731" s="9"/>
      <c r="BF731" s="9"/>
    </row>
    <row r="732" spans="1:58" x14ac:dyDescent="0.25">
      <c r="A732" s="9" t="s">
        <v>84</v>
      </c>
      <c r="B732" s="9" t="s">
        <v>85</v>
      </c>
      <c r="C732" s="9" t="s">
        <v>1486</v>
      </c>
      <c r="D732" s="10">
        <v>45378</v>
      </c>
      <c r="E732" s="10">
        <v>45413</v>
      </c>
      <c r="F732" s="10">
        <v>45443</v>
      </c>
      <c r="G732" s="9">
        <v>3786258</v>
      </c>
      <c r="H732" s="9" t="str">
        <f t="shared" si="73"/>
        <v>Closed</v>
      </c>
      <c r="I732" s="9" t="str">
        <f t="shared" si="74"/>
        <v>All dates received</v>
      </c>
      <c r="J732" s="9" t="s">
        <v>1653</v>
      </c>
      <c r="K732" s="9">
        <v>4993</v>
      </c>
      <c r="L732" s="11">
        <v>48</v>
      </c>
      <c r="M732" s="9" t="s">
        <v>1658</v>
      </c>
      <c r="N732" s="9"/>
      <c r="O732" s="9"/>
      <c r="P732" s="9"/>
      <c r="Q732" s="11"/>
      <c r="R732" s="9" t="s">
        <v>90</v>
      </c>
      <c r="S732" s="9" t="s">
        <v>312</v>
      </c>
      <c r="T732" s="12">
        <f>IF($H732="Cancelled","",IFERROR(((Q732+INDEX(Variables!$B$6:$D$6,IFERROR(MATCH(IF($B732="Robusta","Robusta",(IF($B732="","Arabica",$B732))&amp;" - "&amp;(IF($C732="","Commercial",$C732))),Variables!$B$1:$D$1,0),1)))*22.0462)*(L732/16.67),""))</f>
        <v>18460.088667066582</v>
      </c>
      <c r="U732" s="10">
        <v>45412</v>
      </c>
      <c r="V732" s="9" t="str">
        <f t="shared" si="76"/>
        <v>Sent</v>
      </c>
      <c r="W732" s="10">
        <v>45422</v>
      </c>
      <c r="X732" s="9" t="str">
        <f t="shared" si="72"/>
        <v>Approved</v>
      </c>
      <c r="Y732" s="10"/>
      <c r="Z732" s="10">
        <f>IF($H732="Cancelled","",IFERROR(IF(F732="","",F732-Variables!$B$13),""))</f>
        <v>45428</v>
      </c>
      <c r="AA732" s="11">
        <f>IF($H732="Cancelled","",IFERROR(IF(W732="","",(AVERAGE(E732:F732)-W732)-Variables!$B$14),""))</f>
        <v>-24</v>
      </c>
      <c r="AB732" s="10">
        <v>45471</v>
      </c>
      <c r="AC732" s="11">
        <f>IF($H732="Cancelled","",IFERROR(IF(AB732="","",IF(AND(W732="",Y732=""),"",IF(Y732&gt;W732,Y732+Variables!$B$15+Variables!$B$16+Variables!$B$17-AB732,W732+Variables!$B$16+Variables!$B$17-AB732))),""))</f>
        <v>-41</v>
      </c>
      <c r="AD732" s="9" t="s">
        <v>163</v>
      </c>
      <c r="AE732" s="9" t="s">
        <v>254</v>
      </c>
      <c r="AF732" s="10"/>
      <c r="AG732" s="10"/>
      <c r="AH732" s="9"/>
      <c r="AI732" s="9" t="s">
        <v>1655</v>
      </c>
      <c r="AJ732" s="9" t="s">
        <v>1656</v>
      </c>
      <c r="AK732" s="10">
        <v>45481</v>
      </c>
      <c r="AL732" s="10">
        <v>45483</v>
      </c>
      <c r="AM732" s="10">
        <v>45499</v>
      </c>
      <c r="AN732" s="9" t="s">
        <v>1492</v>
      </c>
      <c r="AO732" s="9"/>
      <c r="AP732" s="11">
        <f>IF($H732="Cancelled","",IFERROR(IF(OR(AK732="",AB732=""),"",(AB732+Variables!$B$18-AK732)),""))</f>
        <v>-3</v>
      </c>
      <c r="AQ732" s="11">
        <f>IF($H732="Cancelled","",IFERROR(IF(OR(AM732="",AK732=""),"",(AK732+Variables!$B$19)-AM732),""))</f>
        <v>-13</v>
      </c>
      <c r="AR732" s="12">
        <f>IF($H732="Cancelled","",IFERROR(T732*INDEX(Variables!$B$7:$D$7,IFERROR(MATCH(IF($B732="Robusta","Robusta",(IF($B732="","Arabica",$B732))&amp;" - "&amp;(IF($C732="","Commercial",$C732))),Variables!$B$1:$D$1,0),1))*(AQ732/365),""))</f>
        <v>-42.39592515840485</v>
      </c>
      <c r="AS732" s="12">
        <f>IF($H732="Cancelled","",IFERROR((T732*INDEX(Variables!$B$7:$D$7,IFERROR(MATCH(IF($B732="Robusta","Robusta",(IF($B732="","Arabica",$B732))&amp;" - "&amp;(IF($C732="","Commercial",$C732))),Variables!$B$1:$D$1,0),1))*IFERROR(IF(W732="","",(AVERAGE(E732:F732)-W732)-Variables!$B$14),"")/365)+(L732/16.67*INDEX(Variables!$B$8:$D$8,IFERROR(MATCH(IF($B732="Robusta","Robusta",(IF($B732="","Arabica",$B732))&amp;" - "&amp;(IF($C732="","Commercial",$C732))),Variables!$B$1:$D$1,0),1))*IFERROR(IF(W732="","",(AVERAGE(E732:F732)-W732)-Variables!$B$14),""))+(T732*INDEX(Variables!$B$9:$D$9,IFERROR(MATCH(IF($B732="Robusta","Robusta",(IF($B732="","Arabica",$B732))&amp;" - "&amp;(IF($C732="","Commercial",$C732))),Variables!$B$1:$D$1,0),1))*IFERROR(IF(W732="","",(AVERAGE(E732:F732)-W732)-Variables!$B$14),"")/365),""))</f>
        <v>-136.87844391165717</v>
      </c>
      <c r="AT732" s="12">
        <f>IF($H732="Cancelled","",IFERROR((T732*INDEX(Variables!$B$7:$D$7,IFERROR(MATCH(IF($B732="Robusta","Robusta",(IF($B732="","Arabica",$B732))&amp;" - "&amp;(IF($C732="","Commercial",$C732))),Variables!$B$1:$D$1,0),1))*AC732/365)+(L732/16.67*INDEX(Variables!$B$8:$D$8,IFERROR(MATCH(IF($B732="Robusta","Robusta",(IF($B732="","Arabica",$B732))&amp;" - "&amp;(IF($C732="","Commercial",$C732))),Variables!$B$1:$D$1,0),1))*AC732)+(T732*INDEX(Variables!$B$9:$D$9,IFERROR(MATCH(IF($B732="Robusta","Robusta",(IF($B732="","Arabica",$B732))&amp;" - "&amp;(IF($C732="","Commercial",$C732))),Variables!$B$1:$D$1,0),1))*AC732/365),""))</f>
        <v>-233.83400834908102</v>
      </c>
      <c r="AU732" s="12">
        <f>IF($H732="Cancelled","",IFERROR((T732*INDEX(Variables!$B$7:$D$7,IFERROR(MATCH(IF($B732="Robusta","Robusta",(IF($B732="","Arabica",$B732))&amp;" - "&amp;(IF($C732="","Commercial",$C732))),Variables!$B$1:$D$1,0),1))*AP732/365)+(L732/16.67*INDEX(Variables!$B$8:$D$8,IFERROR(MATCH(IF($B732="Robusta","Robusta",(IF($B732="","Arabica",$B732))&amp;" - "&amp;(IF($C732="","Commercial",$C732))),Variables!$B$1:$D$1,0),1))*AP732)+(T732*INDEX(Variables!$B$9:$D$9,IFERROR(MATCH(IF($B732="Robusta","Robusta",(IF($B732="","Arabica",$B732))&amp;" - "&amp;(IF($C732="","Commercial",$C732))),Variables!$B$1:$D$1,0),1))*AP732/365),""))</f>
        <v>-17.109805488957146</v>
      </c>
      <c r="AV732" s="11">
        <f t="shared" si="75"/>
        <v>-38</v>
      </c>
      <c r="AW732" s="12">
        <f>IF($H732="Cancelled","",IFERROR(IF(AV732="","",(T732*INDEX(Variables!$B$7:$D$7,IFERROR(MATCH(IF($B732="Robusta","Robusta",(IF($B732="","Arabica",$B732))&amp;" - "&amp;(IF($C732="","Commercial",$C732))),Variables!$B$1:$D$1,0),1))*(AV732/365))+(T732*INDEX(Variables!$B$9:$D$9,IFERROR(MATCH(IF($B732="Robusta","Robusta",(IF($B732="","Arabica",$B732))&amp;" - "&amp;(IF($C732="","Commercial",$C732))),Variables!$B$1:$D$1,0),1))*(AV732/365))+(INDEX(Variables!$B$8:$D$8,IFERROR(MATCH(IF($B732="Robusta","Robusta",(IF($B732="","Arabica",$B732))&amp;" - "&amp;(IF($C732="","Commercial",$C732))),Variables!$B$1:$D$1,0),1))*L732/16.67)),""))</f>
        <v>-123.12420286012389</v>
      </c>
      <c r="AX732" s="9"/>
      <c r="AY732" s="12"/>
      <c r="AZ732" s="10"/>
      <c r="BA732" s="9"/>
      <c r="BB732" s="10"/>
      <c r="BC732" s="9"/>
      <c r="BD732" s="9"/>
      <c r="BE732" s="9"/>
      <c r="BF732" s="9"/>
    </row>
    <row r="733" spans="1:58" x14ac:dyDescent="0.25">
      <c r="A733" s="9" t="s">
        <v>84</v>
      </c>
      <c r="B733" s="9" t="s">
        <v>85</v>
      </c>
      <c r="C733" s="9" t="s">
        <v>1486</v>
      </c>
      <c r="D733" s="10">
        <v>45378</v>
      </c>
      <c r="E733" s="10">
        <v>45413</v>
      </c>
      <c r="F733" s="10">
        <v>45443</v>
      </c>
      <c r="G733" s="9">
        <v>3786259</v>
      </c>
      <c r="H733" s="9" t="str">
        <f t="shared" si="73"/>
        <v>Closed</v>
      </c>
      <c r="I733" s="9" t="str">
        <f t="shared" si="74"/>
        <v>All dates received</v>
      </c>
      <c r="J733" s="9" t="s">
        <v>1653</v>
      </c>
      <c r="K733" s="9">
        <v>4994</v>
      </c>
      <c r="L733" s="11">
        <v>96</v>
      </c>
      <c r="M733" s="9" t="s">
        <v>1659</v>
      </c>
      <c r="N733" s="9"/>
      <c r="O733" s="9"/>
      <c r="P733" s="9"/>
      <c r="Q733" s="11"/>
      <c r="R733" s="9" t="s">
        <v>90</v>
      </c>
      <c r="S733" s="9" t="s">
        <v>312</v>
      </c>
      <c r="T733" s="12">
        <f>IF($H733="Cancelled","",IFERROR(((Q733+INDEX(Variables!$B$6:$D$6,IFERROR(MATCH(IF($B733="Robusta","Robusta",(IF($B733="","Arabica",$B733))&amp;" - "&amp;(IF($C733="","Commercial",$C733))),Variables!$B$1:$D$1,0),1)))*22.0462)*(L733/16.67),""))</f>
        <v>36920.177334133165</v>
      </c>
      <c r="U733" s="10">
        <v>45412</v>
      </c>
      <c r="V733" s="9" t="str">
        <f t="shared" si="76"/>
        <v>Sent</v>
      </c>
      <c r="W733" s="10">
        <v>45422</v>
      </c>
      <c r="X733" s="9" t="str">
        <f t="shared" si="72"/>
        <v>Approved</v>
      </c>
      <c r="Y733" s="10"/>
      <c r="Z733" s="10">
        <f>IF($H733="Cancelled","",IFERROR(IF(F733="","",F733-Variables!$B$13),""))</f>
        <v>45428</v>
      </c>
      <c r="AA733" s="11">
        <f>IF($H733="Cancelled","",IFERROR(IF(W733="","",(AVERAGE(E733:F733)-W733)-Variables!$B$14),""))</f>
        <v>-24</v>
      </c>
      <c r="AB733" s="10">
        <v>45471</v>
      </c>
      <c r="AC733" s="11">
        <f>IF($H733="Cancelled","",IFERROR(IF(AB733="","",IF(AND(W733="",Y733=""),"",IF(Y733&gt;W733,Y733+Variables!$B$15+Variables!$B$16+Variables!$B$17-AB733,W733+Variables!$B$16+Variables!$B$17-AB733))),""))</f>
        <v>-41</v>
      </c>
      <c r="AD733" s="9" t="s">
        <v>163</v>
      </c>
      <c r="AE733" s="9" t="s">
        <v>254</v>
      </c>
      <c r="AF733" s="10"/>
      <c r="AG733" s="10"/>
      <c r="AH733" s="9"/>
      <c r="AI733" s="9" t="s">
        <v>1655</v>
      </c>
      <c r="AJ733" s="9" t="s">
        <v>1656</v>
      </c>
      <c r="AK733" s="10">
        <v>45481</v>
      </c>
      <c r="AL733" s="10">
        <v>45483</v>
      </c>
      <c r="AM733" s="10">
        <v>45499</v>
      </c>
      <c r="AN733" s="9" t="s">
        <v>1492</v>
      </c>
      <c r="AO733" s="9"/>
      <c r="AP733" s="11">
        <f>IF($H733="Cancelled","",IFERROR(IF(OR(AK733="",AB733=""),"",(AB733+Variables!$B$18-AK733)),""))</f>
        <v>-3</v>
      </c>
      <c r="AQ733" s="11">
        <f>IF($H733="Cancelled","",IFERROR(IF(OR(AM733="",AK733=""),"",(AK733+Variables!$B$19)-AM733),""))</f>
        <v>-13</v>
      </c>
      <c r="AR733" s="12">
        <f>IF($H733="Cancelled","",IFERROR(T733*INDEX(Variables!$B$7:$D$7,IFERROR(MATCH(IF($B733="Robusta","Robusta",(IF($B733="","Arabica",$B733))&amp;" - "&amp;(IF($C733="","Commercial",$C733))),Variables!$B$1:$D$1,0),1))*(AQ733/365),""))</f>
        <v>-84.7918503168097</v>
      </c>
      <c r="AS733" s="12">
        <f>IF($H733="Cancelled","",IFERROR((T733*INDEX(Variables!$B$7:$D$7,IFERROR(MATCH(IF($B733="Robusta","Robusta",(IF($B733="","Arabica",$B733))&amp;" - "&amp;(IF($C733="","Commercial",$C733))),Variables!$B$1:$D$1,0),1))*IFERROR(IF(W733="","",(AVERAGE(E733:F733)-W733)-Variables!$B$14),"")/365)+(L733/16.67*INDEX(Variables!$B$8:$D$8,IFERROR(MATCH(IF($B733="Robusta","Robusta",(IF($B733="","Arabica",$B733))&amp;" - "&amp;(IF($C733="","Commercial",$C733))),Variables!$B$1:$D$1,0),1))*IFERROR(IF(W733="","",(AVERAGE(E733:F733)-W733)-Variables!$B$14),""))+(T733*INDEX(Variables!$B$9:$D$9,IFERROR(MATCH(IF($B733="Robusta","Robusta",(IF($B733="","Arabica",$B733))&amp;" - "&amp;(IF($C733="","Commercial",$C733))),Variables!$B$1:$D$1,0),1))*IFERROR(IF(W733="","",(AVERAGE(E733:F733)-W733)-Variables!$B$14),"")/365),""))</f>
        <v>-273.75688782331434</v>
      </c>
      <c r="AT733" s="12">
        <f>IF($H733="Cancelled","",IFERROR((T733*INDEX(Variables!$B$7:$D$7,IFERROR(MATCH(IF($B733="Robusta","Robusta",(IF($B733="","Arabica",$B733))&amp;" - "&amp;(IF($C733="","Commercial",$C733))),Variables!$B$1:$D$1,0),1))*AC733/365)+(L733/16.67*INDEX(Variables!$B$8:$D$8,IFERROR(MATCH(IF($B733="Robusta","Robusta",(IF($B733="","Arabica",$B733))&amp;" - "&amp;(IF($C733="","Commercial",$C733))),Variables!$B$1:$D$1,0),1))*AC733)+(T733*INDEX(Variables!$B$9:$D$9,IFERROR(MATCH(IF($B733="Robusta","Robusta",(IF($B733="","Arabica",$B733))&amp;" - "&amp;(IF($C733="","Commercial",$C733))),Variables!$B$1:$D$1,0),1))*AC733/365),""))</f>
        <v>-467.66801669816203</v>
      </c>
      <c r="AU733" s="12">
        <f>IF($H733="Cancelled","",IFERROR((T733*INDEX(Variables!$B$7:$D$7,IFERROR(MATCH(IF($B733="Robusta","Robusta",(IF($B733="","Arabica",$B733))&amp;" - "&amp;(IF($C733="","Commercial",$C733))),Variables!$B$1:$D$1,0),1))*AP733/365)+(L733/16.67*INDEX(Variables!$B$8:$D$8,IFERROR(MATCH(IF($B733="Robusta","Robusta",(IF($B733="","Arabica",$B733))&amp;" - "&amp;(IF($C733="","Commercial",$C733))),Variables!$B$1:$D$1,0),1))*AP733)+(T733*INDEX(Variables!$B$9:$D$9,IFERROR(MATCH(IF($B733="Robusta","Robusta",(IF($B733="","Arabica",$B733))&amp;" - "&amp;(IF($C733="","Commercial",$C733))),Variables!$B$1:$D$1,0),1))*AP733/365),""))</f>
        <v>-34.219610977914293</v>
      </c>
      <c r="AV733" s="11">
        <f t="shared" si="75"/>
        <v>-38</v>
      </c>
      <c r="AW733" s="12">
        <f>IF($H733="Cancelled","",IFERROR(IF(AV733="","",(T733*INDEX(Variables!$B$7:$D$7,IFERROR(MATCH(IF($B733="Robusta","Robusta",(IF($B733="","Arabica",$B733))&amp;" - "&amp;(IF($C733="","Commercial",$C733))),Variables!$B$1:$D$1,0),1))*(AV733/365))+(T733*INDEX(Variables!$B$9:$D$9,IFERROR(MATCH(IF($B733="Robusta","Robusta",(IF($B733="","Arabica",$B733))&amp;" - "&amp;(IF($C733="","Commercial",$C733))),Variables!$B$1:$D$1,0),1))*(AV733/365))+(INDEX(Variables!$B$8:$D$8,IFERROR(MATCH(IF($B733="Robusta","Robusta",(IF($B733="","Arabica",$B733))&amp;" - "&amp;(IF($C733="","Commercial",$C733))),Variables!$B$1:$D$1,0),1))*L733/16.67)),""))</f>
        <v>-246.24840572024777</v>
      </c>
      <c r="AX733" s="9"/>
      <c r="AY733" s="12"/>
      <c r="AZ733" s="10"/>
      <c r="BA733" s="9"/>
      <c r="BB733" s="10"/>
      <c r="BC733" s="9"/>
      <c r="BD733" s="9"/>
      <c r="BE733" s="9"/>
      <c r="BF733" s="9"/>
    </row>
    <row r="734" spans="1:58" x14ac:dyDescent="0.25">
      <c r="A734" s="9" t="s">
        <v>84</v>
      </c>
      <c r="B734" s="9" t="s">
        <v>85</v>
      </c>
      <c r="C734" s="9" t="s">
        <v>1486</v>
      </c>
      <c r="D734" s="10">
        <v>45379</v>
      </c>
      <c r="E734" s="10">
        <v>45413</v>
      </c>
      <c r="F734" s="10">
        <v>45443</v>
      </c>
      <c r="G734" s="9">
        <v>3786260</v>
      </c>
      <c r="H734" s="9" t="str">
        <f t="shared" si="73"/>
        <v>Closed</v>
      </c>
      <c r="I734" s="9" t="str">
        <f t="shared" si="74"/>
        <v>All dates received</v>
      </c>
      <c r="J734" s="9" t="s">
        <v>1552</v>
      </c>
      <c r="K734" s="9">
        <v>4786</v>
      </c>
      <c r="L734" s="11">
        <v>20</v>
      </c>
      <c r="M734" s="9" t="s">
        <v>1660</v>
      </c>
      <c r="N734" s="9"/>
      <c r="O734" s="9"/>
      <c r="P734" s="9"/>
      <c r="Q734" s="11"/>
      <c r="R734" s="9" t="s">
        <v>195</v>
      </c>
      <c r="S734" s="9" t="s">
        <v>207</v>
      </c>
      <c r="T734" s="12">
        <f>IF($H734="Cancelled","",IFERROR(((Q734+INDEX(Variables!$B$6:$D$6,IFERROR(MATCH(IF($B734="Robusta","Robusta",(IF($B734="","Arabica",$B734))&amp;" - "&amp;(IF($C734="","Commercial",$C734))),Variables!$B$1:$D$1,0),1)))*22.0462)*(L734/16.67),""))</f>
        <v>7691.7036112777441</v>
      </c>
      <c r="U734" s="10"/>
      <c r="V734" s="9" t="str">
        <f t="shared" si="76"/>
        <v/>
      </c>
      <c r="W734" s="10">
        <v>45379</v>
      </c>
      <c r="X734" s="9" t="str">
        <f t="shared" si="72"/>
        <v>Approved</v>
      </c>
      <c r="Y734" s="10">
        <v>45432</v>
      </c>
      <c r="Z734" s="10">
        <f>IF($H734="Cancelled","",IFERROR(IF(F734="","",F734-Variables!$B$13),""))</f>
        <v>45428</v>
      </c>
      <c r="AA734" s="11">
        <f>IF($H734="Cancelled","",IFERROR(IF(W734="","",(AVERAGE(E734:F734)-W734)-Variables!$B$14),""))</f>
        <v>19</v>
      </c>
      <c r="AB734" s="10">
        <v>45441</v>
      </c>
      <c r="AC734" s="11">
        <f>IF($H734="Cancelled","",IFERROR(IF(AB734="","",IF(AND(W734="",Y734=""),"",IF(Y734&gt;W734,Y734+Variables!$B$15+Variables!$B$16+Variables!$B$17-AB734,W734+Variables!$B$16+Variables!$B$17-AB734))),""))</f>
        <v>6</v>
      </c>
      <c r="AD734" s="9" t="s">
        <v>180</v>
      </c>
      <c r="AE734" s="9" t="s">
        <v>1622</v>
      </c>
      <c r="AF734" s="10"/>
      <c r="AG734" s="10"/>
      <c r="AH734" s="9"/>
      <c r="AI734" s="9" t="s">
        <v>1554</v>
      </c>
      <c r="AJ734" s="9">
        <v>9148513776</v>
      </c>
      <c r="AK734" s="10">
        <v>45420</v>
      </c>
      <c r="AL734" s="10">
        <v>45421</v>
      </c>
      <c r="AM734" s="10">
        <v>45428</v>
      </c>
      <c r="AN734" s="9" t="s">
        <v>1492</v>
      </c>
      <c r="AO734" s="9"/>
      <c r="AP734" s="11">
        <f>IF($H734="Cancelled","",IFERROR(IF(OR(AK734="",AB734=""),"",(AB734+Variables!$B$18-AK734)),""))</f>
        <v>28</v>
      </c>
      <c r="AQ734" s="11">
        <f>IF($H734="Cancelled","",IFERROR(IF(OR(AM734="",AK734=""),"",(AK734+Variables!$B$19)-AM734),""))</f>
        <v>-3</v>
      </c>
      <c r="AR734" s="12">
        <f>IF($H734="Cancelled","",IFERROR(T734*INDEX(Variables!$B$7:$D$7,IFERROR(MATCH(IF($B734="Robusta","Robusta",(IF($B734="","Arabica",$B734))&amp;" - "&amp;(IF($C734="","Commercial",$C734))),Variables!$B$1:$D$1,0),1))*(AQ734/365),""))</f>
        <v>-4.0765312652312362</v>
      </c>
      <c r="AS734" s="12">
        <f>IF($H734="Cancelled","",IFERROR((T734*INDEX(Variables!$B$7:$D$7,IFERROR(MATCH(IF($B734="Robusta","Robusta",(IF($B734="","Arabica",$B734))&amp;" - "&amp;(IF($C734="","Commercial",$C734))),Variables!$B$1:$D$1,0),1))*IFERROR(IF(W734="","",(AVERAGE(E734:F734)-W734)-Variables!$B$14),"")/365)+(L734/16.67*INDEX(Variables!$B$8:$D$8,IFERROR(MATCH(IF($B734="Robusta","Robusta",(IF($B734="","Arabica",$B734))&amp;" - "&amp;(IF($C734="","Commercial",$C734))),Variables!$B$1:$D$1,0),1))*IFERROR(IF(W734="","",(AVERAGE(E734:F734)-W734)-Variables!$B$14),""))+(T734*INDEX(Variables!$B$9:$D$9,IFERROR(MATCH(IF($B734="Robusta","Robusta",(IF($B734="","Arabica",$B734))&amp;" - "&amp;(IF($C734="","Commercial",$C734))),Variables!$B$1:$D$1,0),1))*IFERROR(IF(W734="","",(AVERAGE(E734:F734)-W734)-Variables!$B$14),"")/365),""))</f>
        <v>45.150875595859155</v>
      </c>
      <c r="AT734" s="12">
        <f>IF($H734="Cancelled","",IFERROR((T734*INDEX(Variables!$B$7:$D$7,IFERROR(MATCH(IF($B734="Robusta","Robusta",(IF($B734="","Arabica",$B734))&amp;" - "&amp;(IF($C734="","Commercial",$C734))),Variables!$B$1:$D$1,0),1))*AC734/365)+(L734/16.67*INDEX(Variables!$B$8:$D$8,IFERROR(MATCH(IF($B734="Robusta","Robusta",(IF($B734="","Arabica",$B734))&amp;" - "&amp;(IF($C734="","Commercial",$C734))),Variables!$B$1:$D$1,0),1))*AC734)+(T734*INDEX(Variables!$B$9:$D$9,IFERROR(MATCH(IF($B734="Robusta","Robusta",(IF($B734="","Arabica",$B734))&amp;" - "&amp;(IF($C734="","Commercial",$C734))),Variables!$B$1:$D$1,0),1))*AC734/365),""))</f>
        <v>14.258171240797626</v>
      </c>
      <c r="AU734" s="12">
        <f>IF($H734="Cancelled","",IFERROR((T734*INDEX(Variables!$B$7:$D$7,IFERROR(MATCH(IF($B734="Robusta","Robusta",(IF($B734="","Arabica",$B734))&amp;" - "&amp;(IF($C734="","Commercial",$C734))),Variables!$B$1:$D$1,0),1))*AP734/365)+(L734/16.67*INDEX(Variables!$B$8:$D$8,IFERROR(MATCH(IF($B734="Robusta","Robusta",(IF($B734="","Arabica",$B734))&amp;" - "&amp;(IF($C734="","Commercial",$C734))),Variables!$B$1:$D$1,0),1))*AP734)+(T734*INDEX(Variables!$B$9:$D$9,IFERROR(MATCH(IF($B734="Robusta","Robusta",(IF($B734="","Arabica",$B734))&amp;" - "&amp;(IF($C734="","Commercial",$C734))),Variables!$B$1:$D$1,0),1))*AP734/365),""))</f>
        <v>66.538132457055596</v>
      </c>
      <c r="AV734" s="11">
        <f t="shared" si="75"/>
        <v>23</v>
      </c>
      <c r="AW734" s="12">
        <f>IF($H734="Cancelled","",IFERROR(IF(AV734="","",(T734*INDEX(Variables!$B$7:$D$7,IFERROR(MATCH(IF($B734="Robusta","Robusta",(IF($B734="","Arabica",$B734))&amp;" - "&amp;(IF($C734="","Commercial",$C734))),Variables!$B$1:$D$1,0),1))*(AV734/365))+(T734*INDEX(Variables!$B$9:$D$9,IFERROR(MATCH(IF($B734="Robusta","Robusta",(IF($B734="","Arabica",$B734))&amp;" - "&amp;(IF($C734="","Commercial",$C734))),Variables!$B$1:$D$1,0),1))*(AV734/365))+(INDEX(Variables!$B$8:$D$8,IFERROR(MATCH(IF($B734="Robusta","Robusta",(IF($B734="","Arabica",$B734))&amp;" - "&amp;(IF($C734="","Commercial",$C734))),Variables!$B$1:$D$1,0),1))*L734/16.67)),""))</f>
        <v>32.656323089724239</v>
      </c>
      <c r="AX734" s="9"/>
      <c r="AY734" s="12"/>
      <c r="AZ734" s="10"/>
      <c r="BA734" s="9"/>
      <c r="BB734" s="10"/>
      <c r="BC734" s="9"/>
      <c r="BD734" s="9"/>
      <c r="BE734" s="9"/>
      <c r="BF734" s="9"/>
    </row>
    <row r="735" spans="1:58" x14ac:dyDescent="0.25">
      <c r="A735" s="9" t="s">
        <v>84</v>
      </c>
      <c r="B735" s="9" t="s">
        <v>85</v>
      </c>
      <c r="C735" s="9" t="s">
        <v>1486</v>
      </c>
      <c r="D735" s="10">
        <v>45379</v>
      </c>
      <c r="E735" s="10">
        <v>45413</v>
      </c>
      <c r="F735" s="10">
        <v>45443</v>
      </c>
      <c r="G735" s="9">
        <v>3786261</v>
      </c>
      <c r="H735" s="9" t="str">
        <f t="shared" si="73"/>
        <v>Closed</v>
      </c>
      <c r="I735" s="9" t="str">
        <f t="shared" si="74"/>
        <v>All dates received</v>
      </c>
      <c r="J735" s="9" t="s">
        <v>1552</v>
      </c>
      <c r="K735" s="9">
        <v>4787</v>
      </c>
      <c r="L735" s="11">
        <v>25</v>
      </c>
      <c r="M735" s="9" t="s">
        <v>1661</v>
      </c>
      <c r="N735" s="9"/>
      <c r="O735" s="9"/>
      <c r="P735" s="9"/>
      <c r="Q735" s="11"/>
      <c r="R735" s="9" t="s">
        <v>195</v>
      </c>
      <c r="S735" s="9" t="s">
        <v>207</v>
      </c>
      <c r="T735" s="12">
        <f>IF($H735="Cancelled","",IFERROR(((Q735+INDEX(Variables!$B$6:$D$6,IFERROR(MATCH(IF($B735="Robusta","Robusta",(IF($B735="","Arabica",$B735))&amp;" - "&amp;(IF($C735="","Commercial",$C735))),Variables!$B$1:$D$1,0),1)))*22.0462)*(L735/16.67),""))</f>
        <v>9614.6295140971797</v>
      </c>
      <c r="U735" s="10"/>
      <c r="V735" s="9" t="str">
        <f t="shared" si="76"/>
        <v/>
      </c>
      <c r="W735" s="10">
        <v>45379</v>
      </c>
      <c r="X735" s="9" t="str">
        <f t="shared" si="72"/>
        <v>Approved</v>
      </c>
      <c r="Y735" s="10">
        <v>45432</v>
      </c>
      <c r="Z735" s="10">
        <f>IF($H735="Cancelled","",IFERROR(IF(F735="","",F735-Variables!$B$13),""))</f>
        <v>45428</v>
      </c>
      <c r="AA735" s="11">
        <f>IF($H735="Cancelled","",IFERROR(IF(W735="","",(AVERAGE(E735:F735)-W735)-Variables!$B$14),""))</f>
        <v>19</v>
      </c>
      <c r="AB735" s="10">
        <v>45441</v>
      </c>
      <c r="AC735" s="11">
        <f>IF($H735="Cancelled","",IFERROR(IF(AB735="","",IF(AND(W735="",Y735=""),"",IF(Y735&gt;W735,Y735+Variables!$B$15+Variables!$B$16+Variables!$B$17-AB735,W735+Variables!$B$16+Variables!$B$17-AB735))),""))</f>
        <v>6</v>
      </c>
      <c r="AD735" s="9" t="s">
        <v>180</v>
      </c>
      <c r="AE735" s="9" t="s">
        <v>1622</v>
      </c>
      <c r="AF735" s="10"/>
      <c r="AG735" s="10"/>
      <c r="AH735" s="9"/>
      <c r="AI735" s="9" t="s">
        <v>1554</v>
      </c>
      <c r="AJ735" s="9">
        <v>9148513776</v>
      </c>
      <c r="AK735" s="10">
        <v>45420</v>
      </c>
      <c r="AL735" s="10">
        <v>45421</v>
      </c>
      <c r="AM735" s="10">
        <v>45428</v>
      </c>
      <c r="AN735" s="9" t="s">
        <v>1492</v>
      </c>
      <c r="AO735" s="9"/>
      <c r="AP735" s="11">
        <f>IF($H735="Cancelled","",IFERROR(IF(OR(AK735="",AB735=""),"",(AB735+Variables!$B$18-AK735)),""))</f>
        <v>28</v>
      </c>
      <c r="AQ735" s="11">
        <f>IF($H735="Cancelled","",IFERROR(IF(OR(AM735="",AK735=""),"",(AK735+Variables!$B$19)-AM735),""))</f>
        <v>-3</v>
      </c>
      <c r="AR735" s="12">
        <f>IF($H735="Cancelled","",IFERROR(T735*INDEX(Variables!$B$7:$D$7,IFERROR(MATCH(IF($B735="Robusta","Robusta",(IF($B735="","Arabica",$B735))&amp;" - "&amp;(IF($C735="","Commercial",$C735))),Variables!$B$1:$D$1,0),1))*(AQ735/365),""))</f>
        <v>-5.095664081539045</v>
      </c>
      <c r="AS735" s="12">
        <f>IF($H735="Cancelled","",IFERROR((T735*INDEX(Variables!$B$7:$D$7,IFERROR(MATCH(IF($B735="Robusta","Robusta",(IF($B735="","Arabica",$B735))&amp;" - "&amp;(IF($C735="","Commercial",$C735))),Variables!$B$1:$D$1,0),1))*IFERROR(IF(W735="","",(AVERAGE(E735:F735)-W735)-Variables!$B$14),"")/365)+(L735/16.67*INDEX(Variables!$B$8:$D$8,IFERROR(MATCH(IF($B735="Robusta","Robusta",(IF($B735="","Arabica",$B735))&amp;" - "&amp;(IF($C735="","Commercial",$C735))),Variables!$B$1:$D$1,0),1))*IFERROR(IF(W735="","",(AVERAGE(E735:F735)-W735)-Variables!$B$14),""))+(T735*INDEX(Variables!$B$9:$D$9,IFERROR(MATCH(IF($B735="Robusta","Robusta",(IF($B735="","Arabica",$B735))&amp;" - "&amp;(IF($C735="","Commercial",$C735))),Variables!$B$1:$D$1,0),1))*IFERROR(IF(W735="","",(AVERAGE(E735:F735)-W735)-Variables!$B$14),"")/365),""))</f>
        <v>56.438594494823938</v>
      </c>
      <c r="AT735" s="12">
        <f>IF($H735="Cancelled","",IFERROR((T735*INDEX(Variables!$B$7:$D$7,IFERROR(MATCH(IF($B735="Robusta","Robusta",(IF($B735="","Arabica",$B735))&amp;" - "&amp;(IF($C735="","Commercial",$C735))),Variables!$B$1:$D$1,0),1))*AC735/365)+(L735/16.67*INDEX(Variables!$B$8:$D$8,IFERROR(MATCH(IF($B735="Robusta","Robusta",(IF($B735="","Arabica",$B735))&amp;" - "&amp;(IF($C735="","Commercial",$C735))),Variables!$B$1:$D$1,0),1))*AC735)+(T735*INDEX(Variables!$B$9:$D$9,IFERROR(MATCH(IF($B735="Robusta","Robusta",(IF($B735="","Arabica",$B735))&amp;" - "&amp;(IF($C735="","Commercial",$C735))),Variables!$B$1:$D$1,0),1))*AC735/365),""))</f>
        <v>17.822714050997032</v>
      </c>
      <c r="AU735" s="12">
        <f>IF($H735="Cancelled","",IFERROR((T735*INDEX(Variables!$B$7:$D$7,IFERROR(MATCH(IF($B735="Robusta","Robusta",(IF($B735="","Arabica",$B735))&amp;" - "&amp;(IF($C735="","Commercial",$C735))),Variables!$B$1:$D$1,0),1))*AP735/365)+(L735/16.67*INDEX(Variables!$B$8:$D$8,IFERROR(MATCH(IF($B735="Robusta","Robusta",(IF($B735="","Arabica",$B735))&amp;" - "&amp;(IF($C735="","Commercial",$C735))),Variables!$B$1:$D$1,0),1))*AP735)+(T735*INDEX(Variables!$B$9:$D$9,IFERROR(MATCH(IF($B735="Robusta","Robusta",(IF($B735="","Arabica",$B735))&amp;" - "&amp;(IF($C735="","Commercial",$C735))),Variables!$B$1:$D$1,0),1))*AP735/365),""))</f>
        <v>83.172665571319484</v>
      </c>
      <c r="AV735" s="11">
        <f t="shared" si="75"/>
        <v>23</v>
      </c>
      <c r="AW735" s="12">
        <f>IF($H735="Cancelled","",IFERROR(IF(AV735="","",(T735*INDEX(Variables!$B$7:$D$7,IFERROR(MATCH(IF($B735="Robusta","Robusta",(IF($B735="","Arabica",$B735))&amp;" - "&amp;(IF($C735="","Commercial",$C735))),Variables!$B$1:$D$1,0),1))*(AV735/365))+(T735*INDEX(Variables!$B$9:$D$9,IFERROR(MATCH(IF($B735="Robusta","Robusta",(IF($B735="","Arabica",$B735))&amp;" - "&amp;(IF($C735="","Commercial",$C735))),Variables!$B$1:$D$1,0),1))*(AV735/365))+(INDEX(Variables!$B$8:$D$8,IFERROR(MATCH(IF($B735="Robusta","Robusta",(IF($B735="","Arabica",$B735))&amp;" - "&amp;(IF($C735="","Commercial",$C735))),Variables!$B$1:$D$1,0),1))*L735/16.67)),""))</f>
        <v>40.820403862155295</v>
      </c>
      <c r="AX735" s="9"/>
      <c r="AY735" s="12"/>
      <c r="AZ735" s="10"/>
      <c r="BA735" s="9"/>
      <c r="BB735" s="10"/>
      <c r="BC735" s="9"/>
      <c r="BD735" s="9"/>
      <c r="BE735" s="9"/>
      <c r="BF735" s="9"/>
    </row>
    <row r="736" spans="1:58" x14ac:dyDescent="0.25">
      <c r="A736" s="9" t="s">
        <v>84</v>
      </c>
      <c r="B736" s="9" t="s">
        <v>85</v>
      </c>
      <c r="C736" s="9" t="s">
        <v>1486</v>
      </c>
      <c r="D736" s="10">
        <v>45379</v>
      </c>
      <c r="E736" s="10">
        <v>45413</v>
      </c>
      <c r="F736" s="10">
        <v>45443</v>
      </c>
      <c r="G736" s="9">
        <v>3786262</v>
      </c>
      <c r="H736" s="9" t="str">
        <f t="shared" si="73"/>
        <v>Closed</v>
      </c>
      <c r="I736" s="9" t="str">
        <f t="shared" si="74"/>
        <v>All dates received</v>
      </c>
      <c r="J736" s="9" t="s">
        <v>1552</v>
      </c>
      <c r="K736" s="9">
        <v>4788</v>
      </c>
      <c r="L736" s="11">
        <v>25</v>
      </c>
      <c r="M736" s="9" t="s">
        <v>1662</v>
      </c>
      <c r="N736" s="9"/>
      <c r="O736" s="9"/>
      <c r="P736" s="9"/>
      <c r="Q736" s="11"/>
      <c r="R736" s="9" t="s">
        <v>195</v>
      </c>
      <c r="S736" s="9" t="s">
        <v>207</v>
      </c>
      <c r="T736" s="12">
        <f>IF($H736="Cancelled","",IFERROR(((Q736+INDEX(Variables!$B$6:$D$6,IFERROR(MATCH(IF($B736="Robusta","Robusta",(IF($B736="","Arabica",$B736))&amp;" - "&amp;(IF($C736="","Commercial",$C736))),Variables!$B$1:$D$1,0),1)))*22.0462)*(L736/16.67),""))</f>
        <v>9614.6295140971797</v>
      </c>
      <c r="U736" s="10"/>
      <c r="V736" s="9" t="str">
        <f t="shared" si="76"/>
        <v/>
      </c>
      <c r="W736" s="10">
        <v>45379</v>
      </c>
      <c r="X736" s="9" t="str">
        <f t="shared" si="72"/>
        <v>Approved</v>
      </c>
      <c r="Y736" s="10">
        <v>45432</v>
      </c>
      <c r="Z736" s="10">
        <f>IF($H736="Cancelled","",IFERROR(IF(F736="","",F736-Variables!$B$13),""))</f>
        <v>45428</v>
      </c>
      <c r="AA736" s="11">
        <f>IF($H736="Cancelled","",IFERROR(IF(W736="","",(AVERAGE(E736:F736)-W736)-Variables!$B$14),""))</f>
        <v>19</v>
      </c>
      <c r="AB736" s="10">
        <v>45441</v>
      </c>
      <c r="AC736" s="11">
        <f>IF($H736="Cancelled","",IFERROR(IF(AB736="","",IF(AND(W736="",Y736=""),"",IF(Y736&gt;W736,Y736+Variables!$B$15+Variables!$B$16+Variables!$B$17-AB736,W736+Variables!$B$16+Variables!$B$17-AB736))),""))</f>
        <v>6</v>
      </c>
      <c r="AD736" s="9" t="s">
        <v>180</v>
      </c>
      <c r="AE736" s="9" t="s">
        <v>1622</v>
      </c>
      <c r="AF736" s="10"/>
      <c r="AG736" s="10"/>
      <c r="AH736" s="9"/>
      <c r="AI736" s="9" t="s">
        <v>1554</v>
      </c>
      <c r="AJ736" s="9">
        <v>9148513776</v>
      </c>
      <c r="AK736" s="10">
        <v>45420</v>
      </c>
      <c r="AL736" s="10">
        <v>45421</v>
      </c>
      <c r="AM736" s="10">
        <v>45428</v>
      </c>
      <c r="AN736" s="9" t="s">
        <v>1492</v>
      </c>
      <c r="AO736" s="9"/>
      <c r="AP736" s="11">
        <f>IF($H736="Cancelled","",IFERROR(IF(OR(AK736="",AB736=""),"",(AB736+Variables!$B$18-AK736)),""))</f>
        <v>28</v>
      </c>
      <c r="AQ736" s="11">
        <f>IF($H736="Cancelled","",IFERROR(IF(OR(AM736="",AK736=""),"",(AK736+Variables!$B$19)-AM736),""))</f>
        <v>-3</v>
      </c>
      <c r="AR736" s="12">
        <f>IF($H736="Cancelled","",IFERROR(T736*INDEX(Variables!$B$7:$D$7,IFERROR(MATCH(IF($B736="Robusta","Robusta",(IF($B736="","Arabica",$B736))&amp;" - "&amp;(IF($C736="","Commercial",$C736))),Variables!$B$1:$D$1,0),1))*(AQ736/365),""))</f>
        <v>-5.095664081539045</v>
      </c>
      <c r="AS736" s="12">
        <f>IF($H736="Cancelled","",IFERROR((T736*INDEX(Variables!$B$7:$D$7,IFERROR(MATCH(IF($B736="Robusta","Robusta",(IF($B736="","Arabica",$B736))&amp;" - "&amp;(IF($C736="","Commercial",$C736))),Variables!$B$1:$D$1,0),1))*IFERROR(IF(W736="","",(AVERAGE(E736:F736)-W736)-Variables!$B$14),"")/365)+(L736/16.67*INDEX(Variables!$B$8:$D$8,IFERROR(MATCH(IF($B736="Robusta","Robusta",(IF($B736="","Arabica",$B736))&amp;" - "&amp;(IF($C736="","Commercial",$C736))),Variables!$B$1:$D$1,0),1))*IFERROR(IF(W736="","",(AVERAGE(E736:F736)-W736)-Variables!$B$14),""))+(T736*INDEX(Variables!$B$9:$D$9,IFERROR(MATCH(IF($B736="Robusta","Robusta",(IF($B736="","Arabica",$B736))&amp;" - "&amp;(IF($C736="","Commercial",$C736))),Variables!$B$1:$D$1,0),1))*IFERROR(IF(W736="","",(AVERAGE(E736:F736)-W736)-Variables!$B$14),"")/365),""))</f>
        <v>56.438594494823938</v>
      </c>
      <c r="AT736" s="12">
        <f>IF($H736="Cancelled","",IFERROR((T736*INDEX(Variables!$B$7:$D$7,IFERROR(MATCH(IF($B736="Robusta","Robusta",(IF($B736="","Arabica",$B736))&amp;" - "&amp;(IF($C736="","Commercial",$C736))),Variables!$B$1:$D$1,0),1))*AC736/365)+(L736/16.67*INDEX(Variables!$B$8:$D$8,IFERROR(MATCH(IF($B736="Robusta","Robusta",(IF($B736="","Arabica",$B736))&amp;" - "&amp;(IF($C736="","Commercial",$C736))),Variables!$B$1:$D$1,0),1))*AC736)+(T736*INDEX(Variables!$B$9:$D$9,IFERROR(MATCH(IF($B736="Robusta","Robusta",(IF($B736="","Arabica",$B736))&amp;" - "&amp;(IF($C736="","Commercial",$C736))),Variables!$B$1:$D$1,0),1))*AC736/365),""))</f>
        <v>17.822714050997032</v>
      </c>
      <c r="AU736" s="12">
        <f>IF($H736="Cancelled","",IFERROR((T736*INDEX(Variables!$B$7:$D$7,IFERROR(MATCH(IF($B736="Robusta","Robusta",(IF($B736="","Arabica",$B736))&amp;" - "&amp;(IF($C736="","Commercial",$C736))),Variables!$B$1:$D$1,0),1))*AP736/365)+(L736/16.67*INDEX(Variables!$B$8:$D$8,IFERROR(MATCH(IF($B736="Robusta","Robusta",(IF($B736="","Arabica",$B736))&amp;" - "&amp;(IF($C736="","Commercial",$C736))),Variables!$B$1:$D$1,0),1))*AP736)+(T736*INDEX(Variables!$B$9:$D$9,IFERROR(MATCH(IF($B736="Robusta","Robusta",(IF($B736="","Arabica",$B736))&amp;" - "&amp;(IF($C736="","Commercial",$C736))),Variables!$B$1:$D$1,0),1))*AP736/365),""))</f>
        <v>83.172665571319484</v>
      </c>
      <c r="AV736" s="11">
        <f t="shared" si="75"/>
        <v>23</v>
      </c>
      <c r="AW736" s="12">
        <f>IF($H736="Cancelled","",IFERROR(IF(AV736="","",(T736*INDEX(Variables!$B$7:$D$7,IFERROR(MATCH(IF($B736="Robusta","Robusta",(IF($B736="","Arabica",$B736))&amp;" - "&amp;(IF($C736="","Commercial",$C736))),Variables!$B$1:$D$1,0),1))*(AV736/365))+(T736*INDEX(Variables!$B$9:$D$9,IFERROR(MATCH(IF($B736="Robusta","Robusta",(IF($B736="","Arabica",$B736))&amp;" - "&amp;(IF($C736="","Commercial",$C736))),Variables!$B$1:$D$1,0),1))*(AV736/365))+(INDEX(Variables!$B$8:$D$8,IFERROR(MATCH(IF($B736="Robusta","Robusta",(IF($B736="","Arabica",$B736))&amp;" - "&amp;(IF($C736="","Commercial",$C736))),Variables!$B$1:$D$1,0),1))*L736/16.67)),""))</f>
        <v>40.820403862155295</v>
      </c>
      <c r="AX736" s="9"/>
      <c r="AY736" s="12"/>
      <c r="AZ736" s="10"/>
      <c r="BA736" s="9"/>
      <c r="BB736" s="10"/>
      <c r="BC736" s="9"/>
      <c r="BD736" s="9"/>
      <c r="BE736" s="9"/>
      <c r="BF736" s="9"/>
    </row>
    <row r="737" spans="1:58" x14ac:dyDescent="0.25">
      <c r="A737" s="9" t="s">
        <v>84</v>
      </c>
      <c r="B737" s="9" t="s">
        <v>85</v>
      </c>
      <c r="C737" s="9" t="s">
        <v>1486</v>
      </c>
      <c r="D737" s="10">
        <v>45379</v>
      </c>
      <c r="E737" s="10">
        <v>45413</v>
      </c>
      <c r="F737" s="10">
        <v>45443</v>
      </c>
      <c r="G737" s="9">
        <v>3786263</v>
      </c>
      <c r="H737" s="9" t="str">
        <f t="shared" si="73"/>
        <v>Closed</v>
      </c>
      <c r="I737" s="9" t="str">
        <f t="shared" si="74"/>
        <v>All dates received</v>
      </c>
      <c r="J737" s="9" t="s">
        <v>1552</v>
      </c>
      <c r="K737" s="9">
        <v>4789</v>
      </c>
      <c r="L737" s="11">
        <v>20</v>
      </c>
      <c r="M737" s="9" t="s">
        <v>1663</v>
      </c>
      <c r="N737" s="9"/>
      <c r="O737" s="9"/>
      <c r="P737" s="9"/>
      <c r="Q737" s="11"/>
      <c r="R737" s="9" t="s">
        <v>195</v>
      </c>
      <c r="S737" s="9" t="s">
        <v>207</v>
      </c>
      <c r="T737" s="12">
        <f>IF($H737="Cancelled","",IFERROR(((Q737+INDEX(Variables!$B$6:$D$6,IFERROR(MATCH(IF($B737="Robusta","Robusta",(IF($B737="","Arabica",$B737))&amp;" - "&amp;(IF($C737="","Commercial",$C737))),Variables!$B$1:$D$1,0),1)))*22.0462)*(L737/16.67),""))</f>
        <v>7691.7036112777441</v>
      </c>
      <c r="U737" s="10"/>
      <c r="V737" s="9" t="str">
        <f t="shared" si="76"/>
        <v/>
      </c>
      <c r="W737" s="10">
        <v>45379</v>
      </c>
      <c r="X737" s="9" t="str">
        <f t="shared" si="72"/>
        <v>Approved</v>
      </c>
      <c r="Y737" s="10">
        <v>45432</v>
      </c>
      <c r="Z737" s="10">
        <f>IF($H737="Cancelled","",IFERROR(IF(F737="","",F737-Variables!$B$13),""))</f>
        <v>45428</v>
      </c>
      <c r="AA737" s="11">
        <f>IF($H737="Cancelled","",IFERROR(IF(W737="","",(AVERAGE(E737:F737)-W737)-Variables!$B$14),""))</f>
        <v>19</v>
      </c>
      <c r="AB737" s="10">
        <v>45441</v>
      </c>
      <c r="AC737" s="11">
        <f>IF($H737="Cancelled","",IFERROR(IF(AB737="","",IF(AND(W737="",Y737=""),"",IF(Y737&gt;W737,Y737+Variables!$B$15+Variables!$B$16+Variables!$B$17-AB737,W737+Variables!$B$16+Variables!$B$17-AB737))),""))</f>
        <v>6</v>
      </c>
      <c r="AD737" s="9" t="s">
        <v>180</v>
      </c>
      <c r="AE737" s="9" t="s">
        <v>1622</v>
      </c>
      <c r="AF737" s="10"/>
      <c r="AG737" s="10"/>
      <c r="AH737" s="9"/>
      <c r="AI737" s="9" t="s">
        <v>1554</v>
      </c>
      <c r="AJ737" s="9">
        <v>9148513776</v>
      </c>
      <c r="AK737" s="10">
        <v>45420</v>
      </c>
      <c r="AL737" s="10">
        <v>45421</v>
      </c>
      <c r="AM737" s="10">
        <v>45428</v>
      </c>
      <c r="AN737" s="9" t="s">
        <v>1492</v>
      </c>
      <c r="AO737" s="9"/>
      <c r="AP737" s="11">
        <f>IF($H737="Cancelled","",IFERROR(IF(OR(AK737="",AB737=""),"",(AB737+Variables!$B$18-AK737)),""))</f>
        <v>28</v>
      </c>
      <c r="AQ737" s="11">
        <f>IF($H737="Cancelled","",IFERROR(IF(OR(AM737="",AK737=""),"",(AK737+Variables!$B$19)-AM737),""))</f>
        <v>-3</v>
      </c>
      <c r="AR737" s="12">
        <f>IF($H737="Cancelled","",IFERROR(T737*INDEX(Variables!$B$7:$D$7,IFERROR(MATCH(IF($B737="Robusta","Robusta",(IF($B737="","Arabica",$B737))&amp;" - "&amp;(IF($C737="","Commercial",$C737))),Variables!$B$1:$D$1,0),1))*(AQ737/365),""))</f>
        <v>-4.0765312652312362</v>
      </c>
      <c r="AS737" s="12">
        <f>IF($H737="Cancelled","",IFERROR((T737*INDEX(Variables!$B$7:$D$7,IFERROR(MATCH(IF($B737="Robusta","Robusta",(IF($B737="","Arabica",$B737))&amp;" - "&amp;(IF($C737="","Commercial",$C737))),Variables!$B$1:$D$1,0),1))*IFERROR(IF(W737="","",(AVERAGE(E737:F737)-W737)-Variables!$B$14),"")/365)+(L737/16.67*INDEX(Variables!$B$8:$D$8,IFERROR(MATCH(IF($B737="Robusta","Robusta",(IF($B737="","Arabica",$B737))&amp;" - "&amp;(IF($C737="","Commercial",$C737))),Variables!$B$1:$D$1,0),1))*IFERROR(IF(W737="","",(AVERAGE(E737:F737)-W737)-Variables!$B$14),""))+(T737*INDEX(Variables!$B$9:$D$9,IFERROR(MATCH(IF($B737="Robusta","Robusta",(IF($B737="","Arabica",$B737))&amp;" - "&amp;(IF($C737="","Commercial",$C737))),Variables!$B$1:$D$1,0),1))*IFERROR(IF(W737="","",(AVERAGE(E737:F737)-W737)-Variables!$B$14),"")/365),""))</f>
        <v>45.150875595859155</v>
      </c>
      <c r="AT737" s="12">
        <f>IF($H737="Cancelled","",IFERROR((T737*INDEX(Variables!$B$7:$D$7,IFERROR(MATCH(IF($B737="Robusta","Robusta",(IF($B737="","Arabica",$B737))&amp;" - "&amp;(IF($C737="","Commercial",$C737))),Variables!$B$1:$D$1,0),1))*AC737/365)+(L737/16.67*INDEX(Variables!$B$8:$D$8,IFERROR(MATCH(IF($B737="Robusta","Robusta",(IF($B737="","Arabica",$B737))&amp;" - "&amp;(IF($C737="","Commercial",$C737))),Variables!$B$1:$D$1,0),1))*AC737)+(T737*INDEX(Variables!$B$9:$D$9,IFERROR(MATCH(IF($B737="Robusta","Robusta",(IF($B737="","Arabica",$B737))&amp;" - "&amp;(IF($C737="","Commercial",$C737))),Variables!$B$1:$D$1,0),1))*AC737/365),""))</f>
        <v>14.258171240797626</v>
      </c>
      <c r="AU737" s="12">
        <f>IF($H737="Cancelled","",IFERROR((T737*INDEX(Variables!$B$7:$D$7,IFERROR(MATCH(IF($B737="Robusta","Robusta",(IF($B737="","Arabica",$B737))&amp;" - "&amp;(IF($C737="","Commercial",$C737))),Variables!$B$1:$D$1,0),1))*AP737/365)+(L737/16.67*INDEX(Variables!$B$8:$D$8,IFERROR(MATCH(IF($B737="Robusta","Robusta",(IF($B737="","Arabica",$B737))&amp;" - "&amp;(IF($C737="","Commercial",$C737))),Variables!$B$1:$D$1,0),1))*AP737)+(T737*INDEX(Variables!$B$9:$D$9,IFERROR(MATCH(IF($B737="Robusta","Robusta",(IF($B737="","Arabica",$B737))&amp;" - "&amp;(IF($C737="","Commercial",$C737))),Variables!$B$1:$D$1,0),1))*AP737/365),""))</f>
        <v>66.538132457055596</v>
      </c>
      <c r="AV737" s="11">
        <f t="shared" si="75"/>
        <v>23</v>
      </c>
      <c r="AW737" s="12">
        <f>IF($H737="Cancelled","",IFERROR(IF(AV737="","",(T737*INDEX(Variables!$B$7:$D$7,IFERROR(MATCH(IF($B737="Robusta","Robusta",(IF($B737="","Arabica",$B737))&amp;" - "&amp;(IF($C737="","Commercial",$C737))),Variables!$B$1:$D$1,0),1))*(AV737/365))+(T737*INDEX(Variables!$B$9:$D$9,IFERROR(MATCH(IF($B737="Robusta","Robusta",(IF($B737="","Arabica",$B737))&amp;" - "&amp;(IF($C737="","Commercial",$C737))),Variables!$B$1:$D$1,0),1))*(AV737/365))+(INDEX(Variables!$B$8:$D$8,IFERROR(MATCH(IF($B737="Robusta","Robusta",(IF($B737="","Arabica",$B737))&amp;" - "&amp;(IF($C737="","Commercial",$C737))),Variables!$B$1:$D$1,0),1))*L737/16.67)),""))</f>
        <v>32.656323089724239</v>
      </c>
      <c r="AX737" s="9"/>
      <c r="AY737" s="12"/>
      <c r="AZ737" s="10"/>
      <c r="BA737" s="9"/>
      <c r="BB737" s="10"/>
      <c r="BC737" s="9"/>
      <c r="BD737" s="9"/>
      <c r="BE737" s="9"/>
      <c r="BF737" s="9"/>
    </row>
    <row r="738" spans="1:58" x14ac:dyDescent="0.25">
      <c r="A738" s="9" t="s">
        <v>84</v>
      </c>
      <c r="B738" s="9" t="s">
        <v>85</v>
      </c>
      <c r="C738" s="9" t="s">
        <v>1486</v>
      </c>
      <c r="D738" s="10">
        <v>45384</v>
      </c>
      <c r="E738" s="10">
        <v>45413</v>
      </c>
      <c r="F738" s="10">
        <v>45443</v>
      </c>
      <c r="G738" s="9">
        <v>3786269</v>
      </c>
      <c r="H738" s="9" t="str">
        <f t="shared" si="73"/>
        <v>Closed</v>
      </c>
      <c r="I738" s="9" t="str">
        <f t="shared" si="74"/>
        <v>All dates received</v>
      </c>
      <c r="J738" s="9" t="s">
        <v>547</v>
      </c>
      <c r="K738" s="9">
        <v>4847</v>
      </c>
      <c r="L738" s="11">
        <v>47</v>
      </c>
      <c r="M738" s="9" t="s">
        <v>1664</v>
      </c>
      <c r="N738" s="9"/>
      <c r="O738" s="9"/>
      <c r="P738" s="9"/>
      <c r="Q738" s="11"/>
      <c r="R738" s="9" t="s">
        <v>195</v>
      </c>
      <c r="S738" s="9" t="s">
        <v>156</v>
      </c>
      <c r="T738" s="12">
        <f>IF($H738="Cancelled","",IFERROR(((Q738+INDEX(Variables!$B$6:$D$6,IFERROR(MATCH(IF($B738="Robusta","Robusta",(IF($B738="","Arabica",$B738))&amp;" - "&amp;(IF($C738="","Commercial",$C738))),Variables!$B$1:$D$1,0),1)))*22.0462)*(L738/16.67),""))</f>
        <v>18075.503486502697</v>
      </c>
      <c r="U738" s="10"/>
      <c r="V738" s="9" t="str">
        <f t="shared" si="76"/>
        <v/>
      </c>
      <c r="W738" s="10">
        <v>45413</v>
      </c>
      <c r="X738" s="9" t="str">
        <f t="shared" si="72"/>
        <v>Approved</v>
      </c>
      <c r="Y738" s="10">
        <v>45413</v>
      </c>
      <c r="Z738" s="10">
        <f>IF($H738="Cancelled","",IFERROR(IF(F738="","",F738-Variables!$B$13),""))</f>
        <v>45428</v>
      </c>
      <c r="AA738" s="11">
        <f>IF($H738="Cancelled","",IFERROR(IF(W738="","",(AVERAGE(E738:F738)-W738)-Variables!$B$14),""))</f>
        <v>-15</v>
      </c>
      <c r="AB738" s="10">
        <v>45418</v>
      </c>
      <c r="AC738" s="11">
        <f>IF($H738="Cancelled","",IFERROR(IF(AB738="","",IF(AND(W738="",Y738=""),"",IF(Y738&gt;W738,Y738+Variables!$B$15+Variables!$B$16+Variables!$B$17-AB738,W738+Variables!$B$16+Variables!$B$17-AB738))),""))</f>
        <v>3</v>
      </c>
      <c r="AD738" s="9" t="s">
        <v>92</v>
      </c>
      <c r="AE738" s="9" t="s">
        <v>254</v>
      </c>
      <c r="AF738" s="10"/>
      <c r="AG738" s="10"/>
      <c r="AH738" s="9"/>
      <c r="AI738" s="9" t="s">
        <v>1665</v>
      </c>
      <c r="AJ738" s="9" t="s">
        <v>1666</v>
      </c>
      <c r="AK738" s="10">
        <v>45429</v>
      </c>
      <c r="AL738" s="10">
        <v>45432</v>
      </c>
      <c r="AM738" s="10">
        <v>45450</v>
      </c>
      <c r="AN738" s="9" t="s">
        <v>1492</v>
      </c>
      <c r="AO738" s="9"/>
      <c r="AP738" s="11">
        <f>IF($H738="Cancelled","",IFERROR(IF(OR(AK738="",AB738=""),"",(AB738+Variables!$B$18-AK738)),""))</f>
        <v>-4</v>
      </c>
      <c r="AQ738" s="11">
        <f>IF($H738="Cancelled","",IFERROR(IF(OR(AM738="",AK738=""),"",(AK738+Variables!$B$19)-AM738),""))</f>
        <v>-16</v>
      </c>
      <c r="AR738" s="12">
        <f>IF($H738="Cancelled","",IFERROR(T738*INDEX(Variables!$B$7:$D$7,IFERROR(MATCH(IF($B738="Robusta","Robusta",(IF($B738="","Arabica",$B738))&amp;" - "&amp;(IF($C738="","Commercial",$C738))),Variables!$B$1:$D$1,0),1))*(AQ738/365),""))</f>
        <v>-51.092525190898158</v>
      </c>
      <c r="AS738" s="12">
        <f>IF($H738="Cancelled","",IFERROR((T738*INDEX(Variables!$B$7:$D$7,IFERROR(MATCH(IF($B738="Robusta","Robusta",(IF($B738="","Arabica",$B738))&amp;" - "&amp;(IF($C738="","Commercial",$C738))),Variables!$B$1:$D$1,0),1))*IFERROR(IF(W738="","",(AVERAGE(E738:F738)-W738)-Variables!$B$14),"")/365)+(L738/16.67*INDEX(Variables!$B$8:$D$8,IFERROR(MATCH(IF($B738="Robusta","Robusta",(IF($B738="","Arabica",$B738))&amp;" - "&amp;(IF($C738="","Commercial",$C738))),Variables!$B$1:$D$1,0),1))*IFERROR(IF(W738="","",(AVERAGE(E738:F738)-W738)-Variables!$B$14),""))+(T738*INDEX(Variables!$B$9:$D$9,IFERROR(MATCH(IF($B738="Robusta","Robusta",(IF($B738="","Arabica",$B738))&amp;" - "&amp;(IF($C738="","Commercial",$C738))),Variables!$B$1:$D$1,0),1))*IFERROR(IF(W738="","",(AVERAGE(E738:F738)-W738)-Variables!$B$14),"")/365),""))</f>
        <v>-83.766756039686044</v>
      </c>
      <c r="AT738" s="12">
        <f>IF($H738="Cancelled","",IFERROR((T738*INDEX(Variables!$B$7:$D$7,IFERROR(MATCH(IF($B738="Robusta","Robusta",(IF($B738="","Arabica",$B738))&amp;" - "&amp;(IF($C738="","Commercial",$C738))),Variables!$B$1:$D$1,0),1))*AC738/365)+(L738/16.67*INDEX(Variables!$B$8:$D$8,IFERROR(MATCH(IF($B738="Robusta","Robusta",(IF($B738="","Arabica",$B738))&amp;" - "&amp;(IF($C738="","Commercial",$C738))),Variables!$B$1:$D$1,0),1))*AC738)+(T738*INDEX(Variables!$B$9:$D$9,IFERROR(MATCH(IF($B738="Robusta","Robusta",(IF($B738="","Arabica",$B738))&amp;" - "&amp;(IF($C738="","Commercial",$C738))),Variables!$B$1:$D$1,0),1))*AC738/365),""))</f>
        <v>16.753351207937214</v>
      </c>
      <c r="AU738" s="12">
        <f>IF($H738="Cancelled","",IFERROR((T738*INDEX(Variables!$B$7:$D$7,IFERROR(MATCH(IF($B738="Robusta","Robusta",(IF($B738="","Arabica",$B738))&amp;" - "&amp;(IF($C738="","Commercial",$C738))),Variables!$B$1:$D$1,0),1))*AP738/365)+(L738/16.67*INDEX(Variables!$B$8:$D$8,IFERROR(MATCH(IF($B738="Robusta","Robusta",(IF($B738="","Arabica",$B738))&amp;" - "&amp;(IF($C738="","Commercial",$C738))),Variables!$B$1:$D$1,0),1))*AP738)+(T738*INDEX(Variables!$B$9:$D$9,IFERROR(MATCH(IF($B738="Robusta","Robusta",(IF($B738="","Arabica",$B738))&amp;" - "&amp;(IF($C738="","Commercial",$C738))),Variables!$B$1:$D$1,0),1))*AP738/365),""))</f>
        <v>-22.337801610582947</v>
      </c>
      <c r="AV738" s="11">
        <f t="shared" si="75"/>
        <v>14</v>
      </c>
      <c r="AW738" s="12">
        <f>IF($H738="Cancelled","",IFERROR(IF(AV738="","",(T738*INDEX(Variables!$B$7:$D$7,IFERROR(MATCH(IF($B738="Robusta","Robusta",(IF($B738="","Arabica",$B738))&amp;" - "&amp;(IF($C738="","Commercial",$C738))),Variables!$B$1:$D$1,0),1))*(AV738/365))+(T738*INDEX(Variables!$B$9:$D$9,IFERROR(MATCH(IF($B738="Robusta","Robusta",(IF($B738="","Arabica",$B738))&amp;" - "&amp;(IF($C738="","Commercial",$C738))),Variables!$B$1:$D$1,0),1))*(AV738/365))+(INDEX(Variables!$B$8:$D$8,IFERROR(MATCH(IF($B738="Robusta","Robusta",(IF($B738="","Arabica",$B738))&amp;" - "&amp;(IF($C738="","Commercial",$C738))),Variables!$B$1:$D$1,0),1))*L738/16.67)),""))</f>
        <v>47.632305637040318</v>
      </c>
      <c r="AX738" s="9"/>
      <c r="AY738" s="12"/>
      <c r="AZ738" s="10"/>
      <c r="BA738" s="9"/>
      <c r="BB738" s="10"/>
      <c r="BC738" s="9"/>
      <c r="BD738" s="9"/>
      <c r="BE738" s="9"/>
      <c r="BF738" s="9"/>
    </row>
    <row r="739" spans="1:58" x14ac:dyDescent="0.25">
      <c r="A739" s="9" t="s">
        <v>84</v>
      </c>
      <c r="B739" s="9" t="s">
        <v>85</v>
      </c>
      <c r="C739" s="9" t="s">
        <v>1486</v>
      </c>
      <c r="D739" s="10">
        <v>45384</v>
      </c>
      <c r="E739" s="10">
        <v>45413</v>
      </c>
      <c r="F739" s="10">
        <v>45443</v>
      </c>
      <c r="G739" s="9">
        <v>3786270</v>
      </c>
      <c r="H739" s="9" t="str">
        <f t="shared" si="73"/>
        <v>Closed</v>
      </c>
      <c r="I739" s="9" t="str">
        <f t="shared" si="74"/>
        <v>All dates received</v>
      </c>
      <c r="J739" s="9" t="s">
        <v>547</v>
      </c>
      <c r="K739" s="9">
        <v>4848</v>
      </c>
      <c r="L739" s="11">
        <v>20</v>
      </c>
      <c r="M739" s="9" t="s">
        <v>1667</v>
      </c>
      <c r="N739" s="9"/>
      <c r="O739" s="9"/>
      <c r="P739" s="9"/>
      <c r="Q739" s="11"/>
      <c r="R739" s="9" t="s">
        <v>195</v>
      </c>
      <c r="S739" s="9" t="s">
        <v>156</v>
      </c>
      <c r="T739" s="12">
        <f>IF($H739="Cancelled","",IFERROR(((Q739+INDEX(Variables!$B$6:$D$6,IFERROR(MATCH(IF($B739="Robusta","Robusta",(IF($B739="","Arabica",$B739))&amp;" - "&amp;(IF($C739="","Commercial",$C739))),Variables!$B$1:$D$1,0),1)))*22.0462)*(L739/16.67),""))</f>
        <v>7691.7036112777441</v>
      </c>
      <c r="U739" s="10"/>
      <c r="V739" s="9" t="str">
        <f t="shared" si="76"/>
        <v/>
      </c>
      <c r="W739" s="10">
        <v>45413</v>
      </c>
      <c r="X739" s="9" t="str">
        <f t="shared" si="72"/>
        <v>Approved</v>
      </c>
      <c r="Y739" s="10">
        <v>45413</v>
      </c>
      <c r="Z739" s="10">
        <f>IF($H739="Cancelled","",IFERROR(IF(F739="","",F739-Variables!$B$13),""))</f>
        <v>45428</v>
      </c>
      <c r="AA739" s="11">
        <f>IF($H739="Cancelled","",IFERROR(IF(W739="","",(AVERAGE(E739:F739)-W739)-Variables!$B$14),""))</f>
        <v>-15</v>
      </c>
      <c r="AB739" s="10">
        <v>45418</v>
      </c>
      <c r="AC739" s="11">
        <f>IF($H739="Cancelled","",IFERROR(IF(AB739="","",IF(AND(W739="",Y739=""),"",IF(Y739&gt;W739,Y739+Variables!$B$15+Variables!$B$16+Variables!$B$17-AB739,W739+Variables!$B$16+Variables!$B$17-AB739))),""))</f>
        <v>3</v>
      </c>
      <c r="AD739" s="9" t="s">
        <v>92</v>
      </c>
      <c r="AE739" s="9" t="s">
        <v>254</v>
      </c>
      <c r="AF739" s="10"/>
      <c r="AG739" s="10"/>
      <c r="AH739" s="9"/>
      <c r="AI739" s="9" t="s">
        <v>1665</v>
      </c>
      <c r="AJ739" s="9" t="s">
        <v>1666</v>
      </c>
      <c r="AK739" s="10">
        <v>45429</v>
      </c>
      <c r="AL739" s="10">
        <v>45432</v>
      </c>
      <c r="AM739" s="10">
        <v>45450</v>
      </c>
      <c r="AN739" s="9" t="s">
        <v>1492</v>
      </c>
      <c r="AO739" s="9"/>
      <c r="AP739" s="11">
        <f>IF($H739="Cancelled","",IFERROR(IF(OR(AK739="",AB739=""),"",(AB739+Variables!$B$18-AK739)),""))</f>
        <v>-4</v>
      </c>
      <c r="AQ739" s="11">
        <f>IF($H739="Cancelled","",IFERROR(IF(OR(AM739="",AK739=""),"",(AK739+Variables!$B$19)-AM739),""))</f>
        <v>-16</v>
      </c>
      <c r="AR739" s="12">
        <f>IF($H739="Cancelled","",IFERROR(T739*INDEX(Variables!$B$7:$D$7,IFERROR(MATCH(IF($B739="Robusta","Robusta",(IF($B739="","Arabica",$B739))&amp;" - "&amp;(IF($C739="","Commercial",$C739))),Variables!$B$1:$D$1,0),1))*(AQ739/365),""))</f>
        <v>-21.741500081233262</v>
      </c>
      <c r="AS739" s="12">
        <f>IF($H739="Cancelled","",IFERROR((T739*INDEX(Variables!$B$7:$D$7,IFERROR(MATCH(IF($B739="Robusta","Robusta",(IF($B739="","Arabica",$B739))&amp;" - "&amp;(IF($C739="","Commercial",$C739))),Variables!$B$1:$D$1,0),1))*IFERROR(IF(W739="","",(AVERAGE(E739:F739)-W739)-Variables!$B$14),"")/365)+(L739/16.67*INDEX(Variables!$B$8:$D$8,IFERROR(MATCH(IF($B739="Robusta","Robusta",(IF($B739="","Arabica",$B739))&amp;" - "&amp;(IF($C739="","Commercial",$C739))),Variables!$B$1:$D$1,0),1))*IFERROR(IF(W739="","",(AVERAGE(E739:F739)-W739)-Variables!$B$14),""))+(T739*INDEX(Variables!$B$9:$D$9,IFERROR(MATCH(IF($B739="Robusta","Robusta",(IF($B739="","Arabica",$B739))&amp;" - "&amp;(IF($C739="","Commercial",$C739))),Variables!$B$1:$D$1,0),1))*IFERROR(IF(W739="","",(AVERAGE(E739:F739)-W739)-Variables!$B$14),"")/365),""))</f>
        <v>-35.645428101994064</v>
      </c>
      <c r="AT739" s="12">
        <f>IF($H739="Cancelled","",IFERROR((T739*INDEX(Variables!$B$7:$D$7,IFERROR(MATCH(IF($B739="Robusta","Robusta",(IF($B739="","Arabica",$B739))&amp;" - "&amp;(IF($C739="","Commercial",$C739))),Variables!$B$1:$D$1,0),1))*AC739/365)+(L739/16.67*INDEX(Variables!$B$8:$D$8,IFERROR(MATCH(IF($B739="Robusta","Robusta",(IF($B739="","Arabica",$B739))&amp;" - "&amp;(IF($C739="","Commercial",$C739))),Variables!$B$1:$D$1,0),1))*AC739)+(T739*INDEX(Variables!$B$9:$D$9,IFERROR(MATCH(IF($B739="Robusta","Robusta",(IF($B739="","Arabica",$B739))&amp;" - "&amp;(IF($C739="","Commercial",$C739))),Variables!$B$1:$D$1,0),1))*AC739/365),""))</f>
        <v>7.1290856203988131</v>
      </c>
      <c r="AU739" s="12">
        <f>IF($H739="Cancelled","",IFERROR((T739*INDEX(Variables!$B$7:$D$7,IFERROR(MATCH(IF($B739="Robusta","Robusta",(IF($B739="","Arabica",$B739))&amp;" - "&amp;(IF($C739="","Commercial",$C739))),Variables!$B$1:$D$1,0),1))*AP739/365)+(L739/16.67*INDEX(Variables!$B$8:$D$8,IFERROR(MATCH(IF($B739="Robusta","Robusta",(IF($B739="","Arabica",$B739))&amp;" - "&amp;(IF($C739="","Commercial",$C739))),Variables!$B$1:$D$1,0),1))*AP739)+(T739*INDEX(Variables!$B$9:$D$9,IFERROR(MATCH(IF($B739="Robusta","Robusta",(IF($B739="","Arabica",$B739))&amp;" - "&amp;(IF($C739="","Commercial",$C739))),Variables!$B$1:$D$1,0),1))*AP739/365),""))</f>
        <v>-9.5054474938650841</v>
      </c>
      <c r="AV739" s="11">
        <f t="shared" si="75"/>
        <v>14</v>
      </c>
      <c r="AW739" s="12">
        <f>IF($H739="Cancelled","",IFERROR(IF(AV739="","",(T739*INDEX(Variables!$B$7:$D$7,IFERROR(MATCH(IF($B739="Robusta","Robusta",(IF($B739="","Arabica",$B739))&amp;" - "&amp;(IF($C739="","Commercial",$C739))),Variables!$B$1:$D$1,0),1))*(AV739/365))+(T739*INDEX(Variables!$B$9:$D$9,IFERROR(MATCH(IF($B739="Robusta","Robusta",(IF($B739="","Arabica",$B739))&amp;" - "&amp;(IF($C739="","Commercial",$C739))),Variables!$B$1:$D$1,0),1))*(AV739/365))+(INDEX(Variables!$B$8:$D$8,IFERROR(MATCH(IF($B739="Robusta","Robusta",(IF($B739="","Arabica",$B739))&amp;" - "&amp;(IF($C739="","Commercial",$C739))),Variables!$B$1:$D$1,0),1))*L739/16.67)),""))</f>
        <v>20.269066228527798</v>
      </c>
      <c r="AX739" s="9"/>
      <c r="AY739" s="12"/>
      <c r="AZ739" s="10"/>
      <c r="BA739" s="9"/>
      <c r="BB739" s="10"/>
      <c r="BC739" s="9"/>
      <c r="BD739" s="9"/>
      <c r="BE739" s="9"/>
      <c r="BF739" s="9"/>
    </row>
    <row r="740" spans="1:58" x14ac:dyDescent="0.25">
      <c r="A740" s="9" t="s">
        <v>84</v>
      </c>
      <c r="B740" s="9" t="s">
        <v>85</v>
      </c>
      <c r="C740" s="9" t="s">
        <v>1486</v>
      </c>
      <c r="D740" s="10">
        <v>45384</v>
      </c>
      <c r="E740" s="10">
        <v>45413</v>
      </c>
      <c r="F740" s="10">
        <v>45443</v>
      </c>
      <c r="G740" s="9">
        <v>3786271</v>
      </c>
      <c r="H740" s="9" t="str">
        <f t="shared" si="73"/>
        <v>Closed</v>
      </c>
      <c r="I740" s="9" t="str">
        <f t="shared" si="74"/>
        <v>All dates received</v>
      </c>
      <c r="J740" s="9" t="s">
        <v>547</v>
      </c>
      <c r="K740" s="9">
        <v>4849</v>
      </c>
      <c r="L740" s="11">
        <v>40</v>
      </c>
      <c r="M740" s="9" t="s">
        <v>1668</v>
      </c>
      <c r="N740" s="9"/>
      <c r="O740" s="9"/>
      <c r="P740" s="9"/>
      <c r="Q740" s="11"/>
      <c r="R740" s="9" t="s">
        <v>195</v>
      </c>
      <c r="S740" s="9" t="s">
        <v>156</v>
      </c>
      <c r="T740" s="12">
        <f>IF($H740="Cancelled","",IFERROR(((Q740+INDEX(Variables!$B$6:$D$6,IFERROR(MATCH(IF($B740="Robusta","Robusta",(IF($B740="","Arabica",$B740))&amp;" - "&amp;(IF($C740="","Commercial",$C740))),Variables!$B$1:$D$1,0),1)))*22.0462)*(L740/16.67),""))</f>
        <v>15383.407222555488</v>
      </c>
      <c r="U740" s="10"/>
      <c r="V740" s="9" t="str">
        <f t="shared" si="76"/>
        <v/>
      </c>
      <c r="W740" s="10">
        <v>45413</v>
      </c>
      <c r="X740" s="9" t="str">
        <f t="shared" si="72"/>
        <v>Approved</v>
      </c>
      <c r="Y740" s="10">
        <v>45413</v>
      </c>
      <c r="Z740" s="10">
        <f>IF($H740="Cancelled","",IFERROR(IF(F740="","",F740-Variables!$B$13),""))</f>
        <v>45428</v>
      </c>
      <c r="AA740" s="11">
        <f>IF($H740="Cancelled","",IFERROR(IF(W740="","",(AVERAGE(E740:F740)-W740)-Variables!$B$14),""))</f>
        <v>-15</v>
      </c>
      <c r="AB740" s="10">
        <v>45418</v>
      </c>
      <c r="AC740" s="11">
        <f>IF($H740="Cancelled","",IFERROR(IF(AB740="","",IF(AND(W740="",Y740=""),"",IF(Y740&gt;W740,Y740+Variables!$B$15+Variables!$B$16+Variables!$B$17-AB740,W740+Variables!$B$16+Variables!$B$17-AB740))),""))</f>
        <v>3</v>
      </c>
      <c r="AD740" s="9" t="s">
        <v>92</v>
      </c>
      <c r="AE740" s="9" t="s">
        <v>254</v>
      </c>
      <c r="AF740" s="10"/>
      <c r="AG740" s="10"/>
      <c r="AH740" s="9"/>
      <c r="AI740" s="9" t="s">
        <v>1665</v>
      </c>
      <c r="AJ740" s="9" t="s">
        <v>1666</v>
      </c>
      <c r="AK740" s="10">
        <v>45429</v>
      </c>
      <c r="AL740" s="10">
        <v>45432</v>
      </c>
      <c r="AM740" s="10">
        <v>45450</v>
      </c>
      <c r="AN740" s="9" t="s">
        <v>1492</v>
      </c>
      <c r="AO740" s="9"/>
      <c r="AP740" s="11">
        <f>IF($H740="Cancelled","",IFERROR(IF(OR(AK740="",AB740=""),"",(AB740+Variables!$B$18-AK740)),""))</f>
        <v>-4</v>
      </c>
      <c r="AQ740" s="11">
        <f>IF($H740="Cancelled","",IFERROR(IF(OR(AM740="",AK740=""),"",(AK740+Variables!$B$19)-AM740),""))</f>
        <v>-16</v>
      </c>
      <c r="AR740" s="12">
        <f>IF($H740="Cancelled","",IFERROR(T740*INDEX(Variables!$B$7:$D$7,IFERROR(MATCH(IF($B740="Robusta","Robusta",(IF($B740="","Arabica",$B740))&amp;" - "&amp;(IF($C740="","Commercial",$C740))),Variables!$B$1:$D$1,0),1))*(AQ740/365),""))</f>
        <v>-43.483000162466524</v>
      </c>
      <c r="AS740" s="12">
        <f>IF($H740="Cancelled","",IFERROR((T740*INDEX(Variables!$B$7:$D$7,IFERROR(MATCH(IF($B740="Robusta","Robusta",(IF($B740="","Arabica",$B740))&amp;" - "&amp;(IF($C740="","Commercial",$C740))),Variables!$B$1:$D$1,0),1))*IFERROR(IF(W740="","",(AVERAGE(E740:F740)-W740)-Variables!$B$14),"")/365)+(L740/16.67*INDEX(Variables!$B$8:$D$8,IFERROR(MATCH(IF($B740="Robusta","Robusta",(IF($B740="","Arabica",$B740))&amp;" - "&amp;(IF($C740="","Commercial",$C740))),Variables!$B$1:$D$1,0),1))*IFERROR(IF(W740="","",(AVERAGE(E740:F740)-W740)-Variables!$B$14),""))+(T740*INDEX(Variables!$B$9:$D$9,IFERROR(MATCH(IF($B740="Robusta","Robusta",(IF($B740="","Arabica",$B740))&amp;" - "&amp;(IF($C740="","Commercial",$C740))),Variables!$B$1:$D$1,0),1))*IFERROR(IF(W740="","",(AVERAGE(E740:F740)-W740)-Variables!$B$14),"")/365),""))</f>
        <v>-71.290856203988128</v>
      </c>
      <c r="AT740" s="12">
        <f>IF($H740="Cancelled","",IFERROR((T740*INDEX(Variables!$B$7:$D$7,IFERROR(MATCH(IF($B740="Robusta","Robusta",(IF($B740="","Arabica",$B740))&amp;" - "&amp;(IF($C740="","Commercial",$C740))),Variables!$B$1:$D$1,0),1))*AC740/365)+(L740/16.67*INDEX(Variables!$B$8:$D$8,IFERROR(MATCH(IF($B740="Robusta","Robusta",(IF($B740="","Arabica",$B740))&amp;" - "&amp;(IF($C740="","Commercial",$C740))),Variables!$B$1:$D$1,0),1))*AC740)+(T740*INDEX(Variables!$B$9:$D$9,IFERROR(MATCH(IF($B740="Robusta","Robusta",(IF($B740="","Arabica",$B740))&amp;" - "&amp;(IF($C740="","Commercial",$C740))),Variables!$B$1:$D$1,0),1))*AC740/365),""))</f>
        <v>14.258171240797626</v>
      </c>
      <c r="AU740" s="12">
        <f>IF($H740="Cancelled","",IFERROR((T740*INDEX(Variables!$B$7:$D$7,IFERROR(MATCH(IF($B740="Robusta","Robusta",(IF($B740="","Arabica",$B740))&amp;" - "&amp;(IF($C740="","Commercial",$C740))),Variables!$B$1:$D$1,0),1))*AP740/365)+(L740/16.67*INDEX(Variables!$B$8:$D$8,IFERROR(MATCH(IF($B740="Robusta","Robusta",(IF($B740="","Arabica",$B740))&amp;" - "&amp;(IF($C740="","Commercial",$C740))),Variables!$B$1:$D$1,0),1))*AP740)+(T740*INDEX(Variables!$B$9:$D$9,IFERROR(MATCH(IF($B740="Robusta","Robusta",(IF($B740="","Arabica",$B740))&amp;" - "&amp;(IF($C740="","Commercial",$C740))),Variables!$B$1:$D$1,0),1))*AP740/365),""))</f>
        <v>-19.010894987730168</v>
      </c>
      <c r="AV740" s="11">
        <f t="shared" si="75"/>
        <v>14</v>
      </c>
      <c r="AW740" s="12">
        <f>IF($H740="Cancelled","",IFERROR(IF(AV740="","",(T740*INDEX(Variables!$B$7:$D$7,IFERROR(MATCH(IF($B740="Robusta","Robusta",(IF($B740="","Arabica",$B740))&amp;" - "&amp;(IF($C740="","Commercial",$C740))),Variables!$B$1:$D$1,0),1))*(AV740/365))+(T740*INDEX(Variables!$B$9:$D$9,IFERROR(MATCH(IF($B740="Robusta","Robusta",(IF($B740="","Arabica",$B740))&amp;" - "&amp;(IF($C740="","Commercial",$C740))),Variables!$B$1:$D$1,0),1))*(AV740/365))+(INDEX(Variables!$B$8:$D$8,IFERROR(MATCH(IF($B740="Robusta","Robusta",(IF($B740="","Arabica",$B740))&amp;" - "&amp;(IF($C740="","Commercial",$C740))),Variables!$B$1:$D$1,0),1))*L740/16.67)),""))</f>
        <v>40.538132457055596</v>
      </c>
      <c r="AX740" s="9"/>
      <c r="AY740" s="12"/>
      <c r="AZ740" s="10"/>
      <c r="BA740" s="9"/>
      <c r="BB740" s="10"/>
      <c r="BC740" s="9"/>
      <c r="BD740" s="9"/>
      <c r="BE740" s="9"/>
      <c r="BF740" s="9"/>
    </row>
    <row r="741" spans="1:58" x14ac:dyDescent="0.25">
      <c r="A741" s="9" t="s">
        <v>84</v>
      </c>
      <c r="B741" s="9" t="s">
        <v>85</v>
      </c>
      <c r="C741" s="9" t="s">
        <v>1486</v>
      </c>
      <c r="D741" s="10">
        <v>45384</v>
      </c>
      <c r="E741" s="10">
        <v>45413</v>
      </c>
      <c r="F741" s="10">
        <v>45443</v>
      </c>
      <c r="G741" s="9">
        <v>3786272</v>
      </c>
      <c r="H741" s="9" t="str">
        <f t="shared" si="73"/>
        <v>Closed</v>
      </c>
      <c r="I741" s="9" t="str">
        <f t="shared" si="74"/>
        <v>All dates received</v>
      </c>
      <c r="J741" s="9" t="s">
        <v>547</v>
      </c>
      <c r="K741" s="9">
        <v>4850</v>
      </c>
      <c r="L741" s="11">
        <v>21</v>
      </c>
      <c r="M741" s="9" t="s">
        <v>1669</v>
      </c>
      <c r="N741" s="9"/>
      <c r="O741" s="9"/>
      <c r="P741" s="9"/>
      <c r="Q741" s="11"/>
      <c r="R741" s="9" t="s">
        <v>195</v>
      </c>
      <c r="S741" s="9" t="s">
        <v>156</v>
      </c>
      <c r="T741" s="12">
        <f>IF($H741="Cancelled","",IFERROR(((Q741+INDEX(Variables!$B$6:$D$6,IFERROR(MATCH(IF($B741="Robusta","Robusta",(IF($B741="","Arabica",$B741))&amp;" - "&amp;(IF($C741="","Commercial",$C741))),Variables!$B$1:$D$1,0),1)))*22.0462)*(L741/16.67),""))</f>
        <v>8076.2887918416309</v>
      </c>
      <c r="U741" s="10"/>
      <c r="V741" s="9" t="str">
        <f t="shared" si="76"/>
        <v/>
      </c>
      <c r="W741" s="10">
        <v>45413</v>
      </c>
      <c r="X741" s="9" t="str">
        <f t="shared" si="72"/>
        <v>Approved</v>
      </c>
      <c r="Y741" s="10">
        <v>45413</v>
      </c>
      <c r="Z741" s="10">
        <f>IF($H741="Cancelled","",IFERROR(IF(F741="","",F741-Variables!$B$13),""))</f>
        <v>45428</v>
      </c>
      <c r="AA741" s="11">
        <f>IF($H741="Cancelled","",IFERROR(IF(W741="","",(AVERAGE(E741:F741)-W741)-Variables!$B$14),""))</f>
        <v>-15</v>
      </c>
      <c r="AB741" s="10">
        <v>45418</v>
      </c>
      <c r="AC741" s="11">
        <f>IF($H741="Cancelled","",IFERROR(IF(AB741="","",IF(AND(W741="",Y741=""),"",IF(Y741&gt;W741,Y741+Variables!$B$15+Variables!$B$16+Variables!$B$17-AB741,W741+Variables!$B$16+Variables!$B$17-AB741))),""))</f>
        <v>3</v>
      </c>
      <c r="AD741" s="9" t="s">
        <v>92</v>
      </c>
      <c r="AE741" s="9" t="s">
        <v>254</v>
      </c>
      <c r="AF741" s="10"/>
      <c r="AG741" s="10"/>
      <c r="AH741" s="9"/>
      <c r="AI741" s="9" t="s">
        <v>1665</v>
      </c>
      <c r="AJ741" s="9" t="s">
        <v>1666</v>
      </c>
      <c r="AK741" s="10">
        <v>45429</v>
      </c>
      <c r="AL741" s="10">
        <v>45432</v>
      </c>
      <c r="AM741" s="10">
        <v>45450</v>
      </c>
      <c r="AN741" s="9" t="s">
        <v>1492</v>
      </c>
      <c r="AO741" s="9"/>
      <c r="AP741" s="11">
        <f>IF($H741="Cancelled","",IFERROR(IF(OR(AK741="",AB741=""),"",(AB741+Variables!$B$18-AK741)),""))</f>
        <v>-4</v>
      </c>
      <c r="AQ741" s="11">
        <f>IF($H741="Cancelled","",IFERROR(IF(OR(AM741="",AK741=""),"",(AK741+Variables!$B$19)-AM741),""))</f>
        <v>-16</v>
      </c>
      <c r="AR741" s="12">
        <f>IF($H741="Cancelled","",IFERROR(T741*INDEX(Variables!$B$7:$D$7,IFERROR(MATCH(IF($B741="Robusta","Robusta",(IF($B741="","Arabica",$B741))&amp;" - "&amp;(IF($C741="","Commercial",$C741))),Variables!$B$1:$D$1,0),1))*(AQ741/365),""))</f>
        <v>-22.828575085294926</v>
      </c>
      <c r="AS741" s="12">
        <f>IF($H741="Cancelled","",IFERROR((T741*INDEX(Variables!$B$7:$D$7,IFERROR(MATCH(IF($B741="Robusta","Robusta",(IF($B741="","Arabica",$B741))&amp;" - "&amp;(IF($C741="","Commercial",$C741))),Variables!$B$1:$D$1,0),1))*IFERROR(IF(W741="","",(AVERAGE(E741:F741)-W741)-Variables!$B$14),"")/365)+(L741/16.67*INDEX(Variables!$B$8:$D$8,IFERROR(MATCH(IF($B741="Robusta","Robusta",(IF($B741="","Arabica",$B741))&amp;" - "&amp;(IF($C741="","Commercial",$C741))),Variables!$B$1:$D$1,0),1))*IFERROR(IF(W741="","",(AVERAGE(E741:F741)-W741)-Variables!$B$14),""))+(T741*INDEX(Variables!$B$9:$D$9,IFERROR(MATCH(IF($B741="Robusta","Robusta",(IF($B741="","Arabica",$B741))&amp;" - "&amp;(IF($C741="","Commercial",$C741))),Variables!$B$1:$D$1,0),1))*IFERROR(IF(W741="","",(AVERAGE(E741:F741)-W741)-Variables!$B$14),"")/365),""))</f>
        <v>-37.427699507093777</v>
      </c>
      <c r="AT741" s="12">
        <f>IF($H741="Cancelled","",IFERROR((T741*INDEX(Variables!$B$7:$D$7,IFERROR(MATCH(IF($B741="Robusta","Robusta",(IF($B741="","Arabica",$B741))&amp;" - "&amp;(IF($C741="","Commercial",$C741))),Variables!$B$1:$D$1,0),1))*AC741/365)+(L741/16.67*INDEX(Variables!$B$8:$D$8,IFERROR(MATCH(IF($B741="Robusta","Robusta",(IF($B741="","Arabica",$B741))&amp;" - "&amp;(IF($C741="","Commercial",$C741))),Variables!$B$1:$D$1,0),1))*AC741)+(T741*INDEX(Variables!$B$9:$D$9,IFERROR(MATCH(IF($B741="Robusta","Robusta",(IF($B741="","Arabica",$B741))&amp;" - "&amp;(IF($C741="","Commercial",$C741))),Variables!$B$1:$D$1,0),1))*AC741/365),""))</f>
        <v>7.485539901418754</v>
      </c>
      <c r="AU741" s="12">
        <f>IF($H741="Cancelled","",IFERROR((T741*INDEX(Variables!$B$7:$D$7,IFERROR(MATCH(IF($B741="Robusta","Robusta",(IF($B741="","Arabica",$B741))&amp;" - "&amp;(IF($C741="","Commercial",$C741))),Variables!$B$1:$D$1,0),1))*AP741/365)+(L741/16.67*INDEX(Variables!$B$8:$D$8,IFERROR(MATCH(IF($B741="Robusta","Robusta",(IF($B741="","Arabica",$B741))&amp;" - "&amp;(IF($C741="","Commercial",$C741))),Variables!$B$1:$D$1,0),1))*AP741)+(T741*INDEX(Variables!$B$9:$D$9,IFERROR(MATCH(IF($B741="Robusta","Robusta",(IF($B741="","Arabica",$B741))&amp;" - "&amp;(IF($C741="","Commercial",$C741))),Variables!$B$1:$D$1,0),1))*AP741/365),""))</f>
        <v>-9.9807198685583387</v>
      </c>
      <c r="AV741" s="11">
        <f t="shared" si="75"/>
        <v>14</v>
      </c>
      <c r="AW741" s="12">
        <f>IF($H741="Cancelled","",IFERROR(IF(AV741="","",(T741*INDEX(Variables!$B$7:$D$7,IFERROR(MATCH(IF($B741="Robusta","Robusta",(IF($B741="","Arabica",$B741))&amp;" - "&amp;(IF($C741="","Commercial",$C741))),Variables!$B$1:$D$1,0),1))*(AV741/365))+(T741*INDEX(Variables!$B$9:$D$9,IFERROR(MATCH(IF($B741="Robusta","Robusta",(IF($B741="","Arabica",$B741))&amp;" - "&amp;(IF($C741="","Commercial",$C741))),Variables!$B$1:$D$1,0),1))*(AV741/365))+(INDEX(Variables!$B$8:$D$8,IFERROR(MATCH(IF($B741="Robusta","Robusta",(IF($B741="","Arabica",$B741))&amp;" - "&amp;(IF($C741="","Commercial",$C741))),Variables!$B$1:$D$1,0),1))*L741/16.67)),""))</f>
        <v>21.28251953995419</v>
      </c>
      <c r="AX741" s="9"/>
      <c r="AY741" s="12"/>
      <c r="AZ741" s="10"/>
      <c r="BA741" s="9"/>
      <c r="BB741" s="10"/>
      <c r="BC741" s="9"/>
      <c r="BD741" s="9"/>
      <c r="BE741" s="9"/>
      <c r="BF741" s="9"/>
    </row>
    <row r="742" spans="1:58" x14ac:dyDescent="0.25">
      <c r="A742" s="9" t="s">
        <v>84</v>
      </c>
      <c r="B742" s="9" t="s">
        <v>85</v>
      </c>
      <c r="C742" s="9" t="s">
        <v>1486</v>
      </c>
      <c r="D742" s="10">
        <v>45384</v>
      </c>
      <c r="E742" s="10">
        <v>45413</v>
      </c>
      <c r="F742" s="10">
        <v>45443</v>
      </c>
      <c r="G742" s="9">
        <v>3786273</v>
      </c>
      <c r="H742" s="9" t="str">
        <f t="shared" si="73"/>
        <v>Closed</v>
      </c>
      <c r="I742" s="9" t="str">
        <f t="shared" si="74"/>
        <v>All dates received</v>
      </c>
      <c r="J742" s="9" t="s">
        <v>547</v>
      </c>
      <c r="K742" s="9">
        <v>4851</v>
      </c>
      <c r="L742" s="11">
        <v>61</v>
      </c>
      <c r="M742" s="9" t="s">
        <v>1670</v>
      </c>
      <c r="N742" s="9"/>
      <c r="O742" s="9"/>
      <c r="P742" s="9"/>
      <c r="Q742" s="11"/>
      <c r="R742" s="9" t="s">
        <v>195</v>
      </c>
      <c r="S742" s="9" t="s">
        <v>156</v>
      </c>
      <c r="T742" s="12">
        <f>IF($H742="Cancelled","",IFERROR(((Q742+INDEX(Variables!$B$6:$D$6,IFERROR(MATCH(IF($B742="Robusta","Robusta",(IF($B742="","Arabica",$B742))&amp;" - "&amp;(IF($C742="","Commercial",$C742))),Variables!$B$1:$D$1,0),1)))*22.0462)*(L742/16.67),""))</f>
        <v>23459.696014397116</v>
      </c>
      <c r="U742" s="10"/>
      <c r="V742" s="9" t="str">
        <f t="shared" si="76"/>
        <v/>
      </c>
      <c r="W742" s="10">
        <v>45413</v>
      </c>
      <c r="X742" s="9" t="str">
        <f t="shared" si="72"/>
        <v>Approved</v>
      </c>
      <c r="Y742" s="10">
        <v>45413</v>
      </c>
      <c r="Z742" s="10">
        <f>IF($H742="Cancelled","",IFERROR(IF(F742="","",F742-Variables!$B$13),""))</f>
        <v>45428</v>
      </c>
      <c r="AA742" s="11">
        <f>IF($H742="Cancelled","",IFERROR(IF(W742="","",(AVERAGE(E742:F742)-W742)-Variables!$B$14),""))</f>
        <v>-15</v>
      </c>
      <c r="AB742" s="10">
        <v>45418</v>
      </c>
      <c r="AC742" s="11">
        <f>IF($H742="Cancelled","",IFERROR(IF(AB742="","",IF(AND(W742="",Y742=""),"",IF(Y742&gt;W742,Y742+Variables!$B$15+Variables!$B$16+Variables!$B$17-AB742,W742+Variables!$B$16+Variables!$B$17-AB742))),""))</f>
        <v>3</v>
      </c>
      <c r="AD742" s="9" t="s">
        <v>92</v>
      </c>
      <c r="AE742" s="9" t="s">
        <v>254</v>
      </c>
      <c r="AF742" s="10"/>
      <c r="AG742" s="10"/>
      <c r="AH742" s="9"/>
      <c r="AI742" s="9" t="s">
        <v>1665</v>
      </c>
      <c r="AJ742" s="9" t="s">
        <v>1666</v>
      </c>
      <c r="AK742" s="10">
        <v>45429</v>
      </c>
      <c r="AL742" s="10">
        <v>45432</v>
      </c>
      <c r="AM742" s="10">
        <v>45450</v>
      </c>
      <c r="AN742" s="9" t="s">
        <v>1492</v>
      </c>
      <c r="AO742" s="9"/>
      <c r="AP742" s="11">
        <f>IF($H742="Cancelled","",IFERROR(IF(OR(AK742="",AB742=""),"",(AB742+Variables!$B$18-AK742)),""))</f>
        <v>-4</v>
      </c>
      <c r="AQ742" s="11">
        <f>IF($H742="Cancelled","",IFERROR(IF(OR(AM742="",AK742=""),"",(AK742+Variables!$B$19)-AM742),""))</f>
        <v>-16</v>
      </c>
      <c r="AR742" s="12">
        <f>IF($H742="Cancelled","",IFERROR(T742*INDEX(Variables!$B$7:$D$7,IFERROR(MATCH(IF($B742="Robusta","Robusta",(IF($B742="","Arabica",$B742))&amp;" - "&amp;(IF($C742="","Commercial",$C742))),Variables!$B$1:$D$1,0),1))*(AQ742/365),""))</f>
        <v>-66.311575247761439</v>
      </c>
      <c r="AS742" s="12">
        <f>IF($H742="Cancelled","",IFERROR((T742*INDEX(Variables!$B$7:$D$7,IFERROR(MATCH(IF($B742="Robusta","Robusta",(IF($B742="","Arabica",$B742))&amp;" - "&amp;(IF($C742="","Commercial",$C742))),Variables!$B$1:$D$1,0),1))*IFERROR(IF(W742="","",(AVERAGE(E742:F742)-W742)-Variables!$B$14),"")/365)+(L742/16.67*INDEX(Variables!$B$8:$D$8,IFERROR(MATCH(IF($B742="Robusta","Robusta",(IF($B742="","Arabica",$B742))&amp;" - "&amp;(IF($C742="","Commercial",$C742))),Variables!$B$1:$D$1,0),1))*IFERROR(IF(W742="","",(AVERAGE(E742:F742)-W742)-Variables!$B$14),""))+(T742*INDEX(Variables!$B$9:$D$9,IFERROR(MATCH(IF($B742="Robusta","Robusta",(IF($B742="","Arabica",$B742))&amp;" - "&amp;(IF($C742="","Commercial",$C742))),Variables!$B$1:$D$1,0),1))*IFERROR(IF(W742="","",(AVERAGE(E742:F742)-W742)-Variables!$B$14),"")/365),""))</f>
        <v>-108.71855571108189</v>
      </c>
      <c r="AT742" s="12">
        <f>IF($H742="Cancelled","",IFERROR((T742*INDEX(Variables!$B$7:$D$7,IFERROR(MATCH(IF($B742="Robusta","Robusta",(IF($B742="","Arabica",$B742))&amp;" - "&amp;(IF($C742="","Commercial",$C742))),Variables!$B$1:$D$1,0),1))*AC742/365)+(L742/16.67*INDEX(Variables!$B$8:$D$8,IFERROR(MATCH(IF($B742="Robusta","Robusta",(IF($B742="","Arabica",$B742))&amp;" - "&amp;(IF($C742="","Commercial",$C742))),Variables!$B$1:$D$1,0),1))*AC742)+(T742*INDEX(Variables!$B$9:$D$9,IFERROR(MATCH(IF($B742="Robusta","Robusta",(IF($B742="","Arabica",$B742))&amp;" - "&amp;(IF($C742="","Commercial",$C742))),Variables!$B$1:$D$1,0),1))*AC742/365),""))</f>
        <v>21.74371114221638</v>
      </c>
      <c r="AU742" s="12">
        <f>IF($H742="Cancelled","",IFERROR((T742*INDEX(Variables!$B$7:$D$7,IFERROR(MATCH(IF($B742="Robusta","Robusta",(IF($B742="","Arabica",$B742))&amp;" - "&amp;(IF($C742="","Commercial",$C742))),Variables!$B$1:$D$1,0),1))*AP742/365)+(L742/16.67*INDEX(Variables!$B$8:$D$8,IFERROR(MATCH(IF($B742="Robusta","Robusta",(IF($B742="","Arabica",$B742))&amp;" - "&amp;(IF($C742="","Commercial",$C742))),Variables!$B$1:$D$1,0),1))*AP742)+(T742*INDEX(Variables!$B$9:$D$9,IFERROR(MATCH(IF($B742="Robusta","Robusta",(IF($B742="","Arabica",$B742))&amp;" - "&amp;(IF($C742="","Commercial",$C742))),Variables!$B$1:$D$1,0),1))*AP742/365),""))</f>
        <v>-28.991614856288503</v>
      </c>
      <c r="AV742" s="11">
        <f t="shared" si="75"/>
        <v>14</v>
      </c>
      <c r="AW742" s="12">
        <f>IF($H742="Cancelled","",IFERROR(IF(AV742="","",(T742*INDEX(Variables!$B$7:$D$7,IFERROR(MATCH(IF($B742="Robusta","Robusta",(IF($B742="","Arabica",$B742))&amp;" - "&amp;(IF($C742="","Commercial",$C742))),Variables!$B$1:$D$1,0),1))*(AV742/365))+(T742*INDEX(Variables!$B$9:$D$9,IFERROR(MATCH(IF($B742="Robusta","Robusta",(IF($B742="","Arabica",$B742))&amp;" - "&amp;(IF($C742="","Commercial",$C742))),Variables!$B$1:$D$1,0),1))*(AV742/365))+(INDEX(Variables!$B$8:$D$8,IFERROR(MATCH(IF($B742="Robusta","Robusta",(IF($B742="","Arabica",$B742))&amp;" - "&amp;(IF($C742="","Commercial",$C742))),Variables!$B$1:$D$1,0),1))*L742/16.67)),""))</f>
        <v>61.820651997009769</v>
      </c>
      <c r="AX742" s="9"/>
      <c r="AY742" s="12"/>
      <c r="AZ742" s="10"/>
      <c r="BA742" s="9"/>
      <c r="BB742" s="10"/>
      <c r="BC742" s="9"/>
      <c r="BD742" s="9"/>
      <c r="BE742" s="9"/>
      <c r="BF742" s="9"/>
    </row>
    <row r="743" spans="1:58" x14ac:dyDescent="0.25">
      <c r="A743" s="9" t="s">
        <v>84</v>
      </c>
      <c r="B743" s="9" t="s">
        <v>85</v>
      </c>
      <c r="C743" s="9" t="s">
        <v>1486</v>
      </c>
      <c r="D743" s="10">
        <v>45384</v>
      </c>
      <c r="E743" s="10">
        <v>45413</v>
      </c>
      <c r="F743" s="10">
        <v>45443</v>
      </c>
      <c r="G743" s="9">
        <v>3786274</v>
      </c>
      <c r="H743" s="9" t="str">
        <f t="shared" si="73"/>
        <v>Closed</v>
      </c>
      <c r="I743" s="9" t="str">
        <f t="shared" si="74"/>
        <v>All dates received</v>
      </c>
      <c r="J743" s="9" t="s">
        <v>547</v>
      </c>
      <c r="K743" s="9">
        <v>4852</v>
      </c>
      <c r="L743" s="11">
        <v>15</v>
      </c>
      <c r="M743" s="9" t="s">
        <v>1671</v>
      </c>
      <c r="N743" s="9"/>
      <c r="O743" s="9"/>
      <c r="P743" s="9"/>
      <c r="Q743" s="11"/>
      <c r="R743" s="9" t="s">
        <v>195</v>
      </c>
      <c r="S743" s="9" t="s">
        <v>156</v>
      </c>
      <c r="T743" s="12">
        <f>IF($H743="Cancelled","",IFERROR(((Q743+INDEX(Variables!$B$6:$D$6,IFERROR(MATCH(IF($B743="Robusta","Robusta",(IF($B743="","Arabica",$B743))&amp;" - "&amp;(IF($C743="","Commercial",$C743))),Variables!$B$1:$D$1,0),1)))*22.0462)*(L743/16.67),""))</f>
        <v>5768.7777084583076</v>
      </c>
      <c r="U743" s="10"/>
      <c r="V743" s="9" t="str">
        <f t="shared" si="76"/>
        <v/>
      </c>
      <c r="W743" s="10">
        <v>45413</v>
      </c>
      <c r="X743" s="9" t="str">
        <f t="shared" si="72"/>
        <v>Approved</v>
      </c>
      <c r="Y743" s="10">
        <v>45413</v>
      </c>
      <c r="Z743" s="10">
        <f>IF($H743="Cancelled","",IFERROR(IF(F743="","",F743-Variables!$B$13),""))</f>
        <v>45428</v>
      </c>
      <c r="AA743" s="11">
        <f>IF($H743="Cancelled","",IFERROR(IF(W743="","",(AVERAGE(E743:F743)-W743)-Variables!$B$14),""))</f>
        <v>-15</v>
      </c>
      <c r="AB743" s="10">
        <v>45418</v>
      </c>
      <c r="AC743" s="11">
        <f>IF($H743="Cancelled","",IFERROR(IF(AB743="","",IF(AND(W743="",Y743=""),"",IF(Y743&gt;W743,Y743+Variables!$B$15+Variables!$B$16+Variables!$B$17-AB743,W743+Variables!$B$16+Variables!$B$17-AB743))),""))</f>
        <v>3</v>
      </c>
      <c r="AD743" s="9" t="s">
        <v>92</v>
      </c>
      <c r="AE743" s="9" t="s">
        <v>254</v>
      </c>
      <c r="AF743" s="10"/>
      <c r="AG743" s="10"/>
      <c r="AH743" s="9"/>
      <c r="AI743" s="9" t="s">
        <v>1665</v>
      </c>
      <c r="AJ743" s="9" t="s">
        <v>1666</v>
      </c>
      <c r="AK743" s="10">
        <v>45429</v>
      </c>
      <c r="AL743" s="10">
        <v>45432</v>
      </c>
      <c r="AM743" s="10">
        <v>45450</v>
      </c>
      <c r="AN743" s="9" t="s">
        <v>1492</v>
      </c>
      <c r="AO743" s="9"/>
      <c r="AP743" s="11">
        <f>IF($H743="Cancelled","",IFERROR(IF(OR(AK743="",AB743=""),"",(AB743+Variables!$B$18-AK743)),""))</f>
        <v>-4</v>
      </c>
      <c r="AQ743" s="11">
        <f>IF($H743="Cancelled","",IFERROR(IF(OR(AM743="",AK743=""),"",(AK743+Variables!$B$19)-AM743),""))</f>
        <v>-16</v>
      </c>
      <c r="AR743" s="12">
        <f>IF($H743="Cancelled","",IFERROR(T743*INDEX(Variables!$B$7:$D$7,IFERROR(MATCH(IF($B743="Robusta","Robusta",(IF($B743="","Arabica",$B743))&amp;" - "&amp;(IF($C743="","Commercial",$C743))),Variables!$B$1:$D$1,0),1))*(AQ743/365),""))</f>
        <v>-16.306125060924945</v>
      </c>
      <c r="AS743" s="12">
        <f>IF($H743="Cancelled","",IFERROR((T743*INDEX(Variables!$B$7:$D$7,IFERROR(MATCH(IF($B743="Robusta","Robusta",(IF($B743="","Arabica",$B743))&amp;" - "&amp;(IF($C743="","Commercial",$C743))),Variables!$B$1:$D$1,0),1))*IFERROR(IF(W743="","",(AVERAGE(E743:F743)-W743)-Variables!$B$14),"")/365)+(L743/16.67*INDEX(Variables!$B$8:$D$8,IFERROR(MATCH(IF($B743="Robusta","Robusta",(IF($B743="","Arabica",$B743))&amp;" - "&amp;(IF($C743="","Commercial",$C743))),Variables!$B$1:$D$1,0),1))*IFERROR(IF(W743="","",(AVERAGE(E743:F743)-W743)-Variables!$B$14),""))+(T743*INDEX(Variables!$B$9:$D$9,IFERROR(MATCH(IF($B743="Robusta","Robusta",(IF($B743="","Arabica",$B743))&amp;" - "&amp;(IF($C743="","Commercial",$C743))),Variables!$B$1:$D$1,0),1))*IFERROR(IF(W743="","",(AVERAGE(E743:F743)-W743)-Variables!$B$14),"")/365),""))</f>
        <v>-26.734071076495553</v>
      </c>
      <c r="AT743" s="12">
        <f>IF($H743="Cancelled","",IFERROR((T743*INDEX(Variables!$B$7:$D$7,IFERROR(MATCH(IF($B743="Robusta","Robusta",(IF($B743="","Arabica",$B743))&amp;" - "&amp;(IF($C743="","Commercial",$C743))),Variables!$B$1:$D$1,0),1))*AC743/365)+(L743/16.67*INDEX(Variables!$B$8:$D$8,IFERROR(MATCH(IF($B743="Robusta","Robusta",(IF($B743="","Arabica",$B743))&amp;" - "&amp;(IF($C743="","Commercial",$C743))),Variables!$B$1:$D$1,0),1))*AC743)+(T743*INDEX(Variables!$B$9:$D$9,IFERROR(MATCH(IF($B743="Robusta","Robusta",(IF($B743="","Arabica",$B743))&amp;" - "&amp;(IF($C743="","Commercial",$C743))),Variables!$B$1:$D$1,0),1))*AC743/365),""))</f>
        <v>5.3468142152991103</v>
      </c>
      <c r="AU743" s="12">
        <f>IF($H743="Cancelled","",IFERROR((T743*INDEX(Variables!$B$7:$D$7,IFERROR(MATCH(IF($B743="Robusta","Robusta",(IF($B743="","Arabica",$B743))&amp;" - "&amp;(IF($C743="","Commercial",$C743))),Variables!$B$1:$D$1,0),1))*AP743/365)+(L743/16.67*INDEX(Variables!$B$8:$D$8,IFERROR(MATCH(IF($B743="Robusta","Robusta",(IF($B743="","Arabica",$B743))&amp;" - "&amp;(IF($C743="","Commercial",$C743))),Variables!$B$1:$D$1,0),1))*AP743)+(T743*INDEX(Variables!$B$9:$D$9,IFERROR(MATCH(IF($B743="Robusta","Robusta",(IF($B743="","Arabica",$B743))&amp;" - "&amp;(IF($C743="","Commercial",$C743))),Variables!$B$1:$D$1,0),1))*AP743/365),""))</f>
        <v>-7.1290856203988131</v>
      </c>
      <c r="AV743" s="11">
        <f t="shared" si="75"/>
        <v>14</v>
      </c>
      <c r="AW743" s="12">
        <f>IF($H743="Cancelled","",IFERROR(IF(AV743="","",(T743*INDEX(Variables!$B$7:$D$7,IFERROR(MATCH(IF($B743="Robusta","Robusta",(IF($B743="","Arabica",$B743))&amp;" - "&amp;(IF($C743="","Commercial",$C743))),Variables!$B$1:$D$1,0),1))*(AV743/365))+(T743*INDEX(Variables!$B$9:$D$9,IFERROR(MATCH(IF($B743="Robusta","Robusta",(IF($B743="","Arabica",$B743))&amp;" - "&amp;(IF($C743="","Commercial",$C743))),Variables!$B$1:$D$1,0),1))*(AV743/365))+(INDEX(Variables!$B$8:$D$8,IFERROR(MATCH(IF($B743="Robusta","Robusta",(IF($B743="","Arabica",$B743))&amp;" - "&amp;(IF($C743="","Commercial",$C743))),Variables!$B$1:$D$1,0),1))*L743/16.67)),""))</f>
        <v>15.201799671395847</v>
      </c>
      <c r="AX743" s="9"/>
      <c r="AY743" s="12"/>
      <c r="AZ743" s="10"/>
      <c r="BA743" s="9"/>
      <c r="BB743" s="10"/>
      <c r="BC743" s="9"/>
      <c r="BD743" s="9"/>
      <c r="BE743" s="9"/>
      <c r="BF743" s="9"/>
    </row>
    <row r="744" spans="1:58" x14ac:dyDescent="0.25">
      <c r="A744" s="9" t="s">
        <v>84</v>
      </c>
      <c r="B744" s="9" t="s">
        <v>85</v>
      </c>
      <c r="C744" s="9" t="s">
        <v>1486</v>
      </c>
      <c r="D744" s="10">
        <v>45384</v>
      </c>
      <c r="E744" s="10">
        <v>45413</v>
      </c>
      <c r="F744" s="10">
        <v>45443</v>
      </c>
      <c r="G744" s="9">
        <v>3786275</v>
      </c>
      <c r="H744" s="9" t="str">
        <f t="shared" si="73"/>
        <v>Closed</v>
      </c>
      <c r="I744" s="9" t="str">
        <f t="shared" si="74"/>
        <v>All dates received</v>
      </c>
      <c r="J744" s="9" t="s">
        <v>547</v>
      </c>
      <c r="K744" s="9">
        <v>4853</v>
      </c>
      <c r="L744" s="11">
        <v>25</v>
      </c>
      <c r="M744" s="9" t="s">
        <v>1672</v>
      </c>
      <c r="N744" s="9"/>
      <c r="O744" s="9"/>
      <c r="P744" s="9"/>
      <c r="Q744" s="11"/>
      <c r="R744" s="9" t="s">
        <v>195</v>
      </c>
      <c r="S744" s="9" t="s">
        <v>156</v>
      </c>
      <c r="T744" s="12">
        <f>IF($H744="Cancelled","",IFERROR(((Q744+INDEX(Variables!$B$6:$D$6,IFERROR(MATCH(IF($B744="Robusta","Robusta",(IF($B744="","Arabica",$B744))&amp;" - "&amp;(IF($C744="","Commercial",$C744))),Variables!$B$1:$D$1,0),1)))*22.0462)*(L744/16.67),""))</f>
        <v>9614.6295140971797</v>
      </c>
      <c r="U744" s="10"/>
      <c r="V744" s="9" t="str">
        <f t="shared" si="76"/>
        <v/>
      </c>
      <c r="W744" s="10">
        <v>45413</v>
      </c>
      <c r="X744" s="9" t="str">
        <f t="shared" si="72"/>
        <v>Approved</v>
      </c>
      <c r="Y744" s="10">
        <v>45413</v>
      </c>
      <c r="Z744" s="10">
        <f>IF($H744="Cancelled","",IFERROR(IF(F744="","",F744-Variables!$B$13),""))</f>
        <v>45428</v>
      </c>
      <c r="AA744" s="11">
        <f>IF($H744="Cancelled","",IFERROR(IF(W744="","",(AVERAGE(E744:F744)-W744)-Variables!$B$14),""))</f>
        <v>-15</v>
      </c>
      <c r="AB744" s="10">
        <v>45418</v>
      </c>
      <c r="AC744" s="11">
        <f>IF($H744="Cancelled","",IFERROR(IF(AB744="","",IF(AND(W744="",Y744=""),"",IF(Y744&gt;W744,Y744+Variables!$B$15+Variables!$B$16+Variables!$B$17-AB744,W744+Variables!$B$16+Variables!$B$17-AB744))),""))</f>
        <v>3</v>
      </c>
      <c r="AD744" s="9" t="s">
        <v>92</v>
      </c>
      <c r="AE744" s="9" t="s">
        <v>254</v>
      </c>
      <c r="AF744" s="10"/>
      <c r="AG744" s="10"/>
      <c r="AH744" s="9"/>
      <c r="AI744" s="9" t="s">
        <v>1665</v>
      </c>
      <c r="AJ744" s="9" t="s">
        <v>1666</v>
      </c>
      <c r="AK744" s="10">
        <v>45429</v>
      </c>
      <c r="AL744" s="10">
        <v>45432</v>
      </c>
      <c r="AM744" s="10">
        <v>45450</v>
      </c>
      <c r="AN744" s="9" t="s">
        <v>1492</v>
      </c>
      <c r="AO744" s="9"/>
      <c r="AP744" s="11">
        <f>IF($H744="Cancelled","",IFERROR(IF(OR(AK744="",AB744=""),"",(AB744+Variables!$B$18-AK744)),""))</f>
        <v>-4</v>
      </c>
      <c r="AQ744" s="11">
        <f>IF($H744="Cancelled","",IFERROR(IF(OR(AM744="",AK744=""),"",(AK744+Variables!$B$19)-AM744),""))</f>
        <v>-16</v>
      </c>
      <c r="AR744" s="12">
        <f>IF($H744="Cancelled","",IFERROR(T744*INDEX(Variables!$B$7:$D$7,IFERROR(MATCH(IF($B744="Robusta","Robusta",(IF($B744="","Arabica",$B744))&amp;" - "&amp;(IF($C744="","Commercial",$C744))),Variables!$B$1:$D$1,0),1))*(AQ744/365),""))</f>
        <v>-27.176875101541576</v>
      </c>
      <c r="AS744" s="12">
        <f>IF($H744="Cancelled","",IFERROR((T744*INDEX(Variables!$B$7:$D$7,IFERROR(MATCH(IF($B744="Robusta","Robusta",(IF($B744="","Arabica",$B744))&amp;" - "&amp;(IF($C744="","Commercial",$C744))),Variables!$B$1:$D$1,0),1))*IFERROR(IF(W744="","",(AVERAGE(E744:F744)-W744)-Variables!$B$14),"")/365)+(L744/16.67*INDEX(Variables!$B$8:$D$8,IFERROR(MATCH(IF($B744="Robusta","Robusta",(IF($B744="","Arabica",$B744))&amp;" - "&amp;(IF($C744="","Commercial",$C744))),Variables!$B$1:$D$1,0),1))*IFERROR(IF(W744="","",(AVERAGE(E744:F744)-W744)-Variables!$B$14),""))+(T744*INDEX(Variables!$B$9:$D$9,IFERROR(MATCH(IF($B744="Robusta","Robusta",(IF($B744="","Arabica",$B744))&amp;" - "&amp;(IF($C744="","Commercial",$C744))),Variables!$B$1:$D$1,0),1))*IFERROR(IF(W744="","",(AVERAGE(E744:F744)-W744)-Variables!$B$14),"")/365),""))</f>
        <v>-44.556785127492589</v>
      </c>
      <c r="AT744" s="12">
        <f>IF($H744="Cancelled","",IFERROR((T744*INDEX(Variables!$B$7:$D$7,IFERROR(MATCH(IF($B744="Robusta","Robusta",(IF($B744="","Arabica",$B744))&amp;" - "&amp;(IF($C744="","Commercial",$C744))),Variables!$B$1:$D$1,0),1))*AC744/365)+(L744/16.67*INDEX(Variables!$B$8:$D$8,IFERROR(MATCH(IF($B744="Robusta","Robusta",(IF($B744="","Arabica",$B744))&amp;" - "&amp;(IF($C744="","Commercial",$C744))),Variables!$B$1:$D$1,0),1))*AC744)+(T744*INDEX(Variables!$B$9:$D$9,IFERROR(MATCH(IF($B744="Robusta","Robusta",(IF($B744="","Arabica",$B744))&amp;" - "&amp;(IF($C744="","Commercial",$C744))),Variables!$B$1:$D$1,0),1))*AC744/365),""))</f>
        <v>8.9113570254985159</v>
      </c>
      <c r="AU744" s="12">
        <f>IF($H744="Cancelled","",IFERROR((T744*INDEX(Variables!$B$7:$D$7,IFERROR(MATCH(IF($B744="Robusta","Robusta",(IF($B744="","Arabica",$B744))&amp;" - "&amp;(IF($C744="","Commercial",$C744))),Variables!$B$1:$D$1,0),1))*AP744/365)+(L744/16.67*INDEX(Variables!$B$8:$D$8,IFERROR(MATCH(IF($B744="Robusta","Robusta",(IF($B744="","Arabica",$B744))&amp;" - "&amp;(IF($C744="","Commercial",$C744))),Variables!$B$1:$D$1,0),1))*AP744)+(T744*INDEX(Variables!$B$9:$D$9,IFERROR(MATCH(IF($B744="Robusta","Robusta",(IF($B744="","Arabica",$B744))&amp;" - "&amp;(IF($C744="","Commercial",$C744))),Variables!$B$1:$D$1,0),1))*AP744/365),""))</f>
        <v>-11.881809367331355</v>
      </c>
      <c r="AV744" s="11">
        <f t="shared" si="75"/>
        <v>14</v>
      </c>
      <c r="AW744" s="12">
        <f>IF($H744="Cancelled","",IFERROR(IF(AV744="","",(T744*INDEX(Variables!$B$7:$D$7,IFERROR(MATCH(IF($B744="Robusta","Robusta",(IF($B744="","Arabica",$B744))&amp;" - "&amp;(IF($C744="","Commercial",$C744))),Variables!$B$1:$D$1,0),1))*(AV744/365))+(T744*INDEX(Variables!$B$9:$D$9,IFERROR(MATCH(IF($B744="Robusta","Robusta",(IF($B744="","Arabica",$B744))&amp;" - "&amp;(IF($C744="","Commercial",$C744))),Variables!$B$1:$D$1,0),1))*(AV744/365))+(INDEX(Variables!$B$8:$D$8,IFERROR(MATCH(IF($B744="Robusta","Robusta",(IF($B744="","Arabica",$B744))&amp;" - "&amp;(IF($C744="","Commercial",$C744))),Variables!$B$1:$D$1,0),1))*L744/16.67)),""))</f>
        <v>25.336332785659746</v>
      </c>
      <c r="AX744" s="9"/>
      <c r="AY744" s="12"/>
      <c r="AZ744" s="10"/>
      <c r="BA744" s="9"/>
      <c r="BB744" s="10"/>
      <c r="BC744" s="9"/>
      <c r="BD744" s="9"/>
      <c r="BE744" s="9"/>
      <c r="BF744" s="9"/>
    </row>
    <row r="745" spans="1:58" x14ac:dyDescent="0.25">
      <c r="A745" s="9" t="s">
        <v>84</v>
      </c>
      <c r="B745" s="9" t="s">
        <v>85</v>
      </c>
      <c r="C745" s="9" t="s">
        <v>1486</v>
      </c>
      <c r="D745" s="10">
        <v>45384</v>
      </c>
      <c r="E745" s="10">
        <v>45413</v>
      </c>
      <c r="F745" s="10">
        <v>45443</v>
      </c>
      <c r="G745" s="9">
        <v>3786277</v>
      </c>
      <c r="H745" s="9" t="str">
        <f t="shared" si="73"/>
        <v>Closed</v>
      </c>
      <c r="I745" s="9" t="str">
        <f t="shared" si="74"/>
        <v>All dates received</v>
      </c>
      <c r="J745" s="9" t="s">
        <v>235</v>
      </c>
      <c r="K745" s="9">
        <v>4904</v>
      </c>
      <c r="L745" s="11">
        <v>35</v>
      </c>
      <c r="M745" s="9" t="s">
        <v>1673</v>
      </c>
      <c r="N745" s="9"/>
      <c r="O745" s="9"/>
      <c r="P745" s="9"/>
      <c r="Q745" s="11"/>
      <c r="R745" s="9" t="s">
        <v>195</v>
      </c>
      <c r="S745" s="9" t="s">
        <v>1536</v>
      </c>
      <c r="T745" s="12">
        <f>IF($H745="Cancelled","",IFERROR(((Q745+INDEX(Variables!$B$6:$D$6,IFERROR(MATCH(IF($B745="Robusta","Robusta",(IF($B745="","Arabica",$B745))&amp;" - "&amp;(IF($C745="","Commercial",$C745))),Variables!$B$1:$D$1,0),1)))*22.0462)*(L745/16.67),""))</f>
        <v>13460.481319736051</v>
      </c>
      <c r="U745" s="10"/>
      <c r="V745" s="9" t="str">
        <f t="shared" si="76"/>
        <v/>
      </c>
      <c r="W745" s="10">
        <v>45413</v>
      </c>
      <c r="X745" s="9" t="str">
        <f t="shared" si="72"/>
        <v>Approved</v>
      </c>
      <c r="Y745" s="10">
        <v>45413</v>
      </c>
      <c r="Z745" s="10">
        <f>IF($H745="Cancelled","",IFERROR(IF(F745="","",F745-Variables!$B$13),""))</f>
        <v>45428</v>
      </c>
      <c r="AA745" s="11">
        <f>IF($H745="Cancelled","",IFERROR(IF(W745="","",(AVERAGE(E745:F745)-W745)-Variables!$B$14),""))</f>
        <v>-15</v>
      </c>
      <c r="AB745" s="10">
        <v>45425</v>
      </c>
      <c r="AC745" s="11">
        <f>IF($H745="Cancelled","",IFERROR(IF(AB745="","",IF(AND(W745="",Y745=""),"",IF(Y745&gt;W745,Y745+Variables!$B$15+Variables!$B$16+Variables!$B$17-AB745,W745+Variables!$B$16+Variables!$B$17-AB745))),""))</f>
        <v>-4</v>
      </c>
      <c r="AD745" s="9" t="s">
        <v>107</v>
      </c>
      <c r="AE745" s="9" t="s">
        <v>1557</v>
      </c>
      <c r="AF745" s="10"/>
      <c r="AG745" s="10"/>
      <c r="AH745" s="9"/>
      <c r="AI745" s="9" t="s">
        <v>1558</v>
      </c>
      <c r="AJ745" s="9" t="s">
        <v>8</v>
      </c>
      <c r="AK745" s="10">
        <v>45434</v>
      </c>
      <c r="AL745" s="10">
        <v>45436</v>
      </c>
      <c r="AM745" s="10">
        <v>45441</v>
      </c>
      <c r="AN745" s="9" t="s">
        <v>1492</v>
      </c>
      <c r="AO745" s="9"/>
      <c r="AP745" s="11">
        <f>IF($H745="Cancelled","",IFERROR(IF(OR(AK745="",AB745=""),"",(AB745+Variables!$B$18-AK745)),""))</f>
        <v>-2</v>
      </c>
      <c r="AQ745" s="11">
        <f>IF($H745="Cancelled","",IFERROR(IF(OR(AM745="",AK745=""),"",(AK745+Variables!$B$19)-AM745),""))</f>
        <v>-2</v>
      </c>
      <c r="AR745" s="12">
        <f>IF($H745="Cancelled","",IFERROR(T745*INDEX(Variables!$B$7:$D$7,IFERROR(MATCH(IF($B745="Robusta","Robusta",(IF($B745="","Arabica",$B745))&amp;" - "&amp;(IF($C745="","Commercial",$C745))),Variables!$B$1:$D$1,0),1))*(AQ745/365),""))</f>
        <v>-4.7559531427697754</v>
      </c>
      <c r="AS745" s="12">
        <f>IF($H745="Cancelled","",IFERROR((T745*INDEX(Variables!$B$7:$D$7,IFERROR(MATCH(IF($B745="Robusta","Robusta",(IF($B745="","Arabica",$B745))&amp;" - "&amp;(IF($C745="","Commercial",$C745))),Variables!$B$1:$D$1,0),1))*IFERROR(IF(W745="","",(AVERAGE(E745:F745)-W745)-Variables!$B$14),"")/365)+(L745/16.67*INDEX(Variables!$B$8:$D$8,IFERROR(MATCH(IF($B745="Robusta","Robusta",(IF($B745="","Arabica",$B745))&amp;" - "&amp;(IF($C745="","Commercial",$C745))),Variables!$B$1:$D$1,0),1))*IFERROR(IF(W745="","",(AVERAGE(E745:F745)-W745)-Variables!$B$14),""))+(T745*INDEX(Variables!$B$9:$D$9,IFERROR(MATCH(IF($B745="Robusta","Robusta",(IF($B745="","Arabica",$B745))&amp;" - "&amp;(IF($C745="","Commercial",$C745))),Variables!$B$1:$D$1,0),1))*IFERROR(IF(W745="","",(AVERAGE(E745:F745)-W745)-Variables!$B$14),"")/365),""))</f>
        <v>-62.37949917848961</v>
      </c>
      <c r="AT745" s="12">
        <f>IF($H745="Cancelled","",IFERROR((T745*INDEX(Variables!$B$7:$D$7,IFERROR(MATCH(IF($B745="Robusta","Robusta",(IF($B745="","Arabica",$B745))&amp;" - "&amp;(IF($C745="","Commercial",$C745))),Variables!$B$1:$D$1,0),1))*AC745/365)+(L745/16.67*INDEX(Variables!$B$8:$D$8,IFERROR(MATCH(IF($B745="Robusta","Robusta",(IF($B745="","Arabica",$B745))&amp;" - "&amp;(IF($C745="","Commercial",$C745))),Variables!$B$1:$D$1,0),1))*AC745)+(T745*INDEX(Variables!$B$9:$D$9,IFERROR(MATCH(IF($B745="Robusta","Robusta",(IF($B745="","Arabica",$B745))&amp;" - "&amp;(IF($C745="","Commercial",$C745))),Variables!$B$1:$D$1,0),1))*AC745/365),""))</f>
        <v>-16.634533114263899</v>
      </c>
      <c r="AU745" s="12">
        <f>IF($H745="Cancelled","",IFERROR((T745*INDEX(Variables!$B$7:$D$7,IFERROR(MATCH(IF($B745="Robusta","Robusta",(IF($B745="","Arabica",$B745))&amp;" - "&amp;(IF($C745="","Commercial",$C745))),Variables!$B$1:$D$1,0),1))*AP745/365)+(L745/16.67*INDEX(Variables!$B$8:$D$8,IFERROR(MATCH(IF($B745="Robusta","Robusta",(IF($B745="","Arabica",$B745))&amp;" - "&amp;(IF($C745="","Commercial",$C745))),Variables!$B$1:$D$1,0),1))*AP745)+(T745*INDEX(Variables!$B$9:$D$9,IFERROR(MATCH(IF($B745="Robusta","Robusta",(IF($B745="","Arabica",$B745))&amp;" - "&amp;(IF($C745="","Commercial",$C745))),Variables!$B$1:$D$1,0),1))*AP745/365),""))</f>
        <v>-8.3172665571319495</v>
      </c>
      <c r="AV745" s="11">
        <f t="shared" si="75"/>
        <v>9</v>
      </c>
      <c r="AW745" s="12">
        <f>IF($H745="Cancelled","",IFERROR(IF(AV745="","",(T745*INDEX(Variables!$B$7:$D$7,IFERROR(MATCH(IF($B745="Robusta","Robusta",(IF($B745="","Arabica",$B745))&amp;" - "&amp;(IF($C745="","Commercial",$C745))),Variables!$B$1:$D$1,0),1))*(AV745/365))+(T745*INDEX(Variables!$B$9:$D$9,IFERROR(MATCH(IF($B745="Robusta","Robusta",(IF($B745="","Arabica",$B745))&amp;" - "&amp;(IF($C745="","Commercial",$C745))),Variables!$B$1:$D$1,0),1))*(AV745/365))+(INDEX(Variables!$B$8:$D$8,IFERROR(MATCH(IF($B745="Robusta","Robusta",(IF($B745="","Arabica",$B745))&amp;" - "&amp;(IF($C745="","Commercial",$C745))),Variables!$B$1:$D$1,0),1))*L745/16.67)),""))</f>
        <v>23.42769950709377</v>
      </c>
      <c r="AX745" s="9"/>
      <c r="AY745" s="12"/>
      <c r="AZ745" s="10"/>
      <c r="BA745" s="9"/>
      <c r="BB745" s="10"/>
      <c r="BC745" s="9"/>
      <c r="BD745" s="9"/>
      <c r="BE745" s="9"/>
      <c r="BF745" s="9"/>
    </row>
    <row r="746" spans="1:58" x14ac:dyDescent="0.25">
      <c r="A746" s="9" t="s">
        <v>84</v>
      </c>
      <c r="B746" s="9" t="s">
        <v>85</v>
      </c>
      <c r="C746" s="9" t="s">
        <v>1486</v>
      </c>
      <c r="D746" s="10">
        <v>45384</v>
      </c>
      <c r="E746" s="10">
        <v>45413</v>
      </c>
      <c r="F746" s="10">
        <v>45443</v>
      </c>
      <c r="G746" s="9">
        <v>3786278</v>
      </c>
      <c r="H746" s="9" t="str">
        <f t="shared" si="73"/>
        <v>Closed</v>
      </c>
      <c r="I746" s="9" t="str">
        <f t="shared" si="74"/>
        <v>All dates received</v>
      </c>
      <c r="J746" s="9" t="s">
        <v>235</v>
      </c>
      <c r="K746" s="9">
        <v>4905</v>
      </c>
      <c r="L746" s="11">
        <v>28</v>
      </c>
      <c r="M746" s="9" t="s">
        <v>1674</v>
      </c>
      <c r="N746" s="9"/>
      <c r="O746" s="9"/>
      <c r="P746" s="9"/>
      <c r="Q746" s="11"/>
      <c r="R746" s="9" t="s">
        <v>195</v>
      </c>
      <c r="S746" s="9" t="s">
        <v>1536</v>
      </c>
      <c r="T746" s="12">
        <f>IF($H746="Cancelled","",IFERROR(((Q746+INDEX(Variables!$B$6:$D$6,IFERROR(MATCH(IF($B746="Robusta","Robusta",(IF($B746="","Arabica",$B746))&amp;" - "&amp;(IF($C746="","Commercial",$C746))),Variables!$B$1:$D$1,0),1)))*22.0462)*(L746/16.67),""))</f>
        <v>10768.385055788842</v>
      </c>
      <c r="U746" s="10"/>
      <c r="V746" s="9" t="str">
        <f t="shared" si="76"/>
        <v/>
      </c>
      <c r="W746" s="10">
        <v>45413</v>
      </c>
      <c r="X746" s="9" t="str">
        <f t="shared" ref="X746:X809" si="77">IF(ISNUMBER(W746),"Approved","")</f>
        <v>Approved</v>
      </c>
      <c r="Y746" s="10">
        <v>45413</v>
      </c>
      <c r="Z746" s="10">
        <f>IF($H746="Cancelled","",IFERROR(IF(F746="","",F746-Variables!$B$13),""))</f>
        <v>45428</v>
      </c>
      <c r="AA746" s="11">
        <f>IF($H746="Cancelled","",IFERROR(IF(W746="","",(AVERAGE(E746:F746)-W746)-Variables!$B$14),""))</f>
        <v>-15</v>
      </c>
      <c r="AB746" s="10">
        <v>45425</v>
      </c>
      <c r="AC746" s="11">
        <f>IF($H746="Cancelled","",IFERROR(IF(AB746="","",IF(AND(W746="",Y746=""),"",IF(Y746&gt;W746,Y746+Variables!$B$15+Variables!$B$16+Variables!$B$17-AB746,W746+Variables!$B$16+Variables!$B$17-AB746))),""))</f>
        <v>-4</v>
      </c>
      <c r="AD746" s="9" t="s">
        <v>107</v>
      </c>
      <c r="AE746" s="9" t="s">
        <v>1557</v>
      </c>
      <c r="AF746" s="10"/>
      <c r="AG746" s="10"/>
      <c r="AH746" s="9"/>
      <c r="AI746" s="9" t="s">
        <v>1558</v>
      </c>
      <c r="AJ746" s="9" t="s">
        <v>8</v>
      </c>
      <c r="AK746" s="10">
        <v>45434</v>
      </c>
      <c r="AL746" s="10">
        <v>45436</v>
      </c>
      <c r="AM746" s="10">
        <v>45441</v>
      </c>
      <c r="AN746" s="9" t="s">
        <v>1492</v>
      </c>
      <c r="AO746" s="9"/>
      <c r="AP746" s="11">
        <f>IF($H746="Cancelled","",IFERROR(IF(OR(AK746="",AB746=""),"",(AB746+Variables!$B$18-AK746)),""))</f>
        <v>-2</v>
      </c>
      <c r="AQ746" s="11">
        <f>IF($H746="Cancelled","",IFERROR(IF(OR(AM746="",AK746=""),"",(AK746+Variables!$B$19)-AM746),""))</f>
        <v>-2</v>
      </c>
      <c r="AR746" s="12">
        <f>IF($H746="Cancelled","",IFERROR(T746*INDEX(Variables!$B$7:$D$7,IFERROR(MATCH(IF($B746="Robusta","Robusta",(IF($B746="","Arabica",$B746))&amp;" - "&amp;(IF($C746="","Commercial",$C746))),Variables!$B$1:$D$1,0),1))*(AQ746/365),""))</f>
        <v>-3.8047625142158203</v>
      </c>
      <c r="AS746" s="12">
        <f>IF($H746="Cancelled","",IFERROR((T746*INDEX(Variables!$B$7:$D$7,IFERROR(MATCH(IF($B746="Robusta","Robusta",(IF($B746="","Arabica",$B746))&amp;" - "&amp;(IF($C746="","Commercial",$C746))),Variables!$B$1:$D$1,0),1))*IFERROR(IF(W746="","",(AVERAGE(E746:F746)-W746)-Variables!$B$14),"")/365)+(L746/16.67*INDEX(Variables!$B$8:$D$8,IFERROR(MATCH(IF($B746="Robusta","Robusta",(IF($B746="","Arabica",$B746))&amp;" - "&amp;(IF($C746="","Commercial",$C746))),Variables!$B$1:$D$1,0),1))*IFERROR(IF(W746="","",(AVERAGE(E746:F746)-W746)-Variables!$B$14),""))+(T746*INDEX(Variables!$B$9:$D$9,IFERROR(MATCH(IF($B746="Robusta","Robusta",(IF($B746="","Arabica",$B746))&amp;" - "&amp;(IF($C746="","Commercial",$C746))),Variables!$B$1:$D$1,0),1))*IFERROR(IF(W746="","",(AVERAGE(E746:F746)-W746)-Variables!$B$14),"")/365),""))</f>
        <v>-49.903599342791694</v>
      </c>
      <c r="AT746" s="12">
        <f>IF($H746="Cancelled","",IFERROR((T746*INDEX(Variables!$B$7:$D$7,IFERROR(MATCH(IF($B746="Robusta","Robusta",(IF($B746="","Arabica",$B746))&amp;" - "&amp;(IF($C746="","Commercial",$C746))),Variables!$B$1:$D$1,0),1))*AC746/365)+(L746/16.67*INDEX(Variables!$B$8:$D$8,IFERROR(MATCH(IF($B746="Robusta","Robusta",(IF($B746="","Arabica",$B746))&amp;" - "&amp;(IF($C746="","Commercial",$C746))),Variables!$B$1:$D$1,0),1))*AC746)+(T746*INDEX(Variables!$B$9:$D$9,IFERROR(MATCH(IF($B746="Robusta","Robusta",(IF($B746="","Arabica",$B746))&amp;" - "&amp;(IF($C746="","Commercial",$C746))),Variables!$B$1:$D$1,0),1))*AC746/365),""))</f>
        <v>-13.307626491411119</v>
      </c>
      <c r="AU746" s="12">
        <f>IF($H746="Cancelled","",IFERROR((T746*INDEX(Variables!$B$7:$D$7,IFERROR(MATCH(IF($B746="Robusta","Robusta",(IF($B746="","Arabica",$B746))&amp;" - "&amp;(IF($C746="","Commercial",$C746))),Variables!$B$1:$D$1,0),1))*AP746/365)+(L746/16.67*INDEX(Variables!$B$8:$D$8,IFERROR(MATCH(IF($B746="Robusta","Robusta",(IF($B746="","Arabica",$B746))&amp;" - "&amp;(IF($C746="","Commercial",$C746))),Variables!$B$1:$D$1,0),1))*AP746)+(T746*INDEX(Variables!$B$9:$D$9,IFERROR(MATCH(IF($B746="Robusta","Robusta",(IF($B746="","Arabica",$B746))&amp;" - "&amp;(IF($C746="","Commercial",$C746))),Variables!$B$1:$D$1,0),1))*AP746/365),""))</f>
        <v>-6.6538132457055594</v>
      </c>
      <c r="AV746" s="11">
        <f t="shared" si="75"/>
        <v>9</v>
      </c>
      <c r="AW746" s="12">
        <f>IF($H746="Cancelled","",IFERROR(IF(AV746="","",(T746*INDEX(Variables!$B$7:$D$7,IFERROR(MATCH(IF($B746="Robusta","Robusta",(IF($B746="","Arabica",$B746))&amp;" - "&amp;(IF($C746="","Commercial",$C746))),Variables!$B$1:$D$1,0),1))*(AV746/365))+(T746*INDEX(Variables!$B$9:$D$9,IFERROR(MATCH(IF($B746="Robusta","Robusta",(IF($B746="","Arabica",$B746))&amp;" - "&amp;(IF($C746="","Commercial",$C746))),Variables!$B$1:$D$1,0),1))*(AV746/365))+(INDEX(Variables!$B$8:$D$8,IFERROR(MATCH(IF($B746="Robusta","Robusta",(IF($B746="","Arabica",$B746))&amp;" - "&amp;(IF($C746="","Commercial",$C746))),Variables!$B$1:$D$1,0),1))*L746/16.67)),""))</f>
        <v>18.742159605675013</v>
      </c>
      <c r="AX746" s="9"/>
      <c r="AY746" s="12"/>
      <c r="AZ746" s="10"/>
      <c r="BA746" s="9"/>
      <c r="BB746" s="10"/>
      <c r="BC746" s="9"/>
      <c r="BD746" s="9"/>
      <c r="BE746" s="9"/>
      <c r="BF746" s="9"/>
    </row>
    <row r="747" spans="1:58" x14ac:dyDescent="0.25">
      <c r="A747" s="9" t="s">
        <v>84</v>
      </c>
      <c r="B747" s="9" t="s">
        <v>85</v>
      </c>
      <c r="C747" s="9" t="s">
        <v>1486</v>
      </c>
      <c r="D747" s="10">
        <v>45384</v>
      </c>
      <c r="E747" s="10">
        <v>45413</v>
      </c>
      <c r="F747" s="10">
        <v>45443</v>
      </c>
      <c r="G747" s="9">
        <v>3786279</v>
      </c>
      <c r="H747" s="9" t="str">
        <f t="shared" si="73"/>
        <v>Closed</v>
      </c>
      <c r="I747" s="9" t="str">
        <f t="shared" si="74"/>
        <v>All dates received</v>
      </c>
      <c r="J747" s="9" t="s">
        <v>235</v>
      </c>
      <c r="K747" s="9">
        <v>4906</v>
      </c>
      <c r="L747" s="11">
        <v>25</v>
      </c>
      <c r="M747" s="9" t="s">
        <v>1675</v>
      </c>
      <c r="N747" s="9"/>
      <c r="O747" s="9"/>
      <c r="P747" s="9"/>
      <c r="Q747" s="11"/>
      <c r="R747" s="9" t="s">
        <v>195</v>
      </c>
      <c r="S747" s="9" t="s">
        <v>1536</v>
      </c>
      <c r="T747" s="12">
        <f>IF($H747="Cancelled","",IFERROR(((Q747+INDEX(Variables!$B$6:$D$6,IFERROR(MATCH(IF($B747="Robusta","Robusta",(IF($B747="","Arabica",$B747))&amp;" - "&amp;(IF($C747="","Commercial",$C747))),Variables!$B$1:$D$1,0),1)))*22.0462)*(L747/16.67),""))</f>
        <v>9614.6295140971797</v>
      </c>
      <c r="U747" s="10"/>
      <c r="V747" s="9" t="str">
        <f t="shared" si="76"/>
        <v/>
      </c>
      <c r="W747" s="10">
        <v>45413</v>
      </c>
      <c r="X747" s="9" t="str">
        <f t="shared" si="77"/>
        <v>Approved</v>
      </c>
      <c r="Y747" s="10">
        <v>45413</v>
      </c>
      <c r="Z747" s="10">
        <f>IF($H747="Cancelled","",IFERROR(IF(F747="","",F747-Variables!$B$13),""))</f>
        <v>45428</v>
      </c>
      <c r="AA747" s="11">
        <f>IF($H747="Cancelled","",IFERROR(IF(W747="","",(AVERAGE(E747:F747)-W747)-Variables!$B$14),""))</f>
        <v>-15</v>
      </c>
      <c r="AB747" s="10">
        <v>45425</v>
      </c>
      <c r="AC747" s="11">
        <f>IF($H747="Cancelled","",IFERROR(IF(AB747="","",IF(AND(W747="",Y747=""),"",IF(Y747&gt;W747,Y747+Variables!$B$15+Variables!$B$16+Variables!$B$17-AB747,W747+Variables!$B$16+Variables!$B$17-AB747))),""))</f>
        <v>-4</v>
      </c>
      <c r="AD747" s="9" t="s">
        <v>107</v>
      </c>
      <c r="AE747" s="9" t="s">
        <v>1557</v>
      </c>
      <c r="AF747" s="10"/>
      <c r="AG747" s="10"/>
      <c r="AH747" s="9"/>
      <c r="AI747" s="9" t="s">
        <v>1558</v>
      </c>
      <c r="AJ747" s="9" t="s">
        <v>8</v>
      </c>
      <c r="AK747" s="10">
        <v>45434</v>
      </c>
      <c r="AL747" s="10">
        <v>45436</v>
      </c>
      <c r="AM747" s="10">
        <v>45441</v>
      </c>
      <c r="AN747" s="9" t="s">
        <v>1492</v>
      </c>
      <c r="AO747" s="9"/>
      <c r="AP747" s="11">
        <f>IF($H747="Cancelled","",IFERROR(IF(OR(AK747="",AB747=""),"",(AB747+Variables!$B$18-AK747)),""))</f>
        <v>-2</v>
      </c>
      <c r="AQ747" s="11">
        <f>IF($H747="Cancelled","",IFERROR(IF(OR(AM747="",AK747=""),"",(AK747+Variables!$B$19)-AM747),""))</f>
        <v>-2</v>
      </c>
      <c r="AR747" s="12">
        <f>IF($H747="Cancelled","",IFERROR(T747*INDEX(Variables!$B$7:$D$7,IFERROR(MATCH(IF($B747="Robusta","Robusta",(IF($B747="","Arabica",$B747))&amp;" - "&amp;(IF($C747="","Commercial",$C747))),Variables!$B$1:$D$1,0),1))*(AQ747/365),""))</f>
        <v>-3.397109387692697</v>
      </c>
      <c r="AS747" s="12">
        <f>IF($H747="Cancelled","",IFERROR((T747*INDEX(Variables!$B$7:$D$7,IFERROR(MATCH(IF($B747="Robusta","Robusta",(IF($B747="","Arabica",$B747))&amp;" - "&amp;(IF($C747="","Commercial",$C747))),Variables!$B$1:$D$1,0),1))*IFERROR(IF(W747="","",(AVERAGE(E747:F747)-W747)-Variables!$B$14),"")/365)+(L747/16.67*INDEX(Variables!$B$8:$D$8,IFERROR(MATCH(IF($B747="Robusta","Robusta",(IF($B747="","Arabica",$B747))&amp;" - "&amp;(IF($C747="","Commercial",$C747))),Variables!$B$1:$D$1,0),1))*IFERROR(IF(W747="","",(AVERAGE(E747:F747)-W747)-Variables!$B$14),""))+(T747*INDEX(Variables!$B$9:$D$9,IFERROR(MATCH(IF($B747="Robusta","Robusta",(IF($B747="","Arabica",$B747))&amp;" - "&amp;(IF($C747="","Commercial",$C747))),Variables!$B$1:$D$1,0),1))*IFERROR(IF(W747="","",(AVERAGE(E747:F747)-W747)-Variables!$B$14),"")/365),""))</f>
        <v>-44.556785127492589</v>
      </c>
      <c r="AT747" s="12">
        <f>IF($H747="Cancelled","",IFERROR((T747*INDEX(Variables!$B$7:$D$7,IFERROR(MATCH(IF($B747="Robusta","Robusta",(IF($B747="","Arabica",$B747))&amp;" - "&amp;(IF($C747="","Commercial",$C747))),Variables!$B$1:$D$1,0),1))*AC747/365)+(L747/16.67*INDEX(Variables!$B$8:$D$8,IFERROR(MATCH(IF($B747="Robusta","Robusta",(IF($B747="","Arabica",$B747))&amp;" - "&amp;(IF($C747="","Commercial",$C747))),Variables!$B$1:$D$1,0),1))*AC747)+(T747*INDEX(Variables!$B$9:$D$9,IFERROR(MATCH(IF($B747="Robusta","Robusta",(IF($B747="","Arabica",$B747))&amp;" - "&amp;(IF($C747="","Commercial",$C747))),Variables!$B$1:$D$1,0),1))*AC747/365),""))</f>
        <v>-11.881809367331355</v>
      </c>
      <c r="AU747" s="12">
        <f>IF($H747="Cancelled","",IFERROR((T747*INDEX(Variables!$B$7:$D$7,IFERROR(MATCH(IF($B747="Robusta","Robusta",(IF($B747="","Arabica",$B747))&amp;" - "&amp;(IF($C747="","Commercial",$C747))),Variables!$B$1:$D$1,0),1))*AP747/365)+(L747/16.67*INDEX(Variables!$B$8:$D$8,IFERROR(MATCH(IF($B747="Robusta","Robusta",(IF($B747="","Arabica",$B747))&amp;" - "&amp;(IF($C747="","Commercial",$C747))),Variables!$B$1:$D$1,0),1))*AP747)+(T747*INDEX(Variables!$B$9:$D$9,IFERROR(MATCH(IF($B747="Robusta","Robusta",(IF($B747="","Arabica",$B747))&amp;" - "&amp;(IF($C747="","Commercial",$C747))),Variables!$B$1:$D$1,0),1))*AP747/365),""))</f>
        <v>-5.9409046836656776</v>
      </c>
      <c r="AV747" s="11">
        <f t="shared" si="75"/>
        <v>9</v>
      </c>
      <c r="AW747" s="12">
        <f>IF($H747="Cancelled","",IFERROR(IF(AV747="","",(T747*INDEX(Variables!$B$7:$D$7,IFERROR(MATCH(IF($B747="Robusta","Robusta",(IF($B747="","Arabica",$B747))&amp;" - "&amp;(IF($C747="","Commercial",$C747))),Variables!$B$1:$D$1,0),1))*(AV747/365))+(T747*INDEX(Variables!$B$9:$D$9,IFERROR(MATCH(IF($B747="Robusta","Robusta",(IF($B747="","Arabica",$B747))&amp;" - "&amp;(IF($C747="","Commercial",$C747))),Variables!$B$1:$D$1,0),1))*(AV747/365))+(INDEX(Variables!$B$8:$D$8,IFERROR(MATCH(IF($B747="Robusta","Robusta",(IF($B747="","Arabica",$B747))&amp;" - "&amp;(IF($C747="","Commercial",$C747))),Variables!$B$1:$D$1,0),1))*L747/16.67)),""))</f>
        <v>16.73407107649555</v>
      </c>
      <c r="AX747" s="9"/>
      <c r="AY747" s="12"/>
      <c r="AZ747" s="10"/>
      <c r="BA747" s="9"/>
      <c r="BB747" s="10"/>
      <c r="BC747" s="9"/>
      <c r="BD747" s="9"/>
      <c r="BE747" s="9"/>
      <c r="BF747" s="9"/>
    </row>
    <row r="748" spans="1:58" x14ac:dyDescent="0.25">
      <c r="A748" s="9" t="s">
        <v>84</v>
      </c>
      <c r="B748" s="9" t="s">
        <v>85</v>
      </c>
      <c r="C748" s="9" t="s">
        <v>1486</v>
      </c>
      <c r="D748" s="10">
        <v>45384</v>
      </c>
      <c r="E748" s="10">
        <v>45413</v>
      </c>
      <c r="F748" s="10">
        <v>45443</v>
      </c>
      <c r="G748" s="9">
        <v>3786280</v>
      </c>
      <c r="H748" s="9" t="str">
        <f t="shared" si="73"/>
        <v>Closed</v>
      </c>
      <c r="I748" s="9" t="str">
        <f t="shared" si="74"/>
        <v>All dates received</v>
      </c>
      <c r="J748" s="9" t="s">
        <v>235</v>
      </c>
      <c r="K748" s="9">
        <v>4907</v>
      </c>
      <c r="L748" s="11">
        <v>20</v>
      </c>
      <c r="M748" s="9" t="s">
        <v>1676</v>
      </c>
      <c r="N748" s="9"/>
      <c r="O748" s="9"/>
      <c r="P748" s="9"/>
      <c r="Q748" s="11"/>
      <c r="R748" s="9" t="s">
        <v>195</v>
      </c>
      <c r="S748" s="9" t="s">
        <v>1536</v>
      </c>
      <c r="T748" s="12">
        <f>IF($H748="Cancelled","",IFERROR(((Q748+INDEX(Variables!$B$6:$D$6,IFERROR(MATCH(IF($B748="Robusta","Robusta",(IF($B748="","Arabica",$B748))&amp;" - "&amp;(IF($C748="","Commercial",$C748))),Variables!$B$1:$D$1,0),1)))*22.0462)*(L748/16.67),""))</f>
        <v>7691.7036112777441</v>
      </c>
      <c r="U748" s="10"/>
      <c r="V748" s="9" t="str">
        <f t="shared" si="76"/>
        <v/>
      </c>
      <c r="W748" s="10">
        <v>45413</v>
      </c>
      <c r="X748" s="9" t="str">
        <f t="shared" si="77"/>
        <v>Approved</v>
      </c>
      <c r="Y748" s="10">
        <v>45413</v>
      </c>
      <c r="Z748" s="10">
        <f>IF($H748="Cancelled","",IFERROR(IF(F748="","",F748-Variables!$B$13),""))</f>
        <v>45428</v>
      </c>
      <c r="AA748" s="11">
        <f>IF($H748="Cancelled","",IFERROR(IF(W748="","",(AVERAGE(E748:F748)-W748)-Variables!$B$14),""))</f>
        <v>-15</v>
      </c>
      <c r="AB748" s="10">
        <v>45425</v>
      </c>
      <c r="AC748" s="11">
        <f>IF($H748="Cancelled","",IFERROR(IF(AB748="","",IF(AND(W748="",Y748=""),"",IF(Y748&gt;W748,Y748+Variables!$B$15+Variables!$B$16+Variables!$B$17-AB748,W748+Variables!$B$16+Variables!$B$17-AB748))),""))</f>
        <v>-4</v>
      </c>
      <c r="AD748" s="9" t="s">
        <v>107</v>
      </c>
      <c r="AE748" s="9" t="s">
        <v>1557</v>
      </c>
      <c r="AF748" s="10"/>
      <c r="AG748" s="10"/>
      <c r="AH748" s="9"/>
      <c r="AI748" s="9" t="s">
        <v>1558</v>
      </c>
      <c r="AJ748" s="9" t="s">
        <v>8</v>
      </c>
      <c r="AK748" s="10">
        <v>45434</v>
      </c>
      <c r="AL748" s="10">
        <v>45436</v>
      </c>
      <c r="AM748" s="10">
        <v>45441</v>
      </c>
      <c r="AN748" s="9" t="s">
        <v>1492</v>
      </c>
      <c r="AO748" s="9"/>
      <c r="AP748" s="11">
        <f>IF($H748="Cancelled","",IFERROR(IF(OR(AK748="",AB748=""),"",(AB748+Variables!$B$18-AK748)),""))</f>
        <v>-2</v>
      </c>
      <c r="AQ748" s="11">
        <f>IF($H748="Cancelled","",IFERROR(IF(OR(AM748="",AK748=""),"",(AK748+Variables!$B$19)-AM748),""))</f>
        <v>-2</v>
      </c>
      <c r="AR748" s="12">
        <f>IF($H748="Cancelled","",IFERROR(T748*INDEX(Variables!$B$7:$D$7,IFERROR(MATCH(IF($B748="Robusta","Robusta",(IF($B748="","Arabica",$B748))&amp;" - "&amp;(IF($C748="","Commercial",$C748))),Variables!$B$1:$D$1,0),1))*(AQ748/365),""))</f>
        <v>-2.7176875101541578</v>
      </c>
      <c r="AS748" s="12">
        <f>IF($H748="Cancelled","",IFERROR((T748*INDEX(Variables!$B$7:$D$7,IFERROR(MATCH(IF($B748="Robusta","Robusta",(IF($B748="","Arabica",$B748))&amp;" - "&amp;(IF($C748="","Commercial",$C748))),Variables!$B$1:$D$1,0),1))*IFERROR(IF(W748="","",(AVERAGE(E748:F748)-W748)-Variables!$B$14),"")/365)+(L748/16.67*INDEX(Variables!$B$8:$D$8,IFERROR(MATCH(IF($B748="Robusta","Robusta",(IF($B748="","Arabica",$B748))&amp;" - "&amp;(IF($C748="","Commercial",$C748))),Variables!$B$1:$D$1,0),1))*IFERROR(IF(W748="","",(AVERAGE(E748:F748)-W748)-Variables!$B$14),""))+(T748*INDEX(Variables!$B$9:$D$9,IFERROR(MATCH(IF($B748="Robusta","Robusta",(IF($B748="","Arabica",$B748))&amp;" - "&amp;(IF($C748="","Commercial",$C748))),Variables!$B$1:$D$1,0),1))*IFERROR(IF(W748="","",(AVERAGE(E748:F748)-W748)-Variables!$B$14),"")/365),""))</f>
        <v>-35.645428101994064</v>
      </c>
      <c r="AT748" s="12">
        <f>IF($H748="Cancelled","",IFERROR((T748*INDEX(Variables!$B$7:$D$7,IFERROR(MATCH(IF($B748="Robusta","Robusta",(IF($B748="","Arabica",$B748))&amp;" - "&amp;(IF($C748="","Commercial",$C748))),Variables!$B$1:$D$1,0),1))*AC748/365)+(L748/16.67*INDEX(Variables!$B$8:$D$8,IFERROR(MATCH(IF($B748="Robusta","Robusta",(IF($B748="","Arabica",$B748))&amp;" - "&amp;(IF($C748="","Commercial",$C748))),Variables!$B$1:$D$1,0),1))*AC748)+(T748*INDEX(Variables!$B$9:$D$9,IFERROR(MATCH(IF($B748="Robusta","Robusta",(IF($B748="","Arabica",$B748))&amp;" - "&amp;(IF($C748="","Commercial",$C748))),Variables!$B$1:$D$1,0),1))*AC748/365),""))</f>
        <v>-9.5054474938650841</v>
      </c>
      <c r="AU748" s="12">
        <f>IF($H748="Cancelled","",IFERROR((T748*INDEX(Variables!$B$7:$D$7,IFERROR(MATCH(IF($B748="Robusta","Robusta",(IF($B748="","Arabica",$B748))&amp;" - "&amp;(IF($C748="","Commercial",$C748))),Variables!$B$1:$D$1,0),1))*AP748/365)+(L748/16.67*INDEX(Variables!$B$8:$D$8,IFERROR(MATCH(IF($B748="Robusta","Robusta",(IF($B748="","Arabica",$B748))&amp;" - "&amp;(IF($C748="","Commercial",$C748))),Variables!$B$1:$D$1,0),1))*AP748)+(T748*INDEX(Variables!$B$9:$D$9,IFERROR(MATCH(IF($B748="Robusta","Robusta",(IF($B748="","Arabica",$B748))&amp;" - "&amp;(IF($C748="","Commercial",$C748))),Variables!$B$1:$D$1,0),1))*AP748/365),""))</f>
        <v>-4.7527237469325421</v>
      </c>
      <c r="AV748" s="11">
        <f t="shared" si="75"/>
        <v>9</v>
      </c>
      <c r="AW748" s="12">
        <f>IF($H748="Cancelled","",IFERROR(IF(AV748="","",(T748*INDEX(Variables!$B$7:$D$7,IFERROR(MATCH(IF($B748="Robusta","Robusta",(IF($B748="","Arabica",$B748))&amp;" - "&amp;(IF($C748="","Commercial",$C748))),Variables!$B$1:$D$1,0),1))*(AV748/365))+(T748*INDEX(Variables!$B$9:$D$9,IFERROR(MATCH(IF($B748="Robusta","Robusta",(IF($B748="","Arabica",$B748))&amp;" - "&amp;(IF($C748="","Commercial",$C748))),Variables!$B$1:$D$1,0),1))*(AV748/365))+(INDEX(Variables!$B$8:$D$8,IFERROR(MATCH(IF($B748="Robusta","Robusta",(IF($B748="","Arabica",$B748))&amp;" - "&amp;(IF($C748="","Commercial",$C748))),Variables!$B$1:$D$1,0),1))*L748/16.67)),""))</f>
        <v>13.387256861196441</v>
      </c>
      <c r="AX748" s="9"/>
      <c r="AY748" s="12"/>
      <c r="AZ748" s="10"/>
      <c r="BA748" s="9"/>
      <c r="BB748" s="10"/>
      <c r="BC748" s="9"/>
      <c r="BD748" s="9"/>
      <c r="BE748" s="9"/>
      <c r="BF748" s="9"/>
    </row>
    <row r="749" spans="1:58" x14ac:dyDescent="0.25">
      <c r="A749" s="9" t="s">
        <v>84</v>
      </c>
      <c r="B749" s="9" t="s">
        <v>85</v>
      </c>
      <c r="C749" s="9" t="s">
        <v>1486</v>
      </c>
      <c r="D749" s="10">
        <v>45384</v>
      </c>
      <c r="E749" s="10">
        <v>45413</v>
      </c>
      <c r="F749" s="10">
        <v>45443</v>
      </c>
      <c r="G749" s="9">
        <v>3786281</v>
      </c>
      <c r="H749" s="9" t="str">
        <f t="shared" si="73"/>
        <v>Closed</v>
      </c>
      <c r="I749" s="9" t="str">
        <f t="shared" si="74"/>
        <v>All dates received</v>
      </c>
      <c r="J749" s="9" t="s">
        <v>235</v>
      </c>
      <c r="K749" s="9">
        <v>4908</v>
      </c>
      <c r="L749" s="11">
        <v>25</v>
      </c>
      <c r="M749" s="9" t="s">
        <v>1677</v>
      </c>
      <c r="N749" s="9"/>
      <c r="O749" s="9"/>
      <c r="P749" s="9"/>
      <c r="Q749" s="11"/>
      <c r="R749" s="9" t="s">
        <v>195</v>
      </c>
      <c r="S749" s="9" t="s">
        <v>1536</v>
      </c>
      <c r="T749" s="12">
        <f>IF($H749="Cancelled","",IFERROR(((Q749+INDEX(Variables!$B$6:$D$6,IFERROR(MATCH(IF($B749="Robusta","Robusta",(IF($B749="","Arabica",$B749))&amp;" - "&amp;(IF($C749="","Commercial",$C749))),Variables!$B$1:$D$1,0),1)))*22.0462)*(L749/16.67),""))</f>
        <v>9614.6295140971797</v>
      </c>
      <c r="U749" s="10"/>
      <c r="V749" s="9" t="str">
        <f t="shared" si="76"/>
        <v/>
      </c>
      <c r="W749" s="10">
        <v>45413</v>
      </c>
      <c r="X749" s="9" t="str">
        <f t="shared" si="77"/>
        <v>Approved</v>
      </c>
      <c r="Y749" s="10">
        <v>45413</v>
      </c>
      <c r="Z749" s="10">
        <f>IF($H749="Cancelled","",IFERROR(IF(F749="","",F749-Variables!$B$13),""))</f>
        <v>45428</v>
      </c>
      <c r="AA749" s="11">
        <f>IF($H749="Cancelled","",IFERROR(IF(W749="","",(AVERAGE(E749:F749)-W749)-Variables!$B$14),""))</f>
        <v>-15</v>
      </c>
      <c r="AB749" s="10">
        <v>45425</v>
      </c>
      <c r="AC749" s="11">
        <f>IF($H749="Cancelled","",IFERROR(IF(AB749="","",IF(AND(W749="",Y749=""),"",IF(Y749&gt;W749,Y749+Variables!$B$15+Variables!$B$16+Variables!$B$17-AB749,W749+Variables!$B$16+Variables!$B$17-AB749))),""))</f>
        <v>-4</v>
      </c>
      <c r="AD749" s="9" t="s">
        <v>107</v>
      </c>
      <c r="AE749" s="9" t="s">
        <v>1557</v>
      </c>
      <c r="AF749" s="10"/>
      <c r="AG749" s="10"/>
      <c r="AH749" s="9"/>
      <c r="AI749" s="9" t="s">
        <v>1558</v>
      </c>
      <c r="AJ749" s="9" t="s">
        <v>8</v>
      </c>
      <c r="AK749" s="10">
        <v>45434</v>
      </c>
      <c r="AL749" s="10">
        <v>45436</v>
      </c>
      <c r="AM749" s="10">
        <v>45441</v>
      </c>
      <c r="AN749" s="9" t="s">
        <v>1492</v>
      </c>
      <c r="AO749" s="9"/>
      <c r="AP749" s="11">
        <f>IF($H749="Cancelled","",IFERROR(IF(OR(AK749="",AB749=""),"",(AB749+Variables!$B$18-AK749)),""))</f>
        <v>-2</v>
      </c>
      <c r="AQ749" s="11">
        <f>IF($H749="Cancelled","",IFERROR(IF(OR(AM749="",AK749=""),"",(AK749+Variables!$B$19)-AM749),""))</f>
        <v>-2</v>
      </c>
      <c r="AR749" s="12">
        <f>IF($H749="Cancelled","",IFERROR(T749*INDEX(Variables!$B$7:$D$7,IFERROR(MATCH(IF($B749="Robusta","Robusta",(IF($B749="","Arabica",$B749))&amp;" - "&amp;(IF($C749="","Commercial",$C749))),Variables!$B$1:$D$1,0),1))*(AQ749/365),""))</f>
        <v>-3.397109387692697</v>
      </c>
      <c r="AS749" s="12">
        <f>IF($H749="Cancelled","",IFERROR((T749*INDEX(Variables!$B$7:$D$7,IFERROR(MATCH(IF($B749="Robusta","Robusta",(IF($B749="","Arabica",$B749))&amp;" - "&amp;(IF($C749="","Commercial",$C749))),Variables!$B$1:$D$1,0),1))*IFERROR(IF(W749="","",(AVERAGE(E749:F749)-W749)-Variables!$B$14),"")/365)+(L749/16.67*INDEX(Variables!$B$8:$D$8,IFERROR(MATCH(IF($B749="Robusta","Robusta",(IF($B749="","Arabica",$B749))&amp;" - "&amp;(IF($C749="","Commercial",$C749))),Variables!$B$1:$D$1,0),1))*IFERROR(IF(W749="","",(AVERAGE(E749:F749)-W749)-Variables!$B$14),""))+(T749*INDEX(Variables!$B$9:$D$9,IFERROR(MATCH(IF($B749="Robusta","Robusta",(IF($B749="","Arabica",$B749))&amp;" - "&amp;(IF($C749="","Commercial",$C749))),Variables!$B$1:$D$1,0),1))*IFERROR(IF(W749="","",(AVERAGE(E749:F749)-W749)-Variables!$B$14),"")/365),""))</f>
        <v>-44.556785127492589</v>
      </c>
      <c r="AT749" s="12">
        <f>IF($H749="Cancelled","",IFERROR((T749*INDEX(Variables!$B$7:$D$7,IFERROR(MATCH(IF($B749="Robusta","Robusta",(IF($B749="","Arabica",$B749))&amp;" - "&amp;(IF($C749="","Commercial",$C749))),Variables!$B$1:$D$1,0),1))*AC749/365)+(L749/16.67*INDEX(Variables!$B$8:$D$8,IFERROR(MATCH(IF($B749="Robusta","Robusta",(IF($B749="","Arabica",$B749))&amp;" - "&amp;(IF($C749="","Commercial",$C749))),Variables!$B$1:$D$1,0),1))*AC749)+(T749*INDEX(Variables!$B$9:$D$9,IFERROR(MATCH(IF($B749="Robusta","Robusta",(IF($B749="","Arabica",$B749))&amp;" - "&amp;(IF($C749="","Commercial",$C749))),Variables!$B$1:$D$1,0),1))*AC749/365),""))</f>
        <v>-11.881809367331355</v>
      </c>
      <c r="AU749" s="12">
        <f>IF($H749="Cancelled","",IFERROR((T749*INDEX(Variables!$B$7:$D$7,IFERROR(MATCH(IF($B749="Robusta","Robusta",(IF($B749="","Arabica",$B749))&amp;" - "&amp;(IF($C749="","Commercial",$C749))),Variables!$B$1:$D$1,0),1))*AP749/365)+(L749/16.67*INDEX(Variables!$B$8:$D$8,IFERROR(MATCH(IF($B749="Robusta","Robusta",(IF($B749="","Arabica",$B749))&amp;" - "&amp;(IF($C749="","Commercial",$C749))),Variables!$B$1:$D$1,0),1))*AP749)+(T749*INDEX(Variables!$B$9:$D$9,IFERROR(MATCH(IF($B749="Robusta","Robusta",(IF($B749="","Arabica",$B749))&amp;" - "&amp;(IF($C749="","Commercial",$C749))),Variables!$B$1:$D$1,0),1))*AP749/365),""))</f>
        <v>-5.9409046836656776</v>
      </c>
      <c r="AV749" s="11">
        <f t="shared" si="75"/>
        <v>9</v>
      </c>
      <c r="AW749" s="12">
        <f>IF($H749="Cancelled","",IFERROR(IF(AV749="","",(T749*INDEX(Variables!$B$7:$D$7,IFERROR(MATCH(IF($B749="Robusta","Robusta",(IF($B749="","Arabica",$B749))&amp;" - "&amp;(IF($C749="","Commercial",$C749))),Variables!$B$1:$D$1,0),1))*(AV749/365))+(T749*INDEX(Variables!$B$9:$D$9,IFERROR(MATCH(IF($B749="Robusta","Robusta",(IF($B749="","Arabica",$B749))&amp;" - "&amp;(IF($C749="","Commercial",$C749))),Variables!$B$1:$D$1,0),1))*(AV749/365))+(INDEX(Variables!$B$8:$D$8,IFERROR(MATCH(IF($B749="Robusta","Robusta",(IF($B749="","Arabica",$B749))&amp;" - "&amp;(IF($C749="","Commercial",$C749))),Variables!$B$1:$D$1,0),1))*L749/16.67)),""))</f>
        <v>16.73407107649555</v>
      </c>
      <c r="AX749" s="9"/>
      <c r="AY749" s="12"/>
      <c r="AZ749" s="10"/>
      <c r="BA749" s="9"/>
      <c r="BB749" s="10"/>
      <c r="BC749" s="9"/>
      <c r="BD749" s="9"/>
      <c r="BE749" s="9"/>
      <c r="BF749" s="9"/>
    </row>
    <row r="750" spans="1:58" x14ac:dyDescent="0.25">
      <c r="A750" s="9" t="s">
        <v>84</v>
      </c>
      <c r="B750" s="9" t="s">
        <v>85</v>
      </c>
      <c r="C750" s="9" t="s">
        <v>1486</v>
      </c>
      <c r="D750" s="10">
        <v>45384</v>
      </c>
      <c r="E750" s="10">
        <v>45413</v>
      </c>
      <c r="F750" s="10">
        <v>45443</v>
      </c>
      <c r="G750" s="9">
        <v>3786267</v>
      </c>
      <c r="H750" s="9" t="str">
        <f t="shared" si="73"/>
        <v>Closed</v>
      </c>
      <c r="I750" s="9" t="str">
        <f t="shared" si="74"/>
        <v>All dates received</v>
      </c>
      <c r="J750" s="9" t="s">
        <v>1592</v>
      </c>
      <c r="K750" s="9">
        <v>4917</v>
      </c>
      <c r="L750" s="11">
        <v>78</v>
      </c>
      <c r="M750" s="9" t="s">
        <v>1678</v>
      </c>
      <c r="N750" s="9"/>
      <c r="O750" s="9"/>
      <c r="P750" s="9"/>
      <c r="Q750" s="11"/>
      <c r="R750" s="9" t="s">
        <v>195</v>
      </c>
      <c r="S750" s="9" t="s">
        <v>578</v>
      </c>
      <c r="T750" s="12">
        <f>IF($H750="Cancelled","",IFERROR(((Q750+INDEX(Variables!$B$6:$D$6,IFERROR(MATCH(IF($B750="Robusta","Robusta",(IF($B750="","Arabica",$B750))&amp;" - "&amp;(IF($C750="","Commercial",$C750))),Variables!$B$1:$D$1,0),1)))*22.0462)*(L750/16.67),""))</f>
        <v>29997.644083983199</v>
      </c>
      <c r="U750" s="10"/>
      <c r="V750" s="9" t="str">
        <f t="shared" si="76"/>
        <v/>
      </c>
      <c r="W750" s="10">
        <v>45413</v>
      </c>
      <c r="X750" s="9" t="str">
        <f t="shared" si="77"/>
        <v>Approved</v>
      </c>
      <c r="Y750" s="10">
        <v>45422</v>
      </c>
      <c r="Z750" s="10">
        <f>IF($H750="Cancelled","",IFERROR(IF(F750="","",F750-Variables!$B$13),""))</f>
        <v>45428</v>
      </c>
      <c r="AA750" s="11">
        <f>IF($H750="Cancelled","",IFERROR(IF(W750="","",(AVERAGE(E750:F750)-W750)-Variables!$B$14),""))</f>
        <v>-15</v>
      </c>
      <c r="AB750" s="10">
        <v>45432</v>
      </c>
      <c r="AC750" s="11">
        <f>IF($H750="Cancelled","",IFERROR(IF(AB750="","",IF(AND(W750="",Y750=""),"",IF(Y750&gt;W750,Y750+Variables!$B$15+Variables!$B$16+Variables!$B$17-AB750,W750+Variables!$B$16+Variables!$B$17-AB750))),""))</f>
        <v>5</v>
      </c>
      <c r="AD750" s="9" t="s">
        <v>180</v>
      </c>
      <c r="AE750" s="9" t="s">
        <v>181</v>
      </c>
      <c r="AF750" s="10"/>
      <c r="AG750" s="10"/>
      <c r="AH750" s="9"/>
      <c r="AI750" s="9" t="s">
        <v>1594</v>
      </c>
      <c r="AJ750" s="9" t="s">
        <v>1595</v>
      </c>
      <c r="AK750" s="10">
        <v>45442</v>
      </c>
      <c r="AL750" s="10">
        <v>45443</v>
      </c>
      <c r="AM750" s="10">
        <v>45453</v>
      </c>
      <c r="AN750" s="9" t="s">
        <v>1492</v>
      </c>
      <c r="AO750" s="9"/>
      <c r="AP750" s="11">
        <f>IF($H750="Cancelled","",IFERROR(IF(OR(AK750="",AB750=""),"",(AB750+Variables!$B$18-AK750)),""))</f>
        <v>-3</v>
      </c>
      <c r="AQ750" s="11">
        <f>IF($H750="Cancelled","",IFERROR(IF(OR(AM750="",AK750=""),"",(AK750+Variables!$B$19)-AM750),""))</f>
        <v>-6</v>
      </c>
      <c r="AR750" s="12">
        <f>IF($H750="Cancelled","",IFERROR(T750*INDEX(Variables!$B$7:$D$7,IFERROR(MATCH(IF($B750="Robusta","Robusta",(IF($B750="","Arabica",$B750))&amp;" - "&amp;(IF($C750="","Commercial",$C750))),Variables!$B$1:$D$1,0),1))*(AQ750/365),""))</f>
        <v>-31.796943868803638</v>
      </c>
      <c r="AS750" s="12">
        <f>IF($H750="Cancelled","",IFERROR((T750*INDEX(Variables!$B$7:$D$7,IFERROR(MATCH(IF($B750="Robusta","Robusta",(IF($B750="","Arabica",$B750))&amp;" - "&amp;(IF($C750="","Commercial",$C750))),Variables!$B$1:$D$1,0),1))*IFERROR(IF(W750="","",(AVERAGE(E750:F750)-W750)-Variables!$B$14),"")/365)+(L750/16.67*INDEX(Variables!$B$8:$D$8,IFERROR(MATCH(IF($B750="Robusta","Robusta",(IF($B750="","Arabica",$B750))&amp;" - "&amp;(IF($C750="","Commercial",$C750))),Variables!$B$1:$D$1,0),1))*IFERROR(IF(W750="","",(AVERAGE(E750:F750)-W750)-Variables!$B$14),""))+(T750*INDEX(Variables!$B$9:$D$9,IFERROR(MATCH(IF($B750="Robusta","Robusta",(IF($B750="","Arabica",$B750))&amp;" - "&amp;(IF($C750="","Commercial",$C750))),Variables!$B$1:$D$1,0),1))*IFERROR(IF(W750="","",(AVERAGE(E750:F750)-W750)-Variables!$B$14),"")/365),""))</f>
        <v>-139.01716959777687</v>
      </c>
      <c r="AT750" s="12">
        <f>IF($H750="Cancelled","",IFERROR((T750*INDEX(Variables!$B$7:$D$7,IFERROR(MATCH(IF($B750="Robusta","Robusta",(IF($B750="","Arabica",$B750))&amp;" - "&amp;(IF($C750="","Commercial",$C750))),Variables!$B$1:$D$1,0),1))*AC750/365)+(L750/16.67*INDEX(Variables!$B$8:$D$8,IFERROR(MATCH(IF($B750="Robusta","Robusta",(IF($B750="","Arabica",$B750))&amp;" - "&amp;(IF($C750="","Commercial",$C750))),Variables!$B$1:$D$1,0),1))*AC750)+(T750*INDEX(Variables!$B$9:$D$9,IFERROR(MATCH(IF($B750="Robusta","Robusta",(IF($B750="","Arabica",$B750))&amp;" - "&amp;(IF($C750="","Commercial",$C750))),Variables!$B$1:$D$1,0),1))*AC750/365),""))</f>
        <v>46.339056532592288</v>
      </c>
      <c r="AU750" s="12">
        <f>IF($H750="Cancelled","",IFERROR((T750*INDEX(Variables!$B$7:$D$7,IFERROR(MATCH(IF($B750="Robusta","Robusta",(IF($B750="","Arabica",$B750))&amp;" - "&amp;(IF($C750="","Commercial",$C750))),Variables!$B$1:$D$1,0),1))*AP750/365)+(L750/16.67*INDEX(Variables!$B$8:$D$8,IFERROR(MATCH(IF($B750="Robusta","Robusta",(IF($B750="","Arabica",$B750))&amp;" - "&amp;(IF($C750="","Commercial",$C750))),Variables!$B$1:$D$1,0),1))*AP750)+(T750*INDEX(Variables!$B$9:$D$9,IFERROR(MATCH(IF($B750="Robusta","Robusta",(IF($B750="","Arabica",$B750))&amp;" - "&amp;(IF($C750="","Commercial",$C750))),Variables!$B$1:$D$1,0),1))*AP750/365),""))</f>
        <v>-27.803433919555371</v>
      </c>
      <c r="AV750" s="11">
        <f t="shared" si="75"/>
        <v>1</v>
      </c>
      <c r="AW750" s="12">
        <f>IF($H750="Cancelled","",IFERROR(IF(AV750="","",(T750*INDEX(Variables!$B$7:$D$7,IFERROR(MATCH(IF($B750="Robusta","Robusta",(IF($B750="","Arabica",$B750))&amp;" - "&amp;(IF($C750="","Commercial",$C750))),Variables!$B$1:$D$1,0),1))*(AV750/365))+(T750*INDEX(Variables!$B$9:$D$9,IFERROR(MATCH(IF($B750="Robusta","Robusta",(IF($B750="","Arabica",$B750))&amp;" - "&amp;(IF($C750="","Commercial",$C750))),Variables!$B$1:$D$1,0),1))*(AV750/365))+(INDEX(Variables!$B$8:$D$8,IFERROR(MATCH(IF($B750="Robusta","Robusta",(IF($B750="","Arabica",$B750))&amp;" - "&amp;(IF($C750="","Commercial",$C750))),Variables!$B$1:$D$1,0),1))*L750/16.67)),""))</f>
        <v>9.2678113065184569</v>
      </c>
      <c r="AX750" s="9"/>
      <c r="AY750" s="12"/>
      <c r="AZ750" s="10"/>
      <c r="BA750" s="9"/>
      <c r="BB750" s="10"/>
      <c r="BC750" s="9"/>
      <c r="BD750" s="9"/>
      <c r="BE750" s="9"/>
      <c r="BF750" s="9"/>
    </row>
    <row r="751" spans="1:58" x14ac:dyDescent="0.25">
      <c r="A751" s="9" t="s">
        <v>84</v>
      </c>
      <c r="B751" s="9" t="s">
        <v>85</v>
      </c>
      <c r="C751" s="9" t="s">
        <v>1486</v>
      </c>
      <c r="D751" s="10">
        <v>45384</v>
      </c>
      <c r="E751" s="10">
        <v>45413</v>
      </c>
      <c r="F751" s="10">
        <v>45443</v>
      </c>
      <c r="G751" s="9">
        <v>3786268</v>
      </c>
      <c r="H751" s="9" t="str">
        <f t="shared" si="73"/>
        <v>Closed</v>
      </c>
      <c r="I751" s="9" t="str">
        <f t="shared" si="74"/>
        <v>All dates received</v>
      </c>
      <c r="J751" s="9" t="s">
        <v>1592</v>
      </c>
      <c r="K751" s="9">
        <v>4918</v>
      </c>
      <c r="L751" s="11">
        <v>3</v>
      </c>
      <c r="M751" s="9" t="s">
        <v>1679</v>
      </c>
      <c r="N751" s="9"/>
      <c r="O751" s="9"/>
      <c r="P751" s="9"/>
      <c r="Q751" s="11"/>
      <c r="R751" s="9" t="s">
        <v>195</v>
      </c>
      <c r="S751" s="9" t="s">
        <v>578</v>
      </c>
      <c r="T751" s="12">
        <f>IF($H751="Cancelled","",IFERROR(((Q751+INDEX(Variables!$B$6:$D$6,IFERROR(MATCH(IF($B751="Robusta","Robusta",(IF($B751="","Arabica",$B751))&amp;" - "&amp;(IF($C751="","Commercial",$C751))),Variables!$B$1:$D$1,0),1)))*22.0462)*(L751/16.67),""))</f>
        <v>1153.7555416916614</v>
      </c>
      <c r="U751" s="10"/>
      <c r="V751" s="9" t="str">
        <f t="shared" si="76"/>
        <v/>
      </c>
      <c r="W751" s="10">
        <v>45413</v>
      </c>
      <c r="X751" s="9" t="str">
        <f t="shared" si="77"/>
        <v>Approved</v>
      </c>
      <c r="Y751" s="10">
        <v>45422</v>
      </c>
      <c r="Z751" s="10">
        <f>IF($H751="Cancelled","",IFERROR(IF(F751="","",F751-Variables!$B$13),""))</f>
        <v>45428</v>
      </c>
      <c r="AA751" s="11">
        <f>IF($H751="Cancelled","",IFERROR(IF(W751="","",(AVERAGE(E751:F751)-W751)-Variables!$B$14),""))</f>
        <v>-15</v>
      </c>
      <c r="AB751" s="10">
        <v>45432</v>
      </c>
      <c r="AC751" s="11">
        <f>IF($H751="Cancelled","",IFERROR(IF(AB751="","",IF(AND(W751="",Y751=""),"",IF(Y751&gt;W751,Y751+Variables!$B$15+Variables!$B$16+Variables!$B$17-AB751,W751+Variables!$B$16+Variables!$B$17-AB751))),""))</f>
        <v>5</v>
      </c>
      <c r="AD751" s="9" t="s">
        <v>180</v>
      </c>
      <c r="AE751" s="9" t="s">
        <v>181</v>
      </c>
      <c r="AF751" s="10"/>
      <c r="AG751" s="10"/>
      <c r="AH751" s="9"/>
      <c r="AI751" s="9" t="s">
        <v>1594</v>
      </c>
      <c r="AJ751" s="9" t="s">
        <v>1595</v>
      </c>
      <c r="AK751" s="10">
        <v>45442</v>
      </c>
      <c r="AL751" s="10">
        <v>45443</v>
      </c>
      <c r="AM751" s="10">
        <v>45453</v>
      </c>
      <c r="AN751" s="9" t="s">
        <v>1492</v>
      </c>
      <c r="AO751" s="9"/>
      <c r="AP751" s="11">
        <f>IF($H751="Cancelled","",IFERROR(IF(OR(AK751="",AB751=""),"",(AB751+Variables!$B$18-AK751)),""))</f>
        <v>-3</v>
      </c>
      <c r="AQ751" s="11">
        <f>IF($H751="Cancelled","",IFERROR(IF(OR(AM751="",AK751=""),"",(AK751+Variables!$B$19)-AM751),""))</f>
        <v>-6</v>
      </c>
      <c r="AR751" s="12">
        <f>IF($H751="Cancelled","",IFERROR(T751*INDEX(Variables!$B$7:$D$7,IFERROR(MATCH(IF($B751="Robusta","Robusta",(IF($B751="","Arabica",$B751))&amp;" - "&amp;(IF($C751="","Commercial",$C751))),Variables!$B$1:$D$1,0),1))*(AQ751/365),""))</f>
        <v>-1.2229593795693705</v>
      </c>
      <c r="AS751" s="12">
        <f>IF($H751="Cancelled","",IFERROR((T751*INDEX(Variables!$B$7:$D$7,IFERROR(MATCH(IF($B751="Robusta","Robusta",(IF($B751="","Arabica",$B751))&amp;" - "&amp;(IF($C751="","Commercial",$C751))),Variables!$B$1:$D$1,0),1))*IFERROR(IF(W751="","",(AVERAGE(E751:F751)-W751)-Variables!$B$14),"")/365)+(L751/16.67*INDEX(Variables!$B$8:$D$8,IFERROR(MATCH(IF($B751="Robusta","Robusta",(IF($B751="","Arabica",$B751))&amp;" - "&amp;(IF($C751="","Commercial",$C751))),Variables!$B$1:$D$1,0),1))*IFERROR(IF(W751="","",(AVERAGE(E751:F751)-W751)-Variables!$B$14),""))+(T751*INDEX(Variables!$B$9:$D$9,IFERROR(MATCH(IF($B751="Robusta","Robusta",(IF($B751="","Arabica",$B751))&amp;" - "&amp;(IF($C751="","Commercial",$C751))),Variables!$B$1:$D$1,0),1))*IFERROR(IF(W751="","",(AVERAGE(E751:F751)-W751)-Variables!$B$14),"")/365),""))</f>
        <v>-5.3468142152991094</v>
      </c>
      <c r="AT751" s="12">
        <f>IF($H751="Cancelled","",IFERROR((T751*INDEX(Variables!$B$7:$D$7,IFERROR(MATCH(IF($B751="Robusta","Robusta",(IF($B751="","Arabica",$B751))&amp;" - "&amp;(IF($C751="","Commercial",$C751))),Variables!$B$1:$D$1,0),1))*AC751/365)+(L751/16.67*INDEX(Variables!$B$8:$D$8,IFERROR(MATCH(IF($B751="Robusta","Robusta",(IF($B751="","Arabica",$B751))&amp;" - "&amp;(IF($C751="","Commercial",$C751))),Variables!$B$1:$D$1,0),1))*AC751)+(T751*INDEX(Variables!$B$9:$D$9,IFERROR(MATCH(IF($B751="Robusta","Robusta",(IF($B751="","Arabica",$B751))&amp;" - "&amp;(IF($C751="","Commercial",$C751))),Variables!$B$1:$D$1,0),1))*AC751/365),""))</f>
        <v>1.7822714050997031</v>
      </c>
      <c r="AU751" s="12">
        <f>IF($H751="Cancelled","",IFERROR((T751*INDEX(Variables!$B$7:$D$7,IFERROR(MATCH(IF($B751="Robusta","Robusta",(IF($B751="","Arabica",$B751))&amp;" - "&amp;(IF($C751="","Commercial",$C751))),Variables!$B$1:$D$1,0),1))*AP751/365)+(L751/16.67*INDEX(Variables!$B$8:$D$8,IFERROR(MATCH(IF($B751="Robusta","Robusta",(IF($B751="","Arabica",$B751))&amp;" - "&amp;(IF($C751="","Commercial",$C751))),Variables!$B$1:$D$1,0),1))*AP751)+(T751*INDEX(Variables!$B$9:$D$9,IFERROR(MATCH(IF($B751="Robusta","Robusta",(IF($B751="","Arabica",$B751))&amp;" - "&amp;(IF($C751="","Commercial",$C751))),Variables!$B$1:$D$1,0),1))*AP751/365),""))</f>
        <v>-1.0693628430598217</v>
      </c>
      <c r="AV751" s="11">
        <f t="shared" si="75"/>
        <v>1</v>
      </c>
      <c r="AW751" s="12">
        <f>IF($H751="Cancelled","",IFERROR(IF(AV751="","",(T751*INDEX(Variables!$B$7:$D$7,IFERROR(MATCH(IF($B751="Robusta","Robusta",(IF($B751="","Arabica",$B751))&amp;" - "&amp;(IF($C751="","Commercial",$C751))),Variables!$B$1:$D$1,0),1))*(AV751/365))+(T751*INDEX(Variables!$B$9:$D$9,IFERROR(MATCH(IF($B751="Robusta","Robusta",(IF($B751="","Arabica",$B751))&amp;" - "&amp;(IF($C751="","Commercial",$C751))),Variables!$B$1:$D$1,0),1))*(AV751/365))+(INDEX(Variables!$B$8:$D$8,IFERROR(MATCH(IF($B751="Robusta","Robusta",(IF($B751="","Arabica",$B751))&amp;" - "&amp;(IF($C751="","Commercial",$C751))),Variables!$B$1:$D$1,0),1))*L751/16.67)),""))</f>
        <v>0.35645428101994059</v>
      </c>
      <c r="AX751" s="9"/>
      <c r="AY751" s="12"/>
      <c r="AZ751" s="10"/>
      <c r="BA751" s="9"/>
      <c r="BB751" s="10"/>
      <c r="BC751" s="9"/>
      <c r="BD751" s="9"/>
      <c r="BE751" s="9"/>
      <c r="BF751" s="9"/>
    </row>
    <row r="752" spans="1:58" x14ac:dyDescent="0.25">
      <c r="A752" s="9" t="s">
        <v>84</v>
      </c>
      <c r="B752" s="9" t="s">
        <v>85</v>
      </c>
      <c r="C752" s="9" t="s">
        <v>1486</v>
      </c>
      <c r="D752" s="10">
        <v>45384</v>
      </c>
      <c r="E752" s="10">
        <v>45413</v>
      </c>
      <c r="F752" s="10">
        <v>45443</v>
      </c>
      <c r="G752" s="9">
        <v>3786276</v>
      </c>
      <c r="H752" s="9" t="str">
        <f t="shared" si="73"/>
        <v>Closed</v>
      </c>
      <c r="I752" s="9" t="str">
        <f t="shared" si="74"/>
        <v>All dates received</v>
      </c>
      <c r="J752" s="9" t="s">
        <v>1592</v>
      </c>
      <c r="K752" s="9">
        <v>4919</v>
      </c>
      <c r="L752" s="11">
        <v>10</v>
      </c>
      <c r="M752" s="9" t="s">
        <v>1680</v>
      </c>
      <c r="N752" s="9"/>
      <c r="O752" s="9"/>
      <c r="P752" s="9"/>
      <c r="Q752" s="11"/>
      <c r="R752" s="9" t="s">
        <v>195</v>
      </c>
      <c r="S752" s="9" t="s">
        <v>578</v>
      </c>
      <c r="T752" s="12">
        <f>IF($H752="Cancelled","",IFERROR(((Q752+INDEX(Variables!$B$6:$D$6,IFERROR(MATCH(IF($B752="Robusta","Robusta",(IF($B752="","Arabica",$B752))&amp;" - "&amp;(IF($C752="","Commercial",$C752))),Variables!$B$1:$D$1,0),1)))*22.0462)*(L752/16.67),""))</f>
        <v>3845.8518056388721</v>
      </c>
      <c r="U752" s="10"/>
      <c r="V752" s="9" t="str">
        <f t="shared" si="76"/>
        <v/>
      </c>
      <c r="W752" s="10">
        <v>45413</v>
      </c>
      <c r="X752" s="9" t="str">
        <f t="shared" si="77"/>
        <v>Approved</v>
      </c>
      <c r="Y752" s="10">
        <v>45422</v>
      </c>
      <c r="Z752" s="10">
        <f>IF($H752="Cancelled","",IFERROR(IF(F752="","",F752-Variables!$B$13),""))</f>
        <v>45428</v>
      </c>
      <c r="AA752" s="11">
        <f>IF($H752="Cancelled","",IFERROR(IF(W752="","",(AVERAGE(E752:F752)-W752)-Variables!$B$14),""))</f>
        <v>-15</v>
      </c>
      <c r="AB752" s="10">
        <v>45432</v>
      </c>
      <c r="AC752" s="11">
        <f>IF($H752="Cancelled","",IFERROR(IF(AB752="","",IF(AND(W752="",Y752=""),"",IF(Y752&gt;W752,Y752+Variables!$B$15+Variables!$B$16+Variables!$B$17-AB752,W752+Variables!$B$16+Variables!$B$17-AB752))),""))</f>
        <v>5</v>
      </c>
      <c r="AD752" s="9" t="s">
        <v>180</v>
      </c>
      <c r="AE752" s="9" t="s">
        <v>181</v>
      </c>
      <c r="AF752" s="10"/>
      <c r="AG752" s="10"/>
      <c r="AH752" s="9"/>
      <c r="AI752" s="9" t="s">
        <v>1594</v>
      </c>
      <c r="AJ752" s="9" t="s">
        <v>1595</v>
      </c>
      <c r="AK752" s="10">
        <v>45442</v>
      </c>
      <c r="AL752" s="10">
        <v>45443</v>
      </c>
      <c r="AM752" s="10">
        <v>45453</v>
      </c>
      <c r="AN752" s="9" t="s">
        <v>1492</v>
      </c>
      <c r="AO752" s="9"/>
      <c r="AP752" s="11">
        <f>IF($H752="Cancelled","",IFERROR(IF(OR(AK752="",AB752=""),"",(AB752+Variables!$B$18-AK752)),""))</f>
        <v>-3</v>
      </c>
      <c r="AQ752" s="11">
        <f>IF($H752="Cancelled","",IFERROR(IF(OR(AM752="",AK752=""),"",(AK752+Variables!$B$19)-AM752),""))</f>
        <v>-6</v>
      </c>
      <c r="AR752" s="12">
        <f>IF($H752="Cancelled","",IFERROR(T752*INDEX(Variables!$B$7:$D$7,IFERROR(MATCH(IF($B752="Robusta","Robusta",(IF($B752="","Arabica",$B752))&amp;" - "&amp;(IF($C752="","Commercial",$C752))),Variables!$B$1:$D$1,0),1))*(AQ752/365),""))</f>
        <v>-4.0765312652312362</v>
      </c>
      <c r="AS752" s="12">
        <f>IF($H752="Cancelled","",IFERROR((T752*INDEX(Variables!$B$7:$D$7,IFERROR(MATCH(IF($B752="Robusta","Robusta",(IF($B752="","Arabica",$B752))&amp;" - "&amp;(IF($C752="","Commercial",$C752))),Variables!$B$1:$D$1,0),1))*IFERROR(IF(W752="","",(AVERAGE(E752:F752)-W752)-Variables!$B$14),"")/365)+(L752/16.67*INDEX(Variables!$B$8:$D$8,IFERROR(MATCH(IF($B752="Robusta","Robusta",(IF($B752="","Arabica",$B752))&amp;" - "&amp;(IF($C752="","Commercial",$C752))),Variables!$B$1:$D$1,0),1))*IFERROR(IF(W752="","",(AVERAGE(E752:F752)-W752)-Variables!$B$14),""))+(T752*INDEX(Variables!$B$9:$D$9,IFERROR(MATCH(IF($B752="Robusta","Robusta",(IF($B752="","Arabica",$B752))&amp;" - "&amp;(IF($C752="","Commercial",$C752))),Variables!$B$1:$D$1,0),1))*IFERROR(IF(W752="","",(AVERAGE(E752:F752)-W752)-Variables!$B$14),"")/365),""))</f>
        <v>-17.822714050997032</v>
      </c>
      <c r="AT752" s="12">
        <f>IF($H752="Cancelled","",IFERROR((T752*INDEX(Variables!$B$7:$D$7,IFERROR(MATCH(IF($B752="Robusta","Robusta",(IF($B752="","Arabica",$B752))&amp;" - "&amp;(IF($C752="","Commercial",$C752))),Variables!$B$1:$D$1,0),1))*AC752/365)+(L752/16.67*INDEX(Variables!$B$8:$D$8,IFERROR(MATCH(IF($B752="Robusta","Robusta",(IF($B752="","Arabica",$B752))&amp;" - "&amp;(IF($C752="","Commercial",$C752))),Variables!$B$1:$D$1,0),1))*AC752)+(T752*INDEX(Variables!$B$9:$D$9,IFERROR(MATCH(IF($B752="Robusta","Robusta",(IF($B752="","Arabica",$B752))&amp;" - "&amp;(IF($C752="","Commercial",$C752))),Variables!$B$1:$D$1,0),1))*AC752/365),""))</f>
        <v>5.9409046836656776</v>
      </c>
      <c r="AU752" s="12">
        <f>IF($H752="Cancelled","",IFERROR((T752*INDEX(Variables!$B$7:$D$7,IFERROR(MATCH(IF($B752="Robusta","Robusta",(IF($B752="","Arabica",$B752))&amp;" - "&amp;(IF($C752="","Commercial",$C752))),Variables!$B$1:$D$1,0),1))*AP752/365)+(L752/16.67*INDEX(Variables!$B$8:$D$8,IFERROR(MATCH(IF($B752="Robusta","Robusta",(IF($B752="","Arabica",$B752))&amp;" - "&amp;(IF($C752="","Commercial",$C752))),Variables!$B$1:$D$1,0),1))*AP752)+(T752*INDEX(Variables!$B$9:$D$9,IFERROR(MATCH(IF($B752="Robusta","Robusta",(IF($B752="","Arabica",$B752))&amp;" - "&amp;(IF($C752="","Commercial",$C752))),Variables!$B$1:$D$1,0),1))*AP752/365),""))</f>
        <v>-3.5645428101994066</v>
      </c>
      <c r="AV752" s="11">
        <f t="shared" si="75"/>
        <v>1</v>
      </c>
      <c r="AW752" s="12">
        <f>IF($H752="Cancelled","",IFERROR(IF(AV752="","",(T752*INDEX(Variables!$B$7:$D$7,IFERROR(MATCH(IF($B752="Robusta","Robusta",(IF($B752="","Arabica",$B752))&amp;" - "&amp;(IF($C752="","Commercial",$C752))),Variables!$B$1:$D$1,0),1))*(AV752/365))+(T752*INDEX(Variables!$B$9:$D$9,IFERROR(MATCH(IF($B752="Robusta","Robusta",(IF($B752="","Arabica",$B752))&amp;" - "&amp;(IF($C752="","Commercial",$C752))),Variables!$B$1:$D$1,0),1))*(AV752/365))+(INDEX(Variables!$B$8:$D$8,IFERROR(MATCH(IF($B752="Robusta","Robusta",(IF($B752="","Arabica",$B752))&amp;" - "&amp;(IF($C752="","Commercial",$C752))),Variables!$B$1:$D$1,0),1))*L752/16.67)),""))</f>
        <v>1.1881809367331355</v>
      </c>
      <c r="AX752" s="9"/>
      <c r="AY752" s="12"/>
      <c r="AZ752" s="10"/>
      <c r="BA752" s="9"/>
      <c r="BB752" s="10"/>
      <c r="BC752" s="9"/>
      <c r="BD752" s="9"/>
      <c r="BE752" s="9"/>
      <c r="BF752" s="9"/>
    </row>
    <row r="753" spans="1:58" x14ac:dyDescent="0.25">
      <c r="A753" s="9" t="s">
        <v>84</v>
      </c>
      <c r="B753" s="9" t="s">
        <v>85</v>
      </c>
      <c r="C753" s="9" t="s">
        <v>1486</v>
      </c>
      <c r="D753" s="10">
        <v>45386</v>
      </c>
      <c r="E753" s="10">
        <v>45413</v>
      </c>
      <c r="F753" s="10">
        <v>45443</v>
      </c>
      <c r="G753" s="9">
        <v>3786282</v>
      </c>
      <c r="H753" s="9" t="str">
        <f t="shared" si="73"/>
        <v>Closed</v>
      </c>
      <c r="I753" s="9" t="str">
        <f t="shared" si="74"/>
        <v>All dates received</v>
      </c>
      <c r="J753" s="9" t="s">
        <v>1592</v>
      </c>
      <c r="K753" s="9">
        <v>4920</v>
      </c>
      <c r="L753" s="11">
        <v>50</v>
      </c>
      <c r="M753" s="9" t="s">
        <v>1681</v>
      </c>
      <c r="N753" s="9"/>
      <c r="O753" s="9"/>
      <c r="P753" s="9"/>
      <c r="Q753" s="11"/>
      <c r="R753" s="9" t="s">
        <v>195</v>
      </c>
      <c r="S753" s="9" t="s">
        <v>578</v>
      </c>
      <c r="T753" s="12">
        <f>IF($H753="Cancelled","",IFERROR(((Q753+INDEX(Variables!$B$6:$D$6,IFERROR(MATCH(IF($B753="Robusta","Robusta",(IF($B753="","Arabica",$B753))&amp;" - "&amp;(IF($C753="","Commercial",$C753))),Variables!$B$1:$D$1,0),1)))*22.0462)*(L753/16.67),""))</f>
        <v>19229.259028194359</v>
      </c>
      <c r="U753" s="10"/>
      <c r="V753" s="9" t="str">
        <f t="shared" si="76"/>
        <v/>
      </c>
      <c r="W753" s="10">
        <v>45413</v>
      </c>
      <c r="X753" s="9" t="str">
        <f t="shared" si="77"/>
        <v>Approved</v>
      </c>
      <c r="Y753" s="10">
        <v>45422</v>
      </c>
      <c r="Z753" s="10">
        <f>IF($H753="Cancelled","",IFERROR(IF(F753="","",F753-Variables!$B$13),""))</f>
        <v>45428</v>
      </c>
      <c r="AA753" s="11">
        <f>IF($H753="Cancelled","",IFERROR(IF(W753="","",(AVERAGE(E753:F753)-W753)-Variables!$B$14),""))</f>
        <v>-15</v>
      </c>
      <c r="AB753" s="10">
        <v>45432</v>
      </c>
      <c r="AC753" s="11">
        <f>IF($H753="Cancelled","",IFERROR(IF(AB753="","",IF(AND(W753="",Y753=""),"",IF(Y753&gt;W753,Y753+Variables!$B$15+Variables!$B$16+Variables!$B$17-AB753,W753+Variables!$B$16+Variables!$B$17-AB753))),""))</f>
        <v>5</v>
      </c>
      <c r="AD753" s="9" t="s">
        <v>180</v>
      </c>
      <c r="AE753" s="9" t="s">
        <v>181</v>
      </c>
      <c r="AF753" s="10"/>
      <c r="AG753" s="10"/>
      <c r="AH753" s="9"/>
      <c r="AI753" s="9" t="s">
        <v>1594</v>
      </c>
      <c r="AJ753" s="9" t="s">
        <v>1595</v>
      </c>
      <c r="AK753" s="10">
        <v>45442</v>
      </c>
      <c r="AL753" s="10">
        <v>45443</v>
      </c>
      <c r="AM753" s="10">
        <v>45453</v>
      </c>
      <c r="AN753" s="9" t="s">
        <v>1492</v>
      </c>
      <c r="AO753" s="9"/>
      <c r="AP753" s="11">
        <f>IF($H753="Cancelled","",IFERROR(IF(OR(AK753="",AB753=""),"",(AB753+Variables!$B$18-AK753)),""))</f>
        <v>-3</v>
      </c>
      <c r="AQ753" s="11">
        <f>IF($H753="Cancelled","",IFERROR(IF(OR(AM753="",AK753=""),"",(AK753+Variables!$B$19)-AM753),""))</f>
        <v>-6</v>
      </c>
      <c r="AR753" s="12">
        <f>IF($H753="Cancelled","",IFERROR(T753*INDEX(Variables!$B$7:$D$7,IFERROR(MATCH(IF($B753="Robusta","Robusta",(IF($B753="","Arabica",$B753))&amp;" - "&amp;(IF($C753="","Commercial",$C753))),Variables!$B$1:$D$1,0),1))*(AQ753/365),""))</f>
        <v>-20.38265632615618</v>
      </c>
      <c r="AS753" s="12">
        <f>IF($H753="Cancelled","",IFERROR((T753*INDEX(Variables!$B$7:$D$7,IFERROR(MATCH(IF($B753="Robusta","Robusta",(IF($B753="","Arabica",$B753))&amp;" - "&amp;(IF($C753="","Commercial",$C753))),Variables!$B$1:$D$1,0),1))*IFERROR(IF(W753="","",(AVERAGE(E753:F753)-W753)-Variables!$B$14),"")/365)+(L753/16.67*INDEX(Variables!$B$8:$D$8,IFERROR(MATCH(IF($B753="Robusta","Robusta",(IF($B753="","Arabica",$B753))&amp;" - "&amp;(IF($C753="","Commercial",$C753))),Variables!$B$1:$D$1,0),1))*IFERROR(IF(W753="","",(AVERAGE(E753:F753)-W753)-Variables!$B$14),""))+(T753*INDEX(Variables!$B$9:$D$9,IFERROR(MATCH(IF($B753="Robusta","Robusta",(IF($B753="","Arabica",$B753))&amp;" - "&amp;(IF($C753="","Commercial",$C753))),Variables!$B$1:$D$1,0),1))*IFERROR(IF(W753="","",(AVERAGE(E753:F753)-W753)-Variables!$B$14),"")/365),""))</f>
        <v>-89.113570254985177</v>
      </c>
      <c r="AT753" s="12">
        <f>IF($H753="Cancelled","",IFERROR((T753*INDEX(Variables!$B$7:$D$7,IFERROR(MATCH(IF($B753="Robusta","Robusta",(IF($B753="","Arabica",$B753))&amp;" - "&amp;(IF($C753="","Commercial",$C753))),Variables!$B$1:$D$1,0),1))*AC753/365)+(L753/16.67*INDEX(Variables!$B$8:$D$8,IFERROR(MATCH(IF($B753="Robusta","Robusta",(IF($B753="","Arabica",$B753))&amp;" - "&amp;(IF($C753="","Commercial",$C753))),Variables!$B$1:$D$1,0),1))*AC753)+(T753*INDEX(Variables!$B$9:$D$9,IFERROR(MATCH(IF($B753="Robusta","Robusta",(IF($B753="","Arabica",$B753))&amp;" - "&amp;(IF($C753="","Commercial",$C753))),Variables!$B$1:$D$1,0),1))*AC753/365),""))</f>
        <v>29.704523418328389</v>
      </c>
      <c r="AU753" s="12">
        <f>IF($H753="Cancelled","",IFERROR((T753*INDEX(Variables!$B$7:$D$7,IFERROR(MATCH(IF($B753="Robusta","Robusta",(IF($B753="","Arabica",$B753))&amp;" - "&amp;(IF($C753="","Commercial",$C753))),Variables!$B$1:$D$1,0),1))*AP753/365)+(L753/16.67*INDEX(Variables!$B$8:$D$8,IFERROR(MATCH(IF($B753="Robusta","Robusta",(IF($B753="","Arabica",$B753))&amp;" - "&amp;(IF($C753="","Commercial",$C753))),Variables!$B$1:$D$1,0),1))*AP753)+(T753*INDEX(Variables!$B$9:$D$9,IFERROR(MATCH(IF($B753="Robusta","Robusta",(IF($B753="","Arabica",$B753))&amp;" - "&amp;(IF($C753="","Commercial",$C753))),Variables!$B$1:$D$1,0),1))*AP753/365),""))</f>
        <v>-17.822714050997032</v>
      </c>
      <c r="AV753" s="11">
        <f t="shared" si="75"/>
        <v>1</v>
      </c>
      <c r="AW753" s="12">
        <f>IF($H753="Cancelled","",IFERROR(IF(AV753="","",(T753*INDEX(Variables!$B$7:$D$7,IFERROR(MATCH(IF($B753="Robusta","Robusta",(IF($B753="","Arabica",$B753))&amp;" - "&amp;(IF($C753="","Commercial",$C753))),Variables!$B$1:$D$1,0),1))*(AV753/365))+(T753*INDEX(Variables!$B$9:$D$9,IFERROR(MATCH(IF($B753="Robusta","Robusta",(IF($B753="","Arabica",$B753))&amp;" - "&amp;(IF($C753="","Commercial",$C753))),Variables!$B$1:$D$1,0),1))*(AV753/365))+(INDEX(Variables!$B$8:$D$8,IFERROR(MATCH(IF($B753="Robusta","Robusta",(IF($B753="","Arabica",$B753))&amp;" - "&amp;(IF($C753="","Commercial",$C753))),Variables!$B$1:$D$1,0),1))*L753/16.67)),""))</f>
        <v>5.9409046836656776</v>
      </c>
      <c r="AX753" s="9"/>
      <c r="AY753" s="12"/>
      <c r="AZ753" s="10"/>
      <c r="BA753" s="9"/>
      <c r="BB753" s="10"/>
      <c r="BC753" s="9"/>
      <c r="BD753" s="9"/>
      <c r="BE753" s="9"/>
      <c r="BF753" s="9"/>
    </row>
    <row r="754" spans="1:58" x14ac:dyDescent="0.25">
      <c r="A754" s="9" t="s">
        <v>84</v>
      </c>
      <c r="B754" s="9" t="s">
        <v>85</v>
      </c>
      <c r="C754" s="9" t="s">
        <v>1486</v>
      </c>
      <c r="D754" s="10">
        <v>45386</v>
      </c>
      <c r="E754" s="10">
        <v>45413</v>
      </c>
      <c r="F754" s="10">
        <v>45443</v>
      </c>
      <c r="G754" s="9">
        <v>3786283</v>
      </c>
      <c r="H754" s="9" t="str">
        <f t="shared" si="73"/>
        <v>Closed</v>
      </c>
      <c r="I754" s="9" t="str">
        <f t="shared" si="74"/>
        <v>All dates received</v>
      </c>
      <c r="J754" s="9" t="s">
        <v>1592</v>
      </c>
      <c r="K754" s="9">
        <v>4921</v>
      </c>
      <c r="L754" s="11">
        <v>62</v>
      </c>
      <c r="M754" s="9" t="s">
        <v>1682</v>
      </c>
      <c r="N754" s="9"/>
      <c r="O754" s="9"/>
      <c r="P754" s="9"/>
      <c r="Q754" s="11"/>
      <c r="R754" s="9" t="s">
        <v>195</v>
      </c>
      <c r="S754" s="9" t="s">
        <v>578</v>
      </c>
      <c r="T754" s="12">
        <f>IF($H754="Cancelled","",IFERROR(((Q754+INDEX(Variables!$B$6:$D$6,IFERROR(MATCH(IF($B754="Robusta","Robusta",(IF($B754="","Arabica",$B754))&amp;" - "&amp;(IF($C754="","Commercial",$C754))),Variables!$B$1:$D$1,0),1)))*22.0462)*(L754/16.67),""))</f>
        <v>23844.281194961004</v>
      </c>
      <c r="U754" s="10"/>
      <c r="V754" s="9" t="str">
        <f t="shared" si="76"/>
        <v/>
      </c>
      <c r="W754" s="10">
        <v>45413</v>
      </c>
      <c r="X754" s="9" t="str">
        <f t="shared" si="77"/>
        <v>Approved</v>
      </c>
      <c r="Y754" s="10">
        <v>45422</v>
      </c>
      <c r="Z754" s="10">
        <f>IF($H754="Cancelled","",IFERROR(IF(F754="","",F754-Variables!$B$13),""))</f>
        <v>45428</v>
      </c>
      <c r="AA754" s="11">
        <f>IF($H754="Cancelled","",IFERROR(IF(W754="","",(AVERAGE(E754:F754)-W754)-Variables!$B$14),""))</f>
        <v>-15</v>
      </c>
      <c r="AB754" s="10">
        <v>45432</v>
      </c>
      <c r="AC754" s="11">
        <f>IF($H754="Cancelled","",IFERROR(IF(AB754="","",IF(AND(W754="",Y754=""),"",IF(Y754&gt;W754,Y754+Variables!$B$15+Variables!$B$16+Variables!$B$17-AB754,W754+Variables!$B$16+Variables!$B$17-AB754))),""))</f>
        <v>5</v>
      </c>
      <c r="AD754" s="9" t="s">
        <v>180</v>
      </c>
      <c r="AE754" s="9" t="s">
        <v>181</v>
      </c>
      <c r="AF754" s="10"/>
      <c r="AG754" s="10"/>
      <c r="AH754" s="9"/>
      <c r="AI754" s="9" t="s">
        <v>1594</v>
      </c>
      <c r="AJ754" s="9" t="s">
        <v>1595</v>
      </c>
      <c r="AK754" s="10">
        <v>45442</v>
      </c>
      <c r="AL754" s="10">
        <v>45443</v>
      </c>
      <c r="AM754" s="10">
        <v>45453</v>
      </c>
      <c r="AN754" s="9" t="s">
        <v>1492</v>
      </c>
      <c r="AO754" s="9"/>
      <c r="AP754" s="11">
        <f>IF($H754="Cancelled","",IFERROR(IF(OR(AK754="",AB754=""),"",(AB754+Variables!$B$18-AK754)),""))</f>
        <v>-3</v>
      </c>
      <c r="AQ754" s="11">
        <f>IF($H754="Cancelled","",IFERROR(IF(OR(AM754="",AK754=""),"",(AK754+Variables!$B$19)-AM754),""))</f>
        <v>-6</v>
      </c>
      <c r="AR754" s="12">
        <f>IF($H754="Cancelled","",IFERROR(T754*INDEX(Variables!$B$7:$D$7,IFERROR(MATCH(IF($B754="Robusta","Robusta",(IF($B754="","Arabica",$B754))&amp;" - "&amp;(IF($C754="","Commercial",$C754))),Variables!$B$1:$D$1,0),1))*(AQ754/365),""))</f>
        <v>-25.27449384443366</v>
      </c>
      <c r="AS754" s="12">
        <f>IF($H754="Cancelled","",IFERROR((T754*INDEX(Variables!$B$7:$D$7,IFERROR(MATCH(IF($B754="Robusta","Robusta",(IF($B754="","Arabica",$B754))&amp;" - "&amp;(IF($C754="","Commercial",$C754))),Variables!$B$1:$D$1,0),1))*IFERROR(IF(W754="","",(AVERAGE(E754:F754)-W754)-Variables!$B$14),"")/365)+(L754/16.67*INDEX(Variables!$B$8:$D$8,IFERROR(MATCH(IF($B754="Robusta","Robusta",(IF($B754="","Arabica",$B754))&amp;" - "&amp;(IF($C754="","Commercial",$C754))),Variables!$B$1:$D$1,0),1))*IFERROR(IF(W754="","",(AVERAGE(E754:F754)-W754)-Variables!$B$14),""))+(T754*INDEX(Variables!$B$9:$D$9,IFERROR(MATCH(IF($B754="Robusta","Robusta",(IF($B754="","Arabica",$B754))&amp;" - "&amp;(IF($C754="","Commercial",$C754))),Variables!$B$1:$D$1,0),1))*IFERROR(IF(W754="","",(AVERAGE(E754:F754)-W754)-Variables!$B$14),"")/365),""))</f>
        <v>-110.5008271161816</v>
      </c>
      <c r="AT754" s="12">
        <f>IF($H754="Cancelled","",IFERROR((T754*INDEX(Variables!$B$7:$D$7,IFERROR(MATCH(IF($B754="Robusta","Robusta",(IF($B754="","Arabica",$B754))&amp;" - "&amp;(IF($C754="","Commercial",$C754))),Variables!$B$1:$D$1,0),1))*AC754/365)+(L754/16.67*INDEX(Variables!$B$8:$D$8,IFERROR(MATCH(IF($B754="Robusta","Robusta",(IF($B754="","Arabica",$B754))&amp;" - "&amp;(IF($C754="","Commercial",$C754))),Variables!$B$1:$D$1,0),1))*AC754)+(T754*INDEX(Variables!$B$9:$D$9,IFERROR(MATCH(IF($B754="Robusta","Robusta",(IF($B754="","Arabica",$B754))&amp;" - "&amp;(IF($C754="","Commercial",$C754))),Variables!$B$1:$D$1,0),1))*AC754/365),""))</f>
        <v>36.833609038727204</v>
      </c>
      <c r="AU754" s="12">
        <f>IF($H754="Cancelled","",IFERROR((T754*INDEX(Variables!$B$7:$D$7,IFERROR(MATCH(IF($B754="Robusta","Robusta",(IF($B754="","Arabica",$B754))&amp;" - "&amp;(IF($C754="","Commercial",$C754))),Variables!$B$1:$D$1,0),1))*AP754/365)+(L754/16.67*INDEX(Variables!$B$8:$D$8,IFERROR(MATCH(IF($B754="Robusta","Robusta",(IF($B754="","Arabica",$B754))&amp;" - "&amp;(IF($C754="","Commercial",$C754))),Variables!$B$1:$D$1,0),1))*AP754)+(T754*INDEX(Variables!$B$9:$D$9,IFERROR(MATCH(IF($B754="Robusta","Robusta",(IF($B754="","Arabica",$B754))&amp;" - "&amp;(IF($C754="","Commercial",$C754))),Variables!$B$1:$D$1,0),1))*AP754/365),""))</f>
        <v>-22.100165423236316</v>
      </c>
      <c r="AV754" s="11">
        <f t="shared" si="75"/>
        <v>1</v>
      </c>
      <c r="AW754" s="12">
        <f>IF($H754="Cancelled","",IFERROR(IF(AV754="","",(T754*INDEX(Variables!$B$7:$D$7,IFERROR(MATCH(IF($B754="Robusta","Robusta",(IF($B754="","Arabica",$B754))&amp;" - "&amp;(IF($C754="","Commercial",$C754))),Variables!$B$1:$D$1,0),1))*(AV754/365))+(T754*INDEX(Variables!$B$9:$D$9,IFERROR(MATCH(IF($B754="Robusta","Robusta",(IF($B754="","Arabica",$B754))&amp;" - "&amp;(IF($C754="","Commercial",$C754))),Variables!$B$1:$D$1,0),1))*(AV754/365))+(INDEX(Variables!$B$8:$D$8,IFERROR(MATCH(IF($B754="Robusta","Robusta",(IF($B754="","Arabica",$B754))&amp;" - "&amp;(IF($C754="","Commercial",$C754))),Variables!$B$1:$D$1,0),1))*L754/16.67)),""))</f>
        <v>7.3667218077454404</v>
      </c>
      <c r="AX754" s="9"/>
      <c r="AY754" s="12"/>
      <c r="AZ754" s="10"/>
      <c r="BA754" s="9"/>
      <c r="BB754" s="10"/>
      <c r="BC754" s="9"/>
      <c r="BD754" s="9"/>
      <c r="BE754" s="9"/>
      <c r="BF754" s="9"/>
    </row>
    <row r="755" spans="1:58" x14ac:dyDescent="0.25">
      <c r="A755" s="9" t="s">
        <v>84</v>
      </c>
      <c r="B755" s="9" t="s">
        <v>85</v>
      </c>
      <c r="C755" s="9" t="s">
        <v>1486</v>
      </c>
      <c r="D755" s="10">
        <v>45386</v>
      </c>
      <c r="E755" s="10">
        <v>45413</v>
      </c>
      <c r="F755" s="10">
        <v>45443</v>
      </c>
      <c r="G755" s="9">
        <v>3786284</v>
      </c>
      <c r="H755" s="9" t="str">
        <f t="shared" si="73"/>
        <v>Closed</v>
      </c>
      <c r="I755" s="9" t="str">
        <f t="shared" si="74"/>
        <v>All dates received</v>
      </c>
      <c r="J755" s="9" t="s">
        <v>102</v>
      </c>
      <c r="K755" s="9">
        <v>4900</v>
      </c>
      <c r="L755" s="11">
        <v>100</v>
      </c>
      <c r="M755" s="9" t="s">
        <v>1561</v>
      </c>
      <c r="N755" s="9"/>
      <c r="O755" s="9"/>
      <c r="P755" s="9"/>
      <c r="Q755" s="11"/>
      <c r="R755" s="9" t="s">
        <v>195</v>
      </c>
      <c r="S755" s="9" t="s">
        <v>554</v>
      </c>
      <c r="T755" s="12">
        <f>IF($H755="Cancelled","",IFERROR(((Q755+INDEX(Variables!$B$6:$D$6,IFERROR(MATCH(IF($B755="Robusta","Robusta",(IF($B755="","Arabica",$B755))&amp;" - "&amp;(IF($C755="","Commercial",$C755))),Variables!$B$1:$D$1,0),1)))*22.0462)*(L755/16.67),""))</f>
        <v>38458.518056388719</v>
      </c>
      <c r="U755" s="10"/>
      <c r="V755" s="9" t="str">
        <f t="shared" si="76"/>
        <v/>
      </c>
      <c r="W755" s="10">
        <v>45413</v>
      </c>
      <c r="X755" s="9" t="str">
        <f t="shared" si="77"/>
        <v>Approved</v>
      </c>
      <c r="Y755" s="10">
        <v>45422</v>
      </c>
      <c r="Z755" s="10">
        <f>IF($H755="Cancelled","",IFERROR(IF(F755="","",F755-Variables!$B$13),""))</f>
        <v>45428</v>
      </c>
      <c r="AA755" s="11">
        <f>IF($H755="Cancelled","",IFERROR(IF(W755="","",(AVERAGE(E755:F755)-W755)-Variables!$B$14),""))</f>
        <v>-15</v>
      </c>
      <c r="AB755" s="10">
        <v>45433</v>
      </c>
      <c r="AC755" s="11">
        <f>IF($H755="Cancelled","",IFERROR(IF(AB755="","",IF(AND(W755="",Y755=""),"",IF(Y755&gt;W755,Y755+Variables!$B$15+Variables!$B$16+Variables!$B$17-AB755,W755+Variables!$B$16+Variables!$B$17-AB755))),""))</f>
        <v>4</v>
      </c>
      <c r="AD755" s="9" t="s">
        <v>107</v>
      </c>
      <c r="AE755" s="9" t="s">
        <v>1683</v>
      </c>
      <c r="AF755" s="10"/>
      <c r="AG755" s="10"/>
      <c r="AH755" s="9"/>
      <c r="AI755" s="9" t="s">
        <v>1578</v>
      </c>
      <c r="AJ755" s="9" t="s">
        <v>8</v>
      </c>
      <c r="AK755" s="10">
        <v>45454</v>
      </c>
      <c r="AL755" s="10">
        <v>45455</v>
      </c>
      <c r="AM755" s="10">
        <v>45463</v>
      </c>
      <c r="AN755" s="9" t="s">
        <v>1492</v>
      </c>
      <c r="AO755" s="9"/>
      <c r="AP755" s="11">
        <f>IF($H755="Cancelled","",IFERROR(IF(OR(AK755="",AB755=""),"",(AB755+Variables!$B$18-AK755)),""))</f>
        <v>-14</v>
      </c>
      <c r="AQ755" s="11">
        <f>IF($H755="Cancelled","",IFERROR(IF(OR(AM755="",AK755=""),"",(AK755+Variables!$B$19)-AM755),""))</f>
        <v>-4</v>
      </c>
      <c r="AR755" s="12">
        <f>IF($H755="Cancelled","",IFERROR(T755*INDEX(Variables!$B$7:$D$7,IFERROR(MATCH(IF($B755="Robusta","Robusta",(IF($B755="","Arabica",$B755))&amp;" - "&amp;(IF($C755="","Commercial",$C755))),Variables!$B$1:$D$1,0),1))*(AQ755/365),""))</f>
        <v>-27.176875101541576</v>
      </c>
      <c r="AS755" s="12">
        <f>IF($H755="Cancelled","",IFERROR((T755*INDEX(Variables!$B$7:$D$7,IFERROR(MATCH(IF($B755="Robusta","Robusta",(IF($B755="","Arabica",$B755))&amp;" - "&amp;(IF($C755="","Commercial",$C755))),Variables!$B$1:$D$1,0),1))*IFERROR(IF(W755="","",(AVERAGE(E755:F755)-W755)-Variables!$B$14),"")/365)+(L755/16.67*INDEX(Variables!$B$8:$D$8,IFERROR(MATCH(IF($B755="Robusta","Robusta",(IF($B755="","Arabica",$B755))&amp;" - "&amp;(IF($C755="","Commercial",$C755))),Variables!$B$1:$D$1,0),1))*IFERROR(IF(W755="","",(AVERAGE(E755:F755)-W755)-Variables!$B$14),""))+(T755*INDEX(Variables!$B$9:$D$9,IFERROR(MATCH(IF($B755="Robusta","Robusta",(IF($B755="","Arabica",$B755))&amp;" - "&amp;(IF($C755="","Commercial",$C755))),Variables!$B$1:$D$1,0),1))*IFERROR(IF(W755="","",(AVERAGE(E755:F755)-W755)-Variables!$B$14),"")/365),""))</f>
        <v>-178.22714050997035</v>
      </c>
      <c r="AT755" s="12">
        <f>IF($H755="Cancelled","",IFERROR((T755*INDEX(Variables!$B$7:$D$7,IFERROR(MATCH(IF($B755="Robusta","Robusta",(IF($B755="","Arabica",$B755))&amp;" - "&amp;(IF($C755="","Commercial",$C755))),Variables!$B$1:$D$1,0),1))*AC755/365)+(L755/16.67*INDEX(Variables!$B$8:$D$8,IFERROR(MATCH(IF($B755="Robusta","Robusta",(IF($B755="","Arabica",$B755))&amp;" - "&amp;(IF($C755="","Commercial",$C755))),Variables!$B$1:$D$1,0),1))*AC755)+(T755*INDEX(Variables!$B$9:$D$9,IFERROR(MATCH(IF($B755="Robusta","Robusta",(IF($B755="","Arabica",$B755))&amp;" - "&amp;(IF($C755="","Commercial",$C755))),Variables!$B$1:$D$1,0),1))*AC755/365),""))</f>
        <v>47.527237469325421</v>
      </c>
      <c r="AU755" s="12">
        <f>IF($H755="Cancelled","",IFERROR((T755*INDEX(Variables!$B$7:$D$7,IFERROR(MATCH(IF($B755="Robusta","Robusta",(IF($B755="","Arabica",$B755))&amp;" - "&amp;(IF($C755="","Commercial",$C755))),Variables!$B$1:$D$1,0),1))*AP755/365)+(L755/16.67*INDEX(Variables!$B$8:$D$8,IFERROR(MATCH(IF($B755="Robusta","Robusta",(IF($B755="","Arabica",$B755))&amp;" - "&amp;(IF($C755="","Commercial",$C755))),Variables!$B$1:$D$1,0),1))*AP755)+(T755*INDEX(Variables!$B$9:$D$9,IFERROR(MATCH(IF($B755="Robusta","Robusta",(IF($B755="","Arabica",$B755))&amp;" - "&amp;(IF($C755="","Commercial",$C755))),Variables!$B$1:$D$1,0),1))*AP755/365),""))</f>
        <v>-166.34533114263897</v>
      </c>
      <c r="AV755" s="11">
        <f t="shared" si="75"/>
        <v>-11</v>
      </c>
      <c r="AW755" s="12">
        <f>IF($H755="Cancelled","",IFERROR(IF(AV755="","",(T755*INDEX(Variables!$B$7:$D$7,IFERROR(MATCH(IF($B755="Robusta","Robusta",(IF($B755="","Arabica",$B755))&amp;" - "&amp;(IF($C755="","Commercial",$C755))),Variables!$B$1:$D$1,0),1))*(AV755/365))+(T755*INDEX(Variables!$B$9:$D$9,IFERROR(MATCH(IF($B755="Robusta","Robusta",(IF($B755="","Arabica",$B755))&amp;" - "&amp;(IF($C755="","Commercial",$C755))),Variables!$B$1:$D$1,0),1))*(AV755/365))+(INDEX(Variables!$B$8:$D$8,IFERROR(MATCH(IF($B755="Robusta","Robusta",(IF($B755="","Arabica",$B755))&amp;" - "&amp;(IF($C755="","Commercial",$C755))),Variables!$B$1:$D$1,0),1))*L755/16.67)),""))</f>
        <v>-70.699903040644926</v>
      </c>
      <c r="AX755" s="9"/>
      <c r="AY755" s="12"/>
      <c r="AZ755" s="10"/>
      <c r="BA755" s="9"/>
      <c r="BB755" s="10"/>
      <c r="BC755" s="9"/>
      <c r="BD755" s="9"/>
      <c r="BE755" s="9"/>
      <c r="BF755" s="9"/>
    </row>
    <row r="756" spans="1:58" x14ac:dyDescent="0.25">
      <c r="A756" s="9" t="s">
        <v>84</v>
      </c>
      <c r="B756" s="9" t="s">
        <v>85</v>
      </c>
      <c r="C756" s="9" t="s">
        <v>1486</v>
      </c>
      <c r="D756" s="10">
        <v>45390</v>
      </c>
      <c r="E756" s="10">
        <v>45383</v>
      </c>
      <c r="F756" s="10">
        <v>45443</v>
      </c>
      <c r="G756" s="9">
        <v>3786286</v>
      </c>
      <c r="H756" s="9" t="str">
        <f t="shared" si="73"/>
        <v>Open</v>
      </c>
      <c r="I756" s="9" t="str">
        <f t="shared" si="74"/>
        <v>No sailing date and No shipping advice sent and No docs dispatch date</v>
      </c>
      <c r="J756" s="9" t="s">
        <v>235</v>
      </c>
      <c r="K756" s="9">
        <v>4854</v>
      </c>
      <c r="L756" s="11">
        <v>1</v>
      </c>
      <c r="M756" s="9" t="s">
        <v>1684</v>
      </c>
      <c r="N756" s="9"/>
      <c r="O756" s="9"/>
      <c r="P756" s="9"/>
      <c r="Q756" s="11"/>
      <c r="R756" s="9" t="s">
        <v>195</v>
      </c>
      <c r="S756" s="9"/>
      <c r="T756" s="12">
        <f>IF($H756="Cancelled","",IFERROR(((Q756+INDEX(Variables!$B$6:$D$6,IFERROR(MATCH(IF($B756="Robusta","Robusta",(IF($B756="","Arabica",$B756))&amp;" - "&amp;(IF($C756="","Commercial",$C756))),Variables!$B$1:$D$1,0),1)))*22.0462)*(L756/16.67),""))</f>
        <v>384.58518056388715</v>
      </c>
      <c r="U756" s="10"/>
      <c r="V756" s="9" t="str">
        <f t="shared" si="76"/>
        <v/>
      </c>
      <c r="W756" s="10">
        <v>45383</v>
      </c>
      <c r="X756" s="9" t="str">
        <f t="shared" si="77"/>
        <v>Approved</v>
      </c>
      <c r="Y756" s="10">
        <v>45402</v>
      </c>
      <c r="Z756" s="10">
        <f>IF($H756="Cancelled","",IFERROR(IF(F756="","",F756-Variables!$B$13),""))</f>
        <v>45428</v>
      </c>
      <c r="AA756" s="11">
        <f>IF($H756="Cancelled","",IFERROR(IF(W756="","",(AVERAGE(E756:F756)-W756)-Variables!$B$14),""))</f>
        <v>0</v>
      </c>
      <c r="AB756" s="10">
        <v>45407</v>
      </c>
      <c r="AC756" s="11">
        <f>IF($H756="Cancelled","",IFERROR(IF(AB756="","",IF(AND(W756="",Y756=""),"",IF(Y756&gt;W756,Y756+Variables!$B$15+Variables!$B$16+Variables!$B$17-AB756,W756+Variables!$B$16+Variables!$B$17-AB756))),""))</f>
        <v>10</v>
      </c>
      <c r="AD756" s="9"/>
      <c r="AE756" s="9"/>
      <c r="AF756" s="10"/>
      <c r="AG756" s="10"/>
      <c r="AH756" s="9"/>
      <c r="AI756" s="9"/>
      <c r="AJ756" s="9"/>
      <c r="AK756" s="10"/>
      <c r="AL756" s="10"/>
      <c r="AM756" s="10"/>
      <c r="AN756" s="9" t="s">
        <v>1492</v>
      </c>
      <c r="AO756" s="9"/>
      <c r="AP756" s="11" t="str">
        <f>IF($H756="Cancelled","",IFERROR(IF(OR(AK756="",AB756=""),"",(AB756+Variables!$B$18-AK756)),""))</f>
        <v/>
      </c>
      <c r="AQ756" s="11" t="str">
        <f>IF($H756="Cancelled","",IFERROR(IF(OR(AM756="",AK756=""),"",(AK756+Variables!$B$19)-AM756),""))</f>
        <v/>
      </c>
      <c r="AR756" s="12" t="str">
        <f>IF($H756="Cancelled","",IFERROR(T756*INDEX(Variables!$B$7:$D$7,IFERROR(MATCH(IF($B756="Robusta","Robusta",(IF($B756="","Arabica",$B756))&amp;" - "&amp;(IF($C756="","Commercial",$C756))),Variables!$B$1:$D$1,0),1))*(AQ756/365),""))</f>
        <v/>
      </c>
      <c r="AS756" s="12">
        <f>IF($H756="Cancelled","",IFERROR((T756*INDEX(Variables!$B$7:$D$7,IFERROR(MATCH(IF($B756="Robusta","Robusta",(IF($B756="","Arabica",$B756))&amp;" - "&amp;(IF($C756="","Commercial",$C756))),Variables!$B$1:$D$1,0),1))*IFERROR(IF(W756="","",(AVERAGE(E756:F756)-W756)-Variables!$B$14),"")/365)+(L756/16.67*INDEX(Variables!$B$8:$D$8,IFERROR(MATCH(IF($B756="Robusta","Robusta",(IF($B756="","Arabica",$B756))&amp;" - "&amp;(IF($C756="","Commercial",$C756))),Variables!$B$1:$D$1,0),1))*IFERROR(IF(W756="","",(AVERAGE(E756:F756)-W756)-Variables!$B$14),""))+(T756*INDEX(Variables!$B$9:$D$9,IFERROR(MATCH(IF($B756="Robusta","Robusta",(IF($B756="","Arabica",$B756))&amp;" - "&amp;(IF($C756="","Commercial",$C756))),Variables!$B$1:$D$1,0),1))*IFERROR(IF(W756="","",(AVERAGE(E756:F756)-W756)-Variables!$B$14),"")/365),""))</f>
        <v>0</v>
      </c>
      <c r="AT756" s="12">
        <f>IF($H756="Cancelled","",IFERROR((T756*INDEX(Variables!$B$7:$D$7,IFERROR(MATCH(IF($B756="Robusta","Robusta",(IF($B756="","Arabica",$B756))&amp;" - "&amp;(IF($C756="","Commercial",$C756))),Variables!$B$1:$D$1,0),1))*AC756/365)+(L756/16.67*INDEX(Variables!$B$8:$D$8,IFERROR(MATCH(IF($B756="Robusta","Robusta",(IF($B756="","Arabica",$B756))&amp;" - "&amp;(IF($C756="","Commercial",$C756))),Variables!$B$1:$D$1,0),1))*AC756)+(T756*INDEX(Variables!$B$9:$D$9,IFERROR(MATCH(IF($B756="Robusta","Robusta",(IF($B756="","Arabica",$B756))&amp;" - "&amp;(IF($C756="","Commercial",$C756))),Variables!$B$1:$D$1,0),1))*AC756/365),""))</f>
        <v>1.1881809367331353</v>
      </c>
      <c r="AU756" s="12" t="str">
        <f>IF($H756="Cancelled","",IFERROR((T756*INDEX(Variables!$B$7:$D$7,IFERROR(MATCH(IF($B756="Robusta","Robusta",(IF($B756="","Arabica",$B756))&amp;" - "&amp;(IF($C756="","Commercial",$C756))),Variables!$B$1:$D$1,0),1))*AP756/365)+(L756/16.67*INDEX(Variables!$B$8:$D$8,IFERROR(MATCH(IF($B756="Robusta","Robusta",(IF($B756="","Arabica",$B756))&amp;" - "&amp;(IF($C756="","Commercial",$C756))),Variables!$B$1:$D$1,0),1))*AP756)+(T756*INDEX(Variables!$B$9:$D$9,IFERROR(MATCH(IF($B756="Robusta","Robusta",(IF($B756="","Arabica",$B756))&amp;" - "&amp;(IF($C756="","Commercial",$C756))),Variables!$B$1:$D$1,0),1))*AP756/365),""))</f>
        <v/>
      </c>
      <c r="AV756" s="11" t="str">
        <f t="shared" si="75"/>
        <v/>
      </c>
      <c r="AW756" s="12" t="str">
        <f>IF($H756="Cancelled","",IFERROR(IF(AV756="","",(T756*INDEX(Variables!$B$7:$D$7,IFERROR(MATCH(IF($B756="Robusta","Robusta",(IF($B756="","Arabica",$B756))&amp;" - "&amp;(IF($C756="","Commercial",$C756))),Variables!$B$1:$D$1,0),1))*(AV756/365))+(T756*INDEX(Variables!$B$9:$D$9,IFERROR(MATCH(IF($B756="Robusta","Robusta",(IF($B756="","Arabica",$B756))&amp;" - "&amp;(IF($C756="","Commercial",$C756))),Variables!$B$1:$D$1,0),1))*(AV756/365))+(INDEX(Variables!$B$8:$D$8,IFERROR(MATCH(IF($B756="Robusta","Robusta",(IF($B756="","Arabica",$B756))&amp;" - "&amp;(IF($C756="","Commercial",$C756))),Variables!$B$1:$D$1,0),1))*L756/16.67)),""))</f>
        <v/>
      </c>
      <c r="AX756" s="9"/>
      <c r="AY756" s="12"/>
      <c r="AZ756" s="10"/>
      <c r="BA756" s="9"/>
      <c r="BB756" s="10"/>
      <c r="BC756" s="9"/>
      <c r="BD756" s="9"/>
      <c r="BE756" s="9"/>
      <c r="BF756" s="9"/>
    </row>
    <row r="757" spans="1:58" x14ac:dyDescent="0.25">
      <c r="A757" s="9" t="s">
        <v>84</v>
      </c>
      <c r="B757" s="9" t="s">
        <v>85</v>
      </c>
      <c r="C757" s="9" t="s">
        <v>1486</v>
      </c>
      <c r="D757" s="10">
        <v>45390</v>
      </c>
      <c r="E757" s="10">
        <v>45383</v>
      </c>
      <c r="F757" s="10">
        <v>45443</v>
      </c>
      <c r="G757" s="9">
        <v>3786286</v>
      </c>
      <c r="H757" s="9" t="str">
        <f t="shared" si="73"/>
        <v>Closed</v>
      </c>
      <c r="I757" s="9" t="str">
        <f t="shared" si="74"/>
        <v>All dates received</v>
      </c>
      <c r="J757" s="9" t="s">
        <v>235</v>
      </c>
      <c r="K757" s="9">
        <v>4980</v>
      </c>
      <c r="L757" s="11">
        <v>60</v>
      </c>
      <c r="M757" s="9" t="s">
        <v>1685</v>
      </c>
      <c r="N757" s="9"/>
      <c r="O757" s="9"/>
      <c r="P757" s="9"/>
      <c r="Q757" s="11"/>
      <c r="R757" s="9" t="s">
        <v>195</v>
      </c>
      <c r="S757" s="9" t="s">
        <v>106</v>
      </c>
      <c r="T757" s="12">
        <f>IF($H757="Cancelled","",IFERROR(((Q757+INDEX(Variables!$B$6:$D$6,IFERROR(MATCH(IF($B757="Robusta","Robusta",(IF($B757="","Arabica",$B757))&amp;" - "&amp;(IF($C757="","Commercial",$C757))),Variables!$B$1:$D$1,0),1)))*22.0462)*(L757/16.67),""))</f>
        <v>23075.110833833231</v>
      </c>
      <c r="U757" s="10"/>
      <c r="V757" s="9" t="str">
        <f t="shared" si="76"/>
        <v/>
      </c>
      <c r="W757" s="10">
        <v>45383</v>
      </c>
      <c r="X757" s="9" t="str">
        <f t="shared" si="77"/>
        <v>Approved</v>
      </c>
      <c r="Y757" s="10">
        <v>45442</v>
      </c>
      <c r="Z757" s="10">
        <f>IF($H757="Cancelled","",IFERROR(IF(F757="","",F757-Variables!$B$13),""))</f>
        <v>45428</v>
      </c>
      <c r="AA757" s="11">
        <f>IF($H757="Cancelled","",IFERROR(IF(W757="","",(AVERAGE(E757:F757)-W757)-Variables!$B$14),""))</f>
        <v>0</v>
      </c>
      <c r="AB757" s="10">
        <v>45462</v>
      </c>
      <c r="AC757" s="11">
        <f>IF($H757="Cancelled","",IFERROR(IF(AB757="","",IF(AND(W757="",Y757=""),"",IF(Y757&gt;W757,Y757+Variables!$B$15+Variables!$B$16+Variables!$B$17-AB757,W757+Variables!$B$16+Variables!$B$17-AB757))),""))</f>
        <v>-5</v>
      </c>
      <c r="AD757" s="9" t="s">
        <v>107</v>
      </c>
      <c r="AE757" s="9" t="s">
        <v>374</v>
      </c>
      <c r="AF757" s="10"/>
      <c r="AG757" s="10"/>
      <c r="AH757" s="9"/>
      <c r="AI757" s="9" t="s">
        <v>1686</v>
      </c>
      <c r="AJ757" s="9" t="s">
        <v>8</v>
      </c>
      <c r="AK757" s="10">
        <v>45485</v>
      </c>
      <c r="AL757" s="10">
        <v>45490</v>
      </c>
      <c r="AM757" s="10">
        <v>45516</v>
      </c>
      <c r="AN757" s="9" t="s">
        <v>1492</v>
      </c>
      <c r="AO757" s="9"/>
      <c r="AP757" s="11">
        <f>IF($H757="Cancelled","",IFERROR(IF(OR(AK757="",AB757=""),"",(AB757+Variables!$B$18-AK757)),""))</f>
        <v>-16</v>
      </c>
      <c r="AQ757" s="11">
        <f>IF($H757="Cancelled","",IFERROR(IF(OR(AM757="",AK757=""),"",(AK757+Variables!$B$19)-AM757),""))</f>
        <v>-26</v>
      </c>
      <c r="AR757" s="12">
        <f>IF($H757="Cancelled","",IFERROR(T757*INDEX(Variables!$B$7:$D$7,IFERROR(MATCH(IF($B757="Robusta","Robusta",(IF($B757="","Arabica",$B757))&amp;" - "&amp;(IF($C757="","Commercial",$C757))),Variables!$B$1:$D$1,0),1))*(AQ757/365),""))</f>
        <v>-105.98981289601214</v>
      </c>
      <c r="AS757" s="12">
        <f>IF($H757="Cancelled","",IFERROR((T757*INDEX(Variables!$B$7:$D$7,IFERROR(MATCH(IF($B757="Robusta","Robusta",(IF($B757="","Arabica",$B757))&amp;" - "&amp;(IF($C757="","Commercial",$C757))),Variables!$B$1:$D$1,0),1))*IFERROR(IF(W757="","",(AVERAGE(E757:F757)-W757)-Variables!$B$14),"")/365)+(L757/16.67*INDEX(Variables!$B$8:$D$8,IFERROR(MATCH(IF($B757="Robusta","Robusta",(IF($B757="","Arabica",$B757))&amp;" - "&amp;(IF($C757="","Commercial",$C757))),Variables!$B$1:$D$1,0),1))*IFERROR(IF(W757="","",(AVERAGE(E757:F757)-W757)-Variables!$B$14),""))+(T757*INDEX(Variables!$B$9:$D$9,IFERROR(MATCH(IF($B757="Robusta","Robusta",(IF($B757="","Arabica",$B757))&amp;" - "&amp;(IF($C757="","Commercial",$C757))),Variables!$B$1:$D$1,0),1))*IFERROR(IF(W757="","",(AVERAGE(E757:F757)-W757)-Variables!$B$14),"")/365),""))</f>
        <v>0</v>
      </c>
      <c r="AT757" s="12">
        <f>IF($H757="Cancelled","",IFERROR((T757*INDEX(Variables!$B$7:$D$7,IFERROR(MATCH(IF($B757="Robusta","Robusta",(IF($B757="","Arabica",$B757))&amp;" - "&amp;(IF($C757="","Commercial",$C757))),Variables!$B$1:$D$1,0),1))*AC757/365)+(L757/16.67*INDEX(Variables!$B$8:$D$8,IFERROR(MATCH(IF($B757="Robusta","Robusta",(IF($B757="","Arabica",$B757))&amp;" - "&amp;(IF($C757="","Commercial",$C757))),Variables!$B$1:$D$1,0),1))*AC757)+(T757*INDEX(Variables!$B$9:$D$9,IFERROR(MATCH(IF($B757="Robusta","Robusta",(IF($B757="","Arabica",$B757))&amp;" - "&amp;(IF($C757="","Commercial",$C757))),Variables!$B$1:$D$1,0),1))*AC757/365),""))</f>
        <v>-35.645428101994064</v>
      </c>
      <c r="AU757" s="12">
        <f>IF($H757="Cancelled","",IFERROR((T757*INDEX(Variables!$B$7:$D$7,IFERROR(MATCH(IF($B757="Robusta","Robusta",(IF($B757="","Arabica",$B757))&amp;" - "&amp;(IF($C757="","Commercial",$C757))),Variables!$B$1:$D$1,0),1))*AP757/365)+(L757/16.67*INDEX(Variables!$B$8:$D$8,IFERROR(MATCH(IF($B757="Robusta","Robusta",(IF($B757="","Arabica",$B757))&amp;" - "&amp;(IF($C757="","Commercial",$C757))),Variables!$B$1:$D$1,0),1))*AP757)+(T757*INDEX(Variables!$B$9:$D$9,IFERROR(MATCH(IF($B757="Robusta","Robusta",(IF($B757="","Arabica",$B757))&amp;" - "&amp;(IF($C757="","Commercial",$C757))),Variables!$B$1:$D$1,0),1))*AP757/365),""))</f>
        <v>-114.06536992638101</v>
      </c>
      <c r="AV757" s="11">
        <f t="shared" si="75"/>
        <v>-42</v>
      </c>
      <c r="AW757" s="12">
        <f>IF($H757="Cancelled","",IFERROR(IF(AV757="","",(T757*INDEX(Variables!$B$7:$D$7,IFERROR(MATCH(IF($B757="Robusta","Robusta",(IF($B757="","Arabica",$B757))&amp;" - "&amp;(IF($C757="","Commercial",$C757))),Variables!$B$1:$D$1,0),1))*(AV757/365))+(T757*INDEX(Variables!$B$9:$D$9,IFERROR(MATCH(IF($B757="Robusta","Robusta",(IF($B757="","Arabica",$B757))&amp;" - "&amp;(IF($C757="","Commercial",$C757))),Variables!$B$1:$D$1,0),1))*(AV757/365))+(INDEX(Variables!$B$8:$D$8,IFERROR(MATCH(IF($B757="Robusta","Robusta",(IF($B757="","Arabica",$B757))&amp;" - "&amp;(IF($C757="","Commercial",$C757))),Variables!$B$1:$D$1,0),1))*L757/16.67)),""))</f>
        <v>-170.42159605675016</v>
      </c>
      <c r="AX757" s="9"/>
      <c r="AY757" s="12"/>
      <c r="AZ757" s="10"/>
      <c r="BA757" s="9"/>
      <c r="BB757" s="10"/>
      <c r="BC757" s="9"/>
      <c r="BD757" s="9"/>
      <c r="BE757" s="9"/>
      <c r="BF757" s="9"/>
    </row>
    <row r="758" spans="1:58" x14ac:dyDescent="0.25">
      <c r="A758" s="9" t="s">
        <v>84</v>
      </c>
      <c r="B758" s="9" t="s">
        <v>85</v>
      </c>
      <c r="C758" s="9" t="s">
        <v>1486</v>
      </c>
      <c r="D758" s="10">
        <v>45390</v>
      </c>
      <c r="E758" s="10">
        <v>45383</v>
      </c>
      <c r="F758" s="10">
        <v>45443</v>
      </c>
      <c r="G758" s="9">
        <v>3786287</v>
      </c>
      <c r="H758" s="9" t="str">
        <f t="shared" si="73"/>
        <v>Closed</v>
      </c>
      <c r="I758" s="9" t="str">
        <f t="shared" si="74"/>
        <v>All dates received</v>
      </c>
      <c r="J758" s="9" t="s">
        <v>235</v>
      </c>
      <c r="K758" s="9">
        <v>4981</v>
      </c>
      <c r="L758" s="11">
        <v>60</v>
      </c>
      <c r="M758" s="9" t="s">
        <v>1687</v>
      </c>
      <c r="N758" s="9"/>
      <c r="O758" s="9"/>
      <c r="P758" s="9"/>
      <c r="Q758" s="11"/>
      <c r="R758" s="9" t="s">
        <v>195</v>
      </c>
      <c r="S758" s="9" t="s">
        <v>106</v>
      </c>
      <c r="T758" s="12">
        <f>IF($H758="Cancelled","",IFERROR(((Q758+INDEX(Variables!$B$6:$D$6,IFERROR(MATCH(IF($B758="Robusta","Robusta",(IF($B758="","Arabica",$B758))&amp;" - "&amp;(IF($C758="","Commercial",$C758))),Variables!$B$1:$D$1,0),1)))*22.0462)*(L758/16.67),""))</f>
        <v>23075.110833833231</v>
      </c>
      <c r="U758" s="10"/>
      <c r="V758" s="9" t="str">
        <f t="shared" si="76"/>
        <v/>
      </c>
      <c r="W758" s="10">
        <v>45383</v>
      </c>
      <c r="X758" s="9" t="str">
        <f t="shared" si="77"/>
        <v>Approved</v>
      </c>
      <c r="Y758" s="10">
        <v>45442</v>
      </c>
      <c r="Z758" s="10">
        <f>IF($H758="Cancelled","",IFERROR(IF(F758="","",F758-Variables!$B$13),""))</f>
        <v>45428</v>
      </c>
      <c r="AA758" s="11">
        <f>IF($H758="Cancelled","",IFERROR(IF(W758="","",(AVERAGE(E758:F758)-W758)-Variables!$B$14),""))</f>
        <v>0</v>
      </c>
      <c r="AB758" s="10">
        <v>45462</v>
      </c>
      <c r="AC758" s="11">
        <f>IF($H758="Cancelled","",IFERROR(IF(AB758="","",IF(AND(W758="",Y758=""),"",IF(Y758&gt;W758,Y758+Variables!$B$15+Variables!$B$16+Variables!$B$17-AB758,W758+Variables!$B$16+Variables!$B$17-AB758))),""))</f>
        <v>-5</v>
      </c>
      <c r="AD758" s="9" t="s">
        <v>107</v>
      </c>
      <c r="AE758" s="9" t="s">
        <v>374</v>
      </c>
      <c r="AF758" s="10"/>
      <c r="AG758" s="10"/>
      <c r="AH758" s="9"/>
      <c r="AI758" s="9" t="s">
        <v>1686</v>
      </c>
      <c r="AJ758" s="9" t="s">
        <v>8</v>
      </c>
      <c r="AK758" s="10">
        <v>45485</v>
      </c>
      <c r="AL758" s="10">
        <v>45490</v>
      </c>
      <c r="AM758" s="10">
        <v>45516</v>
      </c>
      <c r="AN758" s="9" t="s">
        <v>1492</v>
      </c>
      <c r="AO758" s="9"/>
      <c r="AP758" s="11">
        <f>IF($H758="Cancelled","",IFERROR(IF(OR(AK758="",AB758=""),"",(AB758+Variables!$B$18-AK758)),""))</f>
        <v>-16</v>
      </c>
      <c r="AQ758" s="11">
        <f>IF($H758="Cancelled","",IFERROR(IF(OR(AM758="",AK758=""),"",(AK758+Variables!$B$19)-AM758),""))</f>
        <v>-26</v>
      </c>
      <c r="AR758" s="12">
        <f>IF($H758="Cancelled","",IFERROR(T758*INDEX(Variables!$B$7:$D$7,IFERROR(MATCH(IF($B758="Robusta","Robusta",(IF($B758="","Arabica",$B758))&amp;" - "&amp;(IF($C758="","Commercial",$C758))),Variables!$B$1:$D$1,0),1))*(AQ758/365),""))</f>
        <v>-105.98981289601214</v>
      </c>
      <c r="AS758" s="12">
        <f>IF($H758="Cancelled","",IFERROR((T758*INDEX(Variables!$B$7:$D$7,IFERROR(MATCH(IF($B758="Robusta","Robusta",(IF($B758="","Arabica",$B758))&amp;" - "&amp;(IF($C758="","Commercial",$C758))),Variables!$B$1:$D$1,0),1))*IFERROR(IF(W758="","",(AVERAGE(E758:F758)-W758)-Variables!$B$14),"")/365)+(L758/16.67*INDEX(Variables!$B$8:$D$8,IFERROR(MATCH(IF($B758="Robusta","Robusta",(IF($B758="","Arabica",$B758))&amp;" - "&amp;(IF($C758="","Commercial",$C758))),Variables!$B$1:$D$1,0),1))*IFERROR(IF(W758="","",(AVERAGE(E758:F758)-W758)-Variables!$B$14),""))+(T758*INDEX(Variables!$B$9:$D$9,IFERROR(MATCH(IF($B758="Robusta","Robusta",(IF($B758="","Arabica",$B758))&amp;" - "&amp;(IF($C758="","Commercial",$C758))),Variables!$B$1:$D$1,0),1))*IFERROR(IF(W758="","",(AVERAGE(E758:F758)-W758)-Variables!$B$14),"")/365),""))</f>
        <v>0</v>
      </c>
      <c r="AT758" s="12">
        <f>IF($H758="Cancelled","",IFERROR((T758*INDEX(Variables!$B$7:$D$7,IFERROR(MATCH(IF($B758="Robusta","Robusta",(IF($B758="","Arabica",$B758))&amp;" - "&amp;(IF($C758="","Commercial",$C758))),Variables!$B$1:$D$1,0),1))*AC758/365)+(L758/16.67*INDEX(Variables!$B$8:$D$8,IFERROR(MATCH(IF($B758="Robusta","Robusta",(IF($B758="","Arabica",$B758))&amp;" - "&amp;(IF($C758="","Commercial",$C758))),Variables!$B$1:$D$1,0),1))*AC758)+(T758*INDEX(Variables!$B$9:$D$9,IFERROR(MATCH(IF($B758="Robusta","Robusta",(IF($B758="","Arabica",$B758))&amp;" - "&amp;(IF($C758="","Commercial",$C758))),Variables!$B$1:$D$1,0),1))*AC758/365),""))</f>
        <v>-35.645428101994064</v>
      </c>
      <c r="AU758" s="12">
        <f>IF($H758="Cancelled","",IFERROR((T758*INDEX(Variables!$B$7:$D$7,IFERROR(MATCH(IF($B758="Robusta","Robusta",(IF($B758="","Arabica",$B758))&amp;" - "&amp;(IF($C758="","Commercial",$C758))),Variables!$B$1:$D$1,0),1))*AP758/365)+(L758/16.67*INDEX(Variables!$B$8:$D$8,IFERROR(MATCH(IF($B758="Robusta","Robusta",(IF($B758="","Arabica",$B758))&amp;" - "&amp;(IF($C758="","Commercial",$C758))),Variables!$B$1:$D$1,0),1))*AP758)+(T758*INDEX(Variables!$B$9:$D$9,IFERROR(MATCH(IF($B758="Robusta","Robusta",(IF($B758="","Arabica",$B758))&amp;" - "&amp;(IF($C758="","Commercial",$C758))),Variables!$B$1:$D$1,0),1))*AP758/365),""))</f>
        <v>-114.06536992638101</v>
      </c>
      <c r="AV758" s="11">
        <f t="shared" si="75"/>
        <v>-42</v>
      </c>
      <c r="AW758" s="12">
        <f>IF($H758="Cancelled","",IFERROR(IF(AV758="","",(T758*INDEX(Variables!$B$7:$D$7,IFERROR(MATCH(IF($B758="Robusta","Robusta",(IF($B758="","Arabica",$B758))&amp;" - "&amp;(IF($C758="","Commercial",$C758))),Variables!$B$1:$D$1,0),1))*(AV758/365))+(T758*INDEX(Variables!$B$9:$D$9,IFERROR(MATCH(IF($B758="Robusta","Robusta",(IF($B758="","Arabica",$B758))&amp;" - "&amp;(IF($C758="","Commercial",$C758))),Variables!$B$1:$D$1,0),1))*(AV758/365))+(INDEX(Variables!$B$8:$D$8,IFERROR(MATCH(IF($B758="Robusta","Robusta",(IF($B758="","Arabica",$B758))&amp;" - "&amp;(IF($C758="","Commercial",$C758))),Variables!$B$1:$D$1,0),1))*L758/16.67)),""))</f>
        <v>-170.42159605675016</v>
      </c>
      <c r="AX758" s="9"/>
      <c r="AY758" s="12"/>
      <c r="AZ758" s="10"/>
      <c r="BA758" s="9"/>
      <c r="BB758" s="10"/>
      <c r="BC758" s="9"/>
      <c r="BD758" s="9"/>
      <c r="BE758" s="9"/>
      <c r="BF758" s="9"/>
    </row>
    <row r="759" spans="1:58" x14ac:dyDescent="0.25">
      <c r="A759" s="9" t="s">
        <v>84</v>
      </c>
      <c r="B759" s="9" t="s">
        <v>85</v>
      </c>
      <c r="C759" s="9" t="s">
        <v>1486</v>
      </c>
      <c r="D759" s="10">
        <v>45397</v>
      </c>
      <c r="E759" s="10">
        <v>45413</v>
      </c>
      <c r="F759" s="10">
        <v>45443</v>
      </c>
      <c r="G759" s="9">
        <v>3786301</v>
      </c>
      <c r="H759" s="9" t="str">
        <f t="shared" si="73"/>
        <v>Closed</v>
      </c>
      <c r="I759" s="9" t="str">
        <f t="shared" si="74"/>
        <v>All dates received</v>
      </c>
      <c r="J759" s="9" t="s">
        <v>257</v>
      </c>
      <c r="K759" s="9">
        <v>4934</v>
      </c>
      <c r="L759" s="11">
        <v>6</v>
      </c>
      <c r="M759" s="9" t="s">
        <v>1688</v>
      </c>
      <c r="N759" s="9"/>
      <c r="O759" s="9"/>
      <c r="P759" s="9"/>
      <c r="Q759" s="11"/>
      <c r="R759" s="9" t="s">
        <v>195</v>
      </c>
      <c r="S759" s="9" t="s">
        <v>1121</v>
      </c>
      <c r="T759" s="12">
        <f>IF($H759="Cancelled","",IFERROR(((Q759+INDEX(Variables!$B$6:$D$6,IFERROR(MATCH(IF($B759="Robusta","Robusta",(IF($B759="","Arabica",$B759))&amp;" - "&amp;(IF($C759="","Commercial",$C759))),Variables!$B$1:$D$1,0),1)))*22.0462)*(L759/16.67),""))</f>
        <v>2307.5110833833228</v>
      </c>
      <c r="U759" s="10"/>
      <c r="V759" s="9" t="str">
        <f t="shared" si="76"/>
        <v/>
      </c>
      <c r="W759" s="10">
        <v>45413</v>
      </c>
      <c r="X759" s="9" t="str">
        <f t="shared" si="77"/>
        <v>Approved</v>
      </c>
      <c r="Y759" s="10">
        <v>45442</v>
      </c>
      <c r="Z759" s="10">
        <f>IF($H759="Cancelled","",IFERROR(IF(F759="","",F759-Variables!$B$13),""))</f>
        <v>45428</v>
      </c>
      <c r="AA759" s="11">
        <f>IF($H759="Cancelled","",IFERROR(IF(W759="","",(AVERAGE(E759:F759)-W759)-Variables!$B$14),""))</f>
        <v>-15</v>
      </c>
      <c r="AB759" s="10">
        <v>45443</v>
      </c>
      <c r="AC759" s="11">
        <f>IF($H759="Cancelled","",IFERROR(IF(AB759="","",IF(AND(W759="",Y759=""),"",IF(Y759&gt;W759,Y759+Variables!$B$15+Variables!$B$16+Variables!$B$17-AB759,W759+Variables!$B$16+Variables!$B$17-AB759))),""))</f>
        <v>14</v>
      </c>
      <c r="AD759" s="9" t="s">
        <v>165</v>
      </c>
      <c r="AE759" s="9" t="s">
        <v>184</v>
      </c>
      <c r="AF759" s="10"/>
      <c r="AG759" s="10"/>
      <c r="AH759" s="9"/>
      <c r="AI759" s="9" t="s">
        <v>1576</v>
      </c>
      <c r="AJ759" s="9" t="s">
        <v>8</v>
      </c>
      <c r="AK759" s="10">
        <v>45454</v>
      </c>
      <c r="AL759" s="10">
        <v>45457</v>
      </c>
      <c r="AM759" s="10">
        <v>45463</v>
      </c>
      <c r="AN759" s="9" t="s">
        <v>1492</v>
      </c>
      <c r="AO759" s="9"/>
      <c r="AP759" s="11">
        <f>IF($H759="Cancelled","",IFERROR(IF(OR(AK759="",AB759=""),"",(AB759+Variables!$B$18-AK759)),""))</f>
        <v>-4</v>
      </c>
      <c r="AQ759" s="11">
        <f>IF($H759="Cancelled","",IFERROR(IF(OR(AM759="",AK759=""),"",(AK759+Variables!$B$19)-AM759),""))</f>
        <v>-4</v>
      </c>
      <c r="AR759" s="12">
        <f>IF($H759="Cancelled","",IFERROR(T759*INDEX(Variables!$B$7:$D$7,IFERROR(MATCH(IF($B759="Robusta","Robusta",(IF($B759="","Arabica",$B759))&amp;" - "&amp;(IF($C759="","Commercial",$C759))),Variables!$B$1:$D$1,0),1))*(AQ759/365),""))</f>
        <v>-1.6306125060924941</v>
      </c>
      <c r="AS759" s="12">
        <f>IF($H759="Cancelled","",IFERROR((T759*INDEX(Variables!$B$7:$D$7,IFERROR(MATCH(IF($B759="Robusta","Robusta",(IF($B759="","Arabica",$B759))&amp;" - "&amp;(IF($C759="","Commercial",$C759))),Variables!$B$1:$D$1,0),1))*IFERROR(IF(W759="","",(AVERAGE(E759:F759)-W759)-Variables!$B$14),"")/365)+(L759/16.67*INDEX(Variables!$B$8:$D$8,IFERROR(MATCH(IF($B759="Robusta","Robusta",(IF($B759="","Arabica",$B759))&amp;" - "&amp;(IF($C759="","Commercial",$C759))),Variables!$B$1:$D$1,0),1))*IFERROR(IF(W759="","",(AVERAGE(E759:F759)-W759)-Variables!$B$14),""))+(T759*INDEX(Variables!$B$9:$D$9,IFERROR(MATCH(IF($B759="Robusta","Robusta",(IF($B759="","Arabica",$B759))&amp;" - "&amp;(IF($C759="","Commercial",$C759))),Variables!$B$1:$D$1,0),1))*IFERROR(IF(W759="","",(AVERAGE(E759:F759)-W759)-Variables!$B$14),"")/365),""))</f>
        <v>-10.693628430598219</v>
      </c>
      <c r="AT759" s="12">
        <f>IF($H759="Cancelled","",IFERROR((T759*INDEX(Variables!$B$7:$D$7,IFERROR(MATCH(IF($B759="Robusta","Robusta",(IF($B759="","Arabica",$B759))&amp;" - "&amp;(IF($C759="","Commercial",$C759))),Variables!$B$1:$D$1,0),1))*AC759/365)+(L759/16.67*INDEX(Variables!$B$8:$D$8,IFERROR(MATCH(IF($B759="Robusta","Robusta",(IF($B759="","Arabica",$B759))&amp;" - "&amp;(IF($C759="","Commercial",$C759))),Variables!$B$1:$D$1,0),1))*AC759)+(T759*INDEX(Variables!$B$9:$D$9,IFERROR(MATCH(IF($B759="Robusta","Robusta",(IF($B759="","Arabica",$B759))&amp;" - "&amp;(IF($C759="","Commercial",$C759))),Variables!$B$1:$D$1,0),1))*AC759/365),""))</f>
        <v>9.9807198685583369</v>
      </c>
      <c r="AU759" s="12">
        <f>IF($H759="Cancelled","",IFERROR((T759*INDEX(Variables!$B$7:$D$7,IFERROR(MATCH(IF($B759="Robusta","Robusta",(IF($B759="","Arabica",$B759))&amp;" - "&amp;(IF($C759="","Commercial",$C759))),Variables!$B$1:$D$1,0),1))*AP759/365)+(L759/16.67*INDEX(Variables!$B$8:$D$8,IFERROR(MATCH(IF($B759="Robusta","Robusta",(IF($B759="","Arabica",$B759))&amp;" - "&amp;(IF($C759="","Commercial",$C759))),Variables!$B$1:$D$1,0),1))*AP759)+(T759*INDEX(Variables!$B$9:$D$9,IFERROR(MATCH(IF($B759="Robusta","Robusta",(IF($B759="","Arabica",$B759))&amp;" - "&amp;(IF($C759="","Commercial",$C759))),Variables!$B$1:$D$1,0),1))*AP759/365),""))</f>
        <v>-2.8516342481595247</v>
      </c>
      <c r="AV759" s="11">
        <f t="shared" si="75"/>
        <v>-11</v>
      </c>
      <c r="AW759" s="12">
        <f>IF($H759="Cancelled","",IFERROR(IF(AV759="","",(T759*INDEX(Variables!$B$7:$D$7,IFERROR(MATCH(IF($B759="Robusta","Robusta",(IF($B759="","Arabica",$B759))&amp;" - "&amp;(IF($C759="","Commercial",$C759))),Variables!$B$1:$D$1,0),1))*(AV759/365))+(T759*INDEX(Variables!$B$9:$D$9,IFERROR(MATCH(IF($B759="Robusta","Robusta",(IF($B759="","Arabica",$B759))&amp;" - "&amp;(IF($C759="","Commercial",$C759))),Variables!$B$1:$D$1,0),1))*(AV759/365))+(INDEX(Variables!$B$8:$D$8,IFERROR(MATCH(IF($B759="Robusta","Robusta",(IF($B759="","Arabica",$B759))&amp;" - "&amp;(IF($C759="","Commercial",$C759))),Variables!$B$1:$D$1,0),1))*L759/16.67)),""))</f>
        <v>-4.2419941824386935</v>
      </c>
      <c r="AX759" s="9"/>
      <c r="AY759" s="12"/>
      <c r="AZ759" s="10"/>
      <c r="BA759" s="9"/>
      <c r="BB759" s="10"/>
      <c r="BC759" s="9"/>
      <c r="BD759" s="9"/>
      <c r="BE759" s="9"/>
      <c r="BF759" s="9"/>
    </row>
    <row r="760" spans="1:58" x14ac:dyDescent="0.25">
      <c r="A760" s="9" t="s">
        <v>84</v>
      </c>
      <c r="B760" s="9" t="s">
        <v>85</v>
      </c>
      <c r="C760" s="9" t="s">
        <v>1486</v>
      </c>
      <c r="D760" s="10">
        <v>45399</v>
      </c>
      <c r="E760" s="10">
        <v>45413</v>
      </c>
      <c r="F760" s="10">
        <v>45443</v>
      </c>
      <c r="G760" s="9">
        <v>3786311</v>
      </c>
      <c r="H760" s="9" t="str">
        <f t="shared" si="73"/>
        <v>Closed</v>
      </c>
      <c r="I760" s="9" t="str">
        <f t="shared" si="74"/>
        <v>All dates received</v>
      </c>
      <c r="J760" s="9" t="s">
        <v>1487</v>
      </c>
      <c r="K760" s="9" t="s">
        <v>1689</v>
      </c>
      <c r="L760" s="11">
        <v>8</v>
      </c>
      <c r="M760" s="9" t="s">
        <v>1690</v>
      </c>
      <c r="N760" s="9"/>
      <c r="O760" s="9"/>
      <c r="P760" s="9"/>
      <c r="Q760" s="11"/>
      <c r="R760" s="9" t="s">
        <v>195</v>
      </c>
      <c r="S760" s="9" t="s">
        <v>228</v>
      </c>
      <c r="T760" s="12">
        <f>IF($H760="Cancelled","",IFERROR(((Q760+INDEX(Variables!$B$6:$D$6,IFERROR(MATCH(IF($B760="Robusta","Robusta",(IF($B760="","Arabica",$B760))&amp;" - "&amp;(IF($C760="","Commercial",$C760))),Variables!$B$1:$D$1,0),1)))*22.0462)*(L760/16.67),""))</f>
        <v>3076.6814445110972</v>
      </c>
      <c r="U760" s="10"/>
      <c r="V760" s="9" t="str">
        <f t="shared" si="76"/>
        <v/>
      </c>
      <c r="W760" s="10">
        <v>45397</v>
      </c>
      <c r="X760" s="9" t="str">
        <f t="shared" si="77"/>
        <v>Approved</v>
      </c>
      <c r="Y760" s="10">
        <v>45461</v>
      </c>
      <c r="Z760" s="10">
        <f>IF($H760="Cancelled","",IFERROR(IF(F760="","",F760-Variables!$B$13),""))</f>
        <v>45428</v>
      </c>
      <c r="AA760" s="11">
        <f>IF($H760="Cancelled","",IFERROR(IF(W760="","",(AVERAGE(E760:F760)-W760)-Variables!$B$14),""))</f>
        <v>1</v>
      </c>
      <c r="AB760" s="10">
        <v>45471</v>
      </c>
      <c r="AC760" s="11">
        <f>IF($H760="Cancelled","",IFERROR(IF(AB760="","",IF(AND(W760="",Y760=""),"",IF(Y760&gt;W760,Y760+Variables!$B$15+Variables!$B$16+Variables!$B$17-AB760,W760+Variables!$B$16+Variables!$B$17-AB760))),""))</f>
        <v>5</v>
      </c>
      <c r="AD760" s="9" t="s">
        <v>107</v>
      </c>
      <c r="AE760" s="9" t="s">
        <v>364</v>
      </c>
      <c r="AF760" s="10"/>
      <c r="AG760" s="10"/>
      <c r="AH760" s="9"/>
      <c r="AI760" s="9" t="s">
        <v>1512</v>
      </c>
      <c r="AJ760" s="9" t="s">
        <v>385</v>
      </c>
      <c r="AK760" s="10">
        <v>45491</v>
      </c>
      <c r="AL760" s="10">
        <v>45495</v>
      </c>
      <c r="AM760" s="10">
        <v>45510</v>
      </c>
      <c r="AN760" s="9" t="s">
        <v>1492</v>
      </c>
      <c r="AO760" s="9"/>
      <c r="AP760" s="11">
        <f>IF($H760="Cancelled","",IFERROR(IF(OR(AK760="",AB760=""),"",(AB760+Variables!$B$18-AK760)),""))</f>
        <v>-13</v>
      </c>
      <c r="AQ760" s="11">
        <f>IF($H760="Cancelled","",IFERROR(IF(OR(AM760="",AK760=""),"",(AK760+Variables!$B$19)-AM760),""))</f>
        <v>-14</v>
      </c>
      <c r="AR760" s="12">
        <f>IF($H760="Cancelled","",IFERROR(T760*INDEX(Variables!$B$7:$D$7,IFERROR(MATCH(IF($B760="Robusta","Robusta",(IF($B760="","Arabica",$B760))&amp;" - "&amp;(IF($C760="","Commercial",$C760))),Variables!$B$1:$D$1,0),1))*(AQ760/365),""))</f>
        <v>-7.6095250284316407</v>
      </c>
      <c r="AS760" s="12">
        <f>IF($H760="Cancelled","",IFERROR((T760*INDEX(Variables!$B$7:$D$7,IFERROR(MATCH(IF($B760="Robusta","Robusta",(IF($B760="","Arabica",$B760))&amp;" - "&amp;(IF($C760="","Commercial",$C760))),Variables!$B$1:$D$1,0),1))*IFERROR(IF(W760="","",(AVERAGE(E760:F760)-W760)-Variables!$B$14),"")/365)+(L760/16.67*INDEX(Variables!$B$8:$D$8,IFERROR(MATCH(IF($B760="Robusta","Robusta",(IF($B760="","Arabica",$B760))&amp;" - "&amp;(IF($C760="","Commercial",$C760))),Variables!$B$1:$D$1,0),1))*IFERROR(IF(W760="","",(AVERAGE(E760:F760)-W760)-Variables!$B$14),""))+(T760*INDEX(Variables!$B$9:$D$9,IFERROR(MATCH(IF($B760="Robusta","Robusta",(IF($B760="","Arabica",$B760))&amp;" - "&amp;(IF($C760="","Commercial",$C760))),Variables!$B$1:$D$1,0),1))*IFERROR(IF(W760="","",(AVERAGE(E760:F760)-W760)-Variables!$B$14),"")/365),""))</f>
        <v>0.95054474938650835</v>
      </c>
      <c r="AT760" s="12">
        <f>IF($H760="Cancelled","",IFERROR((T760*INDEX(Variables!$B$7:$D$7,IFERROR(MATCH(IF($B760="Robusta","Robusta",(IF($B760="","Arabica",$B760))&amp;" - "&amp;(IF($C760="","Commercial",$C760))),Variables!$B$1:$D$1,0),1))*AC760/365)+(L760/16.67*INDEX(Variables!$B$8:$D$8,IFERROR(MATCH(IF($B760="Robusta","Robusta",(IF($B760="","Arabica",$B760))&amp;" - "&amp;(IF($C760="","Commercial",$C760))),Variables!$B$1:$D$1,0),1))*AC760)+(T760*INDEX(Variables!$B$9:$D$9,IFERROR(MATCH(IF($B760="Robusta","Robusta",(IF($B760="","Arabica",$B760))&amp;" - "&amp;(IF($C760="","Commercial",$C760))),Variables!$B$1:$D$1,0),1))*AC760/365),""))</f>
        <v>4.7527237469325412</v>
      </c>
      <c r="AU760" s="12">
        <f>IF($H760="Cancelled","",IFERROR((T760*INDEX(Variables!$B$7:$D$7,IFERROR(MATCH(IF($B760="Robusta","Robusta",(IF($B760="","Arabica",$B760))&amp;" - "&amp;(IF($C760="","Commercial",$C760))),Variables!$B$1:$D$1,0),1))*AP760/365)+(L760/16.67*INDEX(Variables!$B$8:$D$8,IFERROR(MATCH(IF($B760="Robusta","Robusta",(IF($B760="","Arabica",$B760))&amp;" - "&amp;(IF($C760="","Commercial",$C760))),Variables!$B$1:$D$1,0),1))*AP760)+(T760*INDEX(Variables!$B$9:$D$9,IFERROR(MATCH(IF($B760="Robusta","Robusta",(IF($B760="","Arabica",$B760))&amp;" - "&amp;(IF($C760="","Commercial",$C760))),Variables!$B$1:$D$1,0),1))*AP760/365),""))</f>
        <v>-12.357081742024608</v>
      </c>
      <c r="AV760" s="11">
        <f t="shared" si="75"/>
        <v>-48</v>
      </c>
      <c r="AW760" s="12">
        <f>IF($H760="Cancelled","",IFERROR(IF(AV760="","",(T760*INDEX(Variables!$B$7:$D$7,IFERROR(MATCH(IF($B760="Robusta","Robusta",(IF($B760="","Arabica",$B760))&amp;" - "&amp;(IF($C760="","Commercial",$C760))),Variables!$B$1:$D$1,0),1))*(AV760/365))+(T760*INDEX(Variables!$B$9:$D$9,IFERROR(MATCH(IF($B760="Robusta","Robusta",(IF($B760="","Arabica",$B760))&amp;" - "&amp;(IF($C760="","Commercial",$C760))),Variables!$B$1:$D$1,0),1))*(AV760/365))+(INDEX(Variables!$B$8:$D$8,IFERROR(MATCH(IF($B760="Robusta","Robusta",(IF($B760="","Arabica",$B760))&amp;" - "&amp;(IF($C760="","Commercial",$C760))),Variables!$B$1:$D$1,0),1))*L760/16.67)),""))</f>
        <v>-26.026147970552397</v>
      </c>
      <c r="AX760" s="9"/>
      <c r="AY760" s="12"/>
      <c r="AZ760" s="10"/>
      <c r="BA760" s="9"/>
      <c r="BB760" s="10"/>
      <c r="BC760" s="9"/>
      <c r="BD760" s="9"/>
      <c r="BE760" s="9"/>
      <c r="BF760" s="9"/>
    </row>
    <row r="761" spans="1:58" x14ac:dyDescent="0.25">
      <c r="A761" s="9" t="s">
        <v>84</v>
      </c>
      <c r="B761" s="9" t="s">
        <v>85</v>
      </c>
      <c r="C761" s="9" t="s">
        <v>1486</v>
      </c>
      <c r="D761" s="10">
        <v>45399</v>
      </c>
      <c r="E761" s="10">
        <v>45413</v>
      </c>
      <c r="F761" s="10">
        <v>45443</v>
      </c>
      <c r="G761" s="9">
        <v>3786312</v>
      </c>
      <c r="H761" s="9" t="str">
        <f t="shared" si="73"/>
        <v>Closed</v>
      </c>
      <c r="I761" s="9" t="str">
        <f t="shared" si="74"/>
        <v>All dates received</v>
      </c>
      <c r="J761" s="9" t="s">
        <v>1487</v>
      </c>
      <c r="K761" s="9" t="s">
        <v>1691</v>
      </c>
      <c r="L761" s="11">
        <v>8</v>
      </c>
      <c r="M761" s="9" t="s">
        <v>1692</v>
      </c>
      <c r="N761" s="9"/>
      <c r="O761" s="9"/>
      <c r="P761" s="9"/>
      <c r="Q761" s="11"/>
      <c r="R761" s="9" t="s">
        <v>195</v>
      </c>
      <c r="S761" s="9" t="s">
        <v>228</v>
      </c>
      <c r="T761" s="12">
        <f>IF($H761="Cancelled","",IFERROR(((Q761+INDEX(Variables!$B$6:$D$6,IFERROR(MATCH(IF($B761="Robusta","Robusta",(IF($B761="","Arabica",$B761))&amp;" - "&amp;(IF($C761="","Commercial",$C761))),Variables!$B$1:$D$1,0),1)))*22.0462)*(L761/16.67),""))</f>
        <v>3076.6814445110972</v>
      </c>
      <c r="U761" s="10"/>
      <c r="V761" s="9" t="str">
        <f t="shared" si="76"/>
        <v/>
      </c>
      <c r="W761" s="10">
        <v>45397</v>
      </c>
      <c r="X761" s="9" t="str">
        <f t="shared" si="77"/>
        <v>Approved</v>
      </c>
      <c r="Y761" s="10">
        <v>45461</v>
      </c>
      <c r="Z761" s="10">
        <f>IF($H761="Cancelled","",IFERROR(IF(F761="","",F761-Variables!$B$13),""))</f>
        <v>45428</v>
      </c>
      <c r="AA761" s="11">
        <f>IF($H761="Cancelled","",IFERROR(IF(W761="","",(AVERAGE(E761:F761)-W761)-Variables!$B$14),""))</f>
        <v>1</v>
      </c>
      <c r="AB761" s="10">
        <v>45471</v>
      </c>
      <c r="AC761" s="11">
        <f>IF($H761="Cancelled","",IFERROR(IF(AB761="","",IF(AND(W761="",Y761=""),"",IF(Y761&gt;W761,Y761+Variables!$B$15+Variables!$B$16+Variables!$B$17-AB761,W761+Variables!$B$16+Variables!$B$17-AB761))),""))</f>
        <v>5</v>
      </c>
      <c r="AD761" s="9" t="s">
        <v>107</v>
      </c>
      <c r="AE761" s="9" t="s">
        <v>364</v>
      </c>
      <c r="AF761" s="10"/>
      <c r="AG761" s="10"/>
      <c r="AH761" s="9"/>
      <c r="AI761" s="9" t="s">
        <v>1512</v>
      </c>
      <c r="AJ761" s="9" t="s">
        <v>385</v>
      </c>
      <c r="AK761" s="10">
        <v>45491</v>
      </c>
      <c r="AL761" s="10">
        <v>45495</v>
      </c>
      <c r="AM761" s="10">
        <v>45510</v>
      </c>
      <c r="AN761" s="9" t="s">
        <v>1492</v>
      </c>
      <c r="AO761" s="9"/>
      <c r="AP761" s="11">
        <f>IF($H761="Cancelled","",IFERROR(IF(OR(AK761="",AB761=""),"",(AB761+Variables!$B$18-AK761)),""))</f>
        <v>-13</v>
      </c>
      <c r="AQ761" s="11">
        <f>IF($H761="Cancelled","",IFERROR(IF(OR(AM761="",AK761=""),"",(AK761+Variables!$B$19)-AM761),""))</f>
        <v>-14</v>
      </c>
      <c r="AR761" s="12">
        <f>IF($H761="Cancelled","",IFERROR(T761*INDEX(Variables!$B$7:$D$7,IFERROR(MATCH(IF($B761="Robusta","Robusta",(IF($B761="","Arabica",$B761))&amp;" - "&amp;(IF($C761="","Commercial",$C761))),Variables!$B$1:$D$1,0),1))*(AQ761/365),""))</f>
        <v>-7.6095250284316407</v>
      </c>
      <c r="AS761" s="12">
        <f>IF($H761="Cancelled","",IFERROR((T761*INDEX(Variables!$B$7:$D$7,IFERROR(MATCH(IF($B761="Robusta","Robusta",(IF($B761="","Arabica",$B761))&amp;" - "&amp;(IF($C761="","Commercial",$C761))),Variables!$B$1:$D$1,0),1))*IFERROR(IF(W761="","",(AVERAGE(E761:F761)-W761)-Variables!$B$14),"")/365)+(L761/16.67*INDEX(Variables!$B$8:$D$8,IFERROR(MATCH(IF($B761="Robusta","Robusta",(IF($B761="","Arabica",$B761))&amp;" - "&amp;(IF($C761="","Commercial",$C761))),Variables!$B$1:$D$1,0),1))*IFERROR(IF(W761="","",(AVERAGE(E761:F761)-W761)-Variables!$B$14),""))+(T761*INDEX(Variables!$B$9:$D$9,IFERROR(MATCH(IF($B761="Robusta","Robusta",(IF($B761="","Arabica",$B761))&amp;" - "&amp;(IF($C761="","Commercial",$C761))),Variables!$B$1:$D$1,0),1))*IFERROR(IF(W761="","",(AVERAGE(E761:F761)-W761)-Variables!$B$14),"")/365),""))</f>
        <v>0.95054474938650835</v>
      </c>
      <c r="AT761" s="12">
        <f>IF($H761="Cancelled","",IFERROR((T761*INDEX(Variables!$B$7:$D$7,IFERROR(MATCH(IF($B761="Robusta","Robusta",(IF($B761="","Arabica",$B761))&amp;" - "&amp;(IF($C761="","Commercial",$C761))),Variables!$B$1:$D$1,0),1))*AC761/365)+(L761/16.67*INDEX(Variables!$B$8:$D$8,IFERROR(MATCH(IF($B761="Robusta","Robusta",(IF($B761="","Arabica",$B761))&amp;" - "&amp;(IF($C761="","Commercial",$C761))),Variables!$B$1:$D$1,0),1))*AC761)+(T761*INDEX(Variables!$B$9:$D$9,IFERROR(MATCH(IF($B761="Robusta","Robusta",(IF($B761="","Arabica",$B761))&amp;" - "&amp;(IF($C761="","Commercial",$C761))),Variables!$B$1:$D$1,0),1))*AC761/365),""))</f>
        <v>4.7527237469325412</v>
      </c>
      <c r="AU761" s="12">
        <f>IF($H761="Cancelled","",IFERROR((T761*INDEX(Variables!$B$7:$D$7,IFERROR(MATCH(IF($B761="Robusta","Robusta",(IF($B761="","Arabica",$B761))&amp;" - "&amp;(IF($C761="","Commercial",$C761))),Variables!$B$1:$D$1,0),1))*AP761/365)+(L761/16.67*INDEX(Variables!$B$8:$D$8,IFERROR(MATCH(IF($B761="Robusta","Robusta",(IF($B761="","Arabica",$B761))&amp;" - "&amp;(IF($C761="","Commercial",$C761))),Variables!$B$1:$D$1,0),1))*AP761)+(T761*INDEX(Variables!$B$9:$D$9,IFERROR(MATCH(IF($B761="Robusta","Robusta",(IF($B761="","Arabica",$B761))&amp;" - "&amp;(IF($C761="","Commercial",$C761))),Variables!$B$1:$D$1,0),1))*AP761/365),""))</f>
        <v>-12.357081742024608</v>
      </c>
      <c r="AV761" s="11">
        <f t="shared" si="75"/>
        <v>-48</v>
      </c>
      <c r="AW761" s="12">
        <f>IF($H761="Cancelled","",IFERROR(IF(AV761="","",(T761*INDEX(Variables!$B$7:$D$7,IFERROR(MATCH(IF($B761="Robusta","Robusta",(IF($B761="","Arabica",$B761))&amp;" - "&amp;(IF($C761="","Commercial",$C761))),Variables!$B$1:$D$1,0),1))*(AV761/365))+(T761*INDEX(Variables!$B$9:$D$9,IFERROR(MATCH(IF($B761="Robusta","Robusta",(IF($B761="","Arabica",$B761))&amp;" - "&amp;(IF($C761="","Commercial",$C761))),Variables!$B$1:$D$1,0),1))*(AV761/365))+(INDEX(Variables!$B$8:$D$8,IFERROR(MATCH(IF($B761="Robusta","Robusta",(IF($B761="","Arabica",$B761))&amp;" - "&amp;(IF($C761="","Commercial",$C761))),Variables!$B$1:$D$1,0),1))*L761/16.67)),""))</f>
        <v>-26.026147970552397</v>
      </c>
      <c r="AX761" s="9"/>
      <c r="AY761" s="12"/>
      <c r="AZ761" s="10"/>
      <c r="BA761" s="9"/>
      <c r="BB761" s="10"/>
      <c r="BC761" s="9"/>
      <c r="BD761" s="9"/>
      <c r="BE761" s="9"/>
      <c r="BF761" s="9"/>
    </row>
    <row r="762" spans="1:58" x14ac:dyDescent="0.25">
      <c r="A762" s="9" t="s">
        <v>84</v>
      </c>
      <c r="B762" s="9" t="s">
        <v>85</v>
      </c>
      <c r="C762" s="9" t="s">
        <v>1486</v>
      </c>
      <c r="D762" s="10">
        <v>45399</v>
      </c>
      <c r="E762" s="10">
        <v>45413</v>
      </c>
      <c r="F762" s="10">
        <v>45443</v>
      </c>
      <c r="G762" s="9">
        <v>3786313</v>
      </c>
      <c r="H762" s="9" t="str">
        <f t="shared" si="73"/>
        <v>Closed</v>
      </c>
      <c r="I762" s="9" t="str">
        <f t="shared" si="74"/>
        <v>All dates received</v>
      </c>
      <c r="J762" s="9" t="s">
        <v>1487</v>
      </c>
      <c r="K762" s="9" t="s">
        <v>1693</v>
      </c>
      <c r="L762" s="11">
        <v>8</v>
      </c>
      <c r="M762" s="9" t="s">
        <v>1694</v>
      </c>
      <c r="N762" s="9"/>
      <c r="O762" s="9"/>
      <c r="P762" s="9"/>
      <c r="Q762" s="11"/>
      <c r="R762" s="9" t="s">
        <v>195</v>
      </c>
      <c r="S762" s="9" t="s">
        <v>228</v>
      </c>
      <c r="T762" s="12">
        <f>IF($H762="Cancelled","",IFERROR(((Q762+INDEX(Variables!$B$6:$D$6,IFERROR(MATCH(IF($B762="Robusta","Robusta",(IF($B762="","Arabica",$B762))&amp;" - "&amp;(IF($C762="","Commercial",$C762))),Variables!$B$1:$D$1,0),1)))*22.0462)*(L762/16.67),""))</f>
        <v>3076.6814445110972</v>
      </c>
      <c r="U762" s="10"/>
      <c r="V762" s="9" t="str">
        <f t="shared" si="76"/>
        <v/>
      </c>
      <c r="W762" s="10">
        <v>45397</v>
      </c>
      <c r="X762" s="9" t="str">
        <f t="shared" si="77"/>
        <v>Approved</v>
      </c>
      <c r="Y762" s="10">
        <v>45461</v>
      </c>
      <c r="Z762" s="10">
        <f>IF($H762="Cancelled","",IFERROR(IF(F762="","",F762-Variables!$B$13),""))</f>
        <v>45428</v>
      </c>
      <c r="AA762" s="11">
        <f>IF($H762="Cancelled","",IFERROR(IF(W762="","",(AVERAGE(E762:F762)-W762)-Variables!$B$14),""))</f>
        <v>1</v>
      </c>
      <c r="AB762" s="10">
        <v>45471</v>
      </c>
      <c r="AC762" s="11">
        <f>IF($H762="Cancelled","",IFERROR(IF(AB762="","",IF(AND(W762="",Y762=""),"",IF(Y762&gt;W762,Y762+Variables!$B$15+Variables!$B$16+Variables!$B$17-AB762,W762+Variables!$B$16+Variables!$B$17-AB762))),""))</f>
        <v>5</v>
      </c>
      <c r="AD762" s="9" t="s">
        <v>107</v>
      </c>
      <c r="AE762" s="9" t="s">
        <v>364</v>
      </c>
      <c r="AF762" s="10"/>
      <c r="AG762" s="10"/>
      <c r="AH762" s="9"/>
      <c r="AI762" s="9" t="s">
        <v>1512</v>
      </c>
      <c r="AJ762" s="9" t="s">
        <v>385</v>
      </c>
      <c r="AK762" s="10">
        <v>45491</v>
      </c>
      <c r="AL762" s="10">
        <v>45495</v>
      </c>
      <c r="AM762" s="10">
        <v>45510</v>
      </c>
      <c r="AN762" s="9" t="s">
        <v>1492</v>
      </c>
      <c r="AO762" s="9"/>
      <c r="AP762" s="11">
        <f>IF($H762="Cancelled","",IFERROR(IF(OR(AK762="",AB762=""),"",(AB762+Variables!$B$18-AK762)),""))</f>
        <v>-13</v>
      </c>
      <c r="AQ762" s="11">
        <f>IF($H762="Cancelled","",IFERROR(IF(OR(AM762="",AK762=""),"",(AK762+Variables!$B$19)-AM762),""))</f>
        <v>-14</v>
      </c>
      <c r="AR762" s="12">
        <f>IF($H762="Cancelled","",IFERROR(T762*INDEX(Variables!$B$7:$D$7,IFERROR(MATCH(IF($B762="Robusta","Robusta",(IF($B762="","Arabica",$B762))&amp;" - "&amp;(IF($C762="","Commercial",$C762))),Variables!$B$1:$D$1,0),1))*(AQ762/365),""))</f>
        <v>-7.6095250284316407</v>
      </c>
      <c r="AS762" s="12">
        <f>IF($H762="Cancelled","",IFERROR((T762*INDEX(Variables!$B$7:$D$7,IFERROR(MATCH(IF($B762="Robusta","Robusta",(IF($B762="","Arabica",$B762))&amp;" - "&amp;(IF($C762="","Commercial",$C762))),Variables!$B$1:$D$1,0),1))*IFERROR(IF(W762="","",(AVERAGE(E762:F762)-W762)-Variables!$B$14),"")/365)+(L762/16.67*INDEX(Variables!$B$8:$D$8,IFERROR(MATCH(IF($B762="Robusta","Robusta",(IF($B762="","Arabica",$B762))&amp;" - "&amp;(IF($C762="","Commercial",$C762))),Variables!$B$1:$D$1,0),1))*IFERROR(IF(W762="","",(AVERAGE(E762:F762)-W762)-Variables!$B$14),""))+(T762*INDEX(Variables!$B$9:$D$9,IFERROR(MATCH(IF($B762="Robusta","Robusta",(IF($B762="","Arabica",$B762))&amp;" - "&amp;(IF($C762="","Commercial",$C762))),Variables!$B$1:$D$1,0),1))*IFERROR(IF(W762="","",(AVERAGE(E762:F762)-W762)-Variables!$B$14),"")/365),""))</f>
        <v>0.95054474938650835</v>
      </c>
      <c r="AT762" s="12">
        <f>IF($H762="Cancelled","",IFERROR((T762*INDEX(Variables!$B$7:$D$7,IFERROR(MATCH(IF($B762="Robusta","Robusta",(IF($B762="","Arabica",$B762))&amp;" - "&amp;(IF($C762="","Commercial",$C762))),Variables!$B$1:$D$1,0),1))*AC762/365)+(L762/16.67*INDEX(Variables!$B$8:$D$8,IFERROR(MATCH(IF($B762="Robusta","Robusta",(IF($B762="","Arabica",$B762))&amp;" - "&amp;(IF($C762="","Commercial",$C762))),Variables!$B$1:$D$1,0),1))*AC762)+(T762*INDEX(Variables!$B$9:$D$9,IFERROR(MATCH(IF($B762="Robusta","Robusta",(IF($B762="","Arabica",$B762))&amp;" - "&amp;(IF($C762="","Commercial",$C762))),Variables!$B$1:$D$1,0),1))*AC762/365),""))</f>
        <v>4.7527237469325412</v>
      </c>
      <c r="AU762" s="12">
        <f>IF($H762="Cancelled","",IFERROR((T762*INDEX(Variables!$B$7:$D$7,IFERROR(MATCH(IF($B762="Robusta","Robusta",(IF($B762="","Arabica",$B762))&amp;" - "&amp;(IF($C762="","Commercial",$C762))),Variables!$B$1:$D$1,0),1))*AP762/365)+(L762/16.67*INDEX(Variables!$B$8:$D$8,IFERROR(MATCH(IF($B762="Robusta","Robusta",(IF($B762="","Arabica",$B762))&amp;" - "&amp;(IF($C762="","Commercial",$C762))),Variables!$B$1:$D$1,0),1))*AP762)+(T762*INDEX(Variables!$B$9:$D$9,IFERROR(MATCH(IF($B762="Robusta","Robusta",(IF($B762="","Arabica",$B762))&amp;" - "&amp;(IF($C762="","Commercial",$C762))),Variables!$B$1:$D$1,0),1))*AP762/365),""))</f>
        <v>-12.357081742024608</v>
      </c>
      <c r="AV762" s="11">
        <f t="shared" si="75"/>
        <v>-48</v>
      </c>
      <c r="AW762" s="12">
        <f>IF($H762="Cancelled","",IFERROR(IF(AV762="","",(T762*INDEX(Variables!$B$7:$D$7,IFERROR(MATCH(IF($B762="Robusta","Robusta",(IF($B762="","Arabica",$B762))&amp;" - "&amp;(IF($C762="","Commercial",$C762))),Variables!$B$1:$D$1,0),1))*(AV762/365))+(T762*INDEX(Variables!$B$9:$D$9,IFERROR(MATCH(IF($B762="Robusta","Robusta",(IF($B762="","Arabica",$B762))&amp;" - "&amp;(IF($C762="","Commercial",$C762))),Variables!$B$1:$D$1,0),1))*(AV762/365))+(INDEX(Variables!$B$8:$D$8,IFERROR(MATCH(IF($B762="Robusta","Robusta",(IF($B762="","Arabica",$B762))&amp;" - "&amp;(IF($C762="","Commercial",$C762))),Variables!$B$1:$D$1,0),1))*L762/16.67)),""))</f>
        <v>-26.026147970552397</v>
      </c>
      <c r="AX762" s="9"/>
      <c r="AY762" s="12"/>
      <c r="AZ762" s="10"/>
      <c r="BA762" s="9"/>
      <c r="BB762" s="10"/>
      <c r="BC762" s="9"/>
      <c r="BD762" s="9"/>
      <c r="BE762" s="9"/>
      <c r="BF762" s="9"/>
    </row>
    <row r="763" spans="1:58" x14ac:dyDescent="0.25">
      <c r="A763" s="9" t="s">
        <v>84</v>
      </c>
      <c r="B763" s="9" t="s">
        <v>85</v>
      </c>
      <c r="C763" s="9" t="s">
        <v>1486</v>
      </c>
      <c r="D763" s="10">
        <v>45399</v>
      </c>
      <c r="E763" s="10">
        <v>45413</v>
      </c>
      <c r="F763" s="10">
        <v>45443</v>
      </c>
      <c r="G763" s="9">
        <v>3786314</v>
      </c>
      <c r="H763" s="9" t="str">
        <f t="shared" si="73"/>
        <v>Closed</v>
      </c>
      <c r="I763" s="9" t="str">
        <f t="shared" si="74"/>
        <v>All dates received</v>
      </c>
      <c r="J763" s="9" t="s">
        <v>1487</v>
      </c>
      <c r="K763" s="9" t="s">
        <v>1695</v>
      </c>
      <c r="L763" s="11">
        <v>8</v>
      </c>
      <c r="M763" s="9" t="s">
        <v>1696</v>
      </c>
      <c r="N763" s="9"/>
      <c r="O763" s="9"/>
      <c r="P763" s="9"/>
      <c r="Q763" s="11"/>
      <c r="R763" s="9" t="s">
        <v>195</v>
      </c>
      <c r="S763" s="9" t="s">
        <v>228</v>
      </c>
      <c r="T763" s="12">
        <f>IF($H763="Cancelled","",IFERROR(((Q763+INDEX(Variables!$B$6:$D$6,IFERROR(MATCH(IF($B763="Robusta","Robusta",(IF($B763="","Arabica",$B763))&amp;" - "&amp;(IF($C763="","Commercial",$C763))),Variables!$B$1:$D$1,0),1)))*22.0462)*(L763/16.67),""))</f>
        <v>3076.6814445110972</v>
      </c>
      <c r="U763" s="10"/>
      <c r="V763" s="9" t="str">
        <f t="shared" si="76"/>
        <v/>
      </c>
      <c r="W763" s="10">
        <v>45397</v>
      </c>
      <c r="X763" s="9" t="str">
        <f t="shared" si="77"/>
        <v>Approved</v>
      </c>
      <c r="Y763" s="10">
        <v>45461</v>
      </c>
      <c r="Z763" s="10">
        <f>IF($H763="Cancelled","",IFERROR(IF(F763="","",F763-Variables!$B$13),""))</f>
        <v>45428</v>
      </c>
      <c r="AA763" s="11">
        <f>IF($H763="Cancelled","",IFERROR(IF(W763="","",(AVERAGE(E763:F763)-W763)-Variables!$B$14),""))</f>
        <v>1</v>
      </c>
      <c r="AB763" s="10">
        <v>45471</v>
      </c>
      <c r="AC763" s="11">
        <f>IF($H763="Cancelled","",IFERROR(IF(AB763="","",IF(AND(W763="",Y763=""),"",IF(Y763&gt;W763,Y763+Variables!$B$15+Variables!$B$16+Variables!$B$17-AB763,W763+Variables!$B$16+Variables!$B$17-AB763))),""))</f>
        <v>5</v>
      </c>
      <c r="AD763" s="9" t="s">
        <v>107</v>
      </c>
      <c r="AE763" s="9" t="s">
        <v>364</v>
      </c>
      <c r="AF763" s="10"/>
      <c r="AG763" s="10"/>
      <c r="AH763" s="9"/>
      <c r="AI763" s="9" t="s">
        <v>1512</v>
      </c>
      <c r="AJ763" s="9" t="s">
        <v>385</v>
      </c>
      <c r="AK763" s="10">
        <v>45491</v>
      </c>
      <c r="AL763" s="10">
        <v>45495</v>
      </c>
      <c r="AM763" s="10">
        <v>45510</v>
      </c>
      <c r="AN763" s="9" t="s">
        <v>1492</v>
      </c>
      <c r="AO763" s="9"/>
      <c r="AP763" s="11">
        <f>IF($H763="Cancelled","",IFERROR(IF(OR(AK763="",AB763=""),"",(AB763+Variables!$B$18-AK763)),""))</f>
        <v>-13</v>
      </c>
      <c r="AQ763" s="11">
        <f>IF($H763="Cancelled","",IFERROR(IF(OR(AM763="",AK763=""),"",(AK763+Variables!$B$19)-AM763),""))</f>
        <v>-14</v>
      </c>
      <c r="AR763" s="12">
        <f>IF($H763="Cancelled","",IFERROR(T763*INDEX(Variables!$B$7:$D$7,IFERROR(MATCH(IF($B763="Robusta","Robusta",(IF($B763="","Arabica",$B763))&amp;" - "&amp;(IF($C763="","Commercial",$C763))),Variables!$B$1:$D$1,0),1))*(AQ763/365),""))</f>
        <v>-7.6095250284316407</v>
      </c>
      <c r="AS763" s="12">
        <f>IF($H763="Cancelled","",IFERROR((T763*INDEX(Variables!$B$7:$D$7,IFERROR(MATCH(IF($B763="Robusta","Robusta",(IF($B763="","Arabica",$B763))&amp;" - "&amp;(IF($C763="","Commercial",$C763))),Variables!$B$1:$D$1,0),1))*IFERROR(IF(W763="","",(AVERAGE(E763:F763)-W763)-Variables!$B$14),"")/365)+(L763/16.67*INDEX(Variables!$B$8:$D$8,IFERROR(MATCH(IF($B763="Robusta","Robusta",(IF($B763="","Arabica",$B763))&amp;" - "&amp;(IF($C763="","Commercial",$C763))),Variables!$B$1:$D$1,0),1))*IFERROR(IF(W763="","",(AVERAGE(E763:F763)-W763)-Variables!$B$14),""))+(T763*INDEX(Variables!$B$9:$D$9,IFERROR(MATCH(IF($B763="Robusta","Robusta",(IF($B763="","Arabica",$B763))&amp;" - "&amp;(IF($C763="","Commercial",$C763))),Variables!$B$1:$D$1,0),1))*IFERROR(IF(W763="","",(AVERAGE(E763:F763)-W763)-Variables!$B$14),"")/365),""))</f>
        <v>0.95054474938650835</v>
      </c>
      <c r="AT763" s="12">
        <f>IF($H763="Cancelled","",IFERROR((T763*INDEX(Variables!$B$7:$D$7,IFERROR(MATCH(IF($B763="Robusta","Robusta",(IF($B763="","Arabica",$B763))&amp;" - "&amp;(IF($C763="","Commercial",$C763))),Variables!$B$1:$D$1,0),1))*AC763/365)+(L763/16.67*INDEX(Variables!$B$8:$D$8,IFERROR(MATCH(IF($B763="Robusta","Robusta",(IF($B763="","Arabica",$B763))&amp;" - "&amp;(IF($C763="","Commercial",$C763))),Variables!$B$1:$D$1,0),1))*AC763)+(T763*INDEX(Variables!$B$9:$D$9,IFERROR(MATCH(IF($B763="Robusta","Robusta",(IF($B763="","Arabica",$B763))&amp;" - "&amp;(IF($C763="","Commercial",$C763))),Variables!$B$1:$D$1,0),1))*AC763/365),""))</f>
        <v>4.7527237469325412</v>
      </c>
      <c r="AU763" s="12">
        <f>IF($H763="Cancelled","",IFERROR((T763*INDEX(Variables!$B$7:$D$7,IFERROR(MATCH(IF($B763="Robusta","Robusta",(IF($B763="","Arabica",$B763))&amp;" - "&amp;(IF($C763="","Commercial",$C763))),Variables!$B$1:$D$1,0),1))*AP763/365)+(L763/16.67*INDEX(Variables!$B$8:$D$8,IFERROR(MATCH(IF($B763="Robusta","Robusta",(IF($B763="","Arabica",$B763))&amp;" - "&amp;(IF($C763="","Commercial",$C763))),Variables!$B$1:$D$1,0),1))*AP763)+(T763*INDEX(Variables!$B$9:$D$9,IFERROR(MATCH(IF($B763="Robusta","Robusta",(IF($B763="","Arabica",$B763))&amp;" - "&amp;(IF($C763="","Commercial",$C763))),Variables!$B$1:$D$1,0),1))*AP763/365),""))</f>
        <v>-12.357081742024608</v>
      </c>
      <c r="AV763" s="11">
        <f t="shared" si="75"/>
        <v>-48</v>
      </c>
      <c r="AW763" s="12">
        <f>IF($H763="Cancelled","",IFERROR(IF(AV763="","",(T763*INDEX(Variables!$B$7:$D$7,IFERROR(MATCH(IF($B763="Robusta","Robusta",(IF($B763="","Arabica",$B763))&amp;" - "&amp;(IF($C763="","Commercial",$C763))),Variables!$B$1:$D$1,0),1))*(AV763/365))+(T763*INDEX(Variables!$B$9:$D$9,IFERROR(MATCH(IF($B763="Robusta","Robusta",(IF($B763="","Arabica",$B763))&amp;" - "&amp;(IF($C763="","Commercial",$C763))),Variables!$B$1:$D$1,0),1))*(AV763/365))+(INDEX(Variables!$B$8:$D$8,IFERROR(MATCH(IF($B763="Robusta","Robusta",(IF($B763="","Arabica",$B763))&amp;" - "&amp;(IF($C763="","Commercial",$C763))),Variables!$B$1:$D$1,0),1))*L763/16.67)),""))</f>
        <v>-26.026147970552397</v>
      </c>
      <c r="AX763" s="9"/>
      <c r="AY763" s="12"/>
      <c r="AZ763" s="10"/>
      <c r="BA763" s="9"/>
      <c r="BB763" s="10"/>
      <c r="BC763" s="9"/>
      <c r="BD763" s="9"/>
      <c r="BE763" s="9"/>
      <c r="BF763" s="9"/>
    </row>
    <row r="764" spans="1:58" x14ac:dyDescent="0.25">
      <c r="A764" s="9" t="s">
        <v>84</v>
      </c>
      <c r="B764" s="9" t="s">
        <v>85</v>
      </c>
      <c r="C764" s="9" t="s">
        <v>1486</v>
      </c>
      <c r="D764" s="10">
        <v>45399</v>
      </c>
      <c r="E764" s="10">
        <v>45413</v>
      </c>
      <c r="F764" s="10">
        <v>45443</v>
      </c>
      <c r="G764" s="9">
        <v>3786315</v>
      </c>
      <c r="H764" s="9" t="str">
        <f t="shared" si="73"/>
        <v>Closed</v>
      </c>
      <c r="I764" s="9" t="str">
        <f t="shared" si="74"/>
        <v>All dates received</v>
      </c>
      <c r="J764" s="9" t="s">
        <v>1487</v>
      </c>
      <c r="K764" s="9" t="s">
        <v>1697</v>
      </c>
      <c r="L764" s="11">
        <v>8</v>
      </c>
      <c r="M764" s="9" t="s">
        <v>1698</v>
      </c>
      <c r="N764" s="9"/>
      <c r="O764" s="9"/>
      <c r="P764" s="9"/>
      <c r="Q764" s="11"/>
      <c r="R764" s="9" t="s">
        <v>195</v>
      </c>
      <c r="S764" s="9" t="s">
        <v>228</v>
      </c>
      <c r="T764" s="12">
        <f>IF($H764="Cancelled","",IFERROR(((Q764+INDEX(Variables!$B$6:$D$6,IFERROR(MATCH(IF($B764="Robusta","Robusta",(IF($B764="","Arabica",$B764))&amp;" - "&amp;(IF($C764="","Commercial",$C764))),Variables!$B$1:$D$1,0),1)))*22.0462)*(L764/16.67),""))</f>
        <v>3076.6814445110972</v>
      </c>
      <c r="U764" s="10"/>
      <c r="V764" s="9" t="str">
        <f t="shared" si="76"/>
        <v/>
      </c>
      <c r="W764" s="10">
        <v>45397</v>
      </c>
      <c r="X764" s="9" t="str">
        <f t="shared" si="77"/>
        <v>Approved</v>
      </c>
      <c r="Y764" s="10">
        <v>45461</v>
      </c>
      <c r="Z764" s="10">
        <f>IF($H764="Cancelled","",IFERROR(IF(F764="","",F764-Variables!$B$13),""))</f>
        <v>45428</v>
      </c>
      <c r="AA764" s="11">
        <f>IF($H764="Cancelled","",IFERROR(IF(W764="","",(AVERAGE(E764:F764)-W764)-Variables!$B$14),""))</f>
        <v>1</v>
      </c>
      <c r="AB764" s="10">
        <v>45471</v>
      </c>
      <c r="AC764" s="11">
        <f>IF($H764="Cancelled","",IFERROR(IF(AB764="","",IF(AND(W764="",Y764=""),"",IF(Y764&gt;W764,Y764+Variables!$B$15+Variables!$B$16+Variables!$B$17-AB764,W764+Variables!$B$16+Variables!$B$17-AB764))),""))</f>
        <v>5</v>
      </c>
      <c r="AD764" s="9" t="s">
        <v>107</v>
      </c>
      <c r="AE764" s="9" t="s">
        <v>364</v>
      </c>
      <c r="AF764" s="10"/>
      <c r="AG764" s="10"/>
      <c r="AH764" s="9"/>
      <c r="AI764" s="9" t="s">
        <v>1512</v>
      </c>
      <c r="AJ764" s="9" t="s">
        <v>385</v>
      </c>
      <c r="AK764" s="10">
        <v>45491</v>
      </c>
      <c r="AL764" s="10">
        <v>45495</v>
      </c>
      <c r="AM764" s="10">
        <v>45510</v>
      </c>
      <c r="AN764" s="9" t="s">
        <v>1492</v>
      </c>
      <c r="AO764" s="9"/>
      <c r="AP764" s="11">
        <f>IF($H764="Cancelled","",IFERROR(IF(OR(AK764="",AB764=""),"",(AB764+Variables!$B$18-AK764)),""))</f>
        <v>-13</v>
      </c>
      <c r="AQ764" s="11">
        <f>IF($H764="Cancelled","",IFERROR(IF(OR(AM764="",AK764=""),"",(AK764+Variables!$B$19)-AM764),""))</f>
        <v>-14</v>
      </c>
      <c r="AR764" s="12">
        <f>IF($H764="Cancelled","",IFERROR(T764*INDEX(Variables!$B$7:$D$7,IFERROR(MATCH(IF($B764="Robusta","Robusta",(IF($B764="","Arabica",$B764))&amp;" - "&amp;(IF($C764="","Commercial",$C764))),Variables!$B$1:$D$1,0),1))*(AQ764/365),""))</f>
        <v>-7.6095250284316407</v>
      </c>
      <c r="AS764" s="12">
        <f>IF($H764="Cancelled","",IFERROR((T764*INDEX(Variables!$B$7:$D$7,IFERROR(MATCH(IF($B764="Robusta","Robusta",(IF($B764="","Arabica",$B764))&amp;" - "&amp;(IF($C764="","Commercial",$C764))),Variables!$B$1:$D$1,0),1))*IFERROR(IF(W764="","",(AVERAGE(E764:F764)-W764)-Variables!$B$14),"")/365)+(L764/16.67*INDEX(Variables!$B$8:$D$8,IFERROR(MATCH(IF($B764="Robusta","Robusta",(IF($B764="","Arabica",$B764))&amp;" - "&amp;(IF($C764="","Commercial",$C764))),Variables!$B$1:$D$1,0),1))*IFERROR(IF(W764="","",(AVERAGE(E764:F764)-W764)-Variables!$B$14),""))+(T764*INDEX(Variables!$B$9:$D$9,IFERROR(MATCH(IF($B764="Robusta","Robusta",(IF($B764="","Arabica",$B764))&amp;" - "&amp;(IF($C764="","Commercial",$C764))),Variables!$B$1:$D$1,0),1))*IFERROR(IF(W764="","",(AVERAGE(E764:F764)-W764)-Variables!$B$14),"")/365),""))</f>
        <v>0.95054474938650835</v>
      </c>
      <c r="AT764" s="12">
        <f>IF($H764="Cancelled","",IFERROR((T764*INDEX(Variables!$B$7:$D$7,IFERROR(MATCH(IF($B764="Robusta","Robusta",(IF($B764="","Arabica",$B764))&amp;" - "&amp;(IF($C764="","Commercial",$C764))),Variables!$B$1:$D$1,0),1))*AC764/365)+(L764/16.67*INDEX(Variables!$B$8:$D$8,IFERROR(MATCH(IF($B764="Robusta","Robusta",(IF($B764="","Arabica",$B764))&amp;" - "&amp;(IF($C764="","Commercial",$C764))),Variables!$B$1:$D$1,0),1))*AC764)+(T764*INDEX(Variables!$B$9:$D$9,IFERROR(MATCH(IF($B764="Robusta","Robusta",(IF($B764="","Arabica",$B764))&amp;" - "&amp;(IF($C764="","Commercial",$C764))),Variables!$B$1:$D$1,0),1))*AC764/365),""))</f>
        <v>4.7527237469325412</v>
      </c>
      <c r="AU764" s="12">
        <f>IF($H764="Cancelled","",IFERROR((T764*INDEX(Variables!$B$7:$D$7,IFERROR(MATCH(IF($B764="Robusta","Robusta",(IF($B764="","Arabica",$B764))&amp;" - "&amp;(IF($C764="","Commercial",$C764))),Variables!$B$1:$D$1,0),1))*AP764/365)+(L764/16.67*INDEX(Variables!$B$8:$D$8,IFERROR(MATCH(IF($B764="Robusta","Robusta",(IF($B764="","Arabica",$B764))&amp;" - "&amp;(IF($C764="","Commercial",$C764))),Variables!$B$1:$D$1,0),1))*AP764)+(T764*INDEX(Variables!$B$9:$D$9,IFERROR(MATCH(IF($B764="Robusta","Robusta",(IF($B764="","Arabica",$B764))&amp;" - "&amp;(IF($C764="","Commercial",$C764))),Variables!$B$1:$D$1,0),1))*AP764/365),""))</f>
        <v>-12.357081742024608</v>
      </c>
      <c r="AV764" s="11">
        <f t="shared" si="75"/>
        <v>-48</v>
      </c>
      <c r="AW764" s="12">
        <f>IF($H764="Cancelled","",IFERROR(IF(AV764="","",(T764*INDEX(Variables!$B$7:$D$7,IFERROR(MATCH(IF($B764="Robusta","Robusta",(IF($B764="","Arabica",$B764))&amp;" - "&amp;(IF($C764="","Commercial",$C764))),Variables!$B$1:$D$1,0),1))*(AV764/365))+(T764*INDEX(Variables!$B$9:$D$9,IFERROR(MATCH(IF($B764="Robusta","Robusta",(IF($B764="","Arabica",$B764))&amp;" - "&amp;(IF($C764="","Commercial",$C764))),Variables!$B$1:$D$1,0),1))*(AV764/365))+(INDEX(Variables!$B$8:$D$8,IFERROR(MATCH(IF($B764="Robusta","Robusta",(IF($B764="","Arabica",$B764))&amp;" - "&amp;(IF($C764="","Commercial",$C764))),Variables!$B$1:$D$1,0),1))*L764/16.67)),""))</f>
        <v>-26.026147970552397</v>
      </c>
      <c r="AX764" s="9"/>
      <c r="AY764" s="12"/>
      <c r="AZ764" s="10"/>
      <c r="BA764" s="9"/>
      <c r="BB764" s="10"/>
      <c r="BC764" s="9"/>
      <c r="BD764" s="9"/>
      <c r="BE764" s="9"/>
      <c r="BF764" s="9"/>
    </row>
    <row r="765" spans="1:58" x14ac:dyDescent="0.25">
      <c r="A765" s="9" t="s">
        <v>84</v>
      </c>
      <c r="B765" s="9" t="s">
        <v>85</v>
      </c>
      <c r="C765" s="9" t="s">
        <v>1486</v>
      </c>
      <c r="D765" s="10">
        <v>45399</v>
      </c>
      <c r="E765" s="10">
        <v>45413</v>
      </c>
      <c r="F765" s="10">
        <v>45443</v>
      </c>
      <c r="G765" s="9">
        <v>3786316</v>
      </c>
      <c r="H765" s="9" t="str">
        <f t="shared" si="73"/>
        <v>Closed</v>
      </c>
      <c r="I765" s="9" t="str">
        <f t="shared" si="74"/>
        <v>All dates received</v>
      </c>
      <c r="J765" s="9" t="s">
        <v>1487</v>
      </c>
      <c r="K765" s="9" t="s">
        <v>1699</v>
      </c>
      <c r="L765" s="11">
        <v>5</v>
      </c>
      <c r="M765" s="9" t="s">
        <v>1700</v>
      </c>
      <c r="N765" s="9"/>
      <c r="O765" s="9"/>
      <c r="P765" s="9"/>
      <c r="Q765" s="11"/>
      <c r="R765" s="9" t="s">
        <v>195</v>
      </c>
      <c r="S765" s="9" t="s">
        <v>228</v>
      </c>
      <c r="T765" s="12">
        <f>IF($H765="Cancelled","",IFERROR(((Q765+INDEX(Variables!$B$6:$D$6,IFERROR(MATCH(IF($B765="Robusta","Robusta",(IF($B765="","Arabica",$B765))&amp;" - "&amp;(IF($C765="","Commercial",$C765))),Variables!$B$1:$D$1,0),1)))*22.0462)*(L765/16.67),""))</f>
        <v>1922.925902819436</v>
      </c>
      <c r="U765" s="10"/>
      <c r="V765" s="9" t="str">
        <f t="shared" si="76"/>
        <v/>
      </c>
      <c r="W765" s="10">
        <v>45397</v>
      </c>
      <c r="X765" s="9" t="str">
        <f t="shared" si="77"/>
        <v>Approved</v>
      </c>
      <c r="Y765" s="10">
        <v>45461</v>
      </c>
      <c r="Z765" s="10">
        <f>IF($H765="Cancelled","",IFERROR(IF(F765="","",F765-Variables!$B$13),""))</f>
        <v>45428</v>
      </c>
      <c r="AA765" s="11">
        <f>IF($H765="Cancelled","",IFERROR(IF(W765="","",(AVERAGE(E765:F765)-W765)-Variables!$B$14),""))</f>
        <v>1</v>
      </c>
      <c r="AB765" s="10">
        <v>45471</v>
      </c>
      <c r="AC765" s="11">
        <f>IF($H765="Cancelled","",IFERROR(IF(AB765="","",IF(AND(W765="",Y765=""),"",IF(Y765&gt;W765,Y765+Variables!$B$15+Variables!$B$16+Variables!$B$17-AB765,W765+Variables!$B$16+Variables!$B$17-AB765))),""))</f>
        <v>5</v>
      </c>
      <c r="AD765" s="9" t="s">
        <v>107</v>
      </c>
      <c r="AE765" s="9" t="s">
        <v>364</v>
      </c>
      <c r="AF765" s="10"/>
      <c r="AG765" s="10"/>
      <c r="AH765" s="9"/>
      <c r="AI765" s="9" t="s">
        <v>1512</v>
      </c>
      <c r="AJ765" s="9" t="s">
        <v>385</v>
      </c>
      <c r="AK765" s="10">
        <v>45491</v>
      </c>
      <c r="AL765" s="10">
        <v>45495</v>
      </c>
      <c r="AM765" s="10">
        <v>45510</v>
      </c>
      <c r="AN765" s="9" t="s">
        <v>1492</v>
      </c>
      <c r="AO765" s="9"/>
      <c r="AP765" s="11">
        <f>IF($H765="Cancelled","",IFERROR(IF(OR(AK765="",AB765=""),"",(AB765+Variables!$B$18-AK765)),""))</f>
        <v>-13</v>
      </c>
      <c r="AQ765" s="11">
        <f>IF($H765="Cancelled","",IFERROR(IF(OR(AM765="",AK765=""),"",(AK765+Variables!$B$19)-AM765),""))</f>
        <v>-14</v>
      </c>
      <c r="AR765" s="12">
        <f>IF($H765="Cancelled","",IFERROR(T765*INDEX(Variables!$B$7:$D$7,IFERROR(MATCH(IF($B765="Robusta","Robusta",(IF($B765="","Arabica",$B765))&amp;" - "&amp;(IF($C765="","Commercial",$C765))),Variables!$B$1:$D$1,0),1))*(AQ765/365),""))</f>
        <v>-4.7559531427697763</v>
      </c>
      <c r="AS765" s="12">
        <f>IF($H765="Cancelled","",IFERROR((T765*INDEX(Variables!$B$7:$D$7,IFERROR(MATCH(IF($B765="Robusta","Robusta",(IF($B765="","Arabica",$B765))&amp;" - "&amp;(IF($C765="","Commercial",$C765))),Variables!$B$1:$D$1,0),1))*IFERROR(IF(W765="","",(AVERAGE(E765:F765)-W765)-Variables!$B$14),"")/365)+(L765/16.67*INDEX(Variables!$B$8:$D$8,IFERROR(MATCH(IF($B765="Robusta","Robusta",(IF($B765="","Arabica",$B765))&amp;" - "&amp;(IF($C765="","Commercial",$C765))),Variables!$B$1:$D$1,0),1))*IFERROR(IF(W765="","",(AVERAGE(E765:F765)-W765)-Variables!$B$14),""))+(T765*INDEX(Variables!$B$9:$D$9,IFERROR(MATCH(IF($B765="Robusta","Robusta",(IF($B765="","Arabica",$B765))&amp;" - "&amp;(IF($C765="","Commercial",$C765))),Variables!$B$1:$D$1,0),1))*IFERROR(IF(W765="","",(AVERAGE(E765:F765)-W765)-Variables!$B$14),"")/365),""))</f>
        <v>0.59409046836656776</v>
      </c>
      <c r="AT765" s="12">
        <f>IF($H765="Cancelled","",IFERROR((T765*INDEX(Variables!$B$7:$D$7,IFERROR(MATCH(IF($B765="Robusta","Robusta",(IF($B765="","Arabica",$B765))&amp;" - "&amp;(IF($C765="","Commercial",$C765))),Variables!$B$1:$D$1,0),1))*AC765/365)+(L765/16.67*INDEX(Variables!$B$8:$D$8,IFERROR(MATCH(IF($B765="Robusta","Robusta",(IF($B765="","Arabica",$B765))&amp;" - "&amp;(IF($C765="","Commercial",$C765))),Variables!$B$1:$D$1,0),1))*AC765)+(T765*INDEX(Variables!$B$9:$D$9,IFERROR(MATCH(IF($B765="Robusta","Robusta",(IF($B765="","Arabica",$B765))&amp;" - "&amp;(IF($C765="","Commercial",$C765))),Variables!$B$1:$D$1,0),1))*AC765/365),""))</f>
        <v>2.9704523418328388</v>
      </c>
      <c r="AU765" s="12">
        <f>IF($H765="Cancelled","",IFERROR((T765*INDEX(Variables!$B$7:$D$7,IFERROR(MATCH(IF($B765="Robusta","Robusta",(IF($B765="","Arabica",$B765))&amp;" - "&amp;(IF($C765="","Commercial",$C765))),Variables!$B$1:$D$1,0),1))*AP765/365)+(L765/16.67*INDEX(Variables!$B$8:$D$8,IFERROR(MATCH(IF($B765="Robusta","Robusta",(IF($B765="","Arabica",$B765))&amp;" - "&amp;(IF($C765="","Commercial",$C765))),Variables!$B$1:$D$1,0),1))*AP765)+(T765*INDEX(Variables!$B$9:$D$9,IFERROR(MATCH(IF($B765="Robusta","Robusta",(IF($B765="","Arabica",$B765))&amp;" - "&amp;(IF($C765="","Commercial",$C765))),Variables!$B$1:$D$1,0),1))*AP765/365),""))</f>
        <v>-7.7231760887653804</v>
      </c>
      <c r="AV765" s="11">
        <f t="shared" si="75"/>
        <v>-48</v>
      </c>
      <c r="AW765" s="12">
        <f>IF($H765="Cancelled","",IFERROR(IF(AV765="","",(T765*INDEX(Variables!$B$7:$D$7,IFERROR(MATCH(IF($B765="Robusta","Robusta",(IF($B765="","Arabica",$B765))&amp;" - "&amp;(IF($C765="","Commercial",$C765))),Variables!$B$1:$D$1,0),1))*(AV765/365))+(T765*INDEX(Variables!$B$9:$D$9,IFERROR(MATCH(IF($B765="Robusta","Robusta",(IF($B765="","Arabica",$B765))&amp;" - "&amp;(IF($C765="","Commercial",$C765))),Variables!$B$1:$D$1,0),1))*(AV765/365))+(INDEX(Variables!$B$8:$D$8,IFERROR(MATCH(IF($B765="Robusta","Robusta",(IF($B765="","Arabica",$B765))&amp;" - "&amp;(IF($C765="","Commercial",$C765))),Variables!$B$1:$D$1,0),1))*L765/16.67)),""))</f>
        <v>-16.266342481595252</v>
      </c>
      <c r="AX765" s="9"/>
      <c r="AY765" s="12"/>
      <c r="AZ765" s="10"/>
      <c r="BA765" s="9"/>
      <c r="BB765" s="10"/>
      <c r="BC765" s="9"/>
      <c r="BD765" s="9"/>
      <c r="BE765" s="9"/>
      <c r="BF765" s="9"/>
    </row>
    <row r="766" spans="1:58" x14ac:dyDescent="0.25">
      <c r="A766" s="9" t="s">
        <v>84</v>
      </c>
      <c r="B766" s="9" t="s">
        <v>85</v>
      </c>
      <c r="C766" s="9" t="s">
        <v>1486</v>
      </c>
      <c r="D766" s="10">
        <v>45399</v>
      </c>
      <c r="E766" s="10">
        <v>45413</v>
      </c>
      <c r="F766" s="10">
        <v>45443</v>
      </c>
      <c r="G766" s="9">
        <v>3786317</v>
      </c>
      <c r="H766" s="9" t="str">
        <f t="shared" si="73"/>
        <v>Closed</v>
      </c>
      <c r="I766" s="9" t="str">
        <f t="shared" si="74"/>
        <v>All dates received</v>
      </c>
      <c r="J766" s="9" t="s">
        <v>1487</v>
      </c>
      <c r="K766" s="9" t="s">
        <v>1701</v>
      </c>
      <c r="L766" s="11">
        <v>5</v>
      </c>
      <c r="M766" s="9" t="s">
        <v>1702</v>
      </c>
      <c r="N766" s="9"/>
      <c r="O766" s="9"/>
      <c r="P766" s="9"/>
      <c r="Q766" s="11"/>
      <c r="R766" s="9" t="s">
        <v>195</v>
      </c>
      <c r="S766" s="9" t="s">
        <v>228</v>
      </c>
      <c r="T766" s="12">
        <f>IF($H766="Cancelled","",IFERROR(((Q766+INDEX(Variables!$B$6:$D$6,IFERROR(MATCH(IF($B766="Robusta","Robusta",(IF($B766="","Arabica",$B766))&amp;" - "&amp;(IF($C766="","Commercial",$C766))),Variables!$B$1:$D$1,0),1)))*22.0462)*(L766/16.67),""))</f>
        <v>1922.925902819436</v>
      </c>
      <c r="U766" s="10"/>
      <c r="V766" s="9" t="str">
        <f t="shared" si="76"/>
        <v/>
      </c>
      <c r="W766" s="10">
        <v>45397</v>
      </c>
      <c r="X766" s="9" t="str">
        <f t="shared" si="77"/>
        <v>Approved</v>
      </c>
      <c r="Y766" s="10">
        <v>45461</v>
      </c>
      <c r="Z766" s="10">
        <f>IF($H766="Cancelled","",IFERROR(IF(F766="","",F766-Variables!$B$13),""))</f>
        <v>45428</v>
      </c>
      <c r="AA766" s="11">
        <f>IF($H766="Cancelled","",IFERROR(IF(W766="","",(AVERAGE(E766:F766)-W766)-Variables!$B$14),""))</f>
        <v>1</v>
      </c>
      <c r="AB766" s="10">
        <v>45471</v>
      </c>
      <c r="AC766" s="11">
        <f>IF($H766="Cancelled","",IFERROR(IF(AB766="","",IF(AND(W766="",Y766=""),"",IF(Y766&gt;W766,Y766+Variables!$B$15+Variables!$B$16+Variables!$B$17-AB766,W766+Variables!$B$16+Variables!$B$17-AB766))),""))</f>
        <v>5</v>
      </c>
      <c r="AD766" s="9" t="s">
        <v>107</v>
      </c>
      <c r="AE766" s="9" t="s">
        <v>364</v>
      </c>
      <c r="AF766" s="10"/>
      <c r="AG766" s="10"/>
      <c r="AH766" s="9"/>
      <c r="AI766" s="9" t="s">
        <v>1512</v>
      </c>
      <c r="AJ766" s="9" t="s">
        <v>385</v>
      </c>
      <c r="AK766" s="10">
        <v>45491</v>
      </c>
      <c r="AL766" s="10">
        <v>45495</v>
      </c>
      <c r="AM766" s="10">
        <v>45510</v>
      </c>
      <c r="AN766" s="9" t="s">
        <v>1492</v>
      </c>
      <c r="AO766" s="9"/>
      <c r="AP766" s="11">
        <f>IF($H766="Cancelled","",IFERROR(IF(OR(AK766="",AB766=""),"",(AB766+Variables!$B$18-AK766)),""))</f>
        <v>-13</v>
      </c>
      <c r="AQ766" s="11">
        <f>IF($H766="Cancelled","",IFERROR(IF(OR(AM766="",AK766=""),"",(AK766+Variables!$B$19)-AM766),""))</f>
        <v>-14</v>
      </c>
      <c r="AR766" s="12">
        <f>IF($H766="Cancelled","",IFERROR(T766*INDEX(Variables!$B$7:$D$7,IFERROR(MATCH(IF($B766="Robusta","Robusta",(IF($B766="","Arabica",$B766))&amp;" - "&amp;(IF($C766="","Commercial",$C766))),Variables!$B$1:$D$1,0),1))*(AQ766/365),""))</f>
        <v>-4.7559531427697763</v>
      </c>
      <c r="AS766" s="12">
        <f>IF($H766="Cancelled","",IFERROR((T766*INDEX(Variables!$B$7:$D$7,IFERROR(MATCH(IF($B766="Robusta","Robusta",(IF($B766="","Arabica",$B766))&amp;" - "&amp;(IF($C766="","Commercial",$C766))),Variables!$B$1:$D$1,0),1))*IFERROR(IF(W766="","",(AVERAGE(E766:F766)-W766)-Variables!$B$14),"")/365)+(L766/16.67*INDEX(Variables!$B$8:$D$8,IFERROR(MATCH(IF($B766="Robusta","Robusta",(IF($B766="","Arabica",$B766))&amp;" - "&amp;(IF($C766="","Commercial",$C766))),Variables!$B$1:$D$1,0),1))*IFERROR(IF(W766="","",(AVERAGE(E766:F766)-W766)-Variables!$B$14),""))+(T766*INDEX(Variables!$B$9:$D$9,IFERROR(MATCH(IF($B766="Robusta","Robusta",(IF($B766="","Arabica",$B766))&amp;" - "&amp;(IF($C766="","Commercial",$C766))),Variables!$B$1:$D$1,0),1))*IFERROR(IF(W766="","",(AVERAGE(E766:F766)-W766)-Variables!$B$14),"")/365),""))</f>
        <v>0.59409046836656776</v>
      </c>
      <c r="AT766" s="12">
        <f>IF($H766="Cancelled","",IFERROR((T766*INDEX(Variables!$B$7:$D$7,IFERROR(MATCH(IF($B766="Robusta","Robusta",(IF($B766="","Arabica",$B766))&amp;" - "&amp;(IF($C766="","Commercial",$C766))),Variables!$B$1:$D$1,0),1))*AC766/365)+(L766/16.67*INDEX(Variables!$B$8:$D$8,IFERROR(MATCH(IF($B766="Robusta","Robusta",(IF($B766="","Arabica",$B766))&amp;" - "&amp;(IF($C766="","Commercial",$C766))),Variables!$B$1:$D$1,0),1))*AC766)+(T766*INDEX(Variables!$B$9:$D$9,IFERROR(MATCH(IF($B766="Robusta","Robusta",(IF($B766="","Arabica",$B766))&amp;" - "&amp;(IF($C766="","Commercial",$C766))),Variables!$B$1:$D$1,0),1))*AC766/365),""))</f>
        <v>2.9704523418328388</v>
      </c>
      <c r="AU766" s="12">
        <f>IF($H766="Cancelled","",IFERROR((T766*INDEX(Variables!$B$7:$D$7,IFERROR(MATCH(IF($B766="Robusta","Robusta",(IF($B766="","Arabica",$B766))&amp;" - "&amp;(IF($C766="","Commercial",$C766))),Variables!$B$1:$D$1,0),1))*AP766/365)+(L766/16.67*INDEX(Variables!$B$8:$D$8,IFERROR(MATCH(IF($B766="Robusta","Robusta",(IF($B766="","Arabica",$B766))&amp;" - "&amp;(IF($C766="","Commercial",$C766))),Variables!$B$1:$D$1,0),1))*AP766)+(T766*INDEX(Variables!$B$9:$D$9,IFERROR(MATCH(IF($B766="Robusta","Robusta",(IF($B766="","Arabica",$B766))&amp;" - "&amp;(IF($C766="","Commercial",$C766))),Variables!$B$1:$D$1,0),1))*AP766/365),""))</f>
        <v>-7.7231760887653804</v>
      </c>
      <c r="AV766" s="11">
        <f t="shared" si="75"/>
        <v>-48</v>
      </c>
      <c r="AW766" s="12">
        <f>IF($H766="Cancelled","",IFERROR(IF(AV766="","",(T766*INDEX(Variables!$B$7:$D$7,IFERROR(MATCH(IF($B766="Robusta","Robusta",(IF($B766="","Arabica",$B766))&amp;" - "&amp;(IF($C766="","Commercial",$C766))),Variables!$B$1:$D$1,0),1))*(AV766/365))+(T766*INDEX(Variables!$B$9:$D$9,IFERROR(MATCH(IF($B766="Robusta","Robusta",(IF($B766="","Arabica",$B766))&amp;" - "&amp;(IF($C766="","Commercial",$C766))),Variables!$B$1:$D$1,0),1))*(AV766/365))+(INDEX(Variables!$B$8:$D$8,IFERROR(MATCH(IF($B766="Robusta","Robusta",(IF($B766="","Arabica",$B766))&amp;" - "&amp;(IF($C766="","Commercial",$C766))),Variables!$B$1:$D$1,0),1))*L766/16.67)),""))</f>
        <v>-16.266342481595252</v>
      </c>
      <c r="AX766" s="9"/>
      <c r="AY766" s="12"/>
      <c r="AZ766" s="10"/>
      <c r="BA766" s="9"/>
      <c r="BB766" s="10"/>
      <c r="BC766" s="9"/>
      <c r="BD766" s="9"/>
      <c r="BE766" s="9"/>
      <c r="BF766" s="9"/>
    </row>
    <row r="767" spans="1:58" x14ac:dyDescent="0.25">
      <c r="A767" s="9" t="s">
        <v>84</v>
      </c>
      <c r="B767" s="9" t="s">
        <v>85</v>
      </c>
      <c r="C767" s="9" t="s">
        <v>1486</v>
      </c>
      <c r="D767" s="10">
        <v>45401</v>
      </c>
      <c r="E767" s="10">
        <v>45413</v>
      </c>
      <c r="F767" s="10">
        <v>45443</v>
      </c>
      <c r="G767" s="9">
        <v>3786323</v>
      </c>
      <c r="H767" s="9" t="str">
        <f t="shared" si="73"/>
        <v>Closed</v>
      </c>
      <c r="I767" s="9" t="str">
        <f t="shared" si="74"/>
        <v>All dates received</v>
      </c>
      <c r="J767" s="9" t="s">
        <v>225</v>
      </c>
      <c r="K767" s="9">
        <v>4911</v>
      </c>
      <c r="L767" s="11">
        <v>15</v>
      </c>
      <c r="M767" s="9" t="s">
        <v>1703</v>
      </c>
      <c r="N767" s="9"/>
      <c r="O767" s="9"/>
      <c r="P767" s="9"/>
      <c r="Q767" s="11"/>
      <c r="R767" s="9" t="s">
        <v>195</v>
      </c>
      <c r="S767" s="9" t="s">
        <v>228</v>
      </c>
      <c r="T767" s="12">
        <f>IF($H767="Cancelled","",IFERROR(((Q767+INDEX(Variables!$B$6:$D$6,IFERROR(MATCH(IF($B767="Robusta","Robusta",(IF($B767="","Arabica",$B767))&amp;" - "&amp;(IF($C767="","Commercial",$C767))),Variables!$B$1:$D$1,0),1)))*22.0462)*(L767/16.67),""))</f>
        <v>5768.7777084583076</v>
      </c>
      <c r="U767" s="10"/>
      <c r="V767" s="9" t="str">
        <f t="shared" si="76"/>
        <v/>
      </c>
      <c r="W767" s="10">
        <v>45397</v>
      </c>
      <c r="X767" s="9" t="str">
        <f t="shared" si="77"/>
        <v>Approved</v>
      </c>
      <c r="Y767" s="10">
        <v>45400</v>
      </c>
      <c r="Z767" s="10">
        <f>IF($H767="Cancelled","",IFERROR(IF(F767="","",F767-Variables!$B$13),""))</f>
        <v>45428</v>
      </c>
      <c r="AA767" s="11">
        <f>IF($H767="Cancelled","",IFERROR(IF(W767="","",(AVERAGE(E767:F767)-W767)-Variables!$B$14),""))</f>
        <v>1</v>
      </c>
      <c r="AB767" s="10">
        <v>45425</v>
      </c>
      <c r="AC767" s="11">
        <f>IF($H767="Cancelled","",IFERROR(IF(AB767="","",IF(AND(W767="",Y767=""),"",IF(Y767&gt;W767,Y767+Variables!$B$15+Variables!$B$16+Variables!$B$17-AB767,W767+Variables!$B$16+Variables!$B$17-AB767))),""))</f>
        <v>-10</v>
      </c>
      <c r="AD767" s="9" t="s">
        <v>107</v>
      </c>
      <c r="AE767" s="9" t="s">
        <v>174</v>
      </c>
      <c r="AF767" s="10"/>
      <c r="AG767" s="10"/>
      <c r="AH767" s="9"/>
      <c r="AI767" s="9" t="s">
        <v>1637</v>
      </c>
      <c r="AJ767" s="9" t="s">
        <v>1595</v>
      </c>
      <c r="AK767" s="10">
        <v>45439</v>
      </c>
      <c r="AL767" s="10">
        <v>45441</v>
      </c>
      <c r="AM767" s="10">
        <v>45453</v>
      </c>
      <c r="AN767" s="9" t="s">
        <v>1492</v>
      </c>
      <c r="AO767" s="9"/>
      <c r="AP767" s="11">
        <f>IF($H767="Cancelled","",IFERROR(IF(OR(AK767="",AB767=""),"",(AB767+Variables!$B$18-AK767)),""))</f>
        <v>-7</v>
      </c>
      <c r="AQ767" s="11">
        <f>IF($H767="Cancelled","",IFERROR(IF(OR(AM767="",AK767=""),"",(AK767+Variables!$B$19)-AM767),""))</f>
        <v>-9</v>
      </c>
      <c r="AR767" s="12">
        <f>IF($H767="Cancelled","",IFERROR(T767*INDEX(Variables!$B$7:$D$7,IFERROR(MATCH(IF($B767="Robusta","Robusta",(IF($B767="","Arabica",$B767))&amp;" - "&amp;(IF($C767="","Commercial",$C767))),Variables!$B$1:$D$1,0),1))*(AQ767/365),""))</f>
        <v>-9.1721953467702821</v>
      </c>
      <c r="AS767" s="12">
        <f>IF($H767="Cancelled","",IFERROR((T767*INDEX(Variables!$B$7:$D$7,IFERROR(MATCH(IF($B767="Robusta","Robusta",(IF($B767="","Arabica",$B767))&amp;" - "&amp;(IF($C767="","Commercial",$C767))),Variables!$B$1:$D$1,0),1))*IFERROR(IF(W767="","",(AVERAGE(E767:F767)-W767)-Variables!$B$14),"")/365)+(L767/16.67*INDEX(Variables!$B$8:$D$8,IFERROR(MATCH(IF($B767="Robusta","Robusta",(IF($B767="","Arabica",$B767))&amp;" - "&amp;(IF($C767="","Commercial",$C767))),Variables!$B$1:$D$1,0),1))*IFERROR(IF(W767="","",(AVERAGE(E767:F767)-W767)-Variables!$B$14),""))+(T767*INDEX(Variables!$B$9:$D$9,IFERROR(MATCH(IF($B767="Robusta","Robusta",(IF($B767="","Arabica",$B767))&amp;" - "&amp;(IF($C767="","Commercial",$C767))),Variables!$B$1:$D$1,0),1))*IFERROR(IF(W767="","",(AVERAGE(E767:F767)-W767)-Variables!$B$14),"")/365),""))</f>
        <v>1.7822714050997033</v>
      </c>
      <c r="AT767" s="12">
        <f>IF($H767="Cancelled","",IFERROR((T767*INDEX(Variables!$B$7:$D$7,IFERROR(MATCH(IF($B767="Robusta","Robusta",(IF($B767="","Arabica",$B767))&amp;" - "&amp;(IF($C767="","Commercial",$C767))),Variables!$B$1:$D$1,0),1))*AC767/365)+(L767/16.67*INDEX(Variables!$B$8:$D$8,IFERROR(MATCH(IF($B767="Robusta","Robusta",(IF($B767="","Arabica",$B767))&amp;" - "&amp;(IF($C767="","Commercial",$C767))),Variables!$B$1:$D$1,0),1))*AC767)+(T767*INDEX(Variables!$B$9:$D$9,IFERROR(MATCH(IF($B767="Robusta","Robusta",(IF($B767="","Arabica",$B767))&amp;" - "&amp;(IF($C767="","Commercial",$C767))),Variables!$B$1:$D$1,0),1))*AC767/365),""))</f>
        <v>-17.822714050997032</v>
      </c>
      <c r="AU767" s="12">
        <f>IF($H767="Cancelled","",IFERROR((T767*INDEX(Variables!$B$7:$D$7,IFERROR(MATCH(IF($B767="Robusta","Robusta",(IF($B767="","Arabica",$B767))&amp;" - "&amp;(IF($C767="","Commercial",$C767))),Variables!$B$1:$D$1,0),1))*AP767/365)+(L767/16.67*INDEX(Variables!$B$8:$D$8,IFERROR(MATCH(IF($B767="Robusta","Robusta",(IF($B767="","Arabica",$B767))&amp;" - "&amp;(IF($C767="","Commercial",$C767))),Variables!$B$1:$D$1,0),1))*AP767)+(T767*INDEX(Variables!$B$9:$D$9,IFERROR(MATCH(IF($B767="Robusta","Robusta",(IF($B767="","Arabica",$B767))&amp;" - "&amp;(IF($C767="","Commercial",$C767))),Variables!$B$1:$D$1,0),1))*AP767/365),""))</f>
        <v>-12.475899835697923</v>
      </c>
      <c r="AV767" s="11">
        <f t="shared" si="75"/>
        <v>4</v>
      </c>
      <c r="AW767" s="12">
        <f>IF($H767="Cancelled","",IFERROR(IF(AV767="","",(T767*INDEX(Variables!$B$7:$D$7,IFERROR(MATCH(IF($B767="Robusta","Robusta",(IF($B767="","Arabica",$B767))&amp;" - "&amp;(IF($C767="","Commercial",$C767))),Variables!$B$1:$D$1,0),1))*(AV767/365))+(T767*INDEX(Variables!$B$9:$D$9,IFERROR(MATCH(IF($B767="Robusta","Robusta",(IF($B767="","Arabica",$B767))&amp;" - "&amp;(IF($C767="","Commercial",$C767))),Variables!$B$1:$D$1,0),1))*(AV767/365))+(INDEX(Variables!$B$8:$D$8,IFERROR(MATCH(IF($B767="Robusta","Robusta",(IF($B767="","Arabica",$B767))&amp;" - "&amp;(IF($C767="","Commercial",$C767))),Variables!$B$1:$D$1,0),1))*L767/16.67)),""))</f>
        <v>4.8790856203988131</v>
      </c>
      <c r="AX767" s="9"/>
      <c r="AY767" s="12"/>
      <c r="AZ767" s="10"/>
      <c r="BA767" s="9"/>
      <c r="BB767" s="10"/>
      <c r="BC767" s="9"/>
      <c r="BD767" s="9"/>
      <c r="BE767" s="9"/>
      <c r="BF767" s="9"/>
    </row>
    <row r="768" spans="1:58" x14ac:dyDescent="0.25">
      <c r="A768" s="9" t="s">
        <v>84</v>
      </c>
      <c r="B768" s="9" t="s">
        <v>85</v>
      </c>
      <c r="C768" s="9" t="s">
        <v>1486</v>
      </c>
      <c r="D768" s="10">
        <v>45401</v>
      </c>
      <c r="E768" s="10">
        <v>45413</v>
      </c>
      <c r="F768" s="10">
        <v>45443</v>
      </c>
      <c r="G768" s="9">
        <v>3786328</v>
      </c>
      <c r="H768" s="9" t="str">
        <f t="shared" si="73"/>
        <v>Closed</v>
      </c>
      <c r="I768" s="9" t="str">
        <f t="shared" si="74"/>
        <v>All dates received</v>
      </c>
      <c r="J768" s="9" t="s">
        <v>1592</v>
      </c>
      <c r="K768" s="9">
        <v>4922</v>
      </c>
      <c r="L768" s="11">
        <v>10</v>
      </c>
      <c r="M768" s="9" t="s">
        <v>1704</v>
      </c>
      <c r="N768" s="9"/>
      <c r="O768" s="9"/>
      <c r="P768" s="9"/>
      <c r="Q768" s="11"/>
      <c r="R768" s="9" t="s">
        <v>195</v>
      </c>
      <c r="S768" s="9" t="s">
        <v>578</v>
      </c>
      <c r="T768" s="12">
        <f>IF($H768="Cancelled","",IFERROR(((Q768+INDEX(Variables!$B$6:$D$6,IFERROR(MATCH(IF($B768="Robusta","Robusta",(IF($B768="","Arabica",$B768))&amp;" - "&amp;(IF($C768="","Commercial",$C768))),Variables!$B$1:$D$1,0),1)))*22.0462)*(L768/16.67),""))</f>
        <v>3845.8518056388721</v>
      </c>
      <c r="U768" s="10"/>
      <c r="V768" s="9" t="str">
        <f t="shared" si="76"/>
        <v/>
      </c>
      <c r="W768" s="10">
        <v>45397</v>
      </c>
      <c r="X768" s="9" t="str">
        <f t="shared" si="77"/>
        <v>Approved</v>
      </c>
      <c r="Y768" s="10">
        <v>45400</v>
      </c>
      <c r="Z768" s="10">
        <f>IF($H768="Cancelled","",IFERROR(IF(F768="","",F768-Variables!$B$13),""))</f>
        <v>45428</v>
      </c>
      <c r="AA768" s="11">
        <f>IF($H768="Cancelled","",IFERROR(IF(W768="","",(AVERAGE(E768:F768)-W768)-Variables!$B$14),""))</f>
        <v>1</v>
      </c>
      <c r="AB768" s="10">
        <v>45432</v>
      </c>
      <c r="AC768" s="11">
        <f>IF($H768="Cancelled","",IFERROR(IF(AB768="","",IF(AND(W768="",Y768=""),"",IF(Y768&gt;W768,Y768+Variables!$B$15+Variables!$B$16+Variables!$B$17-AB768,W768+Variables!$B$16+Variables!$B$17-AB768))),""))</f>
        <v>-17</v>
      </c>
      <c r="AD768" s="9" t="s">
        <v>180</v>
      </c>
      <c r="AE768" s="9" t="s">
        <v>181</v>
      </c>
      <c r="AF768" s="10"/>
      <c r="AG768" s="10"/>
      <c r="AH768" s="9"/>
      <c r="AI768" s="9" t="s">
        <v>1594</v>
      </c>
      <c r="AJ768" s="9" t="s">
        <v>1595</v>
      </c>
      <c r="AK768" s="10">
        <v>45442</v>
      </c>
      <c r="AL768" s="10">
        <v>45443</v>
      </c>
      <c r="AM768" s="10">
        <v>45453</v>
      </c>
      <c r="AN768" s="9" t="s">
        <v>1492</v>
      </c>
      <c r="AO768" s="9"/>
      <c r="AP768" s="11">
        <f>IF($H768="Cancelled","",IFERROR(IF(OR(AK768="",AB768=""),"",(AB768+Variables!$B$18-AK768)),""))</f>
        <v>-3</v>
      </c>
      <c r="AQ768" s="11">
        <f>IF($H768="Cancelled","",IFERROR(IF(OR(AM768="",AK768=""),"",(AK768+Variables!$B$19)-AM768),""))</f>
        <v>-6</v>
      </c>
      <c r="AR768" s="12">
        <f>IF($H768="Cancelled","",IFERROR(T768*INDEX(Variables!$B$7:$D$7,IFERROR(MATCH(IF($B768="Robusta","Robusta",(IF($B768="","Arabica",$B768))&amp;" - "&amp;(IF($C768="","Commercial",$C768))),Variables!$B$1:$D$1,0),1))*(AQ768/365),""))</f>
        <v>-4.0765312652312362</v>
      </c>
      <c r="AS768" s="12">
        <f>IF($H768="Cancelled","",IFERROR((T768*INDEX(Variables!$B$7:$D$7,IFERROR(MATCH(IF($B768="Robusta","Robusta",(IF($B768="","Arabica",$B768))&amp;" - "&amp;(IF($C768="","Commercial",$C768))),Variables!$B$1:$D$1,0),1))*IFERROR(IF(W768="","",(AVERAGE(E768:F768)-W768)-Variables!$B$14),"")/365)+(L768/16.67*INDEX(Variables!$B$8:$D$8,IFERROR(MATCH(IF($B768="Robusta","Robusta",(IF($B768="","Arabica",$B768))&amp;" - "&amp;(IF($C768="","Commercial",$C768))),Variables!$B$1:$D$1,0),1))*IFERROR(IF(W768="","",(AVERAGE(E768:F768)-W768)-Variables!$B$14),""))+(T768*INDEX(Variables!$B$9:$D$9,IFERROR(MATCH(IF($B768="Robusta","Robusta",(IF($B768="","Arabica",$B768))&amp;" - "&amp;(IF($C768="","Commercial",$C768))),Variables!$B$1:$D$1,0),1))*IFERROR(IF(W768="","",(AVERAGE(E768:F768)-W768)-Variables!$B$14),"")/365),""))</f>
        <v>1.1881809367331355</v>
      </c>
      <c r="AT768" s="12">
        <f>IF($H768="Cancelled","",IFERROR((T768*INDEX(Variables!$B$7:$D$7,IFERROR(MATCH(IF($B768="Robusta","Robusta",(IF($B768="","Arabica",$B768))&amp;" - "&amp;(IF($C768="","Commercial",$C768))),Variables!$B$1:$D$1,0),1))*AC768/365)+(L768/16.67*INDEX(Variables!$B$8:$D$8,IFERROR(MATCH(IF($B768="Robusta","Robusta",(IF($B768="","Arabica",$B768))&amp;" - "&amp;(IF($C768="","Commercial",$C768))),Variables!$B$1:$D$1,0),1))*AC768)+(T768*INDEX(Variables!$B$9:$D$9,IFERROR(MATCH(IF($B768="Robusta","Robusta",(IF($B768="","Arabica",$B768))&amp;" - "&amp;(IF($C768="","Commercial",$C768))),Variables!$B$1:$D$1,0),1))*AC768/365),""))</f>
        <v>-20.199075924463308</v>
      </c>
      <c r="AU768" s="12">
        <f>IF($H768="Cancelled","",IFERROR((T768*INDEX(Variables!$B$7:$D$7,IFERROR(MATCH(IF($B768="Robusta","Robusta",(IF($B768="","Arabica",$B768))&amp;" - "&amp;(IF($C768="","Commercial",$C768))),Variables!$B$1:$D$1,0),1))*AP768/365)+(L768/16.67*INDEX(Variables!$B$8:$D$8,IFERROR(MATCH(IF($B768="Robusta","Robusta",(IF($B768="","Arabica",$B768))&amp;" - "&amp;(IF($C768="","Commercial",$C768))),Variables!$B$1:$D$1,0),1))*AP768)+(T768*INDEX(Variables!$B$9:$D$9,IFERROR(MATCH(IF($B768="Robusta","Robusta",(IF($B768="","Arabica",$B768))&amp;" - "&amp;(IF($C768="","Commercial",$C768))),Variables!$B$1:$D$1,0),1))*AP768/365),""))</f>
        <v>-3.5645428101994066</v>
      </c>
      <c r="AV768" s="11">
        <f t="shared" si="75"/>
        <v>1</v>
      </c>
      <c r="AW768" s="12">
        <f>IF($H768="Cancelled","",IFERROR(IF(AV768="","",(T768*INDEX(Variables!$B$7:$D$7,IFERROR(MATCH(IF($B768="Robusta","Robusta",(IF($B768="","Arabica",$B768))&amp;" - "&amp;(IF($C768="","Commercial",$C768))),Variables!$B$1:$D$1,0),1))*(AV768/365))+(T768*INDEX(Variables!$B$9:$D$9,IFERROR(MATCH(IF($B768="Robusta","Robusta",(IF($B768="","Arabica",$B768))&amp;" - "&amp;(IF($C768="","Commercial",$C768))),Variables!$B$1:$D$1,0),1))*(AV768/365))+(INDEX(Variables!$B$8:$D$8,IFERROR(MATCH(IF($B768="Robusta","Robusta",(IF($B768="","Arabica",$B768))&amp;" - "&amp;(IF($C768="","Commercial",$C768))),Variables!$B$1:$D$1,0),1))*L768/16.67)),""))</f>
        <v>1.1881809367331355</v>
      </c>
      <c r="AX768" s="9"/>
      <c r="AY768" s="12"/>
      <c r="AZ768" s="10"/>
      <c r="BA768" s="9"/>
      <c r="BB768" s="10"/>
      <c r="BC768" s="9"/>
      <c r="BD768" s="9"/>
      <c r="BE768" s="9"/>
      <c r="BF768" s="9"/>
    </row>
    <row r="769" spans="1:58" x14ac:dyDescent="0.25">
      <c r="A769" s="9" t="s">
        <v>84</v>
      </c>
      <c r="B769" s="9" t="s">
        <v>85</v>
      </c>
      <c r="C769" s="9" t="s">
        <v>1486</v>
      </c>
      <c r="D769" s="10">
        <v>45401</v>
      </c>
      <c r="E769" s="10">
        <v>45413</v>
      </c>
      <c r="F769" s="10">
        <v>45443</v>
      </c>
      <c r="G769" s="9">
        <v>3786329</v>
      </c>
      <c r="H769" s="9" t="str">
        <f t="shared" si="73"/>
        <v>Closed</v>
      </c>
      <c r="I769" s="9" t="str">
        <f t="shared" si="74"/>
        <v>All dates received</v>
      </c>
      <c r="J769" s="9" t="s">
        <v>1592</v>
      </c>
      <c r="K769" s="9">
        <v>4923</v>
      </c>
      <c r="L769" s="11">
        <v>15</v>
      </c>
      <c r="M769" s="9" t="s">
        <v>1705</v>
      </c>
      <c r="N769" s="9"/>
      <c r="O769" s="9"/>
      <c r="P769" s="9"/>
      <c r="Q769" s="11"/>
      <c r="R769" s="9" t="s">
        <v>195</v>
      </c>
      <c r="S769" s="9" t="s">
        <v>578</v>
      </c>
      <c r="T769" s="12">
        <f>IF($H769="Cancelled","",IFERROR(((Q769+INDEX(Variables!$B$6:$D$6,IFERROR(MATCH(IF($B769="Robusta","Robusta",(IF($B769="","Arabica",$B769))&amp;" - "&amp;(IF($C769="","Commercial",$C769))),Variables!$B$1:$D$1,0),1)))*22.0462)*(L769/16.67),""))</f>
        <v>5768.7777084583076</v>
      </c>
      <c r="U769" s="10"/>
      <c r="V769" s="9" t="str">
        <f t="shared" si="76"/>
        <v/>
      </c>
      <c r="W769" s="10">
        <v>45397</v>
      </c>
      <c r="X769" s="9" t="str">
        <f t="shared" si="77"/>
        <v>Approved</v>
      </c>
      <c r="Y769" s="10">
        <v>45400</v>
      </c>
      <c r="Z769" s="10">
        <f>IF($H769="Cancelled","",IFERROR(IF(F769="","",F769-Variables!$B$13),""))</f>
        <v>45428</v>
      </c>
      <c r="AA769" s="11">
        <f>IF($H769="Cancelled","",IFERROR(IF(W769="","",(AVERAGE(E769:F769)-W769)-Variables!$B$14),""))</f>
        <v>1</v>
      </c>
      <c r="AB769" s="10">
        <v>45432</v>
      </c>
      <c r="AC769" s="11">
        <f>IF($H769="Cancelled","",IFERROR(IF(AB769="","",IF(AND(W769="",Y769=""),"",IF(Y769&gt;W769,Y769+Variables!$B$15+Variables!$B$16+Variables!$B$17-AB769,W769+Variables!$B$16+Variables!$B$17-AB769))),""))</f>
        <v>-17</v>
      </c>
      <c r="AD769" s="9" t="s">
        <v>180</v>
      </c>
      <c r="AE769" s="9" t="s">
        <v>181</v>
      </c>
      <c r="AF769" s="10"/>
      <c r="AG769" s="10"/>
      <c r="AH769" s="9"/>
      <c r="AI769" s="9" t="s">
        <v>1594</v>
      </c>
      <c r="AJ769" s="9" t="s">
        <v>1595</v>
      </c>
      <c r="AK769" s="10">
        <v>45442</v>
      </c>
      <c r="AL769" s="10">
        <v>45443</v>
      </c>
      <c r="AM769" s="10">
        <v>45453</v>
      </c>
      <c r="AN769" s="9" t="s">
        <v>1492</v>
      </c>
      <c r="AO769" s="9"/>
      <c r="AP769" s="11">
        <f>IF($H769="Cancelled","",IFERROR(IF(OR(AK769="",AB769=""),"",(AB769+Variables!$B$18-AK769)),""))</f>
        <v>-3</v>
      </c>
      <c r="AQ769" s="11">
        <f>IF($H769="Cancelled","",IFERROR(IF(OR(AM769="",AK769=""),"",(AK769+Variables!$B$19)-AM769),""))</f>
        <v>-6</v>
      </c>
      <c r="AR769" s="12">
        <f>IF($H769="Cancelled","",IFERROR(T769*INDEX(Variables!$B$7:$D$7,IFERROR(MATCH(IF($B769="Robusta","Robusta",(IF($B769="","Arabica",$B769))&amp;" - "&amp;(IF($C769="","Commercial",$C769))),Variables!$B$1:$D$1,0),1))*(AQ769/365),""))</f>
        <v>-6.1147968978468539</v>
      </c>
      <c r="AS769" s="12">
        <f>IF($H769="Cancelled","",IFERROR((T769*INDEX(Variables!$B$7:$D$7,IFERROR(MATCH(IF($B769="Robusta","Robusta",(IF($B769="","Arabica",$B769))&amp;" - "&amp;(IF($C769="","Commercial",$C769))),Variables!$B$1:$D$1,0),1))*IFERROR(IF(W769="","",(AVERAGE(E769:F769)-W769)-Variables!$B$14),"")/365)+(L769/16.67*INDEX(Variables!$B$8:$D$8,IFERROR(MATCH(IF($B769="Robusta","Robusta",(IF($B769="","Arabica",$B769))&amp;" - "&amp;(IF($C769="","Commercial",$C769))),Variables!$B$1:$D$1,0),1))*IFERROR(IF(W769="","",(AVERAGE(E769:F769)-W769)-Variables!$B$14),""))+(T769*INDEX(Variables!$B$9:$D$9,IFERROR(MATCH(IF($B769="Robusta","Robusta",(IF($B769="","Arabica",$B769))&amp;" - "&amp;(IF($C769="","Commercial",$C769))),Variables!$B$1:$D$1,0),1))*IFERROR(IF(W769="","",(AVERAGE(E769:F769)-W769)-Variables!$B$14),"")/365),""))</f>
        <v>1.7822714050997033</v>
      </c>
      <c r="AT769" s="12">
        <f>IF($H769="Cancelled","",IFERROR((T769*INDEX(Variables!$B$7:$D$7,IFERROR(MATCH(IF($B769="Robusta","Robusta",(IF($B769="","Arabica",$B769))&amp;" - "&amp;(IF($C769="","Commercial",$C769))),Variables!$B$1:$D$1,0),1))*AC769/365)+(L769/16.67*INDEX(Variables!$B$8:$D$8,IFERROR(MATCH(IF($B769="Robusta","Robusta",(IF($B769="","Arabica",$B769))&amp;" - "&amp;(IF($C769="","Commercial",$C769))),Variables!$B$1:$D$1,0),1))*AC769)+(T769*INDEX(Variables!$B$9:$D$9,IFERROR(MATCH(IF($B769="Robusta","Robusta",(IF($B769="","Arabica",$B769))&amp;" - "&amp;(IF($C769="","Commercial",$C769))),Variables!$B$1:$D$1,0),1))*AC769/365),""))</f>
        <v>-30.298613886694955</v>
      </c>
      <c r="AU769" s="12">
        <f>IF($H769="Cancelled","",IFERROR((T769*INDEX(Variables!$B$7:$D$7,IFERROR(MATCH(IF($B769="Robusta","Robusta",(IF($B769="","Arabica",$B769))&amp;" - "&amp;(IF($C769="","Commercial",$C769))),Variables!$B$1:$D$1,0),1))*AP769/365)+(L769/16.67*INDEX(Variables!$B$8:$D$8,IFERROR(MATCH(IF($B769="Robusta","Robusta",(IF($B769="","Arabica",$B769))&amp;" - "&amp;(IF($C769="","Commercial",$C769))),Variables!$B$1:$D$1,0),1))*AP769)+(T769*INDEX(Variables!$B$9:$D$9,IFERROR(MATCH(IF($B769="Robusta","Robusta",(IF($B769="","Arabica",$B769))&amp;" - "&amp;(IF($C769="","Commercial",$C769))),Variables!$B$1:$D$1,0),1))*AP769/365),""))</f>
        <v>-5.3468142152991103</v>
      </c>
      <c r="AV769" s="11">
        <f t="shared" si="75"/>
        <v>1</v>
      </c>
      <c r="AW769" s="12">
        <f>IF($H769="Cancelled","",IFERROR(IF(AV769="","",(T769*INDEX(Variables!$B$7:$D$7,IFERROR(MATCH(IF($B769="Robusta","Robusta",(IF($B769="","Arabica",$B769))&amp;" - "&amp;(IF($C769="","Commercial",$C769))),Variables!$B$1:$D$1,0),1))*(AV769/365))+(T769*INDEX(Variables!$B$9:$D$9,IFERROR(MATCH(IF($B769="Robusta","Robusta",(IF($B769="","Arabica",$B769))&amp;" - "&amp;(IF($C769="","Commercial",$C769))),Variables!$B$1:$D$1,0),1))*(AV769/365))+(INDEX(Variables!$B$8:$D$8,IFERROR(MATCH(IF($B769="Robusta","Robusta",(IF($B769="","Arabica",$B769))&amp;" - "&amp;(IF($C769="","Commercial",$C769))),Variables!$B$1:$D$1,0),1))*L769/16.67)),""))</f>
        <v>1.7822714050997033</v>
      </c>
      <c r="AX769" s="9"/>
      <c r="AY769" s="12"/>
      <c r="AZ769" s="10"/>
      <c r="BA769" s="9"/>
      <c r="BB769" s="10"/>
      <c r="BC769" s="9"/>
      <c r="BD769" s="9"/>
      <c r="BE769" s="9"/>
      <c r="BF769" s="9"/>
    </row>
    <row r="770" spans="1:58" x14ac:dyDescent="0.25">
      <c r="A770" s="9" t="s">
        <v>84</v>
      </c>
      <c r="B770" s="9" t="s">
        <v>85</v>
      </c>
      <c r="C770" s="9" t="s">
        <v>1486</v>
      </c>
      <c r="D770" s="10">
        <v>45401</v>
      </c>
      <c r="E770" s="10">
        <v>45413</v>
      </c>
      <c r="F770" s="10">
        <v>45443</v>
      </c>
      <c r="G770" s="9">
        <v>3786324</v>
      </c>
      <c r="H770" s="9" t="str">
        <f t="shared" ref="H770:H833" si="78">IF(ISNUMBER(SEARCH("cancel",AN770)),"Cancelled",IF(AND(AK770&lt;&gt;"",AL770&lt;&gt;"",AM770&lt;&gt;""),"Closed","Open"))</f>
        <v>Closed</v>
      </c>
      <c r="I770" s="9" t="str">
        <f t="shared" ref="I770:I833" si="79">IF(AND(AK770&lt;&gt;"",AL770&lt;&gt;"",AM770&lt;&gt;""),"All dates received",_xlfn.TEXTJOIN(" and ",TRUE(),IF(AK770="","No sailing date",""),IF(AL770="","No shipping advice sent",""),IF(AM770="","No docs dispatch date","")))</f>
        <v>All dates received</v>
      </c>
      <c r="J770" s="9" t="s">
        <v>257</v>
      </c>
      <c r="K770" s="9">
        <v>4935</v>
      </c>
      <c r="L770" s="11">
        <v>80</v>
      </c>
      <c r="M770" s="9" t="s">
        <v>1706</v>
      </c>
      <c r="N770" s="9"/>
      <c r="O770" s="9"/>
      <c r="P770" s="9"/>
      <c r="Q770" s="11"/>
      <c r="R770" s="9" t="s">
        <v>90</v>
      </c>
      <c r="S770" s="9" t="s">
        <v>1121</v>
      </c>
      <c r="T770" s="12">
        <f>IF($H770="Cancelled","",IFERROR(((Q770+INDEX(Variables!$B$6:$D$6,IFERROR(MATCH(IF($B770="Robusta","Robusta",(IF($B770="","Arabica",$B770))&amp;" - "&amp;(IF($C770="","Commercial",$C770))),Variables!$B$1:$D$1,0),1)))*22.0462)*(L770/16.67),""))</f>
        <v>30766.814445110977</v>
      </c>
      <c r="U770" s="10">
        <v>45412</v>
      </c>
      <c r="V770" s="9" t="str">
        <f t="shared" si="76"/>
        <v>Sent</v>
      </c>
      <c r="W770" s="10"/>
      <c r="X770" s="9" t="str">
        <f t="shared" si="77"/>
        <v/>
      </c>
      <c r="Y770" s="10"/>
      <c r="Z770" s="10">
        <f>IF($H770="Cancelled","",IFERROR(IF(F770="","",F770-Variables!$B$13),""))</f>
        <v>45428</v>
      </c>
      <c r="AA770" s="11" t="str">
        <f>IF($H770="Cancelled","",IFERROR(IF(W770="","",(AVERAGE(E770:F770)-W770)-Variables!$B$14),""))</f>
        <v/>
      </c>
      <c r="AB770" s="10">
        <v>45443</v>
      </c>
      <c r="AC770" s="11" t="str">
        <f>IF($H770="Cancelled","",IFERROR(IF(AB770="","",IF(AND(W770="",Y770=""),"",IF(Y770&gt;W770,Y770+Variables!$B$15+Variables!$B$16+Variables!$B$17-AB770,W770+Variables!$B$16+Variables!$B$17-AB770))),""))</f>
        <v/>
      </c>
      <c r="AD770" s="9" t="s">
        <v>165</v>
      </c>
      <c r="AE770" s="9" t="s">
        <v>184</v>
      </c>
      <c r="AF770" s="10"/>
      <c r="AG770" s="10"/>
      <c r="AH770" s="9"/>
      <c r="AI770" s="9" t="s">
        <v>1576</v>
      </c>
      <c r="AJ770" s="9" t="s">
        <v>8</v>
      </c>
      <c r="AK770" s="10">
        <v>45454</v>
      </c>
      <c r="AL770" s="10">
        <v>45457</v>
      </c>
      <c r="AM770" s="10">
        <v>45463</v>
      </c>
      <c r="AN770" s="9" t="s">
        <v>1492</v>
      </c>
      <c r="AO770" s="9"/>
      <c r="AP770" s="11">
        <f>IF($H770="Cancelled","",IFERROR(IF(OR(AK770="",AB770=""),"",(AB770+Variables!$B$18-AK770)),""))</f>
        <v>-4</v>
      </c>
      <c r="AQ770" s="11">
        <f>IF($H770="Cancelled","",IFERROR(IF(OR(AM770="",AK770=""),"",(AK770+Variables!$B$19)-AM770),""))</f>
        <v>-4</v>
      </c>
      <c r="AR770" s="12">
        <f>IF($H770="Cancelled","",IFERROR(T770*INDEX(Variables!$B$7:$D$7,IFERROR(MATCH(IF($B770="Robusta","Robusta",(IF($B770="","Arabica",$B770))&amp;" - "&amp;(IF($C770="","Commercial",$C770))),Variables!$B$1:$D$1,0),1))*(AQ770/365),""))</f>
        <v>-21.741500081233262</v>
      </c>
      <c r="AS770" s="12" t="str">
        <f>IF($H770="Cancelled","",IFERROR((T770*INDEX(Variables!$B$7:$D$7,IFERROR(MATCH(IF($B770="Robusta","Robusta",(IF($B770="","Arabica",$B770))&amp;" - "&amp;(IF($C770="","Commercial",$C770))),Variables!$B$1:$D$1,0),1))*IFERROR(IF(W770="","",(AVERAGE(E770:F770)-W770)-Variables!$B$14),"")/365)+(L770/16.67*INDEX(Variables!$B$8:$D$8,IFERROR(MATCH(IF($B770="Robusta","Robusta",(IF($B770="","Arabica",$B770))&amp;" - "&amp;(IF($C770="","Commercial",$C770))),Variables!$B$1:$D$1,0),1))*IFERROR(IF(W770="","",(AVERAGE(E770:F770)-W770)-Variables!$B$14),""))+(T770*INDEX(Variables!$B$9:$D$9,IFERROR(MATCH(IF($B770="Robusta","Robusta",(IF($B770="","Arabica",$B770))&amp;" - "&amp;(IF($C770="","Commercial",$C770))),Variables!$B$1:$D$1,0),1))*IFERROR(IF(W770="","",(AVERAGE(E770:F770)-W770)-Variables!$B$14),"")/365),""))</f>
        <v/>
      </c>
      <c r="AT770" s="12" t="str">
        <f>IF($H770="Cancelled","",IFERROR((T770*INDEX(Variables!$B$7:$D$7,IFERROR(MATCH(IF($B770="Robusta","Robusta",(IF($B770="","Arabica",$B770))&amp;" - "&amp;(IF($C770="","Commercial",$C770))),Variables!$B$1:$D$1,0),1))*AC770/365)+(L770/16.67*INDEX(Variables!$B$8:$D$8,IFERROR(MATCH(IF($B770="Robusta","Robusta",(IF($B770="","Arabica",$B770))&amp;" - "&amp;(IF($C770="","Commercial",$C770))),Variables!$B$1:$D$1,0),1))*AC770)+(T770*INDEX(Variables!$B$9:$D$9,IFERROR(MATCH(IF($B770="Robusta","Robusta",(IF($B770="","Arabica",$B770))&amp;" - "&amp;(IF($C770="","Commercial",$C770))),Variables!$B$1:$D$1,0),1))*AC770/365),""))</f>
        <v/>
      </c>
      <c r="AU770" s="12">
        <f>IF($H770="Cancelled","",IFERROR((T770*INDEX(Variables!$B$7:$D$7,IFERROR(MATCH(IF($B770="Robusta","Robusta",(IF($B770="","Arabica",$B770))&amp;" - "&amp;(IF($C770="","Commercial",$C770))),Variables!$B$1:$D$1,0),1))*AP770/365)+(L770/16.67*INDEX(Variables!$B$8:$D$8,IFERROR(MATCH(IF($B770="Robusta","Robusta",(IF($B770="","Arabica",$B770))&amp;" - "&amp;(IF($C770="","Commercial",$C770))),Variables!$B$1:$D$1,0),1))*AP770)+(T770*INDEX(Variables!$B$9:$D$9,IFERROR(MATCH(IF($B770="Robusta","Robusta",(IF($B770="","Arabica",$B770))&amp;" - "&amp;(IF($C770="","Commercial",$C770))),Variables!$B$1:$D$1,0),1))*AP770/365),""))</f>
        <v>-38.021789975460337</v>
      </c>
      <c r="AV770" s="11">
        <f t="shared" ref="AV770:AV833" si="80">IF($H770="Cancelled","",IFERROR(IF(AK770="","",F770-AK770),""))</f>
        <v>-11</v>
      </c>
      <c r="AW770" s="12">
        <f>IF($H770="Cancelled","",IFERROR(IF(AV770="","",(T770*INDEX(Variables!$B$7:$D$7,IFERROR(MATCH(IF($B770="Robusta","Robusta",(IF($B770="","Arabica",$B770))&amp;" - "&amp;(IF($C770="","Commercial",$C770))),Variables!$B$1:$D$1,0),1))*(AV770/365))+(T770*INDEX(Variables!$B$9:$D$9,IFERROR(MATCH(IF($B770="Robusta","Robusta",(IF($B770="","Arabica",$B770))&amp;" - "&amp;(IF($C770="","Commercial",$C770))),Variables!$B$1:$D$1,0),1))*(AV770/365))+(INDEX(Variables!$B$8:$D$8,IFERROR(MATCH(IF($B770="Robusta","Robusta",(IF($B770="","Arabica",$B770))&amp;" - "&amp;(IF($C770="","Commercial",$C770))),Variables!$B$1:$D$1,0),1))*L770/16.67)),""))</f>
        <v>-56.559922432515933</v>
      </c>
      <c r="AX770" s="9"/>
      <c r="AY770" s="12"/>
      <c r="AZ770" s="10"/>
      <c r="BA770" s="9"/>
      <c r="BB770" s="10"/>
      <c r="BC770" s="9"/>
      <c r="BD770" s="9"/>
      <c r="BE770" s="9"/>
      <c r="BF770" s="9"/>
    </row>
    <row r="771" spans="1:58" x14ac:dyDescent="0.25">
      <c r="A771" s="9" t="s">
        <v>84</v>
      </c>
      <c r="B771" s="9" t="s">
        <v>85</v>
      </c>
      <c r="C771" s="9" t="s">
        <v>1486</v>
      </c>
      <c r="D771" s="10">
        <v>45401</v>
      </c>
      <c r="E771" s="10">
        <v>45413</v>
      </c>
      <c r="F771" s="10">
        <v>45443</v>
      </c>
      <c r="G771" s="9">
        <v>3786325</v>
      </c>
      <c r="H771" s="9" t="str">
        <f t="shared" si="78"/>
        <v>Closed</v>
      </c>
      <c r="I771" s="9" t="str">
        <f t="shared" si="79"/>
        <v>All dates received</v>
      </c>
      <c r="J771" s="9" t="s">
        <v>257</v>
      </c>
      <c r="K771" s="9">
        <v>4936</v>
      </c>
      <c r="L771" s="11">
        <v>60</v>
      </c>
      <c r="M771" s="9" t="s">
        <v>1707</v>
      </c>
      <c r="N771" s="9"/>
      <c r="O771" s="9"/>
      <c r="P771" s="9"/>
      <c r="Q771" s="11"/>
      <c r="R771" s="9" t="s">
        <v>90</v>
      </c>
      <c r="S771" s="9" t="s">
        <v>1121</v>
      </c>
      <c r="T771" s="12">
        <f>IF($H771="Cancelled","",IFERROR(((Q771+INDEX(Variables!$B$6:$D$6,IFERROR(MATCH(IF($B771="Robusta","Robusta",(IF($B771="","Arabica",$B771))&amp;" - "&amp;(IF($C771="","Commercial",$C771))),Variables!$B$1:$D$1,0),1)))*22.0462)*(L771/16.67),""))</f>
        <v>23075.110833833231</v>
      </c>
      <c r="U771" s="10">
        <v>45412</v>
      </c>
      <c r="V771" s="9" t="str">
        <f t="shared" si="76"/>
        <v>Sent</v>
      </c>
      <c r="W771" s="10"/>
      <c r="X771" s="9" t="str">
        <f t="shared" si="77"/>
        <v/>
      </c>
      <c r="Y771" s="10"/>
      <c r="Z771" s="10">
        <f>IF($H771="Cancelled","",IFERROR(IF(F771="","",F771-Variables!$B$13),""))</f>
        <v>45428</v>
      </c>
      <c r="AA771" s="11" t="str">
        <f>IF($H771="Cancelled","",IFERROR(IF(W771="","",(AVERAGE(E771:F771)-W771)-Variables!$B$14),""))</f>
        <v/>
      </c>
      <c r="AB771" s="10">
        <v>45443</v>
      </c>
      <c r="AC771" s="11" t="str">
        <f>IF($H771="Cancelled","",IFERROR(IF(AB771="","",IF(AND(W771="",Y771=""),"",IF(Y771&gt;W771,Y771+Variables!$B$15+Variables!$B$16+Variables!$B$17-AB771,W771+Variables!$B$16+Variables!$B$17-AB771))),""))</f>
        <v/>
      </c>
      <c r="AD771" s="9" t="s">
        <v>165</v>
      </c>
      <c r="AE771" s="9" t="s">
        <v>184</v>
      </c>
      <c r="AF771" s="10"/>
      <c r="AG771" s="10"/>
      <c r="AH771" s="9"/>
      <c r="AI771" s="9" t="s">
        <v>1576</v>
      </c>
      <c r="AJ771" s="9" t="s">
        <v>8</v>
      </c>
      <c r="AK771" s="10">
        <v>45454</v>
      </c>
      <c r="AL771" s="10">
        <v>45457</v>
      </c>
      <c r="AM771" s="10">
        <v>45463</v>
      </c>
      <c r="AN771" s="9" t="s">
        <v>1492</v>
      </c>
      <c r="AO771" s="9"/>
      <c r="AP771" s="11">
        <f>IF($H771="Cancelled","",IFERROR(IF(OR(AK771="",AB771=""),"",(AB771+Variables!$B$18-AK771)),""))</f>
        <v>-4</v>
      </c>
      <c r="AQ771" s="11">
        <f>IF($H771="Cancelled","",IFERROR(IF(OR(AM771="",AK771=""),"",(AK771+Variables!$B$19)-AM771),""))</f>
        <v>-4</v>
      </c>
      <c r="AR771" s="12">
        <f>IF($H771="Cancelled","",IFERROR(T771*INDEX(Variables!$B$7:$D$7,IFERROR(MATCH(IF($B771="Robusta","Robusta",(IF($B771="","Arabica",$B771))&amp;" - "&amp;(IF($C771="","Commercial",$C771))),Variables!$B$1:$D$1,0),1))*(AQ771/365),""))</f>
        <v>-16.306125060924945</v>
      </c>
      <c r="AS771" s="12" t="str">
        <f>IF($H771="Cancelled","",IFERROR((T771*INDEX(Variables!$B$7:$D$7,IFERROR(MATCH(IF($B771="Robusta","Robusta",(IF($B771="","Arabica",$B771))&amp;" - "&amp;(IF($C771="","Commercial",$C771))),Variables!$B$1:$D$1,0),1))*IFERROR(IF(W771="","",(AVERAGE(E771:F771)-W771)-Variables!$B$14),"")/365)+(L771/16.67*INDEX(Variables!$B$8:$D$8,IFERROR(MATCH(IF($B771="Robusta","Robusta",(IF($B771="","Arabica",$B771))&amp;" - "&amp;(IF($C771="","Commercial",$C771))),Variables!$B$1:$D$1,0),1))*IFERROR(IF(W771="","",(AVERAGE(E771:F771)-W771)-Variables!$B$14),""))+(T771*INDEX(Variables!$B$9:$D$9,IFERROR(MATCH(IF($B771="Robusta","Robusta",(IF($B771="","Arabica",$B771))&amp;" - "&amp;(IF($C771="","Commercial",$C771))),Variables!$B$1:$D$1,0),1))*IFERROR(IF(W771="","",(AVERAGE(E771:F771)-W771)-Variables!$B$14),"")/365),""))</f>
        <v/>
      </c>
      <c r="AT771" s="12" t="str">
        <f>IF($H771="Cancelled","",IFERROR((T771*INDEX(Variables!$B$7:$D$7,IFERROR(MATCH(IF($B771="Robusta","Robusta",(IF($B771="","Arabica",$B771))&amp;" - "&amp;(IF($C771="","Commercial",$C771))),Variables!$B$1:$D$1,0),1))*AC771/365)+(L771/16.67*INDEX(Variables!$B$8:$D$8,IFERROR(MATCH(IF($B771="Robusta","Robusta",(IF($B771="","Arabica",$B771))&amp;" - "&amp;(IF($C771="","Commercial",$C771))),Variables!$B$1:$D$1,0),1))*AC771)+(T771*INDEX(Variables!$B$9:$D$9,IFERROR(MATCH(IF($B771="Robusta","Robusta",(IF($B771="","Arabica",$B771))&amp;" - "&amp;(IF($C771="","Commercial",$C771))),Variables!$B$1:$D$1,0),1))*AC771/365),""))</f>
        <v/>
      </c>
      <c r="AU771" s="12">
        <f>IF($H771="Cancelled","",IFERROR((T771*INDEX(Variables!$B$7:$D$7,IFERROR(MATCH(IF($B771="Robusta","Robusta",(IF($B771="","Arabica",$B771))&amp;" - "&amp;(IF($C771="","Commercial",$C771))),Variables!$B$1:$D$1,0),1))*AP771/365)+(L771/16.67*INDEX(Variables!$B$8:$D$8,IFERROR(MATCH(IF($B771="Robusta","Robusta",(IF($B771="","Arabica",$B771))&amp;" - "&amp;(IF($C771="","Commercial",$C771))),Variables!$B$1:$D$1,0),1))*AP771)+(T771*INDEX(Variables!$B$9:$D$9,IFERROR(MATCH(IF($B771="Robusta","Robusta",(IF($B771="","Arabica",$B771))&amp;" - "&amp;(IF($C771="","Commercial",$C771))),Variables!$B$1:$D$1,0),1))*AP771/365),""))</f>
        <v>-28.516342481595252</v>
      </c>
      <c r="AV771" s="11">
        <f t="shared" si="80"/>
        <v>-11</v>
      </c>
      <c r="AW771" s="12">
        <f>IF($H771="Cancelled","",IFERROR(IF(AV771="","",(T771*INDEX(Variables!$B$7:$D$7,IFERROR(MATCH(IF($B771="Robusta","Robusta",(IF($B771="","Arabica",$B771))&amp;" - "&amp;(IF($C771="","Commercial",$C771))),Variables!$B$1:$D$1,0),1))*(AV771/365))+(T771*INDEX(Variables!$B$9:$D$9,IFERROR(MATCH(IF($B771="Robusta","Robusta",(IF($B771="","Arabica",$B771))&amp;" - "&amp;(IF($C771="","Commercial",$C771))),Variables!$B$1:$D$1,0),1))*(AV771/365))+(INDEX(Variables!$B$8:$D$8,IFERROR(MATCH(IF($B771="Robusta","Robusta",(IF($B771="","Arabica",$B771))&amp;" - "&amp;(IF($C771="","Commercial",$C771))),Variables!$B$1:$D$1,0),1))*L771/16.67)),""))</f>
        <v>-42.419941824386946</v>
      </c>
      <c r="AX771" s="9"/>
      <c r="AY771" s="12"/>
      <c r="AZ771" s="10"/>
      <c r="BA771" s="9"/>
      <c r="BB771" s="10"/>
      <c r="BC771" s="9"/>
      <c r="BD771" s="9"/>
      <c r="BE771" s="9"/>
      <c r="BF771" s="9"/>
    </row>
    <row r="772" spans="1:58" x14ac:dyDescent="0.25">
      <c r="A772" s="9" t="s">
        <v>84</v>
      </c>
      <c r="B772" s="9" t="s">
        <v>85</v>
      </c>
      <c r="C772" s="9" t="s">
        <v>1486</v>
      </c>
      <c r="D772" s="10">
        <v>45401</v>
      </c>
      <c r="E772" s="10">
        <v>45413</v>
      </c>
      <c r="F772" s="10">
        <v>45443</v>
      </c>
      <c r="G772" s="9">
        <v>3786326</v>
      </c>
      <c r="H772" s="9" t="str">
        <f t="shared" si="78"/>
        <v>Closed</v>
      </c>
      <c r="I772" s="9" t="str">
        <f t="shared" si="79"/>
        <v>All dates received</v>
      </c>
      <c r="J772" s="9" t="s">
        <v>257</v>
      </c>
      <c r="K772" s="9">
        <v>4937</v>
      </c>
      <c r="L772" s="11">
        <v>80</v>
      </c>
      <c r="M772" s="9" t="s">
        <v>1708</v>
      </c>
      <c r="N772" s="9"/>
      <c r="O772" s="9"/>
      <c r="P772" s="9"/>
      <c r="Q772" s="11"/>
      <c r="R772" s="9" t="s">
        <v>90</v>
      </c>
      <c r="S772" s="9" t="s">
        <v>1121</v>
      </c>
      <c r="T772" s="12">
        <f>IF($H772="Cancelled","",IFERROR(((Q772+INDEX(Variables!$B$6:$D$6,IFERROR(MATCH(IF($B772="Robusta","Robusta",(IF($B772="","Arabica",$B772))&amp;" - "&amp;(IF($C772="","Commercial",$C772))),Variables!$B$1:$D$1,0),1)))*22.0462)*(L772/16.67),""))</f>
        <v>30766.814445110977</v>
      </c>
      <c r="U772" s="10">
        <v>45412</v>
      </c>
      <c r="V772" s="9" t="str">
        <f t="shared" ref="V772:V835" si="81">IF(ISNUMBER(U772),"Sent","")</f>
        <v>Sent</v>
      </c>
      <c r="W772" s="10"/>
      <c r="X772" s="9" t="str">
        <f t="shared" si="77"/>
        <v/>
      </c>
      <c r="Y772" s="10"/>
      <c r="Z772" s="10">
        <f>IF($H772="Cancelled","",IFERROR(IF(F772="","",F772-Variables!$B$13),""))</f>
        <v>45428</v>
      </c>
      <c r="AA772" s="11" t="str">
        <f>IF($H772="Cancelled","",IFERROR(IF(W772="","",(AVERAGE(E772:F772)-W772)-Variables!$B$14),""))</f>
        <v/>
      </c>
      <c r="AB772" s="10">
        <v>45443</v>
      </c>
      <c r="AC772" s="11" t="str">
        <f>IF($H772="Cancelled","",IFERROR(IF(AB772="","",IF(AND(W772="",Y772=""),"",IF(Y772&gt;W772,Y772+Variables!$B$15+Variables!$B$16+Variables!$B$17-AB772,W772+Variables!$B$16+Variables!$B$17-AB772))),""))</f>
        <v/>
      </c>
      <c r="AD772" s="9" t="s">
        <v>165</v>
      </c>
      <c r="AE772" s="9" t="s">
        <v>184</v>
      </c>
      <c r="AF772" s="10"/>
      <c r="AG772" s="10"/>
      <c r="AH772" s="9"/>
      <c r="AI772" s="9" t="s">
        <v>1576</v>
      </c>
      <c r="AJ772" s="9" t="s">
        <v>8</v>
      </c>
      <c r="AK772" s="10">
        <v>45454</v>
      </c>
      <c r="AL772" s="10">
        <v>45457</v>
      </c>
      <c r="AM772" s="10">
        <v>45463</v>
      </c>
      <c r="AN772" s="9" t="s">
        <v>1492</v>
      </c>
      <c r="AO772" s="9"/>
      <c r="AP772" s="11">
        <f>IF($H772="Cancelled","",IFERROR(IF(OR(AK772="",AB772=""),"",(AB772+Variables!$B$18-AK772)),""))</f>
        <v>-4</v>
      </c>
      <c r="AQ772" s="11">
        <f>IF($H772="Cancelled","",IFERROR(IF(OR(AM772="",AK772=""),"",(AK772+Variables!$B$19)-AM772),""))</f>
        <v>-4</v>
      </c>
      <c r="AR772" s="12">
        <f>IF($H772="Cancelled","",IFERROR(T772*INDEX(Variables!$B$7:$D$7,IFERROR(MATCH(IF($B772="Robusta","Robusta",(IF($B772="","Arabica",$B772))&amp;" - "&amp;(IF($C772="","Commercial",$C772))),Variables!$B$1:$D$1,0),1))*(AQ772/365),""))</f>
        <v>-21.741500081233262</v>
      </c>
      <c r="AS772" s="12" t="str">
        <f>IF($H772="Cancelled","",IFERROR((T772*INDEX(Variables!$B$7:$D$7,IFERROR(MATCH(IF($B772="Robusta","Robusta",(IF($B772="","Arabica",$B772))&amp;" - "&amp;(IF($C772="","Commercial",$C772))),Variables!$B$1:$D$1,0),1))*IFERROR(IF(W772="","",(AVERAGE(E772:F772)-W772)-Variables!$B$14),"")/365)+(L772/16.67*INDEX(Variables!$B$8:$D$8,IFERROR(MATCH(IF($B772="Robusta","Robusta",(IF($B772="","Arabica",$B772))&amp;" - "&amp;(IF($C772="","Commercial",$C772))),Variables!$B$1:$D$1,0),1))*IFERROR(IF(W772="","",(AVERAGE(E772:F772)-W772)-Variables!$B$14),""))+(T772*INDEX(Variables!$B$9:$D$9,IFERROR(MATCH(IF($B772="Robusta","Robusta",(IF($B772="","Arabica",$B772))&amp;" - "&amp;(IF($C772="","Commercial",$C772))),Variables!$B$1:$D$1,0),1))*IFERROR(IF(W772="","",(AVERAGE(E772:F772)-W772)-Variables!$B$14),"")/365),""))</f>
        <v/>
      </c>
      <c r="AT772" s="12" t="str">
        <f>IF($H772="Cancelled","",IFERROR((T772*INDEX(Variables!$B$7:$D$7,IFERROR(MATCH(IF($B772="Robusta","Robusta",(IF($B772="","Arabica",$B772))&amp;" - "&amp;(IF($C772="","Commercial",$C772))),Variables!$B$1:$D$1,0),1))*AC772/365)+(L772/16.67*INDEX(Variables!$B$8:$D$8,IFERROR(MATCH(IF($B772="Robusta","Robusta",(IF($B772="","Arabica",$B772))&amp;" - "&amp;(IF($C772="","Commercial",$C772))),Variables!$B$1:$D$1,0),1))*AC772)+(T772*INDEX(Variables!$B$9:$D$9,IFERROR(MATCH(IF($B772="Robusta","Robusta",(IF($B772="","Arabica",$B772))&amp;" - "&amp;(IF($C772="","Commercial",$C772))),Variables!$B$1:$D$1,0),1))*AC772/365),""))</f>
        <v/>
      </c>
      <c r="AU772" s="12">
        <f>IF($H772="Cancelled","",IFERROR((T772*INDEX(Variables!$B$7:$D$7,IFERROR(MATCH(IF($B772="Robusta","Robusta",(IF($B772="","Arabica",$B772))&amp;" - "&amp;(IF($C772="","Commercial",$C772))),Variables!$B$1:$D$1,0),1))*AP772/365)+(L772/16.67*INDEX(Variables!$B$8:$D$8,IFERROR(MATCH(IF($B772="Robusta","Robusta",(IF($B772="","Arabica",$B772))&amp;" - "&amp;(IF($C772="","Commercial",$C772))),Variables!$B$1:$D$1,0),1))*AP772)+(T772*INDEX(Variables!$B$9:$D$9,IFERROR(MATCH(IF($B772="Robusta","Robusta",(IF($B772="","Arabica",$B772))&amp;" - "&amp;(IF($C772="","Commercial",$C772))),Variables!$B$1:$D$1,0),1))*AP772/365),""))</f>
        <v>-38.021789975460337</v>
      </c>
      <c r="AV772" s="11">
        <f t="shared" si="80"/>
        <v>-11</v>
      </c>
      <c r="AW772" s="12">
        <f>IF($H772="Cancelled","",IFERROR(IF(AV772="","",(T772*INDEX(Variables!$B$7:$D$7,IFERROR(MATCH(IF($B772="Robusta","Robusta",(IF($B772="","Arabica",$B772))&amp;" - "&amp;(IF($C772="","Commercial",$C772))),Variables!$B$1:$D$1,0),1))*(AV772/365))+(T772*INDEX(Variables!$B$9:$D$9,IFERROR(MATCH(IF($B772="Robusta","Robusta",(IF($B772="","Arabica",$B772))&amp;" - "&amp;(IF($C772="","Commercial",$C772))),Variables!$B$1:$D$1,0),1))*(AV772/365))+(INDEX(Variables!$B$8:$D$8,IFERROR(MATCH(IF($B772="Robusta","Robusta",(IF($B772="","Arabica",$B772))&amp;" - "&amp;(IF($C772="","Commercial",$C772))),Variables!$B$1:$D$1,0),1))*L772/16.67)),""))</f>
        <v>-56.559922432515933</v>
      </c>
      <c r="AX772" s="9"/>
      <c r="AY772" s="12"/>
      <c r="AZ772" s="10"/>
      <c r="BA772" s="9"/>
      <c r="BB772" s="10"/>
      <c r="BC772" s="9"/>
      <c r="BD772" s="9"/>
      <c r="BE772" s="9"/>
      <c r="BF772" s="9"/>
    </row>
    <row r="773" spans="1:58" x14ac:dyDescent="0.25">
      <c r="A773" s="9" t="s">
        <v>84</v>
      </c>
      <c r="B773" s="9" t="s">
        <v>85</v>
      </c>
      <c r="C773" s="9" t="s">
        <v>1486</v>
      </c>
      <c r="D773" s="10">
        <v>45401</v>
      </c>
      <c r="E773" s="10">
        <v>45413</v>
      </c>
      <c r="F773" s="10">
        <v>45443</v>
      </c>
      <c r="G773" s="9">
        <v>3786327</v>
      </c>
      <c r="H773" s="9" t="str">
        <f t="shared" si="78"/>
        <v>Closed</v>
      </c>
      <c r="I773" s="9" t="str">
        <f t="shared" si="79"/>
        <v>All dates received</v>
      </c>
      <c r="J773" s="9" t="s">
        <v>257</v>
      </c>
      <c r="K773" s="9">
        <v>4938</v>
      </c>
      <c r="L773" s="11">
        <v>40</v>
      </c>
      <c r="M773" s="9" t="s">
        <v>1709</v>
      </c>
      <c r="N773" s="9"/>
      <c r="O773" s="9"/>
      <c r="P773" s="9"/>
      <c r="Q773" s="11"/>
      <c r="R773" s="9" t="s">
        <v>90</v>
      </c>
      <c r="S773" s="9" t="s">
        <v>1121</v>
      </c>
      <c r="T773" s="12">
        <f>IF($H773="Cancelled","",IFERROR(((Q773+INDEX(Variables!$B$6:$D$6,IFERROR(MATCH(IF($B773="Robusta","Robusta",(IF($B773="","Arabica",$B773))&amp;" - "&amp;(IF($C773="","Commercial",$C773))),Variables!$B$1:$D$1,0),1)))*22.0462)*(L773/16.67),""))</f>
        <v>15383.407222555488</v>
      </c>
      <c r="U773" s="10">
        <v>45412</v>
      </c>
      <c r="V773" s="9" t="str">
        <f t="shared" si="81"/>
        <v>Sent</v>
      </c>
      <c r="W773" s="10"/>
      <c r="X773" s="9" t="str">
        <f t="shared" si="77"/>
        <v/>
      </c>
      <c r="Y773" s="10"/>
      <c r="Z773" s="10">
        <f>IF($H773="Cancelled","",IFERROR(IF(F773="","",F773-Variables!$B$13),""))</f>
        <v>45428</v>
      </c>
      <c r="AA773" s="11" t="str">
        <f>IF($H773="Cancelled","",IFERROR(IF(W773="","",(AVERAGE(E773:F773)-W773)-Variables!$B$14),""))</f>
        <v/>
      </c>
      <c r="AB773" s="10">
        <v>45443</v>
      </c>
      <c r="AC773" s="11" t="str">
        <f>IF($H773="Cancelled","",IFERROR(IF(AB773="","",IF(AND(W773="",Y773=""),"",IF(Y773&gt;W773,Y773+Variables!$B$15+Variables!$B$16+Variables!$B$17-AB773,W773+Variables!$B$16+Variables!$B$17-AB773))),""))</f>
        <v/>
      </c>
      <c r="AD773" s="9" t="s">
        <v>165</v>
      </c>
      <c r="AE773" s="9" t="s">
        <v>184</v>
      </c>
      <c r="AF773" s="10"/>
      <c r="AG773" s="10"/>
      <c r="AH773" s="9"/>
      <c r="AI773" s="9" t="s">
        <v>1576</v>
      </c>
      <c r="AJ773" s="9" t="s">
        <v>8</v>
      </c>
      <c r="AK773" s="10">
        <v>45454</v>
      </c>
      <c r="AL773" s="10">
        <v>45457</v>
      </c>
      <c r="AM773" s="10">
        <v>45463</v>
      </c>
      <c r="AN773" s="9" t="s">
        <v>1492</v>
      </c>
      <c r="AO773" s="9"/>
      <c r="AP773" s="11">
        <f>IF($H773="Cancelled","",IFERROR(IF(OR(AK773="",AB773=""),"",(AB773+Variables!$B$18-AK773)),""))</f>
        <v>-4</v>
      </c>
      <c r="AQ773" s="11">
        <f>IF($H773="Cancelled","",IFERROR(IF(OR(AM773="",AK773=""),"",(AK773+Variables!$B$19)-AM773),""))</f>
        <v>-4</v>
      </c>
      <c r="AR773" s="12">
        <f>IF($H773="Cancelled","",IFERROR(T773*INDEX(Variables!$B$7:$D$7,IFERROR(MATCH(IF($B773="Robusta","Robusta",(IF($B773="","Arabica",$B773))&amp;" - "&amp;(IF($C773="","Commercial",$C773))),Variables!$B$1:$D$1,0),1))*(AQ773/365),""))</f>
        <v>-10.870750040616631</v>
      </c>
      <c r="AS773" s="12" t="str">
        <f>IF($H773="Cancelled","",IFERROR((T773*INDEX(Variables!$B$7:$D$7,IFERROR(MATCH(IF($B773="Robusta","Robusta",(IF($B773="","Arabica",$B773))&amp;" - "&amp;(IF($C773="","Commercial",$C773))),Variables!$B$1:$D$1,0),1))*IFERROR(IF(W773="","",(AVERAGE(E773:F773)-W773)-Variables!$B$14),"")/365)+(L773/16.67*INDEX(Variables!$B$8:$D$8,IFERROR(MATCH(IF($B773="Robusta","Robusta",(IF($B773="","Arabica",$B773))&amp;" - "&amp;(IF($C773="","Commercial",$C773))),Variables!$B$1:$D$1,0),1))*IFERROR(IF(W773="","",(AVERAGE(E773:F773)-W773)-Variables!$B$14),""))+(T773*INDEX(Variables!$B$9:$D$9,IFERROR(MATCH(IF($B773="Robusta","Robusta",(IF($B773="","Arabica",$B773))&amp;" - "&amp;(IF($C773="","Commercial",$C773))),Variables!$B$1:$D$1,0),1))*IFERROR(IF(W773="","",(AVERAGE(E773:F773)-W773)-Variables!$B$14),"")/365),""))</f>
        <v/>
      </c>
      <c r="AT773" s="12" t="str">
        <f>IF($H773="Cancelled","",IFERROR((T773*INDEX(Variables!$B$7:$D$7,IFERROR(MATCH(IF($B773="Robusta","Robusta",(IF($B773="","Arabica",$B773))&amp;" - "&amp;(IF($C773="","Commercial",$C773))),Variables!$B$1:$D$1,0),1))*AC773/365)+(L773/16.67*INDEX(Variables!$B$8:$D$8,IFERROR(MATCH(IF($B773="Robusta","Robusta",(IF($B773="","Arabica",$B773))&amp;" - "&amp;(IF($C773="","Commercial",$C773))),Variables!$B$1:$D$1,0),1))*AC773)+(T773*INDEX(Variables!$B$9:$D$9,IFERROR(MATCH(IF($B773="Robusta","Robusta",(IF($B773="","Arabica",$B773))&amp;" - "&amp;(IF($C773="","Commercial",$C773))),Variables!$B$1:$D$1,0),1))*AC773/365),""))</f>
        <v/>
      </c>
      <c r="AU773" s="12">
        <f>IF($H773="Cancelled","",IFERROR((T773*INDEX(Variables!$B$7:$D$7,IFERROR(MATCH(IF($B773="Robusta","Robusta",(IF($B773="","Arabica",$B773))&amp;" - "&amp;(IF($C773="","Commercial",$C773))),Variables!$B$1:$D$1,0),1))*AP773/365)+(L773/16.67*INDEX(Variables!$B$8:$D$8,IFERROR(MATCH(IF($B773="Robusta","Robusta",(IF($B773="","Arabica",$B773))&amp;" - "&amp;(IF($C773="","Commercial",$C773))),Variables!$B$1:$D$1,0),1))*AP773)+(T773*INDEX(Variables!$B$9:$D$9,IFERROR(MATCH(IF($B773="Robusta","Robusta",(IF($B773="","Arabica",$B773))&amp;" - "&amp;(IF($C773="","Commercial",$C773))),Variables!$B$1:$D$1,0),1))*AP773/365),""))</f>
        <v>-19.010894987730168</v>
      </c>
      <c r="AV773" s="11">
        <f t="shared" si="80"/>
        <v>-11</v>
      </c>
      <c r="AW773" s="12">
        <f>IF($H773="Cancelled","",IFERROR(IF(AV773="","",(T773*INDEX(Variables!$B$7:$D$7,IFERROR(MATCH(IF($B773="Robusta","Robusta",(IF($B773="","Arabica",$B773))&amp;" - "&amp;(IF($C773="","Commercial",$C773))),Variables!$B$1:$D$1,0),1))*(AV773/365))+(T773*INDEX(Variables!$B$9:$D$9,IFERROR(MATCH(IF($B773="Robusta","Robusta",(IF($B773="","Arabica",$B773))&amp;" - "&amp;(IF($C773="","Commercial",$C773))),Variables!$B$1:$D$1,0),1))*(AV773/365))+(INDEX(Variables!$B$8:$D$8,IFERROR(MATCH(IF($B773="Robusta","Robusta",(IF($B773="","Arabica",$B773))&amp;" - "&amp;(IF($C773="","Commercial",$C773))),Variables!$B$1:$D$1,0),1))*L773/16.67)),""))</f>
        <v>-28.279961216257966</v>
      </c>
      <c r="AX773" s="9"/>
      <c r="AY773" s="12"/>
      <c r="AZ773" s="10"/>
      <c r="BA773" s="9"/>
      <c r="BB773" s="10"/>
      <c r="BC773" s="9"/>
      <c r="BD773" s="9"/>
      <c r="BE773" s="9"/>
      <c r="BF773" s="9"/>
    </row>
    <row r="774" spans="1:58" x14ac:dyDescent="0.25">
      <c r="A774" s="9" t="s">
        <v>84</v>
      </c>
      <c r="B774" s="9" t="s">
        <v>85</v>
      </c>
      <c r="C774" s="9" t="s">
        <v>1486</v>
      </c>
      <c r="D774" s="10">
        <v>45401</v>
      </c>
      <c r="E774" s="10">
        <v>45413</v>
      </c>
      <c r="F774" s="10">
        <v>45443</v>
      </c>
      <c r="G774" s="9">
        <v>3786319</v>
      </c>
      <c r="H774" s="9" t="str">
        <f t="shared" si="78"/>
        <v>Closed</v>
      </c>
      <c r="I774" s="9" t="str">
        <f t="shared" si="79"/>
        <v>All dates received</v>
      </c>
      <c r="J774" s="9" t="s">
        <v>225</v>
      </c>
      <c r="K774" s="9" t="s">
        <v>1710</v>
      </c>
      <c r="L774" s="11">
        <v>10</v>
      </c>
      <c r="M774" s="9" t="s">
        <v>1711</v>
      </c>
      <c r="N774" s="9"/>
      <c r="O774" s="9"/>
      <c r="P774" s="9"/>
      <c r="Q774" s="11"/>
      <c r="R774" s="9" t="s">
        <v>195</v>
      </c>
      <c r="S774" s="9" t="s">
        <v>228</v>
      </c>
      <c r="T774" s="12">
        <f>IF($H774="Cancelled","",IFERROR(((Q774+INDEX(Variables!$B$6:$D$6,IFERROR(MATCH(IF($B774="Robusta","Robusta",(IF($B774="","Arabica",$B774))&amp;" - "&amp;(IF($C774="","Commercial",$C774))),Variables!$B$1:$D$1,0),1)))*22.0462)*(L774/16.67),""))</f>
        <v>3845.8518056388721</v>
      </c>
      <c r="U774" s="10"/>
      <c r="V774" s="9" t="str">
        <f t="shared" si="81"/>
        <v/>
      </c>
      <c r="W774" s="10">
        <v>45397</v>
      </c>
      <c r="X774" s="9" t="str">
        <f t="shared" si="77"/>
        <v>Approved</v>
      </c>
      <c r="Y774" s="10">
        <v>45400</v>
      </c>
      <c r="Z774" s="10">
        <f>IF($H774="Cancelled","",IFERROR(IF(F774="","",F774-Variables!$B$13),""))</f>
        <v>45428</v>
      </c>
      <c r="AA774" s="11">
        <f>IF($H774="Cancelled","",IFERROR(IF(W774="","",(AVERAGE(E774:F774)-W774)-Variables!$B$14),""))</f>
        <v>1</v>
      </c>
      <c r="AB774" s="10">
        <v>45471</v>
      </c>
      <c r="AC774" s="11">
        <f>IF($H774="Cancelled","",IFERROR(IF(AB774="","",IF(AND(W774="",Y774=""),"",IF(Y774&gt;W774,Y774+Variables!$B$15+Variables!$B$16+Variables!$B$17-AB774,W774+Variables!$B$16+Variables!$B$17-AB774))),""))</f>
        <v>-56</v>
      </c>
      <c r="AD774" s="9" t="s">
        <v>107</v>
      </c>
      <c r="AE774" s="9" t="s">
        <v>364</v>
      </c>
      <c r="AF774" s="10"/>
      <c r="AG774" s="10"/>
      <c r="AH774" s="9"/>
      <c r="AI774" s="9" t="s">
        <v>1512</v>
      </c>
      <c r="AJ774" s="9" t="s">
        <v>385</v>
      </c>
      <c r="AK774" s="10">
        <v>45491</v>
      </c>
      <c r="AL774" s="10">
        <v>45495</v>
      </c>
      <c r="AM774" s="10">
        <v>45510</v>
      </c>
      <c r="AN774" s="9" t="s">
        <v>1492</v>
      </c>
      <c r="AO774" s="9"/>
      <c r="AP774" s="11">
        <f>IF($H774="Cancelled","",IFERROR(IF(OR(AK774="",AB774=""),"",(AB774+Variables!$B$18-AK774)),""))</f>
        <v>-13</v>
      </c>
      <c r="AQ774" s="11">
        <f>IF($H774="Cancelled","",IFERROR(IF(OR(AM774="",AK774=""),"",(AK774+Variables!$B$19)-AM774),""))</f>
        <v>-14</v>
      </c>
      <c r="AR774" s="12">
        <f>IF($H774="Cancelled","",IFERROR(T774*INDEX(Variables!$B$7:$D$7,IFERROR(MATCH(IF($B774="Robusta","Robusta",(IF($B774="","Arabica",$B774))&amp;" - "&amp;(IF($C774="","Commercial",$C774))),Variables!$B$1:$D$1,0),1))*(AQ774/365),""))</f>
        <v>-9.5119062855395526</v>
      </c>
      <c r="AS774" s="12">
        <f>IF($H774="Cancelled","",IFERROR((T774*INDEX(Variables!$B$7:$D$7,IFERROR(MATCH(IF($B774="Robusta","Robusta",(IF($B774="","Arabica",$B774))&amp;" - "&amp;(IF($C774="","Commercial",$C774))),Variables!$B$1:$D$1,0),1))*IFERROR(IF(W774="","",(AVERAGE(E774:F774)-W774)-Variables!$B$14),"")/365)+(L774/16.67*INDEX(Variables!$B$8:$D$8,IFERROR(MATCH(IF($B774="Robusta","Robusta",(IF($B774="","Arabica",$B774))&amp;" - "&amp;(IF($C774="","Commercial",$C774))),Variables!$B$1:$D$1,0),1))*IFERROR(IF(W774="","",(AVERAGE(E774:F774)-W774)-Variables!$B$14),""))+(T774*INDEX(Variables!$B$9:$D$9,IFERROR(MATCH(IF($B774="Robusta","Robusta",(IF($B774="","Arabica",$B774))&amp;" - "&amp;(IF($C774="","Commercial",$C774))),Variables!$B$1:$D$1,0),1))*IFERROR(IF(W774="","",(AVERAGE(E774:F774)-W774)-Variables!$B$14),"")/365),""))</f>
        <v>1.1881809367331355</v>
      </c>
      <c r="AT774" s="12">
        <f>IF($H774="Cancelled","",IFERROR((T774*INDEX(Variables!$B$7:$D$7,IFERROR(MATCH(IF($B774="Robusta","Robusta",(IF($B774="","Arabica",$B774))&amp;" - "&amp;(IF($C774="","Commercial",$C774))),Variables!$B$1:$D$1,0),1))*AC774/365)+(L774/16.67*INDEX(Variables!$B$8:$D$8,IFERROR(MATCH(IF($B774="Robusta","Robusta",(IF($B774="","Arabica",$B774))&amp;" - "&amp;(IF($C774="","Commercial",$C774))),Variables!$B$1:$D$1,0),1))*AC774)+(T774*INDEX(Variables!$B$9:$D$9,IFERROR(MATCH(IF($B774="Robusta","Robusta",(IF($B774="","Arabica",$B774))&amp;" - "&amp;(IF($C774="","Commercial",$C774))),Variables!$B$1:$D$1,0),1))*AC774/365),""))</f>
        <v>-66.538132457055596</v>
      </c>
      <c r="AU774" s="12">
        <f>IF($H774="Cancelled","",IFERROR((T774*INDEX(Variables!$B$7:$D$7,IFERROR(MATCH(IF($B774="Robusta","Robusta",(IF($B774="","Arabica",$B774))&amp;" - "&amp;(IF($C774="","Commercial",$C774))),Variables!$B$1:$D$1,0),1))*AP774/365)+(L774/16.67*INDEX(Variables!$B$8:$D$8,IFERROR(MATCH(IF($B774="Robusta","Robusta",(IF($B774="","Arabica",$B774))&amp;" - "&amp;(IF($C774="","Commercial",$C774))),Variables!$B$1:$D$1,0),1))*AP774)+(T774*INDEX(Variables!$B$9:$D$9,IFERROR(MATCH(IF($B774="Robusta","Robusta",(IF($B774="","Arabica",$B774))&amp;" - "&amp;(IF($C774="","Commercial",$C774))),Variables!$B$1:$D$1,0),1))*AP774/365),""))</f>
        <v>-15.446352177530761</v>
      </c>
      <c r="AV774" s="11">
        <f t="shared" si="80"/>
        <v>-48</v>
      </c>
      <c r="AW774" s="12">
        <f>IF($H774="Cancelled","",IFERROR(IF(AV774="","",(T774*INDEX(Variables!$B$7:$D$7,IFERROR(MATCH(IF($B774="Robusta","Robusta",(IF($B774="","Arabica",$B774))&amp;" - "&amp;(IF($C774="","Commercial",$C774))),Variables!$B$1:$D$1,0),1))*(AV774/365))+(T774*INDEX(Variables!$B$9:$D$9,IFERROR(MATCH(IF($B774="Robusta","Robusta",(IF($B774="","Arabica",$B774))&amp;" - "&amp;(IF($C774="","Commercial",$C774))),Variables!$B$1:$D$1,0),1))*(AV774/365))+(INDEX(Variables!$B$8:$D$8,IFERROR(MATCH(IF($B774="Robusta","Robusta",(IF($B774="","Arabica",$B774))&amp;" - "&amp;(IF($C774="","Commercial",$C774))),Variables!$B$1:$D$1,0),1))*L774/16.67)),""))</f>
        <v>-32.532684963190505</v>
      </c>
      <c r="AX774" s="9"/>
      <c r="AY774" s="12"/>
      <c r="AZ774" s="10"/>
      <c r="BA774" s="9"/>
      <c r="BB774" s="10"/>
      <c r="BC774" s="9"/>
      <c r="BD774" s="9"/>
      <c r="BE774" s="9"/>
      <c r="BF774" s="9"/>
    </row>
    <row r="775" spans="1:58" x14ac:dyDescent="0.25">
      <c r="A775" s="9" t="s">
        <v>84</v>
      </c>
      <c r="B775" s="9" t="s">
        <v>85</v>
      </c>
      <c r="C775" s="9" t="s">
        <v>1486</v>
      </c>
      <c r="D775" s="10">
        <v>45401</v>
      </c>
      <c r="E775" s="10">
        <v>45413</v>
      </c>
      <c r="F775" s="10">
        <v>45443</v>
      </c>
      <c r="G775" s="9">
        <v>3786320</v>
      </c>
      <c r="H775" s="9" t="str">
        <f t="shared" si="78"/>
        <v>Closed</v>
      </c>
      <c r="I775" s="9" t="str">
        <f t="shared" si="79"/>
        <v>All dates received</v>
      </c>
      <c r="J775" s="9" t="s">
        <v>225</v>
      </c>
      <c r="K775" s="9" t="s">
        <v>1712</v>
      </c>
      <c r="L775" s="11">
        <v>20</v>
      </c>
      <c r="M775" s="9" t="s">
        <v>1713</v>
      </c>
      <c r="N775" s="9"/>
      <c r="O775" s="9"/>
      <c r="P775" s="9"/>
      <c r="Q775" s="11"/>
      <c r="R775" s="9" t="s">
        <v>195</v>
      </c>
      <c r="S775" s="9" t="s">
        <v>228</v>
      </c>
      <c r="T775" s="12">
        <f>IF($H775="Cancelled","",IFERROR(((Q775+INDEX(Variables!$B$6:$D$6,IFERROR(MATCH(IF($B775="Robusta","Robusta",(IF($B775="","Arabica",$B775))&amp;" - "&amp;(IF($C775="","Commercial",$C775))),Variables!$B$1:$D$1,0),1)))*22.0462)*(L775/16.67),""))</f>
        <v>7691.7036112777441</v>
      </c>
      <c r="U775" s="10"/>
      <c r="V775" s="9" t="str">
        <f t="shared" si="81"/>
        <v/>
      </c>
      <c r="W775" s="10">
        <v>45397</v>
      </c>
      <c r="X775" s="9" t="str">
        <f t="shared" si="77"/>
        <v>Approved</v>
      </c>
      <c r="Y775" s="10">
        <v>45400</v>
      </c>
      <c r="Z775" s="10">
        <f>IF($H775="Cancelled","",IFERROR(IF(F775="","",F775-Variables!$B$13),""))</f>
        <v>45428</v>
      </c>
      <c r="AA775" s="11">
        <f>IF($H775="Cancelled","",IFERROR(IF(W775="","",(AVERAGE(E775:F775)-W775)-Variables!$B$14),""))</f>
        <v>1</v>
      </c>
      <c r="AB775" s="10">
        <v>45471</v>
      </c>
      <c r="AC775" s="11">
        <f>IF($H775="Cancelled","",IFERROR(IF(AB775="","",IF(AND(W775="",Y775=""),"",IF(Y775&gt;W775,Y775+Variables!$B$15+Variables!$B$16+Variables!$B$17-AB775,W775+Variables!$B$16+Variables!$B$17-AB775))),""))</f>
        <v>-56</v>
      </c>
      <c r="AD775" s="9" t="s">
        <v>107</v>
      </c>
      <c r="AE775" s="9" t="s">
        <v>364</v>
      </c>
      <c r="AF775" s="10"/>
      <c r="AG775" s="10"/>
      <c r="AH775" s="9"/>
      <c r="AI775" s="9" t="s">
        <v>1512</v>
      </c>
      <c r="AJ775" s="9" t="s">
        <v>385</v>
      </c>
      <c r="AK775" s="10">
        <v>45491</v>
      </c>
      <c r="AL775" s="10">
        <v>45495</v>
      </c>
      <c r="AM775" s="10">
        <v>45510</v>
      </c>
      <c r="AN775" s="9" t="s">
        <v>1492</v>
      </c>
      <c r="AO775" s="9"/>
      <c r="AP775" s="11">
        <f>IF($H775="Cancelled","",IFERROR(IF(OR(AK775="",AB775=""),"",(AB775+Variables!$B$18-AK775)),""))</f>
        <v>-13</v>
      </c>
      <c r="AQ775" s="11">
        <f>IF($H775="Cancelled","",IFERROR(IF(OR(AM775="",AK775=""),"",(AK775+Variables!$B$19)-AM775),""))</f>
        <v>-14</v>
      </c>
      <c r="AR775" s="12">
        <f>IF($H775="Cancelled","",IFERROR(T775*INDEX(Variables!$B$7:$D$7,IFERROR(MATCH(IF($B775="Robusta","Robusta",(IF($B775="","Arabica",$B775))&amp;" - "&amp;(IF($C775="","Commercial",$C775))),Variables!$B$1:$D$1,0),1))*(AQ775/365),""))</f>
        <v>-19.023812571079105</v>
      </c>
      <c r="AS775" s="12">
        <f>IF($H775="Cancelled","",IFERROR((T775*INDEX(Variables!$B$7:$D$7,IFERROR(MATCH(IF($B775="Robusta","Robusta",(IF($B775="","Arabica",$B775))&amp;" - "&amp;(IF($C775="","Commercial",$C775))),Variables!$B$1:$D$1,0),1))*IFERROR(IF(W775="","",(AVERAGE(E775:F775)-W775)-Variables!$B$14),"")/365)+(L775/16.67*INDEX(Variables!$B$8:$D$8,IFERROR(MATCH(IF($B775="Robusta","Robusta",(IF($B775="","Arabica",$B775))&amp;" - "&amp;(IF($C775="","Commercial",$C775))),Variables!$B$1:$D$1,0),1))*IFERROR(IF(W775="","",(AVERAGE(E775:F775)-W775)-Variables!$B$14),""))+(T775*INDEX(Variables!$B$9:$D$9,IFERROR(MATCH(IF($B775="Robusta","Robusta",(IF($B775="","Arabica",$B775))&amp;" - "&amp;(IF($C775="","Commercial",$C775))),Variables!$B$1:$D$1,0),1))*IFERROR(IF(W775="","",(AVERAGE(E775:F775)-W775)-Variables!$B$14),"")/365),""))</f>
        <v>2.376361873466271</v>
      </c>
      <c r="AT775" s="12">
        <f>IF($H775="Cancelled","",IFERROR((T775*INDEX(Variables!$B$7:$D$7,IFERROR(MATCH(IF($B775="Robusta","Robusta",(IF($B775="","Arabica",$B775))&amp;" - "&amp;(IF($C775="","Commercial",$C775))),Variables!$B$1:$D$1,0),1))*AC775/365)+(L775/16.67*INDEX(Variables!$B$8:$D$8,IFERROR(MATCH(IF($B775="Robusta","Robusta",(IF($B775="","Arabica",$B775))&amp;" - "&amp;(IF($C775="","Commercial",$C775))),Variables!$B$1:$D$1,0),1))*AC775)+(T775*INDEX(Variables!$B$9:$D$9,IFERROR(MATCH(IF($B775="Robusta","Robusta",(IF($B775="","Arabica",$B775))&amp;" - "&amp;(IF($C775="","Commercial",$C775))),Variables!$B$1:$D$1,0),1))*AC775/365),""))</f>
        <v>-133.07626491411119</v>
      </c>
      <c r="AU775" s="12">
        <f>IF($H775="Cancelled","",IFERROR((T775*INDEX(Variables!$B$7:$D$7,IFERROR(MATCH(IF($B775="Robusta","Robusta",(IF($B775="","Arabica",$B775))&amp;" - "&amp;(IF($C775="","Commercial",$C775))),Variables!$B$1:$D$1,0),1))*AP775/365)+(L775/16.67*INDEX(Variables!$B$8:$D$8,IFERROR(MATCH(IF($B775="Robusta","Robusta",(IF($B775="","Arabica",$B775))&amp;" - "&amp;(IF($C775="","Commercial",$C775))),Variables!$B$1:$D$1,0),1))*AP775)+(T775*INDEX(Variables!$B$9:$D$9,IFERROR(MATCH(IF($B775="Robusta","Robusta",(IF($B775="","Arabica",$B775))&amp;" - "&amp;(IF($C775="","Commercial",$C775))),Variables!$B$1:$D$1,0),1))*AP775/365),""))</f>
        <v>-30.892704355061522</v>
      </c>
      <c r="AV775" s="11">
        <f t="shared" si="80"/>
        <v>-48</v>
      </c>
      <c r="AW775" s="12">
        <f>IF($H775="Cancelled","",IFERROR(IF(AV775="","",(T775*INDEX(Variables!$B$7:$D$7,IFERROR(MATCH(IF($B775="Robusta","Robusta",(IF($B775="","Arabica",$B775))&amp;" - "&amp;(IF($C775="","Commercial",$C775))),Variables!$B$1:$D$1,0),1))*(AV775/365))+(T775*INDEX(Variables!$B$9:$D$9,IFERROR(MATCH(IF($B775="Robusta","Robusta",(IF($B775="","Arabica",$B775))&amp;" - "&amp;(IF($C775="","Commercial",$C775))),Variables!$B$1:$D$1,0),1))*(AV775/365))+(INDEX(Variables!$B$8:$D$8,IFERROR(MATCH(IF($B775="Robusta","Robusta",(IF($B775="","Arabica",$B775))&amp;" - "&amp;(IF($C775="","Commercial",$C775))),Variables!$B$1:$D$1,0),1))*L775/16.67)),""))</f>
        <v>-65.06536992638101</v>
      </c>
      <c r="AX775" s="9"/>
      <c r="AY775" s="12"/>
      <c r="AZ775" s="10"/>
      <c r="BA775" s="9"/>
      <c r="BB775" s="10"/>
      <c r="BC775" s="9"/>
      <c r="BD775" s="9"/>
      <c r="BE775" s="9"/>
      <c r="BF775" s="9"/>
    </row>
    <row r="776" spans="1:58" x14ac:dyDescent="0.25">
      <c r="A776" s="9" t="s">
        <v>84</v>
      </c>
      <c r="B776" s="9" t="s">
        <v>85</v>
      </c>
      <c r="C776" s="9" t="s">
        <v>1486</v>
      </c>
      <c r="D776" s="10">
        <v>45401</v>
      </c>
      <c r="E776" s="10">
        <v>45413</v>
      </c>
      <c r="F776" s="10">
        <v>45443</v>
      </c>
      <c r="G776" s="9">
        <v>3786321</v>
      </c>
      <c r="H776" s="9" t="str">
        <f t="shared" si="78"/>
        <v>Closed</v>
      </c>
      <c r="I776" s="9" t="str">
        <f t="shared" si="79"/>
        <v>All dates received</v>
      </c>
      <c r="J776" s="9" t="s">
        <v>225</v>
      </c>
      <c r="K776" s="9" t="s">
        <v>1714</v>
      </c>
      <c r="L776" s="11">
        <v>10</v>
      </c>
      <c r="M776" s="9" t="s">
        <v>1715</v>
      </c>
      <c r="N776" s="9"/>
      <c r="O776" s="9"/>
      <c r="P776" s="9"/>
      <c r="Q776" s="11"/>
      <c r="R776" s="9" t="s">
        <v>195</v>
      </c>
      <c r="S776" s="9" t="s">
        <v>228</v>
      </c>
      <c r="T776" s="12">
        <f>IF($H776="Cancelled","",IFERROR(((Q776+INDEX(Variables!$B$6:$D$6,IFERROR(MATCH(IF($B776="Robusta","Robusta",(IF($B776="","Arabica",$B776))&amp;" - "&amp;(IF($C776="","Commercial",$C776))),Variables!$B$1:$D$1,0),1)))*22.0462)*(L776/16.67),""))</f>
        <v>3845.8518056388721</v>
      </c>
      <c r="U776" s="10"/>
      <c r="V776" s="9" t="str">
        <f t="shared" si="81"/>
        <v/>
      </c>
      <c r="W776" s="10">
        <v>45397</v>
      </c>
      <c r="X776" s="9" t="str">
        <f t="shared" si="77"/>
        <v>Approved</v>
      </c>
      <c r="Y776" s="10">
        <v>45400</v>
      </c>
      <c r="Z776" s="10">
        <f>IF($H776="Cancelled","",IFERROR(IF(F776="","",F776-Variables!$B$13),""))</f>
        <v>45428</v>
      </c>
      <c r="AA776" s="11">
        <f>IF($H776="Cancelled","",IFERROR(IF(W776="","",(AVERAGE(E776:F776)-W776)-Variables!$B$14),""))</f>
        <v>1</v>
      </c>
      <c r="AB776" s="10">
        <v>45471</v>
      </c>
      <c r="AC776" s="11">
        <f>IF($H776="Cancelled","",IFERROR(IF(AB776="","",IF(AND(W776="",Y776=""),"",IF(Y776&gt;W776,Y776+Variables!$B$15+Variables!$B$16+Variables!$B$17-AB776,W776+Variables!$B$16+Variables!$B$17-AB776))),""))</f>
        <v>-56</v>
      </c>
      <c r="AD776" s="9" t="s">
        <v>107</v>
      </c>
      <c r="AE776" s="9" t="s">
        <v>364</v>
      </c>
      <c r="AF776" s="10"/>
      <c r="AG776" s="10"/>
      <c r="AH776" s="9"/>
      <c r="AI776" s="9" t="s">
        <v>1512</v>
      </c>
      <c r="AJ776" s="9" t="s">
        <v>385</v>
      </c>
      <c r="AK776" s="10">
        <v>45491</v>
      </c>
      <c r="AL776" s="10">
        <v>45495</v>
      </c>
      <c r="AM776" s="10">
        <v>45510</v>
      </c>
      <c r="AN776" s="9" t="s">
        <v>1492</v>
      </c>
      <c r="AO776" s="9"/>
      <c r="AP776" s="11">
        <f>IF($H776="Cancelled","",IFERROR(IF(OR(AK776="",AB776=""),"",(AB776+Variables!$B$18-AK776)),""))</f>
        <v>-13</v>
      </c>
      <c r="AQ776" s="11">
        <f>IF($H776="Cancelled","",IFERROR(IF(OR(AM776="",AK776=""),"",(AK776+Variables!$B$19)-AM776),""))</f>
        <v>-14</v>
      </c>
      <c r="AR776" s="12">
        <f>IF($H776="Cancelled","",IFERROR(T776*INDEX(Variables!$B$7:$D$7,IFERROR(MATCH(IF($B776="Robusta","Robusta",(IF($B776="","Arabica",$B776))&amp;" - "&amp;(IF($C776="","Commercial",$C776))),Variables!$B$1:$D$1,0),1))*(AQ776/365),""))</f>
        <v>-9.5119062855395526</v>
      </c>
      <c r="AS776" s="12">
        <f>IF($H776="Cancelled","",IFERROR((T776*INDEX(Variables!$B$7:$D$7,IFERROR(MATCH(IF($B776="Robusta","Robusta",(IF($B776="","Arabica",$B776))&amp;" - "&amp;(IF($C776="","Commercial",$C776))),Variables!$B$1:$D$1,0),1))*IFERROR(IF(W776="","",(AVERAGE(E776:F776)-W776)-Variables!$B$14),"")/365)+(L776/16.67*INDEX(Variables!$B$8:$D$8,IFERROR(MATCH(IF($B776="Robusta","Robusta",(IF($B776="","Arabica",$B776))&amp;" - "&amp;(IF($C776="","Commercial",$C776))),Variables!$B$1:$D$1,0),1))*IFERROR(IF(W776="","",(AVERAGE(E776:F776)-W776)-Variables!$B$14),""))+(T776*INDEX(Variables!$B$9:$D$9,IFERROR(MATCH(IF($B776="Robusta","Robusta",(IF($B776="","Arabica",$B776))&amp;" - "&amp;(IF($C776="","Commercial",$C776))),Variables!$B$1:$D$1,0),1))*IFERROR(IF(W776="","",(AVERAGE(E776:F776)-W776)-Variables!$B$14),"")/365),""))</f>
        <v>1.1881809367331355</v>
      </c>
      <c r="AT776" s="12">
        <f>IF($H776="Cancelled","",IFERROR((T776*INDEX(Variables!$B$7:$D$7,IFERROR(MATCH(IF($B776="Robusta","Robusta",(IF($B776="","Arabica",$B776))&amp;" - "&amp;(IF($C776="","Commercial",$C776))),Variables!$B$1:$D$1,0),1))*AC776/365)+(L776/16.67*INDEX(Variables!$B$8:$D$8,IFERROR(MATCH(IF($B776="Robusta","Robusta",(IF($B776="","Arabica",$B776))&amp;" - "&amp;(IF($C776="","Commercial",$C776))),Variables!$B$1:$D$1,0),1))*AC776)+(T776*INDEX(Variables!$B$9:$D$9,IFERROR(MATCH(IF($B776="Robusta","Robusta",(IF($B776="","Arabica",$B776))&amp;" - "&amp;(IF($C776="","Commercial",$C776))),Variables!$B$1:$D$1,0),1))*AC776/365),""))</f>
        <v>-66.538132457055596</v>
      </c>
      <c r="AU776" s="12">
        <f>IF($H776="Cancelled","",IFERROR((T776*INDEX(Variables!$B$7:$D$7,IFERROR(MATCH(IF($B776="Robusta","Robusta",(IF($B776="","Arabica",$B776))&amp;" - "&amp;(IF($C776="","Commercial",$C776))),Variables!$B$1:$D$1,0),1))*AP776/365)+(L776/16.67*INDEX(Variables!$B$8:$D$8,IFERROR(MATCH(IF($B776="Robusta","Robusta",(IF($B776="","Arabica",$B776))&amp;" - "&amp;(IF($C776="","Commercial",$C776))),Variables!$B$1:$D$1,0),1))*AP776)+(T776*INDEX(Variables!$B$9:$D$9,IFERROR(MATCH(IF($B776="Robusta","Robusta",(IF($B776="","Arabica",$B776))&amp;" - "&amp;(IF($C776="","Commercial",$C776))),Variables!$B$1:$D$1,0),1))*AP776/365),""))</f>
        <v>-15.446352177530761</v>
      </c>
      <c r="AV776" s="11">
        <f t="shared" si="80"/>
        <v>-48</v>
      </c>
      <c r="AW776" s="12">
        <f>IF($H776="Cancelled","",IFERROR(IF(AV776="","",(T776*INDEX(Variables!$B$7:$D$7,IFERROR(MATCH(IF($B776="Robusta","Robusta",(IF($B776="","Arabica",$B776))&amp;" - "&amp;(IF($C776="","Commercial",$C776))),Variables!$B$1:$D$1,0),1))*(AV776/365))+(T776*INDEX(Variables!$B$9:$D$9,IFERROR(MATCH(IF($B776="Robusta","Robusta",(IF($B776="","Arabica",$B776))&amp;" - "&amp;(IF($C776="","Commercial",$C776))),Variables!$B$1:$D$1,0),1))*(AV776/365))+(INDEX(Variables!$B$8:$D$8,IFERROR(MATCH(IF($B776="Robusta","Robusta",(IF($B776="","Arabica",$B776))&amp;" - "&amp;(IF($C776="","Commercial",$C776))),Variables!$B$1:$D$1,0),1))*L776/16.67)),""))</f>
        <v>-32.532684963190505</v>
      </c>
      <c r="AX776" s="9"/>
      <c r="AY776" s="12"/>
      <c r="AZ776" s="10"/>
      <c r="BA776" s="9"/>
      <c r="BB776" s="10"/>
      <c r="BC776" s="9"/>
      <c r="BD776" s="9"/>
      <c r="BE776" s="9"/>
      <c r="BF776" s="9"/>
    </row>
    <row r="777" spans="1:58" x14ac:dyDescent="0.25">
      <c r="A777" s="9" t="s">
        <v>84</v>
      </c>
      <c r="B777" s="9" t="s">
        <v>85</v>
      </c>
      <c r="C777" s="9" t="s">
        <v>1486</v>
      </c>
      <c r="D777" s="10">
        <v>45401</v>
      </c>
      <c r="E777" s="10">
        <v>45413</v>
      </c>
      <c r="F777" s="10">
        <v>45443</v>
      </c>
      <c r="G777" s="9">
        <v>3786322</v>
      </c>
      <c r="H777" s="9" t="str">
        <f t="shared" si="78"/>
        <v>Closed</v>
      </c>
      <c r="I777" s="9" t="str">
        <f t="shared" si="79"/>
        <v>All dates received</v>
      </c>
      <c r="J777" s="9" t="s">
        <v>225</v>
      </c>
      <c r="K777" s="9" t="s">
        <v>1716</v>
      </c>
      <c r="L777" s="11">
        <v>15</v>
      </c>
      <c r="M777" s="9" t="s">
        <v>1717</v>
      </c>
      <c r="N777" s="9"/>
      <c r="O777" s="9"/>
      <c r="P777" s="9"/>
      <c r="Q777" s="11"/>
      <c r="R777" s="9" t="s">
        <v>195</v>
      </c>
      <c r="S777" s="9" t="s">
        <v>228</v>
      </c>
      <c r="T777" s="12">
        <f>IF($H777="Cancelled","",IFERROR(((Q777+INDEX(Variables!$B$6:$D$6,IFERROR(MATCH(IF($B777="Robusta","Robusta",(IF($B777="","Arabica",$B777))&amp;" - "&amp;(IF($C777="","Commercial",$C777))),Variables!$B$1:$D$1,0),1)))*22.0462)*(L777/16.67),""))</f>
        <v>5768.7777084583076</v>
      </c>
      <c r="U777" s="10"/>
      <c r="V777" s="9" t="str">
        <f t="shared" si="81"/>
        <v/>
      </c>
      <c r="W777" s="10">
        <v>45397</v>
      </c>
      <c r="X777" s="9" t="str">
        <f t="shared" si="77"/>
        <v>Approved</v>
      </c>
      <c r="Y777" s="10">
        <v>45400</v>
      </c>
      <c r="Z777" s="10">
        <f>IF($H777="Cancelled","",IFERROR(IF(F777="","",F777-Variables!$B$13),""))</f>
        <v>45428</v>
      </c>
      <c r="AA777" s="11">
        <f>IF($H777="Cancelled","",IFERROR(IF(W777="","",(AVERAGE(E777:F777)-W777)-Variables!$B$14),""))</f>
        <v>1</v>
      </c>
      <c r="AB777" s="10">
        <v>45471</v>
      </c>
      <c r="AC777" s="11">
        <f>IF($H777="Cancelled","",IFERROR(IF(AB777="","",IF(AND(W777="",Y777=""),"",IF(Y777&gt;W777,Y777+Variables!$B$15+Variables!$B$16+Variables!$B$17-AB777,W777+Variables!$B$16+Variables!$B$17-AB777))),""))</f>
        <v>-56</v>
      </c>
      <c r="AD777" s="9" t="s">
        <v>107</v>
      </c>
      <c r="AE777" s="9" t="s">
        <v>364</v>
      </c>
      <c r="AF777" s="10"/>
      <c r="AG777" s="10"/>
      <c r="AH777" s="9"/>
      <c r="AI777" s="9" t="s">
        <v>1512</v>
      </c>
      <c r="AJ777" s="9" t="s">
        <v>385</v>
      </c>
      <c r="AK777" s="10">
        <v>45491</v>
      </c>
      <c r="AL777" s="10">
        <v>45495</v>
      </c>
      <c r="AM777" s="10">
        <v>45510</v>
      </c>
      <c r="AN777" s="9" t="s">
        <v>1492</v>
      </c>
      <c r="AO777" s="9"/>
      <c r="AP777" s="11">
        <f>IF($H777="Cancelled","",IFERROR(IF(OR(AK777="",AB777=""),"",(AB777+Variables!$B$18-AK777)),""))</f>
        <v>-13</v>
      </c>
      <c r="AQ777" s="11">
        <f>IF($H777="Cancelled","",IFERROR(IF(OR(AM777="",AK777=""),"",(AK777+Variables!$B$19)-AM777),""))</f>
        <v>-14</v>
      </c>
      <c r="AR777" s="12">
        <f>IF($H777="Cancelled","",IFERROR(T777*INDEX(Variables!$B$7:$D$7,IFERROR(MATCH(IF($B777="Robusta","Robusta",(IF($B777="","Arabica",$B777))&amp;" - "&amp;(IF($C777="","Commercial",$C777))),Variables!$B$1:$D$1,0),1))*(AQ777/365),""))</f>
        <v>-14.267859428309327</v>
      </c>
      <c r="AS777" s="12">
        <f>IF($H777="Cancelled","",IFERROR((T777*INDEX(Variables!$B$7:$D$7,IFERROR(MATCH(IF($B777="Robusta","Robusta",(IF($B777="","Arabica",$B777))&amp;" - "&amp;(IF($C777="","Commercial",$C777))),Variables!$B$1:$D$1,0),1))*IFERROR(IF(W777="","",(AVERAGE(E777:F777)-W777)-Variables!$B$14),"")/365)+(L777/16.67*INDEX(Variables!$B$8:$D$8,IFERROR(MATCH(IF($B777="Robusta","Robusta",(IF($B777="","Arabica",$B777))&amp;" - "&amp;(IF($C777="","Commercial",$C777))),Variables!$B$1:$D$1,0),1))*IFERROR(IF(W777="","",(AVERAGE(E777:F777)-W777)-Variables!$B$14),""))+(T777*INDEX(Variables!$B$9:$D$9,IFERROR(MATCH(IF($B777="Robusta","Robusta",(IF($B777="","Arabica",$B777))&amp;" - "&amp;(IF($C777="","Commercial",$C777))),Variables!$B$1:$D$1,0),1))*IFERROR(IF(W777="","",(AVERAGE(E777:F777)-W777)-Variables!$B$14),"")/365),""))</f>
        <v>1.7822714050997033</v>
      </c>
      <c r="AT777" s="12">
        <f>IF($H777="Cancelled","",IFERROR((T777*INDEX(Variables!$B$7:$D$7,IFERROR(MATCH(IF($B777="Robusta","Robusta",(IF($B777="","Arabica",$B777))&amp;" - "&amp;(IF($C777="","Commercial",$C777))),Variables!$B$1:$D$1,0),1))*AC777/365)+(L777/16.67*INDEX(Variables!$B$8:$D$8,IFERROR(MATCH(IF($B777="Robusta","Robusta",(IF($B777="","Arabica",$B777))&amp;" - "&amp;(IF($C777="","Commercial",$C777))),Variables!$B$1:$D$1,0),1))*AC777)+(T777*INDEX(Variables!$B$9:$D$9,IFERROR(MATCH(IF($B777="Robusta","Robusta",(IF($B777="","Arabica",$B777))&amp;" - "&amp;(IF($C777="","Commercial",$C777))),Variables!$B$1:$D$1,0),1))*AC777/365),""))</f>
        <v>-99.807198685583387</v>
      </c>
      <c r="AU777" s="12">
        <f>IF($H777="Cancelled","",IFERROR((T777*INDEX(Variables!$B$7:$D$7,IFERROR(MATCH(IF($B777="Robusta","Robusta",(IF($B777="","Arabica",$B777))&amp;" - "&amp;(IF($C777="","Commercial",$C777))),Variables!$B$1:$D$1,0),1))*AP777/365)+(L777/16.67*INDEX(Variables!$B$8:$D$8,IFERROR(MATCH(IF($B777="Robusta","Robusta",(IF($B777="","Arabica",$B777))&amp;" - "&amp;(IF($C777="","Commercial",$C777))),Variables!$B$1:$D$1,0),1))*AP777)+(T777*INDEX(Variables!$B$9:$D$9,IFERROR(MATCH(IF($B777="Robusta","Robusta",(IF($B777="","Arabica",$B777))&amp;" - "&amp;(IF($C777="","Commercial",$C777))),Variables!$B$1:$D$1,0),1))*AP777/365),""))</f>
        <v>-23.169528266296144</v>
      </c>
      <c r="AV777" s="11">
        <f t="shared" si="80"/>
        <v>-48</v>
      </c>
      <c r="AW777" s="12">
        <f>IF($H777="Cancelled","",IFERROR(IF(AV777="","",(T777*INDEX(Variables!$B$7:$D$7,IFERROR(MATCH(IF($B777="Robusta","Robusta",(IF($B777="","Arabica",$B777))&amp;" - "&amp;(IF($C777="","Commercial",$C777))),Variables!$B$1:$D$1,0),1))*(AV777/365))+(T777*INDEX(Variables!$B$9:$D$9,IFERROR(MATCH(IF($B777="Robusta","Robusta",(IF($B777="","Arabica",$B777))&amp;" - "&amp;(IF($C777="","Commercial",$C777))),Variables!$B$1:$D$1,0),1))*(AV777/365))+(INDEX(Variables!$B$8:$D$8,IFERROR(MATCH(IF($B777="Robusta","Robusta",(IF($B777="","Arabica",$B777))&amp;" - "&amp;(IF($C777="","Commercial",$C777))),Variables!$B$1:$D$1,0),1))*L777/16.67)),""))</f>
        <v>-48.79902744478575</v>
      </c>
      <c r="AX777" s="9"/>
      <c r="AY777" s="12"/>
      <c r="AZ777" s="10"/>
      <c r="BA777" s="9"/>
      <c r="BB777" s="10"/>
      <c r="BC777" s="9"/>
      <c r="BD777" s="9"/>
      <c r="BE777" s="9"/>
      <c r="BF777" s="9"/>
    </row>
    <row r="778" spans="1:58" x14ac:dyDescent="0.25">
      <c r="A778" s="9" t="s">
        <v>84</v>
      </c>
      <c r="B778" s="9" t="s">
        <v>85</v>
      </c>
      <c r="C778" s="9" t="s">
        <v>1486</v>
      </c>
      <c r="D778" s="10">
        <v>45404</v>
      </c>
      <c r="E778" s="10">
        <v>45413</v>
      </c>
      <c r="F778" s="10">
        <v>45443</v>
      </c>
      <c r="G778" s="9">
        <v>3786330</v>
      </c>
      <c r="H778" s="9" t="str">
        <f t="shared" si="78"/>
        <v>Closed</v>
      </c>
      <c r="I778" s="9" t="str">
        <f t="shared" si="79"/>
        <v>All dates received</v>
      </c>
      <c r="J778" s="9" t="s">
        <v>1592</v>
      </c>
      <c r="K778" s="9">
        <v>4924</v>
      </c>
      <c r="L778" s="11">
        <v>2</v>
      </c>
      <c r="M778" s="9" t="s">
        <v>1718</v>
      </c>
      <c r="N778" s="9"/>
      <c r="O778" s="9"/>
      <c r="P778" s="9"/>
      <c r="Q778" s="11"/>
      <c r="R778" s="9" t="s">
        <v>195</v>
      </c>
      <c r="S778" s="9" t="s">
        <v>578</v>
      </c>
      <c r="T778" s="12">
        <f>IF($H778="Cancelled","",IFERROR(((Q778+INDEX(Variables!$B$6:$D$6,IFERROR(MATCH(IF($B778="Robusta","Robusta",(IF($B778="","Arabica",$B778))&amp;" - "&amp;(IF($C778="","Commercial",$C778))),Variables!$B$1:$D$1,0),1)))*22.0462)*(L778/16.67),""))</f>
        <v>769.1703611277743</v>
      </c>
      <c r="U778" s="10"/>
      <c r="V778" s="9" t="str">
        <f t="shared" si="81"/>
        <v/>
      </c>
      <c r="W778" s="10">
        <v>45397</v>
      </c>
      <c r="X778" s="9" t="str">
        <f t="shared" si="77"/>
        <v>Approved</v>
      </c>
      <c r="Y778" s="10">
        <v>45400</v>
      </c>
      <c r="Z778" s="10">
        <f>IF($H778="Cancelled","",IFERROR(IF(F778="","",F778-Variables!$B$13),""))</f>
        <v>45428</v>
      </c>
      <c r="AA778" s="11">
        <f>IF($H778="Cancelled","",IFERROR(IF(W778="","",(AVERAGE(E778:F778)-W778)-Variables!$B$14),""))</f>
        <v>1</v>
      </c>
      <c r="AB778" s="10">
        <v>45432</v>
      </c>
      <c r="AC778" s="11">
        <f>IF($H778="Cancelled","",IFERROR(IF(AB778="","",IF(AND(W778="",Y778=""),"",IF(Y778&gt;W778,Y778+Variables!$B$15+Variables!$B$16+Variables!$B$17-AB778,W778+Variables!$B$16+Variables!$B$17-AB778))),""))</f>
        <v>-17</v>
      </c>
      <c r="AD778" s="9" t="s">
        <v>180</v>
      </c>
      <c r="AE778" s="9" t="s">
        <v>181</v>
      </c>
      <c r="AF778" s="10"/>
      <c r="AG778" s="10"/>
      <c r="AH778" s="9"/>
      <c r="AI778" s="9" t="s">
        <v>1594</v>
      </c>
      <c r="AJ778" s="9" t="s">
        <v>1595</v>
      </c>
      <c r="AK778" s="10">
        <v>45442</v>
      </c>
      <c r="AL778" s="10">
        <v>45443</v>
      </c>
      <c r="AM778" s="10">
        <v>45453</v>
      </c>
      <c r="AN778" s="9" t="s">
        <v>1492</v>
      </c>
      <c r="AO778" s="9"/>
      <c r="AP778" s="11">
        <f>IF($H778="Cancelled","",IFERROR(IF(OR(AK778="",AB778=""),"",(AB778+Variables!$B$18-AK778)),""))</f>
        <v>-3</v>
      </c>
      <c r="AQ778" s="11">
        <f>IF($H778="Cancelled","",IFERROR(IF(OR(AM778="",AK778=""),"",(AK778+Variables!$B$19)-AM778),""))</f>
        <v>-6</v>
      </c>
      <c r="AR778" s="12">
        <f>IF($H778="Cancelled","",IFERROR(T778*INDEX(Variables!$B$7:$D$7,IFERROR(MATCH(IF($B778="Robusta","Robusta",(IF($B778="","Arabica",$B778))&amp;" - "&amp;(IF($C778="","Commercial",$C778))),Variables!$B$1:$D$1,0),1))*(AQ778/365),""))</f>
        <v>-0.81530625304624704</v>
      </c>
      <c r="AS778" s="12">
        <f>IF($H778="Cancelled","",IFERROR((T778*INDEX(Variables!$B$7:$D$7,IFERROR(MATCH(IF($B778="Robusta","Robusta",(IF($B778="","Arabica",$B778))&amp;" - "&amp;(IF($C778="","Commercial",$C778))),Variables!$B$1:$D$1,0),1))*IFERROR(IF(W778="","",(AVERAGE(E778:F778)-W778)-Variables!$B$14),"")/365)+(L778/16.67*INDEX(Variables!$B$8:$D$8,IFERROR(MATCH(IF($B778="Robusta","Robusta",(IF($B778="","Arabica",$B778))&amp;" - "&amp;(IF($C778="","Commercial",$C778))),Variables!$B$1:$D$1,0),1))*IFERROR(IF(W778="","",(AVERAGE(E778:F778)-W778)-Variables!$B$14),""))+(T778*INDEX(Variables!$B$9:$D$9,IFERROR(MATCH(IF($B778="Robusta","Robusta",(IF($B778="","Arabica",$B778))&amp;" - "&amp;(IF($C778="","Commercial",$C778))),Variables!$B$1:$D$1,0),1))*IFERROR(IF(W778="","",(AVERAGE(E778:F778)-W778)-Variables!$B$14),"")/365),""))</f>
        <v>0.23763618734662709</v>
      </c>
      <c r="AT778" s="12">
        <f>IF($H778="Cancelled","",IFERROR((T778*INDEX(Variables!$B$7:$D$7,IFERROR(MATCH(IF($B778="Robusta","Robusta",(IF($B778="","Arabica",$B778))&amp;" - "&amp;(IF($C778="","Commercial",$C778))),Variables!$B$1:$D$1,0),1))*AC778/365)+(L778/16.67*INDEX(Variables!$B$8:$D$8,IFERROR(MATCH(IF($B778="Robusta","Robusta",(IF($B778="","Arabica",$B778))&amp;" - "&amp;(IF($C778="","Commercial",$C778))),Variables!$B$1:$D$1,0),1))*AC778)+(T778*INDEX(Variables!$B$9:$D$9,IFERROR(MATCH(IF($B778="Robusta","Robusta",(IF($B778="","Arabica",$B778))&amp;" - "&amp;(IF($C778="","Commercial",$C778))),Variables!$B$1:$D$1,0),1))*AC778/365),""))</f>
        <v>-4.0398151848926602</v>
      </c>
      <c r="AU778" s="12">
        <f>IF($H778="Cancelled","",IFERROR((T778*INDEX(Variables!$B$7:$D$7,IFERROR(MATCH(IF($B778="Robusta","Robusta",(IF($B778="","Arabica",$B778))&amp;" - "&amp;(IF($C778="","Commercial",$C778))),Variables!$B$1:$D$1,0),1))*AP778/365)+(L778/16.67*INDEX(Variables!$B$8:$D$8,IFERROR(MATCH(IF($B778="Robusta","Robusta",(IF($B778="","Arabica",$B778))&amp;" - "&amp;(IF($C778="","Commercial",$C778))),Variables!$B$1:$D$1,0),1))*AP778)+(T778*INDEX(Variables!$B$9:$D$9,IFERROR(MATCH(IF($B778="Robusta","Robusta",(IF($B778="","Arabica",$B778))&amp;" - "&amp;(IF($C778="","Commercial",$C778))),Variables!$B$1:$D$1,0),1))*AP778/365),""))</f>
        <v>-0.71290856203988129</v>
      </c>
      <c r="AV778" s="11">
        <f t="shared" si="80"/>
        <v>1</v>
      </c>
      <c r="AW778" s="12">
        <f>IF($H778="Cancelled","",IFERROR(IF(AV778="","",(T778*INDEX(Variables!$B$7:$D$7,IFERROR(MATCH(IF($B778="Robusta","Robusta",(IF($B778="","Arabica",$B778))&amp;" - "&amp;(IF($C778="","Commercial",$C778))),Variables!$B$1:$D$1,0),1))*(AV778/365))+(T778*INDEX(Variables!$B$9:$D$9,IFERROR(MATCH(IF($B778="Robusta","Robusta",(IF($B778="","Arabica",$B778))&amp;" - "&amp;(IF($C778="","Commercial",$C778))),Variables!$B$1:$D$1,0),1))*(AV778/365))+(INDEX(Variables!$B$8:$D$8,IFERROR(MATCH(IF($B778="Robusta","Robusta",(IF($B778="","Arabica",$B778))&amp;" - "&amp;(IF($C778="","Commercial",$C778))),Variables!$B$1:$D$1,0),1))*L778/16.67)),""))</f>
        <v>0.23763618734662709</v>
      </c>
      <c r="AX778" s="9"/>
      <c r="AY778" s="12"/>
      <c r="AZ778" s="10"/>
      <c r="BA778" s="9"/>
      <c r="BB778" s="10"/>
      <c r="BC778" s="9"/>
      <c r="BD778" s="9"/>
      <c r="BE778" s="9"/>
      <c r="BF778" s="9"/>
    </row>
    <row r="779" spans="1:58" x14ac:dyDescent="0.25">
      <c r="A779" s="9" t="s">
        <v>84</v>
      </c>
      <c r="B779" s="9" t="s">
        <v>85</v>
      </c>
      <c r="C779" s="9" t="s">
        <v>1486</v>
      </c>
      <c r="D779" s="10">
        <v>45404</v>
      </c>
      <c r="E779" s="10">
        <v>45413</v>
      </c>
      <c r="F779" s="10">
        <v>45443</v>
      </c>
      <c r="G779" s="9">
        <v>3786331</v>
      </c>
      <c r="H779" s="9" t="str">
        <f t="shared" si="78"/>
        <v>Closed</v>
      </c>
      <c r="I779" s="9" t="str">
        <f t="shared" si="79"/>
        <v>All dates received</v>
      </c>
      <c r="J779" s="9" t="s">
        <v>1592</v>
      </c>
      <c r="K779" s="9">
        <v>4925</v>
      </c>
      <c r="L779" s="11">
        <v>1</v>
      </c>
      <c r="M779" s="9" t="s">
        <v>1719</v>
      </c>
      <c r="N779" s="9"/>
      <c r="O779" s="9"/>
      <c r="P779" s="9"/>
      <c r="Q779" s="11"/>
      <c r="R779" s="9" t="s">
        <v>195</v>
      </c>
      <c r="S779" s="9" t="s">
        <v>578</v>
      </c>
      <c r="T779" s="12">
        <f>IF($H779="Cancelled","",IFERROR(((Q779+INDEX(Variables!$B$6:$D$6,IFERROR(MATCH(IF($B779="Robusta","Robusta",(IF($B779="","Arabica",$B779))&amp;" - "&amp;(IF($C779="","Commercial",$C779))),Variables!$B$1:$D$1,0),1)))*22.0462)*(L779/16.67),""))</f>
        <v>384.58518056388715</v>
      </c>
      <c r="U779" s="10"/>
      <c r="V779" s="9" t="str">
        <f t="shared" si="81"/>
        <v/>
      </c>
      <c r="W779" s="10">
        <v>45397</v>
      </c>
      <c r="X779" s="9" t="str">
        <f t="shared" si="77"/>
        <v>Approved</v>
      </c>
      <c r="Y779" s="10">
        <v>45400</v>
      </c>
      <c r="Z779" s="10">
        <f>IF($H779="Cancelled","",IFERROR(IF(F779="","",F779-Variables!$B$13),""))</f>
        <v>45428</v>
      </c>
      <c r="AA779" s="11">
        <f>IF($H779="Cancelled","",IFERROR(IF(W779="","",(AVERAGE(E779:F779)-W779)-Variables!$B$14),""))</f>
        <v>1</v>
      </c>
      <c r="AB779" s="10">
        <v>45432</v>
      </c>
      <c r="AC779" s="11">
        <f>IF($H779="Cancelled","",IFERROR(IF(AB779="","",IF(AND(W779="",Y779=""),"",IF(Y779&gt;W779,Y779+Variables!$B$15+Variables!$B$16+Variables!$B$17-AB779,W779+Variables!$B$16+Variables!$B$17-AB779))),""))</f>
        <v>-17</v>
      </c>
      <c r="AD779" s="9" t="s">
        <v>180</v>
      </c>
      <c r="AE779" s="9" t="s">
        <v>181</v>
      </c>
      <c r="AF779" s="10"/>
      <c r="AG779" s="10"/>
      <c r="AH779" s="9"/>
      <c r="AI779" s="9" t="s">
        <v>1594</v>
      </c>
      <c r="AJ779" s="9" t="s">
        <v>1595</v>
      </c>
      <c r="AK779" s="10">
        <v>45442</v>
      </c>
      <c r="AL779" s="10">
        <v>45443</v>
      </c>
      <c r="AM779" s="10">
        <v>45453</v>
      </c>
      <c r="AN779" s="9" t="s">
        <v>1492</v>
      </c>
      <c r="AO779" s="9"/>
      <c r="AP779" s="11">
        <f>IF($H779="Cancelled","",IFERROR(IF(OR(AK779="",AB779=""),"",(AB779+Variables!$B$18-AK779)),""))</f>
        <v>-3</v>
      </c>
      <c r="AQ779" s="11">
        <f>IF($H779="Cancelled","",IFERROR(IF(OR(AM779="",AK779=""),"",(AK779+Variables!$B$19)-AM779),""))</f>
        <v>-6</v>
      </c>
      <c r="AR779" s="12">
        <f>IF($H779="Cancelled","",IFERROR(T779*INDEX(Variables!$B$7:$D$7,IFERROR(MATCH(IF($B779="Robusta","Robusta",(IF($B779="","Arabica",$B779))&amp;" - "&amp;(IF($C779="","Commercial",$C779))),Variables!$B$1:$D$1,0),1))*(AQ779/365),""))</f>
        <v>-0.40765312652312352</v>
      </c>
      <c r="AS779" s="12">
        <f>IF($H779="Cancelled","",IFERROR((T779*INDEX(Variables!$B$7:$D$7,IFERROR(MATCH(IF($B779="Robusta","Robusta",(IF($B779="","Arabica",$B779))&amp;" - "&amp;(IF($C779="","Commercial",$C779))),Variables!$B$1:$D$1,0),1))*IFERROR(IF(W779="","",(AVERAGE(E779:F779)-W779)-Variables!$B$14),"")/365)+(L779/16.67*INDEX(Variables!$B$8:$D$8,IFERROR(MATCH(IF($B779="Robusta","Robusta",(IF($B779="","Arabica",$B779))&amp;" - "&amp;(IF($C779="","Commercial",$C779))),Variables!$B$1:$D$1,0),1))*IFERROR(IF(W779="","",(AVERAGE(E779:F779)-W779)-Variables!$B$14),""))+(T779*INDEX(Variables!$B$9:$D$9,IFERROR(MATCH(IF($B779="Robusta","Robusta",(IF($B779="","Arabica",$B779))&amp;" - "&amp;(IF($C779="","Commercial",$C779))),Variables!$B$1:$D$1,0),1))*IFERROR(IF(W779="","",(AVERAGE(E779:F779)-W779)-Variables!$B$14),"")/365),""))</f>
        <v>0.11881809367331354</v>
      </c>
      <c r="AT779" s="12">
        <f>IF($H779="Cancelled","",IFERROR((T779*INDEX(Variables!$B$7:$D$7,IFERROR(MATCH(IF($B779="Robusta","Robusta",(IF($B779="","Arabica",$B779))&amp;" - "&amp;(IF($C779="","Commercial",$C779))),Variables!$B$1:$D$1,0),1))*AC779/365)+(L779/16.67*INDEX(Variables!$B$8:$D$8,IFERROR(MATCH(IF($B779="Robusta","Robusta",(IF($B779="","Arabica",$B779))&amp;" - "&amp;(IF($C779="","Commercial",$C779))),Variables!$B$1:$D$1,0),1))*AC779)+(T779*INDEX(Variables!$B$9:$D$9,IFERROR(MATCH(IF($B779="Robusta","Robusta",(IF($B779="","Arabica",$B779))&amp;" - "&amp;(IF($C779="","Commercial",$C779))),Variables!$B$1:$D$1,0),1))*AC779/365),""))</f>
        <v>-2.0199075924463301</v>
      </c>
      <c r="AU779" s="12">
        <f>IF($H779="Cancelled","",IFERROR((T779*INDEX(Variables!$B$7:$D$7,IFERROR(MATCH(IF($B779="Robusta","Robusta",(IF($B779="","Arabica",$B779))&amp;" - "&amp;(IF($C779="","Commercial",$C779))),Variables!$B$1:$D$1,0),1))*AP779/365)+(L779/16.67*INDEX(Variables!$B$8:$D$8,IFERROR(MATCH(IF($B779="Robusta","Robusta",(IF($B779="","Arabica",$B779))&amp;" - "&amp;(IF($C779="","Commercial",$C779))),Variables!$B$1:$D$1,0),1))*AP779)+(T779*INDEX(Variables!$B$9:$D$9,IFERROR(MATCH(IF($B779="Robusta","Robusta",(IF($B779="","Arabica",$B779))&amp;" - "&amp;(IF($C779="","Commercial",$C779))),Variables!$B$1:$D$1,0),1))*AP779/365),""))</f>
        <v>-0.35645428101994064</v>
      </c>
      <c r="AV779" s="11">
        <f t="shared" si="80"/>
        <v>1</v>
      </c>
      <c r="AW779" s="12">
        <f>IF($H779="Cancelled","",IFERROR(IF(AV779="","",(T779*INDEX(Variables!$B$7:$D$7,IFERROR(MATCH(IF($B779="Robusta","Robusta",(IF($B779="","Arabica",$B779))&amp;" - "&amp;(IF($C779="","Commercial",$C779))),Variables!$B$1:$D$1,0),1))*(AV779/365))+(T779*INDEX(Variables!$B$9:$D$9,IFERROR(MATCH(IF($B779="Robusta","Robusta",(IF($B779="","Arabica",$B779))&amp;" - "&amp;(IF($C779="","Commercial",$C779))),Variables!$B$1:$D$1,0),1))*(AV779/365))+(INDEX(Variables!$B$8:$D$8,IFERROR(MATCH(IF($B779="Robusta","Robusta",(IF($B779="","Arabica",$B779))&amp;" - "&amp;(IF($C779="","Commercial",$C779))),Variables!$B$1:$D$1,0),1))*L779/16.67)),""))</f>
        <v>0.11881809367331354</v>
      </c>
      <c r="AX779" s="9"/>
      <c r="AY779" s="12"/>
      <c r="AZ779" s="10"/>
      <c r="BA779" s="9"/>
      <c r="BB779" s="10"/>
      <c r="BC779" s="9"/>
      <c r="BD779" s="9"/>
      <c r="BE779" s="9"/>
      <c r="BF779" s="9"/>
    </row>
    <row r="780" spans="1:58" x14ac:dyDescent="0.25">
      <c r="A780" s="9" t="s">
        <v>84</v>
      </c>
      <c r="B780" s="9" t="s">
        <v>85</v>
      </c>
      <c r="C780" s="9" t="s">
        <v>1486</v>
      </c>
      <c r="D780" s="10">
        <v>45405</v>
      </c>
      <c r="E780" s="10">
        <v>45413</v>
      </c>
      <c r="F780" s="10">
        <v>45443</v>
      </c>
      <c r="G780" s="9">
        <v>3786332</v>
      </c>
      <c r="H780" s="9" t="str">
        <f t="shared" si="78"/>
        <v>Closed</v>
      </c>
      <c r="I780" s="9" t="str">
        <f t="shared" si="79"/>
        <v>All dates received</v>
      </c>
      <c r="J780" s="9" t="s">
        <v>235</v>
      </c>
      <c r="K780" s="9">
        <v>4909</v>
      </c>
      <c r="L780" s="11">
        <v>20</v>
      </c>
      <c r="M780" s="9" t="s">
        <v>1720</v>
      </c>
      <c r="N780" s="9"/>
      <c r="O780" s="9"/>
      <c r="P780" s="9"/>
      <c r="Q780" s="11"/>
      <c r="R780" s="9" t="s">
        <v>195</v>
      </c>
      <c r="S780" s="9" t="s">
        <v>1536</v>
      </c>
      <c r="T780" s="12">
        <f>IF($H780="Cancelled","",IFERROR(((Q780+INDEX(Variables!$B$6:$D$6,IFERROR(MATCH(IF($B780="Robusta","Robusta",(IF($B780="","Arabica",$B780))&amp;" - "&amp;(IF($C780="","Commercial",$C780))),Variables!$B$1:$D$1,0),1)))*22.0462)*(L780/16.67),""))</f>
        <v>7691.7036112777441</v>
      </c>
      <c r="U780" s="10"/>
      <c r="V780" s="9" t="str">
        <f t="shared" si="81"/>
        <v/>
      </c>
      <c r="W780" s="10">
        <v>45397</v>
      </c>
      <c r="X780" s="9" t="str">
        <f t="shared" si="77"/>
        <v>Approved</v>
      </c>
      <c r="Y780" s="10">
        <v>45400</v>
      </c>
      <c r="Z780" s="10">
        <f>IF($H780="Cancelled","",IFERROR(IF(F780="","",F780-Variables!$B$13),""))</f>
        <v>45428</v>
      </c>
      <c r="AA780" s="11">
        <f>IF($H780="Cancelled","",IFERROR(IF(W780="","",(AVERAGE(E780:F780)-W780)-Variables!$B$14),""))</f>
        <v>1</v>
      </c>
      <c r="AB780" s="10">
        <v>45425</v>
      </c>
      <c r="AC780" s="11">
        <f>IF($H780="Cancelled","",IFERROR(IF(AB780="","",IF(AND(W780="",Y780=""),"",IF(Y780&gt;W780,Y780+Variables!$B$15+Variables!$B$16+Variables!$B$17-AB780,W780+Variables!$B$16+Variables!$B$17-AB780))),""))</f>
        <v>-10</v>
      </c>
      <c r="AD780" s="9" t="s">
        <v>107</v>
      </c>
      <c r="AE780" s="9" t="s">
        <v>1557</v>
      </c>
      <c r="AF780" s="10"/>
      <c r="AG780" s="10"/>
      <c r="AH780" s="9"/>
      <c r="AI780" s="9" t="s">
        <v>1558</v>
      </c>
      <c r="AJ780" s="9" t="s">
        <v>8</v>
      </c>
      <c r="AK780" s="10">
        <v>45434</v>
      </c>
      <c r="AL780" s="10">
        <v>45436</v>
      </c>
      <c r="AM780" s="10">
        <v>45441</v>
      </c>
      <c r="AN780" s="9" t="s">
        <v>1492</v>
      </c>
      <c r="AO780" s="9"/>
      <c r="AP780" s="11">
        <f>IF($H780="Cancelled","",IFERROR(IF(OR(AK780="",AB780=""),"",(AB780+Variables!$B$18-AK780)),""))</f>
        <v>-2</v>
      </c>
      <c r="AQ780" s="11">
        <f>IF($H780="Cancelled","",IFERROR(IF(OR(AM780="",AK780=""),"",(AK780+Variables!$B$19)-AM780),""))</f>
        <v>-2</v>
      </c>
      <c r="AR780" s="12">
        <f>IF($H780="Cancelled","",IFERROR(T780*INDEX(Variables!$B$7:$D$7,IFERROR(MATCH(IF($B780="Robusta","Robusta",(IF($B780="","Arabica",$B780))&amp;" - "&amp;(IF($C780="","Commercial",$C780))),Variables!$B$1:$D$1,0),1))*(AQ780/365),""))</f>
        <v>-2.7176875101541578</v>
      </c>
      <c r="AS780" s="12">
        <f>IF($H780="Cancelled","",IFERROR((T780*INDEX(Variables!$B$7:$D$7,IFERROR(MATCH(IF($B780="Robusta","Robusta",(IF($B780="","Arabica",$B780))&amp;" - "&amp;(IF($C780="","Commercial",$C780))),Variables!$B$1:$D$1,0),1))*IFERROR(IF(W780="","",(AVERAGE(E780:F780)-W780)-Variables!$B$14),"")/365)+(L780/16.67*INDEX(Variables!$B$8:$D$8,IFERROR(MATCH(IF($B780="Robusta","Robusta",(IF($B780="","Arabica",$B780))&amp;" - "&amp;(IF($C780="","Commercial",$C780))),Variables!$B$1:$D$1,0),1))*IFERROR(IF(W780="","",(AVERAGE(E780:F780)-W780)-Variables!$B$14),""))+(T780*INDEX(Variables!$B$9:$D$9,IFERROR(MATCH(IF($B780="Robusta","Robusta",(IF($B780="","Arabica",$B780))&amp;" - "&amp;(IF($C780="","Commercial",$C780))),Variables!$B$1:$D$1,0),1))*IFERROR(IF(W780="","",(AVERAGE(E780:F780)-W780)-Variables!$B$14),"")/365),""))</f>
        <v>2.376361873466271</v>
      </c>
      <c r="AT780" s="12">
        <f>IF($H780="Cancelled","",IFERROR((T780*INDEX(Variables!$B$7:$D$7,IFERROR(MATCH(IF($B780="Robusta","Robusta",(IF($B780="","Arabica",$B780))&amp;" - "&amp;(IF($C780="","Commercial",$C780))),Variables!$B$1:$D$1,0),1))*AC780/365)+(L780/16.67*INDEX(Variables!$B$8:$D$8,IFERROR(MATCH(IF($B780="Robusta","Robusta",(IF($B780="","Arabica",$B780))&amp;" - "&amp;(IF($C780="","Commercial",$C780))),Variables!$B$1:$D$1,0),1))*AC780)+(T780*INDEX(Variables!$B$9:$D$9,IFERROR(MATCH(IF($B780="Robusta","Robusta",(IF($B780="","Arabica",$B780))&amp;" - "&amp;(IF($C780="","Commercial",$C780))),Variables!$B$1:$D$1,0),1))*AC780/365),""))</f>
        <v>-23.76361873466271</v>
      </c>
      <c r="AU780" s="12">
        <f>IF($H780="Cancelled","",IFERROR((T780*INDEX(Variables!$B$7:$D$7,IFERROR(MATCH(IF($B780="Robusta","Robusta",(IF($B780="","Arabica",$B780))&amp;" - "&amp;(IF($C780="","Commercial",$C780))),Variables!$B$1:$D$1,0),1))*AP780/365)+(L780/16.67*INDEX(Variables!$B$8:$D$8,IFERROR(MATCH(IF($B780="Robusta","Robusta",(IF($B780="","Arabica",$B780))&amp;" - "&amp;(IF($C780="","Commercial",$C780))),Variables!$B$1:$D$1,0),1))*AP780)+(T780*INDEX(Variables!$B$9:$D$9,IFERROR(MATCH(IF($B780="Robusta","Robusta",(IF($B780="","Arabica",$B780))&amp;" - "&amp;(IF($C780="","Commercial",$C780))),Variables!$B$1:$D$1,0),1))*AP780/365),""))</f>
        <v>-4.7527237469325421</v>
      </c>
      <c r="AV780" s="11">
        <f t="shared" si="80"/>
        <v>9</v>
      </c>
      <c r="AW780" s="12">
        <f>IF($H780="Cancelled","",IFERROR(IF(AV780="","",(T780*INDEX(Variables!$B$7:$D$7,IFERROR(MATCH(IF($B780="Robusta","Robusta",(IF($B780="","Arabica",$B780))&amp;" - "&amp;(IF($C780="","Commercial",$C780))),Variables!$B$1:$D$1,0),1))*(AV780/365))+(T780*INDEX(Variables!$B$9:$D$9,IFERROR(MATCH(IF($B780="Robusta","Robusta",(IF($B780="","Arabica",$B780))&amp;" - "&amp;(IF($C780="","Commercial",$C780))),Variables!$B$1:$D$1,0),1))*(AV780/365))+(INDEX(Variables!$B$8:$D$8,IFERROR(MATCH(IF($B780="Robusta","Robusta",(IF($B780="","Arabica",$B780))&amp;" - "&amp;(IF($C780="","Commercial",$C780))),Variables!$B$1:$D$1,0),1))*L780/16.67)),""))</f>
        <v>13.387256861196441</v>
      </c>
      <c r="AX780" s="9"/>
      <c r="AY780" s="12"/>
      <c r="AZ780" s="10"/>
      <c r="BA780" s="9"/>
      <c r="BB780" s="10"/>
      <c r="BC780" s="9"/>
      <c r="BD780" s="9"/>
      <c r="BE780" s="9"/>
      <c r="BF780" s="9"/>
    </row>
    <row r="781" spans="1:58" x14ac:dyDescent="0.25">
      <c r="A781" s="9" t="s">
        <v>84</v>
      </c>
      <c r="B781" s="9" t="s">
        <v>85</v>
      </c>
      <c r="C781" s="9" t="s">
        <v>1486</v>
      </c>
      <c r="D781" s="10">
        <v>45405</v>
      </c>
      <c r="E781" s="10">
        <v>45413</v>
      </c>
      <c r="F781" s="10">
        <v>45443</v>
      </c>
      <c r="G781" s="9">
        <v>3786333</v>
      </c>
      <c r="H781" s="9" t="str">
        <f t="shared" si="78"/>
        <v>Closed</v>
      </c>
      <c r="I781" s="9" t="str">
        <f t="shared" si="79"/>
        <v>All dates received</v>
      </c>
      <c r="J781" s="9" t="s">
        <v>235</v>
      </c>
      <c r="K781" s="9">
        <v>4982</v>
      </c>
      <c r="L781" s="11">
        <v>25</v>
      </c>
      <c r="M781" s="9" t="s">
        <v>1721</v>
      </c>
      <c r="N781" s="9"/>
      <c r="O781" s="9"/>
      <c r="P781" s="9"/>
      <c r="Q781" s="11"/>
      <c r="R781" s="9" t="s">
        <v>195</v>
      </c>
      <c r="S781" s="9" t="s">
        <v>1536</v>
      </c>
      <c r="T781" s="12">
        <f>IF($H781="Cancelled","",IFERROR(((Q781+INDEX(Variables!$B$6:$D$6,IFERROR(MATCH(IF($B781="Robusta","Robusta",(IF($B781="","Arabica",$B781))&amp;" - "&amp;(IF($C781="","Commercial",$C781))),Variables!$B$1:$D$1,0),1)))*22.0462)*(L781/16.67),""))</f>
        <v>9614.6295140971797</v>
      </c>
      <c r="U781" s="10"/>
      <c r="V781" s="9" t="str">
        <f t="shared" si="81"/>
        <v/>
      </c>
      <c r="W781" s="10">
        <v>45397</v>
      </c>
      <c r="X781" s="9" t="str">
        <f t="shared" si="77"/>
        <v>Approved</v>
      </c>
      <c r="Y781" s="10">
        <v>45400</v>
      </c>
      <c r="Z781" s="10">
        <f>IF($H781="Cancelled","",IFERROR(IF(F781="","",F781-Variables!$B$13),""))</f>
        <v>45428</v>
      </c>
      <c r="AA781" s="11">
        <f>IF($H781="Cancelled","",IFERROR(IF(W781="","",(AVERAGE(E781:F781)-W781)-Variables!$B$14),""))</f>
        <v>1</v>
      </c>
      <c r="AB781" s="10">
        <v>45462</v>
      </c>
      <c r="AC781" s="11">
        <f>IF($H781="Cancelled","",IFERROR(IF(AB781="","",IF(AND(W781="",Y781=""),"",IF(Y781&gt;W781,Y781+Variables!$B$15+Variables!$B$16+Variables!$B$17-AB781,W781+Variables!$B$16+Variables!$B$17-AB781))),""))</f>
        <v>-47</v>
      </c>
      <c r="AD781" s="9" t="s">
        <v>107</v>
      </c>
      <c r="AE781" s="9" t="s">
        <v>374</v>
      </c>
      <c r="AF781" s="10"/>
      <c r="AG781" s="10"/>
      <c r="AH781" s="9"/>
      <c r="AI781" s="9" t="s">
        <v>1686</v>
      </c>
      <c r="AJ781" s="9" t="s">
        <v>8</v>
      </c>
      <c r="AK781" s="10">
        <v>45485</v>
      </c>
      <c r="AL781" s="10">
        <v>45490</v>
      </c>
      <c r="AM781" s="10">
        <v>45516</v>
      </c>
      <c r="AN781" s="9" t="s">
        <v>1492</v>
      </c>
      <c r="AO781" s="9"/>
      <c r="AP781" s="11">
        <f>IF($H781="Cancelled","",IFERROR(IF(OR(AK781="",AB781=""),"",(AB781+Variables!$B$18-AK781)),""))</f>
        <v>-16</v>
      </c>
      <c r="AQ781" s="11">
        <f>IF($H781="Cancelled","",IFERROR(IF(OR(AM781="",AK781=""),"",(AK781+Variables!$B$19)-AM781),""))</f>
        <v>-26</v>
      </c>
      <c r="AR781" s="12">
        <f>IF($H781="Cancelled","",IFERROR(T781*INDEX(Variables!$B$7:$D$7,IFERROR(MATCH(IF($B781="Robusta","Robusta",(IF($B781="","Arabica",$B781))&amp;" - "&amp;(IF($C781="","Commercial",$C781))),Variables!$B$1:$D$1,0),1))*(AQ781/365),""))</f>
        <v>-44.162422040005062</v>
      </c>
      <c r="AS781" s="12">
        <f>IF($H781="Cancelled","",IFERROR((T781*INDEX(Variables!$B$7:$D$7,IFERROR(MATCH(IF($B781="Robusta","Robusta",(IF($B781="","Arabica",$B781))&amp;" - "&amp;(IF($C781="","Commercial",$C781))),Variables!$B$1:$D$1,0),1))*IFERROR(IF(W781="","",(AVERAGE(E781:F781)-W781)-Variables!$B$14),"")/365)+(L781/16.67*INDEX(Variables!$B$8:$D$8,IFERROR(MATCH(IF($B781="Robusta","Robusta",(IF($B781="","Arabica",$B781))&amp;" - "&amp;(IF($C781="","Commercial",$C781))),Variables!$B$1:$D$1,0),1))*IFERROR(IF(W781="","",(AVERAGE(E781:F781)-W781)-Variables!$B$14),""))+(T781*INDEX(Variables!$B$9:$D$9,IFERROR(MATCH(IF($B781="Robusta","Robusta",(IF($B781="","Arabica",$B781))&amp;" - "&amp;(IF($C781="","Commercial",$C781))),Variables!$B$1:$D$1,0),1))*IFERROR(IF(W781="","",(AVERAGE(E781:F781)-W781)-Variables!$B$14),"")/365),""))</f>
        <v>2.9704523418328388</v>
      </c>
      <c r="AT781" s="12">
        <f>IF($H781="Cancelled","",IFERROR((T781*INDEX(Variables!$B$7:$D$7,IFERROR(MATCH(IF($B781="Robusta","Robusta",(IF($B781="","Arabica",$B781))&amp;" - "&amp;(IF($C781="","Commercial",$C781))),Variables!$B$1:$D$1,0),1))*AC781/365)+(L781/16.67*INDEX(Variables!$B$8:$D$8,IFERROR(MATCH(IF($B781="Robusta","Robusta",(IF($B781="","Arabica",$B781))&amp;" - "&amp;(IF($C781="","Commercial",$C781))),Variables!$B$1:$D$1,0),1))*AC781)+(T781*INDEX(Variables!$B$9:$D$9,IFERROR(MATCH(IF($B781="Robusta","Robusta",(IF($B781="","Arabica",$B781))&amp;" - "&amp;(IF($C781="","Commercial",$C781))),Variables!$B$1:$D$1,0),1))*AC781/365),""))</f>
        <v>-139.61126006614342</v>
      </c>
      <c r="AU781" s="12">
        <f>IF($H781="Cancelled","",IFERROR((T781*INDEX(Variables!$B$7:$D$7,IFERROR(MATCH(IF($B781="Robusta","Robusta",(IF($B781="","Arabica",$B781))&amp;" - "&amp;(IF($C781="","Commercial",$C781))),Variables!$B$1:$D$1,0),1))*AP781/365)+(L781/16.67*INDEX(Variables!$B$8:$D$8,IFERROR(MATCH(IF($B781="Robusta","Robusta",(IF($B781="","Arabica",$B781))&amp;" - "&amp;(IF($C781="","Commercial",$C781))),Variables!$B$1:$D$1,0),1))*AP781)+(T781*INDEX(Variables!$B$9:$D$9,IFERROR(MATCH(IF($B781="Robusta","Robusta",(IF($B781="","Arabica",$B781))&amp;" - "&amp;(IF($C781="","Commercial",$C781))),Variables!$B$1:$D$1,0),1))*AP781/365),""))</f>
        <v>-47.527237469325421</v>
      </c>
      <c r="AV781" s="11">
        <f t="shared" si="80"/>
        <v>-42</v>
      </c>
      <c r="AW781" s="12">
        <f>IF($H781="Cancelled","",IFERROR(IF(AV781="","",(T781*INDEX(Variables!$B$7:$D$7,IFERROR(MATCH(IF($B781="Robusta","Robusta",(IF($B781="","Arabica",$B781))&amp;" - "&amp;(IF($C781="","Commercial",$C781))),Variables!$B$1:$D$1,0),1))*(AV781/365))+(T781*INDEX(Variables!$B$9:$D$9,IFERROR(MATCH(IF($B781="Robusta","Robusta",(IF($B781="","Arabica",$B781))&amp;" - "&amp;(IF($C781="","Commercial",$C781))),Variables!$B$1:$D$1,0),1))*(AV781/365))+(INDEX(Variables!$B$8:$D$8,IFERROR(MATCH(IF($B781="Robusta","Robusta",(IF($B781="","Arabica",$B781))&amp;" - "&amp;(IF($C781="","Commercial",$C781))),Variables!$B$1:$D$1,0),1))*L781/16.67)),""))</f>
        <v>-71.008998356979234</v>
      </c>
      <c r="AX781" s="9"/>
      <c r="AY781" s="12"/>
      <c r="AZ781" s="10"/>
      <c r="BA781" s="9"/>
      <c r="BB781" s="10"/>
      <c r="BC781" s="9"/>
      <c r="BD781" s="9"/>
      <c r="BE781" s="9"/>
      <c r="BF781" s="9"/>
    </row>
    <row r="782" spans="1:58" x14ac:dyDescent="0.25">
      <c r="A782" s="9" t="s">
        <v>84</v>
      </c>
      <c r="B782" s="9" t="s">
        <v>85</v>
      </c>
      <c r="C782" s="9" t="s">
        <v>1486</v>
      </c>
      <c r="D782" s="10">
        <v>45405</v>
      </c>
      <c r="E782" s="10">
        <v>45413</v>
      </c>
      <c r="F782" s="10">
        <v>45443</v>
      </c>
      <c r="G782" s="9">
        <v>3786334</v>
      </c>
      <c r="H782" s="9" t="str">
        <f t="shared" si="78"/>
        <v>Closed</v>
      </c>
      <c r="I782" s="9" t="str">
        <f t="shared" si="79"/>
        <v>All dates received</v>
      </c>
      <c r="J782" s="9" t="s">
        <v>235</v>
      </c>
      <c r="K782" s="9">
        <v>4983</v>
      </c>
      <c r="L782" s="11">
        <v>4</v>
      </c>
      <c r="M782" s="9" t="s">
        <v>1722</v>
      </c>
      <c r="N782" s="9"/>
      <c r="O782" s="9"/>
      <c r="P782" s="9"/>
      <c r="Q782" s="11"/>
      <c r="R782" s="9" t="s">
        <v>195</v>
      </c>
      <c r="S782" s="9" t="s">
        <v>1536</v>
      </c>
      <c r="T782" s="12">
        <f>IF($H782="Cancelled","",IFERROR(((Q782+INDEX(Variables!$B$6:$D$6,IFERROR(MATCH(IF($B782="Robusta","Robusta",(IF($B782="","Arabica",$B782))&amp;" - "&amp;(IF($C782="","Commercial",$C782))),Variables!$B$1:$D$1,0),1)))*22.0462)*(L782/16.67),""))</f>
        <v>1538.3407222555486</v>
      </c>
      <c r="U782" s="10"/>
      <c r="V782" s="9" t="str">
        <f t="shared" si="81"/>
        <v/>
      </c>
      <c r="W782" s="10">
        <v>45397</v>
      </c>
      <c r="X782" s="9" t="str">
        <f t="shared" si="77"/>
        <v>Approved</v>
      </c>
      <c r="Y782" s="10">
        <v>45400</v>
      </c>
      <c r="Z782" s="10">
        <f>IF($H782="Cancelled","",IFERROR(IF(F782="","",F782-Variables!$B$13),""))</f>
        <v>45428</v>
      </c>
      <c r="AA782" s="11">
        <f>IF($H782="Cancelled","",IFERROR(IF(W782="","",(AVERAGE(E782:F782)-W782)-Variables!$B$14),""))</f>
        <v>1</v>
      </c>
      <c r="AB782" s="10">
        <v>45462</v>
      </c>
      <c r="AC782" s="11">
        <f>IF($H782="Cancelled","",IFERROR(IF(AB782="","",IF(AND(W782="",Y782=""),"",IF(Y782&gt;W782,Y782+Variables!$B$15+Variables!$B$16+Variables!$B$17-AB782,W782+Variables!$B$16+Variables!$B$17-AB782))),""))</f>
        <v>-47</v>
      </c>
      <c r="AD782" s="9" t="s">
        <v>107</v>
      </c>
      <c r="AE782" s="9" t="s">
        <v>374</v>
      </c>
      <c r="AF782" s="10"/>
      <c r="AG782" s="10"/>
      <c r="AH782" s="9"/>
      <c r="AI782" s="9" t="s">
        <v>1686</v>
      </c>
      <c r="AJ782" s="9" t="s">
        <v>8</v>
      </c>
      <c r="AK782" s="10">
        <v>45485</v>
      </c>
      <c r="AL782" s="10">
        <v>45490</v>
      </c>
      <c r="AM782" s="10">
        <v>45516</v>
      </c>
      <c r="AN782" s="9" t="s">
        <v>1492</v>
      </c>
      <c r="AO782" s="9"/>
      <c r="AP782" s="11">
        <f>IF($H782="Cancelled","",IFERROR(IF(OR(AK782="",AB782=""),"",(AB782+Variables!$B$18-AK782)),""))</f>
        <v>-16</v>
      </c>
      <c r="AQ782" s="11">
        <f>IF($H782="Cancelled","",IFERROR(IF(OR(AM782="",AK782=""),"",(AK782+Variables!$B$19)-AM782),""))</f>
        <v>-26</v>
      </c>
      <c r="AR782" s="12">
        <f>IF($H782="Cancelled","",IFERROR(T782*INDEX(Variables!$B$7:$D$7,IFERROR(MATCH(IF($B782="Robusta","Robusta",(IF($B782="","Arabica",$B782))&amp;" - "&amp;(IF($C782="","Commercial",$C782))),Variables!$B$1:$D$1,0),1))*(AQ782/365),""))</f>
        <v>-7.065987526400809</v>
      </c>
      <c r="AS782" s="12">
        <f>IF($H782="Cancelled","",IFERROR((T782*INDEX(Variables!$B$7:$D$7,IFERROR(MATCH(IF($B782="Robusta","Robusta",(IF($B782="","Arabica",$B782))&amp;" - "&amp;(IF($C782="","Commercial",$C782))),Variables!$B$1:$D$1,0),1))*IFERROR(IF(W782="","",(AVERAGE(E782:F782)-W782)-Variables!$B$14),"")/365)+(L782/16.67*INDEX(Variables!$B$8:$D$8,IFERROR(MATCH(IF($B782="Robusta","Robusta",(IF($B782="","Arabica",$B782))&amp;" - "&amp;(IF($C782="","Commercial",$C782))),Variables!$B$1:$D$1,0),1))*IFERROR(IF(W782="","",(AVERAGE(E782:F782)-W782)-Variables!$B$14),""))+(T782*INDEX(Variables!$B$9:$D$9,IFERROR(MATCH(IF($B782="Robusta","Robusta",(IF($B782="","Arabica",$B782))&amp;" - "&amp;(IF($C782="","Commercial",$C782))),Variables!$B$1:$D$1,0),1))*IFERROR(IF(W782="","",(AVERAGE(E782:F782)-W782)-Variables!$B$14),"")/365),""))</f>
        <v>0.47527237469325417</v>
      </c>
      <c r="AT782" s="12">
        <f>IF($H782="Cancelled","",IFERROR((T782*INDEX(Variables!$B$7:$D$7,IFERROR(MATCH(IF($B782="Robusta","Robusta",(IF($B782="","Arabica",$B782))&amp;" - "&amp;(IF($C782="","Commercial",$C782))),Variables!$B$1:$D$1,0),1))*AC782/365)+(L782/16.67*INDEX(Variables!$B$8:$D$8,IFERROR(MATCH(IF($B782="Robusta","Robusta",(IF($B782="","Arabica",$B782))&amp;" - "&amp;(IF($C782="","Commercial",$C782))),Variables!$B$1:$D$1,0),1))*AC782)+(T782*INDEX(Variables!$B$9:$D$9,IFERROR(MATCH(IF($B782="Robusta","Robusta",(IF($B782="","Arabica",$B782))&amp;" - "&amp;(IF($C782="","Commercial",$C782))),Variables!$B$1:$D$1,0),1))*AC782/365),""))</f>
        <v>-22.337801610582947</v>
      </c>
      <c r="AU782" s="12">
        <f>IF($H782="Cancelled","",IFERROR((T782*INDEX(Variables!$B$7:$D$7,IFERROR(MATCH(IF($B782="Robusta","Robusta",(IF($B782="","Arabica",$B782))&amp;" - "&amp;(IF($C782="","Commercial",$C782))),Variables!$B$1:$D$1,0),1))*AP782/365)+(L782/16.67*INDEX(Variables!$B$8:$D$8,IFERROR(MATCH(IF($B782="Robusta","Robusta",(IF($B782="","Arabica",$B782))&amp;" - "&amp;(IF($C782="","Commercial",$C782))),Variables!$B$1:$D$1,0),1))*AP782)+(T782*INDEX(Variables!$B$9:$D$9,IFERROR(MATCH(IF($B782="Robusta","Robusta",(IF($B782="","Arabica",$B782))&amp;" - "&amp;(IF($C782="","Commercial",$C782))),Variables!$B$1:$D$1,0),1))*AP782/365),""))</f>
        <v>-7.6043579950920668</v>
      </c>
      <c r="AV782" s="11">
        <f t="shared" si="80"/>
        <v>-42</v>
      </c>
      <c r="AW782" s="12">
        <f>IF($H782="Cancelled","",IFERROR(IF(AV782="","",(T782*INDEX(Variables!$B$7:$D$7,IFERROR(MATCH(IF($B782="Robusta","Robusta",(IF($B782="","Arabica",$B782))&amp;" - "&amp;(IF($C782="","Commercial",$C782))),Variables!$B$1:$D$1,0),1))*(AV782/365))+(T782*INDEX(Variables!$B$9:$D$9,IFERROR(MATCH(IF($B782="Robusta","Robusta",(IF($B782="","Arabica",$B782))&amp;" - "&amp;(IF($C782="","Commercial",$C782))),Variables!$B$1:$D$1,0),1))*(AV782/365))+(INDEX(Variables!$B$8:$D$8,IFERROR(MATCH(IF($B782="Robusta","Robusta",(IF($B782="","Arabica",$B782))&amp;" - "&amp;(IF($C782="","Commercial",$C782))),Variables!$B$1:$D$1,0),1))*L782/16.67)),""))</f>
        <v>-11.361439737116676</v>
      </c>
      <c r="AX782" s="9"/>
      <c r="AY782" s="12"/>
      <c r="AZ782" s="10"/>
      <c r="BA782" s="9"/>
      <c r="BB782" s="10"/>
      <c r="BC782" s="9"/>
      <c r="BD782" s="9"/>
      <c r="BE782" s="9"/>
      <c r="BF782" s="9"/>
    </row>
    <row r="783" spans="1:58" x14ac:dyDescent="0.25">
      <c r="A783" s="9" t="s">
        <v>84</v>
      </c>
      <c r="B783" s="9" t="s">
        <v>85</v>
      </c>
      <c r="C783" s="9" t="s">
        <v>1486</v>
      </c>
      <c r="D783" s="10">
        <v>45407</v>
      </c>
      <c r="E783" s="10">
        <v>45413</v>
      </c>
      <c r="F783" s="10">
        <v>45443</v>
      </c>
      <c r="G783" s="9">
        <v>3786339</v>
      </c>
      <c r="H783" s="9" t="str">
        <f t="shared" si="78"/>
        <v>Closed</v>
      </c>
      <c r="I783" s="9" t="str">
        <f t="shared" si="79"/>
        <v>All dates received</v>
      </c>
      <c r="J783" s="9" t="s">
        <v>360</v>
      </c>
      <c r="K783" s="9">
        <v>4898</v>
      </c>
      <c r="L783" s="11">
        <v>12</v>
      </c>
      <c r="M783" s="9" t="s">
        <v>1723</v>
      </c>
      <c r="N783" s="9"/>
      <c r="O783" s="9"/>
      <c r="P783" s="9"/>
      <c r="Q783" s="11"/>
      <c r="R783" s="9" t="s">
        <v>195</v>
      </c>
      <c r="S783" s="9" t="s">
        <v>312</v>
      </c>
      <c r="T783" s="12">
        <f>IF($H783="Cancelled","",IFERROR(((Q783+INDEX(Variables!$B$6:$D$6,IFERROR(MATCH(IF($B783="Robusta","Robusta",(IF($B783="","Arabica",$B783))&amp;" - "&amp;(IF($C783="","Commercial",$C783))),Variables!$B$1:$D$1,0),1)))*22.0462)*(L783/16.67),""))</f>
        <v>4615.0221667666456</v>
      </c>
      <c r="U783" s="10"/>
      <c r="V783" s="9" t="str">
        <f t="shared" si="81"/>
        <v/>
      </c>
      <c r="W783" s="10">
        <v>45397</v>
      </c>
      <c r="X783" s="9" t="str">
        <f t="shared" si="77"/>
        <v>Approved</v>
      </c>
      <c r="Y783" s="10">
        <v>45400</v>
      </c>
      <c r="Z783" s="10">
        <f>IF($H783="Cancelled","",IFERROR(IF(F783="","",F783-Variables!$B$13),""))</f>
        <v>45428</v>
      </c>
      <c r="AA783" s="11">
        <f>IF($H783="Cancelled","",IFERROR(IF(W783="","",(AVERAGE(E783:F783)-W783)-Variables!$B$14),""))</f>
        <v>1</v>
      </c>
      <c r="AB783" s="10">
        <v>45432</v>
      </c>
      <c r="AC783" s="11">
        <f>IF($H783="Cancelled","",IFERROR(IF(AB783="","",IF(AND(W783="",Y783=""),"",IF(Y783&gt;W783,Y783+Variables!$B$15+Variables!$B$16+Variables!$B$17-AB783,W783+Variables!$B$16+Variables!$B$17-AB783))),""))</f>
        <v>-17</v>
      </c>
      <c r="AD783" s="9" t="s">
        <v>163</v>
      </c>
      <c r="AE783" s="9" t="s">
        <v>362</v>
      </c>
      <c r="AF783" s="10"/>
      <c r="AG783" s="10"/>
      <c r="AH783" s="9"/>
      <c r="AI783" s="9">
        <v>239474860</v>
      </c>
      <c r="AJ783" s="9" t="s">
        <v>8</v>
      </c>
      <c r="AK783" s="10">
        <v>45446</v>
      </c>
      <c r="AL783" s="10">
        <v>45448</v>
      </c>
      <c r="AM783" s="10">
        <v>45450</v>
      </c>
      <c r="AN783" s="9" t="s">
        <v>1492</v>
      </c>
      <c r="AO783" s="9"/>
      <c r="AP783" s="11">
        <f>IF($H783="Cancelled","",IFERROR(IF(OR(AK783="",AB783=""),"",(AB783+Variables!$B$18-AK783)),""))</f>
        <v>-7</v>
      </c>
      <c r="AQ783" s="11">
        <f>IF($H783="Cancelled","",IFERROR(IF(OR(AM783="",AK783=""),"",(AK783+Variables!$B$19)-AM783),""))</f>
        <v>1</v>
      </c>
      <c r="AR783" s="12">
        <f>IF($H783="Cancelled","",IFERROR(T783*INDEX(Variables!$B$7:$D$7,IFERROR(MATCH(IF($B783="Robusta","Robusta",(IF($B783="","Arabica",$B783))&amp;" - "&amp;(IF($C783="","Commercial",$C783))),Variables!$B$1:$D$1,0),1))*(AQ783/365),""))</f>
        <v>0.81530625304624704</v>
      </c>
      <c r="AS783" s="12">
        <f>IF($H783="Cancelled","",IFERROR((T783*INDEX(Variables!$B$7:$D$7,IFERROR(MATCH(IF($B783="Robusta","Robusta",(IF($B783="","Arabica",$B783))&amp;" - "&amp;(IF($C783="","Commercial",$C783))),Variables!$B$1:$D$1,0),1))*IFERROR(IF(W783="","",(AVERAGE(E783:F783)-W783)-Variables!$B$14),"")/365)+(L783/16.67*INDEX(Variables!$B$8:$D$8,IFERROR(MATCH(IF($B783="Robusta","Robusta",(IF($B783="","Arabica",$B783))&amp;" - "&amp;(IF($C783="","Commercial",$C783))),Variables!$B$1:$D$1,0),1))*IFERROR(IF(W783="","",(AVERAGE(E783:F783)-W783)-Variables!$B$14),""))+(T783*INDEX(Variables!$B$9:$D$9,IFERROR(MATCH(IF($B783="Robusta","Robusta",(IF($B783="","Arabica",$B783))&amp;" - "&amp;(IF($C783="","Commercial",$C783))),Variables!$B$1:$D$1,0),1))*IFERROR(IF(W783="","",(AVERAGE(E783:F783)-W783)-Variables!$B$14),"")/365),""))</f>
        <v>1.4258171240797624</v>
      </c>
      <c r="AT783" s="12">
        <f>IF($H783="Cancelled","",IFERROR((T783*INDEX(Variables!$B$7:$D$7,IFERROR(MATCH(IF($B783="Robusta","Robusta",(IF($B783="","Arabica",$B783))&amp;" - "&amp;(IF($C783="","Commercial",$C783))),Variables!$B$1:$D$1,0),1))*AC783/365)+(L783/16.67*INDEX(Variables!$B$8:$D$8,IFERROR(MATCH(IF($B783="Robusta","Robusta",(IF($B783="","Arabica",$B783))&amp;" - "&amp;(IF($C783="","Commercial",$C783))),Variables!$B$1:$D$1,0),1))*AC783)+(T783*INDEX(Variables!$B$9:$D$9,IFERROR(MATCH(IF($B783="Robusta","Robusta",(IF($B783="","Arabica",$B783))&amp;" - "&amp;(IF($C783="","Commercial",$C783))),Variables!$B$1:$D$1,0),1))*AC783/365),""))</f>
        <v>-24.238891109355961</v>
      </c>
      <c r="AU783" s="12">
        <f>IF($H783="Cancelled","",IFERROR((T783*INDEX(Variables!$B$7:$D$7,IFERROR(MATCH(IF($B783="Robusta","Robusta",(IF($B783="","Arabica",$B783))&amp;" - "&amp;(IF($C783="","Commercial",$C783))),Variables!$B$1:$D$1,0),1))*AP783/365)+(L783/16.67*INDEX(Variables!$B$8:$D$8,IFERROR(MATCH(IF($B783="Robusta","Robusta",(IF($B783="","Arabica",$B783))&amp;" - "&amp;(IF($C783="","Commercial",$C783))),Variables!$B$1:$D$1,0),1))*AP783)+(T783*INDEX(Variables!$B$9:$D$9,IFERROR(MATCH(IF($B783="Robusta","Robusta",(IF($B783="","Arabica",$B783))&amp;" - "&amp;(IF($C783="","Commercial",$C783))),Variables!$B$1:$D$1,0),1))*AP783/365),""))</f>
        <v>-9.9807198685583369</v>
      </c>
      <c r="AV783" s="11">
        <f t="shared" si="80"/>
        <v>-3</v>
      </c>
      <c r="AW783" s="12">
        <f>IF($H783="Cancelled","",IFERROR(IF(AV783="","",(T783*INDEX(Variables!$B$7:$D$7,IFERROR(MATCH(IF($B783="Robusta","Robusta",(IF($B783="","Arabica",$B783))&amp;" - "&amp;(IF($C783="","Commercial",$C783))),Variables!$B$1:$D$1,0),1))*(AV783/365))+(T783*INDEX(Variables!$B$9:$D$9,IFERROR(MATCH(IF($B783="Robusta","Robusta",(IF($B783="","Arabica",$B783))&amp;" - "&amp;(IF($C783="","Commercial",$C783))),Variables!$B$1:$D$1,0),1))*(AV783/365))+(INDEX(Variables!$B$8:$D$8,IFERROR(MATCH(IF($B783="Robusta","Robusta",(IF($B783="","Arabica",$B783))&amp;" - "&amp;(IF($C783="","Commercial",$C783))),Variables!$B$1:$D$1,0),1))*L783/16.67)),""))</f>
        <v>-1.8774513722392872</v>
      </c>
      <c r="AX783" s="9"/>
      <c r="AY783" s="12"/>
      <c r="AZ783" s="10"/>
      <c r="BA783" s="9"/>
      <c r="BB783" s="10"/>
      <c r="BC783" s="9"/>
      <c r="BD783" s="9"/>
      <c r="BE783" s="9"/>
      <c r="BF783" s="9"/>
    </row>
    <row r="784" spans="1:58" x14ac:dyDescent="0.25">
      <c r="A784" s="9" t="s">
        <v>84</v>
      </c>
      <c r="B784" s="9" t="s">
        <v>85</v>
      </c>
      <c r="C784" s="9" t="s">
        <v>1486</v>
      </c>
      <c r="D784" s="10">
        <v>45407</v>
      </c>
      <c r="E784" s="10">
        <v>45413</v>
      </c>
      <c r="F784" s="10">
        <v>45443</v>
      </c>
      <c r="G784" s="9">
        <v>3786340</v>
      </c>
      <c r="H784" s="9" t="str">
        <f t="shared" si="78"/>
        <v>Closed</v>
      </c>
      <c r="I784" s="9" t="str">
        <f t="shared" si="79"/>
        <v>All dates received</v>
      </c>
      <c r="J784" s="9" t="s">
        <v>360</v>
      </c>
      <c r="K784" s="9">
        <v>4899</v>
      </c>
      <c r="L784" s="11">
        <v>10</v>
      </c>
      <c r="M784" s="9" t="s">
        <v>1724</v>
      </c>
      <c r="N784" s="9"/>
      <c r="O784" s="9"/>
      <c r="P784" s="9"/>
      <c r="Q784" s="11"/>
      <c r="R784" s="9" t="s">
        <v>195</v>
      </c>
      <c r="S784" s="9" t="s">
        <v>312</v>
      </c>
      <c r="T784" s="12">
        <f>IF($H784="Cancelled","",IFERROR(((Q784+INDEX(Variables!$B$6:$D$6,IFERROR(MATCH(IF($B784="Robusta","Robusta",(IF($B784="","Arabica",$B784))&amp;" - "&amp;(IF($C784="","Commercial",$C784))),Variables!$B$1:$D$1,0),1)))*22.0462)*(L784/16.67),""))</f>
        <v>3845.8518056388721</v>
      </c>
      <c r="U784" s="10"/>
      <c r="V784" s="9" t="str">
        <f t="shared" si="81"/>
        <v/>
      </c>
      <c r="W784" s="10">
        <v>45397</v>
      </c>
      <c r="X784" s="9" t="str">
        <f t="shared" si="77"/>
        <v>Approved</v>
      </c>
      <c r="Y784" s="10">
        <v>45400</v>
      </c>
      <c r="Z784" s="10">
        <f>IF($H784="Cancelled","",IFERROR(IF(F784="","",F784-Variables!$B$13),""))</f>
        <v>45428</v>
      </c>
      <c r="AA784" s="11">
        <f>IF($H784="Cancelled","",IFERROR(IF(W784="","",(AVERAGE(E784:F784)-W784)-Variables!$B$14),""))</f>
        <v>1</v>
      </c>
      <c r="AB784" s="10">
        <v>45432</v>
      </c>
      <c r="AC784" s="11">
        <f>IF($H784="Cancelled","",IFERROR(IF(AB784="","",IF(AND(W784="",Y784=""),"",IF(Y784&gt;W784,Y784+Variables!$B$15+Variables!$B$16+Variables!$B$17-AB784,W784+Variables!$B$16+Variables!$B$17-AB784))),""))</f>
        <v>-17</v>
      </c>
      <c r="AD784" s="9" t="s">
        <v>163</v>
      </c>
      <c r="AE784" s="9" t="s">
        <v>362</v>
      </c>
      <c r="AF784" s="10"/>
      <c r="AG784" s="10"/>
      <c r="AH784" s="9"/>
      <c r="AI784" s="9">
        <v>239474860</v>
      </c>
      <c r="AJ784" s="9" t="s">
        <v>8</v>
      </c>
      <c r="AK784" s="10">
        <v>45446</v>
      </c>
      <c r="AL784" s="10">
        <v>45448</v>
      </c>
      <c r="AM784" s="10">
        <v>45450</v>
      </c>
      <c r="AN784" s="9" t="s">
        <v>1492</v>
      </c>
      <c r="AO784" s="9"/>
      <c r="AP784" s="11">
        <f>IF($H784="Cancelled","",IFERROR(IF(OR(AK784="",AB784=""),"",(AB784+Variables!$B$18-AK784)),""))</f>
        <v>-7</v>
      </c>
      <c r="AQ784" s="11">
        <f>IF($H784="Cancelled","",IFERROR(IF(OR(AM784="",AK784=""),"",(AK784+Variables!$B$19)-AM784),""))</f>
        <v>1</v>
      </c>
      <c r="AR784" s="12">
        <f>IF($H784="Cancelled","",IFERROR(T784*INDEX(Variables!$B$7:$D$7,IFERROR(MATCH(IF($B784="Robusta","Robusta",(IF($B784="","Arabica",$B784))&amp;" - "&amp;(IF($C784="","Commercial",$C784))),Variables!$B$1:$D$1,0),1))*(AQ784/365),""))</f>
        <v>0.67942187753853944</v>
      </c>
      <c r="AS784" s="12">
        <f>IF($H784="Cancelled","",IFERROR((T784*INDEX(Variables!$B$7:$D$7,IFERROR(MATCH(IF($B784="Robusta","Robusta",(IF($B784="","Arabica",$B784))&amp;" - "&amp;(IF($C784="","Commercial",$C784))),Variables!$B$1:$D$1,0),1))*IFERROR(IF(W784="","",(AVERAGE(E784:F784)-W784)-Variables!$B$14),"")/365)+(L784/16.67*INDEX(Variables!$B$8:$D$8,IFERROR(MATCH(IF($B784="Robusta","Robusta",(IF($B784="","Arabica",$B784))&amp;" - "&amp;(IF($C784="","Commercial",$C784))),Variables!$B$1:$D$1,0),1))*IFERROR(IF(W784="","",(AVERAGE(E784:F784)-W784)-Variables!$B$14),""))+(T784*INDEX(Variables!$B$9:$D$9,IFERROR(MATCH(IF($B784="Robusta","Robusta",(IF($B784="","Arabica",$B784))&amp;" - "&amp;(IF($C784="","Commercial",$C784))),Variables!$B$1:$D$1,0),1))*IFERROR(IF(W784="","",(AVERAGE(E784:F784)-W784)-Variables!$B$14),"")/365),""))</f>
        <v>1.1881809367331355</v>
      </c>
      <c r="AT784" s="12">
        <f>IF($H784="Cancelled","",IFERROR((T784*INDEX(Variables!$B$7:$D$7,IFERROR(MATCH(IF($B784="Robusta","Robusta",(IF($B784="","Arabica",$B784))&amp;" - "&amp;(IF($C784="","Commercial",$C784))),Variables!$B$1:$D$1,0),1))*AC784/365)+(L784/16.67*INDEX(Variables!$B$8:$D$8,IFERROR(MATCH(IF($B784="Robusta","Robusta",(IF($B784="","Arabica",$B784))&amp;" - "&amp;(IF($C784="","Commercial",$C784))),Variables!$B$1:$D$1,0),1))*AC784)+(T784*INDEX(Variables!$B$9:$D$9,IFERROR(MATCH(IF($B784="Robusta","Robusta",(IF($B784="","Arabica",$B784))&amp;" - "&amp;(IF($C784="","Commercial",$C784))),Variables!$B$1:$D$1,0),1))*AC784/365),""))</f>
        <v>-20.199075924463308</v>
      </c>
      <c r="AU784" s="12">
        <f>IF($H784="Cancelled","",IFERROR((T784*INDEX(Variables!$B$7:$D$7,IFERROR(MATCH(IF($B784="Robusta","Robusta",(IF($B784="","Arabica",$B784))&amp;" - "&amp;(IF($C784="","Commercial",$C784))),Variables!$B$1:$D$1,0),1))*AP784/365)+(L784/16.67*INDEX(Variables!$B$8:$D$8,IFERROR(MATCH(IF($B784="Robusta","Robusta",(IF($B784="","Arabica",$B784))&amp;" - "&amp;(IF($C784="","Commercial",$C784))),Variables!$B$1:$D$1,0),1))*AP784)+(T784*INDEX(Variables!$B$9:$D$9,IFERROR(MATCH(IF($B784="Robusta","Robusta",(IF($B784="","Arabica",$B784))&amp;" - "&amp;(IF($C784="","Commercial",$C784))),Variables!$B$1:$D$1,0),1))*AP784/365),""))</f>
        <v>-8.3172665571319495</v>
      </c>
      <c r="AV784" s="11">
        <f t="shared" si="80"/>
        <v>-3</v>
      </c>
      <c r="AW784" s="12">
        <f>IF($H784="Cancelled","",IFERROR(IF(AV784="","",(T784*INDEX(Variables!$B$7:$D$7,IFERROR(MATCH(IF($B784="Robusta","Robusta",(IF($B784="","Arabica",$B784))&amp;" - "&amp;(IF($C784="","Commercial",$C784))),Variables!$B$1:$D$1,0),1))*(AV784/365))+(T784*INDEX(Variables!$B$9:$D$9,IFERROR(MATCH(IF($B784="Robusta","Robusta",(IF($B784="","Arabica",$B784))&amp;" - "&amp;(IF($C784="","Commercial",$C784))),Variables!$B$1:$D$1,0),1))*(AV784/365))+(INDEX(Variables!$B$8:$D$8,IFERROR(MATCH(IF($B784="Robusta","Robusta",(IF($B784="","Arabica",$B784))&amp;" - "&amp;(IF($C784="","Commercial",$C784))),Variables!$B$1:$D$1,0),1))*L784/16.67)),""))</f>
        <v>-1.5645428101994066</v>
      </c>
      <c r="AX784" s="9"/>
      <c r="AY784" s="12"/>
      <c r="AZ784" s="10"/>
      <c r="BA784" s="9"/>
      <c r="BB784" s="10"/>
      <c r="BC784" s="9"/>
      <c r="BD784" s="9"/>
      <c r="BE784" s="9"/>
      <c r="BF784" s="9"/>
    </row>
    <row r="785" spans="1:58" x14ac:dyDescent="0.25">
      <c r="A785" s="9" t="s">
        <v>84</v>
      </c>
      <c r="B785" s="9" t="s">
        <v>85</v>
      </c>
      <c r="C785" s="9" t="s">
        <v>1486</v>
      </c>
      <c r="D785" s="10">
        <v>45407</v>
      </c>
      <c r="E785" s="10">
        <v>45413</v>
      </c>
      <c r="F785" s="10">
        <v>45443</v>
      </c>
      <c r="G785" s="9">
        <v>3786338</v>
      </c>
      <c r="H785" s="9" t="str">
        <f t="shared" si="78"/>
        <v>Closed</v>
      </c>
      <c r="I785" s="9" t="str">
        <f t="shared" si="79"/>
        <v>All dates received</v>
      </c>
      <c r="J785" s="9" t="s">
        <v>257</v>
      </c>
      <c r="K785" s="9">
        <v>4939</v>
      </c>
      <c r="L785" s="11">
        <v>25</v>
      </c>
      <c r="M785" s="9" t="s">
        <v>1725</v>
      </c>
      <c r="N785" s="9"/>
      <c r="O785" s="9"/>
      <c r="P785" s="9"/>
      <c r="Q785" s="11"/>
      <c r="R785" s="9" t="s">
        <v>195</v>
      </c>
      <c r="S785" s="9" t="s">
        <v>1121</v>
      </c>
      <c r="T785" s="12">
        <f>IF($H785="Cancelled","",IFERROR(((Q785+INDEX(Variables!$B$6:$D$6,IFERROR(MATCH(IF($B785="Robusta","Robusta",(IF($B785="","Arabica",$B785))&amp;" - "&amp;(IF($C785="","Commercial",$C785))),Variables!$B$1:$D$1,0),1)))*22.0462)*(L785/16.67),""))</f>
        <v>9614.6295140971797</v>
      </c>
      <c r="U785" s="10"/>
      <c r="V785" s="9" t="str">
        <f t="shared" si="81"/>
        <v/>
      </c>
      <c r="W785" s="10">
        <v>45397</v>
      </c>
      <c r="X785" s="9" t="str">
        <f t="shared" si="77"/>
        <v>Approved</v>
      </c>
      <c r="Y785" s="10">
        <v>45400</v>
      </c>
      <c r="Z785" s="10">
        <f>IF($H785="Cancelled","",IFERROR(IF(F785="","",F785-Variables!$B$13),""))</f>
        <v>45428</v>
      </c>
      <c r="AA785" s="11">
        <f>IF($H785="Cancelled","",IFERROR(IF(W785="","",(AVERAGE(E785:F785)-W785)-Variables!$B$14),""))</f>
        <v>1</v>
      </c>
      <c r="AB785" s="10">
        <v>45443</v>
      </c>
      <c r="AC785" s="11">
        <f>IF($H785="Cancelled","",IFERROR(IF(AB785="","",IF(AND(W785="",Y785=""),"",IF(Y785&gt;W785,Y785+Variables!$B$15+Variables!$B$16+Variables!$B$17-AB785,W785+Variables!$B$16+Variables!$B$17-AB785))),""))</f>
        <v>-28</v>
      </c>
      <c r="AD785" s="9" t="s">
        <v>165</v>
      </c>
      <c r="AE785" s="9" t="s">
        <v>184</v>
      </c>
      <c r="AF785" s="10"/>
      <c r="AG785" s="10"/>
      <c r="AH785" s="9"/>
      <c r="AI785" s="9" t="s">
        <v>1576</v>
      </c>
      <c r="AJ785" s="9" t="s">
        <v>8</v>
      </c>
      <c r="AK785" s="10">
        <v>45454</v>
      </c>
      <c r="AL785" s="10">
        <v>45457</v>
      </c>
      <c r="AM785" s="10">
        <v>45463</v>
      </c>
      <c r="AN785" s="9" t="s">
        <v>1492</v>
      </c>
      <c r="AO785" s="9"/>
      <c r="AP785" s="11">
        <f>IF($H785="Cancelled","",IFERROR(IF(OR(AK785="",AB785=""),"",(AB785+Variables!$B$18-AK785)),""))</f>
        <v>-4</v>
      </c>
      <c r="AQ785" s="11">
        <f>IF($H785="Cancelled","",IFERROR(IF(OR(AM785="",AK785=""),"",(AK785+Variables!$B$19)-AM785),""))</f>
        <v>-4</v>
      </c>
      <c r="AR785" s="12">
        <f>IF($H785="Cancelled","",IFERROR(T785*INDEX(Variables!$B$7:$D$7,IFERROR(MATCH(IF($B785="Robusta","Robusta",(IF($B785="","Arabica",$B785))&amp;" - "&amp;(IF($C785="","Commercial",$C785))),Variables!$B$1:$D$1,0),1))*(AQ785/365),""))</f>
        <v>-6.794218775385394</v>
      </c>
      <c r="AS785" s="12">
        <f>IF($H785="Cancelled","",IFERROR((T785*INDEX(Variables!$B$7:$D$7,IFERROR(MATCH(IF($B785="Robusta","Robusta",(IF($B785="","Arabica",$B785))&amp;" - "&amp;(IF($C785="","Commercial",$C785))),Variables!$B$1:$D$1,0),1))*IFERROR(IF(W785="","",(AVERAGE(E785:F785)-W785)-Variables!$B$14),"")/365)+(L785/16.67*INDEX(Variables!$B$8:$D$8,IFERROR(MATCH(IF($B785="Robusta","Robusta",(IF($B785="","Arabica",$B785))&amp;" - "&amp;(IF($C785="","Commercial",$C785))),Variables!$B$1:$D$1,0),1))*IFERROR(IF(W785="","",(AVERAGE(E785:F785)-W785)-Variables!$B$14),""))+(T785*INDEX(Variables!$B$9:$D$9,IFERROR(MATCH(IF($B785="Robusta","Robusta",(IF($B785="","Arabica",$B785))&amp;" - "&amp;(IF($C785="","Commercial",$C785))),Variables!$B$1:$D$1,0),1))*IFERROR(IF(W785="","",(AVERAGE(E785:F785)-W785)-Variables!$B$14),"")/365),""))</f>
        <v>2.9704523418328388</v>
      </c>
      <c r="AT785" s="12">
        <f>IF($H785="Cancelled","",IFERROR((T785*INDEX(Variables!$B$7:$D$7,IFERROR(MATCH(IF($B785="Robusta","Robusta",(IF($B785="","Arabica",$B785))&amp;" - "&amp;(IF($C785="","Commercial",$C785))),Variables!$B$1:$D$1,0),1))*AC785/365)+(L785/16.67*INDEX(Variables!$B$8:$D$8,IFERROR(MATCH(IF($B785="Robusta","Robusta",(IF($B785="","Arabica",$B785))&amp;" - "&amp;(IF($C785="","Commercial",$C785))),Variables!$B$1:$D$1,0),1))*AC785)+(T785*INDEX(Variables!$B$9:$D$9,IFERROR(MATCH(IF($B785="Robusta","Robusta",(IF($B785="","Arabica",$B785))&amp;" - "&amp;(IF($C785="","Commercial",$C785))),Variables!$B$1:$D$1,0),1))*AC785/365),""))</f>
        <v>-83.172665571319484</v>
      </c>
      <c r="AU785" s="12">
        <f>IF($H785="Cancelled","",IFERROR((T785*INDEX(Variables!$B$7:$D$7,IFERROR(MATCH(IF($B785="Robusta","Robusta",(IF($B785="","Arabica",$B785))&amp;" - "&amp;(IF($C785="","Commercial",$C785))),Variables!$B$1:$D$1,0),1))*AP785/365)+(L785/16.67*INDEX(Variables!$B$8:$D$8,IFERROR(MATCH(IF($B785="Robusta","Robusta",(IF($B785="","Arabica",$B785))&amp;" - "&amp;(IF($C785="","Commercial",$C785))),Variables!$B$1:$D$1,0),1))*AP785)+(T785*INDEX(Variables!$B$9:$D$9,IFERROR(MATCH(IF($B785="Robusta","Robusta",(IF($B785="","Arabica",$B785))&amp;" - "&amp;(IF($C785="","Commercial",$C785))),Variables!$B$1:$D$1,0),1))*AP785/365),""))</f>
        <v>-11.881809367331355</v>
      </c>
      <c r="AV785" s="11">
        <f t="shared" si="80"/>
        <v>-11</v>
      </c>
      <c r="AW785" s="12">
        <f>IF($H785="Cancelled","",IFERROR(IF(AV785="","",(T785*INDEX(Variables!$B$7:$D$7,IFERROR(MATCH(IF($B785="Robusta","Robusta",(IF($B785="","Arabica",$B785))&amp;" - "&amp;(IF($C785="","Commercial",$C785))),Variables!$B$1:$D$1,0),1))*(AV785/365))+(T785*INDEX(Variables!$B$9:$D$9,IFERROR(MATCH(IF($B785="Robusta","Robusta",(IF($B785="","Arabica",$B785))&amp;" - "&amp;(IF($C785="","Commercial",$C785))),Variables!$B$1:$D$1,0),1))*(AV785/365))+(INDEX(Variables!$B$8:$D$8,IFERROR(MATCH(IF($B785="Robusta","Robusta",(IF($B785="","Arabica",$B785))&amp;" - "&amp;(IF($C785="","Commercial",$C785))),Variables!$B$1:$D$1,0),1))*L785/16.67)),""))</f>
        <v>-17.674975760161232</v>
      </c>
      <c r="AX785" s="9"/>
      <c r="AY785" s="12"/>
      <c r="AZ785" s="10"/>
      <c r="BA785" s="9"/>
      <c r="BB785" s="10"/>
      <c r="BC785" s="9"/>
      <c r="BD785" s="9"/>
      <c r="BE785" s="9"/>
      <c r="BF785" s="9"/>
    </row>
    <row r="786" spans="1:58" x14ac:dyDescent="0.25">
      <c r="A786" s="9" t="s">
        <v>84</v>
      </c>
      <c r="B786" s="9" t="s">
        <v>85</v>
      </c>
      <c r="C786" s="9" t="s">
        <v>1486</v>
      </c>
      <c r="D786" s="10">
        <v>45407</v>
      </c>
      <c r="E786" s="10">
        <v>45413</v>
      </c>
      <c r="F786" s="10">
        <v>45443</v>
      </c>
      <c r="G786" s="9">
        <v>3786341</v>
      </c>
      <c r="H786" s="9" t="str">
        <f t="shared" si="78"/>
        <v>Closed</v>
      </c>
      <c r="I786" s="9" t="str">
        <f t="shared" si="79"/>
        <v>All dates received</v>
      </c>
      <c r="J786" s="9" t="s">
        <v>235</v>
      </c>
      <c r="K786" s="9">
        <v>4984</v>
      </c>
      <c r="L786" s="11">
        <v>30</v>
      </c>
      <c r="M786" s="9" t="s">
        <v>1726</v>
      </c>
      <c r="N786" s="9"/>
      <c r="O786" s="9"/>
      <c r="P786" s="9"/>
      <c r="Q786" s="11"/>
      <c r="R786" s="9" t="s">
        <v>195</v>
      </c>
      <c r="S786" s="9" t="s">
        <v>1536</v>
      </c>
      <c r="T786" s="12">
        <f>IF($H786="Cancelled","",IFERROR(((Q786+INDEX(Variables!$B$6:$D$6,IFERROR(MATCH(IF($B786="Robusta","Robusta",(IF($B786="","Arabica",$B786))&amp;" - "&amp;(IF($C786="","Commercial",$C786))),Variables!$B$1:$D$1,0),1)))*22.0462)*(L786/16.67),""))</f>
        <v>11537.555416916615</v>
      </c>
      <c r="U786" s="10"/>
      <c r="V786" s="9" t="str">
        <f t="shared" si="81"/>
        <v/>
      </c>
      <c r="W786" s="10">
        <v>45397</v>
      </c>
      <c r="X786" s="9" t="str">
        <f t="shared" si="77"/>
        <v>Approved</v>
      </c>
      <c r="Y786" s="10">
        <v>45400</v>
      </c>
      <c r="Z786" s="10">
        <f>IF($H786="Cancelled","",IFERROR(IF(F786="","",F786-Variables!$B$13),""))</f>
        <v>45428</v>
      </c>
      <c r="AA786" s="11">
        <f>IF($H786="Cancelled","",IFERROR(IF(W786="","",(AVERAGE(E786:F786)-W786)-Variables!$B$14),""))</f>
        <v>1</v>
      </c>
      <c r="AB786" s="10">
        <v>45462</v>
      </c>
      <c r="AC786" s="11">
        <f>IF($H786="Cancelled","",IFERROR(IF(AB786="","",IF(AND(W786="",Y786=""),"",IF(Y786&gt;W786,Y786+Variables!$B$15+Variables!$B$16+Variables!$B$17-AB786,W786+Variables!$B$16+Variables!$B$17-AB786))),""))</f>
        <v>-47</v>
      </c>
      <c r="AD786" s="9" t="s">
        <v>107</v>
      </c>
      <c r="AE786" s="9" t="s">
        <v>374</v>
      </c>
      <c r="AF786" s="10"/>
      <c r="AG786" s="10"/>
      <c r="AH786" s="9"/>
      <c r="AI786" s="9" t="s">
        <v>1686</v>
      </c>
      <c r="AJ786" s="9" t="s">
        <v>8</v>
      </c>
      <c r="AK786" s="10">
        <v>45485</v>
      </c>
      <c r="AL786" s="10">
        <v>45490</v>
      </c>
      <c r="AM786" s="10">
        <v>45516</v>
      </c>
      <c r="AN786" s="9" t="s">
        <v>1492</v>
      </c>
      <c r="AO786" s="9"/>
      <c r="AP786" s="11">
        <f>IF($H786="Cancelled","",IFERROR(IF(OR(AK786="",AB786=""),"",(AB786+Variables!$B$18-AK786)),""))</f>
        <v>-16</v>
      </c>
      <c r="AQ786" s="11">
        <f>IF($H786="Cancelled","",IFERROR(IF(OR(AM786="",AK786=""),"",(AK786+Variables!$B$19)-AM786),""))</f>
        <v>-26</v>
      </c>
      <c r="AR786" s="12">
        <f>IF($H786="Cancelled","",IFERROR(T786*INDEX(Variables!$B$7:$D$7,IFERROR(MATCH(IF($B786="Robusta","Robusta",(IF($B786="","Arabica",$B786))&amp;" - "&amp;(IF($C786="","Commercial",$C786))),Variables!$B$1:$D$1,0),1))*(AQ786/365),""))</f>
        <v>-52.99490644800607</v>
      </c>
      <c r="AS786" s="12">
        <f>IF($H786="Cancelled","",IFERROR((T786*INDEX(Variables!$B$7:$D$7,IFERROR(MATCH(IF($B786="Robusta","Robusta",(IF($B786="","Arabica",$B786))&amp;" - "&amp;(IF($C786="","Commercial",$C786))),Variables!$B$1:$D$1,0),1))*IFERROR(IF(W786="","",(AVERAGE(E786:F786)-W786)-Variables!$B$14),"")/365)+(L786/16.67*INDEX(Variables!$B$8:$D$8,IFERROR(MATCH(IF($B786="Robusta","Robusta",(IF($B786="","Arabica",$B786))&amp;" - "&amp;(IF($C786="","Commercial",$C786))),Variables!$B$1:$D$1,0),1))*IFERROR(IF(W786="","",(AVERAGE(E786:F786)-W786)-Variables!$B$14),""))+(T786*INDEX(Variables!$B$9:$D$9,IFERROR(MATCH(IF($B786="Robusta","Robusta",(IF($B786="","Arabica",$B786))&amp;" - "&amp;(IF($C786="","Commercial",$C786))),Variables!$B$1:$D$1,0),1))*IFERROR(IF(W786="","",(AVERAGE(E786:F786)-W786)-Variables!$B$14),"")/365),""))</f>
        <v>3.5645428101994066</v>
      </c>
      <c r="AT786" s="12">
        <f>IF($H786="Cancelled","",IFERROR((T786*INDEX(Variables!$B$7:$D$7,IFERROR(MATCH(IF($B786="Robusta","Robusta",(IF($B786="","Arabica",$B786))&amp;" - "&amp;(IF($C786="","Commercial",$C786))),Variables!$B$1:$D$1,0),1))*AC786/365)+(L786/16.67*INDEX(Variables!$B$8:$D$8,IFERROR(MATCH(IF($B786="Robusta","Robusta",(IF($B786="","Arabica",$B786))&amp;" - "&amp;(IF($C786="","Commercial",$C786))),Variables!$B$1:$D$1,0),1))*AC786)+(T786*INDEX(Variables!$B$9:$D$9,IFERROR(MATCH(IF($B786="Robusta","Robusta",(IF($B786="","Arabica",$B786))&amp;" - "&amp;(IF($C786="","Commercial",$C786))),Variables!$B$1:$D$1,0),1))*AC786/365),""))</f>
        <v>-167.53351207937209</v>
      </c>
      <c r="AU786" s="12">
        <f>IF($H786="Cancelled","",IFERROR((T786*INDEX(Variables!$B$7:$D$7,IFERROR(MATCH(IF($B786="Robusta","Robusta",(IF($B786="","Arabica",$B786))&amp;" - "&amp;(IF($C786="","Commercial",$C786))),Variables!$B$1:$D$1,0),1))*AP786/365)+(L786/16.67*INDEX(Variables!$B$8:$D$8,IFERROR(MATCH(IF($B786="Robusta","Robusta",(IF($B786="","Arabica",$B786))&amp;" - "&amp;(IF($C786="","Commercial",$C786))),Variables!$B$1:$D$1,0),1))*AP786)+(T786*INDEX(Variables!$B$9:$D$9,IFERROR(MATCH(IF($B786="Robusta","Robusta",(IF($B786="","Arabica",$B786))&amp;" - "&amp;(IF($C786="","Commercial",$C786))),Variables!$B$1:$D$1,0),1))*AP786/365),""))</f>
        <v>-57.032684963190505</v>
      </c>
      <c r="AV786" s="11">
        <f t="shared" si="80"/>
        <v>-42</v>
      </c>
      <c r="AW786" s="12">
        <f>IF($H786="Cancelled","",IFERROR(IF(AV786="","",(T786*INDEX(Variables!$B$7:$D$7,IFERROR(MATCH(IF($B786="Robusta","Robusta",(IF($B786="","Arabica",$B786))&amp;" - "&amp;(IF($C786="","Commercial",$C786))),Variables!$B$1:$D$1,0),1))*(AV786/365))+(T786*INDEX(Variables!$B$9:$D$9,IFERROR(MATCH(IF($B786="Robusta","Robusta",(IF($B786="","Arabica",$B786))&amp;" - "&amp;(IF($C786="","Commercial",$C786))),Variables!$B$1:$D$1,0),1))*(AV786/365))+(INDEX(Variables!$B$8:$D$8,IFERROR(MATCH(IF($B786="Robusta","Robusta",(IF($B786="","Arabica",$B786))&amp;" - "&amp;(IF($C786="","Commercial",$C786))),Variables!$B$1:$D$1,0),1))*L786/16.67)),""))</f>
        <v>-85.210798028375081</v>
      </c>
      <c r="AX786" s="9"/>
      <c r="AY786" s="12"/>
      <c r="AZ786" s="10"/>
      <c r="BA786" s="9"/>
      <c r="BB786" s="10"/>
      <c r="BC786" s="9"/>
      <c r="BD786" s="9"/>
      <c r="BE786" s="9"/>
      <c r="BF786" s="9"/>
    </row>
    <row r="787" spans="1:58" x14ac:dyDescent="0.25">
      <c r="A787" s="9" t="s">
        <v>84</v>
      </c>
      <c r="B787" s="9" t="s">
        <v>85</v>
      </c>
      <c r="C787" s="9" t="s">
        <v>1486</v>
      </c>
      <c r="D787" s="10">
        <v>45408</v>
      </c>
      <c r="E787" s="10">
        <v>45413</v>
      </c>
      <c r="F787" s="10">
        <v>45443</v>
      </c>
      <c r="G787" s="9">
        <v>3786342</v>
      </c>
      <c r="H787" s="9" t="str">
        <f t="shared" si="78"/>
        <v>Closed</v>
      </c>
      <c r="I787" s="9" t="str">
        <f t="shared" si="79"/>
        <v>All dates received</v>
      </c>
      <c r="J787" s="9" t="s">
        <v>257</v>
      </c>
      <c r="K787" s="9">
        <v>4940</v>
      </c>
      <c r="L787" s="11">
        <v>5</v>
      </c>
      <c r="M787" s="9" t="s">
        <v>1727</v>
      </c>
      <c r="N787" s="9"/>
      <c r="O787" s="9"/>
      <c r="P787" s="9"/>
      <c r="Q787" s="11"/>
      <c r="R787" s="9" t="s">
        <v>195</v>
      </c>
      <c r="S787" s="9" t="s">
        <v>1121</v>
      </c>
      <c r="T787" s="12">
        <f>IF($H787="Cancelled","",IFERROR(((Q787+INDEX(Variables!$B$6:$D$6,IFERROR(MATCH(IF($B787="Robusta","Robusta",(IF($B787="","Arabica",$B787))&amp;" - "&amp;(IF($C787="","Commercial",$C787))),Variables!$B$1:$D$1,0),1)))*22.0462)*(L787/16.67),""))</f>
        <v>1922.925902819436</v>
      </c>
      <c r="U787" s="10"/>
      <c r="V787" s="9" t="str">
        <f t="shared" si="81"/>
        <v/>
      </c>
      <c r="W787" s="10">
        <v>45397</v>
      </c>
      <c r="X787" s="9" t="str">
        <f t="shared" si="77"/>
        <v>Approved</v>
      </c>
      <c r="Y787" s="10">
        <v>45400</v>
      </c>
      <c r="Z787" s="10">
        <f>IF($H787="Cancelled","",IFERROR(IF(F787="","",F787-Variables!$B$13),""))</f>
        <v>45428</v>
      </c>
      <c r="AA787" s="11">
        <f>IF($H787="Cancelled","",IFERROR(IF(W787="","",(AVERAGE(E787:F787)-W787)-Variables!$B$14),""))</f>
        <v>1</v>
      </c>
      <c r="AB787" s="10">
        <v>45443</v>
      </c>
      <c r="AC787" s="11">
        <f>IF($H787="Cancelled","",IFERROR(IF(AB787="","",IF(AND(W787="",Y787=""),"",IF(Y787&gt;W787,Y787+Variables!$B$15+Variables!$B$16+Variables!$B$17-AB787,W787+Variables!$B$16+Variables!$B$17-AB787))),""))</f>
        <v>-28</v>
      </c>
      <c r="AD787" s="9" t="s">
        <v>165</v>
      </c>
      <c r="AE787" s="9" t="s">
        <v>184</v>
      </c>
      <c r="AF787" s="10"/>
      <c r="AG787" s="10"/>
      <c r="AH787" s="9"/>
      <c r="AI787" s="9" t="s">
        <v>1576</v>
      </c>
      <c r="AJ787" s="9" t="s">
        <v>8</v>
      </c>
      <c r="AK787" s="10">
        <v>45454</v>
      </c>
      <c r="AL787" s="10">
        <v>45457</v>
      </c>
      <c r="AM787" s="10">
        <v>45463</v>
      </c>
      <c r="AN787" s="9" t="s">
        <v>1492</v>
      </c>
      <c r="AO787" s="9"/>
      <c r="AP787" s="11">
        <f>IF($H787="Cancelled","",IFERROR(IF(OR(AK787="",AB787=""),"",(AB787+Variables!$B$18-AK787)),""))</f>
        <v>-4</v>
      </c>
      <c r="AQ787" s="11">
        <f>IF($H787="Cancelled","",IFERROR(IF(OR(AM787="",AK787=""),"",(AK787+Variables!$B$19)-AM787),""))</f>
        <v>-4</v>
      </c>
      <c r="AR787" s="12">
        <f>IF($H787="Cancelled","",IFERROR(T787*INDEX(Variables!$B$7:$D$7,IFERROR(MATCH(IF($B787="Robusta","Robusta",(IF($B787="","Arabica",$B787))&amp;" - "&amp;(IF($C787="","Commercial",$C787))),Variables!$B$1:$D$1,0),1))*(AQ787/365),""))</f>
        <v>-1.3588437550770789</v>
      </c>
      <c r="AS787" s="12">
        <f>IF($H787="Cancelled","",IFERROR((T787*INDEX(Variables!$B$7:$D$7,IFERROR(MATCH(IF($B787="Robusta","Robusta",(IF($B787="","Arabica",$B787))&amp;" - "&amp;(IF($C787="","Commercial",$C787))),Variables!$B$1:$D$1,0),1))*IFERROR(IF(W787="","",(AVERAGE(E787:F787)-W787)-Variables!$B$14),"")/365)+(L787/16.67*INDEX(Variables!$B$8:$D$8,IFERROR(MATCH(IF($B787="Robusta","Robusta",(IF($B787="","Arabica",$B787))&amp;" - "&amp;(IF($C787="","Commercial",$C787))),Variables!$B$1:$D$1,0),1))*IFERROR(IF(W787="","",(AVERAGE(E787:F787)-W787)-Variables!$B$14),""))+(T787*INDEX(Variables!$B$9:$D$9,IFERROR(MATCH(IF($B787="Robusta","Robusta",(IF($B787="","Arabica",$B787))&amp;" - "&amp;(IF($C787="","Commercial",$C787))),Variables!$B$1:$D$1,0),1))*IFERROR(IF(W787="","",(AVERAGE(E787:F787)-W787)-Variables!$B$14),"")/365),""))</f>
        <v>0.59409046836656776</v>
      </c>
      <c r="AT787" s="12">
        <f>IF($H787="Cancelled","",IFERROR((T787*INDEX(Variables!$B$7:$D$7,IFERROR(MATCH(IF($B787="Robusta","Robusta",(IF($B787="","Arabica",$B787))&amp;" - "&amp;(IF($C787="","Commercial",$C787))),Variables!$B$1:$D$1,0),1))*AC787/365)+(L787/16.67*INDEX(Variables!$B$8:$D$8,IFERROR(MATCH(IF($B787="Robusta","Robusta",(IF($B787="","Arabica",$B787))&amp;" - "&amp;(IF($C787="","Commercial",$C787))),Variables!$B$1:$D$1,0),1))*AC787)+(T787*INDEX(Variables!$B$9:$D$9,IFERROR(MATCH(IF($B787="Robusta","Robusta",(IF($B787="","Arabica",$B787))&amp;" - "&amp;(IF($C787="","Commercial",$C787))),Variables!$B$1:$D$1,0),1))*AC787/365),""))</f>
        <v>-16.634533114263899</v>
      </c>
      <c r="AU787" s="12">
        <f>IF($H787="Cancelled","",IFERROR((T787*INDEX(Variables!$B$7:$D$7,IFERROR(MATCH(IF($B787="Robusta","Robusta",(IF($B787="","Arabica",$B787))&amp;" - "&amp;(IF($C787="","Commercial",$C787))),Variables!$B$1:$D$1,0),1))*AP787/365)+(L787/16.67*INDEX(Variables!$B$8:$D$8,IFERROR(MATCH(IF($B787="Robusta","Robusta",(IF($B787="","Arabica",$B787))&amp;" - "&amp;(IF($C787="","Commercial",$C787))),Variables!$B$1:$D$1,0),1))*AP787)+(T787*INDEX(Variables!$B$9:$D$9,IFERROR(MATCH(IF($B787="Robusta","Robusta",(IF($B787="","Arabica",$B787))&amp;" - "&amp;(IF($C787="","Commercial",$C787))),Variables!$B$1:$D$1,0),1))*AP787/365),""))</f>
        <v>-2.376361873466271</v>
      </c>
      <c r="AV787" s="11">
        <f t="shared" si="80"/>
        <v>-11</v>
      </c>
      <c r="AW787" s="12">
        <f>IF($H787="Cancelled","",IFERROR(IF(AV787="","",(T787*INDEX(Variables!$B$7:$D$7,IFERROR(MATCH(IF($B787="Robusta","Robusta",(IF($B787="","Arabica",$B787))&amp;" - "&amp;(IF($C787="","Commercial",$C787))),Variables!$B$1:$D$1,0),1))*(AV787/365))+(T787*INDEX(Variables!$B$9:$D$9,IFERROR(MATCH(IF($B787="Robusta","Robusta",(IF($B787="","Arabica",$B787))&amp;" - "&amp;(IF($C787="","Commercial",$C787))),Variables!$B$1:$D$1,0),1))*(AV787/365))+(INDEX(Variables!$B$8:$D$8,IFERROR(MATCH(IF($B787="Robusta","Robusta",(IF($B787="","Arabica",$B787))&amp;" - "&amp;(IF($C787="","Commercial",$C787))),Variables!$B$1:$D$1,0),1))*L787/16.67)),""))</f>
        <v>-3.5349951520322458</v>
      </c>
      <c r="AX787" s="9"/>
      <c r="AY787" s="12"/>
      <c r="AZ787" s="10"/>
      <c r="BA787" s="9"/>
      <c r="BB787" s="10"/>
      <c r="BC787" s="9"/>
      <c r="BD787" s="9"/>
      <c r="BE787" s="9"/>
      <c r="BF787" s="9"/>
    </row>
    <row r="788" spans="1:58" x14ac:dyDescent="0.25">
      <c r="A788" s="9" t="s">
        <v>84</v>
      </c>
      <c r="B788" s="9" t="s">
        <v>85</v>
      </c>
      <c r="C788" s="9" t="s">
        <v>1486</v>
      </c>
      <c r="D788" s="10">
        <v>45408</v>
      </c>
      <c r="E788" s="10">
        <v>45413</v>
      </c>
      <c r="F788" s="10">
        <v>45443</v>
      </c>
      <c r="G788" s="9">
        <v>3786343</v>
      </c>
      <c r="H788" s="9" t="str">
        <f t="shared" si="78"/>
        <v>Closed</v>
      </c>
      <c r="I788" s="9" t="str">
        <f t="shared" si="79"/>
        <v>All dates received</v>
      </c>
      <c r="J788" s="9" t="s">
        <v>235</v>
      </c>
      <c r="K788" s="9">
        <v>4985</v>
      </c>
      <c r="L788" s="11">
        <v>10</v>
      </c>
      <c r="M788" s="9" t="s">
        <v>1535</v>
      </c>
      <c r="N788" s="9"/>
      <c r="O788" s="9"/>
      <c r="P788" s="9"/>
      <c r="Q788" s="11"/>
      <c r="R788" s="9" t="s">
        <v>195</v>
      </c>
      <c r="S788" s="9" t="s">
        <v>1536</v>
      </c>
      <c r="T788" s="12">
        <f>IF($H788="Cancelled","",IFERROR(((Q788+INDEX(Variables!$B$6:$D$6,IFERROR(MATCH(IF($B788="Robusta","Robusta",(IF($B788="","Arabica",$B788))&amp;" - "&amp;(IF($C788="","Commercial",$C788))),Variables!$B$1:$D$1,0),1)))*22.0462)*(L788/16.67),""))</f>
        <v>3845.8518056388721</v>
      </c>
      <c r="U788" s="10"/>
      <c r="V788" s="9" t="str">
        <f t="shared" si="81"/>
        <v/>
      </c>
      <c r="W788" s="10">
        <v>45397</v>
      </c>
      <c r="X788" s="9" t="str">
        <f t="shared" si="77"/>
        <v>Approved</v>
      </c>
      <c r="Y788" s="10">
        <v>45400</v>
      </c>
      <c r="Z788" s="10">
        <f>IF($H788="Cancelled","",IFERROR(IF(F788="","",F788-Variables!$B$13),""))</f>
        <v>45428</v>
      </c>
      <c r="AA788" s="11">
        <f>IF($H788="Cancelled","",IFERROR(IF(W788="","",(AVERAGE(E788:F788)-W788)-Variables!$B$14),""))</f>
        <v>1</v>
      </c>
      <c r="AB788" s="10">
        <v>45462</v>
      </c>
      <c r="AC788" s="11">
        <f>IF($H788="Cancelled","",IFERROR(IF(AB788="","",IF(AND(W788="",Y788=""),"",IF(Y788&gt;W788,Y788+Variables!$B$15+Variables!$B$16+Variables!$B$17-AB788,W788+Variables!$B$16+Variables!$B$17-AB788))),""))</f>
        <v>-47</v>
      </c>
      <c r="AD788" s="9" t="s">
        <v>107</v>
      </c>
      <c r="AE788" s="9" t="s">
        <v>374</v>
      </c>
      <c r="AF788" s="10"/>
      <c r="AG788" s="10"/>
      <c r="AH788" s="9"/>
      <c r="AI788" s="9" t="s">
        <v>1686</v>
      </c>
      <c r="AJ788" s="9" t="s">
        <v>8</v>
      </c>
      <c r="AK788" s="10">
        <v>45485</v>
      </c>
      <c r="AL788" s="10">
        <v>45490</v>
      </c>
      <c r="AM788" s="10">
        <v>45516</v>
      </c>
      <c r="AN788" s="9" t="s">
        <v>1492</v>
      </c>
      <c r="AO788" s="9"/>
      <c r="AP788" s="11">
        <f>IF($H788="Cancelled","",IFERROR(IF(OR(AK788="",AB788=""),"",(AB788+Variables!$B$18-AK788)),""))</f>
        <v>-16</v>
      </c>
      <c r="AQ788" s="11">
        <f>IF($H788="Cancelled","",IFERROR(IF(OR(AM788="",AK788=""),"",(AK788+Variables!$B$19)-AM788),""))</f>
        <v>-26</v>
      </c>
      <c r="AR788" s="12">
        <f>IF($H788="Cancelled","",IFERROR(T788*INDEX(Variables!$B$7:$D$7,IFERROR(MATCH(IF($B788="Robusta","Robusta",(IF($B788="","Arabica",$B788))&amp;" - "&amp;(IF($C788="","Commercial",$C788))),Variables!$B$1:$D$1,0),1))*(AQ788/365),""))</f>
        <v>-17.664968816002023</v>
      </c>
      <c r="AS788" s="12">
        <f>IF($H788="Cancelled","",IFERROR((T788*INDEX(Variables!$B$7:$D$7,IFERROR(MATCH(IF($B788="Robusta","Robusta",(IF($B788="","Arabica",$B788))&amp;" - "&amp;(IF($C788="","Commercial",$C788))),Variables!$B$1:$D$1,0),1))*IFERROR(IF(W788="","",(AVERAGE(E788:F788)-W788)-Variables!$B$14),"")/365)+(L788/16.67*INDEX(Variables!$B$8:$D$8,IFERROR(MATCH(IF($B788="Robusta","Robusta",(IF($B788="","Arabica",$B788))&amp;" - "&amp;(IF($C788="","Commercial",$C788))),Variables!$B$1:$D$1,0),1))*IFERROR(IF(W788="","",(AVERAGE(E788:F788)-W788)-Variables!$B$14),""))+(T788*INDEX(Variables!$B$9:$D$9,IFERROR(MATCH(IF($B788="Robusta","Robusta",(IF($B788="","Arabica",$B788))&amp;" - "&amp;(IF($C788="","Commercial",$C788))),Variables!$B$1:$D$1,0),1))*IFERROR(IF(W788="","",(AVERAGE(E788:F788)-W788)-Variables!$B$14),"")/365),""))</f>
        <v>1.1881809367331355</v>
      </c>
      <c r="AT788" s="12">
        <f>IF($H788="Cancelled","",IFERROR((T788*INDEX(Variables!$B$7:$D$7,IFERROR(MATCH(IF($B788="Robusta","Robusta",(IF($B788="","Arabica",$B788))&amp;" - "&amp;(IF($C788="","Commercial",$C788))),Variables!$B$1:$D$1,0),1))*AC788/365)+(L788/16.67*INDEX(Variables!$B$8:$D$8,IFERROR(MATCH(IF($B788="Robusta","Robusta",(IF($B788="","Arabica",$B788))&amp;" - "&amp;(IF($C788="","Commercial",$C788))),Variables!$B$1:$D$1,0),1))*AC788)+(T788*INDEX(Variables!$B$9:$D$9,IFERROR(MATCH(IF($B788="Robusta","Robusta",(IF($B788="","Arabica",$B788))&amp;" - "&amp;(IF($C788="","Commercial",$C788))),Variables!$B$1:$D$1,0),1))*AC788/365),""))</f>
        <v>-55.844504026457372</v>
      </c>
      <c r="AU788" s="12">
        <f>IF($H788="Cancelled","",IFERROR((T788*INDEX(Variables!$B$7:$D$7,IFERROR(MATCH(IF($B788="Robusta","Robusta",(IF($B788="","Arabica",$B788))&amp;" - "&amp;(IF($C788="","Commercial",$C788))),Variables!$B$1:$D$1,0),1))*AP788/365)+(L788/16.67*INDEX(Variables!$B$8:$D$8,IFERROR(MATCH(IF($B788="Robusta","Robusta",(IF($B788="","Arabica",$B788))&amp;" - "&amp;(IF($C788="","Commercial",$C788))),Variables!$B$1:$D$1,0),1))*AP788)+(T788*INDEX(Variables!$B$9:$D$9,IFERROR(MATCH(IF($B788="Robusta","Robusta",(IF($B788="","Arabica",$B788))&amp;" - "&amp;(IF($C788="","Commercial",$C788))),Variables!$B$1:$D$1,0),1))*AP788/365),""))</f>
        <v>-19.010894987730168</v>
      </c>
      <c r="AV788" s="11">
        <f t="shared" si="80"/>
        <v>-42</v>
      </c>
      <c r="AW788" s="12">
        <f>IF($H788="Cancelled","",IFERROR(IF(AV788="","",(T788*INDEX(Variables!$B$7:$D$7,IFERROR(MATCH(IF($B788="Robusta","Robusta",(IF($B788="","Arabica",$B788))&amp;" - "&amp;(IF($C788="","Commercial",$C788))),Variables!$B$1:$D$1,0),1))*(AV788/365))+(T788*INDEX(Variables!$B$9:$D$9,IFERROR(MATCH(IF($B788="Robusta","Robusta",(IF($B788="","Arabica",$B788))&amp;" - "&amp;(IF($C788="","Commercial",$C788))),Variables!$B$1:$D$1,0),1))*(AV788/365))+(INDEX(Variables!$B$8:$D$8,IFERROR(MATCH(IF($B788="Robusta","Robusta",(IF($B788="","Arabica",$B788))&amp;" - "&amp;(IF($C788="","Commercial",$C788))),Variables!$B$1:$D$1,0),1))*L788/16.67)),""))</f>
        <v>-28.403599342791694</v>
      </c>
      <c r="AX788" s="9"/>
      <c r="AY788" s="12"/>
      <c r="AZ788" s="10"/>
      <c r="BA788" s="9"/>
      <c r="BB788" s="10"/>
      <c r="BC788" s="9"/>
      <c r="BD788" s="9"/>
      <c r="BE788" s="9"/>
      <c r="BF788" s="9"/>
    </row>
    <row r="789" spans="1:58" x14ac:dyDescent="0.25">
      <c r="A789" s="9" t="s">
        <v>84</v>
      </c>
      <c r="B789" s="9" t="s">
        <v>85</v>
      </c>
      <c r="C789" s="9" t="s">
        <v>1486</v>
      </c>
      <c r="D789" s="10">
        <v>45408</v>
      </c>
      <c r="E789" s="10">
        <v>45413</v>
      </c>
      <c r="F789" s="10">
        <v>45443</v>
      </c>
      <c r="G789" s="9">
        <v>3786344</v>
      </c>
      <c r="H789" s="9" t="str">
        <f t="shared" si="78"/>
        <v>Closed</v>
      </c>
      <c r="I789" s="9" t="str">
        <f t="shared" si="79"/>
        <v>All dates received</v>
      </c>
      <c r="J789" s="9" t="s">
        <v>235</v>
      </c>
      <c r="K789" s="9">
        <v>4986</v>
      </c>
      <c r="L789" s="11">
        <v>10</v>
      </c>
      <c r="M789" s="9" t="s">
        <v>1538</v>
      </c>
      <c r="N789" s="9"/>
      <c r="O789" s="9"/>
      <c r="P789" s="9"/>
      <c r="Q789" s="11"/>
      <c r="R789" s="9" t="s">
        <v>195</v>
      </c>
      <c r="S789" s="9" t="s">
        <v>1536</v>
      </c>
      <c r="T789" s="12">
        <f>IF($H789="Cancelled","",IFERROR(((Q789+INDEX(Variables!$B$6:$D$6,IFERROR(MATCH(IF($B789="Robusta","Robusta",(IF($B789="","Arabica",$B789))&amp;" - "&amp;(IF($C789="","Commercial",$C789))),Variables!$B$1:$D$1,0),1)))*22.0462)*(L789/16.67),""))</f>
        <v>3845.8518056388721</v>
      </c>
      <c r="U789" s="10"/>
      <c r="V789" s="9" t="str">
        <f t="shared" si="81"/>
        <v/>
      </c>
      <c r="W789" s="10">
        <v>45397</v>
      </c>
      <c r="X789" s="9" t="str">
        <f t="shared" si="77"/>
        <v>Approved</v>
      </c>
      <c r="Y789" s="10">
        <v>45400</v>
      </c>
      <c r="Z789" s="10">
        <f>IF($H789="Cancelled","",IFERROR(IF(F789="","",F789-Variables!$B$13),""))</f>
        <v>45428</v>
      </c>
      <c r="AA789" s="11">
        <f>IF($H789="Cancelled","",IFERROR(IF(W789="","",(AVERAGE(E789:F789)-W789)-Variables!$B$14),""))</f>
        <v>1</v>
      </c>
      <c r="AB789" s="10">
        <v>45462</v>
      </c>
      <c r="AC789" s="11">
        <f>IF($H789="Cancelled","",IFERROR(IF(AB789="","",IF(AND(W789="",Y789=""),"",IF(Y789&gt;W789,Y789+Variables!$B$15+Variables!$B$16+Variables!$B$17-AB789,W789+Variables!$B$16+Variables!$B$17-AB789))),""))</f>
        <v>-47</v>
      </c>
      <c r="AD789" s="9" t="s">
        <v>107</v>
      </c>
      <c r="AE789" s="9" t="s">
        <v>374</v>
      </c>
      <c r="AF789" s="10"/>
      <c r="AG789" s="10"/>
      <c r="AH789" s="9"/>
      <c r="AI789" s="9" t="s">
        <v>1686</v>
      </c>
      <c r="AJ789" s="9" t="s">
        <v>8</v>
      </c>
      <c r="AK789" s="10">
        <v>45485</v>
      </c>
      <c r="AL789" s="10">
        <v>45490</v>
      </c>
      <c r="AM789" s="10">
        <v>45516</v>
      </c>
      <c r="AN789" s="9" t="s">
        <v>1492</v>
      </c>
      <c r="AO789" s="9"/>
      <c r="AP789" s="11">
        <f>IF($H789="Cancelled","",IFERROR(IF(OR(AK789="",AB789=""),"",(AB789+Variables!$B$18-AK789)),""))</f>
        <v>-16</v>
      </c>
      <c r="AQ789" s="11">
        <f>IF($H789="Cancelled","",IFERROR(IF(OR(AM789="",AK789=""),"",(AK789+Variables!$B$19)-AM789),""))</f>
        <v>-26</v>
      </c>
      <c r="AR789" s="12">
        <f>IF($H789="Cancelled","",IFERROR(T789*INDEX(Variables!$B$7:$D$7,IFERROR(MATCH(IF($B789="Robusta","Robusta",(IF($B789="","Arabica",$B789))&amp;" - "&amp;(IF($C789="","Commercial",$C789))),Variables!$B$1:$D$1,0),1))*(AQ789/365),""))</f>
        <v>-17.664968816002023</v>
      </c>
      <c r="AS789" s="12">
        <f>IF($H789="Cancelled","",IFERROR((T789*INDEX(Variables!$B$7:$D$7,IFERROR(MATCH(IF($B789="Robusta","Robusta",(IF($B789="","Arabica",$B789))&amp;" - "&amp;(IF($C789="","Commercial",$C789))),Variables!$B$1:$D$1,0),1))*IFERROR(IF(W789="","",(AVERAGE(E789:F789)-W789)-Variables!$B$14),"")/365)+(L789/16.67*INDEX(Variables!$B$8:$D$8,IFERROR(MATCH(IF($B789="Robusta","Robusta",(IF($B789="","Arabica",$B789))&amp;" - "&amp;(IF($C789="","Commercial",$C789))),Variables!$B$1:$D$1,0),1))*IFERROR(IF(W789="","",(AVERAGE(E789:F789)-W789)-Variables!$B$14),""))+(T789*INDEX(Variables!$B$9:$D$9,IFERROR(MATCH(IF($B789="Robusta","Robusta",(IF($B789="","Arabica",$B789))&amp;" - "&amp;(IF($C789="","Commercial",$C789))),Variables!$B$1:$D$1,0),1))*IFERROR(IF(W789="","",(AVERAGE(E789:F789)-W789)-Variables!$B$14),"")/365),""))</f>
        <v>1.1881809367331355</v>
      </c>
      <c r="AT789" s="12">
        <f>IF($H789="Cancelled","",IFERROR((T789*INDEX(Variables!$B$7:$D$7,IFERROR(MATCH(IF($B789="Robusta","Robusta",(IF($B789="","Arabica",$B789))&amp;" - "&amp;(IF($C789="","Commercial",$C789))),Variables!$B$1:$D$1,0),1))*AC789/365)+(L789/16.67*INDEX(Variables!$B$8:$D$8,IFERROR(MATCH(IF($B789="Robusta","Robusta",(IF($B789="","Arabica",$B789))&amp;" - "&amp;(IF($C789="","Commercial",$C789))),Variables!$B$1:$D$1,0),1))*AC789)+(T789*INDEX(Variables!$B$9:$D$9,IFERROR(MATCH(IF($B789="Robusta","Robusta",(IF($B789="","Arabica",$B789))&amp;" - "&amp;(IF($C789="","Commercial",$C789))),Variables!$B$1:$D$1,0),1))*AC789/365),""))</f>
        <v>-55.844504026457372</v>
      </c>
      <c r="AU789" s="12">
        <f>IF($H789="Cancelled","",IFERROR((T789*INDEX(Variables!$B$7:$D$7,IFERROR(MATCH(IF($B789="Robusta","Robusta",(IF($B789="","Arabica",$B789))&amp;" - "&amp;(IF($C789="","Commercial",$C789))),Variables!$B$1:$D$1,0),1))*AP789/365)+(L789/16.67*INDEX(Variables!$B$8:$D$8,IFERROR(MATCH(IF($B789="Robusta","Robusta",(IF($B789="","Arabica",$B789))&amp;" - "&amp;(IF($C789="","Commercial",$C789))),Variables!$B$1:$D$1,0),1))*AP789)+(T789*INDEX(Variables!$B$9:$D$9,IFERROR(MATCH(IF($B789="Robusta","Robusta",(IF($B789="","Arabica",$B789))&amp;" - "&amp;(IF($C789="","Commercial",$C789))),Variables!$B$1:$D$1,0),1))*AP789/365),""))</f>
        <v>-19.010894987730168</v>
      </c>
      <c r="AV789" s="11">
        <f t="shared" si="80"/>
        <v>-42</v>
      </c>
      <c r="AW789" s="12">
        <f>IF($H789="Cancelled","",IFERROR(IF(AV789="","",(T789*INDEX(Variables!$B$7:$D$7,IFERROR(MATCH(IF($B789="Robusta","Robusta",(IF($B789="","Arabica",$B789))&amp;" - "&amp;(IF($C789="","Commercial",$C789))),Variables!$B$1:$D$1,0),1))*(AV789/365))+(T789*INDEX(Variables!$B$9:$D$9,IFERROR(MATCH(IF($B789="Robusta","Robusta",(IF($B789="","Arabica",$B789))&amp;" - "&amp;(IF($C789="","Commercial",$C789))),Variables!$B$1:$D$1,0),1))*(AV789/365))+(INDEX(Variables!$B$8:$D$8,IFERROR(MATCH(IF($B789="Robusta","Robusta",(IF($B789="","Arabica",$B789))&amp;" - "&amp;(IF($C789="","Commercial",$C789))),Variables!$B$1:$D$1,0),1))*L789/16.67)),""))</f>
        <v>-28.403599342791694</v>
      </c>
      <c r="AX789" s="9"/>
      <c r="AY789" s="12"/>
      <c r="AZ789" s="10"/>
      <c r="BA789" s="9"/>
      <c r="BB789" s="10"/>
      <c r="BC789" s="9"/>
      <c r="BD789" s="9"/>
      <c r="BE789" s="9"/>
      <c r="BF789" s="9"/>
    </row>
    <row r="790" spans="1:58" x14ac:dyDescent="0.25">
      <c r="A790" s="9" t="s">
        <v>84</v>
      </c>
      <c r="B790" s="9" t="s">
        <v>85</v>
      </c>
      <c r="C790" s="9" t="s">
        <v>1486</v>
      </c>
      <c r="D790" s="10">
        <v>45415</v>
      </c>
      <c r="E790" s="10">
        <v>45413</v>
      </c>
      <c r="F790" s="10">
        <v>45443</v>
      </c>
      <c r="G790" s="9">
        <v>3786345</v>
      </c>
      <c r="H790" s="9" t="str">
        <f t="shared" si="78"/>
        <v>Closed</v>
      </c>
      <c r="I790" s="9" t="str">
        <f t="shared" si="79"/>
        <v>All dates received</v>
      </c>
      <c r="J790" s="9" t="s">
        <v>360</v>
      </c>
      <c r="K790" s="9" t="s">
        <v>1728</v>
      </c>
      <c r="L790" s="11">
        <v>4</v>
      </c>
      <c r="M790" s="9" t="s">
        <v>1729</v>
      </c>
      <c r="N790" s="9"/>
      <c r="O790" s="9"/>
      <c r="P790" s="9"/>
      <c r="Q790" s="11"/>
      <c r="R790" s="9" t="s">
        <v>195</v>
      </c>
      <c r="S790" s="9" t="s">
        <v>312</v>
      </c>
      <c r="T790" s="12">
        <f>IF($H790="Cancelled","",IFERROR(((Q790+INDEX(Variables!$B$6:$D$6,IFERROR(MATCH(IF($B790="Robusta","Robusta",(IF($B790="","Arabica",$B790))&amp;" - "&amp;(IF($C790="","Commercial",$C790))),Variables!$B$1:$D$1,0),1)))*22.0462)*(L790/16.67),""))</f>
        <v>1538.3407222555486</v>
      </c>
      <c r="U790" s="10"/>
      <c r="V790" s="9" t="str">
        <f t="shared" si="81"/>
        <v/>
      </c>
      <c r="W790" s="10">
        <v>45397</v>
      </c>
      <c r="X790" s="9" t="str">
        <f t="shared" si="77"/>
        <v>Approved</v>
      </c>
      <c r="Y790" s="10">
        <v>45400</v>
      </c>
      <c r="Z790" s="10">
        <f>IF($H790="Cancelled","",IFERROR(IF(F790="","",F790-Variables!$B$13),""))</f>
        <v>45428</v>
      </c>
      <c r="AA790" s="11">
        <f>IF($H790="Cancelled","",IFERROR(IF(W790="","",(AVERAGE(E790:F790)-W790)-Variables!$B$14),""))</f>
        <v>1</v>
      </c>
      <c r="AB790" s="10">
        <v>45506</v>
      </c>
      <c r="AC790" s="11">
        <f>IF($H790="Cancelled","",IFERROR(IF(AB790="","",IF(AND(W790="",Y790=""),"",IF(Y790&gt;W790,Y790+Variables!$B$15+Variables!$B$16+Variables!$B$17-AB790,W790+Variables!$B$16+Variables!$B$17-AB790))),""))</f>
        <v>-91</v>
      </c>
      <c r="AD790" s="9" t="s">
        <v>163</v>
      </c>
      <c r="AE790" s="9" t="s">
        <v>1730</v>
      </c>
      <c r="AF790" s="10"/>
      <c r="AG790" s="10"/>
      <c r="AH790" s="9"/>
      <c r="AI790" s="9">
        <v>242951062</v>
      </c>
      <c r="AJ790" s="9" t="s">
        <v>8</v>
      </c>
      <c r="AK790" s="10">
        <v>45515</v>
      </c>
      <c r="AL790" s="10">
        <v>45524</v>
      </c>
      <c r="AM790" s="10">
        <v>45530</v>
      </c>
      <c r="AN790" s="9" t="s">
        <v>1492</v>
      </c>
      <c r="AO790" s="9"/>
      <c r="AP790" s="11">
        <f>IF($H790="Cancelled","",IFERROR(IF(OR(AK790="",AB790=""),"",(AB790+Variables!$B$18-AK790)),""))</f>
        <v>-2</v>
      </c>
      <c r="AQ790" s="11">
        <f>IF($H790="Cancelled","",IFERROR(IF(OR(AM790="",AK790=""),"",(AK790+Variables!$B$19)-AM790),""))</f>
        <v>-10</v>
      </c>
      <c r="AR790" s="12">
        <f>IF($H790="Cancelled","",IFERROR(T790*INDEX(Variables!$B$7:$D$7,IFERROR(MATCH(IF($B790="Robusta","Robusta",(IF($B790="","Arabica",$B790))&amp;" - "&amp;(IF($C790="","Commercial",$C790))),Variables!$B$1:$D$1,0),1))*(AQ790/365),""))</f>
        <v>-2.7176875101541569</v>
      </c>
      <c r="AS790" s="12">
        <f>IF($H790="Cancelled","",IFERROR((T790*INDEX(Variables!$B$7:$D$7,IFERROR(MATCH(IF($B790="Robusta","Robusta",(IF($B790="","Arabica",$B790))&amp;" - "&amp;(IF($C790="","Commercial",$C790))),Variables!$B$1:$D$1,0),1))*IFERROR(IF(W790="","",(AVERAGE(E790:F790)-W790)-Variables!$B$14),"")/365)+(L790/16.67*INDEX(Variables!$B$8:$D$8,IFERROR(MATCH(IF($B790="Robusta","Robusta",(IF($B790="","Arabica",$B790))&amp;" - "&amp;(IF($C790="","Commercial",$C790))),Variables!$B$1:$D$1,0),1))*IFERROR(IF(W790="","",(AVERAGE(E790:F790)-W790)-Variables!$B$14),""))+(T790*INDEX(Variables!$B$9:$D$9,IFERROR(MATCH(IF($B790="Robusta","Robusta",(IF($B790="","Arabica",$B790))&amp;" - "&amp;(IF($C790="","Commercial",$C790))),Variables!$B$1:$D$1,0),1))*IFERROR(IF(W790="","",(AVERAGE(E790:F790)-W790)-Variables!$B$14),"")/365),""))</f>
        <v>0.47527237469325417</v>
      </c>
      <c r="AT790" s="12">
        <f>IF($H790="Cancelled","",IFERROR((T790*INDEX(Variables!$B$7:$D$7,IFERROR(MATCH(IF($B790="Robusta","Robusta",(IF($B790="","Arabica",$B790))&amp;" - "&amp;(IF($C790="","Commercial",$C790))),Variables!$B$1:$D$1,0),1))*AC790/365)+(L790/16.67*INDEX(Variables!$B$8:$D$8,IFERROR(MATCH(IF($B790="Robusta","Robusta",(IF($B790="","Arabica",$B790))&amp;" - "&amp;(IF($C790="","Commercial",$C790))),Variables!$B$1:$D$1,0),1))*AC790)+(T790*INDEX(Variables!$B$9:$D$9,IFERROR(MATCH(IF($B790="Robusta","Robusta",(IF($B790="","Arabica",$B790))&amp;" - "&amp;(IF($C790="","Commercial",$C790))),Variables!$B$1:$D$1,0),1))*AC790/365),""))</f>
        <v>-43.24978609708613</v>
      </c>
      <c r="AU790" s="12">
        <f>IF($H790="Cancelled","",IFERROR((T790*INDEX(Variables!$B$7:$D$7,IFERROR(MATCH(IF($B790="Robusta","Robusta",(IF($B790="","Arabica",$B790))&amp;" - "&amp;(IF($C790="","Commercial",$C790))),Variables!$B$1:$D$1,0),1))*AP790/365)+(L790/16.67*INDEX(Variables!$B$8:$D$8,IFERROR(MATCH(IF($B790="Robusta","Robusta",(IF($B790="","Arabica",$B790))&amp;" - "&amp;(IF($C790="","Commercial",$C790))),Variables!$B$1:$D$1,0),1))*AP790)+(T790*INDEX(Variables!$B$9:$D$9,IFERROR(MATCH(IF($B790="Robusta","Robusta",(IF($B790="","Arabica",$B790))&amp;" - "&amp;(IF($C790="","Commercial",$C790))),Variables!$B$1:$D$1,0),1))*AP790/365),""))</f>
        <v>-0.95054474938650835</v>
      </c>
      <c r="AV790" s="11">
        <f t="shared" si="80"/>
        <v>-72</v>
      </c>
      <c r="AW790" s="12">
        <f>IF($H790="Cancelled","",IFERROR(IF(AV790="","",(T790*INDEX(Variables!$B$7:$D$7,IFERROR(MATCH(IF($B790="Robusta","Robusta",(IF($B790="","Arabica",$B790))&amp;" - "&amp;(IF($C790="","Commercial",$C790))),Variables!$B$1:$D$1,0),1))*(AV790/365))+(T790*INDEX(Variables!$B$9:$D$9,IFERROR(MATCH(IF($B790="Robusta","Robusta",(IF($B790="","Arabica",$B790))&amp;" - "&amp;(IF($C790="","Commercial",$C790))),Variables!$B$1:$D$1,0),1))*(AV790/365))+(INDEX(Variables!$B$8:$D$8,IFERROR(MATCH(IF($B790="Robusta","Robusta",(IF($B790="","Arabica",$B790))&amp;" - "&amp;(IF($C790="","Commercial",$C790))),Variables!$B$1:$D$1,0),1))*L790/16.67)),""))</f>
        <v>-19.619610977914302</v>
      </c>
      <c r="AX790" s="9"/>
      <c r="AY790" s="12"/>
      <c r="AZ790" s="10"/>
      <c r="BA790" s="9"/>
      <c r="BB790" s="10"/>
      <c r="BC790" s="9"/>
      <c r="BD790" s="9"/>
      <c r="BE790" s="9"/>
      <c r="BF790" s="9"/>
    </row>
    <row r="791" spans="1:58" x14ac:dyDescent="0.25">
      <c r="A791" s="9" t="s">
        <v>84</v>
      </c>
      <c r="B791" s="9" t="s">
        <v>85</v>
      </c>
      <c r="C791" s="9" t="s">
        <v>1486</v>
      </c>
      <c r="D791" s="10">
        <v>45415</v>
      </c>
      <c r="E791" s="10">
        <v>45413</v>
      </c>
      <c r="F791" s="10">
        <v>45443</v>
      </c>
      <c r="G791" s="9">
        <v>3786346</v>
      </c>
      <c r="H791" s="9" t="str">
        <f t="shared" si="78"/>
        <v>Closed</v>
      </c>
      <c r="I791" s="9" t="str">
        <f t="shared" si="79"/>
        <v>All dates received</v>
      </c>
      <c r="J791" s="9" t="s">
        <v>360</v>
      </c>
      <c r="K791" s="9" t="s">
        <v>1731</v>
      </c>
      <c r="L791" s="11">
        <v>1</v>
      </c>
      <c r="M791" s="9" t="s">
        <v>1724</v>
      </c>
      <c r="N791" s="9"/>
      <c r="O791" s="9"/>
      <c r="P791" s="9"/>
      <c r="Q791" s="11"/>
      <c r="R791" s="9" t="s">
        <v>195</v>
      </c>
      <c r="S791" s="9" t="s">
        <v>312</v>
      </c>
      <c r="T791" s="12">
        <f>IF($H791="Cancelled","",IFERROR(((Q791+INDEX(Variables!$B$6:$D$6,IFERROR(MATCH(IF($B791="Robusta","Robusta",(IF($B791="","Arabica",$B791))&amp;" - "&amp;(IF($C791="","Commercial",$C791))),Variables!$B$1:$D$1,0),1)))*22.0462)*(L791/16.67),""))</f>
        <v>384.58518056388715</v>
      </c>
      <c r="U791" s="10"/>
      <c r="V791" s="9" t="str">
        <f t="shared" si="81"/>
        <v/>
      </c>
      <c r="W791" s="10">
        <v>45397</v>
      </c>
      <c r="X791" s="9" t="str">
        <f t="shared" si="77"/>
        <v>Approved</v>
      </c>
      <c r="Y791" s="10">
        <v>45400</v>
      </c>
      <c r="Z791" s="10">
        <f>IF($H791="Cancelled","",IFERROR(IF(F791="","",F791-Variables!$B$13),""))</f>
        <v>45428</v>
      </c>
      <c r="AA791" s="11">
        <f>IF($H791="Cancelled","",IFERROR(IF(W791="","",(AVERAGE(E791:F791)-W791)-Variables!$B$14),""))</f>
        <v>1</v>
      </c>
      <c r="AB791" s="10">
        <v>45506</v>
      </c>
      <c r="AC791" s="11">
        <f>IF($H791="Cancelled","",IFERROR(IF(AB791="","",IF(AND(W791="",Y791=""),"",IF(Y791&gt;W791,Y791+Variables!$B$15+Variables!$B$16+Variables!$B$17-AB791,W791+Variables!$B$16+Variables!$B$17-AB791))),""))</f>
        <v>-91</v>
      </c>
      <c r="AD791" s="9" t="s">
        <v>163</v>
      </c>
      <c r="AE791" s="9" t="s">
        <v>1730</v>
      </c>
      <c r="AF791" s="10"/>
      <c r="AG791" s="10"/>
      <c r="AH791" s="9"/>
      <c r="AI791" s="9">
        <v>242951062</v>
      </c>
      <c r="AJ791" s="9" t="s">
        <v>8</v>
      </c>
      <c r="AK791" s="10">
        <v>45515</v>
      </c>
      <c r="AL791" s="10">
        <v>45524</v>
      </c>
      <c r="AM791" s="10">
        <v>45530</v>
      </c>
      <c r="AN791" s="9" t="s">
        <v>1492</v>
      </c>
      <c r="AO791" s="9"/>
      <c r="AP791" s="11">
        <f>IF($H791="Cancelled","",IFERROR(IF(OR(AK791="",AB791=""),"",(AB791+Variables!$B$18-AK791)),""))</f>
        <v>-2</v>
      </c>
      <c r="AQ791" s="11">
        <f>IF($H791="Cancelled","",IFERROR(IF(OR(AM791="",AK791=""),"",(AK791+Variables!$B$19)-AM791),""))</f>
        <v>-10</v>
      </c>
      <c r="AR791" s="12">
        <f>IF($H791="Cancelled","",IFERROR(T791*INDEX(Variables!$B$7:$D$7,IFERROR(MATCH(IF($B791="Robusta","Robusta",(IF($B791="","Arabica",$B791))&amp;" - "&amp;(IF($C791="","Commercial",$C791))),Variables!$B$1:$D$1,0),1))*(AQ791/365),""))</f>
        <v>-0.67942187753853922</v>
      </c>
      <c r="AS791" s="12">
        <f>IF($H791="Cancelled","",IFERROR((T791*INDEX(Variables!$B$7:$D$7,IFERROR(MATCH(IF($B791="Robusta","Robusta",(IF($B791="","Arabica",$B791))&amp;" - "&amp;(IF($C791="","Commercial",$C791))),Variables!$B$1:$D$1,0),1))*IFERROR(IF(W791="","",(AVERAGE(E791:F791)-W791)-Variables!$B$14),"")/365)+(L791/16.67*INDEX(Variables!$B$8:$D$8,IFERROR(MATCH(IF($B791="Robusta","Robusta",(IF($B791="","Arabica",$B791))&amp;" - "&amp;(IF($C791="","Commercial",$C791))),Variables!$B$1:$D$1,0),1))*IFERROR(IF(W791="","",(AVERAGE(E791:F791)-W791)-Variables!$B$14),""))+(T791*INDEX(Variables!$B$9:$D$9,IFERROR(MATCH(IF($B791="Robusta","Robusta",(IF($B791="","Arabica",$B791))&amp;" - "&amp;(IF($C791="","Commercial",$C791))),Variables!$B$1:$D$1,0),1))*IFERROR(IF(W791="","",(AVERAGE(E791:F791)-W791)-Variables!$B$14),"")/365),""))</f>
        <v>0.11881809367331354</v>
      </c>
      <c r="AT791" s="12">
        <f>IF($H791="Cancelled","",IFERROR((T791*INDEX(Variables!$B$7:$D$7,IFERROR(MATCH(IF($B791="Robusta","Robusta",(IF($B791="","Arabica",$B791))&amp;" - "&amp;(IF($C791="","Commercial",$C791))),Variables!$B$1:$D$1,0),1))*AC791/365)+(L791/16.67*INDEX(Variables!$B$8:$D$8,IFERROR(MATCH(IF($B791="Robusta","Robusta",(IF($B791="","Arabica",$B791))&amp;" - "&amp;(IF($C791="","Commercial",$C791))),Variables!$B$1:$D$1,0),1))*AC791)+(T791*INDEX(Variables!$B$9:$D$9,IFERROR(MATCH(IF($B791="Robusta","Robusta",(IF($B791="","Arabica",$B791))&amp;" - "&amp;(IF($C791="","Commercial",$C791))),Variables!$B$1:$D$1,0),1))*AC791/365),""))</f>
        <v>-10.812446524271532</v>
      </c>
      <c r="AU791" s="12">
        <f>IF($H791="Cancelled","",IFERROR((T791*INDEX(Variables!$B$7:$D$7,IFERROR(MATCH(IF($B791="Robusta","Robusta",(IF($B791="","Arabica",$B791))&amp;" - "&amp;(IF($C791="","Commercial",$C791))),Variables!$B$1:$D$1,0),1))*AP791/365)+(L791/16.67*INDEX(Variables!$B$8:$D$8,IFERROR(MATCH(IF($B791="Robusta","Robusta",(IF($B791="","Arabica",$B791))&amp;" - "&amp;(IF($C791="","Commercial",$C791))),Variables!$B$1:$D$1,0),1))*AP791)+(T791*INDEX(Variables!$B$9:$D$9,IFERROR(MATCH(IF($B791="Robusta","Robusta",(IF($B791="","Arabica",$B791))&amp;" - "&amp;(IF($C791="","Commercial",$C791))),Variables!$B$1:$D$1,0),1))*AP791/365),""))</f>
        <v>-0.23763618734662709</v>
      </c>
      <c r="AV791" s="11">
        <f t="shared" si="80"/>
        <v>-72</v>
      </c>
      <c r="AW791" s="12">
        <f>IF($H791="Cancelled","",IFERROR(IF(AV791="","",(T791*INDEX(Variables!$B$7:$D$7,IFERROR(MATCH(IF($B791="Robusta","Robusta",(IF($B791="","Arabica",$B791))&amp;" - "&amp;(IF($C791="","Commercial",$C791))),Variables!$B$1:$D$1,0),1))*(AV791/365))+(T791*INDEX(Variables!$B$9:$D$9,IFERROR(MATCH(IF($B791="Robusta","Robusta",(IF($B791="","Arabica",$B791))&amp;" - "&amp;(IF($C791="","Commercial",$C791))),Variables!$B$1:$D$1,0),1))*(AV791/365))+(INDEX(Variables!$B$8:$D$8,IFERROR(MATCH(IF($B791="Robusta","Robusta",(IF($B791="","Arabica",$B791))&amp;" - "&amp;(IF($C791="","Commercial",$C791))),Variables!$B$1:$D$1,0),1))*L791/16.67)),""))</f>
        <v>-4.9049027444785755</v>
      </c>
      <c r="AX791" s="9"/>
      <c r="AY791" s="12"/>
      <c r="AZ791" s="10"/>
      <c r="BA791" s="9"/>
      <c r="BB791" s="10"/>
      <c r="BC791" s="9"/>
      <c r="BD791" s="9"/>
      <c r="BE791" s="9"/>
      <c r="BF791" s="9"/>
    </row>
    <row r="792" spans="1:58" x14ac:dyDescent="0.25">
      <c r="A792" s="9" t="s">
        <v>84</v>
      </c>
      <c r="B792" s="9" t="s">
        <v>85</v>
      </c>
      <c r="C792" s="9" t="s">
        <v>1486</v>
      </c>
      <c r="D792" s="10">
        <v>45418</v>
      </c>
      <c r="E792" s="10">
        <v>45413</v>
      </c>
      <c r="F792" s="10">
        <v>45443</v>
      </c>
      <c r="G792" s="9">
        <v>3786357</v>
      </c>
      <c r="H792" s="9" t="str">
        <f t="shared" si="78"/>
        <v>Closed</v>
      </c>
      <c r="I792" s="9" t="str">
        <f t="shared" si="79"/>
        <v>All dates received</v>
      </c>
      <c r="J792" s="9" t="s">
        <v>235</v>
      </c>
      <c r="K792" s="9">
        <v>4987</v>
      </c>
      <c r="L792" s="11">
        <v>10</v>
      </c>
      <c r="M792" s="9" t="s">
        <v>1732</v>
      </c>
      <c r="N792" s="9"/>
      <c r="O792" s="9"/>
      <c r="P792" s="9"/>
      <c r="Q792" s="11"/>
      <c r="R792" s="9" t="s">
        <v>195</v>
      </c>
      <c r="S792" s="9" t="s">
        <v>106</v>
      </c>
      <c r="T792" s="12">
        <f>IF($H792="Cancelled","",IFERROR(((Q792+INDEX(Variables!$B$6:$D$6,IFERROR(MATCH(IF($B792="Robusta","Robusta",(IF($B792="","Arabica",$B792))&amp;" - "&amp;(IF($C792="","Commercial",$C792))),Variables!$B$1:$D$1,0),1)))*22.0462)*(L792/16.67),""))</f>
        <v>3845.8518056388721</v>
      </c>
      <c r="U792" s="10"/>
      <c r="V792" s="9" t="str">
        <f t="shared" si="81"/>
        <v/>
      </c>
      <c r="W792" s="10">
        <v>45397</v>
      </c>
      <c r="X792" s="9" t="str">
        <f t="shared" si="77"/>
        <v>Approved</v>
      </c>
      <c r="Y792" s="10">
        <v>45400</v>
      </c>
      <c r="Z792" s="10">
        <f>IF($H792="Cancelled","",IFERROR(IF(F792="","",F792-Variables!$B$13),""))</f>
        <v>45428</v>
      </c>
      <c r="AA792" s="11">
        <f>IF($H792="Cancelled","",IFERROR(IF(W792="","",(AVERAGE(E792:F792)-W792)-Variables!$B$14),""))</f>
        <v>1</v>
      </c>
      <c r="AB792" s="10">
        <v>45462</v>
      </c>
      <c r="AC792" s="11">
        <f>IF($H792="Cancelled","",IFERROR(IF(AB792="","",IF(AND(W792="",Y792=""),"",IF(Y792&gt;W792,Y792+Variables!$B$15+Variables!$B$16+Variables!$B$17-AB792,W792+Variables!$B$16+Variables!$B$17-AB792))),""))</f>
        <v>-47</v>
      </c>
      <c r="AD792" s="9" t="s">
        <v>107</v>
      </c>
      <c r="AE792" s="9" t="s">
        <v>374</v>
      </c>
      <c r="AF792" s="10"/>
      <c r="AG792" s="10"/>
      <c r="AH792" s="9"/>
      <c r="AI792" s="9" t="s">
        <v>1686</v>
      </c>
      <c r="AJ792" s="9" t="s">
        <v>8</v>
      </c>
      <c r="AK792" s="10">
        <v>45485</v>
      </c>
      <c r="AL792" s="10">
        <v>45490</v>
      </c>
      <c r="AM792" s="10">
        <v>45516</v>
      </c>
      <c r="AN792" s="9" t="s">
        <v>1492</v>
      </c>
      <c r="AO792" s="9"/>
      <c r="AP792" s="11">
        <f>IF($H792="Cancelled","",IFERROR(IF(OR(AK792="",AB792=""),"",(AB792+Variables!$B$18-AK792)),""))</f>
        <v>-16</v>
      </c>
      <c r="AQ792" s="11">
        <f>IF($H792="Cancelled","",IFERROR(IF(OR(AM792="",AK792=""),"",(AK792+Variables!$B$19)-AM792),""))</f>
        <v>-26</v>
      </c>
      <c r="AR792" s="12">
        <f>IF($H792="Cancelled","",IFERROR(T792*INDEX(Variables!$B$7:$D$7,IFERROR(MATCH(IF($B792="Robusta","Robusta",(IF($B792="","Arabica",$B792))&amp;" - "&amp;(IF($C792="","Commercial",$C792))),Variables!$B$1:$D$1,0),1))*(AQ792/365),""))</f>
        <v>-17.664968816002023</v>
      </c>
      <c r="AS792" s="12">
        <f>IF($H792="Cancelled","",IFERROR((T792*INDEX(Variables!$B$7:$D$7,IFERROR(MATCH(IF($B792="Robusta","Robusta",(IF($B792="","Arabica",$B792))&amp;" - "&amp;(IF($C792="","Commercial",$C792))),Variables!$B$1:$D$1,0),1))*IFERROR(IF(W792="","",(AVERAGE(E792:F792)-W792)-Variables!$B$14),"")/365)+(L792/16.67*INDEX(Variables!$B$8:$D$8,IFERROR(MATCH(IF($B792="Robusta","Robusta",(IF($B792="","Arabica",$B792))&amp;" - "&amp;(IF($C792="","Commercial",$C792))),Variables!$B$1:$D$1,0),1))*IFERROR(IF(W792="","",(AVERAGE(E792:F792)-W792)-Variables!$B$14),""))+(T792*INDEX(Variables!$B$9:$D$9,IFERROR(MATCH(IF($B792="Robusta","Robusta",(IF($B792="","Arabica",$B792))&amp;" - "&amp;(IF($C792="","Commercial",$C792))),Variables!$B$1:$D$1,0),1))*IFERROR(IF(W792="","",(AVERAGE(E792:F792)-W792)-Variables!$B$14),"")/365),""))</f>
        <v>1.1881809367331355</v>
      </c>
      <c r="AT792" s="12">
        <f>IF($H792="Cancelled","",IFERROR((T792*INDEX(Variables!$B$7:$D$7,IFERROR(MATCH(IF($B792="Robusta","Robusta",(IF($B792="","Arabica",$B792))&amp;" - "&amp;(IF($C792="","Commercial",$C792))),Variables!$B$1:$D$1,0),1))*AC792/365)+(L792/16.67*INDEX(Variables!$B$8:$D$8,IFERROR(MATCH(IF($B792="Robusta","Robusta",(IF($B792="","Arabica",$B792))&amp;" - "&amp;(IF($C792="","Commercial",$C792))),Variables!$B$1:$D$1,0),1))*AC792)+(T792*INDEX(Variables!$B$9:$D$9,IFERROR(MATCH(IF($B792="Robusta","Robusta",(IF($B792="","Arabica",$B792))&amp;" - "&amp;(IF($C792="","Commercial",$C792))),Variables!$B$1:$D$1,0),1))*AC792/365),""))</f>
        <v>-55.844504026457372</v>
      </c>
      <c r="AU792" s="12">
        <f>IF($H792="Cancelled","",IFERROR((T792*INDEX(Variables!$B$7:$D$7,IFERROR(MATCH(IF($B792="Robusta","Robusta",(IF($B792="","Arabica",$B792))&amp;" - "&amp;(IF($C792="","Commercial",$C792))),Variables!$B$1:$D$1,0),1))*AP792/365)+(L792/16.67*INDEX(Variables!$B$8:$D$8,IFERROR(MATCH(IF($B792="Robusta","Robusta",(IF($B792="","Arabica",$B792))&amp;" - "&amp;(IF($C792="","Commercial",$C792))),Variables!$B$1:$D$1,0),1))*AP792)+(T792*INDEX(Variables!$B$9:$D$9,IFERROR(MATCH(IF($B792="Robusta","Robusta",(IF($B792="","Arabica",$B792))&amp;" - "&amp;(IF($C792="","Commercial",$C792))),Variables!$B$1:$D$1,0),1))*AP792/365),""))</f>
        <v>-19.010894987730168</v>
      </c>
      <c r="AV792" s="11">
        <f t="shared" si="80"/>
        <v>-42</v>
      </c>
      <c r="AW792" s="12">
        <f>IF($H792="Cancelled","",IFERROR(IF(AV792="","",(T792*INDEX(Variables!$B$7:$D$7,IFERROR(MATCH(IF($B792="Robusta","Robusta",(IF($B792="","Arabica",$B792))&amp;" - "&amp;(IF($C792="","Commercial",$C792))),Variables!$B$1:$D$1,0),1))*(AV792/365))+(T792*INDEX(Variables!$B$9:$D$9,IFERROR(MATCH(IF($B792="Robusta","Robusta",(IF($B792="","Arabica",$B792))&amp;" - "&amp;(IF($C792="","Commercial",$C792))),Variables!$B$1:$D$1,0),1))*(AV792/365))+(INDEX(Variables!$B$8:$D$8,IFERROR(MATCH(IF($B792="Robusta","Robusta",(IF($B792="","Arabica",$B792))&amp;" - "&amp;(IF($C792="","Commercial",$C792))),Variables!$B$1:$D$1,0),1))*L792/16.67)),""))</f>
        <v>-28.403599342791694</v>
      </c>
      <c r="AX792" s="9"/>
      <c r="AY792" s="12"/>
      <c r="AZ792" s="10"/>
      <c r="BA792" s="9"/>
      <c r="BB792" s="10"/>
      <c r="BC792" s="9"/>
      <c r="BD792" s="9"/>
      <c r="BE792" s="9"/>
      <c r="BF792" s="9"/>
    </row>
    <row r="793" spans="1:58" x14ac:dyDescent="0.25">
      <c r="A793" s="9" t="s">
        <v>84</v>
      </c>
      <c r="B793" s="9" t="s">
        <v>85</v>
      </c>
      <c r="C793" s="9" t="s">
        <v>1486</v>
      </c>
      <c r="D793" s="10">
        <v>45425</v>
      </c>
      <c r="E793" s="10">
        <v>45425</v>
      </c>
      <c r="F793" s="10">
        <v>45443</v>
      </c>
      <c r="G793" s="9">
        <v>3786371</v>
      </c>
      <c r="H793" s="9" t="str">
        <f t="shared" si="78"/>
        <v>Open</v>
      </c>
      <c r="I793" s="9" t="str">
        <f t="shared" si="79"/>
        <v>No sailing date and No shipping advice sent and No docs dispatch date</v>
      </c>
      <c r="J793" s="9" t="s">
        <v>1487</v>
      </c>
      <c r="K793" s="9">
        <v>4945</v>
      </c>
      <c r="L793" s="11">
        <v>15</v>
      </c>
      <c r="M793" s="9" t="s">
        <v>1733</v>
      </c>
      <c r="N793" s="9"/>
      <c r="O793" s="9"/>
      <c r="P793" s="9"/>
      <c r="Q793" s="11"/>
      <c r="R793" s="9" t="s">
        <v>90</v>
      </c>
      <c r="S793" s="9"/>
      <c r="T793" s="12">
        <f>IF($H793="Cancelled","",IFERROR(((Q793+INDEX(Variables!$B$6:$D$6,IFERROR(MATCH(IF($B793="Robusta","Robusta",(IF($B793="","Arabica",$B793))&amp;" - "&amp;(IF($C793="","Commercial",$C793))),Variables!$B$1:$D$1,0),1)))*22.0462)*(L793/16.67),""))</f>
        <v>5768.7777084583076</v>
      </c>
      <c r="U793" s="10"/>
      <c r="V793" s="9" t="str">
        <f t="shared" si="81"/>
        <v/>
      </c>
      <c r="W793" s="10">
        <v>45397</v>
      </c>
      <c r="X793" s="9" t="str">
        <f t="shared" si="77"/>
        <v>Approved</v>
      </c>
      <c r="Y793" s="10">
        <v>45400</v>
      </c>
      <c r="Z793" s="10">
        <f>IF($H793="Cancelled","",IFERROR(IF(F793="","",F793-Variables!$B$13),""))</f>
        <v>45428</v>
      </c>
      <c r="AA793" s="11">
        <f>IF($H793="Cancelled","",IFERROR(IF(W793="","",(AVERAGE(E793:F793)-W793)-Variables!$B$14),""))</f>
        <v>7</v>
      </c>
      <c r="AB793" s="10">
        <v>45461</v>
      </c>
      <c r="AC793" s="11">
        <f>IF($H793="Cancelled","",IFERROR(IF(AB793="","",IF(AND(W793="",Y793=""),"",IF(Y793&gt;W793,Y793+Variables!$B$15+Variables!$B$16+Variables!$B$17-AB793,W793+Variables!$B$16+Variables!$B$17-AB793))),""))</f>
        <v>-46</v>
      </c>
      <c r="AD793" s="9"/>
      <c r="AE793" s="9"/>
      <c r="AF793" s="10"/>
      <c r="AG793" s="10"/>
      <c r="AH793" s="9"/>
      <c r="AI793" s="9"/>
      <c r="AJ793" s="9"/>
      <c r="AK793" s="10"/>
      <c r="AL793" s="10"/>
      <c r="AM793" s="10"/>
      <c r="AN793" s="9" t="s">
        <v>1507</v>
      </c>
      <c r="AO793" s="9"/>
      <c r="AP793" s="11" t="str">
        <f>IF($H793="Cancelled","",IFERROR(IF(OR(AK793="",AB793=""),"",(AB793+Variables!$B$18-AK793)),""))</f>
        <v/>
      </c>
      <c r="AQ793" s="11" t="str">
        <f>IF($H793="Cancelled","",IFERROR(IF(OR(AM793="",AK793=""),"",(AK793+Variables!$B$19)-AM793),""))</f>
        <v/>
      </c>
      <c r="AR793" s="12" t="str">
        <f>IF($H793="Cancelled","",IFERROR(T793*INDEX(Variables!$B$7:$D$7,IFERROR(MATCH(IF($B793="Robusta","Robusta",(IF($B793="","Arabica",$B793))&amp;" - "&amp;(IF($C793="","Commercial",$C793))),Variables!$B$1:$D$1,0),1))*(AQ793/365),""))</f>
        <v/>
      </c>
      <c r="AS793" s="12">
        <f>IF($H793="Cancelled","",IFERROR((T793*INDEX(Variables!$B$7:$D$7,IFERROR(MATCH(IF($B793="Robusta","Robusta",(IF($B793="","Arabica",$B793))&amp;" - "&amp;(IF($C793="","Commercial",$C793))),Variables!$B$1:$D$1,0),1))*IFERROR(IF(W793="","",(AVERAGE(E793:F793)-W793)-Variables!$B$14),"")/365)+(L793/16.67*INDEX(Variables!$B$8:$D$8,IFERROR(MATCH(IF($B793="Robusta","Robusta",(IF($B793="","Arabica",$B793))&amp;" - "&amp;(IF($C793="","Commercial",$C793))),Variables!$B$1:$D$1,0),1))*IFERROR(IF(W793="","",(AVERAGE(E793:F793)-W793)-Variables!$B$14),""))+(T793*INDEX(Variables!$B$9:$D$9,IFERROR(MATCH(IF($B793="Robusta","Robusta",(IF($B793="","Arabica",$B793))&amp;" - "&amp;(IF($C793="","Commercial",$C793))),Variables!$B$1:$D$1,0),1))*IFERROR(IF(W793="","",(AVERAGE(E793:F793)-W793)-Variables!$B$14),"")/365),""))</f>
        <v>12.475899835697923</v>
      </c>
      <c r="AT793" s="12">
        <f>IF($H793="Cancelled","",IFERROR((T793*INDEX(Variables!$B$7:$D$7,IFERROR(MATCH(IF($B793="Robusta","Robusta",(IF($B793="","Arabica",$B793))&amp;" - "&amp;(IF($C793="","Commercial",$C793))),Variables!$B$1:$D$1,0),1))*AC793/365)+(L793/16.67*INDEX(Variables!$B$8:$D$8,IFERROR(MATCH(IF($B793="Robusta","Robusta",(IF($B793="","Arabica",$B793))&amp;" - "&amp;(IF($C793="","Commercial",$C793))),Variables!$B$1:$D$1,0),1))*AC793)+(T793*INDEX(Variables!$B$9:$D$9,IFERROR(MATCH(IF($B793="Robusta","Robusta",(IF($B793="","Arabica",$B793))&amp;" - "&amp;(IF($C793="","Commercial",$C793))),Variables!$B$1:$D$1,0),1))*AC793/365),""))</f>
        <v>-81.984484634586352</v>
      </c>
      <c r="AU793" s="12" t="str">
        <f>IF($H793="Cancelled","",IFERROR((T793*INDEX(Variables!$B$7:$D$7,IFERROR(MATCH(IF($B793="Robusta","Robusta",(IF($B793="","Arabica",$B793))&amp;" - "&amp;(IF($C793="","Commercial",$C793))),Variables!$B$1:$D$1,0),1))*AP793/365)+(L793/16.67*INDEX(Variables!$B$8:$D$8,IFERROR(MATCH(IF($B793="Robusta","Robusta",(IF($B793="","Arabica",$B793))&amp;" - "&amp;(IF($C793="","Commercial",$C793))),Variables!$B$1:$D$1,0),1))*AP793)+(T793*INDEX(Variables!$B$9:$D$9,IFERROR(MATCH(IF($B793="Robusta","Robusta",(IF($B793="","Arabica",$B793))&amp;" - "&amp;(IF($C793="","Commercial",$C793))),Variables!$B$1:$D$1,0),1))*AP793/365),""))</f>
        <v/>
      </c>
      <c r="AV793" s="11" t="str">
        <f t="shared" si="80"/>
        <v/>
      </c>
      <c r="AW793" s="12" t="str">
        <f>IF($H793="Cancelled","",IFERROR(IF(AV793="","",(T793*INDEX(Variables!$B$7:$D$7,IFERROR(MATCH(IF($B793="Robusta","Robusta",(IF($B793="","Arabica",$B793))&amp;" - "&amp;(IF($C793="","Commercial",$C793))),Variables!$B$1:$D$1,0),1))*(AV793/365))+(T793*INDEX(Variables!$B$9:$D$9,IFERROR(MATCH(IF($B793="Robusta","Robusta",(IF($B793="","Arabica",$B793))&amp;" - "&amp;(IF($C793="","Commercial",$C793))),Variables!$B$1:$D$1,0),1))*(AV793/365))+(INDEX(Variables!$B$8:$D$8,IFERROR(MATCH(IF($B793="Robusta","Robusta",(IF($B793="","Arabica",$B793))&amp;" - "&amp;(IF($C793="","Commercial",$C793))),Variables!$B$1:$D$1,0),1))*L793/16.67)),""))</f>
        <v/>
      </c>
      <c r="AX793" s="9"/>
      <c r="AY793" s="12"/>
      <c r="AZ793" s="10"/>
      <c r="BA793" s="9"/>
      <c r="BB793" s="10"/>
      <c r="BC793" s="9"/>
      <c r="BD793" s="9"/>
      <c r="BE793" s="9"/>
      <c r="BF793" s="9"/>
    </row>
    <row r="794" spans="1:58" x14ac:dyDescent="0.25">
      <c r="A794" s="9" t="s">
        <v>84</v>
      </c>
      <c r="B794" s="9" t="s">
        <v>85</v>
      </c>
      <c r="C794" s="9" t="s">
        <v>1486</v>
      </c>
      <c r="D794" s="10">
        <v>45425</v>
      </c>
      <c r="E794" s="10">
        <v>45425</v>
      </c>
      <c r="F794" s="10">
        <v>45443</v>
      </c>
      <c r="G794" s="9">
        <v>3786372</v>
      </c>
      <c r="H794" s="9" t="str">
        <f t="shared" si="78"/>
        <v>Open</v>
      </c>
      <c r="I794" s="9" t="str">
        <f t="shared" si="79"/>
        <v>No sailing date and No shipping advice sent and No docs dispatch date</v>
      </c>
      <c r="J794" s="9" t="s">
        <v>1487</v>
      </c>
      <c r="K794" s="9">
        <v>4946</v>
      </c>
      <c r="L794" s="11">
        <v>23</v>
      </c>
      <c r="M794" s="9" t="s">
        <v>1734</v>
      </c>
      <c r="N794" s="9"/>
      <c r="O794" s="9"/>
      <c r="P794" s="9"/>
      <c r="Q794" s="11"/>
      <c r="R794" s="9" t="s">
        <v>90</v>
      </c>
      <c r="S794" s="9"/>
      <c r="T794" s="12">
        <f>IF($H794="Cancelled","",IFERROR(((Q794+INDEX(Variables!$B$6:$D$6,IFERROR(MATCH(IF($B794="Robusta","Robusta",(IF($B794="","Arabica",$B794))&amp;" - "&amp;(IF($C794="","Commercial",$C794))),Variables!$B$1:$D$1,0),1)))*22.0462)*(L794/16.67),""))</f>
        <v>8845.4591529694044</v>
      </c>
      <c r="U794" s="10"/>
      <c r="V794" s="9" t="str">
        <f t="shared" si="81"/>
        <v/>
      </c>
      <c r="W794" s="10">
        <v>45397</v>
      </c>
      <c r="X794" s="9" t="str">
        <f t="shared" si="77"/>
        <v>Approved</v>
      </c>
      <c r="Y794" s="10">
        <v>45400</v>
      </c>
      <c r="Z794" s="10">
        <f>IF($H794="Cancelled","",IFERROR(IF(F794="","",F794-Variables!$B$13),""))</f>
        <v>45428</v>
      </c>
      <c r="AA794" s="11">
        <f>IF($H794="Cancelled","",IFERROR(IF(W794="","",(AVERAGE(E794:F794)-W794)-Variables!$B$14),""))</f>
        <v>7</v>
      </c>
      <c r="AB794" s="10">
        <v>45461</v>
      </c>
      <c r="AC794" s="11">
        <f>IF($H794="Cancelled","",IFERROR(IF(AB794="","",IF(AND(W794="",Y794=""),"",IF(Y794&gt;W794,Y794+Variables!$B$15+Variables!$B$16+Variables!$B$17-AB794,W794+Variables!$B$16+Variables!$B$17-AB794))),""))</f>
        <v>-46</v>
      </c>
      <c r="AD794" s="9"/>
      <c r="AE794" s="9"/>
      <c r="AF794" s="10"/>
      <c r="AG794" s="10"/>
      <c r="AH794" s="9"/>
      <c r="AI794" s="9"/>
      <c r="AJ794" s="9"/>
      <c r="AK794" s="10"/>
      <c r="AL794" s="10"/>
      <c r="AM794" s="10"/>
      <c r="AN794" s="9" t="s">
        <v>1507</v>
      </c>
      <c r="AO794" s="9"/>
      <c r="AP794" s="11" t="str">
        <f>IF($H794="Cancelled","",IFERROR(IF(OR(AK794="",AB794=""),"",(AB794+Variables!$B$18-AK794)),""))</f>
        <v/>
      </c>
      <c r="AQ794" s="11" t="str">
        <f>IF($H794="Cancelled","",IFERROR(IF(OR(AM794="",AK794=""),"",(AK794+Variables!$B$19)-AM794),""))</f>
        <v/>
      </c>
      <c r="AR794" s="12" t="str">
        <f>IF($H794="Cancelled","",IFERROR(T794*INDEX(Variables!$B$7:$D$7,IFERROR(MATCH(IF($B794="Robusta","Robusta",(IF($B794="","Arabica",$B794))&amp;" - "&amp;(IF($C794="","Commercial",$C794))),Variables!$B$1:$D$1,0),1))*(AQ794/365),""))</f>
        <v/>
      </c>
      <c r="AS794" s="12">
        <f>IF($H794="Cancelled","",IFERROR((T794*INDEX(Variables!$B$7:$D$7,IFERROR(MATCH(IF($B794="Robusta","Robusta",(IF($B794="","Arabica",$B794))&amp;" - "&amp;(IF($C794="","Commercial",$C794))),Variables!$B$1:$D$1,0),1))*IFERROR(IF(W794="","",(AVERAGE(E794:F794)-W794)-Variables!$B$14),"")/365)+(L794/16.67*INDEX(Variables!$B$8:$D$8,IFERROR(MATCH(IF($B794="Robusta","Robusta",(IF($B794="","Arabica",$B794))&amp;" - "&amp;(IF($C794="","Commercial",$C794))),Variables!$B$1:$D$1,0),1))*IFERROR(IF(W794="","",(AVERAGE(E794:F794)-W794)-Variables!$B$14),""))+(T794*INDEX(Variables!$B$9:$D$9,IFERROR(MATCH(IF($B794="Robusta","Robusta",(IF($B794="","Arabica",$B794))&amp;" - "&amp;(IF($C794="","Commercial",$C794))),Variables!$B$1:$D$1,0),1))*IFERROR(IF(W794="","",(AVERAGE(E794:F794)-W794)-Variables!$B$14),"")/365),""))</f>
        <v>19.12971308140348</v>
      </c>
      <c r="AT794" s="12">
        <f>IF($H794="Cancelled","",IFERROR((T794*INDEX(Variables!$B$7:$D$7,IFERROR(MATCH(IF($B794="Robusta","Robusta",(IF($B794="","Arabica",$B794))&amp;" - "&amp;(IF($C794="","Commercial",$C794))),Variables!$B$1:$D$1,0),1))*AC794/365)+(L794/16.67*INDEX(Variables!$B$8:$D$8,IFERROR(MATCH(IF($B794="Robusta","Robusta",(IF($B794="","Arabica",$B794))&amp;" - "&amp;(IF($C794="","Commercial",$C794))),Variables!$B$1:$D$1,0),1))*AC794)+(T794*INDEX(Variables!$B$9:$D$9,IFERROR(MATCH(IF($B794="Robusta","Robusta",(IF($B794="","Arabica",$B794))&amp;" - "&amp;(IF($C794="","Commercial",$C794))),Variables!$B$1:$D$1,0),1))*AC794/365),""))</f>
        <v>-125.70954310636574</v>
      </c>
      <c r="AU794" s="12" t="str">
        <f>IF($H794="Cancelled","",IFERROR((T794*INDEX(Variables!$B$7:$D$7,IFERROR(MATCH(IF($B794="Robusta","Robusta",(IF($B794="","Arabica",$B794))&amp;" - "&amp;(IF($C794="","Commercial",$C794))),Variables!$B$1:$D$1,0),1))*AP794/365)+(L794/16.67*INDEX(Variables!$B$8:$D$8,IFERROR(MATCH(IF($B794="Robusta","Robusta",(IF($B794="","Arabica",$B794))&amp;" - "&amp;(IF($C794="","Commercial",$C794))),Variables!$B$1:$D$1,0),1))*AP794)+(T794*INDEX(Variables!$B$9:$D$9,IFERROR(MATCH(IF($B794="Robusta","Robusta",(IF($B794="","Arabica",$B794))&amp;" - "&amp;(IF($C794="","Commercial",$C794))),Variables!$B$1:$D$1,0),1))*AP794/365),""))</f>
        <v/>
      </c>
      <c r="AV794" s="11" t="str">
        <f t="shared" si="80"/>
        <v/>
      </c>
      <c r="AW794" s="12" t="str">
        <f>IF($H794="Cancelled","",IFERROR(IF(AV794="","",(T794*INDEX(Variables!$B$7:$D$7,IFERROR(MATCH(IF($B794="Robusta","Robusta",(IF($B794="","Arabica",$B794))&amp;" - "&amp;(IF($C794="","Commercial",$C794))),Variables!$B$1:$D$1,0),1))*(AV794/365))+(T794*INDEX(Variables!$B$9:$D$9,IFERROR(MATCH(IF($B794="Robusta","Robusta",(IF($B794="","Arabica",$B794))&amp;" - "&amp;(IF($C794="","Commercial",$C794))),Variables!$B$1:$D$1,0),1))*(AV794/365))+(INDEX(Variables!$B$8:$D$8,IFERROR(MATCH(IF($B794="Robusta","Robusta",(IF($B794="","Arabica",$B794))&amp;" - "&amp;(IF($C794="","Commercial",$C794))),Variables!$B$1:$D$1,0),1))*L794/16.67)),""))</f>
        <v/>
      </c>
      <c r="AX794" s="9"/>
      <c r="AY794" s="12"/>
      <c r="AZ794" s="10"/>
      <c r="BA794" s="9"/>
      <c r="BB794" s="10"/>
      <c r="BC794" s="9"/>
      <c r="BD794" s="9"/>
      <c r="BE794" s="9"/>
      <c r="BF794" s="9"/>
    </row>
    <row r="795" spans="1:58" x14ac:dyDescent="0.25">
      <c r="A795" s="9" t="s">
        <v>84</v>
      </c>
      <c r="B795" s="9" t="s">
        <v>85</v>
      </c>
      <c r="C795" s="9" t="s">
        <v>1486</v>
      </c>
      <c r="D795" s="10">
        <v>45425</v>
      </c>
      <c r="E795" s="10">
        <v>45425</v>
      </c>
      <c r="F795" s="10">
        <v>45443</v>
      </c>
      <c r="G795" s="9">
        <v>3786373</v>
      </c>
      <c r="H795" s="9" t="str">
        <f t="shared" si="78"/>
        <v>Open</v>
      </c>
      <c r="I795" s="9" t="str">
        <f t="shared" si="79"/>
        <v>No sailing date and No shipping advice sent and No docs dispatch date</v>
      </c>
      <c r="J795" s="9" t="s">
        <v>1487</v>
      </c>
      <c r="K795" s="9">
        <v>4947</v>
      </c>
      <c r="L795" s="11">
        <v>20</v>
      </c>
      <c r="M795" s="9" t="s">
        <v>1735</v>
      </c>
      <c r="N795" s="9"/>
      <c r="O795" s="9"/>
      <c r="P795" s="9"/>
      <c r="Q795" s="11"/>
      <c r="R795" s="9" t="s">
        <v>90</v>
      </c>
      <c r="S795" s="9"/>
      <c r="T795" s="12">
        <f>IF($H795="Cancelled","",IFERROR(((Q795+INDEX(Variables!$B$6:$D$6,IFERROR(MATCH(IF($B795="Robusta","Robusta",(IF($B795="","Arabica",$B795))&amp;" - "&amp;(IF($C795="","Commercial",$C795))),Variables!$B$1:$D$1,0),1)))*22.0462)*(L795/16.67),""))</f>
        <v>7691.7036112777441</v>
      </c>
      <c r="U795" s="10"/>
      <c r="V795" s="9" t="str">
        <f t="shared" si="81"/>
        <v/>
      </c>
      <c r="W795" s="10">
        <v>45397</v>
      </c>
      <c r="X795" s="9" t="str">
        <f t="shared" si="77"/>
        <v>Approved</v>
      </c>
      <c r="Y795" s="10">
        <v>45400</v>
      </c>
      <c r="Z795" s="10">
        <f>IF($H795="Cancelled","",IFERROR(IF(F795="","",F795-Variables!$B$13),""))</f>
        <v>45428</v>
      </c>
      <c r="AA795" s="11">
        <f>IF($H795="Cancelled","",IFERROR(IF(W795="","",(AVERAGE(E795:F795)-W795)-Variables!$B$14),""))</f>
        <v>7</v>
      </c>
      <c r="AB795" s="10">
        <v>45461</v>
      </c>
      <c r="AC795" s="11">
        <f>IF($H795="Cancelled","",IFERROR(IF(AB795="","",IF(AND(W795="",Y795=""),"",IF(Y795&gt;W795,Y795+Variables!$B$15+Variables!$B$16+Variables!$B$17-AB795,W795+Variables!$B$16+Variables!$B$17-AB795))),""))</f>
        <v>-46</v>
      </c>
      <c r="AD795" s="9"/>
      <c r="AE795" s="9"/>
      <c r="AF795" s="10"/>
      <c r="AG795" s="10"/>
      <c r="AH795" s="9"/>
      <c r="AI795" s="9"/>
      <c r="AJ795" s="9"/>
      <c r="AK795" s="10"/>
      <c r="AL795" s="10"/>
      <c r="AM795" s="10"/>
      <c r="AN795" s="9" t="s">
        <v>1507</v>
      </c>
      <c r="AO795" s="9"/>
      <c r="AP795" s="11" t="str">
        <f>IF($H795="Cancelled","",IFERROR(IF(OR(AK795="",AB795=""),"",(AB795+Variables!$B$18-AK795)),""))</f>
        <v/>
      </c>
      <c r="AQ795" s="11" t="str">
        <f>IF($H795="Cancelled","",IFERROR(IF(OR(AM795="",AK795=""),"",(AK795+Variables!$B$19)-AM795),""))</f>
        <v/>
      </c>
      <c r="AR795" s="12" t="str">
        <f>IF($H795="Cancelled","",IFERROR(T795*INDEX(Variables!$B$7:$D$7,IFERROR(MATCH(IF($B795="Robusta","Robusta",(IF($B795="","Arabica",$B795))&amp;" - "&amp;(IF($C795="","Commercial",$C795))),Variables!$B$1:$D$1,0),1))*(AQ795/365),""))</f>
        <v/>
      </c>
      <c r="AS795" s="12">
        <f>IF($H795="Cancelled","",IFERROR((T795*INDEX(Variables!$B$7:$D$7,IFERROR(MATCH(IF($B795="Robusta","Robusta",(IF($B795="","Arabica",$B795))&amp;" - "&amp;(IF($C795="","Commercial",$C795))),Variables!$B$1:$D$1,0),1))*IFERROR(IF(W795="","",(AVERAGE(E795:F795)-W795)-Variables!$B$14),"")/365)+(L795/16.67*INDEX(Variables!$B$8:$D$8,IFERROR(MATCH(IF($B795="Robusta","Robusta",(IF($B795="","Arabica",$B795))&amp;" - "&amp;(IF($C795="","Commercial",$C795))),Variables!$B$1:$D$1,0),1))*IFERROR(IF(W795="","",(AVERAGE(E795:F795)-W795)-Variables!$B$14),""))+(T795*INDEX(Variables!$B$9:$D$9,IFERROR(MATCH(IF($B795="Robusta","Robusta",(IF($B795="","Arabica",$B795))&amp;" - "&amp;(IF($C795="","Commercial",$C795))),Variables!$B$1:$D$1,0),1))*IFERROR(IF(W795="","",(AVERAGE(E795:F795)-W795)-Variables!$B$14),"")/365),""))</f>
        <v>16.634533114263899</v>
      </c>
      <c r="AT795" s="12">
        <f>IF($H795="Cancelled","",IFERROR((T795*INDEX(Variables!$B$7:$D$7,IFERROR(MATCH(IF($B795="Robusta","Robusta",(IF($B795="","Arabica",$B795))&amp;" - "&amp;(IF($C795="","Commercial",$C795))),Variables!$B$1:$D$1,0),1))*AC795/365)+(L795/16.67*INDEX(Variables!$B$8:$D$8,IFERROR(MATCH(IF($B795="Robusta","Robusta",(IF($B795="","Arabica",$B795))&amp;" - "&amp;(IF($C795="","Commercial",$C795))),Variables!$B$1:$D$1,0),1))*AC795)+(T795*INDEX(Variables!$B$9:$D$9,IFERROR(MATCH(IF($B795="Robusta","Robusta",(IF($B795="","Arabica",$B795))&amp;" - "&amp;(IF($C795="","Commercial",$C795))),Variables!$B$1:$D$1,0),1))*AC795/365),""))</f>
        <v>-109.31264617944848</v>
      </c>
      <c r="AU795" s="12" t="str">
        <f>IF($H795="Cancelled","",IFERROR((T795*INDEX(Variables!$B$7:$D$7,IFERROR(MATCH(IF($B795="Robusta","Robusta",(IF($B795="","Arabica",$B795))&amp;" - "&amp;(IF($C795="","Commercial",$C795))),Variables!$B$1:$D$1,0),1))*AP795/365)+(L795/16.67*INDEX(Variables!$B$8:$D$8,IFERROR(MATCH(IF($B795="Robusta","Robusta",(IF($B795="","Arabica",$B795))&amp;" - "&amp;(IF($C795="","Commercial",$C795))),Variables!$B$1:$D$1,0),1))*AP795)+(T795*INDEX(Variables!$B$9:$D$9,IFERROR(MATCH(IF($B795="Robusta","Robusta",(IF($B795="","Arabica",$B795))&amp;" - "&amp;(IF($C795="","Commercial",$C795))),Variables!$B$1:$D$1,0),1))*AP795/365),""))</f>
        <v/>
      </c>
      <c r="AV795" s="11" t="str">
        <f t="shared" si="80"/>
        <v/>
      </c>
      <c r="AW795" s="12" t="str">
        <f>IF($H795="Cancelled","",IFERROR(IF(AV795="","",(T795*INDEX(Variables!$B$7:$D$7,IFERROR(MATCH(IF($B795="Robusta","Robusta",(IF($B795="","Arabica",$B795))&amp;" - "&amp;(IF($C795="","Commercial",$C795))),Variables!$B$1:$D$1,0),1))*(AV795/365))+(T795*INDEX(Variables!$B$9:$D$9,IFERROR(MATCH(IF($B795="Robusta","Robusta",(IF($B795="","Arabica",$B795))&amp;" - "&amp;(IF($C795="","Commercial",$C795))),Variables!$B$1:$D$1,0),1))*(AV795/365))+(INDEX(Variables!$B$8:$D$8,IFERROR(MATCH(IF($B795="Robusta","Robusta",(IF($B795="","Arabica",$B795))&amp;" - "&amp;(IF($C795="","Commercial",$C795))),Variables!$B$1:$D$1,0),1))*L795/16.67)),""))</f>
        <v/>
      </c>
      <c r="AX795" s="9"/>
      <c r="AY795" s="12"/>
      <c r="AZ795" s="10"/>
      <c r="BA795" s="9"/>
      <c r="BB795" s="10"/>
      <c r="BC795" s="9"/>
      <c r="BD795" s="9"/>
      <c r="BE795" s="9"/>
      <c r="BF795" s="9"/>
    </row>
    <row r="796" spans="1:58" x14ac:dyDescent="0.25">
      <c r="A796" s="9" t="s">
        <v>84</v>
      </c>
      <c r="B796" s="9" t="s">
        <v>85</v>
      </c>
      <c r="C796" s="9" t="s">
        <v>1486</v>
      </c>
      <c r="D796" s="10">
        <v>45427</v>
      </c>
      <c r="E796" s="10">
        <v>45413</v>
      </c>
      <c r="F796" s="10">
        <v>45443</v>
      </c>
      <c r="G796" s="9">
        <v>3786374</v>
      </c>
      <c r="H796" s="9" t="str">
        <f t="shared" si="78"/>
        <v>Closed</v>
      </c>
      <c r="I796" s="9" t="str">
        <f t="shared" si="79"/>
        <v>All dates received</v>
      </c>
      <c r="J796" s="9" t="s">
        <v>257</v>
      </c>
      <c r="K796" s="9">
        <v>4941</v>
      </c>
      <c r="L796" s="11">
        <v>2</v>
      </c>
      <c r="M796" s="9" t="s">
        <v>1736</v>
      </c>
      <c r="N796" s="9"/>
      <c r="O796" s="9"/>
      <c r="P796" s="9"/>
      <c r="Q796" s="11"/>
      <c r="R796" s="9" t="s">
        <v>195</v>
      </c>
      <c r="S796" s="9" t="s">
        <v>1121</v>
      </c>
      <c r="T796" s="12">
        <f>IF($H796="Cancelled","",IFERROR(((Q796+INDEX(Variables!$B$6:$D$6,IFERROR(MATCH(IF($B796="Robusta","Robusta",(IF($B796="","Arabica",$B796))&amp;" - "&amp;(IF($C796="","Commercial",$C796))),Variables!$B$1:$D$1,0),1)))*22.0462)*(L796/16.67),""))</f>
        <v>769.1703611277743</v>
      </c>
      <c r="U796" s="10"/>
      <c r="V796" s="9" t="str">
        <f t="shared" si="81"/>
        <v/>
      </c>
      <c r="W796" s="10">
        <v>45397</v>
      </c>
      <c r="X796" s="9" t="str">
        <f t="shared" si="77"/>
        <v>Approved</v>
      </c>
      <c r="Y796" s="10">
        <v>45400</v>
      </c>
      <c r="Z796" s="10">
        <f>IF($H796="Cancelled","",IFERROR(IF(F796="","",F796-Variables!$B$13),""))</f>
        <v>45428</v>
      </c>
      <c r="AA796" s="11">
        <f>IF($H796="Cancelled","",IFERROR(IF(W796="","",(AVERAGE(E796:F796)-W796)-Variables!$B$14),""))</f>
        <v>1</v>
      </c>
      <c r="AB796" s="10">
        <v>45443</v>
      </c>
      <c r="AC796" s="11">
        <f>IF($H796="Cancelled","",IFERROR(IF(AB796="","",IF(AND(W796="",Y796=""),"",IF(Y796&gt;W796,Y796+Variables!$B$15+Variables!$B$16+Variables!$B$17-AB796,W796+Variables!$B$16+Variables!$B$17-AB796))),""))</f>
        <v>-28</v>
      </c>
      <c r="AD796" s="9" t="s">
        <v>165</v>
      </c>
      <c r="AE796" s="9" t="s">
        <v>184</v>
      </c>
      <c r="AF796" s="10"/>
      <c r="AG796" s="10"/>
      <c r="AH796" s="9"/>
      <c r="AI796" s="9" t="s">
        <v>1576</v>
      </c>
      <c r="AJ796" s="9" t="s">
        <v>8</v>
      </c>
      <c r="AK796" s="10">
        <v>45454</v>
      </c>
      <c r="AL796" s="10">
        <v>45457</v>
      </c>
      <c r="AM796" s="10">
        <v>45463</v>
      </c>
      <c r="AN796" s="9" t="s">
        <v>1492</v>
      </c>
      <c r="AO796" s="9"/>
      <c r="AP796" s="11">
        <f>IF($H796="Cancelled","",IFERROR(IF(OR(AK796="",AB796=""),"",(AB796+Variables!$B$18-AK796)),""))</f>
        <v>-4</v>
      </c>
      <c r="AQ796" s="11">
        <f>IF($H796="Cancelled","",IFERROR(IF(OR(AM796="",AK796=""),"",(AK796+Variables!$B$19)-AM796),""))</f>
        <v>-4</v>
      </c>
      <c r="AR796" s="12">
        <f>IF($H796="Cancelled","",IFERROR(T796*INDEX(Variables!$B$7:$D$7,IFERROR(MATCH(IF($B796="Robusta","Robusta",(IF($B796="","Arabica",$B796))&amp;" - "&amp;(IF($C796="","Commercial",$C796))),Variables!$B$1:$D$1,0),1))*(AQ796/365),""))</f>
        <v>-0.5435375020308314</v>
      </c>
      <c r="AS796" s="12">
        <f>IF($H796="Cancelled","",IFERROR((T796*INDEX(Variables!$B$7:$D$7,IFERROR(MATCH(IF($B796="Robusta","Robusta",(IF($B796="","Arabica",$B796))&amp;" - "&amp;(IF($C796="","Commercial",$C796))),Variables!$B$1:$D$1,0),1))*IFERROR(IF(W796="","",(AVERAGE(E796:F796)-W796)-Variables!$B$14),"")/365)+(L796/16.67*INDEX(Variables!$B$8:$D$8,IFERROR(MATCH(IF($B796="Robusta","Robusta",(IF($B796="","Arabica",$B796))&amp;" - "&amp;(IF($C796="","Commercial",$C796))),Variables!$B$1:$D$1,0),1))*IFERROR(IF(W796="","",(AVERAGE(E796:F796)-W796)-Variables!$B$14),""))+(T796*INDEX(Variables!$B$9:$D$9,IFERROR(MATCH(IF($B796="Robusta","Robusta",(IF($B796="","Arabica",$B796))&amp;" - "&amp;(IF($C796="","Commercial",$C796))),Variables!$B$1:$D$1,0),1))*IFERROR(IF(W796="","",(AVERAGE(E796:F796)-W796)-Variables!$B$14),"")/365),""))</f>
        <v>0.23763618734662709</v>
      </c>
      <c r="AT796" s="12">
        <f>IF($H796="Cancelled","",IFERROR((T796*INDEX(Variables!$B$7:$D$7,IFERROR(MATCH(IF($B796="Robusta","Robusta",(IF($B796="","Arabica",$B796))&amp;" - "&amp;(IF($C796="","Commercial",$C796))),Variables!$B$1:$D$1,0),1))*AC796/365)+(L796/16.67*INDEX(Variables!$B$8:$D$8,IFERROR(MATCH(IF($B796="Robusta","Robusta",(IF($B796="","Arabica",$B796))&amp;" - "&amp;(IF($C796="","Commercial",$C796))),Variables!$B$1:$D$1,0),1))*AC796)+(T796*INDEX(Variables!$B$9:$D$9,IFERROR(MATCH(IF($B796="Robusta","Robusta",(IF($B796="","Arabica",$B796))&amp;" - "&amp;(IF($C796="","Commercial",$C796))),Variables!$B$1:$D$1,0),1))*AC796/365),""))</f>
        <v>-6.6538132457055585</v>
      </c>
      <c r="AU796" s="12">
        <f>IF($H796="Cancelled","",IFERROR((T796*INDEX(Variables!$B$7:$D$7,IFERROR(MATCH(IF($B796="Robusta","Robusta",(IF($B796="","Arabica",$B796))&amp;" - "&amp;(IF($C796="","Commercial",$C796))),Variables!$B$1:$D$1,0),1))*AP796/365)+(L796/16.67*INDEX(Variables!$B$8:$D$8,IFERROR(MATCH(IF($B796="Robusta","Robusta",(IF($B796="","Arabica",$B796))&amp;" - "&amp;(IF($C796="","Commercial",$C796))),Variables!$B$1:$D$1,0),1))*AP796)+(T796*INDEX(Variables!$B$9:$D$9,IFERROR(MATCH(IF($B796="Robusta","Robusta",(IF($B796="","Arabica",$B796))&amp;" - "&amp;(IF($C796="","Commercial",$C796))),Variables!$B$1:$D$1,0),1))*AP796/365),""))</f>
        <v>-0.95054474938650835</v>
      </c>
      <c r="AV796" s="11">
        <f t="shared" si="80"/>
        <v>-11</v>
      </c>
      <c r="AW796" s="12">
        <f>IF($H796="Cancelled","",IFERROR(IF(AV796="","",(T796*INDEX(Variables!$B$7:$D$7,IFERROR(MATCH(IF($B796="Robusta","Robusta",(IF($B796="","Arabica",$B796))&amp;" - "&amp;(IF($C796="","Commercial",$C796))),Variables!$B$1:$D$1,0),1))*(AV796/365))+(T796*INDEX(Variables!$B$9:$D$9,IFERROR(MATCH(IF($B796="Robusta","Robusta",(IF($B796="","Arabica",$B796))&amp;" - "&amp;(IF($C796="","Commercial",$C796))),Variables!$B$1:$D$1,0),1))*(AV796/365))+(INDEX(Variables!$B$8:$D$8,IFERROR(MATCH(IF($B796="Robusta","Robusta",(IF($B796="","Arabica",$B796))&amp;" - "&amp;(IF($C796="","Commercial",$C796))),Variables!$B$1:$D$1,0),1))*L796/16.67)),""))</f>
        <v>-1.4139980608128981</v>
      </c>
      <c r="AX796" s="9"/>
      <c r="AY796" s="12"/>
      <c r="AZ796" s="10"/>
      <c r="BA796" s="9"/>
      <c r="BB796" s="10"/>
      <c r="BC796" s="9"/>
      <c r="BD796" s="9"/>
      <c r="BE796" s="9"/>
      <c r="BF796" s="9"/>
    </row>
    <row r="797" spans="1:58" x14ac:dyDescent="0.25">
      <c r="A797" s="9" t="s">
        <v>84</v>
      </c>
      <c r="B797" s="9" t="s">
        <v>85</v>
      </c>
      <c r="C797" s="9" t="s">
        <v>1486</v>
      </c>
      <c r="D797" s="10">
        <v>45415</v>
      </c>
      <c r="E797" s="10">
        <v>45413</v>
      </c>
      <c r="F797" s="10">
        <v>45473</v>
      </c>
      <c r="G797" s="9">
        <v>3786347</v>
      </c>
      <c r="H797" s="9" t="str">
        <f t="shared" si="78"/>
        <v>Closed</v>
      </c>
      <c r="I797" s="9" t="str">
        <f t="shared" si="79"/>
        <v>All dates received</v>
      </c>
      <c r="J797" s="9" t="s">
        <v>1737</v>
      </c>
      <c r="K797" s="9" t="s">
        <v>1738</v>
      </c>
      <c r="L797" s="11">
        <v>23</v>
      </c>
      <c r="M797" s="9" t="s">
        <v>1739</v>
      </c>
      <c r="N797" s="9"/>
      <c r="O797" s="9"/>
      <c r="P797" s="9"/>
      <c r="Q797" s="11"/>
      <c r="R797" s="9" t="s">
        <v>195</v>
      </c>
      <c r="S797" s="9" t="s">
        <v>578</v>
      </c>
      <c r="T797" s="12">
        <f>IF($H797="Cancelled","",IFERROR(((Q797+INDEX(Variables!$B$6:$D$6,IFERROR(MATCH(IF($B797="Robusta","Robusta",(IF($B797="","Arabica",$B797))&amp;" - "&amp;(IF($C797="","Commercial",$C797))),Variables!$B$1:$D$1,0),1)))*22.0462)*(L797/16.67),""))</f>
        <v>8845.4591529694044</v>
      </c>
      <c r="U797" s="10"/>
      <c r="V797" s="9" t="str">
        <f t="shared" si="81"/>
        <v/>
      </c>
      <c r="W797" s="10">
        <v>45397</v>
      </c>
      <c r="X797" s="9" t="str">
        <f t="shared" si="77"/>
        <v>Approved</v>
      </c>
      <c r="Y797" s="10">
        <v>45400</v>
      </c>
      <c r="Z797" s="10">
        <f>IF($H797="Cancelled","",IFERROR(IF(F797="","",F797-Variables!$B$13),""))</f>
        <v>45458</v>
      </c>
      <c r="AA797" s="11">
        <f>IF($H797="Cancelled","",IFERROR(IF(W797="","",(AVERAGE(E797:F797)-W797)-Variables!$B$14),""))</f>
        <v>16</v>
      </c>
      <c r="AB797" s="10">
        <v>45436</v>
      </c>
      <c r="AC797" s="11">
        <f>IF($H797="Cancelled","",IFERROR(IF(AB797="","",IF(AND(W797="",Y797=""),"",IF(Y797&gt;W797,Y797+Variables!$B$15+Variables!$B$16+Variables!$B$17-AB797,W797+Variables!$B$16+Variables!$B$17-AB797))),""))</f>
        <v>-21</v>
      </c>
      <c r="AD797" s="9" t="s">
        <v>163</v>
      </c>
      <c r="AE797" s="9" t="s">
        <v>362</v>
      </c>
      <c r="AF797" s="10"/>
      <c r="AG797" s="10"/>
      <c r="AH797" s="9"/>
      <c r="AI797" s="9">
        <v>239735471</v>
      </c>
      <c r="AJ797" s="9" t="s">
        <v>8</v>
      </c>
      <c r="AK797" s="10">
        <v>45446</v>
      </c>
      <c r="AL797" s="10">
        <v>45448</v>
      </c>
      <c r="AM797" s="10">
        <v>45450</v>
      </c>
      <c r="AN797" s="9" t="s">
        <v>1492</v>
      </c>
      <c r="AO797" s="9"/>
      <c r="AP797" s="11">
        <f>IF($H797="Cancelled","",IFERROR(IF(OR(AK797="",AB797=""),"",(AB797+Variables!$B$18-AK797)),""))</f>
        <v>-3</v>
      </c>
      <c r="AQ797" s="11">
        <f>IF($H797="Cancelled","",IFERROR(IF(OR(AM797="",AK797=""),"",(AK797+Variables!$B$19)-AM797),""))</f>
        <v>1</v>
      </c>
      <c r="AR797" s="12">
        <f>IF($H797="Cancelled","",IFERROR(T797*INDEX(Variables!$B$7:$D$7,IFERROR(MATCH(IF($B797="Robusta","Robusta",(IF($B797="","Arabica",$B797))&amp;" - "&amp;(IF($C797="","Commercial",$C797))),Variables!$B$1:$D$1,0),1))*(AQ797/365),""))</f>
        <v>1.5626703183386403</v>
      </c>
      <c r="AS797" s="12">
        <f>IF($H797="Cancelled","",IFERROR((T797*INDEX(Variables!$B$7:$D$7,IFERROR(MATCH(IF($B797="Robusta","Robusta",(IF($B797="","Arabica",$B797))&amp;" - "&amp;(IF($C797="","Commercial",$C797))),Variables!$B$1:$D$1,0),1))*IFERROR(IF(W797="","",(AVERAGE(E797:F797)-W797)-Variables!$B$14),"")/365)+(L797/16.67*INDEX(Variables!$B$8:$D$8,IFERROR(MATCH(IF($B797="Robusta","Robusta",(IF($B797="","Arabica",$B797))&amp;" - "&amp;(IF($C797="","Commercial",$C797))),Variables!$B$1:$D$1,0),1))*IFERROR(IF(W797="","",(AVERAGE(E797:F797)-W797)-Variables!$B$14),""))+(T797*INDEX(Variables!$B$9:$D$9,IFERROR(MATCH(IF($B797="Robusta","Robusta",(IF($B797="","Arabica",$B797))&amp;" - "&amp;(IF($C797="","Commercial",$C797))),Variables!$B$1:$D$1,0),1))*IFERROR(IF(W797="","",(AVERAGE(E797:F797)-W797)-Variables!$B$14),"")/365),""))</f>
        <v>43.725058471779377</v>
      </c>
      <c r="AT797" s="12">
        <f>IF($H797="Cancelled","",IFERROR((T797*INDEX(Variables!$B$7:$D$7,IFERROR(MATCH(IF($B797="Robusta","Robusta",(IF($B797="","Arabica",$B797))&amp;" - "&amp;(IF($C797="","Commercial",$C797))),Variables!$B$1:$D$1,0),1))*AC797/365)+(L797/16.67*INDEX(Variables!$B$8:$D$8,IFERROR(MATCH(IF($B797="Robusta","Robusta",(IF($B797="","Arabica",$B797))&amp;" - "&amp;(IF($C797="","Commercial",$C797))),Variables!$B$1:$D$1,0),1))*AC797)+(T797*INDEX(Variables!$B$9:$D$9,IFERROR(MATCH(IF($B797="Robusta","Robusta",(IF($B797="","Arabica",$B797))&amp;" - "&amp;(IF($C797="","Commercial",$C797))),Variables!$B$1:$D$1,0),1))*AC797/365),""))</f>
        <v>-57.38913924421044</v>
      </c>
      <c r="AU797" s="12">
        <f>IF($H797="Cancelled","",IFERROR((T797*INDEX(Variables!$B$7:$D$7,IFERROR(MATCH(IF($B797="Robusta","Robusta",(IF($B797="","Arabica",$B797))&amp;" - "&amp;(IF($C797="","Commercial",$C797))),Variables!$B$1:$D$1,0),1))*AP797/365)+(L797/16.67*INDEX(Variables!$B$8:$D$8,IFERROR(MATCH(IF($B797="Robusta","Robusta",(IF($B797="","Arabica",$B797))&amp;" - "&amp;(IF($C797="","Commercial",$C797))),Variables!$B$1:$D$1,0),1))*AP797)+(T797*INDEX(Variables!$B$9:$D$9,IFERROR(MATCH(IF($B797="Robusta","Robusta",(IF($B797="","Arabica",$B797))&amp;" - "&amp;(IF($C797="","Commercial",$C797))),Variables!$B$1:$D$1,0),1))*AP797/365),""))</f>
        <v>-8.1984484634586341</v>
      </c>
      <c r="AV797" s="11">
        <f t="shared" si="80"/>
        <v>27</v>
      </c>
      <c r="AW797" s="12">
        <f>IF($H797="Cancelled","",IFERROR(IF(AV797="","",(T797*INDEX(Variables!$B$7:$D$7,IFERROR(MATCH(IF($B797="Robusta","Robusta",(IF($B797="","Arabica",$B797))&amp;" - "&amp;(IF($C797="","Commercial",$C797))),Variables!$B$1:$D$1,0),1))*(AV797/365))+(T797*INDEX(Variables!$B$9:$D$9,IFERROR(MATCH(IF($B797="Robusta","Robusta",(IF($B797="","Arabica",$B797))&amp;" - "&amp;(IF($C797="","Commercial",$C797))),Variables!$B$1:$D$1,0),1))*(AV797/365))+(INDEX(Variables!$B$8:$D$8,IFERROR(MATCH(IF($B797="Robusta","Robusta",(IF($B797="","Arabica",$B797))&amp;" - "&amp;(IF($C797="","Commercial",$C797))),Variables!$B$1:$D$1,0),1))*L797/16.67)),""))</f>
        <v>43.886036171127714</v>
      </c>
      <c r="AX797" s="9"/>
      <c r="AY797" s="12"/>
      <c r="AZ797" s="10"/>
      <c r="BA797" s="9"/>
      <c r="BB797" s="10"/>
      <c r="BC797" s="9"/>
      <c r="BD797" s="9"/>
      <c r="BE797" s="9"/>
      <c r="BF797" s="9"/>
    </row>
    <row r="798" spans="1:58" x14ac:dyDescent="0.25">
      <c r="A798" s="9" t="s">
        <v>84</v>
      </c>
      <c r="B798" s="9" t="s">
        <v>85</v>
      </c>
      <c r="C798" s="9" t="s">
        <v>1486</v>
      </c>
      <c r="D798" s="10">
        <v>45415</v>
      </c>
      <c r="E798" s="10">
        <v>45413</v>
      </c>
      <c r="F798" s="10">
        <v>45473</v>
      </c>
      <c r="G798" s="9">
        <v>3786348</v>
      </c>
      <c r="H798" s="9" t="str">
        <f t="shared" si="78"/>
        <v>Closed</v>
      </c>
      <c r="I798" s="9" t="str">
        <f t="shared" si="79"/>
        <v>All dates received</v>
      </c>
      <c r="J798" s="9" t="s">
        <v>1737</v>
      </c>
      <c r="K798" s="9" t="s">
        <v>1740</v>
      </c>
      <c r="L798" s="11">
        <v>20</v>
      </c>
      <c r="M798" s="9" t="s">
        <v>1741</v>
      </c>
      <c r="N798" s="9"/>
      <c r="O798" s="9"/>
      <c r="P798" s="9"/>
      <c r="Q798" s="11"/>
      <c r="R798" s="9" t="s">
        <v>195</v>
      </c>
      <c r="S798" s="9" t="s">
        <v>578</v>
      </c>
      <c r="T798" s="12">
        <f>IF($H798="Cancelled","",IFERROR(((Q798+INDEX(Variables!$B$6:$D$6,IFERROR(MATCH(IF($B798="Robusta","Robusta",(IF($B798="","Arabica",$B798))&amp;" - "&amp;(IF($C798="","Commercial",$C798))),Variables!$B$1:$D$1,0),1)))*22.0462)*(L798/16.67),""))</f>
        <v>7691.7036112777441</v>
      </c>
      <c r="U798" s="10"/>
      <c r="V798" s="9" t="str">
        <f t="shared" si="81"/>
        <v/>
      </c>
      <c r="W798" s="10">
        <v>45397</v>
      </c>
      <c r="X798" s="9" t="str">
        <f t="shared" si="77"/>
        <v>Approved</v>
      </c>
      <c r="Y798" s="10">
        <v>45400</v>
      </c>
      <c r="Z798" s="10">
        <f>IF($H798="Cancelled","",IFERROR(IF(F798="","",F798-Variables!$B$13),""))</f>
        <v>45458</v>
      </c>
      <c r="AA798" s="11">
        <f>IF($H798="Cancelled","",IFERROR(IF(W798="","",(AVERAGE(E798:F798)-W798)-Variables!$B$14),""))</f>
        <v>16</v>
      </c>
      <c r="AB798" s="10">
        <v>45436</v>
      </c>
      <c r="AC798" s="11">
        <f>IF($H798="Cancelled","",IFERROR(IF(AB798="","",IF(AND(W798="",Y798=""),"",IF(Y798&gt;W798,Y798+Variables!$B$15+Variables!$B$16+Variables!$B$17-AB798,W798+Variables!$B$16+Variables!$B$17-AB798))),""))</f>
        <v>-21</v>
      </c>
      <c r="AD798" s="9" t="s">
        <v>163</v>
      </c>
      <c r="AE798" s="9" t="s">
        <v>362</v>
      </c>
      <c r="AF798" s="10"/>
      <c r="AG798" s="10"/>
      <c r="AH798" s="9"/>
      <c r="AI798" s="9">
        <v>239735471</v>
      </c>
      <c r="AJ798" s="9" t="s">
        <v>8</v>
      </c>
      <c r="AK798" s="10">
        <v>45446</v>
      </c>
      <c r="AL798" s="10">
        <v>45448</v>
      </c>
      <c r="AM798" s="10">
        <v>45450</v>
      </c>
      <c r="AN798" s="9" t="s">
        <v>1492</v>
      </c>
      <c r="AO798" s="9"/>
      <c r="AP798" s="11">
        <f>IF($H798="Cancelled","",IFERROR(IF(OR(AK798="",AB798=""),"",(AB798+Variables!$B$18-AK798)),""))</f>
        <v>-3</v>
      </c>
      <c r="AQ798" s="11">
        <f>IF($H798="Cancelled","",IFERROR(IF(OR(AM798="",AK798=""),"",(AK798+Variables!$B$19)-AM798),""))</f>
        <v>1</v>
      </c>
      <c r="AR798" s="12">
        <f>IF($H798="Cancelled","",IFERROR(T798*INDEX(Variables!$B$7:$D$7,IFERROR(MATCH(IF($B798="Robusta","Robusta",(IF($B798="","Arabica",$B798))&amp;" - "&amp;(IF($C798="","Commercial",$C798))),Variables!$B$1:$D$1,0),1))*(AQ798/365),""))</f>
        <v>1.3588437550770789</v>
      </c>
      <c r="AS798" s="12">
        <f>IF($H798="Cancelled","",IFERROR((T798*INDEX(Variables!$B$7:$D$7,IFERROR(MATCH(IF($B798="Robusta","Robusta",(IF($B798="","Arabica",$B798))&amp;" - "&amp;(IF($C798="","Commercial",$C798))),Variables!$B$1:$D$1,0),1))*IFERROR(IF(W798="","",(AVERAGE(E798:F798)-W798)-Variables!$B$14),"")/365)+(L798/16.67*INDEX(Variables!$B$8:$D$8,IFERROR(MATCH(IF($B798="Robusta","Robusta",(IF($B798="","Arabica",$B798))&amp;" - "&amp;(IF($C798="","Commercial",$C798))),Variables!$B$1:$D$1,0),1))*IFERROR(IF(W798="","",(AVERAGE(E798:F798)-W798)-Variables!$B$14),""))+(T798*INDEX(Variables!$B$9:$D$9,IFERROR(MATCH(IF($B798="Robusta","Robusta",(IF($B798="","Arabica",$B798))&amp;" - "&amp;(IF($C798="","Commercial",$C798))),Variables!$B$1:$D$1,0),1))*IFERROR(IF(W798="","",(AVERAGE(E798:F798)-W798)-Variables!$B$14),"")/365),""))</f>
        <v>38.021789975460337</v>
      </c>
      <c r="AT798" s="12">
        <f>IF($H798="Cancelled","",IFERROR((T798*INDEX(Variables!$B$7:$D$7,IFERROR(MATCH(IF($B798="Robusta","Robusta",(IF($B798="","Arabica",$B798))&amp;" - "&amp;(IF($C798="","Commercial",$C798))),Variables!$B$1:$D$1,0),1))*AC798/365)+(L798/16.67*INDEX(Variables!$B$8:$D$8,IFERROR(MATCH(IF($B798="Robusta","Robusta",(IF($B798="","Arabica",$B798))&amp;" - "&amp;(IF($C798="","Commercial",$C798))),Variables!$B$1:$D$1,0),1))*AC798)+(T798*INDEX(Variables!$B$9:$D$9,IFERROR(MATCH(IF($B798="Robusta","Robusta",(IF($B798="","Arabica",$B798))&amp;" - "&amp;(IF($C798="","Commercial",$C798))),Variables!$B$1:$D$1,0),1))*AC798/365),""))</f>
        <v>-49.903599342791694</v>
      </c>
      <c r="AU798" s="12">
        <f>IF($H798="Cancelled","",IFERROR((T798*INDEX(Variables!$B$7:$D$7,IFERROR(MATCH(IF($B798="Robusta","Robusta",(IF($B798="","Arabica",$B798))&amp;" - "&amp;(IF($C798="","Commercial",$C798))),Variables!$B$1:$D$1,0),1))*AP798/365)+(L798/16.67*INDEX(Variables!$B$8:$D$8,IFERROR(MATCH(IF($B798="Robusta","Robusta",(IF($B798="","Arabica",$B798))&amp;" - "&amp;(IF($C798="","Commercial",$C798))),Variables!$B$1:$D$1,0),1))*AP798)+(T798*INDEX(Variables!$B$9:$D$9,IFERROR(MATCH(IF($B798="Robusta","Robusta",(IF($B798="","Arabica",$B798))&amp;" - "&amp;(IF($C798="","Commercial",$C798))),Variables!$B$1:$D$1,0),1))*AP798/365),""))</f>
        <v>-7.1290856203988131</v>
      </c>
      <c r="AV798" s="11">
        <f t="shared" si="80"/>
        <v>27</v>
      </c>
      <c r="AW798" s="12">
        <f>IF($H798="Cancelled","",IFERROR(IF(AV798="","",(T798*INDEX(Variables!$B$7:$D$7,IFERROR(MATCH(IF($B798="Robusta","Robusta",(IF($B798="","Arabica",$B798))&amp;" - "&amp;(IF($C798="","Commercial",$C798))),Variables!$B$1:$D$1,0),1))*(AV798/365))+(T798*INDEX(Variables!$B$9:$D$9,IFERROR(MATCH(IF($B798="Robusta","Robusta",(IF($B798="","Arabica",$B798))&amp;" - "&amp;(IF($C798="","Commercial",$C798))),Variables!$B$1:$D$1,0),1))*(AV798/365))+(INDEX(Variables!$B$8:$D$8,IFERROR(MATCH(IF($B798="Robusta","Robusta",(IF($B798="","Arabica",$B798))&amp;" - "&amp;(IF($C798="","Commercial",$C798))),Variables!$B$1:$D$1,0),1))*L798/16.67)),""))</f>
        <v>38.161770583589323</v>
      </c>
      <c r="AX798" s="9"/>
      <c r="AY798" s="12"/>
      <c r="AZ798" s="10"/>
      <c r="BA798" s="9"/>
      <c r="BB798" s="10"/>
      <c r="BC798" s="9"/>
      <c r="BD798" s="9"/>
      <c r="BE798" s="9"/>
      <c r="BF798" s="9"/>
    </row>
    <row r="799" spans="1:58" x14ac:dyDescent="0.25">
      <c r="A799" s="9" t="s">
        <v>84</v>
      </c>
      <c r="B799" s="9" t="s">
        <v>85</v>
      </c>
      <c r="C799" s="9" t="s">
        <v>1486</v>
      </c>
      <c r="D799" s="10">
        <v>45415</v>
      </c>
      <c r="E799" s="10">
        <v>45413</v>
      </c>
      <c r="F799" s="10">
        <v>45473</v>
      </c>
      <c r="G799" s="9">
        <v>3786349</v>
      </c>
      <c r="H799" s="9" t="str">
        <f t="shared" si="78"/>
        <v>Closed</v>
      </c>
      <c r="I799" s="9" t="str">
        <f t="shared" si="79"/>
        <v>All dates received</v>
      </c>
      <c r="J799" s="9" t="s">
        <v>1737</v>
      </c>
      <c r="K799" s="9" t="s">
        <v>1742</v>
      </c>
      <c r="L799" s="11">
        <v>15</v>
      </c>
      <c r="M799" s="9" t="s">
        <v>1743</v>
      </c>
      <c r="N799" s="9"/>
      <c r="O799" s="9"/>
      <c r="P799" s="9"/>
      <c r="Q799" s="11"/>
      <c r="R799" s="9" t="s">
        <v>195</v>
      </c>
      <c r="S799" s="9" t="s">
        <v>578</v>
      </c>
      <c r="T799" s="12">
        <f>IF($H799="Cancelled","",IFERROR(((Q799+INDEX(Variables!$B$6:$D$6,IFERROR(MATCH(IF($B799="Robusta","Robusta",(IF($B799="","Arabica",$B799))&amp;" - "&amp;(IF($C799="","Commercial",$C799))),Variables!$B$1:$D$1,0),1)))*22.0462)*(L799/16.67),""))</f>
        <v>5768.7777084583076</v>
      </c>
      <c r="U799" s="10"/>
      <c r="V799" s="9" t="str">
        <f t="shared" si="81"/>
        <v/>
      </c>
      <c r="W799" s="10">
        <v>45397</v>
      </c>
      <c r="X799" s="9" t="str">
        <f t="shared" si="77"/>
        <v>Approved</v>
      </c>
      <c r="Y799" s="10">
        <v>45400</v>
      </c>
      <c r="Z799" s="10">
        <f>IF($H799="Cancelled","",IFERROR(IF(F799="","",F799-Variables!$B$13),""))</f>
        <v>45458</v>
      </c>
      <c r="AA799" s="11">
        <f>IF($H799="Cancelled","",IFERROR(IF(W799="","",(AVERAGE(E799:F799)-W799)-Variables!$B$14),""))</f>
        <v>16</v>
      </c>
      <c r="AB799" s="10">
        <v>45436</v>
      </c>
      <c r="AC799" s="11">
        <f>IF($H799="Cancelled","",IFERROR(IF(AB799="","",IF(AND(W799="",Y799=""),"",IF(Y799&gt;W799,Y799+Variables!$B$15+Variables!$B$16+Variables!$B$17-AB799,W799+Variables!$B$16+Variables!$B$17-AB799))),""))</f>
        <v>-21</v>
      </c>
      <c r="AD799" s="9" t="s">
        <v>163</v>
      </c>
      <c r="AE799" s="9" t="s">
        <v>362</v>
      </c>
      <c r="AF799" s="10"/>
      <c r="AG799" s="10"/>
      <c r="AH799" s="9"/>
      <c r="AI799" s="9">
        <v>239735471</v>
      </c>
      <c r="AJ799" s="9" t="s">
        <v>8</v>
      </c>
      <c r="AK799" s="10">
        <v>45446</v>
      </c>
      <c r="AL799" s="10">
        <v>45448</v>
      </c>
      <c r="AM799" s="10">
        <v>45450</v>
      </c>
      <c r="AN799" s="9" t="s">
        <v>1492</v>
      </c>
      <c r="AO799" s="9"/>
      <c r="AP799" s="11">
        <f>IF($H799="Cancelled","",IFERROR(IF(OR(AK799="",AB799=""),"",(AB799+Variables!$B$18-AK799)),""))</f>
        <v>-3</v>
      </c>
      <c r="AQ799" s="11">
        <f>IF($H799="Cancelled","",IFERROR(IF(OR(AM799="",AK799=""),"",(AK799+Variables!$B$19)-AM799),""))</f>
        <v>1</v>
      </c>
      <c r="AR799" s="12">
        <f>IF($H799="Cancelled","",IFERROR(T799*INDEX(Variables!$B$7:$D$7,IFERROR(MATCH(IF($B799="Robusta","Robusta",(IF($B799="","Arabica",$B799))&amp;" - "&amp;(IF($C799="","Commercial",$C799))),Variables!$B$1:$D$1,0),1))*(AQ799/365),""))</f>
        <v>1.0191328163078091</v>
      </c>
      <c r="AS799" s="12">
        <f>IF($H799="Cancelled","",IFERROR((T799*INDEX(Variables!$B$7:$D$7,IFERROR(MATCH(IF($B799="Robusta","Robusta",(IF($B799="","Arabica",$B799))&amp;" - "&amp;(IF($C799="","Commercial",$C799))),Variables!$B$1:$D$1,0),1))*IFERROR(IF(W799="","",(AVERAGE(E799:F799)-W799)-Variables!$B$14),"")/365)+(L799/16.67*INDEX(Variables!$B$8:$D$8,IFERROR(MATCH(IF($B799="Robusta","Robusta",(IF($B799="","Arabica",$B799))&amp;" - "&amp;(IF($C799="","Commercial",$C799))),Variables!$B$1:$D$1,0),1))*IFERROR(IF(W799="","",(AVERAGE(E799:F799)-W799)-Variables!$B$14),""))+(T799*INDEX(Variables!$B$9:$D$9,IFERROR(MATCH(IF($B799="Robusta","Robusta",(IF($B799="","Arabica",$B799))&amp;" - "&amp;(IF($C799="","Commercial",$C799))),Variables!$B$1:$D$1,0),1))*IFERROR(IF(W799="","",(AVERAGE(E799:F799)-W799)-Variables!$B$14),"")/365),""))</f>
        <v>28.516342481595252</v>
      </c>
      <c r="AT799" s="12">
        <f>IF($H799="Cancelled","",IFERROR((T799*INDEX(Variables!$B$7:$D$7,IFERROR(MATCH(IF($B799="Robusta","Robusta",(IF($B799="","Arabica",$B799))&amp;" - "&amp;(IF($C799="","Commercial",$C799))),Variables!$B$1:$D$1,0),1))*AC799/365)+(L799/16.67*INDEX(Variables!$B$8:$D$8,IFERROR(MATCH(IF($B799="Robusta","Robusta",(IF($B799="","Arabica",$B799))&amp;" - "&amp;(IF($C799="","Commercial",$C799))),Variables!$B$1:$D$1,0),1))*AC799)+(T799*INDEX(Variables!$B$9:$D$9,IFERROR(MATCH(IF($B799="Robusta","Robusta",(IF($B799="","Arabica",$B799))&amp;" - "&amp;(IF($C799="","Commercial",$C799))),Variables!$B$1:$D$1,0),1))*AC799/365),""))</f>
        <v>-37.42769950709377</v>
      </c>
      <c r="AU799" s="12">
        <f>IF($H799="Cancelled","",IFERROR((T799*INDEX(Variables!$B$7:$D$7,IFERROR(MATCH(IF($B799="Robusta","Robusta",(IF($B799="","Arabica",$B799))&amp;" - "&amp;(IF($C799="","Commercial",$C799))),Variables!$B$1:$D$1,0),1))*AP799/365)+(L799/16.67*INDEX(Variables!$B$8:$D$8,IFERROR(MATCH(IF($B799="Robusta","Robusta",(IF($B799="","Arabica",$B799))&amp;" - "&amp;(IF($C799="","Commercial",$C799))),Variables!$B$1:$D$1,0),1))*AP799)+(T799*INDEX(Variables!$B$9:$D$9,IFERROR(MATCH(IF($B799="Robusta","Robusta",(IF($B799="","Arabica",$B799))&amp;" - "&amp;(IF($C799="","Commercial",$C799))),Variables!$B$1:$D$1,0),1))*AP799/365),""))</f>
        <v>-5.3468142152991103</v>
      </c>
      <c r="AV799" s="11">
        <f t="shared" si="80"/>
        <v>27</v>
      </c>
      <c r="AW799" s="12">
        <f>IF($H799="Cancelled","",IFERROR(IF(AV799="","",(T799*INDEX(Variables!$B$7:$D$7,IFERROR(MATCH(IF($B799="Robusta","Robusta",(IF($B799="","Arabica",$B799))&amp;" - "&amp;(IF($C799="","Commercial",$C799))),Variables!$B$1:$D$1,0),1))*(AV799/365))+(T799*INDEX(Variables!$B$9:$D$9,IFERROR(MATCH(IF($B799="Robusta","Robusta",(IF($B799="","Arabica",$B799))&amp;" - "&amp;(IF($C799="","Commercial",$C799))),Variables!$B$1:$D$1,0),1))*(AV799/365))+(INDEX(Variables!$B$8:$D$8,IFERROR(MATCH(IF($B799="Robusta","Robusta",(IF($B799="","Arabica",$B799))&amp;" - "&amp;(IF($C799="","Commercial",$C799))),Variables!$B$1:$D$1,0),1))*L799/16.67)),""))</f>
        <v>28.621327937691987</v>
      </c>
      <c r="AX799" s="9"/>
      <c r="AY799" s="12"/>
      <c r="AZ799" s="10"/>
      <c r="BA799" s="9"/>
      <c r="BB799" s="10"/>
      <c r="BC799" s="9"/>
      <c r="BD799" s="9"/>
      <c r="BE799" s="9"/>
      <c r="BF799" s="9"/>
    </row>
    <row r="800" spans="1:58" x14ac:dyDescent="0.25">
      <c r="A800" s="9" t="s">
        <v>84</v>
      </c>
      <c r="B800" s="9" t="s">
        <v>85</v>
      </c>
      <c r="C800" s="9" t="s">
        <v>1486</v>
      </c>
      <c r="D800" s="10">
        <v>45415</v>
      </c>
      <c r="E800" s="10">
        <v>45413</v>
      </c>
      <c r="F800" s="10">
        <v>45473</v>
      </c>
      <c r="G800" s="9">
        <v>3786350</v>
      </c>
      <c r="H800" s="9" t="str">
        <f t="shared" si="78"/>
        <v>Closed</v>
      </c>
      <c r="I800" s="9" t="str">
        <f t="shared" si="79"/>
        <v>All dates received</v>
      </c>
      <c r="J800" s="9" t="s">
        <v>1737</v>
      </c>
      <c r="K800" s="9" t="s">
        <v>1744</v>
      </c>
      <c r="L800" s="11">
        <v>49</v>
      </c>
      <c r="M800" s="9" t="s">
        <v>1745</v>
      </c>
      <c r="N800" s="9"/>
      <c r="O800" s="9"/>
      <c r="P800" s="9"/>
      <c r="Q800" s="11"/>
      <c r="R800" s="9" t="s">
        <v>195</v>
      </c>
      <c r="S800" s="9" t="s">
        <v>578</v>
      </c>
      <c r="T800" s="12">
        <f>IF($H800="Cancelled","",IFERROR(((Q800+INDEX(Variables!$B$6:$D$6,IFERROR(MATCH(IF($B800="Robusta","Robusta",(IF($B800="","Arabica",$B800))&amp;" - "&amp;(IF($C800="","Commercial",$C800))),Variables!$B$1:$D$1,0),1)))*22.0462)*(L800/16.67),""))</f>
        <v>18844.673847630471</v>
      </c>
      <c r="U800" s="10"/>
      <c r="V800" s="9" t="str">
        <f t="shared" si="81"/>
        <v/>
      </c>
      <c r="W800" s="10">
        <v>45397</v>
      </c>
      <c r="X800" s="9" t="str">
        <f t="shared" si="77"/>
        <v>Approved</v>
      </c>
      <c r="Y800" s="10">
        <v>45400</v>
      </c>
      <c r="Z800" s="10">
        <f>IF($H800="Cancelled","",IFERROR(IF(F800="","",F800-Variables!$B$13),""))</f>
        <v>45458</v>
      </c>
      <c r="AA800" s="11">
        <f>IF($H800="Cancelled","",IFERROR(IF(W800="","",(AVERAGE(E800:F800)-W800)-Variables!$B$14),""))</f>
        <v>16</v>
      </c>
      <c r="AB800" s="10">
        <v>45436</v>
      </c>
      <c r="AC800" s="11">
        <f>IF($H800="Cancelled","",IFERROR(IF(AB800="","",IF(AND(W800="",Y800=""),"",IF(Y800&gt;W800,Y800+Variables!$B$15+Variables!$B$16+Variables!$B$17-AB800,W800+Variables!$B$16+Variables!$B$17-AB800))),""))</f>
        <v>-21</v>
      </c>
      <c r="AD800" s="9" t="s">
        <v>163</v>
      </c>
      <c r="AE800" s="9" t="s">
        <v>362</v>
      </c>
      <c r="AF800" s="10"/>
      <c r="AG800" s="10"/>
      <c r="AH800" s="9"/>
      <c r="AI800" s="9">
        <v>239735471</v>
      </c>
      <c r="AJ800" s="9" t="s">
        <v>8</v>
      </c>
      <c r="AK800" s="10">
        <v>45446</v>
      </c>
      <c r="AL800" s="10">
        <v>45448</v>
      </c>
      <c r="AM800" s="10">
        <v>45450</v>
      </c>
      <c r="AN800" s="9" t="s">
        <v>1492</v>
      </c>
      <c r="AO800" s="9"/>
      <c r="AP800" s="11">
        <f>IF($H800="Cancelled","",IFERROR(IF(OR(AK800="",AB800=""),"",(AB800+Variables!$B$18-AK800)),""))</f>
        <v>-3</v>
      </c>
      <c r="AQ800" s="11">
        <f>IF($H800="Cancelled","",IFERROR(IF(OR(AM800="",AK800=""),"",(AK800+Variables!$B$19)-AM800),""))</f>
        <v>1</v>
      </c>
      <c r="AR800" s="12">
        <f>IF($H800="Cancelled","",IFERROR(T800*INDEX(Variables!$B$7:$D$7,IFERROR(MATCH(IF($B800="Robusta","Robusta",(IF($B800="","Arabica",$B800))&amp;" - "&amp;(IF($C800="","Commercial",$C800))),Variables!$B$1:$D$1,0),1))*(AQ800/365),""))</f>
        <v>3.3291671999388432</v>
      </c>
      <c r="AS800" s="12">
        <f>IF($H800="Cancelled","",IFERROR((T800*INDEX(Variables!$B$7:$D$7,IFERROR(MATCH(IF($B800="Robusta","Robusta",(IF($B800="","Arabica",$B800))&amp;" - "&amp;(IF($C800="","Commercial",$C800))),Variables!$B$1:$D$1,0),1))*IFERROR(IF(W800="","",(AVERAGE(E800:F800)-W800)-Variables!$B$14),"")/365)+(L800/16.67*INDEX(Variables!$B$8:$D$8,IFERROR(MATCH(IF($B800="Robusta","Robusta",(IF($B800="","Arabica",$B800))&amp;" - "&amp;(IF($C800="","Commercial",$C800))),Variables!$B$1:$D$1,0),1))*IFERROR(IF(W800="","",(AVERAGE(E800:F800)-W800)-Variables!$B$14),""))+(T800*INDEX(Variables!$B$9:$D$9,IFERROR(MATCH(IF($B800="Robusta","Robusta",(IF($B800="","Arabica",$B800))&amp;" - "&amp;(IF($C800="","Commercial",$C800))),Variables!$B$1:$D$1,0),1))*IFERROR(IF(W800="","",(AVERAGE(E800:F800)-W800)-Variables!$B$14),"")/365),""))</f>
        <v>93.153385439877837</v>
      </c>
      <c r="AT800" s="12">
        <f>IF($H800="Cancelled","",IFERROR((T800*INDEX(Variables!$B$7:$D$7,IFERROR(MATCH(IF($B800="Robusta","Robusta",(IF($B800="","Arabica",$B800))&amp;" - "&amp;(IF($C800="","Commercial",$C800))),Variables!$B$1:$D$1,0),1))*AC800/365)+(L800/16.67*INDEX(Variables!$B$8:$D$8,IFERROR(MATCH(IF($B800="Robusta","Robusta",(IF($B800="","Arabica",$B800))&amp;" - "&amp;(IF($C800="","Commercial",$C800))),Variables!$B$1:$D$1,0),1))*AC800)+(T800*INDEX(Variables!$B$9:$D$9,IFERROR(MATCH(IF($B800="Robusta","Robusta",(IF($B800="","Arabica",$B800))&amp;" - "&amp;(IF($C800="","Commercial",$C800))),Variables!$B$1:$D$1,0),1))*AC800/365),""))</f>
        <v>-122.26381838983966</v>
      </c>
      <c r="AU800" s="12">
        <f>IF($H800="Cancelled","",IFERROR((T800*INDEX(Variables!$B$7:$D$7,IFERROR(MATCH(IF($B800="Robusta","Robusta",(IF($B800="","Arabica",$B800))&amp;" - "&amp;(IF($C800="","Commercial",$C800))),Variables!$B$1:$D$1,0),1))*AP800/365)+(L800/16.67*INDEX(Variables!$B$8:$D$8,IFERROR(MATCH(IF($B800="Robusta","Robusta",(IF($B800="","Arabica",$B800))&amp;" - "&amp;(IF($C800="","Commercial",$C800))),Variables!$B$1:$D$1,0),1))*AP800)+(T800*INDEX(Variables!$B$9:$D$9,IFERROR(MATCH(IF($B800="Robusta","Robusta",(IF($B800="","Arabica",$B800))&amp;" - "&amp;(IF($C800="","Commercial",$C800))),Variables!$B$1:$D$1,0),1))*AP800/365),""))</f>
        <v>-17.466259769977093</v>
      </c>
      <c r="AV800" s="11">
        <f t="shared" si="80"/>
        <v>27</v>
      </c>
      <c r="AW800" s="12">
        <f>IF($H800="Cancelled","",IFERROR(IF(AV800="","",(T800*INDEX(Variables!$B$7:$D$7,IFERROR(MATCH(IF($B800="Robusta","Robusta",(IF($B800="","Arabica",$B800))&amp;" - "&amp;(IF($C800="","Commercial",$C800))),Variables!$B$1:$D$1,0),1))*(AV800/365))+(T800*INDEX(Variables!$B$9:$D$9,IFERROR(MATCH(IF($B800="Robusta","Robusta",(IF($B800="","Arabica",$B800))&amp;" - "&amp;(IF($C800="","Commercial",$C800))),Variables!$B$1:$D$1,0),1))*(AV800/365))+(INDEX(Variables!$B$8:$D$8,IFERROR(MATCH(IF($B800="Robusta","Robusta",(IF($B800="","Arabica",$B800))&amp;" - "&amp;(IF($C800="","Commercial",$C800))),Variables!$B$1:$D$1,0),1))*L800/16.67)),""))</f>
        <v>93.496337929793839</v>
      </c>
      <c r="AX800" s="9"/>
      <c r="AY800" s="12"/>
      <c r="AZ800" s="10"/>
      <c r="BA800" s="9"/>
      <c r="BB800" s="10"/>
      <c r="BC800" s="9"/>
      <c r="BD800" s="9"/>
      <c r="BE800" s="9"/>
      <c r="BF800" s="9"/>
    </row>
    <row r="801" spans="1:58" x14ac:dyDescent="0.25">
      <c r="A801" s="9" t="s">
        <v>84</v>
      </c>
      <c r="B801" s="9" t="s">
        <v>85</v>
      </c>
      <c r="C801" s="9" t="s">
        <v>1486</v>
      </c>
      <c r="D801" s="10">
        <v>45415</v>
      </c>
      <c r="E801" s="10">
        <v>45413</v>
      </c>
      <c r="F801" s="10">
        <v>45473</v>
      </c>
      <c r="G801" s="9">
        <v>3786351</v>
      </c>
      <c r="H801" s="9" t="str">
        <f t="shared" si="78"/>
        <v>Closed</v>
      </c>
      <c r="I801" s="9" t="str">
        <f t="shared" si="79"/>
        <v>All dates received</v>
      </c>
      <c r="J801" s="9" t="s">
        <v>1737</v>
      </c>
      <c r="K801" s="9" t="s">
        <v>1746</v>
      </c>
      <c r="L801" s="11">
        <v>59</v>
      </c>
      <c r="M801" s="9" t="s">
        <v>1747</v>
      </c>
      <c r="N801" s="9"/>
      <c r="O801" s="9"/>
      <c r="P801" s="9"/>
      <c r="Q801" s="11"/>
      <c r="R801" s="9" t="s">
        <v>195</v>
      </c>
      <c r="S801" s="9" t="s">
        <v>578</v>
      </c>
      <c r="T801" s="12">
        <f>IF($H801="Cancelled","",IFERROR(((Q801+INDEX(Variables!$B$6:$D$6,IFERROR(MATCH(IF($B801="Robusta","Robusta",(IF($B801="","Arabica",$B801))&amp;" - "&amp;(IF($C801="","Commercial",$C801))),Variables!$B$1:$D$1,0),1)))*22.0462)*(L801/16.67),""))</f>
        <v>22690.525653269342</v>
      </c>
      <c r="U801" s="10"/>
      <c r="V801" s="9" t="str">
        <f t="shared" si="81"/>
        <v/>
      </c>
      <c r="W801" s="10">
        <v>45397</v>
      </c>
      <c r="X801" s="9" t="str">
        <f t="shared" si="77"/>
        <v>Approved</v>
      </c>
      <c r="Y801" s="10">
        <v>45400</v>
      </c>
      <c r="Z801" s="10">
        <f>IF($H801="Cancelled","",IFERROR(IF(F801="","",F801-Variables!$B$13),""))</f>
        <v>45458</v>
      </c>
      <c r="AA801" s="11">
        <f>IF($H801="Cancelled","",IFERROR(IF(W801="","",(AVERAGE(E801:F801)-W801)-Variables!$B$14),""))</f>
        <v>16</v>
      </c>
      <c r="AB801" s="10">
        <v>45436</v>
      </c>
      <c r="AC801" s="11">
        <f>IF($H801="Cancelled","",IFERROR(IF(AB801="","",IF(AND(W801="",Y801=""),"",IF(Y801&gt;W801,Y801+Variables!$B$15+Variables!$B$16+Variables!$B$17-AB801,W801+Variables!$B$16+Variables!$B$17-AB801))),""))</f>
        <v>-21</v>
      </c>
      <c r="AD801" s="9" t="s">
        <v>163</v>
      </c>
      <c r="AE801" s="9" t="s">
        <v>362</v>
      </c>
      <c r="AF801" s="10"/>
      <c r="AG801" s="10"/>
      <c r="AH801" s="9"/>
      <c r="AI801" s="9">
        <v>239735471</v>
      </c>
      <c r="AJ801" s="9" t="s">
        <v>8</v>
      </c>
      <c r="AK801" s="10">
        <v>45446</v>
      </c>
      <c r="AL801" s="10">
        <v>45448</v>
      </c>
      <c r="AM801" s="10">
        <v>45450</v>
      </c>
      <c r="AN801" s="9" t="s">
        <v>1492</v>
      </c>
      <c r="AO801" s="9"/>
      <c r="AP801" s="11">
        <f>IF($H801="Cancelled","",IFERROR(IF(OR(AK801="",AB801=""),"",(AB801+Variables!$B$18-AK801)),""))</f>
        <v>-3</v>
      </c>
      <c r="AQ801" s="11">
        <f>IF($H801="Cancelled","",IFERROR(IF(OR(AM801="",AK801=""),"",(AK801+Variables!$B$19)-AM801),""))</f>
        <v>1</v>
      </c>
      <c r="AR801" s="12">
        <f>IF($H801="Cancelled","",IFERROR(T801*INDEX(Variables!$B$7:$D$7,IFERROR(MATCH(IF($B801="Robusta","Robusta",(IF($B801="","Arabica",$B801))&amp;" - "&amp;(IF($C801="","Commercial",$C801))),Variables!$B$1:$D$1,0),1))*(AQ801/365),""))</f>
        <v>4.0085890774773825</v>
      </c>
      <c r="AS801" s="12">
        <f>IF($H801="Cancelled","",IFERROR((T801*INDEX(Variables!$B$7:$D$7,IFERROR(MATCH(IF($B801="Robusta","Robusta",(IF($B801="","Arabica",$B801))&amp;" - "&amp;(IF($C801="","Commercial",$C801))),Variables!$B$1:$D$1,0),1))*IFERROR(IF(W801="","",(AVERAGE(E801:F801)-W801)-Variables!$B$14),"")/365)+(L801/16.67*INDEX(Variables!$B$8:$D$8,IFERROR(MATCH(IF($B801="Robusta","Robusta",(IF($B801="","Arabica",$B801))&amp;" - "&amp;(IF($C801="","Commercial",$C801))),Variables!$B$1:$D$1,0),1))*IFERROR(IF(W801="","",(AVERAGE(E801:F801)-W801)-Variables!$B$14),""))+(T801*INDEX(Variables!$B$9:$D$9,IFERROR(MATCH(IF($B801="Robusta","Robusta",(IF($B801="","Arabica",$B801))&amp;" - "&amp;(IF($C801="","Commercial",$C801))),Variables!$B$1:$D$1,0),1))*IFERROR(IF(W801="","",(AVERAGE(E801:F801)-W801)-Variables!$B$14),"")/365),""))</f>
        <v>112.16428042760801</v>
      </c>
      <c r="AT801" s="12">
        <f>IF($H801="Cancelled","",IFERROR((T801*INDEX(Variables!$B$7:$D$7,IFERROR(MATCH(IF($B801="Robusta","Robusta",(IF($B801="","Arabica",$B801))&amp;" - "&amp;(IF($C801="","Commercial",$C801))),Variables!$B$1:$D$1,0),1))*AC801/365)+(L801/16.67*INDEX(Variables!$B$8:$D$8,IFERROR(MATCH(IF($B801="Robusta","Robusta",(IF($B801="","Arabica",$B801))&amp;" - "&amp;(IF($C801="","Commercial",$C801))),Variables!$B$1:$D$1,0),1))*AC801)+(T801*INDEX(Variables!$B$9:$D$9,IFERROR(MATCH(IF($B801="Robusta","Robusta",(IF($B801="","Arabica",$B801))&amp;" - "&amp;(IF($C801="","Commercial",$C801))),Variables!$B$1:$D$1,0),1))*AC801/365),""))</f>
        <v>-147.21561806123549</v>
      </c>
      <c r="AU801" s="12">
        <f>IF($H801="Cancelled","",IFERROR((T801*INDEX(Variables!$B$7:$D$7,IFERROR(MATCH(IF($B801="Robusta","Robusta",(IF($B801="","Arabica",$B801))&amp;" - "&amp;(IF($C801="","Commercial",$C801))),Variables!$B$1:$D$1,0),1))*AP801/365)+(L801/16.67*INDEX(Variables!$B$8:$D$8,IFERROR(MATCH(IF($B801="Robusta","Robusta",(IF($B801="","Arabica",$B801))&amp;" - "&amp;(IF($C801="","Commercial",$C801))),Variables!$B$1:$D$1,0),1))*AP801)+(T801*INDEX(Variables!$B$9:$D$9,IFERROR(MATCH(IF($B801="Robusta","Robusta",(IF($B801="","Arabica",$B801))&amp;" - "&amp;(IF($C801="","Commercial",$C801))),Variables!$B$1:$D$1,0),1))*AP801/365),""))</f>
        <v>-21.030802580176498</v>
      </c>
      <c r="AV801" s="11">
        <f t="shared" si="80"/>
        <v>27</v>
      </c>
      <c r="AW801" s="12">
        <f>IF($H801="Cancelled","",IFERROR(IF(AV801="","",(T801*INDEX(Variables!$B$7:$D$7,IFERROR(MATCH(IF($B801="Robusta","Robusta",(IF($B801="","Arabica",$B801))&amp;" - "&amp;(IF($C801="","Commercial",$C801))),Variables!$B$1:$D$1,0),1))*(AV801/365))+(T801*INDEX(Variables!$B$9:$D$9,IFERROR(MATCH(IF($B801="Robusta","Robusta",(IF($B801="","Arabica",$B801))&amp;" - "&amp;(IF($C801="","Commercial",$C801))),Variables!$B$1:$D$1,0),1))*(AV801/365))+(INDEX(Variables!$B$8:$D$8,IFERROR(MATCH(IF($B801="Robusta","Robusta",(IF($B801="","Arabica",$B801))&amp;" - "&amp;(IF($C801="","Commercial",$C801))),Variables!$B$1:$D$1,0),1))*L801/16.67)),""))</f>
        <v>112.57722322158848</v>
      </c>
      <c r="AX801" s="9"/>
      <c r="AY801" s="12"/>
      <c r="AZ801" s="10"/>
      <c r="BA801" s="9"/>
      <c r="BB801" s="10"/>
      <c r="BC801" s="9"/>
      <c r="BD801" s="9"/>
      <c r="BE801" s="9"/>
      <c r="BF801" s="9"/>
    </row>
    <row r="802" spans="1:58" x14ac:dyDescent="0.25">
      <c r="A802" s="9" t="s">
        <v>84</v>
      </c>
      <c r="B802" s="9" t="s">
        <v>85</v>
      </c>
      <c r="C802" s="9" t="s">
        <v>1486</v>
      </c>
      <c r="D802" s="10">
        <v>45415</v>
      </c>
      <c r="E802" s="10">
        <v>45413</v>
      </c>
      <c r="F802" s="10">
        <v>45473</v>
      </c>
      <c r="G802" s="9">
        <v>3786352</v>
      </c>
      <c r="H802" s="9" t="str">
        <f t="shared" si="78"/>
        <v>Closed</v>
      </c>
      <c r="I802" s="9" t="str">
        <f t="shared" si="79"/>
        <v>All dates received</v>
      </c>
      <c r="J802" s="9" t="s">
        <v>1737</v>
      </c>
      <c r="K802" s="9" t="s">
        <v>1748</v>
      </c>
      <c r="L802" s="11">
        <v>15</v>
      </c>
      <c r="M802" s="9" t="s">
        <v>1749</v>
      </c>
      <c r="N802" s="9"/>
      <c r="O802" s="9"/>
      <c r="P802" s="9"/>
      <c r="Q802" s="11"/>
      <c r="R802" s="9" t="s">
        <v>195</v>
      </c>
      <c r="S802" s="9" t="s">
        <v>578</v>
      </c>
      <c r="T802" s="12">
        <f>IF($H802="Cancelled","",IFERROR(((Q802+INDEX(Variables!$B$6:$D$6,IFERROR(MATCH(IF($B802="Robusta","Robusta",(IF($B802="","Arabica",$B802))&amp;" - "&amp;(IF($C802="","Commercial",$C802))),Variables!$B$1:$D$1,0),1)))*22.0462)*(L802/16.67),""))</f>
        <v>5768.7777084583076</v>
      </c>
      <c r="U802" s="10"/>
      <c r="V802" s="9" t="str">
        <f t="shared" si="81"/>
        <v/>
      </c>
      <c r="W802" s="10">
        <v>45397</v>
      </c>
      <c r="X802" s="9" t="str">
        <f t="shared" si="77"/>
        <v>Approved</v>
      </c>
      <c r="Y802" s="10">
        <v>45400</v>
      </c>
      <c r="Z802" s="10">
        <f>IF($H802="Cancelled","",IFERROR(IF(F802="","",F802-Variables!$B$13),""))</f>
        <v>45458</v>
      </c>
      <c r="AA802" s="11">
        <f>IF($H802="Cancelled","",IFERROR(IF(W802="","",(AVERAGE(E802:F802)-W802)-Variables!$B$14),""))</f>
        <v>16</v>
      </c>
      <c r="AB802" s="10">
        <v>45436</v>
      </c>
      <c r="AC802" s="11">
        <f>IF($H802="Cancelled","",IFERROR(IF(AB802="","",IF(AND(W802="",Y802=""),"",IF(Y802&gt;W802,Y802+Variables!$B$15+Variables!$B$16+Variables!$B$17-AB802,W802+Variables!$B$16+Variables!$B$17-AB802))),""))</f>
        <v>-21</v>
      </c>
      <c r="AD802" s="9" t="s">
        <v>163</v>
      </c>
      <c r="AE802" s="9" t="s">
        <v>362</v>
      </c>
      <c r="AF802" s="10"/>
      <c r="AG802" s="10"/>
      <c r="AH802" s="9"/>
      <c r="AI802" s="9">
        <v>239735471</v>
      </c>
      <c r="AJ802" s="9" t="s">
        <v>8</v>
      </c>
      <c r="AK802" s="10">
        <v>45446</v>
      </c>
      <c r="AL802" s="10">
        <v>45448</v>
      </c>
      <c r="AM802" s="10">
        <v>45450</v>
      </c>
      <c r="AN802" s="9" t="s">
        <v>1492</v>
      </c>
      <c r="AO802" s="9"/>
      <c r="AP802" s="11">
        <f>IF($H802="Cancelled","",IFERROR(IF(OR(AK802="",AB802=""),"",(AB802+Variables!$B$18-AK802)),""))</f>
        <v>-3</v>
      </c>
      <c r="AQ802" s="11">
        <f>IF($H802="Cancelled","",IFERROR(IF(OR(AM802="",AK802=""),"",(AK802+Variables!$B$19)-AM802),""))</f>
        <v>1</v>
      </c>
      <c r="AR802" s="12">
        <f>IF($H802="Cancelled","",IFERROR(T802*INDEX(Variables!$B$7:$D$7,IFERROR(MATCH(IF($B802="Robusta","Robusta",(IF($B802="","Arabica",$B802))&amp;" - "&amp;(IF($C802="","Commercial",$C802))),Variables!$B$1:$D$1,0),1))*(AQ802/365),""))</f>
        <v>1.0191328163078091</v>
      </c>
      <c r="AS802" s="12">
        <f>IF($H802="Cancelled","",IFERROR((T802*INDEX(Variables!$B$7:$D$7,IFERROR(MATCH(IF($B802="Robusta","Robusta",(IF($B802="","Arabica",$B802))&amp;" - "&amp;(IF($C802="","Commercial",$C802))),Variables!$B$1:$D$1,0),1))*IFERROR(IF(W802="","",(AVERAGE(E802:F802)-W802)-Variables!$B$14),"")/365)+(L802/16.67*INDEX(Variables!$B$8:$D$8,IFERROR(MATCH(IF($B802="Robusta","Robusta",(IF($B802="","Arabica",$B802))&amp;" - "&amp;(IF($C802="","Commercial",$C802))),Variables!$B$1:$D$1,0),1))*IFERROR(IF(W802="","",(AVERAGE(E802:F802)-W802)-Variables!$B$14),""))+(T802*INDEX(Variables!$B$9:$D$9,IFERROR(MATCH(IF($B802="Robusta","Robusta",(IF($B802="","Arabica",$B802))&amp;" - "&amp;(IF($C802="","Commercial",$C802))),Variables!$B$1:$D$1,0),1))*IFERROR(IF(W802="","",(AVERAGE(E802:F802)-W802)-Variables!$B$14),"")/365),""))</f>
        <v>28.516342481595252</v>
      </c>
      <c r="AT802" s="12">
        <f>IF($H802="Cancelled","",IFERROR((T802*INDEX(Variables!$B$7:$D$7,IFERROR(MATCH(IF($B802="Robusta","Robusta",(IF($B802="","Arabica",$B802))&amp;" - "&amp;(IF($C802="","Commercial",$C802))),Variables!$B$1:$D$1,0),1))*AC802/365)+(L802/16.67*INDEX(Variables!$B$8:$D$8,IFERROR(MATCH(IF($B802="Robusta","Robusta",(IF($B802="","Arabica",$B802))&amp;" - "&amp;(IF($C802="","Commercial",$C802))),Variables!$B$1:$D$1,0),1))*AC802)+(T802*INDEX(Variables!$B$9:$D$9,IFERROR(MATCH(IF($B802="Robusta","Robusta",(IF($B802="","Arabica",$B802))&amp;" - "&amp;(IF($C802="","Commercial",$C802))),Variables!$B$1:$D$1,0),1))*AC802/365),""))</f>
        <v>-37.42769950709377</v>
      </c>
      <c r="AU802" s="12">
        <f>IF($H802="Cancelled","",IFERROR((T802*INDEX(Variables!$B$7:$D$7,IFERROR(MATCH(IF($B802="Robusta","Robusta",(IF($B802="","Arabica",$B802))&amp;" - "&amp;(IF($C802="","Commercial",$C802))),Variables!$B$1:$D$1,0),1))*AP802/365)+(L802/16.67*INDEX(Variables!$B$8:$D$8,IFERROR(MATCH(IF($B802="Robusta","Robusta",(IF($B802="","Arabica",$B802))&amp;" - "&amp;(IF($C802="","Commercial",$C802))),Variables!$B$1:$D$1,0),1))*AP802)+(T802*INDEX(Variables!$B$9:$D$9,IFERROR(MATCH(IF($B802="Robusta","Robusta",(IF($B802="","Arabica",$B802))&amp;" - "&amp;(IF($C802="","Commercial",$C802))),Variables!$B$1:$D$1,0),1))*AP802/365),""))</f>
        <v>-5.3468142152991103</v>
      </c>
      <c r="AV802" s="11">
        <f t="shared" si="80"/>
        <v>27</v>
      </c>
      <c r="AW802" s="12">
        <f>IF($H802="Cancelled","",IFERROR(IF(AV802="","",(T802*INDEX(Variables!$B$7:$D$7,IFERROR(MATCH(IF($B802="Robusta","Robusta",(IF($B802="","Arabica",$B802))&amp;" - "&amp;(IF($C802="","Commercial",$C802))),Variables!$B$1:$D$1,0),1))*(AV802/365))+(T802*INDEX(Variables!$B$9:$D$9,IFERROR(MATCH(IF($B802="Robusta","Robusta",(IF($B802="","Arabica",$B802))&amp;" - "&amp;(IF($C802="","Commercial",$C802))),Variables!$B$1:$D$1,0),1))*(AV802/365))+(INDEX(Variables!$B$8:$D$8,IFERROR(MATCH(IF($B802="Robusta","Robusta",(IF($B802="","Arabica",$B802))&amp;" - "&amp;(IF($C802="","Commercial",$C802))),Variables!$B$1:$D$1,0),1))*L802/16.67)),""))</f>
        <v>28.621327937691987</v>
      </c>
      <c r="AX802" s="9"/>
      <c r="AY802" s="12"/>
      <c r="AZ802" s="10"/>
      <c r="BA802" s="9"/>
      <c r="BB802" s="10"/>
      <c r="BC802" s="9"/>
      <c r="BD802" s="9"/>
      <c r="BE802" s="9"/>
      <c r="BF802" s="9"/>
    </row>
    <row r="803" spans="1:58" x14ac:dyDescent="0.25">
      <c r="A803" s="9" t="s">
        <v>84</v>
      </c>
      <c r="B803" s="9" t="s">
        <v>85</v>
      </c>
      <c r="C803" s="9" t="s">
        <v>1486</v>
      </c>
      <c r="D803" s="10">
        <v>45415</v>
      </c>
      <c r="E803" s="10">
        <v>45413</v>
      </c>
      <c r="F803" s="10">
        <v>45473</v>
      </c>
      <c r="G803" s="9">
        <v>3786353</v>
      </c>
      <c r="H803" s="9" t="str">
        <f t="shared" si="78"/>
        <v>Closed</v>
      </c>
      <c r="I803" s="9" t="str">
        <f t="shared" si="79"/>
        <v>All dates received</v>
      </c>
      <c r="J803" s="9" t="s">
        <v>1737</v>
      </c>
      <c r="K803" s="9" t="s">
        <v>1750</v>
      </c>
      <c r="L803" s="11">
        <v>15</v>
      </c>
      <c r="M803" s="9" t="s">
        <v>1751</v>
      </c>
      <c r="N803" s="9"/>
      <c r="O803" s="9"/>
      <c r="P803" s="9"/>
      <c r="Q803" s="11"/>
      <c r="R803" s="9" t="s">
        <v>195</v>
      </c>
      <c r="S803" s="9" t="s">
        <v>578</v>
      </c>
      <c r="T803" s="12">
        <f>IF($H803="Cancelled","",IFERROR(((Q803+INDEX(Variables!$B$6:$D$6,IFERROR(MATCH(IF($B803="Robusta","Robusta",(IF($B803="","Arabica",$B803))&amp;" - "&amp;(IF($C803="","Commercial",$C803))),Variables!$B$1:$D$1,0),1)))*22.0462)*(L803/16.67),""))</f>
        <v>5768.7777084583076</v>
      </c>
      <c r="U803" s="10"/>
      <c r="V803" s="9" t="str">
        <f t="shared" si="81"/>
        <v/>
      </c>
      <c r="W803" s="10">
        <v>45397</v>
      </c>
      <c r="X803" s="9" t="str">
        <f t="shared" si="77"/>
        <v>Approved</v>
      </c>
      <c r="Y803" s="10">
        <v>45400</v>
      </c>
      <c r="Z803" s="10">
        <f>IF($H803="Cancelled","",IFERROR(IF(F803="","",F803-Variables!$B$13),""))</f>
        <v>45458</v>
      </c>
      <c r="AA803" s="11">
        <f>IF($H803="Cancelled","",IFERROR(IF(W803="","",(AVERAGE(E803:F803)-W803)-Variables!$B$14),""))</f>
        <v>16</v>
      </c>
      <c r="AB803" s="10">
        <v>45436</v>
      </c>
      <c r="AC803" s="11">
        <f>IF($H803="Cancelled","",IFERROR(IF(AB803="","",IF(AND(W803="",Y803=""),"",IF(Y803&gt;W803,Y803+Variables!$B$15+Variables!$B$16+Variables!$B$17-AB803,W803+Variables!$B$16+Variables!$B$17-AB803))),""))</f>
        <v>-21</v>
      </c>
      <c r="AD803" s="9" t="s">
        <v>163</v>
      </c>
      <c r="AE803" s="9" t="s">
        <v>362</v>
      </c>
      <c r="AF803" s="10"/>
      <c r="AG803" s="10"/>
      <c r="AH803" s="9"/>
      <c r="AI803" s="9">
        <v>239735471</v>
      </c>
      <c r="AJ803" s="9" t="s">
        <v>8</v>
      </c>
      <c r="AK803" s="10">
        <v>45446</v>
      </c>
      <c r="AL803" s="10">
        <v>45448</v>
      </c>
      <c r="AM803" s="10">
        <v>45450</v>
      </c>
      <c r="AN803" s="9" t="s">
        <v>1492</v>
      </c>
      <c r="AO803" s="9"/>
      <c r="AP803" s="11">
        <f>IF($H803="Cancelled","",IFERROR(IF(OR(AK803="",AB803=""),"",(AB803+Variables!$B$18-AK803)),""))</f>
        <v>-3</v>
      </c>
      <c r="AQ803" s="11">
        <f>IF($H803="Cancelled","",IFERROR(IF(OR(AM803="",AK803=""),"",(AK803+Variables!$B$19)-AM803),""))</f>
        <v>1</v>
      </c>
      <c r="AR803" s="12">
        <f>IF($H803="Cancelled","",IFERROR(T803*INDEX(Variables!$B$7:$D$7,IFERROR(MATCH(IF($B803="Robusta","Robusta",(IF($B803="","Arabica",$B803))&amp;" - "&amp;(IF($C803="","Commercial",$C803))),Variables!$B$1:$D$1,0),1))*(AQ803/365),""))</f>
        <v>1.0191328163078091</v>
      </c>
      <c r="AS803" s="12">
        <f>IF($H803="Cancelled","",IFERROR((T803*INDEX(Variables!$B$7:$D$7,IFERROR(MATCH(IF($B803="Robusta","Robusta",(IF($B803="","Arabica",$B803))&amp;" - "&amp;(IF($C803="","Commercial",$C803))),Variables!$B$1:$D$1,0),1))*IFERROR(IF(W803="","",(AVERAGE(E803:F803)-W803)-Variables!$B$14),"")/365)+(L803/16.67*INDEX(Variables!$B$8:$D$8,IFERROR(MATCH(IF($B803="Robusta","Robusta",(IF($B803="","Arabica",$B803))&amp;" - "&amp;(IF($C803="","Commercial",$C803))),Variables!$B$1:$D$1,0),1))*IFERROR(IF(W803="","",(AVERAGE(E803:F803)-W803)-Variables!$B$14),""))+(T803*INDEX(Variables!$B$9:$D$9,IFERROR(MATCH(IF($B803="Robusta","Robusta",(IF($B803="","Arabica",$B803))&amp;" - "&amp;(IF($C803="","Commercial",$C803))),Variables!$B$1:$D$1,0),1))*IFERROR(IF(W803="","",(AVERAGE(E803:F803)-W803)-Variables!$B$14),"")/365),""))</f>
        <v>28.516342481595252</v>
      </c>
      <c r="AT803" s="12">
        <f>IF($H803="Cancelled","",IFERROR((T803*INDEX(Variables!$B$7:$D$7,IFERROR(MATCH(IF($B803="Robusta","Robusta",(IF($B803="","Arabica",$B803))&amp;" - "&amp;(IF($C803="","Commercial",$C803))),Variables!$B$1:$D$1,0),1))*AC803/365)+(L803/16.67*INDEX(Variables!$B$8:$D$8,IFERROR(MATCH(IF($B803="Robusta","Robusta",(IF($B803="","Arabica",$B803))&amp;" - "&amp;(IF($C803="","Commercial",$C803))),Variables!$B$1:$D$1,0),1))*AC803)+(T803*INDEX(Variables!$B$9:$D$9,IFERROR(MATCH(IF($B803="Robusta","Robusta",(IF($B803="","Arabica",$B803))&amp;" - "&amp;(IF($C803="","Commercial",$C803))),Variables!$B$1:$D$1,0),1))*AC803/365),""))</f>
        <v>-37.42769950709377</v>
      </c>
      <c r="AU803" s="12">
        <f>IF($H803="Cancelled","",IFERROR((T803*INDEX(Variables!$B$7:$D$7,IFERROR(MATCH(IF($B803="Robusta","Robusta",(IF($B803="","Arabica",$B803))&amp;" - "&amp;(IF($C803="","Commercial",$C803))),Variables!$B$1:$D$1,0),1))*AP803/365)+(L803/16.67*INDEX(Variables!$B$8:$D$8,IFERROR(MATCH(IF($B803="Robusta","Robusta",(IF($B803="","Arabica",$B803))&amp;" - "&amp;(IF($C803="","Commercial",$C803))),Variables!$B$1:$D$1,0),1))*AP803)+(T803*INDEX(Variables!$B$9:$D$9,IFERROR(MATCH(IF($B803="Robusta","Robusta",(IF($B803="","Arabica",$B803))&amp;" - "&amp;(IF($C803="","Commercial",$C803))),Variables!$B$1:$D$1,0),1))*AP803/365),""))</f>
        <v>-5.3468142152991103</v>
      </c>
      <c r="AV803" s="11">
        <f t="shared" si="80"/>
        <v>27</v>
      </c>
      <c r="AW803" s="12">
        <f>IF($H803="Cancelled","",IFERROR(IF(AV803="","",(T803*INDEX(Variables!$B$7:$D$7,IFERROR(MATCH(IF($B803="Robusta","Robusta",(IF($B803="","Arabica",$B803))&amp;" - "&amp;(IF($C803="","Commercial",$C803))),Variables!$B$1:$D$1,0),1))*(AV803/365))+(T803*INDEX(Variables!$B$9:$D$9,IFERROR(MATCH(IF($B803="Robusta","Robusta",(IF($B803="","Arabica",$B803))&amp;" - "&amp;(IF($C803="","Commercial",$C803))),Variables!$B$1:$D$1,0),1))*(AV803/365))+(INDEX(Variables!$B$8:$D$8,IFERROR(MATCH(IF($B803="Robusta","Robusta",(IF($B803="","Arabica",$B803))&amp;" - "&amp;(IF($C803="","Commercial",$C803))),Variables!$B$1:$D$1,0),1))*L803/16.67)),""))</f>
        <v>28.621327937691987</v>
      </c>
      <c r="AX803" s="9"/>
      <c r="AY803" s="12"/>
      <c r="AZ803" s="10"/>
      <c r="BA803" s="9"/>
      <c r="BB803" s="10"/>
      <c r="BC803" s="9"/>
      <c r="BD803" s="9"/>
      <c r="BE803" s="9"/>
      <c r="BF803" s="9"/>
    </row>
    <row r="804" spans="1:58" x14ac:dyDescent="0.25">
      <c r="A804" s="9" t="s">
        <v>84</v>
      </c>
      <c r="B804" s="9" t="s">
        <v>85</v>
      </c>
      <c r="C804" s="9" t="s">
        <v>1486</v>
      </c>
      <c r="D804" s="10">
        <v>45415</v>
      </c>
      <c r="E804" s="10">
        <v>45413</v>
      </c>
      <c r="F804" s="10">
        <v>45473</v>
      </c>
      <c r="G804" s="9">
        <v>3786354</v>
      </c>
      <c r="H804" s="9" t="str">
        <f t="shared" si="78"/>
        <v>Closed</v>
      </c>
      <c r="I804" s="9" t="str">
        <f t="shared" si="79"/>
        <v>All dates received</v>
      </c>
      <c r="J804" s="9" t="s">
        <v>1737</v>
      </c>
      <c r="K804" s="9" t="s">
        <v>1752</v>
      </c>
      <c r="L804" s="11">
        <v>28</v>
      </c>
      <c r="M804" s="9" t="s">
        <v>1753</v>
      </c>
      <c r="N804" s="9"/>
      <c r="O804" s="9"/>
      <c r="P804" s="9"/>
      <c r="Q804" s="11"/>
      <c r="R804" s="9" t="s">
        <v>195</v>
      </c>
      <c r="S804" s="9" t="s">
        <v>578</v>
      </c>
      <c r="T804" s="12">
        <f>IF($H804="Cancelled","",IFERROR(((Q804+INDEX(Variables!$B$6:$D$6,IFERROR(MATCH(IF($B804="Robusta","Robusta",(IF($B804="","Arabica",$B804))&amp;" - "&amp;(IF($C804="","Commercial",$C804))),Variables!$B$1:$D$1,0),1)))*22.0462)*(L804/16.67),""))</f>
        <v>10768.385055788842</v>
      </c>
      <c r="U804" s="10"/>
      <c r="V804" s="9" t="str">
        <f t="shared" si="81"/>
        <v/>
      </c>
      <c r="W804" s="10">
        <v>45397</v>
      </c>
      <c r="X804" s="9" t="str">
        <f t="shared" si="77"/>
        <v>Approved</v>
      </c>
      <c r="Y804" s="10">
        <v>45400</v>
      </c>
      <c r="Z804" s="10">
        <f>IF($H804="Cancelled","",IFERROR(IF(F804="","",F804-Variables!$B$13),""))</f>
        <v>45458</v>
      </c>
      <c r="AA804" s="11">
        <f>IF($H804="Cancelled","",IFERROR(IF(W804="","",(AVERAGE(E804:F804)-W804)-Variables!$B$14),""))</f>
        <v>16</v>
      </c>
      <c r="AB804" s="10">
        <v>45436</v>
      </c>
      <c r="AC804" s="11">
        <f>IF($H804="Cancelled","",IFERROR(IF(AB804="","",IF(AND(W804="",Y804=""),"",IF(Y804&gt;W804,Y804+Variables!$B$15+Variables!$B$16+Variables!$B$17-AB804,W804+Variables!$B$16+Variables!$B$17-AB804))),""))</f>
        <v>-21</v>
      </c>
      <c r="AD804" s="9" t="s">
        <v>163</v>
      </c>
      <c r="AE804" s="9" t="s">
        <v>362</v>
      </c>
      <c r="AF804" s="10"/>
      <c r="AG804" s="10"/>
      <c r="AH804" s="9"/>
      <c r="AI804" s="9">
        <v>239735471</v>
      </c>
      <c r="AJ804" s="9" t="s">
        <v>8</v>
      </c>
      <c r="AK804" s="10">
        <v>45446</v>
      </c>
      <c r="AL804" s="10">
        <v>45448</v>
      </c>
      <c r="AM804" s="10">
        <v>45450</v>
      </c>
      <c r="AN804" s="9" t="s">
        <v>1492</v>
      </c>
      <c r="AO804" s="9"/>
      <c r="AP804" s="11">
        <f>IF($H804="Cancelled","",IFERROR(IF(OR(AK804="",AB804=""),"",(AB804+Variables!$B$18-AK804)),""))</f>
        <v>-3</v>
      </c>
      <c r="AQ804" s="11">
        <f>IF($H804="Cancelled","",IFERROR(IF(OR(AM804="",AK804=""),"",(AK804+Variables!$B$19)-AM804),""))</f>
        <v>1</v>
      </c>
      <c r="AR804" s="12">
        <f>IF($H804="Cancelled","",IFERROR(T804*INDEX(Variables!$B$7:$D$7,IFERROR(MATCH(IF($B804="Robusta","Robusta",(IF($B804="","Arabica",$B804))&amp;" - "&amp;(IF($C804="","Commercial",$C804))),Variables!$B$1:$D$1,0),1))*(AQ804/365),""))</f>
        <v>1.9023812571079102</v>
      </c>
      <c r="AS804" s="12">
        <f>IF($H804="Cancelled","",IFERROR((T804*INDEX(Variables!$B$7:$D$7,IFERROR(MATCH(IF($B804="Robusta","Robusta",(IF($B804="","Arabica",$B804))&amp;" - "&amp;(IF($C804="","Commercial",$C804))),Variables!$B$1:$D$1,0),1))*IFERROR(IF(W804="","",(AVERAGE(E804:F804)-W804)-Variables!$B$14),"")/365)+(L804/16.67*INDEX(Variables!$B$8:$D$8,IFERROR(MATCH(IF($B804="Robusta","Robusta",(IF($B804="","Arabica",$B804))&amp;" - "&amp;(IF($C804="","Commercial",$C804))),Variables!$B$1:$D$1,0),1))*IFERROR(IF(W804="","",(AVERAGE(E804:F804)-W804)-Variables!$B$14),""))+(T804*INDEX(Variables!$B$9:$D$9,IFERROR(MATCH(IF($B804="Robusta","Robusta",(IF($B804="","Arabica",$B804))&amp;" - "&amp;(IF($C804="","Commercial",$C804))),Variables!$B$1:$D$1,0),1))*IFERROR(IF(W804="","",(AVERAGE(E804:F804)-W804)-Variables!$B$14),"")/365),""))</f>
        <v>53.230505965644475</v>
      </c>
      <c r="AT804" s="12">
        <f>IF($H804="Cancelled","",IFERROR((T804*INDEX(Variables!$B$7:$D$7,IFERROR(MATCH(IF($B804="Robusta","Robusta",(IF($B804="","Arabica",$B804))&amp;" - "&amp;(IF($C804="","Commercial",$C804))),Variables!$B$1:$D$1,0),1))*AC804/365)+(L804/16.67*INDEX(Variables!$B$8:$D$8,IFERROR(MATCH(IF($B804="Robusta","Robusta",(IF($B804="","Arabica",$B804))&amp;" - "&amp;(IF($C804="","Commercial",$C804))),Variables!$B$1:$D$1,0),1))*AC804)+(T804*INDEX(Variables!$B$9:$D$9,IFERROR(MATCH(IF($B804="Robusta","Robusta",(IF($B804="","Arabica",$B804))&amp;" - "&amp;(IF($C804="","Commercial",$C804))),Variables!$B$1:$D$1,0),1))*AC804/365),""))</f>
        <v>-69.865039079908371</v>
      </c>
      <c r="AU804" s="12">
        <f>IF($H804="Cancelled","",IFERROR((T804*INDEX(Variables!$B$7:$D$7,IFERROR(MATCH(IF($B804="Robusta","Robusta",(IF($B804="","Arabica",$B804))&amp;" - "&amp;(IF($C804="","Commercial",$C804))),Variables!$B$1:$D$1,0),1))*AP804/365)+(L804/16.67*INDEX(Variables!$B$8:$D$8,IFERROR(MATCH(IF($B804="Robusta","Robusta",(IF($B804="","Arabica",$B804))&amp;" - "&amp;(IF($C804="","Commercial",$C804))),Variables!$B$1:$D$1,0),1))*AP804)+(T804*INDEX(Variables!$B$9:$D$9,IFERROR(MATCH(IF($B804="Robusta","Robusta",(IF($B804="","Arabica",$B804))&amp;" - "&amp;(IF($C804="","Commercial",$C804))),Variables!$B$1:$D$1,0),1))*AP804/365),""))</f>
        <v>-9.9807198685583387</v>
      </c>
      <c r="AV804" s="11">
        <f t="shared" si="80"/>
        <v>27</v>
      </c>
      <c r="AW804" s="12">
        <f>IF($H804="Cancelled","",IFERROR(IF(AV804="","",(T804*INDEX(Variables!$B$7:$D$7,IFERROR(MATCH(IF($B804="Robusta","Robusta",(IF($B804="","Arabica",$B804))&amp;" - "&amp;(IF($C804="","Commercial",$C804))),Variables!$B$1:$D$1,0),1))*(AV804/365))+(T804*INDEX(Variables!$B$9:$D$9,IFERROR(MATCH(IF($B804="Robusta","Robusta",(IF($B804="","Arabica",$B804))&amp;" - "&amp;(IF($C804="","Commercial",$C804))),Variables!$B$1:$D$1,0),1))*(AV804/365))+(INDEX(Variables!$B$8:$D$8,IFERROR(MATCH(IF($B804="Robusta","Robusta",(IF($B804="","Arabica",$B804))&amp;" - "&amp;(IF($C804="","Commercial",$C804))),Variables!$B$1:$D$1,0),1))*L804/16.67)),""))</f>
        <v>53.42647881702505</v>
      </c>
      <c r="AX804" s="9"/>
      <c r="AY804" s="12"/>
      <c r="AZ804" s="10"/>
      <c r="BA804" s="9"/>
      <c r="BB804" s="10"/>
      <c r="BC804" s="9"/>
      <c r="BD804" s="9"/>
      <c r="BE804" s="9"/>
      <c r="BF804" s="9"/>
    </row>
    <row r="805" spans="1:58" x14ac:dyDescent="0.25">
      <c r="A805" s="9" t="s">
        <v>84</v>
      </c>
      <c r="B805" s="9" t="s">
        <v>85</v>
      </c>
      <c r="C805" s="9" t="s">
        <v>1486</v>
      </c>
      <c r="D805" s="10">
        <v>45415</v>
      </c>
      <c r="E805" s="10">
        <v>45413</v>
      </c>
      <c r="F805" s="10">
        <v>45473</v>
      </c>
      <c r="G805" s="9">
        <v>3786355</v>
      </c>
      <c r="H805" s="9" t="str">
        <f t="shared" si="78"/>
        <v>Closed</v>
      </c>
      <c r="I805" s="9" t="str">
        <f t="shared" si="79"/>
        <v>All dates received</v>
      </c>
      <c r="J805" s="9" t="s">
        <v>1737</v>
      </c>
      <c r="K805" s="9" t="s">
        <v>1754</v>
      </c>
      <c r="L805" s="11">
        <v>23</v>
      </c>
      <c r="M805" s="9" t="s">
        <v>1755</v>
      </c>
      <c r="N805" s="9"/>
      <c r="O805" s="9"/>
      <c r="P805" s="9"/>
      <c r="Q805" s="11"/>
      <c r="R805" s="9" t="s">
        <v>195</v>
      </c>
      <c r="S805" s="9" t="s">
        <v>578</v>
      </c>
      <c r="T805" s="12">
        <f>IF($H805="Cancelled","",IFERROR(((Q805+INDEX(Variables!$B$6:$D$6,IFERROR(MATCH(IF($B805="Robusta","Robusta",(IF($B805="","Arabica",$B805))&amp;" - "&amp;(IF($C805="","Commercial",$C805))),Variables!$B$1:$D$1,0),1)))*22.0462)*(L805/16.67),""))</f>
        <v>8845.4591529694044</v>
      </c>
      <c r="U805" s="10"/>
      <c r="V805" s="9" t="str">
        <f t="shared" si="81"/>
        <v/>
      </c>
      <c r="W805" s="10">
        <v>45397</v>
      </c>
      <c r="X805" s="9" t="str">
        <f t="shared" si="77"/>
        <v>Approved</v>
      </c>
      <c r="Y805" s="10">
        <v>45397</v>
      </c>
      <c r="Z805" s="10">
        <f>IF($H805="Cancelled","",IFERROR(IF(F805="","",F805-Variables!$B$13),""))</f>
        <v>45458</v>
      </c>
      <c r="AA805" s="11">
        <f>IF($H805="Cancelled","",IFERROR(IF(W805="","",(AVERAGE(E805:F805)-W805)-Variables!$B$14),""))</f>
        <v>16</v>
      </c>
      <c r="AB805" s="10">
        <v>45436</v>
      </c>
      <c r="AC805" s="11">
        <f>IF($H805="Cancelled","",IFERROR(IF(AB805="","",IF(AND(W805="",Y805=""),"",IF(Y805&gt;W805,Y805+Variables!$B$15+Variables!$B$16+Variables!$B$17-AB805,W805+Variables!$B$16+Variables!$B$17-AB805))),""))</f>
        <v>-31</v>
      </c>
      <c r="AD805" s="9" t="s">
        <v>163</v>
      </c>
      <c r="AE805" s="9" t="s">
        <v>362</v>
      </c>
      <c r="AF805" s="10"/>
      <c r="AG805" s="10"/>
      <c r="AH805" s="9"/>
      <c r="AI805" s="9">
        <v>239735471</v>
      </c>
      <c r="AJ805" s="9" t="s">
        <v>8</v>
      </c>
      <c r="AK805" s="10">
        <v>45446</v>
      </c>
      <c r="AL805" s="10">
        <v>45448</v>
      </c>
      <c r="AM805" s="10">
        <v>45450</v>
      </c>
      <c r="AN805" s="9" t="s">
        <v>1492</v>
      </c>
      <c r="AO805" s="9"/>
      <c r="AP805" s="11">
        <f>IF($H805="Cancelled","",IFERROR(IF(OR(AK805="",AB805=""),"",(AB805+Variables!$B$18-AK805)),""))</f>
        <v>-3</v>
      </c>
      <c r="AQ805" s="11">
        <f>IF($H805="Cancelled","",IFERROR(IF(OR(AM805="",AK805=""),"",(AK805+Variables!$B$19)-AM805),""))</f>
        <v>1</v>
      </c>
      <c r="AR805" s="12">
        <f>IF($H805="Cancelled","",IFERROR(T805*INDEX(Variables!$B$7:$D$7,IFERROR(MATCH(IF($B805="Robusta","Robusta",(IF($B805="","Arabica",$B805))&amp;" - "&amp;(IF($C805="","Commercial",$C805))),Variables!$B$1:$D$1,0),1))*(AQ805/365),""))</f>
        <v>1.5626703183386403</v>
      </c>
      <c r="AS805" s="12">
        <f>IF($H805="Cancelled","",IFERROR((T805*INDEX(Variables!$B$7:$D$7,IFERROR(MATCH(IF($B805="Robusta","Robusta",(IF($B805="","Arabica",$B805))&amp;" - "&amp;(IF($C805="","Commercial",$C805))),Variables!$B$1:$D$1,0),1))*IFERROR(IF(W805="","",(AVERAGE(E805:F805)-W805)-Variables!$B$14),"")/365)+(L805/16.67*INDEX(Variables!$B$8:$D$8,IFERROR(MATCH(IF($B805="Robusta","Robusta",(IF($B805="","Arabica",$B805))&amp;" - "&amp;(IF($C805="","Commercial",$C805))),Variables!$B$1:$D$1,0),1))*IFERROR(IF(W805="","",(AVERAGE(E805:F805)-W805)-Variables!$B$14),""))+(T805*INDEX(Variables!$B$9:$D$9,IFERROR(MATCH(IF($B805="Robusta","Robusta",(IF($B805="","Arabica",$B805))&amp;" - "&amp;(IF($C805="","Commercial",$C805))),Variables!$B$1:$D$1,0),1))*IFERROR(IF(W805="","",(AVERAGE(E805:F805)-W805)-Variables!$B$14),"")/365),""))</f>
        <v>43.725058471779377</v>
      </c>
      <c r="AT805" s="12">
        <f>IF($H805="Cancelled","",IFERROR((T805*INDEX(Variables!$B$7:$D$7,IFERROR(MATCH(IF($B805="Robusta","Robusta",(IF($B805="","Arabica",$B805))&amp;" - "&amp;(IF($C805="","Commercial",$C805))),Variables!$B$1:$D$1,0),1))*AC805/365)+(L805/16.67*INDEX(Variables!$B$8:$D$8,IFERROR(MATCH(IF($B805="Robusta","Robusta",(IF($B805="","Arabica",$B805))&amp;" - "&amp;(IF($C805="","Commercial",$C805))),Variables!$B$1:$D$1,0),1))*AC805)+(T805*INDEX(Variables!$B$9:$D$9,IFERROR(MATCH(IF($B805="Robusta","Robusta",(IF($B805="","Arabica",$B805))&amp;" - "&amp;(IF($C805="","Commercial",$C805))),Variables!$B$1:$D$1,0),1))*AC805/365),""))</f>
        <v>-84.717300789072567</v>
      </c>
      <c r="AU805" s="12">
        <f>IF($H805="Cancelled","",IFERROR((T805*INDEX(Variables!$B$7:$D$7,IFERROR(MATCH(IF($B805="Robusta","Robusta",(IF($B805="","Arabica",$B805))&amp;" - "&amp;(IF($C805="","Commercial",$C805))),Variables!$B$1:$D$1,0),1))*AP805/365)+(L805/16.67*INDEX(Variables!$B$8:$D$8,IFERROR(MATCH(IF($B805="Robusta","Robusta",(IF($B805="","Arabica",$B805))&amp;" - "&amp;(IF($C805="","Commercial",$C805))),Variables!$B$1:$D$1,0),1))*AP805)+(T805*INDEX(Variables!$B$9:$D$9,IFERROR(MATCH(IF($B805="Robusta","Robusta",(IF($B805="","Arabica",$B805))&amp;" - "&amp;(IF($C805="","Commercial",$C805))),Variables!$B$1:$D$1,0),1))*AP805/365),""))</f>
        <v>-8.1984484634586341</v>
      </c>
      <c r="AV805" s="11">
        <f t="shared" si="80"/>
        <v>27</v>
      </c>
      <c r="AW805" s="12">
        <f>IF($H805="Cancelled","",IFERROR(IF(AV805="","",(T805*INDEX(Variables!$B$7:$D$7,IFERROR(MATCH(IF($B805="Robusta","Robusta",(IF($B805="","Arabica",$B805))&amp;" - "&amp;(IF($C805="","Commercial",$C805))),Variables!$B$1:$D$1,0),1))*(AV805/365))+(T805*INDEX(Variables!$B$9:$D$9,IFERROR(MATCH(IF($B805="Robusta","Robusta",(IF($B805="","Arabica",$B805))&amp;" - "&amp;(IF($C805="","Commercial",$C805))),Variables!$B$1:$D$1,0),1))*(AV805/365))+(INDEX(Variables!$B$8:$D$8,IFERROR(MATCH(IF($B805="Robusta","Robusta",(IF($B805="","Arabica",$B805))&amp;" - "&amp;(IF($C805="","Commercial",$C805))),Variables!$B$1:$D$1,0),1))*L805/16.67)),""))</f>
        <v>43.886036171127714</v>
      </c>
      <c r="AX805" s="9"/>
      <c r="AY805" s="12"/>
      <c r="AZ805" s="10"/>
      <c r="BA805" s="9"/>
      <c r="BB805" s="10"/>
      <c r="BC805" s="9"/>
      <c r="BD805" s="9"/>
      <c r="BE805" s="9"/>
      <c r="BF805" s="9"/>
    </row>
    <row r="806" spans="1:58" x14ac:dyDescent="0.25">
      <c r="A806" s="9" t="s">
        <v>84</v>
      </c>
      <c r="B806" s="9" t="s">
        <v>85</v>
      </c>
      <c r="C806" s="9" t="s">
        <v>1486</v>
      </c>
      <c r="D806" s="10">
        <v>45415</v>
      </c>
      <c r="E806" s="10">
        <v>45413</v>
      </c>
      <c r="F806" s="10">
        <v>45473</v>
      </c>
      <c r="G806" s="9">
        <v>3786356</v>
      </c>
      <c r="H806" s="9" t="str">
        <f t="shared" si="78"/>
        <v>Closed</v>
      </c>
      <c r="I806" s="9" t="str">
        <f t="shared" si="79"/>
        <v>All dates received</v>
      </c>
      <c r="J806" s="9" t="s">
        <v>1737</v>
      </c>
      <c r="K806" s="9" t="s">
        <v>1756</v>
      </c>
      <c r="L806" s="11">
        <v>15</v>
      </c>
      <c r="M806" s="9" t="s">
        <v>1757</v>
      </c>
      <c r="N806" s="9"/>
      <c r="O806" s="9"/>
      <c r="P806" s="9"/>
      <c r="Q806" s="11"/>
      <c r="R806" s="9" t="s">
        <v>195</v>
      </c>
      <c r="S806" s="9" t="s">
        <v>578</v>
      </c>
      <c r="T806" s="12">
        <f>IF($H806="Cancelled","",IFERROR(((Q806+INDEX(Variables!$B$6:$D$6,IFERROR(MATCH(IF($B806="Robusta","Robusta",(IF($B806="","Arabica",$B806))&amp;" - "&amp;(IF($C806="","Commercial",$C806))),Variables!$B$1:$D$1,0),1)))*22.0462)*(L806/16.67),""))</f>
        <v>5768.7777084583076</v>
      </c>
      <c r="U806" s="10"/>
      <c r="V806" s="9" t="str">
        <f t="shared" si="81"/>
        <v/>
      </c>
      <c r="W806" s="10">
        <v>45397</v>
      </c>
      <c r="X806" s="9" t="str">
        <f t="shared" si="77"/>
        <v>Approved</v>
      </c>
      <c r="Y806" s="10">
        <v>45397</v>
      </c>
      <c r="Z806" s="10">
        <f>IF($H806="Cancelled","",IFERROR(IF(F806="","",F806-Variables!$B$13),""))</f>
        <v>45458</v>
      </c>
      <c r="AA806" s="11">
        <f>IF($H806="Cancelled","",IFERROR(IF(W806="","",(AVERAGE(E806:F806)-W806)-Variables!$B$14),""))</f>
        <v>16</v>
      </c>
      <c r="AB806" s="10">
        <v>45436</v>
      </c>
      <c r="AC806" s="11">
        <f>IF($H806="Cancelled","",IFERROR(IF(AB806="","",IF(AND(W806="",Y806=""),"",IF(Y806&gt;W806,Y806+Variables!$B$15+Variables!$B$16+Variables!$B$17-AB806,W806+Variables!$B$16+Variables!$B$17-AB806))),""))</f>
        <v>-31</v>
      </c>
      <c r="AD806" s="9" t="s">
        <v>163</v>
      </c>
      <c r="AE806" s="9" t="s">
        <v>362</v>
      </c>
      <c r="AF806" s="10"/>
      <c r="AG806" s="10"/>
      <c r="AH806" s="9"/>
      <c r="AI806" s="9">
        <v>239735471</v>
      </c>
      <c r="AJ806" s="9" t="s">
        <v>8</v>
      </c>
      <c r="AK806" s="10">
        <v>45446</v>
      </c>
      <c r="AL806" s="10">
        <v>45448</v>
      </c>
      <c r="AM806" s="10">
        <v>45450</v>
      </c>
      <c r="AN806" s="9" t="s">
        <v>1492</v>
      </c>
      <c r="AO806" s="9"/>
      <c r="AP806" s="11">
        <f>IF($H806="Cancelled","",IFERROR(IF(OR(AK806="",AB806=""),"",(AB806+Variables!$B$18-AK806)),""))</f>
        <v>-3</v>
      </c>
      <c r="AQ806" s="11">
        <f>IF($H806="Cancelled","",IFERROR(IF(OR(AM806="",AK806=""),"",(AK806+Variables!$B$19)-AM806),""))</f>
        <v>1</v>
      </c>
      <c r="AR806" s="12">
        <f>IF($H806="Cancelled","",IFERROR(T806*INDEX(Variables!$B$7:$D$7,IFERROR(MATCH(IF($B806="Robusta","Robusta",(IF($B806="","Arabica",$B806))&amp;" - "&amp;(IF($C806="","Commercial",$C806))),Variables!$B$1:$D$1,0),1))*(AQ806/365),""))</f>
        <v>1.0191328163078091</v>
      </c>
      <c r="AS806" s="12">
        <f>IF($H806="Cancelled","",IFERROR((T806*INDEX(Variables!$B$7:$D$7,IFERROR(MATCH(IF($B806="Robusta","Robusta",(IF($B806="","Arabica",$B806))&amp;" - "&amp;(IF($C806="","Commercial",$C806))),Variables!$B$1:$D$1,0),1))*IFERROR(IF(W806="","",(AVERAGE(E806:F806)-W806)-Variables!$B$14),"")/365)+(L806/16.67*INDEX(Variables!$B$8:$D$8,IFERROR(MATCH(IF($B806="Robusta","Robusta",(IF($B806="","Arabica",$B806))&amp;" - "&amp;(IF($C806="","Commercial",$C806))),Variables!$B$1:$D$1,0),1))*IFERROR(IF(W806="","",(AVERAGE(E806:F806)-W806)-Variables!$B$14),""))+(T806*INDEX(Variables!$B$9:$D$9,IFERROR(MATCH(IF($B806="Robusta","Robusta",(IF($B806="","Arabica",$B806))&amp;" - "&amp;(IF($C806="","Commercial",$C806))),Variables!$B$1:$D$1,0),1))*IFERROR(IF(W806="","",(AVERAGE(E806:F806)-W806)-Variables!$B$14),"")/365),""))</f>
        <v>28.516342481595252</v>
      </c>
      <c r="AT806" s="12">
        <f>IF($H806="Cancelled","",IFERROR((T806*INDEX(Variables!$B$7:$D$7,IFERROR(MATCH(IF($B806="Robusta","Robusta",(IF($B806="","Arabica",$B806))&amp;" - "&amp;(IF($C806="","Commercial",$C806))),Variables!$B$1:$D$1,0),1))*AC806/365)+(L806/16.67*INDEX(Variables!$B$8:$D$8,IFERROR(MATCH(IF($B806="Robusta","Robusta",(IF($B806="","Arabica",$B806))&amp;" - "&amp;(IF($C806="","Commercial",$C806))),Variables!$B$1:$D$1,0),1))*AC806)+(T806*INDEX(Variables!$B$9:$D$9,IFERROR(MATCH(IF($B806="Robusta","Robusta",(IF($B806="","Arabica",$B806))&amp;" - "&amp;(IF($C806="","Commercial",$C806))),Variables!$B$1:$D$1,0),1))*AC806/365),""))</f>
        <v>-55.250413558090798</v>
      </c>
      <c r="AU806" s="12">
        <f>IF($H806="Cancelled","",IFERROR((T806*INDEX(Variables!$B$7:$D$7,IFERROR(MATCH(IF($B806="Robusta","Robusta",(IF($B806="","Arabica",$B806))&amp;" - "&amp;(IF($C806="","Commercial",$C806))),Variables!$B$1:$D$1,0),1))*AP806/365)+(L806/16.67*INDEX(Variables!$B$8:$D$8,IFERROR(MATCH(IF($B806="Robusta","Robusta",(IF($B806="","Arabica",$B806))&amp;" - "&amp;(IF($C806="","Commercial",$C806))),Variables!$B$1:$D$1,0),1))*AP806)+(T806*INDEX(Variables!$B$9:$D$9,IFERROR(MATCH(IF($B806="Robusta","Robusta",(IF($B806="","Arabica",$B806))&amp;" - "&amp;(IF($C806="","Commercial",$C806))),Variables!$B$1:$D$1,0),1))*AP806/365),""))</f>
        <v>-5.3468142152991103</v>
      </c>
      <c r="AV806" s="11">
        <f t="shared" si="80"/>
        <v>27</v>
      </c>
      <c r="AW806" s="12">
        <f>IF($H806="Cancelled","",IFERROR(IF(AV806="","",(T806*INDEX(Variables!$B$7:$D$7,IFERROR(MATCH(IF($B806="Robusta","Robusta",(IF($B806="","Arabica",$B806))&amp;" - "&amp;(IF($C806="","Commercial",$C806))),Variables!$B$1:$D$1,0),1))*(AV806/365))+(T806*INDEX(Variables!$B$9:$D$9,IFERROR(MATCH(IF($B806="Robusta","Robusta",(IF($B806="","Arabica",$B806))&amp;" - "&amp;(IF($C806="","Commercial",$C806))),Variables!$B$1:$D$1,0),1))*(AV806/365))+(INDEX(Variables!$B$8:$D$8,IFERROR(MATCH(IF($B806="Robusta","Robusta",(IF($B806="","Arabica",$B806))&amp;" - "&amp;(IF($C806="","Commercial",$C806))),Variables!$B$1:$D$1,0),1))*L806/16.67)),""))</f>
        <v>28.621327937691987</v>
      </c>
      <c r="AX806" s="9"/>
      <c r="AY806" s="12"/>
      <c r="AZ806" s="10"/>
      <c r="BA806" s="9"/>
      <c r="BB806" s="10"/>
      <c r="BC806" s="9"/>
      <c r="BD806" s="9"/>
      <c r="BE806" s="9"/>
      <c r="BF806" s="9"/>
    </row>
    <row r="807" spans="1:58" x14ac:dyDescent="0.25">
      <c r="A807" s="9" t="s">
        <v>84</v>
      </c>
      <c r="B807" s="9" t="s">
        <v>85</v>
      </c>
      <c r="C807" s="9" t="s">
        <v>1486</v>
      </c>
      <c r="D807" s="10">
        <v>45421</v>
      </c>
      <c r="E807" s="10">
        <v>45444</v>
      </c>
      <c r="F807" s="10">
        <v>45473</v>
      </c>
      <c r="G807" s="9">
        <v>3786369</v>
      </c>
      <c r="H807" s="9" t="str">
        <f t="shared" si="78"/>
        <v>Closed</v>
      </c>
      <c r="I807" s="9" t="str">
        <f t="shared" si="79"/>
        <v>All dates received</v>
      </c>
      <c r="J807" s="9" t="s">
        <v>547</v>
      </c>
      <c r="K807" s="9">
        <v>4948</v>
      </c>
      <c r="L807" s="11">
        <v>238</v>
      </c>
      <c r="M807" s="9" t="s">
        <v>1758</v>
      </c>
      <c r="N807" s="9"/>
      <c r="O807" s="9"/>
      <c r="P807" s="9"/>
      <c r="Q807" s="11"/>
      <c r="R807" s="9" t="s">
        <v>195</v>
      </c>
      <c r="S807" s="9" t="s">
        <v>207</v>
      </c>
      <c r="T807" s="12">
        <f>IF($H807="Cancelled","",IFERROR(((Q807+INDEX(Variables!$B$6:$D$6,IFERROR(MATCH(IF($B807="Robusta","Robusta",(IF($B807="","Arabica",$B807))&amp;" - "&amp;(IF($C807="","Commercial",$C807))),Variables!$B$1:$D$1,0),1)))*22.0462)*(L807/16.67),""))</f>
        <v>91531.272974205145</v>
      </c>
      <c r="U807" s="10"/>
      <c r="V807" s="9" t="str">
        <f t="shared" si="81"/>
        <v/>
      </c>
      <c r="W807" s="10">
        <v>45397</v>
      </c>
      <c r="X807" s="9" t="str">
        <f t="shared" si="77"/>
        <v>Approved</v>
      </c>
      <c r="Y807" s="10">
        <v>45397</v>
      </c>
      <c r="Z807" s="10">
        <f>IF($H807="Cancelled","",IFERROR(IF(F807="","",F807-Variables!$B$13),""))</f>
        <v>45458</v>
      </c>
      <c r="AA807" s="11">
        <f>IF($H807="Cancelled","",IFERROR(IF(W807="","",(AVERAGE(E807:F807)-W807)-Variables!$B$14),""))</f>
        <v>31.5</v>
      </c>
      <c r="AB807" s="10">
        <v>45440</v>
      </c>
      <c r="AC807" s="11">
        <f>IF($H807="Cancelled","",IFERROR(IF(AB807="","",IF(AND(W807="",Y807=""),"",IF(Y807&gt;W807,Y807+Variables!$B$15+Variables!$B$16+Variables!$B$17-AB807,W807+Variables!$B$16+Variables!$B$17-AB807))),""))</f>
        <v>-35</v>
      </c>
      <c r="AD807" s="9" t="s">
        <v>151</v>
      </c>
      <c r="AE807" s="9" t="s">
        <v>358</v>
      </c>
      <c r="AF807" s="10"/>
      <c r="AG807" s="10"/>
      <c r="AH807" s="9"/>
      <c r="AI807" s="9" t="s">
        <v>1759</v>
      </c>
      <c r="AJ807" s="9" t="s">
        <v>8</v>
      </c>
      <c r="AK807" s="10">
        <v>45480</v>
      </c>
      <c r="AL807" s="10">
        <v>45482</v>
      </c>
      <c r="AM807" s="10">
        <v>45490</v>
      </c>
      <c r="AN807" s="9" t="s">
        <v>1492</v>
      </c>
      <c r="AO807" s="9"/>
      <c r="AP807" s="11">
        <f>IF($H807="Cancelled","",IFERROR(IF(OR(AK807="",AB807=""),"",(AB807+Variables!$B$18-AK807)),""))</f>
        <v>-33</v>
      </c>
      <c r="AQ807" s="11">
        <f>IF($H807="Cancelled","",IFERROR(IF(OR(AM807="",AK807=""),"",(AK807+Variables!$B$19)-AM807),""))</f>
        <v>-5</v>
      </c>
      <c r="AR807" s="12">
        <f>IF($H807="Cancelled","",IFERROR(T807*INDEX(Variables!$B$7:$D$7,IFERROR(MATCH(IF($B807="Robusta","Robusta",(IF($B807="","Arabica",$B807))&amp;" - "&amp;(IF($C807="","Commercial",$C807))),Variables!$B$1:$D$1,0),1))*(AQ807/365),""))</f>
        <v>-80.851203427086176</v>
      </c>
      <c r="AS807" s="12">
        <f>IF($H807="Cancelled","",IFERROR((T807*INDEX(Variables!$B$7:$D$7,IFERROR(MATCH(IF($B807="Robusta","Robusta",(IF($B807="","Arabica",$B807))&amp;" - "&amp;(IF($C807="","Commercial",$C807))),Variables!$B$1:$D$1,0),1))*IFERROR(IF(W807="","",(AVERAGE(E807:F807)-W807)-Variables!$B$14),"")/365)+(L807/16.67*INDEX(Variables!$B$8:$D$8,IFERROR(MATCH(IF($B807="Robusta","Robusta",(IF($B807="","Arabica",$B807))&amp;" - "&amp;(IF($C807="","Commercial",$C807))),Variables!$B$1:$D$1,0),1))*IFERROR(IF(W807="","",(AVERAGE(E807:F807)-W807)-Variables!$B$14),""))+(T807*INDEX(Variables!$B$9:$D$9,IFERROR(MATCH(IF($B807="Robusta","Robusta",(IF($B807="","Arabica",$B807))&amp;" - "&amp;(IF($C807="","Commercial",$C807))),Variables!$B$1:$D$1,0),1))*IFERROR(IF(W807="","",(AVERAGE(E807:F807)-W807)-Variables!$B$14),"")/365),""))</f>
        <v>890.77924826883168</v>
      </c>
      <c r="AT807" s="12">
        <f>IF($H807="Cancelled","",IFERROR((T807*INDEX(Variables!$B$7:$D$7,IFERROR(MATCH(IF($B807="Robusta","Robusta",(IF($B807="","Arabica",$B807))&amp;" - "&amp;(IF($C807="","Commercial",$C807))),Variables!$B$1:$D$1,0),1))*AC807/365)+(L807/16.67*INDEX(Variables!$B$8:$D$8,IFERROR(MATCH(IF($B807="Robusta","Robusta",(IF($B807="","Arabica",$B807))&amp;" - "&amp;(IF($C807="","Commercial",$C807))),Variables!$B$1:$D$1,0),1))*AC807)+(T807*INDEX(Variables!$B$9:$D$9,IFERROR(MATCH(IF($B807="Robusta","Robusta",(IF($B807="","Arabica",$B807))&amp;" - "&amp;(IF($C807="","Commercial",$C807))),Variables!$B$1:$D$1,0),1))*AC807/365),""))</f>
        <v>-989.75472029870184</v>
      </c>
      <c r="AU807" s="12">
        <f>IF($H807="Cancelled","",IFERROR((T807*INDEX(Variables!$B$7:$D$7,IFERROR(MATCH(IF($B807="Robusta","Robusta",(IF($B807="","Arabica",$B807))&amp;" - "&amp;(IF($C807="","Commercial",$C807))),Variables!$B$1:$D$1,0),1))*AP807/365)+(L807/16.67*INDEX(Variables!$B$8:$D$8,IFERROR(MATCH(IF($B807="Robusta","Robusta",(IF($B807="","Arabica",$B807))&amp;" - "&amp;(IF($C807="","Commercial",$C807))),Variables!$B$1:$D$1,0),1))*AP807)+(T807*INDEX(Variables!$B$9:$D$9,IFERROR(MATCH(IF($B807="Robusta","Robusta",(IF($B807="","Arabica",$B807))&amp;" - "&amp;(IF($C807="","Commercial",$C807))),Variables!$B$1:$D$1,0),1))*AP807/365),""))</f>
        <v>-933.19730771020477</v>
      </c>
      <c r="AV807" s="11">
        <f t="shared" si="80"/>
        <v>-7</v>
      </c>
      <c r="AW807" s="12">
        <f>IF($H807="Cancelled","",IFERROR(IF(AV807="","",(T807*INDEX(Variables!$B$7:$D$7,IFERROR(MATCH(IF($B807="Robusta","Robusta",(IF($B807="","Arabica",$B807))&amp;" - "&amp;(IF($C807="","Commercial",$C807))),Variables!$B$1:$D$1,0),1))*(AV807/365))+(T807*INDEX(Variables!$B$9:$D$9,IFERROR(MATCH(IF($B807="Robusta","Robusta",(IF($B807="","Arabica",$B807))&amp;" - "&amp;(IF($C807="","Commercial",$C807))),Variables!$B$1:$D$1,0),1))*(AV807/365))+(INDEX(Variables!$B$8:$D$8,IFERROR(MATCH(IF($B807="Robusta","Robusta",(IF($B807="","Arabica",$B807))&amp;" - "&amp;(IF($C807="","Commercial",$C807))),Variables!$B$1:$D$1,0),1))*L807/16.67)),""))</f>
        <v>-102.75094405974039</v>
      </c>
      <c r="AX807" s="9"/>
      <c r="AY807" s="12"/>
      <c r="AZ807" s="10"/>
      <c r="BA807" s="9"/>
      <c r="BB807" s="10"/>
      <c r="BC807" s="9"/>
      <c r="BD807" s="9"/>
      <c r="BE807" s="9"/>
      <c r="BF807" s="9"/>
    </row>
    <row r="808" spans="1:58" x14ac:dyDescent="0.25">
      <c r="A808" s="9" t="s">
        <v>84</v>
      </c>
      <c r="B808" s="9" t="s">
        <v>85</v>
      </c>
      <c r="C808" s="9" t="s">
        <v>1486</v>
      </c>
      <c r="D808" s="10">
        <v>45421</v>
      </c>
      <c r="E808" s="10">
        <v>45444</v>
      </c>
      <c r="F808" s="10">
        <v>45473</v>
      </c>
      <c r="G808" s="9">
        <v>3786370</v>
      </c>
      <c r="H808" s="9" t="str">
        <f t="shared" si="78"/>
        <v>Closed</v>
      </c>
      <c r="I808" s="9" t="str">
        <f t="shared" si="79"/>
        <v>All dates received</v>
      </c>
      <c r="J808" s="9" t="s">
        <v>547</v>
      </c>
      <c r="K808" s="9">
        <v>4949</v>
      </c>
      <c r="L808" s="11">
        <v>20</v>
      </c>
      <c r="M808" s="9" t="s">
        <v>1760</v>
      </c>
      <c r="N808" s="9"/>
      <c r="O808" s="9"/>
      <c r="P808" s="9"/>
      <c r="Q808" s="11"/>
      <c r="R808" s="9" t="s">
        <v>195</v>
      </c>
      <c r="S808" s="9" t="s">
        <v>207</v>
      </c>
      <c r="T808" s="12">
        <f>IF($H808="Cancelled","",IFERROR(((Q808+INDEX(Variables!$B$6:$D$6,IFERROR(MATCH(IF($B808="Robusta","Robusta",(IF($B808="","Arabica",$B808))&amp;" - "&amp;(IF($C808="","Commercial",$C808))),Variables!$B$1:$D$1,0),1)))*22.0462)*(L808/16.67),""))</f>
        <v>7691.7036112777441</v>
      </c>
      <c r="U808" s="10"/>
      <c r="V808" s="9" t="str">
        <f t="shared" si="81"/>
        <v/>
      </c>
      <c r="W808" s="10">
        <v>45397</v>
      </c>
      <c r="X808" s="9" t="str">
        <f t="shared" si="77"/>
        <v>Approved</v>
      </c>
      <c r="Y808" s="10">
        <v>45397</v>
      </c>
      <c r="Z808" s="10">
        <f>IF($H808="Cancelled","",IFERROR(IF(F808="","",F808-Variables!$B$13),""))</f>
        <v>45458</v>
      </c>
      <c r="AA808" s="11">
        <f>IF($H808="Cancelled","",IFERROR(IF(W808="","",(AVERAGE(E808:F808)-W808)-Variables!$B$14),""))</f>
        <v>31.5</v>
      </c>
      <c r="AB808" s="10">
        <v>45440</v>
      </c>
      <c r="AC808" s="11">
        <f>IF($H808="Cancelled","",IFERROR(IF(AB808="","",IF(AND(W808="",Y808=""),"",IF(Y808&gt;W808,Y808+Variables!$B$15+Variables!$B$16+Variables!$B$17-AB808,W808+Variables!$B$16+Variables!$B$17-AB808))),""))</f>
        <v>-35</v>
      </c>
      <c r="AD808" s="9" t="s">
        <v>151</v>
      </c>
      <c r="AE808" s="9" t="s">
        <v>358</v>
      </c>
      <c r="AF808" s="10"/>
      <c r="AG808" s="10"/>
      <c r="AH808" s="9"/>
      <c r="AI808" s="9" t="s">
        <v>1759</v>
      </c>
      <c r="AJ808" s="9" t="s">
        <v>8</v>
      </c>
      <c r="AK808" s="10">
        <v>45480</v>
      </c>
      <c r="AL808" s="10">
        <v>45482</v>
      </c>
      <c r="AM808" s="10">
        <v>45490</v>
      </c>
      <c r="AN808" s="9" t="s">
        <v>1492</v>
      </c>
      <c r="AO808" s="9"/>
      <c r="AP808" s="11">
        <f>IF($H808="Cancelled","",IFERROR(IF(OR(AK808="",AB808=""),"",(AB808+Variables!$B$18-AK808)),""))</f>
        <v>-33</v>
      </c>
      <c r="AQ808" s="11">
        <f>IF($H808="Cancelled","",IFERROR(IF(OR(AM808="",AK808=""),"",(AK808+Variables!$B$19)-AM808),""))</f>
        <v>-5</v>
      </c>
      <c r="AR808" s="12">
        <f>IF($H808="Cancelled","",IFERROR(T808*INDEX(Variables!$B$7:$D$7,IFERROR(MATCH(IF($B808="Robusta","Robusta",(IF($B808="","Arabica",$B808))&amp;" - "&amp;(IF($C808="","Commercial",$C808))),Variables!$B$1:$D$1,0),1))*(AQ808/365),""))</f>
        <v>-6.794218775385394</v>
      </c>
      <c r="AS808" s="12">
        <f>IF($H808="Cancelled","",IFERROR((T808*INDEX(Variables!$B$7:$D$7,IFERROR(MATCH(IF($B808="Robusta","Robusta",(IF($B808="","Arabica",$B808))&amp;" - "&amp;(IF($C808="","Commercial",$C808))),Variables!$B$1:$D$1,0),1))*IFERROR(IF(W808="","",(AVERAGE(E808:F808)-W808)-Variables!$B$14),"")/365)+(L808/16.67*INDEX(Variables!$B$8:$D$8,IFERROR(MATCH(IF($B808="Robusta","Robusta",(IF($B808="","Arabica",$B808))&amp;" - "&amp;(IF($C808="","Commercial",$C808))),Variables!$B$1:$D$1,0),1))*IFERROR(IF(W808="","",(AVERAGE(E808:F808)-W808)-Variables!$B$14),""))+(T808*INDEX(Variables!$B$9:$D$9,IFERROR(MATCH(IF($B808="Robusta","Robusta",(IF($B808="","Arabica",$B808))&amp;" - "&amp;(IF($C808="","Commercial",$C808))),Variables!$B$1:$D$1,0),1))*IFERROR(IF(W808="","",(AVERAGE(E808:F808)-W808)-Variables!$B$14),"")/365),""))</f>
        <v>74.855399014187554</v>
      </c>
      <c r="AT808" s="12">
        <f>IF($H808="Cancelled","",IFERROR((T808*INDEX(Variables!$B$7:$D$7,IFERROR(MATCH(IF($B808="Robusta","Robusta",(IF($B808="","Arabica",$B808))&amp;" - "&amp;(IF($C808="","Commercial",$C808))),Variables!$B$1:$D$1,0),1))*AC808/365)+(L808/16.67*INDEX(Variables!$B$8:$D$8,IFERROR(MATCH(IF($B808="Robusta","Robusta",(IF($B808="","Arabica",$B808))&amp;" - "&amp;(IF($C808="","Commercial",$C808))),Variables!$B$1:$D$1,0),1))*AC808)+(T808*INDEX(Variables!$B$9:$D$9,IFERROR(MATCH(IF($B808="Robusta","Robusta",(IF($B808="","Arabica",$B808))&amp;" - "&amp;(IF($C808="","Commercial",$C808))),Variables!$B$1:$D$1,0),1))*AC808/365),""))</f>
        <v>-83.172665571319484</v>
      </c>
      <c r="AU808" s="12">
        <f>IF($H808="Cancelled","",IFERROR((T808*INDEX(Variables!$B$7:$D$7,IFERROR(MATCH(IF($B808="Robusta","Robusta",(IF($B808="","Arabica",$B808))&amp;" - "&amp;(IF($C808="","Commercial",$C808))),Variables!$B$1:$D$1,0),1))*AP808/365)+(L808/16.67*INDEX(Variables!$B$8:$D$8,IFERROR(MATCH(IF($B808="Robusta","Robusta",(IF($B808="","Arabica",$B808))&amp;" - "&amp;(IF($C808="","Commercial",$C808))),Variables!$B$1:$D$1,0),1))*AP808)+(T808*INDEX(Variables!$B$9:$D$9,IFERROR(MATCH(IF($B808="Robusta","Robusta",(IF($B808="","Arabica",$B808))&amp;" - "&amp;(IF($C808="","Commercial",$C808))),Variables!$B$1:$D$1,0),1))*AP808/365),""))</f>
        <v>-78.419941824386939</v>
      </c>
      <c r="AV808" s="11">
        <f t="shared" si="80"/>
        <v>-7</v>
      </c>
      <c r="AW808" s="12">
        <f>IF($H808="Cancelled","",IFERROR(IF(AV808="","",(T808*INDEX(Variables!$B$7:$D$7,IFERROR(MATCH(IF($B808="Robusta","Robusta",(IF($B808="","Arabica",$B808))&amp;" - "&amp;(IF($C808="","Commercial",$C808))),Variables!$B$1:$D$1,0),1))*(AV808/365))+(T808*INDEX(Variables!$B$9:$D$9,IFERROR(MATCH(IF($B808="Robusta","Robusta",(IF($B808="","Arabica",$B808))&amp;" - "&amp;(IF($C808="","Commercial",$C808))),Variables!$B$1:$D$1,0),1))*(AV808/365))+(INDEX(Variables!$B$8:$D$8,IFERROR(MATCH(IF($B808="Robusta","Robusta",(IF($B808="","Arabica",$B808))&amp;" - "&amp;(IF($C808="","Commercial",$C808))),Variables!$B$1:$D$1,0),1))*L808/16.67)),""))</f>
        <v>-8.634533114263899</v>
      </c>
      <c r="AX808" s="9"/>
      <c r="AY808" s="12"/>
      <c r="AZ808" s="10"/>
      <c r="BA808" s="9"/>
      <c r="BB808" s="10"/>
      <c r="BC808" s="9"/>
      <c r="BD808" s="9"/>
      <c r="BE808" s="9"/>
      <c r="BF808" s="9"/>
    </row>
    <row r="809" spans="1:58" x14ac:dyDescent="0.25">
      <c r="A809" s="9" t="s">
        <v>84</v>
      </c>
      <c r="B809" s="9" t="s">
        <v>85</v>
      </c>
      <c r="C809" s="9" t="s">
        <v>1486</v>
      </c>
      <c r="D809" s="10">
        <v>45421</v>
      </c>
      <c r="E809" s="10">
        <v>45421</v>
      </c>
      <c r="F809" s="10">
        <v>45473</v>
      </c>
      <c r="G809" s="9">
        <v>3786365</v>
      </c>
      <c r="H809" s="9" t="str">
        <f t="shared" si="78"/>
        <v>Closed</v>
      </c>
      <c r="I809" s="9" t="str">
        <f t="shared" si="79"/>
        <v>All dates received</v>
      </c>
      <c r="J809" s="9" t="s">
        <v>1653</v>
      </c>
      <c r="K809" s="9">
        <v>4995</v>
      </c>
      <c r="L809" s="11">
        <v>20</v>
      </c>
      <c r="M809" s="9" t="s">
        <v>1761</v>
      </c>
      <c r="N809" s="9"/>
      <c r="O809" s="9"/>
      <c r="P809" s="9"/>
      <c r="Q809" s="11"/>
      <c r="R809" s="9" t="s">
        <v>195</v>
      </c>
      <c r="S809" s="9" t="s">
        <v>312</v>
      </c>
      <c r="T809" s="12">
        <f>IF($H809="Cancelled","",IFERROR(((Q809+INDEX(Variables!$B$6:$D$6,IFERROR(MATCH(IF($B809="Robusta","Robusta",(IF($B809="","Arabica",$B809))&amp;" - "&amp;(IF($C809="","Commercial",$C809))),Variables!$B$1:$D$1,0),1)))*22.0462)*(L809/16.67),""))</f>
        <v>7691.7036112777441</v>
      </c>
      <c r="U809" s="10"/>
      <c r="V809" s="9" t="str">
        <f t="shared" si="81"/>
        <v/>
      </c>
      <c r="W809" s="10">
        <v>45397</v>
      </c>
      <c r="X809" s="9" t="str">
        <f t="shared" si="77"/>
        <v>Approved</v>
      </c>
      <c r="Y809" s="10">
        <v>45397</v>
      </c>
      <c r="Z809" s="10">
        <f>IF($H809="Cancelled","",IFERROR(IF(F809="","",F809-Variables!$B$13),""))</f>
        <v>45458</v>
      </c>
      <c r="AA809" s="11">
        <f>IF($H809="Cancelled","",IFERROR(IF(W809="","",(AVERAGE(E809:F809)-W809)-Variables!$B$14),""))</f>
        <v>20</v>
      </c>
      <c r="AB809" s="10">
        <v>45471</v>
      </c>
      <c r="AC809" s="11">
        <f>IF($H809="Cancelled","",IFERROR(IF(AB809="","",IF(AND(W809="",Y809=""),"",IF(Y809&gt;W809,Y809+Variables!$B$15+Variables!$B$16+Variables!$B$17-AB809,W809+Variables!$B$16+Variables!$B$17-AB809))),""))</f>
        <v>-66</v>
      </c>
      <c r="AD809" s="9" t="s">
        <v>163</v>
      </c>
      <c r="AE809" s="9" t="s">
        <v>254</v>
      </c>
      <c r="AF809" s="10"/>
      <c r="AG809" s="10"/>
      <c r="AH809" s="9"/>
      <c r="AI809" s="9" t="s">
        <v>1655</v>
      </c>
      <c r="AJ809" s="9" t="s">
        <v>1656</v>
      </c>
      <c r="AK809" s="10">
        <v>45481</v>
      </c>
      <c r="AL809" s="10">
        <v>45483</v>
      </c>
      <c r="AM809" s="10">
        <v>45499</v>
      </c>
      <c r="AN809" s="9" t="s">
        <v>1492</v>
      </c>
      <c r="AO809" s="9"/>
      <c r="AP809" s="11">
        <f>IF($H809="Cancelled","",IFERROR(IF(OR(AK809="",AB809=""),"",(AB809+Variables!$B$18-AK809)),""))</f>
        <v>-3</v>
      </c>
      <c r="AQ809" s="11">
        <f>IF($H809="Cancelled","",IFERROR(IF(OR(AM809="",AK809=""),"",(AK809+Variables!$B$19)-AM809),""))</f>
        <v>-13</v>
      </c>
      <c r="AR809" s="12">
        <f>IF($H809="Cancelled","",IFERROR(T809*INDEX(Variables!$B$7:$D$7,IFERROR(MATCH(IF($B809="Robusta","Robusta",(IF($B809="","Arabica",$B809))&amp;" - "&amp;(IF($C809="","Commercial",$C809))),Variables!$B$1:$D$1,0),1))*(AQ809/365),""))</f>
        <v>-17.664968816002023</v>
      </c>
      <c r="AS809" s="12">
        <f>IF($H809="Cancelled","",IFERROR((T809*INDEX(Variables!$B$7:$D$7,IFERROR(MATCH(IF($B809="Robusta","Robusta",(IF($B809="","Arabica",$B809))&amp;" - "&amp;(IF($C809="","Commercial",$C809))),Variables!$B$1:$D$1,0),1))*IFERROR(IF(W809="","",(AVERAGE(E809:F809)-W809)-Variables!$B$14),"")/365)+(L809/16.67*INDEX(Variables!$B$8:$D$8,IFERROR(MATCH(IF($B809="Robusta","Robusta",(IF($B809="","Arabica",$B809))&amp;" - "&amp;(IF($C809="","Commercial",$C809))),Variables!$B$1:$D$1,0),1))*IFERROR(IF(W809="","",(AVERAGE(E809:F809)-W809)-Variables!$B$14),""))+(T809*INDEX(Variables!$B$9:$D$9,IFERROR(MATCH(IF($B809="Robusta","Robusta",(IF($B809="","Arabica",$B809))&amp;" - "&amp;(IF($C809="","Commercial",$C809))),Variables!$B$1:$D$1,0),1))*IFERROR(IF(W809="","",(AVERAGE(E809:F809)-W809)-Variables!$B$14),"")/365),""))</f>
        <v>47.527237469325421</v>
      </c>
      <c r="AT809" s="12">
        <f>IF($H809="Cancelled","",IFERROR((T809*INDEX(Variables!$B$7:$D$7,IFERROR(MATCH(IF($B809="Robusta","Robusta",(IF($B809="","Arabica",$B809))&amp;" - "&amp;(IF($C809="","Commercial",$C809))),Variables!$B$1:$D$1,0),1))*AC809/365)+(L809/16.67*INDEX(Variables!$B$8:$D$8,IFERROR(MATCH(IF($B809="Robusta","Robusta",(IF($B809="","Arabica",$B809))&amp;" - "&amp;(IF($C809="","Commercial",$C809))),Variables!$B$1:$D$1,0),1))*AC809)+(T809*INDEX(Variables!$B$9:$D$9,IFERROR(MATCH(IF($B809="Robusta","Robusta",(IF($B809="","Arabica",$B809))&amp;" - "&amp;(IF($C809="","Commercial",$C809))),Variables!$B$1:$D$1,0),1))*AC809/365),""))</f>
        <v>-156.83988364877388</v>
      </c>
      <c r="AU809" s="12">
        <f>IF($H809="Cancelled","",IFERROR((T809*INDEX(Variables!$B$7:$D$7,IFERROR(MATCH(IF($B809="Robusta","Robusta",(IF($B809="","Arabica",$B809))&amp;" - "&amp;(IF($C809="","Commercial",$C809))),Variables!$B$1:$D$1,0),1))*AP809/365)+(L809/16.67*INDEX(Variables!$B$8:$D$8,IFERROR(MATCH(IF($B809="Robusta","Robusta",(IF($B809="","Arabica",$B809))&amp;" - "&amp;(IF($C809="","Commercial",$C809))),Variables!$B$1:$D$1,0),1))*AP809)+(T809*INDEX(Variables!$B$9:$D$9,IFERROR(MATCH(IF($B809="Robusta","Robusta",(IF($B809="","Arabica",$B809))&amp;" - "&amp;(IF($C809="","Commercial",$C809))),Variables!$B$1:$D$1,0),1))*AP809/365),""))</f>
        <v>-7.1290856203988131</v>
      </c>
      <c r="AV809" s="11">
        <f t="shared" si="80"/>
        <v>-8</v>
      </c>
      <c r="AW809" s="12">
        <f>IF($H809="Cancelled","",IFERROR(IF(AV809="","",(T809*INDEX(Variables!$B$7:$D$7,IFERROR(MATCH(IF($B809="Robusta","Robusta",(IF($B809="","Arabica",$B809))&amp;" - "&amp;(IF($C809="","Commercial",$C809))),Variables!$B$1:$D$1,0),1))*(AV809/365))+(T809*INDEX(Variables!$B$9:$D$9,IFERROR(MATCH(IF($B809="Robusta","Robusta",(IF($B809="","Arabica",$B809))&amp;" - "&amp;(IF($C809="","Commercial",$C809))),Variables!$B$1:$D$1,0),1))*(AV809/365))+(INDEX(Variables!$B$8:$D$8,IFERROR(MATCH(IF($B809="Robusta","Robusta",(IF($B809="","Arabica",$B809))&amp;" - "&amp;(IF($C809="","Commercial",$C809))),Variables!$B$1:$D$1,0),1))*L809/16.67)),""))</f>
        <v>-10.01089498773017</v>
      </c>
      <c r="AX809" s="9"/>
      <c r="AY809" s="12"/>
      <c r="AZ809" s="10"/>
      <c r="BA809" s="9"/>
      <c r="BB809" s="10"/>
      <c r="BC809" s="9"/>
      <c r="BD809" s="9"/>
      <c r="BE809" s="9"/>
      <c r="BF809" s="9"/>
    </row>
    <row r="810" spans="1:58" x14ac:dyDescent="0.25">
      <c r="A810" s="9" t="s">
        <v>84</v>
      </c>
      <c r="B810" s="9" t="s">
        <v>85</v>
      </c>
      <c r="C810" s="9" t="s">
        <v>1486</v>
      </c>
      <c r="D810" s="10">
        <v>45421</v>
      </c>
      <c r="E810" s="10">
        <v>45421</v>
      </c>
      <c r="F810" s="10">
        <v>45473</v>
      </c>
      <c r="G810" s="9">
        <v>3786366</v>
      </c>
      <c r="H810" s="9" t="str">
        <f t="shared" si="78"/>
        <v>Closed</v>
      </c>
      <c r="I810" s="9" t="str">
        <f t="shared" si="79"/>
        <v>All dates received</v>
      </c>
      <c r="J810" s="9" t="s">
        <v>1653</v>
      </c>
      <c r="K810" s="9">
        <v>4996</v>
      </c>
      <c r="L810" s="11">
        <v>16</v>
      </c>
      <c r="M810" s="9" t="s">
        <v>1762</v>
      </c>
      <c r="N810" s="9"/>
      <c r="O810" s="9"/>
      <c r="P810" s="9"/>
      <c r="Q810" s="11"/>
      <c r="R810" s="9" t="s">
        <v>195</v>
      </c>
      <c r="S810" s="9" t="s">
        <v>312</v>
      </c>
      <c r="T810" s="12">
        <f>IF($H810="Cancelled","",IFERROR(((Q810+INDEX(Variables!$B$6:$D$6,IFERROR(MATCH(IF($B810="Robusta","Robusta",(IF($B810="","Arabica",$B810))&amp;" - "&amp;(IF($C810="","Commercial",$C810))),Variables!$B$1:$D$1,0),1)))*22.0462)*(L810/16.67),""))</f>
        <v>6153.3628890221944</v>
      </c>
      <c r="U810" s="10"/>
      <c r="V810" s="9" t="str">
        <f t="shared" si="81"/>
        <v/>
      </c>
      <c r="W810" s="10">
        <v>45397</v>
      </c>
      <c r="X810" s="9" t="str">
        <f t="shared" ref="X810:X873" si="82">IF(ISNUMBER(W810),"Approved","")</f>
        <v>Approved</v>
      </c>
      <c r="Y810" s="10">
        <v>45397</v>
      </c>
      <c r="Z810" s="10">
        <f>IF($H810="Cancelled","",IFERROR(IF(F810="","",F810-Variables!$B$13),""))</f>
        <v>45458</v>
      </c>
      <c r="AA810" s="11">
        <f>IF($H810="Cancelled","",IFERROR(IF(W810="","",(AVERAGE(E810:F810)-W810)-Variables!$B$14),""))</f>
        <v>20</v>
      </c>
      <c r="AB810" s="10">
        <v>45471</v>
      </c>
      <c r="AC810" s="11">
        <f>IF($H810="Cancelled","",IFERROR(IF(AB810="","",IF(AND(W810="",Y810=""),"",IF(Y810&gt;W810,Y810+Variables!$B$15+Variables!$B$16+Variables!$B$17-AB810,W810+Variables!$B$16+Variables!$B$17-AB810))),""))</f>
        <v>-66</v>
      </c>
      <c r="AD810" s="9" t="s">
        <v>163</v>
      </c>
      <c r="AE810" s="9" t="s">
        <v>254</v>
      </c>
      <c r="AF810" s="10"/>
      <c r="AG810" s="10"/>
      <c r="AH810" s="9"/>
      <c r="AI810" s="9" t="s">
        <v>1655</v>
      </c>
      <c r="AJ810" s="9" t="s">
        <v>1656</v>
      </c>
      <c r="AK810" s="10">
        <v>45481</v>
      </c>
      <c r="AL810" s="10">
        <v>45483</v>
      </c>
      <c r="AM810" s="10">
        <v>45499</v>
      </c>
      <c r="AN810" s="9" t="s">
        <v>1492</v>
      </c>
      <c r="AO810" s="9"/>
      <c r="AP810" s="11">
        <f>IF($H810="Cancelled","",IFERROR(IF(OR(AK810="",AB810=""),"",(AB810+Variables!$B$18-AK810)),""))</f>
        <v>-3</v>
      </c>
      <c r="AQ810" s="11">
        <f>IF($H810="Cancelled","",IFERROR(IF(OR(AM810="",AK810=""),"",(AK810+Variables!$B$19)-AM810),""))</f>
        <v>-13</v>
      </c>
      <c r="AR810" s="12">
        <f>IF($H810="Cancelled","",IFERROR(T810*INDEX(Variables!$B$7:$D$7,IFERROR(MATCH(IF($B810="Robusta","Robusta",(IF($B810="","Arabica",$B810))&amp;" - "&amp;(IF($C810="","Commercial",$C810))),Variables!$B$1:$D$1,0),1))*(AQ810/365),""))</f>
        <v>-14.131975052801618</v>
      </c>
      <c r="AS810" s="12">
        <f>IF($H810="Cancelled","",IFERROR((T810*INDEX(Variables!$B$7:$D$7,IFERROR(MATCH(IF($B810="Robusta","Robusta",(IF($B810="","Arabica",$B810))&amp;" - "&amp;(IF($C810="","Commercial",$C810))),Variables!$B$1:$D$1,0),1))*IFERROR(IF(W810="","",(AVERAGE(E810:F810)-W810)-Variables!$B$14),"")/365)+(L810/16.67*INDEX(Variables!$B$8:$D$8,IFERROR(MATCH(IF($B810="Robusta","Robusta",(IF($B810="","Arabica",$B810))&amp;" - "&amp;(IF($C810="","Commercial",$C810))),Variables!$B$1:$D$1,0),1))*IFERROR(IF(W810="","",(AVERAGE(E810:F810)-W810)-Variables!$B$14),""))+(T810*INDEX(Variables!$B$9:$D$9,IFERROR(MATCH(IF($B810="Robusta","Robusta",(IF($B810="","Arabica",$B810))&amp;" - "&amp;(IF($C810="","Commercial",$C810))),Variables!$B$1:$D$1,0),1))*IFERROR(IF(W810="","",(AVERAGE(E810:F810)-W810)-Variables!$B$14),"")/365),""))</f>
        <v>38.021789975460329</v>
      </c>
      <c r="AT810" s="12">
        <f>IF($H810="Cancelled","",IFERROR((T810*INDEX(Variables!$B$7:$D$7,IFERROR(MATCH(IF($B810="Robusta","Robusta",(IF($B810="","Arabica",$B810))&amp;" - "&amp;(IF($C810="","Commercial",$C810))),Variables!$B$1:$D$1,0),1))*AC810/365)+(L810/16.67*INDEX(Variables!$B$8:$D$8,IFERROR(MATCH(IF($B810="Robusta","Robusta",(IF($B810="","Arabica",$B810))&amp;" - "&amp;(IF($C810="","Commercial",$C810))),Variables!$B$1:$D$1,0),1))*AC810)+(T810*INDEX(Variables!$B$9:$D$9,IFERROR(MATCH(IF($B810="Robusta","Robusta",(IF($B810="","Arabica",$B810))&amp;" - "&amp;(IF($C810="","Commercial",$C810))),Variables!$B$1:$D$1,0),1))*AC810/365),""))</f>
        <v>-125.47190691901909</v>
      </c>
      <c r="AU810" s="12">
        <f>IF($H810="Cancelled","",IFERROR((T810*INDEX(Variables!$B$7:$D$7,IFERROR(MATCH(IF($B810="Robusta","Robusta",(IF($B810="","Arabica",$B810))&amp;" - "&amp;(IF($C810="","Commercial",$C810))),Variables!$B$1:$D$1,0),1))*AP810/365)+(L810/16.67*INDEX(Variables!$B$8:$D$8,IFERROR(MATCH(IF($B810="Robusta","Robusta",(IF($B810="","Arabica",$B810))&amp;" - "&amp;(IF($C810="","Commercial",$C810))),Variables!$B$1:$D$1,0),1))*AP810)+(T810*INDEX(Variables!$B$9:$D$9,IFERROR(MATCH(IF($B810="Robusta","Robusta",(IF($B810="","Arabica",$B810))&amp;" - "&amp;(IF($C810="","Commercial",$C810))),Variables!$B$1:$D$1,0),1))*AP810/365),""))</f>
        <v>-5.7032684963190503</v>
      </c>
      <c r="AV810" s="11">
        <f t="shared" si="80"/>
        <v>-8</v>
      </c>
      <c r="AW810" s="12">
        <f>IF($H810="Cancelled","",IFERROR(IF(AV810="","",(T810*INDEX(Variables!$B$7:$D$7,IFERROR(MATCH(IF($B810="Robusta","Robusta",(IF($B810="","Arabica",$B810))&amp;" - "&amp;(IF($C810="","Commercial",$C810))),Variables!$B$1:$D$1,0),1))*(AV810/365))+(T810*INDEX(Variables!$B$9:$D$9,IFERROR(MATCH(IF($B810="Robusta","Robusta",(IF($B810="","Arabica",$B810))&amp;" - "&amp;(IF($C810="","Commercial",$C810))),Variables!$B$1:$D$1,0),1))*(AV810/365))+(INDEX(Variables!$B$8:$D$8,IFERROR(MATCH(IF($B810="Robusta","Robusta",(IF($B810="","Arabica",$B810))&amp;" - "&amp;(IF($C810="","Commercial",$C810))),Variables!$B$1:$D$1,0),1))*L810/16.67)),""))</f>
        <v>-8.0087159901841325</v>
      </c>
      <c r="AX810" s="9"/>
      <c r="AY810" s="12"/>
      <c r="AZ810" s="10"/>
      <c r="BA810" s="9"/>
      <c r="BB810" s="10"/>
      <c r="BC810" s="9"/>
      <c r="BD810" s="9"/>
      <c r="BE810" s="9"/>
      <c r="BF810" s="9"/>
    </row>
    <row r="811" spans="1:58" x14ac:dyDescent="0.25">
      <c r="A811" s="9" t="s">
        <v>84</v>
      </c>
      <c r="B811" s="9" t="s">
        <v>85</v>
      </c>
      <c r="C811" s="9" t="s">
        <v>1486</v>
      </c>
      <c r="D811" s="10">
        <v>45421</v>
      </c>
      <c r="E811" s="10">
        <v>45421</v>
      </c>
      <c r="F811" s="10">
        <v>45473</v>
      </c>
      <c r="G811" s="9">
        <v>3786367</v>
      </c>
      <c r="H811" s="9" t="str">
        <f t="shared" si="78"/>
        <v>Closed</v>
      </c>
      <c r="I811" s="9" t="str">
        <f t="shared" si="79"/>
        <v>All dates received</v>
      </c>
      <c r="J811" s="9" t="s">
        <v>1653</v>
      </c>
      <c r="K811" s="9">
        <v>4997</v>
      </c>
      <c r="L811" s="11">
        <v>16</v>
      </c>
      <c r="M811" s="9" t="s">
        <v>1763</v>
      </c>
      <c r="N811" s="9"/>
      <c r="O811" s="9"/>
      <c r="P811" s="9"/>
      <c r="Q811" s="11"/>
      <c r="R811" s="9" t="s">
        <v>195</v>
      </c>
      <c r="S811" s="9" t="s">
        <v>312</v>
      </c>
      <c r="T811" s="12">
        <f>IF($H811="Cancelled","",IFERROR(((Q811+INDEX(Variables!$B$6:$D$6,IFERROR(MATCH(IF($B811="Robusta","Robusta",(IF($B811="","Arabica",$B811))&amp;" - "&amp;(IF($C811="","Commercial",$C811))),Variables!$B$1:$D$1,0),1)))*22.0462)*(L811/16.67),""))</f>
        <v>6153.3628890221944</v>
      </c>
      <c r="U811" s="10"/>
      <c r="V811" s="9" t="str">
        <f t="shared" si="81"/>
        <v/>
      </c>
      <c r="W811" s="10">
        <v>45397</v>
      </c>
      <c r="X811" s="9" t="str">
        <f t="shared" si="82"/>
        <v>Approved</v>
      </c>
      <c r="Y811" s="10">
        <v>45397</v>
      </c>
      <c r="Z811" s="10">
        <f>IF($H811="Cancelled","",IFERROR(IF(F811="","",F811-Variables!$B$13),""))</f>
        <v>45458</v>
      </c>
      <c r="AA811" s="11">
        <f>IF($H811="Cancelled","",IFERROR(IF(W811="","",(AVERAGE(E811:F811)-W811)-Variables!$B$14),""))</f>
        <v>20</v>
      </c>
      <c r="AB811" s="10">
        <v>45471</v>
      </c>
      <c r="AC811" s="11">
        <f>IF($H811="Cancelled","",IFERROR(IF(AB811="","",IF(AND(W811="",Y811=""),"",IF(Y811&gt;W811,Y811+Variables!$B$15+Variables!$B$16+Variables!$B$17-AB811,W811+Variables!$B$16+Variables!$B$17-AB811))),""))</f>
        <v>-66</v>
      </c>
      <c r="AD811" s="9" t="s">
        <v>163</v>
      </c>
      <c r="AE811" s="9" t="s">
        <v>254</v>
      </c>
      <c r="AF811" s="10"/>
      <c r="AG811" s="10"/>
      <c r="AH811" s="9"/>
      <c r="AI811" s="9" t="s">
        <v>1655</v>
      </c>
      <c r="AJ811" s="9" t="s">
        <v>1656</v>
      </c>
      <c r="AK811" s="10">
        <v>45481</v>
      </c>
      <c r="AL811" s="10">
        <v>45483</v>
      </c>
      <c r="AM811" s="10">
        <v>45499</v>
      </c>
      <c r="AN811" s="9" t="s">
        <v>1492</v>
      </c>
      <c r="AO811" s="9"/>
      <c r="AP811" s="11">
        <f>IF($H811="Cancelled","",IFERROR(IF(OR(AK811="",AB811=""),"",(AB811+Variables!$B$18-AK811)),""))</f>
        <v>-3</v>
      </c>
      <c r="AQ811" s="11">
        <f>IF($H811="Cancelled","",IFERROR(IF(OR(AM811="",AK811=""),"",(AK811+Variables!$B$19)-AM811),""))</f>
        <v>-13</v>
      </c>
      <c r="AR811" s="12">
        <f>IF($H811="Cancelled","",IFERROR(T811*INDEX(Variables!$B$7:$D$7,IFERROR(MATCH(IF($B811="Robusta","Robusta",(IF($B811="","Arabica",$B811))&amp;" - "&amp;(IF($C811="","Commercial",$C811))),Variables!$B$1:$D$1,0),1))*(AQ811/365),""))</f>
        <v>-14.131975052801618</v>
      </c>
      <c r="AS811" s="12">
        <f>IF($H811="Cancelled","",IFERROR((T811*INDEX(Variables!$B$7:$D$7,IFERROR(MATCH(IF($B811="Robusta","Robusta",(IF($B811="","Arabica",$B811))&amp;" - "&amp;(IF($C811="","Commercial",$C811))),Variables!$B$1:$D$1,0),1))*IFERROR(IF(W811="","",(AVERAGE(E811:F811)-W811)-Variables!$B$14),"")/365)+(L811/16.67*INDEX(Variables!$B$8:$D$8,IFERROR(MATCH(IF($B811="Robusta","Robusta",(IF($B811="","Arabica",$B811))&amp;" - "&amp;(IF($C811="","Commercial",$C811))),Variables!$B$1:$D$1,0),1))*IFERROR(IF(W811="","",(AVERAGE(E811:F811)-W811)-Variables!$B$14),""))+(T811*INDEX(Variables!$B$9:$D$9,IFERROR(MATCH(IF($B811="Robusta","Robusta",(IF($B811="","Arabica",$B811))&amp;" - "&amp;(IF($C811="","Commercial",$C811))),Variables!$B$1:$D$1,0),1))*IFERROR(IF(W811="","",(AVERAGE(E811:F811)-W811)-Variables!$B$14),"")/365),""))</f>
        <v>38.021789975460329</v>
      </c>
      <c r="AT811" s="12">
        <f>IF($H811="Cancelled","",IFERROR((T811*INDEX(Variables!$B$7:$D$7,IFERROR(MATCH(IF($B811="Robusta","Robusta",(IF($B811="","Arabica",$B811))&amp;" - "&amp;(IF($C811="","Commercial",$C811))),Variables!$B$1:$D$1,0),1))*AC811/365)+(L811/16.67*INDEX(Variables!$B$8:$D$8,IFERROR(MATCH(IF($B811="Robusta","Robusta",(IF($B811="","Arabica",$B811))&amp;" - "&amp;(IF($C811="","Commercial",$C811))),Variables!$B$1:$D$1,0),1))*AC811)+(T811*INDEX(Variables!$B$9:$D$9,IFERROR(MATCH(IF($B811="Robusta","Robusta",(IF($B811="","Arabica",$B811))&amp;" - "&amp;(IF($C811="","Commercial",$C811))),Variables!$B$1:$D$1,0),1))*AC811/365),""))</f>
        <v>-125.47190691901909</v>
      </c>
      <c r="AU811" s="12">
        <f>IF($H811="Cancelled","",IFERROR((T811*INDEX(Variables!$B$7:$D$7,IFERROR(MATCH(IF($B811="Robusta","Robusta",(IF($B811="","Arabica",$B811))&amp;" - "&amp;(IF($C811="","Commercial",$C811))),Variables!$B$1:$D$1,0),1))*AP811/365)+(L811/16.67*INDEX(Variables!$B$8:$D$8,IFERROR(MATCH(IF($B811="Robusta","Robusta",(IF($B811="","Arabica",$B811))&amp;" - "&amp;(IF($C811="","Commercial",$C811))),Variables!$B$1:$D$1,0),1))*AP811)+(T811*INDEX(Variables!$B$9:$D$9,IFERROR(MATCH(IF($B811="Robusta","Robusta",(IF($B811="","Arabica",$B811))&amp;" - "&amp;(IF($C811="","Commercial",$C811))),Variables!$B$1:$D$1,0),1))*AP811/365),""))</f>
        <v>-5.7032684963190503</v>
      </c>
      <c r="AV811" s="11">
        <f t="shared" si="80"/>
        <v>-8</v>
      </c>
      <c r="AW811" s="12">
        <f>IF($H811="Cancelled","",IFERROR(IF(AV811="","",(T811*INDEX(Variables!$B$7:$D$7,IFERROR(MATCH(IF($B811="Robusta","Robusta",(IF($B811="","Arabica",$B811))&amp;" - "&amp;(IF($C811="","Commercial",$C811))),Variables!$B$1:$D$1,0),1))*(AV811/365))+(T811*INDEX(Variables!$B$9:$D$9,IFERROR(MATCH(IF($B811="Robusta","Robusta",(IF($B811="","Arabica",$B811))&amp;" - "&amp;(IF($C811="","Commercial",$C811))),Variables!$B$1:$D$1,0),1))*(AV811/365))+(INDEX(Variables!$B$8:$D$8,IFERROR(MATCH(IF($B811="Robusta","Robusta",(IF($B811="","Arabica",$B811))&amp;" - "&amp;(IF($C811="","Commercial",$C811))),Variables!$B$1:$D$1,0),1))*L811/16.67)),""))</f>
        <v>-8.0087159901841325</v>
      </c>
      <c r="AX811" s="9"/>
      <c r="AY811" s="12"/>
      <c r="AZ811" s="10"/>
      <c r="BA811" s="9"/>
      <c r="BB811" s="10"/>
      <c r="BC811" s="9"/>
      <c r="BD811" s="9"/>
      <c r="BE811" s="9"/>
      <c r="BF811" s="9"/>
    </row>
    <row r="812" spans="1:58" x14ac:dyDescent="0.25">
      <c r="A812" s="9" t="s">
        <v>84</v>
      </c>
      <c r="B812" s="9" t="s">
        <v>85</v>
      </c>
      <c r="C812" s="9" t="s">
        <v>1486</v>
      </c>
      <c r="D812" s="10">
        <v>45421</v>
      </c>
      <c r="E812" s="10">
        <v>45421</v>
      </c>
      <c r="F812" s="10">
        <v>45473</v>
      </c>
      <c r="G812" s="9">
        <v>3786368</v>
      </c>
      <c r="H812" s="9" t="str">
        <f t="shared" si="78"/>
        <v>Closed</v>
      </c>
      <c r="I812" s="9" t="str">
        <f t="shared" si="79"/>
        <v>All dates received</v>
      </c>
      <c r="J812" s="9" t="s">
        <v>1653</v>
      </c>
      <c r="K812" s="9">
        <v>4998</v>
      </c>
      <c r="L812" s="11">
        <v>16</v>
      </c>
      <c r="M812" s="9" t="s">
        <v>1764</v>
      </c>
      <c r="N812" s="9"/>
      <c r="O812" s="9"/>
      <c r="P812" s="9"/>
      <c r="Q812" s="11"/>
      <c r="R812" s="9" t="s">
        <v>195</v>
      </c>
      <c r="S812" s="9" t="s">
        <v>312</v>
      </c>
      <c r="T812" s="12">
        <f>IF($H812="Cancelled","",IFERROR(((Q812+INDEX(Variables!$B$6:$D$6,IFERROR(MATCH(IF($B812="Robusta","Robusta",(IF($B812="","Arabica",$B812))&amp;" - "&amp;(IF($C812="","Commercial",$C812))),Variables!$B$1:$D$1,0),1)))*22.0462)*(L812/16.67),""))</f>
        <v>6153.3628890221944</v>
      </c>
      <c r="U812" s="10"/>
      <c r="V812" s="9" t="str">
        <f t="shared" si="81"/>
        <v/>
      </c>
      <c r="W812" s="10">
        <v>45397</v>
      </c>
      <c r="X812" s="9" t="str">
        <f t="shared" si="82"/>
        <v>Approved</v>
      </c>
      <c r="Y812" s="10">
        <v>45397</v>
      </c>
      <c r="Z812" s="10">
        <f>IF($H812="Cancelled","",IFERROR(IF(F812="","",F812-Variables!$B$13),""))</f>
        <v>45458</v>
      </c>
      <c r="AA812" s="11">
        <f>IF($H812="Cancelled","",IFERROR(IF(W812="","",(AVERAGE(E812:F812)-W812)-Variables!$B$14),""))</f>
        <v>20</v>
      </c>
      <c r="AB812" s="10">
        <v>45471</v>
      </c>
      <c r="AC812" s="11">
        <f>IF($H812="Cancelled","",IFERROR(IF(AB812="","",IF(AND(W812="",Y812=""),"",IF(Y812&gt;W812,Y812+Variables!$B$15+Variables!$B$16+Variables!$B$17-AB812,W812+Variables!$B$16+Variables!$B$17-AB812))),""))</f>
        <v>-66</v>
      </c>
      <c r="AD812" s="9" t="s">
        <v>163</v>
      </c>
      <c r="AE812" s="9" t="s">
        <v>254</v>
      </c>
      <c r="AF812" s="10"/>
      <c r="AG812" s="10"/>
      <c r="AH812" s="9"/>
      <c r="AI812" s="9" t="s">
        <v>1655</v>
      </c>
      <c r="AJ812" s="9" t="s">
        <v>1656</v>
      </c>
      <c r="AK812" s="10">
        <v>45481</v>
      </c>
      <c r="AL812" s="10">
        <v>45483</v>
      </c>
      <c r="AM812" s="10">
        <v>45499</v>
      </c>
      <c r="AN812" s="9" t="s">
        <v>1492</v>
      </c>
      <c r="AO812" s="9"/>
      <c r="AP812" s="11">
        <f>IF($H812="Cancelled","",IFERROR(IF(OR(AK812="",AB812=""),"",(AB812+Variables!$B$18-AK812)),""))</f>
        <v>-3</v>
      </c>
      <c r="AQ812" s="11">
        <f>IF($H812="Cancelled","",IFERROR(IF(OR(AM812="",AK812=""),"",(AK812+Variables!$B$19)-AM812),""))</f>
        <v>-13</v>
      </c>
      <c r="AR812" s="12">
        <f>IF($H812="Cancelled","",IFERROR(T812*INDEX(Variables!$B$7:$D$7,IFERROR(MATCH(IF($B812="Robusta","Robusta",(IF($B812="","Arabica",$B812))&amp;" - "&amp;(IF($C812="","Commercial",$C812))),Variables!$B$1:$D$1,0),1))*(AQ812/365),""))</f>
        <v>-14.131975052801618</v>
      </c>
      <c r="AS812" s="12">
        <f>IF($H812="Cancelled","",IFERROR((T812*INDEX(Variables!$B$7:$D$7,IFERROR(MATCH(IF($B812="Robusta","Robusta",(IF($B812="","Arabica",$B812))&amp;" - "&amp;(IF($C812="","Commercial",$C812))),Variables!$B$1:$D$1,0),1))*IFERROR(IF(W812="","",(AVERAGE(E812:F812)-W812)-Variables!$B$14),"")/365)+(L812/16.67*INDEX(Variables!$B$8:$D$8,IFERROR(MATCH(IF($B812="Robusta","Robusta",(IF($B812="","Arabica",$B812))&amp;" - "&amp;(IF($C812="","Commercial",$C812))),Variables!$B$1:$D$1,0),1))*IFERROR(IF(W812="","",(AVERAGE(E812:F812)-W812)-Variables!$B$14),""))+(T812*INDEX(Variables!$B$9:$D$9,IFERROR(MATCH(IF($B812="Robusta","Robusta",(IF($B812="","Arabica",$B812))&amp;" - "&amp;(IF($C812="","Commercial",$C812))),Variables!$B$1:$D$1,0),1))*IFERROR(IF(W812="","",(AVERAGE(E812:F812)-W812)-Variables!$B$14),"")/365),""))</f>
        <v>38.021789975460329</v>
      </c>
      <c r="AT812" s="12">
        <f>IF($H812="Cancelled","",IFERROR((T812*INDEX(Variables!$B$7:$D$7,IFERROR(MATCH(IF($B812="Robusta","Robusta",(IF($B812="","Arabica",$B812))&amp;" - "&amp;(IF($C812="","Commercial",$C812))),Variables!$B$1:$D$1,0),1))*AC812/365)+(L812/16.67*INDEX(Variables!$B$8:$D$8,IFERROR(MATCH(IF($B812="Robusta","Robusta",(IF($B812="","Arabica",$B812))&amp;" - "&amp;(IF($C812="","Commercial",$C812))),Variables!$B$1:$D$1,0),1))*AC812)+(T812*INDEX(Variables!$B$9:$D$9,IFERROR(MATCH(IF($B812="Robusta","Robusta",(IF($B812="","Arabica",$B812))&amp;" - "&amp;(IF($C812="","Commercial",$C812))),Variables!$B$1:$D$1,0),1))*AC812/365),""))</f>
        <v>-125.47190691901909</v>
      </c>
      <c r="AU812" s="12">
        <f>IF($H812="Cancelled","",IFERROR((T812*INDEX(Variables!$B$7:$D$7,IFERROR(MATCH(IF($B812="Robusta","Robusta",(IF($B812="","Arabica",$B812))&amp;" - "&amp;(IF($C812="","Commercial",$C812))),Variables!$B$1:$D$1,0),1))*AP812/365)+(L812/16.67*INDEX(Variables!$B$8:$D$8,IFERROR(MATCH(IF($B812="Robusta","Robusta",(IF($B812="","Arabica",$B812))&amp;" - "&amp;(IF($C812="","Commercial",$C812))),Variables!$B$1:$D$1,0),1))*AP812)+(T812*INDEX(Variables!$B$9:$D$9,IFERROR(MATCH(IF($B812="Robusta","Robusta",(IF($B812="","Arabica",$B812))&amp;" - "&amp;(IF($C812="","Commercial",$C812))),Variables!$B$1:$D$1,0),1))*AP812/365),""))</f>
        <v>-5.7032684963190503</v>
      </c>
      <c r="AV812" s="11">
        <f t="shared" si="80"/>
        <v>-8</v>
      </c>
      <c r="AW812" s="12">
        <f>IF($H812="Cancelled","",IFERROR(IF(AV812="","",(T812*INDEX(Variables!$B$7:$D$7,IFERROR(MATCH(IF($B812="Robusta","Robusta",(IF($B812="","Arabica",$B812))&amp;" - "&amp;(IF($C812="","Commercial",$C812))),Variables!$B$1:$D$1,0),1))*(AV812/365))+(T812*INDEX(Variables!$B$9:$D$9,IFERROR(MATCH(IF($B812="Robusta","Robusta",(IF($B812="","Arabica",$B812))&amp;" - "&amp;(IF($C812="","Commercial",$C812))),Variables!$B$1:$D$1,0),1))*(AV812/365))+(INDEX(Variables!$B$8:$D$8,IFERROR(MATCH(IF($B812="Robusta","Robusta",(IF($B812="","Arabica",$B812))&amp;" - "&amp;(IF($C812="","Commercial",$C812))),Variables!$B$1:$D$1,0),1))*L812/16.67)),""))</f>
        <v>-8.0087159901841325</v>
      </c>
      <c r="AX812" s="9"/>
      <c r="AY812" s="12"/>
      <c r="AZ812" s="10"/>
      <c r="BA812" s="9"/>
      <c r="BB812" s="10"/>
      <c r="BC812" s="9"/>
      <c r="BD812" s="9"/>
      <c r="BE812" s="9"/>
      <c r="BF812" s="9"/>
    </row>
    <row r="813" spans="1:58" x14ac:dyDescent="0.25">
      <c r="A813" s="9" t="s">
        <v>84</v>
      </c>
      <c r="B813" s="9" t="s">
        <v>85</v>
      </c>
      <c r="C813" s="9" t="s">
        <v>1486</v>
      </c>
      <c r="D813" s="10">
        <v>45429</v>
      </c>
      <c r="E813" s="10">
        <v>45444</v>
      </c>
      <c r="F813" s="10">
        <v>45473</v>
      </c>
      <c r="G813" s="9">
        <v>3786377</v>
      </c>
      <c r="H813" s="9" t="str">
        <f t="shared" si="78"/>
        <v>Closed</v>
      </c>
      <c r="I813" s="9" t="str">
        <f t="shared" si="79"/>
        <v>All dates received</v>
      </c>
      <c r="J813" s="9" t="s">
        <v>547</v>
      </c>
      <c r="K813" s="9">
        <v>4950</v>
      </c>
      <c r="L813" s="11">
        <v>22</v>
      </c>
      <c r="M813" s="9" t="s">
        <v>1765</v>
      </c>
      <c r="N813" s="9"/>
      <c r="O813" s="9"/>
      <c r="P813" s="9"/>
      <c r="Q813" s="11"/>
      <c r="R813" s="9" t="s">
        <v>195</v>
      </c>
      <c r="S813" s="9" t="s">
        <v>207</v>
      </c>
      <c r="T813" s="12">
        <f>IF($H813="Cancelled","",IFERROR(((Q813+INDEX(Variables!$B$6:$D$6,IFERROR(MATCH(IF($B813="Robusta","Robusta",(IF($B813="","Arabica",$B813))&amp;" - "&amp;(IF($C813="","Commercial",$C813))),Variables!$B$1:$D$1,0),1)))*22.0462)*(L813/16.67),""))</f>
        <v>8460.8739724055176</v>
      </c>
      <c r="U813" s="10"/>
      <c r="V813" s="9" t="str">
        <f t="shared" si="81"/>
        <v/>
      </c>
      <c r="W813" s="10">
        <v>45397</v>
      </c>
      <c r="X813" s="9" t="str">
        <f t="shared" si="82"/>
        <v>Approved</v>
      </c>
      <c r="Y813" s="10">
        <v>45397</v>
      </c>
      <c r="Z813" s="10">
        <f>IF($H813="Cancelled","",IFERROR(IF(F813="","",F813-Variables!$B$13),""))</f>
        <v>45458</v>
      </c>
      <c r="AA813" s="11">
        <f>IF($H813="Cancelled","",IFERROR(IF(W813="","",(AVERAGE(E813:F813)-W813)-Variables!$B$14),""))</f>
        <v>31.5</v>
      </c>
      <c r="AB813" s="10">
        <v>45471</v>
      </c>
      <c r="AC813" s="11">
        <f>IF($H813="Cancelled","",IFERROR(IF(AB813="","",IF(AND(W813="",Y813=""),"",IF(Y813&gt;W813,Y813+Variables!$B$15+Variables!$B$16+Variables!$B$17-AB813,W813+Variables!$B$16+Variables!$B$17-AB813))),""))</f>
        <v>-66</v>
      </c>
      <c r="AD813" s="9" t="s">
        <v>151</v>
      </c>
      <c r="AE813" s="9" t="s">
        <v>358</v>
      </c>
      <c r="AF813" s="10"/>
      <c r="AG813" s="10"/>
      <c r="AH813" s="9"/>
      <c r="AI813" s="9" t="s">
        <v>1759</v>
      </c>
      <c r="AJ813" s="9" t="s">
        <v>8</v>
      </c>
      <c r="AK813" s="10">
        <v>45480</v>
      </c>
      <c r="AL813" s="10">
        <v>45482</v>
      </c>
      <c r="AM813" s="10">
        <v>45490</v>
      </c>
      <c r="AN813" s="9" t="s">
        <v>1492</v>
      </c>
      <c r="AO813" s="9"/>
      <c r="AP813" s="11">
        <f>IF($H813="Cancelled","",IFERROR(IF(OR(AK813="",AB813=""),"",(AB813+Variables!$B$18-AK813)),""))</f>
        <v>-2</v>
      </c>
      <c r="AQ813" s="11">
        <f>IF($H813="Cancelled","",IFERROR(IF(OR(AM813="",AK813=""),"",(AK813+Variables!$B$19)-AM813),""))</f>
        <v>-5</v>
      </c>
      <c r="AR813" s="12">
        <f>IF($H813="Cancelled","",IFERROR(T813*INDEX(Variables!$B$7:$D$7,IFERROR(MATCH(IF($B813="Robusta","Robusta",(IF($B813="","Arabica",$B813))&amp;" - "&amp;(IF($C813="","Commercial",$C813))),Variables!$B$1:$D$1,0),1))*(AQ813/365),""))</f>
        <v>-7.4736406529239323</v>
      </c>
      <c r="AS813" s="12">
        <f>IF($H813="Cancelled","",IFERROR((T813*INDEX(Variables!$B$7:$D$7,IFERROR(MATCH(IF($B813="Robusta","Robusta",(IF($B813="","Arabica",$B813))&amp;" - "&amp;(IF($C813="","Commercial",$C813))),Variables!$B$1:$D$1,0),1))*IFERROR(IF(W813="","",(AVERAGE(E813:F813)-W813)-Variables!$B$14),"")/365)+(L813/16.67*INDEX(Variables!$B$8:$D$8,IFERROR(MATCH(IF($B813="Robusta","Robusta",(IF($B813="","Arabica",$B813))&amp;" - "&amp;(IF($C813="","Commercial",$C813))),Variables!$B$1:$D$1,0),1))*IFERROR(IF(W813="","",(AVERAGE(E813:F813)-W813)-Variables!$B$14),""))+(T813*INDEX(Variables!$B$9:$D$9,IFERROR(MATCH(IF($B813="Robusta","Robusta",(IF($B813="","Arabica",$B813))&amp;" - "&amp;(IF($C813="","Commercial",$C813))),Variables!$B$1:$D$1,0),1))*IFERROR(IF(W813="","",(AVERAGE(E813:F813)-W813)-Variables!$B$14),"")/365),""))</f>
        <v>82.340938915606301</v>
      </c>
      <c r="AT813" s="12">
        <f>IF($H813="Cancelled","",IFERROR((T813*INDEX(Variables!$B$7:$D$7,IFERROR(MATCH(IF($B813="Robusta","Robusta",(IF($B813="","Arabica",$B813))&amp;" - "&amp;(IF($C813="","Commercial",$C813))),Variables!$B$1:$D$1,0),1))*AC813/365)+(L813/16.67*INDEX(Variables!$B$8:$D$8,IFERROR(MATCH(IF($B813="Robusta","Robusta",(IF($B813="","Arabica",$B813))&amp;" - "&amp;(IF($C813="","Commercial",$C813))),Variables!$B$1:$D$1,0),1))*AC813)+(T813*INDEX(Variables!$B$9:$D$9,IFERROR(MATCH(IF($B813="Robusta","Robusta",(IF($B813="","Arabica",$B813))&amp;" - "&amp;(IF($C813="","Commercial",$C813))),Variables!$B$1:$D$1,0),1))*AC813/365),""))</f>
        <v>-172.5238720136513</v>
      </c>
      <c r="AU813" s="12">
        <f>IF($H813="Cancelled","",IFERROR((T813*INDEX(Variables!$B$7:$D$7,IFERROR(MATCH(IF($B813="Robusta","Robusta",(IF($B813="","Arabica",$B813))&amp;" - "&amp;(IF($C813="","Commercial",$C813))),Variables!$B$1:$D$1,0),1))*AP813/365)+(L813/16.67*INDEX(Variables!$B$8:$D$8,IFERROR(MATCH(IF($B813="Robusta","Robusta",(IF($B813="","Arabica",$B813))&amp;" - "&amp;(IF($C813="","Commercial",$C813))),Variables!$B$1:$D$1,0),1))*AP813)+(T813*INDEX(Variables!$B$9:$D$9,IFERROR(MATCH(IF($B813="Robusta","Robusta",(IF($B813="","Arabica",$B813))&amp;" - "&amp;(IF($C813="","Commercial",$C813))),Variables!$B$1:$D$1,0),1))*AP813/365),""))</f>
        <v>-5.2279961216257957</v>
      </c>
      <c r="AV813" s="11">
        <f t="shared" si="80"/>
        <v>-7</v>
      </c>
      <c r="AW813" s="12">
        <f>IF($H813="Cancelled","",IFERROR(IF(AV813="","",(T813*INDEX(Variables!$B$7:$D$7,IFERROR(MATCH(IF($B813="Robusta","Robusta",(IF($B813="","Arabica",$B813))&amp;" - "&amp;(IF($C813="","Commercial",$C813))),Variables!$B$1:$D$1,0),1))*(AV813/365))+(T813*INDEX(Variables!$B$9:$D$9,IFERROR(MATCH(IF($B813="Robusta","Robusta",(IF($B813="","Arabica",$B813))&amp;" - "&amp;(IF($C813="","Commercial",$C813))),Variables!$B$1:$D$1,0),1))*(AV813/365))+(INDEX(Variables!$B$8:$D$8,IFERROR(MATCH(IF($B813="Robusta","Robusta",(IF($B813="","Arabica",$B813))&amp;" - "&amp;(IF($C813="","Commercial",$C813))),Variables!$B$1:$D$1,0),1))*L813/16.67)),""))</f>
        <v>-9.4979864256902875</v>
      </c>
      <c r="AX813" s="9"/>
      <c r="AY813" s="12"/>
      <c r="AZ813" s="10"/>
      <c r="BA813" s="9"/>
      <c r="BB813" s="10"/>
      <c r="BC813" s="9"/>
      <c r="BD813" s="9"/>
      <c r="BE813" s="9"/>
      <c r="BF813" s="9"/>
    </row>
    <row r="814" spans="1:58" x14ac:dyDescent="0.25">
      <c r="A814" s="9" t="s">
        <v>84</v>
      </c>
      <c r="B814" s="9" t="s">
        <v>85</v>
      </c>
      <c r="C814" s="9" t="s">
        <v>1486</v>
      </c>
      <c r="D814" s="10">
        <v>45429</v>
      </c>
      <c r="E814" s="10">
        <v>45444</v>
      </c>
      <c r="F814" s="10">
        <v>45473</v>
      </c>
      <c r="G814" s="9">
        <v>3786378</v>
      </c>
      <c r="H814" s="9" t="str">
        <f t="shared" si="78"/>
        <v>Closed</v>
      </c>
      <c r="I814" s="9" t="str">
        <f t="shared" si="79"/>
        <v>All dates received</v>
      </c>
      <c r="J814" s="9" t="s">
        <v>547</v>
      </c>
      <c r="K814" s="9">
        <v>4951</v>
      </c>
      <c r="L814" s="11">
        <v>14</v>
      </c>
      <c r="M814" s="9" t="s">
        <v>1766</v>
      </c>
      <c r="N814" s="9"/>
      <c r="O814" s="9"/>
      <c r="P814" s="9"/>
      <c r="Q814" s="11"/>
      <c r="R814" s="9" t="s">
        <v>195</v>
      </c>
      <c r="S814" s="9" t="s">
        <v>207</v>
      </c>
      <c r="T814" s="12">
        <f>IF($H814="Cancelled","",IFERROR(((Q814+INDEX(Variables!$B$6:$D$6,IFERROR(MATCH(IF($B814="Robusta","Robusta",(IF($B814="","Arabica",$B814))&amp;" - "&amp;(IF($C814="","Commercial",$C814))),Variables!$B$1:$D$1,0),1)))*22.0462)*(L814/16.67),""))</f>
        <v>5384.1925278944209</v>
      </c>
      <c r="U814" s="10"/>
      <c r="V814" s="9" t="str">
        <f t="shared" si="81"/>
        <v/>
      </c>
      <c r="W814" s="10">
        <v>45397</v>
      </c>
      <c r="X814" s="9" t="str">
        <f t="shared" si="82"/>
        <v>Approved</v>
      </c>
      <c r="Y814" s="10">
        <v>45397</v>
      </c>
      <c r="Z814" s="10">
        <f>IF($H814="Cancelled","",IFERROR(IF(F814="","",F814-Variables!$B$13),""))</f>
        <v>45458</v>
      </c>
      <c r="AA814" s="11">
        <f>IF($H814="Cancelled","",IFERROR(IF(W814="","",(AVERAGE(E814:F814)-W814)-Variables!$B$14),""))</f>
        <v>31.5</v>
      </c>
      <c r="AB814" s="10">
        <v>45471</v>
      </c>
      <c r="AC814" s="11">
        <f>IF($H814="Cancelled","",IFERROR(IF(AB814="","",IF(AND(W814="",Y814=""),"",IF(Y814&gt;W814,Y814+Variables!$B$15+Variables!$B$16+Variables!$B$17-AB814,W814+Variables!$B$16+Variables!$B$17-AB814))),""))</f>
        <v>-66</v>
      </c>
      <c r="AD814" s="9" t="s">
        <v>151</v>
      </c>
      <c r="AE814" s="9" t="s">
        <v>358</v>
      </c>
      <c r="AF814" s="10"/>
      <c r="AG814" s="10"/>
      <c r="AH814" s="9"/>
      <c r="AI814" s="9" t="s">
        <v>1759</v>
      </c>
      <c r="AJ814" s="9" t="s">
        <v>8</v>
      </c>
      <c r="AK814" s="10">
        <v>45480</v>
      </c>
      <c r="AL814" s="10">
        <v>45482</v>
      </c>
      <c r="AM814" s="10">
        <v>45490</v>
      </c>
      <c r="AN814" s="9" t="s">
        <v>1492</v>
      </c>
      <c r="AO814" s="9"/>
      <c r="AP814" s="11">
        <f>IF($H814="Cancelled","",IFERROR(IF(OR(AK814="",AB814=""),"",(AB814+Variables!$B$18-AK814)),""))</f>
        <v>-2</v>
      </c>
      <c r="AQ814" s="11">
        <f>IF($H814="Cancelled","",IFERROR(IF(OR(AM814="",AK814=""),"",(AK814+Variables!$B$19)-AM814),""))</f>
        <v>-5</v>
      </c>
      <c r="AR814" s="12">
        <f>IF($H814="Cancelled","",IFERROR(T814*INDEX(Variables!$B$7:$D$7,IFERROR(MATCH(IF($B814="Robusta","Robusta",(IF($B814="","Arabica",$B814))&amp;" - "&amp;(IF($C814="","Commercial",$C814))),Variables!$B$1:$D$1,0),1))*(AQ814/365),""))</f>
        <v>-4.7559531427697754</v>
      </c>
      <c r="AS814" s="12">
        <f>IF($H814="Cancelled","",IFERROR((T814*INDEX(Variables!$B$7:$D$7,IFERROR(MATCH(IF($B814="Robusta","Robusta",(IF($B814="","Arabica",$B814))&amp;" - "&amp;(IF($C814="","Commercial",$C814))),Variables!$B$1:$D$1,0),1))*IFERROR(IF(W814="","",(AVERAGE(E814:F814)-W814)-Variables!$B$14),"")/365)+(L814/16.67*INDEX(Variables!$B$8:$D$8,IFERROR(MATCH(IF($B814="Robusta","Robusta",(IF($B814="","Arabica",$B814))&amp;" - "&amp;(IF($C814="","Commercial",$C814))),Variables!$B$1:$D$1,0),1))*IFERROR(IF(W814="","",(AVERAGE(E814:F814)-W814)-Variables!$B$14),""))+(T814*INDEX(Variables!$B$9:$D$9,IFERROR(MATCH(IF($B814="Robusta","Robusta",(IF($B814="","Arabica",$B814))&amp;" - "&amp;(IF($C814="","Commercial",$C814))),Variables!$B$1:$D$1,0),1))*IFERROR(IF(W814="","",(AVERAGE(E814:F814)-W814)-Variables!$B$14),"")/365),""))</f>
        <v>52.398779309931278</v>
      </c>
      <c r="AT814" s="12">
        <f>IF($H814="Cancelled","",IFERROR((T814*INDEX(Variables!$B$7:$D$7,IFERROR(MATCH(IF($B814="Robusta","Robusta",(IF($B814="","Arabica",$B814))&amp;" - "&amp;(IF($C814="","Commercial",$C814))),Variables!$B$1:$D$1,0),1))*AC814/365)+(L814/16.67*INDEX(Variables!$B$8:$D$8,IFERROR(MATCH(IF($B814="Robusta","Robusta",(IF($B814="","Arabica",$B814))&amp;" - "&amp;(IF($C814="","Commercial",$C814))),Variables!$B$1:$D$1,0),1))*AC814)+(T814*INDEX(Variables!$B$9:$D$9,IFERROR(MATCH(IF($B814="Robusta","Robusta",(IF($B814="","Arabica",$B814))&amp;" - "&amp;(IF($C814="","Commercial",$C814))),Variables!$B$1:$D$1,0),1))*AC814/365),""))</f>
        <v>-109.78791855414171</v>
      </c>
      <c r="AU814" s="12">
        <f>IF($H814="Cancelled","",IFERROR((T814*INDEX(Variables!$B$7:$D$7,IFERROR(MATCH(IF($B814="Robusta","Robusta",(IF($B814="","Arabica",$B814))&amp;" - "&amp;(IF($C814="","Commercial",$C814))),Variables!$B$1:$D$1,0),1))*AP814/365)+(L814/16.67*INDEX(Variables!$B$8:$D$8,IFERROR(MATCH(IF($B814="Robusta","Robusta",(IF($B814="","Arabica",$B814))&amp;" - "&amp;(IF($C814="","Commercial",$C814))),Variables!$B$1:$D$1,0),1))*AP814)+(T814*INDEX(Variables!$B$9:$D$9,IFERROR(MATCH(IF($B814="Robusta","Robusta",(IF($B814="","Arabica",$B814))&amp;" - "&amp;(IF($C814="","Commercial",$C814))),Variables!$B$1:$D$1,0),1))*AP814/365),""))</f>
        <v>-3.3269066228527797</v>
      </c>
      <c r="AV814" s="11">
        <f t="shared" si="80"/>
        <v>-7</v>
      </c>
      <c r="AW814" s="12">
        <f>IF($H814="Cancelled","",IFERROR(IF(AV814="","",(T814*INDEX(Variables!$B$7:$D$7,IFERROR(MATCH(IF($B814="Robusta","Robusta",(IF($B814="","Arabica",$B814))&amp;" - "&amp;(IF($C814="","Commercial",$C814))),Variables!$B$1:$D$1,0),1))*(AV814/365))+(T814*INDEX(Variables!$B$9:$D$9,IFERROR(MATCH(IF($B814="Robusta","Robusta",(IF($B814="","Arabica",$B814))&amp;" - "&amp;(IF($C814="","Commercial",$C814))),Variables!$B$1:$D$1,0),1))*(AV814/365))+(INDEX(Variables!$B$8:$D$8,IFERROR(MATCH(IF($B814="Robusta","Robusta",(IF($B814="","Arabica",$B814))&amp;" - "&amp;(IF($C814="","Commercial",$C814))),Variables!$B$1:$D$1,0),1))*L814/16.67)),""))</f>
        <v>-6.0441731799847283</v>
      </c>
      <c r="AX814" s="9"/>
      <c r="AY814" s="12"/>
      <c r="AZ814" s="10"/>
      <c r="BA814" s="9"/>
      <c r="BB814" s="10"/>
      <c r="BC814" s="9"/>
      <c r="BD814" s="9"/>
      <c r="BE814" s="9"/>
      <c r="BF814" s="9"/>
    </row>
    <row r="815" spans="1:58" x14ac:dyDescent="0.25">
      <c r="A815" s="9" t="s">
        <v>84</v>
      </c>
      <c r="B815" s="9" t="s">
        <v>85</v>
      </c>
      <c r="C815" s="9" t="s">
        <v>1486</v>
      </c>
      <c r="D815" s="10">
        <v>45429</v>
      </c>
      <c r="E815" s="10">
        <v>45444</v>
      </c>
      <c r="F815" s="10">
        <v>45473</v>
      </c>
      <c r="G815" s="9">
        <v>3786379</v>
      </c>
      <c r="H815" s="9" t="str">
        <f t="shared" si="78"/>
        <v>Closed</v>
      </c>
      <c r="I815" s="9" t="str">
        <f t="shared" si="79"/>
        <v>All dates received</v>
      </c>
      <c r="J815" s="9" t="s">
        <v>547</v>
      </c>
      <c r="K815" s="9">
        <v>4952</v>
      </c>
      <c r="L815" s="11">
        <v>15</v>
      </c>
      <c r="M815" s="9" t="s">
        <v>1767</v>
      </c>
      <c r="N815" s="9"/>
      <c r="O815" s="9"/>
      <c r="P815" s="9"/>
      <c r="Q815" s="11"/>
      <c r="R815" s="9" t="s">
        <v>195</v>
      </c>
      <c r="S815" s="9" t="s">
        <v>207</v>
      </c>
      <c r="T815" s="12">
        <f>IF($H815="Cancelled","",IFERROR(((Q815+INDEX(Variables!$B$6:$D$6,IFERROR(MATCH(IF($B815="Robusta","Robusta",(IF($B815="","Arabica",$B815))&amp;" - "&amp;(IF($C815="","Commercial",$C815))),Variables!$B$1:$D$1,0),1)))*22.0462)*(L815/16.67),""))</f>
        <v>5768.7777084583076</v>
      </c>
      <c r="U815" s="10"/>
      <c r="V815" s="9" t="str">
        <f t="shared" si="81"/>
        <v/>
      </c>
      <c r="W815" s="10">
        <v>45397</v>
      </c>
      <c r="X815" s="9" t="str">
        <f t="shared" si="82"/>
        <v>Approved</v>
      </c>
      <c r="Y815" s="10">
        <v>45397</v>
      </c>
      <c r="Z815" s="10">
        <f>IF($H815="Cancelled","",IFERROR(IF(F815="","",F815-Variables!$B$13),""))</f>
        <v>45458</v>
      </c>
      <c r="AA815" s="11">
        <f>IF($H815="Cancelled","",IFERROR(IF(W815="","",(AVERAGE(E815:F815)-W815)-Variables!$B$14),""))</f>
        <v>31.5</v>
      </c>
      <c r="AB815" s="10">
        <v>45471</v>
      </c>
      <c r="AC815" s="11">
        <f>IF($H815="Cancelled","",IFERROR(IF(AB815="","",IF(AND(W815="",Y815=""),"",IF(Y815&gt;W815,Y815+Variables!$B$15+Variables!$B$16+Variables!$B$17-AB815,W815+Variables!$B$16+Variables!$B$17-AB815))),""))</f>
        <v>-66</v>
      </c>
      <c r="AD815" s="9" t="s">
        <v>151</v>
      </c>
      <c r="AE815" s="9" t="s">
        <v>358</v>
      </c>
      <c r="AF815" s="10"/>
      <c r="AG815" s="10"/>
      <c r="AH815" s="9"/>
      <c r="AI815" s="9" t="s">
        <v>1759</v>
      </c>
      <c r="AJ815" s="9" t="s">
        <v>8</v>
      </c>
      <c r="AK815" s="10">
        <v>45480</v>
      </c>
      <c r="AL815" s="10">
        <v>45482</v>
      </c>
      <c r="AM815" s="10">
        <v>45490</v>
      </c>
      <c r="AN815" s="9" t="s">
        <v>1492</v>
      </c>
      <c r="AO815" s="9"/>
      <c r="AP815" s="11">
        <f>IF($H815="Cancelled","",IFERROR(IF(OR(AK815="",AB815=""),"",(AB815+Variables!$B$18-AK815)),""))</f>
        <v>-2</v>
      </c>
      <c r="AQ815" s="11">
        <f>IF($H815="Cancelled","",IFERROR(IF(OR(AM815="",AK815=""),"",(AK815+Variables!$B$19)-AM815),""))</f>
        <v>-5</v>
      </c>
      <c r="AR815" s="12">
        <f>IF($H815="Cancelled","",IFERROR(T815*INDEX(Variables!$B$7:$D$7,IFERROR(MATCH(IF($B815="Robusta","Robusta",(IF($B815="","Arabica",$B815))&amp;" - "&amp;(IF($C815="","Commercial",$C815))),Variables!$B$1:$D$1,0),1))*(AQ815/365),""))</f>
        <v>-5.095664081539045</v>
      </c>
      <c r="AS815" s="12">
        <f>IF($H815="Cancelled","",IFERROR((T815*INDEX(Variables!$B$7:$D$7,IFERROR(MATCH(IF($B815="Robusta","Robusta",(IF($B815="","Arabica",$B815))&amp;" - "&amp;(IF($C815="","Commercial",$C815))),Variables!$B$1:$D$1,0),1))*IFERROR(IF(W815="","",(AVERAGE(E815:F815)-W815)-Variables!$B$14),"")/365)+(L815/16.67*INDEX(Variables!$B$8:$D$8,IFERROR(MATCH(IF($B815="Robusta","Robusta",(IF($B815="","Arabica",$B815))&amp;" - "&amp;(IF($C815="","Commercial",$C815))),Variables!$B$1:$D$1,0),1))*IFERROR(IF(W815="","",(AVERAGE(E815:F815)-W815)-Variables!$B$14),""))+(T815*INDEX(Variables!$B$9:$D$9,IFERROR(MATCH(IF($B815="Robusta","Robusta",(IF($B815="","Arabica",$B815))&amp;" - "&amp;(IF($C815="","Commercial",$C815))),Variables!$B$1:$D$1,0),1))*IFERROR(IF(W815="","",(AVERAGE(E815:F815)-W815)-Variables!$B$14),"")/365),""))</f>
        <v>56.141549260640652</v>
      </c>
      <c r="AT815" s="12">
        <f>IF($H815="Cancelled","",IFERROR((T815*INDEX(Variables!$B$7:$D$7,IFERROR(MATCH(IF($B815="Robusta","Robusta",(IF($B815="","Arabica",$B815))&amp;" - "&amp;(IF($C815="","Commercial",$C815))),Variables!$B$1:$D$1,0),1))*AC815/365)+(L815/16.67*INDEX(Variables!$B$8:$D$8,IFERROR(MATCH(IF($B815="Robusta","Robusta",(IF($B815="","Arabica",$B815))&amp;" - "&amp;(IF($C815="","Commercial",$C815))),Variables!$B$1:$D$1,0),1))*AC815)+(T815*INDEX(Variables!$B$9:$D$9,IFERROR(MATCH(IF($B815="Robusta","Robusta",(IF($B815="","Arabica",$B815))&amp;" - "&amp;(IF($C815="","Commercial",$C815))),Variables!$B$1:$D$1,0),1))*AC815/365),""))</f>
        <v>-117.62991273658042</v>
      </c>
      <c r="AU815" s="12">
        <f>IF($H815="Cancelled","",IFERROR((T815*INDEX(Variables!$B$7:$D$7,IFERROR(MATCH(IF($B815="Robusta","Robusta",(IF($B815="","Arabica",$B815))&amp;" - "&amp;(IF($C815="","Commercial",$C815))),Variables!$B$1:$D$1,0),1))*AP815/365)+(L815/16.67*INDEX(Variables!$B$8:$D$8,IFERROR(MATCH(IF($B815="Robusta","Robusta",(IF($B815="","Arabica",$B815))&amp;" - "&amp;(IF($C815="","Commercial",$C815))),Variables!$B$1:$D$1,0),1))*AP815)+(T815*INDEX(Variables!$B$9:$D$9,IFERROR(MATCH(IF($B815="Robusta","Robusta",(IF($B815="","Arabica",$B815))&amp;" - "&amp;(IF($C815="","Commercial",$C815))),Variables!$B$1:$D$1,0),1))*AP815/365),""))</f>
        <v>-3.5645428101994066</v>
      </c>
      <c r="AV815" s="11">
        <f t="shared" si="80"/>
        <v>-7</v>
      </c>
      <c r="AW815" s="12">
        <f>IF($H815="Cancelled","",IFERROR(IF(AV815="","",(T815*INDEX(Variables!$B$7:$D$7,IFERROR(MATCH(IF($B815="Robusta","Robusta",(IF($B815="","Arabica",$B815))&amp;" - "&amp;(IF($C815="","Commercial",$C815))),Variables!$B$1:$D$1,0),1))*(AV815/365))+(T815*INDEX(Variables!$B$9:$D$9,IFERROR(MATCH(IF($B815="Robusta","Robusta",(IF($B815="","Arabica",$B815))&amp;" - "&amp;(IF($C815="","Commercial",$C815))),Variables!$B$1:$D$1,0),1))*(AV815/365))+(INDEX(Variables!$B$8:$D$8,IFERROR(MATCH(IF($B815="Robusta","Robusta",(IF($B815="","Arabica",$B815))&amp;" - "&amp;(IF($C815="","Commercial",$C815))),Variables!$B$1:$D$1,0),1))*L815/16.67)),""))</f>
        <v>-6.4758998356979234</v>
      </c>
      <c r="AX815" s="9"/>
      <c r="AY815" s="12"/>
      <c r="AZ815" s="10"/>
      <c r="BA815" s="9"/>
      <c r="BB815" s="10"/>
      <c r="BC815" s="9"/>
      <c r="BD815" s="9"/>
      <c r="BE815" s="9"/>
      <c r="BF815" s="9"/>
    </row>
    <row r="816" spans="1:58" x14ac:dyDescent="0.25">
      <c r="A816" s="9" t="s">
        <v>84</v>
      </c>
      <c r="B816" s="9" t="s">
        <v>85</v>
      </c>
      <c r="C816" s="9" t="s">
        <v>1486</v>
      </c>
      <c r="D816" s="10">
        <v>45429</v>
      </c>
      <c r="E816" s="10">
        <v>45444</v>
      </c>
      <c r="F816" s="10">
        <v>45473</v>
      </c>
      <c r="G816" s="9">
        <v>3786380</v>
      </c>
      <c r="H816" s="9" t="str">
        <f t="shared" si="78"/>
        <v>Closed</v>
      </c>
      <c r="I816" s="9" t="str">
        <f t="shared" si="79"/>
        <v>All dates received</v>
      </c>
      <c r="J816" s="9" t="s">
        <v>547</v>
      </c>
      <c r="K816" s="9">
        <v>4953</v>
      </c>
      <c r="L816" s="11">
        <v>3</v>
      </c>
      <c r="M816" s="9" t="s">
        <v>1768</v>
      </c>
      <c r="N816" s="9"/>
      <c r="O816" s="9"/>
      <c r="P816" s="9"/>
      <c r="Q816" s="11"/>
      <c r="R816" s="9" t="s">
        <v>195</v>
      </c>
      <c r="S816" s="9" t="s">
        <v>207</v>
      </c>
      <c r="T816" s="12">
        <f>IF($H816="Cancelled","",IFERROR(((Q816+INDEX(Variables!$B$6:$D$6,IFERROR(MATCH(IF($B816="Robusta","Robusta",(IF($B816="","Arabica",$B816))&amp;" - "&amp;(IF($C816="","Commercial",$C816))),Variables!$B$1:$D$1,0),1)))*22.0462)*(L816/16.67),""))</f>
        <v>1153.7555416916614</v>
      </c>
      <c r="U816" s="10"/>
      <c r="V816" s="9" t="str">
        <f t="shared" si="81"/>
        <v/>
      </c>
      <c r="W816" s="10">
        <v>45397</v>
      </c>
      <c r="X816" s="9" t="str">
        <f t="shared" si="82"/>
        <v>Approved</v>
      </c>
      <c r="Y816" s="10">
        <v>45397</v>
      </c>
      <c r="Z816" s="10">
        <f>IF($H816="Cancelled","",IFERROR(IF(F816="","",F816-Variables!$B$13),""))</f>
        <v>45458</v>
      </c>
      <c r="AA816" s="11">
        <f>IF($H816="Cancelled","",IFERROR(IF(W816="","",(AVERAGE(E816:F816)-W816)-Variables!$B$14),""))</f>
        <v>31.5</v>
      </c>
      <c r="AB816" s="10">
        <v>45471</v>
      </c>
      <c r="AC816" s="11">
        <f>IF($H816="Cancelled","",IFERROR(IF(AB816="","",IF(AND(W816="",Y816=""),"",IF(Y816&gt;W816,Y816+Variables!$B$15+Variables!$B$16+Variables!$B$17-AB816,W816+Variables!$B$16+Variables!$B$17-AB816))),""))</f>
        <v>-66</v>
      </c>
      <c r="AD816" s="9" t="s">
        <v>151</v>
      </c>
      <c r="AE816" s="9" t="s">
        <v>358</v>
      </c>
      <c r="AF816" s="10"/>
      <c r="AG816" s="10"/>
      <c r="AH816" s="9"/>
      <c r="AI816" s="9" t="s">
        <v>1759</v>
      </c>
      <c r="AJ816" s="9" t="s">
        <v>8</v>
      </c>
      <c r="AK816" s="10">
        <v>45480</v>
      </c>
      <c r="AL816" s="10">
        <v>45482</v>
      </c>
      <c r="AM816" s="10">
        <v>45490</v>
      </c>
      <c r="AN816" s="9" t="s">
        <v>1492</v>
      </c>
      <c r="AO816" s="9"/>
      <c r="AP816" s="11">
        <f>IF($H816="Cancelled","",IFERROR(IF(OR(AK816="",AB816=""),"",(AB816+Variables!$B$18-AK816)),""))</f>
        <v>-2</v>
      </c>
      <c r="AQ816" s="11">
        <f>IF($H816="Cancelled","",IFERROR(IF(OR(AM816="",AK816=""),"",(AK816+Variables!$B$19)-AM816),""))</f>
        <v>-5</v>
      </c>
      <c r="AR816" s="12">
        <f>IF($H816="Cancelled","",IFERROR(T816*INDEX(Variables!$B$7:$D$7,IFERROR(MATCH(IF($B816="Robusta","Robusta",(IF($B816="","Arabica",$B816))&amp;" - "&amp;(IF($C816="","Commercial",$C816))),Variables!$B$1:$D$1,0),1))*(AQ816/365),""))</f>
        <v>-1.0191328163078088</v>
      </c>
      <c r="AS816" s="12">
        <f>IF($H816="Cancelled","",IFERROR((T816*INDEX(Variables!$B$7:$D$7,IFERROR(MATCH(IF($B816="Robusta","Robusta",(IF($B816="","Arabica",$B816))&amp;" - "&amp;(IF($C816="","Commercial",$C816))),Variables!$B$1:$D$1,0),1))*IFERROR(IF(W816="","",(AVERAGE(E816:F816)-W816)-Variables!$B$14),"")/365)+(L816/16.67*INDEX(Variables!$B$8:$D$8,IFERROR(MATCH(IF($B816="Robusta","Robusta",(IF($B816="","Arabica",$B816))&amp;" - "&amp;(IF($C816="","Commercial",$C816))),Variables!$B$1:$D$1,0),1))*IFERROR(IF(W816="","",(AVERAGE(E816:F816)-W816)-Variables!$B$14),""))+(T816*INDEX(Variables!$B$9:$D$9,IFERROR(MATCH(IF($B816="Robusta","Robusta",(IF($B816="","Arabica",$B816))&amp;" - "&amp;(IF($C816="","Commercial",$C816))),Variables!$B$1:$D$1,0),1))*IFERROR(IF(W816="","",(AVERAGE(E816:F816)-W816)-Variables!$B$14),"")/365),""))</f>
        <v>11.228309852128129</v>
      </c>
      <c r="AT816" s="12">
        <f>IF($H816="Cancelled","",IFERROR((T816*INDEX(Variables!$B$7:$D$7,IFERROR(MATCH(IF($B816="Robusta","Robusta",(IF($B816="","Arabica",$B816))&amp;" - "&amp;(IF($C816="","Commercial",$C816))),Variables!$B$1:$D$1,0),1))*AC816/365)+(L816/16.67*INDEX(Variables!$B$8:$D$8,IFERROR(MATCH(IF($B816="Robusta","Robusta",(IF($B816="","Arabica",$B816))&amp;" - "&amp;(IF($C816="","Commercial",$C816))),Variables!$B$1:$D$1,0),1))*AC816)+(T816*INDEX(Variables!$B$9:$D$9,IFERROR(MATCH(IF($B816="Robusta","Robusta",(IF($B816="","Arabica",$B816))&amp;" - "&amp;(IF($C816="","Commercial",$C816))),Variables!$B$1:$D$1,0),1))*AC816/365),""))</f>
        <v>-23.525982547316083</v>
      </c>
      <c r="AU816" s="12">
        <f>IF($H816="Cancelled","",IFERROR((T816*INDEX(Variables!$B$7:$D$7,IFERROR(MATCH(IF($B816="Robusta","Robusta",(IF($B816="","Arabica",$B816))&amp;" - "&amp;(IF($C816="","Commercial",$C816))),Variables!$B$1:$D$1,0),1))*AP816/365)+(L816/16.67*INDEX(Variables!$B$8:$D$8,IFERROR(MATCH(IF($B816="Robusta","Robusta",(IF($B816="","Arabica",$B816))&amp;" - "&amp;(IF($C816="","Commercial",$C816))),Variables!$B$1:$D$1,0),1))*AP816)+(T816*INDEX(Variables!$B$9:$D$9,IFERROR(MATCH(IF($B816="Robusta","Robusta",(IF($B816="","Arabica",$B816))&amp;" - "&amp;(IF($C816="","Commercial",$C816))),Variables!$B$1:$D$1,0),1))*AP816/365),""))</f>
        <v>-0.71290856203988118</v>
      </c>
      <c r="AV816" s="11">
        <f t="shared" si="80"/>
        <v>-7</v>
      </c>
      <c r="AW816" s="12">
        <f>IF($H816="Cancelled","",IFERROR(IF(AV816="","",(T816*INDEX(Variables!$B$7:$D$7,IFERROR(MATCH(IF($B816="Robusta","Robusta",(IF($B816="","Arabica",$B816))&amp;" - "&amp;(IF($C816="","Commercial",$C816))),Variables!$B$1:$D$1,0),1))*(AV816/365))+(T816*INDEX(Variables!$B$9:$D$9,IFERROR(MATCH(IF($B816="Robusta","Robusta",(IF($B816="","Arabica",$B816))&amp;" - "&amp;(IF($C816="","Commercial",$C816))),Variables!$B$1:$D$1,0),1))*(AV816/365))+(INDEX(Variables!$B$8:$D$8,IFERROR(MATCH(IF($B816="Robusta","Robusta",(IF($B816="","Arabica",$B816))&amp;" - "&amp;(IF($C816="","Commercial",$C816))),Variables!$B$1:$D$1,0),1))*L816/16.67)),""))</f>
        <v>-1.2951799671395845</v>
      </c>
      <c r="AX816" s="9"/>
      <c r="AY816" s="12"/>
      <c r="AZ816" s="10"/>
      <c r="BA816" s="9"/>
      <c r="BB816" s="10"/>
      <c r="BC816" s="9"/>
      <c r="BD816" s="9"/>
      <c r="BE816" s="9"/>
      <c r="BF816" s="9"/>
    </row>
    <row r="817" spans="1:58" x14ac:dyDescent="0.25">
      <c r="A817" s="9" t="s">
        <v>84</v>
      </c>
      <c r="B817" s="9" t="s">
        <v>85</v>
      </c>
      <c r="C817" s="9" t="s">
        <v>1486</v>
      </c>
      <c r="D817" s="10">
        <v>45429</v>
      </c>
      <c r="E817" s="10">
        <v>45444</v>
      </c>
      <c r="F817" s="10">
        <v>45473</v>
      </c>
      <c r="G817" s="9">
        <v>3786381</v>
      </c>
      <c r="H817" s="9" t="str">
        <f t="shared" si="78"/>
        <v>Closed</v>
      </c>
      <c r="I817" s="9" t="str">
        <f t="shared" si="79"/>
        <v>All dates received</v>
      </c>
      <c r="J817" s="9" t="s">
        <v>547</v>
      </c>
      <c r="K817" s="9" t="s">
        <v>1769</v>
      </c>
      <c r="L817" s="11">
        <v>6</v>
      </c>
      <c r="M817" s="9" t="s">
        <v>1770</v>
      </c>
      <c r="N817" s="9"/>
      <c r="O817" s="9"/>
      <c r="P817" s="9"/>
      <c r="Q817" s="11"/>
      <c r="R817" s="9" t="s">
        <v>195</v>
      </c>
      <c r="S817" s="9" t="s">
        <v>207</v>
      </c>
      <c r="T817" s="12">
        <f>IF($H817="Cancelled","",IFERROR(((Q817+INDEX(Variables!$B$6:$D$6,IFERROR(MATCH(IF($B817="Robusta","Robusta",(IF($B817="","Arabica",$B817))&amp;" - "&amp;(IF($C817="","Commercial",$C817))),Variables!$B$1:$D$1,0),1)))*22.0462)*(L817/16.67),""))</f>
        <v>2307.5110833833228</v>
      </c>
      <c r="U817" s="10"/>
      <c r="V817" s="9" t="str">
        <f t="shared" si="81"/>
        <v/>
      </c>
      <c r="W817" s="10">
        <v>45397</v>
      </c>
      <c r="X817" s="9" t="str">
        <f t="shared" si="82"/>
        <v>Approved</v>
      </c>
      <c r="Y817" s="10">
        <v>45397</v>
      </c>
      <c r="Z817" s="10">
        <f>IF($H817="Cancelled","",IFERROR(IF(F817="","",F817-Variables!$B$13),""))</f>
        <v>45458</v>
      </c>
      <c r="AA817" s="11">
        <f>IF($H817="Cancelled","",IFERROR(IF(W817="","",(AVERAGE(E817:F817)-W817)-Variables!$B$14),""))</f>
        <v>31.5</v>
      </c>
      <c r="AB817" s="10">
        <v>45471</v>
      </c>
      <c r="AC817" s="11">
        <f>IF($H817="Cancelled","",IFERROR(IF(AB817="","",IF(AND(W817="",Y817=""),"",IF(Y817&gt;W817,Y817+Variables!$B$15+Variables!$B$16+Variables!$B$17-AB817,W817+Variables!$B$16+Variables!$B$17-AB817))),""))</f>
        <v>-66</v>
      </c>
      <c r="AD817" s="9" t="s">
        <v>151</v>
      </c>
      <c r="AE817" s="9" t="s">
        <v>358</v>
      </c>
      <c r="AF817" s="10"/>
      <c r="AG817" s="10"/>
      <c r="AH817" s="9"/>
      <c r="AI817" s="9" t="s">
        <v>1759</v>
      </c>
      <c r="AJ817" s="9" t="s">
        <v>8</v>
      </c>
      <c r="AK817" s="10">
        <v>45480</v>
      </c>
      <c r="AL817" s="10">
        <v>45482</v>
      </c>
      <c r="AM817" s="10">
        <v>45490</v>
      </c>
      <c r="AN817" s="9" t="s">
        <v>1492</v>
      </c>
      <c r="AO817" s="9"/>
      <c r="AP817" s="11">
        <f>IF($H817="Cancelled","",IFERROR(IF(OR(AK817="",AB817=""),"",(AB817+Variables!$B$18-AK817)),""))</f>
        <v>-2</v>
      </c>
      <c r="AQ817" s="11">
        <f>IF($H817="Cancelled","",IFERROR(IF(OR(AM817="",AK817=""),"",(AK817+Variables!$B$19)-AM817),""))</f>
        <v>-5</v>
      </c>
      <c r="AR817" s="12">
        <f>IF($H817="Cancelled","",IFERROR(T817*INDEX(Variables!$B$7:$D$7,IFERROR(MATCH(IF($B817="Robusta","Robusta",(IF($B817="","Arabica",$B817))&amp;" - "&amp;(IF($C817="","Commercial",$C817))),Variables!$B$1:$D$1,0),1))*(AQ817/365),""))</f>
        <v>-2.0382656326156177</v>
      </c>
      <c r="AS817" s="12">
        <f>IF($H817="Cancelled","",IFERROR((T817*INDEX(Variables!$B$7:$D$7,IFERROR(MATCH(IF($B817="Robusta","Robusta",(IF($B817="","Arabica",$B817))&amp;" - "&amp;(IF($C817="","Commercial",$C817))),Variables!$B$1:$D$1,0),1))*IFERROR(IF(W817="","",(AVERAGE(E817:F817)-W817)-Variables!$B$14),"")/365)+(L817/16.67*INDEX(Variables!$B$8:$D$8,IFERROR(MATCH(IF($B817="Robusta","Robusta",(IF($B817="","Arabica",$B817))&amp;" - "&amp;(IF($C817="","Commercial",$C817))),Variables!$B$1:$D$1,0),1))*IFERROR(IF(W817="","",(AVERAGE(E817:F817)-W817)-Variables!$B$14),""))+(T817*INDEX(Variables!$B$9:$D$9,IFERROR(MATCH(IF($B817="Robusta","Robusta",(IF($B817="","Arabica",$B817))&amp;" - "&amp;(IF($C817="","Commercial",$C817))),Variables!$B$1:$D$1,0),1))*IFERROR(IF(W817="","",(AVERAGE(E817:F817)-W817)-Variables!$B$14),"")/365),""))</f>
        <v>22.456619704256259</v>
      </c>
      <c r="AT817" s="12">
        <f>IF($H817="Cancelled","",IFERROR((T817*INDEX(Variables!$B$7:$D$7,IFERROR(MATCH(IF($B817="Robusta","Robusta",(IF($B817="","Arabica",$B817))&amp;" - "&amp;(IF($C817="","Commercial",$C817))),Variables!$B$1:$D$1,0),1))*AC817/365)+(L817/16.67*INDEX(Variables!$B$8:$D$8,IFERROR(MATCH(IF($B817="Robusta","Robusta",(IF($B817="","Arabica",$B817))&amp;" - "&amp;(IF($C817="","Commercial",$C817))),Variables!$B$1:$D$1,0),1))*AC817)+(T817*INDEX(Variables!$B$9:$D$9,IFERROR(MATCH(IF($B817="Robusta","Robusta",(IF($B817="","Arabica",$B817))&amp;" - "&amp;(IF($C817="","Commercial",$C817))),Variables!$B$1:$D$1,0),1))*AC817/365),""))</f>
        <v>-47.051965094632166</v>
      </c>
      <c r="AU817" s="12">
        <f>IF($H817="Cancelled","",IFERROR((T817*INDEX(Variables!$B$7:$D$7,IFERROR(MATCH(IF($B817="Robusta","Robusta",(IF($B817="","Arabica",$B817))&amp;" - "&amp;(IF($C817="","Commercial",$C817))),Variables!$B$1:$D$1,0),1))*AP817/365)+(L817/16.67*INDEX(Variables!$B$8:$D$8,IFERROR(MATCH(IF($B817="Robusta","Robusta",(IF($B817="","Arabica",$B817))&amp;" - "&amp;(IF($C817="","Commercial",$C817))),Variables!$B$1:$D$1,0),1))*AP817)+(T817*INDEX(Variables!$B$9:$D$9,IFERROR(MATCH(IF($B817="Robusta","Robusta",(IF($B817="","Arabica",$B817))&amp;" - "&amp;(IF($C817="","Commercial",$C817))),Variables!$B$1:$D$1,0),1))*AP817/365),""))</f>
        <v>-1.4258171240797624</v>
      </c>
      <c r="AV817" s="11">
        <f t="shared" si="80"/>
        <v>-7</v>
      </c>
      <c r="AW817" s="12">
        <f>IF($H817="Cancelled","",IFERROR(IF(AV817="","",(T817*INDEX(Variables!$B$7:$D$7,IFERROR(MATCH(IF($B817="Robusta","Robusta",(IF($B817="","Arabica",$B817))&amp;" - "&amp;(IF($C817="","Commercial",$C817))),Variables!$B$1:$D$1,0),1))*(AV817/365))+(T817*INDEX(Variables!$B$9:$D$9,IFERROR(MATCH(IF($B817="Robusta","Robusta",(IF($B817="","Arabica",$B817))&amp;" - "&amp;(IF($C817="","Commercial",$C817))),Variables!$B$1:$D$1,0),1))*(AV817/365))+(INDEX(Variables!$B$8:$D$8,IFERROR(MATCH(IF($B817="Robusta","Robusta",(IF($B817="","Arabica",$B817))&amp;" - "&amp;(IF($C817="","Commercial",$C817))),Variables!$B$1:$D$1,0),1))*L817/16.67)),""))</f>
        <v>-2.590359934279169</v>
      </c>
      <c r="AX817" s="9"/>
      <c r="AY817" s="12"/>
      <c r="AZ817" s="10"/>
      <c r="BA817" s="9"/>
      <c r="BB817" s="10"/>
      <c r="BC817" s="9"/>
      <c r="BD817" s="9"/>
      <c r="BE817" s="9"/>
      <c r="BF817" s="9"/>
    </row>
    <row r="818" spans="1:58" x14ac:dyDescent="0.25">
      <c r="A818" s="9" t="s">
        <v>84</v>
      </c>
      <c r="B818" s="9" t="s">
        <v>85</v>
      </c>
      <c r="C818" s="9" t="s">
        <v>1486</v>
      </c>
      <c r="D818" s="10">
        <v>45429</v>
      </c>
      <c r="E818" s="10">
        <v>45444</v>
      </c>
      <c r="F818" s="10">
        <v>45473</v>
      </c>
      <c r="G818" s="9">
        <v>3786382</v>
      </c>
      <c r="H818" s="9" t="str">
        <f t="shared" si="78"/>
        <v>Closed</v>
      </c>
      <c r="I818" s="9" t="str">
        <f t="shared" si="79"/>
        <v>All dates received</v>
      </c>
      <c r="J818" s="9" t="s">
        <v>547</v>
      </c>
      <c r="K818" s="9" t="s">
        <v>1771</v>
      </c>
      <c r="L818" s="11">
        <v>3</v>
      </c>
      <c r="M818" s="9" t="s">
        <v>1772</v>
      </c>
      <c r="N818" s="9"/>
      <c r="O818" s="9"/>
      <c r="P818" s="9"/>
      <c r="Q818" s="11"/>
      <c r="R818" s="9" t="s">
        <v>195</v>
      </c>
      <c r="S818" s="9" t="s">
        <v>207</v>
      </c>
      <c r="T818" s="12">
        <f>IF($H818="Cancelled","",IFERROR(((Q818+INDEX(Variables!$B$6:$D$6,IFERROR(MATCH(IF($B818="Robusta","Robusta",(IF($B818="","Arabica",$B818))&amp;" - "&amp;(IF($C818="","Commercial",$C818))),Variables!$B$1:$D$1,0),1)))*22.0462)*(L818/16.67),""))</f>
        <v>1153.7555416916614</v>
      </c>
      <c r="U818" s="10"/>
      <c r="V818" s="9" t="str">
        <f t="shared" si="81"/>
        <v/>
      </c>
      <c r="W818" s="10">
        <v>45397</v>
      </c>
      <c r="X818" s="9" t="str">
        <f t="shared" si="82"/>
        <v>Approved</v>
      </c>
      <c r="Y818" s="10">
        <v>45397</v>
      </c>
      <c r="Z818" s="10">
        <f>IF($H818="Cancelled","",IFERROR(IF(F818="","",F818-Variables!$B$13),""))</f>
        <v>45458</v>
      </c>
      <c r="AA818" s="11">
        <f>IF($H818="Cancelled","",IFERROR(IF(W818="","",(AVERAGE(E818:F818)-W818)-Variables!$B$14),""))</f>
        <v>31.5</v>
      </c>
      <c r="AB818" s="10">
        <v>45471</v>
      </c>
      <c r="AC818" s="11">
        <f>IF($H818="Cancelled","",IFERROR(IF(AB818="","",IF(AND(W818="",Y818=""),"",IF(Y818&gt;W818,Y818+Variables!$B$15+Variables!$B$16+Variables!$B$17-AB818,W818+Variables!$B$16+Variables!$B$17-AB818))),""))</f>
        <v>-66</v>
      </c>
      <c r="AD818" s="9" t="s">
        <v>151</v>
      </c>
      <c r="AE818" s="9" t="s">
        <v>358</v>
      </c>
      <c r="AF818" s="10"/>
      <c r="AG818" s="10"/>
      <c r="AH818" s="9"/>
      <c r="AI818" s="9" t="s">
        <v>1759</v>
      </c>
      <c r="AJ818" s="9" t="s">
        <v>8</v>
      </c>
      <c r="AK818" s="10">
        <v>45480</v>
      </c>
      <c r="AL818" s="10">
        <v>45482</v>
      </c>
      <c r="AM818" s="10">
        <v>45490</v>
      </c>
      <c r="AN818" s="9" t="s">
        <v>1492</v>
      </c>
      <c r="AO818" s="9"/>
      <c r="AP818" s="11">
        <f>IF($H818="Cancelled","",IFERROR(IF(OR(AK818="",AB818=""),"",(AB818+Variables!$B$18-AK818)),""))</f>
        <v>-2</v>
      </c>
      <c r="AQ818" s="11">
        <f>IF($H818="Cancelled","",IFERROR(IF(OR(AM818="",AK818=""),"",(AK818+Variables!$B$19)-AM818),""))</f>
        <v>-5</v>
      </c>
      <c r="AR818" s="12">
        <f>IF($H818="Cancelled","",IFERROR(T818*INDEX(Variables!$B$7:$D$7,IFERROR(MATCH(IF($B818="Robusta","Robusta",(IF($B818="","Arabica",$B818))&amp;" - "&amp;(IF($C818="","Commercial",$C818))),Variables!$B$1:$D$1,0),1))*(AQ818/365),""))</f>
        <v>-1.0191328163078088</v>
      </c>
      <c r="AS818" s="12">
        <f>IF($H818="Cancelled","",IFERROR((T818*INDEX(Variables!$B$7:$D$7,IFERROR(MATCH(IF($B818="Robusta","Robusta",(IF($B818="","Arabica",$B818))&amp;" - "&amp;(IF($C818="","Commercial",$C818))),Variables!$B$1:$D$1,0),1))*IFERROR(IF(W818="","",(AVERAGE(E818:F818)-W818)-Variables!$B$14),"")/365)+(L818/16.67*INDEX(Variables!$B$8:$D$8,IFERROR(MATCH(IF($B818="Robusta","Robusta",(IF($B818="","Arabica",$B818))&amp;" - "&amp;(IF($C818="","Commercial",$C818))),Variables!$B$1:$D$1,0),1))*IFERROR(IF(W818="","",(AVERAGE(E818:F818)-W818)-Variables!$B$14),""))+(T818*INDEX(Variables!$B$9:$D$9,IFERROR(MATCH(IF($B818="Robusta","Robusta",(IF($B818="","Arabica",$B818))&amp;" - "&amp;(IF($C818="","Commercial",$C818))),Variables!$B$1:$D$1,0),1))*IFERROR(IF(W818="","",(AVERAGE(E818:F818)-W818)-Variables!$B$14),"")/365),""))</f>
        <v>11.228309852128129</v>
      </c>
      <c r="AT818" s="12">
        <f>IF($H818="Cancelled","",IFERROR((T818*INDEX(Variables!$B$7:$D$7,IFERROR(MATCH(IF($B818="Robusta","Robusta",(IF($B818="","Arabica",$B818))&amp;" - "&amp;(IF($C818="","Commercial",$C818))),Variables!$B$1:$D$1,0),1))*AC818/365)+(L818/16.67*INDEX(Variables!$B$8:$D$8,IFERROR(MATCH(IF($B818="Robusta","Robusta",(IF($B818="","Arabica",$B818))&amp;" - "&amp;(IF($C818="","Commercial",$C818))),Variables!$B$1:$D$1,0),1))*AC818)+(T818*INDEX(Variables!$B$9:$D$9,IFERROR(MATCH(IF($B818="Robusta","Robusta",(IF($B818="","Arabica",$B818))&amp;" - "&amp;(IF($C818="","Commercial",$C818))),Variables!$B$1:$D$1,0),1))*AC818/365),""))</f>
        <v>-23.525982547316083</v>
      </c>
      <c r="AU818" s="12">
        <f>IF($H818="Cancelled","",IFERROR((T818*INDEX(Variables!$B$7:$D$7,IFERROR(MATCH(IF($B818="Robusta","Robusta",(IF($B818="","Arabica",$B818))&amp;" - "&amp;(IF($C818="","Commercial",$C818))),Variables!$B$1:$D$1,0),1))*AP818/365)+(L818/16.67*INDEX(Variables!$B$8:$D$8,IFERROR(MATCH(IF($B818="Robusta","Robusta",(IF($B818="","Arabica",$B818))&amp;" - "&amp;(IF($C818="","Commercial",$C818))),Variables!$B$1:$D$1,0),1))*AP818)+(T818*INDEX(Variables!$B$9:$D$9,IFERROR(MATCH(IF($B818="Robusta","Robusta",(IF($B818="","Arabica",$B818))&amp;" - "&amp;(IF($C818="","Commercial",$C818))),Variables!$B$1:$D$1,0),1))*AP818/365),""))</f>
        <v>-0.71290856203988118</v>
      </c>
      <c r="AV818" s="11">
        <f t="shared" si="80"/>
        <v>-7</v>
      </c>
      <c r="AW818" s="12">
        <f>IF($H818="Cancelled","",IFERROR(IF(AV818="","",(T818*INDEX(Variables!$B$7:$D$7,IFERROR(MATCH(IF($B818="Robusta","Robusta",(IF($B818="","Arabica",$B818))&amp;" - "&amp;(IF($C818="","Commercial",$C818))),Variables!$B$1:$D$1,0),1))*(AV818/365))+(T818*INDEX(Variables!$B$9:$D$9,IFERROR(MATCH(IF($B818="Robusta","Robusta",(IF($B818="","Arabica",$B818))&amp;" - "&amp;(IF($C818="","Commercial",$C818))),Variables!$B$1:$D$1,0),1))*(AV818/365))+(INDEX(Variables!$B$8:$D$8,IFERROR(MATCH(IF($B818="Robusta","Robusta",(IF($B818="","Arabica",$B818))&amp;" - "&amp;(IF($C818="","Commercial",$C818))),Variables!$B$1:$D$1,0),1))*L818/16.67)),""))</f>
        <v>-1.2951799671395845</v>
      </c>
      <c r="AX818" s="9"/>
      <c r="AY818" s="12"/>
      <c r="AZ818" s="10"/>
      <c r="BA818" s="9"/>
      <c r="BB818" s="10"/>
      <c r="BC818" s="9"/>
      <c r="BD818" s="9"/>
      <c r="BE818" s="9"/>
      <c r="BF818" s="9"/>
    </row>
    <row r="819" spans="1:58" x14ac:dyDescent="0.25">
      <c r="A819" s="9" t="s">
        <v>84</v>
      </c>
      <c r="B819" s="9" t="s">
        <v>85</v>
      </c>
      <c r="C819" s="9" t="s">
        <v>1486</v>
      </c>
      <c r="D819" s="10">
        <v>45429</v>
      </c>
      <c r="E819" s="10">
        <v>45444</v>
      </c>
      <c r="F819" s="10">
        <v>45473</v>
      </c>
      <c r="G819" s="9">
        <v>3786383</v>
      </c>
      <c r="H819" s="9" t="str">
        <f t="shared" si="78"/>
        <v>Closed</v>
      </c>
      <c r="I819" s="9" t="str">
        <f t="shared" si="79"/>
        <v>All dates received</v>
      </c>
      <c r="J819" s="9" t="s">
        <v>1439</v>
      </c>
      <c r="K819" s="9">
        <v>5003</v>
      </c>
      <c r="L819" s="11">
        <v>50</v>
      </c>
      <c r="M819" s="9" t="s">
        <v>1773</v>
      </c>
      <c r="N819" s="9"/>
      <c r="O819" s="9"/>
      <c r="P819" s="9"/>
      <c r="Q819" s="11"/>
      <c r="R819" s="9" t="s">
        <v>195</v>
      </c>
      <c r="S819" s="9" t="s">
        <v>554</v>
      </c>
      <c r="T819" s="12">
        <f>IF($H819="Cancelled","",IFERROR(((Q819+INDEX(Variables!$B$6:$D$6,IFERROR(MATCH(IF($B819="Robusta","Robusta",(IF($B819="","Arabica",$B819))&amp;" - "&amp;(IF($C819="","Commercial",$C819))),Variables!$B$1:$D$1,0),1)))*22.0462)*(L819/16.67),""))</f>
        <v>19229.259028194359</v>
      </c>
      <c r="U819" s="10"/>
      <c r="V819" s="9" t="str">
        <f t="shared" si="81"/>
        <v/>
      </c>
      <c r="W819" s="10">
        <v>45397</v>
      </c>
      <c r="X819" s="9" t="str">
        <f t="shared" si="82"/>
        <v>Approved</v>
      </c>
      <c r="Y819" s="10">
        <v>45397</v>
      </c>
      <c r="Z819" s="10">
        <f>IF($H819="Cancelled","",IFERROR(IF(F819="","",F819-Variables!$B$13),""))</f>
        <v>45458</v>
      </c>
      <c r="AA819" s="11">
        <f>IF($H819="Cancelled","",IFERROR(IF(W819="","",(AVERAGE(E819:F819)-W819)-Variables!$B$14),""))</f>
        <v>31.5</v>
      </c>
      <c r="AB819" s="10">
        <v>45476</v>
      </c>
      <c r="AC819" s="11">
        <f>IF($H819="Cancelled","",IFERROR(IF(AB819="","",IF(AND(W819="",Y819=""),"",IF(Y819&gt;W819,Y819+Variables!$B$15+Variables!$B$16+Variables!$B$17-AB819,W819+Variables!$B$16+Variables!$B$17-AB819))),""))</f>
        <v>-71</v>
      </c>
      <c r="AD819" s="9" t="s">
        <v>107</v>
      </c>
      <c r="AE819" s="9" t="s">
        <v>364</v>
      </c>
      <c r="AF819" s="10"/>
      <c r="AG819" s="10"/>
      <c r="AH819" s="9"/>
      <c r="AI819" s="9" t="s">
        <v>1774</v>
      </c>
      <c r="AJ819" s="9" t="s">
        <v>8</v>
      </c>
      <c r="AK819" s="10">
        <v>45493</v>
      </c>
      <c r="AL819" s="10">
        <v>45512</v>
      </c>
      <c r="AM819" s="10">
        <v>45516</v>
      </c>
      <c r="AN819" s="9" t="s">
        <v>1492</v>
      </c>
      <c r="AO819" s="9"/>
      <c r="AP819" s="11">
        <f>IF($H819="Cancelled","",IFERROR(IF(OR(AK819="",AB819=""),"",(AB819+Variables!$B$18-AK819)),""))</f>
        <v>-10</v>
      </c>
      <c r="AQ819" s="11">
        <f>IF($H819="Cancelled","",IFERROR(IF(OR(AM819="",AK819=""),"",(AK819+Variables!$B$19)-AM819),""))</f>
        <v>-18</v>
      </c>
      <c r="AR819" s="12">
        <f>IF($H819="Cancelled","",IFERROR(T819*INDEX(Variables!$B$7:$D$7,IFERROR(MATCH(IF($B819="Robusta","Robusta",(IF($B819="","Arabica",$B819))&amp;" - "&amp;(IF($C819="","Commercial",$C819))),Variables!$B$1:$D$1,0),1))*(AQ819/365),""))</f>
        <v>-61.147968978468548</v>
      </c>
      <c r="AS819" s="12">
        <f>IF($H819="Cancelled","",IFERROR((T819*INDEX(Variables!$B$7:$D$7,IFERROR(MATCH(IF($B819="Robusta","Robusta",(IF($B819="","Arabica",$B819))&amp;" - "&amp;(IF($C819="","Commercial",$C819))),Variables!$B$1:$D$1,0),1))*IFERROR(IF(W819="","",(AVERAGE(E819:F819)-W819)-Variables!$B$14),"")/365)+(L819/16.67*INDEX(Variables!$B$8:$D$8,IFERROR(MATCH(IF($B819="Robusta","Robusta",(IF($B819="","Arabica",$B819))&amp;" - "&amp;(IF($C819="","Commercial",$C819))),Variables!$B$1:$D$1,0),1))*IFERROR(IF(W819="","",(AVERAGE(E819:F819)-W819)-Variables!$B$14),""))+(T819*INDEX(Variables!$B$9:$D$9,IFERROR(MATCH(IF($B819="Robusta","Robusta",(IF($B819="","Arabica",$B819))&amp;" - "&amp;(IF($C819="","Commercial",$C819))),Variables!$B$1:$D$1,0),1))*IFERROR(IF(W819="","",(AVERAGE(E819:F819)-W819)-Variables!$B$14),"")/365),""))</f>
        <v>187.13849753546887</v>
      </c>
      <c r="AT819" s="12">
        <f>IF($H819="Cancelled","",IFERROR((T819*INDEX(Variables!$B$7:$D$7,IFERROR(MATCH(IF($B819="Robusta","Robusta",(IF($B819="","Arabica",$B819))&amp;" - "&amp;(IF($C819="","Commercial",$C819))),Variables!$B$1:$D$1,0),1))*AC819/365)+(L819/16.67*INDEX(Variables!$B$8:$D$8,IFERROR(MATCH(IF($B819="Robusta","Robusta",(IF($B819="","Arabica",$B819))&amp;" - "&amp;(IF($C819="","Commercial",$C819))),Variables!$B$1:$D$1,0),1))*AC819)+(T819*INDEX(Variables!$B$9:$D$9,IFERROR(MATCH(IF($B819="Robusta","Robusta",(IF($B819="","Arabica",$B819))&amp;" - "&amp;(IF($C819="","Commercial",$C819))),Variables!$B$1:$D$1,0),1))*AC819/365),""))</f>
        <v>-421.80423254026317</v>
      </c>
      <c r="AU819" s="12">
        <f>IF($H819="Cancelled","",IFERROR((T819*INDEX(Variables!$B$7:$D$7,IFERROR(MATCH(IF($B819="Robusta","Robusta",(IF($B819="","Arabica",$B819))&amp;" - "&amp;(IF($C819="","Commercial",$C819))),Variables!$B$1:$D$1,0),1))*AP819/365)+(L819/16.67*INDEX(Variables!$B$8:$D$8,IFERROR(MATCH(IF($B819="Robusta","Robusta",(IF($B819="","Arabica",$B819))&amp;" - "&amp;(IF($C819="","Commercial",$C819))),Variables!$B$1:$D$1,0),1))*AP819)+(T819*INDEX(Variables!$B$9:$D$9,IFERROR(MATCH(IF($B819="Robusta","Robusta",(IF($B819="","Arabica",$B819))&amp;" - "&amp;(IF($C819="","Commercial",$C819))),Variables!$B$1:$D$1,0),1))*AP819/365),""))</f>
        <v>-59.409046836656778</v>
      </c>
      <c r="AV819" s="11">
        <f t="shared" si="80"/>
        <v>-20</v>
      </c>
      <c r="AW819" s="12">
        <f>IF($H819="Cancelled","",IFERROR(IF(AV819="","",(T819*INDEX(Variables!$B$7:$D$7,IFERROR(MATCH(IF($B819="Robusta","Robusta",(IF($B819="","Arabica",$B819))&amp;" - "&amp;(IF($C819="","Commercial",$C819))),Variables!$B$1:$D$1,0),1))*(AV819/365))+(T819*INDEX(Variables!$B$9:$D$9,IFERROR(MATCH(IF($B819="Robusta","Robusta",(IF($B819="","Arabica",$B819))&amp;" - "&amp;(IF($C819="","Commercial",$C819))),Variables!$B$1:$D$1,0),1))*(AV819/365))+(INDEX(Variables!$B$8:$D$8,IFERROR(MATCH(IF($B819="Robusta","Robusta",(IF($B819="","Arabica",$B819))&amp;" - "&amp;(IF($C819="","Commercial",$C819))),Variables!$B$1:$D$1,0),1))*L819/16.67)),""))</f>
        <v>-66.318093673313555</v>
      </c>
      <c r="AX819" s="9"/>
      <c r="AY819" s="12"/>
      <c r="AZ819" s="10"/>
      <c r="BA819" s="9"/>
      <c r="BB819" s="10"/>
      <c r="BC819" s="9"/>
      <c r="BD819" s="9"/>
      <c r="BE819" s="9"/>
      <c r="BF819" s="9"/>
    </row>
    <row r="820" spans="1:58" x14ac:dyDescent="0.25">
      <c r="A820" s="9" t="s">
        <v>84</v>
      </c>
      <c r="B820" s="9" t="s">
        <v>85</v>
      </c>
      <c r="C820" s="9" t="s">
        <v>1486</v>
      </c>
      <c r="D820" s="10">
        <v>45429</v>
      </c>
      <c r="E820" s="10">
        <v>45444</v>
      </c>
      <c r="F820" s="10">
        <v>45473</v>
      </c>
      <c r="G820" s="9">
        <v>3786383</v>
      </c>
      <c r="H820" s="9" t="str">
        <f t="shared" si="78"/>
        <v>Closed</v>
      </c>
      <c r="I820" s="9" t="str">
        <f t="shared" si="79"/>
        <v>All dates received</v>
      </c>
      <c r="J820" s="9" t="s">
        <v>1439</v>
      </c>
      <c r="K820" s="9" t="s">
        <v>1775</v>
      </c>
      <c r="L820" s="11">
        <v>30</v>
      </c>
      <c r="M820" s="9" t="s">
        <v>1773</v>
      </c>
      <c r="N820" s="9"/>
      <c r="O820" s="9"/>
      <c r="P820" s="9"/>
      <c r="Q820" s="11"/>
      <c r="R820" s="9" t="s">
        <v>195</v>
      </c>
      <c r="S820" s="9" t="s">
        <v>554</v>
      </c>
      <c r="T820" s="12">
        <f>IF($H820="Cancelled","",IFERROR(((Q820+INDEX(Variables!$B$6:$D$6,IFERROR(MATCH(IF($B820="Robusta","Robusta",(IF($B820="","Arabica",$B820))&amp;" - "&amp;(IF($C820="","Commercial",$C820))),Variables!$B$1:$D$1,0),1)))*22.0462)*(L820/16.67),""))</f>
        <v>11537.555416916615</v>
      </c>
      <c r="U820" s="10"/>
      <c r="V820" s="9" t="str">
        <f t="shared" si="81"/>
        <v/>
      </c>
      <c r="W820" s="10">
        <v>45397</v>
      </c>
      <c r="X820" s="9" t="str">
        <f t="shared" si="82"/>
        <v>Approved</v>
      </c>
      <c r="Y820" s="10">
        <v>45397</v>
      </c>
      <c r="Z820" s="10">
        <f>IF($H820="Cancelled","",IFERROR(IF(F820="","",F820-Variables!$B$13),""))</f>
        <v>45458</v>
      </c>
      <c r="AA820" s="11">
        <f>IF($H820="Cancelled","",IFERROR(IF(W820="","",(AVERAGE(E820:F820)-W820)-Variables!$B$14),""))</f>
        <v>31.5</v>
      </c>
      <c r="AB820" s="10">
        <v>45476</v>
      </c>
      <c r="AC820" s="11">
        <f>IF($H820="Cancelled","",IFERROR(IF(AB820="","",IF(AND(W820="",Y820=""),"",IF(Y820&gt;W820,Y820+Variables!$B$15+Variables!$B$16+Variables!$B$17-AB820,W820+Variables!$B$16+Variables!$B$17-AB820))),""))</f>
        <v>-71</v>
      </c>
      <c r="AD820" s="9" t="s">
        <v>107</v>
      </c>
      <c r="AE820" s="9" t="s">
        <v>364</v>
      </c>
      <c r="AF820" s="10"/>
      <c r="AG820" s="10"/>
      <c r="AH820" s="9"/>
      <c r="AI820" s="9" t="s">
        <v>1774</v>
      </c>
      <c r="AJ820" s="9" t="s">
        <v>8</v>
      </c>
      <c r="AK820" s="10">
        <v>45493</v>
      </c>
      <c r="AL820" s="10">
        <v>45512</v>
      </c>
      <c r="AM820" s="10">
        <v>45516</v>
      </c>
      <c r="AN820" s="9" t="s">
        <v>1492</v>
      </c>
      <c r="AO820" s="9"/>
      <c r="AP820" s="11">
        <f>IF($H820="Cancelled","",IFERROR(IF(OR(AK820="",AB820=""),"",(AB820+Variables!$B$18-AK820)),""))</f>
        <v>-10</v>
      </c>
      <c r="AQ820" s="11">
        <f>IF($H820="Cancelled","",IFERROR(IF(OR(AM820="",AK820=""),"",(AK820+Variables!$B$19)-AM820),""))</f>
        <v>-18</v>
      </c>
      <c r="AR820" s="12">
        <f>IF($H820="Cancelled","",IFERROR(T820*INDEX(Variables!$B$7:$D$7,IFERROR(MATCH(IF($B820="Robusta","Robusta",(IF($B820="","Arabica",$B820))&amp;" - "&amp;(IF($C820="","Commercial",$C820))),Variables!$B$1:$D$1,0),1))*(AQ820/365),""))</f>
        <v>-36.688781387081129</v>
      </c>
      <c r="AS820" s="12">
        <f>IF($H820="Cancelled","",IFERROR((T820*INDEX(Variables!$B$7:$D$7,IFERROR(MATCH(IF($B820="Robusta","Robusta",(IF($B820="","Arabica",$B820))&amp;" - "&amp;(IF($C820="","Commercial",$C820))),Variables!$B$1:$D$1,0),1))*IFERROR(IF(W820="","",(AVERAGE(E820:F820)-W820)-Variables!$B$14),"")/365)+(L820/16.67*INDEX(Variables!$B$8:$D$8,IFERROR(MATCH(IF($B820="Robusta","Robusta",(IF($B820="","Arabica",$B820))&amp;" - "&amp;(IF($C820="","Commercial",$C820))),Variables!$B$1:$D$1,0),1))*IFERROR(IF(W820="","",(AVERAGE(E820:F820)-W820)-Variables!$B$14),""))+(T820*INDEX(Variables!$B$9:$D$9,IFERROR(MATCH(IF($B820="Robusta","Robusta",(IF($B820="","Arabica",$B820))&amp;" - "&amp;(IF($C820="","Commercial",$C820))),Variables!$B$1:$D$1,0),1))*IFERROR(IF(W820="","",(AVERAGE(E820:F820)-W820)-Variables!$B$14),"")/365),""))</f>
        <v>112.2830985212813</v>
      </c>
      <c r="AT820" s="12">
        <f>IF($H820="Cancelled","",IFERROR((T820*INDEX(Variables!$B$7:$D$7,IFERROR(MATCH(IF($B820="Robusta","Robusta",(IF($B820="","Arabica",$B820))&amp;" - "&amp;(IF($C820="","Commercial",$C820))),Variables!$B$1:$D$1,0),1))*AC820/365)+(L820/16.67*INDEX(Variables!$B$8:$D$8,IFERROR(MATCH(IF($B820="Robusta","Robusta",(IF($B820="","Arabica",$B820))&amp;" - "&amp;(IF($C820="","Commercial",$C820))),Variables!$B$1:$D$1,0),1))*AC820)+(T820*INDEX(Variables!$B$9:$D$9,IFERROR(MATCH(IF($B820="Robusta","Robusta",(IF($B820="","Arabica",$B820))&amp;" - "&amp;(IF($C820="","Commercial",$C820))),Variables!$B$1:$D$1,0),1))*AC820/365),""))</f>
        <v>-253.08253952415785</v>
      </c>
      <c r="AU820" s="12">
        <f>IF($H820="Cancelled","",IFERROR((T820*INDEX(Variables!$B$7:$D$7,IFERROR(MATCH(IF($B820="Robusta","Robusta",(IF($B820="","Arabica",$B820))&amp;" - "&amp;(IF($C820="","Commercial",$C820))),Variables!$B$1:$D$1,0),1))*AP820/365)+(L820/16.67*INDEX(Variables!$B$8:$D$8,IFERROR(MATCH(IF($B820="Robusta","Robusta",(IF($B820="","Arabica",$B820))&amp;" - "&amp;(IF($C820="","Commercial",$C820))),Variables!$B$1:$D$1,0),1))*AP820)+(T820*INDEX(Variables!$B$9:$D$9,IFERROR(MATCH(IF($B820="Robusta","Robusta",(IF($B820="","Arabica",$B820))&amp;" - "&amp;(IF($C820="","Commercial",$C820))),Variables!$B$1:$D$1,0),1))*AP820/365),""))</f>
        <v>-35.645428101994064</v>
      </c>
      <c r="AV820" s="11">
        <f t="shared" si="80"/>
        <v>-20</v>
      </c>
      <c r="AW820" s="12">
        <f>IF($H820="Cancelled","",IFERROR(IF(AV820="","",(T820*INDEX(Variables!$B$7:$D$7,IFERROR(MATCH(IF($B820="Robusta","Robusta",(IF($B820="","Arabica",$B820))&amp;" - "&amp;(IF($C820="","Commercial",$C820))),Variables!$B$1:$D$1,0),1))*(AV820/365))+(T820*INDEX(Variables!$B$9:$D$9,IFERROR(MATCH(IF($B820="Robusta","Robusta",(IF($B820="","Arabica",$B820))&amp;" - "&amp;(IF($C820="","Commercial",$C820))),Variables!$B$1:$D$1,0),1))*(AV820/365))+(INDEX(Variables!$B$8:$D$8,IFERROR(MATCH(IF($B820="Robusta","Robusta",(IF($B820="","Arabica",$B820))&amp;" - "&amp;(IF($C820="","Commercial",$C820))),Variables!$B$1:$D$1,0),1))*L820/16.67)),""))</f>
        <v>-39.790856203988128</v>
      </c>
      <c r="AX820" s="9"/>
      <c r="AY820" s="12"/>
      <c r="AZ820" s="10"/>
      <c r="BA820" s="9"/>
      <c r="BB820" s="10"/>
      <c r="BC820" s="9"/>
      <c r="BD820" s="9"/>
      <c r="BE820" s="9"/>
      <c r="BF820" s="9"/>
    </row>
    <row r="821" spans="1:58" x14ac:dyDescent="0.25">
      <c r="A821" s="9" t="s">
        <v>84</v>
      </c>
      <c r="B821" s="9" t="s">
        <v>85</v>
      </c>
      <c r="C821" s="9" t="s">
        <v>1486</v>
      </c>
      <c r="D821" s="10">
        <v>45433</v>
      </c>
      <c r="E821" s="10">
        <v>45444</v>
      </c>
      <c r="F821" s="10">
        <v>45473</v>
      </c>
      <c r="G821" s="9">
        <v>3786390</v>
      </c>
      <c r="H821" s="9" t="str">
        <f t="shared" si="78"/>
        <v>Closed</v>
      </c>
      <c r="I821" s="9" t="str">
        <f t="shared" si="79"/>
        <v>All dates received</v>
      </c>
      <c r="J821" s="9" t="s">
        <v>235</v>
      </c>
      <c r="K821" s="9">
        <v>4988</v>
      </c>
      <c r="L821" s="11">
        <v>15</v>
      </c>
      <c r="M821" s="9" t="s">
        <v>1776</v>
      </c>
      <c r="N821" s="9"/>
      <c r="O821" s="9"/>
      <c r="P821" s="9"/>
      <c r="Q821" s="11"/>
      <c r="R821" s="9" t="s">
        <v>195</v>
      </c>
      <c r="S821" s="9" t="s">
        <v>106</v>
      </c>
      <c r="T821" s="12">
        <f>IF($H821="Cancelled","",IFERROR(((Q821+INDEX(Variables!$B$6:$D$6,IFERROR(MATCH(IF($B821="Robusta","Robusta",(IF($B821="","Arabica",$B821))&amp;" - "&amp;(IF($C821="","Commercial",$C821))),Variables!$B$1:$D$1,0),1)))*22.0462)*(L821/16.67),""))</f>
        <v>5768.7777084583076</v>
      </c>
      <c r="U821" s="10"/>
      <c r="V821" s="9" t="str">
        <f t="shared" si="81"/>
        <v/>
      </c>
      <c r="W821" s="10">
        <v>45397</v>
      </c>
      <c r="X821" s="9" t="str">
        <f t="shared" si="82"/>
        <v>Approved</v>
      </c>
      <c r="Y821" s="10">
        <v>45397</v>
      </c>
      <c r="Z821" s="10">
        <f>IF($H821="Cancelled","",IFERROR(IF(F821="","",F821-Variables!$B$13),""))</f>
        <v>45458</v>
      </c>
      <c r="AA821" s="11">
        <f>IF($H821="Cancelled","",IFERROR(IF(W821="","",(AVERAGE(E821:F821)-W821)-Variables!$B$14),""))</f>
        <v>31.5</v>
      </c>
      <c r="AB821" s="10">
        <v>45462</v>
      </c>
      <c r="AC821" s="11">
        <f>IF($H821="Cancelled","",IFERROR(IF(AB821="","",IF(AND(W821="",Y821=""),"",IF(Y821&gt;W821,Y821+Variables!$B$15+Variables!$B$16+Variables!$B$17-AB821,W821+Variables!$B$16+Variables!$B$17-AB821))),""))</f>
        <v>-57</v>
      </c>
      <c r="AD821" s="9" t="s">
        <v>107</v>
      </c>
      <c r="AE821" s="9" t="s">
        <v>374</v>
      </c>
      <c r="AF821" s="10"/>
      <c r="AG821" s="10"/>
      <c r="AH821" s="9"/>
      <c r="AI821" s="9" t="s">
        <v>1686</v>
      </c>
      <c r="AJ821" s="9" t="s">
        <v>8</v>
      </c>
      <c r="AK821" s="10">
        <v>45485</v>
      </c>
      <c r="AL821" s="10">
        <v>45490</v>
      </c>
      <c r="AM821" s="10">
        <v>45516</v>
      </c>
      <c r="AN821" s="9" t="s">
        <v>1492</v>
      </c>
      <c r="AO821" s="9"/>
      <c r="AP821" s="11">
        <f>IF($H821="Cancelled","",IFERROR(IF(OR(AK821="",AB821=""),"",(AB821+Variables!$B$18-AK821)),""))</f>
        <v>-16</v>
      </c>
      <c r="AQ821" s="11">
        <f>IF($H821="Cancelled","",IFERROR(IF(OR(AM821="",AK821=""),"",(AK821+Variables!$B$19)-AM821),""))</f>
        <v>-26</v>
      </c>
      <c r="AR821" s="12">
        <f>IF($H821="Cancelled","",IFERROR(T821*INDEX(Variables!$B$7:$D$7,IFERROR(MATCH(IF($B821="Robusta","Robusta",(IF($B821="","Arabica",$B821))&amp;" - "&amp;(IF($C821="","Commercial",$C821))),Variables!$B$1:$D$1,0),1))*(AQ821/365),""))</f>
        <v>-26.497453224003035</v>
      </c>
      <c r="AS821" s="12">
        <f>IF($H821="Cancelled","",IFERROR((T821*INDEX(Variables!$B$7:$D$7,IFERROR(MATCH(IF($B821="Robusta","Robusta",(IF($B821="","Arabica",$B821))&amp;" - "&amp;(IF($C821="","Commercial",$C821))),Variables!$B$1:$D$1,0),1))*IFERROR(IF(W821="","",(AVERAGE(E821:F821)-W821)-Variables!$B$14),"")/365)+(L821/16.67*INDEX(Variables!$B$8:$D$8,IFERROR(MATCH(IF($B821="Robusta","Robusta",(IF($B821="","Arabica",$B821))&amp;" - "&amp;(IF($C821="","Commercial",$C821))),Variables!$B$1:$D$1,0),1))*IFERROR(IF(W821="","",(AVERAGE(E821:F821)-W821)-Variables!$B$14),""))+(T821*INDEX(Variables!$B$9:$D$9,IFERROR(MATCH(IF($B821="Robusta","Robusta",(IF($B821="","Arabica",$B821))&amp;" - "&amp;(IF($C821="","Commercial",$C821))),Variables!$B$1:$D$1,0),1))*IFERROR(IF(W821="","",(AVERAGE(E821:F821)-W821)-Variables!$B$14),"")/365),""))</f>
        <v>56.141549260640652</v>
      </c>
      <c r="AT821" s="12">
        <f>IF($H821="Cancelled","",IFERROR((T821*INDEX(Variables!$B$7:$D$7,IFERROR(MATCH(IF($B821="Robusta","Robusta",(IF($B821="","Arabica",$B821))&amp;" - "&amp;(IF($C821="","Commercial",$C821))),Variables!$B$1:$D$1,0),1))*AC821/365)+(L821/16.67*INDEX(Variables!$B$8:$D$8,IFERROR(MATCH(IF($B821="Robusta","Robusta",(IF($B821="","Arabica",$B821))&amp;" - "&amp;(IF($C821="","Commercial",$C821))),Variables!$B$1:$D$1,0),1))*AC821)+(T821*INDEX(Variables!$B$9:$D$9,IFERROR(MATCH(IF($B821="Robusta","Robusta",(IF($B821="","Arabica",$B821))&amp;" - "&amp;(IF($C821="","Commercial",$C821))),Variables!$B$1:$D$1,0),1))*AC821/365),""))</f>
        <v>-101.58947009068309</v>
      </c>
      <c r="AU821" s="12">
        <f>IF($H821="Cancelled","",IFERROR((T821*INDEX(Variables!$B$7:$D$7,IFERROR(MATCH(IF($B821="Robusta","Robusta",(IF($B821="","Arabica",$B821))&amp;" - "&amp;(IF($C821="","Commercial",$C821))),Variables!$B$1:$D$1,0),1))*AP821/365)+(L821/16.67*INDEX(Variables!$B$8:$D$8,IFERROR(MATCH(IF($B821="Robusta","Robusta",(IF($B821="","Arabica",$B821))&amp;" - "&amp;(IF($C821="","Commercial",$C821))),Variables!$B$1:$D$1,0),1))*AP821)+(T821*INDEX(Variables!$B$9:$D$9,IFERROR(MATCH(IF($B821="Robusta","Robusta",(IF($B821="","Arabica",$B821))&amp;" - "&amp;(IF($C821="","Commercial",$C821))),Variables!$B$1:$D$1,0),1))*AP821/365),""))</f>
        <v>-28.516342481595252</v>
      </c>
      <c r="AV821" s="11">
        <f t="shared" si="80"/>
        <v>-12</v>
      </c>
      <c r="AW821" s="12">
        <f>IF($H821="Cancelled","",IFERROR(IF(AV821="","",(T821*INDEX(Variables!$B$7:$D$7,IFERROR(MATCH(IF($B821="Robusta","Robusta",(IF($B821="","Arabica",$B821))&amp;" - "&amp;(IF($C821="","Commercial",$C821))),Variables!$B$1:$D$1,0),1))*(AV821/365))+(T821*INDEX(Variables!$B$9:$D$9,IFERROR(MATCH(IF($B821="Robusta","Robusta",(IF($B821="","Arabica",$B821))&amp;" - "&amp;(IF($C821="","Commercial",$C821))),Variables!$B$1:$D$1,0),1))*(AV821/365))+(INDEX(Variables!$B$8:$D$8,IFERROR(MATCH(IF($B821="Robusta","Robusta",(IF($B821="","Arabica",$B821))&amp;" - "&amp;(IF($C821="","Commercial",$C821))),Variables!$B$1:$D$1,0),1))*L821/16.67)),""))</f>
        <v>-11.637256861196438</v>
      </c>
      <c r="AX821" s="9"/>
      <c r="AY821" s="12"/>
      <c r="AZ821" s="10"/>
      <c r="BA821" s="9"/>
      <c r="BB821" s="10"/>
      <c r="BC821" s="9"/>
      <c r="BD821" s="9"/>
      <c r="BE821" s="9"/>
      <c r="BF821" s="9"/>
    </row>
    <row r="822" spans="1:58" x14ac:dyDescent="0.25">
      <c r="A822" s="9" t="s">
        <v>84</v>
      </c>
      <c r="B822" s="9" t="s">
        <v>85</v>
      </c>
      <c r="C822" s="9" t="s">
        <v>1486</v>
      </c>
      <c r="D822" s="10">
        <v>45435</v>
      </c>
      <c r="E822" s="10">
        <v>45444</v>
      </c>
      <c r="F822" s="10">
        <v>45473</v>
      </c>
      <c r="G822" s="9">
        <v>3786395</v>
      </c>
      <c r="H822" s="9" t="str">
        <f t="shared" si="78"/>
        <v>Closed</v>
      </c>
      <c r="I822" s="9" t="str">
        <f t="shared" si="79"/>
        <v>All dates received</v>
      </c>
      <c r="J822" s="9" t="s">
        <v>235</v>
      </c>
      <c r="K822" s="9">
        <v>4989</v>
      </c>
      <c r="L822" s="11">
        <v>23</v>
      </c>
      <c r="M822" s="9" t="s">
        <v>1777</v>
      </c>
      <c r="N822" s="9"/>
      <c r="O822" s="9"/>
      <c r="P822" s="9"/>
      <c r="Q822" s="11"/>
      <c r="R822" s="9" t="s">
        <v>90</v>
      </c>
      <c r="S822" s="9" t="s">
        <v>106</v>
      </c>
      <c r="T822" s="12">
        <f>IF($H822="Cancelled","",IFERROR(((Q822+INDEX(Variables!$B$6:$D$6,IFERROR(MATCH(IF($B822="Robusta","Robusta",(IF($B822="","Arabica",$B822))&amp;" - "&amp;(IF($C822="","Commercial",$C822))),Variables!$B$1:$D$1,0),1)))*22.0462)*(L822/16.67),""))</f>
        <v>8845.4591529694044</v>
      </c>
      <c r="U822" s="10">
        <v>45436</v>
      </c>
      <c r="V822" s="9" t="str">
        <f t="shared" si="81"/>
        <v>Sent</v>
      </c>
      <c r="W822" s="10">
        <v>45454</v>
      </c>
      <c r="X822" s="9" t="str">
        <f t="shared" si="82"/>
        <v>Approved</v>
      </c>
      <c r="Y822" s="10"/>
      <c r="Z822" s="10">
        <f>IF($H822="Cancelled","",IFERROR(IF(F822="","",F822-Variables!$B$13),""))</f>
        <v>45458</v>
      </c>
      <c r="AA822" s="11">
        <f>IF($H822="Cancelled","",IFERROR(IF(W822="","",(AVERAGE(E822:F822)-W822)-Variables!$B$14),""))</f>
        <v>-25.5</v>
      </c>
      <c r="AB822" s="10">
        <v>45462</v>
      </c>
      <c r="AC822" s="11">
        <f>IF($H822="Cancelled","",IFERROR(IF(AB822="","",IF(AND(W822="",Y822=""),"",IF(Y822&gt;W822,Y822+Variables!$B$15+Variables!$B$16+Variables!$B$17-AB822,W822+Variables!$B$16+Variables!$B$17-AB822))),""))</f>
        <v>0</v>
      </c>
      <c r="AD822" s="9" t="s">
        <v>107</v>
      </c>
      <c r="AE822" s="9" t="s">
        <v>374</v>
      </c>
      <c r="AF822" s="10"/>
      <c r="AG822" s="10"/>
      <c r="AH822" s="9"/>
      <c r="AI822" s="9" t="s">
        <v>1686</v>
      </c>
      <c r="AJ822" s="9" t="s">
        <v>8</v>
      </c>
      <c r="AK822" s="10">
        <v>45485</v>
      </c>
      <c r="AL822" s="10">
        <v>45490</v>
      </c>
      <c r="AM822" s="10">
        <v>45516</v>
      </c>
      <c r="AN822" s="9" t="s">
        <v>1492</v>
      </c>
      <c r="AO822" s="9"/>
      <c r="AP822" s="11">
        <f>IF($H822="Cancelled","",IFERROR(IF(OR(AK822="",AB822=""),"",(AB822+Variables!$B$18-AK822)),""))</f>
        <v>-16</v>
      </c>
      <c r="AQ822" s="11">
        <f>IF($H822="Cancelled","",IFERROR(IF(OR(AM822="",AK822=""),"",(AK822+Variables!$B$19)-AM822),""))</f>
        <v>-26</v>
      </c>
      <c r="AR822" s="12">
        <f>IF($H822="Cancelled","",IFERROR(T822*INDEX(Variables!$B$7:$D$7,IFERROR(MATCH(IF($B822="Robusta","Robusta",(IF($B822="","Arabica",$B822))&amp;" - "&amp;(IF($C822="","Commercial",$C822))),Variables!$B$1:$D$1,0),1))*(AQ822/365),""))</f>
        <v>-40.629428276804646</v>
      </c>
      <c r="AS822" s="12">
        <f>IF($H822="Cancelled","",IFERROR((T822*INDEX(Variables!$B$7:$D$7,IFERROR(MATCH(IF($B822="Robusta","Robusta",(IF($B822="","Arabica",$B822))&amp;" - "&amp;(IF($C822="","Commercial",$C822))),Variables!$B$1:$D$1,0),1))*IFERROR(IF(W822="","",(AVERAGE(E822:F822)-W822)-Variables!$B$14),"")/365)+(L822/16.67*INDEX(Variables!$B$8:$D$8,IFERROR(MATCH(IF($B822="Robusta","Robusta",(IF($B822="","Arabica",$B822))&amp;" - "&amp;(IF($C822="","Commercial",$C822))),Variables!$B$1:$D$1,0),1))*IFERROR(IF(W822="","",(AVERAGE(E822:F822)-W822)-Variables!$B$14),""))+(T822*INDEX(Variables!$B$9:$D$9,IFERROR(MATCH(IF($B822="Robusta","Robusta",(IF($B822="","Arabica",$B822))&amp;" - "&amp;(IF($C822="","Commercial",$C822))),Variables!$B$1:$D$1,0),1))*IFERROR(IF(W822="","",(AVERAGE(E822:F822)-W822)-Variables!$B$14),"")/365),""))</f>
        <v>-69.686811939398396</v>
      </c>
      <c r="AT822" s="12">
        <f>IF($H822="Cancelled","",IFERROR((T822*INDEX(Variables!$B$7:$D$7,IFERROR(MATCH(IF($B822="Robusta","Robusta",(IF($B822="","Arabica",$B822))&amp;" - "&amp;(IF($C822="","Commercial",$C822))),Variables!$B$1:$D$1,0),1))*AC822/365)+(L822/16.67*INDEX(Variables!$B$8:$D$8,IFERROR(MATCH(IF($B822="Robusta","Robusta",(IF($B822="","Arabica",$B822))&amp;" - "&amp;(IF($C822="","Commercial",$C822))),Variables!$B$1:$D$1,0),1))*AC822)+(T822*INDEX(Variables!$B$9:$D$9,IFERROR(MATCH(IF($B822="Robusta","Robusta",(IF($B822="","Arabica",$B822))&amp;" - "&amp;(IF($C822="","Commercial",$C822))),Variables!$B$1:$D$1,0),1))*AC822/365),""))</f>
        <v>0</v>
      </c>
      <c r="AU822" s="12">
        <f>IF($H822="Cancelled","",IFERROR((T822*INDEX(Variables!$B$7:$D$7,IFERROR(MATCH(IF($B822="Robusta","Robusta",(IF($B822="","Arabica",$B822))&amp;" - "&amp;(IF($C822="","Commercial",$C822))),Variables!$B$1:$D$1,0),1))*AP822/365)+(L822/16.67*INDEX(Variables!$B$8:$D$8,IFERROR(MATCH(IF($B822="Robusta","Robusta",(IF($B822="","Arabica",$B822))&amp;" - "&amp;(IF($C822="","Commercial",$C822))),Variables!$B$1:$D$1,0),1))*AP822)+(T822*INDEX(Variables!$B$9:$D$9,IFERROR(MATCH(IF($B822="Robusta","Robusta",(IF($B822="","Arabica",$B822))&amp;" - "&amp;(IF($C822="","Commercial",$C822))),Variables!$B$1:$D$1,0),1))*AP822/365),""))</f>
        <v>-43.725058471779377</v>
      </c>
      <c r="AV822" s="11">
        <f t="shared" si="80"/>
        <v>-12</v>
      </c>
      <c r="AW822" s="12">
        <f>IF($H822="Cancelled","",IFERROR(IF(AV822="","",(T822*INDEX(Variables!$B$7:$D$7,IFERROR(MATCH(IF($B822="Robusta","Robusta",(IF($B822="","Arabica",$B822))&amp;" - "&amp;(IF($C822="","Commercial",$C822))),Variables!$B$1:$D$1,0),1))*(AV822/365))+(T822*INDEX(Variables!$B$9:$D$9,IFERROR(MATCH(IF($B822="Robusta","Robusta",(IF($B822="","Arabica",$B822))&amp;" - "&amp;(IF($C822="","Commercial",$C822))),Variables!$B$1:$D$1,0),1))*(AV822/365))+(INDEX(Variables!$B$8:$D$8,IFERROR(MATCH(IF($B822="Robusta","Robusta",(IF($B822="","Arabica",$B822))&amp;" - "&amp;(IF($C822="","Commercial",$C822))),Variables!$B$1:$D$1,0),1))*L822/16.67)),""))</f>
        <v>-17.843793853834537</v>
      </c>
      <c r="AX822" s="9"/>
      <c r="AY822" s="12"/>
      <c r="AZ822" s="10"/>
      <c r="BA822" s="9"/>
      <c r="BB822" s="10"/>
      <c r="BC822" s="9"/>
      <c r="BD822" s="9"/>
      <c r="BE822" s="9"/>
      <c r="BF822" s="9"/>
    </row>
    <row r="823" spans="1:58" x14ac:dyDescent="0.25">
      <c r="A823" s="9" t="s">
        <v>84</v>
      </c>
      <c r="B823" s="9" t="s">
        <v>85</v>
      </c>
      <c r="C823" s="9" t="s">
        <v>1486</v>
      </c>
      <c r="D823" s="10">
        <v>45435</v>
      </c>
      <c r="E823" s="10">
        <v>45444</v>
      </c>
      <c r="F823" s="10">
        <v>45473</v>
      </c>
      <c r="G823" s="9">
        <v>3786395</v>
      </c>
      <c r="H823" s="9" t="str">
        <f t="shared" si="78"/>
        <v>Closed</v>
      </c>
      <c r="I823" s="9" t="str">
        <f t="shared" si="79"/>
        <v>All dates received</v>
      </c>
      <c r="J823" s="9" t="s">
        <v>235</v>
      </c>
      <c r="K823" s="9">
        <v>5021</v>
      </c>
      <c r="L823" s="11">
        <v>73</v>
      </c>
      <c r="M823" s="9" t="s">
        <v>1777</v>
      </c>
      <c r="N823" s="9"/>
      <c r="O823" s="9"/>
      <c r="P823" s="9"/>
      <c r="Q823" s="11"/>
      <c r="R823" s="9" t="s">
        <v>90</v>
      </c>
      <c r="S823" s="9" t="s">
        <v>1778</v>
      </c>
      <c r="T823" s="12">
        <f>IF($H823="Cancelled","",IFERROR(((Q823+INDEX(Variables!$B$6:$D$6,IFERROR(MATCH(IF($B823="Robusta","Robusta",(IF($B823="","Arabica",$B823))&amp;" - "&amp;(IF($C823="","Commercial",$C823))),Variables!$B$1:$D$1,0),1)))*22.0462)*(L823/16.67),""))</f>
        <v>28074.718181163767</v>
      </c>
      <c r="U823" s="10">
        <v>45436</v>
      </c>
      <c r="V823" s="9" t="str">
        <f t="shared" si="81"/>
        <v>Sent</v>
      </c>
      <c r="W823" s="10">
        <v>45454</v>
      </c>
      <c r="X823" s="9" t="str">
        <f t="shared" si="82"/>
        <v>Approved</v>
      </c>
      <c r="Y823" s="10"/>
      <c r="Z823" s="10">
        <f>IF($H823="Cancelled","",IFERROR(IF(F823="","",F823-Variables!$B$13),""))</f>
        <v>45458</v>
      </c>
      <c r="AA823" s="11">
        <f>IF($H823="Cancelled","",IFERROR(IF(W823="","",(AVERAGE(E823:F823)-W823)-Variables!$B$14),""))</f>
        <v>-25.5</v>
      </c>
      <c r="AB823" s="10">
        <v>45488</v>
      </c>
      <c r="AC823" s="11">
        <f>IF($H823="Cancelled","",IFERROR(IF(AB823="","",IF(AND(W823="",Y823=""),"",IF(Y823&gt;W823,Y823+Variables!$B$15+Variables!$B$16+Variables!$B$17-AB823,W823+Variables!$B$16+Variables!$B$17-AB823))),""))</f>
        <v>-26</v>
      </c>
      <c r="AD823" s="9" t="s">
        <v>107</v>
      </c>
      <c r="AE823" s="9" t="s">
        <v>411</v>
      </c>
      <c r="AF823" s="10"/>
      <c r="AG823" s="10"/>
      <c r="AH823" s="9"/>
      <c r="AI823" s="9" t="s">
        <v>1779</v>
      </c>
      <c r="AJ823" s="9" t="s">
        <v>8</v>
      </c>
      <c r="AK823" s="10">
        <v>45507</v>
      </c>
      <c r="AL823" s="10">
        <v>45512</v>
      </c>
      <c r="AM823" s="10">
        <v>45516</v>
      </c>
      <c r="AN823" s="9" t="s">
        <v>1492</v>
      </c>
      <c r="AO823" s="9"/>
      <c r="AP823" s="11">
        <f>IF($H823="Cancelled","",IFERROR(IF(OR(AK823="",AB823=""),"",(AB823+Variables!$B$18-AK823)),""))</f>
        <v>-12</v>
      </c>
      <c r="AQ823" s="11">
        <f>IF($H823="Cancelled","",IFERROR(IF(OR(AM823="",AK823=""),"",(AK823+Variables!$B$19)-AM823),""))</f>
        <v>-4</v>
      </c>
      <c r="AR823" s="12">
        <f>IF($H823="Cancelled","",IFERROR(T823*INDEX(Variables!$B$7:$D$7,IFERROR(MATCH(IF($B823="Robusta","Robusta",(IF($B823="","Arabica",$B823))&amp;" - "&amp;(IF($C823="","Commercial",$C823))),Variables!$B$1:$D$1,0),1))*(AQ823/365),""))</f>
        <v>-19.83911882412535</v>
      </c>
      <c r="AS823" s="12">
        <f>IF($H823="Cancelled","",IFERROR((T823*INDEX(Variables!$B$7:$D$7,IFERROR(MATCH(IF($B823="Robusta","Robusta",(IF($B823="","Arabica",$B823))&amp;" - "&amp;(IF($C823="","Commercial",$C823))),Variables!$B$1:$D$1,0),1))*IFERROR(IF(W823="","",(AVERAGE(E823:F823)-W823)-Variables!$B$14),"")/365)+(L823/16.67*INDEX(Variables!$B$8:$D$8,IFERROR(MATCH(IF($B823="Robusta","Robusta",(IF($B823="","Arabica",$B823))&amp;" - "&amp;(IF($C823="","Commercial",$C823))),Variables!$B$1:$D$1,0),1))*IFERROR(IF(W823="","",(AVERAGE(E823:F823)-W823)-Variables!$B$14),""))+(T823*INDEX(Variables!$B$9:$D$9,IFERROR(MATCH(IF($B823="Robusta","Robusta",(IF($B823="","Arabica",$B823))&amp;" - "&amp;(IF($C823="","Commercial",$C823))),Variables!$B$1:$D$1,0),1))*IFERROR(IF(W823="","",(AVERAGE(E823:F823)-W823)-Variables!$B$14),"")/365),""))</f>
        <v>-221.17988137287318</v>
      </c>
      <c r="AT823" s="12">
        <f>IF($H823="Cancelled","",IFERROR((T823*INDEX(Variables!$B$7:$D$7,IFERROR(MATCH(IF($B823="Robusta","Robusta",(IF($B823="","Arabica",$B823))&amp;" - "&amp;(IF($C823="","Commercial",$C823))),Variables!$B$1:$D$1,0),1))*AC823/365)+(L823/16.67*INDEX(Variables!$B$8:$D$8,IFERROR(MATCH(IF($B823="Robusta","Robusta",(IF($B823="","Arabica",$B823))&amp;" - "&amp;(IF($C823="","Commercial",$C823))),Variables!$B$1:$D$1,0),1))*AC823)+(T823*INDEX(Variables!$B$9:$D$9,IFERROR(MATCH(IF($B823="Robusta","Robusta",(IF($B823="","Arabica",$B823))&amp;" - "&amp;(IF($C823="","Commercial",$C823))),Variables!$B$1:$D$1,0),1))*AC823/365),""))</f>
        <v>-225.51674179194913</v>
      </c>
      <c r="AU823" s="12">
        <f>IF($H823="Cancelled","",IFERROR((T823*INDEX(Variables!$B$7:$D$7,IFERROR(MATCH(IF($B823="Robusta","Robusta",(IF($B823="","Arabica",$B823))&amp;" - "&amp;(IF($C823="","Commercial",$C823))),Variables!$B$1:$D$1,0),1))*AP823/365)+(L823/16.67*INDEX(Variables!$B$8:$D$8,IFERROR(MATCH(IF($B823="Robusta","Robusta",(IF($B823="","Arabica",$B823))&amp;" - "&amp;(IF($C823="","Commercial",$C823))),Variables!$B$1:$D$1,0),1))*AP823)+(T823*INDEX(Variables!$B$9:$D$9,IFERROR(MATCH(IF($B823="Robusta","Robusta",(IF($B823="","Arabica",$B823))&amp;" - "&amp;(IF($C823="","Commercial",$C823))),Variables!$B$1:$D$1,0),1))*AP823/365),""))</f>
        <v>-104.08465005782267</v>
      </c>
      <c r="AV823" s="11">
        <f t="shared" si="80"/>
        <v>-34</v>
      </c>
      <c r="AW823" s="12">
        <f>IF($H823="Cancelled","",IFERROR(IF(AV823="","",(T823*INDEX(Variables!$B$7:$D$7,IFERROR(MATCH(IF($B823="Robusta","Robusta",(IF($B823="","Arabica",$B823))&amp;" - "&amp;(IF($C823="","Commercial",$C823))),Variables!$B$1:$D$1,0),1))*(AV823/365))+(T823*INDEX(Variables!$B$9:$D$9,IFERROR(MATCH(IF($B823="Robusta","Robusta",(IF($B823="","Arabica",$B823))&amp;" - "&amp;(IF($C823="","Commercial",$C823))),Variables!$B$1:$D$1,0),1))*(AV823/365))+(INDEX(Variables!$B$8:$D$8,IFERROR(MATCH(IF($B823="Robusta","Robusta",(IF($B823="","Arabica",$B823))&amp;" - "&amp;(IF($C823="","Commercial",$C823))),Variables!$B$1:$D$1,0),1))*L823/16.67)),""))</f>
        <v>-167.15650849716425</v>
      </c>
      <c r="AX823" s="9"/>
      <c r="AY823" s="12"/>
      <c r="AZ823" s="10"/>
      <c r="BA823" s="9"/>
      <c r="BB823" s="10"/>
      <c r="BC823" s="9"/>
      <c r="BD823" s="9"/>
      <c r="BE823" s="9"/>
      <c r="BF823" s="9"/>
    </row>
    <row r="824" spans="1:58" x14ac:dyDescent="0.25">
      <c r="A824" s="9" t="s">
        <v>84</v>
      </c>
      <c r="B824" s="9" t="s">
        <v>85</v>
      </c>
      <c r="C824" s="9" t="s">
        <v>1486</v>
      </c>
      <c r="D824" s="10">
        <v>45438</v>
      </c>
      <c r="E824" s="10">
        <v>45444</v>
      </c>
      <c r="F824" s="10">
        <v>45473</v>
      </c>
      <c r="G824" s="9">
        <v>3786396</v>
      </c>
      <c r="H824" s="9" t="str">
        <f t="shared" si="78"/>
        <v>Closed</v>
      </c>
      <c r="I824" s="9" t="str">
        <f t="shared" si="79"/>
        <v>All dates received</v>
      </c>
      <c r="J824" s="9" t="s">
        <v>102</v>
      </c>
      <c r="K824" s="9">
        <v>5004</v>
      </c>
      <c r="L824" s="11">
        <v>20</v>
      </c>
      <c r="M824" s="9" t="s">
        <v>1780</v>
      </c>
      <c r="N824" s="9"/>
      <c r="O824" s="9"/>
      <c r="P824" s="9"/>
      <c r="Q824" s="11"/>
      <c r="R824" s="9" t="s">
        <v>195</v>
      </c>
      <c r="S824" s="9" t="s">
        <v>554</v>
      </c>
      <c r="T824" s="12">
        <f>IF($H824="Cancelled","",IFERROR(((Q824+INDEX(Variables!$B$6:$D$6,IFERROR(MATCH(IF($B824="Robusta","Robusta",(IF($B824="","Arabica",$B824))&amp;" - "&amp;(IF($C824="","Commercial",$C824))),Variables!$B$1:$D$1,0),1)))*22.0462)*(L824/16.67),""))</f>
        <v>7691.7036112777441</v>
      </c>
      <c r="U824" s="10"/>
      <c r="V824" s="9" t="str">
        <f t="shared" si="81"/>
        <v/>
      </c>
      <c r="W824" s="10">
        <v>45397</v>
      </c>
      <c r="X824" s="9" t="str">
        <f t="shared" si="82"/>
        <v>Approved</v>
      </c>
      <c r="Y824" s="10">
        <v>45397</v>
      </c>
      <c r="Z824" s="10">
        <f>IF($H824="Cancelled","",IFERROR(IF(F824="","",F824-Variables!$B$13),""))</f>
        <v>45458</v>
      </c>
      <c r="AA824" s="11">
        <f>IF($H824="Cancelled","",IFERROR(IF(W824="","",(AVERAGE(E824:F824)-W824)-Variables!$B$14),""))</f>
        <v>31.5</v>
      </c>
      <c r="AB824" s="10">
        <v>45476</v>
      </c>
      <c r="AC824" s="11">
        <f>IF($H824="Cancelled","",IFERROR(IF(AB824="","",IF(AND(W824="",Y824=""),"",IF(Y824&gt;W824,Y824+Variables!$B$15+Variables!$B$16+Variables!$B$17-AB824,W824+Variables!$B$16+Variables!$B$17-AB824))),""))</f>
        <v>-71</v>
      </c>
      <c r="AD824" s="9" t="s">
        <v>107</v>
      </c>
      <c r="AE824" s="9" t="s">
        <v>364</v>
      </c>
      <c r="AF824" s="10"/>
      <c r="AG824" s="10"/>
      <c r="AH824" s="9"/>
      <c r="AI824" s="9" t="s">
        <v>1774</v>
      </c>
      <c r="AJ824" s="9" t="s">
        <v>8</v>
      </c>
      <c r="AK824" s="10">
        <v>45493</v>
      </c>
      <c r="AL824" s="10">
        <v>45512</v>
      </c>
      <c r="AM824" s="10">
        <v>45516</v>
      </c>
      <c r="AN824" s="9" t="s">
        <v>1492</v>
      </c>
      <c r="AO824" s="9"/>
      <c r="AP824" s="11">
        <f>IF($H824="Cancelled","",IFERROR(IF(OR(AK824="",AB824=""),"",(AB824+Variables!$B$18-AK824)),""))</f>
        <v>-10</v>
      </c>
      <c r="AQ824" s="11">
        <f>IF($H824="Cancelled","",IFERROR(IF(OR(AM824="",AK824=""),"",(AK824+Variables!$B$19)-AM824),""))</f>
        <v>-18</v>
      </c>
      <c r="AR824" s="12">
        <f>IF($H824="Cancelled","",IFERROR(T824*INDEX(Variables!$B$7:$D$7,IFERROR(MATCH(IF($B824="Robusta","Robusta",(IF($B824="","Arabica",$B824))&amp;" - "&amp;(IF($C824="","Commercial",$C824))),Variables!$B$1:$D$1,0),1))*(AQ824/365),""))</f>
        <v>-24.459187591387419</v>
      </c>
      <c r="AS824" s="12">
        <f>IF($H824="Cancelled","",IFERROR((T824*INDEX(Variables!$B$7:$D$7,IFERROR(MATCH(IF($B824="Robusta","Robusta",(IF($B824="","Arabica",$B824))&amp;" - "&amp;(IF($C824="","Commercial",$C824))),Variables!$B$1:$D$1,0),1))*IFERROR(IF(W824="","",(AVERAGE(E824:F824)-W824)-Variables!$B$14),"")/365)+(L824/16.67*INDEX(Variables!$B$8:$D$8,IFERROR(MATCH(IF($B824="Robusta","Robusta",(IF($B824="","Arabica",$B824))&amp;" - "&amp;(IF($C824="","Commercial",$C824))),Variables!$B$1:$D$1,0),1))*IFERROR(IF(W824="","",(AVERAGE(E824:F824)-W824)-Variables!$B$14),""))+(T824*INDEX(Variables!$B$9:$D$9,IFERROR(MATCH(IF($B824="Robusta","Robusta",(IF($B824="","Arabica",$B824))&amp;" - "&amp;(IF($C824="","Commercial",$C824))),Variables!$B$1:$D$1,0),1))*IFERROR(IF(W824="","",(AVERAGE(E824:F824)-W824)-Variables!$B$14),"")/365),""))</f>
        <v>74.855399014187554</v>
      </c>
      <c r="AT824" s="12">
        <f>IF($H824="Cancelled","",IFERROR((T824*INDEX(Variables!$B$7:$D$7,IFERROR(MATCH(IF($B824="Robusta","Robusta",(IF($B824="","Arabica",$B824))&amp;" - "&amp;(IF($C824="","Commercial",$C824))),Variables!$B$1:$D$1,0),1))*AC824/365)+(L824/16.67*INDEX(Variables!$B$8:$D$8,IFERROR(MATCH(IF($B824="Robusta","Robusta",(IF($B824="","Arabica",$B824))&amp;" - "&amp;(IF($C824="","Commercial",$C824))),Variables!$B$1:$D$1,0),1))*AC824)+(T824*INDEX(Variables!$B$9:$D$9,IFERROR(MATCH(IF($B824="Robusta","Robusta",(IF($B824="","Arabica",$B824))&amp;" - "&amp;(IF($C824="","Commercial",$C824))),Variables!$B$1:$D$1,0),1))*AC824/365),""))</f>
        <v>-168.72169301610523</v>
      </c>
      <c r="AU824" s="12">
        <f>IF($H824="Cancelled","",IFERROR((T824*INDEX(Variables!$B$7:$D$7,IFERROR(MATCH(IF($B824="Robusta","Robusta",(IF($B824="","Arabica",$B824))&amp;" - "&amp;(IF($C824="","Commercial",$C824))),Variables!$B$1:$D$1,0),1))*AP824/365)+(L824/16.67*INDEX(Variables!$B$8:$D$8,IFERROR(MATCH(IF($B824="Robusta","Robusta",(IF($B824="","Arabica",$B824))&amp;" - "&amp;(IF($C824="","Commercial",$C824))),Variables!$B$1:$D$1,0),1))*AP824)+(T824*INDEX(Variables!$B$9:$D$9,IFERROR(MATCH(IF($B824="Robusta","Robusta",(IF($B824="","Arabica",$B824))&amp;" - "&amp;(IF($C824="","Commercial",$C824))),Variables!$B$1:$D$1,0),1))*AP824/365),""))</f>
        <v>-23.76361873466271</v>
      </c>
      <c r="AV824" s="11">
        <f t="shared" si="80"/>
        <v>-20</v>
      </c>
      <c r="AW824" s="12">
        <f>IF($H824="Cancelled","",IFERROR(IF(AV824="","",(T824*INDEX(Variables!$B$7:$D$7,IFERROR(MATCH(IF($B824="Robusta","Robusta",(IF($B824="","Arabica",$B824))&amp;" - "&amp;(IF($C824="","Commercial",$C824))),Variables!$B$1:$D$1,0),1))*(AV824/365))+(T824*INDEX(Variables!$B$9:$D$9,IFERROR(MATCH(IF($B824="Robusta","Robusta",(IF($B824="","Arabica",$B824))&amp;" - "&amp;(IF($C824="","Commercial",$C824))),Variables!$B$1:$D$1,0),1))*(AV824/365))+(INDEX(Variables!$B$8:$D$8,IFERROR(MATCH(IF($B824="Robusta","Robusta",(IF($B824="","Arabica",$B824))&amp;" - "&amp;(IF($C824="","Commercial",$C824))),Variables!$B$1:$D$1,0),1))*L824/16.67)),""))</f>
        <v>-26.527237469325421</v>
      </c>
      <c r="AX824" s="9"/>
      <c r="AY824" s="12"/>
      <c r="AZ824" s="10"/>
      <c r="BA824" s="9"/>
      <c r="BB824" s="10"/>
      <c r="BC824" s="9"/>
      <c r="BD824" s="9"/>
      <c r="BE824" s="9"/>
      <c r="BF824" s="9"/>
    </row>
    <row r="825" spans="1:58" x14ac:dyDescent="0.25">
      <c r="A825" s="9" t="s">
        <v>84</v>
      </c>
      <c r="B825" s="9" t="s">
        <v>85</v>
      </c>
      <c r="C825" s="9" t="s">
        <v>1486</v>
      </c>
      <c r="D825" s="10">
        <v>45438</v>
      </c>
      <c r="E825" s="10">
        <v>45444</v>
      </c>
      <c r="F825" s="10">
        <v>45473</v>
      </c>
      <c r="G825" s="9">
        <v>3786397</v>
      </c>
      <c r="H825" s="9" t="str">
        <f t="shared" si="78"/>
        <v>Closed</v>
      </c>
      <c r="I825" s="9" t="str">
        <f t="shared" si="79"/>
        <v>All dates received</v>
      </c>
      <c r="J825" s="9" t="s">
        <v>102</v>
      </c>
      <c r="K825" s="9">
        <v>5005</v>
      </c>
      <c r="L825" s="11">
        <v>160</v>
      </c>
      <c r="M825" s="9" t="s">
        <v>1781</v>
      </c>
      <c r="N825" s="9"/>
      <c r="O825" s="9"/>
      <c r="P825" s="9"/>
      <c r="Q825" s="11"/>
      <c r="R825" s="9" t="s">
        <v>90</v>
      </c>
      <c r="S825" s="9" t="s">
        <v>554</v>
      </c>
      <c r="T825" s="12">
        <f>IF($H825="Cancelled","",IFERROR(((Q825+INDEX(Variables!$B$6:$D$6,IFERROR(MATCH(IF($B825="Robusta","Robusta",(IF($B825="","Arabica",$B825))&amp;" - "&amp;(IF($C825="","Commercial",$C825))),Variables!$B$1:$D$1,0),1)))*22.0462)*(L825/16.67),""))</f>
        <v>61533.628890221953</v>
      </c>
      <c r="U825" s="10">
        <v>45462</v>
      </c>
      <c r="V825" s="9" t="str">
        <f t="shared" si="81"/>
        <v>Sent</v>
      </c>
      <c r="W825" s="10"/>
      <c r="X825" s="9" t="str">
        <f t="shared" si="82"/>
        <v/>
      </c>
      <c r="Y825" s="10"/>
      <c r="Z825" s="10">
        <f>IF($H825="Cancelled","",IFERROR(IF(F825="","",F825-Variables!$B$13),""))</f>
        <v>45458</v>
      </c>
      <c r="AA825" s="11" t="str">
        <f>IF($H825="Cancelled","",IFERROR(IF(W825="","",(AVERAGE(E825:F825)-W825)-Variables!$B$14),""))</f>
        <v/>
      </c>
      <c r="AB825" s="10">
        <v>45476</v>
      </c>
      <c r="AC825" s="11" t="str">
        <f>IF($H825="Cancelled","",IFERROR(IF(AB825="","",IF(AND(W825="",Y825=""),"",IF(Y825&gt;W825,Y825+Variables!$B$15+Variables!$B$16+Variables!$B$17-AB825,W825+Variables!$B$16+Variables!$B$17-AB825))),""))</f>
        <v/>
      </c>
      <c r="AD825" s="9" t="s">
        <v>107</v>
      </c>
      <c r="AE825" s="9" t="s">
        <v>364</v>
      </c>
      <c r="AF825" s="10"/>
      <c r="AG825" s="10"/>
      <c r="AH825" s="9"/>
      <c r="AI825" s="9" t="s">
        <v>1774</v>
      </c>
      <c r="AJ825" s="9" t="s">
        <v>8</v>
      </c>
      <c r="AK825" s="10">
        <v>45493</v>
      </c>
      <c r="AL825" s="10">
        <v>45512</v>
      </c>
      <c r="AM825" s="10">
        <v>45516</v>
      </c>
      <c r="AN825" s="9" t="s">
        <v>1492</v>
      </c>
      <c r="AO825" s="9"/>
      <c r="AP825" s="11">
        <f>IF($H825="Cancelled","",IFERROR(IF(OR(AK825="",AB825=""),"",(AB825+Variables!$B$18-AK825)),""))</f>
        <v>-10</v>
      </c>
      <c r="AQ825" s="11">
        <f>IF($H825="Cancelled","",IFERROR(IF(OR(AM825="",AK825=""),"",(AK825+Variables!$B$19)-AM825),""))</f>
        <v>-18</v>
      </c>
      <c r="AR825" s="12">
        <f>IF($H825="Cancelled","",IFERROR(T825*INDEX(Variables!$B$7:$D$7,IFERROR(MATCH(IF($B825="Robusta","Robusta",(IF($B825="","Arabica",$B825))&amp;" - "&amp;(IF($C825="","Commercial",$C825))),Variables!$B$1:$D$1,0),1))*(AQ825/365),""))</f>
        <v>-195.67350073109935</v>
      </c>
      <c r="AS825" s="12" t="str">
        <f>IF($H825="Cancelled","",IFERROR((T825*INDEX(Variables!$B$7:$D$7,IFERROR(MATCH(IF($B825="Robusta","Robusta",(IF($B825="","Arabica",$B825))&amp;" - "&amp;(IF($C825="","Commercial",$C825))),Variables!$B$1:$D$1,0),1))*IFERROR(IF(W825="","",(AVERAGE(E825:F825)-W825)-Variables!$B$14),"")/365)+(L825/16.67*INDEX(Variables!$B$8:$D$8,IFERROR(MATCH(IF($B825="Robusta","Robusta",(IF($B825="","Arabica",$B825))&amp;" - "&amp;(IF($C825="","Commercial",$C825))),Variables!$B$1:$D$1,0),1))*IFERROR(IF(W825="","",(AVERAGE(E825:F825)-W825)-Variables!$B$14),""))+(T825*INDEX(Variables!$B$9:$D$9,IFERROR(MATCH(IF($B825="Robusta","Robusta",(IF($B825="","Arabica",$B825))&amp;" - "&amp;(IF($C825="","Commercial",$C825))),Variables!$B$1:$D$1,0),1))*IFERROR(IF(W825="","",(AVERAGE(E825:F825)-W825)-Variables!$B$14),"")/365),""))</f>
        <v/>
      </c>
      <c r="AT825" s="12" t="str">
        <f>IF($H825="Cancelled","",IFERROR((T825*INDEX(Variables!$B$7:$D$7,IFERROR(MATCH(IF($B825="Robusta","Robusta",(IF($B825="","Arabica",$B825))&amp;" - "&amp;(IF($C825="","Commercial",$C825))),Variables!$B$1:$D$1,0),1))*AC825/365)+(L825/16.67*INDEX(Variables!$B$8:$D$8,IFERROR(MATCH(IF($B825="Robusta","Robusta",(IF($B825="","Arabica",$B825))&amp;" - "&amp;(IF($C825="","Commercial",$C825))),Variables!$B$1:$D$1,0),1))*AC825)+(T825*INDEX(Variables!$B$9:$D$9,IFERROR(MATCH(IF($B825="Robusta","Robusta",(IF($B825="","Arabica",$B825))&amp;" - "&amp;(IF($C825="","Commercial",$C825))),Variables!$B$1:$D$1,0),1))*AC825/365),""))</f>
        <v/>
      </c>
      <c r="AU825" s="12">
        <f>IF($H825="Cancelled","",IFERROR((T825*INDEX(Variables!$B$7:$D$7,IFERROR(MATCH(IF($B825="Robusta","Robusta",(IF($B825="","Arabica",$B825))&amp;" - "&amp;(IF($C825="","Commercial",$C825))),Variables!$B$1:$D$1,0),1))*AP825/365)+(L825/16.67*INDEX(Variables!$B$8:$D$8,IFERROR(MATCH(IF($B825="Robusta","Robusta",(IF($B825="","Arabica",$B825))&amp;" - "&amp;(IF($C825="","Commercial",$C825))),Variables!$B$1:$D$1,0),1))*AP825)+(T825*INDEX(Variables!$B$9:$D$9,IFERROR(MATCH(IF($B825="Robusta","Robusta",(IF($B825="","Arabica",$B825))&amp;" - "&amp;(IF($C825="","Commercial",$C825))),Variables!$B$1:$D$1,0),1))*AP825/365),""))</f>
        <v>-190.10894987730168</v>
      </c>
      <c r="AV825" s="11">
        <f t="shared" si="80"/>
        <v>-20</v>
      </c>
      <c r="AW825" s="12">
        <f>IF($H825="Cancelled","",IFERROR(IF(AV825="","",(T825*INDEX(Variables!$B$7:$D$7,IFERROR(MATCH(IF($B825="Robusta","Robusta",(IF($B825="","Arabica",$B825))&amp;" - "&amp;(IF($C825="","Commercial",$C825))),Variables!$B$1:$D$1,0),1))*(AV825/365))+(T825*INDEX(Variables!$B$9:$D$9,IFERROR(MATCH(IF($B825="Robusta","Robusta",(IF($B825="","Arabica",$B825))&amp;" - "&amp;(IF($C825="","Commercial",$C825))),Variables!$B$1:$D$1,0),1))*(AV825/365))+(INDEX(Variables!$B$8:$D$8,IFERROR(MATCH(IF($B825="Robusta","Robusta",(IF($B825="","Arabica",$B825))&amp;" - "&amp;(IF($C825="","Commercial",$C825))),Variables!$B$1:$D$1,0),1))*L825/16.67)),""))</f>
        <v>-212.21789975460337</v>
      </c>
      <c r="AX825" s="9"/>
      <c r="AY825" s="12"/>
      <c r="AZ825" s="10"/>
      <c r="BA825" s="9"/>
      <c r="BB825" s="10"/>
      <c r="BC825" s="9"/>
      <c r="BD825" s="9"/>
      <c r="BE825" s="9"/>
      <c r="BF825" s="9"/>
    </row>
    <row r="826" spans="1:58" x14ac:dyDescent="0.25">
      <c r="A826" s="9" t="s">
        <v>84</v>
      </c>
      <c r="B826" s="9" t="s">
        <v>85</v>
      </c>
      <c r="C826" s="9" t="s">
        <v>1486</v>
      </c>
      <c r="D826" s="10">
        <v>45442</v>
      </c>
      <c r="E826" s="10">
        <v>45444</v>
      </c>
      <c r="F826" s="10">
        <v>45473</v>
      </c>
      <c r="G826" s="9">
        <v>3786400</v>
      </c>
      <c r="H826" s="9" t="str">
        <f t="shared" si="78"/>
        <v>Closed</v>
      </c>
      <c r="I826" s="9" t="str">
        <f t="shared" si="79"/>
        <v>All dates received</v>
      </c>
      <c r="J826" s="9" t="s">
        <v>1487</v>
      </c>
      <c r="K826" s="9">
        <v>4959</v>
      </c>
      <c r="L826" s="11">
        <v>66</v>
      </c>
      <c r="M826" s="9" t="s">
        <v>1782</v>
      </c>
      <c r="N826" s="9"/>
      <c r="O826" s="9"/>
      <c r="P826" s="9"/>
      <c r="Q826" s="11"/>
      <c r="R826" s="9" t="s">
        <v>195</v>
      </c>
      <c r="S826" s="9" t="s">
        <v>156</v>
      </c>
      <c r="T826" s="12">
        <f>IF($H826="Cancelled","",IFERROR(((Q826+INDEX(Variables!$B$6:$D$6,IFERROR(MATCH(IF($B826="Robusta","Robusta",(IF($B826="","Arabica",$B826))&amp;" - "&amp;(IF($C826="","Commercial",$C826))),Variables!$B$1:$D$1,0),1)))*22.0462)*(L826/16.67),""))</f>
        <v>25382.621917216555</v>
      </c>
      <c r="U826" s="10"/>
      <c r="V826" s="9" t="str">
        <f t="shared" si="81"/>
        <v/>
      </c>
      <c r="W826" s="10">
        <v>45397</v>
      </c>
      <c r="X826" s="9" t="str">
        <f t="shared" si="82"/>
        <v>Approved</v>
      </c>
      <c r="Y826" s="10">
        <v>45397</v>
      </c>
      <c r="Z826" s="10">
        <f>IF($H826="Cancelled","",IFERROR(IF(F826="","",F826-Variables!$B$13),""))</f>
        <v>45458</v>
      </c>
      <c r="AA826" s="11">
        <f>IF($H826="Cancelled","",IFERROR(IF(W826="","",(AVERAGE(E826:F826)-W826)-Variables!$B$14),""))</f>
        <v>31.5</v>
      </c>
      <c r="AB826" s="10">
        <v>45495</v>
      </c>
      <c r="AC826" s="11">
        <f>IF($H826="Cancelled","",IFERROR(IF(AB826="","",IF(AND(W826="",Y826=""),"",IF(Y826&gt;W826,Y826+Variables!$B$15+Variables!$B$16+Variables!$B$17-AB826,W826+Variables!$B$16+Variables!$B$17-AB826))),""))</f>
        <v>-90</v>
      </c>
      <c r="AD826" s="9" t="s">
        <v>163</v>
      </c>
      <c r="AE826" s="9" t="s">
        <v>1783</v>
      </c>
      <c r="AF826" s="10"/>
      <c r="AG826" s="10"/>
      <c r="AH826" s="9"/>
      <c r="AI826" s="9">
        <v>241951364</v>
      </c>
      <c r="AJ826" s="9" t="s">
        <v>1784</v>
      </c>
      <c r="AK826" s="10">
        <v>45509</v>
      </c>
      <c r="AL826" s="10">
        <v>45512</v>
      </c>
      <c r="AM826" s="10">
        <v>45531</v>
      </c>
      <c r="AN826" s="9" t="s">
        <v>1492</v>
      </c>
      <c r="AO826" s="9"/>
      <c r="AP826" s="11">
        <f>IF($H826="Cancelled","",IFERROR(IF(OR(AK826="",AB826=""),"",(AB826+Variables!$B$18-AK826)),""))</f>
        <v>-7</v>
      </c>
      <c r="AQ826" s="11">
        <f>IF($H826="Cancelled","",IFERROR(IF(OR(AM826="",AK826=""),"",(AK826+Variables!$B$19)-AM826),""))</f>
        <v>-17</v>
      </c>
      <c r="AR826" s="12">
        <f>IF($H826="Cancelled","",IFERROR(T826*INDEX(Variables!$B$7:$D$7,IFERROR(MATCH(IF($B826="Robusta","Robusta",(IF($B826="","Arabica",$B826))&amp;" - "&amp;(IF($C826="","Commercial",$C826))),Variables!$B$1:$D$1,0),1))*(AQ826/365),""))</f>
        <v>-76.231134659824136</v>
      </c>
      <c r="AS826" s="12">
        <f>IF($H826="Cancelled","",IFERROR((T826*INDEX(Variables!$B$7:$D$7,IFERROR(MATCH(IF($B826="Robusta","Robusta",(IF($B826="","Arabica",$B826))&amp;" - "&amp;(IF($C826="","Commercial",$C826))),Variables!$B$1:$D$1,0),1))*IFERROR(IF(W826="","",(AVERAGE(E826:F826)-W826)-Variables!$B$14),"")/365)+(L826/16.67*INDEX(Variables!$B$8:$D$8,IFERROR(MATCH(IF($B826="Robusta","Robusta",(IF($B826="","Arabica",$B826))&amp;" - "&amp;(IF($C826="","Commercial",$C826))),Variables!$B$1:$D$1,0),1))*IFERROR(IF(W826="","",(AVERAGE(E826:F826)-W826)-Variables!$B$14),""))+(T826*INDEX(Variables!$B$9:$D$9,IFERROR(MATCH(IF($B826="Robusta","Robusta",(IF($B826="","Arabica",$B826))&amp;" - "&amp;(IF($C826="","Commercial",$C826))),Variables!$B$1:$D$1,0),1))*IFERROR(IF(W826="","",(AVERAGE(E826:F826)-W826)-Variables!$B$14),"")/365),""))</f>
        <v>247.02281674681888</v>
      </c>
      <c r="AT826" s="12">
        <f>IF($H826="Cancelled","",IFERROR((T826*INDEX(Variables!$B$7:$D$7,IFERROR(MATCH(IF($B826="Robusta","Robusta",(IF($B826="","Arabica",$B826))&amp;" - "&amp;(IF($C826="","Commercial",$C826))),Variables!$B$1:$D$1,0),1))*AC826/365)+(L826/16.67*INDEX(Variables!$B$8:$D$8,IFERROR(MATCH(IF($B826="Robusta","Robusta",(IF($B826="","Arabica",$B826))&amp;" - "&amp;(IF($C826="","Commercial",$C826))),Variables!$B$1:$D$1,0),1))*AC826)+(T826*INDEX(Variables!$B$9:$D$9,IFERROR(MATCH(IF($B826="Robusta","Robusta",(IF($B826="","Arabica",$B826))&amp;" - "&amp;(IF($C826="","Commercial",$C826))),Variables!$B$1:$D$1,0),1))*AC826/365),""))</f>
        <v>-705.77947641948253</v>
      </c>
      <c r="AU826" s="12">
        <f>IF($H826="Cancelled","",IFERROR((T826*INDEX(Variables!$B$7:$D$7,IFERROR(MATCH(IF($B826="Robusta","Robusta",(IF($B826="","Arabica",$B826))&amp;" - "&amp;(IF($C826="","Commercial",$C826))),Variables!$B$1:$D$1,0),1))*AP826/365)+(L826/16.67*INDEX(Variables!$B$8:$D$8,IFERROR(MATCH(IF($B826="Robusta","Robusta",(IF($B826="","Arabica",$B826))&amp;" - "&amp;(IF($C826="","Commercial",$C826))),Variables!$B$1:$D$1,0),1))*AP826)+(T826*INDEX(Variables!$B$9:$D$9,IFERROR(MATCH(IF($B826="Robusta","Robusta",(IF($B826="","Arabica",$B826))&amp;" - "&amp;(IF($C826="","Commercial",$C826))),Variables!$B$1:$D$1,0),1))*AP826/365),""))</f>
        <v>-54.893959277070863</v>
      </c>
      <c r="AV826" s="11">
        <f t="shared" si="80"/>
        <v>-36</v>
      </c>
      <c r="AW826" s="12">
        <f>IF($H826="Cancelled","",IFERROR(IF(AV826="","",(T826*INDEX(Variables!$B$7:$D$7,IFERROR(MATCH(IF($B826="Robusta","Robusta",(IF($B826="","Arabica",$B826))&amp;" - "&amp;(IF($C826="","Commercial",$C826))),Variables!$B$1:$D$1,0),1))*(AV826/365))+(T826*INDEX(Variables!$B$9:$D$9,IFERROR(MATCH(IF($B826="Robusta","Robusta",(IF($B826="","Arabica",$B826))&amp;" - "&amp;(IF($C826="","Commercial",$C826))),Variables!$B$1:$D$1,0),1))*(AV826/365))+(INDEX(Variables!$B$8:$D$8,IFERROR(MATCH(IF($B826="Robusta","Robusta",(IF($B826="","Arabica",$B826))&amp;" - "&amp;(IF($C826="","Commercial",$C826))),Variables!$B$1:$D$1,0),1))*L826/16.67)),""))</f>
        <v>-160.211790567793</v>
      </c>
      <c r="AX826" s="9"/>
      <c r="AY826" s="12"/>
      <c r="AZ826" s="10"/>
      <c r="BA826" s="9"/>
      <c r="BB826" s="10"/>
      <c r="BC826" s="9"/>
      <c r="BD826" s="9"/>
      <c r="BE826" s="9"/>
      <c r="BF826" s="9"/>
    </row>
    <row r="827" spans="1:58" x14ac:dyDescent="0.25">
      <c r="A827" s="9" t="s">
        <v>84</v>
      </c>
      <c r="B827" s="9" t="s">
        <v>85</v>
      </c>
      <c r="C827" s="9" t="s">
        <v>1486</v>
      </c>
      <c r="D827" s="10">
        <v>45442</v>
      </c>
      <c r="E827" s="10">
        <v>45444</v>
      </c>
      <c r="F827" s="10">
        <v>45473</v>
      </c>
      <c r="G827" s="9">
        <v>3786401</v>
      </c>
      <c r="H827" s="9" t="str">
        <f t="shared" si="78"/>
        <v>Closed</v>
      </c>
      <c r="I827" s="9" t="str">
        <f t="shared" si="79"/>
        <v>All dates received</v>
      </c>
      <c r="J827" s="9" t="s">
        <v>1487</v>
      </c>
      <c r="K827" s="9">
        <v>4960</v>
      </c>
      <c r="L827" s="11">
        <v>50</v>
      </c>
      <c r="M827" s="9" t="s">
        <v>1785</v>
      </c>
      <c r="N827" s="9"/>
      <c r="O827" s="9"/>
      <c r="P827" s="9"/>
      <c r="Q827" s="11"/>
      <c r="R827" s="9" t="s">
        <v>195</v>
      </c>
      <c r="S827" s="9" t="s">
        <v>156</v>
      </c>
      <c r="T827" s="12">
        <f>IF($H827="Cancelled","",IFERROR(((Q827+INDEX(Variables!$B$6:$D$6,IFERROR(MATCH(IF($B827="Robusta","Robusta",(IF($B827="","Arabica",$B827))&amp;" - "&amp;(IF($C827="","Commercial",$C827))),Variables!$B$1:$D$1,0),1)))*22.0462)*(L827/16.67),""))</f>
        <v>19229.259028194359</v>
      </c>
      <c r="U827" s="10"/>
      <c r="V827" s="9" t="str">
        <f t="shared" si="81"/>
        <v/>
      </c>
      <c r="W827" s="10">
        <v>45397</v>
      </c>
      <c r="X827" s="9" t="str">
        <f t="shared" si="82"/>
        <v>Approved</v>
      </c>
      <c r="Y827" s="10">
        <v>45397</v>
      </c>
      <c r="Z827" s="10">
        <f>IF($H827="Cancelled","",IFERROR(IF(F827="","",F827-Variables!$B$13),""))</f>
        <v>45458</v>
      </c>
      <c r="AA827" s="11">
        <f>IF($H827="Cancelled","",IFERROR(IF(W827="","",(AVERAGE(E827:F827)-W827)-Variables!$B$14),""))</f>
        <v>31.5</v>
      </c>
      <c r="AB827" s="10">
        <v>45495</v>
      </c>
      <c r="AC827" s="11">
        <f>IF($H827="Cancelled","",IFERROR(IF(AB827="","",IF(AND(W827="",Y827=""),"",IF(Y827&gt;W827,Y827+Variables!$B$15+Variables!$B$16+Variables!$B$17-AB827,W827+Variables!$B$16+Variables!$B$17-AB827))),""))</f>
        <v>-90</v>
      </c>
      <c r="AD827" s="9" t="s">
        <v>163</v>
      </c>
      <c r="AE827" s="9" t="s">
        <v>1783</v>
      </c>
      <c r="AF827" s="10"/>
      <c r="AG827" s="10"/>
      <c r="AH827" s="9"/>
      <c r="AI827" s="9">
        <v>241951364</v>
      </c>
      <c r="AJ827" s="9" t="s">
        <v>1784</v>
      </c>
      <c r="AK827" s="10">
        <v>45509</v>
      </c>
      <c r="AL827" s="10">
        <v>45512</v>
      </c>
      <c r="AM827" s="10">
        <v>45531</v>
      </c>
      <c r="AN827" s="9" t="s">
        <v>1492</v>
      </c>
      <c r="AO827" s="9"/>
      <c r="AP827" s="11">
        <f>IF($H827="Cancelled","",IFERROR(IF(OR(AK827="",AB827=""),"",(AB827+Variables!$B$18-AK827)),""))</f>
        <v>-7</v>
      </c>
      <c r="AQ827" s="11">
        <f>IF($H827="Cancelled","",IFERROR(IF(OR(AM827="",AK827=""),"",(AK827+Variables!$B$19)-AM827),""))</f>
        <v>-17</v>
      </c>
      <c r="AR827" s="12">
        <f>IF($H827="Cancelled","",IFERROR(T827*INDEX(Variables!$B$7:$D$7,IFERROR(MATCH(IF($B827="Robusta","Robusta",(IF($B827="","Arabica",$B827))&amp;" - "&amp;(IF($C827="","Commercial",$C827))),Variables!$B$1:$D$1,0),1))*(AQ827/365),""))</f>
        <v>-57.750859590775853</v>
      </c>
      <c r="AS827" s="12">
        <f>IF($H827="Cancelled","",IFERROR((T827*INDEX(Variables!$B$7:$D$7,IFERROR(MATCH(IF($B827="Robusta","Robusta",(IF($B827="","Arabica",$B827))&amp;" - "&amp;(IF($C827="","Commercial",$C827))),Variables!$B$1:$D$1,0),1))*IFERROR(IF(W827="","",(AVERAGE(E827:F827)-W827)-Variables!$B$14),"")/365)+(L827/16.67*INDEX(Variables!$B$8:$D$8,IFERROR(MATCH(IF($B827="Robusta","Robusta",(IF($B827="","Arabica",$B827))&amp;" - "&amp;(IF($C827="","Commercial",$C827))),Variables!$B$1:$D$1,0),1))*IFERROR(IF(W827="","",(AVERAGE(E827:F827)-W827)-Variables!$B$14),""))+(T827*INDEX(Variables!$B$9:$D$9,IFERROR(MATCH(IF($B827="Robusta","Robusta",(IF($B827="","Arabica",$B827))&amp;" - "&amp;(IF($C827="","Commercial",$C827))),Variables!$B$1:$D$1,0),1))*IFERROR(IF(W827="","",(AVERAGE(E827:F827)-W827)-Variables!$B$14),"")/365),""))</f>
        <v>187.13849753546887</v>
      </c>
      <c r="AT827" s="12">
        <f>IF($H827="Cancelled","",IFERROR((T827*INDEX(Variables!$B$7:$D$7,IFERROR(MATCH(IF($B827="Robusta","Robusta",(IF($B827="","Arabica",$B827))&amp;" - "&amp;(IF($C827="","Commercial",$C827))),Variables!$B$1:$D$1,0),1))*AC827/365)+(L827/16.67*INDEX(Variables!$B$8:$D$8,IFERROR(MATCH(IF($B827="Robusta","Robusta",(IF($B827="","Arabica",$B827))&amp;" - "&amp;(IF($C827="","Commercial",$C827))),Variables!$B$1:$D$1,0),1))*AC827)+(T827*INDEX(Variables!$B$9:$D$9,IFERROR(MATCH(IF($B827="Robusta","Robusta",(IF($B827="","Arabica",$B827))&amp;" - "&amp;(IF($C827="","Commercial",$C827))),Variables!$B$1:$D$1,0),1))*AC827/365),""))</f>
        <v>-534.68142152991095</v>
      </c>
      <c r="AU827" s="12">
        <f>IF($H827="Cancelled","",IFERROR((T827*INDEX(Variables!$B$7:$D$7,IFERROR(MATCH(IF($B827="Robusta","Robusta",(IF($B827="","Arabica",$B827))&amp;" - "&amp;(IF($C827="","Commercial",$C827))),Variables!$B$1:$D$1,0),1))*AP827/365)+(L827/16.67*INDEX(Variables!$B$8:$D$8,IFERROR(MATCH(IF($B827="Robusta","Robusta",(IF($B827="","Arabica",$B827))&amp;" - "&amp;(IF($C827="","Commercial",$C827))),Variables!$B$1:$D$1,0),1))*AP827)+(T827*INDEX(Variables!$B$9:$D$9,IFERROR(MATCH(IF($B827="Robusta","Robusta",(IF($B827="","Arabica",$B827))&amp;" - "&amp;(IF($C827="","Commercial",$C827))),Variables!$B$1:$D$1,0),1))*AP827/365),""))</f>
        <v>-41.586332785659742</v>
      </c>
      <c r="AV827" s="11">
        <f t="shared" si="80"/>
        <v>-36</v>
      </c>
      <c r="AW827" s="12">
        <f>IF($H827="Cancelled","",IFERROR(IF(AV827="","",(T827*INDEX(Variables!$B$7:$D$7,IFERROR(MATCH(IF($B827="Robusta","Robusta",(IF($B827="","Arabica",$B827))&amp;" - "&amp;(IF($C827="","Commercial",$C827))),Variables!$B$1:$D$1,0),1))*(AV827/365))+(T827*INDEX(Variables!$B$9:$D$9,IFERROR(MATCH(IF($B827="Robusta","Robusta",(IF($B827="","Arabica",$B827))&amp;" - "&amp;(IF($C827="","Commercial",$C827))),Variables!$B$1:$D$1,0),1))*(AV827/365))+(INDEX(Variables!$B$8:$D$8,IFERROR(MATCH(IF($B827="Robusta","Robusta",(IF($B827="","Arabica",$B827))&amp;" - "&amp;(IF($C827="","Commercial",$C827))),Variables!$B$1:$D$1,0),1))*L827/16.67)),""))</f>
        <v>-121.3725686119644</v>
      </c>
      <c r="AX827" s="9"/>
      <c r="AY827" s="12"/>
      <c r="AZ827" s="10"/>
      <c r="BA827" s="9"/>
      <c r="BB827" s="10"/>
      <c r="BC827" s="9"/>
      <c r="BD827" s="9"/>
      <c r="BE827" s="9"/>
      <c r="BF827" s="9"/>
    </row>
    <row r="828" spans="1:58" x14ac:dyDescent="0.25">
      <c r="A828" s="9" t="s">
        <v>84</v>
      </c>
      <c r="B828" s="9" t="s">
        <v>85</v>
      </c>
      <c r="C828" s="9" t="s">
        <v>1486</v>
      </c>
      <c r="D828" s="10">
        <v>45442</v>
      </c>
      <c r="E828" s="10">
        <v>45444</v>
      </c>
      <c r="F828" s="10">
        <v>45473</v>
      </c>
      <c r="G828" s="9">
        <v>3786402</v>
      </c>
      <c r="H828" s="9" t="str">
        <f t="shared" si="78"/>
        <v>Closed</v>
      </c>
      <c r="I828" s="9" t="str">
        <f t="shared" si="79"/>
        <v>All dates received</v>
      </c>
      <c r="J828" s="9" t="s">
        <v>1487</v>
      </c>
      <c r="K828" s="9">
        <v>4961</v>
      </c>
      <c r="L828" s="11">
        <v>15</v>
      </c>
      <c r="M828" s="9" t="s">
        <v>1786</v>
      </c>
      <c r="N828" s="9"/>
      <c r="O828" s="9"/>
      <c r="P828" s="9"/>
      <c r="Q828" s="11"/>
      <c r="R828" s="9" t="s">
        <v>195</v>
      </c>
      <c r="S828" s="9" t="s">
        <v>156</v>
      </c>
      <c r="T828" s="12">
        <f>IF($H828="Cancelled","",IFERROR(((Q828+INDEX(Variables!$B$6:$D$6,IFERROR(MATCH(IF($B828="Robusta","Robusta",(IF($B828="","Arabica",$B828))&amp;" - "&amp;(IF($C828="","Commercial",$C828))),Variables!$B$1:$D$1,0),1)))*22.0462)*(L828/16.67),""))</f>
        <v>5768.7777084583076</v>
      </c>
      <c r="U828" s="10"/>
      <c r="V828" s="9" t="str">
        <f t="shared" si="81"/>
        <v/>
      </c>
      <c r="W828" s="10">
        <v>45397</v>
      </c>
      <c r="X828" s="9" t="str">
        <f t="shared" si="82"/>
        <v>Approved</v>
      </c>
      <c r="Y828" s="10">
        <v>45397</v>
      </c>
      <c r="Z828" s="10">
        <f>IF($H828="Cancelled","",IFERROR(IF(F828="","",F828-Variables!$B$13),""))</f>
        <v>45458</v>
      </c>
      <c r="AA828" s="11">
        <f>IF($H828="Cancelled","",IFERROR(IF(W828="","",(AVERAGE(E828:F828)-W828)-Variables!$B$14),""))</f>
        <v>31.5</v>
      </c>
      <c r="AB828" s="10">
        <v>45495</v>
      </c>
      <c r="AC828" s="11">
        <f>IF($H828="Cancelled","",IFERROR(IF(AB828="","",IF(AND(W828="",Y828=""),"",IF(Y828&gt;W828,Y828+Variables!$B$15+Variables!$B$16+Variables!$B$17-AB828,W828+Variables!$B$16+Variables!$B$17-AB828))),""))</f>
        <v>-90</v>
      </c>
      <c r="AD828" s="9" t="s">
        <v>163</v>
      </c>
      <c r="AE828" s="9" t="s">
        <v>1783</v>
      </c>
      <c r="AF828" s="10"/>
      <c r="AG828" s="10"/>
      <c r="AH828" s="9"/>
      <c r="AI828" s="9">
        <v>241951364</v>
      </c>
      <c r="AJ828" s="9" t="s">
        <v>1784</v>
      </c>
      <c r="AK828" s="10">
        <v>45509</v>
      </c>
      <c r="AL828" s="10">
        <v>45512</v>
      </c>
      <c r="AM828" s="10">
        <v>45531</v>
      </c>
      <c r="AN828" s="9" t="s">
        <v>1492</v>
      </c>
      <c r="AO828" s="9"/>
      <c r="AP828" s="11">
        <f>IF($H828="Cancelled","",IFERROR(IF(OR(AK828="",AB828=""),"",(AB828+Variables!$B$18-AK828)),""))</f>
        <v>-7</v>
      </c>
      <c r="AQ828" s="11">
        <f>IF($H828="Cancelled","",IFERROR(IF(OR(AM828="",AK828=""),"",(AK828+Variables!$B$19)-AM828),""))</f>
        <v>-17</v>
      </c>
      <c r="AR828" s="12">
        <f>IF($H828="Cancelled","",IFERROR(T828*INDEX(Variables!$B$7:$D$7,IFERROR(MATCH(IF($B828="Robusta","Robusta",(IF($B828="","Arabica",$B828))&amp;" - "&amp;(IF($C828="","Commercial",$C828))),Variables!$B$1:$D$1,0),1))*(AQ828/365),""))</f>
        <v>-17.325257877232755</v>
      </c>
      <c r="AS828" s="12">
        <f>IF($H828="Cancelled","",IFERROR((T828*INDEX(Variables!$B$7:$D$7,IFERROR(MATCH(IF($B828="Robusta","Robusta",(IF($B828="","Arabica",$B828))&amp;" - "&amp;(IF($C828="","Commercial",$C828))),Variables!$B$1:$D$1,0),1))*IFERROR(IF(W828="","",(AVERAGE(E828:F828)-W828)-Variables!$B$14),"")/365)+(L828/16.67*INDEX(Variables!$B$8:$D$8,IFERROR(MATCH(IF($B828="Robusta","Robusta",(IF($B828="","Arabica",$B828))&amp;" - "&amp;(IF($C828="","Commercial",$C828))),Variables!$B$1:$D$1,0),1))*IFERROR(IF(W828="","",(AVERAGE(E828:F828)-W828)-Variables!$B$14),""))+(T828*INDEX(Variables!$B$9:$D$9,IFERROR(MATCH(IF($B828="Robusta","Robusta",(IF($B828="","Arabica",$B828))&amp;" - "&amp;(IF($C828="","Commercial",$C828))),Variables!$B$1:$D$1,0),1))*IFERROR(IF(W828="","",(AVERAGE(E828:F828)-W828)-Variables!$B$14),"")/365),""))</f>
        <v>56.141549260640652</v>
      </c>
      <c r="AT828" s="12">
        <f>IF($H828="Cancelled","",IFERROR((T828*INDEX(Variables!$B$7:$D$7,IFERROR(MATCH(IF($B828="Robusta","Robusta",(IF($B828="","Arabica",$B828))&amp;" - "&amp;(IF($C828="","Commercial",$C828))),Variables!$B$1:$D$1,0),1))*AC828/365)+(L828/16.67*INDEX(Variables!$B$8:$D$8,IFERROR(MATCH(IF($B828="Robusta","Robusta",(IF($B828="","Arabica",$B828))&amp;" - "&amp;(IF($C828="","Commercial",$C828))),Variables!$B$1:$D$1,0),1))*AC828)+(T828*INDEX(Variables!$B$9:$D$9,IFERROR(MATCH(IF($B828="Robusta","Robusta",(IF($B828="","Arabica",$B828))&amp;" - "&amp;(IF($C828="","Commercial",$C828))),Variables!$B$1:$D$1,0),1))*AC828/365),""))</f>
        <v>-160.40442645897329</v>
      </c>
      <c r="AU828" s="12">
        <f>IF($H828="Cancelled","",IFERROR((T828*INDEX(Variables!$B$7:$D$7,IFERROR(MATCH(IF($B828="Robusta","Robusta",(IF($B828="","Arabica",$B828))&amp;" - "&amp;(IF($C828="","Commercial",$C828))),Variables!$B$1:$D$1,0),1))*AP828/365)+(L828/16.67*INDEX(Variables!$B$8:$D$8,IFERROR(MATCH(IF($B828="Robusta","Robusta",(IF($B828="","Arabica",$B828))&amp;" - "&amp;(IF($C828="","Commercial",$C828))),Variables!$B$1:$D$1,0),1))*AP828)+(T828*INDEX(Variables!$B$9:$D$9,IFERROR(MATCH(IF($B828="Robusta","Robusta",(IF($B828="","Arabica",$B828))&amp;" - "&amp;(IF($C828="","Commercial",$C828))),Variables!$B$1:$D$1,0),1))*AP828/365),""))</f>
        <v>-12.475899835697923</v>
      </c>
      <c r="AV828" s="11">
        <f t="shared" si="80"/>
        <v>-36</v>
      </c>
      <c r="AW828" s="12">
        <f>IF($H828="Cancelled","",IFERROR(IF(AV828="","",(T828*INDEX(Variables!$B$7:$D$7,IFERROR(MATCH(IF($B828="Robusta","Robusta",(IF($B828="","Arabica",$B828))&amp;" - "&amp;(IF($C828="","Commercial",$C828))),Variables!$B$1:$D$1,0),1))*(AV828/365))+(T828*INDEX(Variables!$B$9:$D$9,IFERROR(MATCH(IF($B828="Robusta","Robusta",(IF($B828="","Arabica",$B828))&amp;" - "&amp;(IF($C828="","Commercial",$C828))),Variables!$B$1:$D$1,0),1))*(AV828/365))+(INDEX(Variables!$B$8:$D$8,IFERROR(MATCH(IF($B828="Robusta","Robusta",(IF($B828="","Arabica",$B828))&amp;" - "&amp;(IF($C828="","Commercial",$C828))),Variables!$B$1:$D$1,0),1))*L828/16.67)),""))</f>
        <v>-36.411770583589323</v>
      </c>
      <c r="AX828" s="9"/>
      <c r="AY828" s="12"/>
      <c r="AZ828" s="10"/>
      <c r="BA828" s="9"/>
      <c r="BB828" s="10"/>
      <c r="BC828" s="9"/>
      <c r="BD828" s="9"/>
      <c r="BE828" s="9"/>
      <c r="BF828" s="9"/>
    </row>
    <row r="829" spans="1:58" x14ac:dyDescent="0.25">
      <c r="A829" s="9" t="s">
        <v>84</v>
      </c>
      <c r="B829" s="9" t="s">
        <v>85</v>
      </c>
      <c r="C829" s="9" t="s">
        <v>1486</v>
      </c>
      <c r="D829" s="10">
        <v>45447</v>
      </c>
      <c r="E829" s="10">
        <v>45444</v>
      </c>
      <c r="F829" s="10">
        <v>45473</v>
      </c>
      <c r="G829" s="9">
        <v>3786405</v>
      </c>
      <c r="H829" s="9" t="str">
        <f t="shared" si="78"/>
        <v>Closed</v>
      </c>
      <c r="I829" s="9" t="str">
        <f t="shared" si="79"/>
        <v>All dates received</v>
      </c>
      <c r="J829" s="9" t="s">
        <v>1395</v>
      </c>
      <c r="K829" s="9">
        <v>4964</v>
      </c>
      <c r="L829" s="11">
        <v>30</v>
      </c>
      <c r="M829" s="9" t="s">
        <v>1787</v>
      </c>
      <c r="N829" s="9"/>
      <c r="O829" s="9"/>
      <c r="P829" s="9"/>
      <c r="Q829" s="11"/>
      <c r="R829" s="9" t="s">
        <v>195</v>
      </c>
      <c r="S829" s="9" t="s">
        <v>458</v>
      </c>
      <c r="T829" s="12">
        <f>IF($H829="Cancelled","",IFERROR(((Q829+INDEX(Variables!$B$6:$D$6,IFERROR(MATCH(IF($B829="Robusta","Robusta",(IF($B829="","Arabica",$B829))&amp;" - "&amp;(IF($C829="","Commercial",$C829))),Variables!$B$1:$D$1,0),1)))*22.0462)*(L829/16.67),""))</f>
        <v>11537.555416916615</v>
      </c>
      <c r="U829" s="10"/>
      <c r="V829" s="9" t="str">
        <f t="shared" si="81"/>
        <v/>
      </c>
      <c r="W829" s="10">
        <v>45397</v>
      </c>
      <c r="X829" s="9" t="str">
        <f t="shared" si="82"/>
        <v>Approved</v>
      </c>
      <c r="Y829" s="10">
        <v>45397</v>
      </c>
      <c r="Z829" s="10">
        <f>IF($H829="Cancelled","",IFERROR(IF(F829="","",F829-Variables!$B$13),""))</f>
        <v>45458</v>
      </c>
      <c r="AA829" s="11">
        <f>IF($H829="Cancelled","",IFERROR(IF(W829="","",(AVERAGE(E829:F829)-W829)-Variables!$B$14),""))</f>
        <v>31.5</v>
      </c>
      <c r="AB829" s="10">
        <v>45476</v>
      </c>
      <c r="AC829" s="11">
        <f>IF($H829="Cancelled","",IFERROR(IF(AB829="","",IF(AND(W829="",Y829=""),"",IF(Y829&gt;W829,Y829+Variables!$B$15+Variables!$B$16+Variables!$B$17-AB829,W829+Variables!$B$16+Variables!$B$17-AB829))),""))</f>
        <v>-71</v>
      </c>
      <c r="AD829" s="9" t="s">
        <v>151</v>
      </c>
      <c r="AE829" s="9" t="s">
        <v>1788</v>
      </c>
      <c r="AF829" s="10"/>
      <c r="AG829" s="10"/>
      <c r="AH829" s="9"/>
      <c r="AI829" s="9" t="s">
        <v>1789</v>
      </c>
      <c r="AJ829" s="9" t="s">
        <v>8</v>
      </c>
      <c r="AK829" s="10">
        <v>45488</v>
      </c>
      <c r="AL829" s="10">
        <v>45512</v>
      </c>
      <c r="AM829" s="10">
        <v>45512</v>
      </c>
      <c r="AN829" s="9" t="s">
        <v>1492</v>
      </c>
      <c r="AO829" s="9"/>
      <c r="AP829" s="11">
        <f>IF($H829="Cancelled","",IFERROR(IF(OR(AK829="",AB829=""),"",(AB829+Variables!$B$18-AK829)),""))</f>
        <v>-5</v>
      </c>
      <c r="AQ829" s="11">
        <f>IF($H829="Cancelled","",IFERROR(IF(OR(AM829="",AK829=""),"",(AK829+Variables!$B$19)-AM829),""))</f>
        <v>-19</v>
      </c>
      <c r="AR829" s="12">
        <f>IF($H829="Cancelled","",IFERROR(T829*INDEX(Variables!$B$7:$D$7,IFERROR(MATCH(IF($B829="Robusta","Robusta",(IF($B829="","Arabica",$B829))&amp;" - "&amp;(IF($C829="","Commercial",$C829))),Variables!$B$1:$D$1,0),1))*(AQ829/365),""))</f>
        <v>-38.727047019696748</v>
      </c>
      <c r="AS829" s="12">
        <f>IF($H829="Cancelled","",IFERROR((T829*INDEX(Variables!$B$7:$D$7,IFERROR(MATCH(IF($B829="Robusta","Robusta",(IF($B829="","Arabica",$B829))&amp;" - "&amp;(IF($C829="","Commercial",$C829))),Variables!$B$1:$D$1,0),1))*IFERROR(IF(W829="","",(AVERAGE(E829:F829)-W829)-Variables!$B$14),"")/365)+(L829/16.67*INDEX(Variables!$B$8:$D$8,IFERROR(MATCH(IF($B829="Robusta","Robusta",(IF($B829="","Arabica",$B829))&amp;" - "&amp;(IF($C829="","Commercial",$C829))),Variables!$B$1:$D$1,0),1))*IFERROR(IF(W829="","",(AVERAGE(E829:F829)-W829)-Variables!$B$14),""))+(T829*INDEX(Variables!$B$9:$D$9,IFERROR(MATCH(IF($B829="Robusta","Robusta",(IF($B829="","Arabica",$B829))&amp;" - "&amp;(IF($C829="","Commercial",$C829))),Variables!$B$1:$D$1,0),1))*IFERROR(IF(W829="","",(AVERAGE(E829:F829)-W829)-Variables!$B$14),"")/365),""))</f>
        <v>112.2830985212813</v>
      </c>
      <c r="AT829" s="12">
        <f>IF($H829="Cancelled","",IFERROR((T829*INDEX(Variables!$B$7:$D$7,IFERROR(MATCH(IF($B829="Robusta","Robusta",(IF($B829="","Arabica",$B829))&amp;" - "&amp;(IF($C829="","Commercial",$C829))),Variables!$B$1:$D$1,0),1))*AC829/365)+(L829/16.67*INDEX(Variables!$B$8:$D$8,IFERROR(MATCH(IF($B829="Robusta","Robusta",(IF($B829="","Arabica",$B829))&amp;" - "&amp;(IF($C829="","Commercial",$C829))),Variables!$B$1:$D$1,0),1))*AC829)+(T829*INDEX(Variables!$B$9:$D$9,IFERROR(MATCH(IF($B829="Robusta","Robusta",(IF($B829="","Arabica",$B829))&amp;" - "&amp;(IF($C829="","Commercial",$C829))),Variables!$B$1:$D$1,0),1))*AC829/365),""))</f>
        <v>-253.08253952415785</v>
      </c>
      <c r="AU829" s="12">
        <f>IF($H829="Cancelled","",IFERROR((T829*INDEX(Variables!$B$7:$D$7,IFERROR(MATCH(IF($B829="Robusta","Robusta",(IF($B829="","Arabica",$B829))&amp;" - "&amp;(IF($C829="","Commercial",$C829))),Variables!$B$1:$D$1,0),1))*AP829/365)+(L829/16.67*INDEX(Variables!$B$8:$D$8,IFERROR(MATCH(IF($B829="Robusta","Robusta",(IF($B829="","Arabica",$B829))&amp;" - "&amp;(IF($C829="","Commercial",$C829))),Variables!$B$1:$D$1,0),1))*AP829)+(T829*INDEX(Variables!$B$9:$D$9,IFERROR(MATCH(IF($B829="Robusta","Robusta",(IF($B829="","Arabica",$B829))&amp;" - "&amp;(IF($C829="","Commercial",$C829))),Variables!$B$1:$D$1,0),1))*AP829/365),""))</f>
        <v>-17.822714050997032</v>
      </c>
      <c r="AV829" s="11">
        <f t="shared" si="80"/>
        <v>-15</v>
      </c>
      <c r="AW829" s="12">
        <f>IF($H829="Cancelled","",IFERROR(IF(AV829="","",(T829*INDEX(Variables!$B$7:$D$7,IFERROR(MATCH(IF($B829="Robusta","Robusta",(IF($B829="","Arabica",$B829))&amp;" - "&amp;(IF($C829="","Commercial",$C829))),Variables!$B$1:$D$1,0),1))*(AV829/365))+(T829*INDEX(Variables!$B$9:$D$9,IFERROR(MATCH(IF($B829="Robusta","Robusta",(IF($B829="","Arabica",$B829))&amp;" - "&amp;(IF($C829="","Commercial",$C829))),Variables!$B$1:$D$1,0),1))*(AV829/365))+(INDEX(Variables!$B$8:$D$8,IFERROR(MATCH(IF($B829="Robusta","Robusta",(IF($B829="","Arabica",$B829))&amp;" - "&amp;(IF($C829="","Commercial",$C829))),Variables!$B$1:$D$1,0),1))*L829/16.67)),""))</f>
        <v>-29.468142152991096</v>
      </c>
      <c r="AX829" s="9"/>
      <c r="AY829" s="12"/>
      <c r="AZ829" s="10"/>
      <c r="BA829" s="9"/>
      <c r="BB829" s="10"/>
      <c r="BC829" s="9"/>
      <c r="BD829" s="9"/>
      <c r="BE829" s="9"/>
      <c r="BF829" s="9"/>
    </row>
    <row r="830" spans="1:58" x14ac:dyDescent="0.25">
      <c r="A830" s="9" t="s">
        <v>84</v>
      </c>
      <c r="B830" s="9" t="s">
        <v>85</v>
      </c>
      <c r="C830" s="9" t="s">
        <v>1486</v>
      </c>
      <c r="D830" s="10">
        <v>45447</v>
      </c>
      <c r="E830" s="10">
        <v>45444</v>
      </c>
      <c r="F830" s="10">
        <v>45473</v>
      </c>
      <c r="G830" s="9">
        <v>3786406</v>
      </c>
      <c r="H830" s="9" t="str">
        <f t="shared" si="78"/>
        <v>Closed</v>
      </c>
      <c r="I830" s="9" t="str">
        <f t="shared" si="79"/>
        <v>All dates received</v>
      </c>
      <c r="J830" s="9" t="s">
        <v>1395</v>
      </c>
      <c r="K830" s="9">
        <v>4965</v>
      </c>
      <c r="L830" s="11">
        <v>20</v>
      </c>
      <c r="M830" s="9" t="s">
        <v>1790</v>
      </c>
      <c r="N830" s="9"/>
      <c r="O830" s="9"/>
      <c r="P830" s="9"/>
      <c r="Q830" s="11"/>
      <c r="R830" s="9" t="s">
        <v>195</v>
      </c>
      <c r="S830" s="9" t="s">
        <v>458</v>
      </c>
      <c r="T830" s="12">
        <f>IF($H830="Cancelled","",IFERROR(((Q830+INDEX(Variables!$B$6:$D$6,IFERROR(MATCH(IF($B830="Robusta","Robusta",(IF($B830="","Arabica",$B830))&amp;" - "&amp;(IF($C830="","Commercial",$C830))),Variables!$B$1:$D$1,0),1)))*22.0462)*(L830/16.67),""))</f>
        <v>7691.7036112777441</v>
      </c>
      <c r="U830" s="10"/>
      <c r="V830" s="9" t="str">
        <f t="shared" si="81"/>
        <v/>
      </c>
      <c r="W830" s="10">
        <v>45397</v>
      </c>
      <c r="X830" s="9" t="str">
        <f t="shared" si="82"/>
        <v>Approved</v>
      </c>
      <c r="Y830" s="10">
        <v>45397</v>
      </c>
      <c r="Z830" s="10">
        <f>IF($H830="Cancelled","",IFERROR(IF(F830="","",F830-Variables!$B$13),""))</f>
        <v>45458</v>
      </c>
      <c r="AA830" s="11">
        <f>IF($H830="Cancelled","",IFERROR(IF(W830="","",(AVERAGE(E830:F830)-W830)-Variables!$B$14),""))</f>
        <v>31.5</v>
      </c>
      <c r="AB830" s="10">
        <v>45476</v>
      </c>
      <c r="AC830" s="11">
        <f>IF($H830="Cancelled","",IFERROR(IF(AB830="","",IF(AND(W830="",Y830=""),"",IF(Y830&gt;W830,Y830+Variables!$B$15+Variables!$B$16+Variables!$B$17-AB830,W830+Variables!$B$16+Variables!$B$17-AB830))),""))</f>
        <v>-71</v>
      </c>
      <c r="AD830" s="9" t="s">
        <v>151</v>
      </c>
      <c r="AE830" s="9" t="s">
        <v>1788</v>
      </c>
      <c r="AF830" s="10"/>
      <c r="AG830" s="10"/>
      <c r="AH830" s="9"/>
      <c r="AI830" s="9" t="s">
        <v>1789</v>
      </c>
      <c r="AJ830" s="9" t="s">
        <v>8</v>
      </c>
      <c r="AK830" s="10">
        <v>45488</v>
      </c>
      <c r="AL830" s="10">
        <v>45512</v>
      </c>
      <c r="AM830" s="10">
        <v>45512</v>
      </c>
      <c r="AN830" s="9" t="s">
        <v>1492</v>
      </c>
      <c r="AO830" s="9"/>
      <c r="AP830" s="11">
        <f>IF($H830="Cancelled","",IFERROR(IF(OR(AK830="",AB830=""),"",(AB830+Variables!$B$18-AK830)),""))</f>
        <v>-5</v>
      </c>
      <c r="AQ830" s="11">
        <f>IF($H830="Cancelled","",IFERROR(IF(OR(AM830="",AK830=""),"",(AK830+Variables!$B$19)-AM830),""))</f>
        <v>-19</v>
      </c>
      <c r="AR830" s="12">
        <f>IF($H830="Cancelled","",IFERROR(T830*INDEX(Variables!$B$7:$D$7,IFERROR(MATCH(IF($B830="Robusta","Robusta",(IF($B830="","Arabica",$B830))&amp;" - "&amp;(IF($C830="","Commercial",$C830))),Variables!$B$1:$D$1,0),1))*(AQ830/365),""))</f>
        <v>-25.818031346464497</v>
      </c>
      <c r="AS830" s="12">
        <f>IF($H830="Cancelled","",IFERROR((T830*INDEX(Variables!$B$7:$D$7,IFERROR(MATCH(IF($B830="Robusta","Robusta",(IF($B830="","Arabica",$B830))&amp;" - "&amp;(IF($C830="","Commercial",$C830))),Variables!$B$1:$D$1,0),1))*IFERROR(IF(W830="","",(AVERAGE(E830:F830)-W830)-Variables!$B$14),"")/365)+(L830/16.67*INDEX(Variables!$B$8:$D$8,IFERROR(MATCH(IF($B830="Robusta","Robusta",(IF($B830="","Arabica",$B830))&amp;" - "&amp;(IF($C830="","Commercial",$C830))),Variables!$B$1:$D$1,0),1))*IFERROR(IF(W830="","",(AVERAGE(E830:F830)-W830)-Variables!$B$14),""))+(T830*INDEX(Variables!$B$9:$D$9,IFERROR(MATCH(IF($B830="Robusta","Robusta",(IF($B830="","Arabica",$B830))&amp;" - "&amp;(IF($C830="","Commercial",$C830))),Variables!$B$1:$D$1,0),1))*IFERROR(IF(W830="","",(AVERAGE(E830:F830)-W830)-Variables!$B$14),"")/365),""))</f>
        <v>74.855399014187554</v>
      </c>
      <c r="AT830" s="12">
        <f>IF($H830="Cancelled","",IFERROR((T830*INDEX(Variables!$B$7:$D$7,IFERROR(MATCH(IF($B830="Robusta","Robusta",(IF($B830="","Arabica",$B830))&amp;" - "&amp;(IF($C830="","Commercial",$C830))),Variables!$B$1:$D$1,0),1))*AC830/365)+(L830/16.67*INDEX(Variables!$B$8:$D$8,IFERROR(MATCH(IF($B830="Robusta","Robusta",(IF($B830="","Arabica",$B830))&amp;" - "&amp;(IF($C830="","Commercial",$C830))),Variables!$B$1:$D$1,0),1))*AC830)+(T830*INDEX(Variables!$B$9:$D$9,IFERROR(MATCH(IF($B830="Robusta","Robusta",(IF($B830="","Arabica",$B830))&amp;" - "&amp;(IF($C830="","Commercial",$C830))),Variables!$B$1:$D$1,0),1))*AC830/365),""))</f>
        <v>-168.72169301610523</v>
      </c>
      <c r="AU830" s="12">
        <f>IF($H830="Cancelled","",IFERROR((T830*INDEX(Variables!$B$7:$D$7,IFERROR(MATCH(IF($B830="Robusta","Robusta",(IF($B830="","Arabica",$B830))&amp;" - "&amp;(IF($C830="","Commercial",$C830))),Variables!$B$1:$D$1,0),1))*AP830/365)+(L830/16.67*INDEX(Variables!$B$8:$D$8,IFERROR(MATCH(IF($B830="Robusta","Robusta",(IF($B830="","Arabica",$B830))&amp;" - "&amp;(IF($C830="","Commercial",$C830))),Variables!$B$1:$D$1,0),1))*AP830)+(T830*INDEX(Variables!$B$9:$D$9,IFERROR(MATCH(IF($B830="Robusta","Robusta",(IF($B830="","Arabica",$B830))&amp;" - "&amp;(IF($C830="","Commercial",$C830))),Variables!$B$1:$D$1,0),1))*AP830/365),""))</f>
        <v>-11.881809367331355</v>
      </c>
      <c r="AV830" s="11">
        <f t="shared" si="80"/>
        <v>-15</v>
      </c>
      <c r="AW830" s="12">
        <f>IF($H830="Cancelled","",IFERROR(IF(AV830="","",(T830*INDEX(Variables!$B$7:$D$7,IFERROR(MATCH(IF($B830="Robusta","Robusta",(IF($B830="","Arabica",$B830))&amp;" - "&amp;(IF($C830="","Commercial",$C830))),Variables!$B$1:$D$1,0),1))*(AV830/365))+(T830*INDEX(Variables!$B$9:$D$9,IFERROR(MATCH(IF($B830="Robusta","Robusta",(IF($B830="","Arabica",$B830))&amp;" - "&amp;(IF($C830="","Commercial",$C830))),Variables!$B$1:$D$1,0),1))*(AV830/365))+(INDEX(Variables!$B$8:$D$8,IFERROR(MATCH(IF($B830="Robusta","Robusta",(IF($B830="","Arabica",$B830))&amp;" - "&amp;(IF($C830="","Commercial",$C830))),Variables!$B$1:$D$1,0),1))*L830/16.67)),""))</f>
        <v>-19.645428101994064</v>
      </c>
      <c r="AX830" s="9"/>
      <c r="AY830" s="12"/>
      <c r="AZ830" s="10"/>
      <c r="BA830" s="9"/>
      <c r="BB830" s="10"/>
      <c r="BC830" s="9"/>
      <c r="BD830" s="9"/>
      <c r="BE830" s="9"/>
      <c r="BF830" s="9"/>
    </row>
    <row r="831" spans="1:58" x14ac:dyDescent="0.25">
      <c r="A831" s="9" t="s">
        <v>84</v>
      </c>
      <c r="B831" s="9" t="s">
        <v>85</v>
      </c>
      <c r="C831" s="9" t="s">
        <v>1486</v>
      </c>
      <c r="D831" s="10">
        <v>45447</v>
      </c>
      <c r="E831" s="10">
        <v>45444</v>
      </c>
      <c r="F831" s="10">
        <v>45473</v>
      </c>
      <c r="G831" s="9">
        <v>3786407</v>
      </c>
      <c r="H831" s="9" t="str">
        <f t="shared" si="78"/>
        <v>Closed</v>
      </c>
      <c r="I831" s="9" t="str">
        <f t="shared" si="79"/>
        <v>All dates received</v>
      </c>
      <c r="J831" s="9" t="s">
        <v>1395</v>
      </c>
      <c r="K831" s="9">
        <v>4966</v>
      </c>
      <c r="L831" s="11">
        <v>20</v>
      </c>
      <c r="M831" s="9" t="s">
        <v>1791</v>
      </c>
      <c r="N831" s="9"/>
      <c r="O831" s="9"/>
      <c r="P831" s="9"/>
      <c r="Q831" s="11"/>
      <c r="R831" s="9" t="s">
        <v>195</v>
      </c>
      <c r="S831" s="9" t="s">
        <v>458</v>
      </c>
      <c r="T831" s="12">
        <f>IF($H831="Cancelled","",IFERROR(((Q831+INDEX(Variables!$B$6:$D$6,IFERROR(MATCH(IF($B831="Robusta","Robusta",(IF($B831="","Arabica",$B831))&amp;" - "&amp;(IF($C831="","Commercial",$C831))),Variables!$B$1:$D$1,0),1)))*22.0462)*(L831/16.67),""))</f>
        <v>7691.7036112777441</v>
      </c>
      <c r="U831" s="10"/>
      <c r="V831" s="9" t="str">
        <f t="shared" si="81"/>
        <v/>
      </c>
      <c r="W831" s="10">
        <v>45397</v>
      </c>
      <c r="X831" s="9" t="str">
        <f t="shared" si="82"/>
        <v>Approved</v>
      </c>
      <c r="Y831" s="10">
        <v>45397</v>
      </c>
      <c r="Z831" s="10">
        <f>IF($H831="Cancelled","",IFERROR(IF(F831="","",F831-Variables!$B$13),""))</f>
        <v>45458</v>
      </c>
      <c r="AA831" s="11">
        <f>IF($H831="Cancelled","",IFERROR(IF(W831="","",(AVERAGE(E831:F831)-W831)-Variables!$B$14),""))</f>
        <v>31.5</v>
      </c>
      <c r="AB831" s="10">
        <v>45476</v>
      </c>
      <c r="AC831" s="11">
        <f>IF($H831="Cancelled","",IFERROR(IF(AB831="","",IF(AND(W831="",Y831=""),"",IF(Y831&gt;W831,Y831+Variables!$B$15+Variables!$B$16+Variables!$B$17-AB831,W831+Variables!$B$16+Variables!$B$17-AB831))),""))</f>
        <v>-71</v>
      </c>
      <c r="AD831" s="9" t="s">
        <v>151</v>
      </c>
      <c r="AE831" s="9" t="s">
        <v>1788</v>
      </c>
      <c r="AF831" s="10"/>
      <c r="AG831" s="10"/>
      <c r="AH831" s="9"/>
      <c r="AI831" s="9" t="s">
        <v>1789</v>
      </c>
      <c r="AJ831" s="9" t="s">
        <v>8</v>
      </c>
      <c r="AK831" s="10">
        <v>45488</v>
      </c>
      <c r="AL831" s="10">
        <v>45512</v>
      </c>
      <c r="AM831" s="10">
        <v>45512</v>
      </c>
      <c r="AN831" s="9" t="s">
        <v>1492</v>
      </c>
      <c r="AO831" s="9"/>
      <c r="AP831" s="11">
        <f>IF($H831="Cancelled","",IFERROR(IF(OR(AK831="",AB831=""),"",(AB831+Variables!$B$18-AK831)),""))</f>
        <v>-5</v>
      </c>
      <c r="AQ831" s="11">
        <f>IF($H831="Cancelled","",IFERROR(IF(OR(AM831="",AK831=""),"",(AK831+Variables!$B$19)-AM831),""))</f>
        <v>-19</v>
      </c>
      <c r="AR831" s="12">
        <f>IF($H831="Cancelled","",IFERROR(T831*INDEX(Variables!$B$7:$D$7,IFERROR(MATCH(IF($B831="Robusta","Robusta",(IF($B831="","Arabica",$B831))&amp;" - "&amp;(IF($C831="","Commercial",$C831))),Variables!$B$1:$D$1,0),1))*(AQ831/365),""))</f>
        <v>-25.818031346464497</v>
      </c>
      <c r="AS831" s="12">
        <f>IF($H831="Cancelled","",IFERROR((T831*INDEX(Variables!$B$7:$D$7,IFERROR(MATCH(IF($B831="Robusta","Robusta",(IF($B831="","Arabica",$B831))&amp;" - "&amp;(IF($C831="","Commercial",$C831))),Variables!$B$1:$D$1,0),1))*IFERROR(IF(W831="","",(AVERAGE(E831:F831)-W831)-Variables!$B$14),"")/365)+(L831/16.67*INDEX(Variables!$B$8:$D$8,IFERROR(MATCH(IF($B831="Robusta","Robusta",(IF($B831="","Arabica",$B831))&amp;" - "&amp;(IF($C831="","Commercial",$C831))),Variables!$B$1:$D$1,0),1))*IFERROR(IF(W831="","",(AVERAGE(E831:F831)-W831)-Variables!$B$14),""))+(T831*INDEX(Variables!$B$9:$D$9,IFERROR(MATCH(IF($B831="Robusta","Robusta",(IF($B831="","Arabica",$B831))&amp;" - "&amp;(IF($C831="","Commercial",$C831))),Variables!$B$1:$D$1,0),1))*IFERROR(IF(W831="","",(AVERAGE(E831:F831)-W831)-Variables!$B$14),"")/365),""))</f>
        <v>74.855399014187554</v>
      </c>
      <c r="AT831" s="12">
        <f>IF($H831="Cancelled","",IFERROR((T831*INDEX(Variables!$B$7:$D$7,IFERROR(MATCH(IF($B831="Robusta","Robusta",(IF($B831="","Arabica",$B831))&amp;" - "&amp;(IF($C831="","Commercial",$C831))),Variables!$B$1:$D$1,0),1))*AC831/365)+(L831/16.67*INDEX(Variables!$B$8:$D$8,IFERROR(MATCH(IF($B831="Robusta","Robusta",(IF($B831="","Arabica",$B831))&amp;" - "&amp;(IF($C831="","Commercial",$C831))),Variables!$B$1:$D$1,0),1))*AC831)+(T831*INDEX(Variables!$B$9:$D$9,IFERROR(MATCH(IF($B831="Robusta","Robusta",(IF($B831="","Arabica",$B831))&amp;" - "&amp;(IF($C831="","Commercial",$C831))),Variables!$B$1:$D$1,0),1))*AC831/365),""))</f>
        <v>-168.72169301610523</v>
      </c>
      <c r="AU831" s="12">
        <f>IF($H831="Cancelled","",IFERROR((T831*INDEX(Variables!$B$7:$D$7,IFERROR(MATCH(IF($B831="Robusta","Robusta",(IF($B831="","Arabica",$B831))&amp;" - "&amp;(IF($C831="","Commercial",$C831))),Variables!$B$1:$D$1,0),1))*AP831/365)+(L831/16.67*INDEX(Variables!$B$8:$D$8,IFERROR(MATCH(IF($B831="Robusta","Robusta",(IF($B831="","Arabica",$B831))&amp;" - "&amp;(IF($C831="","Commercial",$C831))),Variables!$B$1:$D$1,0),1))*AP831)+(T831*INDEX(Variables!$B$9:$D$9,IFERROR(MATCH(IF($B831="Robusta","Robusta",(IF($B831="","Arabica",$B831))&amp;" - "&amp;(IF($C831="","Commercial",$C831))),Variables!$B$1:$D$1,0),1))*AP831/365),""))</f>
        <v>-11.881809367331355</v>
      </c>
      <c r="AV831" s="11">
        <f t="shared" si="80"/>
        <v>-15</v>
      </c>
      <c r="AW831" s="12">
        <f>IF($H831="Cancelled","",IFERROR(IF(AV831="","",(T831*INDEX(Variables!$B$7:$D$7,IFERROR(MATCH(IF($B831="Robusta","Robusta",(IF($B831="","Arabica",$B831))&amp;" - "&amp;(IF($C831="","Commercial",$C831))),Variables!$B$1:$D$1,0),1))*(AV831/365))+(T831*INDEX(Variables!$B$9:$D$9,IFERROR(MATCH(IF($B831="Robusta","Robusta",(IF($B831="","Arabica",$B831))&amp;" - "&amp;(IF($C831="","Commercial",$C831))),Variables!$B$1:$D$1,0),1))*(AV831/365))+(INDEX(Variables!$B$8:$D$8,IFERROR(MATCH(IF($B831="Robusta","Robusta",(IF($B831="","Arabica",$B831))&amp;" - "&amp;(IF($C831="","Commercial",$C831))),Variables!$B$1:$D$1,0),1))*L831/16.67)),""))</f>
        <v>-19.645428101994064</v>
      </c>
      <c r="AX831" s="9"/>
      <c r="AY831" s="12"/>
      <c r="AZ831" s="10"/>
      <c r="BA831" s="9"/>
      <c r="BB831" s="10"/>
      <c r="BC831" s="9"/>
      <c r="BD831" s="9"/>
      <c r="BE831" s="9"/>
      <c r="BF831" s="9"/>
    </row>
    <row r="832" spans="1:58" x14ac:dyDescent="0.25">
      <c r="A832" s="9" t="s">
        <v>84</v>
      </c>
      <c r="B832" s="9" t="s">
        <v>85</v>
      </c>
      <c r="C832" s="9" t="s">
        <v>1486</v>
      </c>
      <c r="D832" s="10">
        <v>45447</v>
      </c>
      <c r="E832" s="10">
        <v>45444</v>
      </c>
      <c r="F832" s="10">
        <v>45473</v>
      </c>
      <c r="G832" s="9">
        <v>3786408</v>
      </c>
      <c r="H832" s="9" t="str">
        <f t="shared" si="78"/>
        <v>Closed</v>
      </c>
      <c r="I832" s="9" t="str">
        <f t="shared" si="79"/>
        <v>All dates received</v>
      </c>
      <c r="J832" s="9" t="s">
        <v>1395</v>
      </c>
      <c r="K832" s="9">
        <v>4967</v>
      </c>
      <c r="L832" s="11">
        <v>80</v>
      </c>
      <c r="M832" s="9" t="s">
        <v>1792</v>
      </c>
      <c r="N832" s="9"/>
      <c r="O832" s="9"/>
      <c r="P832" s="9"/>
      <c r="Q832" s="11"/>
      <c r="R832" s="9" t="s">
        <v>195</v>
      </c>
      <c r="S832" s="9" t="s">
        <v>458</v>
      </c>
      <c r="T832" s="12">
        <f>IF($H832="Cancelled","",IFERROR(((Q832+INDEX(Variables!$B$6:$D$6,IFERROR(MATCH(IF($B832="Robusta","Robusta",(IF($B832="","Arabica",$B832))&amp;" - "&amp;(IF($C832="","Commercial",$C832))),Variables!$B$1:$D$1,0),1)))*22.0462)*(L832/16.67),""))</f>
        <v>30766.814445110977</v>
      </c>
      <c r="U832" s="10"/>
      <c r="V832" s="9" t="str">
        <f t="shared" si="81"/>
        <v/>
      </c>
      <c r="W832" s="10">
        <v>45397</v>
      </c>
      <c r="X832" s="9" t="str">
        <f t="shared" si="82"/>
        <v>Approved</v>
      </c>
      <c r="Y832" s="10">
        <v>45397</v>
      </c>
      <c r="Z832" s="10">
        <f>IF($H832="Cancelled","",IFERROR(IF(F832="","",F832-Variables!$B$13),""))</f>
        <v>45458</v>
      </c>
      <c r="AA832" s="11">
        <f>IF($H832="Cancelled","",IFERROR(IF(W832="","",(AVERAGE(E832:F832)-W832)-Variables!$B$14),""))</f>
        <v>31.5</v>
      </c>
      <c r="AB832" s="10">
        <v>45476</v>
      </c>
      <c r="AC832" s="11">
        <f>IF($H832="Cancelled","",IFERROR(IF(AB832="","",IF(AND(W832="",Y832=""),"",IF(Y832&gt;W832,Y832+Variables!$B$15+Variables!$B$16+Variables!$B$17-AB832,W832+Variables!$B$16+Variables!$B$17-AB832))),""))</f>
        <v>-71</v>
      </c>
      <c r="AD832" s="9" t="s">
        <v>151</v>
      </c>
      <c r="AE832" s="9" t="s">
        <v>1788</v>
      </c>
      <c r="AF832" s="10"/>
      <c r="AG832" s="10"/>
      <c r="AH832" s="9"/>
      <c r="AI832" s="9" t="s">
        <v>1789</v>
      </c>
      <c r="AJ832" s="9" t="s">
        <v>8</v>
      </c>
      <c r="AK832" s="10">
        <v>45488</v>
      </c>
      <c r="AL832" s="10">
        <v>45512</v>
      </c>
      <c r="AM832" s="10">
        <v>45512</v>
      </c>
      <c r="AN832" s="9" t="s">
        <v>1492</v>
      </c>
      <c r="AO832" s="9"/>
      <c r="AP832" s="11">
        <f>IF($H832="Cancelled","",IFERROR(IF(OR(AK832="",AB832=""),"",(AB832+Variables!$B$18-AK832)),""))</f>
        <v>-5</v>
      </c>
      <c r="AQ832" s="11">
        <f>IF($H832="Cancelled","",IFERROR(IF(OR(AM832="",AK832=""),"",(AK832+Variables!$B$19)-AM832),""))</f>
        <v>-19</v>
      </c>
      <c r="AR832" s="12">
        <f>IF($H832="Cancelled","",IFERROR(T832*INDEX(Variables!$B$7:$D$7,IFERROR(MATCH(IF($B832="Robusta","Robusta",(IF($B832="","Arabica",$B832))&amp;" - "&amp;(IF($C832="","Commercial",$C832))),Variables!$B$1:$D$1,0),1))*(AQ832/365),""))</f>
        <v>-103.27212538585799</v>
      </c>
      <c r="AS832" s="12">
        <f>IF($H832="Cancelled","",IFERROR((T832*INDEX(Variables!$B$7:$D$7,IFERROR(MATCH(IF($B832="Robusta","Robusta",(IF($B832="","Arabica",$B832))&amp;" - "&amp;(IF($C832="","Commercial",$C832))),Variables!$B$1:$D$1,0),1))*IFERROR(IF(W832="","",(AVERAGE(E832:F832)-W832)-Variables!$B$14),"")/365)+(L832/16.67*INDEX(Variables!$B$8:$D$8,IFERROR(MATCH(IF($B832="Robusta","Robusta",(IF($B832="","Arabica",$B832))&amp;" - "&amp;(IF($C832="","Commercial",$C832))),Variables!$B$1:$D$1,0),1))*IFERROR(IF(W832="","",(AVERAGE(E832:F832)-W832)-Variables!$B$14),""))+(T832*INDEX(Variables!$B$9:$D$9,IFERROR(MATCH(IF($B832="Robusta","Robusta",(IF($B832="","Arabica",$B832))&amp;" - "&amp;(IF($C832="","Commercial",$C832))),Variables!$B$1:$D$1,0),1))*IFERROR(IF(W832="","",(AVERAGE(E832:F832)-W832)-Variables!$B$14),"")/365),""))</f>
        <v>299.42159605675022</v>
      </c>
      <c r="AT832" s="12">
        <f>IF($H832="Cancelled","",IFERROR((T832*INDEX(Variables!$B$7:$D$7,IFERROR(MATCH(IF($B832="Robusta","Robusta",(IF($B832="","Arabica",$B832))&amp;" - "&amp;(IF($C832="","Commercial",$C832))),Variables!$B$1:$D$1,0),1))*AC832/365)+(L832/16.67*INDEX(Variables!$B$8:$D$8,IFERROR(MATCH(IF($B832="Robusta","Robusta",(IF($B832="","Arabica",$B832))&amp;" - "&amp;(IF($C832="","Commercial",$C832))),Variables!$B$1:$D$1,0),1))*AC832)+(T832*INDEX(Variables!$B$9:$D$9,IFERROR(MATCH(IF($B832="Robusta","Robusta",(IF($B832="","Arabica",$B832))&amp;" - "&amp;(IF($C832="","Commercial",$C832))),Variables!$B$1:$D$1,0),1))*AC832/365),""))</f>
        <v>-674.88677206442094</v>
      </c>
      <c r="AU832" s="12">
        <f>IF($H832="Cancelled","",IFERROR((T832*INDEX(Variables!$B$7:$D$7,IFERROR(MATCH(IF($B832="Robusta","Robusta",(IF($B832="","Arabica",$B832))&amp;" - "&amp;(IF($C832="","Commercial",$C832))),Variables!$B$1:$D$1,0),1))*AP832/365)+(L832/16.67*INDEX(Variables!$B$8:$D$8,IFERROR(MATCH(IF($B832="Robusta","Robusta",(IF($B832="","Arabica",$B832))&amp;" - "&amp;(IF($C832="","Commercial",$C832))),Variables!$B$1:$D$1,0),1))*AP832)+(T832*INDEX(Variables!$B$9:$D$9,IFERROR(MATCH(IF($B832="Robusta","Robusta",(IF($B832="","Arabica",$B832))&amp;" - "&amp;(IF($C832="","Commercial",$C832))),Variables!$B$1:$D$1,0),1))*AP832/365),""))</f>
        <v>-47.527237469325421</v>
      </c>
      <c r="AV832" s="11">
        <f t="shared" si="80"/>
        <v>-15</v>
      </c>
      <c r="AW832" s="12">
        <f>IF($H832="Cancelled","",IFERROR(IF(AV832="","",(T832*INDEX(Variables!$B$7:$D$7,IFERROR(MATCH(IF($B832="Robusta","Robusta",(IF($B832="","Arabica",$B832))&amp;" - "&amp;(IF($C832="","Commercial",$C832))),Variables!$B$1:$D$1,0),1))*(AV832/365))+(T832*INDEX(Variables!$B$9:$D$9,IFERROR(MATCH(IF($B832="Robusta","Robusta",(IF($B832="","Arabica",$B832))&amp;" - "&amp;(IF($C832="","Commercial",$C832))),Variables!$B$1:$D$1,0),1))*(AV832/365))+(INDEX(Variables!$B$8:$D$8,IFERROR(MATCH(IF($B832="Robusta","Robusta",(IF($B832="","Arabica",$B832))&amp;" - "&amp;(IF($C832="","Commercial",$C832))),Variables!$B$1:$D$1,0),1))*L832/16.67)),""))</f>
        <v>-78.581712407976255</v>
      </c>
      <c r="AX832" s="9"/>
      <c r="AY832" s="12"/>
      <c r="AZ832" s="10"/>
      <c r="BA832" s="9"/>
      <c r="BB832" s="10"/>
      <c r="BC832" s="9"/>
      <c r="BD832" s="9"/>
      <c r="BE832" s="9"/>
      <c r="BF832" s="9"/>
    </row>
    <row r="833" spans="1:58" x14ac:dyDescent="0.25">
      <c r="A833" s="9" t="s">
        <v>84</v>
      </c>
      <c r="B833" s="9" t="s">
        <v>85</v>
      </c>
      <c r="C833" s="9" t="s">
        <v>1486</v>
      </c>
      <c r="D833" s="10">
        <v>45447</v>
      </c>
      <c r="E833" s="10">
        <v>45444</v>
      </c>
      <c r="F833" s="10">
        <v>45473</v>
      </c>
      <c r="G833" s="9">
        <v>3786409</v>
      </c>
      <c r="H833" s="9" t="str">
        <f t="shared" si="78"/>
        <v>Closed</v>
      </c>
      <c r="I833" s="9" t="str">
        <f t="shared" si="79"/>
        <v>All dates received</v>
      </c>
      <c r="J833" s="9" t="s">
        <v>1395</v>
      </c>
      <c r="K833" s="9">
        <v>4968</v>
      </c>
      <c r="L833" s="11">
        <v>15</v>
      </c>
      <c r="M833" s="9" t="s">
        <v>1793</v>
      </c>
      <c r="N833" s="9"/>
      <c r="O833" s="9"/>
      <c r="P833" s="9"/>
      <c r="Q833" s="11"/>
      <c r="R833" s="9" t="s">
        <v>195</v>
      </c>
      <c r="S833" s="9" t="s">
        <v>458</v>
      </c>
      <c r="T833" s="12">
        <f>IF($H833="Cancelled","",IFERROR(((Q833+INDEX(Variables!$B$6:$D$6,IFERROR(MATCH(IF($B833="Robusta","Robusta",(IF($B833="","Arabica",$B833))&amp;" - "&amp;(IF($C833="","Commercial",$C833))),Variables!$B$1:$D$1,0),1)))*22.0462)*(L833/16.67),""))</f>
        <v>5768.7777084583076</v>
      </c>
      <c r="U833" s="10"/>
      <c r="V833" s="9" t="str">
        <f t="shared" si="81"/>
        <v/>
      </c>
      <c r="W833" s="10">
        <v>45397</v>
      </c>
      <c r="X833" s="9" t="str">
        <f t="shared" si="82"/>
        <v>Approved</v>
      </c>
      <c r="Y833" s="10">
        <v>45397</v>
      </c>
      <c r="Z833" s="10">
        <f>IF($H833="Cancelled","",IFERROR(IF(F833="","",F833-Variables!$B$13),""))</f>
        <v>45458</v>
      </c>
      <c r="AA833" s="11">
        <f>IF($H833="Cancelled","",IFERROR(IF(W833="","",(AVERAGE(E833:F833)-W833)-Variables!$B$14),""))</f>
        <v>31.5</v>
      </c>
      <c r="AB833" s="10">
        <v>45476</v>
      </c>
      <c r="AC833" s="11">
        <f>IF($H833="Cancelled","",IFERROR(IF(AB833="","",IF(AND(W833="",Y833=""),"",IF(Y833&gt;W833,Y833+Variables!$B$15+Variables!$B$16+Variables!$B$17-AB833,W833+Variables!$B$16+Variables!$B$17-AB833))),""))</f>
        <v>-71</v>
      </c>
      <c r="AD833" s="9" t="s">
        <v>151</v>
      </c>
      <c r="AE833" s="9" t="s">
        <v>1788</v>
      </c>
      <c r="AF833" s="10"/>
      <c r="AG833" s="10"/>
      <c r="AH833" s="9"/>
      <c r="AI833" s="9" t="s">
        <v>1789</v>
      </c>
      <c r="AJ833" s="9" t="s">
        <v>8</v>
      </c>
      <c r="AK833" s="10">
        <v>45488</v>
      </c>
      <c r="AL833" s="10">
        <v>45512</v>
      </c>
      <c r="AM833" s="10">
        <v>45512</v>
      </c>
      <c r="AN833" s="9" t="s">
        <v>1492</v>
      </c>
      <c r="AO833" s="9"/>
      <c r="AP833" s="11">
        <f>IF($H833="Cancelled","",IFERROR(IF(OR(AK833="",AB833=""),"",(AB833+Variables!$B$18-AK833)),""))</f>
        <v>-5</v>
      </c>
      <c r="AQ833" s="11">
        <f>IF($H833="Cancelled","",IFERROR(IF(OR(AM833="",AK833=""),"",(AK833+Variables!$B$19)-AM833),""))</f>
        <v>-19</v>
      </c>
      <c r="AR833" s="12">
        <f>IF($H833="Cancelled","",IFERROR(T833*INDEX(Variables!$B$7:$D$7,IFERROR(MATCH(IF($B833="Robusta","Robusta",(IF($B833="","Arabica",$B833))&amp;" - "&amp;(IF($C833="","Commercial",$C833))),Variables!$B$1:$D$1,0),1))*(AQ833/365),""))</f>
        <v>-19.363523509848374</v>
      </c>
      <c r="AS833" s="12">
        <f>IF($H833="Cancelled","",IFERROR((T833*INDEX(Variables!$B$7:$D$7,IFERROR(MATCH(IF($B833="Robusta","Robusta",(IF($B833="","Arabica",$B833))&amp;" - "&amp;(IF($C833="","Commercial",$C833))),Variables!$B$1:$D$1,0),1))*IFERROR(IF(W833="","",(AVERAGE(E833:F833)-W833)-Variables!$B$14),"")/365)+(L833/16.67*INDEX(Variables!$B$8:$D$8,IFERROR(MATCH(IF($B833="Robusta","Robusta",(IF($B833="","Arabica",$B833))&amp;" - "&amp;(IF($C833="","Commercial",$C833))),Variables!$B$1:$D$1,0),1))*IFERROR(IF(W833="","",(AVERAGE(E833:F833)-W833)-Variables!$B$14),""))+(T833*INDEX(Variables!$B$9:$D$9,IFERROR(MATCH(IF($B833="Robusta","Robusta",(IF($B833="","Arabica",$B833))&amp;" - "&amp;(IF($C833="","Commercial",$C833))),Variables!$B$1:$D$1,0),1))*IFERROR(IF(W833="","",(AVERAGE(E833:F833)-W833)-Variables!$B$14),"")/365),""))</f>
        <v>56.141549260640652</v>
      </c>
      <c r="AT833" s="12">
        <f>IF($H833="Cancelled","",IFERROR((T833*INDEX(Variables!$B$7:$D$7,IFERROR(MATCH(IF($B833="Robusta","Robusta",(IF($B833="","Arabica",$B833))&amp;" - "&amp;(IF($C833="","Commercial",$C833))),Variables!$B$1:$D$1,0),1))*AC833/365)+(L833/16.67*INDEX(Variables!$B$8:$D$8,IFERROR(MATCH(IF($B833="Robusta","Robusta",(IF($B833="","Arabica",$B833))&amp;" - "&amp;(IF($C833="","Commercial",$C833))),Variables!$B$1:$D$1,0),1))*AC833)+(T833*INDEX(Variables!$B$9:$D$9,IFERROR(MATCH(IF($B833="Robusta","Robusta",(IF($B833="","Arabica",$B833))&amp;" - "&amp;(IF($C833="","Commercial",$C833))),Variables!$B$1:$D$1,0),1))*AC833/365),""))</f>
        <v>-126.54126976207893</v>
      </c>
      <c r="AU833" s="12">
        <f>IF($H833="Cancelled","",IFERROR((T833*INDEX(Variables!$B$7:$D$7,IFERROR(MATCH(IF($B833="Robusta","Robusta",(IF($B833="","Arabica",$B833))&amp;" - "&amp;(IF($C833="","Commercial",$C833))),Variables!$B$1:$D$1,0),1))*AP833/365)+(L833/16.67*INDEX(Variables!$B$8:$D$8,IFERROR(MATCH(IF($B833="Robusta","Robusta",(IF($B833="","Arabica",$B833))&amp;" - "&amp;(IF($C833="","Commercial",$C833))),Variables!$B$1:$D$1,0),1))*AP833)+(T833*INDEX(Variables!$B$9:$D$9,IFERROR(MATCH(IF($B833="Robusta","Robusta",(IF($B833="","Arabica",$B833))&amp;" - "&amp;(IF($C833="","Commercial",$C833))),Variables!$B$1:$D$1,0),1))*AP833/365),""))</f>
        <v>-8.9113570254985159</v>
      </c>
      <c r="AV833" s="11">
        <f t="shared" si="80"/>
        <v>-15</v>
      </c>
      <c r="AW833" s="12">
        <f>IF($H833="Cancelled","",IFERROR(IF(AV833="","",(T833*INDEX(Variables!$B$7:$D$7,IFERROR(MATCH(IF($B833="Robusta","Robusta",(IF($B833="","Arabica",$B833))&amp;" - "&amp;(IF($C833="","Commercial",$C833))),Variables!$B$1:$D$1,0),1))*(AV833/365))+(T833*INDEX(Variables!$B$9:$D$9,IFERROR(MATCH(IF($B833="Robusta","Robusta",(IF($B833="","Arabica",$B833))&amp;" - "&amp;(IF($C833="","Commercial",$C833))),Variables!$B$1:$D$1,0),1))*(AV833/365))+(INDEX(Variables!$B$8:$D$8,IFERROR(MATCH(IF($B833="Robusta","Robusta",(IF($B833="","Arabica",$B833))&amp;" - "&amp;(IF($C833="","Commercial",$C833))),Variables!$B$1:$D$1,0),1))*L833/16.67)),""))</f>
        <v>-14.734071076495548</v>
      </c>
      <c r="AX833" s="9"/>
      <c r="AY833" s="12"/>
      <c r="AZ833" s="10"/>
      <c r="BA833" s="9"/>
      <c r="BB833" s="10"/>
      <c r="BC833" s="9"/>
      <c r="BD833" s="9"/>
      <c r="BE833" s="9"/>
      <c r="BF833" s="9"/>
    </row>
    <row r="834" spans="1:58" x14ac:dyDescent="0.25">
      <c r="A834" s="9" t="s">
        <v>84</v>
      </c>
      <c r="B834" s="9" t="s">
        <v>85</v>
      </c>
      <c r="C834" s="9" t="s">
        <v>1486</v>
      </c>
      <c r="D834" s="10">
        <v>45447</v>
      </c>
      <c r="E834" s="10">
        <v>45444</v>
      </c>
      <c r="F834" s="10">
        <v>45473</v>
      </c>
      <c r="G834" s="9">
        <v>3786410</v>
      </c>
      <c r="H834" s="9" t="str">
        <f t="shared" ref="H834:H897" si="83">IF(ISNUMBER(SEARCH("cancel",AN834)),"Cancelled",IF(AND(AK834&lt;&gt;"",AL834&lt;&gt;"",AM834&lt;&gt;""),"Closed","Open"))</f>
        <v>Closed</v>
      </c>
      <c r="I834" s="9" t="str">
        <f t="shared" ref="I834:I897" si="84">IF(AND(AK834&lt;&gt;"",AL834&lt;&gt;"",AM834&lt;&gt;""),"All dates received",_xlfn.TEXTJOIN(" and ",TRUE(),IF(AK834="","No sailing date",""),IF(AL834="","No shipping advice sent",""),IF(AM834="","No docs dispatch date","")))</f>
        <v>All dates received</v>
      </c>
      <c r="J834" s="9" t="s">
        <v>1395</v>
      </c>
      <c r="K834" s="9">
        <v>4969</v>
      </c>
      <c r="L834" s="11">
        <v>34</v>
      </c>
      <c r="M834" s="9" t="s">
        <v>1794</v>
      </c>
      <c r="N834" s="9"/>
      <c r="O834" s="9"/>
      <c r="P834" s="9"/>
      <c r="Q834" s="11"/>
      <c r="R834" s="9" t="s">
        <v>195</v>
      </c>
      <c r="S834" s="9" t="s">
        <v>458</v>
      </c>
      <c r="T834" s="12">
        <f>IF($H834="Cancelled","",IFERROR(((Q834+INDEX(Variables!$B$6:$D$6,IFERROR(MATCH(IF($B834="Robusta","Robusta",(IF($B834="","Arabica",$B834))&amp;" - "&amp;(IF($C834="","Commercial",$C834))),Variables!$B$1:$D$1,0),1)))*22.0462)*(L834/16.67),""))</f>
        <v>13075.896139172166</v>
      </c>
      <c r="U834" s="10"/>
      <c r="V834" s="9" t="str">
        <f t="shared" si="81"/>
        <v/>
      </c>
      <c r="W834" s="10">
        <v>45397</v>
      </c>
      <c r="X834" s="9" t="str">
        <f t="shared" si="82"/>
        <v>Approved</v>
      </c>
      <c r="Y834" s="10">
        <v>45397</v>
      </c>
      <c r="Z834" s="10">
        <f>IF($H834="Cancelled","",IFERROR(IF(F834="","",F834-Variables!$B$13),""))</f>
        <v>45458</v>
      </c>
      <c r="AA834" s="11">
        <f>IF($H834="Cancelled","",IFERROR(IF(W834="","",(AVERAGE(E834:F834)-W834)-Variables!$B$14),""))</f>
        <v>31.5</v>
      </c>
      <c r="AB834" s="10">
        <v>45476</v>
      </c>
      <c r="AC834" s="11">
        <f>IF($H834="Cancelled","",IFERROR(IF(AB834="","",IF(AND(W834="",Y834=""),"",IF(Y834&gt;W834,Y834+Variables!$B$15+Variables!$B$16+Variables!$B$17-AB834,W834+Variables!$B$16+Variables!$B$17-AB834))),""))</f>
        <v>-71</v>
      </c>
      <c r="AD834" s="9" t="s">
        <v>151</v>
      </c>
      <c r="AE834" s="9" t="s">
        <v>1788</v>
      </c>
      <c r="AF834" s="10"/>
      <c r="AG834" s="10"/>
      <c r="AH834" s="9"/>
      <c r="AI834" s="9" t="s">
        <v>1789</v>
      </c>
      <c r="AJ834" s="9" t="s">
        <v>8</v>
      </c>
      <c r="AK834" s="10">
        <v>45488</v>
      </c>
      <c r="AL834" s="10">
        <v>45512</v>
      </c>
      <c r="AM834" s="10">
        <v>45512</v>
      </c>
      <c r="AN834" s="9" t="s">
        <v>1492</v>
      </c>
      <c r="AO834" s="9"/>
      <c r="AP834" s="11">
        <f>IF($H834="Cancelled","",IFERROR(IF(OR(AK834="",AB834=""),"",(AB834+Variables!$B$18-AK834)),""))</f>
        <v>-5</v>
      </c>
      <c r="AQ834" s="11">
        <f>IF($H834="Cancelled","",IFERROR(IF(OR(AM834="",AK834=""),"",(AK834+Variables!$B$19)-AM834),""))</f>
        <v>-19</v>
      </c>
      <c r="AR834" s="12">
        <f>IF($H834="Cancelled","",IFERROR(T834*INDEX(Variables!$B$7:$D$7,IFERROR(MATCH(IF($B834="Robusta","Robusta",(IF($B834="","Arabica",$B834))&amp;" - "&amp;(IF($C834="","Commercial",$C834))),Variables!$B$1:$D$1,0),1))*(AQ834/365),""))</f>
        <v>-43.890653288989654</v>
      </c>
      <c r="AS834" s="12">
        <f>IF($H834="Cancelled","",IFERROR((T834*INDEX(Variables!$B$7:$D$7,IFERROR(MATCH(IF($B834="Robusta","Robusta",(IF($B834="","Arabica",$B834))&amp;" - "&amp;(IF($C834="","Commercial",$C834))),Variables!$B$1:$D$1,0),1))*IFERROR(IF(W834="","",(AVERAGE(E834:F834)-W834)-Variables!$B$14),"")/365)+(L834/16.67*INDEX(Variables!$B$8:$D$8,IFERROR(MATCH(IF($B834="Robusta","Robusta",(IF($B834="","Arabica",$B834))&amp;" - "&amp;(IF($C834="","Commercial",$C834))),Variables!$B$1:$D$1,0),1))*IFERROR(IF(W834="","",(AVERAGE(E834:F834)-W834)-Variables!$B$14),""))+(T834*INDEX(Variables!$B$9:$D$9,IFERROR(MATCH(IF($B834="Robusta","Robusta",(IF($B834="","Arabica",$B834))&amp;" - "&amp;(IF($C834="","Commercial",$C834))),Variables!$B$1:$D$1,0),1))*IFERROR(IF(W834="","",(AVERAGE(E834:F834)-W834)-Variables!$B$14),"")/365),""))</f>
        <v>127.25417832411884</v>
      </c>
      <c r="AT834" s="12">
        <f>IF($H834="Cancelled","",IFERROR((T834*INDEX(Variables!$B$7:$D$7,IFERROR(MATCH(IF($B834="Robusta","Robusta",(IF($B834="","Arabica",$B834))&amp;" - "&amp;(IF($C834="","Commercial",$C834))),Variables!$B$1:$D$1,0),1))*AC834/365)+(L834/16.67*INDEX(Variables!$B$8:$D$8,IFERROR(MATCH(IF($B834="Robusta","Robusta",(IF($B834="","Arabica",$B834))&amp;" - "&amp;(IF($C834="","Commercial",$C834))),Variables!$B$1:$D$1,0),1))*AC834)+(T834*INDEX(Variables!$B$9:$D$9,IFERROR(MATCH(IF($B834="Robusta","Robusta",(IF($B834="","Arabica",$B834))&amp;" - "&amp;(IF($C834="","Commercial",$C834))),Variables!$B$1:$D$1,0),1))*AC834/365),""))</f>
        <v>-286.82687812737896</v>
      </c>
      <c r="AU834" s="12">
        <f>IF($H834="Cancelled","",IFERROR((T834*INDEX(Variables!$B$7:$D$7,IFERROR(MATCH(IF($B834="Robusta","Robusta",(IF($B834="","Arabica",$B834))&amp;" - "&amp;(IF($C834="","Commercial",$C834))),Variables!$B$1:$D$1,0),1))*AP834/365)+(L834/16.67*INDEX(Variables!$B$8:$D$8,IFERROR(MATCH(IF($B834="Robusta","Robusta",(IF($B834="","Arabica",$B834))&amp;" - "&amp;(IF($C834="","Commercial",$C834))),Variables!$B$1:$D$1,0),1))*AP834)+(T834*INDEX(Variables!$B$9:$D$9,IFERROR(MATCH(IF($B834="Robusta","Robusta",(IF($B834="","Arabica",$B834))&amp;" - "&amp;(IF($C834="","Commercial",$C834))),Variables!$B$1:$D$1,0),1))*AP834/365),""))</f>
        <v>-20.199075924463308</v>
      </c>
      <c r="AV834" s="11">
        <f t="shared" ref="AV834:AV897" si="85">IF($H834="Cancelled","",IFERROR(IF(AK834="","",F834-AK834),""))</f>
        <v>-15</v>
      </c>
      <c r="AW834" s="12">
        <f>IF($H834="Cancelled","",IFERROR(IF(AV834="","",(T834*INDEX(Variables!$B$7:$D$7,IFERROR(MATCH(IF($B834="Robusta","Robusta",(IF($B834="","Arabica",$B834))&amp;" - "&amp;(IF($C834="","Commercial",$C834))),Variables!$B$1:$D$1,0),1))*(AV834/365))+(T834*INDEX(Variables!$B$9:$D$9,IFERROR(MATCH(IF($B834="Robusta","Robusta",(IF($B834="","Arabica",$B834))&amp;" - "&amp;(IF($C834="","Commercial",$C834))),Variables!$B$1:$D$1,0),1))*(AV834/365))+(INDEX(Variables!$B$8:$D$8,IFERROR(MATCH(IF($B834="Robusta","Robusta",(IF($B834="","Arabica",$B834))&amp;" - "&amp;(IF($C834="","Commercial",$C834))),Variables!$B$1:$D$1,0),1))*L834/16.67)),""))</f>
        <v>-33.397227773389908</v>
      </c>
      <c r="AX834" s="9"/>
      <c r="AY834" s="12"/>
      <c r="AZ834" s="10"/>
      <c r="BA834" s="9"/>
      <c r="BB834" s="10"/>
      <c r="BC834" s="9"/>
      <c r="BD834" s="9"/>
      <c r="BE834" s="9"/>
      <c r="BF834" s="9"/>
    </row>
    <row r="835" spans="1:58" x14ac:dyDescent="0.25">
      <c r="A835" s="9" t="s">
        <v>84</v>
      </c>
      <c r="B835" s="9" t="s">
        <v>85</v>
      </c>
      <c r="C835" s="9" t="s">
        <v>1486</v>
      </c>
      <c r="D835" s="10">
        <v>45447</v>
      </c>
      <c r="E835" s="10">
        <v>45444</v>
      </c>
      <c r="F835" s="10">
        <v>45473</v>
      </c>
      <c r="G835" s="9">
        <v>3786411</v>
      </c>
      <c r="H835" s="9" t="str">
        <f t="shared" si="83"/>
        <v>Closed</v>
      </c>
      <c r="I835" s="9" t="str">
        <f t="shared" si="84"/>
        <v>All dates received</v>
      </c>
      <c r="J835" s="9" t="s">
        <v>1395</v>
      </c>
      <c r="K835" s="9">
        <v>4970</v>
      </c>
      <c r="L835" s="11">
        <v>27</v>
      </c>
      <c r="M835" s="9" t="s">
        <v>1795</v>
      </c>
      <c r="N835" s="9"/>
      <c r="O835" s="9"/>
      <c r="P835" s="9"/>
      <c r="Q835" s="11"/>
      <c r="R835" s="9" t="s">
        <v>195</v>
      </c>
      <c r="S835" s="9" t="s">
        <v>458</v>
      </c>
      <c r="T835" s="12">
        <f>IF($H835="Cancelled","",IFERROR(((Q835+INDEX(Variables!$B$6:$D$6,IFERROR(MATCH(IF($B835="Robusta","Robusta",(IF($B835="","Arabica",$B835))&amp;" - "&amp;(IF($C835="","Commercial",$C835))),Variables!$B$1:$D$1,0),1)))*22.0462)*(L835/16.67),""))</f>
        <v>10383.799875224955</v>
      </c>
      <c r="U835" s="10">
        <v>45471</v>
      </c>
      <c r="V835" s="9" t="str">
        <f t="shared" si="81"/>
        <v>Sent</v>
      </c>
      <c r="W835" s="10"/>
      <c r="X835" s="9" t="str">
        <f t="shared" si="82"/>
        <v/>
      </c>
      <c r="Y835" s="10"/>
      <c r="Z835" s="10">
        <f>IF($H835="Cancelled","",IFERROR(IF(F835="","",F835-Variables!$B$13),""))</f>
        <v>45458</v>
      </c>
      <c r="AA835" s="11" t="str">
        <f>IF($H835="Cancelled","",IFERROR(IF(W835="","",(AVERAGE(E835:F835)-W835)-Variables!$B$14),""))</f>
        <v/>
      </c>
      <c r="AB835" s="10">
        <v>45476</v>
      </c>
      <c r="AC835" s="11" t="str">
        <f>IF($H835="Cancelled","",IFERROR(IF(AB835="","",IF(AND(W835="",Y835=""),"",IF(Y835&gt;W835,Y835+Variables!$B$15+Variables!$B$16+Variables!$B$17-AB835,W835+Variables!$B$16+Variables!$B$17-AB835))),""))</f>
        <v/>
      </c>
      <c r="AD835" s="9" t="s">
        <v>151</v>
      </c>
      <c r="AE835" s="9" t="s">
        <v>1788</v>
      </c>
      <c r="AF835" s="10"/>
      <c r="AG835" s="10"/>
      <c r="AH835" s="9"/>
      <c r="AI835" s="9" t="s">
        <v>1789</v>
      </c>
      <c r="AJ835" s="9" t="s">
        <v>8</v>
      </c>
      <c r="AK835" s="10">
        <v>45488</v>
      </c>
      <c r="AL835" s="10">
        <v>45512</v>
      </c>
      <c r="AM835" s="10">
        <v>45512</v>
      </c>
      <c r="AN835" s="9" t="s">
        <v>1492</v>
      </c>
      <c r="AO835" s="9"/>
      <c r="AP835" s="11">
        <f>IF($H835="Cancelled","",IFERROR(IF(OR(AK835="",AB835=""),"",(AB835+Variables!$B$18-AK835)),""))</f>
        <v>-5</v>
      </c>
      <c r="AQ835" s="11">
        <f>IF($H835="Cancelled","",IFERROR(IF(OR(AM835="",AK835=""),"",(AK835+Variables!$B$19)-AM835),""))</f>
        <v>-19</v>
      </c>
      <c r="AR835" s="12">
        <f>IF($H835="Cancelled","",IFERROR(T835*INDEX(Variables!$B$7:$D$7,IFERROR(MATCH(IF($B835="Robusta","Robusta",(IF($B835="","Arabica",$B835))&amp;" - "&amp;(IF($C835="","Commercial",$C835))),Variables!$B$1:$D$1,0),1))*(AQ835/365),""))</f>
        <v>-34.854342317727074</v>
      </c>
      <c r="AS835" s="12" t="str">
        <f>IF($H835="Cancelled","",IFERROR((T835*INDEX(Variables!$B$7:$D$7,IFERROR(MATCH(IF($B835="Robusta","Robusta",(IF($B835="","Arabica",$B835))&amp;" - "&amp;(IF($C835="","Commercial",$C835))),Variables!$B$1:$D$1,0),1))*IFERROR(IF(W835="","",(AVERAGE(E835:F835)-W835)-Variables!$B$14),"")/365)+(L835/16.67*INDEX(Variables!$B$8:$D$8,IFERROR(MATCH(IF($B835="Robusta","Robusta",(IF($B835="","Arabica",$B835))&amp;" - "&amp;(IF($C835="","Commercial",$C835))),Variables!$B$1:$D$1,0),1))*IFERROR(IF(W835="","",(AVERAGE(E835:F835)-W835)-Variables!$B$14),""))+(T835*INDEX(Variables!$B$9:$D$9,IFERROR(MATCH(IF($B835="Robusta","Robusta",(IF($B835="","Arabica",$B835))&amp;" - "&amp;(IF($C835="","Commercial",$C835))),Variables!$B$1:$D$1,0),1))*IFERROR(IF(W835="","",(AVERAGE(E835:F835)-W835)-Variables!$B$14),"")/365),""))</f>
        <v/>
      </c>
      <c r="AT835" s="12" t="str">
        <f>IF($H835="Cancelled","",IFERROR((T835*INDEX(Variables!$B$7:$D$7,IFERROR(MATCH(IF($B835="Robusta","Robusta",(IF($B835="","Arabica",$B835))&amp;" - "&amp;(IF($C835="","Commercial",$C835))),Variables!$B$1:$D$1,0),1))*AC835/365)+(L835/16.67*INDEX(Variables!$B$8:$D$8,IFERROR(MATCH(IF($B835="Robusta","Robusta",(IF($B835="","Arabica",$B835))&amp;" - "&amp;(IF($C835="","Commercial",$C835))),Variables!$B$1:$D$1,0),1))*AC835)+(T835*INDEX(Variables!$B$9:$D$9,IFERROR(MATCH(IF($B835="Robusta","Robusta",(IF($B835="","Arabica",$B835))&amp;" - "&amp;(IF($C835="","Commercial",$C835))),Variables!$B$1:$D$1,0),1))*AC835/365),""))</f>
        <v/>
      </c>
      <c r="AU835" s="12">
        <f>IF($H835="Cancelled","",IFERROR((T835*INDEX(Variables!$B$7:$D$7,IFERROR(MATCH(IF($B835="Robusta","Robusta",(IF($B835="","Arabica",$B835))&amp;" - "&amp;(IF($C835="","Commercial",$C835))),Variables!$B$1:$D$1,0),1))*AP835/365)+(L835/16.67*INDEX(Variables!$B$8:$D$8,IFERROR(MATCH(IF($B835="Robusta","Robusta",(IF($B835="","Arabica",$B835))&amp;" - "&amp;(IF($C835="","Commercial",$C835))),Variables!$B$1:$D$1,0),1))*AP835)+(T835*INDEX(Variables!$B$9:$D$9,IFERROR(MATCH(IF($B835="Robusta","Robusta",(IF($B835="","Arabica",$B835))&amp;" - "&amp;(IF($C835="","Commercial",$C835))),Variables!$B$1:$D$1,0),1))*AP835/365),""))</f>
        <v>-16.040442645897329</v>
      </c>
      <c r="AV835" s="11">
        <f t="shared" si="85"/>
        <v>-15</v>
      </c>
      <c r="AW835" s="12">
        <f>IF($H835="Cancelled","",IFERROR(IF(AV835="","",(T835*INDEX(Variables!$B$7:$D$7,IFERROR(MATCH(IF($B835="Robusta","Robusta",(IF($B835="","Arabica",$B835))&amp;" - "&amp;(IF($C835="","Commercial",$C835))),Variables!$B$1:$D$1,0),1))*(AV835/365))+(T835*INDEX(Variables!$B$9:$D$9,IFERROR(MATCH(IF($B835="Robusta","Robusta",(IF($B835="","Arabica",$B835))&amp;" - "&amp;(IF($C835="","Commercial",$C835))),Variables!$B$1:$D$1,0),1))*(AV835/365))+(INDEX(Variables!$B$8:$D$8,IFERROR(MATCH(IF($B835="Robusta","Robusta",(IF($B835="","Arabica",$B835))&amp;" - "&amp;(IF($C835="","Commercial",$C835))),Variables!$B$1:$D$1,0),1))*L835/16.67)),""))</f>
        <v>-26.521327937691986</v>
      </c>
      <c r="AX835" s="9"/>
      <c r="AY835" s="12"/>
      <c r="AZ835" s="10"/>
      <c r="BA835" s="9"/>
      <c r="BB835" s="10"/>
      <c r="BC835" s="9"/>
      <c r="BD835" s="9"/>
      <c r="BE835" s="9"/>
      <c r="BF835" s="9"/>
    </row>
    <row r="836" spans="1:58" x14ac:dyDescent="0.25">
      <c r="A836" s="9" t="s">
        <v>84</v>
      </c>
      <c r="B836" s="9" t="s">
        <v>85</v>
      </c>
      <c r="C836" s="9" t="s">
        <v>1486</v>
      </c>
      <c r="D836" s="10">
        <v>45447</v>
      </c>
      <c r="E836" s="10">
        <v>45444</v>
      </c>
      <c r="F836" s="10">
        <v>45473</v>
      </c>
      <c r="G836" s="9">
        <v>3786412</v>
      </c>
      <c r="H836" s="9" t="str">
        <f t="shared" si="83"/>
        <v>Closed</v>
      </c>
      <c r="I836" s="9" t="str">
        <f t="shared" si="84"/>
        <v>All dates received</v>
      </c>
      <c r="J836" s="9" t="s">
        <v>1395</v>
      </c>
      <c r="K836" s="9">
        <v>4971</v>
      </c>
      <c r="L836" s="11">
        <v>22</v>
      </c>
      <c r="M836" s="9" t="s">
        <v>1796</v>
      </c>
      <c r="N836" s="9"/>
      <c r="O836" s="9"/>
      <c r="P836" s="9"/>
      <c r="Q836" s="11"/>
      <c r="R836" s="9" t="s">
        <v>195</v>
      </c>
      <c r="S836" s="9" t="s">
        <v>458</v>
      </c>
      <c r="T836" s="12">
        <f>IF($H836="Cancelled","",IFERROR(((Q836+INDEX(Variables!$B$6:$D$6,IFERROR(MATCH(IF($B836="Robusta","Robusta",(IF($B836="","Arabica",$B836))&amp;" - "&amp;(IF($C836="","Commercial",$C836))),Variables!$B$1:$D$1,0),1)))*22.0462)*(L836/16.67),""))</f>
        <v>8460.8739724055176</v>
      </c>
      <c r="U836" s="10">
        <v>45471</v>
      </c>
      <c r="V836" s="9" t="str">
        <f t="shared" ref="V836:V899" si="86">IF(ISNUMBER(U836),"Sent","")</f>
        <v>Sent</v>
      </c>
      <c r="W836" s="10"/>
      <c r="X836" s="9" t="str">
        <f t="shared" si="82"/>
        <v/>
      </c>
      <c r="Y836" s="10"/>
      <c r="Z836" s="10">
        <f>IF($H836="Cancelled","",IFERROR(IF(F836="","",F836-Variables!$B$13),""))</f>
        <v>45458</v>
      </c>
      <c r="AA836" s="11" t="str">
        <f>IF($H836="Cancelled","",IFERROR(IF(W836="","",(AVERAGE(E836:F836)-W836)-Variables!$B$14),""))</f>
        <v/>
      </c>
      <c r="AB836" s="10">
        <v>45476</v>
      </c>
      <c r="AC836" s="11" t="str">
        <f>IF($H836="Cancelled","",IFERROR(IF(AB836="","",IF(AND(W836="",Y836=""),"",IF(Y836&gt;W836,Y836+Variables!$B$15+Variables!$B$16+Variables!$B$17-AB836,W836+Variables!$B$16+Variables!$B$17-AB836))),""))</f>
        <v/>
      </c>
      <c r="AD836" s="9" t="s">
        <v>151</v>
      </c>
      <c r="AE836" s="9" t="s">
        <v>1788</v>
      </c>
      <c r="AF836" s="10"/>
      <c r="AG836" s="10"/>
      <c r="AH836" s="9"/>
      <c r="AI836" s="9" t="s">
        <v>1789</v>
      </c>
      <c r="AJ836" s="9" t="s">
        <v>8</v>
      </c>
      <c r="AK836" s="10">
        <v>45488</v>
      </c>
      <c r="AL836" s="10">
        <v>45512</v>
      </c>
      <c r="AM836" s="10">
        <v>45512</v>
      </c>
      <c r="AN836" s="9" t="s">
        <v>1492</v>
      </c>
      <c r="AO836" s="9"/>
      <c r="AP836" s="11">
        <f>IF($H836="Cancelled","",IFERROR(IF(OR(AK836="",AB836=""),"",(AB836+Variables!$B$18-AK836)),""))</f>
        <v>-5</v>
      </c>
      <c r="AQ836" s="11">
        <f>IF($H836="Cancelled","",IFERROR(IF(OR(AM836="",AK836=""),"",(AK836+Variables!$B$19)-AM836),""))</f>
        <v>-19</v>
      </c>
      <c r="AR836" s="12">
        <f>IF($H836="Cancelled","",IFERROR(T836*INDEX(Variables!$B$7:$D$7,IFERROR(MATCH(IF($B836="Robusta","Robusta",(IF($B836="","Arabica",$B836))&amp;" - "&amp;(IF($C836="","Commercial",$C836))),Variables!$B$1:$D$1,0),1))*(AQ836/365),""))</f>
        <v>-28.399834481110947</v>
      </c>
      <c r="AS836" s="12" t="str">
        <f>IF($H836="Cancelled","",IFERROR((T836*INDEX(Variables!$B$7:$D$7,IFERROR(MATCH(IF($B836="Robusta","Robusta",(IF($B836="","Arabica",$B836))&amp;" - "&amp;(IF($C836="","Commercial",$C836))),Variables!$B$1:$D$1,0),1))*IFERROR(IF(W836="","",(AVERAGE(E836:F836)-W836)-Variables!$B$14),"")/365)+(L836/16.67*INDEX(Variables!$B$8:$D$8,IFERROR(MATCH(IF($B836="Robusta","Robusta",(IF($B836="","Arabica",$B836))&amp;" - "&amp;(IF($C836="","Commercial",$C836))),Variables!$B$1:$D$1,0),1))*IFERROR(IF(W836="","",(AVERAGE(E836:F836)-W836)-Variables!$B$14),""))+(T836*INDEX(Variables!$B$9:$D$9,IFERROR(MATCH(IF($B836="Robusta","Robusta",(IF($B836="","Arabica",$B836))&amp;" - "&amp;(IF($C836="","Commercial",$C836))),Variables!$B$1:$D$1,0),1))*IFERROR(IF(W836="","",(AVERAGE(E836:F836)-W836)-Variables!$B$14),"")/365),""))</f>
        <v/>
      </c>
      <c r="AT836" s="12" t="str">
        <f>IF($H836="Cancelled","",IFERROR((T836*INDEX(Variables!$B$7:$D$7,IFERROR(MATCH(IF($B836="Robusta","Robusta",(IF($B836="","Arabica",$B836))&amp;" - "&amp;(IF($C836="","Commercial",$C836))),Variables!$B$1:$D$1,0),1))*AC836/365)+(L836/16.67*INDEX(Variables!$B$8:$D$8,IFERROR(MATCH(IF($B836="Robusta","Robusta",(IF($B836="","Arabica",$B836))&amp;" - "&amp;(IF($C836="","Commercial",$C836))),Variables!$B$1:$D$1,0),1))*AC836)+(T836*INDEX(Variables!$B$9:$D$9,IFERROR(MATCH(IF($B836="Robusta","Robusta",(IF($B836="","Arabica",$B836))&amp;" - "&amp;(IF($C836="","Commercial",$C836))),Variables!$B$1:$D$1,0),1))*AC836/365),""))</f>
        <v/>
      </c>
      <c r="AU836" s="12">
        <f>IF($H836="Cancelled","",IFERROR((T836*INDEX(Variables!$B$7:$D$7,IFERROR(MATCH(IF($B836="Robusta","Robusta",(IF($B836="","Arabica",$B836))&amp;" - "&amp;(IF($C836="","Commercial",$C836))),Variables!$B$1:$D$1,0),1))*AP836/365)+(L836/16.67*INDEX(Variables!$B$8:$D$8,IFERROR(MATCH(IF($B836="Robusta","Robusta",(IF($B836="","Arabica",$B836))&amp;" - "&amp;(IF($C836="","Commercial",$C836))),Variables!$B$1:$D$1,0),1))*AP836)+(T836*INDEX(Variables!$B$9:$D$9,IFERROR(MATCH(IF($B836="Robusta","Robusta",(IF($B836="","Arabica",$B836))&amp;" - "&amp;(IF($C836="","Commercial",$C836))),Variables!$B$1:$D$1,0),1))*AP836/365),""))</f>
        <v>-13.069990304064492</v>
      </c>
      <c r="AV836" s="11">
        <f t="shared" si="85"/>
        <v>-15</v>
      </c>
      <c r="AW836" s="12">
        <f>IF($H836="Cancelled","",IFERROR(IF(AV836="","",(T836*INDEX(Variables!$B$7:$D$7,IFERROR(MATCH(IF($B836="Robusta","Robusta",(IF($B836="","Arabica",$B836))&amp;" - "&amp;(IF($C836="","Commercial",$C836))),Variables!$B$1:$D$1,0),1))*(AV836/365))+(T836*INDEX(Variables!$B$9:$D$9,IFERROR(MATCH(IF($B836="Robusta","Robusta",(IF($B836="","Arabica",$B836))&amp;" - "&amp;(IF($C836="","Commercial",$C836))),Variables!$B$1:$D$1,0),1))*(AV836/365))+(INDEX(Variables!$B$8:$D$8,IFERROR(MATCH(IF($B836="Robusta","Robusta",(IF($B836="","Arabica",$B836))&amp;" - "&amp;(IF($C836="","Commercial",$C836))),Variables!$B$1:$D$1,0),1))*L836/16.67)),""))</f>
        <v>-21.609970912193468</v>
      </c>
      <c r="AX836" s="9"/>
      <c r="AY836" s="12"/>
      <c r="AZ836" s="10"/>
      <c r="BA836" s="9"/>
      <c r="BB836" s="10"/>
      <c r="BC836" s="9"/>
      <c r="BD836" s="9"/>
      <c r="BE836" s="9"/>
      <c r="BF836" s="9"/>
    </row>
    <row r="837" spans="1:58" x14ac:dyDescent="0.25">
      <c r="A837" s="9" t="s">
        <v>84</v>
      </c>
      <c r="B837" s="9" t="s">
        <v>85</v>
      </c>
      <c r="C837" s="9" t="s">
        <v>1486</v>
      </c>
      <c r="D837" s="10">
        <v>45447</v>
      </c>
      <c r="E837" s="10">
        <v>45444</v>
      </c>
      <c r="F837" s="10">
        <v>45473</v>
      </c>
      <c r="G837" s="9">
        <v>3786413</v>
      </c>
      <c r="H837" s="9" t="str">
        <f t="shared" si="83"/>
        <v>Closed</v>
      </c>
      <c r="I837" s="9" t="str">
        <f t="shared" si="84"/>
        <v>All dates received</v>
      </c>
      <c r="J837" s="9" t="s">
        <v>1395</v>
      </c>
      <c r="K837" s="9">
        <v>4972</v>
      </c>
      <c r="L837" s="11">
        <v>20</v>
      </c>
      <c r="M837" s="9" t="s">
        <v>1797</v>
      </c>
      <c r="N837" s="9"/>
      <c r="O837" s="9"/>
      <c r="P837" s="9"/>
      <c r="Q837" s="11"/>
      <c r="R837" s="9" t="s">
        <v>195</v>
      </c>
      <c r="S837" s="9" t="s">
        <v>458</v>
      </c>
      <c r="T837" s="12">
        <f>IF($H837="Cancelled","",IFERROR(((Q837+INDEX(Variables!$B$6:$D$6,IFERROR(MATCH(IF($B837="Robusta","Robusta",(IF($B837="","Arabica",$B837))&amp;" - "&amp;(IF($C837="","Commercial",$C837))),Variables!$B$1:$D$1,0),1)))*22.0462)*(L837/16.67),""))</f>
        <v>7691.7036112777441</v>
      </c>
      <c r="U837" s="10">
        <v>45471</v>
      </c>
      <c r="V837" s="9" t="str">
        <f t="shared" si="86"/>
        <v>Sent</v>
      </c>
      <c r="W837" s="10"/>
      <c r="X837" s="9" t="str">
        <f t="shared" si="82"/>
        <v/>
      </c>
      <c r="Y837" s="10"/>
      <c r="Z837" s="10">
        <f>IF($H837="Cancelled","",IFERROR(IF(F837="","",F837-Variables!$B$13),""))</f>
        <v>45458</v>
      </c>
      <c r="AA837" s="11" t="str">
        <f>IF($H837="Cancelled","",IFERROR(IF(W837="","",(AVERAGE(E837:F837)-W837)-Variables!$B$14),""))</f>
        <v/>
      </c>
      <c r="AB837" s="10">
        <v>45476</v>
      </c>
      <c r="AC837" s="11" t="str">
        <f>IF($H837="Cancelled","",IFERROR(IF(AB837="","",IF(AND(W837="",Y837=""),"",IF(Y837&gt;W837,Y837+Variables!$B$15+Variables!$B$16+Variables!$B$17-AB837,W837+Variables!$B$16+Variables!$B$17-AB837))),""))</f>
        <v/>
      </c>
      <c r="AD837" s="9" t="s">
        <v>151</v>
      </c>
      <c r="AE837" s="9" t="s">
        <v>1788</v>
      </c>
      <c r="AF837" s="10"/>
      <c r="AG837" s="10"/>
      <c r="AH837" s="9"/>
      <c r="AI837" s="9" t="s">
        <v>1789</v>
      </c>
      <c r="AJ837" s="9" t="s">
        <v>8</v>
      </c>
      <c r="AK837" s="10">
        <v>45488</v>
      </c>
      <c r="AL837" s="10">
        <v>45512</v>
      </c>
      <c r="AM837" s="10">
        <v>45512</v>
      </c>
      <c r="AN837" s="9" t="s">
        <v>1492</v>
      </c>
      <c r="AO837" s="9"/>
      <c r="AP837" s="11">
        <f>IF($H837="Cancelled","",IFERROR(IF(OR(AK837="",AB837=""),"",(AB837+Variables!$B$18-AK837)),""))</f>
        <v>-5</v>
      </c>
      <c r="AQ837" s="11">
        <f>IF($H837="Cancelled","",IFERROR(IF(OR(AM837="",AK837=""),"",(AK837+Variables!$B$19)-AM837),""))</f>
        <v>-19</v>
      </c>
      <c r="AR837" s="12">
        <f>IF($H837="Cancelled","",IFERROR(T837*INDEX(Variables!$B$7:$D$7,IFERROR(MATCH(IF($B837="Robusta","Robusta",(IF($B837="","Arabica",$B837))&amp;" - "&amp;(IF($C837="","Commercial",$C837))),Variables!$B$1:$D$1,0),1))*(AQ837/365),""))</f>
        <v>-25.818031346464497</v>
      </c>
      <c r="AS837" s="12" t="str">
        <f>IF($H837="Cancelled","",IFERROR((T837*INDEX(Variables!$B$7:$D$7,IFERROR(MATCH(IF($B837="Robusta","Robusta",(IF($B837="","Arabica",$B837))&amp;" - "&amp;(IF($C837="","Commercial",$C837))),Variables!$B$1:$D$1,0),1))*IFERROR(IF(W837="","",(AVERAGE(E837:F837)-W837)-Variables!$B$14),"")/365)+(L837/16.67*INDEX(Variables!$B$8:$D$8,IFERROR(MATCH(IF($B837="Robusta","Robusta",(IF($B837="","Arabica",$B837))&amp;" - "&amp;(IF($C837="","Commercial",$C837))),Variables!$B$1:$D$1,0),1))*IFERROR(IF(W837="","",(AVERAGE(E837:F837)-W837)-Variables!$B$14),""))+(T837*INDEX(Variables!$B$9:$D$9,IFERROR(MATCH(IF($B837="Robusta","Robusta",(IF($B837="","Arabica",$B837))&amp;" - "&amp;(IF($C837="","Commercial",$C837))),Variables!$B$1:$D$1,0),1))*IFERROR(IF(W837="","",(AVERAGE(E837:F837)-W837)-Variables!$B$14),"")/365),""))</f>
        <v/>
      </c>
      <c r="AT837" s="12" t="str">
        <f>IF($H837="Cancelled","",IFERROR((T837*INDEX(Variables!$B$7:$D$7,IFERROR(MATCH(IF($B837="Robusta","Robusta",(IF($B837="","Arabica",$B837))&amp;" - "&amp;(IF($C837="","Commercial",$C837))),Variables!$B$1:$D$1,0),1))*AC837/365)+(L837/16.67*INDEX(Variables!$B$8:$D$8,IFERROR(MATCH(IF($B837="Robusta","Robusta",(IF($B837="","Arabica",$B837))&amp;" - "&amp;(IF($C837="","Commercial",$C837))),Variables!$B$1:$D$1,0),1))*AC837)+(T837*INDEX(Variables!$B$9:$D$9,IFERROR(MATCH(IF($B837="Robusta","Robusta",(IF($B837="","Arabica",$B837))&amp;" - "&amp;(IF($C837="","Commercial",$C837))),Variables!$B$1:$D$1,0),1))*AC837/365),""))</f>
        <v/>
      </c>
      <c r="AU837" s="12">
        <f>IF($H837="Cancelled","",IFERROR((T837*INDEX(Variables!$B$7:$D$7,IFERROR(MATCH(IF($B837="Robusta","Robusta",(IF($B837="","Arabica",$B837))&amp;" - "&amp;(IF($C837="","Commercial",$C837))),Variables!$B$1:$D$1,0),1))*AP837/365)+(L837/16.67*INDEX(Variables!$B$8:$D$8,IFERROR(MATCH(IF($B837="Robusta","Robusta",(IF($B837="","Arabica",$B837))&amp;" - "&amp;(IF($C837="","Commercial",$C837))),Variables!$B$1:$D$1,0),1))*AP837)+(T837*INDEX(Variables!$B$9:$D$9,IFERROR(MATCH(IF($B837="Robusta","Robusta",(IF($B837="","Arabica",$B837))&amp;" - "&amp;(IF($C837="","Commercial",$C837))),Variables!$B$1:$D$1,0),1))*AP837/365),""))</f>
        <v>-11.881809367331355</v>
      </c>
      <c r="AV837" s="11">
        <f t="shared" si="85"/>
        <v>-15</v>
      </c>
      <c r="AW837" s="12">
        <f>IF($H837="Cancelled","",IFERROR(IF(AV837="","",(T837*INDEX(Variables!$B$7:$D$7,IFERROR(MATCH(IF($B837="Robusta","Robusta",(IF($B837="","Arabica",$B837))&amp;" - "&amp;(IF($C837="","Commercial",$C837))),Variables!$B$1:$D$1,0),1))*(AV837/365))+(T837*INDEX(Variables!$B$9:$D$9,IFERROR(MATCH(IF($B837="Robusta","Robusta",(IF($B837="","Arabica",$B837))&amp;" - "&amp;(IF($C837="","Commercial",$C837))),Variables!$B$1:$D$1,0),1))*(AV837/365))+(INDEX(Variables!$B$8:$D$8,IFERROR(MATCH(IF($B837="Robusta","Robusta",(IF($B837="","Arabica",$B837))&amp;" - "&amp;(IF($C837="","Commercial",$C837))),Variables!$B$1:$D$1,0),1))*L837/16.67)),""))</f>
        <v>-19.645428101994064</v>
      </c>
      <c r="AX837" s="9"/>
      <c r="AY837" s="12"/>
      <c r="AZ837" s="10"/>
      <c r="BA837" s="9"/>
      <c r="BB837" s="10"/>
      <c r="BC837" s="9"/>
      <c r="BD837" s="9"/>
      <c r="BE837" s="9"/>
      <c r="BF837" s="9"/>
    </row>
    <row r="838" spans="1:58" x14ac:dyDescent="0.25">
      <c r="A838" s="9" t="s">
        <v>84</v>
      </c>
      <c r="B838" s="9" t="s">
        <v>85</v>
      </c>
      <c r="C838" s="9" t="s">
        <v>1486</v>
      </c>
      <c r="D838" s="10">
        <v>45447</v>
      </c>
      <c r="E838" s="10">
        <v>45444</v>
      </c>
      <c r="F838" s="10">
        <v>45473</v>
      </c>
      <c r="G838" s="9">
        <v>3786414</v>
      </c>
      <c r="H838" s="9" t="str">
        <f t="shared" si="83"/>
        <v>Closed</v>
      </c>
      <c r="I838" s="9" t="str">
        <f t="shared" si="84"/>
        <v>All dates received</v>
      </c>
      <c r="J838" s="9" t="s">
        <v>1395</v>
      </c>
      <c r="K838" s="9">
        <v>4973</v>
      </c>
      <c r="L838" s="11">
        <v>20</v>
      </c>
      <c r="M838" s="9" t="s">
        <v>1798</v>
      </c>
      <c r="N838" s="9"/>
      <c r="O838" s="9"/>
      <c r="P838" s="9"/>
      <c r="Q838" s="11"/>
      <c r="R838" s="9" t="s">
        <v>195</v>
      </c>
      <c r="S838" s="9" t="s">
        <v>458</v>
      </c>
      <c r="T838" s="12">
        <f>IF($H838="Cancelled","",IFERROR(((Q838+INDEX(Variables!$B$6:$D$6,IFERROR(MATCH(IF($B838="Robusta","Robusta",(IF($B838="","Arabica",$B838))&amp;" - "&amp;(IF($C838="","Commercial",$C838))),Variables!$B$1:$D$1,0),1)))*22.0462)*(L838/16.67),""))</f>
        <v>7691.7036112777441</v>
      </c>
      <c r="U838" s="10">
        <v>45471</v>
      </c>
      <c r="V838" s="9" t="str">
        <f t="shared" si="86"/>
        <v>Sent</v>
      </c>
      <c r="W838" s="10"/>
      <c r="X838" s="9" t="str">
        <f t="shared" si="82"/>
        <v/>
      </c>
      <c r="Y838" s="10"/>
      <c r="Z838" s="10">
        <f>IF($H838="Cancelled","",IFERROR(IF(F838="","",F838-Variables!$B$13),""))</f>
        <v>45458</v>
      </c>
      <c r="AA838" s="11" t="str">
        <f>IF($H838="Cancelled","",IFERROR(IF(W838="","",(AVERAGE(E838:F838)-W838)-Variables!$B$14),""))</f>
        <v/>
      </c>
      <c r="AB838" s="10">
        <v>45476</v>
      </c>
      <c r="AC838" s="11" t="str">
        <f>IF($H838="Cancelled","",IFERROR(IF(AB838="","",IF(AND(W838="",Y838=""),"",IF(Y838&gt;W838,Y838+Variables!$B$15+Variables!$B$16+Variables!$B$17-AB838,W838+Variables!$B$16+Variables!$B$17-AB838))),""))</f>
        <v/>
      </c>
      <c r="AD838" s="9" t="s">
        <v>151</v>
      </c>
      <c r="AE838" s="9" t="s">
        <v>1788</v>
      </c>
      <c r="AF838" s="10"/>
      <c r="AG838" s="10"/>
      <c r="AH838" s="9"/>
      <c r="AI838" s="9" t="s">
        <v>1789</v>
      </c>
      <c r="AJ838" s="9" t="s">
        <v>8</v>
      </c>
      <c r="AK838" s="10">
        <v>45488</v>
      </c>
      <c r="AL838" s="10">
        <v>45512</v>
      </c>
      <c r="AM838" s="10">
        <v>45512</v>
      </c>
      <c r="AN838" s="9" t="s">
        <v>1492</v>
      </c>
      <c r="AO838" s="9"/>
      <c r="AP838" s="11">
        <f>IF($H838="Cancelled","",IFERROR(IF(OR(AK838="",AB838=""),"",(AB838+Variables!$B$18-AK838)),""))</f>
        <v>-5</v>
      </c>
      <c r="AQ838" s="11">
        <f>IF($H838="Cancelled","",IFERROR(IF(OR(AM838="",AK838=""),"",(AK838+Variables!$B$19)-AM838),""))</f>
        <v>-19</v>
      </c>
      <c r="AR838" s="12">
        <f>IF($H838="Cancelled","",IFERROR(T838*INDEX(Variables!$B$7:$D$7,IFERROR(MATCH(IF($B838="Robusta","Robusta",(IF($B838="","Arabica",$B838))&amp;" - "&amp;(IF($C838="","Commercial",$C838))),Variables!$B$1:$D$1,0),1))*(AQ838/365),""))</f>
        <v>-25.818031346464497</v>
      </c>
      <c r="AS838" s="12" t="str">
        <f>IF($H838="Cancelled","",IFERROR((T838*INDEX(Variables!$B$7:$D$7,IFERROR(MATCH(IF($B838="Robusta","Robusta",(IF($B838="","Arabica",$B838))&amp;" - "&amp;(IF($C838="","Commercial",$C838))),Variables!$B$1:$D$1,0),1))*IFERROR(IF(W838="","",(AVERAGE(E838:F838)-W838)-Variables!$B$14),"")/365)+(L838/16.67*INDEX(Variables!$B$8:$D$8,IFERROR(MATCH(IF($B838="Robusta","Robusta",(IF($B838="","Arabica",$B838))&amp;" - "&amp;(IF($C838="","Commercial",$C838))),Variables!$B$1:$D$1,0),1))*IFERROR(IF(W838="","",(AVERAGE(E838:F838)-W838)-Variables!$B$14),""))+(T838*INDEX(Variables!$B$9:$D$9,IFERROR(MATCH(IF($B838="Robusta","Robusta",(IF($B838="","Arabica",$B838))&amp;" - "&amp;(IF($C838="","Commercial",$C838))),Variables!$B$1:$D$1,0),1))*IFERROR(IF(W838="","",(AVERAGE(E838:F838)-W838)-Variables!$B$14),"")/365),""))</f>
        <v/>
      </c>
      <c r="AT838" s="12" t="str">
        <f>IF($H838="Cancelled","",IFERROR((T838*INDEX(Variables!$B$7:$D$7,IFERROR(MATCH(IF($B838="Robusta","Robusta",(IF($B838="","Arabica",$B838))&amp;" - "&amp;(IF($C838="","Commercial",$C838))),Variables!$B$1:$D$1,0),1))*AC838/365)+(L838/16.67*INDEX(Variables!$B$8:$D$8,IFERROR(MATCH(IF($B838="Robusta","Robusta",(IF($B838="","Arabica",$B838))&amp;" - "&amp;(IF($C838="","Commercial",$C838))),Variables!$B$1:$D$1,0),1))*AC838)+(T838*INDEX(Variables!$B$9:$D$9,IFERROR(MATCH(IF($B838="Robusta","Robusta",(IF($B838="","Arabica",$B838))&amp;" - "&amp;(IF($C838="","Commercial",$C838))),Variables!$B$1:$D$1,0),1))*AC838/365),""))</f>
        <v/>
      </c>
      <c r="AU838" s="12">
        <f>IF($H838="Cancelled","",IFERROR((T838*INDEX(Variables!$B$7:$D$7,IFERROR(MATCH(IF($B838="Robusta","Robusta",(IF($B838="","Arabica",$B838))&amp;" - "&amp;(IF($C838="","Commercial",$C838))),Variables!$B$1:$D$1,0),1))*AP838/365)+(L838/16.67*INDEX(Variables!$B$8:$D$8,IFERROR(MATCH(IF($B838="Robusta","Robusta",(IF($B838="","Arabica",$B838))&amp;" - "&amp;(IF($C838="","Commercial",$C838))),Variables!$B$1:$D$1,0),1))*AP838)+(T838*INDEX(Variables!$B$9:$D$9,IFERROR(MATCH(IF($B838="Robusta","Robusta",(IF($B838="","Arabica",$B838))&amp;" - "&amp;(IF($C838="","Commercial",$C838))),Variables!$B$1:$D$1,0),1))*AP838/365),""))</f>
        <v>-11.881809367331355</v>
      </c>
      <c r="AV838" s="11">
        <f t="shared" si="85"/>
        <v>-15</v>
      </c>
      <c r="AW838" s="12">
        <f>IF($H838="Cancelled","",IFERROR(IF(AV838="","",(T838*INDEX(Variables!$B$7:$D$7,IFERROR(MATCH(IF($B838="Robusta","Robusta",(IF($B838="","Arabica",$B838))&amp;" - "&amp;(IF($C838="","Commercial",$C838))),Variables!$B$1:$D$1,0),1))*(AV838/365))+(T838*INDEX(Variables!$B$9:$D$9,IFERROR(MATCH(IF($B838="Robusta","Robusta",(IF($B838="","Arabica",$B838))&amp;" - "&amp;(IF($C838="","Commercial",$C838))),Variables!$B$1:$D$1,0),1))*(AV838/365))+(INDEX(Variables!$B$8:$D$8,IFERROR(MATCH(IF($B838="Robusta","Robusta",(IF($B838="","Arabica",$B838))&amp;" - "&amp;(IF($C838="","Commercial",$C838))),Variables!$B$1:$D$1,0),1))*L838/16.67)),""))</f>
        <v>-19.645428101994064</v>
      </c>
      <c r="AX838" s="9"/>
      <c r="AY838" s="12"/>
      <c r="AZ838" s="10"/>
      <c r="BA838" s="9"/>
      <c r="BB838" s="10"/>
      <c r="BC838" s="9"/>
      <c r="BD838" s="9"/>
      <c r="BE838" s="9"/>
      <c r="BF838" s="9"/>
    </row>
    <row r="839" spans="1:58" ht="51.75" x14ac:dyDescent="0.25">
      <c r="A839" s="9" t="s">
        <v>84</v>
      </c>
      <c r="B839" s="9" t="s">
        <v>85</v>
      </c>
      <c r="C839" s="9" t="s">
        <v>1486</v>
      </c>
      <c r="D839" s="10">
        <v>45448</v>
      </c>
      <c r="E839" s="10">
        <v>45444</v>
      </c>
      <c r="F839" s="10">
        <v>45473</v>
      </c>
      <c r="G839" s="9">
        <v>3786415</v>
      </c>
      <c r="H839" s="9" t="str">
        <f t="shared" si="83"/>
        <v>Closed</v>
      </c>
      <c r="I839" s="9" t="str">
        <f t="shared" si="84"/>
        <v>All dates received</v>
      </c>
      <c r="J839" s="9" t="s">
        <v>102</v>
      </c>
      <c r="K839" s="9">
        <v>5006</v>
      </c>
      <c r="L839" s="11">
        <v>20</v>
      </c>
      <c r="M839" s="13" t="s">
        <v>1799</v>
      </c>
      <c r="N839" s="9"/>
      <c r="O839" s="9"/>
      <c r="P839" s="9"/>
      <c r="Q839" s="11"/>
      <c r="R839" s="9" t="s">
        <v>195</v>
      </c>
      <c r="S839" s="9" t="s">
        <v>554</v>
      </c>
      <c r="T839" s="12">
        <f>IF($H839="Cancelled","",IFERROR(((Q839+INDEX(Variables!$B$6:$D$6,IFERROR(MATCH(IF($B839="Robusta","Robusta",(IF($B839="","Arabica",$B839))&amp;" - "&amp;(IF($C839="","Commercial",$C839))),Variables!$B$1:$D$1,0),1)))*22.0462)*(L839/16.67),""))</f>
        <v>7691.7036112777441</v>
      </c>
      <c r="U839" s="10"/>
      <c r="V839" s="9" t="str">
        <f t="shared" si="86"/>
        <v/>
      </c>
      <c r="W839" s="10">
        <v>45397</v>
      </c>
      <c r="X839" s="9" t="str">
        <f t="shared" si="82"/>
        <v>Approved</v>
      </c>
      <c r="Y839" s="10">
        <v>45397</v>
      </c>
      <c r="Z839" s="10">
        <f>IF($H839="Cancelled","",IFERROR(IF(F839="","",F839-Variables!$B$13),""))</f>
        <v>45458</v>
      </c>
      <c r="AA839" s="11">
        <f>IF($H839="Cancelled","",IFERROR(IF(W839="","",(AVERAGE(E839:F839)-W839)-Variables!$B$14),""))</f>
        <v>31.5</v>
      </c>
      <c r="AB839" s="10">
        <v>45476</v>
      </c>
      <c r="AC839" s="11">
        <f>IF($H839="Cancelled","",IFERROR(IF(AB839="","",IF(AND(W839="",Y839=""),"",IF(Y839&gt;W839,Y839+Variables!$B$15+Variables!$B$16+Variables!$B$17-AB839,W839+Variables!$B$16+Variables!$B$17-AB839))),""))</f>
        <v>-71</v>
      </c>
      <c r="AD839" s="9" t="s">
        <v>107</v>
      </c>
      <c r="AE839" s="9" t="s">
        <v>364</v>
      </c>
      <c r="AF839" s="10"/>
      <c r="AG839" s="10"/>
      <c r="AH839" s="9"/>
      <c r="AI839" s="9" t="s">
        <v>1774</v>
      </c>
      <c r="AJ839" s="9" t="s">
        <v>8</v>
      </c>
      <c r="AK839" s="10">
        <v>45493</v>
      </c>
      <c r="AL839" s="10">
        <v>45512</v>
      </c>
      <c r="AM839" s="10">
        <v>45516</v>
      </c>
      <c r="AN839" s="9" t="s">
        <v>1492</v>
      </c>
      <c r="AO839" s="9"/>
      <c r="AP839" s="11">
        <f>IF($H839="Cancelled","",IFERROR(IF(OR(AK839="",AB839=""),"",(AB839+Variables!$B$18-AK839)),""))</f>
        <v>-10</v>
      </c>
      <c r="AQ839" s="11">
        <f>IF($H839="Cancelled","",IFERROR(IF(OR(AM839="",AK839=""),"",(AK839+Variables!$B$19)-AM839),""))</f>
        <v>-18</v>
      </c>
      <c r="AR839" s="12">
        <f>IF($H839="Cancelled","",IFERROR(T839*INDEX(Variables!$B$7:$D$7,IFERROR(MATCH(IF($B839="Robusta","Robusta",(IF($B839="","Arabica",$B839))&amp;" - "&amp;(IF($C839="","Commercial",$C839))),Variables!$B$1:$D$1,0),1))*(AQ839/365),""))</f>
        <v>-24.459187591387419</v>
      </c>
      <c r="AS839" s="12">
        <f>IF($H839="Cancelled","",IFERROR((T839*INDEX(Variables!$B$7:$D$7,IFERROR(MATCH(IF($B839="Robusta","Robusta",(IF($B839="","Arabica",$B839))&amp;" - "&amp;(IF($C839="","Commercial",$C839))),Variables!$B$1:$D$1,0),1))*IFERROR(IF(W839="","",(AVERAGE(E839:F839)-W839)-Variables!$B$14),"")/365)+(L839/16.67*INDEX(Variables!$B$8:$D$8,IFERROR(MATCH(IF($B839="Robusta","Robusta",(IF($B839="","Arabica",$B839))&amp;" - "&amp;(IF($C839="","Commercial",$C839))),Variables!$B$1:$D$1,0),1))*IFERROR(IF(W839="","",(AVERAGE(E839:F839)-W839)-Variables!$B$14),""))+(T839*INDEX(Variables!$B$9:$D$9,IFERROR(MATCH(IF($B839="Robusta","Robusta",(IF($B839="","Arabica",$B839))&amp;" - "&amp;(IF($C839="","Commercial",$C839))),Variables!$B$1:$D$1,0),1))*IFERROR(IF(W839="","",(AVERAGE(E839:F839)-W839)-Variables!$B$14),"")/365),""))</f>
        <v>74.855399014187554</v>
      </c>
      <c r="AT839" s="12">
        <f>IF($H839="Cancelled","",IFERROR((T839*INDEX(Variables!$B$7:$D$7,IFERROR(MATCH(IF($B839="Robusta","Robusta",(IF($B839="","Arabica",$B839))&amp;" - "&amp;(IF($C839="","Commercial",$C839))),Variables!$B$1:$D$1,0),1))*AC839/365)+(L839/16.67*INDEX(Variables!$B$8:$D$8,IFERROR(MATCH(IF($B839="Robusta","Robusta",(IF($B839="","Arabica",$B839))&amp;" - "&amp;(IF($C839="","Commercial",$C839))),Variables!$B$1:$D$1,0),1))*AC839)+(T839*INDEX(Variables!$B$9:$D$9,IFERROR(MATCH(IF($B839="Robusta","Robusta",(IF($B839="","Arabica",$B839))&amp;" - "&amp;(IF($C839="","Commercial",$C839))),Variables!$B$1:$D$1,0),1))*AC839/365),""))</f>
        <v>-168.72169301610523</v>
      </c>
      <c r="AU839" s="12">
        <f>IF($H839="Cancelled","",IFERROR((T839*INDEX(Variables!$B$7:$D$7,IFERROR(MATCH(IF($B839="Robusta","Robusta",(IF($B839="","Arabica",$B839))&amp;" - "&amp;(IF($C839="","Commercial",$C839))),Variables!$B$1:$D$1,0),1))*AP839/365)+(L839/16.67*INDEX(Variables!$B$8:$D$8,IFERROR(MATCH(IF($B839="Robusta","Robusta",(IF($B839="","Arabica",$B839))&amp;" - "&amp;(IF($C839="","Commercial",$C839))),Variables!$B$1:$D$1,0),1))*AP839)+(T839*INDEX(Variables!$B$9:$D$9,IFERROR(MATCH(IF($B839="Robusta","Robusta",(IF($B839="","Arabica",$B839))&amp;" - "&amp;(IF($C839="","Commercial",$C839))),Variables!$B$1:$D$1,0),1))*AP839/365),""))</f>
        <v>-23.76361873466271</v>
      </c>
      <c r="AV839" s="11">
        <f t="shared" si="85"/>
        <v>-20</v>
      </c>
      <c r="AW839" s="12">
        <f>IF($H839="Cancelled","",IFERROR(IF(AV839="","",(T839*INDEX(Variables!$B$7:$D$7,IFERROR(MATCH(IF($B839="Robusta","Robusta",(IF($B839="","Arabica",$B839))&amp;" - "&amp;(IF($C839="","Commercial",$C839))),Variables!$B$1:$D$1,0),1))*(AV839/365))+(T839*INDEX(Variables!$B$9:$D$9,IFERROR(MATCH(IF($B839="Robusta","Robusta",(IF($B839="","Arabica",$B839))&amp;" - "&amp;(IF($C839="","Commercial",$C839))),Variables!$B$1:$D$1,0),1))*(AV839/365))+(INDEX(Variables!$B$8:$D$8,IFERROR(MATCH(IF($B839="Robusta","Robusta",(IF($B839="","Arabica",$B839))&amp;" - "&amp;(IF($C839="","Commercial",$C839))),Variables!$B$1:$D$1,0),1))*L839/16.67)),""))</f>
        <v>-26.527237469325421</v>
      </c>
      <c r="AX839" s="9"/>
      <c r="AY839" s="12"/>
      <c r="AZ839" s="10"/>
      <c r="BA839" s="9"/>
      <c r="BB839" s="10"/>
      <c r="BC839" s="9"/>
      <c r="BD839" s="9"/>
      <c r="BE839" s="9"/>
      <c r="BF839" s="9"/>
    </row>
    <row r="840" spans="1:58" x14ac:dyDescent="0.25">
      <c r="A840" s="9" t="s">
        <v>84</v>
      </c>
      <c r="B840" s="9" t="s">
        <v>85</v>
      </c>
      <c r="C840" s="9" t="s">
        <v>1486</v>
      </c>
      <c r="D840" s="10">
        <v>45448</v>
      </c>
      <c r="E840" s="10">
        <v>45444</v>
      </c>
      <c r="F840" s="10">
        <v>45473</v>
      </c>
      <c r="G840" s="9">
        <v>3786416</v>
      </c>
      <c r="H840" s="9" t="str">
        <f t="shared" si="83"/>
        <v>Closed</v>
      </c>
      <c r="I840" s="9" t="str">
        <f t="shared" si="84"/>
        <v>All dates received</v>
      </c>
      <c r="J840" s="9" t="s">
        <v>102</v>
      </c>
      <c r="K840" s="9">
        <v>5007</v>
      </c>
      <c r="L840" s="11">
        <v>40</v>
      </c>
      <c r="M840" s="9" t="s">
        <v>1561</v>
      </c>
      <c r="N840" s="9"/>
      <c r="O840" s="9"/>
      <c r="P840" s="9"/>
      <c r="Q840" s="11"/>
      <c r="R840" s="9" t="s">
        <v>195</v>
      </c>
      <c r="S840" s="9" t="s">
        <v>554</v>
      </c>
      <c r="T840" s="12">
        <f>IF($H840="Cancelled","",IFERROR(((Q840+INDEX(Variables!$B$6:$D$6,IFERROR(MATCH(IF($B840="Robusta","Robusta",(IF($B840="","Arabica",$B840))&amp;" - "&amp;(IF($C840="","Commercial",$C840))),Variables!$B$1:$D$1,0),1)))*22.0462)*(L840/16.67),""))</f>
        <v>15383.407222555488</v>
      </c>
      <c r="U840" s="10"/>
      <c r="V840" s="9" t="str">
        <f t="shared" si="86"/>
        <v/>
      </c>
      <c r="W840" s="10">
        <v>45397</v>
      </c>
      <c r="X840" s="9" t="str">
        <f t="shared" si="82"/>
        <v>Approved</v>
      </c>
      <c r="Y840" s="10">
        <v>45397</v>
      </c>
      <c r="Z840" s="10">
        <f>IF($H840="Cancelled","",IFERROR(IF(F840="","",F840-Variables!$B$13),""))</f>
        <v>45458</v>
      </c>
      <c r="AA840" s="11">
        <f>IF($H840="Cancelled","",IFERROR(IF(W840="","",(AVERAGE(E840:F840)-W840)-Variables!$B$14),""))</f>
        <v>31.5</v>
      </c>
      <c r="AB840" s="10">
        <v>45476</v>
      </c>
      <c r="AC840" s="11">
        <f>IF($H840="Cancelled","",IFERROR(IF(AB840="","",IF(AND(W840="",Y840=""),"",IF(Y840&gt;W840,Y840+Variables!$B$15+Variables!$B$16+Variables!$B$17-AB840,W840+Variables!$B$16+Variables!$B$17-AB840))),""))</f>
        <v>-71</v>
      </c>
      <c r="AD840" s="9" t="s">
        <v>107</v>
      </c>
      <c r="AE840" s="9" t="s">
        <v>364</v>
      </c>
      <c r="AF840" s="10"/>
      <c r="AG840" s="10"/>
      <c r="AH840" s="9"/>
      <c r="AI840" s="9" t="s">
        <v>1774</v>
      </c>
      <c r="AJ840" s="9" t="s">
        <v>8</v>
      </c>
      <c r="AK840" s="10">
        <v>45493</v>
      </c>
      <c r="AL840" s="10">
        <v>45512</v>
      </c>
      <c r="AM840" s="10">
        <v>45516</v>
      </c>
      <c r="AN840" s="9" t="s">
        <v>1492</v>
      </c>
      <c r="AO840" s="9"/>
      <c r="AP840" s="11">
        <f>IF($H840="Cancelled","",IFERROR(IF(OR(AK840="",AB840=""),"",(AB840+Variables!$B$18-AK840)),""))</f>
        <v>-10</v>
      </c>
      <c r="AQ840" s="11">
        <f>IF($H840="Cancelled","",IFERROR(IF(OR(AM840="",AK840=""),"",(AK840+Variables!$B$19)-AM840),""))</f>
        <v>-18</v>
      </c>
      <c r="AR840" s="12">
        <f>IF($H840="Cancelled","",IFERROR(T840*INDEX(Variables!$B$7:$D$7,IFERROR(MATCH(IF($B840="Robusta","Robusta",(IF($B840="","Arabica",$B840))&amp;" - "&amp;(IF($C840="","Commercial",$C840))),Variables!$B$1:$D$1,0),1))*(AQ840/365),""))</f>
        <v>-48.918375182774838</v>
      </c>
      <c r="AS840" s="12">
        <f>IF($H840="Cancelled","",IFERROR((T840*INDEX(Variables!$B$7:$D$7,IFERROR(MATCH(IF($B840="Robusta","Robusta",(IF($B840="","Arabica",$B840))&amp;" - "&amp;(IF($C840="","Commercial",$C840))),Variables!$B$1:$D$1,0),1))*IFERROR(IF(W840="","",(AVERAGE(E840:F840)-W840)-Variables!$B$14),"")/365)+(L840/16.67*INDEX(Variables!$B$8:$D$8,IFERROR(MATCH(IF($B840="Robusta","Robusta",(IF($B840="","Arabica",$B840))&amp;" - "&amp;(IF($C840="","Commercial",$C840))),Variables!$B$1:$D$1,0),1))*IFERROR(IF(W840="","",(AVERAGE(E840:F840)-W840)-Variables!$B$14),""))+(T840*INDEX(Variables!$B$9:$D$9,IFERROR(MATCH(IF($B840="Robusta","Robusta",(IF($B840="","Arabica",$B840))&amp;" - "&amp;(IF($C840="","Commercial",$C840))),Variables!$B$1:$D$1,0),1))*IFERROR(IF(W840="","",(AVERAGE(E840:F840)-W840)-Variables!$B$14),"")/365),""))</f>
        <v>149.71079802837511</v>
      </c>
      <c r="AT840" s="12">
        <f>IF($H840="Cancelled","",IFERROR((T840*INDEX(Variables!$B$7:$D$7,IFERROR(MATCH(IF($B840="Robusta","Robusta",(IF($B840="","Arabica",$B840))&amp;" - "&amp;(IF($C840="","Commercial",$C840))),Variables!$B$1:$D$1,0),1))*AC840/365)+(L840/16.67*INDEX(Variables!$B$8:$D$8,IFERROR(MATCH(IF($B840="Robusta","Robusta",(IF($B840="","Arabica",$B840))&amp;" - "&amp;(IF($C840="","Commercial",$C840))),Variables!$B$1:$D$1,0),1))*AC840)+(T840*INDEX(Variables!$B$9:$D$9,IFERROR(MATCH(IF($B840="Robusta","Robusta",(IF($B840="","Arabica",$B840))&amp;" - "&amp;(IF($C840="","Commercial",$C840))),Variables!$B$1:$D$1,0),1))*AC840/365),""))</f>
        <v>-337.44338603221047</v>
      </c>
      <c r="AU840" s="12">
        <f>IF($H840="Cancelled","",IFERROR((T840*INDEX(Variables!$B$7:$D$7,IFERROR(MATCH(IF($B840="Robusta","Robusta",(IF($B840="","Arabica",$B840))&amp;" - "&amp;(IF($C840="","Commercial",$C840))),Variables!$B$1:$D$1,0),1))*AP840/365)+(L840/16.67*INDEX(Variables!$B$8:$D$8,IFERROR(MATCH(IF($B840="Robusta","Robusta",(IF($B840="","Arabica",$B840))&amp;" - "&amp;(IF($C840="","Commercial",$C840))),Variables!$B$1:$D$1,0),1))*AP840)+(T840*INDEX(Variables!$B$9:$D$9,IFERROR(MATCH(IF($B840="Robusta","Robusta",(IF($B840="","Arabica",$B840))&amp;" - "&amp;(IF($C840="","Commercial",$C840))),Variables!$B$1:$D$1,0),1))*AP840/365),""))</f>
        <v>-47.527237469325421</v>
      </c>
      <c r="AV840" s="11">
        <f t="shared" si="85"/>
        <v>-20</v>
      </c>
      <c r="AW840" s="12">
        <f>IF($H840="Cancelled","",IFERROR(IF(AV840="","",(T840*INDEX(Variables!$B$7:$D$7,IFERROR(MATCH(IF($B840="Robusta","Robusta",(IF($B840="","Arabica",$B840))&amp;" - "&amp;(IF($C840="","Commercial",$C840))),Variables!$B$1:$D$1,0),1))*(AV840/365))+(T840*INDEX(Variables!$B$9:$D$9,IFERROR(MATCH(IF($B840="Robusta","Robusta",(IF($B840="","Arabica",$B840))&amp;" - "&amp;(IF($C840="","Commercial",$C840))),Variables!$B$1:$D$1,0),1))*(AV840/365))+(INDEX(Variables!$B$8:$D$8,IFERROR(MATCH(IF($B840="Robusta","Robusta",(IF($B840="","Arabica",$B840))&amp;" - "&amp;(IF($C840="","Commercial",$C840))),Variables!$B$1:$D$1,0),1))*L840/16.67)),""))</f>
        <v>-53.054474938650841</v>
      </c>
      <c r="AX840" s="9"/>
      <c r="AY840" s="12"/>
      <c r="AZ840" s="10"/>
      <c r="BA840" s="9"/>
      <c r="BB840" s="10"/>
      <c r="BC840" s="9"/>
      <c r="BD840" s="9"/>
      <c r="BE840" s="9"/>
      <c r="BF840" s="9"/>
    </row>
    <row r="841" spans="1:58" x14ac:dyDescent="0.25">
      <c r="A841" s="9" t="s">
        <v>84</v>
      </c>
      <c r="B841" s="9" t="s">
        <v>85</v>
      </c>
      <c r="C841" s="9" t="s">
        <v>1486</v>
      </c>
      <c r="D841" s="10">
        <v>45439</v>
      </c>
      <c r="E841" s="10">
        <v>45474</v>
      </c>
      <c r="F841" s="10">
        <v>45504</v>
      </c>
      <c r="G841" s="9">
        <v>3786398</v>
      </c>
      <c r="H841" s="9" t="str">
        <f t="shared" si="83"/>
        <v>Closed</v>
      </c>
      <c r="I841" s="9" t="str">
        <f t="shared" si="84"/>
        <v>All dates received</v>
      </c>
      <c r="J841" s="9" t="s">
        <v>322</v>
      </c>
      <c r="K841" s="9" t="s">
        <v>1800</v>
      </c>
      <c r="L841" s="11">
        <v>160</v>
      </c>
      <c r="M841" s="9" t="s">
        <v>361</v>
      </c>
      <c r="N841" s="9"/>
      <c r="O841" s="9"/>
      <c r="P841" s="9"/>
      <c r="Q841" s="11"/>
      <c r="R841" s="9" t="s">
        <v>90</v>
      </c>
      <c r="S841" s="9" t="s">
        <v>123</v>
      </c>
      <c r="T841" s="12">
        <f>IF($H841="Cancelled","",IFERROR(((Q841+INDEX(Variables!$B$6:$D$6,IFERROR(MATCH(IF($B841="Robusta","Robusta",(IF($B841="","Arabica",$B841))&amp;" - "&amp;(IF($C841="","Commercial",$C841))),Variables!$B$1:$D$1,0),1)))*22.0462)*(L841/16.67),""))</f>
        <v>61533.628890221953</v>
      </c>
      <c r="U841" s="10">
        <v>45462</v>
      </c>
      <c r="V841" s="9" t="str">
        <f t="shared" si="86"/>
        <v>Sent</v>
      </c>
      <c r="W841" s="10">
        <v>45495</v>
      </c>
      <c r="X841" s="9" t="str">
        <f t="shared" si="82"/>
        <v>Approved</v>
      </c>
      <c r="Y841" s="10"/>
      <c r="Z841" s="10">
        <f>IF($H841="Cancelled","",IFERROR(IF(F841="","",F841-Variables!$B$13),""))</f>
        <v>45489</v>
      </c>
      <c r="AA841" s="11">
        <f>IF($H841="Cancelled","",IFERROR(IF(W841="","",(AVERAGE(E841:F841)-W841)-Variables!$B$14),""))</f>
        <v>-36</v>
      </c>
      <c r="AB841" s="10">
        <v>45517</v>
      </c>
      <c r="AC841" s="11">
        <f>IF($H841="Cancelled","",IFERROR(IF(AB841="","",IF(AND(W841="",Y841=""),"",IF(Y841&gt;W841,Y841+Variables!$B$15+Variables!$B$16+Variables!$B$17-AB841,W841+Variables!$B$16+Variables!$B$17-AB841))),""))</f>
        <v>-14</v>
      </c>
      <c r="AD841" s="9" t="s">
        <v>107</v>
      </c>
      <c r="AE841" s="9" t="s">
        <v>555</v>
      </c>
      <c r="AF841" s="10"/>
      <c r="AG841" s="10"/>
      <c r="AH841" s="9"/>
      <c r="AI841" s="9" t="s">
        <v>1801</v>
      </c>
      <c r="AJ841" s="9" t="s">
        <v>1802</v>
      </c>
      <c r="AK841" s="10">
        <v>45537</v>
      </c>
      <c r="AL841" s="10">
        <v>45540</v>
      </c>
      <c r="AM841" s="10">
        <v>45554</v>
      </c>
      <c r="AN841" s="9" t="s">
        <v>1492</v>
      </c>
      <c r="AO841" s="9"/>
      <c r="AP841" s="11">
        <f>IF($H841="Cancelled","",IFERROR(IF(OR(AK841="",AB841=""),"",(AB841+Variables!$B$18-AK841)),""))</f>
        <v>-13</v>
      </c>
      <c r="AQ841" s="11">
        <f>IF($H841="Cancelled","",IFERROR(IF(OR(AM841="",AK841=""),"",(AK841+Variables!$B$19)-AM841),""))</f>
        <v>-12</v>
      </c>
      <c r="AR841" s="12">
        <f>IF($H841="Cancelled","",IFERROR(T841*INDEX(Variables!$B$7:$D$7,IFERROR(MATCH(IF($B841="Robusta","Robusta",(IF($B841="","Arabica",$B841))&amp;" - "&amp;(IF($C841="","Commercial",$C841))),Variables!$B$1:$D$1,0),1))*(AQ841/365),""))</f>
        <v>-130.44900048739956</v>
      </c>
      <c r="AS841" s="12">
        <f>IF($H841="Cancelled","",IFERROR((T841*INDEX(Variables!$B$7:$D$7,IFERROR(MATCH(IF($B841="Robusta","Robusta",(IF($B841="","Arabica",$B841))&amp;" - "&amp;(IF($C841="","Commercial",$C841))),Variables!$B$1:$D$1,0),1))*IFERROR(IF(W841="","",(AVERAGE(E841:F841)-W841)-Variables!$B$14),"")/365)+(L841/16.67*INDEX(Variables!$B$8:$D$8,IFERROR(MATCH(IF($B841="Robusta","Robusta",(IF($B841="","Arabica",$B841))&amp;" - "&amp;(IF($C841="","Commercial",$C841))),Variables!$B$1:$D$1,0),1))*IFERROR(IF(W841="","",(AVERAGE(E841:F841)-W841)-Variables!$B$14),""))+(T841*INDEX(Variables!$B$9:$D$9,IFERROR(MATCH(IF($B841="Robusta","Robusta",(IF($B841="","Arabica",$B841))&amp;" - "&amp;(IF($C841="","Commercial",$C841))),Variables!$B$1:$D$1,0),1))*IFERROR(IF(W841="","",(AVERAGE(E841:F841)-W841)-Variables!$B$14),"")/365),""))</f>
        <v>-684.39221955828611</v>
      </c>
      <c r="AT841" s="12">
        <f>IF($H841="Cancelled","",IFERROR((T841*INDEX(Variables!$B$7:$D$7,IFERROR(MATCH(IF($B841="Robusta","Robusta",(IF($B841="","Arabica",$B841))&amp;" - "&amp;(IF($C841="","Commercial",$C841))),Variables!$B$1:$D$1,0),1))*AC841/365)+(L841/16.67*INDEX(Variables!$B$8:$D$8,IFERROR(MATCH(IF($B841="Robusta","Robusta",(IF($B841="","Arabica",$B841))&amp;" - "&amp;(IF($C841="","Commercial",$C841))),Variables!$B$1:$D$1,0),1))*AC841)+(T841*INDEX(Variables!$B$9:$D$9,IFERROR(MATCH(IF($B841="Robusta","Robusta",(IF($B841="","Arabica",$B841))&amp;" - "&amp;(IF($C841="","Commercial",$C841))),Variables!$B$1:$D$1,0),1))*AC841/365),""))</f>
        <v>-266.15252982822238</v>
      </c>
      <c r="AU841" s="12">
        <f>IF($H841="Cancelled","",IFERROR((T841*INDEX(Variables!$B$7:$D$7,IFERROR(MATCH(IF($B841="Robusta","Robusta",(IF($B841="","Arabica",$B841))&amp;" - "&amp;(IF($C841="","Commercial",$C841))),Variables!$B$1:$D$1,0),1))*AP841/365)+(L841/16.67*INDEX(Variables!$B$8:$D$8,IFERROR(MATCH(IF($B841="Robusta","Robusta",(IF($B841="","Arabica",$B841))&amp;" - "&amp;(IF($C841="","Commercial",$C841))),Variables!$B$1:$D$1,0),1))*AP841)+(T841*INDEX(Variables!$B$9:$D$9,IFERROR(MATCH(IF($B841="Robusta","Robusta",(IF($B841="","Arabica",$B841))&amp;" - "&amp;(IF($C841="","Commercial",$C841))),Variables!$B$1:$D$1,0),1))*AP841/365),""))</f>
        <v>-247.14163484049217</v>
      </c>
      <c r="AV841" s="11">
        <f t="shared" si="85"/>
        <v>-33</v>
      </c>
      <c r="AW841" s="12">
        <f>IF($H841="Cancelled","",IFERROR(IF(AV841="","",(T841*INDEX(Variables!$B$7:$D$7,IFERROR(MATCH(IF($B841="Robusta","Robusta",(IF($B841="","Arabica",$B841))&amp;" - "&amp;(IF($C841="","Commercial",$C841))),Variables!$B$1:$D$1,0),1))*(AV841/365))+(T841*INDEX(Variables!$B$9:$D$9,IFERROR(MATCH(IF($B841="Robusta","Robusta",(IF($B841="","Arabica",$B841))&amp;" - "&amp;(IF($C841="","Commercial",$C841))),Variables!$B$1:$D$1,0),1))*(AV841/365))+(INDEX(Variables!$B$8:$D$8,IFERROR(MATCH(IF($B841="Robusta","Robusta",(IF($B841="","Arabica",$B841))&amp;" - "&amp;(IF($C841="","Commercial",$C841))),Variables!$B$1:$D$1,0),1))*L841/16.67)),""))</f>
        <v>-355.35953459509557</v>
      </c>
      <c r="AX841" s="9"/>
      <c r="AY841" s="12"/>
      <c r="AZ841" s="10"/>
      <c r="BA841" s="9"/>
      <c r="BB841" s="10"/>
      <c r="BC841" s="9"/>
      <c r="BD841" s="9"/>
      <c r="BE841" s="9"/>
      <c r="BF841" s="9"/>
    </row>
    <row r="842" spans="1:58" x14ac:dyDescent="0.25">
      <c r="A842" s="9" t="s">
        <v>84</v>
      </c>
      <c r="B842" s="9" t="s">
        <v>85</v>
      </c>
      <c r="C842" s="9" t="s">
        <v>1486</v>
      </c>
      <c r="D842" s="10">
        <v>45450</v>
      </c>
      <c r="E842" s="10">
        <v>45474</v>
      </c>
      <c r="F842" s="10">
        <v>45504</v>
      </c>
      <c r="G842" s="9">
        <v>3786417</v>
      </c>
      <c r="H842" s="9" t="str">
        <f t="shared" si="83"/>
        <v>Closed</v>
      </c>
      <c r="I842" s="9" t="str">
        <f t="shared" si="84"/>
        <v>All dates received</v>
      </c>
      <c r="J842" s="9" t="s">
        <v>1653</v>
      </c>
      <c r="K842" s="9" t="s">
        <v>1803</v>
      </c>
      <c r="L842" s="11">
        <v>32</v>
      </c>
      <c r="M842" s="9" t="s">
        <v>1804</v>
      </c>
      <c r="N842" s="9"/>
      <c r="O842" s="9"/>
      <c r="P842" s="9"/>
      <c r="Q842" s="11"/>
      <c r="R842" s="9" t="s">
        <v>90</v>
      </c>
      <c r="S842" s="9" t="s">
        <v>312</v>
      </c>
      <c r="T842" s="12">
        <f>IF($H842="Cancelled","",IFERROR(((Q842+INDEX(Variables!$B$6:$D$6,IFERROR(MATCH(IF($B842="Robusta","Robusta",(IF($B842="","Arabica",$B842))&amp;" - "&amp;(IF($C842="","Commercial",$C842))),Variables!$B$1:$D$1,0),1)))*22.0462)*(L842/16.67),""))</f>
        <v>12306.725778044389</v>
      </c>
      <c r="U842" s="10">
        <v>45462</v>
      </c>
      <c r="V842" s="9" t="str">
        <f t="shared" si="86"/>
        <v>Sent</v>
      </c>
      <c r="W842" s="10">
        <v>45483</v>
      </c>
      <c r="X842" s="9" t="str">
        <f t="shared" si="82"/>
        <v>Approved</v>
      </c>
      <c r="Y842" s="10"/>
      <c r="Z842" s="10">
        <f>IF($H842="Cancelled","",IFERROR(IF(F842="","",F842-Variables!$B$13),""))</f>
        <v>45489</v>
      </c>
      <c r="AA842" s="11">
        <f>IF($H842="Cancelled","",IFERROR(IF(W842="","",(AVERAGE(E842:F842)-W842)-Variables!$B$14),""))</f>
        <v>-24</v>
      </c>
      <c r="AB842" s="10">
        <v>45492</v>
      </c>
      <c r="AC842" s="11">
        <f>IF($H842="Cancelled","",IFERROR(IF(AB842="","",IF(AND(W842="",Y842=""),"",IF(Y842&gt;W842,Y842+Variables!$B$15+Variables!$B$16+Variables!$B$17-AB842,W842+Variables!$B$16+Variables!$B$17-AB842))),""))</f>
        <v>-1</v>
      </c>
      <c r="AD842" s="9" t="s">
        <v>180</v>
      </c>
      <c r="AE842" s="9" t="s">
        <v>1805</v>
      </c>
      <c r="AF842" s="10"/>
      <c r="AG842" s="10"/>
      <c r="AH842" s="9"/>
      <c r="AI842" s="9" t="s">
        <v>1806</v>
      </c>
      <c r="AJ842" s="9" t="s">
        <v>1807</v>
      </c>
      <c r="AK842" s="10">
        <v>45516</v>
      </c>
      <c r="AL842" s="10">
        <v>45519</v>
      </c>
      <c r="AM842" s="10">
        <v>45533</v>
      </c>
      <c r="AN842" s="9" t="s">
        <v>1492</v>
      </c>
      <c r="AO842" s="9"/>
      <c r="AP842" s="11">
        <f>IF($H842="Cancelled","",IFERROR(IF(OR(AK842="",AB842=""),"",(AB842+Variables!$B$18-AK842)),""))</f>
        <v>-17</v>
      </c>
      <c r="AQ842" s="11">
        <f>IF($H842="Cancelled","",IFERROR(IF(OR(AM842="",AK842=""),"",(AK842+Variables!$B$19)-AM842),""))</f>
        <v>-12</v>
      </c>
      <c r="AR842" s="12">
        <f>IF($H842="Cancelled","",IFERROR(T842*INDEX(Variables!$B$7:$D$7,IFERROR(MATCH(IF($B842="Robusta","Robusta",(IF($B842="","Arabica",$B842))&amp;" - "&amp;(IF($C842="","Commercial",$C842))),Variables!$B$1:$D$1,0),1))*(AQ842/365),""))</f>
        <v>-26.089800097479905</v>
      </c>
      <c r="AS842" s="12">
        <f>IF($H842="Cancelled","",IFERROR((T842*INDEX(Variables!$B$7:$D$7,IFERROR(MATCH(IF($B842="Robusta","Robusta",(IF($B842="","Arabica",$B842))&amp;" - "&amp;(IF($C842="","Commercial",$C842))),Variables!$B$1:$D$1,0),1))*IFERROR(IF(W842="","",(AVERAGE(E842:F842)-W842)-Variables!$B$14),"")/365)+(L842/16.67*INDEX(Variables!$B$8:$D$8,IFERROR(MATCH(IF($B842="Robusta","Robusta",(IF($B842="","Arabica",$B842))&amp;" - "&amp;(IF($C842="","Commercial",$C842))),Variables!$B$1:$D$1,0),1))*IFERROR(IF(W842="","",(AVERAGE(E842:F842)-W842)-Variables!$B$14),""))+(T842*INDEX(Variables!$B$9:$D$9,IFERROR(MATCH(IF($B842="Robusta","Robusta",(IF($B842="","Arabica",$B842))&amp;" - "&amp;(IF($C842="","Commercial",$C842))),Variables!$B$1:$D$1,0),1))*IFERROR(IF(W842="","",(AVERAGE(E842:F842)-W842)-Variables!$B$14),"")/365),""))</f>
        <v>-91.252295941104805</v>
      </c>
      <c r="AT842" s="12">
        <f>IF($H842="Cancelled","",IFERROR((T842*INDEX(Variables!$B$7:$D$7,IFERROR(MATCH(IF($B842="Robusta","Robusta",(IF($B842="","Arabica",$B842))&amp;" - "&amp;(IF($C842="","Commercial",$C842))),Variables!$B$1:$D$1,0),1))*AC842/365)+(L842/16.67*INDEX(Variables!$B$8:$D$8,IFERROR(MATCH(IF($B842="Robusta","Robusta",(IF($B842="","Arabica",$B842))&amp;" - "&amp;(IF($C842="","Commercial",$C842))),Variables!$B$1:$D$1,0),1))*AC842)+(T842*INDEX(Variables!$B$9:$D$9,IFERROR(MATCH(IF($B842="Robusta","Robusta",(IF($B842="","Arabica",$B842))&amp;" - "&amp;(IF($C842="","Commercial",$C842))),Variables!$B$1:$D$1,0),1))*AC842/365),""))</f>
        <v>-3.8021789975460334</v>
      </c>
      <c r="AU842" s="12">
        <f>IF($H842="Cancelled","",IFERROR((T842*INDEX(Variables!$B$7:$D$7,IFERROR(MATCH(IF($B842="Robusta","Robusta",(IF($B842="","Arabica",$B842))&amp;" - "&amp;(IF($C842="","Commercial",$C842))),Variables!$B$1:$D$1,0),1))*AP842/365)+(L842/16.67*INDEX(Variables!$B$8:$D$8,IFERROR(MATCH(IF($B842="Robusta","Robusta",(IF($B842="","Arabica",$B842))&amp;" - "&amp;(IF($C842="","Commercial",$C842))),Variables!$B$1:$D$1,0),1))*AP842)+(T842*INDEX(Variables!$B$9:$D$9,IFERROR(MATCH(IF($B842="Robusta","Robusta",(IF($B842="","Arabica",$B842))&amp;" - "&amp;(IF($C842="","Commercial",$C842))),Variables!$B$1:$D$1,0),1))*AP842/365),""))</f>
        <v>-64.637042958282564</v>
      </c>
      <c r="AV842" s="11">
        <f t="shared" si="85"/>
        <v>-12</v>
      </c>
      <c r="AW842" s="12">
        <f>IF($H842="Cancelled","",IFERROR(IF(AV842="","",(T842*INDEX(Variables!$B$7:$D$7,IFERROR(MATCH(IF($B842="Robusta","Robusta",(IF($B842="","Arabica",$B842))&amp;" - "&amp;(IF($C842="","Commercial",$C842))),Variables!$B$1:$D$1,0),1))*(AV842/365))+(T842*INDEX(Variables!$B$9:$D$9,IFERROR(MATCH(IF($B842="Robusta","Robusta",(IF($B842="","Arabica",$B842))&amp;" - "&amp;(IF($C842="","Commercial",$C842))),Variables!$B$1:$D$1,0),1))*(AV842/365))+(INDEX(Variables!$B$8:$D$8,IFERROR(MATCH(IF($B842="Robusta","Robusta",(IF($B842="","Arabica",$B842))&amp;" - "&amp;(IF($C842="","Commercial",$C842))),Variables!$B$1:$D$1,0),1))*L842/16.67)),""))</f>
        <v>-24.826147970552395</v>
      </c>
      <c r="AX842" s="9"/>
      <c r="AY842" s="12"/>
      <c r="AZ842" s="10"/>
      <c r="BA842" s="9"/>
      <c r="BB842" s="10"/>
      <c r="BC842" s="9"/>
      <c r="BD842" s="9"/>
      <c r="BE842" s="9"/>
      <c r="BF842" s="9"/>
    </row>
    <row r="843" spans="1:58" x14ac:dyDescent="0.25">
      <c r="A843" s="9" t="s">
        <v>84</v>
      </c>
      <c r="B843" s="9" t="s">
        <v>85</v>
      </c>
      <c r="C843" s="9" t="s">
        <v>1486</v>
      </c>
      <c r="D843" s="10">
        <v>45450</v>
      </c>
      <c r="E843" s="10">
        <v>45474</v>
      </c>
      <c r="F843" s="10">
        <v>45504</v>
      </c>
      <c r="G843" s="9">
        <v>3786418</v>
      </c>
      <c r="H843" s="9" t="str">
        <f t="shared" si="83"/>
        <v>Closed</v>
      </c>
      <c r="I843" s="9" t="str">
        <f t="shared" si="84"/>
        <v>All dates received</v>
      </c>
      <c r="J843" s="9" t="s">
        <v>1653</v>
      </c>
      <c r="K843" s="9" t="s">
        <v>1808</v>
      </c>
      <c r="L843" s="11">
        <v>32</v>
      </c>
      <c r="M843" s="9" t="s">
        <v>1809</v>
      </c>
      <c r="N843" s="9"/>
      <c r="O843" s="9"/>
      <c r="P843" s="9"/>
      <c r="Q843" s="11"/>
      <c r="R843" s="9" t="s">
        <v>90</v>
      </c>
      <c r="S843" s="9" t="s">
        <v>312</v>
      </c>
      <c r="T843" s="12">
        <f>IF($H843="Cancelled","",IFERROR(((Q843+INDEX(Variables!$B$6:$D$6,IFERROR(MATCH(IF($B843="Robusta","Robusta",(IF($B843="","Arabica",$B843))&amp;" - "&amp;(IF($C843="","Commercial",$C843))),Variables!$B$1:$D$1,0),1)))*22.0462)*(L843/16.67),""))</f>
        <v>12306.725778044389</v>
      </c>
      <c r="U843" s="10">
        <v>45462</v>
      </c>
      <c r="V843" s="9" t="str">
        <f t="shared" si="86"/>
        <v>Sent</v>
      </c>
      <c r="W843" s="10">
        <v>45483</v>
      </c>
      <c r="X843" s="9" t="str">
        <f t="shared" si="82"/>
        <v>Approved</v>
      </c>
      <c r="Y843" s="10"/>
      <c r="Z843" s="10">
        <f>IF($H843="Cancelled","",IFERROR(IF(F843="","",F843-Variables!$B$13),""))</f>
        <v>45489</v>
      </c>
      <c r="AA843" s="11">
        <f>IF($H843="Cancelled","",IFERROR(IF(W843="","",(AVERAGE(E843:F843)-W843)-Variables!$B$14),""))</f>
        <v>-24</v>
      </c>
      <c r="AB843" s="10">
        <v>45492</v>
      </c>
      <c r="AC843" s="11">
        <f>IF($H843="Cancelled","",IFERROR(IF(AB843="","",IF(AND(W843="",Y843=""),"",IF(Y843&gt;W843,Y843+Variables!$B$15+Variables!$B$16+Variables!$B$17-AB843,W843+Variables!$B$16+Variables!$B$17-AB843))),""))</f>
        <v>-1</v>
      </c>
      <c r="AD843" s="9" t="s">
        <v>180</v>
      </c>
      <c r="AE843" s="9" t="s">
        <v>1805</v>
      </c>
      <c r="AF843" s="10"/>
      <c r="AG843" s="10"/>
      <c r="AH843" s="9"/>
      <c r="AI843" s="9" t="s">
        <v>1806</v>
      </c>
      <c r="AJ843" s="9" t="s">
        <v>1807</v>
      </c>
      <c r="AK843" s="10">
        <v>45516</v>
      </c>
      <c r="AL843" s="10">
        <v>45519</v>
      </c>
      <c r="AM843" s="10">
        <v>45533</v>
      </c>
      <c r="AN843" s="9" t="s">
        <v>1492</v>
      </c>
      <c r="AO843" s="9"/>
      <c r="AP843" s="11">
        <f>IF($H843="Cancelled","",IFERROR(IF(OR(AK843="",AB843=""),"",(AB843+Variables!$B$18-AK843)),""))</f>
        <v>-17</v>
      </c>
      <c r="AQ843" s="11">
        <f>IF($H843="Cancelled","",IFERROR(IF(OR(AM843="",AK843=""),"",(AK843+Variables!$B$19)-AM843),""))</f>
        <v>-12</v>
      </c>
      <c r="AR843" s="12">
        <f>IF($H843="Cancelled","",IFERROR(T843*INDEX(Variables!$B$7:$D$7,IFERROR(MATCH(IF($B843="Robusta","Robusta",(IF($B843="","Arabica",$B843))&amp;" - "&amp;(IF($C843="","Commercial",$C843))),Variables!$B$1:$D$1,0),1))*(AQ843/365),""))</f>
        <v>-26.089800097479905</v>
      </c>
      <c r="AS843" s="12">
        <f>IF($H843="Cancelled","",IFERROR((T843*INDEX(Variables!$B$7:$D$7,IFERROR(MATCH(IF($B843="Robusta","Robusta",(IF($B843="","Arabica",$B843))&amp;" - "&amp;(IF($C843="","Commercial",$C843))),Variables!$B$1:$D$1,0),1))*IFERROR(IF(W843="","",(AVERAGE(E843:F843)-W843)-Variables!$B$14),"")/365)+(L843/16.67*INDEX(Variables!$B$8:$D$8,IFERROR(MATCH(IF($B843="Robusta","Robusta",(IF($B843="","Arabica",$B843))&amp;" - "&amp;(IF($C843="","Commercial",$C843))),Variables!$B$1:$D$1,0),1))*IFERROR(IF(W843="","",(AVERAGE(E843:F843)-W843)-Variables!$B$14),""))+(T843*INDEX(Variables!$B$9:$D$9,IFERROR(MATCH(IF($B843="Robusta","Robusta",(IF($B843="","Arabica",$B843))&amp;" - "&amp;(IF($C843="","Commercial",$C843))),Variables!$B$1:$D$1,0),1))*IFERROR(IF(W843="","",(AVERAGE(E843:F843)-W843)-Variables!$B$14),"")/365),""))</f>
        <v>-91.252295941104805</v>
      </c>
      <c r="AT843" s="12">
        <f>IF($H843="Cancelled","",IFERROR((T843*INDEX(Variables!$B$7:$D$7,IFERROR(MATCH(IF($B843="Robusta","Robusta",(IF($B843="","Arabica",$B843))&amp;" - "&amp;(IF($C843="","Commercial",$C843))),Variables!$B$1:$D$1,0),1))*AC843/365)+(L843/16.67*INDEX(Variables!$B$8:$D$8,IFERROR(MATCH(IF($B843="Robusta","Robusta",(IF($B843="","Arabica",$B843))&amp;" - "&amp;(IF($C843="","Commercial",$C843))),Variables!$B$1:$D$1,0),1))*AC843)+(T843*INDEX(Variables!$B$9:$D$9,IFERROR(MATCH(IF($B843="Robusta","Robusta",(IF($B843="","Arabica",$B843))&amp;" - "&amp;(IF($C843="","Commercial",$C843))),Variables!$B$1:$D$1,0),1))*AC843/365),""))</f>
        <v>-3.8021789975460334</v>
      </c>
      <c r="AU843" s="12">
        <f>IF($H843="Cancelled","",IFERROR((T843*INDEX(Variables!$B$7:$D$7,IFERROR(MATCH(IF($B843="Robusta","Robusta",(IF($B843="","Arabica",$B843))&amp;" - "&amp;(IF($C843="","Commercial",$C843))),Variables!$B$1:$D$1,0),1))*AP843/365)+(L843/16.67*INDEX(Variables!$B$8:$D$8,IFERROR(MATCH(IF($B843="Robusta","Robusta",(IF($B843="","Arabica",$B843))&amp;" - "&amp;(IF($C843="","Commercial",$C843))),Variables!$B$1:$D$1,0),1))*AP843)+(T843*INDEX(Variables!$B$9:$D$9,IFERROR(MATCH(IF($B843="Robusta","Robusta",(IF($B843="","Arabica",$B843))&amp;" - "&amp;(IF($C843="","Commercial",$C843))),Variables!$B$1:$D$1,0),1))*AP843/365),""))</f>
        <v>-64.637042958282564</v>
      </c>
      <c r="AV843" s="11">
        <f t="shared" si="85"/>
        <v>-12</v>
      </c>
      <c r="AW843" s="12">
        <f>IF($H843="Cancelled","",IFERROR(IF(AV843="","",(T843*INDEX(Variables!$B$7:$D$7,IFERROR(MATCH(IF($B843="Robusta","Robusta",(IF($B843="","Arabica",$B843))&amp;" - "&amp;(IF($C843="","Commercial",$C843))),Variables!$B$1:$D$1,0),1))*(AV843/365))+(T843*INDEX(Variables!$B$9:$D$9,IFERROR(MATCH(IF($B843="Robusta","Robusta",(IF($B843="","Arabica",$B843))&amp;" - "&amp;(IF($C843="","Commercial",$C843))),Variables!$B$1:$D$1,0),1))*(AV843/365))+(INDEX(Variables!$B$8:$D$8,IFERROR(MATCH(IF($B843="Robusta","Robusta",(IF($B843="","Arabica",$B843))&amp;" - "&amp;(IF($C843="","Commercial",$C843))),Variables!$B$1:$D$1,0),1))*L843/16.67)),""))</f>
        <v>-24.826147970552395</v>
      </c>
      <c r="AX843" s="9"/>
      <c r="AY843" s="12"/>
      <c r="AZ843" s="10"/>
      <c r="BA843" s="9"/>
      <c r="BB843" s="10"/>
      <c r="BC843" s="9"/>
      <c r="BD843" s="9"/>
      <c r="BE843" s="9"/>
      <c r="BF843" s="9"/>
    </row>
    <row r="844" spans="1:58" x14ac:dyDescent="0.25">
      <c r="A844" s="9" t="s">
        <v>84</v>
      </c>
      <c r="B844" s="9" t="s">
        <v>85</v>
      </c>
      <c r="C844" s="9" t="s">
        <v>1486</v>
      </c>
      <c r="D844" s="10">
        <v>45450</v>
      </c>
      <c r="E844" s="10">
        <v>45474</v>
      </c>
      <c r="F844" s="10">
        <v>45504</v>
      </c>
      <c r="G844" s="9">
        <v>3786419</v>
      </c>
      <c r="H844" s="9" t="str">
        <f t="shared" si="83"/>
        <v>Closed</v>
      </c>
      <c r="I844" s="9" t="str">
        <f t="shared" si="84"/>
        <v>All dates received</v>
      </c>
      <c r="J844" s="9" t="s">
        <v>1653</v>
      </c>
      <c r="K844" s="9" t="s">
        <v>1810</v>
      </c>
      <c r="L844" s="11">
        <v>128</v>
      </c>
      <c r="M844" s="9" t="s">
        <v>1811</v>
      </c>
      <c r="N844" s="9"/>
      <c r="O844" s="9"/>
      <c r="P844" s="9"/>
      <c r="Q844" s="11"/>
      <c r="R844" s="9" t="s">
        <v>90</v>
      </c>
      <c r="S844" s="9" t="s">
        <v>312</v>
      </c>
      <c r="T844" s="12">
        <f>IF($H844="Cancelled","",IFERROR(((Q844+INDEX(Variables!$B$6:$D$6,IFERROR(MATCH(IF($B844="Robusta","Robusta",(IF($B844="","Arabica",$B844))&amp;" - "&amp;(IF($C844="","Commercial",$C844))),Variables!$B$1:$D$1,0),1)))*22.0462)*(L844/16.67),""))</f>
        <v>49226.903112177555</v>
      </c>
      <c r="U844" s="10">
        <v>45462</v>
      </c>
      <c r="V844" s="9" t="str">
        <f t="shared" si="86"/>
        <v>Sent</v>
      </c>
      <c r="W844" s="10">
        <v>45483</v>
      </c>
      <c r="X844" s="9" t="str">
        <f t="shared" si="82"/>
        <v>Approved</v>
      </c>
      <c r="Y844" s="10"/>
      <c r="Z844" s="10">
        <f>IF($H844="Cancelled","",IFERROR(IF(F844="","",F844-Variables!$B$13),""))</f>
        <v>45489</v>
      </c>
      <c r="AA844" s="11">
        <f>IF($H844="Cancelled","",IFERROR(IF(W844="","",(AVERAGE(E844:F844)-W844)-Variables!$B$14),""))</f>
        <v>-24</v>
      </c>
      <c r="AB844" s="10">
        <v>45492</v>
      </c>
      <c r="AC844" s="11">
        <f>IF($H844="Cancelled","",IFERROR(IF(AB844="","",IF(AND(W844="",Y844=""),"",IF(Y844&gt;W844,Y844+Variables!$B$15+Variables!$B$16+Variables!$B$17-AB844,W844+Variables!$B$16+Variables!$B$17-AB844))),""))</f>
        <v>-1</v>
      </c>
      <c r="AD844" s="9" t="s">
        <v>180</v>
      </c>
      <c r="AE844" s="9" t="s">
        <v>1805</v>
      </c>
      <c r="AF844" s="10"/>
      <c r="AG844" s="10"/>
      <c r="AH844" s="9"/>
      <c r="AI844" s="9" t="s">
        <v>1806</v>
      </c>
      <c r="AJ844" s="9" t="s">
        <v>1807</v>
      </c>
      <c r="AK844" s="10">
        <v>45516</v>
      </c>
      <c r="AL844" s="10">
        <v>45519</v>
      </c>
      <c r="AM844" s="10">
        <v>45533</v>
      </c>
      <c r="AN844" s="9" t="s">
        <v>1492</v>
      </c>
      <c r="AO844" s="9"/>
      <c r="AP844" s="11">
        <f>IF($H844="Cancelled","",IFERROR(IF(OR(AK844="",AB844=""),"",(AB844+Variables!$B$18-AK844)),""))</f>
        <v>-17</v>
      </c>
      <c r="AQ844" s="11">
        <f>IF($H844="Cancelled","",IFERROR(IF(OR(AM844="",AK844=""),"",(AK844+Variables!$B$19)-AM844),""))</f>
        <v>-12</v>
      </c>
      <c r="AR844" s="12">
        <f>IF($H844="Cancelled","",IFERROR(T844*INDEX(Variables!$B$7:$D$7,IFERROR(MATCH(IF($B844="Robusta","Robusta",(IF($B844="","Arabica",$B844))&amp;" - "&amp;(IF($C844="","Commercial",$C844))),Variables!$B$1:$D$1,0),1))*(AQ844/365),""))</f>
        <v>-104.35920038991962</v>
      </c>
      <c r="AS844" s="12">
        <f>IF($H844="Cancelled","",IFERROR((T844*INDEX(Variables!$B$7:$D$7,IFERROR(MATCH(IF($B844="Robusta","Robusta",(IF($B844="","Arabica",$B844))&amp;" - "&amp;(IF($C844="","Commercial",$C844))),Variables!$B$1:$D$1,0),1))*IFERROR(IF(W844="","",(AVERAGE(E844:F844)-W844)-Variables!$B$14),"")/365)+(L844/16.67*INDEX(Variables!$B$8:$D$8,IFERROR(MATCH(IF($B844="Robusta","Robusta",(IF($B844="","Arabica",$B844))&amp;" - "&amp;(IF($C844="","Commercial",$C844))),Variables!$B$1:$D$1,0),1))*IFERROR(IF(W844="","",(AVERAGE(E844:F844)-W844)-Variables!$B$14),""))+(T844*INDEX(Variables!$B$9:$D$9,IFERROR(MATCH(IF($B844="Robusta","Robusta",(IF($B844="","Arabica",$B844))&amp;" - "&amp;(IF($C844="","Commercial",$C844))),Variables!$B$1:$D$1,0),1))*IFERROR(IF(W844="","",(AVERAGE(E844:F844)-W844)-Variables!$B$14),"")/365),""))</f>
        <v>-365.00918376441922</v>
      </c>
      <c r="AT844" s="12">
        <f>IF($H844="Cancelled","",IFERROR((T844*INDEX(Variables!$B$7:$D$7,IFERROR(MATCH(IF($B844="Robusta","Robusta",(IF($B844="","Arabica",$B844))&amp;" - "&amp;(IF($C844="","Commercial",$C844))),Variables!$B$1:$D$1,0),1))*AC844/365)+(L844/16.67*INDEX(Variables!$B$8:$D$8,IFERROR(MATCH(IF($B844="Robusta","Robusta",(IF($B844="","Arabica",$B844))&amp;" - "&amp;(IF($C844="","Commercial",$C844))),Variables!$B$1:$D$1,0),1))*AC844)+(T844*INDEX(Variables!$B$9:$D$9,IFERROR(MATCH(IF($B844="Robusta","Robusta",(IF($B844="","Arabica",$B844))&amp;" - "&amp;(IF($C844="","Commercial",$C844))),Variables!$B$1:$D$1,0),1))*AC844/365),""))</f>
        <v>-15.208715990184134</v>
      </c>
      <c r="AU844" s="12">
        <f>IF($H844="Cancelled","",IFERROR((T844*INDEX(Variables!$B$7:$D$7,IFERROR(MATCH(IF($B844="Robusta","Robusta",(IF($B844="","Arabica",$B844))&amp;" - "&amp;(IF($C844="","Commercial",$C844))),Variables!$B$1:$D$1,0),1))*AP844/365)+(L844/16.67*INDEX(Variables!$B$8:$D$8,IFERROR(MATCH(IF($B844="Robusta","Robusta",(IF($B844="","Arabica",$B844))&amp;" - "&amp;(IF($C844="","Commercial",$C844))),Variables!$B$1:$D$1,0),1))*AP844)+(T844*INDEX(Variables!$B$9:$D$9,IFERROR(MATCH(IF($B844="Robusta","Robusta",(IF($B844="","Arabica",$B844))&amp;" - "&amp;(IF($C844="","Commercial",$C844))),Variables!$B$1:$D$1,0),1))*AP844/365),""))</f>
        <v>-258.54817183313025</v>
      </c>
      <c r="AV844" s="11">
        <f t="shared" si="85"/>
        <v>-12</v>
      </c>
      <c r="AW844" s="12">
        <f>IF($H844="Cancelled","",IFERROR(IF(AV844="","",(T844*INDEX(Variables!$B$7:$D$7,IFERROR(MATCH(IF($B844="Robusta","Robusta",(IF($B844="","Arabica",$B844))&amp;" - "&amp;(IF($C844="","Commercial",$C844))),Variables!$B$1:$D$1,0),1))*(AV844/365))+(T844*INDEX(Variables!$B$9:$D$9,IFERROR(MATCH(IF($B844="Robusta","Robusta",(IF($B844="","Arabica",$B844))&amp;" - "&amp;(IF($C844="","Commercial",$C844))),Variables!$B$1:$D$1,0),1))*(AV844/365))+(INDEX(Variables!$B$8:$D$8,IFERROR(MATCH(IF($B844="Robusta","Robusta",(IF($B844="","Arabica",$B844))&amp;" - "&amp;(IF($C844="","Commercial",$C844))),Variables!$B$1:$D$1,0),1))*L844/16.67)),""))</f>
        <v>-99.304591882209579</v>
      </c>
      <c r="AX844" s="9"/>
      <c r="AY844" s="12"/>
      <c r="AZ844" s="10"/>
      <c r="BA844" s="9"/>
      <c r="BB844" s="10"/>
      <c r="BC844" s="9"/>
      <c r="BD844" s="9"/>
      <c r="BE844" s="9"/>
      <c r="BF844" s="9"/>
    </row>
    <row r="845" spans="1:58" x14ac:dyDescent="0.25">
      <c r="A845" s="9" t="s">
        <v>84</v>
      </c>
      <c r="B845" s="9" t="s">
        <v>85</v>
      </c>
      <c r="C845" s="9" t="s">
        <v>1486</v>
      </c>
      <c r="D845" s="10">
        <v>45450</v>
      </c>
      <c r="E845" s="10">
        <v>45474</v>
      </c>
      <c r="F845" s="10">
        <v>45504</v>
      </c>
      <c r="G845" s="9">
        <v>3786420</v>
      </c>
      <c r="H845" s="9" t="str">
        <f t="shared" si="83"/>
        <v>Closed</v>
      </c>
      <c r="I845" s="9" t="str">
        <f t="shared" si="84"/>
        <v>All dates received</v>
      </c>
      <c r="J845" s="9" t="s">
        <v>1653</v>
      </c>
      <c r="K845" s="9" t="s">
        <v>1812</v>
      </c>
      <c r="L845" s="11">
        <v>48</v>
      </c>
      <c r="M845" s="9" t="s">
        <v>1813</v>
      </c>
      <c r="N845" s="9"/>
      <c r="O845" s="9"/>
      <c r="P845" s="9"/>
      <c r="Q845" s="11"/>
      <c r="R845" s="9" t="s">
        <v>90</v>
      </c>
      <c r="S845" s="9" t="s">
        <v>312</v>
      </c>
      <c r="T845" s="12">
        <f>IF($H845="Cancelled","",IFERROR(((Q845+INDEX(Variables!$B$6:$D$6,IFERROR(MATCH(IF($B845="Robusta","Robusta",(IF($B845="","Arabica",$B845))&amp;" - "&amp;(IF($C845="","Commercial",$C845))),Variables!$B$1:$D$1,0),1)))*22.0462)*(L845/16.67),""))</f>
        <v>18460.088667066582</v>
      </c>
      <c r="U845" s="10">
        <v>45462</v>
      </c>
      <c r="V845" s="9" t="str">
        <f t="shared" si="86"/>
        <v>Sent</v>
      </c>
      <c r="W845" s="10">
        <v>45483</v>
      </c>
      <c r="X845" s="9" t="str">
        <f t="shared" si="82"/>
        <v>Approved</v>
      </c>
      <c r="Y845" s="10"/>
      <c r="Z845" s="10">
        <f>IF($H845="Cancelled","",IFERROR(IF(F845="","",F845-Variables!$B$13),""))</f>
        <v>45489</v>
      </c>
      <c r="AA845" s="11">
        <f>IF($H845="Cancelled","",IFERROR(IF(W845="","",(AVERAGE(E845:F845)-W845)-Variables!$B$14),""))</f>
        <v>-24</v>
      </c>
      <c r="AB845" s="10">
        <v>45492</v>
      </c>
      <c r="AC845" s="11">
        <f>IF($H845="Cancelled","",IFERROR(IF(AB845="","",IF(AND(W845="",Y845=""),"",IF(Y845&gt;W845,Y845+Variables!$B$15+Variables!$B$16+Variables!$B$17-AB845,W845+Variables!$B$16+Variables!$B$17-AB845))),""))</f>
        <v>-1</v>
      </c>
      <c r="AD845" s="9" t="s">
        <v>180</v>
      </c>
      <c r="AE845" s="9" t="s">
        <v>1805</v>
      </c>
      <c r="AF845" s="10"/>
      <c r="AG845" s="10"/>
      <c r="AH845" s="9"/>
      <c r="AI845" s="9" t="s">
        <v>1806</v>
      </c>
      <c r="AJ845" s="9" t="s">
        <v>1807</v>
      </c>
      <c r="AK845" s="10">
        <v>45516</v>
      </c>
      <c r="AL845" s="10">
        <v>45519</v>
      </c>
      <c r="AM845" s="10">
        <v>45533</v>
      </c>
      <c r="AN845" s="9" t="s">
        <v>1492</v>
      </c>
      <c r="AO845" s="9"/>
      <c r="AP845" s="11">
        <f>IF($H845="Cancelled","",IFERROR(IF(OR(AK845="",AB845=""),"",(AB845+Variables!$B$18-AK845)),""))</f>
        <v>-17</v>
      </c>
      <c r="AQ845" s="11">
        <f>IF($H845="Cancelled","",IFERROR(IF(OR(AM845="",AK845=""),"",(AK845+Variables!$B$19)-AM845),""))</f>
        <v>-12</v>
      </c>
      <c r="AR845" s="12">
        <f>IF($H845="Cancelled","",IFERROR(T845*INDEX(Variables!$B$7:$D$7,IFERROR(MATCH(IF($B845="Robusta","Robusta",(IF($B845="","Arabica",$B845))&amp;" - "&amp;(IF($C845="","Commercial",$C845))),Variables!$B$1:$D$1,0),1))*(AQ845/365),""))</f>
        <v>-39.134700146219856</v>
      </c>
      <c r="AS845" s="12">
        <f>IF($H845="Cancelled","",IFERROR((T845*INDEX(Variables!$B$7:$D$7,IFERROR(MATCH(IF($B845="Robusta","Robusta",(IF($B845="","Arabica",$B845))&amp;" - "&amp;(IF($C845="","Commercial",$C845))),Variables!$B$1:$D$1,0),1))*IFERROR(IF(W845="","",(AVERAGE(E845:F845)-W845)-Variables!$B$14),"")/365)+(L845/16.67*INDEX(Variables!$B$8:$D$8,IFERROR(MATCH(IF($B845="Robusta","Robusta",(IF($B845="","Arabica",$B845))&amp;" - "&amp;(IF($C845="","Commercial",$C845))),Variables!$B$1:$D$1,0),1))*IFERROR(IF(W845="","",(AVERAGE(E845:F845)-W845)-Variables!$B$14),""))+(T845*INDEX(Variables!$B$9:$D$9,IFERROR(MATCH(IF($B845="Robusta","Robusta",(IF($B845="","Arabica",$B845))&amp;" - "&amp;(IF($C845="","Commercial",$C845))),Variables!$B$1:$D$1,0),1))*IFERROR(IF(W845="","",(AVERAGE(E845:F845)-W845)-Variables!$B$14),"")/365),""))</f>
        <v>-136.87844391165717</v>
      </c>
      <c r="AT845" s="12">
        <f>IF($H845="Cancelled","",IFERROR((T845*INDEX(Variables!$B$7:$D$7,IFERROR(MATCH(IF($B845="Robusta","Robusta",(IF($B845="","Arabica",$B845))&amp;" - "&amp;(IF($C845="","Commercial",$C845))),Variables!$B$1:$D$1,0),1))*AC845/365)+(L845/16.67*INDEX(Variables!$B$8:$D$8,IFERROR(MATCH(IF($B845="Robusta","Robusta",(IF($B845="","Arabica",$B845))&amp;" - "&amp;(IF($C845="","Commercial",$C845))),Variables!$B$1:$D$1,0),1))*AC845)+(T845*INDEX(Variables!$B$9:$D$9,IFERROR(MATCH(IF($B845="Robusta","Robusta",(IF($B845="","Arabica",$B845))&amp;" - "&amp;(IF($C845="","Commercial",$C845))),Variables!$B$1:$D$1,0),1))*AC845/365),""))</f>
        <v>-5.7032684963190494</v>
      </c>
      <c r="AU845" s="12">
        <f>IF($H845="Cancelled","",IFERROR((T845*INDEX(Variables!$B$7:$D$7,IFERROR(MATCH(IF($B845="Robusta","Robusta",(IF($B845="","Arabica",$B845))&amp;" - "&amp;(IF($C845="","Commercial",$C845))),Variables!$B$1:$D$1,0),1))*AP845/365)+(L845/16.67*INDEX(Variables!$B$8:$D$8,IFERROR(MATCH(IF($B845="Robusta","Robusta",(IF($B845="","Arabica",$B845))&amp;" - "&amp;(IF($C845="","Commercial",$C845))),Variables!$B$1:$D$1,0),1))*AP845)+(T845*INDEX(Variables!$B$9:$D$9,IFERROR(MATCH(IF($B845="Robusta","Robusta",(IF($B845="","Arabica",$B845))&amp;" - "&amp;(IF($C845="","Commercial",$C845))),Variables!$B$1:$D$1,0),1))*AP845/365),""))</f>
        <v>-96.955564437423845</v>
      </c>
      <c r="AV845" s="11">
        <f t="shared" si="85"/>
        <v>-12</v>
      </c>
      <c r="AW845" s="12">
        <f>IF($H845="Cancelled","",IFERROR(IF(AV845="","",(T845*INDEX(Variables!$B$7:$D$7,IFERROR(MATCH(IF($B845="Robusta","Robusta",(IF($B845="","Arabica",$B845))&amp;" - "&amp;(IF($C845="","Commercial",$C845))),Variables!$B$1:$D$1,0),1))*(AV845/365))+(T845*INDEX(Variables!$B$9:$D$9,IFERROR(MATCH(IF($B845="Robusta","Robusta",(IF($B845="","Arabica",$B845))&amp;" - "&amp;(IF($C845="","Commercial",$C845))),Variables!$B$1:$D$1,0),1))*(AV845/365))+(INDEX(Variables!$B$8:$D$8,IFERROR(MATCH(IF($B845="Robusta","Robusta",(IF($B845="","Arabica",$B845))&amp;" - "&amp;(IF($C845="","Commercial",$C845))),Variables!$B$1:$D$1,0),1))*L845/16.67)),""))</f>
        <v>-37.239221955828597</v>
      </c>
      <c r="AX845" s="9"/>
      <c r="AY845" s="12"/>
      <c r="AZ845" s="10"/>
      <c r="BA845" s="9"/>
      <c r="BB845" s="10"/>
      <c r="BC845" s="9"/>
      <c r="BD845" s="9"/>
      <c r="BE845" s="9"/>
      <c r="BF845" s="9"/>
    </row>
    <row r="846" spans="1:58" x14ac:dyDescent="0.25">
      <c r="A846" s="9" t="s">
        <v>84</v>
      </c>
      <c r="B846" s="9" t="s">
        <v>85</v>
      </c>
      <c r="C846" s="9" t="s">
        <v>1486</v>
      </c>
      <c r="D846" s="10">
        <v>45450</v>
      </c>
      <c r="E846" s="10">
        <v>45474</v>
      </c>
      <c r="F846" s="10">
        <v>45504</v>
      </c>
      <c r="G846" s="9">
        <v>3786421</v>
      </c>
      <c r="H846" s="9" t="str">
        <f t="shared" si="83"/>
        <v>Closed</v>
      </c>
      <c r="I846" s="9" t="str">
        <f t="shared" si="84"/>
        <v>All dates received</v>
      </c>
      <c r="J846" s="9" t="s">
        <v>1653</v>
      </c>
      <c r="K846" s="9" t="s">
        <v>1814</v>
      </c>
      <c r="L846" s="11">
        <v>96</v>
      </c>
      <c r="M846" s="9" t="s">
        <v>1815</v>
      </c>
      <c r="N846" s="9"/>
      <c r="O846" s="9"/>
      <c r="P846" s="9"/>
      <c r="Q846" s="11"/>
      <c r="R846" s="9" t="s">
        <v>90</v>
      </c>
      <c r="S846" s="9" t="s">
        <v>312</v>
      </c>
      <c r="T846" s="12">
        <f>IF($H846="Cancelled","",IFERROR(((Q846+INDEX(Variables!$B$6:$D$6,IFERROR(MATCH(IF($B846="Robusta","Robusta",(IF($B846="","Arabica",$B846))&amp;" - "&amp;(IF($C846="","Commercial",$C846))),Variables!$B$1:$D$1,0),1)))*22.0462)*(L846/16.67),""))</f>
        <v>36920.177334133165</v>
      </c>
      <c r="U846" s="10">
        <v>45462</v>
      </c>
      <c r="V846" s="9" t="str">
        <f t="shared" si="86"/>
        <v>Sent</v>
      </c>
      <c r="W846" s="10">
        <v>45483</v>
      </c>
      <c r="X846" s="9" t="str">
        <f t="shared" si="82"/>
        <v>Approved</v>
      </c>
      <c r="Y846" s="10"/>
      <c r="Z846" s="10">
        <f>IF($H846="Cancelled","",IFERROR(IF(F846="","",F846-Variables!$B$13),""))</f>
        <v>45489</v>
      </c>
      <c r="AA846" s="11">
        <f>IF($H846="Cancelled","",IFERROR(IF(W846="","",(AVERAGE(E846:F846)-W846)-Variables!$B$14),""))</f>
        <v>-24</v>
      </c>
      <c r="AB846" s="10">
        <v>45492</v>
      </c>
      <c r="AC846" s="11">
        <f>IF($H846="Cancelled","",IFERROR(IF(AB846="","",IF(AND(W846="",Y846=""),"",IF(Y846&gt;W846,Y846+Variables!$B$15+Variables!$B$16+Variables!$B$17-AB846,W846+Variables!$B$16+Variables!$B$17-AB846))),""))</f>
        <v>-1</v>
      </c>
      <c r="AD846" s="9" t="s">
        <v>180</v>
      </c>
      <c r="AE846" s="9" t="s">
        <v>1805</v>
      </c>
      <c r="AF846" s="10"/>
      <c r="AG846" s="10"/>
      <c r="AH846" s="9"/>
      <c r="AI846" s="9" t="s">
        <v>1806</v>
      </c>
      <c r="AJ846" s="9" t="s">
        <v>1807</v>
      </c>
      <c r="AK846" s="10">
        <v>45516</v>
      </c>
      <c r="AL846" s="10">
        <v>45519</v>
      </c>
      <c r="AM846" s="10">
        <v>45533</v>
      </c>
      <c r="AN846" s="9" t="s">
        <v>1492</v>
      </c>
      <c r="AO846" s="9"/>
      <c r="AP846" s="11">
        <f>IF($H846="Cancelled","",IFERROR(IF(OR(AK846="",AB846=""),"",(AB846+Variables!$B$18-AK846)),""))</f>
        <v>-17</v>
      </c>
      <c r="AQ846" s="11">
        <f>IF($H846="Cancelled","",IFERROR(IF(OR(AM846="",AK846=""),"",(AK846+Variables!$B$19)-AM846),""))</f>
        <v>-12</v>
      </c>
      <c r="AR846" s="12">
        <f>IF($H846="Cancelled","",IFERROR(T846*INDEX(Variables!$B$7:$D$7,IFERROR(MATCH(IF($B846="Robusta","Robusta",(IF($B846="","Arabica",$B846))&amp;" - "&amp;(IF($C846="","Commercial",$C846))),Variables!$B$1:$D$1,0),1))*(AQ846/365),""))</f>
        <v>-78.269400292439713</v>
      </c>
      <c r="AS846" s="12">
        <f>IF($H846="Cancelled","",IFERROR((T846*INDEX(Variables!$B$7:$D$7,IFERROR(MATCH(IF($B846="Robusta","Robusta",(IF($B846="","Arabica",$B846))&amp;" - "&amp;(IF($C846="","Commercial",$C846))),Variables!$B$1:$D$1,0),1))*IFERROR(IF(W846="","",(AVERAGE(E846:F846)-W846)-Variables!$B$14),"")/365)+(L846/16.67*INDEX(Variables!$B$8:$D$8,IFERROR(MATCH(IF($B846="Robusta","Robusta",(IF($B846="","Arabica",$B846))&amp;" - "&amp;(IF($C846="","Commercial",$C846))),Variables!$B$1:$D$1,0),1))*IFERROR(IF(W846="","",(AVERAGE(E846:F846)-W846)-Variables!$B$14),""))+(T846*INDEX(Variables!$B$9:$D$9,IFERROR(MATCH(IF($B846="Robusta","Robusta",(IF($B846="","Arabica",$B846))&amp;" - "&amp;(IF($C846="","Commercial",$C846))),Variables!$B$1:$D$1,0),1))*IFERROR(IF(W846="","",(AVERAGE(E846:F846)-W846)-Variables!$B$14),"")/365),""))</f>
        <v>-273.75688782331434</v>
      </c>
      <c r="AT846" s="12">
        <f>IF($H846="Cancelled","",IFERROR((T846*INDEX(Variables!$B$7:$D$7,IFERROR(MATCH(IF($B846="Robusta","Robusta",(IF($B846="","Arabica",$B846))&amp;" - "&amp;(IF($C846="","Commercial",$C846))),Variables!$B$1:$D$1,0),1))*AC846/365)+(L846/16.67*INDEX(Variables!$B$8:$D$8,IFERROR(MATCH(IF($B846="Robusta","Robusta",(IF($B846="","Arabica",$B846))&amp;" - "&amp;(IF($C846="","Commercial",$C846))),Variables!$B$1:$D$1,0),1))*AC846)+(T846*INDEX(Variables!$B$9:$D$9,IFERROR(MATCH(IF($B846="Robusta","Robusta",(IF($B846="","Arabica",$B846))&amp;" - "&amp;(IF($C846="","Commercial",$C846))),Variables!$B$1:$D$1,0),1))*AC846/365),""))</f>
        <v>-11.406536992638099</v>
      </c>
      <c r="AU846" s="12">
        <f>IF($H846="Cancelled","",IFERROR((T846*INDEX(Variables!$B$7:$D$7,IFERROR(MATCH(IF($B846="Robusta","Robusta",(IF($B846="","Arabica",$B846))&amp;" - "&amp;(IF($C846="","Commercial",$C846))),Variables!$B$1:$D$1,0),1))*AP846/365)+(L846/16.67*INDEX(Variables!$B$8:$D$8,IFERROR(MATCH(IF($B846="Robusta","Robusta",(IF($B846="","Arabica",$B846))&amp;" - "&amp;(IF($C846="","Commercial",$C846))),Variables!$B$1:$D$1,0),1))*AP846)+(T846*INDEX(Variables!$B$9:$D$9,IFERROR(MATCH(IF($B846="Robusta","Robusta",(IF($B846="","Arabica",$B846))&amp;" - "&amp;(IF($C846="","Commercial",$C846))),Variables!$B$1:$D$1,0),1))*AP846/365),""))</f>
        <v>-193.91112887484769</v>
      </c>
      <c r="AV846" s="11">
        <f t="shared" si="85"/>
        <v>-12</v>
      </c>
      <c r="AW846" s="12">
        <f>IF($H846="Cancelled","",IFERROR(IF(AV846="","",(T846*INDEX(Variables!$B$7:$D$7,IFERROR(MATCH(IF($B846="Robusta","Robusta",(IF($B846="","Arabica",$B846))&amp;" - "&amp;(IF($C846="","Commercial",$C846))),Variables!$B$1:$D$1,0),1))*(AV846/365))+(T846*INDEX(Variables!$B$9:$D$9,IFERROR(MATCH(IF($B846="Robusta","Robusta",(IF($B846="","Arabica",$B846))&amp;" - "&amp;(IF($C846="","Commercial",$C846))),Variables!$B$1:$D$1,0),1))*(AV846/365))+(INDEX(Variables!$B$8:$D$8,IFERROR(MATCH(IF($B846="Robusta","Robusta",(IF($B846="","Arabica",$B846))&amp;" - "&amp;(IF($C846="","Commercial",$C846))),Variables!$B$1:$D$1,0),1))*L846/16.67)),""))</f>
        <v>-74.478443911657195</v>
      </c>
      <c r="AX846" s="9"/>
      <c r="AY846" s="12"/>
      <c r="AZ846" s="10"/>
      <c r="BA846" s="9"/>
      <c r="BB846" s="10"/>
      <c r="BC846" s="9"/>
      <c r="BD846" s="9"/>
      <c r="BE846" s="9"/>
      <c r="BF846" s="9"/>
    </row>
    <row r="847" spans="1:58" x14ac:dyDescent="0.25">
      <c r="A847" s="9" t="s">
        <v>84</v>
      </c>
      <c r="B847" s="9" t="s">
        <v>85</v>
      </c>
      <c r="C847" s="9" t="s">
        <v>1486</v>
      </c>
      <c r="D847" s="10">
        <v>45450</v>
      </c>
      <c r="E847" s="10">
        <v>45474</v>
      </c>
      <c r="F847" s="10">
        <v>45504</v>
      </c>
      <c r="G847" s="9">
        <v>3786422</v>
      </c>
      <c r="H847" s="9" t="str">
        <f t="shared" si="83"/>
        <v>Closed</v>
      </c>
      <c r="I847" s="9" t="str">
        <f t="shared" si="84"/>
        <v>All dates received</v>
      </c>
      <c r="J847" s="9" t="s">
        <v>1653</v>
      </c>
      <c r="K847" s="9" t="s">
        <v>1816</v>
      </c>
      <c r="L847" s="11">
        <v>15</v>
      </c>
      <c r="M847" s="9" t="s">
        <v>1817</v>
      </c>
      <c r="N847" s="9"/>
      <c r="O847" s="9"/>
      <c r="P847" s="9"/>
      <c r="Q847" s="11"/>
      <c r="R847" s="9" t="s">
        <v>195</v>
      </c>
      <c r="S847" s="9" t="s">
        <v>312</v>
      </c>
      <c r="T847" s="12">
        <f>IF($H847="Cancelled","",IFERROR(((Q847+INDEX(Variables!$B$6:$D$6,IFERROR(MATCH(IF($B847="Robusta","Robusta",(IF($B847="","Arabica",$B847))&amp;" - "&amp;(IF($C847="","Commercial",$C847))),Variables!$B$1:$D$1,0),1)))*22.0462)*(L847/16.67),""))</f>
        <v>5768.7777084583076</v>
      </c>
      <c r="U847" s="10"/>
      <c r="V847" s="9" t="str">
        <f t="shared" si="86"/>
        <v/>
      </c>
      <c r="W847" s="10">
        <v>45458</v>
      </c>
      <c r="X847" s="9" t="str">
        <f t="shared" si="82"/>
        <v>Approved</v>
      </c>
      <c r="Y847" s="10">
        <v>45458</v>
      </c>
      <c r="Z847" s="10">
        <f>IF($H847="Cancelled","",IFERROR(IF(F847="","",F847-Variables!$B$13),""))</f>
        <v>45489</v>
      </c>
      <c r="AA847" s="11">
        <f>IF($H847="Cancelled","",IFERROR(IF(W847="","",(AVERAGE(E847:F847)-W847)-Variables!$B$14),""))</f>
        <v>1</v>
      </c>
      <c r="AB847" s="10">
        <v>45492</v>
      </c>
      <c r="AC847" s="11">
        <f>IF($H847="Cancelled","",IFERROR(IF(AB847="","",IF(AND(W847="",Y847=""),"",IF(Y847&gt;W847,Y847+Variables!$B$15+Variables!$B$16+Variables!$B$17-AB847,W847+Variables!$B$16+Variables!$B$17-AB847))),""))</f>
        <v>-26</v>
      </c>
      <c r="AD847" s="9" t="s">
        <v>180</v>
      </c>
      <c r="AE847" s="9" t="s">
        <v>1805</v>
      </c>
      <c r="AF847" s="10"/>
      <c r="AG847" s="10"/>
      <c r="AH847" s="9"/>
      <c r="AI847" s="9" t="s">
        <v>1806</v>
      </c>
      <c r="AJ847" s="9" t="s">
        <v>1807</v>
      </c>
      <c r="AK847" s="10">
        <v>45516</v>
      </c>
      <c r="AL847" s="10">
        <v>45519</v>
      </c>
      <c r="AM847" s="10">
        <v>45533</v>
      </c>
      <c r="AN847" s="9" t="s">
        <v>1492</v>
      </c>
      <c r="AO847" s="9"/>
      <c r="AP847" s="11">
        <f>IF($H847="Cancelled","",IFERROR(IF(OR(AK847="",AB847=""),"",(AB847+Variables!$B$18-AK847)),""))</f>
        <v>-17</v>
      </c>
      <c r="AQ847" s="11">
        <f>IF($H847="Cancelled","",IFERROR(IF(OR(AM847="",AK847=""),"",(AK847+Variables!$B$19)-AM847),""))</f>
        <v>-12</v>
      </c>
      <c r="AR847" s="12">
        <f>IF($H847="Cancelled","",IFERROR(T847*INDEX(Variables!$B$7:$D$7,IFERROR(MATCH(IF($B847="Robusta","Robusta",(IF($B847="","Arabica",$B847))&amp;" - "&amp;(IF($C847="","Commercial",$C847))),Variables!$B$1:$D$1,0),1))*(AQ847/365),""))</f>
        <v>-12.229593795693708</v>
      </c>
      <c r="AS847" s="12">
        <f>IF($H847="Cancelled","",IFERROR((T847*INDEX(Variables!$B$7:$D$7,IFERROR(MATCH(IF($B847="Robusta","Robusta",(IF($B847="","Arabica",$B847))&amp;" - "&amp;(IF($C847="","Commercial",$C847))),Variables!$B$1:$D$1,0),1))*IFERROR(IF(W847="","",(AVERAGE(E847:F847)-W847)-Variables!$B$14),"")/365)+(L847/16.67*INDEX(Variables!$B$8:$D$8,IFERROR(MATCH(IF($B847="Robusta","Robusta",(IF($B847="","Arabica",$B847))&amp;" - "&amp;(IF($C847="","Commercial",$C847))),Variables!$B$1:$D$1,0),1))*IFERROR(IF(W847="","",(AVERAGE(E847:F847)-W847)-Variables!$B$14),""))+(T847*INDEX(Variables!$B$9:$D$9,IFERROR(MATCH(IF($B847="Robusta","Robusta",(IF($B847="","Arabica",$B847))&amp;" - "&amp;(IF($C847="","Commercial",$C847))),Variables!$B$1:$D$1,0),1))*IFERROR(IF(W847="","",(AVERAGE(E847:F847)-W847)-Variables!$B$14),"")/365),""))</f>
        <v>1.7822714050997033</v>
      </c>
      <c r="AT847" s="12">
        <f>IF($H847="Cancelled","",IFERROR((T847*INDEX(Variables!$B$7:$D$7,IFERROR(MATCH(IF($B847="Robusta","Robusta",(IF($B847="","Arabica",$B847))&amp;" - "&amp;(IF($C847="","Commercial",$C847))),Variables!$B$1:$D$1,0),1))*AC847/365)+(L847/16.67*INDEX(Variables!$B$8:$D$8,IFERROR(MATCH(IF($B847="Robusta","Robusta",(IF($B847="","Arabica",$B847))&amp;" - "&amp;(IF($C847="","Commercial",$C847))),Variables!$B$1:$D$1,0),1))*AC847)+(T847*INDEX(Variables!$B$9:$D$9,IFERROR(MATCH(IF($B847="Robusta","Robusta",(IF($B847="","Arabica",$B847))&amp;" - "&amp;(IF($C847="","Commercial",$C847))),Variables!$B$1:$D$1,0),1))*AC847/365),""))</f>
        <v>-46.339056532592288</v>
      </c>
      <c r="AU847" s="12">
        <f>IF($H847="Cancelled","",IFERROR((T847*INDEX(Variables!$B$7:$D$7,IFERROR(MATCH(IF($B847="Robusta","Robusta",(IF($B847="","Arabica",$B847))&amp;" - "&amp;(IF($C847="","Commercial",$C847))),Variables!$B$1:$D$1,0),1))*AP847/365)+(L847/16.67*INDEX(Variables!$B$8:$D$8,IFERROR(MATCH(IF($B847="Robusta","Robusta",(IF($B847="","Arabica",$B847))&amp;" - "&amp;(IF($C847="","Commercial",$C847))),Variables!$B$1:$D$1,0),1))*AP847)+(T847*INDEX(Variables!$B$9:$D$9,IFERROR(MATCH(IF($B847="Robusta","Robusta",(IF($B847="","Arabica",$B847))&amp;" - "&amp;(IF($C847="","Commercial",$C847))),Variables!$B$1:$D$1,0),1))*AP847/365),""))</f>
        <v>-30.298613886694955</v>
      </c>
      <c r="AV847" s="11">
        <f t="shared" si="85"/>
        <v>-12</v>
      </c>
      <c r="AW847" s="12">
        <f>IF($H847="Cancelled","",IFERROR(IF(AV847="","",(T847*INDEX(Variables!$B$7:$D$7,IFERROR(MATCH(IF($B847="Robusta","Robusta",(IF($B847="","Arabica",$B847))&amp;" - "&amp;(IF($C847="","Commercial",$C847))),Variables!$B$1:$D$1,0),1))*(AV847/365))+(T847*INDEX(Variables!$B$9:$D$9,IFERROR(MATCH(IF($B847="Robusta","Robusta",(IF($B847="","Arabica",$B847))&amp;" - "&amp;(IF($C847="","Commercial",$C847))),Variables!$B$1:$D$1,0),1))*(AV847/365))+(INDEX(Variables!$B$8:$D$8,IFERROR(MATCH(IF($B847="Robusta","Robusta",(IF($B847="","Arabica",$B847))&amp;" - "&amp;(IF($C847="","Commercial",$C847))),Variables!$B$1:$D$1,0),1))*L847/16.67)),""))</f>
        <v>-11.637256861196438</v>
      </c>
      <c r="AX847" s="9"/>
      <c r="AY847" s="12"/>
      <c r="AZ847" s="10"/>
      <c r="BA847" s="9"/>
      <c r="BB847" s="10"/>
      <c r="BC847" s="9"/>
      <c r="BD847" s="9"/>
      <c r="BE847" s="9"/>
      <c r="BF847" s="9"/>
    </row>
    <row r="848" spans="1:58" x14ac:dyDescent="0.25">
      <c r="A848" s="9" t="s">
        <v>84</v>
      </c>
      <c r="B848" s="9" t="s">
        <v>85</v>
      </c>
      <c r="C848" s="9" t="s">
        <v>1486</v>
      </c>
      <c r="D848" s="10">
        <v>45455</v>
      </c>
      <c r="E848" s="10">
        <v>45474</v>
      </c>
      <c r="F848" s="10">
        <v>45504</v>
      </c>
      <c r="G848" s="9">
        <v>3786428</v>
      </c>
      <c r="H848" s="9" t="str">
        <f t="shared" si="83"/>
        <v>Closed</v>
      </c>
      <c r="I848" s="9" t="str">
        <f t="shared" si="84"/>
        <v>All dates received</v>
      </c>
      <c r="J848" s="9" t="s">
        <v>235</v>
      </c>
      <c r="K848" s="9">
        <v>5022</v>
      </c>
      <c r="L848" s="11">
        <v>150</v>
      </c>
      <c r="M848" s="9" t="s">
        <v>1818</v>
      </c>
      <c r="N848" s="9"/>
      <c r="O848" s="9"/>
      <c r="P848" s="9"/>
      <c r="Q848" s="11"/>
      <c r="R848" s="9" t="s">
        <v>90</v>
      </c>
      <c r="S848" s="9" t="s">
        <v>1778</v>
      </c>
      <c r="T848" s="12">
        <f>IF($H848="Cancelled","",IFERROR(((Q848+INDEX(Variables!$B$6:$D$6,IFERROR(MATCH(IF($B848="Robusta","Robusta",(IF($B848="","Arabica",$B848))&amp;" - "&amp;(IF($C848="","Commercial",$C848))),Variables!$B$1:$D$1,0),1)))*22.0462)*(L848/16.67),""))</f>
        <v>57687.777084583075</v>
      </c>
      <c r="U848" s="10">
        <v>45471</v>
      </c>
      <c r="V848" s="9" t="str">
        <f t="shared" si="86"/>
        <v>Sent</v>
      </c>
      <c r="W848" s="10">
        <v>45484</v>
      </c>
      <c r="X848" s="9" t="str">
        <f t="shared" si="82"/>
        <v>Approved</v>
      </c>
      <c r="Y848" s="10"/>
      <c r="Z848" s="10">
        <f>IF($H848="Cancelled","",IFERROR(IF(F848="","",F848-Variables!$B$13),""))</f>
        <v>45489</v>
      </c>
      <c r="AA848" s="11">
        <f>IF($H848="Cancelled","",IFERROR(IF(W848="","",(AVERAGE(E848:F848)-W848)-Variables!$B$14),""))</f>
        <v>-25</v>
      </c>
      <c r="AB848" s="10">
        <v>45488</v>
      </c>
      <c r="AC848" s="11">
        <f>IF($H848="Cancelled","",IFERROR(IF(AB848="","",IF(AND(W848="",Y848=""),"",IF(Y848&gt;W848,Y848+Variables!$B$15+Variables!$B$16+Variables!$B$17-AB848,W848+Variables!$B$16+Variables!$B$17-AB848))),""))</f>
        <v>4</v>
      </c>
      <c r="AD848" s="9" t="s">
        <v>107</v>
      </c>
      <c r="AE848" s="9" t="s">
        <v>411</v>
      </c>
      <c r="AF848" s="10"/>
      <c r="AG848" s="10"/>
      <c r="AH848" s="9"/>
      <c r="AI848" s="9" t="s">
        <v>1779</v>
      </c>
      <c r="AJ848" s="9" t="s">
        <v>8</v>
      </c>
      <c r="AK848" s="10">
        <v>45507</v>
      </c>
      <c r="AL848" s="10">
        <v>45512</v>
      </c>
      <c r="AM848" s="10">
        <v>45516</v>
      </c>
      <c r="AN848" s="9" t="s">
        <v>1492</v>
      </c>
      <c r="AO848" s="9"/>
      <c r="AP848" s="11">
        <f>IF($H848="Cancelled","",IFERROR(IF(OR(AK848="",AB848=""),"",(AB848+Variables!$B$18-AK848)),""))</f>
        <v>-12</v>
      </c>
      <c r="AQ848" s="11">
        <f>IF($H848="Cancelled","",IFERROR(IF(OR(AM848="",AK848=""),"",(AK848+Variables!$B$19)-AM848),""))</f>
        <v>-4</v>
      </c>
      <c r="AR848" s="12">
        <f>IF($H848="Cancelled","",IFERROR(T848*INDEX(Variables!$B$7:$D$7,IFERROR(MATCH(IF($B848="Robusta","Robusta",(IF($B848="","Arabica",$B848))&amp;" - "&amp;(IF($C848="","Commercial",$C848))),Variables!$B$1:$D$1,0),1))*(AQ848/365),""))</f>
        <v>-40.76531265231236</v>
      </c>
      <c r="AS848" s="12">
        <f>IF($H848="Cancelled","",IFERROR((T848*INDEX(Variables!$B$7:$D$7,IFERROR(MATCH(IF($B848="Robusta","Robusta",(IF($B848="","Arabica",$B848))&amp;" - "&amp;(IF($C848="","Commercial",$C848))),Variables!$B$1:$D$1,0),1))*IFERROR(IF(W848="","",(AVERAGE(E848:F848)-W848)-Variables!$B$14),"")/365)+(L848/16.67*INDEX(Variables!$B$8:$D$8,IFERROR(MATCH(IF($B848="Robusta","Robusta",(IF($B848="","Arabica",$B848))&amp;" - "&amp;(IF($C848="","Commercial",$C848))),Variables!$B$1:$D$1,0),1))*IFERROR(IF(W848="","",(AVERAGE(E848:F848)-W848)-Variables!$B$14),""))+(T848*INDEX(Variables!$B$9:$D$9,IFERROR(MATCH(IF($B848="Robusta","Robusta",(IF($B848="","Arabica",$B848))&amp;" - "&amp;(IF($C848="","Commercial",$C848))),Variables!$B$1:$D$1,0),1))*IFERROR(IF(W848="","",(AVERAGE(E848:F848)-W848)-Variables!$B$14),"")/365),""))</f>
        <v>-445.56785127492583</v>
      </c>
      <c r="AT848" s="12">
        <f>IF($H848="Cancelled","",IFERROR((T848*INDEX(Variables!$B$7:$D$7,IFERROR(MATCH(IF($B848="Robusta","Robusta",(IF($B848="","Arabica",$B848))&amp;" - "&amp;(IF($C848="","Commercial",$C848))),Variables!$B$1:$D$1,0),1))*AC848/365)+(L848/16.67*INDEX(Variables!$B$8:$D$8,IFERROR(MATCH(IF($B848="Robusta","Robusta",(IF($B848="","Arabica",$B848))&amp;" - "&amp;(IF($C848="","Commercial",$C848))),Variables!$B$1:$D$1,0),1))*AC848)+(T848*INDEX(Variables!$B$9:$D$9,IFERROR(MATCH(IF($B848="Robusta","Robusta",(IF($B848="","Arabica",$B848))&amp;" - "&amp;(IF($C848="","Commercial",$C848))),Variables!$B$1:$D$1,0),1))*AC848/365),""))</f>
        <v>71.290856203988128</v>
      </c>
      <c r="AU848" s="12">
        <f>IF($H848="Cancelled","",IFERROR((T848*INDEX(Variables!$B$7:$D$7,IFERROR(MATCH(IF($B848="Robusta","Robusta",(IF($B848="","Arabica",$B848))&amp;" - "&amp;(IF($C848="","Commercial",$C848))),Variables!$B$1:$D$1,0),1))*AP848/365)+(L848/16.67*INDEX(Variables!$B$8:$D$8,IFERROR(MATCH(IF($B848="Robusta","Robusta",(IF($B848="","Arabica",$B848))&amp;" - "&amp;(IF($C848="","Commercial",$C848))),Variables!$B$1:$D$1,0),1))*AP848)+(T848*INDEX(Variables!$B$9:$D$9,IFERROR(MATCH(IF($B848="Robusta","Robusta",(IF($B848="","Arabica",$B848))&amp;" - "&amp;(IF($C848="","Commercial",$C848))),Variables!$B$1:$D$1,0),1))*AP848/365),""))</f>
        <v>-213.87256861196443</v>
      </c>
      <c r="AV848" s="11">
        <f t="shared" si="85"/>
        <v>-3</v>
      </c>
      <c r="AW848" s="12">
        <f>IF($H848="Cancelled","",IFERROR(IF(AV848="","",(T848*INDEX(Variables!$B$7:$D$7,IFERROR(MATCH(IF($B848="Robusta","Robusta",(IF($B848="","Arabica",$B848))&amp;" - "&amp;(IF($C848="","Commercial",$C848))),Variables!$B$1:$D$1,0),1))*(AV848/365))+(T848*INDEX(Variables!$B$9:$D$9,IFERROR(MATCH(IF($B848="Robusta","Robusta",(IF($B848="","Arabica",$B848))&amp;" - "&amp;(IF($C848="","Commercial",$C848))),Variables!$B$1:$D$1,0),1))*(AV848/365))+(INDEX(Variables!$B$8:$D$8,IFERROR(MATCH(IF($B848="Robusta","Robusta",(IF($B848="","Arabica",$B848))&amp;" - "&amp;(IF($C848="","Commercial",$C848))),Variables!$B$1:$D$1,0),1))*L848/16.67)),""))</f>
        <v>-23.468142152991096</v>
      </c>
      <c r="AX848" s="9"/>
      <c r="AY848" s="12"/>
      <c r="AZ848" s="10"/>
      <c r="BA848" s="9"/>
      <c r="BB848" s="10"/>
      <c r="BC848" s="9"/>
      <c r="BD848" s="9"/>
      <c r="BE848" s="9"/>
      <c r="BF848" s="9"/>
    </row>
    <row r="849" spans="1:58" x14ac:dyDescent="0.25">
      <c r="A849" s="9" t="s">
        <v>84</v>
      </c>
      <c r="B849" s="9" t="s">
        <v>85</v>
      </c>
      <c r="C849" s="9" t="s">
        <v>1486</v>
      </c>
      <c r="D849" s="10">
        <v>45455</v>
      </c>
      <c r="E849" s="10">
        <v>45474</v>
      </c>
      <c r="F849" s="10">
        <v>45504</v>
      </c>
      <c r="G849" s="9">
        <v>3786427</v>
      </c>
      <c r="H849" s="9" t="str">
        <f t="shared" si="83"/>
        <v>Closed</v>
      </c>
      <c r="I849" s="9" t="str">
        <f t="shared" si="84"/>
        <v>All dates received</v>
      </c>
      <c r="J849" s="9" t="s">
        <v>322</v>
      </c>
      <c r="K849" s="9" t="s">
        <v>1819</v>
      </c>
      <c r="L849" s="11">
        <v>20</v>
      </c>
      <c r="M849" s="9" t="s">
        <v>1820</v>
      </c>
      <c r="N849" s="9"/>
      <c r="O849" s="9"/>
      <c r="P849" s="9"/>
      <c r="Q849" s="11"/>
      <c r="R849" s="9" t="s">
        <v>90</v>
      </c>
      <c r="S849" s="9" t="s">
        <v>123</v>
      </c>
      <c r="T849" s="12">
        <f>IF($H849="Cancelled","",IFERROR(((Q849+INDEX(Variables!$B$6:$D$6,IFERROR(MATCH(IF($B849="Robusta","Robusta",(IF($B849="","Arabica",$B849))&amp;" - "&amp;(IF($C849="","Commercial",$C849))),Variables!$B$1:$D$1,0),1)))*22.0462)*(L849/16.67),""))</f>
        <v>7691.7036112777441</v>
      </c>
      <c r="U849" s="10">
        <v>45476</v>
      </c>
      <c r="V849" s="9" t="str">
        <f t="shared" si="86"/>
        <v>Sent</v>
      </c>
      <c r="W849" s="10">
        <v>45489</v>
      </c>
      <c r="X849" s="9" t="str">
        <f t="shared" si="82"/>
        <v>Approved</v>
      </c>
      <c r="Y849" s="10"/>
      <c r="Z849" s="10">
        <f>IF($H849="Cancelled","",IFERROR(IF(F849="","",F849-Variables!$B$13),""))</f>
        <v>45489</v>
      </c>
      <c r="AA849" s="11">
        <f>IF($H849="Cancelled","",IFERROR(IF(W849="","",(AVERAGE(E849:F849)-W849)-Variables!$B$14),""))</f>
        <v>-30</v>
      </c>
      <c r="AB849" s="10">
        <v>45517</v>
      </c>
      <c r="AC849" s="11">
        <f>IF($H849="Cancelled","",IFERROR(IF(AB849="","",IF(AND(W849="",Y849=""),"",IF(Y849&gt;W849,Y849+Variables!$B$15+Variables!$B$16+Variables!$B$17-AB849,W849+Variables!$B$16+Variables!$B$17-AB849))),""))</f>
        <v>-20</v>
      </c>
      <c r="AD849" s="9" t="s">
        <v>107</v>
      </c>
      <c r="AE849" s="9" t="s">
        <v>555</v>
      </c>
      <c r="AF849" s="10"/>
      <c r="AG849" s="10"/>
      <c r="AH849" s="9"/>
      <c r="AI849" s="9" t="s">
        <v>1801</v>
      </c>
      <c r="AJ849" s="9" t="s">
        <v>1802</v>
      </c>
      <c r="AK849" s="10">
        <v>45537</v>
      </c>
      <c r="AL849" s="10">
        <v>45540</v>
      </c>
      <c r="AM849" s="10">
        <v>45523</v>
      </c>
      <c r="AN849" s="9" t="s">
        <v>1492</v>
      </c>
      <c r="AO849" s="9"/>
      <c r="AP849" s="11">
        <f>IF($H849="Cancelled","",IFERROR(IF(OR(AK849="",AB849=""),"",(AB849+Variables!$B$18-AK849)),""))</f>
        <v>-13</v>
      </c>
      <c r="AQ849" s="11">
        <f>IF($H849="Cancelled","",IFERROR(IF(OR(AM849="",AK849=""),"",(AK849+Variables!$B$19)-AM849),""))</f>
        <v>19</v>
      </c>
      <c r="AR849" s="12">
        <f>IF($H849="Cancelled","",IFERROR(T849*INDEX(Variables!$B$7:$D$7,IFERROR(MATCH(IF($B849="Robusta","Robusta",(IF($B849="","Arabica",$B849))&amp;" - "&amp;(IF($C849="","Commercial",$C849))),Variables!$B$1:$D$1,0),1))*(AQ849/365),""))</f>
        <v>25.818031346464497</v>
      </c>
      <c r="AS849" s="12">
        <f>IF($H849="Cancelled","",IFERROR((T849*INDEX(Variables!$B$7:$D$7,IFERROR(MATCH(IF($B849="Robusta","Robusta",(IF($B849="","Arabica",$B849))&amp;" - "&amp;(IF($C849="","Commercial",$C849))),Variables!$B$1:$D$1,0),1))*IFERROR(IF(W849="","",(AVERAGE(E849:F849)-W849)-Variables!$B$14),"")/365)+(L849/16.67*INDEX(Variables!$B$8:$D$8,IFERROR(MATCH(IF($B849="Robusta","Robusta",(IF($B849="","Arabica",$B849))&amp;" - "&amp;(IF($C849="","Commercial",$C849))),Variables!$B$1:$D$1,0),1))*IFERROR(IF(W849="","",(AVERAGE(E849:F849)-W849)-Variables!$B$14),""))+(T849*INDEX(Variables!$B$9:$D$9,IFERROR(MATCH(IF($B849="Robusta","Robusta",(IF($B849="","Arabica",$B849))&amp;" - "&amp;(IF($C849="","Commercial",$C849))),Variables!$B$1:$D$1,0),1))*IFERROR(IF(W849="","",(AVERAGE(E849:F849)-W849)-Variables!$B$14),"")/365),""))</f>
        <v>-71.290856203988128</v>
      </c>
      <c r="AT849" s="12">
        <f>IF($H849="Cancelled","",IFERROR((T849*INDEX(Variables!$B$7:$D$7,IFERROR(MATCH(IF($B849="Robusta","Robusta",(IF($B849="","Arabica",$B849))&amp;" - "&amp;(IF($C849="","Commercial",$C849))),Variables!$B$1:$D$1,0),1))*AC849/365)+(L849/16.67*INDEX(Variables!$B$8:$D$8,IFERROR(MATCH(IF($B849="Robusta","Robusta",(IF($B849="","Arabica",$B849))&amp;" - "&amp;(IF($C849="","Commercial",$C849))),Variables!$B$1:$D$1,0),1))*AC849)+(T849*INDEX(Variables!$B$9:$D$9,IFERROR(MATCH(IF($B849="Robusta","Robusta",(IF($B849="","Arabica",$B849))&amp;" - "&amp;(IF($C849="","Commercial",$C849))),Variables!$B$1:$D$1,0),1))*AC849/365),""))</f>
        <v>-47.527237469325421</v>
      </c>
      <c r="AU849" s="12">
        <f>IF($H849="Cancelled","",IFERROR((T849*INDEX(Variables!$B$7:$D$7,IFERROR(MATCH(IF($B849="Robusta","Robusta",(IF($B849="","Arabica",$B849))&amp;" - "&amp;(IF($C849="","Commercial",$C849))),Variables!$B$1:$D$1,0),1))*AP849/365)+(L849/16.67*INDEX(Variables!$B$8:$D$8,IFERROR(MATCH(IF($B849="Robusta","Robusta",(IF($B849="","Arabica",$B849))&amp;" - "&amp;(IF($C849="","Commercial",$C849))),Variables!$B$1:$D$1,0),1))*AP849)+(T849*INDEX(Variables!$B$9:$D$9,IFERROR(MATCH(IF($B849="Robusta","Robusta",(IF($B849="","Arabica",$B849))&amp;" - "&amp;(IF($C849="","Commercial",$C849))),Variables!$B$1:$D$1,0),1))*AP849/365),""))</f>
        <v>-30.892704355061522</v>
      </c>
      <c r="AV849" s="11">
        <f t="shared" si="85"/>
        <v>-33</v>
      </c>
      <c r="AW849" s="12">
        <f>IF($H849="Cancelled","",IFERROR(IF(AV849="","",(T849*INDEX(Variables!$B$7:$D$7,IFERROR(MATCH(IF($B849="Robusta","Robusta",(IF($B849="","Arabica",$B849))&amp;" - "&amp;(IF($C849="","Commercial",$C849))),Variables!$B$1:$D$1,0),1))*(AV849/365))+(T849*INDEX(Variables!$B$9:$D$9,IFERROR(MATCH(IF($B849="Robusta","Robusta",(IF($B849="","Arabica",$B849))&amp;" - "&amp;(IF($C849="","Commercial",$C849))),Variables!$B$1:$D$1,0),1))*(AV849/365))+(INDEX(Variables!$B$8:$D$8,IFERROR(MATCH(IF($B849="Robusta","Robusta",(IF($B849="","Arabica",$B849))&amp;" - "&amp;(IF($C849="","Commercial",$C849))),Variables!$B$1:$D$1,0),1))*L849/16.67)),""))</f>
        <v>-44.419941824386946</v>
      </c>
      <c r="AX849" s="9"/>
      <c r="AY849" s="12"/>
      <c r="AZ849" s="10"/>
      <c r="BA849" s="9"/>
      <c r="BB849" s="10"/>
      <c r="BC849" s="9"/>
      <c r="BD849" s="9"/>
      <c r="BE849" s="9"/>
      <c r="BF849" s="9"/>
    </row>
    <row r="850" spans="1:58" x14ac:dyDescent="0.25">
      <c r="A850" s="9" t="s">
        <v>84</v>
      </c>
      <c r="B850" s="9" t="s">
        <v>85</v>
      </c>
      <c r="C850" s="9" t="s">
        <v>1486</v>
      </c>
      <c r="D850" s="10">
        <v>45457</v>
      </c>
      <c r="E850" s="10">
        <v>45474</v>
      </c>
      <c r="F850" s="10">
        <v>45504</v>
      </c>
      <c r="G850" s="9">
        <v>3786429</v>
      </c>
      <c r="H850" s="9" t="str">
        <f t="shared" si="83"/>
        <v>Closed</v>
      </c>
      <c r="I850" s="9" t="str">
        <f t="shared" si="84"/>
        <v>All dates received</v>
      </c>
      <c r="J850" s="9" t="s">
        <v>235</v>
      </c>
      <c r="K850" s="9">
        <v>5023</v>
      </c>
      <c r="L850" s="11">
        <v>97</v>
      </c>
      <c r="M850" s="9" t="s">
        <v>1821</v>
      </c>
      <c r="N850" s="9"/>
      <c r="O850" s="9"/>
      <c r="P850" s="9"/>
      <c r="Q850" s="11"/>
      <c r="R850" s="9" t="s">
        <v>90</v>
      </c>
      <c r="S850" s="9" t="s">
        <v>1778</v>
      </c>
      <c r="T850" s="12">
        <f>IF($H850="Cancelled","",IFERROR(((Q850+INDEX(Variables!$B$6:$D$6,IFERROR(MATCH(IF($B850="Robusta","Robusta",(IF($B850="","Arabica",$B850))&amp;" - "&amp;(IF($C850="","Commercial",$C850))),Variables!$B$1:$D$1,0),1)))*22.0462)*(L850/16.67),""))</f>
        <v>37304.762514697053</v>
      </c>
      <c r="U850" s="10">
        <v>45471</v>
      </c>
      <c r="V850" s="9" t="str">
        <f t="shared" si="86"/>
        <v>Sent</v>
      </c>
      <c r="W850" s="10">
        <v>45478</v>
      </c>
      <c r="X850" s="9" t="str">
        <f t="shared" si="82"/>
        <v>Approved</v>
      </c>
      <c r="Y850" s="10"/>
      <c r="Z850" s="10">
        <f>IF($H850="Cancelled","",IFERROR(IF(F850="","",F850-Variables!$B$13),""))</f>
        <v>45489</v>
      </c>
      <c r="AA850" s="11">
        <f>IF($H850="Cancelled","",IFERROR(IF(W850="","",(AVERAGE(E850:F850)-W850)-Variables!$B$14),""))</f>
        <v>-19</v>
      </c>
      <c r="AB850" s="10">
        <v>45488</v>
      </c>
      <c r="AC850" s="11">
        <f>IF($H850="Cancelled","",IFERROR(IF(AB850="","",IF(AND(W850="",Y850=""),"",IF(Y850&gt;W850,Y850+Variables!$B$15+Variables!$B$16+Variables!$B$17-AB850,W850+Variables!$B$16+Variables!$B$17-AB850))),""))</f>
        <v>-2</v>
      </c>
      <c r="AD850" s="9" t="s">
        <v>107</v>
      </c>
      <c r="AE850" s="9" t="s">
        <v>411</v>
      </c>
      <c r="AF850" s="10"/>
      <c r="AG850" s="10"/>
      <c r="AH850" s="9"/>
      <c r="AI850" s="9" t="s">
        <v>1779</v>
      </c>
      <c r="AJ850" s="9" t="s">
        <v>8</v>
      </c>
      <c r="AK850" s="10">
        <v>45507</v>
      </c>
      <c r="AL850" s="10">
        <v>45512</v>
      </c>
      <c r="AM850" s="10">
        <v>45516</v>
      </c>
      <c r="AN850" s="9" t="s">
        <v>1492</v>
      </c>
      <c r="AO850" s="9"/>
      <c r="AP850" s="11">
        <f>IF($H850="Cancelled","",IFERROR(IF(OR(AK850="",AB850=""),"",(AB850+Variables!$B$18-AK850)),""))</f>
        <v>-12</v>
      </c>
      <c r="AQ850" s="11">
        <f>IF($H850="Cancelled","",IFERROR(IF(OR(AM850="",AK850=""),"",(AK850+Variables!$B$19)-AM850),""))</f>
        <v>-4</v>
      </c>
      <c r="AR850" s="12">
        <f>IF($H850="Cancelled","",IFERROR(T850*INDEX(Variables!$B$7:$D$7,IFERROR(MATCH(IF($B850="Robusta","Robusta",(IF($B850="","Arabica",$B850))&amp;" - "&amp;(IF($C850="","Commercial",$C850))),Variables!$B$1:$D$1,0),1))*(AQ850/365),""))</f>
        <v>-26.361568848495327</v>
      </c>
      <c r="AS850" s="12">
        <f>IF($H850="Cancelled","",IFERROR((T850*INDEX(Variables!$B$7:$D$7,IFERROR(MATCH(IF($B850="Robusta","Robusta",(IF($B850="","Arabica",$B850))&amp;" - "&amp;(IF($C850="","Commercial",$C850))),Variables!$B$1:$D$1,0),1))*IFERROR(IF(W850="","",(AVERAGE(E850:F850)-W850)-Variables!$B$14),"")/365)+(L850/16.67*INDEX(Variables!$B$8:$D$8,IFERROR(MATCH(IF($B850="Robusta","Robusta",(IF($B850="","Arabica",$B850))&amp;" - "&amp;(IF($C850="","Commercial",$C850))),Variables!$B$1:$D$1,0),1))*IFERROR(IF(W850="","",(AVERAGE(E850:F850)-W850)-Variables!$B$14),""))+(T850*INDEX(Variables!$B$9:$D$9,IFERROR(MATCH(IF($B850="Robusta","Robusta",(IF($B850="","Arabica",$B850))&amp;" - "&amp;(IF($C850="","Commercial",$C850))),Variables!$B$1:$D$1,0),1))*IFERROR(IF(W850="","",(AVERAGE(E850:F850)-W850)-Variables!$B$14),"")/365),""))</f>
        <v>-218.98174663991688</v>
      </c>
      <c r="AT850" s="12">
        <f>IF($H850="Cancelled","",IFERROR((T850*INDEX(Variables!$B$7:$D$7,IFERROR(MATCH(IF($B850="Robusta","Robusta",(IF($B850="","Arabica",$B850))&amp;" - "&amp;(IF($C850="","Commercial",$C850))),Variables!$B$1:$D$1,0),1))*AC850/365)+(L850/16.67*INDEX(Variables!$B$8:$D$8,IFERROR(MATCH(IF($B850="Robusta","Robusta",(IF($B850="","Arabica",$B850))&amp;" - "&amp;(IF($C850="","Commercial",$C850))),Variables!$B$1:$D$1,0),1))*AC850)+(T850*INDEX(Variables!$B$9:$D$9,IFERROR(MATCH(IF($B850="Robusta","Robusta",(IF($B850="","Arabica",$B850))&amp;" - "&amp;(IF($C850="","Commercial",$C850))),Variables!$B$1:$D$1,0),1))*AC850/365),""))</f>
        <v>-23.050710172622829</v>
      </c>
      <c r="AU850" s="12">
        <f>IF($H850="Cancelled","",IFERROR((T850*INDEX(Variables!$B$7:$D$7,IFERROR(MATCH(IF($B850="Robusta","Robusta",(IF($B850="","Arabica",$B850))&amp;" - "&amp;(IF($C850="","Commercial",$C850))),Variables!$B$1:$D$1,0),1))*AP850/365)+(L850/16.67*INDEX(Variables!$B$8:$D$8,IFERROR(MATCH(IF($B850="Robusta","Robusta",(IF($B850="","Arabica",$B850))&amp;" - "&amp;(IF($C850="","Commercial",$C850))),Variables!$B$1:$D$1,0),1))*AP850)+(T850*INDEX(Variables!$B$9:$D$9,IFERROR(MATCH(IF($B850="Robusta","Robusta",(IF($B850="","Arabica",$B850))&amp;" - "&amp;(IF($C850="","Commercial",$C850))),Variables!$B$1:$D$1,0),1))*AP850/365),""))</f>
        <v>-138.30426103573697</v>
      </c>
      <c r="AV850" s="11">
        <f t="shared" si="85"/>
        <v>-3</v>
      </c>
      <c r="AW850" s="12">
        <f>IF($H850="Cancelled","",IFERROR(IF(AV850="","",(T850*INDEX(Variables!$B$7:$D$7,IFERROR(MATCH(IF($B850="Robusta","Robusta",(IF($B850="","Arabica",$B850))&amp;" - "&amp;(IF($C850="","Commercial",$C850))),Variables!$B$1:$D$1,0),1))*(AV850/365))+(T850*INDEX(Variables!$B$9:$D$9,IFERROR(MATCH(IF($B850="Robusta","Robusta",(IF($B850="","Arabica",$B850))&amp;" - "&amp;(IF($C850="","Commercial",$C850))),Variables!$B$1:$D$1,0),1))*(AV850/365))+(INDEX(Variables!$B$8:$D$8,IFERROR(MATCH(IF($B850="Robusta","Robusta",(IF($B850="","Arabica",$B850))&amp;" - "&amp;(IF($C850="","Commercial",$C850))),Variables!$B$1:$D$1,0),1))*L850/16.67)),""))</f>
        <v>-15.176065258934242</v>
      </c>
      <c r="AX850" s="9"/>
      <c r="AY850" s="12"/>
      <c r="AZ850" s="10"/>
      <c r="BA850" s="9"/>
      <c r="BB850" s="10"/>
      <c r="BC850" s="9"/>
      <c r="BD850" s="9"/>
      <c r="BE850" s="9"/>
      <c r="BF850" s="9"/>
    </row>
    <row r="851" spans="1:58" x14ac:dyDescent="0.25">
      <c r="A851" s="9" t="s">
        <v>84</v>
      </c>
      <c r="B851" s="9" t="s">
        <v>85</v>
      </c>
      <c r="C851" s="9" t="s">
        <v>1486</v>
      </c>
      <c r="D851" s="10">
        <v>45419</v>
      </c>
      <c r="E851" s="10">
        <v>45505</v>
      </c>
      <c r="F851" s="10">
        <v>45535</v>
      </c>
      <c r="G851" s="9">
        <v>3786358</v>
      </c>
      <c r="H851" s="9" t="str">
        <f t="shared" si="83"/>
        <v>Closed</v>
      </c>
      <c r="I851" s="9" t="str">
        <f t="shared" si="84"/>
        <v>All dates received</v>
      </c>
      <c r="J851" s="9" t="s">
        <v>360</v>
      </c>
      <c r="K851" s="9" t="s">
        <v>1822</v>
      </c>
      <c r="L851" s="11">
        <v>160</v>
      </c>
      <c r="M851" s="9" t="s">
        <v>1258</v>
      </c>
      <c r="N851" s="9"/>
      <c r="O851" s="9"/>
      <c r="P851" s="9"/>
      <c r="Q851" s="11"/>
      <c r="R851" s="9" t="s">
        <v>90</v>
      </c>
      <c r="S851" s="9" t="s">
        <v>312</v>
      </c>
      <c r="T851" s="12">
        <f>IF($H851="Cancelled","",IFERROR(((Q851+INDEX(Variables!$B$6:$D$6,IFERROR(MATCH(IF($B851="Robusta","Robusta",(IF($B851="","Arabica",$B851))&amp;" - "&amp;(IF($C851="","Commercial",$C851))),Variables!$B$1:$D$1,0),1)))*22.0462)*(L851/16.67),""))</f>
        <v>61533.628890221953</v>
      </c>
      <c r="U851" s="10">
        <v>45476</v>
      </c>
      <c r="V851" s="9" t="str">
        <f t="shared" si="86"/>
        <v>Sent</v>
      </c>
      <c r="W851" s="10">
        <v>45489</v>
      </c>
      <c r="X851" s="9" t="str">
        <f t="shared" si="82"/>
        <v>Approved</v>
      </c>
      <c r="Y851" s="10"/>
      <c r="Z851" s="10">
        <f>IF($H851="Cancelled","",IFERROR(IF(F851="","",F851-Variables!$B$13),""))</f>
        <v>45520</v>
      </c>
      <c r="AA851" s="11">
        <f>IF($H851="Cancelled","",IFERROR(IF(W851="","",(AVERAGE(E851:F851)-W851)-Variables!$B$14),""))</f>
        <v>1</v>
      </c>
      <c r="AB851" s="10">
        <v>45506</v>
      </c>
      <c r="AC851" s="11">
        <f>IF($H851="Cancelled","",IFERROR(IF(AB851="","",IF(AND(W851="",Y851=""),"",IF(Y851&gt;W851,Y851+Variables!$B$15+Variables!$B$16+Variables!$B$17-AB851,W851+Variables!$B$16+Variables!$B$17-AB851))),""))</f>
        <v>-9</v>
      </c>
      <c r="AD851" s="9" t="s">
        <v>163</v>
      </c>
      <c r="AE851" s="9" t="s">
        <v>589</v>
      </c>
      <c r="AF851" s="10"/>
      <c r="AG851" s="10"/>
      <c r="AH851" s="9"/>
      <c r="AI851" s="9">
        <v>242951062</v>
      </c>
      <c r="AJ851" s="9" t="s">
        <v>8</v>
      </c>
      <c r="AK851" s="10">
        <v>45515</v>
      </c>
      <c r="AL851" s="10">
        <v>45524</v>
      </c>
      <c r="AM851" s="10">
        <v>45530</v>
      </c>
      <c r="AN851" s="9" t="s">
        <v>1492</v>
      </c>
      <c r="AO851" s="9"/>
      <c r="AP851" s="11">
        <f>IF($H851="Cancelled","",IFERROR(IF(OR(AK851="",AB851=""),"",(AB851+Variables!$B$18-AK851)),""))</f>
        <v>-2</v>
      </c>
      <c r="AQ851" s="11">
        <f>IF($H851="Cancelled","",IFERROR(IF(OR(AM851="",AK851=""),"",(AK851+Variables!$B$19)-AM851),""))</f>
        <v>-10</v>
      </c>
      <c r="AR851" s="12">
        <f>IF($H851="Cancelled","",IFERROR(T851*INDEX(Variables!$B$7:$D$7,IFERROR(MATCH(IF($B851="Robusta","Robusta",(IF($B851="","Arabica",$B851))&amp;" - "&amp;(IF($C851="","Commercial",$C851))),Variables!$B$1:$D$1,0),1))*(AQ851/365),""))</f>
        <v>-108.7075004061663</v>
      </c>
      <c r="AS851" s="12">
        <f>IF($H851="Cancelled","",IFERROR((T851*INDEX(Variables!$B$7:$D$7,IFERROR(MATCH(IF($B851="Robusta","Robusta",(IF($B851="","Arabica",$B851))&amp;" - "&amp;(IF($C851="","Commercial",$C851))),Variables!$B$1:$D$1,0),1))*IFERROR(IF(W851="","",(AVERAGE(E851:F851)-W851)-Variables!$B$14),"")/365)+(L851/16.67*INDEX(Variables!$B$8:$D$8,IFERROR(MATCH(IF($B851="Robusta","Robusta",(IF($B851="","Arabica",$B851))&amp;" - "&amp;(IF($C851="","Commercial",$C851))),Variables!$B$1:$D$1,0),1))*IFERROR(IF(W851="","",(AVERAGE(E851:F851)-W851)-Variables!$B$14),""))+(T851*INDEX(Variables!$B$9:$D$9,IFERROR(MATCH(IF($B851="Robusta","Robusta",(IF($B851="","Arabica",$B851))&amp;" - "&amp;(IF($C851="","Commercial",$C851))),Variables!$B$1:$D$1,0),1))*IFERROR(IF(W851="","",(AVERAGE(E851:F851)-W851)-Variables!$B$14),"")/365),""))</f>
        <v>19.010894987730168</v>
      </c>
      <c r="AT851" s="12">
        <f>IF($H851="Cancelled","",IFERROR((T851*INDEX(Variables!$B$7:$D$7,IFERROR(MATCH(IF($B851="Robusta","Robusta",(IF($B851="","Arabica",$B851))&amp;" - "&amp;(IF($C851="","Commercial",$C851))),Variables!$B$1:$D$1,0),1))*AC851/365)+(L851/16.67*INDEX(Variables!$B$8:$D$8,IFERROR(MATCH(IF($B851="Robusta","Robusta",(IF($B851="","Arabica",$B851))&amp;" - "&amp;(IF($C851="","Commercial",$C851))),Variables!$B$1:$D$1,0),1))*AC851)+(T851*INDEX(Variables!$B$9:$D$9,IFERROR(MATCH(IF($B851="Robusta","Robusta",(IF($B851="","Arabica",$B851))&amp;" - "&amp;(IF($C851="","Commercial",$C851))),Variables!$B$1:$D$1,0),1))*AC851/365),""))</f>
        <v>-171.09805488957153</v>
      </c>
      <c r="AU851" s="12">
        <f>IF($H851="Cancelled","",IFERROR((T851*INDEX(Variables!$B$7:$D$7,IFERROR(MATCH(IF($B851="Robusta","Robusta",(IF($B851="","Arabica",$B851))&amp;" - "&amp;(IF($C851="","Commercial",$C851))),Variables!$B$1:$D$1,0),1))*AP851/365)+(L851/16.67*INDEX(Variables!$B$8:$D$8,IFERROR(MATCH(IF($B851="Robusta","Robusta",(IF($B851="","Arabica",$B851))&amp;" - "&amp;(IF($C851="","Commercial",$C851))),Variables!$B$1:$D$1,0),1))*AP851)+(T851*INDEX(Variables!$B$9:$D$9,IFERROR(MATCH(IF($B851="Robusta","Robusta",(IF($B851="","Arabica",$B851))&amp;" - "&amp;(IF($C851="","Commercial",$C851))),Variables!$B$1:$D$1,0),1))*AP851/365),""))</f>
        <v>-38.021789975460337</v>
      </c>
      <c r="AV851" s="11">
        <f t="shared" si="85"/>
        <v>20</v>
      </c>
      <c r="AW851" s="12">
        <f>IF($H851="Cancelled","",IFERROR(IF(AV851="","",(T851*INDEX(Variables!$B$7:$D$7,IFERROR(MATCH(IF($B851="Robusta","Robusta",(IF($B851="","Arabica",$B851))&amp;" - "&amp;(IF($C851="","Commercial",$C851))),Variables!$B$1:$D$1,0),1))*(AV851/365))+(T851*INDEX(Variables!$B$9:$D$9,IFERROR(MATCH(IF($B851="Robusta","Robusta",(IF($B851="","Arabica",$B851))&amp;" - "&amp;(IF($C851="","Commercial",$C851))),Variables!$B$1:$D$1,0),1))*(AV851/365))+(INDEX(Variables!$B$8:$D$8,IFERROR(MATCH(IF($B851="Robusta","Robusta",(IF($B851="","Arabica",$B851))&amp;" - "&amp;(IF($C851="","Commercial",$C851))),Variables!$B$1:$D$1,0),1))*L851/16.67)),""))</f>
        <v>228.21789975460337</v>
      </c>
      <c r="AX851" s="9"/>
      <c r="AY851" s="12"/>
      <c r="AZ851" s="10"/>
      <c r="BA851" s="9"/>
      <c r="BB851" s="10"/>
      <c r="BC851" s="9"/>
      <c r="BD851" s="9"/>
      <c r="BE851" s="9"/>
      <c r="BF851" s="9"/>
    </row>
    <row r="852" spans="1:58" x14ac:dyDescent="0.25">
      <c r="A852" s="9" t="s">
        <v>84</v>
      </c>
      <c r="B852" s="9" t="s">
        <v>85</v>
      </c>
      <c r="C852" s="9" t="s">
        <v>1486</v>
      </c>
      <c r="D852" s="10">
        <v>45434</v>
      </c>
      <c r="E852" s="10">
        <v>45505</v>
      </c>
      <c r="F852" s="10">
        <v>45535</v>
      </c>
      <c r="G852" s="9">
        <v>3786391</v>
      </c>
      <c r="H852" s="9" t="str">
        <f t="shared" si="83"/>
        <v>Closed</v>
      </c>
      <c r="I852" s="9" t="str">
        <f t="shared" si="84"/>
        <v>All dates received</v>
      </c>
      <c r="J852" s="9" t="s">
        <v>303</v>
      </c>
      <c r="K852" s="9" t="s">
        <v>1823</v>
      </c>
      <c r="L852" s="11">
        <v>15</v>
      </c>
      <c r="M852" s="9" t="s">
        <v>1824</v>
      </c>
      <c r="N852" s="9"/>
      <c r="O852" s="9"/>
      <c r="P852" s="9"/>
      <c r="Q852" s="11"/>
      <c r="R852" s="9" t="s">
        <v>195</v>
      </c>
      <c r="S852" s="9" t="s">
        <v>91</v>
      </c>
      <c r="T852" s="12">
        <f>IF($H852="Cancelled","",IFERROR(((Q852+INDEX(Variables!$B$6:$D$6,IFERROR(MATCH(IF($B852="Robusta","Robusta",(IF($B852="","Arabica",$B852))&amp;" - "&amp;(IF($C852="","Commercial",$C852))),Variables!$B$1:$D$1,0),1)))*22.0462)*(L852/16.67),""))</f>
        <v>5768.7777084583076</v>
      </c>
      <c r="U852" s="10"/>
      <c r="V852" s="9" t="str">
        <f t="shared" si="86"/>
        <v/>
      </c>
      <c r="W852" s="10">
        <v>45488</v>
      </c>
      <c r="X852" s="9" t="str">
        <f t="shared" si="82"/>
        <v>Approved</v>
      </c>
      <c r="Y852" s="10">
        <v>45488</v>
      </c>
      <c r="Z852" s="10">
        <f>IF($H852="Cancelled","",IFERROR(IF(F852="","",F852-Variables!$B$13),""))</f>
        <v>45520</v>
      </c>
      <c r="AA852" s="11">
        <f>IF($H852="Cancelled","",IFERROR(IF(W852="","",(AVERAGE(E852:F852)-W852)-Variables!$B$14),""))</f>
        <v>2</v>
      </c>
      <c r="AB852" s="10">
        <v>45504</v>
      </c>
      <c r="AC852" s="11">
        <f>IF($H852="Cancelled","",IFERROR(IF(AB852="","",IF(AND(W852="",Y852=""),"",IF(Y852&gt;W852,Y852+Variables!$B$15+Variables!$B$16+Variables!$B$17-AB852,W852+Variables!$B$16+Variables!$B$17-AB852))),""))</f>
        <v>-8</v>
      </c>
      <c r="AD852" s="9" t="s">
        <v>316</v>
      </c>
      <c r="AE852" s="9" t="s">
        <v>93</v>
      </c>
      <c r="AF852" s="10"/>
      <c r="AG852" s="10"/>
      <c r="AH852" s="9"/>
      <c r="AI852" s="9" t="s">
        <v>317</v>
      </c>
      <c r="AJ852" s="9" t="s">
        <v>8</v>
      </c>
      <c r="AK852" s="10">
        <v>45516</v>
      </c>
      <c r="AL852" s="10">
        <v>45524</v>
      </c>
      <c r="AM852" s="10">
        <v>45532</v>
      </c>
      <c r="AN852" s="9" t="s">
        <v>1492</v>
      </c>
      <c r="AO852" s="9"/>
      <c r="AP852" s="11">
        <f>IF($H852="Cancelled","",IFERROR(IF(OR(AK852="",AB852=""),"",(AB852+Variables!$B$18-AK852)),""))</f>
        <v>-5</v>
      </c>
      <c r="AQ852" s="11">
        <f>IF($H852="Cancelled","",IFERROR(IF(OR(AM852="",AK852=""),"",(AK852+Variables!$B$19)-AM852),""))</f>
        <v>-11</v>
      </c>
      <c r="AR852" s="12">
        <f>IF($H852="Cancelled","",IFERROR(T852*INDEX(Variables!$B$7:$D$7,IFERROR(MATCH(IF($B852="Robusta","Robusta",(IF($B852="","Arabica",$B852))&amp;" - "&amp;(IF($C852="","Commercial",$C852))),Variables!$B$1:$D$1,0),1))*(AQ852/365),""))</f>
        <v>-11.2104609793859</v>
      </c>
      <c r="AS852" s="12">
        <f>IF($H852="Cancelled","",IFERROR((T852*INDEX(Variables!$B$7:$D$7,IFERROR(MATCH(IF($B852="Robusta","Robusta",(IF($B852="","Arabica",$B852))&amp;" - "&amp;(IF($C852="","Commercial",$C852))),Variables!$B$1:$D$1,0),1))*IFERROR(IF(W852="","",(AVERAGE(E852:F852)-W852)-Variables!$B$14),"")/365)+(L852/16.67*INDEX(Variables!$B$8:$D$8,IFERROR(MATCH(IF($B852="Robusta","Robusta",(IF($B852="","Arabica",$B852))&amp;" - "&amp;(IF($C852="","Commercial",$C852))),Variables!$B$1:$D$1,0),1))*IFERROR(IF(W852="","",(AVERAGE(E852:F852)-W852)-Variables!$B$14),""))+(T852*INDEX(Variables!$B$9:$D$9,IFERROR(MATCH(IF($B852="Robusta","Robusta",(IF($B852="","Arabica",$B852))&amp;" - "&amp;(IF($C852="","Commercial",$C852))),Variables!$B$1:$D$1,0),1))*IFERROR(IF(W852="","",(AVERAGE(E852:F852)-W852)-Variables!$B$14),"")/365),""))</f>
        <v>3.5645428101994066</v>
      </c>
      <c r="AT852" s="12">
        <f>IF($H852="Cancelled","",IFERROR((T852*INDEX(Variables!$B$7:$D$7,IFERROR(MATCH(IF($B852="Robusta","Robusta",(IF($B852="","Arabica",$B852))&amp;" - "&amp;(IF($C852="","Commercial",$C852))),Variables!$B$1:$D$1,0),1))*AC852/365)+(L852/16.67*INDEX(Variables!$B$8:$D$8,IFERROR(MATCH(IF($B852="Robusta","Robusta",(IF($B852="","Arabica",$B852))&amp;" - "&amp;(IF($C852="","Commercial",$C852))),Variables!$B$1:$D$1,0),1))*AC852)+(T852*INDEX(Variables!$B$9:$D$9,IFERROR(MATCH(IF($B852="Robusta","Robusta",(IF($B852="","Arabica",$B852))&amp;" - "&amp;(IF($C852="","Commercial",$C852))),Variables!$B$1:$D$1,0),1))*AC852/365),""))</f>
        <v>-14.258171240797626</v>
      </c>
      <c r="AU852" s="12">
        <f>IF($H852="Cancelled","",IFERROR((T852*INDEX(Variables!$B$7:$D$7,IFERROR(MATCH(IF($B852="Robusta","Robusta",(IF($B852="","Arabica",$B852))&amp;" - "&amp;(IF($C852="","Commercial",$C852))),Variables!$B$1:$D$1,0),1))*AP852/365)+(L852/16.67*INDEX(Variables!$B$8:$D$8,IFERROR(MATCH(IF($B852="Robusta","Robusta",(IF($B852="","Arabica",$B852))&amp;" - "&amp;(IF($C852="","Commercial",$C852))),Variables!$B$1:$D$1,0),1))*AP852)+(T852*INDEX(Variables!$B$9:$D$9,IFERROR(MATCH(IF($B852="Robusta","Robusta",(IF($B852="","Arabica",$B852))&amp;" - "&amp;(IF($C852="","Commercial",$C852))),Variables!$B$1:$D$1,0),1))*AP852/365),""))</f>
        <v>-8.9113570254985159</v>
      </c>
      <c r="AV852" s="11">
        <f t="shared" si="85"/>
        <v>19</v>
      </c>
      <c r="AW852" s="12">
        <f>IF($H852="Cancelled","",IFERROR(IF(AV852="","",(T852*INDEX(Variables!$B$7:$D$7,IFERROR(MATCH(IF($B852="Robusta","Robusta",(IF($B852="","Arabica",$B852))&amp;" - "&amp;(IF($C852="","Commercial",$C852))),Variables!$B$1:$D$1,0),1))*(AV852/365))+(T852*INDEX(Variables!$B$9:$D$9,IFERROR(MATCH(IF($B852="Robusta","Robusta",(IF($B852="","Arabica",$B852))&amp;" - "&amp;(IF($C852="","Commercial",$C852))),Variables!$B$1:$D$1,0),1))*(AV852/365))+(INDEX(Variables!$B$8:$D$8,IFERROR(MATCH(IF($B852="Robusta","Robusta",(IF($B852="","Arabica",$B852))&amp;" - "&amp;(IF($C852="","Commercial",$C852))),Variables!$B$1:$D$1,0),1))*L852/16.67)),""))</f>
        <v>20.363156696894364</v>
      </c>
      <c r="AX852" s="9"/>
      <c r="AY852" s="12"/>
      <c r="AZ852" s="10"/>
      <c r="BA852" s="9"/>
      <c r="BB852" s="10"/>
      <c r="BC852" s="9"/>
      <c r="BD852" s="9"/>
      <c r="BE852" s="9"/>
      <c r="BF852" s="9"/>
    </row>
    <row r="853" spans="1:58" x14ac:dyDescent="0.25">
      <c r="A853" s="9" t="s">
        <v>84</v>
      </c>
      <c r="B853" s="9" t="s">
        <v>85</v>
      </c>
      <c r="C853" s="9" t="s">
        <v>1486</v>
      </c>
      <c r="D853" s="10">
        <v>45483</v>
      </c>
      <c r="E853" s="10">
        <v>45474</v>
      </c>
      <c r="F853" s="10">
        <v>45535</v>
      </c>
      <c r="G853" s="9">
        <v>3786452</v>
      </c>
      <c r="H853" s="9" t="str">
        <f t="shared" si="83"/>
        <v>Closed</v>
      </c>
      <c r="I853" s="9" t="str">
        <f t="shared" si="84"/>
        <v>All dates received</v>
      </c>
      <c r="J853" s="9" t="s">
        <v>547</v>
      </c>
      <c r="K853" s="9">
        <v>5057</v>
      </c>
      <c r="L853" s="11">
        <v>160</v>
      </c>
      <c r="M853" s="9" t="s">
        <v>1825</v>
      </c>
      <c r="N853" s="9"/>
      <c r="O853" s="9"/>
      <c r="P853" s="9"/>
      <c r="Q853" s="11"/>
      <c r="R853" s="9" t="s">
        <v>195</v>
      </c>
      <c r="S853" s="9" t="s">
        <v>1826</v>
      </c>
      <c r="T853" s="12">
        <f>IF($H853="Cancelled","",IFERROR(((Q853+INDEX(Variables!$B$6:$D$6,IFERROR(MATCH(IF($B853="Robusta","Robusta",(IF($B853="","Arabica",$B853))&amp;" - "&amp;(IF($C853="","Commercial",$C853))),Variables!$B$1:$D$1,0),1)))*22.0462)*(L853/16.67),""))</f>
        <v>61533.628890221953</v>
      </c>
      <c r="U853" s="10"/>
      <c r="V853" s="9" t="str">
        <f t="shared" si="86"/>
        <v/>
      </c>
      <c r="W853" s="10">
        <v>45488</v>
      </c>
      <c r="X853" s="9" t="str">
        <f t="shared" si="82"/>
        <v>Approved</v>
      </c>
      <c r="Y853" s="10">
        <v>45488</v>
      </c>
      <c r="Z853" s="10">
        <f>IF($H853="Cancelled","",IFERROR(IF(F853="","",F853-Variables!$B$13),""))</f>
        <v>45520</v>
      </c>
      <c r="AA853" s="11">
        <f>IF($H853="Cancelled","",IFERROR(IF(W853="","",(AVERAGE(E853:F853)-W853)-Variables!$B$14),""))</f>
        <v>-13.5</v>
      </c>
      <c r="AB853" s="10">
        <v>45513</v>
      </c>
      <c r="AC853" s="11">
        <f>IF($H853="Cancelled","",IFERROR(IF(AB853="","",IF(AND(W853="",Y853=""),"",IF(Y853&gt;W853,Y853+Variables!$B$15+Variables!$B$16+Variables!$B$17-AB853,W853+Variables!$B$16+Variables!$B$17-AB853))),""))</f>
        <v>-17</v>
      </c>
      <c r="AD853" s="9" t="s">
        <v>180</v>
      </c>
      <c r="AE853" s="9" t="s">
        <v>1827</v>
      </c>
      <c r="AF853" s="10"/>
      <c r="AG853" s="10"/>
      <c r="AH853" s="9"/>
      <c r="AI853" s="9" t="s">
        <v>1828</v>
      </c>
      <c r="AJ853" s="9" t="s">
        <v>8</v>
      </c>
      <c r="AK853" s="10">
        <v>45524</v>
      </c>
      <c r="AL853" s="10">
        <v>45539</v>
      </c>
      <c r="AM853" s="10">
        <v>45540</v>
      </c>
      <c r="AN853" s="9" t="s">
        <v>1492</v>
      </c>
      <c r="AO853" s="9"/>
      <c r="AP853" s="11">
        <f>IF($H853="Cancelled","",IFERROR(IF(OR(AK853="",AB853=""),"",(AB853+Variables!$B$18-AK853)),""))</f>
        <v>-4</v>
      </c>
      <c r="AQ853" s="11">
        <f>IF($H853="Cancelled","",IFERROR(IF(OR(AM853="",AK853=""),"",(AK853+Variables!$B$19)-AM853),""))</f>
        <v>-11</v>
      </c>
      <c r="AR853" s="12">
        <f>IF($H853="Cancelled","",IFERROR(T853*INDEX(Variables!$B$7:$D$7,IFERROR(MATCH(IF($B853="Robusta","Robusta",(IF($B853="","Arabica",$B853))&amp;" - "&amp;(IF($C853="","Commercial",$C853))),Variables!$B$1:$D$1,0),1))*(AQ853/365),""))</f>
        <v>-119.57825044678295</v>
      </c>
      <c r="AS853" s="12">
        <f>IF($H853="Cancelled","",IFERROR((T853*INDEX(Variables!$B$7:$D$7,IFERROR(MATCH(IF($B853="Robusta","Robusta",(IF($B853="","Arabica",$B853))&amp;" - "&amp;(IF($C853="","Commercial",$C853))),Variables!$B$1:$D$1,0),1))*IFERROR(IF(W853="","",(AVERAGE(E853:F853)-W853)-Variables!$B$14),"")/365)+(L853/16.67*INDEX(Variables!$B$8:$D$8,IFERROR(MATCH(IF($B853="Robusta","Robusta",(IF($B853="","Arabica",$B853))&amp;" - "&amp;(IF($C853="","Commercial",$C853))),Variables!$B$1:$D$1,0),1))*IFERROR(IF(W853="","",(AVERAGE(E853:F853)-W853)-Variables!$B$14),""))+(T853*INDEX(Variables!$B$9:$D$9,IFERROR(MATCH(IF($B853="Robusta","Robusta",(IF($B853="","Arabica",$B853))&amp;" - "&amp;(IF($C853="","Commercial",$C853))),Variables!$B$1:$D$1,0),1))*IFERROR(IF(W853="","",(AVERAGE(E853:F853)-W853)-Variables!$B$14),"")/365),""))</f>
        <v>-256.64708233435726</v>
      </c>
      <c r="AT853" s="12">
        <f>IF($H853="Cancelled","",IFERROR((T853*INDEX(Variables!$B$7:$D$7,IFERROR(MATCH(IF($B853="Robusta","Robusta",(IF($B853="","Arabica",$B853))&amp;" - "&amp;(IF($C853="","Commercial",$C853))),Variables!$B$1:$D$1,0),1))*AC853/365)+(L853/16.67*INDEX(Variables!$B$8:$D$8,IFERROR(MATCH(IF($B853="Robusta","Robusta",(IF($B853="","Arabica",$B853))&amp;" - "&amp;(IF($C853="","Commercial",$C853))),Variables!$B$1:$D$1,0),1))*AC853)+(T853*INDEX(Variables!$B$9:$D$9,IFERROR(MATCH(IF($B853="Robusta","Robusta",(IF($B853="","Arabica",$B853))&amp;" - "&amp;(IF($C853="","Commercial",$C853))),Variables!$B$1:$D$1,0),1))*AC853/365),""))</f>
        <v>-323.18521479141293</v>
      </c>
      <c r="AU853" s="12">
        <f>IF($H853="Cancelled","",IFERROR((T853*INDEX(Variables!$B$7:$D$7,IFERROR(MATCH(IF($B853="Robusta","Robusta",(IF($B853="","Arabica",$B853))&amp;" - "&amp;(IF($C853="","Commercial",$C853))),Variables!$B$1:$D$1,0),1))*AP853/365)+(L853/16.67*INDEX(Variables!$B$8:$D$8,IFERROR(MATCH(IF($B853="Robusta","Robusta",(IF($B853="","Arabica",$B853))&amp;" - "&amp;(IF($C853="","Commercial",$C853))),Variables!$B$1:$D$1,0),1))*AP853)+(T853*INDEX(Variables!$B$9:$D$9,IFERROR(MATCH(IF($B853="Robusta","Robusta",(IF($B853="","Arabica",$B853))&amp;" - "&amp;(IF($C853="","Commercial",$C853))),Variables!$B$1:$D$1,0),1))*AP853/365),""))</f>
        <v>-76.043579950920673</v>
      </c>
      <c r="AV853" s="11">
        <f t="shared" si="85"/>
        <v>11</v>
      </c>
      <c r="AW853" s="12">
        <f>IF($H853="Cancelled","",IFERROR(IF(AV853="","",(T853*INDEX(Variables!$B$7:$D$7,IFERROR(MATCH(IF($B853="Robusta","Robusta",(IF($B853="","Arabica",$B853))&amp;" - "&amp;(IF($C853="","Commercial",$C853))),Variables!$B$1:$D$1,0),1))*(AV853/365))+(T853*INDEX(Variables!$B$9:$D$9,IFERROR(MATCH(IF($B853="Robusta","Robusta",(IF($B853="","Arabica",$B853))&amp;" - "&amp;(IF($C853="","Commercial",$C853))),Variables!$B$1:$D$1,0),1))*(AV853/365))+(INDEX(Variables!$B$8:$D$8,IFERROR(MATCH(IF($B853="Robusta","Robusta",(IF($B853="","Arabica",$B853))&amp;" - "&amp;(IF($C853="","Commercial",$C853))),Variables!$B$1:$D$1,0),1))*L853/16.67)),""))</f>
        <v>129.11984486503187</v>
      </c>
      <c r="AX853" s="9"/>
      <c r="AY853" s="12"/>
      <c r="AZ853" s="10"/>
      <c r="BA853" s="9"/>
      <c r="BB853" s="10"/>
      <c r="BC853" s="9"/>
      <c r="BD853" s="9"/>
      <c r="BE853" s="9"/>
      <c r="BF853" s="9"/>
    </row>
    <row r="854" spans="1:58" x14ac:dyDescent="0.25">
      <c r="A854" s="9" t="s">
        <v>84</v>
      </c>
      <c r="B854" s="9" t="s">
        <v>85</v>
      </c>
      <c r="C854" s="9" t="s">
        <v>1486</v>
      </c>
      <c r="D854" s="10">
        <v>45491</v>
      </c>
      <c r="E854" s="10">
        <v>45505</v>
      </c>
      <c r="F854" s="10">
        <v>45535</v>
      </c>
      <c r="G854" s="9">
        <v>3786461</v>
      </c>
      <c r="H854" s="9" t="str">
        <f t="shared" si="83"/>
        <v>Closed</v>
      </c>
      <c r="I854" s="9" t="str">
        <f t="shared" si="84"/>
        <v>All dates received</v>
      </c>
      <c r="J854" s="9" t="s">
        <v>322</v>
      </c>
      <c r="K854" s="9" t="s">
        <v>1829</v>
      </c>
      <c r="L854" s="11">
        <v>29</v>
      </c>
      <c r="M854" s="9" t="s">
        <v>1830</v>
      </c>
      <c r="N854" s="9"/>
      <c r="O854" s="9"/>
      <c r="P854" s="9"/>
      <c r="Q854" s="11"/>
      <c r="R854" s="9" t="s">
        <v>195</v>
      </c>
      <c r="S854" s="9" t="s">
        <v>123</v>
      </c>
      <c r="T854" s="12">
        <f>IF($H854="Cancelled","",IFERROR(((Q854+INDEX(Variables!$B$6:$D$6,IFERROR(MATCH(IF($B854="Robusta","Robusta",(IF($B854="","Arabica",$B854))&amp;" - "&amp;(IF($C854="","Commercial",$C854))),Variables!$B$1:$D$1,0),1)))*22.0462)*(L854/16.67),""))</f>
        <v>11152.970236352729</v>
      </c>
      <c r="U854" s="10"/>
      <c r="V854" s="9" t="str">
        <f t="shared" si="86"/>
        <v/>
      </c>
      <c r="W854" s="10">
        <v>45488</v>
      </c>
      <c r="X854" s="9" t="str">
        <f t="shared" si="82"/>
        <v>Approved</v>
      </c>
      <c r="Y854" s="10">
        <v>45488</v>
      </c>
      <c r="Z854" s="10">
        <f>IF($H854="Cancelled","",IFERROR(IF(F854="","",F854-Variables!$B$13),""))</f>
        <v>45520</v>
      </c>
      <c r="AA854" s="11">
        <f>IF($H854="Cancelled","",IFERROR(IF(W854="","",(AVERAGE(E854:F854)-W854)-Variables!$B$14),""))</f>
        <v>2</v>
      </c>
      <c r="AB854" s="10">
        <v>45506</v>
      </c>
      <c r="AC854" s="11">
        <f>IF($H854="Cancelled","",IFERROR(IF(AB854="","",IF(AND(W854="",Y854=""),"",IF(Y854&gt;W854,Y854+Variables!$B$15+Variables!$B$16+Variables!$B$17-AB854,W854+Variables!$B$16+Variables!$B$17-AB854))),""))</f>
        <v>-10</v>
      </c>
      <c r="AD854" s="9" t="s">
        <v>1831</v>
      </c>
      <c r="AE854" s="9" t="s">
        <v>93</v>
      </c>
      <c r="AF854" s="10"/>
      <c r="AG854" s="10"/>
      <c r="AH854" s="9"/>
      <c r="AI854" s="9" t="s">
        <v>528</v>
      </c>
      <c r="AJ854" s="9" t="s">
        <v>529</v>
      </c>
      <c r="AK854" s="10">
        <v>45516</v>
      </c>
      <c r="AL854" s="10">
        <v>45524</v>
      </c>
      <c r="AM854" s="10">
        <v>45531</v>
      </c>
      <c r="AN854" s="9" t="s">
        <v>1492</v>
      </c>
      <c r="AO854" s="9"/>
      <c r="AP854" s="11">
        <f>IF($H854="Cancelled","",IFERROR(IF(OR(AK854="",AB854=""),"",(AB854+Variables!$B$18-AK854)),""))</f>
        <v>-3</v>
      </c>
      <c r="AQ854" s="11">
        <f>IF($H854="Cancelled","",IFERROR(IF(OR(AM854="",AK854=""),"",(AK854+Variables!$B$19)-AM854),""))</f>
        <v>-10</v>
      </c>
      <c r="AR854" s="12">
        <f>IF($H854="Cancelled","",IFERROR(T854*INDEX(Variables!$B$7:$D$7,IFERROR(MATCH(IF($B854="Robusta","Robusta",(IF($B854="","Arabica",$B854))&amp;" - "&amp;(IF($C854="","Commercial",$C854))),Variables!$B$1:$D$1,0),1))*(AQ854/365),""))</f>
        <v>-19.703234448617643</v>
      </c>
      <c r="AS854" s="12">
        <f>IF($H854="Cancelled","",IFERROR((T854*INDEX(Variables!$B$7:$D$7,IFERROR(MATCH(IF($B854="Robusta","Robusta",(IF($B854="","Arabica",$B854))&amp;" - "&amp;(IF($C854="","Commercial",$C854))),Variables!$B$1:$D$1,0),1))*IFERROR(IF(W854="","",(AVERAGE(E854:F854)-W854)-Variables!$B$14),"")/365)+(L854/16.67*INDEX(Variables!$B$8:$D$8,IFERROR(MATCH(IF($B854="Robusta","Robusta",(IF($B854="","Arabica",$B854))&amp;" - "&amp;(IF($C854="","Commercial",$C854))),Variables!$B$1:$D$1,0),1))*IFERROR(IF(W854="","",(AVERAGE(E854:F854)-W854)-Variables!$B$14),""))+(T854*INDEX(Variables!$B$9:$D$9,IFERROR(MATCH(IF($B854="Robusta","Robusta",(IF($B854="","Arabica",$B854))&amp;" - "&amp;(IF($C854="","Commercial",$C854))),Variables!$B$1:$D$1,0),1))*IFERROR(IF(W854="","",(AVERAGE(E854:F854)-W854)-Variables!$B$14),"")/365),""))</f>
        <v>6.8914494330521867</v>
      </c>
      <c r="AT854" s="12">
        <f>IF($H854="Cancelled","",IFERROR((T854*INDEX(Variables!$B$7:$D$7,IFERROR(MATCH(IF($B854="Robusta","Robusta",(IF($B854="","Arabica",$B854))&amp;" - "&amp;(IF($C854="","Commercial",$C854))),Variables!$B$1:$D$1,0),1))*AC854/365)+(L854/16.67*INDEX(Variables!$B$8:$D$8,IFERROR(MATCH(IF($B854="Robusta","Robusta",(IF($B854="","Arabica",$B854))&amp;" - "&amp;(IF($C854="","Commercial",$C854))),Variables!$B$1:$D$1,0),1))*AC854)+(T854*INDEX(Variables!$B$9:$D$9,IFERROR(MATCH(IF($B854="Robusta","Robusta",(IF($B854="","Arabica",$B854))&amp;" - "&amp;(IF($C854="","Commercial",$C854))),Variables!$B$1:$D$1,0),1))*AC854/365),""))</f>
        <v>-34.457247165260931</v>
      </c>
      <c r="AU854" s="12">
        <f>IF($H854="Cancelled","",IFERROR((T854*INDEX(Variables!$B$7:$D$7,IFERROR(MATCH(IF($B854="Robusta","Robusta",(IF($B854="","Arabica",$B854))&amp;" - "&amp;(IF($C854="","Commercial",$C854))),Variables!$B$1:$D$1,0),1))*AP854/365)+(L854/16.67*INDEX(Variables!$B$8:$D$8,IFERROR(MATCH(IF($B854="Robusta","Robusta",(IF($B854="","Arabica",$B854))&amp;" - "&amp;(IF($C854="","Commercial",$C854))),Variables!$B$1:$D$1,0),1))*AP854)+(T854*INDEX(Variables!$B$9:$D$9,IFERROR(MATCH(IF($B854="Robusta","Robusta",(IF($B854="","Arabica",$B854))&amp;" - "&amp;(IF($C854="","Commercial",$C854))),Variables!$B$1:$D$1,0),1))*AP854/365),""))</f>
        <v>-10.337174149578281</v>
      </c>
      <c r="AV854" s="11">
        <f t="shared" si="85"/>
        <v>19</v>
      </c>
      <c r="AW854" s="12">
        <f>IF($H854="Cancelled","",IFERROR(IF(AV854="","",(T854*INDEX(Variables!$B$7:$D$7,IFERROR(MATCH(IF($B854="Robusta","Robusta",(IF($B854="","Arabica",$B854))&amp;" - "&amp;(IF($C854="","Commercial",$C854))),Variables!$B$1:$D$1,0),1))*(AV854/365))+(T854*INDEX(Variables!$B$9:$D$9,IFERROR(MATCH(IF($B854="Robusta","Robusta",(IF($B854="","Arabica",$B854))&amp;" - "&amp;(IF($C854="","Commercial",$C854))),Variables!$B$1:$D$1,0),1))*(AV854/365))+(INDEX(Variables!$B$8:$D$8,IFERROR(MATCH(IF($B854="Robusta","Robusta",(IF($B854="","Arabica",$B854))&amp;" - "&amp;(IF($C854="","Commercial",$C854))),Variables!$B$1:$D$1,0),1))*L854/16.67)),""))</f>
        <v>39.368769613995774</v>
      </c>
      <c r="AX854" s="9"/>
      <c r="AY854" s="12"/>
      <c r="AZ854" s="10"/>
      <c r="BA854" s="9"/>
      <c r="BB854" s="10"/>
      <c r="BC854" s="9"/>
      <c r="BD854" s="9"/>
      <c r="BE854" s="9"/>
      <c r="BF854" s="9"/>
    </row>
    <row r="855" spans="1:58" x14ac:dyDescent="0.25">
      <c r="A855" s="9" t="s">
        <v>84</v>
      </c>
      <c r="B855" s="9" t="s">
        <v>85</v>
      </c>
      <c r="C855" s="9" t="s">
        <v>1486</v>
      </c>
      <c r="D855" s="10">
        <v>45491</v>
      </c>
      <c r="E855" s="10">
        <v>45505</v>
      </c>
      <c r="F855" s="10">
        <v>45535</v>
      </c>
      <c r="G855" s="9">
        <v>3786460</v>
      </c>
      <c r="H855" s="9" t="str">
        <f t="shared" si="83"/>
        <v>Closed</v>
      </c>
      <c r="I855" s="9" t="str">
        <f t="shared" si="84"/>
        <v>All dates received</v>
      </c>
      <c r="J855" s="9" t="s">
        <v>322</v>
      </c>
      <c r="K855" s="9" t="s">
        <v>1832</v>
      </c>
      <c r="L855" s="11">
        <v>20</v>
      </c>
      <c r="M855" s="9" t="s">
        <v>1830</v>
      </c>
      <c r="N855" s="9"/>
      <c r="O855" s="9"/>
      <c r="P855" s="9"/>
      <c r="Q855" s="11"/>
      <c r="R855" s="9" t="s">
        <v>195</v>
      </c>
      <c r="S855" s="9" t="s">
        <v>123</v>
      </c>
      <c r="T855" s="12">
        <f>IF($H855="Cancelled","",IFERROR(((Q855+INDEX(Variables!$B$6:$D$6,IFERROR(MATCH(IF($B855="Robusta","Robusta",(IF($B855="","Arabica",$B855))&amp;" - "&amp;(IF($C855="","Commercial",$C855))),Variables!$B$1:$D$1,0),1)))*22.0462)*(L855/16.67),""))</f>
        <v>7691.7036112777441</v>
      </c>
      <c r="U855" s="10"/>
      <c r="V855" s="9" t="str">
        <f t="shared" si="86"/>
        <v/>
      </c>
      <c r="W855" s="10">
        <v>45488</v>
      </c>
      <c r="X855" s="9" t="str">
        <f t="shared" si="82"/>
        <v>Approved</v>
      </c>
      <c r="Y855" s="10">
        <v>45488</v>
      </c>
      <c r="Z855" s="10">
        <f>IF($H855="Cancelled","",IFERROR(IF(F855="","",F855-Variables!$B$13),""))</f>
        <v>45520</v>
      </c>
      <c r="AA855" s="11">
        <f>IF($H855="Cancelled","",IFERROR(IF(W855="","",(AVERAGE(E855:F855)-W855)-Variables!$B$14),""))</f>
        <v>2</v>
      </c>
      <c r="AB855" s="10">
        <v>45517</v>
      </c>
      <c r="AC855" s="11">
        <f>IF($H855="Cancelled","",IFERROR(IF(AB855="","",IF(AND(W855="",Y855=""),"",IF(Y855&gt;W855,Y855+Variables!$B$15+Variables!$B$16+Variables!$B$17-AB855,W855+Variables!$B$16+Variables!$B$17-AB855))),""))</f>
        <v>-21</v>
      </c>
      <c r="AD855" s="9" t="s">
        <v>107</v>
      </c>
      <c r="AE855" s="9" t="s">
        <v>555</v>
      </c>
      <c r="AF855" s="10"/>
      <c r="AG855" s="10"/>
      <c r="AH855" s="9"/>
      <c r="AI855" s="9" t="s">
        <v>1801</v>
      </c>
      <c r="AJ855" s="9" t="s">
        <v>1802</v>
      </c>
      <c r="AK855" s="10">
        <v>45537</v>
      </c>
      <c r="AL855" s="10">
        <v>45540</v>
      </c>
      <c r="AM855" s="10">
        <v>45523</v>
      </c>
      <c r="AN855" s="9" t="s">
        <v>1492</v>
      </c>
      <c r="AO855" s="9"/>
      <c r="AP855" s="11">
        <f>IF($H855="Cancelled","",IFERROR(IF(OR(AK855="",AB855=""),"",(AB855+Variables!$B$18-AK855)),""))</f>
        <v>-13</v>
      </c>
      <c r="AQ855" s="11">
        <f>IF($H855="Cancelled","",IFERROR(IF(OR(AM855="",AK855=""),"",(AK855+Variables!$B$19)-AM855),""))</f>
        <v>19</v>
      </c>
      <c r="AR855" s="12">
        <f>IF($H855="Cancelled","",IFERROR(T855*INDEX(Variables!$B$7:$D$7,IFERROR(MATCH(IF($B855="Robusta","Robusta",(IF($B855="","Arabica",$B855))&amp;" - "&amp;(IF($C855="","Commercial",$C855))),Variables!$B$1:$D$1,0),1))*(AQ855/365),""))</f>
        <v>25.818031346464497</v>
      </c>
      <c r="AS855" s="12">
        <f>IF($H855="Cancelled","",IFERROR((T855*INDEX(Variables!$B$7:$D$7,IFERROR(MATCH(IF($B855="Robusta","Robusta",(IF($B855="","Arabica",$B855))&amp;" - "&amp;(IF($C855="","Commercial",$C855))),Variables!$B$1:$D$1,0),1))*IFERROR(IF(W855="","",(AVERAGE(E855:F855)-W855)-Variables!$B$14),"")/365)+(L855/16.67*INDEX(Variables!$B$8:$D$8,IFERROR(MATCH(IF($B855="Robusta","Robusta",(IF($B855="","Arabica",$B855))&amp;" - "&amp;(IF($C855="","Commercial",$C855))),Variables!$B$1:$D$1,0),1))*IFERROR(IF(W855="","",(AVERAGE(E855:F855)-W855)-Variables!$B$14),""))+(T855*INDEX(Variables!$B$9:$D$9,IFERROR(MATCH(IF($B855="Robusta","Robusta",(IF($B855="","Arabica",$B855))&amp;" - "&amp;(IF($C855="","Commercial",$C855))),Variables!$B$1:$D$1,0),1))*IFERROR(IF(W855="","",(AVERAGE(E855:F855)-W855)-Variables!$B$14),"")/365),""))</f>
        <v>4.7527237469325421</v>
      </c>
      <c r="AT855" s="12">
        <f>IF($H855="Cancelled","",IFERROR((T855*INDEX(Variables!$B$7:$D$7,IFERROR(MATCH(IF($B855="Robusta","Robusta",(IF($B855="","Arabica",$B855))&amp;" - "&amp;(IF($C855="","Commercial",$C855))),Variables!$B$1:$D$1,0),1))*AC855/365)+(L855/16.67*INDEX(Variables!$B$8:$D$8,IFERROR(MATCH(IF($B855="Robusta","Robusta",(IF($B855="","Arabica",$B855))&amp;" - "&amp;(IF($C855="","Commercial",$C855))),Variables!$B$1:$D$1,0),1))*AC855)+(T855*INDEX(Variables!$B$9:$D$9,IFERROR(MATCH(IF($B855="Robusta","Robusta",(IF($B855="","Arabica",$B855))&amp;" - "&amp;(IF($C855="","Commercial",$C855))),Variables!$B$1:$D$1,0),1))*AC855/365),""))</f>
        <v>-49.903599342791694</v>
      </c>
      <c r="AU855" s="12">
        <f>IF($H855="Cancelled","",IFERROR((T855*INDEX(Variables!$B$7:$D$7,IFERROR(MATCH(IF($B855="Robusta","Robusta",(IF($B855="","Arabica",$B855))&amp;" - "&amp;(IF($C855="","Commercial",$C855))),Variables!$B$1:$D$1,0),1))*AP855/365)+(L855/16.67*INDEX(Variables!$B$8:$D$8,IFERROR(MATCH(IF($B855="Robusta","Robusta",(IF($B855="","Arabica",$B855))&amp;" - "&amp;(IF($C855="","Commercial",$C855))),Variables!$B$1:$D$1,0),1))*AP855)+(T855*INDEX(Variables!$B$9:$D$9,IFERROR(MATCH(IF($B855="Robusta","Robusta",(IF($B855="","Arabica",$B855))&amp;" - "&amp;(IF($C855="","Commercial",$C855))),Variables!$B$1:$D$1,0),1))*AP855/365),""))</f>
        <v>-30.892704355061522</v>
      </c>
      <c r="AV855" s="11">
        <f t="shared" si="85"/>
        <v>-2</v>
      </c>
      <c r="AW855" s="12">
        <f>IF($H855="Cancelled","",IFERROR(IF(AV855="","",(T855*INDEX(Variables!$B$7:$D$7,IFERROR(MATCH(IF($B855="Robusta","Robusta",(IF($B855="","Arabica",$B855))&amp;" - "&amp;(IF($C855="","Commercial",$C855))),Variables!$B$1:$D$1,0),1))*(AV855/365))+(T855*INDEX(Variables!$B$9:$D$9,IFERROR(MATCH(IF($B855="Robusta","Robusta",(IF($B855="","Arabica",$B855))&amp;" - "&amp;(IF($C855="","Commercial",$C855))),Variables!$B$1:$D$1,0),1))*(AV855/365))+(INDEX(Variables!$B$8:$D$8,IFERROR(MATCH(IF($B855="Robusta","Robusta",(IF($B855="","Arabica",$B855))&amp;" - "&amp;(IF($C855="","Commercial",$C855))),Variables!$B$1:$D$1,0),1))*L855/16.67)),""))</f>
        <v>-1.7527237469325425</v>
      </c>
      <c r="AX855" s="9"/>
      <c r="AY855" s="12"/>
      <c r="AZ855" s="10"/>
      <c r="BA855" s="9"/>
      <c r="BB855" s="10"/>
      <c r="BC855" s="9"/>
      <c r="BD855" s="9"/>
      <c r="BE855" s="9"/>
      <c r="BF855" s="9"/>
    </row>
    <row r="856" spans="1:58" x14ac:dyDescent="0.25">
      <c r="A856" s="9" t="s">
        <v>84</v>
      </c>
      <c r="B856" s="9" t="s">
        <v>85</v>
      </c>
      <c r="C856" s="9" t="s">
        <v>1486</v>
      </c>
      <c r="D856" s="10">
        <v>45504</v>
      </c>
      <c r="E856" s="10">
        <v>45505</v>
      </c>
      <c r="F856" s="10">
        <v>45535</v>
      </c>
      <c r="G856" s="9">
        <v>3786475</v>
      </c>
      <c r="H856" s="9" t="str">
        <f t="shared" si="83"/>
        <v>Closed</v>
      </c>
      <c r="I856" s="9" t="str">
        <f t="shared" si="84"/>
        <v>All dates received</v>
      </c>
      <c r="J856" s="9" t="s">
        <v>355</v>
      </c>
      <c r="K856" s="9" t="s">
        <v>1833</v>
      </c>
      <c r="L856" s="11">
        <v>50</v>
      </c>
      <c r="M856" s="9" t="s">
        <v>1834</v>
      </c>
      <c r="N856" s="9"/>
      <c r="O856" s="9"/>
      <c r="P856" s="9"/>
      <c r="Q856" s="11"/>
      <c r="R856" s="9" t="s">
        <v>195</v>
      </c>
      <c r="S856" s="9" t="s">
        <v>578</v>
      </c>
      <c r="T856" s="12">
        <f>IF($H856="Cancelled","",IFERROR(((Q856+INDEX(Variables!$B$6:$D$6,IFERROR(MATCH(IF($B856="Robusta","Robusta",(IF($B856="","Arabica",$B856))&amp;" - "&amp;(IF($C856="","Commercial",$C856))),Variables!$B$1:$D$1,0),1)))*22.0462)*(L856/16.67),""))</f>
        <v>19229.259028194359</v>
      </c>
      <c r="U856" s="10"/>
      <c r="V856" s="9" t="str">
        <f t="shared" si="86"/>
        <v/>
      </c>
      <c r="W856" s="10">
        <v>45488</v>
      </c>
      <c r="X856" s="9" t="str">
        <f t="shared" si="82"/>
        <v>Approved</v>
      </c>
      <c r="Y856" s="10">
        <v>45488</v>
      </c>
      <c r="Z856" s="10">
        <f>IF($H856="Cancelled","",IFERROR(IF(F856="","",F856-Variables!$B$13),""))</f>
        <v>45520</v>
      </c>
      <c r="AA856" s="11">
        <f>IF($H856="Cancelled","",IFERROR(IF(W856="","",(AVERAGE(E856:F856)-W856)-Variables!$B$14),""))</f>
        <v>2</v>
      </c>
      <c r="AB856" s="10">
        <v>45516</v>
      </c>
      <c r="AC856" s="11">
        <f>IF($H856="Cancelled","",IFERROR(IF(AB856="","",IF(AND(W856="",Y856=""),"",IF(Y856&gt;W856,Y856+Variables!$B$15+Variables!$B$16+Variables!$B$17-AB856,W856+Variables!$B$16+Variables!$B$17-AB856))),""))</f>
        <v>-20</v>
      </c>
      <c r="AD856" s="9" t="s">
        <v>130</v>
      </c>
      <c r="AE856" s="9" t="s">
        <v>579</v>
      </c>
      <c r="AF856" s="10"/>
      <c r="AG856" s="10"/>
      <c r="AH856" s="9"/>
      <c r="AI856" s="9" t="s">
        <v>580</v>
      </c>
      <c r="AJ856" s="9" t="s">
        <v>581</v>
      </c>
      <c r="AK856" s="10">
        <v>45532</v>
      </c>
      <c r="AL856" s="10">
        <v>45533</v>
      </c>
      <c r="AM856" s="10">
        <v>45545</v>
      </c>
      <c r="AN856" s="9" t="s">
        <v>1492</v>
      </c>
      <c r="AO856" s="9"/>
      <c r="AP856" s="11">
        <f>IF($H856="Cancelled","",IFERROR(IF(OR(AK856="",AB856=""),"",(AB856+Variables!$B$18-AK856)),""))</f>
        <v>-9</v>
      </c>
      <c r="AQ856" s="11">
        <f>IF($H856="Cancelled","",IFERROR(IF(OR(AM856="",AK856=""),"",(AK856+Variables!$B$19)-AM856),""))</f>
        <v>-8</v>
      </c>
      <c r="AR856" s="12">
        <f>IF($H856="Cancelled","",IFERROR(T856*INDEX(Variables!$B$7:$D$7,IFERROR(MATCH(IF($B856="Robusta","Robusta",(IF($B856="","Arabica",$B856))&amp;" - "&amp;(IF($C856="","Commercial",$C856))),Variables!$B$1:$D$1,0),1))*(AQ856/365),""))</f>
        <v>-27.176875101541576</v>
      </c>
      <c r="AS856" s="12">
        <f>IF($H856="Cancelled","",IFERROR((T856*INDEX(Variables!$B$7:$D$7,IFERROR(MATCH(IF($B856="Robusta","Robusta",(IF($B856="","Arabica",$B856))&amp;" - "&amp;(IF($C856="","Commercial",$C856))),Variables!$B$1:$D$1,0),1))*IFERROR(IF(W856="","",(AVERAGE(E856:F856)-W856)-Variables!$B$14),"")/365)+(L856/16.67*INDEX(Variables!$B$8:$D$8,IFERROR(MATCH(IF($B856="Robusta","Robusta",(IF($B856="","Arabica",$B856))&amp;" - "&amp;(IF($C856="","Commercial",$C856))),Variables!$B$1:$D$1,0),1))*IFERROR(IF(W856="","",(AVERAGE(E856:F856)-W856)-Variables!$B$14),""))+(T856*INDEX(Variables!$B$9:$D$9,IFERROR(MATCH(IF($B856="Robusta","Robusta",(IF($B856="","Arabica",$B856))&amp;" - "&amp;(IF($C856="","Commercial",$C856))),Variables!$B$1:$D$1,0),1))*IFERROR(IF(W856="","",(AVERAGE(E856:F856)-W856)-Variables!$B$14),"")/365),""))</f>
        <v>11.881809367331355</v>
      </c>
      <c r="AT856" s="12">
        <f>IF($H856="Cancelled","",IFERROR((T856*INDEX(Variables!$B$7:$D$7,IFERROR(MATCH(IF($B856="Robusta","Robusta",(IF($B856="","Arabica",$B856))&amp;" - "&amp;(IF($C856="","Commercial",$C856))),Variables!$B$1:$D$1,0),1))*AC856/365)+(L856/16.67*INDEX(Variables!$B$8:$D$8,IFERROR(MATCH(IF($B856="Robusta","Robusta",(IF($B856="","Arabica",$B856))&amp;" - "&amp;(IF($C856="","Commercial",$C856))),Variables!$B$1:$D$1,0),1))*AC856)+(T856*INDEX(Variables!$B$9:$D$9,IFERROR(MATCH(IF($B856="Robusta","Robusta",(IF($B856="","Arabica",$B856))&amp;" - "&amp;(IF($C856="","Commercial",$C856))),Variables!$B$1:$D$1,0),1))*AC856/365),""))</f>
        <v>-118.81809367331356</v>
      </c>
      <c r="AU856" s="12">
        <f>IF($H856="Cancelled","",IFERROR((T856*INDEX(Variables!$B$7:$D$7,IFERROR(MATCH(IF($B856="Robusta","Robusta",(IF($B856="","Arabica",$B856))&amp;" - "&amp;(IF($C856="","Commercial",$C856))),Variables!$B$1:$D$1,0),1))*AP856/365)+(L856/16.67*INDEX(Variables!$B$8:$D$8,IFERROR(MATCH(IF($B856="Robusta","Robusta",(IF($B856="","Arabica",$B856))&amp;" - "&amp;(IF($C856="","Commercial",$C856))),Variables!$B$1:$D$1,0),1))*AP856)+(T856*INDEX(Variables!$B$9:$D$9,IFERROR(MATCH(IF($B856="Robusta","Robusta",(IF($B856="","Arabica",$B856))&amp;" - "&amp;(IF($C856="","Commercial",$C856))),Variables!$B$1:$D$1,0),1))*AP856/365),""))</f>
        <v>-53.468142152991106</v>
      </c>
      <c r="AV856" s="11">
        <f t="shared" si="85"/>
        <v>3</v>
      </c>
      <c r="AW856" s="12">
        <f>IF($H856="Cancelled","",IFERROR(IF(AV856="","",(T856*INDEX(Variables!$B$7:$D$7,IFERROR(MATCH(IF($B856="Robusta","Robusta",(IF($B856="","Arabica",$B856))&amp;" - "&amp;(IF($C856="","Commercial",$C856))),Variables!$B$1:$D$1,0),1))*(AV856/365))+(T856*INDEX(Variables!$B$9:$D$9,IFERROR(MATCH(IF($B856="Robusta","Robusta",(IF($B856="","Arabica",$B856))&amp;" - "&amp;(IF($C856="","Commercial",$C856))),Variables!$B$1:$D$1,0),1))*(AV856/365))+(INDEX(Variables!$B$8:$D$8,IFERROR(MATCH(IF($B856="Robusta","Robusta",(IF($B856="","Arabica",$B856))&amp;" - "&amp;(IF($C856="","Commercial",$C856))),Variables!$B$1:$D$1,0),1))*L856/16.67)),""))</f>
        <v>12.822714050997032</v>
      </c>
      <c r="AX856" s="9"/>
      <c r="AY856" s="12"/>
      <c r="AZ856" s="10"/>
      <c r="BA856" s="9"/>
      <c r="BB856" s="10"/>
      <c r="BC856" s="9"/>
      <c r="BD856" s="9"/>
      <c r="BE856" s="9"/>
      <c r="BF856" s="9"/>
    </row>
    <row r="857" spans="1:58" x14ac:dyDescent="0.25">
      <c r="A857" s="9" t="s">
        <v>84</v>
      </c>
      <c r="B857" s="9" t="s">
        <v>85</v>
      </c>
      <c r="C857" s="9" t="s">
        <v>1486</v>
      </c>
      <c r="D857" s="10">
        <v>45504</v>
      </c>
      <c r="E857" s="10">
        <v>45536</v>
      </c>
      <c r="F857" s="10">
        <v>45565</v>
      </c>
      <c r="G857" s="9">
        <v>3786474</v>
      </c>
      <c r="H857" s="9" t="str">
        <f t="shared" si="83"/>
        <v>Closed</v>
      </c>
      <c r="I857" s="9" t="str">
        <f t="shared" si="84"/>
        <v>All dates received</v>
      </c>
      <c r="J857" s="9" t="s">
        <v>303</v>
      </c>
      <c r="K857" s="9">
        <v>5077</v>
      </c>
      <c r="L857" s="11">
        <v>10</v>
      </c>
      <c r="M857" s="9" t="s">
        <v>1835</v>
      </c>
      <c r="N857" s="9"/>
      <c r="O857" s="9"/>
      <c r="P857" s="9"/>
      <c r="Q857" s="11"/>
      <c r="R857" s="9" t="s">
        <v>195</v>
      </c>
      <c r="S857" s="9" t="s">
        <v>91</v>
      </c>
      <c r="T857" s="12">
        <f>IF($H857="Cancelled","",IFERROR(((Q857+INDEX(Variables!$B$6:$D$6,IFERROR(MATCH(IF($B857="Robusta","Robusta",(IF($B857="","Arabica",$B857))&amp;" - "&amp;(IF($C857="","Commercial",$C857))),Variables!$B$1:$D$1,0),1)))*22.0462)*(L857/16.67),""))</f>
        <v>3845.8518056388721</v>
      </c>
      <c r="U857" s="10"/>
      <c r="V857" s="9" t="str">
        <f t="shared" si="86"/>
        <v/>
      </c>
      <c r="W857" s="10">
        <v>45519</v>
      </c>
      <c r="X857" s="9" t="str">
        <f t="shared" si="82"/>
        <v>Approved</v>
      </c>
      <c r="Y857" s="10">
        <v>45519</v>
      </c>
      <c r="Z857" s="10">
        <f>IF($H857="Cancelled","",IFERROR(IF(F857="","",F857-Variables!$B$13),""))</f>
        <v>45550</v>
      </c>
      <c r="AA857" s="11">
        <f>IF($H857="Cancelled","",IFERROR(IF(W857="","",(AVERAGE(E857:F857)-W857)-Variables!$B$14),""))</f>
        <v>1.5</v>
      </c>
      <c r="AB857" s="10">
        <v>45524</v>
      </c>
      <c r="AC857" s="11">
        <f>IF($H857="Cancelled","",IFERROR(IF(AB857="","",IF(AND(W857="",Y857=""),"",IF(Y857&gt;W857,Y857+Variables!$B$15+Variables!$B$16+Variables!$B$17-AB857,W857+Variables!$B$16+Variables!$B$17-AB857))),""))</f>
        <v>3</v>
      </c>
      <c r="AD857" s="9" t="s">
        <v>180</v>
      </c>
      <c r="AE857" s="9" t="s">
        <v>98</v>
      </c>
      <c r="AF857" s="10"/>
      <c r="AG857" s="10"/>
      <c r="AH857" s="9"/>
      <c r="AI857" s="9" t="s">
        <v>634</v>
      </c>
      <c r="AJ857" s="9" t="s">
        <v>8</v>
      </c>
      <c r="AK857" s="10">
        <v>45539</v>
      </c>
      <c r="AL857" s="10">
        <v>45541</v>
      </c>
      <c r="AM857" s="10">
        <v>45554</v>
      </c>
      <c r="AN857" s="9" t="s">
        <v>1492</v>
      </c>
      <c r="AO857" s="9"/>
      <c r="AP857" s="11">
        <f>IF($H857="Cancelled","",IFERROR(IF(OR(AK857="",AB857=""),"",(AB857+Variables!$B$18-AK857)),""))</f>
        <v>-8</v>
      </c>
      <c r="AQ857" s="11">
        <f>IF($H857="Cancelled","",IFERROR(IF(OR(AM857="",AK857=""),"",(AK857+Variables!$B$19)-AM857),""))</f>
        <v>-10</v>
      </c>
      <c r="AR857" s="12">
        <f>IF($H857="Cancelled","",IFERROR(T857*INDEX(Variables!$B$7:$D$7,IFERROR(MATCH(IF($B857="Robusta","Robusta",(IF($B857="","Arabica",$B857))&amp;" - "&amp;(IF($C857="","Commercial",$C857))),Variables!$B$1:$D$1,0),1))*(AQ857/365),""))</f>
        <v>-6.794218775385394</v>
      </c>
      <c r="AS857" s="12">
        <f>IF($H857="Cancelled","",IFERROR((T857*INDEX(Variables!$B$7:$D$7,IFERROR(MATCH(IF($B857="Robusta","Robusta",(IF($B857="","Arabica",$B857))&amp;" - "&amp;(IF($C857="","Commercial",$C857))),Variables!$B$1:$D$1,0),1))*IFERROR(IF(W857="","",(AVERAGE(E857:F857)-W857)-Variables!$B$14),"")/365)+(L857/16.67*INDEX(Variables!$B$8:$D$8,IFERROR(MATCH(IF($B857="Robusta","Robusta",(IF($B857="","Arabica",$B857))&amp;" - "&amp;(IF($C857="","Commercial",$C857))),Variables!$B$1:$D$1,0),1))*IFERROR(IF(W857="","",(AVERAGE(E857:F857)-W857)-Variables!$B$14),""))+(T857*INDEX(Variables!$B$9:$D$9,IFERROR(MATCH(IF($B857="Robusta","Robusta",(IF($B857="","Arabica",$B857))&amp;" - "&amp;(IF($C857="","Commercial",$C857))),Variables!$B$1:$D$1,0),1))*IFERROR(IF(W857="","",(AVERAGE(E857:F857)-W857)-Variables!$B$14),"")/365),""))</f>
        <v>1.7822714050997033</v>
      </c>
      <c r="AT857" s="12">
        <f>IF($H857="Cancelled","",IFERROR((T857*INDEX(Variables!$B$7:$D$7,IFERROR(MATCH(IF($B857="Robusta","Robusta",(IF($B857="","Arabica",$B857))&amp;" - "&amp;(IF($C857="","Commercial",$C857))),Variables!$B$1:$D$1,0),1))*AC857/365)+(L857/16.67*INDEX(Variables!$B$8:$D$8,IFERROR(MATCH(IF($B857="Robusta","Robusta",(IF($B857="","Arabica",$B857))&amp;" - "&amp;(IF($C857="","Commercial",$C857))),Variables!$B$1:$D$1,0),1))*AC857)+(T857*INDEX(Variables!$B$9:$D$9,IFERROR(MATCH(IF($B857="Robusta","Robusta",(IF($B857="","Arabica",$B857))&amp;" - "&amp;(IF($C857="","Commercial",$C857))),Variables!$B$1:$D$1,0),1))*AC857/365),""))</f>
        <v>3.5645428101994066</v>
      </c>
      <c r="AU857" s="12">
        <f>IF($H857="Cancelled","",IFERROR((T857*INDEX(Variables!$B$7:$D$7,IFERROR(MATCH(IF($B857="Robusta","Robusta",(IF($B857="","Arabica",$B857))&amp;" - "&amp;(IF($C857="","Commercial",$C857))),Variables!$B$1:$D$1,0),1))*AP857/365)+(L857/16.67*INDEX(Variables!$B$8:$D$8,IFERROR(MATCH(IF($B857="Robusta","Robusta",(IF($B857="","Arabica",$B857))&amp;" - "&amp;(IF($C857="","Commercial",$C857))),Variables!$B$1:$D$1,0),1))*AP857)+(T857*INDEX(Variables!$B$9:$D$9,IFERROR(MATCH(IF($B857="Robusta","Robusta",(IF($B857="","Arabica",$B857))&amp;" - "&amp;(IF($C857="","Commercial",$C857))),Variables!$B$1:$D$1,0),1))*AP857/365),""))</f>
        <v>-9.5054474938650841</v>
      </c>
      <c r="AV857" s="11">
        <f t="shared" si="85"/>
        <v>26</v>
      </c>
      <c r="AW857" s="12">
        <f>IF($H857="Cancelled","",IFERROR(IF(AV857="","",(T857*INDEX(Variables!$B$7:$D$7,IFERROR(MATCH(IF($B857="Robusta","Robusta",(IF($B857="","Arabica",$B857))&amp;" - "&amp;(IF($C857="","Commercial",$C857))),Variables!$B$1:$D$1,0),1))*(AV857/365))+(T857*INDEX(Variables!$B$9:$D$9,IFERROR(MATCH(IF($B857="Robusta","Robusta",(IF($B857="","Arabica",$B857))&amp;" - "&amp;(IF($C857="","Commercial",$C857))),Variables!$B$1:$D$1,0),1))*(AV857/365))+(INDEX(Variables!$B$8:$D$8,IFERROR(MATCH(IF($B857="Robusta","Robusta",(IF($B857="","Arabica",$B857))&amp;" - "&amp;(IF($C857="","Commercial",$C857))),Variables!$B$1:$D$1,0),1))*L857/16.67)),""))</f>
        <v>18.392704355061522</v>
      </c>
      <c r="AX857" s="9"/>
      <c r="AY857" s="12"/>
      <c r="AZ857" s="10"/>
      <c r="BA857" s="9"/>
      <c r="BB857" s="10"/>
      <c r="BC857" s="9"/>
      <c r="BD857" s="9"/>
      <c r="BE857" s="9"/>
      <c r="BF857" s="9"/>
    </row>
    <row r="858" spans="1:58" x14ac:dyDescent="0.25">
      <c r="A858" s="9" t="s">
        <v>84</v>
      </c>
      <c r="B858" s="9" t="s">
        <v>85</v>
      </c>
      <c r="C858" s="9" t="s">
        <v>1486</v>
      </c>
      <c r="D858" s="10">
        <v>45646</v>
      </c>
      <c r="E858" s="10">
        <v>45658</v>
      </c>
      <c r="F858" s="10">
        <v>45688</v>
      </c>
      <c r="G858" s="9">
        <v>3786582</v>
      </c>
      <c r="H858" s="9" t="str">
        <f t="shared" si="83"/>
        <v>Closed</v>
      </c>
      <c r="I858" s="9" t="str">
        <f t="shared" si="84"/>
        <v>All dates received</v>
      </c>
      <c r="J858" s="9" t="s">
        <v>1487</v>
      </c>
      <c r="K858" s="9" t="s">
        <v>1836</v>
      </c>
      <c r="L858" s="11">
        <v>60</v>
      </c>
      <c r="M858" s="9" t="s">
        <v>1837</v>
      </c>
      <c r="N858" s="9"/>
      <c r="O858" s="9"/>
      <c r="P858" s="9"/>
      <c r="Q858" s="11">
        <v>145.99</v>
      </c>
      <c r="R858" s="9" t="s">
        <v>195</v>
      </c>
      <c r="S858" s="9" t="s">
        <v>183</v>
      </c>
      <c r="T858" s="12">
        <f>IF($H858="Cancelled","",IFERROR(((Q858+INDEX(Variables!$B$6:$D$6,IFERROR(MATCH(IF($B858="Robusta","Robusta",(IF($B858="","Arabica",$B858))&amp;" - "&amp;(IF($C858="","Commercial",$C858))),Variables!$B$1:$D$1,0),1)))*22.0462)*(L858/16.67),""))</f>
        <v>34659.483016196755</v>
      </c>
      <c r="U858" s="10"/>
      <c r="V858" s="9" t="str">
        <f t="shared" si="86"/>
        <v/>
      </c>
      <c r="W858" s="10">
        <v>45641</v>
      </c>
      <c r="X858" s="9" t="str">
        <f t="shared" si="82"/>
        <v>Approved</v>
      </c>
      <c r="Y858" s="10">
        <v>45641</v>
      </c>
      <c r="Z858" s="10">
        <f>IF($H858="Cancelled","",IFERROR(IF(F858="","",F858-Variables!$B$13),""))</f>
        <v>45673</v>
      </c>
      <c r="AA858" s="11">
        <f>IF($H858="Cancelled","",IFERROR(IF(W858="","",(AVERAGE(E858:F858)-W858)-Variables!$B$14),""))</f>
        <v>2</v>
      </c>
      <c r="AB858" s="10">
        <v>45671</v>
      </c>
      <c r="AC858" s="11">
        <f>IF($H858="Cancelled","",IFERROR(IF(AB858="","",IF(AND(W858="",Y858=""),"",IF(Y858&gt;W858,Y858+Variables!$B$15+Variables!$B$16+Variables!$B$17-AB858,W858+Variables!$B$16+Variables!$B$17-AB858))),""))</f>
        <v>-22</v>
      </c>
      <c r="AD858" s="9" t="s">
        <v>107</v>
      </c>
      <c r="AE858" s="9" t="s">
        <v>662</v>
      </c>
      <c r="AF858" s="10">
        <v>45687</v>
      </c>
      <c r="AG858" s="10"/>
      <c r="AH858" s="9"/>
      <c r="AI858" s="9" t="s">
        <v>1838</v>
      </c>
      <c r="AJ858" s="9" t="s">
        <v>1839</v>
      </c>
      <c r="AK858" s="10">
        <v>45688</v>
      </c>
      <c r="AL858" s="10">
        <v>45693</v>
      </c>
      <c r="AM858" s="10">
        <v>45699</v>
      </c>
      <c r="AN858" s="9" t="s">
        <v>1492</v>
      </c>
      <c r="AO858" s="9"/>
      <c r="AP858" s="11">
        <f>IF($H858="Cancelled","",IFERROR(IF(OR(AK858="",AB858=""),"",(AB858+Variables!$B$18-AK858)),""))</f>
        <v>-10</v>
      </c>
      <c r="AQ858" s="11">
        <f>IF($H858="Cancelled","",IFERROR(IF(OR(AM858="",AK858=""),"",(AK858+Variables!$B$19)-AM858),""))</f>
        <v>-6</v>
      </c>
      <c r="AR858" s="12">
        <f>IF($H858="Cancelled","",IFERROR(T858*INDEX(Variables!$B$7:$D$7,IFERROR(MATCH(IF($B858="Robusta","Robusta",(IF($B858="","Arabica",$B858))&amp;" - "&amp;(IF($C858="","Commercial",$C858))),Variables!$B$1:$D$1,0),1))*(AQ858/365),""))</f>
        <v>-36.738406286252093</v>
      </c>
      <c r="AS858" s="12">
        <f>IF($H858="Cancelled","",IFERROR((T858*INDEX(Variables!$B$7:$D$7,IFERROR(MATCH(IF($B858="Robusta","Robusta",(IF($B858="","Arabica",$B858))&amp;" - "&amp;(IF($C858="","Commercial",$C858))),Variables!$B$1:$D$1,0),1))*IFERROR(IF(W858="","",(AVERAGE(E858:F858)-W858)-Variables!$B$14),"")/365)+(L858/16.67*INDEX(Variables!$B$8:$D$8,IFERROR(MATCH(IF($B858="Robusta","Robusta",(IF($B858="","Arabica",$B858))&amp;" - "&amp;(IF($C858="","Commercial",$C858))),Variables!$B$1:$D$1,0),1))*IFERROR(IF(W858="","",(AVERAGE(E858:F858)-W858)-Variables!$B$14),""))+(T858*INDEX(Variables!$B$9:$D$9,IFERROR(MATCH(IF($B858="Robusta","Robusta",(IF($B858="","Arabica",$B858))&amp;" - "&amp;(IF($C858="","Commercial",$C858))),Variables!$B$1:$D$1,0),1))*IFERROR(IF(W858="","",(AVERAGE(E858:F858)-W858)-Variables!$B$14),"")/365),""))</f>
        <v>18.404011747826665</v>
      </c>
      <c r="AT858" s="12">
        <f>IF($H858="Cancelled","",IFERROR((T858*INDEX(Variables!$B$7:$D$7,IFERROR(MATCH(IF($B858="Robusta","Robusta",(IF($B858="","Arabica",$B858))&amp;" - "&amp;(IF($C858="","Commercial",$C858))),Variables!$B$1:$D$1,0),1))*AC858/365)+(L858/16.67*INDEX(Variables!$B$8:$D$8,IFERROR(MATCH(IF($B858="Robusta","Robusta",(IF($B858="","Arabica",$B858))&amp;" - "&amp;(IF($C858="","Commercial",$C858))),Variables!$B$1:$D$1,0),1))*AC858)+(T858*INDEX(Variables!$B$9:$D$9,IFERROR(MATCH(IF($B858="Robusta","Robusta",(IF($B858="","Arabica",$B858))&amp;" - "&amp;(IF($C858="","Commercial",$C858))),Variables!$B$1:$D$1,0),1))*AC858/365),""))</f>
        <v>-202.44412922609334</v>
      </c>
      <c r="AU858" s="12">
        <f>IF($H858="Cancelled","",IFERROR((T858*INDEX(Variables!$B$7:$D$7,IFERROR(MATCH(IF($B858="Robusta","Robusta",(IF($B858="","Arabica",$B858))&amp;" - "&amp;(IF($C858="","Commercial",$C858))),Variables!$B$1:$D$1,0),1))*AP858/365)+(L858/16.67*INDEX(Variables!$B$8:$D$8,IFERROR(MATCH(IF($B858="Robusta","Robusta",(IF($B858="","Arabica",$B858))&amp;" - "&amp;(IF($C858="","Commercial",$C858))),Variables!$B$1:$D$1,0),1))*AP858)+(T858*INDEX(Variables!$B$9:$D$9,IFERROR(MATCH(IF($B858="Robusta","Robusta",(IF($B858="","Arabica",$B858))&amp;" - "&amp;(IF($C858="","Commercial",$C858))),Variables!$B$1:$D$1,0),1))*AP858/365),""))</f>
        <v>-92.020058739133347</v>
      </c>
      <c r="AV858" s="11">
        <f t="shared" si="85"/>
        <v>0</v>
      </c>
      <c r="AW858" s="12">
        <f>IF($H858="Cancelled","",IFERROR(IF(AV858="","",(T858*INDEX(Variables!$B$7:$D$7,IFERROR(MATCH(IF($B858="Robusta","Robusta",(IF($B858="","Arabica",$B858))&amp;" - "&amp;(IF($C858="","Commercial",$C858))),Variables!$B$1:$D$1,0),1))*(AV858/365))+(T858*INDEX(Variables!$B$9:$D$9,IFERROR(MATCH(IF($B858="Robusta","Robusta",(IF($B858="","Arabica",$B858))&amp;" - "&amp;(IF($C858="","Commercial",$C858))),Variables!$B$1:$D$1,0),1))*(AV858/365))+(INDEX(Variables!$B$8:$D$8,IFERROR(MATCH(IF($B858="Robusta","Robusta",(IF($B858="","Arabica",$B858))&amp;" - "&amp;(IF($C858="","Commercial",$C858))),Variables!$B$1:$D$1,0),1))*L858/16.67)),""))</f>
        <v>3</v>
      </c>
      <c r="AX858" s="9"/>
      <c r="AY858" s="12"/>
      <c r="AZ858" s="10"/>
      <c r="BA858" s="9"/>
      <c r="BB858" s="10"/>
      <c r="BC858" s="9"/>
      <c r="BD858" s="9"/>
      <c r="BE858" s="9"/>
      <c r="BF858" s="9"/>
    </row>
    <row r="859" spans="1:58" x14ac:dyDescent="0.25">
      <c r="A859" s="9" t="s">
        <v>84</v>
      </c>
      <c r="B859" s="9" t="s">
        <v>85</v>
      </c>
      <c r="C859" s="9" t="s">
        <v>1486</v>
      </c>
      <c r="D859" s="10">
        <v>45632</v>
      </c>
      <c r="E859" s="10">
        <v>45658</v>
      </c>
      <c r="F859" s="10">
        <v>45688</v>
      </c>
      <c r="G859" s="9">
        <v>3786557</v>
      </c>
      <c r="H859" s="9" t="str">
        <f t="shared" si="83"/>
        <v>Closed</v>
      </c>
      <c r="I859" s="9" t="str">
        <f t="shared" si="84"/>
        <v>All dates received</v>
      </c>
      <c r="J859" s="9" t="s">
        <v>1487</v>
      </c>
      <c r="K859" s="9" t="s">
        <v>1840</v>
      </c>
      <c r="L859" s="11">
        <v>37</v>
      </c>
      <c r="M859" s="9" t="s">
        <v>1841</v>
      </c>
      <c r="N859" s="9"/>
      <c r="O859" s="9"/>
      <c r="P859" s="9"/>
      <c r="Q859" s="11">
        <v>30.75</v>
      </c>
      <c r="R859" s="9" t="s">
        <v>195</v>
      </c>
      <c r="S859" s="9" t="s">
        <v>183</v>
      </c>
      <c r="T859" s="12">
        <f>IF($H859="Cancelled","",IFERROR(((Q859+INDEX(Variables!$B$6:$D$6,IFERROR(MATCH(IF($B859="Robusta","Robusta",(IF($B859="","Arabica",$B859))&amp;" - "&amp;(IF($C859="","Commercial",$C859))),Variables!$B$1:$D$1,0),1)))*22.0462)*(L859/16.67),""))</f>
        <v>15734.334587282541</v>
      </c>
      <c r="U859" s="10"/>
      <c r="V859" s="9" t="str">
        <f t="shared" si="86"/>
        <v/>
      </c>
      <c r="W859" s="10">
        <v>45641</v>
      </c>
      <c r="X859" s="9" t="str">
        <f t="shared" si="82"/>
        <v>Approved</v>
      </c>
      <c r="Y859" s="10">
        <v>45641</v>
      </c>
      <c r="Z859" s="10">
        <f>IF($H859="Cancelled","",IFERROR(IF(F859="","",F859-Variables!$B$13),""))</f>
        <v>45673</v>
      </c>
      <c r="AA859" s="11">
        <f>IF($H859="Cancelled","",IFERROR(IF(W859="","",(AVERAGE(E859:F859)-W859)-Variables!$B$14),""))</f>
        <v>2</v>
      </c>
      <c r="AB859" s="10">
        <v>45674</v>
      </c>
      <c r="AC859" s="11">
        <f>IF($H859="Cancelled","",IFERROR(IF(AB859="","",IF(AND(W859="",Y859=""),"",IF(Y859&gt;W859,Y859+Variables!$B$15+Variables!$B$16+Variables!$B$17-AB859,W859+Variables!$B$16+Variables!$B$17-AB859))),""))</f>
        <v>-25</v>
      </c>
      <c r="AD859" s="9" t="s">
        <v>107</v>
      </c>
      <c r="AE859" s="9" t="s">
        <v>662</v>
      </c>
      <c r="AF859" s="10">
        <v>45687</v>
      </c>
      <c r="AG859" s="10"/>
      <c r="AH859" s="9"/>
      <c r="AI859" s="9" t="s">
        <v>1842</v>
      </c>
      <c r="AJ859" s="9" t="s">
        <v>1839</v>
      </c>
      <c r="AK859" s="10">
        <v>45688</v>
      </c>
      <c r="AL859" s="10">
        <v>45693</v>
      </c>
      <c r="AM859" s="10">
        <v>45699</v>
      </c>
      <c r="AN859" s="9" t="s">
        <v>1492</v>
      </c>
      <c r="AO859" s="9"/>
      <c r="AP859" s="11">
        <f>IF($H859="Cancelled","",IFERROR(IF(OR(AK859="",AB859=""),"",(AB859+Variables!$B$18-AK859)),""))</f>
        <v>-7</v>
      </c>
      <c r="AQ859" s="11">
        <f>IF($H859="Cancelled","",IFERROR(IF(OR(AM859="",AK859=""),"",(AK859+Variables!$B$19)-AM859),""))</f>
        <v>-6</v>
      </c>
      <c r="AR859" s="12">
        <f>IF($H859="Cancelled","",IFERROR(T859*INDEX(Variables!$B$7:$D$7,IFERROR(MATCH(IF($B859="Robusta","Robusta",(IF($B859="","Arabica",$B859))&amp;" - "&amp;(IF($C859="","Commercial",$C859))),Variables!$B$1:$D$1,0),1))*(AQ859/365),""))</f>
        <v>-16.678101529710744</v>
      </c>
      <c r="AS859" s="12">
        <f>IF($H859="Cancelled","",IFERROR((T859*INDEX(Variables!$B$7:$D$7,IFERROR(MATCH(IF($B859="Robusta","Robusta",(IF($B859="","Arabica",$B859))&amp;" - "&amp;(IF($C859="","Commercial",$C859))),Variables!$B$1:$D$1,0),1))*IFERROR(IF(W859="","",(AVERAGE(E859:F859)-W859)-Variables!$B$14),"")/365)+(L859/16.67*INDEX(Variables!$B$8:$D$8,IFERROR(MATCH(IF($B859="Robusta","Robusta",(IF($B859="","Arabica",$B859))&amp;" - "&amp;(IF($C859="","Commercial",$C859))),Variables!$B$1:$D$1,0),1))*IFERROR(IF(W859="","",(AVERAGE(E859:F859)-W859)-Variables!$B$14),""))+(T859*INDEX(Variables!$B$9:$D$9,IFERROR(MATCH(IF($B859="Robusta","Robusta",(IF($B859="","Arabica",$B859))&amp;" - "&amp;(IF($C859="","Commercial",$C859))),Variables!$B$1:$D$1,0),1))*IFERROR(IF(W859="","",(AVERAGE(E859:F859)-W859)-Variables!$B$14),"")/365),""))</f>
        <v>9.3310381483094691</v>
      </c>
      <c r="AT859" s="12">
        <f>IF($H859="Cancelled","",IFERROR((T859*INDEX(Variables!$B$7:$D$7,IFERROR(MATCH(IF($B859="Robusta","Robusta",(IF($B859="","Arabica",$B859))&amp;" - "&amp;(IF($C859="","Commercial",$C859))),Variables!$B$1:$D$1,0),1))*AC859/365)+(L859/16.67*INDEX(Variables!$B$8:$D$8,IFERROR(MATCH(IF($B859="Robusta","Robusta",(IF($B859="","Arabica",$B859))&amp;" - "&amp;(IF($C859="","Commercial",$C859))),Variables!$B$1:$D$1,0),1))*AC859)+(T859*INDEX(Variables!$B$9:$D$9,IFERROR(MATCH(IF($B859="Robusta","Robusta",(IF($B859="","Arabica",$B859))&amp;" - "&amp;(IF($C859="","Commercial",$C859))),Variables!$B$1:$D$1,0),1))*AC859/365),""))</f>
        <v>-116.63797685386838</v>
      </c>
      <c r="AU859" s="12">
        <f>IF($H859="Cancelled","",IFERROR((T859*INDEX(Variables!$B$7:$D$7,IFERROR(MATCH(IF($B859="Robusta","Robusta",(IF($B859="","Arabica",$B859))&amp;" - "&amp;(IF($C859="","Commercial",$C859))),Variables!$B$1:$D$1,0),1))*AP859/365)+(L859/16.67*INDEX(Variables!$B$8:$D$8,IFERROR(MATCH(IF($B859="Robusta","Robusta",(IF($B859="","Arabica",$B859))&amp;" - "&amp;(IF($C859="","Commercial",$C859))),Variables!$B$1:$D$1,0),1))*AP859)+(T859*INDEX(Variables!$B$9:$D$9,IFERROR(MATCH(IF($B859="Robusta","Robusta",(IF($B859="","Arabica",$B859))&amp;" - "&amp;(IF($C859="","Commercial",$C859))),Variables!$B$1:$D$1,0),1))*AP859/365),""))</f>
        <v>-32.658633519083146</v>
      </c>
      <c r="AV859" s="11">
        <f t="shared" si="85"/>
        <v>0</v>
      </c>
      <c r="AW859" s="12">
        <f>IF($H859="Cancelled","",IFERROR(IF(AV859="","",(T859*INDEX(Variables!$B$7:$D$7,IFERROR(MATCH(IF($B859="Robusta","Robusta",(IF($B859="","Arabica",$B859))&amp;" - "&amp;(IF($C859="","Commercial",$C859))),Variables!$B$1:$D$1,0),1))*(AV859/365))+(T859*INDEX(Variables!$B$9:$D$9,IFERROR(MATCH(IF($B859="Robusta","Robusta",(IF($B859="","Arabica",$B859))&amp;" - "&amp;(IF($C859="","Commercial",$C859))),Variables!$B$1:$D$1,0),1))*(AV859/365))+(INDEX(Variables!$B$8:$D$8,IFERROR(MATCH(IF($B859="Robusta","Robusta",(IF($B859="","Arabica",$B859))&amp;" - "&amp;(IF($C859="","Commercial",$C859))),Variables!$B$1:$D$1,0),1))*L859/16.67)),""))</f>
        <v>1.85</v>
      </c>
      <c r="AX859" s="9"/>
      <c r="AY859" s="12"/>
      <c r="AZ859" s="10"/>
      <c r="BA859" s="9"/>
      <c r="BB859" s="10"/>
      <c r="BC859" s="9"/>
      <c r="BD859" s="9"/>
      <c r="BE859" s="9"/>
      <c r="BF859" s="9"/>
    </row>
    <row r="860" spans="1:58" x14ac:dyDescent="0.25">
      <c r="A860" s="9" t="s">
        <v>84</v>
      </c>
      <c r="B860" s="9" t="s">
        <v>85</v>
      </c>
      <c r="C860" s="9" t="s">
        <v>1486</v>
      </c>
      <c r="D860" s="10">
        <v>45632</v>
      </c>
      <c r="E860" s="10">
        <v>45658</v>
      </c>
      <c r="F860" s="10">
        <v>45688</v>
      </c>
      <c r="G860" s="9">
        <v>3786558</v>
      </c>
      <c r="H860" s="9" t="str">
        <f t="shared" si="83"/>
        <v>Closed</v>
      </c>
      <c r="I860" s="9" t="str">
        <f t="shared" si="84"/>
        <v>All dates received</v>
      </c>
      <c r="J860" s="9" t="s">
        <v>1487</v>
      </c>
      <c r="K860" s="9" t="s">
        <v>1843</v>
      </c>
      <c r="L860" s="11">
        <v>40</v>
      </c>
      <c r="M860" s="9" t="s">
        <v>1844</v>
      </c>
      <c r="N860" s="9"/>
      <c r="O860" s="9"/>
      <c r="P860" s="9"/>
      <c r="Q860" s="11">
        <v>172.75</v>
      </c>
      <c r="R860" s="9" t="s">
        <v>195</v>
      </c>
      <c r="S860" s="9" t="s">
        <v>183</v>
      </c>
      <c r="T860" s="12">
        <f>IF($H860="Cancelled","",IFERROR(((Q860+INDEX(Variables!$B$6:$D$6,IFERROR(MATCH(IF($B860="Robusta","Robusta",(IF($B860="","Arabica",$B860))&amp;" - "&amp;(IF($C860="","Commercial",$C860))),Variables!$B$1:$D$1,0),1)))*22.0462)*(L860/16.67),""))</f>
        <v>24521.934037192557</v>
      </c>
      <c r="U860" s="10"/>
      <c r="V860" s="9" t="str">
        <f t="shared" si="86"/>
        <v/>
      </c>
      <c r="W860" s="10">
        <v>45641</v>
      </c>
      <c r="X860" s="9" t="str">
        <f t="shared" si="82"/>
        <v>Approved</v>
      </c>
      <c r="Y860" s="10">
        <v>45641</v>
      </c>
      <c r="Z860" s="10">
        <f>IF($H860="Cancelled","",IFERROR(IF(F860="","",F860-Variables!$B$13),""))</f>
        <v>45673</v>
      </c>
      <c r="AA860" s="11">
        <f>IF($H860="Cancelled","",IFERROR(IF(W860="","",(AVERAGE(E860:F860)-W860)-Variables!$B$14),""))</f>
        <v>2</v>
      </c>
      <c r="AB860" s="10">
        <v>45674</v>
      </c>
      <c r="AC860" s="11">
        <f>IF($H860="Cancelled","",IFERROR(IF(AB860="","",IF(AND(W860="",Y860=""),"",IF(Y860&gt;W860,Y860+Variables!$B$15+Variables!$B$16+Variables!$B$17-AB860,W860+Variables!$B$16+Variables!$B$17-AB860))),""))</f>
        <v>-25</v>
      </c>
      <c r="AD860" s="9" t="s">
        <v>107</v>
      </c>
      <c r="AE860" s="9" t="s">
        <v>662</v>
      </c>
      <c r="AF860" s="10">
        <v>45687</v>
      </c>
      <c r="AG860" s="10"/>
      <c r="AH860" s="9"/>
      <c r="AI860" s="9" t="s">
        <v>1842</v>
      </c>
      <c r="AJ860" s="9" t="s">
        <v>1839</v>
      </c>
      <c r="AK860" s="10">
        <v>45688</v>
      </c>
      <c r="AL860" s="10">
        <v>45693</v>
      </c>
      <c r="AM860" s="10">
        <v>45699</v>
      </c>
      <c r="AN860" s="9" t="s">
        <v>1492</v>
      </c>
      <c r="AO860" s="9"/>
      <c r="AP860" s="11">
        <f>IF($H860="Cancelled","",IFERROR(IF(OR(AK860="",AB860=""),"",(AB860+Variables!$B$18-AK860)),""))</f>
        <v>-7</v>
      </c>
      <c r="AQ860" s="11">
        <f>IF($H860="Cancelled","",IFERROR(IF(OR(AM860="",AK860=""),"",(AK860+Variables!$B$19)-AM860),""))</f>
        <v>-6</v>
      </c>
      <c r="AR860" s="12">
        <f>IF($H860="Cancelled","",IFERROR(T860*INDEX(Variables!$B$7:$D$7,IFERROR(MATCH(IF($B860="Robusta","Robusta",(IF($B860="","Arabica",$B860))&amp;" - "&amp;(IF($C860="","Commercial",$C860))),Variables!$B$1:$D$1,0),1))*(AQ860/365),""))</f>
        <v>-25.992793232433829</v>
      </c>
      <c r="AS860" s="12">
        <f>IF($H860="Cancelled","",IFERROR((T860*INDEX(Variables!$B$7:$D$7,IFERROR(MATCH(IF($B860="Robusta","Robusta",(IF($B860="","Arabica",$B860))&amp;" - "&amp;(IF($C860="","Commercial",$C860))),Variables!$B$1:$D$1,0),1))*IFERROR(IF(W860="","",(AVERAGE(E860:F860)-W860)-Variables!$B$14),"")/365)+(L860/16.67*INDEX(Variables!$B$8:$D$8,IFERROR(MATCH(IF($B860="Robusta","Robusta",(IF($B860="","Arabica",$B860))&amp;" - "&amp;(IF($C860="","Commercial",$C860))),Variables!$B$1:$D$1,0),1))*IFERROR(IF(W860="","",(AVERAGE(E860:F860)-W860)-Variables!$B$14),""))+(T860*INDEX(Variables!$B$9:$D$9,IFERROR(MATCH(IF($B860="Robusta","Robusta",(IF($B860="","Arabica",$B860))&amp;" - "&amp;(IF($C860="","Commercial",$C860))),Variables!$B$1:$D$1,0),1))*IFERROR(IF(W860="","",(AVERAGE(E860:F860)-W860)-Variables!$B$14),"")/365),""))</f>
        <v>12.775963499935212</v>
      </c>
      <c r="AT860" s="12">
        <f>IF($H860="Cancelled","",IFERROR((T860*INDEX(Variables!$B$7:$D$7,IFERROR(MATCH(IF($B860="Robusta","Robusta",(IF($B860="","Arabica",$B860))&amp;" - "&amp;(IF($C860="","Commercial",$C860))),Variables!$B$1:$D$1,0),1))*AC860/365)+(L860/16.67*INDEX(Variables!$B$8:$D$8,IFERROR(MATCH(IF($B860="Robusta","Robusta",(IF($B860="","Arabica",$B860))&amp;" - "&amp;(IF($C860="","Commercial",$C860))),Variables!$B$1:$D$1,0),1))*AC860)+(T860*INDEX(Variables!$B$9:$D$9,IFERROR(MATCH(IF($B860="Robusta","Robusta",(IF($B860="","Arabica",$B860))&amp;" - "&amp;(IF($C860="","Commercial",$C860))),Variables!$B$1:$D$1,0),1))*AC860/365),""))</f>
        <v>-159.69954374919016</v>
      </c>
      <c r="AU860" s="12">
        <f>IF($H860="Cancelled","",IFERROR((T860*INDEX(Variables!$B$7:$D$7,IFERROR(MATCH(IF($B860="Robusta","Robusta",(IF($B860="","Arabica",$B860))&amp;" - "&amp;(IF($C860="","Commercial",$C860))),Variables!$B$1:$D$1,0),1))*AP860/365)+(L860/16.67*INDEX(Variables!$B$8:$D$8,IFERROR(MATCH(IF($B860="Robusta","Robusta",(IF($B860="","Arabica",$B860))&amp;" - "&amp;(IF($C860="","Commercial",$C860))),Variables!$B$1:$D$1,0),1))*AP860)+(T860*INDEX(Variables!$B$9:$D$9,IFERROR(MATCH(IF($B860="Robusta","Robusta",(IF($B860="","Arabica",$B860))&amp;" - "&amp;(IF($C860="","Commercial",$C860))),Variables!$B$1:$D$1,0),1))*AP860/365),""))</f>
        <v>-44.715872249773241</v>
      </c>
      <c r="AV860" s="11">
        <f t="shared" si="85"/>
        <v>0</v>
      </c>
      <c r="AW860" s="12">
        <f>IF($H860="Cancelled","",IFERROR(IF(AV860="","",(T860*INDEX(Variables!$B$7:$D$7,IFERROR(MATCH(IF($B860="Robusta","Robusta",(IF($B860="","Arabica",$B860))&amp;" - "&amp;(IF($C860="","Commercial",$C860))),Variables!$B$1:$D$1,0),1))*(AV860/365))+(T860*INDEX(Variables!$B$9:$D$9,IFERROR(MATCH(IF($B860="Robusta","Robusta",(IF($B860="","Arabica",$B860))&amp;" - "&amp;(IF($C860="","Commercial",$C860))),Variables!$B$1:$D$1,0),1))*(AV860/365))+(INDEX(Variables!$B$8:$D$8,IFERROR(MATCH(IF($B860="Robusta","Robusta",(IF($B860="","Arabica",$B860))&amp;" - "&amp;(IF($C860="","Commercial",$C860))),Variables!$B$1:$D$1,0),1))*L860/16.67)),""))</f>
        <v>2</v>
      </c>
      <c r="AX860" s="9"/>
      <c r="AY860" s="12"/>
      <c r="AZ860" s="10"/>
      <c r="BA860" s="9"/>
      <c r="BB860" s="10"/>
      <c r="BC860" s="9"/>
      <c r="BD860" s="9"/>
      <c r="BE860" s="9"/>
      <c r="BF860" s="9"/>
    </row>
    <row r="861" spans="1:58" x14ac:dyDescent="0.25">
      <c r="A861" s="9" t="s">
        <v>84</v>
      </c>
      <c r="B861" s="9" t="s">
        <v>85</v>
      </c>
      <c r="C861" s="9" t="s">
        <v>1486</v>
      </c>
      <c r="D861" s="10">
        <v>45632</v>
      </c>
      <c r="E861" s="10">
        <v>45658</v>
      </c>
      <c r="F861" s="10">
        <v>45688</v>
      </c>
      <c r="G861" s="9">
        <v>3786559</v>
      </c>
      <c r="H861" s="9" t="str">
        <f t="shared" si="83"/>
        <v>Closed</v>
      </c>
      <c r="I861" s="9" t="str">
        <f t="shared" si="84"/>
        <v>All dates received</v>
      </c>
      <c r="J861" s="9" t="s">
        <v>1487</v>
      </c>
      <c r="K861" s="9" t="s">
        <v>1845</v>
      </c>
      <c r="L861" s="11">
        <v>43</v>
      </c>
      <c r="M861" s="9" t="s">
        <v>1846</v>
      </c>
      <c r="N861" s="9"/>
      <c r="O861" s="9"/>
      <c r="P861" s="9"/>
      <c r="Q861" s="11">
        <v>167.75</v>
      </c>
      <c r="R861" s="9" t="s">
        <v>195</v>
      </c>
      <c r="S861" s="9" t="s">
        <v>183</v>
      </c>
      <c r="T861" s="12">
        <f>IF($H861="Cancelled","",IFERROR(((Q861+INDEX(Variables!$B$6:$D$6,IFERROR(MATCH(IF($B861="Robusta","Robusta",(IF($B861="","Arabica",$B861))&amp;" - "&amp;(IF($C861="","Commercial",$C861))),Variables!$B$1:$D$1,0),1)))*22.0462)*(L861/16.67),""))</f>
        <v>26076.739977804438</v>
      </c>
      <c r="U861" s="10"/>
      <c r="V861" s="9" t="str">
        <f t="shared" si="86"/>
        <v/>
      </c>
      <c r="W861" s="10">
        <v>45641</v>
      </c>
      <c r="X861" s="9" t="str">
        <f t="shared" si="82"/>
        <v>Approved</v>
      </c>
      <c r="Y861" s="10">
        <v>45641</v>
      </c>
      <c r="Z861" s="10">
        <f>IF($H861="Cancelled","",IFERROR(IF(F861="","",F861-Variables!$B$13),""))</f>
        <v>45673</v>
      </c>
      <c r="AA861" s="11">
        <f>IF($H861="Cancelled","",IFERROR(IF(W861="","",(AVERAGE(E861:F861)-W861)-Variables!$B$14),""))</f>
        <v>2</v>
      </c>
      <c r="AB861" s="10">
        <v>45674</v>
      </c>
      <c r="AC861" s="11">
        <f>IF($H861="Cancelled","",IFERROR(IF(AB861="","",IF(AND(W861="",Y861=""),"",IF(Y861&gt;W861,Y861+Variables!$B$15+Variables!$B$16+Variables!$B$17-AB861,W861+Variables!$B$16+Variables!$B$17-AB861))),""))</f>
        <v>-25</v>
      </c>
      <c r="AD861" s="9" t="s">
        <v>107</v>
      </c>
      <c r="AE861" s="9" t="s">
        <v>662</v>
      </c>
      <c r="AF861" s="10">
        <v>45687</v>
      </c>
      <c r="AG861" s="10"/>
      <c r="AH861" s="9"/>
      <c r="AI861" s="9" t="s">
        <v>1842</v>
      </c>
      <c r="AJ861" s="9" t="s">
        <v>1839</v>
      </c>
      <c r="AK861" s="10">
        <v>45688</v>
      </c>
      <c r="AL861" s="10">
        <v>45693</v>
      </c>
      <c r="AM861" s="10">
        <v>45699</v>
      </c>
      <c r="AN861" s="9" t="s">
        <v>1492</v>
      </c>
      <c r="AO861" s="9"/>
      <c r="AP861" s="11">
        <f>IF($H861="Cancelled","",IFERROR(IF(OR(AK861="",AB861=""),"",(AB861+Variables!$B$18-AK861)),""))</f>
        <v>-7</v>
      </c>
      <c r="AQ861" s="11">
        <f>IF($H861="Cancelled","",IFERROR(IF(OR(AM861="",AK861=""),"",(AK861+Variables!$B$19)-AM861),""))</f>
        <v>-6</v>
      </c>
      <c r="AR861" s="12">
        <f>IF($H861="Cancelled","",IFERROR(T861*INDEX(Variables!$B$7:$D$7,IFERROR(MATCH(IF($B861="Robusta","Robusta",(IF($B861="","Arabica",$B861))&amp;" - "&amp;(IF($C861="","Commercial",$C861))),Variables!$B$1:$D$1,0),1))*(AQ861/365),""))</f>
        <v>-27.640858563234762</v>
      </c>
      <c r="AS861" s="12">
        <f>IF($H861="Cancelled","",IFERROR((T861*INDEX(Variables!$B$7:$D$7,IFERROR(MATCH(IF($B861="Robusta","Robusta",(IF($B861="","Arabica",$B861))&amp;" - "&amp;(IF($C861="","Commercial",$C861))),Variables!$B$1:$D$1,0),1))*IFERROR(IF(W861="","",(AVERAGE(E861:F861)-W861)-Variables!$B$14),"")/365)+(L861/16.67*INDEX(Variables!$B$8:$D$8,IFERROR(MATCH(IF($B861="Robusta","Robusta",(IF($B861="","Arabica",$B861))&amp;" - "&amp;(IF($C861="","Commercial",$C861))),Variables!$B$1:$D$1,0),1))*IFERROR(IF(W861="","",(AVERAGE(E861:F861)-W861)-Variables!$B$14),""))+(T861*INDEX(Variables!$B$9:$D$9,IFERROR(MATCH(IF($B861="Robusta","Robusta",(IF($B861="","Arabica",$B861))&amp;" - "&amp;(IF($C861="","Commercial",$C861))),Variables!$B$1:$D$1,0),1))*IFERROR(IF(W861="","",(AVERAGE(E861:F861)-W861)-Variables!$B$14),"")/365),""))</f>
        <v>13.632400857755234</v>
      </c>
      <c r="AT861" s="12">
        <f>IF($H861="Cancelled","",IFERROR((T861*INDEX(Variables!$B$7:$D$7,IFERROR(MATCH(IF($B861="Robusta","Robusta",(IF($B861="","Arabica",$B861))&amp;" - "&amp;(IF($C861="","Commercial",$C861))),Variables!$B$1:$D$1,0),1))*AC861/365)+(L861/16.67*INDEX(Variables!$B$8:$D$8,IFERROR(MATCH(IF($B861="Robusta","Robusta",(IF($B861="","Arabica",$B861))&amp;" - "&amp;(IF($C861="","Commercial",$C861))),Variables!$B$1:$D$1,0),1))*AC861)+(T861*INDEX(Variables!$B$9:$D$9,IFERROR(MATCH(IF($B861="Robusta","Robusta",(IF($B861="","Arabica",$B861))&amp;" - "&amp;(IF($C861="","Commercial",$C861))),Variables!$B$1:$D$1,0),1))*AC861/365),""))</f>
        <v>-170.40501072194044</v>
      </c>
      <c r="AU861" s="12">
        <f>IF($H861="Cancelled","",IFERROR((T861*INDEX(Variables!$B$7:$D$7,IFERROR(MATCH(IF($B861="Robusta","Robusta",(IF($B861="","Arabica",$B861))&amp;" - "&amp;(IF($C861="","Commercial",$C861))),Variables!$B$1:$D$1,0),1))*AP861/365)+(L861/16.67*INDEX(Variables!$B$8:$D$8,IFERROR(MATCH(IF($B861="Robusta","Robusta",(IF($B861="","Arabica",$B861))&amp;" - "&amp;(IF($C861="","Commercial",$C861))),Variables!$B$1:$D$1,0),1))*AP861)+(T861*INDEX(Variables!$B$9:$D$9,IFERROR(MATCH(IF($B861="Robusta","Robusta",(IF($B861="","Arabica",$B861))&amp;" - "&amp;(IF($C861="","Commercial",$C861))),Variables!$B$1:$D$1,0),1))*AP861/365),""))</f>
        <v>-47.713403002143323</v>
      </c>
      <c r="AV861" s="11">
        <f t="shared" si="85"/>
        <v>0</v>
      </c>
      <c r="AW861" s="12">
        <f>IF($H861="Cancelled","",IFERROR(IF(AV861="","",(T861*INDEX(Variables!$B$7:$D$7,IFERROR(MATCH(IF($B861="Robusta","Robusta",(IF($B861="","Arabica",$B861))&amp;" - "&amp;(IF($C861="","Commercial",$C861))),Variables!$B$1:$D$1,0),1))*(AV861/365))+(T861*INDEX(Variables!$B$9:$D$9,IFERROR(MATCH(IF($B861="Robusta","Robusta",(IF($B861="","Arabica",$B861))&amp;" - "&amp;(IF($C861="","Commercial",$C861))),Variables!$B$1:$D$1,0),1))*(AV861/365))+(INDEX(Variables!$B$8:$D$8,IFERROR(MATCH(IF($B861="Robusta","Robusta",(IF($B861="","Arabica",$B861))&amp;" - "&amp;(IF($C861="","Commercial",$C861))),Variables!$B$1:$D$1,0),1))*L861/16.67)),""))</f>
        <v>2.15</v>
      </c>
      <c r="AX861" s="9"/>
      <c r="AY861" s="12"/>
      <c r="AZ861" s="10"/>
      <c r="BA861" s="9"/>
      <c r="BB861" s="10"/>
      <c r="BC861" s="9"/>
      <c r="BD861" s="9"/>
      <c r="BE861" s="9"/>
      <c r="BF861" s="9"/>
    </row>
    <row r="862" spans="1:58" x14ac:dyDescent="0.25">
      <c r="A862" s="9" t="s">
        <v>84</v>
      </c>
      <c r="B862" s="9" t="s">
        <v>85</v>
      </c>
      <c r="C862" s="9" t="s">
        <v>1486</v>
      </c>
      <c r="D862" s="10">
        <v>45632</v>
      </c>
      <c r="E862" s="10">
        <v>45658</v>
      </c>
      <c r="F862" s="10">
        <v>45688</v>
      </c>
      <c r="G862" s="9">
        <v>3786560</v>
      </c>
      <c r="H862" s="9" t="str">
        <f t="shared" si="83"/>
        <v>Closed</v>
      </c>
      <c r="I862" s="9" t="str">
        <f t="shared" si="84"/>
        <v>All dates received</v>
      </c>
      <c r="J862" s="9" t="s">
        <v>1487</v>
      </c>
      <c r="K862" s="9" t="s">
        <v>1847</v>
      </c>
      <c r="L862" s="11">
        <v>40</v>
      </c>
      <c r="M862" s="9" t="s">
        <v>1848</v>
      </c>
      <c r="N862" s="9"/>
      <c r="O862" s="9"/>
      <c r="P862" s="9"/>
      <c r="Q862" s="11">
        <v>163.75</v>
      </c>
      <c r="R862" s="9" t="s">
        <v>195</v>
      </c>
      <c r="S862" s="9" t="s">
        <v>183</v>
      </c>
      <c r="T862" s="12">
        <f>IF($H862="Cancelled","",IFERROR(((Q862+INDEX(Variables!$B$6:$D$6,IFERROR(MATCH(IF($B862="Robusta","Robusta",(IF($B862="","Arabica",$B862))&amp;" - "&amp;(IF($C862="","Commercial",$C862))),Variables!$B$1:$D$1,0),1)))*22.0462)*(L862/16.67),""))</f>
        <v>24045.831337732452</v>
      </c>
      <c r="U862" s="10"/>
      <c r="V862" s="9" t="str">
        <f t="shared" si="86"/>
        <v/>
      </c>
      <c r="W862" s="10">
        <v>45641</v>
      </c>
      <c r="X862" s="9" t="str">
        <f t="shared" si="82"/>
        <v>Approved</v>
      </c>
      <c r="Y862" s="10">
        <v>45641</v>
      </c>
      <c r="Z862" s="10">
        <f>IF($H862="Cancelled","",IFERROR(IF(F862="","",F862-Variables!$B$13),""))</f>
        <v>45673</v>
      </c>
      <c r="AA862" s="11">
        <f>IF($H862="Cancelled","",IFERROR(IF(W862="","",(AVERAGE(E862:F862)-W862)-Variables!$B$14),""))</f>
        <v>2</v>
      </c>
      <c r="AB862" s="10">
        <v>45674</v>
      </c>
      <c r="AC862" s="11">
        <f>IF($H862="Cancelled","",IFERROR(IF(AB862="","",IF(AND(W862="",Y862=""),"",IF(Y862&gt;W862,Y862+Variables!$B$15+Variables!$B$16+Variables!$B$17-AB862,W862+Variables!$B$16+Variables!$B$17-AB862))),""))</f>
        <v>-25</v>
      </c>
      <c r="AD862" s="9" t="s">
        <v>107</v>
      </c>
      <c r="AE862" s="9" t="s">
        <v>662</v>
      </c>
      <c r="AF862" s="10">
        <v>45687</v>
      </c>
      <c r="AG862" s="10"/>
      <c r="AH862" s="9"/>
      <c r="AI862" s="9" t="s">
        <v>1842</v>
      </c>
      <c r="AJ862" s="9" t="s">
        <v>1839</v>
      </c>
      <c r="AK862" s="10">
        <v>45688</v>
      </c>
      <c r="AL862" s="10">
        <v>45693</v>
      </c>
      <c r="AM862" s="10">
        <v>45699</v>
      </c>
      <c r="AN862" s="9" t="s">
        <v>1492</v>
      </c>
      <c r="AO862" s="9"/>
      <c r="AP862" s="11">
        <f>IF($H862="Cancelled","",IFERROR(IF(OR(AK862="",AB862=""),"",(AB862+Variables!$B$18-AK862)),""))</f>
        <v>-7</v>
      </c>
      <c r="AQ862" s="11">
        <f>IF($H862="Cancelled","",IFERROR(IF(OR(AM862="",AK862=""),"",(AK862+Variables!$B$19)-AM862),""))</f>
        <v>-6</v>
      </c>
      <c r="AR862" s="12">
        <f>IF($H862="Cancelled","",IFERROR(T862*INDEX(Variables!$B$7:$D$7,IFERROR(MATCH(IF($B862="Robusta","Robusta",(IF($B862="","Arabica",$B862))&amp;" - "&amp;(IF($C862="","Commercial",$C862))),Variables!$B$1:$D$1,0),1))*(AQ862/365),""))</f>
        <v>-25.488133240864624</v>
      </c>
      <c r="AS862" s="12">
        <f>IF($H862="Cancelled","",IFERROR((T862*INDEX(Variables!$B$7:$D$7,IFERROR(MATCH(IF($B862="Robusta","Robusta",(IF($B862="","Arabica",$B862))&amp;" - "&amp;(IF($C862="","Commercial",$C862))),Variables!$B$1:$D$1,0),1))*IFERROR(IF(W862="","",(AVERAGE(E862:F862)-W862)-Variables!$B$14),"")/365)+(L862/16.67*INDEX(Variables!$B$8:$D$8,IFERROR(MATCH(IF($B862="Robusta","Robusta",(IF($B862="","Arabica",$B862))&amp;" - "&amp;(IF($C862="","Commercial",$C862))),Variables!$B$1:$D$1,0),1))*IFERROR(IF(W862="","",(AVERAGE(E862:F862)-W862)-Variables!$B$14),""))+(T862*INDEX(Variables!$B$9:$D$9,IFERROR(MATCH(IF($B862="Robusta","Robusta",(IF($B862="","Arabica",$B862))&amp;" - "&amp;(IF($C862="","Commercial",$C862))),Variables!$B$1:$D$1,0),1))*IFERROR(IF(W862="","",(AVERAGE(E862:F862)-W862)-Variables!$B$14),"")/365),""))</f>
        <v>12.605574822339662</v>
      </c>
      <c r="AT862" s="12">
        <f>IF($H862="Cancelled","",IFERROR((T862*INDEX(Variables!$B$7:$D$7,IFERROR(MATCH(IF($B862="Robusta","Robusta",(IF($B862="","Arabica",$B862))&amp;" - "&amp;(IF($C862="","Commercial",$C862))),Variables!$B$1:$D$1,0),1))*AC862/365)+(L862/16.67*INDEX(Variables!$B$8:$D$8,IFERROR(MATCH(IF($B862="Robusta","Robusta",(IF($B862="","Arabica",$B862))&amp;" - "&amp;(IF($C862="","Commercial",$C862))),Variables!$B$1:$D$1,0),1))*AC862)+(T862*INDEX(Variables!$B$9:$D$9,IFERROR(MATCH(IF($B862="Robusta","Robusta",(IF($B862="","Arabica",$B862))&amp;" - "&amp;(IF($C862="","Commercial",$C862))),Variables!$B$1:$D$1,0),1))*AC862/365),""))</f>
        <v>-157.56968527924579</v>
      </c>
      <c r="AU862" s="12">
        <f>IF($H862="Cancelled","",IFERROR((T862*INDEX(Variables!$B$7:$D$7,IFERROR(MATCH(IF($B862="Robusta","Robusta",(IF($B862="","Arabica",$B862))&amp;" - "&amp;(IF($C862="","Commercial",$C862))),Variables!$B$1:$D$1,0),1))*AP862/365)+(L862/16.67*INDEX(Variables!$B$8:$D$8,IFERROR(MATCH(IF($B862="Robusta","Robusta",(IF($B862="","Arabica",$B862))&amp;" - "&amp;(IF($C862="","Commercial",$C862))),Variables!$B$1:$D$1,0),1))*AP862)+(T862*INDEX(Variables!$B$9:$D$9,IFERROR(MATCH(IF($B862="Robusta","Robusta",(IF($B862="","Arabica",$B862))&amp;" - "&amp;(IF($C862="","Commercial",$C862))),Variables!$B$1:$D$1,0),1))*AP862/365),""))</f>
        <v>-44.119511878188824</v>
      </c>
      <c r="AV862" s="11">
        <f t="shared" si="85"/>
        <v>0</v>
      </c>
      <c r="AW862" s="12">
        <f>IF($H862="Cancelled","",IFERROR(IF(AV862="","",(T862*INDEX(Variables!$B$7:$D$7,IFERROR(MATCH(IF($B862="Robusta","Robusta",(IF($B862="","Arabica",$B862))&amp;" - "&amp;(IF($C862="","Commercial",$C862))),Variables!$B$1:$D$1,0),1))*(AV862/365))+(T862*INDEX(Variables!$B$9:$D$9,IFERROR(MATCH(IF($B862="Robusta","Robusta",(IF($B862="","Arabica",$B862))&amp;" - "&amp;(IF($C862="","Commercial",$C862))),Variables!$B$1:$D$1,0),1))*(AV862/365))+(INDEX(Variables!$B$8:$D$8,IFERROR(MATCH(IF($B862="Robusta","Robusta",(IF($B862="","Arabica",$B862))&amp;" - "&amp;(IF($C862="","Commercial",$C862))),Variables!$B$1:$D$1,0),1))*L862/16.67)),""))</f>
        <v>2</v>
      </c>
      <c r="AX862" s="9"/>
      <c r="AY862" s="12"/>
      <c r="AZ862" s="10"/>
      <c r="BA862" s="9"/>
      <c r="BB862" s="10"/>
      <c r="BC862" s="9"/>
      <c r="BD862" s="9"/>
      <c r="BE862" s="9"/>
      <c r="BF862" s="9"/>
    </row>
    <row r="863" spans="1:58" x14ac:dyDescent="0.25">
      <c r="A863" s="9" t="s">
        <v>84</v>
      </c>
      <c r="B863" s="9" t="s">
        <v>85</v>
      </c>
      <c r="C863" s="9" t="s">
        <v>1486</v>
      </c>
      <c r="D863" s="10">
        <v>45632</v>
      </c>
      <c r="E863" s="10">
        <v>45658</v>
      </c>
      <c r="F863" s="10">
        <v>45688</v>
      </c>
      <c r="G863" s="9">
        <v>3786561</v>
      </c>
      <c r="H863" s="9" t="str">
        <f t="shared" si="83"/>
        <v>Closed</v>
      </c>
      <c r="I863" s="9" t="str">
        <f t="shared" si="84"/>
        <v>All dates received</v>
      </c>
      <c r="J863" s="9" t="s">
        <v>1487</v>
      </c>
      <c r="K863" s="9" t="s">
        <v>1849</v>
      </c>
      <c r="L863" s="11">
        <v>45</v>
      </c>
      <c r="M863" s="9" t="s">
        <v>1850</v>
      </c>
      <c r="N863" s="9"/>
      <c r="O863" s="9"/>
      <c r="P863" s="9"/>
      <c r="Q863" s="11">
        <v>29.75</v>
      </c>
      <c r="R863" s="9" t="s">
        <v>195</v>
      </c>
      <c r="S863" s="9" t="s">
        <v>183</v>
      </c>
      <c r="T863" s="12">
        <f>IF($H863="Cancelled","",IFERROR(((Q863+INDEX(Variables!$B$6:$D$6,IFERROR(MATCH(IF($B863="Robusta","Robusta",(IF($B863="","Arabica",$B863))&amp;" - "&amp;(IF($C863="","Commercial",$C863))),Variables!$B$1:$D$1,0),1)))*22.0462)*(L863/16.67),""))</f>
        <v>19076.840038992203</v>
      </c>
      <c r="U863" s="10"/>
      <c r="V863" s="9" t="str">
        <f t="shared" si="86"/>
        <v/>
      </c>
      <c r="W863" s="10">
        <v>45641</v>
      </c>
      <c r="X863" s="9" t="str">
        <f t="shared" si="82"/>
        <v>Approved</v>
      </c>
      <c r="Y863" s="10">
        <v>45641</v>
      </c>
      <c r="Z863" s="10">
        <f>IF($H863="Cancelled","",IFERROR(IF(F863="","",F863-Variables!$B$13),""))</f>
        <v>45673</v>
      </c>
      <c r="AA863" s="11">
        <f>IF($H863="Cancelled","",IFERROR(IF(W863="","",(AVERAGE(E863:F863)-W863)-Variables!$B$14),""))</f>
        <v>2</v>
      </c>
      <c r="AB863" s="10">
        <v>45674</v>
      </c>
      <c r="AC863" s="11">
        <f>IF($H863="Cancelled","",IFERROR(IF(AB863="","",IF(AND(W863="",Y863=""),"",IF(Y863&gt;W863,Y863+Variables!$B$15+Variables!$B$16+Variables!$B$17-AB863,W863+Variables!$B$16+Variables!$B$17-AB863))),""))</f>
        <v>-25</v>
      </c>
      <c r="AD863" s="9" t="s">
        <v>107</v>
      </c>
      <c r="AE863" s="9" t="s">
        <v>662</v>
      </c>
      <c r="AF863" s="10">
        <v>45687</v>
      </c>
      <c r="AG863" s="10"/>
      <c r="AH863" s="9"/>
      <c r="AI863" s="9" t="s">
        <v>1842</v>
      </c>
      <c r="AJ863" s="9" t="s">
        <v>1839</v>
      </c>
      <c r="AK863" s="10">
        <v>45688</v>
      </c>
      <c r="AL863" s="10">
        <v>45693</v>
      </c>
      <c r="AM863" s="10">
        <v>45699</v>
      </c>
      <c r="AN863" s="9" t="s">
        <v>1492</v>
      </c>
      <c r="AO863" s="9"/>
      <c r="AP863" s="11">
        <f>IF($H863="Cancelled","",IFERROR(IF(OR(AK863="",AB863=""),"",(AB863+Variables!$B$18-AK863)),""))</f>
        <v>-7</v>
      </c>
      <c r="AQ863" s="11">
        <f>IF($H863="Cancelled","",IFERROR(IF(OR(AM863="",AK863=""),"",(AK863+Variables!$B$19)-AM863),""))</f>
        <v>-6</v>
      </c>
      <c r="AR863" s="12">
        <f>IF($H863="Cancelled","",IFERROR(T863*INDEX(Variables!$B$7:$D$7,IFERROR(MATCH(IF($B863="Robusta","Robusta",(IF($B863="","Arabica",$B863))&amp;" - "&amp;(IF($C863="","Commercial",$C863))),Variables!$B$1:$D$1,0),1))*(AQ863/365),""))</f>
        <v>-20.22109503718854</v>
      </c>
      <c r="AS863" s="12">
        <f>IF($H863="Cancelled","",IFERROR((T863*INDEX(Variables!$B$7:$D$7,IFERROR(MATCH(IF($B863="Robusta","Robusta",(IF($B863="","Arabica",$B863))&amp;" - "&amp;(IF($C863="","Commercial",$C863))),Variables!$B$1:$D$1,0),1))*IFERROR(IF(W863="","",(AVERAGE(E863:F863)-W863)-Variables!$B$14),"")/365)+(L863/16.67*INDEX(Variables!$B$8:$D$8,IFERROR(MATCH(IF($B863="Robusta","Robusta",(IF($B863="","Arabica",$B863))&amp;" - "&amp;(IF($C863="","Commercial",$C863))),Variables!$B$1:$D$1,0),1))*IFERROR(IF(W863="","",(AVERAGE(E863:F863)-W863)-Variables!$B$14),""))+(T863*INDEX(Variables!$B$9:$D$9,IFERROR(MATCH(IF($B863="Robusta","Robusta",(IF($B863="","Arabica",$B863))&amp;" - "&amp;(IF($C863="","Commercial",$C863))),Variables!$B$1:$D$1,0),1))*IFERROR(IF(W863="","",(AVERAGE(E863:F863)-W863)-Variables!$B$14),"")/365),""))</f>
        <v>11.327261325406671</v>
      </c>
      <c r="AT863" s="12">
        <f>IF($H863="Cancelled","",IFERROR((T863*INDEX(Variables!$B$7:$D$7,IFERROR(MATCH(IF($B863="Robusta","Robusta",(IF($B863="","Arabica",$B863))&amp;" - "&amp;(IF($C863="","Commercial",$C863))),Variables!$B$1:$D$1,0),1))*AC863/365)+(L863/16.67*INDEX(Variables!$B$8:$D$8,IFERROR(MATCH(IF($B863="Robusta","Robusta",(IF($B863="","Arabica",$B863))&amp;" - "&amp;(IF($C863="","Commercial",$C863))),Variables!$B$1:$D$1,0),1))*AC863)+(T863*INDEX(Variables!$B$9:$D$9,IFERROR(MATCH(IF($B863="Robusta","Robusta",(IF($B863="","Arabica",$B863))&amp;" - "&amp;(IF($C863="","Commercial",$C863))),Variables!$B$1:$D$1,0),1))*AC863/365),""))</f>
        <v>-141.59076656758339</v>
      </c>
      <c r="AU863" s="12">
        <f>IF($H863="Cancelled","",IFERROR((T863*INDEX(Variables!$B$7:$D$7,IFERROR(MATCH(IF($B863="Robusta","Robusta",(IF($B863="","Arabica",$B863))&amp;" - "&amp;(IF($C863="","Commercial",$C863))),Variables!$B$1:$D$1,0),1))*AP863/365)+(L863/16.67*INDEX(Variables!$B$8:$D$8,IFERROR(MATCH(IF($B863="Robusta","Robusta",(IF($B863="","Arabica",$B863))&amp;" - "&amp;(IF($C863="","Commercial",$C863))),Variables!$B$1:$D$1,0),1))*AP863)+(T863*INDEX(Variables!$B$9:$D$9,IFERROR(MATCH(IF($B863="Robusta","Robusta",(IF($B863="","Arabica",$B863))&amp;" - "&amp;(IF($C863="","Commercial",$C863))),Variables!$B$1:$D$1,0),1))*AP863/365),""))</f>
        <v>-39.645414638923349</v>
      </c>
      <c r="AV863" s="11">
        <f t="shared" si="85"/>
        <v>0</v>
      </c>
      <c r="AW863" s="12">
        <f>IF($H863="Cancelled","",IFERROR(IF(AV863="","",(T863*INDEX(Variables!$B$7:$D$7,IFERROR(MATCH(IF($B863="Robusta","Robusta",(IF($B863="","Arabica",$B863))&amp;" - "&amp;(IF($C863="","Commercial",$C863))),Variables!$B$1:$D$1,0),1))*(AV863/365))+(T863*INDEX(Variables!$B$9:$D$9,IFERROR(MATCH(IF($B863="Robusta","Robusta",(IF($B863="","Arabica",$B863))&amp;" - "&amp;(IF($C863="","Commercial",$C863))),Variables!$B$1:$D$1,0),1))*(AV863/365))+(INDEX(Variables!$B$8:$D$8,IFERROR(MATCH(IF($B863="Robusta","Robusta",(IF($B863="","Arabica",$B863))&amp;" - "&amp;(IF($C863="","Commercial",$C863))),Variables!$B$1:$D$1,0),1))*L863/16.67)),""))</f>
        <v>2.25</v>
      </c>
      <c r="AX863" s="9"/>
      <c r="AY863" s="12"/>
      <c r="AZ863" s="10"/>
      <c r="BA863" s="9"/>
      <c r="BB863" s="10"/>
      <c r="BC863" s="9"/>
      <c r="BD863" s="9"/>
      <c r="BE863" s="9"/>
      <c r="BF863" s="9"/>
    </row>
    <row r="864" spans="1:58" x14ac:dyDescent="0.25">
      <c r="A864" s="9" t="s">
        <v>84</v>
      </c>
      <c r="B864" s="9" t="s">
        <v>85</v>
      </c>
      <c r="C864" s="9" t="s">
        <v>1486</v>
      </c>
      <c r="D864" s="10">
        <v>45632</v>
      </c>
      <c r="E864" s="10">
        <v>45658</v>
      </c>
      <c r="F864" s="10">
        <v>45688</v>
      </c>
      <c r="G864" s="9">
        <v>3786562</v>
      </c>
      <c r="H864" s="9" t="str">
        <f t="shared" si="83"/>
        <v>Closed</v>
      </c>
      <c r="I864" s="9" t="str">
        <f t="shared" si="84"/>
        <v>All dates received</v>
      </c>
      <c r="J864" s="9" t="s">
        <v>1487</v>
      </c>
      <c r="K864" s="9" t="s">
        <v>1851</v>
      </c>
      <c r="L864" s="11">
        <v>45</v>
      </c>
      <c r="M864" s="9" t="s">
        <v>1852</v>
      </c>
      <c r="N864" s="9"/>
      <c r="O864" s="9"/>
      <c r="P864" s="9"/>
      <c r="Q864" s="11">
        <v>26.75</v>
      </c>
      <c r="R864" s="9" t="s">
        <v>195</v>
      </c>
      <c r="S864" s="9" t="s">
        <v>183</v>
      </c>
      <c r="T864" s="12">
        <f>IF($H864="Cancelled","",IFERROR(((Q864+INDEX(Variables!$B$6:$D$6,IFERROR(MATCH(IF($B864="Robusta","Robusta",(IF($B864="","Arabica",$B864))&amp;" - "&amp;(IF($C864="","Commercial",$C864))),Variables!$B$1:$D$1,0),1)))*22.0462)*(L864/16.67),""))</f>
        <v>18898.30152669466</v>
      </c>
      <c r="U864" s="10"/>
      <c r="V864" s="9" t="str">
        <f t="shared" si="86"/>
        <v/>
      </c>
      <c r="W864" s="10">
        <v>45641</v>
      </c>
      <c r="X864" s="9" t="str">
        <f t="shared" si="82"/>
        <v>Approved</v>
      </c>
      <c r="Y864" s="10">
        <v>45641</v>
      </c>
      <c r="Z864" s="10">
        <f>IF($H864="Cancelled","",IFERROR(IF(F864="","",F864-Variables!$B$13),""))</f>
        <v>45673</v>
      </c>
      <c r="AA864" s="11">
        <f>IF($H864="Cancelled","",IFERROR(IF(W864="","",(AVERAGE(E864:F864)-W864)-Variables!$B$14),""))</f>
        <v>2</v>
      </c>
      <c r="AB864" s="10">
        <v>45674</v>
      </c>
      <c r="AC864" s="11">
        <f>IF($H864="Cancelled","",IFERROR(IF(AB864="","",IF(AND(W864="",Y864=""),"",IF(Y864&gt;W864,Y864+Variables!$B$15+Variables!$B$16+Variables!$B$17-AB864,W864+Variables!$B$16+Variables!$B$17-AB864))),""))</f>
        <v>-25</v>
      </c>
      <c r="AD864" s="9" t="s">
        <v>107</v>
      </c>
      <c r="AE864" s="9" t="s">
        <v>662</v>
      </c>
      <c r="AF864" s="10">
        <v>45687</v>
      </c>
      <c r="AG864" s="10"/>
      <c r="AH864" s="9"/>
      <c r="AI864" s="9" t="s">
        <v>1842</v>
      </c>
      <c r="AJ864" s="9" t="s">
        <v>1839</v>
      </c>
      <c r="AK864" s="10">
        <v>45688</v>
      </c>
      <c r="AL864" s="10">
        <v>45693</v>
      </c>
      <c r="AM864" s="10">
        <v>45699</v>
      </c>
      <c r="AN864" s="9" t="s">
        <v>1492</v>
      </c>
      <c r="AO864" s="9"/>
      <c r="AP864" s="11">
        <f>IF($H864="Cancelled","",IFERROR(IF(OR(AK864="",AB864=""),"",(AB864+Variables!$B$18-AK864)),""))</f>
        <v>-7</v>
      </c>
      <c r="AQ864" s="11">
        <f>IF($H864="Cancelled","",IFERROR(IF(OR(AM864="",AK864=""),"",(AK864+Variables!$B$19)-AM864),""))</f>
        <v>-6</v>
      </c>
      <c r="AR864" s="12">
        <f>IF($H864="Cancelled","",IFERROR(T864*INDEX(Variables!$B$7:$D$7,IFERROR(MATCH(IF($B864="Robusta","Robusta",(IF($B864="","Arabica",$B864))&amp;" - "&amp;(IF($C864="","Commercial",$C864))),Variables!$B$1:$D$1,0),1))*(AQ864/365),""))</f>
        <v>-20.031847540350089</v>
      </c>
      <c r="AS864" s="12">
        <f>IF($H864="Cancelled","",IFERROR((T864*INDEX(Variables!$B$7:$D$7,IFERROR(MATCH(IF($B864="Robusta","Robusta",(IF($B864="","Arabica",$B864))&amp;" - "&amp;(IF($C864="","Commercial",$C864))),Variables!$B$1:$D$1,0),1))*IFERROR(IF(W864="","",(AVERAGE(E864:F864)-W864)-Variables!$B$14),"")/365)+(L864/16.67*INDEX(Variables!$B$8:$D$8,IFERROR(MATCH(IF($B864="Robusta","Robusta",(IF($B864="","Arabica",$B864))&amp;" - "&amp;(IF($C864="","Commercial",$C864))),Variables!$B$1:$D$1,0),1))*IFERROR(IF(W864="","",(AVERAGE(E864:F864)-W864)-Variables!$B$14),""))+(T864*INDEX(Variables!$B$9:$D$9,IFERROR(MATCH(IF($B864="Robusta","Robusta",(IF($B864="","Arabica",$B864))&amp;" - "&amp;(IF($C864="","Commercial",$C864))),Variables!$B$1:$D$1,0),1))*IFERROR(IF(W864="","",(AVERAGE(E864:F864)-W864)-Variables!$B$14),"")/365),""))</f>
        <v>11.26336557130834</v>
      </c>
      <c r="AT864" s="12">
        <f>IF($H864="Cancelled","",IFERROR((T864*INDEX(Variables!$B$7:$D$7,IFERROR(MATCH(IF($B864="Robusta","Robusta",(IF($B864="","Arabica",$B864))&amp;" - "&amp;(IF($C864="","Commercial",$C864))),Variables!$B$1:$D$1,0),1))*AC864/365)+(L864/16.67*INDEX(Variables!$B$8:$D$8,IFERROR(MATCH(IF($B864="Robusta","Robusta",(IF($B864="","Arabica",$B864))&amp;" - "&amp;(IF($C864="","Commercial",$C864))),Variables!$B$1:$D$1,0),1))*AC864)+(T864*INDEX(Variables!$B$9:$D$9,IFERROR(MATCH(IF($B864="Robusta","Robusta",(IF($B864="","Arabica",$B864))&amp;" - "&amp;(IF($C864="","Commercial",$C864))),Variables!$B$1:$D$1,0),1))*AC864/365),""))</f>
        <v>-140.79206964135426</v>
      </c>
      <c r="AU864" s="12">
        <f>IF($H864="Cancelled","",IFERROR((T864*INDEX(Variables!$B$7:$D$7,IFERROR(MATCH(IF($B864="Robusta","Robusta",(IF($B864="","Arabica",$B864))&amp;" - "&amp;(IF($C864="","Commercial",$C864))),Variables!$B$1:$D$1,0),1))*AP864/365)+(L864/16.67*INDEX(Variables!$B$8:$D$8,IFERROR(MATCH(IF($B864="Robusta","Robusta",(IF($B864="","Arabica",$B864))&amp;" - "&amp;(IF($C864="","Commercial",$C864))),Variables!$B$1:$D$1,0),1))*AP864)+(T864*INDEX(Variables!$B$9:$D$9,IFERROR(MATCH(IF($B864="Robusta","Robusta",(IF($B864="","Arabica",$B864))&amp;" - "&amp;(IF($C864="","Commercial",$C864))),Variables!$B$1:$D$1,0),1))*AP864/365),""))</f>
        <v>-39.421779499579188</v>
      </c>
      <c r="AV864" s="11">
        <f t="shared" si="85"/>
        <v>0</v>
      </c>
      <c r="AW864" s="12">
        <f>IF($H864="Cancelled","",IFERROR(IF(AV864="","",(T864*INDEX(Variables!$B$7:$D$7,IFERROR(MATCH(IF($B864="Robusta","Robusta",(IF($B864="","Arabica",$B864))&amp;" - "&amp;(IF($C864="","Commercial",$C864))),Variables!$B$1:$D$1,0),1))*(AV864/365))+(T864*INDEX(Variables!$B$9:$D$9,IFERROR(MATCH(IF($B864="Robusta","Robusta",(IF($B864="","Arabica",$B864))&amp;" - "&amp;(IF($C864="","Commercial",$C864))),Variables!$B$1:$D$1,0),1))*(AV864/365))+(INDEX(Variables!$B$8:$D$8,IFERROR(MATCH(IF($B864="Robusta","Robusta",(IF($B864="","Arabica",$B864))&amp;" - "&amp;(IF($C864="","Commercial",$C864))),Variables!$B$1:$D$1,0),1))*L864/16.67)),""))</f>
        <v>2.25</v>
      </c>
      <c r="AX864" s="9"/>
      <c r="AY864" s="12"/>
      <c r="AZ864" s="10"/>
      <c r="BA864" s="9"/>
      <c r="BB864" s="10"/>
      <c r="BC864" s="9"/>
      <c r="BD864" s="9"/>
      <c r="BE864" s="9"/>
      <c r="BF864" s="9"/>
    </row>
    <row r="865" spans="1:58" x14ac:dyDescent="0.25">
      <c r="A865" s="9" t="s">
        <v>84</v>
      </c>
      <c r="B865" s="9" t="s">
        <v>85</v>
      </c>
      <c r="C865" s="9" t="s">
        <v>1486</v>
      </c>
      <c r="D865" s="10">
        <v>45646</v>
      </c>
      <c r="E865" s="10">
        <v>45658</v>
      </c>
      <c r="F865" s="10">
        <v>45688</v>
      </c>
      <c r="G865" s="9">
        <v>3786577</v>
      </c>
      <c r="H865" s="9" t="str">
        <f t="shared" si="83"/>
        <v>Closed</v>
      </c>
      <c r="I865" s="9" t="str">
        <f t="shared" si="84"/>
        <v>All dates received</v>
      </c>
      <c r="J865" s="9" t="s">
        <v>1487</v>
      </c>
      <c r="K865" s="9" t="s">
        <v>1853</v>
      </c>
      <c r="L865" s="11">
        <v>40</v>
      </c>
      <c r="M865" s="9" t="s">
        <v>1854</v>
      </c>
      <c r="N865" s="9"/>
      <c r="O865" s="9"/>
      <c r="P865" s="9"/>
      <c r="Q865" s="11">
        <v>145.99</v>
      </c>
      <c r="R865" s="9" t="s">
        <v>195</v>
      </c>
      <c r="S865" s="9" t="s">
        <v>183</v>
      </c>
      <c r="T865" s="12">
        <f>IF($H865="Cancelled","",IFERROR(((Q865+INDEX(Variables!$B$6:$D$6,IFERROR(MATCH(IF($B865="Robusta","Robusta",(IF($B865="","Arabica",$B865))&amp;" - "&amp;(IF($C865="","Commercial",$C865))),Variables!$B$1:$D$1,0),1)))*22.0462)*(L865/16.67),""))</f>
        <v>23106.322010797838</v>
      </c>
      <c r="U865" s="10"/>
      <c r="V865" s="9" t="str">
        <f t="shared" si="86"/>
        <v/>
      </c>
      <c r="W865" s="10">
        <v>45641</v>
      </c>
      <c r="X865" s="9" t="str">
        <f t="shared" si="82"/>
        <v>Approved</v>
      </c>
      <c r="Y865" s="10">
        <v>45641</v>
      </c>
      <c r="Z865" s="10">
        <f>IF($H865="Cancelled","",IFERROR(IF(F865="","",F865-Variables!$B$13),""))</f>
        <v>45673</v>
      </c>
      <c r="AA865" s="11">
        <f>IF($H865="Cancelled","",IFERROR(IF(W865="","",(AVERAGE(E865:F865)-W865)-Variables!$B$14),""))</f>
        <v>2</v>
      </c>
      <c r="AB865" s="10">
        <v>45671</v>
      </c>
      <c r="AC865" s="11">
        <f>IF($H865="Cancelled","",IFERROR(IF(AB865="","",IF(AND(W865="",Y865=""),"",IF(Y865&gt;W865,Y865+Variables!$B$15+Variables!$B$16+Variables!$B$17-AB865,W865+Variables!$B$16+Variables!$B$17-AB865))),""))</f>
        <v>-22</v>
      </c>
      <c r="AD865" s="9" t="s">
        <v>107</v>
      </c>
      <c r="AE865" s="9" t="s">
        <v>662</v>
      </c>
      <c r="AF865" s="10">
        <v>45687</v>
      </c>
      <c r="AG865" s="10"/>
      <c r="AH865" s="9"/>
      <c r="AI865" s="9" t="s">
        <v>1838</v>
      </c>
      <c r="AJ865" s="9" t="s">
        <v>1839</v>
      </c>
      <c r="AK865" s="10">
        <v>45688</v>
      </c>
      <c r="AL865" s="10">
        <v>45693</v>
      </c>
      <c r="AM865" s="10">
        <v>45699</v>
      </c>
      <c r="AN865" s="9" t="s">
        <v>1492</v>
      </c>
      <c r="AO865" s="9"/>
      <c r="AP865" s="11">
        <f>IF($H865="Cancelled","",IFERROR(IF(OR(AK865="",AB865=""),"",(AB865+Variables!$B$18-AK865)),""))</f>
        <v>-10</v>
      </c>
      <c r="AQ865" s="11">
        <f>IF($H865="Cancelled","",IFERROR(IF(OR(AM865="",AK865=""),"",(AK865+Variables!$B$19)-AM865),""))</f>
        <v>-6</v>
      </c>
      <c r="AR865" s="12">
        <f>IF($H865="Cancelled","",IFERROR(T865*INDEX(Variables!$B$7:$D$7,IFERROR(MATCH(IF($B865="Robusta","Robusta",(IF($B865="","Arabica",$B865))&amp;" - "&amp;(IF($C865="","Commercial",$C865))),Variables!$B$1:$D$1,0),1))*(AQ865/365),""))</f>
        <v>-24.492270857501399</v>
      </c>
      <c r="AS865" s="12">
        <f>IF($H865="Cancelled","",IFERROR((T865*INDEX(Variables!$B$7:$D$7,IFERROR(MATCH(IF($B865="Robusta","Robusta",(IF($B865="","Arabica",$B865))&amp;" - "&amp;(IF($C865="","Commercial",$C865))),Variables!$B$1:$D$1,0),1))*IFERROR(IF(W865="","",(AVERAGE(E865:F865)-W865)-Variables!$B$14),"")/365)+(L865/16.67*INDEX(Variables!$B$8:$D$8,IFERROR(MATCH(IF($B865="Robusta","Robusta",(IF($B865="","Arabica",$B865))&amp;" - "&amp;(IF($C865="","Commercial",$C865))),Variables!$B$1:$D$1,0),1))*IFERROR(IF(W865="","",(AVERAGE(E865:F865)-W865)-Variables!$B$14),""))+(T865*INDEX(Variables!$B$9:$D$9,IFERROR(MATCH(IF($B865="Robusta","Robusta",(IF($B865="","Arabica",$B865))&amp;" - "&amp;(IF($C865="","Commercial",$C865))),Variables!$B$1:$D$1,0),1))*IFERROR(IF(W865="","",(AVERAGE(E865:F865)-W865)-Variables!$B$14),"")/365),""))</f>
        <v>12.26934116521778</v>
      </c>
      <c r="AT865" s="12">
        <f>IF($H865="Cancelled","",IFERROR((T865*INDEX(Variables!$B$7:$D$7,IFERROR(MATCH(IF($B865="Robusta","Robusta",(IF($B865="","Arabica",$B865))&amp;" - "&amp;(IF($C865="","Commercial",$C865))),Variables!$B$1:$D$1,0),1))*AC865/365)+(L865/16.67*INDEX(Variables!$B$8:$D$8,IFERROR(MATCH(IF($B865="Robusta","Robusta",(IF($B865="","Arabica",$B865))&amp;" - "&amp;(IF($C865="","Commercial",$C865))),Variables!$B$1:$D$1,0),1))*AC865)+(T865*INDEX(Variables!$B$9:$D$9,IFERROR(MATCH(IF($B865="Robusta","Robusta",(IF($B865="","Arabica",$B865))&amp;" - "&amp;(IF($C865="","Commercial",$C865))),Variables!$B$1:$D$1,0),1))*AC865/365),""))</f>
        <v>-134.9627528173956</v>
      </c>
      <c r="AU865" s="12">
        <f>IF($H865="Cancelled","",IFERROR((T865*INDEX(Variables!$B$7:$D$7,IFERROR(MATCH(IF($B865="Robusta","Robusta",(IF($B865="","Arabica",$B865))&amp;" - "&amp;(IF($C865="","Commercial",$C865))),Variables!$B$1:$D$1,0),1))*AP865/365)+(L865/16.67*INDEX(Variables!$B$8:$D$8,IFERROR(MATCH(IF($B865="Robusta","Robusta",(IF($B865="","Arabica",$B865))&amp;" - "&amp;(IF($C865="","Commercial",$C865))),Variables!$B$1:$D$1,0),1))*AP865)+(T865*INDEX(Variables!$B$9:$D$9,IFERROR(MATCH(IF($B865="Robusta","Robusta",(IF($B865="","Arabica",$B865))&amp;" - "&amp;(IF($C865="","Commercial",$C865))),Variables!$B$1:$D$1,0),1))*AP865/365),""))</f>
        <v>-61.3467058260889</v>
      </c>
      <c r="AV865" s="11">
        <f t="shared" si="85"/>
        <v>0</v>
      </c>
      <c r="AW865" s="12">
        <f>IF($H865="Cancelled","",IFERROR(IF(AV865="","",(T865*INDEX(Variables!$B$7:$D$7,IFERROR(MATCH(IF($B865="Robusta","Robusta",(IF($B865="","Arabica",$B865))&amp;" - "&amp;(IF($C865="","Commercial",$C865))),Variables!$B$1:$D$1,0),1))*(AV865/365))+(T865*INDEX(Variables!$B$9:$D$9,IFERROR(MATCH(IF($B865="Robusta","Robusta",(IF($B865="","Arabica",$B865))&amp;" - "&amp;(IF($C865="","Commercial",$C865))),Variables!$B$1:$D$1,0),1))*(AV865/365))+(INDEX(Variables!$B$8:$D$8,IFERROR(MATCH(IF($B865="Robusta","Robusta",(IF($B865="","Arabica",$B865))&amp;" - "&amp;(IF($C865="","Commercial",$C865))),Variables!$B$1:$D$1,0),1))*L865/16.67)),""))</f>
        <v>2</v>
      </c>
      <c r="AX865" s="9"/>
      <c r="AY865" s="12"/>
      <c r="AZ865" s="10"/>
      <c r="BA865" s="9"/>
      <c r="BB865" s="10"/>
      <c r="BC865" s="9"/>
      <c r="BD865" s="9"/>
      <c r="BE865" s="9"/>
      <c r="BF865" s="9"/>
    </row>
    <row r="866" spans="1:58" x14ac:dyDescent="0.25">
      <c r="A866" s="9" t="s">
        <v>84</v>
      </c>
      <c r="B866" s="9" t="s">
        <v>85</v>
      </c>
      <c r="C866" s="9" t="s">
        <v>1486</v>
      </c>
      <c r="D866" s="10">
        <v>45646</v>
      </c>
      <c r="E866" s="10">
        <v>45658</v>
      </c>
      <c r="F866" s="10">
        <v>45688</v>
      </c>
      <c r="G866" s="9">
        <v>3786578</v>
      </c>
      <c r="H866" s="9" t="str">
        <f t="shared" si="83"/>
        <v>Closed</v>
      </c>
      <c r="I866" s="9" t="str">
        <f t="shared" si="84"/>
        <v>All dates received</v>
      </c>
      <c r="J866" s="9" t="s">
        <v>1487</v>
      </c>
      <c r="K866" s="9" t="s">
        <v>1855</v>
      </c>
      <c r="L866" s="11">
        <v>30</v>
      </c>
      <c r="M866" s="9" t="s">
        <v>1856</v>
      </c>
      <c r="N866" s="9"/>
      <c r="O866" s="9"/>
      <c r="P866" s="9"/>
      <c r="Q866" s="11">
        <v>145.99</v>
      </c>
      <c r="R866" s="9" t="s">
        <v>195</v>
      </c>
      <c r="S866" s="9" t="s">
        <v>183</v>
      </c>
      <c r="T866" s="12">
        <f>IF($H866="Cancelled","",IFERROR(((Q866+INDEX(Variables!$B$6:$D$6,IFERROR(MATCH(IF($B866="Robusta","Robusta",(IF($B866="","Arabica",$B866))&amp;" - "&amp;(IF($C866="","Commercial",$C866))),Variables!$B$1:$D$1,0),1)))*22.0462)*(L866/16.67),""))</f>
        <v>17329.741508098377</v>
      </c>
      <c r="U866" s="10"/>
      <c r="V866" s="9" t="str">
        <f t="shared" si="86"/>
        <v/>
      </c>
      <c r="W866" s="10">
        <v>45641</v>
      </c>
      <c r="X866" s="9" t="str">
        <f t="shared" si="82"/>
        <v>Approved</v>
      </c>
      <c r="Y866" s="10">
        <v>45641</v>
      </c>
      <c r="Z866" s="10">
        <f>IF($H866="Cancelled","",IFERROR(IF(F866="","",F866-Variables!$B$13),""))</f>
        <v>45673</v>
      </c>
      <c r="AA866" s="11">
        <f>IF($H866="Cancelled","",IFERROR(IF(W866="","",(AVERAGE(E866:F866)-W866)-Variables!$B$14),""))</f>
        <v>2</v>
      </c>
      <c r="AB866" s="10">
        <v>45671</v>
      </c>
      <c r="AC866" s="11">
        <f>IF($H866="Cancelled","",IFERROR(IF(AB866="","",IF(AND(W866="",Y866=""),"",IF(Y866&gt;W866,Y866+Variables!$B$15+Variables!$B$16+Variables!$B$17-AB866,W866+Variables!$B$16+Variables!$B$17-AB866))),""))</f>
        <v>-22</v>
      </c>
      <c r="AD866" s="9" t="s">
        <v>107</v>
      </c>
      <c r="AE866" s="9" t="s">
        <v>662</v>
      </c>
      <c r="AF866" s="10">
        <v>45687</v>
      </c>
      <c r="AG866" s="10"/>
      <c r="AH866" s="9"/>
      <c r="AI866" s="9" t="s">
        <v>1838</v>
      </c>
      <c r="AJ866" s="9" t="s">
        <v>1839</v>
      </c>
      <c r="AK866" s="10">
        <v>45688</v>
      </c>
      <c r="AL866" s="10">
        <v>45693</v>
      </c>
      <c r="AM866" s="10">
        <v>45699</v>
      </c>
      <c r="AN866" s="9" t="s">
        <v>1492</v>
      </c>
      <c r="AO866" s="9"/>
      <c r="AP866" s="11">
        <f>IF($H866="Cancelled","",IFERROR(IF(OR(AK866="",AB866=""),"",(AB866+Variables!$B$18-AK866)),""))</f>
        <v>-10</v>
      </c>
      <c r="AQ866" s="11">
        <f>IF($H866="Cancelled","",IFERROR(IF(OR(AM866="",AK866=""),"",(AK866+Variables!$B$19)-AM866),""))</f>
        <v>-6</v>
      </c>
      <c r="AR866" s="12">
        <f>IF($H866="Cancelled","",IFERROR(T866*INDEX(Variables!$B$7:$D$7,IFERROR(MATCH(IF($B866="Robusta","Robusta",(IF($B866="","Arabica",$B866))&amp;" - "&amp;(IF($C866="","Commercial",$C866))),Variables!$B$1:$D$1,0),1))*(AQ866/365),""))</f>
        <v>-18.369203143126047</v>
      </c>
      <c r="AS866" s="12">
        <f>IF($H866="Cancelled","",IFERROR((T866*INDEX(Variables!$B$7:$D$7,IFERROR(MATCH(IF($B866="Robusta","Robusta",(IF($B866="","Arabica",$B866))&amp;" - "&amp;(IF($C866="","Commercial",$C866))),Variables!$B$1:$D$1,0),1))*IFERROR(IF(W866="","",(AVERAGE(E866:F866)-W866)-Variables!$B$14),"")/365)+(L866/16.67*INDEX(Variables!$B$8:$D$8,IFERROR(MATCH(IF($B866="Robusta","Robusta",(IF($B866="","Arabica",$B866))&amp;" - "&amp;(IF($C866="","Commercial",$C866))),Variables!$B$1:$D$1,0),1))*IFERROR(IF(W866="","",(AVERAGE(E866:F866)-W866)-Variables!$B$14),""))+(T866*INDEX(Variables!$B$9:$D$9,IFERROR(MATCH(IF($B866="Robusta","Robusta",(IF($B866="","Arabica",$B866))&amp;" - "&amp;(IF($C866="","Commercial",$C866))),Variables!$B$1:$D$1,0),1))*IFERROR(IF(W866="","",(AVERAGE(E866:F866)-W866)-Variables!$B$14),"")/365),""))</f>
        <v>9.2020058739133326</v>
      </c>
      <c r="AT866" s="12">
        <f>IF($H866="Cancelled","",IFERROR((T866*INDEX(Variables!$B$7:$D$7,IFERROR(MATCH(IF($B866="Robusta","Robusta",(IF($B866="","Arabica",$B866))&amp;" - "&amp;(IF($C866="","Commercial",$C866))),Variables!$B$1:$D$1,0),1))*AC866/365)+(L866/16.67*INDEX(Variables!$B$8:$D$8,IFERROR(MATCH(IF($B866="Robusta","Robusta",(IF($B866="","Arabica",$B866))&amp;" - "&amp;(IF($C866="","Commercial",$C866))),Variables!$B$1:$D$1,0),1))*AC866)+(T866*INDEX(Variables!$B$9:$D$9,IFERROR(MATCH(IF($B866="Robusta","Robusta",(IF($B866="","Arabica",$B866))&amp;" - "&amp;(IF($C866="","Commercial",$C866))),Variables!$B$1:$D$1,0),1))*AC866/365),""))</f>
        <v>-101.22206461304667</v>
      </c>
      <c r="AU866" s="12">
        <f>IF($H866="Cancelled","",IFERROR((T866*INDEX(Variables!$B$7:$D$7,IFERROR(MATCH(IF($B866="Robusta","Robusta",(IF($B866="","Arabica",$B866))&amp;" - "&amp;(IF($C866="","Commercial",$C866))),Variables!$B$1:$D$1,0),1))*AP866/365)+(L866/16.67*INDEX(Variables!$B$8:$D$8,IFERROR(MATCH(IF($B866="Robusta","Robusta",(IF($B866="","Arabica",$B866))&amp;" - "&amp;(IF($C866="","Commercial",$C866))),Variables!$B$1:$D$1,0),1))*AP866)+(T866*INDEX(Variables!$B$9:$D$9,IFERROR(MATCH(IF($B866="Robusta","Robusta",(IF($B866="","Arabica",$B866))&amp;" - "&amp;(IF($C866="","Commercial",$C866))),Variables!$B$1:$D$1,0),1))*AP866/365),""))</f>
        <v>-46.010029369566674</v>
      </c>
      <c r="AV866" s="11">
        <f t="shared" si="85"/>
        <v>0</v>
      </c>
      <c r="AW866" s="12">
        <f>IF($H866="Cancelled","",IFERROR(IF(AV866="","",(T866*INDEX(Variables!$B$7:$D$7,IFERROR(MATCH(IF($B866="Robusta","Robusta",(IF($B866="","Arabica",$B866))&amp;" - "&amp;(IF($C866="","Commercial",$C866))),Variables!$B$1:$D$1,0),1))*(AV866/365))+(T866*INDEX(Variables!$B$9:$D$9,IFERROR(MATCH(IF($B866="Robusta","Robusta",(IF($B866="","Arabica",$B866))&amp;" - "&amp;(IF($C866="","Commercial",$C866))),Variables!$B$1:$D$1,0),1))*(AV866/365))+(INDEX(Variables!$B$8:$D$8,IFERROR(MATCH(IF($B866="Robusta","Robusta",(IF($B866="","Arabica",$B866))&amp;" - "&amp;(IF($C866="","Commercial",$C866))),Variables!$B$1:$D$1,0),1))*L866/16.67)),""))</f>
        <v>1.5</v>
      </c>
      <c r="AX866" s="9"/>
      <c r="AY866" s="12"/>
      <c r="AZ866" s="10"/>
      <c r="BA866" s="9"/>
      <c r="BB866" s="10"/>
      <c r="BC866" s="9"/>
      <c r="BD866" s="9"/>
      <c r="BE866" s="9"/>
      <c r="BF866" s="9"/>
    </row>
    <row r="867" spans="1:58" x14ac:dyDescent="0.25">
      <c r="A867" s="9" t="s">
        <v>84</v>
      </c>
      <c r="B867" s="9" t="s">
        <v>85</v>
      </c>
      <c r="C867" s="9" t="s">
        <v>1486</v>
      </c>
      <c r="D867" s="10">
        <v>45646</v>
      </c>
      <c r="E867" s="10">
        <v>45658</v>
      </c>
      <c r="F867" s="10">
        <v>45688</v>
      </c>
      <c r="G867" s="9">
        <v>3786579</v>
      </c>
      <c r="H867" s="9" t="str">
        <f t="shared" si="83"/>
        <v>Closed</v>
      </c>
      <c r="I867" s="9" t="str">
        <f t="shared" si="84"/>
        <v>All dates received</v>
      </c>
      <c r="J867" s="9" t="s">
        <v>1487</v>
      </c>
      <c r="K867" s="9" t="s">
        <v>1857</v>
      </c>
      <c r="L867" s="11">
        <v>15</v>
      </c>
      <c r="M867" s="9" t="s">
        <v>1858</v>
      </c>
      <c r="N867" s="9"/>
      <c r="O867" s="9"/>
      <c r="P867" s="9"/>
      <c r="Q867" s="11">
        <v>95.99</v>
      </c>
      <c r="R867" s="9" t="s">
        <v>195</v>
      </c>
      <c r="S867" s="9" t="s">
        <v>183</v>
      </c>
      <c r="T867" s="12">
        <f>IF($H867="Cancelled","",IFERROR(((Q867+INDEX(Variables!$B$6:$D$6,IFERROR(MATCH(IF($B867="Robusta","Robusta",(IF($B867="","Arabica",$B867))&amp;" - "&amp;(IF($C867="","Commercial",$C867))),Variables!$B$1:$D$1,0),1)))*22.0462)*(L867/16.67),""))</f>
        <v>7672.9901301739637</v>
      </c>
      <c r="U867" s="10"/>
      <c r="V867" s="9" t="str">
        <f t="shared" si="86"/>
        <v/>
      </c>
      <c r="W867" s="10">
        <v>45641</v>
      </c>
      <c r="X867" s="9" t="str">
        <f t="shared" si="82"/>
        <v>Approved</v>
      </c>
      <c r="Y867" s="10">
        <v>45641</v>
      </c>
      <c r="Z867" s="10">
        <f>IF($H867="Cancelled","",IFERROR(IF(F867="","",F867-Variables!$B$13),""))</f>
        <v>45673</v>
      </c>
      <c r="AA867" s="11">
        <f>IF($H867="Cancelled","",IFERROR(IF(W867="","",(AVERAGE(E867:F867)-W867)-Variables!$B$14),""))</f>
        <v>2</v>
      </c>
      <c r="AB867" s="10">
        <v>45671</v>
      </c>
      <c r="AC867" s="11">
        <f>IF($H867="Cancelled","",IFERROR(IF(AB867="","",IF(AND(W867="",Y867=""),"",IF(Y867&gt;W867,Y867+Variables!$B$15+Variables!$B$16+Variables!$B$17-AB867,W867+Variables!$B$16+Variables!$B$17-AB867))),""))</f>
        <v>-22</v>
      </c>
      <c r="AD867" s="9" t="s">
        <v>107</v>
      </c>
      <c r="AE867" s="9" t="s">
        <v>662</v>
      </c>
      <c r="AF867" s="10">
        <v>45687</v>
      </c>
      <c r="AG867" s="10"/>
      <c r="AH867" s="9"/>
      <c r="AI867" s="9" t="s">
        <v>1838</v>
      </c>
      <c r="AJ867" s="9" t="s">
        <v>1839</v>
      </c>
      <c r="AK867" s="10">
        <v>45688</v>
      </c>
      <c r="AL867" s="10">
        <v>45693</v>
      </c>
      <c r="AM867" s="10">
        <v>45699</v>
      </c>
      <c r="AN867" s="9" t="s">
        <v>1492</v>
      </c>
      <c r="AO867" s="9"/>
      <c r="AP867" s="11">
        <f>IF($H867="Cancelled","",IFERROR(IF(OR(AK867="",AB867=""),"",(AB867+Variables!$B$18-AK867)),""))</f>
        <v>-10</v>
      </c>
      <c r="AQ867" s="11">
        <f>IF($H867="Cancelled","",IFERROR(IF(OR(AM867="",AK867=""),"",(AK867+Variables!$B$19)-AM867),""))</f>
        <v>-6</v>
      </c>
      <c r="AR867" s="12">
        <f>IF($H867="Cancelled","",IFERROR(T867*INDEX(Variables!$B$7:$D$7,IFERROR(MATCH(IF($B867="Robusta","Robusta",(IF($B867="","Arabica",$B867))&amp;" - "&amp;(IF($C867="","Commercial",$C867))),Variables!$B$1:$D$1,0),1))*(AQ867/365),""))</f>
        <v>-8.1332265891271813</v>
      </c>
      <c r="AS867" s="12">
        <f>IF($H867="Cancelled","",IFERROR((T867*INDEX(Variables!$B$7:$D$7,IFERROR(MATCH(IF($B867="Robusta","Robusta",(IF($B867="","Arabica",$B867))&amp;" - "&amp;(IF($C867="","Commercial",$C867))),Variables!$B$1:$D$1,0),1))*IFERROR(IF(W867="","",(AVERAGE(E867:F867)-W867)-Variables!$B$14),"")/365)+(L867/16.67*INDEX(Variables!$B$8:$D$8,IFERROR(MATCH(IF($B867="Robusta","Robusta",(IF($B867="","Arabica",$B867))&amp;" - "&amp;(IF($C867="","Commercial",$C867))),Variables!$B$1:$D$1,0),1))*IFERROR(IF(W867="","",(AVERAGE(E867:F867)-W867)-Variables!$B$14),""))+(T867*INDEX(Variables!$B$9:$D$9,IFERROR(MATCH(IF($B867="Robusta","Robusta",(IF($B867="","Arabica",$B867))&amp;" - "&amp;(IF($C867="","Commercial",$C867))),Variables!$B$1:$D$1,0),1))*IFERROR(IF(W867="","",(AVERAGE(E867:F867)-W867)-Variables!$B$14),"")/365),""))</f>
        <v>4.2460265252992722</v>
      </c>
      <c r="AT867" s="12">
        <f>IF($H867="Cancelled","",IFERROR((T867*INDEX(Variables!$B$7:$D$7,IFERROR(MATCH(IF($B867="Robusta","Robusta",(IF($B867="","Arabica",$B867))&amp;" - "&amp;(IF($C867="","Commercial",$C867))),Variables!$B$1:$D$1,0),1))*AC867/365)+(L867/16.67*INDEX(Variables!$B$8:$D$8,IFERROR(MATCH(IF($B867="Robusta","Robusta",(IF($B867="","Arabica",$B867))&amp;" - "&amp;(IF($C867="","Commercial",$C867))),Variables!$B$1:$D$1,0),1))*AC867)+(T867*INDEX(Variables!$B$9:$D$9,IFERROR(MATCH(IF($B867="Robusta","Robusta",(IF($B867="","Arabica",$B867))&amp;" - "&amp;(IF($C867="","Commercial",$C867))),Variables!$B$1:$D$1,0),1))*AC867/365),""))</f>
        <v>-46.706291778291998</v>
      </c>
      <c r="AU867" s="12">
        <f>IF($H867="Cancelled","",IFERROR((T867*INDEX(Variables!$B$7:$D$7,IFERROR(MATCH(IF($B867="Robusta","Robusta",(IF($B867="","Arabica",$B867))&amp;" - "&amp;(IF($C867="","Commercial",$C867))),Variables!$B$1:$D$1,0),1))*AP867/365)+(L867/16.67*INDEX(Variables!$B$8:$D$8,IFERROR(MATCH(IF($B867="Robusta","Robusta",(IF($B867="","Arabica",$B867))&amp;" - "&amp;(IF($C867="","Commercial",$C867))),Variables!$B$1:$D$1,0),1))*AP867)+(T867*INDEX(Variables!$B$9:$D$9,IFERROR(MATCH(IF($B867="Robusta","Robusta",(IF($B867="","Arabica",$B867))&amp;" - "&amp;(IF($C867="","Commercial",$C867))),Variables!$B$1:$D$1,0),1))*AP867/365),""))</f>
        <v>-21.23013262649636</v>
      </c>
      <c r="AV867" s="11">
        <f t="shared" si="85"/>
        <v>0</v>
      </c>
      <c r="AW867" s="12">
        <f>IF($H867="Cancelled","",IFERROR(IF(AV867="","",(T867*INDEX(Variables!$B$7:$D$7,IFERROR(MATCH(IF($B867="Robusta","Robusta",(IF($B867="","Arabica",$B867))&amp;" - "&amp;(IF($C867="","Commercial",$C867))),Variables!$B$1:$D$1,0),1))*(AV867/365))+(T867*INDEX(Variables!$B$9:$D$9,IFERROR(MATCH(IF($B867="Robusta","Robusta",(IF($B867="","Arabica",$B867))&amp;" - "&amp;(IF($C867="","Commercial",$C867))),Variables!$B$1:$D$1,0),1))*(AV867/365))+(INDEX(Variables!$B$8:$D$8,IFERROR(MATCH(IF($B867="Robusta","Robusta",(IF($B867="","Arabica",$B867))&amp;" - "&amp;(IF($C867="","Commercial",$C867))),Variables!$B$1:$D$1,0),1))*L867/16.67)),""))</f>
        <v>0.75</v>
      </c>
      <c r="AX867" s="9"/>
      <c r="AY867" s="12"/>
      <c r="AZ867" s="10"/>
      <c r="BA867" s="9"/>
      <c r="BB867" s="10"/>
      <c r="BC867" s="9"/>
      <c r="BD867" s="9"/>
      <c r="BE867" s="9"/>
      <c r="BF867" s="9"/>
    </row>
    <row r="868" spans="1:58" x14ac:dyDescent="0.25">
      <c r="A868" s="9" t="s">
        <v>84</v>
      </c>
      <c r="B868" s="9" t="s">
        <v>85</v>
      </c>
      <c r="C868" s="9" t="s">
        <v>1486</v>
      </c>
      <c r="D868" s="10">
        <v>45646</v>
      </c>
      <c r="E868" s="10">
        <v>45658</v>
      </c>
      <c r="F868" s="10">
        <v>45688</v>
      </c>
      <c r="G868" s="9">
        <v>3786580</v>
      </c>
      <c r="H868" s="9" t="str">
        <f t="shared" si="83"/>
        <v>Closed</v>
      </c>
      <c r="I868" s="9" t="str">
        <f t="shared" si="84"/>
        <v>All dates received</v>
      </c>
      <c r="J868" s="9" t="s">
        <v>1487</v>
      </c>
      <c r="K868" s="9" t="s">
        <v>1859</v>
      </c>
      <c r="L868" s="11">
        <v>40</v>
      </c>
      <c r="M868" s="9" t="s">
        <v>1860</v>
      </c>
      <c r="N868" s="9"/>
      <c r="O868" s="9"/>
      <c r="P868" s="9"/>
      <c r="Q868" s="11">
        <v>95.99</v>
      </c>
      <c r="R868" s="9" t="s">
        <v>195</v>
      </c>
      <c r="S868" s="9" t="s">
        <v>183</v>
      </c>
      <c r="T868" s="12">
        <f>IF($H868="Cancelled","",IFERROR(((Q868+INDEX(Variables!$B$6:$D$6,IFERROR(MATCH(IF($B868="Robusta","Robusta",(IF($B868="","Arabica",$B868))&amp;" - "&amp;(IF($C868="","Commercial",$C868))),Variables!$B$1:$D$1,0),1)))*22.0462)*(L868/16.67),""))</f>
        <v>20461.307013797239</v>
      </c>
      <c r="U868" s="10"/>
      <c r="V868" s="9" t="str">
        <f t="shared" si="86"/>
        <v/>
      </c>
      <c r="W868" s="10">
        <v>45641</v>
      </c>
      <c r="X868" s="9" t="str">
        <f t="shared" si="82"/>
        <v>Approved</v>
      </c>
      <c r="Y868" s="10">
        <v>45641</v>
      </c>
      <c r="Z868" s="10">
        <f>IF($H868="Cancelled","",IFERROR(IF(F868="","",F868-Variables!$B$13),""))</f>
        <v>45673</v>
      </c>
      <c r="AA868" s="11">
        <f>IF($H868="Cancelled","",IFERROR(IF(W868="","",(AVERAGE(E868:F868)-W868)-Variables!$B$14),""))</f>
        <v>2</v>
      </c>
      <c r="AB868" s="10">
        <v>45671</v>
      </c>
      <c r="AC868" s="11">
        <f>IF($H868="Cancelled","",IFERROR(IF(AB868="","",IF(AND(W868="",Y868=""),"",IF(Y868&gt;W868,Y868+Variables!$B$15+Variables!$B$16+Variables!$B$17-AB868,W868+Variables!$B$16+Variables!$B$17-AB868))),""))</f>
        <v>-22</v>
      </c>
      <c r="AD868" s="9" t="s">
        <v>107</v>
      </c>
      <c r="AE868" s="9" t="s">
        <v>662</v>
      </c>
      <c r="AF868" s="10">
        <v>45687</v>
      </c>
      <c r="AG868" s="10"/>
      <c r="AH868" s="9"/>
      <c r="AI868" s="9" t="s">
        <v>1838</v>
      </c>
      <c r="AJ868" s="9" t="s">
        <v>1839</v>
      </c>
      <c r="AK868" s="10">
        <v>45688</v>
      </c>
      <c r="AL868" s="10">
        <v>45693</v>
      </c>
      <c r="AM868" s="10">
        <v>45699</v>
      </c>
      <c r="AN868" s="9" t="s">
        <v>1492</v>
      </c>
      <c r="AO868" s="9"/>
      <c r="AP868" s="11">
        <f>IF($H868="Cancelled","",IFERROR(IF(OR(AK868="",AB868=""),"",(AB868+Variables!$B$18-AK868)),""))</f>
        <v>-10</v>
      </c>
      <c r="AQ868" s="11">
        <f>IF($H868="Cancelled","",IFERROR(IF(OR(AM868="",AK868=""),"",(AK868+Variables!$B$19)-AM868),""))</f>
        <v>-6</v>
      </c>
      <c r="AR868" s="12">
        <f>IF($H868="Cancelled","",IFERROR(T868*INDEX(Variables!$B$7:$D$7,IFERROR(MATCH(IF($B868="Robusta","Robusta",(IF($B868="","Arabica",$B868))&amp;" - "&amp;(IF($C868="","Commercial",$C868))),Variables!$B$1:$D$1,0),1))*(AQ868/365),""))</f>
        <v>-21.688604237672486</v>
      </c>
      <c r="AS868" s="12">
        <f>IF($H868="Cancelled","",IFERROR((T868*INDEX(Variables!$B$7:$D$7,IFERROR(MATCH(IF($B868="Robusta","Robusta",(IF($B868="","Arabica",$B868))&amp;" - "&amp;(IF($C868="","Commercial",$C868))),Variables!$B$1:$D$1,0),1))*IFERROR(IF(W868="","",(AVERAGE(E868:F868)-W868)-Variables!$B$14),"")/365)+(L868/16.67*INDEX(Variables!$B$8:$D$8,IFERROR(MATCH(IF($B868="Robusta","Robusta",(IF($B868="","Arabica",$B868))&amp;" - "&amp;(IF($C868="","Commercial",$C868))),Variables!$B$1:$D$1,0),1))*IFERROR(IF(W868="","",(AVERAGE(E868:F868)-W868)-Variables!$B$14),""))+(T868*INDEX(Variables!$B$9:$D$9,IFERROR(MATCH(IF($B868="Robusta","Robusta",(IF($B868="","Arabica",$B868))&amp;" - "&amp;(IF($C868="","Commercial",$C868))),Variables!$B$1:$D$1,0),1))*IFERROR(IF(W868="","",(AVERAGE(E868:F868)-W868)-Variables!$B$14),"")/365),""))</f>
        <v>11.322737400798061</v>
      </c>
      <c r="AT868" s="12">
        <f>IF($H868="Cancelled","",IFERROR((T868*INDEX(Variables!$B$7:$D$7,IFERROR(MATCH(IF($B868="Robusta","Robusta",(IF($B868="","Arabica",$B868))&amp;" - "&amp;(IF($C868="","Commercial",$C868))),Variables!$B$1:$D$1,0),1))*AC868/365)+(L868/16.67*INDEX(Variables!$B$8:$D$8,IFERROR(MATCH(IF($B868="Robusta","Robusta",(IF($B868="","Arabica",$B868))&amp;" - "&amp;(IF($C868="","Commercial",$C868))),Variables!$B$1:$D$1,0),1))*AC868)+(T868*INDEX(Variables!$B$9:$D$9,IFERROR(MATCH(IF($B868="Robusta","Robusta",(IF($B868="","Arabica",$B868))&amp;" - "&amp;(IF($C868="","Commercial",$C868))),Variables!$B$1:$D$1,0),1))*AC868/365),""))</f>
        <v>-124.55011140877866</v>
      </c>
      <c r="AU868" s="12">
        <f>IF($H868="Cancelled","",IFERROR((T868*INDEX(Variables!$B$7:$D$7,IFERROR(MATCH(IF($B868="Robusta","Robusta",(IF($B868="","Arabica",$B868))&amp;" - "&amp;(IF($C868="","Commercial",$C868))),Variables!$B$1:$D$1,0),1))*AP868/365)+(L868/16.67*INDEX(Variables!$B$8:$D$8,IFERROR(MATCH(IF($B868="Robusta","Robusta",(IF($B868="","Arabica",$B868))&amp;" - "&amp;(IF($C868="","Commercial",$C868))),Variables!$B$1:$D$1,0),1))*AP868)+(T868*INDEX(Variables!$B$9:$D$9,IFERROR(MATCH(IF($B868="Robusta","Robusta",(IF($B868="","Arabica",$B868))&amp;" - "&amp;(IF($C868="","Commercial",$C868))),Variables!$B$1:$D$1,0),1))*AP868/365),""))</f>
        <v>-56.6136870039903</v>
      </c>
      <c r="AV868" s="11">
        <f t="shared" si="85"/>
        <v>0</v>
      </c>
      <c r="AW868" s="12">
        <f>IF($H868="Cancelled","",IFERROR(IF(AV868="","",(T868*INDEX(Variables!$B$7:$D$7,IFERROR(MATCH(IF($B868="Robusta","Robusta",(IF($B868="","Arabica",$B868))&amp;" - "&amp;(IF($C868="","Commercial",$C868))),Variables!$B$1:$D$1,0),1))*(AV868/365))+(T868*INDEX(Variables!$B$9:$D$9,IFERROR(MATCH(IF($B868="Robusta","Robusta",(IF($B868="","Arabica",$B868))&amp;" - "&amp;(IF($C868="","Commercial",$C868))),Variables!$B$1:$D$1,0),1))*(AV868/365))+(INDEX(Variables!$B$8:$D$8,IFERROR(MATCH(IF($B868="Robusta","Robusta",(IF($B868="","Arabica",$B868))&amp;" - "&amp;(IF($C868="","Commercial",$C868))),Variables!$B$1:$D$1,0),1))*L868/16.67)),""))</f>
        <v>2</v>
      </c>
      <c r="AX868" s="9"/>
      <c r="AY868" s="12"/>
      <c r="AZ868" s="10"/>
      <c r="BA868" s="9"/>
      <c r="BB868" s="10"/>
      <c r="BC868" s="9"/>
      <c r="BD868" s="9"/>
      <c r="BE868" s="9"/>
      <c r="BF868" s="9"/>
    </row>
    <row r="869" spans="1:58" x14ac:dyDescent="0.25">
      <c r="A869" s="9" t="s">
        <v>84</v>
      </c>
      <c r="B869" s="9" t="s">
        <v>85</v>
      </c>
      <c r="C869" s="9" t="s">
        <v>1486</v>
      </c>
      <c r="D869" s="10">
        <v>45646</v>
      </c>
      <c r="E869" s="10">
        <v>45658</v>
      </c>
      <c r="F869" s="10">
        <v>45688</v>
      </c>
      <c r="G869" s="9">
        <v>3786581</v>
      </c>
      <c r="H869" s="9" t="str">
        <f t="shared" si="83"/>
        <v>Closed</v>
      </c>
      <c r="I869" s="9" t="str">
        <f t="shared" si="84"/>
        <v>All dates received</v>
      </c>
      <c r="J869" s="9" t="s">
        <v>1487</v>
      </c>
      <c r="K869" s="9" t="s">
        <v>1861</v>
      </c>
      <c r="L869" s="11">
        <v>40</v>
      </c>
      <c r="M869" s="9" t="s">
        <v>1862</v>
      </c>
      <c r="N869" s="9"/>
      <c r="O869" s="9"/>
      <c r="P869" s="9"/>
      <c r="Q869" s="11">
        <v>145.99</v>
      </c>
      <c r="R869" s="9" t="s">
        <v>195</v>
      </c>
      <c r="S869" s="9" t="s">
        <v>183</v>
      </c>
      <c r="T869" s="12">
        <f>IF($H869="Cancelled","",IFERROR(((Q869+INDEX(Variables!$B$6:$D$6,IFERROR(MATCH(IF($B869="Robusta","Robusta",(IF($B869="","Arabica",$B869))&amp;" - "&amp;(IF($C869="","Commercial",$C869))),Variables!$B$1:$D$1,0),1)))*22.0462)*(L869/16.67),""))</f>
        <v>23106.322010797838</v>
      </c>
      <c r="U869" s="10"/>
      <c r="V869" s="9" t="str">
        <f t="shared" si="86"/>
        <v/>
      </c>
      <c r="W869" s="10">
        <v>45641</v>
      </c>
      <c r="X869" s="9" t="str">
        <f t="shared" si="82"/>
        <v>Approved</v>
      </c>
      <c r="Y869" s="10">
        <v>45641</v>
      </c>
      <c r="Z869" s="10">
        <f>IF($H869="Cancelled","",IFERROR(IF(F869="","",F869-Variables!$B$13),""))</f>
        <v>45673</v>
      </c>
      <c r="AA869" s="11">
        <f>IF($H869="Cancelled","",IFERROR(IF(W869="","",(AVERAGE(E869:F869)-W869)-Variables!$B$14),""))</f>
        <v>2</v>
      </c>
      <c r="AB869" s="10">
        <v>45671</v>
      </c>
      <c r="AC869" s="11">
        <f>IF($H869="Cancelled","",IFERROR(IF(AB869="","",IF(AND(W869="",Y869=""),"",IF(Y869&gt;W869,Y869+Variables!$B$15+Variables!$B$16+Variables!$B$17-AB869,W869+Variables!$B$16+Variables!$B$17-AB869))),""))</f>
        <v>-22</v>
      </c>
      <c r="AD869" s="9" t="s">
        <v>107</v>
      </c>
      <c r="AE869" s="9" t="s">
        <v>662</v>
      </c>
      <c r="AF869" s="10">
        <v>45687</v>
      </c>
      <c r="AG869" s="10"/>
      <c r="AH869" s="9"/>
      <c r="AI869" s="9" t="s">
        <v>1838</v>
      </c>
      <c r="AJ869" s="9" t="s">
        <v>1839</v>
      </c>
      <c r="AK869" s="10">
        <v>45688</v>
      </c>
      <c r="AL869" s="10">
        <v>45693</v>
      </c>
      <c r="AM869" s="10">
        <v>45699</v>
      </c>
      <c r="AN869" s="9" t="s">
        <v>1492</v>
      </c>
      <c r="AO869" s="9"/>
      <c r="AP869" s="11">
        <f>IF($H869="Cancelled","",IFERROR(IF(OR(AK869="",AB869=""),"",(AB869+Variables!$B$18-AK869)),""))</f>
        <v>-10</v>
      </c>
      <c r="AQ869" s="11">
        <f>IF($H869="Cancelled","",IFERROR(IF(OR(AM869="",AK869=""),"",(AK869+Variables!$B$19)-AM869),""))</f>
        <v>-6</v>
      </c>
      <c r="AR869" s="12">
        <f>IF($H869="Cancelled","",IFERROR(T869*INDEX(Variables!$B$7:$D$7,IFERROR(MATCH(IF($B869="Robusta","Robusta",(IF($B869="","Arabica",$B869))&amp;" - "&amp;(IF($C869="","Commercial",$C869))),Variables!$B$1:$D$1,0),1))*(AQ869/365),""))</f>
        <v>-24.492270857501399</v>
      </c>
      <c r="AS869" s="12">
        <f>IF($H869="Cancelled","",IFERROR((T869*INDEX(Variables!$B$7:$D$7,IFERROR(MATCH(IF($B869="Robusta","Robusta",(IF($B869="","Arabica",$B869))&amp;" - "&amp;(IF($C869="","Commercial",$C869))),Variables!$B$1:$D$1,0),1))*IFERROR(IF(W869="","",(AVERAGE(E869:F869)-W869)-Variables!$B$14),"")/365)+(L869/16.67*INDEX(Variables!$B$8:$D$8,IFERROR(MATCH(IF($B869="Robusta","Robusta",(IF($B869="","Arabica",$B869))&amp;" - "&amp;(IF($C869="","Commercial",$C869))),Variables!$B$1:$D$1,0),1))*IFERROR(IF(W869="","",(AVERAGE(E869:F869)-W869)-Variables!$B$14),""))+(T869*INDEX(Variables!$B$9:$D$9,IFERROR(MATCH(IF($B869="Robusta","Robusta",(IF($B869="","Arabica",$B869))&amp;" - "&amp;(IF($C869="","Commercial",$C869))),Variables!$B$1:$D$1,0),1))*IFERROR(IF(W869="","",(AVERAGE(E869:F869)-W869)-Variables!$B$14),"")/365),""))</f>
        <v>12.26934116521778</v>
      </c>
      <c r="AT869" s="12">
        <f>IF($H869="Cancelled","",IFERROR((T869*INDEX(Variables!$B$7:$D$7,IFERROR(MATCH(IF($B869="Robusta","Robusta",(IF($B869="","Arabica",$B869))&amp;" - "&amp;(IF($C869="","Commercial",$C869))),Variables!$B$1:$D$1,0),1))*AC869/365)+(L869/16.67*INDEX(Variables!$B$8:$D$8,IFERROR(MATCH(IF($B869="Robusta","Robusta",(IF($B869="","Arabica",$B869))&amp;" - "&amp;(IF($C869="","Commercial",$C869))),Variables!$B$1:$D$1,0),1))*AC869)+(T869*INDEX(Variables!$B$9:$D$9,IFERROR(MATCH(IF($B869="Robusta","Robusta",(IF($B869="","Arabica",$B869))&amp;" - "&amp;(IF($C869="","Commercial",$C869))),Variables!$B$1:$D$1,0),1))*AC869/365),""))</f>
        <v>-134.9627528173956</v>
      </c>
      <c r="AU869" s="12">
        <f>IF($H869="Cancelled","",IFERROR((T869*INDEX(Variables!$B$7:$D$7,IFERROR(MATCH(IF($B869="Robusta","Robusta",(IF($B869="","Arabica",$B869))&amp;" - "&amp;(IF($C869="","Commercial",$C869))),Variables!$B$1:$D$1,0),1))*AP869/365)+(L869/16.67*INDEX(Variables!$B$8:$D$8,IFERROR(MATCH(IF($B869="Robusta","Robusta",(IF($B869="","Arabica",$B869))&amp;" - "&amp;(IF($C869="","Commercial",$C869))),Variables!$B$1:$D$1,0),1))*AP869)+(T869*INDEX(Variables!$B$9:$D$9,IFERROR(MATCH(IF($B869="Robusta","Robusta",(IF($B869="","Arabica",$B869))&amp;" - "&amp;(IF($C869="","Commercial",$C869))),Variables!$B$1:$D$1,0),1))*AP869/365),""))</f>
        <v>-61.3467058260889</v>
      </c>
      <c r="AV869" s="11">
        <f t="shared" si="85"/>
        <v>0</v>
      </c>
      <c r="AW869" s="12">
        <f>IF($H869="Cancelled","",IFERROR(IF(AV869="","",(T869*INDEX(Variables!$B$7:$D$7,IFERROR(MATCH(IF($B869="Robusta","Robusta",(IF($B869="","Arabica",$B869))&amp;" - "&amp;(IF($C869="","Commercial",$C869))),Variables!$B$1:$D$1,0),1))*(AV869/365))+(T869*INDEX(Variables!$B$9:$D$9,IFERROR(MATCH(IF($B869="Robusta","Robusta",(IF($B869="","Arabica",$B869))&amp;" - "&amp;(IF($C869="","Commercial",$C869))),Variables!$B$1:$D$1,0),1))*(AV869/365))+(INDEX(Variables!$B$8:$D$8,IFERROR(MATCH(IF($B869="Robusta","Robusta",(IF($B869="","Arabica",$B869))&amp;" - "&amp;(IF($C869="","Commercial",$C869))),Variables!$B$1:$D$1,0),1))*L869/16.67)),""))</f>
        <v>2</v>
      </c>
      <c r="AX869" s="9"/>
      <c r="AY869" s="12"/>
      <c r="AZ869" s="10"/>
      <c r="BA869" s="9"/>
      <c r="BB869" s="10"/>
      <c r="BC869" s="9"/>
      <c r="BD869" s="9"/>
      <c r="BE869" s="9"/>
      <c r="BF869" s="9"/>
    </row>
    <row r="870" spans="1:58" x14ac:dyDescent="0.25">
      <c r="A870" s="9" t="s">
        <v>84</v>
      </c>
      <c r="B870" s="9" t="s">
        <v>85</v>
      </c>
      <c r="C870" s="9" t="s">
        <v>1486</v>
      </c>
      <c r="D870" s="10">
        <v>45646</v>
      </c>
      <c r="E870" s="10">
        <v>45658</v>
      </c>
      <c r="F870" s="10">
        <v>45688</v>
      </c>
      <c r="G870" s="9">
        <v>3786583</v>
      </c>
      <c r="H870" s="9" t="str">
        <f t="shared" si="83"/>
        <v>Closed</v>
      </c>
      <c r="I870" s="9" t="str">
        <f t="shared" si="84"/>
        <v>All dates received</v>
      </c>
      <c r="J870" s="9" t="s">
        <v>1487</v>
      </c>
      <c r="K870" s="9" t="s">
        <v>1863</v>
      </c>
      <c r="L870" s="11">
        <v>30</v>
      </c>
      <c r="M870" s="9" t="s">
        <v>1864</v>
      </c>
      <c r="N870" s="9"/>
      <c r="O870" s="9"/>
      <c r="P870" s="9"/>
      <c r="Q870" s="11">
        <v>95.99</v>
      </c>
      <c r="R870" s="9" t="s">
        <v>195</v>
      </c>
      <c r="S870" s="9" t="s">
        <v>183</v>
      </c>
      <c r="T870" s="12">
        <f>IF($H870="Cancelled","",IFERROR(((Q870+INDEX(Variables!$B$6:$D$6,IFERROR(MATCH(IF($B870="Robusta","Robusta",(IF($B870="","Arabica",$B870))&amp;" - "&amp;(IF($C870="","Commercial",$C870))),Variables!$B$1:$D$1,0),1)))*22.0462)*(L870/16.67),""))</f>
        <v>15345.980260347927</v>
      </c>
      <c r="U870" s="10"/>
      <c r="V870" s="9" t="str">
        <f t="shared" si="86"/>
        <v/>
      </c>
      <c r="W870" s="10">
        <v>45641</v>
      </c>
      <c r="X870" s="9" t="str">
        <f t="shared" si="82"/>
        <v>Approved</v>
      </c>
      <c r="Y870" s="10">
        <v>45641</v>
      </c>
      <c r="Z870" s="10">
        <f>IF($H870="Cancelled","",IFERROR(IF(F870="","",F870-Variables!$B$13),""))</f>
        <v>45673</v>
      </c>
      <c r="AA870" s="11">
        <f>IF($H870="Cancelled","",IFERROR(IF(W870="","",(AVERAGE(E870:F870)-W870)-Variables!$B$14),""))</f>
        <v>2</v>
      </c>
      <c r="AB870" s="10">
        <v>45671</v>
      </c>
      <c r="AC870" s="11">
        <f>IF($H870="Cancelled","",IFERROR(IF(AB870="","",IF(AND(W870="",Y870=""),"",IF(Y870&gt;W870,Y870+Variables!$B$15+Variables!$B$16+Variables!$B$17-AB870,W870+Variables!$B$16+Variables!$B$17-AB870))),""))</f>
        <v>-22</v>
      </c>
      <c r="AD870" s="9" t="s">
        <v>107</v>
      </c>
      <c r="AE870" s="9" t="s">
        <v>662</v>
      </c>
      <c r="AF870" s="10">
        <v>45687</v>
      </c>
      <c r="AG870" s="10"/>
      <c r="AH870" s="9"/>
      <c r="AI870" s="9" t="s">
        <v>1838</v>
      </c>
      <c r="AJ870" s="9" t="s">
        <v>1839</v>
      </c>
      <c r="AK870" s="10">
        <v>45688</v>
      </c>
      <c r="AL870" s="10">
        <v>45693</v>
      </c>
      <c r="AM870" s="10">
        <v>45699</v>
      </c>
      <c r="AN870" s="9" t="s">
        <v>1492</v>
      </c>
      <c r="AO870" s="9"/>
      <c r="AP870" s="11">
        <f>IF($H870="Cancelled","",IFERROR(IF(OR(AK870="",AB870=""),"",(AB870+Variables!$B$18-AK870)),""))</f>
        <v>-10</v>
      </c>
      <c r="AQ870" s="11">
        <f>IF($H870="Cancelled","",IFERROR(IF(OR(AM870="",AK870=""),"",(AK870+Variables!$B$19)-AM870),""))</f>
        <v>-6</v>
      </c>
      <c r="AR870" s="12">
        <f>IF($H870="Cancelled","",IFERROR(T870*INDEX(Variables!$B$7:$D$7,IFERROR(MATCH(IF($B870="Robusta","Robusta",(IF($B870="","Arabica",$B870))&amp;" - "&amp;(IF($C870="","Commercial",$C870))),Variables!$B$1:$D$1,0),1))*(AQ870/365),""))</f>
        <v>-16.266453178254363</v>
      </c>
      <c r="AS870" s="12">
        <f>IF($H870="Cancelled","",IFERROR((T870*INDEX(Variables!$B$7:$D$7,IFERROR(MATCH(IF($B870="Robusta","Robusta",(IF($B870="","Arabica",$B870))&amp;" - "&amp;(IF($C870="","Commercial",$C870))),Variables!$B$1:$D$1,0),1))*IFERROR(IF(W870="","",(AVERAGE(E870:F870)-W870)-Variables!$B$14),"")/365)+(L870/16.67*INDEX(Variables!$B$8:$D$8,IFERROR(MATCH(IF($B870="Robusta","Robusta",(IF($B870="","Arabica",$B870))&amp;" - "&amp;(IF($C870="","Commercial",$C870))),Variables!$B$1:$D$1,0),1))*IFERROR(IF(W870="","",(AVERAGE(E870:F870)-W870)-Variables!$B$14),""))+(T870*INDEX(Variables!$B$9:$D$9,IFERROR(MATCH(IF($B870="Robusta","Robusta",(IF($B870="","Arabica",$B870))&amp;" - "&amp;(IF($C870="","Commercial",$C870))),Variables!$B$1:$D$1,0),1))*IFERROR(IF(W870="","",(AVERAGE(E870:F870)-W870)-Variables!$B$14),"")/365),""))</f>
        <v>8.4920530505985443</v>
      </c>
      <c r="AT870" s="12">
        <f>IF($H870="Cancelled","",IFERROR((T870*INDEX(Variables!$B$7:$D$7,IFERROR(MATCH(IF($B870="Robusta","Robusta",(IF($B870="","Arabica",$B870))&amp;" - "&amp;(IF($C870="","Commercial",$C870))),Variables!$B$1:$D$1,0),1))*AC870/365)+(L870/16.67*INDEX(Variables!$B$8:$D$8,IFERROR(MATCH(IF($B870="Robusta","Robusta",(IF($B870="","Arabica",$B870))&amp;" - "&amp;(IF($C870="","Commercial",$C870))),Variables!$B$1:$D$1,0),1))*AC870)+(T870*INDEX(Variables!$B$9:$D$9,IFERROR(MATCH(IF($B870="Robusta","Robusta",(IF($B870="","Arabica",$B870))&amp;" - "&amp;(IF($C870="","Commercial",$C870))),Variables!$B$1:$D$1,0),1))*AC870/365),""))</f>
        <v>-93.412583556583996</v>
      </c>
      <c r="AU870" s="12">
        <f>IF($H870="Cancelled","",IFERROR((T870*INDEX(Variables!$B$7:$D$7,IFERROR(MATCH(IF($B870="Robusta","Robusta",(IF($B870="","Arabica",$B870))&amp;" - "&amp;(IF($C870="","Commercial",$C870))),Variables!$B$1:$D$1,0),1))*AP870/365)+(L870/16.67*INDEX(Variables!$B$8:$D$8,IFERROR(MATCH(IF($B870="Robusta","Robusta",(IF($B870="","Arabica",$B870))&amp;" - "&amp;(IF($C870="","Commercial",$C870))),Variables!$B$1:$D$1,0),1))*AP870)+(T870*INDEX(Variables!$B$9:$D$9,IFERROR(MATCH(IF($B870="Robusta","Robusta",(IF($B870="","Arabica",$B870))&amp;" - "&amp;(IF($C870="","Commercial",$C870))),Variables!$B$1:$D$1,0),1))*AP870/365),""))</f>
        <v>-42.46026525299272</v>
      </c>
      <c r="AV870" s="11">
        <f t="shared" si="85"/>
        <v>0</v>
      </c>
      <c r="AW870" s="12">
        <f>IF($H870="Cancelled","",IFERROR(IF(AV870="","",(T870*INDEX(Variables!$B$7:$D$7,IFERROR(MATCH(IF($B870="Robusta","Robusta",(IF($B870="","Arabica",$B870))&amp;" - "&amp;(IF($C870="","Commercial",$C870))),Variables!$B$1:$D$1,0),1))*(AV870/365))+(T870*INDEX(Variables!$B$9:$D$9,IFERROR(MATCH(IF($B870="Robusta","Robusta",(IF($B870="","Arabica",$B870))&amp;" - "&amp;(IF($C870="","Commercial",$C870))),Variables!$B$1:$D$1,0),1))*(AV870/365))+(INDEX(Variables!$B$8:$D$8,IFERROR(MATCH(IF($B870="Robusta","Robusta",(IF($B870="","Arabica",$B870))&amp;" - "&amp;(IF($C870="","Commercial",$C870))),Variables!$B$1:$D$1,0),1))*L870/16.67)),""))</f>
        <v>1.5</v>
      </c>
      <c r="AX870" s="9"/>
      <c r="AY870" s="12"/>
      <c r="AZ870" s="10"/>
      <c r="BA870" s="9"/>
      <c r="BB870" s="10"/>
      <c r="BC870" s="9"/>
      <c r="BD870" s="9"/>
      <c r="BE870" s="9"/>
      <c r="BF870" s="9"/>
    </row>
    <row r="871" spans="1:58" x14ac:dyDescent="0.25">
      <c r="A871" s="9" t="s">
        <v>84</v>
      </c>
      <c r="B871" s="9" t="s">
        <v>85</v>
      </c>
      <c r="C871" s="9" t="s">
        <v>1486</v>
      </c>
      <c r="D871" s="10">
        <v>45672</v>
      </c>
      <c r="E871" s="10">
        <v>45689</v>
      </c>
      <c r="F871" s="10">
        <v>45716</v>
      </c>
      <c r="G871" s="9">
        <v>3786602</v>
      </c>
      <c r="H871" s="9" t="str">
        <f t="shared" si="83"/>
        <v>Closed</v>
      </c>
      <c r="I871" s="9" t="str">
        <f t="shared" si="84"/>
        <v>All dates received</v>
      </c>
      <c r="J871" s="9" t="s">
        <v>1487</v>
      </c>
      <c r="K871" s="9" t="s">
        <v>1865</v>
      </c>
      <c r="L871" s="11">
        <v>48</v>
      </c>
      <c r="M871" s="9" t="s">
        <v>1866</v>
      </c>
      <c r="N871" s="9"/>
      <c r="O871" s="9"/>
      <c r="P871" s="9"/>
      <c r="Q871" s="11">
        <v>117.05</v>
      </c>
      <c r="R871" s="9" t="s">
        <v>90</v>
      </c>
      <c r="S871" s="9" t="s">
        <v>183</v>
      </c>
      <c r="T871" s="12">
        <f>IF($H871="Cancelled","",IFERROR(((Q871+INDEX(Variables!$B$6:$D$6,IFERROR(MATCH(IF($B871="Robusta","Robusta",(IF($B871="","Arabica",$B871))&amp;" - "&amp;(IF($C871="","Commercial",$C871))),Variables!$B$1:$D$1,0),1)))*22.0462)*(L871/16.67),""))</f>
        <v>25890.46479664067</v>
      </c>
      <c r="U871" s="10">
        <v>45678</v>
      </c>
      <c r="V871" s="9" t="str">
        <f t="shared" si="86"/>
        <v>Sent</v>
      </c>
      <c r="W871" s="10"/>
      <c r="X871" s="9" t="str">
        <f t="shared" si="82"/>
        <v/>
      </c>
      <c r="Y871" s="10"/>
      <c r="Z871" s="10">
        <f>IF($H871="Cancelled","",IFERROR(IF(F871="","",F871-Variables!$B$13),""))</f>
        <v>45701</v>
      </c>
      <c r="AA871" s="11" t="str">
        <f>IF($H871="Cancelled","",IFERROR(IF(W871="","",(AVERAGE(E871:F871)-W871)-Variables!$B$14),""))</f>
        <v/>
      </c>
      <c r="AB871" s="10">
        <v>45688</v>
      </c>
      <c r="AC871" s="11" t="str">
        <f>IF($H871="Cancelled","",IFERROR(IF(AB871="","",IF(AND(W871="",Y871=""),"",IF(Y871&gt;W871,Y871+Variables!$B$15+Variables!$B$16+Variables!$B$17-AB871,W871+Variables!$B$16+Variables!$B$17-AB871))),""))</f>
        <v/>
      </c>
      <c r="AD871" s="9" t="s">
        <v>107</v>
      </c>
      <c r="AE871" s="9" t="s">
        <v>684</v>
      </c>
      <c r="AF871" s="10">
        <v>45710</v>
      </c>
      <c r="AG871" s="10"/>
      <c r="AH871" s="9"/>
      <c r="AI871" s="9" t="s">
        <v>1867</v>
      </c>
      <c r="AJ871" s="9" t="s">
        <v>8</v>
      </c>
      <c r="AK871" s="10">
        <v>45708</v>
      </c>
      <c r="AL871" s="10">
        <v>45713</v>
      </c>
      <c r="AM871" s="10">
        <v>45716</v>
      </c>
      <c r="AN871" s="9" t="s">
        <v>1492</v>
      </c>
      <c r="AO871" s="9"/>
      <c r="AP871" s="11">
        <f>IF($H871="Cancelled","",IFERROR(IF(OR(AK871="",AB871=""),"",(AB871+Variables!$B$18-AK871)),""))</f>
        <v>-13</v>
      </c>
      <c r="AQ871" s="11">
        <f>IF($H871="Cancelled","",IFERROR(IF(OR(AM871="",AK871=""),"",(AK871+Variables!$B$19)-AM871),""))</f>
        <v>-3</v>
      </c>
      <c r="AR871" s="12">
        <f>IF($H871="Cancelled","",IFERROR(T871*INDEX(Variables!$B$7:$D$7,IFERROR(MATCH(IF($B871="Robusta","Robusta",(IF($B871="","Arabica",$B871))&amp;" - "&amp;(IF($C871="","Commercial",$C871))),Variables!$B$1:$D$1,0),1))*(AQ871/365),""))</f>
        <v>-13.721705170766654</v>
      </c>
      <c r="AS871" s="12" t="str">
        <f>IF($H871="Cancelled","",IFERROR((T871*INDEX(Variables!$B$7:$D$7,IFERROR(MATCH(IF($B871="Robusta","Robusta",(IF($B871="","Arabica",$B871))&amp;" - "&amp;(IF($C871="","Commercial",$C871))),Variables!$B$1:$D$1,0),1))*IFERROR(IF(W871="","",(AVERAGE(E871:F871)-W871)-Variables!$B$14),"")/365)+(L871/16.67*INDEX(Variables!$B$8:$D$8,IFERROR(MATCH(IF($B871="Robusta","Robusta",(IF($B871="","Arabica",$B871))&amp;" - "&amp;(IF($C871="","Commercial",$C871))),Variables!$B$1:$D$1,0),1))*IFERROR(IF(W871="","",(AVERAGE(E871:F871)-W871)-Variables!$B$14),""))+(T871*INDEX(Variables!$B$9:$D$9,IFERROR(MATCH(IF($B871="Robusta","Robusta",(IF($B871="","Arabica",$B871))&amp;" - "&amp;(IF($C871="","Commercial",$C871))),Variables!$B$1:$D$1,0),1))*IFERROR(IF(W871="","",(AVERAGE(E871:F871)-W871)-Variables!$B$14),"")/365),""))</f>
        <v/>
      </c>
      <c r="AT871" s="12" t="str">
        <f>IF($H871="Cancelled","",IFERROR((T871*INDEX(Variables!$B$7:$D$7,IFERROR(MATCH(IF($B871="Robusta","Robusta",(IF($B871="","Arabica",$B871))&amp;" - "&amp;(IF($C871="","Commercial",$C871))),Variables!$B$1:$D$1,0),1))*AC871/365)+(L871/16.67*INDEX(Variables!$B$8:$D$8,IFERROR(MATCH(IF($B871="Robusta","Robusta",(IF($B871="","Arabica",$B871))&amp;" - "&amp;(IF($C871="","Commercial",$C871))),Variables!$B$1:$D$1,0),1))*AC871)+(T871*INDEX(Variables!$B$9:$D$9,IFERROR(MATCH(IF($B871="Robusta","Robusta",(IF($B871="","Arabica",$B871))&amp;" - "&amp;(IF($C871="","Commercial",$C871))),Variables!$B$1:$D$1,0),1))*AC871/365),""))</f>
        <v/>
      </c>
      <c r="AU871" s="12">
        <f>IF($H871="Cancelled","",IFERROR((T871*INDEX(Variables!$B$7:$D$7,IFERROR(MATCH(IF($B871="Robusta","Robusta",(IF($B871="","Arabica",$B871))&amp;" - "&amp;(IF($C871="","Commercial",$C871))),Variables!$B$1:$D$1,0),1))*AP871/365)+(L871/16.67*INDEX(Variables!$B$8:$D$8,IFERROR(MATCH(IF($B871="Robusta","Robusta",(IF($B871="","Arabica",$B871))&amp;" - "&amp;(IF($C871="","Commercial",$C871))),Variables!$B$1:$D$1,0),1))*AP871)+(T871*INDEX(Variables!$B$9:$D$9,IFERROR(MATCH(IF($B871="Robusta","Robusta",(IF($B871="","Arabica",$B871))&amp;" - "&amp;(IF($C871="","Commercial",$C871))),Variables!$B$1:$D$1,0),1))*AP871/365),""))</f>
        <v>-91.427285869698835</v>
      </c>
      <c r="AV871" s="11">
        <f t="shared" si="85"/>
        <v>8</v>
      </c>
      <c r="AW871" s="12">
        <f>IF($H871="Cancelled","",IFERROR(IF(AV871="","",(T871*INDEX(Variables!$B$7:$D$7,IFERROR(MATCH(IF($B871="Robusta","Robusta",(IF($B871="","Arabica",$B871))&amp;" - "&amp;(IF($C871="","Commercial",$C871))),Variables!$B$1:$D$1,0),1))*(AV871/365))+(T871*INDEX(Variables!$B$9:$D$9,IFERROR(MATCH(IF($B871="Robusta","Robusta",(IF($B871="","Arabica",$B871))&amp;" - "&amp;(IF($C871="","Commercial",$C871))),Variables!$B$1:$D$1,0),1))*(AV871/365))+(INDEX(Variables!$B$8:$D$8,IFERROR(MATCH(IF($B871="Robusta","Robusta",(IF($B871="","Arabica",$B871))&amp;" - "&amp;(IF($C871="","Commercial",$C871))),Variables!$B$1:$D$1,0),1))*L871/16.67)),""))</f>
        <v>39.462945150583899</v>
      </c>
      <c r="AX871" s="9"/>
      <c r="AY871" s="12"/>
      <c r="AZ871" s="10"/>
      <c r="BA871" s="9"/>
      <c r="BB871" s="10"/>
      <c r="BC871" s="9"/>
      <c r="BD871" s="9"/>
      <c r="BE871" s="9"/>
      <c r="BF871" s="9"/>
    </row>
    <row r="872" spans="1:58" x14ac:dyDescent="0.25">
      <c r="A872" s="9" t="s">
        <v>84</v>
      </c>
      <c r="B872" s="9" t="s">
        <v>85</v>
      </c>
      <c r="C872" s="9" t="s">
        <v>1486</v>
      </c>
      <c r="D872" s="10">
        <v>45672</v>
      </c>
      <c r="E872" s="10">
        <v>45689</v>
      </c>
      <c r="F872" s="10">
        <v>45716</v>
      </c>
      <c r="G872" s="9">
        <v>3786605</v>
      </c>
      <c r="H872" s="9" t="str">
        <f t="shared" si="83"/>
        <v>Closed</v>
      </c>
      <c r="I872" s="9" t="str">
        <f t="shared" si="84"/>
        <v>All dates received</v>
      </c>
      <c r="J872" s="9" t="s">
        <v>1487</v>
      </c>
      <c r="K872" s="9" t="s">
        <v>1868</v>
      </c>
      <c r="L872" s="11">
        <v>45</v>
      </c>
      <c r="M872" s="9" t="s">
        <v>1869</v>
      </c>
      <c r="N872" s="9"/>
      <c r="O872" s="9"/>
      <c r="P872" s="9"/>
      <c r="Q872" s="11">
        <v>166.05</v>
      </c>
      <c r="R872" s="9" t="s">
        <v>90</v>
      </c>
      <c r="S872" s="9" t="s">
        <v>183</v>
      </c>
      <c r="T872" s="12">
        <f>IF($H872="Cancelled","",IFERROR(((Q872+INDEX(Variables!$B$6:$D$6,IFERROR(MATCH(IF($B872="Robusta","Robusta",(IF($B872="","Arabica",$B872))&amp;" - "&amp;(IF($C872="","Commercial",$C872))),Variables!$B$1:$D$1,0),1)))*22.0462)*(L872/16.67),""))</f>
        <v>27188.439781043788</v>
      </c>
      <c r="U872" s="10">
        <v>45678</v>
      </c>
      <c r="V872" s="9" t="str">
        <f t="shared" si="86"/>
        <v>Sent</v>
      </c>
      <c r="W872" s="10"/>
      <c r="X872" s="9" t="str">
        <f t="shared" si="82"/>
        <v/>
      </c>
      <c r="Y872" s="10"/>
      <c r="Z872" s="10">
        <f>IF($H872="Cancelled","",IFERROR(IF(F872="","",F872-Variables!$B$13),""))</f>
        <v>45701</v>
      </c>
      <c r="AA872" s="11" t="str">
        <f>IF($H872="Cancelled","",IFERROR(IF(W872="","",(AVERAGE(E872:F872)-W872)-Variables!$B$14),""))</f>
        <v/>
      </c>
      <c r="AB872" s="10">
        <v>45688</v>
      </c>
      <c r="AC872" s="11" t="str">
        <f>IF($H872="Cancelled","",IFERROR(IF(AB872="","",IF(AND(W872="",Y872=""),"",IF(Y872&gt;W872,Y872+Variables!$B$15+Variables!$B$16+Variables!$B$17-AB872,W872+Variables!$B$16+Variables!$B$17-AB872))),""))</f>
        <v/>
      </c>
      <c r="AD872" s="9" t="s">
        <v>107</v>
      </c>
      <c r="AE872" s="9" t="s">
        <v>684</v>
      </c>
      <c r="AF872" s="10">
        <v>45710</v>
      </c>
      <c r="AG872" s="10"/>
      <c r="AH872" s="9"/>
      <c r="AI872" s="9" t="s">
        <v>1867</v>
      </c>
      <c r="AJ872" s="9" t="s">
        <v>8</v>
      </c>
      <c r="AK872" s="10">
        <v>45708</v>
      </c>
      <c r="AL872" s="10">
        <v>45713</v>
      </c>
      <c r="AM872" s="10">
        <v>45716</v>
      </c>
      <c r="AN872" s="9" t="s">
        <v>1492</v>
      </c>
      <c r="AO872" s="9"/>
      <c r="AP872" s="11">
        <f>IF($H872="Cancelled","",IFERROR(IF(OR(AK872="",AB872=""),"",(AB872+Variables!$B$18-AK872)),""))</f>
        <v>-13</v>
      </c>
      <c r="AQ872" s="11">
        <f>IF($H872="Cancelled","",IFERROR(IF(OR(AM872="",AK872=""),"",(AK872+Variables!$B$19)-AM872),""))</f>
        <v>-3</v>
      </c>
      <c r="AR872" s="12">
        <f>IF($H872="Cancelled","",IFERROR(T872*INDEX(Variables!$B$7:$D$7,IFERROR(MATCH(IF($B872="Robusta","Robusta",(IF($B872="","Arabica",$B872))&amp;" - "&amp;(IF($C872="","Commercial",$C872))),Variables!$B$1:$D$1,0),1))*(AQ872/365),""))</f>
        <v>-14.409619821774424</v>
      </c>
      <c r="AS872" s="12" t="str">
        <f>IF($H872="Cancelled","",IFERROR((T872*INDEX(Variables!$B$7:$D$7,IFERROR(MATCH(IF($B872="Robusta","Robusta",(IF($B872="","Arabica",$B872))&amp;" - "&amp;(IF($C872="","Commercial",$C872))),Variables!$B$1:$D$1,0),1))*IFERROR(IF(W872="","",(AVERAGE(E872:F872)-W872)-Variables!$B$14),"")/365)+(L872/16.67*INDEX(Variables!$B$8:$D$8,IFERROR(MATCH(IF($B872="Robusta","Robusta",(IF($B872="","Arabica",$B872))&amp;" - "&amp;(IF($C872="","Commercial",$C872))),Variables!$B$1:$D$1,0),1))*IFERROR(IF(W872="","",(AVERAGE(E872:F872)-W872)-Variables!$B$14),""))+(T872*INDEX(Variables!$B$9:$D$9,IFERROR(MATCH(IF($B872="Robusta","Robusta",(IF($B872="","Arabica",$B872))&amp;" - "&amp;(IF($C872="","Commercial",$C872))),Variables!$B$1:$D$1,0),1))*IFERROR(IF(W872="","",(AVERAGE(E872:F872)-W872)-Variables!$B$14),"")/365),""))</f>
        <v/>
      </c>
      <c r="AT872" s="12" t="str">
        <f>IF($H872="Cancelled","",IFERROR((T872*INDEX(Variables!$B$7:$D$7,IFERROR(MATCH(IF($B872="Robusta","Robusta",(IF($B872="","Arabica",$B872))&amp;" - "&amp;(IF($C872="","Commercial",$C872))),Variables!$B$1:$D$1,0),1))*AC872/365)+(L872/16.67*INDEX(Variables!$B$8:$D$8,IFERROR(MATCH(IF($B872="Robusta","Robusta",(IF($B872="","Arabica",$B872))&amp;" - "&amp;(IF($C872="","Commercial",$C872))),Variables!$B$1:$D$1,0),1))*AC872)+(T872*INDEX(Variables!$B$9:$D$9,IFERROR(MATCH(IF($B872="Robusta","Robusta",(IF($B872="","Arabica",$B872))&amp;" - "&amp;(IF($C872="","Commercial",$C872))),Variables!$B$1:$D$1,0),1))*AC872/365),""))</f>
        <v/>
      </c>
      <c r="AU872" s="12">
        <f>IF($H872="Cancelled","",IFERROR((T872*INDEX(Variables!$B$7:$D$7,IFERROR(MATCH(IF($B872="Robusta","Robusta",(IF($B872="","Arabica",$B872))&amp;" - "&amp;(IF($C872="","Commercial",$C872))),Variables!$B$1:$D$1,0),1))*AP872/365)+(L872/16.67*INDEX(Variables!$B$8:$D$8,IFERROR(MATCH(IF($B872="Robusta","Robusta",(IF($B872="","Arabica",$B872))&amp;" - "&amp;(IF($C872="","Commercial",$C872))),Variables!$B$1:$D$1,0),1))*AP872)+(T872*INDEX(Variables!$B$9:$D$9,IFERROR(MATCH(IF($B872="Robusta","Robusta",(IF($B872="","Arabica",$B872))&amp;" - "&amp;(IF($C872="","Commercial",$C872))),Variables!$B$1:$D$1,0),1))*AP872/365),""))</f>
        <v>-92.496679729615479</v>
      </c>
      <c r="AV872" s="11">
        <f t="shared" si="85"/>
        <v>8</v>
      </c>
      <c r="AW872" s="12">
        <f>IF($H872="Cancelled","",IFERROR(IF(AV872="","",(T872*INDEX(Variables!$B$7:$D$7,IFERROR(MATCH(IF($B872="Robusta","Robusta",(IF($B872="","Arabica",$B872))&amp;" - "&amp;(IF($C872="","Commercial",$C872))),Variables!$B$1:$D$1,0),1))*(AV872/365))+(T872*INDEX(Variables!$B$9:$D$9,IFERROR(MATCH(IF($B872="Robusta","Robusta",(IF($B872="","Arabica",$B872))&amp;" - "&amp;(IF($C872="","Commercial",$C872))),Variables!$B$1:$D$1,0),1))*(AV872/365))+(INDEX(Variables!$B$8:$D$8,IFERROR(MATCH(IF($B872="Robusta","Robusta",(IF($B872="","Arabica",$B872))&amp;" - "&amp;(IF($C872="","Commercial",$C872))),Variables!$B$1:$D$1,0),1))*L872/16.67)),""))</f>
        <v>41.171033679763362</v>
      </c>
      <c r="AX872" s="9"/>
      <c r="AY872" s="12"/>
      <c r="AZ872" s="10"/>
      <c r="BA872" s="9"/>
      <c r="BB872" s="10"/>
      <c r="BC872" s="9"/>
      <c r="BD872" s="9"/>
      <c r="BE872" s="9"/>
      <c r="BF872" s="9"/>
    </row>
    <row r="873" spans="1:58" x14ac:dyDescent="0.25">
      <c r="A873" s="9" t="s">
        <v>84</v>
      </c>
      <c r="B873" s="9" t="s">
        <v>85</v>
      </c>
      <c r="C873" s="9" t="s">
        <v>1486</v>
      </c>
      <c r="D873" s="10">
        <v>45672</v>
      </c>
      <c r="E873" s="10">
        <v>45689</v>
      </c>
      <c r="F873" s="10">
        <v>45716</v>
      </c>
      <c r="G873" s="9">
        <v>3786606</v>
      </c>
      <c r="H873" s="9" t="str">
        <f t="shared" si="83"/>
        <v>Closed</v>
      </c>
      <c r="I873" s="9" t="str">
        <f t="shared" si="84"/>
        <v>All dates received</v>
      </c>
      <c r="J873" s="9" t="s">
        <v>1487</v>
      </c>
      <c r="K873" s="9" t="s">
        <v>1870</v>
      </c>
      <c r="L873" s="11">
        <v>52</v>
      </c>
      <c r="M873" s="9" t="s">
        <v>1871</v>
      </c>
      <c r="N873" s="9"/>
      <c r="O873" s="9"/>
      <c r="P873" s="9"/>
      <c r="Q873" s="11">
        <v>125.05</v>
      </c>
      <c r="R873" s="9" t="s">
        <v>90</v>
      </c>
      <c r="S873" s="9" t="s">
        <v>183</v>
      </c>
      <c r="T873" s="12">
        <f>IF($H873="Cancelled","",IFERROR(((Q873+INDEX(Variables!$B$6:$D$6,IFERROR(MATCH(IF($B873="Robusta","Robusta",(IF($B873="","Arabica",$B873))&amp;" - "&amp;(IF($C873="","Commercial",$C873))),Variables!$B$1:$D$1,0),1)))*22.0462)*(L873/16.67),""))</f>
        <v>28598.166649070186</v>
      </c>
      <c r="U873" s="10">
        <v>45678</v>
      </c>
      <c r="V873" s="9" t="str">
        <f t="shared" si="86"/>
        <v>Sent</v>
      </c>
      <c r="W873" s="10"/>
      <c r="X873" s="9" t="str">
        <f t="shared" si="82"/>
        <v/>
      </c>
      <c r="Y873" s="10"/>
      <c r="Z873" s="10">
        <f>IF($H873="Cancelled","",IFERROR(IF(F873="","",F873-Variables!$B$13),""))</f>
        <v>45701</v>
      </c>
      <c r="AA873" s="11" t="str">
        <f>IF($H873="Cancelled","",IFERROR(IF(W873="","",(AVERAGE(E873:F873)-W873)-Variables!$B$14),""))</f>
        <v/>
      </c>
      <c r="AB873" s="10">
        <v>45688</v>
      </c>
      <c r="AC873" s="11" t="str">
        <f>IF($H873="Cancelled","",IFERROR(IF(AB873="","",IF(AND(W873="",Y873=""),"",IF(Y873&gt;W873,Y873+Variables!$B$15+Variables!$B$16+Variables!$B$17-AB873,W873+Variables!$B$16+Variables!$B$17-AB873))),""))</f>
        <v/>
      </c>
      <c r="AD873" s="9" t="s">
        <v>107</v>
      </c>
      <c r="AE873" s="9" t="s">
        <v>684</v>
      </c>
      <c r="AF873" s="10">
        <v>45710</v>
      </c>
      <c r="AG873" s="10"/>
      <c r="AH873" s="9"/>
      <c r="AI873" s="9" t="s">
        <v>1867</v>
      </c>
      <c r="AJ873" s="9" t="s">
        <v>8</v>
      </c>
      <c r="AK873" s="10">
        <v>45708</v>
      </c>
      <c r="AL873" s="10">
        <v>45713</v>
      </c>
      <c r="AM873" s="10">
        <v>45716</v>
      </c>
      <c r="AN873" s="9" t="s">
        <v>1492</v>
      </c>
      <c r="AO873" s="9"/>
      <c r="AP873" s="11">
        <f>IF($H873="Cancelled","",IFERROR(IF(OR(AK873="",AB873=""),"",(AB873+Variables!$B$18-AK873)),""))</f>
        <v>-13</v>
      </c>
      <c r="AQ873" s="11">
        <f>IF($H873="Cancelled","",IFERROR(IF(OR(AM873="",AK873=""),"",(AK873+Variables!$B$19)-AM873),""))</f>
        <v>-3</v>
      </c>
      <c r="AR873" s="12">
        <f>IF($H873="Cancelled","",IFERROR(T873*INDEX(Variables!$B$7:$D$7,IFERROR(MATCH(IF($B873="Robusta","Robusta",(IF($B873="","Arabica",$B873))&amp;" - "&amp;(IF($C873="","Commercial",$C873))),Variables!$B$1:$D$1,0),1))*(AQ873/365),""))</f>
        <v>-15.156761930126084</v>
      </c>
      <c r="AS873" s="12" t="str">
        <f>IF($H873="Cancelled","",IFERROR((T873*INDEX(Variables!$B$7:$D$7,IFERROR(MATCH(IF($B873="Robusta","Robusta",(IF($B873="","Arabica",$B873))&amp;" - "&amp;(IF($C873="","Commercial",$C873))),Variables!$B$1:$D$1,0),1))*IFERROR(IF(W873="","",(AVERAGE(E873:F873)-W873)-Variables!$B$14),"")/365)+(L873/16.67*INDEX(Variables!$B$8:$D$8,IFERROR(MATCH(IF($B873="Robusta","Robusta",(IF($B873="","Arabica",$B873))&amp;" - "&amp;(IF($C873="","Commercial",$C873))),Variables!$B$1:$D$1,0),1))*IFERROR(IF(W873="","",(AVERAGE(E873:F873)-W873)-Variables!$B$14),""))+(T873*INDEX(Variables!$B$9:$D$9,IFERROR(MATCH(IF($B873="Robusta","Robusta",(IF($B873="","Arabica",$B873))&amp;" - "&amp;(IF($C873="","Commercial",$C873))),Variables!$B$1:$D$1,0),1))*IFERROR(IF(W873="","",(AVERAGE(E873:F873)-W873)-Variables!$B$14),"")/365),""))</f>
        <v/>
      </c>
      <c r="AT873" s="12" t="str">
        <f>IF($H873="Cancelled","",IFERROR((T873*INDEX(Variables!$B$7:$D$7,IFERROR(MATCH(IF($B873="Robusta","Robusta",(IF($B873="","Arabica",$B873))&amp;" - "&amp;(IF($C873="","Commercial",$C873))),Variables!$B$1:$D$1,0),1))*AC873/365)+(L873/16.67*INDEX(Variables!$B$8:$D$8,IFERROR(MATCH(IF($B873="Robusta","Robusta",(IF($B873="","Arabica",$B873))&amp;" - "&amp;(IF($C873="","Commercial",$C873))),Variables!$B$1:$D$1,0),1))*AC873)+(T873*INDEX(Variables!$B$9:$D$9,IFERROR(MATCH(IF($B873="Robusta","Robusta",(IF($B873="","Arabica",$B873))&amp;" - "&amp;(IF($C873="","Commercial",$C873))),Variables!$B$1:$D$1,0),1))*AC873/365),""))</f>
        <v/>
      </c>
      <c r="AU873" s="12">
        <f>IF($H873="Cancelled","",IFERROR((T873*INDEX(Variables!$B$7:$D$7,IFERROR(MATCH(IF($B873="Robusta","Robusta",(IF($B873="","Arabica",$B873))&amp;" - "&amp;(IF($C873="","Commercial",$C873))),Variables!$B$1:$D$1,0),1))*AP873/365)+(L873/16.67*INDEX(Variables!$B$8:$D$8,IFERROR(MATCH(IF($B873="Robusta","Robusta",(IF($B873="","Arabica",$B873))&amp;" - "&amp;(IF($C873="","Commercial",$C873))),Variables!$B$1:$D$1,0),1))*AP873)+(T873*INDEX(Variables!$B$9:$D$9,IFERROR(MATCH(IF($B873="Robusta","Robusta",(IF($B873="","Arabica",$B873))&amp;" - "&amp;(IF($C873="","Commercial",$C873))),Variables!$B$1:$D$1,0),1))*AP873/365),""))</f>
        <v>-100.32603464833588</v>
      </c>
      <c r="AV873" s="11">
        <f t="shared" si="85"/>
        <v>8</v>
      </c>
      <c r="AW873" s="12">
        <f>IF($H873="Cancelled","",IFERROR(IF(AV873="","",(T873*INDEX(Variables!$B$7:$D$7,IFERROR(MATCH(IF($B873="Robusta","Robusta",(IF($B873="","Arabica",$B873))&amp;" - "&amp;(IF($C873="","Commercial",$C873))),Variables!$B$1:$D$1,0),1))*(AV873/365))+(T873*INDEX(Variables!$B$9:$D$9,IFERROR(MATCH(IF($B873="Robusta","Robusta",(IF($B873="","Arabica",$B873))&amp;" - "&amp;(IF($C873="","Commercial",$C873))),Variables!$B$1:$D$1,0),1))*(AV873/365))+(INDEX(Variables!$B$8:$D$8,IFERROR(MATCH(IF($B873="Robusta","Robusta",(IF($B873="","Arabica",$B873))&amp;" - "&amp;(IF($C873="","Commercial",$C873))),Variables!$B$1:$D$1,0),1))*L873/16.67)),""))</f>
        <v>43.539098245129772</v>
      </c>
      <c r="AX873" s="9"/>
      <c r="AY873" s="12"/>
      <c r="AZ873" s="10"/>
      <c r="BA873" s="9"/>
      <c r="BB873" s="10"/>
      <c r="BC873" s="9"/>
      <c r="BD873" s="9"/>
      <c r="BE873" s="9"/>
      <c r="BF873" s="9"/>
    </row>
    <row r="874" spans="1:58" x14ac:dyDescent="0.25">
      <c r="A874" s="9" t="s">
        <v>84</v>
      </c>
      <c r="B874" s="9" t="s">
        <v>85</v>
      </c>
      <c r="C874" s="9" t="s">
        <v>1486</v>
      </c>
      <c r="D874" s="10">
        <v>45672</v>
      </c>
      <c r="E874" s="10">
        <v>45689</v>
      </c>
      <c r="F874" s="10">
        <v>45716</v>
      </c>
      <c r="G874" s="9">
        <v>3786607</v>
      </c>
      <c r="H874" s="9" t="str">
        <f t="shared" si="83"/>
        <v>Closed</v>
      </c>
      <c r="I874" s="9" t="str">
        <f t="shared" si="84"/>
        <v>All dates received</v>
      </c>
      <c r="J874" s="9" t="s">
        <v>1487</v>
      </c>
      <c r="K874" s="9" t="s">
        <v>1872</v>
      </c>
      <c r="L874" s="11">
        <v>45</v>
      </c>
      <c r="M874" s="9" t="s">
        <v>1873</v>
      </c>
      <c r="N874" s="9"/>
      <c r="O874" s="9"/>
      <c r="P874" s="9"/>
      <c r="Q874" s="11">
        <v>166.05</v>
      </c>
      <c r="R874" s="9" t="s">
        <v>90</v>
      </c>
      <c r="S874" s="9" t="s">
        <v>183</v>
      </c>
      <c r="T874" s="12">
        <f>IF($H874="Cancelled","",IFERROR(((Q874+INDEX(Variables!$B$6:$D$6,IFERROR(MATCH(IF($B874="Robusta","Robusta",(IF($B874="","Arabica",$B874))&amp;" - "&amp;(IF($C874="","Commercial",$C874))),Variables!$B$1:$D$1,0),1)))*22.0462)*(L874/16.67),""))</f>
        <v>27188.439781043788</v>
      </c>
      <c r="U874" s="10">
        <v>45678</v>
      </c>
      <c r="V874" s="9" t="str">
        <f t="shared" si="86"/>
        <v>Sent</v>
      </c>
      <c r="W874" s="10"/>
      <c r="X874" s="9" t="str">
        <f t="shared" ref="X874:X937" si="87">IF(ISNUMBER(W874),"Approved","")</f>
        <v/>
      </c>
      <c r="Y874" s="10"/>
      <c r="Z874" s="10">
        <f>IF($H874="Cancelled","",IFERROR(IF(F874="","",F874-Variables!$B$13),""))</f>
        <v>45701</v>
      </c>
      <c r="AA874" s="11" t="str">
        <f>IF($H874="Cancelled","",IFERROR(IF(W874="","",(AVERAGE(E874:F874)-W874)-Variables!$B$14),""))</f>
        <v/>
      </c>
      <c r="AB874" s="10">
        <v>45688</v>
      </c>
      <c r="AC874" s="11" t="str">
        <f>IF($H874="Cancelled","",IFERROR(IF(AB874="","",IF(AND(W874="",Y874=""),"",IF(Y874&gt;W874,Y874+Variables!$B$15+Variables!$B$16+Variables!$B$17-AB874,W874+Variables!$B$16+Variables!$B$17-AB874))),""))</f>
        <v/>
      </c>
      <c r="AD874" s="9" t="s">
        <v>107</v>
      </c>
      <c r="AE874" s="9" t="s">
        <v>684</v>
      </c>
      <c r="AF874" s="10">
        <v>45710</v>
      </c>
      <c r="AG874" s="10"/>
      <c r="AH874" s="9"/>
      <c r="AI874" s="9" t="s">
        <v>1867</v>
      </c>
      <c r="AJ874" s="9" t="s">
        <v>8</v>
      </c>
      <c r="AK874" s="10">
        <v>45708</v>
      </c>
      <c r="AL874" s="10">
        <v>45713</v>
      </c>
      <c r="AM874" s="10">
        <v>45716</v>
      </c>
      <c r="AN874" s="9" t="s">
        <v>1492</v>
      </c>
      <c r="AO874" s="9"/>
      <c r="AP874" s="11">
        <f>IF($H874="Cancelled","",IFERROR(IF(OR(AK874="",AB874=""),"",(AB874+Variables!$B$18-AK874)),""))</f>
        <v>-13</v>
      </c>
      <c r="AQ874" s="11">
        <f>IF($H874="Cancelled","",IFERROR(IF(OR(AM874="",AK874=""),"",(AK874+Variables!$B$19)-AM874),""))</f>
        <v>-3</v>
      </c>
      <c r="AR874" s="12">
        <f>IF($H874="Cancelled","",IFERROR(T874*INDEX(Variables!$B$7:$D$7,IFERROR(MATCH(IF($B874="Robusta","Robusta",(IF($B874="","Arabica",$B874))&amp;" - "&amp;(IF($C874="","Commercial",$C874))),Variables!$B$1:$D$1,0),1))*(AQ874/365),""))</f>
        <v>-14.409619821774424</v>
      </c>
      <c r="AS874" s="12" t="str">
        <f>IF($H874="Cancelled","",IFERROR((T874*INDEX(Variables!$B$7:$D$7,IFERROR(MATCH(IF($B874="Robusta","Robusta",(IF($B874="","Arabica",$B874))&amp;" - "&amp;(IF($C874="","Commercial",$C874))),Variables!$B$1:$D$1,0),1))*IFERROR(IF(W874="","",(AVERAGE(E874:F874)-W874)-Variables!$B$14),"")/365)+(L874/16.67*INDEX(Variables!$B$8:$D$8,IFERROR(MATCH(IF($B874="Robusta","Robusta",(IF($B874="","Arabica",$B874))&amp;" - "&amp;(IF($C874="","Commercial",$C874))),Variables!$B$1:$D$1,0),1))*IFERROR(IF(W874="","",(AVERAGE(E874:F874)-W874)-Variables!$B$14),""))+(T874*INDEX(Variables!$B$9:$D$9,IFERROR(MATCH(IF($B874="Robusta","Robusta",(IF($B874="","Arabica",$B874))&amp;" - "&amp;(IF($C874="","Commercial",$C874))),Variables!$B$1:$D$1,0),1))*IFERROR(IF(W874="","",(AVERAGE(E874:F874)-W874)-Variables!$B$14),"")/365),""))</f>
        <v/>
      </c>
      <c r="AT874" s="12" t="str">
        <f>IF($H874="Cancelled","",IFERROR((T874*INDEX(Variables!$B$7:$D$7,IFERROR(MATCH(IF($B874="Robusta","Robusta",(IF($B874="","Arabica",$B874))&amp;" - "&amp;(IF($C874="","Commercial",$C874))),Variables!$B$1:$D$1,0),1))*AC874/365)+(L874/16.67*INDEX(Variables!$B$8:$D$8,IFERROR(MATCH(IF($B874="Robusta","Robusta",(IF($B874="","Arabica",$B874))&amp;" - "&amp;(IF($C874="","Commercial",$C874))),Variables!$B$1:$D$1,0),1))*AC874)+(T874*INDEX(Variables!$B$9:$D$9,IFERROR(MATCH(IF($B874="Robusta","Robusta",(IF($B874="","Arabica",$B874))&amp;" - "&amp;(IF($C874="","Commercial",$C874))),Variables!$B$1:$D$1,0),1))*AC874/365),""))</f>
        <v/>
      </c>
      <c r="AU874" s="12">
        <f>IF($H874="Cancelled","",IFERROR((T874*INDEX(Variables!$B$7:$D$7,IFERROR(MATCH(IF($B874="Robusta","Robusta",(IF($B874="","Arabica",$B874))&amp;" - "&amp;(IF($C874="","Commercial",$C874))),Variables!$B$1:$D$1,0),1))*AP874/365)+(L874/16.67*INDEX(Variables!$B$8:$D$8,IFERROR(MATCH(IF($B874="Robusta","Robusta",(IF($B874="","Arabica",$B874))&amp;" - "&amp;(IF($C874="","Commercial",$C874))),Variables!$B$1:$D$1,0),1))*AP874)+(T874*INDEX(Variables!$B$9:$D$9,IFERROR(MATCH(IF($B874="Robusta","Robusta",(IF($B874="","Arabica",$B874))&amp;" - "&amp;(IF($C874="","Commercial",$C874))),Variables!$B$1:$D$1,0),1))*AP874/365),""))</f>
        <v>-92.496679729615479</v>
      </c>
      <c r="AV874" s="11">
        <f t="shared" si="85"/>
        <v>8</v>
      </c>
      <c r="AW874" s="12">
        <f>IF($H874="Cancelled","",IFERROR(IF(AV874="","",(T874*INDEX(Variables!$B$7:$D$7,IFERROR(MATCH(IF($B874="Robusta","Robusta",(IF($B874="","Arabica",$B874))&amp;" - "&amp;(IF($C874="","Commercial",$C874))),Variables!$B$1:$D$1,0),1))*(AV874/365))+(T874*INDEX(Variables!$B$9:$D$9,IFERROR(MATCH(IF($B874="Robusta","Robusta",(IF($B874="","Arabica",$B874))&amp;" - "&amp;(IF($C874="","Commercial",$C874))),Variables!$B$1:$D$1,0),1))*(AV874/365))+(INDEX(Variables!$B$8:$D$8,IFERROR(MATCH(IF($B874="Robusta","Robusta",(IF($B874="","Arabica",$B874))&amp;" - "&amp;(IF($C874="","Commercial",$C874))),Variables!$B$1:$D$1,0),1))*L874/16.67)),""))</f>
        <v>41.171033679763362</v>
      </c>
      <c r="AX874" s="9"/>
      <c r="AY874" s="12"/>
      <c r="AZ874" s="10"/>
      <c r="BA874" s="9"/>
      <c r="BB874" s="10"/>
      <c r="BC874" s="9"/>
      <c r="BD874" s="9"/>
      <c r="BE874" s="9"/>
      <c r="BF874" s="9"/>
    </row>
    <row r="875" spans="1:58" x14ac:dyDescent="0.25">
      <c r="A875" s="9" t="s">
        <v>84</v>
      </c>
      <c r="B875" s="9" t="s">
        <v>85</v>
      </c>
      <c r="C875" s="9" t="s">
        <v>1486</v>
      </c>
      <c r="D875" s="10">
        <v>45672</v>
      </c>
      <c r="E875" s="10">
        <v>45689</v>
      </c>
      <c r="F875" s="10">
        <v>45716</v>
      </c>
      <c r="G875" s="9">
        <v>3786613</v>
      </c>
      <c r="H875" s="9" t="str">
        <f t="shared" si="83"/>
        <v>Closed</v>
      </c>
      <c r="I875" s="9" t="str">
        <f t="shared" si="84"/>
        <v>All dates received</v>
      </c>
      <c r="J875" s="9" t="s">
        <v>1592</v>
      </c>
      <c r="K875" s="9" t="s">
        <v>1874</v>
      </c>
      <c r="L875" s="11">
        <v>49</v>
      </c>
      <c r="M875" s="9" t="s">
        <v>1875</v>
      </c>
      <c r="N875" s="9"/>
      <c r="O875" s="9"/>
      <c r="P875" s="9"/>
      <c r="Q875" s="11">
        <v>175.05</v>
      </c>
      <c r="R875" s="9" t="s">
        <v>195</v>
      </c>
      <c r="S875" s="9" t="s">
        <v>578</v>
      </c>
      <c r="T875" s="12">
        <f>IF($H875="Cancelled","",IFERROR(((Q875+INDEX(Variables!$B$6:$D$6,IFERROR(MATCH(IF($B875="Robusta","Robusta",(IF($B875="","Arabica",$B875))&amp;" - "&amp;(IF($C875="","Commercial",$C875))),Variables!$B$1:$D$1,0),1)))*22.0462)*(L875/16.67),""))</f>
        <v>30188.41579064187</v>
      </c>
      <c r="U875" s="10">
        <v>45678</v>
      </c>
      <c r="V875" s="9" t="str">
        <f t="shared" si="86"/>
        <v>Sent</v>
      </c>
      <c r="W875" s="10"/>
      <c r="X875" s="9" t="str">
        <f t="shared" si="87"/>
        <v/>
      </c>
      <c r="Y875" s="10"/>
      <c r="Z875" s="10">
        <f>IF($H875="Cancelled","",IFERROR(IF(F875="","",F875-Variables!$B$13),""))</f>
        <v>45701</v>
      </c>
      <c r="AA875" s="11" t="str">
        <f>IF($H875="Cancelled","",IFERROR(IF(W875="","",(AVERAGE(E875:F875)-W875)-Variables!$B$14),""))</f>
        <v/>
      </c>
      <c r="AB875" s="10">
        <v>45696</v>
      </c>
      <c r="AC875" s="11" t="str">
        <f>IF($H875="Cancelled","",IFERROR(IF(AB875="","",IF(AND(W875="",Y875=""),"",IF(Y875&gt;W875,Y875+Variables!$B$15+Variables!$B$16+Variables!$B$17-AB875,W875+Variables!$B$16+Variables!$B$17-AB875))),""))</f>
        <v/>
      </c>
      <c r="AD875" s="9" t="s">
        <v>163</v>
      </c>
      <c r="AE875" s="9" t="s">
        <v>324</v>
      </c>
      <c r="AF875" s="10">
        <v>45703</v>
      </c>
      <c r="AG875" s="10"/>
      <c r="AH875" s="9"/>
      <c r="AI875" s="9">
        <v>249951258</v>
      </c>
      <c r="AJ875" s="9" t="s">
        <v>8</v>
      </c>
      <c r="AK875" s="10">
        <v>45705</v>
      </c>
      <c r="AL875" s="10">
        <v>45713</v>
      </c>
      <c r="AM875" s="10">
        <v>45714</v>
      </c>
      <c r="AN875" s="9" t="s">
        <v>1492</v>
      </c>
      <c r="AO875" s="9"/>
      <c r="AP875" s="11">
        <f>IF($H875="Cancelled","",IFERROR(IF(OR(AK875="",AB875=""),"",(AB875+Variables!$B$18-AK875)),""))</f>
        <v>-2</v>
      </c>
      <c r="AQ875" s="11">
        <f>IF($H875="Cancelled","",IFERROR(IF(OR(AM875="",AK875=""),"",(AK875+Variables!$B$19)-AM875),""))</f>
        <v>-4</v>
      </c>
      <c r="AR875" s="12">
        <f>IF($H875="Cancelled","",IFERROR(T875*INDEX(Variables!$B$7:$D$7,IFERROR(MATCH(IF($B875="Robusta","Robusta",(IF($B875="","Arabica",$B875))&amp;" - "&amp;(IF($C875="","Commercial",$C875))),Variables!$B$1:$D$1,0),1))*(AQ875/365),""))</f>
        <v>-21.332772215839203</v>
      </c>
      <c r="AS875" s="12" t="str">
        <f>IF($H875="Cancelled","",IFERROR((T875*INDEX(Variables!$B$7:$D$7,IFERROR(MATCH(IF($B875="Robusta","Robusta",(IF($B875="","Arabica",$B875))&amp;" - "&amp;(IF($C875="","Commercial",$C875))),Variables!$B$1:$D$1,0),1))*IFERROR(IF(W875="","",(AVERAGE(E875:F875)-W875)-Variables!$B$14),"")/365)+(L875/16.67*INDEX(Variables!$B$8:$D$8,IFERROR(MATCH(IF($B875="Robusta","Robusta",(IF($B875="","Arabica",$B875))&amp;" - "&amp;(IF($C875="","Commercial",$C875))),Variables!$B$1:$D$1,0),1))*IFERROR(IF(W875="","",(AVERAGE(E875:F875)-W875)-Variables!$B$14),""))+(T875*INDEX(Variables!$B$9:$D$9,IFERROR(MATCH(IF($B875="Robusta","Robusta",(IF($B875="","Arabica",$B875))&amp;" - "&amp;(IF($C875="","Commercial",$C875))),Variables!$B$1:$D$1,0),1))*IFERROR(IF(W875="","",(AVERAGE(E875:F875)-W875)-Variables!$B$14),"")/365),""))</f>
        <v/>
      </c>
      <c r="AT875" s="12" t="str">
        <f>IF($H875="Cancelled","",IFERROR((T875*INDEX(Variables!$B$7:$D$7,IFERROR(MATCH(IF($B875="Robusta","Robusta",(IF($B875="","Arabica",$B875))&amp;" - "&amp;(IF($C875="","Commercial",$C875))),Variables!$B$1:$D$1,0),1))*AC875/365)+(L875/16.67*INDEX(Variables!$B$8:$D$8,IFERROR(MATCH(IF($B875="Robusta","Robusta",(IF($B875="","Arabica",$B875))&amp;" - "&amp;(IF($C875="","Commercial",$C875))),Variables!$B$1:$D$1,0),1))*AC875)+(T875*INDEX(Variables!$B$9:$D$9,IFERROR(MATCH(IF($B875="Robusta","Robusta",(IF($B875="","Arabica",$B875))&amp;" - "&amp;(IF($C875="","Commercial",$C875))),Variables!$B$1:$D$1,0),1))*AC875/365),""))</f>
        <v/>
      </c>
      <c r="AU875" s="12">
        <f>IF($H875="Cancelled","",IFERROR((T875*INDEX(Variables!$B$7:$D$7,IFERROR(MATCH(IF($B875="Robusta","Robusta",(IF($B875="","Arabica",$B875))&amp;" - "&amp;(IF($C875="","Commercial",$C875))),Variables!$B$1:$D$1,0),1))*AP875/365)+(L875/16.67*INDEX(Variables!$B$8:$D$8,IFERROR(MATCH(IF($B875="Robusta","Robusta",(IF($B875="","Arabica",$B875))&amp;" - "&amp;(IF($C875="","Commercial",$C875))),Variables!$B$1:$D$1,0),1))*AP875)+(T875*INDEX(Variables!$B$9:$D$9,IFERROR(MATCH(IF($B875="Robusta","Robusta",(IF($B875="","Arabica",$B875))&amp;" - "&amp;(IF($C875="","Commercial",$C875))),Variables!$B$1:$D$1,0),1))*AP875/365),""))</f>
        <v>-15.703896409545687</v>
      </c>
      <c r="AV875" s="11">
        <f t="shared" si="85"/>
        <v>11</v>
      </c>
      <c r="AW875" s="12">
        <f>IF($H875="Cancelled","",IFERROR(IF(AV875="","",(T875*INDEX(Variables!$B$7:$D$7,IFERROR(MATCH(IF($B875="Robusta","Robusta",(IF($B875="","Arabica",$B875))&amp;" - "&amp;(IF($C875="","Commercial",$C875))),Variables!$B$1:$D$1,0),1))*(AV875/365))+(T875*INDEX(Variables!$B$9:$D$9,IFERROR(MATCH(IF($B875="Robusta","Robusta",(IF($B875="","Arabica",$B875))&amp;" - "&amp;(IF($C875="","Commercial",$C875))),Variables!$B$1:$D$1,0),1))*(AV875/365))+(INDEX(Variables!$B$8:$D$8,IFERROR(MATCH(IF($B875="Robusta","Robusta",(IF($B875="","Arabica",$B875))&amp;" - "&amp;(IF($C875="","Commercial",$C875))),Variables!$B$1:$D$1,0),1))*L875/16.67)),""))</f>
        <v>61.871430252501284</v>
      </c>
      <c r="AX875" s="9"/>
      <c r="AY875" s="12"/>
      <c r="AZ875" s="10"/>
      <c r="BA875" s="9"/>
      <c r="BB875" s="10"/>
      <c r="BC875" s="9"/>
      <c r="BD875" s="9"/>
      <c r="BE875" s="9"/>
      <c r="BF875" s="9"/>
    </row>
    <row r="876" spans="1:58" x14ac:dyDescent="0.25">
      <c r="A876" s="9" t="s">
        <v>84</v>
      </c>
      <c r="B876" s="9" t="s">
        <v>85</v>
      </c>
      <c r="C876" s="9" t="s">
        <v>1486</v>
      </c>
      <c r="D876" s="10">
        <v>45672</v>
      </c>
      <c r="E876" s="10">
        <v>45689</v>
      </c>
      <c r="F876" s="10">
        <v>45716</v>
      </c>
      <c r="G876" s="9">
        <v>3786614</v>
      </c>
      <c r="H876" s="9" t="str">
        <f t="shared" si="83"/>
        <v>Closed</v>
      </c>
      <c r="I876" s="9" t="str">
        <f t="shared" si="84"/>
        <v>All dates received</v>
      </c>
      <c r="J876" s="9" t="s">
        <v>1592</v>
      </c>
      <c r="K876" s="9" t="s">
        <v>1876</v>
      </c>
      <c r="L876" s="11">
        <v>62</v>
      </c>
      <c r="M876" s="9" t="s">
        <v>1877</v>
      </c>
      <c r="N876" s="9"/>
      <c r="O876" s="9"/>
      <c r="P876" s="9"/>
      <c r="Q876" s="11">
        <v>120.05</v>
      </c>
      <c r="R876" s="9" t="s">
        <v>195</v>
      </c>
      <c r="S876" s="9" t="s">
        <v>578</v>
      </c>
      <c r="T876" s="12">
        <f>IF($H876="Cancelled","",IFERROR(((Q876+INDEX(Variables!$B$6:$D$6,IFERROR(MATCH(IF($B876="Robusta","Robusta",(IF($B876="","Arabica",$B876))&amp;" - "&amp;(IF($C876="","Commercial",$C876))),Variables!$B$1:$D$1,0),1)))*22.0462)*(L876/16.67),""))</f>
        <v>33687.836757048593</v>
      </c>
      <c r="U876" s="10">
        <v>45678</v>
      </c>
      <c r="V876" s="9" t="str">
        <f t="shared" si="86"/>
        <v>Sent</v>
      </c>
      <c r="W876" s="10"/>
      <c r="X876" s="9" t="str">
        <f t="shared" si="87"/>
        <v/>
      </c>
      <c r="Y876" s="10"/>
      <c r="Z876" s="10">
        <f>IF($H876="Cancelled","",IFERROR(IF(F876="","",F876-Variables!$B$13),""))</f>
        <v>45701</v>
      </c>
      <c r="AA876" s="11" t="str">
        <f>IF($H876="Cancelled","",IFERROR(IF(W876="","",(AVERAGE(E876:F876)-W876)-Variables!$B$14),""))</f>
        <v/>
      </c>
      <c r="AB876" s="10">
        <v>45696</v>
      </c>
      <c r="AC876" s="11" t="str">
        <f>IF($H876="Cancelled","",IFERROR(IF(AB876="","",IF(AND(W876="",Y876=""),"",IF(Y876&gt;W876,Y876+Variables!$B$15+Variables!$B$16+Variables!$B$17-AB876,W876+Variables!$B$16+Variables!$B$17-AB876))),""))</f>
        <v/>
      </c>
      <c r="AD876" s="9" t="s">
        <v>163</v>
      </c>
      <c r="AE876" s="9" t="s">
        <v>324</v>
      </c>
      <c r="AF876" s="10">
        <v>45703</v>
      </c>
      <c r="AG876" s="10"/>
      <c r="AH876" s="9"/>
      <c r="AI876" s="9">
        <v>249951258</v>
      </c>
      <c r="AJ876" s="9" t="s">
        <v>8</v>
      </c>
      <c r="AK876" s="10">
        <v>45705</v>
      </c>
      <c r="AL876" s="10">
        <v>45713</v>
      </c>
      <c r="AM876" s="10">
        <v>45714</v>
      </c>
      <c r="AN876" s="9" t="s">
        <v>1492</v>
      </c>
      <c r="AO876" s="9"/>
      <c r="AP876" s="11">
        <f>IF($H876="Cancelled","",IFERROR(IF(OR(AK876="",AB876=""),"",(AB876+Variables!$B$18-AK876)),""))</f>
        <v>-2</v>
      </c>
      <c r="AQ876" s="11">
        <f>IF($H876="Cancelled","",IFERROR(IF(OR(AM876="",AK876=""),"",(AK876+Variables!$B$19)-AM876),""))</f>
        <v>-4</v>
      </c>
      <c r="AR876" s="12">
        <f>IF($H876="Cancelled","",IFERROR(T876*INDEX(Variables!$B$7:$D$7,IFERROR(MATCH(IF($B876="Robusta","Robusta",(IF($B876="","Arabica",$B876))&amp;" - "&amp;(IF($C876="","Commercial",$C876))),Variables!$B$1:$D$1,0),1))*(AQ876/365),""))</f>
        <v>-23.805652902305305</v>
      </c>
      <c r="AS876" s="12" t="str">
        <f>IF($H876="Cancelled","",IFERROR((T876*INDEX(Variables!$B$7:$D$7,IFERROR(MATCH(IF($B876="Robusta","Robusta",(IF($B876="","Arabica",$B876))&amp;" - "&amp;(IF($C876="","Commercial",$C876))),Variables!$B$1:$D$1,0),1))*IFERROR(IF(W876="","",(AVERAGE(E876:F876)-W876)-Variables!$B$14),"")/365)+(L876/16.67*INDEX(Variables!$B$8:$D$8,IFERROR(MATCH(IF($B876="Robusta","Robusta",(IF($B876="","Arabica",$B876))&amp;" - "&amp;(IF($C876="","Commercial",$C876))),Variables!$B$1:$D$1,0),1))*IFERROR(IF(W876="","",(AVERAGE(E876:F876)-W876)-Variables!$B$14),""))+(T876*INDEX(Variables!$B$9:$D$9,IFERROR(MATCH(IF($B876="Robusta","Robusta",(IF($B876="","Arabica",$B876))&amp;" - "&amp;(IF($C876="","Commercial",$C876))),Variables!$B$1:$D$1,0),1))*IFERROR(IF(W876="","",(AVERAGE(E876:F876)-W876)-Variables!$B$14),"")/365),""))</f>
        <v/>
      </c>
      <c r="AT876" s="12" t="str">
        <f>IF($H876="Cancelled","",IFERROR((T876*INDEX(Variables!$B$7:$D$7,IFERROR(MATCH(IF($B876="Robusta","Robusta",(IF($B876="","Arabica",$B876))&amp;" - "&amp;(IF($C876="","Commercial",$C876))),Variables!$B$1:$D$1,0),1))*AC876/365)+(L876/16.67*INDEX(Variables!$B$8:$D$8,IFERROR(MATCH(IF($B876="Robusta","Robusta",(IF($B876="","Arabica",$B876))&amp;" - "&amp;(IF($C876="","Commercial",$C876))),Variables!$B$1:$D$1,0),1))*AC876)+(T876*INDEX(Variables!$B$9:$D$9,IFERROR(MATCH(IF($B876="Robusta","Robusta",(IF($B876="","Arabica",$B876))&amp;" - "&amp;(IF($C876="","Commercial",$C876))),Variables!$B$1:$D$1,0),1))*AC876/365),""))</f>
        <v/>
      </c>
      <c r="AU876" s="12">
        <f>IF($H876="Cancelled","",IFERROR((T876*INDEX(Variables!$B$7:$D$7,IFERROR(MATCH(IF($B876="Robusta","Robusta",(IF($B876="","Arabica",$B876))&amp;" - "&amp;(IF($C876="","Commercial",$C876))),Variables!$B$1:$D$1,0),1))*AP876/365)+(L876/16.67*INDEX(Variables!$B$8:$D$8,IFERROR(MATCH(IF($B876="Robusta","Robusta",(IF($B876="","Arabica",$B876))&amp;" - "&amp;(IF($C876="","Commercial",$C876))),Variables!$B$1:$D$1,0),1))*AP876)+(T876*INDEX(Variables!$B$9:$D$9,IFERROR(MATCH(IF($B876="Robusta","Robusta",(IF($B876="","Arabica",$B876))&amp;" - "&amp;(IF($C876="","Commercial",$C876))),Variables!$B$1:$D$1,0),1))*AP876/365),""))</f>
        <v>-18.256276854967087</v>
      </c>
      <c r="AV876" s="11">
        <f t="shared" si="85"/>
        <v>11</v>
      </c>
      <c r="AW876" s="12">
        <f>IF($H876="Cancelled","",IFERROR(IF(AV876="","",(T876*INDEX(Variables!$B$7:$D$7,IFERROR(MATCH(IF($B876="Robusta","Robusta",(IF($B876="","Arabica",$B876))&amp;" - "&amp;(IF($C876="","Commercial",$C876))),Variables!$B$1:$D$1,0),1))*(AV876/365))+(T876*INDEX(Variables!$B$9:$D$9,IFERROR(MATCH(IF($B876="Robusta","Robusta",(IF($B876="","Arabica",$B876))&amp;" - "&amp;(IF($C876="","Commercial",$C876))),Variables!$B$1:$D$1,0),1))*(AV876/365))+(INDEX(Variables!$B$8:$D$8,IFERROR(MATCH(IF($B876="Robusta","Robusta",(IF($B876="","Arabica",$B876))&amp;" - "&amp;(IF($C876="","Commercial",$C876))),Variables!$B$1:$D$1,0),1))*L876/16.67)),""))</f>
        <v>69.409522702318981</v>
      </c>
      <c r="AX876" s="9"/>
      <c r="AY876" s="12"/>
      <c r="AZ876" s="10"/>
      <c r="BA876" s="9"/>
      <c r="BB876" s="10"/>
      <c r="BC876" s="9"/>
      <c r="BD876" s="9"/>
      <c r="BE876" s="9"/>
      <c r="BF876" s="9"/>
    </row>
    <row r="877" spans="1:58" x14ac:dyDescent="0.25">
      <c r="A877" s="9" t="s">
        <v>84</v>
      </c>
      <c r="B877" s="9" t="s">
        <v>85</v>
      </c>
      <c r="C877" s="9" t="s">
        <v>1486</v>
      </c>
      <c r="D877" s="10">
        <v>45672</v>
      </c>
      <c r="E877" s="10">
        <v>45689</v>
      </c>
      <c r="F877" s="10">
        <v>45716</v>
      </c>
      <c r="G877" s="9">
        <v>3786603</v>
      </c>
      <c r="H877" s="9" t="str">
        <f t="shared" si="83"/>
        <v>Closed</v>
      </c>
      <c r="I877" s="9" t="str">
        <f t="shared" si="84"/>
        <v>All dates received</v>
      </c>
      <c r="J877" s="9" t="s">
        <v>1487</v>
      </c>
      <c r="K877" s="9" t="s">
        <v>1878</v>
      </c>
      <c r="L877" s="11">
        <v>22</v>
      </c>
      <c r="M877" s="9" t="s">
        <v>1879</v>
      </c>
      <c r="N877" s="9"/>
      <c r="O877" s="9"/>
      <c r="P877" s="9"/>
      <c r="Q877" s="11">
        <v>160.05000000000001</v>
      </c>
      <c r="R877" s="9" t="s">
        <v>90</v>
      </c>
      <c r="S877" s="9" t="s">
        <v>183</v>
      </c>
      <c r="T877" s="12">
        <f>IF($H877="Cancelled","",IFERROR(((Q877+INDEX(Variables!$B$6:$D$6,IFERROR(MATCH(IF($B877="Robusta","Robusta",(IF($B877="","Arabica",$B877))&amp;" - "&amp;(IF($C877="","Commercial",$C877))),Variables!$B$1:$D$1,0),1)))*22.0462)*(L877/16.67),""))</f>
        <v>13117.555125374925</v>
      </c>
      <c r="U877" s="10">
        <v>45678</v>
      </c>
      <c r="V877" s="9" t="str">
        <f t="shared" si="86"/>
        <v>Sent</v>
      </c>
      <c r="W877" s="10"/>
      <c r="X877" s="9" t="str">
        <f t="shared" si="87"/>
        <v/>
      </c>
      <c r="Y877" s="10"/>
      <c r="Z877" s="10">
        <f>IF($H877="Cancelled","",IFERROR(IF(F877="","",F877-Variables!$B$13),""))</f>
        <v>45701</v>
      </c>
      <c r="AA877" s="11" t="str">
        <f>IF($H877="Cancelled","",IFERROR(IF(W877="","",(AVERAGE(E877:F877)-W877)-Variables!$B$14),""))</f>
        <v/>
      </c>
      <c r="AB877" s="10">
        <v>45696</v>
      </c>
      <c r="AC877" s="11" t="str">
        <f>IF($H877="Cancelled","",IFERROR(IF(AB877="","",IF(AND(W877="",Y877=""),"",IF(Y877&gt;W877,Y877+Variables!$B$15+Variables!$B$16+Variables!$B$17-AB877,W877+Variables!$B$16+Variables!$B$17-AB877))),""))</f>
        <v/>
      </c>
      <c r="AD877" s="9" t="s">
        <v>107</v>
      </c>
      <c r="AE877" s="9" t="s">
        <v>684</v>
      </c>
      <c r="AF877" s="10">
        <v>45710</v>
      </c>
      <c r="AG877" s="10"/>
      <c r="AH877" s="9"/>
      <c r="AI877" s="9" t="s">
        <v>1880</v>
      </c>
      <c r="AJ877" s="9" t="s">
        <v>8</v>
      </c>
      <c r="AK877" s="10">
        <v>45708</v>
      </c>
      <c r="AL877" s="10">
        <v>45713</v>
      </c>
      <c r="AM877" s="10">
        <v>45716</v>
      </c>
      <c r="AN877" s="9" t="s">
        <v>1492</v>
      </c>
      <c r="AO877" s="9"/>
      <c r="AP877" s="11">
        <f>IF($H877="Cancelled","",IFERROR(IF(OR(AK877="",AB877=""),"",(AB877+Variables!$B$18-AK877)),""))</f>
        <v>-5</v>
      </c>
      <c r="AQ877" s="11">
        <f>IF($H877="Cancelled","",IFERROR(IF(OR(AM877="",AK877=""),"",(AK877+Variables!$B$19)-AM877),""))</f>
        <v>-3</v>
      </c>
      <c r="AR877" s="12">
        <f>IF($H877="Cancelled","",IFERROR(T877*INDEX(Variables!$B$7:$D$7,IFERROR(MATCH(IF($B877="Robusta","Robusta",(IF($B877="","Arabica",$B877))&amp;" - "&amp;(IF($C877="","Commercial",$C877))),Variables!$B$1:$D$1,0),1))*(AQ877/365),""))</f>
        <v>-6.9521820255242552</v>
      </c>
      <c r="AS877" s="12" t="str">
        <f>IF($H877="Cancelled","",IFERROR((T877*INDEX(Variables!$B$7:$D$7,IFERROR(MATCH(IF($B877="Robusta","Robusta",(IF($B877="","Arabica",$B877))&amp;" - "&amp;(IF($C877="","Commercial",$C877))),Variables!$B$1:$D$1,0),1))*IFERROR(IF(W877="","",(AVERAGE(E877:F877)-W877)-Variables!$B$14),"")/365)+(L877/16.67*INDEX(Variables!$B$8:$D$8,IFERROR(MATCH(IF($B877="Robusta","Robusta",(IF($B877="","Arabica",$B877))&amp;" - "&amp;(IF($C877="","Commercial",$C877))),Variables!$B$1:$D$1,0),1))*IFERROR(IF(W877="","",(AVERAGE(E877:F877)-W877)-Variables!$B$14),""))+(T877*INDEX(Variables!$B$9:$D$9,IFERROR(MATCH(IF($B877="Robusta","Robusta",(IF($B877="","Arabica",$B877))&amp;" - "&amp;(IF($C877="","Commercial",$C877))),Variables!$B$1:$D$1,0),1))*IFERROR(IF(W877="","",(AVERAGE(E877:F877)-W877)-Variables!$B$14),"")/365),""))</f>
        <v/>
      </c>
      <c r="AT877" s="12" t="str">
        <f>IF($H877="Cancelled","",IFERROR((T877*INDEX(Variables!$B$7:$D$7,IFERROR(MATCH(IF($B877="Robusta","Robusta",(IF($B877="","Arabica",$B877))&amp;" - "&amp;(IF($C877="","Commercial",$C877))),Variables!$B$1:$D$1,0),1))*AC877/365)+(L877/16.67*INDEX(Variables!$B$8:$D$8,IFERROR(MATCH(IF($B877="Robusta","Robusta",(IF($B877="","Arabica",$B877))&amp;" - "&amp;(IF($C877="","Commercial",$C877))),Variables!$B$1:$D$1,0),1))*AC877)+(T877*INDEX(Variables!$B$9:$D$9,IFERROR(MATCH(IF($B877="Robusta","Robusta",(IF($B877="","Arabica",$B877))&amp;" - "&amp;(IF($C877="","Commercial",$C877))),Variables!$B$1:$D$1,0),1))*AC877/365),""))</f>
        <v/>
      </c>
      <c r="AU877" s="12">
        <f>IF($H877="Cancelled","",IFERROR((T877*INDEX(Variables!$B$7:$D$7,IFERROR(MATCH(IF($B877="Robusta","Robusta",(IF($B877="","Arabica",$B877))&amp;" - "&amp;(IF($C877="","Commercial",$C877))),Variables!$B$1:$D$1,0),1))*AP877/365)+(L877/16.67*INDEX(Variables!$B$8:$D$8,IFERROR(MATCH(IF($B877="Robusta","Robusta",(IF($B877="","Arabica",$B877))&amp;" - "&amp;(IF($C877="","Commercial",$C877))),Variables!$B$1:$D$1,0),1))*AP877)+(T877*INDEX(Variables!$B$9:$D$9,IFERROR(MATCH(IF($B877="Robusta","Robusta",(IF($B877="","Arabica",$B877))&amp;" - "&amp;(IF($C877="","Commercial",$C877))),Variables!$B$1:$D$1,0),1))*AP877/365),""))</f>
        <v>-17.236348447687334</v>
      </c>
      <c r="AV877" s="11">
        <f t="shared" si="85"/>
        <v>8</v>
      </c>
      <c r="AW877" s="12">
        <f>IF($H877="Cancelled","",IFERROR(IF(AV877="","",(T877*INDEX(Variables!$B$7:$D$7,IFERROR(MATCH(IF($B877="Robusta","Robusta",(IF($B877="","Arabica",$B877))&amp;" - "&amp;(IF($C877="","Commercial",$C877))),Variables!$B$1:$D$1,0),1))*(AV877/365))+(T877*INDEX(Variables!$B$9:$D$9,IFERROR(MATCH(IF($B877="Robusta","Robusta",(IF($B877="","Arabica",$B877))&amp;" - "&amp;(IF($C877="","Commercial",$C877))),Variables!$B$1:$D$1,0),1))*(AV877/365))+(INDEX(Variables!$B$8:$D$8,IFERROR(MATCH(IF($B877="Robusta","Robusta",(IF($B877="","Arabica",$B877))&amp;" - "&amp;(IF($C877="","Commercial",$C877))),Variables!$B$1:$D$1,0),1))*L877/16.67)),""))</f>
        <v>19.878157516299733</v>
      </c>
      <c r="AX877" s="9"/>
      <c r="AY877" s="12"/>
      <c r="AZ877" s="10"/>
      <c r="BA877" s="9"/>
      <c r="BB877" s="10"/>
      <c r="BC877" s="9"/>
      <c r="BD877" s="9"/>
      <c r="BE877" s="9"/>
      <c r="BF877" s="9"/>
    </row>
    <row r="878" spans="1:58" x14ac:dyDescent="0.25">
      <c r="A878" s="9" t="s">
        <v>84</v>
      </c>
      <c r="B878" s="9" t="s">
        <v>85</v>
      </c>
      <c r="C878" s="9" t="s">
        <v>1486</v>
      </c>
      <c r="D878" s="10">
        <v>45672</v>
      </c>
      <c r="E878" s="10">
        <v>45689</v>
      </c>
      <c r="F878" s="10">
        <v>45716</v>
      </c>
      <c r="G878" s="9">
        <v>3786604</v>
      </c>
      <c r="H878" s="9" t="str">
        <f t="shared" si="83"/>
        <v>Closed</v>
      </c>
      <c r="I878" s="9" t="str">
        <f t="shared" si="84"/>
        <v>All dates received</v>
      </c>
      <c r="J878" s="9" t="s">
        <v>1487</v>
      </c>
      <c r="K878" s="9" t="s">
        <v>1881</v>
      </c>
      <c r="L878" s="11">
        <v>10</v>
      </c>
      <c r="M878" s="9" t="s">
        <v>1882</v>
      </c>
      <c r="N878" s="9"/>
      <c r="O878" s="9"/>
      <c r="P878" s="9"/>
      <c r="Q878" s="11">
        <v>158.05000000000001</v>
      </c>
      <c r="R878" s="9" t="s">
        <v>90</v>
      </c>
      <c r="S878" s="9" t="s">
        <v>183</v>
      </c>
      <c r="T878" s="12">
        <f>IF($H878="Cancelled","",IFERROR(((Q878+INDEX(Variables!$B$6:$D$6,IFERROR(MATCH(IF($B878="Robusta","Robusta",(IF($B878="","Arabica",$B878))&amp;" - "&amp;(IF($C878="","Commercial",$C878))),Variables!$B$1:$D$1,0),1)))*22.0462)*(L878/16.67),""))</f>
        <v>5936.0749070185957</v>
      </c>
      <c r="U878" s="10">
        <v>45678</v>
      </c>
      <c r="V878" s="9" t="str">
        <f t="shared" si="86"/>
        <v>Sent</v>
      </c>
      <c r="W878" s="10"/>
      <c r="X878" s="9" t="str">
        <f t="shared" si="87"/>
        <v/>
      </c>
      <c r="Y878" s="10"/>
      <c r="Z878" s="10">
        <f>IF($H878="Cancelled","",IFERROR(IF(F878="","",F878-Variables!$B$13),""))</f>
        <v>45701</v>
      </c>
      <c r="AA878" s="11" t="str">
        <f>IF($H878="Cancelled","",IFERROR(IF(W878="","",(AVERAGE(E878:F878)-W878)-Variables!$B$14),""))</f>
        <v/>
      </c>
      <c r="AB878" s="10">
        <v>45696</v>
      </c>
      <c r="AC878" s="11" t="str">
        <f>IF($H878="Cancelled","",IFERROR(IF(AB878="","",IF(AND(W878="",Y878=""),"",IF(Y878&gt;W878,Y878+Variables!$B$15+Variables!$B$16+Variables!$B$17-AB878,W878+Variables!$B$16+Variables!$B$17-AB878))),""))</f>
        <v/>
      </c>
      <c r="AD878" s="9" t="s">
        <v>107</v>
      </c>
      <c r="AE878" s="9" t="s">
        <v>684</v>
      </c>
      <c r="AF878" s="10">
        <v>45710</v>
      </c>
      <c r="AG878" s="10"/>
      <c r="AH878" s="9"/>
      <c r="AI878" s="9" t="s">
        <v>1880</v>
      </c>
      <c r="AJ878" s="9" t="s">
        <v>8</v>
      </c>
      <c r="AK878" s="10">
        <v>45708</v>
      </c>
      <c r="AL878" s="10">
        <v>45713</v>
      </c>
      <c r="AM878" s="10">
        <v>45716</v>
      </c>
      <c r="AN878" s="9" t="s">
        <v>1492</v>
      </c>
      <c r="AO878" s="9"/>
      <c r="AP878" s="11">
        <f>IF($H878="Cancelled","",IFERROR(IF(OR(AK878="",AB878=""),"",(AB878+Variables!$B$18-AK878)),""))</f>
        <v>-5</v>
      </c>
      <c r="AQ878" s="11">
        <f>IF($H878="Cancelled","",IFERROR(IF(OR(AM878="",AK878=""),"",(AK878+Variables!$B$19)-AM878),""))</f>
        <v>-3</v>
      </c>
      <c r="AR878" s="12">
        <f>IF($H878="Cancelled","",IFERROR(T878*INDEX(Variables!$B$7:$D$7,IFERROR(MATCH(IF($B878="Robusta","Robusta",(IF($B878="","Arabica",$B878))&amp;" - "&amp;(IF($C878="","Commercial",$C878))),Variables!$B$1:$D$1,0),1))*(AQ878/365),""))</f>
        <v>-3.1460644057755163</v>
      </c>
      <c r="AS878" s="12" t="str">
        <f>IF($H878="Cancelled","",IFERROR((T878*INDEX(Variables!$B$7:$D$7,IFERROR(MATCH(IF($B878="Robusta","Robusta",(IF($B878="","Arabica",$B878))&amp;" - "&amp;(IF($C878="","Commercial",$C878))),Variables!$B$1:$D$1,0),1))*IFERROR(IF(W878="","",(AVERAGE(E878:F878)-W878)-Variables!$B$14),"")/365)+(L878/16.67*INDEX(Variables!$B$8:$D$8,IFERROR(MATCH(IF($B878="Robusta","Robusta",(IF($B878="","Arabica",$B878))&amp;" - "&amp;(IF($C878="","Commercial",$C878))),Variables!$B$1:$D$1,0),1))*IFERROR(IF(W878="","",(AVERAGE(E878:F878)-W878)-Variables!$B$14),""))+(T878*INDEX(Variables!$B$9:$D$9,IFERROR(MATCH(IF($B878="Robusta","Robusta",(IF($B878="","Arabica",$B878))&amp;" - "&amp;(IF($C878="","Commercial",$C878))),Variables!$B$1:$D$1,0),1))*IFERROR(IF(W878="","",(AVERAGE(E878:F878)-W878)-Variables!$B$14),"")/365),""))</f>
        <v/>
      </c>
      <c r="AT878" s="12" t="str">
        <f>IF($H878="Cancelled","",IFERROR((T878*INDEX(Variables!$B$7:$D$7,IFERROR(MATCH(IF($B878="Robusta","Robusta",(IF($B878="","Arabica",$B878))&amp;" - "&amp;(IF($C878="","Commercial",$C878))),Variables!$B$1:$D$1,0),1))*AC878/365)+(L878/16.67*INDEX(Variables!$B$8:$D$8,IFERROR(MATCH(IF($B878="Robusta","Robusta",(IF($B878="","Arabica",$B878))&amp;" - "&amp;(IF($C878="","Commercial",$C878))),Variables!$B$1:$D$1,0),1))*AC878)+(T878*INDEX(Variables!$B$9:$D$9,IFERROR(MATCH(IF($B878="Robusta","Robusta",(IF($B878="","Arabica",$B878))&amp;" - "&amp;(IF($C878="","Commercial",$C878))),Variables!$B$1:$D$1,0),1))*AC878/365),""))</f>
        <v/>
      </c>
      <c r="AU878" s="12">
        <f>IF($H878="Cancelled","",IFERROR((T878*INDEX(Variables!$B$7:$D$7,IFERROR(MATCH(IF($B878="Robusta","Robusta",(IF($B878="","Arabica",$B878))&amp;" - "&amp;(IF($C878="","Commercial",$C878))),Variables!$B$1:$D$1,0),1))*AP878/365)+(L878/16.67*INDEX(Variables!$B$8:$D$8,IFERROR(MATCH(IF($B878="Robusta","Robusta",(IF($B878="","Arabica",$B878))&amp;" - "&amp;(IF($C878="","Commercial",$C878))),Variables!$B$1:$D$1,0),1))*AP878)+(T878*INDEX(Variables!$B$9:$D$9,IFERROR(MATCH(IF($B878="Robusta","Robusta",(IF($B878="","Arabica",$B878))&amp;" - "&amp;(IF($C878="","Commercial",$C878))),Variables!$B$1:$D$1,0),1))*AP878/365),""))</f>
        <v>-7.8110387457473855</v>
      </c>
      <c r="AV878" s="11">
        <f t="shared" si="85"/>
        <v>8</v>
      </c>
      <c r="AW878" s="12">
        <f>IF($H878="Cancelled","",IFERROR(IF(AV878="","",(T878*INDEX(Variables!$B$7:$D$7,IFERROR(MATCH(IF($B878="Robusta","Robusta",(IF($B878="","Arabica",$B878))&amp;" - "&amp;(IF($C878="","Commercial",$C878))),Variables!$B$1:$D$1,0),1))*(AV878/365))+(T878*INDEX(Variables!$B$9:$D$9,IFERROR(MATCH(IF($B878="Robusta","Robusta",(IF($B878="","Arabica",$B878))&amp;" - "&amp;(IF($C878="","Commercial",$C878))),Variables!$B$1:$D$1,0),1))*(AV878/365))+(INDEX(Variables!$B$8:$D$8,IFERROR(MATCH(IF($B878="Robusta","Robusta",(IF($B878="","Arabica",$B878))&amp;" - "&amp;(IF($C878="","Commercial",$C878))),Variables!$B$1:$D$1,0),1))*L878/16.67)),""))</f>
        <v>8.9976619931958162</v>
      </c>
      <c r="AX878" s="9"/>
      <c r="AY878" s="12"/>
      <c r="AZ878" s="10"/>
      <c r="BA878" s="9"/>
      <c r="BB878" s="10"/>
      <c r="BC878" s="9"/>
      <c r="BD878" s="9"/>
      <c r="BE878" s="9"/>
      <c r="BF878" s="9"/>
    </row>
    <row r="879" spans="1:58" x14ac:dyDescent="0.25">
      <c r="A879" s="9" t="s">
        <v>84</v>
      </c>
      <c r="B879" s="9" t="s">
        <v>85</v>
      </c>
      <c r="C879" s="9" t="s">
        <v>1486</v>
      </c>
      <c r="D879" s="10">
        <v>45672</v>
      </c>
      <c r="E879" s="10">
        <v>45689</v>
      </c>
      <c r="F879" s="10">
        <v>45716</v>
      </c>
      <c r="G879" s="9">
        <v>3786608</v>
      </c>
      <c r="H879" s="9" t="str">
        <f t="shared" si="83"/>
        <v>Closed</v>
      </c>
      <c r="I879" s="9" t="str">
        <f t="shared" si="84"/>
        <v>All dates received</v>
      </c>
      <c r="J879" s="9" t="s">
        <v>1487</v>
      </c>
      <c r="K879" s="9" t="s">
        <v>1883</v>
      </c>
      <c r="L879" s="11">
        <v>45</v>
      </c>
      <c r="M879" s="9" t="s">
        <v>1884</v>
      </c>
      <c r="N879" s="9"/>
      <c r="O879" s="9"/>
      <c r="P879" s="9"/>
      <c r="Q879" s="11">
        <v>119.05</v>
      </c>
      <c r="R879" s="9" t="s">
        <v>90</v>
      </c>
      <c r="S879" s="9" t="s">
        <v>183</v>
      </c>
      <c r="T879" s="12">
        <f>IF($H879="Cancelled","",IFERROR(((Q879+INDEX(Variables!$B$6:$D$6,IFERROR(MATCH(IF($B879="Robusta","Robusta",(IF($B879="","Arabica",$B879))&amp;" - "&amp;(IF($C879="","Commercial",$C879))),Variables!$B$1:$D$1,0),1)))*22.0462)*(L879/16.67),""))</f>
        <v>24391.336421715656</v>
      </c>
      <c r="U879" s="10">
        <v>45678</v>
      </c>
      <c r="V879" s="9" t="str">
        <f t="shared" si="86"/>
        <v>Sent</v>
      </c>
      <c r="W879" s="10"/>
      <c r="X879" s="9" t="str">
        <f t="shared" si="87"/>
        <v/>
      </c>
      <c r="Y879" s="10"/>
      <c r="Z879" s="10">
        <f>IF($H879="Cancelled","",IFERROR(IF(F879="","",F879-Variables!$B$13),""))</f>
        <v>45701</v>
      </c>
      <c r="AA879" s="11" t="str">
        <f>IF($H879="Cancelled","",IFERROR(IF(W879="","",(AVERAGE(E879:F879)-W879)-Variables!$B$14),""))</f>
        <v/>
      </c>
      <c r="AB879" s="10">
        <v>45696</v>
      </c>
      <c r="AC879" s="11" t="str">
        <f>IF($H879="Cancelled","",IFERROR(IF(AB879="","",IF(AND(W879="",Y879=""),"",IF(Y879&gt;W879,Y879+Variables!$B$15+Variables!$B$16+Variables!$B$17-AB879,W879+Variables!$B$16+Variables!$B$17-AB879))),""))</f>
        <v/>
      </c>
      <c r="AD879" s="9" t="s">
        <v>107</v>
      </c>
      <c r="AE879" s="9" t="s">
        <v>684</v>
      </c>
      <c r="AF879" s="10">
        <v>45710</v>
      </c>
      <c r="AG879" s="10"/>
      <c r="AH879" s="9"/>
      <c r="AI879" s="9" t="s">
        <v>1880</v>
      </c>
      <c r="AJ879" s="9" t="s">
        <v>8</v>
      </c>
      <c r="AK879" s="10">
        <v>45708</v>
      </c>
      <c r="AL879" s="10">
        <v>45713</v>
      </c>
      <c r="AM879" s="10">
        <v>45716</v>
      </c>
      <c r="AN879" s="9" t="s">
        <v>1492</v>
      </c>
      <c r="AO879" s="9"/>
      <c r="AP879" s="11">
        <f>IF($H879="Cancelled","",IFERROR(IF(OR(AK879="",AB879=""),"",(AB879+Variables!$B$18-AK879)),""))</f>
        <v>-5</v>
      </c>
      <c r="AQ879" s="11">
        <f>IF($H879="Cancelled","",IFERROR(IF(OR(AM879="",AK879=""),"",(AK879+Variables!$B$19)-AM879),""))</f>
        <v>-3</v>
      </c>
      <c r="AR879" s="12">
        <f>IF($H879="Cancelled","",IFERROR(T879*INDEX(Variables!$B$7:$D$7,IFERROR(MATCH(IF($B879="Robusta","Robusta",(IF($B879="","Arabica",$B879))&amp;" - "&amp;(IF($C879="","Commercial",$C879))),Variables!$B$1:$D$1,0),1))*(AQ879/365),""))</f>
        <v>-12.92718109653989</v>
      </c>
      <c r="AS879" s="12" t="str">
        <f>IF($H879="Cancelled","",IFERROR((T879*INDEX(Variables!$B$7:$D$7,IFERROR(MATCH(IF($B879="Robusta","Robusta",(IF($B879="","Arabica",$B879))&amp;" - "&amp;(IF($C879="","Commercial",$C879))),Variables!$B$1:$D$1,0),1))*IFERROR(IF(W879="","",(AVERAGE(E879:F879)-W879)-Variables!$B$14),"")/365)+(L879/16.67*INDEX(Variables!$B$8:$D$8,IFERROR(MATCH(IF($B879="Robusta","Robusta",(IF($B879="","Arabica",$B879))&amp;" - "&amp;(IF($C879="","Commercial",$C879))),Variables!$B$1:$D$1,0),1))*IFERROR(IF(W879="","",(AVERAGE(E879:F879)-W879)-Variables!$B$14),""))+(T879*INDEX(Variables!$B$9:$D$9,IFERROR(MATCH(IF($B879="Robusta","Robusta",(IF($B879="","Arabica",$B879))&amp;" - "&amp;(IF($C879="","Commercial",$C879))),Variables!$B$1:$D$1,0),1))*IFERROR(IF(W879="","",(AVERAGE(E879:F879)-W879)-Variables!$B$14),"")/365),""))</f>
        <v/>
      </c>
      <c r="AT879" s="12" t="str">
        <f>IF($H879="Cancelled","",IFERROR((T879*INDEX(Variables!$B$7:$D$7,IFERROR(MATCH(IF($B879="Robusta","Robusta",(IF($B879="","Arabica",$B879))&amp;" - "&amp;(IF($C879="","Commercial",$C879))),Variables!$B$1:$D$1,0),1))*AC879/365)+(L879/16.67*INDEX(Variables!$B$8:$D$8,IFERROR(MATCH(IF($B879="Robusta","Robusta",(IF($B879="","Arabica",$B879))&amp;" - "&amp;(IF($C879="","Commercial",$C879))),Variables!$B$1:$D$1,0),1))*AC879)+(T879*INDEX(Variables!$B$9:$D$9,IFERROR(MATCH(IF($B879="Robusta","Robusta",(IF($B879="","Arabica",$B879))&amp;" - "&amp;(IF($C879="","Commercial",$C879))),Variables!$B$1:$D$1,0),1))*AC879/365),""))</f>
        <v/>
      </c>
      <c r="AU879" s="12">
        <f>IF($H879="Cancelled","",IFERROR((T879*INDEX(Variables!$B$7:$D$7,IFERROR(MATCH(IF($B879="Robusta","Robusta",(IF($B879="","Arabica",$B879))&amp;" - "&amp;(IF($C879="","Commercial",$C879))),Variables!$B$1:$D$1,0),1))*AP879/365)+(L879/16.67*INDEX(Variables!$B$8:$D$8,IFERROR(MATCH(IF($B879="Robusta","Robusta",(IF($B879="","Arabica",$B879))&amp;" - "&amp;(IF($C879="","Commercial",$C879))),Variables!$B$1:$D$1,0),1))*AP879)+(T879*INDEX(Variables!$B$9:$D$9,IFERROR(MATCH(IF($B879="Robusta","Robusta",(IF($B879="","Arabica",$B879))&amp;" - "&amp;(IF($C879="","Commercial",$C879))),Variables!$B$1:$D$1,0),1))*AP879/365),""))</f>
        <v>-33.073062347667474</v>
      </c>
      <c r="AV879" s="11">
        <f t="shared" si="85"/>
        <v>8</v>
      </c>
      <c r="AW879" s="12">
        <f>IF($H879="Cancelled","",IFERROR(IF(AV879="","",(T879*INDEX(Variables!$B$7:$D$7,IFERROR(MATCH(IF($B879="Robusta","Robusta",(IF($B879="","Arabica",$B879))&amp;" - "&amp;(IF($C879="","Commercial",$C879))),Variables!$B$1:$D$1,0),1))*(AV879/365))+(T879*INDEX(Variables!$B$9:$D$9,IFERROR(MATCH(IF($B879="Robusta","Robusta",(IF($B879="","Arabica",$B879))&amp;" - "&amp;(IF($C879="","Commercial",$C879))),Variables!$B$1:$D$1,0),1))*(AV879/365))+(INDEX(Variables!$B$8:$D$8,IFERROR(MATCH(IF($B879="Robusta","Robusta",(IF($B879="","Arabica",$B879))&amp;" - "&amp;(IF($C879="","Commercial",$C879))),Variables!$B$1:$D$1,0),1))*L879/16.67)),""))</f>
        <v>37.166899756267959</v>
      </c>
      <c r="AX879" s="9"/>
      <c r="AY879" s="12"/>
      <c r="AZ879" s="10"/>
      <c r="BA879" s="9"/>
      <c r="BB879" s="10"/>
      <c r="BC879" s="9"/>
      <c r="BD879" s="9"/>
      <c r="BE879" s="9"/>
      <c r="BF879" s="9"/>
    </row>
    <row r="880" spans="1:58" x14ac:dyDescent="0.25">
      <c r="A880" s="9" t="s">
        <v>84</v>
      </c>
      <c r="B880" s="9" t="s">
        <v>85</v>
      </c>
      <c r="C880" s="9" t="s">
        <v>1486</v>
      </c>
      <c r="D880" s="10">
        <v>45672</v>
      </c>
      <c r="E880" s="10">
        <v>45689</v>
      </c>
      <c r="F880" s="10">
        <v>45716</v>
      </c>
      <c r="G880" s="9">
        <v>3786609</v>
      </c>
      <c r="H880" s="9" t="str">
        <f t="shared" si="83"/>
        <v>Closed</v>
      </c>
      <c r="I880" s="9" t="str">
        <f t="shared" si="84"/>
        <v>All dates received</v>
      </c>
      <c r="J880" s="9" t="s">
        <v>1487</v>
      </c>
      <c r="K880" s="9" t="s">
        <v>1885</v>
      </c>
      <c r="L880" s="11">
        <v>45</v>
      </c>
      <c r="M880" s="9" t="s">
        <v>1886</v>
      </c>
      <c r="N880" s="9"/>
      <c r="O880" s="9"/>
      <c r="P880" s="9"/>
      <c r="Q880" s="11">
        <v>125.05</v>
      </c>
      <c r="R880" s="9" t="s">
        <v>90</v>
      </c>
      <c r="S880" s="9" t="s">
        <v>183</v>
      </c>
      <c r="T880" s="12">
        <f>IF($H880="Cancelled","",IFERROR(((Q880+INDEX(Variables!$B$6:$D$6,IFERROR(MATCH(IF($B880="Robusta","Robusta",(IF($B880="","Arabica",$B880))&amp;" - "&amp;(IF($C880="","Commercial",$C880))),Variables!$B$1:$D$1,0),1)))*22.0462)*(L880/16.67),""))</f>
        <v>24748.41344631074</v>
      </c>
      <c r="U880" s="10">
        <v>45688</v>
      </c>
      <c r="V880" s="9" t="str">
        <f t="shared" si="86"/>
        <v>Sent</v>
      </c>
      <c r="W880" s="10"/>
      <c r="X880" s="9" t="str">
        <f t="shared" si="87"/>
        <v/>
      </c>
      <c r="Y880" s="10"/>
      <c r="Z880" s="10">
        <f>IF($H880="Cancelled","",IFERROR(IF(F880="","",F880-Variables!$B$13),""))</f>
        <v>45701</v>
      </c>
      <c r="AA880" s="11" t="str">
        <f>IF($H880="Cancelled","",IFERROR(IF(W880="","",(AVERAGE(E880:F880)-W880)-Variables!$B$14),""))</f>
        <v/>
      </c>
      <c r="AB880" s="10">
        <v>45696</v>
      </c>
      <c r="AC880" s="11" t="str">
        <f>IF($H880="Cancelled","",IFERROR(IF(AB880="","",IF(AND(W880="",Y880=""),"",IF(Y880&gt;W880,Y880+Variables!$B$15+Variables!$B$16+Variables!$B$17-AB880,W880+Variables!$B$16+Variables!$B$17-AB880))),""))</f>
        <v/>
      </c>
      <c r="AD880" s="9" t="s">
        <v>107</v>
      </c>
      <c r="AE880" s="9" t="s">
        <v>684</v>
      </c>
      <c r="AF880" s="10">
        <v>45710</v>
      </c>
      <c r="AG880" s="10"/>
      <c r="AH880" s="9"/>
      <c r="AI880" s="9" t="s">
        <v>1880</v>
      </c>
      <c r="AJ880" s="9" t="s">
        <v>8</v>
      </c>
      <c r="AK880" s="10">
        <v>45708</v>
      </c>
      <c r="AL880" s="10">
        <v>45713</v>
      </c>
      <c r="AM880" s="10">
        <v>45716</v>
      </c>
      <c r="AN880" s="9" t="s">
        <v>1492</v>
      </c>
      <c r="AO880" s="9"/>
      <c r="AP880" s="11">
        <f>IF($H880="Cancelled","",IFERROR(IF(OR(AK880="",AB880=""),"",(AB880+Variables!$B$18-AK880)),""))</f>
        <v>-5</v>
      </c>
      <c r="AQ880" s="11">
        <f>IF($H880="Cancelled","",IFERROR(IF(OR(AM880="",AK880=""),"",(AK880+Variables!$B$19)-AM880),""))</f>
        <v>-3</v>
      </c>
      <c r="AR880" s="12">
        <f>IF($H880="Cancelled","",IFERROR(T880*INDEX(Variables!$B$7:$D$7,IFERROR(MATCH(IF($B880="Robusta","Robusta",(IF($B880="","Arabica",$B880))&amp;" - "&amp;(IF($C880="","Commercial",$C880))),Variables!$B$1:$D$1,0),1))*(AQ880/365),""))</f>
        <v>-13.116428593378343</v>
      </c>
      <c r="AS880" s="12" t="str">
        <f>IF($H880="Cancelled","",IFERROR((T880*INDEX(Variables!$B$7:$D$7,IFERROR(MATCH(IF($B880="Robusta","Robusta",(IF($B880="","Arabica",$B880))&amp;" - "&amp;(IF($C880="","Commercial",$C880))),Variables!$B$1:$D$1,0),1))*IFERROR(IF(W880="","",(AVERAGE(E880:F880)-W880)-Variables!$B$14),"")/365)+(L880/16.67*INDEX(Variables!$B$8:$D$8,IFERROR(MATCH(IF($B880="Robusta","Robusta",(IF($B880="","Arabica",$B880))&amp;" - "&amp;(IF($C880="","Commercial",$C880))),Variables!$B$1:$D$1,0),1))*IFERROR(IF(W880="","",(AVERAGE(E880:F880)-W880)-Variables!$B$14),""))+(T880*INDEX(Variables!$B$9:$D$9,IFERROR(MATCH(IF($B880="Robusta","Robusta",(IF($B880="","Arabica",$B880))&amp;" - "&amp;(IF($C880="","Commercial",$C880))),Variables!$B$1:$D$1,0),1))*IFERROR(IF(W880="","",(AVERAGE(E880:F880)-W880)-Variables!$B$14),"")/365),""))</f>
        <v/>
      </c>
      <c r="AT880" s="12" t="str">
        <f>IF($H880="Cancelled","",IFERROR((T880*INDEX(Variables!$B$7:$D$7,IFERROR(MATCH(IF($B880="Robusta","Robusta",(IF($B880="","Arabica",$B880))&amp;" - "&amp;(IF($C880="","Commercial",$C880))),Variables!$B$1:$D$1,0),1))*AC880/365)+(L880/16.67*INDEX(Variables!$B$8:$D$8,IFERROR(MATCH(IF($B880="Robusta","Robusta",(IF($B880="","Arabica",$B880))&amp;" - "&amp;(IF($C880="","Commercial",$C880))),Variables!$B$1:$D$1,0),1))*AC880)+(T880*INDEX(Variables!$B$9:$D$9,IFERROR(MATCH(IF($B880="Robusta","Robusta",(IF($B880="","Arabica",$B880))&amp;" - "&amp;(IF($C880="","Commercial",$C880))),Variables!$B$1:$D$1,0),1))*AC880/365),""))</f>
        <v/>
      </c>
      <c r="AU880" s="12">
        <f>IF($H880="Cancelled","",IFERROR((T880*INDEX(Variables!$B$7:$D$7,IFERROR(MATCH(IF($B880="Robusta","Robusta",(IF($B880="","Arabica",$B880))&amp;" - "&amp;(IF($C880="","Commercial",$C880))),Variables!$B$1:$D$1,0),1))*AP880/365)+(L880/16.67*INDEX(Variables!$B$8:$D$8,IFERROR(MATCH(IF($B880="Robusta","Robusta",(IF($B880="","Arabica",$B880))&amp;" - "&amp;(IF($C880="","Commercial",$C880))),Variables!$B$1:$D$1,0),1))*AP880)+(T880*INDEX(Variables!$B$9:$D$9,IFERROR(MATCH(IF($B880="Robusta","Robusta",(IF($B880="","Arabica",$B880))&amp;" - "&amp;(IF($C880="","Commercial",$C880))),Variables!$B$1:$D$1,0),1))*AP880/365),""))</f>
        <v>-33.39254111815913</v>
      </c>
      <c r="AV880" s="11">
        <f t="shared" si="85"/>
        <v>8</v>
      </c>
      <c r="AW880" s="12">
        <f>IF($H880="Cancelled","",IFERROR(IF(AV880="","",(T880*INDEX(Variables!$B$7:$D$7,IFERROR(MATCH(IF($B880="Robusta","Robusta",(IF($B880="","Arabica",$B880))&amp;" - "&amp;(IF($C880="","Commercial",$C880))),Variables!$B$1:$D$1,0),1))*(AV880/365))+(T880*INDEX(Variables!$B$9:$D$9,IFERROR(MATCH(IF($B880="Robusta","Robusta",(IF($B880="","Arabica",$B880))&amp;" - "&amp;(IF($C880="","Commercial",$C880))),Variables!$B$1:$D$1,0),1))*(AV880/365))+(INDEX(Variables!$B$8:$D$8,IFERROR(MATCH(IF($B880="Robusta","Robusta",(IF($B880="","Arabica",$B880))&amp;" - "&amp;(IF($C880="","Commercial",$C880))),Variables!$B$1:$D$1,0),1))*L880/16.67)),""))</f>
        <v>37.678065789054614</v>
      </c>
      <c r="AX880" s="9"/>
      <c r="AY880" s="12"/>
      <c r="AZ880" s="10"/>
      <c r="BA880" s="9"/>
      <c r="BB880" s="10"/>
      <c r="BC880" s="9"/>
      <c r="BD880" s="9"/>
      <c r="BE880" s="9"/>
      <c r="BF880" s="9"/>
    </row>
    <row r="881" spans="1:58" x14ac:dyDescent="0.25">
      <c r="A881" s="9" t="s">
        <v>84</v>
      </c>
      <c r="B881" s="9" t="s">
        <v>85</v>
      </c>
      <c r="C881" s="9" t="s">
        <v>1486</v>
      </c>
      <c r="D881" s="10">
        <v>45672</v>
      </c>
      <c r="E881" s="10">
        <v>45689</v>
      </c>
      <c r="F881" s="10">
        <v>45716</v>
      </c>
      <c r="G881" s="9">
        <v>3786610</v>
      </c>
      <c r="H881" s="9" t="str">
        <f t="shared" si="83"/>
        <v>Closed</v>
      </c>
      <c r="I881" s="9" t="str">
        <f t="shared" si="84"/>
        <v>All dates received</v>
      </c>
      <c r="J881" s="9" t="s">
        <v>1487</v>
      </c>
      <c r="K881" s="9" t="s">
        <v>1887</v>
      </c>
      <c r="L881" s="11">
        <v>42</v>
      </c>
      <c r="M881" s="9" t="s">
        <v>1888</v>
      </c>
      <c r="N881" s="9"/>
      <c r="O881" s="9"/>
      <c r="P881" s="9"/>
      <c r="Q881" s="11">
        <v>163.05000000000001</v>
      </c>
      <c r="R881" s="9" t="s">
        <v>90</v>
      </c>
      <c r="S881" s="9" t="s">
        <v>183</v>
      </c>
      <c r="T881" s="12">
        <f>IF($H881="Cancelled","",IFERROR(((Q881+INDEX(Variables!$B$6:$D$6,IFERROR(MATCH(IF($B881="Robusta","Robusta",(IF($B881="","Arabica",$B881))&amp;" - "&amp;(IF($C881="","Commercial",$C881))),Variables!$B$1:$D$1,0),1)))*22.0462)*(L881/16.67),""))</f>
        <v>25209.241184163162</v>
      </c>
      <c r="U881" s="10">
        <v>45678</v>
      </c>
      <c r="V881" s="9" t="str">
        <f t="shared" si="86"/>
        <v>Sent</v>
      </c>
      <c r="W881" s="10"/>
      <c r="X881" s="9" t="str">
        <f t="shared" si="87"/>
        <v/>
      </c>
      <c r="Y881" s="10"/>
      <c r="Z881" s="10">
        <f>IF($H881="Cancelled","",IFERROR(IF(F881="","",F881-Variables!$B$13),""))</f>
        <v>45701</v>
      </c>
      <c r="AA881" s="11" t="str">
        <f>IF($H881="Cancelled","",IFERROR(IF(W881="","",(AVERAGE(E881:F881)-W881)-Variables!$B$14),""))</f>
        <v/>
      </c>
      <c r="AB881" s="10">
        <v>45696</v>
      </c>
      <c r="AC881" s="11" t="str">
        <f>IF($H881="Cancelled","",IFERROR(IF(AB881="","",IF(AND(W881="",Y881=""),"",IF(Y881&gt;W881,Y881+Variables!$B$15+Variables!$B$16+Variables!$B$17-AB881,W881+Variables!$B$16+Variables!$B$17-AB881))),""))</f>
        <v/>
      </c>
      <c r="AD881" s="9" t="s">
        <v>107</v>
      </c>
      <c r="AE881" s="9" t="s">
        <v>684</v>
      </c>
      <c r="AF881" s="10">
        <v>45710</v>
      </c>
      <c r="AG881" s="10"/>
      <c r="AH881" s="9"/>
      <c r="AI881" s="9" t="s">
        <v>1880</v>
      </c>
      <c r="AJ881" s="9" t="s">
        <v>8</v>
      </c>
      <c r="AK881" s="10">
        <v>45708</v>
      </c>
      <c r="AL881" s="10">
        <v>45713</v>
      </c>
      <c r="AM881" s="10">
        <v>45716</v>
      </c>
      <c r="AN881" s="9" t="s">
        <v>1492</v>
      </c>
      <c r="AO881" s="9"/>
      <c r="AP881" s="11">
        <f>IF($H881="Cancelled","",IFERROR(IF(OR(AK881="",AB881=""),"",(AB881+Variables!$B$18-AK881)),""))</f>
        <v>-5</v>
      </c>
      <c r="AQ881" s="11">
        <f>IF($H881="Cancelled","",IFERROR(IF(OR(AM881="",AK881=""),"",(AK881+Variables!$B$19)-AM881),""))</f>
        <v>-3</v>
      </c>
      <c r="AR881" s="12">
        <f>IF($H881="Cancelled","",IFERROR(T881*INDEX(Variables!$B$7:$D$7,IFERROR(MATCH(IF($B881="Robusta","Robusta",(IF($B881="","Arabica",$B881))&amp;" - "&amp;(IF($C881="","Commercial",$C881))),Variables!$B$1:$D$1,0),1))*(AQ881/365),""))</f>
        <v>-13.360663001798184</v>
      </c>
      <c r="AS881" s="12" t="str">
        <f>IF($H881="Cancelled","",IFERROR((T881*INDEX(Variables!$B$7:$D$7,IFERROR(MATCH(IF($B881="Robusta","Robusta",(IF($B881="","Arabica",$B881))&amp;" - "&amp;(IF($C881="","Commercial",$C881))),Variables!$B$1:$D$1,0),1))*IFERROR(IF(W881="","",(AVERAGE(E881:F881)-W881)-Variables!$B$14),"")/365)+(L881/16.67*INDEX(Variables!$B$8:$D$8,IFERROR(MATCH(IF($B881="Robusta","Robusta",(IF($B881="","Arabica",$B881))&amp;" - "&amp;(IF($C881="","Commercial",$C881))),Variables!$B$1:$D$1,0),1))*IFERROR(IF(W881="","",(AVERAGE(E881:F881)-W881)-Variables!$B$14),""))+(T881*INDEX(Variables!$B$9:$D$9,IFERROR(MATCH(IF($B881="Robusta","Robusta",(IF($B881="","Arabica",$B881))&amp;" - "&amp;(IF($C881="","Commercial",$C881))),Variables!$B$1:$D$1,0),1))*IFERROR(IF(W881="","",(AVERAGE(E881:F881)-W881)-Variables!$B$14),"")/365),""))</f>
        <v/>
      </c>
      <c r="AT881" s="12" t="str">
        <f>IF($H881="Cancelled","",IFERROR((T881*INDEX(Variables!$B$7:$D$7,IFERROR(MATCH(IF($B881="Robusta","Robusta",(IF($B881="","Arabica",$B881))&amp;" - "&amp;(IF($C881="","Commercial",$C881))),Variables!$B$1:$D$1,0),1))*AC881/365)+(L881/16.67*INDEX(Variables!$B$8:$D$8,IFERROR(MATCH(IF($B881="Robusta","Robusta",(IF($B881="","Arabica",$B881))&amp;" - "&amp;(IF($C881="","Commercial",$C881))),Variables!$B$1:$D$1,0),1))*AC881)+(T881*INDEX(Variables!$B$9:$D$9,IFERROR(MATCH(IF($B881="Robusta","Robusta",(IF($B881="","Arabica",$B881))&amp;" - "&amp;(IF($C881="","Commercial",$C881))),Variables!$B$1:$D$1,0),1))*AC881/365),""))</f>
        <v/>
      </c>
      <c r="AU881" s="12">
        <f>IF($H881="Cancelled","",IFERROR((T881*INDEX(Variables!$B$7:$D$7,IFERROR(MATCH(IF($B881="Robusta","Robusta",(IF($B881="","Arabica",$B881))&amp;" - "&amp;(IF($C881="","Commercial",$C881))),Variables!$B$1:$D$1,0),1))*AP881/365)+(L881/16.67*INDEX(Variables!$B$8:$D$8,IFERROR(MATCH(IF($B881="Robusta","Robusta",(IF($B881="","Arabica",$B881))&amp;" - "&amp;(IF($C881="","Commercial",$C881))),Variables!$B$1:$D$1,0),1))*AP881)+(T881*INDEX(Variables!$B$9:$D$9,IFERROR(MATCH(IF($B881="Robusta","Robusta",(IF($B881="","Arabica",$B881))&amp;" - "&amp;(IF($C881="","Commercial",$C881))),Variables!$B$1:$D$1,0),1))*AP881/365),""))</f>
        <v>-33.05484622029919</v>
      </c>
      <c r="AV881" s="11">
        <f t="shared" si="85"/>
        <v>8</v>
      </c>
      <c r="AW881" s="12">
        <f>IF($H881="Cancelled","",IFERROR(IF(AV881="","",(T881*INDEX(Variables!$B$7:$D$7,IFERROR(MATCH(IF($B881="Robusta","Robusta",(IF($B881="","Arabica",$B881))&amp;" - "&amp;(IF($C881="","Commercial",$C881))),Variables!$B$1:$D$1,0),1))*(AV881/365))+(T881*INDEX(Variables!$B$9:$D$9,IFERROR(MATCH(IF($B881="Robusta","Robusta",(IF($B881="","Arabica",$B881))&amp;" - "&amp;(IF($C881="","Commercial",$C881))),Variables!$B$1:$D$1,0),1))*(AV881/365))+(INDEX(Variables!$B$8:$D$8,IFERROR(MATCH(IF($B881="Robusta","Robusta",(IF($B881="","Arabica",$B881))&amp;" - "&amp;(IF($C881="","Commercial",$C881))),Variables!$B$1:$D$1,0),1))*L881/16.67)),""))</f>
        <v>38.187753952478701</v>
      </c>
      <c r="AX881" s="9"/>
      <c r="AY881" s="12"/>
      <c r="AZ881" s="10"/>
      <c r="BA881" s="9"/>
      <c r="BB881" s="10"/>
      <c r="BC881" s="9"/>
      <c r="BD881" s="9"/>
      <c r="BE881" s="9"/>
      <c r="BF881" s="9"/>
    </row>
    <row r="882" spans="1:58" x14ac:dyDescent="0.25">
      <c r="A882" s="9" t="s">
        <v>84</v>
      </c>
      <c r="B882" s="9" t="s">
        <v>85</v>
      </c>
      <c r="C882" s="9" t="s">
        <v>1486</v>
      </c>
      <c r="D882" s="10">
        <v>45672</v>
      </c>
      <c r="E882" s="10">
        <v>45689</v>
      </c>
      <c r="F882" s="10">
        <v>45716</v>
      </c>
      <c r="G882" s="9">
        <v>3786611</v>
      </c>
      <c r="H882" s="9" t="str">
        <f t="shared" si="83"/>
        <v>Closed</v>
      </c>
      <c r="I882" s="9" t="str">
        <f t="shared" si="84"/>
        <v>All dates received</v>
      </c>
      <c r="J882" s="9" t="s">
        <v>1487</v>
      </c>
      <c r="K882" s="9" t="s">
        <v>1889</v>
      </c>
      <c r="L882" s="11">
        <v>45</v>
      </c>
      <c r="M882" s="9" t="s">
        <v>1890</v>
      </c>
      <c r="N882" s="9"/>
      <c r="O882" s="9"/>
      <c r="P882" s="9"/>
      <c r="Q882" s="11">
        <v>163.05000000000001</v>
      </c>
      <c r="R882" s="9" t="s">
        <v>90</v>
      </c>
      <c r="S882" s="9" t="s">
        <v>183</v>
      </c>
      <c r="T882" s="12">
        <f>IF($H882="Cancelled","",IFERROR(((Q882+INDEX(Variables!$B$6:$D$6,IFERROR(MATCH(IF($B882="Robusta","Robusta",(IF($B882="","Arabica",$B882))&amp;" - "&amp;(IF($C882="","Commercial",$C882))),Variables!$B$1:$D$1,0),1)))*22.0462)*(L882/16.67),""))</f>
        <v>27009.901268746249</v>
      </c>
      <c r="U882" s="10">
        <v>45678</v>
      </c>
      <c r="V882" s="9" t="str">
        <f t="shared" si="86"/>
        <v>Sent</v>
      </c>
      <c r="W882" s="10"/>
      <c r="X882" s="9" t="str">
        <f t="shared" si="87"/>
        <v/>
      </c>
      <c r="Y882" s="10"/>
      <c r="Z882" s="10">
        <f>IF($H882="Cancelled","",IFERROR(IF(F882="","",F882-Variables!$B$13),""))</f>
        <v>45701</v>
      </c>
      <c r="AA882" s="11" t="str">
        <f>IF($H882="Cancelled","",IFERROR(IF(W882="","",(AVERAGE(E882:F882)-W882)-Variables!$B$14),""))</f>
        <v/>
      </c>
      <c r="AB882" s="10">
        <v>45696</v>
      </c>
      <c r="AC882" s="11" t="str">
        <f>IF($H882="Cancelled","",IFERROR(IF(AB882="","",IF(AND(W882="",Y882=""),"",IF(Y882&gt;W882,Y882+Variables!$B$15+Variables!$B$16+Variables!$B$17-AB882,W882+Variables!$B$16+Variables!$B$17-AB882))),""))</f>
        <v/>
      </c>
      <c r="AD882" s="9" t="s">
        <v>107</v>
      </c>
      <c r="AE882" s="9" t="s">
        <v>684</v>
      </c>
      <c r="AF882" s="10">
        <v>45710</v>
      </c>
      <c r="AG882" s="10"/>
      <c r="AH882" s="9"/>
      <c r="AI882" s="9" t="s">
        <v>1880</v>
      </c>
      <c r="AJ882" s="9" t="s">
        <v>8</v>
      </c>
      <c r="AK882" s="10">
        <v>45708</v>
      </c>
      <c r="AL882" s="10">
        <v>45713</v>
      </c>
      <c r="AM882" s="10">
        <v>45716</v>
      </c>
      <c r="AN882" s="9" t="s">
        <v>1492</v>
      </c>
      <c r="AO882" s="9"/>
      <c r="AP882" s="11">
        <f>IF($H882="Cancelled","",IFERROR(IF(OR(AK882="",AB882=""),"",(AB882+Variables!$B$18-AK882)),""))</f>
        <v>-5</v>
      </c>
      <c r="AQ882" s="11">
        <f>IF($H882="Cancelled","",IFERROR(IF(OR(AM882="",AK882=""),"",(AK882+Variables!$B$19)-AM882),""))</f>
        <v>-3</v>
      </c>
      <c r="AR882" s="12">
        <f>IF($H882="Cancelled","",IFERROR(T882*INDEX(Variables!$B$7:$D$7,IFERROR(MATCH(IF($B882="Robusta","Robusta",(IF($B882="","Arabica",$B882))&amp;" - "&amp;(IF($C882="","Commercial",$C882))),Variables!$B$1:$D$1,0),1))*(AQ882/365),""))</f>
        <v>-14.314996073355198</v>
      </c>
      <c r="AS882" s="12" t="str">
        <f>IF($H882="Cancelled","",IFERROR((T882*INDEX(Variables!$B$7:$D$7,IFERROR(MATCH(IF($B882="Robusta","Robusta",(IF($B882="","Arabica",$B882))&amp;" - "&amp;(IF($C882="","Commercial",$C882))),Variables!$B$1:$D$1,0),1))*IFERROR(IF(W882="","",(AVERAGE(E882:F882)-W882)-Variables!$B$14),"")/365)+(L882/16.67*INDEX(Variables!$B$8:$D$8,IFERROR(MATCH(IF($B882="Robusta","Robusta",(IF($B882="","Arabica",$B882))&amp;" - "&amp;(IF($C882="","Commercial",$C882))),Variables!$B$1:$D$1,0),1))*IFERROR(IF(W882="","",(AVERAGE(E882:F882)-W882)-Variables!$B$14),""))+(T882*INDEX(Variables!$B$9:$D$9,IFERROR(MATCH(IF($B882="Robusta","Robusta",(IF($B882="","Arabica",$B882))&amp;" - "&amp;(IF($C882="","Commercial",$C882))),Variables!$B$1:$D$1,0),1))*IFERROR(IF(W882="","",(AVERAGE(E882:F882)-W882)-Variables!$B$14),"")/365),""))</f>
        <v/>
      </c>
      <c r="AT882" s="12" t="str">
        <f>IF($H882="Cancelled","",IFERROR((T882*INDEX(Variables!$B$7:$D$7,IFERROR(MATCH(IF($B882="Robusta","Robusta",(IF($B882="","Arabica",$B882))&amp;" - "&amp;(IF($C882="","Commercial",$C882))),Variables!$B$1:$D$1,0),1))*AC882/365)+(L882/16.67*INDEX(Variables!$B$8:$D$8,IFERROR(MATCH(IF($B882="Robusta","Robusta",(IF($B882="","Arabica",$B882))&amp;" - "&amp;(IF($C882="","Commercial",$C882))),Variables!$B$1:$D$1,0),1))*AC882)+(T882*INDEX(Variables!$B$9:$D$9,IFERROR(MATCH(IF($B882="Robusta","Robusta",(IF($B882="","Arabica",$B882))&amp;" - "&amp;(IF($C882="","Commercial",$C882))),Variables!$B$1:$D$1,0),1))*AC882/365),""))</f>
        <v/>
      </c>
      <c r="AU882" s="12">
        <f>IF($H882="Cancelled","",IFERROR((T882*INDEX(Variables!$B$7:$D$7,IFERROR(MATCH(IF($B882="Robusta","Robusta",(IF($B882="","Arabica",$B882))&amp;" - "&amp;(IF($C882="","Commercial",$C882))),Variables!$B$1:$D$1,0),1))*AP882/365)+(L882/16.67*INDEX(Variables!$B$8:$D$8,IFERROR(MATCH(IF($B882="Robusta","Robusta",(IF($B882="","Arabica",$B882))&amp;" - "&amp;(IF($C882="","Commercial",$C882))),Variables!$B$1:$D$1,0),1))*AP882)+(T882*INDEX(Variables!$B$9:$D$9,IFERROR(MATCH(IF($B882="Robusta","Robusta",(IF($B882="","Arabica",$B882))&amp;" - "&amp;(IF($C882="","Commercial",$C882))),Variables!$B$1:$D$1,0),1))*AP882/365),""))</f>
        <v>-35.415906664606283</v>
      </c>
      <c r="AV882" s="11">
        <f t="shared" si="85"/>
        <v>8</v>
      </c>
      <c r="AW882" s="12">
        <f>IF($H882="Cancelled","",IFERROR(IF(AV882="","",(T882*INDEX(Variables!$B$7:$D$7,IFERROR(MATCH(IF($B882="Robusta","Robusta",(IF($B882="","Arabica",$B882))&amp;" - "&amp;(IF($C882="","Commercial",$C882))),Variables!$B$1:$D$1,0),1))*(AV882/365))+(T882*INDEX(Variables!$B$9:$D$9,IFERROR(MATCH(IF($B882="Robusta","Robusta",(IF($B882="","Arabica",$B882))&amp;" - "&amp;(IF($C882="","Commercial",$C882))),Variables!$B$1:$D$1,0),1))*(AV882/365))+(INDEX(Variables!$B$8:$D$8,IFERROR(MATCH(IF($B882="Robusta","Robusta",(IF($B882="","Arabica",$B882))&amp;" - "&amp;(IF($C882="","Commercial",$C882))),Variables!$B$1:$D$1,0),1))*L882/16.67)),""))</f>
        <v>40.915450663370045</v>
      </c>
      <c r="AX882" s="9"/>
      <c r="AY882" s="12"/>
      <c r="AZ882" s="10"/>
      <c r="BA882" s="9"/>
      <c r="BB882" s="10"/>
      <c r="BC882" s="9"/>
      <c r="BD882" s="9"/>
      <c r="BE882" s="9"/>
      <c r="BF882" s="9"/>
    </row>
    <row r="883" spans="1:58" x14ac:dyDescent="0.25">
      <c r="A883" s="9" t="s">
        <v>84</v>
      </c>
      <c r="B883" s="9" t="s">
        <v>85</v>
      </c>
      <c r="C883" s="9" t="s">
        <v>1486</v>
      </c>
      <c r="D883" s="10">
        <v>45672</v>
      </c>
      <c r="E883" s="10">
        <v>45689</v>
      </c>
      <c r="F883" s="10">
        <v>45716</v>
      </c>
      <c r="G883" s="9">
        <v>3786612</v>
      </c>
      <c r="H883" s="9" t="str">
        <f t="shared" si="83"/>
        <v>Closed</v>
      </c>
      <c r="I883" s="9" t="str">
        <f t="shared" si="84"/>
        <v>All dates received</v>
      </c>
      <c r="J883" s="9" t="s">
        <v>1487</v>
      </c>
      <c r="K883" s="9" t="s">
        <v>1891</v>
      </c>
      <c r="L883" s="11">
        <v>41</v>
      </c>
      <c r="M883" s="9" t="s">
        <v>1892</v>
      </c>
      <c r="N883" s="9"/>
      <c r="O883" s="9"/>
      <c r="P883" s="9"/>
      <c r="Q883" s="11">
        <v>165.05</v>
      </c>
      <c r="R883" s="9" t="s">
        <v>90</v>
      </c>
      <c r="S883" s="9" t="s">
        <v>183</v>
      </c>
      <c r="T883" s="12">
        <f>IF($H883="Cancelled","",IFERROR(((Q883+INDEX(Variables!$B$6:$D$6,IFERROR(MATCH(IF($B883="Robusta","Robusta",(IF($B883="","Arabica",$B883))&amp;" - "&amp;(IF($C883="","Commercial",$C883))),Variables!$B$1:$D$1,0),1)))*22.0462)*(L883/16.67),""))</f>
        <v>24717.466770845829</v>
      </c>
      <c r="U883" s="10">
        <v>45688</v>
      </c>
      <c r="V883" s="9" t="str">
        <f t="shared" si="86"/>
        <v>Sent</v>
      </c>
      <c r="W883" s="10"/>
      <c r="X883" s="9" t="str">
        <f t="shared" si="87"/>
        <v/>
      </c>
      <c r="Y883" s="10"/>
      <c r="Z883" s="10">
        <f>IF($H883="Cancelled","",IFERROR(IF(F883="","",F883-Variables!$B$13),""))</f>
        <v>45701</v>
      </c>
      <c r="AA883" s="11" t="str">
        <f>IF($H883="Cancelled","",IFERROR(IF(W883="","",(AVERAGE(E883:F883)-W883)-Variables!$B$14),""))</f>
        <v/>
      </c>
      <c r="AB883" s="10">
        <v>45696</v>
      </c>
      <c r="AC883" s="11" t="str">
        <f>IF($H883="Cancelled","",IFERROR(IF(AB883="","",IF(AND(W883="",Y883=""),"",IF(Y883&gt;W883,Y883+Variables!$B$15+Variables!$B$16+Variables!$B$17-AB883,W883+Variables!$B$16+Variables!$B$17-AB883))),""))</f>
        <v/>
      </c>
      <c r="AD883" s="9" t="s">
        <v>107</v>
      </c>
      <c r="AE883" s="9" t="s">
        <v>684</v>
      </c>
      <c r="AF883" s="10">
        <v>45710</v>
      </c>
      <c r="AG883" s="10"/>
      <c r="AH883" s="9"/>
      <c r="AI883" s="9" t="s">
        <v>1880</v>
      </c>
      <c r="AJ883" s="9" t="s">
        <v>8</v>
      </c>
      <c r="AK883" s="10">
        <v>45708</v>
      </c>
      <c r="AL883" s="10">
        <v>45713</v>
      </c>
      <c r="AM883" s="10">
        <v>45716</v>
      </c>
      <c r="AN883" s="9" t="s">
        <v>1492</v>
      </c>
      <c r="AO883" s="9"/>
      <c r="AP883" s="11">
        <f>IF($H883="Cancelled","",IFERROR(IF(OR(AK883="",AB883=""),"",(AB883+Variables!$B$18-AK883)),""))</f>
        <v>-5</v>
      </c>
      <c r="AQ883" s="11">
        <f>IF($H883="Cancelled","",IFERROR(IF(OR(AM883="",AK883=""),"",(AK883+Variables!$B$19)-AM883),""))</f>
        <v>-3</v>
      </c>
      <c r="AR883" s="12">
        <f>IF($H883="Cancelled","",IFERROR(T883*INDEX(Variables!$B$7:$D$7,IFERROR(MATCH(IF($B883="Robusta","Robusta",(IF($B883="","Arabica",$B883))&amp;" - "&amp;(IF($C883="","Commercial",$C883))),Variables!$B$1:$D$1,0),1))*(AQ883/365),""))</f>
        <v>-13.100027143652341</v>
      </c>
      <c r="AS883" s="12" t="str">
        <f>IF($H883="Cancelled","",IFERROR((T883*INDEX(Variables!$B$7:$D$7,IFERROR(MATCH(IF($B883="Robusta","Robusta",(IF($B883="","Arabica",$B883))&amp;" - "&amp;(IF($C883="","Commercial",$C883))),Variables!$B$1:$D$1,0),1))*IFERROR(IF(W883="","",(AVERAGE(E883:F883)-W883)-Variables!$B$14),"")/365)+(L883/16.67*INDEX(Variables!$B$8:$D$8,IFERROR(MATCH(IF($B883="Robusta","Robusta",(IF($B883="","Arabica",$B883))&amp;" - "&amp;(IF($C883="","Commercial",$C883))),Variables!$B$1:$D$1,0),1))*IFERROR(IF(W883="","",(AVERAGE(E883:F883)-W883)-Variables!$B$14),""))+(T883*INDEX(Variables!$B$9:$D$9,IFERROR(MATCH(IF($B883="Robusta","Robusta",(IF($B883="","Arabica",$B883))&amp;" - "&amp;(IF($C883="","Commercial",$C883))),Variables!$B$1:$D$1,0),1))*IFERROR(IF(W883="","",(AVERAGE(E883:F883)-W883)-Variables!$B$14),"")/365),""))</f>
        <v/>
      </c>
      <c r="AT883" s="12" t="str">
        <f>IF($H883="Cancelled","",IFERROR((T883*INDEX(Variables!$B$7:$D$7,IFERROR(MATCH(IF($B883="Robusta","Robusta",(IF($B883="","Arabica",$B883))&amp;" - "&amp;(IF($C883="","Commercial",$C883))),Variables!$B$1:$D$1,0),1))*AC883/365)+(L883/16.67*INDEX(Variables!$B$8:$D$8,IFERROR(MATCH(IF($B883="Robusta","Robusta",(IF($B883="","Arabica",$B883))&amp;" - "&amp;(IF($C883="","Commercial",$C883))),Variables!$B$1:$D$1,0),1))*AC883)+(T883*INDEX(Variables!$B$9:$D$9,IFERROR(MATCH(IF($B883="Robusta","Robusta",(IF($B883="","Arabica",$B883))&amp;" - "&amp;(IF($C883="","Commercial",$C883))),Variables!$B$1:$D$1,0),1))*AC883/365),""))</f>
        <v/>
      </c>
      <c r="AU883" s="12">
        <f>IF($H883="Cancelled","",IFERROR((T883*INDEX(Variables!$B$7:$D$7,IFERROR(MATCH(IF($B883="Robusta","Robusta",(IF($B883="","Arabica",$B883))&amp;" - "&amp;(IF($C883="","Commercial",$C883))),Variables!$B$1:$D$1,0),1))*AP883/365)+(L883/16.67*INDEX(Variables!$B$8:$D$8,IFERROR(MATCH(IF($B883="Robusta","Robusta",(IF($B883="","Arabica",$B883))&amp;" - "&amp;(IF($C883="","Commercial",$C883))),Variables!$B$1:$D$1,0),1))*AP883)+(T883*INDEX(Variables!$B$9:$D$9,IFERROR(MATCH(IF($B883="Robusta","Robusta",(IF($B883="","Arabica",$B883))&amp;" - "&amp;(IF($C883="","Commercial",$C883))),Variables!$B$1:$D$1,0),1))*AP883/365),""))</f>
        <v>-32.364852958049845</v>
      </c>
      <c r="AV883" s="11">
        <f t="shared" si="85"/>
        <v>8</v>
      </c>
      <c r="AW883" s="12">
        <f>IF($H883="Cancelled","",IFERROR(IF(AV883="","",(T883*INDEX(Variables!$B$7:$D$7,IFERROR(MATCH(IF($B883="Robusta","Robusta",(IF($B883="","Arabica",$B883))&amp;" - "&amp;(IF($C883="","Commercial",$C883))),Variables!$B$1:$D$1,0),1))*(AV883/365))+(T883*INDEX(Variables!$B$9:$D$9,IFERROR(MATCH(IF($B883="Robusta","Robusta",(IF($B883="","Arabica",$B883))&amp;" - "&amp;(IF($C883="","Commercial",$C883))),Variables!$B$1:$D$1,0),1))*(AV883/365))+(INDEX(Variables!$B$8:$D$8,IFERROR(MATCH(IF($B883="Robusta","Robusta",(IF($B883="","Arabica",$B883))&amp;" - "&amp;(IF($C883="","Commercial",$C883))),Variables!$B$1:$D$1,0),1))*L883/16.67)),""))</f>
        <v>37.433764732879759</v>
      </c>
      <c r="AX883" s="9"/>
      <c r="AY883" s="12"/>
      <c r="AZ883" s="10"/>
      <c r="BA883" s="9"/>
      <c r="BB883" s="10"/>
      <c r="BC883" s="9"/>
      <c r="BD883" s="9"/>
      <c r="BE883" s="9"/>
      <c r="BF883" s="9"/>
    </row>
    <row r="884" spans="1:58" x14ac:dyDescent="0.25">
      <c r="A884" s="9" t="s">
        <v>84</v>
      </c>
      <c r="B884" s="9" t="s">
        <v>85</v>
      </c>
      <c r="C884" s="9" t="s">
        <v>1486</v>
      </c>
      <c r="D884" s="10">
        <v>45684</v>
      </c>
      <c r="E884" s="10">
        <v>45689</v>
      </c>
      <c r="F884" s="10">
        <v>45716</v>
      </c>
      <c r="G884" s="9">
        <v>3786643</v>
      </c>
      <c r="H884" s="9" t="str">
        <f t="shared" si="83"/>
        <v>Closed</v>
      </c>
      <c r="I884" s="9" t="str">
        <f t="shared" si="84"/>
        <v>All dates received</v>
      </c>
      <c r="J884" s="9" t="s">
        <v>1487</v>
      </c>
      <c r="K884" s="9" t="s">
        <v>1893</v>
      </c>
      <c r="L884" s="11">
        <v>40</v>
      </c>
      <c r="M884" s="9" t="s">
        <v>1894</v>
      </c>
      <c r="N884" s="9"/>
      <c r="O884" s="9"/>
      <c r="P884" s="9"/>
      <c r="Q884" s="11">
        <v>84.8</v>
      </c>
      <c r="R884" s="9" t="s">
        <v>90</v>
      </c>
      <c r="S884" s="9" t="s">
        <v>183</v>
      </c>
      <c r="T884" s="12">
        <f>IF($H884="Cancelled","",IFERROR(((Q884+INDEX(Variables!$B$6:$D$6,IFERROR(MATCH(IF($B884="Robusta","Robusta",(IF($B884="","Arabica",$B884))&amp;" - "&amp;(IF($C884="","Commercial",$C884))),Variables!$B$1:$D$1,0),1)))*22.0462)*(L884/16.67),""))</f>
        <v>19869.352657468502</v>
      </c>
      <c r="U884" s="10">
        <v>45688</v>
      </c>
      <c r="V884" s="9" t="str">
        <f t="shared" si="86"/>
        <v>Sent</v>
      </c>
      <c r="W884" s="10"/>
      <c r="X884" s="9" t="str">
        <f t="shared" si="87"/>
        <v/>
      </c>
      <c r="Y884" s="10"/>
      <c r="Z884" s="10">
        <f>IF($H884="Cancelled","",IFERROR(IF(F884="","",F884-Variables!$B$13),""))</f>
        <v>45701</v>
      </c>
      <c r="AA884" s="11" t="str">
        <f>IF($H884="Cancelled","",IFERROR(IF(W884="","",(AVERAGE(E884:F884)-W884)-Variables!$B$14),""))</f>
        <v/>
      </c>
      <c r="AB884" s="10">
        <v>45688</v>
      </c>
      <c r="AC884" s="11" t="str">
        <f>IF($H884="Cancelled","",IFERROR(IF(AB884="","",IF(AND(W884="",Y884=""),"",IF(Y884&gt;W884,Y884+Variables!$B$15+Variables!$B$16+Variables!$B$17-AB884,W884+Variables!$B$16+Variables!$B$17-AB884))),""))</f>
        <v/>
      </c>
      <c r="AD884" s="9" t="s">
        <v>107</v>
      </c>
      <c r="AE884" s="9" t="s">
        <v>684</v>
      </c>
      <c r="AF884" s="10">
        <v>45710</v>
      </c>
      <c r="AG884" s="10"/>
      <c r="AH884" s="9"/>
      <c r="AI884" s="9" t="s">
        <v>1867</v>
      </c>
      <c r="AJ884" s="9" t="s">
        <v>8</v>
      </c>
      <c r="AK884" s="10">
        <v>45708</v>
      </c>
      <c r="AL884" s="10">
        <v>45713</v>
      </c>
      <c r="AM884" s="10">
        <v>45716</v>
      </c>
      <c r="AN884" s="9" t="s">
        <v>1492</v>
      </c>
      <c r="AO884" s="9"/>
      <c r="AP884" s="11">
        <f>IF($H884="Cancelled","",IFERROR(IF(OR(AK884="",AB884=""),"",(AB884+Variables!$B$18-AK884)),""))</f>
        <v>-13</v>
      </c>
      <c r="AQ884" s="11">
        <f>IF($H884="Cancelled","",IFERROR(IF(OR(AM884="",AK884=""),"",(AK884+Variables!$B$19)-AM884),""))</f>
        <v>-3</v>
      </c>
      <c r="AR884" s="12">
        <f>IF($H884="Cancelled","",IFERROR(T884*INDEX(Variables!$B$7:$D$7,IFERROR(MATCH(IF($B884="Robusta","Robusta",(IF($B884="","Arabica",$B884))&amp;" - "&amp;(IF($C884="","Commercial",$C884))),Variables!$B$1:$D$1,0),1))*(AQ884/365),""))</f>
        <v>-10.530571824077386</v>
      </c>
      <c r="AS884" s="12" t="str">
        <f>IF($H884="Cancelled","",IFERROR((T884*INDEX(Variables!$B$7:$D$7,IFERROR(MATCH(IF($B884="Robusta","Robusta",(IF($B884="","Arabica",$B884))&amp;" - "&amp;(IF($C884="","Commercial",$C884))),Variables!$B$1:$D$1,0),1))*IFERROR(IF(W884="","",(AVERAGE(E884:F884)-W884)-Variables!$B$14),"")/365)+(L884/16.67*INDEX(Variables!$B$8:$D$8,IFERROR(MATCH(IF($B884="Robusta","Robusta",(IF($B884="","Arabica",$B884))&amp;" - "&amp;(IF($C884="","Commercial",$C884))),Variables!$B$1:$D$1,0),1))*IFERROR(IF(W884="","",(AVERAGE(E884:F884)-W884)-Variables!$B$14),""))+(T884*INDEX(Variables!$B$9:$D$9,IFERROR(MATCH(IF($B884="Robusta","Robusta",(IF($B884="","Arabica",$B884))&amp;" - "&amp;(IF($C884="","Commercial",$C884))),Variables!$B$1:$D$1,0),1))*IFERROR(IF(W884="","",(AVERAGE(E884:F884)-W884)-Variables!$B$14),"")/365),""))</f>
        <v/>
      </c>
      <c r="AT884" s="12" t="str">
        <f>IF($H884="Cancelled","",IFERROR((T884*INDEX(Variables!$B$7:$D$7,IFERROR(MATCH(IF($B884="Robusta","Robusta",(IF($B884="","Arabica",$B884))&amp;" - "&amp;(IF($C884="","Commercial",$C884))),Variables!$B$1:$D$1,0),1))*AC884/365)+(L884/16.67*INDEX(Variables!$B$8:$D$8,IFERROR(MATCH(IF($B884="Robusta","Robusta",(IF($B884="","Arabica",$B884))&amp;" - "&amp;(IF($C884="","Commercial",$C884))),Variables!$B$1:$D$1,0),1))*AC884)+(T884*INDEX(Variables!$B$9:$D$9,IFERROR(MATCH(IF($B884="Robusta","Robusta",(IF($B884="","Arabica",$B884))&amp;" - "&amp;(IF($C884="","Commercial",$C884))),Variables!$B$1:$D$1,0),1))*AC884/365),""))</f>
        <v/>
      </c>
      <c r="AU884" s="12">
        <f>IF($H884="Cancelled","",IFERROR((T884*INDEX(Variables!$B$7:$D$7,IFERROR(MATCH(IF($B884="Robusta","Robusta",(IF($B884="","Arabica",$B884))&amp;" - "&amp;(IF($C884="","Commercial",$C884))),Variables!$B$1:$D$1,0),1))*AP884/365)+(L884/16.67*INDEX(Variables!$B$8:$D$8,IFERROR(MATCH(IF($B884="Robusta","Robusta",(IF($B884="","Arabica",$B884))&amp;" - "&amp;(IF($C884="","Commercial",$C884))),Variables!$B$1:$D$1,0),1))*AP884)+(T884*INDEX(Variables!$B$9:$D$9,IFERROR(MATCH(IF($B884="Robusta","Robusta",(IF($B884="","Arabica",$B884))&amp;" - "&amp;(IF($C884="","Commercial",$C884))),Variables!$B$1:$D$1,0),1))*AP884/365),""))</f>
        <v>-72.220768609086022</v>
      </c>
      <c r="AV884" s="11">
        <f t="shared" si="85"/>
        <v>8</v>
      </c>
      <c r="AW884" s="12">
        <f>IF($H884="Cancelled","",IFERROR(IF(AV884="","",(T884*INDEX(Variables!$B$7:$D$7,IFERROR(MATCH(IF($B884="Robusta","Robusta",(IF($B884="","Arabica",$B884))&amp;" - "&amp;(IF($C884="","Commercial",$C884))),Variables!$B$1:$D$1,0),1))*(AV884/365))+(T884*INDEX(Variables!$B$9:$D$9,IFERROR(MATCH(IF($B884="Robusta","Robusta",(IF($B884="","Arabica",$B884))&amp;" - "&amp;(IF($C884="","Commercial",$C884))),Variables!$B$1:$D$1,0),1))*(AV884/365))+(INDEX(Variables!$B$8:$D$8,IFERROR(MATCH(IF($B884="Robusta","Robusta",(IF($B884="","Arabica",$B884))&amp;" - "&amp;(IF($C884="","Commercial",$C884))),Variables!$B$1:$D$1,0),1))*L884/16.67)),""))</f>
        <v>30.443549913283704</v>
      </c>
      <c r="AX884" s="9"/>
      <c r="AY884" s="12"/>
      <c r="AZ884" s="10"/>
      <c r="BA884" s="9"/>
      <c r="BB884" s="10"/>
      <c r="BC884" s="9"/>
      <c r="BD884" s="9"/>
      <c r="BE884" s="9"/>
      <c r="BF884" s="9"/>
    </row>
    <row r="885" spans="1:58" x14ac:dyDescent="0.25">
      <c r="A885" s="9" t="s">
        <v>84</v>
      </c>
      <c r="B885" s="9" t="s">
        <v>85</v>
      </c>
      <c r="C885" s="9" t="s">
        <v>1486</v>
      </c>
      <c r="D885" s="10">
        <v>45684</v>
      </c>
      <c r="E885" s="10">
        <v>45689</v>
      </c>
      <c r="F885" s="10">
        <v>45716</v>
      </c>
      <c r="G885" s="9">
        <v>3786637</v>
      </c>
      <c r="H885" s="9" t="str">
        <f t="shared" si="83"/>
        <v>Closed</v>
      </c>
      <c r="I885" s="9" t="str">
        <f t="shared" si="84"/>
        <v>All dates received</v>
      </c>
      <c r="J885" s="9" t="s">
        <v>1895</v>
      </c>
      <c r="K885" s="9" t="s">
        <v>1896</v>
      </c>
      <c r="L885" s="11">
        <v>16</v>
      </c>
      <c r="M885" s="9" t="s">
        <v>1897</v>
      </c>
      <c r="N885" s="9"/>
      <c r="O885" s="9"/>
      <c r="P885" s="9"/>
      <c r="Q885" s="11">
        <v>109.95</v>
      </c>
      <c r="R885" s="9" t="s">
        <v>195</v>
      </c>
      <c r="S885" s="9" t="s">
        <v>1121</v>
      </c>
      <c r="T885" s="12">
        <f>IF($H885="Cancelled","",IFERROR(((Q885+INDEX(Variables!$B$6:$D$6,IFERROR(MATCH(IF($B885="Robusta","Robusta",(IF($B885="","Arabica",$B885))&amp;" - "&amp;(IF($C885="","Commercial",$C885))),Variables!$B$1:$D$1,0),1)))*22.0462)*(L885/16.67),""))</f>
        <v>8479.9180803839208</v>
      </c>
      <c r="U885" s="10"/>
      <c r="V885" s="9" t="str">
        <f t="shared" si="86"/>
        <v/>
      </c>
      <c r="W885" s="10">
        <v>45673</v>
      </c>
      <c r="X885" s="9" t="str">
        <f t="shared" si="87"/>
        <v>Approved</v>
      </c>
      <c r="Y885" s="10">
        <v>45673</v>
      </c>
      <c r="Z885" s="10">
        <f>IF($H885="Cancelled","",IFERROR(IF(F885="","",F885-Variables!$B$13),""))</f>
        <v>45701</v>
      </c>
      <c r="AA885" s="11">
        <f>IF($H885="Cancelled","",IFERROR(IF(W885="","",(AVERAGE(E885:F885)-W885)-Variables!$B$14),""))</f>
        <v>-0.5</v>
      </c>
      <c r="AB885" s="10">
        <v>45720</v>
      </c>
      <c r="AC885" s="11">
        <f>IF($H885="Cancelled","",IFERROR(IF(AB885="","",IF(AND(W885="",Y885=""),"",IF(Y885&gt;W885,Y885+Variables!$B$15+Variables!$B$16+Variables!$B$17-AB885,W885+Variables!$B$16+Variables!$B$17-AB885))),""))</f>
        <v>-39</v>
      </c>
      <c r="AD885" s="9" t="s">
        <v>163</v>
      </c>
      <c r="AE885" s="9" t="s">
        <v>164</v>
      </c>
      <c r="AF885" s="10"/>
      <c r="AG885" s="10"/>
      <c r="AH885" s="9"/>
      <c r="AI885" s="9">
        <v>250897783</v>
      </c>
      <c r="AJ885" s="9" t="s">
        <v>8</v>
      </c>
      <c r="AK885" s="10">
        <v>45365</v>
      </c>
      <c r="AL885" s="10">
        <v>45734</v>
      </c>
      <c r="AM885" s="10">
        <v>45742</v>
      </c>
      <c r="AN885" s="9" t="s">
        <v>1492</v>
      </c>
      <c r="AO885" s="9"/>
      <c r="AP885" s="11">
        <f>IF($H885="Cancelled","",IFERROR(IF(OR(AK885="",AB885=""),"",(AB885+Variables!$B$18-AK885)),""))</f>
        <v>362</v>
      </c>
      <c r="AQ885" s="11">
        <f>IF($H885="Cancelled","",IFERROR(IF(OR(AM885="",AK885=""),"",(AK885+Variables!$B$19)-AM885),""))</f>
        <v>-372</v>
      </c>
      <c r="AR885" s="12">
        <f>IF($H885="Cancelled","",IFERROR(T885*INDEX(Variables!$B$7:$D$7,IFERROR(MATCH(IF($B885="Robusta","Robusta",(IF($B885="","Arabica",$B885))&amp;" - "&amp;(IF($C885="","Commercial",$C885))),Variables!$B$1:$D$1,0),1))*(AQ885/365),""))</f>
        <v>-557.29042135663224</v>
      </c>
      <c r="AS885" s="12">
        <f>IF($H885="Cancelled","",IFERROR((T885*INDEX(Variables!$B$7:$D$7,IFERROR(MATCH(IF($B885="Robusta","Robusta",(IF($B885="","Arabica",$B885))&amp;" - "&amp;(IF($C885="","Commercial",$C885))),Variables!$B$1:$D$1,0),1))*IFERROR(IF(W885="","",(AVERAGE(E885:F885)-W885)-Variables!$B$14),"")/365)+(L885/16.67*INDEX(Variables!$B$8:$D$8,IFERROR(MATCH(IF($B885="Robusta","Robusta",(IF($B885="","Arabica",$B885))&amp;" - "&amp;(IF($C885="","Commercial",$C885))),Variables!$B$1:$D$1,0),1))*IFERROR(IF(W885="","",(AVERAGE(E885:F885)-W885)-Variables!$B$14),""))+(T885*INDEX(Variables!$B$9:$D$9,IFERROR(MATCH(IF($B885="Robusta","Robusta",(IF($B885="","Arabica",$B885))&amp;" - "&amp;(IF($C885="","Commercial",$C885))),Variables!$B$1:$D$1,0),1))*IFERROR(IF(W885="","",(AVERAGE(E885:F885)-W885)-Variables!$B$14),"")/365),""))</f>
        <v>-1.1587029171824046</v>
      </c>
      <c r="AT885" s="12">
        <f>IF($H885="Cancelled","",IFERROR((T885*INDEX(Variables!$B$7:$D$7,IFERROR(MATCH(IF($B885="Robusta","Robusta",(IF($B885="","Arabica",$B885))&amp;" - "&amp;(IF($C885="","Commercial",$C885))),Variables!$B$1:$D$1,0),1))*AC885/365)+(L885/16.67*INDEX(Variables!$B$8:$D$8,IFERROR(MATCH(IF($B885="Robusta","Robusta",(IF($B885="","Arabica",$B885))&amp;" - "&amp;(IF($C885="","Commercial",$C885))),Variables!$B$1:$D$1,0),1))*AC885)+(T885*INDEX(Variables!$B$9:$D$9,IFERROR(MATCH(IF($B885="Robusta","Robusta",(IF($B885="","Arabica",$B885))&amp;" - "&amp;(IF($C885="","Commercial",$C885))),Variables!$B$1:$D$1,0),1))*AC885/365),""))</f>
        <v>-90.378827540227562</v>
      </c>
      <c r="AU885" s="12">
        <f>IF($H885="Cancelled","",IFERROR((T885*INDEX(Variables!$B$7:$D$7,IFERROR(MATCH(IF($B885="Robusta","Robusta",(IF($B885="","Arabica",$B885))&amp;" - "&amp;(IF($C885="","Commercial",$C885))),Variables!$B$1:$D$1,0),1))*AP885/365)+(L885/16.67*INDEX(Variables!$B$8:$D$8,IFERROR(MATCH(IF($B885="Robusta","Robusta",(IF($B885="","Arabica",$B885))&amp;" - "&amp;(IF($C885="","Commercial",$C885))),Variables!$B$1:$D$1,0),1))*AP885)+(T885*INDEX(Variables!$B$9:$D$9,IFERROR(MATCH(IF($B885="Robusta","Robusta",(IF($B885="","Arabica",$B885))&amp;" - "&amp;(IF($C885="","Commercial",$C885))),Variables!$B$1:$D$1,0),1))*AP885/365),""))</f>
        <v>838.90091204006092</v>
      </c>
      <c r="AV885" s="11">
        <f t="shared" si="85"/>
        <v>351</v>
      </c>
      <c r="AW885" s="12">
        <f>IF($H885="Cancelled","",IFERROR(IF(AV885="","",(T885*INDEX(Variables!$B$7:$D$7,IFERROR(MATCH(IF($B885="Robusta","Robusta",(IF($B885="","Arabica",$B885))&amp;" - "&amp;(IF($C885="","Commercial",$C885))),Variables!$B$1:$D$1,0),1))*(AV885/365))+(T885*INDEX(Variables!$B$9:$D$9,IFERROR(MATCH(IF($B885="Robusta","Robusta",(IF($B885="","Arabica",$B885))&amp;" - "&amp;(IF($C885="","Commercial",$C885))),Variables!$B$1:$D$1,0),1))*(AV885/365))+(INDEX(Variables!$B$8:$D$8,IFERROR(MATCH(IF($B885="Robusta","Robusta",(IF($B885="","Arabica",$B885))&amp;" - "&amp;(IF($C885="","Commercial",$C885))),Variables!$B$1:$D$1,0),1))*L885/16.67)),""))</f>
        <v>533.40944786204795</v>
      </c>
      <c r="AX885" s="9"/>
      <c r="AY885" s="12"/>
      <c r="AZ885" s="10"/>
      <c r="BA885" s="9"/>
      <c r="BB885" s="10"/>
      <c r="BC885" s="9"/>
      <c r="BD885" s="9"/>
      <c r="BE885" s="9"/>
      <c r="BF885" s="9"/>
    </row>
    <row r="886" spans="1:58" x14ac:dyDescent="0.25">
      <c r="A886" s="9" t="s">
        <v>84</v>
      </c>
      <c r="B886" s="9" t="s">
        <v>85</v>
      </c>
      <c r="C886" s="9" t="s">
        <v>1486</v>
      </c>
      <c r="D886" s="10">
        <v>45684</v>
      </c>
      <c r="E886" s="10">
        <v>45689</v>
      </c>
      <c r="F886" s="10">
        <v>45716</v>
      </c>
      <c r="G886" s="9">
        <v>3786638</v>
      </c>
      <c r="H886" s="9" t="str">
        <f t="shared" si="83"/>
        <v>Closed</v>
      </c>
      <c r="I886" s="9" t="str">
        <f t="shared" si="84"/>
        <v>All dates received</v>
      </c>
      <c r="J886" s="9" t="s">
        <v>1895</v>
      </c>
      <c r="K886" s="9" t="s">
        <v>1898</v>
      </c>
      <c r="L886" s="11">
        <v>10</v>
      </c>
      <c r="M886" s="9" t="s">
        <v>1899</v>
      </c>
      <c r="N886" s="9"/>
      <c r="O886" s="9"/>
      <c r="P886" s="9"/>
      <c r="Q886" s="11">
        <v>170.95</v>
      </c>
      <c r="R886" s="9" t="s">
        <v>195</v>
      </c>
      <c r="S886" s="9" t="s">
        <v>1121</v>
      </c>
      <c r="T886" s="12">
        <f>IF($H886="Cancelled","",IFERROR(((Q886+INDEX(Variables!$B$6:$D$6,IFERROR(MATCH(IF($B886="Robusta","Robusta",(IF($B886="","Arabica",$B886))&amp;" - "&amp;(IF($C886="","Commercial",$C886))),Variables!$B$1:$D$1,0),1)))*22.0462)*(L886/16.67),""))</f>
        <v>6106.6783743251335</v>
      </c>
      <c r="U886" s="10"/>
      <c r="V886" s="9" t="str">
        <f t="shared" si="86"/>
        <v/>
      </c>
      <c r="W886" s="10">
        <v>45673</v>
      </c>
      <c r="X886" s="9" t="str">
        <f t="shared" si="87"/>
        <v>Approved</v>
      </c>
      <c r="Y886" s="10">
        <v>45673</v>
      </c>
      <c r="Z886" s="10">
        <f>IF($H886="Cancelled","",IFERROR(IF(F886="","",F886-Variables!$B$13),""))</f>
        <v>45701</v>
      </c>
      <c r="AA886" s="11">
        <f>IF($H886="Cancelled","",IFERROR(IF(W886="","",(AVERAGE(E886:F886)-W886)-Variables!$B$14),""))</f>
        <v>-0.5</v>
      </c>
      <c r="AB886" s="10">
        <v>45720</v>
      </c>
      <c r="AC886" s="11">
        <f>IF($H886="Cancelled","",IFERROR(IF(AB886="","",IF(AND(W886="",Y886=""),"",IF(Y886&gt;W886,Y886+Variables!$B$15+Variables!$B$16+Variables!$B$17-AB886,W886+Variables!$B$16+Variables!$B$17-AB886))),""))</f>
        <v>-39</v>
      </c>
      <c r="AD886" s="9" t="s">
        <v>163</v>
      </c>
      <c r="AE886" s="9" t="s">
        <v>164</v>
      </c>
      <c r="AF886" s="10"/>
      <c r="AG886" s="10"/>
      <c r="AH886" s="9"/>
      <c r="AI886" s="9">
        <v>250897783</v>
      </c>
      <c r="AJ886" s="9" t="s">
        <v>8</v>
      </c>
      <c r="AK886" s="10">
        <v>45365</v>
      </c>
      <c r="AL886" s="10">
        <v>45734</v>
      </c>
      <c r="AM886" s="10">
        <v>45742</v>
      </c>
      <c r="AN886" s="9" t="s">
        <v>1492</v>
      </c>
      <c r="AO886" s="9"/>
      <c r="AP886" s="11">
        <f>IF($H886="Cancelled","",IFERROR(IF(OR(AK886="",AB886=""),"",(AB886+Variables!$B$18-AK886)),""))</f>
        <v>362</v>
      </c>
      <c r="AQ886" s="11">
        <f>IF($H886="Cancelled","",IFERROR(IF(OR(AM886="",AK886=""),"",(AK886+Variables!$B$19)-AM886),""))</f>
        <v>-372</v>
      </c>
      <c r="AR886" s="12">
        <f>IF($H886="Cancelled","",IFERROR(T886*INDEX(Variables!$B$7:$D$7,IFERROR(MATCH(IF($B886="Robusta","Robusta",(IF($B886="","Arabica",$B886))&amp;" - "&amp;(IF($C886="","Commercial",$C886))),Variables!$B$1:$D$1,0),1))*(AQ886/365),""))</f>
        <v>-401.32384912885982</v>
      </c>
      <c r="AS886" s="12">
        <f>IF($H886="Cancelled","",IFERROR((T886*INDEX(Variables!$B$7:$D$7,IFERROR(MATCH(IF($B886="Robusta","Robusta",(IF($B886="","Arabica",$B886))&amp;" - "&amp;(IF($C886="","Commercial",$C886))),Variables!$B$1:$D$1,0),1))*IFERROR(IF(W886="","",(AVERAGE(E886:F886)-W886)-Variables!$B$14),"")/365)+(L886/16.67*INDEX(Variables!$B$8:$D$8,IFERROR(MATCH(IF($B886="Robusta","Robusta",(IF($B886="","Arabica",$B886))&amp;" - "&amp;(IF($C886="","Commercial",$C886))),Variables!$B$1:$D$1,0),1))*IFERROR(IF(W886="","",(AVERAGE(E886:F886)-W886)-Variables!$B$14),""))+(T886*INDEX(Variables!$B$9:$D$9,IFERROR(MATCH(IF($B886="Robusta","Robusta",(IF($B886="","Arabica",$B886))&amp;" - "&amp;(IF($C886="","Commercial",$C886))),Variables!$B$1:$D$1,0),1))*IFERROR(IF(W886="","",(AVERAGE(E886:F886)-W886)-Variables!$B$14),"")/365),""))</f>
        <v>-0.79636786027600626</v>
      </c>
      <c r="AT886" s="12">
        <f>IF($H886="Cancelled","",IFERROR((T886*INDEX(Variables!$B$7:$D$7,IFERROR(MATCH(IF($B886="Robusta","Robusta",(IF($B886="","Arabica",$B886))&amp;" - "&amp;(IF($C886="","Commercial",$C886))),Variables!$B$1:$D$1,0),1))*AC886/365)+(L886/16.67*INDEX(Variables!$B$8:$D$8,IFERROR(MATCH(IF($B886="Robusta","Robusta",(IF($B886="","Arabica",$B886))&amp;" - "&amp;(IF($C886="","Commercial",$C886))),Variables!$B$1:$D$1,0),1))*AC886)+(T886*INDEX(Variables!$B$9:$D$9,IFERROR(MATCH(IF($B886="Robusta","Robusta",(IF($B886="","Arabica",$B886))&amp;" - "&amp;(IF($C886="","Commercial",$C886))),Variables!$B$1:$D$1,0),1))*AC886/365),""))</f>
        <v>-62.116693101528497</v>
      </c>
      <c r="AU886" s="12">
        <f>IF($H886="Cancelled","",IFERROR((T886*INDEX(Variables!$B$7:$D$7,IFERROR(MATCH(IF($B886="Robusta","Robusta",(IF($B886="","Arabica",$B886))&amp;" - "&amp;(IF($C886="","Commercial",$C886))),Variables!$B$1:$D$1,0),1))*AP886/365)+(L886/16.67*INDEX(Variables!$B$8:$D$8,IFERROR(MATCH(IF($B886="Robusta","Robusta",(IF($B886="","Arabica",$B886))&amp;" - "&amp;(IF($C886="","Commercial",$C886))),Variables!$B$1:$D$1,0),1))*AP886)+(T886*INDEX(Variables!$B$9:$D$9,IFERROR(MATCH(IF($B886="Robusta","Robusta",(IF($B886="","Arabica",$B886))&amp;" - "&amp;(IF($C886="","Commercial",$C886))),Variables!$B$1:$D$1,0),1))*AP886/365),""))</f>
        <v>576.57033083982867</v>
      </c>
      <c r="AV886" s="11">
        <f t="shared" si="85"/>
        <v>351</v>
      </c>
      <c r="AW886" s="12">
        <f>IF($H886="Cancelled","",IFERROR(IF(AV886="","",(T886*INDEX(Variables!$B$7:$D$7,IFERROR(MATCH(IF($B886="Robusta","Robusta",(IF($B886="","Arabica",$B886))&amp;" - "&amp;(IF($C886="","Commercial",$C886))),Variables!$B$1:$D$1,0),1))*(AV886/365))+(T886*INDEX(Variables!$B$9:$D$9,IFERROR(MATCH(IF($B886="Robusta","Robusta",(IF($B886="","Arabica",$B886))&amp;" - "&amp;(IF($C886="","Commercial",$C886))),Variables!$B$1:$D$1,0),1))*(AV886/365))+(INDEX(Variables!$B$8:$D$8,IFERROR(MATCH(IF($B886="Robusta","Robusta",(IF($B886="","Arabica",$B886))&amp;" - "&amp;(IF($C886="","Commercial",$C886))),Variables!$B$1:$D$1,0),1))*L886/16.67)),""))</f>
        <v>384.05023791375646</v>
      </c>
      <c r="AX886" s="9"/>
      <c r="AY886" s="12"/>
      <c r="AZ886" s="10"/>
      <c r="BA886" s="9"/>
      <c r="BB886" s="10"/>
      <c r="BC886" s="9"/>
      <c r="BD886" s="9"/>
      <c r="BE886" s="9"/>
      <c r="BF886" s="9"/>
    </row>
    <row r="887" spans="1:58" x14ac:dyDescent="0.25">
      <c r="A887" s="9" t="s">
        <v>84</v>
      </c>
      <c r="B887" s="9" t="s">
        <v>85</v>
      </c>
      <c r="C887" s="9" t="s">
        <v>1486</v>
      </c>
      <c r="D887" s="10">
        <v>45684</v>
      </c>
      <c r="E887" s="10">
        <v>45689</v>
      </c>
      <c r="F887" s="10">
        <v>45716</v>
      </c>
      <c r="G887" s="9">
        <v>3786639</v>
      </c>
      <c r="H887" s="9" t="str">
        <f t="shared" si="83"/>
        <v>Closed</v>
      </c>
      <c r="I887" s="9" t="str">
        <f t="shared" si="84"/>
        <v>All dates received</v>
      </c>
      <c r="J887" s="9" t="s">
        <v>1895</v>
      </c>
      <c r="K887" s="9" t="s">
        <v>1900</v>
      </c>
      <c r="L887" s="11">
        <v>6</v>
      </c>
      <c r="M887" s="9" t="s">
        <v>1901</v>
      </c>
      <c r="N887" s="9"/>
      <c r="O887" s="9"/>
      <c r="P887" s="9"/>
      <c r="Q887" s="11">
        <v>146.94999999999999</v>
      </c>
      <c r="R887" s="9" t="s">
        <v>195</v>
      </c>
      <c r="S887" s="9" t="s">
        <v>1121</v>
      </c>
      <c r="T887" s="12">
        <f>IF($H887="Cancelled","",IFERROR(((Q887+INDEX(Variables!$B$6:$D$6,IFERROR(MATCH(IF($B887="Robusta","Robusta",(IF($B887="","Arabica",$B887))&amp;" - "&amp;(IF($C887="","Commercial",$C887))),Variables!$B$1:$D$1,0),1)))*22.0462)*(L887/16.67),""))</f>
        <v>3473.5659448110368</v>
      </c>
      <c r="U887" s="10"/>
      <c r="V887" s="9" t="str">
        <f t="shared" si="86"/>
        <v/>
      </c>
      <c r="W887" s="10">
        <v>45673</v>
      </c>
      <c r="X887" s="9" t="str">
        <f t="shared" si="87"/>
        <v>Approved</v>
      </c>
      <c r="Y887" s="10">
        <v>45673</v>
      </c>
      <c r="Z887" s="10">
        <f>IF($H887="Cancelled","",IFERROR(IF(F887="","",F887-Variables!$B$13),""))</f>
        <v>45701</v>
      </c>
      <c r="AA887" s="11">
        <f>IF($H887="Cancelled","",IFERROR(IF(W887="","",(AVERAGE(E887:F887)-W887)-Variables!$B$14),""))</f>
        <v>-0.5</v>
      </c>
      <c r="AB887" s="10">
        <v>45720</v>
      </c>
      <c r="AC887" s="11">
        <f>IF($H887="Cancelled","",IFERROR(IF(AB887="","",IF(AND(W887="",Y887=""),"",IF(Y887&gt;W887,Y887+Variables!$B$15+Variables!$B$16+Variables!$B$17-AB887,W887+Variables!$B$16+Variables!$B$17-AB887))),""))</f>
        <v>-39</v>
      </c>
      <c r="AD887" s="9" t="s">
        <v>163</v>
      </c>
      <c r="AE887" s="9" t="s">
        <v>164</v>
      </c>
      <c r="AF887" s="10"/>
      <c r="AG887" s="10"/>
      <c r="AH887" s="9"/>
      <c r="AI887" s="9">
        <v>250897783</v>
      </c>
      <c r="AJ887" s="9" t="s">
        <v>8</v>
      </c>
      <c r="AK887" s="10">
        <v>45365</v>
      </c>
      <c r="AL887" s="10">
        <v>45734</v>
      </c>
      <c r="AM887" s="10">
        <v>45742</v>
      </c>
      <c r="AN887" s="9" t="s">
        <v>1492</v>
      </c>
      <c r="AO887" s="9"/>
      <c r="AP887" s="11">
        <f>IF($H887="Cancelled","",IFERROR(IF(OR(AK887="",AB887=""),"",(AB887+Variables!$B$18-AK887)),""))</f>
        <v>362</v>
      </c>
      <c r="AQ887" s="11">
        <f>IF($H887="Cancelled","",IFERROR(IF(OR(AM887="",AK887=""),"",(AK887+Variables!$B$19)-AM887),""))</f>
        <v>-372</v>
      </c>
      <c r="AR887" s="12">
        <f>IF($H887="Cancelled","",IFERROR(T887*INDEX(Variables!$B$7:$D$7,IFERROR(MATCH(IF($B887="Robusta","Robusta",(IF($B887="","Arabica",$B887))&amp;" - "&amp;(IF($C887="","Commercial",$C887))),Variables!$B$1:$D$1,0),1))*(AQ887/365),""))</f>
        <v>-228.27874168639963</v>
      </c>
      <c r="AS887" s="12">
        <f>IF($H887="Cancelled","",IFERROR((T887*INDEX(Variables!$B$7:$D$7,IFERROR(MATCH(IF($B887="Robusta","Robusta",(IF($B887="","Arabica",$B887))&amp;" - "&amp;(IF($C887="","Commercial",$C887))),Variables!$B$1:$D$1,0),1))*IFERROR(IF(W887="","",(AVERAGE(E887:F887)-W887)-Variables!$B$14),"")/365)+(L887/16.67*INDEX(Variables!$B$8:$D$8,IFERROR(MATCH(IF($B887="Robusta","Robusta",(IF($B887="","Arabica",$B887))&amp;" - "&amp;(IF($C887="","Commercial",$C887))),Variables!$B$1:$D$1,0),1))*IFERROR(IF(W887="","",(AVERAGE(E887:F887)-W887)-Variables!$B$14),""))+(T887*INDEX(Variables!$B$9:$D$9,IFERROR(MATCH(IF($B887="Robusta","Robusta",(IF($B887="","Arabica",$B887))&amp;" - "&amp;(IF($C887="","Commercial",$C887))),Variables!$B$1:$D$1,0),1))*IFERROR(IF(W887="","",(AVERAGE(E887:F887)-W887)-Variables!$B$14),"")/365),""))</f>
        <v>-0.46078184840604886</v>
      </c>
      <c r="AT887" s="12">
        <f>IF($H887="Cancelled","",IFERROR((T887*INDEX(Variables!$B$7:$D$7,IFERROR(MATCH(IF($B887="Robusta","Robusta",(IF($B887="","Arabica",$B887))&amp;" - "&amp;(IF($C887="","Commercial",$C887))),Variables!$B$1:$D$1,0),1))*AC887/365)+(L887/16.67*INDEX(Variables!$B$8:$D$8,IFERROR(MATCH(IF($B887="Robusta","Robusta",(IF($B887="","Arabica",$B887))&amp;" - "&amp;(IF($C887="","Commercial",$C887))),Variables!$B$1:$D$1,0),1))*AC887)+(T887*INDEX(Variables!$B$9:$D$9,IFERROR(MATCH(IF($B887="Robusta","Robusta",(IF($B887="","Arabica",$B887))&amp;" - "&amp;(IF($C887="","Commercial",$C887))),Variables!$B$1:$D$1,0),1))*AC887/365),""))</f>
        <v>-35.940984175671815</v>
      </c>
      <c r="AU887" s="12">
        <f>IF($H887="Cancelled","",IFERROR((T887*INDEX(Variables!$B$7:$D$7,IFERROR(MATCH(IF($B887="Robusta","Robusta",(IF($B887="","Arabica",$B887))&amp;" - "&amp;(IF($C887="","Commercial",$C887))),Variables!$B$1:$D$1,0),1))*AP887/365)+(L887/16.67*INDEX(Variables!$B$8:$D$8,IFERROR(MATCH(IF($B887="Robusta","Robusta",(IF($B887="","Arabica",$B887))&amp;" - "&amp;(IF($C887="","Commercial",$C887))),Variables!$B$1:$D$1,0),1))*AP887)+(T887*INDEX(Variables!$B$9:$D$9,IFERROR(MATCH(IF($B887="Robusta","Robusta",(IF($B887="","Arabica",$B887))&amp;" - "&amp;(IF($C887="","Commercial",$C887))),Variables!$B$1:$D$1,0),1))*AP887/365),""))</f>
        <v>333.6060582459794</v>
      </c>
      <c r="AV887" s="11">
        <f t="shared" si="85"/>
        <v>351</v>
      </c>
      <c r="AW887" s="12">
        <f>IF($H887="Cancelled","",IFERROR(IF(AV887="","",(T887*INDEX(Variables!$B$7:$D$7,IFERROR(MATCH(IF($B887="Robusta","Robusta",(IF($B887="","Arabica",$B887))&amp;" - "&amp;(IF($C887="","Commercial",$C887))),Variables!$B$1:$D$1,0),1))*(AV887/365))+(T887*INDEX(Variables!$B$9:$D$9,IFERROR(MATCH(IF($B887="Robusta","Robusta",(IF($B887="","Arabica",$B887))&amp;" - "&amp;(IF($C887="","Commercial",$C887))),Variables!$B$1:$D$1,0),1))*(AV887/365))+(INDEX(Variables!$B$8:$D$8,IFERROR(MATCH(IF($B887="Robusta","Robusta",(IF($B887="","Arabica",$B887))&amp;" - "&amp;(IF($C887="","Commercial",$C887))),Variables!$B$1:$D$1,0),1))*L887/16.67)),""))</f>
        <v>218.46885758104634</v>
      </c>
      <c r="AX887" s="9"/>
      <c r="AY887" s="12"/>
      <c r="AZ887" s="10"/>
      <c r="BA887" s="9"/>
      <c r="BB887" s="10"/>
      <c r="BC887" s="9"/>
      <c r="BD887" s="9"/>
      <c r="BE887" s="9"/>
      <c r="BF887" s="9"/>
    </row>
    <row r="888" spans="1:58" x14ac:dyDescent="0.25">
      <c r="A888" s="9" t="s">
        <v>84</v>
      </c>
      <c r="B888" s="9" t="s">
        <v>85</v>
      </c>
      <c r="C888" s="9" t="s">
        <v>1486</v>
      </c>
      <c r="D888" s="10">
        <v>45684</v>
      </c>
      <c r="E888" s="10">
        <v>45689</v>
      </c>
      <c r="F888" s="10">
        <v>45716</v>
      </c>
      <c r="G888" s="9">
        <v>3786640</v>
      </c>
      <c r="H888" s="9" t="str">
        <f t="shared" si="83"/>
        <v>Closed</v>
      </c>
      <c r="I888" s="9" t="str">
        <f t="shared" si="84"/>
        <v>All dates received</v>
      </c>
      <c r="J888" s="9" t="s">
        <v>1895</v>
      </c>
      <c r="K888" s="9" t="s">
        <v>1902</v>
      </c>
      <c r="L888" s="11">
        <v>6</v>
      </c>
      <c r="M888" s="9" t="s">
        <v>1903</v>
      </c>
      <c r="N888" s="9"/>
      <c r="O888" s="9"/>
      <c r="P888" s="9"/>
      <c r="Q888" s="11">
        <v>111.95</v>
      </c>
      <c r="R888" s="9" t="s">
        <v>195</v>
      </c>
      <c r="S888" s="9" t="s">
        <v>1121</v>
      </c>
      <c r="T888" s="12">
        <f>IF($H888="Cancelled","",IFERROR(((Q888+INDEX(Variables!$B$6:$D$6,IFERROR(MATCH(IF($B888="Robusta","Robusta",(IF($B888="","Arabica",$B888))&amp;" - "&amp;(IF($C888="","Commercial",$C888))),Variables!$B$1:$D$1,0),1)))*22.0462)*(L888/16.67),""))</f>
        <v>3195.8393701259738</v>
      </c>
      <c r="U888" s="10"/>
      <c r="V888" s="9" t="str">
        <f t="shared" si="86"/>
        <v/>
      </c>
      <c r="W888" s="10">
        <v>45673</v>
      </c>
      <c r="X888" s="9" t="str">
        <f t="shared" si="87"/>
        <v>Approved</v>
      </c>
      <c r="Y888" s="10">
        <v>45673</v>
      </c>
      <c r="Z888" s="10">
        <f>IF($H888="Cancelled","",IFERROR(IF(F888="","",F888-Variables!$B$13),""))</f>
        <v>45701</v>
      </c>
      <c r="AA888" s="11">
        <f>IF($H888="Cancelled","",IFERROR(IF(W888="","",(AVERAGE(E888:F888)-W888)-Variables!$B$14),""))</f>
        <v>-0.5</v>
      </c>
      <c r="AB888" s="10">
        <v>45720</v>
      </c>
      <c r="AC888" s="11">
        <f>IF($H888="Cancelled","",IFERROR(IF(AB888="","",IF(AND(W888="",Y888=""),"",IF(Y888&gt;W888,Y888+Variables!$B$15+Variables!$B$16+Variables!$B$17-AB888,W888+Variables!$B$16+Variables!$B$17-AB888))),""))</f>
        <v>-39</v>
      </c>
      <c r="AD888" s="9" t="s">
        <v>163</v>
      </c>
      <c r="AE888" s="9" t="s">
        <v>164</v>
      </c>
      <c r="AF888" s="10"/>
      <c r="AG888" s="10"/>
      <c r="AH888" s="9"/>
      <c r="AI888" s="9">
        <v>250897783</v>
      </c>
      <c r="AJ888" s="9" t="s">
        <v>8</v>
      </c>
      <c r="AK888" s="10">
        <v>45365</v>
      </c>
      <c r="AL888" s="10">
        <v>45734</v>
      </c>
      <c r="AM888" s="10">
        <v>45742</v>
      </c>
      <c r="AN888" s="9" t="s">
        <v>1492</v>
      </c>
      <c r="AO888" s="9"/>
      <c r="AP888" s="11">
        <f>IF($H888="Cancelled","",IFERROR(IF(OR(AK888="",AB888=""),"",(AB888+Variables!$B$18-AK888)),""))</f>
        <v>362</v>
      </c>
      <c r="AQ888" s="11">
        <f>IF($H888="Cancelled","",IFERROR(IF(OR(AM888="",AK888=""),"",(AK888+Variables!$B$19)-AM888),""))</f>
        <v>-372</v>
      </c>
      <c r="AR888" s="12">
        <f>IF($H888="Cancelled","",IFERROR(T888*INDEX(Variables!$B$7:$D$7,IFERROR(MATCH(IF($B888="Robusta","Robusta",(IF($B888="","Arabica",$B888))&amp;" - "&amp;(IF($C888="","Commercial",$C888))),Variables!$B$1:$D$1,0),1))*(AQ888/365),""))</f>
        <v>-210.02687199131341</v>
      </c>
      <c r="AS888" s="12">
        <f>IF($H888="Cancelled","",IFERROR((T888*INDEX(Variables!$B$7:$D$7,IFERROR(MATCH(IF($B888="Robusta","Robusta",(IF($B888="","Arabica",$B888))&amp;" - "&amp;(IF($C888="","Commercial",$C888))),Variables!$B$1:$D$1,0),1))*IFERROR(IF(W888="","",(AVERAGE(E888:F888)-W888)-Variables!$B$14),"")/365)+(L888/16.67*INDEX(Variables!$B$8:$D$8,IFERROR(MATCH(IF($B888="Robusta","Robusta",(IF($B888="","Arabica",$B888))&amp;" - "&amp;(IF($C888="","Commercial",$C888))),Variables!$B$1:$D$1,0),1))*IFERROR(IF(W888="","",(AVERAGE(E888:F888)-W888)-Variables!$B$14),""))+(T888*INDEX(Variables!$B$9:$D$9,IFERROR(MATCH(IF($B888="Robusta","Robusta",(IF($B888="","Arabica",$B888))&amp;" - "&amp;(IF($C888="","Commercial",$C888))),Variables!$B$1:$D$1,0),1))*IFERROR(IF(W888="","",(AVERAGE(E888:F888)-W888)-Variables!$B$14),"")/365),""))</f>
        <v>-0.43593349959003125</v>
      </c>
      <c r="AT888" s="12">
        <f>IF($H888="Cancelled","",IFERROR((T888*INDEX(Variables!$B$7:$D$7,IFERROR(MATCH(IF($B888="Robusta","Robusta",(IF($B888="","Arabica",$B888))&amp;" - "&amp;(IF($C888="","Commercial",$C888))),Variables!$B$1:$D$1,0),1))*AC888/365)+(L888/16.67*INDEX(Variables!$B$8:$D$8,IFERROR(MATCH(IF($B888="Robusta","Robusta",(IF($B888="","Arabica",$B888))&amp;" - "&amp;(IF($C888="","Commercial",$C888))),Variables!$B$1:$D$1,0),1))*AC888)+(T888*INDEX(Variables!$B$9:$D$9,IFERROR(MATCH(IF($B888="Robusta","Robusta",(IF($B888="","Arabica",$B888))&amp;" - "&amp;(IF($C888="","Commercial",$C888))),Variables!$B$1:$D$1,0),1))*AC888/365),""))</f>
        <v>-34.002812968022432</v>
      </c>
      <c r="AU888" s="12">
        <f>IF($H888="Cancelled","",IFERROR((T888*INDEX(Variables!$B$7:$D$7,IFERROR(MATCH(IF($B888="Robusta","Robusta",(IF($B888="","Arabica",$B888))&amp;" - "&amp;(IF($C888="","Commercial",$C888))),Variables!$B$1:$D$1,0),1))*AP888/365)+(L888/16.67*INDEX(Variables!$B$8:$D$8,IFERROR(MATCH(IF($B888="Robusta","Robusta",(IF($B888="","Arabica",$B888))&amp;" - "&amp;(IF($C888="","Commercial",$C888))),Variables!$B$1:$D$1,0),1))*AP888)+(T888*INDEX(Variables!$B$9:$D$9,IFERROR(MATCH(IF($B888="Robusta","Robusta",(IF($B888="","Arabica",$B888))&amp;" - "&amp;(IF($C888="","Commercial",$C888))),Variables!$B$1:$D$1,0),1))*AP888/365),""))</f>
        <v>315.61585370318255</v>
      </c>
      <c r="AV888" s="11">
        <f t="shared" si="85"/>
        <v>351</v>
      </c>
      <c r="AW888" s="12">
        <f>IF($H888="Cancelled","",IFERROR(IF(AV888="","",(T888*INDEX(Variables!$B$7:$D$7,IFERROR(MATCH(IF($B888="Robusta","Robusta",(IF($B888="","Arabica",$B888))&amp;" - "&amp;(IF($C888="","Commercial",$C888))),Variables!$B$1:$D$1,0),1))*(AV888/365))+(T888*INDEX(Variables!$B$9:$D$9,IFERROR(MATCH(IF($B888="Robusta","Robusta",(IF($B888="","Arabica",$B888))&amp;" - "&amp;(IF($C888="","Commercial",$C888))),Variables!$B$1:$D$1,0),1))*(AV888/365))+(INDEX(Variables!$B$8:$D$8,IFERROR(MATCH(IF($B888="Robusta","Robusta",(IF($B888="","Arabica",$B888))&amp;" - "&amp;(IF($C888="","Commercial",$C888))),Variables!$B$1:$D$1,0),1))*L888/16.67)),""))</f>
        <v>201.02531671220194</v>
      </c>
      <c r="AX888" s="9"/>
      <c r="AY888" s="12"/>
      <c r="AZ888" s="10"/>
      <c r="BA888" s="9"/>
      <c r="BB888" s="10"/>
      <c r="BC888" s="9"/>
      <c r="BD888" s="9"/>
      <c r="BE888" s="9"/>
      <c r="BF888" s="9"/>
    </row>
    <row r="889" spans="1:58" x14ac:dyDescent="0.25">
      <c r="A889" s="9" t="s">
        <v>84</v>
      </c>
      <c r="B889" s="9" t="s">
        <v>85</v>
      </c>
      <c r="C889" s="9" t="s">
        <v>1486</v>
      </c>
      <c r="D889" s="10">
        <v>45684</v>
      </c>
      <c r="E889" s="10">
        <v>45689</v>
      </c>
      <c r="F889" s="10">
        <v>45716</v>
      </c>
      <c r="G889" s="9">
        <v>3786641</v>
      </c>
      <c r="H889" s="9" t="str">
        <f t="shared" si="83"/>
        <v>Closed</v>
      </c>
      <c r="I889" s="9" t="str">
        <f t="shared" si="84"/>
        <v>All dates received</v>
      </c>
      <c r="J889" s="9" t="s">
        <v>1895</v>
      </c>
      <c r="K889" s="9" t="s">
        <v>1904</v>
      </c>
      <c r="L889" s="11">
        <v>10</v>
      </c>
      <c r="M889" s="9" t="s">
        <v>1905</v>
      </c>
      <c r="N889" s="9"/>
      <c r="O889" s="9"/>
      <c r="P889" s="9"/>
      <c r="Q889" s="11">
        <v>168.95</v>
      </c>
      <c r="R889" s="9" t="s">
        <v>195</v>
      </c>
      <c r="S889" s="9" t="s">
        <v>1121</v>
      </c>
      <c r="T889" s="12">
        <f>IF($H889="Cancelled","",IFERROR(((Q889+INDEX(Variables!$B$6:$D$6,IFERROR(MATCH(IF($B889="Robusta","Robusta",(IF($B889="","Arabica",$B889))&amp;" - "&amp;(IF($C889="","Commercial",$C889))),Variables!$B$1:$D$1,0),1)))*22.0462)*(L889/16.67),""))</f>
        <v>6080.2282243551281</v>
      </c>
      <c r="U889" s="10"/>
      <c r="V889" s="9" t="str">
        <f t="shared" si="86"/>
        <v/>
      </c>
      <c r="W889" s="10">
        <v>45673</v>
      </c>
      <c r="X889" s="9" t="str">
        <f t="shared" si="87"/>
        <v>Approved</v>
      </c>
      <c r="Y889" s="10">
        <v>45673</v>
      </c>
      <c r="Z889" s="10">
        <f>IF($H889="Cancelled","",IFERROR(IF(F889="","",F889-Variables!$B$13),""))</f>
        <v>45701</v>
      </c>
      <c r="AA889" s="11">
        <f>IF($H889="Cancelled","",IFERROR(IF(W889="","",(AVERAGE(E889:F889)-W889)-Variables!$B$14),""))</f>
        <v>-0.5</v>
      </c>
      <c r="AB889" s="10">
        <v>45720</v>
      </c>
      <c r="AC889" s="11">
        <f>IF($H889="Cancelled","",IFERROR(IF(AB889="","",IF(AND(W889="",Y889=""),"",IF(Y889&gt;W889,Y889+Variables!$B$15+Variables!$B$16+Variables!$B$17-AB889,W889+Variables!$B$16+Variables!$B$17-AB889))),""))</f>
        <v>-39</v>
      </c>
      <c r="AD889" s="9" t="s">
        <v>163</v>
      </c>
      <c r="AE889" s="9" t="s">
        <v>164</v>
      </c>
      <c r="AF889" s="10"/>
      <c r="AG889" s="10"/>
      <c r="AH889" s="9"/>
      <c r="AI889" s="9">
        <v>250897783</v>
      </c>
      <c r="AJ889" s="9" t="s">
        <v>8</v>
      </c>
      <c r="AK889" s="10">
        <v>45365</v>
      </c>
      <c r="AL889" s="10">
        <v>45734</v>
      </c>
      <c r="AM889" s="10">
        <v>45742</v>
      </c>
      <c r="AN889" s="9" t="s">
        <v>1492</v>
      </c>
      <c r="AO889" s="9"/>
      <c r="AP889" s="11">
        <f>IF($H889="Cancelled","",IFERROR(IF(OR(AK889="",AB889=""),"",(AB889+Variables!$B$18-AK889)),""))</f>
        <v>362</v>
      </c>
      <c r="AQ889" s="11">
        <f>IF($H889="Cancelled","",IFERROR(IF(OR(AM889="",AK889=""),"",(AK889+Variables!$B$19)-AM889),""))</f>
        <v>-372</v>
      </c>
      <c r="AR889" s="12">
        <f>IF($H889="Cancelled","",IFERROR(T889*INDEX(Variables!$B$7:$D$7,IFERROR(MATCH(IF($B889="Robusta","Robusta",(IF($B889="","Arabica",$B889))&amp;" - "&amp;(IF($C889="","Commercial",$C889))),Variables!$B$1:$D$1,0),1))*(AQ889/365),""))</f>
        <v>-399.58557582456592</v>
      </c>
      <c r="AS889" s="12">
        <f>IF($H889="Cancelled","",IFERROR((T889*INDEX(Variables!$B$7:$D$7,IFERROR(MATCH(IF($B889="Robusta","Robusta",(IF($B889="","Arabica",$B889))&amp;" - "&amp;(IF($C889="","Commercial",$C889))),Variables!$B$1:$D$1,0),1))*IFERROR(IF(W889="","",(AVERAGE(E889:F889)-W889)-Variables!$B$14),"")/365)+(L889/16.67*INDEX(Variables!$B$8:$D$8,IFERROR(MATCH(IF($B889="Robusta","Robusta",(IF($B889="","Arabica",$B889))&amp;" - "&amp;(IF($C889="","Commercial",$C889))),Variables!$B$1:$D$1,0),1))*IFERROR(IF(W889="","",(AVERAGE(E889:F889)-W889)-Variables!$B$14),""))+(T889*INDEX(Variables!$B$9:$D$9,IFERROR(MATCH(IF($B889="Robusta","Robusta",(IF($B889="","Arabica",$B889))&amp;" - "&amp;(IF($C889="","Commercial",$C889))),Variables!$B$1:$D$1,0),1))*IFERROR(IF(W889="","",(AVERAGE(E889:F889)-W889)-Variables!$B$14),"")/365),""))</f>
        <v>-0.79400135086495716</v>
      </c>
      <c r="AT889" s="12">
        <f>IF($H889="Cancelled","",IFERROR((T889*INDEX(Variables!$B$7:$D$7,IFERROR(MATCH(IF($B889="Robusta","Robusta",(IF($B889="","Arabica",$B889))&amp;" - "&amp;(IF($C889="","Commercial",$C889))),Variables!$B$1:$D$1,0),1))*AC889/365)+(L889/16.67*INDEX(Variables!$B$8:$D$8,IFERROR(MATCH(IF($B889="Robusta","Robusta",(IF($B889="","Arabica",$B889))&amp;" - "&amp;(IF($C889="","Commercial",$C889))),Variables!$B$1:$D$1,0),1))*AC889)+(T889*INDEX(Variables!$B$9:$D$9,IFERROR(MATCH(IF($B889="Robusta","Robusta",(IF($B889="","Arabica",$B889))&amp;" - "&amp;(IF($C889="","Commercial",$C889))),Variables!$B$1:$D$1,0),1))*AC889/365),""))</f>
        <v>-61.932105367466647</v>
      </c>
      <c r="AU889" s="12">
        <f>IF($H889="Cancelled","",IFERROR((T889*INDEX(Variables!$B$7:$D$7,IFERROR(MATCH(IF($B889="Robusta","Robusta",(IF($B889="","Arabica",$B889))&amp;" - "&amp;(IF($C889="","Commercial",$C889))),Variables!$B$1:$D$1,0),1))*AP889/365)+(L889/16.67*INDEX(Variables!$B$8:$D$8,IFERROR(MATCH(IF($B889="Robusta","Robusta",(IF($B889="","Arabica",$B889))&amp;" - "&amp;(IF($C889="","Commercial",$C889))),Variables!$B$1:$D$1,0),1))*AP889)+(T889*INDEX(Variables!$B$9:$D$9,IFERROR(MATCH(IF($B889="Robusta","Robusta",(IF($B889="","Arabica",$B889))&amp;" - "&amp;(IF($C889="","Commercial",$C889))),Variables!$B$1:$D$1,0),1))*AP889/365),""))</f>
        <v>574.85697802622894</v>
      </c>
      <c r="AV889" s="11">
        <f t="shared" si="85"/>
        <v>351</v>
      </c>
      <c r="AW889" s="12">
        <f>IF($H889="Cancelled","",IFERROR(IF(AV889="","",(T889*INDEX(Variables!$B$7:$D$7,IFERROR(MATCH(IF($B889="Robusta","Robusta",(IF($B889="","Arabica",$B889))&amp;" - "&amp;(IF($C889="","Commercial",$C889))),Variables!$B$1:$D$1,0),1))*(AV889/365))+(T889*INDEX(Variables!$B$9:$D$9,IFERROR(MATCH(IF($B889="Robusta","Robusta",(IF($B889="","Arabica",$B889))&amp;" - "&amp;(IF($C889="","Commercial",$C889))),Variables!$B$1:$D$1,0),1))*(AV889/365))+(INDEX(Variables!$B$8:$D$8,IFERROR(MATCH(IF($B889="Robusta","Robusta",(IF($B889="","Arabica",$B889))&amp;" - "&amp;(IF($C889="","Commercial",$C889))),Variables!$B$1:$D$1,0),1))*L889/16.67)),""))</f>
        <v>382.38894830719988</v>
      </c>
      <c r="AX889" s="9"/>
      <c r="AY889" s="12"/>
      <c r="AZ889" s="10"/>
      <c r="BA889" s="9"/>
      <c r="BB889" s="10"/>
      <c r="BC889" s="9"/>
      <c r="BD889" s="9"/>
      <c r="BE889" s="9"/>
      <c r="BF889" s="9"/>
    </row>
    <row r="890" spans="1:58" x14ac:dyDescent="0.25">
      <c r="A890" s="9" t="s">
        <v>84</v>
      </c>
      <c r="B890" s="9" t="s">
        <v>85</v>
      </c>
      <c r="C890" s="9" t="s">
        <v>1486</v>
      </c>
      <c r="D890" s="10">
        <v>45684</v>
      </c>
      <c r="E890" s="10">
        <v>45689</v>
      </c>
      <c r="F890" s="10">
        <v>45716</v>
      </c>
      <c r="G890" s="9">
        <v>3786642</v>
      </c>
      <c r="H890" s="9" t="str">
        <f t="shared" si="83"/>
        <v>Closed</v>
      </c>
      <c r="I890" s="9" t="str">
        <f t="shared" si="84"/>
        <v>All dates received</v>
      </c>
      <c r="J890" s="9" t="s">
        <v>1895</v>
      </c>
      <c r="K890" s="9" t="s">
        <v>1906</v>
      </c>
      <c r="L890" s="11">
        <v>100</v>
      </c>
      <c r="M890" s="9" t="s">
        <v>1907</v>
      </c>
      <c r="N890" s="9"/>
      <c r="O890" s="9"/>
      <c r="P890" s="9"/>
      <c r="Q890" s="11">
        <v>18</v>
      </c>
      <c r="R890" s="9" t="s">
        <v>90</v>
      </c>
      <c r="S890" s="9" t="s">
        <v>1121</v>
      </c>
      <c r="T890" s="12">
        <f>IF($H890="Cancelled","",IFERROR(((Q890+INDEX(Variables!$B$6:$D$6,IFERROR(MATCH(IF($B890="Robusta","Robusta",(IF($B890="","Arabica",$B890))&amp;" - "&amp;(IF($C890="","Commercial",$C890))),Variables!$B$1:$D$1,0),1)))*22.0462)*(L890/16.67),""))</f>
        <v>40839.031553689252</v>
      </c>
      <c r="U890" s="10"/>
      <c r="V890" s="9" t="str">
        <f t="shared" si="86"/>
        <v/>
      </c>
      <c r="W890" s="10">
        <v>45673</v>
      </c>
      <c r="X890" s="9" t="str">
        <f t="shared" si="87"/>
        <v>Approved</v>
      </c>
      <c r="Y890" s="10">
        <v>45673</v>
      </c>
      <c r="Z890" s="10">
        <f>IF($H890="Cancelled","",IFERROR(IF(F890="","",F890-Variables!$B$13),""))</f>
        <v>45701</v>
      </c>
      <c r="AA890" s="11">
        <f>IF($H890="Cancelled","",IFERROR(IF(W890="","",(AVERAGE(E890:F890)-W890)-Variables!$B$14),""))</f>
        <v>-0.5</v>
      </c>
      <c r="AB890" s="10">
        <v>45720</v>
      </c>
      <c r="AC890" s="11">
        <f>IF($H890="Cancelled","",IFERROR(IF(AB890="","",IF(AND(W890="",Y890=""),"",IF(Y890&gt;W890,Y890+Variables!$B$15+Variables!$B$16+Variables!$B$17-AB890,W890+Variables!$B$16+Variables!$B$17-AB890))),""))</f>
        <v>-39</v>
      </c>
      <c r="AD890" s="9" t="s">
        <v>163</v>
      </c>
      <c r="AE890" s="9" t="s">
        <v>164</v>
      </c>
      <c r="AF890" s="10"/>
      <c r="AG890" s="10"/>
      <c r="AH890" s="9"/>
      <c r="AI890" s="9">
        <v>250897783</v>
      </c>
      <c r="AJ890" s="9" t="s">
        <v>8</v>
      </c>
      <c r="AK890" s="10">
        <v>45365</v>
      </c>
      <c r="AL890" s="10">
        <v>45734</v>
      </c>
      <c r="AM890" s="10">
        <v>45742</v>
      </c>
      <c r="AN890" s="9" t="s">
        <v>1492</v>
      </c>
      <c r="AO890" s="9"/>
      <c r="AP890" s="11">
        <f>IF($H890="Cancelled","",IFERROR(IF(OR(AK890="",AB890=""),"",(AB890+Variables!$B$18-AK890)),""))</f>
        <v>362</v>
      </c>
      <c r="AQ890" s="11">
        <f>IF($H890="Cancelled","",IFERROR(IF(OR(AM890="",AK890=""),"",(AK890+Variables!$B$19)-AM890),""))</f>
        <v>-372</v>
      </c>
      <c r="AR890" s="12">
        <f>IF($H890="Cancelled","",IFERROR(T890*INDEX(Variables!$B$7:$D$7,IFERROR(MATCH(IF($B890="Robusta","Robusta",(IF($B890="","Arabica",$B890))&amp;" - "&amp;(IF($C890="","Commercial",$C890))),Variables!$B$1:$D$1,0),1))*(AQ890/365),""))</f>
        <v>-2683.8939818298195</v>
      </c>
      <c r="AS890" s="12">
        <f>IF($H890="Cancelled","",IFERROR((T890*INDEX(Variables!$B$7:$D$7,IFERROR(MATCH(IF($B890="Robusta","Robusta",(IF($B890="","Arabica",$B890))&amp;" - "&amp;(IF($C890="","Commercial",$C890))),Variables!$B$1:$D$1,0),1))*IFERROR(IF(W890="","",(AVERAGE(E890:F890)-W890)-Variables!$B$14),"")/365)+(L890/16.67*INDEX(Variables!$B$8:$D$8,IFERROR(MATCH(IF($B890="Robusta","Robusta",(IF($B890="","Arabica",$B890))&amp;" - "&amp;(IF($C890="","Commercial",$C890))),Variables!$B$1:$D$1,0),1))*IFERROR(IF(W890="","",(AVERAGE(E890:F890)-W890)-Variables!$B$14),""))+(T890*INDEX(Variables!$B$9:$D$9,IFERROR(MATCH(IF($B890="Robusta","Robusta",(IF($B890="","Arabica",$B890))&amp;" - "&amp;(IF($C890="","Commercial",$C890))),Variables!$B$1:$D$1,0),1))*IFERROR(IF(W890="","",(AVERAGE(E890:F890)-W890)-Variables!$B$14),"")/365),""))</f>
        <v>-6.1538905306601137</v>
      </c>
      <c r="AT890" s="12">
        <f>IF($H890="Cancelled","",IFERROR((T890*INDEX(Variables!$B$7:$D$7,IFERROR(MATCH(IF($B890="Robusta","Robusta",(IF($B890="","Arabica",$B890))&amp;" - "&amp;(IF($C890="","Commercial",$C890))),Variables!$B$1:$D$1,0),1))*AC890/365)+(L890/16.67*INDEX(Variables!$B$8:$D$8,IFERROR(MATCH(IF($B890="Robusta","Robusta",(IF($B890="","Arabica",$B890))&amp;" - "&amp;(IF($C890="","Commercial",$C890))),Variables!$B$1:$D$1,0),1))*AC890)+(T890*INDEX(Variables!$B$9:$D$9,IFERROR(MATCH(IF($B890="Robusta","Robusta",(IF($B890="","Arabica",$B890))&amp;" - "&amp;(IF($C890="","Commercial",$C890))),Variables!$B$1:$D$1,0),1))*AC890/365),""))</f>
        <v>-480.00346139148894</v>
      </c>
      <c r="AU890" s="12">
        <f>IF($H890="Cancelled","",IFERROR((T890*INDEX(Variables!$B$7:$D$7,IFERROR(MATCH(IF($B890="Robusta","Robusta",(IF($B890="","Arabica",$B890))&amp;" - "&amp;(IF($C890="","Commercial",$C890))),Variables!$B$1:$D$1,0),1))*AP890/365)+(L890/16.67*INDEX(Variables!$B$8:$D$8,IFERROR(MATCH(IF($B890="Robusta","Robusta",(IF($B890="","Arabica",$B890))&amp;" - "&amp;(IF($C890="","Commercial",$C890))),Variables!$B$1:$D$1,0),1))*AP890)+(T890*INDEX(Variables!$B$9:$D$9,IFERROR(MATCH(IF($B890="Robusta","Robusta",(IF($B890="","Arabica",$B890))&amp;" - "&amp;(IF($C890="","Commercial",$C890))),Variables!$B$1:$D$1,0),1))*AP890/365),""))</f>
        <v>4455.4167441979225</v>
      </c>
      <c r="AV890" s="11">
        <f t="shared" si="85"/>
        <v>351</v>
      </c>
      <c r="AW890" s="12">
        <f>IF($H890="Cancelled","",IFERROR(IF(AV890="","",(T890*INDEX(Variables!$B$7:$D$7,IFERROR(MATCH(IF($B890="Robusta","Robusta",(IF($B890="","Arabica",$B890))&amp;" - "&amp;(IF($C890="","Commercial",$C890))),Variables!$B$1:$D$1,0),1))*(AV890/365))+(T890*INDEX(Variables!$B$9:$D$9,IFERROR(MATCH(IF($B890="Robusta","Robusta",(IF($B890="","Arabica",$B890))&amp;" - "&amp;(IF($C890="","Commercial",$C890))),Variables!$B$1:$D$1,0),1))*(AV890/365))+(INDEX(Variables!$B$8:$D$8,IFERROR(MATCH(IF($B890="Robusta","Robusta",(IF($B890="","Arabica",$B890))&amp;" - "&amp;(IF($C890="","Commercial",$C890))),Variables!$B$1:$D$1,0),1))*L890/16.67)),""))</f>
        <v>2570.0311525234001</v>
      </c>
      <c r="AX890" s="9"/>
      <c r="AY890" s="12"/>
      <c r="AZ890" s="10"/>
      <c r="BA890" s="9"/>
      <c r="BB890" s="10"/>
      <c r="BC890" s="9"/>
      <c r="BD890" s="9"/>
      <c r="BE890" s="9"/>
      <c r="BF890" s="9"/>
    </row>
    <row r="891" spans="1:58" x14ac:dyDescent="0.25">
      <c r="A891" s="9" t="s">
        <v>84</v>
      </c>
      <c r="B891" s="9" t="s">
        <v>85</v>
      </c>
      <c r="C891" s="9" t="s">
        <v>1486</v>
      </c>
      <c r="D891" s="10">
        <v>45691</v>
      </c>
      <c r="E891" s="10">
        <v>45689</v>
      </c>
      <c r="F891" s="10">
        <v>45716</v>
      </c>
      <c r="G891" s="9">
        <v>3786653</v>
      </c>
      <c r="H891" s="9" t="str">
        <f t="shared" si="83"/>
        <v>Closed</v>
      </c>
      <c r="I891" s="9" t="str">
        <f t="shared" si="84"/>
        <v>All dates received</v>
      </c>
      <c r="J891" s="9" t="s">
        <v>1895</v>
      </c>
      <c r="K891" s="9" t="s">
        <v>1908</v>
      </c>
      <c r="L891" s="11">
        <v>12</v>
      </c>
      <c r="M891" s="9" t="s">
        <v>1909</v>
      </c>
      <c r="N891" s="9"/>
      <c r="O891" s="9"/>
      <c r="P891" s="9"/>
      <c r="Q891" s="11">
        <v>18</v>
      </c>
      <c r="R891" s="9" t="s">
        <v>195</v>
      </c>
      <c r="S891" s="9" t="s">
        <v>1121</v>
      </c>
      <c r="T891" s="12">
        <f>IF($H891="Cancelled","",IFERROR(((Q891+INDEX(Variables!$B$6:$D$6,IFERROR(MATCH(IF($B891="Robusta","Robusta",(IF($B891="","Arabica",$B891))&amp;" - "&amp;(IF($C891="","Commercial",$C891))),Variables!$B$1:$D$1,0),1)))*22.0462)*(L891/16.67),""))</f>
        <v>4900.6837864427107</v>
      </c>
      <c r="U891" s="10"/>
      <c r="V891" s="9" t="str">
        <f t="shared" si="86"/>
        <v/>
      </c>
      <c r="W891" s="10">
        <v>45673</v>
      </c>
      <c r="X891" s="9" t="str">
        <f t="shared" si="87"/>
        <v>Approved</v>
      </c>
      <c r="Y891" s="10">
        <v>45673</v>
      </c>
      <c r="Z891" s="10">
        <f>IF($H891="Cancelled","",IFERROR(IF(F891="","",F891-Variables!$B$13),""))</f>
        <v>45701</v>
      </c>
      <c r="AA891" s="11">
        <f>IF($H891="Cancelled","",IFERROR(IF(W891="","",(AVERAGE(E891:F891)-W891)-Variables!$B$14),""))</f>
        <v>-0.5</v>
      </c>
      <c r="AB891" s="10">
        <v>45720</v>
      </c>
      <c r="AC891" s="11">
        <f>IF($H891="Cancelled","",IFERROR(IF(AB891="","",IF(AND(W891="",Y891=""),"",IF(Y891&gt;W891,Y891+Variables!$B$15+Variables!$B$16+Variables!$B$17-AB891,W891+Variables!$B$16+Variables!$B$17-AB891))),""))</f>
        <v>-39</v>
      </c>
      <c r="AD891" s="9" t="s">
        <v>163</v>
      </c>
      <c r="AE891" s="9" t="s">
        <v>164</v>
      </c>
      <c r="AF891" s="10"/>
      <c r="AG891" s="10"/>
      <c r="AH891" s="9"/>
      <c r="AI891" s="9">
        <v>250897783</v>
      </c>
      <c r="AJ891" s="9" t="s">
        <v>8</v>
      </c>
      <c r="AK891" s="10">
        <v>45365</v>
      </c>
      <c r="AL891" s="10">
        <v>45734</v>
      </c>
      <c r="AM891" s="10">
        <v>45742</v>
      </c>
      <c r="AN891" s="9" t="s">
        <v>1492</v>
      </c>
      <c r="AO891" s="9"/>
      <c r="AP891" s="11">
        <f>IF($H891="Cancelled","",IFERROR(IF(OR(AK891="",AB891=""),"",(AB891+Variables!$B$18-AK891)),""))</f>
        <v>362</v>
      </c>
      <c r="AQ891" s="11">
        <f>IF($H891="Cancelled","",IFERROR(IF(OR(AM891="",AK891=""),"",(AK891+Variables!$B$19)-AM891),""))</f>
        <v>-372</v>
      </c>
      <c r="AR891" s="12">
        <f>IF($H891="Cancelled","",IFERROR(T891*INDEX(Variables!$B$7:$D$7,IFERROR(MATCH(IF($B891="Robusta","Robusta",(IF($B891="","Arabica",$B891))&amp;" - "&amp;(IF($C891="","Commercial",$C891))),Variables!$B$1:$D$1,0),1))*(AQ891/365),""))</f>
        <v>-322.06727781957835</v>
      </c>
      <c r="AS891" s="12">
        <f>IF($H891="Cancelled","",IFERROR((T891*INDEX(Variables!$B$7:$D$7,IFERROR(MATCH(IF($B891="Robusta","Robusta",(IF($B891="","Arabica",$B891))&amp;" - "&amp;(IF($C891="","Commercial",$C891))),Variables!$B$1:$D$1,0),1))*IFERROR(IF(W891="","",(AVERAGE(E891:F891)-W891)-Variables!$B$14),"")/365)+(L891/16.67*INDEX(Variables!$B$8:$D$8,IFERROR(MATCH(IF($B891="Robusta","Robusta",(IF($B891="","Arabica",$B891))&amp;" - "&amp;(IF($C891="","Commercial",$C891))),Variables!$B$1:$D$1,0),1))*IFERROR(IF(W891="","",(AVERAGE(E891:F891)-W891)-Variables!$B$14),""))+(T891*INDEX(Variables!$B$9:$D$9,IFERROR(MATCH(IF($B891="Robusta","Robusta",(IF($B891="","Arabica",$B891))&amp;" - "&amp;(IF($C891="","Commercial",$C891))),Variables!$B$1:$D$1,0),1))*IFERROR(IF(W891="","",(AVERAGE(E891:F891)-W891)-Variables!$B$14),"")/365),""))</f>
        <v>-0.73846686367921366</v>
      </c>
      <c r="AT891" s="12">
        <f>IF($H891="Cancelled","",IFERROR((T891*INDEX(Variables!$B$7:$D$7,IFERROR(MATCH(IF($B891="Robusta","Robusta",(IF($B891="","Arabica",$B891))&amp;" - "&amp;(IF($C891="","Commercial",$C891))),Variables!$B$1:$D$1,0),1))*AC891/365)+(L891/16.67*INDEX(Variables!$B$8:$D$8,IFERROR(MATCH(IF($B891="Robusta","Robusta",(IF($B891="","Arabica",$B891))&amp;" - "&amp;(IF($C891="","Commercial",$C891))),Variables!$B$1:$D$1,0),1))*AC891)+(T891*INDEX(Variables!$B$9:$D$9,IFERROR(MATCH(IF($B891="Robusta","Robusta",(IF($B891="","Arabica",$B891))&amp;" - "&amp;(IF($C891="","Commercial",$C891))),Variables!$B$1:$D$1,0),1))*AC891/365),""))</f>
        <v>-57.600415366978673</v>
      </c>
      <c r="AU891" s="12">
        <f>IF($H891="Cancelled","",IFERROR((T891*INDEX(Variables!$B$7:$D$7,IFERROR(MATCH(IF($B891="Robusta","Robusta",(IF($B891="","Arabica",$B891))&amp;" - "&amp;(IF($C891="","Commercial",$C891))),Variables!$B$1:$D$1,0),1))*AP891/365)+(L891/16.67*INDEX(Variables!$B$8:$D$8,IFERROR(MATCH(IF($B891="Robusta","Robusta",(IF($B891="","Arabica",$B891))&amp;" - "&amp;(IF($C891="","Commercial",$C891))),Variables!$B$1:$D$1,0),1))*AP891)+(T891*INDEX(Variables!$B$9:$D$9,IFERROR(MATCH(IF($B891="Robusta","Robusta",(IF($B891="","Arabica",$B891))&amp;" - "&amp;(IF($C891="","Commercial",$C891))),Variables!$B$1:$D$1,0),1))*AP891/365),""))</f>
        <v>534.65000930375072</v>
      </c>
      <c r="AV891" s="11">
        <f t="shared" si="85"/>
        <v>351</v>
      </c>
      <c r="AW891" s="12">
        <f>IF($H891="Cancelled","",IFERROR(IF(AV891="","",(T891*INDEX(Variables!$B$7:$D$7,IFERROR(MATCH(IF($B891="Robusta","Robusta",(IF($B891="","Arabica",$B891))&amp;" - "&amp;(IF($C891="","Commercial",$C891))),Variables!$B$1:$D$1,0),1))*(AV891/365))+(T891*INDEX(Variables!$B$9:$D$9,IFERROR(MATCH(IF($B891="Robusta","Robusta",(IF($B891="","Arabica",$B891))&amp;" - "&amp;(IF($C891="","Commercial",$C891))),Variables!$B$1:$D$1,0),1))*(AV891/365))+(INDEX(Variables!$B$8:$D$8,IFERROR(MATCH(IF($B891="Robusta","Robusta",(IF($B891="","Arabica",$B891))&amp;" - "&amp;(IF($C891="","Commercial",$C891))),Variables!$B$1:$D$1,0),1))*L891/16.67)),""))</f>
        <v>308.40373830280811</v>
      </c>
      <c r="AX891" s="9"/>
      <c r="AY891" s="12"/>
      <c r="AZ891" s="10"/>
      <c r="BA891" s="9"/>
      <c r="BB891" s="10"/>
      <c r="BC891" s="9"/>
      <c r="BD891" s="9"/>
      <c r="BE891" s="9"/>
      <c r="BF891" s="9"/>
    </row>
    <row r="892" spans="1:58" x14ac:dyDescent="0.25">
      <c r="A892" s="9" t="s">
        <v>84</v>
      </c>
      <c r="B892" s="9" t="s">
        <v>85</v>
      </c>
      <c r="C892" s="9" t="s">
        <v>1486</v>
      </c>
      <c r="D892" s="10">
        <v>45691</v>
      </c>
      <c r="E892" s="10">
        <v>45689</v>
      </c>
      <c r="F892" s="10">
        <v>45716</v>
      </c>
      <c r="G892" s="9">
        <v>3786654</v>
      </c>
      <c r="H892" s="9" t="str">
        <f t="shared" si="83"/>
        <v>Closed</v>
      </c>
      <c r="I892" s="9" t="str">
        <f t="shared" si="84"/>
        <v>All dates received</v>
      </c>
      <c r="J892" s="9" t="s">
        <v>1895</v>
      </c>
      <c r="K892" s="9" t="s">
        <v>1910</v>
      </c>
      <c r="L892" s="11">
        <v>12</v>
      </c>
      <c r="M892" s="9" t="s">
        <v>1911</v>
      </c>
      <c r="N892" s="9"/>
      <c r="O892" s="9"/>
      <c r="P892" s="9"/>
      <c r="Q892" s="11">
        <v>114.1</v>
      </c>
      <c r="R892" s="9" t="s">
        <v>195</v>
      </c>
      <c r="S892" s="9" t="s">
        <v>1121</v>
      </c>
      <c r="T892" s="12">
        <f>IF($H892="Cancelled","",IFERROR(((Q892+INDEX(Variables!$B$6:$D$6,IFERROR(MATCH(IF($B892="Robusta","Robusta",(IF($B892="","Arabica",$B892))&amp;" - "&amp;(IF($C892="","Commercial",$C892))),Variables!$B$1:$D$1,0),1)))*22.0462)*(L892/16.67),""))</f>
        <v>6425.7994337132559</v>
      </c>
      <c r="U892" s="10"/>
      <c r="V892" s="9" t="str">
        <f t="shared" si="86"/>
        <v/>
      </c>
      <c r="W892" s="10">
        <v>45673</v>
      </c>
      <c r="X892" s="9" t="str">
        <f t="shared" si="87"/>
        <v>Approved</v>
      </c>
      <c r="Y892" s="10">
        <v>45673</v>
      </c>
      <c r="Z892" s="10">
        <f>IF($H892="Cancelled","",IFERROR(IF(F892="","",F892-Variables!$B$13),""))</f>
        <v>45701</v>
      </c>
      <c r="AA892" s="11">
        <f>IF($H892="Cancelled","",IFERROR(IF(W892="","",(AVERAGE(E892:F892)-W892)-Variables!$B$14),""))</f>
        <v>-0.5</v>
      </c>
      <c r="AB892" s="10">
        <v>45720</v>
      </c>
      <c r="AC892" s="11">
        <f>IF($H892="Cancelled","",IFERROR(IF(AB892="","",IF(AND(W892="",Y892=""),"",IF(Y892&gt;W892,Y892+Variables!$B$15+Variables!$B$16+Variables!$B$17-AB892,W892+Variables!$B$16+Variables!$B$17-AB892))),""))</f>
        <v>-39</v>
      </c>
      <c r="AD892" s="9" t="s">
        <v>163</v>
      </c>
      <c r="AE892" s="9" t="s">
        <v>164</v>
      </c>
      <c r="AF892" s="10"/>
      <c r="AG892" s="10"/>
      <c r="AH892" s="9"/>
      <c r="AI892" s="9">
        <v>250897783</v>
      </c>
      <c r="AJ892" s="9" t="s">
        <v>8</v>
      </c>
      <c r="AK892" s="10">
        <v>45365</v>
      </c>
      <c r="AL892" s="10">
        <v>45734</v>
      </c>
      <c r="AM892" s="10">
        <v>45742</v>
      </c>
      <c r="AN892" s="9" t="s">
        <v>1492</v>
      </c>
      <c r="AO892" s="9"/>
      <c r="AP892" s="11">
        <f>IF($H892="Cancelled","",IFERROR(IF(OR(AK892="",AB892=""),"",(AB892+Variables!$B$18-AK892)),""))</f>
        <v>362</v>
      </c>
      <c r="AQ892" s="11">
        <f>IF($H892="Cancelled","",IFERROR(IF(OR(AM892="",AK892=""),"",(AK892+Variables!$B$19)-AM892),""))</f>
        <v>-372</v>
      </c>
      <c r="AR892" s="12">
        <f>IF($H892="Cancelled","",IFERROR(T892*INDEX(Variables!$B$7:$D$7,IFERROR(MATCH(IF($B892="Robusta","Robusta",(IF($B892="","Arabica",$B892))&amp;" - "&amp;(IF($C892="","Commercial",$C892))),Variables!$B$1:$D$1,0),1))*(AQ892/365),""))</f>
        <v>-422.296116545166</v>
      </c>
      <c r="AS892" s="12">
        <f>IF($H892="Cancelled","",IFERROR((T892*INDEX(Variables!$B$7:$D$7,IFERROR(MATCH(IF($B892="Robusta","Robusta",(IF($B892="","Arabica",$B892))&amp;" - "&amp;(IF($C892="","Commercial",$C892))),Variables!$B$1:$D$1,0),1))*IFERROR(IF(W892="","",(AVERAGE(E892:F892)-W892)-Variables!$B$14),"")/365)+(L892/16.67*INDEX(Variables!$B$8:$D$8,IFERROR(MATCH(IF($B892="Robusta","Robusta",(IF($B892="","Arabica",$B892))&amp;" - "&amp;(IF($C892="","Commercial",$C892))),Variables!$B$1:$D$1,0),1))*IFERROR(IF(W892="","",(AVERAGE(E892:F892)-W892)-Variables!$B$14),""))+(T892*INDEX(Variables!$B$9:$D$9,IFERROR(MATCH(IF($B892="Robusta","Robusta",(IF($B892="","Arabica",$B892))&amp;" - "&amp;(IF($C892="","Commercial",$C892))),Variables!$B$1:$D$1,0),1))*IFERROR(IF(W892="","",(AVERAGE(E892:F892)-W892)-Variables!$B$14),"")/365),""))</f>
        <v>-0.87491979632031602</v>
      </c>
      <c r="AT892" s="12">
        <f>IF($H892="Cancelled","",IFERROR((T892*INDEX(Variables!$B$7:$D$7,IFERROR(MATCH(IF($B892="Robusta","Robusta",(IF($B892="","Arabica",$B892))&amp;" - "&amp;(IF($C892="","Commercial",$C892))),Variables!$B$1:$D$1,0),1))*AC892/365)+(L892/16.67*INDEX(Variables!$B$8:$D$8,IFERROR(MATCH(IF($B892="Robusta","Robusta",(IF($B892="","Arabica",$B892))&amp;" - "&amp;(IF($C892="","Commercial",$C892))),Variables!$B$1:$D$1,0),1))*AC892)+(T892*INDEX(Variables!$B$9:$D$9,IFERROR(MATCH(IF($B892="Robusta","Robusta",(IF($B892="","Arabica",$B892))&amp;" - "&amp;(IF($C892="","Commercial",$C892))),Variables!$B$1:$D$1,0),1))*AC892/365),""))</f>
        <v>-68.243744112984658</v>
      </c>
      <c r="AU892" s="12">
        <f>IF($H892="Cancelled","",IFERROR((T892*INDEX(Variables!$B$7:$D$7,IFERROR(MATCH(IF($B892="Robusta","Robusta",(IF($B892="","Arabica",$B892))&amp;" - "&amp;(IF($C892="","Commercial",$C892))),Variables!$B$1:$D$1,0),1))*AP892/365)+(L892/16.67*INDEX(Variables!$B$8:$D$8,IFERROR(MATCH(IF($B892="Robusta","Robusta",(IF($B892="","Arabica",$B892))&amp;" - "&amp;(IF($C892="","Commercial",$C892))),Variables!$B$1:$D$1,0),1))*AP892)+(T892*INDEX(Variables!$B$9:$D$9,IFERROR(MATCH(IF($B892="Robusta","Robusta",(IF($B892="","Arabica",$B892))&amp;" - "&amp;(IF($C892="","Commercial",$C892))),Variables!$B$1:$D$1,0),1))*AP892/365),""))</f>
        <v>633.4419325359089</v>
      </c>
      <c r="AV892" s="11">
        <f t="shared" si="85"/>
        <v>351</v>
      </c>
      <c r="AW892" s="12">
        <f>IF($H892="Cancelled","",IFERROR(IF(AV892="","",(T892*INDEX(Variables!$B$7:$D$7,IFERROR(MATCH(IF($B892="Robusta","Robusta",(IF($B892="","Arabica",$B892))&amp;" - "&amp;(IF($C892="","Commercial",$C892))),Variables!$B$1:$D$1,0),1))*(AV892/365))+(T892*INDEX(Variables!$B$9:$D$9,IFERROR(MATCH(IF($B892="Robusta","Robusta",(IF($B892="","Arabica",$B892))&amp;" - "&amp;(IF($C892="","Commercial",$C892))),Variables!$B$1:$D$1,0),1))*(AV892/365))+(INDEX(Variables!$B$8:$D$8,IFERROR(MATCH(IF($B892="Robusta","Robusta",(IF($B892="","Arabica",$B892))&amp;" - "&amp;(IF($C892="","Commercial",$C892))),Variables!$B$1:$D$1,0),1))*L892/16.67)),""))</f>
        <v>404.1936970168619</v>
      </c>
      <c r="AX892" s="9"/>
      <c r="AY892" s="12"/>
      <c r="AZ892" s="10"/>
      <c r="BA892" s="9"/>
      <c r="BB892" s="10"/>
      <c r="BC892" s="9"/>
      <c r="BD892" s="9"/>
      <c r="BE892" s="9"/>
      <c r="BF892" s="9"/>
    </row>
    <row r="893" spans="1:58" x14ac:dyDescent="0.25">
      <c r="A893" s="9" t="s">
        <v>84</v>
      </c>
      <c r="B893" s="9" t="s">
        <v>85</v>
      </c>
      <c r="C893" s="9" t="s">
        <v>1486</v>
      </c>
      <c r="D893" s="10">
        <v>45691</v>
      </c>
      <c r="E893" s="10">
        <v>45689</v>
      </c>
      <c r="F893" s="10">
        <v>45716</v>
      </c>
      <c r="G893" s="9">
        <v>3786655</v>
      </c>
      <c r="H893" s="9" t="str">
        <f t="shared" si="83"/>
        <v>Closed</v>
      </c>
      <c r="I893" s="9" t="str">
        <f t="shared" si="84"/>
        <v>All dates received</v>
      </c>
      <c r="J893" s="9" t="s">
        <v>1895</v>
      </c>
      <c r="K893" s="9" t="s">
        <v>1912</v>
      </c>
      <c r="L893" s="11">
        <v>12</v>
      </c>
      <c r="M893" s="9" t="s">
        <v>1913</v>
      </c>
      <c r="N893" s="9"/>
      <c r="O893" s="9"/>
      <c r="P893" s="9"/>
      <c r="Q893" s="11">
        <v>109.1</v>
      </c>
      <c r="R893" s="9" t="s">
        <v>195</v>
      </c>
      <c r="S893" s="9" t="s">
        <v>1121</v>
      </c>
      <c r="T893" s="12">
        <f>IF($H893="Cancelled","",IFERROR(((Q893+INDEX(Variables!$B$6:$D$6,IFERROR(MATCH(IF($B893="Robusta","Robusta",(IF($B893="","Arabica",$B893))&amp;" - "&amp;(IF($C893="","Commercial",$C893))),Variables!$B$1:$D$1,0),1)))*22.0462)*(L893/16.67),""))</f>
        <v>6346.4489838032378</v>
      </c>
      <c r="U893" s="10"/>
      <c r="V893" s="9" t="str">
        <f t="shared" si="86"/>
        <v/>
      </c>
      <c r="W893" s="10">
        <v>45673</v>
      </c>
      <c r="X893" s="9" t="str">
        <f t="shared" si="87"/>
        <v>Approved</v>
      </c>
      <c r="Y893" s="10">
        <v>45673</v>
      </c>
      <c r="Z893" s="10">
        <f>IF($H893="Cancelled","",IFERROR(IF(F893="","",F893-Variables!$B$13),""))</f>
        <v>45701</v>
      </c>
      <c r="AA893" s="11">
        <f>IF($H893="Cancelled","",IFERROR(IF(W893="","",(AVERAGE(E893:F893)-W893)-Variables!$B$14),""))</f>
        <v>-0.5</v>
      </c>
      <c r="AB893" s="10">
        <v>45720</v>
      </c>
      <c r="AC893" s="11">
        <f>IF($H893="Cancelled","",IFERROR(IF(AB893="","",IF(AND(W893="",Y893=""),"",IF(Y893&gt;W893,Y893+Variables!$B$15+Variables!$B$16+Variables!$B$17-AB893,W893+Variables!$B$16+Variables!$B$17-AB893))),""))</f>
        <v>-39</v>
      </c>
      <c r="AD893" s="9" t="s">
        <v>163</v>
      </c>
      <c r="AE893" s="9" t="s">
        <v>164</v>
      </c>
      <c r="AF893" s="10"/>
      <c r="AG893" s="10"/>
      <c r="AH893" s="9"/>
      <c r="AI893" s="9">
        <v>250897783</v>
      </c>
      <c r="AJ893" s="9" t="s">
        <v>8</v>
      </c>
      <c r="AK893" s="10">
        <v>45365</v>
      </c>
      <c r="AL893" s="10">
        <v>45734</v>
      </c>
      <c r="AM893" s="10">
        <v>45742</v>
      </c>
      <c r="AN893" s="9" t="s">
        <v>1492</v>
      </c>
      <c r="AO893" s="9"/>
      <c r="AP893" s="11">
        <f>IF($H893="Cancelled","",IFERROR(IF(OR(AK893="",AB893=""),"",(AB893+Variables!$B$18-AK893)),""))</f>
        <v>362</v>
      </c>
      <c r="AQ893" s="11">
        <f>IF($H893="Cancelled","",IFERROR(IF(OR(AM893="",AK893=""),"",(AK893+Variables!$B$19)-AM893),""))</f>
        <v>-372</v>
      </c>
      <c r="AR893" s="12">
        <f>IF($H893="Cancelled","",IFERROR(T893*INDEX(Variables!$B$7:$D$7,IFERROR(MATCH(IF($B893="Robusta","Robusta",(IF($B893="","Arabica",$B893))&amp;" - "&amp;(IF($C893="","Commercial",$C893))),Variables!$B$1:$D$1,0),1))*(AQ893/365),""))</f>
        <v>-417.08129663228425</v>
      </c>
      <c r="AS893" s="12">
        <f>IF($H893="Cancelled","",IFERROR((T893*INDEX(Variables!$B$7:$D$7,IFERROR(MATCH(IF($B893="Robusta","Robusta",(IF($B893="","Arabica",$B893))&amp;" - "&amp;(IF($C893="","Commercial",$C893))),Variables!$B$1:$D$1,0),1))*IFERROR(IF(W893="","",(AVERAGE(E893:F893)-W893)-Variables!$B$14),"")/365)+(L893/16.67*INDEX(Variables!$B$8:$D$8,IFERROR(MATCH(IF($B893="Robusta","Robusta",(IF($B893="","Arabica",$B893))&amp;" - "&amp;(IF($C893="","Commercial",$C893))),Variables!$B$1:$D$1,0),1))*IFERROR(IF(W893="","",(AVERAGE(E893:F893)-W893)-Variables!$B$14),""))+(T893*INDEX(Variables!$B$9:$D$9,IFERROR(MATCH(IF($B893="Robusta","Robusta",(IF($B893="","Arabica",$B893))&amp;" - "&amp;(IF($C893="","Commercial",$C893))),Variables!$B$1:$D$1,0),1))*IFERROR(IF(W893="","",(AVERAGE(E893:F893)-W893)-Variables!$B$14),"")/365),""))</f>
        <v>-0.86782026808716817</v>
      </c>
      <c r="AT893" s="12">
        <f>IF($H893="Cancelled","",IFERROR((T893*INDEX(Variables!$B$7:$D$7,IFERROR(MATCH(IF($B893="Robusta","Robusta",(IF($B893="","Arabica",$B893))&amp;" - "&amp;(IF($C893="","Commercial",$C893))),Variables!$B$1:$D$1,0),1))*AC893/365)+(L893/16.67*INDEX(Variables!$B$8:$D$8,IFERROR(MATCH(IF($B893="Robusta","Robusta",(IF($B893="","Arabica",$B893))&amp;" - "&amp;(IF($C893="","Commercial",$C893))),Variables!$B$1:$D$1,0),1))*AC893)+(T893*INDEX(Variables!$B$9:$D$9,IFERROR(MATCH(IF($B893="Robusta","Robusta",(IF($B893="","Arabica",$B893))&amp;" - "&amp;(IF($C893="","Commercial",$C893))),Variables!$B$1:$D$1,0),1))*AC893/365),""))</f>
        <v>-67.689980910799122</v>
      </c>
      <c r="AU893" s="12">
        <f>IF($H893="Cancelled","",IFERROR((T893*INDEX(Variables!$B$7:$D$7,IFERROR(MATCH(IF($B893="Robusta","Robusta",(IF($B893="","Arabica",$B893))&amp;" - "&amp;(IF($C893="","Commercial",$C893))),Variables!$B$1:$D$1,0),1))*AP893/365)+(L893/16.67*INDEX(Variables!$B$8:$D$8,IFERROR(MATCH(IF($B893="Robusta","Robusta",(IF($B893="","Arabica",$B893))&amp;" - "&amp;(IF($C893="","Commercial",$C893))),Variables!$B$1:$D$1,0),1))*AP893)+(T893*INDEX(Variables!$B$9:$D$9,IFERROR(MATCH(IF($B893="Robusta","Robusta",(IF($B893="","Arabica",$B893))&amp;" - "&amp;(IF($C893="","Commercial",$C893))),Variables!$B$1:$D$1,0),1))*AP893/365),""))</f>
        <v>628.30187409510972</v>
      </c>
      <c r="AV893" s="11">
        <f t="shared" si="85"/>
        <v>351</v>
      </c>
      <c r="AW893" s="12">
        <f>IF($H893="Cancelled","",IFERROR(IF(AV893="","",(T893*INDEX(Variables!$B$7:$D$7,IFERROR(MATCH(IF($B893="Robusta","Robusta",(IF($B893="","Arabica",$B893))&amp;" - "&amp;(IF($C893="","Commercial",$C893))),Variables!$B$1:$D$1,0),1))*(AV893/365))+(T893*INDEX(Variables!$B$9:$D$9,IFERROR(MATCH(IF($B893="Robusta","Robusta",(IF($B893="","Arabica",$B893))&amp;" - "&amp;(IF($C893="","Commercial",$C893))),Variables!$B$1:$D$1,0),1))*(AV893/365))+(INDEX(Variables!$B$8:$D$8,IFERROR(MATCH(IF($B893="Robusta","Robusta",(IF($B893="","Arabica",$B893))&amp;" - "&amp;(IF($C893="","Commercial",$C893))),Variables!$B$1:$D$1,0),1))*L893/16.67)),""))</f>
        <v>399.20982819719217</v>
      </c>
      <c r="AX893" s="9"/>
      <c r="AY893" s="12"/>
      <c r="AZ893" s="10"/>
      <c r="BA893" s="9"/>
      <c r="BB893" s="10"/>
      <c r="BC893" s="9"/>
      <c r="BD893" s="9"/>
      <c r="BE893" s="9"/>
      <c r="BF893" s="9"/>
    </row>
    <row r="894" spans="1:58" x14ac:dyDescent="0.25">
      <c r="A894" s="9" t="s">
        <v>84</v>
      </c>
      <c r="B894" s="9" t="s">
        <v>85</v>
      </c>
      <c r="C894" s="9" t="s">
        <v>1486</v>
      </c>
      <c r="D894" s="10">
        <v>45691</v>
      </c>
      <c r="E894" s="10">
        <v>45689</v>
      </c>
      <c r="F894" s="10">
        <v>45716</v>
      </c>
      <c r="G894" s="9">
        <v>3786656</v>
      </c>
      <c r="H894" s="9" t="str">
        <f t="shared" si="83"/>
        <v>Closed</v>
      </c>
      <c r="I894" s="9" t="str">
        <f t="shared" si="84"/>
        <v>All dates received</v>
      </c>
      <c r="J894" s="9" t="s">
        <v>1895</v>
      </c>
      <c r="K894" s="9" t="s">
        <v>1914</v>
      </c>
      <c r="L894" s="11">
        <v>8</v>
      </c>
      <c r="M894" s="9" t="s">
        <v>1915</v>
      </c>
      <c r="N894" s="9"/>
      <c r="O894" s="9"/>
      <c r="P894" s="9"/>
      <c r="Q894" s="11">
        <v>72.099999999999994</v>
      </c>
      <c r="R894" s="9" t="s">
        <v>195</v>
      </c>
      <c r="S894" s="9" t="s">
        <v>1121</v>
      </c>
      <c r="T894" s="12">
        <f>IF($H894="Cancelled","",IFERROR(((Q894+INDEX(Variables!$B$6:$D$6,IFERROR(MATCH(IF($B894="Robusta","Robusta",(IF($B894="","Arabica",$B894))&amp;" - "&amp;(IF($C894="","Commercial",$C894))),Variables!$B$1:$D$1,0),1)))*22.0462)*(L894/16.67),""))</f>
        <v>3839.5037696460699</v>
      </c>
      <c r="U894" s="10"/>
      <c r="V894" s="9" t="str">
        <f t="shared" si="86"/>
        <v/>
      </c>
      <c r="W894" s="10">
        <v>45673</v>
      </c>
      <c r="X894" s="9" t="str">
        <f t="shared" si="87"/>
        <v>Approved</v>
      </c>
      <c r="Y894" s="10">
        <v>45673</v>
      </c>
      <c r="Z894" s="10">
        <f>IF($H894="Cancelled","",IFERROR(IF(F894="","",F894-Variables!$B$13),""))</f>
        <v>45701</v>
      </c>
      <c r="AA894" s="11">
        <f>IF($H894="Cancelled","",IFERROR(IF(W894="","",(AVERAGE(E894:F894)-W894)-Variables!$B$14),""))</f>
        <v>-0.5</v>
      </c>
      <c r="AB894" s="10">
        <v>45720</v>
      </c>
      <c r="AC894" s="11">
        <f>IF($H894="Cancelled","",IFERROR(IF(AB894="","",IF(AND(W894="",Y894=""),"",IF(Y894&gt;W894,Y894+Variables!$B$15+Variables!$B$16+Variables!$B$17-AB894,W894+Variables!$B$16+Variables!$B$17-AB894))),""))</f>
        <v>-39</v>
      </c>
      <c r="AD894" s="9" t="s">
        <v>163</v>
      </c>
      <c r="AE894" s="9" t="s">
        <v>164</v>
      </c>
      <c r="AF894" s="10"/>
      <c r="AG894" s="10"/>
      <c r="AH894" s="9"/>
      <c r="AI894" s="9">
        <v>250897783</v>
      </c>
      <c r="AJ894" s="9" t="s">
        <v>8</v>
      </c>
      <c r="AK894" s="10">
        <v>45365</v>
      </c>
      <c r="AL894" s="10">
        <v>45734</v>
      </c>
      <c r="AM894" s="10">
        <v>45742</v>
      </c>
      <c r="AN894" s="9" t="s">
        <v>1492</v>
      </c>
      <c r="AO894" s="9"/>
      <c r="AP894" s="11">
        <f>IF($H894="Cancelled","",IFERROR(IF(OR(AK894="",AB894=""),"",(AB894+Variables!$B$18-AK894)),""))</f>
        <v>362</v>
      </c>
      <c r="AQ894" s="11">
        <f>IF($H894="Cancelled","",IFERROR(IF(OR(AM894="",AK894=""),"",(AK894+Variables!$B$19)-AM894),""))</f>
        <v>-372</v>
      </c>
      <c r="AR894" s="12">
        <f>IF($H894="Cancelled","",IFERROR(T894*INDEX(Variables!$B$7:$D$7,IFERROR(MATCH(IF($B894="Robusta","Robusta",(IF($B894="","Arabica",$B894))&amp;" - "&amp;(IF($C894="","Commercial",$C894))),Variables!$B$1:$D$1,0),1))*(AQ894/365),""))</f>
        <v>-252.32775285130609</v>
      </c>
      <c r="AS894" s="12">
        <f>IF($H894="Cancelled","",IFERROR((T894*INDEX(Variables!$B$7:$D$7,IFERROR(MATCH(IF($B894="Robusta","Robusta",(IF($B894="","Arabica",$B894))&amp;" - "&amp;(IF($C894="","Commercial",$C894))),Variables!$B$1:$D$1,0),1))*IFERROR(IF(W894="","",(AVERAGE(E894:F894)-W894)-Variables!$B$14),"")/365)+(L894/16.67*INDEX(Variables!$B$8:$D$8,IFERROR(MATCH(IF($B894="Robusta","Robusta",(IF($B894="","Arabica",$B894))&amp;" - "&amp;(IF($C894="","Commercial",$C894))),Variables!$B$1:$D$1,0),1))*IFERROR(IF(W894="","",(AVERAGE(E894:F894)-W894)-Variables!$B$14),""))+(T894*INDEX(Variables!$B$9:$D$9,IFERROR(MATCH(IF($B894="Robusta","Robusta",(IF($B894="","Arabica",$B894))&amp;" - "&amp;(IF($C894="","Commercial",$C894))),Variables!$B$1:$D$1,0),1))*IFERROR(IF(W894="","",(AVERAGE(E894:F894)-W894)-Variables!$B$14),"")/365),""))</f>
        <v>-0.54352250610791597</v>
      </c>
      <c r="AT894" s="12">
        <f>IF($H894="Cancelled","",IFERROR((T894*INDEX(Variables!$B$7:$D$7,IFERROR(MATCH(IF($B894="Robusta","Robusta",(IF($B894="","Arabica",$B894))&amp;" - "&amp;(IF($C894="","Commercial",$C894))),Variables!$B$1:$D$1,0),1))*AC894/365)+(L894/16.67*INDEX(Variables!$B$8:$D$8,IFERROR(MATCH(IF($B894="Robusta","Robusta",(IF($B894="","Arabica",$B894))&amp;" - "&amp;(IF($C894="","Commercial",$C894))),Variables!$B$1:$D$1,0),1))*AC894)+(T894*INDEX(Variables!$B$9:$D$9,IFERROR(MATCH(IF($B894="Robusta","Robusta",(IF($B894="","Arabica",$B894))&amp;" - "&amp;(IF($C894="","Commercial",$C894))),Variables!$B$1:$D$1,0),1))*AC894/365),""))</f>
        <v>-42.394755476417444</v>
      </c>
      <c r="AU894" s="12">
        <f>IF($H894="Cancelled","",IFERROR((T894*INDEX(Variables!$B$7:$D$7,IFERROR(MATCH(IF($B894="Robusta","Robusta",(IF($B894="","Arabica",$B894))&amp;" - "&amp;(IF($C894="","Commercial",$C894))),Variables!$B$1:$D$1,0),1))*AP894/365)+(L894/16.67*INDEX(Variables!$B$8:$D$8,IFERROR(MATCH(IF($B894="Robusta","Robusta",(IF($B894="","Arabica",$B894))&amp;" - "&amp;(IF($C894="","Commercial",$C894))),Variables!$B$1:$D$1,0),1))*AP894)+(T894*INDEX(Variables!$B$9:$D$9,IFERROR(MATCH(IF($B894="Robusta","Robusta",(IF($B894="","Arabica",$B894))&amp;" - "&amp;(IF($C894="","Commercial",$C894))),Variables!$B$1:$D$1,0),1))*AP894/365),""))</f>
        <v>393.5102944221311</v>
      </c>
      <c r="AV894" s="11">
        <f t="shared" si="85"/>
        <v>351</v>
      </c>
      <c r="AW894" s="12">
        <f>IF($H894="Cancelled","",IFERROR(IF(AV894="","",(T894*INDEX(Variables!$B$7:$D$7,IFERROR(MATCH(IF($B894="Robusta","Robusta",(IF($B894="","Arabica",$B894))&amp;" - "&amp;(IF($C894="","Commercial",$C894))),Variables!$B$1:$D$1,0),1))*(AV894/365))+(T894*INDEX(Variables!$B$9:$D$9,IFERROR(MATCH(IF($B894="Robusta","Robusta",(IF($B894="","Arabica",$B894))&amp;" - "&amp;(IF($C894="","Commercial",$C894))),Variables!$B$1:$D$1,0),1))*(AV894/365))+(INDEX(Variables!$B$8:$D$8,IFERROR(MATCH(IF($B894="Robusta","Robusta",(IF($B894="","Arabica",$B894))&amp;" - "&amp;(IF($C894="","Commercial",$C894))),Variables!$B$1:$D$1,0),1))*L894/16.67)),""))</f>
        <v>241.55279928775698</v>
      </c>
      <c r="AX894" s="9"/>
      <c r="AY894" s="12"/>
      <c r="AZ894" s="10"/>
      <c r="BA894" s="9"/>
      <c r="BB894" s="10"/>
      <c r="BC894" s="9"/>
      <c r="BD894" s="9"/>
      <c r="BE894" s="9"/>
      <c r="BF894" s="9"/>
    </row>
    <row r="895" spans="1:58" x14ac:dyDescent="0.25">
      <c r="A895" s="9" t="s">
        <v>84</v>
      </c>
      <c r="B895" s="9" t="s">
        <v>85</v>
      </c>
      <c r="C895" s="9" t="s">
        <v>1486</v>
      </c>
      <c r="D895" s="10">
        <v>45691</v>
      </c>
      <c r="E895" s="10">
        <v>45689</v>
      </c>
      <c r="F895" s="10">
        <v>45716</v>
      </c>
      <c r="G895" s="9">
        <v>3786657</v>
      </c>
      <c r="H895" s="9" t="str">
        <f t="shared" si="83"/>
        <v>Closed</v>
      </c>
      <c r="I895" s="9" t="str">
        <f t="shared" si="84"/>
        <v>All dates received</v>
      </c>
      <c r="J895" s="9" t="s">
        <v>1895</v>
      </c>
      <c r="K895" s="9" t="s">
        <v>1916</v>
      </c>
      <c r="L895" s="11">
        <v>1</v>
      </c>
      <c r="M895" s="9" t="s">
        <v>1917</v>
      </c>
      <c r="N895" s="9"/>
      <c r="O895" s="9"/>
      <c r="P895" s="9"/>
      <c r="Q895" s="11">
        <v>131.1</v>
      </c>
      <c r="R895" s="9" t="s">
        <v>195</v>
      </c>
      <c r="S895" s="9" t="s">
        <v>1121</v>
      </c>
      <c r="T895" s="12">
        <f>IF($H895="Cancelled","",IFERROR(((Q895+INDEX(Variables!$B$6:$D$6,IFERROR(MATCH(IF($B895="Robusta","Robusta",(IF($B895="","Arabica",$B895))&amp;" - "&amp;(IF($C895="","Commercial",$C895))),Variables!$B$1:$D$1,0),1)))*22.0462)*(L895/16.67),""))</f>
        <v>557.96591361727644</v>
      </c>
      <c r="U895" s="10"/>
      <c r="V895" s="9" t="str">
        <f t="shared" si="86"/>
        <v/>
      </c>
      <c r="W895" s="10">
        <v>45673</v>
      </c>
      <c r="X895" s="9" t="str">
        <f t="shared" si="87"/>
        <v>Approved</v>
      </c>
      <c r="Y895" s="10">
        <v>45673</v>
      </c>
      <c r="Z895" s="10">
        <f>IF($H895="Cancelled","",IFERROR(IF(F895="","",F895-Variables!$B$13),""))</f>
        <v>45701</v>
      </c>
      <c r="AA895" s="11">
        <f>IF($H895="Cancelled","",IFERROR(IF(W895="","",(AVERAGE(E895:F895)-W895)-Variables!$B$14),""))</f>
        <v>-0.5</v>
      </c>
      <c r="AB895" s="10">
        <v>45720</v>
      </c>
      <c r="AC895" s="11">
        <f>IF($H895="Cancelled","",IFERROR(IF(AB895="","",IF(AND(W895="",Y895=""),"",IF(Y895&gt;W895,Y895+Variables!$B$15+Variables!$B$16+Variables!$B$17-AB895,W895+Variables!$B$16+Variables!$B$17-AB895))),""))</f>
        <v>-39</v>
      </c>
      <c r="AD895" s="9" t="s">
        <v>163</v>
      </c>
      <c r="AE895" s="9" t="s">
        <v>164</v>
      </c>
      <c r="AF895" s="10"/>
      <c r="AG895" s="10"/>
      <c r="AH895" s="9"/>
      <c r="AI895" s="9">
        <v>250897783</v>
      </c>
      <c r="AJ895" s="9" t="s">
        <v>8</v>
      </c>
      <c r="AK895" s="10">
        <v>45365</v>
      </c>
      <c r="AL895" s="10">
        <v>45734</v>
      </c>
      <c r="AM895" s="10">
        <v>45742</v>
      </c>
      <c r="AN895" s="9" t="s">
        <v>1492</v>
      </c>
      <c r="AO895" s="9"/>
      <c r="AP895" s="11">
        <f>IF($H895="Cancelled","",IFERROR(IF(OR(AK895="",AB895=""),"",(AB895+Variables!$B$18-AK895)),""))</f>
        <v>362</v>
      </c>
      <c r="AQ895" s="11">
        <f>IF($H895="Cancelled","",IFERROR(IF(OR(AM895="",AK895=""),"",(AK895+Variables!$B$19)-AM895),""))</f>
        <v>-372</v>
      </c>
      <c r="AR895" s="12">
        <f>IF($H895="Cancelled","",IFERROR(T895*INDEX(Variables!$B$7:$D$7,IFERROR(MATCH(IF($B895="Robusta","Robusta",(IF($B895="","Arabica",$B895))&amp;" - "&amp;(IF($C895="","Commercial",$C895))),Variables!$B$1:$D$1,0),1))*(AQ895/365),""))</f>
        <v>-36.668875354080335</v>
      </c>
      <c r="AS895" s="12">
        <f>IF($H895="Cancelled","",IFERROR((T895*INDEX(Variables!$B$7:$D$7,IFERROR(MATCH(IF($B895="Robusta","Robusta",(IF($B895="","Arabica",$B895))&amp;" - "&amp;(IF($C895="","Commercial",$C895))),Variables!$B$1:$D$1,0),1))*IFERROR(IF(W895="","",(AVERAGE(E895:F895)-W895)-Variables!$B$14),"")/365)+(L895/16.67*INDEX(Variables!$B$8:$D$8,IFERROR(MATCH(IF($B895="Robusta","Robusta",(IF($B895="","Arabica",$B895))&amp;" - "&amp;(IF($C895="","Commercial",$C895))),Variables!$B$1:$D$1,0),1))*IFERROR(IF(W895="","",(AVERAGE(E895:F895)-W895)-Variables!$B$14),""))+(T895*INDEX(Variables!$B$9:$D$9,IFERROR(MATCH(IF($B895="Robusta","Robusta",(IF($B895="","Arabica",$B895))&amp;" - "&amp;(IF($C895="","Commercial",$C895))),Variables!$B$1:$D$1,0),1))*IFERROR(IF(W895="","",(AVERAGE(E895:F895)-W895)-Variables!$B$14),"")/365),""))</f>
        <v>-7.4921516026084906E-2</v>
      </c>
      <c r="AT895" s="12">
        <f>IF($H895="Cancelled","",IFERROR((T895*INDEX(Variables!$B$7:$D$7,IFERROR(MATCH(IF($B895="Robusta","Robusta",(IF($B895="","Arabica",$B895))&amp;" - "&amp;(IF($C895="","Commercial",$C895))),Variables!$B$1:$D$1,0),1))*AC895/365)+(L895/16.67*INDEX(Variables!$B$8:$D$8,IFERROR(MATCH(IF($B895="Robusta","Robusta",(IF($B895="","Arabica",$B895))&amp;" - "&amp;(IF($C895="","Commercial",$C895))),Variables!$B$1:$D$1,0),1))*AC895)+(T895*INDEX(Variables!$B$9:$D$9,IFERROR(MATCH(IF($B895="Robusta","Robusta",(IF($B895="","Arabica",$B895))&amp;" - "&amp;(IF($C895="","Commercial",$C895))),Variables!$B$1:$D$1,0),1))*AC895/365),""))</f>
        <v>-5.8438782500346234</v>
      </c>
      <c r="AU895" s="12">
        <f>IF($H895="Cancelled","",IFERROR((T895*INDEX(Variables!$B$7:$D$7,IFERROR(MATCH(IF($B895="Robusta","Robusta",(IF($B895="","Arabica",$B895))&amp;" - "&amp;(IF($C895="","Commercial",$C895))),Variables!$B$1:$D$1,0),1))*AP895/365)+(L895/16.67*INDEX(Variables!$B$8:$D$8,IFERROR(MATCH(IF($B895="Robusta","Robusta",(IF($B895="","Arabica",$B895))&amp;" - "&amp;(IF($C895="","Commercial",$C895))),Variables!$B$1:$D$1,0),1))*AP895)+(T895*INDEX(Variables!$B$9:$D$9,IFERROR(MATCH(IF($B895="Robusta","Robusta",(IF($B895="","Arabica",$B895))&amp;" - "&amp;(IF($C895="","Commercial",$C895))),Variables!$B$1:$D$1,0),1))*AP895/365),""))</f>
        <v>54.243177602885474</v>
      </c>
      <c r="AV895" s="11">
        <f t="shared" si="85"/>
        <v>351</v>
      </c>
      <c r="AW895" s="12">
        <f>IF($H895="Cancelled","",IFERROR(IF(AV895="","",(T895*INDEX(Variables!$B$7:$D$7,IFERROR(MATCH(IF($B895="Robusta","Robusta",(IF($B895="","Arabica",$B895))&amp;" - "&amp;(IF($C895="","Commercial",$C895))),Variables!$B$1:$D$1,0),1))*(AV895/365))+(T895*INDEX(Variables!$B$9:$D$9,IFERROR(MATCH(IF($B895="Robusta","Robusta",(IF($B895="","Arabica",$B895))&amp;" - "&amp;(IF($C895="","Commercial",$C895))),Variables!$B$1:$D$1,0),1))*(AV895/365))+(INDEX(Variables!$B$8:$D$8,IFERROR(MATCH(IF($B895="Robusta","Robusta",(IF($B895="","Arabica",$B895))&amp;" - "&amp;(IF($C895="","Commercial",$C895))),Variables!$B$1:$D$1,0),1))*L895/16.67)),""))</f>
        <v>35.094904250311608</v>
      </c>
      <c r="AX895" s="9"/>
      <c r="AY895" s="12"/>
      <c r="AZ895" s="10"/>
      <c r="BA895" s="9"/>
      <c r="BB895" s="10"/>
      <c r="BC895" s="9"/>
      <c r="BD895" s="9"/>
      <c r="BE895" s="9"/>
      <c r="BF895" s="9"/>
    </row>
    <row r="896" spans="1:58" x14ac:dyDescent="0.25">
      <c r="A896" s="9" t="s">
        <v>84</v>
      </c>
      <c r="B896" s="9" t="s">
        <v>85</v>
      </c>
      <c r="C896" s="9" t="s">
        <v>1486</v>
      </c>
      <c r="D896" s="10">
        <v>45693</v>
      </c>
      <c r="E896" s="10">
        <v>45689</v>
      </c>
      <c r="F896" s="10">
        <v>45716</v>
      </c>
      <c r="G896" s="9">
        <v>3786674</v>
      </c>
      <c r="H896" s="9" t="str">
        <f t="shared" si="83"/>
        <v>Closed</v>
      </c>
      <c r="I896" s="9" t="str">
        <f t="shared" si="84"/>
        <v>All dates received</v>
      </c>
      <c r="J896" s="9" t="s">
        <v>1895</v>
      </c>
      <c r="K896" s="9" t="s">
        <v>1918</v>
      </c>
      <c r="L896" s="11">
        <v>5</v>
      </c>
      <c r="M896" s="9" t="s">
        <v>1919</v>
      </c>
      <c r="N896" s="9"/>
      <c r="O896" s="9"/>
      <c r="P896" s="9"/>
      <c r="Q896" s="11">
        <v>74.099999999999994</v>
      </c>
      <c r="R896" s="9" t="s">
        <v>195</v>
      </c>
      <c r="S896" s="9" t="s">
        <v>1121</v>
      </c>
      <c r="T896" s="12">
        <f>IF($H896="Cancelled","",IFERROR(((Q896+INDEX(Variables!$B$6:$D$6,IFERROR(MATCH(IF($B896="Robusta","Robusta",(IF($B896="","Arabica",$B896))&amp;" - "&amp;(IF($C896="","Commercial",$C896))),Variables!$B$1:$D$1,0),1)))*22.0462)*(L896/16.67),""))</f>
        <v>2412.9149310137968</v>
      </c>
      <c r="U896" s="10"/>
      <c r="V896" s="9" t="str">
        <f t="shared" si="86"/>
        <v/>
      </c>
      <c r="W896" s="10">
        <v>45673</v>
      </c>
      <c r="X896" s="9" t="str">
        <f t="shared" si="87"/>
        <v>Approved</v>
      </c>
      <c r="Y896" s="10">
        <v>45673</v>
      </c>
      <c r="Z896" s="10">
        <f>IF($H896="Cancelled","",IFERROR(IF(F896="","",F896-Variables!$B$13),""))</f>
        <v>45701</v>
      </c>
      <c r="AA896" s="11">
        <f>IF($H896="Cancelled","",IFERROR(IF(W896="","",(AVERAGE(E896:F896)-W896)-Variables!$B$14),""))</f>
        <v>-0.5</v>
      </c>
      <c r="AB896" s="10">
        <v>45720</v>
      </c>
      <c r="AC896" s="11">
        <f>IF($H896="Cancelled","",IFERROR(IF(AB896="","",IF(AND(W896="",Y896=""),"",IF(Y896&gt;W896,Y896+Variables!$B$15+Variables!$B$16+Variables!$B$17-AB896,W896+Variables!$B$16+Variables!$B$17-AB896))),""))</f>
        <v>-39</v>
      </c>
      <c r="AD896" s="9" t="s">
        <v>163</v>
      </c>
      <c r="AE896" s="9" t="s">
        <v>164</v>
      </c>
      <c r="AF896" s="10"/>
      <c r="AG896" s="10"/>
      <c r="AH896" s="9"/>
      <c r="AI896" s="9">
        <v>250897783</v>
      </c>
      <c r="AJ896" s="9" t="s">
        <v>8</v>
      </c>
      <c r="AK896" s="10">
        <v>45365</v>
      </c>
      <c r="AL896" s="10">
        <v>45734</v>
      </c>
      <c r="AM896" s="10">
        <v>45742</v>
      </c>
      <c r="AN896" s="9" t="s">
        <v>1492</v>
      </c>
      <c r="AO896" s="9"/>
      <c r="AP896" s="11">
        <f>IF($H896="Cancelled","",IFERROR(IF(OR(AK896="",AB896=""),"",(AB896+Variables!$B$18-AK896)),""))</f>
        <v>362</v>
      </c>
      <c r="AQ896" s="11">
        <f>IF($H896="Cancelled","",IFERROR(IF(OR(AM896="",AK896=""),"",(AK896+Variables!$B$19)-AM896),""))</f>
        <v>-372</v>
      </c>
      <c r="AR896" s="12">
        <f>IF($H896="Cancelled","",IFERROR(T896*INDEX(Variables!$B$7:$D$7,IFERROR(MATCH(IF($B896="Robusta","Robusta",(IF($B896="","Arabica",$B896))&amp;" - "&amp;(IF($C896="","Commercial",$C896))),Variables!$B$1:$D$1,0),1))*(AQ896/365),""))</f>
        <v>-158.57398218421326</v>
      </c>
      <c r="AS896" s="12">
        <f>IF($H896="Cancelled","",IFERROR((T896*INDEX(Variables!$B$7:$D$7,IFERROR(MATCH(IF($B896="Robusta","Robusta",(IF($B896="","Arabica",$B896))&amp;" - "&amp;(IF($C896="","Commercial",$C896))),Variables!$B$1:$D$1,0),1))*IFERROR(IF(W896="","",(AVERAGE(E896:F896)-W896)-Variables!$B$14),"")/365)+(L896/16.67*INDEX(Variables!$B$8:$D$8,IFERROR(MATCH(IF($B896="Robusta","Robusta",(IF($B896="","Arabica",$B896))&amp;" - "&amp;(IF($C896="","Commercial",$C896))),Variables!$B$1:$D$1,0),1))*IFERROR(IF(W896="","",(AVERAGE(E896:F896)-W896)-Variables!$B$14),""))+(T896*INDEX(Variables!$B$9:$D$9,IFERROR(MATCH(IF($B896="Robusta","Robusta",(IF($B896="","Arabica",$B896))&amp;" - "&amp;(IF($C896="","Commercial",$C896))),Variables!$B$1:$D$1,0),1))*IFERROR(IF(W896="","",(AVERAGE(E896:F896)-W896)-Variables!$B$14),"")/365),""))</f>
        <v>-0.34088482102297207</v>
      </c>
      <c r="AT896" s="12">
        <f>IF($H896="Cancelled","",IFERROR((T896*INDEX(Variables!$B$7:$D$7,IFERROR(MATCH(IF($B896="Robusta","Robusta",(IF($B896="","Arabica",$B896))&amp;" - "&amp;(IF($C896="","Commercial",$C896))),Variables!$B$1:$D$1,0),1))*AC896/365)+(L896/16.67*INDEX(Variables!$B$8:$D$8,IFERROR(MATCH(IF($B896="Robusta","Robusta",(IF($B896="","Arabica",$B896))&amp;" - "&amp;(IF($C896="","Commercial",$C896))),Variables!$B$1:$D$1,0),1))*AC896)+(T896*INDEX(Variables!$B$9:$D$9,IFERROR(MATCH(IF($B896="Robusta","Robusta",(IF($B896="","Arabica",$B896))&amp;" - "&amp;(IF($C896="","Commercial",$C896))),Variables!$B$1:$D$1,0),1))*AC896/365),""))</f>
        <v>-26.589016039791819</v>
      </c>
      <c r="AU896" s="12">
        <f>IF($H896="Cancelled","",IFERROR((T896*INDEX(Variables!$B$7:$D$7,IFERROR(MATCH(IF($B896="Robusta","Robusta",(IF($B896="","Arabica",$B896))&amp;" - "&amp;(IF($C896="","Commercial",$C896))),Variables!$B$1:$D$1,0),1))*AP896/365)+(L896/16.67*INDEX(Variables!$B$8:$D$8,IFERROR(MATCH(IF($B896="Robusta","Robusta",(IF($B896="","Arabica",$B896))&amp;" - "&amp;(IF($C896="","Commercial",$C896))),Variables!$B$1:$D$1,0),1))*AP896)+(T896*INDEX(Variables!$B$9:$D$9,IFERROR(MATCH(IF($B896="Robusta","Robusta",(IF($B896="","Arabica",$B896))&amp;" - "&amp;(IF($C896="","Commercial",$C896))),Variables!$B$1:$D$1,0),1))*AP896/365),""))</f>
        <v>246.80061042063178</v>
      </c>
      <c r="AV896" s="11">
        <f t="shared" si="85"/>
        <v>351</v>
      </c>
      <c r="AW896" s="12">
        <f>IF($H896="Cancelled","",IFERROR(IF(AV896="","",(T896*INDEX(Variables!$B$7:$D$7,IFERROR(MATCH(IF($B896="Robusta","Robusta",(IF($B896="","Arabica",$B896))&amp;" - "&amp;(IF($C896="","Commercial",$C896))),Variables!$B$1:$D$1,0),1))*(AV896/365))+(T896*INDEX(Variables!$B$9:$D$9,IFERROR(MATCH(IF($B896="Robusta","Robusta",(IF($B896="","Arabica",$B896))&amp;" - "&amp;(IF($C896="","Commercial",$C896))),Variables!$B$1:$D$1,0),1))*(AV896/365))+(INDEX(Variables!$B$8:$D$8,IFERROR(MATCH(IF($B896="Robusta","Robusta",(IF($B896="","Arabica",$B896))&amp;" - "&amp;(IF($C896="","Commercial",$C896))),Variables!$B$1:$D$1,0),1))*L896/16.67)),""))</f>
        <v>151.80114435812641</v>
      </c>
      <c r="AX896" s="9"/>
      <c r="AY896" s="12"/>
      <c r="AZ896" s="10"/>
      <c r="BA896" s="9"/>
      <c r="BB896" s="10"/>
      <c r="BC896" s="9"/>
      <c r="BD896" s="9"/>
      <c r="BE896" s="9"/>
      <c r="BF896" s="9"/>
    </row>
    <row r="897" spans="1:58" x14ac:dyDescent="0.25">
      <c r="A897" s="9" t="s">
        <v>84</v>
      </c>
      <c r="B897" s="9" t="s">
        <v>85</v>
      </c>
      <c r="C897" s="9" t="s">
        <v>1486</v>
      </c>
      <c r="D897" s="10">
        <v>45695</v>
      </c>
      <c r="E897" s="10">
        <v>45689</v>
      </c>
      <c r="F897" s="10">
        <v>45716</v>
      </c>
      <c r="G897" s="9">
        <v>3786696</v>
      </c>
      <c r="H897" s="9" t="str">
        <f t="shared" si="83"/>
        <v>Closed</v>
      </c>
      <c r="I897" s="9" t="str">
        <f t="shared" si="84"/>
        <v>All dates received</v>
      </c>
      <c r="J897" s="9" t="s">
        <v>1895</v>
      </c>
      <c r="K897" s="9" t="s">
        <v>1920</v>
      </c>
      <c r="L897" s="11">
        <v>2</v>
      </c>
      <c r="M897" s="9" t="s">
        <v>1921</v>
      </c>
      <c r="N897" s="9"/>
      <c r="O897" s="9"/>
      <c r="P897" s="9"/>
      <c r="Q897" s="11">
        <v>96.1</v>
      </c>
      <c r="R897" s="9" t="s">
        <v>195</v>
      </c>
      <c r="S897" s="9" t="s">
        <v>1121</v>
      </c>
      <c r="T897" s="12">
        <f>IF($H897="Cancelled","",IFERROR(((Q897+INDEX(Variables!$B$6:$D$6,IFERROR(MATCH(IF($B897="Robusta","Robusta",(IF($B897="","Arabica",$B897))&amp;" - "&amp;(IF($C897="","Commercial",$C897))),Variables!$B$1:$D$1,0),1)))*22.0462)*(L897/16.67),""))</f>
        <v>1023.3563023395319</v>
      </c>
      <c r="U897" s="10"/>
      <c r="V897" s="9" t="str">
        <f t="shared" si="86"/>
        <v/>
      </c>
      <c r="W897" s="10">
        <v>45673</v>
      </c>
      <c r="X897" s="9" t="str">
        <f t="shared" si="87"/>
        <v>Approved</v>
      </c>
      <c r="Y897" s="10">
        <v>45673</v>
      </c>
      <c r="Z897" s="10">
        <f>IF($H897="Cancelled","",IFERROR(IF(F897="","",F897-Variables!$B$13),""))</f>
        <v>45701</v>
      </c>
      <c r="AA897" s="11">
        <f>IF($H897="Cancelled","",IFERROR(IF(W897="","",(AVERAGE(E897:F897)-W897)-Variables!$B$14),""))</f>
        <v>-0.5</v>
      </c>
      <c r="AB897" s="10">
        <v>45720</v>
      </c>
      <c r="AC897" s="11">
        <f>IF($H897="Cancelled","",IFERROR(IF(AB897="","",IF(AND(W897="",Y897=""),"",IF(Y897&gt;W897,Y897+Variables!$B$15+Variables!$B$16+Variables!$B$17-AB897,W897+Variables!$B$16+Variables!$B$17-AB897))),""))</f>
        <v>-39</v>
      </c>
      <c r="AD897" s="9" t="s">
        <v>163</v>
      </c>
      <c r="AE897" s="9" t="s">
        <v>164</v>
      </c>
      <c r="AF897" s="10"/>
      <c r="AG897" s="10"/>
      <c r="AH897" s="9"/>
      <c r="AI897" s="9">
        <v>250897783</v>
      </c>
      <c r="AJ897" s="9" t="s">
        <v>8</v>
      </c>
      <c r="AK897" s="10">
        <v>45365</v>
      </c>
      <c r="AL897" s="10">
        <v>45734</v>
      </c>
      <c r="AM897" s="10">
        <v>45742</v>
      </c>
      <c r="AN897" s="9" t="s">
        <v>1492</v>
      </c>
      <c r="AO897" s="9"/>
      <c r="AP897" s="11">
        <f>IF($H897="Cancelled","",IFERROR(IF(OR(AK897="",AB897=""),"",(AB897+Variables!$B$18-AK897)),""))</f>
        <v>362</v>
      </c>
      <c r="AQ897" s="11">
        <f>IF($H897="Cancelled","",IFERROR(IF(OR(AM897="",AK897=""),"",(AK897+Variables!$B$19)-AM897),""))</f>
        <v>-372</v>
      </c>
      <c r="AR897" s="12">
        <f>IF($H897="Cancelled","",IFERROR(T897*INDEX(Variables!$B$7:$D$7,IFERROR(MATCH(IF($B897="Robusta","Robusta",(IF($B897="","Arabica",$B897))&amp;" - "&amp;(IF($C897="","Commercial",$C897))),Variables!$B$1:$D$1,0),1))*(AQ897/365),""))</f>
        <v>-67.253794143131941</v>
      </c>
      <c r="AS897" s="12">
        <f>IF($H897="Cancelled","",IFERROR((T897*INDEX(Variables!$B$7:$D$7,IFERROR(MATCH(IF($B897="Robusta","Robusta",(IF($B897="","Arabica",$B897))&amp;" - "&amp;(IF($C897="","Commercial",$C897))),Variables!$B$1:$D$1,0),1))*IFERROR(IF(W897="","",(AVERAGE(E897:F897)-W897)-Variables!$B$14),"")/365)+(L897/16.67*INDEX(Variables!$B$8:$D$8,IFERROR(MATCH(IF($B897="Robusta","Robusta",(IF($B897="","Arabica",$B897))&amp;" - "&amp;(IF($C897="","Commercial",$C897))),Variables!$B$1:$D$1,0),1))*IFERROR(IF(W897="","",(AVERAGE(E897:F897)-W897)-Variables!$B$14),""))+(T897*INDEX(Variables!$B$9:$D$9,IFERROR(MATCH(IF($B897="Robusta","Robusta",(IF($B897="","Arabica",$B897))&amp;" - "&amp;(IF($C897="","Commercial",$C897))),Variables!$B$1:$D$1,0),1))*IFERROR(IF(W897="","",(AVERAGE(E897:F897)-W897)-Variables!$B$14),"")/365),""))</f>
        <v>-0.14156024911349732</v>
      </c>
      <c r="AT897" s="12">
        <f>IF($H897="Cancelled","",IFERROR((T897*INDEX(Variables!$B$7:$D$7,IFERROR(MATCH(IF($B897="Robusta","Robusta",(IF($B897="","Arabica",$B897))&amp;" - "&amp;(IF($C897="","Commercial",$C897))),Variables!$B$1:$D$1,0),1))*AC897/365)+(L897/16.67*INDEX(Variables!$B$8:$D$8,IFERROR(MATCH(IF($B897="Robusta","Robusta",(IF($B897="","Arabica",$B897))&amp;" - "&amp;(IF($C897="","Commercial",$C897))),Variables!$B$1:$D$1,0),1))*AC897)+(T897*INDEX(Variables!$B$9:$D$9,IFERROR(MATCH(IF($B897="Robusta","Robusta",(IF($B897="","Arabica",$B897))&amp;" - "&amp;(IF($C897="","Commercial",$C897))),Variables!$B$1:$D$1,0),1))*AC897/365),""))</f>
        <v>-11.041699430852789</v>
      </c>
      <c r="AU897" s="12">
        <f>IF($H897="Cancelled","",IFERROR((T897*INDEX(Variables!$B$7:$D$7,IFERROR(MATCH(IF($B897="Robusta","Robusta",(IF($B897="","Arabica",$B897))&amp;" - "&amp;(IF($C897="","Commercial",$C897))),Variables!$B$1:$D$1,0),1))*AP897/365)+(L897/16.67*INDEX(Variables!$B$8:$D$8,IFERROR(MATCH(IF($B897="Robusta","Robusta",(IF($B897="","Arabica",$B897))&amp;" - "&amp;(IF($C897="","Commercial",$C897))),Variables!$B$1:$D$1,0),1))*AP897)+(T897*INDEX(Variables!$B$9:$D$9,IFERROR(MATCH(IF($B897="Robusta","Robusta",(IF($B897="","Arabica",$B897))&amp;" - "&amp;(IF($C897="","Commercial",$C897))),Variables!$B$1:$D$1,0),1))*AP897/365),""))</f>
        <v>102.48962035817205</v>
      </c>
      <c r="AV897" s="11">
        <f t="shared" si="85"/>
        <v>351</v>
      </c>
      <c r="AW897" s="12">
        <f>IF($H897="Cancelled","",IFERROR(IF(AV897="","",(T897*INDEX(Variables!$B$7:$D$7,IFERROR(MATCH(IF($B897="Robusta","Robusta",(IF($B897="","Arabica",$B897))&amp;" - "&amp;(IF($C897="","Commercial",$C897))),Variables!$B$1:$D$1,0),1))*(AV897/365))+(T897*INDEX(Variables!$B$9:$D$9,IFERROR(MATCH(IF($B897="Robusta","Robusta",(IF($B897="","Arabica",$B897))&amp;" - "&amp;(IF($C897="","Commercial",$C897))),Variables!$B$1:$D$1,0),1))*(AV897/365))+(INDEX(Variables!$B$8:$D$8,IFERROR(MATCH(IF($B897="Robusta","Robusta",(IF($B897="","Arabica",$B897))&amp;" - "&amp;(IF($C897="","Commercial",$C897))),Variables!$B$1:$D$1,0),1))*L897/16.67)),""))</f>
        <v>64.375294877675103</v>
      </c>
      <c r="AX897" s="9"/>
      <c r="AY897" s="12"/>
      <c r="AZ897" s="10"/>
      <c r="BA897" s="9"/>
      <c r="BB897" s="10"/>
      <c r="BC897" s="9"/>
      <c r="BD897" s="9"/>
      <c r="BE897" s="9"/>
      <c r="BF897" s="9"/>
    </row>
    <row r="898" spans="1:58" x14ac:dyDescent="0.25">
      <c r="A898" s="9" t="s">
        <v>84</v>
      </c>
      <c r="B898" s="9" t="s">
        <v>85</v>
      </c>
      <c r="C898" s="9" t="s">
        <v>1486</v>
      </c>
      <c r="D898" s="10">
        <v>45695</v>
      </c>
      <c r="E898" s="10">
        <v>45698</v>
      </c>
      <c r="F898" s="10">
        <v>45716</v>
      </c>
      <c r="G898" s="9">
        <v>3786675</v>
      </c>
      <c r="H898" s="9" t="str">
        <f t="shared" ref="H898:H961" si="88">IF(ISNUMBER(SEARCH("cancel",AN898)),"Cancelled",IF(AND(AK898&lt;&gt;"",AL898&lt;&gt;"",AM898&lt;&gt;""),"Closed","Open"))</f>
        <v>Closed</v>
      </c>
      <c r="I898" s="9" t="str">
        <f t="shared" ref="I898:I961" si="89">IF(AND(AK898&lt;&gt;"",AL898&lt;&gt;"",AM898&lt;&gt;""),"All dates received",_xlfn.TEXTJOIN(" and ",TRUE(),IF(AK898="","No sailing date",""),IF(AL898="","No shipping advice sent",""),IF(AM898="","No docs dispatch date","")))</f>
        <v>All dates received</v>
      </c>
      <c r="J898" s="9" t="s">
        <v>718</v>
      </c>
      <c r="K898" s="9" t="s">
        <v>1922</v>
      </c>
      <c r="L898" s="11">
        <v>50</v>
      </c>
      <c r="M898" s="9" t="s">
        <v>1923</v>
      </c>
      <c r="N898" s="9"/>
      <c r="O898" s="9"/>
      <c r="P898" s="9"/>
      <c r="Q898" s="11">
        <v>122.1</v>
      </c>
      <c r="R898" s="9" t="s">
        <v>195</v>
      </c>
      <c r="S898" s="9" t="s">
        <v>207</v>
      </c>
      <c r="T898" s="12">
        <f>IF($H898="Cancelled","",IFERROR(((Q898+INDEX(Variables!$B$6:$D$6,IFERROR(MATCH(IF($B898="Robusta","Robusta",(IF($B898="","Arabica",$B898))&amp;" - "&amp;(IF($C898="","Commercial",$C898))),Variables!$B$1:$D$1,0),1)))*22.0462)*(L898/16.67),""))</f>
        <v>27303.167306538686</v>
      </c>
      <c r="U898" s="10"/>
      <c r="V898" s="9" t="str">
        <f t="shared" si="86"/>
        <v/>
      </c>
      <c r="W898" s="10">
        <v>45673</v>
      </c>
      <c r="X898" s="9" t="str">
        <f t="shared" si="87"/>
        <v>Approved</v>
      </c>
      <c r="Y898" s="10">
        <v>45673</v>
      </c>
      <c r="Z898" s="10">
        <f>IF($H898="Cancelled","",IFERROR(IF(F898="","",F898-Variables!$B$13),""))</f>
        <v>45701</v>
      </c>
      <c r="AA898" s="11">
        <f>IF($H898="Cancelled","",IFERROR(IF(W898="","",(AVERAGE(E898:F898)-W898)-Variables!$B$14),""))</f>
        <v>4</v>
      </c>
      <c r="AB898" s="10">
        <v>45722</v>
      </c>
      <c r="AC898" s="11">
        <f>IF($H898="Cancelled","",IFERROR(IF(AB898="","",IF(AND(W898="",Y898=""),"",IF(Y898&gt;W898,Y898+Variables!$B$15+Variables!$B$16+Variables!$B$17-AB898,W898+Variables!$B$16+Variables!$B$17-AB898))),""))</f>
        <v>-41</v>
      </c>
      <c r="AD898" s="9" t="s">
        <v>163</v>
      </c>
      <c r="AE898" s="9" t="s">
        <v>770</v>
      </c>
      <c r="AF898" s="10">
        <v>45732</v>
      </c>
      <c r="AG898" s="10"/>
      <c r="AH898" s="9"/>
      <c r="AI898" s="9">
        <v>250963916</v>
      </c>
      <c r="AJ898" s="9" t="s">
        <v>8</v>
      </c>
      <c r="AK898" s="10">
        <v>45733</v>
      </c>
      <c r="AL898" s="10">
        <v>45734</v>
      </c>
      <c r="AM898" s="10">
        <v>45377</v>
      </c>
      <c r="AN898" s="9" t="s">
        <v>1492</v>
      </c>
      <c r="AO898" s="9"/>
      <c r="AP898" s="11">
        <f>IF($H898="Cancelled","",IFERROR(IF(OR(AK898="",AB898=""),"",(AB898+Variables!$B$18-AK898)),""))</f>
        <v>-4</v>
      </c>
      <c r="AQ898" s="11">
        <f>IF($H898="Cancelled","",IFERROR(IF(OR(AM898="",AK898=""),"",(AK898+Variables!$B$19)-AM898),""))</f>
        <v>361</v>
      </c>
      <c r="AR898" s="12">
        <f>IF($H898="Cancelled","",IFERROR(T898*INDEX(Variables!$B$7:$D$7,IFERROR(MATCH(IF($B898="Robusta","Robusta",(IF($B898="","Arabica",$B898))&amp;" - "&amp;(IF($C898="","Commercial",$C898))),Variables!$B$1:$D$1,0),1))*(AQ898/365),""))</f>
        <v>1741.2743957715663</v>
      </c>
      <c r="AS898" s="12">
        <f>IF($H898="Cancelled","",IFERROR((T898*INDEX(Variables!$B$7:$D$7,IFERROR(MATCH(IF($B898="Robusta","Robusta",(IF($B898="","Arabica",$B898))&amp;" - "&amp;(IF($C898="","Commercial",$C898))),Variables!$B$1:$D$1,0),1))*IFERROR(IF(W898="","",(AVERAGE(E898:F898)-W898)-Variables!$B$14),"")/365)+(L898/16.67*INDEX(Variables!$B$8:$D$8,IFERROR(MATCH(IF($B898="Robusta","Robusta",(IF($B898="","Arabica",$B898))&amp;" - "&amp;(IF($C898="","Commercial",$C898))),Variables!$B$1:$D$1,0),1))*IFERROR(IF(W898="","",(AVERAGE(E898:F898)-W898)-Variables!$B$14),""))+(T898*INDEX(Variables!$B$9:$D$9,IFERROR(MATCH(IF($B898="Robusta","Robusta",(IF($B898="","Arabica",$B898))&amp;" - "&amp;(IF($C898="","Commercial",$C898))),Variables!$B$1:$D$1,0),1))*IFERROR(IF(W898="","",(AVERAGE(E898:F898)-W898)-Variables!$B$14),"")/365),""))</f>
        <v>29.54263471644509</v>
      </c>
      <c r="AT898" s="12">
        <f>IF($H898="Cancelled","",IFERROR((T898*INDEX(Variables!$B$7:$D$7,IFERROR(MATCH(IF($B898="Robusta","Robusta",(IF($B898="","Arabica",$B898))&amp;" - "&amp;(IF($C898="","Commercial",$C898))),Variables!$B$1:$D$1,0),1))*AC898/365)+(L898/16.67*INDEX(Variables!$B$8:$D$8,IFERROR(MATCH(IF($B898="Robusta","Robusta",(IF($B898="","Arabica",$B898))&amp;" - "&amp;(IF($C898="","Commercial",$C898))),Variables!$B$1:$D$1,0),1))*AC898)+(T898*INDEX(Variables!$B$9:$D$9,IFERROR(MATCH(IF($B898="Robusta","Robusta",(IF($B898="","Arabica",$B898))&amp;" - "&amp;(IF($C898="","Commercial",$C898))),Variables!$B$1:$D$1,0),1))*AC898/365),""))</f>
        <v>-302.81200584356219</v>
      </c>
      <c r="AU898" s="12">
        <f>IF($H898="Cancelled","",IFERROR((T898*INDEX(Variables!$B$7:$D$7,IFERROR(MATCH(IF($B898="Robusta","Robusta",(IF($B898="","Arabica",$B898))&amp;" - "&amp;(IF($C898="","Commercial",$C898))),Variables!$B$1:$D$1,0),1))*AP898/365)+(L898/16.67*INDEX(Variables!$B$8:$D$8,IFERROR(MATCH(IF($B898="Robusta","Robusta",(IF($B898="","Arabica",$B898))&amp;" - "&amp;(IF($C898="","Commercial",$C898))),Variables!$B$1:$D$1,0),1))*AP898)+(T898*INDEX(Variables!$B$9:$D$9,IFERROR(MATCH(IF($B898="Robusta","Robusta",(IF($B898="","Arabica",$B898))&amp;" - "&amp;(IF($C898="","Commercial",$C898))),Variables!$B$1:$D$1,0),1))*AP898/365),""))</f>
        <v>-29.54263471644509</v>
      </c>
      <c r="AV898" s="11">
        <f t="shared" ref="AV898:AV961" si="90">IF($H898="Cancelled","",IFERROR(IF(AK898="","",F898-AK898),""))</f>
        <v>-17</v>
      </c>
      <c r="AW898" s="12">
        <f>IF($H898="Cancelled","",IFERROR(IF(AV898="","",(T898*INDEX(Variables!$B$7:$D$7,IFERROR(MATCH(IF($B898="Robusta","Robusta",(IF($B898="","Arabica",$B898))&amp;" - "&amp;(IF($C898="","Commercial",$C898))),Variables!$B$1:$D$1,0),1))*(AV898/365))+(T898*INDEX(Variables!$B$9:$D$9,IFERROR(MATCH(IF($B898="Robusta","Robusta",(IF($B898="","Arabica",$B898))&amp;" - "&amp;(IF($C898="","Commercial",$C898))),Variables!$B$1:$D$1,0),1))*(AV898/365))+(INDEX(Variables!$B$8:$D$8,IFERROR(MATCH(IF($B898="Robusta","Robusta",(IF($B898="","Arabica",$B898))&amp;" - "&amp;(IF($C898="","Commercial",$C898))),Variables!$B$1:$D$1,0),1))*L898/16.67)),""))</f>
        <v>-80.556197544891631</v>
      </c>
      <c r="AX898" s="9"/>
      <c r="AY898" s="12"/>
      <c r="AZ898" s="10"/>
      <c r="BA898" s="9"/>
      <c r="BB898" s="10"/>
      <c r="BC898" s="9"/>
      <c r="BD898" s="9"/>
      <c r="BE898" s="9"/>
      <c r="BF898" s="9"/>
    </row>
    <row r="899" spans="1:58" x14ac:dyDescent="0.25">
      <c r="A899" s="9" t="s">
        <v>84</v>
      </c>
      <c r="B899" s="9" t="s">
        <v>85</v>
      </c>
      <c r="C899" s="9" t="s">
        <v>1486</v>
      </c>
      <c r="D899" s="10">
        <v>45695</v>
      </c>
      <c r="E899" s="10">
        <v>45698</v>
      </c>
      <c r="F899" s="10">
        <v>45716</v>
      </c>
      <c r="G899" s="9">
        <v>3786676</v>
      </c>
      <c r="H899" s="9" t="str">
        <f t="shared" si="88"/>
        <v>Closed</v>
      </c>
      <c r="I899" s="9" t="str">
        <f t="shared" si="89"/>
        <v>All dates received</v>
      </c>
      <c r="J899" s="9" t="s">
        <v>718</v>
      </c>
      <c r="K899" s="9" t="s">
        <v>1924</v>
      </c>
      <c r="L899" s="11">
        <v>25</v>
      </c>
      <c r="M899" s="9" t="s">
        <v>1925</v>
      </c>
      <c r="N899" s="9"/>
      <c r="O899" s="9"/>
      <c r="P899" s="9"/>
      <c r="Q899" s="11">
        <v>69.25</v>
      </c>
      <c r="R899" s="9" t="s">
        <v>195</v>
      </c>
      <c r="S899" s="9" t="s">
        <v>207</v>
      </c>
      <c r="T899" s="12">
        <f>IF($H899="Cancelled","",IFERROR(((Q899+INDEX(Variables!$B$6:$D$6,IFERROR(MATCH(IF($B899="Robusta","Robusta",(IF($B899="","Arabica",$B899))&amp;" - "&amp;(IF($C899="","Commercial",$C899))),Variables!$B$1:$D$1,0),1)))*22.0462)*(L899/16.67),""))</f>
        <v>11904.220620875823</v>
      </c>
      <c r="U899" s="10"/>
      <c r="V899" s="9" t="str">
        <f t="shared" si="86"/>
        <v/>
      </c>
      <c r="W899" s="10">
        <v>45673</v>
      </c>
      <c r="X899" s="9" t="str">
        <f t="shared" si="87"/>
        <v>Approved</v>
      </c>
      <c r="Y899" s="10">
        <v>45673</v>
      </c>
      <c r="Z899" s="10">
        <f>IF($H899="Cancelled","",IFERROR(IF(F899="","",F899-Variables!$B$13),""))</f>
        <v>45701</v>
      </c>
      <c r="AA899" s="11">
        <f>IF($H899="Cancelled","",IFERROR(IF(W899="","",(AVERAGE(E899:F899)-W899)-Variables!$B$14),""))</f>
        <v>4</v>
      </c>
      <c r="AB899" s="10">
        <v>45722</v>
      </c>
      <c r="AC899" s="11">
        <f>IF($H899="Cancelled","",IFERROR(IF(AB899="","",IF(AND(W899="",Y899=""),"",IF(Y899&gt;W899,Y899+Variables!$B$15+Variables!$B$16+Variables!$B$17-AB899,W899+Variables!$B$16+Variables!$B$17-AB899))),""))</f>
        <v>-41</v>
      </c>
      <c r="AD899" s="9" t="s">
        <v>163</v>
      </c>
      <c r="AE899" s="9" t="s">
        <v>770</v>
      </c>
      <c r="AF899" s="10">
        <v>45732</v>
      </c>
      <c r="AG899" s="10"/>
      <c r="AH899" s="9"/>
      <c r="AI899" s="9">
        <v>250963916</v>
      </c>
      <c r="AJ899" s="9" t="s">
        <v>8</v>
      </c>
      <c r="AK899" s="10">
        <v>45733</v>
      </c>
      <c r="AL899" s="10">
        <v>45734</v>
      </c>
      <c r="AM899" s="10">
        <v>45377</v>
      </c>
      <c r="AN899" s="9" t="s">
        <v>1492</v>
      </c>
      <c r="AO899" s="9"/>
      <c r="AP899" s="11">
        <f>IF($H899="Cancelled","",IFERROR(IF(OR(AK899="",AB899=""),"",(AB899+Variables!$B$18-AK899)),""))</f>
        <v>-4</v>
      </c>
      <c r="AQ899" s="11">
        <f>IF($H899="Cancelled","",IFERROR(IF(OR(AM899="",AK899=""),"",(AK899+Variables!$B$19)-AM899),""))</f>
        <v>361</v>
      </c>
      <c r="AR899" s="12">
        <f>IF($H899="Cancelled","",IFERROR(T899*INDEX(Variables!$B$7:$D$7,IFERROR(MATCH(IF($B899="Robusta","Robusta",(IF($B899="","Arabica",$B899))&amp;" - "&amp;(IF($C899="","Commercial",$C899))),Variables!$B$1:$D$1,0),1))*(AQ899/365),""))</f>
        <v>759.19816686552747</v>
      </c>
      <c r="AS899" s="12">
        <f>IF($H899="Cancelled","",IFERROR((T899*INDEX(Variables!$B$7:$D$7,IFERROR(MATCH(IF($B899="Robusta","Robusta",(IF($B899="","Arabica",$B899))&amp;" - "&amp;(IF($C899="","Commercial",$C899))),Variables!$B$1:$D$1,0),1))*IFERROR(IF(W899="","",(AVERAGE(E899:F899)-W899)-Variables!$B$14),"")/365)+(L899/16.67*INDEX(Variables!$B$8:$D$8,IFERROR(MATCH(IF($B899="Robusta","Robusta",(IF($B899="","Arabica",$B899))&amp;" - "&amp;(IF($C899="","Commercial",$C899))),Variables!$B$1:$D$1,0),1))*IFERROR(IF(W899="","",(AVERAGE(E899:F899)-W899)-Variables!$B$14),""))+(T899*INDEX(Variables!$B$9:$D$9,IFERROR(MATCH(IF($B899="Robusta","Robusta",(IF($B899="","Arabica",$B899))&amp;" - "&amp;(IF($C899="","Commercial",$C899))),Variables!$B$1:$D$1,0),1))*IFERROR(IF(W899="","",(AVERAGE(E899:F899)-W899)-Variables!$B$14),"")/365),""))</f>
        <v>13.520617134482993</v>
      </c>
      <c r="AT899" s="12">
        <f>IF($H899="Cancelled","",IFERROR((T899*INDEX(Variables!$B$7:$D$7,IFERROR(MATCH(IF($B899="Robusta","Robusta",(IF($B899="","Arabica",$B899))&amp;" - "&amp;(IF($C899="","Commercial",$C899))),Variables!$B$1:$D$1,0),1))*AC899/365)+(L899/16.67*INDEX(Variables!$B$8:$D$8,IFERROR(MATCH(IF($B899="Robusta","Robusta",(IF($B899="","Arabica",$B899))&amp;" - "&amp;(IF($C899="","Commercial",$C899))),Variables!$B$1:$D$1,0),1))*AC899)+(T899*INDEX(Variables!$B$9:$D$9,IFERROR(MATCH(IF($B899="Robusta","Robusta",(IF($B899="","Arabica",$B899))&amp;" - "&amp;(IF($C899="","Commercial",$C899))),Variables!$B$1:$D$1,0),1))*AC899/365),""))</f>
        <v>-138.58632562845068</v>
      </c>
      <c r="AU899" s="12">
        <f>IF($H899="Cancelled","",IFERROR((T899*INDEX(Variables!$B$7:$D$7,IFERROR(MATCH(IF($B899="Robusta","Robusta",(IF($B899="","Arabica",$B899))&amp;" - "&amp;(IF($C899="","Commercial",$C899))),Variables!$B$1:$D$1,0),1))*AP899/365)+(L899/16.67*INDEX(Variables!$B$8:$D$8,IFERROR(MATCH(IF($B899="Robusta","Robusta",(IF($B899="","Arabica",$B899))&amp;" - "&amp;(IF($C899="","Commercial",$C899))),Variables!$B$1:$D$1,0),1))*AP899)+(T899*INDEX(Variables!$B$9:$D$9,IFERROR(MATCH(IF($B899="Robusta","Robusta",(IF($B899="","Arabica",$B899))&amp;" - "&amp;(IF($C899="","Commercial",$C899))),Variables!$B$1:$D$1,0),1))*AP899/365),""))</f>
        <v>-13.520617134482993</v>
      </c>
      <c r="AV899" s="11">
        <f t="shared" si="90"/>
        <v>-17</v>
      </c>
      <c r="AW899" s="12">
        <f>IF($H899="Cancelled","",IFERROR(IF(AV899="","",(T899*INDEX(Variables!$B$7:$D$7,IFERROR(MATCH(IF($B899="Robusta","Robusta",(IF($B899="","Arabica",$B899))&amp;" - "&amp;(IF($C899="","Commercial",$C899))),Variables!$B$1:$D$1,0),1))*(AV899/365))+(T899*INDEX(Variables!$B$9:$D$9,IFERROR(MATCH(IF($B899="Robusta","Robusta",(IF($B899="","Arabica",$B899))&amp;" - "&amp;(IF($C899="","Commercial",$C899))),Variables!$B$1:$D$1,0),1))*(AV899/365))+(INDEX(Variables!$B$8:$D$8,IFERROR(MATCH(IF($B899="Robusta","Robusta",(IF($B899="","Arabica",$B899))&amp;" - "&amp;(IF($C899="","Commercial",$C899))),Variables!$B$1:$D$1,0),1))*L899/16.67)),""))</f>
        <v>-34.962622821552721</v>
      </c>
      <c r="AX899" s="9"/>
      <c r="AY899" s="12"/>
      <c r="AZ899" s="10"/>
      <c r="BA899" s="9"/>
      <c r="BB899" s="10"/>
      <c r="BC899" s="9"/>
      <c r="BD899" s="9"/>
      <c r="BE899" s="9"/>
      <c r="BF899" s="9"/>
    </row>
    <row r="900" spans="1:58" x14ac:dyDescent="0.25">
      <c r="A900" s="9" t="s">
        <v>84</v>
      </c>
      <c r="B900" s="9" t="s">
        <v>85</v>
      </c>
      <c r="C900" s="9" t="s">
        <v>1486</v>
      </c>
      <c r="D900" s="10">
        <v>45695</v>
      </c>
      <c r="E900" s="10">
        <v>45698</v>
      </c>
      <c r="F900" s="10">
        <v>45716</v>
      </c>
      <c r="G900" s="9">
        <v>3786677</v>
      </c>
      <c r="H900" s="9" t="str">
        <f t="shared" si="88"/>
        <v>Closed</v>
      </c>
      <c r="I900" s="9" t="str">
        <f t="shared" si="89"/>
        <v>All dates received</v>
      </c>
      <c r="J900" s="9" t="s">
        <v>718</v>
      </c>
      <c r="K900" s="9" t="s">
        <v>1926</v>
      </c>
      <c r="L900" s="11">
        <v>31</v>
      </c>
      <c r="M900" s="9" t="s">
        <v>1927</v>
      </c>
      <c r="N900" s="9"/>
      <c r="O900" s="9"/>
      <c r="P900" s="9"/>
      <c r="Q900" s="11">
        <v>104.25</v>
      </c>
      <c r="R900" s="9" t="s">
        <v>195</v>
      </c>
      <c r="S900" s="9" t="s">
        <v>207</v>
      </c>
      <c r="T900" s="12">
        <f>IF($H900="Cancelled","",IFERROR(((Q900+INDEX(Variables!$B$6:$D$6,IFERROR(MATCH(IF($B900="Robusta","Robusta",(IF($B900="","Arabica",$B900))&amp;" - "&amp;(IF($C900="","Commercial",$C900))),Variables!$B$1:$D$1,0),1)))*22.0462)*(L900/16.67),""))</f>
        <v>16196.154205758847</v>
      </c>
      <c r="U900" s="10"/>
      <c r="V900" s="9" t="str">
        <f t="shared" ref="V900:V963" si="91">IF(ISNUMBER(U900),"Sent","")</f>
        <v/>
      </c>
      <c r="W900" s="10">
        <v>45673</v>
      </c>
      <c r="X900" s="9" t="str">
        <f t="shared" si="87"/>
        <v>Approved</v>
      </c>
      <c r="Y900" s="10">
        <v>45673</v>
      </c>
      <c r="Z900" s="10">
        <f>IF($H900="Cancelled","",IFERROR(IF(F900="","",F900-Variables!$B$13),""))</f>
        <v>45701</v>
      </c>
      <c r="AA900" s="11">
        <f>IF($H900="Cancelled","",IFERROR(IF(W900="","",(AVERAGE(E900:F900)-W900)-Variables!$B$14),""))</f>
        <v>4</v>
      </c>
      <c r="AB900" s="10">
        <v>45722</v>
      </c>
      <c r="AC900" s="11">
        <f>IF($H900="Cancelled","",IFERROR(IF(AB900="","",IF(AND(W900="",Y900=""),"",IF(Y900&gt;W900,Y900+Variables!$B$15+Variables!$B$16+Variables!$B$17-AB900,W900+Variables!$B$16+Variables!$B$17-AB900))),""))</f>
        <v>-41</v>
      </c>
      <c r="AD900" s="9" t="s">
        <v>163</v>
      </c>
      <c r="AE900" s="9" t="s">
        <v>770</v>
      </c>
      <c r="AF900" s="10">
        <v>45732</v>
      </c>
      <c r="AG900" s="10"/>
      <c r="AH900" s="9"/>
      <c r="AI900" s="9">
        <v>250963916</v>
      </c>
      <c r="AJ900" s="9" t="s">
        <v>8</v>
      </c>
      <c r="AK900" s="10">
        <v>45733</v>
      </c>
      <c r="AL900" s="10">
        <v>45734</v>
      </c>
      <c r="AM900" s="10">
        <v>45377</v>
      </c>
      <c r="AN900" s="9" t="s">
        <v>1492</v>
      </c>
      <c r="AO900" s="9"/>
      <c r="AP900" s="11">
        <f>IF($H900="Cancelled","",IFERROR(IF(OR(AK900="",AB900=""),"",(AB900+Variables!$B$18-AK900)),""))</f>
        <v>-4</v>
      </c>
      <c r="AQ900" s="11">
        <f>IF($H900="Cancelled","",IFERROR(IF(OR(AM900="",AK900=""),"",(AK900+Variables!$B$19)-AM900),""))</f>
        <v>361</v>
      </c>
      <c r="AR900" s="12">
        <f>IF($H900="Cancelled","",IFERROR(T900*INDEX(Variables!$B$7:$D$7,IFERROR(MATCH(IF($B900="Robusta","Robusta",(IF($B900="","Arabica",$B900))&amp;" - "&amp;(IF($C900="","Commercial",$C900))),Variables!$B$1:$D$1,0),1))*(AQ900/365),""))</f>
        <v>1032.9185735788947</v>
      </c>
      <c r="AS900" s="12">
        <f>IF($H900="Cancelled","",IFERROR((T900*INDEX(Variables!$B$7:$D$7,IFERROR(MATCH(IF($B900="Robusta","Robusta",(IF($B900="","Arabica",$B900))&amp;" - "&amp;(IF($C900="","Commercial",$C900))),Variables!$B$1:$D$1,0),1))*IFERROR(IF(W900="","",(AVERAGE(E900:F900)-W900)-Variables!$B$14),"")/365)+(L900/16.67*INDEX(Variables!$B$8:$D$8,IFERROR(MATCH(IF($B900="Robusta","Robusta",(IF($B900="","Arabica",$B900))&amp;" - "&amp;(IF($C900="","Commercial",$C900))),Variables!$B$1:$D$1,0),1))*IFERROR(IF(W900="","",(AVERAGE(E900:F900)-W900)-Variables!$B$14),""))+(T900*INDEX(Variables!$B$9:$D$9,IFERROR(MATCH(IF($B900="Robusta","Robusta",(IF($B900="","Arabica",$B900))&amp;" - "&amp;(IF($C900="","Commercial",$C900))),Variables!$B$1:$D$1,0),1))*IFERROR(IF(W900="","",(AVERAGE(E900:F900)-W900)-Variables!$B$14),"")/365),""))</f>
        <v>17.792630331154307</v>
      </c>
      <c r="AT900" s="12">
        <f>IF($H900="Cancelled","",IFERROR((T900*INDEX(Variables!$B$7:$D$7,IFERROR(MATCH(IF($B900="Robusta","Robusta",(IF($B900="","Arabica",$B900))&amp;" - "&amp;(IF($C900="","Commercial",$C900))),Variables!$B$1:$D$1,0),1))*AC900/365)+(L900/16.67*INDEX(Variables!$B$8:$D$8,IFERROR(MATCH(IF($B900="Robusta","Robusta",(IF($B900="","Arabica",$B900))&amp;" - "&amp;(IF($C900="","Commercial",$C900))),Variables!$B$1:$D$1,0),1))*AC900)+(T900*INDEX(Variables!$B$9:$D$9,IFERROR(MATCH(IF($B900="Robusta","Robusta",(IF($B900="","Arabica",$B900))&amp;" - "&amp;(IF($C900="","Commercial",$C900))),Variables!$B$1:$D$1,0),1))*AC900/365),""))</f>
        <v>-182.37446089433166</v>
      </c>
      <c r="AU900" s="12">
        <f>IF($H900="Cancelled","",IFERROR((T900*INDEX(Variables!$B$7:$D$7,IFERROR(MATCH(IF($B900="Robusta","Robusta",(IF($B900="","Arabica",$B900))&amp;" - "&amp;(IF($C900="","Commercial",$C900))),Variables!$B$1:$D$1,0),1))*AP900/365)+(L900/16.67*INDEX(Variables!$B$8:$D$8,IFERROR(MATCH(IF($B900="Robusta","Robusta",(IF($B900="","Arabica",$B900))&amp;" - "&amp;(IF($C900="","Commercial",$C900))),Variables!$B$1:$D$1,0),1))*AP900)+(T900*INDEX(Variables!$B$9:$D$9,IFERROR(MATCH(IF($B900="Robusta","Robusta",(IF($B900="","Arabica",$B900))&amp;" - "&amp;(IF($C900="","Commercial",$C900))),Variables!$B$1:$D$1,0),1))*AP900/365),""))</f>
        <v>-17.792630331154307</v>
      </c>
      <c r="AV900" s="11">
        <f t="shared" si="90"/>
        <v>-17</v>
      </c>
      <c r="AW900" s="12">
        <f>IF($H900="Cancelled","",IFERROR(IF(AV900="","",(T900*INDEX(Variables!$B$7:$D$7,IFERROR(MATCH(IF($B900="Robusta","Robusta",(IF($B900="","Arabica",$B900))&amp;" - "&amp;(IF($C900="","Commercial",$C900))),Variables!$B$1:$D$1,0),1))*(AV900/365))+(T900*INDEX(Variables!$B$9:$D$9,IFERROR(MATCH(IF($B900="Robusta","Robusta",(IF($B900="","Arabica",$B900))&amp;" - "&amp;(IF($C900="","Commercial",$C900))),Variables!$B$1:$D$1,0),1))*(AV900/365))+(INDEX(Variables!$B$8:$D$8,IFERROR(MATCH(IF($B900="Robusta","Robusta",(IF($B900="","Arabica",$B900))&amp;" - "&amp;(IF($C900="","Commercial",$C900))),Variables!$B$1:$D$1,0),1))*L900/16.67)),""))</f>
        <v>-47.71867890740581</v>
      </c>
      <c r="AX900" s="9"/>
      <c r="AY900" s="12"/>
      <c r="AZ900" s="10"/>
      <c r="BA900" s="9"/>
      <c r="BB900" s="10"/>
      <c r="BC900" s="9"/>
      <c r="BD900" s="9"/>
      <c r="BE900" s="9"/>
      <c r="BF900" s="9"/>
    </row>
    <row r="901" spans="1:58" x14ac:dyDescent="0.25">
      <c r="A901" s="9" t="s">
        <v>84</v>
      </c>
      <c r="B901" s="9" t="s">
        <v>85</v>
      </c>
      <c r="C901" s="9" t="s">
        <v>1486</v>
      </c>
      <c r="D901" s="10">
        <v>45695</v>
      </c>
      <c r="E901" s="10">
        <v>45698</v>
      </c>
      <c r="F901" s="10">
        <v>45716</v>
      </c>
      <c r="G901" s="9">
        <v>3786678</v>
      </c>
      <c r="H901" s="9" t="str">
        <f t="shared" si="88"/>
        <v>Closed</v>
      </c>
      <c r="I901" s="9" t="str">
        <f t="shared" si="89"/>
        <v>All dates received</v>
      </c>
      <c r="J901" s="9" t="s">
        <v>718</v>
      </c>
      <c r="K901" s="9" t="s">
        <v>1928</v>
      </c>
      <c r="L901" s="11">
        <v>30</v>
      </c>
      <c r="M901" s="9" t="s">
        <v>1929</v>
      </c>
      <c r="N901" s="9"/>
      <c r="O901" s="9"/>
      <c r="P901" s="9"/>
      <c r="Q901" s="11">
        <v>72.25</v>
      </c>
      <c r="R901" s="9" t="s">
        <v>195</v>
      </c>
      <c r="S901" s="9" t="s">
        <v>207</v>
      </c>
      <c r="T901" s="12">
        <f>IF($H901="Cancelled","",IFERROR(((Q901+INDEX(Variables!$B$6:$D$6,IFERROR(MATCH(IF($B901="Robusta","Robusta",(IF($B901="","Arabica",$B901))&amp;" - "&amp;(IF($C901="","Commercial",$C901))),Variables!$B$1:$D$1,0),1)))*22.0462)*(L901/16.67),""))</f>
        <v>14404.090419916016</v>
      </c>
      <c r="U901" s="10"/>
      <c r="V901" s="9" t="str">
        <f t="shared" si="91"/>
        <v/>
      </c>
      <c r="W901" s="10">
        <v>45673</v>
      </c>
      <c r="X901" s="9" t="str">
        <f t="shared" si="87"/>
        <v>Approved</v>
      </c>
      <c r="Y901" s="10">
        <v>45673</v>
      </c>
      <c r="Z901" s="10">
        <f>IF($H901="Cancelled","",IFERROR(IF(F901="","",F901-Variables!$B$13),""))</f>
        <v>45701</v>
      </c>
      <c r="AA901" s="11">
        <f>IF($H901="Cancelled","",IFERROR(IF(W901="","",(AVERAGE(E901:F901)-W901)-Variables!$B$14),""))</f>
        <v>4</v>
      </c>
      <c r="AB901" s="10">
        <v>45722</v>
      </c>
      <c r="AC901" s="11">
        <f>IF($H901="Cancelled","",IFERROR(IF(AB901="","",IF(AND(W901="",Y901=""),"",IF(Y901&gt;W901,Y901+Variables!$B$15+Variables!$B$16+Variables!$B$17-AB901,W901+Variables!$B$16+Variables!$B$17-AB901))),""))</f>
        <v>-41</v>
      </c>
      <c r="AD901" s="9" t="s">
        <v>163</v>
      </c>
      <c r="AE901" s="9" t="s">
        <v>770</v>
      </c>
      <c r="AF901" s="10">
        <v>45732</v>
      </c>
      <c r="AG901" s="10"/>
      <c r="AH901" s="9"/>
      <c r="AI901" s="9">
        <v>250963916</v>
      </c>
      <c r="AJ901" s="9" t="s">
        <v>8</v>
      </c>
      <c r="AK901" s="10">
        <v>45733</v>
      </c>
      <c r="AL901" s="10">
        <v>45734</v>
      </c>
      <c r="AM901" s="10">
        <v>45377</v>
      </c>
      <c r="AN901" s="9" t="s">
        <v>1492</v>
      </c>
      <c r="AO901" s="9"/>
      <c r="AP901" s="11">
        <f>IF($H901="Cancelled","",IFERROR(IF(OR(AK901="",AB901=""),"",(AB901+Variables!$B$18-AK901)),""))</f>
        <v>-4</v>
      </c>
      <c r="AQ901" s="11">
        <f>IF($H901="Cancelled","",IFERROR(IF(OR(AM901="",AK901=""),"",(AK901+Variables!$B$19)-AM901),""))</f>
        <v>361</v>
      </c>
      <c r="AR901" s="12">
        <f>IF($H901="Cancelled","",IFERROR(T901*INDEX(Variables!$B$7:$D$7,IFERROR(MATCH(IF($B901="Robusta","Robusta",(IF($B901="","Arabica",$B901))&amp;" - "&amp;(IF($C901="","Commercial",$C901))),Variables!$B$1:$D$1,0),1))*(AQ901/365),""))</f>
        <v>918.62872761181973</v>
      </c>
      <c r="AS901" s="12">
        <f>IF($H901="Cancelled","",IFERROR((T901*INDEX(Variables!$B$7:$D$7,IFERROR(MATCH(IF($B901="Robusta","Robusta",(IF($B901="","Arabica",$B901))&amp;" - "&amp;(IF($C901="","Commercial",$C901))),Variables!$B$1:$D$1,0),1))*IFERROR(IF(W901="","",(AVERAGE(E901:F901)-W901)-Variables!$B$14),"")/365)+(L901/16.67*INDEX(Variables!$B$8:$D$8,IFERROR(MATCH(IF($B901="Robusta","Robusta",(IF($B901="","Arabica",$B901))&amp;" - "&amp;(IF($C901="","Commercial",$C901))),Variables!$B$1:$D$1,0),1))*IFERROR(IF(W901="","",(AVERAGE(E901:F901)-W901)-Variables!$B$14),""))+(T901*INDEX(Variables!$B$9:$D$9,IFERROR(MATCH(IF($B901="Robusta","Robusta",(IF($B901="","Arabica",$B901))&amp;" - "&amp;(IF($C901="","Commercial",$C901))),Variables!$B$1:$D$1,0),1))*IFERROR(IF(W901="","",(AVERAGE(E901:F901)-W901)-Variables!$B$14),"")/365),""))</f>
        <v>16.309934900177364</v>
      </c>
      <c r="AT901" s="12">
        <f>IF($H901="Cancelled","",IFERROR((T901*INDEX(Variables!$B$7:$D$7,IFERROR(MATCH(IF($B901="Robusta","Robusta",(IF($B901="","Arabica",$B901))&amp;" - "&amp;(IF($C901="","Commercial",$C901))),Variables!$B$1:$D$1,0),1))*AC901/365)+(L901/16.67*INDEX(Variables!$B$8:$D$8,IFERROR(MATCH(IF($B901="Robusta","Robusta",(IF($B901="","Arabica",$B901))&amp;" - "&amp;(IF($C901="","Commercial",$C901))),Variables!$B$1:$D$1,0),1))*AC901)+(T901*INDEX(Variables!$B$9:$D$9,IFERROR(MATCH(IF($B901="Robusta","Robusta",(IF($B901="","Arabica",$B901))&amp;" - "&amp;(IF($C901="","Commercial",$C901))),Variables!$B$1:$D$1,0),1))*AC901/365),""))</f>
        <v>-167.17683272681802</v>
      </c>
      <c r="AU901" s="12">
        <f>IF($H901="Cancelled","",IFERROR((T901*INDEX(Variables!$B$7:$D$7,IFERROR(MATCH(IF($B901="Robusta","Robusta",(IF($B901="","Arabica",$B901))&amp;" - "&amp;(IF($C901="","Commercial",$C901))),Variables!$B$1:$D$1,0),1))*AP901/365)+(L901/16.67*INDEX(Variables!$B$8:$D$8,IFERROR(MATCH(IF($B901="Robusta","Robusta",(IF($B901="","Arabica",$B901))&amp;" - "&amp;(IF($C901="","Commercial",$C901))),Variables!$B$1:$D$1,0),1))*AP901)+(T901*INDEX(Variables!$B$9:$D$9,IFERROR(MATCH(IF($B901="Robusta","Robusta",(IF($B901="","Arabica",$B901))&amp;" - "&amp;(IF($C901="","Commercial",$C901))),Variables!$B$1:$D$1,0),1))*AP901/365),""))</f>
        <v>-16.309934900177364</v>
      </c>
      <c r="AV901" s="11">
        <f t="shared" si="90"/>
        <v>-17</v>
      </c>
      <c r="AW901" s="12">
        <f>IF($H901="Cancelled","",IFERROR(IF(AV901="","",(T901*INDEX(Variables!$B$7:$D$7,IFERROR(MATCH(IF($B901="Robusta","Robusta",(IF($B901="","Arabica",$B901))&amp;" - "&amp;(IF($C901="","Commercial",$C901))),Variables!$B$1:$D$1,0),1))*(AV901/365))+(T901*INDEX(Variables!$B$9:$D$9,IFERROR(MATCH(IF($B901="Robusta","Robusta",(IF($B901="","Arabica",$B901))&amp;" - "&amp;(IF($C901="","Commercial",$C901))),Variables!$B$1:$D$1,0),1))*(AV901/365))+(INDEX(Variables!$B$8:$D$8,IFERROR(MATCH(IF($B901="Robusta","Robusta",(IF($B901="","Arabica",$B901))&amp;" - "&amp;(IF($C901="","Commercial",$C901))),Variables!$B$1:$D$1,0),1))*L901/16.67)),""))</f>
        <v>-42.317223325753808</v>
      </c>
      <c r="AX901" s="9"/>
      <c r="AY901" s="12"/>
      <c r="AZ901" s="10"/>
      <c r="BA901" s="9"/>
      <c r="BB901" s="10"/>
      <c r="BC901" s="9"/>
      <c r="BD901" s="9"/>
      <c r="BE901" s="9"/>
      <c r="BF901" s="9"/>
    </row>
    <row r="902" spans="1:58" x14ac:dyDescent="0.25">
      <c r="A902" s="9" t="s">
        <v>84</v>
      </c>
      <c r="B902" s="9" t="s">
        <v>85</v>
      </c>
      <c r="C902" s="9" t="s">
        <v>1486</v>
      </c>
      <c r="D902" s="10">
        <v>45695</v>
      </c>
      <c r="E902" s="10">
        <v>45698</v>
      </c>
      <c r="F902" s="10">
        <v>45716</v>
      </c>
      <c r="G902" s="9">
        <v>3786679</v>
      </c>
      <c r="H902" s="9" t="str">
        <f t="shared" si="88"/>
        <v>Closed</v>
      </c>
      <c r="I902" s="9" t="str">
        <f t="shared" si="89"/>
        <v>All dates received</v>
      </c>
      <c r="J902" s="9" t="s">
        <v>718</v>
      </c>
      <c r="K902" s="9" t="s">
        <v>1930</v>
      </c>
      <c r="L902" s="11">
        <v>25</v>
      </c>
      <c r="M902" s="9" t="s">
        <v>1931</v>
      </c>
      <c r="N902" s="9"/>
      <c r="O902" s="9"/>
      <c r="P902" s="9"/>
      <c r="Q902" s="11">
        <v>102.25</v>
      </c>
      <c r="R902" s="9" t="s">
        <v>195</v>
      </c>
      <c r="S902" s="9" t="s">
        <v>207</v>
      </c>
      <c r="T902" s="12">
        <f>IF($H902="Cancelled","",IFERROR(((Q902+INDEX(Variables!$B$6:$D$6,IFERROR(MATCH(IF($B902="Robusta","Robusta",(IF($B902="","Arabica",$B902))&amp;" - "&amp;(IF($C902="","Commercial",$C902))),Variables!$B$1:$D$1,0),1)))*22.0462)*(L902/16.67),""))</f>
        <v>12995.289307138572</v>
      </c>
      <c r="U902" s="10"/>
      <c r="V902" s="9" t="str">
        <f t="shared" si="91"/>
        <v/>
      </c>
      <c r="W902" s="10">
        <v>45673</v>
      </c>
      <c r="X902" s="9" t="str">
        <f t="shared" si="87"/>
        <v>Approved</v>
      </c>
      <c r="Y902" s="10">
        <v>45673</v>
      </c>
      <c r="Z902" s="10">
        <f>IF($H902="Cancelled","",IFERROR(IF(F902="","",F902-Variables!$B$13),""))</f>
        <v>45701</v>
      </c>
      <c r="AA902" s="11">
        <f>IF($H902="Cancelled","",IFERROR(IF(W902="","",(AVERAGE(E902:F902)-W902)-Variables!$B$14),""))</f>
        <v>4</v>
      </c>
      <c r="AB902" s="10">
        <v>45722</v>
      </c>
      <c r="AC902" s="11">
        <f>IF($H902="Cancelled","",IFERROR(IF(AB902="","",IF(AND(W902="",Y902=""),"",IF(Y902&gt;W902,Y902+Variables!$B$15+Variables!$B$16+Variables!$B$17-AB902,W902+Variables!$B$16+Variables!$B$17-AB902))),""))</f>
        <v>-41</v>
      </c>
      <c r="AD902" s="9" t="s">
        <v>163</v>
      </c>
      <c r="AE902" s="9" t="s">
        <v>770</v>
      </c>
      <c r="AF902" s="10">
        <v>45732</v>
      </c>
      <c r="AG902" s="10"/>
      <c r="AH902" s="9"/>
      <c r="AI902" s="9">
        <v>250963916</v>
      </c>
      <c r="AJ902" s="9" t="s">
        <v>8</v>
      </c>
      <c r="AK902" s="10">
        <v>45733</v>
      </c>
      <c r="AL902" s="10">
        <v>45734</v>
      </c>
      <c r="AM902" s="10">
        <v>45377</v>
      </c>
      <c r="AN902" s="9" t="s">
        <v>1492</v>
      </c>
      <c r="AO902" s="9"/>
      <c r="AP902" s="11">
        <f>IF($H902="Cancelled","",IFERROR(IF(OR(AK902="",AB902=""),"",(AB902+Variables!$B$18-AK902)),""))</f>
        <v>-4</v>
      </c>
      <c r="AQ902" s="11">
        <f>IF($H902="Cancelled","",IFERROR(IF(OR(AM902="",AK902=""),"",(AK902+Variables!$B$19)-AM902),""))</f>
        <v>361</v>
      </c>
      <c r="AR902" s="12">
        <f>IF($H902="Cancelled","",IFERROR(T902*INDEX(Variables!$B$7:$D$7,IFERROR(MATCH(IF($B902="Robusta","Robusta",(IF($B902="","Arabica",$B902))&amp;" - "&amp;(IF($C902="","Commercial",$C902))),Variables!$B$1:$D$1,0),1))*(AQ902/365),""))</f>
        <v>828.78166778640627</v>
      </c>
      <c r="AS902" s="12">
        <f>IF($H902="Cancelled","",IFERROR((T902*INDEX(Variables!$B$7:$D$7,IFERROR(MATCH(IF($B902="Robusta","Robusta",(IF($B902="","Arabica",$B902))&amp;" - "&amp;(IF($C902="","Commercial",$C902))),Variables!$B$1:$D$1,0),1))*IFERROR(IF(W902="","",(AVERAGE(E902:F902)-W902)-Variables!$B$14),"")/365)+(L902/16.67*INDEX(Variables!$B$8:$D$8,IFERROR(MATCH(IF($B902="Robusta","Robusta",(IF($B902="","Arabica",$B902))&amp;" - "&amp;(IF($C902="","Commercial",$C902))),Variables!$B$1:$D$1,0),1))*IFERROR(IF(W902="","",(AVERAGE(E902:F902)-W902)-Variables!$B$14),""))+(T902*INDEX(Variables!$B$9:$D$9,IFERROR(MATCH(IF($B902="Robusta","Robusta",(IF($B902="","Arabica",$B902))&amp;" - "&amp;(IF($C902="","Commercial",$C902))),Variables!$B$1:$D$1,0),1))*IFERROR(IF(W902="","",(AVERAGE(E902:F902)-W902)-Variables!$B$14),"")/365),""))</f>
        <v>14.301565240129262</v>
      </c>
      <c r="AT902" s="12">
        <f>IF($H902="Cancelled","",IFERROR((T902*INDEX(Variables!$B$7:$D$7,IFERROR(MATCH(IF($B902="Robusta","Robusta",(IF($B902="","Arabica",$B902))&amp;" - "&amp;(IF($C902="","Commercial",$C902))),Variables!$B$1:$D$1,0),1))*AC902/365)+(L902/16.67*INDEX(Variables!$B$8:$D$8,IFERROR(MATCH(IF($B902="Robusta","Robusta",(IF($B902="","Arabica",$B902))&amp;" - "&amp;(IF($C902="","Commercial",$C902))),Variables!$B$1:$D$1,0),1))*AC902)+(T902*INDEX(Variables!$B$9:$D$9,IFERROR(MATCH(IF($B902="Robusta","Robusta",(IF($B902="","Arabica",$B902))&amp;" - "&amp;(IF($C902="","Commercial",$C902))),Variables!$B$1:$D$1,0),1))*AC902/365),""))</f>
        <v>-146.59104371132494</v>
      </c>
      <c r="AU902" s="12">
        <f>IF($H902="Cancelled","",IFERROR((T902*INDEX(Variables!$B$7:$D$7,IFERROR(MATCH(IF($B902="Robusta","Robusta",(IF($B902="","Arabica",$B902))&amp;" - "&amp;(IF($C902="","Commercial",$C902))),Variables!$B$1:$D$1,0),1))*AP902/365)+(L902/16.67*INDEX(Variables!$B$8:$D$8,IFERROR(MATCH(IF($B902="Robusta","Robusta",(IF($B902="","Arabica",$B902))&amp;" - "&amp;(IF($C902="","Commercial",$C902))),Variables!$B$1:$D$1,0),1))*AP902)+(T902*INDEX(Variables!$B$9:$D$9,IFERROR(MATCH(IF($B902="Robusta","Robusta",(IF($B902="","Arabica",$B902))&amp;" - "&amp;(IF($C902="","Commercial",$C902))),Variables!$B$1:$D$1,0),1))*AP902/365),""))</f>
        <v>-14.301565240129262</v>
      </c>
      <c r="AV902" s="11">
        <f t="shared" si="90"/>
        <v>-17</v>
      </c>
      <c r="AW902" s="12">
        <f>IF($H902="Cancelled","",IFERROR(IF(AV902="","",(T902*INDEX(Variables!$B$7:$D$7,IFERROR(MATCH(IF($B902="Robusta","Robusta",(IF($B902="","Arabica",$B902))&amp;" - "&amp;(IF($C902="","Commercial",$C902))),Variables!$B$1:$D$1,0),1))*(AV902/365))+(T902*INDEX(Variables!$B$9:$D$9,IFERROR(MATCH(IF($B902="Robusta","Robusta",(IF($B902="","Arabica",$B902))&amp;" - "&amp;(IF($C902="","Commercial",$C902))),Variables!$B$1:$D$1,0),1))*(AV902/365))+(INDEX(Variables!$B$8:$D$8,IFERROR(MATCH(IF($B902="Robusta","Robusta",(IF($B902="","Arabica",$B902))&amp;" - "&amp;(IF($C902="","Commercial",$C902))),Variables!$B$1:$D$1,0),1))*L902/16.67)),""))</f>
        <v>-38.281652270549372</v>
      </c>
      <c r="AX902" s="9"/>
      <c r="AY902" s="12"/>
      <c r="AZ902" s="10"/>
      <c r="BA902" s="9"/>
      <c r="BB902" s="10"/>
      <c r="BC902" s="9"/>
      <c r="BD902" s="9"/>
      <c r="BE902" s="9"/>
      <c r="BF902" s="9"/>
    </row>
    <row r="903" spans="1:58" x14ac:dyDescent="0.25">
      <c r="A903" s="9" t="s">
        <v>84</v>
      </c>
      <c r="B903" s="9" t="s">
        <v>85</v>
      </c>
      <c r="C903" s="9" t="s">
        <v>1486</v>
      </c>
      <c r="D903" s="10">
        <v>45695</v>
      </c>
      <c r="E903" s="10">
        <v>45698</v>
      </c>
      <c r="F903" s="10">
        <v>45716</v>
      </c>
      <c r="G903" s="9">
        <v>3786680</v>
      </c>
      <c r="H903" s="9" t="str">
        <f t="shared" si="88"/>
        <v>Closed</v>
      </c>
      <c r="I903" s="9" t="str">
        <f t="shared" si="89"/>
        <v>All dates received</v>
      </c>
      <c r="J903" s="9" t="s">
        <v>718</v>
      </c>
      <c r="K903" s="9" t="s">
        <v>1932</v>
      </c>
      <c r="L903" s="11">
        <v>30</v>
      </c>
      <c r="M903" s="9" t="s">
        <v>1933</v>
      </c>
      <c r="N903" s="9"/>
      <c r="O903" s="9"/>
      <c r="P903" s="9"/>
      <c r="Q903" s="11">
        <v>87.25</v>
      </c>
      <c r="R903" s="9" t="s">
        <v>195</v>
      </c>
      <c r="S903" s="9" t="s">
        <v>207</v>
      </c>
      <c r="T903" s="12">
        <f>IF($H903="Cancelled","",IFERROR(((Q903+INDEX(Variables!$B$6:$D$6,IFERROR(MATCH(IF($B903="Robusta","Robusta",(IF($B903="","Arabica",$B903))&amp;" - "&amp;(IF($C903="","Commercial",$C903))),Variables!$B$1:$D$1,0),1)))*22.0462)*(L903/16.67),""))</f>
        <v>14999.218794241149</v>
      </c>
      <c r="U903" s="10"/>
      <c r="V903" s="9" t="str">
        <f t="shared" si="91"/>
        <v/>
      </c>
      <c r="W903" s="10">
        <v>45673</v>
      </c>
      <c r="X903" s="9" t="str">
        <f t="shared" si="87"/>
        <v>Approved</v>
      </c>
      <c r="Y903" s="10">
        <v>45673</v>
      </c>
      <c r="Z903" s="10">
        <f>IF($H903="Cancelled","",IFERROR(IF(F903="","",F903-Variables!$B$13),""))</f>
        <v>45701</v>
      </c>
      <c r="AA903" s="11">
        <f>IF($H903="Cancelled","",IFERROR(IF(W903="","",(AVERAGE(E903:F903)-W903)-Variables!$B$14),""))</f>
        <v>4</v>
      </c>
      <c r="AB903" s="10">
        <v>45722</v>
      </c>
      <c r="AC903" s="11">
        <f>IF($H903="Cancelled","",IFERROR(IF(AB903="","",IF(AND(W903="",Y903=""),"",IF(Y903&gt;W903,Y903+Variables!$B$15+Variables!$B$16+Variables!$B$17-AB903,W903+Variables!$B$16+Variables!$B$17-AB903))),""))</f>
        <v>-41</v>
      </c>
      <c r="AD903" s="9" t="s">
        <v>163</v>
      </c>
      <c r="AE903" s="9" t="s">
        <v>770</v>
      </c>
      <c r="AF903" s="10">
        <v>45732</v>
      </c>
      <c r="AG903" s="10"/>
      <c r="AH903" s="9"/>
      <c r="AI903" s="9">
        <v>250963916</v>
      </c>
      <c r="AJ903" s="9" t="s">
        <v>8</v>
      </c>
      <c r="AK903" s="10">
        <v>45733</v>
      </c>
      <c r="AL903" s="10">
        <v>45734</v>
      </c>
      <c r="AM903" s="10">
        <v>45377</v>
      </c>
      <c r="AN903" s="9" t="s">
        <v>1492</v>
      </c>
      <c r="AO903" s="9"/>
      <c r="AP903" s="11">
        <f>IF($H903="Cancelled","",IFERROR(IF(OR(AK903="",AB903=""),"",(AB903+Variables!$B$18-AK903)),""))</f>
        <v>-4</v>
      </c>
      <c r="AQ903" s="11">
        <f>IF($H903="Cancelled","",IFERROR(IF(OR(AM903="",AK903=""),"",(AK903+Variables!$B$19)-AM903),""))</f>
        <v>361</v>
      </c>
      <c r="AR903" s="12">
        <f>IF($H903="Cancelled","",IFERROR(T903*INDEX(Variables!$B$7:$D$7,IFERROR(MATCH(IF($B903="Robusta","Robusta",(IF($B903="","Arabica",$B903))&amp;" - "&amp;(IF($C903="","Commercial",$C903))),Variables!$B$1:$D$1,0),1))*(AQ903/365),""))</f>
        <v>956.58336447775355</v>
      </c>
      <c r="AS903" s="12">
        <f>IF($H903="Cancelled","",IFERROR((T903*INDEX(Variables!$B$7:$D$7,IFERROR(MATCH(IF($B903="Robusta","Robusta",(IF($B903="","Arabica",$B903))&amp;" - "&amp;(IF($C903="","Commercial",$C903))),Variables!$B$1:$D$1,0),1))*IFERROR(IF(W903="","",(AVERAGE(E903:F903)-W903)-Variables!$B$14),"")/365)+(L903/16.67*INDEX(Variables!$B$8:$D$8,IFERROR(MATCH(IF($B903="Robusta","Robusta",(IF($B903="","Arabica",$B903))&amp;" - "&amp;(IF($C903="","Commercial",$C903))),Variables!$B$1:$D$1,0),1))*IFERROR(IF(W903="","",(AVERAGE(E903:F903)-W903)-Variables!$B$14),""))+(T903*INDEX(Variables!$B$9:$D$9,IFERROR(MATCH(IF($B903="Robusta","Robusta",(IF($B903="","Arabica",$B903))&amp;" - "&amp;(IF($C903="","Commercial",$C903))),Variables!$B$1:$D$1,0),1))*IFERROR(IF(W903="","",(AVERAGE(E903:F903)-W903)-Variables!$B$14),"")/365),""))</f>
        <v>16.735906594166238</v>
      </c>
      <c r="AT903" s="12">
        <f>IF($H903="Cancelled","",IFERROR((T903*INDEX(Variables!$B$7:$D$7,IFERROR(MATCH(IF($B903="Robusta","Robusta",(IF($B903="","Arabica",$B903))&amp;" - "&amp;(IF($C903="","Commercial",$C903))),Variables!$B$1:$D$1,0),1))*AC903/365)+(L903/16.67*INDEX(Variables!$B$8:$D$8,IFERROR(MATCH(IF($B903="Robusta","Robusta",(IF($B903="","Arabica",$B903))&amp;" - "&amp;(IF($C903="","Commercial",$C903))),Variables!$B$1:$D$1,0),1))*AC903)+(T903*INDEX(Variables!$B$9:$D$9,IFERROR(MATCH(IF($B903="Robusta","Robusta",(IF($B903="","Arabica",$B903))&amp;" - "&amp;(IF($C903="","Commercial",$C903))),Variables!$B$1:$D$1,0),1))*AC903/365),""))</f>
        <v>-171.54304259020395</v>
      </c>
      <c r="AU903" s="12">
        <f>IF($H903="Cancelled","",IFERROR((T903*INDEX(Variables!$B$7:$D$7,IFERROR(MATCH(IF($B903="Robusta","Robusta",(IF($B903="","Arabica",$B903))&amp;" - "&amp;(IF($C903="","Commercial",$C903))),Variables!$B$1:$D$1,0),1))*AP903/365)+(L903/16.67*INDEX(Variables!$B$8:$D$8,IFERROR(MATCH(IF($B903="Robusta","Robusta",(IF($B903="","Arabica",$B903))&amp;" - "&amp;(IF($C903="","Commercial",$C903))),Variables!$B$1:$D$1,0),1))*AP903)+(T903*INDEX(Variables!$B$9:$D$9,IFERROR(MATCH(IF($B903="Robusta","Robusta",(IF($B903="","Arabica",$B903))&amp;" - "&amp;(IF($C903="","Commercial",$C903))),Variables!$B$1:$D$1,0),1))*AP903/365),""))</f>
        <v>-16.735906594166238</v>
      </c>
      <c r="AV903" s="11">
        <f t="shared" si="90"/>
        <v>-17</v>
      </c>
      <c r="AW903" s="12">
        <f>IF($H903="Cancelled","",IFERROR(IF(AV903="","",(T903*INDEX(Variables!$B$7:$D$7,IFERROR(MATCH(IF($B903="Robusta","Robusta",(IF($B903="","Arabica",$B903))&amp;" - "&amp;(IF($C903="","Commercial",$C903))),Variables!$B$1:$D$1,0),1))*(AV903/365))+(T903*INDEX(Variables!$B$9:$D$9,IFERROR(MATCH(IF($B903="Robusta","Robusta",(IF($B903="","Arabica",$B903))&amp;" - "&amp;(IF($C903="","Commercial",$C903))),Variables!$B$1:$D$1,0),1))*(AV903/365))+(INDEX(Variables!$B$8:$D$8,IFERROR(MATCH(IF($B903="Robusta","Robusta",(IF($B903="","Arabica",$B903))&amp;" - "&amp;(IF($C903="","Commercial",$C903))),Variables!$B$1:$D$1,0),1))*L903/16.67)),""))</f>
        <v>-44.127603025206518</v>
      </c>
      <c r="AX903" s="9"/>
      <c r="AY903" s="12"/>
      <c r="AZ903" s="10"/>
      <c r="BA903" s="9"/>
      <c r="BB903" s="10"/>
      <c r="BC903" s="9"/>
      <c r="BD903" s="9"/>
      <c r="BE903" s="9"/>
      <c r="BF903" s="9"/>
    </row>
    <row r="904" spans="1:58" x14ac:dyDescent="0.25">
      <c r="A904" s="9" t="s">
        <v>84</v>
      </c>
      <c r="B904" s="9" t="s">
        <v>85</v>
      </c>
      <c r="C904" s="9" t="s">
        <v>1486</v>
      </c>
      <c r="D904" s="10">
        <v>45695</v>
      </c>
      <c r="E904" s="10">
        <v>45698</v>
      </c>
      <c r="F904" s="10">
        <v>45716</v>
      </c>
      <c r="G904" s="9">
        <v>3786681</v>
      </c>
      <c r="H904" s="9" t="str">
        <f t="shared" si="88"/>
        <v>Closed</v>
      </c>
      <c r="I904" s="9" t="str">
        <f t="shared" si="89"/>
        <v>All dates received</v>
      </c>
      <c r="J904" s="9" t="s">
        <v>718</v>
      </c>
      <c r="K904" s="9" t="s">
        <v>1934</v>
      </c>
      <c r="L904" s="11">
        <v>25</v>
      </c>
      <c r="M904" s="9" t="s">
        <v>1935</v>
      </c>
      <c r="N904" s="9"/>
      <c r="O904" s="9"/>
      <c r="P904" s="9"/>
      <c r="Q904" s="11">
        <v>62.25</v>
      </c>
      <c r="R904" s="9" t="s">
        <v>195</v>
      </c>
      <c r="S904" s="9" t="s">
        <v>207</v>
      </c>
      <c r="T904" s="12">
        <f>IF($H904="Cancelled","",IFERROR(((Q904+INDEX(Variables!$B$6:$D$6,IFERROR(MATCH(IF($B904="Robusta","Robusta",(IF($B904="","Arabica",$B904))&amp;" - "&amp;(IF($C904="","Commercial",$C904))),Variables!$B$1:$D$1,0),1)))*22.0462)*(L904/16.67),""))</f>
        <v>11672.78180863827</v>
      </c>
      <c r="U904" s="10"/>
      <c r="V904" s="9" t="str">
        <f t="shared" si="91"/>
        <v/>
      </c>
      <c r="W904" s="10">
        <v>45673</v>
      </c>
      <c r="X904" s="9" t="str">
        <f t="shared" si="87"/>
        <v>Approved</v>
      </c>
      <c r="Y904" s="10">
        <v>45673</v>
      </c>
      <c r="Z904" s="10">
        <f>IF($H904="Cancelled","",IFERROR(IF(F904="","",F904-Variables!$B$13),""))</f>
        <v>45701</v>
      </c>
      <c r="AA904" s="11">
        <f>IF($H904="Cancelled","",IFERROR(IF(W904="","",(AVERAGE(E904:F904)-W904)-Variables!$B$14),""))</f>
        <v>4</v>
      </c>
      <c r="AB904" s="10">
        <v>45722</v>
      </c>
      <c r="AC904" s="11">
        <f>IF($H904="Cancelled","",IFERROR(IF(AB904="","",IF(AND(W904="",Y904=""),"",IF(Y904&gt;W904,Y904+Variables!$B$15+Variables!$B$16+Variables!$B$17-AB904,W904+Variables!$B$16+Variables!$B$17-AB904))),""))</f>
        <v>-41</v>
      </c>
      <c r="AD904" s="9" t="s">
        <v>163</v>
      </c>
      <c r="AE904" s="9" t="s">
        <v>770</v>
      </c>
      <c r="AF904" s="10">
        <v>45732</v>
      </c>
      <c r="AG904" s="10"/>
      <c r="AH904" s="9"/>
      <c r="AI904" s="9">
        <v>250963916</v>
      </c>
      <c r="AJ904" s="9" t="s">
        <v>8</v>
      </c>
      <c r="AK904" s="10">
        <v>45733</v>
      </c>
      <c r="AL904" s="10">
        <v>45734</v>
      </c>
      <c r="AM904" s="10">
        <v>45377</v>
      </c>
      <c r="AN904" s="9" t="s">
        <v>1492</v>
      </c>
      <c r="AO904" s="9"/>
      <c r="AP904" s="11">
        <f>IF($H904="Cancelled","",IFERROR(IF(OR(AK904="",AB904=""),"",(AB904+Variables!$B$18-AK904)),""))</f>
        <v>-4</v>
      </c>
      <c r="AQ904" s="11">
        <f>IF($H904="Cancelled","",IFERROR(IF(OR(AM904="",AK904=""),"",(AK904+Variables!$B$19)-AM904),""))</f>
        <v>361</v>
      </c>
      <c r="AR904" s="12">
        <f>IF($H904="Cancelled","",IFERROR(T904*INDEX(Variables!$B$7:$D$7,IFERROR(MATCH(IF($B904="Robusta","Robusta",(IF($B904="","Arabica",$B904))&amp;" - "&amp;(IF($C904="","Commercial",$C904))),Variables!$B$1:$D$1,0),1))*(AQ904/365),""))</f>
        <v>744.43803030655317</v>
      </c>
      <c r="AS904" s="12">
        <f>IF($H904="Cancelled","",IFERROR((T904*INDEX(Variables!$B$7:$D$7,IFERROR(MATCH(IF($B904="Robusta","Robusta",(IF($B904="","Arabica",$B904))&amp;" - "&amp;(IF($C904="","Commercial",$C904))),Variables!$B$1:$D$1,0),1))*IFERROR(IF(W904="","",(AVERAGE(E904:F904)-W904)-Variables!$B$14),"")/365)+(L904/16.67*INDEX(Variables!$B$8:$D$8,IFERROR(MATCH(IF($B904="Robusta","Robusta",(IF($B904="","Arabica",$B904))&amp;" - "&amp;(IF($C904="","Commercial",$C904))),Variables!$B$1:$D$1,0),1))*IFERROR(IF(W904="","",(AVERAGE(E904:F904)-W904)-Variables!$B$14),""))+(T904*INDEX(Variables!$B$9:$D$9,IFERROR(MATCH(IF($B904="Robusta","Robusta",(IF($B904="","Arabica",$B904))&amp;" - "&amp;(IF($C904="","Commercial",$C904))),Variables!$B$1:$D$1,0),1))*IFERROR(IF(W904="","",(AVERAGE(E904:F904)-W904)-Variables!$B$14),"")/365),""))</f>
        <v>13.354961475709541</v>
      </c>
      <c r="AT904" s="12">
        <f>IF($H904="Cancelled","",IFERROR((T904*INDEX(Variables!$B$7:$D$7,IFERROR(MATCH(IF($B904="Robusta","Robusta",(IF($B904="","Arabica",$B904))&amp;" - "&amp;(IF($C904="","Commercial",$C904))),Variables!$B$1:$D$1,0),1))*AC904/365)+(L904/16.67*INDEX(Variables!$B$8:$D$8,IFERROR(MATCH(IF($B904="Robusta","Robusta",(IF($B904="","Arabica",$B904))&amp;" - "&amp;(IF($C904="","Commercial",$C904))),Variables!$B$1:$D$1,0),1))*AC904)+(T904*INDEX(Variables!$B$9:$D$9,IFERROR(MATCH(IF($B904="Robusta","Robusta",(IF($B904="","Arabica",$B904))&amp;" - "&amp;(IF($C904="","Commercial",$C904))),Variables!$B$1:$D$1,0),1))*AC904/365),""))</f>
        <v>-136.88835512602282</v>
      </c>
      <c r="AU904" s="12">
        <f>IF($H904="Cancelled","",IFERROR((T904*INDEX(Variables!$B$7:$D$7,IFERROR(MATCH(IF($B904="Robusta","Robusta",(IF($B904="","Arabica",$B904))&amp;" - "&amp;(IF($C904="","Commercial",$C904))),Variables!$B$1:$D$1,0),1))*AP904/365)+(L904/16.67*INDEX(Variables!$B$8:$D$8,IFERROR(MATCH(IF($B904="Robusta","Robusta",(IF($B904="","Arabica",$B904))&amp;" - "&amp;(IF($C904="","Commercial",$C904))),Variables!$B$1:$D$1,0),1))*AP904)+(T904*INDEX(Variables!$B$9:$D$9,IFERROR(MATCH(IF($B904="Robusta","Robusta",(IF($B904="","Arabica",$B904))&amp;" - "&amp;(IF($C904="","Commercial",$C904))),Variables!$B$1:$D$1,0),1))*AP904/365),""))</f>
        <v>-13.354961475709541</v>
      </c>
      <c r="AV904" s="11">
        <f t="shared" si="90"/>
        <v>-17</v>
      </c>
      <c r="AW904" s="12">
        <f>IF($H904="Cancelled","",IFERROR(IF(AV904="","",(T904*INDEX(Variables!$B$7:$D$7,IFERROR(MATCH(IF($B904="Robusta","Robusta",(IF($B904="","Arabica",$B904))&amp;" - "&amp;(IF($C904="","Commercial",$C904))),Variables!$B$1:$D$1,0),1))*(AV904/365))+(T904*INDEX(Variables!$B$9:$D$9,IFERROR(MATCH(IF($B904="Robusta","Robusta",(IF($B904="","Arabica",$B904))&amp;" - "&amp;(IF($C904="","Commercial",$C904))),Variables!$B$1:$D$1,0),1))*(AV904/365))+(INDEX(Variables!$B$8:$D$8,IFERROR(MATCH(IF($B904="Robusta","Robusta",(IF($B904="","Arabica",$B904))&amp;" - "&amp;(IF($C904="","Commercial",$C904))),Variables!$B$1:$D$1,0),1))*L904/16.67)),""))</f>
        <v>-34.258586271765559</v>
      </c>
      <c r="AX904" s="9"/>
      <c r="AY904" s="12"/>
      <c r="AZ904" s="10"/>
      <c r="BA904" s="9"/>
      <c r="BB904" s="10"/>
      <c r="BC904" s="9"/>
      <c r="BD904" s="9"/>
      <c r="BE904" s="9"/>
      <c r="BF904" s="9"/>
    </row>
    <row r="905" spans="1:58" x14ac:dyDescent="0.25">
      <c r="A905" s="9" t="s">
        <v>84</v>
      </c>
      <c r="B905" s="9" t="s">
        <v>85</v>
      </c>
      <c r="C905" s="9" t="s">
        <v>1486</v>
      </c>
      <c r="D905" s="10">
        <v>45695</v>
      </c>
      <c r="E905" s="10">
        <v>45698</v>
      </c>
      <c r="F905" s="10">
        <v>45716</v>
      </c>
      <c r="G905" s="9">
        <v>3786682</v>
      </c>
      <c r="H905" s="9" t="str">
        <f t="shared" si="88"/>
        <v>Closed</v>
      </c>
      <c r="I905" s="9" t="str">
        <f t="shared" si="89"/>
        <v>All dates received</v>
      </c>
      <c r="J905" s="9" t="s">
        <v>718</v>
      </c>
      <c r="K905" s="9" t="s">
        <v>1936</v>
      </c>
      <c r="L905" s="11">
        <v>13</v>
      </c>
      <c r="M905" s="9" t="s">
        <v>1937</v>
      </c>
      <c r="N905" s="9"/>
      <c r="O905" s="9"/>
      <c r="P905" s="9"/>
      <c r="Q905" s="11">
        <v>103.25</v>
      </c>
      <c r="R905" s="9" t="s">
        <v>195</v>
      </c>
      <c r="S905" s="9" t="s">
        <v>207</v>
      </c>
      <c r="T905" s="12">
        <f>IF($H905="Cancelled","",IFERROR(((Q905+INDEX(Variables!$B$6:$D$6,IFERROR(MATCH(IF($B905="Robusta","Robusta",(IF($B905="","Arabica",$B905))&amp;" - "&amp;(IF($C905="","Commercial",$C905))),Variables!$B$1:$D$1,0),1)))*22.0462)*(L905/16.67),""))</f>
        <v>6774.7430371925611</v>
      </c>
      <c r="U905" s="10"/>
      <c r="V905" s="9" t="str">
        <f t="shared" si="91"/>
        <v/>
      </c>
      <c r="W905" s="10">
        <v>45673</v>
      </c>
      <c r="X905" s="9" t="str">
        <f t="shared" si="87"/>
        <v>Approved</v>
      </c>
      <c r="Y905" s="10">
        <v>45673</v>
      </c>
      <c r="Z905" s="10">
        <f>IF($H905="Cancelled","",IFERROR(IF(F905="","",F905-Variables!$B$13),""))</f>
        <v>45701</v>
      </c>
      <c r="AA905" s="11">
        <f>IF($H905="Cancelled","",IFERROR(IF(W905="","",(AVERAGE(E905:F905)-W905)-Variables!$B$14),""))</f>
        <v>4</v>
      </c>
      <c r="AB905" s="10">
        <v>45722</v>
      </c>
      <c r="AC905" s="11">
        <f>IF($H905="Cancelled","",IFERROR(IF(AB905="","",IF(AND(W905="",Y905=""),"",IF(Y905&gt;W905,Y905+Variables!$B$15+Variables!$B$16+Variables!$B$17-AB905,W905+Variables!$B$16+Variables!$B$17-AB905))),""))</f>
        <v>-41</v>
      </c>
      <c r="AD905" s="9" t="s">
        <v>163</v>
      </c>
      <c r="AE905" s="9" t="s">
        <v>770</v>
      </c>
      <c r="AF905" s="10">
        <v>45732</v>
      </c>
      <c r="AG905" s="10"/>
      <c r="AH905" s="9"/>
      <c r="AI905" s="9">
        <v>250963916</v>
      </c>
      <c r="AJ905" s="9" t="s">
        <v>8</v>
      </c>
      <c r="AK905" s="10">
        <v>45733</v>
      </c>
      <c r="AL905" s="10">
        <v>45734</v>
      </c>
      <c r="AM905" s="10">
        <v>45377</v>
      </c>
      <c r="AN905" s="9" t="s">
        <v>1492</v>
      </c>
      <c r="AO905" s="9"/>
      <c r="AP905" s="11">
        <f>IF($H905="Cancelled","",IFERROR(IF(OR(AK905="",AB905=""),"",(AB905+Variables!$B$18-AK905)),""))</f>
        <v>-4</v>
      </c>
      <c r="AQ905" s="11">
        <f>IF($H905="Cancelled","",IFERROR(IF(OR(AM905="",AK905=""),"",(AK905+Variables!$B$19)-AM905),""))</f>
        <v>361</v>
      </c>
      <c r="AR905" s="12">
        <f>IF($H905="Cancelled","",IFERROR(T905*INDEX(Variables!$B$7:$D$7,IFERROR(MATCH(IF($B905="Robusta","Robusta",(IF($B905="","Arabica",$B905))&amp;" - "&amp;(IF($C905="","Commercial",$C905))),Variables!$B$1:$D$1,0),1))*(AQ905/365),""))</f>
        <v>432.06293453616939</v>
      </c>
      <c r="AS905" s="12">
        <f>IF($H905="Cancelled","",IFERROR((T905*INDEX(Variables!$B$7:$D$7,IFERROR(MATCH(IF($B905="Robusta","Robusta",(IF($B905="","Arabica",$B905))&amp;" - "&amp;(IF($C905="","Commercial",$C905))),Variables!$B$1:$D$1,0),1))*IFERROR(IF(W905="","",(AVERAGE(E905:F905)-W905)-Variables!$B$14),"")/365)+(L905/16.67*INDEX(Variables!$B$8:$D$8,IFERROR(MATCH(IF($B905="Robusta","Robusta",(IF($B905="","Arabica",$B905))&amp;" - "&amp;(IF($C905="","Commercial",$C905))),Variables!$B$1:$D$1,0),1))*IFERROR(IF(W905="","",(AVERAGE(E905:F905)-W905)-Variables!$B$14),""))+(T905*INDEX(Variables!$B$9:$D$9,IFERROR(MATCH(IF($B905="Robusta","Robusta",(IF($B905="","Arabica",$B905))&amp;" - "&amp;(IF($C905="","Commercial",$C905))),Variables!$B$1:$D$1,0),1))*IFERROR(IF(W905="","",(AVERAGE(E905:F905)-W905)-Variables!$B$14),"")/365),""))</f>
        <v>7.4491197738046733</v>
      </c>
      <c r="AT905" s="12">
        <f>IF($H905="Cancelled","",IFERROR((T905*INDEX(Variables!$B$7:$D$7,IFERROR(MATCH(IF($B905="Robusta","Robusta",(IF($B905="","Arabica",$B905))&amp;" - "&amp;(IF($C905="","Commercial",$C905))),Variables!$B$1:$D$1,0),1))*AC905/365)+(L905/16.67*INDEX(Variables!$B$8:$D$8,IFERROR(MATCH(IF($B905="Robusta","Robusta",(IF($B905="","Arabica",$B905))&amp;" - "&amp;(IF($C905="","Commercial",$C905))),Variables!$B$1:$D$1,0),1))*AC905)+(T905*INDEX(Variables!$B$9:$D$9,IFERROR(MATCH(IF($B905="Robusta","Robusta",(IF($B905="","Arabica",$B905))&amp;" - "&amp;(IF($C905="","Commercial",$C905))),Variables!$B$1:$D$1,0),1))*AC905/365),""))</f>
        <v>-76.353477681497907</v>
      </c>
      <c r="AU905" s="12">
        <f>IF($H905="Cancelled","",IFERROR((T905*INDEX(Variables!$B$7:$D$7,IFERROR(MATCH(IF($B905="Robusta","Robusta",(IF($B905="","Arabica",$B905))&amp;" - "&amp;(IF($C905="","Commercial",$C905))),Variables!$B$1:$D$1,0),1))*AP905/365)+(L905/16.67*INDEX(Variables!$B$8:$D$8,IFERROR(MATCH(IF($B905="Robusta","Robusta",(IF($B905="","Arabica",$B905))&amp;" - "&amp;(IF($C905="","Commercial",$C905))),Variables!$B$1:$D$1,0),1))*AP905)+(T905*INDEX(Variables!$B$9:$D$9,IFERROR(MATCH(IF($B905="Robusta","Robusta",(IF($B905="","Arabica",$B905))&amp;" - "&amp;(IF($C905="","Commercial",$C905))),Variables!$B$1:$D$1,0),1))*AP905/365),""))</f>
        <v>-7.4491197738046733</v>
      </c>
      <c r="AV905" s="11">
        <f t="shared" si="90"/>
        <v>-17</v>
      </c>
      <c r="AW905" s="12">
        <f>IF($H905="Cancelled","",IFERROR(IF(AV905="","",(T905*INDEX(Variables!$B$7:$D$7,IFERROR(MATCH(IF($B905="Robusta","Robusta",(IF($B905="","Arabica",$B905))&amp;" - "&amp;(IF($C905="","Commercial",$C905))),Variables!$B$1:$D$1,0),1))*(AV905/365))+(T905*INDEX(Variables!$B$9:$D$9,IFERROR(MATCH(IF($B905="Robusta","Robusta",(IF($B905="","Arabica",$B905))&amp;" - "&amp;(IF($C905="","Commercial",$C905))),Variables!$B$1:$D$1,0),1))*(AV905/365))+(INDEX(Variables!$B$8:$D$8,IFERROR(MATCH(IF($B905="Robusta","Robusta",(IF($B905="","Arabica",$B905))&amp;" - "&amp;(IF($C905="","Commercial",$C905))),Variables!$B$1:$D$1,0),1))*L905/16.67)),""))</f>
        <v>-19.958759038669864</v>
      </c>
      <c r="AX905" s="9"/>
      <c r="AY905" s="12"/>
      <c r="AZ905" s="10"/>
      <c r="BA905" s="9"/>
      <c r="BB905" s="10"/>
      <c r="BC905" s="9"/>
      <c r="BD905" s="9"/>
      <c r="BE905" s="9"/>
      <c r="BF905" s="9"/>
    </row>
    <row r="906" spans="1:58" x14ac:dyDescent="0.25">
      <c r="A906" s="9" t="s">
        <v>84</v>
      </c>
      <c r="B906" s="9" t="s">
        <v>85</v>
      </c>
      <c r="C906" s="9" t="s">
        <v>1486</v>
      </c>
      <c r="D906" s="10">
        <v>45695</v>
      </c>
      <c r="E906" s="10">
        <v>45698</v>
      </c>
      <c r="F906" s="10">
        <v>45716</v>
      </c>
      <c r="G906" s="9">
        <v>3786683</v>
      </c>
      <c r="H906" s="9" t="str">
        <f t="shared" si="88"/>
        <v>Closed</v>
      </c>
      <c r="I906" s="9" t="str">
        <f t="shared" si="89"/>
        <v>All dates received</v>
      </c>
      <c r="J906" s="9" t="s">
        <v>718</v>
      </c>
      <c r="K906" s="9" t="s">
        <v>1938</v>
      </c>
      <c r="L906" s="11">
        <v>41</v>
      </c>
      <c r="M906" s="9" t="s">
        <v>1939</v>
      </c>
      <c r="N906" s="9"/>
      <c r="O906" s="9"/>
      <c r="P906" s="9"/>
      <c r="Q906" s="11">
        <v>62.25</v>
      </c>
      <c r="R906" s="9" t="s">
        <v>195</v>
      </c>
      <c r="S906" s="9" t="s">
        <v>207</v>
      </c>
      <c r="T906" s="12">
        <f>IF($H906="Cancelled","",IFERROR(((Q906+INDEX(Variables!$B$6:$D$6,IFERROR(MATCH(IF($B906="Robusta","Robusta",(IF($B906="","Arabica",$B906))&amp;" - "&amp;(IF($C906="","Commercial",$C906))),Variables!$B$1:$D$1,0),1)))*22.0462)*(L906/16.67),""))</f>
        <v>19143.36216616676</v>
      </c>
      <c r="U906" s="10"/>
      <c r="V906" s="9" t="str">
        <f t="shared" si="91"/>
        <v/>
      </c>
      <c r="W906" s="10">
        <v>45673</v>
      </c>
      <c r="X906" s="9" t="str">
        <f t="shared" si="87"/>
        <v>Approved</v>
      </c>
      <c r="Y906" s="10">
        <v>45673</v>
      </c>
      <c r="Z906" s="10">
        <f>IF($H906="Cancelled","",IFERROR(IF(F906="","",F906-Variables!$B$13),""))</f>
        <v>45701</v>
      </c>
      <c r="AA906" s="11">
        <f>IF($H906="Cancelled","",IFERROR(IF(W906="","",(AVERAGE(E906:F906)-W906)-Variables!$B$14),""))</f>
        <v>4</v>
      </c>
      <c r="AB906" s="10">
        <v>45722</v>
      </c>
      <c r="AC906" s="11">
        <f>IF($H906="Cancelled","",IFERROR(IF(AB906="","",IF(AND(W906="",Y906=""),"",IF(Y906&gt;W906,Y906+Variables!$B$15+Variables!$B$16+Variables!$B$17-AB906,W906+Variables!$B$16+Variables!$B$17-AB906))),""))</f>
        <v>-41</v>
      </c>
      <c r="AD906" s="9" t="s">
        <v>163</v>
      </c>
      <c r="AE906" s="9" t="s">
        <v>770</v>
      </c>
      <c r="AF906" s="10">
        <v>45732</v>
      </c>
      <c r="AG906" s="10"/>
      <c r="AH906" s="9"/>
      <c r="AI906" s="9">
        <v>250963916</v>
      </c>
      <c r="AJ906" s="9" t="s">
        <v>8</v>
      </c>
      <c r="AK906" s="10">
        <v>45733</v>
      </c>
      <c r="AL906" s="10">
        <v>45734</v>
      </c>
      <c r="AM906" s="10">
        <v>45377</v>
      </c>
      <c r="AN906" s="9" t="s">
        <v>1492</v>
      </c>
      <c r="AO906" s="9"/>
      <c r="AP906" s="11">
        <f>IF($H906="Cancelled","",IFERROR(IF(OR(AK906="",AB906=""),"",(AB906+Variables!$B$18-AK906)),""))</f>
        <v>-4</v>
      </c>
      <c r="AQ906" s="11">
        <f>IF($H906="Cancelled","",IFERROR(IF(OR(AM906="",AK906=""),"",(AK906+Variables!$B$19)-AM906),""))</f>
        <v>361</v>
      </c>
      <c r="AR906" s="12">
        <f>IF($H906="Cancelled","",IFERROR(T906*INDEX(Variables!$B$7:$D$7,IFERROR(MATCH(IF($B906="Robusta","Robusta",(IF($B906="","Arabica",$B906))&amp;" - "&amp;(IF($C906="","Commercial",$C906))),Variables!$B$1:$D$1,0),1))*(AQ906/365),""))</f>
        <v>1220.878369702747</v>
      </c>
      <c r="AS906" s="12">
        <f>IF($H906="Cancelled","",IFERROR((T906*INDEX(Variables!$B$7:$D$7,IFERROR(MATCH(IF($B906="Robusta","Robusta",(IF($B906="","Arabica",$B906))&amp;" - "&amp;(IF($C906="","Commercial",$C906))),Variables!$B$1:$D$1,0),1))*IFERROR(IF(W906="","",(AVERAGE(E906:F906)-W906)-Variables!$B$14),"")/365)+(L906/16.67*INDEX(Variables!$B$8:$D$8,IFERROR(MATCH(IF($B906="Robusta","Robusta",(IF($B906="","Arabica",$B906))&amp;" - "&amp;(IF($C906="","Commercial",$C906))),Variables!$B$1:$D$1,0),1))*IFERROR(IF(W906="","",(AVERAGE(E906:F906)-W906)-Variables!$B$14),""))+(T906*INDEX(Variables!$B$9:$D$9,IFERROR(MATCH(IF($B906="Robusta","Robusta",(IF($B906="","Arabica",$B906))&amp;" - "&amp;(IF($C906="","Commercial",$C906))),Variables!$B$1:$D$1,0),1))*IFERROR(IF(W906="","",(AVERAGE(E906:F906)-W906)-Variables!$B$14),"")/365),""))</f>
        <v>21.902136820163648</v>
      </c>
      <c r="AT906" s="12">
        <f>IF($H906="Cancelled","",IFERROR((T906*INDEX(Variables!$B$7:$D$7,IFERROR(MATCH(IF($B906="Robusta","Robusta",(IF($B906="","Arabica",$B906))&amp;" - "&amp;(IF($C906="","Commercial",$C906))),Variables!$B$1:$D$1,0),1))*AC906/365)+(L906/16.67*INDEX(Variables!$B$8:$D$8,IFERROR(MATCH(IF($B906="Robusta","Robusta",(IF($B906="","Arabica",$B906))&amp;" - "&amp;(IF($C906="","Commercial",$C906))),Variables!$B$1:$D$1,0),1))*AC906)+(T906*INDEX(Variables!$B$9:$D$9,IFERROR(MATCH(IF($B906="Robusta","Robusta",(IF($B906="","Arabica",$B906))&amp;" - "&amp;(IF($C906="","Commercial",$C906))),Variables!$B$1:$D$1,0),1))*AC906/365),""))</f>
        <v>-224.49690240667741</v>
      </c>
      <c r="AU906" s="12">
        <f>IF($H906="Cancelled","",IFERROR((T906*INDEX(Variables!$B$7:$D$7,IFERROR(MATCH(IF($B906="Robusta","Robusta",(IF($B906="","Arabica",$B906))&amp;" - "&amp;(IF($C906="","Commercial",$C906))),Variables!$B$1:$D$1,0),1))*AP906/365)+(L906/16.67*INDEX(Variables!$B$8:$D$8,IFERROR(MATCH(IF($B906="Robusta","Robusta",(IF($B906="","Arabica",$B906))&amp;" - "&amp;(IF($C906="","Commercial",$C906))),Variables!$B$1:$D$1,0),1))*AP906)+(T906*INDEX(Variables!$B$9:$D$9,IFERROR(MATCH(IF($B906="Robusta","Robusta",(IF($B906="","Arabica",$B906))&amp;" - "&amp;(IF($C906="","Commercial",$C906))),Variables!$B$1:$D$1,0),1))*AP906/365),""))</f>
        <v>-21.902136820163648</v>
      </c>
      <c r="AV906" s="11">
        <f t="shared" si="90"/>
        <v>-17</v>
      </c>
      <c r="AW906" s="12">
        <f>IF($H906="Cancelled","",IFERROR(IF(AV906="","",(T906*INDEX(Variables!$B$7:$D$7,IFERROR(MATCH(IF($B906="Robusta","Robusta",(IF($B906="","Arabica",$B906))&amp;" - "&amp;(IF($C906="","Commercial",$C906))),Variables!$B$1:$D$1,0),1))*(AV906/365))+(T906*INDEX(Variables!$B$9:$D$9,IFERROR(MATCH(IF($B906="Robusta","Robusta",(IF($B906="","Arabica",$B906))&amp;" - "&amp;(IF($C906="","Commercial",$C906))),Variables!$B$1:$D$1,0),1))*(AV906/365))+(INDEX(Variables!$B$8:$D$8,IFERROR(MATCH(IF($B906="Robusta","Robusta",(IF($B906="","Arabica",$B906))&amp;" - "&amp;(IF($C906="","Commercial",$C906))),Variables!$B$1:$D$1,0),1))*L906/16.67)),""))</f>
        <v>-56.184081485695508</v>
      </c>
      <c r="AX906" s="9"/>
      <c r="AY906" s="12"/>
      <c r="AZ906" s="10"/>
      <c r="BA906" s="9"/>
      <c r="BB906" s="10"/>
      <c r="BC906" s="9"/>
      <c r="BD906" s="9"/>
      <c r="BE906" s="9"/>
      <c r="BF906" s="9"/>
    </row>
    <row r="907" spans="1:58" x14ac:dyDescent="0.25">
      <c r="A907" s="9" t="s">
        <v>84</v>
      </c>
      <c r="B907" s="9" t="s">
        <v>85</v>
      </c>
      <c r="C907" s="9" t="s">
        <v>1486</v>
      </c>
      <c r="D907" s="10">
        <v>45695</v>
      </c>
      <c r="E907" s="10">
        <v>45698</v>
      </c>
      <c r="F907" s="10">
        <v>45716</v>
      </c>
      <c r="G907" s="9">
        <v>3786684</v>
      </c>
      <c r="H907" s="9" t="str">
        <f t="shared" si="88"/>
        <v>Closed</v>
      </c>
      <c r="I907" s="9" t="str">
        <f t="shared" si="89"/>
        <v>All dates received</v>
      </c>
      <c r="J907" s="9" t="s">
        <v>718</v>
      </c>
      <c r="K907" s="9" t="s">
        <v>1940</v>
      </c>
      <c r="L907" s="11">
        <v>20</v>
      </c>
      <c r="M907" s="9" t="s">
        <v>1941</v>
      </c>
      <c r="N907" s="9"/>
      <c r="O907" s="9"/>
      <c r="P907" s="9"/>
      <c r="Q907" s="11">
        <v>88.25</v>
      </c>
      <c r="R907" s="9" t="s">
        <v>195</v>
      </c>
      <c r="S907" s="9" t="s">
        <v>207</v>
      </c>
      <c r="T907" s="12">
        <f>IF($H907="Cancelled","",IFERROR(((Q907+INDEX(Variables!$B$6:$D$6,IFERROR(MATCH(IF($B907="Robusta","Robusta",(IF($B907="","Arabica",$B907))&amp;" - "&amp;(IF($C907="","Commercial",$C907))),Variables!$B$1:$D$1,0),1)))*22.0462)*(L907/16.67),""))</f>
        <v>10025.929346130773</v>
      </c>
      <c r="U907" s="10"/>
      <c r="V907" s="9" t="str">
        <f t="shared" si="91"/>
        <v/>
      </c>
      <c r="W907" s="10">
        <v>45673</v>
      </c>
      <c r="X907" s="9" t="str">
        <f t="shared" si="87"/>
        <v>Approved</v>
      </c>
      <c r="Y907" s="10">
        <v>45673</v>
      </c>
      <c r="Z907" s="10">
        <f>IF($H907="Cancelled","",IFERROR(IF(F907="","",F907-Variables!$B$13),""))</f>
        <v>45701</v>
      </c>
      <c r="AA907" s="11">
        <f>IF($H907="Cancelled","",IFERROR(IF(W907="","",(AVERAGE(E907:F907)-W907)-Variables!$B$14),""))</f>
        <v>4</v>
      </c>
      <c r="AB907" s="10">
        <v>45722</v>
      </c>
      <c r="AC907" s="11">
        <f>IF($H907="Cancelled","",IFERROR(IF(AB907="","",IF(AND(W907="",Y907=""),"",IF(Y907&gt;W907,Y907+Variables!$B$15+Variables!$B$16+Variables!$B$17-AB907,W907+Variables!$B$16+Variables!$B$17-AB907))),""))</f>
        <v>-41</v>
      </c>
      <c r="AD907" s="9" t="s">
        <v>163</v>
      </c>
      <c r="AE907" s="9" t="s">
        <v>770</v>
      </c>
      <c r="AF907" s="10">
        <v>45732</v>
      </c>
      <c r="AG907" s="10"/>
      <c r="AH907" s="9"/>
      <c r="AI907" s="9">
        <v>250963916</v>
      </c>
      <c r="AJ907" s="9" t="s">
        <v>8</v>
      </c>
      <c r="AK907" s="10">
        <v>45733</v>
      </c>
      <c r="AL907" s="10">
        <v>45734</v>
      </c>
      <c r="AM907" s="10">
        <v>45377</v>
      </c>
      <c r="AN907" s="9" t="s">
        <v>1492</v>
      </c>
      <c r="AO907" s="9"/>
      <c r="AP907" s="11">
        <f>IF($H907="Cancelled","",IFERROR(IF(OR(AK907="",AB907=""),"",(AB907+Variables!$B$18-AK907)),""))</f>
        <v>-4</v>
      </c>
      <c r="AQ907" s="11">
        <f>IF($H907="Cancelled","",IFERROR(IF(OR(AM907="",AK907=""),"",(AK907+Variables!$B$19)-AM907),""))</f>
        <v>361</v>
      </c>
      <c r="AR907" s="12">
        <f>IF($H907="Cancelled","",IFERROR(T907*INDEX(Variables!$B$7:$D$7,IFERROR(MATCH(IF($B907="Robusta","Robusta",(IF($B907="","Arabica",$B907))&amp;" - "&amp;(IF($C907="","Commercial",$C907))),Variables!$B$1:$D$1,0),1))*(AQ907/365),""))</f>
        <v>639.40911573476615</v>
      </c>
      <c r="AS907" s="12">
        <f>IF($H907="Cancelled","",IFERROR((T907*INDEX(Variables!$B$7:$D$7,IFERROR(MATCH(IF($B907="Robusta","Robusta",(IF($B907="","Arabica",$B907))&amp;" - "&amp;(IF($C907="","Commercial",$C907))),Variables!$B$1:$D$1,0),1))*IFERROR(IF(W907="","",(AVERAGE(E907:F907)-W907)-Variables!$B$14),"")/365)+(L907/16.67*INDEX(Variables!$B$8:$D$8,IFERROR(MATCH(IF($B907="Robusta","Robusta",(IF($B907="","Arabica",$B907))&amp;" - "&amp;(IF($C907="","Commercial",$C907))),Variables!$B$1:$D$1,0),1))*IFERROR(IF(W907="","",(AVERAGE(E907:F907)-W907)-Variables!$B$14),""))+(T907*INDEX(Variables!$B$9:$D$9,IFERROR(MATCH(IF($B907="Robusta","Robusta",(IF($B907="","Arabica",$B907))&amp;" - "&amp;(IF($C907="","Commercial",$C907))),Variables!$B$1:$D$1,0),1))*IFERROR(IF(W907="","",(AVERAGE(E907:F907)-W907)-Variables!$B$14),"")/365),""))</f>
        <v>11.176203138065889</v>
      </c>
      <c r="AT907" s="12">
        <f>IF($H907="Cancelled","",IFERROR((T907*INDEX(Variables!$B$7:$D$7,IFERROR(MATCH(IF($B907="Robusta","Robusta",(IF($B907="","Arabica",$B907))&amp;" - "&amp;(IF($C907="","Commercial",$C907))),Variables!$B$1:$D$1,0),1))*AC907/365)+(L907/16.67*INDEX(Variables!$B$8:$D$8,IFERROR(MATCH(IF($B907="Robusta","Robusta",(IF($B907="","Arabica",$B907))&amp;" - "&amp;(IF($C907="","Commercial",$C907))),Variables!$B$1:$D$1,0),1))*AC907)+(T907*INDEX(Variables!$B$9:$D$9,IFERROR(MATCH(IF($B907="Robusta","Robusta",(IF($B907="","Arabica",$B907))&amp;" - "&amp;(IF($C907="","Commercial",$C907))),Variables!$B$1:$D$1,0),1))*AC907/365),""))</f>
        <v>-114.55608216517537</v>
      </c>
      <c r="AU907" s="12">
        <f>IF($H907="Cancelled","",IFERROR((T907*INDEX(Variables!$B$7:$D$7,IFERROR(MATCH(IF($B907="Robusta","Robusta",(IF($B907="","Arabica",$B907))&amp;" - "&amp;(IF($C907="","Commercial",$C907))),Variables!$B$1:$D$1,0),1))*AP907/365)+(L907/16.67*INDEX(Variables!$B$8:$D$8,IFERROR(MATCH(IF($B907="Robusta","Robusta",(IF($B907="","Arabica",$B907))&amp;" - "&amp;(IF($C907="","Commercial",$C907))),Variables!$B$1:$D$1,0),1))*AP907)+(T907*INDEX(Variables!$B$9:$D$9,IFERROR(MATCH(IF($B907="Robusta","Robusta",(IF($B907="","Arabica",$B907))&amp;" - "&amp;(IF($C907="","Commercial",$C907))),Variables!$B$1:$D$1,0),1))*AP907/365),""))</f>
        <v>-11.176203138065889</v>
      </c>
      <c r="AV907" s="11">
        <f t="shared" si="90"/>
        <v>-17</v>
      </c>
      <c r="AW907" s="12">
        <f>IF($H907="Cancelled","",IFERROR(IF(AV907="","",(T907*INDEX(Variables!$B$7:$D$7,IFERROR(MATCH(IF($B907="Robusta","Robusta",(IF($B907="","Arabica",$B907))&amp;" - "&amp;(IF($C907="","Commercial",$C907))),Variables!$B$1:$D$1,0),1))*(AV907/365))+(T907*INDEX(Variables!$B$9:$D$9,IFERROR(MATCH(IF($B907="Robusta","Robusta",(IF($B907="","Arabica",$B907))&amp;" - "&amp;(IF($C907="","Commercial",$C907))),Variables!$B$1:$D$1,0),1))*(AV907/365))+(INDEX(Variables!$B$8:$D$8,IFERROR(MATCH(IF($B907="Robusta","Robusta",(IF($B907="","Arabica",$B907))&amp;" - "&amp;(IF($C907="","Commercial",$C907))),Variables!$B$1:$D$1,0),1))*L907/16.67)),""))</f>
        <v>-29.49886333678003</v>
      </c>
      <c r="AX907" s="9"/>
      <c r="AY907" s="12"/>
      <c r="AZ907" s="10"/>
      <c r="BA907" s="9"/>
      <c r="BB907" s="10"/>
      <c r="BC907" s="9"/>
      <c r="BD907" s="9"/>
      <c r="BE907" s="9"/>
      <c r="BF907" s="9"/>
    </row>
    <row r="908" spans="1:58" x14ac:dyDescent="0.25">
      <c r="A908" s="9" t="s">
        <v>84</v>
      </c>
      <c r="B908" s="9" t="s">
        <v>85</v>
      </c>
      <c r="C908" s="9" t="s">
        <v>1486</v>
      </c>
      <c r="D908" s="10">
        <v>45695</v>
      </c>
      <c r="E908" s="10">
        <v>45698</v>
      </c>
      <c r="F908" s="10">
        <v>45716</v>
      </c>
      <c r="G908" s="9">
        <v>3786685</v>
      </c>
      <c r="H908" s="9" t="str">
        <f t="shared" si="88"/>
        <v>Closed</v>
      </c>
      <c r="I908" s="9" t="str">
        <f t="shared" si="89"/>
        <v>All dates received</v>
      </c>
      <c r="J908" s="9" t="s">
        <v>718</v>
      </c>
      <c r="K908" s="9" t="s">
        <v>1942</v>
      </c>
      <c r="L908" s="11">
        <v>30</v>
      </c>
      <c r="M908" s="9" t="s">
        <v>1943</v>
      </c>
      <c r="N908" s="9"/>
      <c r="O908" s="9"/>
      <c r="P908" s="9"/>
      <c r="Q908" s="11">
        <v>62.25</v>
      </c>
      <c r="R908" s="9" t="s">
        <v>195</v>
      </c>
      <c r="S908" s="9" t="s">
        <v>207</v>
      </c>
      <c r="T908" s="12">
        <f>IF($H908="Cancelled","",IFERROR(((Q908+INDEX(Variables!$B$6:$D$6,IFERROR(MATCH(IF($B908="Robusta","Robusta",(IF($B908="","Arabica",$B908))&amp;" - "&amp;(IF($C908="","Commercial",$C908))),Variables!$B$1:$D$1,0),1)))*22.0462)*(L908/16.67),""))</f>
        <v>14007.338170365925</v>
      </c>
      <c r="U908" s="10"/>
      <c r="V908" s="9" t="str">
        <f t="shared" si="91"/>
        <v/>
      </c>
      <c r="W908" s="10">
        <v>45673</v>
      </c>
      <c r="X908" s="9" t="str">
        <f t="shared" si="87"/>
        <v>Approved</v>
      </c>
      <c r="Y908" s="10">
        <v>45673</v>
      </c>
      <c r="Z908" s="10">
        <f>IF($H908="Cancelled","",IFERROR(IF(F908="","",F908-Variables!$B$13),""))</f>
        <v>45701</v>
      </c>
      <c r="AA908" s="11">
        <f>IF($H908="Cancelled","",IFERROR(IF(W908="","",(AVERAGE(E908:F908)-W908)-Variables!$B$14),""))</f>
        <v>4</v>
      </c>
      <c r="AB908" s="10">
        <v>45722</v>
      </c>
      <c r="AC908" s="11">
        <f>IF($H908="Cancelled","",IFERROR(IF(AB908="","",IF(AND(W908="",Y908=""),"",IF(Y908&gt;W908,Y908+Variables!$B$15+Variables!$B$16+Variables!$B$17-AB908,W908+Variables!$B$16+Variables!$B$17-AB908))),""))</f>
        <v>-41</v>
      </c>
      <c r="AD908" s="9" t="s">
        <v>163</v>
      </c>
      <c r="AE908" s="9" t="s">
        <v>770</v>
      </c>
      <c r="AF908" s="10">
        <v>45732</v>
      </c>
      <c r="AG908" s="10"/>
      <c r="AH908" s="9"/>
      <c r="AI908" s="9">
        <v>250963916</v>
      </c>
      <c r="AJ908" s="9" t="s">
        <v>8</v>
      </c>
      <c r="AK908" s="10">
        <v>45733</v>
      </c>
      <c r="AL908" s="10">
        <v>45734</v>
      </c>
      <c r="AM908" s="10">
        <v>45377</v>
      </c>
      <c r="AN908" s="9" t="s">
        <v>1492</v>
      </c>
      <c r="AO908" s="9"/>
      <c r="AP908" s="11">
        <f>IF($H908="Cancelled","",IFERROR(IF(OR(AK908="",AB908=""),"",(AB908+Variables!$B$18-AK908)),""))</f>
        <v>-4</v>
      </c>
      <c r="AQ908" s="11">
        <f>IF($H908="Cancelled","",IFERROR(IF(OR(AM908="",AK908=""),"",(AK908+Variables!$B$19)-AM908),""))</f>
        <v>361</v>
      </c>
      <c r="AR908" s="12">
        <f>IF($H908="Cancelled","",IFERROR(T908*INDEX(Variables!$B$7:$D$7,IFERROR(MATCH(IF($B908="Robusta","Robusta",(IF($B908="","Arabica",$B908))&amp;" - "&amp;(IF($C908="","Commercial",$C908))),Variables!$B$1:$D$1,0),1))*(AQ908/365),""))</f>
        <v>893.32563636786369</v>
      </c>
      <c r="AS908" s="12">
        <f>IF($H908="Cancelled","",IFERROR((T908*INDEX(Variables!$B$7:$D$7,IFERROR(MATCH(IF($B908="Robusta","Robusta",(IF($B908="","Arabica",$B908))&amp;" - "&amp;(IF($C908="","Commercial",$C908))),Variables!$B$1:$D$1,0),1))*IFERROR(IF(W908="","",(AVERAGE(E908:F908)-W908)-Variables!$B$14),"")/365)+(L908/16.67*INDEX(Variables!$B$8:$D$8,IFERROR(MATCH(IF($B908="Robusta","Robusta",(IF($B908="","Arabica",$B908))&amp;" - "&amp;(IF($C908="","Commercial",$C908))),Variables!$B$1:$D$1,0),1))*IFERROR(IF(W908="","",(AVERAGE(E908:F908)-W908)-Variables!$B$14),""))+(T908*INDEX(Variables!$B$9:$D$9,IFERROR(MATCH(IF($B908="Robusta","Robusta",(IF($B908="","Arabica",$B908))&amp;" - "&amp;(IF($C908="","Commercial",$C908))),Variables!$B$1:$D$1,0),1))*IFERROR(IF(W908="","",(AVERAGE(E908:F908)-W908)-Variables!$B$14),"")/365),""))</f>
        <v>16.025953770851451</v>
      </c>
      <c r="AT908" s="12">
        <f>IF($H908="Cancelled","",IFERROR((T908*INDEX(Variables!$B$7:$D$7,IFERROR(MATCH(IF($B908="Robusta","Robusta",(IF($B908="","Arabica",$B908))&amp;" - "&amp;(IF($C908="","Commercial",$C908))),Variables!$B$1:$D$1,0),1))*AC908/365)+(L908/16.67*INDEX(Variables!$B$8:$D$8,IFERROR(MATCH(IF($B908="Robusta","Robusta",(IF($B908="","Arabica",$B908))&amp;" - "&amp;(IF($C908="","Commercial",$C908))),Variables!$B$1:$D$1,0),1))*AC908)+(T908*INDEX(Variables!$B$9:$D$9,IFERROR(MATCH(IF($B908="Robusta","Robusta",(IF($B908="","Arabica",$B908))&amp;" - "&amp;(IF($C908="","Commercial",$C908))),Variables!$B$1:$D$1,0),1))*AC908/365),""))</f>
        <v>-164.26602615122738</v>
      </c>
      <c r="AU908" s="12">
        <f>IF($H908="Cancelled","",IFERROR((T908*INDEX(Variables!$B$7:$D$7,IFERROR(MATCH(IF($B908="Robusta","Robusta",(IF($B908="","Arabica",$B908))&amp;" - "&amp;(IF($C908="","Commercial",$C908))),Variables!$B$1:$D$1,0),1))*AP908/365)+(L908/16.67*INDEX(Variables!$B$8:$D$8,IFERROR(MATCH(IF($B908="Robusta","Robusta",(IF($B908="","Arabica",$B908))&amp;" - "&amp;(IF($C908="","Commercial",$C908))),Variables!$B$1:$D$1,0),1))*AP908)+(T908*INDEX(Variables!$B$9:$D$9,IFERROR(MATCH(IF($B908="Robusta","Robusta",(IF($B908="","Arabica",$B908))&amp;" - "&amp;(IF($C908="","Commercial",$C908))),Variables!$B$1:$D$1,0),1))*AP908/365),""))</f>
        <v>-16.025953770851451</v>
      </c>
      <c r="AV908" s="11">
        <f t="shared" si="90"/>
        <v>-17</v>
      </c>
      <c r="AW908" s="12">
        <f>IF($H908="Cancelled","",IFERROR(IF(AV908="","",(T908*INDEX(Variables!$B$7:$D$7,IFERROR(MATCH(IF($B908="Robusta","Robusta",(IF($B908="","Arabica",$B908))&amp;" - "&amp;(IF($C908="","Commercial",$C908))),Variables!$B$1:$D$1,0),1))*(AV908/365))+(T908*INDEX(Variables!$B$9:$D$9,IFERROR(MATCH(IF($B908="Robusta","Robusta",(IF($B908="","Arabica",$B908))&amp;" - "&amp;(IF($C908="","Commercial",$C908))),Variables!$B$1:$D$1,0),1))*(AV908/365))+(INDEX(Variables!$B$8:$D$8,IFERROR(MATCH(IF($B908="Robusta","Robusta",(IF($B908="","Arabica",$B908))&amp;" - "&amp;(IF($C908="","Commercial",$C908))),Variables!$B$1:$D$1,0),1))*L908/16.67)),""))</f>
        <v>-41.11030352611867</v>
      </c>
      <c r="AX908" s="9"/>
      <c r="AY908" s="12"/>
      <c r="AZ908" s="10"/>
      <c r="BA908" s="9"/>
      <c r="BB908" s="10"/>
      <c r="BC908" s="9"/>
      <c r="BD908" s="9"/>
      <c r="BE908" s="9"/>
      <c r="BF908" s="9"/>
    </row>
    <row r="909" spans="1:58" x14ac:dyDescent="0.25">
      <c r="A909" s="9" t="s">
        <v>84</v>
      </c>
      <c r="B909" s="9" t="s">
        <v>85</v>
      </c>
      <c r="C909" s="9" t="s">
        <v>1486</v>
      </c>
      <c r="D909" s="10">
        <v>45695</v>
      </c>
      <c r="E909" s="10">
        <v>45698</v>
      </c>
      <c r="F909" s="10">
        <v>45716</v>
      </c>
      <c r="G909" s="9">
        <v>3786686</v>
      </c>
      <c r="H909" s="9" t="str">
        <f t="shared" si="88"/>
        <v>Closed</v>
      </c>
      <c r="I909" s="9" t="str">
        <f t="shared" si="89"/>
        <v>All dates received</v>
      </c>
      <c r="J909" s="9" t="s">
        <v>718</v>
      </c>
      <c r="K909" s="9" t="s">
        <v>1944</v>
      </c>
      <c r="L909" s="11">
        <v>1</v>
      </c>
      <c r="M909" s="9" t="s">
        <v>1945</v>
      </c>
      <c r="N909" s="9"/>
      <c r="O909" s="9"/>
      <c r="P909" s="9"/>
      <c r="Q909" s="11">
        <v>62.25</v>
      </c>
      <c r="R909" s="9" t="s">
        <v>195</v>
      </c>
      <c r="S909" s="9" t="s">
        <v>207</v>
      </c>
      <c r="T909" s="12">
        <f>IF($H909="Cancelled","",IFERROR(((Q909+INDEX(Variables!$B$6:$D$6,IFERROR(MATCH(IF($B909="Robusta","Robusta",(IF($B909="","Arabica",$B909))&amp;" - "&amp;(IF($C909="","Commercial",$C909))),Variables!$B$1:$D$1,0),1)))*22.0462)*(L909/16.67),""))</f>
        <v>466.91127234553079</v>
      </c>
      <c r="U909" s="10"/>
      <c r="V909" s="9" t="str">
        <f t="shared" si="91"/>
        <v/>
      </c>
      <c r="W909" s="10">
        <v>45673</v>
      </c>
      <c r="X909" s="9" t="str">
        <f t="shared" si="87"/>
        <v>Approved</v>
      </c>
      <c r="Y909" s="10">
        <v>45673</v>
      </c>
      <c r="Z909" s="10">
        <f>IF($H909="Cancelled","",IFERROR(IF(F909="","",F909-Variables!$B$13),""))</f>
        <v>45701</v>
      </c>
      <c r="AA909" s="11">
        <f>IF($H909="Cancelled","",IFERROR(IF(W909="","",(AVERAGE(E909:F909)-W909)-Variables!$B$14),""))</f>
        <v>4</v>
      </c>
      <c r="AB909" s="10">
        <v>45722</v>
      </c>
      <c r="AC909" s="11">
        <f>IF($H909="Cancelled","",IFERROR(IF(AB909="","",IF(AND(W909="",Y909=""),"",IF(Y909&gt;W909,Y909+Variables!$B$15+Variables!$B$16+Variables!$B$17-AB909,W909+Variables!$B$16+Variables!$B$17-AB909))),""))</f>
        <v>-41</v>
      </c>
      <c r="AD909" s="9" t="s">
        <v>163</v>
      </c>
      <c r="AE909" s="9" t="s">
        <v>770</v>
      </c>
      <c r="AF909" s="10">
        <v>45732</v>
      </c>
      <c r="AG909" s="10"/>
      <c r="AH909" s="9"/>
      <c r="AI909" s="9">
        <v>250963916</v>
      </c>
      <c r="AJ909" s="9" t="s">
        <v>8</v>
      </c>
      <c r="AK909" s="10">
        <v>45733</v>
      </c>
      <c r="AL909" s="10">
        <v>45734</v>
      </c>
      <c r="AM909" s="10">
        <v>45377</v>
      </c>
      <c r="AN909" s="9" t="s">
        <v>1492</v>
      </c>
      <c r="AO909" s="9"/>
      <c r="AP909" s="11">
        <f>IF($H909="Cancelled","",IFERROR(IF(OR(AK909="",AB909=""),"",(AB909+Variables!$B$18-AK909)),""))</f>
        <v>-4</v>
      </c>
      <c r="AQ909" s="11">
        <f>IF($H909="Cancelled","",IFERROR(IF(OR(AM909="",AK909=""),"",(AK909+Variables!$B$19)-AM909),""))</f>
        <v>361</v>
      </c>
      <c r="AR909" s="12">
        <f>IF($H909="Cancelled","",IFERROR(T909*INDEX(Variables!$B$7:$D$7,IFERROR(MATCH(IF($B909="Robusta","Robusta",(IF($B909="","Arabica",$B909))&amp;" - "&amp;(IF($C909="","Commercial",$C909))),Variables!$B$1:$D$1,0),1))*(AQ909/365),""))</f>
        <v>29.777521212262123</v>
      </c>
      <c r="AS909" s="12">
        <f>IF($H909="Cancelled","",IFERROR((T909*INDEX(Variables!$B$7:$D$7,IFERROR(MATCH(IF($B909="Robusta","Robusta",(IF($B909="","Arabica",$B909))&amp;" - "&amp;(IF($C909="","Commercial",$C909))),Variables!$B$1:$D$1,0),1))*IFERROR(IF(W909="","",(AVERAGE(E909:F909)-W909)-Variables!$B$14),"")/365)+(L909/16.67*INDEX(Variables!$B$8:$D$8,IFERROR(MATCH(IF($B909="Robusta","Robusta",(IF($B909="","Arabica",$B909))&amp;" - "&amp;(IF($C909="","Commercial",$C909))),Variables!$B$1:$D$1,0),1))*IFERROR(IF(W909="","",(AVERAGE(E909:F909)-W909)-Variables!$B$14),""))+(T909*INDEX(Variables!$B$9:$D$9,IFERROR(MATCH(IF($B909="Robusta","Robusta",(IF($B909="","Arabica",$B909))&amp;" - "&amp;(IF($C909="","Commercial",$C909))),Variables!$B$1:$D$1,0),1))*IFERROR(IF(W909="","",(AVERAGE(E909:F909)-W909)-Variables!$B$14),"")/365),""))</f>
        <v>0.5341984590283817</v>
      </c>
      <c r="AT909" s="12">
        <f>IF($H909="Cancelled","",IFERROR((T909*INDEX(Variables!$B$7:$D$7,IFERROR(MATCH(IF($B909="Robusta","Robusta",(IF($B909="","Arabica",$B909))&amp;" - "&amp;(IF($C909="","Commercial",$C909))),Variables!$B$1:$D$1,0),1))*AC909/365)+(L909/16.67*INDEX(Variables!$B$8:$D$8,IFERROR(MATCH(IF($B909="Robusta","Robusta",(IF($B909="","Arabica",$B909))&amp;" - "&amp;(IF($C909="","Commercial",$C909))),Variables!$B$1:$D$1,0),1))*AC909)+(T909*INDEX(Variables!$B$9:$D$9,IFERROR(MATCH(IF($B909="Robusta","Robusta",(IF($B909="","Arabica",$B909))&amp;" - "&amp;(IF($C909="","Commercial",$C909))),Variables!$B$1:$D$1,0),1))*AC909/365),""))</f>
        <v>-5.4755342050409119</v>
      </c>
      <c r="AU909" s="12">
        <f>IF($H909="Cancelled","",IFERROR((T909*INDEX(Variables!$B$7:$D$7,IFERROR(MATCH(IF($B909="Robusta","Robusta",(IF($B909="","Arabica",$B909))&amp;" - "&amp;(IF($C909="","Commercial",$C909))),Variables!$B$1:$D$1,0),1))*AP909/365)+(L909/16.67*INDEX(Variables!$B$8:$D$8,IFERROR(MATCH(IF($B909="Robusta","Robusta",(IF($B909="","Arabica",$B909))&amp;" - "&amp;(IF($C909="","Commercial",$C909))),Variables!$B$1:$D$1,0),1))*AP909)+(T909*INDEX(Variables!$B$9:$D$9,IFERROR(MATCH(IF($B909="Robusta","Robusta",(IF($B909="","Arabica",$B909))&amp;" - "&amp;(IF($C909="","Commercial",$C909))),Variables!$B$1:$D$1,0),1))*AP909/365),""))</f>
        <v>-0.5341984590283817</v>
      </c>
      <c r="AV909" s="11">
        <f t="shared" si="90"/>
        <v>-17</v>
      </c>
      <c r="AW909" s="12">
        <f>IF($H909="Cancelled","",IFERROR(IF(AV909="","",(T909*INDEX(Variables!$B$7:$D$7,IFERROR(MATCH(IF($B909="Robusta","Robusta",(IF($B909="","Arabica",$B909))&amp;" - "&amp;(IF($C909="","Commercial",$C909))),Variables!$B$1:$D$1,0),1))*(AV909/365))+(T909*INDEX(Variables!$B$9:$D$9,IFERROR(MATCH(IF($B909="Robusta","Robusta",(IF($B909="","Arabica",$B909))&amp;" - "&amp;(IF($C909="","Commercial",$C909))),Variables!$B$1:$D$1,0),1))*(AV909/365))+(INDEX(Variables!$B$8:$D$8,IFERROR(MATCH(IF($B909="Robusta","Robusta",(IF($B909="","Arabica",$B909))&amp;" - "&amp;(IF($C909="","Commercial",$C909))),Variables!$B$1:$D$1,0),1))*L909/16.67)),""))</f>
        <v>-1.370343450870622</v>
      </c>
      <c r="AX909" s="9"/>
      <c r="AY909" s="12"/>
      <c r="AZ909" s="10"/>
      <c r="BA909" s="9"/>
      <c r="BB909" s="10"/>
      <c r="BC909" s="9"/>
      <c r="BD909" s="9"/>
      <c r="BE909" s="9"/>
      <c r="BF909" s="9"/>
    </row>
    <row r="910" spans="1:58" x14ac:dyDescent="0.25">
      <c r="A910" s="9" t="s">
        <v>84</v>
      </c>
      <c r="B910" s="9" t="s">
        <v>85</v>
      </c>
      <c r="C910" s="9" t="s">
        <v>1486</v>
      </c>
      <c r="D910" s="10">
        <v>45698</v>
      </c>
      <c r="E910" s="10">
        <v>45689</v>
      </c>
      <c r="F910" s="10">
        <v>45716</v>
      </c>
      <c r="G910" s="9">
        <v>3786697</v>
      </c>
      <c r="H910" s="9" t="str">
        <f t="shared" si="88"/>
        <v>Closed</v>
      </c>
      <c r="I910" s="9" t="str">
        <f t="shared" si="89"/>
        <v>All dates received</v>
      </c>
      <c r="J910" s="9" t="s">
        <v>1895</v>
      </c>
      <c r="K910" s="9" t="s">
        <v>1946</v>
      </c>
      <c r="L910" s="11">
        <v>60</v>
      </c>
      <c r="M910" s="9" t="s">
        <v>1947</v>
      </c>
      <c r="N910" s="9"/>
      <c r="O910" s="9"/>
      <c r="P910" s="9"/>
      <c r="Q910" s="11">
        <v>79.25</v>
      </c>
      <c r="R910" s="9" t="s">
        <v>195</v>
      </c>
      <c r="S910" s="9" t="s">
        <v>1121</v>
      </c>
      <c r="T910" s="12">
        <f>IF($H910="Cancelled","",IFERROR(((Q910+INDEX(Variables!$B$6:$D$6,IFERROR(MATCH(IF($B910="Robusta","Robusta",(IF($B910="","Arabica",$B910))&amp;" - "&amp;(IF($C910="","Commercial",$C910))),Variables!$B$1:$D$1,0),1)))*22.0462)*(L910/16.67),""))</f>
        <v>29363.633989202157</v>
      </c>
      <c r="U910" s="10"/>
      <c r="V910" s="9" t="str">
        <f t="shared" si="91"/>
        <v/>
      </c>
      <c r="W910" s="10">
        <v>45673</v>
      </c>
      <c r="X910" s="9" t="str">
        <f t="shared" si="87"/>
        <v>Approved</v>
      </c>
      <c r="Y910" s="10">
        <v>45673</v>
      </c>
      <c r="Z910" s="10">
        <f>IF($H910="Cancelled","",IFERROR(IF(F910="","",F910-Variables!$B$13),""))</f>
        <v>45701</v>
      </c>
      <c r="AA910" s="11">
        <f>IF($H910="Cancelled","",IFERROR(IF(W910="","",(AVERAGE(E910:F910)-W910)-Variables!$B$14),""))</f>
        <v>-0.5</v>
      </c>
      <c r="AB910" s="10">
        <v>45720</v>
      </c>
      <c r="AC910" s="11">
        <f>IF($H910="Cancelled","",IFERROR(IF(AB910="","",IF(AND(W910="",Y910=""),"",IF(Y910&gt;W910,Y910+Variables!$B$15+Variables!$B$16+Variables!$B$17-AB910,W910+Variables!$B$16+Variables!$B$17-AB910))),""))</f>
        <v>-39</v>
      </c>
      <c r="AD910" s="9" t="s">
        <v>163</v>
      </c>
      <c r="AE910" s="9" t="s">
        <v>164</v>
      </c>
      <c r="AF910" s="10"/>
      <c r="AG910" s="10"/>
      <c r="AH910" s="9"/>
      <c r="AI910" s="9">
        <v>250897783</v>
      </c>
      <c r="AJ910" s="9" t="s">
        <v>8</v>
      </c>
      <c r="AK910" s="10">
        <v>45365</v>
      </c>
      <c r="AL910" s="10">
        <v>45734</v>
      </c>
      <c r="AM910" s="10">
        <v>45742</v>
      </c>
      <c r="AN910" s="9" t="s">
        <v>1492</v>
      </c>
      <c r="AO910" s="9"/>
      <c r="AP910" s="11">
        <f>IF($H910="Cancelled","",IFERROR(IF(OR(AK910="",AB910=""),"",(AB910+Variables!$B$18-AK910)),""))</f>
        <v>362</v>
      </c>
      <c r="AQ910" s="11">
        <f>IF($H910="Cancelled","",IFERROR(IF(OR(AM910="",AK910=""),"",(AK910+Variables!$B$19)-AM910),""))</f>
        <v>-372</v>
      </c>
      <c r="AR910" s="12">
        <f>IF($H910="Cancelled","",IFERROR(T910*INDEX(Variables!$B$7:$D$7,IFERROR(MATCH(IF($B910="Robusta","Robusta",(IF($B910="","Arabica",$B910))&amp;" - "&amp;(IF($C910="","Commercial",$C910))),Variables!$B$1:$D$1,0),1))*(AQ910/365),""))</f>
        <v>-1929.7441087619004</v>
      </c>
      <c r="AS910" s="12">
        <f>IF($H910="Cancelled","",IFERROR((T910*INDEX(Variables!$B$7:$D$7,IFERROR(MATCH(IF($B910="Robusta","Robusta",(IF($B910="","Arabica",$B910))&amp;" - "&amp;(IF($C910="","Commercial",$C910))),Variables!$B$1:$D$1,0),1))*IFERROR(IF(W910="","",(AVERAGE(E910:F910)-W910)-Variables!$B$14),"")/365)+(L910/16.67*INDEX(Variables!$B$8:$D$8,IFERROR(MATCH(IF($B910="Robusta","Robusta",(IF($B910="","Arabica",$B910))&amp;" - "&amp;(IF($C910="","Commercial",$C910))),Variables!$B$1:$D$1,0),1))*IFERROR(IF(W910="","",(AVERAGE(E910:F910)-W910)-Variables!$B$14),""))+(T910*INDEX(Variables!$B$9:$D$9,IFERROR(MATCH(IF($B910="Robusta","Robusta",(IF($B910="","Arabica",$B910))&amp;" - "&amp;(IF($C910="","Commercial",$C910))),Variables!$B$1:$D$1,0),1))*IFERROR(IF(W910="","",(AVERAGE(E910:F910)-W910)-Variables!$B$14),"")/365),""))</f>
        <v>-4.1271804226763775</v>
      </c>
      <c r="AT910" s="12">
        <f>IF($H910="Cancelled","",IFERROR((T910*INDEX(Variables!$B$7:$D$7,IFERROR(MATCH(IF($B910="Robusta","Robusta",(IF($B910="","Arabica",$B910))&amp;" - "&amp;(IF($C910="","Commercial",$C910))),Variables!$B$1:$D$1,0),1))*AC910/365)+(L910/16.67*INDEX(Variables!$B$8:$D$8,IFERROR(MATCH(IF($B910="Robusta","Robusta",(IF($B910="","Arabica",$B910))&amp;" - "&amp;(IF($C910="","Commercial",$C910))),Variables!$B$1:$D$1,0),1))*AC910)+(T910*INDEX(Variables!$B$9:$D$9,IFERROR(MATCH(IF($B910="Robusta","Robusta",(IF($B910="","Arabica",$B910))&amp;" - "&amp;(IF($C910="","Commercial",$C910))),Variables!$B$1:$D$1,0),1))*AC910/365),""))</f>
        <v>-321.92007296875738</v>
      </c>
      <c r="AU910" s="12">
        <f>IF($H910="Cancelled","",IFERROR((T910*INDEX(Variables!$B$7:$D$7,IFERROR(MATCH(IF($B910="Robusta","Robusta",(IF($B910="","Arabica",$B910))&amp;" - "&amp;(IF($C910="","Commercial",$C910))),Variables!$B$1:$D$1,0),1))*AP910/365)+(L910/16.67*INDEX(Variables!$B$8:$D$8,IFERROR(MATCH(IF($B910="Robusta","Robusta",(IF($B910="","Arabica",$B910))&amp;" - "&amp;(IF($C910="","Commercial",$C910))),Variables!$B$1:$D$1,0),1))*AP910)+(T910*INDEX(Variables!$B$9:$D$9,IFERROR(MATCH(IF($B910="Robusta","Robusta",(IF($B910="","Arabica",$B910))&amp;" - "&amp;(IF($C910="","Commercial",$C910))),Variables!$B$1:$D$1,0),1))*AP910/365),""))</f>
        <v>2988.0786260176969</v>
      </c>
      <c r="AV910" s="11">
        <f t="shared" si="90"/>
        <v>351</v>
      </c>
      <c r="AW910" s="12">
        <f>IF($H910="Cancelled","",IFERROR(IF(AV910="","",(T910*INDEX(Variables!$B$7:$D$7,IFERROR(MATCH(IF($B910="Robusta","Robusta",(IF($B910="","Arabica",$B910))&amp;" - "&amp;(IF($C910="","Commercial",$C910))),Variables!$B$1:$D$1,0),1))*(AV910/365))+(T910*INDEX(Variables!$B$9:$D$9,IFERROR(MATCH(IF($B910="Robusta","Robusta",(IF($B910="","Arabica",$B910))&amp;" - "&amp;(IF($C910="","Commercial",$C910))),Variables!$B$1:$D$1,0),1))*(AV910/365))+(INDEX(Variables!$B$8:$D$8,IFERROR(MATCH(IF($B910="Robusta","Robusta",(IF($B910="","Arabica",$B910))&amp;" - "&amp;(IF($C910="","Commercial",$C910))),Variables!$B$1:$D$1,0),1))*L910/16.67)),""))</f>
        <v>1847.2806567188168</v>
      </c>
      <c r="AX910" s="9"/>
      <c r="AY910" s="12"/>
      <c r="AZ910" s="10"/>
      <c r="BA910" s="9"/>
      <c r="BB910" s="10"/>
      <c r="BC910" s="9"/>
      <c r="BD910" s="9"/>
      <c r="BE910" s="9"/>
      <c r="BF910" s="9"/>
    </row>
    <row r="911" spans="1:58" x14ac:dyDescent="0.25">
      <c r="A911" s="9" t="s">
        <v>84</v>
      </c>
      <c r="B911" s="9" t="s">
        <v>85</v>
      </c>
      <c r="C911" s="9" t="s">
        <v>1486</v>
      </c>
      <c r="D911" s="10">
        <v>45670</v>
      </c>
      <c r="E911" s="10">
        <v>45689</v>
      </c>
      <c r="F911" s="10">
        <v>45747</v>
      </c>
      <c r="G911" s="9">
        <v>3786594</v>
      </c>
      <c r="H911" s="9" t="str">
        <f t="shared" si="88"/>
        <v>Closed</v>
      </c>
      <c r="I911" s="9" t="str">
        <f t="shared" si="89"/>
        <v>All dates received</v>
      </c>
      <c r="J911" s="9" t="s">
        <v>235</v>
      </c>
      <c r="K911" s="9" t="s">
        <v>1948</v>
      </c>
      <c r="L911" s="11">
        <v>30</v>
      </c>
      <c r="M911" s="9" t="s">
        <v>1949</v>
      </c>
      <c r="N911" s="9"/>
      <c r="O911" s="9"/>
      <c r="P911" s="9"/>
      <c r="Q911" s="11">
        <v>175.2</v>
      </c>
      <c r="R911" s="9" t="s">
        <v>195</v>
      </c>
      <c r="S911" s="9" t="s">
        <v>106</v>
      </c>
      <c r="T911" s="12">
        <f>IF($H911="Cancelled","",IFERROR(((Q911+INDEX(Variables!$B$6:$D$6,IFERROR(MATCH(IF($B911="Robusta","Robusta",(IF($B911="","Arabica",$B911))&amp;" - "&amp;(IF($C911="","Commercial",$C911))),Variables!$B$1:$D$1,0),1)))*22.0462)*(L911/16.67),""))</f>
        <v>18488.654829034189</v>
      </c>
      <c r="U911" s="10"/>
      <c r="V911" s="9" t="str">
        <f t="shared" si="91"/>
        <v/>
      </c>
      <c r="W911" s="10">
        <v>45673</v>
      </c>
      <c r="X911" s="9" t="str">
        <f t="shared" si="87"/>
        <v>Approved</v>
      </c>
      <c r="Y911" s="10">
        <v>45673</v>
      </c>
      <c r="Z911" s="10">
        <f>IF($H911="Cancelled","",IFERROR(IF(F911="","",F911-Variables!$B$13),""))</f>
        <v>45732</v>
      </c>
      <c r="AA911" s="11">
        <f>IF($H911="Cancelled","",IFERROR(IF(W911="","",(AVERAGE(E911:F911)-W911)-Variables!$B$14),""))</f>
        <v>15</v>
      </c>
      <c r="AB911" s="10">
        <v>45713</v>
      </c>
      <c r="AC911" s="11">
        <f>IF($H911="Cancelled","",IFERROR(IF(AB911="","",IF(AND(W911="",Y911=""),"",IF(Y911&gt;W911,Y911+Variables!$B$15+Variables!$B$16+Variables!$B$17-AB911,W911+Variables!$B$16+Variables!$B$17-AB911))),""))</f>
        <v>-32</v>
      </c>
      <c r="AD911" s="9" t="s">
        <v>163</v>
      </c>
      <c r="AE911" s="9" t="s">
        <v>769</v>
      </c>
      <c r="AF911" s="10">
        <v>45726</v>
      </c>
      <c r="AG911" s="10"/>
      <c r="AH911" s="9"/>
      <c r="AI911" s="9">
        <v>250600736</v>
      </c>
      <c r="AJ911" s="9" t="s">
        <v>8</v>
      </c>
      <c r="AK911" s="10">
        <v>45726</v>
      </c>
      <c r="AL911" s="10">
        <v>45729</v>
      </c>
      <c r="AM911" s="10">
        <v>45733</v>
      </c>
      <c r="AN911" s="9" t="s">
        <v>1492</v>
      </c>
      <c r="AO911" s="9"/>
      <c r="AP911" s="11">
        <f>IF($H911="Cancelled","",IFERROR(IF(OR(AK911="",AB911=""),"",(AB911+Variables!$B$18-AK911)),""))</f>
        <v>-6</v>
      </c>
      <c r="AQ911" s="11">
        <f>IF($H911="Cancelled","",IFERROR(IF(OR(AM911="",AK911=""),"",(AK911+Variables!$B$19)-AM911),""))</f>
        <v>-2</v>
      </c>
      <c r="AR911" s="12">
        <f>IF($H911="Cancelled","",IFERROR(T911*INDEX(Variables!$B$7:$D$7,IFERROR(MATCH(IF($B911="Robusta","Robusta",(IF($B911="","Arabica",$B911))&amp;" - "&amp;(IF($C911="","Commercial",$C911))),Variables!$B$1:$D$1,0),1))*(AQ911/365),""))</f>
        <v>-6.532543224201361</v>
      </c>
      <c r="AS911" s="12">
        <f>IF($H911="Cancelled","",IFERROR((T911*INDEX(Variables!$B$7:$D$7,IFERROR(MATCH(IF($B911="Robusta","Robusta",(IF($B911="","Arabica",$B911))&amp;" - "&amp;(IF($C911="","Commercial",$C911))),Variables!$B$1:$D$1,0),1))*IFERROR(IF(W911="","",(AVERAGE(E911:F911)-W911)-Variables!$B$14),"")/365)+(L911/16.67*INDEX(Variables!$B$8:$D$8,IFERROR(MATCH(IF($B911="Robusta","Robusta",(IF($B911="","Arabica",$B911))&amp;" - "&amp;(IF($C911="","Commercial",$C911))),Variables!$B$1:$D$1,0),1))*IFERROR(IF(W911="","",(AVERAGE(E911:F911)-W911)-Variables!$B$14),""))+(T911*INDEX(Variables!$B$9:$D$9,IFERROR(MATCH(IF($B911="Robusta","Robusta",(IF($B911="","Arabica",$B911))&amp;" - "&amp;(IF($C911="","Commercial",$C911))),Variables!$B$1:$D$1,0),1))*IFERROR(IF(W911="","",(AVERAGE(E911:F911)-W911)-Variables!$B$14),"")/365),""))</f>
        <v>72.125702349703758</v>
      </c>
      <c r="AT911" s="12">
        <f>IF($H911="Cancelled","",IFERROR((T911*INDEX(Variables!$B$7:$D$7,IFERROR(MATCH(IF($B911="Robusta","Robusta",(IF($B911="","Arabica",$B911))&amp;" - "&amp;(IF($C911="","Commercial",$C911))),Variables!$B$1:$D$1,0),1))*AC911/365)+(L911/16.67*INDEX(Variables!$B$8:$D$8,IFERROR(MATCH(IF($B911="Robusta","Robusta",(IF($B911="","Arabica",$B911))&amp;" - "&amp;(IF($C911="","Commercial",$C911))),Variables!$B$1:$D$1,0),1))*AC911)+(T911*INDEX(Variables!$B$9:$D$9,IFERROR(MATCH(IF($B911="Robusta","Robusta",(IF($B911="","Arabica",$B911))&amp;" - "&amp;(IF($C911="","Commercial",$C911))),Variables!$B$1:$D$1,0),1))*AC911/365),""))</f>
        <v>-153.86816501270135</v>
      </c>
      <c r="AU911" s="12">
        <f>IF($H911="Cancelled","",IFERROR((T911*INDEX(Variables!$B$7:$D$7,IFERROR(MATCH(IF($B911="Robusta","Robusta",(IF($B911="","Arabica",$B911))&amp;" - "&amp;(IF($C911="","Commercial",$C911))),Variables!$B$1:$D$1,0),1))*AP911/365)+(L911/16.67*INDEX(Variables!$B$8:$D$8,IFERROR(MATCH(IF($B911="Robusta","Robusta",(IF($B911="","Arabica",$B911))&amp;" - "&amp;(IF($C911="","Commercial",$C911))),Variables!$B$1:$D$1,0),1))*AP911)+(T911*INDEX(Variables!$B$9:$D$9,IFERROR(MATCH(IF($B911="Robusta","Robusta",(IF($B911="","Arabica",$B911))&amp;" - "&amp;(IF($C911="","Commercial",$C911))),Variables!$B$1:$D$1,0),1))*AP911/365),""))</f>
        <v>-28.850280939881497</v>
      </c>
      <c r="AV911" s="11">
        <f t="shared" si="90"/>
        <v>21</v>
      </c>
      <c r="AW911" s="12">
        <f>IF($H911="Cancelled","",IFERROR(IF(AV911="","",(T911*INDEX(Variables!$B$7:$D$7,IFERROR(MATCH(IF($B911="Robusta","Robusta",(IF($B911="","Arabica",$B911))&amp;" - "&amp;(IF($C911="","Commercial",$C911))),Variables!$B$1:$D$1,0),1))*(AV911/365))+(T911*INDEX(Variables!$B$9:$D$9,IFERROR(MATCH(IF($B911="Robusta","Robusta",(IF($B911="","Arabica",$B911))&amp;" - "&amp;(IF($C911="","Commercial",$C911))),Variables!$B$1:$D$1,0),1))*(AV911/365))+(INDEX(Variables!$B$8:$D$8,IFERROR(MATCH(IF($B911="Robusta","Robusta",(IF($B911="","Arabica",$B911))&amp;" - "&amp;(IF($C911="","Commercial",$C911))),Variables!$B$1:$D$1,0),1))*L911/16.67)),""))</f>
        <v>70.975983289585244</v>
      </c>
      <c r="AX911" s="9"/>
      <c r="AY911" s="12"/>
      <c r="AZ911" s="10"/>
      <c r="BA911" s="9"/>
      <c r="BB911" s="10"/>
      <c r="BC911" s="9"/>
      <c r="BD911" s="9"/>
      <c r="BE911" s="9"/>
      <c r="BF911" s="9"/>
    </row>
    <row r="912" spans="1:58" x14ac:dyDescent="0.25">
      <c r="A912" s="9" t="s">
        <v>84</v>
      </c>
      <c r="B912" s="9" t="s">
        <v>85</v>
      </c>
      <c r="C912" s="9" t="s">
        <v>1486</v>
      </c>
      <c r="D912" s="10">
        <v>45670</v>
      </c>
      <c r="E912" s="10">
        <v>45689</v>
      </c>
      <c r="F912" s="10">
        <v>45747</v>
      </c>
      <c r="G912" s="9">
        <v>3786595</v>
      </c>
      <c r="H912" s="9" t="str">
        <f t="shared" si="88"/>
        <v>Closed</v>
      </c>
      <c r="I912" s="9" t="str">
        <f t="shared" si="89"/>
        <v>All dates received</v>
      </c>
      <c r="J912" s="9" t="s">
        <v>235</v>
      </c>
      <c r="K912" s="9" t="s">
        <v>1950</v>
      </c>
      <c r="L912" s="11">
        <v>10</v>
      </c>
      <c r="M912" s="9" t="s">
        <v>1951</v>
      </c>
      <c r="N912" s="9"/>
      <c r="O912" s="9"/>
      <c r="P912" s="9"/>
      <c r="Q912" s="11">
        <v>135.19999999999999</v>
      </c>
      <c r="R912" s="9" t="s">
        <v>195</v>
      </c>
      <c r="S912" s="9" t="s">
        <v>106</v>
      </c>
      <c r="T912" s="12">
        <f>IF($H912="Cancelled","",IFERROR(((Q912+INDEX(Variables!$B$6:$D$6,IFERROR(MATCH(IF($B912="Robusta","Robusta",(IF($B912="","Arabica",$B912))&amp;" - "&amp;(IF($C912="","Commercial",$C912))),Variables!$B$1:$D$1,0),1)))*22.0462)*(L912/16.67),""))</f>
        <v>5633.8819436112763</v>
      </c>
      <c r="U912" s="10"/>
      <c r="V912" s="9" t="str">
        <f t="shared" si="91"/>
        <v/>
      </c>
      <c r="W912" s="10">
        <v>45673</v>
      </c>
      <c r="X912" s="9" t="str">
        <f t="shared" si="87"/>
        <v>Approved</v>
      </c>
      <c r="Y912" s="10">
        <v>45673</v>
      </c>
      <c r="Z912" s="10">
        <f>IF($H912="Cancelled","",IFERROR(IF(F912="","",F912-Variables!$B$13),""))</f>
        <v>45732</v>
      </c>
      <c r="AA912" s="11">
        <f>IF($H912="Cancelled","",IFERROR(IF(W912="","",(AVERAGE(E912:F912)-W912)-Variables!$B$14),""))</f>
        <v>15</v>
      </c>
      <c r="AB912" s="10">
        <v>45713</v>
      </c>
      <c r="AC912" s="11">
        <f>IF($H912="Cancelled","",IFERROR(IF(AB912="","",IF(AND(W912="",Y912=""),"",IF(Y912&gt;W912,Y912+Variables!$B$15+Variables!$B$16+Variables!$B$17-AB912,W912+Variables!$B$16+Variables!$B$17-AB912))),""))</f>
        <v>-32</v>
      </c>
      <c r="AD912" s="9" t="s">
        <v>163</v>
      </c>
      <c r="AE912" s="9" t="s">
        <v>769</v>
      </c>
      <c r="AF912" s="10">
        <v>45726</v>
      </c>
      <c r="AG912" s="10"/>
      <c r="AH912" s="9"/>
      <c r="AI912" s="9">
        <v>250600736</v>
      </c>
      <c r="AJ912" s="9" t="s">
        <v>8</v>
      </c>
      <c r="AK912" s="10">
        <v>45726</v>
      </c>
      <c r="AL912" s="10">
        <v>45729</v>
      </c>
      <c r="AM912" s="10">
        <v>45733</v>
      </c>
      <c r="AN912" s="9" t="s">
        <v>1492</v>
      </c>
      <c r="AO912" s="9"/>
      <c r="AP912" s="11">
        <f>IF($H912="Cancelled","",IFERROR(IF(OR(AK912="",AB912=""),"",(AB912+Variables!$B$18-AK912)),""))</f>
        <v>-6</v>
      </c>
      <c r="AQ912" s="11">
        <f>IF($H912="Cancelled","",IFERROR(IF(OR(AM912="",AK912=""),"",(AK912+Variables!$B$19)-AM912),""))</f>
        <v>-2</v>
      </c>
      <c r="AR912" s="12">
        <f>IF($H912="Cancelled","",IFERROR(T912*INDEX(Variables!$B$7:$D$7,IFERROR(MATCH(IF($B912="Robusta","Robusta",(IF($B912="","Arabica",$B912))&amp;" - "&amp;(IF($C912="","Commercial",$C912))),Variables!$B$1:$D$1,0),1))*(AQ912/365),""))</f>
        <v>-1.9906033000785264</v>
      </c>
      <c r="AS912" s="12">
        <f>IF($H912="Cancelled","",IFERROR((T912*INDEX(Variables!$B$7:$D$7,IFERROR(MATCH(IF($B912="Robusta","Robusta",(IF($B912="","Arabica",$B912))&amp;" - "&amp;(IF($C912="","Commercial",$C912))),Variables!$B$1:$D$1,0),1))*IFERROR(IF(W912="","",(AVERAGE(E912:F912)-W912)-Variables!$B$14),"")/365)+(L912/16.67*INDEX(Variables!$B$8:$D$8,IFERROR(MATCH(IF($B912="Robusta","Robusta",(IF($B912="","Arabica",$B912))&amp;" - "&amp;(IF($C912="","Commercial",$C912))),Variables!$B$1:$D$1,0),1))*IFERROR(IF(W912="","",(AVERAGE(E912:F912)-W912)-Variables!$B$14),""))+(T912*INDEX(Variables!$B$9:$D$9,IFERROR(MATCH(IF($B912="Robusta","Robusta",(IF($B912="","Arabica",$B912))&amp;" - "&amp;(IF($C912="","Commercial",$C912))),Variables!$B$1:$D$1,0),1))*IFERROR(IF(W912="","",(AVERAGE(E912:F912)-W912)-Variables!$B$14),"")/365),""))</f>
        <v>22.621995136605005</v>
      </c>
      <c r="AT912" s="12">
        <f>IF($H912="Cancelled","",IFERROR((T912*INDEX(Variables!$B$7:$D$7,IFERROR(MATCH(IF($B912="Robusta","Robusta",(IF($B912="","Arabica",$B912))&amp;" - "&amp;(IF($C912="","Commercial",$C912))),Variables!$B$1:$D$1,0),1))*AC912/365)+(L912/16.67*INDEX(Variables!$B$8:$D$8,IFERROR(MATCH(IF($B912="Robusta","Robusta",(IF($B912="","Arabica",$B912))&amp;" - "&amp;(IF($C912="","Commercial",$C912))),Variables!$B$1:$D$1,0),1))*AC912)+(T912*INDEX(Variables!$B$9:$D$9,IFERROR(MATCH(IF($B912="Robusta","Robusta",(IF($B912="","Arabica",$B912))&amp;" - "&amp;(IF($C912="","Commercial",$C912))),Variables!$B$1:$D$1,0),1))*AC912/365),""))</f>
        <v>-48.260256291424014</v>
      </c>
      <c r="AU912" s="12">
        <f>IF($H912="Cancelled","",IFERROR((T912*INDEX(Variables!$B$7:$D$7,IFERROR(MATCH(IF($B912="Robusta","Robusta",(IF($B912="","Arabica",$B912))&amp;" - "&amp;(IF($C912="","Commercial",$C912))),Variables!$B$1:$D$1,0),1))*AP912/365)+(L912/16.67*INDEX(Variables!$B$8:$D$8,IFERROR(MATCH(IF($B912="Robusta","Robusta",(IF($B912="","Arabica",$B912))&amp;" - "&amp;(IF($C912="","Commercial",$C912))),Variables!$B$1:$D$1,0),1))*AP912)+(T912*INDEX(Variables!$B$9:$D$9,IFERROR(MATCH(IF($B912="Robusta","Robusta",(IF($B912="","Arabica",$B912))&amp;" - "&amp;(IF($C912="","Commercial",$C912))),Variables!$B$1:$D$1,0),1))*AP912/365),""))</f>
        <v>-9.0487980546420008</v>
      </c>
      <c r="AV912" s="11">
        <f t="shared" si="90"/>
        <v>21</v>
      </c>
      <c r="AW912" s="12">
        <f>IF($H912="Cancelled","",IFERROR(IF(AV912="","",(T912*INDEX(Variables!$B$7:$D$7,IFERROR(MATCH(IF($B912="Robusta","Robusta",(IF($B912="","Arabica",$B912))&amp;" - "&amp;(IF($C912="","Commercial",$C912))),Variables!$B$1:$D$1,0),1))*(AV912/365))+(T912*INDEX(Variables!$B$9:$D$9,IFERROR(MATCH(IF($B912="Robusta","Robusta",(IF($B912="","Arabica",$B912))&amp;" - "&amp;(IF($C912="","Commercial",$C912))),Variables!$B$1:$D$1,0),1))*(AV912/365))+(INDEX(Variables!$B$8:$D$8,IFERROR(MATCH(IF($B912="Robusta","Robusta",(IF($B912="","Arabica",$B912))&amp;" - "&amp;(IF($C912="","Commercial",$C912))),Variables!$B$1:$D$1,0),1))*L912/16.67)),""))</f>
        <v>21.670793191247007</v>
      </c>
      <c r="AX912" s="9"/>
      <c r="AY912" s="12"/>
      <c r="AZ912" s="10"/>
      <c r="BA912" s="9"/>
      <c r="BB912" s="10"/>
      <c r="BC912" s="9"/>
      <c r="BD912" s="9"/>
      <c r="BE912" s="9"/>
      <c r="BF912" s="9"/>
    </row>
    <row r="913" spans="1:58" x14ac:dyDescent="0.25">
      <c r="A913" s="9" t="s">
        <v>84</v>
      </c>
      <c r="B913" s="9" t="s">
        <v>85</v>
      </c>
      <c r="C913" s="9" t="s">
        <v>1486</v>
      </c>
      <c r="D913" s="10">
        <v>45681</v>
      </c>
      <c r="E913" s="10">
        <v>45689</v>
      </c>
      <c r="F913" s="10">
        <v>45747</v>
      </c>
      <c r="G913" s="9">
        <v>3786633</v>
      </c>
      <c r="H913" s="9" t="str">
        <f t="shared" si="88"/>
        <v>Closed</v>
      </c>
      <c r="I913" s="9" t="str">
        <f t="shared" si="89"/>
        <v>All dates received</v>
      </c>
      <c r="J913" s="9" t="s">
        <v>235</v>
      </c>
      <c r="K913" s="9" t="s">
        <v>1952</v>
      </c>
      <c r="L913" s="11">
        <v>115</v>
      </c>
      <c r="M913" s="9" t="s">
        <v>1953</v>
      </c>
      <c r="N913" s="9"/>
      <c r="O913" s="9"/>
      <c r="P913" s="9"/>
      <c r="Q913" s="11">
        <v>188.85</v>
      </c>
      <c r="R913" s="9" t="s">
        <v>90</v>
      </c>
      <c r="S913" s="9" t="s">
        <v>106</v>
      </c>
      <c r="T913" s="12">
        <f>IF($H913="Cancelled","",IFERROR(((Q913+INDEX(Variables!$B$6:$D$6,IFERROR(MATCH(IF($B913="Robusta","Robusta",(IF($B913="","Arabica",$B913))&amp;" - "&amp;(IF($C913="","Commercial",$C913))),Variables!$B$1:$D$1,0),1)))*22.0462)*(L913/16.67),""))</f>
        <v>72949.182990401911</v>
      </c>
      <c r="U913" s="10"/>
      <c r="V913" s="9" t="str">
        <f t="shared" si="91"/>
        <v/>
      </c>
      <c r="W913" s="10">
        <v>45673</v>
      </c>
      <c r="X913" s="9" t="str">
        <f t="shared" si="87"/>
        <v>Approved</v>
      </c>
      <c r="Y913" s="10">
        <v>45673</v>
      </c>
      <c r="Z913" s="10">
        <f>IF($H913="Cancelled","",IFERROR(IF(F913="","",F913-Variables!$B$13),""))</f>
        <v>45732</v>
      </c>
      <c r="AA913" s="11">
        <f>IF($H913="Cancelled","",IFERROR(IF(W913="","",(AVERAGE(E913:F913)-W913)-Variables!$B$14),""))</f>
        <v>15</v>
      </c>
      <c r="AB913" s="10">
        <v>45713</v>
      </c>
      <c r="AC913" s="11">
        <f>IF($H913="Cancelled","",IFERROR(IF(AB913="","",IF(AND(W913="",Y913=""),"",IF(Y913&gt;W913,Y913+Variables!$B$15+Variables!$B$16+Variables!$B$17-AB913,W913+Variables!$B$16+Variables!$B$17-AB913))),""))</f>
        <v>-32</v>
      </c>
      <c r="AD913" s="9" t="s">
        <v>163</v>
      </c>
      <c r="AE913" s="9" t="s">
        <v>769</v>
      </c>
      <c r="AF913" s="10">
        <v>45726</v>
      </c>
      <c r="AG913" s="10"/>
      <c r="AH913" s="9"/>
      <c r="AI913" s="9">
        <v>250600736</v>
      </c>
      <c r="AJ913" s="9" t="s">
        <v>8</v>
      </c>
      <c r="AK913" s="10">
        <v>45726</v>
      </c>
      <c r="AL913" s="10">
        <v>45729</v>
      </c>
      <c r="AM913" s="10">
        <v>45733</v>
      </c>
      <c r="AN913" s="9" t="s">
        <v>1492</v>
      </c>
      <c r="AO913" s="9"/>
      <c r="AP913" s="11">
        <f>IF($H913="Cancelled","",IFERROR(IF(OR(AK913="",AB913=""),"",(AB913+Variables!$B$18-AK913)),""))</f>
        <v>-6</v>
      </c>
      <c r="AQ913" s="11">
        <f>IF($H913="Cancelled","",IFERROR(IF(OR(AM913="",AK913=""),"",(AK913+Variables!$B$19)-AM913),""))</f>
        <v>-2</v>
      </c>
      <c r="AR913" s="12">
        <f>IF($H913="Cancelled","",IFERROR(T913*INDEX(Variables!$B$7:$D$7,IFERROR(MATCH(IF($B913="Robusta","Robusta",(IF($B913="","Arabica",$B913))&amp;" - "&amp;(IF($C913="","Commercial",$C913))),Variables!$B$1:$D$1,0),1))*(AQ913/365),""))</f>
        <v>-25.774924972184628</v>
      </c>
      <c r="AS913" s="12">
        <f>IF($H913="Cancelled","",IFERROR((T913*INDEX(Variables!$B$7:$D$7,IFERROR(MATCH(IF($B913="Robusta","Robusta",(IF($B913="","Arabica",$B913))&amp;" - "&amp;(IF($C913="","Commercial",$C913))),Variables!$B$1:$D$1,0),1))*IFERROR(IF(W913="","",(AVERAGE(E913:F913)-W913)-Variables!$B$14),"")/365)+(L913/16.67*INDEX(Variables!$B$8:$D$8,IFERROR(MATCH(IF($B913="Robusta","Robusta",(IF($B913="","Arabica",$B913))&amp;" - "&amp;(IF($C913="","Commercial",$C913))),Variables!$B$1:$D$1,0),1))*IFERROR(IF(W913="","",(AVERAGE(E913:F913)-W913)-Variables!$B$14),""))+(T913*INDEX(Variables!$B$9:$D$9,IFERROR(MATCH(IF($B913="Robusta","Robusta",(IF($B913="","Arabica",$B913))&amp;" - "&amp;(IF($C913="","Commercial",$C913))),Variables!$B$1:$D$1,0),1))*IFERROR(IF(W913="","",(AVERAGE(E913:F913)-W913)-Variables!$B$14),"")/365),""))</f>
        <v>282.05410122918971</v>
      </c>
      <c r="AT913" s="12">
        <f>IF($H913="Cancelled","",IFERROR((T913*INDEX(Variables!$B$7:$D$7,IFERROR(MATCH(IF($B913="Robusta","Robusta",(IF($B913="","Arabica",$B913))&amp;" - "&amp;(IF($C913="","Commercial",$C913))),Variables!$B$1:$D$1,0),1))*AC913/365)+(L913/16.67*INDEX(Variables!$B$8:$D$8,IFERROR(MATCH(IF($B913="Robusta","Robusta",(IF($B913="","Arabica",$B913))&amp;" - "&amp;(IF($C913="","Commercial",$C913))),Variables!$B$1:$D$1,0),1))*AC913)+(T913*INDEX(Variables!$B$9:$D$9,IFERROR(MATCH(IF($B913="Robusta","Robusta",(IF($B913="","Arabica",$B913))&amp;" - "&amp;(IF($C913="","Commercial",$C913))),Variables!$B$1:$D$1,0),1))*AC913/365),""))</f>
        <v>-601.71541595560473</v>
      </c>
      <c r="AU913" s="12">
        <f>IF($H913="Cancelled","",IFERROR((T913*INDEX(Variables!$B$7:$D$7,IFERROR(MATCH(IF($B913="Robusta","Robusta",(IF($B913="","Arabica",$B913))&amp;" - "&amp;(IF($C913="","Commercial",$C913))),Variables!$B$1:$D$1,0),1))*AP913/365)+(L913/16.67*INDEX(Variables!$B$8:$D$8,IFERROR(MATCH(IF($B913="Robusta","Robusta",(IF($B913="","Arabica",$B913))&amp;" - "&amp;(IF($C913="","Commercial",$C913))),Variables!$B$1:$D$1,0),1))*AP913)+(T913*INDEX(Variables!$B$9:$D$9,IFERROR(MATCH(IF($B913="Robusta","Robusta",(IF($B913="","Arabica",$B913))&amp;" - "&amp;(IF($C913="","Commercial",$C913))),Variables!$B$1:$D$1,0),1))*AP913/365),""))</f>
        <v>-112.82164049167586</v>
      </c>
      <c r="AV913" s="11">
        <f t="shared" si="90"/>
        <v>21</v>
      </c>
      <c r="AW913" s="12">
        <f>IF($H913="Cancelled","",IFERROR(IF(AV913="","",(T913*INDEX(Variables!$B$7:$D$7,IFERROR(MATCH(IF($B913="Robusta","Robusta",(IF($B913="","Arabica",$B913))&amp;" - "&amp;(IF($C913="","Commercial",$C913))),Variables!$B$1:$D$1,0),1))*(AV913/365))+(T913*INDEX(Variables!$B$9:$D$9,IFERROR(MATCH(IF($B913="Robusta","Robusta",(IF($B913="","Arabica",$B913))&amp;" - "&amp;(IF($C913="","Commercial",$C913))),Variables!$B$1:$D$1,0),1))*(AV913/365))+(INDEX(Variables!$B$8:$D$8,IFERROR(MATCH(IF($B913="Robusta","Robusta",(IF($B913="","Arabica",$B913))&amp;" - "&amp;(IF($C913="","Commercial",$C913))),Variables!$B$1:$D$1,0),1))*L913/16.67)),""))</f>
        <v>279.87574172086556</v>
      </c>
      <c r="AX913" s="9"/>
      <c r="AY913" s="12"/>
      <c r="AZ913" s="10"/>
      <c r="BA913" s="9"/>
      <c r="BB913" s="10"/>
      <c r="BC913" s="9"/>
      <c r="BD913" s="9"/>
      <c r="BE913" s="9"/>
      <c r="BF913" s="9"/>
    </row>
    <row r="914" spans="1:58" x14ac:dyDescent="0.25">
      <c r="A914" s="9" t="s">
        <v>84</v>
      </c>
      <c r="B914" s="9" t="s">
        <v>85</v>
      </c>
      <c r="C914" s="9" t="s">
        <v>1486</v>
      </c>
      <c r="D914" s="10">
        <v>45681</v>
      </c>
      <c r="E914" s="10">
        <v>45689</v>
      </c>
      <c r="F914" s="10">
        <v>45747</v>
      </c>
      <c r="G914" s="9">
        <v>3786634</v>
      </c>
      <c r="H914" s="9" t="str">
        <f t="shared" si="88"/>
        <v>Closed</v>
      </c>
      <c r="I914" s="9" t="str">
        <f t="shared" si="89"/>
        <v>All dates received</v>
      </c>
      <c r="J914" s="9" t="s">
        <v>235</v>
      </c>
      <c r="K914" s="9" t="s">
        <v>1954</v>
      </c>
      <c r="L914" s="11">
        <v>60</v>
      </c>
      <c r="M914" s="9" t="s">
        <v>1955</v>
      </c>
      <c r="N914" s="9"/>
      <c r="O914" s="9"/>
      <c r="P914" s="9"/>
      <c r="Q914" s="11">
        <v>58</v>
      </c>
      <c r="R914" s="9" t="s">
        <v>90</v>
      </c>
      <c r="S914" s="9" t="s">
        <v>106</v>
      </c>
      <c r="T914" s="12">
        <f>IF($H914="Cancelled","",IFERROR(((Q914+INDEX(Variables!$B$6:$D$6,IFERROR(MATCH(IF($B914="Robusta","Robusta",(IF($B914="","Arabica",$B914))&amp;" - "&amp;(IF($C914="","Commercial",$C914))),Variables!$B$1:$D$1,0),1)))*22.0462)*(L914/16.67),""))</f>
        <v>27677.436928614272</v>
      </c>
      <c r="U914" s="10"/>
      <c r="V914" s="9" t="str">
        <f t="shared" si="91"/>
        <v/>
      </c>
      <c r="W914" s="10">
        <v>45673</v>
      </c>
      <c r="X914" s="9" t="str">
        <f t="shared" si="87"/>
        <v>Approved</v>
      </c>
      <c r="Y914" s="10">
        <v>45673</v>
      </c>
      <c r="Z914" s="10">
        <f>IF($H914="Cancelled","",IFERROR(IF(F914="","",F914-Variables!$B$13),""))</f>
        <v>45732</v>
      </c>
      <c r="AA914" s="11">
        <f>IF($H914="Cancelled","",IFERROR(IF(W914="","",(AVERAGE(E914:F914)-W914)-Variables!$B$14),""))</f>
        <v>15</v>
      </c>
      <c r="AB914" s="10">
        <v>45713</v>
      </c>
      <c r="AC914" s="11">
        <f>IF($H914="Cancelled","",IFERROR(IF(AB914="","",IF(AND(W914="",Y914=""),"",IF(Y914&gt;W914,Y914+Variables!$B$15+Variables!$B$16+Variables!$B$17-AB914,W914+Variables!$B$16+Variables!$B$17-AB914))),""))</f>
        <v>-32</v>
      </c>
      <c r="AD914" s="9" t="s">
        <v>163</v>
      </c>
      <c r="AE914" s="9" t="s">
        <v>769</v>
      </c>
      <c r="AF914" s="10">
        <v>45726</v>
      </c>
      <c r="AG914" s="10"/>
      <c r="AH914" s="9"/>
      <c r="AI914" s="9">
        <v>250600736</v>
      </c>
      <c r="AJ914" s="9" t="s">
        <v>8</v>
      </c>
      <c r="AK914" s="10">
        <v>45726</v>
      </c>
      <c r="AL914" s="10">
        <v>45729</v>
      </c>
      <c r="AM914" s="10">
        <v>45733</v>
      </c>
      <c r="AN914" s="9" t="s">
        <v>1492</v>
      </c>
      <c r="AO914" s="9"/>
      <c r="AP914" s="11">
        <f>IF($H914="Cancelled","",IFERROR(IF(OR(AK914="",AB914=""),"",(AB914+Variables!$B$18-AK914)),""))</f>
        <v>-6</v>
      </c>
      <c r="AQ914" s="11">
        <f>IF($H914="Cancelled","",IFERROR(IF(OR(AM914="",AK914=""),"",(AK914+Variables!$B$19)-AM914),""))</f>
        <v>-2</v>
      </c>
      <c r="AR914" s="12">
        <f>IF($H914="Cancelled","",IFERROR(T914*INDEX(Variables!$B$7:$D$7,IFERROR(MATCH(IF($B914="Robusta","Robusta",(IF($B914="","Arabica",$B914))&amp;" - "&amp;(IF($C914="","Commercial",$C914))),Variables!$B$1:$D$1,0),1))*(AQ914/365),""))</f>
        <v>-9.7791891699632405</v>
      </c>
      <c r="AS914" s="12">
        <f>IF($H914="Cancelled","",IFERROR((T914*INDEX(Variables!$B$7:$D$7,IFERROR(MATCH(IF($B914="Robusta","Robusta",(IF($B914="","Arabica",$B914))&amp;" - "&amp;(IF($C914="","Commercial",$C914))),Variables!$B$1:$D$1,0),1))*IFERROR(IF(W914="","",(AVERAGE(E914:F914)-W914)-Variables!$B$14),"")/365)+(L914/16.67*INDEX(Variables!$B$8:$D$8,IFERROR(MATCH(IF($B914="Robusta","Robusta",(IF($B914="","Arabica",$B914))&amp;" - "&amp;(IF($C914="","Commercial",$C914))),Variables!$B$1:$D$1,0),1))*IFERROR(IF(W914="","",(AVERAGE(E914:F914)-W914)-Variables!$B$14),""))+(T914*INDEX(Variables!$B$9:$D$9,IFERROR(MATCH(IF($B914="Robusta","Robusta",(IF($B914="","Arabica",$B914))&amp;" - "&amp;(IF($C914="","Commercial",$C914))),Variables!$B$1:$D$1,0),1))*IFERROR(IF(W914="","",(AVERAGE(E914:F914)-W914)-Variables!$B$14),"")/365),""))</f>
        <v>119.28946343165953</v>
      </c>
      <c r="AT914" s="12">
        <f>IF($H914="Cancelled","",IFERROR((T914*INDEX(Variables!$B$7:$D$7,IFERROR(MATCH(IF($B914="Robusta","Robusta",(IF($B914="","Arabica",$B914))&amp;" - "&amp;(IF($C914="","Commercial",$C914))),Variables!$B$1:$D$1,0),1))*AC914/365)+(L914/16.67*INDEX(Variables!$B$8:$D$8,IFERROR(MATCH(IF($B914="Robusta","Robusta",(IF($B914="","Arabica",$B914))&amp;" - "&amp;(IF($C914="","Commercial",$C914))),Variables!$B$1:$D$1,0),1))*AC914)+(T914*INDEX(Variables!$B$9:$D$9,IFERROR(MATCH(IF($B914="Robusta","Robusta",(IF($B914="","Arabica",$B914))&amp;" - "&amp;(IF($C914="","Commercial",$C914))),Variables!$B$1:$D$1,0),1))*AC914/365),""))</f>
        <v>-254.48418865420697</v>
      </c>
      <c r="AU914" s="12">
        <f>IF($H914="Cancelled","",IFERROR((T914*INDEX(Variables!$B$7:$D$7,IFERROR(MATCH(IF($B914="Robusta","Robusta",(IF($B914="","Arabica",$B914))&amp;" - "&amp;(IF($C914="","Commercial",$C914))),Variables!$B$1:$D$1,0),1))*AP914/365)+(L914/16.67*INDEX(Variables!$B$8:$D$8,IFERROR(MATCH(IF($B914="Robusta","Robusta",(IF($B914="","Arabica",$B914))&amp;" - "&amp;(IF($C914="","Commercial",$C914))),Variables!$B$1:$D$1,0),1))*AP914)+(T914*INDEX(Variables!$B$9:$D$9,IFERROR(MATCH(IF($B914="Robusta","Robusta",(IF($B914="","Arabica",$B914))&amp;" - "&amp;(IF($C914="","Commercial",$C914))),Variables!$B$1:$D$1,0),1))*AP914/365),""))</f>
        <v>-47.715785372663802</v>
      </c>
      <c r="AV914" s="11">
        <f t="shared" si="90"/>
        <v>21</v>
      </c>
      <c r="AW914" s="12">
        <f>IF($H914="Cancelled","",IFERROR(IF(AV914="","",(T914*INDEX(Variables!$B$7:$D$7,IFERROR(MATCH(IF($B914="Robusta","Robusta",(IF($B914="","Arabica",$B914))&amp;" - "&amp;(IF($C914="","Commercial",$C914))),Variables!$B$1:$D$1,0),1))*(AV914/365))+(T914*INDEX(Variables!$B$9:$D$9,IFERROR(MATCH(IF($B914="Robusta","Robusta",(IF($B914="","Arabica",$B914))&amp;" - "&amp;(IF($C914="","Commercial",$C914))),Variables!$B$1:$D$1,0),1))*(AV914/365))+(INDEX(Variables!$B$8:$D$8,IFERROR(MATCH(IF($B914="Robusta","Robusta",(IF($B914="","Arabica",$B914))&amp;" - "&amp;(IF($C914="","Commercial",$C914))),Variables!$B$1:$D$1,0),1))*L914/16.67)),""))</f>
        <v>107.00524880432333</v>
      </c>
      <c r="AX914" s="9"/>
      <c r="AY914" s="12"/>
      <c r="AZ914" s="10"/>
      <c r="BA914" s="9"/>
      <c r="BB914" s="10"/>
      <c r="BC914" s="9"/>
      <c r="BD914" s="9"/>
      <c r="BE914" s="9"/>
      <c r="BF914" s="9"/>
    </row>
    <row r="915" spans="1:58" x14ac:dyDescent="0.25">
      <c r="A915" s="9" t="s">
        <v>84</v>
      </c>
      <c r="B915" s="9" t="s">
        <v>85</v>
      </c>
      <c r="C915" s="9" t="s">
        <v>1486</v>
      </c>
      <c r="D915" s="10">
        <v>45681</v>
      </c>
      <c r="E915" s="10">
        <v>45689</v>
      </c>
      <c r="F915" s="10">
        <v>45747</v>
      </c>
      <c r="G915" s="9">
        <v>3786627</v>
      </c>
      <c r="H915" s="9" t="str">
        <f t="shared" si="88"/>
        <v>Closed</v>
      </c>
      <c r="I915" s="9" t="str">
        <f t="shared" si="89"/>
        <v>All dates received</v>
      </c>
      <c r="J915" s="9" t="s">
        <v>235</v>
      </c>
      <c r="K915" s="9" t="s">
        <v>1956</v>
      </c>
      <c r="L915" s="11">
        <v>50</v>
      </c>
      <c r="M915" s="9" t="s">
        <v>1957</v>
      </c>
      <c r="N915" s="9"/>
      <c r="O915" s="9"/>
      <c r="P915" s="9"/>
      <c r="Q915" s="11">
        <v>175.85</v>
      </c>
      <c r="R915" s="9" t="s">
        <v>195</v>
      </c>
      <c r="S915" s="9" t="s">
        <v>106</v>
      </c>
      <c r="T915" s="12">
        <f>IF($H915="Cancelled","",IFERROR(((Q915+INDEX(Variables!$B$6:$D$6,IFERROR(MATCH(IF($B915="Robusta","Robusta",(IF($B915="","Arabica",$B915))&amp;" - "&amp;(IF($C915="","Commercial",$C915))),Variables!$B$1:$D$1,0),1)))*22.0462)*(L915/16.67),""))</f>
        <v>30857.406208758239</v>
      </c>
      <c r="U915" s="10"/>
      <c r="V915" s="9" t="str">
        <f t="shared" si="91"/>
        <v/>
      </c>
      <c r="W915" s="10">
        <v>45673</v>
      </c>
      <c r="X915" s="9" t="str">
        <f t="shared" si="87"/>
        <v>Approved</v>
      </c>
      <c r="Y915" s="10">
        <v>45732</v>
      </c>
      <c r="Z915" s="10">
        <f>IF($H915="Cancelled","",IFERROR(IF(F915="","",F915-Variables!$B$13),""))</f>
        <v>45732</v>
      </c>
      <c r="AA915" s="11">
        <f>IF($H915="Cancelled","",IFERROR(IF(W915="","",(AVERAGE(E915:F915)-W915)-Variables!$B$14),""))</f>
        <v>15</v>
      </c>
      <c r="AB915" s="10">
        <v>45748</v>
      </c>
      <c r="AC915" s="11">
        <f>IF($H915="Cancelled","",IFERROR(IF(AB915="","",IF(AND(W915="",Y915=""),"",IF(Y915&gt;W915,Y915+Variables!$B$15+Variables!$B$16+Variables!$B$17-AB915,W915+Variables!$B$16+Variables!$B$17-AB915))),""))</f>
        <v>-1</v>
      </c>
      <c r="AD915" s="9" t="s">
        <v>163</v>
      </c>
      <c r="AE915" s="9" t="s">
        <v>324</v>
      </c>
      <c r="AF915" s="10"/>
      <c r="AG915" s="10"/>
      <c r="AH915" s="9"/>
      <c r="AI915" s="9">
        <v>252064493</v>
      </c>
      <c r="AJ915" s="9" t="s">
        <v>8</v>
      </c>
      <c r="AK915" s="10">
        <v>45754</v>
      </c>
      <c r="AL915" s="10">
        <v>45758</v>
      </c>
      <c r="AM915" s="10">
        <v>45772</v>
      </c>
      <c r="AN915" s="9" t="s">
        <v>1492</v>
      </c>
      <c r="AO915" s="9"/>
      <c r="AP915" s="11">
        <f>IF($H915="Cancelled","",IFERROR(IF(OR(AK915="",AB915=""),"",(AB915+Variables!$B$18-AK915)),""))</f>
        <v>1</v>
      </c>
      <c r="AQ915" s="11">
        <f>IF($H915="Cancelled","",IFERROR(IF(OR(AM915="",AK915=""),"",(AK915+Variables!$B$19)-AM915),""))</f>
        <v>-13</v>
      </c>
      <c r="AR915" s="12">
        <f>IF($H915="Cancelled","",IFERROR(T915*INDEX(Variables!$B$7:$D$7,IFERROR(MATCH(IF($B915="Robusta","Robusta",(IF($B915="","Arabica",$B915))&amp;" - "&amp;(IF($C915="","Commercial",$C915))),Variables!$B$1:$D$1,0),1))*(AQ915/365),""))</f>
        <v>-70.867930691087892</v>
      </c>
      <c r="AS915" s="12">
        <f>IF($H915="Cancelled","",IFERROR((T915*INDEX(Variables!$B$7:$D$7,IFERROR(MATCH(IF($B915="Robusta","Robusta",(IF($B915="","Arabica",$B915))&amp;" - "&amp;(IF($C915="","Commercial",$C915))),Variables!$B$1:$D$1,0),1))*IFERROR(IF(W915="","",(AVERAGE(E915:F915)-W915)-Variables!$B$14),"")/365)+(L915/16.67*INDEX(Variables!$B$8:$D$8,IFERROR(MATCH(IF($B915="Robusta","Robusta",(IF($B915="","Arabica",$B915))&amp;" - "&amp;(IF($C915="","Commercial",$C915))),Variables!$B$1:$D$1,0),1))*IFERROR(IF(W915="","",(AVERAGE(E915:F915)-W915)-Variables!$B$14),""))+(T915*INDEX(Variables!$B$9:$D$9,IFERROR(MATCH(IF($B915="Robusta","Robusta",(IF($B915="","Arabica",$B915))&amp;" - "&amp;(IF($C915="","Commercial",$C915))),Variables!$B$1:$D$1,0),1))*IFERROR(IF(W915="","",(AVERAGE(E915:F915)-W915)-Variables!$B$14),"")/365),""))</f>
        <v>120.32487124996157</v>
      </c>
      <c r="AT915" s="12">
        <f>IF($H915="Cancelled","",IFERROR((T915*INDEX(Variables!$B$7:$D$7,IFERROR(MATCH(IF($B915="Robusta","Robusta",(IF($B915="","Arabica",$B915))&amp;" - "&amp;(IF($C915="","Commercial",$C915))),Variables!$B$1:$D$1,0),1))*AC915/365)+(L915/16.67*INDEX(Variables!$B$8:$D$8,IFERROR(MATCH(IF($B915="Robusta","Robusta",(IF($B915="","Arabica",$B915))&amp;" - "&amp;(IF($C915="","Commercial",$C915))),Variables!$B$1:$D$1,0),1))*AC915)+(T915*INDEX(Variables!$B$9:$D$9,IFERROR(MATCH(IF($B915="Robusta","Robusta",(IF($B915="","Arabica",$B915))&amp;" - "&amp;(IF($C915="","Commercial",$C915))),Variables!$B$1:$D$1,0),1))*AC915/365),""))</f>
        <v>-8.0216580833307702</v>
      </c>
      <c r="AU915" s="12">
        <f>IF($H915="Cancelled","",IFERROR((T915*INDEX(Variables!$B$7:$D$7,IFERROR(MATCH(IF($B915="Robusta","Robusta",(IF($B915="","Arabica",$B915))&amp;" - "&amp;(IF($C915="","Commercial",$C915))),Variables!$B$1:$D$1,0),1))*AP915/365)+(L915/16.67*INDEX(Variables!$B$8:$D$8,IFERROR(MATCH(IF($B915="Robusta","Robusta",(IF($B915="","Arabica",$B915))&amp;" - "&amp;(IF($C915="","Commercial",$C915))),Variables!$B$1:$D$1,0),1))*AP915)+(T915*INDEX(Variables!$B$9:$D$9,IFERROR(MATCH(IF($B915="Robusta","Robusta",(IF($B915="","Arabica",$B915))&amp;" - "&amp;(IF($C915="","Commercial",$C915))),Variables!$B$1:$D$1,0),1))*AP915/365),""))</f>
        <v>8.0216580833307702</v>
      </c>
      <c r="AV915" s="11">
        <f t="shared" si="90"/>
        <v>-7</v>
      </c>
      <c r="AW915" s="12">
        <f>IF($H915="Cancelled","",IFERROR(IF(AV915="","",(T915*INDEX(Variables!$B$7:$D$7,IFERROR(MATCH(IF($B915="Robusta","Robusta",(IF($B915="","Arabica",$B915))&amp;" - "&amp;(IF($C915="","Commercial",$C915))),Variables!$B$1:$D$1,0),1))*(AV915/365))+(T915*INDEX(Variables!$B$9:$D$9,IFERROR(MATCH(IF($B915="Robusta","Robusta",(IF($B915="","Arabica",$B915))&amp;" - "&amp;(IF($C915="","Commercial",$C915))),Variables!$B$1:$D$1,0),1))*(AV915/365))+(INDEX(Variables!$B$8:$D$8,IFERROR(MATCH(IF($B915="Robusta","Robusta",(IF($B915="","Arabica",$B915))&amp;" - "&amp;(IF($C915="","Commercial",$C915))),Variables!$B$1:$D$1,0),1))*L915/16.67)),""))</f>
        <v>-36.151606583315399</v>
      </c>
      <c r="AX915" s="9"/>
      <c r="AY915" s="12"/>
      <c r="AZ915" s="10"/>
      <c r="BA915" s="9"/>
      <c r="BB915" s="10"/>
      <c r="BC915" s="9"/>
      <c r="BD915" s="9"/>
      <c r="BE915" s="9"/>
      <c r="BF915" s="9"/>
    </row>
    <row r="916" spans="1:58" x14ac:dyDescent="0.25">
      <c r="A916" s="9" t="s">
        <v>84</v>
      </c>
      <c r="B916" s="9" t="s">
        <v>85</v>
      </c>
      <c r="C916" s="9" t="s">
        <v>1486</v>
      </c>
      <c r="D916" s="10">
        <v>45681</v>
      </c>
      <c r="E916" s="10">
        <v>45689</v>
      </c>
      <c r="F916" s="10">
        <v>45747</v>
      </c>
      <c r="G916" s="9">
        <v>3786629</v>
      </c>
      <c r="H916" s="9" t="str">
        <f t="shared" si="88"/>
        <v>Closed</v>
      </c>
      <c r="I916" s="9" t="str">
        <f t="shared" si="89"/>
        <v>All dates received</v>
      </c>
      <c r="J916" s="9" t="s">
        <v>235</v>
      </c>
      <c r="K916" s="9" t="s">
        <v>1958</v>
      </c>
      <c r="L916" s="11">
        <v>19</v>
      </c>
      <c r="M916" s="9" t="s">
        <v>1959</v>
      </c>
      <c r="N916" s="9"/>
      <c r="O916" s="9"/>
      <c r="P916" s="9"/>
      <c r="Q916" s="11">
        <v>176.85</v>
      </c>
      <c r="R916" s="9" t="s">
        <v>195</v>
      </c>
      <c r="S916" s="9" t="s">
        <v>106</v>
      </c>
      <c r="T916" s="12">
        <f>IF($H916="Cancelled","",IFERROR(((Q916+INDEX(Variables!$B$6:$D$6,IFERROR(MATCH(IF($B916="Robusta","Robusta",(IF($B916="","Arabica",$B916))&amp;" - "&amp;(IF($C916="","Commercial",$C916))),Variables!$B$1:$D$1,0),1)))*22.0462)*(L916/16.67),""))</f>
        <v>11750.942001799638</v>
      </c>
      <c r="U916" s="10"/>
      <c r="V916" s="9" t="str">
        <f t="shared" si="91"/>
        <v/>
      </c>
      <c r="W916" s="10">
        <v>45673</v>
      </c>
      <c r="X916" s="9" t="str">
        <f t="shared" si="87"/>
        <v>Approved</v>
      </c>
      <c r="Y916" s="10">
        <v>45732</v>
      </c>
      <c r="Z916" s="10">
        <f>IF($H916="Cancelled","",IFERROR(IF(F916="","",F916-Variables!$B$13),""))</f>
        <v>45732</v>
      </c>
      <c r="AA916" s="11">
        <f>IF($H916="Cancelled","",IFERROR(IF(W916="","",(AVERAGE(E916:F916)-W916)-Variables!$B$14),""))</f>
        <v>15</v>
      </c>
      <c r="AB916" s="10">
        <v>45748</v>
      </c>
      <c r="AC916" s="11">
        <f>IF($H916="Cancelled","",IFERROR(IF(AB916="","",IF(AND(W916="",Y916=""),"",IF(Y916&gt;W916,Y916+Variables!$B$15+Variables!$B$16+Variables!$B$17-AB916,W916+Variables!$B$16+Variables!$B$17-AB916))),""))</f>
        <v>-1</v>
      </c>
      <c r="AD916" s="9" t="s">
        <v>163</v>
      </c>
      <c r="AE916" s="9" t="s">
        <v>324</v>
      </c>
      <c r="AF916" s="10"/>
      <c r="AG916" s="10"/>
      <c r="AH916" s="9"/>
      <c r="AI916" s="9">
        <v>252064493</v>
      </c>
      <c r="AJ916" s="9" t="s">
        <v>8</v>
      </c>
      <c r="AK916" s="10">
        <v>45754</v>
      </c>
      <c r="AL916" s="10">
        <v>45758</v>
      </c>
      <c r="AM916" s="10">
        <v>45772</v>
      </c>
      <c r="AN916" s="9" t="s">
        <v>1492</v>
      </c>
      <c r="AO916" s="9"/>
      <c r="AP916" s="11">
        <f>IF($H916="Cancelled","",IFERROR(IF(OR(AK916="",AB916=""),"",(AB916+Variables!$B$18-AK916)),""))</f>
        <v>1</v>
      </c>
      <c r="AQ916" s="11">
        <f>IF($H916="Cancelled","",IFERROR(IF(OR(AM916="",AK916=""),"",(AK916+Variables!$B$19)-AM916),""))</f>
        <v>-13</v>
      </c>
      <c r="AR916" s="12">
        <f>IF($H916="Cancelled","",IFERROR(T916*INDEX(Variables!$B$7:$D$7,IFERROR(MATCH(IF($B916="Robusta","Robusta",(IF($B916="","Arabica",$B916))&amp;" - "&amp;(IF($C916="","Commercial",$C916))),Variables!$B$1:$D$1,0),1))*(AQ916/365),""))</f>
        <v>-26.987522467204879</v>
      </c>
      <c r="AS916" s="12">
        <f>IF($H916="Cancelled","",IFERROR((T916*INDEX(Variables!$B$7:$D$7,IFERROR(MATCH(IF($B916="Robusta","Robusta",(IF($B916="","Arabica",$B916))&amp;" - "&amp;(IF($C916="","Commercial",$C916))),Variables!$B$1:$D$1,0),1))*IFERROR(IF(W916="","",(AVERAGE(E916:F916)-W916)-Variables!$B$14),"")/365)+(L916/16.67*INDEX(Variables!$B$8:$D$8,IFERROR(MATCH(IF($B916="Robusta","Robusta",(IF($B916="","Arabica",$B916))&amp;" - "&amp;(IF($C916="","Commercial",$C916))),Variables!$B$1:$D$1,0),1))*IFERROR(IF(W916="","",(AVERAGE(E916:F916)-W916)-Variables!$B$14),""))+(T916*INDEX(Variables!$B$9:$D$9,IFERROR(MATCH(IF($B916="Robusta","Robusta",(IF($B916="","Arabica",$B916))&amp;" - "&amp;(IF($C916="","Commercial",$C916))),Variables!$B$1:$D$1,0),1))*IFERROR(IF(W916="","",(AVERAGE(E916:F916)-W916)-Variables!$B$14),"")/365),""))</f>
        <v>45.790896593200301</v>
      </c>
      <c r="AT916" s="12">
        <f>IF($H916="Cancelled","",IFERROR((T916*INDEX(Variables!$B$7:$D$7,IFERROR(MATCH(IF($B916="Robusta","Robusta",(IF($B916="","Arabica",$B916))&amp;" - "&amp;(IF($C916="","Commercial",$C916))),Variables!$B$1:$D$1,0),1))*AC916/365)+(L916/16.67*INDEX(Variables!$B$8:$D$8,IFERROR(MATCH(IF($B916="Robusta","Robusta",(IF($B916="","Arabica",$B916))&amp;" - "&amp;(IF($C916="","Commercial",$C916))),Variables!$B$1:$D$1,0),1))*AC916)+(T916*INDEX(Variables!$B$9:$D$9,IFERROR(MATCH(IF($B916="Robusta","Robusta",(IF($B916="","Arabica",$B916))&amp;" - "&amp;(IF($C916="","Commercial",$C916))),Variables!$B$1:$D$1,0),1))*AC916/365),""))</f>
        <v>-3.0527264395466869</v>
      </c>
      <c r="AU916" s="12">
        <f>IF($H916="Cancelled","",IFERROR((T916*INDEX(Variables!$B$7:$D$7,IFERROR(MATCH(IF($B916="Robusta","Robusta",(IF($B916="","Arabica",$B916))&amp;" - "&amp;(IF($C916="","Commercial",$C916))),Variables!$B$1:$D$1,0),1))*AP916/365)+(L916/16.67*INDEX(Variables!$B$8:$D$8,IFERROR(MATCH(IF($B916="Robusta","Robusta",(IF($B916="","Arabica",$B916))&amp;" - "&amp;(IF($C916="","Commercial",$C916))),Variables!$B$1:$D$1,0),1))*AP916)+(T916*INDEX(Variables!$B$9:$D$9,IFERROR(MATCH(IF($B916="Robusta","Robusta",(IF($B916="","Arabica",$B916))&amp;" - "&amp;(IF($C916="","Commercial",$C916))),Variables!$B$1:$D$1,0),1))*AP916/365),""))</f>
        <v>3.0527264395466869</v>
      </c>
      <c r="AV916" s="11">
        <f t="shared" si="90"/>
        <v>-7</v>
      </c>
      <c r="AW916" s="12">
        <f>IF($H916="Cancelled","",IFERROR(IF(AV916="","",(T916*INDEX(Variables!$B$7:$D$7,IFERROR(MATCH(IF($B916="Robusta","Robusta",(IF($B916="","Arabica",$B916))&amp;" - "&amp;(IF($C916="","Commercial",$C916))),Variables!$B$1:$D$1,0),1))*(AV916/365))+(T916*INDEX(Variables!$B$9:$D$9,IFERROR(MATCH(IF($B916="Robusta","Robusta",(IF($B916="","Arabica",$B916))&amp;" - "&amp;(IF($C916="","Commercial",$C916))),Variables!$B$1:$D$1,0),1))*(AV916/365))+(INDEX(Variables!$B$8:$D$8,IFERROR(MATCH(IF($B916="Robusta","Robusta",(IF($B916="","Arabica",$B916))&amp;" - "&amp;(IF($C916="","Commercial",$C916))),Variables!$B$1:$D$1,0),1))*L916/16.67)),""))</f>
        <v>-13.76908507682681</v>
      </c>
      <c r="AX916" s="9"/>
      <c r="AY916" s="12"/>
      <c r="AZ916" s="10"/>
      <c r="BA916" s="9"/>
      <c r="BB916" s="10"/>
      <c r="BC916" s="9"/>
      <c r="BD916" s="9"/>
      <c r="BE916" s="9"/>
      <c r="BF916" s="9"/>
    </row>
    <row r="917" spans="1:58" x14ac:dyDescent="0.25">
      <c r="A917" s="9" t="s">
        <v>84</v>
      </c>
      <c r="B917" s="9" t="s">
        <v>85</v>
      </c>
      <c r="C917" s="9" t="s">
        <v>1486</v>
      </c>
      <c r="D917" s="10">
        <v>45681</v>
      </c>
      <c r="E917" s="10">
        <v>45689</v>
      </c>
      <c r="F917" s="10">
        <v>45747</v>
      </c>
      <c r="G917" s="9">
        <v>3786632</v>
      </c>
      <c r="H917" s="9" t="str">
        <f t="shared" si="88"/>
        <v>Closed</v>
      </c>
      <c r="I917" s="9" t="str">
        <f t="shared" si="89"/>
        <v>All dates received</v>
      </c>
      <c r="J917" s="9" t="s">
        <v>235</v>
      </c>
      <c r="K917" s="9" t="s">
        <v>1960</v>
      </c>
      <c r="L917" s="11">
        <v>30</v>
      </c>
      <c r="M917" s="9" t="s">
        <v>1961</v>
      </c>
      <c r="N917" s="9"/>
      <c r="O917" s="9"/>
      <c r="P917" s="9"/>
      <c r="Q917" s="11">
        <v>131.85</v>
      </c>
      <c r="R917" s="9" t="s">
        <v>195</v>
      </c>
      <c r="S917" s="9" t="s">
        <v>106</v>
      </c>
      <c r="T917" s="12">
        <f>IF($H917="Cancelled","",IFERROR(((Q917+INDEX(Variables!$B$6:$D$6,IFERROR(MATCH(IF($B917="Robusta","Robusta",(IF($B917="","Arabica",$B917))&amp;" - "&amp;(IF($C917="","Commercial",$C917))),Variables!$B$1:$D$1,0),1)))*22.0462)*(L917/16.67),""))</f>
        <v>16768.733827234551</v>
      </c>
      <c r="U917" s="10"/>
      <c r="V917" s="9" t="str">
        <f t="shared" si="91"/>
        <v/>
      </c>
      <c r="W917" s="10">
        <v>45673</v>
      </c>
      <c r="X917" s="9" t="str">
        <f t="shared" si="87"/>
        <v>Approved</v>
      </c>
      <c r="Y917" s="10">
        <v>45732</v>
      </c>
      <c r="Z917" s="10">
        <f>IF($H917="Cancelled","",IFERROR(IF(F917="","",F917-Variables!$B$13),""))</f>
        <v>45732</v>
      </c>
      <c r="AA917" s="11">
        <f>IF($H917="Cancelled","",IFERROR(IF(W917="","",(AVERAGE(E917:F917)-W917)-Variables!$B$14),""))</f>
        <v>15</v>
      </c>
      <c r="AB917" s="10">
        <v>45748</v>
      </c>
      <c r="AC917" s="11">
        <f>IF($H917="Cancelled","",IFERROR(IF(AB917="","",IF(AND(W917="",Y917=""),"",IF(Y917&gt;W917,Y917+Variables!$B$15+Variables!$B$16+Variables!$B$17-AB917,W917+Variables!$B$16+Variables!$B$17-AB917))),""))</f>
        <v>-1</v>
      </c>
      <c r="AD917" s="9" t="s">
        <v>163</v>
      </c>
      <c r="AE917" s="9" t="s">
        <v>324</v>
      </c>
      <c r="AF917" s="10"/>
      <c r="AG917" s="10"/>
      <c r="AH917" s="9"/>
      <c r="AI917" s="9">
        <v>252064493</v>
      </c>
      <c r="AJ917" s="9" t="s">
        <v>8</v>
      </c>
      <c r="AK917" s="10">
        <v>45754</v>
      </c>
      <c r="AL917" s="10">
        <v>45758</v>
      </c>
      <c r="AM917" s="10">
        <v>45772</v>
      </c>
      <c r="AN917" s="9" t="s">
        <v>1492</v>
      </c>
      <c r="AO917" s="9"/>
      <c r="AP917" s="11">
        <f>IF($H917="Cancelled","",IFERROR(IF(OR(AK917="",AB917=""),"",(AB917+Variables!$B$18-AK917)),""))</f>
        <v>1</v>
      </c>
      <c r="AQ917" s="11">
        <f>IF($H917="Cancelled","",IFERROR(IF(OR(AM917="",AK917=""),"",(AK917+Variables!$B$19)-AM917),""))</f>
        <v>-13</v>
      </c>
      <c r="AR917" s="12">
        <f>IF($H917="Cancelled","",IFERROR(T917*INDEX(Variables!$B$7:$D$7,IFERROR(MATCH(IF($B917="Robusta","Robusta",(IF($B917="","Arabica",$B917))&amp;" - "&amp;(IF($C917="","Commercial",$C917))),Variables!$B$1:$D$1,0),1))*(AQ917/365),""))</f>
        <v>-38.511515148297391</v>
      </c>
      <c r="AS917" s="12">
        <f>IF($H917="Cancelled","",IFERROR((T917*INDEX(Variables!$B$7:$D$7,IFERROR(MATCH(IF($B917="Robusta","Robusta",(IF($B917="","Arabica",$B917))&amp;" - "&amp;(IF($C917="","Commercial",$C917))),Variables!$B$1:$D$1,0),1))*IFERROR(IF(W917="","",(AVERAGE(E917:F917)-W917)-Variables!$B$14),"")/365)+(L917/16.67*INDEX(Variables!$B$8:$D$8,IFERROR(MATCH(IF($B917="Robusta","Robusta",(IF($B917="","Arabica",$B917))&amp;" - "&amp;(IF($C917="","Commercial",$C917))),Variables!$B$1:$D$1,0),1))*IFERROR(IF(W917="","",(AVERAGE(E917:F917)-W917)-Variables!$B$14),""))+(T917*INDEX(Variables!$B$9:$D$9,IFERROR(MATCH(IF($B917="Robusta","Robusta",(IF($B917="","Arabica",$B917))&amp;" - "&amp;(IF($C917="","Commercial",$C917))),Variables!$B$1:$D$1,0),1))*IFERROR(IF(W917="","",(AVERAGE(E917:F917)-W917)-Variables!$B$14),"")/365),""))</f>
        <v>67.509234116099336</v>
      </c>
      <c r="AT917" s="12">
        <f>IF($H917="Cancelled","",IFERROR((T917*INDEX(Variables!$B$7:$D$7,IFERROR(MATCH(IF($B917="Robusta","Robusta",(IF($B917="","Arabica",$B917))&amp;" - "&amp;(IF($C917="","Commercial",$C917))),Variables!$B$1:$D$1,0),1))*AC917/365)+(L917/16.67*INDEX(Variables!$B$8:$D$8,IFERROR(MATCH(IF($B917="Robusta","Robusta",(IF($B917="","Arabica",$B917))&amp;" - "&amp;(IF($C917="","Commercial",$C917))),Variables!$B$1:$D$1,0),1))*AC917)+(T917*INDEX(Variables!$B$9:$D$9,IFERROR(MATCH(IF($B917="Robusta","Robusta",(IF($B917="","Arabica",$B917))&amp;" - "&amp;(IF($C917="","Commercial",$C917))),Variables!$B$1:$D$1,0),1))*AC917/365),""))</f>
        <v>-4.5006156077399559</v>
      </c>
      <c r="AU917" s="12">
        <f>IF($H917="Cancelled","",IFERROR((T917*INDEX(Variables!$B$7:$D$7,IFERROR(MATCH(IF($B917="Robusta","Robusta",(IF($B917="","Arabica",$B917))&amp;" - "&amp;(IF($C917="","Commercial",$C917))),Variables!$B$1:$D$1,0),1))*AP917/365)+(L917/16.67*INDEX(Variables!$B$8:$D$8,IFERROR(MATCH(IF($B917="Robusta","Robusta",(IF($B917="","Arabica",$B917))&amp;" - "&amp;(IF($C917="","Commercial",$C917))),Variables!$B$1:$D$1,0),1))*AP917)+(T917*INDEX(Variables!$B$9:$D$9,IFERROR(MATCH(IF($B917="Robusta","Robusta",(IF($B917="","Arabica",$B917))&amp;" - "&amp;(IF($C917="","Commercial",$C917))),Variables!$B$1:$D$1,0),1))*AP917/365),""))</f>
        <v>4.5006156077399559</v>
      </c>
      <c r="AV917" s="11">
        <f t="shared" si="90"/>
        <v>-7</v>
      </c>
      <c r="AW917" s="12">
        <f>IF($H917="Cancelled","",IFERROR(IF(AV917="","",(T917*INDEX(Variables!$B$7:$D$7,IFERROR(MATCH(IF($B917="Robusta","Robusta",(IF($B917="","Arabica",$B917))&amp;" - "&amp;(IF($C917="","Commercial",$C917))),Variables!$B$1:$D$1,0),1))*(AV917/365))+(T917*INDEX(Variables!$B$9:$D$9,IFERROR(MATCH(IF($B917="Robusta","Robusta",(IF($B917="","Arabica",$B917))&amp;" - "&amp;(IF($C917="","Commercial",$C917))),Variables!$B$1:$D$1,0),1))*(AV917/365))+(INDEX(Variables!$B$8:$D$8,IFERROR(MATCH(IF($B917="Robusta","Robusta",(IF($B917="","Arabica",$B917))&amp;" - "&amp;(IF($C917="","Commercial",$C917))),Variables!$B$1:$D$1,0),1))*L917/16.67)),""))</f>
        <v>-19.504309254179692</v>
      </c>
      <c r="AX917" s="9"/>
      <c r="AY917" s="12"/>
      <c r="AZ917" s="10"/>
      <c r="BA917" s="9"/>
      <c r="BB917" s="10"/>
      <c r="BC917" s="9"/>
      <c r="BD917" s="9"/>
      <c r="BE917" s="9"/>
      <c r="BF917" s="9"/>
    </row>
    <row r="918" spans="1:58" x14ac:dyDescent="0.25">
      <c r="A918" s="9" t="s">
        <v>84</v>
      </c>
      <c r="B918" s="9" t="s">
        <v>85</v>
      </c>
      <c r="C918" s="9" t="s">
        <v>1486</v>
      </c>
      <c r="D918" s="10">
        <v>45681</v>
      </c>
      <c r="E918" s="10">
        <v>45717</v>
      </c>
      <c r="F918" s="10">
        <v>45747</v>
      </c>
      <c r="G918" s="9">
        <v>3786635</v>
      </c>
      <c r="H918" s="9" t="str">
        <f t="shared" si="88"/>
        <v>Closed</v>
      </c>
      <c r="I918" s="9" t="str">
        <f t="shared" si="89"/>
        <v>All dates received</v>
      </c>
      <c r="J918" s="9" t="s">
        <v>1962</v>
      </c>
      <c r="K918" s="9" t="s">
        <v>1963</v>
      </c>
      <c r="L918" s="11">
        <v>160</v>
      </c>
      <c r="M918" s="9" t="s">
        <v>1964</v>
      </c>
      <c r="N918" s="9"/>
      <c r="O918" s="9"/>
      <c r="P918" s="9"/>
      <c r="Q918" s="11">
        <v>40</v>
      </c>
      <c r="R918" s="9" t="s">
        <v>90</v>
      </c>
      <c r="S918" s="9" t="s">
        <v>1965</v>
      </c>
      <c r="T918" s="12">
        <f>IF($H918="Cancelled","",IFERROR(((Q918+INDEX(Variables!$B$6:$D$6,IFERROR(MATCH(IF($B918="Robusta","Robusta",(IF($B918="","Arabica",$B918))&amp;" - "&amp;(IF($C918="","Commercial",$C918))),Variables!$B$1:$D$1,0),1)))*22.0462)*(L918/16.67),""))</f>
        <v>69997.676880623869</v>
      </c>
      <c r="U918" s="10">
        <v>45721</v>
      </c>
      <c r="V918" s="9" t="str">
        <f t="shared" si="91"/>
        <v>Sent</v>
      </c>
      <c r="W918" s="10">
        <v>45741</v>
      </c>
      <c r="X918" s="9" t="str">
        <f t="shared" si="87"/>
        <v>Approved</v>
      </c>
      <c r="Y918" s="10"/>
      <c r="Z918" s="10">
        <f>IF($H918="Cancelled","",IFERROR(IF(F918="","",F918-Variables!$B$13),""))</f>
        <v>45732</v>
      </c>
      <c r="AA918" s="11">
        <f>IF($H918="Cancelled","",IFERROR(IF(W918="","",(AVERAGE(E918:F918)-W918)-Variables!$B$14),""))</f>
        <v>-39</v>
      </c>
      <c r="AB918" s="10">
        <v>45756</v>
      </c>
      <c r="AC918" s="11">
        <f>IF($H918="Cancelled","",IFERROR(IF(AB918="","",IF(AND(W918="",Y918=""),"",IF(Y918&gt;W918,Y918+Variables!$B$15+Variables!$B$16+Variables!$B$17-AB918,W918+Variables!$B$16+Variables!$B$17-AB918))),""))</f>
        <v>-7</v>
      </c>
      <c r="AD918" s="9" t="s">
        <v>107</v>
      </c>
      <c r="AE918" s="9" t="s">
        <v>1966</v>
      </c>
      <c r="AF918" s="10"/>
      <c r="AG918" s="10"/>
      <c r="AH918" s="9"/>
      <c r="AI918" s="9" t="s">
        <v>1967</v>
      </c>
      <c r="AJ918" s="9" t="s">
        <v>705</v>
      </c>
      <c r="AK918" s="10">
        <v>45782</v>
      </c>
      <c r="AL918" s="10">
        <v>45786</v>
      </c>
      <c r="AM918" s="10">
        <v>45793</v>
      </c>
      <c r="AN918" s="9" t="s">
        <v>1492</v>
      </c>
      <c r="AO918" s="9"/>
      <c r="AP918" s="11">
        <f>IF($H918="Cancelled","",IFERROR(IF(OR(AK918="",AB918=""),"",(AB918+Variables!$B$18-AK918)),""))</f>
        <v>-19</v>
      </c>
      <c r="AQ918" s="11">
        <f>IF($H918="Cancelled","",IFERROR(IF(OR(AM918="",AK918=""),"",(AK918+Variables!$B$19)-AM918),""))</f>
        <v>-6</v>
      </c>
      <c r="AR918" s="12">
        <f>IF($H918="Cancelled","",IFERROR(T918*INDEX(Variables!$B$7:$D$7,IFERROR(MATCH(IF($B918="Robusta","Robusta",(IF($B918="","Arabica",$B918))&amp;" - "&amp;(IF($C918="","Commercial",$C918))),Variables!$B$1:$D$1,0),1))*(AQ918/365),""))</f>
        <v>-74.196233427152279</v>
      </c>
      <c r="AS918" s="12">
        <f>IF($H918="Cancelled","",IFERROR((T918*INDEX(Variables!$B$7:$D$7,IFERROR(MATCH(IF($B918="Robusta","Robusta",(IF($B918="","Arabica",$B918))&amp;" - "&amp;(IF($C918="","Commercial",$C918))),Variables!$B$1:$D$1,0),1))*IFERROR(IF(W918="","",(AVERAGE(E918:F918)-W918)-Variables!$B$14),"")/365)+(L918/16.67*INDEX(Variables!$B$8:$D$8,IFERROR(MATCH(IF($B918="Robusta","Robusta",(IF($B918="","Arabica",$B918))&amp;" - "&amp;(IF($C918="","Commercial",$C918))),Variables!$B$1:$D$1,0),1))*IFERROR(IF(W918="","",(AVERAGE(E918:F918)-W918)-Variables!$B$14),""))+(T918*INDEX(Variables!$B$9:$D$9,IFERROR(MATCH(IF($B918="Robusta","Robusta",(IF($B918="","Arabica",$B918))&amp;" - "&amp;(IF($C918="","Commercial",$C918))),Variables!$B$1:$D$1,0),1))*IFERROR(IF(W918="","",(AVERAGE(E918:F918)-W918)-Variables!$B$14),"")/365),""))</f>
        <v>-800.49297942126691</v>
      </c>
      <c r="AT918" s="12">
        <f>IF($H918="Cancelled","",IFERROR((T918*INDEX(Variables!$B$7:$D$7,IFERROR(MATCH(IF($B918="Robusta","Robusta",(IF($B918="","Arabica",$B918))&amp;" - "&amp;(IF($C918="","Commercial",$C918))),Variables!$B$1:$D$1,0),1))*AC918/365)+(L918/16.67*INDEX(Variables!$B$8:$D$8,IFERROR(MATCH(IF($B918="Robusta","Robusta",(IF($B918="","Arabica",$B918))&amp;" - "&amp;(IF($C918="","Commercial",$C918))),Variables!$B$1:$D$1,0),1))*AC918)+(T918*INDEX(Variables!$B$9:$D$9,IFERROR(MATCH(IF($B918="Robusta","Robusta",(IF($B918="","Arabica",$B918))&amp;" - "&amp;(IF($C918="","Commercial",$C918))),Variables!$B$1:$D$1,0),1))*AC918/365),""))</f>
        <v>-143.678227075612</v>
      </c>
      <c r="AU918" s="12">
        <f>IF($H918="Cancelled","",IFERROR((T918*INDEX(Variables!$B$7:$D$7,IFERROR(MATCH(IF($B918="Robusta","Robusta",(IF($B918="","Arabica",$B918))&amp;" - "&amp;(IF($C918="","Commercial",$C918))),Variables!$B$1:$D$1,0),1))*AP918/365)+(L918/16.67*INDEX(Variables!$B$8:$D$8,IFERROR(MATCH(IF($B918="Robusta","Robusta",(IF($B918="","Arabica",$B918))&amp;" - "&amp;(IF($C918="","Commercial",$C918))),Variables!$B$1:$D$1,0),1))*AP918)+(T918*INDEX(Variables!$B$9:$D$9,IFERROR(MATCH(IF($B918="Robusta","Robusta",(IF($B918="","Arabica",$B918))&amp;" - "&amp;(IF($C918="","Commercial",$C918))),Variables!$B$1:$D$1,0),1))*AP918/365),""))</f>
        <v>-389.98375920523262</v>
      </c>
      <c r="AV918" s="11">
        <f t="shared" si="90"/>
        <v>-35</v>
      </c>
      <c r="AW918" s="12">
        <f>IF($H918="Cancelled","",IFERROR(IF(AV918="","",(T918*INDEX(Variables!$B$7:$D$7,IFERROR(MATCH(IF($B918="Robusta","Robusta",(IF($B918="","Arabica",$B918))&amp;" - "&amp;(IF($C918="","Commercial",$C918))),Variables!$B$1:$D$1,0),1))*(AV918/365))+(T918*INDEX(Variables!$B$9:$D$9,IFERROR(MATCH(IF($B918="Robusta","Robusta",(IF($B918="","Arabica",$B918))&amp;" - "&amp;(IF($C918="","Commercial",$C918))),Variables!$B$1:$D$1,0),1))*(AV918/365))+(INDEX(Variables!$B$8:$D$8,IFERROR(MATCH(IF($B918="Robusta","Robusta",(IF($B918="","Arabica",$B918))&amp;" - "&amp;(IF($C918="","Commercial",$C918))),Variables!$B$1:$D$1,0),1))*L918/16.67)),""))</f>
        <v>-430.39113537806014</v>
      </c>
      <c r="AX918" s="9"/>
      <c r="AY918" s="12"/>
      <c r="AZ918" s="10"/>
      <c r="BA918" s="9"/>
      <c r="BB918" s="10"/>
      <c r="BC918" s="9"/>
      <c r="BD918" s="9"/>
      <c r="BE918" s="9"/>
      <c r="BF918" s="9"/>
    </row>
    <row r="919" spans="1:58" x14ac:dyDescent="0.25">
      <c r="A919" s="9" t="s">
        <v>84</v>
      </c>
      <c r="B919" s="9" t="s">
        <v>85</v>
      </c>
      <c r="C919" s="9" t="s">
        <v>1486</v>
      </c>
      <c r="D919" s="10">
        <v>45681</v>
      </c>
      <c r="E919" s="10">
        <v>45717</v>
      </c>
      <c r="F919" s="10">
        <v>45747</v>
      </c>
      <c r="G919" s="9">
        <v>3786636</v>
      </c>
      <c r="H919" s="9" t="str">
        <f t="shared" si="88"/>
        <v>Closed</v>
      </c>
      <c r="I919" s="9" t="str">
        <f t="shared" si="89"/>
        <v>All dates received</v>
      </c>
      <c r="J919" s="9" t="s">
        <v>1962</v>
      </c>
      <c r="K919" s="9" t="s">
        <v>1968</v>
      </c>
      <c r="L919" s="11">
        <v>160</v>
      </c>
      <c r="M919" s="9" t="s">
        <v>1969</v>
      </c>
      <c r="N919" s="9"/>
      <c r="O919" s="9"/>
      <c r="P919" s="9"/>
      <c r="Q919" s="11">
        <v>20</v>
      </c>
      <c r="R919" s="9" t="s">
        <v>90</v>
      </c>
      <c r="S919" s="9" t="s">
        <v>1965</v>
      </c>
      <c r="T919" s="12">
        <f>IF($H919="Cancelled","",IFERROR(((Q919+INDEX(Variables!$B$6:$D$6,IFERROR(MATCH(IF($B919="Robusta","Robusta",(IF($B919="","Arabica",$B919))&amp;" - "&amp;(IF($C919="","Commercial",$C919))),Variables!$B$1:$D$1,0),1)))*22.0462)*(L919/16.67),""))</f>
        <v>65765.652885422911</v>
      </c>
      <c r="U919" s="10">
        <v>45721</v>
      </c>
      <c r="V919" s="9" t="str">
        <f t="shared" si="91"/>
        <v>Sent</v>
      </c>
      <c r="W919" s="10">
        <v>45741</v>
      </c>
      <c r="X919" s="9" t="str">
        <f t="shared" si="87"/>
        <v>Approved</v>
      </c>
      <c r="Y919" s="10"/>
      <c r="Z919" s="10">
        <f>IF($H919="Cancelled","",IFERROR(IF(F919="","",F919-Variables!$B$13),""))</f>
        <v>45732</v>
      </c>
      <c r="AA919" s="11">
        <f>IF($H919="Cancelled","",IFERROR(IF(W919="","",(AVERAGE(E919:F919)-W919)-Variables!$B$14),""))</f>
        <v>-39</v>
      </c>
      <c r="AB919" s="10">
        <v>45756</v>
      </c>
      <c r="AC919" s="11">
        <f>IF($H919="Cancelled","",IFERROR(IF(AB919="","",IF(AND(W919="",Y919=""),"",IF(Y919&gt;W919,Y919+Variables!$B$15+Variables!$B$16+Variables!$B$17-AB919,W919+Variables!$B$16+Variables!$B$17-AB919))),""))</f>
        <v>-7</v>
      </c>
      <c r="AD919" s="9" t="s">
        <v>107</v>
      </c>
      <c r="AE919" s="9" t="s">
        <v>1966</v>
      </c>
      <c r="AF919" s="10"/>
      <c r="AG919" s="10"/>
      <c r="AH919" s="9"/>
      <c r="AI919" s="9" t="s">
        <v>1967</v>
      </c>
      <c r="AJ919" s="9" t="s">
        <v>705</v>
      </c>
      <c r="AK919" s="10">
        <v>45782</v>
      </c>
      <c r="AL919" s="10">
        <v>45786</v>
      </c>
      <c r="AM919" s="10">
        <v>45793</v>
      </c>
      <c r="AN919" s="9" t="s">
        <v>1492</v>
      </c>
      <c r="AO919" s="9"/>
      <c r="AP919" s="11">
        <f>IF($H919="Cancelled","",IFERROR(IF(OR(AK919="",AB919=""),"",(AB919+Variables!$B$18-AK919)),""))</f>
        <v>-19</v>
      </c>
      <c r="AQ919" s="11">
        <f>IF($H919="Cancelled","",IFERROR(IF(OR(AM919="",AK919=""),"",(AK919+Variables!$B$19)-AM919),""))</f>
        <v>-6</v>
      </c>
      <c r="AR919" s="12">
        <f>IF($H919="Cancelled","",IFERROR(T919*INDEX(Variables!$B$7:$D$7,IFERROR(MATCH(IF($B919="Robusta","Robusta",(IF($B919="","Arabica",$B919))&amp;" - "&amp;(IF($C919="","Commercial",$C919))),Variables!$B$1:$D$1,0),1))*(AQ919/365),""))</f>
        <v>-69.710366835426029</v>
      </c>
      <c r="AS919" s="12">
        <f>IF($H919="Cancelled","",IFERROR((T919*INDEX(Variables!$B$7:$D$7,IFERROR(MATCH(IF($B919="Robusta","Robusta",(IF($B919="","Arabica",$B919))&amp;" - "&amp;(IF($C919="","Commercial",$C919))),Variables!$B$1:$D$1,0),1))*IFERROR(IF(W919="","",(AVERAGE(E919:F919)-W919)-Variables!$B$14),"")/365)+(L919/16.67*INDEX(Variables!$B$8:$D$8,IFERROR(MATCH(IF($B919="Robusta","Robusta",(IF($B919="","Arabica",$B919))&amp;" - "&amp;(IF($C919="","Commercial",$C919))),Variables!$B$1:$D$1,0),1))*IFERROR(IF(W919="","",(AVERAGE(E919:F919)-W919)-Variables!$B$14),""))+(T919*INDEX(Variables!$B$9:$D$9,IFERROR(MATCH(IF($B919="Robusta","Robusta",(IF($B919="","Arabica",$B919))&amp;" - "&amp;(IF($C919="","Commercial",$C919))),Variables!$B$1:$D$1,0),1))*IFERROR(IF(W919="","",(AVERAGE(E919:F919)-W919)-Variables!$B$14),"")/365),""))</f>
        <v>-770.9589419713717</v>
      </c>
      <c r="AT919" s="12">
        <f>IF($H919="Cancelled","",IFERROR((T919*INDEX(Variables!$B$7:$D$7,IFERROR(MATCH(IF($B919="Robusta","Robusta",(IF($B919="","Arabica",$B919))&amp;" - "&amp;(IF($C919="","Commercial",$C919))),Variables!$B$1:$D$1,0),1))*AC919/365)+(L919/16.67*INDEX(Variables!$B$8:$D$8,IFERROR(MATCH(IF($B919="Robusta","Robusta",(IF($B919="","Arabica",$B919))&amp;" - "&amp;(IF($C919="","Commercial",$C919))),Variables!$B$1:$D$1,0),1))*AC919)+(T919*INDEX(Variables!$B$9:$D$9,IFERROR(MATCH(IF($B919="Robusta","Robusta",(IF($B919="","Arabica",$B919))&amp;" - "&amp;(IF($C919="","Commercial",$C919))),Variables!$B$1:$D$1,0),1))*AC919/365),""))</f>
        <v>-138.3772459948616</v>
      </c>
      <c r="AU919" s="12">
        <f>IF($H919="Cancelled","",IFERROR((T919*INDEX(Variables!$B$7:$D$7,IFERROR(MATCH(IF($B919="Robusta","Robusta",(IF($B919="","Arabica",$B919))&amp;" - "&amp;(IF($C919="","Commercial",$C919))),Variables!$B$1:$D$1,0),1))*AP919/365)+(L919/16.67*INDEX(Variables!$B$8:$D$8,IFERROR(MATCH(IF($B919="Robusta","Robusta",(IF($B919="","Arabica",$B919))&amp;" - "&amp;(IF($C919="","Commercial",$C919))),Variables!$B$1:$D$1,0),1))*AP919)+(T919*INDEX(Variables!$B$9:$D$9,IFERROR(MATCH(IF($B919="Robusta","Robusta",(IF($B919="","Arabica",$B919))&amp;" - "&amp;(IF($C919="","Commercial",$C919))),Variables!$B$1:$D$1,0),1))*AP919/365),""))</f>
        <v>-375.59538198605293</v>
      </c>
      <c r="AV919" s="11">
        <f t="shared" si="90"/>
        <v>-35</v>
      </c>
      <c r="AW919" s="12">
        <f>IF($H919="Cancelled","",IFERROR(IF(AV919="","",(T919*INDEX(Variables!$B$7:$D$7,IFERROR(MATCH(IF($B919="Robusta","Robusta",(IF($B919="","Arabica",$B919))&amp;" - "&amp;(IF($C919="","Commercial",$C919))),Variables!$B$1:$D$1,0),1))*(AV919/365))+(T919*INDEX(Variables!$B$9:$D$9,IFERROR(MATCH(IF($B919="Robusta","Robusta",(IF($B919="","Arabica",$B919))&amp;" - "&amp;(IF($C919="","Commercial",$C919))),Variables!$B$1:$D$1,0),1))*(AV919/365))+(INDEX(Variables!$B$8:$D$8,IFERROR(MATCH(IF($B919="Robusta","Robusta",(IF($B919="","Arabica",$B919))&amp;" - "&amp;(IF($C919="","Commercial",$C919))),Variables!$B$1:$D$1,0),1))*L919/16.67)),""))</f>
        <v>-403.88622997430798</v>
      </c>
      <c r="AX919" s="9"/>
      <c r="AY919" s="12"/>
      <c r="AZ919" s="10"/>
      <c r="BA919" s="9"/>
      <c r="BB919" s="10"/>
      <c r="BC919" s="9"/>
      <c r="BD919" s="9"/>
      <c r="BE919" s="9"/>
      <c r="BF919" s="9"/>
    </row>
    <row r="920" spans="1:58" x14ac:dyDescent="0.25">
      <c r="A920" s="9" t="s">
        <v>84</v>
      </c>
      <c r="B920" s="9" t="s">
        <v>85</v>
      </c>
      <c r="C920" s="9" t="s">
        <v>1486</v>
      </c>
      <c r="D920" s="10">
        <v>45681</v>
      </c>
      <c r="E920" s="10">
        <v>45689</v>
      </c>
      <c r="F920" s="10">
        <v>45747</v>
      </c>
      <c r="G920" s="9">
        <v>3786628</v>
      </c>
      <c r="H920" s="9" t="str">
        <f t="shared" si="88"/>
        <v>Closed</v>
      </c>
      <c r="I920" s="9" t="str">
        <f t="shared" si="89"/>
        <v>All dates received</v>
      </c>
      <c r="J920" s="9" t="s">
        <v>235</v>
      </c>
      <c r="K920" s="9" t="s">
        <v>1970</v>
      </c>
      <c r="L920" s="11">
        <v>34</v>
      </c>
      <c r="M920" s="9" t="s">
        <v>1971</v>
      </c>
      <c r="N920" s="9"/>
      <c r="O920" s="9"/>
      <c r="P920" s="9"/>
      <c r="Q920" s="11">
        <v>175.85</v>
      </c>
      <c r="R920" s="9" t="s">
        <v>195</v>
      </c>
      <c r="S920" s="9" t="s">
        <v>106</v>
      </c>
      <c r="T920" s="12">
        <f>IF($H920="Cancelled","",IFERROR(((Q920+INDEX(Variables!$B$6:$D$6,IFERROR(MATCH(IF($B920="Robusta","Robusta",(IF($B920="","Arabica",$B920))&amp;" - "&amp;(IF($C920="","Commercial",$C920))),Variables!$B$1:$D$1,0),1)))*22.0462)*(L920/16.67),""))</f>
        <v>20983.036221955605</v>
      </c>
      <c r="U920" s="10"/>
      <c r="V920" s="9" t="str">
        <f t="shared" si="91"/>
        <v/>
      </c>
      <c r="W920" s="10">
        <v>45687</v>
      </c>
      <c r="X920" s="9" t="str">
        <f t="shared" si="87"/>
        <v>Approved</v>
      </c>
      <c r="Y920" s="10">
        <v>45838</v>
      </c>
      <c r="Z920" s="10">
        <f>IF($H920="Cancelled","",IFERROR(IF(F920="","",F920-Variables!$B$13),""))</f>
        <v>45732</v>
      </c>
      <c r="AA920" s="11">
        <f>IF($H920="Cancelled","",IFERROR(IF(W920="","",(AVERAGE(E920:F920)-W920)-Variables!$B$14),""))</f>
        <v>1</v>
      </c>
      <c r="AB920" s="10">
        <v>45841</v>
      </c>
      <c r="AC920" s="11">
        <f>IF($H920="Cancelled","",IFERROR(IF(AB920="","",IF(AND(W920="",Y920=""),"",IF(Y920&gt;W920,Y920+Variables!$B$15+Variables!$B$16+Variables!$B$17-AB920,W920+Variables!$B$16+Variables!$B$17-AB920))),""))</f>
        <v>12</v>
      </c>
      <c r="AD920" s="9" t="s">
        <v>1972</v>
      </c>
      <c r="AE920" s="9" t="s">
        <v>174</v>
      </c>
      <c r="AF920" s="10"/>
      <c r="AG920" s="10"/>
      <c r="AH920" s="9"/>
      <c r="AI920" s="9" t="s">
        <v>1973</v>
      </c>
      <c r="AJ920" s="9" t="s">
        <v>8</v>
      </c>
      <c r="AK920" s="10">
        <v>45857</v>
      </c>
      <c r="AL920" s="10">
        <v>45867</v>
      </c>
      <c r="AM920" s="10">
        <v>45867</v>
      </c>
      <c r="AN920" s="9" t="s">
        <v>1492</v>
      </c>
      <c r="AO920" s="9"/>
      <c r="AP920" s="11">
        <f>IF($H920="Cancelled","",IFERROR(IF(OR(AK920="",AB920=""),"",(AB920+Variables!$B$18-AK920)),""))</f>
        <v>-9</v>
      </c>
      <c r="AQ920" s="11">
        <f>IF($H920="Cancelled","",IFERROR(IF(OR(AM920="",AK920=""),"",(AK920+Variables!$B$19)-AM920),""))</f>
        <v>-5</v>
      </c>
      <c r="AR920" s="12">
        <f>IF($H920="Cancelled","",IFERROR(T920*INDEX(Variables!$B$7:$D$7,IFERROR(MATCH(IF($B920="Robusta","Robusta",(IF($B920="","Arabica",$B920))&amp;" - "&amp;(IF($C920="","Commercial",$C920))),Variables!$B$1:$D$1,0),1))*(AQ920/365),""))</f>
        <v>-18.534689565361447</v>
      </c>
      <c r="AS920" s="12">
        <f>IF($H920="Cancelled","",IFERROR((T920*INDEX(Variables!$B$7:$D$7,IFERROR(MATCH(IF($B920="Robusta","Robusta",(IF($B920="","Arabica",$B920))&amp;" - "&amp;(IF($C920="","Commercial",$C920))),Variables!$B$1:$D$1,0),1))*IFERROR(IF(W920="","",(AVERAGE(E920:F920)-W920)-Variables!$B$14),"")/365)+(L920/16.67*INDEX(Variables!$B$8:$D$8,IFERROR(MATCH(IF($B920="Robusta","Robusta",(IF($B920="","Arabica",$B920))&amp;" - "&amp;(IF($C920="","Commercial",$C920))),Variables!$B$1:$D$1,0),1))*IFERROR(IF(W920="","",(AVERAGE(E920:F920)-W920)-Variables!$B$14),""))+(T920*INDEX(Variables!$B$9:$D$9,IFERROR(MATCH(IF($B920="Robusta","Robusta",(IF($B920="","Arabica",$B920))&amp;" - "&amp;(IF($C920="","Commercial",$C920))),Variables!$B$1:$D$1,0),1))*IFERROR(IF(W920="","",(AVERAGE(E920:F920)-W920)-Variables!$B$14),"")/365),""))</f>
        <v>5.4547274966649244</v>
      </c>
      <c r="AT920" s="12">
        <f>IF($H920="Cancelled","",IFERROR((T920*INDEX(Variables!$B$7:$D$7,IFERROR(MATCH(IF($B920="Robusta","Robusta",(IF($B920="","Arabica",$B920))&amp;" - "&amp;(IF($C920="","Commercial",$C920))),Variables!$B$1:$D$1,0),1))*AC920/365)+(L920/16.67*INDEX(Variables!$B$8:$D$8,IFERROR(MATCH(IF($B920="Robusta","Robusta",(IF($B920="","Arabica",$B920))&amp;" - "&amp;(IF($C920="","Commercial",$C920))),Variables!$B$1:$D$1,0),1))*AC920)+(T920*INDEX(Variables!$B$9:$D$9,IFERROR(MATCH(IF($B920="Robusta","Robusta",(IF($B920="","Arabica",$B920))&amp;" - "&amp;(IF($C920="","Commercial",$C920))),Variables!$B$1:$D$1,0),1))*AC920/365),""))</f>
        <v>65.456729959979086</v>
      </c>
      <c r="AU920" s="12">
        <f>IF($H920="Cancelled","",IFERROR((T920*INDEX(Variables!$B$7:$D$7,IFERROR(MATCH(IF($B920="Robusta","Robusta",(IF($B920="","Arabica",$B920))&amp;" - "&amp;(IF($C920="","Commercial",$C920))),Variables!$B$1:$D$1,0),1))*AP920/365)+(L920/16.67*INDEX(Variables!$B$8:$D$8,IFERROR(MATCH(IF($B920="Robusta","Robusta",(IF($B920="","Arabica",$B920))&amp;" - "&amp;(IF($C920="","Commercial",$C920))),Variables!$B$1:$D$1,0),1))*AP920)+(T920*INDEX(Variables!$B$9:$D$9,IFERROR(MATCH(IF($B920="Robusta","Robusta",(IF($B920="","Arabica",$B920))&amp;" - "&amp;(IF($C920="","Commercial",$C920))),Variables!$B$1:$D$1,0),1))*AP920/365),""))</f>
        <v>-49.092547469984325</v>
      </c>
      <c r="AV920" s="11">
        <f t="shared" si="90"/>
        <v>-110</v>
      </c>
      <c r="AW920" s="12">
        <f>IF($H920="Cancelled","",IFERROR(IF(AV920="","",(T920*INDEX(Variables!$B$7:$D$7,IFERROR(MATCH(IF($B920="Robusta","Robusta",(IF($B920="","Arabica",$B920))&amp;" - "&amp;(IF($C920="","Commercial",$C920))),Variables!$B$1:$D$1,0),1))*(AV920/365))+(T920*INDEX(Variables!$B$9:$D$9,IFERROR(MATCH(IF($B920="Robusta","Robusta",(IF($B920="","Arabica",$B920))&amp;" - "&amp;(IF($C920="","Commercial",$C920))),Variables!$B$1:$D$1,0),1))*(AV920/365))+(INDEX(Variables!$B$8:$D$8,IFERROR(MATCH(IF($B920="Robusta","Robusta",(IF($B920="","Arabica",$B920))&amp;" - "&amp;(IF($C920="","Commercial",$C920))),Variables!$B$1:$D$1,0),1))*L920/16.67)),""))</f>
        <v>-411.32002463314166</v>
      </c>
      <c r="AX920" s="9"/>
      <c r="AY920" s="12"/>
      <c r="AZ920" s="10"/>
      <c r="BA920" s="9"/>
      <c r="BB920" s="10"/>
      <c r="BC920" s="9"/>
      <c r="BD920" s="9"/>
      <c r="BE920" s="9"/>
      <c r="BF920" s="9"/>
    </row>
    <row r="921" spans="1:58" x14ac:dyDescent="0.25">
      <c r="A921" s="9" t="s">
        <v>84</v>
      </c>
      <c r="B921" s="9" t="s">
        <v>85</v>
      </c>
      <c r="C921" s="9" t="s">
        <v>1486</v>
      </c>
      <c r="D921" s="10">
        <v>45681</v>
      </c>
      <c r="E921" s="10">
        <v>45689</v>
      </c>
      <c r="F921" s="10">
        <v>45747</v>
      </c>
      <c r="G921" s="9">
        <v>3786630</v>
      </c>
      <c r="H921" s="9" t="str">
        <f t="shared" si="88"/>
        <v>Closed</v>
      </c>
      <c r="I921" s="9" t="str">
        <f t="shared" si="89"/>
        <v>All dates received</v>
      </c>
      <c r="J921" s="9" t="s">
        <v>235</v>
      </c>
      <c r="K921" s="9" t="s">
        <v>1974</v>
      </c>
      <c r="L921" s="11">
        <v>19</v>
      </c>
      <c r="M921" s="9" t="s">
        <v>1975</v>
      </c>
      <c r="N921" s="9"/>
      <c r="O921" s="9"/>
      <c r="P921" s="9"/>
      <c r="Q921" s="11">
        <v>171.85</v>
      </c>
      <c r="R921" s="9" t="s">
        <v>195</v>
      </c>
      <c r="S921" s="9" t="s">
        <v>106</v>
      </c>
      <c r="T921" s="12">
        <f>IF($H921="Cancelled","",IFERROR(((Q921+INDEX(Variables!$B$6:$D$6,IFERROR(MATCH(IF($B921="Robusta","Robusta",(IF($B921="","Arabica",$B921))&amp;" - "&amp;(IF($C921="","Commercial",$C921))),Variables!$B$1:$D$1,0),1)))*22.0462)*(L921/16.67),""))</f>
        <v>11625.30378944211</v>
      </c>
      <c r="U921" s="10"/>
      <c r="V921" s="9" t="str">
        <f t="shared" si="91"/>
        <v/>
      </c>
      <c r="W921" s="10">
        <v>45687</v>
      </c>
      <c r="X921" s="9" t="str">
        <f t="shared" si="87"/>
        <v>Approved</v>
      </c>
      <c r="Y921" s="10">
        <v>45838</v>
      </c>
      <c r="Z921" s="10">
        <f>IF($H921="Cancelled","",IFERROR(IF(F921="","",F921-Variables!$B$13),""))</f>
        <v>45732</v>
      </c>
      <c r="AA921" s="11">
        <f>IF($H921="Cancelled","",IFERROR(IF(W921="","",(AVERAGE(E921:F921)-W921)-Variables!$B$14),""))</f>
        <v>1</v>
      </c>
      <c r="AB921" s="10">
        <v>45841</v>
      </c>
      <c r="AC921" s="11">
        <f>IF($H921="Cancelled","",IFERROR(IF(AB921="","",IF(AND(W921="",Y921=""),"",IF(Y921&gt;W921,Y921+Variables!$B$15+Variables!$B$16+Variables!$B$17-AB921,W921+Variables!$B$16+Variables!$B$17-AB921))),""))</f>
        <v>12</v>
      </c>
      <c r="AD921" s="9" t="s">
        <v>1972</v>
      </c>
      <c r="AE921" s="9" t="s">
        <v>174</v>
      </c>
      <c r="AF921" s="10"/>
      <c r="AG921" s="10"/>
      <c r="AH921" s="9"/>
      <c r="AI921" s="9" t="s">
        <v>1973</v>
      </c>
      <c r="AJ921" s="9" t="s">
        <v>8</v>
      </c>
      <c r="AK921" s="10">
        <v>45857</v>
      </c>
      <c r="AL921" s="10">
        <v>45867</v>
      </c>
      <c r="AM921" s="10">
        <v>45867</v>
      </c>
      <c r="AN921" s="9" t="s">
        <v>1492</v>
      </c>
      <c r="AO921" s="9"/>
      <c r="AP921" s="11">
        <f>IF($H921="Cancelled","",IFERROR(IF(OR(AK921="",AB921=""),"",(AB921+Variables!$B$18-AK921)),""))</f>
        <v>-9</v>
      </c>
      <c r="AQ921" s="11">
        <f>IF($H921="Cancelled","",IFERROR(IF(OR(AM921="",AK921=""),"",(AK921+Variables!$B$19)-AM921),""))</f>
        <v>-5</v>
      </c>
      <c r="AR921" s="12">
        <f>IF($H921="Cancelled","",IFERROR(T921*INDEX(Variables!$B$7:$D$7,IFERROR(MATCH(IF($B921="Robusta","Robusta",(IF($B921="","Arabica",$B921))&amp;" - "&amp;(IF($C921="","Commercial",$C921))),Variables!$B$1:$D$1,0),1))*(AQ921/365),""))</f>
        <v>-10.268837863172109</v>
      </c>
      <c r="AS921" s="12">
        <f>IF($H921="Cancelled","",IFERROR((T921*INDEX(Variables!$B$7:$D$7,IFERROR(MATCH(IF($B921="Robusta","Robusta",(IF($B921="","Arabica",$B921))&amp;" - "&amp;(IF($C921="","Commercial",$C921))),Variables!$B$1:$D$1,0),1))*IFERROR(IF(W921="","",(AVERAGE(E921:F921)-W921)-Variables!$B$14),"")/365)+(L921/16.67*INDEX(Variables!$B$8:$D$8,IFERROR(MATCH(IF($B921="Robusta","Robusta",(IF($B921="","Arabica",$B921))&amp;" - "&amp;(IF($C921="","Commercial",$C921))),Variables!$B$1:$D$1,0),1))*IFERROR(IF(W921="","",(AVERAGE(E921:F921)-W921)-Variables!$B$14),""))+(T921*INDEX(Variables!$B$9:$D$9,IFERROR(MATCH(IF($B921="Robusta","Robusta",(IF($B921="","Arabica",$B921))&amp;" - "&amp;(IF($C921="","Commercial",$C921))),Variables!$B$1:$D$1,0),1))*IFERROR(IF(W921="","",(AVERAGE(E921:F921)-W921)-Variables!$B$14),"")/365),""))</f>
        <v>3.0302446001417187</v>
      </c>
      <c r="AT921" s="12">
        <f>IF($H921="Cancelled","",IFERROR((T921*INDEX(Variables!$B$7:$D$7,IFERROR(MATCH(IF($B921="Robusta","Robusta",(IF($B921="","Arabica",$B921))&amp;" - "&amp;(IF($C921="","Commercial",$C921))),Variables!$B$1:$D$1,0),1))*AC921/365)+(L921/16.67*INDEX(Variables!$B$8:$D$8,IFERROR(MATCH(IF($B921="Robusta","Robusta",(IF($B921="","Arabica",$B921))&amp;" - "&amp;(IF($C921="","Commercial",$C921))),Variables!$B$1:$D$1,0),1))*AC921)+(T921*INDEX(Variables!$B$9:$D$9,IFERROR(MATCH(IF($B921="Robusta","Robusta",(IF($B921="","Arabica",$B921))&amp;" - "&amp;(IF($C921="","Commercial",$C921))),Variables!$B$1:$D$1,0),1))*AC921/365),""))</f>
        <v>36.362935201700623</v>
      </c>
      <c r="AU921" s="12">
        <f>IF($H921="Cancelled","",IFERROR((T921*INDEX(Variables!$B$7:$D$7,IFERROR(MATCH(IF($B921="Robusta","Robusta",(IF($B921="","Arabica",$B921))&amp;" - "&amp;(IF($C921="","Commercial",$C921))),Variables!$B$1:$D$1,0),1))*AP921/365)+(L921/16.67*INDEX(Variables!$B$8:$D$8,IFERROR(MATCH(IF($B921="Robusta","Robusta",(IF($B921="","Arabica",$B921))&amp;" - "&amp;(IF($C921="","Commercial",$C921))),Variables!$B$1:$D$1,0),1))*AP921)+(T921*INDEX(Variables!$B$9:$D$9,IFERROR(MATCH(IF($B921="Robusta","Robusta",(IF($B921="","Arabica",$B921))&amp;" - "&amp;(IF($C921="","Commercial",$C921))),Variables!$B$1:$D$1,0),1))*AP921/365),""))</f>
        <v>-27.272201401275467</v>
      </c>
      <c r="AV921" s="11">
        <f t="shared" si="90"/>
        <v>-110</v>
      </c>
      <c r="AW921" s="12">
        <f>IF($H921="Cancelled","",IFERROR(IF(AV921="","",(T921*INDEX(Variables!$B$7:$D$7,IFERROR(MATCH(IF($B921="Robusta","Robusta",(IF($B921="","Arabica",$B921))&amp;" - "&amp;(IF($C921="","Commercial",$C921))),Variables!$B$1:$D$1,0),1))*(AV921/365))+(T921*INDEX(Variables!$B$9:$D$9,IFERROR(MATCH(IF($B921="Robusta","Robusta",(IF($B921="","Arabica",$B921))&amp;" - "&amp;(IF($C921="","Commercial",$C921))),Variables!$B$1:$D$1,0),1))*(AV921/365))+(INDEX(Variables!$B$8:$D$8,IFERROR(MATCH(IF($B921="Robusta","Robusta",(IF($B921="","Arabica",$B921))&amp;" - "&amp;(IF($C921="","Commercial",$C921))),Variables!$B$1:$D$1,0),1))*L921/16.67)),""))</f>
        <v>-227.87690601558904</v>
      </c>
      <c r="AX921" s="9"/>
      <c r="AY921" s="12"/>
      <c r="AZ921" s="10"/>
      <c r="BA921" s="9"/>
      <c r="BB921" s="10"/>
      <c r="BC921" s="9"/>
      <c r="BD921" s="9"/>
      <c r="BE921" s="9"/>
      <c r="BF921" s="9"/>
    </row>
    <row r="922" spans="1:58" x14ac:dyDescent="0.25">
      <c r="A922" s="9" t="s">
        <v>84</v>
      </c>
      <c r="B922" s="9" t="s">
        <v>85</v>
      </c>
      <c r="C922" s="9" t="s">
        <v>1486</v>
      </c>
      <c r="D922" s="10">
        <v>45681</v>
      </c>
      <c r="E922" s="10">
        <v>45689</v>
      </c>
      <c r="F922" s="10">
        <v>45747</v>
      </c>
      <c r="G922" s="9">
        <v>3786631</v>
      </c>
      <c r="H922" s="9" t="str">
        <f t="shared" si="88"/>
        <v>Closed</v>
      </c>
      <c r="I922" s="9" t="str">
        <f t="shared" si="89"/>
        <v>All dates received</v>
      </c>
      <c r="J922" s="9" t="s">
        <v>235</v>
      </c>
      <c r="K922" s="9" t="s">
        <v>1976</v>
      </c>
      <c r="L922" s="11">
        <v>15</v>
      </c>
      <c r="M922" s="9" t="s">
        <v>1977</v>
      </c>
      <c r="N922" s="9"/>
      <c r="O922" s="9"/>
      <c r="P922" s="9"/>
      <c r="Q922" s="11">
        <v>158.85</v>
      </c>
      <c r="R922" s="9" t="s">
        <v>195</v>
      </c>
      <c r="S922" s="9" t="s">
        <v>106</v>
      </c>
      <c r="T922" s="12">
        <f>IF($H922="Cancelled","",IFERROR(((Q922+INDEX(Variables!$B$6:$D$6,IFERROR(MATCH(IF($B922="Robusta","Robusta",(IF($B922="","Arabica",$B922))&amp;" - "&amp;(IF($C922="","Commercial",$C922))),Variables!$B$1:$D$1,0),1)))*22.0462)*(L922/16.67),""))</f>
        <v>8919.9824505098968</v>
      </c>
      <c r="U922" s="10"/>
      <c r="V922" s="9" t="str">
        <f t="shared" si="91"/>
        <v/>
      </c>
      <c r="W922" s="10">
        <v>45687</v>
      </c>
      <c r="X922" s="9" t="str">
        <f t="shared" si="87"/>
        <v>Approved</v>
      </c>
      <c r="Y922" s="10">
        <v>45838</v>
      </c>
      <c r="Z922" s="10">
        <f>IF($H922="Cancelled","",IFERROR(IF(F922="","",F922-Variables!$B$13),""))</f>
        <v>45732</v>
      </c>
      <c r="AA922" s="11">
        <f>IF($H922="Cancelled","",IFERROR(IF(W922="","",(AVERAGE(E922:F922)-W922)-Variables!$B$14),""))</f>
        <v>1</v>
      </c>
      <c r="AB922" s="10">
        <v>45841</v>
      </c>
      <c r="AC922" s="11">
        <f>IF($H922="Cancelled","",IFERROR(IF(AB922="","",IF(AND(W922="",Y922=""),"",IF(Y922&gt;W922,Y922+Variables!$B$15+Variables!$B$16+Variables!$B$17-AB922,W922+Variables!$B$16+Variables!$B$17-AB922))),""))</f>
        <v>12</v>
      </c>
      <c r="AD922" s="9" t="s">
        <v>1972</v>
      </c>
      <c r="AE922" s="9" t="s">
        <v>174</v>
      </c>
      <c r="AF922" s="10"/>
      <c r="AG922" s="10"/>
      <c r="AH922" s="9"/>
      <c r="AI922" s="9" t="s">
        <v>1973</v>
      </c>
      <c r="AJ922" s="9" t="s">
        <v>8</v>
      </c>
      <c r="AK922" s="10">
        <v>45857</v>
      </c>
      <c r="AL922" s="10">
        <v>45867</v>
      </c>
      <c r="AM922" s="10">
        <v>45867</v>
      </c>
      <c r="AN922" s="9" t="s">
        <v>1492</v>
      </c>
      <c r="AO922" s="9"/>
      <c r="AP922" s="11">
        <f>IF($H922="Cancelled","",IFERROR(IF(OR(AK922="",AB922=""),"",(AB922+Variables!$B$18-AK922)),""))</f>
        <v>-9</v>
      </c>
      <c r="AQ922" s="11">
        <f>IF($H922="Cancelled","",IFERROR(IF(OR(AM922="",AK922=""),"",(AK922+Variables!$B$19)-AM922),""))</f>
        <v>-5</v>
      </c>
      <c r="AR922" s="12">
        <f>IF($H922="Cancelled","",IFERROR(T922*INDEX(Variables!$B$7:$D$7,IFERROR(MATCH(IF($B922="Robusta","Robusta",(IF($B922="","Arabica",$B922))&amp;" - "&amp;(IF($C922="","Commercial",$C922))),Variables!$B$1:$D$1,0),1))*(AQ922/365),""))</f>
        <v>-7.8791793475379359</v>
      </c>
      <c r="AS922" s="12">
        <f>IF($H922="Cancelled","",IFERROR((T922*INDEX(Variables!$B$7:$D$7,IFERROR(MATCH(IF($B922="Robusta","Robusta",(IF($B922="","Arabica",$B922))&amp;" - "&amp;(IF($C922="","Commercial",$C922))),Variables!$B$1:$D$1,0),1))*IFERROR(IF(W922="","",(AVERAGE(E922:F922)-W922)-Variables!$B$14),"")/365)+(L922/16.67*INDEX(Variables!$B$8:$D$8,IFERROR(MATCH(IF($B922="Robusta","Robusta",(IF($B922="","Arabica",$B922))&amp;" - "&amp;(IF($C922="","Commercial",$C922))),Variables!$B$1:$D$1,0),1))*IFERROR(IF(W922="","",(AVERAGE(E922:F922)-W922)-Variables!$B$14),""))+(T922*INDEX(Variables!$B$9:$D$9,IFERROR(MATCH(IF($B922="Robusta","Robusta",(IF($B922="","Arabica",$B922))&amp;" - "&amp;(IF($C922="","Commercial",$C922))),Variables!$B$1:$D$1,0),1))*IFERROR(IF(W922="","",(AVERAGE(E922:F922)-W922)-Variables!$B$14),"")/365),""))</f>
        <v>2.3461514350174748</v>
      </c>
      <c r="AT922" s="12">
        <f>IF($H922="Cancelled","",IFERROR((T922*INDEX(Variables!$B$7:$D$7,IFERROR(MATCH(IF($B922="Robusta","Robusta",(IF($B922="","Arabica",$B922))&amp;" - "&amp;(IF($C922="","Commercial",$C922))),Variables!$B$1:$D$1,0),1))*AC922/365)+(L922/16.67*INDEX(Variables!$B$8:$D$8,IFERROR(MATCH(IF($B922="Robusta","Robusta",(IF($B922="","Arabica",$B922))&amp;" - "&amp;(IF($C922="","Commercial",$C922))),Variables!$B$1:$D$1,0),1))*AC922)+(T922*INDEX(Variables!$B$9:$D$9,IFERROR(MATCH(IF($B922="Robusta","Robusta",(IF($B922="","Arabica",$B922))&amp;" - "&amp;(IF($C922="","Commercial",$C922))),Variables!$B$1:$D$1,0),1))*AC922/365),""))</f>
        <v>28.153817220209692</v>
      </c>
      <c r="AU922" s="12">
        <f>IF($H922="Cancelled","",IFERROR((T922*INDEX(Variables!$B$7:$D$7,IFERROR(MATCH(IF($B922="Robusta","Robusta",(IF($B922="","Arabica",$B922))&amp;" - "&amp;(IF($C922="","Commercial",$C922))),Variables!$B$1:$D$1,0),1))*AP922/365)+(L922/16.67*INDEX(Variables!$B$8:$D$8,IFERROR(MATCH(IF($B922="Robusta","Robusta",(IF($B922="","Arabica",$B922))&amp;" - "&amp;(IF($C922="","Commercial",$C922))),Variables!$B$1:$D$1,0),1))*AP922)+(T922*INDEX(Variables!$B$9:$D$9,IFERROR(MATCH(IF($B922="Robusta","Robusta",(IF($B922="","Arabica",$B922))&amp;" - "&amp;(IF($C922="","Commercial",$C922))),Variables!$B$1:$D$1,0),1))*AP922/365),""))</f>
        <v>-21.11536291515727</v>
      </c>
      <c r="AV922" s="11">
        <f t="shared" si="90"/>
        <v>-110</v>
      </c>
      <c r="AW922" s="12">
        <f>IF($H922="Cancelled","",IFERROR(IF(AV922="","",(T922*INDEX(Variables!$B$7:$D$7,IFERROR(MATCH(IF($B922="Robusta","Robusta",(IF($B922="","Arabica",$B922))&amp;" - "&amp;(IF($C922="","Commercial",$C922))),Variables!$B$1:$D$1,0),1))*(AV922/365))+(T922*INDEX(Variables!$B$9:$D$9,IFERROR(MATCH(IF($B922="Robusta","Robusta",(IF($B922="","Arabica",$B922))&amp;" - "&amp;(IF($C922="","Commercial",$C922))),Variables!$B$1:$D$1,0),1))*(AV922/365))+(INDEX(Variables!$B$8:$D$8,IFERROR(MATCH(IF($B922="Robusta","Robusta",(IF($B922="","Arabica",$B922))&amp;" - "&amp;(IF($C922="","Commercial",$C922))),Variables!$B$1:$D$1,0),1))*L922/16.67)),""))</f>
        <v>-174.82665785192219</v>
      </c>
      <c r="AX922" s="9"/>
      <c r="AY922" s="12"/>
      <c r="AZ922" s="10"/>
      <c r="BA922" s="9"/>
      <c r="BB922" s="10"/>
      <c r="BC922" s="9"/>
      <c r="BD922" s="9"/>
      <c r="BE922" s="9"/>
      <c r="BF922" s="9"/>
    </row>
    <row r="923" spans="1:58" x14ac:dyDescent="0.25">
      <c r="A923" s="9" t="s">
        <v>84</v>
      </c>
      <c r="B923" s="9" t="s">
        <v>85</v>
      </c>
      <c r="C923" s="9" t="s">
        <v>1486</v>
      </c>
      <c r="D923" s="10">
        <v>45693</v>
      </c>
      <c r="E923" s="10">
        <v>45689</v>
      </c>
      <c r="F923" s="10">
        <v>45747</v>
      </c>
      <c r="G923" s="9">
        <v>3786658</v>
      </c>
      <c r="H923" s="9" t="str">
        <f t="shared" si="88"/>
        <v>Closed</v>
      </c>
      <c r="I923" s="9" t="str">
        <f t="shared" si="89"/>
        <v>All dates received</v>
      </c>
      <c r="J923" s="9" t="s">
        <v>102</v>
      </c>
      <c r="K923" s="9" t="s">
        <v>1978</v>
      </c>
      <c r="L923" s="11">
        <v>20</v>
      </c>
      <c r="M923" s="9" t="s">
        <v>1979</v>
      </c>
      <c r="N923" s="9"/>
      <c r="O923" s="9"/>
      <c r="P923" s="9"/>
      <c r="Q923" s="11">
        <v>158.85</v>
      </c>
      <c r="R923" s="9" t="s">
        <v>195</v>
      </c>
      <c r="S923" s="9" t="s">
        <v>554</v>
      </c>
      <c r="T923" s="12">
        <f>IF($H923="Cancelled","",IFERROR(((Q923+INDEX(Variables!$B$6:$D$6,IFERROR(MATCH(IF($B923="Robusta","Robusta",(IF($B923="","Arabica",$B923))&amp;" - "&amp;(IF($C923="","Commercial",$C923))),Variables!$B$1:$D$1,0),1)))*22.0462)*(L923/16.67),""))</f>
        <v>11893.309934013196</v>
      </c>
      <c r="U923" s="10">
        <v>45702</v>
      </c>
      <c r="V923" s="9" t="str">
        <f t="shared" si="91"/>
        <v>Sent</v>
      </c>
      <c r="W923" s="10"/>
      <c r="X923" s="9" t="str">
        <f t="shared" si="87"/>
        <v/>
      </c>
      <c r="Y923" s="10"/>
      <c r="Z923" s="10">
        <f>IF($H923="Cancelled","",IFERROR(IF(F923="","",F923-Variables!$B$13),""))</f>
        <v>45732</v>
      </c>
      <c r="AA923" s="11" t="str">
        <f>IF($H923="Cancelled","",IFERROR(IF(W923="","",(AVERAGE(E923:F923)-W923)-Variables!$B$14),""))</f>
        <v/>
      </c>
      <c r="AB923" s="10">
        <v>45745</v>
      </c>
      <c r="AC923" s="11" t="str">
        <f>IF($H923="Cancelled","",IFERROR(IF(AB923="","",IF(AND(W923="",Y923=""),"",IF(Y923&gt;W923,Y923+Variables!$B$15+Variables!$B$16+Variables!$B$17-AB923,W923+Variables!$B$16+Variables!$B$17-AB923))),""))</f>
        <v/>
      </c>
      <c r="AD923" s="9" t="s">
        <v>107</v>
      </c>
      <c r="AE923" s="9" t="s">
        <v>693</v>
      </c>
      <c r="AF923" s="10">
        <v>45758</v>
      </c>
      <c r="AG923" s="10"/>
      <c r="AH923" s="9"/>
      <c r="AI923" s="9" t="s">
        <v>1980</v>
      </c>
      <c r="AJ923" s="9" t="s">
        <v>8</v>
      </c>
      <c r="AK923" s="10">
        <v>45762</v>
      </c>
      <c r="AL923" s="10">
        <v>45764</v>
      </c>
      <c r="AM923" s="10">
        <v>45777</v>
      </c>
      <c r="AN923" s="9" t="s">
        <v>1492</v>
      </c>
      <c r="AO923" s="9"/>
      <c r="AP923" s="11">
        <f>IF($H923="Cancelled","",IFERROR(IF(OR(AK923="",AB923=""),"",(AB923+Variables!$B$18-AK923)),""))</f>
        <v>-10</v>
      </c>
      <c r="AQ923" s="11">
        <f>IF($H923="Cancelled","",IFERROR(IF(OR(AM923="",AK923=""),"",(AK923+Variables!$B$19)-AM923),""))</f>
        <v>-10</v>
      </c>
      <c r="AR923" s="12">
        <f>IF($H923="Cancelled","",IFERROR(T923*INDEX(Variables!$B$7:$D$7,IFERROR(MATCH(IF($B923="Robusta","Robusta",(IF($B923="","Arabica",$B923))&amp;" - "&amp;(IF($C923="","Commercial",$C923))),Variables!$B$1:$D$1,0),1))*(AQ923/365),""))</f>
        <v>-21.011144926767827</v>
      </c>
      <c r="AS923" s="12" t="str">
        <f>IF($H923="Cancelled","",IFERROR((T923*INDEX(Variables!$B$7:$D$7,IFERROR(MATCH(IF($B923="Robusta","Robusta",(IF($B923="","Arabica",$B923))&amp;" - "&amp;(IF($C923="","Commercial",$C923))),Variables!$B$1:$D$1,0),1))*IFERROR(IF(W923="","",(AVERAGE(E923:F923)-W923)-Variables!$B$14),"")/365)+(L923/16.67*INDEX(Variables!$B$8:$D$8,IFERROR(MATCH(IF($B923="Robusta","Robusta",(IF($B923="","Arabica",$B923))&amp;" - "&amp;(IF($C923="","Commercial",$C923))),Variables!$B$1:$D$1,0),1))*IFERROR(IF(W923="","",(AVERAGE(E923:F923)-W923)-Variables!$B$14),""))+(T923*INDEX(Variables!$B$9:$D$9,IFERROR(MATCH(IF($B923="Robusta","Robusta",(IF($B923="","Arabica",$B923))&amp;" - "&amp;(IF($C923="","Commercial",$C923))),Variables!$B$1:$D$1,0),1))*IFERROR(IF(W923="","",(AVERAGE(E923:F923)-W923)-Variables!$B$14),"")/365),""))</f>
        <v/>
      </c>
      <c r="AT923" s="12" t="str">
        <f>IF($H923="Cancelled","",IFERROR((T923*INDEX(Variables!$B$7:$D$7,IFERROR(MATCH(IF($B923="Robusta","Robusta",(IF($B923="","Arabica",$B923))&amp;" - "&amp;(IF($C923="","Commercial",$C923))),Variables!$B$1:$D$1,0),1))*AC923/365)+(L923/16.67*INDEX(Variables!$B$8:$D$8,IFERROR(MATCH(IF($B923="Robusta","Robusta",(IF($B923="","Arabica",$B923))&amp;" - "&amp;(IF($C923="","Commercial",$C923))),Variables!$B$1:$D$1,0),1))*AC923)+(T923*INDEX(Variables!$B$9:$D$9,IFERROR(MATCH(IF($B923="Robusta","Robusta",(IF($B923="","Arabica",$B923))&amp;" - "&amp;(IF($C923="","Commercial",$C923))),Variables!$B$1:$D$1,0),1))*AC923/365),""))</f>
        <v/>
      </c>
      <c r="AU923" s="12">
        <f>IF($H923="Cancelled","",IFERROR((T923*INDEX(Variables!$B$7:$D$7,IFERROR(MATCH(IF($B923="Robusta","Robusta",(IF($B923="","Arabica",$B923))&amp;" - "&amp;(IF($C923="","Commercial",$C923))),Variables!$B$1:$D$1,0),1))*AP923/365)+(L923/16.67*INDEX(Variables!$B$8:$D$8,IFERROR(MATCH(IF($B923="Robusta","Robusta",(IF($B923="","Arabica",$B923))&amp;" - "&amp;(IF($C923="","Commercial",$C923))),Variables!$B$1:$D$1,0),1))*AP923)+(T923*INDEX(Variables!$B$9:$D$9,IFERROR(MATCH(IF($B923="Robusta","Robusta",(IF($B923="","Arabica",$B923))&amp;" - "&amp;(IF($C923="","Commercial",$C923))),Variables!$B$1:$D$1,0),1))*AP923/365),""))</f>
        <v>-31.28201913356633</v>
      </c>
      <c r="AV923" s="11">
        <f t="shared" si="90"/>
        <v>-15</v>
      </c>
      <c r="AW923" s="12">
        <f>IF($H923="Cancelled","",IFERROR(IF(AV923="","",(T923*INDEX(Variables!$B$7:$D$7,IFERROR(MATCH(IF($B923="Robusta","Robusta",(IF($B923="","Arabica",$B923))&amp;" - "&amp;(IF($C923="","Commercial",$C923))),Variables!$B$1:$D$1,0),1))*(AV923/365))+(T923*INDEX(Variables!$B$9:$D$9,IFERROR(MATCH(IF($B923="Robusta","Robusta",(IF($B923="","Arabica",$B923))&amp;" - "&amp;(IF($C923="","Commercial",$C923))),Variables!$B$1:$D$1,0),1))*(AV923/365))+(INDEX(Variables!$B$8:$D$8,IFERROR(MATCH(IF($B923="Robusta","Robusta",(IF($B923="","Arabica",$B923))&amp;" - "&amp;(IF($C923="","Commercial",$C923))),Variables!$B$1:$D$1,0),1))*L923/16.67)),""))</f>
        <v>-30.923028700349487</v>
      </c>
      <c r="AX923" s="9"/>
      <c r="AY923" s="12"/>
      <c r="AZ923" s="10"/>
      <c r="BA923" s="9"/>
      <c r="BB923" s="10"/>
      <c r="BC923" s="9"/>
      <c r="BD923" s="9"/>
      <c r="BE923" s="9"/>
      <c r="BF923" s="9"/>
    </row>
    <row r="924" spans="1:58" x14ac:dyDescent="0.25">
      <c r="A924" s="9" t="s">
        <v>84</v>
      </c>
      <c r="B924" s="9" t="s">
        <v>85</v>
      </c>
      <c r="C924" s="9" t="s">
        <v>1486</v>
      </c>
      <c r="D924" s="10">
        <v>45693</v>
      </c>
      <c r="E924" s="10">
        <v>45689</v>
      </c>
      <c r="F924" s="10">
        <v>45747</v>
      </c>
      <c r="G924" s="9">
        <v>3786659</v>
      </c>
      <c r="H924" s="9" t="str">
        <f t="shared" si="88"/>
        <v>Closed</v>
      </c>
      <c r="I924" s="9" t="str">
        <f t="shared" si="89"/>
        <v>All dates received</v>
      </c>
      <c r="J924" s="9" t="s">
        <v>102</v>
      </c>
      <c r="K924" s="9" t="s">
        <v>1981</v>
      </c>
      <c r="L924" s="11">
        <v>20</v>
      </c>
      <c r="M924" s="9" t="s">
        <v>1982</v>
      </c>
      <c r="N924" s="9"/>
      <c r="O924" s="9"/>
      <c r="P924" s="9"/>
      <c r="Q924" s="11">
        <v>121.1</v>
      </c>
      <c r="R924" s="9" t="s">
        <v>195</v>
      </c>
      <c r="S924" s="9" t="s">
        <v>554</v>
      </c>
      <c r="T924" s="12">
        <f>IF($H924="Cancelled","",IFERROR(((Q924+INDEX(Variables!$B$6:$D$6,IFERROR(MATCH(IF($B924="Robusta","Robusta",(IF($B924="","Arabica",$B924))&amp;" - "&amp;(IF($C924="","Commercial",$C924))),Variables!$B$1:$D$1,0),1)))*22.0462)*(L924/16.67),""))</f>
        <v>10894.816772645469</v>
      </c>
      <c r="U924" s="10">
        <v>45702</v>
      </c>
      <c r="V924" s="9" t="str">
        <f t="shared" si="91"/>
        <v>Sent</v>
      </c>
      <c r="W924" s="10"/>
      <c r="X924" s="9" t="str">
        <f t="shared" si="87"/>
        <v/>
      </c>
      <c r="Y924" s="10"/>
      <c r="Z924" s="10">
        <f>IF($H924="Cancelled","",IFERROR(IF(F924="","",F924-Variables!$B$13),""))</f>
        <v>45732</v>
      </c>
      <c r="AA924" s="11" t="str">
        <f>IF($H924="Cancelled","",IFERROR(IF(W924="","",(AVERAGE(E924:F924)-W924)-Variables!$B$14),""))</f>
        <v/>
      </c>
      <c r="AB924" s="10">
        <v>45745</v>
      </c>
      <c r="AC924" s="11" t="str">
        <f>IF($H924="Cancelled","",IFERROR(IF(AB924="","",IF(AND(W924="",Y924=""),"",IF(Y924&gt;W924,Y924+Variables!$B$15+Variables!$B$16+Variables!$B$17-AB924,W924+Variables!$B$16+Variables!$B$17-AB924))),""))</f>
        <v/>
      </c>
      <c r="AD924" s="9" t="s">
        <v>107</v>
      </c>
      <c r="AE924" s="9" t="s">
        <v>693</v>
      </c>
      <c r="AF924" s="10">
        <v>45758</v>
      </c>
      <c r="AG924" s="10"/>
      <c r="AH924" s="9"/>
      <c r="AI924" s="9" t="s">
        <v>1980</v>
      </c>
      <c r="AJ924" s="9" t="s">
        <v>8</v>
      </c>
      <c r="AK924" s="10">
        <v>45762</v>
      </c>
      <c r="AL924" s="10">
        <v>45764</v>
      </c>
      <c r="AM924" s="10">
        <v>45777</v>
      </c>
      <c r="AN924" s="9" t="s">
        <v>1492</v>
      </c>
      <c r="AO924" s="9"/>
      <c r="AP924" s="11">
        <f>IF($H924="Cancelled","",IFERROR(IF(OR(AK924="",AB924=""),"",(AB924+Variables!$B$18-AK924)),""))</f>
        <v>-10</v>
      </c>
      <c r="AQ924" s="11">
        <f>IF($H924="Cancelled","",IFERROR(IF(OR(AM924="",AK924=""),"",(AK924+Variables!$B$19)-AM924),""))</f>
        <v>-10</v>
      </c>
      <c r="AR924" s="12">
        <f>IF($H924="Cancelled","",IFERROR(T924*INDEX(Variables!$B$7:$D$7,IFERROR(MATCH(IF($B924="Robusta","Robusta",(IF($B924="","Arabica",$B924))&amp;" - "&amp;(IF($C924="","Commercial",$C924))),Variables!$B$1:$D$1,0),1))*(AQ924/365),""))</f>
        <v>-19.247171345125469</v>
      </c>
      <c r="AS924" s="12" t="str">
        <f>IF($H924="Cancelled","",IFERROR((T924*INDEX(Variables!$B$7:$D$7,IFERROR(MATCH(IF($B924="Robusta","Robusta",(IF($B924="","Arabica",$B924))&amp;" - "&amp;(IF($C924="","Commercial",$C924))),Variables!$B$1:$D$1,0),1))*IFERROR(IF(W924="","",(AVERAGE(E924:F924)-W924)-Variables!$B$14),"")/365)+(L924/16.67*INDEX(Variables!$B$8:$D$8,IFERROR(MATCH(IF($B924="Robusta","Robusta",(IF($B924="","Arabica",$B924))&amp;" - "&amp;(IF($C924="","Commercial",$C924))),Variables!$B$1:$D$1,0),1))*IFERROR(IF(W924="","",(AVERAGE(E924:F924)-W924)-Variables!$B$14),""))+(T924*INDEX(Variables!$B$9:$D$9,IFERROR(MATCH(IF($B924="Robusta","Robusta",(IF($B924="","Arabica",$B924))&amp;" - "&amp;(IF($C924="","Commercial",$C924))),Variables!$B$1:$D$1,0),1))*IFERROR(IF(W924="","",(AVERAGE(E924:F924)-W924)-Variables!$B$14),"")/365),""))</f>
        <v/>
      </c>
      <c r="AT924" s="12" t="str">
        <f>IF($H924="Cancelled","",IFERROR((T924*INDEX(Variables!$B$7:$D$7,IFERROR(MATCH(IF($B924="Robusta","Robusta",(IF($B924="","Arabica",$B924))&amp;" - "&amp;(IF($C924="","Commercial",$C924))),Variables!$B$1:$D$1,0),1))*AC924/365)+(L924/16.67*INDEX(Variables!$B$8:$D$8,IFERROR(MATCH(IF($B924="Robusta","Robusta",(IF($B924="","Arabica",$B924))&amp;" - "&amp;(IF($C924="","Commercial",$C924))),Variables!$B$1:$D$1,0),1))*AC924)+(T924*INDEX(Variables!$B$9:$D$9,IFERROR(MATCH(IF($B924="Robusta","Robusta",(IF($B924="","Arabica",$B924))&amp;" - "&amp;(IF($C924="","Commercial",$C924))),Variables!$B$1:$D$1,0),1))*AC924/365),""))</f>
        <v/>
      </c>
      <c r="AU924" s="12">
        <f>IF($H924="Cancelled","",IFERROR((T924*INDEX(Variables!$B$7:$D$7,IFERROR(MATCH(IF($B924="Robusta","Robusta",(IF($B924="","Arabica",$B924))&amp;" - "&amp;(IF($C924="","Commercial",$C924))),Variables!$B$1:$D$1,0),1))*AP924/365)+(L924/16.67*INDEX(Variables!$B$8:$D$8,IFERROR(MATCH(IF($B924="Robusta","Robusta",(IF($B924="","Arabica",$B924))&amp;" - "&amp;(IF($C924="","Commercial",$C924))),Variables!$B$1:$D$1,0),1))*AP924)+(T924*INDEX(Variables!$B$9:$D$9,IFERROR(MATCH(IF($B924="Robusta","Robusta",(IF($B924="","Arabica",$B924))&amp;" - "&amp;(IF($C924="","Commercial",$C924))),Variables!$B$1:$D$1,0),1))*AP924/365),""))</f>
        <v>-29.495304528224107</v>
      </c>
      <c r="AV924" s="11">
        <f t="shared" si="90"/>
        <v>-15</v>
      </c>
      <c r="AW924" s="12">
        <f>IF($H924="Cancelled","",IFERROR(IF(AV924="","",(T924*INDEX(Variables!$B$7:$D$7,IFERROR(MATCH(IF($B924="Robusta","Robusta",(IF($B924="","Arabica",$B924))&amp;" - "&amp;(IF($C924="","Commercial",$C924))),Variables!$B$1:$D$1,0),1))*(AV924/365))+(T924*INDEX(Variables!$B$9:$D$9,IFERROR(MATCH(IF($B924="Robusta","Robusta",(IF($B924="","Arabica",$B924))&amp;" - "&amp;(IF($C924="","Commercial",$C924))),Variables!$B$1:$D$1,0),1))*(AV924/365))+(INDEX(Variables!$B$8:$D$8,IFERROR(MATCH(IF($B924="Robusta","Robusta",(IF($B924="","Arabica",$B924))&amp;" - "&amp;(IF($C924="","Commercial",$C924))),Variables!$B$1:$D$1,0),1))*L924/16.67)),""))</f>
        <v>-28.242956792336159</v>
      </c>
      <c r="AX924" s="9"/>
      <c r="AY924" s="12"/>
      <c r="AZ924" s="10"/>
      <c r="BA924" s="9"/>
      <c r="BB924" s="10"/>
      <c r="BC924" s="9"/>
      <c r="BD924" s="9"/>
      <c r="BE924" s="9"/>
      <c r="BF924" s="9"/>
    </row>
    <row r="925" spans="1:58" x14ac:dyDescent="0.25">
      <c r="A925" s="9" t="s">
        <v>84</v>
      </c>
      <c r="B925" s="9" t="s">
        <v>85</v>
      </c>
      <c r="C925" s="9" t="s">
        <v>1486</v>
      </c>
      <c r="D925" s="10">
        <v>45693</v>
      </c>
      <c r="E925" s="10">
        <v>45689</v>
      </c>
      <c r="F925" s="10">
        <v>45747</v>
      </c>
      <c r="G925" s="9">
        <v>3786660</v>
      </c>
      <c r="H925" s="9" t="str">
        <f t="shared" si="88"/>
        <v>Closed</v>
      </c>
      <c r="I925" s="9" t="str">
        <f t="shared" si="89"/>
        <v>All dates received</v>
      </c>
      <c r="J925" s="9" t="s">
        <v>102</v>
      </c>
      <c r="K925" s="9" t="s">
        <v>1983</v>
      </c>
      <c r="L925" s="11">
        <v>15</v>
      </c>
      <c r="M925" s="9" t="s">
        <v>1984</v>
      </c>
      <c r="N925" s="9"/>
      <c r="O925" s="9"/>
      <c r="P925" s="9"/>
      <c r="Q925" s="11">
        <v>78.099999999999994</v>
      </c>
      <c r="R925" s="9" t="s">
        <v>195</v>
      </c>
      <c r="S925" s="9" t="s">
        <v>554</v>
      </c>
      <c r="T925" s="12">
        <f>IF($H925="Cancelled","",IFERROR(((Q925+INDEX(Variables!$B$6:$D$6,IFERROR(MATCH(IF($B925="Robusta","Robusta",(IF($B925="","Arabica",$B925))&amp;" - "&amp;(IF($C925="","Commercial",$C925))),Variables!$B$1:$D$1,0),1)))*22.0462)*(L925/16.67),""))</f>
        <v>7318.0952429514082</v>
      </c>
      <c r="U925" s="10">
        <v>45702</v>
      </c>
      <c r="V925" s="9" t="str">
        <f t="shared" si="91"/>
        <v>Sent</v>
      </c>
      <c r="W925" s="10"/>
      <c r="X925" s="9" t="str">
        <f t="shared" si="87"/>
        <v/>
      </c>
      <c r="Y925" s="10"/>
      <c r="Z925" s="10">
        <f>IF($H925="Cancelled","",IFERROR(IF(F925="","",F925-Variables!$B$13),""))</f>
        <v>45732</v>
      </c>
      <c r="AA925" s="11" t="str">
        <f>IF($H925="Cancelled","",IFERROR(IF(W925="","",(AVERAGE(E925:F925)-W925)-Variables!$B$14),""))</f>
        <v/>
      </c>
      <c r="AB925" s="10">
        <v>45745</v>
      </c>
      <c r="AC925" s="11" t="str">
        <f>IF($H925="Cancelled","",IFERROR(IF(AB925="","",IF(AND(W925="",Y925=""),"",IF(Y925&gt;W925,Y925+Variables!$B$15+Variables!$B$16+Variables!$B$17-AB925,W925+Variables!$B$16+Variables!$B$17-AB925))),""))</f>
        <v/>
      </c>
      <c r="AD925" s="9" t="s">
        <v>107</v>
      </c>
      <c r="AE925" s="9" t="s">
        <v>693</v>
      </c>
      <c r="AF925" s="10">
        <v>45758</v>
      </c>
      <c r="AG925" s="10"/>
      <c r="AH925" s="9"/>
      <c r="AI925" s="9" t="s">
        <v>1980</v>
      </c>
      <c r="AJ925" s="9" t="s">
        <v>8</v>
      </c>
      <c r="AK925" s="10">
        <v>45762</v>
      </c>
      <c r="AL925" s="10">
        <v>45764</v>
      </c>
      <c r="AM925" s="10">
        <v>45777</v>
      </c>
      <c r="AN925" s="9" t="s">
        <v>1492</v>
      </c>
      <c r="AO925" s="9"/>
      <c r="AP925" s="11">
        <f>IF($H925="Cancelled","",IFERROR(IF(OR(AK925="",AB925=""),"",(AB925+Variables!$B$18-AK925)),""))</f>
        <v>-10</v>
      </c>
      <c r="AQ925" s="11">
        <f>IF($H925="Cancelled","",IFERROR(IF(OR(AM925="",AK925=""),"",(AK925+Variables!$B$19)-AM925),""))</f>
        <v>-10</v>
      </c>
      <c r="AR925" s="12">
        <f>IF($H925="Cancelled","",IFERROR(T925*INDEX(Variables!$B$7:$D$7,IFERROR(MATCH(IF($B925="Robusta","Robusta",(IF($B925="","Arabica",$B925))&amp;" - "&amp;(IF($C925="","Commercial",$C925))),Variables!$B$1:$D$1,0),1))*(AQ925/365),""))</f>
        <v>-12.928407700686064</v>
      </c>
      <c r="AS925" s="12" t="str">
        <f>IF($H925="Cancelled","",IFERROR((T925*INDEX(Variables!$B$7:$D$7,IFERROR(MATCH(IF($B925="Robusta","Robusta",(IF($B925="","Arabica",$B925))&amp;" - "&amp;(IF($C925="","Commercial",$C925))),Variables!$B$1:$D$1,0),1))*IFERROR(IF(W925="","",(AVERAGE(E925:F925)-W925)-Variables!$B$14),"")/365)+(L925/16.67*INDEX(Variables!$B$8:$D$8,IFERROR(MATCH(IF($B925="Robusta","Robusta",(IF($B925="","Arabica",$B925))&amp;" - "&amp;(IF($C925="","Commercial",$C925))),Variables!$B$1:$D$1,0),1))*IFERROR(IF(W925="","",(AVERAGE(E925:F925)-W925)-Variables!$B$14),""))+(T925*INDEX(Variables!$B$9:$D$9,IFERROR(MATCH(IF($B925="Robusta","Robusta",(IF($B925="","Arabica",$B925))&amp;" - "&amp;(IF($C925="","Commercial",$C925))),Variables!$B$1:$D$1,0),1))*IFERROR(IF(W925="","",(AVERAGE(E925:F925)-W925)-Variables!$B$14),"")/365),""))</f>
        <v/>
      </c>
      <c r="AT925" s="12" t="str">
        <f>IF($H925="Cancelled","",IFERROR((T925*INDEX(Variables!$B$7:$D$7,IFERROR(MATCH(IF($B925="Robusta","Robusta",(IF($B925="","Arabica",$B925))&amp;" - "&amp;(IF($C925="","Commercial",$C925))),Variables!$B$1:$D$1,0),1))*AC925/365)+(L925/16.67*INDEX(Variables!$B$8:$D$8,IFERROR(MATCH(IF($B925="Robusta","Robusta",(IF($B925="","Arabica",$B925))&amp;" - "&amp;(IF($C925="","Commercial",$C925))),Variables!$B$1:$D$1,0),1))*AC925)+(T925*INDEX(Variables!$B$9:$D$9,IFERROR(MATCH(IF($B925="Robusta","Robusta",(IF($B925="","Arabica",$B925))&amp;" - "&amp;(IF($C925="","Commercial",$C925))),Variables!$B$1:$D$1,0),1))*AC925/365),""))</f>
        <v/>
      </c>
      <c r="AU925" s="12">
        <f>IF($H925="Cancelled","",IFERROR((T925*INDEX(Variables!$B$7:$D$7,IFERROR(MATCH(IF($B925="Robusta","Robusta",(IF($B925="","Arabica",$B925))&amp;" - "&amp;(IF($C925="","Commercial",$C925))),Variables!$B$1:$D$1,0),1))*AP925/365)+(L925/16.67*INDEX(Variables!$B$8:$D$8,IFERROR(MATCH(IF($B925="Robusta","Robusta",(IF($B925="","Arabica",$B925))&amp;" - "&amp;(IF($C925="","Commercial",$C925))),Variables!$B$1:$D$1,0),1))*AP925)+(T925*INDEX(Variables!$B$9:$D$9,IFERROR(MATCH(IF($B925="Robusta","Robusta",(IF($B925="","Arabica",$B925))&amp;" - "&amp;(IF($C925="","Commercial",$C925))),Variables!$B$1:$D$1,0),1))*AP925/365),""))</f>
        <v>-20.595079826041285</v>
      </c>
      <c r="AV925" s="11">
        <f t="shared" si="90"/>
        <v>-15</v>
      </c>
      <c r="AW925" s="12">
        <f>IF($H925="Cancelled","",IFERROR(IF(AV925="","",(T925*INDEX(Variables!$B$7:$D$7,IFERROR(MATCH(IF($B925="Robusta","Robusta",(IF($B925="","Arabica",$B925))&amp;" - "&amp;(IF($C925="","Commercial",$C925))),Variables!$B$1:$D$1,0),1))*(AV925/365))+(T925*INDEX(Variables!$B$9:$D$9,IFERROR(MATCH(IF($B925="Robusta","Robusta",(IF($B925="","Arabica",$B925))&amp;" - "&amp;(IF($C925="","Commercial",$C925))),Variables!$B$1:$D$1,0),1))*(AV925/365))+(INDEX(Variables!$B$8:$D$8,IFERROR(MATCH(IF($B925="Robusta","Robusta",(IF($B925="","Arabica",$B925))&amp;" - "&amp;(IF($C925="","Commercial",$C925))),Variables!$B$1:$D$1,0),1))*L925/16.67)),""))</f>
        <v>-18.892619739061924</v>
      </c>
      <c r="AX925" s="9"/>
      <c r="AY925" s="12"/>
      <c r="AZ925" s="10"/>
      <c r="BA925" s="9"/>
      <c r="BB925" s="10"/>
      <c r="BC925" s="9"/>
      <c r="BD925" s="9"/>
      <c r="BE925" s="9"/>
      <c r="BF925" s="9"/>
    </row>
    <row r="926" spans="1:58" x14ac:dyDescent="0.25">
      <c r="A926" s="9" t="s">
        <v>84</v>
      </c>
      <c r="B926" s="9" t="s">
        <v>85</v>
      </c>
      <c r="C926" s="9" t="s">
        <v>1486</v>
      </c>
      <c r="D926" s="10">
        <v>45693</v>
      </c>
      <c r="E926" s="10">
        <v>45689</v>
      </c>
      <c r="F926" s="10">
        <v>45747</v>
      </c>
      <c r="G926" s="9">
        <v>3786661</v>
      </c>
      <c r="H926" s="9" t="str">
        <f t="shared" si="88"/>
        <v>Closed</v>
      </c>
      <c r="I926" s="9" t="str">
        <f t="shared" si="89"/>
        <v>All dates received</v>
      </c>
      <c r="J926" s="9" t="s">
        <v>102</v>
      </c>
      <c r="K926" s="9" t="s">
        <v>1985</v>
      </c>
      <c r="L926" s="11">
        <v>15</v>
      </c>
      <c r="M926" s="9" t="s">
        <v>1986</v>
      </c>
      <c r="N926" s="9"/>
      <c r="O926" s="9"/>
      <c r="P926" s="9"/>
      <c r="Q926" s="11">
        <v>119.1</v>
      </c>
      <c r="R926" s="9" t="s">
        <v>195</v>
      </c>
      <c r="S926" s="9" t="s">
        <v>554</v>
      </c>
      <c r="T926" s="12">
        <f>IF($H926="Cancelled","",IFERROR(((Q926+INDEX(Variables!$B$6:$D$6,IFERROR(MATCH(IF($B926="Robusta","Robusta",(IF($B926="","Arabica",$B926))&amp;" - "&amp;(IF($C926="","Commercial",$C926))),Variables!$B$1:$D$1,0),1)))*22.0462)*(L926/16.67),""))</f>
        <v>8131.4373545290919</v>
      </c>
      <c r="U926" s="10">
        <v>45702</v>
      </c>
      <c r="V926" s="9" t="str">
        <f t="shared" si="91"/>
        <v>Sent</v>
      </c>
      <c r="W926" s="10"/>
      <c r="X926" s="9" t="str">
        <f t="shared" si="87"/>
        <v/>
      </c>
      <c r="Y926" s="10"/>
      <c r="Z926" s="10">
        <f>IF($H926="Cancelled","",IFERROR(IF(F926="","",F926-Variables!$B$13),""))</f>
        <v>45732</v>
      </c>
      <c r="AA926" s="11" t="str">
        <f>IF($H926="Cancelled","",IFERROR(IF(W926="","",(AVERAGE(E926:F926)-W926)-Variables!$B$14),""))</f>
        <v/>
      </c>
      <c r="AB926" s="10">
        <v>45745</v>
      </c>
      <c r="AC926" s="11" t="str">
        <f>IF($H926="Cancelled","",IFERROR(IF(AB926="","",IF(AND(W926="",Y926=""),"",IF(Y926&gt;W926,Y926+Variables!$B$15+Variables!$B$16+Variables!$B$17-AB926,W926+Variables!$B$16+Variables!$B$17-AB926))),""))</f>
        <v/>
      </c>
      <c r="AD926" s="9" t="s">
        <v>107</v>
      </c>
      <c r="AE926" s="9" t="s">
        <v>693</v>
      </c>
      <c r="AF926" s="10">
        <v>45758</v>
      </c>
      <c r="AG926" s="10"/>
      <c r="AH926" s="9"/>
      <c r="AI926" s="9" t="s">
        <v>1980</v>
      </c>
      <c r="AJ926" s="9" t="s">
        <v>8</v>
      </c>
      <c r="AK926" s="10">
        <v>45762</v>
      </c>
      <c r="AL926" s="10">
        <v>45764</v>
      </c>
      <c r="AM926" s="10">
        <v>45777</v>
      </c>
      <c r="AN926" s="9" t="s">
        <v>1492</v>
      </c>
      <c r="AO926" s="9"/>
      <c r="AP926" s="11">
        <f>IF($H926="Cancelled","",IFERROR(IF(OR(AK926="",AB926=""),"",(AB926+Variables!$B$18-AK926)),""))</f>
        <v>-10</v>
      </c>
      <c r="AQ926" s="11">
        <f>IF($H926="Cancelled","",IFERROR(IF(OR(AM926="",AK926=""),"",(AK926+Variables!$B$19)-AM926),""))</f>
        <v>-10</v>
      </c>
      <c r="AR926" s="12">
        <f>IF($H926="Cancelled","",IFERROR(T926*INDEX(Variables!$B$7:$D$7,IFERROR(MATCH(IF($B926="Robusta","Robusta",(IF($B926="","Arabica",$B926))&amp;" - "&amp;(IF($C926="","Commercial",$C926))),Variables!$B$1:$D$1,0),1))*(AQ926/365),""))</f>
        <v>-14.365286843348379</v>
      </c>
      <c r="AS926" s="12" t="str">
        <f>IF($H926="Cancelled","",IFERROR((T926*INDEX(Variables!$B$7:$D$7,IFERROR(MATCH(IF($B926="Robusta","Robusta",(IF($B926="","Arabica",$B926))&amp;" - "&amp;(IF($C926="","Commercial",$C926))),Variables!$B$1:$D$1,0),1))*IFERROR(IF(W926="","",(AVERAGE(E926:F926)-W926)-Variables!$B$14),"")/365)+(L926/16.67*INDEX(Variables!$B$8:$D$8,IFERROR(MATCH(IF($B926="Robusta","Robusta",(IF($B926="","Arabica",$B926))&amp;" - "&amp;(IF($C926="","Commercial",$C926))),Variables!$B$1:$D$1,0),1))*IFERROR(IF(W926="","",(AVERAGE(E926:F926)-W926)-Variables!$B$14),""))+(T926*INDEX(Variables!$B$9:$D$9,IFERROR(MATCH(IF($B926="Robusta","Robusta",(IF($B926="","Arabica",$B926))&amp;" - "&amp;(IF($C926="","Commercial",$C926))),Variables!$B$1:$D$1,0),1))*IFERROR(IF(W926="","",(AVERAGE(E926:F926)-W926)-Variables!$B$14),"")/365),""))</f>
        <v/>
      </c>
      <c r="AT926" s="12" t="str">
        <f>IF($H926="Cancelled","",IFERROR((T926*INDEX(Variables!$B$7:$D$7,IFERROR(MATCH(IF($B926="Robusta","Robusta",(IF($B926="","Arabica",$B926))&amp;" - "&amp;(IF($C926="","Commercial",$C926))),Variables!$B$1:$D$1,0),1))*AC926/365)+(L926/16.67*INDEX(Variables!$B$8:$D$8,IFERROR(MATCH(IF($B926="Robusta","Robusta",(IF($B926="","Arabica",$B926))&amp;" - "&amp;(IF($C926="","Commercial",$C926))),Variables!$B$1:$D$1,0),1))*AC926)+(T926*INDEX(Variables!$B$9:$D$9,IFERROR(MATCH(IF($B926="Robusta","Robusta",(IF($B926="","Arabica",$B926))&amp;" - "&amp;(IF($C926="","Commercial",$C926))),Variables!$B$1:$D$1,0),1))*AC926/365),""))</f>
        <v/>
      </c>
      <c r="AU926" s="12">
        <f>IF($H926="Cancelled","",IFERROR((T926*INDEX(Variables!$B$7:$D$7,IFERROR(MATCH(IF($B926="Robusta","Robusta",(IF($B926="","Arabica",$B926))&amp;" - "&amp;(IF($C926="","Commercial",$C926))),Variables!$B$1:$D$1,0),1))*AP926/365)+(L926/16.67*INDEX(Variables!$B$8:$D$8,IFERROR(MATCH(IF($B926="Robusta","Robusta",(IF($B926="","Arabica",$B926))&amp;" - "&amp;(IF($C926="","Commercial",$C926))),Variables!$B$1:$D$1,0),1))*AP926)+(T926*INDEX(Variables!$B$9:$D$9,IFERROR(MATCH(IF($B926="Robusta","Robusta",(IF($B926="","Arabica",$B926))&amp;" - "&amp;(IF($C926="","Commercial",$C926))),Variables!$B$1:$D$1,0),1))*AP926/365),""))</f>
        <v>-22.050483113836599</v>
      </c>
      <c r="AV926" s="11">
        <f t="shared" si="90"/>
        <v>-15</v>
      </c>
      <c r="AW926" s="12">
        <f>IF($H926="Cancelled","",IFERROR(IF(AV926="","",(T926*INDEX(Variables!$B$7:$D$7,IFERROR(MATCH(IF($B926="Robusta","Robusta",(IF($B926="","Arabica",$B926))&amp;" - "&amp;(IF($C926="","Commercial",$C926))),Variables!$B$1:$D$1,0),1))*(AV926/365))+(T926*INDEX(Variables!$B$9:$D$9,IFERROR(MATCH(IF($B926="Robusta","Robusta",(IF($B926="","Arabica",$B926))&amp;" - "&amp;(IF($C926="","Commercial",$C926))),Variables!$B$1:$D$1,0),1))*(AV926/365))+(INDEX(Variables!$B$8:$D$8,IFERROR(MATCH(IF($B926="Robusta","Robusta",(IF($B926="","Arabica",$B926))&amp;" - "&amp;(IF($C926="","Commercial",$C926))),Variables!$B$1:$D$1,0),1))*L926/16.67)),""))</f>
        <v>-21.075724670754898</v>
      </c>
      <c r="AX926" s="9"/>
      <c r="AY926" s="12"/>
      <c r="AZ926" s="10"/>
      <c r="BA926" s="9"/>
      <c r="BB926" s="10"/>
      <c r="BC926" s="9"/>
      <c r="BD926" s="9"/>
      <c r="BE926" s="9"/>
      <c r="BF926" s="9"/>
    </row>
    <row r="927" spans="1:58" x14ac:dyDescent="0.25">
      <c r="A927" s="9" t="s">
        <v>84</v>
      </c>
      <c r="B927" s="9" t="s">
        <v>85</v>
      </c>
      <c r="C927" s="9" t="s">
        <v>1486</v>
      </c>
      <c r="D927" s="10">
        <v>45693</v>
      </c>
      <c r="E927" s="10">
        <v>45689</v>
      </c>
      <c r="F927" s="10">
        <v>45747</v>
      </c>
      <c r="G927" s="9">
        <v>3786662</v>
      </c>
      <c r="H927" s="9" t="str">
        <f t="shared" si="88"/>
        <v>Closed</v>
      </c>
      <c r="I927" s="9" t="str">
        <f t="shared" si="89"/>
        <v>All dates received</v>
      </c>
      <c r="J927" s="9" t="s">
        <v>102</v>
      </c>
      <c r="K927" s="9" t="s">
        <v>1987</v>
      </c>
      <c r="L927" s="11">
        <v>30</v>
      </c>
      <c r="M927" s="9" t="s">
        <v>1988</v>
      </c>
      <c r="N927" s="9"/>
      <c r="O927" s="9"/>
      <c r="P927" s="9"/>
      <c r="Q927" s="11">
        <v>84.1</v>
      </c>
      <c r="R927" s="9" t="s">
        <v>195</v>
      </c>
      <c r="S927" s="9" t="s">
        <v>554</v>
      </c>
      <c r="T927" s="12">
        <f>IF($H927="Cancelled","",IFERROR(((Q927+INDEX(Variables!$B$6:$D$6,IFERROR(MATCH(IF($B927="Robusta","Robusta",(IF($B927="","Arabica",$B927))&amp;" - "&amp;(IF($C927="","Commercial",$C927))),Variables!$B$1:$D$1,0),1)))*22.0462)*(L927/16.67),""))</f>
        <v>14874.241835632869</v>
      </c>
      <c r="U927" s="10">
        <v>45702</v>
      </c>
      <c r="V927" s="9" t="str">
        <f t="shared" si="91"/>
        <v>Sent</v>
      </c>
      <c r="W927" s="10"/>
      <c r="X927" s="9" t="str">
        <f t="shared" si="87"/>
        <v/>
      </c>
      <c r="Y927" s="10"/>
      <c r="Z927" s="10">
        <f>IF($H927="Cancelled","",IFERROR(IF(F927="","",F927-Variables!$B$13),""))</f>
        <v>45732</v>
      </c>
      <c r="AA927" s="11" t="str">
        <f>IF($H927="Cancelled","",IFERROR(IF(W927="","",(AVERAGE(E927:F927)-W927)-Variables!$B$14),""))</f>
        <v/>
      </c>
      <c r="AB927" s="10">
        <v>45745</v>
      </c>
      <c r="AC927" s="11" t="str">
        <f>IF($H927="Cancelled","",IFERROR(IF(AB927="","",IF(AND(W927="",Y927=""),"",IF(Y927&gt;W927,Y927+Variables!$B$15+Variables!$B$16+Variables!$B$17-AB927,W927+Variables!$B$16+Variables!$B$17-AB927))),""))</f>
        <v/>
      </c>
      <c r="AD927" s="9" t="s">
        <v>107</v>
      </c>
      <c r="AE927" s="9" t="s">
        <v>693</v>
      </c>
      <c r="AF927" s="10">
        <v>45758</v>
      </c>
      <c r="AG927" s="10"/>
      <c r="AH927" s="9"/>
      <c r="AI927" s="9" t="s">
        <v>1980</v>
      </c>
      <c r="AJ927" s="9" t="s">
        <v>8</v>
      </c>
      <c r="AK927" s="10">
        <v>45762</v>
      </c>
      <c r="AL927" s="10">
        <v>45764</v>
      </c>
      <c r="AM927" s="10">
        <v>45777</v>
      </c>
      <c r="AN927" s="9" t="s">
        <v>1492</v>
      </c>
      <c r="AO927" s="9"/>
      <c r="AP927" s="11">
        <f>IF($H927="Cancelled","",IFERROR(IF(OR(AK927="",AB927=""),"",(AB927+Variables!$B$18-AK927)),""))</f>
        <v>-10</v>
      </c>
      <c r="AQ927" s="11">
        <f>IF($H927="Cancelled","",IFERROR(IF(OR(AM927="",AK927=""),"",(AK927+Variables!$B$19)-AM927),""))</f>
        <v>-10</v>
      </c>
      <c r="AR927" s="12">
        <f>IF($H927="Cancelled","",IFERROR(T927*INDEX(Variables!$B$7:$D$7,IFERROR(MATCH(IF($B927="Robusta","Robusta",(IF($B927="","Arabica",$B927))&amp;" - "&amp;(IF($C927="","Commercial",$C927))),Variables!$B$1:$D$1,0),1))*(AQ927/365),""))</f>
        <v>-26.277365394346461</v>
      </c>
      <c r="AS927" s="12" t="str">
        <f>IF($H927="Cancelled","",IFERROR((T927*INDEX(Variables!$B$7:$D$7,IFERROR(MATCH(IF($B927="Robusta","Robusta",(IF($B927="","Arabica",$B927))&amp;" - "&amp;(IF($C927="","Commercial",$C927))),Variables!$B$1:$D$1,0),1))*IFERROR(IF(W927="","",(AVERAGE(E927:F927)-W927)-Variables!$B$14),"")/365)+(L927/16.67*INDEX(Variables!$B$8:$D$8,IFERROR(MATCH(IF($B927="Robusta","Robusta",(IF($B927="","Arabica",$B927))&amp;" - "&amp;(IF($C927="","Commercial",$C927))),Variables!$B$1:$D$1,0),1))*IFERROR(IF(W927="","",(AVERAGE(E927:F927)-W927)-Variables!$B$14),""))+(T927*INDEX(Variables!$B$9:$D$9,IFERROR(MATCH(IF($B927="Robusta","Robusta",(IF($B927="","Arabica",$B927))&amp;" - "&amp;(IF($C927="","Commercial",$C927))),Variables!$B$1:$D$1,0),1))*IFERROR(IF(W927="","",(AVERAGE(E927:F927)-W927)-Variables!$B$14),"")/365),""))</f>
        <v/>
      </c>
      <c r="AT927" s="12" t="str">
        <f>IF($H927="Cancelled","",IFERROR((T927*INDEX(Variables!$B$7:$D$7,IFERROR(MATCH(IF($B927="Robusta","Robusta",(IF($B927="","Arabica",$B927))&amp;" - "&amp;(IF($C927="","Commercial",$C927))),Variables!$B$1:$D$1,0),1))*AC927/365)+(L927/16.67*INDEX(Variables!$B$8:$D$8,IFERROR(MATCH(IF($B927="Robusta","Robusta",(IF($B927="","Arabica",$B927))&amp;" - "&amp;(IF($C927="","Commercial",$C927))),Variables!$B$1:$D$1,0),1))*AC927)+(T927*INDEX(Variables!$B$9:$D$9,IFERROR(MATCH(IF($B927="Robusta","Robusta",(IF($B927="","Arabica",$B927))&amp;" - "&amp;(IF($C927="","Commercial",$C927))),Variables!$B$1:$D$1,0),1))*AC927/365),""))</f>
        <v/>
      </c>
      <c r="AU927" s="12">
        <f>IF($H927="Cancelled","",IFERROR((T927*INDEX(Variables!$B$7:$D$7,IFERROR(MATCH(IF($B927="Robusta","Robusta",(IF($B927="","Arabica",$B927))&amp;" - "&amp;(IF($C927="","Commercial",$C927))),Variables!$B$1:$D$1,0),1))*AP927/365)+(L927/16.67*INDEX(Variables!$B$8:$D$8,IFERROR(MATCH(IF($B927="Robusta","Robusta",(IF($B927="","Arabica",$B927))&amp;" - "&amp;(IF($C927="","Commercial",$C927))),Variables!$B$1:$D$1,0),1))*AP927)+(T927*INDEX(Variables!$B$9:$D$9,IFERROR(MATCH(IF($B927="Robusta","Robusta",(IF($B927="","Arabica",$B927))&amp;" - "&amp;(IF($C927="","Commercial",$C927))),Variables!$B$1:$D$1,0),1))*AP927/365),""))</f>
        <v>-41.616131346071434</v>
      </c>
      <c r="AV927" s="11">
        <f t="shared" si="90"/>
        <v>-15</v>
      </c>
      <c r="AW927" s="12">
        <f>IF($H927="Cancelled","",IFERROR(IF(AV927="","",(T927*INDEX(Variables!$B$7:$D$7,IFERROR(MATCH(IF($B927="Robusta","Robusta",(IF($B927="","Arabica",$B927))&amp;" - "&amp;(IF($C927="","Commercial",$C927))),Variables!$B$1:$D$1,0),1))*(AV927/365))+(T927*INDEX(Variables!$B$9:$D$9,IFERROR(MATCH(IF($B927="Robusta","Robusta",(IF($B927="","Arabica",$B927))&amp;" - "&amp;(IF($C927="","Commercial",$C927))),Variables!$B$1:$D$1,0),1))*(AV927/365))+(INDEX(Variables!$B$8:$D$8,IFERROR(MATCH(IF($B927="Robusta","Robusta",(IF($B927="","Arabica",$B927))&amp;" - "&amp;(IF($C927="","Commercial",$C927))),Variables!$B$1:$D$1,0),1))*L927/16.67)),""))</f>
        <v>-38.424197019107154</v>
      </c>
      <c r="AX927" s="9"/>
      <c r="AY927" s="12"/>
      <c r="AZ927" s="10"/>
      <c r="BA927" s="9"/>
      <c r="BB927" s="10"/>
      <c r="BC927" s="9"/>
      <c r="BD927" s="9"/>
      <c r="BE927" s="9"/>
      <c r="BF927" s="9"/>
    </row>
    <row r="928" spans="1:58" x14ac:dyDescent="0.25">
      <c r="A928" s="9" t="s">
        <v>84</v>
      </c>
      <c r="B928" s="9" t="s">
        <v>85</v>
      </c>
      <c r="C928" s="9" t="s">
        <v>1486</v>
      </c>
      <c r="D928" s="10">
        <v>45693</v>
      </c>
      <c r="E928" s="10">
        <v>45689</v>
      </c>
      <c r="F928" s="10">
        <v>45747</v>
      </c>
      <c r="G928" s="9">
        <v>3786663</v>
      </c>
      <c r="H928" s="9" t="str">
        <f t="shared" si="88"/>
        <v>Closed</v>
      </c>
      <c r="I928" s="9" t="str">
        <f t="shared" si="89"/>
        <v>All dates received</v>
      </c>
      <c r="J928" s="9" t="s">
        <v>102</v>
      </c>
      <c r="K928" s="9" t="s">
        <v>1989</v>
      </c>
      <c r="L928" s="11">
        <v>15</v>
      </c>
      <c r="M928" s="9" t="s">
        <v>1990</v>
      </c>
      <c r="N928" s="9"/>
      <c r="O928" s="9"/>
      <c r="P928" s="9"/>
      <c r="Q928" s="11">
        <v>94.1</v>
      </c>
      <c r="R928" s="9" t="s">
        <v>195</v>
      </c>
      <c r="S928" s="9" t="s">
        <v>554</v>
      </c>
      <c r="T928" s="12">
        <f>IF($H928="Cancelled","",IFERROR(((Q928+INDEX(Variables!$B$6:$D$6,IFERROR(MATCH(IF($B928="Robusta","Robusta",(IF($B928="","Arabica",$B928))&amp;" - "&amp;(IF($C928="","Commercial",$C928))),Variables!$B$1:$D$1,0),1)))*22.0462)*(L928/16.67),""))</f>
        <v>7635.4970425914807</v>
      </c>
      <c r="U928" s="10">
        <v>45702</v>
      </c>
      <c r="V928" s="9" t="str">
        <f t="shared" si="91"/>
        <v>Sent</v>
      </c>
      <c r="W928" s="10"/>
      <c r="X928" s="9" t="str">
        <f t="shared" si="87"/>
        <v/>
      </c>
      <c r="Y928" s="10"/>
      <c r="Z928" s="10">
        <f>IF($H928="Cancelled","",IFERROR(IF(F928="","",F928-Variables!$B$13),""))</f>
        <v>45732</v>
      </c>
      <c r="AA928" s="11" t="str">
        <f>IF($H928="Cancelled","",IFERROR(IF(W928="","",(AVERAGE(E928:F928)-W928)-Variables!$B$14),""))</f>
        <v/>
      </c>
      <c r="AB928" s="10">
        <v>45745</v>
      </c>
      <c r="AC928" s="11" t="str">
        <f>IF($H928="Cancelled","",IFERROR(IF(AB928="","",IF(AND(W928="",Y928=""),"",IF(Y928&gt;W928,Y928+Variables!$B$15+Variables!$B$16+Variables!$B$17-AB928,W928+Variables!$B$16+Variables!$B$17-AB928))),""))</f>
        <v/>
      </c>
      <c r="AD928" s="9" t="s">
        <v>107</v>
      </c>
      <c r="AE928" s="9" t="s">
        <v>693</v>
      </c>
      <c r="AF928" s="10">
        <v>45758</v>
      </c>
      <c r="AG928" s="10"/>
      <c r="AH928" s="9"/>
      <c r="AI928" s="9" t="s">
        <v>1980</v>
      </c>
      <c r="AJ928" s="9" t="s">
        <v>8</v>
      </c>
      <c r="AK928" s="10">
        <v>45762</v>
      </c>
      <c r="AL928" s="10">
        <v>45764</v>
      </c>
      <c r="AM928" s="10">
        <v>45777</v>
      </c>
      <c r="AN928" s="9" t="s">
        <v>1492</v>
      </c>
      <c r="AO928" s="9"/>
      <c r="AP928" s="11">
        <f>IF($H928="Cancelled","",IFERROR(IF(OR(AK928="",AB928=""),"",(AB928+Variables!$B$18-AK928)),""))</f>
        <v>-10</v>
      </c>
      <c r="AQ928" s="11">
        <f>IF($H928="Cancelled","",IFERROR(IF(OR(AM928="",AK928=""),"",(AK928+Variables!$B$19)-AM928),""))</f>
        <v>-10</v>
      </c>
      <c r="AR928" s="12">
        <f>IF($H928="Cancelled","",IFERROR(T928*INDEX(Variables!$B$7:$D$7,IFERROR(MATCH(IF($B928="Robusta","Robusta",(IF($B928="","Arabica",$B928))&amp;" - "&amp;(IF($C928="","Commercial",$C928))),Variables!$B$1:$D$1,0),1))*(AQ928/365),""))</f>
        <v>-13.489141024651847</v>
      </c>
      <c r="AS928" s="12" t="str">
        <f>IF($H928="Cancelled","",IFERROR((T928*INDEX(Variables!$B$7:$D$7,IFERROR(MATCH(IF($B928="Robusta","Robusta",(IF($B928="","Arabica",$B928))&amp;" - "&amp;(IF($C928="","Commercial",$C928))),Variables!$B$1:$D$1,0),1))*IFERROR(IF(W928="","",(AVERAGE(E928:F928)-W928)-Variables!$B$14),"")/365)+(L928/16.67*INDEX(Variables!$B$8:$D$8,IFERROR(MATCH(IF($B928="Robusta","Robusta",(IF($B928="","Arabica",$B928))&amp;" - "&amp;(IF($C928="","Commercial",$C928))),Variables!$B$1:$D$1,0),1))*IFERROR(IF(W928="","",(AVERAGE(E928:F928)-W928)-Variables!$B$14),""))+(T928*INDEX(Variables!$B$9:$D$9,IFERROR(MATCH(IF($B928="Robusta","Robusta",(IF($B928="","Arabica",$B928))&amp;" - "&amp;(IF($C928="","Commercial",$C928))),Variables!$B$1:$D$1,0),1))*IFERROR(IF(W928="","",(AVERAGE(E928:F928)-W928)-Variables!$B$14),"")/365),""))</f>
        <v/>
      </c>
      <c r="AT928" s="12" t="str">
        <f>IF($H928="Cancelled","",IFERROR((T928*INDEX(Variables!$B$7:$D$7,IFERROR(MATCH(IF($B928="Robusta","Robusta",(IF($B928="","Arabica",$B928))&amp;" - "&amp;(IF($C928="","Commercial",$C928))),Variables!$B$1:$D$1,0),1))*AC928/365)+(L928/16.67*INDEX(Variables!$B$8:$D$8,IFERROR(MATCH(IF($B928="Robusta","Robusta",(IF($B928="","Arabica",$B928))&amp;" - "&amp;(IF($C928="","Commercial",$C928))),Variables!$B$1:$D$1,0),1))*AC928)+(T928*INDEX(Variables!$B$9:$D$9,IFERROR(MATCH(IF($B928="Robusta","Robusta",(IF($B928="","Arabica",$B928))&amp;" - "&amp;(IF($C928="","Commercial",$C928))),Variables!$B$1:$D$1,0),1))*AC928/365),""))</f>
        <v/>
      </c>
      <c r="AU928" s="12">
        <f>IF($H928="Cancelled","",IFERROR((T928*INDEX(Variables!$B$7:$D$7,IFERROR(MATCH(IF($B928="Robusta","Robusta",(IF($B928="","Arabica",$B928))&amp;" - "&amp;(IF($C928="","Commercial",$C928))),Variables!$B$1:$D$1,0),1))*AP928/365)+(L928/16.67*INDEX(Variables!$B$8:$D$8,IFERROR(MATCH(IF($B928="Robusta","Robusta",(IF($B928="","Arabica",$B928))&amp;" - "&amp;(IF($C928="","Commercial",$C928))),Variables!$B$1:$D$1,0),1))*AP928)+(T928*INDEX(Variables!$B$9:$D$9,IFERROR(MATCH(IF($B928="Robusta","Robusta",(IF($B928="","Arabica",$B928))&amp;" - "&amp;(IF($C928="","Commercial",$C928))),Variables!$B$1:$D$1,0),1))*AP928/365),""))</f>
        <v>-21.163042084693114</v>
      </c>
      <c r="AV928" s="11">
        <f t="shared" si="90"/>
        <v>-15</v>
      </c>
      <c r="AW928" s="12">
        <f>IF($H928="Cancelled","",IFERROR(IF(AV928="","",(T928*INDEX(Variables!$B$7:$D$7,IFERROR(MATCH(IF($B928="Robusta","Robusta",(IF($B928="","Arabica",$B928))&amp;" - "&amp;(IF($C928="","Commercial",$C928))),Variables!$B$1:$D$1,0),1))*(AV928/365))+(T928*INDEX(Variables!$B$9:$D$9,IFERROR(MATCH(IF($B928="Robusta","Robusta",(IF($B928="","Arabica",$B928))&amp;" - "&amp;(IF($C928="","Commercial",$C928))),Variables!$B$1:$D$1,0),1))*(AV928/365))+(INDEX(Variables!$B$8:$D$8,IFERROR(MATCH(IF($B928="Robusta","Robusta",(IF($B928="","Arabica",$B928))&amp;" - "&amp;(IF($C928="","Commercial",$C928))),Variables!$B$1:$D$1,0),1))*L928/16.67)),""))</f>
        <v>-19.744563127039672</v>
      </c>
      <c r="AX928" s="9"/>
      <c r="AY928" s="12"/>
      <c r="AZ928" s="10"/>
      <c r="BA928" s="9"/>
      <c r="BB928" s="10"/>
      <c r="BC928" s="9"/>
      <c r="BD928" s="9"/>
      <c r="BE928" s="9"/>
      <c r="BF928" s="9"/>
    </row>
    <row r="929" spans="1:58" x14ac:dyDescent="0.25">
      <c r="A929" s="9" t="s">
        <v>84</v>
      </c>
      <c r="B929" s="9" t="s">
        <v>85</v>
      </c>
      <c r="C929" s="9" t="s">
        <v>1486</v>
      </c>
      <c r="D929" s="10">
        <v>45693</v>
      </c>
      <c r="E929" s="10">
        <v>45689</v>
      </c>
      <c r="F929" s="10">
        <v>45747</v>
      </c>
      <c r="G929" s="9">
        <v>3786664</v>
      </c>
      <c r="H929" s="9" t="str">
        <f t="shared" si="88"/>
        <v>Closed</v>
      </c>
      <c r="I929" s="9" t="str">
        <f t="shared" si="89"/>
        <v>All dates received</v>
      </c>
      <c r="J929" s="9" t="s">
        <v>102</v>
      </c>
      <c r="K929" s="9" t="s">
        <v>1991</v>
      </c>
      <c r="L929" s="11">
        <v>20</v>
      </c>
      <c r="M929" s="9" t="s">
        <v>1992</v>
      </c>
      <c r="N929" s="9"/>
      <c r="O929" s="9"/>
      <c r="P929" s="9"/>
      <c r="Q929" s="11">
        <v>124.1</v>
      </c>
      <c r="R929" s="9" t="s">
        <v>195</v>
      </c>
      <c r="S929" s="9" t="s">
        <v>554</v>
      </c>
      <c r="T929" s="12">
        <f>IF($H929="Cancelled","",IFERROR(((Q929+INDEX(Variables!$B$6:$D$6,IFERROR(MATCH(IF($B929="Robusta","Robusta",(IF($B929="","Arabica",$B929))&amp;" - "&amp;(IF($C929="","Commercial",$C929))),Variables!$B$1:$D$1,0),1)))*22.0462)*(L929/16.67),""))</f>
        <v>10974.167222555487</v>
      </c>
      <c r="U929" s="10">
        <v>45702</v>
      </c>
      <c r="V929" s="9" t="str">
        <f t="shared" si="91"/>
        <v>Sent</v>
      </c>
      <c r="W929" s="10"/>
      <c r="X929" s="9" t="str">
        <f t="shared" si="87"/>
        <v/>
      </c>
      <c r="Y929" s="10"/>
      <c r="Z929" s="10">
        <f>IF($H929="Cancelled","",IFERROR(IF(F929="","",F929-Variables!$B$13),""))</f>
        <v>45732</v>
      </c>
      <c r="AA929" s="11" t="str">
        <f>IF($H929="Cancelled","",IFERROR(IF(W929="","",(AVERAGE(E929:F929)-W929)-Variables!$B$14),""))</f>
        <v/>
      </c>
      <c r="AB929" s="10">
        <v>45745</v>
      </c>
      <c r="AC929" s="11" t="str">
        <f>IF($H929="Cancelled","",IFERROR(IF(AB929="","",IF(AND(W929="",Y929=""),"",IF(Y929&gt;W929,Y929+Variables!$B$15+Variables!$B$16+Variables!$B$17-AB929,W929+Variables!$B$16+Variables!$B$17-AB929))),""))</f>
        <v/>
      </c>
      <c r="AD929" s="9" t="s">
        <v>107</v>
      </c>
      <c r="AE929" s="9" t="s">
        <v>693</v>
      </c>
      <c r="AF929" s="10">
        <v>45758</v>
      </c>
      <c r="AG929" s="10"/>
      <c r="AH929" s="9"/>
      <c r="AI929" s="9" t="s">
        <v>1980</v>
      </c>
      <c r="AJ929" s="9" t="s">
        <v>8</v>
      </c>
      <c r="AK929" s="10">
        <v>45762</v>
      </c>
      <c r="AL929" s="10">
        <v>45764</v>
      </c>
      <c r="AM929" s="10">
        <v>45777</v>
      </c>
      <c r="AN929" s="9" t="s">
        <v>1492</v>
      </c>
      <c r="AO929" s="9"/>
      <c r="AP929" s="11">
        <f>IF($H929="Cancelled","",IFERROR(IF(OR(AK929="",AB929=""),"",(AB929+Variables!$B$18-AK929)),""))</f>
        <v>-10</v>
      </c>
      <c r="AQ929" s="11">
        <f>IF($H929="Cancelled","",IFERROR(IF(OR(AM929="",AK929=""),"",(AK929+Variables!$B$19)-AM929),""))</f>
        <v>-10</v>
      </c>
      <c r="AR929" s="12">
        <f>IF($H929="Cancelled","",IFERROR(T929*INDEX(Variables!$B$7:$D$7,IFERROR(MATCH(IF($B929="Robusta","Robusta",(IF($B929="","Arabica",$B929))&amp;" - "&amp;(IF($C929="","Commercial",$C929))),Variables!$B$1:$D$1,0),1))*(AQ929/365),""))</f>
        <v>-19.387354676116914</v>
      </c>
      <c r="AS929" s="12" t="str">
        <f>IF($H929="Cancelled","",IFERROR((T929*INDEX(Variables!$B$7:$D$7,IFERROR(MATCH(IF($B929="Robusta","Robusta",(IF($B929="","Arabica",$B929))&amp;" - "&amp;(IF($C929="","Commercial",$C929))),Variables!$B$1:$D$1,0),1))*IFERROR(IF(W929="","",(AVERAGE(E929:F929)-W929)-Variables!$B$14),"")/365)+(L929/16.67*INDEX(Variables!$B$8:$D$8,IFERROR(MATCH(IF($B929="Robusta","Robusta",(IF($B929="","Arabica",$B929))&amp;" - "&amp;(IF($C929="","Commercial",$C929))),Variables!$B$1:$D$1,0),1))*IFERROR(IF(W929="","",(AVERAGE(E929:F929)-W929)-Variables!$B$14),""))+(T929*INDEX(Variables!$B$9:$D$9,IFERROR(MATCH(IF($B929="Robusta","Robusta",(IF($B929="","Arabica",$B929))&amp;" - "&amp;(IF($C929="","Commercial",$C929))),Variables!$B$1:$D$1,0),1))*IFERROR(IF(W929="","",(AVERAGE(E929:F929)-W929)-Variables!$B$14),"")/365),""))</f>
        <v/>
      </c>
      <c r="AT929" s="12" t="str">
        <f>IF($H929="Cancelled","",IFERROR((T929*INDEX(Variables!$B$7:$D$7,IFERROR(MATCH(IF($B929="Robusta","Robusta",(IF($B929="","Arabica",$B929))&amp;" - "&amp;(IF($C929="","Commercial",$C929))),Variables!$B$1:$D$1,0),1))*AC929/365)+(L929/16.67*INDEX(Variables!$B$8:$D$8,IFERROR(MATCH(IF($B929="Robusta","Robusta",(IF($B929="","Arabica",$B929))&amp;" - "&amp;(IF($C929="","Commercial",$C929))),Variables!$B$1:$D$1,0),1))*AC929)+(T929*INDEX(Variables!$B$9:$D$9,IFERROR(MATCH(IF($B929="Robusta","Robusta",(IF($B929="","Arabica",$B929))&amp;" - "&amp;(IF($C929="","Commercial",$C929))),Variables!$B$1:$D$1,0),1))*AC929/365),""))</f>
        <v/>
      </c>
      <c r="AU929" s="12">
        <f>IF($H929="Cancelled","",IFERROR((T929*INDEX(Variables!$B$7:$D$7,IFERROR(MATCH(IF($B929="Robusta","Robusta",(IF($B929="","Arabica",$B929))&amp;" - "&amp;(IF($C929="","Commercial",$C929))),Variables!$B$1:$D$1,0),1))*AP929/365)+(L929/16.67*INDEX(Variables!$B$8:$D$8,IFERROR(MATCH(IF($B929="Robusta","Robusta",(IF($B929="","Arabica",$B929))&amp;" - "&amp;(IF($C929="","Commercial",$C929))),Variables!$B$1:$D$1,0),1))*AP929)+(T929*INDEX(Variables!$B$9:$D$9,IFERROR(MATCH(IF($B929="Robusta","Robusta",(IF($B929="","Arabica",$B929))&amp;" - "&amp;(IF($C929="","Commercial",$C929))),Variables!$B$1:$D$1,0),1))*AP929/365),""))</f>
        <v>-29.637295092887065</v>
      </c>
      <c r="AV929" s="11">
        <f t="shared" si="90"/>
        <v>-15</v>
      </c>
      <c r="AW929" s="12">
        <f>IF($H929="Cancelled","",IFERROR(IF(AV929="","",(T929*INDEX(Variables!$B$7:$D$7,IFERROR(MATCH(IF($B929="Robusta","Robusta",(IF($B929="","Arabica",$B929))&amp;" - "&amp;(IF($C929="","Commercial",$C929))),Variables!$B$1:$D$1,0),1))*(AV929/365))+(T929*INDEX(Variables!$B$9:$D$9,IFERROR(MATCH(IF($B929="Robusta","Robusta",(IF($B929="","Arabica",$B929))&amp;" - "&amp;(IF($C929="","Commercial",$C929))),Variables!$B$1:$D$1,0),1))*(AV929/365))+(INDEX(Variables!$B$8:$D$8,IFERROR(MATCH(IF($B929="Robusta","Robusta",(IF($B929="","Arabica",$B929))&amp;" - "&amp;(IF($C929="","Commercial",$C929))),Variables!$B$1:$D$1,0),1))*L929/16.67)),""))</f>
        <v>-28.455942639330591</v>
      </c>
      <c r="AX929" s="9"/>
      <c r="AY929" s="12"/>
      <c r="AZ929" s="10"/>
      <c r="BA929" s="9"/>
      <c r="BB929" s="10"/>
      <c r="BC929" s="9"/>
      <c r="BD929" s="9"/>
      <c r="BE929" s="9"/>
      <c r="BF929" s="9"/>
    </row>
    <row r="930" spans="1:58" x14ac:dyDescent="0.25">
      <c r="A930" s="9" t="s">
        <v>84</v>
      </c>
      <c r="B930" s="9" t="s">
        <v>85</v>
      </c>
      <c r="C930" s="9" t="s">
        <v>1486</v>
      </c>
      <c r="D930" s="10">
        <v>45693</v>
      </c>
      <c r="E930" s="10">
        <v>45689</v>
      </c>
      <c r="F930" s="10">
        <v>45747</v>
      </c>
      <c r="G930" s="9">
        <v>3786665</v>
      </c>
      <c r="H930" s="9" t="str">
        <f t="shared" si="88"/>
        <v>Closed</v>
      </c>
      <c r="I930" s="9" t="str">
        <f t="shared" si="89"/>
        <v>All dates received</v>
      </c>
      <c r="J930" s="9" t="s">
        <v>102</v>
      </c>
      <c r="K930" s="9" t="s">
        <v>1993</v>
      </c>
      <c r="L930" s="11">
        <v>16</v>
      </c>
      <c r="M930" s="9" t="s">
        <v>1994</v>
      </c>
      <c r="N930" s="9"/>
      <c r="O930" s="9"/>
      <c r="P930" s="9"/>
      <c r="Q930" s="11">
        <v>124.1</v>
      </c>
      <c r="R930" s="9" t="s">
        <v>195</v>
      </c>
      <c r="S930" s="9" t="s">
        <v>554</v>
      </c>
      <c r="T930" s="12">
        <f>IF($H930="Cancelled","",IFERROR(((Q930+INDEX(Variables!$B$6:$D$6,IFERROR(MATCH(IF($B930="Robusta","Robusta",(IF($B930="","Arabica",$B930))&amp;" - "&amp;(IF($C930="","Commercial",$C930))),Variables!$B$1:$D$1,0),1)))*22.0462)*(L930/16.67),""))</f>
        <v>8779.333778044389</v>
      </c>
      <c r="U930" s="10">
        <v>45702</v>
      </c>
      <c r="V930" s="9" t="str">
        <f t="shared" si="91"/>
        <v>Sent</v>
      </c>
      <c r="W930" s="10"/>
      <c r="X930" s="9" t="str">
        <f t="shared" si="87"/>
        <v/>
      </c>
      <c r="Y930" s="10"/>
      <c r="Z930" s="10">
        <f>IF($H930="Cancelled","",IFERROR(IF(F930="","",F930-Variables!$B$13),""))</f>
        <v>45732</v>
      </c>
      <c r="AA930" s="11" t="str">
        <f>IF($H930="Cancelled","",IFERROR(IF(W930="","",(AVERAGE(E930:F930)-W930)-Variables!$B$14),""))</f>
        <v/>
      </c>
      <c r="AB930" s="10">
        <v>45745</v>
      </c>
      <c r="AC930" s="11" t="str">
        <f>IF($H930="Cancelled","",IFERROR(IF(AB930="","",IF(AND(W930="",Y930=""),"",IF(Y930&gt;W930,Y930+Variables!$B$15+Variables!$B$16+Variables!$B$17-AB930,W930+Variables!$B$16+Variables!$B$17-AB930))),""))</f>
        <v/>
      </c>
      <c r="AD930" s="9" t="s">
        <v>107</v>
      </c>
      <c r="AE930" s="9" t="s">
        <v>693</v>
      </c>
      <c r="AF930" s="10">
        <v>45758</v>
      </c>
      <c r="AG930" s="10"/>
      <c r="AH930" s="9"/>
      <c r="AI930" s="9" t="s">
        <v>1980</v>
      </c>
      <c r="AJ930" s="9" t="s">
        <v>8</v>
      </c>
      <c r="AK930" s="10">
        <v>45762</v>
      </c>
      <c r="AL930" s="10">
        <v>45764</v>
      </c>
      <c r="AM930" s="10">
        <v>45777</v>
      </c>
      <c r="AN930" s="9" t="s">
        <v>1492</v>
      </c>
      <c r="AO930" s="9"/>
      <c r="AP930" s="11">
        <f>IF($H930="Cancelled","",IFERROR(IF(OR(AK930="",AB930=""),"",(AB930+Variables!$B$18-AK930)),""))</f>
        <v>-10</v>
      </c>
      <c r="AQ930" s="11">
        <f>IF($H930="Cancelled","",IFERROR(IF(OR(AM930="",AK930=""),"",(AK930+Variables!$B$19)-AM930),""))</f>
        <v>-10</v>
      </c>
      <c r="AR930" s="12">
        <f>IF($H930="Cancelled","",IFERROR(T930*INDEX(Variables!$B$7:$D$7,IFERROR(MATCH(IF($B930="Robusta","Robusta",(IF($B930="","Arabica",$B930))&amp;" - "&amp;(IF($C930="","Commercial",$C930))),Variables!$B$1:$D$1,0),1))*(AQ930/365),""))</f>
        <v>-15.50988374089353</v>
      </c>
      <c r="AS930" s="12" t="str">
        <f>IF($H930="Cancelled","",IFERROR((T930*INDEX(Variables!$B$7:$D$7,IFERROR(MATCH(IF($B930="Robusta","Robusta",(IF($B930="","Arabica",$B930))&amp;" - "&amp;(IF($C930="","Commercial",$C930))),Variables!$B$1:$D$1,0),1))*IFERROR(IF(W930="","",(AVERAGE(E930:F930)-W930)-Variables!$B$14),"")/365)+(L930/16.67*INDEX(Variables!$B$8:$D$8,IFERROR(MATCH(IF($B930="Robusta","Robusta",(IF($B930="","Arabica",$B930))&amp;" - "&amp;(IF($C930="","Commercial",$C930))),Variables!$B$1:$D$1,0),1))*IFERROR(IF(W930="","",(AVERAGE(E930:F930)-W930)-Variables!$B$14),""))+(T930*INDEX(Variables!$B$9:$D$9,IFERROR(MATCH(IF($B930="Robusta","Robusta",(IF($B930="","Arabica",$B930))&amp;" - "&amp;(IF($C930="","Commercial",$C930))),Variables!$B$1:$D$1,0),1))*IFERROR(IF(W930="","",(AVERAGE(E930:F930)-W930)-Variables!$B$14),"")/365),""))</f>
        <v/>
      </c>
      <c r="AT930" s="12" t="str">
        <f>IF($H930="Cancelled","",IFERROR((T930*INDEX(Variables!$B$7:$D$7,IFERROR(MATCH(IF($B930="Robusta","Robusta",(IF($B930="","Arabica",$B930))&amp;" - "&amp;(IF($C930="","Commercial",$C930))),Variables!$B$1:$D$1,0),1))*AC930/365)+(L930/16.67*INDEX(Variables!$B$8:$D$8,IFERROR(MATCH(IF($B930="Robusta","Robusta",(IF($B930="","Arabica",$B930))&amp;" - "&amp;(IF($C930="","Commercial",$C930))),Variables!$B$1:$D$1,0),1))*AC930)+(T930*INDEX(Variables!$B$9:$D$9,IFERROR(MATCH(IF($B930="Robusta","Robusta",(IF($B930="","Arabica",$B930))&amp;" - "&amp;(IF($C930="","Commercial",$C930))),Variables!$B$1:$D$1,0),1))*AC930/365),""))</f>
        <v/>
      </c>
      <c r="AU930" s="12">
        <f>IF($H930="Cancelled","",IFERROR((T930*INDEX(Variables!$B$7:$D$7,IFERROR(MATCH(IF($B930="Robusta","Robusta",(IF($B930="","Arabica",$B930))&amp;" - "&amp;(IF($C930="","Commercial",$C930))),Variables!$B$1:$D$1,0),1))*AP930/365)+(L930/16.67*INDEX(Variables!$B$8:$D$8,IFERROR(MATCH(IF($B930="Robusta","Robusta",(IF($B930="","Arabica",$B930))&amp;" - "&amp;(IF($C930="","Commercial",$C930))),Variables!$B$1:$D$1,0),1))*AP930)+(T930*INDEX(Variables!$B$9:$D$9,IFERROR(MATCH(IF($B930="Robusta","Robusta",(IF($B930="","Arabica",$B930))&amp;" - "&amp;(IF($C930="","Commercial",$C930))),Variables!$B$1:$D$1,0),1))*AP930/365),""))</f>
        <v>-23.709836074309646</v>
      </c>
      <c r="AV930" s="11">
        <f t="shared" si="90"/>
        <v>-15</v>
      </c>
      <c r="AW930" s="12">
        <f>IF($H930="Cancelled","",IFERROR(IF(AV930="","",(T930*INDEX(Variables!$B$7:$D$7,IFERROR(MATCH(IF($B930="Robusta","Robusta",(IF($B930="","Arabica",$B930))&amp;" - "&amp;(IF($C930="","Commercial",$C930))),Variables!$B$1:$D$1,0),1))*(AV930/365))+(T930*INDEX(Variables!$B$9:$D$9,IFERROR(MATCH(IF($B930="Robusta","Robusta",(IF($B930="","Arabica",$B930))&amp;" - "&amp;(IF($C930="","Commercial",$C930))),Variables!$B$1:$D$1,0),1))*(AV930/365))+(INDEX(Variables!$B$8:$D$8,IFERROR(MATCH(IF($B930="Robusta","Robusta",(IF($B930="","Arabica",$B930))&amp;" - "&amp;(IF($C930="","Commercial",$C930))),Variables!$B$1:$D$1,0),1))*L930/16.67)),""))</f>
        <v>-22.764754111464473</v>
      </c>
      <c r="AX930" s="9"/>
      <c r="AY930" s="12"/>
      <c r="AZ930" s="10"/>
      <c r="BA930" s="9"/>
      <c r="BB930" s="10"/>
      <c r="BC930" s="9"/>
      <c r="BD930" s="9"/>
      <c r="BE930" s="9"/>
      <c r="BF930" s="9"/>
    </row>
    <row r="931" spans="1:58" x14ac:dyDescent="0.25">
      <c r="A931" s="9" t="s">
        <v>84</v>
      </c>
      <c r="B931" s="9" t="s">
        <v>85</v>
      </c>
      <c r="C931" s="9" t="s">
        <v>1486</v>
      </c>
      <c r="D931" s="10">
        <v>45693</v>
      </c>
      <c r="E931" s="10">
        <v>45689</v>
      </c>
      <c r="F931" s="10">
        <v>45747</v>
      </c>
      <c r="G931" s="9">
        <v>3786666</v>
      </c>
      <c r="H931" s="9" t="str">
        <f t="shared" si="88"/>
        <v>Closed</v>
      </c>
      <c r="I931" s="9" t="str">
        <f t="shared" si="89"/>
        <v>All dates received</v>
      </c>
      <c r="J931" s="9" t="s">
        <v>102</v>
      </c>
      <c r="K931" s="9" t="s">
        <v>1995</v>
      </c>
      <c r="L931" s="11">
        <v>15</v>
      </c>
      <c r="M931" s="9" t="s">
        <v>1996</v>
      </c>
      <c r="N931" s="9"/>
      <c r="O931" s="9"/>
      <c r="P931" s="9"/>
      <c r="Q931" s="11">
        <v>135.1</v>
      </c>
      <c r="R931" s="9" t="s">
        <v>195</v>
      </c>
      <c r="S931" s="9" t="s">
        <v>554</v>
      </c>
      <c r="T931" s="12">
        <f>IF($H931="Cancelled","",IFERROR(((Q931+INDEX(Variables!$B$6:$D$6,IFERROR(MATCH(IF($B931="Robusta","Robusta",(IF($B931="","Arabica",$B931))&amp;" - "&amp;(IF($C931="","Commercial",$C931))),Variables!$B$1:$D$1,0),1)))*22.0462)*(L931/16.67),""))</f>
        <v>8448.8391541691635</v>
      </c>
      <c r="U931" s="10">
        <v>45702</v>
      </c>
      <c r="V931" s="9" t="str">
        <f t="shared" si="91"/>
        <v>Sent</v>
      </c>
      <c r="W931" s="10"/>
      <c r="X931" s="9" t="str">
        <f t="shared" si="87"/>
        <v/>
      </c>
      <c r="Y931" s="10"/>
      <c r="Z931" s="10">
        <f>IF($H931="Cancelled","",IFERROR(IF(F931="","",F931-Variables!$B$13),""))</f>
        <v>45732</v>
      </c>
      <c r="AA931" s="11" t="str">
        <f>IF($H931="Cancelled","",IFERROR(IF(W931="","",(AVERAGE(E931:F931)-W931)-Variables!$B$14),""))</f>
        <v/>
      </c>
      <c r="AB931" s="10">
        <v>45745</v>
      </c>
      <c r="AC931" s="11" t="str">
        <f>IF($H931="Cancelled","",IFERROR(IF(AB931="","",IF(AND(W931="",Y931=""),"",IF(Y931&gt;W931,Y931+Variables!$B$15+Variables!$B$16+Variables!$B$17-AB931,W931+Variables!$B$16+Variables!$B$17-AB931))),""))</f>
        <v/>
      </c>
      <c r="AD931" s="9" t="s">
        <v>107</v>
      </c>
      <c r="AE931" s="9" t="s">
        <v>693</v>
      </c>
      <c r="AF931" s="10">
        <v>45758</v>
      </c>
      <c r="AG931" s="10"/>
      <c r="AH931" s="9"/>
      <c r="AI931" s="9" t="s">
        <v>1980</v>
      </c>
      <c r="AJ931" s="9" t="s">
        <v>8</v>
      </c>
      <c r="AK931" s="10">
        <v>45762</v>
      </c>
      <c r="AL931" s="10">
        <v>45764</v>
      </c>
      <c r="AM931" s="10">
        <v>45777</v>
      </c>
      <c r="AN931" s="9" t="s">
        <v>1492</v>
      </c>
      <c r="AO931" s="9"/>
      <c r="AP931" s="11">
        <f>IF($H931="Cancelled","",IFERROR(IF(OR(AK931="",AB931=""),"",(AB931+Variables!$B$18-AK931)),""))</f>
        <v>-10</v>
      </c>
      <c r="AQ931" s="11">
        <f>IF($H931="Cancelled","",IFERROR(IF(OR(AM931="",AK931=""),"",(AK931+Variables!$B$19)-AM931),""))</f>
        <v>-10</v>
      </c>
      <c r="AR931" s="12">
        <f>IF($H931="Cancelled","",IFERROR(T931*INDEX(Variables!$B$7:$D$7,IFERROR(MATCH(IF($B931="Robusta","Robusta",(IF($B931="","Arabica",$B931))&amp;" - "&amp;(IF($C931="","Commercial",$C931))),Variables!$B$1:$D$1,0),1))*(AQ931/365),""))</f>
        <v>-14.92602016731416</v>
      </c>
      <c r="AS931" s="12" t="str">
        <f>IF($H931="Cancelled","",IFERROR((T931*INDEX(Variables!$B$7:$D$7,IFERROR(MATCH(IF($B931="Robusta","Robusta",(IF($B931="","Arabica",$B931))&amp;" - "&amp;(IF($C931="","Commercial",$C931))),Variables!$B$1:$D$1,0),1))*IFERROR(IF(W931="","",(AVERAGE(E931:F931)-W931)-Variables!$B$14),"")/365)+(L931/16.67*INDEX(Variables!$B$8:$D$8,IFERROR(MATCH(IF($B931="Robusta","Robusta",(IF($B931="","Arabica",$B931))&amp;" - "&amp;(IF($C931="","Commercial",$C931))),Variables!$B$1:$D$1,0),1))*IFERROR(IF(W931="","",(AVERAGE(E931:F931)-W931)-Variables!$B$14),""))+(T931*INDEX(Variables!$B$9:$D$9,IFERROR(MATCH(IF($B931="Robusta","Robusta",(IF($B931="","Arabica",$B931))&amp;" - "&amp;(IF($C931="","Commercial",$C931))),Variables!$B$1:$D$1,0),1))*IFERROR(IF(W931="","",(AVERAGE(E931:F931)-W931)-Variables!$B$14),"")/365),""))</f>
        <v/>
      </c>
      <c r="AT931" s="12" t="str">
        <f>IF($H931="Cancelled","",IFERROR((T931*INDEX(Variables!$B$7:$D$7,IFERROR(MATCH(IF($B931="Robusta","Robusta",(IF($B931="","Arabica",$B931))&amp;" - "&amp;(IF($C931="","Commercial",$C931))),Variables!$B$1:$D$1,0),1))*AC931/365)+(L931/16.67*INDEX(Variables!$B$8:$D$8,IFERROR(MATCH(IF($B931="Robusta","Robusta",(IF($B931="","Arabica",$B931))&amp;" - "&amp;(IF($C931="","Commercial",$C931))),Variables!$B$1:$D$1,0),1))*AC931)+(T931*INDEX(Variables!$B$9:$D$9,IFERROR(MATCH(IF($B931="Robusta","Robusta",(IF($B931="","Arabica",$B931))&amp;" - "&amp;(IF($C931="","Commercial",$C931))),Variables!$B$1:$D$1,0),1))*AC931/365),""))</f>
        <v/>
      </c>
      <c r="AU931" s="12">
        <f>IF($H931="Cancelled","",IFERROR((T931*INDEX(Variables!$B$7:$D$7,IFERROR(MATCH(IF($B931="Robusta","Robusta",(IF($B931="","Arabica",$B931))&amp;" - "&amp;(IF($C931="","Commercial",$C931))),Variables!$B$1:$D$1,0),1))*AP931/365)+(L931/16.67*INDEX(Variables!$B$8:$D$8,IFERROR(MATCH(IF($B931="Robusta","Robusta",(IF($B931="","Arabica",$B931))&amp;" - "&amp;(IF($C931="","Commercial",$C931))),Variables!$B$1:$D$1,0),1))*AP931)+(T931*INDEX(Variables!$B$9:$D$9,IFERROR(MATCH(IF($B931="Robusta","Robusta",(IF($B931="","Arabica",$B931))&amp;" - "&amp;(IF($C931="","Commercial",$C931))),Variables!$B$1:$D$1,0),1))*AP931/365),""))</f>
        <v>-22.618445372488434</v>
      </c>
      <c r="AV931" s="11">
        <f t="shared" si="90"/>
        <v>-15</v>
      </c>
      <c r="AW931" s="12">
        <f>IF($H931="Cancelled","",IFERROR(IF(AV931="","",(T931*INDEX(Variables!$B$7:$D$7,IFERROR(MATCH(IF($B931="Robusta","Robusta",(IF($B931="","Arabica",$B931))&amp;" - "&amp;(IF($C931="","Commercial",$C931))),Variables!$B$1:$D$1,0),1))*(AV931/365))+(T931*INDEX(Variables!$B$9:$D$9,IFERROR(MATCH(IF($B931="Robusta","Robusta",(IF($B931="","Arabica",$B931))&amp;" - "&amp;(IF($C931="","Commercial",$C931))),Variables!$B$1:$D$1,0),1))*(AV931/365))+(INDEX(Variables!$B$8:$D$8,IFERROR(MATCH(IF($B931="Robusta","Robusta",(IF($B931="","Arabica",$B931))&amp;" - "&amp;(IF($C931="","Commercial",$C931))),Variables!$B$1:$D$1,0),1))*L931/16.67)),""))</f>
        <v>-21.927668058732642</v>
      </c>
      <c r="AX931" s="9"/>
      <c r="AY931" s="12"/>
      <c r="AZ931" s="10"/>
      <c r="BA931" s="9"/>
      <c r="BB931" s="10"/>
      <c r="BC931" s="9"/>
      <c r="BD931" s="9"/>
      <c r="BE931" s="9"/>
      <c r="BF931" s="9"/>
    </row>
    <row r="932" spans="1:58" x14ac:dyDescent="0.25">
      <c r="A932" s="9" t="s">
        <v>84</v>
      </c>
      <c r="B932" s="9" t="s">
        <v>85</v>
      </c>
      <c r="C932" s="9" t="s">
        <v>1486</v>
      </c>
      <c r="D932" s="10">
        <v>45693</v>
      </c>
      <c r="E932" s="10">
        <v>45689</v>
      </c>
      <c r="F932" s="10">
        <v>45747</v>
      </c>
      <c r="G932" s="9">
        <v>3786667</v>
      </c>
      <c r="H932" s="9" t="str">
        <f t="shared" si="88"/>
        <v>Closed</v>
      </c>
      <c r="I932" s="9" t="str">
        <f t="shared" si="89"/>
        <v>All dates received</v>
      </c>
      <c r="J932" s="9" t="s">
        <v>102</v>
      </c>
      <c r="K932" s="9" t="s">
        <v>1997</v>
      </c>
      <c r="L932" s="11">
        <v>18</v>
      </c>
      <c r="M932" s="9" t="s">
        <v>1998</v>
      </c>
      <c r="N932" s="9"/>
      <c r="O932" s="9"/>
      <c r="P932" s="9"/>
      <c r="Q932" s="11">
        <v>120.1</v>
      </c>
      <c r="R932" s="9" t="s">
        <v>195</v>
      </c>
      <c r="S932" s="9" t="s">
        <v>554</v>
      </c>
      <c r="T932" s="12">
        <f>IF($H932="Cancelled","",IFERROR(((Q932+INDEX(Variables!$B$6:$D$6,IFERROR(MATCH(IF($B932="Robusta","Robusta",(IF($B932="","Arabica",$B932))&amp;" - "&amp;(IF($C932="","Commercial",$C932))),Variables!$B$1:$D$1,0),1)))*22.0462)*(L932/16.67),""))</f>
        <v>9781.5299604079173</v>
      </c>
      <c r="U932" s="10">
        <v>45702</v>
      </c>
      <c r="V932" s="9" t="str">
        <f t="shared" si="91"/>
        <v>Sent</v>
      </c>
      <c r="W932" s="10"/>
      <c r="X932" s="9" t="str">
        <f t="shared" si="87"/>
        <v/>
      </c>
      <c r="Y932" s="10"/>
      <c r="Z932" s="10">
        <f>IF($H932="Cancelled","",IFERROR(IF(F932="","",F932-Variables!$B$13),""))</f>
        <v>45732</v>
      </c>
      <c r="AA932" s="11" t="str">
        <f>IF($H932="Cancelled","",IFERROR(IF(W932="","",(AVERAGE(E932:F932)-W932)-Variables!$B$14),""))</f>
        <v/>
      </c>
      <c r="AB932" s="10">
        <v>45745</v>
      </c>
      <c r="AC932" s="11" t="str">
        <f>IF($H932="Cancelled","",IFERROR(IF(AB932="","",IF(AND(W932="",Y932=""),"",IF(Y932&gt;W932,Y932+Variables!$B$15+Variables!$B$16+Variables!$B$17-AB932,W932+Variables!$B$16+Variables!$B$17-AB932))),""))</f>
        <v/>
      </c>
      <c r="AD932" s="9" t="s">
        <v>107</v>
      </c>
      <c r="AE932" s="9" t="s">
        <v>693</v>
      </c>
      <c r="AF932" s="10">
        <v>45758</v>
      </c>
      <c r="AG932" s="10"/>
      <c r="AH932" s="9"/>
      <c r="AI932" s="9" t="s">
        <v>1980</v>
      </c>
      <c r="AJ932" s="9" t="s">
        <v>8</v>
      </c>
      <c r="AK932" s="10">
        <v>45762</v>
      </c>
      <c r="AL932" s="10">
        <v>45764</v>
      </c>
      <c r="AM932" s="10">
        <v>45777</v>
      </c>
      <c r="AN932" s="9" t="s">
        <v>1492</v>
      </c>
      <c r="AO932" s="9"/>
      <c r="AP932" s="11">
        <f>IF($H932="Cancelled","",IFERROR(IF(OR(AK932="",AB932=""),"",(AB932+Variables!$B$18-AK932)),""))</f>
        <v>-10</v>
      </c>
      <c r="AQ932" s="11">
        <f>IF($H932="Cancelled","",IFERROR(IF(OR(AM932="",AK932=""),"",(AK932+Variables!$B$19)-AM932),""))</f>
        <v>-10</v>
      </c>
      <c r="AR932" s="12">
        <f>IF($H932="Cancelled","",IFERROR(T932*INDEX(Variables!$B$7:$D$7,IFERROR(MATCH(IF($B932="Robusta","Robusta",(IF($B932="","Arabica",$B932))&amp;" - "&amp;(IF($C932="","Commercial",$C932))),Variables!$B$1:$D$1,0),1))*(AQ932/365),""))</f>
        <v>-17.280399211315491</v>
      </c>
      <c r="AS932" s="12" t="str">
        <f>IF($H932="Cancelled","",IFERROR((T932*INDEX(Variables!$B$7:$D$7,IFERROR(MATCH(IF($B932="Robusta","Robusta",(IF($B932="","Arabica",$B932))&amp;" - "&amp;(IF($C932="","Commercial",$C932))),Variables!$B$1:$D$1,0),1))*IFERROR(IF(W932="","",(AVERAGE(E932:F932)-W932)-Variables!$B$14),"")/365)+(L932/16.67*INDEX(Variables!$B$8:$D$8,IFERROR(MATCH(IF($B932="Robusta","Robusta",(IF($B932="","Arabica",$B932))&amp;" - "&amp;(IF($C932="","Commercial",$C932))),Variables!$B$1:$D$1,0),1))*IFERROR(IF(W932="","",(AVERAGE(E932:F932)-W932)-Variables!$B$14),""))+(T932*INDEX(Variables!$B$9:$D$9,IFERROR(MATCH(IF($B932="Robusta","Robusta",(IF($B932="","Arabica",$B932))&amp;" - "&amp;(IF($C932="","Commercial",$C932))),Variables!$B$1:$D$1,0),1))*IFERROR(IF(W932="","",(AVERAGE(E932:F932)-W932)-Variables!$B$14),"")/365),""))</f>
        <v/>
      </c>
      <c r="AT932" s="12" t="str">
        <f>IF($H932="Cancelled","",IFERROR((T932*INDEX(Variables!$B$7:$D$7,IFERROR(MATCH(IF($B932="Robusta","Robusta",(IF($B932="","Arabica",$B932))&amp;" - "&amp;(IF($C932="","Commercial",$C932))),Variables!$B$1:$D$1,0),1))*AC932/365)+(L932/16.67*INDEX(Variables!$B$8:$D$8,IFERROR(MATCH(IF($B932="Robusta","Robusta",(IF($B932="","Arabica",$B932))&amp;" - "&amp;(IF($C932="","Commercial",$C932))),Variables!$B$1:$D$1,0),1))*AC932)+(T932*INDEX(Variables!$B$9:$D$9,IFERROR(MATCH(IF($B932="Robusta","Robusta",(IF($B932="","Arabica",$B932))&amp;" - "&amp;(IF($C932="","Commercial",$C932))),Variables!$B$1:$D$1,0),1))*AC932/365),""))</f>
        <v/>
      </c>
      <c r="AU932" s="12">
        <f>IF($H932="Cancelled","",IFERROR((T932*INDEX(Variables!$B$7:$D$7,IFERROR(MATCH(IF($B932="Robusta","Robusta",(IF($B932="","Arabica",$B932))&amp;" - "&amp;(IF($C932="","Commercial",$C932))),Variables!$B$1:$D$1,0),1))*AP932/365)+(L932/16.67*INDEX(Variables!$B$8:$D$8,IFERROR(MATCH(IF($B932="Robusta","Robusta",(IF($B932="","Arabica",$B932))&amp;" - "&amp;(IF($C932="","Commercial",$C932))),Variables!$B$1:$D$1,0),1))*AP932)+(T932*INDEX(Variables!$B$9:$D$9,IFERROR(MATCH(IF($B932="Robusta","Robusta",(IF($B932="","Arabica",$B932))&amp;" - "&amp;(IF($C932="","Commercial",$C932))),Variables!$B$1:$D$1,0),1))*AP932/365),""))</f>
        <v>-26.503176906002807</v>
      </c>
      <c r="AV932" s="11">
        <f t="shared" si="90"/>
        <v>-15</v>
      </c>
      <c r="AW932" s="12">
        <f>IF($H932="Cancelled","",IFERROR(IF(AV932="","",(T932*INDEX(Variables!$B$7:$D$7,IFERROR(MATCH(IF($B932="Robusta","Robusta",(IF($B932="","Arabica",$B932))&amp;" - "&amp;(IF($C932="","Commercial",$C932))),Variables!$B$1:$D$1,0),1))*(AV932/365))+(T932*INDEX(Variables!$B$9:$D$9,IFERROR(MATCH(IF($B932="Robusta","Robusta",(IF($B932="","Arabica",$B932))&amp;" - "&amp;(IF($C932="","Commercial",$C932))),Variables!$B$1:$D$1,0),1))*(AV932/365))+(INDEX(Variables!$B$8:$D$8,IFERROR(MATCH(IF($B932="Robusta","Robusta",(IF($B932="","Arabica",$B932))&amp;" - "&amp;(IF($C932="","Commercial",$C932))),Variables!$B$1:$D$1,0),1))*L932/16.67)),""))</f>
        <v>-25.354765359004215</v>
      </c>
      <c r="AX932" s="9"/>
      <c r="AY932" s="12"/>
      <c r="AZ932" s="10"/>
      <c r="BA932" s="9"/>
      <c r="BB932" s="10"/>
      <c r="BC932" s="9"/>
      <c r="BD932" s="9"/>
      <c r="BE932" s="9"/>
      <c r="BF932" s="9"/>
    </row>
    <row r="933" spans="1:58" x14ac:dyDescent="0.25">
      <c r="A933" s="9" t="s">
        <v>84</v>
      </c>
      <c r="B933" s="9" t="s">
        <v>85</v>
      </c>
      <c r="C933" s="9" t="s">
        <v>1486</v>
      </c>
      <c r="D933" s="10">
        <v>45693</v>
      </c>
      <c r="E933" s="10">
        <v>45689</v>
      </c>
      <c r="F933" s="10">
        <v>45747</v>
      </c>
      <c r="G933" s="9">
        <v>3786668</v>
      </c>
      <c r="H933" s="9" t="str">
        <f t="shared" si="88"/>
        <v>Closed</v>
      </c>
      <c r="I933" s="9" t="str">
        <f t="shared" si="89"/>
        <v>All dates received</v>
      </c>
      <c r="J933" s="9" t="s">
        <v>102</v>
      </c>
      <c r="K933" s="9" t="s">
        <v>1999</v>
      </c>
      <c r="L933" s="11">
        <v>10</v>
      </c>
      <c r="M933" s="9" t="s">
        <v>2000</v>
      </c>
      <c r="N933" s="9"/>
      <c r="O933" s="9"/>
      <c r="P933" s="9"/>
      <c r="Q933" s="11">
        <v>69.099999999999994</v>
      </c>
      <c r="R933" s="9" t="s">
        <v>195</v>
      </c>
      <c r="S933" s="9" t="s">
        <v>554</v>
      </c>
      <c r="T933" s="12">
        <f>IF($H933="Cancelled","",IFERROR(((Q933+INDEX(Variables!$B$6:$D$6,IFERROR(MATCH(IF($B933="Robusta","Robusta",(IF($B933="","Arabica",$B933))&amp;" - "&amp;(IF($C933="","Commercial",$C933))),Variables!$B$1:$D$1,0),1)))*22.0462)*(L933/16.67),""))</f>
        <v>4759.7044871025782</v>
      </c>
      <c r="U933" s="10"/>
      <c r="V933" s="9" t="str">
        <f t="shared" si="91"/>
        <v/>
      </c>
      <c r="W933" s="10">
        <v>45687</v>
      </c>
      <c r="X933" s="9" t="str">
        <f t="shared" si="87"/>
        <v>Approved</v>
      </c>
      <c r="Y933" s="10">
        <v>45746</v>
      </c>
      <c r="Z933" s="10">
        <f>IF($H933="Cancelled","",IFERROR(IF(F933="","",F933-Variables!$B$13),""))</f>
        <v>45732</v>
      </c>
      <c r="AA933" s="11">
        <f>IF($H933="Cancelled","",IFERROR(IF(W933="","",(AVERAGE(E933:F933)-W933)-Variables!$B$14),""))</f>
        <v>1</v>
      </c>
      <c r="AB933" s="10">
        <v>45745</v>
      </c>
      <c r="AC933" s="11">
        <f>IF($H933="Cancelled","",IFERROR(IF(AB933="","",IF(AND(W933="",Y933=""),"",IF(Y933&gt;W933,Y933+Variables!$B$15+Variables!$B$16+Variables!$B$17-AB933,W933+Variables!$B$16+Variables!$B$17-AB933))),""))</f>
        <v>16</v>
      </c>
      <c r="AD933" s="9" t="s">
        <v>107</v>
      </c>
      <c r="AE933" s="9" t="s">
        <v>693</v>
      </c>
      <c r="AF933" s="10">
        <v>45758</v>
      </c>
      <c r="AG933" s="10"/>
      <c r="AH933" s="9"/>
      <c r="AI933" s="9" t="s">
        <v>1980</v>
      </c>
      <c r="AJ933" s="9" t="s">
        <v>8</v>
      </c>
      <c r="AK933" s="10">
        <v>45762</v>
      </c>
      <c r="AL933" s="10">
        <v>45764</v>
      </c>
      <c r="AM933" s="10">
        <v>45777</v>
      </c>
      <c r="AN933" s="9" t="s">
        <v>1492</v>
      </c>
      <c r="AO933" s="9"/>
      <c r="AP933" s="11">
        <f>IF($H933="Cancelled","",IFERROR(IF(OR(AK933="",AB933=""),"",(AB933+Variables!$B$18-AK933)),""))</f>
        <v>-10</v>
      </c>
      <c r="AQ933" s="11">
        <f>IF($H933="Cancelled","",IFERROR(IF(OR(AM933="",AK933=""),"",(AK933+Variables!$B$19)-AM933),""))</f>
        <v>-10</v>
      </c>
      <c r="AR933" s="12">
        <f>IF($H933="Cancelled","",IFERROR(T933*INDEX(Variables!$B$7:$D$7,IFERROR(MATCH(IF($B933="Robusta","Robusta",(IF($B933="","Arabica",$B933))&amp;" - "&amp;(IF($C933="","Commercial",$C933))),Variables!$B$1:$D$1,0),1))*(AQ933/365),""))</f>
        <v>-8.4086634706368724</v>
      </c>
      <c r="AS933" s="12">
        <f>IF($H933="Cancelled","",IFERROR((T933*INDEX(Variables!$B$7:$D$7,IFERROR(MATCH(IF($B933="Robusta","Robusta",(IF($B933="","Arabica",$B933))&amp;" - "&amp;(IF($C933="","Commercial",$C933))),Variables!$B$1:$D$1,0),1))*IFERROR(IF(W933="","",(AVERAGE(E933:F933)-W933)-Variables!$B$14),"")/365)+(L933/16.67*INDEX(Variables!$B$8:$D$8,IFERROR(MATCH(IF($B933="Robusta","Robusta",(IF($B933="","Arabica",$B933))&amp;" - "&amp;(IF($C933="","Commercial",$C933))),Variables!$B$1:$D$1,0),1))*IFERROR(IF(W933="","",(AVERAGE(E933:F933)-W933)-Variables!$B$14),""))+(T933*INDEX(Variables!$B$9:$D$9,IFERROR(MATCH(IF($B933="Robusta","Robusta",(IF($B933="","Arabica",$B933))&amp;" - "&amp;(IF($C933="","Commercial",$C933))),Variables!$B$1:$D$1,0),1))*IFERROR(IF(W933="","",(AVERAGE(E933:F933)-W933)-Variables!$B$14),"")/365),""))</f>
        <v>1.3517067370366418</v>
      </c>
      <c r="AT933" s="12">
        <f>IF($H933="Cancelled","",IFERROR((T933*INDEX(Variables!$B$7:$D$7,IFERROR(MATCH(IF($B933="Robusta","Robusta",(IF($B933="","Arabica",$B933))&amp;" - "&amp;(IF($C933="","Commercial",$C933))),Variables!$B$1:$D$1,0),1))*AC933/365)+(L933/16.67*INDEX(Variables!$B$8:$D$8,IFERROR(MATCH(IF($B933="Robusta","Robusta",(IF($B933="","Arabica",$B933))&amp;" - "&amp;(IF($C933="","Commercial",$C933))),Variables!$B$1:$D$1,0),1))*AC933)+(T933*INDEX(Variables!$B$9:$D$9,IFERROR(MATCH(IF($B933="Robusta","Robusta",(IF($B933="","Arabica",$B933))&amp;" - "&amp;(IF($C933="","Commercial",$C933))),Variables!$B$1:$D$1,0),1))*AC933/365),""))</f>
        <v>21.627307792586269</v>
      </c>
      <c r="AU933" s="12">
        <f>IF($H933="Cancelled","",IFERROR((T933*INDEX(Variables!$B$7:$D$7,IFERROR(MATCH(IF($B933="Robusta","Robusta",(IF($B933="","Arabica",$B933))&amp;" - "&amp;(IF($C933="","Commercial",$C933))),Variables!$B$1:$D$1,0),1))*AP933/365)+(L933/16.67*INDEX(Variables!$B$8:$D$8,IFERROR(MATCH(IF($B933="Robusta","Robusta",(IF($B933="","Arabica",$B933))&amp;" - "&amp;(IF($C933="","Commercial",$C933))),Variables!$B$1:$D$1,0),1))*AP933)+(T933*INDEX(Variables!$B$9:$D$9,IFERROR(MATCH(IF($B933="Robusta","Robusta",(IF($B933="","Arabica",$B933))&amp;" - "&amp;(IF($C933="","Commercial",$C933))),Variables!$B$1:$D$1,0),1))*AP933/365),""))</f>
        <v>-13.517067370366417</v>
      </c>
      <c r="AV933" s="11">
        <f t="shared" si="90"/>
        <v>-15</v>
      </c>
      <c r="AW933" s="12">
        <f>IF($H933="Cancelled","",IFERROR(IF(AV933="","",(T933*INDEX(Variables!$B$7:$D$7,IFERROR(MATCH(IF($B933="Robusta","Robusta",(IF($B933="","Arabica",$B933))&amp;" - "&amp;(IF($C933="","Commercial",$C933))),Variables!$B$1:$D$1,0),1))*(AV933/365))+(T933*INDEX(Variables!$B$9:$D$9,IFERROR(MATCH(IF($B933="Robusta","Robusta",(IF($B933="","Arabica",$B933))&amp;" - "&amp;(IF($C933="","Commercial",$C933))),Variables!$B$1:$D$1,0),1))*(AV933/365))+(INDEX(Variables!$B$8:$D$8,IFERROR(MATCH(IF($B933="Robusta","Robusta",(IF($B933="","Arabica",$B933))&amp;" - "&amp;(IF($C933="","Commercial",$C933))),Variables!$B$1:$D$1,0),1))*L933/16.67)),""))</f>
        <v>-12.275601055549625</v>
      </c>
      <c r="AX933" s="9"/>
      <c r="AY933" s="12"/>
      <c r="AZ933" s="10"/>
      <c r="BA933" s="9"/>
      <c r="BB933" s="10"/>
      <c r="BC933" s="9"/>
      <c r="BD933" s="9"/>
      <c r="BE933" s="9"/>
      <c r="BF933" s="9"/>
    </row>
    <row r="934" spans="1:58" x14ac:dyDescent="0.25">
      <c r="A934" s="9" t="s">
        <v>84</v>
      </c>
      <c r="B934" s="9" t="s">
        <v>85</v>
      </c>
      <c r="C934" s="9" t="s">
        <v>1486</v>
      </c>
      <c r="D934" s="10">
        <v>45693</v>
      </c>
      <c r="E934" s="10">
        <v>45689</v>
      </c>
      <c r="F934" s="10">
        <v>45747</v>
      </c>
      <c r="G934" s="9">
        <v>3786669</v>
      </c>
      <c r="H934" s="9" t="str">
        <f t="shared" si="88"/>
        <v>Closed</v>
      </c>
      <c r="I934" s="9" t="str">
        <f t="shared" si="89"/>
        <v>All dates received</v>
      </c>
      <c r="J934" s="9" t="s">
        <v>102</v>
      </c>
      <c r="K934" s="9" t="s">
        <v>2001</v>
      </c>
      <c r="L934" s="11">
        <v>10</v>
      </c>
      <c r="M934" s="9" t="s">
        <v>2002</v>
      </c>
      <c r="N934" s="9"/>
      <c r="O934" s="9"/>
      <c r="P934" s="9"/>
      <c r="Q934" s="11">
        <v>116.1</v>
      </c>
      <c r="R934" s="9" t="s">
        <v>195</v>
      </c>
      <c r="S934" s="9" t="s">
        <v>554</v>
      </c>
      <c r="T934" s="12">
        <f>IF($H934="Cancelled","",IFERROR(((Q934+INDEX(Variables!$B$6:$D$6,IFERROR(MATCH(IF($B934="Robusta","Robusta",(IF($B934="","Arabica",$B934))&amp;" - "&amp;(IF($C934="","Commercial",$C934))),Variables!$B$1:$D$1,0),1)))*22.0462)*(L934/16.67),""))</f>
        <v>5381.2830113977188</v>
      </c>
      <c r="U934" s="10"/>
      <c r="V934" s="9" t="str">
        <f t="shared" si="91"/>
        <v/>
      </c>
      <c r="W934" s="10">
        <v>45690</v>
      </c>
      <c r="X934" s="9" t="str">
        <f t="shared" si="87"/>
        <v>Approved</v>
      </c>
      <c r="Y934" s="10">
        <v>45746</v>
      </c>
      <c r="Z934" s="10">
        <f>IF($H934="Cancelled","",IFERROR(IF(F934="","",F934-Variables!$B$13),""))</f>
        <v>45732</v>
      </c>
      <c r="AA934" s="11">
        <f>IF($H934="Cancelled","",IFERROR(IF(W934="","",(AVERAGE(E934:F934)-W934)-Variables!$B$14),""))</f>
        <v>-2</v>
      </c>
      <c r="AB934" s="10">
        <v>45745</v>
      </c>
      <c r="AC934" s="11">
        <f>IF($H934="Cancelled","",IFERROR(IF(AB934="","",IF(AND(W934="",Y934=""),"",IF(Y934&gt;W934,Y934+Variables!$B$15+Variables!$B$16+Variables!$B$17-AB934,W934+Variables!$B$16+Variables!$B$17-AB934))),""))</f>
        <v>16</v>
      </c>
      <c r="AD934" s="9" t="s">
        <v>107</v>
      </c>
      <c r="AE934" s="9" t="s">
        <v>693</v>
      </c>
      <c r="AF934" s="10">
        <v>45758</v>
      </c>
      <c r="AG934" s="10"/>
      <c r="AH934" s="9"/>
      <c r="AI934" s="9" t="s">
        <v>1980</v>
      </c>
      <c r="AJ934" s="9" t="s">
        <v>8</v>
      </c>
      <c r="AK934" s="10">
        <v>45762</v>
      </c>
      <c r="AL934" s="10">
        <v>45764</v>
      </c>
      <c r="AM934" s="10">
        <v>45777</v>
      </c>
      <c r="AN934" s="9" t="s">
        <v>1492</v>
      </c>
      <c r="AO934" s="9"/>
      <c r="AP934" s="11">
        <f>IF($H934="Cancelled","",IFERROR(IF(OR(AK934="",AB934=""),"",(AB934+Variables!$B$18-AK934)),""))</f>
        <v>-10</v>
      </c>
      <c r="AQ934" s="11">
        <f>IF($H934="Cancelled","",IFERROR(IF(OR(AM934="",AK934=""),"",(AK934+Variables!$B$19)-AM934),""))</f>
        <v>-10</v>
      </c>
      <c r="AR934" s="12">
        <f>IF($H934="Cancelled","",IFERROR(T934*INDEX(Variables!$B$7:$D$7,IFERROR(MATCH(IF($B934="Robusta","Robusta",(IF($B934="","Arabica",$B934))&amp;" - "&amp;(IF($C934="","Commercial",$C934))),Variables!$B$1:$D$1,0),1))*(AQ934/365),""))</f>
        <v>-9.5067662300698625</v>
      </c>
      <c r="AS934" s="12">
        <f>IF($H934="Cancelled","",IFERROR((T934*INDEX(Variables!$B$7:$D$7,IFERROR(MATCH(IF($B934="Robusta","Robusta",(IF($B934="","Arabica",$B934))&amp;" - "&amp;(IF($C934="","Commercial",$C934))),Variables!$B$1:$D$1,0),1))*IFERROR(IF(W934="","",(AVERAGE(E934:F934)-W934)-Variables!$B$14),"")/365)+(L934/16.67*INDEX(Variables!$B$8:$D$8,IFERROR(MATCH(IF($B934="Robusta","Robusta",(IF($B934="","Arabica",$B934))&amp;" - "&amp;(IF($C934="","Commercial",$C934))),Variables!$B$1:$D$1,0),1))*IFERROR(IF(W934="","",(AVERAGE(E934:F934)-W934)-Variables!$B$14),""))+(T934*INDEX(Variables!$B$9:$D$9,IFERROR(MATCH(IF($B934="Robusta","Robusta",(IF($B934="","Arabica",$B934))&amp;" - "&amp;(IF($C934="","Commercial",$C934))),Variables!$B$1:$D$1,0),1))*IFERROR(IF(W934="","",(AVERAGE(E934:F934)-W934)-Variables!$B$14),"")/365),""))</f>
        <v>-2.9258653587119174</v>
      </c>
      <c r="AT934" s="12">
        <f>IF($H934="Cancelled","",IFERROR((T934*INDEX(Variables!$B$7:$D$7,IFERROR(MATCH(IF($B934="Robusta","Robusta",(IF($B934="","Arabica",$B934))&amp;" - "&amp;(IF($C934="","Commercial",$C934))),Variables!$B$1:$D$1,0),1))*AC934/365)+(L934/16.67*INDEX(Variables!$B$8:$D$8,IFERROR(MATCH(IF($B934="Robusta","Robusta",(IF($B934="","Arabica",$B934))&amp;" - "&amp;(IF($C934="","Commercial",$C934))),Variables!$B$1:$D$1,0),1))*AC934)+(T934*INDEX(Variables!$B$9:$D$9,IFERROR(MATCH(IF($B934="Robusta","Robusta",(IF($B934="","Arabica",$B934))&amp;" - "&amp;(IF($C934="","Commercial",$C934))),Variables!$B$1:$D$1,0),1))*AC934/365),""))</f>
        <v>23.40692286969534</v>
      </c>
      <c r="AU934" s="12">
        <f>IF($H934="Cancelled","",IFERROR((T934*INDEX(Variables!$B$7:$D$7,IFERROR(MATCH(IF($B934="Robusta","Robusta",(IF($B934="","Arabica",$B934))&amp;" - "&amp;(IF($C934="","Commercial",$C934))),Variables!$B$1:$D$1,0),1))*AP934/365)+(L934/16.67*INDEX(Variables!$B$8:$D$8,IFERROR(MATCH(IF($B934="Robusta","Robusta",(IF($B934="","Arabica",$B934))&amp;" - "&amp;(IF($C934="","Commercial",$C934))),Variables!$B$1:$D$1,0),1))*AP934)+(T934*INDEX(Variables!$B$9:$D$9,IFERROR(MATCH(IF($B934="Robusta","Robusta",(IF($B934="","Arabica",$B934))&amp;" - "&amp;(IF($C934="","Commercial",$C934))),Variables!$B$1:$D$1,0),1))*AP934/365),""))</f>
        <v>-14.629326793559587</v>
      </c>
      <c r="AV934" s="11">
        <f t="shared" si="90"/>
        <v>-15</v>
      </c>
      <c r="AW934" s="12">
        <f>IF($H934="Cancelled","",IFERROR(IF(AV934="","",(T934*INDEX(Variables!$B$7:$D$7,IFERROR(MATCH(IF($B934="Robusta","Robusta",(IF($B934="","Arabica",$B934))&amp;" - "&amp;(IF($C934="","Commercial",$C934))),Variables!$B$1:$D$1,0),1))*(AV934/365))+(T934*INDEX(Variables!$B$9:$D$9,IFERROR(MATCH(IF($B934="Robusta","Robusta",(IF($B934="","Arabica",$B934))&amp;" - "&amp;(IF($C934="","Commercial",$C934))),Variables!$B$1:$D$1,0),1))*(AV934/365))+(INDEX(Variables!$B$8:$D$8,IFERROR(MATCH(IF($B934="Robusta","Robusta",(IF($B934="","Arabica",$B934))&amp;" - "&amp;(IF($C934="","Commercial",$C934))),Variables!$B$1:$D$1,0),1))*L934/16.67)),""))</f>
        <v>-13.943990190339381</v>
      </c>
      <c r="AX934" s="9"/>
      <c r="AY934" s="12"/>
      <c r="AZ934" s="10"/>
      <c r="BA934" s="9"/>
      <c r="BB934" s="10"/>
      <c r="BC934" s="9"/>
      <c r="BD934" s="9"/>
      <c r="BE934" s="9"/>
      <c r="BF934" s="9"/>
    </row>
    <row r="935" spans="1:58" x14ac:dyDescent="0.25">
      <c r="A935" s="9" t="s">
        <v>84</v>
      </c>
      <c r="B935" s="9" t="s">
        <v>85</v>
      </c>
      <c r="C935" s="9" t="s">
        <v>1486</v>
      </c>
      <c r="D935" s="10">
        <v>45693</v>
      </c>
      <c r="E935" s="10">
        <v>45689</v>
      </c>
      <c r="F935" s="10">
        <v>45747</v>
      </c>
      <c r="G935" s="9">
        <v>3786670</v>
      </c>
      <c r="H935" s="9" t="str">
        <f t="shared" si="88"/>
        <v>Closed</v>
      </c>
      <c r="I935" s="9" t="str">
        <f t="shared" si="89"/>
        <v>All dates received</v>
      </c>
      <c r="J935" s="9" t="s">
        <v>102</v>
      </c>
      <c r="K935" s="9" t="s">
        <v>2003</v>
      </c>
      <c r="L935" s="11">
        <v>2</v>
      </c>
      <c r="M935" s="9" t="s">
        <v>2004</v>
      </c>
      <c r="N935" s="9"/>
      <c r="O935" s="9"/>
      <c r="P935" s="9"/>
      <c r="Q935" s="11">
        <v>136.1</v>
      </c>
      <c r="R935" s="9" t="s">
        <v>195</v>
      </c>
      <c r="S935" s="9" t="s">
        <v>554</v>
      </c>
      <c r="T935" s="12">
        <f>IF($H935="Cancelled","",IFERROR(((Q935+INDEX(Variables!$B$6:$D$6,IFERROR(MATCH(IF($B935="Robusta","Robusta",(IF($B935="","Arabica",$B935))&amp;" - "&amp;(IF($C935="","Commercial",$C935))),Variables!$B$1:$D$1,0),1)))*22.0462)*(L935/16.67),""))</f>
        <v>1129.1569022195558</v>
      </c>
      <c r="U935" s="10"/>
      <c r="V935" s="9" t="str">
        <f t="shared" si="91"/>
        <v/>
      </c>
      <c r="W935" s="10">
        <v>45690</v>
      </c>
      <c r="X935" s="9" t="str">
        <f t="shared" si="87"/>
        <v>Approved</v>
      </c>
      <c r="Y935" s="10">
        <v>45718</v>
      </c>
      <c r="Z935" s="10">
        <f>IF($H935="Cancelled","",IFERROR(IF(F935="","",F935-Variables!$B$13),""))</f>
        <v>45732</v>
      </c>
      <c r="AA935" s="11">
        <f>IF($H935="Cancelled","",IFERROR(IF(W935="","",(AVERAGE(E935:F935)-W935)-Variables!$B$14),""))</f>
        <v>-2</v>
      </c>
      <c r="AB935" s="10">
        <v>45745</v>
      </c>
      <c r="AC935" s="11">
        <f>IF($H935="Cancelled","",IFERROR(IF(AB935="","",IF(AND(W935="",Y935=""),"",IF(Y935&gt;W935,Y935+Variables!$B$15+Variables!$B$16+Variables!$B$17-AB935,W935+Variables!$B$16+Variables!$B$17-AB935))),""))</f>
        <v>-12</v>
      </c>
      <c r="AD935" s="9" t="s">
        <v>107</v>
      </c>
      <c r="AE935" s="9" t="s">
        <v>693</v>
      </c>
      <c r="AF935" s="10">
        <v>45758</v>
      </c>
      <c r="AG935" s="10"/>
      <c r="AH935" s="9"/>
      <c r="AI935" s="9" t="s">
        <v>1980</v>
      </c>
      <c r="AJ935" s="9" t="s">
        <v>8</v>
      </c>
      <c r="AK935" s="10">
        <v>45762</v>
      </c>
      <c r="AL935" s="10">
        <v>45764</v>
      </c>
      <c r="AM935" s="10">
        <v>45777</v>
      </c>
      <c r="AN935" s="9" t="s">
        <v>1492</v>
      </c>
      <c r="AO935" s="9"/>
      <c r="AP935" s="11">
        <f>IF($H935="Cancelled","",IFERROR(IF(OR(AK935="",AB935=""),"",(AB935+Variables!$B$18-AK935)),""))</f>
        <v>-10</v>
      </c>
      <c r="AQ935" s="11">
        <f>IF($H935="Cancelled","",IFERROR(IF(OR(AM935="",AK935=""),"",(AK935+Variables!$B$19)-AM935),""))</f>
        <v>-10</v>
      </c>
      <c r="AR935" s="12">
        <f>IF($H935="Cancelled","",IFERROR(T935*INDEX(Variables!$B$7:$D$7,IFERROR(MATCH(IF($B935="Robusta","Robusta",(IF($B935="","Arabica",$B935))&amp;" - "&amp;(IF($C935="","Commercial",$C935))),Variables!$B$1:$D$1,0),1))*(AQ935/365),""))</f>
        <v>-1.9948088000082698</v>
      </c>
      <c r="AS935" s="12">
        <f>IF($H935="Cancelled","",IFERROR((T935*INDEX(Variables!$B$7:$D$7,IFERROR(MATCH(IF($B935="Robusta","Robusta",(IF($B935="","Arabica",$B935))&amp;" - "&amp;(IF($C935="","Commercial",$C935))),Variables!$B$1:$D$1,0),1))*IFERROR(IF(W935="","",(AVERAGE(E935:F935)-W935)-Variables!$B$14),"")/365)+(L935/16.67*INDEX(Variables!$B$8:$D$8,IFERROR(MATCH(IF($B935="Robusta","Robusta",(IF($B935="","Arabica",$B935))&amp;" - "&amp;(IF($C935="","Commercial",$C935))),Variables!$B$1:$D$1,0),1))*IFERROR(IF(W935="","",(AVERAGE(E935:F935)-W935)-Variables!$B$14),""))+(T935*INDEX(Variables!$B$9:$D$9,IFERROR(MATCH(IF($B935="Robusta","Robusta",(IF($B935="","Arabica",$B935))&amp;" - "&amp;(IF($C935="","Commercial",$C935))),Variables!$B$1:$D$1,0),1))*IFERROR(IF(W935="","",(AVERAGE(E935:F935)-W935)-Variables!$B$14),"")/365),""))</f>
        <v>-0.60410514703077789</v>
      </c>
      <c r="AT935" s="12">
        <f>IF($H935="Cancelled","",IFERROR((T935*INDEX(Variables!$B$7:$D$7,IFERROR(MATCH(IF($B935="Robusta","Robusta",(IF($B935="","Arabica",$B935))&amp;" - "&amp;(IF($C935="","Commercial",$C935))),Variables!$B$1:$D$1,0),1))*AC935/365)+(L935/16.67*INDEX(Variables!$B$8:$D$8,IFERROR(MATCH(IF($B935="Robusta","Robusta",(IF($B935="","Arabica",$B935))&amp;" - "&amp;(IF($C935="","Commercial",$C935))),Variables!$B$1:$D$1,0),1))*AC935)+(T935*INDEX(Variables!$B$9:$D$9,IFERROR(MATCH(IF($B935="Robusta","Robusta",(IF($B935="","Arabica",$B935))&amp;" - "&amp;(IF($C935="","Commercial",$C935))),Variables!$B$1:$D$1,0),1))*AC935/365),""))</f>
        <v>-3.6246308821846673</v>
      </c>
      <c r="AU935" s="12">
        <f>IF($H935="Cancelled","",IFERROR((T935*INDEX(Variables!$B$7:$D$7,IFERROR(MATCH(IF($B935="Robusta","Robusta",(IF($B935="","Arabica",$B935))&amp;" - "&amp;(IF($C935="","Commercial",$C935))),Variables!$B$1:$D$1,0),1))*AP935/365)+(L935/16.67*INDEX(Variables!$B$8:$D$8,IFERROR(MATCH(IF($B935="Robusta","Robusta",(IF($B935="","Arabica",$B935))&amp;" - "&amp;(IF($C935="","Commercial",$C935))),Variables!$B$1:$D$1,0),1))*AP935)+(T935*INDEX(Variables!$B$9:$D$9,IFERROR(MATCH(IF($B935="Robusta","Robusta",(IF($B935="","Arabica",$B935))&amp;" - "&amp;(IF($C935="","Commercial",$C935))),Variables!$B$1:$D$1,0),1))*AP935/365),""))</f>
        <v>-3.0205257351538899</v>
      </c>
      <c r="AV935" s="11">
        <f t="shared" si="90"/>
        <v>-15</v>
      </c>
      <c r="AW935" s="12">
        <f>IF($H935="Cancelled","",IFERROR(IF(AV935="","",(T935*INDEX(Variables!$B$7:$D$7,IFERROR(MATCH(IF($B935="Robusta","Robusta",(IF($B935="","Arabica",$B935))&amp;" - "&amp;(IF($C935="","Commercial",$C935))),Variables!$B$1:$D$1,0),1))*(AV935/365))+(T935*INDEX(Variables!$B$9:$D$9,IFERROR(MATCH(IF($B935="Robusta","Robusta",(IF($B935="","Arabica",$B935))&amp;" - "&amp;(IF($C935="","Commercial",$C935))),Variables!$B$1:$D$1,0),1))*(AV935/365))+(INDEX(Variables!$B$8:$D$8,IFERROR(MATCH(IF($B935="Robusta","Robusta",(IF($B935="","Arabica",$B935))&amp;" - "&amp;(IF($C935="","Commercial",$C935))),Variables!$B$1:$D$1,0),1))*L935/16.67)),""))</f>
        <v>-2.9307886027308339</v>
      </c>
      <c r="AX935" s="9"/>
      <c r="AY935" s="12"/>
      <c r="AZ935" s="10"/>
      <c r="BA935" s="9"/>
      <c r="BB935" s="10"/>
      <c r="BC935" s="9"/>
      <c r="BD935" s="9"/>
      <c r="BE935" s="9"/>
      <c r="BF935" s="9"/>
    </row>
    <row r="936" spans="1:58" x14ac:dyDescent="0.25">
      <c r="A936" s="9" t="s">
        <v>84</v>
      </c>
      <c r="B936" s="9" t="s">
        <v>85</v>
      </c>
      <c r="C936" s="9" t="s">
        <v>1486</v>
      </c>
      <c r="D936" s="10">
        <v>45693</v>
      </c>
      <c r="E936" s="10">
        <v>45689</v>
      </c>
      <c r="F936" s="10">
        <v>45747</v>
      </c>
      <c r="G936" s="9">
        <v>3786671</v>
      </c>
      <c r="H936" s="9" t="str">
        <f t="shared" si="88"/>
        <v>Closed</v>
      </c>
      <c r="I936" s="9" t="str">
        <f t="shared" si="89"/>
        <v>All dates received</v>
      </c>
      <c r="J936" s="9" t="s">
        <v>102</v>
      </c>
      <c r="K936" s="9" t="s">
        <v>2005</v>
      </c>
      <c r="L936" s="11">
        <v>2</v>
      </c>
      <c r="M936" s="9" t="s">
        <v>2006</v>
      </c>
      <c r="N936" s="9"/>
      <c r="O936" s="9"/>
      <c r="P936" s="9"/>
      <c r="Q936" s="11">
        <v>91.1</v>
      </c>
      <c r="R936" s="9" t="s">
        <v>195</v>
      </c>
      <c r="S936" s="9" t="s">
        <v>554</v>
      </c>
      <c r="T936" s="12">
        <f>IF($H936="Cancelled","",IFERROR(((Q936+INDEX(Variables!$B$6:$D$6,IFERROR(MATCH(IF($B936="Robusta","Robusta",(IF($B936="","Arabica",$B936))&amp;" - "&amp;(IF($C936="","Commercial",$C936))),Variables!$B$1:$D$1,0),1)))*22.0462)*(L936/16.67),""))</f>
        <v>1010.131227354529</v>
      </c>
      <c r="U936" s="10"/>
      <c r="V936" s="9" t="str">
        <f t="shared" si="91"/>
        <v/>
      </c>
      <c r="W936" s="10">
        <v>45690</v>
      </c>
      <c r="X936" s="9" t="str">
        <f t="shared" si="87"/>
        <v>Approved</v>
      </c>
      <c r="Y936" s="10">
        <v>45718</v>
      </c>
      <c r="Z936" s="10">
        <f>IF($H936="Cancelled","",IFERROR(IF(F936="","",F936-Variables!$B$13),""))</f>
        <v>45732</v>
      </c>
      <c r="AA936" s="11">
        <f>IF($H936="Cancelled","",IFERROR(IF(W936="","",(AVERAGE(E936:F936)-W936)-Variables!$B$14),""))</f>
        <v>-2</v>
      </c>
      <c r="AB936" s="10">
        <v>45745</v>
      </c>
      <c r="AC936" s="11">
        <f>IF($H936="Cancelled","",IFERROR(IF(AB936="","",IF(AND(W936="",Y936=""),"",IF(Y936&gt;W936,Y936+Variables!$B$15+Variables!$B$16+Variables!$B$17-AB936,W936+Variables!$B$16+Variables!$B$17-AB936))),""))</f>
        <v>-12</v>
      </c>
      <c r="AD936" s="9" t="s">
        <v>107</v>
      </c>
      <c r="AE936" s="9" t="s">
        <v>693</v>
      </c>
      <c r="AF936" s="10">
        <v>45758</v>
      </c>
      <c r="AG936" s="10"/>
      <c r="AH936" s="9"/>
      <c r="AI936" s="9" t="s">
        <v>1980</v>
      </c>
      <c r="AJ936" s="9" t="s">
        <v>8</v>
      </c>
      <c r="AK936" s="10">
        <v>45762</v>
      </c>
      <c r="AL936" s="10">
        <v>45764</v>
      </c>
      <c r="AM936" s="10">
        <v>45777</v>
      </c>
      <c r="AN936" s="9" t="s">
        <v>1492</v>
      </c>
      <c r="AO936" s="9"/>
      <c r="AP936" s="11">
        <f>IF($H936="Cancelled","",IFERROR(IF(OR(AK936="",AB936=""),"",(AB936+Variables!$B$18-AK936)),""))</f>
        <v>-10</v>
      </c>
      <c r="AQ936" s="11">
        <f>IF($H936="Cancelled","",IFERROR(IF(OR(AM936="",AK936=""),"",(AK936+Variables!$B$19)-AM936),""))</f>
        <v>-10</v>
      </c>
      <c r="AR936" s="12">
        <f>IF($H936="Cancelled","",IFERROR(T936*INDEX(Variables!$B$7:$D$7,IFERROR(MATCH(IF($B936="Robusta","Robusta",(IF($B936="","Arabica",$B936))&amp;" - "&amp;(IF($C936="","Commercial",$C936))),Variables!$B$1:$D$1,0),1))*(AQ936/365),""))</f>
        <v>-1.7845338035211016</v>
      </c>
      <c r="AS936" s="12">
        <f>IF($H936="Cancelled","",IFERROR((T936*INDEX(Variables!$B$7:$D$7,IFERROR(MATCH(IF($B936="Robusta","Robusta",(IF($B936="","Arabica",$B936))&amp;" - "&amp;(IF($C936="","Commercial",$C936))),Variables!$B$1:$D$1,0),1))*IFERROR(IF(W936="","",(AVERAGE(E936:F936)-W936)-Variables!$B$14),"")/365)+(L936/16.67*INDEX(Variables!$B$8:$D$8,IFERROR(MATCH(IF($B936="Robusta","Robusta",(IF($B936="","Arabica",$B936))&amp;" - "&amp;(IF($C936="","Commercial",$C936))),Variables!$B$1:$D$1,0),1))*IFERROR(IF(W936="","",(AVERAGE(E936:F936)-W936)-Variables!$B$14),""))+(T936*INDEX(Variables!$B$9:$D$9,IFERROR(MATCH(IF($B936="Robusta","Robusta",(IF($B936="","Arabica",$B936))&amp;" - "&amp;(IF($C936="","Commercial",$C936))),Variables!$B$1:$D$1,0),1))*IFERROR(IF(W936="","",(AVERAGE(E936:F936)-W936)-Variables!$B$14),"")/365),""))</f>
        <v>-0.56150797763189064</v>
      </c>
      <c r="AT936" s="12">
        <f>IF($H936="Cancelled","",IFERROR((T936*INDEX(Variables!$B$7:$D$7,IFERROR(MATCH(IF($B936="Robusta","Robusta",(IF($B936="","Arabica",$B936))&amp;" - "&amp;(IF($C936="","Commercial",$C936))),Variables!$B$1:$D$1,0),1))*AC936/365)+(L936/16.67*INDEX(Variables!$B$8:$D$8,IFERROR(MATCH(IF($B936="Robusta","Robusta",(IF($B936="","Arabica",$B936))&amp;" - "&amp;(IF($C936="","Commercial",$C936))),Variables!$B$1:$D$1,0),1))*AC936)+(T936*INDEX(Variables!$B$9:$D$9,IFERROR(MATCH(IF($B936="Robusta","Robusta",(IF($B936="","Arabica",$B936))&amp;" - "&amp;(IF($C936="","Commercial",$C936))),Variables!$B$1:$D$1,0),1))*AC936/365),""))</f>
        <v>-3.3690478657913441</v>
      </c>
      <c r="AU936" s="12">
        <f>IF($H936="Cancelled","",IFERROR((T936*INDEX(Variables!$B$7:$D$7,IFERROR(MATCH(IF($B936="Robusta","Robusta",(IF($B936="","Arabica",$B936))&amp;" - "&amp;(IF($C936="","Commercial",$C936))),Variables!$B$1:$D$1,0),1))*AP936/365)+(L936/16.67*INDEX(Variables!$B$8:$D$8,IFERROR(MATCH(IF($B936="Robusta","Robusta",(IF($B936="","Arabica",$B936))&amp;" - "&amp;(IF($C936="","Commercial",$C936))),Variables!$B$1:$D$1,0),1))*AP936)+(T936*INDEX(Variables!$B$9:$D$9,IFERROR(MATCH(IF($B936="Robusta","Robusta",(IF($B936="","Arabica",$B936))&amp;" - "&amp;(IF($C936="","Commercial",$C936))),Variables!$B$1:$D$1,0),1))*AP936/365),""))</f>
        <v>-2.8075398881594529</v>
      </c>
      <c r="AV936" s="11">
        <f t="shared" si="90"/>
        <v>-15</v>
      </c>
      <c r="AW936" s="12">
        <f>IF($H936="Cancelled","",IFERROR(IF(AV936="","",(T936*INDEX(Variables!$B$7:$D$7,IFERROR(MATCH(IF($B936="Robusta","Robusta",(IF($B936="","Arabica",$B936))&amp;" - "&amp;(IF($C936="","Commercial",$C936))),Variables!$B$1:$D$1,0),1))*(AV936/365))+(T936*INDEX(Variables!$B$9:$D$9,IFERROR(MATCH(IF($B936="Robusta","Robusta",(IF($B936="","Arabica",$B936))&amp;" - "&amp;(IF($C936="","Commercial",$C936))),Variables!$B$1:$D$1,0),1))*(AV936/365))+(INDEX(Variables!$B$8:$D$8,IFERROR(MATCH(IF($B936="Robusta","Robusta",(IF($B936="","Arabica",$B936))&amp;" - "&amp;(IF($C936="","Commercial",$C936))),Variables!$B$1:$D$1,0),1))*L936/16.67)),""))</f>
        <v>-2.6113098322391792</v>
      </c>
      <c r="AX936" s="9"/>
      <c r="AY936" s="12"/>
      <c r="AZ936" s="10"/>
      <c r="BA936" s="9"/>
      <c r="BB936" s="10"/>
      <c r="BC936" s="9"/>
      <c r="BD936" s="9"/>
      <c r="BE936" s="9"/>
      <c r="BF936" s="9"/>
    </row>
    <row r="937" spans="1:58" x14ac:dyDescent="0.25">
      <c r="A937" s="9" t="s">
        <v>84</v>
      </c>
      <c r="B937" s="9" t="s">
        <v>85</v>
      </c>
      <c r="C937" s="9" t="s">
        <v>1486</v>
      </c>
      <c r="D937" s="10">
        <v>45693</v>
      </c>
      <c r="E937" s="10">
        <v>45689</v>
      </c>
      <c r="F937" s="10">
        <v>45747</v>
      </c>
      <c r="G937" s="9">
        <v>3786672</v>
      </c>
      <c r="H937" s="9" t="str">
        <f t="shared" si="88"/>
        <v>Closed</v>
      </c>
      <c r="I937" s="9" t="str">
        <f t="shared" si="89"/>
        <v>All dates received</v>
      </c>
      <c r="J937" s="9" t="s">
        <v>102</v>
      </c>
      <c r="K937" s="9" t="s">
        <v>2007</v>
      </c>
      <c r="L937" s="11">
        <v>2</v>
      </c>
      <c r="M937" s="9" t="s">
        <v>2008</v>
      </c>
      <c r="N937" s="9"/>
      <c r="O937" s="9"/>
      <c r="P937" s="9"/>
      <c r="Q937" s="11">
        <v>131.1</v>
      </c>
      <c r="R937" s="9" t="s">
        <v>195</v>
      </c>
      <c r="S937" s="9" t="s">
        <v>554</v>
      </c>
      <c r="T937" s="12">
        <f>IF($H937="Cancelled","",IFERROR(((Q937+INDEX(Variables!$B$6:$D$6,IFERROR(MATCH(IF($B937="Robusta","Robusta",(IF($B937="","Arabica",$B937))&amp;" - "&amp;(IF($C937="","Commercial",$C937))),Variables!$B$1:$D$1,0),1)))*22.0462)*(L937/16.67),""))</f>
        <v>1115.9318272345529</v>
      </c>
      <c r="U937" s="10"/>
      <c r="V937" s="9" t="str">
        <f t="shared" si="91"/>
        <v/>
      </c>
      <c r="W937" s="10">
        <v>45690</v>
      </c>
      <c r="X937" s="9" t="str">
        <f t="shared" si="87"/>
        <v>Approved</v>
      </c>
      <c r="Y937" s="10">
        <v>45718</v>
      </c>
      <c r="Z937" s="10">
        <f>IF($H937="Cancelled","",IFERROR(IF(F937="","",F937-Variables!$B$13),""))</f>
        <v>45732</v>
      </c>
      <c r="AA937" s="11">
        <f>IF($H937="Cancelled","",IFERROR(IF(W937="","",(AVERAGE(E937:F937)-W937)-Variables!$B$14),""))</f>
        <v>-2</v>
      </c>
      <c r="AB937" s="10">
        <v>45745</v>
      </c>
      <c r="AC937" s="11">
        <f>IF($H937="Cancelled","",IFERROR(IF(AB937="","",IF(AND(W937="",Y937=""),"",IF(Y937&gt;W937,Y937+Variables!$B$15+Variables!$B$16+Variables!$B$17-AB937,W937+Variables!$B$16+Variables!$B$17-AB937))),""))</f>
        <v>-12</v>
      </c>
      <c r="AD937" s="9" t="s">
        <v>107</v>
      </c>
      <c r="AE937" s="9" t="s">
        <v>693</v>
      </c>
      <c r="AF937" s="10">
        <v>45758</v>
      </c>
      <c r="AG937" s="10"/>
      <c r="AH937" s="9"/>
      <c r="AI937" s="9" t="s">
        <v>1980</v>
      </c>
      <c r="AJ937" s="9" t="s">
        <v>8</v>
      </c>
      <c r="AK937" s="10">
        <v>45762</v>
      </c>
      <c r="AL937" s="10">
        <v>45764</v>
      </c>
      <c r="AM937" s="10">
        <v>45777</v>
      </c>
      <c r="AN937" s="9" t="s">
        <v>1492</v>
      </c>
      <c r="AO937" s="9"/>
      <c r="AP937" s="11">
        <f>IF($H937="Cancelled","",IFERROR(IF(OR(AK937="",AB937=""),"",(AB937+Variables!$B$18-AK937)),""))</f>
        <v>-10</v>
      </c>
      <c r="AQ937" s="11">
        <f>IF($H937="Cancelled","",IFERROR(IF(OR(AM937="",AK937=""),"",(AK937+Variables!$B$19)-AM937),""))</f>
        <v>-10</v>
      </c>
      <c r="AR937" s="12">
        <f>IF($H937="Cancelled","",IFERROR(T937*INDEX(Variables!$B$7:$D$7,IFERROR(MATCH(IF($B937="Robusta","Robusta",(IF($B937="","Arabica",$B937))&amp;" - "&amp;(IF($C937="","Commercial",$C937))),Variables!$B$1:$D$1,0),1))*(AQ937/365),""))</f>
        <v>-1.9714449115096955</v>
      </c>
      <c r="AS937" s="12">
        <f>IF($H937="Cancelled","",IFERROR((T937*INDEX(Variables!$B$7:$D$7,IFERROR(MATCH(IF($B937="Robusta","Robusta",(IF($B937="","Arabica",$B937))&amp;" - "&amp;(IF($C937="","Commercial",$C937))),Variables!$B$1:$D$1,0),1))*IFERROR(IF(W937="","",(AVERAGE(E937:F937)-W937)-Variables!$B$14),"")/365)+(L937/16.67*INDEX(Variables!$B$8:$D$8,IFERROR(MATCH(IF($B937="Robusta","Robusta",(IF($B937="","Arabica",$B937))&amp;" - "&amp;(IF($C937="","Commercial",$C937))),Variables!$B$1:$D$1,0),1))*IFERROR(IF(W937="","",(AVERAGE(E937:F937)-W937)-Variables!$B$14),""))+(T937*INDEX(Variables!$B$9:$D$9,IFERROR(MATCH(IF($B937="Robusta","Robusta",(IF($B937="","Arabica",$B937))&amp;" - "&amp;(IF($C937="","Commercial",$C937))),Variables!$B$1:$D$1,0),1))*IFERROR(IF(W937="","",(AVERAGE(E937:F937)-W937)-Variables!$B$14),"")/365),""))</f>
        <v>-0.59937212820867924</v>
      </c>
      <c r="AT937" s="12">
        <f>IF($H937="Cancelled","",IFERROR((T937*INDEX(Variables!$B$7:$D$7,IFERROR(MATCH(IF($B937="Robusta","Robusta",(IF($B937="","Arabica",$B937))&amp;" - "&amp;(IF($C937="","Commercial",$C937))),Variables!$B$1:$D$1,0),1))*AC937/365)+(L937/16.67*INDEX(Variables!$B$8:$D$8,IFERROR(MATCH(IF($B937="Robusta","Robusta",(IF($B937="","Arabica",$B937))&amp;" - "&amp;(IF($C937="","Commercial",$C937))),Variables!$B$1:$D$1,0),1))*AC937)+(T937*INDEX(Variables!$B$9:$D$9,IFERROR(MATCH(IF($B937="Robusta","Robusta",(IF($B937="","Arabica",$B937))&amp;" - "&amp;(IF($C937="","Commercial",$C937))),Variables!$B$1:$D$1,0),1))*AC937/365),""))</f>
        <v>-3.5962327692520759</v>
      </c>
      <c r="AU937" s="12">
        <f>IF($H937="Cancelled","",IFERROR((T937*INDEX(Variables!$B$7:$D$7,IFERROR(MATCH(IF($B937="Robusta","Robusta",(IF($B937="","Arabica",$B937))&amp;" - "&amp;(IF($C937="","Commercial",$C937))),Variables!$B$1:$D$1,0),1))*AP937/365)+(L937/16.67*INDEX(Variables!$B$8:$D$8,IFERROR(MATCH(IF($B937="Robusta","Robusta",(IF($B937="","Arabica",$B937))&amp;" - "&amp;(IF($C937="","Commercial",$C937))),Variables!$B$1:$D$1,0),1))*AP937)+(T937*INDEX(Variables!$B$9:$D$9,IFERROR(MATCH(IF($B937="Robusta","Robusta",(IF($B937="","Arabica",$B937))&amp;" - "&amp;(IF($C937="","Commercial",$C937))),Variables!$B$1:$D$1,0),1))*AP937/365),""))</f>
        <v>-2.9968606410433964</v>
      </c>
      <c r="AV937" s="11">
        <f t="shared" si="90"/>
        <v>-15</v>
      </c>
      <c r="AW937" s="12">
        <f>IF($H937="Cancelled","",IFERROR(IF(AV937="","",(T937*INDEX(Variables!$B$7:$D$7,IFERROR(MATCH(IF($B937="Robusta","Robusta",(IF($B937="","Arabica",$B937))&amp;" - "&amp;(IF($C937="","Commercial",$C937))),Variables!$B$1:$D$1,0),1))*(AV937/365))+(T937*INDEX(Variables!$B$9:$D$9,IFERROR(MATCH(IF($B937="Robusta","Robusta",(IF($B937="","Arabica",$B937))&amp;" - "&amp;(IF($C937="","Commercial",$C937))),Variables!$B$1:$D$1,0),1))*(AV937/365))+(INDEX(Variables!$B$8:$D$8,IFERROR(MATCH(IF($B937="Robusta","Robusta",(IF($B937="","Arabica",$B937))&amp;" - "&amp;(IF($C937="","Commercial",$C937))),Variables!$B$1:$D$1,0),1))*L937/16.67)),""))</f>
        <v>-2.8952909615650944</v>
      </c>
      <c r="AX937" s="9"/>
      <c r="AY937" s="12"/>
      <c r="AZ937" s="10"/>
      <c r="BA937" s="9"/>
      <c r="BB937" s="10"/>
      <c r="BC937" s="9"/>
      <c r="BD937" s="9"/>
      <c r="BE937" s="9"/>
      <c r="BF937" s="9"/>
    </row>
    <row r="938" spans="1:58" x14ac:dyDescent="0.25">
      <c r="A938" s="9" t="s">
        <v>84</v>
      </c>
      <c r="B938" s="9" t="s">
        <v>85</v>
      </c>
      <c r="C938" s="9" t="s">
        <v>1486</v>
      </c>
      <c r="D938" s="10">
        <v>45695</v>
      </c>
      <c r="E938" s="10">
        <v>45717</v>
      </c>
      <c r="F938" s="10">
        <v>45747</v>
      </c>
      <c r="G938" s="9">
        <v>3786687</v>
      </c>
      <c r="H938" s="9" t="str">
        <f t="shared" si="88"/>
        <v>Closed</v>
      </c>
      <c r="I938" s="9" t="str">
        <f t="shared" si="89"/>
        <v>All dates received</v>
      </c>
      <c r="J938" s="9" t="s">
        <v>1487</v>
      </c>
      <c r="K938" s="9" t="s">
        <v>2009</v>
      </c>
      <c r="L938" s="11">
        <v>25</v>
      </c>
      <c r="M938" s="9" t="s">
        <v>2010</v>
      </c>
      <c r="N938" s="9"/>
      <c r="O938" s="9"/>
      <c r="P938" s="9"/>
      <c r="Q938" s="11">
        <v>81.099999999999994</v>
      </c>
      <c r="R938" s="9" t="s">
        <v>195</v>
      </c>
      <c r="S938" s="9" t="s">
        <v>183</v>
      </c>
      <c r="T938" s="12">
        <f>IF($H938="Cancelled","",IFERROR(((Q938+INDEX(Variables!$B$6:$D$6,IFERROR(MATCH(IF($B938="Robusta","Robusta",(IF($B938="","Arabica",$B938))&amp;" - "&amp;(IF($C938="","Commercial",$C938))),Variables!$B$1:$D$1,0),1)))*22.0462)*(L938/16.67),""))</f>
        <v>12296.013467306535</v>
      </c>
      <c r="U938" s="10"/>
      <c r="V938" s="9" t="str">
        <f t="shared" si="91"/>
        <v/>
      </c>
      <c r="W938" s="10">
        <v>45690</v>
      </c>
      <c r="X938" s="9" t="str">
        <f t="shared" ref="X938:X1001" si="92">IF(ISNUMBER(W938),"Approved","")</f>
        <v>Approved</v>
      </c>
      <c r="Y938" s="10">
        <v>45708</v>
      </c>
      <c r="Z938" s="10">
        <f>IF($H938="Cancelled","",IFERROR(IF(F938="","",F938-Variables!$B$13),""))</f>
        <v>45732</v>
      </c>
      <c r="AA938" s="11">
        <f>IF($H938="Cancelled","",IFERROR(IF(W938="","",(AVERAGE(E938:F938)-W938)-Variables!$B$14),""))</f>
        <v>12</v>
      </c>
      <c r="AB938" s="10">
        <v>45723</v>
      </c>
      <c r="AC938" s="11">
        <f>IF($H938="Cancelled","",IFERROR(IF(AB938="","",IF(AND(W938="",Y938=""),"",IF(Y938&gt;W938,Y938+Variables!$B$15+Variables!$B$16+Variables!$B$17-AB938,W938+Variables!$B$16+Variables!$B$17-AB938))),""))</f>
        <v>0</v>
      </c>
      <c r="AD938" s="9" t="s">
        <v>163</v>
      </c>
      <c r="AE938" s="9" t="s">
        <v>598</v>
      </c>
      <c r="AF938" s="10">
        <v>45733</v>
      </c>
      <c r="AG938" s="10"/>
      <c r="AH938" s="9"/>
      <c r="AI938" s="9">
        <v>251075753</v>
      </c>
      <c r="AJ938" s="9" t="s">
        <v>2011</v>
      </c>
      <c r="AK938" s="10">
        <v>45738</v>
      </c>
      <c r="AL938" s="10">
        <v>45744</v>
      </c>
      <c r="AM938" s="10">
        <v>45759</v>
      </c>
      <c r="AN938" s="9" t="s">
        <v>1492</v>
      </c>
      <c r="AO938" s="9"/>
      <c r="AP938" s="11">
        <f>IF($H938="Cancelled","",IFERROR(IF(OR(AK938="",AB938=""),"",(AB938+Variables!$B$18-AK938)),""))</f>
        <v>-8</v>
      </c>
      <c r="AQ938" s="11">
        <f>IF($H938="Cancelled","",IFERROR(IF(OR(AM938="",AK938=""),"",(AK938+Variables!$B$19)-AM938),""))</f>
        <v>-16</v>
      </c>
      <c r="AR938" s="12">
        <f>IF($H938="Cancelled","",IFERROR(T938*INDEX(Variables!$B$7:$D$7,IFERROR(MATCH(IF($B938="Robusta","Robusta",(IF($B938="","Arabica",$B938))&amp;" - "&amp;(IF($C938="","Commercial",$C938))),Variables!$B$1:$D$1,0),1))*(AQ938/365),""))</f>
        <v>-34.756120530479059</v>
      </c>
      <c r="AS938" s="12">
        <f>IF($H938="Cancelled","",IFERROR((T938*INDEX(Variables!$B$7:$D$7,IFERROR(MATCH(IF($B938="Robusta","Robusta",(IF($B938="","Arabica",$B938))&amp;" - "&amp;(IF($C938="","Commercial",$C938))),Variables!$B$1:$D$1,0),1))*IFERROR(IF(W938="","",(AVERAGE(E938:F938)-W938)-Variables!$B$14),"")/365)+(L938/16.67*INDEX(Variables!$B$8:$D$8,IFERROR(MATCH(IF($B938="Robusta","Robusta",(IF($B938="","Arabica",$B938))&amp;" - "&amp;(IF($C938="","Commercial",$C938))),Variables!$B$1:$D$1,0),1))*IFERROR(IF(W938="","",(AVERAGE(E938:F938)-W938)-Variables!$B$14),""))+(T938*INDEX(Variables!$B$9:$D$9,IFERROR(MATCH(IF($B938="Robusta","Robusta",(IF($B938="","Arabica",$B938))&amp;" - "&amp;(IF($C938="","Commercial",$C938))),Variables!$B$1:$D$1,0),1))*IFERROR(IF(W938="","",(AVERAGE(E938:F938)-W938)-Variables!$B$14),"")/365),""))</f>
        <v>41.403145499076999</v>
      </c>
      <c r="AT938" s="12">
        <f>IF($H938="Cancelled","",IFERROR((T938*INDEX(Variables!$B$7:$D$7,IFERROR(MATCH(IF($B938="Robusta","Robusta",(IF($B938="","Arabica",$B938))&amp;" - "&amp;(IF($C938="","Commercial",$C938))),Variables!$B$1:$D$1,0),1))*AC938/365)+(L938/16.67*INDEX(Variables!$B$8:$D$8,IFERROR(MATCH(IF($B938="Robusta","Robusta",(IF($B938="","Arabica",$B938))&amp;" - "&amp;(IF($C938="","Commercial",$C938))),Variables!$B$1:$D$1,0),1))*AC938)+(T938*INDEX(Variables!$B$9:$D$9,IFERROR(MATCH(IF($B938="Robusta","Robusta",(IF($B938="","Arabica",$B938))&amp;" - "&amp;(IF($C938="","Commercial",$C938))),Variables!$B$1:$D$1,0),1))*AC938/365),""))</f>
        <v>0</v>
      </c>
      <c r="AU938" s="12">
        <f>IF($H938="Cancelled","",IFERROR((T938*INDEX(Variables!$B$7:$D$7,IFERROR(MATCH(IF($B938="Robusta","Robusta",(IF($B938="","Arabica",$B938))&amp;" - "&amp;(IF($C938="","Commercial",$C938))),Variables!$B$1:$D$1,0),1))*AP938/365)+(L938/16.67*INDEX(Variables!$B$8:$D$8,IFERROR(MATCH(IF($B938="Robusta","Robusta",(IF($B938="","Arabica",$B938))&amp;" - "&amp;(IF($C938="","Commercial",$C938))),Variables!$B$1:$D$1,0),1))*AP938)+(T938*INDEX(Variables!$B$9:$D$9,IFERROR(MATCH(IF($B938="Robusta","Robusta",(IF($B938="","Arabica",$B938))&amp;" - "&amp;(IF($C938="","Commercial",$C938))),Variables!$B$1:$D$1,0),1))*AP938/365),""))</f>
        <v>-27.602096999384667</v>
      </c>
      <c r="AV938" s="11">
        <f t="shared" si="90"/>
        <v>9</v>
      </c>
      <c r="AW938" s="12">
        <f>IF($H938="Cancelled","",IFERROR(IF(AV938="","",(T938*INDEX(Variables!$B$7:$D$7,IFERROR(MATCH(IF($B938="Robusta","Robusta",(IF($B938="","Arabica",$B938))&amp;" - "&amp;(IF($C938="","Commercial",$C938))),Variables!$B$1:$D$1,0),1))*(AV938/365))+(T938*INDEX(Variables!$B$9:$D$9,IFERROR(MATCH(IF($B938="Robusta","Robusta",(IF($B938="","Arabica",$B938))&amp;" - "&amp;(IF($C938="","Commercial",$C938))),Variables!$B$1:$D$1,0),1))*(AV938/365))+(INDEX(Variables!$B$8:$D$8,IFERROR(MATCH(IF($B938="Robusta","Robusta",(IF($B938="","Arabica",$B938))&amp;" - "&amp;(IF($C938="","Commercial",$C938))),Variables!$B$1:$D$1,0),1))*L938/16.67)),""))</f>
        <v>21.052359124307745</v>
      </c>
      <c r="AX938" s="9"/>
      <c r="AY938" s="12"/>
      <c r="AZ938" s="10"/>
      <c r="BA938" s="9"/>
      <c r="BB938" s="10"/>
      <c r="BC938" s="9"/>
      <c r="BD938" s="9"/>
      <c r="BE938" s="9"/>
      <c r="BF938" s="9"/>
    </row>
    <row r="939" spans="1:58" x14ac:dyDescent="0.25">
      <c r="A939" s="9" t="s">
        <v>84</v>
      </c>
      <c r="B939" s="9" t="s">
        <v>85</v>
      </c>
      <c r="C939" s="9" t="s">
        <v>1486</v>
      </c>
      <c r="D939" s="10">
        <v>45695</v>
      </c>
      <c r="E939" s="10">
        <v>45717</v>
      </c>
      <c r="F939" s="10">
        <v>45747</v>
      </c>
      <c r="G939" s="9">
        <v>3786688</v>
      </c>
      <c r="H939" s="9" t="str">
        <f t="shared" si="88"/>
        <v>Closed</v>
      </c>
      <c r="I939" s="9" t="str">
        <f t="shared" si="89"/>
        <v>All dates received</v>
      </c>
      <c r="J939" s="9" t="s">
        <v>1487</v>
      </c>
      <c r="K939" s="9" t="s">
        <v>2012</v>
      </c>
      <c r="L939" s="11">
        <v>26</v>
      </c>
      <c r="M939" s="9" t="s">
        <v>2013</v>
      </c>
      <c r="N939" s="9"/>
      <c r="O939" s="9"/>
      <c r="P939" s="9"/>
      <c r="Q939" s="11">
        <v>82.25</v>
      </c>
      <c r="R939" s="9" t="s">
        <v>195</v>
      </c>
      <c r="S939" s="9" t="s">
        <v>183</v>
      </c>
      <c r="T939" s="12">
        <f>IF($H939="Cancelled","",IFERROR(((Q939+INDEX(Variables!$B$6:$D$6,IFERROR(MATCH(IF($B939="Robusta","Robusta",(IF($B939="","Arabica",$B939))&amp;" - "&amp;(IF($C939="","Commercial",$C939))),Variables!$B$1:$D$1,0),1)))*22.0462)*(L939/16.67),""))</f>
        <v>12827.396980203957</v>
      </c>
      <c r="U939" s="10"/>
      <c r="V939" s="9" t="str">
        <f t="shared" si="91"/>
        <v/>
      </c>
      <c r="W939" s="10">
        <v>45690</v>
      </c>
      <c r="X939" s="9" t="str">
        <f t="shared" si="92"/>
        <v>Approved</v>
      </c>
      <c r="Y939" s="10">
        <v>45708</v>
      </c>
      <c r="Z939" s="10">
        <f>IF($H939="Cancelled","",IFERROR(IF(F939="","",F939-Variables!$B$13),""))</f>
        <v>45732</v>
      </c>
      <c r="AA939" s="11">
        <f>IF($H939="Cancelled","",IFERROR(IF(W939="","",(AVERAGE(E939:F939)-W939)-Variables!$B$14),""))</f>
        <v>12</v>
      </c>
      <c r="AB939" s="10">
        <v>45723</v>
      </c>
      <c r="AC939" s="11">
        <f>IF($H939="Cancelled","",IFERROR(IF(AB939="","",IF(AND(W939="",Y939=""),"",IF(Y939&gt;W939,Y939+Variables!$B$15+Variables!$B$16+Variables!$B$17-AB939,W939+Variables!$B$16+Variables!$B$17-AB939))),""))</f>
        <v>0</v>
      </c>
      <c r="AD939" s="9" t="s">
        <v>163</v>
      </c>
      <c r="AE939" s="9" t="s">
        <v>598</v>
      </c>
      <c r="AF939" s="10">
        <v>45733</v>
      </c>
      <c r="AG939" s="10"/>
      <c r="AH939" s="9"/>
      <c r="AI939" s="9">
        <v>251075753</v>
      </c>
      <c r="AJ939" s="9" t="s">
        <v>2011</v>
      </c>
      <c r="AK939" s="10">
        <v>45738</v>
      </c>
      <c r="AL939" s="10">
        <v>45744</v>
      </c>
      <c r="AM939" s="10">
        <v>45759</v>
      </c>
      <c r="AN939" s="9" t="s">
        <v>1492</v>
      </c>
      <c r="AO939" s="9"/>
      <c r="AP939" s="11">
        <f>IF($H939="Cancelled","",IFERROR(IF(OR(AK939="",AB939=""),"",(AB939+Variables!$B$18-AK939)),""))</f>
        <v>-8</v>
      </c>
      <c r="AQ939" s="11">
        <f>IF($H939="Cancelled","",IFERROR(IF(OR(AM939="",AK939=""),"",(AK939+Variables!$B$19)-AM939),""))</f>
        <v>-16</v>
      </c>
      <c r="AR939" s="12">
        <f>IF($H939="Cancelled","",IFERROR(T939*INDEX(Variables!$B$7:$D$7,IFERROR(MATCH(IF($B939="Robusta","Robusta",(IF($B939="","Arabica",$B939))&amp;" - "&amp;(IF($C939="","Commercial",$C939))),Variables!$B$1:$D$1,0),1))*(AQ939/365),""))</f>
        <v>-36.258138194275404</v>
      </c>
      <c r="AS939" s="12">
        <f>IF($H939="Cancelled","",IFERROR((T939*INDEX(Variables!$B$7:$D$7,IFERROR(MATCH(IF($B939="Robusta","Robusta",(IF($B939="","Arabica",$B939))&amp;" - "&amp;(IF($C939="","Commercial",$C939))),Variables!$B$1:$D$1,0),1))*IFERROR(IF(W939="","",(AVERAGE(E939:F939)-W939)-Variables!$B$14),"")/365)+(L939/16.67*INDEX(Variables!$B$8:$D$8,IFERROR(MATCH(IF($B939="Robusta","Robusta",(IF($B939="","Arabica",$B939))&amp;" - "&amp;(IF($C939="","Commercial",$C939))),Variables!$B$1:$D$1,0),1))*IFERROR(IF(W939="","",(AVERAGE(E939:F939)-W939)-Variables!$B$14),""))+(T939*INDEX(Variables!$B$9:$D$9,IFERROR(MATCH(IF($B939="Robusta","Robusta",(IF($B939="","Arabica",$B939))&amp;" - "&amp;(IF($C939="","Commercial",$C939))),Variables!$B$1:$D$1,0),1))*IFERROR(IF(W939="","",(AVERAGE(E939:F939)-W939)-Variables!$B$14),"")/365),""))</f>
        <v>43.144181676708534</v>
      </c>
      <c r="AT939" s="12">
        <f>IF($H939="Cancelled","",IFERROR((T939*INDEX(Variables!$B$7:$D$7,IFERROR(MATCH(IF($B939="Robusta","Robusta",(IF($B939="","Arabica",$B939))&amp;" - "&amp;(IF($C939="","Commercial",$C939))),Variables!$B$1:$D$1,0),1))*AC939/365)+(L939/16.67*INDEX(Variables!$B$8:$D$8,IFERROR(MATCH(IF($B939="Robusta","Robusta",(IF($B939="","Arabica",$B939))&amp;" - "&amp;(IF($C939="","Commercial",$C939))),Variables!$B$1:$D$1,0),1))*AC939)+(T939*INDEX(Variables!$B$9:$D$9,IFERROR(MATCH(IF($B939="Robusta","Robusta",(IF($B939="","Arabica",$B939))&amp;" - "&amp;(IF($C939="","Commercial",$C939))),Variables!$B$1:$D$1,0),1))*AC939/365),""))</f>
        <v>0</v>
      </c>
      <c r="AU939" s="12">
        <f>IF($H939="Cancelled","",IFERROR((T939*INDEX(Variables!$B$7:$D$7,IFERROR(MATCH(IF($B939="Robusta","Robusta",(IF($B939="","Arabica",$B939))&amp;" - "&amp;(IF($C939="","Commercial",$C939))),Variables!$B$1:$D$1,0),1))*AP939/365)+(L939/16.67*INDEX(Variables!$B$8:$D$8,IFERROR(MATCH(IF($B939="Robusta","Robusta",(IF($B939="","Arabica",$B939))&amp;" - "&amp;(IF($C939="","Commercial",$C939))),Variables!$B$1:$D$1,0),1))*AP939)+(T939*INDEX(Variables!$B$9:$D$9,IFERROR(MATCH(IF($B939="Robusta","Robusta",(IF($B939="","Arabica",$B939))&amp;" - "&amp;(IF($C939="","Commercial",$C939))),Variables!$B$1:$D$1,0),1))*AP939/365),""))</f>
        <v>-28.762787784472359</v>
      </c>
      <c r="AV939" s="11">
        <f t="shared" si="90"/>
        <v>9</v>
      </c>
      <c r="AW939" s="12">
        <f>IF($H939="Cancelled","",IFERROR(IF(AV939="","",(T939*INDEX(Variables!$B$7:$D$7,IFERROR(MATCH(IF($B939="Robusta","Robusta",(IF($B939="","Arabica",$B939))&amp;" - "&amp;(IF($C939="","Commercial",$C939))),Variables!$B$1:$D$1,0),1))*(AV939/365))+(T939*INDEX(Variables!$B$9:$D$9,IFERROR(MATCH(IF($B939="Robusta","Robusta",(IF($B939="","Arabica",$B939))&amp;" - "&amp;(IF($C939="","Commercial",$C939))),Variables!$B$1:$D$1,0),1))*(AV939/365))+(INDEX(Variables!$B$8:$D$8,IFERROR(MATCH(IF($B939="Robusta","Robusta",(IF($B939="","Arabica",$B939))&amp;" - "&amp;(IF($C939="","Commercial",$C939))),Variables!$B$1:$D$1,0),1))*L939/16.67)),""))</f>
        <v>21.9581362575314</v>
      </c>
      <c r="AX939" s="9"/>
      <c r="AY939" s="12"/>
      <c r="AZ939" s="10"/>
      <c r="BA939" s="9"/>
      <c r="BB939" s="10"/>
      <c r="BC939" s="9"/>
      <c r="BD939" s="9"/>
      <c r="BE939" s="9"/>
      <c r="BF939" s="9"/>
    </row>
    <row r="940" spans="1:58" x14ac:dyDescent="0.25">
      <c r="A940" s="9" t="s">
        <v>84</v>
      </c>
      <c r="B940" s="9" t="s">
        <v>85</v>
      </c>
      <c r="C940" s="9" t="s">
        <v>1486</v>
      </c>
      <c r="D940" s="10">
        <v>45695</v>
      </c>
      <c r="E940" s="10">
        <v>45717</v>
      </c>
      <c r="F940" s="10">
        <v>45747</v>
      </c>
      <c r="G940" s="9">
        <v>3786689</v>
      </c>
      <c r="H940" s="9" t="str">
        <f t="shared" si="88"/>
        <v>Closed</v>
      </c>
      <c r="I940" s="9" t="str">
        <f t="shared" si="89"/>
        <v>All dates received</v>
      </c>
      <c r="J940" s="9" t="s">
        <v>1487</v>
      </c>
      <c r="K940" s="9" t="s">
        <v>2014</v>
      </c>
      <c r="L940" s="11">
        <v>35</v>
      </c>
      <c r="M940" s="9" t="s">
        <v>2015</v>
      </c>
      <c r="N940" s="9"/>
      <c r="O940" s="9"/>
      <c r="P940" s="9"/>
      <c r="Q940" s="11">
        <v>87.25</v>
      </c>
      <c r="R940" s="9" t="s">
        <v>195</v>
      </c>
      <c r="S940" s="9" t="s">
        <v>183</v>
      </c>
      <c r="T940" s="12">
        <f>IF($H940="Cancelled","",IFERROR(((Q940+INDEX(Variables!$B$6:$D$6,IFERROR(MATCH(IF($B940="Robusta","Robusta",(IF($B940="","Arabica",$B940))&amp;" - "&amp;(IF($C940="","Commercial",$C940))),Variables!$B$1:$D$1,0),1)))*22.0462)*(L940/16.67),""))</f>
        <v>17499.08859328134</v>
      </c>
      <c r="U940" s="10"/>
      <c r="V940" s="9" t="str">
        <f t="shared" si="91"/>
        <v/>
      </c>
      <c r="W940" s="10">
        <v>45690</v>
      </c>
      <c r="X940" s="9" t="str">
        <f t="shared" si="92"/>
        <v>Approved</v>
      </c>
      <c r="Y940" s="10">
        <v>45716</v>
      </c>
      <c r="Z940" s="10">
        <f>IF($H940="Cancelled","",IFERROR(IF(F940="","",F940-Variables!$B$13),""))</f>
        <v>45732</v>
      </c>
      <c r="AA940" s="11">
        <f>IF($H940="Cancelled","",IFERROR(IF(W940="","",(AVERAGE(E940:F940)-W940)-Variables!$B$14),""))</f>
        <v>12</v>
      </c>
      <c r="AB940" s="10">
        <v>45723</v>
      </c>
      <c r="AC940" s="11">
        <f>IF($H940="Cancelled","",IFERROR(IF(AB940="","",IF(AND(W940="",Y940=""),"",IF(Y940&gt;W940,Y940+Variables!$B$15+Variables!$B$16+Variables!$B$17-AB940,W940+Variables!$B$16+Variables!$B$17-AB940))),""))</f>
        <v>8</v>
      </c>
      <c r="AD940" s="9" t="s">
        <v>163</v>
      </c>
      <c r="AE940" s="9" t="s">
        <v>598</v>
      </c>
      <c r="AF940" s="10">
        <v>45733</v>
      </c>
      <c r="AG940" s="10"/>
      <c r="AH940" s="9"/>
      <c r="AI940" s="9">
        <v>251075753</v>
      </c>
      <c r="AJ940" s="9" t="s">
        <v>2011</v>
      </c>
      <c r="AK940" s="10">
        <v>45738</v>
      </c>
      <c r="AL940" s="10">
        <v>45744</v>
      </c>
      <c r="AM940" s="10">
        <v>45759</v>
      </c>
      <c r="AN940" s="9" t="s">
        <v>1492</v>
      </c>
      <c r="AO940" s="9"/>
      <c r="AP940" s="11">
        <f>IF($H940="Cancelled","",IFERROR(IF(OR(AK940="",AB940=""),"",(AB940+Variables!$B$18-AK940)),""))</f>
        <v>-8</v>
      </c>
      <c r="AQ940" s="11">
        <f>IF($H940="Cancelled","",IFERROR(IF(OR(AM940="",AK940=""),"",(AK940+Variables!$B$19)-AM940),""))</f>
        <v>-16</v>
      </c>
      <c r="AR940" s="12">
        <f>IF($H940="Cancelled","",IFERROR(T940*INDEX(Variables!$B$7:$D$7,IFERROR(MATCH(IF($B940="Robusta","Robusta",(IF($B940="","Arabica",$B940))&amp;" - "&amp;(IF($C940="","Commercial",$C940))),Variables!$B$1:$D$1,0),1))*(AQ940/365),""))</f>
        <v>-49.463221062561587</v>
      </c>
      <c r="AS940" s="12">
        <f>IF($H940="Cancelled","",IFERROR((T940*INDEX(Variables!$B$7:$D$7,IFERROR(MATCH(IF($B940="Robusta","Robusta",(IF($B940="","Arabica",$B940))&amp;" - "&amp;(IF($C940="","Commercial",$C940))),Variables!$B$1:$D$1,0),1))*IFERROR(IF(W940="","",(AVERAGE(E940:F940)-W940)-Variables!$B$14),"")/365)+(L940/16.67*INDEX(Variables!$B$8:$D$8,IFERROR(MATCH(IF($B940="Robusta","Robusta",(IF($B940="","Arabica",$B940))&amp;" - "&amp;(IF($C940="","Commercial",$C940))),Variables!$B$1:$D$1,0),1))*IFERROR(IF(W940="","",(AVERAGE(E940:F940)-W940)-Variables!$B$14),""))+(T940*INDEX(Variables!$B$9:$D$9,IFERROR(MATCH(IF($B940="Robusta","Robusta",(IF($B940="","Arabica",$B940))&amp;" - "&amp;(IF($C940="","Commercial",$C940))),Variables!$B$1:$D$1,0),1))*IFERROR(IF(W940="","",(AVERAGE(E940:F940)-W940)-Variables!$B$14),"")/365),""))</f>
        <v>58.57567307958184</v>
      </c>
      <c r="AT940" s="12">
        <f>IF($H940="Cancelled","",IFERROR((T940*INDEX(Variables!$B$7:$D$7,IFERROR(MATCH(IF($B940="Robusta","Robusta",(IF($B940="","Arabica",$B940))&amp;" - "&amp;(IF($C940="","Commercial",$C940))),Variables!$B$1:$D$1,0),1))*AC940/365)+(L940/16.67*INDEX(Variables!$B$8:$D$8,IFERROR(MATCH(IF($B940="Robusta","Robusta",(IF($B940="","Arabica",$B940))&amp;" - "&amp;(IF($C940="","Commercial",$C940))),Variables!$B$1:$D$1,0),1))*AC940)+(T940*INDEX(Variables!$B$9:$D$9,IFERROR(MATCH(IF($B940="Robusta","Robusta",(IF($B940="","Arabica",$B940))&amp;" - "&amp;(IF($C940="","Commercial",$C940))),Variables!$B$1:$D$1,0),1))*AC940/365),""))</f>
        <v>39.050448719721224</v>
      </c>
      <c r="AU940" s="12">
        <f>IF($H940="Cancelled","",IFERROR((T940*INDEX(Variables!$B$7:$D$7,IFERROR(MATCH(IF($B940="Robusta","Robusta",(IF($B940="","Arabica",$B940))&amp;" - "&amp;(IF($C940="","Commercial",$C940))),Variables!$B$1:$D$1,0),1))*AP940/365)+(L940/16.67*INDEX(Variables!$B$8:$D$8,IFERROR(MATCH(IF($B940="Robusta","Robusta",(IF($B940="","Arabica",$B940))&amp;" - "&amp;(IF($C940="","Commercial",$C940))),Variables!$B$1:$D$1,0),1))*AP940)+(T940*INDEX(Variables!$B$9:$D$9,IFERROR(MATCH(IF($B940="Robusta","Robusta",(IF($B940="","Arabica",$B940))&amp;" - "&amp;(IF($C940="","Commercial",$C940))),Variables!$B$1:$D$1,0),1))*AP940/365),""))</f>
        <v>-39.050448719721224</v>
      </c>
      <c r="AV940" s="11">
        <f t="shared" si="90"/>
        <v>9</v>
      </c>
      <c r="AW940" s="12">
        <f>IF($H940="Cancelled","",IFERROR(IF(AV940="","",(T940*INDEX(Variables!$B$7:$D$7,IFERROR(MATCH(IF($B940="Robusta","Robusta",(IF($B940="","Arabica",$B940))&amp;" - "&amp;(IF($C940="","Commercial",$C940))),Variables!$B$1:$D$1,0),1))*(AV940/365))+(T940*INDEX(Variables!$B$9:$D$9,IFERROR(MATCH(IF($B940="Robusta","Robusta",(IF($B940="","Arabica",$B940))&amp;" - "&amp;(IF($C940="","Commercial",$C940))),Variables!$B$1:$D$1,0),1))*(AV940/365))+(INDEX(Variables!$B$8:$D$8,IFERROR(MATCH(IF($B940="Robusta","Robusta",(IF($B940="","Arabica",$B940))&amp;" - "&amp;(IF($C940="","Commercial",$C940))),Variables!$B$1:$D$1,0),1))*L940/16.67)),""))</f>
        <v>29.931754809686378</v>
      </c>
      <c r="AX940" s="9"/>
      <c r="AY940" s="12"/>
      <c r="AZ940" s="10"/>
      <c r="BA940" s="9"/>
      <c r="BB940" s="10"/>
      <c r="BC940" s="9"/>
      <c r="BD940" s="9"/>
      <c r="BE940" s="9"/>
      <c r="BF940" s="9"/>
    </row>
    <row r="941" spans="1:58" x14ac:dyDescent="0.25">
      <c r="A941" s="9" t="s">
        <v>84</v>
      </c>
      <c r="B941" s="9" t="s">
        <v>85</v>
      </c>
      <c r="C941" s="9" t="s">
        <v>1486</v>
      </c>
      <c r="D941" s="10">
        <v>45695</v>
      </c>
      <c r="E941" s="10">
        <v>45717</v>
      </c>
      <c r="F941" s="10">
        <v>45747</v>
      </c>
      <c r="G941" s="9">
        <v>3786690</v>
      </c>
      <c r="H941" s="9" t="str">
        <f t="shared" si="88"/>
        <v>Closed</v>
      </c>
      <c r="I941" s="9" t="str">
        <f t="shared" si="89"/>
        <v>All dates received</v>
      </c>
      <c r="J941" s="9" t="s">
        <v>1487</v>
      </c>
      <c r="K941" s="9" t="s">
        <v>2016</v>
      </c>
      <c r="L941" s="11">
        <v>20</v>
      </c>
      <c r="M941" s="9" t="s">
        <v>2017</v>
      </c>
      <c r="N941" s="9"/>
      <c r="O941" s="9"/>
      <c r="P941" s="9"/>
      <c r="Q941" s="11">
        <v>88.25</v>
      </c>
      <c r="R941" s="9" t="s">
        <v>195</v>
      </c>
      <c r="S941" s="9" t="s">
        <v>183</v>
      </c>
      <c r="T941" s="12">
        <f>IF($H941="Cancelled","",IFERROR(((Q941+INDEX(Variables!$B$6:$D$6,IFERROR(MATCH(IF($B941="Robusta","Robusta",(IF($B941="","Arabica",$B941))&amp;" - "&amp;(IF($C941="","Commercial",$C941))),Variables!$B$1:$D$1,0),1)))*22.0462)*(L941/16.67),""))</f>
        <v>10025.929346130773</v>
      </c>
      <c r="U941" s="10"/>
      <c r="V941" s="9" t="str">
        <f t="shared" si="91"/>
        <v/>
      </c>
      <c r="W941" s="10">
        <v>45690</v>
      </c>
      <c r="X941" s="9" t="str">
        <f t="shared" si="92"/>
        <v>Approved</v>
      </c>
      <c r="Y941" s="10">
        <v>45716</v>
      </c>
      <c r="Z941" s="10">
        <f>IF($H941="Cancelled","",IFERROR(IF(F941="","",F941-Variables!$B$13),""))</f>
        <v>45732</v>
      </c>
      <c r="AA941" s="11">
        <f>IF($H941="Cancelled","",IFERROR(IF(W941="","",(AVERAGE(E941:F941)-W941)-Variables!$B$14),""))</f>
        <v>12</v>
      </c>
      <c r="AB941" s="10">
        <v>45723</v>
      </c>
      <c r="AC941" s="11">
        <f>IF($H941="Cancelled","",IFERROR(IF(AB941="","",IF(AND(W941="",Y941=""),"",IF(Y941&gt;W941,Y941+Variables!$B$15+Variables!$B$16+Variables!$B$17-AB941,W941+Variables!$B$16+Variables!$B$17-AB941))),""))</f>
        <v>8</v>
      </c>
      <c r="AD941" s="9" t="s">
        <v>163</v>
      </c>
      <c r="AE941" s="9" t="s">
        <v>598</v>
      </c>
      <c r="AF941" s="10">
        <v>45733</v>
      </c>
      <c r="AG941" s="10"/>
      <c r="AH941" s="9"/>
      <c r="AI941" s="9">
        <v>251075753</v>
      </c>
      <c r="AJ941" s="9" t="s">
        <v>2011</v>
      </c>
      <c r="AK941" s="10">
        <v>45738</v>
      </c>
      <c r="AL941" s="10">
        <v>45744</v>
      </c>
      <c r="AM941" s="10">
        <v>45759</v>
      </c>
      <c r="AN941" s="9" t="s">
        <v>1492</v>
      </c>
      <c r="AO941" s="9"/>
      <c r="AP941" s="11">
        <f>IF($H941="Cancelled","",IFERROR(IF(OR(AK941="",AB941=""),"",(AB941+Variables!$B$18-AK941)),""))</f>
        <v>-8</v>
      </c>
      <c r="AQ941" s="11">
        <f>IF($H941="Cancelled","",IFERROR(IF(OR(AM941="",AK941=""),"",(AK941+Variables!$B$19)-AM941),""))</f>
        <v>-16</v>
      </c>
      <c r="AR941" s="12">
        <f>IF($H941="Cancelled","",IFERROR(T941*INDEX(Variables!$B$7:$D$7,IFERROR(MATCH(IF($B941="Robusta","Robusta",(IF($B941="","Arabica",$B941))&amp;" - "&amp;(IF($C941="","Commercial",$C941))),Variables!$B$1:$D$1,0),1))*(AQ941/365),""))</f>
        <v>-28.339462193230634</v>
      </c>
      <c r="AS941" s="12">
        <f>IF($H941="Cancelled","",IFERROR((T941*INDEX(Variables!$B$7:$D$7,IFERROR(MATCH(IF($B941="Robusta","Robusta",(IF($B941="","Arabica",$B941))&amp;" - "&amp;(IF($C941="","Commercial",$C941))),Variables!$B$1:$D$1,0),1))*IFERROR(IF(W941="","",(AVERAGE(E941:F941)-W941)-Variables!$B$14),"")/365)+(L941/16.67*INDEX(Variables!$B$8:$D$8,IFERROR(MATCH(IF($B941="Robusta","Robusta",(IF($B941="","Arabica",$B941))&amp;" - "&amp;(IF($C941="","Commercial",$C941))),Variables!$B$1:$D$1,0),1))*IFERROR(IF(W941="","",(AVERAGE(E941:F941)-W941)-Variables!$B$14),""))+(T941*INDEX(Variables!$B$9:$D$9,IFERROR(MATCH(IF($B941="Robusta","Robusta",(IF($B941="","Arabica",$B941))&amp;" - "&amp;(IF($C941="","Commercial",$C941))),Variables!$B$1:$D$1,0),1))*IFERROR(IF(W941="","",(AVERAGE(E941:F941)-W941)-Variables!$B$14),"")/365),""))</f>
        <v>33.52860941419766</v>
      </c>
      <c r="AT941" s="12">
        <f>IF($H941="Cancelled","",IFERROR((T941*INDEX(Variables!$B$7:$D$7,IFERROR(MATCH(IF($B941="Robusta","Robusta",(IF($B941="","Arabica",$B941))&amp;" - "&amp;(IF($C941="","Commercial",$C941))),Variables!$B$1:$D$1,0),1))*AC941/365)+(L941/16.67*INDEX(Variables!$B$8:$D$8,IFERROR(MATCH(IF($B941="Robusta","Robusta",(IF($B941="","Arabica",$B941))&amp;" - "&amp;(IF($C941="","Commercial",$C941))),Variables!$B$1:$D$1,0),1))*AC941)+(T941*INDEX(Variables!$B$9:$D$9,IFERROR(MATCH(IF($B941="Robusta","Robusta",(IF($B941="","Arabica",$B941))&amp;" - "&amp;(IF($C941="","Commercial",$C941))),Variables!$B$1:$D$1,0),1))*AC941/365),""))</f>
        <v>22.352406276131777</v>
      </c>
      <c r="AU941" s="12">
        <f>IF($H941="Cancelled","",IFERROR((T941*INDEX(Variables!$B$7:$D$7,IFERROR(MATCH(IF($B941="Robusta","Robusta",(IF($B941="","Arabica",$B941))&amp;" - "&amp;(IF($C941="","Commercial",$C941))),Variables!$B$1:$D$1,0),1))*AP941/365)+(L941/16.67*INDEX(Variables!$B$8:$D$8,IFERROR(MATCH(IF($B941="Robusta","Robusta",(IF($B941="","Arabica",$B941))&amp;" - "&amp;(IF($C941="","Commercial",$C941))),Variables!$B$1:$D$1,0),1))*AP941)+(T941*INDEX(Variables!$B$9:$D$9,IFERROR(MATCH(IF($B941="Robusta","Robusta",(IF($B941="","Arabica",$B941))&amp;" - "&amp;(IF($C941="","Commercial",$C941))),Variables!$B$1:$D$1,0),1))*AP941/365),""))</f>
        <v>-22.352406276131777</v>
      </c>
      <c r="AV941" s="11">
        <f t="shared" si="90"/>
        <v>9</v>
      </c>
      <c r="AW941" s="12">
        <f>IF($H941="Cancelled","",IFERROR(IF(AV941="","",(T941*INDEX(Variables!$B$7:$D$7,IFERROR(MATCH(IF($B941="Robusta","Robusta",(IF($B941="","Arabica",$B941))&amp;" - "&amp;(IF($C941="","Commercial",$C941))),Variables!$B$1:$D$1,0),1))*(AV941/365))+(T941*INDEX(Variables!$B$9:$D$9,IFERROR(MATCH(IF($B941="Robusta","Robusta",(IF($B941="","Arabica",$B941))&amp;" - "&amp;(IF($C941="","Commercial",$C941))),Variables!$B$1:$D$1,0),1))*(AV941/365))+(INDEX(Variables!$B$8:$D$8,IFERROR(MATCH(IF($B941="Robusta","Robusta",(IF($B941="","Arabica",$B941))&amp;" - "&amp;(IF($C941="","Commercial",$C941))),Variables!$B$1:$D$1,0),1))*L941/16.67)),""))</f>
        <v>17.146457060648249</v>
      </c>
      <c r="AX941" s="9"/>
      <c r="AY941" s="12"/>
      <c r="AZ941" s="10"/>
      <c r="BA941" s="9"/>
      <c r="BB941" s="10"/>
      <c r="BC941" s="9"/>
      <c r="BD941" s="9"/>
      <c r="BE941" s="9"/>
      <c r="BF941" s="9"/>
    </row>
    <row r="942" spans="1:58" x14ac:dyDescent="0.25">
      <c r="A942" s="9" t="s">
        <v>84</v>
      </c>
      <c r="B942" s="9" t="s">
        <v>85</v>
      </c>
      <c r="C942" s="9" t="s">
        <v>1486</v>
      </c>
      <c r="D942" s="10">
        <v>45695</v>
      </c>
      <c r="E942" s="10">
        <v>45717</v>
      </c>
      <c r="F942" s="10">
        <v>45747</v>
      </c>
      <c r="G942" s="9">
        <v>3786691</v>
      </c>
      <c r="H942" s="9" t="str">
        <f t="shared" si="88"/>
        <v>Closed</v>
      </c>
      <c r="I942" s="9" t="str">
        <f t="shared" si="89"/>
        <v>All dates received</v>
      </c>
      <c r="J942" s="9" t="s">
        <v>1487</v>
      </c>
      <c r="K942" s="9" t="s">
        <v>2018</v>
      </c>
      <c r="L942" s="11">
        <v>25</v>
      </c>
      <c r="M942" s="9" t="s">
        <v>2019</v>
      </c>
      <c r="N942" s="9"/>
      <c r="O942" s="9"/>
      <c r="P942" s="9"/>
      <c r="Q942" s="11">
        <v>83.25</v>
      </c>
      <c r="R942" s="9" t="s">
        <v>195</v>
      </c>
      <c r="S942" s="9" t="s">
        <v>183</v>
      </c>
      <c r="T942" s="12">
        <f>IF($H942="Cancelled","",IFERROR(((Q942+INDEX(Variables!$B$6:$D$6,IFERROR(MATCH(IF($B942="Robusta","Robusta",(IF($B942="","Arabica",$B942))&amp;" - "&amp;(IF($C942="","Commercial",$C942))),Variables!$B$1:$D$1,0),1)))*22.0462)*(L942/16.67),""))</f>
        <v>12367.098245350928</v>
      </c>
      <c r="U942" s="10"/>
      <c r="V942" s="9" t="str">
        <f t="shared" si="91"/>
        <v/>
      </c>
      <c r="W942" s="10">
        <v>45690</v>
      </c>
      <c r="X942" s="9" t="str">
        <f t="shared" si="92"/>
        <v>Approved</v>
      </c>
      <c r="Y942" s="10">
        <v>45716</v>
      </c>
      <c r="Z942" s="10">
        <f>IF($H942="Cancelled","",IFERROR(IF(F942="","",F942-Variables!$B$13),""))</f>
        <v>45732</v>
      </c>
      <c r="AA942" s="11">
        <f>IF($H942="Cancelled","",IFERROR(IF(W942="","",(AVERAGE(E942:F942)-W942)-Variables!$B$14),""))</f>
        <v>12</v>
      </c>
      <c r="AB942" s="10">
        <v>45723</v>
      </c>
      <c r="AC942" s="11">
        <f>IF($H942="Cancelled","",IFERROR(IF(AB942="","",IF(AND(W942="",Y942=""),"",IF(Y942&gt;W942,Y942+Variables!$B$15+Variables!$B$16+Variables!$B$17-AB942,W942+Variables!$B$16+Variables!$B$17-AB942))),""))</f>
        <v>8</v>
      </c>
      <c r="AD942" s="9" t="s">
        <v>163</v>
      </c>
      <c r="AE942" s="9" t="s">
        <v>598</v>
      </c>
      <c r="AF942" s="10">
        <v>45733</v>
      </c>
      <c r="AG942" s="10"/>
      <c r="AH942" s="9"/>
      <c r="AI942" s="9">
        <v>251075753</v>
      </c>
      <c r="AJ942" s="9" t="s">
        <v>2011</v>
      </c>
      <c r="AK942" s="10">
        <v>45738</v>
      </c>
      <c r="AL942" s="10">
        <v>45744</v>
      </c>
      <c r="AM942" s="10">
        <v>45759</v>
      </c>
      <c r="AN942" s="9" t="s">
        <v>1492</v>
      </c>
      <c r="AO942" s="9"/>
      <c r="AP942" s="11">
        <f>IF($H942="Cancelled","",IFERROR(IF(OR(AK942="",AB942=""),"",(AB942+Variables!$B$18-AK942)),""))</f>
        <v>-8</v>
      </c>
      <c r="AQ942" s="11">
        <f>IF($H942="Cancelled","",IFERROR(IF(OR(AM942="",AK942=""),"",(AK942+Variables!$B$19)-AM942),""))</f>
        <v>-16</v>
      </c>
      <c r="AR942" s="12">
        <f>IF($H942="Cancelled","",IFERROR(T942*INDEX(Variables!$B$7:$D$7,IFERROR(MATCH(IF($B942="Robusta","Robusta",(IF($B942="","Arabica",$B942))&amp;" - "&amp;(IF($C942="","Commercial",$C942))),Variables!$B$1:$D$1,0),1))*(AQ942/365),""))</f>
        <v>-34.957049971566803</v>
      </c>
      <c r="AS942" s="12">
        <f>IF($H942="Cancelled","",IFERROR((T942*INDEX(Variables!$B$7:$D$7,IFERROR(MATCH(IF($B942="Robusta","Robusta",(IF($B942="","Arabica",$B942))&amp;" - "&amp;(IF($C942="","Commercial",$C942))),Variables!$B$1:$D$1,0),1))*IFERROR(IF(W942="","",(AVERAGE(E942:F942)-W942)-Variables!$B$14),"")/365)+(L942/16.67*INDEX(Variables!$B$8:$D$8,IFERROR(MATCH(IF($B942="Robusta","Robusta",(IF($B942="","Arabica",$B942))&amp;" - "&amp;(IF($C942="","Commercial",$C942))),Variables!$B$1:$D$1,0),1))*IFERROR(IF(W942="","",(AVERAGE(E942:F942)-W942)-Variables!$B$14),""))+(T942*INDEX(Variables!$B$9:$D$9,IFERROR(MATCH(IF($B942="Robusta","Robusta",(IF($B942="","Arabica",$B942))&amp;" - "&amp;(IF($C942="","Commercial",$C942))),Variables!$B$1:$D$1,0),1))*IFERROR(IF(W942="","",(AVERAGE(E942:F942)-W942)-Variables!$B$14),"")/365),""))</f>
        <v>41.555785356089686</v>
      </c>
      <c r="AT942" s="12">
        <f>IF($H942="Cancelled","",IFERROR((T942*INDEX(Variables!$B$7:$D$7,IFERROR(MATCH(IF($B942="Robusta","Robusta",(IF($B942="","Arabica",$B942))&amp;" - "&amp;(IF($C942="","Commercial",$C942))),Variables!$B$1:$D$1,0),1))*AC942/365)+(L942/16.67*INDEX(Variables!$B$8:$D$8,IFERROR(MATCH(IF($B942="Robusta","Robusta",(IF($B942="","Arabica",$B942))&amp;" - "&amp;(IF($C942="","Commercial",$C942))),Variables!$B$1:$D$1,0),1))*AC942)+(T942*INDEX(Variables!$B$9:$D$9,IFERROR(MATCH(IF($B942="Robusta","Robusta",(IF($B942="","Arabica",$B942))&amp;" - "&amp;(IF($C942="","Commercial",$C942))),Variables!$B$1:$D$1,0),1))*AC942/365),""))</f>
        <v>27.703856904059791</v>
      </c>
      <c r="AU942" s="12">
        <f>IF($H942="Cancelled","",IFERROR((T942*INDEX(Variables!$B$7:$D$7,IFERROR(MATCH(IF($B942="Robusta","Robusta",(IF($B942="","Arabica",$B942))&amp;" - "&amp;(IF($C942="","Commercial",$C942))),Variables!$B$1:$D$1,0),1))*AP942/365)+(L942/16.67*INDEX(Variables!$B$8:$D$8,IFERROR(MATCH(IF($B942="Robusta","Robusta",(IF($B942="","Arabica",$B942))&amp;" - "&amp;(IF($C942="","Commercial",$C942))),Variables!$B$1:$D$1,0),1))*AP942)+(T942*INDEX(Variables!$B$9:$D$9,IFERROR(MATCH(IF($B942="Robusta","Robusta",(IF($B942="","Arabica",$B942))&amp;" - "&amp;(IF($C942="","Commercial",$C942))),Variables!$B$1:$D$1,0),1))*AP942/365),""))</f>
        <v>-27.703856904059791</v>
      </c>
      <c r="AV942" s="11">
        <f t="shared" si="90"/>
        <v>9</v>
      </c>
      <c r="AW942" s="12">
        <f>IF($H942="Cancelled","",IFERROR(IF(AV942="","",(T942*INDEX(Variables!$B$7:$D$7,IFERROR(MATCH(IF($B942="Robusta","Robusta",(IF($B942="","Arabica",$B942))&amp;" - "&amp;(IF($C942="","Commercial",$C942))),Variables!$B$1:$D$1,0),1))*(AV942/365))+(T942*INDEX(Variables!$B$9:$D$9,IFERROR(MATCH(IF($B942="Robusta","Robusta",(IF($B942="","Arabica",$B942))&amp;" - "&amp;(IF($C942="","Commercial",$C942))),Variables!$B$1:$D$1,0),1))*(AV942/365))+(INDEX(Variables!$B$8:$D$8,IFERROR(MATCH(IF($B942="Robusta","Robusta",(IF($B942="","Arabica",$B942))&amp;" - "&amp;(IF($C942="","Commercial",$C942))),Variables!$B$1:$D$1,0),1))*L942/16.67)),""))</f>
        <v>21.166839017067264</v>
      </c>
      <c r="AX942" s="9"/>
      <c r="AY942" s="12"/>
      <c r="AZ942" s="10"/>
      <c r="BA942" s="9"/>
      <c r="BB942" s="10"/>
      <c r="BC942" s="9"/>
      <c r="BD942" s="9"/>
      <c r="BE942" s="9"/>
      <c r="BF942" s="9"/>
    </row>
    <row r="943" spans="1:58" x14ac:dyDescent="0.25">
      <c r="A943" s="9" t="s">
        <v>84</v>
      </c>
      <c r="B943" s="9" t="s">
        <v>85</v>
      </c>
      <c r="C943" s="9" t="s">
        <v>1486</v>
      </c>
      <c r="D943" s="10">
        <v>45695</v>
      </c>
      <c r="E943" s="10">
        <v>45717</v>
      </c>
      <c r="F943" s="10">
        <v>45747</v>
      </c>
      <c r="G943" s="9">
        <v>3786692</v>
      </c>
      <c r="H943" s="9" t="str">
        <f t="shared" si="88"/>
        <v>Closed</v>
      </c>
      <c r="I943" s="9" t="str">
        <f t="shared" si="89"/>
        <v>All dates received</v>
      </c>
      <c r="J943" s="9" t="s">
        <v>1487</v>
      </c>
      <c r="K943" s="9" t="s">
        <v>2020</v>
      </c>
      <c r="L943" s="11">
        <v>35</v>
      </c>
      <c r="M943" s="9" t="s">
        <v>2021</v>
      </c>
      <c r="N943" s="9"/>
      <c r="O943" s="9"/>
      <c r="P943" s="9"/>
      <c r="Q943" s="11">
        <v>92.25</v>
      </c>
      <c r="R943" s="9" t="s">
        <v>195</v>
      </c>
      <c r="S943" s="9" t="s">
        <v>183</v>
      </c>
      <c r="T943" s="12">
        <f>IF($H943="Cancelled","",IFERROR(((Q943+INDEX(Variables!$B$6:$D$6,IFERROR(MATCH(IF($B943="Robusta","Robusta",(IF($B943="","Arabica",$B943))&amp;" - "&amp;(IF($C943="","Commercial",$C943))),Variables!$B$1:$D$1,0),1)))*22.0462)*(L943/16.67),""))</f>
        <v>17730.527405518893</v>
      </c>
      <c r="U943" s="10"/>
      <c r="V943" s="9" t="str">
        <f t="shared" si="91"/>
        <v/>
      </c>
      <c r="W943" s="10">
        <v>45690</v>
      </c>
      <c r="X943" s="9" t="str">
        <f t="shared" si="92"/>
        <v>Approved</v>
      </c>
      <c r="Y943" s="10">
        <v>45716</v>
      </c>
      <c r="Z943" s="10">
        <f>IF($H943="Cancelled","",IFERROR(IF(F943="","",F943-Variables!$B$13),""))</f>
        <v>45732</v>
      </c>
      <c r="AA943" s="11">
        <f>IF($H943="Cancelled","",IFERROR(IF(W943="","",(AVERAGE(E943:F943)-W943)-Variables!$B$14),""))</f>
        <v>12</v>
      </c>
      <c r="AB943" s="10">
        <v>45723</v>
      </c>
      <c r="AC943" s="11">
        <f>IF($H943="Cancelled","",IFERROR(IF(AB943="","",IF(AND(W943="",Y943=""),"",IF(Y943&gt;W943,Y943+Variables!$B$15+Variables!$B$16+Variables!$B$17-AB943,W943+Variables!$B$16+Variables!$B$17-AB943))),""))</f>
        <v>8</v>
      </c>
      <c r="AD943" s="9" t="s">
        <v>163</v>
      </c>
      <c r="AE943" s="9" t="s">
        <v>598</v>
      </c>
      <c r="AF943" s="10">
        <v>45733</v>
      </c>
      <c r="AG943" s="10"/>
      <c r="AH943" s="9"/>
      <c r="AI943" s="9">
        <v>251075753</v>
      </c>
      <c r="AJ943" s="9" t="s">
        <v>2011</v>
      </c>
      <c r="AK943" s="10">
        <v>45738</v>
      </c>
      <c r="AL943" s="10">
        <v>45744</v>
      </c>
      <c r="AM943" s="10">
        <v>45759</v>
      </c>
      <c r="AN943" s="9" t="s">
        <v>1492</v>
      </c>
      <c r="AO943" s="9"/>
      <c r="AP943" s="11">
        <f>IF($H943="Cancelled","",IFERROR(IF(OR(AK943="",AB943=""),"",(AB943+Variables!$B$18-AK943)),""))</f>
        <v>-8</v>
      </c>
      <c r="AQ943" s="11">
        <f>IF($H943="Cancelled","",IFERROR(IF(OR(AM943="",AK943=""),"",(AK943+Variables!$B$19)-AM943),""))</f>
        <v>-16</v>
      </c>
      <c r="AR943" s="12">
        <f>IF($H943="Cancelled","",IFERROR(T943*INDEX(Variables!$B$7:$D$7,IFERROR(MATCH(IF($B943="Robusta","Robusta",(IF($B943="","Arabica",$B943))&amp;" - "&amp;(IF($C943="","Commercial",$C943))),Variables!$B$1:$D$1,0),1))*(AQ943/365),""))</f>
        <v>-50.117409940521661</v>
      </c>
      <c r="AS943" s="12">
        <f>IF($H943="Cancelled","",IFERROR((T943*INDEX(Variables!$B$7:$D$7,IFERROR(MATCH(IF($B943="Robusta","Robusta",(IF($B943="","Arabica",$B943))&amp;" - "&amp;(IF($C943="","Commercial",$C943))),Variables!$B$1:$D$1,0),1))*IFERROR(IF(W943="","",(AVERAGE(E943:F943)-W943)-Variables!$B$14),"")/365)+(L943/16.67*INDEX(Variables!$B$8:$D$8,IFERROR(MATCH(IF($B943="Robusta","Robusta",(IF($B943="","Arabica",$B943))&amp;" - "&amp;(IF($C943="","Commercial",$C943))),Variables!$B$1:$D$1,0),1))*IFERROR(IF(W943="","",(AVERAGE(E943:F943)-W943)-Variables!$B$14),""))+(T943*INDEX(Variables!$B$9:$D$9,IFERROR(MATCH(IF($B943="Robusta","Robusta",(IF($B943="","Arabica",$B943))&amp;" - "&amp;(IF($C943="","Commercial",$C943))),Variables!$B$1:$D$1,0),1))*IFERROR(IF(W943="","",(AVERAGE(E943:F943)-W943)-Variables!$B$14),"")/365),""))</f>
        <v>59.072640055902184</v>
      </c>
      <c r="AT943" s="12">
        <f>IF($H943="Cancelled","",IFERROR((T943*INDEX(Variables!$B$7:$D$7,IFERROR(MATCH(IF($B943="Robusta","Robusta",(IF($B943="","Arabica",$B943))&amp;" - "&amp;(IF($C943="","Commercial",$C943))),Variables!$B$1:$D$1,0),1))*AC943/365)+(L943/16.67*INDEX(Variables!$B$8:$D$8,IFERROR(MATCH(IF($B943="Robusta","Robusta",(IF($B943="","Arabica",$B943))&amp;" - "&amp;(IF($C943="","Commercial",$C943))),Variables!$B$1:$D$1,0),1))*AC943)+(T943*INDEX(Variables!$B$9:$D$9,IFERROR(MATCH(IF($B943="Robusta","Robusta",(IF($B943="","Arabica",$B943))&amp;" - "&amp;(IF($C943="","Commercial",$C943))),Variables!$B$1:$D$1,0),1))*AC943/365),""))</f>
        <v>39.38176003726813</v>
      </c>
      <c r="AU943" s="12">
        <f>IF($H943="Cancelled","",IFERROR((T943*INDEX(Variables!$B$7:$D$7,IFERROR(MATCH(IF($B943="Robusta","Robusta",(IF($B943="","Arabica",$B943))&amp;" - "&amp;(IF($C943="","Commercial",$C943))),Variables!$B$1:$D$1,0),1))*AP943/365)+(L943/16.67*INDEX(Variables!$B$8:$D$8,IFERROR(MATCH(IF($B943="Robusta","Robusta",(IF($B943="","Arabica",$B943))&amp;" - "&amp;(IF($C943="","Commercial",$C943))),Variables!$B$1:$D$1,0),1))*AP943)+(T943*INDEX(Variables!$B$9:$D$9,IFERROR(MATCH(IF($B943="Robusta","Robusta",(IF($B943="","Arabica",$B943))&amp;" - "&amp;(IF($C943="","Commercial",$C943))),Variables!$B$1:$D$1,0),1))*AP943/365),""))</f>
        <v>-39.38176003726813</v>
      </c>
      <c r="AV943" s="11">
        <f t="shared" si="90"/>
        <v>9</v>
      </c>
      <c r="AW943" s="12">
        <f>IF($H943="Cancelled","",IFERROR(IF(AV943="","",(T943*INDEX(Variables!$B$7:$D$7,IFERROR(MATCH(IF($B943="Robusta","Robusta",(IF($B943="","Arabica",$B943))&amp;" - "&amp;(IF($C943="","Commercial",$C943))),Variables!$B$1:$D$1,0),1))*(AV943/365))+(T943*INDEX(Variables!$B$9:$D$9,IFERROR(MATCH(IF($B943="Robusta","Robusta",(IF($B943="","Arabica",$B943))&amp;" - "&amp;(IF($C943="","Commercial",$C943))),Variables!$B$1:$D$1,0),1))*(AV943/365))+(INDEX(Variables!$B$8:$D$8,IFERROR(MATCH(IF($B943="Robusta","Robusta",(IF($B943="","Arabica",$B943))&amp;" - "&amp;(IF($C943="","Commercial",$C943))),Variables!$B$1:$D$1,0),1))*L943/16.67)),""))</f>
        <v>30.304480041926642</v>
      </c>
      <c r="AX943" s="9"/>
      <c r="AY943" s="12"/>
      <c r="AZ943" s="10"/>
      <c r="BA943" s="9"/>
      <c r="BB943" s="10"/>
      <c r="BC943" s="9"/>
      <c r="BD943" s="9"/>
      <c r="BE943" s="9"/>
      <c r="BF943" s="9"/>
    </row>
    <row r="944" spans="1:58" x14ac:dyDescent="0.25">
      <c r="A944" s="9" t="s">
        <v>84</v>
      </c>
      <c r="B944" s="9" t="s">
        <v>85</v>
      </c>
      <c r="C944" s="9" t="s">
        <v>1486</v>
      </c>
      <c r="D944" s="10">
        <v>45695</v>
      </c>
      <c r="E944" s="10">
        <v>45717</v>
      </c>
      <c r="F944" s="10">
        <v>45747</v>
      </c>
      <c r="G944" s="9">
        <v>3786693</v>
      </c>
      <c r="H944" s="9" t="str">
        <f t="shared" si="88"/>
        <v>Closed</v>
      </c>
      <c r="I944" s="9" t="str">
        <f t="shared" si="89"/>
        <v>All dates received</v>
      </c>
      <c r="J944" s="9" t="s">
        <v>1487</v>
      </c>
      <c r="K944" s="9" t="s">
        <v>2022</v>
      </c>
      <c r="L944" s="11">
        <v>31</v>
      </c>
      <c r="M944" s="9" t="s">
        <v>2023</v>
      </c>
      <c r="N944" s="9"/>
      <c r="O944" s="9"/>
      <c r="P944" s="9"/>
      <c r="Q944" s="11">
        <v>36.25</v>
      </c>
      <c r="R944" s="9" t="s">
        <v>195</v>
      </c>
      <c r="S944" s="9" t="s">
        <v>183</v>
      </c>
      <c r="T944" s="12">
        <f>IF($H944="Cancelled","",IFERROR(((Q944+INDEX(Variables!$B$6:$D$6,IFERROR(MATCH(IF($B944="Robusta","Robusta",(IF($B944="","Arabica",$B944))&amp;" - "&amp;(IF($C944="","Commercial",$C944))),Variables!$B$1:$D$1,0),1)))*22.0462)*(L944/16.67),""))</f>
        <v>13408.308398920215</v>
      </c>
      <c r="U944" s="10"/>
      <c r="V944" s="9" t="str">
        <f t="shared" si="91"/>
        <v/>
      </c>
      <c r="W944" s="10">
        <v>45690</v>
      </c>
      <c r="X944" s="9" t="str">
        <f t="shared" si="92"/>
        <v>Approved</v>
      </c>
      <c r="Y944" s="10">
        <v>45716</v>
      </c>
      <c r="Z944" s="10">
        <f>IF($H944="Cancelled","",IFERROR(IF(F944="","",F944-Variables!$B$13),""))</f>
        <v>45732</v>
      </c>
      <c r="AA944" s="11">
        <f>IF($H944="Cancelled","",IFERROR(IF(W944="","",(AVERAGE(E944:F944)-W944)-Variables!$B$14),""))</f>
        <v>12</v>
      </c>
      <c r="AB944" s="10">
        <v>45723</v>
      </c>
      <c r="AC944" s="11">
        <f>IF($H944="Cancelled","",IFERROR(IF(AB944="","",IF(AND(W944="",Y944=""),"",IF(Y944&gt;W944,Y944+Variables!$B$15+Variables!$B$16+Variables!$B$17-AB944,W944+Variables!$B$16+Variables!$B$17-AB944))),""))</f>
        <v>8</v>
      </c>
      <c r="AD944" s="9" t="s">
        <v>163</v>
      </c>
      <c r="AE944" s="9" t="s">
        <v>598</v>
      </c>
      <c r="AF944" s="10">
        <v>45733</v>
      </c>
      <c r="AG944" s="10"/>
      <c r="AH944" s="9"/>
      <c r="AI944" s="9">
        <v>251075753</v>
      </c>
      <c r="AJ944" s="9" t="s">
        <v>2011</v>
      </c>
      <c r="AK944" s="10">
        <v>45738</v>
      </c>
      <c r="AL944" s="10">
        <v>45744</v>
      </c>
      <c r="AM944" s="10">
        <v>45759</v>
      </c>
      <c r="AN944" s="9" t="s">
        <v>1492</v>
      </c>
      <c r="AO944" s="9"/>
      <c r="AP944" s="11">
        <f>IF($H944="Cancelled","",IFERROR(IF(OR(AK944="",AB944=""),"",(AB944+Variables!$B$18-AK944)),""))</f>
        <v>-8</v>
      </c>
      <c r="AQ944" s="11">
        <f>IF($H944="Cancelled","",IFERROR(IF(OR(AM944="",AK944=""),"",(AK944+Variables!$B$19)-AM944),""))</f>
        <v>-16</v>
      </c>
      <c r="AR944" s="12">
        <f>IF($H944="Cancelled","",IFERROR(T944*INDEX(Variables!$B$7:$D$7,IFERROR(MATCH(IF($B944="Robusta","Robusta",(IF($B944="","Arabica",$B944))&amp;" - "&amp;(IF($C944="","Commercial",$C944))),Variables!$B$1:$D$1,0),1))*(AQ944/365),""))</f>
        <v>-37.900152277955208</v>
      </c>
      <c r="AS944" s="12">
        <f>IF($H944="Cancelled","",IFERROR((T944*INDEX(Variables!$B$7:$D$7,IFERROR(MATCH(IF($B944="Robusta","Robusta",(IF($B944="","Arabica",$B944))&amp;" - "&amp;(IF($C944="","Commercial",$C944))),Variables!$B$1:$D$1,0),1))*IFERROR(IF(W944="","",(AVERAGE(E944:F944)-W944)-Variables!$B$14),"")/365)+(L944/16.67*INDEX(Variables!$B$8:$D$8,IFERROR(MATCH(IF($B944="Robusta","Robusta",(IF($B944="","Arabica",$B944))&amp;" - "&amp;(IF($C944="","Commercial",$C944))),Variables!$B$1:$D$1,0),1))*IFERROR(IF(W944="","",(AVERAGE(E944:F944)-W944)-Variables!$B$14),""))+(T944*INDEX(Variables!$B$9:$D$9,IFERROR(MATCH(IF($B944="Robusta","Robusta",(IF($B944="","Arabica",$B944))&amp;" - "&amp;(IF($C944="","Commercial",$C944))),Variables!$B$1:$D$1,0),1))*IFERROR(IF(W944="","",(AVERAGE(E944:F944)-W944)-Variables!$B$14),"")/365),""))</f>
        <v>47.391568787272618</v>
      </c>
      <c r="AT944" s="12">
        <f>IF($H944="Cancelled","",IFERROR((T944*INDEX(Variables!$B$7:$D$7,IFERROR(MATCH(IF($B944="Robusta","Robusta",(IF($B944="","Arabica",$B944))&amp;" - "&amp;(IF($C944="","Commercial",$C944))),Variables!$B$1:$D$1,0),1))*AC944/365)+(L944/16.67*INDEX(Variables!$B$8:$D$8,IFERROR(MATCH(IF($B944="Robusta","Robusta",(IF($B944="","Arabica",$B944))&amp;" - "&amp;(IF($C944="","Commercial",$C944))),Variables!$B$1:$D$1,0),1))*AC944)+(T944*INDEX(Variables!$B$9:$D$9,IFERROR(MATCH(IF($B944="Robusta","Robusta",(IF($B944="","Arabica",$B944))&amp;" - "&amp;(IF($C944="","Commercial",$C944))),Variables!$B$1:$D$1,0),1))*AC944/365),""))</f>
        <v>31.594379191515081</v>
      </c>
      <c r="AU944" s="12">
        <f>IF($H944="Cancelled","",IFERROR((T944*INDEX(Variables!$B$7:$D$7,IFERROR(MATCH(IF($B944="Robusta","Robusta",(IF($B944="","Arabica",$B944))&amp;" - "&amp;(IF($C944="","Commercial",$C944))),Variables!$B$1:$D$1,0),1))*AP944/365)+(L944/16.67*INDEX(Variables!$B$8:$D$8,IFERROR(MATCH(IF($B944="Robusta","Robusta",(IF($B944="","Arabica",$B944))&amp;" - "&amp;(IF($C944="","Commercial",$C944))),Variables!$B$1:$D$1,0),1))*AP944)+(T944*INDEX(Variables!$B$9:$D$9,IFERROR(MATCH(IF($B944="Robusta","Robusta",(IF($B944="","Arabica",$B944))&amp;" - "&amp;(IF($C944="","Commercial",$C944))),Variables!$B$1:$D$1,0),1))*AP944/365),""))</f>
        <v>-31.594379191515081</v>
      </c>
      <c r="AV944" s="11">
        <f t="shared" si="90"/>
        <v>9</v>
      </c>
      <c r="AW944" s="12">
        <f>IF($H944="Cancelled","",IFERROR(IF(AV944="","",(T944*INDEX(Variables!$B$7:$D$7,IFERROR(MATCH(IF($B944="Robusta","Robusta",(IF($B944="","Arabica",$B944))&amp;" - "&amp;(IF($C944="","Commercial",$C944))),Variables!$B$1:$D$1,0),1))*(AV944/365))+(T944*INDEX(Variables!$B$9:$D$9,IFERROR(MATCH(IF($B944="Robusta","Robusta",(IF($B944="","Arabica",$B944))&amp;" - "&amp;(IF($C944="","Commercial",$C944))),Variables!$B$1:$D$1,0),1))*(AV944/365))+(INDEX(Variables!$B$8:$D$8,IFERROR(MATCH(IF($B944="Robusta","Robusta",(IF($B944="","Arabica",$B944))&amp;" - "&amp;(IF($C944="","Commercial",$C944))),Variables!$B$1:$D$1,0),1))*L944/16.67)),""))</f>
        <v>23.143676590454465</v>
      </c>
      <c r="AX944" s="9"/>
      <c r="AY944" s="12"/>
      <c r="AZ944" s="10"/>
      <c r="BA944" s="9"/>
      <c r="BB944" s="10"/>
      <c r="BC944" s="9"/>
      <c r="BD944" s="9"/>
      <c r="BE944" s="9"/>
      <c r="BF944" s="9"/>
    </row>
    <row r="945" spans="1:58" x14ac:dyDescent="0.25">
      <c r="A945" s="9" t="s">
        <v>84</v>
      </c>
      <c r="B945" s="9" t="s">
        <v>85</v>
      </c>
      <c r="C945" s="9" t="s">
        <v>1486</v>
      </c>
      <c r="D945" s="10">
        <v>45695</v>
      </c>
      <c r="E945" s="10">
        <v>45717</v>
      </c>
      <c r="F945" s="10">
        <v>45747</v>
      </c>
      <c r="G945" s="9">
        <v>3786694</v>
      </c>
      <c r="H945" s="9" t="str">
        <f t="shared" si="88"/>
        <v>Closed</v>
      </c>
      <c r="I945" s="9" t="str">
        <f t="shared" si="89"/>
        <v>All dates received</v>
      </c>
      <c r="J945" s="9" t="s">
        <v>1487</v>
      </c>
      <c r="K945" s="9" t="s">
        <v>2024</v>
      </c>
      <c r="L945" s="11">
        <v>26</v>
      </c>
      <c r="M945" s="9" t="s">
        <v>2025</v>
      </c>
      <c r="N945" s="9"/>
      <c r="O945" s="9"/>
      <c r="P945" s="9"/>
      <c r="Q945" s="11">
        <v>41.25</v>
      </c>
      <c r="R945" s="9" t="s">
        <v>195</v>
      </c>
      <c r="S945" s="9" t="s">
        <v>183</v>
      </c>
      <c r="T945" s="12">
        <f>IF($H945="Cancelled","",IFERROR(((Q945+INDEX(Variables!$B$6:$D$6,IFERROR(MATCH(IF($B945="Robusta","Robusta",(IF($B945="","Arabica",$B945))&amp;" - "&amp;(IF($C945="","Commercial",$C945))),Variables!$B$1:$D$1,0),1)))*22.0462)*(L945/16.67),""))</f>
        <v>11417.603986802638</v>
      </c>
      <c r="U945" s="10"/>
      <c r="V945" s="9" t="str">
        <f t="shared" si="91"/>
        <v/>
      </c>
      <c r="W945" s="10">
        <v>45690</v>
      </c>
      <c r="X945" s="9" t="str">
        <f t="shared" si="92"/>
        <v>Approved</v>
      </c>
      <c r="Y945" s="10">
        <v>45716</v>
      </c>
      <c r="Z945" s="10">
        <f>IF($H945="Cancelled","",IFERROR(IF(F945="","",F945-Variables!$B$13),""))</f>
        <v>45732</v>
      </c>
      <c r="AA945" s="11">
        <f>IF($H945="Cancelled","",IFERROR(IF(W945="","",(AVERAGE(E945:F945)-W945)-Variables!$B$14),""))</f>
        <v>12</v>
      </c>
      <c r="AB945" s="10">
        <v>45723</v>
      </c>
      <c r="AC945" s="11">
        <f>IF($H945="Cancelled","",IFERROR(IF(AB945="","",IF(AND(W945="",Y945=""),"",IF(Y945&gt;W945,Y945+Variables!$B$15+Variables!$B$16+Variables!$B$17-AB945,W945+Variables!$B$16+Variables!$B$17-AB945))),""))</f>
        <v>8</v>
      </c>
      <c r="AD945" s="9" t="s">
        <v>163</v>
      </c>
      <c r="AE945" s="9" t="s">
        <v>598</v>
      </c>
      <c r="AF945" s="10">
        <v>45733</v>
      </c>
      <c r="AG945" s="10"/>
      <c r="AH945" s="9"/>
      <c r="AI945" s="9">
        <v>251075753</v>
      </c>
      <c r="AJ945" s="9" t="s">
        <v>2011</v>
      </c>
      <c r="AK945" s="10">
        <v>45738</v>
      </c>
      <c r="AL945" s="10">
        <v>45744</v>
      </c>
      <c r="AM945" s="10">
        <v>45759</v>
      </c>
      <c r="AN945" s="9" t="s">
        <v>1492</v>
      </c>
      <c r="AO945" s="9"/>
      <c r="AP945" s="11">
        <f>IF($H945="Cancelled","",IFERROR(IF(OR(AK945="",AB945=""),"",(AB945+Variables!$B$18-AK945)),""))</f>
        <v>-8</v>
      </c>
      <c r="AQ945" s="11">
        <f>IF($H945="Cancelled","",IFERROR(IF(OR(AM945="",AK945=""),"",(AK945+Variables!$B$19)-AM945),""))</f>
        <v>-16</v>
      </c>
      <c r="AR945" s="12">
        <f>IF($H945="Cancelled","",IFERROR(T945*INDEX(Variables!$B$7:$D$7,IFERROR(MATCH(IF($B945="Robusta","Robusta",(IF($B945="","Arabica",$B945))&amp;" - "&amp;(IF($C945="","Commercial",$C945))),Variables!$B$1:$D$1,0),1))*(AQ945/365),""))</f>
        <v>-32.273193371958577</v>
      </c>
      <c r="AS945" s="12">
        <f>IF($H945="Cancelled","",IFERROR((T945*INDEX(Variables!$B$7:$D$7,IFERROR(MATCH(IF($B945="Robusta","Robusta",(IF($B945="","Arabica",$B945))&amp;" - "&amp;(IF($C945="","Commercial",$C945))),Variables!$B$1:$D$1,0),1))*IFERROR(IF(W945="","",(AVERAGE(E945:F945)-W945)-Variables!$B$14),"")/365)+(L945/16.67*INDEX(Variables!$B$8:$D$8,IFERROR(MATCH(IF($B945="Robusta","Robusta",(IF($B945="","Arabica",$B945))&amp;" - "&amp;(IF($C945="","Commercial",$C945))),Variables!$B$1:$D$1,0),1))*IFERROR(IF(W945="","",(AVERAGE(E945:F945)-W945)-Variables!$B$14),""))+(T945*INDEX(Variables!$B$9:$D$9,IFERROR(MATCH(IF($B945="Robusta","Robusta",(IF($B945="","Arabica",$B945))&amp;" - "&amp;(IF($C945="","Commercial",$C945))),Variables!$B$1:$D$1,0),1))*IFERROR(IF(W945="","",(AVERAGE(E945:F945)-W945)-Variables!$B$14),"")/365),""))</f>
        <v>40.116942838094275</v>
      </c>
      <c r="AT945" s="12">
        <f>IF($H945="Cancelled","",IFERROR((T945*INDEX(Variables!$B$7:$D$7,IFERROR(MATCH(IF($B945="Robusta","Robusta",(IF($B945="","Arabica",$B945))&amp;" - "&amp;(IF($C945="","Commercial",$C945))),Variables!$B$1:$D$1,0),1))*AC945/365)+(L945/16.67*INDEX(Variables!$B$8:$D$8,IFERROR(MATCH(IF($B945="Robusta","Robusta",(IF($B945="","Arabica",$B945))&amp;" - "&amp;(IF($C945="","Commercial",$C945))),Variables!$B$1:$D$1,0),1))*AC945)+(T945*INDEX(Variables!$B$9:$D$9,IFERROR(MATCH(IF($B945="Robusta","Robusta",(IF($B945="","Arabica",$B945))&amp;" - "&amp;(IF($C945="","Commercial",$C945))),Variables!$B$1:$D$1,0),1))*AC945/365),""))</f>
        <v>26.744628558729516</v>
      </c>
      <c r="AU945" s="12">
        <f>IF($H945="Cancelled","",IFERROR((T945*INDEX(Variables!$B$7:$D$7,IFERROR(MATCH(IF($B945="Robusta","Robusta",(IF($B945="","Arabica",$B945))&amp;" - "&amp;(IF($C945="","Commercial",$C945))),Variables!$B$1:$D$1,0),1))*AP945/365)+(L945/16.67*INDEX(Variables!$B$8:$D$8,IFERROR(MATCH(IF($B945="Robusta","Robusta",(IF($B945="","Arabica",$B945))&amp;" - "&amp;(IF($C945="","Commercial",$C945))),Variables!$B$1:$D$1,0),1))*AP945)+(T945*INDEX(Variables!$B$9:$D$9,IFERROR(MATCH(IF($B945="Robusta","Robusta",(IF($B945="","Arabica",$B945))&amp;" - "&amp;(IF($C945="","Commercial",$C945))),Variables!$B$1:$D$1,0),1))*AP945/365),""))</f>
        <v>-26.744628558729516</v>
      </c>
      <c r="AV945" s="11">
        <f t="shared" si="90"/>
        <v>9</v>
      </c>
      <c r="AW945" s="12">
        <f>IF($H945="Cancelled","",IFERROR(IF(AV945="","",(T945*INDEX(Variables!$B$7:$D$7,IFERROR(MATCH(IF($B945="Robusta","Robusta",(IF($B945="","Arabica",$B945))&amp;" - "&amp;(IF($C945="","Commercial",$C945))),Variables!$B$1:$D$1,0),1))*(AV945/365))+(T945*INDEX(Variables!$B$9:$D$9,IFERROR(MATCH(IF($B945="Robusta","Robusta",(IF($B945="","Arabica",$B945))&amp;" - "&amp;(IF($C945="","Commercial",$C945))),Variables!$B$1:$D$1,0),1))*(AV945/365))+(INDEX(Variables!$B$8:$D$8,IFERROR(MATCH(IF($B945="Robusta","Robusta",(IF($B945="","Arabica",$B945))&amp;" - "&amp;(IF($C945="","Commercial",$C945))),Variables!$B$1:$D$1,0),1))*L945/16.67)),""))</f>
        <v>19.687707128570704</v>
      </c>
      <c r="AX945" s="9"/>
      <c r="AY945" s="12"/>
      <c r="AZ945" s="10"/>
      <c r="BA945" s="9"/>
      <c r="BB945" s="10"/>
      <c r="BC945" s="9"/>
      <c r="BD945" s="9"/>
      <c r="BE945" s="9"/>
      <c r="BF945" s="9"/>
    </row>
    <row r="946" spans="1:58" x14ac:dyDescent="0.25">
      <c r="A946" s="9" t="s">
        <v>84</v>
      </c>
      <c r="B946" s="9" t="s">
        <v>85</v>
      </c>
      <c r="C946" s="9" t="s">
        <v>1486</v>
      </c>
      <c r="D946" s="10">
        <v>45695</v>
      </c>
      <c r="E946" s="10">
        <v>45689</v>
      </c>
      <c r="F946" s="10">
        <v>45747</v>
      </c>
      <c r="G946" s="9">
        <v>3786701</v>
      </c>
      <c r="H946" s="9" t="str">
        <f t="shared" si="88"/>
        <v>Closed</v>
      </c>
      <c r="I946" s="9" t="str">
        <f t="shared" si="89"/>
        <v>All dates received</v>
      </c>
      <c r="J946" s="9" t="s">
        <v>303</v>
      </c>
      <c r="K946" s="9" t="s">
        <v>2026</v>
      </c>
      <c r="L946" s="11">
        <v>10</v>
      </c>
      <c r="M946" s="9" t="s">
        <v>2027</v>
      </c>
      <c r="N946" s="9"/>
      <c r="O946" s="9"/>
      <c r="P946" s="9"/>
      <c r="Q946" s="11">
        <v>81.25</v>
      </c>
      <c r="R946" s="9" t="s">
        <v>195</v>
      </c>
      <c r="S946" s="9" t="s">
        <v>91</v>
      </c>
      <c r="T946" s="12">
        <f>IF($H946="Cancelled","",IFERROR(((Q946+INDEX(Variables!$B$6:$D$6,IFERROR(MATCH(IF($B946="Robusta","Robusta",(IF($B946="","Arabica",$B946))&amp;" - "&amp;(IF($C946="","Commercial",$C946))),Variables!$B$1:$D$1,0),1)))*22.0462)*(L946/16.67),""))</f>
        <v>4920.3891481703658</v>
      </c>
      <c r="U946" s="10"/>
      <c r="V946" s="9" t="str">
        <f t="shared" si="91"/>
        <v/>
      </c>
      <c r="W946" s="10">
        <v>45687</v>
      </c>
      <c r="X946" s="9" t="str">
        <f t="shared" si="92"/>
        <v>Approved</v>
      </c>
      <c r="Y946" s="10">
        <v>45716</v>
      </c>
      <c r="Z946" s="10">
        <f>IF($H946="Cancelled","",IFERROR(IF(F946="","",F946-Variables!$B$13),""))</f>
        <v>45732</v>
      </c>
      <c r="AA946" s="11">
        <f>IF($H946="Cancelled","",IFERROR(IF(W946="","",(AVERAGE(E946:F946)-W946)-Variables!$B$14),""))</f>
        <v>1</v>
      </c>
      <c r="AB946" s="10">
        <v>45728</v>
      </c>
      <c r="AC946" s="11">
        <f>IF($H946="Cancelled","",IFERROR(IF(AB946="","",IF(AND(W946="",Y946=""),"",IF(Y946&gt;W946,Y946+Variables!$B$15+Variables!$B$16+Variables!$B$17-AB946,W946+Variables!$B$16+Variables!$B$17-AB946))),""))</f>
        <v>3</v>
      </c>
      <c r="AD946" s="9" t="s">
        <v>163</v>
      </c>
      <c r="AE946" s="9" t="s">
        <v>844</v>
      </c>
      <c r="AF946" s="10"/>
      <c r="AG946" s="10"/>
      <c r="AH946" s="9"/>
      <c r="AI946" s="9">
        <v>251098049</v>
      </c>
      <c r="AJ946" s="9" t="s">
        <v>8</v>
      </c>
      <c r="AK946" s="10">
        <v>45377</v>
      </c>
      <c r="AL946" s="10">
        <v>45379</v>
      </c>
      <c r="AM946" s="10">
        <v>45754</v>
      </c>
      <c r="AN946" s="9" t="s">
        <v>1492</v>
      </c>
      <c r="AO946" s="9"/>
      <c r="AP946" s="11">
        <f>IF($H946="Cancelled","",IFERROR(IF(OR(AK946="",AB946=""),"",(AB946+Variables!$B$18-AK946)),""))</f>
        <v>358</v>
      </c>
      <c r="AQ946" s="11">
        <f>IF($H946="Cancelled","",IFERROR(IF(OR(AM946="",AK946=""),"",(AK946+Variables!$B$19)-AM946),""))</f>
        <v>-372</v>
      </c>
      <c r="AR946" s="12">
        <f>IF($H946="Cancelled","",IFERROR(T946*INDEX(Variables!$B$7:$D$7,IFERROR(MATCH(IF($B946="Robusta","Robusta",(IF($B946="","Arabica",$B946))&amp;" - "&amp;(IF($C946="","Commercial",$C946))),Variables!$B$1:$D$1,0),1))*(AQ946/365),""))</f>
        <v>-323.36229143127736</v>
      </c>
      <c r="AS946" s="12">
        <f>IF($H946="Cancelled","",IFERROR((T946*INDEX(Variables!$B$7:$D$7,IFERROR(MATCH(IF($B946="Robusta","Robusta",(IF($B946="","Arabica",$B946))&amp;" - "&amp;(IF($C946="","Commercial",$C946))),Variables!$B$1:$D$1,0),1))*IFERROR(IF(W946="","",(AVERAGE(E946:F946)-W946)-Variables!$B$14),"")/365)+(L946/16.67*INDEX(Variables!$B$8:$D$8,IFERROR(MATCH(IF($B946="Robusta","Robusta",(IF($B946="","Arabica",$B946))&amp;" - "&amp;(IF($C946="","Commercial",$C946))),Variables!$B$1:$D$1,0),1))*IFERROR(IF(W946="","",(AVERAGE(E946:F946)-W946)-Variables!$B$14),""))+(T946*INDEX(Variables!$B$9:$D$9,IFERROR(MATCH(IF($B946="Robusta","Robusta",(IF($B946="","Arabica",$B946))&amp;" - "&amp;(IF($C946="","Commercial",$C946))),Variables!$B$1:$D$1,0),1))*IFERROR(IF(W946="","",(AVERAGE(E946:F946)-W946)-Variables!$B$14),"")/365),""))</f>
        <v>1.3804598263808909</v>
      </c>
      <c r="AT946" s="12">
        <f>IF($H946="Cancelled","",IFERROR((T946*INDEX(Variables!$B$7:$D$7,IFERROR(MATCH(IF($B946="Robusta","Robusta",(IF($B946="","Arabica",$B946))&amp;" - "&amp;(IF($C946="","Commercial",$C946))),Variables!$B$1:$D$1,0),1))*AC946/365)+(L946/16.67*INDEX(Variables!$B$8:$D$8,IFERROR(MATCH(IF($B946="Robusta","Robusta",(IF($B946="","Arabica",$B946))&amp;" - "&amp;(IF($C946="","Commercial",$C946))),Variables!$B$1:$D$1,0),1))*AC946)+(T946*INDEX(Variables!$B$9:$D$9,IFERROR(MATCH(IF($B946="Robusta","Robusta",(IF($B946="","Arabica",$B946))&amp;" - "&amp;(IF($C946="","Commercial",$C946))),Variables!$B$1:$D$1,0),1))*AC946/365),""))</f>
        <v>4.1413794791426728</v>
      </c>
      <c r="AU946" s="12">
        <f>IF($H946="Cancelled","",IFERROR((T946*INDEX(Variables!$B$7:$D$7,IFERROR(MATCH(IF($B946="Robusta","Robusta",(IF($B946="","Arabica",$B946))&amp;" - "&amp;(IF($C946="","Commercial",$C946))),Variables!$B$1:$D$1,0),1))*AP946/365)+(L946/16.67*INDEX(Variables!$B$8:$D$8,IFERROR(MATCH(IF($B946="Robusta","Robusta",(IF($B946="","Arabica",$B946))&amp;" - "&amp;(IF($C946="","Commercial",$C946))),Variables!$B$1:$D$1,0),1))*AP946)+(T946*INDEX(Variables!$B$9:$D$9,IFERROR(MATCH(IF($B946="Robusta","Robusta",(IF($B946="","Arabica",$B946))&amp;" - "&amp;(IF($C946="","Commercial",$C946))),Variables!$B$1:$D$1,0),1))*AP946/365),""))</f>
        <v>494.20461784435901</v>
      </c>
      <c r="AV946" s="11">
        <f t="shared" si="90"/>
        <v>370</v>
      </c>
      <c r="AW946" s="12">
        <f>IF($H946="Cancelled","",IFERROR(IF(AV946="","",(T946*INDEX(Variables!$B$7:$D$7,IFERROR(MATCH(IF($B946="Robusta","Robusta",(IF($B946="","Arabica",$B946))&amp;" - "&amp;(IF($C946="","Commercial",$C946))),Variables!$B$1:$D$1,0),1))*(AV946/365))+(T946*INDEX(Variables!$B$9:$D$9,IFERROR(MATCH(IF($B946="Robusta","Robusta",(IF($B946="","Arabica",$B946))&amp;" - "&amp;(IF($C946="","Commercial",$C946))),Variables!$B$1:$D$1,0),1))*(AV946/365))+(INDEX(Variables!$B$8:$D$8,IFERROR(MATCH(IF($B946="Robusta","Robusta",(IF($B946="","Arabica",$B946))&amp;" - "&amp;(IF($C946="","Commercial",$C946))),Variables!$B$1:$D$1,0),1))*L946/16.67)),""))</f>
        <v>326.27013576092969</v>
      </c>
      <c r="AX946" s="9"/>
      <c r="AY946" s="12"/>
      <c r="AZ946" s="10"/>
      <c r="BA946" s="9"/>
      <c r="BB946" s="10"/>
      <c r="BC946" s="9"/>
      <c r="BD946" s="9"/>
      <c r="BE946" s="9"/>
      <c r="BF946" s="9"/>
    </row>
    <row r="947" spans="1:58" x14ac:dyDescent="0.25">
      <c r="A947" s="9" t="s">
        <v>84</v>
      </c>
      <c r="B947" s="9" t="s">
        <v>85</v>
      </c>
      <c r="C947" s="9" t="s">
        <v>1486</v>
      </c>
      <c r="D947" s="10">
        <v>45695</v>
      </c>
      <c r="E947" s="10">
        <v>45689</v>
      </c>
      <c r="F947" s="10">
        <v>45747</v>
      </c>
      <c r="G947" s="9">
        <v>3786702</v>
      </c>
      <c r="H947" s="9" t="str">
        <f t="shared" si="88"/>
        <v>Closed</v>
      </c>
      <c r="I947" s="9" t="str">
        <f t="shared" si="89"/>
        <v>All dates received</v>
      </c>
      <c r="J947" s="9" t="s">
        <v>303</v>
      </c>
      <c r="K947" s="9" t="s">
        <v>2028</v>
      </c>
      <c r="L947" s="11">
        <v>10</v>
      </c>
      <c r="M947" s="9" t="s">
        <v>2029</v>
      </c>
      <c r="N947" s="9"/>
      <c r="O947" s="9"/>
      <c r="P947" s="9"/>
      <c r="Q947" s="11">
        <v>39.799999999999997</v>
      </c>
      <c r="R947" s="9" t="s">
        <v>195</v>
      </c>
      <c r="S947" s="9" t="s">
        <v>91</v>
      </c>
      <c r="T947" s="12">
        <f>IF($H947="Cancelled","",IFERROR(((Q947+INDEX(Variables!$B$6:$D$6,IFERROR(MATCH(IF($B947="Robusta","Robusta",(IF($B947="","Arabica",$B947))&amp;" - "&amp;(IF($C947="","Commercial",$C947))),Variables!$B$1:$D$1,0),1)))*22.0462)*(L947/16.67),""))</f>
        <v>4372.2097900419913</v>
      </c>
      <c r="U947" s="10"/>
      <c r="V947" s="9" t="str">
        <f t="shared" si="91"/>
        <v/>
      </c>
      <c r="W947" s="10">
        <v>45687</v>
      </c>
      <c r="X947" s="9" t="str">
        <f t="shared" si="92"/>
        <v>Approved</v>
      </c>
      <c r="Y947" s="10">
        <v>45716</v>
      </c>
      <c r="Z947" s="10">
        <f>IF($H947="Cancelled","",IFERROR(IF(F947="","",F947-Variables!$B$13),""))</f>
        <v>45732</v>
      </c>
      <c r="AA947" s="11">
        <f>IF($H947="Cancelled","",IFERROR(IF(W947="","",(AVERAGE(E947:F947)-W947)-Variables!$B$14),""))</f>
        <v>1</v>
      </c>
      <c r="AB947" s="10">
        <v>45728</v>
      </c>
      <c r="AC947" s="11">
        <f>IF($H947="Cancelled","",IFERROR(IF(AB947="","",IF(AND(W947="",Y947=""),"",IF(Y947&gt;W947,Y947+Variables!$B$15+Variables!$B$16+Variables!$B$17-AB947,W947+Variables!$B$16+Variables!$B$17-AB947))),""))</f>
        <v>3</v>
      </c>
      <c r="AD947" s="9" t="s">
        <v>163</v>
      </c>
      <c r="AE947" s="9" t="s">
        <v>844</v>
      </c>
      <c r="AF947" s="10"/>
      <c r="AG947" s="10"/>
      <c r="AH947" s="9"/>
      <c r="AI947" s="9">
        <v>251098049</v>
      </c>
      <c r="AJ947" s="9" t="s">
        <v>8</v>
      </c>
      <c r="AK947" s="10">
        <v>45377</v>
      </c>
      <c r="AL947" s="10">
        <v>45379</v>
      </c>
      <c r="AM947" s="10">
        <v>45754</v>
      </c>
      <c r="AN947" s="9" t="s">
        <v>1492</v>
      </c>
      <c r="AO947" s="9"/>
      <c r="AP947" s="11">
        <f>IF($H947="Cancelled","",IFERROR(IF(OR(AK947="",AB947=""),"",(AB947+Variables!$B$18-AK947)),""))</f>
        <v>358</v>
      </c>
      <c r="AQ947" s="11">
        <f>IF($H947="Cancelled","",IFERROR(IF(OR(AM947="",AK947=""),"",(AK947+Variables!$B$19)-AM947),""))</f>
        <v>-372</v>
      </c>
      <c r="AR947" s="12">
        <f>IF($H947="Cancelled","",IFERROR(T947*INDEX(Variables!$B$7:$D$7,IFERROR(MATCH(IF($B947="Robusta","Robusta",(IF($B947="","Arabica",$B947))&amp;" - "&amp;(IF($C947="","Commercial",$C947))),Variables!$B$1:$D$1,0),1))*(AQ947/365),""))</f>
        <v>-287.33657719978578</v>
      </c>
      <c r="AS947" s="12">
        <f>IF($H947="Cancelled","",IFERROR((T947*INDEX(Variables!$B$7:$D$7,IFERROR(MATCH(IF($B947="Robusta","Robusta",(IF($B947="","Arabica",$B947))&amp;" - "&amp;(IF($C947="","Commercial",$C947))),Variables!$B$1:$D$1,0),1))*IFERROR(IF(W947="","",(AVERAGE(E947:F947)-W947)-Variables!$B$14),"")/365)+(L947/16.67*INDEX(Variables!$B$8:$D$8,IFERROR(MATCH(IF($B947="Robusta","Robusta",(IF($B947="","Arabica",$B947))&amp;" - "&amp;(IF($C947="","Commercial",$C947))),Variables!$B$1:$D$1,0),1))*IFERROR(IF(W947="","",(AVERAGE(E947:F947)-W947)-Variables!$B$14),""))+(T947*INDEX(Variables!$B$9:$D$9,IFERROR(MATCH(IF($B947="Robusta","Robusta",(IF($B947="","Arabica",$B947))&amp;" - "&amp;(IF($C947="","Commercial",$C947))),Variables!$B$1:$D$1,0),1))*IFERROR(IF(W947="","",(AVERAGE(E947:F947)-W947)-Variables!$B$14),"")/365),""))</f>
        <v>1.2823680112928975</v>
      </c>
      <c r="AT947" s="12">
        <f>IF($H947="Cancelled","",IFERROR((T947*INDEX(Variables!$B$7:$D$7,IFERROR(MATCH(IF($B947="Robusta","Robusta",(IF($B947="","Arabica",$B947))&amp;" - "&amp;(IF($C947="","Commercial",$C947))),Variables!$B$1:$D$1,0),1))*AC947/365)+(L947/16.67*INDEX(Variables!$B$8:$D$8,IFERROR(MATCH(IF($B947="Robusta","Robusta",(IF($B947="","Arabica",$B947))&amp;" - "&amp;(IF($C947="","Commercial",$C947))),Variables!$B$1:$D$1,0),1))*AC947)+(T947*INDEX(Variables!$B$9:$D$9,IFERROR(MATCH(IF($B947="Robusta","Robusta",(IF($B947="","Arabica",$B947))&amp;" - "&amp;(IF($C947="","Commercial",$C947))),Variables!$B$1:$D$1,0),1))*AC947/365),""))</f>
        <v>3.847104033878693</v>
      </c>
      <c r="AU947" s="12">
        <f>IF($H947="Cancelled","",IFERROR((T947*INDEX(Variables!$B$7:$D$7,IFERROR(MATCH(IF($B947="Robusta","Robusta",(IF($B947="","Arabica",$B947))&amp;" - "&amp;(IF($C947="","Commercial",$C947))),Variables!$B$1:$D$1,0),1))*AP947/365)+(L947/16.67*INDEX(Variables!$B$8:$D$8,IFERROR(MATCH(IF($B947="Robusta","Robusta",(IF($B947="","Arabica",$B947))&amp;" - "&amp;(IF($C947="","Commercial",$C947))),Variables!$B$1:$D$1,0),1))*AP947)+(T947*INDEX(Variables!$B$9:$D$9,IFERROR(MATCH(IF($B947="Robusta","Robusta",(IF($B947="","Arabica",$B947))&amp;" - "&amp;(IF($C947="","Commercial",$C947))),Variables!$B$1:$D$1,0),1))*AP947/365),""))</f>
        <v>459.08774804285736</v>
      </c>
      <c r="AV947" s="11">
        <f t="shared" si="90"/>
        <v>370</v>
      </c>
      <c r="AW947" s="12">
        <f>IF($H947="Cancelled","",IFERROR(IF(AV947="","",(T947*INDEX(Variables!$B$7:$D$7,IFERROR(MATCH(IF($B947="Robusta","Robusta",(IF($B947="","Arabica",$B947))&amp;" - "&amp;(IF($C947="","Commercial",$C947))),Variables!$B$1:$D$1,0),1))*(AV947/365))+(T947*INDEX(Variables!$B$9:$D$9,IFERROR(MATCH(IF($B947="Robusta","Robusta",(IF($B947="","Arabica",$B947))&amp;" - "&amp;(IF($C947="","Commercial",$C947))),Variables!$B$1:$D$1,0),1))*(AV947/365))+(INDEX(Variables!$B$8:$D$8,IFERROR(MATCH(IF($B947="Robusta","Robusta",(IF($B947="","Arabica",$B947))&amp;" - "&amp;(IF($C947="","Commercial",$C947))),Variables!$B$1:$D$1,0),1))*L947/16.67)),""))</f>
        <v>289.97616417837213</v>
      </c>
      <c r="AX947" s="9"/>
      <c r="AY947" s="12"/>
      <c r="AZ947" s="10"/>
      <c r="BA947" s="9"/>
      <c r="BB947" s="10"/>
      <c r="BC947" s="9"/>
      <c r="BD947" s="9"/>
      <c r="BE947" s="9"/>
      <c r="BF947" s="9"/>
    </row>
    <row r="948" spans="1:58" x14ac:dyDescent="0.25">
      <c r="A948" s="9" t="s">
        <v>84</v>
      </c>
      <c r="B948" s="9" t="s">
        <v>85</v>
      </c>
      <c r="C948" s="9" t="s">
        <v>1486</v>
      </c>
      <c r="D948" s="10">
        <v>45695</v>
      </c>
      <c r="E948" s="10">
        <v>45689</v>
      </c>
      <c r="F948" s="10">
        <v>45747</v>
      </c>
      <c r="G948" s="9">
        <v>3786703</v>
      </c>
      <c r="H948" s="9" t="str">
        <f t="shared" si="88"/>
        <v>Closed</v>
      </c>
      <c r="I948" s="9" t="str">
        <f t="shared" si="89"/>
        <v>All dates received</v>
      </c>
      <c r="J948" s="9" t="s">
        <v>303</v>
      </c>
      <c r="K948" s="9" t="s">
        <v>2030</v>
      </c>
      <c r="L948" s="11">
        <v>10</v>
      </c>
      <c r="M948" s="9" t="s">
        <v>2031</v>
      </c>
      <c r="N948" s="9"/>
      <c r="O948" s="9"/>
      <c r="P948" s="9"/>
      <c r="Q948" s="11">
        <v>52.8</v>
      </c>
      <c r="R948" s="9" t="s">
        <v>195</v>
      </c>
      <c r="S948" s="9" t="s">
        <v>91</v>
      </c>
      <c r="T948" s="12">
        <f>IF($H948="Cancelled","",IFERROR(((Q948+INDEX(Variables!$B$6:$D$6,IFERROR(MATCH(IF($B948="Robusta","Robusta",(IF($B948="","Arabica",$B948))&amp;" - "&amp;(IF($C948="","Commercial",$C948))),Variables!$B$1:$D$1,0),1)))*22.0462)*(L948/16.67),""))</f>
        <v>4544.1357648470303</v>
      </c>
      <c r="U948" s="10"/>
      <c r="V948" s="9" t="str">
        <f t="shared" si="91"/>
        <v/>
      </c>
      <c r="W948" s="10">
        <v>45687</v>
      </c>
      <c r="X948" s="9" t="str">
        <f t="shared" si="92"/>
        <v>Approved</v>
      </c>
      <c r="Y948" s="10">
        <v>45744</v>
      </c>
      <c r="Z948" s="10">
        <f>IF($H948="Cancelled","",IFERROR(IF(F948="","",F948-Variables!$B$13),""))</f>
        <v>45732</v>
      </c>
      <c r="AA948" s="11">
        <f>IF($H948="Cancelled","",IFERROR(IF(W948="","",(AVERAGE(E948:F948)-W948)-Variables!$B$14),""))</f>
        <v>1</v>
      </c>
      <c r="AB948" s="10">
        <v>45728</v>
      </c>
      <c r="AC948" s="11">
        <f>IF($H948="Cancelled","",IFERROR(IF(AB948="","",IF(AND(W948="",Y948=""),"",IF(Y948&gt;W948,Y948+Variables!$B$15+Variables!$B$16+Variables!$B$17-AB948,W948+Variables!$B$16+Variables!$B$17-AB948))),""))</f>
        <v>31</v>
      </c>
      <c r="AD948" s="9" t="s">
        <v>163</v>
      </c>
      <c r="AE948" s="9" t="s">
        <v>844</v>
      </c>
      <c r="AF948" s="10"/>
      <c r="AG948" s="10"/>
      <c r="AH948" s="9"/>
      <c r="AI948" s="9">
        <v>251098049</v>
      </c>
      <c r="AJ948" s="9" t="s">
        <v>8</v>
      </c>
      <c r="AK948" s="10">
        <v>45377</v>
      </c>
      <c r="AL948" s="10">
        <v>45379</v>
      </c>
      <c r="AM948" s="10">
        <v>45754</v>
      </c>
      <c r="AN948" s="9" t="s">
        <v>1492</v>
      </c>
      <c r="AO948" s="9"/>
      <c r="AP948" s="11">
        <f>IF($H948="Cancelled","",IFERROR(IF(OR(AK948="",AB948=""),"",(AB948+Variables!$B$18-AK948)),""))</f>
        <v>358</v>
      </c>
      <c r="AQ948" s="11">
        <f>IF($H948="Cancelled","",IFERROR(IF(OR(AM948="",AK948=""),"",(AK948+Variables!$B$19)-AM948),""))</f>
        <v>-372</v>
      </c>
      <c r="AR948" s="12">
        <f>IF($H948="Cancelled","",IFERROR(T948*INDEX(Variables!$B$7:$D$7,IFERROR(MATCH(IF($B948="Robusta","Robusta",(IF($B948="","Arabica",$B948))&amp;" - "&amp;(IF($C948="","Commercial",$C948))),Variables!$B$1:$D$1,0),1))*(AQ948/365),""))</f>
        <v>-298.63535367769629</v>
      </c>
      <c r="AS948" s="12">
        <f>IF($H948="Cancelled","",IFERROR((T948*INDEX(Variables!$B$7:$D$7,IFERROR(MATCH(IF($B948="Robusta","Robusta",(IF($B948="","Arabica",$B948))&amp;" - "&amp;(IF($C948="","Commercial",$C948))),Variables!$B$1:$D$1,0),1))*IFERROR(IF(W948="","",(AVERAGE(E948:F948)-W948)-Variables!$B$14),"")/365)+(L948/16.67*INDEX(Variables!$B$8:$D$8,IFERROR(MATCH(IF($B948="Robusta","Robusta",(IF($B948="","Arabica",$B948))&amp;" - "&amp;(IF($C948="","Commercial",$C948))),Variables!$B$1:$D$1,0),1))*IFERROR(IF(W948="","",(AVERAGE(E948:F948)-W948)-Variables!$B$14),""))+(T948*INDEX(Variables!$B$9:$D$9,IFERROR(MATCH(IF($B948="Robusta","Robusta",(IF($B948="","Arabica",$B948))&amp;" - "&amp;(IF($C948="","Commercial",$C948))),Variables!$B$1:$D$1,0),1))*IFERROR(IF(W948="","",(AVERAGE(E948:F948)-W948)-Variables!$B$14),"")/365),""))</f>
        <v>1.3131326336365383</v>
      </c>
      <c r="AT948" s="12">
        <f>IF($H948="Cancelled","",IFERROR((T948*INDEX(Variables!$B$7:$D$7,IFERROR(MATCH(IF($B948="Robusta","Robusta",(IF($B948="","Arabica",$B948))&amp;" - "&amp;(IF($C948="","Commercial",$C948))),Variables!$B$1:$D$1,0),1))*AC948/365)+(L948/16.67*INDEX(Variables!$B$8:$D$8,IFERROR(MATCH(IF($B948="Robusta","Robusta",(IF($B948="","Arabica",$B948))&amp;" - "&amp;(IF($C948="","Commercial",$C948))),Variables!$B$1:$D$1,0),1))*AC948)+(T948*INDEX(Variables!$B$9:$D$9,IFERROR(MATCH(IF($B948="Robusta","Robusta",(IF($B948="","Arabica",$B948))&amp;" - "&amp;(IF($C948="","Commercial",$C948))),Variables!$B$1:$D$1,0),1))*AC948/365),""))</f>
        <v>40.707111642732691</v>
      </c>
      <c r="AU948" s="12">
        <f>IF($H948="Cancelled","",IFERROR((T948*INDEX(Variables!$B$7:$D$7,IFERROR(MATCH(IF($B948="Robusta","Robusta",(IF($B948="","Arabica",$B948))&amp;" - "&amp;(IF($C948="","Commercial",$C948))),Variables!$B$1:$D$1,0),1))*AP948/365)+(L948/16.67*INDEX(Variables!$B$8:$D$8,IFERROR(MATCH(IF($B948="Robusta","Robusta",(IF($B948="","Arabica",$B948))&amp;" - "&amp;(IF($C948="","Commercial",$C948))),Variables!$B$1:$D$1,0),1))*AP948)+(T948*INDEX(Variables!$B$9:$D$9,IFERROR(MATCH(IF($B948="Robusta","Robusta",(IF($B948="","Arabica",$B948))&amp;" - "&amp;(IF($C948="","Commercial",$C948))),Variables!$B$1:$D$1,0),1))*AP948/365),""))</f>
        <v>470.1014828418808</v>
      </c>
      <c r="AV948" s="11">
        <f t="shared" si="90"/>
        <v>370</v>
      </c>
      <c r="AW948" s="12">
        <f>IF($H948="Cancelled","",IFERROR(IF(AV948="","",(T948*INDEX(Variables!$B$7:$D$7,IFERROR(MATCH(IF($B948="Robusta","Robusta",(IF($B948="","Arabica",$B948))&amp;" - "&amp;(IF($C948="","Commercial",$C948))),Variables!$B$1:$D$1,0),1))*(AV948/365))+(T948*INDEX(Variables!$B$9:$D$9,IFERROR(MATCH(IF($B948="Robusta","Robusta",(IF($B948="","Arabica",$B948))&amp;" - "&amp;(IF($C948="","Commercial",$C948))),Variables!$B$1:$D$1,0),1))*(AV948/365))+(INDEX(Variables!$B$8:$D$8,IFERROR(MATCH(IF($B948="Robusta","Robusta",(IF($B948="","Arabica",$B948))&amp;" - "&amp;(IF($C948="","Commercial",$C948))),Variables!$B$1:$D$1,0),1))*L948/16.67)),""))</f>
        <v>301.35907444551924</v>
      </c>
      <c r="AX948" s="9"/>
      <c r="AY948" s="12"/>
      <c r="AZ948" s="10"/>
      <c r="BA948" s="9"/>
      <c r="BB948" s="10"/>
      <c r="BC948" s="9"/>
      <c r="BD948" s="9"/>
      <c r="BE948" s="9"/>
      <c r="BF948" s="9"/>
    </row>
    <row r="949" spans="1:58" x14ac:dyDescent="0.25">
      <c r="A949" s="9" t="s">
        <v>84</v>
      </c>
      <c r="B949" s="9" t="s">
        <v>85</v>
      </c>
      <c r="C949" s="9" t="s">
        <v>1486</v>
      </c>
      <c r="D949" s="10">
        <v>45695</v>
      </c>
      <c r="E949" s="10">
        <v>45717</v>
      </c>
      <c r="F949" s="10">
        <v>45747</v>
      </c>
      <c r="G949" s="9">
        <v>3786695</v>
      </c>
      <c r="H949" s="9" t="str">
        <f t="shared" si="88"/>
        <v>Cancelled</v>
      </c>
      <c r="I949" s="9" t="str">
        <f t="shared" si="89"/>
        <v>No sailing date and No shipping advice sent and No docs dispatch date</v>
      </c>
      <c r="J949" s="9" t="s">
        <v>1487</v>
      </c>
      <c r="K949" s="9"/>
      <c r="L949" s="11"/>
      <c r="M949" s="9" t="s">
        <v>2032</v>
      </c>
      <c r="N949" s="9"/>
      <c r="O949" s="9"/>
      <c r="P949" s="9"/>
      <c r="Q949" s="11">
        <v>69.8</v>
      </c>
      <c r="R949" s="9" t="s">
        <v>195</v>
      </c>
      <c r="S949" s="9"/>
      <c r="T949" s="12" t="str">
        <f>IF($H949="Cancelled","",IFERROR(((Q949+INDEX(Variables!$B$6:$D$6,IFERROR(MATCH(IF($B949="Robusta","Robusta",(IF($B949="","Arabica",$B949))&amp;" - "&amp;(IF($C949="","Commercial",$C949))),Variables!$B$1:$D$1,0),1)))*22.0462)*(L949/16.67),""))</f>
        <v/>
      </c>
      <c r="U949" s="10"/>
      <c r="V949" s="9" t="str">
        <f t="shared" si="91"/>
        <v/>
      </c>
      <c r="W949" s="10"/>
      <c r="X949" s="9" t="str">
        <f t="shared" si="92"/>
        <v/>
      </c>
      <c r="Y949" s="10"/>
      <c r="Z949" s="10" t="str">
        <f>IF($H949="Cancelled","",IFERROR(IF(F949="","",F949-Variables!$B$13),""))</f>
        <v/>
      </c>
      <c r="AA949" s="11" t="str">
        <f>IF($H949="Cancelled","",IFERROR(IF(W949="","",(AVERAGE(E949:F949)-W949)-Variables!$B$14),""))</f>
        <v/>
      </c>
      <c r="AB949" s="10"/>
      <c r="AC949" s="11" t="str">
        <f>IF($H949="Cancelled","",IFERROR(IF(AB949="","",IF(AND(W949="",Y949=""),"",IF(Y949&gt;W949,Y949+Variables!$B$15+Variables!$B$16+Variables!$B$17-AB949,W949+Variables!$B$16+Variables!$B$17-AB949))),""))</f>
        <v/>
      </c>
      <c r="AD949" s="9"/>
      <c r="AE949" s="9"/>
      <c r="AF949" s="10"/>
      <c r="AG949" s="10"/>
      <c r="AH949" s="9"/>
      <c r="AI949" s="9"/>
      <c r="AJ949" s="9"/>
      <c r="AK949" s="10"/>
      <c r="AL949" s="10"/>
      <c r="AM949" s="10"/>
      <c r="AN949" s="9" t="s">
        <v>2032</v>
      </c>
      <c r="AO949" s="9"/>
      <c r="AP949" s="11" t="str">
        <f>IF($H949="Cancelled","",IFERROR(IF(OR(AK949="",AB949=""),"",(AB949+Variables!$B$18-AK949)),""))</f>
        <v/>
      </c>
      <c r="AQ949" s="11" t="str">
        <f>IF($H949="Cancelled","",IFERROR(IF(OR(AM949="",AK949=""),"",(AK949+Variables!$B$19)-AM949),""))</f>
        <v/>
      </c>
      <c r="AR949" s="12" t="str">
        <f>IF($H949="Cancelled","",IFERROR(T949*INDEX(Variables!$B$7:$D$7,IFERROR(MATCH(IF($B949="Robusta","Robusta",(IF($B949="","Arabica",$B949))&amp;" - "&amp;(IF($C949="","Commercial",$C949))),Variables!$B$1:$D$1,0),1))*(AQ949/365),""))</f>
        <v/>
      </c>
      <c r="AS949" s="12" t="str">
        <f>IF($H949="Cancelled","",IFERROR((T949*INDEX(Variables!$B$7:$D$7,IFERROR(MATCH(IF($B949="Robusta","Robusta",(IF($B949="","Arabica",$B949))&amp;" - "&amp;(IF($C949="","Commercial",$C949))),Variables!$B$1:$D$1,0),1))*IFERROR(IF(W949="","",(AVERAGE(E949:F949)-W949)-Variables!$B$14),"")/365)+(L949/16.67*INDEX(Variables!$B$8:$D$8,IFERROR(MATCH(IF($B949="Robusta","Robusta",(IF($B949="","Arabica",$B949))&amp;" - "&amp;(IF($C949="","Commercial",$C949))),Variables!$B$1:$D$1,0),1))*IFERROR(IF(W949="","",(AVERAGE(E949:F949)-W949)-Variables!$B$14),""))+(T949*INDEX(Variables!$B$9:$D$9,IFERROR(MATCH(IF($B949="Robusta","Robusta",(IF($B949="","Arabica",$B949))&amp;" - "&amp;(IF($C949="","Commercial",$C949))),Variables!$B$1:$D$1,0),1))*IFERROR(IF(W949="","",(AVERAGE(E949:F949)-W949)-Variables!$B$14),"")/365),""))</f>
        <v/>
      </c>
      <c r="AT949" s="12" t="str">
        <f>IF($H949="Cancelled","",IFERROR((T949*INDEX(Variables!$B$7:$D$7,IFERROR(MATCH(IF($B949="Robusta","Robusta",(IF($B949="","Arabica",$B949))&amp;" - "&amp;(IF($C949="","Commercial",$C949))),Variables!$B$1:$D$1,0),1))*AC949/365)+(L949/16.67*INDEX(Variables!$B$8:$D$8,IFERROR(MATCH(IF($B949="Robusta","Robusta",(IF($B949="","Arabica",$B949))&amp;" - "&amp;(IF($C949="","Commercial",$C949))),Variables!$B$1:$D$1,0),1))*AC949)+(T949*INDEX(Variables!$B$9:$D$9,IFERROR(MATCH(IF($B949="Robusta","Robusta",(IF($B949="","Arabica",$B949))&amp;" - "&amp;(IF($C949="","Commercial",$C949))),Variables!$B$1:$D$1,0),1))*AC949/365),""))</f>
        <v/>
      </c>
      <c r="AU949" s="12" t="str">
        <f>IF($H949="Cancelled","",IFERROR((T949*INDEX(Variables!$B$7:$D$7,IFERROR(MATCH(IF($B949="Robusta","Robusta",(IF($B949="","Arabica",$B949))&amp;" - "&amp;(IF($C949="","Commercial",$C949))),Variables!$B$1:$D$1,0),1))*AP949/365)+(L949/16.67*INDEX(Variables!$B$8:$D$8,IFERROR(MATCH(IF($B949="Robusta","Robusta",(IF($B949="","Arabica",$B949))&amp;" - "&amp;(IF($C949="","Commercial",$C949))),Variables!$B$1:$D$1,0),1))*AP949)+(T949*INDEX(Variables!$B$9:$D$9,IFERROR(MATCH(IF($B949="Robusta","Robusta",(IF($B949="","Arabica",$B949))&amp;" - "&amp;(IF($C949="","Commercial",$C949))),Variables!$B$1:$D$1,0),1))*AP949/365),""))</f>
        <v/>
      </c>
      <c r="AV949" s="11" t="str">
        <f t="shared" si="90"/>
        <v/>
      </c>
      <c r="AW949" s="12" t="str">
        <f>IF($H949="Cancelled","",IFERROR(IF(AV949="","",(T949*INDEX(Variables!$B$7:$D$7,IFERROR(MATCH(IF($B949="Robusta","Robusta",(IF($B949="","Arabica",$B949))&amp;" - "&amp;(IF($C949="","Commercial",$C949))),Variables!$B$1:$D$1,0),1))*(AV949/365))+(T949*INDEX(Variables!$B$9:$D$9,IFERROR(MATCH(IF($B949="Robusta","Robusta",(IF($B949="","Arabica",$B949))&amp;" - "&amp;(IF($C949="","Commercial",$C949))),Variables!$B$1:$D$1,0),1))*(AV949/365))+(INDEX(Variables!$B$8:$D$8,IFERROR(MATCH(IF($B949="Robusta","Robusta",(IF($B949="","Arabica",$B949))&amp;" - "&amp;(IF($C949="","Commercial",$C949))),Variables!$B$1:$D$1,0),1))*L949/16.67)),""))</f>
        <v/>
      </c>
      <c r="AX949" s="9"/>
      <c r="AY949" s="12"/>
      <c r="AZ949" s="10"/>
      <c r="BA949" s="9"/>
      <c r="BB949" s="10"/>
      <c r="BC949" s="9"/>
      <c r="BD949" s="9"/>
      <c r="BE949" s="9"/>
      <c r="BF949" s="9"/>
    </row>
    <row r="950" spans="1:58" x14ac:dyDescent="0.25">
      <c r="A950" s="9" t="s">
        <v>84</v>
      </c>
      <c r="B950" s="9" t="s">
        <v>85</v>
      </c>
      <c r="C950" s="9" t="s">
        <v>1486</v>
      </c>
      <c r="D950" s="10">
        <v>45705</v>
      </c>
      <c r="E950" s="10">
        <v>45689</v>
      </c>
      <c r="F950" s="10">
        <v>45747</v>
      </c>
      <c r="G950" s="9">
        <v>3786704</v>
      </c>
      <c r="H950" s="9" t="str">
        <f t="shared" si="88"/>
        <v>Closed</v>
      </c>
      <c r="I950" s="9" t="str">
        <f t="shared" si="89"/>
        <v>All dates received</v>
      </c>
      <c r="J950" s="9" t="s">
        <v>102</v>
      </c>
      <c r="K950" s="9" t="s">
        <v>2033</v>
      </c>
      <c r="L950" s="11">
        <v>30</v>
      </c>
      <c r="M950" s="9" t="s">
        <v>2034</v>
      </c>
      <c r="N950" s="9"/>
      <c r="O950" s="9"/>
      <c r="P950" s="9"/>
      <c r="Q950" s="11">
        <v>87.25</v>
      </c>
      <c r="R950" s="9" t="s">
        <v>195</v>
      </c>
      <c r="S950" s="9" t="s">
        <v>554</v>
      </c>
      <c r="T950" s="12">
        <f>IF($H950="Cancelled","",IFERROR(((Q950+INDEX(Variables!$B$6:$D$6,IFERROR(MATCH(IF($B950="Robusta","Robusta",(IF($B950="","Arabica",$B950))&amp;" - "&amp;(IF($C950="","Commercial",$C950))),Variables!$B$1:$D$1,0),1)))*22.0462)*(L950/16.67),""))</f>
        <v>14999.218794241149</v>
      </c>
      <c r="U950" s="10"/>
      <c r="V950" s="9" t="str">
        <f t="shared" si="91"/>
        <v/>
      </c>
      <c r="W950" s="10">
        <v>45687</v>
      </c>
      <c r="X950" s="9" t="str">
        <f t="shared" si="92"/>
        <v>Approved</v>
      </c>
      <c r="Y950" s="10">
        <v>45735</v>
      </c>
      <c r="Z950" s="10">
        <f>IF($H950="Cancelled","",IFERROR(IF(F950="","",F950-Variables!$B$13),""))</f>
        <v>45732</v>
      </c>
      <c r="AA950" s="11">
        <f>IF($H950="Cancelled","",IFERROR(IF(W950="","",(AVERAGE(E950:F950)-W950)-Variables!$B$14),""))</f>
        <v>1</v>
      </c>
      <c r="AB950" s="10">
        <v>45745</v>
      </c>
      <c r="AC950" s="11">
        <f>IF($H950="Cancelled","",IFERROR(IF(AB950="","",IF(AND(W950="",Y950=""),"",IF(Y950&gt;W950,Y950+Variables!$B$15+Variables!$B$16+Variables!$B$17-AB950,W950+Variables!$B$16+Variables!$B$17-AB950))),""))</f>
        <v>5</v>
      </c>
      <c r="AD950" s="9" t="s">
        <v>107</v>
      </c>
      <c r="AE950" s="9" t="s">
        <v>693</v>
      </c>
      <c r="AF950" s="10">
        <v>45758</v>
      </c>
      <c r="AG950" s="10"/>
      <c r="AH950" s="9"/>
      <c r="AI950" s="9" t="s">
        <v>1980</v>
      </c>
      <c r="AJ950" s="9" t="s">
        <v>8</v>
      </c>
      <c r="AK950" s="10">
        <v>45762</v>
      </c>
      <c r="AL950" s="10">
        <v>45764</v>
      </c>
      <c r="AM950" s="10">
        <v>45777</v>
      </c>
      <c r="AN950" s="9" t="s">
        <v>1492</v>
      </c>
      <c r="AO950" s="9"/>
      <c r="AP950" s="11">
        <f>IF($H950="Cancelled","",IFERROR(IF(OR(AK950="",AB950=""),"",(AB950+Variables!$B$18-AK950)),""))</f>
        <v>-10</v>
      </c>
      <c r="AQ950" s="11">
        <f>IF($H950="Cancelled","",IFERROR(IF(OR(AM950="",AK950=""),"",(AK950+Variables!$B$19)-AM950),""))</f>
        <v>-10</v>
      </c>
      <c r="AR950" s="12">
        <f>IF($H950="Cancelled","",IFERROR(T950*INDEX(Variables!$B$7:$D$7,IFERROR(MATCH(IF($B950="Robusta","Robusta",(IF($B950="","Arabica",$B950))&amp;" - "&amp;(IF($C950="","Commercial",$C950))),Variables!$B$1:$D$1,0),1))*(AQ950/365),""))</f>
        <v>-26.498154140657991</v>
      </c>
      <c r="AS950" s="12">
        <f>IF($H950="Cancelled","",IFERROR((T950*INDEX(Variables!$B$7:$D$7,IFERROR(MATCH(IF($B950="Robusta","Robusta",(IF($B950="","Arabica",$B950))&amp;" - "&amp;(IF($C950="","Commercial",$C950))),Variables!$B$1:$D$1,0),1))*IFERROR(IF(W950="","",(AVERAGE(E950:F950)-W950)-Variables!$B$14),"")/365)+(L950/16.67*INDEX(Variables!$B$8:$D$8,IFERROR(MATCH(IF($B950="Robusta","Robusta",(IF($B950="","Arabica",$B950))&amp;" - "&amp;(IF($C950="","Commercial",$C950))),Variables!$B$1:$D$1,0),1))*IFERROR(IF(W950="","",(AVERAGE(E950:F950)-W950)-Variables!$B$14),""))+(T950*INDEX(Variables!$B$9:$D$9,IFERROR(MATCH(IF($B950="Robusta","Robusta",(IF($B950="","Arabica",$B950))&amp;" - "&amp;(IF($C950="","Commercial",$C950))),Variables!$B$1:$D$1,0),1))*IFERROR(IF(W950="","",(AVERAGE(E950:F950)-W950)-Variables!$B$14),"")/365),""))</f>
        <v>4.1839766485415595</v>
      </c>
      <c r="AT950" s="12">
        <f>IF($H950="Cancelled","",IFERROR((T950*INDEX(Variables!$B$7:$D$7,IFERROR(MATCH(IF($B950="Robusta","Robusta",(IF($B950="","Arabica",$B950))&amp;" - "&amp;(IF($C950="","Commercial",$C950))),Variables!$B$1:$D$1,0),1))*AC950/365)+(L950/16.67*INDEX(Variables!$B$8:$D$8,IFERROR(MATCH(IF($B950="Robusta","Robusta",(IF($B950="","Arabica",$B950))&amp;" - "&amp;(IF($C950="","Commercial",$C950))),Variables!$B$1:$D$1,0),1))*AC950)+(T950*INDEX(Variables!$B$9:$D$9,IFERROR(MATCH(IF($B950="Robusta","Robusta",(IF($B950="","Arabica",$B950))&amp;" - "&amp;(IF($C950="","Commercial",$C950))),Variables!$B$1:$D$1,0),1))*AC950/365),""))</f>
        <v>20.919883242707801</v>
      </c>
      <c r="AU950" s="12">
        <f>IF($H950="Cancelled","",IFERROR((T950*INDEX(Variables!$B$7:$D$7,IFERROR(MATCH(IF($B950="Robusta","Robusta",(IF($B950="","Arabica",$B950))&amp;" - "&amp;(IF($C950="","Commercial",$C950))),Variables!$B$1:$D$1,0),1))*AP950/365)+(L950/16.67*INDEX(Variables!$B$8:$D$8,IFERROR(MATCH(IF($B950="Robusta","Robusta",(IF($B950="","Arabica",$B950))&amp;" - "&amp;(IF($C950="","Commercial",$C950))),Variables!$B$1:$D$1,0),1))*AP950)+(T950*INDEX(Variables!$B$9:$D$9,IFERROR(MATCH(IF($B950="Robusta","Robusta",(IF($B950="","Arabica",$B950))&amp;" - "&amp;(IF($C950="","Commercial",$C950))),Variables!$B$1:$D$1,0),1))*AP950/365),""))</f>
        <v>-41.839766485415602</v>
      </c>
      <c r="AV950" s="11">
        <f t="shared" si="90"/>
        <v>-15</v>
      </c>
      <c r="AW950" s="12">
        <f>IF($H950="Cancelled","",IFERROR(IF(AV950="","",(T950*INDEX(Variables!$B$7:$D$7,IFERROR(MATCH(IF($B950="Robusta","Robusta",(IF($B950="","Arabica",$B950))&amp;" - "&amp;(IF($C950="","Commercial",$C950))),Variables!$B$1:$D$1,0),1))*(AV950/365))+(T950*INDEX(Variables!$B$9:$D$9,IFERROR(MATCH(IF($B950="Robusta","Robusta",(IF($B950="","Arabica",$B950))&amp;" - "&amp;(IF($C950="","Commercial",$C950))),Variables!$B$1:$D$1,0),1))*(AV950/365))+(INDEX(Variables!$B$8:$D$8,IFERROR(MATCH(IF($B950="Robusta","Robusta",(IF($B950="","Arabica",$B950))&amp;" - "&amp;(IF($C950="","Commercial",$C950))),Variables!$B$1:$D$1,0),1))*L950/16.67)),""))</f>
        <v>-38.759649728123392</v>
      </c>
      <c r="AX950" s="9"/>
      <c r="AY950" s="12"/>
      <c r="AZ950" s="10"/>
      <c r="BA950" s="9"/>
      <c r="BB950" s="10"/>
      <c r="BC950" s="9"/>
      <c r="BD950" s="9"/>
      <c r="BE950" s="9"/>
      <c r="BF950" s="9"/>
    </row>
    <row r="951" spans="1:58" x14ac:dyDescent="0.25">
      <c r="A951" s="9" t="s">
        <v>84</v>
      </c>
      <c r="B951" s="9" t="s">
        <v>85</v>
      </c>
      <c r="C951" s="9" t="s">
        <v>1486</v>
      </c>
      <c r="D951" s="10">
        <v>45705</v>
      </c>
      <c r="E951" s="10">
        <v>45689</v>
      </c>
      <c r="F951" s="10">
        <v>45747</v>
      </c>
      <c r="G951" s="9">
        <v>3786705</v>
      </c>
      <c r="H951" s="9" t="str">
        <f t="shared" si="88"/>
        <v>Closed</v>
      </c>
      <c r="I951" s="9" t="str">
        <f t="shared" si="89"/>
        <v>All dates received</v>
      </c>
      <c r="J951" s="9" t="s">
        <v>102</v>
      </c>
      <c r="K951" s="9" t="s">
        <v>2035</v>
      </c>
      <c r="L951" s="11">
        <v>15</v>
      </c>
      <c r="M951" s="9" t="s">
        <v>2036</v>
      </c>
      <c r="N951" s="9"/>
      <c r="O951" s="9"/>
      <c r="P951" s="9"/>
      <c r="Q951" s="11">
        <v>108</v>
      </c>
      <c r="R951" s="9" t="s">
        <v>195</v>
      </c>
      <c r="S951" s="9" t="s">
        <v>554</v>
      </c>
      <c r="T951" s="12">
        <f>IF($H951="Cancelled","",IFERROR(((Q951+INDEX(Variables!$B$6:$D$6,IFERROR(MATCH(IF($B951="Robusta","Robusta",(IF($B951="","Arabica",$B951))&amp;" - "&amp;(IF($C951="","Commercial",$C951))),Variables!$B$1:$D$1,0),1)))*22.0462)*(L951/16.67),""))</f>
        <v>7911.2398560287938</v>
      </c>
      <c r="U951" s="10"/>
      <c r="V951" s="9" t="str">
        <f t="shared" si="91"/>
        <v/>
      </c>
      <c r="W951" s="10">
        <v>45687</v>
      </c>
      <c r="X951" s="9" t="str">
        <f t="shared" si="92"/>
        <v>Approved</v>
      </c>
      <c r="Y951" s="10">
        <v>45735</v>
      </c>
      <c r="Z951" s="10">
        <f>IF($H951="Cancelled","",IFERROR(IF(F951="","",F951-Variables!$B$13),""))</f>
        <v>45732</v>
      </c>
      <c r="AA951" s="11">
        <f>IF($H951="Cancelled","",IFERROR(IF(W951="","",(AVERAGE(E951:F951)-W951)-Variables!$B$14),""))</f>
        <v>1</v>
      </c>
      <c r="AB951" s="10">
        <v>45745</v>
      </c>
      <c r="AC951" s="11">
        <f>IF($H951="Cancelled","",IFERROR(IF(AB951="","",IF(AND(W951="",Y951=""),"",IF(Y951&gt;W951,Y951+Variables!$B$15+Variables!$B$16+Variables!$B$17-AB951,W951+Variables!$B$16+Variables!$B$17-AB951))),""))</f>
        <v>5</v>
      </c>
      <c r="AD951" s="9" t="s">
        <v>107</v>
      </c>
      <c r="AE951" s="9" t="s">
        <v>693</v>
      </c>
      <c r="AF951" s="10">
        <v>45758</v>
      </c>
      <c r="AG951" s="10"/>
      <c r="AH951" s="9"/>
      <c r="AI951" s="9" t="s">
        <v>1980</v>
      </c>
      <c r="AJ951" s="9" t="s">
        <v>8</v>
      </c>
      <c r="AK951" s="10">
        <v>45762</v>
      </c>
      <c r="AL951" s="10">
        <v>45764</v>
      </c>
      <c r="AM951" s="10">
        <v>45777</v>
      </c>
      <c r="AN951" s="9" t="s">
        <v>1492</v>
      </c>
      <c r="AO951" s="9"/>
      <c r="AP951" s="11">
        <f>IF($H951="Cancelled","",IFERROR(IF(OR(AK951="",AB951=""),"",(AB951+Variables!$B$18-AK951)),""))</f>
        <v>-10</v>
      </c>
      <c r="AQ951" s="11">
        <f>IF($H951="Cancelled","",IFERROR(IF(OR(AM951="",AK951=""),"",(AK951+Variables!$B$19)-AM951),""))</f>
        <v>-10</v>
      </c>
      <c r="AR951" s="12">
        <f>IF($H951="Cancelled","",IFERROR(T951*INDEX(Variables!$B$7:$D$7,IFERROR(MATCH(IF($B951="Robusta","Robusta",(IF($B951="","Arabica",$B951))&amp;" - "&amp;(IF($C951="","Commercial",$C951))),Variables!$B$1:$D$1,0),1))*(AQ951/365),""))</f>
        <v>-13.97627809984712</v>
      </c>
      <c r="AS951" s="12">
        <f>IF($H951="Cancelled","",IFERROR((T951*INDEX(Variables!$B$7:$D$7,IFERROR(MATCH(IF($B951="Robusta","Robusta",(IF($B951="","Arabica",$B951))&amp;" - "&amp;(IF($C951="","Commercial",$C951))),Variables!$B$1:$D$1,0),1))*IFERROR(IF(W951="","",(AVERAGE(E951:F951)-W951)-Variables!$B$14),"")/365)+(L951/16.67*INDEX(Variables!$B$8:$D$8,IFERROR(MATCH(IF($B951="Robusta","Robusta",(IF($B951="","Arabica",$B951))&amp;" - "&amp;(IF($C951="","Commercial",$C951))),Variables!$B$1:$D$1,0),1))*IFERROR(IF(W951="","",(AVERAGE(E951:F951)-W951)-Variables!$B$14),""))+(T951*INDEX(Variables!$B$9:$D$9,IFERROR(MATCH(IF($B951="Robusta","Robusta",(IF($B951="","Arabica",$B951))&amp;" - "&amp;(IF($C951="","Commercial",$C951))),Variables!$B$1:$D$1,0),1))*IFERROR(IF(W951="","",(AVERAGE(E951:F951)-W951)-Variables!$B$14),"")/365),""))</f>
        <v>2.1656459296896897</v>
      </c>
      <c r="AT951" s="12">
        <f>IF($H951="Cancelled","",IFERROR((T951*INDEX(Variables!$B$7:$D$7,IFERROR(MATCH(IF($B951="Robusta","Robusta",(IF($B951="","Arabica",$B951))&amp;" - "&amp;(IF($C951="","Commercial",$C951))),Variables!$B$1:$D$1,0),1))*AC951/365)+(L951/16.67*INDEX(Variables!$B$8:$D$8,IFERROR(MATCH(IF($B951="Robusta","Robusta",(IF($B951="","Arabica",$B951))&amp;" - "&amp;(IF($C951="","Commercial",$C951))),Variables!$B$1:$D$1,0),1))*AC951)+(T951*INDEX(Variables!$B$9:$D$9,IFERROR(MATCH(IF($B951="Robusta","Robusta",(IF($B951="","Arabica",$B951))&amp;" - "&amp;(IF($C951="","Commercial",$C951))),Variables!$B$1:$D$1,0),1))*AC951/365),""))</f>
        <v>10.828229648448447</v>
      </c>
      <c r="AU951" s="12">
        <f>IF($H951="Cancelled","",IFERROR((T951*INDEX(Variables!$B$7:$D$7,IFERROR(MATCH(IF($B951="Robusta","Robusta",(IF($B951="","Arabica",$B951))&amp;" - "&amp;(IF($C951="","Commercial",$C951))),Variables!$B$1:$D$1,0),1))*AP951/365)+(L951/16.67*INDEX(Variables!$B$8:$D$8,IFERROR(MATCH(IF($B951="Robusta","Robusta",(IF($B951="","Arabica",$B951))&amp;" - "&amp;(IF($C951="","Commercial",$C951))),Variables!$B$1:$D$1,0),1))*AP951)+(T951*INDEX(Variables!$B$9:$D$9,IFERROR(MATCH(IF($B951="Robusta","Robusta",(IF($B951="","Arabica",$B951))&amp;" - "&amp;(IF($C951="","Commercial",$C951))),Variables!$B$1:$D$1,0),1))*AP951/365),""))</f>
        <v>-21.656459296896895</v>
      </c>
      <c r="AV951" s="11">
        <f t="shared" si="90"/>
        <v>-15</v>
      </c>
      <c r="AW951" s="12">
        <f>IF($H951="Cancelled","",IFERROR(IF(AV951="","",(T951*INDEX(Variables!$B$7:$D$7,IFERROR(MATCH(IF($B951="Robusta","Robusta",(IF($B951="","Arabica",$B951))&amp;" - "&amp;(IF($C951="","Commercial",$C951))),Variables!$B$1:$D$1,0),1))*(AV951/365))+(T951*INDEX(Variables!$B$9:$D$9,IFERROR(MATCH(IF($B951="Robusta","Robusta",(IF($B951="","Arabica",$B951))&amp;" - "&amp;(IF($C951="","Commercial",$C951))),Variables!$B$1:$D$1,0),1))*(AV951/365))+(INDEX(Variables!$B$8:$D$8,IFERROR(MATCH(IF($B951="Robusta","Robusta",(IF($B951="","Arabica",$B951))&amp;" - "&amp;(IF($C951="","Commercial",$C951))),Variables!$B$1:$D$1,0),1))*L951/16.67)),""))</f>
        <v>-20.48468894534534</v>
      </c>
      <c r="AX951" s="9"/>
      <c r="AY951" s="12"/>
      <c r="AZ951" s="10"/>
      <c r="BA951" s="9"/>
      <c r="BB951" s="10"/>
      <c r="BC951" s="9"/>
      <c r="BD951" s="9"/>
      <c r="BE951" s="9"/>
      <c r="BF951" s="9"/>
    </row>
    <row r="952" spans="1:58" x14ac:dyDescent="0.25">
      <c r="A952" s="9" t="s">
        <v>84</v>
      </c>
      <c r="B952" s="9" t="s">
        <v>85</v>
      </c>
      <c r="C952" s="9" t="s">
        <v>1486</v>
      </c>
      <c r="D952" s="10">
        <v>45705</v>
      </c>
      <c r="E952" s="10">
        <v>45689</v>
      </c>
      <c r="F952" s="10">
        <v>45747</v>
      </c>
      <c r="G952" s="9">
        <v>3786706</v>
      </c>
      <c r="H952" s="9" t="str">
        <f t="shared" si="88"/>
        <v>Closed</v>
      </c>
      <c r="I952" s="9" t="str">
        <f t="shared" si="89"/>
        <v>All dates received</v>
      </c>
      <c r="J952" s="9" t="s">
        <v>102</v>
      </c>
      <c r="K952" s="9" t="s">
        <v>2037</v>
      </c>
      <c r="L952" s="11">
        <v>15</v>
      </c>
      <c r="M952" s="9" t="s">
        <v>2038</v>
      </c>
      <c r="N952" s="9"/>
      <c r="O952" s="9"/>
      <c r="P952" s="9"/>
      <c r="Q952" s="11">
        <v>94</v>
      </c>
      <c r="R952" s="9" t="s">
        <v>195</v>
      </c>
      <c r="S952" s="9" t="s">
        <v>554</v>
      </c>
      <c r="T952" s="12">
        <f>IF($H952="Cancelled","",IFERROR(((Q952+INDEX(Variables!$B$6:$D$6,IFERROR(MATCH(IF($B952="Robusta","Robusta",(IF($B952="","Arabica",$B952))&amp;" - "&amp;(IF($C952="","Commercial",$C952))),Variables!$B$1:$D$1,0),1)))*22.0462)*(L952/16.67),""))</f>
        <v>7633.5132813437303</v>
      </c>
      <c r="U952" s="10"/>
      <c r="V952" s="9" t="str">
        <f t="shared" si="91"/>
        <v/>
      </c>
      <c r="W952" s="10">
        <v>45687</v>
      </c>
      <c r="X952" s="9" t="str">
        <f t="shared" si="92"/>
        <v>Approved</v>
      </c>
      <c r="Y952" s="10">
        <v>45735</v>
      </c>
      <c r="Z952" s="10">
        <f>IF($H952="Cancelled","",IFERROR(IF(F952="","",F952-Variables!$B$13),""))</f>
        <v>45732</v>
      </c>
      <c r="AA952" s="11">
        <f>IF($H952="Cancelled","",IFERROR(IF(W952="","",(AVERAGE(E952:F952)-W952)-Variables!$B$14),""))</f>
        <v>1</v>
      </c>
      <c r="AB952" s="10">
        <v>45745</v>
      </c>
      <c r="AC952" s="11">
        <f>IF($H952="Cancelled","",IFERROR(IF(AB952="","",IF(AND(W952="",Y952=""),"",IF(Y952&gt;W952,Y952+Variables!$B$15+Variables!$B$16+Variables!$B$17-AB952,W952+Variables!$B$16+Variables!$B$17-AB952))),""))</f>
        <v>5</v>
      </c>
      <c r="AD952" s="9" t="s">
        <v>107</v>
      </c>
      <c r="AE952" s="9" t="s">
        <v>693</v>
      </c>
      <c r="AF952" s="10">
        <v>45758</v>
      </c>
      <c r="AG952" s="10"/>
      <c r="AH952" s="9"/>
      <c r="AI952" s="9" t="s">
        <v>1980</v>
      </c>
      <c r="AJ952" s="9" t="s">
        <v>8</v>
      </c>
      <c r="AK952" s="10">
        <v>45762</v>
      </c>
      <c r="AL952" s="10">
        <v>45764</v>
      </c>
      <c r="AM952" s="10">
        <v>45777</v>
      </c>
      <c r="AN952" s="9" t="s">
        <v>1492</v>
      </c>
      <c r="AO952" s="9"/>
      <c r="AP952" s="11">
        <f>IF($H952="Cancelled","",IFERROR(IF(OR(AK952="",AB952=""),"",(AB952+Variables!$B$18-AK952)),""))</f>
        <v>-10</v>
      </c>
      <c r="AQ952" s="11">
        <f>IF($H952="Cancelled","",IFERROR(IF(OR(AM952="",AK952=""),"",(AK952+Variables!$B$19)-AM952),""))</f>
        <v>-10</v>
      </c>
      <c r="AR952" s="12">
        <f>IF($H952="Cancelled","",IFERROR(T952*INDEX(Variables!$B$7:$D$7,IFERROR(MATCH(IF($B952="Robusta","Robusta",(IF($B952="","Arabica",$B952))&amp;" - "&amp;(IF($C952="","Commercial",$C952))),Variables!$B$1:$D$1,0),1))*(AQ952/365),""))</f>
        <v>-13.485636441377059</v>
      </c>
      <c r="AS952" s="12">
        <f>IF($H952="Cancelled","",IFERROR((T952*INDEX(Variables!$B$7:$D$7,IFERROR(MATCH(IF($B952="Robusta","Robusta",(IF($B952="","Arabica",$B952))&amp;" - "&amp;(IF($C952="","Commercial",$C952))),Variables!$B$1:$D$1,0),1))*IFERROR(IF(W952="","",(AVERAGE(E952:F952)-W952)-Variables!$B$14),"")/365)+(L952/16.67*INDEX(Variables!$B$8:$D$8,IFERROR(MATCH(IF($B952="Robusta","Robusta",(IF($B952="","Arabica",$B952))&amp;" - "&amp;(IF($C952="","Commercial",$C952))),Variables!$B$1:$D$1,0),1))*IFERROR(IF(W952="","",(AVERAGE(E952:F952)-W952)-Variables!$B$14),""))+(T952*INDEX(Variables!$B$9:$D$9,IFERROR(MATCH(IF($B952="Robusta","Robusta",(IF($B952="","Arabica",$B952))&amp;" - "&amp;(IF($C952="","Commercial",$C952))),Variables!$B$1:$D$1,0),1))*IFERROR(IF(W952="","",(AVERAGE(E952:F952)-W952)-Variables!$B$14),"")/365),""))</f>
        <v>2.1159492320576545</v>
      </c>
      <c r="AT952" s="12">
        <f>IF($H952="Cancelled","",IFERROR((T952*INDEX(Variables!$B$7:$D$7,IFERROR(MATCH(IF($B952="Robusta","Robusta",(IF($B952="","Arabica",$B952))&amp;" - "&amp;(IF($C952="","Commercial",$C952))),Variables!$B$1:$D$1,0),1))*AC952/365)+(L952/16.67*INDEX(Variables!$B$8:$D$8,IFERROR(MATCH(IF($B952="Robusta","Robusta",(IF($B952="","Arabica",$B952))&amp;" - "&amp;(IF($C952="","Commercial",$C952))),Variables!$B$1:$D$1,0),1))*AC952)+(T952*INDEX(Variables!$B$9:$D$9,IFERROR(MATCH(IF($B952="Robusta","Robusta",(IF($B952="","Arabica",$B952))&amp;" - "&amp;(IF($C952="","Commercial",$C952))),Variables!$B$1:$D$1,0),1))*AC952/365),""))</f>
        <v>10.57974616028827</v>
      </c>
      <c r="AU952" s="12">
        <f>IF($H952="Cancelled","",IFERROR((T952*INDEX(Variables!$B$7:$D$7,IFERROR(MATCH(IF($B952="Robusta","Robusta",(IF($B952="","Arabica",$B952))&amp;" - "&amp;(IF($C952="","Commercial",$C952))),Variables!$B$1:$D$1,0),1))*AP952/365)+(L952/16.67*INDEX(Variables!$B$8:$D$8,IFERROR(MATCH(IF($B952="Robusta","Robusta",(IF($B952="","Arabica",$B952))&amp;" - "&amp;(IF($C952="","Commercial",$C952))),Variables!$B$1:$D$1,0),1))*AP952)+(T952*INDEX(Variables!$B$9:$D$9,IFERROR(MATCH(IF($B952="Robusta","Robusta",(IF($B952="","Arabica",$B952))&amp;" - "&amp;(IF($C952="","Commercial",$C952))),Variables!$B$1:$D$1,0),1))*AP952/365),""))</f>
        <v>-21.15949232057654</v>
      </c>
      <c r="AV952" s="11">
        <f t="shared" si="90"/>
        <v>-15</v>
      </c>
      <c r="AW952" s="12">
        <f>IF($H952="Cancelled","",IFERROR(IF(AV952="","",(T952*INDEX(Variables!$B$7:$D$7,IFERROR(MATCH(IF($B952="Robusta","Robusta",(IF($B952="","Arabica",$B952))&amp;" - "&amp;(IF($C952="","Commercial",$C952))),Variables!$B$1:$D$1,0),1))*(AV952/365))+(T952*INDEX(Variables!$B$9:$D$9,IFERROR(MATCH(IF($B952="Robusta","Robusta",(IF($B952="","Arabica",$B952))&amp;" - "&amp;(IF($C952="","Commercial",$C952))),Variables!$B$1:$D$1,0),1))*(AV952/365))+(INDEX(Variables!$B$8:$D$8,IFERROR(MATCH(IF($B952="Robusta","Robusta",(IF($B952="","Arabica",$B952))&amp;" - "&amp;(IF($C952="","Commercial",$C952))),Variables!$B$1:$D$1,0),1))*L952/16.67)),""))</f>
        <v>-19.739238480864813</v>
      </c>
      <c r="AX952" s="9"/>
      <c r="AY952" s="12"/>
      <c r="AZ952" s="10"/>
      <c r="BA952" s="9"/>
      <c r="BB952" s="10"/>
      <c r="BC952" s="9"/>
      <c r="BD952" s="9"/>
      <c r="BE952" s="9"/>
      <c r="BF952" s="9"/>
    </row>
    <row r="953" spans="1:58" x14ac:dyDescent="0.25">
      <c r="A953" s="9" t="s">
        <v>84</v>
      </c>
      <c r="B953" s="9" t="s">
        <v>85</v>
      </c>
      <c r="C953" s="9" t="s">
        <v>1486</v>
      </c>
      <c r="D953" s="10">
        <v>45705</v>
      </c>
      <c r="E953" s="10">
        <v>45689</v>
      </c>
      <c r="F953" s="10">
        <v>45747</v>
      </c>
      <c r="G953" s="9">
        <v>3786707</v>
      </c>
      <c r="H953" s="9" t="str">
        <f t="shared" si="88"/>
        <v>Closed</v>
      </c>
      <c r="I953" s="9" t="str">
        <f t="shared" si="89"/>
        <v>All dates received</v>
      </c>
      <c r="J953" s="9" t="s">
        <v>102</v>
      </c>
      <c r="K953" s="9" t="s">
        <v>2039</v>
      </c>
      <c r="L953" s="11">
        <v>30</v>
      </c>
      <c r="M953" s="9" t="s">
        <v>2040</v>
      </c>
      <c r="N953" s="9"/>
      <c r="O953" s="9"/>
      <c r="P953" s="9"/>
      <c r="Q953" s="11">
        <v>80</v>
      </c>
      <c r="R953" s="9" t="s">
        <v>195</v>
      </c>
      <c r="S953" s="9" t="s">
        <v>554</v>
      </c>
      <c r="T953" s="12">
        <f>IF($H953="Cancelled","",IFERROR(((Q953+INDEX(Variables!$B$6:$D$6,IFERROR(MATCH(IF($B953="Robusta","Robusta",(IF($B953="","Arabica",$B953))&amp;" - "&amp;(IF($C953="","Commercial",$C953))),Variables!$B$1:$D$1,0),1)))*22.0462)*(L953/16.67),""))</f>
        <v>14711.573413317336</v>
      </c>
      <c r="U953" s="10"/>
      <c r="V953" s="9" t="str">
        <f t="shared" si="91"/>
        <v/>
      </c>
      <c r="W953" s="10">
        <v>45690</v>
      </c>
      <c r="X953" s="9" t="str">
        <f t="shared" si="92"/>
        <v>Approved</v>
      </c>
      <c r="Y953" s="10">
        <v>45713</v>
      </c>
      <c r="Z953" s="10">
        <f>IF($H953="Cancelled","",IFERROR(IF(F953="","",F953-Variables!$B$13),""))</f>
        <v>45732</v>
      </c>
      <c r="AA953" s="11">
        <f>IF($H953="Cancelled","",IFERROR(IF(W953="","",(AVERAGE(E953:F953)-W953)-Variables!$B$14),""))</f>
        <v>-2</v>
      </c>
      <c r="AB953" s="10">
        <v>45745</v>
      </c>
      <c r="AC953" s="11">
        <f>IF($H953="Cancelled","",IFERROR(IF(AB953="","",IF(AND(W953="",Y953=""),"",IF(Y953&gt;W953,Y953+Variables!$B$15+Variables!$B$16+Variables!$B$17-AB953,W953+Variables!$B$16+Variables!$B$17-AB953))),""))</f>
        <v>-17</v>
      </c>
      <c r="AD953" s="9" t="s">
        <v>107</v>
      </c>
      <c r="AE953" s="9" t="s">
        <v>693</v>
      </c>
      <c r="AF953" s="10">
        <v>45758</v>
      </c>
      <c r="AG953" s="10"/>
      <c r="AH953" s="9"/>
      <c r="AI953" s="9" t="s">
        <v>1980</v>
      </c>
      <c r="AJ953" s="9" t="s">
        <v>8</v>
      </c>
      <c r="AK953" s="10">
        <v>45762</v>
      </c>
      <c r="AL953" s="10">
        <v>45764</v>
      </c>
      <c r="AM953" s="10">
        <v>45777</v>
      </c>
      <c r="AN953" s="9" t="s">
        <v>1492</v>
      </c>
      <c r="AO953" s="9"/>
      <c r="AP953" s="11">
        <f>IF($H953="Cancelled","",IFERROR(IF(OR(AK953="",AB953=""),"",(AB953+Variables!$B$18-AK953)),""))</f>
        <v>-10</v>
      </c>
      <c r="AQ953" s="11">
        <f>IF($H953="Cancelled","",IFERROR(IF(OR(AM953="",AK953=""),"",(AK953+Variables!$B$19)-AM953),""))</f>
        <v>-10</v>
      </c>
      <c r="AR953" s="12">
        <f>IF($H953="Cancelled","",IFERROR(T953*INDEX(Variables!$B$7:$D$7,IFERROR(MATCH(IF($B953="Robusta","Robusta",(IF($B953="","Arabica",$B953))&amp;" - "&amp;(IF($C953="","Commercial",$C953))),Variables!$B$1:$D$1,0),1))*(AQ953/365),""))</f>
        <v>-25.989989565814003</v>
      </c>
      <c r="AS953" s="12">
        <f>IF($H953="Cancelled","",IFERROR((T953*INDEX(Variables!$B$7:$D$7,IFERROR(MATCH(IF($B953="Robusta","Robusta",(IF($B953="","Arabica",$B953))&amp;" - "&amp;(IF($C953="","Commercial",$C953))),Variables!$B$1:$D$1,0),1))*IFERROR(IF(W953="","",(AVERAGE(E953:F953)-W953)-Variables!$B$14),"")/365)+(L953/16.67*INDEX(Variables!$B$8:$D$8,IFERROR(MATCH(IF($B953="Robusta","Robusta",(IF($B953="","Arabica",$B953))&amp;" - "&amp;(IF($C953="","Commercial",$C953))),Variables!$B$1:$D$1,0),1))*IFERROR(IF(W953="","",(AVERAGE(E953:F953)-W953)-Variables!$B$14),""))+(T953*INDEX(Variables!$B$9:$D$9,IFERROR(MATCH(IF($B953="Robusta","Robusta",(IF($B953="","Arabica",$B953))&amp;" - "&amp;(IF($C953="","Commercial",$C953))),Variables!$B$1:$D$1,0),1))*IFERROR(IF(W953="","",(AVERAGE(E953:F953)-W953)-Variables!$B$14),"")/365),""))</f>
        <v>-8.2650101377024772</v>
      </c>
      <c r="AT953" s="12">
        <f>IF($H953="Cancelled","",IFERROR((T953*INDEX(Variables!$B$7:$D$7,IFERROR(MATCH(IF($B953="Robusta","Robusta",(IF($B953="","Arabica",$B953))&amp;" - "&amp;(IF($C953="","Commercial",$C953))),Variables!$B$1:$D$1,0),1))*AC953/365)+(L953/16.67*INDEX(Variables!$B$8:$D$8,IFERROR(MATCH(IF($B953="Robusta","Robusta",(IF($B953="","Arabica",$B953))&amp;" - "&amp;(IF($C953="","Commercial",$C953))),Variables!$B$1:$D$1,0),1))*AC953)+(T953*INDEX(Variables!$B$9:$D$9,IFERROR(MATCH(IF($B953="Robusta","Robusta",(IF($B953="","Arabica",$B953))&amp;" - "&amp;(IF($C953="","Commercial",$C953))),Variables!$B$1:$D$1,0),1))*AC953/365),""))</f>
        <v>-70.252586170471048</v>
      </c>
      <c r="AU953" s="12">
        <f>IF($H953="Cancelled","",IFERROR((T953*INDEX(Variables!$B$7:$D$7,IFERROR(MATCH(IF($B953="Robusta","Robusta",(IF($B953="","Arabica",$B953))&amp;" - "&amp;(IF($C953="","Commercial",$C953))),Variables!$B$1:$D$1,0),1))*AP953/365)+(L953/16.67*INDEX(Variables!$B$8:$D$8,IFERROR(MATCH(IF($B953="Robusta","Robusta",(IF($B953="","Arabica",$B953))&amp;" - "&amp;(IF($C953="","Commercial",$C953))),Variables!$B$1:$D$1,0),1))*AP953)+(T953*INDEX(Variables!$B$9:$D$9,IFERROR(MATCH(IF($B953="Robusta","Robusta",(IF($B953="","Arabica",$B953))&amp;" - "&amp;(IF($C953="","Commercial",$C953))),Variables!$B$1:$D$1,0),1))*AP953/365),""))</f>
        <v>-41.325050688512384</v>
      </c>
      <c r="AV953" s="11">
        <f t="shared" si="90"/>
        <v>-15</v>
      </c>
      <c r="AW953" s="12">
        <f>IF($H953="Cancelled","",IFERROR(IF(AV953="","",(T953*INDEX(Variables!$B$7:$D$7,IFERROR(MATCH(IF($B953="Robusta","Robusta",(IF($B953="","Arabica",$B953))&amp;" - "&amp;(IF($C953="","Commercial",$C953))),Variables!$B$1:$D$1,0),1))*(AV953/365))+(T953*INDEX(Variables!$B$9:$D$9,IFERROR(MATCH(IF($B953="Robusta","Robusta",(IF($B953="","Arabica",$B953))&amp;" - "&amp;(IF($C953="","Commercial",$C953))),Variables!$B$1:$D$1,0),1))*(AV953/365))+(INDEX(Variables!$B$8:$D$8,IFERROR(MATCH(IF($B953="Robusta","Robusta",(IF($B953="","Arabica",$B953))&amp;" - "&amp;(IF($C953="","Commercial",$C953))),Variables!$B$1:$D$1,0),1))*L953/16.67)),""))</f>
        <v>-37.987576032768573</v>
      </c>
      <c r="AX953" s="9"/>
      <c r="AY953" s="12"/>
      <c r="AZ953" s="10"/>
      <c r="BA953" s="9"/>
      <c r="BB953" s="10"/>
      <c r="BC953" s="9"/>
      <c r="BD953" s="9"/>
      <c r="BE953" s="9"/>
      <c r="BF953" s="9"/>
    </row>
    <row r="954" spans="1:58" x14ac:dyDescent="0.25">
      <c r="A954" s="9" t="s">
        <v>84</v>
      </c>
      <c r="B954" s="9" t="s">
        <v>85</v>
      </c>
      <c r="C954" s="9" t="s">
        <v>1486</v>
      </c>
      <c r="D954" s="10">
        <v>45705</v>
      </c>
      <c r="E954" s="10">
        <v>45689</v>
      </c>
      <c r="F954" s="10">
        <v>45747</v>
      </c>
      <c r="G954" s="9">
        <v>3786708</v>
      </c>
      <c r="H954" s="9" t="str">
        <f t="shared" si="88"/>
        <v>Closed</v>
      </c>
      <c r="I954" s="9" t="str">
        <f t="shared" si="89"/>
        <v>All dates received</v>
      </c>
      <c r="J954" s="9" t="s">
        <v>102</v>
      </c>
      <c r="K954" s="9" t="s">
        <v>2041</v>
      </c>
      <c r="L954" s="11">
        <v>20</v>
      </c>
      <c r="M954" s="9" t="s">
        <v>2042</v>
      </c>
      <c r="N954" s="9"/>
      <c r="O954" s="9"/>
      <c r="P954" s="9"/>
      <c r="Q954" s="11">
        <v>110</v>
      </c>
      <c r="R954" s="9" t="s">
        <v>195</v>
      </c>
      <c r="S954" s="9" t="s">
        <v>554</v>
      </c>
      <c r="T954" s="12">
        <f>IF($H954="Cancelled","",IFERROR(((Q954+INDEX(Variables!$B$6:$D$6,IFERROR(MATCH(IF($B954="Robusta","Robusta",(IF($B954="","Arabica",$B954))&amp;" - "&amp;(IF($C954="","Commercial",$C954))),Variables!$B$1:$D$1,0),1)))*22.0462)*(L954/16.67),""))</f>
        <v>10601.220107978403</v>
      </c>
      <c r="U954" s="10"/>
      <c r="V954" s="9" t="str">
        <f t="shared" si="91"/>
        <v/>
      </c>
      <c r="W954" s="10">
        <v>45690</v>
      </c>
      <c r="X954" s="9" t="str">
        <f t="shared" si="92"/>
        <v>Approved</v>
      </c>
      <c r="Y954" s="10">
        <v>45713</v>
      </c>
      <c r="Z954" s="10">
        <f>IF($H954="Cancelled","",IFERROR(IF(F954="","",F954-Variables!$B$13),""))</f>
        <v>45732</v>
      </c>
      <c r="AA954" s="11">
        <f>IF($H954="Cancelled","",IFERROR(IF(W954="","",(AVERAGE(E954:F954)-W954)-Variables!$B$14),""))</f>
        <v>-2</v>
      </c>
      <c r="AB954" s="10">
        <v>45745</v>
      </c>
      <c r="AC954" s="11">
        <f>IF($H954="Cancelled","",IFERROR(IF(AB954="","",IF(AND(W954="",Y954=""),"",IF(Y954&gt;W954,Y954+Variables!$B$15+Variables!$B$16+Variables!$B$17-AB954,W954+Variables!$B$16+Variables!$B$17-AB954))),""))</f>
        <v>-17</v>
      </c>
      <c r="AD954" s="9" t="s">
        <v>107</v>
      </c>
      <c r="AE954" s="9" t="s">
        <v>693</v>
      </c>
      <c r="AF954" s="10">
        <v>45758</v>
      </c>
      <c r="AG954" s="10"/>
      <c r="AH954" s="9"/>
      <c r="AI954" s="9" t="s">
        <v>1980</v>
      </c>
      <c r="AJ954" s="9" t="s">
        <v>8</v>
      </c>
      <c r="AK954" s="10">
        <v>45762</v>
      </c>
      <c r="AL954" s="10">
        <v>45764</v>
      </c>
      <c r="AM954" s="10">
        <v>45777</v>
      </c>
      <c r="AN954" s="9" t="s">
        <v>1492</v>
      </c>
      <c r="AO954" s="9"/>
      <c r="AP954" s="11">
        <f>IF($H954="Cancelled","",IFERROR(IF(OR(AK954="",AB954=""),"",(AB954+Variables!$B$18-AK954)),""))</f>
        <v>-10</v>
      </c>
      <c r="AQ954" s="11">
        <f>IF($H954="Cancelled","",IFERROR(IF(OR(AM954="",AK954=""),"",(AK954+Variables!$B$19)-AM954),""))</f>
        <v>-10</v>
      </c>
      <c r="AR954" s="12">
        <f>IF($H954="Cancelled","",IFERROR(T954*INDEX(Variables!$B$7:$D$7,IFERROR(MATCH(IF($B954="Robusta","Robusta",(IF($B954="","Arabica",$B954))&amp;" - "&amp;(IF($C954="","Commercial",$C954))),Variables!$B$1:$D$1,0),1))*(AQ954/365),""))</f>
        <v>-18.728493020457122</v>
      </c>
      <c r="AS954" s="12">
        <f>IF($H954="Cancelled","",IFERROR((T954*INDEX(Variables!$B$7:$D$7,IFERROR(MATCH(IF($B954="Robusta","Robusta",(IF($B954="","Arabica",$B954))&amp;" - "&amp;(IF($C954="","Commercial",$C954))),Variables!$B$1:$D$1,0),1))*IFERROR(IF(W954="","",(AVERAGE(E954:F954)-W954)-Variables!$B$14),"")/365)+(L954/16.67*INDEX(Variables!$B$8:$D$8,IFERROR(MATCH(IF($B954="Robusta","Robusta",(IF($B954="","Arabica",$B954))&amp;" - "&amp;(IF($C954="","Commercial",$C954))),Variables!$B$1:$D$1,0),1))*IFERROR(IF(W954="","",(AVERAGE(E954:F954)-W954)-Variables!$B$14),""))+(T954*INDEX(Variables!$B$9:$D$9,IFERROR(MATCH(IF($B954="Robusta","Robusta",(IF($B954="","Arabica",$B954))&amp;" - "&amp;(IF($C954="","Commercial",$C954))),Variables!$B$1:$D$1,0),1))*IFERROR(IF(W954="","",(AVERAGE(E954:F954)-W954)-Variables!$B$14),"")/365),""))</f>
        <v>-5.7939878877942323</v>
      </c>
      <c r="AT954" s="12">
        <f>IF($H954="Cancelled","",IFERROR((T954*INDEX(Variables!$B$7:$D$7,IFERROR(MATCH(IF($B954="Robusta","Robusta",(IF($B954="","Arabica",$B954))&amp;" - "&amp;(IF($C954="","Commercial",$C954))),Variables!$B$1:$D$1,0),1))*AC954/365)+(L954/16.67*INDEX(Variables!$B$8:$D$8,IFERROR(MATCH(IF($B954="Robusta","Robusta",(IF($B954="","Arabica",$B954))&amp;" - "&amp;(IF($C954="","Commercial",$C954))),Variables!$B$1:$D$1,0),1))*AC954)+(T954*INDEX(Variables!$B$9:$D$9,IFERROR(MATCH(IF($B954="Robusta","Robusta",(IF($B954="","Arabica",$B954))&amp;" - "&amp;(IF($C954="","Commercial",$C954))),Variables!$B$1:$D$1,0),1))*AC954/365),""))</f>
        <v>-49.248897046250974</v>
      </c>
      <c r="AU954" s="12">
        <f>IF($H954="Cancelled","",IFERROR((T954*INDEX(Variables!$B$7:$D$7,IFERROR(MATCH(IF($B954="Robusta","Robusta",(IF($B954="","Arabica",$B954))&amp;" - "&amp;(IF($C954="","Commercial",$C954))),Variables!$B$1:$D$1,0),1))*AP954/365)+(L954/16.67*INDEX(Variables!$B$8:$D$8,IFERROR(MATCH(IF($B954="Robusta","Robusta",(IF($B954="","Arabica",$B954))&amp;" - "&amp;(IF($C954="","Commercial",$C954))),Variables!$B$1:$D$1,0),1))*AP954)+(T954*INDEX(Variables!$B$9:$D$9,IFERROR(MATCH(IF($B954="Robusta","Robusta",(IF($B954="","Arabica",$B954))&amp;" - "&amp;(IF($C954="","Commercial",$C954))),Variables!$B$1:$D$1,0),1))*AP954/365),""))</f>
        <v>-28.969939438971167</v>
      </c>
      <c r="AV954" s="11">
        <f t="shared" si="90"/>
        <v>-15</v>
      </c>
      <c r="AW954" s="12">
        <f>IF($H954="Cancelled","",IFERROR(IF(AV954="","",(T954*INDEX(Variables!$B$7:$D$7,IFERROR(MATCH(IF($B954="Robusta","Robusta",(IF($B954="","Arabica",$B954))&amp;" - "&amp;(IF($C954="","Commercial",$C954))),Variables!$B$1:$D$1,0),1))*(AV954/365))+(T954*INDEX(Variables!$B$9:$D$9,IFERROR(MATCH(IF($B954="Robusta","Robusta",(IF($B954="","Arabica",$B954))&amp;" - "&amp;(IF($C954="","Commercial",$C954))),Variables!$B$1:$D$1,0),1))*(AV954/365))+(INDEX(Variables!$B$8:$D$8,IFERROR(MATCH(IF($B954="Robusta","Robusta",(IF($B954="","Arabica",$B954))&amp;" - "&amp;(IF($C954="","Commercial",$C954))),Variables!$B$1:$D$1,0),1))*L954/16.67)),""))</f>
        <v>-27.454909158456744</v>
      </c>
      <c r="AX954" s="9"/>
      <c r="AY954" s="12"/>
      <c r="AZ954" s="10"/>
      <c r="BA954" s="9"/>
      <c r="BB954" s="10"/>
      <c r="BC954" s="9"/>
      <c r="BD954" s="9"/>
      <c r="BE954" s="9"/>
      <c r="BF954" s="9"/>
    </row>
    <row r="955" spans="1:58" x14ac:dyDescent="0.25">
      <c r="A955" s="9" t="s">
        <v>84</v>
      </c>
      <c r="B955" s="9" t="s">
        <v>85</v>
      </c>
      <c r="C955" s="9" t="s">
        <v>1486</v>
      </c>
      <c r="D955" s="10">
        <v>45706</v>
      </c>
      <c r="E955" s="10">
        <v>45717</v>
      </c>
      <c r="F955" s="10">
        <v>45747</v>
      </c>
      <c r="G955" s="9">
        <v>3786710</v>
      </c>
      <c r="H955" s="9" t="str">
        <f t="shared" si="88"/>
        <v>Closed</v>
      </c>
      <c r="I955" s="9" t="str">
        <f t="shared" si="89"/>
        <v>All dates received</v>
      </c>
      <c r="J955" s="9" t="s">
        <v>1487</v>
      </c>
      <c r="K955" s="9" t="s">
        <v>2043</v>
      </c>
      <c r="L955" s="11">
        <v>27</v>
      </c>
      <c r="M955" s="9" t="s">
        <v>2044</v>
      </c>
      <c r="N955" s="9"/>
      <c r="O955" s="9"/>
      <c r="P955" s="9"/>
      <c r="Q955" s="11">
        <v>28</v>
      </c>
      <c r="R955" s="9" t="s">
        <v>195</v>
      </c>
      <c r="S955" s="9" t="s">
        <v>183</v>
      </c>
      <c r="T955" s="12">
        <f>IF($H955="Cancelled","",IFERROR(((Q955+INDEX(Variables!$B$6:$D$6,IFERROR(MATCH(IF($B955="Robusta","Robusta",(IF($B955="","Arabica",$B955))&amp;" - "&amp;(IF($C955="","Commercial",$C955))),Variables!$B$1:$D$1,0),1)))*22.0462)*(L955/16.67),""))</f>
        <v>11383.615544091181</v>
      </c>
      <c r="U955" s="10"/>
      <c r="V955" s="9" t="str">
        <f t="shared" si="91"/>
        <v/>
      </c>
      <c r="W955" s="10">
        <v>45690</v>
      </c>
      <c r="X955" s="9" t="str">
        <f t="shared" si="92"/>
        <v>Approved</v>
      </c>
      <c r="Y955" s="10">
        <v>45713</v>
      </c>
      <c r="Z955" s="10">
        <f>IF($H955="Cancelled","",IFERROR(IF(F955="","",F955-Variables!$B$13),""))</f>
        <v>45732</v>
      </c>
      <c r="AA955" s="11">
        <f>IF($H955="Cancelled","",IFERROR(IF(W955="","",(AVERAGE(E955:F955)-W955)-Variables!$B$14),""))</f>
        <v>12</v>
      </c>
      <c r="AB955" s="10">
        <v>45723</v>
      </c>
      <c r="AC955" s="11">
        <f>IF($H955="Cancelled","",IFERROR(IF(AB955="","",IF(AND(W955="",Y955=""),"",IF(Y955&gt;W955,Y955+Variables!$B$15+Variables!$B$16+Variables!$B$17-AB955,W955+Variables!$B$16+Variables!$B$17-AB955))),""))</f>
        <v>5</v>
      </c>
      <c r="AD955" s="9" t="s">
        <v>163</v>
      </c>
      <c r="AE955" s="9" t="s">
        <v>598</v>
      </c>
      <c r="AF955" s="10"/>
      <c r="AG955" s="10"/>
      <c r="AH955" s="9"/>
      <c r="AI955" s="9">
        <v>251075753</v>
      </c>
      <c r="AJ955" s="9" t="s">
        <v>2011</v>
      </c>
      <c r="AK955" s="10">
        <v>45373</v>
      </c>
      <c r="AL955" s="10">
        <v>45379</v>
      </c>
      <c r="AM955" s="10">
        <v>45759</v>
      </c>
      <c r="AN955" s="9" t="s">
        <v>1492</v>
      </c>
      <c r="AO955" s="9"/>
      <c r="AP955" s="11">
        <f>IF($H955="Cancelled","",IFERROR(IF(OR(AK955="",AB955=""),"",(AB955+Variables!$B$18-AK955)),""))</f>
        <v>357</v>
      </c>
      <c r="AQ955" s="11">
        <f>IF($H955="Cancelled","",IFERROR(IF(OR(AM955="",AK955=""),"",(AK955+Variables!$B$19)-AM955),""))</f>
        <v>-381</v>
      </c>
      <c r="AR955" s="12">
        <f>IF($H955="Cancelled","",IFERROR(T955*INDEX(Variables!$B$7:$D$7,IFERROR(MATCH(IF($B955="Robusta","Robusta",(IF($B955="","Arabica",$B955))&amp;" - "&amp;(IF($C955="","Commercial",$C955))),Variables!$B$1:$D$1,0),1))*(AQ955/365),""))</f>
        <v>-766.21769529964877</v>
      </c>
      <c r="AS955" s="12">
        <f>IF($H955="Cancelled","",IFERROR((T955*INDEX(Variables!$B$7:$D$7,IFERROR(MATCH(IF($B955="Robusta","Robusta",(IF($B955="","Arabica",$B955))&amp;" - "&amp;(IF($C955="","Commercial",$C955))),Variables!$B$1:$D$1,0),1))*IFERROR(IF(W955="","",(AVERAGE(E955:F955)-W955)-Variables!$B$14),"")/365)+(L955/16.67*INDEX(Variables!$B$8:$D$8,IFERROR(MATCH(IF($B955="Robusta","Robusta",(IF($B955="","Arabica",$B955))&amp;" - "&amp;(IF($C955="","Commercial",$C955))),Variables!$B$1:$D$1,0),1))*IFERROR(IF(W955="","",(AVERAGE(E955:F955)-W955)-Variables!$B$14),""))+(T955*INDEX(Variables!$B$9:$D$9,IFERROR(MATCH(IF($B955="Robusta","Robusta",(IF($B955="","Arabica",$B955))&amp;" - "&amp;(IF($C955="","Commercial",$C955))),Variables!$B$1:$D$1,0),1))*IFERROR(IF(W955="","",(AVERAGE(E955:F955)-W955)-Variables!$B$14),"")/365),""))</f>
        <v>40.643959687857517</v>
      </c>
      <c r="AT955" s="12">
        <f>IF($H955="Cancelled","",IFERROR((T955*INDEX(Variables!$B$7:$D$7,IFERROR(MATCH(IF($B955="Robusta","Robusta",(IF($B955="","Arabica",$B955))&amp;" - "&amp;(IF($C955="","Commercial",$C955))),Variables!$B$1:$D$1,0),1))*AC955/365)+(L955/16.67*INDEX(Variables!$B$8:$D$8,IFERROR(MATCH(IF($B955="Robusta","Robusta",(IF($B955="","Arabica",$B955))&amp;" - "&amp;(IF($C955="","Commercial",$C955))),Variables!$B$1:$D$1,0),1))*AC955)+(T955*INDEX(Variables!$B$9:$D$9,IFERROR(MATCH(IF($B955="Robusta","Robusta",(IF($B955="","Arabica",$B955))&amp;" - "&amp;(IF($C955="","Commercial",$C955))),Variables!$B$1:$D$1,0),1))*AC955/365),""))</f>
        <v>16.934983203273962</v>
      </c>
      <c r="AU955" s="12">
        <f>IF($H955="Cancelled","",IFERROR((T955*INDEX(Variables!$B$7:$D$7,IFERROR(MATCH(IF($B955="Robusta","Robusta",(IF($B955="","Arabica",$B955))&amp;" - "&amp;(IF($C955="","Commercial",$C955))),Variables!$B$1:$D$1,0),1))*AP955/365)+(L955/16.67*INDEX(Variables!$B$8:$D$8,IFERROR(MATCH(IF($B955="Robusta","Robusta",(IF($B955="","Arabica",$B955))&amp;" - "&amp;(IF($C955="","Commercial",$C955))),Variables!$B$1:$D$1,0),1))*AP955)+(T955*INDEX(Variables!$B$9:$D$9,IFERROR(MATCH(IF($B955="Robusta","Robusta",(IF($B955="","Arabica",$B955))&amp;" - "&amp;(IF($C955="","Commercial",$C955))),Variables!$B$1:$D$1,0),1))*AP955/365),""))</f>
        <v>1209.1578007137609</v>
      </c>
      <c r="AV955" s="11">
        <f t="shared" si="90"/>
        <v>374</v>
      </c>
      <c r="AW955" s="12">
        <f>IF($H955="Cancelled","",IFERROR(IF(AV955="","",(T955*INDEX(Variables!$B$7:$D$7,IFERROR(MATCH(IF($B955="Robusta","Robusta",(IF($B955="","Arabica",$B955))&amp;" - "&amp;(IF($C955="","Commercial",$C955))),Variables!$B$1:$D$1,0),1))*(AV955/365))+(T955*INDEX(Variables!$B$9:$D$9,IFERROR(MATCH(IF($B955="Robusta","Robusta",(IF($B955="","Arabica",$B955))&amp;" - "&amp;(IF($C955="","Commercial",$C955))),Variables!$B$1:$D$1,0),1))*(AV955/365))+(INDEX(Variables!$B$8:$D$8,IFERROR(MATCH(IF($B955="Robusta","Robusta",(IF($B955="","Arabica",$B955))&amp;" - "&amp;(IF($C955="","Commercial",$C955))),Variables!$B$1:$D$1,0),1))*L955/16.67)),""))</f>
        <v>763.1867436048924</v>
      </c>
      <c r="AX955" s="9"/>
      <c r="AY955" s="12"/>
      <c r="AZ955" s="10"/>
      <c r="BA955" s="9"/>
      <c r="BB955" s="10"/>
      <c r="BC955" s="9"/>
      <c r="BD955" s="9"/>
      <c r="BE955" s="9"/>
      <c r="BF955" s="9"/>
    </row>
    <row r="956" spans="1:58" x14ac:dyDescent="0.25">
      <c r="A956" s="9" t="s">
        <v>84</v>
      </c>
      <c r="B956" s="9" t="s">
        <v>85</v>
      </c>
      <c r="C956" s="9" t="s">
        <v>1486</v>
      </c>
      <c r="D956" s="10">
        <v>45712</v>
      </c>
      <c r="E956" s="10">
        <v>45717</v>
      </c>
      <c r="F956" s="10">
        <v>45747</v>
      </c>
      <c r="G956" s="9">
        <v>3786741</v>
      </c>
      <c r="H956" s="9" t="str">
        <f t="shared" si="88"/>
        <v>Closed</v>
      </c>
      <c r="I956" s="9" t="str">
        <f t="shared" si="89"/>
        <v>All dates received</v>
      </c>
      <c r="J956" s="9" t="s">
        <v>303</v>
      </c>
      <c r="K956" s="9" t="s">
        <v>2045</v>
      </c>
      <c r="L956" s="11">
        <v>2</v>
      </c>
      <c r="M956" s="9" t="s">
        <v>2046</v>
      </c>
      <c r="N956" s="9"/>
      <c r="O956" s="9"/>
      <c r="P956" s="9"/>
      <c r="Q956" s="11">
        <v>83.25</v>
      </c>
      <c r="R956" s="9" t="s">
        <v>195</v>
      </c>
      <c r="S956" s="9" t="s">
        <v>91</v>
      </c>
      <c r="T956" s="12">
        <f>IF($H956="Cancelled","",IFERROR(((Q956+INDEX(Variables!$B$6:$D$6,IFERROR(MATCH(IF($B956="Robusta","Robusta",(IF($B956="","Arabica",$B956))&amp;" - "&amp;(IF($C956="","Commercial",$C956))),Variables!$B$1:$D$1,0),1)))*22.0462)*(L956/16.67),""))</f>
        <v>989.36785962807426</v>
      </c>
      <c r="U956" s="10"/>
      <c r="V956" s="9" t="str">
        <f t="shared" si="91"/>
        <v/>
      </c>
      <c r="W956" s="10">
        <v>45690</v>
      </c>
      <c r="X956" s="9" t="str">
        <f t="shared" si="92"/>
        <v>Approved</v>
      </c>
      <c r="Y956" s="10">
        <v>45713</v>
      </c>
      <c r="Z956" s="10">
        <f>IF($H956="Cancelled","",IFERROR(IF(F956="","",F956-Variables!$B$13),""))</f>
        <v>45732</v>
      </c>
      <c r="AA956" s="11">
        <f>IF($H956="Cancelled","",IFERROR(IF(W956="","",(AVERAGE(E956:F956)-W956)-Variables!$B$14),""))</f>
        <v>12</v>
      </c>
      <c r="AB956" s="10">
        <v>45728</v>
      </c>
      <c r="AC956" s="11">
        <f>IF($H956="Cancelled","",IFERROR(IF(AB956="","",IF(AND(W956="",Y956=""),"",IF(Y956&gt;W956,Y956+Variables!$B$15+Variables!$B$16+Variables!$B$17-AB956,W956+Variables!$B$16+Variables!$B$17-AB956))),""))</f>
        <v>0</v>
      </c>
      <c r="AD956" s="9" t="s">
        <v>163</v>
      </c>
      <c r="AE956" s="9" t="s">
        <v>844</v>
      </c>
      <c r="AF956" s="10"/>
      <c r="AG956" s="10"/>
      <c r="AH956" s="9"/>
      <c r="AI956" s="9">
        <v>251098049</v>
      </c>
      <c r="AJ956" s="9" t="s">
        <v>8</v>
      </c>
      <c r="AK956" s="10">
        <v>45377</v>
      </c>
      <c r="AL956" s="10">
        <v>45379</v>
      </c>
      <c r="AM956" s="10">
        <v>45389</v>
      </c>
      <c r="AN956" s="9" t="s">
        <v>1492</v>
      </c>
      <c r="AO956" s="9"/>
      <c r="AP956" s="11">
        <f>IF($H956="Cancelled","",IFERROR(IF(OR(AK956="",AB956=""),"",(AB956+Variables!$B$18-AK956)),""))</f>
        <v>358</v>
      </c>
      <c r="AQ956" s="11">
        <f>IF($H956="Cancelled","",IFERROR(IF(OR(AM956="",AK956=""),"",(AK956+Variables!$B$19)-AM956),""))</f>
        <v>-7</v>
      </c>
      <c r="AR956" s="12">
        <f>IF($H956="Cancelled","",IFERROR(T956*INDEX(Variables!$B$7:$D$7,IFERROR(MATCH(IF($B956="Robusta","Robusta",(IF($B956="","Arabica",$B956))&amp;" - "&amp;(IF($C956="","Commercial",$C956))),Variables!$B$1:$D$1,0),1))*(AQ956/365),""))</f>
        <v>-1.2234967490048381</v>
      </c>
      <c r="AS956" s="12">
        <f>IF($H956="Cancelled","",IFERROR((T956*INDEX(Variables!$B$7:$D$7,IFERROR(MATCH(IF($B956="Robusta","Robusta",(IF($B956="","Arabica",$B956))&amp;" - "&amp;(IF($C956="","Commercial",$C956))),Variables!$B$1:$D$1,0),1))*IFERROR(IF(W956="","",(AVERAGE(E956:F956)-W956)-Variables!$B$14),"")/365)+(L956/16.67*INDEX(Variables!$B$8:$D$8,IFERROR(MATCH(IF($B956="Robusta","Robusta",(IF($B956="","Arabica",$B956))&amp;" - "&amp;(IF($C956="","Commercial",$C956))),Variables!$B$1:$D$1,0),1))*IFERROR(IF(W956="","",(AVERAGE(E956:F956)-W956)-Variables!$B$14),""))+(T956*INDEX(Variables!$B$9:$D$9,IFERROR(MATCH(IF($B956="Robusta","Robusta",(IF($B956="","Arabica",$B956))&amp;" - "&amp;(IF($C956="","Commercial",$C956))),Variables!$B$1:$D$1,0),1))*IFERROR(IF(W956="","",(AVERAGE(E956:F956)-W956)-Variables!$B$14),"")/365),""))</f>
        <v>3.3244628284871749</v>
      </c>
      <c r="AT956" s="12">
        <f>IF($H956="Cancelled","",IFERROR((T956*INDEX(Variables!$B$7:$D$7,IFERROR(MATCH(IF($B956="Robusta","Robusta",(IF($B956="","Arabica",$B956))&amp;" - "&amp;(IF($C956="","Commercial",$C956))),Variables!$B$1:$D$1,0),1))*AC956/365)+(L956/16.67*INDEX(Variables!$B$8:$D$8,IFERROR(MATCH(IF($B956="Robusta","Robusta",(IF($B956="","Arabica",$B956))&amp;" - "&amp;(IF($C956="","Commercial",$C956))),Variables!$B$1:$D$1,0),1))*AC956)+(T956*INDEX(Variables!$B$9:$D$9,IFERROR(MATCH(IF($B956="Robusta","Robusta",(IF($B956="","Arabica",$B956))&amp;" - "&amp;(IF($C956="","Commercial",$C956))),Variables!$B$1:$D$1,0),1))*AC956/365),""))</f>
        <v>0</v>
      </c>
      <c r="AU956" s="12">
        <f>IF($H956="Cancelled","",IFERROR((T956*INDEX(Variables!$B$7:$D$7,IFERROR(MATCH(IF($B956="Robusta","Robusta",(IF($B956="","Arabica",$B956))&amp;" - "&amp;(IF($C956="","Commercial",$C956))),Variables!$B$1:$D$1,0),1))*AP956/365)+(L956/16.67*INDEX(Variables!$B$8:$D$8,IFERROR(MATCH(IF($B956="Robusta","Robusta",(IF($B956="","Arabica",$B956))&amp;" - "&amp;(IF($C956="","Commercial",$C956))),Variables!$B$1:$D$1,0),1))*AP956)+(T956*INDEX(Variables!$B$9:$D$9,IFERROR(MATCH(IF($B956="Robusta","Robusta",(IF($B956="","Arabica",$B956))&amp;" - "&amp;(IF($C956="","Commercial",$C956))),Variables!$B$1:$D$1,0),1))*AP956/365),""))</f>
        <v>99.179807716534043</v>
      </c>
      <c r="AV956" s="11">
        <f t="shared" si="90"/>
        <v>370</v>
      </c>
      <c r="AW956" s="12">
        <f>IF($H956="Cancelled","",IFERROR(IF(AV956="","",(T956*INDEX(Variables!$B$7:$D$7,IFERROR(MATCH(IF($B956="Robusta","Robusta",(IF($B956="","Arabica",$B956))&amp;" - "&amp;(IF($C956="","Commercial",$C956))),Variables!$B$1:$D$1,0),1))*(AV956/365))+(T956*INDEX(Variables!$B$9:$D$9,IFERROR(MATCH(IF($B956="Robusta","Robusta",(IF($B956="","Arabica",$B956))&amp;" - "&amp;(IF($C956="","Commercial",$C956))),Variables!$B$1:$D$1,0),1))*(AV956/365))+(INDEX(Variables!$B$8:$D$8,IFERROR(MATCH(IF($B956="Robusta","Robusta",(IF($B956="","Arabica",$B956))&amp;" - "&amp;(IF($C956="","Commercial",$C956))),Variables!$B$1:$D$1,0),1))*L956/16.67)),""))</f>
        <v>65.604270545021222</v>
      </c>
      <c r="AX956" s="9"/>
      <c r="AY956" s="12"/>
      <c r="AZ956" s="10"/>
      <c r="BA956" s="9"/>
      <c r="BB956" s="10"/>
      <c r="BC956" s="9"/>
      <c r="BD956" s="9"/>
      <c r="BE956" s="9"/>
      <c r="BF956" s="9"/>
    </row>
    <row r="957" spans="1:58" x14ac:dyDescent="0.25">
      <c r="A957" s="9" t="s">
        <v>84</v>
      </c>
      <c r="B957" s="9" t="s">
        <v>85</v>
      </c>
      <c r="C957" s="9" t="s">
        <v>1486</v>
      </c>
      <c r="D957" s="10">
        <v>45712</v>
      </c>
      <c r="E957" s="10">
        <v>45717</v>
      </c>
      <c r="F957" s="10">
        <v>45747</v>
      </c>
      <c r="G957" s="9">
        <v>3786742</v>
      </c>
      <c r="H957" s="9" t="str">
        <f t="shared" si="88"/>
        <v>Closed</v>
      </c>
      <c r="I957" s="9" t="str">
        <f t="shared" si="89"/>
        <v>All dates received</v>
      </c>
      <c r="J957" s="9" t="s">
        <v>303</v>
      </c>
      <c r="K957" s="9" t="s">
        <v>2047</v>
      </c>
      <c r="L957" s="11">
        <v>6</v>
      </c>
      <c r="M957" s="9" t="s">
        <v>2048</v>
      </c>
      <c r="N957" s="9"/>
      <c r="O957" s="9"/>
      <c r="P957" s="9"/>
      <c r="Q957" s="11">
        <v>110</v>
      </c>
      <c r="R957" s="9" t="s">
        <v>195</v>
      </c>
      <c r="S957" s="9" t="s">
        <v>91</v>
      </c>
      <c r="T957" s="12">
        <f>IF($H957="Cancelled","",IFERROR(((Q957+INDEX(Variables!$B$6:$D$6,IFERROR(MATCH(IF($B957="Robusta","Robusta",(IF($B957="","Arabica",$B957))&amp;" - "&amp;(IF($C957="","Commercial",$C957))),Variables!$B$1:$D$1,0),1)))*22.0462)*(L957/16.67),""))</f>
        <v>3180.3660323935205</v>
      </c>
      <c r="U957" s="10"/>
      <c r="V957" s="9" t="str">
        <f t="shared" si="91"/>
        <v/>
      </c>
      <c r="W957" s="10">
        <v>45690</v>
      </c>
      <c r="X957" s="9" t="str">
        <f t="shared" si="92"/>
        <v>Approved</v>
      </c>
      <c r="Y957" s="10">
        <v>45713</v>
      </c>
      <c r="Z957" s="10">
        <f>IF($H957="Cancelled","",IFERROR(IF(F957="","",F957-Variables!$B$13),""))</f>
        <v>45732</v>
      </c>
      <c r="AA957" s="11">
        <f>IF($H957="Cancelled","",IFERROR(IF(W957="","",(AVERAGE(E957:F957)-W957)-Variables!$B$14),""))</f>
        <v>12</v>
      </c>
      <c r="AB957" s="10">
        <v>45728</v>
      </c>
      <c r="AC957" s="11">
        <f>IF($H957="Cancelled","",IFERROR(IF(AB957="","",IF(AND(W957="",Y957=""),"",IF(Y957&gt;W957,Y957+Variables!$B$15+Variables!$B$16+Variables!$B$17-AB957,W957+Variables!$B$16+Variables!$B$17-AB957))),""))</f>
        <v>0</v>
      </c>
      <c r="AD957" s="9" t="s">
        <v>163</v>
      </c>
      <c r="AE957" s="9" t="s">
        <v>844</v>
      </c>
      <c r="AF957" s="10"/>
      <c r="AG957" s="10"/>
      <c r="AH957" s="9"/>
      <c r="AI957" s="9">
        <v>251098049</v>
      </c>
      <c r="AJ957" s="9" t="s">
        <v>8</v>
      </c>
      <c r="AK957" s="10">
        <v>45377</v>
      </c>
      <c r="AL957" s="10">
        <v>45379</v>
      </c>
      <c r="AM957" s="10">
        <v>45389</v>
      </c>
      <c r="AN957" s="9" t="s">
        <v>1492</v>
      </c>
      <c r="AO957" s="9"/>
      <c r="AP957" s="11">
        <f>IF($H957="Cancelled","",IFERROR(IF(OR(AK957="",AB957=""),"",(AB957+Variables!$B$18-AK957)),""))</f>
        <v>358</v>
      </c>
      <c r="AQ957" s="11">
        <f>IF($H957="Cancelled","",IFERROR(IF(OR(AM957="",AK957=""),"",(AK957+Variables!$B$19)-AM957),""))</f>
        <v>-7</v>
      </c>
      <c r="AR957" s="12">
        <f>IF($H957="Cancelled","",IFERROR(T957*INDEX(Variables!$B$7:$D$7,IFERROR(MATCH(IF($B957="Robusta","Robusta",(IF($B957="","Arabica",$B957))&amp;" - "&amp;(IF($C957="","Commercial",$C957))),Variables!$B$1:$D$1,0),1))*(AQ957/365),""))</f>
        <v>-3.9329835342959956</v>
      </c>
      <c r="AS957" s="12">
        <f>IF($H957="Cancelled","",IFERROR((T957*INDEX(Variables!$B$7:$D$7,IFERROR(MATCH(IF($B957="Robusta","Robusta",(IF($B957="","Arabica",$B957))&amp;" - "&amp;(IF($C957="","Commercial",$C957))),Variables!$B$1:$D$1,0),1))*IFERROR(IF(W957="","",(AVERAGE(E957:F957)-W957)-Variables!$B$14),"")/365)+(L957/16.67*INDEX(Variables!$B$8:$D$8,IFERROR(MATCH(IF($B957="Robusta","Robusta",(IF($B957="","Arabica",$B957))&amp;" - "&amp;(IF($C957="","Commercial",$C957))),Variables!$B$1:$D$1,0),1))*IFERROR(IF(W957="","",(AVERAGE(E957:F957)-W957)-Variables!$B$14),""))+(T957*INDEX(Variables!$B$9:$D$9,IFERROR(MATCH(IF($B957="Robusta","Robusta",(IF($B957="","Arabica",$B957))&amp;" - "&amp;(IF($C957="","Commercial",$C957))),Variables!$B$1:$D$1,0),1))*IFERROR(IF(W957="","",(AVERAGE(E957:F957)-W957)-Variables!$B$14),"")/365),""))</f>
        <v>10.429178198029618</v>
      </c>
      <c r="AT957" s="12">
        <f>IF($H957="Cancelled","",IFERROR((T957*INDEX(Variables!$B$7:$D$7,IFERROR(MATCH(IF($B957="Robusta","Robusta",(IF($B957="","Arabica",$B957))&amp;" - "&amp;(IF($C957="","Commercial",$C957))),Variables!$B$1:$D$1,0),1))*AC957/365)+(L957/16.67*INDEX(Variables!$B$8:$D$8,IFERROR(MATCH(IF($B957="Robusta","Robusta",(IF($B957="","Arabica",$B957))&amp;" - "&amp;(IF($C957="","Commercial",$C957))),Variables!$B$1:$D$1,0),1))*AC957)+(T957*INDEX(Variables!$B$9:$D$9,IFERROR(MATCH(IF($B957="Robusta","Robusta",(IF($B957="","Arabica",$B957))&amp;" - "&amp;(IF($C957="","Commercial",$C957))),Variables!$B$1:$D$1,0),1))*AC957/365),""))</f>
        <v>0</v>
      </c>
      <c r="AU957" s="12">
        <f>IF($H957="Cancelled","",IFERROR((T957*INDEX(Variables!$B$7:$D$7,IFERROR(MATCH(IF($B957="Robusta","Robusta",(IF($B957="","Arabica",$B957))&amp;" - "&amp;(IF($C957="","Commercial",$C957))),Variables!$B$1:$D$1,0),1))*AP957/365)+(L957/16.67*INDEX(Variables!$B$8:$D$8,IFERROR(MATCH(IF($B957="Robusta","Robusta",(IF($B957="","Arabica",$B957))&amp;" - "&amp;(IF($C957="","Commercial",$C957))),Variables!$B$1:$D$1,0),1))*AP957)+(T957*INDEX(Variables!$B$9:$D$9,IFERROR(MATCH(IF($B957="Robusta","Robusta",(IF($B957="","Arabica",$B957))&amp;" - "&amp;(IF($C957="","Commercial",$C957))),Variables!$B$1:$D$1,0),1))*AP957/365),""))</f>
        <v>311.13714957455028</v>
      </c>
      <c r="AV957" s="11">
        <f t="shared" si="90"/>
        <v>370</v>
      </c>
      <c r="AW957" s="12">
        <f>IF($H957="Cancelled","",IFERROR(IF(AV957="","",(T957*INDEX(Variables!$B$7:$D$7,IFERROR(MATCH(IF($B957="Robusta","Robusta",(IF($B957="","Arabica",$B957))&amp;" - "&amp;(IF($C957="","Commercial",$C957))),Variables!$B$1:$D$1,0),1))*(AV957/365))+(T957*INDEX(Variables!$B$9:$D$9,IFERROR(MATCH(IF($B957="Robusta","Robusta",(IF($B957="","Arabica",$B957))&amp;" - "&amp;(IF($C957="","Commercial",$C957))),Variables!$B$1:$D$1,0),1))*(AV957/365))+(INDEX(Variables!$B$8:$D$8,IFERROR(MATCH(IF($B957="Robusta","Robusta",(IF($B957="","Arabica",$B957))&amp;" - "&amp;(IF($C957="","Commercial",$C957))),Variables!$B$1:$D$1,0),1))*L957/16.67)),""))</f>
        <v>210.86632777257989</v>
      </c>
      <c r="AX957" s="9"/>
      <c r="AY957" s="12"/>
      <c r="AZ957" s="10"/>
      <c r="BA957" s="9"/>
      <c r="BB957" s="10"/>
      <c r="BC957" s="9"/>
      <c r="BD957" s="9"/>
      <c r="BE957" s="9"/>
      <c r="BF957" s="9"/>
    </row>
    <row r="958" spans="1:58" x14ac:dyDescent="0.25">
      <c r="A958" s="9" t="s">
        <v>84</v>
      </c>
      <c r="B958" s="9" t="s">
        <v>85</v>
      </c>
      <c r="C958" s="9" t="s">
        <v>1486</v>
      </c>
      <c r="D958" s="10">
        <v>45712</v>
      </c>
      <c r="E958" s="10">
        <v>45717</v>
      </c>
      <c r="F958" s="10">
        <v>45747</v>
      </c>
      <c r="G958" s="9">
        <v>3786743</v>
      </c>
      <c r="H958" s="9" t="str">
        <f t="shared" si="88"/>
        <v>Closed</v>
      </c>
      <c r="I958" s="9" t="str">
        <f t="shared" si="89"/>
        <v>All dates received</v>
      </c>
      <c r="J958" s="9" t="s">
        <v>303</v>
      </c>
      <c r="K958" s="9" t="s">
        <v>2049</v>
      </c>
      <c r="L958" s="11">
        <v>8</v>
      </c>
      <c r="M958" s="9" t="s">
        <v>2050</v>
      </c>
      <c r="N958" s="9"/>
      <c r="O958" s="9"/>
      <c r="P958" s="9"/>
      <c r="Q958" s="11">
        <v>145</v>
      </c>
      <c r="R958" s="9" t="s">
        <v>195</v>
      </c>
      <c r="S958" s="9" t="s">
        <v>91</v>
      </c>
      <c r="T958" s="12">
        <f>IF($H958="Cancelled","",IFERROR(((Q958+INDEX(Variables!$B$6:$D$6,IFERROR(MATCH(IF($B958="Robusta","Robusta",(IF($B958="","Arabica",$B958))&amp;" - "&amp;(IF($C958="","Commercial",$C958))),Variables!$B$1:$D$1,0),1)))*22.0462)*(L958/16.67),""))</f>
        <v>4610.7901427714451</v>
      </c>
      <c r="U958" s="10"/>
      <c r="V958" s="9" t="str">
        <f t="shared" si="91"/>
        <v/>
      </c>
      <c r="W958" s="10">
        <v>45690</v>
      </c>
      <c r="X958" s="9" t="str">
        <f t="shared" si="92"/>
        <v>Approved</v>
      </c>
      <c r="Y958" s="10">
        <v>45713</v>
      </c>
      <c r="Z958" s="10">
        <f>IF($H958="Cancelled","",IFERROR(IF(F958="","",F958-Variables!$B$13),""))</f>
        <v>45732</v>
      </c>
      <c r="AA958" s="11">
        <f>IF($H958="Cancelled","",IFERROR(IF(W958="","",(AVERAGE(E958:F958)-W958)-Variables!$B$14),""))</f>
        <v>12</v>
      </c>
      <c r="AB958" s="10">
        <v>45728</v>
      </c>
      <c r="AC958" s="11">
        <f>IF($H958="Cancelled","",IFERROR(IF(AB958="","",IF(AND(W958="",Y958=""),"",IF(Y958&gt;W958,Y958+Variables!$B$15+Variables!$B$16+Variables!$B$17-AB958,W958+Variables!$B$16+Variables!$B$17-AB958))),""))</f>
        <v>0</v>
      </c>
      <c r="AD958" s="9" t="s">
        <v>163</v>
      </c>
      <c r="AE958" s="9" t="s">
        <v>844</v>
      </c>
      <c r="AF958" s="10"/>
      <c r="AG958" s="10"/>
      <c r="AH958" s="9"/>
      <c r="AI958" s="9">
        <v>251098049</v>
      </c>
      <c r="AJ958" s="9" t="s">
        <v>8</v>
      </c>
      <c r="AK958" s="10">
        <v>45377</v>
      </c>
      <c r="AL958" s="10">
        <v>45379</v>
      </c>
      <c r="AM958" s="10">
        <v>45389</v>
      </c>
      <c r="AN958" s="9" t="s">
        <v>1492</v>
      </c>
      <c r="AO958" s="9"/>
      <c r="AP958" s="11">
        <f>IF($H958="Cancelled","",IFERROR(IF(OR(AK958="",AB958=""),"",(AB958+Variables!$B$18-AK958)),""))</f>
        <v>358</v>
      </c>
      <c r="AQ958" s="11">
        <f>IF($H958="Cancelled","",IFERROR(IF(OR(AM958="",AK958=""),"",(AK958+Variables!$B$19)-AM958),""))</f>
        <v>-7</v>
      </c>
      <c r="AR958" s="12">
        <f>IF($H958="Cancelled","",IFERROR(T958*INDEX(Variables!$B$7:$D$7,IFERROR(MATCH(IF($B958="Robusta","Robusta",(IF($B958="","Arabica",$B958))&amp;" - "&amp;(IF($C958="","Commercial",$C958))),Variables!$B$1:$D$1,0),1))*(AQ958/365),""))</f>
        <v>-5.7019102603000498</v>
      </c>
      <c r="AS958" s="12">
        <f>IF($H958="Cancelled","",IFERROR((T958*INDEX(Variables!$B$7:$D$7,IFERROR(MATCH(IF($B958="Robusta","Robusta",(IF($B958="","Arabica",$B958))&amp;" - "&amp;(IF($C958="","Commercial",$C958))),Variables!$B$1:$D$1,0),1))*IFERROR(IF(W958="","",(AVERAGE(E958:F958)-W958)-Variables!$B$14),"")/365)+(L958/16.67*INDEX(Variables!$B$8:$D$8,IFERROR(MATCH(IF($B958="Robusta","Robusta",(IF($B958="","Arabica",$B958))&amp;" - "&amp;(IF($C958="","Commercial",$C958))),Variables!$B$1:$D$1,0),1))*IFERROR(IF(W958="","",(AVERAGE(E958:F958)-W958)-Variables!$B$14),""))+(T958*INDEX(Variables!$B$9:$D$9,IFERROR(MATCH(IF($B958="Robusta","Robusta",(IF($B958="","Arabica",$B958))&amp;" - "&amp;(IF($C958="","Commercial",$C958))),Variables!$B$1:$D$1,0),1))*IFERROR(IF(W958="","",(AVERAGE(E958:F958)-W958)-Variables!$B$14),"")/365),""))</f>
        <v>14.700718092818722</v>
      </c>
      <c r="AT958" s="12">
        <f>IF($H958="Cancelled","",IFERROR((T958*INDEX(Variables!$B$7:$D$7,IFERROR(MATCH(IF($B958="Robusta","Robusta",(IF($B958="","Arabica",$B958))&amp;" - "&amp;(IF($C958="","Commercial",$C958))),Variables!$B$1:$D$1,0),1))*AC958/365)+(L958/16.67*INDEX(Variables!$B$8:$D$8,IFERROR(MATCH(IF($B958="Robusta","Robusta",(IF($B958="","Arabica",$B958))&amp;" - "&amp;(IF($C958="","Commercial",$C958))),Variables!$B$1:$D$1,0),1))*AC958)+(T958*INDEX(Variables!$B$9:$D$9,IFERROR(MATCH(IF($B958="Robusta","Robusta",(IF($B958="","Arabica",$B958))&amp;" - "&amp;(IF($C958="","Commercial",$C958))),Variables!$B$1:$D$1,0),1))*AC958/365),""))</f>
        <v>0</v>
      </c>
      <c r="AU958" s="12">
        <f>IF($H958="Cancelled","",IFERROR((T958*INDEX(Variables!$B$7:$D$7,IFERROR(MATCH(IF($B958="Robusta","Robusta",(IF($B958="","Arabica",$B958))&amp;" - "&amp;(IF($C958="","Commercial",$C958))),Variables!$B$1:$D$1,0),1))*AP958/365)+(L958/16.67*INDEX(Variables!$B$8:$D$8,IFERROR(MATCH(IF($B958="Robusta","Robusta",(IF($B958="","Arabica",$B958))&amp;" - "&amp;(IF($C958="","Commercial",$C958))),Variables!$B$1:$D$1,0),1))*AP958)+(T958*INDEX(Variables!$B$9:$D$9,IFERROR(MATCH(IF($B958="Robusta","Robusta",(IF($B958="","Arabica",$B958))&amp;" - "&amp;(IF($C958="","Commercial",$C958))),Variables!$B$1:$D$1,0),1))*AP958/365),""))</f>
        <v>438.57142310242517</v>
      </c>
      <c r="AV958" s="11">
        <f t="shared" si="90"/>
        <v>370</v>
      </c>
      <c r="AW958" s="12">
        <f>IF($H958="Cancelled","",IFERROR(IF(AV958="","",(T958*INDEX(Variables!$B$7:$D$7,IFERROR(MATCH(IF($B958="Robusta","Robusta",(IF($B958="","Arabica",$B958))&amp;" - "&amp;(IF($C958="","Commercial",$C958))),Variables!$B$1:$D$1,0),1))*(AV958/365))+(T958*INDEX(Variables!$B$9:$D$9,IFERROR(MATCH(IF($B958="Robusta","Robusta",(IF($B958="","Arabica",$B958))&amp;" - "&amp;(IF($C958="","Commercial",$C958))),Variables!$B$1:$D$1,0),1))*(AV958/365))+(INDEX(Variables!$B$8:$D$8,IFERROR(MATCH(IF($B958="Robusta","Robusta",(IF($B958="","Arabica",$B958))&amp;" - "&amp;(IF($C958="","Commercial",$C958))),Variables!$B$1:$D$1,0),1))*L958/16.67)),""))</f>
        <v>305.67214119524391</v>
      </c>
      <c r="AX958" s="9"/>
      <c r="AY958" s="12"/>
      <c r="AZ958" s="10"/>
      <c r="BA958" s="9"/>
      <c r="BB958" s="10"/>
      <c r="BC958" s="9"/>
      <c r="BD958" s="9"/>
      <c r="BE958" s="9"/>
      <c r="BF958" s="9"/>
    </row>
    <row r="959" spans="1:58" x14ac:dyDescent="0.25">
      <c r="A959" s="9" t="s">
        <v>84</v>
      </c>
      <c r="B959" s="9" t="s">
        <v>85</v>
      </c>
      <c r="C959" s="9" t="s">
        <v>1486</v>
      </c>
      <c r="D959" s="10">
        <v>45712</v>
      </c>
      <c r="E959" s="10">
        <v>45717</v>
      </c>
      <c r="F959" s="10">
        <v>45747</v>
      </c>
      <c r="G959" s="9">
        <v>3786744</v>
      </c>
      <c r="H959" s="9" t="str">
        <f t="shared" si="88"/>
        <v>Closed</v>
      </c>
      <c r="I959" s="9" t="str">
        <f t="shared" si="89"/>
        <v>All dates received</v>
      </c>
      <c r="J959" s="9" t="s">
        <v>303</v>
      </c>
      <c r="K959" s="9" t="s">
        <v>2051</v>
      </c>
      <c r="L959" s="11">
        <v>2</v>
      </c>
      <c r="M959" s="9" t="s">
        <v>2052</v>
      </c>
      <c r="N959" s="9"/>
      <c r="O959" s="9"/>
      <c r="P959" s="9"/>
      <c r="Q959" s="11">
        <v>133</v>
      </c>
      <c r="R959" s="9" t="s">
        <v>195</v>
      </c>
      <c r="S959" s="9" t="s">
        <v>91</v>
      </c>
      <c r="T959" s="12">
        <f>IF($H959="Cancelled","",IFERROR(((Q959+INDEX(Variables!$B$6:$D$6,IFERROR(MATCH(IF($B959="Robusta","Robusta",(IF($B959="","Arabica",$B959))&amp;" - "&amp;(IF($C959="","Commercial",$C959))),Variables!$B$1:$D$1,0),1)))*22.0462)*(L959/16.67),""))</f>
        <v>1120.9573557288541</v>
      </c>
      <c r="U959" s="10"/>
      <c r="V959" s="9" t="str">
        <f t="shared" si="91"/>
        <v/>
      </c>
      <c r="W959" s="10">
        <v>45690</v>
      </c>
      <c r="X959" s="9" t="str">
        <f t="shared" si="92"/>
        <v>Approved</v>
      </c>
      <c r="Y959" s="10">
        <v>45713</v>
      </c>
      <c r="Z959" s="10">
        <f>IF($H959="Cancelled","",IFERROR(IF(F959="","",F959-Variables!$B$13),""))</f>
        <v>45732</v>
      </c>
      <c r="AA959" s="11">
        <f>IF($H959="Cancelled","",IFERROR(IF(W959="","",(AVERAGE(E959:F959)-W959)-Variables!$B$14),""))</f>
        <v>12</v>
      </c>
      <c r="AB959" s="10">
        <v>45728</v>
      </c>
      <c r="AC959" s="11">
        <f>IF($H959="Cancelled","",IFERROR(IF(AB959="","",IF(AND(W959="",Y959=""),"",IF(Y959&gt;W959,Y959+Variables!$B$15+Variables!$B$16+Variables!$B$17-AB959,W959+Variables!$B$16+Variables!$B$17-AB959))),""))</f>
        <v>0</v>
      </c>
      <c r="AD959" s="9" t="s">
        <v>163</v>
      </c>
      <c r="AE959" s="9" t="s">
        <v>844</v>
      </c>
      <c r="AF959" s="10"/>
      <c r="AG959" s="10"/>
      <c r="AH959" s="9"/>
      <c r="AI959" s="9">
        <v>251098049</v>
      </c>
      <c r="AJ959" s="9" t="s">
        <v>8</v>
      </c>
      <c r="AK959" s="10">
        <v>45377</v>
      </c>
      <c r="AL959" s="10">
        <v>45379</v>
      </c>
      <c r="AM959" s="10">
        <v>45389</v>
      </c>
      <c r="AN959" s="9" t="s">
        <v>1492</v>
      </c>
      <c r="AO959" s="9"/>
      <c r="AP959" s="11">
        <f>IF($H959="Cancelled","",IFERROR(IF(OR(AK959="",AB959=""),"",(AB959+Variables!$B$18-AK959)),""))</f>
        <v>358</v>
      </c>
      <c r="AQ959" s="11">
        <f>IF($H959="Cancelled","",IFERROR(IF(OR(AM959="",AK959=""),"",(AK959+Variables!$B$19)-AM959),""))</f>
        <v>-7</v>
      </c>
      <c r="AR959" s="12">
        <f>IF($H959="Cancelled","",IFERROR(T959*INDEX(Variables!$B$7:$D$7,IFERROR(MATCH(IF($B959="Robusta","Robusta",(IF($B959="","Arabica",$B959))&amp;" - "&amp;(IF($C959="","Commercial",$C959))),Variables!$B$1:$D$1,0),1))*(AQ959/365),""))</f>
        <v>-1.3862262323974079</v>
      </c>
      <c r="AS959" s="12">
        <f>IF($H959="Cancelled","",IFERROR((T959*INDEX(Variables!$B$7:$D$7,IFERROR(MATCH(IF($B959="Robusta","Robusta",(IF($B959="","Arabica",$B959))&amp;" - "&amp;(IF($C959="","Commercial",$C959))),Variables!$B$1:$D$1,0),1))*IFERROR(IF(W959="","",(AVERAGE(E959:F959)-W959)-Variables!$B$14),"")/365)+(L959/16.67*INDEX(Variables!$B$8:$D$8,IFERROR(MATCH(IF($B959="Robusta","Robusta",(IF($B959="","Arabica",$B959))&amp;" - "&amp;(IF($C959="","Commercial",$C959))),Variables!$B$1:$D$1,0),1))*IFERROR(IF(W959="","",(AVERAGE(E959:F959)-W959)-Variables!$B$14),""))+(T959*INDEX(Variables!$B$9:$D$9,IFERROR(MATCH(IF($B959="Robusta","Robusta",(IF($B959="","Arabica",$B959))&amp;" - "&amp;(IF($C959="","Commercial",$C959))),Variables!$B$1:$D$1,0),1))*IFERROR(IF(W959="","",(AVERAGE(E959:F959)-W959)-Variables!$B$14),"")/365),""))</f>
        <v>3.6070240521664609</v>
      </c>
      <c r="AT959" s="12">
        <f>IF($H959="Cancelled","",IFERROR((T959*INDEX(Variables!$B$7:$D$7,IFERROR(MATCH(IF($B959="Robusta","Robusta",(IF($B959="","Arabica",$B959))&amp;" - "&amp;(IF($C959="","Commercial",$C959))),Variables!$B$1:$D$1,0),1))*AC959/365)+(L959/16.67*INDEX(Variables!$B$8:$D$8,IFERROR(MATCH(IF($B959="Robusta","Robusta",(IF($B959="","Arabica",$B959))&amp;" - "&amp;(IF($C959="","Commercial",$C959))),Variables!$B$1:$D$1,0),1))*AC959)+(T959*INDEX(Variables!$B$9:$D$9,IFERROR(MATCH(IF($B959="Robusta","Robusta",(IF($B959="","Arabica",$B959))&amp;" - "&amp;(IF($C959="","Commercial",$C959))),Variables!$B$1:$D$1,0),1))*AC959/365),""))</f>
        <v>0</v>
      </c>
      <c r="AU959" s="12">
        <f>IF($H959="Cancelled","",IFERROR((T959*INDEX(Variables!$B$7:$D$7,IFERROR(MATCH(IF($B959="Robusta","Robusta",(IF($B959="","Arabica",$B959))&amp;" - "&amp;(IF($C959="","Commercial",$C959))),Variables!$B$1:$D$1,0),1))*AP959/365)+(L959/16.67*INDEX(Variables!$B$8:$D$8,IFERROR(MATCH(IF($B959="Robusta","Robusta",(IF($B959="","Arabica",$B959))&amp;" - "&amp;(IF($C959="","Commercial",$C959))),Variables!$B$1:$D$1,0),1))*AP959)+(T959*INDEX(Variables!$B$9:$D$9,IFERROR(MATCH(IF($B959="Robusta","Robusta",(IF($B959="","Arabica",$B959))&amp;" - "&amp;(IF($C959="","Commercial",$C959))),Variables!$B$1:$D$1,0),1))*AP959/365),""))</f>
        <v>107.60955088963274</v>
      </c>
      <c r="AV959" s="11">
        <f t="shared" si="90"/>
        <v>370</v>
      </c>
      <c r="AW959" s="12">
        <f>IF($H959="Cancelled","",IFERROR(IF(AV959="","",(T959*INDEX(Variables!$B$7:$D$7,IFERROR(MATCH(IF($B959="Robusta","Robusta",(IF($B959="","Arabica",$B959))&amp;" - "&amp;(IF($C959="","Commercial",$C959))),Variables!$B$1:$D$1,0),1))*(AV959/365))+(T959*INDEX(Variables!$B$9:$D$9,IFERROR(MATCH(IF($B959="Robusta","Robusta",(IF($B959="","Arabica",$B959))&amp;" - "&amp;(IF($C959="","Commercial",$C959))),Variables!$B$1:$D$1,0),1))*(AV959/365))+(INDEX(Variables!$B$8:$D$8,IFERROR(MATCH(IF($B959="Robusta","Robusta",(IF($B959="","Arabica",$B959))&amp;" - "&amp;(IF($C959="","Commercial",$C959))),Variables!$B$1:$D$1,0),1))*L959/16.67)),""))</f>
        <v>74.316574941799217</v>
      </c>
      <c r="AX959" s="9"/>
      <c r="AY959" s="12"/>
      <c r="AZ959" s="10"/>
      <c r="BA959" s="9"/>
      <c r="BB959" s="10"/>
      <c r="BC959" s="9"/>
      <c r="BD959" s="9"/>
      <c r="BE959" s="9"/>
      <c r="BF959" s="9"/>
    </row>
    <row r="960" spans="1:58" x14ac:dyDescent="0.25">
      <c r="A960" s="9" t="s">
        <v>84</v>
      </c>
      <c r="B960" s="9" t="s">
        <v>85</v>
      </c>
      <c r="C960" s="9" t="s">
        <v>1486</v>
      </c>
      <c r="D960" s="10">
        <v>45712</v>
      </c>
      <c r="E960" s="10">
        <v>45717</v>
      </c>
      <c r="F960" s="10">
        <v>45747</v>
      </c>
      <c r="G960" s="9">
        <v>3786745</v>
      </c>
      <c r="H960" s="9" t="str">
        <f t="shared" si="88"/>
        <v>Closed</v>
      </c>
      <c r="I960" s="9" t="str">
        <f t="shared" si="89"/>
        <v>All dates received</v>
      </c>
      <c r="J960" s="9" t="s">
        <v>303</v>
      </c>
      <c r="K960" s="9" t="s">
        <v>2053</v>
      </c>
      <c r="L960" s="11">
        <v>12</v>
      </c>
      <c r="M960" s="9" t="s">
        <v>2054</v>
      </c>
      <c r="N960" s="9"/>
      <c r="O960" s="9"/>
      <c r="P960" s="9"/>
      <c r="Q960" s="11">
        <v>145</v>
      </c>
      <c r="R960" s="9" t="s">
        <v>195</v>
      </c>
      <c r="S960" s="9" t="s">
        <v>91</v>
      </c>
      <c r="T960" s="12">
        <f>IF($H960="Cancelled","",IFERROR(((Q960+INDEX(Variables!$B$6:$D$6,IFERROR(MATCH(IF($B960="Robusta","Robusta",(IF($B960="","Arabica",$B960))&amp;" - "&amp;(IF($C960="","Commercial",$C960))),Variables!$B$1:$D$1,0),1)))*22.0462)*(L960/16.67),""))</f>
        <v>6916.1852141571671</v>
      </c>
      <c r="U960" s="10"/>
      <c r="V960" s="9" t="str">
        <f t="shared" si="91"/>
        <v/>
      </c>
      <c r="W960" s="10">
        <v>45690</v>
      </c>
      <c r="X960" s="9" t="str">
        <f t="shared" si="92"/>
        <v>Approved</v>
      </c>
      <c r="Y960" s="10">
        <v>45713</v>
      </c>
      <c r="Z960" s="10">
        <f>IF($H960="Cancelled","",IFERROR(IF(F960="","",F960-Variables!$B$13),""))</f>
        <v>45732</v>
      </c>
      <c r="AA960" s="11">
        <f>IF($H960="Cancelled","",IFERROR(IF(W960="","",(AVERAGE(E960:F960)-W960)-Variables!$B$14),""))</f>
        <v>12</v>
      </c>
      <c r="AB960" s="10">
        <v>45728</v>
      </c>
      <c r="AC960" s="11">
        <f>IF($H960="Cancelled","",IFERROR(IF(AB960="","",IF(AND(W960="",Y960=""),"",IF(Y960&gt;W960,Y960+Variables!$B$15+Variables!$B$16+Variables!$B$17-AB960,W960+Variables!$B$16+Variables!$B$17-AB960))),""))</f>
        <v>0</v>
      </c>
      <c r="AD960" s="9" t="s">
        <v>163</v>
      </c>
      <c r="AE960" s="9" t="s">
        <v>844</v>
      </c>
      <c r="AF960" s="10"/>
      <c r="AG960" s="10"/>
      <c r="AH960" s="9"/>
      <c r="AI960" s="9">
        <v>251098049</v>
      </c>
      <c r="AJ960" s="9" t="s">
        <v>8</v>
      </c>
      <c r="AK960" s="10">
        <v>45377</v>
      </c>
      <c r="AL960" s="10">
        <v>45379</v>
      </c>
      <c r="AM960" s="10">
        <v>45389</v>
      </c>
      <c r="AN960" s="9" t="s">
        <v>1492</v>
      </c>
      <c r="AO960" s="9"/>
      <c r="AP960" s="11">
        <f>IF($H960="Cancelled","",IFERROR(IF(OR(AK960="",AB960=""),"",(AB960+Variables!$B$18-AK960)),""))</f>
        <v>358</v>
      </c>
      <c r="AQ960" s="11">
        <f>IF($H960="Cancelled","",IFERROR(IF(OR(AM960="",AK960=""),"",(AK960+Variables!$B$19)-AM960),""))</f>
        <v>-7</v>
      </c>
      <c r="AR960" s="12">
        <f>IF($H960="Cancelled","",IFERROR(T960*INDEX(Variables!$B$7:$D$7,IFERROR(MATCH(IF($B960="Robusta","Robusta",(IF($B960="","Arabica",$B960))&amp;" - "&amp;(IF($C960="","Commercial",$C960))),Variables!$B$1:$D$1,0),1))*(AQ960/365),""))</f>
        <v>-8.5528653904500747</v>
      </c>
      <c r="AS960" s="12">
        <f>IF($H960="Cancelled","",IFERROR((T960*INDEX(Variables!$B$7:$D$7,IFERROR(MATCH(IF($B960="Robusta","Robusta",(IF($B960="","Arabica",$B960))&amp;" - "&amp;(IF($C960="","Commercial",$C960))),Variables!$B$1:$D$1,0),1))*IFERROR(IF(W960="","",(AVERAGE(E960:F960)-W960)-Variables!$B$14),"")/365)+(L960/16.67*INDEX(Variables!$B$8:$D$8,IFERROR(MATCH(IF($B960="Robusta","Robusta",(IF($B960="","Arabica",$B960))&amp;" - "&amp;(IF($C960="","Commercial",$C960))),Variables!$B$1:$D$1,0),1))*IFERROR(IF(W960="","",(AVERAGE(E960:F960)-W960)-Variables!$B$14),""))+(T960*INDEX(Variables!$B$9:$D$9,IFERROR(MATCH(IF($B960="Robusta","Robusta",(IF($B960="","Arabica",$B960))&amp;" - "&amp;(IF($C960="","Commercial",$C960))),Variables!$B$1:$D$1,0),1))*IFERROR(IF(W960="","",(AVERAGE(E960:F960)-W960)-Variables!$B$14),"")/365),""))</f>
        <v>22.051077139228081</v>
      </c>
      <c r="AT960" s="12">
        <f>IF($H960="Cancelled","",IFERROR((T960*INDEX(Variables!$B$7:$D$7,IFERROR(MATCH(IF($B960="Robusta","Robusta",(IF($B960="","Arabica",$B960))&amp;" - "&amp;(IF($C960="","Commercial",$C960))),Variables!$B$1:$D$1,0),1))*AC960/365)+(L960/16.67*INDEX(Variables!$B$8:$D$8,IFERROR(MATCH(IF($B960="Robusta","Robusta",(IF($B960="","Arabica",$B960))&amp;" - "&amp;(IF($C960="","Commercial",$C960))),Variables!$B$1:$D$1,0),1))*AC960)+(T960*INDEX(Variables!$B$9:$D$9,IFERROR(MATCH(IF($B960="Robusta","Robusta",(IF($B960="","Arabica",$B960))&amp;" - "&amp;(IF($C960="","Commercial",$C960))),Variables!$B$1:$D$1,0),1))*AC960/365),""))</f>
        <v>0</v>
      </c>
      <c r="AU960" s="12">
        <f>IF($H960="Cancelled","",IFERROR((T960*INDEX(Variables!$B$7:$D$7,IFERROR(MATCH(IF($B960="Robusta","Robusta",(IF($B960="","Arabica",$B960))&amp;" - "&amp;(IF($C960="","Commercial",$C960))),Variables!$B$1:$D$1,0),1))*AP960/365)+(L960/16.67*INDEX(Variables!$B$8:$D$8,IFERROR(MATCH(IF($B960="Robusta","Robusta",(IF($B960="","Arabica",$B960))&amp;" - "&amp;(IF($C960="","Commercial",$C960))),Variables!$B$1:$D$1,0),1))*AP960)+(T960*INDEX(Variables!$B$9:$D$9,IFERROR(MATCH(IF($B960="Robusta","Robusta",(IF($B960="","Arabica",$B960))&amp;" - "&amp;(IF($C960="","Commercial",$C960))),Variables!$B$1:$D$1,0),1))*AP960/365),""))</f>
        <v>657.85713465363779</v>
      </c>
      <c r="AV960" s="11">
        <f t="shared" si="90"/>
        <v>370</v>
      </c>
      <c r="AW960" s="12">
        <f>IF($H960="Cancelled","",IFERROR(IF(AV960="","",(T960*INDEX(Variables!$B$7:$D$7,IFERROR(MATCH(IF($B960="Robusta","Robusta",(IF($B960="","Arabica",$B960))&amp;" - "&amp;(IF($C960="","Commercial",$C960))),Variables!$B$1:$D$1,0),1))*(AV960/365))+(T960*INDEX(Variables!$B$9:$D$9,IFERROR(MATCH(IF($B960="Robusta","Robusta",(IF($B960="","Arabica",$B960))&amp;" - "&amp;(IF($C960="","Commercial",$C960))),Variables!$B$1:$D$1,0),1))*(AV960/365))+(INDEX(Variables!$B$8:$D$8,IFERROR(MATCH(IF($B960="Robusta","Robusta",(IF($B960="","Arabica",$B960))&amp;" - "&amp;(IF($C960="","Commercial",$C960))),Variables!$B$1:$D$1,0),1))*L960/16.67)),""))</f>
        <v>458.50821179286589</v>
      </c>
      <c r="AX960" s="9"/>
      <c r="AY960" s="12"/>
      <c r="AZ960" s="10"/>
      <c r="BA960" s="9"/>
      <c r="BB960" s="10"/>
      <c r="BC960" s="9"/>
      <c r="BD960" s="9"/>
      <c r="BE960" s="9"/>
      <c r="BF960" s="9"/>
    </row>
    <row r="961" spans="1:58" x14ac:dyDescent="0.25">
      <c r="A961" s="9" t="s">
        <v>84</v>
      </c>
      <c r="B961" s="9" t="s">
        <v>85</v>
      </c>
      <c r="C961" s="9" t="s">
        <v>1486</v>
      </c>
      <c r="D961" s="10">
        <v>45712</v>
      </c>
      <c r="E961" s="10">
        <v>45717</v>
      </c>
      <c r="F961" s="10">
        <v>45747</v>
      </c>
      <c r="G961" s="9">
        <v>3786726</v>
      </c>
      <c r="H961" s="9" t="str">
        <f t="shared" si="88"/>
        <v>Closed</v>
      </c>
      <c r="I961" s="9" t="str">
        <f t="shared" si="89"/>
        <v>All dates received</v>
      </c>
      <c r="J961" s="9" t="s">
        <v>225</v>
      </c>
      <c r="K961" s="9" t="s">
        <v>2055</v>
      </c>
      <c r="L961" s="11">
        <v>25</v>
      </c>
      <c r="M961" s="9" t="s">
        <v>2056</v>
      </c>
      <c r="N961" s="9"/>
      <c r="O961" s="9"/>
      <c r="P961" s="9"/>
      <c r="Q961" s="11">
        <v>102.25</v>
      </c>
      <c r="R961" s="9" t="s">
        <v>195</v>
      </c>
      <c r="S961" s="9" t="s">
        <v>228</v>
      </c>
      <c r="T961" s="12">
        <f>IF($H961="Cancelled","",IFERROR(((Q961+INDEX(Variables!$B$6:$D$6,IFERROR(MATCH(IF($B961="Robusta","Robusta",(IF($B961="","Arabica",$B961))&amp;" - "&amp;(IF($C961="","Commercial",$C961))),Variables!$B$1:$D$1,0),1)))*22.0462)*(L961/16.67),""))</f>
        <v>12995.289307138572</v>
      </c>
      <c r="U961" s="10"/>
      <c r="V961" s="9" t="str">
        <f t="shared" si="91"/>
        <v/>
      </c>
      <c r="W961" s="10">
        <v>45703</v>
      </c>
      <c r="X961" s="9" t="str">
        <f t="shared" si="92"/>
        <v>Approved</v>
      </c>
      <c r="Y961" s="10">
        <v>45731</v>
      </c>
      <c r="Z961" s="10">
        <f>IF($H961="Cancelled","",IFERROR(IF(F961="","",F961-Variables!$B$13),""))</f>
        <v>45732</v>
      </c>
      <c r="AA961" s="11">
        <f>IF($H961="Cancelled","",IFERROR(IF(W961="","",(AVERAGE(E961:F961)-W961)-Variables!$B$14),""))</f>
        <v>-1</v>
      </c>
      <c r="AB961" s="10">
        <v>45741</v>
      </c>
      <c r="AC961" s="11">
        <f>IF($H961="Cancelled","",IFERROR(IF(AB961="","",IF(AND(W961="",Y961=""),"",IF(Y961&gt;W961,Y961+Variables!$B$15+Variables!$B$16+Variables!$B$17-AB961,W961+Variables!$B$16+Variables!$B$17-AB961))),""))</f>
        <v>5</v>
      </c>
      <c r="AD961" s="9" t="s">
        <v>163</v>
      </c>
      <c r="AE961" s="9" t="s">
        <v>847</v>
      </c>
      <c r="AF961" s="10"/>
      <c r="AG961" s="10"/>
      <c r="AH961" s="9"/>
      <c r="AI961" s="9">
        <v>251410456</v>
      </c>
      <c r="AJ961" s="9" t="s">
        <v>2057</v>
      </c>
      <c r="AK961" s="10">
        <v>45753</v>
      </c>
      <c r="AL961" s="10">
        <v>45399</v>
      </c>
      <c r="AM961" s="10">
        <v>45764</v>
      </c>
      <c r="AN961" s="9" t="s">
        <v>1492</v>
      </c>
      <c r="AO961" s="9"/>
      <c r="AP961" s="11">
        <f>IF($H961="Cancelled","",IFERROR(IF(OR(AK961="",AB961=""),"",(AB961+Variables!$B$18-AK961)),""))</f>
        <v>-5</v>
      </c>
      <c r="AQ961" s="11">
        <f>IF($H961="Cancelled","",IFERROR(IF(OR(AM961="",AK961=""),"",(AK961+Variables!$B$19)-AM961),""))</f>
        <v>-6</v>
      </c>
      <c r="AR961" s="12">
        <f>IF($H961="Cancelled","",IFERROR(T961*INDEX(Variables!$B$7:$D$7,IFERROR(MATCH(IF($B961="Robusta","Robusta",(IF($B961="","Arabica",$B961))&amp;" - "&amp;(IF($C961="","Commercial",$C961))),Variables!$B$1:$D$1,0),1))*(AQ961/365),""))</f>
        <v>-13.774764561546917</v>
      </c>
      <c r="AS961" s="12">
        <f>IF($H961="Cancelled","",IFERROR((T961*INDEX(Variables!$B$7:$D$7,IFERROR(MATCH(IF($B961="Robusta","Robusta",(IF($B961="","Arabica",$B961))&amp;" - "&amp;(IF($C961="","Commercial",$C961))),Variables!$B$1:$D$1,0),1))*IFERROR(IF(W961="","",(AVERAGE(E961:F961)-W961)-Variables!$B$14),"")/365)+(L961/16.67*INDEX(Variables!$B$8:$D$8,IFERROR(MATCH(IF($B961="Robusta","Robusta",(IF($B961="","Arabica",$B961))&amp;" - "&amp;(IF($C961="","Commercial",$C961))),Variables!$B$1:$D$1,0),1))*IFERROR(IF(W961="","",(AVERAGE(E961:F961)-W961)-Variables!$B$14),""))+(T961*INDEX(Variables!$B$9:$D$9,IFERROR(MATCH(IF($B961="Robusta","Robusta",(IF($B961="","Arabica",$B961))&amp;" - "&amp;(IF($C961="","Commercial",$C961))),Variables!$B$1:$D$1,0),1))*IFERROR(IF(W961="","",(AVERAGE(E961:F961)-W961)-Variables!$B$14),"")/365),""))</f>
        <v>-3.5753913100323156</v>
      </c>
      <c r="AT961" s="12">
        <f>IF($H961="Cancelled","",IFERROR((T961*INDEX(Variables!$B$7:$D$7,IFERROR(MATCH(IF($B961="Robusta","Robusta",(IF($B961="","Arabica",$B961))&amp;" - "&amp;(IF($C961="","Commercial",$C961))),Variables!$B$1:$D$1,0),1))*AC961/365)+(L961/16.67*INDEX(Variables!$B$8:$D$8,IFERROR(MATCH(IF($B961="Robusta","Robusta",(IF($B961="","Arabica",$B961))&amp;" - "&amp;(IF($C961="","Commercial",$C961))),Variables!$B$1:$D$1,0),1))*AC961)+(T961*INDEX(Variables!$B$9:$D$9,IFERROR(MATCH(IF($B961="Robusta","Robusta",(IF($B961="","Arabica",$B961))&amp;" - "&amp;(IF($C961="","Commercial",$C961))),Variables!$B$1:$D$1,0),1))*AC961/365),""))</f>
        <v>17.876956550161577</v>
      </c>
      <c r="AU961" s="12">
        <f>IF($H961="Cancelled","",IFERROR((T961*INDEX(Variables!$B$7:$D$7,IFERROR(MATCH(IF($B961="Robusta","Robusta",(IF($B961="","Arabica",$B961))&amp;" - "&amp;(IF($C961="","Commercial",$C961))),Variables!$B$1:$D$1,0),1))*AP961/365)+(L961/16.67*INDEX(Variables!$B$8:$D$8,IFERROR(MATCH(IF($B961="Robusta","Robusta",(IF($B961="","Arabica",$B961))&amp;" - "&amp;(IF($C961="","Commercial",$C961))),Variables!$B$1:$D$1,0),1))*AP961)+(T961*INDEX(Variables!$B$9:$D$9,IFERROR(MATCH(IF($B961="Robusta","Robusta",(IF($B961="","Arabica",$B961))&amp;" - "&amp;(IF($C961="","Commercial",$C961))),Variables!$B$1:$D$1,0),1))*AP961/365),""))</f>
        <v>-17.876956550161577</v>
      </c>
      <c r="AV961" s="11">
        <f t="shared" si="90"/>
        <v>-6</v>
      </c>
      <c r="AW961" s="12">
        <f>IF($H961="Cancelled","",IFERROR(IF(AV961="","",(T961*INDEX(Variables!$B$7:$D$7,IFERROR(MATCH(IF($B961="Robusta","Robusta",(IF($B961="","Arabica",$B961))&amp;" - "&amp;(IF($C961="","Commercial",$C961))),Variables!$B$1:$D$1,0),1))*(AV961/365))+(T961*INDEX(Variables!$B$9:$D$9,IFERROR(MATCH(IF($B961="Robusta","Robusta",(IF($B961="","Arabica",$B961))&amp;" - "&amp;(IF($C961="","Commercial",$C961))),Variables!$B$1:$D$1,0),1))*(AV961/365))+(INDEX(Variables!$B$8:$D$8,IFERROR(MATCH(IF($B961="Robusta","Robusta",(IF($B961="","Arabica",$B961))&amp;" - "&amp;(IF($C961="","Commercial",$C961))),Variables!$B$1:$D$1,0),1))*L961/16.67)),""))</f>
        <v>-12.702347860193891</v>
      </c>
      <c r="AX961" s="9"/>
      <c r="AY961" s="12"/>
      <c r="AZ961" s="10"/>
      <c r="BA961" s="9"/>
      <c r="BB961" s="10"/>
      <c r="BC961" s="9"/>
      <c r="BD961" s="9"/>
      <c r="BE961" s="9"/>
      <c r="BF961" s="9"/>
    </row>
    <row r="962" spans="1:58" x14ac:dyDescent="0.25">
      <c r="A962" s="9" t="s">
        <v>84</v>
      </c>
      <c r="B962" s="9" t="s">
        <v>85</v>
      </c>
      <c r="C962" s="9" t="s">
        <v>1486</v>
      </c>
      <c r="D962" s="10">
        <v>45712</v>
      </c>
      <c r="E962" s="10">
        <v>45717</v>
      </c>
      <c r="F962" s="10">
        <v>45747</v>
      </c>
      <c r="G962" s="9">
        <v>3786727</v>
      </c>
      <c r="H962" s="9" t="str">
        <f t="shared" ref="H962:H1025" si="93">IF(ISNUMBER(SEARCH("cancel",AN962)),"Cancelled",IF(AND(AK962&lt;&gt;"",AL962&lt;&gt;"",AM962&lt;&gt;""),"Closed","Open"))</f>
        <v>Closed</v>
      </c>
      <c r="I962" s="9" t="str">
        <f t="shared" ref="I962:I1025" si="94">IF(AND(AK962&lt;&gt;"",AL962&lt;&gt;"",AM962&lt;&gt;""),"All dates received",_xlfn.TEXTJOIN(" and ",TRUE(),IF(AK962="","No sailing date",""),IF(AL962="","No shipping advice sent",""),IF(AM962="","No docs dispatch date","")))</f>
        <v>All dates received</v>
      </c>
      <c r="J962" s="9" t="s">
        <v>225</v>
      </c>
      <c r="K962" s="9" t="s">
        <v>2058</v>
      </c>
      <c r="L962" s="11">
        <v>25</v>
      </c>
      <c r="M962" s="9" t="s">
        <v>2059</v>
      </c>
      <c r="N962" s="9"/>
      <c r="O962" s="9"/>
      <c r="P962" s="9"/>
      <c r="Q962" s="11">
        <v>95</v>
      </c>
      <c r="R962" s="9" t="s">
        <v>195</v>
      </c>
      <c r="S962" s="9" t="s">
        <v>228</v>
      </c>
      <c r="T962" s="12">
        <f>IF($H962="Cancelled","",IFERROR(((Q962+INDEX(Variables!$B$6:$D$6,IFERROR(MATCH(IF($B962="Robusta","Robusta",(IF($B962="","Arabica",$B962))&amp;" - "&amp;(IF($C962="","Commercial",$C962))),Variables!$B$1:$D$1,0),1)))*22.0462)*(L962/16.67),""))</f>
        <v>12755.584823035391</v>
      </c>
      <c r="U962" s="10"/>
      <c r="V962" s="9" t="str">
        <f t="shared" si="91"/>
        <v/>
      </c>
      <c r="W962" s="10">
        <v>45703</v>
      </c>
      <c r="X962" s="9" t="str">
        <f t="shared" si="92"/>
        <v>Approved</v>
      </c>
      <c r="Y962" s="10">
        <v>45731</v>
      </c>
      <c r="Z962" s="10">
        <f>IF($H962="Cancelled","",IFERROR(IF(F962="","",F962-Variables!$B$13),""))</f>
        <v>45732</v>
      </c>
      <c r="AA962" s="11">
        <f>IF($H962="Cancelled","",IFERROR(IF(W962="","",(AVERAGE(E962:F962)-W962)-Variables!$B$14),""))</f>
        <v>-1</v>
      </c>
      <c r="AB962" s="10">
        <v>45741</v>
      </c>
      <c r="AC962" s="11">
        <f>IF($H962="Cancelled","",IFERROR(IF(AB962="","",IF(AND(W962="",Y962=""),"",IF(Y962&gt;W962,Y962+Variables!$B$15+Variables!$B$16+Variables!$B$17-AB962,W962+Variables!$B$16+Variables!$B$17-AB962))),""))</f>
        <v>5</v>
      </c>
      <c r="AD962" s="9" t="s">
        <v>163</v>
      </c>
      <c r="AE962" s="9" t="s">
        <v>847</v>
      </c>
      <c r="AF962" s="10"/>
      <c r="AG962" s="10"/>
      <c r="AH962" s="9"/>
      <c r="AI962" s="9">
        <v>251410456</v>
      </c>
      <c r="AJ962" s="9" t="s">
        <v>2057</v>
      </c>
      <c r="AK962" s="10">
        <v>45753</v>
      </c>
      <c r="AL962" s="10">
        <v>45399</v>
      </c>
      <c r="AM962" s="10">
        <v>45764</v>
      </c>
      <c r="AN962" s="9" t="s">
        <v>1492</v>
      </c>
      <c r="AO962" s="9"/>
      <c r="AP962" s="11">
        <f>IF($H962="Cancelled","",IFERROR(IF(OR(AK962="",AB962=""),"",(AB962+Variables!$B$18-AK962)),""))</f>
        <v>-5</v>
      </c>
      <c r="AQ962" s="11">
        <f>IF($H962="Cancelled","",IFERROR(IF(OR(AM962="",AK962=""),"",(AK962+Variables!$B$19)-AM962),""))</f>
        <v>-6</v>
      </c>
      <c r="AR962" s="12">
        <f>IF($H962="Cancelled","",IFERROR(T962*INDEX(Variables!$B$7:$D$7,IFERROR(MATCH(IF($B962="Robusta","Robusta",(IF($B962="","Arabica",$B962))&amp;" - "&amp;(IF($C962="","Commercial",$C962))),Variables!$B$1:$D$1,0),1))*(AQ962/365),""))</f>
        <v>-13.520682274124921</v>
      </c>
      <c r="AS962" s="12">
        <f>IF($H962="Cancelled","",IFERROR((T962*INDEX(Variables!$B$7:$D$7,IFERROR(MATCH(IF($B962="Robusta","Robusta",(IF($B962="","Arabica",$B962))&amp;" - "&amp;(IF($C962="","Commercial",$C962))),Variables!$B$1:$D$1,0),1))*IFERROR(IF(W962="","",(AVERAGE(E962:F962)-W962)-Variables!$B$14),"")/365)+(L962/16.67*INDEX(Variables!$B$8:$D$8,IFERROR(MATCH(IF($B962="Robusta","Robusta",(IF($B962="","Arabica",$B962))&amp;" - "&amp;(IF($C962="","Commercial",$C962))),Variables!$B$1:$D$1,0),1))*IFERROR(IF(W962="","",(AVERAGE(E962:F962)-W962)-Variables!$B$14),""))+(T962*INDEX(Variables!$B$9:$D$9,IFERROR(MATCH(IF($B962="Robusta","Robusta",(IF($B962="","Arabica",$B962))&amp;" - "&amp;(IF($C962="","Commercial",$C962))),Variables!$B$1:$D$1,0),1))*IFERROR(IF(W962="","",(AVERAGE(E962:F962)-W962)-Variables!$B$14),"")/365),""))</f>
        <v>-3.5324983269570467</v>
      </c>
      <c r="AT962" s="12">
        <f>IF($H962="Cancelled","",IFERROR((T962*INDEX(Variables!$B$7:$D$7,IFERROR(MATCH(IF($B962="Robusta","Robusta",(IF($B962="","Arabica",$B962))&amp;" - "&amp;(IF($C962="","Commercial",$C962))),Variables!$B$1:$D$1,0),1))*AC962/365)+(L962/16.67*INDEX(Variables!$B$8:$D$8,IFERROR(MATCH(IF($B962="Robusta","Robusta",(IF($B962="","Arabica",$B962))&amp;" - "&amp;(IF($C962="","Commercial",$C962))),Variables!$B$1:$D$1,0),1))*AC962)+(T962*INDEX(Variables!$B$9:$D$9,IFERROR(MATCH(IF($B962="Robusta","Robusta",(IF($B962="","Arabica",$B962))&amp;" - "&amp;(IF($C962="","Commercial",$C962))),Variables!$B$1:$D$1,0),1))*AC962/365),""))</f>
        <v>17.662491634785233</v>
      </c>
      <c r="AU962" s="12">
        <f>IF($H962="Cancelled","",IFERROR((T962*INDEX(Variables!$B$7:$D$7,IFERROR(MATCH(IF($B962="Robusta","Robusta",(IF($B962="","Arabica",$B962))&amp;" - "&amp;(IF($C962="","Commercial",$C962))),Variables!$B$1:$D$1,0),1))*AP962/365)+(L962/16.67*INDEX(Variables!$B$8:$D$8,IFERROR(MATCH(IF($B962="Robusta","Robusta",(IF($B962="","Arabica",$B962))&amp;" - "&amp;(IF($C962="","Commercial",$C962))),Variables!$B$1:$D$1,0),1))*AP962)+(T962*INDEX(Variables!$B$9:$D$9,IFERROR(MATCH(IF($B962="Robusta","Robusta",(IF($B962="","Arabica",$B962))&amp;" - "&amp;(IF($C962="","Commercial",$C962))),Variables!$B$1:$D$1,0),1))*AP962/365),""))</f>
        <v>-17.662491634785233</v>
      </c>
      <c r="AV962" s="11">
        <f t="shared" ref="AV962:AV1025" si="95">IF($H962="Cancelled","",IFERROR(IF(AK962="","",F962-AK962),""))</f>
        <v>-6</v>
      </c>
      <c r="AW962" s="12">
        <f>IF($H962="Cancelled","",IFERROR(IF(AV962="","",(T962*INDEX(Variables!$B$7:$D$7,IFERROR(MATCH(IF($B962="Robusta","Robusta",(IF($B962="","Arabica",$B962))&amp;" - "&amp;(IF($C962="","Commercial",$C962))),Variables!$B$1:$D$1,0),1))*(AV962/365))+(T962*INDEX(Variables!$B$9:$D$9,IFERROR(MATCH(IF($B962="Robusta","Robusta",(IF($B962="","Arabica",$B962))&amp;" - "&amp;(IF($C962="","Commercial",$C962))),Variables!$B$1:$D$1,0),1))*(AV962/365))+(INDEX(Variables!$B$8:$D$8,IFERROR(MATCH(IF($B962="Robusta","Robusta",(IF($B962="","Arabica",$B962))&amp;" - "&amp;(IF($C962="","Commercial",$C962))),Variables!$B$1:$D$1,0),1))*L962/16.67)),""))</f>
        <v>-12.44498996174228</v>
      </c>
      <c r="AX962" s="9"/>
      <c r="AY962" s="12"/>
      <c r="AZ962" s="10"/>
      <c r="BA962" s="9"/>
      <c r="BB962" s="10"/>
      <c r="BC962" s="9"/>
      <c r="BD962" s="9"/>
      <c r="BE962" s="9"/>
      <c r="BF962" s="9"/>
    </row>
    <row r="963" spans="1:58" x14ac:dyDescent="0.25">
      <c r="A963" s="9" t="s">
        <v>84</v>
      </c>
      <c r="B963" s="9" t="s">
        <v>85</v>
      </c>
      <c r="C963" s="9" t="s">
        <v>1486</v>
      </c>
      <c r="D963" s="10">
        <v>45712</v>
      </c>
      <c r="E963" s="10">
        <v>45717</v>
      </c>
      <c r="F963" s="10">
        <v>45747</v>
      </c>
      <c r="G963" s="9">
        <v>3786728</v>
      </c>
      <c r="H963" s="9" t="str">
        <f t="shared" si="93"/>
        <v>Closed</v>
      </c>
      <c r="I963" s="9" t="str">
        <f t="shared" si="94"/>
        <v>All dates received</v>
      </c>
      <c r="J963" s="9" t="s">
        <v>225</v>
      </c>
      <c r="K963" s="9" t="s">
        <v>2060</v>
      </c>
      <c r="L963" s="11">
        <v>25</v>
      </c>
      <c r="M963" s="9" t="s">
        <v>2061</v>
      </c>
      <c r="N963" s="9"/>
      <c r="O963" s="9"/>
      <c r="P963" s="9"/>
      <c r="Q963" s="11">
        <v>99</v>
      </c>
      <c r="R963" s="9" t="s">
        <v>195</v>
      </c>
      <c r="S963" s="9" t="s">
        <v>228</v>
      </c>
      <c r="T963" s="12">
        <f>IF($H963="Cancelled","",IFERROR(((Q963+INDEX(Variables!$B$6:$D$6,IFERROR(MATCH(IF($B963="Robusta","Robusta",(IF($B963="","Arabica",$B963))&amp;" - "&amp;(IF($C963="","Commercial",$C963))),Variables!$B$1:$D$1,0),1)))*22.0462)*(L963/16.67),""))</f>
        <v>12887.83557288542</v>
      </c>
      <c r="U963" s="10"/>
      <c r="V963" s="9" t="str">
        <f t="shared" si="91"/>
        <v/>
      </c>
      <c r="W963" s="10">
        <v>45703</v>
      </c>
      <c r="X963" s="9" t="str">
        <f t="shared" si="92"/>
        <v>Approved</v>
      </c>
      <c r="Y963" s="10">
        <v>45731</v>
      </c>
      <c r="Z963" s="10">
        <f>IF($H963="Cancelled","",IFERROR(IF(F963="","",F963-Variables!$B$13),""))</f>
        <v>45732</v>
      </c>
      <c r="AA963" s="11">
        <f>IF($H963="Cancelled","",IFERROR(IF(W963="","",(AVERAGE(E963:F963)-W963)-Variables!$B$14),""))</f>
        <v>-1</v>
      </c>
      <c r="AB963" s="10">
        <v>45741</v>
      </c>
      <c r="AC963" s="11">
        <f>IF($H963="Cancelled","",IFERROR(IF(AB963="","",IF(AND(W963="",Y963=""),"",IF(Y963&gt;W963,Y963+Variables!$B$15+Variables!$B$16+Variables!$B$17-AB963,W963+Variables!$B$16+Variables!$B$17-AB963))),""))</f>
        <v>5</v>
      </c>
      <c r="AD963" s="9" t="s">
        <v>163</v>
      </c>
      <c r="AE963" s="9" t="s">
        <v>847</v>
      </c>
      <c r="AF963" s="10"/>
      <c r="AG963" s="10"/>
      <c r="AH963" s="9"/>
      <c r="AI963" s="9">
        <v>251410456</v>
      </c>
      <c r="AJ963" s="9" t="s">
        <v>2057</v>
      </c>
      <c r="AK963" s="10">
        <v>45753</v>
      </c>
      <c r="AL963" s="10">
        <v>45764</v>
      </c>
      <c r="AM963" s="10">
        <v>45764</v>
      </c>
      <c r="AN963" s="9" t="s">
        <v>1492</v>
      </c>
      <c r="AO963" s="9"/>
      <c r="AP963" s="11">
        <f>IF($H963="Cancelled","",IFERROR(IF(OR(AK963="",AB963=""),"",(AB963+Variables!$B$18-AK963)),""))</f>
        <v>-5</v>
      </c>
      <c r="AQ963" s="11">
        <f>IF($H963="Cancelled","",IFERROR(IF(OR(AM963="",AK963=""),"",(AK963+Variables!$B$19)-AM963),""))</f>
        <v>-6</v>
      </c>
      <c r="AR963" s="12">
        <f>IF($H963="Cancelled","",IFERROR(T963*INDEX(Variables!$B$7:$D$7,IFERROR(MATCH(IF($B963="Robusta","Robusta",(IF($B963="","Arabica",$B963))&amp;" - "&amp;(IF($C963="","Commercial",$C963))),Variables!$B$1:$D$1,0),1))*(AQ963/365),""))</f>
        <v>-13.660865605116365</v>
      </c>
      <c r="AS963" s="12">
        <f>IF($H963="Cancelled","",IFERROR((T963*INDEX(Variables!$B$7:$D$7,IFERROR(MATCH(IF($B963="Robusta","Robusta",(IF($B963="","Arabica",$B963))&amp;" - "&amp;(IF($C963="","Commercial",$C963))),Variables!$B$1:$D$1,0),1))*IFERROR(IF(W963="","",(AVERAGE(E963:F963)-W963)-Variables!$B$14),"")/365)+(L963/16.67*INDEX(Variables!$B$8:$D$8,IFERROR(MATCH(IF($B963="Robusta","Robusta",(IF($B963="","Arabica",$B963))&amp;" - "&amp;(IF($C963="","Commercial",$C963))),Variables!$B$1:$D$1,0),1))*IFERROR(IF(W963="","",(AVERAGE(E963:F963)-W963)-Variables!$B$14),""))+(T963*INDEX(Variables!$B$9:$D$9,IFERROR(MATCH(IF($B963="Robusta","Robusta",(IF($B963="","Arabica",$B963))&amp;" - "&amp;(IF($C963="","Commercial",$C963))),Variables!$B$1:$D$1,0),1))*IFERROR(IF(W963="","",(AVERAGE(E963:F963)-W963)-Variables!$B$14),"")/365),""))</f>
        <v>-3.5561634210675397</v>
      </c>
      <c r="AT963" s="12">
        <f>IF($H963="Cancelled","",IFERROR((T963*INDEX(Variables!$B$7:$D$7,IFERROR(MATCH(IF($B963="Robusta","Robusta",(IF($B963="","Arabica",$B963))&amp;" - "&amp;(IF($C963="","Commercial",$C963))),Variables!$B$1:$D$1,0),1))*AC963/365)+(L963/16.67*INDEX(Variables!$B$8:$D$8,IFERROR(MATCH(IF($B963="Robusta","Robusta",(IF($B963="","Arabica",$B963))&amp;" - "&amp;(IF($C963="","Commercial",$C963))),Variables!$B$1:$D$1,0),1))*AC963)+(T963*INDEX(Variables!$B$9:$D$9,IFERROR(MATCH(IF($B963="Robusta","Robusta",(IF($B963="","Arabica",$B963))&amp;" - "&amp;(IF($C963="","Commercial",$C963))),Variables!$B$1:$D$1,0),1))*AC963/365),""))</f>
        <v>17.780817105337697</v>
      </c>
      <c r="AU963" s="12">
        <f>IF($H963="Cancelled","",IFERROR((T963*INDEX(Variables!$B$7:$D$7,IFERROR(MATCH(IF($B963="Robusta","Robusta",(IF($B963="","Arabica",$B963))&amp;" - "&amp;(IF($C963="","Commercial",$C963))),Variables!$B$1:$D$1,0),1))*AP963/365)+(L963/16.67*INDEX(Variables!$B$8:$D$8,IFERROR(MATCH(IF($B963="Robusta","Robusta",(IF($B963="","Arabica",$B963))&amp;" - "&amp;(IF($C963="","Commercial",$C963))),Variables!$B$1:$D$1,0),1))*AP963)+(T963*INDEX(Variables!$B$9:$D$9,IFERROR(MATCH(IF($B963="Robusta","Robusta",(IF($B963="","Arabica",$B963))&amp;" - "&amp;(IF($C963="","Commercial",$C963))),Variables!$B$1:$D$1,0),1))*AP963/365),""))</f>
        <v>-17.780817105337697</v>
      </c>
      <c r="AV963" s="11">
        <f t="shared" si="95"/>
        <v>-6</v>
      </c>
      <c r="AW963" s="12">
        <f>IF($H963="Cancelled","",IFERROR(IF(AV963="","",(T963*INDEX(Variables!$B$7:$D$7,IFERROR(MATCH(IF($B963="Robusta","Robusta",(IF($B963="","Arabica",$B963))&amp;" - "&amp;(IF($C963="","Commercial",$C963))),Variables!$B$1:$D$1,0),1))*(AV963/365))+(T963*INDEX(Variables!$B$9:$D$9,IFERROR(MATCH(IF($B963="Robusta","Robusta",(IF($B963="","Arabica",$B963))&amp;" - "&amp;(IF($C963="","Commercial",$C963))),Variables!$B$1:$D$1,0),1))*(AV963/365))+(INDEX(Variables!$B$8:$D$8,IFERROR(MATCH(IF($B963="Robusta","Robusta",(IF($B963="","Arabica",$B963))&amp;" - "&amp;(IF($C963="","Commercial",$C963))),Variables!$B$1:$D$1,0),1))*L963/16.67)),""))</f>
        <v>-12.586980526405236</v>
      </c>
      <c r="AX963" s="9"/>
      <c r="AY963" s="12"/>
      <c r="AZ963" s="10"/>
      <c r="BA963" s="9"/>
      <c r="BB963" s="10"/>
      <c r="BC963" s="9"/>
      <c r="BD963" s="9"/>
      <c r="BE963" s="9"/>
      <c r="BF963" s="9"/>
    </row>
    <row r="964" spans="1:58" x14ac:dyDescent="0.25">
      <c r="A964" s="9" t="s">
        <v>84</v>
      </c>
      <c r="B964" s="9" t="s">
        <v>85</v>
      </c>
      <c r="C964" s="9" t="s">
        <v>1486</v>
      </c>
      <c r="D964" s="10">
        <v>45712</v>
      </c>
      <c r="E964" s="10">
        <v>45717</v>
      </c>
      <c r="F964" s="10">
        <v>45747</v>
      </c>
      <c r="G964" s="9">
        <v>3786729</v>
      </c>
      <c r="H964" s="9" t="str">
        <f t="shared" si="93"/>
        <v>Closed</v>
      </c>
      <c r="I964" s="9" t="str">
        <f t="shared" si="94"/>
        <v>All dates received</v>
      </c>
      <c r="J964" s="9" t="s">
        <v>225</v>
      </c>
      <c r="K964" s="9" t="s">
        <v>2062</v>
      </c>
      <c r="L964" s="11">
        <v>25</v>
      </c>
      <c r="M964" s="9" t="s">
        <v>2063</v>
      </c>
      <c r="N964" s="9"/>
      <c r="O964" s="9"/>
      <c r="P964" s="9"/>
      <c r="Q964" s="11">
        <v>97</v>
      </c>
      <c r="R964" s="9" t="s">
        <v>195</v>
      </c>
      <c r="S964" s="9" t="s">
        <v>228</v>
      </c>
      <c r="T964" s="12">
        <f>IF($H964="Cancelled","",IFERROR(((Q964+INDEX(Variables!$B$6:$D$6,IFERROR(MATCH(IF($B964="Robusta","Robusta",(IF($B964="","Arabica",$B964))&amp;" - "&amp;(IF($C964="","Commercial",$C964))),Variables!$B$1:$D$1,0),1)))*22.0462)*(L964/16.67),""))</f>
        <v>12821.710197960405</v>
      </c>
      <c r="U964" s="10"/>
      <c r="V964" s="9" t="str">
        <f t="shared" ref="V964:V1027" si="96">IF(ISNUMBER(U964),"Sent","")</f>
        <v/>
      </c>
      <c r="W964" s="10">
        <v>45703</v>
      </c>
      <c r="X964" s="9" t="str">
        <f t="shared" si="92"/>
        <v>Approved</v>
      </c>
      <c r="Y964" s="10">
        <v>45731</v>
      </c>
      <c r="Z964" s="10">
        <f>IF($H964="Cancelled","",IFERROR(IF(F964="","",F964-Variables!$B$13),""))</f>
        <v>45732</v>
      </c>
      <c r="AA964" s="11">
        <f>IF($H964="Cancelled","",IFERROR(IF(W964="","",(AVERAGE(E964:F964)-W964)-Variables!$B$14),""))</f>
        <v>-1</v>
      </c>
      <c r="AB964" s="10">
        <v>45741</v>
      </c>
      <c r="AC964" s="11">
        <f>IF($H964="Cancelled","",IFERROR(IF(AB964="","",IF(AND(W964="",Y964=""),"",IF(Y964&gt;W964,Y964+Variables!$B$15+Variables!$B$16+Variables!$B$17-AB964,W964+Variables!$B$16+Variables!$B$17-AB964))),""))</f>
        <v>5</v>
      </c>
      <c r="AD964" s="9" t="s">
        <v>163</v>
      </c>
      <c r="AE964" s="9" t="s">
        <v>847</v>
      </c>
      <c r="AF964" s="10"/>
      <c r="AG964" s="10"/>
      <c r="AH964" s="9"/>
      <c r="AI964" s="9">
        <v>251410456</v>
      </c>
      <c r="AJ964" s="9" t="s">
        <v>2057</v>
      </c>
      <c r="AK964" s="10">
        <v>45753</v>
      </c>
      <c r="AL964" s="10">
        <v>45764</v>
      </c>
      <c r="AM964" s="10">
        <v>45764</v>
      </c>
      <c r="AN964" s="9" t="s">
        <v>1492</v>
      </c>
      <c r="AO964" s="9"/>
      <c r="AP964" s="11">
        <f>IF($H964="Cancelled","",IFERROR(IF(OR(AK964="",AB964=""),"",(AB964+Variables!$B$18-AK964)),""))</f>
        <v>-5</v>
      </c>
      <c r="AQ964" s="11">
        <f>IF($H964="Cancelled","",IFERROR(IF(OR(AM964="",AK964=""),"",(AK964+Variables!$B$19)-AM964),""))</f>
        <v>-6</v>
      </c>
      <c r="AR964" s="12">
        <f>IF($H964="Cancelled","",IFERROR(T964*INDEX(Variables!$B$7:$D$7,IFERROR(MATCH(IF($B964="Robusta","Robusta",(IF($B964="","Arabica",$B964))&amp;" - "&amp;(IF($C964="","Commercial",$C964))),Variables!$B$1:$D$1,0),1))*(AQ964/365),""))</f>
        <v>-13.590773939620643</v>
      </c>
      <c r="AS964" s="12">
        <f>IF($H964="Cancelled","",IFERROR((T964*INDEX(Variables!$B$7:$D$7,IFERROR(MATCH(IF($B964="Robusta","Robusta",(IF($B964="","Arabica",$B964))&amp;" - "&amp;(IF($C964="","Commercial",$C964))),Variables!$B$1:$D$1,0),1))*IFERROR(IF(W964="","",(AVERAGE(E964:F964)-W964)-Variables!$B$14),"")/365)+(L964/16.67*INDEX(Variables!$B$8:$D$8,IFERROR(MATCH(IF($B964="Robusta","Robusta",(IF($B964="","Arabica",$B964))&amp;" - "&amp;(IF($C964="","Commercial",$C964))),Variables!$B$1:$D$1,0),1))*IFERROR(IF(W964="","",(AVERAGE(E964:F964)-W964)-Variables!$B$14),""))+(T964*INDEX(Variables!$B$9:$D$9,IFERROR(MATCH(IF($B964="Robusta","Robusta",(IF($B964="","Arabica",$B964))&amp;" - "&amp;(IF($C964="","Commercial",$C964))),Variables!$B$1:$D$1,0),1))*IFERROR(IF(W964="","",(AVERAGE(E964:F964)-W964)-Variables!$B$14),"")/365),""))</f>
        <v>-3.5443308740122932</v>
      </c>
      <c r="AT964" s="12">
        <f>IF($H964="Cancelled","",IFERROR((T964*INDEX(Variables!$B$7:$D$7,IFERROR(MATCH(IF($B964="Robusta","Robusta",(IF($B964="","Arabica",$B964))&amp;" - "&amp;(IF($C964="","Commercial",$C964))),Variables!$B$1:$D$1,0),1))*AC964/365)+(L964/16.67*INDEX(Variables!$B$8:$D$8,IFERROR(MATCH(IF($B964="Robusta","Robusta",(IF($B964="","Arabica",$B964))&amp;" - "&amp;(IF($C964="","Commercial",$C964))),Variables!$B$1:$D$1,0),1))*AC964)+(T964*INDEX(Variables!$B$9:$D$9,IFERROR(MATCH(IF($B964="Robusta","Robusta",(IF($B964="","Arabica",$B964))&amp;" - "&amp;(IF($C964="","Commercial",$C964))),Variables!$B$1:$D$1,0),1))*AC964/365),""))</f>
        <v>17.721654370061465</v>
      </c>
      <c r="AU964" s="12">
        <f>IF($H964="Cancelled","",IFERROR((T964*INDEX(Variables!$B$7:$D$7,IFERROR(MATCH(IF($B964="Robusta","Robusta",(IF($B964="","Arabica",$B964))&amp;" - "&amp;(IF($C964="","Commercial",$C964))),Variables!$B$1:$D$1,0),1))*AP964/365)+(L964/16.67*INDEX(Variables!$B$8:$D$8,IFERROR(MATCH(IF($B964="Robusta","Robusta",(IF($B964="","Arabica",$B964))&amp;" - "&amp;(IF($C964="","Commercial",$C964))),Variables!$B$1:$D$1,0),1))*AP964)+(T964*INDEX(Variables!$B$9:$D$9,IFERROR(MATCH(IF($B964="Robusta","Robusta",(IF($B964="","Arabica",$B964))&amp;" - "&amp;(IF($C964="","Commercial",$C964))),Variables!$B$1:$D$1,0),1))*AP964/365),""))</f>
        <v>-17.721654370061465</v>
      </c>
      <c r="AV964" s="11">
        <f t="shared" si="95"/>
        <v>-6</v>
      </c>
      <c r="AW964" s="12">
        <f>IF($H964="Cancelled","",IFERROR(IF(AV964="","",(T964*INDEX(Variables!$B$7:$D$7,IFERROR(MATCH(IF($B964="Robusta","Robusta",(IF($B964="","Arabica",$B964))&amp;" - "&amp;(IF($C964="","Commercial",$C964))),Variables!$B$1:$D$1,0),1))*(AV964/365))+(T964*INDEX(Variables!$B$9:$D$9,IFERROR(MATCH(IF($B964="Robusta","Robusta",(IF($B964="","Arabica",$B964))&amp;" - "&amp;(IF($C964="","Commercial",$C964))),Variables!$B$1:$D$1,0),1))*(AV964/365))+(INDEX(Variables!$B$8:$D$8,IFERROR(MATCH(IF($B964="Robusta","Robusta",(IF($B964="","Arabica",$B964))&amp;" - "&amp;(IF($C964="","Commercial",$C964))),Variables!$B$1:$D$1,0),1))*L964/16.67)),""))</f>
        <v>-12.515985244073757</v>
      </c>
      <c r="AX964" s="9"/>
      <c r="AY964" s="12"/>
      <c r="AZ964" s="10"/>
      <c r="BA964" s="9"/>
      <c r="BB964" s="10"/>
      <c r="BC964" s="9"/>
      <c r="BD964" s="9"/>
      <c r="BE964" s="9"/>
      <c r="BF964" s="9"/>
    </row>
    <row r="965" spans="1:58" x14ac:dyDescent="0.25">
      <c r="A965" s="9" t="s">
        <v>84</v>
      </c>
      <c r="B965" s="9" t="s">
        <v>85</v>
      </c>
      <c r="C965" s="9" t="s">
        <v>1486</v>
      </c>
      <c r="D965" s="10">
        <v>45712</v>
      </c>
      <c r="E965" s="10">
        <v>45717</v>
      </c>
      <c r="F965" s="10">
        <v>45747</v>
      </c>
      <c r="G965" s="9">
        <v>3786730</v>
      </c>
      <c r="H965" s="9" t="str">
        <f t="shared" si="93"/>
        <v>Closed</v>
      </c>
      <c r="I965" s="9" t="str">
        <f t="shared" si="94"/>
        <v>All dates received</v>
      </c>
      <c r="J965" s="9" t="s">
        <v>225</v>
      </c>
      <c r="K965" s="9" t="s">
        <v>2064</v>
      </c>
      <c r="L965" s="11">
        <v>25</v>
      </c>
      <c r="M965" s="9" t="s">
        <v>2065</v>
      </c>
      <c r="N965" s="9"/>
      <c r="O965" s="9"/>
      <c r="P965" s="9"/>
      <c r="Q965" s="11">
        <v>101</v>
      </c>
      <c r="R965" s="9" t="s">
        <v>195</v>
      </c>
      <c r="S965" s="9" t="s">
        <v>228</v>
      </c>
      <c r="T965" s="12">
        <f>IF($H965="Cancelled","",IFERROR(((Q965+INDEX(Variables!$B$6:$D$6,IFERROR(MATCH(IF($B965="Robusta","Robusta",(IF($B965="","Arabica",$B965))&amp;" - "&amp;(IF($C965="","Commercial",$C965))),Variables!$B$1:$D$1,0),1)))*22.0462)*(L965/16.67),""))</f>
        <v>12953.960947810436</v>
      </c>
      <c r="U965" s="10"/>
      <c r="V965" s="9" t="str">
        <f t="shared" si="96"/>
        <v/>
      </c>
      <c r="W965" s="10">
        <v>45703</v>
      </c>
      <c r="X965" s="9" t="str">
        <f t="shared" si="92"/>
        <v>Approved</v>
      </c>
      <c r="Y965" s="10">
        <v>45731</v>
      </c>
      <c r="Z965" s="10">
        <f>IF($H965="Cancelled","",IFERROR(IF(F965="","",F965-Variables!$B$13),""))</f>
        <v>45732</v>
      </c>
      <c r="AA965" s="11">
        <f>IF($H965="Cancelled","",IFERROR(IF(W965="","",(AVERAGE(E965:F965)-W965)-Variables!$B$14),""))</f>
        <v>-1</v>
      </c>
      <c r="AB965" s="10">
        <v>45741</v>
      </c>
      <c r="AC965" s="11">
        <f>IF($H965="Cancelled","",IFERROR(IF(AB965="","",IF(AND(W965="",Y965=""),"",IF(Y965&gt;W965,Y965+Variables!$B$15+Variables!$B$16+Variables!$B$17-AB965,W965+Variables!$B$16+Variables!$B$17-AB965))),""))</f>
        <v>5</v>
      </c>
      <c r="AD965" s="9" t="s">
        <v>163</v>
      </c>
      <c r="AE965" s="9" t="s">
        <v>847</v>
      </c>
      <c r="AF965" s="10"/>
      <c r="AG965" s="10"/>
      <c r="AH965" s="9"/>
      <c r="AI965" s="9">
        <v>251410456</v>
      </c>
      <c r="AJ965" s="9" t="s">
        <v>2057</v>
      </c>
      <c r="AK965" s="10">
        <v>45753</v>
      </c>
      <c r="AL965" s="10">
        <v>45764</v>
      </c>
      <c r="AM965" s="10">
        <v>45764</v>
      </c>
      <c r="AN965" s="9" t="s">
        <v>1492</v>
      </c>
      <c r="AO965" s="9"/>
      <c r="AP965" s="11">
        <f>IF($H965="Cancelled","",IFERROR(IF(OR(AK965="",AB965=""),"",(AB965+Variables!$B$18-AK965)),""))</f>
        <v>-5</v>
      </c>
      <c r="AQ965" s="11">
        <f>IF($H965="Cancelled","",IFERROR(IF(OR(AM965="",AK965=""),"",(AK965+Variables!$B$19)-AM965),""))</f>
        <v>-6</v>
      </c>
      <c r="AR965" s="12">
        <f>IF($H965="Cancelled","",IFERROR(T965*INDEX(Variables!$B$7:$D$7,IFERROR(MATCH(IF($B965="Robusta","Robusta",(IF($B965="","Arabica",$B965))&amp;" - "&amp;(IF($C965="","Commercial",$C965))),Variables!$B$1:$D$1,0),1))*(AQ965/365),""))</f>
        <v>-13.730957270612089</v>
      </c>
      <c r="AS965" s="12">
        <f>IF($H965="Cancelled","",IFERROR((T965*INDEX(Variables!$B$7:$D$7,IFERROR(MATCH(IF($B965="Robusta","Robusta",(IF($B965="","Arabica",$B965))&amp;" - "&amp;(IF($C965="","Commercial",$C965))),Variables!$B$1:$D$1,0),1))*IFERROR(IF(W965="","",(AVERAGE(E965:F965)-W965)-Variables!$B$14),"")/365)+(L965/16.67*INDEX(Variables!$B$8:$D$8,IFERROR(MATCH(IF($B965="Robusta","Robusta",(IF($B965="","Arabica",$B965))&amp;" - "&amp;(IF($C965="","Commercial",$C965))),Variables!$B$1:$D$1,0),1))*IFERROR(IF(W965="","",(AVERAGE(E965:F965)-W965)-Variables!$B$14),""))+(T965*INDEX(Variables!$B$9:$D$9,IFERROR(MATCH(IF($B965="Robusta","Robusta",(IF($B965="","Arabica",$B965))&amp;" - "&amp;(IF($C965="","Commercial",$C965))),Variables!$B$1:$D$1,0),1))*IFERROR(IF(W965="","",(AVERAGE(E965:F965)-W965)-Variables!$B$14),"")/365),""))</f>
        <v>-3.5679959681227862</v>
      </c>
      <c r="AT965" s="12">
        <f>IF($H965="Cancelled","",IFERROR((T965*INDEX(Variables!$B$7:$D$7,IFERROR(MATCH(IF($B965="Robusta","Robusta",(IF($B965="","Arabica",$B965))&amp;" - "&amp;(IF($C965="","Commercial",$C965))),Variables!$B$1:$D$1,0),1))*AC965/365)+(L965/16.67*INDEX(Variables!$B$8:$D$8,IFERROR(MATCH(IF($B965="Robusta","Robusta",(IF($B965="","Arabica",$B965))&amp;" - "&amp;(IF($C965="","Commercial",$C965))),Variables!$B$1:$D$1,0),1))*AC965)+(T965*INDEX(Variables!$B$9:$D$9,IFERROR(MATCH(IF($B965="Robusta","Robusta",(IF($B965="","Arabica",$B965))&amp;" - "&amp;(IF($C965="","Commercial",$C965))),Variables!$B$1:$D$1,0),1))*AC965/365),""))</f>
        <v>17.839979840613932</v>
      </c>
      <c r="AU965" s="12">
        <f>IF($H965="Cancelled","",IFERROR((T965*INDEX(Variables!$B$7:$D$7,IFERROR(MATCH(IF($B965="Robusta","Robusta",(IF($B965="","Arabica",$B965))&amp;" - "&amp;(IF($C965="","Commercial",$C965))),Variables!$B$1:$D$1,0),1))*AP965/365)+(L965/16.67*INDEX(Variables!$B$8:$D$8,IFERROR(MATCH(IF($B965="Robusta","Robusta",(IF($B965="","Arabica",$B965))&amp;" - "&amp;(IF($C965="","Commercial",$C965))),Variables!$B$1:$D$1,0),1))*AP965)+(T965*INDEX(Variables!$B$9:$D$9,IFERROR(MATCH(IF($B965="Robusta","Robusta",(IF($B965="","Arabica",$B965))&amp;" - "&amp;(IF($C965="","Commercial",$C965))),Variables!$B$1:$D$1,0),1))*AP965/365),""))</f>
        <v>-17.839979840613932</v>
      </c>
      <c r="AV965" s="11">
        <f t="shared" si="95"/>
        <v>-6</v>
      </c>
      <c r="AW965" s="12">
        <f>IF($H965="Cancelled","",IFERROR(IF(AV965="","",(T965*INDEX(Variables!$B$7:$D$7,IFERROR(MATCH(IF($B965="Robusta","Robusta",(IF($B965="","Arabica",$B965))&amp;" - "&amp;(IF($C965="","Commercial",$C965))),Variables!$B$1:$D$1,0),1))*(AV965/365))+(T965*INDEX(Variables!$B$9:$D$9,IFERROR(MATCH(IF($B965="Robusta","Robusta",(IF($B965="","Arabica",$B965))&amp;" - "&amp;(IF($C965="","Commercial",$C965))),Variables!$B$1:$D$1,0),1))*(AV965/365))+(INDEX(Variables!$B$8:$D$8,IFERROR(MATCH(IF($B965="Robusta","Robusta",(IF($B965="","Arabica",$B965))&amp;" - "&amp;(IF($C965="","Commercial",$C965))),Variables!$B$1:$D$1,0),1))*L965/16.67)),""))</f>
        <v>-12.657975808736717</v>
      </c>
      <c r="AX965" s="9"/>
      <c r="AY965" s="12"/>
      <c r="AZ965" s="10"/>
      <c r="BA965" s="9"/>
      <c r="BB965" s="10"/>
      <c r="BC965" s="9"/>
      <c r="BD965" s="9"/>
      <c r="BE965" s="9"/>
      <c r="BF965" s="9"/>
    </row>
    <row r="966" spans="1:58" x14ac:dyDescent="0.25">
      <c r="A966" s="9" t="s">
        <v>84</v>
      </c>
      <c r="B966" s="9" t="s">
        <v>85</v>
      </c>
      <c r="C966" s="9" t="s">
        <v>1486</v>
      </c>
      <c r="D966" s="10">
        <v>45712</v>
      </c>
      <c r="E966" s="10">
        <v>45717</v>
      </c>
      <c r="F966" s="10">
        <v>45747</v>
      </c>
      <c r="G966" s="9">
        <v>3786731</v>
      </c>
      <c r="H966" s="9" t="str">
        <f t="shared" si="93"/>
        <v>Closed</v>
      </c>
      <c r="I966" s="9" t="str">
        <f t="shared" si="94"/>
        <v>All dates received</v>
      </c>
      <c r="J966" s="9" t="s">
        <v>225</v>
      </c>
      <c r="K966" s="9" t="s">
        <v>2066</v>
      </c>
      <c r="L966" s="11">
        <v>40</v>
      </c>
      <c r="M966" s="9" t="s">
        <v>2067</v>
      </c>
      <c r="N966" s="9"/>
      <c r="O966" s="9"/>
      <c r="P966" s="9"/>
      <c r="Q966" s="11">
        <v>108</v>
      </c>
      <c r="R966" s="9" t="s">
        <v>195</v>
      </c>
      <c r="S966" s="9" t="s">
        <v>228</v>
      </c>
      <c r="T966" s="12">
        <f>IF($H966="Cancelled","",IFERROR(((Q966+INDEX(Variables!$B$6:$D$6,IFERROR(MATCH(IF($B966="Robusta","Robusta",(IF($B966="","Arabica",$B966))&amp;" - "&amp;(IF($C966="","Commercial",$C966))),Variables!$B$1:$D$1,0),1)))*22.0462)*(L966/16.67),""))</f>
        <v>21096.639616076784</v>
      </c>
      <c r="U966" s="10"/>
      <c r="V966" s="9" t="str">
        <f t="shared" si="96"/>
        <v/>
      </c>
      <c r="W966" s="10">
        <v>45703</v>
      </c>
      <c r="X966" s="9" t="str">
        <f t="shared" si="92"/>
        <v>Approved</v>
      </c>
      <c r="Y966" s="10">
        <v>45731</v>
      </c>
      <c r="Z966" s="10">
        <f>IF($H966="Cancelled","",IFERROR(IF(F966="","",F966-Variables!$B$13),""))</f>
        <v>45732</v>
      </c>
      <c r="AA966" s="11">
        <f>IF($H966="Cancelled","",IFERROR(IF(W966="","",(AVERAGE(E966:F966)-W966)-Variables!$B$14),""))</f>
        <v>-1</v>
      </c>
      <c r="AB966" s="10">
        <v>45741</v>
      </c>
      <c r="AC966" s="11">
        <f>IF($H966="Cancelled","",IFERROR(IF(AB966="","",IF(AND(W966="",Y966=""),"",IF(Y966&gt;W966,Y966+Variables!$B$15+Variables!$B$16+Variables!$B$17-AB966,W966+Variables!$B$16+Variables!$B$17-AB966))),""))</f>
        <v>5</v>
      </c>
      <c r="AD966" s="9" t="s">
        <v>163</v>
      </c>
      <c r="AE966" s="9" t="s">
        <v>847</v>
      </c>
      <c r="AF966" s="10"/>
      <c r="AG966" s="10"/>
      <c r="AH966" s="9"/>
      <c r="AI966" s="9">
        <v>251410456</v>
      </c>
      <c r="AJ966" s="9" t="s">
        <v>2057</v>
      </c>
      <c r="AK966" s="10">
        <v>45753</v>
      </c>
      <c r="AL966" s="10">
        <v>45764</v>
      </c>
      <c r="AM966" s="10">
        <v>45764</v>
      </c>
      <c r="AN966" s="9" t="s">
        <v>1492</v>
      </c>
      <c r="AO966" s="9"/>
      <c r="AP966" s="11">
        <f>IF($H966="Cancelled","",IFERROR(IF(OR(AK966="",AB966=""),"",(AB966+Variables!$B$18-AK966)),""))</f>
        <v>-5</v>
      </c>
      <c r="AQ966" s="11">
        <f>IF($H966="Cancelled","",IFERROR(IF(OR(AM966="",AK966=""),"",(AK966+Variables!$B$19)-AM966),""))</f>
        <v>-6</v>
      </c>
      <c r="AR966" s="12">
        <f>IF($H966="Cancelled","",IFERROR(T966*INDEX(Variables!$B$7:$D$7,IFERROR(MATCH(IF($B966="Robusta","Robusta",(IF($B966="","Arabica",$B966))&amp;" - "&amp;(IF($C966="","Commercial",$C966))),Variables!$B$1:$D$1,0),1))*(AQ966/365),""))</f>
        <v>-22.362044959755391</v>
      </c>
      <c r="AS966" s="12">
        <f>IF($H966="Cancelled","",IFERROR((T966*INDEX(Variables!$B$7:$D$7,IFERROR(MATCH(IF($B966="Robusta","Robusta",(IF($B966="","Arabica",$B966))&amp;" - "&amp;(IF($C966="","Commercial",$C966))),Variables!$B$1:$D$1,0),1))*IFERROR(IF(W966="","",(AVERAGE(E966:F966)-W966)-Variables!$B$14),"")/365)+(L966/16.67*INDEX(Variables!$B$8:$D$8,IFERROR(MATCH(IF($B966="Robusta","Robusta",(IF($B966="","Arabica",$B966))&amp;" - "&amp;(IF($C966="","Commercial",$C966))),Variables!$B$1:$D$1,0),1))*IFERROR(IF(W966="","",(AVERAGE(E966:F966)-W966)-Variables!$B$14),""))+(T966*INDEX(Variables!$B$9:$D$9,IFERROR(MATCH(IF($B966="Robusta","Robusta",(IF($B966="","Arabica",$B966))&amp;" - "&amp;(IF($C966="","Commercial",$C966))),Variables!$B$1:$D$1,0),1))*IFERROR(IF(W966="","",(AVERAGE(E966:F966)-W966)-Variables!$B$14),"")/365),""))</f>
        <v>-5.7750558125058387</v>
      </c>
      <c r="AT966" s="12">
        <f>IF($H966="Cancelled","",IFERROR((T966*INDEX(Variables!$B$7:$D$7,IFERROR(MATCH(IF($B966="Robusta","Robusta",(IF($B966="","Arabica",$B966))&amp;" - "&amp;(IF($C966="","Commercial",$C966))),Variables!$B$1:$D$1,0),1))*AC966/365)+(L966/16.67*INDEX(Variables!$B$8:$D$8,IFERROR(MATCH(IF($B966="Robusta","Robusta",(IF($B966="","Arabica",$B966))&amp;" - "&amp;(IF($C966="","Commercial",$C966))),Variables!$B$1:$D$1,0),1))*AC966)+(T966*INDEX(Variables!$B$9:$D$9,IFERROR(MATCH(IF($B966="Robusta","Robusta",(IF($B966="","Arabica",$B966))&amp;" - "&amp;(IF($C966="","Commercial",$C966))),Variables!$B$1:$D$1,0),1))*AC966/365),""))</f>
        <v>28.875279062529192</v>
      </c>
      <c r="AU966" s="12">
        <f>IF($H966="Cancelled","",IFERROR((T966*INDEX(Variables!$B$7:$D$7,IFERROR(MATCH(IF($B966="Robusta","Robusta",(IF($B966="","Arabica",$B966))&amp;" - "&amp;(IF($C966="","Commercial",$C966))),Variables!$B$1:$D$1,0),1))*AP966/365)+(L966/16.67*INDEX(Variables!$B$8:$D$8,IFERROR(MATCH(IF($B966="Robusta","Robusta",(IF($B966="","Arabica",$B966))&amp;" - "&amp;(IF($C966="","Commercial",$C966))),Variables!$B$1:$D$1,0),1))*AP966)+(T966*INDEX(Variables!$B$9:$D$9,IFERROR(MATCH(IF($B966="Robusta","Robusta",(IF($B966="","Arabica",$B966))&amp;" - "&amp;(IF($C966="","Commercial",$C966))),Variables!$B$1:$D$1,0),1))*AP966/365),""))</f>
        <v>-28.875279062529192</v>
      </c>
      <c r="AV966" s="11">
        <f t="shared" si="95"/>
        <v>-6</v>
      </c>
      <c r="AW966" s="12">
        <f>IF($H966="Cancelled","",IFERROR(IF(AV966="","",(T966*INDEX(Variables!$B$7:$D$7,IFERROR(MATCH(IF($B966="Robusta","Robusta",(IF($B966="","Arabica",$B966))&amp;" - "&amp;(IF($C966="","Commercial",$C966))),Variables!$B$1:$D$1,0),1))*(AV966/365))+(T966*INDEX(Variables!$B$9:$D$9,IFERROR(MATCH(IF($B966="Robusta","Robusta",(IF($B966="","Arabica",$B966))&amp;" - "&amp;(IF($C966="","Commercial",$C966))),Variables!$B$1:$D$1,0),1))*(AV966/365))+(INDEX(Variables!$B$8:$D$8,IFERROR(MATCH(IF($B966="Robusta","Robusta",(IF($B966="","Arabica",$B966))&amp;" - "&amp;(IF($C966="","Commercial",$C966))),Variables!$B$1:$D$1,0),1))*L966/16.67)),""))</f>
        <v>-20.650334875035028</v>
      </c>
      <c r="AX966" s="9"/>
      <c r="AY966" s="12"/>
      <c r="AZ966" s="10"/>
      <c r="BA966" s="9"/>
      <c r="BB966" s="10"/>
      <c r="BC966" s="9"/>
      <c r="BD966" s="9"/>
      <c r="BE966" s="9"/>
      <c r="BF966" s="9"/>
    </row>
    <row r="967" spans="1:58" x14ac:dyDescent="0.25">
      <c r="A967" s="9" t="s">
        <v>84</v>
      </c>
      <c r="B967" s="9" t="s">
        <v>85</v>
      </c>
      <c r="C967" s="9" t="s">
        <v>1486</v>
      </c>
      <c r="D967" s="10">
        <v>45712</v>
      </c>
      <c r="E967" s="10">
        <v>45717</v>
      </c>
      <c r="F967" s="10">
        <v>45747</v>
      </c>
      <c r="G967" s="9">
        <v>3786732</v>
      </c>
      <c r="H967" s="9" t="str">
        <f t="shared" si="93"/>
        <v>Closed</v>
      </c>
      <c r="I967" s="9" t="str">
        <f t="shared" si="94"/>
        <v>All dates received</v>
      </c>
      <c r="J967" s="9" t="s">
        <v>225</v>
      </c>
      <c r="K967" s="9" t="s">
        <v>2068</v>
      </c>
      <c r="L967" s="11">
        <v>40</v>
      </c>
      <c r="M967" s="9" t="s">
        <v>2069</v>
      </c>
      <c r="N967" s="9"/>
      <c r="O967" s="9"/>
      <c r="P967" s="9"/>
      <c r="Q967" s="11">
        <v>83</v>
      </c>
      <c r="R967" s="9" t="s">
        <v>195</v>
      </c>
      <c r="S967" s="9" t="s">
        <v>228</v>
      </c>
      <c r="T967" s="12">
        <f>IF($H967="Cancelled","",IFERROR(((Q967+INDEX(Variables!$B$6:$D$6,IFERROR(MATCH(IF($B967="Robusta","Robusta",(IF($B967="","Arabica",$B967))&amp;" - "&amp;(IF($C967="","Commercial",$C967))),Variables!$B$1:$D$1,0),1)))*22.0462)*(L967/16.67),""))</f>
        <v>19774.132117576482</v>
      </c>
      <c r="U967" s="10"/>
      <c r="V967" s="9" t="str">
        <f t="shared" si="96"/>
        <v/>
      </c>
      <c r="W967" s="10">
        <v>45703</v>
      </c>
      <c r="X967" s="9" t="str">
        <f t="shared" si="92"/>
        <v>Approved</v>
      </c>
      <c r="Y967" s="10">
        <v>45731</v>
      </c>
      <c r="Z967" s="10">
        <f>IF($H967="Cancelled","",IFERROR(IF(F967="","",F967-Variables!$B$13),""))</f>
        <v>45732</v>
      </c>
      <c r="AA967" s="11">
        <f>IF($H967="Cancelled","",IFERROR(IF(W967="","",(AVERAGE(E967:F967)-W967)-Variables!$B$14),""))</f>
        <v>-1</v>
      </c>
      <c r="AB967" s="10">
        <v>45741</v>
      </c>
      <c r="AC967" s="11">
        <f>IF($H967="Cancelled","",IFERROR(IF(AB967="","",IF(AND(W967="",Y967=""),"",IF(Y967&gt;W967,Y967+Variables!$B$15+Variables!$B$16+Variables!$B$17-AB967,W967+Variables!$B$16+Variables!$B$17-AB967))),""))</f>
        <v>5</v>
      </c>
      <c r="AD967" s="9" t="s">
        <v>163</v>
      </c>
      <c r="AE967" s="9" t="s">
        <v>847</v>
      </c>
      <c r="AF967" s="10"/>
      <c r="AG967" s="10"/>
      <c r="AH967" s="9"/>
      <c r="AI967" s="9">
        <v>251410456</v>
      </c>
      <c r="AJ967" s="9" t="s">
        <v>2057</v>
      </c>
      <c r="AK967" s="10">
        <v>45753</v>
      </c>
      <c r="AL967" s="10">
        <v>45764</v>
      </c>
      <c r="AM967" s="10">
        <v>45764</v>
      </c>
      <c r="AN967" s="9" t="s">
        <v>1492</v>
      </c>
      <c r="AO967" s="9"/>
      <c r="AP967" s="11">
        <f>IF($H967="Cancelled","",IFERROR(IF(OR(AK967="",AB967=""),"",(AB967+Variables!$B$18-AK967)),""))</f>
        <v>-5</v>
      </c>
      <c r="AQ967" s="11">
        <f>IF($H967="Cancelled","",IFERROR(IF(OR(AM967="",AK967=""),"",(AK967+Variables!$B$19)-AM967),""))</f>
        <v>-6</v>
      </c>
      <c r="AR967" s="12">
        <f>IF($H967="Cancelled","",IFERROR(T967*INDEX(Variables!$B$7:$D$7,IFERROR(MATCH(IF($B967="Robusta","Robusta",(IF($B967="","Arabica",$B967))&amp;" - "&amp;(IF($C967="","Commercial",$C967))),Variables!$B$1:$D$1,0),1))*(AQ967/365),""))</f>
        <v>-20.960211649840936</v>
      </c>
      <c r="AS967" s="12">
        <f>IF($H967="Cancelled","",IFERROR((T967*INDEX(Variables!$B$7:$D$7,IFERROR(MATCH(IF($B967="Robusta","Robusta",(IF($B967="","Arabica",$B967))&amp;" - "&amp;(IF($C967="","Commercial",$C967))),Variables!$B$1:$D$1,0),1))*IFERROR(IF(W967="","",(AVERAGE(E967:F967)-W967)-Variables!$B$14),"")/365)+(L967/16.67*INDEX(Variables!$B$8:$D$8,IFERROR(MATCH(IF($B967="Robusta","Robusta",(IF($B967="","Arabica",$B967))&amp;" - "&amp;(IF($C967="","Commercial",$C967))),Variables!$B$1:$D$1,0),1))*IFERROR(IF(W967="","",(AVERAGE(E967:F967)-W967)-Variables!$B$14),""))+(T967*INDEX(Variables!$B$9:$D$9,IFERROR(MATCH(IF($B967="Robusta","Robusta",(IF($B967="","Arabica",$B967))&amp;" - "&amp;(IF($C967="","Commercial",$C967))),Variables!$B$1:$D$1,0),1))*IFERROR(IF(W967="","",(AVERAGE(E967:F967)-W967)-Variables!$B$14),"")/365),""))</f>
        <v>-5.5384048714009078</v>
      </c>
      <c r="AT967" s="12">
        <f>IF($H967="Cancelled","",IFERROR((T967*INDEX(Variables!$B$7:$D$7,IFERROR(MATCH(IF($B967="Robusta","Robusta",(IF($B967="","Arabica",$B967))&amp;" - "&amp;(IF($C967="","Commercial",$C967))),Variables!$B$1:$D$1,0),1))*AC967/365)+(L967/16.67*INDEX(Variables!$B$8:$D$8,IFERROR(MATCH(IF($B967="Robusta","Robusta",(IF($B967="","Arabica",$B967))&amp;" - "&amp;(IF($C967="","Commercial",$C967))),Variables!$B$1:$D$1,0),1))*AC967)+(T967*INDEX(Variables!$B$9:$D$9,IFERROR(MATCH(IF($B967="Robusta","Robusta",(IF($B967="","Arabica",$B967))&amp;" - "&amp;(IF($C967="","Commercial",$C967))),Variables!$B$1:$D$1,0),1))*AC967/365),""))</f>
        <v>27.692024357004541</v>
      </c>
      <c r="AU967" s="12">
        <f>IF($H967="Cancelled","",IFERROR((T967*INDEX(Variables!$B$7:$D$7,IFERROR(MATCH(IF($B967="Robusta","Robusta",(IF($B967="","Arabica",$B967))&amp;" - "&amp;(IF($C967="","Commercial",$C967))),Variables!$B$1:$D$1,0),1))*AP967/365)+(L967/16.67*INDEX(Variables!$B$8:$D$8,IFERROR(MATCH(IF($B967="Robusta","Robusta",(IF($B967="","Arabica",$B967))&amp;" - "&amp;(IF($C967="","Commercial",$C967))),Variables!$B$1:$D$1,0),1))*AP967)+(T967*INDEX(Variables!$B$9:$D$9,IFERROR(MATCH(IF($B967="Robusta","Robusta",(IF($B967="","Arabica",$B967))&amp;" - "&amp;(IF($C967="","Commercial",$C967))),Variables!$B$1:$D$1,0),1))*AP967/365),""))</f>
        <v>-27.692024357004541</v>
      </c>
      <c r="AV967" s="11">
        <f t="shared" si="95"/>
        <v>-6</v>
      </c>
      <c r="AW967" s="12">
        <f>IF($H967="Cancelled","",IFERROR(IF(AV967="","",(T967*INDEX(Variables!$B$7:$D$7,IFERROR(MATCH(IF($B967="Robusta","Robusta",(IF($B967="","Arabica",$B967))&amp;" - "&amp;(IF($C967="","Commercial",$C967))),Variables!$B$1:$D$1,0),1))*(AV967/365))+(T967*INDEX(Variables!$B$9:$D$9,IFERROR(MATCH(IF($B967="Robusta","Robusta",(IF($B967="","Arabica",$B967))&amp;" - "&amp;(IF($C967="","Commercial",$C967))),Variables!$B$1:$D$1,0),1))*(AV967/365))+(INDEX(Variables!$B$8:$D$8,IFERROR(MATCH(IF($B967="Robusta","Robusta",(IF($B967="","Arabica",$B967))&amp;" - "&amp;(IF($C967="","Commercial",$C967))),Variables!$B$1:$D$1,0),1))*L967/16.67)),""))</f>
        <v>-19.230429228405452</v>
      </c>
      <c r="AX967" s="9"/>
      <c r="AY967" s="12"/>
      <c r="AZ967" s="10"/>
      <c r="BA967" s="9"/>
      <c r="BB967" s="10"/>
      <c r="BC967" s="9"/>
      <c r="BD967" s="9"/>
      <c r="BE967" s="9"/>
      <c r="BF967" s="9"/>
    </row>
    <row r="968" spans="1:58" x14ac:dyDescent="0.25">
      <c r="A968" s="9" t="s">
        <v>84</v>
      </c>
      <c r="B968" s="9" t="s">
        <v>85</v>
      </c>
      <c r="C968" s="9" t="s">
        <v>1486</v>
      </c>
      <c r="D968" s="10">
        <v>45712</v>
      </c>
      <c r="E968" s="10">
        <v>45717</v>
      </c>
      <c r="F968" s="10">
        <v>45747</v>
      </c>
      <c r="G968" s="9">
        <v>3786733</v>
      </c>
      <c r="H968" s="9" t="str">
        <f t="shared" si="93"/>
        <v>Closed</v>
      </c>
      <c r="I968" s="9" t="str">
        <f t="shared" si="94"/>
        <v>All dates received</v>
      </c>
      <c r="J968" s="9" t="s">
        <v>225</v>
      </c>
      <c r="K968" s="9" t="s">
        <v>2070</v>
      </c>
      <c r="L968" s="11">
        <v>15</v>
      </c>
      <c r="M968" s="9" t="s">
        <v>2071</v>
      </c>
      <c r="N968" s="9"/>
      <c r="O968" s="9"/>
      <c r="P968" s="9"/>
      <c r="Q968" s="11">
        <v>85</v>
      </c>
      <c r="R968" s="9" t="s">
        <v>195</v>
      </c>
      <c r="S968" s="9" t="s">
        <v>228</v>
      </c>
      <c r="T968" s="12">
        <f>IF($H968="Cancelled","",IFERROR(((Q968+INDEX(Variables!$B$6:$D$6,IFERROR(MATCH(IF($B968="Robusta","Robusta",(IF($B968="","Arabica",$B968))&amp;" - "&amp;(IF($C968="","Commercial",$C968))),Variables!$B$1:$D$1,0),1)))*22.0462)*(L968/16.67),""))</f>
        <v>7454.9747690461909</v>
      </c>
      <c r="U968" s="10"/>
      <c r="V968" s="9" t="str">
        <f t="shared" si="96"/>
        <v/>
      </c>
      <c r="W968" s="10">
        <v>45703</v>
      </c>
      <c r="X968" s="9" t="str">
        <f t="shared" si="92"/>
        <v>Approved</v>
      </c>
      <c r="Y968" s="10">
        <v>45731</v>
      </c>
      <c r="Z968" s="10">
        <f>IF($H968="Cancelled","",IFERROR(IF(F968="","",F968-Variables!$B$13),""))</f>
        <v>45732</v>
      </c>
      <c r="AA968" s="11">
        <f>IF($H968="Cancelled","",IFERROR(IF(W968="","",(AVERAGE(E968:F968)-W968)-Variables!$B$14),""))</f>
        <v>-1</v>
      </c>
      <c r="AB968" s="10">
        <v>45741</v>
      </c>
      <c r="AC968" s="11">
        <f>IF($H968="Cancelled","",IFERROR(IF(AB968="","",IF(AND(W968="",Y968=""),"",IF(Y968&gt;W968,Y968+Variables!$B$15+Variables!$B$16+Variables!$B$17-AB968,W968+Variables!$B$16+Variables!$B$17-AB968))),""))</f>
        <v>5</v>
      </c>
      <c r="AD968" s="9" t="s">
        <v>163</v>
      </c>
      <c r="AE968" s="9" t="s">
        <v>847</v>
      </c>
      <c r="AF968" s="10"/>
      <c r="AG968" s="10"/>
      <c r="AH968" s="9"/>
      <c r="AI968" s="9">
        <v>251410456</v>
      </c>
      <c r="AJ968" s="9" t="s">
        <v>2057</v>
      </c>
      <c r="AK968" s="10">
        <v>45753</v>
      </c>
      <c r="AL968" s="10">
        <v>45764</v>
      </c>
      <c r="AM968" s="10">
        <v>45764</v>
      </c>
      <c r="AN968" s="9" t="s">
        <v>1492</v>
      </c>
      <c r="AO968" s="9"/>
      <c r="AP968" s="11">
        <f>IF($H968="Cancelled","",IFERROR(IF(OR(AK968="",AB968=""),"",(AB968+Variables!$B$18-AK968)),""))</f>
        <v>-5</v>
      </c>
      <c r="AQ968" s="11">
        <f>IF($H968="Cancelled","",IFERROR(IF(OR(AM968="",AK968=""),"",(AK968+Variables!$B$19)-AM968),""))</f>
        <v>-6</v>
      </c>
      <c r="AR968" s="12">
        <f>IF($H968="Cancelled","",IFERROR(T968*INDEX(Variables!$B$7:$D$7,IFERROR(MATCH(IF($B968="Robusta","Robusta",(IF($B968="","Arabica",$B968))&amp;" - "&amp;(IF($C968="","Commercial",$C968))),Variables!$B$1:$D$1,0),1))*(AQ968/365),""))</f>
        <v>-7.9021343679877853</v>
      </c>
      <c r="AS968" s="12">
        <f>IF($H968="Cancelled","",IFERROR((T968*INDEX(Variables!$B$7:$D$7,IFERROR(MATCH(IF($B968="Robusta","Robusta",(IF($B968="","Arabica",$B968))&amp;" - "&amp;(IF($C968="","Commercial",$C968))),Variables!$B$1:$D$1,0),1))*IFERROR(IF(W968="","",(AVERAGE(E968:F968)-W968)-Variables!$B$14),"")/365)+(L968/16.67*INDEX(Variables!$B$8:$D$8,IFERROR(MATCH(IF($B968="Robusta","Robusta",(IF($B968="","Arabica",$B968))&amp;" - "&amp;(IF($C968="","Commercial",$C968))),Variables!$B$1:$D$1,0),1))*IFERROR(IF(W968="","",(AVERAGE(E968:F968)-W968)-Variables!$B$14),""))+(T968*INDEX(Variables!$B$9:$D$9,IFERROR(MATCH(IF($B968="Robusta","Robusta",(IF($B968="","Arabica",$B968))&amp;" - "&amp;(IF($C968="","Commercial",$C968))),Variables!$B$1:$D$1,0),1))*IFERROR(IF(W968="","",(AVERAGE(E968:F968)-W968)-Variables!$B$14),"")/365),""))</f>
        <v>-2.084001355008489</v>
      </c>
      <c r="AT968" s="12">
        <f>IF($H968="Cancelled","",IFERROR((T968*INDEX(Variables!$B$7:$D$7,IFERROR(MATCH(IF($B968="Robusta","Robusta",(IF($B968="","Arabica",$B968))&amp;" - "&amp;(IF($C968="","Commercial",$C968))),Variables!$B$1:$D$1,0),1))*AC968/365)+(L968/16.67*INDEX(Variables!$B$8:$D$8,IFERROR(MATCH(IF($B968="Robusta","Robusta",(IF($B968="","Arabica",$B968))&amp;" - "&amp;(IF($C968="","Commercial",$C968))),Variables!$B$1:$D$1,0),1))*AC968)+(T968*INDEX(Variables!$B$9:$D$9,IFERROR(MATCH(IF($B968="Robusta","Robusta",(IF($B968="","Arabica",$B968))&amp;" - "&amp;(IF($C968="","Commercial",$C968))),Variables!$B$1:$D$1,0),1))*AC968/365),""))</f>
        <v>10.420006775042443</v>
      </c>
      <c r="AU968" s="12">
        <f>IF($H968="Cancelled","",IFERROR((T968*INDEX(Variables!$B$7:$D$7,IFERROR(MATCH(IF($B968="Robusta","Robusta",(IF($B968="","Arabica",$B968))&amp;" - "&amp;(IF($C968="","Commercial",$C968))),Variables!$B$1:$D$1,0),1))*AP968/365)+(L968/16.67*INDEX(Variables!$B$8:$D$8,IFERROR(MATCH(IF($B968="Robusta","Robusta",(IF($B968="","Arabica",$B968))&amp;" - "&amp;(IF($C968="","Commercial",$C968))),Variables!$B$1:$D$1,0),1))*AP968)+(T968*INDEX(Variables!$B$9:$D$9,IFERROR(MATCH(IF($B968="Robusta","Robusta",(IF($B968="","Arabica",$B968))&amp;" - "&amp;(IF($C968="","Commercial",$C968))),Variables!$B$1:$D$1,0),1))*AP968/365),""))</f>
        <v>-10.420006775042443</v>
      </c>
      <c r="AV968" s="11">
        <f t="shared" si="95"/>
        <v>-6</v>
      </c>
      <c r="AW968" s="12">
        <f>IF($H968="Cancelled","",IFERROR(IF(AV968="","",(T968*INDEX(Variables!$B$7:$D$7,IFERROR(MATCH(IF($B968="Robusta","Robusta",(IF($B968="","Arabica",$B968))&amp;" - "&amp;(IF($C968="","Commercial",$C968))),Variables!$B$1:$D$1,0),1))*(AV968/365))+(T968*INDEX(Variables!$B$9:$D$9,IFERROR(MATCH(IF($B968="Robusta","Robusta",(IF($B968="","Arabica",$B968))&amp;" - "&amp;(IF($C968="","Commercial",$C968))),Variables!$B$1:$D$1,0),1))*(AV968/365))+(INDEX(Variables!$B$8:$D$8,IFERROR(MATCH(IF($B968="Robusta","Robusta",(IF($B968="","Arabica",$B968))&amp;" - "&amp;(IF($C968="","Commercial",$C968))),Variables!$B$1:$D$1,0),1))*L968/16.67)),""))</f>
        <v>-7.2540081300509325</v>
      </c>
      <c r="AX968" s="9"/>
      <c r="AY968" s="12"/>
      <c r="AZ968" s="10"/>
      <c r="BA968" s="9"/>
      <c r="BB968" s="10"/>
      <c r="BC968" s="9"/>
      <c r="BD968" s="9"/>
      <c r="BE968" s="9"/>
      <c r="BF968" s="9"/>
    </row>
    <row r="969" spans="1:58" x14ac:dyDescent="0.25">
      <c r="A969" s="9" t="s">
        <v>84</v>
      </c>
      <c r="B969" s="9" t="s">
        <v>85</v>
      </c>
      <c r="C969" s="9" t="s">
        <v>1486</v>
      </c>
      <c r="D969" s="10">
        <v>45712</v>
      </c>
      <c r="E969" s="10">
        <v>45717</v>
      </c>
      <c r="F969" s="10">
        <v>45747</v>
      </c>
      <c r="G969" s="9">
        <v>3786734</v>
      </c>
      <c r="H969" s="9" t="str">
        <f t="shared" si="93"/>
        <v>Closed</v>
      </c>
      <c r="I969" s="9" t="str">
        <f t="shared" si="94"/>
        <v>All dates received</v>
      </c>
      <c r="J969" s="9" t="s">
        <v>225</v>
      </c>
      <c r="K969" s="9" t="s">
        <v>2072</v>
      </c>
      <c r="L969" s="11">
        <v>15</v>
      </c>
      <c r="M969" s="9" t="s">
        <v>2073</v>
      </c>
      <c r="N969" s="9"/>
      <c r="O969" s="9"/>
      <c r="P969" s="9"/>
      <c r="Q969" s="11">
        <v>118</v>
      </c>
      <c r="R969" s="9" t="s">
        <v>195</v>
      </c>
      <c r="S969" s="9" t="s">
        <v>228</v>
      </c>
      <c r="T969" s="12">
        <f>IF($H969="Cancelled","",IFERROR(((Q969+INDEX(Variables!$B$6:$D$6,IFERROR(MATCH(IF($B969="Robusta","Robusta",(IF($B969="","Arabica",$B969))&amp;" - "&amp;(IF($C969="","Commercial",$C969))),Variables!$B$1:$D$1,0),1)))*22.0462)*(L969/16.67),""))</f>
        <v>8109.6159808038383</v>
      </c>
      <c r="U969" s="10"/>
      <c r="V969" s="9" t="str">
        <f t="shared" si="96"/>
        <v/>
      </c>
      <c r="W969" s="10">
        <v>45703</v>
      </c>
      <c r="X969" s="9" t="str">
        <f t="shared" si="92"/>
        <v>Approved</v>
      </c>
      <c r="Y969" s="10">
        <v>45731</v>
      </c>
      <c r="Z969" s="10">
        <f>IF($H969="Cancelled","",IFERROR(IF(F969="","",F969-Variables!$B$13),""))</f>
        <v>45732</v>
      </c>
      <c r="AA969" s="11">
        <f>IF($H969="Cancelled","",IFERROR(IF(W969="","",(AVERAGE(E969:F969)-W969)-Variables!$B$14),""))</f>
        <v>-1</v>
      </c>
      <c r="AB969" s="10">
        <v>45741</v>
      </c>
      <c r="AC969" s="11">
        <f>IF($H969="Cancelled","",IFERROR(IF(AB969="","",IF(AND(W969="",Y969=""),"",IF(Y969&gt;W969,Y969+Variables!$B$15+Variables!$B$16+Variables!$B$17-AB969,W969+Variables!$B$16+Variables!$B$17-AB969))),""))</f>
        <v>5</v>
      </c>
      <c r="AD969" s="9" t="s">
        <v>163</v>
      </c>
      <c r="AE969" s="9" t="s">
        <v>847</v>
      </c>
      <c r="AF969" s="10"/>
      <c r="AG969" s="10"/>
      <c r="AH969" s="9"/>
      <c r="AI969" s="9">
        <v>251410456</v>
      </c>
      <c r="AJ969" s="9" t="s">
        <v>2057</v>
      </c>
      <c r="AK969" s="10">
        <v>45753</v>
      </c>
      <c r="AL969" s="10">
        <v>45764</v>
      </c>
      <c r="AM969" s="10">
        <v>45764</v>
      </c>
      <c r="AN969" s="9" t="s">
        <v>1492</v>
      </c>
      <c r="AO969" s="9"/>
      <c r="AP969" s="11">
        <f>IF($H969="Cancelled","",IFERROR(IF(OR(AK969="",AB969=""),"",(AB969+Variables!$B$18-AK969)),""))</f>
        <v>-5</v>
      </c>
      <c r="AQ969" s="11">
        <f>IF($H969="Cancelled","",IFERROR(IF(OR(AM969="",AK969=""),"",(AK969+Variables!$B$19)-AM969),""))</f>
        <v>-6</v>
      </c>
      <c r="AR969" s="12">
        <f>IF($H969="Cancelled","",IFERROR(T969*INDEX(Variables!$B$7:$D$7,IFERROR(MATCH(IF($B969="Robusta","Robusta",(IF($B969="","Arabica",$B969))&amp;" - "&amp;(IF($C969="","Commercial",$C969))),Variables!$B$1:$D$1,0),1))*(AQ969/365),""))</f>
        <v>-8.5960418563954395</v>
      </c>
      <c r="AS969" s="12">
        <f>IF($H969="Cancelled","",IFERROR((T969*INDEX(Variables!$B$7:$D$7,IFERROR(MATCH(IF($B969="Robusta","Robusta",(IF($B969="","Arabica",$B969))&amp;" - "&amp;(IF($C969="","Commercial",$C969))),Variables!$B$1:$D$1,0),1))*IFERROR(IF(W969="","",(AVERAGE(E969:F969)-W969)-Variables!$B$14),"")/365)+(L969/16.67*INDEX(Variables!$B$8:$D$8,IFERROR(MATCH(IF($B969="Robusta","Robusta",(IF($B969="","Arabica",$B969))&amp;" - "&amp;(IF($C969="","Commercial",$C969))),Variables!$B$1:$D$1,0),1))*IFERROR(IF(W969="","",(AVERAGE(E969:F969)-W969)-Variables!$B$14),""))+(T969*INDEX(Variables!$B$9:$D$9,IFERROR(MATCH(IF($B969="Robusta","Robusta",(IF($B969="","Arabica",$B969))&amp;" - "&amp;(IF($C969="","Commercial",$C969))),Variables!$B$1:$D$1,0),1))*IFERROR(IF(W969="","",(AVERAGE(E969:F969)-W969)-Variables!$B$14),"")/365),""))</f>
        <v>-2.2011435708554288</v>
      </c>
      <c r="AT969" s="12">
        <f>IF($H969="Cancelled","",IFERROR((T969*INDEX(Variables!$B$7:$D$7,IFERROR(MATCH(IF($B969="Robusta","Robusta",(IF($B969="","Arabica",$B969))&amp;" - "&amp;(IF($C969="","Commercial",$C969))),Variables!$B$1:$D$1,0),1))*AC969/365)+(L969/16.67*INDEX(Variables!$B$8:$D$8,IFERROR(MATCH(IF($B969="Robusta","Robusta",(IF($B969="","Arabica",$B969))&amp;" - "&amp;(IF($C969="","Commercial",$C969))),Variables!$B$1:$D$1,0),1))*AC969)+(T969*INDEX(Variables!$B$9:$D$9,IFERROR(MATCH(IF($B969="Robusta","Robusta",(IF($B969="","Arabica",$B969))&amp;" - "&amp;(IF($C969="","Commercial",$C969))),Variables!$B$1:$D$1,0),1))*AC969/365),""))</f>
        <v>11.005717854277144</v>
      </c>
      <c r="AU969" s="12">
        <f>IF($H969="Cancelled","",IFERROR((T969*INDEX(Variables!$B$7:$D$7,IFERROR(MATCH(IF($B969="Robusta","Robusta",(IF($B969="","Arabica",$B969))&amp;" - "&amp;(IF($C969="","Commercial",$C969))),Variables!$B$1:$D$1,0),1))*AP969/365)+(L969/16.67*INDEX(Variables!$B$8:$D$8,IFERROR(MATCH(IF($B969="Robusta","Robusta",(IF($B969="","Arabica",$B969))&amp;" - "&amp;(IF($C969="","Commercial",$C969))),Variables!$B$1:$D$1,0),1))*AP969)+(T969*INDEX(Variables!$B$9:$D$9,IFERROR(MATCH(IF($B969="Robusta","Robusta",(IF($B969="","Arabica",$B969))&amp;" - "&amp;(IF($C969="","Commercial",$C969))),Variables!$B$1:$D$1,0),1))*AP969/365),""))</f>
        <v>-11.005717854277144</v>
      </c>
      <c r="AV969" s="11">
        <f t="shared" si="95"/>
        <v>-6</v>
      </c>
      <c r="AW969" s="12">
        <f>IF($H969="Cancelled","",IFERROR(IF(AV969="","",(T969*INDEX(Variables!$B$7:$D$7,IFERROR(MATCH(IF($B969="Robusta","Robusta",(IF($B969="","Arabica",$B969))&amp;" - "&amp;(IF($C969="","Commercial",$C969))),Variables!$B$1:$D$1,0),1))*(AV969/365))+(T969*INDEX(Variables!$B$9:$D$9,IFERROR(MATCH(IF($B969="Robusta","Robusta",(IF($B969="","Arabica",$B969))&amp;" - "&amp;(IF($C969="","Commercial",$C969))),Variables!$B$1:$D$1,0),1))*(AV969/365))+(INDEX(Variables!$B$8:$D$8,IFERROR(MATCH(IF($B969="Robusta","Robusta",(IF($B969="","Arabica",$B969))&amp;" - "&amp;(IF($C969="","Commercial",$C969))),Variables!$B$1:$D$1,0),1))*L969/16.67)),""))</f>
        <v>-7.9568614251325727</v>
      </c>
      <c r="AX969" s="9"/>
      <c r="AY969" s="12"/>
      <c r="AZ969" s="10"/>
      <c r="BA969" s="9"/>
      <c r="BB969" s="10"/>
      <c r="BC969" s="9"/>
      <c r="BD969" s="9"/>
      <c r="BE969" s="9"/>
      <c r="BF969" s="9"/>
    </row>
    <row r="970" spans="1:58" x14ac:dyDescent="0.25">
      <c r="A970" s="9" t="s">
        <v>84</v>
      </c>
      <c r="B970" s="9" t="s">
        <v>85</v>
      </c>
      <c r="C970" s="9" t="s">
        <v>1486</v>
      </c>
      <c r="D970" s="10">
        <v>45712</v>
      </c>
      <c r="E970" s="10">
        <v>45717</v>
      </c>
      <c r="F970" s="10">
        <v>45747</v>
      </c>
      <c r="G970" s="9">
        <v>3786735</v>
      </c>
      <c r="H970" s="9" t="str">
        <f t="shared" si="93"/>
        <v>Closed</v>
      </c>
      <c r="I970" s="9" t="str">
        <f t="shared" si="94"/>
        <v>All dates received</v>
      </c>
      <c r="J970" s="9" t="s">
        <v>225</v>
      </c>
      <c r="K970" s="9" t="s">
        <v>2074</v>
      </c>
      <c r="L970" s="11">
        <v>15</v>
      </c>
      <c r="M970" s="9" t="s">
        <v>2075</v>
      </c>
      <c r="N970" s="9"/>
      <c r="O970" s="9"/>
      <c r="P970" s="9"/>
      <c r="Q970" s="11">
        <v>116</v>
      </c>
      <c r="R970" s="9" t="s">
        <v>195</v>
      </c>
      <c r="S970" s="9" t="s">
        <v>228</v>
      </c>
      <c r="T970" s="12">
        <f>IF($H970="Cancelled","",IFERROR(((Q970+INDEX(Variables!$B$6:$D$6,IFERROR(MATCH(IF($B970="Robusta","Robusta",(IF($B970="","Arabica",$B970))&amp;" - "&amp;(IF($C970="","Commercial",$C970))),Variables!$B$1:$D$1,0),1)))*22.0462)*(L970/16.67),""))</f>
        <v>8069.9407558488292</v>
      </c>
      <c r="U970" s="10"/>
      <c r="V970" s="9" t="str">
        <f t="shared" si="96"/>
        <v/>
      </c>
      <c r="W970" s="10">
        <v>45703</v>
      </c>
      <c r="X970" s="9" t="str">
        <f t="shared" si="92"/>
        <v>Approved</v>
      </c>
      <c r="Y970" s="10">
        <v>45731</v>
      </c>
      <c r="Z970" s="10">
        <f>IF($H970="Cancelled","",IFERROR(IF(F970="","",F970-Variables!$B$13),""))</f>
        <v>45732</v>
      </c>
      <c r="AA970" s="11">
        <f>IF($H970="Cancelled","",IFERROR(IF(W970="","",(AVERAGE(E970:F970)-W970)-Variables!$B$14),""))</f>
        <v>-1</v>
      </c>
      <c r="AB970" s="10">
        <v>45741</v>
      </c>
      <c r="AC970" s="11">
        <f>IF($H970="Cancelled","",IFERROR(IF(AB970="","",IF(AND(W970="",Y970=""),"",IF(Y970&gt;W970,Y970+Variables!$B$15+Variables!$B$16+Variables!$B$17-AB970,W970+Variables!$B$16+Variables!$B$17-AB970))),""))</f>
        <v>5</v>
      </c>
      <c r="AD970" s="9" t="s">
        <v>163</v>
      </c>
      <c r="AE970" s="9" t="s">
        <v>847</v>
      </c>
      <c r="AF970" s="10"/>
      <c r="AG970" s="10"/>
      <c r="AH970" s="9"/>
      <c r="AI970" s="9">
        <v>251410456</v>
      </c>
      <c r="AJ970" s="9" t="s">
        <v>2057</v>
      </c>
      <c r="AK970" s="10">
        <v>45753</v>
      </c>
      <c r="AL970" s="10">
        <v>45764</v>
      </c>
      <c r="AM970" s="10">
        <v>45764</v>
      </c>
      <c r="AN970" s="9" t="s">
        <v>1492</v>
      </c>
      <c r="AO970" s="9"/>
      <c r="AP970" s="11">
        <f>IF($H970="Cancelled","",IFERROR(IF(OR(AK970="",AB970=""),"",(AB970+Variables!$B$18-AK970)),""))</f>
        <v>-5</v>
      </c>
      <c r="AQ970" s="11">
        <f>IF($H970="Cancelled","",IFERROR(IF(OR(AM970="",AK970=""),"",(AK970+Variables!$B$19)-AM970),""))</f>
        <v>-6</v>
      </c>
      <c r="AR970" s="12">
        <f>IF($H970="Cancelled","",IFERROR(T970*INDEX(Variables!$B$7:$D$7,IFERROR(MATCH(IF($B970="Robusta","Robusta",(IF($B970="","Arabica",$B970))&amp;" - "&amp;(IF($C970="","Commercial",$C970))),Variables!$B$1:$D$1,0),1))*(AQ970/365),""))</f>
        <v>-8.5539868570980069</v>
      </c>
      <c r="AS970" s="12">
        <f>IF($H970="Cancelled","",IFERROR((T970*INDEX(Variables!$B$7:$D$7,IFERROR(MATCH(IF($B970="Robusta","Robusta",(IF($B970="","Arabica",$B970))&amp;" - "&amp;(IF($C970="","Commercial",$C970))),Variables!$B$1:$D$1,0),1))*IFERROR(IF(W970="","",(AVERAGE(E970:F970)-W970)-Variables!$B$14),"")/365)+(L970/16.67*INDEX(Variables!$B$8:$D$8,IFERROR(MATCH(IF($B970="Robusta","Robusta",(IF($B970="","Arabica",$B970))&amp;" - "&amp;(IF($C970="","Commercial",$C970))),Variables!$B$1:$D$1,0),1))*IFERROR(IF(W970="","",(AVERAGE(E970:F970)-W970)-Variables!$B$14),""))+(T970*INDEX(Variables!$B$9:$D$9,IFERROR(MATCH(IF($B970="Robusta","Robusta",(IF($B970="","Arabica",$B970))&amp;" - "&amp;(IF($C970="","Commercial",$C970))),Variables!$B$1:$D$1,0),1))*IFERROR(IF(W970="","",(AVERAGE(E970:F970)-W970)-Variables!$B$14),"")/365),""))</f>
        <v>-2.1940440426222811</v>
      </c>
      <c r="AT970" s="12">
        <f>IF($H970="Cancelled","",IFERROR((T970*INDEX(Variables!$B$7:$D$7,IFERROR(MATCH(IF($B970="Robusta","Robusta",(IF($B970="","Arabica",$B970))&amp;" - "&amp;(IF($C970="","Commercial",$C970))),Variables!$B$1:$D$1,0),1))*AC970/365)+(L970/16.67*INDEX(Variables!$B$8:$D$8,IFERROR(MATCH(IF($B970="Robusta","Robusta",(IF($B970="","Arabica",$B970))&amp;" - "&amp;(IF($C970="","Commercial",$C970))),Variables!$B$1:$D$1,0),1))*AC970)+(T970*INDEX(Variables!$B$9:$D$9,IFERROR(MATCH(IF($B970="Robusta","Robusta",(IF($B970="","Arabica",$B970))&amp;" - "&amp;(IF($C970="","Commercial",$C970))),Variables!$B$1:$D$1,0),1))*AC970/365),""))</f>
        <v>10.970220213111405</v>
      </c>
      <c r="AU970" s="12">
        <f>IF($H970="Cancelled","",IFERROR((T970*INDEX(Variables!$B$7:$D$7,IFERROR(MATCH(IF($B970="Robusta","Robusta",(IF($B970="","Arabica",$B970))&amp;" - "&amp;(IF($C970="","Commercial",$C970))),Variables!$B$1:$D$1,0),1))*AP970/365)+(L970/16.67*INDEX(Variables!$B$8:$D$8,IFERROR(MATCH(IF($B970="Robusta","Robusta",(IF($B970="","Arabica",$B970))&amp;" - "&amp;(IF($C970="","Commercial",$C970))),Variables!$B$1:$D$1,0),1))*AP970)+(T970*INDEX(Variables!$B$9:$D$9,IFERROR(MATCH(IF($B970="Robusta","Robusta",(IF($B970="","Arabica",$B970))&amp;" - "&amp;(IF($C970="","Commercial",$C970))),Variables!$B$1:$D$1,0),1))*AP970/365),""))</f>
        <v>-10.970220213111405</v>
      </c>
      <c r="AV970" s="11">
        <f t="shared" si="95"/>
        <v>-6</v>
      </c>
      <c r="AW970" s="12">
        <f>IF($H970="Cancelled","",IFERROR(IF(AV970="","",(T970*INDEX(Variables!$B$7:$D$7,IFERROR(MATCH(IF($B970="Robusta","Robusta",(IF($B970="","Arabica",$B970))&amp;" - "&amp;(IF($C970="","Commercial",$C970))),Variables!$B$1:$D$1,0),1))*(AV970/365))+(T970*INDEX(Variables!$B$9:$D$9,IFERROR(MATCH(IF($B970="Robusta","Robusta",(IF($B970="","Arabica",$B970))&amp;" - "&amp;(IF($C970="","Commercial",$C970))),Variables!$B$1:$D$1,0),1))*(AV970/365))+(INDEX(Variables!$B$8:$D$8,IFERROR(MATCH(IF($B970="Robusta","Robusta",(IF($B970="","Arabica",$B970))&amp;" - "&amp;(IF($C970="","Commercial",$C970))),Variables!$B$1:$D$1,0),1))*L970/16.67)),""))</f>
        <v>-7.914264255733686</v>
      </c>
      <c r="AX970" s="9"/>
      <c r="AY970" s="12"/>
      <c r="AZ970" s="10"/>
      <c r="BA970" s="9"/>
      <c r="BB970" s="10"/>
      <c r="BC970" s="9"/>
      <c r="BD970" s="9"/>
      <c r="BE970" s="9"/>
      <c r="BF970" s="9"/>
    </row>
    <row r="971" spans="1:58" x14ac:dyDescent="0.25">
      <c r="A971" s="9" t="s">
        <v>84</v>
      </c>
      <c r="B971" s="9" t="s">
        <v>85</v>
      </c>
      <c r="C971" s="9" t="s">
        <v>1486</v>
      </c>
      <c r="D971" s="10">
        <v>45712</v>
      </c>
      <c r="E971" s="10">
        <v>45717</v>
      </c>
      <c r="F971" s="10">
        <v>45747</v>
      </c>
      <c r="G971" s="9">
        <v>3786736</v>
      </c>
      <c r="H971" s="9" t="str">
        <f t="shared" si="93"/>
        <v>Closed</v>
      </c>
      <c r="I971" s="9" t="str">
        <f t="shared" si="94"/>
        <v>All dates received</v>
      </c>
      <c r="J971" s="9" t="s">
        <v>225</v>
      </c>
      <c r="K971" s="9" t="s">
        <v>2076</v>
      </c>
      <c r="L971" s="11">
        <v>15</v>
      </c>
      <c r="M971" s="9" t="s">
        <v>2077</v>
      </c>
      <c r="N971" s="9"/>
      <c r="O971" s="9"/>
      <c r="P971" s="9"/>
      <c r="Q971" s="11">
        <v>116</v>
      </c>
      <c r="R971" s="9" t="s">
        <v>195</v>
      </c>
      <c r="S971" s="9" t="s">
        <v>228</v>
      </c>
      <c r="T971" s="12">
        <f>IF($H971="Cancelled","",IFERROR(((Q971+INDEX(Variables!$B$6:$D$6,IFERROR(MATCH(IF($B971="Robusta","Robusta",(IF($B971="","Arabica",$B971))&amp;" - "&amp;(IF($C971="","Commercial",$C971))),Variables!$B$1:$D$1,0),1)))*22.0462)*(L971/16.67),""))</f>
        <v>8069.9407558488292</v>
      </c>
      <c r="U971" s="10"/>
      <c r="V971" s="9" t="str">
        <f t="shared" si="96"/>
        <v/>
      </c>
      <c r="W971" s="10">
        <v>45703</v>
      </c>
      <c r="X971" s="9" t="str">
        <f t="shared" si="92"/>
        <v>Approved</v>
      </c>
      <c r="Y971" s="10">
        <v>45731</v>
      </c>
      <c r="Z971" s="10">
        <f>IF($H971="Cancelled","",IFERROR(IF(F971="","",F971-Variables!$B$13),""))</f>
        <v>45732</v>
      </c>
      <c r="AA971" s="11">
        <f>IF($H971="Cancelled","",IFERROR(IF(W971="","",(AVERAGE(E971:F971)-W971)-Variables!$B$14),""))</f>
        <v>-1</v>
      </c>
      <c r="AB971" s="10">
        <v>45741</v>
      </c>
      <c r="AC971" s="11">
        <f>IF($H971="Cancelled","",IFERROR(IF(AB971="","",IF(AND(W971="",Y971=""),"",IF(Y971&gt;W971,Y971+Variables!$B$15+Variables!$B$16+Variables!$B$17-AB971,W971+Variables!$B$16+Variables!$B$17-AB971))),""))</f>
        <v>5</v>
      </c>
      <c r="AD971" s="9" t="s">
        <v>163</v>
      </c>
      <c r="AE971" s="9" t="s">
        <v>847</v>
      </c>
      <c r="AF971" s="10"/>
      <c r="AG971" s="10"/>
      <c r="AH971" s="9"/>
      <c r="AI971" s="9">
        <v>251410456</v>
      </c>
      <c r="AJ971" s="9" t="s">
        <v>2057</v>
      </c>
      <c r="AK971" s="10">
        <v>45753</v>
      </c>
      <c r="AL971" s="10">
        <v>45764</v>
      </c>
      <c r="AM971" s="10">
        <v>45764</v>
      </c>
      <c r="AN971" s="9" t="s">
        <v>1492</v>
      </c>
      <c r="AO971" s="9"/>
      <c r="AP971" s="11">
        <f>IF($H971="Cancelled","",IFERROR(IF(OR(AK971="",AB971=""),"",(AB971+Variables!$B$18-AK971)),""))</f>
        <v>-5</v>
      </c>
      <c r="AQ971" s="11">
        <f>IF($H971="Cancelled","",IFERROR(IF(OR(AM971="",AK971=""),"",(AK971+Variables!$B$19)-AM971),""))</f>
        <v>-6</v>
      </c>
      <c r="AR971" s="12">
        <f>IF($H971="Cancelled","",IFERROR(T971*INDEX(Variables!$B$7:$D$7,IFERROR(MATCH(IF($B971="Robusta","Robusta",(IF($B971="","Arabica",$B971))&amp;" - "&amp;(IF($C971="","Commercial",$C971))),Variables!$B$1:$D$1,0),1))*(AQ971/365),""))</f>
        <v>-8.5539868570980069</v>
      </c>
      <c r="AS971" s="12">
        <f>IF($H971="Cancelled","",IFERROR((T971*INDEX(Variables!$B$7:$D$7,IFERROR(MATCH(IF($B971="Robusta","Robusta",(IF($B971="","Arabica",$B971))&amp;" - "&amp;(IF($C971="","Commercial",$C971))),Variables!$B$1:$D$1,0),1))*IFERROR(IF(W971="","",(AVERAGE(E971:F971)-W971)-Variables!$B$14),"")/365)+(L971/16.67*INDEX(Variables!$B$8:$D$8,IFERROR(MATCH(IF($B971="Robusta","Robusta",(IF($B971="","Arabica",$B971))&amp;" - "&amp;(IF($C971="","Commercial",$C971))),Variables!$B$1:$D$1,0),1))*IFERROR(IF(W971="","",(AVERAGE(E971:F971)-W971)-Variables!$B$14),""))+(T971*INDEX(Variables!$B$9:$D$9,IFERROR(MATCH(IF($B971="Robusta","Robusta",(IF($B971="","Arabica",$B971))&amp;" - "&amp;(IF($C971="","Commercial",$C971))),Variables!$B$1:$D$1,0),1))*IFERROR(IF(W971="","",(AVERAGE(E971:F971)-W971)-Variables!$B$14),"")/365),""))</f>
        <v>-2.1940440426222811</v>
      </c>
      <c r="AT971" s="12">
        <f>IF($H971="Cancelled","",IFERROR((T971*INDEX(Variables!$B$7:$D$7,IFERROR(MATCH(IF($B971="Robusta","Robusta",(IF($B971="","Arabica",$B971))&amp;" - "&amp;(IF($C971="","Commercial",$C971))),Variables!$B$1:$D$1,0),1))*AC971/365)+(L971/16.67*INDEX(Variables!$B$8:$D$8,IFERROR(MATCH(IF($B971="Robusta","Robusta",(IF($B971="","Arabica",$B971))&amp;" - "&amp;(IF($C971="","Commercial",$C971))),Variables!$B$1:$D$1,0),1))*AC971)+(T971*INDEX(Variables!$B$9:$D$9,IFERROR(MATCH(IF($B971="Robusta","Robusta",(IF($B971="","Arabica",$B971))&amp;" - "&amp;(IF($C971="","Commercial",$C971))),Variables!$B$1:$D$1,0),1))*AC971/365),""))</f>
        <v>10.970220213111405</v>
      </c>
      <c r="AU971" s="12">
        <f>IF($H971="Cancelled","",IFERROR((T971*INDEX(Variables!$B$7:$D$7,IFERROR(MATCH(IF($B971="Robusta","Robusta",(IF($B971="","Arabica",$B971))&amp;" - "&amp;(IF($C971="","Commercial",$C971))),Variables!$B$1:$D$1,0),1))*AP971/365)+(L971/16.67*INDEX(Variables!$B$8:$D$8,IFERROR(MATCH(IF($B971="Robusta","Robusta",(IF($B971="","Arabica",$B971))&amp;" - "&amp;(IF($C971="","Commercial",$C971))),Variables!$B$1:$D$1,0),1))*AP971)+(T971*INDEX(Variables!$B$9:$D$9,IFERROR(MATCH(IF($B971="Robusta","Robusta",(IF($B971="","Arabica",$B971))&amp;" - "&amp;(IF($C971="","Commercial",$C971))),Variables!$B$1:$D$1,0),1))*AP971/365),""))</f>
        <v>-10.970220213111405</v>
      </c>
      <c r="AV971" s="11">
        <f t="shared" si="95"/>
        <v>-6</v>
      </c>
      <c r="AW971" s="12">
        <f>IF($H971="Cancelled","",IFERROR(IF(AV971="","",(T971*INDEX(Variables!$B$7:$D$7,IFERROR(MATCH(IF($B971="Robusta","Robusta",(IF($B971="","Arabica",$B971))&amp;" - "&amp;(IF($C971="","Commercial",$C971))),Variables!$B$1:$D$1,0),1))*(AV971/365))+(T971*INDEX(Variables!$B$9:$D$9,IFERROR(MATCH(IF($B971="Robusta","Robusta",(IF($B971="","Arabica",$B971))&amp;" - "&amp;(IF($C971="","Commercial",$C971))),Variables!$B$1:$D$1,0),1))*(AV971/365))+(INDEX(Variables!$B$8:$D$8,IFERROR(MATCH(IF($B971="Robusta","Robusta",(IF($B971="","Arabica",$B971))&amp;" - "&amp;(IF($C971="","Commercial",$C971))),Variables!$B$1:$D$1,0),1))*L971/16.67)),""))</f>
        <v>-7.914264255733686</v>
      </c>
      <c r="AX971" s="9"/>
      <c r="AY971" s="12"/>
      <c r="AZ971" s="10"/>
      <c r="BA971" s="9"/>
      <c r="BB971" s="10"/>
      <c r="BC971" s="9"/>
      <c r="BD971" s="9"/>
      <c r="BE971" s="9"/>
      <c r="BF971" s="9"/>
    </row>
    <row r="972" spans="1:58" x14ac:dyDescent="0.25">
      <c r="A972" s="9" t="s">
        <v>84</v>
      </c>
      <c r="B972" s="9" t="s">
        <v>85</v>
      </c>
      <c r="C972" s="9" t="s">
        <v>1486</v>
      </c>
      <c r="D972" s="10">
        <v>45712</v>
      </c>
      <c r="E972" s="10">
        <v>45717</v>
      </c>
      <c r="F972" s="10">
        <v>45747</v>
      </c>
      <c r="G972" s="9">
        <v>3786737</v>
      </c>
      <c r="H972" s="9" t="str">
        <f t="shared" si="93"/>
        <v>Closed</v>
      </c>
      <c r="I972" s="9" t="str">
        <f t="shared" si="94"/>
        <v>All dates received</v>
      </c>
      <c r="J972" s="9" t="s">
        <v>225</v>
      </c>
      <c r="K972" s="9" t="s">
        <v>2078</v>
      </c>
      <c r="L972" s="11">
        <v>15</v>
      </c>
      <c r="M972" s="9" t="s">
        <v>2079</v>
      </c>
      <c r="N972" s="9"/>
      <c r="O972" s="9"/>
      <c r="P972" s="9"/>
      <c r="Q972" s="11">
        <v>128</v>
      </c>
      <c r="R972" s="9" t="s">
        <v>195</v>
      </c>
      <c r="S972" s="9" t="s">
        <v>228</v>
      </c>
      <c r="T972" s="12">
        <f>IF($H972="Cancelled","",IFERROR(((Q972+INDEX(Variables!$B$6:$D$6,IFERROR(MATCH(IF($B972="Robusta","Robusta",(IF($B972="","Arabica",$B972))&amp;" - "&amp;(IF($C972="","Commercial",$C972))),Variables!$B$1:$D$1,0),1)))*22.0462)*(L972/16.67),""))</f>
        <v>8307.9921055788818</v>
      </c>
      <c r="U972" s="10"/>
      <c r="V972" s="9" t="str">
        <f t="shared" si="96"/>
        <v/>
      </c>
      <c r="W972" s="10">
        <v>45703</v>
      </c>
      <c r="X972" s="9" t="str">
        <f t="shared" si="92"/>
        <v>Approved</v>
      </c>
      <c r="Y972" s="10">
        <v>45731</v>
      </c>
      <c r="Z972" s="10">
        <f>IF($H972="Cancelled","",IFERROR(IF(F972="","",F972-Variables!$B$13),""))</f>
        <v>45732</v>
      </c>
      <c r="AA972" s="11">
        <f>IF($H972="Cancelled","",IFERROR(IF(W972="","",(AVERAGE(E972:F972)-W972)-Variables!$B$14),""))</f>
        <v>-1</v>
      </c>
      <c r="AB972" s="10">
        <v>45741</v>
      </c>
      <c r="AC972" s="11">
        <f>IF($H972="Cancelled","",IFERROR(IF(AB972="","",IF(AND(W972="",Y972=""),"",IF(Y972&gt;W972,Y972+Variables!$B$15+Variables!$B$16+Variables!$B$17-AB972,W972+Variables!$B$16+Variables!$B$17-AB972))),""))</f>
        <v>5</v>
      </c>
      <c r="AD972" s="9" t="s">
        <v>163</v>
      </c>
      <c r="AE972" s="9" t="s">
        <v>847</v>
      </c>
      <c r="AF972" s="10"/>
      <c r="AG972" s="10"/>
      <c r="AH972" s="9"/>
      <c r="AI972" s="9">
        <v>251410456</v>
      </c>
      <c r="AJ972" s="9" t="s">
        <v>2057</v>
      </c>
      <c r="AK972" s="10">
        <v>45753</v>
      </c>
      <c r="AL972" s="10">
        <v>45764</v>
      </c>
      <c r="AM972" s="10">
        <v>45764</v>
      </c>
      <c r="AN972" s="9" t="s">
        <v>1492</v>
      </c>
      <c r="AO972" s="9"/>
      <c r="AP972" s="11">
        <f>IF($H972="Cancelled","",IFERROR(IF(OR(AK972="",AB972=""),"",(AB972+Variables!$B$18-AK972)),""))</f>
        <v>-5</v>
      </c>
      <c r="AQ972" s="11">
        <f>IF($H972="Cancelled","",IFERROR(IF(OR(AM972="",AK972=""),"",(AK972+Variables!$B$19)-AM972),""))</f>
        <v>-6</v>
      </c>
      <c r="AR972" s="12">
        <f>IF($H972="Cancelled","",IFERROR(T972*INDEX(Variables!$B$7:$D$7,IFERROR(MATCH(IF($B972="Robusta","Robusta",(IF($B972="","Arabica",$B972))&amp;" - "&amp;(IF($C972="","Commercial",$C972))),Variables!$B$1:$D$1,0),1))*(AQ972/365),""))</f>
        <v>-8.8063168528826061</v>
      </c>
      <c r="AS972" s="12">
        <f>IF($H972="Cancelled","",IFERROR((T972*INDEX(Variables!$B$7:$D$7,IFERROR(MATCH(IF($B972="Robusta","Robusta",(IF($B972="","Arabica",$B972))&amp;" - "&amp;(IF($C972="","Commercial",$C972))),Variables!$B$1:$D$1,0),1))*IFERROR(IF(W972="","",(AVERAGE(E972:F972)-W972)-Variables!$B$14),"")/365)+(L972/16.67*INDEX(Variables!$B$8:$D$8,IFERROR(MATCH(IF($B972="Robusta","Robusta",(IF($B972="","Arabica",$B972))&amp;" - "&amp;(IF($C972="","Commercial",$C972))),Variables!$B$1:$D$1,0),1))*IFERROR(IF(W972="","",(AVERAGE(E972:F972)-W972)-Variables!$B$14),""))+(T972*INDEX(Variables!$B$9:$D$9,IFERROR(MATCH(IF($B972="Robusta","Robusta",(IF($B972="","Arabica",$B972))&amp;" - "&amp;(IF($C972="","Commercial",$C972))),Variables!$B$1:$D$1,0),1))*IFERROR(IF(W972="","",(AVERAGE(E972:F972)-W972)-Variables!$B$14),"")/365),""))</f>
        <v>-2.2366412120211678</v>
      </c>
      <c r="AT972" s="12">
        <f>IF($H972="Cancelled","",IFERROR((T972*INDEX(Variables!$B$7:$D$7,IFERROR(MATCH(IF($B972="Robusta","Robusta",(IF($B972="","Arabica",$B972))&amp;" - "&amp;(IF($C972="","Commercial",$C972))),Variables!$B$1:$D$1,0),1))*AC972/365)+(L972/16.67*INDEX(Variables!$B$8:$D$8,IFERROR(MATCH(IF($B972="Robusta","Robusta",(IF($B972="","Arabica",$B972))&amp;" - "&amp;(IF($C972="","Commercial",$C972))),Variables!$B$1:$D$1,0),1))*AC972)+(T972*INDEX(Variables!$B$9:$D$9,IFERROR(MATCH(IF($B972="Robusta","Robusta",(IF($B972="","Arabica",$B972))&amp;" - "&amp;(IF($C972="","Commercial",$C972))),Variables!$B$1:$D$1,0),1))*AC972/365),""))</f>
        <v>11.183206060105841</v>
      </c>
      <c r="AU972" s="12">
        <f>IF($H972="Cancelled","",IFERROR((T972*INDEX(Variables!$B$7:$D$7,IFERROR(MATCH(IF($B972="Robusta","Robusta",(IF($B972="","Arabica",$B972))&amp;" - "&amp;(IF($C972="","Commercial",$C972))),Variables!$B$1:$D$1,0),1))*AP972/365)+(L972/16.67*INDEX(Variables!$B$8:$D$8,IFERROR(MATCH(IF($B972="Robusta","Robusta",(IF($B972="","Arabica",$B972))&amp;" - "&amp;(IF($C972="","Commercial",$C972))),Variables!$B$1:$D$1,0),1))*AP972)+(T972*INDEX(Variables!$B$9:$D$9,IFERROR(MATCH(IF($B972="Robusta","Robusta",(IF($B972="","Arabica",$B972))&amp;" - "&amp;(IF($C972="","Commercial",$C972))),Variables!$B$1:$D$1,0),1))*AP972/365),""))</f>
        <v>-11.183206060105841</v>
      </c>
      <c r="AV972" s="11">
        <f t="shared" si="95"/>
        <v>-6</v>
      </c>
      <c r="AW972" s="12">
        <f>IF($H972="Cancelled","",IFERROR(IF(AV972="","",(T972*INDEX(Variables!$B$7:$D$7,IFERROR(MATCH(IF($B972="Robusta","Robusta",(IF($B972="","Arabica",$B972))&amp;" - "&amp;(IF($C972="","Commercial",$C972))),Variables!$B$1:$D$1,0),1))*(AV972/365))+(T972*INDEX(Variables!$B$9:$D$9,IFERROR(MATCH(IF($B972="Robusta","Robusta",(IF($B972="","Arabica",$B972))&amp;" - "&amp;(IF($C972="","Commercial",$C972))),Variables!$B$1:$D$1,0),1))*(AV972/365))+(INDEX(Variables!$B$8:$D$8,IFERROR(MATCH(IF($B972="Robusta","Robusta",(IF($B972="","Arabica",$B972))&amp;" - "&amp;(IF($C972="","Commercial",$C972))),Variables!$B$1:$D$1,0),1))*L972/16.67)),""))</f>
        <v>-8.1698472721270079</v>
      </c>
      <c r="AX972" s="9"/>
      <c r="AY972" s="12"/>
      <c r="AZ972" s="10"/>
      <c r="BA972" s="9"/>
      <c r="BB972" s="10"/>
      <c r="BC972" s="9"/>
      <c r="BD972" s="9"/>
      <c r="BE972" s="9"/>
      <c r="BF972" s="9"/>
    </row>
    <row r="973" spans="1:58" x14ac:dyDescent="0.25">
      <c r="A973" s="9" t="s">
        <v>84</v>
      </c>
      <c r="B973" s="9" t="s">
        <v>85</v>
      </c>
      <c r="C973" s="9" t="s">
        <v>1486</v>
      </c>
      <c r="D973" s="10">
        <v>45712</v>
      </c>
      <c r="E973" s="10">
        <v>45717</v>
      </c>
      <c r="F973" s="10">
        <v>45747</v>
      </c>
      <c r="G973" s="9">
        <v>3786738</v>
      </c>
      <c r="H973" s="9" t="str">
        <f t="shared" si="93"/>
        <v>Closed</v>
      </c>
      <c r="I973" s="9" t="str">
        <f t="shared" si="94"/>
        <v>All dates received</v>
      </c>
      <c r="J973" s="9" t="s">
        <v>225</v>
      </c>
      <c r="K973" s="9" t="s">
        <v>2080</v>
      </c>
      <c r="L973" s="11">
        <v>100</v>
      </c>
      <c r="M973" s="9" t="s">
        <v>2081</v>
      </c>
      <c r="N973" s="9"/>
      <c r="O973" s="9"/>
      <c r="P973" s="9"/>
      <c r="Q973" s="11">
        <v>119</v>
      </c>
      <c r="R973" s="9" t="s">
        <v>195</v>
      </c>
      <c r="S973" s="9" t="s">
        <v>228</v>
      </c>
      <c r="T973" s="12">
        <f>IF($H973="Cancelled","",IFERROR(((Q973+INDEX(Variables!$B$6:$D$6,IFERROR(MATCH(IF($B973="Robusta","Robusta",(IF($B973="","Arabica",$B973))&amp;" - "&amp;(IF($C973="","Commercial",$C973))),Variables!$B$1:$D$1,0),1)))*22.0462)*(L973/16.67),""))</f>
        <v>54196.357288542284</v>
      </c>
      <c r="U973" s="10"/>
      <c r="V973" s="9" t="str">
        <f t="shared" si="96"/>
        <v/>
      </c>
      <c r="W973" s="10">
        <v>45703</v>
      </c>
      <c r="X973" s="9" t="str">
        <f t="shared" si="92"/>
        <v>Approved</v>
      </c>
      <c r="Y973" s="10">
        <v>45731</v>
      </c>
      <c r="Z973" s="10">
        <f>IF($H973="Cancelled","",IFERROR(IF(F973="","",F973-Variables!$B$13),""))</f>
        <v>45732</v>
      </c>
      <c r="AA973" s="11">
        <f>IF($H973="Cancelled","",IFERROR(IF(W973="","",(AVERAGE(E973:F973)-W973)-Variables!$B$14),""))</f>
        <v>-1</v>
      </c>
      <c r="AB973" s="10">
        <v>45741</v>
      </c>
      <c r="AC973" s="11">
        <f>IF($H973="Cancelled","",IFERROR(IF(AB973="","",IF(AND(W973="",Y973=""),"",IF(Y973&gt;W973,Y973+Variables!$B$15+Variables!$B$16+Variables!$B$17-AB973,W973+Variables!$B$16+Variables!$B$17-AB973))),""))</f>
        <v>5</v>
      </c>
      <c r="AD973" s="9" t="s">
        <v>163</v>
      </c>
      <c r="AE973" s="9" t="s">
        <v>847</v>
      </c>
      <c r="AF973" s="10"/>
      <c r="AG973" s="10"/>
      <c r="AH973" s="9"/>
      <c r="AI973" s="9">
        <v>251410456</v>
      </c>
      <c r="AJ973" s="9" t="s">
        <v>2057</v>
      </c>
      <c r="AK973" s="10">
        <v>45753</v>
      </c>
      <c r="AL973" s="10">
        <v>45764</v>
      </c>
      <c r="AM973" s="10">
        <v>45764</v>
      </c>
      <c r="AN973" s="9" t="s">
        <v>1492</v>
      </c>
      <c r="AO973" s="9"/>
      <c r="AP973" s="11">
        <f>IF($H973="Cancelled","",IFERROR(IF(OR(AK973="",AB973=""),"",(AB973+Variables!$B$18-AK973)),""))</f>
        <v>-5</v>
      </c>
      <c r="AQ973" s="11">
        <f>IF($H973="Cancelled","",IFERROR(IF(OR(AM973="",AK973=""),"",(AK973+Variables!$B$19)-AM973),""))</f>
        <v>-6</v>
      </c>
      <c r="AR973" s="12">
        <f>IF($H973="Cancelled","",IFERROR(T973*INDEX(Variables!$B$7:$D$7,IFERROR(MATCH(IF($B973="Robusta","Robusta",(IF($B973="","Arabica",$B973))&amp;" - "&amp;(IF($C973="","Commercial",$C973))),Variables!$B$1:$D$1,0),1))*(AQ973/365),""))</f>
        <v>-57.447129040294378</v>
      </c>
      <c r="AS973" s="12">
        <f>IF($H973="Cancelled","",IFERROR((T973*INDEX(Variables!$B$7:$D$7,IFERROR(MATCH(IF($B973="Robusta","Robusta",(IF($B973="","Arabica",$B973))&amp;" - "&amp;(IF($C973="","Commercial",$C973))),Variables!$B$1:$D$1,0),1))*IFERROR(IF(W973="","",(AVERAGE(E973:F973)-W973)-Variables!$B$14),"")/365)+(L973/16.67*INDEX(Variables!$B$8:$D$8,IFERROR(MATCH(IF($B973="Robusta","Robusta",(IF($B973="","Arabica",$B973))&amp;" - "&amp;(IF($C973="","Commercial",$C973))),Variables!$B$1:$D$1,0),1))*IFERROR(IF(W973="","",(AVERAGE(E973:F973)-W973)-Variables!$B$14),""))+(T973*INDEX(Variables!$B$9:$D$9,IFERROR(MATCH(IF($B973="Robusta","Robusta",(IF($B973="","Arabica",$B973))&amp;" - "&amp;(IF($C973="","Commercial",$C973))),Variables!$B$1:$D$1,0),1))*IFERROR(IF(W973="","",(AVERAGE(E973:F973)-W973)-Variables!$B$14),"")/365),""))</f>
        <v>-14.697955566480017</v>
      </c>
      <c r="AT973" s="12">
        <f>IF($H973="Cancelled","",IFERROR((T973*INDEX(Variables!$B$7:$D$7,IFERROR(MATCH(IF($B973="Robusta","Robusta",(IF($B973="","Arabica",$B973))&amp;" - "&amp;(IF($C973="","Commercial",$C973))),Variables!$B$1:$D$1,0),1))*AC973/365)+(L973/16.67*INDEX(Variables!$B$8:$D$8,IFERROR(MATCH(IF($B973="Robusta","Robusta",(IF($B973="","Arabica",$B973))&amp;" - "&amp;(IF($C973="","Commercial",$C973))),Variables!$B$1:$D$1,0),1))*AC973)+(T973*INDEX(Variables!$B$9:$D$9,IFERROR(MATCH(IF($B973="Robusta","Robusta",(IF($B973="","Arabica",$B973))&amp;" - "&amp;(IF($C973="","Commercial",$C973))),Variables!$B$1:$D$1,0),1))*AC973/365),""))</f>
        <v>73.48977783240008</v>
      </c>
      <c r="AU973" s="12">
        <f>IF($H973="Cancelled","",IFERROR((T973*INDEX(Variables!$B$7:$D$7,IFERROR(MATCH(IF($B973="Robusta","Robusta",(IF($B973="","Arabica",$B973))&amp;" - "&amp;(IF($C973="","Commercial",$C973))),Variables!$B$1:$D$1,0),1))*AP973/365)+(L973/16.67*INDEX(Variables!$B$8:$D$8,IFERROR(MATCH(IF($B973="Robusta","Robusta",(IF($B973="","Arabica",$B973))&amp;" - "&amp;(IF($C973="","Commercial",$C973))),Variables!$B$1:$D$1,0),1))*AP973)+(T973*INDEX(Variables!$B$9:$D$9,IFERROR(MATCH(IF($B973="Robusta","Robusta",(IF($B973="","Arabica",$B973))&amp;" - "&amp;(IF($C973="","Commercial",$C973))),Variables!$B$1:$D$1,0),1))*AP973/365),""))</f>
        <v>-73.48977783240008</v>
      </c>
      <c r="AV973" s="11">
        <f t="shared" si="95"/>
        <v>-6</v>
      </c>
      <c r="AW973" s="12">
        <f>IF($H973="Cancelled","",IFERROR(IF(AV973="","",(T973*INDEX(Variables!$B$7:$D$7,IFERROR(MATCH(IF($B973="Robusta","Robusta",(IF($B973="","Arabica",$B973))&amp;" - "&amp;(IF($C973="","Commercial",$C973))),Variables!$B$1:$D$1,0),1))*(AV973/365))+(T973*INDEX(Variables!$B$9:$D$9,IFERROR(MATCH(IF($B973="Robusta","Robusta",(IF($B973="","Arabica",$B973))&amp;" - "&amp;(IF($C973="","Commercial",$C973))),Variables!$B$1:$D$1,0),1))*(AV973/365))+(INDEX(Variables!$B$8:$D$8,IFERROR(MATCH(IF($B973="Robusta","Robusta",(IF($B973="","Arabica",$B973))&amp;" - "&amp;(IF($C973="","Commercial",$C973))),Variables!$B$1:$D$1,0),1))*L973/16.67)),""))</f>
        <v>-53.187733398880106</v>
      </c>
      <c r="AX973" s="9"/>
      <c r="AY973" s="12"/>
      <c r="AZ973" s="10"/>
      <c r="BA973" s="9"/>
      <c r="BB973" s="10"/>
      <c r="BC973" s="9"/>
      <c r="BD973" s="9"/>
      <c r="BE973" s="9"/>
      <c r="BF973" s="9"/>
    </row>
    <row r="974" spans="1:58" x14ac:dyDescent="0.25">
      <c r="A974" s="9" t="s">
        <v>84</v>
      </c>
      <c r="B974" s="9" t="s">
        <v>85</v>
      </c>
      <c r="C974" s="9" t="s">
        <v>1486</v>
      </c>
      <c r="D974" s="10">
        <v>45712</v>
      </c>
      <c r="E974" s="10">
        <v>45717</v>
      </c>
      <c r="F974" s="10">
        <v>45747</v>
      </c>
      <c r="G974" s="9">
        <v>3786739</v>
      </c>
      <c r="H974" s="9" t="str">
        <f t="shared" si="93"/>
        <v>Closed</v>
      </c>
      <c r="I974" s="9" t="str">
        <f t="shared" si="94"/>
        <v>All dates received</v>
      </c>
      <c r="J974" s="9" t="s">
        <v>225</v>
      </c>
      <c r="K974" s="9" t="s">
        <v>2082</v>
      </c>
      <c r="L974" s="11">
        <v>50</v>
      </c>
      <c r="M974" s="9" t="s">
        <v>2083</v>
      </c>
      <c r="N974" s="9"/>
      <c r="O974" s="9"/>
      <c r="P974" s="9"/>
      <c r="Q974" s="11">
        <v>60</v>
      </c>
      <c r="R974" s="9" t="s">
        <v>195</v>
      </c>
      <c r="S974" s="9" t="s">
        <v>228</v>
      </c>
      <c r="T974" s="12">
        <f>IF($H974="Cancelled","",IFERROR(((Q974+INDEX(Variables!$B$6:$D$6,IFERROR(MATCH(IF($B974="Robusta","Robusta",(IF($B974="","Arabica",$B974))&amp;" - "&amp;(IF($C974="","Commercial",$C974))),Variables!$B$1:$D$1,0),1)))*22.0462)*(L974/16.67),""))</f>
        <v>23196.781523695256</v>
      </c>
      <c r="U974" s="10"/>
      <c r="V974" s="9" t="str">
        <f t="shared" si="96"/>
        <v/>
      </c>
      <c r="W974" s="10">
        <v>45703</v>
      </c>
      <c r="X974" s="9" t="str">
        <f t="shared" si="92"/>
        <v>Approved</v>
      </c>
      <c r="Y974" s="10">
        <v>45731</v>
      </c>
      <c r="Z974" s="10">
        <f>IF($H974="Cancelled","",IFERROR(IF(F974="","",F974-Variables!$B$13),""))</f>
        <v>45732</v>
      </c>
      <c r="AA974" s="11">
        <f>IF($H974="Cancelled","",IFERROR(IF(W974="","",(AVERAGE(E974:F974)-W974)-Variables!$B$14),""))</f>
        <v>-1</v>
      </c>
      <c r="AB974" s="10">
        <v>45741</v>
      </c>
      <c r="AC974" s="11">
        <f>IF($H974="Cancelled","",IFERROR(IF(AB974="","",IF(AND(W974="",Y974=""),"",IF(Y974&gt;W974,Y974+Variables!$B$15+Variables!$B$16+Variables!$B$17-AB974,W974+Variables!$B$16+Variables!$B$17-AB974))),""))</f>
        <v>5</v>
      </c>
      <c r="AD974" s="9" t="s">
        <v>163</v>
      </c>
      <c r="AE974" s="9" t="s">
        <v>847</v>
      </c>
      <c r="AF974" s="10"/>
      <c r="AG974" s="10"/>
      <c r="AH974" s="9"/>
      <c r="AI974" s="9">
        <v>251410456</v>
      </c>
      <c r="AJ974" s="9" t="s">
        <v>2057</v>
      </c>
      <c r="AK974" s="10">
        <v>45753</v>
      </c>
      <c r="AL974" s="10">
        <v>45764</v>
      </c>
      <c r="AM974" s="10">
        <v>45764</v>
      </c>
      <c r="AN974" s="9" t="s">
        <v>1492</v>
      </c>
      <c r="AO974" s="9"/>
      <c r="AP974" s="11">
        <f>IF($H974="Cancelled","",IFERROR(IF(OR(AK974="",AB974=""),"",(AB974+Variables!$B$18-AK974)),""))</f>
        <v>-5</v>
      </c>
      <c r="AQ974" s="11">
        <f>IF($H974="Cancelled","",IFERROR(IF(OR(AM974="",AK974=""),"",(AK974+Variables!$B$19)-AM974),""))</f>
        <v>-6</v>
      </c>
      <c r="AR974" s="12">
        <f>IF($H974="Cancelled","",IFERROR(T974*INDEX(Variables!$B$7:$D$7,IFERROR(MATCH(IF($B974="Robusta","Robusta",(IF($B974="","Arabica",$B974))&amp;" - "&amp;(IF($C974="","Commercial",$C974))),Variables!$B$1:$D$1,0),1))*(AQ974/365),""))</f>
        <v>-24.588156255899541</v>
      </c>
      <c r="AS974" s="12">
        <f>IF($H974="Cancelled","",IFERROR((T974*INDEX(Variables!$B$7:$D$7,IFERROR(MATCH(IF($B974="Robusta","Robusta",(IF($B974="","Arabica",$B974))&amp;" - "&amp;(IF($C974="","Commercial",$C974))),Variables!$B$1:$D$1,0),1))*IFERROR(IF(W974="","",(AVERAGE(E974:F974)-W974)-Variables!$B$14),"")/365)+(L974/16.67*INDEX(Variables!$B$8:$D$8,IFERROR(MATCH(IF($B974="Robusta","Robusta",(IF($B974="","Arabica",$B974))&amp;" - "&amp;(IF($C974="","Commercial",$C974))),Variables!$B$1:$D$1,0),1))*IFERROR(IF(W974="","",(AVERAGE(E974:F974)-W974)-Variables!$B$14),""))+(T974*INDEX(Variables!$B$9:$D$9,IFERROR(MATCH(IF($B974="Robusta","Robusta",(IF($B974="","Arabica",$B974))&amp;" - "&amp;(IF($C974="","Commercial",$C974))),Variables!$B$1:$D$1,0),1))*IFERROR(IF(W974="","",(AVERAGE(E974:F974)-W974)-Variables!$B$14),"")/365),""))</f>
        <v>-6.6508575069804667</v>
      </c>
      <c r="AT974" s="12">
        <f>IF($H974="Cancelled","",IFERROR((T974*INDEX(Variables!$B$7:$D$7,IFERROR(MATCH(IF($B974="Robusta","Robusta",(IF($B974="","Arabica",$B974))&amp;" - "&amp;(IF($C974="","Commercial",$C974))),Variables!$B$1:$D$1,0),1))*AC974/365)+(L974/16.67*INDEX(Variables!$B$8:$D$8,IFERROR(MATCH(IF($B974="Robusta","Robusta",(IF($B974="","Arabica",$B974))&amp;" - "&amp;(IF($C974="","Commercial",$C974))),Variables!$B$1:$D$1,0),1))*AC974)+(T974*INDEX(Variables!$B$9:$D$9,IFERROR(MATCH(IF($B974="Robusta","Robusta",(IF($B974="","Arabica",$B974))&amp;" - "&amp;(IF($C974="","Commercial",$C974))),Variables!$B$1:$D$1,0),1))*AC974/365),""))</f>
        <v>33.254287534902332</v>
      </c>
      <c r="AU974" s="12">
        <f>IF($H974="Cancelled","",IFERROR((T974*INDEX(Variables!$B$7:$D$7,IFERROR(MATCH(IF($B974="Robusta","Robusta",(IF($B974="","Arabica",$B974))&amp;" - "&amp;(IF($C974="","Commercial",$C974))),Variables!$B$1:$D$1,0),1))*AP974/365)+(L974/16.67*INDEX(Variables!$B$8:$D$8,IFERROR(MATCH(IF($B974="Robusta","Robusta",(IF($B974="","Arabica",$B974))&amp;" - "&amp;(IF($C974="","Commercial",$C974))),Variables!$B$1:$D$1,0),1))*AP974)+(T974*INDEX(Variables!$B$9:$D$9,IFERROR(MATCH(IF($B974="Robusta","Robusta",(IF($B974="","Arabica",$B974))&amp;" - "&amp;(IF($C974="","Commercial",$C974))),Variables!$B$1:$D$1,0),1))*AP974/365),""))</f>
        <v>-33.254287534902332</v>
      </c>
      <c r="AV974" s="11">
        <f t="shared" si="95"/>
        <v>-6</v>
      </c>
      <c r="AW974" s="12">
        <f>IF($H974="Cancelled","",IFERROR(IF(AV974="","",(T974*INDEX(Variables!$B$7:$D$7,IFERROR(MATCH(IF($B974="Robusta","Robusta",(IF($B974="","Arabica",$B974))&amp;" - "&amp;(IF($C974="","Commercial",$C974))),Variables!$B$1:$D$1,0),1))*(AV974/365))+(T974*INDEX(Variables!$B$9:$D$9,IFERROR(MATCH(IF($B974="Robusta","Robusta",(IF($B974="","Arabica",$B974))&amp;" - "&amp;(IF($C974="","Commercial",$C974))),Variables!$B$1:$D$1,0),1))*(AV974/365))+(INDEX(Variables!$B$8:$D$8,IFERROR(MATCH(IF($B974="Robusta","Robusta",(IF($B974="","Arabica",$B974))&amp;" - "&amp;(IF($C974="","Commercial",$C974))),Variables!$B$1:$D$1,0),1))*L974/16.67)),""))</f>
        <v>-22.405145041882793</v>
      </c>
      <c r="AX974" s="9"/>
      <c r="AY974" s="12"/>
      <c r="AZ974" s="10"/>
      <c r="BA974" s="9"/>
      <c r="BB974" s="10"/>
      <c r="BC974" s="9"/>
      <c r="BD974" s="9"/>
      <c r="BE974" s="9"/>
      <c r="BF974" s="9"/>
    </row>
    <row r="975" spans="1:58" x14ac:dyDescent="0.25">
      <c r="A975" s="9" t="s">
        <v>84</v>
      </c>
      <c r="B975" s="9" t="s">
        <v>85</v>
      </c>
      <c r="C975" s="9" t="s">
        <v>1486</v>
      </c>
      <c r="D975" s="10">
        <v>45712</v>
      </c>
      <c r="E975" s="10">
        <v>45717</v>
      </c>
      <c r="F975" s="10">
        <v>45747</v>
      </c>
      <c r="G975" s="9">
        <v>3786740</v>
      </c>
      <c r="H975" s="9" t="str">
        <f t="shared" si="93"/>
        <v>Closed</v>
      </c>
      <c r="I975" s="9" t="str">
        <f t="shared" si="94"/>
        <v>All dates received</v>
      </c>
      <c r="J975" s="9" t="s">
        <v>225</v>
      </c>
      <c r="K975" s="9" t="s">
        <v>2084</v>
      </c>
      <c r="L975" s="11">
        <v>100</v>
      </c>
      <c r="M975" s="9" t="s">
        <v>2085</v>
      </c>
      <c r="N975" s="9"/>
      <c r="O975" s="9"/>
      <c r="P975" s="9"/>
      <c r="Q975" s="11">
        <v>60</v>
      </c>
      <c r="R975" s="9" t="s">
        <v>195</v>
      </c>
      <c r="S975" s="9" t="s">
        <v>228</v>
      </c>
      <c r="T975" s="12">
        <f>IF($H975="Cancelled","",IFERROR(((Q975+INDEX(Variables!$B$6:$D$6,IFERROR(MATCH(IF($B975="Robusta","Robusta",(IF($B975="","Arabica",$B975))&amp;" - "&amp;(IF($C975="","Commercial",$C975))),Variables!$B$1:$D$1,0),1)))*22.0462)*(L975/16.67),""))</f>
        <v>46393.563047390511</v>
      </c>
      <c r="U975" s="10"/>
      <c r="V975" s="9" t="str">
        <f t="shared" si="96"/>
        <v/>
      </c>
      <c r="W975" s="10">
        <v>45703</v>
      </c>
      <c r="X975" s="9" t="str">
        <f t="shared" si="92"/>
        <v>Approved</v>
      </c>
      <c r="Y975" s="10">
        <v>45731</v>
      </c>
      <c r="Z975" s="10">
        <f>IF($H975="Cancelled","",IFERROR(IF(F975="","",F975-Variables!$B$13),""))</f>
        <v>45732</v>
      </c>
      <c r="AA975" s="11">
        <f>IF($H975="Cancelled","",IFERROR(IF(W975="","",(AVERAGE(E975:F975)-W975)-Variables!$B$14),""))</f>
        <v>-1</v>
      </c>
      <c r="AB975" s="10">
        <v>45741</v>
      </c>
      <c r="AC975" s="11">
        <f>IF($H975="Cancelled","",IFERROR(IF(AB975="","",IF(AND(W975="",Y975=""),"",IF(Y975&gt;W975,Y975+Variables!$B$15+Variables!$B$16+Variables!$B$17-AB975,W975+Variables!$B$16+Variables!$B$17-AB975))),""))</f>
        <v>5</v>
      </c>
      <c r="AD975" s="9" t="s">
        <v>163</v>
      </c>
      <c r="AE975" s="9" t="s">
        <v>847</v>
      </c>
      <c r="AF975" s="10"/>
      <c r="AG975" s="10"/>
      <c r="AH975" s="9"/>
      <c r="AI975" s="9">
        <v>251410456</v>
      </c>
      <c r="AJ975" s="9" t="s">
        <v>2057</v>
      </c>
      <c r="AK975" s="10">
        <v>45753</v>
      </c>
      <c r="AL975" s="10">
        <v>45764</v>
      </c>
      <c r="AM975" s="10">
        <v>45764</v>
      </c>
      <c r="AN975" s="9" t="s">
        <v>1492</v>
      </c>
      <c r="AO975" s="9"/>
      <c r="AP975" s="11">
        <f>IF($H975="Cancelled","",IFERROR(IF(OR(AK975="",AB975=""),"",(AB975+Variables!$B$18-AK975)),""))</f>
        <v>-5</v>
      </c>
      <c r="AQ975" s="11">
        <f>IF($H975="Cancelled","",IFERROR(IF(OR(AM975="",AK975=""),"",(AK975+Variables!$B$19)-AM975),""))</f>
        <v>-6</v>
      </c>
      <c r="AR975" s="12">
        <f>IF($H975="Cancelled","",IFERROR(T975*INDEX(Variables!$B$7:$D$7,IFERROR(MATCH(IF($B975="Robusta","Robusta",(IF($B975="","Arabica",$B975))&amp;" - "&amp;(IF($C975="","Commercial",$C975))),Variables!$B$1:$D$1,0),1))*(AQ975/365),""))</f>
        <v>-49.176312511799082</v>
      </c>
      <c r="AS975" s="12">
        <f>IF($H975="Cancelled","",IFERROR((T975*INDEX(Variables!$B$7:$D$7,IFERROR(MATCH(IF($B975="Robusta","Robusta",(IF($B975="","Arabica",$B975))&amp;" - "&amp;(IF($C975="","Commercial",$C975))),Variables!$B$1:$D$1,0),1))*IFERROR(IF(W975="","",(AVERAGE(E975:F975)-W975)-Variables!$B$14),"")/365)+(L975/16.67*INDEX(Variables!$B$8:$D$8,IFERROR(MATCH(IF($B975="Robusta","Robusta",(IF($B975="","Arabica",$B975))&amp;" - "&amp;(IF($C975="","Commercial",$C975))),Variables!$B$1:$D$1,0),1))*IFERROR(IF(W975="","",(AVERAGE(E975:F975)-W975)-Variables!$B$14),""))+(T975*INDEX(Variables!$B$9:$D$9,IFERROR(MATCH(IF($B975="Robusta","Robusta",(IF($B975="","Arabica",$B975))&amp;" - "&amp;(IF($C975="","Commercial",$C975))),Variables!$B$1:$D$1,0),1))*IFERROR(IF(W975="","",(AVERAGE(E975:F975)-W975)-Variables!$B$14),"")/365),""))</f>
        <v>-13.301715013960933</v>
      </c>
      <c r="AT975" s="12">
        <f>IF($H975="Cancelled","",IFERROR((T975*INDEX(Variables!$B$7:$D$7,IFERROR(MATCH(IF($B975="Robusta","Robusta",(IF($B975="","Arabica",$B975))&amp;" - "&amp;(IF($C975="","Commercial",$C975))),Variables!$B$1:$D$1,0),1))*AC975/365)+(L975/16.67*INDEX(Variables!$B$8:$D$8,IFERROR(MATCH(IF($B975="Robusta","Robusta",(IF($B975="","Arabica",$B975))&amp;" - "&amp;(IF($C975="","Commercial",$C975))),Variables!$B$1:$D$1,0),1))*AC975)+(T975*INDEX(Variables!$B$9:$D$9,IFERROR(MATCH(IF($B975="Robusta","Robusta",(IF($B975="","Arabica",$B975))&amp;" - "&amp;(IF($C975="","Commercial",$C975))),Variables!$B$1:$D$1,0),1))*AC975/365),""))</f>
        <v>66.508575069804664</v>
      </c>
      <c r="AU975" s="12">
        <f>IF($H975="Cancelled","",IFERROR((T975*INDEX(Variables!$B$7:$D$7,IFERROR(MATCH(IF($B975="Robusta","Robusta",(IF($B975="","Arabica",$B975))&amp;" - "&amp;(IF($C975="","Commercial",$C975))),Variables!$B$1:$D$1,0),1))*AP975/365)+(L975/16.67*INDEX(Variables!$B$8:$D$8,IFERROR(MATCH(IF($B975="Robusta","Robusta",(IF($B975="","Arabica",$B975))&amp;" - "&amp;(IF($C975="","Commercial",$C975))),Variables!$B$1:$D$1,0),1))*AP975)+(T975*INDEX(Variables!$B$9:$D$9,IFERROR(MATCH(IF($B975="Robusta","Robusta",(IF($B975="","Arabica",$B975))&amp;" - "&amp;(IF($C975="","Commercial",$C975))),Variables!$B$1:$D$1,0),1))*AP975/365),""))</f>
        <v>-66.508575069804664</v>
      </c>
      <c r="AV975" s="11">
        <f t="shared" si="95"/>
        <v>-6</v>
      </c>
      <c r="AW975" s="12">
        <f>IF($H975="Cancelled","",IFERROR(IF(AV975="","",(T975*INDEX(Variables!$B$7:$D$7,IFERROR(MATCH(IF($B975="Robusta","Robusta",(IF($B975="","Arabica",$B975))&amp;" - "&amp;(IF($C975="","Commercial",$C975))),Variables!$B$1:$D$1,0),1))*(AV975/365))+(T975*INDEX(Variables!$B$9:$D$9,IFERROR(MATCH(IF($B975="Robusta","Robusta",(IF($B975="","Arabica",$B975))&amp;" - "&amp;(IF($C975="","Commercial",$C975))),Variables!$B$1:$D$1,0),1))*(AV975/365))+(INDEX(Variables!$B$8:$D$8,IFERROR(MATCH(IF($B975="Robusta","Robusta",(IF($B975="","Arabica",$B975))&amp;" - "&amp;(IF($C975="","Commercial",$C975))),Variables!$B$1:$D$1,0),1))*L975/16.67)),""))</f>
        <v>-44.810290083765587</v>
      </c>
      <c r="AX975" s="9"/>
      <c r="AY975" s="12"/>
      <c r="AZ975" s="10"/>
      <c r="BA975" s="9"/>
      <c r="BB975" s="10"/>
      <c r="BC975" s="9"/>
      <c r="BD975" s="9"/>
      <c r="BE975" s="9"/>
      <c r="BF975" s="9"/>
    </row>
    <row r="976" spans="1:58" x14ac:dyDescent="0.25">
      <c r="A976" s="9" t="s">
        <v>84</v>
      </c>
      <c r="B976" s="9" t="s">
        <v>85</v>
      </c>
      <c r="C976" s="9" t="s">
        <v>1486</v>
      </c>
      <c r="D976" s="10">
        <v>45712</v>
      </c>
      <c r="E976" s="10">
        <v>45717</v>
      </c>
      <c r="F976" s="10">
        <v>45747</v>
      </c>
      <c r="G976" s="9">
        <v>3786756</v>
      </c>
      <c r="H976" s="9" t="str">
        <f t="shared" si="93"/>
        <v>Closed</v>
      </c>
      <c r="I976" s="9" t="str">
        <f t="shared" si="94"/>
        <v>All dates received</v>
      </c>
      <c r="J976" s="9" t="s">
        <v>235</v>
      </c>
      <c r="K976" s="9" t="s">
        <v>2086</v>
      </c>
      <c r="L976" s="11">
        <v>20</v>
      </c>
      <c r="M976" s="9" t="s">
        <v>2087</v>
      </c>
      <c r="N976" s="9"/>
      <c r="O976" s="9"/>
      <c r="P976" s="9"/>
      <c r="Q976" s="11">
        <v>60</v>
      </c>
      <c r="R976" s="9" t="s">
        <v>90</v>
      </c>
      <c r="S976" s="9" t="s">
        <v>106</v>
      </c>
      <c r="T976" s="12">
        <f>IF($H976="Cancelled","",IFERROR(((Q976+INDEX(Variables!$B$6:$D$6,IFERROR(MATCH(IF($B976="Robusta","Robusta",(IF($B976="","Arabica",$B976))&amp;" - "&amp;(IF($C976="","Commercial",$C976))),Variables!$B$1:$D$1,0),1)))*22.0462)*(L976/16.67),""))</f>
        <v>9278.7126094781033</v>
      </c>
      <c r="U976" s="10"/>
      <c r="V976" s="9" t="str">
        <f t="shared" si="96"/>
        <v/>
      </c>
      <c r="W976" s="10">
        <v>45703</v>
      </c>
      <c r="X976" s="9" t="str">
        <f t="shared" si="92"/>
        <v>Approved</v>
      </c>
      <c r="Y976" s="10">
        <v>45731</v>
      </c>
      <c r="Z976" s="10">
        <f>IF($H976="Cancelled","",IFERROR(IF(F976="","",F976-Variables!$B$13),""))</f>
        <v>45732</v>
      </c>
      <c r="AA976" s="11">
        <f>IF($H976="Cancelled","",IFERROR(IF(W976="","",(AVERAGE(E976:F976)-W976)-Variables!$B$14),""))</f>
        <v>-1</v>
      </c>
      <c r="AB976" s="10">
        <v>45748</v>
      </c>
      <c r="AC976" s="11">
        <f>IF($H976="Cancelled","",IFERROR(IF(AB976="","",IF(AND(W976="",Y976=""),"",IF(Y976&gt;W976,Y976+Variables!$B$15+Variables!$B$16+Variables!$B$17-AB976,W976+Variables!$B$16+Variables!$B$17-AB976))),""))</f>
        <v>-2</v>
      </c>
      <c r="AD976" s="9" t="s">
        <v>163</v>
      </c>
      <c r="AE976" s="9" t="s">
        <v>324</v>
      </c>
      <c r="AF976" s="10"/>
      <c r="AG976" s="10"/>
      <c r="AH976" s="9"/>
      <c r="AI976" s="9">
        <v>252064493</v>
      </c>
      <c r="AJ976" s="9" t="s">
        <v>8</v>
      </c>
      <c r="AK976" s="10">
        <v>45754</v>
      </c>
      <c r="AL976" s="10">
        <v>45758</v>
      </c>
      <c r="AM976" s="10">
        <v>45772</v>
      </c>
      <c r="AN976" s="9" t="s">
        <v>1492</v>
      </c>
      <c r="AO976" s="9"/>
      <c r="AP976" s="11">
        <f>IF($H976="Cancelled","",IFERROR(IF(OR(AK976="",AB976=""),"",(AB976+Variables!$B$18-AK976)),""))</f>
        <v>1</v>
      </c>
      <c r="AQ976" s="11">
        <f>IF($H976="Cancelled","",IFERROR(IF(OR(AM976="",AK976=""),"",(AK976+Variables!$B$19)-AM976),""))</f>
        <v>-13</v>
      </c>
      <c r="AR976" s="12">
        <f>IF($H976="Cancelled","",IFERROR(T976*INDEX(Variables!$B$7:$D$7,IFERROR(MATCH(IF($B976="Robusta","Robusta",(IF($B976="","Arabica",$B976))&amp;" - "&amp;(IF($C976="","Commercial",$C976))),Variables!$B$1:$D$1,0),1))*(AQ976/365),""))</f>
        <v>-21.309735421779607</v>
      </c>
      <c r="AS976" s="12">
        <f>IF($H976="Cancelled","",IFERROR((T976*INDEX(Variables!$B$7:$D$7,IFERROR(MATCH(IF($B976="Robusta","Robusta",(IF($B976="","Arabica",$B976))&amp;" - "&amp;(IF($C976="","Commercial",$C976))),Variables!$B$1:$D$1,0),1))*IFERROR(IF(W976="","",(AVERAGE(E976:F976)-W976)-Variables!$B$14),"")/365)+(L976/16.67*INDEX(Variables!$B$8:$D$8,IFERROR(MATCH(IF($B976="Robusta","Robusta",(IF($B976="","Arabica",$B976))&amp;" - "&amp;(IF($C976="","Commercial",$C976))),Variables!$B$1:$D$1,0),1))*IFERROR(IF(W976="","",(AVERAGE(E976:F976)-W976)-Variables!$B$14),""))+(T976*INDEX(Variables!$B$9:$D$9,IFERROR(MATCH(IF($B976="Robusta","Robusta",(IF($B976="","Arabica",$B976))&amp;" - "&amp;(IF($C976="","Commercial",$C976))),Variables!$B$1:$D$1,0),1))*IFERROR(IF(W976="","",(AVERAGE(E976:F976)-W976)-Variables!$B$14),"")/365),""))</f>
        <v>-2.6603430027921866</v>
      </c>
      <c r="AT976" s="12">
        <f>IF($H976="Cancelled","",IFERROR((T976*INDEX(Variables!$B$7:$D$7,IFERROR(MATCH(IF($B976="Robusta","Robusta",(IF($B976="","Arabica",$B976))&amp;" - "&amp;(IF($C976="","Commercial",$C976))),Variables!$B$1:$D$1,0),1))*AC976/365)+(L976/16.67*INDEX(Variables!$B$8:$D$8,IFERROR(MATCH(IF($B976="Robusta","Robusta",(IF($B976="","Arabica",$B976))&amp;" - "&amp;(IF($C976="","Commercial",$C976))),Variables!$B$1:$D$1,0),1))*AC976)+(T976*INDEX(Variables!$B$9:$D$9,IFERROR(MATCH(IF($B976="Robusta","Robusta",(IF($B976="","Arabica",$B976))&amp;" - "&amp;(IF($C976="","Commercial",$C976))),Variables!$B$1:$D$1,0),1))*AC976/365),""))</f>
        <v>-5.3206860055843732</v>
      </c>
      <c r="AU976" s="12">
        <f>IF($H976="Cancelled","",IFERROR((T976*INDEX(Variables!$B$7:$D$7,IFERROR(MATCH(IF($B976="Robusta","Robusta",(IF($B976="","Arabica",$B976))&amp;" - "&amp;(IF($C976="","Commercial",$C976))),Variables!$B$1:$D$1,0),1))*AP976/365)+(L976/16.67*INDEX(Variables!$B$8:$D$8,IFERROR(MATCH(IF($B976="Robusta","Robusta",(IF($B976="","Arabica",$B976))&amp;" - "&amp;(IF($C976="","Commercial",$C976))),Variables!$B$1:$D$1,0),1))*AP976)+(T976*INDEX(Variables!$B$9:$D$9,IFERROR(MATCH(IF($B976="Robusta","Robusta",(IF($B976="","Arabica",$B976))&amp;" - "&amp;(IF($C976="","Commercial",$C976))),Variables!$B$1:$D$1,0),1))*AP976/365),""))</f>
        <v>2.6603430027921866</v>
      </c>
      <c r="AV976" s="11">
        <f t="shared" si="95"/>
        <v>-7</v>
      </c>
      <c r="AW976" s="12">
        <f>IF($H976="Cancelled","",IFERROR(IF(AV976="","",(T976*INDEX(Variables!$B$7:$D$7,IFERROR(MATCH(IF($B976="Robusta","Robusta",(IF($B976="","Arabica",$B976))&amp;" - "&amp;(IF($C976="","Commercial",$C976))),Variables!$B$1:$D$1,0),1))*(AV976/365))+(T976*INDEX(Variables!$B$9:$D$9,IFERROR(MATCH(IF($B976="Robusta","Robusta",(IF($B976="","Arabica",$B976))&amp;" - "&amp;(IF($C976="","Commercial",$C976))),Variables!$B$1:$D$1,0),1))*(AV976/365))+(INDEX(Variables!$B$8:$D$8,IFERROR(MATCH(IF($B976="Robusta","Robusta",(IF($B976="","Arabica",$B976))&amp;" - "&amp;(IF($C976="","Commercial",$C976))),Variables!$B$1:$D$1,0),1))*L976/16.67)),""))</f>
        <v>-10.622401019545306</v>
      </c>
      <c r="AX976" s="9"/>
      <c r="AY976" s="12"/>
      <c r="AZ976" s="10"/>
      <c r="BA976" s="9"/>
      <c r="BB976" s="10"/>
      <c r="BC976" s="9"/>
      <c r="BD976" s="9"/>
      <c r="BE976" s="9"/>
      <c r="BF976" s="9"/>
    </row>
    <row r="977" spans="1:58" x14ac:dyDescent="0.25">
      <c r="A977" s="9" t="s">
        <v>84</v>
      </c>
      <c r="B977" s="9" t="s">
        <v>85</v>
      </c>
      <c r="C977" s="9" t="s">
        <v>1486</v>
      </c>
      <c r="D977" s="10">
        <v>45712</v>
      </c>
      <c r="E977" s="10">
        <v>45717</v>
      </c>
      <c r="F977" s="10">
        <v>45747</v>
      </c>
      <c r="G977" s="9">
        <v>3786757</v>
      </c>
      <c r="H977" s="9" t="str">
        <f t="shared" si="93"/>
        <v>Closed</v>
      </c>
      <c r="I977" s="9" t="str">
        <f t="shared" si="94"/>
        <v>All dates received</v>
      </c>
      <c r="J977" s="9" t="s">
        <v>235</v>
      </c>
      <c r="K977" s="9" t="s">
        <v>2088</v>
      </c>
      <c r="L977" s="11">
        <v>20</v>
      </c>
      <c r="M977" s="9" t="s">
        <v>2087</v>
      </c>
      <c r="N977" s="9"/>
      <c r="O977" s="9"/>
      <c r="P977" s="9"/>
      <c r="Q977" s="11">
        <v>68</v>
      </c>
      <c r="R977" s="9" t="s">
        <v>90</v>
      </c>
      <c r="S977" s="9" t="s">
        <v>106</v>
      </c>
      <c r="T977" s="12">
        <f>IF($H977="Cancelled","",IFERROR(((Q977+INDEX(Variables!$B$6:$D$6,IFERROR(MATCH(IF($B977="Robusta","Robusta",(IF($B977="","Arabica",$B977))&amp;" - "&amp;(IF($C977="","Commercial",$C977))),Variables!$B$1:$D$1,0),1)))*22.0462)*(L977/16.67),""))</f>
        <v>9490.3138092381505</v>
      </c>
      <c r="U977" s="10"/>
      <c r="V977" s="9" t="str">
        <f t="shared" si="96"/>
        <v/>
      </c>
      <c r="W977" s="10">
        <v>45703</v>
      </c>
      <c r="X977" s="9" t="str">
        <f t="shared" si="92"/>
        <v>Approved</v>
      </c>
      <c r="Y977" s="10">
        <v>45731</v>
      </c>
      <c r="Z977" s="10">
        <f>IF($H977="Cancelled","",IFERROR(IF(F977="","",F977-Variables!$B$13),""))</f>
        <v>45732</v>
      </c>
      <c r="AA977" s="11">
        <f>IF($H977="Cancelled","",IFERROR(IF(W977="","",(AVERAGE(E977:F977)-W977)-Variables!$B$14),""))</f>
        <v>-1</v>
      </c>
      <c r="AB977" s="10">
        <v>45748</v>
      </c>
      <c r="AC977" s="11">
        <f>IF($H977="Cancelled","",IFERROR(IF(AB977="","",IF(AND(W977="",Y977=""),"",IF(Y977&gt;W977,Y977+Variables!$B$15+Variables!$B$16+Variables!$B$17-AB977,W977+Variables!$B$16+Variables!$B$17-AB977))),""))</f>
        <v>-2</v>
      </c>
      <c r="AD977" s="9" t="s">
        <v>163</v>
      </c>
      <c r="AE977" s="9" t="s">
        <v>324</v>
      </c>
      <c r="AF977" s="10"/>
      <c r="AG977" s="10"/>
      <c r="AH977" s="9"/>
      <c r="AI977" s="9">
        <v>252064493</v>
      </c>
      <c r="AJ977" s="9" t="s">
        <v>8</v>
      </c>
      <c r="AK977" s="10">
        <v>45754</v>
      </c>
      <c r="AL977" s="10">
        <v>45758</v>
      </c>
      <c r="AM977" s="10">
        <v>45772</v>
      </c>
      <c r="AN977" s="9" t="s">
        <v>1492</v>
      </c>
      <c r="AO977" s="9"/>
      <c r="AP977" s="11">
        <f>IF($H977="Cancelled","",IFERROR(IF(OR(AK977="",AB977=""),"",(AB977+Variables!$B$18-AK977)),""))</f>
        <v>1</v>
      </c>
      <c r="AQ977" s="11">
        <f>IF($H977="Cancelled","",IFERROR(IF(OR(AM977="",AK977=""),"",(AK977+Variables!$B$19)-AM977),""))</f>
        <v>-13</v>
      </c>
      <c r="AR977" s="12">
        <f>IF($H977="Cancelled","",IFERROR(T977*INDEX(Variables!$B$7:$D$7,IFERROR(MATCH(IF($B977="Robusta","Robusta",(IF($B977="","Arabica",$B977))&amp;" - "&amp;(IF($C977="","Commercial",$C977))),Variables!$B$1:$D$1,0),1))*(AQ977/365),""))</f>
        <v>-21.79570430254995</v>
      </c>
      <c r="AS977" s="12">
        <f>IF($H977="Cancelled","",IFERROR((T977*INDEX(Variables!$B$7:$D$7,IFERROR(MATCH(IF($B977="Robusta","Robusta",(IF($B977="","Arabica",$B977))&amp;" - "&amp;(IF($C977="","Commercial",$C977))),Variables!$B$1:$D$1,0),1))*IFERROR(IF(W977="","",(AVERAGE(E977:F977)-W977)-Variables!$B$14),"")/365)+(L977/16.67*INDEX(Variables!$B$8:$D$8,IFERROR(MATCH(IF($B977="Robusta","Robusta",(IF($B977="","Arabica",$B977))&amp;" - "&amp;(IF($C977="","Commercial",$C977))),Variables!$B$1:$D$1,0),1))*IFERROR(IF(W977="","",(AVERAGE(E977:F977)-W977)-Variables!$B$14),""))+(T977*INDEX(Variables!$B$9:$D$9,IFERROR(MATCH(IF($B977="Robusta","Robusta",(IF($B977="","Arabica",$B977))&amp;" - "&amp;(IF($C977="","Commercial",$C977))),Variables!$B$1:$D$1,0),1))*IFERROR(IF(W977="","",(AVERAGE(E977:F977)-W977)-Variables!$B$14),"")/365),""))</f>
        <v>-2.6982071533689753</v>
      </c>
      <c r="AT977" s="12">
        <f>IF($H977="Cancelled","",IFERROR((T977*INDEX(Variables!$B$7:$D$7,IFERROR(MATCH(IF($B977="Robusta","Robusta",(IF($B977="","Arabica",$B977))&amp;" - "&amp;(IF($C977="","Commercial",$C977))),Variables!$B$1:$D$1,0),1))*AC977/365)+(L977/16.67*INDEX(Variables!$B$8:$D$8,IFERROR(MATCH(IF($B977="Robusta","Robusta",(IF($B977="","Arabica",$B977))&amp;" - "&amp;(IF($C977="","Commercial",$C977))),Variables!$B$1:$D$1,0),1))*AC977)+(T977*INDEX(Variables!$B$9:$D$9,IFERROR(MATCH(IF($B977="Robusta","Robusta",(IF($B977="","Arabica",$B977))&amp;" - "&amp;(IF($C977="","Commercial",$C977))),Variables!$B$1:$D$1,0),1))*AC977/365),""))</f>
        <v>-5.3964143067379506</v>
      </c>
      <c r="AU977" s="12">
        <f>IF($H977="Cancelled","",IFERROR((T977*INDEX(Variables!$B$7:$D$7,IFERROR(MATCH(IF($B977="Robusta","Robusta",(IF($B977="","Arabica",$B977))&amp;" - "&amp;(IF($C977="","Commercial",$C977))),Variables!$B$1:$D$1,0),1))*AP977/365)+(L977/16.67*INDEX(Variables!$B$8:$D$8,IFERROR(MATCH(IF($B977="Robusta","Robusta",(IF($B977="","Arabica",$B977))&amp;" - "&amp;(IF($C977="","Commercial",$C977))),Variables!$B$1:$D$1,0),1))*AP977)+(T977*INDEX(Variables!$B$9:$D$9,IFERROR(MATCH(IF($B977="Robusta","Robusta",(IF($B977="","Arabica",$B977))&amp;" - "&amp;(IF($C977="","Commercial",$C977))),Variables!$B$1:$D$1,0),1))*AP977/365),""))</f>
        <v>2.6982071533689753</v>
      </c>
      <c r="AV977" s="11">
        <f t="shared" si="95"/>
        <v>-7</v>
      </c>
      <c r="AW977" s="12">
        <f>IF($H977="Cancelled","",IFERROR(IF(AV977="","",(T977*INDEX(Variables!$B$7:$D$7,IFERROR(MATCH(IF($B977="Robusta","Robusta",(IF($B977="","Arabica",$B977))&amp;" - "&amp;(IF($C977="","Commercial",$C977))),Variables!$B$1:$D$1,0),1))*(AV977/365))+(T977*INDEX(Variables!$B$9:$D$9,IFERROR(MATCH(IF($B977="Robusta","Robusta",(IF($B977="","Arabica",$B977))&amp;" - "&amp;(IF($C977="","Commercial",$C977))),Variables!$B$1:$D$1,0),1))*(AV977/365))+(INDEX(Variables!$B$8:$D$8,IFERROR(MATCH(IF($B977="Robusta","Robusta",(IF($B977="","Arabica",$B977))&amp;" - "&amp;(IF($C977="","Commercial",$C977))),Variables!$B$1:$D$1,0),1))*L977/16.67)),""))</f>
        <v>-10.887450073582826</v>
      </c>
      <c r="AX977" s="9"/>
      <c r="AY977" s="12"/>
      <c r="AZ977" s="10"/>
      <c r="BA977" s="9"/>
      <c r="BB977" s="10"/>
      <c r="BC977" s="9"/>
      <c r="BD977" s="9"/>
      <c r="BE977" s="9"/>
      <c r="BF977" s="9"/>
    </row>
    <row r="978" spans="1:58" x14ac:dyDescent="0.25">
      <c r="A978" s="9" t="s">
        <v>84</v>
      </c>
      <c r="B978" s="9" t="s">
        <v>85</v>
      </c>
      <c r="C978" s="9" t="s">
        <v>1486</v>
      </c>
      <c r="D978" s="10">
        <v>45712</v>
      </c>
      <c r="E978" s="10">
        <v>45717</v>
      </c>
      <c r="F978" s="10">
        <v>45747</v>
      </c>
      <c r="G978" s="9">
        <v>3786758</v>
      </c>
      <c r="H978" s="9" t="str">
        <f t="shared" si="93"/>
        <v>Closed</v>
      </c>
      <c r="I978" s="9" t="str">
        <f t="shared" si="94"/>
        <v>All dates received</v>
      </c>
      <c r="J978" s="9" t="s">
        <v>235</v>
      </c>
      <c r="K978" s="9" t="s">
        <v>2089</v>
      </c>
      <c r="L978" s="11">
        <v>111</v>
      </c>
      <c r="M978" s="9" t="s">
        <v>2090</v>
      </c>
      <c r="N978" s="9"/>
      <c r="O978" s="9"/>
      <c r="P978" s="9"/>
      <c r="Q978" s="11">
        <v>59</v>
      </c>
      <c r="R978" s="9" t="s">
        <v>90</v>
      </c>
      <c r="S978" s="9" t="s">
        <v>106</v>
      </c>
      <c r="T978" s="12">
        <f>IF($H978="Cancelled","",IFERROR(((Q978+INDEX(Variables!$B$6:$D$6,IFERROR(MATCH(IF($B978="Robusta","Robusta",(IF($B978="","Arabica",$B978))&amp;" - "&amp;(IF($C978="","Commercial",$C978))),Variables!$B$1:$D$1,0),1)))*22.0462)*(L978/16.67),""))</f>
        <v>51350.056650269944</v>
      </c>
      <c r="U978" s="10"/>
      <c r="V978" s="9" t="str">
        <f t="shared" si="96"/>
        <v/>
      </c>
      <c r="W978" s="10">
        <v>45703</v>
      </c>
      <c r="X978" s="9" t="str">
        <f t="shared" si="92"/>
        <v>Approved</v>
      </c>
      <c r="Y978" s="10">
        <v>45731</v>
      </c>
      <c r="Z978" s="10">
        <f>IF($H978="Cancelled","",IFERROR(IF(F978="","",F978-Variables!$B$13),""))</f>
        <v>45732</v>
      </c>
      <c r="AA978" s="11">
        <f>IF($H978="Cancelled","",IFERROR(IF(W978="","",(AVERAGE(E978:F978)-W978)-Variables!$B$14),""))</f>
        <v>-1</v>
      </c>
      <c r="AB978" s="10">
        <v>45748</v>
      </c>
      <c r="AC978" s="11">
        <f>IF($H978="Cancelled","",IFERROR(IF(AB978="","",IF(AND(W978="",Y978=""),"",IF(Y978&gt;W978,Y978+Variables!$B$15+Variables!$B$16+Variables!$B$17-AB978,W978+Variables!$B$16+Variables!$B$17-AB978))),""))</f>
        <v>-2</v>
      </c>
      <c r="AD978" s="9" t="s">
        <v>163</v>
      </c>
      <c r="AE978" s="9" t="s">
        <v>324</v>
      </c>
      <c r="AF978" s="10"/>
      <c r="AG978" s="10"/>
      <c r="AH978" s="9"/>
      <c r="AI978" s="9">
        <v>252064493</v>
      </c>
      <c r="AJ978" s="9" t="s">
        <v>8</v>
      </c>
      <c r="AK978" s="10">
        <v>45754</v>
      </c>
      <c r="AL978" s="10">
        <v>45758</v>
      </c>
      <c r="AM978" s="10">
        <v>45772</v>
      </c>
      <c r="AN978" s="9" t="s">
        <v>1492</v>
      </c>
      <c r="AO978" s="9"/>
      <c r="AP978" s="11">
        <f>IF($H978="Cancelled","",IFERROR(IF(OR(AK978="",AB978=""),"",(AB978+Variables!$B$18-AK978)),""))</f>
        <v>1</v>
      </c>
      <c r="AQ978" s="11">
        <f>IF($H978="Cancelled","",IFERROR(IF(OR(AM978="",AK978=""),"",(AK978+Variables!$B$19)-AM978),""))</f>
        <v>-13</v>
      </c>
      <c r="AR978" s="12">
        <f>IF($H978="Cancelled","",IFERROR(T978*INDEX(Variables!$B$7:$D$7,IFERROR(MATCH(IF($B978="Robusta","Robusta",(IF($B978="","Arabica",$B978))&amp;" - "&amp;(IF($C978="","Commercial",$C978))),Variables!$B$1:$D$1,0),1))*(AQ978/365),""))</f>
        <v>-117.9318906798424</v>
      </c>
      <c r="AS978" s="12">
        <f>IF($H978="Cancelled","",IFERROR((T978*INDEX(Variables!$B$7:$D$7,IFERROR(MATCH(IF($B978="Robusta","Robusta",(IF($B978="","Arabica",$B978))&amp;" - "&amp;(IF($C978="","Commercial",$C978))),Variables!$B$1:$D$1,0),1))*IFERROR(IF(W978="","",(AVERAGE(E978:F978)-W978)-Variables!$B$14),"")/365)+(L978/16.67*INDEX(Variables!$B$8:$D$8,IFERROR(MATCH(IF($B978="Robusta","Robusta",(IF($B978="","Arabica",$B978))&amp;" - "&amp;(IF($C978="","Commercial",$C978))),Variables!$B$1:$D$1,0),1))*IFERROR(IF(W978="","",(AVERAGE(E978:F978)-W978)-Variables!$B$14),""))+(T978*INDEX(Variables!$B$9:$D$9,IFERROR(MATCH(IF($B978="Robusta","Robusta",(IF($B978="","Arabica",$B978))&amp;" - "&amp;(IF($C978="","Commercial",$C978))),Variables!$B$1:$D$1,0),1))*IFERROR(IF(W978="","",(AVERAGE(E978:F978)-W978)-Variables!$B$14),"")/365),""))</f>
        <v>-14.738635411033991</v>
      </c>
      <c r="AT978" s="12">
        <f>IF($H978="Cancelled","",IFERROR((T978*INDEX(Variables!$B$7:$D$7,IFERROR(MATCH(IF($B978="Robusta","Robusta",(IF($B978="","Arabica",$B978))&amp;" - "&amp;(IF($C978="","Commercial",$C978))),Variables!$B$1:$D$1,0),1))*AC978/365)+(L978/16.67*INDEX(Variables!$B$8:$D$8,IFERROR(MATCH(IF($B978="Robusta","Robusta",(IF($B978="","Arabica",$B978))&amp;" - "&amp;(IF($C978="","Commercial",$C978))),Variables!$B$1:$D$1,0),1))*AC978)+(T978*INDEX(Variables!$B$9:$D$9,IFERROR(MATCH(IF($B978="Robusta","Robusta",(IF($B978="","Arabica",$B978))&amp;" - "&amp;(IF($C978="","Commercial",$C978))),Variables!$B$1:$D$1,0),1))*AC978/365),""))</f>
        <v>-29.477270822067982</v>
      </c>
      <c r="AU978" s="12">
        <f>IF($H978="Cancelled","",IFERROR((T978*INDEX(Variables!$B$7:$D$7,IFERROR(MATCH(IF($B978="Robusta","Robusta",(IF($B978="","Arabica",$B978))&amp;" - "&amp;(IF($C978="","Commercial",$C978))),Variables!$B$1:$D$1,0),1))*AP978/365)+(L978/16.67*INDEX(Variables!$B$8:$D$8,IFERROR(MATCH(IF($B978="Robusta","Robusta",(IF($B978="","Arabica",$B978))&amp;" - "&amp;(IF($C978="","Commercial",$C978))),Variables!$B$1:$D$1,0),1))*AP978)+(T978*INDEX(Variables!$B$9:$D$9,IFERROR(MATCH(IF($B978="Robusta","Robusta",(IF($B978="","Arabica",$B978))&amp;" - "&amp;(IF($C978="","Commercial",$C978))),Variables!$B$1:$D$1,0),1))*AP978/365),""))</f>
        <v>14.738635411033991</v>
      </c>
      <c r="AV978" s="11">
        <f t="shared" si="95"/>
        <v>-7</v>
      </c>
      <c r="AW978" s="12">
        <f>IF($H978="Cancelled","",IFERROR(IF(AV978="","",(T978*INDEX(Variables!$B$7:$D$7,IFERROR(MATCH(IF($B978="Robusta","Robusta",(IF($B978="","Arabica",$B978))&amp;" - "&amp;(IF($C978="","Commercial",$C978))),Variables!$B$1:$D$1,0),1))*(AV978/365))+(T978*INDEX(Variables!$B$9:$D$9,IFERROR(MATCH(IF($B978="Robusta","Robusta",(IF($B978="","Arabica",$B978))&amp;" - "&amp;(IF($C978="","Commercial",$C978))),Variables!$B$1:$D$1,0),1))*(AV978/365))+(INDEX(Variables!$B$8:$D$8,IFERROR(MATCH(IF($B978="Robusta","Robusta",(IF($B978="","Arabica",$B978))&amp;" - "&amp;(IF($C978="","Commercial",$C978))),Variables!$B$1:$D$1,0),1))*L978/16.67)),""))</f>
        <v>-58.770447877237942</v>
      </c>
      <c r="AX978" s="9"/>
      <c r="AY978" s="12"/>
      <c r="AZ978" s="10"/>
      <c r="BA978" s="9"/>
      <c r="BB978" s="10"/>
      <c r="BC978" s="9"/>
      <c r="BD978" s="9"/>
      <c r="BE978" s="9"/>
      <c r="BF978" s="9"/>
    </row>
    <row r="979" spans="1:58" x14ac:dyDescent="0.25">
      <c r="A979" s="9" t="s">
        <v>84</v>
      </c>
      <c r="B979" s="9" t="s">
        <v>85</v>
      </c>
      <c r="C979" s="9" t="s">
        <v>1486</v>
      </c>
      <c r="D979" s="10">
        <v>45712</v>
      </c>
      <c r="E979" s="10">
        <v>45717</v>
      </c>
      <c r="F979" s="10">
        <v>45747</v>
      </c>
      <c r="G979" s="9">
        <v>3786759</v>
      </c>
      <c r="H979" s="9" t="str">
        <f t="shared" si="93"/>
        <v>Closed</v>
      </c>
      <c r="I979" s="9" t="str">
        <f t="shared" si="94"/>
        <v>All dates received</v>
      </c>
      <c r="J979" s="9" t="s">
        <v>235</v>
      </c>
      <c r="K979" s="9" t="s">
        <v>2091</v>
      </c>
      <c r="L979" s="11">
        <v>60</v>
      </c>
      <c r="M979" s="9" t="s">
        <v>2090</v>
      </c>
      <c r="N979" s="9"/>
      <c r="O979" s="9"/>
      <c r="P979" s="9"/>
      <c r="Q979" s="11">
        <v>46</v>
      </c>
      <c r="R979" s="9" t="s">
        <v>90</v>
      </c>
      <c r="S979" s="9" t="s">
        <v>106</v>
      </c>
      <c r="T979" s="12">
        <f>IF($H979="Cancelled","",IFERROR(((Q979+INDEX(Variables!$B$6:$D$6,IFERROR(MATCH(IF($B979="Robusta","Robusta",(IF($B979="","Arabica",$B979))&amp;" - "&amp;(IF($C979="","Commercial",$C979))),Variables!$B$1:$D$1,0),1)))*22.0462)*(L979/16.67),""))</f>
        <v>26725.231529694058</v>
      </c>
      <c r="U979" s="10"/>
      <c r="V979" s="9" t="str">
        <f t="shared" si="96"/>
        <v/>
      </c>
      <c r="W979" s="10">
        <v>45703</v>
      </c>
      <c r="X979" s="9" t="str">
        <f t="shared" si="92"/>
        <v>Approved</v>
      </c>
      <c r="Y979" s="10">
        <v>45731</v>
      </c>
      <c r="Z979" s="10">
        <f>IF($H979="Cancelled","",IFERROR(IF(F979="","",F979-Variables!$B$13),""))</f>
        <v>45732</v>
      </c>
      <c r="AA979" s="11">
        <f>IF($H979="Cancelled","",IFERROR(IF(W979="","",(AVERAGE(E979:F979)-W979)-Variables!$B$14),""))</f>
        <v>-1</v>
      </c>
      <c r="AB979" s="10">
        <v>45748</v>
      </c>
      <c r="AC979" s="11">
        <f>IF($H979="Cancelled","",IFERROR(IF(AB979="","",IF(AND(W979="",Y979=""),"",IF(Y979&gt;W979,Y979+Variables!$B$15+Variables!$B$16+Variables!$B$17-AB979,W979+Variables!$B$16+Variables!$B$17-AB979))),""))</f>
        <v>-2</v>
      </c>
      <c r="AD979" s="9" t="s">
        <v>163</v>
      </c>
      <c r="AE979" s="9" t="s">
        <v>324</v>
      </c>
      <c r="AF979" s="10"/>
      <c r="AG979" s="10"/>
      <c r="AH979" s="9"/>
      <c r="AI979" s="9">
        <v>252064493</v>
      </c>
      <c r="AJ979" s="9" t="s">
        <v>8</v>
      </c>
      <c r="AK979" s="10">
        <v>45754</v>
      </c>
      <c r="AL979" s="10">
        <v>45758</v>
      </c>
      <c r="AM979" s="10">
        <v>45772</v>
      </c>
      <c r="AN979" s="9" t="s">
        <v>1492</v>
      </c>
      <c r="AO979" s="9"/>
      <c r="AP979" s="11">
        <f>IF($H979="Cancelled","",IFERROR(IF(OR(AK979="",AB979=""),"",(AB979+Variables!$B$18-AK979)),""))</f>
        <v>1</v>
      </c>
      <c r="AQ979" s="11">
        <f>IF($H979="Cancelled","",IFERROR(IF(OR(AM979="",AK979=""),"",(AK979+Variables!$B$19)-AM979),""))</f>
        <v>-13</v>
      </c>
      <c r="AR979" s="12">
        <f>IF($H979="Cancelled","",IFERROR(T979*INDEX(Variables!$B$7:$D$7,IFERROR(MATCH(IF($B979="Robusta","Robusta",(IF($B979="","Arabica",$B979))&amp;" - "&amp;(IF($C979="","Commercial",$C979))),Variables!$B$1:$D$1,0),1))*(AQ979/365),""))</f>
        <v>-61.37786964129451</v>
      </c>
      <c r="AS979" s="12">
        <f>IF($H979="Cancelled","",IFERROR((T979*INDEX(Variables!$B$7:$D$7,IFERROR(MATCH(IF($B979="Robusta","Robusta",(IF($B979="","Arabica",$B979))&amp;" - "&amp;(IF($C979="","Commercial",$C979))),Variables!$B$1:$D$1,0),1))*IFERROR(IF(W979="","",(AVERAGE(E979:F979)-W979)-Variables!$B$14),"")/365)+(L979/16.67*INDEX(Variables!$B$8:$D$8,IFERROR(MATCH(IF($B979="Robusta","Robusta",(IF($B979="","Arabica",$B979))&amp;" - "&amp;(IF($C979="","Commercial",$C979))),Variables!$B$1:$D$1,0),1))*IFERROR(IF(W979="","",(AVERAGE(E979:F979)-W979)-Variables!$B$14),""))+(T979*INDEX(Variables!$B$9:$D$9,IFERROR(MATCH(IF($B979="Robusta","Robusta",(IF($B979="","Arabica",$B979))&amp;" - "&amp;(IF($C979="","Commercial",$C979))),Variables!$B$1:$D$1,0),1))*IFERROR(IF(W979="","",(AVERAGE(E979:F979)-W979)-Variables!$B$14),"")/365),""))</f>
        <v>-7.7822422178484185</v>
      </c>
      <c r="AT979" s="12">
        <f>IF($H979="Cancelled","",IFERROR((T979*INDEX(Variables!$B$7:$D$7,IFERROR(MATCH(IF($B979="Robusta","Robusta",(IF($B979="","Arabica",$B979))&amp;" - "&amp;(IF($C979="","Commercial",$C979))),Variables!$B$1:$D$1,0),1))*AC979/365)+(L979/16.67*INDEX(Variables!$B$8:$D$8,IFERROR(MATCH(IF($B979="Robusta","Robusta",(IF($B979="","Arabica",$B979))&amp;" - "&amp;(IF($C979="","Commercial",$C979))),Variables!$B$1:$D$1,0),1))*AC979)+(T979*INDEX(Variables!$B$9:$D$9,IFERROR(MATCH(IF($B979="Robusta","Robusta",(IF($B979="","Arabica",$B979))&amp;" - "&amp;(IF($C979="","Commercial",$C979))),Variables!$B$1:$D$1,0),1))*AC979/365),""))</f>
        <v>-15.564484435696837</v>
      </c>
      <c r="AU979" s="12">
        <f>IF($H979="Cancelled","",IFERROR((T979*INDEX(Variables!$B$7:$D$7,IFERROR(MATCH(IF($B979="Robusta","Robusta",(IF($B979="","Arabica",$B979))&amp;" - "&amp;(IF($C979="","Commercial",$C979))),Variables!$B$1:$D$1,0),1))*AP979/365)+(L979/16.67*INDEX(Variables!$B$8:$D$8,IFERROR(MATCH(IF($B979="Robusta","Robusta",(IF($B979="","Arabica",$B979))&amp;" - "&amp;(IF($C979="","Commercial",$C979))),Variables!$B$1:$D$1,0),1))*AP979)+(T979*INDEX(Variables!$B$9:$D$9,IFERROR(MATCH(IF($B979="Robusta","Robusta",(IF($B979="","Arabica",$B979))&amp;" - "&amp;(IF($C979="","Commercial",$C979))),Variables!$B$1:$D$1,0),1))*AP979/365),""))</f>
        <v>7.7822422178484185</v>
      </c>
      <c r="AV979" s="11">
        <f t="shared" si="95"/>
        <v>-7</v>
      </c>
      <c r="AW979" s="12">
        <f>IF($H979="Cancelled","",IFERROR(IF(AV979="","",(T979*INDEX(Variables!$B$7:$D$7,IFERROR(MATCH(IF($B979="Robusta","Robusta",(IF($B979="","Arabica",$B979))&amp;" - "&amp;(IF($C979="","Commercial",$C979))),Variables!$B$1:$D$1,0),1))*(AV979/365))+(T979*INDEX(Variables!$B$9:$D$9,IFERROR(MATCH(IF($B979="Robusta","Robusta",(IF($B979="","Arabica",$B979))&amp;" - "&amp;(IF($C979="","Commercial",$C979))),Variables!$B$1:$D$1,0),1))*(AV979/365))+(INDEX(Variables!$B$8:$D$8,IFERROR(MATCH(IF($B979="Robusta","Robusta",(IF($B979="","Arabica",$B979))&amp;" - "&amp;(IF($C979="","Commercial",$C979))),Variables!$B$1:$D$1,0),1))*L979/16.67)),""))</f>
        <v>-30.475695524938935</v>
      </c>
      <c r="AX979" s="9"/>
      <c r="AY979" s="12"/>
      <c r="AZ979" s="10"/>
      <c r="BA979" s="9"/>
      <c r="BB979" s="10"/>
      <c r="BC979" s="9"/>
      <c r="BD979" s="9"/>
      <c r="BE979" s="9"/>
      <c r="BF979" s="9"/>
    </row>
    <row r="980" spans="1:58" x14ac:dyDescent="0.25">
      <c r="A980" s="9" t="s">
        <v>84</v>
      </c>
      <c r="B980" s="9" t="s">
        <v>85</v>
      </c>
      <c r="C980" s="9" t="s">
        <v>1486</v>
      </c>
      <c r="D980" s="10">
        <v>45712</v>
      </c>
      <c r="E980" s="10">
        <v>45717</v>
      </c>
      <c r="F980" s="10">
        <v>45747</v>
      </c>
      <c r="G980" s="9">
        <v>3786746</v>
      </c>
      <c r="H980" s="9" t="str">
        <f t="shared" si="93"/>
        <v>Closed</v>
      </c>
      <c r="I980" s="9" t="str">
        <f t="shared" si="94"/>
        <v>All dates received</v>
      </c>
      <c r="J980" s="9" t="s">
        <v>2092</v>
      </c>
      <c r="K980" s="9" t="s">
        <v>2093</v>
      </c>
      <c r="L980" s="11">
        <v>37</v>
      </c>
      <c r="M980" s="9" t="s">
        <v>2094</v>
      </c>
      <c r="N980" s="9"/>
      <c r="O980" s="9"/>
      <c r="P980" s="9"/>
      <c r="Q980" s="11">
        <v>27</v>
      </c>
      <c r="R980" s="9" t="s">
        <v>195</v>
      </c>
      <c r="S980" s="9" t="s">
        <v>578</v>
      </c>
      <c r="T980" s="12">
        <f>IF($H980="Cancelled","",IFERROR(((Q980+INDEX(Variables!$B$6:$D$6,IFERROR(MATCH(IF($B980="Robusta","Robusta",(IF($B980="","Arabica",$B980))&amp;" - "&amp;(IF($C980="","Commercial",$C980))),Variables!$B$1:$D$1,0),1)))*22.0462)*(L980/16.67),""))</f>
        <v>15550.836671865625</v>
      </c>
      <c r="U980" s="10"/>
      <c r="V980" s="9" t="str">
        <f t="shared" si="96"/>
        <v/>
      </c>
      <c r="W980" s="10">
        <v>45703</v>
      </c>
      <c r="X980" s="9" t="str">
        <f t="shared" si="92"/>
        <v>Approved</v>
      </c>
      <c r="Y980" s="10">
        <v>45731</v>
      </c>
      <c r="Z980" s="10">
        <f>IF($H980="Cancelled","",IFERROR(IF(F980="","",F980-Variables!$B$13),""))</f>
        <v>45732</v>
      </c>
      <c r="AA980" s="11">
        <f>IF($H980="Cancelled","",IFERROR(IF(W980="","",(AVERAGE(E980:F980)-W980)-Variables!$B$14),""))</f>
        <v>-1</v>
      </c>
      <c r="AB980" s="10">
        <v>45772</v>
      </c>
      <c r="AC980" s="11">
        <f>IF($H980="Cancelled","",IFERROR(IF(AB980="","",IF(AND(W980="",Y980=""),"",IF(Y980&gt;W980,Y980+Variables!$B$15+Variables!$B$16+Variables!$B$17-AB980,W980+Variables!$B$16+Variables!$B$17-AB980))),""))</f>
        <v>-26</v>
      </c>
      <c r="AD980" s="9" t="s">
        <v>163</v>
      </c>
      <c r="AE980" s="9" t="s">
        <v>770</v>
      </c>
      <c r="AF980" s="10"/>
      <c r="AG980" s="10"/>
      <c r="AH980" s="9"/>
      <c r="AI980" s="9">
        <v>253228716</v>
      </c>
      <c r="AJ980" s="9" t="s">
        <v>8</v>
      </c>
      <c r="AK980" s="10">
        <v>45782</v>
      </c>
      <c r="AL980" s="10">
        <v>45793</v>
      </c>
      <c r="AM980" s="10">
        <v>45793</v>
      </c>
      <c r="AN980" s="9" t="s">
        <v>1492</v>
      </c>
      <c r="AO980" s="9"/>
      <c r="AP980" s="11">
        <f>IF($H980="Cancelled","",IFERROR(IF(OR(AK980="",AB980=""),"",(AB980+Variables!$B$18-AK980)),""))</f>
        <v>-3</v>
      </c>
      <c r="AQ980" s="11">
        <f>IF($H980="Cancelled","",IFERROR(IF(OR(AM980="",AK980=""),"",(AK980+Variables!$B$19)-AM980),""))</f>
        <v>-6</v>
      </c>
      <c r="AR980" s="12">
        <f>IF($H980="Cancelled","",IFERROR(T980*INDEX(Variables!$B$7:$D$7,IFERROR(MATCH(IF($B980="Robusta","Robusta",(IF($B980="","Arabica",$B980))&amp;" - "&amp;(IF($C980="","Commercial",$C980))),Variables!$B$1:$D$1,0),1))*(AQ980/365),""))</f>
        <v>-16.483597157960112</v>
      </c>
      <c r="AS980" s="12">
        <f>IF($H980="Cancelled","",IFERROR((T980*INDEX(Variables!$B$7:$D$7,IFERROR(MATCH(IF($B980="Robusta","Robusta",(IF($B980="","Arabica",$B980))&amp;" - "&amp;(IF($C980="","Commercial",$C980))),Variables!$B$1:$D$1,0),1))*IFERROR(IF(W980="","",(AVERAGE(E980:F980)-W980)-Variables!$B$14),"")/365)+(L980/16.67*INDEX(Variables!$B$8:$D$8,IFERROR(MATCH(IF($B980="Robusta","Robusta",(IF($B980="","Arabica",$B980))&amp;" - "&amp;(IF($C980="","Commercial",$C980))),Variables!$B$1:$D$1,0),1))*IFERROR(IF(W980="","",(AVERAGE(E980:F980)-W980)-Variables!$B$14),""))+(T980*INDEX(Variables!$B$9:$D$9,IFERROR(MATCH(IF($B980="Robusta","Robusta",(IF($B980="","Arabica",$B980))&amp;" - "&amp;(IF($C980="","Commercial",$C980))),Variables!$B$1:$D$1,0),1))*IFERROR(IF(W980="","",(AVERAGE(E980:F980)-W980)-Variables!$B$14),"")/365),""))</f>
        <v>-4.6326837560764256</v>
      </c>
      <c r="AT980" s="12">
        <f>IF($H980="Cancelled","",IFERROR((T980*INDEX(Variables!$B$7:$D$7,IFERROR(MATCH(IF($B980="Robusta","Robusta",(IF($B980="","Arabica",$B980))&amp;" - "&amp;(IF($C980="","Commercial",$C980))),Variables!$B$1:$D$1,0),1))*AC980/365)+(L980/16.67*INDEX(Variables!$B$8:$D$8,IFERROR(MATCH(IF($B980="Robusta","Robusta",(IF($B980="","Arabica",$B980))&amp;" - "&amp;(IF($C980="","Commercial",$C980))),Variables!$B$1:$D$1,0),1))*AC980)+(T980*INDEX(Variables!$B$9:$D$9,IFERROR(MATCH(IF($B980="Robusta","Robusta",(IF($B980="","Arabica",$B980))&amp;" - "&amp;(IF($C980="","Commercial",$C980))),Variables!$B$1:$D$1,0),1))*AC980/365),""))</f>
        <v>-120.44977765798708</v>
      </c>
      <c r="AU980" s="12">
        <f>IF($H980="Cancelled","",IFERROR((T980*INDEX(Variables!$B$7:$D$7,IFERROR(MATCH(IF($B980="Robusta","Robusta",(IF($B980="","Arabica",$B980))&amp;" - "&amp;(IF($C980="","Commercial",$C980))),Variables!$B$1:$D$1,0),1))*AP980/365)+(L980/16.67*INDEX(Variables!$B$8:$D$8,IFERROR(MATCH(IF($B980="Robusta","Robusta",(IF($B980="","Arabica",$B980))&amp;" - "&amp;(IF($C980="","Commercial",$C980))),Variables!$B$1:$D$1,0),1))*AP980)+(T980*INDEX(Variables!$B$9:$D$9,IFERROR(MATCH(IF($B980="Robusta","Robusta",(IF($B980="","Arabica",$B980))&amp;" - "&amp;(IF($C980="","Commercial",$C980))),Variables!$B$1:$D$1,0),1))*AP980/365),""))</f>
        <v>-13.898051268229279</v>
      </c>
      <c r="AV980" s="11">
        <f t="shared" si="95"/>
        <v>-35</v>
      </c>
      <c r="AW980" s="12">
        <f>IF($H980="Cancelled","",IFERROR(IF(AV980="","",(T980*INDEX(Variables!$B$7:$D$7,IFERROR(MATCH(IF($B980="Robusta","Robusta",(IF($B980="","Arabica",$B980))&amp;" - "&amp;(IF($C980="","Commercial",$C980))),Variables!$B$1:$D$1,0),1))*(AV980/365))+(T980*INDEX(Variables!$B$9:$D$9,IFERROR(MATCH(IF($B980="Robusta","Robusta",(IF($B980="","Arabica",$B980))&amp;" - "&amp;(IF($C980="","Commercial",$C980))),Variables!$B$1:$D$1,0),1))*(AV980/365))+(INDEX(Variables!$B$8:$D$8,IFERROR(MATCH(IF($B980="Robusta","Robusta",(IF($B980="","Arabica",$B980))&amp;" - "&amp;(IF($C980="","Commercial",$C980))),Variables!$B$1:$D$1,0),1))*L980/16.67)),""))</f>
        <v>-95.543931462674919</v>
      </c>
      <c r="AX980" s="9"/>
      <c r="AY980" s="12"/>
      <c r="AZ980" s="10"/>
      <c r="BA980" s="9"/>
      <c r="BB980" s="10"/>
      <c r="BC980" s="9"/>
      <c r="BD980" s="9"/>
      <c r="BE980" s="9"/>
      <c r="BF980" s="9"/>
    </row>
    <row r="981" spans="1:58" x14ac:dyDescent="0.25">
      <c r="A981" s="9" t="s">
        <v>84</v>
      </c>
      <c r="B981" s="9" t="s">
        <v>85</v>
      </c>
      <c r="C981" s="9" t="s">
        <v>1486</v>
      </c>
      <c r="D981" s="10">
        <v>45712</v>
      </c>
      <c r="E981" s="10">
        <v>45717</v>
      </c>
      <c r="F981" s="10">
        <v>45747</v>
      </c>
      <c r="G981" s="9">
        <v>3786747</v>
      </c>
      <c r="H981" s="9" t="str">
        <f t="shared" si="93"/>
        <v>Closed</v>
      </c>
      <c r="I981" s="9" t="str">
        <f t="shared" si="94"/>
        <v>All dates received</v>
      </c>
      <c r="J981" s="9" t="s">
        <v>2092</v>
      </c>
      <c r="K981" s="9" t="s">
        <v>2095</v>
      </c>
      <c r="L981" s="11">
        <v>20</v>
      </c>
      <c r="M981" s="9" t="s">
        <v>2096</v>
      </c>
      <c r="N981" s="9"/>
      <c r="O981" s="9"/>
      <c r="P981" s="9"/>
      <c r="Q981" s="11">
        <v>124.15</v>
      </c>
      <c r="R981" s="9" t="s">
        <v>195</v>
      </c>
      <c r="S981" s="9" t="s">
        <v>578</v>
      </c>
      <c r="T981" s="12">
        <f>IF($H981="Cancelled","",IFERROR(((Q981+INDEX(Variables!$B$6:$D$6,IFERROR(MATCH(IF($B981="Robusta","Robusta",(IF($B981="","Arabica",$B981))&amp;" - "&amp;(IF($C981="","Commercial",$C981))),Variables!$B$1:$D$1,0),1)))*22.0462)*(L981/16.67),""))</f>
        <v>10975.489730053989</v>
      </c>
      <c r="U981" s="10"/>
      <c r="V981" s="9" t="str">
        <f t="shared" si="96"/>
        <v/>
      </c>
      <c r="W981" s="10">
        <v>45703</v>
      </c>
      <c r="X981" s="9" t="str">
        <f t="shared" si="92"/>
        <v>Approved</v>
      </c>
      <c r="Y981" s="10">
        <v>45731</v>
      </c>
      <c r="Z981" s="10">
        <f>IF($H981="Cancelled","",IFERROR(IF(F981="","",F981-Variables!$B$13),""))</f>
        <v>45732</v>
      </c>
      <c r="AA981" s="11">
        <f>IF($H981="Cancelled","",IFERROR(IF(W981="","",(AVERAGE(E981:F981)-W981)-Variables!$B$14),""))</f>
        <v>-1</v>
      </c>
      <c r="AB981" s="10">
        <v>45772</v>
      </c>
      <c r="AC981" s="11">
        <f>IF($H981="Cancelled","",IFERROR(IF(AB981="","",IF(AND(W981="",Y981=""),"",IF(Y981&gt;W981,Y981+Variables!$B$15+Variables!$B$16+Variables!$B$17-AB981,W981+Variables!$B$16+Variables!$B$17-AB981))),""))</f>
        <v>-26</v>
      </c>
      <c r="AD981" s="9" t="s">
        <v>163</v>
      </c>
      <c r="AE981" s="9" t="s">
        <v>770</v>
      </c>
      <c r="AF981" s="10"/>
      <c r="AG981" s="10"/>
      <c r="AH981" s="9"/>
      <c r="AI981" s="9">
        <v>253228716</v>
      </c>
      <c r="AJ981" s="9" t="s">
        <v>8</v>
      </c>
      <c r="AK981" s="10">
        <v>45782</v>
      </c>
      <c r="AL981" s="10">
        <v>45793</v>
      </c>
      <c r="AM981" s="10">
        <v>45793</v>
      </c>
      <c r="AN981" s="9" t="s">
        <v>1492</v>
      </c>
      <c r="AO981" s="9"/>
      <c r="AP981" s="11">
        <f>IF($H981="Cancelled","",IFERROR(IF(OR(AK981="",AB981=""),"",(AB981+Variables!$B$18-AK981)),""))</f>
        <v>-3</v>
      </c>
      <c r="AQ981" s="11">
        <f>IF($H981="Cancelled","",IFERROR(IF(OR(AM981="",AK981=""),"",(AK981+Variables!$B$19)-AM981),""))</f>
        <v>-6</v>
      </c>
      <c r="AR981" s="12">
        <f>IF($H981="Cancelled","",IFERROR(T981*INDEX(Variables!$B$7:$D$7,IFERROR(MATCH(IF($B981="Robusta","Robusta",(IF($B981="","Arabica",$B981))&amp;" - "&amp;(IF($C981="","Commercial",$C981))),Variables!$B$1:$D$1,0),1))*(AQ981/365),""))</f>
        <v>-11.633814638980065</v>
      </c>
      <c r="AS981" s="12">
        <f>IF($H981="Cancelled","",IFERROR((T981*INDEX(Variables!$B$7:$D$7,IFERROR(MATCH(IF($B981="Robusta","Robusta",(IF($B981="","Arabica",$B981))&amp;" - "&amp;(IF($C981="","Commercial",$C981))),Variables!$B$1:$D$1,0),1))*IFERROR(IF(W981="","",(AVERAGE(E981:F981)-W981)-Variables!$B$14),"")/365)+(L981/16.67*INDEX(Variables!$B$8:$D$8,IFERROR(MATCH(IF($B981="Robusta","Robusta",(IF($B981="","Arabica",$B981))&amp;" - "&amp;(IF($C981="","Commercial",$C981))),Variables!$B$1:$D$1,0),1))*IFERROR(IF(W981="","",(AVERAGE(E981:F981)-W981)-Variables!$B$14),""))+(T981*INDEX(Variables!$B$9:$D$9,IFERROR(MATCH(IF($B981="Robusta","Robusta",(IF($B981="","Arabica",$B981))&amp;" - "&amp;(IF($C981="","Commercial",$C981))),Variables!$B$1:$D$1,0),1))*IFERROR(IF(W981="","",(AVERAGE(E981:F981)-W981)-Variables!$B$14),"")/365),""))</f>
        <v>-2.9639661602298113</v>
      </c>
      <c r="AT981" s="12">
        <f>IF($H981="Cancelled","",IFERROR((T981*INDEX(Variables!$B$7:$D$7,IFERROR(MATCH(IF($B981="Robusta","Robusta",(IF($B981="","Arabica",$B981))&amp;" - "&amp;(IF($C981="","Commercial",$C981))),Variables!$B$1:$D$1,0),1))*AC981/365)+(L981/16.67*INDEX(Variables!$B$8:$D$8,IFERROR(MATCH(IF($B981="Robusta","Robusta",(IF($B981="","Arabica",$B981))&amp;" - "&amp;(IF($C981="","Commercial",$C981))),Variables!$B$1:$D$1,0),1))*AC981)+(T981*INDEX(Variables!$B$9:$D$9,IFERROR(MATCH(IF($B981="Robusta","Robusta",(IF($B981="","Arabica",$B981))&amp;" - "&amp;(IF($C981="","Commercial",$C981))),Variables!$B$1:$D$1,0),1))*AC981/365),""))</f>
        <v>-77.063120165975107</v>
      </c>
      <c r="AU981" s="12">
        <f>IF($H981="Cancelled","",IFERROR((T981*INDEX(Variables!$B$7:$D$7,IFERROR(MATCH(IF($B981="Robusta","Robusta",(IF($B981="","Arabica",$B981))&amp;" - "&amp;(IF($C981="","Commercial",$C981))),Variables!$B$1:$D$1,0),1))*AP981/365)+(L981/16.67*INDEX(Variables!$B$8:$D$8,IFERROR(MATCH(IF($B981="Robusta","Robusta",(IF($B981="","Arabica",$B981))&amp;" - "&amp;(IF($C981="","Commercial",$C981))),Variables!$B$1:$D$1,0),1))*AP981)+(T981*INDEX(Variables!$B$9:$D$9,IFERROR(MATCH(IF($B981="Robusta","Robusta",(IF($B981="","Arabica",$B981))&amp;" - "&amp;(IF($C981="","Commercial",$C981))),Variables!$B$1:$D$1,0),1))*AP981/365),""))</f>
        <v>-8.8918984806894343</v>
      </c>
      <c r="AV981" s="11">
        <f t="shared" si="95"/>
        <v>-35</v>
      </c>
      <c r="AW981" s="12">
        <f>IF($H981="Cancelled","",IFERROR(IF(AV981="","",(T981*INDEX(Variables!$B$7:$D$7,IFERROR(MATCH(IF($B981="Robusta","Robusta",(IF($B981="","Arabica",$B981))&amp;" - "&amp;(IF($C981="","Commercial",$C981))),Variables!$B$1:$D$1,0),1))*(AV981/365))+(T981*INDEX(Variables!$B$9:$D$9,IFERROR(MATCH(IF($B981="Robusta","Robusta",(IF($B981="","Arabica",$B981))&amp;" - "&amp;(IF($C981="","Commercial",$C981))),Variables!$B$1:$D$1,0),1))*(AV981/365))+(INDEX(Variables!$B$8:$D$8,IFERROR(MATCH(IF($B981="Robusta","Robusta",(IF($B981="","Arabica",$B981))&amp;" - "&amp;(IF($C981="","Commercial",$C981))),Variables!$B$1:$D$1,0),1))*L981/16.67)),""))</f>
        <v>-67.73881560804341</v>
      </c>
      <c r="AX981" s="9"/>
      <c r="AY981" s="12"/>
      <c r="AZ981" s="10"/>
      <c r="BA981" s="9"/>
      <c r="BB981" s="10"/>
      <c r="BC981" s="9"/>
      <c r="BD981" s="9"/>
      <c r="BE981" s="9"/>
      <c r="BF981" s="9"/>
    </row>
    <row r="982" spans="1:58" x14ac:dyDescent="0.25">
      <c r="A982" s="9" t="s">
        <v>84</v>
      </c>
      <c r="B982" s="9" t="s">
        <v>85</v>
      </c>
      <c r="C982" s="9" t="s">
        <v>1486</v>
      </c>
      <c r="D982" s="10">
        <v>45712</v>
      </c>
      <c r="E982" s="10">
        <v>45717</v>
      </c>
      <c r="F982" s="10">
        <v>45747</v>
      </c>
      <c r="G982" s="9">
        <v>3786748</v>
      </c>
      <c r="H982" s="9" t="str">
        <f t="shared" si="93"/>
        <v>Closed</v>
      </c>
      <c r="I982" s="9" t="str">
        <f t="shared" si="94"/>
        <v>All dates received</v>
      </c>
      <c r="J982" s="9" t="s">
        <v>2092</v>
      </c>
      <c r="K982" s="9" t="s">
        <v>2097</v>
      </c>
      <c r="L982" s="11">
        <v>28</v>
      </c>
      <c r="M982" s="9" t="s">
        <v>2098</v>
      </c>
      <c r="N982" s="9"/>
      <c r="O982" s="9"/>
      <c r="P982" s="9"/>
      <c r="Q982" s="11">
        <v>84.15</v>
      </c>
      <c r="R982" s="9" t="s">
        <v>195</v>
      </c>
      <c r="S982" s="9" t="s">
        <v>578</v>
      </c>
      <c r="T982" s="12">
        <f>IF($H982="Cancelled","",IFERROR(((Q982+INDEX(Variables!$B$6:$D$6,IFERROR(MATCH(IF($B982="Robusta","Robusta",(IF($B982="","Arabica",$B982))&amp;" - "&amp;(IF($C982="","Commercial",$C982))),Variables!$B$1:$D$1,0),1)))*22.0462)*(L982/16.67),""))</f>
        <v>13884.47722375525</v>
      </c>
      <c r="U982" s="10"/>
      <c r="V982" s="9" t="str">
        <f t="shared" si="96"/>
        <v/>
      </c>
      <c r="W982" s="10">
        <v>45703</v>
      </c>
      <c r="X982" s="9" t="str">
        <f t="shared" si="92"/>
        <v>Approved</v>
      </c>
      <c r="Y982" s="10">
        <v>45731</v>
      </c>
      <c r="Z982" s="10">
        <f>IF($H982="Cancelled","",IFERROR(IF(F982="","",F982-Variables!$B$13),""))</f>
        <v>45732</v>
      </c>
      <c r="AA982" s="11">
        <f>IF($H982="Cancelled","",IFERROR(IF(W982="","",(AVERAGE(E982:F982)-W982)-Variables!$B$14),""))</f>
        <v>-1</v>
      </c>
      <c r="AB982" s="10">
        <v>45772</v>
      </c>
      <c r="AC982" s="11">
        <f>IF($H982="Cancelled","",IFERROR(IF(AB982="","",IF(AND(W982="",Y982=""),"",IF(Y982&gt;W982,Y982+Variables!$B$15+Variables!$B$16+Variables!$B$17-AB982,W982+Variables!$B$16+Variables!$B$17-AB982))),""))</f>
        <v>-26</v>
      </c>
      <c r="AD982" s="9" t="s">
        <v>163</v>
      </c>
      <c r="AE982" s="9" t="s">
        <v>770</v>
      </c>
      <c r="AF982" s="10"/>
      <c r="AG982" s="10"/>
      <c r="AH982" s="9"/>
      <c r="AI982" s="9">
        <v>253228716</v>
      </c>
      <c r="AJ982" s="9" t="s">
        <v>8</v>
      </c>
      <c r="AK982" s="10">
        <v>45782</v>
      </c>
      <c r="AL982" s="10">
        <v>45793</v>
      </c>
      <c r="AM982" s="10">
        <v>45793</v>
      </c>
      <c r="AN982" s="9" t="s">
        <v>1492</v>
      </c>
      <c r="AO982" s="9"/>
      <c r="AP982" s="11">
        <f>IF($H982="Cancelled","",IFERROR(IF(OR(AK982="",AB982=""),"",(AB982+Variables!$B$18-AK982)),""))</f>
        <v>-3</v>
      </c>
      <c r="AQ982" s="11">
        <f>IF($H982="Cancelled","",IFERROR(IF(OR(AM982="",AK982=""),"",(AK982+Variables!$B$19)-AM982),""))</f>
        <v>-6</v>
      </c>
      <c r="AR982" s="12">
        <f>IF($H982="Cancelled","",IFERROR(T982*INDEX(Variables!$B$7:$D$7,IFERROR(MATCH(IF($B982="Robusta","Robusta",(IF($B982="","Arabica",$B982))&amp;" - "&amp;(IF($C982="","Commercial",$C982))),Variables!$B$1:$D$1,0),1))*(AQ982/365),""))</f>
        <v>-14.717287187467901</v>
      </c>
      <c r="AS982" s="12">
        <f>IF($H982="Cancelled","",IFERROR((T982*INDEX(Variables!$B$7:$D$7,IFERROR(MATCH(IF($B982="Robusta","Robusta",(IF($B982="","Arabica",$B982))&amp;" - "&amp;(IF($C982="","Commercial",$C982))),Variables!$B$1:$D$1,0),1))*IFERROR(IF(W982="","",(AVERAGE(E982:F982)-W982)-Variables!$B$14),"")/365)+(L982/16.67*INDEX(Variables!$B$8:$D$8,IFERROR(MATCH(IF($B982="Robusta","Robusta",(IF($B982="","Arabica",$B982))&amp;" - "&amp;(IF($C982="","Commercial",$C982))),Variables!$B$1:$D$1,0),1))*IFERROR(IF(W982="","",(AVERAGE(E982:F982)-W982)-Variables!$B$14),""))+(T982*INDEX(Variables!$B$9:$D$9,IFERROR(MATCH(IF($B982="Robusta","Robusta",(IF($B982="","Arabica",$B982))&amp;" - "&amp;(IF($C982="","Commercial",$C982))),Variables!$B$1:$D$1,0),1))*IFERROR(IF(W982="","",(AVERAGE(E982:F982)-W982)-Variables!$B$14),"")/365),""))</f>
        <v>-3.8845035702842154</v>
      </c>
      <c r="AT982" s="12">
        <f>IF($H982="Cancelled","",IFERROR((T982*INDEX(Variables!$B$7:$D$7,IFERROR(MATCH(IF($B982="Robusta","Robusta",(IF($B982="","Arabica",$B982))&amp;" - "&amp;(IF($C982="","Commercial",$C982))),Variables!$B$1:$D$1,0),1))*AC982/365)+(L982/16.67*INDEX(Variables!$B$8:$D$8,IFERROR(MATCH(IF($B982="Robusta","Robusta",(IF($B982="","Arabica",$B982))&amp;" - "&amp;(IF($C982="","Commercial",$C982))),Variables!$B$1:$D$1,0),1))*AC982)+(T982*INDEX(Variables!$B$9:$D$9,IFERROR(MATCH(IF($B982="Robusta","Robusta",(IF($B982="","Arabica",$B982))&amp;" - "&amp;(IF($C982="","Commercial",$C982))),Variables!$B$1:$D$1,0),1))*AC982/365),""))</f>
        <v>-100.99709282738959</v>
      </c>
      <c r="AU982" s="12">
        <f>IF($H982="Cancelled","",IFERROR((T982*INDEX(Variables!$B$7:$D$7,IFERROR(MATCH(IF($B982="Robusta","Robusta",(IF($B982="","Arabica",$B982))&amp;" - "&amp;(IF($C982="","Commercial",$C982))),Variables!$B$1:$D$1,0),1))*AP982/365)+(L982/16.67*INDEX(Variables!$B$8:$D$8,IFERROR(MATCH(IF($B982="Robusta","Robusta",(IF($B982="","Arabica",$B982))&amp;" - "&amp;(IF($C982="","Commercial",$C982))),Variables!$B$1:$D$1,0),1))*AP982)+(T982*INDEX(Variables!$B$9:$D$9,IFERROR(MATCH(IF($B982="Robusta","Robusta",(IF($B982="","Arabica",$B982))&amp;" - "&amp;(IF($C982="","Commercial",$C982))),Variables!$B$1:$D$1,0),1))*AP982/365),""))</f>
        <v>-11.653510710852647</v>
      </c>
      <c r="AV982" s="11">
        <f t="shared" si="95"/>
        <v>-35</v>
      </c>
      <c r="AW982" s="12">
        <f>IF($H982="Cancelled","",IFERROR(IF(AV982="","",(T982*INDEX(Variables!$B$7:$D$7,IFERROR(MATCH(IF($B982="Robusta","Robusta",(IF($B982="","Arabica",$B982))&amp;" - "&amp;(IF($C982="","Commercial",$C982))),Variables!$B$1:$D$1,0),1))*(AV982/365))+(T982*INDEX(Variables!$B$9:$D$9,IFERROR(MATCH(IF($B982="Robusta","Robusta",(IF($B982="","Arabica",$B982))&amp;" - "&amp;(IF($C982="","Commercial",$C982))),Variables!$B$1:$D$1,0),1))*(AV982/365))+(INDEX(Variables!$B$8:$D$8,IFERROR(MATCH(IF($B982="Robusta","Robusta",(IF($B982="","Arabica",$B982))&amp;" - "&amp;(IF($C982="","Commercial",$C982))),Variables!$B$1:$D$1,0),1))*L982/16.67)),""))</f>
        <v>-85.557624959947518</v>
      </c>
      <c r="AX982" s="9"/>
      <c r="AY982" s="12"/>
      <c r="AZ982" s="10"/>
      <c r="BA982" s="9"/>
      <c r="BB982" s="10"/>
      <c r="BC982" s="9"/>
      <c r="BD982" s="9"/>
      <c r="BE982" s="9"/>
      <c r="BF982" s="9"/>
    </row>
    <row r="983" spans="1:58" x14ac:dyDescent="0.25">
      <c r="A983" s="9" t="s">
        <v>84</v>
      </c>
      <c r="B983" s="9" t="s">
        <v>85</v>
      </c>
      <c r="C983" s="9" t="s">
        <v>1486</v>
      </c>
      <c r="D983" s="10">
        <v>45712</v>
      </c>
      <c r="E983" s="10">
        <v>45717</v>
      </c>
      <c r="F983" s="10">
        <v>45747</v>
      </c>
      <c r="G983" s="9">
        <v>3786749</v>
      </c>
      <c r="H983" s="9" t="str">
        <f t="shared" si="93"/>
        <v>Closed</v>
      </c>
      <c r="I983" s="9" t="str">
        <f t="shared" si="94"/>
        <v>All dates received</v>
      </c>
      <c r="J983" s="9" t="s">
        <v>2092</v>
      </c>
      <c r="K983" s="9" t="s">
        <v>2099</v>
      </c>
      <c r="L983" s="11">
        <v>40</v>
      </c>
      <c r="M983" s="9" t="s">
        <v>2100</v>
      </c>
      <c r="N983" s="9"/>
      <c r="O983" s="9"/>
      <c r="P983" s="9"/>
      <c r="Q983" s="11">
        <v>104.15</v>
      </c>
      <c r="R983" s="9" t="s">
        <v>195</v>
      </c>
      <c r="S983" s="9" t="s">
        <v>578</v>
      </c>
      <c r="T983" s="12">
        <f>IF($H983="Cancelled","",IFERROR(((Q983+INDEX(Variables!$B$6:$D$6,IFERROR(MATCH(IF($B983="Robusta","Robusta",(IF($B983="","Arabica",$B983))&amp;" - "&amp;(IF($C983="","Commercial",$C983))),Variables!$B$1:$D$1,0),1)))*22.0462)*(L983/16.67),""))</f>
        <v>20892.973461307742</v>
      </c>
      <c r="U983" s="10"/>
      <c r="V983" s="9" t="str">
        <f t="shared" si="96"/>
        <v/>
      </c>
      <c r="W983" s="10">
        <v>45703</v>
      </c>
      <c r="X983" s="9" t="str">
        <f t="shared" si="92"/>
        <v>Approved</v>
      </c>
      <c r="Y983" s="10">
        <v>45731</v>
      </c>
      <c r="Z983" s="10">
        <f>IF($H983="Cancelled","",IFERROR(IF(F983="","",F983-Variables!$B$13),""))</f>
        <v>45732</v>
      </c>
      <c r="AA983" s="11">
        <f>IF($H983="Cancelled","",IFERROR(IF(W983="","",(AVERAGE(E983:F983)-W983)-Variables!$B$14),""))</f>
        <v>-1</v>
      </c>
      <c r="AB983" s="10">
        <v>45772</v>
      </c>
      <c r="AC983" s="11">
        <f>IF($H983="Cancelled","",IFERROR(IF(AB983="","",IF(AND(W983="",Y983=""),"",IF(Y983&gt;W983,Y983+Variables!$B$15+Variables!$B$16+Variables!$B$17-AB983,W983+Variables!$B$16+Variables!$B$17-AB983))),""))</f>
        <v>-26</v>
      </c>
      <c r="AD983" s="9" t="s">
        <v>163</v>
      </c>
      <c r="AE983" s="9" t="s">
        <v>770</v>
      </c>
      <c r="AF983" s="10"/>
      <c r="AG983" s="10"/>
      <c r="AH983" s="9"/>
      <c r="AI983" s="9">
        <v>253228716</v>
      </c>
      <c r="AJ983" s="9" t="s">
        <v>8</v>
      </c>
      <c r="AK983" s="10">
        <v>45782</v>
      </c>
      <c r="AL983" s="10">
        <v>45793</v>
      </c>
      <c r="AM983" s="10">
        <v>45793</v>
      </c>
      <c r="AN983" s="9" t="s">
        <v>1492</v>
      </c>
      <c r="AO983" s="9"/>
      <c r="AP983" s="11">
        <f>IF($H983="Cancelled","",IFERROR(IF(OR(AK983="",AB983=""),"",(AB983+Variables!$B$18-AK983)),""))</f>
        <v>-3</v>
      </c>
      <c r="AQ983" s="11">
        <f>IF($H983="Cancelled","",IFERROR(IF(OR(AM983="",AK983=""),"",(AK983+Variables!$B$19)-AM983),""))</f>
        <v>-6</v>
      </c>
      <c r="AR983" s="12">
        <f>IF($H983="Cancelled","",IFERROR(T983*INDEX(Variables!$B$7:$D$7,IFERROR(MATCH(IF($B983="Robusta","Robusta",(IF($B983="","Arabica",$B983))&amp;" - "&amp;(IF($C983="","Commercial",$C983))),Variables!$B$1:$D$1,0),1))*(AQ983/365),""))</f>
        <v>-22.14616263002857</v>
      </c>
      <c r="AS983" s="12">
        <f>IF($H983="Cancelled","",IFERROR((T983*INDEX(Variables!$B$7:$D$7,IFERROR(MATCH(IF($B983="Robusta","Robusta",(IF($B983="","Arabica",$B983))&amp;" - "&amp;(IF($C983="","Commercial",$C983))),Variables!$B$1:$D$1,0),1))*IFERROR(IF(W983="","",(AVERAGE(E983:F983)-W983)-Variables!$B$14),"")/365)+(L983/16.67*INDEX(Variables!$B$8:$D$8,IFERROR(MATCH(IF($B983="Robusta","Robusta",(IF($B983="","Arabica",$B983))&amp;" - "&amp;(IF($C983="","Commercial",$C983))),Variables!$B$1:$D$1,0),1))*IFERROR(IF(W983="","",(AVERAGE(E983:F983)-W983)-Variables!$B$14),""))+(T983*INDEX(Variables!$B$9:$D$9,IFERROR(MATCH(IF($B983="Robusta","Robusta",(IF($B983="","Arabica",$B983))&amp;" - "&amp;(IF($C983="","Commercial",$C983))),Variables!$B$1:$D$1,0),1))*IFERROR(IF(W983="","",(AVERAGE(E983:F983)-W983)-Variables!$B$14),"")/365),""))</f>
        <v>-5.7386115675756804</v>
      </c>
      <c r="AT983" s="12">
        <f>IF($H983="Cancelled","",IFERROR((T983*INDEX(Variables!$B$7:$D$7,IFERROR(MATCH(IF($B983="Robusta","Robusta",(IF($B983="","Arabica",$B983))&amp;" - "&amp;(IF($C983="","Commercial",$C983))),Variables!$B$1:$D$1,0),1))*AC983/365)+(L983/16.67*INDEX(Variables!$B$8:$D$8,IFERROR(MATCH(IF($B983="Robusta","Robusta",(IF($B983="","Arabica",$B983))&amp;" - "&amp;(IF($C983="","Commercial",$C983))),Variables!$B$1:$D$1,0),1))*AC983)+(T983*INDEX(Variables!$B$9:$D$9,IFERROR(MATCH(IF($B983="Robusta","Robusta",(IF($B983="","Arabica",$B983))&amp;" - "&amp;(IF($C983="","Commercial",$C983))),Variables!$B$1:$D$1,0),1))*AC983/365),""))</f>
        <v>-149.20390075696767</v>
      </c>
      <c r="AU983" s="12">
        <f>IF($H983="Cancelled","",IFERROR((T983*INDEX(Variables!$B$7:$D$7,IFERROR(MATCH(IF($B983="Robusta","Robusta",(IF($B983="","Arabica",$B983))&amp;" - "&amp;(IF($C983="","Commercial",$C983))),Variables!$B$1:$D$1,0),1))*AP983/365)+(L983/16.67*INDEX(Variables!$B$8:$D$8,IFERROR(MATCH(IF($B983="Robusta","Robusta",(IF($B983="","Arabica",$B983))&amp;" - "&amp;(IF($C983="","Commercial",$C983))),Variables!$B$1:$D$1,0),1))*AP983)+(T983*INDEX(Variables!$B$9:$D$9,IFERROR(MATCH(IF($B983="Robusta","Robusta",(IF($B983="","Arabica",$B983))&amp;" - "&amp;(IF($C983="","Commercial",$C983))),Variables!$B$1:$D$1,0),1))*AP983/365),""))</f>
        <v>-17.21583470272704</v>
      </c>
      <c r="AV983" s="11">
        <f t="shared" si="95"/>
        <v>-35</v>
      </c>
      <c r="AW983" s="12">
        <f>IF($H983="Cancelled","",IFERROR(IF(AV983="","",(T983*INDEX(Variables!$B$7:$D$7,IFERROR(MATCH(IF($B983="Robusta","Robusta",(IF($B983="","Arabica",$B983))&amp;" - "&amp;(IF($C983="","Commercial",$C983))),Variables!$B$1:$D$1,0),1))*(AV983/365))+(T983*INDEX(Variables!$B$9:$D$9,IFERROR(MATCH(IF($B983="Robusta","Robusta",(IF($B983="","Arabica",$B983))&amp;" - "&amp;(IF($C983="","Commercial",$C983))),Variables!$B$1:$D$1,0),1))*(AV983/365))+(INDEX(Variables!$B$8:$D$8,IFERROR(MATCH(IF($B983="Robusta","Robusta",(IF($B983="","Arabica",$B983))&amp;" - "&amp;(IF($C983="","Commercial",$C983))),Variables!$B$1:$D$1,0),1))*L983/16.67)),""))</f>
        <v>-128.85140486514879</v>
      </c>
      <c r="AX983" s="9"/>
      <c r="AY983" s="12"/>
      <c r="AZ983" s="10"/>
      <c r="BA983" s="9"/>
      <c r="BB983" s="10"/>
      <c r="BC983" s="9"/>
      <c r="BD983" s="9"/>
      <c r="BE983" s="9"/>
      <c r="BF983" s="9"/>
    </row>
    <row r="984" spans="1:58" x14ac:dyDescent="0.25">
      <c r="A984" s="9" t="s">
        <v>84</v>
      </c>
      <c r="B984" s="9" t="s">
        <v>85</v>
      </c>
      <c r="C984" s="9" t="s">
        <v>1486</v>
      </c>
      <c r="D984" s="10">
        <v>45712</v>
      </c>
      <c r="E984" s="10">
        <v>45717</v>
      </c>
      <c r="F984" s="10">
        <v>45747</v>
      </c>
      <c r="G984" s="9">
        <v>3786750</v>
      </c>
      <c r="H984" s="9" t="str">
        <f t="shared" si="93"/>
        <v>Closed</v>
      </c>
      <c r="I984" s="9" t="str">
        <f t="shared" si="94"/>
        <v>All dates received</v>
      </c>
      <c r="J984" s="9" t="s">
        <v>2092</v>
      </c>
      <c r="K984" s="9" t="s">
        <v>2101</v>
      </c>
      <c r="L984" s="11">
        <v>20</v>
      </c>
      <c r="M984" s="9" t="s">
        <v>2102</v>
      </c>
      <c r="N984" s="9"/>
      <c r="O984" s="9"/>
      <c r="P984" s="9"/>
      <c r="Q984" s="11">
        <v>104.15</v>
      </c>
      <c r="R984" s="9" t="s">
        <v>195</v>
      </c>
      <c r="S984" s="9" t="s">
        <v>578</v>
      </c>
      <c r="T984" s="12">
        <f>IF($H984="Cancelled","",IFERROR(((Q984+INDEX(Variables!$B$6:$D$6,IFERROR(MATCH(IF($B984="Robusta","Robusta",(IF($B984="","Arabica",$B984))&amp;" - "&amp;(IF($C984="","Commercial",$C984))),Variables!$B$1:$D$1,0),1)))*22.0462)*(L984/16.67),""))</f>
        <v>10446.486730653871</v>
      </c>
      <c r="U984" s="10"/>
      <c r="V984" s="9" t="str">
        <f t="shared" si="96"/>
        <v/>
      </c>
      <c r="W984" s="10">
        <v>45703</v>
      </c>
      <c r="X984" s="9" t="str">
        <f t="shared" si="92"/>
        <v>Approved</v>
      </c>
      <c r="Y984" s="10">
        <v>45731</v>
      </c>
      <c r="Z984" s="10">
        <f>IF($H984="Cancelled","",IFERROR(IF(F984="","",F984-Variables!$B$13),""))</f>
        <v>45732</v>
      </c>
      <c r="AA984" s="11">
        <f>IF($H984="Cancelled","",IFERROR(IF(W984="","",(AVERAGE(E984:F984)-W984)-Variables!$B$14),""))</f>
        <v>-1</v>
      </c>
      <c r="AB984" s="10">
        <v>45772</v>
      </c>
      <c r="AC984" s="11">
        <f>IF($H984="Cancelled","",IFERROR(IF(AB984="","",IF(AND(W984="",Y984=""),"",IF(Y984&gt;W984,Y984+Variables!$B$15+Variables!$B$16+Variables!$B$17-AB984,W984+Variables!$B$16+Variables!$B$17-AB984))),""))</f>
        <v>-26</v>
      </c>
      <c r="AD984" s="9" t="s">
        <v>163</v>
      </c>
      <c r="AE984" s="9" t="s">
        <v>770</v>
      </c>
      <c r="AF984" s="10"/>
      <c r="AG984" s="10"/>
      <c r="AH984" s="9"/>
      <c r="AI984" s="9">
        <v>253228716</v>
      </c>
      <c r="AJ984" s="9" t="s">
        <v>8</v>
      </c>
      <c r="AK984" s="10">
        <v>45782</v>
      </c>
      <c r="AL984" s="10">
        <v>45793</v>
      </c>
      <c r="AM984" s="10">
        <v>45793</v>
      </c>
      <c r="AN984" s="9" t="s">
        <v>1492</v>
      </c>
      <c r="AO984" s="9"/>
      <c r="AP984" s="11">
        <f>IF($H984="Cancelled","",IFERROR(IF(OR(AK984="",AB984=""),"",(AB984+Variables!$B$18-AK984)),""))</f>
        <v>-3</v>
      </c>
      <c r="AQ984" s="11">
        <f>IF($H984="Cancelled","",IFERROR(IF(OR(AM984="",AK984=""),"",(AK984+Variables!$B$19)-AM984),""))</f>
        <v>-6</v>
      </c>
      <c r="AR984" s="12">
        <f>IF($H984="Cancelled","",IFERROR(T984*INDEX(Variables!$B$7:$D$7,IFERROR(MATCH(IF($B984="Robusta","Robusta",(IF($B984="","Arabica",$B984))&amp;" - "&amp;(IF($C984="","Commercial",$C984))),Variables!$B$1:$D$1,0),1))*(AQ984/365),""))</f>
        <v>-11.073081315014285</v>
      </c>
      <c r="AS984" s="12">
        <f>IF($H984="Cancelled","",IFERROR((T984*INDEX(Variables!$B$7:$D$7,IFERROR(MATCH(IF($B984="Robusta","Robusta",(IF($B984="","Arabica",$B984))&amp;" - "&amp;(IF($C984="","Commercial",$C984))),Variables!$B$1:$D$1,0),1))*IFERROR(IF(W984="","",(AVERAGE(E984:F984)-W984)-Variables!$B$14),"")/365)+(L984/16.67*INDEX(Variables!$B$8:$D$8,IFERROR(MATCH(IF($B984="Robusta","Robusta",(IF($B984="","Arabica",$B984))&amp;" - "&amp;(IF($C984="","Commercial",$C984))),Variables!$B$1:$D$1,0),1))*IFERROR(IF(W984="","",(AVERAGE(E984:F984)-W984)-Variables!$B$14),""))+(T984*INDEX(Variables!$B$9:$D$9,IFERROR(MATCH(IF($B984="Robusta","Robusta",(IF($B984="","Arabica",$B984))&amp;" - "&amp;(IF($C984="","Commercial",$C984))),Variables!$B$1:$D$1,0),1))*IFERROR(IF(W984="","",(AVERAGE(E984:F984)-W984)-Variables!$B$14),"")/365),""))</f>
        <v>-2.8693057837878402</v>
      </c>
      <c r="AT984" s="12">
        <f>IF($H984="Cancelled","",IFERROR((T984*INDEX(Variables!$B$7:$D$7,IFERROR(MATCH(IF($B984="Robusta","Robusta",(IF($B984="","Arabica",$B984))&amp;" - "&amp;(IF($C984="","Commercial",$C984))),Variables!$B$1:$D$1,0),1))*AC984/365)+(L984/16.67*INDEX(Variables!$B$8:$D$8,IFERROR(MATCH(IF($B984="Robusta","Robusta",(IF($B984="","Arabica",$B984))&amp;" - "&amp;(IF($C984="","Commercial",$C984))),Variables!$B$1:$D$1,0),1))*AC984)+(T984*INDEX(Variables!$B$9:$D$9,IFERROR(MATCH(IF($B984="Robusta","Robusta",(IF($B984="","Arabica",$B984))&amp;" - "&amp;(IF($C984="","Commercial",$C984))),Variables!$B$1:$D$1,0),1))*AC984/365),""))</f>
        <v>-74.601950378483835</v>
      </c>
      <c r="AU984" s="12">
        <f>IF($H984="Cancelled","",IFERROR((T984*INDEX(Variables!$B$7:$D$7,IFERROR(MATCH(IF($B984="Robusta","Robusta",(IF($B984="","Arabica",$B984))&amp;" - "&amp;(IF($C984="","Commercial",$C984))),Variables!$B$1:$D$1,0),1))*AP984/365)+(L984/16.67*INDEX(Variables!$B$8:$D$8,IFERROR(MATCH(IF($B984="Robusta","Robusta",(IF($B984="","Arabica",$B984))&amp;" - "&amp;(IF($C984="","Commercial",$C984))),Variables!$B$1:$D$1,0),1))*AP984)+(T984*INDEX(Variables!$B$9:$D$9,IFERROR(MATCH(IF($B984="Robusta","Robusta",(IF($B984="","Arabica",$B984))&amp;" - "&amp;(IF($C984="","Commercial",$C984))),Variables!$B$1:$D$1,0),1))*AP984/365),""))</f>
        <v>-8.6079173513635201</v>
      </c>
      <c r="AV984" s="11">
        <f t="shared" si="95"/>
        <v>-35</v>
      </c>
      <c r="AW984" s="12">
        <f>IF($H984="Cancelled","",IFERROR(IF(AV984="","",(T984*INDEX(Variables!$B$7:$D$7,IFERROR(MATCH(IF($B984="Robusta","Robusta",(IF($B984="","Arabica",$B984))&amp;" - "&amp;(IF($C984="","Commercial",$C984))),Variables!$B$1:$D$1,0),1))*(AV984/365))+(T984*INDEX(Variables!$B$9:$D$9,IFERROR(MATCH(IF($B984="Robusta","Robusta",(IF($B984="","Arabica",$B984))&amp;" - "&amp;(IF($C984="","Commercial",$C984))),Variables!$B$1:$D$1,0),1))*(AV984/365))+(INDEX(Variables!$B$8:$D$8,IFERROR(MATCH(IF($B984="Robusta","Robusta",(IF($B984="","Arabica",$B984))&amp;" - "&amp;(IF($C984="","Commercial",$C984))),Variables!$B$1:$D$1,0),1))*L984/16.67)),""))</f>
        <v>-64.425702432574397</v>
      </c>
      <c r="AX984" s="9"/>
      <c r="AY984" s="12"/>
      <c r="AZ984" s="10"/>
      <c r="BA984" s="9"/>
      <c r="BB984" s="10"/>
      <c r="BC984" s="9"/>
      <c r="BD984" s="9"/>
      <c r="BE984" s="9"/>
      <c r="BF984" s="9"/>
    </row>
    <row r="985" spans="1:58" x14ac:dyDescent="0.25">
      <c r="A985" s="9" t="s">
        <v>84</v>
      </c>
      <c r="B985" s="9" t="s">
        <v>85</v>
      </c>
      <c r="C985" s="9" t="s">
        <v>1486</v>
      </c>
      <c r="D985" s="10">
        <v>45712</v>
      </c>
      <c r="E985" s="10">
        <v>45717</v>
      </c>
      <c r="F985" s="10">
        <v>45747</v>
      </c>
      <c r="G985" s="9">
        <v>3786751</v>
      </c>
      <c r="H985" s="9" t="str">
        <f t="shared" si="93"/>
        <v>Closed</v>
      </c>
      <c r="I985" s="9" t="str">
        <f t="shared" si="94"/>
        <v>All dates received</v>
      </c>
      <c r="J985" s="9" t="s">
        <v>2092</v>
      </c>
      <c r="K985" s="9" t="s">
        <v>2103</v>
      </c>
      <c r="L985" s="11">
        <v>70</v>
      </c>
      <c r="M985" s="9" t="s">
        <v>2104</v>
      </c>
      <c r="N985" s="9"/>
      <c r="O985" s="9"/>
      <c r="P985" s="9"/>
      <c r="Q985" s="11">
        <v>105.15</v>
      </c>
      <c r="R985" s="9" t="s">
        <v>195</v>
      </c>
      <c r="S985" s="9" t="s">
        <v>578</v>
      </c>
      <c r="T985" s="12">
        <f>IF($H985="Cancelled","",IFERROR(((Q985+INDEX(Variables!$B$6:$D$6,IFERROR(MATCH(IF($B985="Robusta","Robusta",(IF($B985="","Arabica",$B985))&amp;" - "&amp;(IF($C985="","Commercial",$C985))),Variables!$B$1:$D$1,0),1)))*22.0462)*(L985/16.67),""))</f>
        <v>36655.279082183559</v>
      </c>
      <c r="U985" s="10"/>
      <c r="V985" s="9" t="str">
        <f t="shared" si="96"/>
        <v/>
      </c>
      <c r="W985" s="10">
        <v>45703</v>
      </c>
      <c r="X985" s="9" t="str">
        <f t="shared" si="92"/>
        <v>Approved</v>
      </c>
      <c r="Y985" s="10">
        <v>45731</v>
      </c>
      <c r="Z985" s="10">
        <f>IF($H985="Cancelled","",IFERROR(IF(F985="","",F985-Variables!$B$13),""))</f>
        <v>45732</v>
      </c>
      <c r="AA985" s="11">
        <f>IF($H985="Cancelled","",IFERROR(IF(W985="","",(AVERAGE(E985:F985)-W985)-Variables!$B$14),""))</f>
        <v>-1</v>
      </c>
      <c r="AB985" s="10">
        <v>45772</v>
      </c>
      <c r="AC985" s="11">
        <f>IF($H985="Cancelled","",IFERROR(IF(AB985="","",IF(AND(W985="",Y985=""),"",IF(Y985&gt;W985,Y985+Variables!$B$15+Variables!$B$16+Variables!$B$17-AB985,W985+Variables!$B$16+Variables!$B$17-AB985))),""))</f>
        <v>-26</v>
      </c>
      <c r="AD985" s="9" t="s">
        <v>163</v>
      </c>
      <c r="AE985" s="9" t="s">
        <v>770</v>
      </c>
      <c r="AF985" s="10"/>
      <c r="AG985" s="10"/>
      <c r="AH985" s="9"/>
      <c r="AI985" s="9">
        <v>253228716</v>
      </c>
      <c r="AJ985" s="9" t="s">
        <v>8</v>
      </c>
      <c r="AK985" s="10">
        <v>45782</v>
      </c>
      <c r="AL985" s="10">
        <v>45793</v>
      </c>
      <c r="AM985" s="10">
        <v>45793</v>
      </c>
      <c r="AN985" s="9" t="s">
        <v>1492</v>
      </c>
      <c r="AO985" s="9"/>
      <c r="AP985" s="11">
        <f>IF($H985="Cancelled","",IFERROR(IF(OR(AK985="",AB985=""),"",(AB985+Variables!$B$18-AK985)),""))</f>
        <v>-3</v>
      </c>
      <c r="AQ985" s="11">
        <f>IF($H985="Cancelled","",IFERROR(IF(OR(AM985="",AK985=""),"",(AK985+Variables!$B$19)-AM985),""))</f>
        <v>-6</v>
      </c>
      <c r="AR985" s="12">
        <f>IF($H985="Cancelled","",IFERROR(T985*INDEX(Variables!$B$7:$D$7,IFERROR(MATCH(IF($B985="Robusta","Robusta",(IF($B985="","Arabica",$B985))&amp;" - "&amp;(IF($C985="","Commercial",$C985))),Variables!$B$1:$D$1,0),1))*(AQ985/365),""))</f>
        <v>-38.853912934244001</v>
      </c>
      <c r="AS985" s="12">
        <f>IF($H985="Cancelled","",IFERROR((T985*INDEX(Variables!$B$7:$D$7,IFERROR(MATCH(IF($B985="Robusta","Robusta",(IF($B985="","Arabica",$B985))&amp;" - "&amp;(IF($C985="","Commercial",$C985))),Variables!$B$1:$D$1,0),1))*IFERROR(IF(W985="","",(AVERAGE(E985:F985)-W985)-Variables!$B$14),"")/365)+(L985/16.67*INDEX(Variables!$B$8:$D$8,IFERROR(MATCH(IF($B985="Robusta","Robusta",(IF($B985="","Arabica",$B985))&amp;" - "&amp;(IF($C985="","Commercial",$C985))),Variables!$B$1:$D$1,0),1))*IFERROR(IF(W985="","",(AVERAGE(E985:F985)-W985)-Variables!$B$14),""))+(T985*INDEX(Variables!$B$9:$D$9,IFERROR(MATCH(IF($B985="Robusta","Robusta",(IF($B985="","Arabica",$B985))&amp;" - "&amp;(IF($C985="","Commercial",$C985))),Variables!$B$1:$D$1,0),1))*IFERROR(IF(W985="","",(AVERAGE(E985:F985)-W985)-Variables!$B$14),"")/365),""))</f>
        <v>-10.059135809134784</v>
      </c>
      <c r="AT985" s="12">
        <f>IF($H985="Cancelled","",IFERROR((T985*INDEX(Variables!$B$7:$D$7,IFERROR(MATCH(IF($B985="Robusta","Robusta",(IF($B985="","Arabica",$B985))&amp;" - "&amp;(IF($C985="","Commercial",$C985))),Variables!$B$1:$D$1,0),1))*AC985/365)+(L985/16.67*INDEX(Variables!$B$8:$D$8,IFERROR(MATCH(IF($B985="Robusta","Robusta",(IF($B985="","Arabica",$B985))&amp;" - "&amp;(IF($C985="","Commercial",$C985))),Variables!$B$1:$D$1,0),1))*AC985)+(T985*INDEX(Variables!$B$9:$D$9,IFERROR(MATCH(IF($B985="Robusta","Robusta",(IF($B985="","Arabica",$B985))&amp;" - "&amp;(IF($C985="","Commercial",$C985))),Variables!$B$1:$D$1,0),1))*AC985/365),""))</f>
        <v>-261.53753103750432</v>
      </c>
      <c r="AU985" s="12">
        <f>IF($H985="Cancelled","",IFERROR((T985*INDEX(Variables!$B$7:$D$7,IFERROR(MATCH(IF($B985="Robusta","Robusta",(IF($B985="","Arabica",$B985))&amp;" - "&amp;(IF($C985="","Commercial",$C985))),Variables!$B$1:$D$1,0),1))*AP985/365)+(L985/16.67*INDEX(Variables!$B$8:$D$8,IFERROR(MATCH(IF($B985="Robusta","Robusta",(IF($B985="","Arabica",$B985))&amp;" - "&amp;(IF($C985="","Commercial",$C985))),Variables!$B$1:$D$1,0),1))*AP985)+(T985*INDEX(Variables!$B$9:$D$9,IFERROR(MATCH(IF($B985="Robusta","Robusta",(IF($B985="","Arabica",$B985))&amp;" - "&amp;(IF($C985="","Commercial",$C985))),Variables!$B$1:$D$1,0),1))*AP985/365),""))</f>
        <v>-30.177407427404354</v>
      </c>
      <c r="AV985" s="11">
        <f t="shared" si="95"/>
        <v>-35</v>
      </c>
      <c r="AW985" s="12">
        <f>IF($H985="Cancelled","",IFERROR(IF(AV985="","",(T985*INDEX(Variables!$B$7:$D$7,IFERROR(MATCH(IF($B985="Robusta","Robusta",(IF($B985="","Arabica",$B985))&amp;" - "&amp;(IF($C985="","Commercial",$C985))),Variables!$B$1:$D$1,0),1))*(AV985/365))+(T985*INDEX(Variables!$B$9:$D$9,IFERROR(MATCH(IF($B985="Robusta","Robusta",(IF($B985="","Arabica",$B985))&amp;" - "&amp;(IF($C985="","Commercial",$C985))),Variables!$B$1:$D$1,0),1))*(AV985/365))+(INDEX(Variables!$B$8:$D$8,IFERROR(MATCH(IF($B985="Robusta","Robusta",(IF($B985="","Arabica",$B985))&amp;" - "&amp;(IF($C985="","Commercial",$C985))),Variables!$B$1:$D$1,0),1))*L985/16.67)),""))</f>
        <v>-226.06975331971742</v>
      </c>
      <c r="AX985" s="9"/>
      <c r="AY985" s="12"/>
      <c r="AZ985" s="10"/>
      <c r="BA985" s="9"/>
      <c r="BB985" s="10"/>
      <c r="BC985" s="9"/>
      <c r="BD985" s="9"/>
      <c r="BE985" s="9"/>
      <c r="BF985" s="9"/>
    </row>
    <row r="986" spans="1:58" x14ac:dyDescent="0.25">
      <c r="A986" s="9" t="s">
        <v>84</v>
      </c>
      <c r="B986" s="9" t="s">
        <v>85</v>
      </c>
      <c r="C986" s="9" t="s">
        <v>1486</v>
      </c>
      <c r="D986" s="10">
        <v>45712</v>
      </c>
      <c r="E986" s="10">
        <v>45717</v>
      </c>
      <c r="F986" s="10">
        <v>45747</v>
      </c>
      <c r="G986" s="9">
        <v>3786752</v>
      </c>
      <c r="H986" s="9" t="str">
        <f t="shared" si="93"/>
        <v>Closed</v>
      </c>
      <c r="I986" s="9" t="str">
        <f t="shared" si="94"/>
        <v>All dates received</v>
      </c>
      <c r="J986" s="9" t="s">
        <v>2092</v>
      </c>
      <c r="K986" s="9" t="s">
        <v>2105</v>
      </c>
      <c r="L986" s="11">
        <v>18</v>
      </c>
      <c r="M986" s="9" t="s">
        <v>2106</v>
      </c>
      <c r="N986" s="9"/>
      <c r="O986" s="9"/>
      <c r="P986" s="9"/>
      <c r="Q986" s="11">
        <v>124.15</v>
      </c>
      <c r="R986" s="9" t="s">
        <v>195</v>
      </c>
      <c r="S986" s="9" t="s">
        <v>578</v>
      </c>
      <c r="T986" s="12">
        <f>IF($H986="Cancelled","",IFERROR(((Q986+INDEX(Variables!$B$6:$D$6,IFERROR(MATCH(IF($B986="Robusta","Robusta",(IF($B986="","Arabica",$B986))&amp;" - "&amp;(IF($C986="","Commercial",$C986))),Variables!$B$1:$D$1,0),1)))*22.0462)*(L986/16.67),""))</f>
        <v>9877.940757048591</v>
      </c>
      <c r="U986" s="10"/>
      <c r="V986" s="9" t="str">
        <f t="shared" si="96"/>
        <v/>
      </c>
      <c r="W986" s="10">
        <v>45703</v>
      </c>
      <c r="X986" s="9" t="str">
        <f t="shared" si="92"/>
        <v>Approved</v>
      </c>
      <c r="Y986" s="10">
        <v>45731</v>
      </c>
      <c r="Z986" s="10">
        <f>IF($H986="Cancelled","",IFERROR(IF(F986="","",F986-Variables!$B$13),""))</f>
        <v>45732</v>
      </c>
      <c r="AA986" s="11">
        <f>IF($H986="Cancelled","",IFERROR(IF(W986="","",(AVERAGE(E986:F986)-W986)-Variables!$B$14),""))</f>
        <v>-1</v>
      </c>
      <c r="AB986" s="10">
        <v>45772</v>
      </c>
      <c r="AC986" s="11">
        <f>IF($H986="Cancelled","",IFERROR(IF(AB986="","",IF(AND(W986="",Y986=""),"",IF(Y986&gt;W986,Y986+Variables!$B$15+Variables!$B$16+Variables!$B$17-AB986,W986+Variables!$B$16+Variables!$B$17-AB986))),""))</f>
        <v>-26</v>
      </c>
      <c r="AD986" s="9" t="s">
        <v>163</v>
      </c>
      <c r="AE986" s="9" t="s">
        <v>770</v>
      </c>
      <c r="AF986" s="10"/>
      <c r="AG986" s="10"/>
      <c r="AH986" s="9"/>
      <c r="AI986" s="9">
        <v>253228716</v>
      </c>
      <c r="AJ986" s="9" t="s">
        <v>8</v>
      </c>
      <c r="AK986" s="10">
        <v>45782</v>
      </c>
      <c r="AL986" s="10">
        <v>45793</v>
      </c>
      <c r="AM986" s="10">
        <v>45793</v>
      </c>
      <c r="AN986" s="9" t="s">
        <v>1492</v>
      </c>
      <c r="AO986" s="9"/>
      <c r="AP986" s="11">
        <f>IF($H986="Cancelled","",IFERROR(IF(OR(AK986="",AB986=""),"",(AB986+Variables!$B$18-AK986)),""))</f>
        <v>-3</v>
      </c>
      <c r="AQ986" s="11">
        <f>IF($H986="Cancelled","",IFERROR(IF(OR(AM986="",AK986=""),"",(AK986+Variables!$B$19)-AM986),""))</f>
        <v>-6</v>
      </c>
      <c r="AR986" s="12">
        <f>IF($H986="Cancelled","",IFERROR(T986*INDEX(Variables!$B$7:$D$7,IFERROR(MATCH(IF($B986="Robusta","Robusta",(IF($B986="","Arabica",$B986))&amp;" - "&amp;(IF($C986="","Commercial",$C986))),Variables!$B$1:$D$1,0),1))*(AQ986/365),""))</f>
        <v>-10.470433175082059</v>
      </c>
      <c r="AS986" s="12">
        <f>IF($H986="Cancelled","",IFERROR((T986*INDEX(Variables!$B$7:$D$7,IFERROR(MATCH(IF($B986="Robusta","Robusta",(IF($B986="","Arabica",$B986))&amp;" - "&amp;(IF($C986="","Commercial",$C986))),Variables!$B$1:$D$1,0),1))*IFERROR(IF(W986="","",(AVERAGE(E986:F986)-W986)-Variables!$B$14),"")/365)+(L986/16.67*INDEX(Variables!$B$8:$D$8,IFERROR(MATCH(IF($B986="Robusta","Robusta",(IF($B986="","Arabica",$B986))&amp;" - "&amp;(IF($C986="","Commercial",$C986))),Variables!$B$1:$D$1,0),1))*IFERROR(IF(W986="","",(AVERAGE(E986:F986)-W986)-Variables!$B$14),""))+(T986*INDEX(Variables!$B$9:$D$9,IFERROR(MATCH(IF($B986="Robusta","Robusta",(IF($B986="","Arabica",$B986))&amp;" - "&amp;(IF($C986="","Commercial",$C986))),Variables!$B$1:$D$1,0),1))*IFERROR(IF(W986="","",(AVERAGE(E986:F986)-W986)-Variables!$B$14),"")/365),""))</f>
        <v>-2.6675695442068306</v>
      </c>
      <c r="AT986" s="12">
        <f>IF($H986="Cancelled","",IFERROR((T986*INDEX(Variables!$B$7:$D$7,IFERROR(MATCH(IF($B986="Robusta","Robusta",(IF($B986="","Arabica",$B986))&amp;" - "&amp;(IF($C986="","Commercial",$C986))),Variables!$B$1:$D$1,0),1))*AC986/365)+(L986/16.67*INDEX(Variables!$B$8:$D$8,IFERROR(MATCH(IF($B986="Robusta","Robusta",(IF($B986="","Arabica",$B986))&amp;" - "&amp;(IF($C986="","Commercial",$C986))),Variables!$B$1:$D$1,0),1))*AC986)+(T986*INDEX(Variables!$B$9:$D$9,IFERROR(MATCH(IF($B986="Robusta","Robusta",(IF($B986="","Arabica",$B986))&amp;" - "&amp;(IF($C986="","Commercial",$C986))),Variables!$B$1:$D$1,0),1))*AC986/365),""))</f>
        <v>-69.356808149377585</v>
      </c>
      <c r="AU986" s="12">
        <f>IF($H986="Cancelled","",IFERROR((T986*INDEX(Variables!$B$7:$D$7,IFERROR(MATCH(IF($B986="Robusta","Robusta",(IF($B986="","Arabica",$B986))&amp;" - "&amp;(IF($C986="","Commercial",$C986))),Variables!$B$1:$D$1,0),1))*AP986/365)+(L986/16.67*INDEX(Variables!$B$8:$D$8,IFERROR(MATCH(IF($B986="Robusta","Robusta",(IF($B986="","Arabica",$B986))&amp;" - "&amp;(IF($C986="","Commercial",$C986))),Variables!$B$1:$D$1,0),1))*AP986)+(T986*INDEX(Variables!$B$9:$D$9,IFERROR(MATCH(IF($B986="Robusta","Robusta",(IF($B986="","Arabica",$B986))&amp;" - "&amp;(IF($C986="","Commercial",$C986))),Variables!$B$1:$D$1,0),1))*AP986/365),""))</f>
        <v>-8.0027086326204913</v>
      </c>
      <c r="AV986" s="11">
        <f t="shared" si="95"/>
        <v>-35</v>
      </c>
      <c r="AW986" s="12">
        <f>IF($H986="Cancelled","",IFERROR(IF(AV986="","",(T986*INDEX(Variables!$B$7:$D$7,IFERROR(MATCH(IF($B986="Robusta","Robusta",(IF($B986="","Arabica",$B986))&amp;" - "&amp;(IF($C986="","Commercial",$C986))),Variables!$B$1:$D$1,0),1))*(AV986/365))+(T986*INDEX(Variables!$B$9:$D$9,IFERROR(MATCH(IF($B986="Robusta","Robusta",(IF($B986="","Arabica",$B986))&amp;" - "&amp;(IF($C986="","Commercial",$C986))),Variables!$B$1:$D$1,0),1))*(AV986/365))+(INDEX(Variables!$B$8:$D$8,IFERROR(MATCH(IF($B986="Robusta","Robusta",(IF($B986="","Arabica",$B986))&amp;" - "&amp;(IF($C986="","Commercial",$C986))),Variables!$B$1:$D$1,0),1))*L986/16.67)),""))</f>
        <v>-60.964934047239062</v>
      </c>
      <c r="AX986" s="9"/>
      <c r="AY986" s="12"/>
      <c r="AZ986" s="10"/>
      <c r="BA986" s="9"/>
      <c r="BB986" s="10"/>
      <c r="BC986" s="9"/>
      <c r="BD986" s="9"/>
      <c r="BE986" s="9"/>
      <c r="BF986" s="9"/>
    </row>
    <row r="987" spans="1:58" x14ac:dyDescent="0.25">
      <c r="A987" s="9" t="s">
        <v>84</v>
      </c>
      <c r="B987" s="9" t="s">
        <v>85</v>
      </c>
      <c r="C987" s="9" t="s">
        <v>1486</v>
      </c>
      <c r="D987" s="10">
        <v>45712</v>
      </c>
      <c r="E987" s="10">
        <v>45717</v>
      </c>
      <c r="F987" s="10">
        <v>45747</v>
      </c>
      <c r="G987" s="9">
        <v>3786753</v>
      </c>
      <c r="H987" s="9" t="str">
        <f t="shared" si="93"/>
        <v>Closed</v>
      </c>
      <c r="I987" s="9" t="str">
        <f t="shared" si="94"/>
        <v>All dates received</v>
      </c>
      <c r="J987" s="9" t="s">
        <v>2092</v>
      </c>
      <c r="K987" s="9" t="s">
        <v>2107</v>
      </c>
      <c r="L987" s="11">
        <v>28</v>
      </c>
      <c r="M987" s="9" t="s">
        <v>2108</v>
      </c>
      <c r="N987" s="9"/>
      <c r="O987" s="9"/>
      <c r="P987" s="9"/>
      <c r="Q987" s="11">
        <v>124.15</v>
      </c>
      <c r="R987" s="9" t="s">
        <v>195</v>
      </c>
      <c r="S987" s="9" t="s">
        <v>578</v>
      </c>
      <c r="T987" s="12">
        <f>IF($H987="Cancelled","",IFERROR(((Q987+INDEX(Variables!$B$6:$D$6,IFERROR(MATCH(IF($B987="Robusta","Robusta",(IF($B987="","Arabica",$B987))&amp;" - "&amp;(IF($C987="","Commercial",$C987))),Variables!$B$1:$D$1,0),1)))*22.0462)*(L987/16.67),""))</f>
        <v>15365.685622075585</v>
      </c>
      <c r="U987" s="10"/>
      <c r="V987" s="9" t="str">
        <f t="shared" si="96"/>
        <v/>
      </c>
      <c r="W987" s="10">
        <v>45703</v>
      </c>
      <c r="X987" s="9" t="str">
        <f t="shared" si="92"/>
        <v>Approved</v>
      </c>
      <c r="Y987" s="10">
        <v>45731</v>
      </c>
      <c r="Z987" s="10">
        <f>IF($H987="Cancelled","",IFERROR(IF(F987="","",F987-Variables!$B$13),""))</f>
        <v>45732</v>
      </c>
      <c r="AA987" s="11">
        <f>IF($H987="Cancelled","",IFERROR(IF(W987="","",(AVERAGE(E987:F987)-W987)-Variables!$B$14),""))</f>
        <v>-1</v>
      </c>
      <c r="AB987" s="10">
        <v>45772</v>
      </c>
      <c r="AC987" s="11">
        <f>IF($H987="Cancelled","",IFERROR(IF(AB987="","",IF(AND(W987="",Y987=""),"",IF(Y987&gt;W987,Y987+Variables!$B$15+Variables!$B$16+Variables!$B$17-AB987,W987+Variables!$B$16+Variables!$B$17-AB987))),""))</f>
        <v>-26</v>
      </c>
      <c r="AD987" s="9" t="s">
        <v>163</v>
      </c>
      <c r="AE987" s="9" t="s">
        <v>770</v>
      </c>
      <c r="AF987" s="10"/>
      <c r="AG987" s="10"/>
      <c r="AH987" s="9"/>
      <c r="AI987" s="9">
        <v>253228716</v>
      </c>
      <c r="AJ987" s="9" t="s">
        <v>8</v>
      </c>
      <c r="AK987" s="10">
        <v>45782</v>
      </c>
      <c r="AL987" s="10">
        <v>45793</v>
      </c>
      <c r="AM987" s="10">
        <v>45793</v>
      </c>
      <c r="AN987" s="9" t="s">
        <v>1492</v>
      </c>
      <c r="AO987" s="9"/>
      <c r="AP987" s="11">
        <f>IF($H987="Cancelled","",IFERROR(IF(OR(AK987="",AB987=""),"",(AB987+Variables!$B$18-AK987)),""))</f>
        <v>-3</v>
      </c>
      <c r="AQ987" s="11">
        <f>IF($H987="Cancelled","",IFERROR(IF(OR(AM987="",AK987=""),"",(AK987+Variables!$B$19)-AM987),""))</f>
        <v>-6</v>
      </c>
      <c r="AR987" s="12">
        <f>IF($H987="Cancelled","",IFERROR(T987*INDEX(Variables!$B$7:$D$7,IFERROR(MATCH(IF($B987="Robusta","Robusta",(IF($B987="","Arabica",$B987))&amp;" - "&amp;(IF($C987="","Commercial",$C987))),Variables!$B$1:$D$1,0),1))*(AQ987/365),""))</f>
        <v>-16.287340494572092</v>
      </c>
      <c r="AS987" s="12">
        <f>IF($H987="Cancelled","",IFERROR((T987*INDEX(Variables!$B$7:$D$7,IFERROR(MATCH(IF($B987="Robusta","Robusta",(IF($B987="","Arabica",$B987))&amp;" - "&amp;(IF($C987="","Commercial",$C987))),Variables!$B$1:$D$1,0),1))*IFERROR(IF(W987="","",(AVERAGE(E987:F987)-W987)-Variables!$B$14),"")/365)+(L987/16.67*INDEX(Variables!$B$8:$D$8,IFERROR(MATCH(IF($B987="Robusta","Robusta",(IF($B987="","Arabica",$B987))&amp;" - "&amp;(IF($C987="","Commercial",$C987))),Variables!$B$1:$D$1,0),1))*IFERROR(IF(W987="","",(AVERAGE(E987:F987)-W987)-Variables!$B$14),""))+(T987*INDEX(Variables!$B$9:$D$9,IFERROR(MATCH(IF($B987="Robusta","Robusta",(IF($B987="","Arabica",$B987))&amp;" - "&amp;(IF($C987="","Commercial",$C987))),Variables!$B$1:$D$1,0),1))*IFERROR(IF(W987="","",(AVERAGE(E987:F987)-W987)-Variables!$B$14),"")/365),""))</f>
        <v>-4.1495526243217364</v>
      </c>
      <c r="AT987" s="12">
        <f>IF($H987="Cancelled","",IFERROR((T987*INDEX(Variables!$B$7:$D$7,IFERROR(MATCH(IF($B987="Robusta","Robusta",(IF($B987="","Arabica",$B987))&amp;" - "&amp;(IF($C987="","Commercial",$C987))),Variables!$B$1:$D$1,0),1))*AC987/365)+(L987/16.67*INDEX(Variables!$B$8:$D$8,IFERROR(MATCH(IF($B987="Robusta","Robusta",(IF($B987="","Arabica",$B987))&amp;" - "&amp;(IF($C987="","Commercial",$C987))),Variables!$B$1:$D$1,0),1))*AC987)+(T987*INDEX(Variables!$B$9:$D$9,IFERROR(MATCH(IF($B987="Robusta","Robusta",(IF($B987="","Arabica",$B987))&amp;" - "&amp;(IF($C987="","Commercial",$C987))),Variables!$B$1:$D$1,0),1))*AC987/365),""))</f>
        <v>-107.88836823236515</v>
      </c>
      <c r="AU987" s="12">
        <f>IF($H987="Cancelled","",IFERROR((T987*INDEX(Variables!$B$7:$D$7,IFERROR(MATCH(IF($B987="Robusta","Robusta",(IF($B987="","Arabica",$B987))&amp;" - "&amp;(IF($C987="","Commercial",$C987))),Variables!$B$1:$D$1,0),1))*AP987/365)+(L987/16.67*INDEX(Variables!$B$8:$D$8,IFERROR(MATCH(IF($B987="Robusta","Robusta",(IF($B987="","Arabica",$B987))&amp;" - "&amp;(IF($C987="","Commercial",$C987))),Variables!$B$1:$D$1,0),1))*AP987)+(T987*INDEX(Variables!$B$9:$D$9,IFERROR(MATCH(IF($B987="Robusta","Robusta",(IF($B987="","Arabica",$B987))&amp;" - "&amp;(IF($C987="","Commercial",$C987))),Variables!$B$1:$D$1,0),1))*AP987/365),""))</f>
        <v>-12.448657872965208</v>
      </c>
      <c r="AV987" s="11">
        <f t="shared" si="95"/>
        <v>-35</v>
      </c>
      <c r="AW987" s="12">
        <f>IF($H987="Cancelled","",IFERROR(IF(AV987="","",(T987*INDEX(Variables!$B$7:$D$7,IFERROR(MATCH(IF($B987="Robusta","Robusta",(IF($B987="","Arabica",$B987))&amp;" - "&amp;(IF($C987="","Commercial",$C987))),Variables!$B$1:$D$1,0),1))*(AV987/365))+(T987*INDEX(Variables!$B$9:$D$9,IFERROR(MATCH(IF($B987="Robusta","Robusta",(IF($B987="","Arabica",$B987))&amp;" - "&amp;(IF($C987="","Commercial",$C987))),Variables!$B$1:$D$1,0),1))*(AV987/365))+(INDEX(Variables!$B$8:$D$8,IFERROR(MATCH(IF($B987="Robusta","Robusta",(IF($B987="","Arabica",$B987))&amp;" - "&amp;(IF($C987="","Commercial",$C987))),Variables!$B$1:$D$1,0),1))*L987/16.67)),""))</f>
        <v>-94.83434185126076</v>
      </c>
      <c r="AX987" s="9"/>
      <c r="AY987" s="12"/>
      <c r="AZ987" s="10"/>
      <c r="BA987" s="9"/>
      <c r="BB987" s="10"/>
      <c r="BC987" s="9"/>
      <c r="BD987" s="9"/>
      <c r="BE987" s="9"/>
      <c r="BF987" s="9"/>
    </row>
    <row r="988" spans="1:58" x14ac:dyDescent="0.25">
      <c r="A988" s="9" t="s">
        <v>84</v>
      </c>
      <c r="B988" s="9" t="s">
        <v>85</v>
      </c>
      <c r="C988" s="9" t="s">
        <v>1486</v>
      </c>
      <c r="D988" s="10">
        <v>45712</v>
      </c>
      <c r="E988" s="10">
        <v>45717</v>
      </c>
      <c r="F988" s="10">
        <v>45747</v>
      </c>
      <c r="G988" s="9">
        <v>3786754</v>
      </c>
      <c r="H988" s="9" t="str">
        <f t="shared" si="93"/>
        <v>Closed</v>
      </c>
      <c r="I988" s="9" t="str">
        <f t="shared" si="94"/>
        <v>All dates received</v>
      </c>
      <c r="J988" s="9" t="s">
        <v>2092</v>
      </c>
      <c r="K988" s="9" t="s">
        <v>2109</v>
      </c>
      <c r="L988" s="11">
        <v>50</v>
      </c>
      <c r="M988" s="9" t="s">
        <v>2110</v>
      </c>
      <c r="N988" s="9"/>
      <c r="O988" s="9"/>
      <c r="P988" s="9"/>
      <c r="Q988" s="11">
        <v>124.15</v>
      </c>
      <c r="R988" s="9" t="s">
        <v>195</v>
      </c>
      <c r="S988" s="9" t="s">
        <v>578</v>
      </c>
      <c r="T988" s="12">
        <f>IF($H988="Cancelled","",IFERROR(((Q988+INDEX(Variables!$B$6:$D$6,IFERROR(MATCH(IF($B988="Robusta","Robusta",(IF($B988="","Arabica",$B988))&amp;" - "&amp;(IF($C988="","Commercial",$C988))),Variables!$B$1:$D$1,0),1)))*22.0462)*(L988/16.67),""))</f>
        <v>27438.724325134968</v>
      </c>
      <c r="U988" s="10"/>
      <c r="V988" s="9" t="str">
        <f t="shared" si="96"/>
        <v/>
      </c>
      <c r="W988" s="10">
        <v>45703</v>
      </c>
      <c r="X988" s="9" t="str">
        <f t="shared" si="92"/>
        <v>Approved</v>
      </c>
      <c r="Y988" s="10">
        <v>45731</v>
      </c>
      <c r="Z988" s="10">
        <f>IF($H988="Cancelled","",IFERROR(IF(F988="","",F988-Variables!$B$13),""))</f>
        <v>45732</v>
      </c>
      <c r="AA988" s="11">
        <f>IF($H988="Cancelled","",IFERROR(IF(W988="","",(AVERAGE(E988:F988)-W988)-Variables!$B$14),""))</f>
        <v>-1</v>
      </c>
      <c r="AB988" s="10">
        <v>45772</v>
      </c>
      <c r="AC988" s="11">
        <f>IF($H988="Cancelled","",IFERROR(IF(AB988="","",IF(AND(W988="",Y988=""),"",IF(Y988&gt;W988,Y988+Variables!$B$15+Variables!$B$16+Variables!$B$17-AB988,W988+Variables!$B$16+Variables!$B$17-AB988))),""))</f>
        <v>-26</v>
      </c>
      <c r="AD988" s="9" t="s">
        <v>163</v>
      </c>
      <c r="AE988" s="9" t="s">
        <v>770</v>
      </c>
      <c r="AF988" s="10"/>
      <c r="AG988" s="10"/>
      <c r="AH988" s="9"/>
      <c r="AI988" s="9">
        <v>253228716</v>
      </c>
      <c r="AJ988" s="9" t="s">
        <v>8</v>
      </c>
      <c r="AK988" s="10">
        <v>45782</v>
      </c>
      <c r="AL988" s="10">
        <v>45793</v>
      </c>
      <c r="AM988" s="10">
        <v>45793</v>
      </c>
      <c r="AN988" s="9" t="s">
        <v>1492</v>
      </c>
      <c r="AO988" s="9"/>
      <c r="AP988" s="11">
        <f>IF($H988="Cancelled","",IFERROR(IF(OR(AK988="",AB988=""),"",(AB988+Variables!$B$18-AK988)),""))</f>
        <v>-3</v>
      </c>
      <c r="AQ988" s="11">
        <f>IF($H988="Cancelled","",IFERROR(IF(OR(AM988="",AK988=""),"",(AK988+Variables!$B$19)-AM988),""))</f>
        <v>-6</v>
      </c>
      <c r="AR988" s="12">
        <f>IF($H988="Cancelled","",IFERROR(T988*INDEX(Variables!$B$7:$D$7,IFERROR(MATCH(IF($B988="Robusta","Robusta",(IF($B988="","Arabica",$B988))&amp;" - "&amp;(IF($C988="","Commercial",$C988))),Variables!$B$1:$D$1,0),1))*(AQ988/365),""))</f>
        <v>-29.084536597450157</v>
      </c>
      <c r="AS988" s="12">
        <f>IF($H988="Cancelled","",IFERROR((T988*INDEX(Variables!$B$7:$D$7,IFERROR(MATCH(IF($B988="Robusta","Robusta",(IF($B988="","Arabica",$B988))&amp;" - "&amp;(IF($C988="","Commercial",$C988))),Variables!$B$1:$D$1,0),1))*IFERROR(IF(W988="","",(AVERAGE(E988:F988)-W988)-Variables!$B$14),"")/365)+(L988/16.67*INDEX(Variables!$B$8:$D$8,IFERROR(MATCH(IF($B988="Robusta","Robusta",(IF($B988="","Arabica",$B988))&amp;" - "&amp;(IF($C988="","Commercial",$C988))),Variables!$B$1:$D$1,0),1))*IFERROR(IF(W988="","",(AVERAGE(E988:F988)-W988)-Variables!$B$14),""))+(T988*INDEX(Variables!$B$9:$D$9,IFERROR(MATCH(IF($B988="Robusta","Robusta",(IF($B988="","Arabica",$B988))&amp;" - "&amp;(IF($C988="","Commercial",$C988))),Variables!$B$1:$D$1,0),1))*IFERROR(IF(W988="","",(AVERAGE(E988:F988)-W988)-Variables!$B$14),"")/365),""))</f>
        <v>-7.409915400574528</v>
      </c>
      <c r="AT988" s="12">
        <f>IF($H988="Cancelled","",IFERROR((T988*INDEX(Variables!$B$7:$D$7,IFERROR(MATCH(IF($B988="Robusta","Robusta",(IF($B988="","Arabica",$B988))&amp;" - "&amp;(IF($C988="","Commercial",$C988))),Variables!$B$1:$D$1,0),1))*AC988/365)+(L988/16.67*INDEX(Variables!$B$8:$D$8,IFERROR(MATCH(IF($B988="Robusta","Robusta",(IF($B988="","Arabica",$B988))&amp;" - "&amp;(IF($C988="","Commercial",$C988))),Variables!$B$1:$D$1,0),1))*AC988)+(T988*INDEX(Variables!$B$9:$D$9,IFERROR(MATCH(IF($B988="Robusta","Robusta",(IF($B988="","Arabica",$B988))&amp;" - "&amp;(IF($C988="","Commercial",$C988))),Variables!$B$1:$D$1,0),1))*AC988/365),""))</f>
        <v>-192.65780041493775</v>
      </c>
      <c r="AU988" s="12">
        <f>IF($H988="Cancelled","",IFERROR((T988*INDEX(Variables!$B$7:$D$7,IFERROR(MATCH(IF($B988="Robusta","Robusta",(IF($B988="","Arabica",$B988))&amp;" - "&amp;(IF($C988="","Commercial",$C988))),Variables!$B$1:$D$1,0),1))*AP988/365)+(L988/16.67*INDEX(Variables!$B$8:$D$8,IFERROR(MATCH(IF($B988="Robusta","Robusta",(IF($B988="","Arabica",$B988))&amp;" - "&amp;(IF($C988="","Commercial",$C988))),Variables!$B$1:$D$1,0),1))*AP988)+(T988*INDEX(Variables!$B$9:$D$9,IFERROR(MATCH(IF($B988="Robusta","Robusta",(IF($B988="","Arabica",$B988))&amp;" - "&amp;(IF($C988="","Commercial",$C988))),Variables!$B$1:$D$1,0),1))*AP988/365),""))</f>
        <v>-22.229746201723589</v>
      </c>
      <c r="AV988" s="11">
        <f t="shared" si="95"/>
        <v>-35</v>
      </c>
      <c r="AW988" s="12">
        <f>IF($H988="Cancelled","",IFERROR(IF(AV988="","",(T988*INDEX(Variables!$B$7:$D$7,IFERROR(MATCH(IF($B988="Robusta","Robusta",(IF($B988="","Arabica",$B988))&amp;" - "&amp;(IF($C988="","Commercial",$C988))),Variables!$B$1:$D$1,0),1))*(AV988/365))+(T988*INDEX(Variables!$B$9:$D$9,IFERROR(MATCH(IF($B988="Robusta","Robusta",(IF($B988="","Arabica",$B988))&amp;" - "&amp;(IF($C988="","Commercial",$C988))),Variables!$B$1:$D$1,0),1))*(AV988/365))+(INDEX(Variables!$B$8:$D$8,IFERROR(MATCH(IF($B988="Robusta","Robusta",(IF($B988="","Arabica",$B988))&amp;" - "&amp;(IF($C988="","Commercial",$C988))),Variables!$B$1:$D$1,0),1))*L988/16.67)),""))</f>
        <v>-169.34703902010847</v>
      </c>
      <c r="AX988" s="9"/>
      <c r="AY988" s="12"/>
      <c r="AZ988" s="10"/>
      <c r="BA988" s="9"/>
      <c r="BB988" s="10"/>
      <c r="BC988" s="9"/>
      <c r="BD988" s="9"/>
      <c r="BE988" s="9"/>
      <c r="BF988" s="9"/>
    </row>
    <row r="989" spans="1:58" x14ac:dyDescent="0.25">
      <c r="A989" s="9" t="s">
        <v>84</v>
      </c>
      <c r="B989" s="9" t="s">
        <v>85</v>
      </c>
      <c r="C989" s="9" t="s">
        <v>1486</v>
      </c>
      <c r="D989" s="10">
        <v>45712</v>
      </c>
      <c r="E989" s="10">
        <v>45717</v>
      </c>
      <c r="F989" s="10">
        <v>45747</v>
      </c>
      <c r="G989" s="9">
        <v>3786755</v>
      </c>
      <c r="H989" s="9" t="str">
        <f t="shared" si="93"/>
        <v>Closed</v>
      </c>
      <c r="I989" s="9" t="str">
        <f t="shared" si="94"/>
        <v>All dates received</v>
      </c>
      <c r="J989" s="9" t="s">
        <v>2092</v>
      </c>
      <c r="K989" s="9" t="s">
        <v>2111</v>
      </c>
      <c r="L989" s="11">
        <v>23</v>
      </c>
      <c r="M989" s="9" t="s">
        <v>2112</v>
      </c>
      <c r="N989" s="9"/>
      <c r="O989" s="9"/>
      <c r="P989" s="9"/>
      <c r="Q989" s="11">
        <v>106.15</v>
      </c>
      <c r="R989" s="9" t="s">
        <v>195</v>
      </c>
      <c r="S989" s="9" t="s">
        <v>578</v>
      </c>
      <c r="T989" s="12">
        <f>IF($H989="Cancelled","",IFERROR(((Q989+INDEX(Variables!$B$6:$D$6,IFERROR(MATCH(IF($B989="Robusta","Robusta",(IF($B989="","Arabica",$B989))&amp;" - "&amp;(IF($C989="","Commercial",$C989))),Variables!$B$1:$D$1,0),1)))*22.0462)*(L989/16.67),""))</f>
        <v>12074.295085182963</v>
      </c>
      <c r="U989" s="10"/>
      <c r="V989" s="9" t="str">
        <f t="shared" si="96"/>
        <v/>
      </c>
      <c r="W989" s="10">
        <v>45703</v>
      </c>
      <c r="X989" s="9" t="str">
        <f t="shared" si="92"/>
        <v>Approved</v>
      </c>
      <c r="Y989" s="10">
        <v>45731</v>
      </c>
      <c r="Z989" s="10">
        <f>IF($H989="Cancelled","",IFERROR(IF(F989="","",F989-Variables!$B$13),""))</f>
        <v>45732</v>
      </c>
      <c r="AA989" s="11">
        <f>IF($H989="Cancelled","",IFERROR(IF(W989="","",(AVERAGE(E989:F989)-W989)-Variables!$B$14),""))</f>
        <v>-1</v>
      </c>
      <c r="AB989" s="10">
        <v>45772</v>
      </c>
      <c r="AC989" s="11">
        <f>IF($H989="Cancelled","",IFERROR(IF(AB989="","",IF(AND(W989="",Y989=""),"",IF(Y989&gt;W989,Y989+Variables!$B$15+Variables!$B$16+Variables!$B$17-AB989,W989+Variables!$B$16+Variables!$B$17-AB989))),""))</f>
        <v>-26</v>
      </c>
      <c r="AD989" s="9" t="s">
        <v>163</v>
      </c>
      <c r="AE989" s="9" t="s">
        <v>770</v>
      </c>
      <c r="AF989" s="10"/>
      <c r="AG989" s="10"/>
      <c r="AH989" s="9"/>
      <c r="AI989" s="9">
        <v>253228716</v>
      </c>
      <c r="AJ989" s="9" t="s">
        <v>8</v>
      </c>
      <c r="AK989" s="10">
        <v>45782</v>
      </c>
      <c r="AL989" s="10">
        <v>45793</v>
      </c>
      <c r="AM989" s="10">
        <v>45793</v>
      </c>
      <c r="AN989" s="9" t="s">
        <v>1492</v>
      </c>
      <c r="AO989" s="9"/>
      <c r="AP989" s="11">
        <f>IF($H989="Cancelled","",IFERROR(IF(OR(AK989="",AB989=""),"",(AB989+Variables!$B$18-AK989)),""))</f>
        <v>-3</v>
      </c>
      <c r="AQ989" s="11">
        <f>IF($H989="Cancelled","",IFERROR(IF(OR(AM989="",AK989=""),"",(AK989+Variables!$B$19)-AM989),""))</f>
        <v>-6</v>
      </c>
      <c r="AR989" s="12">
        <f>IF($H989="Cancelled","",IFERROR(T989*INDEX(Variables!$B$7:$D$7,IFERROR(MATCH(IF($B989="Robusta","Robusta",(IF($B989="","Arabica",$B989))&amp;" - "&amp;(IF($C989="","Commercial",$C989))),Variables!$B$1:$D$1,0),1))*(AQ989/365),""))</f>
        <v>-12.798527844522491</v>
      </c>
      <c r="AS989" s="12">
        <f>IF($H989="Cancelled","",IFERROR((T989*INDEX(Variables!$B$7:$D$7,IFERROR(MATCH(IF($B989="Robusta","Robusta",(IF($B989="","Arabica",$B989))&amp;" - "&amp;(IF($C989="","Commercial",$C989))),Variables!$B$1:$D$1,0),1))*IFERROR(IF(W989="","",(AVERAGE(E989:F989)-W989)-Variables!$B$14),"")/365)+(L989/16.67*INDEX(Variables!$B$8:$D$8,IFERROR(MATCH(IF($B989="Robusta","Robusta",(IF($B989="","Arabica",$B989))&amp;" - "&amp;(IF($C989="","Commercial",$C989))),Variables!$B$1:$D$1,0),1))*IFERROR(IF(W989="","",(AVERAGE(E989:F989)-W989)-Variables!$B$14),""))+(T989*INDEX(Variables!$B$9:$D$9,IFERROR(MATCH(IF($B989="Robusta","Robusta",(IF($B989="","Arabica",$B989))&amp;" - "&amp;(IF($C989="","Commercial",$C989))),Variables!$B$1:$D$1,0),1))*IFERROR(IF(W989="","",(AVERAGE(E989:F989)-W989)-Variables!$B$14),"")/365),""))</f>
        <v>-3.3105875946468424</v>
      </c>
      <c r="AT989" s="12">
        <f>IF($H989="Cancelled","",IFERROR((T989*INDEX(Variables!$B$7:$D$7,IFERROR(MATCH(IF($B989="Robusta","Robusta",(IF($B989="","Arabica",$B989))&amp;" - "&amp;(IF($C989="","Commercial",$C989))),Variables!$B$1:$D$1,0),1))*AC989/365)+(L989/16.67*INDEX(Variables!$B$8:$D$8,IFERROR(MATCH(IF($B989="Robusta","Robusta",(IF($B989="","Arabica",$B989))&amp;" - "&amp;(IF($C989="","Commercial",$C989))),Variables!$B$1:$D$1,0),1))*AC989)+(T989*INDEX(Variables!$B$9:$D$9,IFERROR(MATCH(IF($B989="Robusta","Robusta",(IF($B989="","Arabica",$B989))&amp;" - "&amp;(IF($C989="","Commercial",$C989))),Variables!$B$1:$D$1,0),1))*AC989/365),""))</f>
        <v>-86.075277460817901</v>
      </c>
      <c r="AU989" s="12">
        <f>IF($H989="Cancelled","",IFERROR((T989*INDEX(Variables!$B$7:$D$7,IFERROR(MATCH(IF($B989="Robusta","Robusta",(IF($B989="","Arabica",$B989))&amp;" - "&amp;(IF($C989="","Commercial",$C989))),Variables!$B$1:$D$1,0),1))*AP989/365)+(L989/16.67*INDEX(Variables!$B$8:$D$8,IFERROR(MATCH(IF($B989="Robusta","Robusta",(IF($B989="","Arabica",$B989))&amp;" - "&amp;(IF($C989="","Commercial",$C989))),Variables!$B$1:$D$1,0),1))*AP989)+(T989*INDEX(Variables!$B$9:$D$9,IFERROR(MATCH(IF($B989="Robusta","Robusta",(IF($B989="","Arabica",$B989))&amp;" - "&amp;(IF($C989="","Commercial",$C989))),Variables!$B$1:$D$1,0),1))*AP989/365),""))</f>
        <v>-9.9317627839405276</v>
      </c>
      <c r="AV989" s="11">
        <f t="shared" si="95"/>
        <v>-35</v>
      </c>
      <c r="AW989" s="12">
        <f>IF($H989="Cancelled","",IFERROR(IF(AV989="","",(T989*INDEX(Variables!$B$7:$D$7,IFERROR(MATCH(IF($B989="Robusta","Robusta",(IF($B989="","Arabica",$B989))&amp;" - "&amp;(IF($C989="","Commercial",$C989))),Variables!$B$1:$D$1,0),1))*(AV989/365))+(T989*INDEX(Variables!$B$9:$D$9,IFERROR(MATCH(IF($B989="Robusta","Robusta",(IF($B989="","Arabica",$B989))&amp;" - "&amp;(IF($C989="","Commercial",$C989))),Variables!$B$1:$D$1,0),1))*(AV989/365))+(INDEX(Variables!$B$8:$D$8,IFERROR(MATCH(IF($B989="Robusta","Robusta",(IF($B989="","Arabica",$B989))&amp;" - "&amp;(IF($C989="","Commercial",$C989))),Variables!$B$1:$D$1,0),1))*L989/16.67)),""))</f>
        <v>-74.470565812639478</v>
      </c>
      <c r="AX989" s="9"/>
      <c r="AY989" s="12"/>
      <c r="AZ989" s="10"/>
      <c r="BA989" s="9"/>
      <c r="BB989" s="10"/>
      <c r="BC989" s="9"/>
      <c r="BD989" s="9"/>
      <c r="BE989" s="9"/>
      <c r="BF989" s="9"/>
    </row>
    <row r="990" spans="1:58" x14ac:dyDescent="0.25">
      <c r="A990" s="9" t="s">
        <v>84</v>
      </c>
      <c r="B990" s="9" t="s">
        <v>85</v>
      </c>
      <c r="C990" s="9" t="s">
        <v>1486</v>
      </c>
      <c r="D990" s="10">
        <v>45720</v>
      </c>
      <c r="E990" s="10">
        <v>45717</v>
      </c>
      <c r="F990" s="10">
        <v>45747</v>
      </c>
      <c r="G990" s="9">
        <v>3786764</v>
      </c>
      <c r="H990" s="9" t="str">
        <f t="shared" si="93"/>
        <v>Closed</v>
      </c>
      <c r="I990" s="9" t="str">
        <f t="shared" si="94"/>
        <v>All dates received</v>
      </c>
      <c r="J990" s="9" t="s">
        <v>225</v>
      </c>
      <c r="K990" s="9" t="s">
        <v>2113</v>
      </c>
      <c r="L990" s="11">
        <v>15</v>
      </c>
      <c r="M990" s="9" t="s">
        <v>2114</v>
      </c>
      <c r="N990" s="9"/>
      <c r="O990" s="9"/>
      <c r="P990" s="9"/>
      <c r="Q990" s="11">
        <v>116.15</v>
      </c>
      <c r="R990" s="9" t="s">
        <v>195</v>
      </c>
      <c r="S990" s="9" t="s">
        <v>228</v>
      </c>
      <c r="T990" s="12">
        <f>IF($H990="Cancelled","",IFERROR(((Q990+INDEX(Variables!$B$6:$D$6,IFERROR(MATCH(IF($B990="Robusta","Robusta",(IF($B990="","Arabica",$B990))&amp;" - "&amp;(IF($C990="","Commercial",$C990))),Variables!$B$1:$D$1,0),1)))*22.0462)*(L990/16.67),""))</f>
        <v>8072.9163977204553</v>
      </c>
      <c r="U990" s="10"/>
      <c r="V990" s="9" t="str">
        <f t="shared" si="96"/>
        <v/>
      </c>
      <c r="W990" s="10">
        <v>45703</v>
      </c>
      <c r="X990" s="9" t="str">
        <f t="shared" si="92"/>
        <v>Approved</v>
      </c>
      <c r="Y990" s="10">
        <v>45731</v>
      </c>
      <c r="Z990" s="10">
        <f>IF($H990="Cancelled","",IFERROR(IF(F990="","",F990-Variables!$B$13),""))</f>
        <v>45732</v>
      </c>
      <c r="AA990" s="11">
        <f>IF($H990="Cancelled","",IFERROR(IF(W990="","",(AVERAGE(E990:F990)-W990)-Variables!$B$14),""))</f>
        <v>-1</v>
      </c>
      <c r="AB990" s="10">
        <v>45741</v>
      </c>
      <c r="AC990" s="11">
        <f>IF($H990="Cancelled","",IFERROR(IF(AB990="","",IF(AND(W990="",Y990=""),"",IF(Y990&gt;W990,Y990+Variables!$B$15+Variables!$B$16+Variables!$B$17-AB990,W990+Variables!$B$16+Variables!$B$17-AB990))),""))</f>
        <v>5</v>
      </c>
      <c r="AD990" s="9" t="s">
        <v>163</v>
      </c>
      <c r="AE990" s="9" t="s">
        <v>847</v>
      </c>
      <c r="AF990" s="10"/>
      <c r="AG990" s="10"/>
      <c r="AH990" s="9"/>
      <c r="AI990" s="9">
        <v>251410456</v>
      </c>
      <c r="AJ990" s="9" t="s">
        <v>2057</v>
      </c>
      <c r="AK990" s="10">
        <v>45753</v>
      </c>
      <c r="AL990" s="10">
        <v>45764</v>
      </c>
      <c r="AM990" s="10">
        <v>45764</v>
      </c>
      <c r="AN990" s="9" t="s">
        <v>1492</v>
      </c>
      <c r="AO990" s="9"/>
      <c r="AP990" s="11">
        <f>IF($H990="Cancelled","",IFERROR(IF(OR(AK990="",AB990=""),"",(AB990+Variables!$B$18-AK990)),""))</f>
        <v>-5</v>
      </c>
      <c r="AQ990" s="11">
        <f>IF($H990="Cancelled","",IFERROR(IF(OR(AM990="",AK990=""),"",(AK990+Variables!$B$19)-AM990),""))</f>
        <v>-6</v>
      </c>
      <c r="AR990" s="12">
        <f>IF($H990="Cancelled","",IFERROR(T990*INDEX(Variables!$B$7:$D$7,IFERROR(MATCH(IF($B990="Robusta","Robusta",(IF($B990="","Arabica",$B990))&amp;" - "&amp;(IF($C990="","Commercial",$C990))),Variables!$B$1:$D$1,0),1))*(AQ990/365),""))</f>
        <v>-8.5571409820453148</v>
      </c>
      <c r="AS990" s="12">
        <f>IF($H990="Cancelled","",IFERROR((T990*INDEX(Variables!$B$7:$D$7,IFERROR(MATCH(IF($B990="Robusta","Robusta",(IF($B990="","Arabica",$B990))&amp;" - "&amp;(IF($C990="","Commercial",$C990))),Variables!$B$1:$D$1,0),1))*IFERROR(IF(W990="","",(AVERAGE(E990:F990)-W990)-Variables!$B$14),"")/365)+(L990/16.67*INDEX(Variables!$B$8:$D$8,IFERROR(MATCH(IF($B990="Robusta","Robusta",(IF($B990="","Arabica",$B990))&amp;" - "&amp;(IF($C990="","Commercial",$C990))),Variables!$B$1:$D$1,0),1))*IFERROR(IF(W990="","",(AVERAGE(E990:F990)-W990)-Variables!$B$14),""))+(T990*INDEX(Variables!$B$9:$D$9,IFERROR(MATCH(IF($B990="Robusta","Robusta",(IF($B990="","Arabica",$B990))&amp;" - "&amp;(IF($C990="","Commercial",$C990))),Variables!$B$1:$D$1,0),1))*IFERROR(IF(W990="","",(AVERAGE(E990:F990)-W990)-Variables!$B$14),"")/365),""))</f>
        <v>-2.1945765072397672</v>
      </c>
      <c r="AT990" s="12">
        <f>IF($H990="Cancelled","",IFERROR((T990*INDEX(Variables!$B$7:$D$7,IFERROR(MATCH(IF($B990="Robusta","Robusta",(IF($B990="","Arabica",$B990))&amp;" - "&amp;(IF($C990="","Commercial",$C990))),Variables!$B$1:$D$1,0),1))*AC990/365)+(L990/16.67*INDEX(Variables!$B$8:$D$8,IFERROR(MATCH(IF($B990="Robusta","Robusta",(IF($B990="","Arabica",$B990))&amp;" - "&amp;(IF($C990="","Commercial",$C990))),Variables!$B$1:$D$1,0),1))*AC990)+(T990*INDEX(Variables!$B$9:$D$9,IFERROR(MATCH(IF($B990="Robusta","Robusta",(IF($B990="","Arabica",$B990))&amp;" - "&amp;(IF($C990="","Commercial",$C990))),Variables!$B$1:$D$1,0),1))*AC990/365),""))</f>
        <v>10.972882536198835</v>
      </c>
      <c r="AU990" s="12">
        <f>IF($H990="Cancelled","",IFERROR((T990*INDEX(Variables!$B$7:$D$7,IFERROR(MATCH(IF($B990="Robusta","Robusta",(IF($B990="","Arabica",$B990))&amp;" - "&amp;(IF($C990="","Commercial",$C990))),Variables!$B$1:$D$1,0),1))*AP990/365)+(L990/16.67*INDEX(Variables!$B$8:$D$8,IFERROR(MATCH(IF($B990="Robusta","Robusta",(IF($B990="","Arabica",$B990))&amp;" - "&amp;(IF($C990="","Commercial",$C990))),Variables!$B$1:$D$1,0),1))*AP990)+(T990*INDEX(Variables!$B$9:$D$9,IFERROR(MATCH(IF($B990="Robusta","Robusta",(IF($B990="","Arabica",$B990))&amp;" - "&amp;(IF($C990="","Commercial",$C990))),Variables!$B$1:$D$1,0),1))*AP990/365),""))</f>
        <v>-10.972882536198835</v>
      </c>
      <c r="AV990" s="11">
        <f t="shared" si="95"/>
        <v>-6</v>
      </c>
      <c r="AW990" s="12">
        <f>IF($H990="Cancelled","",IFERROR(IF(AV990="","",(T990*INDEX(Variables!$B$7:$D$7,IFERROR(MATCH(IF($B990="Robusta","Robusta",(IF($B990="","Arabica",$B990))&amp;" - "&amp;(IF($C990="","Commercial",$C990))),Variables!$B$1:$D$1,0),1))*(AV990/365))+(T990*INDEX(Variables!$B$9:$D$9,IFERROR(MATCH(IF($B990="Robusta","Robusta",(IF($B990="","Arabica",$B990))&amp;" - "&amp;(IF($C990="","Commercial",$C990))),Variables!$B$1:$D$1,0),1))*(AV990/365))+(INDEX(Variables!$B$8:$D$8,IFERROR(MATCH(IF($B990="Robusta","Robusta",(IF($B990="","Arabica",$B990))&amp;" - "&amp;(IF($C990="","Commercial",$C990))),Variables!$B$1:$D$1,0),1))*L990/16.67)),""))</f>
        <v>-7.917459043438603</v>
      </c>
      <c r="AX990" s="9"/>
      <c r="AY990" s="12"/>
      <c r="AZ990" s="10"/>
      <c r="BA990" s="9"/>
      <c r="BB990" s="10"/>
      <c r="BC990" s="9"/>
      <c r="BD990" s="9"/>
      <c r="BE990" s="9"/>
      <c r="BF990" s="9"/>
    </row>
    <row r="991" spans="1:58" x14ac:dyDescent="0.25">
      <c r="A991" s="9" t="s">
        <v>84</v>
      </c>
      <c r="B991" s="9" t="s">
        <v>85</v>
      </c>
      <c r="C991" s="9" t="s">
        <v>1486</v>
      </c>
      <c r="D991" s="10">
        <v>45720</v>
      </c>
      <c r="E991" s="10">
        <v>45717</v>
      </c>
      <c r="F991" s="10">
        <v>45747</v>
      </c>
      <c r="G991" s="9">
        <v>3786765</v>
      </c>
      <c r="H991" s="9" t="str">
        <f t="shared" si="93"/>
        <v>Closed</v>
      </c>
      <c r="I991" s="9" t="str">
        <f t="shared" si="94"/>
        <v>All dates received</v>
      </c>
      <c r="J991" s="9" t="s">
        <v>225</v>
      </c>
      <c r="K991" s="9" t="s">
        <v>2115</v>
      </c>
      <c r="L991" s="11">
        <v>15</v>
      </c>
      <c r="M991" s="9" t="s">
        <v>2116</v>
      </c>
      <c r="N991" s="9"/>
      <c r="O991" s="9"/>
      <c r="P991" s="9"/>
      <c r="Q991" s="11">
        <v>86</v>
      </c>
      <c r="R991" s="9" t="s">
        <v>195</v>
      </c>
      <c r="S991" s="9" t="s">
        <v>228</v>
      </c>
      <c r="T991" s="12">
        <f>IF($H991="Cancelled","",IFERROR(((Q991+INDEX(Variables!$B$6:$D$6,IFERROR(MATCH(IF($B991="Robusta","Robusta",(IF($B991="","Arabica",$B991))&amp;" - "&amp;(IF($C991="","Commercial",$C991))),Variables!$B$1:$D$1,0),1)))*22.0462)*(L991/16.67),""))</f>
        <v>7474.8123815236941</v>
      </c>
      <c r="U991" s="10"/>
      <c r="V991" s="9" t="str">
        <f t="shared" si="96"/>
        <v/>
      </c>
      <c r="W991" s="10">
        <v>45703</v>
      </c>
      <c r="X991" s="9" t="str">
        <f t="shared" si="92"/>
        <v>Approved</v>
      </c>
      <c r="Y991" s="10">
        <v>45731</v>
      </c>
      <c r="Z991" s="10">
        <f>IF($H991="Cancelled","",IFERROR(IF(F991="","",F991-Variables!$B$13),""))</f>
        <v>45732</v>
      </c>
      <c r="AA991" s="11">
        <f>IF($H991="Cancelled","",IFERROR(IF(W991="","",(AVERAGE(E991:F991)-W991)-Variables!$B$14),""))</f>
        <v>-1</v>
      </c>
      <c r="AB991" s="10">
        <v>45741</v>
      </c>
      <c r="AC991" s="11">
        <f>IF($H991="Cancelled","",IFERROR(IF(AB991="","",IF(AND(W991="",Y991=""),"",IF(Y991&gt;W991,Y991+Variables!$B$15+Variables!$B$16+Variables!$B$17-AB991,W991+Variables!$B$16+Variables!$B$17-AB991))),""))</f>
        <v>5</v>
      </c>
      <c r="AD991" s="9" t="s">
        <v>163</v>
      </c>
      <c r="AE991" s="9" t="s">
        <v>847</v>
      </c>
      <c r="AF991" s="10"/>
      <c r="AG991" s="10"/>
      <c r="AH991" s="9"/>
      <c r="AI991" s="9">
        <v>251410456</v>
      </c>
      <c r="AJ991" s="9" t="s">
        <v>2057</v>
      </c>
      <c r="AK991" s="10">
        <v>45753</v>
      </c>
      <c r="AL991" s="10">
        <v>45764</v>
      </c>
      <c r="AM991" s="10">
        <v>45764</v>
      </c>
      <c r="AN991" s="9" t="s">
        <v>1492</v>
      </c>
      <c r="AO991" s="9"/>
      <c r="AP991" s="11">
        <f>IF($H991="Cancelled","",IFERROR(IF(OR(AK991="",AB991=""),"",(AB991+Variables!$B$18-AK991)),""))</f>
        <v>-5</v>
      </c>
      <c r="AQ991" s="11">
        <f>IF($H991="Cancelled","",IFERROR(IF(OR(AM991="",AK991=""),"",(AK991+Variables!$B$19)-AM991),""))</f>
        <v>-6</v>
      </c>
      <c r="AR991" s="12">
        <f>IF($H991="Cancelled","",IFERROR(T991*INDEX(Variables!$B$7:$D$7,IFERROR(MATCH(IF($B991="Robusta","Robusta",(IF($B991="","Arabica",$B991))&amp;" - "&amp;(IF($C991="","Commercial",$C991))),Variables!$B$1:$D$1,0),1))*(AQ991/365),""))</f>
        <v>-7.9231618676364999</v>
      </c>
      <c r="AS991" s="12">
        <f>IF($H991="Cancelled","",IFERROR((T991*INDEX(Variables!$B$7:$D$7,IFERROR(MATCH(IF($B991="Robusta","Robusta",(IF($B991="","Arabica",$B991))&amp;" - "&amp;(IF($C991="","Commercial",$C991))),Variables!$B$1:$D$1,0),1))*IFERROR(IF(W991="","",(AVERAGE(E991:F991)-W991)-Variables!$B$14),"")/365)+(L991/16.67*INDEX(Variables!$B$8:$D$8,IFERROR(MATCH(IF($B991="Robusta","Robusta",(IF($B991="","Arabica",$B991))&amp;" - "&amp;(IF($C991="","Commercial",$C991))),Variables!$B$1:$D$1,0),1))*IFERROR(IF(W991="","",(AVERAGE(E991:F991)-W991)-Variables!$B$14),""))+(T991*INDEX(Variables!$B$9:$D$9,IFERROR(MATCH(IF($B991="Robusta","Robusta",(IF($B991="","Arabica",$B991))&amp;" - "&amp;(IF($C991="","Commercial",$C991))),Variables!$B$1:$D$1,0),1))*IFERROR(IF(W991="","",(AVERAGE(E991:F991)-W991)-Variables!$B$14),"")/365),""))</f>
        <v>-2.0875511191250622</v>
      </c>
      <c r="AT991" s="12">
        <f>IF($H991="Cancelled","",IFERROR((T991*INDEX(Variables!$B$7:$D$7,IFERROR(MATCH(IF($B991="Robusta","Robusta",(IF($B991="","Arabica",$B991))&amp;" - "&amp;(IF($C991="","Commercial",$C991))),Variables!$B$1:$D$1,0),1))*AC991/365)+(L991/16.67*INDEX(Variables!$B$8:$D$8,IFERROR(MATCH(IF($B991="Robusta","Robusta",(IF($B991="","Arabica",$B991))&amp;" - "&amp;(IF($C991="","Commercial",$C991))),Variables!$B$1:$D$1,0),1))*AC991)+(T991*INDEX(Variables!$B$9:$D$9,IFERROR(MATCH(IF($B991="Robusta","Robusta",(IF($B991="","Arabica",$B991))&amp;" - "&amp;(IF($C991="","Commercial",$C991))),Variables!$B$1:$D$1,0),1))*AC991/365),""))</f>
        <v>10.437755595625312</v>
      </c>
      <c r="AU991" s="12">
        <f>IF($H991="Cancelled","",IFERROR((T991*INDEX(Variables!$B$7:$D$7,IFERROR(MATCH(IF($B991="Robusta","Robusta",(IF($B991="","Arabica",$B991))&amp;" - "&amp;(IF($C991="","Commercial",$C991))),Variables!$B$1:$D$1,0),1))*AP991/365)+(L991/16.67*INDEX(Variables!$B$8:$D$8,IFERROR(MATCH(IF($B991="Robusta","Robusta",(IF($B991="","Arabica",$B991))&amp;" - "&amp;(IF($C991="","Commercial",$C991))),Variables!$B$1:$D$1,0),1))*AP991)+(T991*INDEX(Variables!$B$9:$D$9,IFERROR(MATCH(IF($B991="Robusta","Robusta",(IF($B991="","Arabica",$B991))&amp;" - "&amp;(IF($C991="","Commercial",$C991))),Variables!$B$1:$D$1,0),1))*AP991/365),""))</f>
        <v>-10.437755595625312</v>
      </c>
      <c r="AV991" s="11">
        <f t="shared" si="95"/>
        <v>-6</v>
      </c>
      <c r="AW991" s="12">
        <f>IF($H991="Cancelled","",IFERROR(IF(AV991="","",(T991*INDEX(Variables!$B$7:$D$7,IFERROR(MATCH(IF($B991="Robusta","Robusta",(IF($B991="","Arabica",$B991))&amp;" - "&amp;(IF($C991="","Commercial",$C991))),Variables!$B$1:$D$1,0),1))*(AV991/365))+(T991*INDEX(Variables!$B$9:$D$9,IFERROR(MATCH(IF($B991="Robusta","Robusta",(IF($B991="","Arabica",$B991))&amp;" - "&amp;(IF($C991="","Commercial",$C991))),Variables!$B$1:$D$1,0),1))*(AV991/365))+(INDEX(Variables!$B$8:$D$8,IFERROR(MATCH(IF($B991="Robusta","Robusta",(IF($B991="","Arabica",$B991))&amp;" - "&amp;(IF($C991="","Commercial",$C991))),Variables!$B$1:$D$1,0),1))*L991/16.67)),""))</f>
        <v>-7.2753067147503732</v>
      </c>
      <c r="AX991" s="9"/>
      <c r="AY991" s="12"/>
      <c r="AZ991" s="10"/>
      <c r="BA991" s="9"/>
      <c r="BB991" s="10"/>
      <c r="BC991" s="9"/>
      <c r="BD991" s="9"/>
      <c r="BE991" s="9"/>
      <c r="BF991" s="9"/>
    </row>
    <row r="992" spans="1:58" x14ac:dyDescent="0.25">
      <c r="A992" s="9" t="s">
        <v>84</v>
      </c>
      <c r="B992" s="9" t="s">
        <v>85</v>
      </c>
      <c r="C992" s="9" t="s">
        <v>1486</v>
      </c>
      <c r="D992" s="10">
        <v>45720</v>
      </c>
      <c r="E992" s="10">
        <v>45717</v>
      </c>
      <c r="F992" s="10">
        <v>45747</v>
      </c>
      <c r="G992" s="9">
        <v>3786766</v>
      </c>
      <c r="H992" s="9" t="str">
        <f t="shared" si="93"/>
        <v>Closed</v>
      </c>
      <c r="I992" s="9" t="str">
        <f t="shared" si="94"/>
        <v>All dates received</v>
      </c>
      <c r="J992" s="9" t="s">
        <v>225</v>
      </c>
      <c r="K992" s="9" t="s">
        <v>2117</v>
      </c>
      <c r="L992" s="11">
        <v>15</v>
      </c>
      <c r="M992" s="9" t="s">
        <v>2118</v>
      </c>
      <c r="N992" s="9"/>
      <c r="O992" s="9"/>
      <c r="P992" s="9"/>
      <c r="Q992" s="11">
        <v>97</v>
      </c>
      <c r="R992" s="9" t="s">
        <v>195</v>
      </c>
      <c r="S992" s="9" t="s">
        <v>228</v>
      </c>
      <c r="T992" s="12">
        <f>IF($H992="Cancelled","",IFERROR(((Q992+INDEX(Variables!$B$6:$D$6,IFERROR(MATCH(IF($B992="Robusta","Robusta",(IF($B992="","Arabica",$B992))&amp;" - "&amp;(IF($C992="","Commercial",$C992))),Variables!$B$1:$D$1,0),1)))*22.0462)*(L992/16.67),""))</f>
        <v>7693.0261187762435</v>
      </c>
      <c r="U992" s="10"/>
      <c r="V992" s="9" t="str">
        <f t="shared" si="96"/>
        <v/>
      </c>
      <c r="W992" s="10">
        <v>45703</v>
      </c>
      <c r="X992" s="9" t="str">
        <f t="shared" si="92"/>
        <v>Approved</v>
      </c>
      <c r="Y992" s="10">
        <v>45731</v>
      </c>
      <c r="Z992" s="10">
        <f>IF($H992="Cancelled","",IFERROR(IF(F992="","",F992-Variables!$B$13),""))</f>
        <v>45732</v>
      </c>
      <c r="AA992" s="11">
        <f>IF($H992="Cancelled","",IFERROR(IF(W992="","",(AVERAGE(E992:F992)-W992)-Variables!$B$14),""))</f>
        <v>-1</v>
      </c>
      <c r="AB992" s="10">
        <v>45741</v>
      </c>
      <c r="AC992" s="11">
        <f>IF($H992="Cancelled","",IFERROR(IF(AB992="","",IF(AND(W992="",Y992=""),"",IF(Y992&gt;W992,Y992+Variables!$B$15+Variables!$B$16+Variables!$B$17-AB992,W992+Variables!$B$16+Variables!$B$17-AB992))),""))</f>
        <v>5</v>
      </c>
      <c r="AD992" s="9" t="s">
        <v>163</v>
      </c>
      <c r="AE992" s="9" t="s">
        <v>847</v>
      </c>
      <c r="AF992" s="10"/>
      <c r="AG992" s="10"/>
      <c r="AH992" s="9"/>
      <c r="AI992" s="9">
        <v>251410456</v>
      </c>
      <c r="AJ992" s="9" t="s">
        <v>2057</v>
      </c>
      <c r="AK992" s="10">
        <v>45753</v>
      </c>
      <c r="AL992" s="10">
        <v>45764</v>
      </c>
      <c r="AM992" s="10">
        <v>45764</v>
      </c>
      <c r="AN992" s="9" t="s">
        <v>1492</v>
      </c>
      <c r="AO992" s="9"/>
      <c r="AP992" s="11">
        <f>IF($H992="Cancelled","",IFERROR(IF(OR(AK992="",AB992=""),"",(AB992+Variables!$B$18-AK992)),""))</f>
        <v>-5</v>
      </c>
      <c r="AQ992" s="11">
        <f>IF($H992="Cancelled","",IFERROR(IF(OR(AM992="",AK992=""),"",(AK992+Variables!$B$19)-AM992),""))</f>
        <v>-6</v>
      </c>
      <c r="AR992" s="12">
        <f>IF($H992="Cancelled","",IFERROR(T992*INDEX(Variables!$B$7:$D$7,IFERROR(MATCH(IF($B992="Robusta","Robusta",(IF($B992="","Arabica",$B992))&amp;" - "&amp;(IF($C992="","Commercial",$C992))),Variables!$B$1:$D$1,0),1))*(AQ992/365),""))</f>
        <v>-8.1544643637723855</v>
      </c>
      <c r="AS992" s="12">
        <f>IF($H992="Cancelled","",IFERROR((T992*INDEX(Variables!$B$7:$D$7,IFERROR(MATCH(IF($B992="Robusta","Robusta",(IF($B992="","Arabica",$B992))&amp;" - "&amp;(IF($C992="","Commercial",$C992))),Variables!$B$1:$D$1,0),1))*IFERROR(IF(W992="","",(AVERAGE(E992:F992)-W992)-Variables!$B$14),"")/365)+(L992/16.67*INDEX(Variables!$B$8:$D$8,IFERROR(MATCH(IF($B992="Robusta","Robusta",(IF($B992="","Arabica",$B992))&amp;" - "&amp;(IF($C992="","Commercial",$C992))),Variables!$B$1:$D$1,0),1))*IFERROR(IF(W992="","",(AVERAGE(E992:F992)-W992)-Variables!$B$14),""))+(T992*INDEX(Variables!$B$9:$D$9,IFERROR(MATCH(IF($B992="Robusta","Robusta",(IF($B992="","Arabica",$B992))&amp;" - "&amp;(IF($C992="","Commercial",$C992))),Variables!$B$1:$D$1,0),1))*IFERROR(IF(W992="","",(AVERAGE(E992:F992)-W992)-Variables!$B$14),"")/365),""))</f>
        <v>-2.1265985244073757</v>
      </c>
      <c r="AT992" s="12">
        <f>IF($H992="Cancelled","",IFERROR((T992*INDEX(Variables!$B$7:$D$7,IFERROR(MATCH(IF($B992="Robusta","Robusta",(IF($B992="","Arabica",$B992))&amp;" - "&amp;(IF($C992="","Commercial",$C992))),Variables!$B$1:$D$1,0),1))*AC992/365)+(L992/16.67*INDEX(Variables!$B$8:$D$8,IFERROR(MATCH(IF($B992="Robusta","Robusta",(IF($B992="","Arabica",$B992))&amp;" - "&amp;(IF($C992="","Commercial",$C992))),Variables!$B$1:$D$1,0),1))*AC992)+(T992*INDEX(Variables!$B$9:$D$9,IFERROR(MATCH(IF($B992="Robusta","Robusta",(IF($B992="","Arabica",$B992))&amp;" - "&amp;(IF($C992="","Commercial",$C992))),Variables!$B$1:$D$1,0),1))*AC992/365),""))</f>
        <v>10.632992622036879</v>
      </c>
      <c r="AU992" s="12">
        <f>IF($H992="Cancelled","",IFERROR((T992*INDEX(Variables!$B$7:$D$7,IFERROR(MATCH(IF($B992="Robusta","Robusta",(IF($B992="","Arabica",$B992))&amp;" - "&amp;(IF($C992="","Commercial",$C992))),Variables!$B$1:$D$1,0),1))*AP992/365)+(L992/16.67*INDEX(Variables!$B$8:$D$8,IFERROR(MATCH(IF($B992="Robusta","Robusta",(IF($B992="","Arabica",$B992))&amp;" - "&amp;(IF($C992="","Commercial",$C992))),Variables!$B$1:$D$1,0),1))*AP992)+(T992*INDEX(Variables!$B$9:$D$9,IFERROR(MATCH(IF($B992="Robusta","Robusta",(IF($B992="","Arabica",$B992))&amp;" - "&amp;(IF($C992="","Commercial",$C992))),Variables!$B$1:$D$1,0),1))*AP992/365),""))</f>
        <v>-10.632992622036879</v>
      </c>
      <c r="AV992" s="11">
        <f t="shared" si="95"/>
        <v>-6</v>
      </c>
      <c r="AW992" s="12">
        <f>IF($H992="Cancelled","",IFERROR(IF(AV992="","",(T992*INDEX(Variables!$B$7:$D$7,IFERROR(MATCH(IF($B992="Robusta","Robusta",(IF($B992="","Arabica",$B992))&amp;" - "&amp;(IF($C992="","Commercial",$C992))),Variables!$B$1:$D$1,0),1))*(AV992/365))+(T992*INDEX(Variables!$B$9:$D$9,IFERROR(MATCH(IF($B992="Robusta","Robusta",(IF($B992="","Arabica",$B992))&amp;" - "&amp;(IF($C992="","Commercial",$C992))),Variables!$B$1:$D$1,0),1))*(AV992/365))+(INDEX(Variables!$B$8:$D$8,IFERROR(MATCH(IF($B992="Robusta","Robusta",(IF($B992="","Arabica",$B992))&amp;" - "&amp;(IF($C992="","Commercial",$C992))),Variables!$B$1:$D$1,0),1))*L992/16.67)),""))</f>
        <v>-7.5095911464442544</v>
      </c>
      <c r="AX992" s="9"/>
      <c r="AY992" s="12"/>
      <c r="AZ992" s="10"/>
      <c r="BA992" s="9"/>
      <c r="BB992" s="10"/>
      <c r="BC992" s="9"/>
      <c r="BD992" s="9"/>
      <c r="BE992" s="9"/>
      <c r="BF992" s="9"/>
    </row>
    <row r="993" spans="1:58" x14ac:dyDescent="0.25">
      <c r="A993" s="9" t="s">
        <v>84</v>
      </c>
      <c r="B993" s="9" t="s">
        <v>85</v>
      </c>
      <c r="C993" s="9" t="s">
        <v>1486</v>
      </c>
      <c r="D993" s="10">
        <v>45722</v>
      </c>
      <c r="E993" s="10">
        <v>45717</v>
      </c>
      <c r="F993" s="10">
        <v>45747</v>
      </c>
      <c r="G993" s="9">
        <v>3786797</v>
      </c>
      <c r="H993" s="9" t="str">
        <f t="shared" si="93"/>
        <v>Closed</v>
      </c>
      <c r="I993" s="9" t="str">
        <f t="shared" si="94"/>
        <v>All dates received</v>
      </c>
      <c r="J993" s="9" t="s">
        <v>2119</v>
      </c>
      <c r="K993" s="9" t="s">
        <v>2120</v>
      </c>
      <c r="L993" s="11">
        <v>16</v>
      </c>
      <c r="M993" s="9" t="s">
        <v>2121</v>
      </c>
      <c r="N993" s="9"/>
      <c r="O993" s="9"/>
      <c r="P993" s="9"/>
      <c r="Q993" s="11">
        <v>75</v>
      </c>
      <c r="R993" s="9" t="s">
        <v>195</v>
      </c>
      <c r="S993" s="9" t="s">
        <v>2122</v>
      </c>
      <c r="T993" s="12">
        <f>IF($H993="Cancelled","",IFERROR(((Q993+INDEX(Variables!$B$6:$D$6,IFERROR(MATCH(IF($B993="Robusta","Robusta",(IF($B993="","Arabica",$B993))&amp;" - "&amp;(IF($C993="","Commercial",$C993))),Variables!$B$1:$D$1,0),1)))*22.0462)*(L993/16.67),""))</f>
        <v>7740.3718872225545</v>
      </c>
      <c r="U993" s="10"/>
      <c r="V993" s="9" t="str">
        <f t="shared" si="96"/>
        <v/>
      </c>
      <c r="W993" s="10">
        <v>45703</v>
      </c>
      <c r="X993" s="9" t="str">
        <f t="shared" si="92"/>
        <v>Approved</v>
      </c>
      <c r="Y993" s="10">
        <v>45731</v>
      </c>
      <c r="Z993" s="10">
        <f>IF($H993="Cancelled","",IFERROR(IF(F993="","",F993-Variables!$B$13),""))</f>
        <v>45732</v>
      </c>
      <c r="AA993" s="11">
        <f>IF($H993="Cancelled","",IFERROR(IF(W993="","",(AVERAGE(E993:F993)-W993)-Variables!$B$14),""))</f>
        <v>-1</v>
      </c>
      <c r="AB993" s="10">
        <v>45755</v>
      </c>
      <c r="AC993" s="11">
        <f>IF($H993="Cancelled","",IFERROR(IF(AB993="","",IF(AND(W993="",Y993=""),"",IF(Y993&gt;W993,Y993+Variables!$B$15+Variables!$B$16+Variables!$B$17-AB993,W993+Variables!$B$16+Variables!$B$17-AB993))),""))</f>
        <v>-9</v>
      </c>
      <c r="AD993" s="9" t="s">
        <v>163</v>
      </c>
      <c r="AE993" s="9" t="s">
        <v>950</v>
      </c>
      <c r="AF993" s="10">
        <v>45767</v>
      </c>
      <c r="AG993" s="10"/>
      <c r="AH993" s="9"/>
      <c r="AI993" s="9">
        <v>252042698</v>
      </c>
      <c r="AJ993" s="9" t="s">
        <v>2123</v>
      </c>
      <c r="AK993" s="10">
        <v>45767</v>
      </c>
      <c r="AL993" s="10">
        <v>45775</v>
      </c>
      <c r="AM993" s="10">
        <v>45804</v>
      </c>
      <c r="AN993" s="9" t="s">
        <v>1492</v>
      </c>
      <c r="AO993" s="9"/>
      <c r="AP993" s="11">
        <f>IF($H993="Cancelled","",IFERROR(IF(OR(AK993="",AB993=""),"",(AB993+Variables!$B$18-AK993)),""))</f>
        <v>-5</v>
      </c>
      <c r="AQ993" s="11">
        <f>IF($H993="Cancelled","",IFERROR(IF(OR(AM993="",AK993=""),"",(AK993+Variables!$B$19)-AM993),""))</f>
        <v>-32</v>
      </c>
      <c r="AR993" s="12">
        <f>IF($H993="Cancelled","",IFERROR(T993*INDEX(Variables!$B$7:$D$7,IFERROR(MATCH(IF($B993="Robusta","Robusta",(IF($B993="","Arabica",$B993))&amp;" - "&amp;(IF($C993="","Commercial",$C993))),Variables!$B$1:$D$1,0),1))*(AQ993/365),""))</f>
        <v>-43.758133313425731</v>
      </c>
      <c r="AS993" s="12">
        <f>IF($H993="Cancelled","",IFERROR((T993*INDEX(Variables!$B$7:$D$7,IFERROR(MATCH(IF($B993="Robusta","Robusta",(IF($B993="","Arabica",$B993))&amp;" - "&amp;(IF($C993="","Commercial",$C993))),Variables!$B$1:$D$1,0),1))*IFERROR(IF(W993="","",(AVERAGE(E993:F993)-W993)-Variables!$B$14),"")/365)+(L993/16.67*INDEX(Variables!$B$8:$D$8,IFERROR(MATCH(IF($B993="Robusta","Robusta",(IF($B993="","Arabica",$B993))&amp;" - "&amp;(IF($C993="","Commercial",$C993))),Variables!$B$1:$D$1,0),1))*IFERROR(IF(W993="","",(AVERAGE(E993:F993)-W993)-Variables!$B$14),""))+(T993*INDEX(Variables!$B$9:$D$9,IFERROR(MATCH(IF($B993="Robusta","Robusta",(IF($B993="","Arabica",$B993))&amp;" - "&amp;(IF($C993="","Commercial",$C993))),Variables!$B$1:$D$1,0),1))*IFERROR(IF(W993="","",(AVERAGE(E993:F993)-W993)-Variables!$B$14),"")/365),""))</f>
        <v>-2.1850706280989325</v>
      </c>
      <c r="AT993" s="12">
        <f>IF($H993="Cancelled","",IFERROR((T993*INDEX(Variables!$B$7:$D$7,IFERROR(MATCH(IF($B993="Robusta","Robusta",(IF($B993="","Arabica",$B993))&amp;" - "&amp;(IF($C993="","Commercial",$C993))),Variables!$B$1:$D$1,0),1))*AC993/365)+(L993/16.67*INDEX(Variables!$B$8:$D$8,IFERROR(MATCH(IF($B993="Robusta","Robusta",(IF($B993="","Arabica",$B993))&amp;" - "&amp;(IF($C993="","Commercial",$C993))),Variables!$B$1:$D$1,0),1))*AC993)+(T993*INDEX(Variables!$B$9:$D$9,IFERROR(MATCH(IF($B993="Robusta","Robusta",(IF($B993="","Arabica",$B993))&amp;" - "&amp;(IF($C993="","Commercial",$C993))),Variables!$B$1:$D$1,0),1))*AC993/365),""))</f>
        <v>-19.665635652890391</v>
      </c>
      <c r="AU993" s="12">
        <f>IF($H993="Cancelled","",IFERROR((T993*INDEX(Variables!$B$7:$D$7,IFERROR(MATCH(IF($B993="Robusta","Robusta",(IF($B993="","Arabica",$B993))&amp;" - "&amp;(IF($C993="","Commercial",$C993))),Variables!$B$1:$D$1,0),1))*AP993/365)+(L993/16.67*INDEX(Variables!$B$8:$D$8,IFERROR(MATCH(IF($B993="Robusta","Robusta",(IF($B993="","Arabica",$B993))&amp;" - "&amp;(IF($C993="","Commercial",$C993))),Variables!$B$1:$D$1,0),1))*AP993)+(T993*INDEX(Variables!$B$9:$D$9,IFERROR(MATCH(IF($B993="Robusta","Robusta",(IF($B993="","Arabica",$B993))&amp;" - "&amp;(IF($C993="","Commercial",$C993))),Variables!$B$1:$D$1,0),1))*AP993/365),""))</f>
        <v>-10.925353140494661</v>
      </c>
      <c r="AV993" s="11">
        <f t="shared" si="95"/>
        <v>-20</v>
      </c>
      <c r="AW993" s="12">
        <f>IF($H993="Cancelled","",IFERROR(IF(AV993="","",(T993*INDEX(Variables!$B$7:$D$7,IFERROR(MATCH(IF($B993="Robusta","Robusta",(IF($B993="","Arabica",$B993))&amp;" - "&amp;(IF($C993="","Commercial",$C993))),Variables!$B$1:$D$1,0),1))*(AV993/365))+(T993*INDEX(Variables!$B$9:$D$9,IFERROR(MATCH(IF($B993="Robusta","Robusta",(IF($B993="","Arabica",$B993))&amp;" - "&amp;(IF($C993="","Commercial",$C993))),Variables!$B$1:$D$1,0),1))*(AV993/365))+(INDEX(Variables!$B$8:$D$8,IFERROR(MATCH(IF($B993="Robusta","Robusta",(IF($B993="","Arabica",$B993))&amp;" - "&amp;(IF($C993="","Commercial",$C993))),Variables!$B$1:$D$1,0),1))*L993/16.67)),""))</f>
        <v>-26.901412561978645</v>
      </c>
      <c r="AX993" s="9"/>
      <c r="AY993" s="12"/>
      <c r="AZ993" s="10"/>
      <c r="BA993" s="9"/>
      <c r="BB993" s="10"/>
      <c r="BC993" s="9"/>
      <c r="BD993" s="9"/>
      <c r="BE993" s="9"/>
      <c r="BF993" s="9"/>
    </row>
    <row r="994" spans="1:58" x14ac:dyDescent="0.25">
      <c r="A994" s="9" t="s">
        <v>84</v>
      </c>
      <c r="B994" s="9" t="s">
        <v>85</v>
      </c>
      <c r="C994" s="9" t="s">
        <v>1486</v>
      </c>
      <c r="D994" s="10">
        <v>45722</v>
      </c>
      <c r="E994" s="10">
        <v>45717</v>
      </c>
      <c r="F994" s="10">
        <v>45747</v>
      </c>
      <c r="G994" s="9">
        <v>3786798</v>
      </c>
      <c r="H994" s="9" t="str">
        <f t="shared" si="93"/>
        <v>Closed</v>
      </c>
      <c r="I994" s="9" t="str">
        <f t="shared" si="94"/>
        <v>All dates received</v>
      </c>
      <c r="J994" s="9" t="s">
        <v>2119</v>
      </c>
      <c r="K994" s="9" t="s">
        <v>2124</v>
      </c>
      <c r="L994" s="11">
        <v>17</v>
      </c>
      <c r="M994" s="9" t="s">
        <v>2125</v>
      </c>
      <c r="N994" s="9"/>
      <c r="O994" s="9"/>
      <c r="P994" s="9"/>
      <c r="Q994" s="11">
        <v>81.05</v>
      </c>
      <c r="R994" s="9" t="s">
        <v>195</v>
      </c>
      <c r="S994" s="9" t="s">
        <v>2122</v>
      </c>
      <c r="T994" s="12">
        <f>IF($H994="Cancelled","",IFERROR(((Q994+INDEX(Variables!$B$6:$D$6,IFERROR(MATCH(IF($B994="Robusta","Robusta",(IF($B994="","Arabica",$B994))&amp;" - "&amp;(IF($C994="","Commercial",$C994))),Variables!$B$1:$D$1,0),1)))*22.0462)*(L994/16.67),""))</f>
        <v>8360.1650263947213</v>
      </c>
      <c r="U994" s="10"/>
      <c r="V994" s="9" t="str">
        <f t="shared" si="96"/>
        <v/>
      </c>
      <c r="W994" s="10">
        <v>45703</v>
      </c>
      <c r="X994" s="9" t="str">
        <f t="shared" si="92"/>
        <v>Approved</v>
      </c>
      <c r="Y994" s="10">
        <v>45731</v>
      </c>
      <c r="Z994" s="10">
        <f>IF($H994="Cancelled","",IFERROR(IF(F994="","",F994-Variables!$B$13),""))</f>
        <v>45732</v>
      </c>
      <c r="AA994" s="11">
        <f>IF($H994="Cancelled","",IFERROR(IF(W994="","",(AVERAGE(E994:F994)-W994)-Variables!$B$14),""))</f>
        <v>-1</v>
      </c>
      <c r="AB994" s="10">
        <v>45755</v>
      </c>
      <c r="AC994" s="11">
        <f>IF($H994="Cancelled","",IFERROR(IF(AB994="","",IF(AND(W994="",Y994=""),"",IF(Y994&gt;W994,Y994+Variables!$B$15+Variables!$B$16+Variables!$B$17-AB994,W994+Variables!$B$16+Variables!$B$17-AB994))),""))</f>
        <v>-9</v>
      </c>
      <c r="AD994" s="9" t="s">
        <v>163</v>
      </c>
      <c r="AE994" s="9" t="s">
        <v>950</v>
      </c>
      <c r="AF994" s="10">
        <v>45767</v>
      </c>
      <c r="AG994" s="10"/>
      <c r="AH994" s="9"/>
      <c r="AI994" s="9">
        <v>252042698</v>
      </c>
      <c r="AJ994" s="9" t="s">
        <v>2123</v>
      </c>
      <c r="AK994" s="10">
        <v>45767</v>
      </c>
      <c r="AL994" s="10">
        <v>45775</v>
      </c>
      <c r="AM994" s="10">
        <v>45804</v>
      </c>
      <c r="AN994" s="9" t="s">
        <v>1492</v>
      </c>
      <c r="AO994" s="9"/>
      <c r="AP994" s="11">
        <f>IF($H994="Cancelled","",IFERROR(IF(OR(AK994="",AB994=""),"",(AB994+Variables!$B$18-AK994)),""))</f>
        <v>-5</v>
      </c>
      <c r="AQ994" s="11">
        <f>IF($H994="Cancelled","",IFERROR(IF(OR(AM994="",AK994=""),"",(AK994+Variables!$B$19)-AM994),""))</f>
        <v>-32</v>
      </c>
      <c r="AR994" s="12">
        <f>IF($H994="Cancelled","",IFERROR(T994*INDEX(Variables!$B$7:$D$7,IFERROR(MATCH(IF($B994="Robusta","Robusta",(IF($B994="","Arabica",$B994))&amp;" - "&amp;(IF($C994="","Commercial",$C994))),Variables!$B$1:$D$1,0),1))*(AQ994/365),""))</f>
        <v>-47.261968943779927</v>
      </c>
      <c r="AS994" s="12">
        <f>IF($H994="Cancelled","",IFERROR((T994*INDEX(Variables!$B$7:$D$7,IFERROR(MATCH(IF($B994="Robusta","Robusta",(IF($B994="","Arabica",$B994))&amp;" - "&amp;(IF($C994="","Commercial",$C994))),Variables!$B$1:$D$1,0),1))*IFERROR(IF(W994="","",(AVERAGE(E994:F994)-W994)-Variables!$B$14),"")/365)+(L994/16.67*INDEX(Variables!$B$8:$D$8,IFERROR(MATCH(IF($B994="Robusta","Robusta",(IF($B994="","Arabica",$B994))&amp;" - "&amp;(IF($C994="","Commercial",$C994))),Variables!$B$1:$D$1,0),1))*IFERROR(IF(W994="","",(AVERAGE(E994:F994)-W994)-Variables!$B$14),""))+(T994*INDEX(Variables!$B$9:$D$9,IFERROR(MATCH(IF($B994="Robusta","Robusta",(IF($B994="","Arabica",$B994))&amp;" - "&amp;(IF($C994="","Commercial",$C994))),Variables!$B$1:$D$1,0),1))*IFERROR(IF(W994="","",(AVERAGE(E994:F994)-W994)-Variables!$B$14),"")/365),""))</f>
        <v>-2.3459770916477583</v>
      </c>
      <c r="AT994" s="12">
        <f>IF($H994="Cancelled","",IFERROR((T994*INDEX(Variables!$B$7:$D$7,IFERROR(MATCH(IF($B994="Robusta","Robusta",(IF($B994="","Arabica",$B994))&amp;" - "&amp;(IF($C994="","Commercial",$C994))),Variables!$B$1:$D$1,0),1))*AC994/365)+(L994/16.67*INDEX(Variables!$B$8:$D$8,IFERROR(MATCH(IF($B994="Robusta","Robusta",(IF($B994="","Arabica",$B994))&amp;" - "&amp;(IF($C994="","Commercial",$C994))),Variables!$B$1:$D$1,0),1))*AC994)+(T994*INDEX(Variables!$B$9:$D$9,IFERROR(MATCH(IF($B994="Robusta","Robusta",(IF($B994="","Arabica",$B994))&amp;" - "&amp;(IF($C994="","Commercial",$C994))),Variables!$B$1:$D$1,0),1))*AC994/365),""))</f>
        <v>-21.11379382482982</v>
      </c>
      <c r="AU994" s="12">
        <f>IF($H994="Cancelled","",IFERROR((T994*INDEX(Variables!$B$7:$D$7,IFERROR(MATCH(IF($B994="Robusta","Robusta",(IF($B994="","Arabica",$B994))&amp;" - "&amp;(IF($C994="","Commercial",$C994))),Variables!$B$1:$D$1,0),1))*AP994/365)+(L994/16.67*INDEX(Variables!$B$8:$D$8,IFERROR(MATCH(IF($B994="Robusta","Robusta",(IF($B994="","Arabica",$B994))&amp;" - "&amp;(IF($C994="","Commercial",$C994))),Variables!$B$1:$D$1,0),1))*AP994)+(T994*INDEX(Variables!$B$9:$D$9,IFERROR(MATCH(IF($B994="Robusta","Robusta",(IF($B994="","Arabica",$B994))&amp;" - "&amp;(IF($C994="","Commercial",$C994))),Variables!$B$1:$D$1,0),1))*AP994/365),""))</f>
        <v>-11.72988545823879</v>
      </c>
      <c r="AV994" s="11">
        <f t="shared" si="95"/>
        <v>-20</v>
      </c>
      <c r="AW994" s="12">
        <f>IF($H994="Cancelled","",IFERROR(IF(AV994="","",(T994*INDEX(Variables!$B$7:$D$7,IFERROR(MATCH(IF($B994="Robusta","Robusta",(IF($B994="","Arabica",$B994))&amp;" - "&amp;(IF($C994="","Commercial",$C994))),Variables!$B$1:$D$1,0),1))*(AV994/365))+(T994*INDEX(Variables!$B$9:$D$9,IFERROR(MATCH(IF($B994="Robusta","Robusta",(IF($B994="","Arabica",$B994))&amp;" - "&amp;(IF($C994="","Commercial",$C994))),Variables!$B$1:$D$1,0),1))*(AV994/365))+(INDEX(Variables!$B$8:$D$8,IFERROR(MATCH(IF($B994="Robusta","Robusta",(IF($B994="","Arabica",$B994))&amp;" - "&amp;(IF($C994="","Commercial",$C994))),Variables!$B$1:$D$1,0),1))*L994/16.67)),""))</f>
        <v>-29.069541832955156</v>
      </c>
      <c r="AX994" s="9"/>
      <c r="AY994" s="12"/>
      <c r="AZ994" s="10"/>
      <c r="BA994" s="9"/>
      <c r="BB994" s="10"/>
      <c r="BC994" s="9"/>
      <c r="BD994" s="9"/>
      <c r="BE994" s="9"/>
      <c r="BF994" s="9"/>
    </row>
    <row r="995" spans="1:58" ht="64.5" x14ac:dyDescent="0.25">
      <c r="A995" s="9" t="s">
        <v>84</v>
      </c>
      <c r="B995" s="9" t="s">
        <v>85</v>
      </c>
      <c r="C995" s="9" t="s">
        <v>1486</v>
      </c>
      <c r="D995" s="10">
        <v>45722</v>
      </c>
      <c r="E995" s="10">
        <v>45717</v>
      </c>
      <c r="F995" s="10">
        <v>45747</v>
      </c>
      <c r="G995" s="9">
        <v>3786799</v>
      </c>
      <c r="H995" s="9" t="str">
        <f t="shared" si="93"/>
        <v>Closed</v>
      </c>
      <c r="I995" s="9" t="str">
        <f t="shared" si="94"/>
        <v>All dates received</v>
      </c>
      <c r="J995" s="9" t="s">
        <v>2119</v>
      </c>
      <c r="K995" s="9" t="s">
        <v>2126</v>
      </c>
      <c r="L995" s="11">
        <v>25</v>
      </c>
      <c r="M995" s="13" t="s">
        <v>2127</v>
      </c>
      <c r="N995" s="9"/>
      <c r="O995" s="9"/>
      <c r="P995" s="9"/>
      <c r="Q995" s="11">
        <v>90</v>
      </c>
      <c r="R995" s="9" t="s">
        <v>195</v>
      </c>
      <c r="S995" s="9" t="s">
        <v>2122</v>
      </c>
      <c r="T995" s="12">
        <f>IF($H995="Cancelled","",IFERROR(((Q995+INDEX(Variables!$B$6:$D$6,IFERROR(MATCH(IF($B995="Robusta","Robusta",(IF($B995="","Arabica",$B995))&amp;" - "&amp;(IF($C995="","Commercial",$C995))),Variables!$B$1:$D$1,0),1)))*22.0462)*(L995/16.67),""))</f>
        <v>12590.271385722854</v>
      </c>
      <c r="U995" s="10"/>
      <c r="V995" s="9" t="str">
        <f t="shared" si="96"/>
        <v/>
      </c>
      <c r="W995" s="10">
        <v>45703</v>
      </c>
      <c r="X995" s="9" t="str">
        <f t="shared" si="92"/>
        <v>Approved</v>
      </c>
      <c r="Y995" s="10">
        <v>45731</v>
      </c>
      <c r="Z995" s="10">
        <f>IF($H995="Cancelled","",IFERROR(IF(F995="","",F995-Variables!$B$13),""))</f>
        <v>45732</v>
      </c>
      <c r="AA995" s="11">
        <f>IF($H995="Cancelled","",IFERROR(IF(W995="","",(AVERAGE(E995:F995)-W995)-Variables!$B$14),""))</f>
        <v>-1</v>
      </c>
      <c r="AB995" s="10">
        <v>45755</v>
      </c>
      <c r="AC995" s="11">
        <f>IF($H995="Cancelled","",IFERROR(IF(AB995="","",IF(AND(W995="",Y995=""),"",IF(Y995&gt;W995,Y995+Variables!$B$15+Variables!$B$16+Variables!$B$17-AB995,W995+Variables!$B$16+Variables!$B$17-AB995))),""))</f>
        <v>-9</v>
      </c>
      <c r="AD995" s="9" t="s">
        <v>163</v>
      </c>
      <c r="AE995" s="9" t="s">
        <v>950</v>
      </c>
      <c r="AF995" s="10">
        <v>45767</v>
      </c>
      <c r="AG995" s="10"/>
      <c r="AH995" s="9"/>
      <c r="AI995" s="9">
        <v>252042698</v>
      </c>
      <c r="AJ995" s="9" t="s">
        <v>2123</v>
      </c>
      <c r="AK995" s="10">
        <v>45767</v>
      </c>
      <c r="AL995" s="10">
        <v>45775</v>
      </c>
      <c r="AM995" s="10">
        <v>45804</v>
      </c>
      <c r="AN995" s="9" t="s">
        <v>1492</v>
      </c>
      <c r="AO995" s="9"/>
      <c r="AP995" s="11">
        <f>IF($H995="Cancelled","",IFERROR(IF(OR(AK995="",AB995=""),"",(AB995+Variables!$B$18-AK995)),""))</f>
        <v>-5</v>
      </c>
      <c r="AQ995" s="11">
        <f>IF($H995="Cancelled","",IFERROR(IF(OR(AM995="",AK995=""),"",(AK995+Variables!$B$19)-AM995),""))</f>
        <v>-32</v>
      </c>
      <c r="AR995" s="12">
        <f>IF($H995="Cancelled","",IFERROR(T995*INDEX(Variables!$B$7:$D$7,IFERROR(MATCH(IF($B995="Robusta","Robusta",(IF($B995="","Arabica",$B995))&amp;" - "&amp;(IF($C995="","Commercial",$C995))),Variables!$B$1:$D$1,0),1))*(AQ995/365),""))</f>
        <v>-71.17574992205661</v>
      </c>
      <c r="AS995" s="12">
        <f>IF($H995="Cancelled","",IFERROR((T995*INDEX(Variables!$B$7:$D$7,IFERROR(MATCH(IF($B995="Robusta","Robusta",(IF($B995="","Arabica",$B995))&amp;" - "&amp;(IF($C995="","Commercial",$C995))),Variables!$B$1:$D$1,0),1))*IFERROR(IF(W995="","",(AVERAGE(E995:F995)-W995)-Variables!$B$14),"")/365)+(L995/16.67*INDEX(Variables!$B$8:$D$8,IFERROR(MATCH(IF($B995="Robusta","Robusta",(IF($B995="","Arabica",$B995))&amp;" - "&amp;(IF($C995="","Commercial",$C995))),Variables!$B$1:$D$1,0),1))*IFERROR(IF(W995="","",(AVERAGE(E995:F995)-W995)-Variables!$B$14),""))+(T995*INDEX(Variables!$B$9:$D$9,IFERROR(MATCH(IF($B995="Robusta","Robusta",(IF($B995="","Arabica",$B995))&amp;" - "&amp;(IF($C995="","Commercial",$C995))),Variables!$B$1:$D$1,0),1))*IFERROR(IF(W995="","",(AVERAGE(E995:F995)-W995)-Variables!$B$14),"")/365),""))</f>
        <v>-3.5029169593189304</v>
      </c>
      <c r="AT995" s="12">
        <f>IF($H995="Cancelled","",IFERROR((T995*INDEX(Variables!$B$7:$D$7,IFERROR(MATCH(IF($B995="Robusta","Robusta",(IF($B995="","Arabica",$B995))&amp;" - "&amp;(IF($C995="","Commercial",$C995))),Variables!$B$1:$D$1,0),1))*AC995/365)+(L995/16.67*INDEX(Variables!$B$8:$D$8,IFERROR(MATCH(IF($B995="Robusta","Robusta",(IF($B995="","Arabica",$B995))&amp;" - "&amp;(IF($C995="","Commercial",$C995))),Variables!$B$1:$D$1,0),1))*AC995)+(T995*INDEX(Variables!$B$9:$D$9,IFERROR(MATCH(IF($B995="Robusta","Robusta",(IF($B995="","Arabica",$B995))&amp;" - "&amp;(IF($C995="","Commercial",$C995))),Variables!$B$1:$D$1,0),1))*AC995/365),""))</f>
        <v>-31.526252633870374</v>
      </c>
      <c r="AU995" s="12">
        <f>IF($H995="Cancelled","",IFERROR((T995*INDEX(Variables!$B$7:$D$7,IFERROR(MATCH(IF($B995="Robusta","Robusta",(IF($B995="","Arabica",$B995))&amp;" - "&amp;(IF($C995="","Commercial",$C995))),Variables!$B$1:$D$1,0),1))*AP995/365)+(L995/16.67*INDEX(Variables!$B$8:$D$8,IFERROR(MATCH(IF($B995="Robusta","Robusta",(IF($B995="","Arabica",$B995))&amp;" - "&amp;(IF($C995="","Commercial",$C995))),Variables!$B$1:$D$1,0),1))*AP995)+(T995*INDEX(Variables!$B$9:$D$9,IFERROR(MATCH(IF($B995="Robusta","Robusta",(IF($B995="","Arabica",$B995))&amp;" - "&amp;(IF($C995="","Commercial",$C995))),Variables!$B$1:$D$1,0),1))*AP995/365),""))</f>
        <v>-17.514584796594654</v>
      </c>
      <c r="AV995" s="11">
        <f t="shared" si="95"/>
        <v>-20</v>
      </c>
      <c r="AW995" s="12">
        <f>IF($H995="Cancelled","",IFERROR(IF(AV995="","",(T995*INDEX(Variables!$B$7:$D$7,IFERROR(MATCH(IF($B995="Robusta","Robusta",(IF($B995="","Arabica",$B995))&amp;" - "&amp;(IF($C995="","Commercial",$C995))),Variables!$B$1:$D$1,0),1))*(AV995/365))+(T995*INDEX(Variables!$B$9:$D$9,IFERROR(MATCH(IF($B995="Robusta","Robusta",(IF($B995="","Arabica",$B995))&amp;" - "&amp;(IF($C995="","Commercial",$C995))),Variables!$B$1:$D$1,0),1))*(AV995/365))+(INDEX(Variables!$B$8:$D$8,IFERROR(MATCH(IF($B995="Robusta","Robusta",(IF($B995="","Arabica",$B995))&amp;" - "&amp;(IF($C995="","Commercial",$C995))),Variables!$B$1:$D$1,0),1))*L995/16.67)),""))</f>
        <v>-43.808339186378603</v>
      </c>
      <c r="AX995" s="9"/>
      <c r="AY995" s="12"/>
      <c r="AZ995" s="10"/>
      <c r="BA995" s="9"/>
      <c r="BB995" s="10"/>
      <c r="BC995" s="9"/>
      <c r="BD995" s="9"/>
      <c r="BE995" s="9"/>
      <c r="BF995" s="9"/>
    </row>
    <row r="996" spans="1:58" ht="64.5" x14ac:dyDescent="0.25">
      <c r="A996" s="9" t="s">
        <v>84</v>
      </c>
      <c r="B996" s="9" t="s">
        <v>85</v>
      </c>
      <c r="C996" s="9" t="s">
        <v>1486</v>
      </c>
      <c r="D996" s="10">
        <v>45722</v>
      </c>
      <c r="E996" s="10">
        <v>45717</v>
      </c>
      <c r="F996" s="10">
        <v>45747</v>
      </c>
      <c r="G996" s="9">
        <v>3786800</v>
      </c>
      <c r="H996" s="9" t="str">
        <f t="shared" si="93"/>
        <v>Closed</v>
      </c>
      <c r="I996" s="9" t="str">
        <f t="shared" si="94"/>
        <v>All dates received</v>
      </c>
      <c r="J996" s="9" t="s">
        <v>2119</v>
      </c>
      <c r="K996" s="9" t="s">
        <v>2128</v>
      </c>
      <c r="L996" s="11">
        <v>15</v>
      </c>
      <c r="M996" s="13" t="s">
        <v>2129</v>
      </c>
      <c r="N996" s="9"/>
      <c r="O996" s="9"/>
      <c r="P996" s="9"/>
      <c r="Q996" s="11">
        <v>111.05</v>
      </c>
      <c r="R996" s="9" t="s">
        <v>195</v>
      </c>
      <c r="S996" s="9" t="s">
        <v>2122</v>
      </c>
      <c r="T996" s="12">
        <f>IF($H996="Cancelled","",IFERROR(((Q996+INDEX(Variables!$B$6:$D$6,IFERROR(MATCH(IF($B996="Robusta","Robusta",(IF($B996="","Arabica",$B996))&amp;" - "&amp;(IF($C996="","Commercial",$C996))),Variables!$B$1:$D$1,0),1)))*22.0462)*(L996/16.67),""))</f>
        <v>7971.7445740851826</v>
      </c>
      <c r="U996" s="10"/>
      <c r="V996" s="9" t="str">
        <f t="shared" si="96"/>
        <v/>
      </c>
      <c r="W996" s="10">
        <v>45703</v>
      </c>
      <c r="X996" s="9" t="str">
        <f t="shared" si="92"/>
        <v>Approved</v>
      </c>
      <c r="Y996" s="10">
        <v>45731</v>
      </c>
      <c r="Z996" s="10">
        <f>IF($H996="Cancelled","",IFERROR(IF(F996="","",F996-Variables!$B$13),""))</f>
        <v>45732</v>
      </c>
      <c r="AA996" s="11">
        <f>IF($H996="Cancelled","",IFERROR(IF(W996="","",(AVERAGE(E996:F996)-W996)-Variables!$B$14),""))</f>
        <v>-1</v>
      </c>
      <c r="AB996" s="10">
        <v>45755</v>
      </c>
      <c r="AC996" s="11">
        <f>IF($H996="Cancelled","",IFERROR(IF(AB996="","",IF(AND(W996="",Y996=""),"",IF(Y996&gt;W996,Y996+Variables!$B$15+Variables!$B$16+Variables!$B$17-AB996,W996+Variables!$B$16+Variables!$B$17-AB996))),""))</f>
        <v>-9</v>
      </c>
      <c r="AD996" s="9" t="s">
        <v>163</v>
      </c>
      <c r="AE996" s="9" t="s">
        <v>950</v>
      </c>
      <c r="AF996" s="10">
        <v>45767</v>
      </c>
      <c r="AG996" s="10"/>
      <c r="AH996" s="9"/>
      <c r="AI996" s="9">
        <v>252042698</v>
      </c>
      <c r="AJ996" s="9" t="s">
        <v>2123</v>
      </c>
      <c r="AK996" s="10">
        <v>45767</v>
      </c>
      <c r="AL996" s="10">
        <v>45775</v>
      </c>
      <c r="AM996" s="10">
        <v>45804</v>
      </c>
      <c r="AN996" s="9" t="s">
        <v>1492</v>
      </c>
      <c r="AO996" s="9"/>
      <c r="AP996" s="11">
        <f>IF($H996="Cancelled","",IFERROR(IF(OR(AK996="",AB996=""),"",(AB996+Variables!$B$18-AK996)),""))</f>
        <v>-5</v>
      </c>
      <c r="AQ996" s="11">
        <f>IF($H996="Cancelled","",IFERROR(IF(OR(AM996="",AK996=""),"",(AK996+Variables!$B$19)-AM996),""))</f>
        <v>-32</v>
      </c>
      <c r="AR996" s="12">
        <f>IF($H996="Cancelled","",IFERROR(T996*INDEX(Variables!$B$7:$D$7,IFERROR(MATCH(IF($B996="Robusta","Robusta",(IF($B996="","Arabica",$B996))&amp;" - "&amp;(IF($C996="","Commercial",$C996))),Variables!$B$1:$D$1,0),1))*(AQ996/365),""))</f>
        <v>-45.066137247129916</v>
      </c>
      <c r="AS996" s="12">
        <f>IF($H996="Cancelled","",IFERROR((T996*INDEX(Variables!$B$7:$D$7,IFERROR(MATCH(IF($B996="Robusta","Robusta",(IF($B996="","Arabica",$B996))&amp;" - "&amp;(IF($C996="","Commercial",$C996))),Variables!$B$1:$D$1,0),1))*IFERROR(IF(W996="","",(AVERAGE(E996:F996)-W996)-Variables!$B$14),"")/365)+(L996/16.67*INDEX(Variables!$B$8:$D$8,IFERROR(MATCH(IF($B996="Robusta","Robusta",(IF($B996="","Arabica",$B996))&amp;" - "&amp;(IF($C996="","Commercial",$C996))),Variables!$B$1:$D$1,0),1))*IFERROR(IF(W996="","",(AVERAGE(E996:F996)-W996)-Variables!$B$14),""))+(T996*INDEX(Variables!$B$9:$D$9,IFERROR(MATCH(IF($B996="Robusta","Robusta",(IF($B996="","Arabica",$B996))&amp;" - "&amp;(IF($C996="","Commercial",$C996))),Variables!$B$1:$D$1,0),1))*IFERROR(IF(W996="","",(AVERAGE(E996:F996)-W996)-Variables!$B$14),"")/365),""))</f>
        <v>-2.1764727102452399</v>
      </c>
      <c r="AT996" s="12">
        <f>IF($H996="Cancelled","",IFERROR((T996*INDEX(Variables!$B$7:$D$7,IFERROR(MATCH(IF($B996="Robusta","Robusta",(IF($B996="","Arabica",$B996))&amp;" - "&amp;(IF($C996="","Commercial",$C996))),Variables!$B$1:$D$1,0),1))*AC996/365)+(L996/16.67*INDEX(Variables!$B$8:$D$8,IFERROR(MATCH(IF($B996="Robusta","Robusta",(IF($B996="","Arabica",$B996))&amp;" - "&amp;(IF($C996="","Commercial",$C996))),Variables!$B$1:$D$1,0),1))*AC996)+(T996*INDEX(Variables!$B$9:$D$9,IFERROR(MATCH(IF($B996="Robusta","Robusta",(IF($B996="","Arabica",$B996))&amp;" - "&amp;(IF($C996="","Commercial",$C996))),Variables!$B$1:$D$1,0),1))*AC996/365),""))</f>
        <v>-19.588254392207162</v>
      </c>
      <c r="AU996" s="12">
        <f>IF($H996="Cancelled","",IFERROR((T996*INDEX(Variables!$B$7:$D$7,IFERROR(MATCH(IF($B996="Robusta","Robusta",(IF($B996="","Arabica",$B996))&amp;" - "&amp;(IF($C996="","Commercial",$C996))),Variables!$B$1:$D$1,0),1))*AP996/365)+(L996/16.67*INDEX(Variables!$B$8:$D$8,IFERROR(MATCH(IF($B996="Robusta","Robusta",(IF($B996="","Arabica",$B996))&amp;" - "&amp;(IF($C996="","Commercial",$C996))),Variables!$B$1:$D$1,0),1))*AP996)+(T996*INDEX(Variables!$B$9:$D$9,IFERROR(MATCH(IF($B996="Robusta","Robusta",(IF($B996="","Arabica",$B996))&amp;" - "&amp;(IF($C996="","Commercial",$C996))),Variables!$B$1:$D$1,0),1))*AP996/365),""))</f>
        <v>-10.882363551226202</v>
      </c>
      <c r="AV996" s="11">
        <f t="shared" si="95"/>
        <v>-20</v>
      </c>
      <c r="AW996" s="12">
        <f>IF($H996="Cancelled","",IFERROR(IF(AV996="","",(T996*INDEX(Variables!$B$7:$D$7,IFERROR(MATCH(IF($B996="Robusta","Robusta",(IF($B996="","Arabica",$B996))&amp;" - "&amp;(IF($C996="","Commercial",$C996))),Variables!$B$1:$D$1,0),1))*(AV996/365))+(T996*INDEX(Variables!$B$9:$D$9,IFERROR(MATCH(IF($B996="Robusta","Robusta",(IF($B996="","Arabica",$B996))&amp;" - "&amp;(IF($C996="","Commercial",$C996))),Variables!$B$1:$D$1,0),1))*(AV996/365))+(INDEX(Variables!$B$8:$D$8,IFERROR(MATCH(IF($B996="Robusta","Robusta",(IF($B996="","Arabica",$B996))&amp;" - "&amp;(IF($C996="","Commercial",$C996))),Variables!$B$1:$D$1,0),1))*L996/16.67)),""))</f>
        <v>-27.779454204904802</v>
      </c>
      <c r="AX996" s="9"/>
      <c r="AY996" s="12"/>
      <c r="AZ996" s="10"/>
      <c r="BA996" s="9"/>
      <c r="BB996" s="10"/>
      <c r="BC996" s="9"/>
      <c r="BD996" s="9"/>
      <c r="BE996" s="9"/>
      <c r="BF996" s="9"/>
    </row>
    <row r="997" spans="1:58" x14ac:dyDescent="0.25">
      <c r="A997" s="9" t="s">
        <v>84</v>
      </c>
      <c r="B997" s="9" t="s">
        <v>85</v>
      </c>
      <c r="C997" s="9" t="s">
        <v>1486</v>
      </c>
      <c r="D997" s="10">
        <v>45722</v>
      </c>
      <c r="E997" s="10">
        <v>45717</v>
      </c>
      <c r="F997" s="10">
        <v>45747</v>
      </c>
      <c r="G997" s="9">
        <v>3786801</v>
      </c>
      <c r="H997" s="9" t="str">
        <f t="shared" si="93"/>
        <v>Closed</v>
      </c>
      <c r="I997" s="9" t="str">
        <f t="shared" si="94"/>
        <v>All dates received</v>
      </c>
      <c r="J997" s="9" t="s">
        <v>2119</v>
      </c>
      <c r="K997" s="9" t="s">
        <v>2130</v>
      </c>
      <c r="L997" s="11">
        <v>5</v>
      </c>
      <c r="M997" s="9" t="s">
        <v>2131</v>
      </c>
      <c r="N997" s="9"/>
      <c r="O997" s="9"/>
      <c r="P997" s="9"/>
      <c r="Q997" s="11">
        <v>111.05</v>
      </c>
      <c r="R997" s="9" t="s">
        <v>195</v>
      </c>
      <c r="S997" s="9" t="s">
        <v>2122</v>
      </c>
      <c r="T997" s="12">
        <f>IF($H997="Cancelled","",IFERROR(((Q997+INDEX(Variables!$B$6:$D$6,IFERROR(MATCH(IF($B997="Robusta","Robusta",(IF($B997="","Arabica",$B997))&amp;" - "&amp;(IF($C997="","Commercial",$C997))),Variables!$B$1:$D$1,0),1)))*22.0462)*(L997/16.67),""))</f>
        <v>2657.2481913617275</v>
      </c>
      <c r="U997" s="10"/>
      <c r="V997" s="9" t="str">
        <f t="shared" si="96"/>
        <v/>
      </c>
      <c r="W997" s="10">
        <v>45703</v>
      </c>
      <c r="X997" s="9" t="str">
        <f t="shared" si="92"/>
        <v>Approved</v>
      </c>
      <c r="Y997" s="10">
        <v>45731</v>
      </c>
      <c r="Z997" s="10">
        <f>IF($H997="Cancelled","",IFERROR(IF(F997="","",F997-Variables!$B$13),""))</f>
        <v>45732</v>
      </c>
      <c r="AA997" s="11">
        <f>IF($H997="Cancelled","",IFERROR(IF(W997="","",(AVERAGE(E997:F997)-W997)-Variables!$B$14),""))</f>
        <v>-1</v>
      </c>
      <c r="AB997" s="10">
        <v>45755</v>
      </c>
      <c r="AC997" s="11">
        <f>IF($H997="Cancelled","",IFERROR(IF(AB997="","",IF(AND(W997="",Y997=""),"",IF(Y997&gt;W997,Y997+Variables!$B$15+Variables!$B$16+Variables!$B$17-AB997,W997+Variables!$B$16+Variables!$B$17-AB997))),""))</f>
        <v>-9</v>
      </c>
      <c r="AD997" s="9" t="s">
        <v>163</v>
      </c>
      <c r="AE997" s="9" t="s">
        <v>950</v>
      </c>
      <c r="AF997" s="10">
        <v>45767</v>
      </c>
      <c r="AG997" s="10"/>
      <c r="AH997" s="9"/>
      <c r="AI997" s="9">
        <v>252042698</v>
      </c>
      <c r="AJ997" s="9" t="s">
        <v>2123</v>
      </c>
      <c r="AK997" s="10">
        <v>45767</v>
      </c>
      <c r="AL997" s="10">
        <v>45775</v>
      </c>
      <c r="AM997" s="10">
        <v>45804</v>
      </c>
      <c r="AN997" s="9" t="s">
        <v>1492</v>
      </c>
      <c r="AO997" s="9"/>
      <c r="AP997" s="11">
        <f>IF($H997="Cancelled","",IFERROR(IF(OR(AK997="",AB997=""),"",(AB997+Variables!$B$18-AK997)),""))</f>
        <v>-5</v>
      </c>
      <c r="AQ997" s="11">
        <f>IF($H997="Cancelled","",IFERROR(IF(OR(AM997="",AK997=""),"",(AK997+Variables!$B$19)-AM997),""))</f>
        <v>-32</v>
      </c>
      <c r="AR997" s="12">
        <f>IF($H997="Cancelled","",IFERROR(T997*INDEX(Variables!$B$7:$D$7,IFERROR(MATCH(IF($B997="Robusta","Robusta",(IF($B997="","Arabica",$B997))&amp;" - "&amp;(IF($C997="","Commercial",$C997))),Variables!$B$1:$D$1,0),1))*(AQ997/365),""))</f>
        <v>-15.022045749043304</v>
      </c>
      <c r="AS997" s="12">
        <f>IF($H997="Cancelled","",IFERROR((T997*INDEX(Variables!$B$7:$D$7,IFERROR(MATCH(IF($B997="Robusta","Robusta",(IF($B997="","Arabica",$B997))&amp;" - "&amp;(IF($C997="","Commercial",$C997))),Variables!$B$1:$D$1,0),1))*IFERROR(IF(W997="","",(AVERAGE(E997:F997)-W997)-Variables!$B$14),"")/365)+(L997/16.67*INDEX(Variables!$B$8:$D$8,IFERROR(MATCH(IF($B997="Robusta","Robusta",(IF($B997="","Arabica",$B997))&amp;" - "&amp;(IF($C997="","Commercial",$C997))),Variables!$B$1:$D$1,0),1))*IFERROR(IF(W997="","",(AVERAGE(E997:F997)-W997)-Variables!$B$14),""))+(T997*INDEX(Variables!$B$9:$D$9,IFERROR(MATCH(IF($B997="Robusta","Robusta",(IF($B997="","Arabica",$B997))&amp;" - "&amp;(IF($C997="","Commercial",$C997))),Variables!$B$1:$D$1,0),1))*IFERROR(IF(W997="","",(AVERAGE(E997:F997)-W997)-Variables!$B$14),"")/365),""))</f>
        <v>-0.72549090341507994</v>
      </c>
      <c r="AT997" s="12">
        <f>IF($H997="Cancelled","",IFERROR((T997*INDEX(Variables!$B$7:$D$7,IFERROR(MATCH(IF($B997="Robusta","Robusta",(IF($B997="","Arabica",$B997))&amp;" - "&amp;(IF($C997="","Commercial",$C997))),Variables!$B$1:$D$1,0),1))*AC997/365)+(L997/16.67*INDEX(Variables!$B$8:$D$8,IFERROR(MATCH(IF($B997="Robusta","Robusta",(IF($B997="","Arabica",$B997))&amp;" - "&amp;(IF($C997="","Commercial",$C997))),Variables!$B$1:$D$1,0),1))*AC997)+(T997*INDEX(Variables!$B$9:$D$9,IFERROR(MATCH(IF($B997="Robusta","Robusta",(IF($B997="","Arabica",$B997))&amp;" - "&amp;(IF($C997="","Commercial",$C997))),Variables!$B$1:$D$1,0),1))*AC997/365),""))</f>
        <v>-6.5294181307357197</v>
      </c>
      <c r="AU997" s="12">
        <f>IF($H997="Cancelled","",IFERROR((T997*INDEX(Variables!$B$7:$D$7,IFERROR(MATCH(IF($B997="Robusta","Robusta",(IF($B997="","Arabica",$B997))&amp;" - "&amp;(IF($C997="","Commercial",$C997))),Variables!$B$1:$D$1,0),1))*AP997/365)+(L997/16.67*INDEX(Variables!$B$8:$D$8,IFERROR(MATCH(IF($B997="Robusta","Robusta",(IF($B997="","Arabica",$B997))&amp;" - "&amp;(IF($C997="","Commercial",$C997))),Variables!$B$1:$D$1,0),1))*AP997)+(T997*INDEX(Variables!$B$9:$D$9,IFERROR(MATCH(IF($B997="Robusta","Robusta",(IF($B997="","Arabica",$B997))&amp;" - "&amp;(IF($C997="","Commercial",$C997))),Variables!$B$1:$D$1,0),1))*AP997/365),""))</f>
        <v>-3.6274545170753996</v>
      </c>
      <c r="AV997" s="11">
        <f t="shared" si="95"/>
        <v>-20</v>
      </c>
      <c r="AW997" s="12">
        <f>IF($H997="Cancelled","",IFERROR(IF(AV997="","",(T997*INDEX(Variables!$B$7:$D$7,IFERROR(MATCH(IF($B997="Robusta","Robusta",(IF($B997="","Arabica",$B997))&amp;" - "&amp;(IF($C997="","Commercial",$C997))),Variables!$B$1:$D$1,0),1))*(AV997/365))+(T997*INDEX(Variables!$B$9:$D$9,IFERROR(MATCH(IF($B997="Robusta","Robusta",(IF($B997="","Arabica",$B997))&amp;" - "&amp;(IF($C997="","Commercial",$C997))),Variables!$B$1:$D$1,0),1))*(AV997/365))+(INDEX(Variables!$B$8:$D$8,IFERROR(MATCH(IF($B997="Robusta","Robusta",(IF($B997="","Arabica",$B997))&amp;" - "&amp;(IF($C997="","Commercial",$C997))),Variables!$B$1:$D$1,0),1))*L997/16.67)),""))</f>
        <v>-9.2598180683015983</v>
      </c>
      <c r="AX997" s="9"/>
      <c r="AY997" s="12"/>
      <c r="AZ997" s="10"/>
      <c r="BA997" s="9"/>
      <c r="BB997" s="10"/>
      <c r="BC997" s="9"/>
      <c r="BD997" s="9"/>
      <c r="BE997" s="9"/>
      <c r="BF997" s="9"/>
    </row>
    <row r="998" spans="1:58" x14ac:dyDescent="0.25">
      <c r="A998" s="9" t="s">
        <v>84</v>
      </c>
      <c r="B998" s="9" t="s">
        <v>85</v>
      </c>
      <c r="C998" s="9" t="s">
        <v>1486</v>
      </c>
      <c r="D998" s="10">
        <v>45722</v>
      </c>
      <c r="E998" s="10">
        <v>45717</v>
      </c>
      <c r="F998" s="10">
        <v>45747</v>
      </c>
      <c r="G998" s="9">
        <v>3786802</v>
      </c>
      <c r="H998" s="9" t="str">
        <f t="shared" si="93"/>
        <v>Closed</v>
      </c>
      <c r="I998" s="9" t="str">
        <f t="shared" si="94"/>
        <v>All dates received</v>
      </c>
      <c r="J998" s="9" t="s">
        <v>2119</v>
      </c>
      <c r="K998" s="9" t="s">
        <v>2132</v>
      </c>
      <c r="L998" s="11">
        <v>16</v>
      </c>
      <c r="M998" s="9" t="s">
        <v>2133</v>
      </c>
      <c r="N998" s="9"/>
      <c r="O998" s="9"/>
      <c r="P998" s="9"/>
      <c r="Q998" s="11">
        <v>103</v>
      </c>
      <c r="R998" s="9" t="s">
        <v>195</v>
      </c>
      <c r="S998" s="9" t="s">
        <v>2122</v>
      </c>
      <c r="T998" s="12">
        <f>IF($H998="Cancelled","",IFERROR(((Q998+INDEX(Variables!$B$6:$D$6,IFERROR(MATCH(IF($B998="Robusta","Robusta",(IF($B998="","Arabica",$B998))&amp;" - "&amp;(IF($C998="","Commercial",$C998))),Variables!$B$1:$D$1,0),1)))*22.0462)*(L998/16.67),""))</f>
        <v>8332.8552465506891</v>
      </c>
      <c r="U998" s="10"/>
      <c r="V998" s="9" t="str">
        <f t="shared" si="96"/>
        <v/>
      </c>
      <c r="W998" s="10">
        <v>45703</v>
      </c>
      <c r="X998" s="9" t="str">
        <f t="shared" si="92"/>
        <v>Approved</v>
      </c>
      <c r="Y998" s="10">
        <v>45731</v>
      </c>
      <c r="Z998" s="10">
        <f>IF($H998="Cancelled","",IFERROR(IF(F998="","",F998-Variables!$B$13),""))</f>
        <v>45732</v>
      </c>
      <c r="AA998" s="11">
        <f>IF($H998="Cancelled","",IFERROR(IF(W998="","",(AVERAGE(E998:F998)-W998)-Variables!$B$14),""))</f>
        <v>-1</v>
      </c>
      <c r="AB998" s="10">
        <v>45755</v>
      </c>
      <c r="AC998" s="11">
        <f>IF($H998="Cancelled","",IFERROR(IF(AB998="","",IF(AND(W998="",Y998=""),"",IF(Y998&gt;W998,Y998+Variables!$B$15+Variables!$B$16+Variables!$B$17-AB998,W998+Variables!$B$16+Variables!$B$17-AB998))),""))</f>
        <v>-9</v>
      </c>
      <c r="AD998" s="9" t="s">
        <v>163</v>
      </c>
      <c r="AE998" s="9" t="s">
        <v>950</v>
      </c>
      <c r="AF998" s="10">
        <v>45767</v>
      </c>
      <c r="AG998" s="10"/>
      <c r="AH998" s="9"/>
      <c r="AI998" s="9">
        <v>252042698</v>
      </c>
      <c r="AJ998" s="9" t="s">
        <v>2123</v>
      </c>
      <c r="AK998" s="10">
        <v>45767</v>
      </c>
      <c r="AL998" s="10">
        <v>45775</v>
      </c>
      <c r="AM998" s="10">
        <v>45804</v>
      </c>
      <c r="AN998" s="9" t="s">
        <v>1492</v>
      </c>
      <c r="AO998" s="9"/>
      <c r="AP998" s="11">
        <f>IF($H998="Cancelled","",IFERROR(IF(OR(AK998="",AB998=""),"",(AB998+Variables!$B$18-AK998)),""))</f>
        <v>-5</v>
      </c>
      <c r="AQ998" s="11">
        <f>IF($H998="Cancelled","",IFERROR(IF(OR(AM998="",AK998=""),"",(AK998+Variables!$B$19)-AM998),""))</f>
        <v>-32</v>
      </c>
      <c r="AR998" s="12">
        <f>IF($H998="Cancelled","",IFERROR(T998*INDEX(Variables!$B$7:$D$7,IFERROR(MATCH(IF($B998="Robusta","Robusta",(IF($B998="","Arabica",$B998))&amp;" - "&amp;(IF($C998="","Commercial",$C998))),Variables!$B$1:$D$1,0),1))*(AQ998/365),""))</f>
        <v>-47.107580368581338</v>
      </c>
      <c r="AS998" s="12">
        <f>IF($H998="Cancelled","",IFERROR((T998*INDEX(Variables!$B$7:$D$7,IFERROR(MATCH(IF($B998="Robusta","Robusta",(IF($B998="","Arabica",$B998))&amp;" - "&amp;(IF($C998="","Commercial",$C998))),Variables!$B$1:$D$1,0),1))*IFERROR(IF(W998="","",(AVERAGE(E998:F998)-W998)-Variables!$B$14),"")/365)+(L998/16.67*INDEX(Variables!$B$8:$D$8,IFERROR(MATCH(IF($B998="Robusta","Robusta",(IF($B998="","Arabica",$B998))&amp;" - "&amp;(IF($C998="","Commercial",$C998))),Variables!$B$1:$D$1,0),1))*IFERROR(IF(W998="","",(AVERAGE(E998:F998)-W998)-Variables!$B$14),""))+(T998*INDEX(Variables!$B$9:$D$9,IFERROR(MATCH(IF($B998="Robusta","Robusta",(IF($B998="","Arabica",$B998))&amp;" - "&amp;(IF($C998="","Commercial",$C998))),Variables!$B$1:$D$1,0),1))*IFERROR(IF(W998="","",(AVERAGE(E998:F998)-W998)-Variables!$B$14),"")/365),""))</f>
        <v>-2.2910902497139412</v>
      </c>
      <c r="AT998" s="12">
        <f>IF($H998="Cancelled","",IFERROR((T998*INDEX(Variables!$B$7:$D$7,IFERROR(MATCH(IF($B998="Robusta","Robusta",(IF($B998="","Arabica",$B998))&amp;" - "&amp;(IF($C998="","Commercial",$C998))),Variables!$B$1:$D$1,0),1))*AC998/365)+(L998/16.67*INDEX(Variables!$B$8:$D$8,IFERROR(MATCH(IF($B998="Robusta","Robusta",(IF($B998="","Arabica",$B998))&amp;" - "&amp;(IF($C998="","Commercial",$C998))),Variables!$B$1:$D$1,0),1))*AC998)+(T998*INDEX(Variables!$B$9:$D$9,IFERROR(MATCH(IF($B998="Robusta","Robusta",(IF($B998="","Arabica",$B998))&amp;" - "&amp;(IF($C998="","Commercial",$C998))),Variables!$B$1:$D$1,0),1))*AC998/365),""))</f>
        <v>-20.619812247425468</v>
      </c>
      <c r="AU998" s="12">
        <f>IF($H998="Cancelled","",IFERROR((T998*INDEX(Variables!$B$7:$D$7,IFERROR(MATCH(IF($B998="Robusta","Robusta",(IF($B998="","Arabica",$B998))&amp;" - "&amp;(IF($C998="","Commercial",$C998))),Variables!$B$1:$D$1,0),1))*AP998/365)+(L998/16.67*INDEX(Variables!$B$8:$D$8,IFERROR(MATCH(IF($B998="Robusta","Robusta",(IF($B998="","Arabica",$B998))&amp;" - "&amp;(IF($C998="","Commercial",$C998))),Variables!$B$1:$D$1,0),1))*AP998)+(T998*INDEX(Variables!$B$9:$D$9,IFERROR(MATCH(IF($B998="Robusta","Robusta",(IF($B998="","Arabica",$B998))&amp;" - "&amp;(IF($C998="","Commercial",$C998))),Variables!$B$1:$D$1,0),1))*AP998/365),""))</f>
        <v>-11.455451248569704</v>
      </c>
      <c r="AV998" s="11">
        <f t="shared" si="95"/>
        <v>-20</v>
      </c>
      <c r="AW998" s="12">
        <f>IF($H998="Cancelled","",IFERROR(IF(AV998="","",(T998*INDEX(Variables!$B$7:$D$7,IFERROR(MATCH(IF($B998="Robusta","Robusta",(IF($B998="","Arabica",$B998))&amp;" - "&amp;(IF($C998="","Commercial",$C998))),Variables!$B$1:$D$1,0),1))*(AV998/365))+(T998*INDEX(Variables!$B$9:$D$9,IFERROR(MATCH(IF($B998="Robusta","Robusta",(IF($B998="","Arabica",$B998))&amp;" - "&amp;(IF($C998="","Commercial",$C998))),Variables!$B$1:$D$1,0),1))*(AV998/365))+(INDEX(Variables!$B$8:$D$8,IFERROR(MATCH(IF($B998="Robusta","Robusta",(IF($B998="","Arabica",$B998))&amp;" - "&amp;(IF($C998="","Commercial",$C998))),Variables!$B$1:$D$1,0),1))*L998/16.67)),""))</f>
        <v>-29.021804994278813</v>
      </c>
      <c r="AX998" s="9"/>
      <c r="AY998" s="12"/>
      <c r="AZ998" s="10"/>
      <c r="BA998" s="9"/>
      <c r="BB998" s="10"/>
      <c r="BC998" s="9"/>
      <c r="BD998" s="9"/>
      <c r="BE998" s="9"/>
      <c r="BF998" s="9"/>
    </row>
    <row r="999" spans="1:58" x14ac:dyDescent="0.25">
      <c r="A999" s="9" t="s">
        <v>84</v>
      </c>
      <c r="B999" s="9" t="s">
        <v>85</v>
      </c>
      <c r="C999" s="9" t="s">
        <v>1486</v>
      </c>
      <c r="D999" s="10">
        <v>45722</v>
      </c>
      <c r="E999" s="10">
        <v>45717</v>
      </c>
      <c r="F999" s="10">
        <v>45747</v>
      </c>
      <c r="G999" s="9">
        <v>3786803</v>
      </c>
      <c r="H999" s="9" t="str">
        <f t="shared" si="93"/>
        <v>Closed</v>
      </c>
      <c r="I999" s="9" t="str">
        <f t="shared" si="94"/>
        <v>All dates received</v>
      </c>
      <c r="J999" s="9" t="s">
        <v>2119</v>
      </c>
      <c r="K999" s="9" t="s">
        <v>2134</v>
      </c>
      <c r="L999" s="11">
        <v>5</v>
      </c>
      <c r="M999" s="9" t="s">
        <v>2135</v>
      </c>
      <c r="N999" s="9"/>
      <c r="O999" s="9"/>
      <c r="P999" s="9"/>
      <c r="Q999" s="11">
        <v>103</v>
      </c>
      <c r="R999" s="9" t="s">
        <v>195</v>
      </c>
      <c r="S999" s="9" t="s">
        <v>2122</v>
      </c>
      <c r="T999" s="12">
        <f>IF($H999="Cancelled","",IFERROR(((Q999+INDEX(Variables!$B$6:$D$6,IFERROR(MATCH(IF($B999="Robusta","Robusta",(IF($B999="","Arabica",$B999))&amp;" - "&amp;(IF($C999="","Commercial",$C999))),Variables!$B$1:$D$1,0),1)))*22.0462)*(L999/16.67),""))</f>
        <v>2604.0172645470902</v>
      </c>
      <c r="U999" s="10"/>
      <c r="V999" s="9" t="str">
        <f t="shared" si="96"/>
        <v/>
      </c>
      <c r="W999" s="10">
        <v>45703</v>
      </c>
      <c r="X999" s="9" t="str">
        <f t="shared" si="92"/>
        <v>Approved</v>
      </c>
      <c r="Y999" s="10">
        <v>45731</v>
      </c>
      <c r="Z999" s="10">
        <f>IF($H999="Cancelled","",IFERROR(IF(F999="","",F999-Variables!$B$13),""))</f>
        <v>45732</v>
      </c>
      <c r="AA999" s="11">
        <f>IF($H999="Cancelled","",IFERROR(IF(W999="","",(AVERAGE(E999:F999)-W999)-Variables!$B$14),""))</f>
        <v>-1</v>
      </c>
      <c r="AB999" s="10">
        <v>45755</v>
      </c>
      <c r="AC999" s="11">
        <f>IF($H999="Cancelled","",IFERROR(IF(AB999="","",IF(AND(W999="",Y999=""),"",IF(Y999&gt;W999,Y999+Variables!$B$15+Variables!$B$16+Variables!$B$17-AB999,W999+Variables!$B$16+Variables!$B$17-AB999))),""))</f>
        <v>-9</v>
      </c>
      <c r="AD999" s="9" t="s">
        <v>163</v>
      </c>
      <c r="AE999" s="9" t="s">
        <v>950</v>
      </c>
      <c r="AF999" s="10">
        <v>45767</v>
      </c>
      <c r="AG999" s="10"/>
      <c r="AH999" s="9"/>
      <c r="AI999" s="9">
        <v>252042698</v>
      </c>
      <c r="AJ999" s="9" t="s">
        <v>2123</v>
      </c>
      <c r="AK999" s="10">
        <v>45767</v>
      </c>
      <c r="AL999" s="10">
        <v>45775</v>
      </c>
      <c r="AM999" s="10">
        <v>45804</v>
      </c>
      <c r="AN999" s="9" t="s">
        <v>1492</v>
      </c>
      <c r="AO999" s="9"/>
      <c r="AP999" s="11">
        <f>IF($H999="Cancelled","",IFERROR(IF(OR(AK999="",AB999=""),"",(AB999+Variables!$B$18-AK999)),""))</f>
        <v>-5</v>
      </c>
      <c r="AQ999" s="11">
        <f>IF($H999="Cancelled","",IFERROR(IF(OR(AM999="",AK999=""),"",(AK999+Variables!$B$19)-AM999),""))</f>
        <v>-32</v>
      </c>
      <c r="AR999" s="12">
        <f>IF($H999="Cancelled","",IFERROR(T999*INDEX(Variables!$B$7:$D$7,IFERROR(MATCH(IF($B999="Robusta","Robusta",(IF($B999="","Arabica",$B999))&amp;" - "&amp;(IF($C999="","Commercial",$C999))),Variables!$B$1:$D$1,0),1))*(AQ999/365),""))</f>
        <v>-14.721118865181667</v>
      </c>
      <c r="AS999" s="12">
        <f>IF($H999="Cancelled","",IFERROR((T999*INDEX(Variables!$B$7:$D$7,IFERROR(MATCH(IF($B999="Robusta","Robusta",(IF($B999="","Arabica",$B999))&amp;" - "&amp;(IF($C999="","Commercial",$C999))),Variables!$B$1:$D$1,0),1))*IFERROR(IF(W999="","",(AVERAGE(E999:F999)-W999)-Variables!$B$14),"")/365)+(L999/16.67*INDEX(Variables!$B$8:$D$8,IFERROR(MATCH(IF($B999="Robusta","Robusta",(IF($B999="","Arabica",$B999))&amp;" - "&amp;(IF($C999="","Commercial",$C999))),Variables!$B$1:$D$1,0),1))*IFERROR(IF(W999="","",(AVERAGE(E999:F999)-W999)-Variables!$B$14),""))+(T999*INDEX(Variables!$B$9:$D$9,IFERROR(MATCH(IF($B999="Robusta","Robusta",(IF($B999="","Arabica",$B999))&amp;" - "&amp;(IF($C999="","Commercial",$C999))),Variables!$B$1:$D$1,0),1))*IFERROR(IF(W999="","",(AVERAGE(E999:F999)-W999)-Variables!$B$14),"")/365),""))</f>
        <v>-0.71596570303560647</v>
      </c>
      <c r="AT999" s="12">
        <f>IF($H999="Cancelled","",IFERROR((T999*INDEX(Variables!$B$7:$D$7,IFERROR(MATCH(IF($B999="Robusta","Robusta",(IF($B999="","Arabica",$B999))&amp;" - "&amp;(IF($C999="","Commercial",$C999))),Variables!$B$1:$D$1,0),1))*AC999/365)+(L999/16.67*INDEX(Variables!$B$8:$D$8,IFERROR(MATCH(IF($B999="Robusta","Robusta",(IF($B999="","Arabica",$B999))&amp;" - "&amp;(IF($C999="","Commercial",$C999))),Variables!$B$1:$D$1,0),1))*AC999)+(T999*INDEX(Variables!$B$9:$D$9,IFERROR(MATCH(IF($B999="Robusta","Robusta",(IF($B999="","Arabica",$B999))&amp;" - "&amp;(IF($C999="","Commercial",$C999))),Variables!$B$1:$D$1,0),1))*AC999/365),""))</f>
        <v>-6.443691327320459</v>
      </c>
      <c r="AU999" s="12">
        <f>IF($H999="Cancelled","",IFERROR((T999*INDEX(Variables!$B$7:$D$7,IFERROR(MATCH(IF($B999="Robusta","Robusta",(IF($B999="","Arabica",$B999))&amp;" - "&amp;(IF($C999="","Commercial",$C999))),Variables!$B$1:$D$1,0),1))*AP999/365)+(L999/16.67*INDEX(Variables!$B$8:$D$8,IFERROR(MATCH(IF($B999="Robusta","Robusta",(IF($B999="","Arabica",$B999))&amp;" - "&amp;(IF($C999="","Commercial",$C999))),Variables!$B$1:$D$1,0),1))*AP999)+(T999*INDEX(Variables!$B$9:$D$9,IFERROR(MATCH(IF($B999="Robusta","Robusta",(IF($B999="","Arabica",$B999))&amp;" - "&amp;(IF($C999="","Commercial",$C999))),Variables!$B$1:$D$1,0),1))*AP999/365),""))</f>
        <v>-3.5798285151780327</v>
      </c>
      <c r="AV999" s="11">
        <f t="shared" si="95"/>
        <v>-20</v>
      </c>
      <c r="AW999" s="12">
        <f>IF($H999="Cancelled","",IFERROR(IF(AV999="","",(T999*INDEX(Variables!$B$7:$D$7,IFERROR(MATCH(IF($B999="Robusta","Robusta",(IF($B999="","Arabica",$B999))&amp;" - "&amp;(IF($C999="","Commercial",$C999))),Variables!$B$1:$D$1,0),1))*(AV999/365))+(T999*INDEX(Variables!$B$9:$D$9,IFERROR(MATCH(IF($B999="Robusta","Robusta",(IF($B999="","Arabica",$B999))&amp;" - "&amp;(IF($C999="","Commercial",$C999))),Variables!$B$1:$D$1,0),1))*(AV999/365))+(INDEX(Variables!$B$8:$D$8,IFERROR(MATCH(IF($B999="Robusta","Robusta",(IF($B999="","Arabica",$B999))&amp;" - "&amp;(IF($C999="","Commercial",$C999))),Variables!$B$1:$D$1,0),1))*L999/16.67)),""))</f>
        <v>-9.069314060712129</v>
      </c>
      <c r="AX999" s="9"/>
      <c r="AY999" s="12"/>
      <c r="AZ999" s="10"/>
      <c r="BA999" s="9"/>
      <c r="BB999" s="10"/>
      <c r="BC999" s="9"/>
      <c r="BD999" s="9"/>
      <c r="BE999" s="9"/>
      <c r="BF999" s="9"/>
    </row>
    <row r="1000" spans="1:58" x14ac:dyDescent="0.25">
      <c r="A1000" s="9" t="s">
        <v>84</v>
      </c>
      <c r="B1000" s="9" t="s">
        <v>85</v>
      </c>
      <c r="C1000" s="9" t="s">
        <v>1486</v>
      </c>
      <c r="D1000" s="10">
        <v>45722</v>
      </c>
      <c r="E1000" s="10">
        <v>45717</v>
      </c>
      <c r="F1000" s="10">
        <v>45747</v>
      </c>
      <c r="G1000" s="9">
        <v>3786804</v>
      </c>
      <c r="H1000" s="9" t="str">
        <f t="shared" si="93"/>
        <v>Closed</v>
      </c>
      <c r="I1000" s="9" t="str">
        <f t="shared" si="94"/>
        <v>All dates received</v>
      </c>
      <c r="J1000" s="9" t="s">
        <v>2119</v>
      </c>
      <c r="K1000" s="9" t="s">
        <v>2136</v>
      </c>
      <c r="L1000" s="11">
        <v>20</v>
      </c>
      <c r="M1000" s="9" t="s">
        <v>2137</v>
      </c>
      <c r="N1000" s="9"/>
      <c r="O1000" s="9"/>
      <c r="P1000" s="9"/>
      <c r="Q1000" s="11">
        <v>73</v>
      </c>
      <c r="R1000" s="9" t="s">
        <v>195</v>
      </c>
      <c r="S1000" s="9" t="s">
        <v>2122</v>
      </c>
      <c r="T1000" s="12">
        <f>IF($H1000="Cancelled","",IFERROR(((Q1000+INDEX(Variables!$B$6:$D$6,IFERROR(MATCH(IF($B1000="Robusta","Robusta",(IF($B1000="","Arabica",$B1000))&amp;" - "&amp;(IF($C1000="","Commercial",$C1000))),Variables!$B$1:$D$1,0),1)))*22.0462)*(L1000/16.67),""))</f>
        <v>9622.5645590881813</v>
      </c>
      <c r="U1000" s="10"/>
      <c r="V1000" s="9" t="str">
        <f t="shared" si="96"/>
        <v/>
      </c>
      <c r="W1000" s="10">
        <v>45703</v>
      </c>
      <c r="X1000" s="9" t="str">
        <f t="shared" si="92"/>
        <v>Approved</v>
      </c>
      <c r="Y1000" s="10">
        <v>45731</v>
      </c>
      <c r="Z1000" s="10">
        <f>IF($H1000="Cancelled","",IFERROR(IF(F1000="","",F1000-Variables!$B$13),""))</f>
        <v>45732</v>
      </c>
      <c r="AA1000" s="11">
        <f>IF($H1000="Cancelled","",IFERROR(IF(W1000="","",(AVERAGE(E1000:F1000)-W1000)-Variables!$B$14),""))</f>
        <v>-1</v>
      </c>
      <c r="AB1000" s="10">
        <v>45755</v>
      </c>
      <c r="AC1000" s="11">
        <f>IF($H1000="Cancelled","",IFERROR(IF(AB1000="","",IF(AND(W1000="",Y1000=""),"",IF(Y1000&gt;W1000,Y1000+Variables!$B$15+Variables!$B$16+Variables!$B$17-AB1000,W1000+Variables!$B$16+Variables!$B$17-AB1000))),""))</f>
        <v>-9</v>
      </c>
      <c r="AD1000" s="9" t="s">
        <v>163</v>
      </c>
      <c r="AE1000" s="9" t="s">
        <v>950</v>
      </c>
      <c r="AF1000" s="10">
        <v>45767</v>
      </c>
      <c r="AG1000" s="10"/>
      <c r="AH1000" s="9"/>
      <c r="AI1000" s="9">
        <v>252042698</v>
      </c>
      <c r="AJ1000" s="9" t="s">
        <v>2123</v>
      </c>
      <c r="AK1000" s="10">
        <v>45767</v>
      </c>
      <c r="AL1000" s="10">
        <v>45775</v>
      </c>
      <c r="AM1000" s="10">
        <v>45804</v>
      </c>
      <c r="AN1000" s="9" t="s">
        <v>1492</v>
      </c>
      <c r="AO1000" s="9"/>
      <c r="AP1000" s="11">
        <f>IF($H1000="Cancelled","",IFERROR(IF(OR(AK1000="",AB1000=""),"",(AB1000+Variables!$B$18-AK1000)),""))</f>
        <v>-5</v>
      </c>
      <c r="AQ1000" s="11">
        <f>IF($H1000="Cancelled","",IFERROR(IF(OR(AM1000="",AK1000=""),"",(AK1000+Variables!$B$19)-AM1000),""))</f>
        <v>-32</v>
      </c>
      <c r="AR1000" s="12">
        <f>IF($H1000="Cancelled","",IFERROR(T1000*INDEX(Variables!$B$7:$D$7,IFERROR(MATCH(IF($B1000="Robusta","Robusta",(IF($B1000="","Arabica",$B1000))&amp;" - "&amp;(IF($C1000="","Commercial",$C1000))),Variables!$B$1:$D$1,0),1))*(AQ1000/365),""))</f>
        <v>-54.398608869000412</v>
      </c>
      <c r="AS1000" s="12">
        <f>IF($H1000="Cancelled","",IFERROR((T1000*INDEX(Variables!$B$7:$D$7,IFERROR(MATCH(IF($B1000="Robusta","Robusta",(IF($B1000="","Arabica",$B1000))&amp;" - "&amp;(IF($C1000="","Commercial",$C1000))),Variables!$B$1:$D$1,0),1))*IFERROR(IF(W1000="","",(AVERAGE(E1000:F1000)-W1000)-Variables!$B$14),"")/365)+(L1000/16.67*INDEX(Variables!$B$8:$D$8,IFERROR(MATCH(IF($B1000="Robusta","Robusta",(IF($B1000="","Arabica",$B1000))&amp;" - "&amp;(IF($C1000="","Commercial",$C1000))),Variables!$B$1:$D$1,0),1))*IFERROR(IF(W1000="","",(AVERAGE(E1000:F1000)-W1000)-Variables!$B$14),""))+(T1000*INDEX(Variables!$B$9:$D$9,IFERROR(MATCH(IF($B1000="Robusta","Robusta",(IF($B1000="","Arabica",$B1000))&amp;" - "&amp;(IF($C1000="","Commercial",$C1000))),Variables!$B$1:$D$1,0),1))*IFERROR(IF(W1000="","",(AVERAGE(E1000:F1000)-W1000)-Variables!$B$14),"")/365),""))</f>
        <v>-2.7218722474794683</v>
      </c>
      <c r="AT1000" s="12">
        <f>IF($H1000="Cancelled","",IFERROR((T1000*INDEX(Variables!$B$7:$D$7,IFERROR(MATCH(IF($B1000="Robusta","Robusta",(IF($B1000="","Arabica",$B1000))&amp;" - "&amp;(IF($C1000="","Commercial",$C1000))),Variables!$B$1:$D$1,0),1))*AC1000/365)+(L1000/16.67*INDEX(Variables!$B$8:$D$8,IFERROR(MATCH(IF($B1000="Robusta","Robusta",(IF($B1000="","Arabica",$B1000))&amp;" - "&amp;(IF($C1000="","Commercial",$C1000))),Variables!$B$1:$D$1,0),1))*AC1000)+(T1000*INDEX(Variables!$B$9:$D$9,IFERROR(MATCH(IF($B1000="Robusta","Robusta",(IF($B1000="","Arabica",$B1000))&amp;" - "&amp;(IF($C1000="","Commercial",$C1000))),Variables!$B$1:$D$1,0),1))*AC1000/365),""))</f>
        <v>-24.496850227315218</v>
      </c>
      <c r="AU1000" s="12">
        <f>IF($H1000="Cancelled","",IFERROR((T1000*INDEX(Variables!$B$7:$D$7,IFERROR(MATCH(IF($B1000="Robusta","Robusta",(IF($B1000="","Arabica",$B1000))&amp;" - "&amp;(IF($C1000="","Commercial",$C1000))),Variables!$B$1:$D$1,0),1))*AP1000/365)+(L1000/16.67*INDEX(Variables!$B$8:$D$8,IFERROR(MATCH(IF($B1000="Robusta","Robusta",(IF($B1000="","Arabica",$B1000))&amp;" - "&amp;(IF($C1000="","Commercial",$C1000))),Variables!$B$1:$D$1,0),1))*AP1000)+(T1000*INDEX(Variables!$B$9:$D$9,IFERROR(MATCH(IF($B1000="Robusta","Robusta",(IF($B1000="","Arabica",$B1000))&amp;" - "&amp;(IF($C1000="","Commercial",$C1000))),Variables!$B$1:$D$1,0),1))*AP1000/365),""))</f>
        <v>-13.609361237397342</v>
      </c>
      <c r="AV1000" s="11">
        <f t="shared" si="95"/>
        <v>-20</v>
      </c>
      <c r="AW1000" s="12">
        <f>IF($H1000="Cancelled","",IFERROR(IF(AV1000="","",(T1000*INDEX(Variables!$B$7:$D$7,IFERROR(MATCH(IF($B1000="Robusta","Robusta",(IF($B1000="","Arabica",$B1000))&amp;" - "&amp;(IF($C1000="","Commercial",$C1000))),Variables!$B$1:$D$1,0),1))*(AV1000/365))+(T1000*INDEX(Variables!$B$9:$D$9,IFERROR(MATCH(IF($B1000="Robusta","Robusta",(IF($B1000="","Arabica",$B1000))&amp;" - "&amp;(IF($C1000="","Commercial",$C1000))),Variables!$B$1:$D$1,0),1))*(AV1000/365))+(INDEX(Variables!$B$8:$D$8,IFERROR(MATCH(IF($B1000="Robusta","Robusta",(IF($B1000="","Arabica",$B1000))&amp;" - "&amp;(IF($C1000="","Commercial",$C1000))),Variables!$B$1:$D$1,0),1))*L1000/16.67)),""))</f>
        <v>-33.437444949589363</v>
      </c>
      <c r="AX1000" s="9"/>
      <c r="AY1000" s="12"/>
      <c r="AZ1000" s="10"/>
      <c r="BA1000" s="9"/>
      <c r="BB1000" s="10"/>
      <c r="BC1000" s="9"/>
      <c r="BD1000" s="9"/>
      <c r="BE1000" s="9"/>
      <c r="BF1000" s="9"/>
    </row>
    <row r="1001" spans="1:58" x14ac:dyDescent="0.25">
      <c r="A1001" s="9" t="s">
        <v>84</v>
      </c>
      <c r="B1001" s="9" t="s">
        <v>85</v>
      </c>
      <c r="C1001" s="9" t="s">
        <v>1486</v>
      </c>
      <c r="D1001" s="10">
        <v>45722</v>
      </c>
      <c r="E1001" s="10">
        <v>45717</v>
      </c>
      <c r="F1001" s="10">
        <v>45747</v>
      </c>
      <c r="G1001" s="9">
        <v>3786805</v>
      </c>
      <c r="H1001" s="9" t="str">
        <f t="shared" si="93"/>
        <v>Closed</v>
      </c>
      <c r="I1001" s="9" t="str">
        <f t="shared" si="94"/>
        <v>All dates received</v>
      </c>
      <c r="J1001" s="9" t="s">
        <v>2119</v>
      </c>
      <c r="K1001" s="9" t="s">
        <v>2138</v>
      </c>
      <c r="L1001" s="11">
        <v>25</v>
      </c>
      <c r="M1001" s="9" t="s">
        <v>2139</v>
      </c>
      <c r="N1001" s="9"/>
      <c r="O1001" s="9"/>
      <c r="P1001" s="9"/>
      <c r="Q1001" s="11">
        <v>125</v>
      </c>
      <c r="R1001" s="9" t="s">
        <v>195</v>
      </c>
      <c r="S1001" s="9" t="s">
        <v>2122</v>
      </c>
      <c r="T1001" s="12">
        <f>IF($H1001="Cancelled","",IFERROR(((Q1001+INDEX(Variables!$B$6:$D$6,IFERROR(MATCH(IF($B1001="Robusta","Robusta",(IF($B1001="","Arabica",$B1001))&amp;" - "&amp;(IF($C1001="","Commercial",$C1001))),Variables!$B$1:$D$1,0),1)))*22.0462)*(L1001/16.67),""))</f>
        <v>13747.465446910617</v>
      </c>
      <c r="U1001" s="10"/>
      <c r="V1001" s="9" t="str">
        <f t="shared" si="96"/>
        <v/>
      </c>
      <c r="W1001" s="10">
        <v>45703</v>
      </c>
      <c r="X1001" s="9" t="str">
        <f t="shared" si="92"/>
        <v>Approved</v>
      </c>
      <c r="Y1001" s="10">
        <v>45731</v>
      </c>
      <c r="Z1001" s="10">
        <f>IF($H1001="Cancelled","",IFERROR(IF(F1001="","",F1001-Variables!$B$13),""))</f>
        <v>45732</v>
      </c>
      <c r="AA1001" s="11">
        <f>IF($H1001="Cancelled","",IFERROR(IF(W1001="","",(AVERAGE(E1001:F1001)-W1001)-Variables!$B$14),""))</f>
        <v>-1</v>
      </c>
      <c r="AB1001" s="10">
        <v>45755</v>
      </c>
      <c r="AC1001" s="11">
        <f>IF($H1001="Cancelled","",IFERROR(IF(AB1001="","",IF(AND(W1001="",Y1001=""),"",IF(Y1001&gt;W1001,Y1001+Variables!$B$15+Variables!$B$16+Variables!$B$17-AB1001,W1001+Variables!$B$16+Variables!$B$17-AB1001))),""))</f>
        <v>-9</v>
      </c>
      <c r="AD1001" s="9" t="s">
        <v>163</v>
      </c>
      <c r="AE1001" s="9" t="s">
        <v>950</v>
      </c>
      <c r="AF1001" s="10">
        <v>45767</v>
      </c>
      <c r="AG1001" s="10"/>
      <c r="AH1001" s="9"/>
      <c r="AI1001" s="9">
        <v>252042698</v>
      </c>
      <c r="AJ1001" s="9" t="s">
        <v>2123</v>
      </c>
      <c r="AK1001" s="10">
        <v>45767</v>
      </c>
      <c r="AL1001" s="10">
        <v>45775</v>
      </c>
      <c r="AM1001" s="10">
        <v>45804</v>
      </c>
      <c r="AN1001" s="9" t="s">
        <v>1492</v>
      </c>
      <c r="AO1001" s="9"/>
      <c r="AP1001" s="11">
        <f>IF($H1001="Cancelled","",IFERROR(IF(OR(AK1001="",AB1001=""),"",(AB1001+Variables!$B$18-AK1001)),""))</f>
        <v>-5</v>
      </c>
      <c r="AQ1001" s="11">
        <f>IF($H1001="Cancelled","",IFERROR(IF(OR(AM1001="",AK1001=""),"",(AK1001+Variables!$B$19)-AM1001),""))</f>
        <v>-32</v>
      </c>
      <c r="AR1001" s="12">
        <f>IF($H1001="Cancelled","",IFERROR(T1001*INDEX(Variables!$B$7:$D$7,IFERROR(MATCH(IF($B1001="Robusta","Robusta",(IF($B1001="","Arabica",$B1001))&amp;" - "&amp;(IF($C1001="","Commercial",$C1001))),Variables!$B$1:$D$1,0),1))*(AQ1001/365),""))</f>
        <v>-77.717638701657421</v>
      </c>
      <c r="AS1001" s="12">
        <f>IF($H1001="Cancelled","",IFERROR((T1001*INDEX(Variables!$B$7:$D$7,IFERROR(MATCH(IF($B1001="Robusta","Robusta",(IF($B1001="","Arabica",$B1001))&amp;" - "&amp;(IF($C1001="","Commercial",$C1001))),Variables!$B$1:$D$1,0),1))*IFERROR(IF(W1001="","",(AVERAGE(E1001:F1001)-W1001)-Variables!$B$14),"")/365)+(L1001/16.67*INDEX(Variables!$B$8:$D$8,IFERROR(MATCH(IF($B1001="Robusta","Robusta",(IF($B1001="","Arabica",$B1001))&amp;" - "&amp;(IF($C1001="","Commercial",$C1001))),Variables!$B$1:$D$1,0),1))*IFERROR(IF(W1001="","",(AVERAGE(E1001:F1001)-W1001)-Variables!$B$14),""))+(T1001*INDEX(Variables!$B$9:$D$9,IFERROR(MATCH(IF($B1001="Robusta","Robusta",(IF($B1001="","Arabica",$B1001))&amp;" - "&amp;(IF($C1001="","Commercial",$C1001))),Variables!$B$1:$D$1,0),1))*IFERROR(IF(W1001="","",(AVERAGE(E1001:F1001)-W1001)-Variables!$B$14),"")/365),""))</f>
        <v>-3.7099865327857446</v>
      </c>
      <c r="AT1001" s="12">
        <f>IF($H1001="Cancelled","",IFERROR((T1001*INDEX(Variables!$B$7:$D$7,IFERROR(MATCH(IF($B1001="Robusta","Robusta",(IF($B1001="","Arabica",$B1001))&amp;" - "&amp;(IF($C1001="","Commercial",$C1001))),Variables!$B$1:$D$1,0),1))*AC1001/365)+(L1001/16.67*INDEX(Variables!$B$8:$D$8,IFERROR(MATCH(IF($B1001="Robusta","Robusta",(IF($B1001="","Arabica",$B1001))&amp;" - "&amp;(IF($C1001="","Commercial",$C1001))),Variables!$B$1:$D$1,0),1))*AC1001)+(T1001*INDEX(Variables!$B$9:$D$9,IFERROR(MATCH(IF($B1001="Robusta","Robusta",(IF($B1001="","Arabica",$B1001))&amp;" - "&amp;(IF($C1001="","Commercial",$C1001))),Variables!$B$1:$D$1,0),1))*AC1001/365),""))</f>
        <v>-33.389878795071695</v>
      </c>
      <c r="AU1001" s="12">
        <f>IF($H1001="Cancelled","",IFERROR((T1001*INDEX(Variables!$B$7:$D$7,IFERROR(MATCH(IF($B1001="Robusta","Robusta",(IF($B1001="","Arabica",$B1001))&amp;" - "&amp;(IF($C1001="","Commercial",$C1001))),Variables!$B$1:$D$1,0),1))*AP1001/365)+(L1001/16.67*INDEX(Variables!$B$8:$D$8,IFERROR(MATCH(IF($B1001="Robusta","Robusta",(IF($B1001="","Arabica",$B1001))&amp;" - "&amp;(IF($C1001="","Commercial",$C1001))),Variables!$B$1:$D$1,0),1))*AP1001)+(T1001*INDEX(Variables!$B$9:$D$9,IFERROR(MATCH(IF($B1001="Robusta","Robusta",(IF($B1001="","Arabica",$B1001))&amp;" - "&amp;(IF($C1001="","Commercial",$C1001))),Variables!$B$1:$D$1,0),1))*AP1001/365),""))</f>
        <v>-18.549932663928722</v>
      </c>
      <c r="AV1001" s="11">
        <f t="shared" si="95"/>
        <v>-20</v>
      </c>
      <c r="AW1001" s="12">
        <f>IF($H1001="Cancelled","",IFERROR(IF(AV1001="","",(T1001*INDEX(Variables!$B$7:$D$7,IFERROR(MATCH(IF($B1001="Robusta","Robusta",(IF($B1001="","Arabica",$B1001))&amp;" - "&amp;(IF($C1001="","Commercial",$C1001))),Variables!$B$1:$D$1,0),1))*(AV1001/365))+(T1001*INDEX(Variables!$B$9:$D$9,IFERROR(MATCH(IF($B1001="Robusta","Robusta",(IF($B1001="","Arabica",$B1001))&amp;" - "&amp;(IF($C1001="","Commercial",$C1001))),Variables!$B$1:$D$1,0),1))*(AV1001/365))+(INDEX(Variables!$B$8:$D$8,IFERROR(MATCH(IF($B1001="Robusta","Robusta",(IF($B1001="","Arabica",$B1001))&amp;" - "&amp;(IF($C1001="","Commercial",$C1001))),Variables!$B$1:$D$1,0),1))*L1001/16.67)),""))</f>
        <v>-47.949730655714887</v>
      </c>
      <c r="AX1001" s="9"/>
      <c r="AY1001" s="12"/>
      <c r="AZ1001" s="10"/>
      <c r="BA1001" s="9"/>
      <c r="BB1001" s="10"/>
      <c r="BC1001" s="9"/>
      <c r="BD1001" s="9"/>
      <c r="BE1001" s="9"/>
      <c r="BF1001" s="9"/>
    </row>
    <row r="1002" spans="1:58" x14ac:dyDescent="0.25">
      <c r="A1002" s="9" t="s">
        <v>84</v>
      </c>
      <c r="B1002" s="9" t="s">
        <v>85</v>
      </c>
      <c r="C1002" s="9" t="s">
        <v>1486</v>
      </c>
      <c r="D1002" s="10">
        <v>45722</v>
      </c>
      <c r="E1002" s="10">
        <v>45717</v>
      </c>
      <c r="F1002" s="10">
        <v>45747</v>
      </c>
      <c r="G1002" s="9">
        <v>3786806</v>
      </c>
      <c r="H1002" s="9" t="str">
        <f t="shared" si="93"/>
        <v>Closed</v>
      </c>
      <c r="I1002" s="9" t="str">
        <f t="shared" si="94"/>
        <v>All dates received</v>
      </c>
      <c r="J1002" s="9" t="s">
        <v>2119</v>
      </c>
      <c r="K1002" s="9" t="s">
        <v>2140</v>
      </c>
      <c r="L1002" s="11">
        <v>5</v>
      </c>
      <c r="M1002" s="9" t="s">
        <v>2141</v>
      </c>
      <c r="N1002" s="9"/>
      <c r="O1002" s="9"/>
      <c r="P1002" s="9"/>
      <c r="Q1002" s="11">
        <v>125</v>
      </c>
      <c r="R1002" s="9" t="s">
        <v>195</v>
      </c>
      <c r="S1002" s="9" t="s">
        <v>2122</v>
      </c>
      <c r="T1002" s="12">
        <f>IF($H1002="Cancelled","",IFERROR(((Q1002+INDEX(Variables!$B$6:$D$6,IFERROR(MATCH(IF($B1002="Robusta","Robusta",(IF($B1002="","Arabica",$B1002))&amp;" - "&amp;(IF($C1002="","Commercial",$C1002))),Variables!$B$1:$D$1,0),1)))*22.0462)*(L1002/16.67),""))</f>
        <v>2749.4930893821233</v>
      </c>
      <c r="U1002" s="10"/>
      <c r="V1002" s="9" t="str">
        <f t="shared" si="96"/>
        <v/>
      </c>
      <c r="W1002" s="10">
        <v>45703</v>
      </c>
      <c r="X1002" s="9" t="str">
        <f t="shared" ref="X1002:X1065" si="97">IF(ISNUMBER(W1002),"Approved","")</f>
        <v>Approved</v>
      </c>
      <c r="Y1002" s="10">
        <v>45731</v>
      </c>
      <c r="Z1002" s="10">
        <f>IF($H1002="Cancelled","",IFERROR(IF(F1002="","",F1002-Variables!$B$13),""))</f>
        <v>45732</v>
      </c>
      <c r="AA1002" s="11">
        <f>IF($H1002="Cancelled","",IFERROR(IF(W1002="","",(AVERAGE(E1002:F1002)-W1002)-Variables!$B$14),""))</f>
        <v>-1</v>
      </c>
      <c r="AB1002" s="10">
        <v>45755</v>
      </c>
      <c r="AC1002" s="11">
        <f>IF($H1002="Cancelled","",IFERROR(IF(AB1002="","",IF(AND(W1002="",Y1002=""),"",IF(Y1002&gt;W1002,Y1002+Variables!$B$15+Variables!$B$16+Variables!$B$17-AB1002,W1002+Variables!$B$16+Variables!$B$17-AB1002))),""))</f>
        <v>-9</v>
      </c>
      <c r="AD1002" s="9" t="s">
        <v>163</v>
      </c>
      <c r="AE1002" s="9" t="s">
        <v>950</v>
      </c>
      <c r="AF1002" s="10">
        <v>45767</v>
      </c>
      <c r="AG1002" s="10"/>
      <c r="AH1002" s="9"/>
      <c r="AI1002" s="9">
        <v>252042698</v>
      </c>
      <c r="AJ1002" s="9" t="s">
        <v>2123</v>
      </c>
      <c r="AK1002" s="10">
        <v>45767</v>
      </c>
      <c r="AL1002" s="10">
        <v>45775</v>
      </c>
      <c r="AM1002" s="10">
        <v>45804</v>
      </c>
      <c r="AN1002" s="9" t="s">
        <v>1492</v>
      </c>
      <c r="AO1002" s="9"/>
      <c r="AP1002" s="11">
        <f>IF($H1002="Cancelled","",IFERROR(IF(OR(AK1002="",AB1002=""),"",(AB1002+Variables!$B$18-AK1002)),""))</f>
        <v>-5</v>
      </c>
      <c r="AQ1002" s="11">
        <f>IF($H1002="Cancelled","",IFERROR(IF(OR(AM1002="",AK1002=""),"",(AK1002+Variables!$B$19)-AM1002),""))</f>
        <v>-32</v>
      </c>
      <c r="AR1002" s="12">
        <f>IF($H1002="Cancelled","",IFERROR(T1002*INDEX(Variables!$B$7:$D$7,IFERROR(MATCH(IF($B1002="Robusta","Robusta",(IF($B1002="","Arabica",$B1002))&amp;" - "&amp;(IF($C1002="","Commercial",$C1002))),Variables!$B$1:$D$1,0),1))*(AQ1002/365),""))</f>
        <v>-15.543527740331482</v>
      </c>
      <c r="AS1002" s="12">
        <f>IF($H1002="Cancelled","",IFERROR((T1002*INDEX(Variables!$B$7:$D$7,IFERROR(MATCH(IF($B1002="Robusta","Robusta",(IF($B1002="","Arabica",$B1002))&amp;" - "&amp;(IF($C1002="","Commercial",$C1002))),Variables!$B$1:$D$1,0),1))*IFERROR(IF(W1002="","",(AVERAGE(E1002:F1002)-W1002)-Variables!$B$14),"")/365)+(L1002/16.67*INDEX(Variables!$B$8:$D$8,IFERROR(MATCH(IF($B1002="Robusta","Robusta",(IF($B1002="","Arabica",$B1002))&amp;" - "&amp;(IF($C1002="","Commercial",$C1002))),Variables!$B$1:$D$1,0),1))*IFERROR(IF(W1002="","",(AVERAGE(E1002:F1002)-W1002)-Variables!$B$14),""))+(T1002*INDEX(Variables!$B$9:$D$9,IFERROR(MATCH(IF($B1002="Robusta","Robusta",(IF($B1002="","Arabica",$B1002))&amp;" - "&amp;(IF($C1002="","Commercial",$C1002))),Variables!$B$1:$D$1,0),1))*IFERROR(IF(W1002="","",(AVERAGE(E1002:F1002)-W1002)-Variables!$B$14),"")/365),""))</f>
        <v>-0.74199730655714891</v>
      </c>
      <c r="AT1002" s="12">
        <f>IF($H1002="Cancelled","",IFERROR((T1002*INDEX(Variables!$B$7:$D$7,IFERROR(MATCH(IF($B1002="Robusta","Robusta",(IF($B1002="","Arabica",$B1002))&amp;" - "&amp;(IF($C1002="","Commercial",$C1002))),Variables!$B$1:$D$1,0),1))*AC1002/365)+(L1002/16.67*INDEX(Variables!$B$8:$D$8,IFERROR(MATCH(IF($B1002="Robusta","Robusta",(IF($B1002="","Arabica",$B1002))&amp;" - "&amp;(IF($C1002="","Commercial",$C1002))),Variables!$B$1:$D$1,0),1))*AC1002)+(T1002*INDEX(Variables!$B$9:$D$9,IFERROR(MATCH(IF($B1002="Robusta","Robusta",(IF($B1002="","Arabica",$B1002))&amp;" - "&amp;(IF($C1002="","Commercial",$C1002))),Variables!$B$1:$D$1,0),1))*AC1002/365),""))</f>
        <v>-6.6779757590143394</v>
      </c>
      <c r="AU1002" s="12">
        <f>IF($H1002="Cancelled","",IFERROR((T1002*INDEX(Variables!$B$7:$D$7,IFERROR(MATCH(IF($B1002="Robusta","Robusta",(IF($B1002="","Arabica",$B1002))&amp;" - "&amp;(IF($C1002="","Commercial",$C1002))),Variables!$B$1:$D$1,0),1))*AP1002/365)+(L1002/16.67*INDEX(Variables!$B$8:$D$8,IFERROR(MATCH(IF($B1002="Robusta","Robusta",(IF($B1002="","Arabica",$B1002))&amp;" - "&amp;(IF($C1002="","Commercial",$C1002))),Variables!$B$1:$D$1,0),1))*AP1002)+(T1002*INDEX(Variables!$B$9:$D$9,IFERROR(MATCH(IF($B1002="Robusta","Robusta",(IF($B1002="","Arabica",$B1002))&amp;" - "&amp;(IF($C1002="","Commercial",$C1002))),Variables!$B$1:$D$1,0),1))*AP1002/365),""))</f>
        <v>-3.7099865327857446</v>
      </c>
      <c r="AV1002" s="11">
        <f t="shared" si="95"/>
        <v>-20</v>
      </c>
      <c r="AW1002" s="12">
        <f>IF($H1002="Cancelled","",IFERROR(IF(AV1002="","",(T1002*INDEX(Variables!$B$7:$D$7,IFERROR(MATCH(IF($B1002="Robusta","Robusta",(IF($B1002="","Arabica",$B1002))&amp;" - "&amp;(IF($C1002="","Commercial",$C1002))),Variables!$B$1:$D$1,0),1))*(AV1002/365))+(T1002*INDEX(Variables!$B$9:$D$9,IFERROR(MATCH(IF($B1002="Robusta","Robusta",(IF($B1002="","Arabica",$B1002))&amp;" - "&amp;(IF($C1002="","Commercial",$C1002))),Variables!$B$1:$D$1,0),1))*(AV1002/365))+(INDEX(Variables!$B$8:$D$8,IFERROR(MATCH(IF($B1002="Robusta","Robusta",(IF($B1002="","Arabica",$B1002))&amp;" - "&amp;(IF($C1002="","Commercial",$C1002))),Variables!$B$1:$D$1,0),1))*L1002/16.67)),""))</f>
        <v>-9.5899461311429768</v>
      </c>
      <c r="AX1002" s="9"/>
      <c r="AY1002" s="12"/>
      <c r="AZ1002" s="10"/>
      <c r="BA1002" s="9"/>
      <c r="BB1002" s="10"/>
      <c r="BC1002" s="9"/>
      <c r="BD1002" s="9"/>
      <c r="BE1002" s="9"/>
      <c r="BF1002" s="9"/>
    </row>
    <row r="1003" spans="1:58" x14ac:dyDescent="0.25">
      <c r="A1003" s="9" t="s">
        <v>84</v>
      </c>
      <c r="B1003" s="9" t="s">
        <v>85</v>
      </c>
      <c r="C1003" s="9" t="s">
        <v>1486</v>
      </c>
      <c r="D1003" s="10">
        <v>45722</v>
      </c>
      <c r="E1003" s="10">
        <v>45717</v>
      </c>
      <c r="F1003" s="10">
        <v>45747</v>
      </c>
      <c r="G1003" s="9">
        <v>3786807</v>
      </c>
      <c r="H1003" s="9" t="str">
        <f t="shared" si="93"/>
        <v>Closed</v>
      </c>
      <c r="I1003" s="9" t="str">
        <f t="shared" si="94"/>
        <v>All dates received</v>
      </c>
      <c r="J1003" s="9" t="s">
        <v>2119</v>
      </c>
      <c r="K1003" s="9" t="s">
        <v>2142</v>
      </c>
      <c r="L1003" s="11">
        <v>18</v>
      </c>
      <c r="M1003" s="9" t="s">
        <v>2143</v>
      </c>
      <c r="N1003" s="9"/>
      <c r="O1003" s="9"/>
      <c r="P1003" s="9"/>
      <c r="Q1003" s="11">
        <v>93</v>
      </c>
      <c r="R1003" s="9" t="s">
        <v>195</v>
      </c>
      <c r="S1003" s="9" t="s">
        <v>2122</v>
      </c>
      <c r="T1003" s="12">
        <f>IF($H1003="Cancelled","",IFERROR(((Q1003+INDEX(Variables!$B$6:$D$6,IFERROR(MATCH(IF($B1003="Robusta","Robusta",(IF($B1003="","Arabica",$B1003))&amp;" - "&amp;(IF($C1003="","Commercial",$C1003))),Variables!$B$1:$D$1,0),1)))*22.0462)*(L1003/16.67),""))</f>
        <v>9136.4108026394715</v>
      </c>
      <c r="U1003" s="10"/>
      <c r="V1003" s="9" t="str">
        <f t="shared" si="96"/>
        <v/>
      </c>
      <c r="W1003" s="10">
        <v>45703</v>
      </c>
      <c r="X1003" s="9" t="str">
        <f t="shared" si="97"/>
        <v>Approved</v>
      </c>
      <c r="Y1003" s="10">
        <v>45731</v>
      </c>
      <c r="Z1003" s="10">
        <f>IF($H1003="Cancelled","",IFERROR(IF(F1003="","",F1003-Variables!$B$13),""))</f>
        <v>45732</v>
      </c>
      <c r="AA1003" s="11">
        <f>IF($H1003="Cancelled","",IFERROR(IF(W1003="","",(AVERAGE(E1003:F1003)-W1003)-Variables!$B$14),""))</f>
        <v>-1</v>
      </c>
      <c r="AB1003" s="10">
        <v>45755</v>
      </c>
      <c r="AC1003" s="11">
        <f>IF($H1003="Cancelled","",IFERROR(IF(AB1003="","",IF(AND(W1003="",Y1003=""),"",IF(Y1003&gt;W1003,Y1003+Variables!$B$15+Variables!$B$16+Variables!$B$17-AB1003,W1003+Variables!$B$16+Variables!$B$17-AB1003))),""))</f>
        <v>-9</v>
      </c>
      <c r="AD1003" s="9" t="s">
        <v>163</v>
      </c>
      <c r="AE1003" s="9" t="s">
        <v>950</v>
      </c>
      <c r="AF1003" s="10">
        <v>45767</v>
      </c>
      <c r="AG1003" s="10"/>
      <c r="AH1003" s="9"/>
      <c r="AI1003" s="9">
        <v>252042698</v>
      </c>
      <c r="AJ1003" s="9" t="s">
        <v>2123</v>
      </c>
      <c r="AK1003" s="10">
        <v>45767</v>
      </c>
      <c r="AL1003" s="10">
        <v>45775</v>
      </c>
      <c r="AM1003" s="10">
        <v>45804</v>
      </c>
      <c r="AN1003" s="9" t="s">
        <v>1492</v>
      </c>
      <c r="AO1003" s="9"/>
      <c r="AP1003" s="11">
        <f>IF($H1003="Cancelled","",IFERROR(IF(OR(AK1003="",AB1003=""),"",(AB1003+Variables!$B$18-AK1003)),""))</f>
        <v>-5</v>
      </c>
      <c r="AQ1003" s="11">
        <f>IF($H1003="Cancelled","",IFERROR(IF(OR(AM1003="",AK1003=""),"",(AK1003+Variables!$B$19)-AM1003),""))</f>
        <v>-32</v>
      </c>
      <c r="AR1003" s="12">
        <f>IF($H1003="Cancelled","",IFERROR(T1003*INDEX(Variables!$B$7:$D$7,IFERROR(MATCH(IF($B1003="Robusta","Robusta",(IF($B1003="","Arabica",$B1003))&amp;" - "&amp;(IF($C1003="","Commercial",$C1003))),Variables!$B$1:$D$1,0),1))*(AQ1003/365),""))</f>
        <v>-51.650267937136135</v>
      </c>
      <c r="AS1003" s="12">
        <f>IF($H1003="Cancelled","",IFERROR((T1003*INDEX(Variables!$B$7:$D$7,IFERROR(MATCH(IF($B1003="Robusta","Robusta",(IF($B1003="","Arabica",$B1003))&amp;" - "&amp;(IF($C1003="","Commercial",$C1003))),Variables!$B$1:$D$1,0),1))*IFERROR(IF(W1003="","",(AVERAGE(E1003:F1003)-W1003)-Variables!$B$14),"")/365)+(L1003/16.67*INDEX(Variables!$B$8:$D$8,IFERROR(MATCH(IF($B1003="Robusta","Robusta",(IF($B1003="","Arabica",$B1003))&amp;" - "&amp;(IF($C1003="","Commercial",$C1003))),Variables!$B$1:$D$1,0),1))*IFERROR(IF(W1003="","",(AVERAGE(E1003:F1003)-W1003)-Variables!$B$14),""))+(T1003*INDEX(Variables!$B$9:$D$9,IFERROR(MATCH(IF($B1003="Robusta","Robusta",(IF($B1003="","Arabica",$B1003))&amp;" - "&amp;(IF($C1003="","Commercial",$C1003))),Variables!$B$1:$D$1,0),1))*IFERROR(IF(W1003="","",(AVERAGE(E1003:F1003)-W1003)-Variables!$B$14),"")/365),""))</f>
        <v>-2.5348793615292968</v>
      </c>
      <c r="AT1003" s="12">
        <f>IF($H1003="Cancelled","",IFERROR((T1003*INDEX(Variables!$B$7:$D$7,IFERROR(MATCH(IF($B1003="Robusta","Robusta",(IF($B1003="","Arabica",$B1003))&amp;" - "&amp;(IF($C1003="","Commercial",$C1003))),Variables!$B$1:$D$1,0),1))*AC1003/365)+(L1003/16.67*INDEX(Variables!$B$8:$D$8,IFERROR(MATCH(IF($B1003="Robusta","Robusta",(IF($B1003="","Arabica",$B1003))&amp;" - "&amp;(IF($C1003="","Commercial",$C1003))),Variables!$B$1:$D$1,0),1))*AC1003)+(T1003*INDEX(Variables!$B$9:$D$9,IFERROR(MATCH(IF($B1003="Robusta","Robusta",(IF($B1003="","Arabica",$B1003))&amp;" - "&amp;(IF($C1003="","Commercial",$C1003))),Variables!$B$1:$D$1,0),1))*AC1003/365),""))</f>
        <v>-22.813914253763667</v>
      </c>
      <c r="AU1003" s="12">
        <f>IF($H1003="Cancelled","",IFERROR((T1003*INDEX(Variables!$B$7:$D$7,IFERROR(MATCH(IF($B1003="Robusta","Robusta",(IF($B1003="","Arabica",$B1003))&amp;" - "&amp;(IF($C1003="","Commercial",$C1003))),Variables!$B$1:$D$1,0),1))*AP1003/365)+(L1003/16.67*INDEX(Variables!$B$8:$D$8,IFERROR(MATCH(IF($B1003="Robusta","Robusta",(IF($B1003="","Arabica",$B1003))&amp;" - "&amp;(IF($C1003="","Commercial",$C1003))),Variables!$B$1:$D$1,0),1))*AP1003)+(T1003*INDEX(Variables!$B$9:$D$9,IFERROR(MATCH(IF($B1003="Robusta","Robusta",(IF($B1003="","Arabica",$B1003))&amp;" - "&amp;(IF($C1003="","Commercial",$C1003))),Variables!$B$1:$D$1,0),1))*AP1003/365),""))</f>
        <v>-12.674396807646483</v>
      </c>
      <c r="AV1003" s="11">
        <f t="shared" si="95"/>
        <v>-20</v>
      </c>
      <c r="AW1003" s="12">
        <f>IF($H1003="Cancelled","",IFERROR(IF(AV1003="","",(T1003*INDEX(Variables!$B$7:$D$7,IFERROR(MATCH(IF($B1003="Robusta","Robusta",(IF($B1003="","Arabica",$B1003))&amp;" - "&amp;(IF($C1003="","Commercial",$C1003))),Variables!$B$1:$D$1,0),1))*(AV1003/365))+(T1003*INDEX(Variables!$B$9:$D$9,IFERROR(MATCH(IF($B1003="Robusta","Robusta",(IF($B1003="","Arabica",$B1003))&amp;" - "&amp;(IF($C1003="","Commercial",$C1003))),Variables!$B$1:$D$1,0),1))*(AV1003/365))+(INDEX(Variables!$B$8:$D$8,IFERROR(MATCH(IF($B1003="Robusta","Robusta",(IF($B1003="","Arabica",$B1003))&amp;" - "&amp;(IF($C1003="","Commercial",$C1003))),Variables!$B$1:$D$1,0),1))*L1003/16.67)),""))</f>
        <v>-31.797587230585926</v>
      </c>
      <c r="AX1003" s="9"/>
      <c r="AY1003" s="12"/>
      <c r="AZ1003" s="10"/>
      <c r="BA1003" s="9"/>
      <c r="BB1003" s="10"/>
      <c r="BC1003" s="9"/>
      <c r="BD1003" s="9"/>
      <c r="BE1003" s="9"/>
      <c r="BF1003" s="9"/>
    </row>
    <row r="1004" spans="1:58" x14ac:dyDescent="0.25">
      <c r="A1004" s="9" t="s">
        <v>84</v>
      </c>
      <c r="B1004" s="9" t="s">
        <v>85</v>
      </c>
      <c r="C1004" s="9" t="s">
        <v>1486</v>
      </c>
      <c r="D1004" s="10">
        <v>45722</v>
      </c>
      <c r="E1004" s="10">
        <v>45717</v>
      </c>
      <c r="F1004" s="10">
        <v>45747</v>
      </c>
      <c r="G1004" s="9">
        <v>3786809</v>
      </c>
      <c r="H1004" s="9" t="str">
        <f t="shared" si="93"/>
        <v>Closed</v>
      </c>
      <c r="I1004" s="9" t="str">
        <f t="shared" si="94"/>
        <v>All dates received</v>
      </c>
      <c r="J1004" s="9" t="s">
        <v>1487</v>
      </c>
      <c r="K1004" s="9" t="s">
        <v>2144</v>
      </c>
      <c r="L1004" s="11">
        <v>60</v>
      </c>
      <c r="M1004" s="9" t="s">
        <v>2145</v>
      </c>
      <c r="N1004" s="9"/>
      <c r="O1004" s="9"/>
      <c r="P1004" s="9"/>
      <c r="Q1004" s="11">
        <v>107.05</v>
      </c>
      <c r="R1004" s="9" t="s">
        <v>195</v>
      </c>
      <c r="S1004" s="9" t="s">
        <v>183</v>
      </c>
      <c r="T1004" s="12">
        <f>IF($H1004="Cancelled","",IFERROR(((Q1004+INDEX(Variables!$B$6:$D$6,IFERROR(MATCH(IF($B1004="Robusta","Robusta",(IF($B1004="","Arabica",$B1004))&amp;" - "&amp;(IF($C1004="","Commercial",$C1004))),Variables!$B$1:$D$1,0),1)))*22.0462)*(L1004/16.67),""))</f>
        <v>31569.576496700654</v>
      </c>
      <c r="U1004" s="10"/>
      <c r="V1004" s="9" t="str">
        <f t="shared" si="96"/>
        <v/>
      </c>
      <c r="W1004" s="10">
        <v>45703</v>
      </c>
      <c r="X1004" s="9" t="str">
        <f t="shared" si="97"/>
        <v>Approved</v>
      </c>
      <c r="Y1004" s="10">
        <v>45731</v>
      </c>
      <c r="Z1004" s="10">
        <f>IF($H1004="Cancelled","",IFERROR(IF(F1004="","",F1004-Variables!$B$13),""))</f>
        <v>45732</v>
      </c>
      <c r="AA1004" s="11">
        <f>IF($H1004="Cancelled","",IFERROR(IF(W1004="","",(AVERAGE(E1004:F1004)-W1004)-Variables!$B$14),""))</f>
        <v>-1</v>
      </c>
      <c r="AB1004" s="10">
        <v>45777</v>
      </c>
      <c r="AC1004" s="11">
        <f>IF($H1004="Cancelled","",IFERROR(IF(AB1004="","",IF(AND(W1004="",Y1004=""),"",IF(Y1004&gt;W1004,Y1004+Variables!$B$15+Variables!$B$16+Variables!$B$17-AB1004,W1004+Variables!$B$16+Variables!$B$17-AB1004))),""))</f>
        <v>-31</v>
      </c>
      <c r="AD1004" s="9" t="s">
        <v>2146</v>
      </c>
      <c r="AE1004" s="9" t="s">
        <v>2147</v>
      </c>
      <c r="AF1004" s="10"/>
      <c r="AG1004" s="10"/>
      <c r="AH1004" s="9"/>
      <c r="AI1004" s="9" t="s">
        <v>2148</v>
      </c>
      <c r="AJ1004" s="9" t="s">
        <v>8</v>
      </c>
      <c r="AK1004" s="10">
        <v>45794</v>
      </c>
      <c r="AL1004" s="10">
        <v>45805</v>
      </c>
      <c r="AM1004" s="10">
        <v>45817</v>
      </c>
      <c r="AN1004" s="9" t="s">
        <v>1492</v>
      </c>
      <c r="AO1004" s="9"/>
      <c r="AP1004" s="11">
        <f>IF($H1004="Cancelled","",IFERROR(IF(OR(AK1004="",AB1004=""),"",(AB1004+Variables!$B$18-AK1004)),""))</f>
        <v>-10</v>
      </c>
      <c r="AQ1004" s="11">
        <f>IF($H1004="Cancelled","",IFERROR(IF(OR(AM1004="",AK1004=""),"",(AK1004+Variables!$B$19)-AM1004),""))</f>
        <v>-18</v>
      </c>
      <c r="AR1004" s="12">
        <f>IF($H1004="Cancelled","",IFERROR(T1004*INDEX(Variables!$B$7:$D$7,IFERROR(MATCH(IF($B1004="Robusta","Robusta",(IF($B1004="","Arabica",$B1004))&amp;" - "&amp;(IF($C1004="","Commercial",$C1004))),Variables!$B$1:$D$1,0),1))*(AQ1004/365),""))</f>
        <v>-100.38948882290389</v>
      </c>
      <c r="AS1004" s="12">
        <f>IF($H1004="Cancelled","",IFERROR((T1004*INDEX(Variables!$B$7:$D$7,IFERROR(MATCH(IF($B1004="Robusta","Robusta",(IF($B1004="","Arabica",$B1004))&amp;" - "&amp;(IF($C1004="","Commercial",$C1004))),Variables!$B$1:$D$1,0),1))*IFERROR(IF(W1004="","",(AVERAGE(E1004:F1004)-W1004)-Variables!$B$14),"")/365)+(L1004/16.67*INDEX(Variables!$B$8:$D$8,IFERROR(MATCH(IF($B1004="Robusta","Robusta",(IF($B1004="","Arabica",$B1004))&amp;" - "&amp;(IF($C1004="","Commercial",$C1004))),Variables!$B$1:$D$1,0),1))*IFERROR(IF(W1004="","",(AVERAGE(E1004:F1004)-W1004)-Variables!$B$14),""))+(T1004*INDEX(Variables!$B$9:$D$9,IFERROR(MATCH(IF($B1004="Robusta","Robusta",(IF($B1004="","Arabica",$B1004))&amp;" - "&amp;(IF($C1004="","Commercial",$C1004))),Variables!$B$1:$D$1,0),1))*IFERROR(IF(W1004="","",(AVERAGE(E1004:F1004)-W1004)-Variables!$B$14),"")/365),""))</f>
        <v>-8.6490946151157768</v>
      </c>
      <c r="AT1004" s="12">
        <f>IF($H1004="Cancelled","",IFERROR((T1004*INDEX(Variables!$B$7:$D$7,IFERROR(MATCH(IF($B1004="Robusta","Robusta",(IF($B1004="","Arabica",$B1004))&amp;" - "&amp;(IF($C1004="","Commercial",$C1004))),Variables!$B$1:$D$1,0),1))*AC1004/365)+(L1004/16.67*INDEX(Variables!$B$8:$D$8,IFERROR(MATCH(IF($B1004="Robusta","Robusta",(IF($B1004="","Arabica",$B1004))&amp;" - "&amp;(IF($C1004="","Commercial",$C1004))),Variables!$B$1:$D$1,0),1))*AC1004)+(T1004*INDEX(Variables!$B$9:$D$9,IFERROR(MATCH(IF($B1004="Robusta","Robusta",(IF($B1004="","Arabica",$B1004))&amp;" - "&amp;(IF($C1004="","Commercial",$C1004))),Variables!$B$1:$D$1,0),1))*AC1004/365),""))</f>
        <v>-268.12193306858904</v>
      </c>
      <c r="AU1004" s="12">
        <f>IF($H1004="Cancelled","",IFERROR((T1004*INDEX(Variables!$B$7:$D$7,IFERROR(MATCH(IF($B1004="Robusta","Robusta",(IF($B1004="","Arabica",$B1004))&amp;" - "&amp;(IF($C1004="","Commercial",$C1004))),Variables!$B$1:$D$1,0),1))*AP1004/365)+(L1004/16.67*INDEX(Variables!$B$8:$D$8,IFERROR(MATCH(IF($B1004="Robusta","Robusta",(IF($B1004="","Arabica",$B1004))&amp;" - "&amp;(IF($C1004="","Commercial",$C1004))),Variables!$B$1:$D$1,0),1))*AP1004)+(T1004*INDEX(Variables!$B$9:$D$9,IFERROR(MATCH(IF($B1004="Robusta","Robusta",(IF($B1004="","Arabica",$B1004))&amp;" - "&amp;(IF($C1004="","Commercial",$C1004))),Variables!$B$1:$D$1,0),1))*AP1004/365),""))</f>
        <v>-86.490946151157758</v>
      </c>
      <c r="AV1004" s="11">
        <f t="shared" si="95"/>
        <v>-47</v>
      </c>
      <c r="AW1004" s="12">
        <f>IF($H1004="Cancelled","",IFERROR(IF(AV1004="","",(T1004*INDEX(Variables!$B$7:$D$7,IFERROR(MATCH(IF($B1004="Robusta","Robusta",(IF($B1004="","Arabica",$B1004))&amp;" - "&amp;(IF($C1004="","Commercial",$C1004))),Variables!$B$1:$D$1,0),1))*(AV1004/365))+(T1004*INDEX(Variables!$B$9:$D$9,IFERROR(MATCH(IF($B1004="Robusta","Robusta",(IF($B1004="","Arabica",$B1004))&amp;" - "&amp;(IF($C1004="","Commercial",$C1004))),Variables!$B$1:$D$1,0),1))*(AV1004/365))+(INDEX(Variables!$B$8:$D$8,IFERROR(MATCH(IF($B1004="Robusta","Robusta",(IF($B1004="","Arabica",$B1004))&amp;" - "&amp;(IF($C1004="","Commercial",$C1004))),Variables!$B$1:$D$1,0),1))*L1004/16.67)),""))</f>
        <v>-262.50744691044144</v>
      </c>
      <c r="AX1004" s="9"/>
      <c r="AY1004" s="12"/>
      <c r="AZ1004" s="10"/>
      <c r="BA1004" s="9"/>
      <c r="BB1004" s="10"/>
      <c r="BC1004" s="9"/>
      <c r="BD1004" s="9"/>
      <c r="BE1004" s="9"/>
      <c r="BF1004" s="9"/>
    </row>
    <row r="1005" spans="1:58" x14ac:dyDescent="0.25">
      <c r="A1005" s="9" t="s">
        <v>84</v>
      </c>
      <c r="B1005" s="9" t="s">
        <v>85</v>
      </c>
      <c r="C1005" s="9" t="s">
        <v>1486</v>
      </c>
      <c r="D1005" s="10">
        <v>45722</v>
      </c>
      <c r="E1005" s="10">
        <v>45717</v>
      </c>
      <c r="F1005" s="10">
        <v>45747</v>
      </c>
      <c r="G1005" s="9">
        <v>3786810</v>
      </c>
      <c r="H1005" s="9" t="str">
        <f t="shared" si="93"/>
        <v>Closed</v>
      </c>
      <c r="I1005" s="9" t="str">
        <f t="shared" si="94"/>
        <v>All dates received</v>
      </c>
      <c r="J1005" s="9" t="s">
        <v>1487</v>
      </c>
      <c r="K1005" s="9" t="s">
        <v>2149</v>
      </c>
      <c r="L1005" s="11">
        <v>30</v>
      </c>
      <c r="M1005" s="9" t="s">
        <v>2150</v>
      </c>
      <c r="N1005" s="9"/>
      <c r="O1005" s="9"/>
      <c r="P1005" s="9"/>
      <c r="Q1005" s="11">
        <v>95</v>
      </c>
      <c r="R1005" s="9" t="s">
        <v>195</v>
      </c>
      <c r="S1005" s="9" t="s">
        <v>183</v>
      </c>
      <c r="T1005" s="12">
        <f>IF($H1005="Cancelled","",IFERROR(((Q1005+INDEX(Variables!$B$6:$D$6,IFERROR(MATCH(IF($B1005="Robusta","Robusta",(IF($B1005="","Arabica",$B1005))&amp;" - "&amp;(IF($C1005="","Commercial",$C1005))),Variables!$B$1:$D$1,0),1)))*22.0462)*(L1005/16.67),""))</f>
        <v>15306.701787642471</v>
      </c>
      <c r="U1005" s="10"/>
      <c r="V1005" s="9" t="str">
        <f t="shared" si="96"/>
        <v/>
      </c>
      <c r="W1005" s="10">
        <v>45703</v>
      </c>
      <c r="X1005" s="9" t="str">
        <f t="shared" si="97"/>
        <v>Approved</v>
      </c>
      <c r="Y1005" s="10">
        <v>45731</v>
      </c>
      <c r="Z1005" s="10">
        <f>IF($H1005="Cancelled","",IFERROR(IF(F1005="","",F1005-Variables!$B$13),""))</f>
        <v>45732</v>
      </c>
      <c r="AA1005" s="11">
        <f>IF($H1005="Cancelled","",IFERROR(IF(W1005="","",(AVERAGE(E1005:F1005)-W1005)-Variables!$B$14),""))</f>
        <v>-1</v>
      </c>
      <c r="AB1005" s="10">
        <v>45777</v>
      </c>
      <c r="AC1005" s="11">
        <f>IF($H1005="Cancelled","",IFERROR(IF(AB1005="","",IF(AND(W1005="",Y1005=""),"",IF(Y1005&gt;W1005,Y1005+Variables!$B$15+Variables!$B$16+Variables!$B$17-AB1005,W1005+Variables!$B$16+Variables!$B$17-AB1005))),""))</f>
        <v>-31</v>
      </c>
      <c r="AD1005" s="9" t="s">
        <v>2146</v>
      </c>
      <c r="AE1005" s="9" t="s">
        <v>2147</v>
      </c>
      <c r="AF1005" s="10"/>
      <c r="AG1005" s="10"/>
      <c r="AH1005" s="9"/>
      <c r="AI1005" s="9" t="s">
        <v>2148</v>
      </c>
      <c r="AJ1005" s="9" t="s">
        <v>8</v>
      </c>
      <c r="AK1005" s="10">
        <v>45794</v>
      </c>
      <c r="AL1005" s="10">
        <v>45805</v>
      </c>
      <c r="AM1005" s="10">
        <v>45817</v>
      </c>
      <c r="AN1005" s="9" t="s">
        <v>1492</v>
      </c>
      <c r="AO1005" s="9"/>
      <c r="AP1005" s="11">
        <f>IF($H1005="Cancelled","",IFERROR(IF(OR(AK1005="",AB1005=""),"",(AB1005+Variables!$B$18-AK1005)),""))</f>
        <v>-10</v>
      </c>
      <c r="AQ1005" s="11">
        <f>IF($H1005="Cancelled","",IFERROR(IF(OR(AM1005="",AK1005=""),"",(AK1005+Variables!$B$19)-AM1005),""))</f>
        <v>-18</v>
      </c>
      <c r="AR1005" s="12">
        <f>IF($H1005="Cancelled","",IFERROR(T1005*INDEX(Variables!$B$7:$D$7,IFERROR(MATCH(IF($B1005="Robusta","Robusta",(IF($B1005="","Arabica",$B1005))&amp;" - "&amp;(IF($C1005="","Commercial",$C1005))),Variables!$B$1:$D$1,0),1))*(AQ1005/365),""))</f>
        <v>-48.674456186849724</v>
      </c>
      <c r="AS1005" s="12">
        <f>IF($H1005="Cancelled","",IFERROR((T1005*INDEX(Variables!$B$7:$D$7,IFERROR(MATCH(IF($B1005="Robusta","Robusta",(IF($B1005="","Arabica",$B1005))&amp;" - "&amp;(IF($C1005="","Commercial",$C1005))),Variables!$B$1:$D$1,0),1))*IFERROR(IF(W1005="","",(AVERAGE(E1005:F1005)-W1005)-Variables!$B$14),"")/365)+(L1005/16.67*INDEX(Variables!$B$8:$D$8,IFERROR(MATCH(IF($B1005="Robusta","Robusta",(IF($B1005="","Arabica",$B1005))&amp;" - "&amp;(IF($C1005="","Commercial",$C1005))),Variables!$B$1:$D$1,0),1))*IFERROR(IF(W1005="","",(AVERAGE(E1005:F1005)-W1005)-Variables!$B$14),""))+(T1005*INDEX(Variables!$B$9:$D$9,IFERROR(MATCH(IF($B1005="Robusta","Robusta",(IF($B1005="","Arabica",$B1005))&amp;" - "&amp;(IF($C1005="","Commercial",$C1005))),Variables!$B$1:$D$1,0),1))*IFERROR(IF(W1005="","",(AVERAGE(E1005:F1005)-W1005)-Variables!$B$14),"")/365),""))</f>
        <v>-4.2389979923484562</v>
      </c>
      <c r="AT1005" s="12">
        <f>IF($H1005="Cancelled","",IFERROR((T1005*INDEX(Variables!$B$7:$D$7,IFERROR(MATCH(IF($B1005="Robusta","Robusta",(IF($B1005="","Arabica",$B1005))&amp;" - "&amp;(IF($C1005="","Commercial",$C1005))),Variables!$B$1:$D$1,0),1))*AC1005/365)+(L1005/16.67*INDEX(Variables!$B$8:$D$8,IFERROR(MATCH(IF($B1005="Robusta","Robusta",(IF($B1005="","Arabica",$B1005))&amp;" - "&amp;(IF($C1005="","Commercial",$C1005))),Variables!$B$1:$D$1,0),1))*AC1005)+(T1005*INDEX(Variables!$B$9:$D$9,IFERROR(MATCH(IF($B1005="Robusta","Robusta",(IF($B1005="","Arabica",$B1005))&amp;" - "&amp;(IF($C1005="","Commercial",$C1005))),Variables!$B$1:$D$1,0),1))*AC1005/365),""))</f>
        <v>-131.40893776280214</v>
      </c>
      <c r="AU1005" s="12">
        <f>IF($H1005="Cancelled","",IFERROR((T1005*INDEX(Variables!$B$7:$D$7,IFERROR(MATCH(IF($B1005="Robusta","Robusta",(IF($B1005="","Arabica",$B1005))&amp;" - "&amp;(IF($C1005="","Commercial",$C1005))),Variables!$B$1:$D$1,0),1))*AP1005/365)+(L1005/16.67*INDEX(Variables!$B$8:$D$8,IFERROR(MATCH(IF($B1005="Robusta","Robusta",(IF($B1005="","Arabica",$B1005))&amp;" - "&amp;(IF($C1005="","Commercial",$C1005))),Variables!$B$1:$D$1,0),1))*AP1005)+(T1005*INDEX(Variables!$B$9:$D$9,IFERROR(MATCH(IF($B1005="Robusta","Robusta",(IF($B1005="","Arabica",$B1005))&amp;" - "&amp;(IF($C1005="","Commercial",$C1005))),Variables!$B$1:$D$1,0),1))*AP1005/365),""))</f>
        <v>-42.38997992348456</v>
      </c>
      <c r="AV1005" s="11">
        <f t="shared" si="95"/>
        <v>-47</v>
      </c>
      <c r="AW1005" s="12">
        <f>IF($H1005="Cancelled","",IFERROR(IF(AV1005="","",(T1005*INDEX(Variables!$B$7:$D$7,IFERROR(MATCH(IF($B1005="Robusta","Robusta",(IF($B1005="","Arabica",$B1005))&amp;" - "&amp;(IF($C1005="","Commercial",$C1005))),Variables!$B$1:$D$1,0),1))*(AV1005/365))+(T1005*INDEX(Variables!$B$9:$D$9,IFERROR(MATCH(IF($B1005="Robusta","Robusta",(IF($B1005="","Arabica",$B1005))&amp;" - "&amp;(IF($C1005="","Commercial",$C1005))),Variables!$B$1:$D$1,0),1))*(AV1005/365))+(INDEX(Variables!$B$8:$D$8,IFERROR(MATCH(IF($B1005="Robusta","Robusta",(IF($B1005="","Arabica",$B1005))&amp;" - "&amp;(IF($C1005="","Commercial",$C1005))),Variables!$B$1:$D$1,0),1))*L1005/16.67)),""))</f>
        <v>-127.23290564037745</v>
      </c>
      <c r="AX1005" s="9"/>
      <c r="AY1005" s="12"/>
      <c r="AZ1005" s="10"/>
      <c r="BA1005" s="9"/>
      <c r="BB1005" s="10"/>
      <c r="BC1005" s="9"/>
      <c r="BD1005" s="9"/>
      <c r="BE1005" s="9"/>
      <c r="BF1005" s="9"/>
    </row>
    <row r="1006" spans="1:58" x14ac:dyDescent="0.25">
      <c r="A1006" s="9" t="s">
        <v>84</v>
      </c>
      <c r="B1006" s="9" t="s">
        <v>85</v>
      </c>
      <c r="C1006" s="9" t="s">
        <v>1486</v>
      </c>
      <c r="D1006" s="10">
        <v>45722</v>
      </c>
      <c r="E1006" s="10">
        <v>45717</v>
      </c>
      <c r="F1006" s="10">
        <v>45747</v>
      </c>
      <c r="G1006" s="9">
        <v>3786811</v>
      </c>
      <c r="H1006" s="9" t="str">
        <f t="shared" si="93"/>
        <v>Closed</v>
      </c>
      <c r="I1006" s="9" t="str">
        <f t="shared" si="94"/>
        <v>All dates received</v>
      </c>
      <c r="J1006" s="9" t="s">
        <v>1487</v>
      </c>
      <c r="K1006" s="9" t="s">
        <v>2151</v>
      </c>
      <c r="L1006" s="11">
        <v>30</v>
      </c>
      <c r="M1006" s="9" t="s">
        <v>2152</v>
      </c>
      <c r="N1006" s="9"/>
      <c r="O1006" s="9"/>
      <c r="P1006" s="9"/>
      <c r="Q1006" s="11">
        <v>94</v>
      </c>
      <c r="R1006" s="9" t="s">
        <v>195</v>
      </c>
      <c r="S1006" s="9" t="s">
        <v>183</v>
      </c>
      <c r="T1006" s="12">
        <f>IF($H1006="Cancelled","",IFERROR(((Q1006+INDEX(Variables!$B$6:$D$6,IFERROR(MATCH(IF($B1006="Robusta","Robusta",(IF($B1006="","Arabica",$B1006))&amp;" - "&amp;(IF($C1006="","Commercial",$C1006))),Variables!$B$1:$D$1,0),1)))*22.0462)*(L1006/16.67),""))</f>
        <v>15267.026562687461</v>
      </c>
      <c r="U1006" s="10"/>
      <c r="V1006" s="9" t="str">
        <f t="shared" si="96"/>
        <v/>
      </c>
      <c r="W1006" s="10">
        <v>45703</v>
      </c>
      <c r="X1006" s="9" t="str">
        <f t="shared" si="97"/>
        <v>Approved</v>
      </c>
      <c r="Y1006" s="10">
        <v>45731</v>
      </c>
      <c r="Z1006" s="10">
        <f>IF($H1006="Cancelled","",IFERROR(IF(F1006="","",F1006-Variables!$B$13),""))</f>
        <v>45732</v>
      </c>
      <c r="AA1006" s="11">
        <f>IF($H1006="Cancelled","",IFERROR(IF(W1006="","",(AVERAGE(E1006:F1006)-W1006)-Variables!$B$14),""))</f>
        <v>-1</v>
      </c>
      <c r="AB1006" s="10">
        <v>45777</v>
      </c>
      <c r="AC1006" s="11">
        <f>IF($H1006="Cancelled","",IFERROR(IF(AB1006="","",IF(AND(W1006="",Y1006=""),"",IF(Y1006&gt;W1006,Y1006+Variables!$B$15+Variables!$B$16+Variables!$B$17-AB1006,W1006+Variables!$B$16+Variables!$B$17-AB1006))),""))</f>
        <v>-31</v>
      </c>
      <c r="AD1006" s="9" t="s">
        <v>2146</v>
      </c>
      <c r="AE1006" s="9" t="s">
        <v>2147</v>
      </c>
      <c r="AF1006" s="10"/>
      <c r="AG1006" s="10"/>
      <c r="AH1006" s="9"/>
      <c r="AI1006" s="9" t="s">
        <v>2148</v>
      </c>
      <c r="AJ1006" s="9" t="s">
        <v>8</v>
      </c>
      <c r="AK1006" s="10">
        <v>45794</v>
      </c>
      <c r="AL1006" s="10">
        <v>45805</v>
      </c>
      <c r="AM1006" s="10">
        <v>45817</v>
      </c>
      <c r="AN1006" s="9" t="s">
        <v>1492</v>
      </c>
      <c r="AO1006" s="9"/>
      <c r="AP1006" s="11">
        <f>IF($H1006="Cancelled","",IFERROR(IF(OR(AK1006="",AB1006=""),"",(AB1006+Variables!$B$18-AK1006)),""))</f>
        <v>-10</v>
      </c>
      <c r="AQ1006" s="11">
        <f>IF($H1006="Cancelled","",IFERROR(IF(OR(AM1006="",AK1006=""),"",(AK1006+Variables!$B$19)-AM1006),""))</f>
        <v>-18</v>
      </c>
      <c r="AR1006" s="12">
        <f>IF($H1006="Cancelled","",IFERROR(T1006*INDEX(Variables!$B$7:$D$7,IFERROR(MATCH(IF($B1006="Robusta","Robusta",(IF($B1006="","Arabica",$B1006))&amp;" - "&amp;(IF($C1006="","Commercial",$C1006))),Variables!$B$1:$D$1,0),1))*(AQ1006/365),""))</f>
        <v>-48.548291188957414</v>
      </c>
      <c r="AS1006" s="12">
        <f>IF($H1006="Cancelled","",IFERROR((T1006*INDEX(Variables!$B$7:$D$7,IFERROR(MATCH(IF($B1006="Robusta","Robusta",(IF($B1006="","Arabica",$B1006))&amp;" - "&amp;(IF($C1006="","Commercial",$C1006))),Variables!$B$1:$D$1,0),1))*IFERROR(IF(W1006="","",(AVERAGE(E1006:F1006)-W1006)-Variables!$B$14),"")/365)+(L1006/16.67*INDEX(Variables!$B$8:$D$8,IFERROR(MATCH(IF($B1006="Robusta","Robusta",(IF($B1006="","Arabica",$B1006))&amp;" - "&amp;(IF($C1006="","Commercial",$C1006))),Variables!$B$1:$D$1,0),1))*IFERROR(IF(W1006="","",(AVERAGE(E1006:F1006)-W1006)-Variables!$B$14),""))+(T1006*INDEX(Variables!$B$9:$D$9,IFERROR(MATCH(IF($B1006="Robusta","Robusta",(IF($B1006="","Arabica",$B1006))&amp;" - "&amp;(IF($C1006="","Commercial",$C1006))),Variables!$B$1:$D$1,0),1))*IFERROR(IF(W1006="","",(AVERAGE(E1006:F1006)-W1006)-Variables!$B$14),"")/365),""))</f>
        <v>-4.231898464115309</v>
      </c>
      <c r="AT1006" s="12">
        <f>IF($H1006="Cancelled","",IFERROR((T1006*INDEX(Variables!$B$7:$D$7,IFERROR(MATCH(IF($B1006="Robusta","Robusta",(IF($B1006="","Arabica",$B1006))&amp;" - "&amp;(IF($C1006="","Commercial",$C1006))),Variables!$B$1:$D$1,0),1))*AC1006/365)+(L1006/16.67*INDEX(Variables!$B$8:$D$8,IFERROR(MATCH(IF($B1006="Robusta","Robusta",(IF($B1006="","Arabica",$B1006))&amp;" - "&amp;(IF($C1006="","Commercial",$C1006))),Variables!$B$1:$D$1,0),1))*AC1006)+(T1006*INDEX(Variables!$B$9:$D$9,IFERROR(MATCH(IF($B1006="Robusta","Robusta",(IF($B1006="","Arabica",$B1006))&amp;" - "&amp;(IF($C1006="","Commercial",$C1006))),Variables!$B$1:$D$1,0),1))*AC1006/365),""))</f>
        <v>-131.18885238757454</v>
      </c>
      <c r="AU1006" s="12">
        <f>IF($H1006="Cancelled","",IFERROR((T1006*INDEX(Variables!$B$7:$D$7,IFERROR(MATCH(IF($B1006="Robusta","Robusta",(IF($B1006="","Arabica",$B1006))&amp;" - "&amp;(IF($C1006="","Commercial",$C1006))),Variables!$B$1:$D$1,0),1))*AP1006/365)+(L1006/16.67*INDEX(Variables!$B$8:$D$8,IFERROR(MATCH(IF($B1006="Robusta","Robusta",(IF($B1006="","Arabica",$B1006))&amp;" - "&amp;(IF($C1006="","Commercial",$C1006))),Variables!$B$1:$D$1,0),1))*AP1006)+(T1006*INDEX(Variables!$B$9:$D$9,IFERROR(MATCH(IF($B1006="Robusta","Robusta",(IF($B1006="","Arabica",$B1006))&amp;" - "&amp;(IF($C1006="","Commercial",$C1006))),Variables!$B$1:$D$1,0),1))*AP1006/365),""))</f>
        <v>-42.318984641153079</v>
      </c>
      <c r="AV1006" s="11">
        <f t="shared" si="95"/>
        <v>-47</v>
      </c>
      <c r="AW1006" s="12">
        <f>IF($H1006="Cancelled","",IFERROR(IF(AV1006="","",(T1006*INDEX(Variables!$B$7:$D$7,IFERROR(MATCH(IF($B1006="Robusta","Robusta",(IF($B1006="","Arabica",$B1006))&amp;" - "&amp;(IF($C1006="","Commercial",$C1006))),Variables!$B$1:$D$1,0),1))*(AV1006/365))+(T1006*INDEX(Variables!$B$9:$D$9,IFERROR(MATCH(IF($B1006="Robusta","Robusta",(IF($B1006="","Arabica",$B1006))&amp;" - "&amp;(IF($C1006="","Commercial",$C1006))),Variables!$B$1:$D$1,0),1))*(AV1006/365))+(INDEX(Variables!$B$8:$D$8,IFERROR(MATCH(IF($B1006="Robusta","Robusta",(IF($B1006="","Arabica",$B1006))&amp;" - "&amp;(IF($C1006="","Commercial",$C1006))),Variables!$B$1:$D$1,0),1))*L1006/16.67)),""))</f>
        <v>-126.89922781341949</v>
      </c>
      <c r="AX1006" s="9"/>
      <c r="AY1006" s="12"/>
      <c r="AZ1006" s="10"/>
      <c r="BA1006" s="9"/>
      <c r="BB1006" s="10"/>
      <c r="BC1006" s="9"/>
      <c r="BD1006" s="9"/>
      <c r="BE1006" s="9"/>
      <c r="BF1006" s="9"/>
    </row>
    <row r="1007" spans="1:58" x14ac:dyDescent="0.25">
      <c r="A1007" s="9" t="s">
        <v>84</v>
      </c>
      <c r="B1007" s="9" t="s">
        <v>85</v>
      </c>
      <c r="C1007" s="9" t="s">
        <v>1486</v>
      </c>
      <c r="D1007" s="10">
        <v>45722</v>
      </c>
      <c r="E1007" s="10">
        <v>45717</v>
      </c>
      <c r="F1007" s="10">
        <v>45747</v>
      </c>
      <c r="G1007" s="9">
        <v>3786812</v>
      </c>
      <c r="H1007" s="9" t="str">
        <f t="shared" si="93"/>
        <v>Closed</v>
      </c>
      <c r="I1007" s="9" t="str">
        <f t="shared" si="94"/>
        <v>All dates received</v>
      </c>
      <c r="J1007" s="9" t="s">
        <v>1487</v>
      </c>
      <c r="K1007" s="9" t="s">
        <v>2153</v>
      </c>
      <c r="L1007" s="11">
        <v>20</v>
      </c>
      <c r="M1007" s="9" t="s">
        <v>2154</v>
      </c>
      <c r="N1007" s="9"/>
      <c r="O1007" s="9"/>
      <c r="P1007" s="9"/>
      <c r="Q1007" s="11">
        <v>107</v>
      </c>
      <c r="R1007" s="9" t="s">
        <v>195</v>
      </c>
      <c r="S1007" s="9" t="s">
        <v>183</v>
      </c>
      <c r="T1007" s="12">
        <f>IF($H1007="Cancelled","",IFERROR(((Q1007+INDEX(Variables!$B$6:$D$6,IFERROR(MATCH(IF($B1007="Robusta","Robusta",(IF($B1007="","Arabica",$B1007))&amp;" - "&amp;(IF($C1007="","Commercial",$C1007))),Variables!$B$1:$D$1,0),1)))*22.0462)*(L1007/16.67),""))</f>
        <v>10521.869658068385</v>
      </c>
      <c r="U1007" s="10"/>
      <c r="V1007" s="9" t="str">
        <f t="shared" si="96"/>
        <v/>
      </c>
      <c r="W1007" s="10">
        <v>45703</v>
      </c>
      <c r="X1007" s="9" t="str">
        <f t="shared" si="97"/>
        <v>Approved</v>
      </c>
      <c r="Y1007" s="10">
        <v>45731</v>
      </c>
      <c r="Z1007" s="10">
        <f>IF($H1007="Cancelled","",IFERROR(IF(F1007="","",F1007-Variables!$B$13),""))</f>
        <v>45732</v>
      </c>
      <c r="AA1007" s="11">
        <f>IF($H1007="Cancelled","",IFERROR(IF(W1007="","",(AVERAGE(E1007:F1007)-W1007)-Variables!$B$14),""))</f>
        <v>-1</v>
      </c>
      <c r="AB1007" s="10">
        <v>45777</v>
      </c>
      <c r="AC1007" s="11">
        <f>IF($H1007="Cancelled","",IFERROR(IF(AB1007="","",IF(AND(W1007="",Y1007=""),"",IF(Y1007&gt;W1007,Y1007+Variables!$B$15+Variables!$B$16+Variables!$B$17-AB1007,W1007+Variables!$B$16+Variables!$B$17-AB1007))),""))</f>
        <v>-31</v>
      </c>
      <c r="AD1007" s="9" t="s">
        <v>2146</v>
      </c>
      <c r="AE1007" s="9" t="s">
        <v>2147</v>
      </c>
      <c r="AF1007" s="10"/>
      <c r="AG1007" s="10"/>
      <c r="AH1007" s="9"/>
      <c r="AI1007" s="9" t="s">
        <v>2148</v>
      </c>
      <c r="AJ1007" s="9" t="s">
        <v>8</v>
      </c>
      <c r="AK1007" s="10">
        <v>45794</v>
      </c>
      <c r="AL1007" s="10">
        <v>45805</v>
      </c>
      <c r="AM1007" s="10">
        <v>45817</v>
      </c>
      <c r="AN1007" s="9" t="s">
        <v>1492</v>
      </c>
      <c r="AO1007" s="9"/>
      <c r="AP1007" s="11">
        <f>IF($H1007="Cancelled","",IFERROR(IF(OR(AK1007="",AB1007=""),"",(AB1007+Variables!$B$18-AK1007)),""))</f>
        <v>-10</v>
      </c>
      <c r="AQ1007" s="11">
        <f>IF($H1007="Cancelled","",IFERROR(IF(OR(AM1007="",AK1007=""),"",(AK1007+Variables!$B$19)-AM1007),""))</f>
        <v>-18</v>
      </c>
      <c r="AR1007" s="12">
        <f>IF($H1007="Cancelled","",IFERROR(T1007*INDEX(Variables!$B$7:$D$7,IFERROR(MATCH(IF($B1007="Robusta","Robusta",(IF($B1007="","Arabica",$B1007))&amp;" - "&amp;(IF($C1007="","Commercial",$C1007))),Variables!$B$1:$D$1,0),1))*(AQ1007/365),""))</f>
        <v>-33.458957441038223</v>
      </c>
      <c r="AS1007" s="12">
        <f>IF($H1007="Cancelled","",IFERROR((T1007*INDEX(Variables!$B$7:$D$7,IFERROR(MATCH(IF($B1007="Robusta","Robusta",(IF($B1007="","Arabica",$B1007))&amp;" - "&amp;(IF($C1007="","Commercial",$C1007))),Variables!$B$1:$D$1,0),1))*IFERROR(IF(W1007="","",(AVERAGE(E1007:F1007)-W1007)-Variables!$B$14),"")/365)+(L1007/16.67*INDEX(Variables!$B$8:$D$8,IFERROR(MATCH(IF($B1007="Robusta","Robusta",(IF($B1007="","Arabica",$B1007))&amp;" - "&amp;(IF($C1007="","Commercial",$C1007))),Variables!$B$1:$D$1,0),1))*IFERROR(IF(W1007="","",(AVERAGE(E1007:F1007)-W1007)-Variables!$B$14),""))+(T1007*INDEX(Variables!$B$9:$D$9,IFERROR(MATCH(IF($B1007="Robusta","Robusta",(IF($B1007="","Arabica",$B1007))&amp;" - "&amp;(IF($C1007="","Commercial",$C1007))),Variables!$B$1:$D$1,0),1))*IFERROR(IF(W1007="","",(AVERAGE(E1007:F1007)-W1007)-Variables!$B$14),"")/365),""))</f>
        <v>-2.8827948874308205</v>
      </c>
      <c r="AT1007" s="12">
        <f>IF($H1007="Cancelled","",IFERROR((T1007*INDEX(Variables!$B$7:$D$7,IFERROR(MATCH(IF($B1007="Robusta","Robusta",(IF($B1007="","Arabica",$B1007))&amp;" - "&amp;(IF($C1007="","Commercial",$C1007))),Variables!$B$1:$D$1,0),1))*AC1007/365)+(L1007/16.67*INDEX(Variables!$B$8:$D$8,IFERROR(MATCH(IF($B1007="Robusta","Robusta",(IF($B1007="","Arabica",$B1007))&amp;" - "&amp;(IF($C1007="","Commercial",$C1007))),Variables!$B$1:$D$1,0),1))*AC1007)+(T1007*INDEX(Variables!$B$9:$D$9,IFERROR(MATCH(IF($B1007="Robusta","Robusta",(IF($B1007="","Arabica",$B1007))&amp;" - "&amp;(IF($C1007="","Commercial",$C1007))),Variables!$B$1:$D$1,0),1))*AC1007/365),""))</f>
        <v>-89.366641510355436</v>
      </c>
      <c r="AU1007" s="12">
        <f>IF($H1007="Cancelled","",IFERROR((T1007*INDEX(Variables!$B$7:$D$7,IFERROR(MATCH(IF($B1007="Robusta","Robusta",(IF($B1007="","Arabica",$B1007))&amp;" - "&amp;(IF($C1007="","Commercial",$C1007))),Variables!$B$1:$D$1,0),1))*AP1007/365)+(L1007/16.67*INDEX(Variables!$B$8:$D$8,IFERROR(MATCH(IF($B1007="Robusta","Robusta",(IF($B1007="","Arabica",$B1007))&amp;" - "&amp;(IF($C1007="","Commercial",$C1007))),Variables!$B$1:$D$1,0),1))*AP1007)+(T1007*INDEX(Variables!$B$9:$D$9,IFERROR(MATCH(IF($B1007="Robusta","Robusta",(IF($B1007="","Arabica",$B1007))&amp;" - "&amp;(IF($C1007="","Commercial",$C1007))),Variables!$B$1:$D$1,0),1))*AP1007/365),""))</f>
        <v>-28.827948874308206</v>
      </c>
      <c r="AV1007" s="11">
        <f t="shared" si="95"/>
        <v>-47</v>
      </c>
      <c r="AW1007" s="12">
        <f>IF($H1007="Cancelled","",IFERROR(IF(AV1007="","",(T1007*INDEX(Variables!$B$7:$D$7,IFERROR(MATCH(IF($B1007="Robusta","Robusta",(IF($B1007="","Arabica",$B1007))&amp;" - "&amp;(IF($C1007="","Commercial",$C1007))),Variables!$B$1:$D$1,0),1))*(AV1007/365))+(T1007*INDEX(Variables!$B$9:$D$9,IFERROR(MATCH(IF($B1007="Robusta","Robusta",(IF($B1007="","Arabica",$B1007))&amp;" - "&amp;(IF($C1007="","Commercial",$C1007))),Variables!$B$1:$D$1,0),1))*(AV1007/365))+(INDEX(Variables!$B$8:$D$8,IFERROR(MATCH(IF($B1007="Robusta","Robusta",(IF($B1007="","Arabica",$B1007))&amp;" - "&amp;(IF($C1007="","Commercial",$C1007))),Variables!$B$1:$D$1,0),1))*L1007/16.67)),""))</f>
        <v>-87.491359709248556</v>
      </c>
      <c r="AX1007" s="9"/>
      <c r="AY1007" s="12"/>
      <c r="AZ1007" s="10"/>
      <c r="BA1007" s="9"/>
      <c r="BB1007" s="10"/>
      <c r="BC1007" s="9"/>
      <c r="BD1007" s="9"/>
      <c r="BE1007" s="9"/>
      <c r="BF1007" s="9"/>
    </row>
    <row r="1008" spans="1:58" x14ac:dyDescent="0.25">
      <c r="A1008" s="9" t="s">
        <v>84</v>
      </c>
      <c r="B1008" s="9" t="s">
        <v>85</v>
      </c>
      <c r="C1008" s="9" t="s">
        <v>1486</v>
      </c>
      <c r="D1008" s="10">
        <v>45722</v>
      </c>
      <c r="E1008" s="10">
        <v>45717</v>
      </c>
      <c r="F1008" s="10">
        <v>45747</v>
      </c>
      <c r="G1008" s="9">
        <v>3786813</v>
      </c>
      <c r="H1008" s="9" t="str">
        <f t="shared" si="93"/>
        <v>Closed</v>
      </c>
      <c r="I1008" s="9" t="str">
        <f t="shared" si="94"/>
        <v>All dates received</v>
      </c>
      <c r="J1008" s="9" t="s">
        <v>1487</v>
      </c>
      <c r="K1008" s="9" t="s">
        <v>2155</v>
      </c>
      <c r="L1008" s="11">
        <v>30</v>
      </c>
      <c r="M1008" s="9" t="s">
        <v>2156</v>
      </c>
      <c r="N1008" s="9"/>
      <c r="O1008" s="9"/>
      <c r="P1008" s="9"/>
      <c r="Q1008" s="11">
        <v>116</v>
      </c>
      <c r="R1008" s="9" t="s">
        <v>195</v>
      </c>
      <c r="S1008" s="9" t="s">
        <v>183</v>
      </c>
      <c r="T1008" s="12">
        <f>IF($H1008="Cancelled","",IFERROR(((Q1008+INDEX(Variables!$B$6:$D$6,IFERROR(MATCH(IF($B1008="Robusta","Robusta",(IF($B1008="","Arabica",$B1008))&amp;" - "&amp;(IF($C1008="","Commercial",$C1008))),Variables!$B$1:$D$1,0),1)))*22.0462)*(L1008/16.67),""))</f>
        <v>16139.881511697658</v>
      </c>
      <c r="U1008" s="10"/>
      <c r="V1008" s="9" t="str">
        <f t="shared" si="96"/>
        <v/>
      </c>
      <c r="W1008" s="10">
        <v>45703</v>
      </c>
      <c r="X1008" s="9" t="str">
        <f t="shared" si="97"/>
        <v>Approved</v>
      </c>
      <c r="Y1008" s="10">
        <v>45731</v>
      </c>
      <c r="Z1008" s="10">
        <f>IF($H1008="Cancelled","",IFERROR(IF(F1008="","",F1008-Variables!$B$13),""))</f>
        <v>45732</v>
      </c>
      <c r="AA1008" s="11">
        <f>IF($H1008="Cancelled","",IFERROR(IF(W1008="","",(AVERAGE(E1008:F1008)-W1008)-Variables!$B$14),""))</f>
        <v>-1</v>
      </c>
      <c r="AB1008" s="10">
        <v>45777</v>
      </c>
      <c r="AC1008" s="11">
        <f>IF($H1008="Cancelled","",IFERROR(IF(AB1008="","",IF(AND(W1008="",Y1008=""),"",IF(Y1008&gt;W1008,Y1008+Variables!$B$15+Variables!$B$16+Variables!$B$17-AB1008,W1008+Variables!$B$16+Variables!$B$17-AB1008))),""))</f>
        <v>-31</v>
      </c>
      <c r="AD1008" s="9" t="s">
        <v>2146</v>
      </c>
      <c r="AE1008" s="9" t="s">
        <v>2147</v>
      </c>
      <c r="AF1008" s="10"/>
      <c r="AG1008" s="10"/>
      <c r="AH1008" s="9"/>
      <c r="AI1008" s="9" t="s">
        <v>2148</v>
      </c>
      <c r="AJ1008" s="9" t="s">
        <v>8</v>
      </c>
      <c r="AK1008" s="10">
        <v>45794</v>
      </c>
      <c r="AL1008" s="10">
        <v>45805</v>
      </c>
      <c r="AM1008" s="10">
        <v>45817</v>
      </c>
      <c r="AN1008" s="9" t="s">
        <v>1492</v>
      </c>
      <c r="AO1008" s="9"/>
      <c r="AP1008" s="11">
        <f>IF($H1008="Cancelled","",IFERROR(IF(OR(AK1008="",AB1008=""),"",(AB1008+Variables!$B$18-AK1008)),""))</f>
        <v>-10</v>
      </c>
      <c r="AQ1008" s="11">
        <f>IF($H1008="Cancelled","",IFERROR(IF(OR(AM1008="",AK1008=""),"",(AK1008+Variables!$B$19)-AM1008),""))</f>
        <v>-18</v>
      </c>
      <c r="AR1008" s="12">
        <f>IF($H1008="Cancelled","",IFERROR(T1008*INDEX(Variables!$B$7:$D$7,IFERROR(MATCH(IF($B1008="Robusta","Robusta",(IF($B1008="","Arabica",$B1008))&amp;" - "&amp;(IF($C1008="","Commercial",$C1008))),Variables!$B$1:$D$1,0),1))*(AQ1008/365),""))</f>
        <v>-51.323921142588041</v>
      </c>
      <c r="AS1008" s="12">
        <f>IF($H1008="Cancelled","",IFERROR((T1008*INDEX(Variables!$B$7:$D$7,IFERROR(MATCH(IF($B1008="Robusta","Robusta",(IF($B1008="","Arabica",$B1008))&amp;" - "&amp;(IF($C1008="","Commercial",$C1008))),Variables!$B$1:$D$1,0),1))*IFERROR(IF(W1008="","",(AVERAGE(E1008:F1008)-W1008)-Variables!$B$14),"")/365)+(L1008/16.67*INDEX(Variables!$B$8:$D$8,IFERROR(MATCH(IF($B1008="Robusta","Robusta",(IF($B1008="","Arabica",$B1008))&amp;" - "&amp;(IF($C1008="","Commercial",$C1008))),Variables!$B$1:$D$1,0),1))*IFERROR(IF(W1008="","",(AVERAGE(E1008:F1008)-W1008)-Variables!$B$14),""))+(T1008*INDEX(Variables!$B$9:$D$9,IFERROR(MATCH(IF($B1008="Robusta","Robusta",(IF($B1008="","Arabica",$B1008))&amp;" - "&amp;(IF($C1008="","Commercial",$C1008))),Variables!$B$1:$D$1,0),1))*IFERROR(IF(W1008="","",(AVERAGE(E1008:F1008)-W1008)-Variables!$B$14),"")/365),""))</f>
        <v>-4.3880880852445623</v>
      </c>
      <c r="AT1008" s="12">
        <f>IF($H1008="Cancelled","",IFERROR((T1008*INDEX(Variables!$B$7:$D$7,IFERROR(MATCH(IF($B1008="Robusta","Robusta",(IF($B1008="","Arabica",$B1008))&amp;" - "&amp;(IF($C1008="","Commercial",$C1008))),Variables!$B$1:$D$1,0),1))*AC1008/365)+(L1008/16.67*INDEX(Variables!$B$8:$D$8,IFERROR(MATCH(IF($B1008="Robusta","Robusta",(IF($B1008="","Arabica",$B1008))&amp;" - "&amp;(IF($C1008="","Commercial",$C1008))),Variables!$B$1:$D$1,0),1))*AC1008)+(T1008*INDEX(Variables!$B$9:$D$9,IFERROR(MATCH(IF($B1008="Robusta","Robusta",(IF($B1008="","Arabica",$B1008))&amp;" - "&amp;(IF($C1008="","Commercial",$C1008))),Variables!$B$1:$D$1,0),1))*AC1008/365),""))</f>
        <v>-136.03073064258143</v>
      </c>
      <c r="AU1008" s="12">
        <f>IF($H1008="Cancelled","",IFERROR((T1008*INDEX(Variables!$B$7:$D$7,IFERROR(MATCH(IF($B1008="Robusta","Robusta",(IF($B1008="","Arabica",$B1008))&amp;" - "&amp;(IF($C1008="","Commercial",$C1008))),Variables!$B$1:$D$1,0),1))*AP1008/365)+(L1008/16.67*INDEX(Variables!$B$8:$D$8,IFERROR(MATCH(IF($B1008="Robusta","Robusta",(IF($B1008="","Arabica",$B1008))&amp;" - "&amp;(IF($C1008="","Commercial",$C1008))),Variables!$B$1:$D$1,0),1))*AP1008)+(T1008*INDEX(Variables!$B$9:$D$9,IFERROR(MATCH(IF($B1008="Robusta","Robusta",(IF($B1008="","Arabica",$B1008))&amp;" - "&amp;(IF($C1008="","Commercial",$C1008))),Variables!$B$1:$D$1,0),1))*AP1008/365),""))</f>
        <v>-43.880880852445621</v>
      </c>
      <c r="AV1008" s="11">
        <f t="shared" si="95"/>
        <v>-47</v>
      </c>
      <c r="AW1008" s="12">
        <f>IF($H1008="Cancelled","",IFERROR(IF(AV1008="","",(T1008*INDEX(Variables!$B$7:$D$7,IFERROR(MATCH(IF($B1008="Robusta","Robusta",(IF($B1008="","Arabica",$B1008))&amp;" - "&amp;(IF($C1008="","Commercial",$C1008))),Variables!$B$1:$D$1,0),1))*(AV1008/365))+(T1008*INDEX(Variables!$B$9:$D$9,IFERROR(MATCH(IF($B1008="Robusta","Robusta",(IF($B1008="","Arabica",$B1008))&amp;" - "&amp;(IF($C1008="","Commercial",$C1008))),Variables!$B$1:$D$1,0),1))*(AV1008/365))+(INDEX(Variables!$B$8:$D$8,IFERROR(MATCH(IF($B1008="Robusta","Robusta",(IF($B1008="","Arabica",$B1008))&amp;" - "&amp;(IF($C1008="","Commercial",$C1008))),Variables!$B$1:$D$1,0),1))*L1008/16.67)),""))</f>
        <v>-134.24014000649441</v>
      </c>
      <c r="AX1008" s="9"/>
      <c r="AY1008" s="12"/>
      <c r="AZ1008" s="10"/>
      <c r="BA1008" s="9"/>
      <c r="BB1008" s="10"/>
      <c r="BC1008" s="9"/>
      <c r="BD1008" s="9"/>
      <c r="BE1008" s="9"/>
      <c r="BF1008" s="9"/>
    </row>
    <row r="1009" spans="1:58" x14ac:dyDescent="0.25">
      <c r="A1009" s="9" t="s">
        <v>84</v>
      </c>
      <c r="B1009" s="9" t="s">
        <v>85</v>
      </c>
      <c r="C1009" s="9" t="s">
        <v>1486</v>
      </c>
      <c r="D1009" s="10">
        <v>45722</v>
      </c>
      <c r="E1009" s="10">
        <v>45717</v>
      </c>
      <c r="F1009" s="10">
        <v>45747</v>
      </c>
      <c r="G1009" s="9">
        <v>3786814</v>
      </c>
      <c r="H1009" s="9" t="str">
        <f t="shared" si="93"/>
        <v>Closed</v>
      </c>
      <c r="I1009" s="9" t="str">
        <f t="shared" si="94"/>
        <v>All dates received</v>
      </c>
      <c r="J1009" s="9" t="s">
        <v>1487</v>
      </c>
      <c r="K1009" s="9" t="s">
        <v>2157</v>
      </c>
      <c r="L1009" s="11">
        <v>30</v>
      </c>
      <c r="M1009" s="9" t="s">
        <v>2158</v>
      </c>
      <c r="N1009" s="9"/>
      <c r="O1009" s="9"/>
      <c r="P1009" s="9"/>
      <c r="Q1009" s="11">
        <v>116</v>
      </c>
      <c r="R1009" s="9" t="s">
        <v>195</v>
      </c>
      <c r="S1009" s="9" t="s">
        <v>183</v>
      </c>
      <c r="T1009" s="12">
        <f>IF($H1009="Cancelled","",IFERROR(((Q1009+INDEX(Variables!$B$6:$D$6,IFERROR(MATCH(IF($B1009="Robusta","Robusta",(IF($B1009="","Arabica",$B1009))&amp;" - "&amp;(IF($C1009="","Commercial",$C1009))),Variables!$B$1:$D$1,0),1)))*22.0462)*(L1009/16.67),""))</f>
        <v>16139.881511697658</v>
      </c>
      <c r="U1009" s="10"/>
      <c r="V1009" s="9" t="str">
        <f t="shared" si="96"/>
        <v/>
      </c>
      <c r="W1009" s="10">
        <v>45703</v>
      </c>
      <c r="X1009" s="9" t="str">
        <f t="shared" si="97"/>
        <v>Approved</v>
      </c>
      <c r="Y1009" s="10">
        <v>45731</v>
      </c>
      <c r="Z1009" s="10">
        <f>IF($H1009="Cancelled","",IFERROR(IF(F1009="","",F1009-Variables!$B$13),""))</f>
        <v>45732</v>
      </c>
      <c r="AA1009" s="11">
        <f>IF($H1009="Cancelled","",IFERROR(IF(W1009="","",(AVERAGE(E1009:F1009)-W1009)-Variables!$B$14),""))</f>
        <v>-1</v>
      </c>
      <c r="AB1009" s="10">
        <v>45777</v>
      </c>
      <c r="AC1009" s="11">
        <f>IF($H1009="Cancelled","",IFERROR(IF(AB1009="","",IF(AND(W1009="",Y1009=""),"",IF(Y1009&gt;W1009,Y1009+Variables!$B$15+Variables!$B$16+Variables!$B$17-AB1009,W1009+Variables!$B$16+Variables!$B$17-AB1009))),""))</f>
        <v>-31</v>
      </c>
      <c r="AD1009" s="9" t="s">
        <v>2146</v>
      </c>
      <c r="AE1009" s="9" t="s">
        <v>2147</v>
      </c>
      <c r="AF1009" s="10"/>
      <c r="AG1009" s="10"/>
      <c r="AH1009" s="9"/>
      <c r="AI1009" s="9" t="s">
        <v>2148</v>
      </c>
      <c r="AJ1009" s="9" t="s">
        <v>8</v>
      </c>
      <c r="AK1009" s="10">
        <v>45794</v>
      </c>
      <c r="AL1009" s="10">
        <v>45805</v>
      </c>
      <c r="AM1009" s="10">
        <v>45817</v>
      </c>
      <c r="AN1009" s="9" t="s">
        <v>1492</v>
      </c>
      <c r="AO1009" s="9"/>
      <c r="AP1009" s="11">
        <f>IF($H1009="Cancelled","",IFERROR(IF(OR(AK1009="",AB1009=""),"",(AB1009+Variables!$B$18-AK1009)),""))</f>
        <v>-10</v>
      </c>
      <c r="AQ1009" s="11">
        <f>IF($H1009="Cancelled","",IFERROR(IF(OR(AM1009="",AK1009=""),"",(AK1009+Variables!$B$19)-AM1009),""))</f>
        <v>-18</v>
      </c>
      <c r="AR1009" s="12">
        <f>IF($H1009="Cancelled","",IFERROR(T1009*INDEX(Variables!$B$7:$D$7,IFERROR(MATCH(IF($B1009="Robusta","Robusta",(IF($B1009="","Arabica",$B1009))&amp;" - "&amp;(IF($C1009="","Commercial",$C1009))),Variables!$B$1:$D$1,0),1))*(AQ1009/365),""))</f>
        <v>-51.323921142588041</v>
      </c>
      <c r="AS1009" s="12">
        <f>IF($H1009="Cancelled","",IFERROR((T1009*INDEX(Variables!$B$7:$D$7,IFERROR(MATCH(IF($B1009="Robusta","Robusta",(IF($B1009="","Arabica",$B1009))&amp;" - "&amp;(IF($C1009="","Commercial",$C1009))),Variables!$B$1:$D$1,0),1))*IFERROR(IF(W1009="","",(AVERAGE(E1009:F1009)-W1009)-Variables!$B$14),"")/365)+(L1009/16.67*INDEX(Variables!$B$8:$D$8,IFERROR(MATCH(IF($B1009="Robusta","Robusta",(IF($B1009="","Arabica",$B1009))&amp;" - "&amp;(IF($C1009="","Commercial",$C1009))),Variables!$B$1:$D$1,0),1))*IFERROR(IF(W1009="","",(AVERAGE(E1009:F1009)-W1009)-Variables!$B$14),""))+(T1009*INDEX(Variables!$B$9:$D$9,IFERROR(MATCH(IF($B1009="Robusta","Robusta",(IF($B1009="","Arabica",$B1009))&amp;" - "&amp;(IF($C1009="","Commercial",$C1009))),Variables!$B$1:$D$1,0),1))*IFERROR(IF(W1009="","",(AVERAGE(E1009:F1009)-W1009)-Variables!$B$14),"")/365),""))</f>
        <v>-4.3880880852445623</v>
      </c>
      <c r="AT1009" s="12">
        <f>IF($H1009="Cancelled","",IFERROR((T1009*INDEX(Variables!$B$7:$D$7,IFERROR(MATCH(IF($B1009="Robusta","Robusta",(IF($B1009="","Arabica",$B1009))&amp;" - "&amp;(IF($C1009="","Commercial",$C1009))),Variables!$B$1:$D$1,0),1))*AC1009/365)+(L1009/16.67*INDEX(Variables!$B$8:$D$8,IFERROR(MATCH(IF($B1009="Robusta","Robusta",(IF($B1009="","Arabica",$B1009))&amp;" - "&amp;(IF($C1009="","Commercial",$C1009))),Variables!$B$1:$D$1,0),1))*AC1009)+(T1009*INDEX(Variables!$B$9:$D$9,IFERROR(MATCH(IF($B1009="Robusta","Robusta",(IF($B1009="","Arabica",$B1009))&amp;" - "&amp;(IF($C1009="","Commercial",$C1009))),Variables!$B$1:$D$1,0),1))*AC1009/365),""))</f>
        <v>-136.03073064258143</v>
      </c>
      <c r="AU1009" s="12">
        <f>IF($H1009="Cancelled","",IFERROR((T1009*INDEX(Variables!$B$7:$D$7,IFERROR(MATCH(IF($B1009="Robusta","Robusta",(IF($B1009="","Arabica",$B1009))&amp;" - "&amp;(IF($C1009="","Commercial",$C1009))),Variables!$B$1:$D$1,0),1))*AP1009/365)+(L1009/16.67*INDEX(Variables!$B$8:$D$8,IFERROR(MATCH(IF($B1009="Robusta","Robusta",(IF($B1009="","Arabica",$B1009))&amp;" - "&amp;(IF($C1009="","Commercial",$C1009))),Variables!$B$1:$D$1,0),1))*AP1009)+(T1009*INDEX(Variables!$B$9:$D$9,IFERROR(MATCH(IF($B1009="Robusta","Robusta",(IF($B1009="","Arabica",$B1009))&amp;" - "&amp;(IF($C1009="","Commercial",$C1009))),Variables!$B$1:$D$1,0),1))*AP1009/365),""))</f>
        <v>-43.880880852445621</v>
      </c>
      <c r="AV1009" s="11">
        <f t="shared" si="95"/>
        <v>-47</v>
      </c>
      <c r="AW1009" s="12">
        <f>IF($H1009="Cancelled","",IFERROR(IF(AV1009="","",(T1009*INDEX(Variables!$B$7:$D$7,IFERROR(MATCH(IF($B1009="Robusta","Robusta",(IF($B1009="","Arabica",$B1009))&amp;" - "&amp;(IF($C1009="","Commercial",$C1009))),Variables!$B$1:$D$1,0),1))*(AV1009/365))+(T1009*INDEX(Variables!$B$9:$D$9,IFERROR(MATCH(IF($B1009="Robusta","Robusta",(IF($B1009="","Arabica",$B1009))&amp;" - "&amp;(IF($C1009="","Commercial",$C1009))),Variables!$B$1:$D$1,0),1))*(AV1009/365))+(INDEX(Variables!$B$8:$D$8,IFERROR(MATCH(IF($B1009="Robusta","Robusta",(IF($B1009="","Arabica",$B1009))&amp;" - "&amp;(IF($C1009="","Commercial",$C1009))),Variables!$B$1:$D$1,0),1))*L1009/16.67)),""))</f>
        <v>-134.24014000649441</v>
      </c>
      <c r="AX1009" s="9"/>
      <c r="AY1009" s="12"/>
      <c r="AZ1009" s="10"/>
      <c r="BA1009" s="9"/>
      <c r="BB1009" s="10"/>
      <c r="BC1009" s="9"/>
      <c r="BD1009" s="9"/>
      <c r="BE1009" s="9"/>
      <c r="BF1009" s="9"/>
    </row>
    <row r="1010" spans="1:58" x14ac:dyDescent="0.25">
      <c r="A1010" s="9" t="s">
        <v>84</v>
      </c>
      <c r="B1010" s="9" t="s">
        <v>85</v>
      </c>
      <c r="C1010" s="9" t="s">
        <v>1486</v>
      </c>
      <c r="D1010" s="10">
        <v>45722</v>
      </c>
      <c r="E1010" s="10">
        <v>45717</v>
      </c>
      <c r="F1010" s="10">
        <v>45747</v>
      </c>
      <c r="G1010" s="9">
        <v>3786815</v>
      </c>
      <c r="H1010" s="9" t="str">
        <f t="shared" si="93"/>
        <v>Closed</v>
      </c>
      <c r="I1010" s="9" t="str">
        <f t="shared" si="94"/>
        <v>All dates received</v>
      </c>
      <c r="J1010" s="9" t="s">
        <v>1487</v>
      </c>
      <c r="K1010" s="9" t="s">
        <v>2159</v>
      </c>
      <c r="L1010" s="11">
        <v>30</v>
      </c>
      <c r="M1010" s="9" t="s">
        <v>2160</v>
      </c>
      <c r="N1010" s="9"/>
      <c r="O1010" s="9"/>
      <c r="P1010" s="9"/>
      <c r="Q1010" s="11">
        <v>101</v>
      </c>
      <c r="R1010" s="9" t="s">
        <v>195</v>
      </c>
      <c r="S1010" s="9"/>
      <c r="T1010" s="12">
        <f>IF($H1010="Cancelled","",IFERROR(((Q1010+INDEX(Variables!$B$6:$D$6,IFERROR(MATCH(IF($B1010="Robusta","Robusta",(IF($B1010="","Arabica",$B1010))&amp;" - "&amp;(IF($C1010="","Commercial",$C1010))),Variables!$B$1:$D$1,0),1)))*22.0462)*(L1010/16.67),""))</f>
        <v>15544.753137372525</v>
      </c>
      <c r="U1010" s="10"/>
      <c r="V1010" s="9" t="str">
        <f t="shared" si="96"/>
        <v/>
      </c>
      <c r="W1010" s="10">
        <v>45703</v>
      </c>
      <c r="X1010" s="9" t="str">
        <f t="shared" si="97"/>
        <v>Approved</v>
      </c>
      <c r="Y1010" s="10">
        <v>45731</v>
      </c>
      <c r="Z1010" s="10">
        <f>IF($H1010="Cancelled","",IFERROR(IF(F1010="","",F1010-Variables!$B$13),""))</f>
        <v>45732</v>
      </c>
      <c r="AA1010" s="11">
        <f>IF($H1010="Cancelled","",IFERROR(IF(W1010="","",(AVERAGE(E1010:F1010)-W1010)-Variables!$B$14),""))</f>
        <v>-1</v>
      </c>
      <c r="AB1010" s="10">
        <v>45777</v>
      </c>
      <c r="AC1010" s="11">
        <f>IF($H1010="Cancelled","",IFERROR(IF(AB1010="","",IF(AND(W1010="",Y1010=""),"",IF(Y1010&gt;W1010,Y1010+Variables!$B$15+Variables!$B$16+Variables!$B$17-AB1010,W1010+Variables!$B$16+Variables!$B$17-AB1010))),""))</f>
        <v>-31</v>
      </c>
      <c r="AD1010" s="9" t="s">
        <v>2146</v>
      </c>
      <c r="AE1010" s="9" t="s">
        <v>2147</v>
      </c>
      <c r="AF1010" s="10"/>
      <c r="AG1010" s="10"/>
      <c r="AH1010" s="9"/>
      <c r="AI1010" s="9" t="s">
        <v>2148</v>
      </c>
      <c r="AJ1010" s="9" t="s">
        <v>8</v>
      </c>
      <c r="AK1010" s="10">
        <v>45794</v>
      </c>
      <c r="AL1010" s="10">
        <v>45805</v>
      </c>
      <c r="AM1010" s="10">
        <v>45817</v>
      </c>
      <c r="AN1010" s="9" t="s">
        <v>1492</v>
      </c>
      <c r="AO1010" s="9"/>
      <c r="AP1010" s="11">
        <f>IF($H1010="Cancelled","",IFERROR(IF(OR(AK1010="",AB1010=""),"",(AB1010+Variables!$B$18-AK1010)),""))</f>
        <v>-10</v>
      </c>
      <c r="AQ1010" s="11">
        <f>IF($H1010="Cancelled","",IFERROR(IF(OR(AM1010="",AK1010=""),"",(AK1010+Variables!$B$19)-AM1010),""))</f>
        <v>-18</v>
      </c>
      <c r="AR1010" s="12">
        <f>IF($H1010="Cancelled","",IFERROR(T1010*INDEX(Variables!$B$7:$D$7,IFERROR(MATCH(IF($B1010="Robusta","Robusta",(IF($B1010="","Arabica",$B1010))&amp;" - "&amp;(IF($C1010="","Commercial",$C1010))),Variables!$B$1:$D$1,0),1))*(AQ1010/365),""))</f>
        <v>-49.431446174203529</v>
      </c>
      <c r="AS1010" s="12">
        <f>IF($H1010="Cancelled","",IFERROR((T1010*INDEX(Variables!$B$7:$D$7,IFERROR(MATCH(IF($B1010="Robusta","Robusta",(IF($B1010="","Arabica",$B1010))&amp;" - "&amp;(IF($C1010="","Commercial",$C1010))),Variables!$B$1:$D$1,0),1))*IFERROR(IF(W1010="","",(AVERAGE(E1010:F1010)-W1010)-Variables!$B$14),"")/365)+(L1010/16.67*INDEX(Variables!$B$8:$D$8,IFERROR(MATCH(IF($B1010="Robusta","Robusta",(IF($B1010="","Arabica",$B1010))&amp;" - "&amp;(IF($C1010="","Commercial",$C1010))),Variables!$B$1:$D$1,0),1))*IFERROR(IF(W1010="","",(AVERAGE(E1010:F1010)-W1010)-Variables!$B$14),""))+(T1010*INDEX(Variables!$B$9:$D$9,IFERROR(MATCH(IF($B1010="Robusta","Robusta",(IF($B1010="","Arabica",$B1010))&amp;" - "&amp;(IF($C1010="","Commercial",$C1010))),Variables!$B$1:$D$1,0),1))*IFERROR(IF(W1010="","",(AVERAGE(E1010:F1010)-W1010)-Variables!$B$14),"")/365),""))</f>
        <v>-4.2815951617473438</v>
      </c>
      <c r="AT1010" s="12">
        <f>IF($H1010="Cancelled","",IFERROR((T1010*INDEX(Variables!$B$7:$D$7,IFERROR(MATCH(IF($B1010="Robusta","Robusta",(IF($B1010="","Arabica",$B1010))&amp;" - "&amp;(IF($C1010="","Commercial",$C1010))),Variables!$B$1:$D$1,0),1))*AC1010/365)+(L1010/16.67*INDEX(Variables!$B$8:$D$8,IFERROR(MATCH(IF($B1010="Robusta","Robusta",(IF($B1010="","Arabica",$B1010))&amp;" - "&amp;(IF($C1010="","Commercial",$C1010))),Variables!$B$1:$D$1,0),1))*AC1010)+(T1010*INDEX(Variables!$B$9:$D$9,IFERROR(MATCH(IF($B1010="Robusta","Robusta",(IF($B1010="","Arabica",$B1010))&amp;" - "&amp;(IF($C1010="","Commercial",$C1010))),Variables!$B$1:$D$1,0),1))*AC1010/365),""))</f>
        <v>-132.72945001416764</v>
      </c>
      <c r="AU1010" s="12">
        <f>IF($H1010="Cancelled","",IFERROR((T1010*INDEX(Variables!$B$7:$D$7,IFERROR(MATCH(IF($B1010="Robusta","Robusta",(IF($B1010="","Arabica",$B1010))&amp;" - "&amp;(IF($C1010="","Commercial",$C1010))),Variables!$B$1:$D$1,0),1))*AP1010/365)+(L1010/16.67*INDEX(Variables!$B$8:$D$8,IFERROR(MATCH(IF($B1010="Robusta","Robusta",(IF($B1010="","Arabica",$B1010))&amp;" - "&amp;(IF($C1010="","Commercial",$C1010))),Variables!$B$1:$D$1,0),1))*AP1010)+(T1010*INDEX(Variables!$B$9:$D$9,IFERROR(MATCH(IF($B1010="Robusta","Robusta",(IF($B1010="","Arabica",$B1010))&amp;" - "&amp;(IF($C1010="","Commercial",$C1010))),Variables!$B$1:$D$1,0),1))*AP1010/365),""))</f>
        <v>-42.815951617473438</v>
      </c>
      <c r="AV1010" s="11">
        <f t="shared" si="95"/>
        <v>-47</v>
      </c>
      <c r="AW1010" s="12">
        <f>IF($H1010="Cancelled","",IFERROR(IF(AV1010="","",(T1010*INDEX(Variables!$B$7:$D$7,IFERROR(MATCH(IF($B1010="Robusta","Robusta",(IF($B1010="","Arabica",$B1010))&amp;" - "&amp;(IF($C1010="","Commercial",$C1010))),Variables!$B$1:$D$1,0),1))*(AV1010/365))+(T1010*INDEX(Variables!$B$9:$D$9,IFERROR(MATCH(IF($B1010="Robusta","Robusta",(IF($B1010="","Arabica",$B1010))&amp;" - "&amp;(IF($C1010="","Commercial",$C1010))),Variables!$B$1:$D$1,0),1))*(AV1010/365))+(INDEX(Variables!$B$8:$D$8,IFERROR(MATCH(IF($B1010="Robusta","Robusta",(IF($B1010="","Arabica",$B1010))&amp;" - "&amp;(IF($C1010="","Commercial",$C1010))),Variables!$B$1:$D$1,0),1))*L1010/16.67)),""))</f>
        <v>-129.23497260212514</v>
      </c>
      <c r="AX1010" s="9"/>
      <c r="AY1010" s="12"/>
      <c r="AZ1010" s="10"/>
      <c r="BA1010" s="9"/>
      <c r="BB1010" s="10"/>
      <c r="BC1010" s="9"/>
      <c r="BD1010" s="9"/>
      <c r="BE1010" s="9"/>
      <c r="BF1010" s="9"/>
    </row>
    <row r="1011" spans="1:58" x14ac:dyDescent="0.25">
      <c r="A1011" s="9" t="s">
        <v>84</v>
      </c>
      <c r="B1011" s="9" t="s">
        <v>85</v>
      </c>
      <c r="C1011" s="9" t="s">
        <v>1486</v>
      </c>
      <c r="D1011" s="10">
        <v>45722</v>
      </c>
      <c r="E1011" s="10">
        <v>45717</v>
      </c>
      <c r="F1011" s="10">
        <v>45747</v>
      </c>
      <c r="G1011" s="9">
        <v>3786819</v>
      </c>
      <c r="H1011" s="9" t="str">
        <f t="shared" si="93"/>
        <v>Open</v>
      </c>
      <c r="I1011" s="9" t="str">
        <f t="shared" si="94"/>
        <v>No sailing date and No shipping advice sent and No docs dispatch date</v>
      </c>
      <c r="J1011" s="9" t="s">
        <v>1487</v>
      </c>
      <c r="K1011" s="9" t="s">
        <v>2161</v>
      </c>
      <c r="L1011" s="11">
        <v>30</v>
      </c>
      <c r="M1011" s="9" t="s">
        <v>2162</v>
      </c>
      <c r="N1011" s="9"/>
      <c r="O1011" s="9"/>
      <c r="P1011" s="9"/>
      <c r="Q1011" s="11">
        <v>94</v>
      </c>
      <c r="R1011" s="9" t="s">
        <v>195</v>
      </c>
      <c r="S1011" s="9"/>
      <c r="T1011" s="12">
        <f>IF($H1011="Cancelled","",IFERROR(((Q1011+INDEX(Variables!$B$6:$D$6,IFERROR(MATCH(IF($B1011="Robusta","Robusta",(IF($B1011="","Arabica",$B1011))&amp;" - "&amp;(IF($C1011="","Commercial",$C1011))),Variables!$B$1:$D$1,0),1)))*22.0462)*(L1011/16.67),""))</f>
        <v>15267.026562687461</v>
      </c>
      <c r="U1011" s="10"/>
      <c r="V1011" s="9" t="str">
        <f t="shared" si="96"/>
        <v/>
      </c>
      <c r="W1011" s="10">
        <v>45703</v>
      </c>
      <c r="X1011" s="9" t="str">
        <f t="shared" si="97"/>
        <v>Approved</v>
      </c>
      <c r="Y1011" s="10">
        <v>45731</v>
      </c>
      <c r="Z1011" s="10">
        <f>IF($H1011="Cancelled","",IFERROR(IF(F1011="","",F1011-Variables!$B$13),""))</f>
        <v>45732</v>
      </c>
      <c r="AA1011" s="11">
        <f>IF($H1011="Cancelled","",IFERROR(IF(W1011="","",(AVERAGE(E1011:F1011)-W1011)-Variables!$B$14),""))</f>
        <v>-1</v>
      </c>
      <c r="AB1011" s="10">
        <v>45777</v>
      </c>
      <c r="AC1011" s="11">
        <f>IF($H1011="Cancelled","",IFERROR(IF(AB1011="","",IF(AND(W1011="",Y1011=""),"",IF(Y1011&gt;W1011,Y1011+Variables!$B$15+Variables!$B$16+Variables!$B$17-AB1011,W1011+Variables!$B$16+Variables!$B$17-AB1011))),""))</f>
        <v>-31</v>
      </c>
      <c r="AD1011" s="9" t="s">
        <v>107</v>
      </c>
      <c r="AE1011" s="9"/>
      <c r="AF1011" s="10"/>
      <c r="AG1011" s="10"/>
      <c r="AH1011" s="9"/>
      <c r="AI1011" s="9"/>
      <c r="AJ1011" s="9"/>
      <c r="AK1011" s="10"/>
      <c r="AL1011" s="10"/>
      <c r="AM1011" s="10"/>
      <c r="AN1011" s="9" t="s">
        <v>1492</v>
      </c>
      <c r="AO1011" s="9"/>
      <c r="AP1011" s="11" t="str">
        <f>IF($H1011="Cancelled","",IFERROR(IF(OR(AK1011="",AB1011=""),"",(AB1011+Variables!$B$18-AK1011)),""))</f>
        <v/>
      </c>
      <c r="AQ1011" s="11" t="str">
        <f>IF($H1011="Cancelled","",IFERROR(IF(OR(AM1011="",AK1011=""),"",(AK1011+Variables!$B$19)-AM1011),""))</f>
        <v/>
      </c>
      <c r="AR1011" s="12" t="str">
        <f>IF($H1011="Cancelled","",IFERROR(T1011*INDEX(Variables!$B$7:$D$7,IFERROR(MATCH(IF($B1011="Robusta","Robusta",(IF($B1011="","Arabica",$B1011))&amp;" - "&amp;(IF($C1011="","Commercial",$C1011))),Variables!$B$1:$D$1,0),1))*(AQ1011/365),""))</f>
        <v/>
      </c>
      <c r="AS1011" s="12">
        <f>IF($H1011="Cancelled","",IFERROR((T1011*INDEX(Variables!$B$7:$D$7,IFERROR(MATCH(IF($B1011="Robusta","Robusta",(IF($B1011="","Arabica",$B1011))&amp;" - "&amp;(IF($C1011="","Commercial",$C1011))),Variables!$B$1:$D$1,0),1))*IFERROR(IF(W1011="","",(AVERAGE(E1011:F1011)-W1011)-Variables!$B$14),"")/365)+(L1011/16.67*INDEX(Variables!$B$8:$D$8,IFERROR(MATCH(IF($B1011="Robusta","Robusta",(IF($B1011="","Arabica",$B1011))&amp;" - "&amp;(IF($C1011="","Commercial",$C1011))),Variables!$B$1:$D$1,0),1))*IFERROR(IF(W1011="","",(AVERAGE(E1011:F1011)-W1011)-Variables!$B$14),""))+(T1011*INDEX(Variables!$B$9:$D$9,IFERROR(MATCH(IF($B1011="Robusta","Robusta",(IF($B1011="","Arabica",$B1011))&amp;" - "&amp;(IF($C1011="","Commercial",$C1011))),Variables!$B$1:$D$1,0),1))*IFERROR(IF(W1011="","",(AVERAGE(E1011:F1011)-W1011)-Variables!$B$14),"")/365),""))</f>
        <v>-4.231898464115309</v>
      </c>
      <c r="AT1011" s="12">
        <f>IF($H1011="Cancelled","",IFERROR((T1011*INDEX(Variables!$B$7:$D$7,IFERROR(MATCH(IF($B1011="Robusta","Robusta",(IF($B1011="","Arabica",$B1011))&amp;" - "&amp;(IF($C1011="","Commercial",$C1011))),Variables!$B$1:$D$1,0),1))*AC1011/365)+(L1011/16.67*INDEX(Variables!$B$8:$D$8,IFERROR(MATCH(IF($B1011="Robusta","Robusta",(IF($B1011="","Arabica",$B1011))&amp;" - "&amp;(IF($C1011="","Commercial",$C1011))),Variables!$B$1:$D$1,0),1))*AC1011)+(T1011*INDEX(Variables!$B$9:$D$9,IFERROR(MATCH(IF($B1011="Robusta","Robusta",(IF($B1011="","Arabica",$B1011))&amp;" - "&amp;(IF($C1011="","Commercial",$C1011))),Variables!$B$1:$D$1,0),1))*AC1011/365),""))</f>
        <v>-131.18885238757454</v>
      </c>
      <c r="AU1011" s="12" t="str">
        <f>IF($H1011="Cancelled","",IFERROR((T1011*INDEX(Variables!$B$7:$D$7,IFERROR(MATCH(IF($B1011="Robusta","Robusta",(IF($B1011="","Arabica",$B1011))&amp;" - "&amp;(IF($C1011="","Commercial",$C1011))),Variables!$B$1:$D$1,0),1))*AP1011/365)+(L1011/16.67*INDEX(Variables!$B$8:$D$8,IFERROR(MATCH(IF($B1011="Robusta","Robusta",(IF($B1011="","Arabica",$B1011))&amp;" - "&amp;(IF($C1011="","Commercial",$C1011))),Variables!$B$1:$D$1,0),1))*AP1011)+(T1011*INDEX(Variables!$B$9:$D$9,IFERROR(MATCH(IF($B1011="Robusta","Robusta",(IF($B1011="","Arabica",$B1011))&amp;" - "&amp;(IF($C1011="","Commercial",$C1011))),Variables!$B$1:$D$1,0),1))*AP1011/365),""))</f>
        <v/>
      </c>
      <c r="AV1011" s="11" t="str">
        <f t="shared" si="95"/>
        <v/>
      </c>
      <c r="AW1011" s="12" t="str">
        <f>IF($H1011="Cancelled","",IFERROR(IF(AV1011="","",(T1011*INDEX(Variables!$B$7:$D$7,IFERROR(MATCH(IF($B1011="Robusta","Robusta",(IF($B1011="","Arabica",$B1011))&amp;" - "&amp;(IF($C1011="","Commercial",$C1011))),Variables!$B$1:$D$1,0),1))*(AV1011/365))+(T1011*INDEX(Variables!$B$9:$D$9,IFERROR(MATCH(IF($B1011="Robusta","Robusta",(IF($B1011="","Arabica",$B1011))&amp;" - "&amp;(IF($C1011="","Commercial",$C1011))),Variables!$B$1:$D$1,0),1))*(AV1011/365))+(INDEX(Variables!$B$8:$D$8,IFERROR(MATCH(IF($B1011="Robusta","Robusta",(IF($B1011="","Arabica",$B1011))&amp;" - "&amp;(IF($C1011="","Commercial",$C1011))),Variables!$B$1:$D$1,0),1))*L1011/16.67)),""))</f>
        <v/>
      </c>
      <c r="AX1011" s="9"/>
      <c r="AY1011" s="12"/>
      <c r="AZ1011" s="10"/>
      <c r="BA1011" s="9"/>
      <c r="BB1011" s="10"/>
      <c r="BC1011" s="9"/>
      <c r="BD1011" s="9"/>
      <c r="BE1011" s="9"/>
      <c r="BF1011" s="9"/>
    </row>
    <row r="1012" spans="1:58" x14ac:dyDescent="0.25">
      <c r="A1012" s="9" t="s">
        <v>84</v>
      </c>
      <c r="B1012" s="9" t="s">
        <v>85</v>
      </c>
      <c r="C1012" s="9" t="s">
        <v>1486</v>
      </c>
      <c r="D1012" s="10">
        <v>45722</v>
      </c>
      <c r="E1012" s="10">
        <v>45717</v>
      </c>
      <c r="F1012" s="10">
        <v>45747</v>
      </c>
      <c r="G1012" s="9">
        <v>3786820</v>
      </c>
      <c r="H1012" s="9" t="str">
        <f t="shared" si="93"/>
        <v>Closed</v>
      </c>
      <c r="I1012" s="9" t="str">
        <f t="shared" si="94"/>
        <v>All dates received</v>
      </c>
      <c r="J1012" s="9" t="s">
        <v>235</v>
      </c>
      <c r="K1012" s="9" t="s">
        <v>2163</v>
      </c>
      <c r="L1012" s="11">
        <v>3</v>
      </c>
      <c r="M1012" s="9" t="s">
        <v>2164</v>
      </c>
      <c r="N1012" s="9"/>
      <c r="O1012" s="9"/>
      <c r="P1012" s="9"/>
      <c r="Q1012" s="11">
        <v>89.2</v>
      </c>
      <c r="R1012" s="9" t="s">
        <v>90</v>
      </c>
      <c r="S1012" s="9" t="s">
        <v>106</v>
      </c>
      <c r="T1012" s="12">
        <f>IF($H1012="Cancelled","",IFERROR(((Q1012+INDEX(Variables!$B$6:$D$6,IFERROR(MATCH(IF($B1012="Robusta","Robusta",(IF($B1012="","Arabica",$B1012))&amp;" - "&amp;(IF($C1012="","Commercial",$C1012))),Variables!$B$1:$D$1,0),1)))*22.0462)*(L1012/16.67),""))</f>
        <v>1507.6585482903417</v>
      </c>
      <c r="U1012" s="10"/>
      <c r="V1012" s="9" t="str">
        <f t="shared" si="96"/>
        <v/>
      </c>
      <c r="W1012" s="10">
        <v>45703</v>
      </c>
      <c r="X1012" s="9" t="str">
        <f t="shared" si="97"/>
        <v>Approved</v>
      </c>
      <c r="Y1012" s="10">
        <v>45731</v>
      </c>
      <c r="Z1012" s="10">
        <f>IF($H1012="Cancelled","",IFERROR(IF(F1012="","",F1012-Variables!$B$13),""))</f>
        <v>45732</v>
      </c>
      <c r="AA1012" s="11">
        <f>IF($H1012="Cancelled","",IFERROR(IF(W1012="","",(AVERAGE(E1012:F1012)-W1012)-Variables!$B$14),""))</f>
        <v>-1</v>
      </c>
      <c r="AB1012" s="10">
        <v>45786</v>
      </c>
      <c r="AC1012" s="11">
        <f>IF($H1012="Cancelled","",IFERROR(IF(AB1012="","",IF(AND(W1012="",Y1012=""),"",IF(Y1012&gt;W1012,Y1012+Variables!$B$15+Variables!$B$16+Variables!$B$17-AB1012,W1012+Variables!$B$16+Variables!$B$17-AB1012))),""))</f>
        <v>-40</v>
      </c>
      <c r="AD1012" s="9" t="s">
        <v>165</v>
      </c>
      <c r="AE1012" s="9" t="s">
        <v>969</v>
      </c>
      <c r="AF1012" s="10"/>
      <c r="AG1012" s="10"/>
      <c r="AH1012" s="9"/>
      <c r="AI1012" s="9" t="s">
        <v>1043</v>
      </c>
      <c r="AJ1012" s="9" t="s">
        <v>8</v>
      </c>
      <c r="AK1012" s="10">
        <v>45800</v>
      </c>
      <c r="AL1012" s="10">
        <v>45806</v>
      </c>
      <c r="AM1012" s="10">
        <v>45807</v>
      </c>
      <c r="AN1012" s="9" t="s">
        <v>1492</v>
      </c>
      <c r="AO1012" s="9"/>
      <c r="AP1012" s="11">
        <f>IF($H1012="Cancelled","",IFERROR(IF(OR(AK1012="",AB1012=""),"",(AB1012+Variables!$B$18-AK1012)),""))</f>
        <v>-7</v>
      </c>
      <c r="AQ1012" s="11">
        <f>IF($H1012="Cancelled","",IFERROR(IF(OR(AM1012="",AK1012=""),"",(AK1012+Variables!$B$19)-AM1012),""))</f>
        <v>-2</v>
      </c>
      <c r="AR1012" s="12">
        <f>IF($H1012="Cancelled","",IFERROR(T1012*INDEX(Variables!$B$7:$D$7,IFERROR(MATCH(IF($B1012="Robusta","Robusta",(IF($B1012="","Arabica",$B1012))&amp;" - "&amp;(IF($C1012="","Commercial",$C1012))),Variables!$B$1:$D$1,0),1))*(AQ1012/365),""))</f>
        <v>-0.53269665776749309</v>
      </c>
      <c r="AS1012" s="12">
        <f>IF($H1012="Cancelled","",IFERROR((T1012*INDEX(Variables!$B$7:$D$7,IFERROR(MATCH(IF($B1012="Robusta","Robusta",(IF($B1012="","Arabica",$B1012))&amp;" - "&amp;(IF($C1012="","Commercial",$C1012))),Variables!$B$1:$D$1,0),1))*IFERROR(IF(W1012="","",(AVERAGE(E1012:F1012)-W1012)-Variables!$B$14),"")/365)+(L1012/16.67*INDEX(Variables!$B$8:$D$8,IFERROR(MATCH(IF($B1012="Robusta","Robusta",(IF($B1012="","Arabica",$B1012))&amp;" - "&amp;(IF($C1012="","Commercial",$C1012))),Variables!$B$1:$D$1,0),1))*IFERROR(IF(W1012="","",(AVERAGE(E1012:F1012)-W1012)-Variables!$B$14),""))+(T1012*INDEX(Variables!$B$9:$D$9,IFERROR(MATCH(IF($B1012="Robusta","Robusta",(IF($B1012="","Arabica",$B1012))&amp;" - "&amp;(IF($C1012="","Commercial",$C1012))),Variables!$B$1:$D$1,0),1))*IFERROR(IF(W1012="","",(AVERAGE(E1012:F1012)-W1012)-Variables!$B$14),"")/365),""))</f>
        <v>-0.41978207285961983</v>
      </c>
      <c r="AT1012" s="12">
        <f>IF($H1012="Cancelled","",IFERROR((T1012*INDEX(Variables!$B$7:$D$7,IFERROR(MATCH(IF($B1012="Robusta","Robusta",(IF($B1012="","Arabica",$B1012))&amp;" - "&amp;(IF($C1012="","Commercial",$C1012))),Variables!$B$1:$D$1,0),1))*AC1012/365)+(L1012/16.67*INDEX(Variables!$B$8:$D$8,IFERROR(MATCH(IF($B1012="Robusta","Robusta",(IF($B1012="","Arabica",$B1012))&amp;" - "&amp;(IF($C1012="","Commercial",$C1012))),Variables!$B$1:$D$1,0),1))*AC1012)+(T1012*INDEX(Variables!$B$9:$D$9,IFERROR(MATCH(IF($B1012="Robusta","Robusta",(IF($B1012="","Arabica",$B1012))&amp;" - "&amp;(IF($C1012="","Commercial",$C1012))),Variables!$B$1:$D$1,0),1))*AC1012/365),""))</f>
        <v>-16.791282914384794</v>
      </c>
      <c r="AU1012" s="12">
        <f>IF($H1012="Cancelled","",IFERROR((T1012*INDEX(Variables!$B$7:$D$7,IFERROR(MATCH(IF($B1012="Robusta","Robusta",(IF($B1012="","Arabica",$B1012))&amp;" - "&amp;(IF($C1012="","Commercial",$C1012))),Variables!$B$1:$D$1,0),1))*AP1012/365)+(L1012/16.67*INDEX(Variables!$B$8:$D$8,IFERROR(MATCH(IF($B1012="Robusta","Robusta",(IF($B1012="","Arabica",$B1012))&amp;" - "&amp;(IF($C1012="","Commercial",$C1012))),Variables!$B$1:$D$1,0),1))*AP1012)+(T1012*INDEX(Variables!$B$9:$D$9,IFERROR(MATCH(IF($B1012="Robusta","Robusta",(IF($B1012="","Arabica",$B1012))&amp;" - "&amp;(IF($C1012="","Commercial",$C1012))),Variables!$B$1:$D$1,0),1))*AP1012/365),""))</f>
        <v>-2.9384745100173393</v>
      </c>
      <c r="AV1012" s="11">
        <f t="shared" si="95"/>
        <v>-53</v>
      </c>
      <c r="AW1012" s="12">
        <f>IF($H1012="Cancelled","",IFERROR(IF(AV1012="","",(T1012*INDEX(Variables!$B$7:$D$7,IFERROR(MATCH(IF($B1012="Robusta","Robusta",(IF($B1012="","Arabica",$B1012))&amp;" - "&amp;(IF($C1012="","Commercial",$C1012))),Variables!$B$1:$D$1,0),1))*(AV1012/365))+(T1012*INDEX(Variables!$B$9:$D$9,IFERROR(MATCH(IF($B1012="Robusta","Robusta",(IF($B1012="","Arabica",$B1012))&amp;" - "&amp;(IF($C1012="","Commercial",$C1012))),Variables!$B$1:$D$1,0),1))*(AV1012/365))+(INDEX(Variables!$B$8:$D$8,IFERROR(MATCH(IF($B1012="Robusta","Robusta",(IF($B1012="","Arabica",$B1012))&amp;" - "&amp;(IF($C1012="","Commercial",$C1012))),Variables!$B$1:$D$1,0),1))*L1012/16.67)),""))</f>
        <v>-14.14844986155985</v>
      </c>
      <c r="AX1012" s="9"/>
      <c r="AY1012" s="12"/>
      <c r="AZ1012" s="10"/>
      <c r="BA1012" s="9"/>
      <c r="BB1012" s="10"/>
      <c r="BC1012" s="9"/>
      <c r="BD1012" s="9"/>
      <c r="BE1012" s="9"/>
      <c r="BF1012" s="9"/>
    </row>
    <row r="1013" spans="1:58" x14ac:dyDescent="0.25">
      <c r="A1013" s="9" t="s">
        <v>84</v>
      </c>
      <c r="B1013" s="9" t="s">
        <v>85</v>
      </c>
      <c r="C1013" s="9" t="s">
        <v>1486</v>
      </c>
      <c r="D1013" s="10">
        <v>45722</v>
      </c>
      <c r="E1013" s="10">
        <v>45717</v>
      </c>
      <c r="F1013" s="10">
        <v>45747</v>
      </c>
      <c r="G1013" s="9">
        <v>3786821</v>
      </c>
      <c r="H1013" s="9" t="str">
        <f t="shared" si="93"/>
        <v>Closed</v>
      </c>
      <c r="I1013" s="9" t="str">
        <f t="shared" si="94"/>
        <v>All dates received</v>
      </c>
      <c r="J1013" s="9" t="s">
        <v>235</v>
      </c>
      <c r="K1013" s="9" t="s">
        <v>2165</v>
      </c>
      <c r="L1013" s="11">
        <v>7</v>
      </c>
      <c r="M1013" s="9" t="s">
        <v>2166</v>
      </c>
      <c r="N1013" s="9"/>
      <c r="O1013" s="9"/>
      <c r="P1013" s="9"/>
      <c r="Q1013" s="11">
        <v>85.2</v>
      </c>
      <c r="R1013" s="9" t="s">
        <v>90</v>
      </c>
      <c r="S1013" s="9" t="s">
        <v>106</v>
      </c>
      <c r="T1013" s="12">
        <f>IF($H1013="Cancelled","",IFERROR(((Q1013+INDEX(Variables!$B$6:$D$6,IFERROR(MATCH(IF($B1013="Robusta","Robusta",(IF($B1013="","Arabica",$B1013))&amp;" - "&amp;(IF($C1013="","Commercial",$C1013))),Variables!$B$1:$D$1,0),1)))*22.0462)*(L1013/16.67),""))</f>
        <v>3480.8397360527892</v>
      </c>
      <c r="U1013" s="10"/>
      <c r="V1013" s="9" t="str">
        <f t="shared" si="96"/>
        <v/>
      </c>
      <c r="W1013" s="10">
        <v>45703</v>
      </c>
      <c r="X1013" s="9" t="str">
        <f t="shared" si="97"/>
        <v>Approved</v>
      </c>
      <c r="Y1013" s="10">
        <v>45731</v>
      </c>
      <c r="Z1013" s="10">
        <f>IF($H1013="Cancelled","",IFERROR(IF(F1013="","",F1013-Variables!$B$13),""))</f>
        <v>45732</v>
      </c>
      <c r="AA1013" s="11">
        <f>IF($H1013="Cancelled","",IFERROR(IF(W1013="","",(AVERAGE(E1013:F1013)-W1013)-Variables!$B$14),""))</f>
        <v>-1</v>
      </c>
      <c r="AB1013" s="10">
        <v>45786</v>
      </c>
      <c r="AC1013" s="11">
        <f>IF($H1013="Cancelled","",IFERROR(IF(AB1013="","",IF(AND(W1013="",Y1013=""),"",IF(Y1013&gt;W1013,Y1013+Variables!$B$15+Variables!$B$16+Variables!$B$17-AB1013,W1013+Variables!$B$16+Variables!$B$17-AB1013))),""))</f>
        <v>-40</v>
      </c>
      <c r="AD1013" s="9" t="s">
        <v>165</v>
      </c>
      <c r="AE1013" s="9" t="s">
        <v>969</v>
      </c>
      <c r="AF1013" s="10"/>
      <c r="AG1013" s="10"/>
      <c r="AH1013" s="9"/>
      <c r="AI1013" s="9" t="s">
        <v>1043</v>
      </c>
      <c r="AJ1013" s="9" t="s">
        <v>8</v>
      </c>
      <c r="AK1013" s="10">
        <v>45800</v>
      </c>
      <c r="AL1013" s="10">
        <v>45806</v>
      </c>
      <c r="AM1013" s="10">
        <v>45807</v>
      </c>
      <c r="AN1013" s="9" t="s">
        <v>1492</v>
      </c>
      <c r="AO1013" s="9"/>
      <c r="AP1013" s="11">
        <f>IF($H1013="Cancelled","",IFERROR(IF(OR(AK1013="",AB1013=""),"",(AB1013+Variables!$B$18-AK1013)),""))</f>
        <v>-7</v>
      </c>
      <c r="AQ1013" s="11">
        <f>IF($H1013="Cancelled","",IFERROR(IF(OR(AM1013="",AK1013=""),"",(AK1013+Variables!$B$19)-AM1013),""))</f>
        <v>-2</v>
      </c>
      <c r="AR1013" s="12">
        <f>IF($H1013="Cancelled","",IFERROR(T1013*INDEX(Variables!$B$7:$D$7,IFERROR(MATCH(IF($B1013="Robusta","Robusta",(IF($B1013="","Arabica",$B1013))&amp;" - "&amp;(IF($C1013="","Commercial",$C1013))),Variables!$B$1:$D$1,0),1))*(AQ1013/365),""))</f>
        <v>-1.2298750905649489</v>
      </c>
      <c r="AS1013" s="12">
        <f>IF($H1013="Cancelled","",IFERROR((T1013*INDEX(Variables!$B$7:$D$7,IFERROR(MATCH(IF($B1013="Robusta","Robusta",(IF($B1013="","Arabica",$B1013))&amp;" - "&amp;(IF($C1013="","Commercial",$C1013))),Variables!$B$1:$D$1,0),1))*IFERROR(IF(W1013="","",(AVERAGE(E1013:F1013)-W1013)-Variables!$B$14),"")/365)+(L1013/16.67*INDEX(Variables!$B$8:$D$8,IFERROR(MATCH(IF($B1013="Robusta","Robusta",(IF($B1013="","Arabica",$B1013))&amp;" - "&amp;(IF($C1013="","Commercial",$C1013))),Variables!$B$1:$D$1,0),1))*IFERROR(IF(W1013="","",(AVERAGE(E1013:F1013)-W1013)-Variables!$B$14),""))+(T1013*INDEX(Variables!$B$9:$D$9,IFERROR(MATCH(IF($B1013="Robusta","Robusta",(IF($B1013="","Arabica",$B1013))&amp;" - "&amp;(IF($C1013="","Commercial",$C1013))),Variables!$B$1:$D$1,0),1))*IFERROR(IF(W1013="","",(AVERAGE(E1013:F1013)-W1013)-Variables!$B$14),"")/365),""))</f>
        <v>-0.97286527698817493</v>
      </c>
      <c r="AT1013" s="12">
        <f>IF($H1013="Cancelled","",IFERROR((T1013*INDEX(Variables!$B$7:$D$7,IFERROR(MATCH(IF($B1013="Robusta","Robusta",(IF($B1013="","Arabica",$B1013))&amp;" - "&amp;(IF($C1013="","Commercial",$C1013))),Variables!$B$1:$D$1,0),1))*AC1013/365)+(L1013/16.67*INDEX(Variables!$B$8:$D$8,IFERROR(MATCH(IF($B1013="Robusta","Robusta",(IF($B1013="","Arabica",$B1013))&amp;" - "&amp;(IF($C1013="","Commercial",$C1013))),Variables!$B$1:$D$1,0),1))*AC1013)+(T1013*INDEX(Variables!$B$9:$D$9,IFERROR(MATCH(IF($B1013="Robusta","Robusta",(IF($B1013="","Arabica",$B1013))&amp;" - "&amp;(IF($C1013="","Commercial",$C1013))),Variables!$B$1:$D$1,0),1))*AC1013/365),""))</f>
        <v>-38.914611079527006</v>
      </c>
      <c r="AU1013" s="12">
        <f>IF($H1013="Cancelled","",IFERROR((T1013*INDEX(Variables!$B$7:$D$7,IFERROR(MATCH(IF($B1013="Robusta","Robusta",(IF($B1013="","Arabica",$B1013))&amp;" - "&amp;(IF($C1013="","Commercial",$C1013))),Variables!$B$1:$D$1,0),1))*AP1013/365)+(L1013/16.67*INDEX(Variables!$B$8:$D$8,IFERROR(MATCH(IF($B1013="Robusta","Robusta",(IF($B1013="","Arabica",$B1013))&amp;" - "&amp;(IF($C1013="","Commercial",$C1013))),Variables!$B$1:$D$1,0),1))*AP1013)+(T1013*INDEX(Variables!$B$9:$D$9,IFERROR(MATCH(IF($B1013="Robusta","Robusta",(IF($B1013="","Arabica",$B1013))&amp;" - "&amp;(IF($C1013="","Commercial",$C1013))),Variables!$B$1:$D$1,0),1))*AP1013/365),""))</f>
        <v>-6.8100569389172252</v>
      </c>
      <c r="AV1013" s="11">
        <f t="shared" si="95"/>
        <v>-53</v>
      </c>
      <c r="AW1013" s="12">
        <f>IF($H1013="Cancelled","",IFERROR(IF(AV1013="","",(T1013*INDEX(Variables!$B$7:$D$7,IFERROR(MATCH(IF($B1013="Robusta","Robusta",(IF($B1013="","Arabica",$B1013))&amp;" - "&amp;(IF($C1013="","Commercial",$C1013))),Variables!$B$1:$D$1,0),1))*(AV1013/365))+(T1013*INDEX(Variables!$B$9:$D$9,IFERROR(MATCH(IF($B1013="Robusta","Robusta",(IF($B1013="","Arabica",$B1013))&amp;" - "&amp;(IF($C1013="","Commercial",$C1013))),Variables!$B$1:$D$1,0),1))*(AV1013/365))+(INDEX(Variables!$B$8:$D$8,IFERROR(MATCH(IF($B1013="Robusta","Robusta",(IF($B1013="","Arabica",$B1013))&amp;" - "&amp;(IF($C1013="","Commercial",$C1013))),Variables!$B$1:$D$1,0),1))*L1013/16.67)),""))</f>
        <v>-32.661859680373269</v>
      </c>
      <c r="AX1013" s="9"/>
      <c r="AY1013" s="12"/>
      <c r="AZ1013" s="10"/>
      <c r="BA1013" s="9"/>
      <c r="BB1013" s="10"/>
      <c r="BC1013" s="9"/>
      <c r="BD1013" s="9"/>
      <c r="BE1013" s="9"/>
      <c r="BF1013" s="9"/>
    </row>
    <row r="1014" spans="1:58" x14ac:dyDescent="0.25">
      <c r="A1014" s="9" t="s">
        <v>84</v>
      </c>
      <c r="B1014" s="9" t="s">
        <v>85</v>
      </c>
      <c r="C1014" s="9" t="s">
        <v>1486</v>
      </c>
      <c r="D1014" s="10">
        <v>45722</v>
      </c>
      <c r="E1014" s="10">
        <v>45717</v>
      </c>
      <c r="F1014" s="10">
        <v>45747</v>
      </c>
      <c r="G1014" s="9">
        <v>3786808</v>
      </c>
      <c r="H1014" s="9" t="str">
        <f t="shared" si="93"/>
        <v>Closed</v>
      </c>
      <c r="I1014" s="9" t="str">
        <f t="shared" si="94"/>
        <v>All dates received</v>
      </c>
      <c r="J1014" s="9" t="s">
        <v>1487</v>
      </c>
      <c r="K1014" s="9" t="s">
        <v>2167</v>
      </c>
      <c r="L1014" s="11">
        <v>60</v>
      </c>
      <c r="M1014" s="9" t="s">
        <v>2168</v>
      </c>
      <c r="N1014" s="9"/>
      <c r="O1014" s="9"/>
      <c r="P1014" s="9"/>
      <c r="Q1014" s="11">
        <v>112</v>
      </c>
      <c r="R1014" s="9" t="s">
        <v>195</v>
      </c>
      <c r="S1014" s="9" t="s">
        <v>183</v>
      </c>
      <c r="T1014" s="12">
        <f>IF($H1014="Cancelled","",IFERROR(((Q1014+INDEX(Variables!$B$6:$D$6,IFERROR(MATCH(IF($B1014="Robusta","Robusta",(IF($B1014="","Arabica",$B1014))&amp;" - "&amp;(IF($C1014="","Commercial",$C1014))),Variables!$B$1:$D$1,0),1)))*22.0462)*(L1014/16.67),""))</f>
        <v>31962.361223755241</v>
      </c>
      <c r="U1014" s="10"/>
      <c r="V1014" s="9" t="str">
        <f t="shared" si="96"/>
        <v/>
      </c>
      <c r="W1014" s="10">
        <v>45703</v>
      </c>
      <c r="X1014" s="9" t="str">
        <f t="shared" si="97"/>
        <v>Approved</v>
      </c>
      <c r="Y1014" s="10">
        <v>45731</v>
      </c>
      <c r="Z1014" s="10">
        <f>IF($H1014="Cancelled","",IFERROR(IF(F1014="","",F1014-Variables!$B$13),""))</f>
        <v>45732</v>
      </c>
      <c r="AA1014" s="11">
        <f>IF($H1014="Cancelled","",IFERROR(IF(W1014="","",(AVERAGE(E1014:F1014)-W1014)-Variables!$B$14),""))</f>
        <v>-1</v>
      </c>
      <c r="AB1014" s="10">
        <v>45791</v>
      </c>
      <c r="AC1014" s="11">
        <f>IF($H1014="Cancelled","",IFERROR(IF(AB1014="","",IF(AND(W1014="",Y1014=""),"",IF(Y1014&gt;W1014,Y1014+Variables!$B$15+Variables!$B$16+Variables!$B$17-AB1014,W1014+Variables!$B$16+Variables!$B$17-AB1014))),""))</f>
        <v>-45</v>
      </c>
      <c r="AD1014" s="9" t="s">
        <v>107</v>
      </c>
      <c r="AE1014" s="9" t="s">
        <v>684</v>
      </c>
      <c r="AF1014" s="10"/>
      <c r="AG1014" s="10"/>
      <c r="AH1014" s="9"/>
      <c r="AI1014" s="9" t="s">
        <v>2169</v>
      </c>
      <c r="AJ1014" s="9" t="s">
        <v>2170</v>
      </c>
      <c r="AK1014" s="10">
        <v>45813</v>
      </c>
      <c r="AL1014" s="10">
        <v>45818</v>
      </c>
      <c r="AM1014" s="10">
        <v>45820</v>
      </c>
      <c r="AN1014" s="9" t="s">
        <v>1492</v>
      </c>
      <c r="AO1014" s="9"/>
      <c r="AP1014" s="11">
        <f>IF($H1014="Cancelled","",IFERROR(IF(OR(AK1014="",AB1014=""),"",(AB1014+Variables!$B$18-AK1014)),""))</f>
        <v>-15</v>
      </c>
      <c r="AQ1014" s="11">
        <f>IF($H1014="Cancelled","",IFERROR(IF(OR(AM1014="",AK1014=""),"",(AK1014+Variables!$B$19)-AM1014),""))</f>
        <v>-2</v>
      </c>
      <c r="AR1014" s="12">
        <f>IF($H1014="Cancelled","",IFERROR(T1014*INDEX(Variables!$B$7:$D$7,IFERROR(MATCH(IF($B1014="Robusta","Robusta",(IF($B1014="","Arabica",$B1014))&amp;" - "&amp;(IF($C1014="","Commercial",$C1014))),Variables!$B$1:$D$1,0),1))*(AQ1014/365),""))</f>
        <v>-11.293169144670852</v>
      </c>
      <c r="AS1014" s="12">
        <f>IF($H1014="Cancelled","",IFERROR((T1014*INDEX(Variables!$B$7:$D$7,IFERROR(MATCH(IF($B1014="Robusta","Robusta",(IF($B1014="","Arabica",$B1014))&amp;" - "&amp;(IF($C1014="","Commercial",$C1014))),Variables!$B$1:$D$1,0),1))*IFERROR(IF(W1014="","",(AVERAGE(E1014:F1014)-W1014)-Variables!$B$14),"")/365)+(L1014/16.67*INDEX(Variables!$B$8:$D$8,IFERROR(MATCH(IF($B1014="Robusta","Robusta",(IF($B1014="","Arabica",$B1014))&amp;" - "&amp;(IF($C1014="","Commercial",$C1014))),Variables!$B$1:$D$1,0),1))*IFERROR(IF(W1014="","",(AVERAGE(E1014:F1014)-W1014)-Variables!$B$14),""))+(T1014*INDEX(Variables!$B$9:$D$9,IFERROR(MATCH(IF($B1014="Robusta","Robusta",(IF($B1014="","Arabica",$B1014))&amp;" - "&amp;(IF($C1014="","Commercial",$C1014))),Variables!$B$1:$D$1,0),1))*IFERROR(IF(W1014="","",(AVERAGE(E1014:F1014)-W1014)-Variables!$B$14),"")/365),""))</f>
        <v>-8.7193799446239399</v>
      </c>
      <c r="AT1014" s="12">
        <f>IF($H1014="Cancelled","",IFERROR((T1014*INDEX(Variables!$B$7:$D$7,IFERROR(MATCH(IF($B1014="Robusta","Robusta",(IF($B1014="","Arabica",$B1014))&amp;" - "&amp;(IF($C1014="","Commercial",$C1014))),Variables!$B$1:$D$1,0),1))*AC1014/365)+(L1014/16.67*INDEX(Variables!$B$8:$D$8,IFERROR(MATCH(IF($B1014="Robusta","Robusta",(IF($B1014="","Arabica",$B1014))&amp;" - "&amp;(IF($C1014="","Commercial",$C1014))),Variables!$B$1:$D$1,0),1))*AC1014)+(T1014*INDEX(Variables!$B$9:$D$9,IFERROR(MATCH(IF($B1014="Robusta","Robusta",(IF($B1014="","Arabica",$B1014))&amp;" - "&amp;(IF($C1014="","Commercial",$C1014))),Variables!$B$1:$D$1,0),1))*AC1014/365),""))</f>
        <v>-392.37209750807727</v>
      </c>
      <c r="AU1014" s="12">
        <f>IF($H1014="Cancelled","",IFERROR((T1014*INDEX(Variables!$B$7:$D$7,IFERROR(MATCH(IF($B1014="Robusta","Robusta",(IF($B1014="","Arabica",$B1014))&amp;" - "&amp;(IF($C1014="","Commercial",$C1014))),Variables!$B$1:$D$1,0),1))*AP1014/365)+(L1014/16.67*INDEX(Variables!$B$8:$D$8,IFERROR(MATCH(IF($B1014="Robusta","Robusta",(IF($B1014="","Arabica",$B1014))&amp;" - "&amp;(IF($C1014="","Commercial",$C1014))),Variables!$B$1:$D$1,0),1))*AP1014)+(T1014*INDEX(Variables!$B$9:$D$9,IFERROR(MATCH(IF($B1014="Robusta","Robusta",(IF($B1014="","Arabica",$B1014))&amp;" - "&amp;(IF($C1014="","Commercial",$C1014))),Variables!$B$1:$D$1,0),1))*AP1014/365),""))</f>
        <v>-130.7906991693591</v>
      </c>
      <c r="AV1014" s="11">
        <f t="shared" si="95"/>
        <v>-66</v>
      </c>
      <c r="AW1014" s="12">
        <f>IF($H1014="Cancelled","",IFERROR(IF(AV1014="","",(T1014*INDEX(Variables!$B$7:$D$7,IFERROR(MATCH(IF($B1014="Robusta","Robusta",(IF($B1014="","Arabica",$B1014))&amp;" - "&amp;(IF($C1014="","Commercial",$C1014))),Variables!$B$1:$D$1,0),1))*(AV1014/365))+(T1014*INDEX(Variables!$B$9:$D$9,IFERROR(MATCH(IF($B1014="Robusta","Robusta",(IF($B1014="","Arabica",$B1014))&amp;" - "&amp;(IF($C1014="","Commercial",$C1014))),Variables!$B$1:$D$1,0),1))*(AV1014/365))+(INDEX(Variables!$B$8:$D$8,IFERROR(MATCH(IF($B1014="Robusta","Robusta",(IF($B1014="","Arabica",$B1014))&amp;" - "&amp;(IF($C1014="","Commercial",$C1014))),Variables!$B$1:$D$1,0),1))*L1014/16.67)),""))</f>
        <v>-374.47907634518009</v>
      </c>
      <c r="AX1014" s="9"/>
      <c r="AY1014" s="12"/>
      <c r="AZ1014" s="10"/>
      <c r="BA1014" s="9"/>
      <c r="BB1014" s="10"/>
      <c r="BC1014" s="9"/>
      <c r="BD1014" s="9"/>
      <c r="BE1014" s="9"/>
      <c r="BF1014" s="9"/>
    </row>
    <row r="1015" spans="1:58" x14ac:dyDescent="0.25">
      <c r="A1015" s="9" t="s">
        <v>84</v>
      </c>
      <c r="B1015" s="9" t="s">
        <v>85</v>
      </c>
      <c r="C1015" s="9" t="s">
        <v>1486</v>
      </c>
      <c r="D1015" s="10">
        <v>45722</v>
      </c>
      <c r="E1015" s="10">
        <v>45717</v>
      </c>
      <c r="F1015" s="10">
        <v>45747</v>
      </c>
      <c r="G1015" s="9">
        <v>3786817</v>
      </c>
      <c r="H1015" s="9" t="str">
        <f t="shared" si="93"/>
        <v>Closed</v>
      </c>
      <c r="I1015" s="9" t="str">
        <f t="shared" si="94"/>
        <v>All dates received</v>
      </c>
      <c r="J1015" s="9" t="s">
        <v>1487</v>
      </c>
      <c r="K1015" s="9" t="s">
        <v>2171</v>
      </c>
      <c r="L1015" s="11">
        <v>20</v>
      </c>
      <c r="M1015" s="9" t="s">
        <v>2172</v>
      </c>
      <c r="N1015" s="9"/>
      <c r="O1015" s="9"/>
      <c r="P1015" s="9"/>
      <c r="Q1015" s="11">
        <v>100</v>
      </c>
      <c r="R1015" s="9" t="s">
        <v>195</v>
      </c>
      <c r="S1015" s="9" t="s">
        <v>183</v>
      </c>
      <c r="T1015" s="12">
        <f>IF($H1015="Cancelled","",IFERROR(((Q1015+INDEX(Variables!$B$6:$D$6,IFERROR(MATCH(IF($B1015="Robusta","Robusta",(IF($B1015="","Arabica",$B1015))&amp;" - "&amp;(IF($C1015="","Commercial",$C1015))),Variables!$B$1:$D$1,0),1)))*22.0462)*(L1015/16.67),""))</f>
        <v>10336.718608278343</v>
      </c>
      <c r="U1015" s="10"/>
      <c r="V1015" s="9" t="str">
        <f t="shared" si="96"/>
        <v/>
      </c>
      <c r="W1015" s="10">
        <v>45703</v>
      </c>
      <c r="X1015" s="9" t="str">
        <f t="shared" si="97"/>
        <v>Approved</v>
      </c>
      <c r="Y1015" s="10">
        <v>45731</v>
      </c>
      <c r="Z1015" s="10">
        <f>IF($H1015="Cancelled","",IFERROR(IF(F1015="","",F1015-Variables!$B$13),""))</f>
        <v>45732</v>
      </c>
      <c r="AA1015" s="11">
        <f>IF($H1015="Cancelled","",IFERROR(IF(W1015="","",(AVERAGE(E1015:F1015)-W1015)-Variables!$B$14),""))</f>
        <v>-1</v>
      </c>
      <c r="AB1015" s="10">
        <v>45791</v>
      </c>
      <c r="AC1015" s="11">
        <f>IF($H1015="Cancelled","",IFERROR(IF(AB1015="","",IF(AND(W1015="",Y1015=""),"",IF(Y1015&gt;W1015,Y1015+Variables!$B$15+Variables!$B$16+Variables!$B$17-AB1015,W1015+Variables!$B$16+Variables!$B$17-AB1015))),""))</f>
        <v>-45</v>
      </c>
      <c r="AD1015" s="9" t="s">
        <v>107</v>
      </c>
      <c r="AE1015" s="9" t="s">
        <v>684</v>
      </c>
      <c r="AF1015" s="10"/>
      <c r="AG1015" s="10"/>
      <c r="AH1015" s="9"/>
      <c r="AI1015" s="9" t="s">
        <v>2169</v>
      </c>
      <c r="AJ1015" s="9" t="s">
        <v>2170</v>
      </c>
      <c r="AK1015" s="10">
        <v>45813</v>
      </c>
      <c r="AL1015" s="10">
        <v>45818</v>
      </c>
      <c r="AM1015" s="10">
        <v>45820</v>
      </c>
      <c r="AN1015" s="9" t="s">
        <v>1492</v>
      </c>
      <c r="AO1015" s="9"/>
      <c r="AP1015" s="11">
        <f>IF($H1015="Cancelled","",IFERROR(IF(OR(AK1015="",AB1015=""),"",(AB1015+Variables!$B$18-AK1015)),""))</f>
        <v>-15</v>
      </c>
      <c r="AQ1015" s="11">
        <f>IF($H1015="Cancelled","",IFERROR(IF(OR(AM1015="",AK1015=""),"",(AK1015+Variables!$B$19)-AM1015),""))</f>
        <v>-2</v>
      </c>
      <c r="AR1015" s="12">
        <f>IF($H1015="Cancelled","",IFERROR(T1015*INDEX(Variables!$B$7:$D$7,IFERROR(MATCH(IF($B1015="Robusta","Robusta",(IF($B1015="","Arabica",$B1015))&amp;" - "&amp;(IF($C1015="","Commercial",$C1015))),Variables!$B$1:$D$1,0),1))*(AQ1015/365),""))</f>
        <v>-3.6522430500971277</v>
      </c>
      <c r="AS1015" s="12">
        <f>IF($H1015="Cancelled","",IFERROR((T1015*INDEX(Variables!$B$7:$D$7,IFERROR(MATCH(IF($B1015="Robusta","Robusta",(IF($B1015="","Arabica",$B1015))&amp;" - "&amp;(IF($C1015="","Commercial",$C1015))),Variables!$B$1:$D$1,0),1))*IFERROR(IF(W1015="","",(AVERAGE(E1015:F1015)-W1015)-Variables!$B$14),"")/365)+(L1015/16.67*INDEX(Variables!$B$8:$D$8,IFERROR(MATCH(IF($B1015="Robusta","Robusta",(IF($B1015="","Arabica",$B1015))&amp;" - "&amp;(IF($C1015="","Commercial",$C1015))),Variables!$B$1:$D$1,0),1))*IFERROR(IF(W1015="","",(AVERAGE(E1015:F1015)-W1015)-Variables!$B$14),""))+(T1015*INDEX(Variables!$B$9:$D$9,IFERROR(MATCH(IF($B1015="Robusta","Robusta",(IF($B1015="","Arabica",$B1015))&amp;" - "&amp;(IF($C1015="","Commercial",$C1015))),Variables!$B$1:$D$1,0),1))*IFERROR(IF(W1015="","",(AVERAGE(E1015:F1015)-W1015)-Variables!$B$14),"")/365),""))</f>
        <v>-2.8496637556761302</v>
      </c>
      <c r="AT1015" s="12">
        <f>IF($H1015="Cancelled","",IFERROR((T1015*INDEX(Variables!$B$7:$D$7,IFERROR(MATCH(IF($B1015="Robusta","Robusta",(IF($B1015="","Arabica",$B1015))&amp;" - "&amp;(IF($C1015="","Commercial",$C1015))),Variables!$B$1:$D$1,0),1))*AC1015/365)+(L1015/16.67*INDEX(Variables!$B$8:$D$8,IFERROR(MATCH(IF($B1015="Robusta","Robusta",(IF($B1015="","Arabica",$B1015))&amp;" - "&amp;(IF($C1015="","Commercial",$C1015))),Variables!$B$1:$D$1,0),1))*AC1015)+(T1015*INDEX(Variables!$B$9:$D$9,IFERROR(MATCH(IF($B1015="Robusta","Robusta",(IF($B1015="","Arabica",$B1015))&amp;" - "&amp;(IF($C1015="","Commercial",$C1015))),Variables!$B$1:$D$1,0),1))*AC1015/365),""))</f>
        <v>-128.23486900542585</v>
      </c>
      <c r="AU1015" s="12">
        <f>IF($H1015="Cancelled","",IFERROR((T1015*INDEX(Variables!$B$7:$D$7,IFERROR(MATCH(IF($B1015="Robusta","Robusta",(IF($B1015="","Arabica",$B1015))&amp;" - "&amp;(IF($C1015="","Commercial",$C1015))),Variables!$B$1:$D$1,0),1))*AP1015/365)+(L1015/16.67*INDEX(Variables!$B$8:$D$8,IFERROR(MATCH(IF($B1015="Robusta","Robusta",(IF($B1015="","Arabica",$B1015))&amp;" - "&amp;(IF($C1015="","Commercial",$C1015))),Variables!$B$1:$D$1,0),1))*AP1015)+(T1015*INDEX(Variables!$B$9:$D$9,IFERROR(MATCH(IF($B1015="Robusta","Robusta",(IF($B1015="","Arabica",$B1015))&amp;" - "&amp;(IF($C1015="","Commercial",$C1015))),Variables!$B$1:$D$1,0),1))*AP1015/365),""))</f>
        <v>-42.744956335141957</v>
      </c>
      <c r="AV1015" s="11">
        <f t="shared" si="95"/>
        <v>-66</v>
      </c>
      <c r="AW1015" s="12">
        <f>IF($H1015="Cancelled","",IFERROR(IF(AV1015="","",(T1015*INDEX(Variables!$B$7:$D$7,IFERROR(MATCH(IF($B1015="Robusta","Robusta",(IF($B1015="","Arabica",$B1015))&amp;" - "&amp;(IF($C1015="","Commercial",$C1015))),Variables!$B$1:$D$1,0),1))*(AV1015/365))+(T1015*INDEX(Variables!$B$9:$D$9,IFERROR(MATCH(IF($B1015="Robusta","Robusta",(IF($B1015="","Arabica",$B1015))&amp;" - "&amp;(IF($C1015="","Commercial",$C1015))),Variables!$B$1:$D$1,0),1))*(AV1015/365))+(INDEX(Variables!$B$8:$D$8,IFERROR(MATCH(IF($B1015="Robusta","Robusta",(IF($B1015="","Arabica",$B1015))&amp;" - "&amp;(IF($C1015="","Commercial",$C1015))),Variables!$B$1:$D$1,0),1))*L1015/16.67)),""))</f>
        <v>-121.07780787462461</v>
      </c>
      <c r="AX1015" s="9"/>
      <c r="AY1015" s="12"/>
      <c r="AZ1015" s="10"/>
      <c r="BA1015" s="9"/>
      <c r="BB1015" s="10"/>
      <c r="BC1015" s="9"/>
      <c r="BD1015" s="9"/>
      <c r="BE1015" s="9"/>
      <c r="BF1015" s="9"/>
    </row>
    <row r="1016" spans="1:58" x14ac:dyDescent="0.25">
      <c r="A1016" s="9" t="s">
        <v>84</v>
      </c>
      <c r="B1016" s="9" t="s">
        <v>85</v>
      </c>
      <c r="C1016" s="9" t="s">
        <v>1486</v>
      </c>
      <c r="D1016" s="10">
        <v>45722</v>
      </c>
      <c r="E1016" s="10">
        <v>45717</v>
      </c>
      <c r="F1016" s="10">
        <v>45747</v>
      </c>
      <c r="G1016" s="9">
        <v>3786818</v>
      </c>
      <c r="H1016" s="9" t="str">
        <f t="shared" si="93"/>
        <v>Closed</v>
      </c>
      <c r="I1016" s="9" t="str">
        <f t="shared" si="94"/>
        <v>All dates received</v>
      </c>
      <c r="J1016" s="9" t="s">
        <v>1487</v>
      </c>
      <c r="K1016" s="9" t="s">
        <v>2173</v>
      </c>
      <c r="L1016" s="11">
        <v>25</v>
      </c>
      <c r="M1016" s="9" t="s">
        <v>2174</v>
      </c>
      <c r="N1016" s="9"/>
      <c r="O1016" s="9"/>
      <c r="P1016" s="9"/>
      <c r="Q1016" s="11">
        <v>135</v>
      </c>
      <c r="R1016" s="9" t="s">
        <v>195</v>
      </c>
      <c r="S1016" s="9" t="s">
        <v>183</v>
      </c>
      <c r="T1016" s="12">
        <f>IF($H1016="Cancelled","",IFERROR(((Q1016+INDEX(Variables!$B$6:$D$6,IFERROR(MATCH(IF($B1016="Robusta","Robusta",(IF($B1016="","Arabica",$B1016))&amp;" - "&amp;(IF($C1016="","Commercial",$C1016))),Variables!$B$1:$D$1,0),1)))*22.0462)*(L1016/16.67),""))</f>
        <v>14078.092321535691</v>
      </c>
      <c r="U1016" s="10"/>
      <c r="V1016" s="9" t="str">
        <f t="shared" si="96"/>
        <v/>
      </c>
      <c r="W1016" s="10">
        <v>45703</v>
      </c>
      <c r="X1016" s="9" t="str">
        <f t="shared" si="97"/>
        <v>Approved</v>
      </c>
      <c r="Y1016" s="10">
        <v>45731</v>
      </c>
      <c r="Z1016" s="10">
        <f>IF($H1016="Cancelled","",IFERROR(IF(F1016="","",F1016-Variables!$B$13),""))</f>
        <v>45732</v>
      </c>
      <c r="AA1016" s="11">
        <f>IF($H1016="Cancelled","",IFERROR(IF(W1016="","",(AVERAGE(E1016:F1016)-W1016)-Variables!$B$14),""))</f>
        <v>-1</v>
      </c>
      <c r="AB1016" s="10">
        <v>45791</v>
      </c>
      <c r="AC1016" s="11">
        <f>IF($H1016="Cancelled","",IFERROR(IF(AB1016="","",IF(AND(W1016="",Y1016=""),"",IF(Y1016&gt;W1016,Y1016+Variables!$B$15+Variables!$B$16+Variables!$B$17-AB1016,W1016+Variables!$B$16+Variables!$B$17-AB1016))),""))</f>
        <v>-45</v>
      </c>
      <c r="AD1016" s="9" t="s">
        <v>107</v>
      </c>
      <c r="AE1016" s="9" t="s">
        <v>684</v>
      </c>
      <c r="AF1016" s="10"/>
      <c r="AG1016" s="10"/>
      <c r="AH1016" s="9"/>
      <c r="AI1016" s="9" t="s">
        <v>2169</v>
      </c>
      <c r="AJ1016" s="9" t="s">
        <v>2170</v>
      </c>
      <c r="AK1016" s="10">
        <v>45813</v>
      </c>
      <c r="AL1016" s="10">
        <v>45818</v>
      </c>
      <c r="AM1016" s="10">
        <v>45820</v>
      </c>
      <c r="AN1016" s="9" t="s">
        <v>1492</v>
      </c>
      <c r="AO1016" s="9"/>
      <c r="AP1016" s="11">
        <f>IF($H1016="Cancelled","",IFERROR(IF(OR(AK1016="",AB1016=""),"",(AB1016+Variables!$B$18-AK1016)),""))</f>
        <v>-15</v>
      </c>
      <c r="AQ1016" s="11">
        <f>IF($H1016="Cancelled","",IFERROR(IF(OR(AM1016="",AK1016=""),"",(AK1016+Variables!$B$19)-AM1016),""))</f>
        <v>-2</v>
      </c>
      <c r="AR1016" s="12">
        <f>IF($H1016="Cancelled","",IFERROR(T1016*INDEX(Variables!$B$7:$D$7,IFERROR(MATCH(IF($B1016="Robusta","Robusta",(IF($B1016="","Arabica",$B1016))&amp;" - "&amp;(IF($C1016="","Commercial",$C1016))),Variables!$B$1:$D$1,0),1))*(AQ1016/365),""))</f>
        <v>-4.9741718613464583</v>
      </c>
      <c r="AS1016" s="12">
        <f>IF($H1016="Cancelled","",IFERROR((T1016*INDEX(Variables!$B$7:$D$7,IFERROR(MATCH(IF($B1016="Robusta","Robusta",(IF($B1016="","Arabica",$B1016))&amp;" - "&amp;(IF($C1016="","Commercial",$C1016))),Variables!$B$1:$D$1,0),1))*IFERROR(IF(W1016="","",(AVERAGE(E1016:F1016)-W1016)-Variables!$B$14),"")/365)+(L1016/16.67*INDEX(Variables!$B$8:$D$8,IFERROR(MATCH(IF($B1016="Robusta","Robusta",(IF($B1016="","Arabica",$B1016))&amp;" - "&amp;(IF($C1016="","Commercial",$C1016))),Variables!$B$1:$D$1,0),1))*IFERROR(IF(W1016="","",(AVERAGE(E1016:F1016)-W1016)-Variables!$B$14),""))+(T1016*INDEX(Variables!$B$9:$D$9,IFERROR(MATCH(IF($B1016="Robusta","Robusta",(IF($B1016="","Arabica",$B1016))&amp;" - "&amp;(IF($C1016="","Commercial",$C1016))),Variables!$B$1:$D$1,0),1))*IFERROR(IF(W1016="","",(AVERAGE(E1016:F1016)-W1016)-Variables!$B$14),"")/365),""))</f>
        <v>-3.7691492680619763</v>
      </c>
      <c r="AT1016" s="12">
        <f>IF($H1016="Cancelled","",IFERROR((T1016*INDEX(Variables!$B$7:$D$7,IFERROR(MATCH(IF($B1016="Robusta","Robusta",(IF($B1016="","Arabica",$B1016))&amp;" - "&amp;(IF($C1016="","Commercial",$C1016))),Variables!$B$1:$D$1,0),1))*AC1016/365)+(L1016/16.67*INDEX(Variables!$B$8:$D$8,IFERROR(MATCH(IF($B1016="Robusta","Robusta",(IF($B1016="","Arabica",$B1016))&amp;" - "&amp;(IF($C1016="","Commercial",$C1016))),Variables!$B$1:$D$1,0),1))*AC1016)+(T1016*INDEX(Variables!$B$9:$D$9,IFERROR(MATCH(IF($B1016="Robusta","Robusta",(IF($B1016="","Arabica",$B1016))&amp;" - "&amp;(IF($C1016="","Commercial",$C1016))),Variables!$B$1:$D$1,0),1))*AC1016/365),""))</f>
        <v>-169.61171706278893</v>
      </c>
      <c r="AU1016" s="12">
        <f>IF($H1016="Cancelled","",IFERROR((T1016*INDEX(Variables!$B$7:$D$7,IFERROR(MATCH(IF($B1016="Robusta","Robusta",(IF($B1016="","Arabica",$B1016))&amp;" - "&amp;(IF($C1016="","Commercial",$C1016))),Variables!$B$1:$D$1,0),1))*AP1016/365)+(L1016/16.67*INDEX(Variables!$B$8:$D$8,IFERROR(MATCH(IF($B1016="Robusta","Robusta",(IF($B1016="","Arabica",$B1016))&amp;" - "&amp;(IF($C1016="","Commercial",$C1016))),Variables!$B$1:$D$1,0),1))*AP1016)+(T1016*INDEX(Variables!$B$9:$D$9,IFERROR(MATCH(IF($B1016="Robusta","Robusta",(IF($B1016="","Arabica",$B1016))&amp;" - "&amp;(IF($C1016="","Commercial",$C1016))),Variables!$B$1:$D$1,0),1))*AP1016/365),""))</f>
        <v>-56.537239020929647</v>
      </c>
      <c r="AV1016" s="11">
        <f t="shared" si="95"/>
        <v>-66</v>
      </c>
      <c r="AW1016" s="12">
        <f>IF($H1016="Cancelled","",IFERROR(IF(AV1016="","",(T1016*INDEX(Variables!$B$7:$D$7,IFERROR(MATCH(IF($B1016="Robusta","Robusta",(IF($B1016="","Arabica",$B1016))&amp;" - "&amp;(IF($C1016="","Commercial",$C1016))),Variables!$B$1:$D$1,0),1))*(AV1016/365))+(T1016*INDEX(Variables!$B$9:$D$9,IFERROR(MATCH(IF($B1016="Robusta","Robusta",(IF($B1016="","Arabica",$B1016))&amp;" - "&amp;(IF($C1016="","Commercial",$C1016))),Variables!$B$1:$D$1,0),1))*(AV1016/365))+(INDEX(Variables!$B$8:$D$8,IFERROR(MATCH(IF($B1016="Robusta","Robusta",(IF($B1016="","Arabica",$B1016))&amp;" - "&amp;(IF($C1016="","Commercial",$C1016))),Variables!$B$1:$D$1,0),1))*L1016/16.67)),""))</f>
        <v>-165.01385169209044</v>
      </c>
      <c r="AX1016" s="9"/>
      <c r="AY1016" s="12"/>
      <c r="AZ1016" s="10"/>
      <c r="BA1016" s="9"/>
      <c r="BB1016" s="10"/>
      <c r="BC1016" s="9"/>
      <c r="BD1016" s="9"/>
      <c r="BE1016" s="9"/>
      <c r="BF1016" s="9"/>
    </row>
    <row r="1017" spans="1:58" x14ac:dyDescent="0.25">
      <c r="A1017" s="9" t="s">
        <v>84</v>
      </c>
      <c r="B1017" s="9" t="s">
        <v>85</v>
      </c>
      <c r="C1017" s="9" t="s">
        <v>1486</v>
      </c>
      <c r="D1017" s="10">
        <v>45735</v>
      </c>
      <c r="E1017" s="10">
        <v>45717</v>
      </c>
      <c r="F1017" s="10">
        <v>45747</v>
      </c>
      <c r="G1017" s="9">
        <v>3786854</v>
      </c>
      <c r="H1017" s="9" t="str">
        <f t="shared" si="93"/>
        <v>Closed</v>
      </c>
      <c r="I1017" s="9" t="str">
        <f t="shared" si="94"/>
        <v>All dates received</v>
      </c>
      <c r="J1017" s="9" t="s">
        <v>235</v>
      </c>
      <c r="K1017" s="9" t="s">
        <v>2175</v>
      </c>
      <c r="L1017" s="11">
        <v>15</v>
      </c>
      <c r="M1017" s="9" t="s">
        <v>2176</v>
      </c>
      <c r="N1017" s="9"/>
      <c r="O1017" s="9"/>
      <c r="P1017" s="9"/>
      <c r="Q1017" s="11">
        <v>140</v>
      </c>
      <c r="R1017" s="9" t="s">
        <v>195</v>
      </c>
      <c r="S1017" s="9" t="s">
        <v>106</v>
      </c>
      <c r="T1017" s="12">
        <f>IF($H1017="Cancelled","",IFERROR(((Q1017+INDEX(Variables!$B$6:$D$6,IFERROR(MATCH(IF($B1017="Robusta","Robusta",(IF($B1017="","Arabica",$B1017))&amp;" - "&amp;(IF($C1017="","Commercial",$C1017))),Variables!$B$1:$D$1,0),1)))*22.0462)*(L1017/16.67),""))</f>
        <v>8546.0434553089381</v>
      </c>
      <c r="U1017" s="10"/>
      <c r="V1017" s="9" t="str">
        <f t="shared" si="96"/>
        <v/>
      </c>
      <c r="W1017" s="10">
        <v>45703</v>
      </c>
      <c r="X1017" s="9" t="str">
        <f t="shared" si="97"/>
        <v>Approved</v>
      </c>
      <c r="Y1017" s="10">
        <v>45731</v>
      </c>
      <c r="Z1017" s="10">
        <f>IF($H1017="Cancelled","",IFERROR(IF(F1017="","",F1017-Variables!$B$13),""))</f>
        <v>45732</v>
      </c>
      <c r="AA1017" s="11">
        <f>IF($H1017="Cancelled","",IFERROR(IF(W1017="","",(AVERAGE(E1017:F1017)-W1017)-Variables!$B$14),""))</f>
        <v>-1</v>
      </c>
      <c r="AB1017" s="10">
        <v>45786</v>
      </c>
      <c r="AC1017" s="11">
        <f>IF($H1017="Cancelled","",IFERROR(IF(AB1017="","",IF(AND(W1017="",Y1017=""),"",IF(Y1017&gt;W1017,Y1017+Variables!$B$15+Variables!$B$16+Variables!$B$17-AB1017,W1017+Variables!$B$16+Variables!$B$17-AB1017))),""))</f>
        <v>-40</v>
      </c>
      <c r="AD1017" s="9" t="s">
        <v>165</v>
      </c>
      <c r="AE1017" s="9" t="s">
        <v>969</v>
      </c>
      <c r="AF1017" s="10"/>
      <c r="AG1017" s="10"/>
      <c r="AH1017" s="9"/>
      <c r="AI1017" s="9" t="s">
        <v>1043</v>
      </c>
      <c r="AJ1017" s="9" t="s">
        <v>8</v>
      </c>
      <c r="AK1017" s="10">
        <v>45800</v>
      </c>
      <c r="AL1017" s="10">
        <v>45806</v>
      </c>
      <c r="AM1017" s="10">
        <v>45807</v>
      </c>
      <c r="AN1017" s="9" t="s">
        <v>1492</v>
      </c>
      <c r="AO1017" s="9"/>
      <c r="AP1017" s="11">
        <f>IF($H1017="Cancelled","",IFERROR(IF(OR(AK1017="",AB1017=""),"",(AB1017+Variables!$B$18-AK1017)),""))</f>
        <v>-7</v>
      </c>
      <c r="AQ1017" s="11">
        <f>IF($H1017="Cancelled","",IFERROR(IF(OR(AM1017="",AK1017=""),"",(AK1017+Variables!$B$19)-AM1017),""))</f>
        <v>-2</v>
      </c>
      <c r="AR1017" s="12">
        <f>IF($H1017="Cancelled","",IFERROR(T1017*INDEX(Variables!$B$7:$D$7,IFERROR(MATCH(IF($B1017="Robusta","Robusta",(IF($B1017="","Arabica",$B1017))&amp;" - "&amp;(IF($C1017="","Commercial",$C1017))),Variables!$B$1:$D$1,0),1))*(AQ1017/365),""))</f>
        <v>-3.0195489495557375</v>
      </c>
      <c r="AS1017" s="12">
        <f>IF($H1017="Cancelled","",IFERROR((T1017*INDEX(Variables!$B$7:$D$7,IFERROR(MATCH(IF($B1017="Robusta","Robusta",(IF($B1017="","Arabica",$B1017))&amp;" - "&amp;(IF($C1017="","Commercial",$C1017))),Variables!$B$1:$D$1,0),1))*IFERROR(IF(W1017="","",(AVERAGE(E1017:F1017)-W1017)-Variables!$B$14),"")/365)+(L1017/16.67*INDEX(Variables!$B$8:$D$8,IFERROR(MATCH(IF($B1017="Robusta","Robusta",(IF($B1017="","Arabica",$B1017))&amp;" - "&amp;(IF($C1017="","Commercial",$C1017))),Variables!$B$1:$D$1,0),1))*IFERROR(IF(W1017="","",(AVERAGE(E1017:F1017)-W1017)-Variables!$B$14),""))+(T1017*INDEX(Variables!$B$9:$D$9,IFERROR(MATCH(IF($B1017="Robusta","Robusta",(IF($B1017="","Arabica",$B1017))&amp;" - "&amp;(IF($C1017="","Commercial",$C1017))),Variables!$B$1:$D$1,0),1))*IFERROR(IF(W1017="","",(AVERAGE(E1017:F1017)-W1017)-Variables!$B$14),"")/365),""))</f>
        <v>-2.2792383814200559</v>
      </c>
      <c r="AT1017" s="12">
        <f>IF($H1017="Cancelled","",IFERROR((T1017*INDEX(Variables!$B$7:$D$7,IFERROR(MATCH(IF($B1017="Robusta","Robusta",(IF($B1017="","Arabica",$B1017))&amp;" - "&amp;(IF($C1017="","Commercial",$C1017))),Variables!$B$1:$D$1,0),1))*AC1017/365)+(L1017/16.67*INDEX(Variables!$B$8:$D$8,IFERROR(MATCH(IF($B1017="Robusta","Robusta",(IF($B1017="","Arabica",$B1017))&amp;" - "&amp;(IF($C1017="","Commercial",$C1017))),Variables!$B$1:$D$1,0),1))*AC1017)+(T1017*INDEX(Variables!$B$9:$D$9,IFERROR(MATCH(IF($B1017="Robusta","Robusta",(IF($B1017="","Arabica",$B1017))&amp;" - "&amp;(IF($C1017="","Commercial",$C1017))),Variables!$B$1:$D$1,0),1))*AC1017/365),""))</f>
        <v>-91.169535256802234</v>
      </c>
      <c r="AU1017" s="12">
        <f>IF($H1017="Cancelled","",IFERROR((T1017*INDEX(Variables!$B$7:$D$7,IFERROR(MATCH(IF($B1017="Robusta","Robusta",(IF($B1017="","Arabica",$B1017))&amp;" - "&amp;(IF($C1017="","Commercial",$C1017))),Variables!$B$1:$D$1,0),1))*AP1017/365)+(L1017/16.67*INDEX(Variables!$B$8:$D$8,IFERROR(MATCH(IF($B1017="Robusta","Robusta",(IF($B1017="","Arabica",$B1017))&amp;" - "&amp;(IF($C1017="","Commercial",$C1017))),Variables!$B$1:$D$1,0),1))*AP1017)+(T1017*INDEX(Variables!$B$9:$D$9,IFERROR(MATCH(IF($B1017="Robusta","Robusta",(IF($B1017="","Arabica",$B1017))&amp;" - "&amp;(IF($C1017="","Commercial",$C1017))),Variables!$B$1:$D$1,0),1))*AP1017/365),""))</f>
        <v>-15.954668669940391</v>
      </c>
      <c r="AV1017" s="11">
        <f t="shared" si="95"/>
        <v>-53</v>
      </c>
      <c r="AW1017" s="12">
        <f>IF($H1017="Cancelled","",IFERROR(IF(AV1017="","",(T1017*INDEX(Variables!$B$7:$D$7,IFERROR(MATCH(IF($B1017="Robusta","Robusta",(IF($B1017="","Arabica",$B1017))&amp;" - "&amp;(IF($C1017="","Commercial",$C1017))),Variables!$B$1:$D$1,0),1))*(AV1017/365))+(T1017*INDEX(Variables!$B$9:$D$9,IFERROR(MATCH(IF($B1017="Robusta","Robusta",(IF($B1017="","Arabica",$B1017))&amp;" - "&amp;(IF($C1017="","Commercial",$C1017))),Variables!$B$1:$D$1,0),1))*(AV1017/365))+(INDEX(Variables!$B$8:$D$8,IFERROR(MATCH(IF($B1017="Robusta","Robusta",(IF($B1017="","Arabica",$B1017))&amp;" - "&amp;(IF($C1017="","Commercial",$C1017))),Variables!$B$1:$D$1,0),1))*L1017/16.67)),""))</f>
        <v>-80.299634215262955</v>
      </c>
      <c r="AX1017" s="9"/>
      <c r="AY1017" s="12"/>
      <c r="AZ1017" s="10"/>
      <c r="BA1017" s="9"/>
      <c r="BB1017" s="10"/>
      <c r="BC1017" s="9"/>
      <c r="BD1017" s="9"/>
      <c r="BE1017" s="9"/>
      <c r="BF1017" s="9"/>
    </row>
    <row r="1018" spans="1:58" x14ac:dyDescent="0.25">
      <c r="A1018" s="9" t="s">
        <v>84</v>
      </c>
      <c r="B1018" s="9" t="s">
        <v>85</v>
      </c>
      <c r="C1018" s="9" t="s">
        <v>1486</v>
      </c>
      <c r="D1018" s="10">
        <v>45707</v>
      </c>
      <c r="E1018" s="10">
        <v>45748</v>
      </c>
      <c r="F1018" s="10">
        <v>45777</v>
      </c>
      <c r="G1018" s="9">
        <v>3786714</v>
      </c>
      <c r="H1018" s="9" t="str">
        <f t="shared" si="93"/>
        <v>Closed</v>
      </c>
      <c r="I1018" s="9" t="str">
        <f t="shared" si="94"/>
        <v>All dates received</v>
      </c>
      <c r="J1018" s="9" t="s">
        <v>2177</v>
      </c>
      <c r="K1018" s="9" t="s">
        <v>2178</v>
      </c>
      <c r="L1018" s="11">
        <v>20</v>
      </c>
      <c r="M1018" s="9" t="s">
        <v>2179</v>
      </c>
      <c r="N1018" s="9"/>
      <c r="O1018" s="9"/>
      <c r="P1018" s="9"/>
      <c r="Q1018" s="11">
        <v>103.75</v>
      </c>
      <c r="R1018" s="9" t="s">
        <v>90</v>
      </c>
      <c r="S1018" s="9" t="s">
        <v>458</v>
      </c>
      <c r="T1018" s="12">
        <f>IF($H1018="Cancelled","",IFERROR(((Q1018+INDEX(Variables!$B$6:$D$6,IFERROR(MATCH(IF($B1018="Robusta","Robusta",(IF($B1018="","Arabica",$B1018))&amp;" - "&amp;(IF($C1018="","Commercial",$C1018))),Variables!$B$1:$D$1,0),1)))*22.0462)*(L1018/16.67),""))</f>
        <v>10435.906670665865</v>
      </c>
      <c r="U1018" s="10"/>
      <c r="V1018" s="9" t="str">
        <f t="shared" si="96"/>
        <v/>
      </c>
      <c r="W1018" s="10">
        <v>45703</v>
      </c>
      <c r="X1018" s="9" t="str">
        <f t="shared" si="97"/>
        <v>Approved</v>
      </c>
      <c r="Y1018" s="10">
        <v>45731</v>
      </c>
      <c r="Z1018" s="10">
        <f>IF($H1018="Cancelled","",IFERROR(IF(F1018="","",F1018-Variables!$B$13),""))</f>
        <v>45762</v>
      </c>
      <c r="AA1018" s="11">
        <f>IF($H1018="Cancelled","",IFERROR(IF(W1018="","",(AVERAGE(E1018:F1018)-W1018)-Variables!$B$14),""))</f>
        <v>29.5</v>
      </c>
      <c r="AB1018" s="10">
        <v>45783</v>
      </c>
      <c r="AC1018" s="11">
        <f>IF($H1018="Cancelled","",IFERROR(IF(AB1018="","",IF(AND(W1018="",Y1018=""),"",IF(Y1018&gt;W1018,Y1018+Variables!$B$15+Variables!$B$16+Variables!$B$17-AB1018,W1018+Variables!$B$16+Variables!$B$17-AB1018))),""))</f>
        <v>-37</v>
      </c>
      <c r="AD1018" s="9" t="s">
        <v>107</v>
      </c>
      <c r="AE1018" s="9" t="s">
        <v>693</v>
      </c>
      <c r="AF1018" s="10"/>
      <c r="AG1018" s="10"/>
      <c r="AH1018" s="9"/>
      <c r="AI1018" s="9" t="s">
        <v>2180</v>
      </c>
      <c r="AJ1018" s="9" t="s">
        <v>8</v>
      </c>
      <c r="AK1018" s="10">
        <v>45791</v>
      </c>
      <c r="AL1018" s="10">
        <v>45811</v>
      </c>
      <c r="AM1018" s="10">
        <v>45818</v>
      </c>
      <c r="AN1018" s="9" t="s">
        <v>1492</v>
      </c>
      <c r="AO1018" s="9"/>
      <c r="AP1018" s="11">
        <f>IF($H1018="Cancelled","",IFERROR(IF(OR(AK1018="",AB1018=""),"",(AB1018+Variables!$B$18-AK1018)),""))</f>
        <v>-1</v>
      </c>
      <c r="AQ1018" s="11">
        <f>IF($H1018="Cancelled","",IFERROR(IF(OR(AM1018="",AK1018=""),"",(AK1018+Variables!$B$19)-AM1018),""))</f>
        <v>-22</v>
      </c>
      <c r="AR1018" s="12">
        <f>IF($H1018="Cancelled","",IFERROR(T1018*INDEX(Variables!$B$7:$D$7,IFERROR(MATCH(IF($B1018="Robusta","Robusta",(IF($B1018="","Arabica",$B1018))&amp;" - "&amp;(IF($C1018="","Commercial",$C1018))),Variables!$B$1:$D$1,0),1))*(AQ1018/365),""))</f>
        <v>-40.560177711294884</v>
      </c>
      <c r="AS1018" s="12">
        <f>IF($H1018="Cancelled","",IFERROR((T1018*INDEX(Variables!$B$7:$D$7,IFERROR(MATCH(IF($B1018="Robusta","Robusta",(IF($B1018="","Arabica",$B1018))&amp;" - "&amp;(IF($C1018="","Commercial",$C1018))),Variables!$B$1:$D$1,0),1))*IFERROR(IF(W1018="","",(AVERAGE(E1018:F1018)-W1018)-Variables!$B$14),"")/365)+(L1018/16.67*INDEX(Variables!$B$8:$D$8,IFERROR(MATCH(IF($B1018="Robusta","Robusta",(IF($B1018="","Arabica",$B1018))&amp;" - "&amp;(IF($C1018="","Commercial",$C1018))),Variables!$B$1:$D$1,0),1))*IFERROR(IF(W1018="","",(AVERAGE(E1018:F1018)-W1018)-Variables!$B$14),""))+(T1018*INDEX(Variables!$B$9:$D$9,IFERROR(MATCH(IF($B1018="Robusta","Robusta",(IF($B1018="","Arabica",$B1018))&amp;" - "&amp;(IF($C1018="","Commercial",$C1018))),Variables!$B$1:$D$1,0),1))*IFERROR(IF(W1018="","",(AVERAGE(E1018:F1018)-W1018)-Variables!$B$14),"")/365),""))</f>
        <v>84.588670999640499</v>
      </c>
      <c r="AT1018" s="12">
        <f>IF($H1018="Cancelled","",IFERROR((T1018*INDEX(Variables!$B$7:$D$7,IFERROR(MATCH(IF($B1018="Robusta","Robusta",(IF($B1018="","Arabica",$B1018))&amp;" - "&amp;(IF($C1018="","Commercial",$C1018))),Variables!$B$1:$D$1,0),1))*AC1018/365)+(L1018/16.67*INDEX(Variables!$B$8:$D$8,IFERROR(MATCH(IF($B1018="Robusta","Robusta",(IF($B1018="","Arabica",$B1018))&amp;" - "&amp;(IF($C1018="","Commercial",$C1018))),Variables!$B$1:$D$1,0),1))*AC1018)+(T1018*INDEX(Variables!$B$9:$D$9,IFERROR(MATCH(IF($B1018="Robusta","Robusta",(IF($B1018="","Arabica",$B1018))&amp;" - "&amp;(IF($C1018="","Commercial",$C1018))),Variables!$B$1:$D$1,0),1))*AC1018/365),""))</f>
        <v>-106.09426532158301</v>
      </c>
      <c r="AU1018" s="12">
        <f>IF($H1018="Cancelled","",IFERROR((T1018*INDEX(Variables!$B$7:$D$7,IFERROR(MATCH(IF($B1018="Robusta","Robusta",(IF($B1018="","Arabica",$B1018))&amp;" - "&amp;(IF($C1018="","Commercial",$C1018))),Variables!$B$1:$D$1,0),1))*AP1018/365)+(L1018/16.67*INDEX(Variables!$B$8:$D$8,IFERROR(MATCH(IF($B1018="Robusta","Robusta",(IF($B1018="","Arabica",$B1018))&amp;" - "&amp;(IF($C1018="","Commercial",$C1018))),Variables!$B$1:$D$1,0),1))*AP1018)+(T1018*INDEX(Variables!$B$9:$D$9,IFERROR(MATCH(IF($B1018="Robusta","Robusta",(IF($B1018="","Arabica",$B1018))&amp;" - "&amp;(IF($C1018="","Commercial",$C1018))),Variables!$B$1:$D$1,0),1))*AP1018/365),""))</f>
        <v>-2.8674125762589999</v>
      </c>
      <c r="AV1018" s="11">
        <f t="shared" si="95"/>
        <v>-14</v>
      </c>
      <c r="AW1018" s="12">
        <f>IF($H1018="Cancelled","",IFERROR(IF(AV1018="","",(T1018*INDEX(Variables!$B$7:$D$7,IFERROR(MATCH(IF($B1018="Robusta","Robusta",(IF($B1018="","Arabica",$B1018))&amp;" - "&amp;(IF($C1018="","Commercial",$C1018))),Variables!$B$1:$D$1,0),1))*(AV1018/365))+(T1018*INDEX(Variables!$B$9:$D$9,IFERROR(MATCH(IF($B1018="Robusta","Robusta",(IF($B1018="","Arabica",$B1018))&amp;" - "&amp;(IF($C1018="","Commercial",$C1018))),Variables!$B$1:$D$1,0),1))*(AV1018/365))+(INDEX(Variables!$B$8:$D$8,IFERROR(MATCH(IF($B1018="Robusta","Robusta",(IF($B1018="","Arabica",$B1018))&amp;" - "&amp;(IF($C1018="","Commercial",$C1018))),Variables!$B$1:$D$1,0),1))*L1018/16.67)),""))</f>
        <v>-25.143776067626003</v>
      </c>
      <c r="AX1018" s="9"/>
      <c r="AY1018" s="12"/>
      <c r="AZ1018" s="10"/>
      <c r="BA1018" s="9"/>
      <c r="BB1018" s="10"/>
      <c r="BC1018" s="9"/>
      <c r="BD1018" s="9"/>
      <c r="BE1018" s="9"/>
      <c r="BF1018" s="9"/>
    </row>
    <row r="1019" spans="1:58" x14ac:dyDescent="0.25">
      <c r="A1019" s="9" t="s">
        <v>84</v>
      </c>
      <c r="B1019" s="9" t="s">
        <v>85</v>
      </c>
      <c r="C1019" s="9" t="s">
        <v>1486</v>
      </c>
      <c r="D1019" s="10">
        <v>45707</v>
      </c>
      <c r="E1019" s="10">
        <v>45748</v>
      </c>
      <c r="F1019" s="10">
        <v>45777</v>
      </c>
      <c r="G1019" s="9">
        <v>3786715</v>
      </c>
      <c r="H1019" s="9" t="str">
        <f t="shared" si="93"/>
        <v>Closed</v>
      </c>
      <c r="I1019" s="9" t="str">
        <f t="shared" si="94"/>
        <v>All dates received</v>
      </c>
      <c r="J1019" s="9" t="s">
        <v>2177</v>
      </c>
      <c r="K1019" s="9" t="s">
        <v>2181</v>
      </c>
      <c r="L1019" s="11">
        <v>20</v>
      </c>
      <c r="M1019" s="9" t="s">
        <v>2182</v>
      </c>
      <c r="N1019" s="9"/>
      <c r="O1019" s="9"/>
      <c r="P1019" s="9"/>
      <c r="Q1019" s="11">
        <v>103.75</v>
      </c>
      <c r="R1019" s="9" t="s">
        <v>90</v>
      </c>
      <c r="S1019" s="9" t="s">
        <v>458</v>
      </c>
      <c r="T1019" s="12">
        <f>IF($H1019="Cancelled","",IFERROR(((Q1019+INDEX(Variables!$B$6:$D$6,IFERROR(MATCH(IF($B1019="Robusta","Robusta",(IF($B1019="","Arabica",$B1019))&amp;" - "&amp;(IF($C1019="","Commercial",$C1019))),Variables!$B$1:$D$1,0),1)))*22.0462)*(L1019/16.67),""))</f>
        <v>10435.906670665865</v>
      </c>
      <c r="U1019" s="10"/>
      <c r="V1019" s="9" t="str">
        <f t="shared" si="96"/>
        <v/>
      </c>
      <c r="W1019" s="10">
        <v>45703</v>
      </c>
      <c r="X1019" s="9" t="str">
        <f t="shared" si="97"/>
        <v>Approved</v>
      </c>
      <c r="Y1019" s="10">
        <v>45731</v>
      </c>
      <c r="Z1019" s="10">
        <f>IF($H1019="Cancelled","",IFERROR(IF(F1019="","",F1019-Variables!$B$13),""))</f>
        <v>45762</v>
      </c>
      <c r="AA1019" s="11">
        <f>IF($H1019="Cancelled","",IFERROR(IF(W1019="","",(AVERAGE(E1019:F1019)-W1019)-Variables!$B$14),""))</f>
        <v>29.5</v>
      </c>
      <c r="AB1019" s="10">
        <v>45783</v>
      </c>
      <c r="AC1019" s="11">
        <f>IF($H1019="Cancelled","",IFERROR(IF(AB1019="","",IF(AND(W1019="",Y1019=""),"",IF(Y1019&gt;W1019,Y1019+Variables!$B$15+Variables!$B$16+Variables!$B$17-AB1019,W1019+Variables!$B$16+Variables!$B$17-AB1019))),""))</f>
        <v>-37</v>
      </c>
      <c r="AD1019" s="9" t="s">
        <v>107</v>
      </c>
      <c r="AE1019" s="9" t="s">
        <v>693</v>
      </c>
      <c r="AF1019" s="10"/>
      <c r="AG1019" s="10"/>
      <c r="AH1019" s="9"/>
      <c r="AI1019" s="9" t="s">
        <v>2180</v>
      </c>
      <c r="AJ1019" s="9" t="s">
        <v>8</v>
      </c>
      <c r="AK1019" s="10">
        <v>45791</v>
      </c>
      <c r="AL1019" s="10">
        <v>45811</v>
      </c>
      <c r="AM1019" s="10">
        <v>45818</v>
      </c>
      <c r="AN1019" s="9" t="s">
        <v>1492</v>
      </c>
      <c r="AO1019" s="9"/>
      <c r="AP1019" s="11">
        <f>IF($H1019="Cancelled","",IFERROR(IF(OR(AK1019="",AB1019=""),"",(AB1019+Variables!$B$18-AK1019)),""))</f>
        <v>-1</v>
      </c>
      <c r="AQ1019" s="11">
        <f>IF($H1019="Cancelled","",IFERROR(IF(OR(AM1019="",AK1019=""),"",(AK1019+Variables!$B$19)-AM1019),""))</f>
        <v>-22</v>
      </c>
      <c r="AR1019" s="12">
        <f>IF($H1019="Cancelled","",IFERROR(T1019*INDEX(Variables!$B$7:$D$7,IFERROR(MATCH(IF($B1019="Robusta","Robusta",(IF($B1019="","Arabica",$B1019))&amp;" - "&amp;(IF($C1019="","Commercial",$C1019))),Variables!$B$1:$D$1,0),1))*(AQ1019/365),""))</f>
        <v>-40.560177711294884</v>
      </c>
      <c r="AS1019" s="12">
        <f>IF($H1019="Cancelled","",IFERROR((T1019*INDEX(Variables!$B$7:$D$7,IFERROR(MATCH(IF($B1019="Robusta","Robusta",(IF($B1019="","Arabica",$B1019))&amp;" - "&amp;(IF($C1019="","Commercial",$C1019))),Variables!$B$1:$D$1,0),1))*IFERROR(IF(W1019="","",(AVERAGE(E1019:F1019)-W1019)-Variables!$B$14),"")/365)+(L1019/16.67*INDEX(Variables!$B$8:$D$8,IFERROR(MATCH(IF($B1019="Robusta","Robusta",(IF($B1019="","Arabica",$B1019))&amp;" - "&amp;(IF($C1019="","Commercial",$C1019))),Variables!$B$1:$D$1,0),1))*IFERROR(IF(W1019="","",(AVERAGE(E1019:F1019)-W1019)-Variables!$B$14),""))+(T1019*INDEX(Variables!$B$9:$D$9,IFERROR(MATCH(IF($B1019="Robusta","Robusta",(IF($B1019="","Arabica",$B1019))&amp;" - "&amp;(IF($C1019="","Commercial",$C1019))),Variables!$B$1:$D$1,0),1))*IFERROR(IF(W1019="","",(AVERAGE(E1019:F1019)-W1019)-Variables!$B$14),"")/365),""))</f>
        <v>84.588670999640499</v>
      </c>
      <c r="AT1019" s="12">
        <f>IF($H1019="Cancelled","",IFERROR((T1019*INDEX(Variables!$B$7:$D$7,IFERROR(MATCH(IF($B1019="Robusta","Robusta",(IF($B1019="","Arabica",$B1019))&amp;" - "&amp;(IF($C1019="","Commercial",$C1019))),Variables!$B$1:$D$1,0),1))*AC1019/365)+(L1019/16.67*INDEX(Variables!$B$8:$D$8,IFERROR(MATCH(IF($B1019="Robusta","Robusta",(IF($B1019="","Arabica",$B1019))&amp;" - "&amp;(IF($C1019="","Commercial",$C1019))),Variables!$B$1:$D$1,0),1))*AC1019)+(T1019*INDEX(Variables!$B$9:$D$9,IFERROR(MATCH(IF($B1019="Robusta","Robusta",(IF($B1019="","Arabica",$B1019))&amp;" - "&amp;(IF($C1019="","Commercial",$C1019))),Variables!$B$1:$D$1,0),1))*AC1019/365),""))</f>
        <v>-106.09426532158301</v>
      </c>
      <c r="AU1019" s="12">
        <f>IF($H1019="Cancelled","",IFERROR((T1019*INDEX(Variables!$B$7:$D$7,IFERROR(MATCH(IF($B1019="Robusta","Robusta",(IF($B1019="","Arabica",$B1019))&amp;" - "&amp;(IF($C1019="","Commercial",$C1019))),Variables!$B$1:$D$1,0),1))*AP1019/365)+(L1019/16.67*INDEX(Variables!$B$8:$D$8,IFERROR(MATCH(IF($B1019="Robusta","Robusta",(IF($B1019="","Arabica",$B1019))&amp;" - "&amp;(IF($C1019="","Commercial",$C1019))),Variables!$B$1:$D$1,0),1))*AP1019)+(T1019*INDEX(Variables!$B$9:$D$9,IFERROR(MATCH(IF($B1019="Robusta","Robusta",(IF($B1019="","Arabica",$B1019))&amp;" - "&amp;(IF($C1019="","Commercial",$C1019))),Variables!$B$1:$D$1,0),1))*AP1019/365),""))</f>
        <v>-2.8674125762589999</v>
      </c>
      <c r="AV1019" s="11">
        <f t="shared" si="95"/>
        <v>-14</v>
      </c>
      <c r="AW1019" s="12">
        <f>IF($H1019="Cancelled","",IFERROR(IF(AV1019="","",(T1019*INDEX(Variables!$B$7:$D$7,IFERROR(MATCH(IF($B1019="Robusta","Robusta",(IF($B1019="","Arabica",$B1019))&amp;" - "&amp;(IF($C1019="","Commercial",$C1019))),Variables!$B$1:$D$1,0),1))*(AV1019/365))+(T1019*INDEX(Variables!$B$9:$D$9,IFERROR(MATCH(IF($B1019="Robusta","Robusta",(IF($B1019="","Arabica",$B1019))&amp;" - "&amp;(IF($C1019="","Commercial",$C1019))),Variables!$B$1:$D$1,0),1))*(AV1019/365))+(INDEX(Variables!$B$8:$D$8,IFERROR(MATCH(IF($B1019="Robusta","Robusta",(IF($B1019="","Arabica",$B1019))&amp;" - "&amp;(IF($C1019="","Commercial",$C1019))),Variables!$B$1:$D$1,0),1))*L1019/16.67)),""))</f>
        <v>-25.143776067626003</v>
      </c>
      <c r="AX1019" s="9"/>
      <c r="AY1019" s="12"/>
      <c r="AZ1019" s="10"/>
      <c r="BA1019" s="9"/>
      <c r="BB1019" s="10"/>
      <c r="BC1019" s="9"/>
      <c r="BD1019" s="9"/>
      <c r="BE1019" s="9"/>
      <c r="BF1019" s="9"/>
    </row>
    <row r="1020" spans="1:58" x14ac:dyDescent="0.25">
      <c r="A1020" s="9" t="s">
        <v>84</v>
      </c>
      <c r="B1020" s="9" t="s">
        <v>85</v>
      </c>
      <c r="C1020" s="9" t="s">
        <v>1486</v>
      </c>
      <c r="D1020" s="10">
        <v>45707</v>
      </c>
      <c r="E1020" s="10">
        <v>45748</v>
      </c>
      <c r="F1020" s="10">
        <v>45777</v>
      </c>
      <c r="G1020" s="9">
        <v>3786716</v>
      </c>
      <c r="H1020" s="9" t="str">
        <f t="shared" si="93"/>
        <v>Closed</v>
      </c>
      <c r="I1020" s="9" t="str">
        <f t="shared" si="94"/>
        <v>All dates received</v>
      </c>
      <c r="J1020" s="9" t="s">
        <v>2177</v>
      </c>
      <c r="K1020" s="9" t="s">
        <v>2183</v>
      </c>
      <c r="L1020" s="11">
        <v>80</v>
      </c>
      <c r="M1020" s="9" t="s">
        <v>2184</v>
      </c>
      <c r="N1020" s="9"/>
      <c r="O1020" s="9"/>
      <c r="P1020" s="9"/>
      <c r="Q1020" s="11">
        <v>125.75</v>
      </c>
      <c r="R1020" s="9" t="s">
        <v>90</v>
      </c>
      <c r="S1020" s="9" t="s">
        <v>458</v>
      </c>
      <c r="T1020" s="12">
        <f>IF($H1020="Cancelled","",IFERROR(((Q1020+INDEX(Variables!$B$6:$D$6,IFERROR(MATCH(IF($B1020="Robusta","Robusta",(IF($B1020="","Arabica",$B1020))&amp;" - "&amp;(IF($C1020="","Commercial",$C1020))),Variables!$B$1:$D$1,0),1)))*22.0462)*(L1020/16.67),""))</f>
        <v>44071.23988002399</v>
      </c>
      <c r="U1020" s="10"/>
      <c r="V1020" s="9" t="str">
        <f t="shared" si="96"/>
        <v/>
      </c>
      <c r="W1020" s="10">
        <v>45703</v>
      </c>
      <c r="X1020" s="9" t="str">
        <f t="shared" si="97"/>
        <v>Approved</v>
      </c>
      <c r="Y1020" s="10">
        <v>45731</v>
      </c>
      <c r="Z1020" s="10">
        <f>IF($H1020="Cancelled","",IFERROR(IF(F1020="","",F1020-Variables!$B$13),""))</f>
        <v>45762</v>
      </c>
      <c r="AA1020" s="11">
        <f>IF($H1020="Cancelled","",IFERROR(IF(W1020="","",(AVERAGE(E1020:F1020)-W1020)-Variables!$B$14),""))</f>
        <v>29.5</v>
      </c>
      <c r="AB1020" s="10">
        <v>45783</v>
      </c>
      <c r="AC1020" s="11">
        <f>IF($H1020="Cancelled","",IFERROR(IF(AB1020="","",IF(AND(W1020="",Y1020=""),"",IF(Y1020&gt;W1020,Y1020+Variables!$B$15+Variables!$B$16+Variables!$B$17-AB1020,W1020+Variables!$B$16+Variables!$B$17-AB1020))),""))</f>
        <v>-37</v>
      </c>
      <c r="AD1020" s="9" t="s">
        <v>107</v>
      </c>
      <c r="AE1020" s="9" t="s">
        <v>693</v>
      </c>
      <c r="AF1020" s="10"/>
      <c r="AG1020" s="10"/>
      <c r="AH1020" s="9"/>
      <c r="AI1020" s="9" t="s">
        <v>2180</v>
      </c>
      <c r="AJ1020" s="9" t="s">
        <v>8</v>
      </c>
      <c r="AK1020" s="10">
        <v>45791</v>
      </c>
      <c r="AL1020" s="10">
        <v>45811</v>
      </c>
      <c r="AM1020" s="10">
        <v>45818</v>
      </c>
      <c r="AN1020" s="9" t="s">
        <v>1492</v>
      </c>
      <c r="AO1020" s="9"/>
      <c r="AP1020" s="11">
        <f>IF($H1020="Cancelled","",IFERROR(IF(OR(AK1020="",AB1020=""),"",(AB1020+Variables!$B$18-AK1020)),""))</f>
        <v>-1</v>
      </c>
      <c r="AQ1020" s="11">
        <f>IF($H1020="Cancelled","",IFERROR(IF(OR(AM1020="",AK1020=""),"",(AK1020+Variables!$B$19)-AM1020),""))</f>
        <v>-22</v>
      </c>
      <c r="AR1020" s="12">
        <f>IF($H1020="Cancelled","",IFERROR(T1020*INDEX(Variables!$B$7:$D$7,IFERROR(MATCH(IF($B1020="Robusta","Robusta",(IF($B1020="","Arabica",$B1020))&amp;" - "&amp;(IF($C1020="","Commercial",$C1020))),Variables!$B$1:$D$1,0),1))*(AQ1020/365),""))</f>
        <v>-171.28720847182746</v>
      </c>
      <c r="AS1020" s="12">
        <f>IF($H1020="Cancelled","",IFERROR((T1020*INDEX(Variables!$B$7:$D$7,IFERROR(MATCH(IF($B1020="Robusta","Robusta",(IF($B1020="","Arabica",$B1020))&amp;" - "&amp;(IF($C1020="","Commercial",$C1020))),Variables!$B$1:$D$1,0),1))*IFERROR(IF(W1020="","",(AVERAGE(E1020:F1020)-W1020)-Variables!$B$14),"")/365)+(L1020/16.67*INDEX(Variables!$B$8:$D$8,IFERROR(MATCH(IF($B1020="Robusta","Robusta",(IF($B1020="","Arabica",$B1020))&amp;" - "&amp;(IF($C1020="","Commercial",$C1020))),Variables!$B$1:$D$1,0),1))*IFERROR(IF(W1020="","",(AVERAGE(E1020:F1020)-W1020)-Variables!$B$14),""))+(T1020*INDEX(Variables!$B$9:$D$9,IFERROR(MATCH(IF($B1020="Robusta","Robusta",(IF($B1020="","Arabica",$B1020))&amp;" - "&amp;(IF($C1020="","Commercial",$C1020))),Variables!$B$1:$D$1,0),1))*IFERROR(IF(W1020="","",(AVERAGE(E1020:F1020)-W1020)-Variables!$B$14),"")/365),""))</f>
        <v>350.64160086072997</v>
      </c>
      <c r="AT1020" s="12">
        <f>IF($H1020="Cancelled","",IFERROR((T1020*INDEX(Variables!$B$7:$D$7,IFERROR(MATCH(IF($B1020="Robusta","Robusta",(IF($B1020="","Arabica",$B1020))&amp;" - "&amp;(IF($C1020="","Commercial",$C1020))),Variables!$B$1:$D$1,0),1))*AC1020/365)+(L1020/16.67*INDEX(Variables!$B$8:$D$8,IFERROR(MATCH(IF($B1020="Robusta","Robusta",(IF($B1020="","Arabica",$B1020))&amp;" - "&amp;(IF($C1020="","Commercial",$C1020))),Variables!$B$1:$D$1,0),1))*AC1020)+(T1020*INDEX(Variables!$B$9:$D$9,IFERROR(MATCH(IF($B1020="Robusta","Robusta",(IF($B1020="","Arabica",$B1020))&amp;" - "&amp;(IF($C1020="","Commercial",$C1020))),Variables!$B$1:$D$1,0),1))*AC1020/365),""))</f>
        <v>-439.78777057108505</v>
      </c>
      <c r="AU1020" s="12">
        <f>IF($H1020="Cancelled","",IFERROR((T1020*INDEX(Variables!$B$7:$D$7,IFERROR(MATCH(IF($B1020="Robusta","Robusta",(IF($B1020="","Arabica",$B1020))&amp;" - "&amp;(IF($C1020="","Commercial",$C1020))),Variables!$B$1:$D$1,0),1))*AP1020/365)+(L1020/16.67*INDEX(Variables!$B$8:$D$8,IFERROR(MATCH(IF($B1020="Robusta","Robusta",(IF($B1020="","Arabica",$B1020))&amp;" - "&amp;(IF($C1020="","Commercial",$C1020))),Variables!$B$1:$D$1,0),1))*AP1020)+(T1020*INDEX(Variables!$B$9:$D$9,IFERROR(MATCH(IF($B1020="Robusta","Robusta",(IF($B1020="","Arabica",$B1020))&amp;" - "&amp;(IF($C1020="","Commercial",$C1020))),Variables!$B$1:$D$1,0),1))*AP1020/365),""))</f>
        <v>-11.886155961380675</v>
      </c>
      <c r="AV1020" s="11">
        <f t="shared" si="95"/>
        <v>-14</v>
      </c>
      <c r="AW1020" s="12">
        <f>IF($H1020="Cancelled","",IFERROR(IF(AV1020="","",(T1020*INDEX(Variables!$B$7:$D$7,IFERROR(MATCH(IF($B1020="Robusta","Robusta",(IF($B1020="","Arabica",$B1020))&amp;" - "&amp;(IF($C1020="","Commercial",$C1020))),Variables!$B$1:$D$1,0),1))*(AV1020/365))+(T1020*INDEX(Variables!$B$9:$D$9,IFERROR(MATCH(IF($B1020="Robusta","Robusta",(IF($B1020="","Arabica",$B1020))&amp;" - "&amp;(IF($C1020="","Commercial",$C1020))),Variables!$B$1:$D$1,0),1))*(AV1020/365))+(INDEX(Variables!$B$8:$D$8,IFERROR(MATCH(IF($B1020="Robusta","Robusta",(IF($B1020="","Arabica",$B1020))&amp;" - "&amp;(IF($C1020="","Commercial",$C1020))),Variables!$B$1:$D$1,0),1))*L1020/16.67)),""))</f>
        <v>-106.40618345932947</v>
      </c>
      <c r="AX1020" s="9"/>
      <c r="AY1020" s="12"/>
      <c r="AZ1020" s="10"/>
      <c r="BA1020" s="9"/>
      <c r="BB1020" s="10"/>
      <c r="BC1020" s="9"/>
      <c r="BD1020" s="9"/>
      <c r="BE1020" s="9"/>
      <c r="BF1020" s="9"/>
    </row>
    <row r="1021" spans="1:58" x14ac:dyDescent="0.25">
      <c r="A1021" s="9" t="s">
        <v>84</v>
      </c>
      <c r="B1021" s="9" t="s">
        <v>85</v>
      </c>
      <c r="C1021" s="9" t="s">
        <v>1486</v>
      </c>
      <c r="D1021" s="10">
        <v>45707</v>
      </c>
      <c r="E1021" s="10">
        <v>45748</v>
      </c>
      <c r="F1021" s="10">
        <v>45777</v>
      </c>
      <c r="G1021" s="9">
        <v>3786717</v>
      </c>
      <c r="H1021" s="9" t="str">
        <f t="shared" si="93"/>
        <v>Closed</v>
      </c>
      <c r="I1021" s="9" t="str">
        <f t="shared" si="94"/>
        <v>All dates received</v>
      </c>
      <c r="J1021" s="9" t="s">
        <v>2177</v>
      </c>
      <c r="K1021" s="9" t="s">
        <v>2185</v>
      </c>
      <c r="L1021" s="11">
        <v>30</v>
      </c>
      <c r="M1021" s="9" t="s">
        <v>2186</v>
      </c>
      <c r="N1021" s="9"/>
      <c r="O1021" s="9"/>
      <c r="P1021" s="9"/>
      <c r="Q1021" s="11">
        <v>111.75</v>
      </c>
      <c r="R1021" s="9" t="s">
        <v>90</v>
      </c>
      <c r="S1021" s="9" t="s">
        <v>458</v>
      </c>
      <c r="T1021" s="12">
        <f>IF($H1021="Cancelled","",IFERROR(((Q1021+INDEX(Variables!$B$6:$D$6,IFERROR(MATCH(IF($B1021="Robusta","Robusta",(IF($B1021="","Arabica",$B1021))&amp;" - "&amp;(IF($C1021="","Commercial",$C1021))),Variables!$B$1:$D$1,0),1)))*22.0462)*(L1021/16.67),""))</f>
        <v>15971.261805638871</v>
      </c>
      <c r="U1021" s="10"/>
      <c r="V1021" s="9" t="str">
        <f t="shared" si="96"/>
        <v/>
      </c>
      <c r="W1021" s="10">
        <v>45703</v>
      </c>
      <c r="X1021" s="9" t="str">
        <f t="shared" si="97"/>
        <v>Approved</v>
      </c>
      <c r="Y1021" s="10">
        <v>45731</v>
      </c>
      <c r="Z1021" s="10">
        <f>IF($H1021="Cancelled","",IFERROR(IF(F1021="","",F1021-Variables!$B$13),""))</f>
        <v>45762</v>
      </c>
      <c r="AA1021" s="11">
        <f>IF($H1021="Cancelled","",IFERROR(IF(W1021="","",(AVERAGE(E1021:F1021)-W1021)-Variables!$B$14),""))</f>
        <v>29.5</v>
      </c>
      <c r="AB1021" s="10">
        <v>45783</v>
      </c>
      <c r="AC1021" s="11">
        <f>IF($H1021="Cancelled","",IFERROR(IF(AB1021="","",IF(AND(W1021="",Y1021=""),"",IF(Y1021&gt;W1021,Y1021+Variables!$B$15+Variables!$B$16+Variables!$B$17-AB1021,W1021+Variables!$B$16+Variables!$B$17-AB1021))),""))</f>
        <v>-37</v>
      </c>
      <c r="AD1021" s="9" t="s">
        <v>107</v>
      </c>
      <c r="AE1021" s="9" t="s">
        <v>693</v>
      </c>
      <c r="AF1021" s="10"/>
      <c r="AG1021" s="10"/>
      <c r="AH1021" s="9"/>
      <c r="AI1021" s="9" t="s">
        <v>2180</v>
      </c>
      <c r="AJ1021" s="9" t="s">
        <v>8</v>
      </c>
      <c r="AK1021" s="10">
        <v>45791</v>
      </c>
      <c r="AL1021" s="10">
        <v>45811</v>
      </c>
      <c r="AM1021" s="10">
        <v>45818</v>
      </c>
      <c r="AN1021" s="9" t="s">
        <v>1492</v>
      </c>
      <c r="AO1021" s="9"/>
      <c r="AP1021" s="11">
        <f>IF($H1021="Cancelled","",IFERROR(IF(OR(AK1021="",AB1021=""),"",(AB1021+Variables!$B$18-AK1021)),""))</f>
        <v>-1</v>
      </c>
      <c r="AQ1021" s="11">
        <f>IF($H1021="Cancelled","",IFERROR(IF(OR(AM1021="",AK1021=""),"",(AK1021+Variables!$B$19)-AM1021),""))</f>
        <v>-22</v>
      </c>
      <c r="AR1021" s="12">
        <f>IF($H1021="Cancelled","",IFERROR(T1021*INDEX(Variables!$B$7:$D$7,IFERROR(MATCH(IF($B1021="Robusta","Robusta",(IF($B1021="","Arabica",$B1021))&amp;" - "&amp;(IF($C1021="","Commercial",$C1021))),Variables!$B$1:$D$1,0),1))*(AQ1021/365),""))</f>
        <v>-62.073879879667047</v>
      </c>
      <c r="AS1021" s="12">
        <f>IF($H1021="Cancelled","",IFERROR((T1021*INDEX(Variables!$B$7:$D$7,IFERROR(MATCH(IF($B1021="Robusta","Robusta",(IF($B1021="","Arabica",$B1021))&amp;" - "&amp;(IF($C1021="","Commercial",$C1021))),Variables!$B$1:$D$1,0),1))*IFERROR(IF(W1021="","",(AVERAGE(E1021:F1021)-W1021)-Variables!$B$14),"")/365)+(L1021/16.67*INDEX(Variables!$B$8:$D$8,IFERROR(MATCH(IF($B1021="Robusta","Robusta",(IF($B1021="","Arabica",$B1021))&amp;" - "&amp;(IF($C1021="","Commercial",$C1021))),Variables!$B$1:$D$1,0),1))*IFERROR(IF(W1021="","",(AVERAGE(E1021:F1021)-W1021)-Variables!$B$14),""))+(T1021*INDEX(Variables!$B$9:$D$9,IFERROR(MATCH(IF($B1021="Robusta","Robusta",(IF($B1021="","Arabica",$B1021))&amp;" - "&amp;(IF($C1021="","Commercial",$C1021))),Variables!$B$1:$D$1,0),1))*IFERROR(IF(W1021="","",(AVERAGE(E1021:F1021)-W1021)-Variables!$B$14),"")/365),""))</f>
        <v>128.55849516248367</v>
      </c>
      <c r="AT1021" s="12">
        <f>IF($H1021="Cancelled","",IFERROR((T1021*INDEX(Variables!$B$7:$D$7,IFERROR(MATCH(IF($B1021="Robusta","Robusta",(IF($B1021="","Arabica",$B1021))&amp;" - "&amp;(IF($C1021="","Commercial",$C1021))),Variables!$B$1:$D$1,0),1))*AC1021/365)+(L1021/16.67*INDEX(Variables!$B$8:$D$8,IFERROR(MATCH(IF($B1021="Robusta","Robusta",(IF($B1021="","Arabica",$B1021))&amp;" - "&amp;(IF($C1021="","Commercial",$C1021))),Variables!$B$1:$D$1,0),1))*AC1021)+(T1021*INDEX(Variables!$B$9:$D$9,IFERROR(MATCH(IF($B1021="Robusta","Robusta",(IF($B1021="","Arabica",$B1021))&amp;" - "&amp;(IF($C1021="","Commercial",$C1021))),Variables!$B$1:$D$1,0),1))*AC1021/365),""))</f>
        <v>-161.24285833938629</v>
      </c>
      <c r="AU1021" s="12">
        <f>IF($H1021="Cancelled","",IFERROR((T1021*INDEX(Variables!$B$7:$D$7,IFERROR(MATCH(IF($B1021="Robusta","Robusta",(IF($B1021="","Arabica",$B1021))&amp;" - "&amp;(IF($C1021="","Commercial",$C1021))),Variables!$B$1:$D$1,0),1))*AP1021/365)+(L1021/16.67*INDEX(Variables!$B$8:$D$8,IFERROR(MATCH(IF($B1021="Robusta","Robusta",(IF($B1021="","Arabica",$B1021))&amp;" - "&amp;(IF($C1021="","Commercial",$C1021))),Variables!$B$1:$D$1,0),1))*AP1021)+(T1021*INDEX(Variables!$B$9:$D$9,IFERROR(MATCH(IF($B1021="Robusta","Robusta",(IF($B1021="","Arabica",$B1021))&amp;" - "&amp;(IF($C1021="","Commercial",$C1021))),Variables!$B$1:$D$1,0),1))*AP1021/365),""))</f>
        <v>-4.3579150902536838</v>
      </c>
      <c r="AV1021" s="11">
        <f t="shared" si="95"/>
        <v>-14</v>
      </c>
      <c r="AW1021" s="12">
        <f>IF($H1021="Cancelled","",IFERROR(IF(AV1021="","",(T1021*INDEX(Variables!$B$7:$D$7,IFERROR(MATCH(IF($B1021="Robusta","Robusta",(IF($B1021="","Arabica",$B1021))&amp;" - "&amp;(IF($C1021="","Commercial",$C1021))),Variables!$B$1:$D$1,0),1))*(AV1021/365))+(T1021*INDEX(Variables!$B$9:$D$9,IFERROR(MATCH(IF($B1021="Robusta","Robusta",(IF($B1021="","Arabica",$B1021))&amp;" - "&amp;(IF($C1021="","Commercial",$C1021))),Variables!$B$1:$D$1,0),1))*(AV1021/365))+(INDEX(Variables!$B$8:$D$8,IFERROR(MATCH(IF($B1021="Robusta","Robusta",(IF($B1021="","Arabica",$B1021))&amp;" - "&amp;(IF($C1021="","Commercial",$C1021))),Variables!$B$1:$D$1,0),1))*L1021/16.67)),""))</f>
        <v>-38.510811263551574</v>
      </c>
      <c r="AX1021" s="9"/>
      <c r="AY1021" s="12"/>
      <c r="AZ1021" s="10"/>
      <c r="BA1021" s="9"/>
      <c r="BB1021" s="10"/>
      <c r="BC1021" s="9"/>
      <c r="BD1021" s="9"/>
      <c r="BE1021" s="9"/>
      <c r="BF1021" s="9"/>
    </row>
    <row r="1022" spans="1:58" x14ac:dyDescent="0.25">
      <c r="A1022" s="9" t="s">
        <v>84</v>
      </c>
      <c r="B1022" s="9" t="s">
        <v>85</v>
      </c>
      <c r="C1022" s="9" t="s">
        <v>1486</v>
      </c>
      <c r="D1022" s="10">
        <v>45707</v>
      </c>
      <c r="E1022" s="10">
        <v>45748</v>
      </c>
      <c r="F1022" s="10">
        <v>45777</v>
      </c>
      <c r="G1022" s="9">
        <v>3786718</v>
      </c>
      <c r="H1022" s="9" t="str">
        <f t="shared" si="93"/>
        <v>Closed</v>
      </c>
      <c r="I1022" s="9" t="str">
        <f t="shared" si="94"/>
        <v>All dates received</v>
      </c>
      <c r="J1022" s="9" t="s">
        <v>2177</v>
      </c>
      <c r="K1022" s="9" t="s">
        <v>2187</v>
      </c>
      <c r="L1022" s="11">
        <v>20</v>
      </c>
      <c r="M1022" s="9" t="s">
        <v>2188</v>
      </c>
      <c r="N1022" s="9"/>
      <c r="O1022" s="9"/>
      <c r="P1022" s="9"/>
      <c r="Q1022" s="11">
        <v>151.75</v>
      </c>
      <c r="R1022" s="9" t="s">
        <v>90</v>
      </c>
      <c r="S1022" s="9" t="s">
        <v>458</v>
      </c>
      <c r="T1022" s="12">
        <f>IF($H1022="Cancelled","",IFERROR(((Q1022+INDEX(Variables!$B$6:$D$6,IFERROR(MATCH(IF($B1022="Robusta","Robusta",(IF($B1022="","Arabica",$B1022))&amp;" - "&amp;(IF($C1022="","Commercial",$C1022))),Variables!$B$1:$D$1,0),1)))*22.0462)*(L1022/16.67),""))</f>
        <v>11705.513869226153</v>
      </c>
      <c r="U1022" s="10"/>
      <c r="V1022" s="9" t="str">
        <f t="shared" si="96"/>
        <v/>
      </c>
      <c r="W1022" s="10">
        <v>45703</v>
      </c>
      <c r="X1022" s="9" t="str">
        <f t="shared" si="97"/>
        <v>Approved</v>
      </c>
      <c r="Y1022" s="10">
        <v>45731</v>
      </c>
      <c r="Z1022" s="10">
        <f>IF($H1022="Cancelled","",IFERROR(IF(F1022="","",F1022-Variables!$B$13),""))</f>
        <v>45762</v>
      </c>
      <c r="AA1022" s="11">
        <f>IF($H1022="Cancelled","",IFERROR(IF(W1022="","",(AVERAGE(E1022:F1022)-W1022)-Variables!$B$14),""))</f>
        <v>29.5</v>
      </c>
      <c r="AB1022" s="10">
        <v>45783</v>
      </c>
      <c r="AC1022" s="11">
        <f>IF($H1022="Cancelled","",IFERROR(IF(AB1022="","",IF(AND(W1022="",Y1022=""),"",IF(Y1022&gt;W1022,Y1022+Variables!$B$15+Variables!$B$16+Variables!$B$17-AB1022,W1022+Variables!$B$16+Variables!$B$17-AB1022))),""))</f>
        <v>-37</v>
      </c>
      <c r="AD1022" s="9" t="s">
        <v>107</v>
      </c>
      <c r="AE1022" s="9" t="s">
        <v>693</v>
      </c>
      <c r="AF1022" s="10"/>
      <c r="AG1022" s="10"/>
      <c r="AH1022" s="9"/>
      <c r="AI1022" s="9" t="s">
        <v>2180</v>
      </c>
      <c r="AJ1022" s="9" t="s">
        <v>8</v>
      </c>
      <c r="AK1022" s="10">
        <v>45791</v>
      </c>
      <c r="AL1022" s="10">
        <v>45811</v>
      </c>
      <c r="AM1022" s="10">
        <v>45818</v>
      </c>
      <c r="AN1022" s="9" t="s">
        <v>1492</v>
      </c>
      <c r="AO1022" s="9"/>
      <c r="AP1022" s="11">
        <f>IF($H1022="Cancelled","",IFERROR(IF(OR(AK1022="",AB1022=""),"",(AB1022+Variables!$B$18-AK1022)),""))</f>
        <v>-1</v>
      </c>
      <c r="AQ1022" s="11">
        <f>IF($H1022="Cancelled","",IFERROR(IF(OR(AM1022="",AK1022=""),"",(AK1022+Variables!$B$19)-AM1022),""))</f>
        <v>-22</v>
      </c>
      <c r="AR1022" s="12">
        <f>IF($H1022="Cancelled","",IFERROR(T1022*INDEX(Variables!$B$7:$D$7,IFERROR(MATCH(IF($B1022="Robusta","Robusta",(IF($B1022="","Arabica",$B1022))&amp;" - "&amp;(IF($C1022="","Commercial",$C1022))),Variables!$B$1:$D$1,0),1))*(AQ1022/365),""))</f>
        <v>-45.494630962193767</v>
      </c>
      <c r="AS1022" s="12">
        <f>IF($H1022="Cancelled","",IFERROR((T1022*INDEX(Variables!$B$7:$D$7,IFERROR(MATCH(IF($B1022="Robusta","Robusta",(IF($B1022="","Arabica",$B1022))&amp;" - "&amp;(IF($C1022="","Commercial",$C1022))),Variables!$B$1:$D$1,0),1))*IFERROR(IF(W1022="","",(AVERAGE(E1022:F1022)-W1022)-Variables!$B$14),"")/365)+(L1022/16.67*INDEX(Variables!$B$8:$D$8,IFERROR(MATCH(IF($B1022="Robusta","Robusta",(IF($B1022="","Arabica",$B1022))&amp;" - "&amp;(IF($C1022="","Commercial",$C1022))),Variables!$B$1:$D$1,0),1))*IFERROR(IF(W1022="","",(AVERAGE(E1022:F1022)-W1022)-Variables!$B$14),""))+(T1022*INDEX(Variables!$B$9:$D$9,IFERROR(MATCH(IF($B1022="Robusta","Robusta",(IF($B1022="","Arabica",$B1022))&amp;" - "&amp;(IF($C1022="","Commercial",$C1022))),Variables!$B$1:$D$1,0),1))*IFERROR(IF(W1022="","",(AVERAGE(E1022:F1022)-W1022)-Variables!$B$14),"")/365),""))</f>
        <v>91.290625651732128</v>
      </c>
      <c r="AT1022" s="12">
        <f>IF($H1022="Cancelled","",IFERROR((T1022*INDEX(Variables!$B$7:$D$7,IFERROR(MATCH(IF($B1022="Robusta","Robusta",(IF($B1022="","Arabica",$B1022))&amp;" - "&amp;(IF($C1022="","Commercial",$C1022))),Variables!$B$1:$D$1,0),1))*AC1022/365)+(L1022/16.67*INDEX(Variables!$B$8:$D$8,IFERROR(MATCH(IF($B1022="Robusta","Robusta",(IF($B1022="","Arabica",$B1022))&amp;" - "&amp;(IF($C1022="","Commercial",$C1022))),Variables!$B$1:$D$1,0),1))*AC1022)+(T1022*INDEX(Variables!$B$9:$D$9,IFERROR(MATCH(IF($B1022="Robusta","Robusta",(IF($B1022="","Arabica",$B1022))&amp;" - "&amp;(IF($C1022="","Commercial",$C1022))),Variables!$B$1:$D$1,0),1))*AC1022/365),""))</f>
        <v>-114.50010674963012</v>
      </c>
      <c r="AU1022" s="12">
        <f>IF($H1022="Cancelled","",IFERROR((T1022*INDEX(Variables!$B$7:$D$7,IFERROR(MATCH(IF($B1022="Robusta","Robusta",(IF($B1022="","Arabica",$B1022))&amp;" - "&amp;(IF($C1022="","Commercial",$C1022))),Variables!$B$1:$D$1,0),1))*AP1022/365)+(L1022/16.67*INDEX(Variables!$B$8:$D$8,IFERROR(MATCH(IF($B1022="Robusta","Robusta",(IF($B1022="","Arabica",$B1022))&amp;" - "&amp;(IF($C1022="","Commercial",$C1022))),Variables!$B$1:$D$1,0),1))*AP1022)+(T1022*INDEX(Variables!$B$9:$D$9,IFERROR(MATCH(IF($B1022="Robusta","Robusta",(IF($B1022="","Arabica",$B1022))&amp;" - "&amp;(IF($C1022="","Commercial",$C1022))),Variables!$B$1:$D$1,0),1))*AP1022/365),""))</f>
        <v>-3.0945974797197326</v>
      </c>
      <c r="AV1022" s="11">
        <f t="shared" si="95"/>
        <v>-14</v>
      </c>
      <c r="AW1022" s="12">
        <f>IF($H1022="Cancelled","",IFERROR(IF(AV1022="","",(T1022*INDEX(Variables!$B$7:$D$7,IFERROR(MATCH(IF($B1022="Robusta","Robusta",(IF($B1022="","Arabica",$B1022))&amp;" - "&amp;(IF($C1022="","Commercial",$C1022))),Variables!$B$1:$D$1,0),1))*(AV1022/365))+(T1022*INDEX(Variables!$B$9:$D$9,IFERROR(MATCH(IF($B1022="Robusta","Robusta",(IF($B1022="","Arabica",$B1022))&amp;" - "&amp;(IF($C1022="","Commercial",$C1022))),Variables!$B$1:$D$1,0),1))*(AV1022/365))+(INDEX(Variables!$B$8:$D$8,IFERROR(MATCH(IF($B1022="Robusta","Robusta",(IF($B1022="","Arabica",$B1022))&amp;" - "&amp;(IF($C1022="","Commercial",$C1022))),Variables!$B$1:$D$1,0),1))*L1022/16.67)),""))</f>
        <v>-28.324364716076261</v>
      </c>
      <c r="AX1022" s="9"/>
      <c r="AY1022" s="12"/>
      <c r="AZ1022" s="10"/>
      <c r="BA1022" s="9"/>
      <c r="BB1022" s="10"/>
      <c r="BC1022" s="9"/>
      <c r="BD1022" s="9"/>
      <c r="BE1022" s="9"/>
      <c r="BF1022" s="9"/>
    </row>
    <row r="1023" spans="1:58" x14ac:dyDescent="0.25">
      <c r="A1023" s="9" t="s">
        <v>84</v>
      </c>
      <c r="B1023" s="9" t="s">
        <v>85</v>
      </c>
      <c r="C1023" s="9" t="s">
        <v>1486</v>
      </c>
      <c r="D1023" s="10">
        <v>45707</v>
      </c>
      <c r="E1023" s="10">
        <v>45748</v>
      </c>
      <c r="F1023" s="10">
        <v>45777</v>
      </c>
      <c r="G1023" s="9">
        <v>3786719</v>
      </c>
      <c r="H1023" s="9" t="str">
        <f t="shared" si="93"/>
        <v>Closed</v>
      </c>
      <c r="I1023" s="9" t="str">
        <f t="shared" si="94"/>
        <v>All dates received</v>
      </c>
      <c r="J1023" s="9" t="s">
        <v>2177</v>
      </c>
      <c r="K1023" s="9" t="s">
        <v>2189</v>
      </c>
      <c r="L1023" s="11">
        <v>30</v>
      </c>
      <c r="M1023" s="9" t="s">
        <v>2190</v>
      </c>
      <c r="N1023" s="9"/>
      <c r="O1023" s="9"/>
      <c r="P1023" s="9"/>
      <c r="Q1023" s="11">
        <v>106.75</v>
      </c>
      <c r="R1023" s="9" t="s">
        <v>90</v>
      </c>
      <c r="S1023" s="9" t="s">
        <v>458</v>
      </c>
      <c r="T1023" s="12">
        <f>IF($H1023="Cancelled","",IFERROR(((Q1023+INDEX(Variables!$B$6:$D$6,IFERROR(MATCH(IF($B1023="Robusta","Robusta",(IF($B1023="","Arabica",$B1023))&amp;" - "&amp;(IF($C1023="","Commercial",$C1023))),Variables!$B$1:$D$1,0),1)))*22.0462)*(L1023/16.67),""))</f>
        <v>15772.885680863825</v>
      </c>
      <c r="U1023" s="10"/>
      <c r="V1023" s="9" t="str">
        <f t="shared" si="96"/>
        <v/>
      </c>
      <c r="W1023" s="10">
        <v>45703</v>
      </c>
      <c r="X1023" s="9" t="str">
        <f t="shared" si="97"/>
        <v>Approved</v>
      </c>
      <c r="Y1023" s="10">
        <v>45731</v>
      </c>
      <c r="Z1023" s="10">
        <f>IF($H1023="Cancelled","",IFERROR(IF(F1023="","",F1023-Variables!$B$13),""))</f>
        <v>45762</v>
      </c>
      <c r="AA1023" s="11">
        <f>IF($H1023="Cancelled","",IFERROR(IF(W1023="","",(AVERAGE(E1023:F1023)-W1023)-Variables!$B$14),""))</f>
        <v>29.5</v>
      </c>
      <c r="AB1023" s="10">
        <v>45783</v>
      </c>
      <c r="AC1023" s="11">
        <f>IF($H1023="Cancelled","",IFERROR(IF(AB1023="","",IF(AND(W1023="",Y1023=""),"",IF(Y1023&gt;W1023,Y1023+Variables!$B$15+Variables!$B$16+Variables!$B$17-AB1023,W1023+Variables!$B$16+Variables!$B$17-AB1023))),""))</f>
        <v>-37</v>
      </c>
      <c r="AD1023" s="9" t="s">
        <v>107</v>
      </c>
      <c r="AE1023" s="9" t="s">
        <v>693</v>
      </c>
      <c r="AF1023" s="10"/>
      <c r="AG1023" s="10"/>
      <c r="AH1023" s="9"/>
      <c r="AI1023" s="9" t="s">
        <v>2180</v>
      </c>
      <c r="AJ1023" s="9" t="s">
        <v>8</v>
      </c>
      <c r="AK1023" s="10">
        <v>45791</v>
      </c>
      <c r="AL1023" s="10">
        <v>45811</v>
      </c>
      <c r="AM1023" s="10">
        <v>45818</v>
      </c>
      <c r="AN1023" s="9" t="s">
        <v>1492</v>
      </c>
      <c r="AO1023" s="9"/>
      <c r="AP1023" s="11">
        <f>IF($H1023="Cancelled","",IFERROR(IF(OR(AK1023="",AB1023=""),"",(AB1023+Variables!$B$18-AK1023)),""))</f>
        <v>-1</v>
      </c>
      <c r="AQ1023" s="11">
        <f>IF($H1023="Cancelled","",IFERROR(IF(OR(AM1023="",AK1023=""),"",(AK1023+Variables!$B$19)-AM1023),""))</f>
        <v>-22</v>
      </c>
      <c r="AR1023" s="12">
        <f>IF($H1023="Cancelled","",IFERROR(T1023*INDEX(Variables!$B$7:$D$7,IFERROR(MATCH(IF($B1023="Robusta","Robusta",(IF($B1023="","Arabica",$B1023))&amp;" - "&amp;(IF($C1023="","Commercial",$C1023))),Variables!$B$1:$D$1,0),1))*(AQ1023/365),""))</f>
        <v>-61.30287155921409</v>
      </c>
      <c r="AS1023" s="12">
        <f>IF($H1023="Cancelled","",IFERROR((T1023*INDEX(Variables!$B$7:$D$7,IFERROR(MATCH(IF($B1023="Robusta","Robusta",(IF($B1023="","Arabica",$B1023))&amp;" - "&amp;(IF($C1023="","Commercial",$C1023))),Variables!$B$1:$D$1,0),1))*IFERROR(IF(W1023="","",(AVERAGE(E1023:F1023)-W1023)-Variables!$B$14),"")/365)+(L1023/16.67*INDEX(Variables!$B$8:$D$8,IFERROR(MATCH(IF($B1023="Robusta","Robusta",(IF($B1023="","Arabica",$B1023))&amp;" - "&amp;(IF($C1023="","Commercial",$C1023))),Variables!$B$1:$D$1,0),1))*IFERROR(IF(W1023="","",(AVERAGE(E1023:F1023)-W1023)-Variables!$B$14),""))+(T1023*INDEX(Variables!$B$9:$D$9,IFERROR(MATCH(IF($B1023="Robusta","Robusta",(IF($B1023="","Arabica",$B1023))&amp;" - "&amp;(IF($C1023="","Commercial",$C1023))),Variables!$B$1:$D$1,0),1))*IFERROR(IF(W1023="","",(AVERAGE(E1023:F1023)-W1023)-Variables!$B$14),"")/365),""))</f>
        <v>127.51131474809434</v>
      </c>
      <c r="AT1023" s="12">
        <f>IF($H1023="Cancelled","",IFERROR((T1023*INDEX(Variables!$B$7:$D$7,IFERROR(MATCH(IF($B1023="Robusta","Robusta",(IF($B1023="","Arabica",$B1023))&amp;" - "&amp;(IF($C1023="","Commercial",$C1023))),Variables!$B$1:$D$1,0),1))*AC1023/365)+(L1023/16.67*INDEX(Variables!$B$8:$D$8,IFERROR(MATCH(IF($B1023="Robusta","Robusta",(IF($B1023="","Arabica",$B1023))&amp;" - "&amp;(IF($C1023="","Commercial",$C1023))),Variables!$B$1:$D$1,0),1))*AC1023)+(T1023*INDEX(Variables!$B$9:$D$9,IFERROR(MATCH(IF($B1023="Robusta","Robusta",(IF($B1023="","Arabica",$B1023))&amp;" - "&amp;(IF($C1023="","Commercial",$C1023))),Variables!$B$1:$D$1,0),1))*AC1023/365),""))</f>
        <v>-159.92944561625393</v>
      </c>
      <c r="AU1023" s="12">
        <f>IF($H1023="Cancelled","",IFERROR((T1023*INDEX(Variables!$B$7:$D$7,IFERROR(MATCH(IF($B1023="Robusta","Robusta",(IF($B1023="","Arabica",$B1023))&amp;" - "&amp;(IF($C1023="","Commercial",$C1023))),Variables!$B$1:$D$1,0),1))*AP1023/365)+(L1023/16.67*INDEX(Variables!$B$8:$D$8,IFERROR(MATCH(IF($B1023="Robusta","Robusta",(IF($B1023="","Arabica",$B1023))&amp;" - "&amp;(IF($C1023="","Commercial",$C1023))),Variables!$B$1:$D$1,0),1))*AP1023)+(T1023*INDEX(Variables!$B$9:$D$9,IFERROR(MATCH(IF($B1023="Robusta","Robusta",(IF($B1023="","Arabica",$B1023))&amp;" - "&amp;(IF($C1023="","Commercial",$C1023))),Variables!$B$1:$D$1,0),1))*AP1023/365),""))</f>
        <v>-4.3224174490879443</v>
      </c>
      <c r="AV1023" s="11">
        <f t="shared" si="95"/>
        <v>-14</v>
      </c>
      <c r="AW1023" s="12">
        <f>IF($H1023="Cancelled","",IFERROR(IF(AV1023="","",(T1023*INDEX(Variables!$B$7:$D$7,IFERROR(MATCH(IF($B1023="Robusta","Robusta",(IF($B1023="","Arabica",$B1023))&amp;" - "&amp;(IF($C1023="","Commercial",$C1023))),Variables!$B$1:$D$1,0),1))*(AV1023/365))+(T1023*INDEX(Variables!$B$9:$D$9,IFERROR(MATCH(IF($B1023="Robusta","Robusta",(IF($B1023="","Arabica",$B1023))&amp;" - "&amp;(IF($C1023="","Commercial",$C1023))),Variables!$B$1:$D$1,0),1))*(AV1023/365))+(INDEX(Variables!$B$8:$D$8,IFERROR(MATCH(IF($B1023="Robusta","Robusta",(IF($B1023="","Arabica",$B1023))&amp;" - "&amp;(IF($C1023="","Commercial",$C1023))),Variables!$B$1:$D$1,0),1))*L1023/16.67)),""))</f>
        <v>-38.013844287231215</v>
      </c>
      <c r="AX1023" s="9"/>
      <c r="AY1023" s="12"/>
      <c r="AZ1023" s="10"/>
      <c r="BA1023" s="9"/>
      <c r="BB1023" s="10"/>
      <c r="BC1023" s="9"/>
      <c r="BD1023" s="9"/>
      <c r="BE1023" s="9"/>
      <c r="BF1023" s="9"/>
    </row>
    <row r="1024" spans="1:58" x14ac:dyDescent="0.25">
      <c r="A1024" s="9" t="s">
        <v>84</v>
      </c>
      <c r="B1024" s="9" t="s">
        <v>85</v>
      </c>
      <c r="C1024" s="9" t="s">
        <v>1486</v>
      </c>
      <c r="D1024" s="10">
        <v>45720</v>
      </c>
      <c r="E1024" s="10">
        <v>45748</v>
      </c>
      <c r="F1024" s="10">
        <v>45777</v>
      </c>
      <c r="G1024" s="9">
        <v>3786767</v>
      </c>
      <c r="H1024" s="9" t="str">
        <f t="shared" si="93"/>
        <v>Closed</v>
      </c>
      <c r="I1024" s="9" t="str">
        <f t="shared" si="94"/>
        <v>All dates received</v>
      </c>
      <c r="J1024" s="9" t="s">
        <v>1395</v>
      </c>
      <c r="K1024" s="9" t="s">
        <v>2191</v>
      </c>
      <c r="L1024" s="11">
        <v>20</v>
      </c>
      <c r="M1024" s="9" t="s">
        <v>2192</v>
      </c>
      <c r="N1024" s="9"/>
      <c r="O1024" s="9"/>
      <c r="P1024" s="9"/>
      <c r="Q1024" s="11">
        <v>106.75</v>
      </c>
      <c r="R1024" s="9" t="s">
        <v>90</v>
      </c>
      <c r="S1024" s="9" t="s">
        <v>458</v>
      </c>
      <c r="T1024" s="12">
        <f>IF($H1024="Cancelled","",IFERROR(((Q1024+INDEX(Variables!$B$6:$D$6,IFERROR(MATCH(IF($B1024="Robusta","Robusta",(IF($B1024="","Arabica",$B1024))&amp;" - "&amp;(IF($C1024="","Commercial",$C1024))),Variables!$B$1:$D$1,0),1)))*22.0462)*(L1024/16.67),""))</f>
        <v>10515.257120575883</v>
      </c>
      <c r="U1024" s="10"/>
      <c r="V1024" s="9" t="str">
        <f t="shared" si="96"/>
        <v/>
      </c>
      <c r="W1024" s="10">
        <v>45703</v>
      </c>
      <c r="X1024" s="9" t="str">
        <f t="shared" si="97"/>
        <v>Approved</v>
      </c>
      <c r="Y1024" s="10">
        <v>45731</v>
      </c>
      <c r="Z1024" s="10">
        <f>IF($H1024="Cancelled","",IFERROR(IF(F1024="","",F1024-Variables!$B$13),""))</f>
        <v>45762</v>
      </c>
      <c r="AA1024" s="11">
        <f>IF($H1024="Cancelled","",IFERROR(IF(W1024="","",(AVERAGE(E1024:F1024)-W1024)-Variables!$B$14),""))</f>
        <v>29.5</v>
      </c>
      <c r="AB1024" s="10">
        <v>45783</v>
      </c>
      <c r="AC1024" s="11">
        <f>IF($H1024="Cancelled","",IFERROR(IF(AB1024="","",IF(AND(W1024="",Y1024=""),"",IF(Y1024&gt;W1024,Y1024+Variables!$B$15+Variables!$B$16+Variables!$B$17-AB1024,W1024+Variables!$B$16+Variables!$B$17-AB1024))),""))</f>
        <v>-37</v>
      </c>
      <c r="AD1024" s="9" t="s">
        <v>107</v>
      </c>
      <c r="AE1024" s="9" t="s">
        <v>693</v>
      </c>
      <c r="AF1024" s="10"/>
      <c r="AG1024" s="10"/>
      <c r="AH1024" s="9"/>
      <c r="AI1024" s="9" t="s">
        <v>2180</v>
      </c>
      <c r="AJ1024" s="9" t="s">
        <v>8</v>
      </c>
      <c r="AK1024" s="10">
        <v>45791</v>
      </c>
      <c r="AL1024" s="10">
        <v>45811</v>
      </c>
      <c r="AM1024" s="10">
        <v>45818</v>
      </c>
      <c r="AN1024" s="9" t="s">
        <v>1492</v>
      </c>
      <c r="AO1024" s="9"/>
      <c r="AP1024" s="11">
        <f>IF($H1024="Cancelled","",IFERROR(IF(OR(AK1024="",AB1024=""),"",(AB1024+Variables!$B$18-AK1024)),""))</f>
        <v>-1</v>
      </c>
      <c r="AQ1024" s="11">
        <f>IF($H1024="Cancelled","",IFERROR(IF(OR(AM1024="",AK1024=""),"",(AK1024+Variables!$B$19)-AM1024),""))</f>
        <v>-22</v>
      </c>
      <c r="AR1024" s="12">
        <f>IF($H1024="Cancelled","",IFERROR(T1024*INDEX(Variables!$B$7:$D$7,IFERROR(MATCH(IF($B1024="Robusta","Robusta",(IF($B1024="","Arabica",$B1024))&amp;" - "&amp;(IF($C1024="","Commercial",$C1024))),Variables!$B$1:$D$1,0),1))*(AQ1024/365),""))</f>
        <v>-40.868581039476062</v>
      </c>
      <c r="AS1024" s="12">
        <f>IF($H1024="Cancelled","",IFERROR((T1024*INDEX(Variables!$B$7:$D$7,IFERROR(MATCH(IF($B1024="Robusta","Robusta",(IF($B1024="","Arabica",$B1024))&amp;" - "&amp;(IF($C1024="","Commercial",$C1024))),Variables!$B$1:$D$1,0),1))*IFERROR(IF(W1024="","",(AVERAGE(E1024:F1024)-W1024)-Variables!$B$14),"")/365)+(L1024/16.67*INDEX(Variables!$B$8:$D$8,IFERROR(MATCH(IF($B1024="Robusta","Robusta",(IF($B1024="","Arabica",$B1024))&amp;" - "&amp;(IF($C1024="","Commercial",$C1024))),Variables!$B$1:$D$1,0),1))*IFERROR(IF(W1024="","",(AVERAGE(E1024:F1024)-W1024)-Variables!$B$14),""))+(T1024*INDEX(Variables!$B$9:$D$9,IFERROR(MATCH(IF($B1024="Robusta","Robusta",(IF($B1024="","Arabica",$B1024))&amp;" - "&amp;(IF($C1024="","Commercial",$C1024))),Variables!$B$1:$D$1,0),1))*IFERROR(IF(W1024="","",(AVERAGE(E1024:F1024)-W1024)-Variables!$B$14),"")/365),""))</f>
        <v>85.007543165396228</v>
      </c>
      <c r="AT1024" s="12">
        <f>IF($H1024="Cancelled","",IFERROR((T1024*INDEX(Variables!$B$7:$D$7,IFERROR(MATCH(IF($B1024="Robusta","Robusta",(IF($B1024="","Arabica",$B1024))&amp;" - "&amp;(IF($C1024="","Commercial",$C1024))),Variables!$B$1:$D$1,0),1))*AC1024/365)+(L1024/16.67*INDEX(Variables!$B$8:$D$8,IFERROR(MATCH(IF($B1024="Robusta","Robusta",(IF($B1024="","Arabica",$B1024))&amp;" - "&amp;(IF($C1024="","Commercial",$C1024))),Variables!$B$1:$D$1,0),1))*AC1024)+(T1024*INDEX(Variables!$B$9:$D$9,IFERROR(MATCH(IF($B1024="Robusta","Robusta",(IF($B1024="","Arabica",$B1024))&amp;" - "&amp;(IF($C1024="","Commercial",$C1024))),Variables!$B$1:$D$1,0),1))*AC1024/365),""))</f>
        <v>-106.61963041083595</v>
      </c>
      <c r="AU1024" s="12">
        <f>IF($H1024="Cancelled","",IFERROR((T1024*INDEX(Variables!$B$7:$D$7,IFERROR(MATCH(IF($B1024="Robusta","Robusta",(IF($B1024="","Arabica",$B1024))&amp;" - "&amp;(IF($C1024="","Commercial",$C1024))),Variables!$B$1:$D$1,0),1))*AP1024/365)+(L1024/16.67*INDEX(Variables!$B$8:$D$8,IFERROR(MATCH(IF($B1024="Robusta","Robusta",(IF($B1024="","Arabica",$B1024))&amp;" - "&amp;(IF($C1024="","Commercial",$C1024))),Variables!$B$1:$D$1,0),1))*AP1024)+(T1024*INDEX(Variables!$B$9:$D$9,IFERROR(MATCH(IF($B1024="Robusta","Robusta",(IF($B1024="","Arabica",$B1024))&amp;" - "&amp;(IF($C1024="","Commercial",$C1024))),Variables!$B$1:$D$1,0),1))*AP1024/365),""))</f>
        <v>-2.8816116327252961</v>
      </c>
      <c r="AV1024" s="11">
        <f t="shared" si="95"/>
        <v>-14</v>
      </c>
      <c r="AW1024" s="12">
        <f>IF($H1024="Cancelled","",IFERROR(IF(AV1024="","",(T1024*INDEX(Variables!$B$7:$D$7,IFERROR(MATCH(IF($B1024="Robusta","Robusta",(IF($B1024="","Arabica",$B1024))&amp;" - "&amp;(IF($C1024="","Commercial",$C1024))),Variables!$B$1:$D$1,0),1))*(AV1024/365))+(T1024*INDEX(Variables!$B$9:$D$9,IFERROR(MATCH(IF($B1024="Robusta","Robusta",(IF($B1024="","Arabica",$B1024))&amp;" - "&amp;(IF($C1024="","Commercial",$C1024))),Variables!$B$1:$D$1,0),1))*(AV1024/365))+(INDEX(Variables!$B$8:$D$8,IFERROR(MATCH(IF($B1024="Robusta","Robusta",(IF($B1024="","Arabica",$B1024))&amp;" - "&amp;(IF($C1024="","Commercial",$C1024))),Variables!$B$1:$D$1,0),1))*L1024/16.67)),""))</f>
        <v>-25.342562858154142</v>
      </c>
      <c r="AX1024" s="9"/>
      <c r="AY1024" s="12"/>
      <c r="AZ1024" s="10"/>
      <c r="BA1024" s="9"/>
      <c r="BB1024" s="10"/>
      <c r="BC1024" s="9"/>
      <c r="BD1024" s="9"/>
      <c r="BE1024" s="9"/>
      <c r="BF1024" s="9"/>
    </row>
    <row r="1025" spans="1:58" x14ac:dyDescent="0.25">
      <c r="A1025" s="9" t="s">
        <v>84</v>
      </c>
      <c r="B1025" s="9" t="s">
        <v>85</v>
      </c>
      <c r="C1025" s="9" t="s">
        <v>1486</v>
      </c>
      <c r="D1025" s="10">
        <v>45722</v>
      </c>
      <c r="E1025" s="10">
        <v>45748</v>
      </c>
      <c r="F1025" s="10">
        <v>45777</v>
      </c>
      <c r="G1025" s="9">
        <v>3786771</v>
      </c>
      <c r="H1025" s="9" t="str">
        <f t="shared" si="93"/>
        <v>Closed</v>
      </c>
      <c r="I1025" s="9" t="str">
        <f t="shared" si="94"/>
        <v>All dates received</v>
      </c>
      <c r="J1025" s="9" t="s">
        <v>225</v>
      </c>
      <c r="K1025" s="9" t="s">
        <v>2193</v>
      </c>
      <c r="L1025" s="11">
        <v>7</v>
      </c>
      <c r="M1025" s="9" t="s">
        <v>2194</v>
      </c>
      <c r="N1025" s="9"/>
      <c r="O1025" s="9"/>
      <c r="P1025" s="9"/>
      <c r="Q1025" s="11">
        <v>107</v>
      </c>
      <c r="R1025" s="9" t="s">
        <v>195</v>
      </c>
      <c r="S1025" s="9" t="s">
        <v>228</v>
      </c>
      <c r="T1025" s="12">
        <f>IF($H1025="Cancelled","",IFERROR(((Q1025+INDEX(Variables!$B$6:$D$6,IFERROR(MATCH(IF($B1025="Robusta","Robusta",(IF($B1025="","Arabica",$B1025))&amp;" - "&amp;(IF($C1025="","Commercial",$C1025))),Variables!$B$1:$D$1,0),1)))*22.0462)*(L1025/16.67),""))</f>
        <v>3682.6543803239347</v>
      </c>
      <c r="U1025" s="10"/>
      <c r="V1025" s="9" t="str">
        <f t="shared" si="96"/>
        <v/>
      </c>
      <c r="W1025" s="10">
        <v>45732</v>
      </c>
      <c r="X1025" s="9" t="str">
        <f t="shared" si="97"/>
        <v>Approved</v>
      </c>
      <c r="Y1025" s="10">
        <v>45773</v>
      </c>
      <c r="Z1025" s="10">
        <f>IF($H1025="Cancelled","",IFERROR(IF(F1025="","",F1025-Variables!$B$13),""))</f>
        <v>45762</v>
      </c>
      <c r="AA1025" s="11">
        <f>IF($H1025="Cancelled","",IFERROR(IF(W1025="","",(AVERAGE(E1025:F1025)-W1025)-Variables!$B$14),""))</f>
        <v>0.5</v>
      </c>
      <c r="AB1025" s="10">
        <v>45785</v>
      </c>
      <c r="AC1025" s="11">
        <f>IF($H1025="Cancelled","",IFERROR(IF(AB1025="","",IF(AND(W1025="",Y1025=""),"",IF(Y1025&gt;W1025,Y1025+Variables!$B$15+Variables!$B$16+Variables!$B$17-AB1025,W1025+Variables!$B$16+Variables!$B$17-AB1025))),""))</f>
        <v>3</v>
      </c>
      <c r="AD1025" s="9" t="s">
        <v>163</v>
      </c>
      <c r="AE1025" s="9" t="s">
        <v>598</v>
      </c>
      <c r="AF1025" s="10"/>
      <c r="AG1025" s="10"/>
      <c r="AH1025" s="9"/>
      <c r="AI1025" s="9">
        <v>253545561</v>
      </c>
      <c r="AJ1025" s="9" t="s">
        <v>1060</v>
      </c>
      <c r="AK1025" s="10">
        <v>45792</v>
      </c>
      <c r="AL1025" s="10">
        <v>45805</v>
      </c>
      <c r="AM1025" s="10">
        <v>45807</v>
      </c>
      <c r="AN1025" s="9" t="s">
        <v>1492</v>
      </c>
      <c r="AO1025" s="9"/>
      <c r="AP1025" s="11">
        <f>IF($H1025="Cancelled","",IFERROR(IF(OR(AK1025="",AB1025=""),"",(AB1025+Variables!$B$18-AK1025)),""))</f>
        <v>0</v>
      </c>
      <c r="AQ1025" s="11">
        <f>IF($H1025="Cancelled","",IFERROR(IF(OR(AM1025="",AK1025=""),"",(AK1025+Variables!$B$19)-AM1025),""))</f>
        <v>-10</v>
      </c>
      <c r="AR1025" s="12">
        <f>IF($H1025="Cancelled","",IFERROR(T1025*INDEX(Variables!$B$7:$D$7,IFERROR(MATCH(IF($B1025="Robusta","Robusta",(IF($B1025="","Arabica",$B1025))&amp;" - "&amp;(IF($C1025="","Commercial",$C1025))),Variables!$B$1:$D$1,0),1))*(AQ1025/365),""))</f>
        <v>-6.5059083913129871</v>
      </c>
      <c r="AS1025" s="12">
        <f>IF($H1025="Cancelled","",IFERROR((T1025*INDEX(Variables!$B$7:$D$7,IFERROR(MATCH(IF($B1025="Robusta","Robusta",(IF($B1025="","Arabica",$B1025))&amp;" - "&amp;(IF($C1025="","Commercial",$C1025))),Variables!$B$1:$D$1,0),1))*IFERROR(IF(W1025="","",(AVERAGE(E1025:F1025)-W1025)-Variables!$B$14),"")/365)+(L1025/16.67*INDEX(Variables!$B$8:$D$8,IFERROR(MATCH(IF($B1025="Robusta","Robusta",(IF($B1025="","Arabica",$B1025))&amp;" - "&amp;(IF($C1025="","Commercial",$C1025))),Variables!$B$1:$D$1,0),1))*IFERROR(IF(W1025="","",(AVERAGE(E1025:F1025)-W1025)-Variables!$B$14),""))+(T1025*INDEX(Variables!$B$9:$D$9,IFERROR(MATCH(IF($B1025="Robusta","Robusta",(IF($B1025="","Arabica",$B1025))&amp;" - "&amp;(IF($C1025="","Commercial",$C1025))),Variables!$B$1:$D$1,0),1))*IFERROR(IF(W1025="","",(AVERAGE(E1025:F1025)-W1025)-Variables!$B$14),"")/365),""))</f>
        <v>0.50448910530039359</v>
      </c>
      <c r="AT1025" s="12">
        <f>IF($H1025="Cancelled","",IFERROR((T1025*INDEX(Variables!$B$7:$D$7,IFERROR(MATCH(IF($B1025="Robusta","Robusta",(IF($B1025="","Arabica",$B1025))&amp;" - "&amp;(IF($C1025="","Commercial",$C1025))),Variables!$B$1:$D$1,0),1))*AC1025/365)+(L1025/16.67*INDEX(Variables!$B$8:$D$8,IFERROR(MATCH(IF($B1025="Robusta","Robusta",(IF($B1025="","Arabica",$B1025))&amp;" - "&amp;(IF($C1025="","Commercial",$C1025))),Variables!$B$1:$D$1,0),1))*AC1025)+(T1025*INDEX(Variables!$B$9:$D$9,IFERROR(MATCH(IF($B1025="Robusta","Robusta",(IF($B1025="","Arabica",$B1025))&amp;" - "&amp;(IF($C1025="","Commercial",$C1025))),Variables!$B$1:$D$1,0),1))*AC1025/365),""))</f>
        <v>3.0269346318023613</v>
      </c>
      <c r="AU1025" s="12">
        <f>IF($H1025="Cancelled","",IFERROR((T1025*INDEX(Variables!$B$7:$D$7,IFERROR(MATCH(IF($B1025="Robusta","Robusta",(IF($B1025="","Arabica",$B1025))&amp;" - "&amp;(IF($C1025="","Commercial",$C1025))),Variables!$B$1:$D$1,0),1))*AP1025/365)+(L1025/16.67*INDEX(Variables!$B$8:$D$8,IFERROR(MATCH(IF($B1025="Robusta","Robusta",(IF($B1025="","Arabica",$B1025))&amp;" - "&amp;(IF($C1025="","Commercial",$C1025))),Variables!$B$1:$D$1,0),1))*AP1025)+(T1025*INDEX(Variables!$B$9:$D$9,IFERROR(MATCH(IF($B1025="Robusta","Robusta",(IF($B1025="","Arabica",$B1025))&amp;" - "&amp;(IF($C1025="","Commercial",$C1025))),Variables!$B$1:$D$1,0),1))*AP1025/365),""))</f>
        <v>0</v>
      </c>
      <c r="AV1025" s="11">
        <f t="shared" si="95"/>
        <v>-15</v>
      </c>
      <c r="AW1025" s="12">
        <f>IF($H1025="Cancelled","",IFERROR(IF(AV1025="","",(T1025*INDEX(Variables!$B$7:$D$7,IFERROR(MATCH(IF($B1025="Robusta","Robusta",(IF($B1025="","Arabica",$B1025))&amp;" - "&amp;(IF($C1025="","Commercial",$C1025))),Variables!$B$1:$D$1,0),1))*(AV1025/365))+(T1025*INDEX(Variables!$B$9:$D$9,IFERROR(MATCH(IF($B1025="Robusta","Robusta",(IF($B1025="","Arabica",$B1025))&amp;" - "&amp;(IF($C1025="","Commercial",$C1025))),Variables!$B$1:$D$1,0),1))*(AV1025/365))+(INDEX(Variables!$B$8:$D$8,IFERROR(MATCH(IF($B1025="Robusta","Robusta",(IF($B1025="","Arabica",$B1025))&amp;" - "&amp;(IF($C1025="","Commercial",$C1025))),Variables!$B$1:$D$1,0),1))*L1025/16.67)),""))</f>
        <v>-9.5346731590118097</v>
      </c>
      <c r="AX1025" s="9"/>
      <c r="AY1025" s="12"/>
      <c r="AZ1025" s="10"/>
      <c r="BA1025" s="9"/>
      <c r="BB1025" s="10"/>
      <c r="BC1025" s="9"/>
      <c r="BD1025" s="9"/>
      <c r="BE1025" s="9"/>
      <c r="BF1025" s="9"/>
    </row>
    <row r="1026" spans="1:58" x14ac:dyDescent="0.25">
      <c r="A1026" s="9" t="s">
        <v>84</v>
      </c>
      <c r="B1026" s="9" t="s">
        <v>85</v>
      </c>
      <c r="C1026" s="9" t="s">
        <v>1486</v>
      </c>
      <c r="D1026" s="10">
        <v>45722</v>
      </c>
      <c r="E1026" s="10">
        <v>45748</v>
      </c>
      <c r="F1026" s="10">
        <v>45777</v>
      </c>
      <c r="G1026" s="9">
        <v>3786772</v>
      </c>
      <c r="H1026" s="9" t="str">
        <f t="shared" ref="H1026:H1089" si="98">IF(ISNUMBER(SEARCH("cancel",AN1026)),"Cancelled",IF(AND(AK1026&lt;&gt;"",AL1026&lt;&gt;"",AM1026&lt;&gt;""),"Closed","Open"))</f>
        <v>Closed</v>
      </c>
      <c r="I1026" s="9" t="str">
        <f t="shared" ref="I1026:I1089" si="99">IF(AND(AK1026&lt;&gt;"",AL1026&lt;&gt;"",AM1026&lt;&gt;""),"All dates received",_xlfn.TEXTJOIN(" and ",TRUE(),IF(AK1026="","No sailing date",""),IF(AL1026="","No shipping advice sent",""),IF(AM1026="","No docs dispatch date","")))</f>
        <v>All dates received</v>
      </c>
      <c r="J1026" s="9" t="s">
        <v>225</v>
      </c>
      <c r="K1026" s="9" t="s">
        <v>2195</v>
      </c>
      <c r="L1026" s="11">
        <v>9</v>
      </c>
      <c r="M1026" s="9" t="s">
        <v>2196</v>
      </c>
      <c r="N1026" s="9"/>
      <c r="O1026" s="9"/>
      <c r="P1026" s="9"/>
      <c r="Q1026" s="11">
        <v>90</v>
      </c>
      <c r="R1026" s="9" t="s">
        <v>195</v>
      </c>
      <c r="S1026" s="9" t="s">
        <v>228</v>
      </c>
      <c r="T1026" s="12">
        <f>IF($H1026="Cancelled","",IFERROR(((Q1026+INDEX(Variables!$B$6:$D$6,IFERROR(MATCH(IF($B1026="Robusta","Robusta",(IF($B1026="","Arabica",$B1026))&amp;" - "&amp;(IF($C1026="","Commercial",$C1026))),Variables!$B$1:$D$1,0),1)))*22.0462)*(L1026/16.67),""))</f>
        <v>4532.4976988602275</v>
      </c>
      <c r="U1026" s="10"/>
      <c r="V1026" s="9" t="str">
        <f t="shared" si="96"/>
        <v/>
      </c>
      <c r="W1026" s="10">
        <v>45732</v>
      </c>
      <c r="X1026" s="9" t="str">
        <f t="shared" si="97"/>
        <v>Approved</v>
      </c>
      <c r="Y1026" s="10">
        <v>45773</v>
      </c>
      <c r="Z1026" s="10">
        <f>IF($H1026="Cancelled","",IFERROR(IF(F1026="","",F1026-Variables!$B$13),""))</f>
        <v>45762</v>
      </c>
      <c r="AA1026" s="11">
        <f>IF($H1026="Cancelled","",IFERROR(IF(W1026="","",(AVERAGE(E1026:F1026)-W1026)-Variables!$B$14),""))</f>
        <v>0.5</v>
      </c>
      <c r="AB1026" s="10">
        <v>45785</v>
      </c>
      <c r="AC1026" s="11">
        <f>IF($H1026="Cancelled","",IFERROR(IF(AB1026="","",IF(AND(W1026="",Y1026=""),"",IF(Y1026&gt;W1026,Y1026+Variables!$B$15+Variables!$B$16+Variables!$B$17-AB1026,W1026+Variables!$B$16+Variables!$B$17-AB1026))),""))</f>
        <v>3</v>
      </c>
      <c r="AD1026" s="9" t="s">
        <v>163</v>
      </c>
      <c r="AE1026" s="9" t="s">
        <v>598</v>
      </c>
      <c r="AF1026" s="10"/>
      <c r="AG1026" s="10"/>
      <c r="AH1026" s="9"/>
      <c r="AI1026" s="9">
        <v>253545561</v>
      </c>
      <c r="AJ1026" s="9" t="s">
        <v>1060</v>
      </c>
      <c r="AK1026" s="10">
        <v>45792</v>
      </c>
      <c r="AL1026" s="10">
        <v>45805</v>
      </c>
      <c r="AM1026" s="10">
        <v>45807</v>
      </c>
      <c r="AN1026" s="9" t="s">
        <v>1492</v>
      </c>
      <c r="AO1026" s="9"/>
      <c r="AP1026" s="11">
        <f>IF($H1026="Cancelled","",IFERROR(IF(OR(AK1026="",AB1026=""),"",(AB1026+Variables!$B$18-AK1026)),""))</f>
        <v>0</v>
      </c>
      <c r="AQ1026" s="11">
        <f>IF($H1026="Cancelled","",IFERROR(IF(OR(AM1026="",AK1026=""),"",(AK1026+Variables!$B$19)-AM1026),""))</f>
        <v>-10</v>
      </c>
      <c r="AR1026" s="12">
        <f>IF($H1026="Cancelled","",IFERROR(T1026*INDEX(Variables!$B$7:$D$7,IFERROR(MATCH(IF($B1026="Robusta","Robusta",(IF($B1026="","Arabica",$B1026))&amp;" - "&amp;(IF($C1026="","Commercial",$C1026))),Variables!$B$1:$D$1,0),1))*(AQ1026/365),""))</f>
        <v>-8.0072718662313687</v>
      </c>
      <c r="AS1026" s="12">
        <f>IF($H1026="Cancelled","",IFERROR((T1026*INDEX(Variables!$B$7:$D$7,IFERROR(MATCH(IF($B1026="Robusta","Robusta",(IF($B1026="","Arabica",$B1026))&amp;" - "&amp;(IF($C1026="","Commercial",$C1026))),Variables!$B$1:$D$1,0),1))*IFERROR(IF(W1026="","",(AVERAGE(E1026:F1026)-W1026)-Variables!$B$14),"")/365)+(L1026/16.67*INDEX(Variables!$B$8:$D$8,IFERROR(MATCH(IF($B1026="Robusta","Robusta",(IF($B1026="","Arabica",$B1026))&amp;" - "&amp;(IF($C1026="","Commercial",$C1026))),Variables!$B$1:$D$1,0),1))*IFERROR(IF(W1026="","",(AVERAGE(E1026:F1026)-W1026)-Variables!$B$14),""))+(T1026*INDEX(Variables!$B$9:$D$9,IFERROR(MATCH(IF($B1026="Robusta","Robusta",(IF($B1026="","Arabica",$B1026))&amp;" - "&amp;(IF($C1026="","Commercial",$C1026))),Variables!$B$1:$D$1,0),1))*IFERROR(IF(W1026="","",(AVERAGE(E1026:F1026)-W1026)-Variables!$B$14),"")/365),""))</f>
        <v>0.63052505267740744</v>
      </c>
      <c r="AT1026" s="12">
        <f>IF($H1026="Cancelled","",IFERROR((T1026*INDEX(Variables!$B$7:$D$7,IFERROR(MATCH(IF($B1026="Robusta","Robusta",(IF($B1026="","Arabica",$B1026))&amp;" - "&amp;(IF($C1026="","Commercial",$C1026))),Variables!$B$1:$D$1,0),1))*AC1026/365)+(L1026/16.67*INDEX(Variables!$B$8:$D$8,IFERROR(MATCH(IF($B1026="Robusta","Robusta",(IF($B1026="","Arabica",$B1026))&amp;" - "&amp;(IF($C1026="","Commercial",$C1026))),Variables!$B$1:$D$1,0),1))*AC1026)+(T1026*INDEX(Variables!$B$9:$D$9,IFERROR(MATCH(IF($B1026="Robusta","Robusta",(IF($B1026="","Arabica",$B1026))&amp;" - "&amp;(IF($C1026="","Commercial",$C1026))),Variables!$B$1:$D$1,0),1))*AC1026/365),""))</f>
        <v>3.7831503160644453</v>
      </c>
      <c r="AU1026" s="12">
        <f>IF($H1026="Cancelled","",IFERROR((T1026*INDEX(Variables!$B$7:$D$7,IFERROR(MATCH(IF($B1026="Robusta","Robusta",(IF($B1026="","Arabica",$B1026))&amp;" - "&amp;(IF($C1026="","Commercial",$C1026))),Variables!$B$1:$D$1,0),1))*AP1026/365)+(L1026/16.67*INDEX(Variables!$B$8:$D$8,IFERROR(MATCH(IF($B1026="Robusta","Robusta",(IF($B1026="","Arabica",$B1026))&amp;" - "&amp;(IF($C1026="","Commercial",$C1026))),Variables!$B$1:$D$1,0),1))*AP1026)+(T1026*INDEX(Variables!$B$9:$D$9,IFERROR(MATCH(IF($B1026="Robusta","Robusta",(IF($B1026="","Arabica",$B1026))&amp;" - "&amp;(IF($C1026="","Commercial",$C1026))),Variables!$B$1:$D$1,0),1))*AP1026/365),""))</f>
        <v>0</v>
      </c>
      <c r="AV1026" s="11">
        <f t="shared" ref="AV1026:AV1089" si="100">IF($H1026="Cancelled","",IFERROR(IF(AK1026="","",F1026-AK1026),""))</f>
        <v>-15</v>
      </c>
      <c r="AW1026" s="12">
        <f>IF($H1026="Cancelled","",IFERROR(IF(AV1026="","",(T1026*INDEX(Variables!$B$7:$D$7,IFERROR(MATCH(IF($B1026="Robusta","Robusta",(IF($B1026="","Arabica",$B1026))&amp;" - "&amp;(IF($C1026="","Commercial",$C1026))),Variables!$B$1:$D$1,0),1))*(AV1026/365))+(T1026*INDEX(Variables!$B$9:$D$9,IFERROR(MATCH(IF($B1026="Robusta","Robusta",(IF($B1026="","Arabica",$B1026))&amp;" - "&amp;(IF($C1026="","Commercial",$C1026))),Variables!$B$1:$D$1,0),1))*(AV1026/365))+(INDEX(Variables!$B$8:$D$8,IFERROR(MATCH(IF($B1026="Robusta","Robusta",(IF($B1026="","Arabica",$B1026))&amp;" - "&amp;(IF($C1026="","Commercial",$C1026))),Variables!$B$1:$D$1,0),1))*L1026/16.67)),""))</f>
        <v>-11.715751580322227</v>
      </c>
      <c r="AX1026" s="9"/>
      <c r="AY1026" s="12"/>
      <c r="AZ1026" s="10"/>
      <c r="BA1026" s="9"/>
      <c r="BB1026" s="10"/>
      <c r="BC1026" s="9"/>
      <c r="BD1026" s="9"/>
      <c r="BE1026" s="9"/>
      <c r="BF1026" s="9"/>
    </row>
    <row r="1027" spans="1:58" x14ac:dyDescent="0.25">
      <c r="A1027" s="9" t="s">
        <v>84</v>
      </c>
      <c r="B1027" s="9" t="s">
        <v>85</v>
      </c>
      <c r="C1027" s="9" t="s">
        <v>1486</v>
      </c>
      <c r="D1027" s="10">
        <v>45722</v>
      </c>
      <c r="E1027" s="10">
        <v>45748</v>
      </c>
      <c r="F1027" s="10">
        <v>45777</v>
      </c>
      <c r="G1027" s="9">
        <v>3786773</v>
      </c>
      <c r="H1027" s="9" t="str">
        <f t="shared" si="98"/>
        <v>Closed</v>
      </c>
      <c r="I1027" s="9" t="str">
        <f t="shared" si="99"/>
        <v>All dates received</v>
      </c>
      <c r="J1027" s="9" t="s">
        <v>225</v>
      </c>
      <c r="K1027" s="9" t="s">
        <v>2197</v>
      </c>
      <c r="L1027" s="11">
        <v>9</v>
      </c>
      <c r="M1027" s="9" t="s">
        <v>2198</v>
      </c>
      <c r="N1027" s="9"/>
      <c r="O1027" s="9"/>
      <c r="P1027" s="9"/>
      <c r="Q1027" s="11">
        <v>114</v>
      </c>
      <c r="R1027" s="9" t="s">
        <v>195</v>
      </c>
      <c r="S1027" s="9" t="s">
        <v>228</v>
      </c>
      <c r="T1027" s="12">
        <f>IF($H1027="Cancelled","",IFERROR(((Q1027+INDEX(Variables!$B$6:$D$6,IFERROR(MATCH(IF($B1027="Robusta","Robusta",(IF($B1027="","Arabica",$B1027))&amp;" - "&amp;(IF($C1027="","Commercial",$C1027))),Variables!$B$1:$D$1,0),1)))*22.0462)*(L1027/16.67),""))</f>
        <v>4818.1593185362926</v>
      </c>
      <c r="U1027" s="10"/>
      <c r="V1027" s="9" t="str">
        <f t="shared" si="96"/>
        <v/>
      </c>
      <c r="W1027" s="10">
        <v>45732</v>
      </c>
      <c r="X1027" s="9" t="str">
        <f t="shared" si="97"/>
        <v>Approved</v>
      </c>
      <c r="Y1027" s="10">
        <v>45773</v>
      </c>
      <c r="Z1027" s="10">
        <f>IF($H1027="Cancelled","",IFERROR(IF(F1027="","",F1027-Variables!$B$13),""))</f>
        <v>45762</v>
      </c>
      <c r="AA1027" s="11">
        <f>IF($H1027="Cancelled","",IFERROR(IF(W1027="","",(AVERAGE(E1027:F1027)-W1027)-Variables!$B$14),""))</f>
        <v>0.5</v>
      </c>
      <c r="AB1027" s="10">
        <v>45785</v>
      </c>
      <c r="AC1027" s="11">
        <f>IF($H1027="Cancelled","",IFERROR(IF(AB1027="","",IF(AND(W1027="",Y1027=""),"",IF(Y1027&gt;W1027,Y1027+Variables!$B$15+Variables!$B$16+Variables!$B$17-AB1027,W1027+Variables!$B$16+Variables!$B$17-AB1027))),""))</f>
        <v>3</v>
      </c>
      <c r="AD1027" s="9" t="s">
        <v>163</v>
      </c>
      <c r="AE1027" s="9" t="s">
        <v>598</v>
      </c>
      <c r="AF1027" s="10"/>
      <c r="AG1027" s="10"/>
      <c r="AH1027" s="9"/>
      <c r="AI1027" s="9">
        <v>253545561</v>
      </c>
      <c r="AJ1027" s="9" t="s">
        <v>1060</v>
      </c>
      <c r="AK1027" s="10">
        <v>45792</v>
      </c>
      <c r="AL1027" s="10">
        <v>45805</v>
      </c>
      <c r="AM1027" s="10">
        <v>45807</v>
      </c>
      <c r="AN1027" s="9" t="s">
        <v>1492</v>
      </c>
      <c r="AO1027" s="9"/>
      <c r="AP1027" s="11">
        <f>IF($H1027="Cancelled","",IFERROR(IF(OR(AK1027="",AB1027=""),"",(AB1027+Variables!$B$18-AK1027)),""))</f>
        <v>0</v>
      </c>
      <c r="AQ1027" s="11">
        <f>IF($H1027="Cancelled","",IFERROR(IF(OR(AM1027="",AK1027=""),"",(AK1027+Variables!$B$19)-AM1027),""))</f>
        <v>-10</v>
      </c>
      <c r="AR1027" s="12">
        <f>IF($H1027="Cancelled","",IFERROR(T1027*INDEX(Variables!$B$7:$D$7,IFERROR(MATCH(IF($B1027="Robusta","Robusta",(IF($B1027="","Arabica",$B1027))&amp;" - "&amp;(IF($C1027="","Commercial",$C1027))),Variables!$B$1:$D$1,0),1))*(AQ1027/365),""))</f>
        <v>-8.5119318578005725</v>
      </c>
      <c r="AS1027" s="12">
        <f>IF($H1027="Cancelled","",IFERROR((T1027*INDEX(Variables!$B$7:$D$7,IFERROR(MATCH(IF($B1027="Robusta","Robusta",(IF($B1027="","Arabica",$B1027))&amp;" - "&amp;(IF($C1027="","Commercial",$C1027))),Variables!$B$1:$D$1,0),1))*IFERROR(IF(W1027="","",(AVERAGE(E1027:F1027)-W1027)-Variables!$B$14),"")/365)+(L1027/16.67*INDEX(Variables!$B$8:$D$8,IFERROR(MATCH(IF($B1027="Robusta","Robusta",(IF($B1027="","Arabica",$B1027))&amp;" - "&amp;(IF($C1027="","Commercial",$C1027))),Variables!$B$1:$D$1,0),1))*IFERROR(IF(W1027="","",(AVERAGE(E1027:F1027)-W1027)-Variables!$B$14),""))+(T1027*INDEX(Variables!$B$9:$D$9,IFERROR(MATCH(IF($B1027="Robusta","Robusta",(IF($B1027="","Arabica",$B1027))&amp;" - "&amp;(IF($C1027="","Commercial",$C1027))),Variables!$B$1:$D$1,0),1))*IFERROR(IF(W1027="","",(AVERAGE(E1027:F1027)-W1027)-Variables!$B$14),"")/365),""))</f>
        <v>0.65608335431673992</v>
      </c>
      <c r="AT1027" s="12">
        <f>IF($H1027="Cancelled","",IFERROR((T1027*INDEX(Variables!$B$7:$D$7,IFERROR(MATCH(IF($B1027="Robusta","Robusta",(IF($B1027="","Arabica",$B1027))&amp;" - "&amp;(IF($C1027="","Commercial",$C1027))),Variables!$B$1:$D$1,0),1))*AC1027/365)+(L1027/16.67*INDEX(Variables!$B$8:$D$8,IFERROR(MATCH(IF($B1027="Robusta","Robusta",(IF($B1027="","Arabica",$B1027))&amp;" - "&amp;(IF($C1027="","Commercial",$C1027))),Variables!$B$1:$D$1,0),1))*AC1027)+(T1027*INDEX(Variables!$B$9:$D$9,IFERROR(MATCH(IF($B1027="Robusta","Robusta",(IF($B1027="","Arabica",$B1027))&amp;" - "&amp;(IF($C1027="","Commercial",$C1027))),Variables!$B$1:$D$1,0),1))*AC1027/365),""))</f>
        <v>3.93650012590044</v>
      </c>
      <c r="AU1027" s="12">
        <f>IF($H1027="Cancelled","",IFERROR((T1027*INDEX(Variables!$B$7:$D$7,IFERROR(MATCH(IF($B1027="Robusta","Robusta",(IF($B1027="","Arabica",$B1027))&amp;" - "&amp;(IF($C1027="","Commercial",$C1027))),Variables!$B$1:$D$1,0),1))*AP1027/365)+(L1027/16.67*INDEX(Variables!$B$8:$D$8,IFERROR(MATCH(IF($B1027="Robusta","Robusta",(IF($B1027="","Arabica",$B1027))&amp;" - "&amp;(IF($C1027="","Commercial",$C1027))),Variables!$B$1:$D$1,0),1))*AP1027)+(T1027*INDEX(Variables!$B$9:$D$9,IFERROR(MATCH(IF($B1027="Robusta","Robusta",(IF($B1027="","Arabica",$B1027))&amp;" - "&amp;(IF($C1027="","Commercial",$C1027))),Variables!$B$1:$D$1,0),1))*AP1027/365),""))</f>
        <v>0</v>
      </c>
      <c r="AV1027" s="11">
        <f t="shared" si="100"/>
        <v>-15</v>
      </c>
      <c r="AW1027" s="12">
        <f>IF($H1027="Cancelled","",IFERROR(IF(AV1027="","",(T1027*INDEX(Variables!$B$7:$D$7,IFERROR(MATCH(IF($B1027="Robusta","Robusta",(IF($B1027="","Arabica",$B1027))&amp;" - "&amp;(IF($C1027="","Commercial",$C1027))),Variables!$B$1:$D$1,0),1))*(AV1027/365))+(T1027*INDEX(Variables!$B$9:$D$9,IFERROR(MATCH(IF($B1027="Robusta","Robusta",(IF($B1027="","Arabica",$B1027))&amp;" - "&amp;(IF($C1027="","Commercial",$C1027))),Variables!$B$1:$D$1,0),1))*(AV1027/365))+(INDEX(Variables!$B$8:$D$8,IFERROR(MATCH(IF($B1027="Robusta","Robusta",(IF($B1027="","Arabica",$B1027))&amp;" - "&amp;(IF($C1027="","Commercial",$C1027))),Variables!$B$1:$D$1,0),1))*L1027/16.67)),""))</f>
        <v>-12.482500629502198</v>
      </c>
      <c r="AX1027" s="9"/>
      <c r="AY1027" s="12"/>
      <c r="AZ1027" s="10"/>
      <c r="BA1027" s="9"/>
      <c r="BB1027" s="10"/>
      <c r="BC1027" s="9"/>
      <c r="BD1027" s="9"/>
      <c r="BE1027" s="9"/>
      <c r="BF1027" s="9"/>
    </row>
    <row r="1028" spans="1:58" x14ac:dyDescent="0.25">
      <c r="A1028" s="9" t="s">
        <v>84</v>
      </c>
      <c r="B1028" s="9" t="s">
        <v>85</v>
      </c>
      <c r="C1028" s="9" t="s">
        <v>1486</v>
      </c>
      <c r="D1028" s="10">
        <v>45722</v>
      </c>
      <c r="E1028" s="10">
        <v>45748</v>
      </c>
      <c r="F1028" s="10">
        <v>45777</v>
      </c>
      <c r="G1028" s="9">
        <v>3786774</v>
      </c>
      <c r="H1028" s="9" t="str">
        <f t="shared" si="98"/>
        <v>Closed</v>
      </c>
      <c r="I1028" s="9" t="str">
        <f t="shared" si="99"/>
        <v>All dates received</v>
      </c>
      <c r="J1028" s="9" t="s">
        <v>225</v>
      </c>
      <c r="K1028" s="9" t="s">
        <v>2199</v>
      </c>
      <c r="L1028" s="11">
        <v>10</v>
      </c>
      <c r="M1028" s="9" t="s">
        <v>2200</v>
      </c>
      <c r="N1028" s="9"/>
      <c r="O1028" s="9"/>
      <c r="P1028" s="9"/>
      <c r="Q1028" s="11">
        <v>72</v>
      </c>
      <c r="R1028" s="9" t="s">
        <v>195</v>
      </c>
      <c r="S1028" s="9" t="s">
        <v>228</v>
      </c>
      <c r="T1028" s="12">
        <f>IF($H1028="Cancelled","",IFERROR(((Q1028+INDEX(Variables!$B$6:$D$6,IFERROR(MATCH(IF($B1028="Robusta","Robusta",(IF($B1028="","Arabica",$B1028))&amp;" - "&amp;(IF($C1028="","Commercial",$C1028))),Variables!$B$1:$D$1,0),1)))*22.0462)*(L1028/16.67),""))</f>
        <v>4798.0572045590879</v>
      </c>
      <c r="U1028" s="10"/>
      <c r="V1028" s="9" t="str">
        <f t="shared" ref="V1028:V1081" si="101">IF(ISNUMBER(U1028),"Sent","")</f>
        <v/>
      </c>
      <c r="W1028" s="10">
        <v>45732</v>
      </c>
      <c r="X1028" s="9" t="str">
        <f t="shared" si="97"/>
        <v>Approved</v>
      </c>
      <c r="Y1028" s="10">
        <v>45773</v>
      </c>
      <c r="Z1028" s="10">
        <f>IF($H1028="Cancelled","",IFERROR(IF(F1028="","",F1028-Variables!$B$13),""))</f>
        <v>45762</v>
      </c>
      <c r="AA1028" s="11">
        <f>IF($H1028="Cancelled","",IFERROR(IF(W1028="","",(AVERAGE(E1028:F1028)-W1028)-Variables!$B$14),""))</f>
        <v>0.5</v>
      </c>
      <c r="AB1028" s="10">
        <v>45785</v>
      </c>
      <c r="AC1028" s="11">
        <f>IF($H1028="Cancelled","",IFERROR(IF(AB1028="","",IF(AND(W1028="",Y1028=""),"",IF(Y1028&gt;W1028,Y1028+Variables!$B$15+Variables!$B$16+Variables!$B$17-AB1028,W1028+Variables!$B$16+Variables!$B$17-AB1028))),""))</f>
        <v>3</v>
      </c>
      <c r="AD1028" s="9" t="s">
        <v>163</v>
      </c>
      <c r="AE1028" s="9" t="s">
        <v>598</v>
      </c>
      <c r="AF1028" s="10"/>
      <c r="AG1028" s="10"/>
      <c r="AH1028" s="9"/>
      <c r="AI1028" s="9">
        <v>253545561</v>
      </c>
      <c r="AJ1028" s="9" t="s">
        <v>1060</v>
      </c>
      <c r="AK1028" s="10">
        <v>45792</v>
      </c>
      <c r="AL1028" s="10">
        <v>45805</v>
      </c>
      <c r="AM1028" s="10">
        <v>45807</v>
      </c>
      <c r="AN1028" s="9" t="s">
        <v>1492</v>
      </c>
      <c r="AO1028" s="9"/>
      <c r="AP1028" s="11">
        <f>IF($H1028="Cancelled","",IFERROR(IF(OR(AK1028="",AB1028=""),"",(AB1028+Variables!$B$18-AK1028)),""))</f>
        <v>0</v>
      </c>
      <c r="AQ1028" s="11">
        <f>IF($H1028="Cancelled","",IFERROR(IF(OR(AM1028="",AK1028=""),"",(AK1028+Variables!$B$19)-AM1028),""))</f>
        <v>-10</v>
      </c>
      <c r="AR1028" s="12">
        <f>IF($H1028="Cancelled","",IFERROR(T1028*INDEX(Variables!$B$7:$D$7,IFERROR(MATCH(IF($B1028="Robusta","Robusta",(IF($B1028="","Arabica",$B1028))&amp;" - "&amp;(IF($C1028="","Commercial",$C1028))),Variables!$B$1:$D$1,0),1))*(AQ1028/365),""))</f>
        <v>-8.4764187472827413</v>
      </c>
      <c r="AS1028" s="12">
        <f>IF($H1028="Cancelled","",IFERROR((T1028*INDEX(Variables!$B$7:$D$7,IFERROR(MATCH(IF($B1028="Robusta","Robusta",(IF($B1028="","Arabica",$B1028))&amp;" - "&amp;(IF($C1028="","Commercial",$C1028))),Variables!$B$1:$D$1,0),1))*IFERROR(IF(W1028="","",(AVERAGE(E1028:F1028)-W1028)-Variables!$B$14),"")/365)+(L1028/16.67*INDEX(Variables!$B$8:$D$8,IFERROR(MATCH(IF($B1028="Robusta","Robusta",(IF($B1028="","Arabica",$B1028))&amp;" - "&amp;(IF($C1028="","Commercial",$C1028))),Variables!$B$1:$D$1,0),1))*IFERROR(IF(W1028="","",(AVERAGE(E1028:F1028)-W1028)-Variables!$B$14),""))+(T1028*INDEX(Variables!$B$9:$D$9,IFERROR(MATCH(IF($B1028="Robusta","Robusta",(IF($B1028="","Arabica",$B1028))&amp;" - "&amp;(IF($C1028="","Commercial",$C1028))),Variables!$B$1:$D$1,0),1))*IFERROR(IF(W1028="","",(AVERAGE(E1028:F1028)-W1028)-Variables!$B$14),"")/365),""))</f>
        <v>0.67928480716434247</v>
      </c>
      <c r="AT1028" s="12">
        <f>IF($H1028="Cancelled","",IFERROR((T1028*INDEX(Variables!$B$7:$D$7,IFERROR(MATCH(IF($B1028="Robusta","Robusta",(IF($B1028="","Arabica",$B1028))&amp;" - "&amp;(IF($C1028="","Commercial",$C1028))),Variables!$B$1:$D$1,0),1))*AC1028/365)+(L1028/16.67*INDEX(Variables!$B$8:$D$8,IFERROR(MATCH(IF($B1028="Robusta","Robusta",(IF($B1028="","Arabica",$B1028))&amp;" - "&amp;(IF($C1028="","Commercial",$C1028))),Variables!$B$1:$D$1,0),1))*AC1028)+(T1028*INDEX(Variables!$B$9:$D$9,IFERROR(MATCH(IF($B1028="Robusta","Robusta",(IF($B1028="","Arabica",$B1028))&amp;" - "&amp;(IF($C1028="","Commercial",$C1028))),Variables!$B$1:$D$1,0),1))*AC1028/365),""))</f>
        <v>4.0757088429860548</v>
      </c>
      <c r="AU1028" s="12">
        <f>IF($H1028="Cancelled","",IFERROR((T1028*INDEX(Variables!$B$7:$D$7,IFERROR(MATCH(IF($B1028="Robusta","Robusta",(IF($B1028="","Arabica",$B1028))&amp;" - "&amp;(IF($C1028="","Commercial",$C1028))),Variables!$B$1:$D$1,0),1))*AP1028/365)+(L1028/16.67*INDEX(Variables!$B$8:$D$8,IFERROR(MATCH(IF($B1028="Robusta","Robusta",(IF($B1028="","Arabica",$B1028))&amp;" - "&amp;(IF($C1028="","Commercial",$C1028))),Variables!$B$1:$D$1,0),1))*AP1028)+(T1028*INDEX(Variables!$B$9:$D$9,IFERROR(MATCH(IF($B1028="Robusta","Robusta",(IF($B1028="","Arabica",$B1028))&amp;" - "&amp;(IF($C1028="","Commercial",$C1028))),Variables!$B$1:$D$1,0),1))*AP1028/365),""))</f>
        <v>0</v>
      </c>
      <c r="AV1028" s="11">
        <f t="shared" si="100"/>
        <v>-15</v>
      </c>
      <c r="AW1028" s="12">
        <f>IF($H1028="Cancelled","",IFERROR(IF(AV1028="","",(T1028*INDEX(Variables!$B$7:$D$7,IFERROR(MATCH(IF($B1028="Robusta","Robusta",(IF($B1028="","Arabica",$B1028))&amp;" - "&amp;(IF($C1028="","Commercial",$C1028))),Variables!$B$1:$D$1,0),1))*(AV1028/365))+(T1028*INDEX(Variables!$B$9:$D$9,IFERROR(MATCH(IF($B1028="Robusta","Robusta",(IF($B1028="","Arabica",$B1028))&amp;" - "&amp;(IF($C1028="","Commercial",$C1028))),Variables!$B$1:$D$1,0),1))*(AV1028/365))+(INDEX(Variables!$B$8:$D$8,IFERROR(MATCH(IF($B1028="Robusta","Robusta",(IF($B1028="","Arabica",$B1028))&amp;" - "&amp;(IF($C1028="","Commercial",$C1028))),Variables!$B$1:$D$1,0),1))*L1028/16.67)),""))</f>
        <v>-12.378544214930274</v>
      </c>
      <c r="AX1028" s="9"/>
      <c r="AY1028" s="12"/>
      <c r="AZ1028" s="10"/>
      <c r="BA1028" s="9"/>
      <c r="BB1028" s="10"/>
      <c r="BC1028" s="9"/>
      <c r="BD1028" s="9"/>
      <c r="BE1028" s="9"/>
      <c r="BF1028" s="9"/>
    </row>
    <row r="1029" spans="1:58" x14ac:dyDescent="0.25">
      <c r="A1029" s="9" t="s">
        <v>84</v>
      </c>
      <c r="B1029" s="9" t="s">
        <v>85</v>
      </c>
      <c r="C1029" s="9" t="s">
        <v>1486</v>
      </c>
      <c r="D1029" s="10">
        <v>45722</v>
      </c>
      <c r="E1029" s="10">
        <v>45748</v>
      </c>
      <c r="F1029" s="10">
        <v>45777</v>
      </c>
      <c r="G1029" s="9">
        <v>3786775</v>
      </c>
      <c r="H1029" s="9" t="str">
        <f t="shared" si="98"/>
        <v>Closed</v>
      </c>
      <c r="I1029" s="9" t="str">
        <f t="shared" si="99"/>
        <v>All dates received</v>
      </c>
      <c r="J1029" s="9" t="s">
        <v>225</v>
      </c>
      <c r="K1029" s="9" t="s">
        <v>2201</v>
      </c>
      <c r="L1029" s="11">
        <v>8</v>
      </c>
      <c r="M1029" s="9" t="s">
        <v>2202</v>
      </c>
      <c r="N1029" s="9"/>
      <c r="O1029" s="9"/>
      <c r="P1029" s="9"/>
      <c r="Q1029" s="11">
        <v>116</v>
      </c>
      <c r="R1029" s="9" t="s">
        <v>195</v>
      </c>
      <c r="S1029" s="9" t="s">
        <v>228</v>
      </c>
      <c r="T1029" s="12">
        <f>IF($H1029="Cancelled","",IFERROR(((Q1029+INDEX(Variables!$B$6:$D$6,IFERROR(MATCH(IF($B1029="Robusta","Robusta",(IF($B1029="","Arabica",$B1029))&amp;" - "&amp;(IF($C1029="","Commercial",$C1029))),Variables!$B$1:$D$1,0),1)))*22.0462)*(L1029/16.67),""))</f>
        <v>4303.9684031193756</v>
      </c>
      <c r="U1029" s="10"/>
      <c r="V1029" s="9" t="str">
        <f t="shared" si="101"/>
        <v/>
      </c>
      <c r="W1029" s="10">
        <v>45732</v>
      </c>
      <c r="X1029" s="9" t="str">
        <f t="shared" si="97"/>
        <v>Approved</v>
      </c>
      <c r="Y1029" s="10">
        <v>45773</v>
      </c>
      <c r="Z1029" s="10">
        <f>IF($H1029="Cancelled","",IFERROR(IF(F1029="","",F1029-Variables!$B$13),""))</f>
        <v>45762</v>
      </c>
      <c r="AA1029" s="11">
        <f>IF($H1029="Cancelled","",IFERROR(IF(W1029="","",(AVERAGE(E1029:F1029)-W1029)-Variables!$B$14),""))</f>
        <v>0.5</v>
      </c>
      <c r="AB1029" s="10">
        <v>45785</v>
      </c>
      <c r="AC1029" s="11">
        <f>IF($H1029="Cancelled","",IFERROR(IF(AB1029="","",IF(AND(W1029="",Y1029=""),"",IF(Y1029&gt;W1029,Y1029+Variables!$B$15+Variables!$B$16+Variables!$B$17-AB1029,W1029+Variables!$B$16+Variables!$B$17-AB1029))),""))</f>
        <v>3</v>
      </c>
      <c r="AD1029" s="9" t="s">
        <v>163</v>
      </c>
      <c r="AE1029" s="9" t="s">
        <v>598</v>
      </c>
      <c r="AF1029" s="10"/>
      <c r="AG1029" s="10"/>
      <c r="AH1029" s="9"/>
      <c r="AI1029" s="9">
        <v>253545561</v>
      </c>
      <c r="AJ1029" s="9" t="s">
        <v>1060</v>
      </c>
      <c r="AK1029" s="10">
        <v>45792</v>
      </c>
      <c r="AL1029" s="10">
        <v>45805</v>
      </c>
      <c r="AM1029" s="10">
        <v>45807</v>
      </c>
      <c r="AN1029" s="9" t="s">
        <v>1492</v>
      </c>
      <c r="AO1029" s="9"/>
      <c r="AP1029" s="11">
        <f>IF($H1029="Cancelled","",IFERROR(IF(OR(AK1029="",AB1029=""),"",(AB1029+Variables!$B$18-AK1029)),""))</f>
        <v>0</v>
      </c>
      <c r="AQ1029" s="11">
        <f>IF($H1029="Cancelled","",IFERROR(IF(OR(AM1029="",AK1029=""),"",(AK1029+Variables!$B$19)-AM1029),""))</f>
        <v>-10</v>
      </c>
      <c r="AR1029" s="12">
        <f>IF($H1029="Cancelled","",IFERROR(T1029*INDEX(Variables!$B$7:$D$7,IFERROR(MATCH(IF($B1029="Robusta","Robusta",(IF($B1029="","Arabica",$B1029))&amp;" - "&amp;(IF($C1029="","Commercial",$C1029))),Variables!$B$1:$D$1,0),1))*(AQ1029/365),""))</f>
        <v>-7.6035438729760045</v>
      </c>
      <c r="AS1029" s="12">
        <f>IF($H1029="Cancelled","",IFERROR((T1029*INDEX(Variables!$B$7:$D$7,IFERROR(MATCH(IF($B1029="Robusta","Robusta",(IF($B1029="","Arabica",$B1029))&amp;" - "&amp;(IF($C1029="","Commercial",$C1029))),Variables!$B$1:$D$1,0),1))*IFERROR(IF(W1029="","",(AVERAGE(E1029:F1029)-W1029)-Variables!$B$14),"")/365)+(L1029/16.67*INDEX(Variables!$B$8:$D$8,IFERROR(MATCH(IF($B1029="Robusta","Robusta",(IF($B1029="","Arabica",$B1029))&amp;" - "&amp;(IF($C1029="","Commercial",$C1029))),Variables!$B$1:$D$1,0),1))*IFERROR(IF(W1029="","",(AVERAGE(E1029:F1029)-W1029)-Variables!$B$14),""))+(T1029*INDEX(Variables!$B$9:$D$9,IFERROR(MATCH(IF($B1029="Robusta","Robusta",(IF($B1029="","Arabica",$B1029))&amp;" - "&amp;(IF($C1029="","Commercial",$C1029))),Variables!$B$1:$D$1,0),1))*IFERROR(IF(W1029="","",(AVERAGE(E1029:F1029)-W1029)-Variables!$B$14),"")/365),""))</f>
        <v>0.58507841136594152</v>
      </c>
      <c r="AT1029" s="12">
        <f>IF($H1029="Cancelled","",IFERROR((T1029*INDEX(Variables!$B$7:$D$7,IFERROR(MATCH(IF($B1029="Robusta","Robusta",(IF($B1029="","Arabica",$B1029))&amp;" - "&amp;(IF($C1029="","Commercial",$C1029))),Variables!$B$1:$D$1,0),1))*AC1029/365)+(L1029/16.67*INDEX(Variables!$B$8:$D$8,IFERROR(MATCH(IF($B1029="Robusta","Robusta",(IF($B1029="","Arabica",$B1029))&amp;" - "&amp;(IF($C1029="","Commercial",$C1029))),Variables!$B$1:$D$1,0),1))*AC1029)+(T1029*INDEX(Variables!$B$9:$D$9,IFERROR(MATCH(IF($B1029="Robusta","Robusta",(IF($B1029="","Arabica",$B1029))&amp;" - "&amp;(IF($C1029="","Commercial",$C1029))),Variables!$B$1:$D$1,0),1))*AC1029/365),""))</f>
        <v>3.5104704681956491</v>
      </c>
      <c r="AU1029" s="12">
        <f>IF($H1029="Cancelled","",IFERROR((T1029*INDEX(Variables!$B$7:$D$7,IFERROR(MATCH(IF($B1029="Robusta","Robusta",(IF($B1029="","Arabica",$B1029))&amp;" - "&amp;(IF($C1029="","Commercial",$C1029))),Variables!$B$1:$D$1,0),1))*AP1029/365)+(L1029/16.67*INDEX(Variables!$B$8:$D$8,IFERROR(MATCH(IF($B1029="Robusta","Robusta",(IF($B1029="","Arabica",$B1029))&amp;" - "&amp;(IF($C1029="","Commercial",$C1029))),Variables!$B$1:$D$1,0),1))*AP1029)+(T1029*INDEX(Variables!$B$9:$D$9,IFERROR(MATCH(IF($B1029="Robusta","Robusta",(IF($B1029="","Arabica",$B1029))&amp;" - "&amp;(IF($C1029="","Commercial",$C1029))),Variables!$B$1:$D$1,0),1))*AP1029/365),""))</f>
        <v>0</v>
      </c>
      <c r="AV1029" s="11">
        <f t="shared" si="100"/>
        <v>-15</v>
      </c>
      <c r="AW1029" s="12">
        <f>IF($H1029="Cancelled","",IFERROR(IF(AV1029="","",(T1029*INDEX(Variables!$B$7:$D$7,IFERROR(MATCH(IF($B1029="Robusta","Robusta",(IF($B1029="","Arabica",$B1029))&amp;" - "&amp;(IF($C1029="","Commercial",$C1029))),Variables!$B$1:$D$1,0),1))*(AV1029/365))+(T1029*INDEX(Variables!$B$9:$D$9,IFERROR(MATCH(IF($B1029="Robusta","Robusta",(IF($B1029="","Arabica",$B1029))&amp;" - "&amp;(IF($C1029="","Commercial",$C1029))),Variables!$B$1:$D$1,0),1))*(AV1029/365))+(INDEX(Variables!$B$8:$D$8,IFERROR(MATCH(IF($B1029="Robusta","Robusta",(IF($B1029="","Arabica",$B1029))&amp;" - "&amp;(IF($C1029="","Commercial",$C1029))),Variables!$B$1:$D$1,0),1))*L1029/16.67)),""))</f>
        <v>-11.152352340978245</v>
      </c>
      <c r="AX1029" s="9"/>
      <c r="AY1029" s="12"/>
      <c r="AZ1029" s="10"/>
      <c r="BA1029" s="9"/>
      <c r="BB1029" s="10"/>
      <c r="BC1029" s="9"/>
      <c r="BD1029" s="9"/>
      <c r="BE1029" s="9"/>
      <c r="BF1029" s="9"/>
    </row>
    <row r="1030" spans="1:58" x14ac:dyDescent="0.25">
      <c r="A1030" s="9" t="s">
        <v>84</v>
      </c>
      <c r="B1030" s="9" t="s">
        <v>85</v>
      </c>
      <c r="C1030" s="9" t="s">
        <v>1486</v>
      </c>
      <c r="D1030" s="10">
        <v>45722</v>
      </c>
      <c r="E1030" s="10">
        <v>45748</v>
      </c>
      <c r="F1030" s="10">
        <v>45777</v>
      </c>
      <c r="G1030" s="9">
        <v>3786776</v>
      </c>
      <c r="H1030" s="9" t="str">
        <f t="shared" si="98"/>
        <v>Closed</v>
      </c>
      <c r="I1030" s="9" t="str">
        <f t="shared" si="99"/>
        <v>All dates received</v>
      </c>
      <c r="J1030" s="9" t="s">
        <v>225</v>
      </c>
      <c r="K1030" s="9" t="s">
        <v>2203</v>
      </c>
      <c r="L1030" s="11">
        <v>8</v>
      </c>
      <c r="M1030" s="9" t="s">
        <v>2204</v>
      </c>
      <c r="N1030" s="9"/>
      <c r="O1030" s="9"/>
      <c r="P1030" s="9"/>
      <c r="Q1030" s="11">
        <v>99</v>
      </c>
      <c r="R1030" s="9" t="s">
        <v>195</v>
      </c>
      <c r="S1030" s="9" t="s">
        <v>228</v>
      </c>
      <c r="T1030" s="12">
        <f>IF($H1030="Cancelled","",IFERROR(((Q1030+INDEX(Variables!$B$6:$D$6,IFERROR(MATCH(IF($B1030="Robusta","Robusta",(IF($B1030="","Arabica",$B1030))&amp;" - "&amp;(IF($C1030="","Commercial",$C1030))),Variables!$B$1:$D$1,0),1)))*22.0462)*(L1030/16.67),""))</f>
        <v>4124.107383323334</v>
      </c>
      <c r="U1030" s="10"/>
      <c r="V1030" s="9" t="str">
        <f t="shared" si="101"/>
        <v/>
      </c>
      <c r="W1030" s="10">
        <v>45732</v>
      </c>
      <c r="X1030" s="9" t="str">
        <f t="shared" si="97"/>
        <v>Approved</v>
      </c>
      <c r="Y1030" s="10">
        <v>45773</v>
      </c>
      <c r="Z1030" s="10">
        <f>IF($H1030="Cancelled","",IFERROR(IF(F1030="","",F1030-Variables!$B$13),""))</f>
        <v>45762</v>
      </c>
      <c r="AA1030" s="11">
        <f>IF($H1030="Cancelled","",IFERROR(IF(W1030="","",(AVERAGE(E1030:F1030)-W1030)-Variables!$B$14),""))</f>
        <v>0.5</v>
      </c>
      <c r="AB1030" s="10">
        <v>45785</v>
      </c>
      <c r="AC1030" s="11">
        <f>IF($H1030="Cancelled","",IFERROR(IF(AB1030="","",IF(AND(W1030="",Y1030=""),"",IF(Y1030&gt;W1030,Y1030+Variables!$B$15+Variables!$B$16+Variables!$B$17-AB1030,W1030+Variables!$B$16+Variables!$B$17-AB1030))),""))</f>
        <v>3</v>
      </c>
      <c r="AD1030" s="9" t="s">
        <v>163</v>
      </c>
      <c r="AE1030" s="9" t="s">
        <v>598</v>
      </c>
      <c r="AF1030" s="10"/>
      <c r="AG1030" s="10"/>
      <c r="AH1030" s="9"/>
      <c r="AI1030" s="9">
        <v>253545561</v>
      </c>
      <c r="AJ1030" s="9" t="s">
        <v>1060</v>
      </c>
      <c r="AK1030" s="10">
        <v>45792</v>
      </c>
      <c r="AL1030" s="10">
        <v>45805</v>
      </c>
      <c r="AM1030" s="10">
        <v>45807</v>
      </c>
      <c r="AN1030" s="9" t="s">
        <v>1492</v>
      </c>
      <c r="AO1030" s="9"/>
      <c r="AP1030" s="11">
        <f>IF($H1030="Cancelled","",IFERROR(IF(OR(AK1030="",AB1030=""),"",(AB1030+Variables!$B$18-AK1030)),""))</f>
        <v>0</v>
      </c>
      <c r="AQ1030" s="11">
        <f>IF($H1030="Cancelled","",IFERROR(IF(OR(AM1030="",AK1030=""),"",(AK1030+Variables!$B$19)-AM1030),""))</f>
        <v>-10</v>
      </c>
      <c r="AR1030" s="12">
        <f>IF($H1030="Cancelled","",IFERROR(T1030*INDEX(Variables!$B$7:$D$7,IFERROR(MATCH(IF($B1030="Robusta","Robusta",(IF($B1030="","Arabica",$B1030))&amp;" - "&amp;(IF($C1030="","Commercial",$C1030))),Variables!$B$1:$D$1,0),1))*(AQ1030/365),""))</f>
        <v>-7.2857949893953942</v>
      </c>
      <c r="AS1030" s="12">
        <f>IF($H1030="Cancelled","",IFERROR((T1030*INDEX(Variables!$B$7:$D$7,IFERROR(MATCH(IF($B1030="Robusta","Robusta",(IF($B1030="","Arabica",$B1030))&amp;" - "&amp;(IF($C1030="","Commercial",$C1030))),Variables!$B$1:$D$1,0),1))*IFERROR(IF(W1030="","",(AVERAGE(E1030:F1030)-W1030)-Variables!$B$14),"")/365)+(L1030/16.67*INDEX(Variables!$B$8:$D$8,IFERROR(MATCH(IF($B1030="Robusta","Robusta",(IF($B1030="","Arabica",$B1030))&amp;" - "&amp;(IF($C1030="","Commercial",$C1030))),Variables!$B$1:$D$1,0),1))*IFERROR(IF(W1030="","",(AVERAGE(E1030:F1030)-W1030)-Variables!$B$14),""))+(T1030*INDEX(Variables!$B$9:$D$9,IFERROR(MATCH(IF($B1030="Robusta","Robusta",(IF($B1030="","Arabica",$B1030))&amp;" - "&amp;(IF($C1030="","Commercial",$C1030))),Variables!$B$1:$D$1,0),1))*IFERROR(IF(W1030="","",(AVERAGE(E1030:F1030)-W1030)-Variables!$B$14),"")/365),""))</f>
        <v>0.56898614737080633</v>
      </c>
      <c r="AT1030" s="12">
        <f>IF($H1030="Cancelled","",IFERROR((T1030*INDEX(Variables!$B$7:$D$7,IFERROR(MATCH(IF($B1030="Robusta","Robusta",(IF($B1030="","Arabica",$B1030))&amp;" - "&amp;(IF($C1030="","Commercial",$C1030))),Variables!$B$1:$D$1,0),1))*AC1030/365)+(L1030/16.67*INDEX(Variables!$B$8:$D$8,IFERROR(MATCH(IF($B1030="Robusta","Robusta",(IF($B1030="","Arabica",$B1030))&amp;" - "&amp;(IF($C1030="","Commercial",$C1030))),Variables!$B$1:$D$1,0),1))*AC1030)+(T1030*INDEX(Variables!$B$9:$D$9,IFERROR(MATCH(IF($B1030="Robusta","Robusta",(IF($B1030="","Arabica",$B1030))&amp;" - "&amp;(IF($C1030="","Commercial",$C1030))),Variables!$B$1:$D$1,0),1))*AC1030/365),""))</f>
        <v>3.4139168842248373</v>
      </c>
      <c r="AU1030" s="12">
        <f>IF($H1030="Cancelled","",IFERROR((T1030*INDEX(Variables!$B$7:$D$7,IFERROR(MATCH(IF($B1030="Robusta","Robusta",(IF($B1030="","Arabica",$B1030))&amp;" - "&amp;(IF($C1030="","Commercial",$C1030))),Variables!$B$1:$D$1,0),1))*AP1030/365)+(L1030/16.67*INDEX(Variables!$B$8:$D$8,IFERROR(MATCH(IF($B1030="Robusta","Robusta",(IF($B1030="","Arabica",$B1030))&amp;" - "&amp;(IF($C1030="","Commercial",$C1030))),Variables!$B$1:$D$1,0),1))*AP1030)+(T1030*INDEX(Variables!$B$9:$D$9,IFERROR(MATCH(IF($B1030="Robusta","Robusta",(IF($B1030="","Arabica",$B1030))&amp;" - "&amp;(IF($C1030="","Commercial",$C1030))),Variables!$B$1:$D$1,0),1))*AP1030/365),""))</f>
        <v>0</v>
      </c>
      <c r="AV1030" s="11">
        <f t="shared" si="100"/>
        <v>-15</v>
      </c>
      <c r="AW1030" s="12">
        <f>IF($H1030="Cancelled","",IFERROR(IF(AV1030="","",(T1030*INDEX(Variables!$B$7:$D$7,IFERROR(MATCH(IF($B1030="Robusta","Robusta",(IF($B1030="","Arabica",$B1030))&amp;" - "&amp;(IF($C1030="","Commercial",$C1030))),Variables!$B$1:$D$1,0),1))*(AV1030/365))+(T1030*INDEX(Variables!$B$9:$D$9,IFERROR(MATCH(IF($B1030="Robusta","Robusta",(IF($B1030="","Arabica",$B1030))&amp;" - "&amp;(IF($C1030="","Commercial",$C1030))),Variables!$B$1:$D$1,0),1))*(AV1030/365))+(INDEX(Variables!$B$8:$D$8,IFERROR(MATCH(IF($B1030="Robusta","Robusta",(IF($B1030="","Arabica",$B1030))&amp;" - "&amp;(IF($C1030="","Commercial",$C1030))),Variables!$B$1:$D$1,0),1))*L1030/16.67)),""))</f>
        <v>-10.669584421124187</v>
      </c>
      <c r="AX1030" s="9"/>
      <c r="AY1030" s="12"/>
      <c r="AZ1030" s="10"/>
      <c r="BA1030" s="9"/>
      <c r="BB1030" s="10"/>
      <c r="BC1030" s="9"/>
      <c r="BD1030" s="9"/>
      <c r="BE1030" s="9"/>
      <c r="BF1030" s="9"/>
    </row>
    <row r="1031" spans="1:58" x14ac:dyDescent="0.25">
      <c r="A1031" s="9" t="s">
        <v>84</v>
      </c>
      <c r="B1031" s="9" t="s">
        <v>85</v>
      </c>
      <c r="C1031" s="9" t="s">
        <v>1486</v>
      </c>
      <c r="D1031" s="10">
        <v>45722</v>
      </c>
      <c r="E1031" s="10">
        <v>45748</v>
      </c>
      <c r="F1031" s="10">
        <v>45777</v>
      </c>
      <c r="G1031" s="9">
        <v>3786777</v>
      </c>
      <c r="H1031" s="9" t="str">
        <f t="shared" si="98"/>
        <v>Closed</v>
      </c>
      <c r="I1031" s="9" t="str">
        <f t="shared" si="99"/>
        <v>All dates received</v>
      </c>
      <c r="J1031" s="9" t="s">
        <v>225</v>
      </c>
      <c r="K1031" s="9" t="s">
        <v>2205</v>
      </c>
      <c r="L1031" s="11">
        <v>7</v>
      </c>
      <c r="M1031" s="9" t="s">
        <v>2206</v>
      </c>
      <c r="N1031" s="9"/>
      <c r="O1031" s="9"/>
      <c r="P1031" s="9"/>
      <c r="Q1031" s="11">
        <v>111</v>
      </c>
      <c r="R1031" s="9" t="s">
        <v>195</v>
      </c>
      <c r="S1031" s="9" t="s">
        <v>228</v>
      </c>
      <c r="T1031" s="12">
        <f>IF($H1031="Cancelled","",IFERROR(((Q1031+INDEX(Variables!$B$6:$D$6,IFERROR(MATCH(IF($B1031="Robusta","Robusta",(IF($B1031="","Arabica",$B1031))&amp;" - "&amp;(IF($C1031="","Commercial",$C1031))),Variables!$B$1:$D$1,0),1)))*22.0462)*(L1031/16.67),""))</f>
        <v>3719.6845902819432</v>
      </c>
      <c r="U1031" s="10"/>
      <c r="V1031" s="9" t="str">
        <f t="shared" si="101"/>
        <v/>
      </c>
      <c r="W1031" s="10">
        <v>45732</v>
      </c>
      <c r="X1031" s="9" t="str">
        <f t="shared" si="97"/>
        <v>Approved</v>
      </c>
      <c r="Y1031" s="10">
        <v>45773</v>
      </c>
      <c r="Z1031" s="10">
        <f>IF($H1031="Cancelled","",IFERROR(IF(F1031="","",F1031-Variables!$B$13),""))</f>
        <v>45762</v>
      </c>
      <c r="AA1031" s="11">
        <f>IF($H1031="Cancelled","",IFERROR(IF(W1031="","",(AVERAGE(E1031:F1031)-W1031)-Variables!$B$14),""))</f>
        <v>0.5</v>
      </c>
      <c r="AB1031" s="10">
        <v>45785</v>
      </c>
      <c r="AC1031" s="11">
        <f>IF($H1031="Cancelled","",IFERROR(IF(AB1031="","",IF(AND(W1031="",Y1031=""),"",IF(Y1031&gt;W1031,Y1031+Variables!$B$15+Variables!$B$16+Variables!$B$17-AB1031,W1031+Variables!$B$16+Variables!$B$17-AB1031))),""))</f>
        <v>3</v>
      </c>
      <c r="AD1031" s="9" t="s">
        <v>163</v>
      </c>
      <c r="AE1031" s="9" t="s">
        <v>598</v>
      </c>
      <c r="AF1031" s="10"/>
      <c r="AG1031" s="10"/>
      <c r="AH1031" s="9"/>
      <c r="AI1031" s="9">
        <v>253545561</v>
      </c>
      <c r="AJ1031" s="9" t="s">
        <v>1060</v>
      </c>
      <c r="AK1031" s="10">
        <v>45792</v>
      </c>
      <c r="AL1031" s="10">
        <v>45805</v>
      </c>
      <c r="AM1031" s="10">
        <v>45807</v>
      </c>
      <c r="AN1031" s="9" t="s">
        <v>1492</v>
      </c>
      <c r="AO1031" s="9"/>
      <c r="AP1031" s="11">
        <f>IF($H1031="Cancelled","",IFERROR(IF(OR(AK1031="",AB1031=""),"",(AB1031+Variables!$B$18-AK1031)),""))</f>
        <v>0</v>
      </c>
      <c r="AQ1031" s="11">
        <f>IF($H1031="Cancelled","",IFERROR(IF(OR(AM1031="",AK1031=""),"",(AK1031+Variables!$B$19)-AM1031),""))</f>
        <v>-10</v>
      </c>
      <c r="AR1031" s="12">
        <f>IF($H1031="Cancelled","",IFERROR(T1031*INDEX(Variables!$B$7:$D$7,IFERROR(MATCH(IF($B1031="Robusta","Robusta",(IF($B1031="","Arabica",$B1031))&amp;" - "&amp;(IF($C1031="","Commercial",$C1031))),Variables!$B$1:$D$1,0),1))*(AQ1031/365),""))</f>
        <v>-6.5713272791089956</v>
      </c>
      <c r="AS1031" s="12">
        <f>IF($H1031="Cancelled","",IFERROR((T1031*INDEX(Variables!$B$7:$D$7,IFERROR(MATCH(IF($B1031="Robusta","Robusta",(IF($B1031="","Arabica",$B1031))&amp;" - "&amp;(IF($C1031="","Commercial",$C1031))),Variables!$B$1:$D$1,0),1))*IFERROR(IF(W1031="","",(AVERAGE(E1031:F1031)-W1031)-Variables!$B$14),"")/365)+(L1031/16.67*INDEX(Variables!$B$8:$D$8,IFERROR(MATCH(IF($B1031="Robusta","Robusta",(IF($B1031="","Arabica",$B1031))&amp;" - "&amp;(IF($C1031="","Commercial",$C1031))),Variables!$B$1:$D$1,0),1))*IFERROR(IF(W1031="","",(AVERAGE(E1031:F1031)-W1031)-Variables!$B$14),""))+(T1031*INDEX(Variables!$B$9:$D$9,IFERROR(MATCH(IF($B1031="Robusta","Robusta",(IF($B1031="","Arabica",$B1031))&amp;" - "&amp;(IF($C1031="","Commercial",$C1031))),Variables!$B$1:$D$1,0),1))*IFERROR(IF(W1031="","",(AVERAGE(E1031:F1031)-W1031)-Variables!$B$14),"")/365),""))</f>
        <v>0.50780221847586271</v>
      </c>
      <c r="AT1031" s="12">
        <f>IF($H1031="Cancelled","",IFERROR((T1031*INDEX(Variables!$B$7:$D$7,IFERROR(MATCH(IF($B1031="Robusta","Robusta",(IF($B1031="","Arabica",$B1031))&amp;" - "&amp;(IF($C1031="","Commercial",$C1031))),Variables!$B$1:$D$1,0),1))*AC1031/365)+(L1031/16.67*INDEX(Variables!$B$8:$D$8,IFERROR(MATCH(IF($B1031="Robusta","Robusta",(IF($B1031="","Arabica",$B1031))&amp;" - "&amp;(IF($C1031="","Commercial",$C1031))),Variables!$B$1:$D$1,0),1))*AC1031)+(T1031*INDEX(Variables!$B$9:$D$9,IFERROR(MATCH(IF($B1031="Robusta","Robusta",(IF($B1031="","Arabica",$B1031))&amp;" - "&amp;(IF($C1031="","Commercial",$C1031))),Variables!$B$1:$D$1,0),1))*AC1031/365),""))</f>
        <v>3.046813310855176</v>
      </c>
      <c r="AU1031" s="12">
        <f>IF($H1031="Cancelled","",IFERROR((T1031*INDEX(Variables!$B$7:$D$7,IFERROR(MATCH(IF($B1031="Robusta","Robusta",(IF($B1031="","Arabica",$B1031))&amp;" - "&amp;(IF($C1031="","Commercial",$C1031))),Variables!$B$1:$D$1,0),1))*AP1031/365)+(L1031/16.67*INDEX(Variables!$B$8:$D$8,IFERROR(MATCH(IF($B1031="Robusta","Robusta",(IF($B1031="","Arabica",$B1031))&amp;" - "&amp;(IF($C1031="","Commercial",$C1031))),Variables!$B$1:$D$1,0),1))*AP1031)+(T1031*INDEX(Variables!$B$9:$D$9,IFERROR(MATCH(IF($B1031="Robusta","Robusta",(IF($B1031="","Arabica",$B1031))&amp;" - "&amp;(IF($C1031="","Commercial",$C1031))),Variables!$B$1:$D$1,0),1))*AP1031/365),""))</f>
        <v>0</v>
      </c>
      <c r="AV1031" s="11">
        <f t="shared" si="100"/>
        <v>-15</v>
      </c>
      <c r="AW1031" s="12">
        <f>IF($H1031="Cancelled","",IFERROR(IF(AV1031="","",(T1031*INDEX(Variables!$B$7:$D$7,IFERROR(MATCH(IF($B1031="Robusta","Robusta",(IF($B1031="","Arabica",$B1031))&amp;" - "&amp;(IF($C1031="","Commercial",$C1031))),Variables!$B$1:$D$1,0),1))*(AV1031/365))+(T1031*INDEX(Variables!$B$9:$D$9,IFERROR(MATCH(IF($B1031="Robusta","Robusta",(IF($B1031="","Arabica",$B1031))&amp;" - "&amp;(IF($C1031="","Commercial",$C1031))),Variables!$B$1:$D$1,0),1))*(AV1031/365))+(INDEX(Variables!$B$8:$D$8,IFERROR(MATCH(IF($B1031="Robusta","Robusta",(IF($B1031="","Arabica",$B1031))&amp;" - "&amp;(IF($C1031="","Commercial",$C1031))),Variables!$B$1:$D$1,0),1))*L1031/16.67)),""))</f>
        <v>-9.6340665542758792</v>
      </c>
      <c r="AX1031" s="9"/>
      <c r="AY1031" s="12"/>
      <c r="AZ1031" s="10"/>
      <c r="BA1031" s="9"/>
      <c r="BB1031" s="10"/>
      <c r="BC1031" s="9"/>
      <c r="BD1031" s="9"/>
      <c r="BE1031" s="9"/>
      <c r="BF1031" s="9"/>
    </row>
    <row r="1032" spans="1:58" x14ac:dyDescent="0.25">
      <c r="A1032" s="9" t="s">
        <v>84</v>
      </c>
      <c r="B1032" s="9" t="s">
        <v>85</v>
      </c>
      <c r="C1032" s="9" t="s">
        <v>1486</v>
      </c>
      <c r="D1032" s="10">
        <v>45722</v>
      </c>
      <c r="E1032" s="10">
        <v>45748</v>
      </c>
      <c r="F1032" s="10">
        <v>45777</v>
      </c>
      <c r="G1032" s="9">
        <v>3786778</v>
      </c>
      <c r="H1032" s="9" t="str">
        <f t="shared" si="98"/>
        <v>Closed</v>
      </c>
      <c r="I1032" s="9" t="str">
        <f t="shared" si="99"/>
        <v>All dates received</v>
      </c>
      <c r="J1032" s="9" t="s">
        <v>225</v>
      </c>
      <c r="K1032" s="9" t="s">
        <v>2207</v>
      </c>
      <c r="L1032" s="11">
        <v>8</v>
      </c>
      <c r="M1032" s="9" t="s">
        <v>2208</v>
      </c>
      <c r="N1032" s="9"/>
      <c r="O1032" s="9"/>
      <c r="P1032" s="9"/>
      <c r="Q1032" s="11">
        <v>117</v>
      </c>
      <c r="R1032" s="9" t="s">
        <v>195</v>
      </c>
      <c r="S1032" s="9" t="s">
        <v>228</v>
      </c>
      <c r="T1032" s="12">
        <f>IF($H1032="Cancelled","",IFERROR(((Q1032+INDEX(Variables!$B$6:$D$6,IFERROR(MATCH(IF($B1032="Robusta","Robusta",(IF($B1032="","Arabica",$B1032))&amp;" - "&amp;(IF($C1032="","Commercial",$C1032))),Variables!$B$1:$D$1,0),1)))*22.0462)*(L1032/16.67),""))</f>
        <v>4314.5484631073787</v>
      </c>
      <c r="U1032" s="10"/>
      <c r="V1032" s="9" t="str">
        <f t="shared" si="101"/>
        <v/>
      </c>
      <c r="W1032" s="10">
        <v>45732</v>
      </c>
      <c r="X1032" s="9" t="str">
        <f t="shared" si="97"/>
        <v>Approved</v>
      </c>
      <c r="Y1032" s="10">
        <v>45773</v>
      </c>
      <c r="Z1032" s="10">
        <f>IF($H1032="Cancelled","",IFERROR(IF(F1032="","",F1032-Variables!$B$13),""))</f>
        <v>45762</v>
      </c>
      <c r="AA1032" s="11">
        <f>IF($H1032="Cancelled","",IFERROR(IF(W1032="","",(AVERAGE(E1032:F1032)-W1032)-Variables!$B$14),""))</f>
        <v>0.5</v>
      </c>
      <c r="AB1032" s="10">
        <v>45785</v>
      </c>
      <c r="AC1032" s="11">
        <f>IF($H1032="Cancelled","",IFERROR(IF(AB1032="","",IF(AND(W1032="",Y1032=""),"",IF(Y1032&gt;W1032,Y1032+Variables!$B$15+Variables!$B$16+Variables!$B$17-AB1032,W1032+Variables!$B$16+Variables!$B$17-AB1032))),""))</f>
        <v>3</v>
      </c>
      <c r="AD1032" s="9" t="s">
        <v>163</v>
      </c>
      <c r="AE1032" s="9" t="s">
        <v>598</v>
      </c>
      <c r="AF1032" s="10"/>
      <c r="AG1032" s="10"/>
      <c r="AH1032" s="9"/>
      <c r="AI1032" s="9">
        <v>253545561</v>
      </c>
      <c r="AJ1032" s="9" t="s">
        <v>1060</v>
      </c>
      <c r="AK1032" s="10">
        <v>45792</v>
      </c>
      <c r="AL1032" s="10">
        <v>45805</v>
      </c>
      <c r="AM1032" s="10">
        <v>45807</v>
      </c>
      <c r="AN1032" s="9" t="s">
        <v>1492</v>
      </c>
      <c r="AO1032" s="9"/>
      <c r="AP1032" s="11">
        <f>IF($H1032="Cancelled","",IFERROR(IF(OR(AK1032="",AB1032=""),"",(AB1032+Variables!$B$18-AK1032)),""))</f>
        <v>0</v>
      </c>
      <c r="AQ1032" s="11">
        <f>IF($H1032="Cancelled","",IFERROR(IF(OR(AM1032="",AK1032=""),"",(AK1032+Variables!$B$19)-AM1032),""))</f>
        <v>-10</v>
      </c>
      <c r="AR1032" s="12">
        <f>IF($H1032="Cancelled","",IFERROR(T1032*INDEX(Variables!$B$7:$D$7,IFERROR(MATCH(IF($B1032="Robusta","Robusta",(IF($B1032="","Arabica",$B1032))&amp;" - "&amp;(IF($C1032="","Commercial",$C1032))),Variables!$B$1:$D$1,0),1))*(AQ1032/365),""))</f>
        <v>-7.6222349837748657</v>
      </c>
      <c r="AS1032" s="12">
        <f>IF($H1032="Cancelled","",IFERROR((T1032*INDEX(Variables!$B$7:$D$7,IFERROR(MATCH(IF($B1032="Robusta","Robusta",(IF($B1032="","Arabica",$B1032))&amp;" - "&amp;(IF($C1032="","Commercial",$C1032))),Variables!$B$1:$D$1,0),1))*IFERROR(IF(W1032="","",(AVERAGE(E1032:F1032)-W1032)-Variables!$B$14),"")/365)+(L1032/16.67*INDEX(Variables!$B$8:$D$8,IFERROR(MATCH(IF($B1032="Robusta","Robusta",(IF($B1032="","Arabica",$B1032))&amp;" - "&amp;(IF($C1032="","Commercial",$C1032))),Variables!$B$1:$D$1,0),1))*IFERROR(IF(W1032="","",(AVERAGE(E1032:F1032)-W1032)-Variables!$B$14),""))+(T1032*INDEX(Variables!$B$9:$D$9,IFERROR(MATCH(IF($B1032="Robusta","Robusta",(IF($B1032="","Arabica",$B1032))&amp;" - "&amp;(IF($C1032="","Commercial",$C1032))),Variables!$B$1:$D$1,0),1))*IFERROR(IF(W1032="","",(AVERAGE(E1032:F1032)-W1032)-Variables!$B$14),"")/365),""))</f>
        <v>0.58602501513036132</v>
      </c>
      <c r="AT1032" s="12">
        <f>IF($H1032="Cancelled","",IFERROR((T1032*INDEX(Variables!$B$7:$D$7,IFERROR(MATCH(IF($B1032="Robusta","Robusta",(IF($B1032="","Arabica",$B1032))&amp;" - "&amp;(IF($C1032="","Commercial",$C1032))),Variables!$B$1:$D$1,0),1))*AC1032/365)+(L1032/16.67*INDEX(Variables!$B$8:$D$8,IFERROR(MATCH(IF($B1032="Robusta","Robusta",(IF($B1032="","Arabica",$B1032))&amp;" - "&amp;(IF($C1032="","Commercial",$C1032))),Variables!$B$1:$D$1,0),1))*AC1032)+(T1032*INDEX(Variables!$B$9:$D$9,IFERROR(MATCH(IF($B1032="Robusta","Robusta",(IF($B1032="","Arabica",$B1032))&amp;" - "&amp;(IF($C1032="","Commercial",$C1032))),Variables!$B$1:$D$1,0),1))*AC1032/365),""))</f>
        <v>3.5161500907821681</v>
      </c>
      <c r="AU1032" s="12">
        <f>IF($H1032="Cancelled","",IFERROR((T1032*INDEX(Variables!$B$7:$D$7,IFERROR(MATCH(IF($B1032="Robusta","Robusta",(IF($B1032="","Arabica",$B1032))&amp;" - "&amp;(IF($C1032="","Commercial",$C1032))),Variables!$B$1:$D$1,0),1))*AP1032/365)+(L1032/16.67*INDEX(Variables!$B$8:$D$8,IFERROR(MATCH(IF($B1032="Robusta","Robusta",(IF($B1032="","Arabica",$B1032))&amp;" - "&amp;(IF($C1032="","Commercial",$C1032))),Variables!$B$1:$D$1,0),1))*AP1032)+(T1032*INDEX(Variables!$B$9:$D$9,IFERROR(MATCH(IF($B1032="Robusta","Robusta",(IF($B1032="","Arabica",$B1032))&amp;" - "&amp;(IF($C1032="","Commercial",$C1032))),Variables!$B$1:$D$1,0),1))*AP1032/365),""))</f>
        <v>0</v>
      </c>
      <c r="AV1032" s="11">
        <f t="shared" si="100"/>
        <v>-15</v>
      </c>
      <c r="AW1032" s="12">
        <f>IF($H1032="Cancelled","",IFERROR(IF(AV1032="","",(T1032*INDEX(Variables!$B$7:$D$7,IFERROR(MATCH(IF($B1032="Robusta","Robusta",(IF($B1032="","Arabica",$B1032))&amp;" - "&amp;(IF($C1032="","Commercial",$C1032))),Variables!$B$1:$D$1,0),1))*(AV1032/365))+(T1032*INDEX(Variables!$B$9:$D$9,IFERROR(MATCH(IF($B1032="Robusta","Robusta",(IF($B1032="","Arabica",$B1032))&amp;" - "&amp;(IF($C1032="","Commercial",$C1032))),Variables!$B$1:$D$1,0),1))*(AV1032/365))+(INDEX(Variables!$B$8:$D$8,IFERROR(MATCH(IF($B1032="Robusta","Robusta",(IF($B1032="","Arabica",$B1032))&amp;" - "&amp;(IF($C1032="","Commercial",$C1032))),Variables!$B$1:$D$1,0),1))*L1032/16.67)),""))</f>
        <v>-11.180750453910839</v>
      </c>
      <c r="AX1032" s="9"/>
      <c r="AY1032" s="12"/>
      <c r="AZ1032" s="10"/>
      <c r="BA1032" s="9"/>
      <c r="BB1032" s="10"/>
      <c r="BC1032" s="9"/>
      <c r="BD1032" s="9"/>
      <c r="BE1032" s="9"/>
      <c r="BF1032" s="9"/>
    </row>
    <row r="1033" spans="1:58" x14ac:dyDescent="0.25">
      <c r="A1033" s="9" t="s">
        <v>84</v>
      </c>
      <c r="B1033" s="9" t="s">
        <v>85</v>
      </c>
      <c r="C1033" s="9" t="s">
        <v>1486</v>
      </c>
      <c r="D1033" s="10">
        <v>45722</v>
      </c>
      <c r="E1033" s="10">
        <v>45748</v>
      </c>
      <c r="F1033" s="10">
        <v>45777</v>
      </c>
      <c r="G1033" s="9">
        <v>3786779</v>
      </c>
      <c r="H1033" s="9" t="str">
        <f t="shared" si="98"/>
        <v>Closed</v>
      </c>
      <c r="I1033" s="9" t="str">
        <f t="shared" si="99"/>
        <v>All dates received</v>
      </c>
      <c r="J1033" s="9" t="s">
        <v>225</v>
      </c>
      <c r="K1033" s="9" t="s">
        <v>2209</v>
      </c>
      <c r="L1033" s="11">
        <v>20</v>
      </c>
      <c r="M1033" s="9" t="s">
        <v>2210</v>
      </c>
      <c r="N1033" s="9"/>
      <c r="O1033" s="9"/>
      <c r="P1033" s="9"/>
      <c r="Q1033" s="11">
        <v>78</v>
      </c>
      <c r="R1033" s="9" t="s">
        <v>195</v>
      </c>
      <c r="S1033" s="9" t="s">
        <v>228</v>
      </c>
      <c r="T1033" s="12">
        <f>IF($H1033="Cancelled","",IFERROR(((Q1033+INDEX(Variables!$B$6:$D$6,IFERROR(MATCH(IF($B1033="Robusta","Robusta",(IF($B1033="","Arabica",$B1033))&amp;" - "&amp;(IF($C1033="","Commercial",$C1033))),Variables!$B$1:$D$1,0),1)))*22.0462)*(L1033/16.67),""))</f>
        <v>9754.8153089382104</v>
      </c>
      <c r="U1033" s="10"/>
      <c r="V1033" s="9" t="str">
        <f t="shared" si="101"/>
        <v/>
      </c>
      <c r="W1033" s="10">
        <v>45732</v>
      </c>
      <c r="X1033" s="9" t="str">
        <f t="shared" si="97"/>
        <v>Approved</v>
      </c>
      <c r="Y1033" s="10">
        <v>45773</v>
      </c>
      <c r="Z1033" s="10">
        <f>IF($H1033="Cancelled","",IFERROR(IF(F1033="","",F1033-Variables!$B$13),""))</f>
        <v>45762</v>
      </c>
      <c r="AA1033" s="11">
        <f>IF($H1033="Cancelled","",IFERROR(IF(W1033="","",(AVERAGE(E1033:F1033)-W1033)-Variables!$B$14),""))</f>
        <v>0.5</v>
      </c>
      <c r="AB1033" s="10">
        <v>45785</v>
      </c>
      <c r="AC1033" s="11">
        <f>IF($H1033="Cancelled","",IFERROR(IF(AB1033="","",IF(AND(W1033="",Y1033=""),"",IF(Y1033&gt;W1033,Y1033+Variables!$B$15+Variables!$B$16+Variables!$B$17-AB1033,W1033+Variables!$B$16+Variables!$B$17-AB1033))),""))</f>
        <v>3</v>
      </c>
      <c r="AD1033" s="9" t="s">
        <v>163</v>
      </c>
      <c r="AE1033" s="9" t="s">
        <v>598</v>
      </c>
      <c r="AF1033" s="10"/>
      <c r="AG1033" s="10"/>
      <c r="AH1033" s="9"/>
      <c r="AI1033" s="9">
        <v>253545561</v>
      </c>
      <c r="AJ1033" s="9" t="s">
        <v>1060</v>
      </c>
      <c r="AK1033" s="10">
        <v>45792</v>
      </c>
      <c r="AL1033" s="10">
        <v>45805</v>
      </c>
      <c r="AM1033" s="10">
        <v>45807</v>
      </c>
      <c r="AN1033" s="9" t="s">
        <v>1492</v>
      </c>
      <c r="AO1033" s="9"/>
      <c r="AP1033" s="11">
        <f>IF($H1033="Cancelled","",IFERROR(IF(OR(AK1033="",AB1033=""),"",(AB1033+Variables!$B$18-AK1033)),""))</f>
        <v>0</v>
      </c>
      <c r="AQ1033" s="11">
        <f>IF($H1033="Cancelled","",IFERROR(IF(OR(AM1033="",AK1033=""),"",(AK1033+Variables!$B$19)-AM1033),""))</f>
        <v>-10</v>
      </c>
      <c r="AR1033" s="12">
        <f>IF($H1033="Cancelled","",IFERROR(T1033*INDEX(Variables!$B$7:$D$7,IFERROR(MATCH(IF($B1033="Robusta","Robusta",(IF($B1033="","Arabica",$B1033))&amp;" - "&amp;(IF($C1033="","Commercial",$C1033))),Variables!$B$1:$D$1,0),1))*(AQ1033/365),""))</f>
        <v>-17.233204156548368</v>
      </c>
      <c r="AS1033" s="12">
        <f>IF($H1033="Cancelled","",IFERROR((T1033*INDEX(Variables!$B$7:$D$7,IFERROR(MATCH(IF($B1033="Robusta","Robusta",(IF($B1033="","Arabica",$B1033))&amp;" - "&amp;(IF($C1033="","Commercial",$C1033))),Variables!$B$1:$D$1,0),1))*IFERROR(IF(W1033="","",(AVERAGE(E1033:F1033)-W1033)-Variables!$B$14),"")/365)+(L1033/16.67*INDEX(Variables!$B$8:$D$8,IFERROR(MATCH(IF($B1033="Robusta","Robusta",(IF($B1033="","Arabica",$B1033))&amp;" - "&amp;(IF($C1033="","Commercial",$C1033))),Variables!$B$1:$D$1,0),1))*IFERROR(IF(W1033="","",(AVERAGE(E1033:F1033)-W1033)-Variables!$B$14),""))+(T1033*INDEX(Variables!$B$9:$D$9,IFERROR(MATCH(IF($B1033="Robusta","Robusta",(IF($B1033="","Arabica",$B1033))&amp;" - "&amp;(IF($C1033="","Commercial",$C1033))),Variables!$B$1:$D$1,0),1))*IFERROR(IF(W1033="","",(AVERAGE(E1033:F1033)-W1033)-Variables!$B$14),"")/365),""))</f>
        <v>1.3727686707949807</v>
      </c>
      <c r="AT1033" s="12">
        <f>IF($H1033="Cancelled","",IFERROR((T1033*INDEX(Variables!$B$7:$D$7,IFERROR(MATCH(IF($B1033="Robusta","Robusta",(IF($B1033="","Arabica",$B1033))&amp;" - "&amp;(IF($C1033="","Commercial",$C1033))),Variables!$B$1:$D$1,0),1))*AC1033/365)+(L1033/16.67*INDEX(Variables!$B$8:$D$8,IFERROR(MATCH(IF($B1033="Robusta","Robusta",(IF($B1033="","Arabica",$B1033))&amp;" - "&amp;(IF($C1033="","Commercial",$C1033))),Variables!$B$1:$D$1,0),1))*AC1033)+(T1033*INDEX(Variables!$B$9:$D$9,IFERROR(MATCH(IF($B1033="Robusta","Robusta",(IF($B1033="","Arabica",$B1033))&amp;" - "&amp;(IF($C1033="","Commercial",$C1033))),Variables!$B$1:$D$1,0),1))*AC1033/365),""))</f>
        <v>8.2366120247698849</v>
      </c>
      <c r="AU1033" s="12">
        <f>IF($H1033="Cancelled","",IFERROR((T1033*INDEX(Variables!$B$7:$D$7,IFERROR(MATCH(IF($B1033="Robusta","Robusta",(IF($B1033="","Arabica",$B1033))&amp;" - "&amp;(IF($C1033="","Commercial",$C1033))),Variables!$B$1:$D$1,0),1))*AP1033/365)+(L1033/16.67*INDEX(Variables!$B$8:$D$8,IFERROR(MATCH(IF($B1033="Robusta","Robusta",(IF($B1033="","Arabica",$B1033))&amp;" - "&amp;(IF($C1033="","Commercial",$C1033))),Variables!$B$1:$D$1,0),1))*AP1033)+(T1033*INDEX(Variables!$B$9:$D$9,IFERROR(MATCH(IF($B1033="Robusta","Robusta",(IF($B1033="","Arabica",$B1033))&amp;" - "&amp;(IF($C1033="","Commercial",$C1033))),Variables!$B$1:$D$1,0),1))*AP1033/365),""))</f>
        <v>0</v>
      </c>
      <c r="AV1033" s="11">
        <f t="shared" si="100"/>
        <v>-15</v>
      </c>
      <c r="AW1033" s="12">
        <f>IF($H1033="Cancelled","",IFERROR(IF(AV1033="","",(T1033*INDEX(Variables!$B$7:$D$7,IFERROR(MATCH(IF($B1033="Robusta","Robusta",(IF($B1033="","Arabica",$B1033))&amp;" - "&amp;(IF($C1033="","Commercial",$C1033))),Variables!$B$1:$D$1,0),1))*(AV1033/365))+(T1033*INDEX(Variables!$B$9:$D$9,IFERROR(MATCH(IF($B1033="Robusta","Robusta",(IF($B1033="","Arabica",$B1033))&amp;" - "&amp;(IF($C1033="","Commercial",$C1033))),Variables!$B$1:$D$1,0),1))*(AV1033/365))+(INDEX(Variables!$B$8:$D$8,IFERROR(MATCH(IF($B1033="Robusta","Robusta",(IF($B1033="","Arabica",$B1033))&amp;" - "&amp;(IF($C1033="","Commercial",$C1033))),Variables!$B$1:$D$1,0),1))*L1033/16.67)),""))</f>
        <v>-25.183060123849415</v>
      </c>
      <c r="AX1033" s="9"/>
      <c r="AY1033" s="12"/>
      <c r="AZ1033" s="10"/>
      <c r="BA1033" s="9"/>
      <c r="BB1033" s="10"/>
      <c r="BC1033" s="9"/>
      <c r="BD1033" s="9"/>
      <c r="BE1033" s="9"/>
      <c r="BF1033" s="9"/>
    </row>
    <row r="1034" spans="1:58" x14ac:dyDescent="0.25">
      <c r="A1034" s="9" t="s">
        <v>84</v>
      </c>
      <c r="B1034" s="9" t="s">
        <v>85</v>
      </c>
      <c r="C1034" s="9" t="s">
        <v>1486</v>
      </c>
      <c r="D1034" s="10">
        <v>45722</v>
      </c>
      <c r="E1034" s="10">
        <v>45748</v>
      </c>
      <c r="F1034" s="10">
        <v>45777</v>
      </c>
      <c r="G1034" s="9">
        <v>3786780</v>
      </c>
      <c r="H1034" s="9" t="str">
        <f t="shared" si="98"/>
        <v>Closed</v>
      </c>
      <c r="I1034" s="9" t="str">
        <f t="shared" si="99"/>
        <v>All dates received</v>
      </c>
      <c r="J1034" s="9" t="s">
        <v>225</v>
      </c>
      <c r="K1034" s="9" t="s">
        <v>2211</v>
      </c>
      <c r="L1034" s="11">
        <v>7</v>
      </c>
      <c r="M1034" s="9" t="s">
        <v>2212</v>
      </c>
      <c r="N1034" s="9"/>
      <c r="O1034" s="9"/>
      <c r="P1034" s="9"/>
      <c r="Q1034" s="11">
        <v>111</v>
      </c>
      <c r="R1034" s="9" t="s">
        <v>195</v>
      </c>
      <c r="S1034" s="9" t="s">
        <v>228</v>
      </c>
      <c r="T1034" s="12">
        <f>IF($H1034="Cancelled","",IFERROR(((Q1034+INDEX(Variables!$B$6:$D$6,IFERROR(MATCH(IF($B1034="Robusta","Robusta",(IF($B1034="","Arabica",$B1034))&amp;" - "&amp;(IF($C1034="","Commercial",$C1034))),Variables!$B$1:$D$1,0),1)))*22.0462)*(L1034/16.67),""))</f>
        <v>3719.6845902819432</v>
      </c>
      <c r="U1034" s="10"/>
      <c r="V1034" s="9" t="str">
        <f t="shared" si="101"/>
        <v/>
      </c>
      <c r="W1034" s="10">
        <v>45732</v>
      </c>
      <c r="X1034" s="9" t="str">
        <f t="shared" si="97"/>
        <v>Approved</v>
      </c>
      <c r="Y1034" s="10">
        <v>45773</v>
      </c>
      <c r="Z1034" s="10">
        <f>IF($H1034="Cancelled","",IFERROR(IF(F1034="","",F1034-Variables!$B$13),""))</f>
        <v>45762</v>
      </c>
      <c r="AA1034" s="11">
        <f>IF($H1034="Cancelled","",IFERROR(IF(W1034="","",(AVERAGE(E1034:F1034)-W1034)-Variables!$B$14),""))</f>
        <v>0.5</v>
      </c>
      <c r="AB1034" s="10">
        <v>45785</v>
      </c>
      <c r="AC1034" s="11">
        <f>IF($H1034="Cancelled","",IFERROR(IF(AB1034="","",IF(AND(W1034="",Y1034=""),"",IF(Y1034&gt;W1034,Y1034+Variables!$B$15+Variables!$B$16+Variables!$B$17-AB1034,W1034+Variables!$B$16+Variables!$B$17-AB1034))),""))</f>
        <v>3</v>
      </c>
      <c r="AD1034" s="9" t="s">
        <v>163</v>
      </c>
      <c r="AE1034" s="9" t="s">
        <v>598</v>
      </c>
      <c r="AF1034" s="10"/>
      <c r="AG1034" s="10"/>
      <c r="AH1034" s="9"/>
      <c r="AI1034" s="9">
        <v>253545561</v>
      </c>
      <c r="AJ1034" s="9" t="s">
        <v>1060</v>
      </c>
      <c r="AK1034" s="10">
        <v>45792</v>
      </c>
      <c r="AL1034" s="10">
        <v>45805</v>
      </c>
      <c r="AM1034" s="10">
        <v>45807</v>
      </c>
      <c r="AN1034" s="9" t="s">
        <v>1492</v>
      </c>
      <c r="AO1034" s="9"/>
      <c r="AP1034" s="11">
        <f>IF($H1034="Cancelled","",IFERROR(IF(OR(AK1034="",AB1034=""),"",(AB1034+Variables!$B$18-AK1034)),""))</f>
        <v>0</v>
      </c>
      <c r="AQ1034" s="11">
        <f>IF($H1034="Cancelled","",IFERROR(IF(OR(AM1034="",AK1034=""),"",(AK1034+Variables!$B$19)-AM1034),""))</f>
        <v>-10</v>
      </c>
      <c r="AR1034" s="12">
        <f>IF($H1034="Cancelled","",IFERROR(T1034*INDEX(Variables!$B$7:$D$7,IFERROR(MATCH(IF($B1034="Robusta","Robusta",(IF($B1034="","Arabica",$B1034))&amp;" - "&amp;(IF($C1034="","Commercial",$C1034))),Variables!$B$1:$D$1,0),1))*(AQ1034/365),""))</f>
        <v>-6.5713272791089956</v>
      </c>
      <c r="AS1034" s="12">
        <f>IF($H1034="Cancelled","",IFERROR((T1034*INDEX(Variables!$B$7:$D$7,IFERROR(MATCH(IF($B1034="Robusta","Robusta",(IF($B1034="","Arabica",$B1034))&amp;" - "&amp;(IF($C1034="","Commercial",$C1034))),Variables!$B$1:$D$1,0),1))*IFERROR(IF(W1034="","",(AVERAGE(E1034:F1034)-W1034)-Variables!$B$14),"")/365)+(L1034/16.67*INDEX(Variables!$B$8:$D$8,IFERROR(MATCH(IF($B1034="Robusta","Robusta",(IF($B1034="","Arabica",$B1034))&amp;" - "&amp;(IF($C1034="","Commercial",$C1034))),Variables!$B$1:$D$1,0),1))*IFERROR(IF(W1034="","",(AVERAGE(E1034:F1034)-W1034)-Variables!$B$14),""))+(T1034*INDEX(Variables!$B$9:$D$9,IFERROR(MATCH(IF($B1034="Robusta","Robusta",(IF($B1034="","Arabica",$B1034))&amp;" - "&amp;(IF($C1034="","Commercial",$C1034))),Variables!$B$1:$D$1,0),1))*IFERROR(IF(W1034="","",(AVERAGE(E1034:F1034)-W1034)-Variables!$B$14),"")/365),""))</f>
        <v>0.50780221847586271</v>
      </c>
      <c r="AT1034" s="12">
        <f>IF($H1034="Cancelled","",IFERROR((T1034*INDEX(Variables!$B$7:$D$7,IFERROR(MATCH(IF($B1034="Robusta","Robusta",(IF($B1034="","Arabica",$B1034))&amp;" - "&amp;(IF($C1034="","Commercial",$C1034))),Variables!$B$1:$D$1,0),1))*AC1034/365)+(L1034/16.67*INDEX(Variables!$B$8:$D$8,IFERROR(MATCH(IF($B1034="Robusta","Robusta",(IF($B1034="","Arabica",$B1034))&amp;" - "&amp;(IF($C1034="","Commercial",$C1034))),Variables!$B$1:$D$1,0),1))*AC1034)+(T1034*INDEX(Variables!$B$9:$D$9,IFERROR(MATCH(IF($B1034="Robusta","Robusta",(IF($B1034="","Arabica",$B1034))&amp;" - "&amp;(IF($C1034="","Commercial",$C1034))),Variables!$B$1:$D$1,0),1))*AC1034/365),""))</f>
        <v>3.046813310855176</v>
      </c>
      <c r="AU1034" s="12">
        <f>IF($H1034="Cancelled","",IFERROR((T1034*INDEX(Variables!$B$7:$D$7,IFERROR(MATCH(IF($B1034="Robusta","Robusta",(IF($B1034="","Arabica",$B1034))&amp;" - "&amp;(IF($C1034="","Commercial",$C1034))),Variables!$B$1:$D$1,0),1))*AP1034/365)+(L1034/16.67*INDEX(Variables!$B$8:$D$8,IFERROR(MATCH(IF($B1034="Robusta","Robusta",(IF($B1034="","Arabica",$B1034))&amp;" - "&amp;(IF($C1034="","Commercial",$C1034))),Variables!$B$1:$D$1,0),1))*AP1034)+(T1034*INDEX(Variables!$B$9:$D$9,IFERROR(MATCH(IF($B1034="Robusta","Robusta",(IF($B1034="","Arabica",$B1034))&amp;" - "&amp;(IF($C1034="","Commercial",$C1034))),Variables!$B$1:$D$1,0),1))*AP1034/365),""))</f>
        <v>0</v>
      </c>
      <c r="AV1034" s="11">
        <f t="shared" si="100"/>
        <v>-15</v>
      </c>
      <c r="AW1034" s="12">
        <f>IF($H1034="Cancelled","",IFERROR(IF(AV1034="","",(T1034*INDEX(Variables!$B$7:$D$7,IFERROR(MATCH(IF($B1034="Robusta","Robusta",(IF($B1034="","Arabica",$B1034))&amp;" - "&amp;(IF($C1034="","Commercial",$C1034))),Variables!$B$1:$D$1,0),1))*(AV1034/365))+(T1034*INDEX(Variables!$B$9:$D$9,IFERROR(MATCH(IF($B1034="Robusta","Robusta",(IF($B1034="","Arabica",$B1034))&amp;" - "&amp;(IF($C1034="","Commercial",$C1034))),Variables!$B$1:$D$1,0),1))*(AV1034/365))+(INDEX(Variables!$B$8:$D$8,IFERROR(MATCH(IF($B1034="Robusta","Robusta",(IF($B1034="","Arabica",$B1034))&amp;" - "&amp;(IF($C1034="","Commercial",$C1034))),Variables!$B$1:$D$1,0),1))*L1034/16.67)),""))</f>
        <v>-9.6340665542758792</v>
      </c>
      <c r="AX1034" s="9"/>
      <c r="AY1034" s="12"/>
      <c r="AZ1034" s="10"/>
      <c r="BA1034" s="9"/>
      <c r="BB1034" s="10"/>
      <c r="BC1034" s="9"/>
      <c r="BD1034" s="9"/>
      <c r="BE1034" s="9"/>
      <c r="BF1034" s="9"/>
    </row>
    <row r="1035" spans="1:58" x14ac:dyDescent="0.25">
      <c r="A1035" s="9" t="s">
        <v>84</v>
      </c>
      <c r="B1035" s="9" t="s">
        <v>85</v>
      </c>
      <c r="C1035" s="9" t="s">
        <v>1486</v>
      </c>
      <c r="D1035" s="10">
        <v>45722</v>
      </c>
      <c r="E1035" s="10">
        <v>45748</v>
      </c>
      <c r="F1035" s="10">
        <v>45777</v>
      </c>
      <c r="G1035" s="9">
        <v>3786781</v>
      </c>
      <c r="H1035" s="9" t="str">
        <f t="shared" si="98"/>
        <v>Closed</v>
      </c>
      <c r="I1035" s="9" t="str">
        <f t="shared" si="99"/>
        <v>All dates received</v>
      </c>
      <c r="J1035" s="9" t="s">
        <v>225</v>
      </c>
      <c r="K1035" s="9" t="s">
        <v>2213</v>
      </c>
      <c r="L1035" s="11">
        <v>20</v>
      </c>
      <c r="M1035" s="9" t="s">
        <v>2214</v>
      </c>
      <c r="N1035" s="9"/>
      <c r="O1035" s="9"/>
      <c r="P1035" s="9"/>
      <c r="Q1035" s="11">
        <v>35</v>
      </c>
      <c r="R1035" s="9" t="s">
        <v>195</v>
      </c>
      <c r="S1035" s="9" t="s">
        <v>228</v>
      </c>
      <c r="T1035" s="12">
        <f>IF($H1035="Cancelled","",IFERROR(((Q1035+INDEX(Variables!$B$6:$D$6,IFERROR(MATCH(IF($B1035="Robusta","Robusta",(IF($B1035="","Arabica",$B1035))&amp;" - "&amp;(IF($C1035="","Commercial",$C1035))),Variables!$B$1:$D$1,0),1)))*22.0462)*(L1035/16.67),""))</f>
        <v>8617.4588602279546</v>
      </c>
      <c r="U1035" s="10"/>
      <c r="V1035" s="9" t="str">
        <f t="shared" si="101"/>
        <v/>
      </c>
      <c r="W1035" s="10">
        <v>45732</v>
      </c>
      <c r="X1035" s="9" t="str">
        <f t="shared" si="97"/>
        <v>Approved</v>
      </c>
      <c r="Y1035" s="10">
        <v>45773</v>
      </c>
      <c r="Z1035" s="10">
        <f>IF($H1035="Cancelled","",IFERROR(IF(F1035="","",F1035-Variables!$B$13),""))</f>
        <v>45762</v>
      </c>
      <c r="AA1035" s="11">
        <f>IF($H1035="Cancelled","",IFERROR(IF(W1035="","",(AVERAGE(E1035:F1035)-W1035)-Variables!$B$14),""))</f>
        <v>0.5</v>
      </c>
      <c r="AB1035" s="10">
        <v>45785</v>
      </c>
      <c r="AC1035" s="11">
        <f>IF($H1035="Cancelled","",IFERROR(IF(AB1035="","",IF(AND(W1035="",Y1035=""),"",IF(Y1035&gt;W1035,Y1035+Variables!$B$15+Variables!$B$16+Variables!$B$17-AB1035,W1035+Variables!$B$16+Variables!$B$17-AB1035))),""))</f>
        <v>3</v>
      </c>
      <c r="AD1035" s="9" t="s">
        <v>163</v>
      </c>
      <c r="AE1035" s="9" t="s">
        <v>598</v>
      </c>
      <c r="AF1035" s="10"/>
      <c r="AG1035" s="10"/>
      <c r="AH1035" s="9"/>
      <c r="AI1035" s="9">
        <v>253545561</v>
      </c>
      <c r="AJ1035" s="9" t="s">
        <v>1060</v>
      </c>
      <c r="AK1035" s="10">
        <v>45792</v>
      </c>
      <c r="AL1035" s="10">
        <v>45805</v>
      </c>
      <c r="AM1035" s="10">
        <v>45807</v>
      </c>
      <c r="AN1035" s="9" t="s">
        <v>1492</v>
      </c>
      <c r="AO1035" s="9"/>
      <c r="AP1035" s="11">
        <f>IF($H1035="Cancelled","",IFERROR(IF(OR(AK1035="",AB1035=""),"",(AB1035+Variables!$B$18-AK1035)),""))</f>
        <v>0</v>
      </c>
      <c r="AQ1035" s="11">
        <f>IF($H1035="Cancelled","",IFERROR(IF(OR(AM1035="",AK1035=""),"",(AK1035+Variables!$B$19)-AM1035),""))</f>
        <v>-10</v>
      </c>
      <c r="AR1035" s="12">
        <f>IF($H1035="Cancelled","",IFERROR(T1035*INDEX(Variables!$B$7:$D$7,IFERROR(MATCH(IF($B1035="Robusta","Robusta",(IF($B1035="","Arabica",$B1035))&amp;" - "&amp;(IF($C1035="","Commercial",$C1035))),Variables!$B$1:$D$1,0),1))*(AQ1035/365),""))</f>
        <v>-15.223909745670985</v>
      </c>
      <c r="AS1035" s="12">
        <f>IF($H1035="Cancelled","",IFERROR((T1035*INDEX(Variables!$B$7:$D$7,IFERROR(MATCH(IF($B1035="Robusta","Robusta",(IF($B1035="","Arabica",$B1035))&amp;" - "&amp;(IF($C1035="","Commercial",$C1035))),Variables!$B$1:$D$1,0),1))*IFERROR(IF(W1035="","",(AVERAGE(E1035:F1035)-W1035)-Variables!$B$14),"")/365)+(L1035/16.67*INDEX(Variables!$B$8:$D$8,IFERROR(MATCH(IF($B1035="Robusta","Robusta",(IF($B1035="","Arabica",$B1035))&amp;" - "&amp;(IF($C1035="","Commercial",$C1035))),Variables!$B$1:$D$1,0),1))*IFERROR(IF(W1035="","",(AVERAGE(E1035:F1035)-W1035)-Variables!$B$14),""))+(T1035*INDEX(Variables!$B$9:$D$9,IFERROR(MATCH(IF($B1035="Robusta","Robusta",(IF($B1035="","Arabica",$B1035))&amp;" - "&amp;(IF($C1035="","Commercial",$C1035))),Variables!$B$1:$D$1,0),1))*IFERROR(IF(W1035="","",(AVERAGE(E1035:F1035)-W1035)-Variables!$B$14),"")/365),""))</f>
        <v>1.271008766119861</v>
      </c>
      <c r="AT1035" s="12">
        <f>IF($H1035="Cancelled","",IFERROR((T1035*INDEX(Variables!$B$7:$D$7,IFERROR(MATCH(IF($B1035="Robusta","Robusta",(IF($B1035="","Arabica",$B1035))&amp;" - "&amp;(IF($C1035="","Commercial",$C1035))),Variables!$B$1:$D$1,0),1))*AC1035/365)+(L1035/16.67*INDEX(Variables!$B$8:$D$8,IFERROR(MATCH(IF($B1035="Robusta","Robusta",(IF($B1035="","Arabica",$B1035))&amp;" - "&amp;(IF($C1035="","Commercial",$C1035))),Variables!$B$1:$D$1,0),1))*AC1035)+(T1035*INDEX(Variables!$B$9:$D$9,IFERROR(MATCH(IF($B1035="Robusta","Robusta",(IF($B1035="","Arabica",$B1035))&amp;" - "&amp;(IF($C1035="","Commercial",$C1035))),Variables!$B$1:$D$1,0),1))*AC1035/365),""))</f>
        <v>7.6260525967191661</v>
      </c>
      <c r="AU1035" s="12">
        <f>IF($H1035="Cancelled","",IFERROR((T1035*INDEX(Variables!$B$7:$D$7,IFERROR(MATCH(IF($B1035="Robusta","Robusta",(IF($B1035="","Arabica",$B1035))&amp;" - "&amp;(IF($C1035="","Commercial",$C1035))),Variables!$B$1:$D$1,0),1))*AP1035/365)+(L1035/16.67*INDEX(Variables!$B$8:$D$8,IFERROR(MATCH(IF($B1035="Robusta","Robusta",(IF($B1035="","Arabica",$B1035))&amp;" - "&amp;(IF($C1035="","Commercial",$C1035))),Variables!$B$1:$D$1,0),1))*AP1035)+(T1035*INDEX(Variables!$B$9:$D$9,IFERROR(MATCH(IF($B1035="Robusta","Robusta",(IF($B1035="","Arabica",$B1035))&amp;" - "&amp;(IF($C1035="","Commercial",$C1035))),Variables!$B$1:$D$1,0),1))*AP1035/365),""))</f>
        <v>0</v>
      </c>
      <c r="AV1035" s="11">
        <f t="shared" si="100"/>
        <v>-15</v>
      </c>
      <c r="AW1035" s="12">
        <f>IF($H1035="Cancelled","",IFERROR(IF(AV1035="","",(T1035*INDEX(Variables!$B$7:$D$7,IFERROR(MATCH(IF($B1035="Robusta","Robusta",(IF($B1035="","Arabica",$B1035))&amp;" - "&amp;(IF($C1035="","Commercial",$C1035))),Variables!$B$1:$D$1,0),1))*(AV1035/365))+(T1035*INDEX(Variables!$B$9:$D$9,IFERROR(MATCH(IF($B1035="Robusta","Robusta",(IF($B1035="","Arabica",$B1035))&amp;" - "&amp;(IF($C1035="","Commercial",$C1035))),Variables!$B$1:$D$1,0),1))*(AV1035/365))+(INDEX(Variables!$B$8:$D$8,IFERROR(MATCH(IF($B1035="Robusta","Robusta",(IF($B1035="","Arabica",$B1035))&amp;" - "&amp;(IF($C1035="","Commercial",$C1035))),Variables!$B$1:$D$1,0),1))*L1035/16.67)),""))</f>
        <v>-22.130262983595827</v>
      </c>
      <c r="AX1035" s="9"/>
      <c r="AY1035" s="12"/>
      <c r="AZ1035" s="10"/>
      <c r="BA1035" s="9"/>
      <c r="BB1035" s="10"/>
      <c r="BC1035" s="9"/>
      <c r="BD1035" s="9"/>
      <c r="BE1035" s="9"/>
      <c r="BF1035" s="9"/>
    </row>
    <row r="1036" spans="1:58" x14ac:dyDescent="0.25">
      <c r="A1036" s="9" t="s">
        <v>84</v>
      </c>
      <c r="B1036" s="9" t="s">
        <v>85</v>
      </c>
      <c r="C1036" s="9" t="s">
        <v>1486</v>
      </c>
      <c r="D1036" s="10">
        <v>45722</v>
      </c>
      <c r="E1036" s="10">
        <v>45748</v>
      </c>
      <c r="F1036" s="10">
        <v>45777</v>
      </c>
      <c r="G1036" s="9">
        <v>3786782</v>
      </c>
      <c r="H1036" s="9" t="str">
        <f t="shared" si="98"/>
        <v>Closed</v>
      </c>
      <c r="I1036" s="9" t="str">
        <f t="shared" si="99"/>
        <v>All dates received</v>
      </c>
      <c r="J1036" s="9" t="s">
        <v>225</v>
      </c>
      <c r="K1036" s="9" t="s">
        <v>2215</v>
      </c>
      <c r="L1036" s="11">
        <v>23</v>
      </c>
      <c r="M1036" s="9" t="s">
        <v>2216</v>
      </c>
      <c r="N1036" s="9"/>
      <c r="O1036" s="9"/>
      <c r="P1036" s="9"/>
      <c r="Q1036" s="11">
        <v>125</v>
      </c>
      <c r="R1036" s="9" t="s">
        <v>195</v>
      </c>
      <c r="S1036" s="9" t="s">
        <v>228</v>
      </c>
      <c r="T1036" s="12">
        <f>IF($H1036="Cancelled","",IFERROR(((Q1036+INDEX(Variables!$B$6:$D$6,IFERROR(MATCH(IF($B1036="Robusta","Robusta",(IF($B1036="","Arabica",$B1036))&amp;" - "&amp;(IF($C1036="","Commercial",$C1036))),Variables!$B$1:$D$1,0),1)))*22.0462)*(L1036/16.67),""))</f>
        <v>12647.668211157767</v>
      </c>
      <c r="U1036" s="10"/>
      <c r="V1036" s="9" t="str">
        <f t="shared" si="101"/>
        <v/>
      </c>
      <c r="W1036" s="10">
        <v>45732</v>
      </c>
      <c r="X1036" s="9" t="str">
        <f t="shared" si="97"/>
        <v>Approved</v>
      </c>
      <c r="Y1036" s="10">
        <v>45773</v>
      </c>
      <c r="Z1036" s="10">
        <f>IF($H1036="Cancelled","",IFERROR(IF(F1036="","",F1036-Variables!$B$13),""))</f>
        <v>45762</v>
      </c>
      <c r="AA1036" s="11">
        <f>IF($H1036="Cancelled","",IFERROR(IF(W1036="","",(AVERAGE(E1036:F1036)-W1036)-Variables!$B$14),""))</f>
        <v>0.5</v>
      </c>
      <c r="AB1036" s="10">
        <v>45785</v>
      </c>
      <c r="AC1036" s="11">
        <f>IF($H1036="Cancelled","",IFERROR(IF(AB1036="","",IF(AND(W1036="",Y1036=""),"",IF(Y1036&gt;W1036,Y1036+Variables!$B$15+Variables!$B$16+Variables!$B$17-AB1036,W1036+Variables!$B$16+Variables!$B$17-AB1036))),""))</f>
        <v>3</v>
      </c>
      <c r="AD1036" s="9" t="s">
        <v>163</v>
      </c>
      <c r="AE1036" s="9" t="s">
        <v>598</v>
      </c>
      <c r="AF1036" s="10"/>
      <c r="AG1036" s="10"/>
      <c r="AH1036" s="9"/>
      <c r="AI1036" s="9">
        <v>253545561</v>
      </c>
      <c r="AJ1036" s="9" t="s">
        <v>1060</v>
      </c>
      <c r="AK1036" s="10">
        <v>45792</v>
      </c>
      <c r="AL1036" s="10">
        <v>45805</v>
      </c>
      <c r="AM1036" s="10">
        <v>45807</v>
      </c>
      <c r="AN1036" s="9" t="s">
        <v>1492</v>
      </c>
      <c r="AO1036" s="9"/>
      <c r="AP1036" s="11">
        <f>IF($H1036="Cancelled","",IFERROR(IF(OR(AK1036="",AB1036=""),"",(AB1036+Variables!$B$18-AK1036)),""))</f>
        <v>0</v>
      </c>
      <c r="AQ1036" s="11">
        <f>IF($H1036="Cancelled","",IFERROR(IF(OR(AM1036="",AK1036=""),"",(AK1036+Variables!$B$19)-AM1036),""))</f>
        <v>-10</v>
      </c>
      <c r="AR1036" s="12">
        <f>IF($H1036="Cancelled","",IFERROR(T1036*INDEX(Variables!$B$7:$D$7,IFERROR(MATCH(IF($B1036="Robusta","Robusta",(IF($B1036="","Arabica",$B1036))&amp;" - "&amp;(IF($C1036="","Commercial",$C1036))),Variables!$B$1:$D$1,0),1))*(AQ1036/365),""))</f>
        <v>-22.343821126726503</v>
      </c>
      <c r="AS1036" s="12">
        <f>IF($H1036="Cancelled","",IFERROR((T1036*INDEX(Variables!$B$7:$D$7,IFERROR(MATCH(IF($B1036="Robusta","Robusta",(IF($B1036="","Arabica",$B1036))&amp;" - "&amp;(IF($C1036="","Commercial",$C1036))),Variables!$B$1:$D$1,0),1))*IFERROR(IF(W1036="","",(AVERAGE(E1036:F1036)-W1036)-Variables!$B$14),"")/365)+(L1036/16.67*INDEX(Variables!$B$8:$D$8,IFERROR(MATCH(IF($B1036="Robusta","Robusta",(IF($B1036="","Arabica",$B1036))&amp;" - "&amp;(IF($C1036="","Commercial",$C1036))),Variables!$B$1:$D$1,0),1))*IFERROR(IF(W1036="","",(AVERAGE(E1036:F1036)-W1036)-Variables!$B$14),""))+(T1036*INDEX(Variables!$B$9:$D$9,IFERROR(MATCH(IF($B1036="Robusta","Robusta",(IF($B1036="","Arabica",$B1036))&amp;" - "&amp;(IF($C1036="","Commercial",$C1036))),Variables!$B$1:$D$1,0),1))*IFERROR(IF(W1036="","",(AVERAGE(E1036:F1036)-W1036)-Variables!$B$14),"")/365),""))</f>
        <v>1.7065938050814422</v>
      </c>
      <c r="AT1036" s="12">
        <f>IF($H1036="Cancelled","",IFERROR((T1036*INDEX(Variables!$B$7:$D$7,IFERROR(MATCH(IF($B1036="Robusta","Robusta",(IF($B1036="","Arabica",$B1036))&amp;" - "&amp;(IF($C1036="","Commercial",$C1036))),Variables!$B$1:$D$1,0),1))*AC1036/365)+(L1036/16.67*INDEX(Variables!$B$8:$D$8,IFERROR(MATCH(IF($B1036="Robusta","Robusta",(IF($B1036="","Arabica",$B1036))&amp;" - "&amp;(IF($C1036="","Commercial",$C1036))),Variables!$B$1:$D$1,0),1))*AC1036)+(T1036*INDEX(Variables!$B$9:$D$9,IFERROR(MATCH(IF($B1036="Robusta","Robusta",(IF($B1036="","Arabica",$B1036))&amp;" - "&amp;(IF($C1036="","Commercial",$C1036))),Variables!$B$1:$D$1,0),1))*AC1036/365),""))</f>
        <v>10.239562830488653</v>
      </c>
      <c r="AU1036" s="12">
        <f>IF($H1036="Cancelled","",IFERROR((T1036*INDEX(Variables!$B$7:$D$7,IFERROR(MATCH(IF($B1036="Robusta","Robusta",(IF($B1036="","Arabica",$B1036))&amp;" - "&amp;(IF($C1036="","Commercial",$C1036))),Variables!$B$1:$D$1,0),1))*AP1036/365)+(L1036/16.67*INDEX(Variables!$B$8:$D$8,IFERROR(MATCH(IF($B1036="Robusta","Robusta",(IF($B1036="","Arabica",$B1036))&amp;" - "&amp;(IF($C1036="","Commercial",$C1036))),Variables!$B$1:$D$1,0),1))*AP1036)+(T1036*INDEX(Variables!$B$9:$D$9,IFERROR(MATCH(IF($B1036="Robusta","Robusta",(IF($B1036="","Arabica",$B1036))&amp;" - "&amp;(IF($C1036="","Commercial",$C1036))),Variables!$B$1:$D$1,0),1))*AP1036/365),""))</f>
        <v>0</v>
      </c>
      <c r="AV1036" s="11">
        <f t="shared" si="100"/>
        <v>-15</v>
      </c>
      <c r="AW1036" s="12">
        <f>IF($H1036="Cancelled","",IFERROR(IF(AV1036="","",(T1036*INDEX(Variables!$B$7:$D$7,IFERROR(MATCH(IF($B1036="Robusta","Robusta",(IF($B1036="","Arabica",$B1036))&amp;" - "&amp;(IF($C1036="","Commercial",$C1036))),Variables!$B$1:$D$1,0),1))*(AV1036/365))+(T1036*INDEX(Variables!$B$9:$D$9,IFERROR(MATCH(IF($B1036="Robusta","Robusta",(IF($B1036="","Arabica",$B1036))&amp;" - "&amp;(IF($C1036="","Commercial",$C1036))),Variables!$B$1:$D$1,0),1))*(AV1036/365))+(INDEX(Variables!$B$8:$D$8,IFERROR(MATCH(IF($B1036="Robusta","Robusta",(IF($B1036="","Arabica",$B1036))&amp;" - "&amp;(IF($C1036="","Commercial",$C1036))),Variables!$B$1:$D$1,0),1))*L1036/16.67)),""))</f>
        <v>-32.797814152443266</v>
      </c>
      <c r="AX1036" s="9"/>
      <c r="AY1036" s="12"/>
      <c r="AZ1036" s="10"/>
      <c r="BA1036" s="9"/>
      <c r="BB1036" s="10"/>
      <c r="BC1036" s="9"/>
      <c r="BD1036" s="9"/>
      <c r="BE1036" s="9"/>
      <c r="BF1036" s="9"/>
    </row>
    <row r="1037" spans="1:58" x14ac:dyDescent="0.25">
      <c r="A1037" s="9" t="s">
        <v>84</v>
      </c>
      <c r="B1037" s="9" t="s">
        <v>85</v>
      </c>
      <c r="C1037" s="9" t="s">
        <v>1486</v>
      </c>
      <c r="D1037" s="10">
        <v>45722</v>
      </c>
      <c r="E1037" s="10">
        <v>45748</v>
      </c>
      <c r="F1037" s="10">
        <v>45777</v>
      </c>
      <c r="G1037" s="9">
        <v>3786783</v>
      </c>
      <c r="H1037" s="9" t="str">
        <f t="shared" si="98"/>
        <v>Closed</v>
      </c>
      <c r="I1037" s="9" t="str">
        <f t="shared" si="99"/>
        <v>All dates received</v>
      </c>
      <c r="J1037" s="9" t="s">
        <v>225</v>
      </c>
      <c r="K1037" s="9" t="s">
        <v>2217</v>
      </c>
      <c r="L1037" s="11">
        <v>15</v>
      </c>
      <c r="M1037" s="9" t="s">
        <v>2218</v>
      </c>
      <c r="N1037" s="9"/>
      <c r="O1037" s="9"/>
      <c r="P1037" s="9"/>
      <c r="Q1037" s="11">
        <v>67</v>
      </c>
      <c r="R1037" s="9" t="s">
        <v>195</v>
      </c>
      <c r="S1037" s="9" t="s">
        <v>228</v>
      </c>
      <c r="T1037" s="12">
        <f>IF($H1037="Cancelled","",IFERROR(((Q1037+INDEX(Variables!$B$6:$D$6,IFERROR(MATCH(IF($B1037="Robusta","Robusta",(IF($B1037="","Arabica",$B1037))&amp;" - "&amp;(IF($C1037="","Commercial",$C1037))),Variables!$B$1:$D$1,0),1)))*22.0462)*(L1037/16.67),""))</f>
        <v>7097.8977444511092</v>
      </c>
      <c r="U1037" s="10"/>
      <c r="V1037" s="9" t="str">
        <f t="shared" si="101"/>
        <v/>
      </c>
      <c r="W1037" s="10">
        <v>45732</v>
      </c>
      <c r="X1037" s="9" t="str">
        <f t="shared" si="97"/>
        <v>Approved</v>
      </c>
      <c r="Y1037" s="10">
        <v>45773</v>
      </c>
      <c r="Z1037" s="10">
        <f>IF($H1037="Cancelled","",IFERROR(IF(F1037="","",F1037-Variables!$B$13),""))</f>
        <v>45762</v>
      </c>
      <c r="AA1037" s="11">
        <f>IF($H1037="Cancelled","",IFERROR(IF(W1037="","",(AVERAGE(E1037:F1037)-W1037)-Variables!$B$14),""))</f>
        <v>0.5</v>
      </c>
      <c r="AB1037" s="10">
        <v>45785</v>
      </c>
      <c r="AC1037" s="11">
        <f>IF($H1037="Cancelled","",IFERROR(IF(AB1037="","",IF(AND(W1037="",Y1037=""),"",IF(Y1037&gt;W1037,Y1037+Variables!$B$15+Variables!$B$16+Variables!$B$17-AB1037,W1037+Variables!$B$16+Variables!$B$17-AB1037))),""))</f>
        <v>3</v>
      </c>
      <c r="AD1037" s="9" t="s">
        <v>163</v>
      </c>
      <c r="AE1037" s="9" t="s">
        <v>598</v>
      </c>
      <c r="AF1037" s="10"/>
      <c r="AG1037" s="10"/>
      <c r="AH1037" s="9"/>
      <c r="AI1037" s="9">
        <v>253545561</v>
      </c>
      <c r="AJ1037" s="9" t="s">
        <v>1060</v>
      </c>
      <c r="AK1037" s="10">
        <v>45792</v>
      </c>
      <c r="AL1037" s="10">
        <v>45805</v>
      </c>
      <c r="AM1037" s="10">
        <v>45807</v>
      </c>
      <c r="AN1037" s="9" t="s">
        <v>1492</v>
      </c>
      <c r="AO1037" s="9"/>
      <c r="AP1037" s="11">
        <f>IF($H1037="Cancelled","",IFERROR(IF(OR(AK1037="",AB1037=""),"",(AB1037+Variables!$B$18-AK1037)),""))</f>
        <v>0</v>
      </c>
      <c r="AQ1037" s="11">
        <f>IF($H1037="Cancelled","",IFERROR(IF(OR(AM1037="",AK1037=""),"",(AK1037+Variables!$B$19)-AM1037),""))</f>
        <v>-10</v>
      </c>
      <c r="AR1037" s="12">
        <f>IF($H1037="Cancelled","",IFERROR(T1037*INDEX(Variables!$B$7:$D$7,IFERROR(MATCH(IF($B1037="Robusta","Robusta",(IF($B1037="","Arabica",$B1037))&amp;" - "&amp;(IF($C1037="","Commercial",$C1037))),Variables!$B$1:$D$1,0),1))*(AQ1037/365),""))</f>
        <v>-12.539398957184803</v>
      </c>
      <c r="AS1037" s="12">
        <f>IF($H1037="Cancelled","",IFERROR((T1037*INDEX(Variables!$B$7:$D$7,IFERROR(MATCH(IF($B1037="Robusta","Robusta",(IF($B1037="","Arabica",$B1037))&amp;" - "&amp;(IF($C1037="","Commercial",$C1037))),Variables!$B$1:$D$1,0),1))*IFERROR(IF(W1037="","",(AVERAGE(E1037:F1037)-W1037)-Variables!$B$14),"")/365)+(L1037/16.67*INDEX(Variables!$B$8:$D$8,IFERROR(MATCH(IF($B1037="Robusta","Robusta",(IF($B1037="","Arabica",$B1037))&amp;" - "&amp;(IF($C1037="","Commercial",$C1037))),Variables!$B$1:$D$1,0),1))*IFERROR(IF(W1037="","",(AVERAGE(E1037:F1037)-W1037)-Variables!$B$14),""))+(T1037*INDEX(Variables!$B$9:$D$9,IFERROR(MATCH(IF($B1037="Robusta","Robusta",(IF($B1037="","Arabica",$B1037))&amp;" - "&amp;(IF($C1037="","Commercial",$C1037))),Variables!$B$1:$D$1,0),1))*IFERROR(IF(W1037="","",(AVERAGE(E1037:F1037)-W1037)-Variables!$B$14),"")/365),""))</f>
        <v>1.0100528004550791</v>
      </c>
      <c r="AT1037" s="12">
        <f>IF($H1037="Cancelled","",IFERROR((T1037*INDEX(Variables!$B$7:$D$7,IFERROR(MATCH(IF($B1037="Robusta","Robusta",(IF($B1037="","Arabica",$B1037))&amp;" - "&amp;(IF($C1037="","Commercial",$C1037))),Variables!$B$1:$D$1,0),1))*AC1037/365)+(L1037/16.67*INDEX(Variables!$B$8:$D$8,IFERROR(MATCH(IF($B1037="Robusta","Robusta",(IF($B1037="","Arabica",$B1037))&amp;" - "&amp;(IF($C1037="","Commercial",$C1037))),Variables!$B$1:$D$1,0),1))*AC1037)+(T1037*INDEX(Variables!$B$9:$D$9,IFERROR(MATCH(IF($B1037="Robusta","Robusta",(IF($B1037="","Arabica",$B1037))&amp;" - "&amp;(IF($C1037="","Commercial",$C1037))),Variables!$B$1:$D$1,0),1))*AC1037/365),""))</f>
        <v>6.0603168027304726</v>
      </c>
      <c r="AU1037" s="12">
        <f>IF($H1037="Cancelled","",IFERROR((T1037*INDEX(Variables!$B$7:$D$7,IFERROR(MATCH(IF($B1037="Robusta","Robusta",(IF($B1037="","Arabica",$B1037))&amp;" - "&amp;(IF($C1037="","Commercial",$C1037))),Variables!$B$1:$D$1,0),1))*AP1037/365)+(L1037/16.67*INDEX(Variables!$B$8:$D$8,IFERROR(MATCH(IF($B1037="Robusta","Robusta",(IF($B1037="","Arabica",$B1037))&amp;" - "&amp;(IF($C1037="","Commercial",$C1037))),Variables!$B$1:$D$1,0),1))*AP1037)+(T1037*INDEX(Variables!$B$9:$D$9,IFERROR(MATCH(IF($B1037="Robusta","Robusta",(IF($B1037="","Arabica",$B1037))&amp;" - "&amp;(IF($C1037="","Commercial",$C1037))),Variables!$B$1:$D$1,0),1))*AP1037/365),""))</f>
        <v>0</v>
      </c>
      <c r="AV1037" s="11">
        <f t="shared" si="100"/>
        <v>-15</v>
      </c>
      <c r="AW1037" s="12">
        <f>IF($H1037="Cancelled","",IFERROR(IF(AV1037="","",(T1037*INDEX(Variables!$B$7:$D$7,IFERROR(MATCH(IF($B1037="Robusta","Robusta",(IF($B1037="","Arabica",$B1037))&amp;" - "&amp;(IF($C1037="","Commercial",$C1037))),Variables!$B$1:$D$1,0),1))*(AV1037/365))+(T1037*INDEX(Variables!$B$9:$D$9,IFERROR(MATCH(IF($B1037="Robusta","Robusta",(IF($B1037="","Arabica",$B1037))&amp;" - "&amp;(IF($C1037="","Commercial",$C1037))),Variables!$B$1:$D$1,0),1))*(AV1037/365))+(INDEX(Variables!$B$8:$D$8,IFERROR(MATCH(IF($B1037="Robusta","Robusta",(IF($B1037="","Arabica",$B1037))&amp;" - "&amp;(IF($C1037="","Commercial",$C1037))),Variables!$B$1:$D$1,0),1))*L1037/16.67)),""))</f>
        <v>-18.301584013652363</v>
      </c>
      <c r="AX1037" s="9"/>
      <c r="AY1037" s="12"/>
      <c r="AZ1037" s="10"/>
      <c r="BA1037" s="9"/>
      <c r="BB1037" s="10"/>
      <c r="BC1037" s="9"/>
      <c r="BD1037" s="9"/>
      <c r="BE1037" s="9"/>
      <c r="BF1037" s="9"/>
    </row>
    <row r="1038" spans="1:58" x14ac:dyDescent="0.25">
      <c r="A1038" s="9" t="s">
        <v>84</v>
      </c>
      <c r="B1038" s="9" t="s">
        <v>85</v>
      </c>
      <c r="C1038" s="9" t="s">
        <v>1486</v>
      </c>
      <c r="D1038" s="10">
        <v>45722</v>
      </c>
      <c r="E1038" s="10">
        <v>45748</v>
      </c>
      <c r="F1038" s="10">
        <v>45777</v>
      </c>
      <c r="G1038" s="9">
        <v>3786784</v>
      </c>
      <c r="H1038" s="9" t="str">
        <f t="shared" si="98"/>
        <v>Closed</v>
      </c>
      <c r="I1038" s="9" t="str">
        <f t="shared" si="99"/>
        <v>All dates received</v>
      </c>
      <c r="J1038" s="9" t="s">
        <v>225</v>
      </c>
      <c r="K1038" s="9" t="s">
        <v>2219</v>
      </c>
      <c r="L1038" s="11">
        <v>5</v>
      </c>
      <c r="M1038" s="9" t="s">
        <v>2220</v>
      </c>
      <c r="N1038" s="9"/>
      <c r="O1038" s="9"/>
      <c r="P1038" s="9"/>
      <c r="Q1038" s="11">
        <v>103</v>
      </c>
      <c r="R1038" s="9" t="s">
        <v>195</v>
      </c>
      <c r="S1038" s="9" t="s">
        <v>228</v>
      </c>
      <c r="T1038" s="12">
        <f>IF($H1038="Cancelled","",IFERROR(((Q1038+INDEX(Variables!$B$6:$D$6,IFERROR(MATCH(IF($B1038="Robusta","Robusta",(IF($B1038="","Arabica",$B1038))&amp;" - "&amp;(IF($C1038="","Commercial",$C1038))),Variables!$B$1:$D$1,0),1)))*22.0462)*(L1038/16.67),""))</f>
        <v>2604.0172645470902</v>
      </c>
      <c r="U1038" s="10"/>
      <c r="V1038" s="9" t="str">
        <f t="shared" si="101"/>
        <v/>
      </c>
      <c r="W1038" s="10">
        <v>45732</v>
      </c>
      <c r="X1038" s="9" t="str">
        <f t="shared" si="97"/>
        <v>Approved</v>
      </c>
      <c r="Y1038" s="10">
        <v>45773</v>
      </c>
      <c r="Z1038" s="10">
        <f>IF($H1038="Cancelled","",IFERROR(IF(F1038="","",F1038-Variables!$B$13),""))</f>
        <v>45762</v>
      </c>
      <c r="AA1038" s="11">
        <f>IF($H1038="Cancelled","",IFERROR(IF(W1038="","",(AVERAGE(E1038:F1038)-W1038)-Variables!$B$14),""))</f>
        <v>0.5</v>
      </c>
      <c r="AB1038" s="10">
        <v>45785</v>
      </c>
      <c r="AC1038" s="11">
        <f>IF($H1038="Cancelled","",IFERROR(IF(AB1038="","",IF(AND(W1038="",Y1038=""),"",IF(Y1038&gt;W1038,Y1038+Variables!$B$15+Variables!$B$16+Variables!$B$17-AB1038,W1038+Variables!$B$16+Variables!$B$17-AB1038))),""))</f>
        <v>3</v>
      </c>
      <c r="AD1038" s="9" t="s">
        <v>163</v>
      </c>
      <c r="AE1038" s="9" t="s">
        <v>598</v>
      </c>
      <c r="AF1038" s="10"/>
      <c r="AG1038" s="10"/>
      <c r="AH1038" s="9"/>
      <c r="AI1038" s="9">
        <v>253545561</v>
      </c>
      <c r="AJ1038" s="9" t="s">
        <v>1060</v>
      </c>
      <c r="AK1038" s="10">
        <v>45792</v>
      </c>
      <c r="AL1038" s="10">
        <v>45805</v>
      </c>
      <c r="AM1038" s="10">
        <v>45807</v>
      </c>
      <c r="AN1038" s="9" t="s">
        <v>1492</v>
      </c>
      <c r="AO1038" s="9"/>
      <c r="AP1038" s="11">
        <f>IF($H1038="Cancelled","",IFERROR(IF(OR(AK1038="",AB1038=""),"",(AB1038+Variables!$B$18-AK1038)),""))</f>
        <v>0</v>
      </c>
      <c r="AQ1038" s="11">
        <f>IF($H1038="Cancelled","",IFERROR(IF(OR(AM1038="",AK1038=""),"",(AK1038+Variables!$B$19)-AM1038),""))</f>
        <v>-10</v>
      </c>
      <c r="AR1038" s="12">
        <f>IF($H1038="Cancelled","",IFERROR(T1038*INDEX(Variables!$B$7:$D$7,IFERROR(MATCH(IF($B1038="Robusta","Robusta",(IF($B1038="","Arabica",$B1038))&amp;" - "&amp;(IF($C1038="","Commercial",$C1038))),Variables!$B$1:$D$1,0),1))*(AQ1038/365),""))</f>
        <v>-4.6003496453692705</v>
      </c>
      <c r="AS1038" s="12">
        <f>IF($H1038="Cancelled","",IFERROR((T1038*INDEX(Variables!$B$7:$D$7,IFERROR(MATCH(IF($B1038="Robusta","Robusta",(IF($B1038="","Arabica",$B1038))&amp;" - "&amp;(IF($C1038="","Commercial",$C1038))),Variables!$B$1:$D$1,0),1))*IFERROR(IF(W1038="","",(AVERAGE(E1038:F1038)-W1038)-Variables!$B$14),"")/365)+(L1038/16.67*INDEX(Variables!$B$8:$D$8,IFERROR(MATCH(IF($B1038="Robusta","Robusta",(IF($B1038="","Arabica",$B1038))&amp;" - "&amp;(IF($C1038="","Commercial",$C1038))),Variables!$B$1:$D$1,0),1))*IFERROR(IF(W1038="","",(AVERAGE(E1038:F1038)-W1038)-Variables!$B$14),""))+(T1038*INDEX(Variables!$B$9:$D$9,IFERROR(MATCH(IF($B1038="Robusta","Robusta",(IF($B1038="","Arabica",$B1038))&amp;" - "&amp;(IF($C1038="","Commercial",$C1038))),Variables!$B$1:$D$1,0),1))*IFERROR(IF(W1038="","",(AVERAGE(E1038:F1038)-W1038)-Variables!$B$14),"")/365),""))</f>
        <v>0.35798285151780324</v>
      </c>
      <c r="AT1038" s="12">
        <f>IF($H1038="Cancelled","",IFERROR((T1038*INDEX(Variables!$B$7:$D$7,IFERROR(MATCH(IF($B1038="Robusta","Robusta",(IF($B1038="","Arabica",$B1038))&amp;" - "&amp;(IF($C1038="","Commercial",$C1038))),Variables!$B$1:$D$1,0),1))*AC1038/365)+(L1038/16.67*INDEX(Variables!$B$8:$D$8,IFERROR(MATCH(IF($B1038="Robusta","Robusta",(IF($B1038="","Arabica",$B1038))&amp;" - "&amp;(IF($C1038="","Commercial",$C1038))),Variables!$B$1:$D$1,0),1))*AC1038)+(T1038*INDEX(Variables!$B$9:$D$9,IFERROR(MATCH(IF($B1038="Robusta","Robusta",(IF($B1038="","Arabica",$B1038))&amp;" - "&amp;(IF($C1038="","Commercial",$C1038))),Variables!$B$1:$D$1,0),1))*AC1038/365),""))</f>
        <v>2.1478971091068195</v>
      </c>
      <c r="AU1038" s="12">
        <f>IF($H1038="Cancelled","",IFERROR((T1038*INDEX(Variables!$B$7:$D$7,IFERROR(MATCH(IF($B1038="Robusta","Robusta",(IF($B1038="","Arabica",$B1038))&amp;" - "&amp;(IF($C1038="","Commercial",$C1038))),Variables!$B$1:$D$1,0),1))*AP1038/365)+(L1038/16.67*INDEX(Variables!$B$8:$D$8,IFERROR(MATCH(IF($B1038="Robusta","Robusta",(IF($B1038="","Arabica",$B1038))&amp;" - "&amp;(IF($C1038="","Commercial",$C1038))),Variables!$B$1:$D$1,0),1))*AP1038)+(T1038*INDEX(Variables!$B$9:$D$9,IFERROR(MATCH(IF($B1038="Robusta","Robusta",(IF($B1038="","Arabica",$B1038))&amp;" - "&amp;(IF($C1038="","Commercial",$C1038))),Variables!$B$1:$D$1,0),1))*AP1038/365),""))</f>
        <v>0</v>
      </c>
      <c r="AV1038" s="11">
        <f t="shared" si="100"/>
        <v>-15</v>
      </c>
      <c r="AW1038" s="12">
        <f>IF($H1038="Cancelled","",IFERROR(IF(AV1038="","",(T1038*INDEX(Variables!$B$7:$D$7,IFERROR(MATCH(IF($B1038="Robusta","Robusta",(IF($B1038="","Arabica",$B1038))&amp;" - "&amp;(IF($C1038="","Commercial",$C1038))),Variables!$B$1:$D$1,0),1))*(AV1038/365))+(T1038*INDEX(Variables!$B$9:$D$9,IFERROR(MATCH(IF($B1038="Robusta","Robusta",(IF($B1038="","Arabica",$B1038))&amp;" - "&amp;(IF($C1038="","Commercial",$C1038))),Variables!$B$1:$D$1,0),1))*(AV1038/365))+(INDEX(Variables!$B$8:$D$8,IFERROR(MATCH(IF($B1038="Robusta","Robusta",(IF($B1038="","Arabica",$B1038))&amp;" - "&amp;(IF($C1038="","Commercial",$C1038))),Variables!$B$1:$D$1,0),1))*L1038/16.67)),""))</f>
        <v>-6.7394855455340972</v>
      </c>
      <c r="AX1038" s="9"/>
      <c r="AY1038" s="12"/>
      <c r="AZ1038" s="10"/>
      <c r="BA1038" s="9"/>
      <c r="BB1038" s="10"/>
      <c r="BC1038" s="9"/>
      <c r="BD1038" s="9"/>
      <c r="BE1038" s="9"/>
      <c r="BF1038" s="9"/>
    </row>
    <row r="1039" spans="1:58" x14ac:dyDescent="0.25">
      <c r="A1039" s="9" t="s">
        <v>84</v>
      </c>
      <c r="B1039" s="9" t="s">
        <v>85</v>
      </c>
      <c r="C1039" s="9" t="s">
        <v>1486</v>
      </c>
      <c r="D1039" s="10">
        <v>45722</v>
      </c>
      <c r="E1039" s="10">
        <v>45748</v>
      </c>
      <c r="F1039" s="10">
        <v>45777</v>
      </c>
      <c r="G1039" s="9">
        <v>3786785</v>
      </c>
      <c r="H1039" s="9" t="str">
        <f t="shared" si="98"/>
        <v>Closed</v>
      </c>
      <c r="I1039" s="9" t="str">
        <f t="shared" si="99"/>
        <v>All dates received</v>
      </c>
      <c r="J1039" s="9" t="s">
        <v>225</v>
      </c>
      <c r="K1039" s="9" t="s">
        <v>2221</v>
      </c>
      <c r="L1039" s="11">
        <v>5</v>
      </c>
      <c r="M1039" s="9" t="s">
        <v>2222</v>
      </c>
      <c r="N1039" s="9"/>
      <c r="O1039" s="9"/>
      <c r="P1039" s="9"/>
      <c r="Q1039" s="11">
        <v>89</v>
      </c>
      <c r="R1039" s="9" t="s">
        <v>195</v>
      </c>
      <c r="S1039" s="9" t="s">
        <v>228</v>
      </c>
      <c r="T1039" s="12">
        <f>IF($H1039="Cancelled","",IFERROR(((Q1039+INDEX(Variables!$B$6:$D$6,IFERROR(MATCH(IF($B1039="Robusta","Robusta",(IF($B1039="","Arabica",$B1039))&amp;" - "&amp;(IF($C1039="","Commercial",$C1039))),Variables!$B$1:$D$1,0),1)))*22.0462)*(L1039/16.67),""))</f>
        <v>2511.4417396520694</v>
      </c>
      <c r="U1039" s="10"/>
      <c r="V1039" s="9" t="str">
        <f t="shared" si="101"/>
        <v/>
      </c>
      <c r="W1039" s="10">
        <v>45732</v>
      </c>
      <c r="X1039" s="9" t="str">
        <f t="shared" si="97"/>
        <v>Approved</v>
      </c>
      <c r="Y1039" s="10">
        <v>45773</v>
      </c>
      <c r="Z1039" s="10">
        <f>IF($H1039="Cancelled","",IFERROR(IF(F1039="","",F1039-Variables!$B$13),""))</f>
        <v>45762</v>
      </c>
      <c r="AA1039" s="11">
        <f>IF($H1039="Cancelled","",IFERROR(IF(W1039="","",(AVERAGE(E1039:F1039)-W1039)-Variables!$B$14),""))</f>
        <v>0.5</v>
      </c>
      <c r="AB1039" s="10">
        <v>45785</v>
      </c>
      <c r="AC1039" s="11">
        <f>IF($H1039="Cancelled","",IFERROR(IF(AB1039="","",IF(AND(W1039="",Y1039=""),"",IF(Y1039&gt;W1039,Y1039+Variables!$B$15+Variables!$B$16+Variables!$B$17-AB1039,W1039+Variables!$B$16+Variables!$B$17-AB1039))),""))</f>
        <v>3</v>
      </c>
      <c r="AD1039" s="9" t="s">
        <v>163</v>
      </c>
      <c r="AE1039" s="9" t="s">
        <v>598</v>
      </c>
      <c r="AF1039" s="10"/>
      <c r="AG1039" s="10"/>
      <c r="AH1039" s="9"/>
      <c r="AI1039" s="9">
        <v>253545561</v>
      </c>
      <c r="AJ1039" s="9" t="s">
        <v>1060</v>
      </c>
      <c r="AK1039" s="10">
        <v>45792</v>
      </c>
      <c r="AL1039" s="10">
        <v>45805</v>
      </c>
      <c r="AM1039" s="10">
        <v>45807</v>
      </c>
      <c r="AN1039" s="9" t="s">
        <v>1492</v>
      </c>
      <c r="AO1039" s="9"/>
      <c r="AP1039" s="11">
        <f>IF($H1039="Cancelled","",IFERROR(IF(OR(AK1039="",AB1039=""),"",(AB1039+Variables!$B$18-AK1039)),""))</f>
        <v>0</v>
      </c>
      <c r="AQ1039" s="11">
        <f>IF($H1039="Cancelled","",IFERROR(IF(OR(AM1039="",AK1039=""),"",(AK1039+Variables!$B$19)-AM1039),""))</f>
        <v>-10</v>
      </c>
      <c r="AR1039" s="12">
        <f>IF($H1039="Cancelled","",IFERROR(T1039*INDEX(Variables!$B$7:$D$7,IFERROR(MATCH(IF($B1039="Robusta","Robusta",(IF($B1039="","Arabica",$B1039))&amp;" - "&amp;(IF($C1039="","Commercial",$C1039))),Variables!$B$1:$D$1,0),1))*(AQ1039/365),""))</f>
        <v>-4.4368024258792511</v>
      </c>
      <c r="AS1039" s="12">
        <f>IF($H1039="Cancelled","",IFERROR((T1039*INDEX(Variables!$B$7:$D$7,IFERROR(MATCH(IF($B1039="Robusta","Robusta",(IF($B1039="","Arabica",$B1039))&amp;" - "&amp;(IF($C1039="","Commercial",$C1039))),Variables!$B$1:$D$1,0),1))*IFERROR(IF(W1039="","",(AVERAGE(E1039:F1039)-W1039)-Variables!$B$14),"")/365)+(L1039/16.67*INDEX(Variables!$B$8:$D$8,IFERROR(MATCH(IF($B1039="Robusta","Robusta",(IF($B1039="","Arabica",$B1039))&amp;" - "&amp;(IF($C1039="","Commercial",$C1039))),Variables!$B$1:$D$1,0),1))*IFERROR(IF(W1039="","",(AVERAGE(E1039:F1039)-W1039)-Variables!$B$14),""))+(T1039*INDEX(Variables!$B$9:$D$9,IFERROR(MATCH(IF($B1039="Robusta","Robusta",(IF($B1039="","Arabica",$B1039))&amp;" - "&amp;(IF($C1039="","Commercial",$C1039))),Variables!$B$1:$D$1,0),1))*IFERROR(IF(W1039="","",(AVERAGE(E1039:F1039)-W1039)-Variables!$B$14),"")/365),""))</f>
        <v>0.34970006857913077</v>
      </c>
      <c r="AT1039" s="12">
        <f>IF($H1039="Cancelled","",IFERROR((T1039*INDEX(Variables!$B$7:$D$7,IFERROR(MATCH(IF($B1039="Robusta","Robusta",(IF($B1039="","Arabica",$B1039))&amp;" - "&amp;(IF($C1039="","Commercial",$C1039))),Variables!$B$1:$D$1,0),1))*AC1039/365)+(L1039/16.67*INDEX(Variables!$B$8:$D$8,IFERROR(MATCH(IF($B1039="Robusta","Robusta",(IF($B1039="","Arabica",$B1039))&amp;" - "&amp;(IF($C1039="","Commercial",$C1039))),Variables!$B$1:$D$1,0),1))*AC1039)+(T1039*INDEX(Variables!$B$9:$D$9,IFERROR(MATCH(IF($B1039="Robusta","Robusta",(IF($B1039="","Arabica",$B1039))&amp;" - "&amp;(IF($C1039="","Commercial",$C1039))),Variables!$B$1:$D$1,0),1))*AC1039/365),""))</f>
        <v>2.0982004114747843</v>
      </c>
      <c r="AU1039" s="12">
        <f>IF($H1039="Cancelled","",IFERROR((T1039*INDEX(Variables!$B$7:$D$7,IFERROR(MATCH(IF($B1039="Robusta","Robusta",(IF($B1039="","Arabica",$B1039))&amp;" - "&amp;(IF($C1039="","Commercial",$C1039))),Variables!$B$1:$D$1,0),1))*AP1039/365)+(L1039/16.67*INDEX(Variables!$B$8:$D$8,IFERROR(MATCH(IF($B1039="Robusta","Robusta",(IF($B1039="","Arabica",$B1039))&amp;" - "&amp;(IF($C1039="","Commercial",$C1039))),Variables!$B$1:$D$1,0),1))*AP1039)+(T1039*INDEX(Variables!$B$9:$D$9,IFERROR(MATCH(IF($B1039="Robusta","Robusta",(IF($B1039="","Arabica",$B1039))&amp;" - "&amp;(IF($C1039="","Commercial",$C1039))),Variables!$B$1:$D$1,0),1))*AP1039/365),""))</f>
        <v>0</v>
      </c>
      <c r="AV1039" s="11">
        <f t="shared" si="100"/>
        <v>-15</v>
      </c>
      <c r="AW1039" s="12">
        <f>IF($H1039="Cancelled","",IFERROR(IF(AV1039="","",(T1039*INDEX(Variables!$B$7:$D$7,IFERROR(MATCH(IF($B1039="Robusta","Robusta",(IF($B1039="","Arabica",$B1039))&amp;" - "&amp;(IF($C1039="","Commercial",$C1039))),Variables!$B$1:$D$1,0),1))*(AV1039/365))+(T1039*INDEX(Variables!$B$9:$D$9,IFERROR(MATCH(IF($B1039="Robusta","Robusta",(IF($B1039="","Arabica",$B1039))&amp;" - "&amp;(IF($C1039="","Commercial",$C1039))),Variables!$B$1:$D$1,0),1))*(AV1039/365))+(INDEX(Variables!$B$8:$D$8,IFERROR(MATCH(IF($B1039="Robusta","Robusta",(IF($B1039="","Arabica",$B1039))&amp;" - "&amp;(IF($C1039="","Commercial",$C1039))),Variables!$B$1:$D$1,0),1))*L1039/16.67)),""))</f>
        <v>-6.4910020573739224</v>
      </c>
      <c r="AX1039" s="9"/>
      <c r="AY1039" s="12"/>
      <c r="AZ1039" s="10"/>
      <c r="BA1039" s="9"/>
      <c r="BB1039" s="10"/>
      <c r="BC1039" s="9"/>
      <c r="BD1039" s="9"/>
      <c r="BE1039" s="9"/>
      <c r="BF1039" s="9"/>
    </row>
    <row r="1040" spans="1:58" x14ac:dyDescent="0.25">
      <c r="A1040" s="9" t="s">
        <v>84</v>
      </c>
      <c r="B1040" s="9" t="s">
        <v>85</v>
      </c>
      <c r="C1040" s="9" t="s">
        <v>1486</v>
      </c>
      <c r="D1040" s="10">
        <v>45722</v>
      </c>
      <c r="E1040" s="10">
        <v>45748</v>
      </c>
      <c r="F1040" s="10">
        <v>45777</v>
      </c>
      <c r="G1040" s="9">
        <v>3786786</v>
      </c>
      <c r="H1040" s="9" t="str">
        <f t="shared" si="98"/>
        <v>Closed</v>
      </c>
      <c r="I1040" s="9" t="str">
        <f t="shared" si="99"/>
        <v>All dates received</v>
      </c>
      <c r="J1040" s="9" t="s">
        <v>225</v>
      </c>
      <c r="K1040" s="9" t="s">
        <v>2223</v>
      </c>
      <c r="L1040" s="11">
        <v>5</v>
      </c>
      <c r="M1040" s="9" t="s">
        <v>2224</v>
      </c>
      <c r="N1040" s="9"/>
      <c r="O1040" s="9"/>
      <c r="P1040" s="9"/>
      <c r="Q1040" s="11">
        <v>90</v>
      </c>
      <c r="R1040" s="9" t="s">
        <v>195</v>
      </c>
      <c r="S1040" s="9" t="s">
        <v>228</v>
      </c>
      <c r="T1040" s="12">
        <f>IF($H1040="Cancelled","",IFERROR(((Q1040+INDEX(Variables!$B$6:$D$6,IFERROR(MATCH(IF($B1040="Robusta","Robusta",(IF($B1040="","Arabica",$B1040))&amp;" - "&amp;(IF($C1040="","Commercial",$C1040))),Variables!$B$1:$D$1,0),1)))*22.0462)*(L1040/16.67),""))</f>
        <v>2518.0542771445707</v>
      </c>
      <c r="U1040" s="10"/>
      <c r="V1040" s="9" t="str">
        <f t="shared" si="101"/>
        <v/>
      </c>
      <c r="W1040" s="10">
        <v>45732</v>
      </c>
      <c r="X1040" s="9" t="str">
        <f t="shared" si="97"/>
        <v>Approved</v>
      </c>
      <c r="Y1040" s="10">
        <v>45773</v>
      </c>
      <c r="Z1040" s="10">
        <f>IF($H1040="Cancelled","",IFERROR(IF(F1040="","",F1040-Variables!$B$13),""))</f>
        <v>45762</v>
      </c>
      <c r="AA1040" s="11">
        <f>IF($H1040="Cancelled","",IFERROR(IF(W1040="","",(AVERAGE(E1040:F1040)-W1040)-Variables!$B$14),""))</f>
        <v>0.5</v>
      </c>
      <c r="AB1040" s="10">
        <v>45785</v>
      </c>
      <c r="AC1040" s="11">
        <f>IF($H1040="Cancelled","",IFERROR(IF(AB1040="","",IF(AND(W1040="",Y1040=""),"",IF(Y1040&gt;W1040,Y1040+Variables!$B$15+Variables!$B$16+Variables!$B$17-AB1040,W1040+Variables!$B$16+Variables!$B$17-AB1040))),""))</f>
        <v>3</v>
      </c>
      <c r="AD1040" s="9" t="s">
        <v>163</v>
      </c>
      <c r="AE1040" s="9" t="s">
        <v>598</v>
      </c>
      <c r="AF1040" s="10"/>
      <c r="AG1040" s="10"/>
      <c r="AH1040" s="9"/>
      <c r="AI1040" s="9">
        <v>253545561</v>
      </c>
      <c r="AJ1040" s="9" t="s">
        <v>1060</v>
      </c>
      <c r="AK1040" s="10">
        <v>45792</v>
      </c>
      <c r="AL1040" s="10">
        <v>45805</v>
      </c>
      <c r="AM1040" s="10">
        <v>45807</v>
      </c>
      <c r="AN1040" s="9" t="s">
        <v>1492</v>
      </c>
      <c r="AO1040" s="9"/>
      <c r="AP1040" s="11">
        <f>IF($H1040="Cancelled","",IFERROR(IF(OR(AK1040="",AB1040=""),"",(AB1040+Variables!$B$18-AK1040)),""))</f>
        <v>0</v>
      </c>
      <c r="AQ1040" s="11">
        <f>IF($H1040="Cancelled","",IFERROR(IF(OR(AM1040="",AK1040=""),"",(AK1040+Variables!$B$19)-AM1040),""))</f>
        <v>-10</v>
      </c>
      <c r="AR1040" s="12">
        <f>IF($H1040="Cancelled","",IFERROR(T1040*INDEX(Variables!$B$7:$D$7,IFERROR(MATCH(IF($B1040="Robusta","Robusta",(IF($B1040="","Arabica",$B1040))&amp;" - "&amp;(IF($C1040="","Commercial",$C1040))),Variables!$B$1:$D$1,0),1))*(AQ1040/365),""))</f>
        <v>-4.4484843701285381</v>
      </c>
      <c r="AS1040" s="12">
        <f>IF($H1040="Cancelled","",IFERROR((T1040*INDEX(Variables!$B$7:$D$7,IFERROR(MATCH(IF($B1040="Robusta","Robusta",(IF($B1040="","Arabica",$B1040))&amp;" - "&amp;(IF($C1040="","Commercial",$C1040))),Variables!$B$1:$D$1,0),1))*IFERROR(IF(W1040="","",(AVERAGE(E1040:F1040)-W1040)-Variables!$B$14),"")/365)+(L1040/16.67*INDEX(Variables!$B$8:$D$8,IFERROR(MATCH(IF($B1040="Robusta","Robusta",(IF($B1040="","Arabica",$B1040))&amp;" - "&amp;(IF($C1040="","Commercial",$C1040))),Variables!$B$1:$D$1,0),1))*IFERROR(IF(W1040="","",(AVERAGE(E1040:F1040)-W1040)-Variables!$B$14),""))+(T1040*INDEX(Variables!$B$9:$D$9,IFERROR(MATCH(IF($B1040="Robusta","Robusta",(IF($B1040="","Arabica",$B1040))&amp;" - "&amp;(IF($C1040="","Commercial",$C1040))),Variables!$B$1:$D$1,0),1))*IFERROR(IF(W1040="","",(AVERAGE(E1040:F1040)-W1040)-Variables!$B$14),"")/365),""))</f>
        <v>0.35029169593189302</v>
      </c>
      <c r="AT1040" s="12">
        <f>IF($H1040="Cancelled","",IFERROR((T1040*INDEX(Variables!$B$7:$D$7,IFERROR(MATCH(IF($B1040="Robusta","Robusta",(IF($B1040="","Arabica",$B1040))&amp;" - "&amp;(IF($C1040="","Commercial",$C1040))),Variables!$B$1:$D$1,0),1))*AC1040/365)+(L1040/16.67*INDEX(Variables!$B$8:$D$8,IFERROR(MATCH(IF($B1040="Robusta","Robusta",(IF($B1040="","Arabica",$B1040))&amp;" - "&amp;(IF($C1040="","Commercial",$C1040))),Variables!$B$1:$D$1,0),1))*AC1040)+(T1040*INDEX(Variables!$B$9:$D$9,IFERROR(MATCH(IF($B1040="Robusta","Robusta",(IF($B1040="","Arabica",$B1040))&amp;" - "&amp;(IF($C1040="","Commercial",$C1040))),Variables!$B$1:$D$1,0),1))*AC1040/365),""))</f>
        <v>2.1017501755913583</v>
      </c>
      <c r="AU1040" s="12">
        <f>IF($H1040="Cancelled","",IFERROR((T1040*INDEX(Variables!$B$7:$D$7,IFERROR(MATCH(IF($B1040="Robusta","Robusta",(IF($B1040="","Arabica",$B1040))&amp;" - "&amp;(IF($C1040="","Commercial",$C1040))),Variables!$B$1:$D$1,0),1))*AP1040/365)+(L1040/16.67*INDEX(Variables!$B$8:$D$8,IFERROR(MATCH(IF($B1040="Robusta","Robusta",(IF($B1040="","Arabica",$B1040))&amp;" - "&amp;(IF($C1040="","Commercial",$C1040))),Variables!$B$1:$D$1,0),1))*AP1040)+(T1040*INDEX(Variables!$B$9:$D$9,IFERROR(MATCH(IF($B1040="Robusta","Robusta",(IF($B1040="","Arabica",$B1040))&amp;" - "&amp;(IF($C1040="","Commercial",$C1040))),Variables!$B$1:$D$1,0),1))*AP1040/365),""))</f>
        <v>0</v>
      </c>
      <c r="AV1040" s="11">
        <f t="shared" si="100"/>
        <v>-15</v>
      </c>
      <c r="AW1040" s="12">
        <f>IF($H1040="Cancelled","",IFERROR(IF(AV1040="","",(T1040*INDEX(Variables!$B$7:$D$7,IFERROR(MATCH(IF($B1040="Robusta","Robusta",(IF($B1040="","Arabica",$B1040))&amp;" - "&amp;(IF($C1040="","Commercial",$C1040))),Variables!$B$1:$D$1,0),1))*(AV1040/365))+(T1040*INDEX(Variables!$B$9:$D$9,IFERROR(MATCH(IF($B1040="Robusta","Robusta",(IF($B1040="","Arabica",$B1040))&amp;" - "&amp;(IF($C1040="","Commercial",$C1040))),Variables!$B$1:$D$1,0),1))*(AV1040/365))+(INDEX(Variables!$B$8:$D$8,IFERROR(MATCH(IF($B1040="Robusta","Robusta",(IF($B1040="","Arabica",$B1040))&amp;" - "&amp;(IF($C1040="","Commercial",$C1040))),Variables!$B$1:$D$1,0),1))*L1040/16.67)),""))</f>
        <v>-6.5087508779567917</v>
      </c>
      <c r="AX1040" s="9"/>
      <c r="AY1040" s="12"/>
      <c r="AZ1040" s="10"/>
      <c r="BA1040" s="9"/>
      <c r="BB1040" s="10"/>
      <c r="BC1040" s="9"/>
      <c r="BD1040" s="9"/>
      <c r="BE1040" s="9"/>
      <c r="BF1040" s="9"/>
    </row>
    <row r="1041" spans="1:58" x14ac:dyDescent="0.25">
      <c r="A1041" s="9" t="s">
        <v>84</v>
      </c>
      <c r="B1041" s="9" t="s">
        <v>85</v>
      </c>
      <c r="C1041" s="9" t="s">
        <v>1486</v>
      </c>
      <c r="D1041" s="10">
        <v>45722</v>
      </c>
      <c r="E1041" s="10">
        <v>45748</v>
      </c>
      <c r="F1041" s="10">
        <v>45777</v>
      </c>
      <c r="G1041" s="9">
        <v>3786787</v>
      </c>
      <c r="H1041" s="9" t="str">
        <f t="shared" si="98"/>
        <v>Closed</v>
      </c>
      <c r="I1041" s="9" t="str">
        <f t="shared" si="99"/>
        <v>All dates received</v>
      </c>
      <c r="J1041" s="9" t="s">
        <v>225</v>
      </c>
      <c r="K1041" s="9" t="s">
        <v>2225</v>
      </c>
      <c r="L1041" s="11">
        <v>5</v>
      </c>
      <c r="M1041" s="9" t="s">
        <v>2226</v>
      </c>
      <c r="N1041" s="9"/>
      <c r="O1041" s="9"/>
      <c r="P1041" s="9"/>
      <c r="Q1041" s="11">
        <v>94</v>
      </c>
      <c r="R1041" s="9" t="s">
        <v>195</v>
      </c>
      <c r="S1041" s="9" t="s">
        <v>228</v>
      </c>
      <c r="T1041" s="12">
        <f>IF($H1041="Cancelled","",IFERROR(((Q1041+INDEX(Variables!$B$6:$D$6,IFERROR(MATCH(IF($B1041="Robusta","Robusta",(IF($B1041="","Arabica",$B1041))&amp;" - "&amp;(IF($C1041="","Commercial",$C1041))),Variables!$B$1:$D$1,0),1)))*22.0462)*(L1041/16.67),""))</f>
        <v>2544.5044271145766</v>
      </c>
      <c r="U1041" s="10"/>
      <c r="V1041" s="9" t="str">
        <f t="shared" si="101"/>
        <v/>
      </c>
      <c r="W1041" s="10">
        <v>45732</v>
      </c>
      <c r="X1041" s="9" t="str">
        <f t="shared" si="97"/>
        <v>Approved</v>
      </c>
      <c r="Y1041" s="10">
        <v>45773</v>
      </c>
      <c r="Z1041" s="10">
        <f>IF($H1041="Cancelled","",IFERROR(IF(F1041="","",F1041-Variables!$B$13),""))</f>
        <v>45762</v>
      </c>
      <c r="AA1041" s="11">
        <f>IF($H1041="Cancelled","",IFERROR(IF(W1041="","",(AVERAGE(E1041:F1041)-W1041)-Variables!$B$14),""))</f>
        <v>0.5</v>
      </c>
      <c r="AB1041" s="10">
        <v>45785</v>
      </c>
      <c r="AC1041" s="11">
        <f>IF($H1041="Cancelled","",IFERROR(IF(AB1041="","",IF(AND(W1041="",Y1041=""),"",IF(Y1041&gt;W1041,Y1041+Variables!$B$15+Variables!$B$16+Variables!$B$17-AB1041,W1041+Variables!$B$16+Variables!$B$17-AB1041))),""))</f>
        <v>3</v>
      </c>
      <c r="AD1041" s="9" t="s">
        <v>163</v>
      </c>
      <c r="AE1041" s="9" t="s">
        <v>598</v>
      </c>
      <c r="AF1041" s="10"/>
      <c r="AG1041" s="10"/>
      <c r="AH1041" s="9"/>
      <c r="AI1041" s="9">
        <v>253545561</v>
      </c>
      <c r="AJ1041" s="9" t="s">
        <v>1060</v>
      </c>
      <c r="AK1041" s="10">
        <v>45792</v>
      </c>
      <c r="AL1041" s="10">
        <v>45805</v>
      </c>
      <c r="AM1041" s="10">
        <v>45807</v>
      </c>
      <c r="AN1041" s="9" t="s">
        <v>1492</v>
      </c>
      <c r="AO1041" s="9"/>
      <c r="AP1041" s="11">
        <f>IF($H1041="Cancelled","",IFERROR(IF(OR(AK1041="",AB1041=""),"",(AB1041+Variables!$B$18-AK1041)),""))</f>
        <v>0</v>
      </c>
      <c r="AQ1041" s="11">
        <f>IF($H1041="Cancelled","",IFERROR(IF(OR(AM1041="",AK1041=""),"",(AK1041+Variables!$B$19)-AM1041),""))</f>
        <v>-10</v>
      </c>
      <c r="AR1041" s="12">
        <f>IF($H1041="Cancelled","",IFERROR(T1041*INDEX(Variables!$B$7:$D$7,IFERROR(MATCH(IF($B1041="Robusta","Robusta",(IF($B1041="","Arabica",$B1041))&amp;" - "&amp;(IF($C1041="","Commercial",$C1041))),Variables!$B$1:$D$1,0),1))*(AQ1041/365),""))</f>
        <v>-4.4952121471256863</v>
      </c>
      <c r="AS1041" s="12">
        <f>IF($H1041="Cancelled","",IFERROR((T1041*INDEX(Variables!$B$7:$D$7,IFERROR(MATCH(IF($B1041="Robusta","Robusta",(IF($B1041="","Arabica",$B1041))&amp;" - "&amp;(IF($C1041="","Commercial",$C1041))),Variables!$B$1:$D$1,0),1))*IFERROR(IF(W1041="","",(AVERAGE(E1041:F1041)-W1041)-Variables!$B$14),"")/365)+(L1041/16.67*INDEX(Variables!$B$8:$D$8,IFERROR(MATCH(IF($B1041="Robusta","Robusta",(IF($B1041="","Arabica",$B1041))&amp;" - "&amp;(IF($C1041="","Commercial",$C1041))),Variables!$B$1:$D$1,0),1))*IFERROR(IF(W1041="","",(AVERAGE(E1041:F1041)-W1041)-Variables!$B$14),""))+(T1041*INDEX(Variables!$B$9:$D$9,IFERROR(MATCH(IF($B1041="Robusta","Robusta",(IF($B1041="","Arabica",$B1041))&amp;" - "&amp;(IF($C1041="","Commercial",$C1041))),Variables!$B$1:$D$1,0),1))*IFERROR(IF(W1041="","",(AVERAGE(E1041:F1041)-W1041)-Variables!$B$14),"")/365),""))</f>
        <v>0.35265820534294234</v>
      </c>
      <c r="AT1041" s="12">
        <f>IF($H1041="Cancelled","",IFERROR((T1041*INDEX(Variables!$B$7:$D$7,IFERROR(MATCH(IF($B1041="Robusta","Robusta",(IF($B1041="","Arabica",$B1041))&amp;" - "&amp;(IF($C1041="","Commercial",$C1041))),Variables!$B$1:$D$1,0),1))*AC1041/365)+(L1041/16.67*INDEX(Variables!$B$8:$D$8,IFERROR(MATCH(IF($B1041="Robusta","Robusta",(IF($B1041="","Arabica",$B1041))&amp;" - "&amp;(IF($C1041="","Commercial",$C1041))),Variables!$B$1:$D$1,0),1))*AC1041)+(T1041*INDEX(Variables!$B$9:$D$9,IFERROR(MATCH(IF($B1041="Robusta","Robusta",(IF($B1041="","Arabica",$B1041))&amp;" - "&amp;(IF($C1041="","Commercial",$C1041))),Variables!$B$1:$D$1,0),1))*AC1041/365),""))</f>
        <v>2.1159492320576541</v>
      </c>
      <c r="AU1041" s="12">
        <f>IF($H1041="Cancelled","",IFERROR((T1041*INDEX(Variables!$B$7:$D$7,IFERROR(MATCH(IF($B1041="Robusta","Robusta",(IF($B1041="","Arabica",$B1041))&amp;" - "&amp;(IF($C1041="","Commercial",$C1041))),Variables!$B$1:$D$1,0),1))*AP1041/365)+(L1041/16.67*INDEX(Variables!$B$8:$D$8,IFERROR(MATCH(IF($B1041="Robusta","Robusta",(IF($B1041="","Arabica",$B1041))&amp;" - "&amp;(IF($C1041="","Commercial",$C1041))),Variables!$B$1:$D$1,0),1))*AP1041)+(T1041*INDEX(Variables!$B$9:$D$9,IFERROR(MATCH(IF($B1041="Robusta","Robusta",(IF($B1041="","Arabica",$B1041))&amp;" - "&amp;(IF($C1041="","Commercial",$C1041))),Variables!$B$1:$D$1,0),1))*AP1041/365),""))</f>
        <v>0</v>
      </c>
      <c r="AV1041" s="11">
        <f t="shared" si="100"/>
        <v>-15</v>
      </c>
      <c r="AW1041" s="12">
        <f>IF($H1041="Cancelled","",IFERROR(IF(AV1041="","",(T1041*INDEX(Variables!$B$7:$D$7,IFERROR(MATCH(IF($B1041="Robusta","Robusta",(IF($B1041="","Arabica",$B1041))&amp;" - "&amp;(IF($C1041="","Commercial",$C1041))),Variables!$B$1:$D$1,0),1))*(AV1041/365))+(T1041*INDEX(Variables!$B$9:$D$9,IFERROR(MATCH(IF($B1041="Robusta","Robusta",(IF($B1041="","Arabica",$B1041))&amp;" - "&amp;(IF($C1041="","Commercial",$C1041))),Variables!$B$1:$D$1,0),1))*(AV1041/365))+(INDEX(Variables!$B$8:$D$8,IFERROR(MATCH(IF($B1041="Robusta","Robusta",(IF($B1041="","Arabica",$B1041))&amp;" - "&amp;(IF($C1041="","Commercial",$C1041))),Variables!$B$1:$D$1,0),1))*L1041/16.67)),""))</f>
        <v>-6.5797461602882699</v>
      </c>
      <c r="AX1041" s="9"/>
      <c r="AY1041" s="12"/>
      <c r="AZ1041" s="10"/>
      <c r="BA1041" s="9"/>
      <c r="BB1041" s="10"/>
      <c r="BC1041" s="9"/>
      <c r="BD1041" s="9"/>
      <c r="BE1041" s="9"/>
      <c r="BF1041" s="9"/>
    </row>
    <row r="1042" spans="1:58" x14ac:dyDescent="0.25">
      <c r="A1042" s="9" t="s">
        <v>84</v>
      </c>
      <c r="B1042" s="9" t="s">
        <v>85</v>
      </c>
      <c r="C1042" s="9" t="s">
        <v>1486</v>
      </c>
      <c r="D1042" s="10">
        <v>45722</v>
      </c>
      <c r="E1042" s="10">
        <v>45748</v>
      </c>
      <c r="F1042" s="10">
        <v>45777</v>
      </c>
      <c r="G1042" s="9">
        <v>3786788</v>
      </c>
      <c r="H1042" s="9" t="str">
        <f t="shared" si="98"/>
        <v>Closed</v>
      </c>
      <c r="I1042" s="9" t="str">
        <f t="shared" si="99"/>
        <v>All dates received</v>
      </c>
      <c r="J1042" s="9" t="s">
        <v>225</v>
      </c>
      <c r="K1042" s="9" t="s">
        <v>2227</v>
      </c>
      <c r="L1042" s="11">
        <v>5</v>
      </c>
      <c r="M1042" s="9" t="s">
        <v>2228</v>
      </c>
      <c r="N1042" s="9"/>
      <c r="O1042" s="9"/>
      <c r="P1042" s="9"/>
      <c r="Q1042" s="11">
        <v>141</v>
      </c>
      <c r="R1042" s="9" t="s">
        <v>195</v>
      </c>
      <c r="S1042" s="9" t="s">
        <v>228</v>
      </c>
      <c r="T1042" s="12">
        <f>IF($H1042="Cancelled","",IFERROR(((Q1042+INDEX(Variables!$B$6:$D$6,IFERROR(MATCH(IF($B1042="Robusta","Robusta",(IF($B1042="","Arabica",$B1042))&amp;" - "&amp;(IF($C1042="","Commercial",$C1042))),Variables!$B$1:$D$1,0),1)))*22.0462)*(L1042/16.67),""))</f>
        <v>2855.2936892621474</v>
      </c>
      <c r="U1042" s="10"/>
      <c r="V1042" s="9" t="str">
        <f t="shared" si="101"/>
        <v/>
      </c>
      <c r="W1042" s="10">
        <v>45732</v>
      </c>
      <c r="X1042" s="9" t="str">
        <f t="shared" si="97"/>
        <v>Approved</v>
      </c>
      <c r="Y1042" s="10">
        <v>45773</v>
      </c>
      <c r="Z1042" s="10">
        <f>IF($H1042="Cancelled","",IFERROR(IF(F1042="","",F1042-Variables!$B$13),""))</f>
        <v>45762</v>
      </c>
      <c r="AA1042" s="11">
        <f>IF($H1042="Cancelled","",IFERROR(IF(W1042="","",(AVERAGE(E1042:F1042)-W1042)-Variables!$B$14),""))</f>
        <v>0.5</v>
      </c>
      <c r="AB1042" s="10">
        <v>45785</v>
      </c>
      <c r="AC1042" s="11">
        <f>IF($H1042="Cancelled","",IFERROR(IF(AB1042="","",IF(AND(W1042="",Y1042=""),"",IF(Y1042&gt;W1042,Y1042+Variables!$B$15+Variables!$B$16+Variables!$B$17-AB1042,W1042+Variables!$B$16+Variables!$B$17-AB1042))),""))</f>
        <v>3</v>
      </c>
      <c r="AD1042" s="9" t="s">
        <v>163</v>
      </c>
      <c r="AE1042" s="9" t="s">
        <v>598</v>
      </c>
      <c r="AF1042" s="10"/>
      <c r="AG1042" s="10"/>
      <c r="AH1042" s="9"/>
      <c r="AI1042" s="9">
        <v>253545561</v>
      </c>
      <c r="AJ1042" s="9" t="s">
        <v>1060</v>
      </c>
      <c r="AK1042" s="10">
        <v>45792</v>
      </c>
      <c r="AL1042" s="10">
        <v>45805</v>
      </c>
      <c r="AM1042" s="10">
        <v>45807</v>
      </c>
      <c r="AN1042" s="9" t="s">
        <v>1492</v>
      </c>
      <c r="AO1042" s="9"/>
      <c r="AP1042" s="11">
        <f>IF($H1042="Cancelled","",IFERROR(IF(OR(AK1042="",AB1042=""),"",(AB1042+Variables!$B$18-AK1042)),""))</f>
        <v>0</v>
      </c>
      <c r="AQ1042" s="11">
        <f>IF($H1042="Cancelled","",IFERROR(IF(OR(AM1042="",AK1042=""),"",(AK1042+Variables!$B$19)-AM1042),""))</f>
        <v>-10</v>
      </c>
      <c r="AR1042" s="12">
        <f>IF($H1042="Cancelled","",IFERROR(T1042*INDEX(Variables!$B$7:$D$7,IFERROR(MATCH(IF($B1042="Robusta","Robusta",(IF($B1042="","Arabica",$B1042))&amp;" - "&amp;(IF($C1042="","Commercial",$C1042))),Variables!$B$1:$D$1,0),1))*(AQ1042/365),""))</f>
        <v>-5.0442635268421823</v>
      </c>
      <c r="AS1042" s="12">
        <f>IF($H1042="Cancelled","",IFERROR((T1042*INDEX(Variables!$B$7:$D$7,IFERROR(MATCH(IF($B1042="Robusta","Robusta",(IF($B1042="","Arabica",$B1042))&amp;" - "&amp;(IF($C1042="","Commercial",$C1042))),Variables!$B$1:$D$1,0),1))*IFERROR(IF(W1042="","",(AVERAGE(E1042:F1042)-W1042)-Variables!$B$14),"")/365)+(L1042/16.67*INDEX(Variables!$B$8:$D$8,IFERROR(MATCH(IF($B1042="Robusta","Robusta",(IF($B1042="","Arabica",$B1042))&amp;" - "&amp;(IF($C1042="","Commercial",$C1042))),Variables!$B$1:$D$1,0),1))*IFERROR(IF(W1042="","",(AVERAGE(E1042:F1042)-W1042)-Variables!$B$14),""))+(T1042*INDEX(Variables!$B$9:$D$9,IFERROR(MATCH(IF($B1042="Robusta","Robusta",(IF($B1042="","Arabica",$B1042))&amp;" - "&amp;(IF($C1042="","Commercial",$C1042))),Variables!$B$1:$D$1,0),1))*IFERROR(IF(W1042="","",(AVERAGE(E1042:F1042)-W1042)-Variables!$B$14),"")/365),""))</f>
        <v>0.38046469092277158</v>
      </c>
      <c r="AT1042" s="12">
        <f>IF($H1042="Cancelled","",IFERROR((T1042*INDEX(Variables!$B$7:$D$7,IFERROR(MATCH(IF($B1042="Robusta","Robusta",(IF($B1042="","Arabica",$B1042))&amp;" - "&amp;(IF($C1042="","Commercial",$C1042))),Variables!$B$1:$D$1,0),1))*AC1042/365)+(L1042/16.67*INDEX(Variables!$B$8:$D$8,IFERROR(MATCH(IF($B1042="Robusta","Robusta",(IF($B1042="","Arabica",$B1042))&amp;" - "&amp;(IF($C1042="","Commercial",$C1042))),Variables!$B$1:$D$1,0),1))*AC1042)+(T1042*INDEX(Variables!$B$9:$D$9,IFERROR(MATCH(IF($B1042="Robusta","Robusta",(IF($B1042="","Arabica",$B1042))&amp;" - "&amp;(IF($C1042="","Commercial",$C1042))),Variables!$B$1:$D$1,0),1))*AC1042/365),""))</f>
        <v>2.2827881455366295</v>
      </c>
      <c r="AU1042" s="12">
        <f>IF($H1042="Cancelled","",IFERROR((T1042*INDEX(Variables!$B$7:$D$7,IFERROR(MATCH(IF($B1042="Robusta","Robusta",(IF($B1042="","Arabica",$B1042))&amp;" - "&amp;(IF($C1042="","Commercial",$C1042))),Variables!$B$1:$D$1,0),1))*AP1042/365)+(L1042/16.67*INDEX(Variables!$B$8:$D$8,IFERROR(MATCH(IF($B1042="Robusta","Robusta",(IF($B1042="","Arabica",$B1042))&amp;" - "&amp;(IF($C1042="","Commercial",$C1042))),Variables!$B$1:$D$1,0),1))*AP1042)+(T1042*INDEX(Variables!$B$9:$D$9,IFERROR(MATCH(IF($B1042="Robusta","Robusta",(IF($B1042="","Arabica",$B1042))&amp;" - "&amp;(IF($C1042="","Commercial",$C1042))),Variables!$B$1:$D$1,0),1))*AP1042/365),""))</f>
        <v>0</v>
      </c>
      <c r="AV1042" s="11">
        <f t="shared" si="100"/>
        <v>-15</v>
      </c>
      <c r="AW1042" s="12">
        <f>IF($H1042="Cancelled","",IFERROR(IF(AV1042="","",(T1042*INDEX(Variables!$B$7:$D$7,IFERROR(MATCH(IF($B1042="Robusta","Robusta",(IF($B1042="","Arabica",$B1042))&amp;" - "&amp;(IF($C1042="","Commercial",$C1042))),Variables!$B$1:$D$1,0),1))*(AV1042/365))+(T1042*INDEX(Variables!$B$9:$D$9,IFERROR(MATCH(IF($B1042="Robusta","Robusta",(IF($B1042="","Arabica",$B1042))&amp;" - "&amp;(IF($C1042="","Commercial",$C1042))),Variables!$B$1:$D$1,0),1))*(AV1042/365))+(INDEX(Variables!$B$8:$D$8,IFERROR(MATCH(IF($B1042="Robusta","Robusta",(IF($B1042="","Arabica",$B1042))&amp;" - "&amp;(IF($C1042="","Commercial",$C1042))),Variables!$B$1:$D$1,0),1))*L1042/16.67)),""))</f>
        <v>-7.4139407276831477</v>
      </c>
      <c r="AX1042" s="9"/>
      <c r="AY1042" s="12"/>
      <c r="AZ1042" s="10"/>
      <c r="BA1042" s="9"/>
      <c r="BB1042" s="10"/>
      <c r="BC1042" s="9"/>
      <c r="BD1042" s="9"/>
      <c r="BE1042" s="9"/>
      <c r="BF1042" s="9"/>
    </row>
    <row r="1043" spans="1:58" x14ac:dyDescent="0.25">
      <c r="A1043" s="9" t="s">
        <v>84</v>
      </c>
      <c r="B1043" s="9" t="s">
        <v>85</v>
      </c>
      <c r="C1043" s="9" t="s">
        <v>1486</v>
      </c>
      <c r="D1043" s="10">
        <v>45722</v>
      </c>
      <c r="E1043" s="10">
        <v>45748</v>
      </c>
      <c r="F1043" s="10">
        <v>45777</v>
      </c>
      <c r="G1043" s="9">
        <v>3786789</v>
      </c>
      <c r="H1043" s="9" t="str">
        <f t="shared" si="98"/>
        <v>Closed</v>
      </c>
      <c r="I1043" s="9" t="str">
        <f t="shared" si="99"/>
        <v>All dates received</v>
      </c>
      <c r="J1043" s="9" t="s">
        <v>225</v>
      </c>
      <c r="K1043" s="9" t="s">
        <v>2229</v>
      </c>
      <c r="L1043" s="11">
        <v>5</v>
      </c>
      <c r="M1043" s="9" t="s">
        <v>2230</v>
      </c>
      <c r="N1043" s="9"/>
      <c r="O1043" s="9"/>
      <c r="P1043" s="9"/>
      <c r="Q1043" s="11">
        <v>88</v>
      </c>
      <c r="R1043" s="9" t="s">
        <v>195</v>
      </c>
      <c r="S1043" s="9" t="s">
        <v>228</v>
      </c>
      <c r="T1043" s="12">
        <f>IF($H1043="Cancelled","",IFERROR(((Q1043+INDEX(Variables!$B$6:$D$6,IFERROR(MATCH(IF($B1043="Robusta","Robusta",(IF($B1043="","Arabica",$B1043))&amp;" - "&amp;(IF($C1043="","Commercial",$C1043))),Variables!$B$1:$D$1,0),1)))*22.0462)*(L1043/16.67),""))</f>
        <v>2504.8292021595676</v>
      </c>
      <c r="U1043" s="10"/>
      <c r="V1043" s="9" t="str">
        <f t="shared" si="101"/>
        <v/>
      </c>
      <c r="W1043" s="10">
        <v>45732</v>
      </c>
      <c r="X1043" s="9" t="str">
        <f t="shared" si="97"/>
        <v>Approved</v>
      </c>
      <c r="Y1043" s="10">
        <v>45773</v>
      </c>
      <c r="Z1043" s="10">
        <f>IF($H1043="Cancelled","",IFERROR(IF(F1043="","",F1043-Variables!$B$13),""))</f>
        <v>45762</v>
      </c>
      <c r="AA1043" s="11">
        <f>IF($H1043="Cancelled","",IFERROR(IF(W1043="","",(AVERAGE(E1043:F1043)-W1043)-Variables!$B$14),""))</f>
        <v>0.5</v>
      </c>
      <c r="AB1043" s="10">
        <v>45785</v>
      </c>
      <c r="AC1043" s="11">
        <f>IF($H1043="Cancelled","",IFERROR(IF(AB1043="","",IF(AND(W1043="",Y1043=""),"",IF(Y1043&gt;W1043,Y1043+Variables!$B$15+Variables!$B$16+Variables!$B$17-AB1043,W1043+Variables!$B$16+Variables!$B$17-AB1043))),""))</f>
        <v>3</v>
      </c>
      <c r="AD1043" s="9" t="s">
        <v>163</v>
      </c>
      <c r="AE1043" s="9" t="s">
        <v>598</v>
      </c>
      <c r="AF1043" s="10"/>
      <c r="AG1043" s="10"/>
      <c r="AH1043" s="9"/>
      <c r="AI1043" s="9">
        <v>253545561</v>
      </c>
      <c r="AJ1043" s="9" t="s">
        <v>1060</v>
      </c>
      <c r="AK1043" s="10">
        <v>45792</v>
      </c>
      <c r="AL1043" s="10">
        <v>45805</v>
      </c>
      <c r="AM1043" s="10">
        <v>45807</v>
      </c>
      <c r="AN1043" s="9" t="s">
        <v>1492</v>
      </c>
      <c r="AO1043" s="9"/>
      <c r="AP1043" s="11">
        <f>IF($H1043="Cancelled","",IFERROR(IF(OR(AK1043="",AB1043=""),"",(AB1043+Variables!$B$18-AK1043)),""))</f>
        <v>0</v>
      </c>
      <c r="AQ1043" s="11">
        <f>IF($H1043="Cancelled","",IFERROR(IF(OR(AM1043="",AK1043=""),"",(AK1043+Variables!$B$19)-AM1043),""))</f>
        <v>-10</v>
      </c>
      <c r="AR1043" s="12">
        <f>IF($H1043="Cancelled","",IFERROR(T1043*INDEX(Variables!$B$7:$D$7,IFERROR(MATCH(IF($B1043="Robusta","Robusta",(IF($B1043="","Arabica",$B1043))&amp;" - "&amp;(IF($C1043="","Commercial",$C1043))),Variables!$B$1:$D$1,0),1))*(AQ1043/365),""))</f>
        <v>-4.4251204816299632</v>
      </c>
      <c r="AS1043" s="12">
        <f>IF($H1043="Cancelled","",IFERROR((T1043*INDEX(Variables!$B$7:$D$7,IFERROR(MATCH(IF($B1043="Robusta","Robusta",(IF($B1043="","Arabica",$B1043))&amp;" - "&amp;(IF($C1043="","Commercial",$C1043))),Variables!$B$1:$D$1,0),1))*IFERROR(IF(W1043="","",(AVERAGE(E1043:F1043)-W1043)-Variables!$B$14),"")/365)+(L1043/16.67*INDEX(Variables!$B$8:$D$8,IFERROR(MATCH(IF($B1043="Robusta","Robusta",(IF($B1043="","Arabica",$B1043))&amp;" - "&amp;(IF($C1043="","Commercial",$C1043))),Variables!$B$1:$D$1,0),1))*IFERROR(IF(W1043="","",(AVERAGE(E1043:F1043)-W1043)-Variables!$B$14),""))+(T1043*INDEX(Variables!$B$9:$D$9,IFERROR(MATCH(IF($B1043="Robusta","Robusta",(IF($B1043="","Arabica",$B1043))&amp;" - "&amp;(IF($C1043="","Commercial",$C1043))),Variables!$B$1:$D$1,0),1))*IFERROR(IF(W1043="","",(AVERAGE(E1043:F1043)-W1043)-Variables!$B$14),"")/365),""))</f>
        <v>0.34910844122636842</v>
      </c>
      <c r="AT1043" s="12">
        <f>IF($H1043="Cancelled","",IFERROR((T1043*INDEX(Variables!$B$7:$D$7,IFERROR(MATCH(IF($B1043="Robusta","Robusta",(IF($B1043="","Arabica",$B1043))&amp;" - "&amp;(IF($C1043="","Commercial",$C1043))),Variables!$B$1:$D$1,0),1))*AC1043/365)+(L1043/16.67*INDEX(Variables!$B$8:$D$8,IFERROR(MATCH(IF($B1043="Robusta","Robusta",(IF($B1043="","Arabica",$B1043))&amp;" - "&amp;(IF($C1043="","Commercial",$C1043))),Variables!$B$1:$D$1,0),1))*AC1043)+(T1043*INDEX(Variables!$B$9:$D$9,IFERROR(MATCH(IF($B1043="Robusta","Robusta",(IF($B1043="","Arabica",$B1043))&amp;" - "&amp;(IF($C1043="","Commercial",$C1043))),Variables!$B$1:$D$1,0),1))*AC1043/365),""))</f>
        <v>2.0946506473582103</v>
      </c>
      <c r="AU1043" s="12">
        <f>IF($H1043="Cancelled","",IFERROR((T1043*INDEX(Variables!$B$7:$D$7,IFERROR(MATCH(IF($B1043="Robusta","Robusta",(IF($B1043="","Arabica",$B1043))&amp;" - "&amp;(IF($C1043="","Commercial",$C1043))),Variables!$B$1:$D$1,0),1))*AP1043/365)+(L1043/16.67*INDEX(Variables!$B$8:$D$8,IFERROR(MATCH(IF($B1043="Robusta","Robusta",(IF($B1043="","Arabica",$B1043))&amp;" - "&amp;(IF($C1043="","Commercial",$C1043))),Variables!$B$1:$D$1,0),1))*AP1043)+(T1043*INDEX(Variables!$B$9:$D$9,IFERROR(MATCH(IF($B1043="Robusta","Robusta",(IF($B1043="","Arabica",$B1043))&amp;" - "&amp;(IF($C1043="","Commercial",$C1043))),Variables!$B$1:$D$1,0),1))*AP1043/365),""))</f>
        <v>0</v>
      </c>
      <c r="AV1043" s="11">
        <f t="shared" si="100"/>
        <v>-15</v>
      </c>
      <c r="AW1043" s="12">
        <f>IF($H1043="Cancelled","",IFERROR(IF(AV1043="","",(T1043*INDEX(Variables!$B$7:$D$7,IFERROR(MATCH(IF($B1043="Robusta","Robusta",(IF($B1043="","Arabica",$B1043))&amp;" - "&amp;(IF($C1043="","Commercial",$C1043))),Variables!$B$1:$D$1,0),1))*(AV1043/365))+(T1043*INDEX(Variables!$B$9:$D$9,IFERROR(MATCH(IF($B1043="Robusta","Robusta",(IF($B1043="","Arabica",$B1043))&amp;" - "&amp;(IF($C1043="","Commercial",$C1043))),Variables!$B$1:$D$1,0),1))*(AV1043/365))+(INDEX(Variables!$B$8:$D$8,IFERROR(MATCH(IF($B1043="Robusta","Robusta",(IF($B1043="","Arabica",$B1043))&amp;" - "&amp;(IF($C1043="","Commercial",$C1043))),Variables!$B$1:$D$1,0),1))*L1043/16.67)),""))</f>
        <v>-6.4732532367910514</v>
      </c>
      <c r="AX1043" s="9"/>
      <c r="AY1043" s="12"/>
      <c r="AZ1043" s="10"/>
      <c r="BA1043" s="9"/>
      <c r="BB1043" s="10"/>
      <c r="BC1043" s="9"/>
      <c r="BD1043" s="9"/>
      <c r="BE1043" s="9"/>
      <c r="BF1043" s="9"/>
    </row>
    <row r="1044" spans="1:58" x14ac:dyDescent="0.25">
      <c r="A1044" s="9" t="s">
        <v>84</v>
      </c>
      <c r="B1044" s="9" t="s">
        <v>85</v>
      </c>
      <c r="C1044" s="9" t="s">
        <v>1486</v>
      </c>
      <c r="D1044" s="10">
        <v>45722</v>
      </c>
      <c r="E1044" s="10">
        <v>45748</v>
      </c>
      <c r="F1044" s="10">
        <v>45777</v>
      </c>
      <c r="G1044" s="9">
        <v>3786790</v>
      </c>
      <c r="H1044" s="9" t="str">
        <f t="shared" si="98"/>
        <v>Closed</v>
      </c>
      <c r="I1044" s="9" t="str">
        <f t="shared" si="99"/>
        <v>All dates received</v>
      </c>
      <c r="J1044" s="9" t="s">
        <v>225</v>
      </c>
      <c r="K1044" s="9" t="s">
        <v>2231</v>
      </c>
      <c r="L1044" s="11">
        <v>5</v>
      </c>
      <c r="M1044" s="9" t="s">
        <v>2232</v>
      </c>
      <c r="N1044" s="9"/>
      <c r="O1044" s="9"/>
      <c r="P1044" s="9"/>
      <c r="Q1044" s="11">
        <v>102</v>
      </c>
      <c r="R1044" s="9" t="s">
        <v>195</v>
      </c>
      <c r="S1044" s="9" t="s">
        <v>228</v>
      </c>
      <c r="T1044" s="12">
        <f>IF($H1044="Cancelled","",IFERROR(((Q1044+INDEX(Variables!$B$6:$D$6,IFERROR(MATCH(IF($B1044="Robusta","Robusta",(IF($B1044="","Arabica",$B1044))&amp;" - "&amp;(IF($C1044="","Commercial",$C1044))),Variables!$B$1:$D$1,0),1)))*22.0462)*(L1044/16.67),""))</f>
        <v>2597.4047270545889</v>
      </c>
      <c r="U1044" s="10"/>
      <c r="V1044" s="9" t="str">
        <f t="shared" si="101"/>
        <v/>
      </c>
      <c r="W1044" s="10">
        <v>45732</v>
      </c>
      <c r="X1044" s="9" t="str">
        <f t="shared" si="97"/>
        <v>Approved</v>
      </c>
      <c r="Y1044" s="10">
        <v>45773</v>
      </c>
      <c r="Z1044" s="10">
        <f>IF($H1044="Cancelled","",IFERROR(IF(F1044="","",F1044-Variables!$B$13),""))</f>
        <v>45762</v>
      </c>
      <c r="AA1044" s="11">
        <f>IF($H1044="Cancelled","",IFERROR(IF(W1044="","",(AVERAGE(E1044:F1044)-W1044)-Variables!$B$14),""))</f>
        <v>0.5</v>
      </c>
      <c r="AB1044" s="10">
        <v>45785</v>
      </c>
      <c r="AC1044" s="11">
        <f>IF($H1044="Cancelled","",IFERROR(IF(AB1044="","",IF(AND(W1044="",Y1044=""),"",IF(Y1044&gt;W1044,Y1044+Variables!$B$15+Variables!$B$16+Variables!$B$17-AB1044,W1044+Variables!$B$16+Variables!$B$17-AB1044))),""))</f>
        <v>3</v>
      </c>
      <c r="AD1044" s="9" t="s">
        <v>163</v>
      </c>
      <c r="AE1044" s="9" t="s">
        <v>598</v>
      </c>
      <c r="AF1044" s="10"/>
      <c r="AG1044" s="10"/>
      <c r="AH1044" s="9"/>
      <c r="AI1044" s="9">
        <v>253545561</v>
      </c>
      <c r="AJ1044" s="9" t="s">
        <v>1060</v>
      </c>
      <c r="AK1044" s="10">
        <v>45792</v>
      </c>
      <c r="AL1044" s="10">
        <v>45805</v>
      </c>
      <c r="AM1044" s="10">
        <v>45807</v>
      </c>
      <c r="AN1044" s="9" t="s">
        <v>1492</v>
      </c>
      <c r="AO1044" s="9"/>
      <c r="AP1044" s="11">
        <f>IF($H1044="Cancelled","",IFERROR(IF(OR(AK1044="",AB1044=""),"",(AB1044+Variables!$B$18-AK1044)),""))</f>
        <v>0</v>
      </c>
      <c r="AQ1044" s="11">
        <f>IF($H1044="Cancelled","",IFERROR(IF(OR(AM1044="",AK1044=""),"",(AK1044+Variables!$B$19)-AM1044),""))</f>
        <v>-10</v>
      </c>
      <c r="AR1044" s="12">
        <f>IF($H1044="Cancelled","",IFERROR(T1044*INDEX(Variables!$B$7:$D$7,IFERROR(MATCH(IF($B1044="Robusta","Robusta",(IF($B1044="","Arabica",$B1044))&amp;" - "&amp;(IF($C1044="","Commercial",$C1044))),Variables!$B$1:$D$1,0),1))*(AQ1044/365),""))</f>
        <v>-4.5886677011199843</v>
      </c>
      <c r="AS1044" s="12">
        <f>IF($H1044="Cancelled","",IFERROR((T1044*INDEX(Variables!$B$7:$D$7,IFERROR(MATCH(IF($B1044="Robusta","Robusta",(IF($B1044="","Arabica",$B1044))&amp;" - "&amp;(IF($C1044="","Commercial",$C1044))),Variables!$B$1:$D$1,0),1))*IFERROR(IF(W1044="","",(AVERAGE(E1044:F1044)-W1044)-Variables!$B$14),"")/365)+(L1044/16.67*INDEX(Variables!$B$8:$D$8,IFERROR(MATCH(IF($B1044="Robusta","Robusta",(IF($B1044="","Arabica",$B1044))&amp;" - "&amp;(IF($C1044="","Commercial",$C1044))),Variables!$B$1:$D$1,0),1))*IFERROR(IF(W1044="","",(AVERAGE(E1044:F1044)-W1044)-Variables!$B$14),""))+(T1044*INDEX(Variables!$B$9:$D$9,IFERROR(MATCH(IF($B1044="Robusta","Robusta",(IF($B1044="","Arabica",$B1044))&amp;" - "&amp;(IF($C1044="","Commercial",$C1044))),Variables!$B$1:$D$1,0),1))*IFERROR(IF(W1044="","",(AVERAGE(E1044:F1044)-W1044)-Variables!$B$14),"")/365),""))</f>
        <v>0.35739122416504093</v>
      </c>
      <c r="AT1044" s="12">
        <f>IF($H1044="Cancelled","",IFERROR((T1044*INDEX(Variables!$B$7:$D$7,IFERROR(MATCH(IF($B1044="Robusta","Robusta",(IF($B1044="","Arabica",$B1044))&amp;" - "&amp;(IF($C1044="","Commercial",$C1044))),Variables!$B$1:$D$1,0),1))*AC1044/365)+(L1044/16.67*INDEX(Variables!$B$8:$D$8,IFERROR(MATCH(IF($B1044="Robusta","Robusta",(IF($B1044="","Arabica",$B1044))&amp;" - "&amp;(IF($C1044="","Commercial",$C1044))),Variables!$B$1:$D$1,0),1))*AC1044)+(T1044*INDEX(Variables!$B$9:$D$9,IFERROR(MATCH(IF($B1044="Robusta","Robusta",(IF($B1044="","Arabica",$B1044))&amp;" - "&amp;(IF($C1044="","Commercial",$C1044))),Variables!$B$1:$D$1,0),1))*AC1044/365),""))</f>
        <v>2.1443473449902459</v>
      </c>
      <c r="AU1044" s="12">
        <f>IF($H1044="Cancelled","",IFERROR((T1044*INDEX(Variables!$B$7:$D$7,IFERROR(MATCH(IF($B1044="Robusta","Robusta",(IF($B1044="","Arabica",$B1044))&amp;" - "&amp;(IF($C1044="","Commercial",$C1044))),Variables!$B$1:$D$1,0),1))*AP1044/365)+(L1044/16.67*INDEX(Variables!$B$8:$D$8,IFERROR(MATCH(IF($B1044="Robusta","Robusta",(IF($B1044="","Arabica",$B1044))&amp;" - "&amp;(IF($C1044="","Commercial",$C1044))),Variables!$B$1:$D$1,0),1))*AP1044)+(T1044*INDEX(Variables!$B$9:$D$9,IFERROR(MATCH(IF($B1044="Robusta","Robusta",(IF($B1044="","Arabica",$B1044))&amp;" - "&amp;(IF($C1044="","Commercial",$C1044))),Variables!$B$1:$D$1,0),1))*AP1044/365),""))</f>
        <v>0</v>
      </c>
      <c r="AV1044" s="11">
        <f t="shared" si="100"/>
        <v>-15</v>
      </c>
      <c r="AW1044" s="12">
        <f>IF($H1044="Cancelled","",IFERROR(IF(AV1044="","",(T1044*INDEX(Variables!$B$7:$D$7,IFERROR(MATCH(IF($B1044="Robusta","Robusta",(IF($B1044="","Arabica",$B1044))&amp;" - "&amp;(IF($C1044="","Commercial",$C1044))),Variables!$B$1:$D$1,0),1))*(AV1044/365))+(T1044*INDEX(Variables!$B$9:$D$9,IFERROR(MATCH(IF($B1044="Robusta","Robusta",(IF($B1044="","Arabica",$B1044))&amp;" - "&amp;(IF($C1044="","Commercial",$C1044))),Variables!$B$1:$D$1,0),1))*(AV1044/365))+(INDEX(Variables!$B$8:$D$8,IFERROR(MATCH(IF($B1044="Robusta","Robusta",(IF($B1044="","Arabica",$B1044))&amp;" - "&amp;(IF($C1044="","Commercial",$C1044))),Variables!$B$1:$D$1,0),1))*L1044/16.67)),""))</f>
        <v>-6.7217367249512288</v>
      </c>
      <c r="AX1044" s="9"/>
      <c r="AY1044" s="12"/>
      <c r="AZ1044" s="10"/>
      <c r="BA1044" s="9"/>
      <c r="BB1044" s="10"/>
      <c r="BC1044" s="9"/>
      <c r="BD1044" s="9"/>
      <c r="BE1044" s="9"/>
      <c r="BF1044" s="9"/>
    </row>
    <row r="1045" spans="1:58" x14ac:dyDescent="0.25">
      <c r="A1045" s="9" t="s">
        <v>84</v>
      </c>
      <c r="B1045" s="9" t="s">
        <v>85</v>
      </c>
      <c r="C1045" s="9" t="s">
        <v>1486</v>
      </c>
      <c r="D1045" s="10">
        <v>45722</v>
      </c>
      <c r="E1045" s="10">
        <v>45748</v>
      </c>
      <c r="F1045" s="10">
        <v>45777</v>
      </c>
      <c r="G1045" s="9">
        <v>3786791</v>
      </c>
      <c r="H1045" s="9" t="str">
        <f t="shared" si="98"/>
        <v>Closed</v>
      </c>
      <c r="I1045" s="9" t="str">
        <f t="shared" si="99"/>
        <v>All dates received</v>
      </c>
      <c r="J1045" s="9" t="s">
        <v>225</v>
      </c>
      <c r="K1045" s="9" t="s">
        <v>2233</v>
      </c>
      <c r="L1045" s="11">
        <v>5</v>
      </c>
      <c r="M1045" s="9" t="s">
        <v>2234</v>
      </c>
      <c r="N1045" s="9"/>
      <c r="O1045" s="9"/>
      <c r="P1045" s="9"/>
      <c r="Q1045" s="11">
        <v>89</v>
      </c>
      <c r="R1045" s="9" t="s">
        <v>195</v>
      </c>
      <c r="S1045" s="9" t="s">
        <v>228</v>
      </c>
      <c r="T1045" s="12">
        <f>IF($H1045="Cancelled","",IFERROR(((Q1045+INDEX(Variables!$B$6:$D$6,IFERROR(MATCH(IF($B1045="Robusta","Robusta",(IF($B1045="","Arabica",$B1045))&amp;" - "&amp;(IF($C1045="","Commercial",$C1045))),Variables!$B$1:$D$1,0),1)))*22.0462)*(L1045/16.67),""))</f>
        <v>2511.4417396520694</v>
      </c>
      <c r="U1045" s="10"/>
      <c r="V1045" s="9" t="str">
        <f t="shared" si="101"/>
        <v/>
      </c>
      <c r="W1045" s="10">
        <v>45732</v>
      </c>
      <c r="X1045" s="9" t="str">
        <f t="shared" si="97"/>
        <v>Approved</v>
      </c>
      <c r="Y1045" s="10">
        <v>45773</v>
      </c>
      <c r="Z1045" s="10">
        <f>IF($H1045="Cancelled","",IFERROR(IF(F1045="","",F1045-Variables!$B$13),""))</f>
        <v>45762</v>
      </c>
      <c r="AA1045" s="11">
        <f>IF($H1045="Cancelled","",IFERROR(IF(W1045="","",(AVERAGE(E1045:F1045)-W1045)-Variables!$B$14),""))</f>
        <v>0.5</v>
      </c>
      <c r="AB1045" s="10">
        <v>45785</v>
      </c>
      <c r="AC1045" s="11">
        <f>IF($H1045="Cancelled","",IFERROR(IF(AB1045="","",IF(AND(W1045="",Y1045=""),"",IF(Y1045&gt;W1045,Y1045+Variables!$B$15+Variables!$B$16+Variables!$B$17-AB1045,W1045+Variables!$B$16+Variables!$B$17-AB1045))),""))</f>
        <v>3</v>
      </c>
      <c r="AD1045" s="9" t="s">
        <v>163</v>
      </c>
      <c r="AE1045" s="9" t="s">
        <v>598</v>
      </c>
      <c r="AF1045" s="10"/>
      <c r="AG1045" s="10"/>
      <c r="AH1045" s="9"/>
      <c r="AI1045" s="9">
        <v>253545561</v>
      </c>
      <c r="AJ1045" s="9" t="s">
        <v>1060</v>
      </c>
      <c r="AK1045" s="10">
        <v>45792</v>
      </c>
      <c r="AL1045" s="10">
        <v>45805</v>
      </c>
      <c r="AM1045" s="10">
        <v>45807</v>
      </c>
      <c r="AN1045" s="9" t="s">
        <v>1492</v>
      </c>
      <c r="AO1045" s="9"/>
      <c r="AP1045" s="11">
        <f>IF($H1045="Cancelled","",IFERROR(IF(OR(AK1045="",AB1045=""),"",(AB1045+Variables!$B$18-AK1045)),""))</f>
        <v>0</v>
      </c>
      <c r="AQ1045" s="11">
        <f>IF($H1045="Cancelled","",IFERROR(IF(OR(AM1045="",AK1045=""),"",(AK1045+Variables!$B$19)-AM1045),""))</f>
        <v>-10</v>
      </c>
      <c r="AR1045" s="12">
        <f>IF($H1045="Cancelled","",IFERROR(T1045*INDEX(Variables!$B$7:$D$7,IFERROR(MATCH(IF($B1045="Robusta","Robusta",(IF($B1045="","Arabica",$B1045))&amp;" - "&amp;(IF($C1045="","Commercial",$C1045))),Variables!$B$1:$D$1,0),1))*(AQ1045/365),""))</f>
        <v>-4.4368024258792511</v>
      </c>
      <c r="AS1045" s="12">
        <f>IF($H1045="Cancelled","",IFERROR((T1045*INDEX(Variables!$B$7:$D$7,IFERROR(MATCH(IF($B1045="Robusta","Robusta",(IF($B1045="","Arabica",$B1045))&amp;" - "&amp;(IF($C1045="","Commercial",$C1045))),Variables!$B$1:$D$1,0),1))*IFERROR(IF(W1045="","",(AVERAGE(E1045:F1045)-W1045)-Variables!$B$14),"")/365)+(L1045/16.67*INDEX(Variables!$B$8:$D$8,IFERROR(MATCH(IF($B1045="Robusta","Robusta",(IF($B1045="","Arabica",$B1045))&amp;" - "&amp;(IF($C1045="","Commercial",$C1045))),Variables!$B$1:$D$1,0),1))*IFERROR(IF(W1045="","",(AVERAGE(E1045:F1045)-W1045)-Variables!$B$14),""))+(T1045*INDEX(Variables!$B$9:$D$9,IFERROR(MATCH(IF($B1045="Robusta","Robusta",(IF($B1045="","Arabica",$B1045))&amp;" - "&amp;(IF($C1045="","Commercial",$C1045))),Variables!$B$1:$D$1,0),1))*IFERROR(IF(W1045="","",(AVERAGE(E1045:F1045)-W1045)-Variables!$B$14),"")/365),""))</f>
        <v>0.34970006857913077</v>
      </c>
      <c r="AT1045" s="12">
        <f>IF($H1045="Cancelled","",IFERROR((T1045*INDEX(Variables!$B$7:$D$7,IFERROR(MATCH(IF($B1045="Robusta","Robusta",(IF($B1045="","Arabica",$B1045))&amp;" - "&amp;(IF($C1045="","Commercial",$C1045))),Variables!$B$1:$D$1,0),1))*AC1045/365)+(L1045/16.67*INDEX(Variables!$B$8:$D$8,IFERROR(MATCH(IF($B1045="Robusta","Robusta",(IF($B1045="","Arabica",$B1045))&amp;" - "&amp;(IF($C1045="","Commercial",$C1045))),Variables!$B$1:$D$1,0),1))*AC1045)+(T1045*INDEX(Variables!$B$9:$D$9,IFERROR(MATCH(IF($B1045="Robusta","Robusta",(IF($B1045="","Arabica",$B1045))&amp;" - "&amp;(IF($C1045="","Commercial",$C1045))),Variables!$B$1:$D$1,0),1))*AC1045/365),""))</f>
        <v>2.0982004114747843</v>
      </c>
      <c r="AU1045" s="12">
        <f>IF($H1045="Cancelled","",IFERROR((T1045*INDEX(Variables!$B$7:$D$7,IFERROR(MATCH(IF($B1045="Robusta","Robusta",(IF($B1045="","Arabica",$B1045))&amp;" - "&amp;(IF($C1045="","Commercial",$C1045))),Variables!$B$1:$D$1,0),1))*AP1045/365)+(L1045/16.67*INDEX(Variables!$B$8:$D$8,IFERROR(MATCH(IF($B1045="Robusta","Robusta",(IF($B1045="","Arabica",$B1045))&amp;" - "&amp;(IF($C1045="","Commercial",$C1045))),Variables!$B$1:$D$1,0),1))*AP1045)+(T1045*INDEX(Variables!$B$9:$D$9,IFERROR(MATCH(IF($B1045="Robusta","Robusta",(IF($B1045="","Arabica",$B1045))&amp;" - "&amp;(IF($C1045="","Commercial",$C1045))),Variables!$B$1:$D$1,0),1))*AP1045/365),""))</f>
        <v>0</v>
      </c>
      <c r="AV1045" s="11">
        <f t="shared" si="100"/>
        <v>-15</v>
      </c>
      <c r="AW1045" s="12">
        <f>IF($H1045="Cancelled","",IFERROR(IF(AV1045="","",(T1045*INDEX(Variables!$B$7:$D$7,IFERROR(MATCH(IF($B1045="Robusta","Robusta",(IF($B1045="","Arabica",$B1045))&amp;" - "&amp;(IF($C1045="","Commercial",$C1045))),Variables!$B$1:$D$1,0),1))*(AV1045/365))+(T1045*INDEX(Variables!$B$9:$D$9,IFERROR(MATCH(IF($B1045="Robusta","Robusta",(IF($B1045="","Arabica",$B1045))&amp;" - "&amp;(IF($C1045="","Commercial",$C1045))),Variables!$B$1:$D$1,0),1))*(AV1045/365))+(INDEX(Variables!$B$8:$D$8,IFERROR(MATCH(IF($B1045="Robusta","Robusta",(IF($B1045="","Arabica",$B1045))&amp;" - "&amp;(IF($C1045="","Commercial",$C1045))),Variables!$B$1:$D$1,0),1))*L1045/16.67)),""))</f>
        <v>-6.4910020573739224</v>
      </c>
      <c r="AX1045" s="9"/>
      <c r="AY1045" s="12"/>
      <c r="AZ1045" s="10"/>
      <c r="BA1045" s="9"/>
      <c r="BB1045" s="10"/>
      <c r="BC1045" s="9"/>
      <c r="BD1045" s="9"/>
      <c r="BE1045" s="9"/>
      <c r="BF1045" s="9"/>
    </row>
    <row r="1046" spans="1:58" x14ac:dyDescent="0.25">
      <c r="A1046" s="9" t="s">
        <v>84</v>
      </c>
      <c r="B1046" s="9" t="s">
        <v>85</v>
      </c>
      <c r="C1046" s="9" t="s">
        <v>1486</v>
      </c>
      <c r="D1046" s="10">
        <v>45722</v>
      </c>
      <c r="E1046" s="10">
        <v>45748</v>
      </c>
      <c r="F1046" s="10">
        <v>45777</v>
      </c>
      <c r="G1046" s="9">
        <v>3786792</v>
      </c>
      <c r="H1046" s="9" t="str">
        <f t="shared" si="98"/>
        <v>Closed</v>
      </c>
      <c r="I1046" s="9" t="str">
        <f t="shared" si="99"/>
        <v>All dates received</v>
      </c>
      <c r="J1046" s="9" t="s">
        <v>225</v>
      </c>
      <c r="K1046" s="9" t="s">
        <v>2235</v>
      </c>
      <c r="L1046" s="11">
        <v>5</v>
      </c>
      <c r="M1046" s="9" t="s">
        <v>2236</v>
      </c>
      <c r="N1046" s="9"/>
      <c r="O1046" s="9"/>
      <c r="P1046" s="9"/>
      <c r="Q1046" s="11">
        <v>89</v>
      </c>
      <c r="R1046" s="9" t="s">
        <v>195</v>
      </c>
      <c r="S1046" s="9" t="s">
        <v>228</v>
      </c>
      <c r="T1046" s="12">
        <f>IF($H1046="Cancelled","",IFERROR(((Q1046+INDEX(Variables!$B$6:$D$6,IFERROR(MATCH(IF($B1046="Robusta","Robusta",(IF($B1046="","Arabica",$B1046))&amp;" - "&amp;(IF($C1046="","Commercial",$C1046))),Variables!$B$1:$D$1,0),1)))*22.0462)*(L1046/16.67),""))</f>
        <v>2511.4417396520694</v>
      </c>
      <c r="U1046" s="10"/>
      <c r="V1046" s="9" t="str">
        <f t="shared" si="101"/>
        <v/>
      </c>
      <c r="W1046" s="10">
        <v>45732</v>
      </c>
      <c r="X1046" s="9" t="str">
        <f t="shared" si="97"/>
        <v>Approved</v>
      </c>
      <c r="Y1046" s="10">
        <v>45773</v>
      </c>
      <c r="Z1046" s="10">
        <f>IF($H1046="Cancelled","",IFERROR(IF(F1046="","",F1046-Variables!$B$13),""))</f>
        <v>45762</v>
      </c>
      <c r="AA1046" s="11">
        <f>IF($H1046="Cancelled","",IFERROR(IF(W1046="","",(AVERAGE(E1046:F1046)-W1046)-Variables!$B$14),""))</f>
        <v>0.5</v>
      </c>
      <c r="AB1046" s="10">
        <v>45785</v>
      </c>
      <c r="AC1046" s="11">
        <f>IF($H1046="Cancelled","",IFERROR(IF(AB1046="","",IF(AND(W1046="",Y1046=""),"",IF(Y1046&gt;W1046,Y1046+Variables!$B$15+Variables!$B$16+Variables!$B$17-AB1046,W1046+Variables!$B$16+Variables!$B$17-AB1046))),""))</f>
        <v>3</v>
      </c>
      <c r="AD1046" s="9" t="s">
        <v>163</v>
      </c>
      <c r="AE1046" s="9" t="s">
        <v>598</v>
      </c>
      <c r="AF1046" s="10"/>
      <c r="AG1046" s="10"/>
      <c r="AH1046" s="9"/>
      <c r="AI1046" s="9">
        <v>253545561</v>
      </c>
      <c r="AJ1046" s="9" t="s">
        <v>1060</v>
      </c>
      <c r="AK1046" s="10">
        <v>45792</v>
      </c>
      <c r="AL1046" s="10">
        <v>45805</v>
      </c>
      <c r="AM1046" s="10">
        <v>45807</v>
      </c>
      <c r="AN1046" s="9" t="s">
        <v>1492</v>
      </c>
      <c r="AO1046" s="9"/>
      <c r="AP1046" s="11">
        <f>IF($H1046="Cancelled","",IFERROR(IF(OR(AK1046="",AB1046=""),"",(AB1046+Variables!$B$18-AK1046)),""))</f>
        <v>0</v>
      </c>
      <c r="AQ1046" s="11">
        <f>IF($H1046="Cancelled","",IFERROR(IF(OR(AM1046="",AK1046=""),"",(AK1046+Variables!$B$19)-AM1046),""))</f>
        <v>-10</v>
      </c>
      <c r="AR1046" s="12">
        <f>IF($H1046="Cancelled","",IFERROR(T1046*INDEX(Variables!$B$7:$D$7,IFERROR(MATCH(IF($B1046="Robusta","Robusta",(IF($B1046="","Arabica",$B1046))&amp;" - "&amp;(IF($C1046="","Commercial",$C1046))),Variables!$B$1:$D$1,0),1))*(AQ1046/365),""))</f>
        <v>-4.4368024258792511</v>
      </c>
      <c r="AS1046" s="12">
        <f>IF($H1046="Cancelled","",IFERROR((T1046*INDEX(Variables!$B$7:$D$7,IFERROR(MATCH(IF($B1046="Robusta","Robusta",(IF($B1046="","Arabica",$B1046))&amp;" - "&amp;(IF($C1046="","Commercial",$C1046))),Variables!$B$1:$D$1,0),1))*IFERROR(IF(W1046="","",(AVERAGE(E1046:F1046)-W1046)-Variables!$B$14),"")/365)+(L1046/16.67*INDEX(Variables!$B$8:$D$8,IFERROR(MATCH(IF($B1046="Robusta","Robusta",(IF($B1046="","Arabica",$B1046))&amp;" - "&amp;(IF($C1046="","Commercial",$C1046))),Variables!$B$1:$D$1,0),1))*IFERROR(IF(W1046="","",(AVERAGE(E1046:F1046)-W1046)-Variables!$B$14),""))+(T1046*INDEX(Variables!$B$9:$D$9,IFERROR(MATCH(IF($B1046="Robusta","Robusta",(IF($B1046="","Arabica",$B1046))&amp;" - "&amp;(IF($C1046="","Commercial",$C1046))),Variables!$B$1:$D$1,0),1))*IFERROR(IF(W1046="","",(AVERAGE(E1046:F1046)-W1046)-Variables!$B$14),"")/365),""))</f>
        <v>0.34970006857913077</v>
      </c>
      <c r="AT1046" s="12">
        <f>IF($H1046="Cancelled","",IFERROR((T1046*INDEX(Variables!$B$7:$D$7,IFERROR(MATCH(IF($B1046="Robusta","Robusta",(IF($B1046="","Arabica",$B1046))&amp;" - "&amp;(IF($C1046="","Commercial",$C1046))),Variables!$B$1:$D$1,0),1))*AC1046/365)+(L1046/16.67*INDEX(Variables!$B$8:$D$8,IFERROR(MATCH(IF($B1046="Robusta","Robusta",(IF($B1046="","Arabica",$B1046))&amp;" - "&amp;(IF($C1046="","Commercial",$C1046))),Variables!$B$1:$D$1,0),1))*AC1046)+(T1046*INDEX(Variables!$B$9:$D$9,IFERROR(MATCH(IF($B1046="Robusta","Robusta",(IF($B1046="","Arabica",$B1046))&amp;" - "&amp;(IF($C1046="","Commercial",$C1046))),Variables!$B$1:$D$1,0),1))*AC1046/365),""))</f>
        <v>2.0982004114747843</v>
      </c>
      <c r="AU1046" s="12">
        <f>IF($H1046="Cancelled","",IFERROR((T1046*INDEX(Variables!$B$7:$D$7,IFERROR(MATCH(IF($B1046="Robusta","Robusta",(IF($B1046="","Arabica",$B1046))&amp;" - "&amp;(IF($C1046="","Commercial",$C1046))),Variables!$B$1:$D$1,0),1))*AP1046/365)+(L1046/16.67*INDEX(Variables!$B$8:$D$8,IFERROR(MATCH(IF($B1046="Robusta","Robusta",(IF($B1046="","Arabica",$B1046))&amp;" - "&amp;(IF($C1046="","Commercial",$C1046))),Variables!$B$1:$D$1,0),1))*AP1046)+(T1046*INDEX(Variables!$B$9:$D$9,IFERROR(MATCH(IF($B1046="Robusta","Robusta",(IF($B1046="","Arabica",$B1046))&amp;" - "&amp;(IF($C1046="","Commercial",$C1046))),Variables!$B$1:$D$1,0),1))*AP1046/365),""))</f>
        <v>0</v>
      </c>
      <c r="AV1046" s="11">
        <f t="shared" si="100"/>
        <v>-15</v>
      </c>
      <c r="AW1046" s="12">
        <f>IF($H1046="Cancelled","",IFERROR(IF(AV1046="","",(T1046*INDEX(Variables!$B$7:$D$7,IFERROR(MATCH(IF($B1046="Robusta","Robusta",(IF($B1046="","Arabica",$B1046))&amp;" - "&amp;(IF($C1046="","Commercial",$C1046))),Variables!$B$1:$D$1,0),1))*(AV1046/365))+(T1046*INDEX(Variables!$B$9:$D$9,IFERROR(MATCH(IF($B1046="Robusta","Robusta",(IF($B1046="","Arabica",$B1046))&amp;" - "&amp;(IF($C1046="","Commercial",$C1046))),Variables!$B$1:$D$1,0),1))*(AV1046/365))+(INDEX(Variables!$B$8:$D$8,IFERROR(MATCH(IF($B1046="Robusta","Robusta",(IF($B1046="","Arabica",$B1046))&amp;" - "&amp;(IF($C1046="","Commercial",$C1046))),Variables!$B$1:$D$1,0),1))*L1046/16.67)),""))</f>
        <v>-6.4910020573739224</v>
      </c>
      <c r="AX1046" s="9"/>
      <c r="AY1046" s="12"/>
      <c r="AZ1046" s="10"/>
      <c r="BA1046" s="9"/>
      <c r="BB1046" s="10"/>
      <c r="BC1046" s="9"/>
      <c r="BD1046" s="9"/>
      <c r="BE1046" s="9"/>
      <c r="BF1046" s="9"/>
    </row>
    <row r="1047" spans="1:58" x14ac:dyDescent="0.25">
      <c r="A1047" s="9" t="s">
        <v>84</v>
      </c>
      <c r="B1047" s="9" t="s">
        <v>85</v>
      </c>
      <c r="C1047" s="9" t="s">
        <v>1486</v>
      </c>
      <c r="D1047" s="10">
        <v>45722</v>
      </c>
      <c r="E1047" s="10">
        <v>45748</v>
      </c>
      <c r="F1047" s="10">
        <v>45777</v>
      </c>
      <c r="G1047" s="9">
        <v>3786793</v>
      </c>
      <c r="H1047" s="9" t="str">
        <f t="shared" si="98"/>
        <v>Closed</v>
      </c>
      <c r="I1047" s="9" t="str">
        <f t="shared" si="99"/>
        <v>All dates received</v>
      </c>
      <c r="J1047" s="9" t="s">
        <v>225</v>
      </c>
      <c r="K1047" s="9" t="s">
        <v>2237</v>
      </c>
      <c r="L1047" s="11">
        <v>3</v>
      </c>
      <c r="M1047" s="9" t="s">
        <v>2238</v>
      </c>
      <c r="N1047" s="9"/>
      <c r="O1047" s="9"/>
      <c r="P1047" s="9"/>
      <c r="Q1047" s="11">
        <v>88</v>
      </c>
      <c r="R1047" s="9" t="s">
        <v>195</v>
      </c>
      <c r="S1047" s="9" t="s">
        <v>228</v>
      </c>
      <c r="T1047" s="12">
        <f>IF($H1047="Cancelled","",IFERROR(((Q1047+INDEX(Variables!$B$6:$D$6,IFERROR(MATCH(IF($B1047="Robusta","Robusta",(IF($B1047="","Arabica",$B1047))&amp;" - "&amp;(IF($C1047="","Commercial",$C1047))),Variables!$B$1:$D$1,0),1)))*22.0462)*(L1047/16.67),""))</f>
        <v>1502.8975212957405</v>
      </c>
      <c r="U1047" s="10"/>
      <c r="V1047" s="9" t="str">
        <f t="shared" si="101"/>
        <v/>
      </c>
      <c r="W1047" s="10">
        <v>45732</v>
      </c>
      <c r="X1047" s="9" t="str">
        <f t="shared" si="97"/>
        <v>Approved</v>
      </c>
      <c r="Y1047" s="10">
        <v>45773</v>
      </c>
      <c r="Z1047" s="10">
        <f>IF($H1047="Cancelled","",IFERROR(IF(F1047="","",F1047-Variables!$B$13),""))</f>
        <v>45762</v>
      </c>
      <c r="AA1047" s="11">
        <f>IF($H1047="Cancelled","",IFERROR(IF(W1047="","",(AVERAGE(E1047:F1047)-W1047)-Variables!$B$14),""))</f>
        <v>0.5</v>
      </c>
      <c r="AB1047" s="10">
        <v>45785</v>
      </c>
      <c r="AC1047" s="11">
        <f>IF($H1047="Cancelled","",IFERROR(IF(AB1047="","",IF(AND(W1047="",Y1047=""),"",IF(Y1047&gt;W1047,Y1047+Variables!$B$15+Variables!$B$16+Variables!$B$17-AB1047,W1047+Variables!$B$16+Variables!$B$17-AB1047))),""))</f>
        <v>3</v>
      </c>
      <c r="AD1047" s="9" t="s">
        <v>163</v>
      </c>
      <c r="AE1047" s="9" t="s">
        <v>598</v>
      </c>
      <c r="AF1047" s="10"/>
      <c r="AG1047" s="10"/>
      <c r="AH1047" s="9"/>
      <c r="AI1047" s="9">
        <v>253545561</v>
      </c>
      <c r="AJ1047" s="9" t="s">
        <v>1060</v>
      </c>
      <c r="AK1047" s="10">
        <v>45792</v>
      </c>
      <c r="AL1047" s="10">
        <v>45805</v>
      </c>
      <c r="AM1047" s="10">
        <v>45807</v>
      </c>
      <c r="AN1047" s="9" t="s">
        <v>1492</v>
      </c>
      <c r="AO1047" s="9"/>
      <c r="AP1047" s="11">
        <f>IF($H1047="Cancelled","",IFERROR(IF(OR(AK1047="",AB1047=""),"",(AB1047+Variables!$B$18-AK1047)),""))</f>
        <v>0</v>
      </c>
      <c r="AQ1047" s="11">
        <f>IF($H1047="Cancelled","",IFERROR(IF(OR(AM1047="",AK1047=""),"",(AK1047+Variables!$B$19)-AM1047),""))</f>
        <v>-10</v>
      </c>
      <c r="AR1047" s="12">
        <f>IF($H1047="Cancelled","",IFERROR(T1047*INDEX(Variables!$B$7:$D$7,IFERROR(MATCH(IF($B1047="Robusta","Robusta",(IF($B1047="","Arabica",$B1047))&amp;" - "&amp;(IF($C1047="","Commercial",$C1047))),Variables!$B$1:$D$1,0),1))*(AQ1047/365),""))</f>
        <v>-2.6550722889779781</v>
      </c>
      <c r="AS1047" s="12">
        <f>IF($H1047="Cancelled","",IFERROR((T1047*INDEX(Variables!$B$7:$D$7,IFERROR(MATCH(IF($B1047="Robusta","Robusta",(IF($B1047="","Arabica",$B1047))&amp;" - "&amp;(IF($C1047="","Commercial",$C1047))),Variables!$B$1:$D$1,0),1))*IFERROR(IF(W1047="","",(AVERAGE(E1047:F1047)-W1047)-Variables!$B$14),"")/365)+(L1047/16.67*INDEX(Variables!$B$8:$D$8,IFERROR(MATCH(IF($B1047="Robusta","Robusta",(IF($B1047="","Arabica",$B1047))&amp;" - "&amp;(IF($C1047="","Commercial",$C1047))),Variables!$B$1:$D$1,0),1))*IFERROR(IF(W1047="","",(AVERAGE(E1047:F1047)-W1047)-Variables!$B$14),""))+(T1047*INDEX(Variables!$B$9:$D$9,IFERROR(MATCH(IF($B1047="Robusta","Robusta",(IF($B1047="","Arabica",$B1047))&amp;" - "&amp;(IF($C1047="","Commercial",$C1047))),Variables!$B$1:$D$1,0),1))*IFERROR(IF(W1047="","",(AVERAGE(E1047:F1047)-W1047)-Variables!$B$14),"")/365),""))</f>
        <v>0.20946506473582102</v>
      </c>
      <c r="AT1047" s="12">
        <f>IF($H1047="Cancelled","",IFERROR((T1047*INDEX(Variables!$B$7:$D$7,IFERROR(MATCH(IF($B1047="Robusta","Robusta",(IF($B1047="","Arabica",$B1047))&amp;" - "&amp;(IF($C1047="","Commercial",$C1047))),Variables!$B$1:$D$1,0),1))*AC1047/365)+(L1047/16.67*INDEX(Variables!$B$8:$D$8,IFERROR(MATCH(IF($B1047="Robusta","Robusta",(IF($B1047="","Arabica",$B1047))&amp;" - "&amp;(IF($C1047="","Commercial",$C1047))),Variables!$B$1:$D$1,0),1))*AC1047)+(T1047*INDEX(Variables!$B$9:$D$9,IFERROR(MATCH(IF($B1047="Robusta","Robusta",(IF($B1047="","Arabica",$B1047))&amp;" - "&amp;(IF($C1047="","Commercial",$C1047))),Variables!$B$1:$D$1,0),1))*AC1047/365),""))</f>
        <v>1.2567903884149263</v>
      </c>
      <c r="AU1047" s="12">
        <f>IF($H1047="Cancelled","",IFERROR((T1047*INDEX(Variables!$B$7:$D$7,IFERROR(MATCH(IF($B1047="Robusta","Robusta",(IF($B1047="","Arabica",$B1047))&amp;" - "&amp;(IF($C1047="","Commercial",$C1047))),Variables!$B$1:$D$1,0),1))*AP1047/365)+(L1047/16.67*INDEX(Variables!$B$8:$D$8,IFERROR(MATCH(IF($B1047="Robusta","Robusta",(IF($B1047="","Arabica",$B1047))&amp;" - "&amp;(IF($C1047="","Commercial",$C1047))),Variables!$B$1:$D$1,0),1))*AP1047)+(T1047*INDEX(Variables!$B$9:$D$9,IFERROR(MATCH(IF($B1047="Robusta","Robusta",(IF($B1047="","Arabica",$B1047))&amp;" - "&amp;(IF($C1047="","Commercial",$C1047))),Variables!$B$1:$D$1,0),1))*AP1047/365),""))</f>
        <v>0</v>
      </c>
      <c r="AV1047" s="11">
        <f t="shared" si="100"/>
        <v>-15</v>
      </c>
      <c r="AW1047" s="12">
        <f>IF($H1047="Cancelled","",IFERROR(IF(AV1047="","",(T1047*INDEX(Variables!$B$7:$D$7,IFERROR(MATCH(IF($B1047="Robusta","Robusta",(IF($B1047="","Arabica",$B1047))&amp;" - "&amp;(IF($C1047="","Commercial",$C1047))),Variables!$B$1:$D$1,0),1))*(AV1047/365))+(T1047*INDEX(Variables!$B$9:$D$9,IFERROR(MATCH(IF($B1047="Robusta","Robusta",(IF($B1047="","Arabica",$B1047))&amp;" - "&amp;(IF($C1047="","Commercial",$C1047))),Variables!$B$1:$D$1,0),1))*(AV1047/365))+(INDEX(Variables!$B$8:$D$8,IFERROR(MATCH(IF($B1047="Robusta","Robusta",(IF($B1047="","Arabica",$B1047))&amp;" - "&amp;(IF($C1047="","Commercial",$C1047))),Variables!$B$1:$D$1,0),1))*L1047/16.67)),""))</f>
        <v>-3.8839519420746309</v>
      </c>
      <c r="AX1047" s="9"/>
      <c r="AY1047" s="12"/>
      <c r="AZ1047" s="10"/>
      <c r="BA1047" s="9"/>
      <c r="BB1047" s="10"/>
      <c r="BC1047" s="9"/>
      <c r="BD1047" s="9"/>
      <c r="BE1047" s="9"/>
      <c r="BF1047" s="9"/>
    </row>
    <row r="1048" spans="1:58" x14ac:dyDescent="0.25">
      <c r="A1048" s="9" t="s">
        <v>84</v>
      </c>
      <c r="B1048" s="9" t="s">
        <v>85</v>
      </c>
      <c r="C1048" s="9" t="s">
        <v>1486</v>
      </c>
      <c r="D1048" s="10">
        <v>45722</v>
      </c>
      <c r="E1048" s="10">
        <v>45748</v>
      </c>
      <c r="F1048" s="10">
        <v>45777</v>
      </c>
      <c r="G1048" s="9">
        <v>3786794</v>
      </c>
      <c r="H1048" s="9" t="str">
        <f t="shared" si="98"/>
        <v>Closed</v>
      </c>
      <c r="I1048" s="9" t="str">
        <f t="shared" si="99"/>
        <v>All dates received</v>
      </c>
      <c r="J1048" s="9" t="s">
        <v>225</v>
      </c>
      <c r="K1048" s="9" t="s">
        <v>2239</v>
      </c>
      <c r="L1048" s="11">
        <v>10</v>
      </c>
      <c r="M1048" s="9" t="s">
        <v>2240</v>
      </c>
      <c r="N1048" s="9"/>
      <c r="O1048" s="9"/>
      <c r="P1048" s="9"/>
      <c r="Q1048" s="11">
        <v>119</v>
      </c>
      <c r="R1048" s="9" t="s">
        <v>195</v>
      </c>
      <c r="S1048" s="9" t="s">
        <v>228</v>
      </c>
      <c r="T1048" s="12">
        <f>IF($H1048="Cancelled","",IFERROR(((Q1048+INDEX(Variables!$B$6:$D$6,IFERROR(MATCH(IF($B1048="Robusta","Robusta",(IF($B1048="","Arabica",$B1048))&amp;" - "&amp;(IF($C1048="","Commercial",$C1048))),Variables!$B$1:$D$1,0),1)))*22.0462)*(L1048/16.67),""))</f>
        <v>5419.6357288542285</v>
      </c>
      <c r="U1048" s="10"/>
      <c r="V1048" s="9" t="str">
        <f t="shared" si="101"/>
        <v/>
      </c>
      <c r="W1048" s="10">
        <v>45732</v>
      </c>
      <c r="X1048" s="9" t="str">
        <f t="shared" si="97"/>
        <v>Approved</v>
      </c>
      <c r="Y1048" s="10">
        <v>45773</v>
      </c>
      <c r="Z1048" s="10">
        <f>IF($H1048="Cancelled","",IFERROR(IF(F1048="","",F1048-Variables!$B$13),""))</f>
        <v>45762</v>
      </c>
      <c r="AA1048" s="11">
        <f>IF($H1048="Cancelled","",IFERROR(IF(W1048="","",(AVERAGE(E1048:F1048)-W1048)-Variables!$B$14),""))</f>
        <v>0.5</v>
      </c>
      <c r="AB1048" s="10">
        <v>45785</v>
      </c>
      <c r="AC1048" s="11">
        <f>IF($H1048="Cancelled","",IFERROR(IF(AB1048="","",IF(AND(W1048="",Y1048=""),"",IF(Y1048&gt;W1048,Y1048+Variables!$B$15+Variables!$B$16+Variables!$B$17-AB1048,W1048+Variables!$B$16+Variables!$B$17-AB1048))),""))</f>
        <v>3</v>
      </c>
      <c r="AD1048" s="9" t="s">
        <v>163</v>
      </c>
      <c r="AE1048" s="9" t="s">
        <v>598</v>
      </c>
      <c r="AF1048" s="10"/>
      <c r="AG1048" s="10"/>
      <c r="AH1048" s="9"/>
      <c r="AI1048" s="9">
        <v>253545561</v>
      </c>
      <c r="AJ1048" s="9" t="s">
        <v>1060</v>
      </c>
      <c r="AK1048" s="10">
        <v>45792</v>
      </c>
      <c r="AL1048" s="10">
        <v>45805</v>
      </c>
      <c r="AM1048" s="10">
        <v>45807</v>
      </c>
      <c r="AN1048" s="9" t="s">
        <v>1492</v>
      </c>
      <c r="AO1048" s="9"/>
      <c r="AP1048" s="11">
        <f>IF($H1048="Cancelled","",IFERROR(IF(OR(AK1048="",AB1048=""),"",(AB1048+Variables!$B$18-AK1048)),""))</f>
        <v>0</v>
      </c>
      <c r="AQ1048" s="11">
        <f>IF($H1048="Cancelled","",IFERROR(IF(OR(AM1048="",AK1048=""),"",(AK1048+Variables!$B$19)-AM1048),""))</f>
        <v>-10</v>
      </c>
      <c r="AR1048" s="12">
        <f>IF($H1048="Cancelled","",IFERROR(T1048*INDEX(Variables!$B$7:$D$7,IFERROR(MATCH(IF($B1048="Robusta","Robusta",(IF($B1048="","Arabica",$B1048))&amp;" - "&amp;(IF($C1048="","Commercial",$C1048))),Variables!$B$1:$D$1,0),1))*(AQ1048/365),""))</f>
        <v>-9.5745215067157297</v>
      </c>
      <c r="AS1048" s="12">
        <f>IF($H1048="Cancelled","",IFERROR((T1048*INDEX(Variables!$B$7:$D$7,IFERROR(MATCH(IF($B1048="Robusta","Robusta",(IF($B1048="","Arabica",$B1048))&amp;" - "&amp;(IF($C1048="","Commercial",$C1048))),Variables!$B$1:$D$1,0),1))*IFERROR(IF(W1048="","",(AVERAGE(E1048:F1048)-W1048)-Variables!$B$14),"")/365)+(L1048/16.67*INDEX(Variables!$B$8:$D$8,IFERROR(MATCH(IF($B1048="Robusta","Robusta",(IF($B1048="","Arabica",$B1048))&amp;" - "&amp;(IF($C1048="","Commercial",$C1048))),Variables!$B$1:$D$1,0),1))*IFERROR(IF(W1048="","",(AVERAGE(E1048:F1048)-W1048)-Variables!$B$14),""))+(T1048*INDEX(Variables!$B$9:$D$9,IFERROR(MATCH(IF($B1048="Robusta","Robusta",(IF($B1048="","Arabica",$B1048))&amp;" - "&amp;(IF($C1048="","Commercial",$C1048))),Variables!$B$1:$D$1,0),1))*IFERROR(IF(W1048="","",(AVERAGE(E1048:F1048)-W1048)-Variables!$B$14),"")/365),""))</f>
        <v>0.73489777832400094</v>
      </c>
      <c r="AT1048" s="12">
        <f>IF($H1048="Cancelled","",IFERROR((T1048*INDEX(Variables!$B$7:$D$7,IFERROR(MATCH(IF($B1048="Robusta","Robusta",(IF($B1048="","Arabica",$B1048))&amp;" - "&amp;(IF($C1048="","Commercial",$C1048))),Variables!$B$1:$D$1,0),1))*AC1048/365)+(L1048/16.67*INDEX(Variables!$B$8:$D$8,IFERROR(MATCH(IF($B1048="Robusta","Robusta",(IF($B1048="","Arabica",$B1048))&amp;" - "&amp;(IF($C1048="","Commercial",$C1048))),Variables!$B$1:$D$1,0),1))*AC1048)+(T1048*INDEX(Variables!$B$9:$D$9,IFERROR(MATCH(IF($B1048="Robusta","Robusta",(IF($B1048="","Arabica",$B1048))&amp;" - "&amp;(IF($C1048="","Commercial",$C1048))),Variables!$B$1:$D$1,0),1))*AC1048/365),""))</f>
        <v>4.4093866699440056</v>
      </c>
      <c r="AU1048" s="12">
        <f>IF($H1048="Cancelled","",IFERROR((T1048*INDEX(Variables!$B$7:$D$7,IFERROR(MATCH(IF($B1048="Robusta","Robusta",(IF($B1048="","Arabica",$B1048))&amp;" - "&amp;(IF($C1048="","Commercial",$C1048))),Variables!$B$1:$D$1,0),1))*AP1048/365)+(L1048/16.67*INDEX(Variables!$B$8:$D$8,IFERROR(MATCH(IF($B1048="Robusta","Robusta",(IF($B1048="","Arabica",$B1048))&amp;" - "&amp;(IF($C1048="","Commercial",$C1048))),Variables!$B$1:$D$1,0),1))*AP1048)+(T1048*INDEX(Variables!$B$9:$D$9,IFERROR(MATCH(IF($B1048="Robusta","Robusta",(IF($B1048="","Arabica",$B1048))&amp;" - "&amp;(IF($C1048="","Commercial",$C1048))),Variables!$B$1:$D$1,0),1))*AP1048/365),""))</f>
        <v>0</v>
      </c>
      <c r="AV1048" s="11">
        <f t="shared" si="100"/>
        <v>-15</v>
      </c>
      <c r="AW1048" s="12">
        <f>IF($H1048="Cancelled","",IFERROR(IF(AV1048="","",(T1048*INDEX(Variables!$B$7:$D$7,IFERROR(MATCH(IF($B1048="Robusta","Robusta",(IF($B1048="","Arabica",$B1048))&amp;" - "&amp;(IF($C1048="","Commercial",$C1048))),Variables!$B$1:$D$1,0),1))*(AV1048/365))+(T1048*INDEX(Variables!$B$9:$D$9,IFERROR(MATCH(IF($B1048="Robusta","Robusta",(IF($B1048="","Arabica",$B1048))&amp;" - "&amp;(IF($C1048="","Commercial",$C1048))),Variables!$B$1:$D$1,0),1))*(AV1048/365))+(INDEX(Variables!$B$8:$D$8,IFERROR(MATCH(IF($B1048="Robusta","Robusta",(IF($B1048="","Arabica",$B1048))&amp;" - "&amp;(IF($C1048="","Commercial",$C1048))),Variables!$B$1:$D$1,0),1))*L1048/16.67)),""))</f>
        <v>-14.046933349720026</v>
      </c>
      <c r="AX1048" s="9"/>
      <c r="AY1048" s="12"/>
      <c r="AZ1048" s="10"/>
      <c r="BA1048" s="9"/>
      <c r="BB1048" s="10"/>
      <c r="BC1048" s="9"/>
      <c r="BD1048" s="9"/>
      <c r="BE1048" s="9"/>
      <c r="BF1048" s="9"/>
    </row>
    <row r="1049" spans="1:58" x14ac:dyDescent="0.25">
      <c r="A1049" s="9" t="s">
        <v>84</v>
      </c>
      <c r="B1049" s="9" t="s">
        <v>85</v>
      </c>
      <c r="C1049" s="9" t="s">
        <v>1486</v>
      </c>
      <c r="D1049" s="10">
        <v>45722</v>
      </c>
      <c r="E1049" s="10">
        <v>45748</v>
      </c>
      <c r="F1049" s="10">
        <v>45777</v>
      </c>
      <c r="G1049" s="9">
        <v>3786795</v>
      </c>
      <c r="H1049" s="9" t="str">
        <f t="shared" si="98"/>
        <v>Closed</v>
      </c>
      <c r="I1049" s="9" t="str">
        <f t="shared" si="99"/>
        <v>All dates received</v>
      </c>
      <c r="J1049" s="9" t="s">
        <v>225</v>
      </c>
      <c r="K1049" s="9" t="s">
        <v>2241</v>
      </c>
      <c r="L1049" s="11">
        <v>15</v>
      </c>
      <c r="M1049" s="9" t="s">
        <v>2242</v>
      </c>
      <c r="N1049" s="9"/>
      <c r="O1049" s="9"/>
      <c r="P1049" s="9"/>
      <c r="Q1049" s="11">
        <v>91</v>
      </c>
      <c r="R1049" s="9" t="s">
        <v>195</v>
      </c>
      <c r="S1049" s="9" t="s">
        <v>228</v>
      </c>
      <c r="T1049" s="12">
        <f>IF($H1049="Cancelled","",IFERROR(((Q1049+INDEX(Variables!$B$6:$D$6,IFERROR(MATCH(IF($B1049="Robusta","Robusta",(IF($B1049="","Arabica",$B1049))&amp;" - "&amp;(IF($C1049="","Commercial",$C1049))),Variables!$B$1:$D$1,0),1)))*22.0462)*(L1049/16.67),""))</f>
        <v>7574.0004439112163</v>
      </c>
      <c r="U1049" s="10"/>
      <c r="V1049" s="9" t="str">
        <f t="shared" si="101"/>
        <v/>
      </c>
      <c r="W1049" s="10">
        <v>45732</v>
      </c>
      <c r="X1049" s="9" t="str">
        <f t="shared" si="97"/>
        <v>Approved</v>
      </c>
      <c r="Y1049" s="10">
        <v>45773</v>
      </c>
      <c r="Z1049" s="10">
        <f>IF($H1049="Cancelled","",IFERROR(IF(F1049="","",F1049-Variables!$B$13),""))</f>
        <v>45762</v>
      </c>
      <c r="AA1049" s="11">
        <f>IF($H1049="Cancelled","",IFERROR(IF(W1049="","",(AVERAGE(E1049:F1049)-W1049)-Variables!$B$14),""))</f>
        <v>0.5</v>
      </c>
      <c r="AB1049" s="10">
        <v>45785</v>
      </c>
      <c r="AC1049" s="11">
        <f>IF($H1049="Cancelled","",IFERROR(IF(AB1049="","",IF(AND(W1049="",Y1049=""),"",IF(Y1049&gt;W1049,Y1049+Variables!$B$15+Variables!$B$16+Variables!$B$17-AB1049,W1049+Variables!$B$16+Variables!$B$17-AB1049))),""))</f>
        <v>3</v>
      </c>
      <c r="AD1049" s="9" t="s">
        <v>163</v>
      </c>
      <c r="AE1049" s="9" t="s">
        <v>598</v>
      </c>
      <c r="AF1049" s="10"/>
      <c r="AG1049" s="10"/>
      <c r="AH1049" s="9"/>
      <c r="AI1049" s="9">
        <v>253545561</v>
      </c>
      <c r="AJ1049" s="9" t="s">
        <v>1060</v>
      </c>
      <c r="AK1049" s="10">
        <v>45792</v>
      </c>
      <c r="AL1049" s="10">
        <v>45805</v>
      </c>
      <c r="AM1049" s="10">
        <v>45807</v>
      </c>
      <c r="AN1049" s="9" t="s">
        <v>1492</v>
      </c>
      <c r="AO1049" s="9"/>
      <c r="AP1049" s="11">
        <f>IF($H1049="Cancelled","",IFERROR(IF(OR(AK1049="",AB1049=""),"",(AB1049+Variables!$B$18-AK1049)),""))</f>
        <v>0</v>
      </c>
      <c r="AQ1049" s="11">
        <f>IF($H1049="Cancelled","",IFERROR(IF(OR(AM1049="",AK1049=""),"",(AK1049+Variables!$B$19)-AM1049),""))</f>
        <v>-10</v>
      </c>
      <c r="AR1049" s="12">
        <f>IF($H1049="Cancelled","",IFERROR(T1049*INDEX(Variables!$B$7:$D$7,IFERROR(MATCH(IF($B1049="Robusta","Robusta",(IF($B1049="","Arabica",$B1049))&amp;" - "&amp;(IF($C1049="","Commercial",$C1049))),Variables!$B$1:$D$1,0),1))*(AQ1049/365),""))</f>
        <v>-13.380498943133475</v>
      </c>
      <c r="AS1049" s="12">
        <f>IF($H1049="Cancelled","",IFERROR((T1049*INDEX(Variables!$B$7:$D$7,IFERROR(MATCH(IF($B1049="Robusta","Robusta",(IF($B1049="","Arabica",$B1049))&amp;" - "&amp;(IF($C1049="","Commercial",$C1049))),Variables!$B$1:$D$1,0),1))*IFERROR(IF(W1049="","",(AVERAGE(E1049:F1049)-W1049)-Variables!$B$14),"")/365)+(L1049/16.67*INDEX(Variables!$B$8:$D$8,IFERROR(MATCH(IF($B1049="Robusta","Robusta",(IF($B1049="","Arabica",$B1049))&amp;" - "&amp;(IF($C1049="","Commercial",$C1049))),Variables!$B$1:$D$1,0),1))*IFERROR(IF(W1049="","",(AVERAGE(E1049:F1049)-W1049)-Variables!$B$14),""))+(T1049*INDEX(Variables!$B$9:$D$9,IFERROR(MATCH(IF($B1049="Robusta","Robusta",(IF($B1049="","Arabica",$B1049))&amp;" - "&amp;(IF($C1049="","Commercial",$C1049))),Variables!$B$1:$D$1,0),1))*IFERROR(IF(W1049="","",(AVERAGE(E1049:F1049)-W1049)-Variables!$B$14),"")/365),""))</f>
        <v>1.0526499698539662</v>
      </c>
      <c r="AT1049" s="12">
        <f>IF($H1049="Cancelled","",IFERROR((T1049*INDEX(Variables!$B$7:$D$7,IFERROR(MATCH(IF($B1049="Robusta","Robusta",(IF($B1049="","Arabica",$B1049))&amp;" - "&amp;(IF($C1049="","Commercial",$C1049))),Variables!$B$1:$D$1,0),1))*AC1049/365)+(L1049/16.67*INDEX(Variables!$B$8:$D$8,IFERROR(MATCH(IF($B1049="Robusta","Robusta",(IF($B1049="","Arabica",$B1049))&amp;" - "&amp;(IF($C1049="","Commercial",$C1049))),Variables!$B$1:$D$1,0),1))*AC1049)+(T1049*INDEX(Variables!$B$9:$D$9,IFERROR(MATCH(IF($B1049="Robusta","Robusta",(IF($B1049="","Arabica",$B1049))&amp;" - "&amp;(IF($C1049="","Commercial",$C1049))),Variables!$B$1:$D$1,0),1))*AC1049/365),""))</f>
        <v>6.3158998191237972</v>
      </c>
      <c r="AU1049" s="12">
        <f>IF($H1049="Cancelled","",IFERROR((T1049*INDEX(Variables!$B$7:$D$7,IFERROR(MATCH(IF($B1049="Robusta","Robusta",(IF($B1049="","Arabica",$B1049))&amp;" - "&amp;(IF($C1049="","Commercial",$C1049))),Variables!$B$1:$D$1,0),1))*AP1049/365)+(L1049/16.67*INDEX(Variables!$B$8:$D$8,IFERROR(MATCH(IF($B1049="Robusta","Robusta",(IF($B1049="","Arabica",$B1049))&amp;" - "&amp;(IF($C1049="","Commercial",$C1049))),Variables!$B$1:$D$1,0),1))*AP1049)+(T1049*INDEX(Variables!$B$9:$D$9,IFERROR(MATCH(IF($B1049="Robusta","Robusta",(IF($B1049="","Arabica",$B1049))&amp;" - "&amp;(IF($C1049="","Commercial",$C1049))),Variables!$B$1:$D$1,0),1))*AP1049/365),""))</f>
        <v>0</v>
      </c>
      <c r="AV1049" s="11">
        <f t="shared" si="100"/>
        <v>-15</v>
      </c>
      <c r="AW1049" s="12">
        <f>IF($H1049="Cancelled","",IFERROR(IF(AV1049="","",(T1049*INDEX(Variables!$B$7:$D$7,IFERROR(MATCH(IF($B1049="Robusta","Robusta",(IF($B1049="","Arabica",$B1049))&amp;" - "&amp;(IF($C1049="","Commercial",$C1049))),Variables!$B$1:$D$1,0),1))*(AV1049/365))+(T1049*INDEX(Variables!$B$9:$D$9,IFERROR(MATCH(IF($B1049="Robusta","Robusta",(IF($B1049="","Arabica",$B1049))&amp;" - "&amp;(IF($C1049="","Commercial",$C1049))),Variables!$B$1:$D$1,0),1))*(AV1049/365))+(INDEX(Variables!$B$8:$D$8,IFERROR(MATCH(IF($B1049="Robusta","Robusta",(IF($B1049="","Arabica",$B1049))&amp;" - "&amp;(IF($C1049="","Commercial",$C1049))),Variables!$B$1:$D$1,0),1))*L1049/16.67)),""))</f>
        <v>-19.579499095618981</v>
      </c>
      <c r="AX1049" s="9"/>
      <c r="AY1049" s="12"/>
      <c r="AZ1049" s="10"/>
      <c r="BA1049" s="9"/>
      <c r="BB1049" s="10"/>
      <c r="BC1049" s="9"/>
      <c r="BD1049" s="9"/>
      <c r="BE1049" s="9"/>
      <c r="BF1049" s="9"/>
    </row>
    <row r="1050" spans="1:58" x14ac:dyDescent="0.25">
      <c r="A1050" s="9" t="s">
        <v>84</v>
      </c>
      <c r="B1050" s="9" t="s">
        <v>85</v>
      </c>
      <c r="C1050" s="9" t="s">
        <v>1486</v>
      </c>
      <c r="D1050" s="10">
        <v>45722</v>
      </c>
      <c r="E1050" s="10">
        <v>45748</v>
      </c>
      <c r="F1050" s="10">
        <v>45777</v>
      </c>
      <c r="G1050" s="9">
        <v>3786796</v>
      </c>
      <c r="H1050" s="9" t="str">
        <f t="shared" si="98"/>
        <v>Closed</v>
      </c>
      <c r="I1050" s="9" t="str">
        <f t="shared" si="99"/>
        <v>All dates received</v>
      </c>
      <c r="J1050" s="9" t="s">
        <v>225</v>
      </c>
      <c r="K1050" s="9" t="s">
        <v>2243</v>
      </c>
      <c r="L1050" s="11">
        <v>45</v>
      </c>
      <c r="M1050" s="9" t="s">
        <v>2244</v>
      </c>
      <c r="N1050" s="9"/>
      <c r="O1050" s="9"/>
      <c r="P1050" s="9"/>
      <c r="Q1050" s="11">
        <v>95</v>
      </c>
      <c r="R1050" s="9" t="s">
        <v>195</v>
      </c>
      <c r="S1050" s="9" t="s">
        <v>228</v>
      </c>
      <c r="T1050" s="12">
        <f>IF($H1050="Cancelled","",IFERROR(((Q1050+INDEX(Variables!$B$6:$D$6,IFERROR(MATCH(IF($B1050="Robusta","Robusta",(IF($B1050="","Arabica",$B1050))&amp;" - "&amp;(IF($C1050="","Commercial",$C1050))),Variables!$B$1:$D$1,0),1)))*22.0462)*(L1050/16.67),""))</f>
        <v>22960.052681463705</v>
      </c>
      <c r="U1050" s="10"/>
      <c r="V1050" s="9" t="str">
        <f t="shared" si="101"/>
        <v/>
      </c>
      <c r="W1050" s="10">
        <v>45732</v>
      </c>
      <c r="X1050" s="9" t="str">
        <f t="shared" si="97"/>
        <v>Approved</v>
      </c>
      <c r="Y1050" s="10">
        <v>45773</v>
      </c>
      <c r="Z1050" s="10">
        <f>IF($H1050="Cancelled","",IFERROR(IF(F1050="","",F1050-Variables!$B$13),""))</f>
        <v>45762</v>
      </c>
      <c r="AA1050" s="11">
        <f>IF($H1050="Cancelled","",IFERROR(IF(W1050="","",(AVERAGE(E1050:F1050)-W1050)-Variables!$B$14),""))</f>
        <v>0.5</v>
      </c>
      <c r="AB1050" s="10">
        <v>45785</v>
      </c>
      <c r="AC1050" s="11">
        <f>IF($H1050="Cancelled","",IFERROR(IF(AB1050="","",IF(AND(W1050="",Y1050=""),"",IF(Y1050&gt;W1050,Y1050+Variables!$B$15+Variables!$B$16+Variables!$B$17-AB1050,W1050+Variables!$B$16+Variables!$B$17-AB1050))),""))</f>
        <v>3</v>
      </c>
      <c r="AD1050" s="9" t="s">
        <v>163</v>
      </c>
      <c r="AE1050" s="9" t="s">
        <v>598</v>
      </c>
      <c r="AF1050" s="10"/>
      <c r="AG1050" s="10"/>
      <c r="AH1050" s="9"/>
      <c r="AI1050" s="9">
        <v>253545561</v>
      </c>
      <c r="AJ1050" s="9" t="s">
        <v>1060</v>
      </c>
      <c r="AK1050" s="10">
        <v>45792</v>
      </c>
      <c r="AL1050" s="10">
        <v>45805</v>
      </c>
      <c r="AM1050" s="10">
        <v>45807</v>
      </c>
      <c r="AN1050" s="9" t="s">
        <v>1492</v>
      </c>
      <c r="AO1050" s="9"/>
      <c r="AP1050" s="11">
        <f>IF($H1050="Cancelled","",IFERROR(IF(OR(AK1050="",AB1050=""),"",(AB1050+Variables!$B$18-AK1050)),""))</f>
        <v>0</v>
      </c>
      <c r="AQ1050" s="11">
        <f>IF($H1050="Cancelled","",IFERROR(IF(OR(AM1050="",AK1050=""),"",(AK1050+Variables!$B$19)-AM1050),""))</f>
        <v>-10</v>
      </c>
      <c r="AR1050" s="12">
        <f>IF($H1050="Cancelled","",IFERROR(T1050*INDEX(Variables!$B$7:$D$7,IFERROR(MATCH(IF($B1050="Robusta","Robusta",(IF($B1050="","Arabica",$B1050))&amp;" - "&amp;(IF($C1050="","Commercial",$C1050))),Variables!$B$1:$D$1,0),1))*(AQ1050/365),""))</f>
        <v>-40.562046822374768</v>
      </c>
      <c r="AS1050" s="12">
        <f>IF($H1050="Cancelled","",IFERROR((T1050*INDEX(Variables!$B$7:$D$7,IFERROR(MATCH(IF($B1050="Robusta","Robusta",(IF($B1050="","Arabica",$B1050))&amp;" - "&amp;(IF($C1050="","Commercial",$C1050))),Variables!$B$1:$D$1,0),1))*IFERROR(IF(W1050="","",(AVERAGE(E1050:F1050)-W1050)-Variables!$B$14),"")/365)+(L1050/16.67*INDEX(Variables!$B$8:$D$8,IFERROR(MATCH(IF($B1050="Robusta","Robusta",(IF($B1050="","Arabica",$B1050))&amp;" - "&amp;(IF($C1050="","Commercial",$C1050))),Variables!$B$1:$D$1,0),1))*IFERROR(IF(W1050="","",(AVERAGE(E1050:F1050)-W1050)-Variables!$B$14),""))+(T1050*INDEX(Variables!$B$9:$D$9,IFERROR(MATCH(IF($B1050="Robusta","Robusta",(IF($B1050="","Arabica",$B1050))&amp;" - "&amp;(IF($C1050="","Commercial",$C1050))),Variables!$B$1:$D$1,0),1))*IFERROR(IF(W1050="","",(AVERAGE(E1050:F1050)-W1050)-Variables!$B$14),"")/365),""))</f>
        <v>3.1792484942613419</v>
      </c>
      <c r="AT1050" s="12">
        <f>IF($H1050="Cancelled","",IFERROR((T1050*INDEX(Variables!$B$7:$D$7,IFERROR(MATCH(IF($B1050="Robusta","Robusta",(IF($B1050="","Arabica",$B1050))&amp;" - "&amp;(IF($C1050="","Commercial",$C1050))),Variables!$B$1:$D$1,0),1))*AC1050/365)+(L1050/16.67*INDEX(Variables!$B$8:$D$8,IFERROR(MATCH(IF($B1050="Robusta","Robusta",(IF($B1050="","Arabica",$B1050))&amp;" - "&amp;(IF($C1050="","Commercial",$C1050))),Variables!$B$1:$D$1,0),1))*AC1050)+(T1050*INDEX(Variables!$B$9:$D$9,IFERROR(MATCH(IF($B1050="Robusta","Robusta",(IF($B1050="","Arabica",$B1050))&amp;" - "&amp;(IF($C1050="","Commercial",$C1050))),Variables!$B$1:$D$1,0),1))*AC1050/365),""))</f>
        <v>19.075490965568054</v>
      </c>
      <c r="AU1050" s="12">
        <f>IF($H1050="Cancelled","",IFERROR((T1050*INDEX(Variables!$B$7:$D$7,IFERROR(MATCH(IF($B1050="Robusta","Robusta",(IF($B1050="","Arabica",$B1050))&amp;" - "&amp;(IF($C1050="","Commercial",$C1050))),Variables!$B$1:$D$1,0),1))*AP1050/365)+(L1050/16.67*INDEX(Variables!$B$8:$D$8,IFERROR(MATCH(IF($B1050="Robusta","Robusta",(IF($B1050="","Arabica",$B1050))&amp;" - "&amp;(IF($C1050="","Commercial",$C1050))),Variables!$B$1:$D$1,0),1))*AP1050)+(T1050*INDEX(Variables!$B$9:$D$9,IFERROR(MATCH(IF($B1050="Robusta","Robusta",(IF($B1050="","Arabica",$B1050))&amp;" - "&amp;(IF($C1050="","Commercial",$C1050))),Variables!$B$1:$D$1,0),1))*AP1050/365),""))</f>
        <v>0</v>
      </c>
      <c r="AV1050" s="11">
        <f t="shared" si="100"/>
        <v>-15</v>
      </c>
      <c r="AW1050" s="12">
        <f>IF($H1050="Cancelled","",IFERROR(IF(AV1050="","",(T1050*INDEX(Variables!$B$7:$D$7,IFERROR(MATCH(IF($B1050="Robusta","Robusta",(IF($B1050="","Arabica",$B1050))&amp;" - "&amp;(IF($C1050="","Commercial",$C1050))),Variables!$B$1:$D$1,0),1))*(AV1050/365))+(T1050*INDEX(Variables!$B$9:$D$9,IFERROR(MATCH(IF($B1050="Robusta","Robusta",(IF($B1050="","Arabica",$B1050))&amp;" - "&amp;(IF($C1050="","Commercial",$C1050))),Variables!$B$1:$D$1,0),1))*(AV1050/365))+(INDEX(Variables!$B$8:$D$8,IFERROR(MATCH(IF($B1050="Robusta","Robusta",(IF($B1050="","Arabica",$B1050))&amp;" - "&amp;(IF($C1050="","Commercial",$C1050))),Variables!$B$1:$D$1,0),1))*L1050/16.67)),""))</f>
        <v>-59.377454827840268</v>
      </c>
      <c r="AX1050" s="9"/>
      <c r="AY1050" s="12"/>
      <c r="AZ1050" s="10"/>
      <c r="BA1050" s="9"/>
      <c r="BB1050" s="10"/>
      <c r="BC1050" s="9"/>
      <c r="BD1050" s="9"/>
      <c r="BE1050" s="9"/>
      <c r="BF1050" s="9"/>
    </row>
    <row r="1051" spans="1:58" x14ac:dyDescent="0.25">
      <c r="A1051" s="9" t="s">
        <v>84</v>
      </c>
      <c r="B1051" s="9" t="s">
        <v>85</v>
      </c>
      <c r="C1051" s="9" t="s">
        <v>1486</v>
      </c>
      <c r="D1051" s="10">
        <v>45722</v>
      </c>
      <c r="E1051" s="10">
        <v>45748</v>
      </c>
      <c r="F1051" s="10">
        <v>45777</v>
      </c>
      <c r="G1051" s="9">
        <v>3786825</v>
      </c>
      <c r="H1051" s="9" t="str">
        <f t="shared" si="98"/>
        <v>Closed</v>
      </c>
      <c r="I1051" s="9" t="str">
        <f t="shared" si="99"/>
        <v>All dates received</v>
      </c>
      <c r="J1051" s="9" t="s">
        <v>204</v>
      </c>
      <c r="K1051" s="9" t="s">
        <v>2245</v>
      </c>
      <c r="L1051" s="11">
        <v>21</v>
      </c>
      <c r="M1051" s="9" t="s">
        <v>2246</v>
      </c>
      <c r="N1051" s="9"/>
      <c r="O1051" s="9"/>
      <c r="P1051" s="9"/>
      <c r="Q1051" s="11">
        <v>118</v>
      </c>
      <c r="R1051" s="9" t="s">
        <v>90</v>
      </c>
      <c r="S1051" s="9" t="s">
        <v>156</v>
      </c>
      <c r="T1051" s="12">
        <f>IF($H1051="Cancelled","",IFERROR(((Q1051+INDEX(Variables!$B$6:$D$6,IFERROR(MATCH(IF($B1051="Robusta","Robusta",(IF($B1051="","Arabica",$B1051))&amp;" - "&amp;(IF($C1051="","Commercial",$C1051))),Variables!$B$1:$D$1,0),1)))*22.0462)*(L1051/16.67),""))</f>
        <v>11353.462373125372</v>
      </c>
      <c r="U1051" s="10"/>
      <c r="V1051" s="9" t="str">
        <f t="shared" si="101"/>
        <v/>
      </c>
      <c r="W1051" s="10">
        <v>45732</v>
      </c>
      <c r="X1051" s="9" t="str">
        <f t="shared" si="97"/>
        <v>Approved</v>
      </c>
      <c r="Y1051" s="10">
        <v>45773</v>
      </c>
      <c r="Z1051" s="10">
        <f>IF($H1051="Cancelled","",IFERROR(IF(F1051="","",F1051-Variables!$B$13),""))</f>
        <v>45762</v>
      </c>
      <c r="AA1051" s="11">
        <f>IF($H1051="Cancelled","",IFERROR(IF(W1051="","",(AVERAGE(E1051:F1051)-W1051)-Variables!$B$14),""))</f>
        <v>0.5</v>
      </c>
      <c r="AB1051" s="10">
        <v>45798</v>
      </c>
      <c r="AC1051" s="11">
        <f>IF($H1051="Cancelled","",IFERROR(IF(AB1051="","",IF(AND(W1051="",Y1051=""),"",IF(Y1051&gt;W1051,Y1051+Variables!$B$15+Variables!$B$16+Variables!$B$17-AB1051,W1051+Variables!$B$16+Variables!$B$17-AB1051))),""))</f>
        <v>-10</v>
      </c>
      <c r="AD1051" s="9" t="s">
        <v>180</v>
      </c>
      <c r="AE1051" s="9" t="s">
        <v>2247</v>
      </c>
      <c r="AF1051" s="10"/>
      <c r="AG1051" s="10"/>
      <c r="AH1051" s="9"/>
      <c r="AI1051" s="9" t="s">
        <v>2248</v>
      </c>
      <c r="AJ1051" s="9" t="s">
        <v>2249</v>
      </c>
      <c r="AK1051" s="10">
        <v>45811</v>
      </c>
      <c r="AL1051" s="10">
        <v>45815</v>
      </c>
      <c r="AM1051" s="10">
        <v>45838</v>
      </c>
      <c r="AN1051" s="9" t="s">
        <v>1492</v>
      </c>
      <c r="AO1051" s="9"/>
      <c r="AP1051" s="11">
        <f>IF($H1051="Cancelled","",IFERROR(IF(OR(AK1051="",AB1051=""),"",(AB1051+Variables!$B$18-AK1051)),""))</f>
        <v>-6</v>
      </c>
      <c r="AQ1051" s="11">
        <f>IF($H1051="Cancelled","",IFERROR(IF(OR(AM1051="",AK1051=""),"",(AK1051+Variables!$B$19)-AM1051),""))</f>
        <v>-22</v>
      </c>
      <c r="AR1051" s="12">
        <f>IF($H1051="Cancelled","",IFERROR(T1051*INDEX(Variables!$B$7:$D$7,IFERROR(MATCH(IF($B1051="Robusta","Robusta",(IF($B1051="","Arabica",$B1051))&amp;" - "&amp;(IF($C1051="","Commercial",$C1051))),Variables!$B$1:$D$1,0),1))*(AQ1051/365),""))</f>
        <v>-44.126348196163256</v>
      </c>
      <c r="AS1051" s="12">
        <f>IF($H1051="Cancelled","",IFERROR((T1051*INDEX(Variables!$B$7:$D$7,IFERROR(MATCH(IF($B1051="Robusta","Robusta",(IF($B1051="","Arabica",$B1051))&amp;" - "&amp;(IF($C1051="","Commercial",$C1051))),Variables!$B$1:$D$1,0),1))*IFERROR(IF(W1051="","",(AVERAGE(E1051:F1051)-W1051)-Variables!$B$14),"")/365)+(L1051/16.67*INDEX(Variables!$B$8:$D$8,IFERROR(MATCH(IF($B1051="Robusta","Robusta",(IF($B1051="","Arabica",$B1051))&amp;" - "&amp;(IF($C1051="","Commercial",$C1051))),Variables!$B$1:$D$1,0),1))*IFERROR(IF(W1051="","",(AVERAGE(E1051:F1051)-W1051)-Variables!$B$14),""))+(T1051*INDEX(Variables!$B$9:$D$9,IFERROR(MATCH(IF($B1051="Robusta","Robusta",(IF($B1051="","Arabica",$B1051))&amp;" - "&amp;(IF($C1051="","Commercial",$C1051))),Variables!$B$1:$D$1,0),1))*IFERROR(IF(W1051="","",(AVERAGE(E1051:F1051)-W1051)-Variables!$B$14),"")/365),""))</f>
        <v>1.5408004995988001</v>
      </c>
      <c r="AT1051" s="12">
        <f>IF($H1051="Cancelled","",IFERROR((T1051*INDEX(Variables!$B$7:$D$7,IFERROR(MATCH(IF($B1051="Robusta","Robusta",(IF($B1051="","Arabica",$B1051))&amp;" - "&amp;(IF($C1051="","Commercial",$C1051))),Variables!$B$1:$D$1,0),1))*AC1051/365)+(L1051/16.67*INDEX(Variables!$B$8:$D$8,IFERROR(MATCH(IF($B1051="Robusta","Robusta",(IF($B1051="","Arabica",$B1051))&amp;" - "&amp;(IF($C1051="","Commercial",$C1051))),Variables!$B$1:$D$1,0),1))*AC1051)+(T1051*INDEX(Variables!$B$9:$D$9,IFERROR(MATCH(IF($B1051="Robusta","Robusta",(IF($B1051="","Arabica",$B1051))&amp;" - "&amp;(IF($C1051="","Commercial",$C1051))),Variables!$B$1:$D$1,0),1))*AC1051/365),""))</f>
        <v>-30.816009991976003</v>
      </c>
      <c r="AU1051" s="12">
        <f>IF($H1051="Cancelled","",IFERROR((T1051*INDEX(Variables!$B$7:$D$7,IFERROR(MATCH(IF($B1051="Robusta","Robusta",(IF($B1051="","Arabica",$B1051))&amp;" - "&amp;(IF($C1051="","Commercial",$C1051))),Variables!$B$1:$D$1,0),1))*AP1051/365)+(L1051/16.67*INDEX(Variables!$B$8:$D$8,IFERROR(MATCH(IF($B1051="Robusta","Robusta",(IF($B1051="","Arabica",$B1051))&amp;" - "&amp;(IF($C1051="","Commercial",$C1051))),Variables!$B$1:$D$1,0),1))*AP1051)+(T1051*INDEX(Variables!$B$9:$D$9,IFERROR(MATCH(IF($B1051="Robusta","Robusta",(IF($B1051="","Arabica",$B1051))&amp;" - "&amp;(IF($C1051="","Commercial",$C1051))),Variables!$B$1:$D$1,0),1))*AP1051/365),""))</f>
        <v>-18.489605995185602</v>
      </c>
      <c r="AV1051" s="11">
        <f t="shared" si="100"/>
        <v>-34</v>
      </c>
      <c r="AW1051" s="12">
        <f>IF($H1051="Cancelled","",IFERROR(IF(AV1051="","",(T1051*INDEX(Variables!$B$7:$D$7,IFERROR(MATCH(IF($B1051="Robusta","Robusta",(IF($B1051="","Arabica",$B1051))&amp;" - "&amp;(IF($C1051="","Commercial",$C1051))),Variables!$B$1:$D$1,0),1))*(AV1051/365))+(T1051*INDEX(Variables!$B$9:$D$9,IFERROR(MATCH(IF($B1051="Robusta","Robusta",(IF($B1051="","Arabica",$B1051))&amp;" - "&amp;(IF($C1051="","Commercial",$C1051))),Variables!$B$1:$D$1,0),1))*(AV1051/365))+(INDEX(Variables!$B$8:$D$8,IFERROR(MATCH(IF($B1051="Robusta","Robusta",(IF($B1051="","Arabica",$B1051))&amp;" - "&amp;(IF($C1051="","Commercial",$C1051))),Variables!$B$1:$D$1,0),1))*L1051/16.67)),""))</f>
        <v>-68.024433972718413</v>
      </c>
      <c r="AX1051" s="9"/>
      <c r="AY1051" s="12"/>
      <c r="AZ1051" s="10"/>
      <c r="BA1051" s="9"/>
      <c r="BB1051" s="10"/>
      <c r="BC1051" s="9"/>
      <c r="BD1051" s="9"/>
      <c r="BE1051" s="9"/>
      <c r="BF1051" s="9"/>
    </row>
    <row r="1052" spans="1:58" x14ac:dyDescent="0.25">
      <c r="A1052" s="9" t="s">
        <v>84</v>
      </c>
      <c r="B1052" s="9" t="s">
        <v>85</v>
      </c>
      <c r="C1052" s="9" t="s">
        <v>1486</v>
      </c>
      <c r="D1052" s="10">
        <v>45722</v>
      </c>
      <c r="E1052" s="10">
        <v>45748</v>
      </c>
      <c r="F1052" s="10">
        <v>45777</v>
      </c>
      <c r="G1052" s="9">
        <v>3786822</v>
      </c>
      <c r="H1052" s="9" t="str">
        <f t="shared" si="98"/>
        <v>Closed</v>
      </c>
      <c r="I1052" s="9" t="str">
        <f t="shared" si="99"/>
        <v>All dates received</v>
      </c>
      <c r="J1052" s="9" t="s">
        <v>547</v>
      </c>
      <c r="K1052" s="9" t="s">
        <v>2250</v>
      </c>
      <c r="L1052" s="11">
        <v>65</v>
      </c>
      <c r="M1052" s="9" t="s">
        <v>2251</v>
      </c>
      <c r="N1052" s="9"/>
      <c r="O1052" s="9"/>
      <c r="P1052" s="9"/>
      <c r="Q1052" s="11">
        <v>109</v>
      </c>
      <c r="R1052" s="9" t="s">
        <v>90</v>
      </c>
      <c r="S1052" s="9" t="s">
        <v>156</v>
      </c>
      <c r="T1052" s="12">
        <f>IF($H1052="Cancelled","",IFERROR(((Q1052+INDEX(Variables!$B$6:$D$6,IFERROR(MATCH(IF($B1052="Robusta","Robusta",(IF($B1052="","Arabica",$B1052))&amp;" - "&amp;(IF($C1052="","Commercial",$C1052))),Variables!$B$1:$D$1,0),1)))*22.0462)*(L1052/16.67),""))</f>
        <v>34368.002363527296</v>
      </c>
      <c r="U1052" s="10"/>
      <c r="V1052" s="9" t="str">
        <f t="shared" si="101"/>
        <v/>
      </c>
      <c r="W1052" s="10">
        <v>45732</v>
      </c>
      <c r="X1052" s="9" t="str">
        <f t="shared" si="97"/>
        <v>Approved</v>
      </c>
      <c r="Y1052" s="10">
        <v>45773</v>
      </c>
      <c r="Z1052" s="10">
        <f>IF($H1052="Cancelled","",IFERROR(IF(F1052="","",F1052-Variables!$B$13),""))</f>
        <v>45762</v>
      </c>
      <c r="AA1052" s="11">
        <f>IF($H1052="Cancelled","",IFERROR(IF(W1052="","",(AVERAGE(E1052:F1052)-W1052)-Variables!$B$14),""))</f>
        <v>0.5</v>
      </c>
      <c r="AB1052" s="10">
        <v>45798</v>
      </c>
      <c r="AC1052" s="11">
        <f>IF($H1052="Cancelled","",IFERROR(IF(AB1052="","",IF(AND(W1052="",Y1052=""),"",IF(Y1052&gt;W1052,Y1052+Variables!$B$15+Variables!$B$16+Variables!$B$17-AB1052,W1052+Variables!$B$16+Variables!$B$17-AB1052))),""))</f>
        <v>-10</v>
      </c>
      <c r="AD1052" s="9" t="s">
        <v>180</v>
      </c>
      <c r="AE1052" s="9" t="s">
        <v>2247</v>
      </c>
      <c r="AF1052" s="10"/>
      <c r="AG1052" s="10"/>
      <c r="AH1052" s="9"/>
      <c r="AI1052" s="9" t="s">
        <v>2248</v>
      </c>
      <c r="AJ1052" s="9" t="s">
        <v>2249</v>
      </c>
      <c r="AK1052" s="10">
        <v>45811</v>
      </c>
      <c r="AL1052" s="10">
        <v>45815</v>
      </c>
      <c r="AM1052" s="10">
        <v>45838</v>
      </c>
      <c r="AN1052" s="9" t="s">
        <v>1492</v>
      </c>
      <c r="AO1052" s="9"/>
      <c r="AP1052" s="11">
        <f>IF($H1052="Cancelled","",IFERROR(IF(OR(AK1052="",AB1052=""),"",(AB1052+Variables!$B$18-AK1052)),""))</f>
        <v>-6</v>
      </c>
      <c r="AQ1052" s="11">
        <f>IF($H1052="Cancelled","",IFERROR(IF(OR(AM1052="",AK1052=""),"",(AK1052+Variables!$B$19)-AM1052),""))</f>
        <v>-22</v>
      </c>
      <c r="AR1052" s="12">
        <f>IF($H1052="Cancelled","",IFERROR(T1052*INDEX(Variables!$B$7:$D$7,IFERROR(MATCH(IF($B1052="Robusta","Robusta",(IF($B1052="","Arabica",$B1052))&amp;" - "&amp;(IF($C1052="","Commercial",$C1052))),Variables!$B$1:$D$1,0),1))*(AQ1052/365),""))</f>
        <v>-133.57462149073885</v>
      </c>
      <c r="AS1052" s="12">
        <f>IF($H1052="Cancelled","",IFERROR((T1052*INDEX(Variables!$B$7:$D$7,IFERROR(MATCH(IF($B1052="Robusta","Robusta",(IF($B1052="","Arabica",$B1052))&amp;" - "&amp;(IF($C1052="","Commercial",$C1052))),Variables!$B$1:$D$1,0),1))*IFERROR(IF(W1052="","",(AVERAGE(E1052:F1052)-W1052)-Variables!$B$14),"")/365)+(L1052/16.67*INDEX(Variables!$B$8:$D$8,IFERROR(MATCH(IF($B1052="Robusta","Robusta",(IF($B1052="","Arabica",$B1052))&amp;" - "&amp;(IF($C1052="","Commercial",$C1052))),Variables!$B$1:$D$1,0),1))*IFERROR(IF(W1052="","",(AVERAGE(E1052:F1052)-W1052)-Variables!$B$14),""))+(T1052*INDEX(Variables!$B$9:$D$9,IFERROR(MATCH(IF($B1052="Robusta","Robusta",(IF($B1052="","Arabica",$B1052))&amp;" - "&amp;(IF($C1052="","Commercial",$C1052))),Variables!$B$1:$D$1,0),1))*IFERROR(IF(W1052="","",(AVERAGE(E1052:F1052)-W1052)-Variables!$B$14),"")/365),""))</f>
        <v>4.6999240032469052</v>
      </c>
      <c r="AT1052" s="12">
        <f>IF($H1052="Cancelled","",IFERROR((T1052*INDEX(Variables!$B$7:$D$7,IFERROR(MATCH(IF($B1052="Robusta","Robusta",(IF($B1052="","Arabica",$B1052))&amp;" - "&amp;(IF($C1052="","Commercial",$C1052))),Variables!$B$1:$D$1,0),1))*AC1052/365)+(L1052/16.67*INDEX(Variables!$B$8:$D$8,IFERROR(MATCH(IF($B1052="Robusta","Robusta",(IF($B1052="","Arabica",$B1052))&amp;" - "&amp;(IF($C1052="","Commercial",$C1052))),Variables!$B$1:$D$1,0),1))*AC1052)+(T1052*INDEX(Variables!$B$9:$D$9,IFERROR(MATCH(IF($B1052="Robusta","Robusta",(IF($B1052="","Arabica",$B1052))&amp;" - "&amp;(IF($C1052="","Commercial",$C1052))),Variables!$B$1:$D$1,0),1))*AC1052/365),""))</f>
        <v>-93.998480064938107</v>
      </c>
      <c r="AU1052" s="12">
        <f>IF($H1052="Cancelled","",IFERROR((T1052*INDEX(Variables!$B$7:$D$7,IFERROR(MATCH(IF($B1052="Robusta","Robusta",(IF($B1052="","Arabica",$B1052))&amp;" - "&amp;(IF($C1052="","Commercial",$C1052))),Variables!$B$1:$D$1,0),1))*AP1052/365)+(L1052/16.67*INDEX(Variables!$B$8:$D$8,IFERROR(MATCH(IF($B1052="Robusta","Robusta",(IF($B1052="","Arabica",$B1052))&amp;" - "&amp;(IF($C1052="","Commercial",$C1052))),Variables!$B$1:$D$1,0),1))*AP1052)+(T1052*INDEX(Variables!$B$9:$D$9,IFERROR(MATCH(IF($B1052="Robusta","Robusta",(IF($B1052="","Arabica",$B1052))&amp;" - "&amp;(IF($C1052="","Commercial",$C1052))),Variables!$B$1:$D$1,0),1))*AP1052/365),""))</f>
        <v>-56.399088038962859</v>
      </c>
      <c r="AV1052" s="11">
        <f t="shared" si="100"/>
        <v>-34</v>
      </c>
      <c r="AW1052" s="12">
        <f>IF($H1052="Cancelled","",IFERROR(IF(AV1052="","",(T1052*INDEX(Variables!$B$7:$D$7,IFERROR(MATCH(IF($B1052="Robusta","Robusta",(IF($B1052="","Arabica",$B1052))&amp;" - "&amp;(IF($C1052="","Commercial",$C1052))),Variables!$B$1:$D$1,0),1))*(AV1052/365))+(T1052*INDEX(Variables!$B$9:$D$9,IFERROR(MATCH(IF($B1052="Robusta","Robusta",(IF($B1052="","Arabica",$B1052))&amp;" - "&amp;(IF($C1052="","Commercial",$C1052))),Variables!$B$1:$D$1,0),1))*(AV1052/365))+(INDEX(Variables!$B$8:$D$8,IFERROR(MATCH(IF($B1052="Robusta","Robusta",(IF($B1052="","Arabica",$B1052))&amp;" - "&amp;(IF($C1052="","Commercial",$C1052))),Variables!$B$1:$D$1,0),1))*L1052/16.67)),""))</f>
        <v>-205.8448322207895</v>
      </c>
      <c r="AX1052" s="9"/>
      <c r="AY1052" s="12"/>
      <c r="AZ1052" s="10"/>
      <c r="BA1052" s="9"/>
      <c r="BB1052" s="10"/>
      <c r="BC1052" s="9"/>
      <c r="BD1052" s="9"/>
      <c r="BE1052" s="9"/>
      <c r="BF1052" s="9"/>
    </row>
    <row r="1053" spans="1:58" x14ac:dyDescent="0.25">
      <c r="A1053" s="9" t="s">
        <v>84</v>
      </c>
      <c r="B1053" s="9" t="s">
        <v>85</v>
      </c>
      <c r="C1053" s="9" t="s">
        <v>1486</v>
      </c>
      <c r="D1053" s="10">
        <v>45722</v>
      </c>
      <c r="E1053" s="10">
        <v>45748</v>
      </c>
      <c r="F1053" s="10">
        <v>45777</v>
      </c>
      <c r="G1053" s="9">
        <v>3786823</v>
      </c>
      <c r="H1053" s="9" t="str">
        <f t="shared" si="98"/>
        <v>Closed</v>
      </c>
      <c r="I1053" s="9" t="str">
        <f t="shared" si="99"/>
        <v>All dates received</v>
      </c>
      <c r="J1053" s="9" t="s">
        <v>547</v>
      </c>
      <c r="K1053" s="9" t="s">
        <v>2252</v>
      </c>
      <c r="L1053" s="11">
        <v>30</v>
      </c>
      <c r="M1053" s="9" t="s">
        <v>2253</v>
      </c>
      <c r="N1053" s="9"/>
      <c r="O1053" s="9"/>
      <c r="P1053" s="9"/>
      <c r="Q1053" s="11">
        <v>118</v>
      </c>
      <c r="R1053" s="9" t="s">
        <v>90</v>
      </c>
      <c r="S1053" s="9" t="s">
        <v>156</v>
      </c>
      <c r="T1053" s="12">
        <f>IF($H1053="Cancelled","",IFERROR(((Q1053+INDEX(Variables!$B$6:$D$6,IFERROR(MATCH(IF($B1053="Robusta","Robusta",(IF($B1053="","Arabica",$B1053))&amp;" - "&amp;(IF($C1053="","Commercial",$C1053))),Variables!$B$1:$D$1,0),1)))*22.0462)*(L1053/16.67),""))</f>
        <v>16219.231961607677</v>
      </c>
      <c r="U1053" s="10"/>
      <c r="V1053" s="9" t="str">
        <f t="shared" si="101"/>
        <v/>
      </c>
      <c r="W1053" s="10">
        <v>45732</v>
      </c>
      <c r="X1053" s="9" t="str">
        <f t="shared" si="97"/>
        <v>Approved</v>
      </c>
      <c r="Y1053" s="10">
        <v>45773</v>
      </c>
      <c r="Z1053" s="10">
        <f>IF($H1053="Cancelled","",IFERROR(IF(F1053="","",F1053-Variables!$B$13),""))</f>
        <v>45762</v>
      </c>
      <c r="AA1053" s="11">
        <f>IF($H1053="Cancelled","",IFERROR(IF(W1053="","",(AVERAGE(E1053:F1053)-W1053)-Variables!$B$14),""))</f>
        <v>0.5</v>
      </c>
      <c r="AB1053" s="10">
        <v>45798</v>
      </c>
      <c r="AC1053" s="11">
        <f>IF($H1053="Cancelled","",IFERROR(IF(AB1053="","",IF(AND(W1053="",Y1053=""),"",IF(Y1053&gt;W1053,Y1053+Variables!$B$15+Variables!$B$16+Variables!$B$17-AB1053,W1053+Variables!$B$16+Variables!$B$17-AB1053))),""))</f>
        <v>-10</v>
      </c>
      <c r="AD1053" s="9" t="s">
        <v>180</v>
      </c>
      <c r="AE1053" s="9" t="s">
        <v>2247</v>
      </c>
      <c r="AF1053" s="10"/>
      <c r="AG1053" s="10"/>
      <c r="AH1053" s="9"/>
      <c r="AI1053" s="9" t="s">
        <v>2248</v>
      </c>
      <c r="AJ1053" s="9" t="s">
        <v>2249</v>
      </c>
      <c r="AK1053" s="10">
        <v>45811</v>
      </c>
      <c r="AL1053" s="10">
        <v>45815</v>
      </c>
      <c r="AM1053" s="10">
        <v>45838</v>
      </c>
      <c r="AN1053" s="9" t="s">
        <v>1492</v>
      </c>
      <c r="AO1053" s="9"/>
      <c r="AP1053" s="11">
        <f>IF($H1053="Cancelled","",IFERROR(IF(OR(AK1053="",AB1053=""),"",(AB1053+Variables!$B$18-AK1053)),""))</f>
        <v>-6</v>
      </c>
      <c r="AQ1053" s="11">
        <f>IF($H1053="Cancelled","",IFERROR(IF(OR(AM1053="",AK1053=""),"",(AK1053+Variables!$B$19)-AM1053),""))</f>
        <v>-22</v>
      </c>
      <c r="AR1053" s="12">
        <f>IF($H1053="Cancelled","",IFERROR(T1053*INDEX(Variables!$B$7:$D$7,IFERROR(MATCH(IF($B1053="Robusta","Robusta",(IF($B1053="","Arabica",$B1053))&amp;" - "&amp;(IF($C1053="","Commercial",$C1053))),Variables!$B$1:$D$1,0),1))*(AQ1053/365),""))</f>
        <v>-63.037640280233234</v>
      </c>
      <c r="AS1053" s="12">
        <f>IF($H1053="Cancelled","",IFERROR((T1053*INDEX(Variables!$B$7:$D$7,IFERROR(MATCH(IF($B1053="Robusta","Robusta",(IF($B1053="","Arabica",$B1053))&amp;" - "&amp;(IF($C1053="","Commercial",$C1053))),Variables!$B$1:$D$1,0),1))*IFERROR(IF(W1053="","",(AVERAGE(E1053:F1053)-W1053)-Variables!$B$14),"")/365)+(L1053/16.67*INDEX(Variables!$B$8:$D$8,IFERROR(MATCH(IF($B1053="Robusta","Robusta",(IF($B1053="","Arabica",$B1053))&amp;" - "&amp;(IF($C1053="","Commercial",$C1053))),Variables!$B$1:$D$1,0),1))*IFERROR(IF(W1053="","",(AVERAGE(E1053:F1053)-W1053)-Variables!$B$14),""))+(T1053*INDEX(Variables!$B$9:$D$9,IFERROR(MATCH(IF($B1053="Robusta","Robusta",(IF($B1053="","Arabica",$B1053))&amp;" - "&amp;(IF($C1053="","Commercial",$C1053))),Variables!$B$1:$D$1,0),1))*IFERROR(IF(W1053="","",(AVERAGE(E1053:F1053)-W1053)-Variables!$B$14),"")/365),""))</f>
        <v>2.2011435708554288</v>
      </c>
      <c r="AT1053" s="12">
        <f>IF($H1053="Cancelled","",IFERROR((T1053*INDEX(Variables!$B$7:$D$7,IFERROR(MATCH(IF($B1053="Robusta","Robusta",(IF($B1053="","Arabica",$B1053))&amp;" - "&amp;(IF($C1053="","Commercial",$C1053))),Variables!$B$1:$D$1,0),1))*AC1053/365)+(L1053/16.67*INDEX(Variables!$B$8:$D$8,IFERROR(MATCH(IF($B1053="Robusta","Robusta",(IF($B1053="","Arabica",$B1053))&amp;" - "&amp;(IF($C1053="","Commercial",$C1053))),Variables!$B$1:$D$1,0),1))*AC1053)+(T1053*INDEX(Variables!$B$9:$D$9,IFERROR(MATCH(IF($B1053="Robusta","Robusta",(IF($B1053="","Arabica",$B1053))&amp;" - "&amp;(IF($C1053="","Commercial",$C1053))),Variables!$B$1:$D$1,0),1))*AC1053/365),""))</f>
        <v>-44.022871417108576</v>
      </c>
      <c r="AU1053" s="12">
        <f>IF($H1053="Cancelled","",IFERROR((T1053*INDEX(Variables!$B$7:$D$7,IFERROR(MATCH(IF($B1053="Robusta","Robusta",(IF($B1053="","Arabica",$B1053))&amp;" - "&amp;(IF($C1053="","Commercial",$C1053))),Variables!$B$1:$D$1,0),1))*AP1053/365)+(L1053/16.67*INDEX(Variables!$B$8:$D$8,IFERROR(MATCH(IF($B1053="Robusta","Robusta",(IF($B1053="","Arabica",$B1053))&amp;" - "&amp;(IF($C1053="","Commercial",$C1053))),Variables!$B$1:$D$1,0),1))*AP1053)+(T1053*INDEX(Variables!$B$9:$D$9,IFERROR(MATCH(IF($B1053="Robusta","Robusta",(IF($B1053="","Arabica",$B1053))&amp;" - "&amp;(IF($C1053="","Commercial",$C1053))),Variables!$B$1:$D$1,0),1))*AP1053/365),""))</f>
        <v>-26.413722850265149</v>
      </c>
      <c r="AV1053" s="11">
        <f t="shared" si="100"/>
        <v>-34</v>
      </c>
      <c r="AW1053" s="12">
        <f>IF($H1053="Cancelled","",IFERROR(IF(AV1053="","",(T1053*INDEX(Variables!$B$7:$D$7,IFERROR(MATCH(IF($B1053="Robusta","Robusta",(IF($B1053="","Arabica",$B1053))&amp;" - "&amp;(IF($C1053="","Commercial",$C1053))),Variables!$B$1:$D$1,0),1))*(AV1053/365))+(T1053*INDEX(Variables!$B$9:$D$9,IFERROR(MATCH(IF($B1053="Robusta","Robusta",(IF($B1053="","Arabica",$B1053))&amp;" - "&amp;(IF($C1053="","Commercial",$C1053))),Variables!$B$1:$D$1,0),1))*(AV1053/365))+(INDEX(Variables!$B$8:$D$8,IFERROR(MATCH(IF($B1053="Robusta","Robusta",(IF($B1053="","Arabica",$B1053))&amp;" - "&amp;(IF($C1053="","Commercial",$C1053))),Variables!$B$1:$D$1,0),1))*L1053/16.67)),""))</f>
        <v>-97.177762818169171</v>
      </c>
      <c r="AX1053" s="9"/>
      <c r="AY1053" s="12"/>
      <c r="AZ1053" s="10"/>
      <c r="BA1053" s="9"/>
      <c r="BB1053" s="10"/>
      <c r="BC1053" s="9"/>
      <c r="BD1053" s="9"/>
      <c r="BE1053" s="9"/>
      <c r="BF1053" s="9"/>
    </row>
    <row r="1054" spans="1:58" x14ac:dyDescent="0.25">
      <c r="A1054" s="9" t="s">
        <v>84</v>
      </c>
      <c r="B1054" s="9" t="s">
        <v>85</v>
      </c>
      <c r="C1054" s="9" t="s">
        <v>1486</v>
      </c>
      <c r="D1054" s="10">
        <v>45729</v>
      </c>
      <c r="E1054" s="10">
        <v>45748</v>
      </c>
      <c r="F1054" s="10">
        <v>45777</v>
      </c>
      <c r="G1054" s="9">
        <v>3786830</v>
      </c>
      <c r="H1054" s="9" t="str">
        <f t="shared" si="98"/>
        <v>Closed</v>
      </c>
      <c r="I1054" s="9" t="str">
        <f t="shared" si="99"/>
        <v>All dates received</v>
      </c>
      <c r="J1054" s="9" t="s">
        <v>2254</v>
      </c>
      <c r="K1054" s="9" t="s">
        <v>2255</v>
      </c>
      <c r="L1054" s="11">
        <v>97</v>
      </c>
      <c r="M1054" s="9" t="s">
        <v>2256</v>
      </c>
      <c r="N1054" s="9"/>
      <c r="O1054" s="9"/>
      <c r="P1054" s="9"/>
      <c r="Q1054" s="11">
        <v>143</v>
      </c>
      <c r="R1054" s="9" t="s">
        <v>195</v>
      </c>
      <c r="S1054" s="9" t="s">
        <v>578</v>
      </c>
      <c r="T1054" s="12">
        <f>IF($H1054="Cancelled","",IFERROR(((Q1054+INDEX(Variables!$B$6:$D$6,IFERROR(MATCH(IF($B1054="Robusta","Robusta",(IF($B1054="","Arabica",$B1054))&amp;" - "&amp;(IF($C1054="","Commercial",$C1054))),Variables!$B$1:$D$1,0),1)))*22.0462)*(L1054/16.67),""))</f>
        <v>55649.264026394718</v>
      </c>
      <c r="U1054" s="10"/>
      <c r="V1054" s="9" t="str">
        <f t="shared" si="101"/>
        <v/>
      </c>
      <c r="W1054" s="10">
        <v>45732</v>
      </c>
      <c r="X1054" s="9" t="str">
        <f t="shared" si="97"/>
        <v>Approved</v>
      </c>
      <c r="Y1054" s="10">
        <v>45773</v>
      </c>
      <c r="Z1054" s="10">
        <f>IF($H1054="Cancelled","",IFERROR(IF(F1054="","",F1054-Variables!$B$13),""))</f>
        <v>45762</v>
      </c>
      <c r="AA1054" s="11">
        <f>IF($H1054="Cancelled","",IFERROR(IF(W1054="","",(AVERAGE(E1054:F1054)-W1054)-Variables!$B$14),""))</f>
        <v>0.5</v>
      </c>
      <c r="AB1054" s="10">
        <v>45772</v>
      </c>
      <c r="AC1054" s="11">
        <f>IF($H1054="Cancelled","",IFERROR(IF(AB1054="","",IF(AND(W1054="",Y1054=""),"",IF(Y1054&gt;W1054,Y1054+Variables!$B$15+Variables!$B$16+Variables!$B$17-AB1054,W1054+Variables!$B$16+Variables!$B$17-AB1054))),""))</f>
        <v>16</v>
      </c>
      <c r="AD1054" s="9" t="s">
        <v>2257</v>
      </c>
      <c r="AE1054" s="9" t="s">
        <v>703</v>
      </c>
      <c r="AF1054" s="10"/>
      <c r="AG1054" s="10"/>
      <c r="AH1054" s="9"/>
      <c r="AI1054" s="9" t="s">
        <v>2258</v>
      </c>
      <c r="AJ1054" s="9" t="s">
        <v>2259</v>
      </c>
      <c r="AK1054" s="10">
        <v>45784</v>
      </c>
      <c r="AL1054" s="10">
        <v>45793</v>
      </c>
      <c r="AM1054" s="10">
        <v>45797</v>
      </c>
      <c r="AN1054" s="9" t="s">
        <v>1492</v>
      </c>
      <c r="AO1054" s="9"/>
      <c r="AP1054" s="11">
        <f>IF($H1054="Cancelled","",IFERROR(IF(OR(AK1054="",AB1054=""),"",(AB1054+Variables!$B$18-AK1054)),""))</f>
        <v>-5</v>
      </c>
      <c r="AQ1054" s="11">
        <f>IF($H1054="Cancelled","",IFERROR(IF(OR(AM1054="",AK1054=""),"",(AK1054+Variables!$B$19)-AM1054),""))</f>
        <v>-8</v>
      </c>
      <c r="AR1054" s="12">
        <f>IF($H1054="Cancelled","",IFERROR(T1054*INDEX(Variables!$B$7:$D$7,IFERROR(MATCH(IF($B1054="Robusta","Robusta",(IF($B1054="","Arabica",$B1054))&amp;" - "&amp;(IF($C1054="","Commercial",$C1054))),Variables!$B$1:$D$1,0),1))*(AQ1054/365),""))</f>
        <v>-78.649577486088546</v>
      </c>
      <c r="AS1054" s="12">
        <f>IF($H1054="Cancelled","",IFERROR((T1054*INDEX(Variables!$B$7:$D$7,IFERROR(MATCH(IF($B1054="Robusta","Robusta",(IF($B1054="","Arabica",$B1054))&amp;" - "&amp;(IF($C1054="","Commercial",$C1054))),Variables!$B$1:$D$1,0),1))*IFERROR(IF(W1054="","",(AVERAGE(E1054:F1054)-W1054)-Variables!$B$14),"")/365)+(L1054/16.67*INDEX(Variables!$B$8:$D$8,IFERROR(MATCH(IF($B1054="Robusta","Robusta",(IF($B1054="","Arabica",$B1054))&amp;" - "&amp;(IF($C1054="","Commercial",$C1054))),Variables!$B$1:$D$1,0),1))*IFERROR(IF(W1054="","",(AVERAGE(E1054:F1054)-W1054)-Variables!$B$14),""))+(T1054*INDEX(Variables!$B$9:$D$9,IFERROR(MATCH(IF($B1054="Robusta","Robusta",(IF($B1054="","Arabica",$B1054))&amp;" - "&amp;(IF($C1054="","Commercial",$C1054))),Variables!$B$1:$D$1,0),1))*IFERROR(IF(W1054="","",(AVERAGE(E1054:F1054)-W1054)-Variables!$B$14),"")/365),""))</f>
        <v>7.4039701451889472</v>
      </c>
      <c r="AT1054" s="12">
        <f>IF($H1054="Cancelled","",IFERROR((T1054*INDEX(Variables!$B$7:$D$7,IFERROR(MATCH(IF($B1054="Robusta","Robusta",(IF($B1054="","Arabica",$B1054))&amp;" - "&amp;(IF($C1054="","Commercial",$C1054))),Variables!$B$1:$D$1,0),1))*AC1054/365)+(L1054/16.67*INDEX(Variables!$B$8:$D$8,IFERROR(MATCH(IF($B1054="Robusta","Robusta",(IF($B1054="","Arabica",$B1054))&amp;" - "&amp;(IF($C1054="","Commercial",$C1054))),Variables!$B$1:$D$1,0),1))*AC1054)+(T1054*INDEX(Variables!$B$9:$D$9,IFERROR(MATCH(IF($B1054="Robusta","Robusta",(IF($B1054="","Arabica",$B1054))&amp;" - "&amp;(IF($C1054="","Commercial",$C1054))),Variables!$B$1:$D$1,0),1))*AC1054/365),""))</f>
        <v>236.92704464604631</v>
      </c>
      <c r="AU1054" s="12">
        <f>IF($H1054="Cancelled","",IFERROR((T1054*INDEX(Variables!$B$7:$D$7,IFERROR(MATCH(IF($B1054="Robusta","Robusta",(IF($B1054="","Arabica",$B1054))&amp;" - "&amp;(IF($C1054="","Commercial",$C1054))),Variables!$B$1:$D$1,0),1))*AP1054/365)+(L1054/16.67*INDEX(Variables!$B$8:$D$8,IFERROR(MATCH(IF($B1054="Robusta","Robusta",(IF($B1054="","Arabica",$B1054))&amp;" - "&amp;(IF($C1054="","Commercial",$C1054))),Variables!$B$1:$D$1,0),1))*AP1054)+(T1054*INDEX(Variables!$B$9:$D$9,IFERROR(MATCH(IF($B1054="Robusta","Robusta",(IF($B1054="","Arabica",$B1054))&amp;" - "&amp;(IF($C1054="","Commercial",$C1054))),Variables!$B$1:$D$1,0),1))*AP1054/365),""))</f>
        <v>-74.039701451889485</v>
      </c>
      <c r="AV1054" s="11">
        <f t="shared" si="100"/>
        <v>-7</v>
      </c>
      <c r="AW1054" s="12">
        <f>IF($H1054="Cancelled","",IFERROR(IF(AV1054="","",(T1054*INDEX(Variables!$B$7:$D$7,IFERROR(MATCH(IF($B1054="Robusta","Robusta",(IF($B1054="","Arabica",$B1054))&amp;" - "&amp;(IF($C1054="","Commercial",$C1054))),Variables!$B$1:$D$1,0),1))*(AV1054/365))+(T1054*INDEX(Variables!$B$9:$D$9,IFERROR(MATCH(IF($B1054="Robusta","Robusta",(IF($B1054="","Arabica",$B1054))&amp;" - "&amp;(IF($C1054="","Commercial",$C1054))),Variables!$B$1:$D$1,0),1))*(AV1054/365))+(INDEX(Variables!$B$8:$D$8,IFERROR(MATCH(IF($B1054="Robusta","Robusta",(IF($B1054="","Arabica",$B1054))&amp;" - "&amp;(IF($C1054="","Commercial",$C1054))),Variables!$B$1:$D$1,0),1))*L1054/16.67)),""))</f>
        <v>-64.855582032645273</v>
      </c>
      <c r="AX1054" s="9"/>
      <c r="AY1054" s="12"/>
      <c r="AZ1054" s="10"/>
      <c r="BA1054" s="9"/>
      <c r="BB1054" s="10"/>
      <c r="BC1054" s="9"/>
      <c r="BD1054" s="9"/>
      <c r="BE1054" s="9"/>
      <c r="BF1054" s="9"/>
    </row>
    <row r="1055" spans="1:58" x14ac:dyDescent="0.25">
      <c r="A1055" s="9" t="s">
        <v>84</v>
      </c>
      <c r="B1055" s="9" t="s">
        <v>85</v>
      </c>
      <c r="C1055" s="9" t="s">
        <v>1486</v>
      </c>
      <c r="D1055" s="10">
        <v>45729</v>
      </c>
      <c r="E1055" s="10">
        <v>45748</v>
      </c>
      <c r="F1055" s="10">
        <v>45777</v>
      </c>
      <c r="G1055" s="9">
        <v>3786831</v>
      </c>
      <c r="H1055" s="9" t="str">
        <f t="shared" si="98"/>
        <v>Closed</v>
      </c>
      <c r="I1055" s="9" t="str">
        <f t="shared" si="99"/>
        <v>All dates received</v>
      </c>
      <c r="J1055" s="9" t="s">
        <v>2254</v>
      </c>
      <c r="K1055" s="9" t="s">
        <v>2260</v>
      </c>
      <c r="L1055" s="11">
        <v>59</v>
      </c>
      <c r="M1055" s="9" t="s">
        <v>2261</v>
      </c>
      <c r="N1055" s="9"/>
      <c r="O1055" s="9"/>
      <c r="P1055" s="9"/>
      <c r="Q1055" s="11">
        <v>129</v>
      </c>
      <c r="R1055" s="9" t="s">
        <v>195</v>
      </c>
      <c r="S1055" s="9" t="s">
        <v>578</v>
      </c>
      <c r="T1055" s="12">
        <f>IF($H1055="Cancelled","",IFERROR(((Q1055+INDEX(Variables!$B$6:$D$6,IFERROR(MATCH(IF($B1055="Robusta","Robusta",(IF($B1055="","Arabica",$B1055))&amp;" - "&amp;(IF($C1055="","Commercial",$C1055))),Variables!$B$1:$D$1,0),1)))*22.0462)*(L1055/16.67),""))</f>
        <v>32756.130224355122</v>
      </c>
      <c r="U1055" s="10"/>
      <c r="V1055" s="9" t="str">
        <f t="shared" si="101"/>
        <v/>
      </c>
      <c r="W1055" s="10">
        <v>45732</v>
      </c>
      <c r="X1055" s="9" t="str">
        <f t="shared" si="97"/>
        <v>Approved</v>
      </c>
      <c r="Y1055" s="10">
        <v>45773</v>
      </c>
      <c r="Z1055" s="10">
        <f>IF($H1055="Cancelled","",IFERROR(IF(F1055="","",F1055-Variables!$B$13),""))</f>
        <v>45762</v>
      </c>
      <c r="AA1055" s="11">
        <f>IF($H1055="Cancelled","",IFERROR(IF(W1055="","",(AVERAGE(E1055:F1055)-W1055)-Variables!$B$14),""))</f>
        <v>0.5</v>
      </c>
      <c r="AB1055" s="10">
        <v>45772</v>
      </c>
      <c r="AC1055" s="11">
        <f>IF($H1055="Cancelled","",IFERROR(IF(AB1055="","",IF(AND(W1055="",Y1055=""),"",IF(Y1055&gt;W1055,Y1055+Variables!$B$15+Variables!$B$16+Variables!$B$17-AB1055,W1055+Variables!$B$16+Variables!$B$17-AB1055))),""))</f>
        <v>16</v>
      </c>
      <c r="AD1055" s="9" t="s">
        <v>2257</v>
      </c>
      <c r="AE1055" s="9" t="s">
        <v>703</v>
      </c>
      <c r="AF1055" s="10"/>
      <c r="AG1055" s="10"/>
      <c r="AH1055" s="9"/>
      <c r="AI1055" s="9" t="s">
        <v>2258</v>
      </c>
      <c r="AJ1055" s="9" t="s">
        <v>2259</v>
      </c>
      <c r="AK1055" s="10">
        <v>45784</v>
      </c>
      <c r="AL1055" s="10">
        <v>45793</v>
      </c>
      <c r="AM1055" s="10">
        <v>45797</v>
      </c>
      <c r="AN1055" s="9" t="s">
        <v>1492</v>
      </c>
      <c r="AO1055" s="9"/>
      <c r="AP1055" s="11">
        <f>IF($H1055="Cancelled","",IFERROR(IF(OR(AK1055="",AB1055=""),"",(AB1055+Variables!$B$18-AK1055)),""))</f>
        <v>-5</v>
      </c>
      <c r="AQ1055" s="11">
        <f>IF($H1055="Cancelled","",IFERROR(IF(OR(AM1055="",AK1055=""),"",(AK1055+Variables!$B$19)-AM1055),""))</f>
        <v>-8</v>
      </c>
      <c r="AR1055" s="12">
        <f>IF($H1055="Cancelled","",IFERROR(T1055*INDEX(Variables!$B$7:$D$7,IFERROR(MATCH(IF($B1055="Robusta","Robusta",(IF($B1055="","Arabica",$B1055))&amp;" - "&amp;(IF($C1055="","Commercial",$C1055))),Variables!$B$1:$D$1,0),1))*(AQ1055/365),""))</f>
        <v>-46.294517048830947</v>
      </c>
      <c r="AS1055" s="12">
        <f>IF($H1055="Cancelled","",IFERROR((T1055*INDEX(Variables!$B$7:$D$7,IFERROR(MATCH(IF($B1055="Robusta","Robusta",(IF($B1055="","Arabica",$B1055))&amp;" - "&amp;(IF($C1055="","Commercial",$C1055))),Variables!$B$1:$D$1,0),1))*IFERROR(IF(W1055="","",(AVERAGE(E1055:F1055)-W1055)-Variables!$B$14),"")/365)+(L1055/16.67*INDEX(Variables!$B$8:$D$8,IFERROR(MATCH(IF($B1055="Robusta","Robusta",(IF($B1055="","Arabica",$B1055))&amp;" - "&amp;(IF($C1055="","Commercial",$C1055))),Variables!$B$1:$D$1,0),1))*IFERROR(IF(W1055="","",(AVERAGE(E1055:F1055)-W1055)-Variables!$B$14),""))+(T1055*INDEX(Variables!$B$9:$D$9,IFERROR(MATCH(IF($B1055="Robusta","Robusta",(IF($B1055="","Arabica",$B1055))&amp;" - "&amp;(IF($C1055="","Commercial",$C1055))),Variables!$B$1:$D$1,0),1))*IFERROR(IF(W1055="","",(AVERAGE(E1055:F1055)-W1055)-Variables!$B$14),"")/365),""))</f>
        <v>4.4057089197375596</v>
      </c>
      <c r="AT1055" s="12">
        <f>IF($H1055="Cancelled","",IFERROR((T1055*INDEX(Variables!$B$7:$D$7,IFERROR(MATCH(IF($B1055="Robusta","Robusta",(IF($B1055="","Arabica",$B1055))&amp;" - "&amp;(IF($C1055="","Commercial",$C1055))),Variables!$B$1:$D$1,0),1))*AC1055/365)+(L1055/16.67*INDEX(Variables!$B$8:$D$8,IFERROR(MATCH(IF($B1055="Robusta","Robusta",(IF($B1055="","Arabica",$B1055))&amp;" - "&amp;(IF($C1055="","Commercial",$C1055))),Variables!$B$1:$D$1,0),1))*AC1055)+(T1055*INDEX(Variables!$B$9:$D$9,IFERROR(MATCH(IF($B1055="Robusta","Robusta",(IF($B1055="","Arabica",$B1055))&amp;" - "&amp;(IF($C1055="","Commercial",$C1055))),Variables!$B$1:$D$1,0),1))*AC1055/365),""))</f>
        <v>140.98268543160191</v>
      </c>
      <c r="AU1055" s="12">
        <f>IF($H1055="Cancelled","",IFERROR((T1055*INDEX(Variables!$B$7:$D$7,IFERROR(MATCH(IF($B1055="Robusta","Robusta",(IF($B1055="","Arabica",$B1055))&amp;" - "&amp;(IF($C1055="","Commercial",$C1055))),Variables!$B$1:$D$1,0),1))*AP1055/365)+(L1055/16.67*INDEX(Variables!$B$8:$D$8,IFERROR(MATCH(IF($B1055="Robusta","Robusta",(IF($B1055="","Arabica",$B1055))&amp;" - "&amp;(IF($C1055="","Commercial",$C1055))),Variables!$B$1:$D$1,0),1))*AP1055)+(T1055*INDEX(Variables!$B$9:$D$9,IFERROR(MATCH(IF($B1055="Robusta","Robusta",(IF($B1055="","Arabica",$B1055))&amp;" - "&amp;(IF($C1055="","Commercial",$C1055))),Variables!$B$1:$D$1,0),1))*AP1055/365),""))</f>
        <v>-44.057089197375596</v>
      </c>
      <c r="AV1055" s="11">
        <f t="shared" si="100"/>
        <v>-7</v>
      </c>
      <c r="AW1055" s="12">
        <f>IF($H1055="Cancelled","",IFERROR(IF(AV1055="","",(T1055*INDEX(Variables!$B$7:$D$7,IFERROR(MATCH(IF($B1055="Robusta","Robusta",(IF($B1055="","Arabica",$B1055))&amp;" - "&amp;(IF($C1055="","Commercial",$C1055))),Variables!$B$1:$D$1,0),1))*(AV1055/365))+(T1055*INDEX(Variables!$B$9:$D$9,IFERROR(MATCH(IF($B1055="Robusta","Robusta",(IF($B1055="","Arabica",$B1055))&amp;" - "&amp;(IF($C1055="","Commercial",$C1055))),Variables!$B$1:$D$1,0),1))*(AV1055/365))+(INDEX(Variables!$B$8:$D$8,IFERROR(MATCH(IF($B1055="Robusta","Robusta",(IF($B1055="","Arabica",$B1055))&amp;" - "&amp;(IF($C1055="","Commercial",$C1055))),Variables!$B$1:$D$1,0),1))*L1055/16.67)),""))</f>
        <v>-38.079924876325833</v>
      </c>
      <c r="AX1055" s="9"/>
      <c r="AY1055" s="12"/>
      <c r="AZ1055" s="10"/>
      <c r="BA1055" s="9"/>
      <c r="BB1055" s="10"/>
      <c r="BC1055" s="9"/>
      <c r="BD1055" s="9"/>
      <c r="BE1055" s="9"/>
      <c r="BF1055" s="9"/>
    </row>
    <row r="1056" spans="1:58" x14ac:dyDescent="0.25">
      <c r="A1056" s="9" t="s">
        <v>84</v>
      </c>
      <c r="B1056" s="9" t="s">
        <v>85</v>
      </c>
      <c r="C1056" s="9" t="s">
        <v>1486</v>
      </c>
      <c r="D1056" s="10">
        <v>45729</v>
      </c>
      <c r="E1056" s="10">
        <v>45748</v>
      </c>
      <c r="F1056" s="10">
        <v>45777</v>
      </c>
      <c r="G1056" s="9">
        <v>3786832</v>
      </c>
      <c r="H1056" s="9" t="str">
        <f t="shared" si="98"/>
        <v>Closed</v>
      </c>
      <c r="I1056" s="9" t="str">
        <f t="shared" si="99"/>
        <v>All dates received</v>
      </c>
      <c r="J1056" s="9" t="s">
        <v>2254</v>
      </c>
      <c r="K1056" s="9" t="s">
        <v>2262</v>
      </c>
      <c r="L1056" s="11">
        <v>5</v>
      </c>
      <c r="M1056" s="9" t="s">
        <v>2263</v>
      </c>
      <c r="N1056" s="9"/>
      <c r="O1056" s="9"/>
      <c r="P1056" s="9"/>
      <c r="Q1056" s="11">
        <v>157</v>
      </c>
      <c r="R1056" s="9" t="s">
        <v>195</v>
      </c>
      <c r="S1056" s="9" t="s">
        <v>578</v>
      </c>
      <c r="T1056" s="12">
        <f>IF($H1056="Cancelled","",IFERROR(((Q1056+INDEX(Variables!$B$6:$D$6,IFERROR(MATCH(IF($B1056="Robusta","Robusta",(IF($B1056="","Arabica",$B1056))&amp;" - "&amp;(IF($C1056="","Commercial",$C1056))),Variables!$B$1:$D$1,0),1)))*22.0462)*(L1056/16.67),""))</f>
        <v>2961.0942891421714</v>
      </c>
      <c r="U1056" s="10"/>
      <c r="V1056" s="9" t="str">
        <f t="shared" si="101"/>
        <v/>
      </c>
      <c r="W1056" s="10">
        <v>45732</v>
      </c>
      <c r="X1056" s="9" t="str">
        <f t="shared" si="97"/>
        <v>Approved</v>
      </c>
      <c r="Y1056" s="10">
        <v>45773</v>
      </c>
      <c r="Z1056" s="10">
        <f>IF($H1056="Cancelled","",IFERROR(IF(F1056="","",F1056-Variables!$B$13),""))</f>
        <v>45762</v>
      </c>
      <c r="AA1056" s="11">
        <f>IF($H1056="Cancelled","",IFERROR(IF(W1056="","",(AVERAGE(E1056:F1056)-W1056)-Variables!$B$14),""))</f>
        <v>0.5</v>
      </c>
      <c r="AB1056" s="10">
        <v>45772</v>
      </c>
      <c r="AC1056" s="11">
        <f>IF($H1056="Cancelled","",IFERROR(IF(AB1056="","",IF(AND(W1056="",Y1056=""),"",IF(Y1056&gt;W1056,Y1056+Variables!$B$15+Variables!$B$16+Variables!$B$17-AB1056,W1056+Variables!$B$16+Variables!$B$17-AB1056))),""))</f>
        <v>16</v>
      </c>
      <c r="AD1056" s="9" t="s">
        <v>2257</v>
      </c>
      <c r="AE1056" s="9" t="s">
        <v>703</v>
      </c>
      <c r="AF1056" s="10"/>
      <c r="AG1056" s="10"/>
      <c r="AH1056" s="9"/>
      <c r="AI1056" s="9" t="s">
        <v>2258</v>
      </c>
      <c r="AJ1056" s="9" t="s">
        <v>2259</v>
      </c>
      <c r="AK1056" s="10">
        <v>45784</v>
      </c>
      <c r="AL1056" s="10">
        <v>45793</v>
      </c>
      <c r="AM1056" s="10">
        <v>45797</v>
      </c>
      <c r="AN1056" s="9" t="s">
        <v>1492</v>
      </c>
      <c r="AO1056" s="9"/>
      <c r="AP1056" s="11">
        <f>IF($H1056="Cancelled","",IFERROR(IF(OR(AK1056="",AB1056=""),"",(AB1056+Variables!$B$18-AK1056)),""))</f>
        <v>-5</v>
      </c>
      <c r="AQ1056" s="11">
        <f>IF($H1056="Cancelled","",IFERROR(IF(OR(AM1056="",AK1056=""),"",(AK1056+Variables!$B$19)-AM1056),""))</f>
        <v>-8</v>
      </c>
      <c r="AR1056" s="12">
        <f>IF($H1056="Cancelled","",IFERROR(T1056*INDEX(Variables!$B$7:$D$7,IFERROR(MATCH(IF($B1056="Robusta","Robusta",(IF($B1056="","Arabica",$B1056))&amp;" - "&amp;(IF($C1056="","Commercial",$C1056))),Variables!$B$1:$D$1,0),1))*(AQ1056/365),""))</f>
        <v>-4.1849397078646211</v>
      </c>
      <c r="AS1056" s="12">
        <f>IF($H1056="Cancelled","",IFERROR((T1056*INDEX(Variables!$B$7:$D$7,IFERROR(MATCH(IF($B1056="Robusta","Robusta",(IF($B1056="","Arabica",$B1056))&amp;" - "&amp;(IF($C1056="","Commercial",$C1056))),Variables!$B$1:$D$1,0),1))*IFERROR(IF(W1056="","",(AVERAGE(E1056:F1056)-W1056)-Variables!$B$14),"")/365)+(L1056/16.67*INDEX(Variables!$B$8:$D$8,IFERROR(MATCH(IF($B1056="Robusta","Robusta",(IF($B1056="","Arabica",$B1056))&amp;" - "&amp;(IF($C1056="","Commercial",$C1056))),Variables!$B$1:$D$1,0),1))*IFERROR(IF(W1056="","",(AVERAGE(E1056:F1056)-W1056)-Variables!$B$14),""))+(T1056*INDEX(Variables!$B$9:$D$9,IFERROR(MATCH(IF($B1056="Robusta","Robusta",(IF($B1056="","Arabica",$B1056))&amp;" - "&amp;(IF($C1056="","Commercial",$C1056))),Variables!$B$1:$D$1,0),1))*IFERROR(IF(W1056="","",(AVERAGE(E1056:F1056)-W1056)-Variables!$B$14),"")/365),""))</f>
        <v>0.38993072856696881</v>
      </c>
      <c r="AT1056" s="12">
        <f>IF($H1056="Cancelled","",IFERROR((T1056*INDEX(Variables!$B$7:$D$7,IFERROR(MATCH(IF($B1056="Robusta","Robusta",(IF($B1056="","Arabica",$B1056))&amp;" - "&amp;(IF($C1056="","Commercial",$C1056))),Variables!$B$1:$D$1,0),1))*AC1056/365)+(L1056/16.67*INDEX(Variables!$B$8:$D$8,IFERROR(MATCH(IF($B1056="Robusta","Robusta",(IF($B1056="","Arabica",$B1056))&amp;" - "&amp;(IF($C1056="","Commercial",$C1056))),Variables!$B$1:$D$1,0),1))*AC1056)+(T1056*INDEX(Variables!$B$9:$D$9,IFERROR(MATCH(IF($B1056="Robusta","Robusta",(IF($B1056="","Arabica",$B1056))&amp;" - "&amp;(IF($C1056="","Commercial",$C1056))),Variables!$B$1:$D$1,0),1))*AC1056/365),""))</f>
        <v>12.477783314143002</v>
      </c>
      <c r="AU1056" s="12">
        <f>IF($H1056="Cancelled","",IFERROR((T1056*INDEX(Variables!$B$7:$D$7,IFERROR(MATCH(IF($B1056="Robusta","Robusta",(IF($B1056="","Arabica",$B1056))&amp;" - "&amp;(IF($C1056="","Commercial",$C1056))),Variables!$B$1:$D$1,0),1))*AP1056/365)+(L1056/16.67*INDEX(Variables!$B$8:$D$8,IFERROR(MATCH(IF($B1056="Robusta","Robusta",(IF($B1056="","Arabica",$B1056))&amp;" - "&amp;(IF($C1056="","Commercial",$C1056))),Variables!$B$1:$D$1,0),1))*AP1056)+(T1056*INDEX(Variables!$B$9:$D$9,IFERROR(MATCH(IF($B1056="Robusta","Robusta",(IF($B1056="","Arabica",$B1056))&amp;" - "&amp;(IF($C1056="","Commercial",$C1056))),Variables!$B$1:$D$1,0),1))*AP1056/365),""))</f>
        <v>-3.8993072856696878</v>
      </c>
      <c r="AV1056" s="11">
        <f t="shared" si="100"/>
        <v>-7</v>
      </c>
      <c r="AW1056" s="12">
        <f>IF($H1056="Cancelled","",IFERROR(IF(AV1056="","",(T1056*INDEX(Variables!$B$7:$D$7,IFERROR(MATCH(IF($B1056="Robusta","Robusta",(IF($B1056="","Arabica",$B1056))&amp;" - "&amp;(IF($C1056="","Commercial",$C1056))),Variables!$B$1:$D$1,0),1))*(AV1056/365))+(T1056*INDEX(Variables!$B$9:$D$9,IFERROR(MATCH(IF($B1056="Robusta","Robusta",(IF($B1056="","Arabica",$B1056))&amp;" - "&amp;(IF($C1056="","Commercial",$C1056))),Variables!$B$1:$D$1,0),1))*(AV1056/365))+(INDEX(Variables!$B$8:$D$8,IFERROR(MATCH(IF($B1056="Robusta","Robusta",(IF($B1056="","Arabica",$B1056))&amp;" - "&amp;(IF($C1056="","Commercial",$C1056))),Variables!$B$1:$D$1,0),1))*L1056/16.67)),""))</f>
        <v>-3.4590301999375632</v>
      </c>
      <c r="AX1056" s="9"/>
      <c r="AY1056" s="12"/>
      <c r="AZ1056" s="10"/>
      <c r="BA1056" s="9"/>
      <c r="BB1056" s="10"/>
      <c r="BC1056" s="9"/>
      <c r="BD1056" s="9"/>
      <c r="BE1056" s="9"/>
      <c r="BF1056" s="9"/>
    </row>
    <row r="1057" spans="1:58" x14ac:dyDescent="0.25">
      <c r="A1057" s="9" t="s">
        <v>84</v>
      </c>
      <c r="B1057" s="9" t="s">
        <v>85</v>
      </c>
      <c r="C1057" s="9" t="s">
        <v>1486</v>
      </c>
      <c r="D1057" s="10">
        <v>45729</v>
      </c>
      <c r="E1057" s="10">
        <v>45748</v>
      </c>
      <c r="F1057" s="10">
        <v>45777</v>
      </c>
      <c r="G1057" s="9">
        <v>3786833</v>
      </c>
      <c r="H1057" s="9" t="str">
        <f t="shared" si="98"/>
        <v>Closed</v>
      </c>
      <c r="I1057" s="9" t="str">
        <f t="shared" si="99"/>
        <v>All dates received</v>
      </c>
      <c r="J1057" s="9" t="s">
        <v>2254</v>
      </c>
      <c r="K1057" s="9" t="s">
        <v>2264</v>
      </c>
      <c r="L1057" s="11">
        <v>5</v>
      </c>
      <c r="M1057" s="9" t="s">
        <v>2265</v>
      </c>
      <c r="N1057" s="9"/>
      <c r="O1057" s="9"/>
      <c r="P1057" s="9"/>
      <c r="Q1057" s="11">
        <v>135</v>
      </c>
      <c r="R1057" s="9" t="s">
        <v>195</v>
      </c>
      <c r="S1057" s="9" t="s">
        <v>578</v>
      </c>
      <c r="T1057" s="12">
        <f>IF($H1057="Cancelled","",IFERROR(((Q1057+INDEX(Variables!$B$6:$D$6,IFERROR(MATCH(IF($B1057="Robusta","Robusta",(IF($B1057="","Arabica",$B1057))&amp;" - "&amp;(IF($C1057="","Commercial",$C1057))),Variables!$B$1:$D$1,0),1)))*22.0462)*(L1057/16.67),""))</f>
        <v>2815.6184643071383</v>
      </c>
      <c r="U1057" s="10"/>
      <c r="V1057" s="9" t="str">
        <f t="shared" si="101"/>
        <v/>
      </c>
      <c r="W1057" s="10">
        <v>45732</v>
      </c>
      <c r="X1057" s="9" t="str">
        <f t="shared" si="97"/>
        <v>Approved</v>
      </c>
      <c r="Y1057" s="10">
        <v>45773</v>
      </c>
      <c r="Z1057" s="10">
        <f>IF($H1057="Cancelled","",IFERROR(IF(F1057="","",F1057-Variables!$B$13),""))</f>
        <v>45762</v>
      </c>
      <c r="AA1057" s="11">
        <f>IF($H1057="Cancelled","",IFERROR(IF(W1057="","",(AVERAGE(E1057:F1057)-W1057)-Variables!$B$14),""))</f>
        <v>0.5</v>
      </c>
      <c r="AB1057" s="10">
        <v>45772</v>
      </c>
      <c r="AC1057" s="11">
        <f>IF($H1057="Cancelled","",IFERROR(IF(AB1057="","",IF(AND(W1057="",Y1057=""),"",IF(Y1057&gt;W1057,Y1057+Variables!$B$15+Variables!$B$16+Variables!$B$17-AB1057,W1057+Variables!$B$16+Variables!$B$17-AB1057))),""))</f>
        <v>16</v>
      </c>
      <c r="AD1057" s="9" t="s">
        <v>2257</v>
      </c>
      <c r="AE1057" s="9" t="s">
        <v>703</v>
      </c>
      <c r="AF1057" s="10"/>
      <c r="AG1057" s="10"/>
      <c r="AH1057" s="9"/>
      <c r="AI1057" s="9" t="s">
        <v>2258</v>
      </c>
      <c r="AJ1057" s="9" t="s">
        <v>2259</v>
      </c>
      <c r="AK1057" s="10">
        <v>45784</v>
      </c>
      <c r="AL1057" s="10">
        <v>45793</v>
      </c>
      <c r="AM1057" s="10">
        <v>45797</v>
      </c>
      <c r="AN1057" s="9" t="s">
        <v>1492</v>
      </c>
      <c r="AO1057" s="9"/>
      <c r="AP1057" s="11">
        <f>IF($H1057="Cancelled","",IFERROR(IF(OR(AK1057="",AB1057=""),"",(AB1057+Variables!$B$18-AK1057)),""))</f>
        <v>-5</v>
      </c>
      <c r="AQ1057" s="11">
        <f>IF($H1057="Cancelled","",IFERROR(IF(OR(AM1057="",AK1057=""),"",(AK1057+Variables!$B$19)-AM1057),""))</f>
        <v>-8</v>
      </c>
      <c r="AR1057" s="12">
        <f>IF($H1057="Cancelled","",IFERROR(T1057*INDEX(Variables!$B$7:$D$7,IFERROR(MATCH(IF($B1057="Robusta","Robusta",(IF($B1057="","Arabica",$B1057))&amp;" - "&amp;(IF($C1057="","Commercial",$C1057))),Variables!$B$1:$D$1,0),1))*(AQ1057/365),""))</f>
        <v>-3.9793374890771678</v>
      </c>
      <c r="AS1057" s="12">
        <f>IF($H1057="Cancelled","",IFERROR((T1057*INDEX(Variables!$B$7:$D$7,IFERROR(MATCH(IF($B1057="Robusta","Robusta",(IF($B1057="","Arabica",$B1057))&amp;" - "&amp;(IF($C1057="","Commercial",$C1057))),Variables!$B$1:$D$1,0),1))*IFERROR(IF(W1057="","",(AVERAGE(E1057:F1057)-W1057)-Variables!$B$14),"")/365)+(L1057/16.67*INDEX(Variables!$B$8:$D$8,IFERROR(MATCH(IF($B1057="Robusta","Robusta",(IF($B1057="","Arabica",$B1057))&amp;" - "&amp;(IF($C1057="","Commercial",$C1057))),Variables!$B$1:$D$1,0),1))*IFERROR(IF(W1057="","",(AVERAGE(E1057:F1057)-W1057)-Variables!$B$14),""))+(T1057*INDEX(Variables!$B$9:$D$9,IFERROR(MATCH(IF($B1057="Robusta","Robusta",(IF($B1057="","Arabica",$B1057))&amp;" - "&amp;(IF($C1057="","Commercial",$C1057))),Variables!$B$1:$D$1,0),1))*IFERROR(IF(W1057="","",(AVERAGE(E1057:F1057)-W1057)-Variables!$B$14),"")/365),""))</f>
        <v>0.37691492680619765</v>
      </c>
      <c r="AT1057" s="12">
        <f>IF($H1057="Cancelled","",IFERROR((T1057*INDEX(Variables!$B$7:$D$7,IFERROR(MATCH(IF($B1057="Robusta","Robusta",(IF($B1057="","Arabica",$B1057))&amp;" - "&amp;(IF($C1057="","Commercial",$C1057))),Variables!$B$1:$D$1,0),1))*AC1057/365)+(L1057/16.67*INDEX(Variables!$B$8:$D$8,IFERROR(MATCH(IF($B1057="Robusta","Robusta",(IF($B1057="","Arabica",$B1057))&amp;" - "&amp;(IF($C1057="","Commercial",$C1057))),Variables!$B$1:$D$1,0),1))*AC1057)+(T1057*INDEX(Variables!$B$9:$D$9,IFERROR(MATCH(IF($B1057="Robusta","Robusta",(IF($B1057="","Arabica",$B1057))&amp;" - "&amp;(IF($C1057="","Commercial",$C1057))),Variables!$B$1:$D$1,0),1))*AC1057/365),""))</f>
        <v>12.061277657798325</v>
      </c>
      <c r="AU1057" s="12">
        <f>IF($H1057="Cancelled","",IFERROR((T1057*INDEX(Variables!$B$7:$D$7,IFERROR(MATCH(IF($B1057="Robusta","Robusta",(IF($B1057="","Arabica",$B1057))&amp;" - "&amp;(IF($C1057="","Commercial",$C1057))),Variables!$B$1:$D$1,0),1))*AP1057/365)+(L1057/16.67*INDEX(Variables!$B$8:$D$8,IFERROR(MATCH(IF($B1057="Robusta","Robusta",(IF($B1057="","Arabica",$B1057))&amp;" - "&amp;(IF($C1057="","Commercial",$C1057))),Variables!$B$1:$D$1,0),1))*AP1057)+(T1057*INDEX(Variables!$B$9:$D$9,IFERROR(MATCH(IF($B1057="Robusta","Robusta",(IF($B1057="","Arabica",$B1057))&amp;" - "&amp;(IF($C1057="","Commercial",$C1057))),Variables!$B$1:$D$1,0),1))*AP1057/365),""))</f>
        <v>-3.7691492680619771</v>
      </c>
      <c r="AV1057" s="11">
        <f t="shared" si="100"/>
        <v>-7</v>
      </c>
      <c r="AW1057" s="12">
        <f>IF($H1057="Cancelled","",IFERROR(IF(AV1057="","",(T1057*INDEX(Variables!$B$7:$D$7,IFERROR(MATCH(IF($B1057="Robusta","Robusta",(IF($B1057="","Arabica",$B1057))&amp;" - "&amp;(IF($C1057="","Commercial",$C1057))),Variables!$B$1:$D$1,0),1))*(AV1057/365))+(T1057*INDEX(Variables!$B$9:$D$9,IFERROR(MATCH(IF($B1057="Robusta","Robusta",(IF($B1057="","Arabica",$B1057))&amp;" - "&amp;(IF($C1057="","Commercial",$C1057))),Variables!$B$1:$D$1,0),1))*(AV1057/365))+(INDEX(Variables!$B$8:$D$8,IFERROR(MATCH(IF($B1057="Robusta","Robusta",(IF($B1057="","Arabica",$B1057))&amp;" - "&amp;(IF($C1057="","Commercial",$C1057))),Variables!$B$1:$D$1,0),1))*L1057/16.67)),""))</f>
        <v>-3.2768089752867677</v>
      </c>
      <c r="AX1057" s="9"/>
      <c r="AY1057" s="12"/>
      <c r="AZ1057" s="10"/>
      <c r="BA1057" s="9"/>
      <c r="BB1057" s="10"/>
      <c r="BC1057" s="9"/>
      <c r="BD1057" s="9"/>
      <c r="BE1057" s="9"/>
      <c r="BF1057" s="9"/>
    </row>
    <row r="1058" spans="1:58" x14ac:dyDescent="0.25">
      <c r="A1058" s="9" t="s">
        <v>84</v>
      </c>
      <c r="B1058" s="9" t="s">
        <v>85</v>
      </c>
      <c r="C1058" s="9" t="s">
        <v>1486</v>
      </c>
      <c r="D1058" s="10">
        <v>45729</v>
      </c>
      <c r="E1058" s="10">
        <v>45748</v>
      </c>
      <c r="F1058" s="10">
        <v>45777</v>
      </c>
      <c r="G1058" s="9">
        <v>3786834</v>
      </c>
      <c r="H1058" s="9" t="str">
        <f t="shared" si="98"/>
        <v>Closed</v>
      </c>
      <c r="I1058" s="9" t="str">
        <f t="shared" si="99"/>
        <v>All dates received</v>
      </c>
      <c r="J1058" s="9" t="s">
        <v>2254</v>
      </c>
      <c r="K1058" s="9" t="s">
        <v>2266</v>
      </c>
      <c r="L1058" s="11">
        <v>10</v>
      </c>
      <c r="M1058" s="9" t="s">
        <v>2267</v>
      </c>
      <c r="N1058" s="9"/>
      <c r="O1058" s="9"/>
      <c r="P1058" s="9"/>
      <c r="Q1058" s="11">
        <v>90</v>
      </c>
      <c r="R1058" s="9" t="s">
        <v>195</v>
      </c>
      <c r="S1058" s="9" t="s">
        <v>578</v>
      </c>
      <c r="T1058" s="12">
        <f>IF($H1058="Cancelled","",IFERROR(((Q1058+INDEX(Variables!$B$6:$D$6,IFERROR(MATCH(IF($B1058="Robusta","Robusta",(IF($B1058="","Arabica",$B1058))&amp;" - "&amp;(IF($C1058="","Commercial",$C1058))),Variables!$B$1:$D$1,0),1)))*22.0462)*(L1058/16.67),""))</f>
        <v>5036.1085542891415</v>
      </c>
      <c r="U1058" s="10"/>
      <c r="V1058" s="9" t="str">
        <f t="shared" si="101"/>
        <v/>
      </c>
      <c r="W1058" s="10">
        <v>45732</v>
      </c>
      <c r="X1058" s="9" t="str">
        <f t="shared" si="97"/>
        <v>Approved</v>
      </c>
      <c r="Y1058" s="10">
        <v>45773</v>
      </c>
      <c r="Z1058" s="10">
        <f>IF($H1058="Cancelled","",IFERROR(IF(F1058="","",F1058-Variables!$B$13),""))</f>
        <v>45762</v>
      </c>
      <c r="AA1058" s="11">
        <f>IF($H1058="Cancelled","",IFERROR(IF(W1058="","",(AVERAGE(E1058:F1058)-W1058)-Variables!$B$14),""))</f>
        <v>0.5</v>
      </c>
      <c r="AB1058" s="10">
        <v>45772</v>
      </c>
      <c r="AC1058" s="11">
        <f>IF($H1058="Cancelled","",IFERROR(IF(AB1058="","",IF(AND(W1058="",Y1058=""),"",IF(Y1058&gt;W1058,Y1058+Variables!$B$15+Variables!$B$16+Variables!$B$17-AB1058,W1058+Variables!$B$16+Variables!$B$17-AB1058))),""))</f>
        <v>16</v>
      </c>
      <c r="AD1058" s="9" t="s">
        <v>2257</v>
      </c>
      <c r="AE1058" s="9" t="s">
        <v>703</v>
      </c>
      <c r="AF1058" s="10"/>
      <c r="AG1058" s="10"/>
      <c r="AH1058" s="9"/>
      <c r="AI1058" s="9" t="s">
        <v>2258</v>
      </c>
      <c r="AJ1058" s="9" t="s">
        <v>2259</v>
      </c>
      <c r="AK1058" s="10">
        <v>45784</v>
      </c>
      <c r="AL1058" s="10">
        <v>45793</v>
      </c>
      <c r="AM1058" s="10">
        <v>45797</v>
      </c>
      <c r="AN1058" s="9" t="s">
        <v>1492</v>
      </c>
      <c r="AO1058" s="9"/>
      <c r="AP1058" s="11">
        <f>IF($H1058="Cancelled","",IFERROR(IF(OR(AK1058="",AB1058=""),"",(AB1058+Variables!$B$18-AK1058)),""))</f>
        <v>-5</v>
      </c>
      <c r="AQ1058" s="11">
        <f>IF($H1058="Cancelled","",IFERROR(IF(OR(AM1058="",AK1058=""),"",(AK1058+Variables!$B$19)-AM1058),""))</f>
        <v>-8</v>
      </c>
      <c r="AR1058" s="12">
        <f>IF($H1058="Cancelled","",IFERROR(T1058*INDEX(Variables!$B$7:$D$7,IFERROR(MATCH(IF($B1058="Robusta","Robusta",(IF($B1058="","Arabica",$B1058))&amp;" - "&amp;(IF($C1058="","Commercial",$C1058))),Variables!$B$1:$D$1,0),1))*(AQ1058/365),""))</f>
        <v>-7.117574992205661</v>
      </c>
      <c r="AS1058" s="12">
        <f>IF($H1058="Cancelled","",IFERROR((T1058*INDEX(Variables!$B$7:$D$7,IFERROR(MATCH(IF($B1058="Robusta","Robusta",(IF($B1058="","Arabica",$B1058))&amp;" - "&amp;(IF($C1058="","Commercial",$C1058))),Variables!$B$1:$D$1,0),1))*IFERROR(IF(W1058="","",(AVERAGE(E1058:F1058)-W1058)-Variables!$B$14),"")/365)+(L1058/16.67*INDEX(Variables!$B$8:$D$8,IFERROR(MATCH(IF($B1058="Robusta","Robusta",(IF($B1058="","Arabica",$B1058))&amp;" - "&amp;(IF($C1058="","Commercial",$C1058))),Variables!$B$1:$D$1,0),1))*IFERROR(IF(W1058="","",(AVERAGE(E1058:F1058)-W1058)-Variables!$B$14),""))+(T1058*INDEX(Variables!$B$9:$D$9,IFERROR(MATCH(IF($B1058="Robusta","Robusta",(IF($B1058="","Arabica",$B1058))&amp;" - "&amp;(IF($C1058="","Commercial",$C1058))),Variables!$B$1:$D$1,0),1))*IFERROR(IF(W1058="","",(AVERAGE(E1058:F1058)-W1058)-Variables!$B$14),"")/365),""))</f>
        <v>0.70058339186378604</v>
      </c>
      <c r="AT1058" s="12">
        <f>IF($H1058="Cancelled","",IFERROR((T1058*INDEX(Variables!$B$7:$D$7,IFERROR(MATCH(IF($B1058="Robusta","Robusta",(IF($B1058="","Arabica",$B1058))&amp;" - "&amp;(IF($C1058="","Commercial",$C1058))),Variables!$B$1:$D$1,0),1))*AC1058/365)+(L1058/16.67*INDEX(Variables!$B$8:$D$8,IFERROR(MATCH(IF($B1058="Robusta","Robusta",(IF($B1058="","Arabica",$B1058))&amp;" - "&amp;(IF($C1058="","Commercial",$C1058))),Variables!$B$1:$D$1,0),1))*AC1058)+(T1058*INDEX(Variables!$B$9:$D$9,IFERROR(MATCH(IF($B1058="Robusta","Robusta",(IF($B1058="","Arabica",$B1058))&amp;" - "&amp;(IF($C1058="","Commercial",$C1058))),Variables!$B$1:$D$1,0),1))*AC1058/365),""))</f>
        <v>22.418668539641153</v>
      </c>
      <c r="AU1058" s="12">
        <f>IF($H1058="Cancelled","",IFERROR((T1058*INDEX(Variables!$B$7:$D$7,IFERROR(MATCH(IF($B1058="Robusta","Robusta",(IF($B1058="","Arabica",$B1058))&amp;" - "&amp;(IF($C1058="","Commercial",$C1058))),Variables!$B$1:$D$1,0),1))*AP1058/365)+(L1058/16.67*INDEX(Variables!$B$8:$D$8,IFERROR(MATCH(IF($B1058="Robusta","Robusta",(IF($B1058="","Arabica",$B1058))&amp;" - "&amp;(IF($C1058="","Commercial",$C1058))),Variables!$B$1:$D$1,0),1))*AP1058)+(T1058*INDEX(Variables!$B$9:$D$9,IFERROR(MATCH(IF($B1058="Robusta","Robusta",(IF($B1058="","Arabica",$B1058))&amp;" - "&amp;(IF($C1058="","Commercial",$C1058))),Variables!$B$1:$D$1,0),1))*AP1058/365),""))</f>
        <v>-7.0058339186378609</v>
      </c>
      <c r="AV1058" s="11">
        <f t="shared" si="100"/>
        <v>-7</v>
      </c>
      <c r="AW1058" s="12">
        <f>IF($H1058="Cancelled","",IFERROR(IF(AV1058="","",(T1058*INDEX(Variables!$B$7:$D$7,IFERROR(MATCH(IF($B1058="Robusta","Robusta",(IF($B1058="","Arabica",$B1058))&amp;" - "&amp;(IF($C1058="","Commercial",$C1058))),Variables!$B$1:$D$1,0),1))*(AV1058/365))+(T1058*INDEX(Variables!$B$9:$D$9,IFERROR(MATCH(IF($B1058="Robusta","Robusta",(IF($B1058="","Arabica",$B1058))&amp;" - "&amp;(IF($C1058="","Commercial",$C1058))),Variables!$B$1:$D$1,0),1))*(AV1058/365))+(INDEX(Variables!$B$8:$D$8,IFERROR(MATCH(IF($B1058="Robusta","Robusta",(IF($B1058="","Arabica",$B1058))&amp;" - "&amp;(IF($C1058="","Commercial",$C1058))),Variables!$B$1:$D$1,0),1))*L1058/16.67)),""))</f>
        <v>-5.8081674860930059</v>
      </c>
      <c r="AX1058" s="9"/>
      <c r="AY1058" s="12"/>
      <c r="AZ1058" s="10"/>
      <c r="BA1058" s="9"/>
      <c r="BB1058" s="10"/>
      <c r="BC1058" s="9"/>
      <c r="BD1058" s="9"/>
      <c r="BE1058" s="9"/>
      <c r="BF1058" s="9"/>
    </row>
    <row r="1059" spans="1:58" x14ac:dyDescent="0.25">
      <c r="A1059" s="9" t="s">
        <v>84</v>
      </c>
      <c r="B1059" s="9" t="s">
        <v>85</v>
      </c>
      <c r="C1059" s="9" t="s">
        <v>1486</v>
      </c>
      <c r="D1059" s="10">
        <v>45729</v>
      </c>
      <c r="E1059" s="10">
        <v>45748</v>
      </c>
      <c r="F1059" s="10">
        <v>45777</v>
      </c>
      <c r="G1059" s="9">
        <v>3786835</v>
      </c>
      <c r="H1059" s="9" t="str">
        <f t="shared" si="98"/>
        <v>Closed</v>
      </c>
      <c r="I1059" s="9" t="str">
        <f t="shared" si="99"/>
        <v>All dates received</v>
      </c>
      <c r="J1059" s="9" t="s">
        <v>2254</v>
      </c>
      <c r="K1059" s="9" t="s">
        <v>2268</v>
      </c>
      <c r="L1059" s="11">
        <v>30</v>
      </c>
      <c r="M1059" s="9" t="s">
        <v>2269</v>
      </c>
      <c r="N1059" s="9"/>
      <c r="O1059" s="9"/>
      <c r="P1059" s="9"/>
      <c r="Q1059" s="11">
        <v>183</v>
      </c>
      <c r="R1059" s="9" t="s">
        <v>195</v>
      </c>
      <c r="S1059" s="9" t="s">
        <v>578</v>
      </c>
      <c r="T1059" s="12">
        <f>IF($H1059="Cancelled","",IFERROR(((Q1059+INDEX(Variables!$B$6:$D$6,IFERROR(MATCH(IF($B1059="Robusta","Robusta",(IF($B1059="","Arabica",$B1059))&amp;" - "&amp;(IF($C1059="","Commercial",$C1059))),Variables!$B$1:$D$1,0),1)))*22.0462)*(L1059/16.67),""))</f>
        <v>18798.121583683263</v>
      </c>
      <c r="U1059" s="10"/>
      <c r="V1059" s="9" t="str">
        <f t="shared" si="101"/>
        <v/>
      </c>
      <c r="W1059" s="10">
        <v>45732</v>
      </c>
      <c r="X1059" s="9" t="str">
        <f t="shared" si="97"/>
        <v>Approved</v>
      </c>
      <c r="Y1059" s="10">
        <v>45773</v>
      </c>
      <c r="Z1059" s="10">
        <f>IF($H1059="Cancelled","",IFERROR(IF(F1059="","",F1059-Variables!$B$13),""))</f>
        <v>45762</v>
      </c>
      <c r="AA1059" s="11">
        <f>IF($H1059="Cancelled","",IFERROR(IF(W1059="","",(AVERAGE(E1059:F1059)-W1059)-Variables!$B$14),""))</f>
        <v>0.5</v>
      </c>
      <c r="AB1059" s="10">
        <v>45772</v>
      </c>
      <c r="AC1059" s="11">
        <f>IF($H1059="Cancelled","",IFERROR(IF(AB1059="","",IF(AND(W1059="",Y1059=""),"",IF(Y1059&gt;W1059,Y1059+Variables!$B$15+Variables!$B$16+Variables!$B$17-AB1059,W1059+Variables!$B$16+Variables!$B$17-AB1059))),""))</f>
        <v>16</v>
      </c>
      <c r="AD1059" s="9" t="s">
        <v>2257</v>
      </c>
      <c r="AE1059" s="9" t="s">
        <v>703</v>
      </c>
      <c r="AF1059" s="10"/>
      <c r="AG1059" s="10"/>
      <c r="AH1059" s="9"/>
      <c r="AI1059" s="9" t="s">
        <v>2258</v>
      </c>
      <c r="AJ1059" s="9" t="s">
        <v>2259</v>
      </c>
      <c r="AK1059" s="10">
        <v>45784</v>
      </c>
      <c r="AL1059" s="10">
        <v>45793</v>
      </c>
      <c r="AM1059" s="10">
        <v>45797</v>
      </c>
      <c r="AN1059" s="9" t="s">
        <v>1492</v>
      </c>
      <c r="AO1059" s="9"/>
      <c r="AP1059" s="11">
        <f>IF($H1059="Cancelled","",IFERROR(IF(OR(AK1059="",AB1059=""),"",(AB1059+Variables!$B$18-AK1059)),""))</f>
        <v>-5</v>
      </c>
      <c r="AQ1059" s="11">
        <f>IF($H1059="Cancelled","",IFERROR(IF(OR(AM1059="",AK1059=""),"",(AK1059+Variables!$B$19)-AM1059),""))</f>
        <v>-8</v>
      </c>
      <c r="AR1059" s="12">
        <f>IF($H1059="Cancelled","",IFERROR(T1059*INDEX(Variables!$B$7:$D$7,IFERROR(MATCH(IF($B1059="Robusta","Robusta",(IF($B1059="","Arabica",$B1059))&amp;" - "&amp;(IF($C1059="","Commercial",$C1059))),Variables!$B$1:$D$1,0),1))*(AQ1059/365),""))</f>
        <v>-26.567544889498762</v>
      </c>
      <c r="AS1059" s="12">
        <f>IF($H1059="Cancelled","",IFERROR((T1059*INDEX(Variables!$B$7:$D$7,IFERROR(MATCH(IF($B1059="Robusta","Robusta",(IF($B1059="","Arabica",$B1059))&amp;" - "&amp;(IF($C1059="","Commercial",$C1059))),Variables!$B$1:$D$1,0),1))*IFERROR(IF(W1059="","",(AVERAGE(E1059:F1059)-W1059)-Variables!$B$14),"")/365)+(L1059/16.67*INDEX(Variables!$B$8:$D$8,IFERROR(MATCH(IF($B1059="Robusta","Robusta",(IF($B1059="","Arabica",$B1059))&amp;" - "&amp;(IF($C1059="","Commercial",$C1059))),Variables!$B$1:$D$1,0),1))*IFERROR(IF(W1059="","",(AVERAGE(E1059:F1059)-W1059)-Variables!$B$14),""))+(T1059*INDEX(Variables!$B$9:$D$9,IFERROR(MATCH(IF($B1059="Robusta","Robusta",(IF($B1059="","Arabica",$B1059))&amp;" - "&amp;(IF($C1059="","Commercial",$C1059))),Variables!$B$1:$D$1,0),1))*IFERROR(IF(W1059="","",(AVERAGE(E1059:F1059)-W1059)-Variables!$B$14),"")/365),""))</f>
        <v>2.4318782384327355</v>
      </c>
      <c r="AT1059" s="12">
        <f>IF($H1059="Cancelled","",IFERROR((T1059*INDEX(Variables!$B$7:$D$7,IFERROR(MATCH(IF($B1059="Robusta","Robusta",(IF($B1059="","Arabica",$B1059))&amp;" - "&amp;(IF($C1059="","Commercial",$C1059))),Variables!$B$1:$D$1,0),1))*AC1059/365)+(L1059/16.67*INDEX(Variables!$B$8:$D$8,IFERROR(MATCH(IF($B1059="Robusta","Robusta",(IF($B1059="","Arabica",$B1059))&amp;" - "&amp;(IF($C1059="","Commercial",$C1059))),Variables!$B$1:$D$1,0),1))*AC1059)+(T1059*INDEX(Variables!$B$9:$D$9,IFERROR(MATCH(IF($B1059="Robusta","Robusta",(IF($B1059="","Arabica",$B1059))&amp;" - "&amp;(IF($C1059="","Commercial",$C1059))),Variables!$B$1:$D$1,0),1))*AC1059/365),""))</f>
        <v>77.820103629847537</v>
      </c>
      <c r="AU1059" s="12">
        <f>IF($H1059="Cancelled","",IFERROR((T1059*INDEX(Variables!$B$7:$D$7,IFERROR(MATCH(IF($B1059="Robusta","Robusta",(IF($B1059="","Arabica",$B1059))&amp;" - "&amp;(IF($C1059="","Commercial",$C1059))),Variables!$B$1:$D$1,0),1))*AP1059/365)+(L1059/16.67*INDEX(Variables!$B$8:$D$8,IFERROR(MATCH(IF($B1059="Robusta","Robusta",(IF($B1059="","Arabica",$B1059))&amp;" - "&amp;(IF($C1059="","Commercial",$C1059))),Variables!$B$1:$D$1,0),1))*AP1059)+(T1059*INDEX(Variables!$B$9:$D$9,IFERROR(MATCH(IF($B1059="Robusta","Robusta",(IF($B1059="","Arabica",$B1059))&amp;" - "&amp;(IF($C1059="","Commercial",$C1059))),Variables!$B$1:$D$1,0),1))*AP1059/365),""))</f>
        <v>-24.318782384327353</v>
      </c>
      <c r="AV1059" s="11">
        <f t="shared" si="100"/>
        <v>-7</v>
      </c>
      <c r="AW1059" s="12">
        <f>IF($H1059="Cancelled","",IFERROR(IF(AV1059="","",(T1059*INDEX(Variables!$B$7:$D$7,IFERROR(MATCH(IF($B1059="Robusta","Robusta",(IF($B1059="","Arabica",$B1059))&amp;" - "&amp;(IF($C1059="","Commercial",$C1059))),Variables!$B$1:$D$1,0),1))*(AV1059/365))+(T1059*INDEX(Variables!$B$9:$D$9,IFERROR(MATCH(IF($B1059="Robusta","Robusta",(IF($B1059="","Arabica",$B1059))&amp;" - "&amp;(IF($C1059="","Commercial",$C1059))),Variables!$B$1:$D$1,0),1))*(AV1059/365))+(INDEX(Variables!$B$8:$D$8,IFERROR(MATCH(IF($B1059="Robusta","Robusta",(IF($B1059="","Arabica",$B1059))&amp;" - "&amp;(IF($C1059="","Commercial",$C1059))),Variables!$B$1:$D$1,0),1))*L1059/16.67)),""))</f>
        <v>-22.0462953380583</v>
      </c>
      <c r="AX1059" s="9"/>
      <c r="AY1059" s="12"/>
      <c r="AZ1059" s="10"/>
      <c r="BA1059" s="9"/>
      <c r="BB1059" s="10"/>
      <c r="BC1059" s="9"/>
      <c r="BD1059" s="9"/>
      <c r="BE1059" s="9"/>
      <c r="BF1059" s="9"/>
    </row>
    <row r="1060" spans="1:58" x14ac:dyDescent="0.25">
      <c r="A1060" s="9" t="s">
        <v>84</v>
      </c>
      <c r="B1060" s="9" t="s">
        <v>85</v>
      </c>
      <c r="C1060" s="9" t="s">
        <v>1486</v>
      </c>
      <c r="D1060" s="10">
        <v>45729</v>
      </c>
      <c r="E1060" s="10">
        <v>45748</v>
      </c>
      <c r="F1060" s="10">
        <v>45777</v>
      </c>
      <c r="G1060" s="9">
        <v>3786836</v>
      </c>
      <c r="H1060" s="9" t="str">
        <f t="shared" si="98"/>
        <v>Closed</v>
      </c>
      <c r="I1060" s="9" t="str">
        <f t="shared" si="99"/>
        <v>All dates received</v>
      </c>
      <c r="J1060" s="9" t="s">
        <v>2254</v>
      </c>
      <c r="K1060" s="9" t="s">
        <v>2270</v>
      </c>
      <c r="L1060" s="11">
        <v>1</v>
      </c>
      <c r="M1060" s="9" t="s">
        <v>2271</v>
      </c>
      <c r="N1060" s="9"/>
      <c r="O1060" s="9"/>
      <c r="P1060" s="9"/>
      <c r="Q1060" s="11">
        <v>28</v>
      </c>
      <c r="R1060" s="9" t="s">
        <v>195</v>
      </c>
      <c r="S1060" s="9" t="s">
        <v>578</v>
      </c>
      <c r="T1060" s="12">
        <f>IF($H1060="Cancelled","",IFERROR(((Q1060+INDEX(Variables!$B$6:$D$6,IFERROR(MATCH(IF($B1060="Robusta","Robusta",(IF($B1060="","Arabica",$B1060))&amp;" - "&amp;(IF($C1060="","Commercial",$C1060))),Variables!$B$1:$D$1,0),1)))*22.0462)*(L1060/16.67),""))</f>
        <v>421.61539052189556</v>
      </c>
      <c r="U1060" s="10"/>
      <c r="V1060" s="9" t="str">
        <f t="shared" si="101"/>
        <v/>
      </c>
      <c r="W1060" s="10">
        <v>45732</v>
      </c>
      <c r="X1060" s="9" t="str">
        <f t="shared" si="97"/>
        <v>Approved</v>
      </c>
      <c r="Y1060" s="10">
        <v>45773</v>
      </c>
      <c r="Z1060" s="10">
        <f>IF($H1060="Cancelled","",IFERROR(IF(F1060="","",F1060-Variables!$B$13),""))</f>
        <v>45762</v>
      </c>
      <c r="AA1060" s="11">
        <f>IF($H1060="Cancelled","",IFERROR(IF(W1060="","",(AVERAGE(E1060:F1060)-W1060)-Variables!$B$14),""))</f>
        <v>0.5</v>
      </c>
      <c r="AB1060" s="10">
        <v>45772</v>
      </c>
      <c r="AC1060" s="11">
        <f>IF($H1060="Cancelled","",IFERROR(IF(AB1060="","",IF(AND(W1060="",Y1060=""),"",IF(Y1060&gt;W1060,Y1060+Variables!$B$15+Variables!$B$16+Variables!$B$17-AB1060,W1060+Variables!$B$16+Variables!$B$17-AB1060))),""))</f>
        <v>16</v>
      </c>
      <c r="AD1060" s="9" t="s">
        <v>2257</v>
      </c>
      <c r="AE1060" s="9" t="s">
        <v>703</v>
      </c>
      <c r="AF1060" s="10"/>
      <c r="AG1060" s="10"/>
      <c r="AH1060" s="9"/>
      <c r="AI1060" s="9" t="s">
        <v>2258</v>
      </c>
      <c r="AJ1060" s="9" t="s">
        <v>2259</v>
      </c>
      <c r="AK1060" s="10">
        <v>45784</v>
      </c>
      <c r="AL1060" s="10">
        <v>45793</v>
      </c>
      <c r="AM1060" s="10">
        <v>45797</v>
      </c>
      <c r="AN1060" s="9" t="s">
        <v>1492</v>
      </c>
      <c r="AO1060" s="9"/>
      <c r="AP1060" s="11">
        <f>IF($H1060="Cancelled","",IFERROR(IF(OR(AK1060="",AB1060=""),"",(AB1060+Variables!$B$18-AK1060)),""))</f>
        <v>-5</v>
      </c>
      <c r="AQ1060" s="11">
        <f>IF($H1060="Cancelled","",IFERROR(IF(OR(AM1060="",AK1060=""),"",(AK1060+Variables!$B$19)-AM1060),""))</f>
        <v>-8</v>
      </c>
      <c r="AR1060" s="12">
        <f>IF($H1060="Cancelled","",IFERROR(T1060*INDEX(Variables!$B$7:$D$7,IFERROR(MATCH(IF($B1060="Robusta","Robusta",(IF($B1060="","Arabica",$B1060))&amp;" - "&amp;(IF($C1060="","Commercial",$C1060))),Variables!$B$1:$D$1,0),1))*(AQ1060/365),""))</f>
        <v>-0.59587261226763777</v>
      </c>
      <c r="AS1060" s="12">
        <f>IF($H1060="Cancelled","",IFERROR((T1060*INDEX(Variables!$B$7:$D$7,IFERROR(MATCH(IF($B1060="Robusta","Robusta",(IF($B1060="","Arabica",$B1060))&amp;" - "&amp;(IF($C1060="","Commercial",$C1060))),Variables!$B$1:$D$1,0),1))*IFERROR(IF(W1060="","",(AVERAGE(E1060:F1060)-W1060)-Variables!$B$14),"")/365)+(L1060/16.67*INDEX(Variables!$B$8:$D$8,IFERROR(MATCH(IF($B1060="Robusta","Robusta",(IF($B1060="","Arabica",$B1060))&amp;" - "&amp;(IF($C1060="","Commercial",$C1060))),Variables!$B$1:$D$1,0),1))*IFERROR(IF(W1060="","",(AVERAGE(E1060:F1060)-W1060)-Variables!$B$14),""))+(T1060*INDEX(Variables!$B$9:$D$9,IFERROR(MATCH(IF($B1060="Robusta","Robusta",(IF($B1060="","Arabica",$B1060))&amp;" - "&amp;(IF($C1060="","Commercial",$C1060))),Variables!$B$1:$D$1,0),1))*IFERROR(IF(W1060="","",(AVERAGE(E1060:F1060)-W1060)-Variables!$B$14),"")/365),""))</f>
        <v>6.2722160012125786E-2</v>
      </c>
      <c r="AT1060" s="12">
        <f>IF($H1060="Cancelled","",IFERROR((T1060*INDEX(Variables!$B$7:$D$7,IFERROR(MATCH(IF($B1060="Robusta","Robusta",(IF($B1060="","Arabica",$B1060))&amp;" - "&amp;(IF($C1060="","Commercial",$C1060))),Variables!$B$1:$D$1,0),1))*AC1060/365)+(L1060/16.67*INDEX(Variables!$B$8:$D$8,IFERROR(MATCH(IF($B1060="Robusta","Robusta",(IF($B1060="","Arabica",$B1060))&amp;" - "&amp;(IF($C1060="","Commercial",$C1060))),Variables!$B$1:$D$1,0),1))*AC1060)+(T1060*INDEX(Variables!$B$9:$D$9,IFERROR(MATCH(IF($B1060="Robusta","Robusta",(IF($B1060="","Arabica",$B1060))&amp;" - "&amp;(IF($C1060="","Commercial",$C1060))),Variables!$B$1:$D$1,0),1))*AC1060/365),""))</f>
        <v>2.0071091203880251</v>
      </c>
      <c r="AU1060" s="12">
        <f>IF($H1060="Cancelled","",IFERROR((T1060*INDEX(Variables!$B$7:$D$7,IFERROR(MATCH(IF($B1060="Robusta","Robusta",(IF($B1060="","Arabica",$B1060))&amp;" - "&amp;(IF($C1060="","Commercial",$C1060))),Variables!$B$1:$D$1,0),1))*AP1060/365)+(L1060/16.67*INDEX(Variables!$B$8:$D$8,IFERROR(MATCH(IF($B1060="Robusta","Robusta",(IF($B1060="","Arabica",$B1060))&amp;" - "&amp;(IF($C1060="","Commercial",$C1060))),Variables!$B$1:$D$1,0),1))*AP1060)+(T1060*INDEX(Variables!$B$9:$D$9,IFERROR(MATCH(IF($B1060="Robusta","Robusta",(IF($B1060="","Arabica",$B1060))&amp;" - "&amp;(IF($C1060="","Commercial",$C1060))),Variables!$B$1:$D$1,0),1))*AP1060/365),""))</f>
        <v>-0.62722160012125794</v>
      </c>
      <c r="AV1060" s="11">
        <f t="shared" si="100"/>
        <v>-7</v>
      </c>
      <c r="AW1060" s="12">
        <f>IF($H1060="Cancelled","",IFERROR(IF(AV1060="","",(T1060*INDEX(Variables!$B$7:$D$7,IFERROR(MATCH(IF($B1060="Robusta","Robusta",(IF($B1060="","Arabica",$B1060))&amp;" - "&amp;(IF($C1060="","Commercial",$C1060))),Variables!$B$1:$D$1,0),1))*(AV1060/365))+(T1060*INDEX(Variables!$B$9:$D$9,IFERROR(MATCH(IF($B1060="Robusta","Robusta",(IF($B1060="","Arabica",$B1060))&amp;" - "&amp;(IF($C1060="","Commercial",$C1060))),Variables!$B$1:$D$1,0),1))*(AV1060/365))+(INDEX(Variables!$B$8:$D$8,IFERROR(MATCH(IF($B1060="Robusta","Robusta",(IF($B1060="","Arabica",$B1060))&amp;" - "&amp;(IF($C1060="","Commercial",$C1060))),Variables!$B$1:$D$1,0),1))*L1060/16.67)),""))</f>
        <v>-0.47811024016976106</v>
      </c>
      <c r="AX1060" s="9"/>
      <c r="AY1060" s="12"/>
      <c r="AZ1060" s="10"/>
      <c r="BA1060" s="9"/>
      <c r="BB1060" s="10"/>
      <c r="BC1060" s="9"/>
      <c r="BD1060" s="9"/>
      <c r="BE1060" s="9"/>
      <c r="BF1060" s="9"/>
    </row>
    <row r="1061" spans="1:58" x14ac:dyDescent="0.25">
      <c r="A1061" s="9" t="s">
        <v>84</v>
      </c>
      <c r="B1061" s="9" t="s">
        <v>85</v>
      </c>
      <c r="C1061" s="9" t="s">
        <v>1486</v>
      </c>
      <c r="D1061" s="10">
        <v>45729</v>
      </c>
      <c r="E1061" s="10">
        <v>45748</v>
      </c>
      <c r="F1061" s="10">
        <v>45777</v>
      </c>
      <c r="G1061" s="9">
        <v>3786837</v>
      </c>
      <c r="H1061" s="9" t="str">
        <f t="shared" si="98"/>
        <v>Closed</v>
      </c>
      <c r="I1061" s="9" t="str">
        <f t="shared" si="99"/>
        <v>All dates received</v>
      </c>
      <c r="J1061" s="9" t="s">
        <v>2254</v>
      </c>
      <c r="K1061" s="9" t="s">
        <v>2272</v>
      </c>
      <c r="L1061" s="11">
        <v>1</v>
      </c>
      <c r="M1061" s="9" t="s">
        <v>2273</v>
      </c>
      <c r="N1061" s="9"/>
      <c r="O1061" s="9"/>
      <c r="P1061" s="9"/>
      <c r="Q1061" s="11">
        <v>117</v>
      </c>
      <c r="R1061" s="9" t="s">
        <v>195</v>
      </c>
      <c r="S1061" s="9" t="s">
        <v>578</v>
      </c>
      <c r="T1061" s="12">
        <f>IF($H1061="Cancelled","",IFERROR(((Q1061+INDEX(Variables!$B$6:$D$6,IFERROR(MATCH(IF($B1061="Robusta","Robusta",(IF($B1061="","Arabica",$B1061))&amp;" - "&amp;(IF($C1061="","Commercial",$C1061))),Variables!$B$1:$D$1,0),1)))*22.0462)*(L1061/16.67),""))</f>
        <v>539.31855788842233</v>
      </c>
      <c r="U1061" s="10"/>
      <c r="V1061" s="9" t="str">
        <f t="shared" si="101"/>
        <v/>
      </c>
      <c r="W1061" s="10">
        <v>45732</v>
      </c>
      <c r="X1061" s="9" t="str">
        <f t="shared" si="97"/>
        <v>Approved</v>
      </c>
      <c r="Y1061" s="10">
        <v>45773</v>
      </c>
      <c r="Z1061" s="10">
        <f>IF($H1061="Cancelled","",IFERROR(IF(F1061="","",F1061-Variables!$B$13),""))</f>
        <v>45762</v>
      </c>
      <c r="AA1061" s="11">
        <f>IF($H1061="Cancelled","",IFERROR(IF(W1061="","",(AVERAGE(E1061:F1061)-W1061)-Variables!$B$14),""))</f>
        <v>0.5</v>
      </c>
      <c r="AB1061" s="10">
        <v>45772</v>
      </c>
      <c r="AC1061" s="11">
        <f>IF($H1061="Cancelled","",IFERROR(IF(AB1061="","",IF(AND(W1061="",Y1061=""),"",IF(Y1061&gt;W1061,Y1061+Variables!$B$15+Variables!$B$16+Variables!$B$17-AB1061,W1061+Variables!$B$16+Variables!$B$17-AB1061))),""))</f>
        <v>16</v>
      </c>
      <c r="AD1061" s="9" t="s">
        <v>2257</v>
      </c>
      <c r="AE1061" s="9" t="s">
        <v>703</v>
      </c>
      <c r="AF1061" s="10"/>
      <c r="AG1061" s="10"/>
      <c r="AH1061" s="9"/>
      <c r="AI1061" s="9" t="s">
        <v>2258</v>
      </c>
      <c r="AJ1061" s="9" t="s">
        <v>2259</v>
      </c>
      <c r="AK1061" s="10">
        <v>45784</v>
      </c>
      <c r="AL1061" s="10">
        <v>45793</v>
      </c>
      <c r="AM1061" s="10">
        <v>45797</v>
      </c>
      <c r="AN1061" s="9" t="s">
        <v>1492</v>
      </c>
      <c r="AO1061" s="9"/>
      <c r="AP1061" s="11">
        <f>IF($H1061="Cancelled","",IFERROR(IF(OR(AK1061="",AB1061=""),"",(AB1061+Variables!$B$18-AK1061)),""))</f>
        <v>-5</v>
      </c>
      <c r="AQ1061" s="11">
        <f>IF($H1061="Cancelled","",IFERROR(IF(OR(AM1061="",AK1061=""),"",(AK1061+Variables!$B$19)-AM1061),""))</f>
        <v>-8</v>
      </c>
      <c r="AR1061" s="12">
        <f>IF($H1061="Cancelled","",IFERROR(T1061*INDEX(Variables!$B$7:$D$7,IFERROR(MATCH(IF($B1061="Robusta","Robusta",(IF($B1061="","Arabica",$B1061))&amp;" - "&amp;(IF($C1061="","Commercial",$C1061))),Variables!$B$1:$D$1,0),1))*(AQ1061/365),""))</f>
        <v>-0.7622234983774866</v>
      </c>
      <c r="AS1061" s="12">
        <f>IF($H1061="Cancelled","",IFERROR((T1061*INDEX(Variables!$B$7:$D$7,IFERROR(MATCH(IF($B1061="Robusta","Robusta",(IF($B1061="","Arabica",$B1061))&amp;" - "&amp;(IF($C1061="","Commercial",$C1061))),Variables!$B$1:$D$1,0),1))*IFERROR(IF(W1061="","",(AVERAGE(E1061:F1061)-W1061)-Variables!$B$14),"")/365)+(L1061/16.67*INDEX(Variables!$B$8:$D$8,IFERROR(MATCH(IF($B1061="Robusta","Robusta",(IF($B1061="","Arabica",$B1061))&amp;" - "&amp;(IF($C1061="","Commercial",$C1061))),Variables!$B$1:$D$1,0),1))*IFERROR(IF(W1061="","",(AVERAGE(E1061:F1061)-W1061)-Variables!$B$14),""))+(T1061*INDEX(Variables!$B$9:$D$9,IFERROR(MATCH(IF($B1061="Robusta","Robusta",(IF($B1061="","Arabica",$B1061))&amp;" - "&amp;(IF($C1061="","Commercial",$C1061))),Variables!$B$1:$D$1,0),1))*IFERROR(IF(W1061="","",(AVERAGE(E1061:F1061)-W1061)-Variables!$B$14),"")/365),""))</f>
        <v>7.3253126891295164E-2</v>
      </c>
      <c r="AT1061" s="12">
        <f>IF($H1061="Cancelled","",IFERROR((T1061*INDEX(Variables!$B$7:$D$7,IFERROR(MATCH(IF($B1061="Robusta","Robusta",(IF($B1061="","Arabica",$B1061))&amp;" - "&amp;(IF($C1061="","Commercial",$C1061))),Variables!$B$1:$D$1,0),1))*AC1061/365)+(L1061/16.67*INDEX(Variables!$B$8:$D$8,IFERROR(MATCH(IF($B1061="Robusta","Robusta",(IF($B1061="","Arabica",$B1061))&amp;" - "&amp;(IF($C1061="","Commercial",$C1061))),Variables!$B$1:$D$1,0),1))*AC1061)+(T1061*INDEX(Variables!$B$9:$D$9,IFERROR(MATCH(IF($B1061="Robusta","Robusta",(IF($B1061="","Arabica",$B1061))&amp;" - "&amp;(IF($C1061="","Commercial",$C1061))),Variables!$B$1:$D$1,0),1))*AC1061/365),""))</f>
        <v>2.3441000605214453</v>
      </c>
      <c r="AU1061" s="12">
        <f>IF($H1061="Cancelled","",IFERROR((T1061*INDEX(Variables!$B$7:$D$7,IFERROR(MATCH(IF($B1061="Robusta","Robusta",(IF($B1061="","Arabica",$B1061))&amp;" - "&amp;(IF($C1061="","Commercial",$C1061))),Variables!$B$1:$D$1,0),1))*AP1061/365)+(L1061/16.67*INDEX(Variables!$B$8:$D$8,IFERROR(MATCH(IF($B1061="Robusta","Robusta",(IF($B1061="","Arabica",$B1061))&amp;" - "&amp;(IF($C1061="","Commercial",$C1061))),Variables!$B$1:$D$1,0),1))*AP1061)+(T1061*INDEX(Variables!$B$9:$D$9,IFERROR(MATCH(IF($B1061="Robusta","Robusta",(IF($B1061="","Arabica",$B1061))&amp;" - "&amp;(IF($C1061="","Commercial",$C1061))),Variables!$B$1:$D$1,0),1))*AP1061/365),""))</f>
        <v>-0.73253126891295173</v>
      </c>
      <c r="AV1061" s="11">
        <f t="shared" si="100"/>
        <v>-7</v>
      </c>
      <c r="AW1061" s="12">
        <f>IF($H1061="Cancelled","",IFERROR(IF(AV1061="","",(T1061*INDEX(Variables!$B$7:$D$7,IFERROR(MATCH(IF($B1061="Robusta","Robusta",(IF($B1061="","Arabica",$B1061))&amp;" - "&amp;(IF($C1061="","Commercial",$C1061))),Variables!$B$1:$D$1,0),1))*(AV1061/365))+(T1061*INDEX(Variables!$B$9:$D$9,IFERROR(MATCH(IF($B1061="Robusta","Robusta",(IF($B1061="","Arabica",$B1061))&amp;" - "&amp;(IF($C1061="","Commercial",$C1061))),Variables!$B$1:$D$1,0),1))*(AV1061/365))+(INDEX(Variables!$B$8:$D$8,IFERROR(MATCH(IF($B1061="Robusta","Robusta",(IF($B1061="","Arabica",$B1061))&amp;" - "&amp;(IF($C1061="","Commercial",$C1061))),Variables!$B$1:$D$1,0),1))*L1061/16.67)),""))</f>
        <v>-0.62554377647813231</v>
      </c>
      <c r="AX1061" s="9"/>
      <c r="AY1061" s="12"/>
      <c r="AZ1061" s="10"/>
      <c r="BA1061" s="9"/>
      <c r="BB1061" s="10"/>
      <c r="BC1061" s="9"/>
      <c r="BD1061" s="9"/>
      <c r="BE1061" s="9"/>
      <c r="BF1061" s="9"/>
    </row>
    <row r="1062" spans="1:58" x14ac:dyDescent="0.25">
      <c r="A1062" s="9" t="s">
        <v>84</v>
      </c>
      <c r="B1062" s="9" t="s">
        <v>85</v>
      </c>
      <c r="C1062" s="9" t="s">
        <v>1486</v>
      </c>
      <c r="D1062" s="10">
        <v>45729</v>
      </c>
      <c r="E1062" s="10">
        <v>45748</v>
      </c>
      <c r="F1062" s="10">
        <v>45777</v>
      </c>
      <c r="G1062" s="9">
        <v>3786838</v>
      </c>
      <c r="H1062" s="9" t="str">
        <f t="shared" si="98"/>
        <v>Closed</v>
      </c>
      <c r="I1062" s="9" t="str">
        <f t="shared" si="99"/>
        <v>All dates received</v>
      </c>
      <c r="J1062" s="9" t="s">
        <v>2254</v>
      </c>
      <c r="K1062" s="9" t="s">
        <v>2274</v>
      </c>
      <c r="L1062" s="11">
        <v>3</v>
      </c>
      <c r="M1062" s="9" t="s">
        <v>2275</v>
      </c>
      <c r="N1062" s="9"/>
      <c r="O1062" s="9"/>
      <c r="P1062" s="9"/>
      <c r="Q1062" s="11">
        <v>108</v>
      </c>
      <c r="R1062" s="9" t="s">
        <v>195</v>
      </c>
      <c r="S1062" s="9" t="s">
        <v>578</v>
      </c>
      <c r="T1062" s="12">
        <f>IF($H1062="Cancelled","",IFERROR(((Q1062+INDEX(Variables!$B$6:$D$6,IFERROR(MATCH(IF($B1062="Robusta","Robusta",(IF($B1062="","Arabica",$B1062))&amp;" - "&amp;(IF($C1062="","Commercial",$C1062))),Variables!$B$1:$D$1,0),1)))*22.0462)*(L1062/16.67),""))</f>
        <v>1582.2479712057586</v>
      </c>
      <c r="U1062" s="10"/>
      <c r="V1062" s="9" t="str">
        <f t="shared" si="101"/>
        <v/>
      </c>
      <c r="W1062" s="10">
        <v>45732</v>
      </c>
      <c r="X1062" s="9" t="str">
        <f t="shared" si="97"/>
        <v>Approved</v>
      </c>
      <c r="Y1062" s="10">
        <v>45773</v>
      </c>
      <c r="Z1062" s="10">
        <f>IF($H1062="Cancelled","",IFERROR(IF(F1062="","",F1062-Variables!$B$13),""))</f>
        <v>45762</v>
      </c>
      <c r="AA1062" s="11">
        <f>IF($H1062="Cancelled","",IFERROR(IF(W1062="","",(AVERAGE(E1062:F1062)-W1062)-Variables!$B$14),""))</f>
        <v>0.5</v>
      </c>
      <c r="AB1062" s="10">
        <v>45772</v>
      </c>
      <c r="AC1062" s="11">
        <f>IF($H1062="Cancelled","",IFERROR(IF(AB1062="","",IF(AND(W1062="",Y1062=""),"",IF(Y1062&gt;W1062,Y1062+Variables!$B$15+Variables!$B$16+Variables!$B$17-AB1062,W1062+Variables!$B$16+Variables!$B$17-AB1062))),""))</f>
        <v>16</v>
      </c>
      <c r="AD1062" s="9" t="s">
        <v>2257</v>
      </c>
      <c r="AE1062" s="9" t="s">
        <v>703</v>
      </c>
      <c r="AF1062" s="10"/>
      <c r="AG1062" s="10"/>
      <c r="AH1062" s="9"/>
      <c r="AI1062" s="9" t="s">
        <v>2258</v>
      </c>
      <c r="AJ1062" s="9" t="s">
        <v>2259</v>
      </c>
      <c r="AK1062" s="10">
        <v>45784</v>
      </c>
      <c r="AL1062" s="10">
        <v>45793</v>
      </c>
      <c r="AM1062" s="10">
        <v>45797</v>
      </c>
      <c r="AN1062" s="9" t="s">
        <v>1492</v>
      </c>
      <c r="AO1062" s="9"/>
      <c r="AP1062" s="11">
        <f>IF($H1062="Cancelled","",IFERROR(IF(OR(AK1062="",AB1062=""),"",(AB1062+Variables!$B$18-AK1062)),""))</f>
        <v>-5</v>
      </c>
      <c r="AQ1062" s="11">
        <f>IF($H1062="Cancelled","",IFERROR(IF(OR(AM1062="",AK1062=""),"",(AK1062+Variables!$B$19)-AM1062),""))</f>
        <v>-8</v>
      </c>
      <c r="AR1062" s="12">
        <f>IF($H1062="Cancelled","",IFERROR(T1062*INDEX(Variables!$B$7:$D$7,IFERROR(MATCH(IF($B1062="Robusta","Robusta",(IF($B1062="","Arabica",$B1062))&amp;" - "&amp;(IF($C1062="","Commercial",$C1062))),Variables!$B$1:$D$1,0),1))*(AQ1062/365),""))</f>
        <v>-2.2362044959755392</v>
      </c>
      <c r="AS1062" s="12">
        <f>IF($H1062="Cancelled","",IFERROR((T1062*INDEX(Variables!$B$7:$D$7,IFERROR(MATCH(IF($B1062="Robusta","Robusta",(IF($B1062="","Arabica",$B1062))&amp;" - "&amp;(IF($C1062="","Commercial",$C1062))),Variables!$B$1:$D$1,0),1))*IFERROR(IF(W1062="","",(AVERAGE(E1062:F1062)-W1062)-Variables!$B$14),"")/365)+(L1062/16.67*INDEX(Variables!$B$8:$D$8,IFERROR(MATCH(IF($B1062="Robusta","Robusta",(IF($B1062="","Arabica",$B1062))&amp;" - "&amp;(IF($C1062="","Commercial",$C1062))),Variables!$B$1:$D$1,0),1))*IFERROR(IF(W1062="","",(AVERAGE(E1062:F1062)-W1062)-Variables!$B$14),""))+(T1062*INDEX(Variables!$B$9:$D$9,IFERROR(MATCH(IF($B1062="Robusta","Robusta",(IF($B1062="","Arabica",$B1062))&amp;" - "&amp;(IF($C1062="","Commercial",$C1062))),Variables!$B$1:$D$1,0),1))*IFERROR(IF(W1062="","",(AVERAGE(E1062:F1062)-W1062)-Variables!$B$14),"")/365),""))</f>
        <v>0.21656459296896891</v>
      </c>
      <c r="AT1062" s="12">
        <f>IF($H1062="Cancelled","",IFERROR((T1062*INDEX(Variables!$B$7:$D$7,IFERROR(MATCH(IF($B1062="Robusta","Robusta",(IF($B1062="","Arabica",$B1062))&amp;" - "&amp;(IF($C1062="","Commercial",$C1062))),Variables!$B$1:$D$1,0),1))*AC1062/365)+(L1062/16.67*INDEX(Variables!$B$8:$D$8,IFERROR(MATCH(IF($B1062="Robusta","Robusta",(IF($B1062="","Arabica",$B1062))&amp;" - "&amp;(IF($C1062="","Commercial",$C1062))),Variables!$B$1:$D$1,0),1))*AC1062)+(T1062*INDEX(Variables!$B$9:$D$9,IFERROR(MATCH(IF($B1062="Robusta","Robusta",(IF($B1062="","Arabica",$B1062))&amp;" - "&amp;(IF($C1062="","Commercial",$C1062))),Variables!$B$1:$D$1,0),1))*AC1062/365),""))</f>
        <v>6.930066975007005</v>
      </c>
      <c r="AU1062" s="12">
        <f>IF($H1062="Cancelled","",IFERROR((T1062*INDEX(Variables!$B$7:$D$7,IFERROR(MATCH(IF($B1062="Robusta","Robusta",(IF($B1062="","Arabica",$B1062))&amp;" - "&amp;(IF($C1062="","Commercial",$C1062))),Variables!$B$1:$D$1,0),1))*AP1062/365)+(L1062/16.67*INDEX(Variables!$B$8:$D$8,IFERROR(MATCH(IF($B1062="Robusta","Robusta",(IF($B1062="","Arabica",$B1062))&amp;" - "&amp;(IF($C1062="","Commercial",$C1062))),Variables!$B$1:$D$1,0),1))*AP1062)+(T1062*INDEX(Variables!$B$9:$D$9,IFERROR(MATCH(IF($B1062="Robusta","Robusta",(IF($B1062="","Arabica",$B1062))&amp;" - "&amp;(IF($C1062="","Commercial",$C1062))),Variables!$B$1:$D$1,0),1))*AP1062/365),""))</f>
        <v>-2.1656459296896897</v>
      </c>
      <c r="AV1062" s="11">
        <f t="shared" si="100"/>
        <v>-7</v>
      </c>
      <c r="AW1062" s="12">
        <f>IF($H1062="Cancelled","",IFERROR(IF(AV1062="","",(T1062*INDEX(Variables!$B$7:$D$7,IFERROR(MATCH(IF($B1062="Robusta","Robusta",(IF($B1062="","Arabica",$B1062))&amp;" - "&amp;(IF($C1062="","Commercial",$C1062))),Variables!$B$1:$D$1,0),1))*(AV1062/365))+(T1062*INDEX(Variables!$B$9:$D$9,IFERROR(MATCH(IF($B1062="Robusta","Robusta",(IF($B1062="","Arabica",$B1062))&amp;" - "&amp;(IF($C1062="","Commercial",$C1062))),Variables!$B$1:$D$1,0),1))*(AV1062/365))+(INDEX(Variables!$B$8:$D$8,IFERROR(MATCH(IF($B1062="Robusta","Robusta",(IF($B1062="","Arabica",$B1062))&amp;" - "&amp;(IF($C1062="","Commercial",$C1062))),Variables!$B$1:$D$1,0),1))*L1062/16.67)),""))</f>
        <v>-1.8319043015655652</v>
      </c>
      <c r="AX1062" s="9"/>
      <c r="AY1062" s="12"/>
      <c r="AZ1062" s="10"/>
      <c r="BA1062" s="9"/>
      <c r="BB1062" s="10"/>
      <c r="BC1062" s="9"/>
      <c r="BD1062" s="9"/>
      <c r="BE1062" s="9"/>
      <c r="BF1062" s="9"/>
    </row>
    <row r="1063" spans="1:58" x14ac:dyDescent="0.25">
      <c r="A1063" s="9" t="s">
        <v>84</v>
      </c>
      <c r="B1063" s="9" t="s">
        <v>85</v>
      </c>
      <c r="C1063" s="9" t="s">
        <v>1486</v>
      </c>
      <c r="D1063" s="10">
        <v>45729</v>
      </c>
      <c r="E1063" s="10">
        <v>45748</v>
      </c>
      <c r="F1063" s="10">
        <v>45777</v>
      </c>
      <c r="G1063" s="9">
        <v>3786839</v>
      </c>
      <c r="H1063" s="9" t="str">
        <f t="shared" si="98"/>
        <v>Closed</v>
      </c>
      <c r="I1063" s="9" t="str">
        <f t="shared" si="99"/>
        <v>All dates received</v>
      </c>
      <c r="J1063" s="9" t="s">
        <v>2254</v>
      </c>
      <c r="K1063" s="9" t="s">
        <v>2276</v>
      </c>
      <c r="L1063" s="11">
        <v>5</v>
      </c>
      <c r="M1063" s="9" t="s">
        <v>2277</v>
      </c>
      <c r="N1063" s="9"/>
      <c r="O1063" s="9"/>
      <c r="P1063" s="9"/>
      <c r="Q1063" s="11">
        <v>194</v>
      </c>
      <c r="R1063" s="9" t="s">
        <v>195</v>
      </c>
      <c r="S1063" s="9" t="s">
        <v>578</v>
      </c>
      <c r="T1063" s="12">
        <f>IF($H1063="Cancelled","",IFERROR(((Q1063+INDEX(Variables!$B$6:$D$6,IFERROR(MATCH(IF($B1063="Robusta","Robusta",(IF($B1063="","Arabica",$B1063))&amp;" - "&amp;(IF($C1063="","Commercial",$C1063))),Variables!$B$1:$D$1,0),1)))*22.0462)*(L1063/16.67),""))</f>
        <v>3205.7581763647268</v>
      </c>
      <c r="U1063" s="10"/>
      <c r="V1063" s="9" t="str">
        <f t="shared" si="101"/>
        <v/>
      </c>
      <c r="W1063" s="10">
        <v>45732</v>
      </c>
      <c r="X1063" s="9" t="str">
        <f t="shared" si="97"/>
        <v>Approved</v>
      </c>
      <c r="Y1063" s="10">
        <v>45773</v>
      </c>
      <c r="Z1063" s="10">
        <f>IF($H1063="Cancelled","",IFERROR(IF(F1063="","",F1063-Variables!$B$13),""))</f>
        <v>45762</v>
      </c>
      <c r="AA1063" s="11">
        <f>IF($H1063="Cancelled","",IFERROR(IF(W1063="","",(AVERAGE(E1063:F1063)-W1063)-Variables!$B$14),""))</f>
        <v>0.5</v>
      </c>
      <c r="AB1063" s="10">
        <v>45772</v>
      </c>
      <c r="AC1063" s="11">
        <f>IF($H1063="Cancelled","",IFERROR(IF(AB1063="","",IF(AND(W1063="",Y1063=""),"",IF(Y1063&gt;W1063,Y1063+Variables!$B$15+Variables!$B$16+Variables!$B$17-AB1063,W1063+Variables!$B$16+Variables!$B$17-AB1063))),""))</f>
        <v>16</v>
      </c>
      <c r="AD1063" s="9" t="s">
        <v>2257</v>
      </c>
      <c r="AE1063" s="9" t="s">
        <v>703</v>
      </c>
      <c r="AF1063" s="10"/>
      <c r="AG1063" s="10"/>
      <c r="AH1063" s="9"/>
      <c r="AI1063" s="9" t="s">
        <v>2258</v>
      </c>
      <c r="AJ1063" s="9" t="s">
        <v>2259</v>
      </c>
      <c r="AK1063" s="10">
        <v>45784</v>
      </c>
      <c r="AL1063" s="10">
        <v>45793</v>
      </c>
      <c r="AM1063" s="10">
        <v>45797</v>
      </c>
      <c r="AN1063" s="9" t="s">
        <v>1492</v>
      </c>
      <c r="AO1063" s="9"/>
      <c r="AP1063" s="11">
        <f>IF($H1063="Cancelled","",IFERROR(IF(OR(AK1063="",AB1063=""),"",(AB1063+Variables!$B$18-AK1063)),""))</f>
        <v>-5</v>
      </c>
      <c r="AQ1063" s="11">
        <f>IF($H1063="Cancelled","",IFERROR(IF(OR(AM1063="",AK1063=""),"",(AK1063+Variables!$B$19)-AM1063),""))</f>
        <v>-8</v>
      </c>
      <c r="AR1063" s="12">
        <f>IF($H1063="Cancelled","",IFERROR(T1063*INDEX(Variables!$B$7:$D$7,IFERROR(MATCH(IF($B1063="Robusta","Robusta",(IF($B1063="","Arabica",$B1063))&amp;" - "&amp;(IF($C1063="","Commercial",$C1063))),Variables!$B$1:$D$1,0),1))*(AQ1063/365),""))</f>
        <v>-4.5307252576435202</v>
      </c>
      <c r="AS1063" s="12">
        <f>IF($H1063="Cancelled","",IFERROR((T1063*INDEX(Variables!$B$7:$D$7,IFERROR(MATCH(IF($B1063="Robusta","Robusta",(IF($B1063="","Arabica",$B1063))&amp;" - "&amp;(IF($C1063="","Commercial",$C1063))),Variables!$B$1:$D$1,0),1))*IFERROR(IF(W1063="","",(AVERAGE(E1063:F1063)-W1063)-Variables!$B$14),"")/365)+(L1063/16.67*INDEX(Variables!$B$8:$D$8,IFERROR(MATCH(IF($B1063="Robusta","Robusta",(IF($B1063="","Arabica",$B1063))&amp;" - "&amp;(IF($C1063="","Commercial",$C1063))),Variables!$B$1:$D$1,0),1))*IFERROR(IF(W1063="","",(AVERAGE(E1063:F1063)-W1063)-Variables!$B$14),""))+(T1063*INDEX(Variables!$B$9:$D$9,IFERROR(MATCH(IF($B1063="Robusta","Robusta",(IF($B1063="","Arabica",$B1063))&amp;" - "&amp;(IF($C1063="","Commercial",$C1063))),Variables!$B$1:$D$1,0),1))*IFERROR(IF(W1063="","",(AVERAGE(E1063:F1063)-W1063)-Variables!$B$14),"")/365),""))</f>
        <v>0.41182094061917479</v>
      </c>
      <c r="AT1063" s="12">
        <f>IF($H1063="Cancelled","",IFERROR((T1063*INDEX(Variables!$B$7:$D$7,IFERROR(MATCH(IF($B1063="Robusta","Robusta",(IF($B1063="","Arabica",$B1063))&amp;" - "&amp;(IF($C1063="","Commercial",$C1063))),Variables!$B$1:$D$1,0),1))*AC1063/365)+(L1063/16.67*INDEX(Variables!$B$8:$D$8,IFERROR(MATCH(IF($B1063="Robusta","Robusta",(IF($B1063="","Arabica",$B1063))&amp;" - "&amp;(IF($C1063="","Commercial",$C1063))),Variables!$B$1:$D$1,0),1))*AC1063)+(T1063*INDEX(Variables!$B$9:$D$9,IFERROR(MATCH(IF($B1063="Robusta","Robusta",(IF($B1063="","Arabica",$B1063))&amp;" - "&amp;(IF($C1063="","Commercial",$C1063))),Variables!$B$1:$D$1,0),1))*AC1063/365),""))</f>
        <v>13.178270099813593</v>
      </c>
      <c r="AU1063" s="12">
        <f>IF($H1063="Cancelled","",IFERROR((T1063*INDEX(Variables!$B$7:$D$7,IFERROR(MATCH(IF($B1063="Robusta","Robusta",(IF($B1063="","Arabica",$B1063))&amp;" - "&amp;(IF($C1063="","Commercial",$C1063))),Variables!$B$1:$D$1,0),1))*AP1063/365)+(L1063/16.67*INDEX(Variables!$B$8:$D$8,IFERROR(MATCH(IF($B1063="Robusta","Robusta",(IF($B1063="","Arabica",$B1063))&amp;" - "&amp;(IF($C1063="","Commercial",$C1063))),Variables!$B$1:$D$1,0),1))*AP1063)+(T1063*INDEX(Variables!$B$9:$D$9,IFERROR(MATCH(IF($B1063="Robusta","Robusta",(IF($B1063="","Arabica",$B1063))&amp;" - "&amp;(IF($C1063="","Commercial",$C1063))),Variables!$B$1:$D$1,0),1))*AP1063/365),""))</f>
        <v>-4.118209406191748</v>
      </c>
      <c r="AV1063" s="11">
        <f t="shared" si="100"/>
        <v>-7</v>
      </c>
      <c r="AW1063" s="12">
        <f>IF($H1063="Cancelled","",IFERROR(IF(AV1063="","",(T1063*INDEX(Variables!$B$7:$D$7,IFERROR(MATCH(IF($B1063="Robusta","Robusta",(IF($B1063="","Arabica",$B1063))&amp;" - "&amp;(IF($C1063="","Commercial",$C1063))),Variables!$B$1:$D$1,0),1))*(AV1063/365))+(T1063*INDEX(Variables!$B$9:$D$9,IFERROR(MATCH(IF($B1063="Robusta","Robusta",(IF($B1063="","Arabica",$B1063))&amp;" - "&amp;(IF($C1063="","Commercial",$C1063))),Variables!$B$1:$D$1,0),1))*(AV1063/365))+(INDEX(Variables!$B$8:$D$8,IFERROR(MATCH(IF($B1063="Robusta","Robusta",(IF($B1063="","Arabica",$B1063))&amp;" - "&amp;(IF($C1063="","Commercial",$C1063))),Variables!$B$1:$D$1,0),1))*L1063/16.67)),""))</f>
        <v>-3.7654931686684474</v>
      </c>
      <c r="AX1063" s="9"/>
      <c r="AY1063" s="12"/>
      <c r="AZ1063" s="10"/>
      <c r="BA1063" s="9"/>
      <c r="BB1063" s="10"/>
      <c r="BC1063" s="9"/>
      <c r="BD1063" s="9"/>
      <c r="BE1063" s="9"/>
      <c r="BF1063" s="9"/>
    </row>
    <row r="1064" spans="1:58" x14ac:dyDescent="0.25">
      <c r="A1064" s="9" t="s">
        <v>84</v>
      </c>
      <c r="B1064" s="9" t="s">
        <v>85</v>
      </c>
      <c r="C1064" s="9" t="s">
        <v>1486</v>
      </c>
      <c r="D1064" s="10">
        <v>45729</v>
      </c>
      <c r="E1064" s="10">
        <v>45748</v>
      </c>
      <c r="F1064" s="10">
        <v>45777</v>
      </c>
      <c r="G1064" s="9">
        <v>3786840</v>
      </c>
      <c r="H1064" s="9" t="str">
        <f t="shared" si="98"/>
        <v>Closed</v>
      </c>
      <c r="I1064" s="9" t="str">
        <f t="shared" si="99"/>
        <v>All dates received</v>
      </c>
      <c r="J1064" s="9" t="s">
        <v>2254</v>
      </c>
      <c r="K1064" s="9" t="s">
        <v>2278</v>
      </c>
      <c r="L1064" s="11">
        <v>5</v>
      </c>
      <c r="M1064" s="9" t="s">
        <v>2279</v>
      </c>
      <c r="N1064" s="9"/>
      <c r="O1064" s="9"/>
      <c r="P1064" s="9"/>
      <c r="Q1064" s="11">
        <v>99</v>
      </c>
      <c r="R1064" s="9" t="s">
        <v>195</v>
      </c>
      <c r="S1064" s="9" t="s">
        <v>578</v>
      </c>
      <c r="T1064" s="12">
        <f>IF($H1064="Cancelled","",IFERROR(((Q1064+INDEX(Variables!$B$6:$D$6,IFERROR(MATCH(IF($B1064="Robusta","Robusta",(IF($B1064="","Arabica",$B1064))&amp;" - "&amp;(IF($C1064="","Commercial",$C1064))),Variables!$B$1:$D$1,0),1)))*22.0462)*(L1064/16.67),""))</f>
        <v>2577.5671145770839</v>
      </c>
      <c r="U1064" s="10"/>
      <c r="V1064" s="9" t="str">
        <f t="shared" si="101"/>
        <v/>
      </c>
      <c r="W1064" s="10">
        <v>45732</v>
      </c>
      <c r="X1064" s="9" t="str">
        <f t="shared" si="97"/>
        <v>Approved</v>
      </c>
      <c r="Y1064" s="10">
        <v>45773</v>
      </c>
      <c r="Z1064" s="10">
        <f>IF($H1064="Cancelled","",IFERROR(IF(F1064="","",F1064-Variables!$B$13),""))</f>
        <v>45762</v>
      </c>
      <c r="AA1064" s="11">
        <f>IF($H1064="Cancelled","",IFERROR(IF(W1064="","",(AVERAGE(E1064:F1064)-W1064)-Variables!$B$14),""))</f>
        <v>0.5</v>
      </c>
      <c r="AB1064" s="10">
        <v>45772</v>
      </c>
      <c r="AC1064" s="11">
        <f>IF($H1064="Cancelled","",IFERROR(IF(AB1064="","",IF(AND(W1064="",Y1064=""),"",IF(Y1064&gt;W1064,Y1064+Variables!$B$15+Variables!$B$16+Variables!$B$17-AB1064,W1064+Variables!$B$16+Variables!$B$17-AB1064))),""))</f>
        <v>16</v>
      </c>
      <c r="AD1064" s="9" t="s">
        <v>2257</v>
      </c>
      <c r="AE1064" s="9" t="s">
        <v>703</v>
      </c>
      <c r="AF1064" s="10"/>
      <c r="AG1064" s="10"/>
      <c r="AH1064" s="9"/>
      <c r="AI1064" s="9" t="s">
        <v>2258</v>
      </c>
      <c r="AJ1064" s="9" t="s">
        <v>2259</v>
      </c>
      <c r="AK1064" s="10">
        <v>45784</v>
      </c>
      <c r="AL1064" s="10">
        <v>45793</v>
      </c>
      <c r="AM1064" s="10">
        <v>45797</v>
      </c>
      <c r="AN1064" s="9" t="s">
        <v>1492</v>
      </c>
      <c r="AO1064" s="9"/>
      <c r="AP1064" s="11">
        <f>IF($H1064="Cancelled","",IFERROR(IF(OR(AK1064="",AB1064=""),"",(AB1064+Variables!$B$18-AK1064)),""))</f>
        <v>-5</v>
      </c>
      <c r="AQ1064" s="11">
        <f>IF($H1064="Cancelled","",IFERROR(IF(OR(AM1064="",AK1064=""),"",(AK1064+Variables!$B$19)-AM1064),""))</f>
        <v>-8</v>
      </c>
      <c r="AR1064" s="12">
        <f>IF($H1064="Cancelled","",IFERROR(T1064*INDEX(Variables!$B$7:$D$7,IFERROR(MATCH(IF($B1064="Robusta","Robusta",(IF($B1064="","Arabica",$B1064))&amp;" - "&amp;(IF($C1064="","Commercial",$C1064))),Variables!$B$1:$D$1,0),1))*(AQ1064/365),""))</f>
        <v>-3.6428974946976971</v>
      </c>
      <c r="AS1064" s="12">
        <f>IF($H1064="Cancelled","",IFERROR((T1064*INDEX(Variables!$B$7:$D$7,IFERROR(MATCH(IF($B1064="Robusta","Robusta",(IF($B1064="","Arabica",$B1064))&amp;" - "&amp;(IF($C1064="","Commercial",$C1064))),Variables!$B$1:$D$1,0),1))*IFERROR(IF(W1064="","",(AVERAGE(E1064:F1064)-W1064)-Variables!$B$14),"")/365)+(L1064/16.67*INDEX(Variables!$B$8:$D$8,IFERROR(MATCH(IF($B1064="Robusta","Robusta",(IF($B1064="","Arabica",$B1064))&amp;" - "&amp;(IF($C1064="","Commercial",$C1064))),Variables!$B$1:$D$1,0),1))*IFERROR(IF(W1064="","",(AVERAGE(E1064:F1064)-W1064)-Variables!$B$14),""))+(T1064*INDEX(Variables!$B$9:$D$9,IFERROR(MATCH(IF($B1064="Robusta","Robusta",(IF($B1064="","Arabica",$B1064))&amp;" - "&amp;(IF($C1064="","Commercial",$C1064))),Variables!$B$1:$D$1,0),1))*IFERROR(IF(W1064="","",(AVERAGE(E1064:F1064)-W1064)-Variables!$B$14),"")/365),""))</f>
        <v>0.35561634210675397</v>
      </c>
      <c r="AT1064" s="12">
        <f>IF($H1064="Cancelled","",IFERROR((T1064*INDEX(Variables!$B$7:$D$7,IFERROR(MATCH(IF($B1064="Robusta","Robusta",(IF($B1064="","Arabica",$B1064))&amp;" - "&amp;(IF($C1064="","Commercial",$C1064))),Variables!$B$1:$D$1,0),1))*AC1064/365)+(L1064/16.67*INDEX(Variables!$B$8:$D$8,IFERROR(MATCH(IF($B1064="Robusta","Robusta",(IF($B1064="","Arabica",$B1064))&amp;" - "&amp;(IF($C1064="","Commercial",$C1064))),Variables!$B$1:$D$1,0),1))*AC1064)+(T1064*INDEX(Variables!$B$9:$D$9,IFERROR(MATCH(IF($B1064="Robusta","Robusta",(IF($B1064="","Arabica",$B1064))&amp;" - "&amp;(IF($C1064="","Commercial",$C1064))),Variables!$B$1:$D$1,0),1))*AC1064/365),""))</f>
        <v>11.379722947416127</v>
      </c>
      <c r="AU1064" s="12">
        <f>IF($H1064="Cancelled","",IFERROR((T1064*INDEX(Variables!$B$7:$D$7,IFERROR(MATCH(IF($B1064="Robusta","Robusta",(IF($B1064="","Arabica",$B1064))&amp;" - "&amp;(IF($C1064="","Commercial",$C1064))),Variables!$B$1:$D$1,0),1))*AP1064/365)+(L1064/16.67*INDEX(Variables!$B$8:$D$8,IFERROR(MATCH(IF($B1064="Robusta","Robusta",(IF($B1064="","Arabica",$B1064))&amp;" - "&amp;(IF($C1064="","Commercial",$C1064))),Variables!$B$1:$D$1,0),1))*AP1064)+(T1064*INDEX(Variables!$B$9:$D$9,IFERROR(MATCH(IF($B1064="Robusta","Robusta",(IF($B1064="","Arabica",$B1064))&amp;" - "&amp;(IF($C1064="","Commercial",$C1064))),Variables!$B$1:$D$1,0),1))*AP1064/365),""))</f>
        <v>-3.5561634210675392</v>
      </c>
      <c r="AV1064" s="11">
        <f t="shared" si="100"/>
        <v>-7</v>
      </c>
      <c r="AW1064" s="12">
        <f>IF($H1064="Cancelled","",IFERROR(IF(AV1064="","",(T1064*INDEX(Variables!$B$7:$D$7,IFERROR(MATCH(IF($B1064="Robusta","Robusta",(IF($B1064="","Arabica",$B1064))&amp;" - "&amp;(IF($C1064="","Commercial",$C1064))),Variables!$B$1:$D$1,0),1))*(AV1064/365))+(T1064*INDEX(Variables!$B$9:$D$9,IFERROR(MATCH(IF($B1064="Robusta","Robusta",(IF($B1064="","Arabica",$B1064))&amp;" - "&amp;(IF($C1064="","Commercial",$C1064))),Variables!$B$1:$D$1,0),1))*(AV1064/365))+(INDEX(Variables!$B$8:$D$8,IFERROR(MATCH(IF($B1064="Robusta","Robusta",(IF($B1064="","Arabica",$B1064))&amp;" - "&amp;(IF($C1064="","Commercial",$C1064))),Variables!$B$1:$D$1,0),1))*L1064/16.67)),""))</f>
        <v>-2.9786287894945551</v>
      </c>
      <c r="AX1064" s="9"/>
      <c r="AY1064" s="12"/>
      <c r="AZ1064" s="10"/>
      <c r="BA1064" s="9"/>
      <c r="BB1064" s="10"/>
      <c r="BC1064" s="9"/>
      <c r="BD1064" s="9"/>
      <c r="BE1064" s="9"/>
      <c r="BF1064" s="9"/>
    </row>
    <row r="1065" spans="1:58" x14ac:dyDescent="0.25">
      <c r="A1065" s="9" t="s">
        <v>84</v>
      </c>
      <c r="B1065" s="9" t="s">
        <v>85</v>
      </c>
      <c r="C1065" s="9" t="s">
        <v>1486</v>
      </c>
      <c r="D1065" s="10">
        <v>45729</v>
      </c>
      <c r="E1065" s="10">
        <v>45748</v>
      </c>
      <c r="F1065" s="10">
        <v>45777</v>
      </c>
      <c r="G1065" s="9">
        <v>3786841</v>
      </c>
      <c r="H1065" s="9" t="str">
        <f t="shared" si="98"/>
        <v>Closed</v>
      </c>
      <c r="I1065" s="9" t="str">
        <f t="shared" si="99"/>
        <v>All dates received</v>
      </c>
      <c r="J1065" s="9" t="s">
        <v>2254</v>
      </c>
      <c r="K1065" s="9" t="s">
        <v>2280</v>
      </c>
      <c r="L1065" s="11">
        <v>5</v>
      </c>
      <c r="M1065" s="9" t="s">
        <v>2281</v>
      </c>
      <c r="N1065" s="9"/>
      <c r="O1065" s="9"/>
      <c r="P1065" s="9"/>
      <c r="Q1065" s="11">
        <v>132</v>
      </c>
      <c r="R1065" s="9" t="s">
        <v>195</v>
      </c>
      <c r="S1065" s="9" t="s">
        <v>578</v>
      </c>
      <c r="T1065" s="12">
        <f>IF($H1065="Cancelled","",IFERROR(((Q1065+INDEX(Variables!$B$6:$D$6,IFERROR(MATCH(IF($B1065="Robusta","Robusta",(IF($B1065="","Arabica",$B1065))&amp;" - "&amp;(IF($C1065="","Commercial",$C1065))),Variables!$B$1:$D$1,0),1)))*22.0462)*(L1065/16.67),""))</f>
        <v>2795.7808518296338</v>
      </c>
      <c r="U1065" s="10"/>
      <c r="V1065" s="9" t="str">
        <f t="shared" si="101"/>
        <v/>
      </c>
      <c r="W1065" s="10">
        <v>45732</v>
      </c>
      <c r="X1065" s="9" t="str">
        <f t="shared" si="97"/>
        <v>Approved</v>
      </c>
      <c r="Y1065" s="10">
        <v>45773</v>
      </c>
      <c r="Z1065" s="10">
        <f>IF($H1065="Cancelled","",IFERROR(IF(F1065="","",F1065-Variables!$B$13),""))</f>
        <v>45762</v>
      </c>
      <c r="AA1065" s="11">
        <f>IF($H1065="Cancelled","",IFERROR(IF(W1065="","",(AVERAGE(E1065:F1065)-W1065)-Variables!$B$14),""))</f>
        <v>0.5</v>
      </c>
      <c r="AB1065" s="10">
        <v>45772</v>
      </c>
      <c r="AC1065" s="11">
        <f>IF($H1065="Cancelled","",IFERROR(IF(AB1065="","",IF(AND(W1065="",Y1065=""),"",IF(Y1065&gt;W1065,Y1065+Variables!$B$15+Variables!$B$16+Variables!$B$17-AB1065,W1065+Variables!$B$16+Variables!$B$17-AB1065))),""))</f>
        <v>16</v>
      </c>
      <c r="AD1065" s="9" t="s">
        <v>2257</v>
      </c>
      <c r="AE1065" s="9" t="s">
        <v>703</v>
      </c>
      <c r="AF1065" s="10"/>
      <c r="AG1065" s="10"/>
      <c r="AH1065" s="9"/>
      <c r="AI1065" s="9" t="s">
        <v>2258</v>
      </c>
      <c r="AJ1065" s="9" t="s">
        <v>2259</v>
      </c>
      <c r="AK1065" s="10">
        <v>45784</v>
      </c>
      <c r="AL1065" s="10">
        <v>45793</v>
      </c>
      <c r="AM1065" s="10">
        <v>45797</v>
      </c>
      <c r="AN1065" s="9" t="s">
        <v>1492</v>
      </c>
      <c r="AO1065" s="9"/>
      <c r="AP1065" s="11">
        <f>IF($H1065="Cancelled","",IFERROR(IF(OR(AK1065="",AB1065=""),"",(AB1065+Variables!$B$18-AK1065)),""))</f>
        <v>-5</v>
      </c>
      <c r="AQ1065" s="11">
        <f>IF($H1065="Cancelled","",IFERROR(IF(OR(AM1065="",AK1065=""),"",(AK1065+Variables!$B$19)-AM1065),""))</f>
        <v>-8</v>
      </c>
      <c r="AR1065" s="12">
        <f>IF($H1065="Cancelled","",IFERROR(T1065*INDEX(Variables!$B$7:$D$7,IFERROR(MATCH(IF($B1065="Robusta","Robusta",(IF($B1065="","Arabica",$B1065))&amp;" - "&amp;(IF($C1065="","Commercial",$C1065))),Variables!$B$1:$D$1,0),1))*(AQ1065/365),""))</f>
        <v>-3.9513008228788782</v>
      </c>
      <c r="AS1065" s="12">
        <f>IF($H1065="Cancelled","",IFERROR((T1065*INDEX(Variables!$B$7:$D$7,IFERROR(MATCH(IF($B1065="Robusta","Robusta",(IF($B1065="","Arabica",$B1065))&amp;" - "&amp;(IF($C1065="","Commercial",$C1065))),Variables!$B$1:$D$1,0),1))*IFERROR(IF(W1065="","",(AVERAGE(E1065:F1065)-W1065)-Variables!$B$14),"")/365)+(L1065/16.67*INDEX(Variables!$B$8:$D$8,IFERROR(MATCH(IF($B1065="Robusta","Robusta",(IF($B1065="","Arabica",$B1065))&amp;" - "&amp;(IF($C1065="","Commercial",$C1065))),Variables!$B$1:$D$1,0),1))*IFERROR(IF(W1065="","",(AVERAGE(E1065:F1065)-W1065)-Variables!$B$14),""))+(T1065*INDEX(Variables!$B$9:$D$9,IFERROR(MATCH(IF($B1065="Robusta","Robusta",(IF($B1065="","Arabica",$B1065))&amp;" - "&amp;(IF($C1065="","Commercial",$C1065))),Variables!$B$1:$D$1,0),1))*IFERROR(IF(W1065="","",(AVERAGE(E1065:F1065)-W1065)-Variables!$B$14),"")/365),""))</f>
        <v>0.37514004474791063</v>
      </c>
      <c r="AT1065" s="12">
        <f>IF($H1065="Cancelled","",IFERROR((T1065*INDEX(Variables!$B$7:$D$7,IFERROR(MATCH(IF($B1065="Robusta","Robusta",(IF($B1065="","Arabica",$B1065))&amp;" - "&amp;(IF($C1065="","Commercial",$C1065))),Variables!$B$1:$D$1,0),1))*AC1065/365)+(L1065/16.67*INDEX(Variables!$B$8:$D$8,IFERROR(MATCH(IF($B1065="Robusta","Robusta",(IF($B1065="","Arabica",$B1065))&amp;" - "&amp;(IF($C1065="","Commercial",$C1065))),Variables!$B$1:$D$1,0),1))*AC1065)+(T1065*INDEX(Variables!$B$9:$D$9,IFERROR(MATCH(IF($B1065="Robusta","Robusta",(IF($B1065="","Arabica",$B1065))&amp;" - "&amp;(IF($C1065="","Commercial",$C1065))),Variables!$B$1:$D$1,0),1))*AC1065/365),""))</f>
        <v>12.00448143193314</v>
      </c>
      <c r="AU1065" s="12">
        <f>IF($H1065="Cancelled","",IFERROR((T1065*INDEX(Variables!$B$7:$D$7,IFERROR(MATCH(IF($B1065="Robusta","Robusta",(IF($B1065="","Arabica",$B1065))&amp;" - "&amp;(IF($C1065="","Commercial",$C1065))),Variables!$B$1:$D$1,0),1))*AP1065/365)+(L1065/16.67*INDEX(Variables!$B$8:$D$8,IFERROR(MATCH(IF($B1065="Robusta","Robusta",(IF($B1065="","Arabica",$B1065))&amp;" - "&amp;(IF($C1065="","Commercial",$C1065))),Variables!$B$1:$D$1,0),1))*AP1065)+(T1065*INDEX(Variables!$B$9:$D$9,IFERROR(MATCH(IF($B1065="Robusta","Robusta",(IF($B1065="","Arabica",$B1065))&amp;" - "&amp;(IF($C1065="","Commercial",$C1065))),Variables!$B$1:$D$1,0),1))*AP1065/365),""))</f>
        <v>-3.7514004474791065</v>
      </c>
      <c r="AV1065" s="11">
        <f t="shared" si="100"/>
        <v>-7</v>
      </c>
      <c r="AW1065" s="12">
        <f>IF($H1065="Cancelled","",IFERROR(IF(AV1065="","",(T1065*INDEX(Variables!$B$7:$D$7,IFERROR(MATCH(IF($B1065="Robusta","Robusta",(IF($B1065="","Arabica",$B1065))&amp;" - "&amp;(IF($C1065="","Commercial",$C1065))),Variables!$B$1:$D$1,0),1))*(AV1065/365))+(T1065*INDEX(Variables!$B$9:$D$9,IFERROR(MATCH(IF($B1065="Robusta","Robusta",(IF($B1065="","Arabica",$B1065))&amp;" - "&amp;(IF($C1065="","Commercial",$C1065))),Variables!$B$1:$D$1,0),1))*(AV1065/365))+(INDEX(Variables!$B$8:$D$8,IFERROR(MATCH(IF($B1065="Robusta","Robusta",(IF($B1065="","Arabica",$B1065))&amp;" - "&amp;(IF($C1065="","Commercial",$C1065))),Variables!$B$1:$D$1,0),1))*L1065/16.67)),""))</f>
        <v>-3.2519606264707495</v>
      </c>
      <c r="AX1065" s="9"/>
      <c r="AY1065" s="12"/>
      <c r="AZ1065" s="10"/>
      <c r="BA1065" s="9"/>
      <c r="BB1065" s="10"/>
      <c r="BC1065" s="9"/>
      <c r="BD1065" s="9"/>
      <c r="BE1065" s="9"/>
      <c r="BF1065" s="9"/>
    </row>
    <row r="1066" spans="1:58" x14ac:dyDescent="0.25">
      <c r="A1066" s="9" t="s">
        <v>84</v>
      </c>
      <c r="B1066" s="9" t="s">
        <v>85</v>
      </c>
      <c r="C1066" s="9" t="s">
        <v>1486</v>
      </c>
      <c r="D1066" s="10">
        <v>45729</v>
      </c>
      <c r="E1066" s="10">
        <v>45748</v>
      </c>
      <c r="F1066" s="10">
        <v>45777</v>
      </c>
      <c r="G1066" s="9">
        <v>3786842</v>
      </c>
      <c r="H1066" s="9" t="str">
        <f t="shared" si="98"/>
        <v>Closed</v>
      </c>
      <c r="I1066" s="9" t="str">
        <f t="shared" si="99"/>
        <v>All dates received</v>
      </c>
      <c r="J1066" s="9" t="s">
        <v>2254</v>
      </c>
      <c r="K1066" s="9" t="s">
        <v>2282</v>
      </c>
      <c r="L1066" s="11">
        <v>30</v>
      </c>
      <c r="M1066" s="9" t="s">
        <v>2283</v>
      </c>
      <c r="N1066" s="9"/>
      <c r="O1066" s="9"/>
      <c r="P1066" s="9"/>
      <c r="Q1066" s="11">
        <v>119</v>
      </c>
      <c r="R1066" s="9" t="s">
        <v>195</v>
      </c>
      <c r="S1066" s="9" t="s">
        <v>578</v>
      </c>
      <c r="T1066" s="12">
        <f>IF($H1066="Cancelled","",IFERROR(((Q1066+INDEX(Variables!$B$6:$D$6,IFERROR(MATCH(IF($B1066="Robusta","Robusta",(IF($B1066="","Arabica",$B1066))&amp;" - "&amp;(IF($C1066="","Commercial",$C1066))),Variables!$B$1:$D$1,0),1)))*22.0462)*(L1066/16.67),""))</f>
        <v>16258.907186562687</v>
      </c>
      <c r="U1066" s="10"/>
      <c r="V1066" s="9" t="str">
        <f t="shared" si="101"/>
        <v/>
      </c>
      <c r="W1066" s="10">
        <v>45732</v>
      </c>
      <c r="X1066" s="9" t="str">
        <f t="shared" ref="X1066:X1115" si="102">IF(ISNUMBER(W1066),"Approved","")</f>
        <v>Approved</v>
      </c>
      <c r="Y1066" s="10">
        <v>45773</v>
      </c>
      <c r="Z1066" s="10">
        <f>IF($H1066="Cancelled","",IFERROR(IF(F1066="","",F1066-Variables!$B$13),""))</f>
        <v>45762</v>
      </c>
      <c r="AA1066" s="11">
        <f>IF($H1066="Cancelled","",IFERROR(IF(W1066="","",(AVERAGE(E1066:F1066)-W1066)-Variables!$B$14),""))</f>
        <v>0.5</v>
      </c>
      <c r="AB1066" s="10">
        <v>45772</v>
      </c>
      <c r="AC1066" s="11">
        <f>IF($H1066="Cancelled","",IFERROR(IF(AB1066="","",IF(AND(W1066="",Y1066=""),"",IF(Y1066&gt;W1066,Y1066+Variables!$B$15+Variables!$B$16+Variables!$B$17-AB1066,W1066+Variables!$B$16+Variables!$B$17-AB1066))),""))</f>
        <v>16</v>
      </c>
      <c r="AD1066" s="9" t="s">
        <v>2257</v>
      </c>
      <c r="AE1066" s="9" t="s">
        <v>703</v>
      </c>
      <c r="AF1066" s="10"/>
      <c r="AG1066" s="10"/>
      <c r="AH1066" s="9"/>
      <c r="AI1066" s="9" t="s">
        <v>2258</v>
      </c>
      <c r="AJ1066" s="9" t="s">
        <v>2259</v>
      </c>
      <c r="AK1066" s="10">
        <v>45784</v>
      </c>
      <c r="AL1066" s="10">
        <v>45793</v>
      </c>
      <c r="AM1066" s="10">
        <v>45797</v>
      </c>
      <c r="AN1066" s="9" t="s">
        <v>1492</v>
      </c>
      <c r="AO1066" s="9"/>
      <c r="AP1066" s="11">
        <f>IF($H1066="Cancelled","",IFERROR(IF(OR(AK1066="",AB1066=""),"",(AB1066+Variables!$B$18-AK1066)),""))</f>
        <v>-5</v>
      </c>
      <c r="AQ1066" s="11">
        <f>IF($H1066="Cancelled","",IFERROR(IF(OR(AM1066="",AK1066=""),"",(AK1066+Variables!$B$19)-AM1066),""))</f>
        <v>-8</v>
      </c>
      <c r="AR1066" s="12">
        <f>IF($H1066="Cancelled","",IFERROR(T1066*INDEX(Variables!$B$7:$D$7,IFERROR(MATCH(IF($B1066="Robusta","Robusta",(IF($B1066="","Arabica",$B1066))&amp;" - "&amp;(IF($C1066="","Commercial",$C1066))),Variables!$B$1:$D$1,0),1))*(AQ1066/365),""))</f>
        <v>-22.978851616117755</v>
      </c>
      <c r="AS1066" s="12">
        <f>IF($H1066="Cancelled","",IFERROR((T1066*INDEX(Variables!$B$7:$D$7,IFERROR(MATCH(IF($B1066="Robusta","Robusta",(IF($B1066="","Arabica",$B1066))&amp;" - "&amp;(IF($C1066="","Commercial",$C1066))),Variables!$B$1:$D$1,0),1))*IFERROR(IF(W1066="","",(AVERAGE(E1066:F1066)-W1066)-Variables!$B$14),"")/365)+(L1066/16.67*INDEX(Variables!$B$8:$D$8,IFERROR(MATCH(IF($B1066="Robusta","Robusta",(IF($B1066="","Arabica",$B1066))&amp;" - "&amp;(IF($C1066="","Commercial",$C1066))),Variables!$B$1:$D$1,0),1))*IFERROR(IF(W1066="","",(AVERAGE(E1066:F1066)-W1066)-Variables!$B$14),""))+(T1066*INDEX(Variables!$B$9:$D$9,IFERROR(MATCH(IF($B1066="Robusta","Robusta",(IF($B1066="","Arabica",$B1066))&amp;" - "&amp;(IF($C1066="","Commercial",$C1066))),Variables!$B$1:$D$1,0),1))*IFERROR(IF(W1066="","",(AVERAGE(E1066:F1066)-W1066)-Variables!$B$14),"")/365),""))</f>
        <v>2.2046933349720028</v>
      </c>
      <c r="AT1066" s="12">
        <f>IF($H1066="Cancelled","",IFERROR((T1066*INDEX(Variables!$B$7:$D$7,IFERROR(MATCH(IF($B1066="Robusta","Robusta",(IF($B1066="","Arabica",$B1066))&amp;" - "&amp;(IF($C1066="","Commercial",$C1066))),Variables!$B$1:$D$1,0),1))*AC1066/365)+(L1066/16.67*INDEX(Variables!$B$8:$D$8,IFERROR(MATCH(IF($B1066="Robusta","Robusta",(IF($B1066="","Arabica",$B1066))&amp;" - "&amp;(IF($C1066="","Commercial",$C1066))),Variables!$B$1:$D$1,0),1))*AC1066)+(T1066*INDEX(Variables!$B$9:$D$9,IFERROR(MATCH(IF($B1066="Robusta","Robusta",(IF($B1066="","Arabica",$B1066))&amp;" - "&amp;(IF($C1066="","Commercial",$C1066))),Variables!$B$1:$D$1,0),1))*AC1066/365),""))</f>
        <v>70.55018671910409</v>
      </c>
      <c r="AU1066" s="12">
        <f>IF($H1066="Cancelled","",IFERROR((T1066*INDEX(Variables!$B$7:$D$7,IFERROR(MATCH(IF($B1066="Robusta","Robusta",(IF($B1066="","Arabica",$B1066))&amp;" - "&amp;(IF($C1066="","Commercial",$C1066))),Variables!$B$1:$D$1,0),1))*AP1066/365)+(L1066/16.67*INDEX(Variables!$B$8:$D$8,IFERROR(MATCH(IF($B1066="Robusta","Robusta",(IF($B1066="","Arabica",$B1066))&amp;" - "&amp;(IF($C1066="","Commercial",$C1066))),Variables!$B$1:$D$1,0),1))*AP1066)+(T1066*INDEX(Variables!$B$9:$D$9,IFERROR(MATCH(IF($B1066="Robusta","Robusta",(IF($B1066="","Arabica",$B1066))&amp;" - "&amp;(IF($C1066="","Commercial",$C1066))),Variables!$B$1:$D$1,0),1))*AP1066/365),""))</f>
        <v>-22.046933349720028</v>
      </c>
      <c r="AV1066" s="11">
        <f t="shared" si="100"/>
        <v>-7</v>
      </c>
      <c r="AW1066" s="12">
        <f>IF($H1066="Cancelled","",IFERROR(IF(AV1066="","",(T1066*INDEX(Variables!$B$7:$D$7,IFERROR(MATCH(IF($B1066="Robusta","Robusta",(IF($B1066="","Arabica",$B1066))&amp;" - "&amp;(IF($C1066="","Commercial",$C1066))),Variables!$B$1:$D$1,0),1))*(AV1066/365))+(T1066*INDEX(Variables!$B$9:$D$9,IFERROR(MATCH(IF($B1066="Robusta","Robusta",(IF($B1066="","Arabica",$B1066))&amp;" - "&amp;(IF($C1066="","Commercial",$C1066))),Variables!$B$1:$D$1,0),1))*(AV1066/365))+(INDEX(Variables!$B$8:$D$8,IFERROR(MATCH(IF($B1066="Robusta","Robusta",(IF($B1066="","Arabica",$B1066))&amp;" - "&amp;(IF($C1066="","Commercial",$C1066))),Variables!$B$1:$D$1,0),1))*L1066/16.67)),""))</f>
        <v>-18.865706689608043</v>
      </c>
      <c r="AX1066" s="9"/>
      <c r="AY1066" s="12"/>
      <c r="AZ1066" s="10"/>
      <c r="BA1066" s="9"/>
      <c r="BB1066" s="10"/>
      <c r="BC1066" s="9"/>
      <c r="BD1066" s="9"/>
      <c r="BE1066" s="9"/>
      <c r="BF1066" s="9"/>
    </row>
    <row r="1067" spans="1:58" x14ac:dyDescent="0.25">
      <c r="A1067" s="9" t="s">
        <v>84</v>
      </c>
      <c r="B1067" s="9" t="s">
        <v>85</v>
      </c>
      <c r="C1067" s="9" t="s">
        <v>1486</v>
      </c>
      <c r="D1067" s="10">
        <v>45729</v>
      </c>
      <c r="E1067" s="10">
        <v>45748</v>
      </c>
      <c r="F1067" s="10">
        <v>45777</v>
      </c>
      <c r="G1067" s="9">
        <v>3786843</v>
      </c>
      <c r="H1067" s="9" t="str">
        <f t="shared" si="98"/>
        <v>Closed</v>
      </c>
      <c r="I1067" s="9" t="str">
        <f t="shared" si="99"/>
        <v>All dates received</v>
      </c>
      <c r="J1067" s="9" t="s">
        <v>2254</v>
      </c>
      <c r="K1067" s="9" t="s">
        <v>2284</v>
      </c>
      <c r="L1067" s="11">
        <v>5</v>
      </c>
      <c r="M1067" s="9" t="s">
        <v>2285</v>
      </c>
      <c r="N1067" s="9"/>
      <c r="O1067" s="9"/>
      <c r="P1067" s="9"/>
      <c r="Q1067" s="11">
        <v>99</v>
      </c>
      <c r="R1067" s="9" t="s">
        <v>195</v>
      </c>
      <c r="S1067" s="9" t="s">
        <v>578</v>
      </c>
      <c r="T1067" s="12">
        <f>IF($H1067="Cancelled","",IFERROR(((Q1067+INDEX(Variables!$B$6:$D$6,IFERROR(MATCH(IF($B1067="Robusta","Robusta",(IF($B1067="","Arabica",$B1067))&amp;" - "&amp;(IF($C1067="","Commercial",$C1067))),Variables!$B$1:$D$1,0),1)))*22.0462)*(L1067/16.67),""))</f>
        <v>2577.5671145770839</v>
      </c>
      <c r="U1067" s="10"/>
      <c r="V1067" s="9" t="str">
        <f t="shared" si="101"/>
        <v/>
      </c>
      <c r="W1067" s="10">
        <v>45732</v>
      </c>
      <c r="X1067" s="9" t="str">
        <f t="shared" si="102"/>
        <v>Approved</v>
      </c>
      <c r="Y1067" s="10">
        <v>45773</v>
      </c>
      <c r="Z1067" s="10">
        <f>IF($H1067="Cancelled","",IFERROR(IF(F1067="","",F1067-Variables!$B$13),""))</f>
        <v>45762</v>
      </c>
      <c r="AA1067" s="11">
        <f>IF($H1067="Cancelled","",IFERROR(IF(W1067="","",(AVERAGE(E1067:F1067)-W1067)-Variables!$B$14),""))</f>
        <v>0.5</v>
      </c>
      <c r="AB1067" s="10">
        <v>45772</v>
      </c>
      <c r="AC1067" s="11">
        <f>IF($H1067="Cancelled","",IFERROR(IF(AB1067="","",IF(AND(W1067="",Y1067=""),"",IF(Y1067&gt;W1067,Y1067+Variables!$B$15+Variables!$B$16+Variables!$B$17-AB1067,W1067+Variables!$B$16+Variables!$B$17-AB1067))),""))</f>
        <v>16</v>
      </c>
      <c r="AD1067" s="9" t="s">
        <v>2257</v>
      </c>
      <c r="AE1067" s="9" t="s">
        <v>703</v>
      </c>
      <c r="AF1067" s="10"/>
      <c r="AG1067" s="10"/>
      <c r="AH1067" s="9"/>
      <c r="AI1067" s="9" t="s">
        <v>2258</v>
      </c>
      <c r="AJ1067" s="9" t="s">
        <v>2259</v>
      </c>
      <c r="AK1067" s="10">
        <v>45784</v>
      </c>
      <c r="AL1067" s="10">
        <v>45793</v>
      </c>
      <c r="AM1067" s="10">
        <v>45797</v>
      </c>
      <c r="AN1067" s="9" t="s">
        <v>1492</v>
      </c>
      <c r="AO1067" s="9"/>
      <c r="AP1067" s="11">
        <f>IF($H1067="Cancelled","",IFERROR(IF(OR(AK1067="",AB1067=""),"",(AB1067+Variables!$B$18-AK1067)),""))</f>
        <v>-5</v>
      </c>
      <c r="AQ1067" s="11">
        <f>IF($H1067="Cancelled","",IFERROR(IF(OR(AM1067="",AK1067=""),"",(AK1067+Variables!$B$19)-AM1067),""))</f>
        <v>-8</v>
      </c>
      <c r="AR1067" s="12">
        <f>IF($H1067="Cancelled","",IFERROR(T1067*INDEX(Variables!$B$7:$D$7,IFERROR(MATCH(IF($B1067="Robusta","Robusta",(IF($B1067="","Arabica",$B1067))&amp;" - "&amp;(IF($C1067="","Commercial",$C1067))),Variables!$B$1:$D$1,0),1))*(AQ1067/365),""))</f>
        <v>-3.6428974946976971</v>
      </c>
      <c r="AS1067" s="12">
        <f>IF($H1067="Cancelled","",IFERROR((T1067*INDEX(Variables!$B$7:$D$7,IFERROR(MATCH(IF($B1067="Robusta","Robusta",(IF($B1067="","Arabica",$B1067))&amp;" - "&amp;(IF($C1067="","Commercial",$C1067))),Variables!$B$1:$D$1,0),1))*IFERROR(IF(W1067="","",(AVERAGE(E1067:F1067)-W1067)-Variables!$B$14),"")/365)+(L1067/16.67*INDEX(Variables!$B$8:$D$8,IFERROR(MATCH(IF($B1067="Robusta","Robusta",(IF($B1067="","Arabica",$B1067))&amp;" - "&amp;(IF($C1067="","Commercial",$C1067))),Variables!$B$1:$D$1,0),1))*IFERROR(IF(W1067="","",(AVERAGE(E1067:F1067)-W1067)-Variables!$B$14),""))+(T1067*INDEX(Variables!$B$9:$D$9,IFERROR(MATCH(IF($B1067="Robusta","Robusta",(IF($B1067="","Arabica",$B1067))&amp;" - "&amp;(IF($C1067="","Commercial",$C1067))),Variables!$B$1:$D$1,0),1))*IFERROR(IF(W1067="","",(AVERAGE(E1067:F1067)-W1067)-Variables!$B$14),"")/365),""))</f>
        <v>0.35561634210675397</v>
      </c>
      <c r="AT1067" s="12">
        <f>IF($H1067="Cancelled","",IFERROR((T1067*INDEX(Variables!$B$7:$D$7,IFERROR(MATCH(IF($B1067="Robusta","Robusta",(IF($B1067="","Arabica",$B1067))&amp;" - "&amp;(IF($C1067="","Commercial",$C1067))),Variables!$B$1:$D$1,0),1))*AC1067/365)+(L1067/16.67*INDEX(Variables!$B$8:$D$8,IFERROR(MATCH(IF($B1067="Robusta","Robusta",(IF($B1067="","Arabica",$B1067))&amp;" - "&amp;(IF($C1067="","Commercial",$C1067))),Variables!$B$1:$D$1,0),1))*AC1067)+(T1067*INDEX(Variables!$B$9:$D$9,IFERROR(MATCH(IF($B1067="Robusta","Robusta",(IF($B1067="","Arabica",$B1067))&amp;" - "&amp;(IF($C1067="","Commercial",$C1067))),Variables!$B$1:$D$1,0),1))*AC1067/365),""))</f>
        <v>11.379722947416127</v>
      </c>
      <c r="AU1067" s="12">
        <f>IF($H1067="Cancelled","",IFERROR((T1067*INDEX(Variables!$B$7:$D$7,IFERROR(MATCH(IF($B1067="Robusta","Robusta",(IF($B1067="","Arabica",$B1067))&amp;" - "&amp;(IF($C1067="","Commercial",$C1067))),Variables!$B$1:$D$1,0),1))*AP1067/365)+(L1067/16.67*INDEX(Variables!$B$8:$D$8,IFERROR(MATCH(IF($B1067="Robusta","Robusta",(IF($B1067="","Arabica",$B1067))&amp;" - "&amp;(IF($C1067="","Commercial",$C1067))),Variables!$B$1:$D$1,0),1))*AP1067)+(T1067*INDEX(Variables!$B$9:$D$9,IFERROR(MATCH(IF($B1067="Robusta","Robusta",(IF($B1067="","Arabica",$B1067))&amp;" - "&amp;(IF($C1067="","Commercial",$C1067))),Variables!$B$1:$D$1,0),1))*AP1067/365),""))</f>
        <v>-3.5561634210675392</v>
      </c>
      <c r="AV1067" s="11">
        <f t="shared" si="100"/>
        <v>-7</v>
      </c>
      <c r="AW1067" s="12">
        <f>IF($H1067="Cancelled","",IFERROR(IF(AV1067="","",(T1067*INDEX(Variables!$B$7:$D$7,IFERROR(MATCH(IF($B1067="Robusta","Robusta",(IF($B1067="","Arabica",$B1067))&amp;" - "&amp;(IF($C1067="","Commercial",$C1067))),Variables!$B$1:$D$1,0),1))*(AV1067/365))+(T1067*INDEX(Variables!$B$9:$D$9,IFERROR(MATCH(IF($B1067="Robusta","Robusta",(IF($B1067="","Arabica",$B1067))&amp;" - "&amp;(IF($C1067="","Commercial",$C1067))),Variables!$B$1:$D$1,0),1))*(AV1067/365))+(INDEX(Variables!$B$8:$D$8,IFERROR(MATCH(IF($B1067="Robusta","Robusta",(IF($B1067="","Arabica",$B1067))&amp;" - "&amp;(IF($C1067="","Commercial",$C1067))),Variables!$B$1:$D$1,0),1))*L1067/16.67)),""))</f>
        <v>-2.9786287894945551</v>
      </c>
      <c r="AX1067" s="9"/>
      <c r="AY1067" s="12"/>
      <c r="AZ1067" s="10"/>
      <c r="BA1067" s="9"/>
      <c r="BB1067" s="10"/>
      <c r="BC1067" s="9"/>
      <c r="BD1067" s="9"/>
      <c r="BE1067" s="9"/>
      <c r="BF1067" s="9"/>
    </row>
    <row r="1068" spans="1:58" x14ac:dyDescent="0.25">
      <c r="A1068" s="9" t="s">
        <v>84</v>
      </c>
      <c r="B1068" s="9" t="s">
        <v>85</v>
      </c>
      <c r="C1068" s="9" t="s">
        <v>1486</v>
      </c>
      <c r="D1068" s="10">
        <v>45729</v>
      </c>
      <c r="E1068" s="10">
        <v>45748</v>
      </c>
      <c r="F1068" s="10">
        <v>45777</v>
      </c>
      <c r="G1068" s="9">
        <v>3786844</v>
      </c>
      <c r="H1068" s="9" t="str">
        <f t="shared" si="98"/>
        <v>Closed</v>
      </c>
      <c r="I1068" s="9" t="str">
        <f t="shared" si="99"/>
        <v>All dates received</v>
      </c>
      <c r="J1068" s="9" t="s">
        <v>2254</v>
      </c>
      <c r="K1068" s="9" t="s">
        <v>2286</v>
      </c>
      <c r="L1068" s="11">
        <v>30</v>
      </c>
      <c r="M1068" s="9" t="s">
        <v>2287</v>
      </c>
      <c r="N1068" s="9"/>
      <c r="O1068" s="9"/>
      <c r="P1068" s="9"/>
      <c r="Q1068" s="11">
        <v>131</v>
      </c>
      <c r="R1068" s="9" t="s">
        <v>195</v>
      </c>
      <c r="S1068" s="9" t="s">
        <v>578</v>
      </c>
      <c r="T1068" s="12">
        <f>IF($H1068="Cancelled","",IFERROR(((Q1068+INDEX(Variables!$B$6:$D$6,IFERROR(MATCH(IF($B1068="Robusta","Robusta",(IF($B1068="","Arabica",$B1068))&amp;" - "&amp;(IF($C1068="","Commercial",$C1068))),Variables!$B$1:$D$1,0),1)))*22.0462)*(L1068/16.67),""))</f>
        <v>16735.009886022792</v>
      </c>
      <c r="U1068" s="10"/>
      <c r="V1068" s="9" t="str">
        <f t="shared" si="101"/>
        <v/>
      </c>
      <c r="W1068" s="10">
        <v>45732</v>
      </c>
      <c r="X1068" s="9" t="str">
        <f t="shared" si="102"/>
        <v>Approved</v>
      </c>
      <c r="Y1068" s="10">
        <v>45773</v>
      </c>
      <c r="Z1068" s="10">
        <f>IF($H1068="Cancelled","",IFERROR(IF(F1068="","",F1068-Variables!$B$13),""))</f>
        <v>45762</v>
      </c>
      <c r="AA1068" s="11">
        <f>IF($H1068="Cancelled","",IFERROR(IF(W1068="","",(AVERAGE(E1068:F1068)-W1068)-Variables!$B$14),""))</f>
        <v>0.5</v>
      </c>
      <c r="AB1068" s="10">
        <v>45772</v>
      </c>
      <c r="AC1068" s="11">
        <f>IF($H1068="Cancelled","",IFERROR(IF(AB1068="","",IF(AND(W1068="",Y1068=""),"",IF(Y1068&gt;W1068,Y1068+Variables!$B$15+Variables!$B$16+Variables!$B$17-AB1068,W1068+Variables!$B$16+Variables!$B$17-AB1068))),""))</f>
        <v>16</v>
      </c>
      <c r="AD1068" s="9" t="s">
        <v>2257</v>
      </c>
      <c r="AE1068" s="9" t="s">
        <v>703</v>
      </c>
      <c r="AF1068" s="10"/>
      <c r="AG1068" s="10"/>
      <c r="AH1068" s="9"/>
      <c r="AI1068" s="9" t="s">
        <v>2258</v>
      </c>
      <c r="AJ1068" s="9" t="s">
        <v>2259</v>
      </c>
      <c r="AK1068" s="10">
        <v>45784</v>
      </c>
      <c r="AL1068" s="10">
        <v>45793</v>
      </c>
      <c r="AM1068" s="10">
        <v>45797</v>
      </c>
      <c r="AN1068" s="9" t="s">
        <v>1492</v>
      </c>
      <c r="AO1068" s="9"/>
      <c r="AP1068" s="11">
        <f>IF($H1068="Cancelled","",IFERROR(IF(OR(AK1068="",AB1068=""),"",(AB1068+Variables!$B$18-AK1068)),""))</f>
        <v>-5</v>
      </c>
      <c r="AQ1068" s="11">
        <f>IF($H1068="Cancelled","",IFERROR(IF(OR(AM1068="",AK1068=""),"",(AK1068+Variables!$B$19)-AM1068),""))</f>
        <v>-8</v>
      </c>
      <c r="AR1068" s="12">
        <f>IF($H1068="Cancelled","",IFERROR(T1068*INDEX(Variables!$B$7:$D$7,IFERROR(MATCH(IF($B1068="Robusta","Robusta",(IF($B1068="","Arabica",$B1068))&amp;" - "&amp;(IF($C1068="","Commercial",$C1068))),Variables!$B$1:$D$1,0),1))*(AQ1068/365),""))</f>
        <v>-23.651731604876687</v>
      </c>
      <c r="AS1068" s="12">
        <f>IF($H1068="Cancelled","",IFERROR((T1068*INDEX(Variables!$B$7:$D$7,IFERROR(MATCH(IF($B1068="Robusta","Robusta",(IF($B1068="","Arabica",$B1068))&amp;" - "&amp;(IF($C1068="","Commercial",$C1068))),Variables!$B$1:$D$1,0),1))*IFERROR(IF(W1068="","",(AVERAGE(E1068:F1068)-W1068)-Variables!$B$14),"")/365)+(L1068/16.67*INDEX(Variables!$B$8:$D$8,IFERROR(MATCH(IF($B1068="Robusta","Robusta",(IF($B1068="","Arabica",$B1068))&amp;" - "&amp;(IF($C1068="","Commercial",$C1068))),Variables!$B$1:$D$1,0),1))*IFERROR(IF(W1068="","",(AVERAGE(E1068:F1068)-W1068)-Variables!$B$14),""))+(T1068*INDEX(Variables!$B$9:$D$9,IFERROR(MATCH(IF($B1068="Robusta","Robusta",(IF($B1068="","Arabica",$B1068))&amp;" - "&amp;(IF($C1068="","Commercial",$C1068))),Variables!$B$1:$D$1,0),1))*IFERROR(IF(W1068="","",(AVERAGE(E1068:F1068)-W1068)-Variables!$B$14),"")/365),""))</f>
        <v>2.24729050437089</v>
      </c>
      <c r="AT1068" s="12">
        <f>IF($H1068="Cancelled","",IFERROR((T1068*INDEX(Variables!$B$7:$D$7,IFERROR(MATCH(IF($B1068="Robusta","Robusta",(IF($B1068="","Arabica",$B1068))&amp;" - "&amp;(IF($C1068="","Commercial",$C1068))),Variables!$B$1:$D$1,0),1))*AC1068/365)+(L1068/16.67*INDEX(Variables!$B$8:$D$8,IFERROR(MATCH(IF($B1068="Robusta","Robusta",(IF($B1068="","Arabica",$B1068))&amp;" - "&amp;(IF($C1068="","Commercial",$C1068))),Variables!$B$1:$D$1,0),1))*AC1068)+(T1068*INDEX(Variables!$B$9:$D$9,IFERROR(MATCH(IF($B1068="Robusta","Robusta",(IF($B1068="","Arabica",$B1068))&amp;" - "&amp;(IF($C1068="","Commercial",$C1068))),Variables!$B$1:$D$1,0),1))*AC1068/365),""))</f>
        <v>71.913296139868478</v>
      </c>
      <c r="AU1068" s="12">
        <f>IF($H1068="Cancelled","",IFERROR((T1068*INDEX(Variables!$B$7:$D$7,IFERROR(MATCH(IF($B1068="Robusta","Robusta",(IF($B1068="","Arabica",$B1068))&amp;" - "&amp;(IF($C1068="","Commercial",$C1068))),Variables!$B$1:$D$1,0),1))*AP1068/365)+(L1068/16.67*INDEX(Variables!$B$8:$D$8,IFERROR(MATCH(IF($B1068="Robusta","Robusta",(IF($B1068="","Arabica",$B1068))&amp;" - "&amp;(IF($C1068="","Commercial",$C1068))),Variables!$B$1:$D$1,0),1))*AP1068)+(T1068*INDEX(Variables!$B$9:$D$9,IFERROR(MATCH(IF($B1068="Robusta","Robusta",(IF($B1068="","Arabica",$B1068))&amp;" - "&amp;(IF($C1068="","Commercial",$C1068))),Variables!$B$1:$D$1,0),1))*AP1068/365),""))</f>
        <v>-22.472905043708899</v>
      </c>
      <c r="AV1068" s="11">
        <f t="shared" si="100"/>
        <v>-7</v>
      </c>
      <c r="AW1068" s="12">
        <f>IF($H1068="Cancelled","",IFERROR(IF(AV1068="","",(T1068*INDEX(Variables!$B$7:$D$7,IFERROR(MATCH(IF($B1068="Robusta","Robusta",(IF($B1068="","Arabica",$B1068))&amp;" - "&amp;(IF($C1068="","Commercial",$C1068))),Variables!$B$1:$D$1,0),1))*(AV1068/365))+(T1068*INDEX(Variables!$B$9:$D$9,IFERROR(MATCH(IF($B1068="Robusta","Robusta",(IF($B1068="","Arabica",$B1068))&amp;" - "&amp;(IF($C1068="","Commercial",$C1068))),Variables!$B$1:$D$1,0),1))*(AV1068/365))+(INDEX(Variables!$B$8:$D$8,IFERROR(MATCH(IF($B1068="Robusta","Robusta",(IF($B1068="","Arabica",$B1068))&amp;" - "&amp;(IF($C1068="","Commercial",$C1068))),Variables!$B$1:$D$1,0),1))*L1068/16.67)),""))</f>
        <v>-19.462067061192457</v>
      </c>
      <c r="AX1068" s="9"/>
      <c r="AY1068" s="12"/>
      <c r="AZ1068" s="10"/>
      <c r="BA1068" s="9"/>
      <c r="BB1068" s="10"/>
      <c r="BC1068" s="9"/>
      <c r="BD1068" s="9"/>
      <c r="BE1068" s="9"/>
      <c r="BF1068" s="9"/>
    </row>
    <row r="1069" spans="1:58" x14ac:dyDescent="0.25">
      <c r="A1069" s="9" t="s">
        <v>84</v>
      </c>
      <c r="B1069" s="9" t="s">
        <v>85</v>
      </c>
      <c r="C1069" s="9" t="s">
        <v>1486</v>
      </c>
      <c r="D1069" s="10">
        <v>45733</v>
      </c>
      <c r="E1069" s="10">
        <v>45748</v>
      </c>
      <c r="F1069" s="10">
        <v>45777</v>
      </c>
      <c r="G1069" s="9">
        <v>3786845</v>
      </c>
      <c r="H1069" s="9" t="str">
        <f t="shared" si="98"/>
        <v>Closed</v>
      </c>
      <c r="I1069" s="9" t="str">
        <f t="shared" si="99"/>
        <v>All dates received</v>
      </c>
      <c r="J1069" s="9" t="s">
        <v>2254</v>
      </c>
      <c r="K1069" s="9" t="s">
        <v>2288</v>
      </c>
      <c r="L1069" s="11">
        <v>4</v>
      </c>
      <c r="M1069" s="9" t="s">
        <v>2289</v>
      </c>
      <c r="N1069" s="9"/>
      <c r="O1069" s="9"/>
      <c r="P1069" s="9"/>
      <c r="Q1069" s="11">
        <v>116</v>
      </c>
      <c r="R1069" s="9" t="s">
        <v>195</v>
      </c>
      <c r="S1069" s="9" t="s">
        <v>578</v>
      </c>
      <c r="T1069" s="12">
        <f>IF($H1069="Cancelled","",IFERROR(((Q1069+INDEX(Variables!$B$6:$D$6,IFERROR(MATCH(IF($B1069="Robusta","Robusta",(IF($B1069="","Arabica",$B1069))&amp;" - "&amp;(IF($C1069="","Commercial",$C1069))),Variables!$B$1:$D$1,0),1)))*22.0462)*(L1069/16.67),""))</f>
        <v>2151.9842015596878</v>
      </c>
      <c r="U1069" s="10"/>
      <c r="V1069" s="9" t="str">
        <f t="shared" si="101"/>
        <v/>
      </c>
      <c r="W1069" s="10">
        <v>45732</v>
      </c>
      <c r="X1069" s="9" t="str">
        <f t="shared" si="102"/>
        <v>Approved</v>
      </c>
      <c r="Y1069" s="10">
        <v>45773</v>
      </c>
      <c r="Z1069" s="10">
        <f>IF($H1069="Cancelled","",IFERROR(IF(F1069="","",F1069-Variables!$B$13),""))</f>
        <v>45762</v>
      </c>
      <c r="AA1069" s="11">
        <f>IF($H1069="Cancelled","",IFERROR(IF(W1069="","",(AVERAGE(E1069:F1069)-W1069)-Variables!$B$14),""))</f>
        <v>0.5</v>
      </c>
      <c r="AB1069" s="10">
        <v>45772</v>
      </c>
      <c r="AC1069" s="11">
        <f>IF($H1069="Cancelled","",IFERROR(IF(AB1069="","",IF(AND(W1069="",Y1069=""),"",IF(Y1069&gt;W1069,Y1069+Variables!$B$15+Variables!$B$16+Variables!$B$17-AB1069,W1069+Variables!$B$16+Variables!$B$17-AB1069))),""))</f>
        <v>16</v>
      </c>
      <c r="AD1069" s="9" t="s">
        <v>2257</v>
      </c>
      <c r="AE1069" s="9" t="s">
        <v>703</v>
      </c>
      <c r="AF1069" s="10"/>
      <c r="AG1069" s="10"/>
      <c r="AH1069" s="9"/>
      <c r="AI1069" s="9" t="s">
        <v>2258</v>
      </c>
      <c r="AJ1069" s="9" t="s">
        <v>2259</v>
      </c>
      <c r="AK1069" s="10">
        <v>45784</v>
      </c>
      <c r="AL1069" s="10">
        <v>45793</v>
      </c>
      <c r="AM1069" s="10">
        <v>45797</v>
      </c>
      <c r="AN1069" s="9" t="s">
        <v>1492</v>
      </c>
      <c r="AO1069" s="9"/>
      <c r="AP1069" s="11">
        <f>IF($H1069="Cancelled","",IFERROR(IF(OR(AK1069="",AB1069=""),"",(AB1069+Variables!$B$18-AK1069)),""))</f>
        <v>-5</v>
      </c>
      <c r="AQ1069" s="11">
        <f>IF($H1069="Cancelled","",IFERROR(IF(OR(AM1069="",AK1069=""),"",(AK1069+Variables!$B$19)-AM1069),""))</f>
        <v>-8</v>
      </c>
      <c r="AR1069" s="12">
        <f>IF($H1069="Cancelled","",IFERROR(T1069*INDEX(Variables!$B$7:$D$7,IFERROR(MATCH(IF($B1069="Robusta","Robusta",(IF($B1069="","Arabica",$B1069))&amp;" - "&amp;(IF($C1069="","Commercial",$C1069))),Variables!$B$1:$D$1,0),1))*(AQ1069/365),""))</f>
        <v>-3.0414175491904021</v>
      </c>
      <c r="AS1069" s="12">
        <f>IF($H1069="Cancelled","",IFERROR((T1069*INDEX(Variables!$B$7:$D$7,IFERROR(MATCH(IF($B1069="Robusta","Robusta",(IF($B1069="","Arabica",$B1069))&amp;" - "&amp;(IF($C1069="","Commercial",$C1069))),Variables!$B$1:$D$1,0),1))*IFERROR(IF(W1069="","",(AVERAGE(E1069:F1069)-W1069)-Variables!$B$14),"")/365)+(L1069/16.67*INDEX(Variables!$B$8:$D$8,IFERROR(MATCH(IF($B1069="Robusta","Robusta",(IF($B1069="","Arabica",$B1069))&amp;" - "&amp;(IF($C1069="","Commercial",$C1069))),Variables!$B$1:$D$1,0),1))*IFERROR(IF(W1069="","",(AVERAGE(E1069:F1069)-W1069)-Variables!$B$14),""))+(T1069*INDEX(Variables!$B$9:$D$9,IFERROR(MATCH(IF($B1069="Robusta","Robusta",(IF($B1069="","Arabica",$B1069))&amp;" - "&amp;(IF($C1069="","Commercial",$C1069))),Variables!$B$1:$D$1,0),1))*IFERROR(IF(W1069="","",(AVERAGE(E1069:F1069)-W1069)-Variables!$B$14),"")/365),""))</f>
        <v>0.29253920568297076</v>
      </c>
      <c r="AT1069" s="12">
        <f>IF($H1069="Cancelled","",IFERROR((T1069*INDEX(Variables!$B$7:$D$7,IFERROR(MATCH(IF($B1069="Robusta","Robusta",(IF($B1069="","Arabica",$B1069))&amp;" - "&amp;(IF($C1069="","Commercial",$C1069))),Variables!$B$1:$D$1,0),1))*AC1069/365)+(L1069/16.67*INDEX(Variables!$B$8:$D$8,IFERROR(MATCH(IF($B1069="Robusta","Robusta",(IF($B1069="","Arabica",$B1069))&amp;" - "&amp;(IF($C1069="","Commercial",$C1069))),Variables!$B$1:$D$1,0),1))*AC1069)+(T1069*INDEX(Variables!$B$9:$D$9,IFERROR(MATCH(IF($B1069="Robusta","Robusta",(IF($B1069="","Arabica",$B1069))&amp;" - "&amp;(IF($C1069="","Commercial",$C1069))),Variables!$B$1:$D$1,0),1))*AC1069/365),""))</f>
        <v>9.3612545818550643</v>
      </c>
      <c r="AU1069" s="12">
        <f>IF($H1069="Cancelled","",IFERROR((T1069*INDEX(Variables!$B$7:$D$7,IFERROR(MATCH(IF($B1069="Robusta","Robusta",(IF($B1069="","Arabica",$B1069))&amp;" - "&amp;(IF($C1069="","Commercial",$C1069))),Variables!$B$1:$D$1,0),1))*AP1069/365)+(L1069/16.67*INDEX(Variables!$B$8:$D$8,IFERROR(MATCH(IF($B1069="Robusta","Robusta",(IF($B1069="","Arabica",$B1069))&amp;" - "&amp;(IF($C1069="","Commercial",$C1069))),Variables!$B$1:$D$1,0),1))*AP1069)+(T1069*INDEX(Variables!$B$9:$D$9,IFERROR(MATCH(IF($B1069="Robusta","Robusta",(IF($B1069="","Arabica",$B1069))&amp;" - "&amp;(IF($C1069="","Commercial",$C1069))),Variables!$B$1:$D$1,0),1))*AP1069/365),""))</f>
        <v>-2.9253920568297076</v>
      </c>
      <c r="AV1069" s="11">
        <f t="shared" si="100"/>
        <v>-7</v>
      </c>
      <c r="AW1069" s="12">
        <f>IF($H1069="Cancelled","",IFERROR(IF(AV1069="","",(T1069*INDEX(Variables!$B$7:$D$7,IFERROR(MATCH(IF($B1069="Robusta","Robusta",(IF($B1069="","Arabica",$B1069))&amp;" - "&amp;(IF($C1069="","Commercial",$C1069))),Variables!$B$1:$D$1,0),1))*(AV1069/365))+(T1069*INDEX(Variables!$B$9:$D$9,IFERROR(MATCH(IF($B1069="Robusta","Robusta",(IF($B1069="","Arabica",$B1069))&amp;" - "&amp;(IF($C1069="","Commercial",$C1069))),Variables!$B$1:$D$1,0),1))*(AV1069/365))+(INDEX(Variables!$B$8:$D$8,IFERROR(MATCH(IF($B1069="Robusta","Robusta",(IF($B1069="","Arabica",$B1069))&amp;" - "&amp;(IF($C1069="","Commercial",$C1069))),Variables!$B$1:$D$1,0),1))*L1069/16.67)),""))</f>
        <v>-2.4955488795615905</v>
      </c>
      <c r="AX1069" s="9"/>
      <c r="AY1069" s="12"/>
      <c r="AZ1069" s="10"/>
      <c r="BA1069" s="9"/>
      <c r="BB1069" s="10"/>
      <c r="BC1069" s="9"/>
      <c r="BD1069" s="9"/>
      <c r="BE1069" s="9"/>
      <c r="BF1069" s="9"/>
    </row>
    <row r="1070" spans="1:58" x14ac:dyDescent="0.25">
      <c r="A1070" s="9" t="s">
        <v>84</v>
      </c>
      <c r="B1070" s="9" t="s">
        <v>85</v>
      </c>
      <c r="C1070" s="9" t="s">
        <v>1486</v>
      </c>
      <c r="D1070" s="10">
        <v>45733</v>
      </c>
      <c r="E1070" s="10">
        <v>45748</v>
      </c>
      <c r="F1070" s="10">
        <v>45777</v>
      </c>
      <c r="G1070" s="9">
        <v>3786847</v>
      </c>
      <c r="H1070" s="9" t="str">
        <f t="shared" si="98"/>
        <v>Open</v>
      </c>
      <c r="I1070" s="9" t="str">
        <f t="shared" si="99"/>
        <v>No sailing date and No shipping advice sent and No docs dispatch date</v>
      </c>
      <c r="J1070" s="9" t="s">
        <v>2290</v>
      </c>
      <c r="K1070" s="9"/>
      <c r="L1070" s="11">
        <v>29</v>
      </c>
      <c r="M1070" s="9" t="s">
        <v>2291</v>
      </c>
      <c r="N1070" s="9"/>
      <c r="O1070" s="9"/>
      <c r="P1070" s="9"/>
      <c r="Q1070" s="11">
        <v>62.8</v>
      </c>
      <c r="R1070" s="9" t="s">
        <v>195</v>
      </c>
      <c r="S1070" s="9"/>
      <c r="T1070" s="12">
        <f>IF($H1070="Cancelled","",IFERROR(((Q1070+INDEX(Variables!$B$6:$D$6,IFERROR(MATCH(IF($B1070="Robusta","Robusta",(IF($B1070="","Arabica",$B1070))&amp;" - "&amp;(IF($C1070="","Commercial",$C1070))),Variables!$B$1:$D$1,0),1)))*22.0462)*(L1070/16.67),""))</f>
        <v>13561.520892621475</v>
      </c>
      <c r="U1070" s="10"/>
      <c r="V1070" s="9" t="str">
        <f t="shared" si="101"/>
        <v/>
      </c>
      <c r="W1070" s="10"/>
      <c r="X1070" s="9" t="str">
        <f t="shared" si="102"/>
        <v/>
      </c>
      <c r="Y1070" s="10"/>
      <c r="Z1070" s="10">
        <f>IF($H1070="Cancelled","",IFERROR(IF(F1070="","",F1070-Variables!$B$13),""))</f>
        <v>45762</v>
      </c>
      <c r="AA1070" s="11" t="str">
        <f>IF($H1070="Cancelled","",IFERROR(IF(W1070="","",(AVERAGE(E1070:F1070)-W1070)-Variables!$B$14),""))</f>
        <v/>
      </c>
      <c r="AB1070" s="10"/>
      <c r="AC1070" s="11" t="str">
        <f>IF($H1070="Cancelled","",IFERROR(IF(AB1070="","",IF(AND(W1070="",Y1070=""),"",IF(Y1070&gt;W1070,Y1070+Variables!$B$15+Variables!$B$16+Variables!$B$17-AB1070,W1070+Variables!$B$16+Variables!$B$17-AB1070))),""))</f>
        <v/>
      </c>
      <c r="AD1070" s="9"/>
      <c r="AE1070" s="9"/>
      <c r="AF1070" s="10"/>
      <c r="AG1070" s="10"/>
      <c r="AH1070" s="9"/>
      <c r="AI1070" s="9"/>
      <c r="AJ1070" s="9"/>
      <c r="AK1070" s="10"/>
      <c r="AL1070" s="10"/>
      <c r="AM1070" s="10"/>
      <c r="AN1070" s="9" t="s">
        <v>2292</v>
      </c>
      <c r="AO1070" s="9"/>
      <c r="AP1070" s="11" t="str">
        <f>IF($H1070="Cancelled","",IFERROR(IF(OR(AK1070="",AB1070=""),"",(AB1070+Variables!$B$18-AK1070)),""))</f>
        <v/>
      </c>
      <c r="AQ1070" s="11" t="str">
        <f>IF($H1070="Cancelled","",IFERROR(IF(OR(AM1070="",AK1070=""),"",(AK1070+Variables!$B$19)-AM1070),""))</f>
        <v/>
      </c>
      <c r="AR1070" s="12" t="str">
        <f>IF($H1070="Cancelled","",IFERROR(T1070*INDEX(Variables!$B$7:$D$7,IFERROR(MATCH(IF($B1070="Robusta","Robusta",(IF($B1070="","Arabica",$B1070))&amp;" - "&amp;(IF($C1070="","Commercial",$C1070))),Variables!$B$1:$D$1,0),1))*(AQ1070/365),""))</f>
        <v/>
      </c>
      <c r="AS1070" s="12" t="str">
        <f>IF($H1070="Cancelled","",IFERROR((T1070*INDEX(Variables!$B$7:$D$7,IFERROR(MATCH(IF($B1070="Robusta","Robusta",(IF($B1070="","Arabica",$B1070))&amp;" - "&amp;(IF($C1070="","Commercial",$C1070))),Variables!$B$1:$D$1,0),1))*IFERROR(IF(W1070="","",(AVERAGE(E1070:F1070)-W1070)-Variables!$B$14),"")/365)+(L1070/16.67*INDEX(Variables!$B$8:$D$8,IFERROR(MATCH(IF($B1070="Robusta","Robusta",(IF($B1070="","Arabica",$B1070))&amp;" - "&amp;(IF($C1070="","Commercial",$C1070))),Variables!$B$1:$D$1,0),1))*IFERROR(IF(W1070="","",(AVERAGE(E1070:F1070)-W1070)-Variables!$B$14),""))+(T1070*INDEX(Variables!$B$9:$D$9,IFERROR(MATCH(IF($B1070="Robusta","Robusta",(IF($B1070="","Arabica",$B1070))&amp;" - "&amp;(IF($C1070="","Commercial",$C1070))),Variables!$B$1:$D$1,0),1))*IFERROR(IF(W1070="","",(AVERAGE(E1070:F1070)-W1070)-Variables!$B$14),"")/365),""))</f>
        <v/>
      </c>
      <c r="AT1070" s="12" t="str">
        <f>IF($H1070="Cancelled","",IFERROR((T1070*INDEX(Variables!$B$7:$D$7,IFERROR(MATCH(IF($B1070="Robusta","Robusta",(IF($B1070="","Arabica",$B1070))&amp;" - "&amp;(IF($C1070="","Commercial",$C1070))),Variables!$B$1:$D$1,0),1))*AC1070/365)+(L1070/16.67*INDEX(Variables!$B$8:$D$8,IFERROR(MATCH(IF($B1070="Robusta","Robusta",(IF($B1070="","Arabica",$B1070))&amp;" - "&amp;(IF($C1070="","Commercial",$C1070))),Variables!$B$1:$D$1,0),1))*AC1070)+(T1070*INDEX(Variables!$B$9:$D$9,IFERROR(MATCH(IF($B1070="Robusta","Robusta",(IF($B1070="","Arabica",$B1070))&amp;" - "&amp;(IF($C1070="","Commercial",$C1070))),Variables!$B$1:$D$1,0),1))*AC1070/365),""))</f>
        <v/>
      </c>
      <c r="AU1070" s="12" t="str">
        <f>IF($H1070="Cancelled","",IFERROR((T1070*INDEX(Variables!$B$7:$D$7,IFERROR(MATCH(IF($B1070="Robusta","Robusta",(IF($B1070="","Arabica",$B1070))&amp;" - "&amp;(IF($C1070="","Commercial",$C1070))),Variables!$B$1:$D$1,0),1))*AP1070/365)+(L1070/16.67*INDEX(Variables!$B$8:$D$8,IFERROR(MATCH(IF($B1070="Robusta","Robusta",(IF($B1070="","Arabica",$B1070))&amp;" - "&amp;(IF($C1070="","Commercial",$C1070))),Variables!$B$1:$D$1,0),1))*AP1070)+(T1070*INDEX(Variables!$B$9:$D$9,IFERROR(MATCH(IF($B1070="Robusta","Robusta",(IF($B1070="","Arabica",$B1070))&amp;" - "&amp;(IF($C1070="","Commercial",$C1070))),Variables!$B$1:$D$1,0),1))*AP1070/365),""))</f>
        <v/>
      </c>
      <c r="AV1070" s="11" t="str">
        <f t="shared" si="100"/>
        <v/>
      </c>
      <c r="AW1070" s="12" t="str">
        <f>IF($H1070="Cancelled","",IFERROR(IF(AV1070="","",(T1070*INDEX(Variables!$B$7:$D$7,IFERROR(MATCH(IF($B1070="Robusta","Robusta",(IF($B1070="","Arabica",$B1070))&amp;" - "&amp;(IF($C1070="","Commercial",$C1070))),Variables!$B$1:$D$1,0),1))*(AV1070/365))+(T1070*INDEX(Variables!$B$9:$D$9,IFERROR(MATCH(IF($B1070="Robusta","Robusta",(IF($B1070="","Arabica",$B1070))&amp;" - "&amp;(IF($C1070="","Commercial",$C1070))),Variables!$B$1:$D$1,0),1))*(AV1070/365))+(INDEX(Variables!$B$8:$D$8,IFERROR(MATCH(IF($B1070="Robusta","Robusta",(IF($B1070="","Arabica",$B1070))&amp;" - "&amp;(IF($C1070="","Commercial",$C1070))),Variables!$B$1:$D$1,0),1))*L1070/16.67)),""))</f>
        <v/>
      </c>
      <c r="AX1070" s="9"/>
      <c r="AY1070" s="12"/>
      <c r="AZ1070" s="10"/>
      <c r="BA1070" s="9"/>
      <c r="BB1070" s="10"/>
      <c r="BC1070" s="9"/>
      <c r="BD1070" s="9"/>
      <c r="BE1070" s="9"/>
      <c r="BF1070" s="9"/>
    </row>
    <row r="1071" spans="1:58" x14ac:dyDescent="0.25">
      <c r="A1071" s="9" t="s">
        <v>84</v>
      </c>
      <c r="B1071" s="9" t="s">
        <v>85</v>
      </c>
      <c r="C1071" s="9" t="s">
        <v>1486</v>
      </c>
      <c r="D1071" s="10">
        <v>45733</v>
      </c>
      <c r="E1071" s="10">
        <v>45748</v>
      </c>
      <c r="F1071" s="10">
        <v>45777</v>
      </c>
      <c r="G1071" s="9">
        <v>3786848</v>
      </c>
      <c r="H1071" s="9" t="str">
        <f t="shared" si="98"/>
        <v>Open</v>
      </c>
      <c r="I1071" s="9" t="str">
        <f t="shared" si="99"/>
        <v>No sailing date and No shipping advice sent and No docs dispatch date</v>
      </c>
      <c r="J1071" s="9" t="s">
        <v>2290</v>
      </c>
      <c r="K1071" s="9"/>
      <c r="L1071" s="11">
        <v>29</v>
      </c>
      <c r="M1071" s="9" t="s">
        <v>2293</v>
      </c>
      <c r="N1071" s="9"/>
      <c r="O1071" s="9"/>
      <c r="P1071" s="9"/>
      <c r="Q1071" s="11">
        <v>62.8</v>
      </c>
      <c r="R1071" s="9" t="s">
        <v>195</v>
      </c>
      <c r="S1071" s="9"/>
      <c r="T1071" s="12">
        <f>IF($H1071="Cancelled","",IFERROR(((Q1071+INDEX(Variables!$B$6:$D$6,IFERROR(MATCH(IF($B1071="Robusta","Robusta",(IF($B1071="","Arabica",$B1071))&amp;" - "&amp;(IF($C1071="","Commercial",$C1071))),Variables!$B$1:$D$1,0),1)))*22.0462)*(L1071/16.67),""))</f>
        <v>13561.520892621475</v>
      </c>
      <c r="U1071" s="10"/>
      <c r="V1071" s="9" t="str">
        <f t="shared" si="101"/>
        <v/>
      </c>
      <c r="W1071" s="10"/>
      <c r="X1071" s="9" t="str">
        <f t="shared" si="102"/>
        <v/>
      </c>
      <c r="Y1071" s="10"/>
      <c r="Z1071" s="10">
        <f>IF($H1071="Cancelled","",IFERROR(IF(F1071="","",F1071-Variables!$B$13),""))</f>
        <v>45762</v>
      </c>
      <c r="AA1071" s="11" t="str">
        <f>IF($H1071="Cancelled","",IFERROR(IF(W1071="","",(AVERAGE(E1071:F1071)-W1071)-Variables!$B$14),""))</f>
        <v/>
      </c>
      <c r="AB1071" s="10"/>
      <c r="AC1071" s="11" t="str">
        <f>IF($H1071="Cancelled","",IFERROR(IF(AB1071="","",IF(AND(W1071="",Y1071=""),"",IF(Y1071&gt;W1071,Y1071+Variables!$B$15+Variables!$B$16+Variables!$B$17-AB1071,W1071+Variables!$B$16+Variables!$B$17-AB1071))),""))</f>
        <v/>
      </c>
      <c r="AD1071" s="9"/>
      <c r="AE1071" s="9"/>
      <c r="AF1071" s="10"/>
      <c r="AG1071" s="10"/>
      <c r="AH1071" s="9"/>
      <c r="AI1071" s="9"/>
      <c r="AJ1071" s="9"/>
      <c r="AK1071" s="10"/>
      <c r="AL1071" s="10"/>
      <c r="AM1071" s="10"/>
      <c r="AN1071" s="9" t="s">
        <v>2292</v>
      </c>
      <c r="AO1071" s="9"/>
      <c r="AP1071" s="11" t="str">
        <f>IF($H1071="Cancelled","",IFERROR(IF(OR(AK1071="",AB1071=""),"",(AB1071+Variables!$B$18-AK1071)),""))</f>
        <v/>
      </c>
      <c r="AQ1071" s="11" t="str">
        <f>IF($H1071="Cancelled","",IFERROR(IF(OR(AM1071="",AK1071=""),"",(AK1071+Variables!$B$19)-AM1071),""))</f>
        <v/>
      </c>
      <c r="AR1071" s="12" t="str">
        <f>IF($H1071="Cancelled","",IFERROR(T1071*INDEX(Variables!$B$7:$D$7,IFERROR(MATCH(IF($B1071="Robusta","Robusta",(IF($B1071="","Arabica",$B1071))&amp;" - "&amp;(IF($C1071="","Commercial",$C1071))),Variables!$B$1:$D$1,0),1))*(AQ1071/365),""))</f>
        <v/>
      </c>
      <c r="AS1071" s="12" t="str">
        <f>IF($H1071="Cancelled","",IFERROR((T1071*INDEX(Variables!$B$7:$D$7,IFERROR(MATCH(IF($B1071="Robusta","Robusta",(IF($B1071="","Arabica",$B1071))&amp;" - "&amp;(IF($C1071="","Commercial",$C1071))),Variables!$B$1:$D$1,0),1))*IFERROR(IF(W1071="","",(AVERAGE(E1071:F1071)-W1071)-Variables!$B$14),"")/365)+(L1071/16.67*INDEX(Variables!$B$8:$D$8,IFERROR(MATCH(IF($B1071="Robusta","Robusta",(IF($B1071="","Arabica",$B1071))&amp;" - "&amp;(IF($C1071="","Commercial",$C1071))),Variables!$B$1:$D$1,0),1))*IFERROR(IF(W1071="","",(AVERAGE(E1071:F1071)-W1071)-Variables!$B$14),""))+(T1071*INDEX(Variables!$B$9:$D$9,IFERROR(MATCH(IF($B1071="Robusta","Robusta",(IF($B1071="","Arabica",$B1071))&amp;" - "&amp;(IF($C1071="","Commercial",$C1071))),Variables!$B$1:$D$1,0),1))*IFERROR(IF(W1071="","",(AVERAGE(E1071:F1071)-W1071)-Variables!$B$14),"")/365),""))</f>
        <v/>
      </c>
      <c r="AT1071" s="12" t="str">
        <f>IF($H1071="Cancelled","",IFERROR((T1071*INDEX(Variables!$B$7:$D$7,IFERROR(MATCH(IF($B1071="Robusta","Robusta",(IF($B1071="","Arabica",$B1071))&amp;" - "&amp;(IF($C1071="","Commercial",$C1071))),Variables!$B$1:$D$1,0),1))*AC1071/365)+(L1071/16.67*INDEX(Variables!$B$8:$D$8,IFERROR(MATCH(IF($B1071="Robusta","Robusta",(IF($B1071="","Arabica",$B1071))&amp;" - "&amp;(IF($C1071="","Commercial",$C1071))),Variables!$B$1:$D$1,0),1))*AC1071)+(T1071*INDEX(Variables!$B$9:$D$9,IFERROR(MATCH(IF($B1071="Robusta","Robusta",(IF($B1071="","Arabica",$B1071))&amp;" - "&amp;(IF($C1071="","Commercial",$C1071))),Variables!$B$1:$D$1,0),1))*AC1071/365),""))</f>
        <v/>
      </c>
      <c r="AU1071" s="12" t="str">
        <f>IF($H1071="Cancelled","",IFERROR((T1071*INDEX(Variables!$B$7:$D$7,IFERROR(MATCH(IF($B1071="Robusta","Robusta",(IF($B1071="","Arabica",$B1071))&amp;" - "&amp;(IF($C1071="","Commercial",$C1071))),Variables!$B$1:$D$1,0),1))*AP1071/365)+(L1071/16.67*INDEX(Variables!$B$8:$D$8,IFERROR(MATCH(IF($B1071="Robusta","Robusta",(IF($B1071="","Arabica",$B1071))&amp;" - "&amp;(IF($C1071="","Commercial",$C1071))),Variables!$B$1:$D$1,0),1))*AP1071)+(T1071*INDEX(Variables!$B$9:$D$9,IFERROR(MATCH(IF($B1071="Robusta","Robusta",(IF($B1071="","Arabica",$B1071))&amp;" - "&amp;(IF($C1071="","Commercial",$C1071))),Variables!$B$1:$D$1,0),1))*AP1071/365),""))</f>
        <v/>
      </c>
      <c r="AV1071" s="11" t="str">
        <f t="shared" si="100"/>
        <v/>
      </c>
      <c r="AW1071" s="12" t="str">
        <f>IF($H1071="Cancelled","",IFERROR(IF(AV1071="","",(T1071*INDEX(Variables!$B$7:$D$7,IFERROR(MATCH(IF($B1071="Robusta","Robusta",(IF($B1071="","Arabica",$B1071))&amp;" - "&amp;(IF($C1071="","Commercial",$C1071))),Variables!$B$1:$D$1,0),1))*(AV1071/365))+(T1071*INDEX(Variables!$B$9:$D$9,IFERROR(MATCH(IF($B1071="Robusta","Robusta",(IF($B1071="","Arabica",$B1071))&amp;" - "&amp;(IF($C1071="","Commercial",$C1071))),Variables!$B$1:$D$1,0),1))*(AV1071/365))+(INDEX(Variables!$B$8:$D$8,IFERROR(MATCH(IF($B1071="Robusta","Robusta",(IF($B1071="","Arabica",$B1071))&amp;" - "&amp;(IF($C1071="","Commercial",$C1071))),Variables!$B$1:$D$1,0),1))*L1071/16.67)),""))</f>
        <v/>
      </c>
      <c r="AX1071" s="9"/>
      <c r="AY1071" s="12"/>
      <c r="AZ1071" s="10"/>
      <c r="BA1071" s="9"/>
      <c r="BB1071" s="10"/>
      <c r="BC1071" s="9"/>
      <c r="BD1071" s="9"/>
      <c r="BE1071" s="9"/>
      <c r="BF1071" s="9"/>
    </row>
    <row r="1072" spans="1:58" x14ac:dyDescent="0.25">
      <c r="A1072" s="9" t="s">
        <v>84</v>
      </c>
      <c r="B1072" s="9" t="s">
        <v>85</v>
      </c>
      <c r="C1072" s="9" t="s">
        <v>1486</v>
      </c>
      <c r="D1072" s="10">
        <v>45737</v>
      </c>
      <c r="E1072" s="10">
        <v>45748</v>
      </c>
      <c r="F1072" s="10">
        <v>45777</v>
      </c>
      <c r="G1072" s="9">
        <v>3786858</v>
      </c>
      <c r="H1072" s="9" t="str">
        <f t="shared" si="98"/>
        <v>Closed</v>
      </c>
      <c r="I1072" s="9" t="str">
        <f t="shared" si="99"/>
        <v>All dates received</v>
      </c>
      <c r="J1072" s="9" t="s">
        <v>1592</v>
      </c>
      <c r="K1072" s="9" t="s">
        <v>2294</v>
      </c>
      <c r="L1072" s="11">
        <v>5</v>
      </c>
      <c r="M1072" s="9" t="s">
        <v>2295</v>
      </c>
      <c r="N1072" s="9"/>
      <c r="O1072" s="9"/>
      <c r="P1072" s="9"/>
      <c r="Q1072" s="11">
        <v>111</v>
      </c>
      <c r="R1072" s="9" t="s">
        <v>195</v>
      </c>
      <c r="S1072" s="9" t="s">
        <v>578</v>
      </c>
      <c r="T1072" s="12">
        <f>IF($H1072="Cancelled","",IFERROR(((Q1072+INDEX(Variables!$B$6:$D$6,IFERROR(MATCH(IF($B1072="Robusta","Robusta",(IF($B1072="","Arabica",$B1072))&amp;" - "&amp;(IF($C1072="","Commercial",$C1072))),Variables!$B$1:$D$1,0),1)))*22.0462)*(L1072/16.67),""))</f>
        <v>2656.9175644871025</v>
      </c>
      <c r="U1072" s="10"/>
      <c r="V1072" s="9" t="str">
        <f t="shared" si="101"/>
        <v/>
      </c>
      <c r="W1072" s="10">
        <v>45732</v>
      </c>
      <c r="X1072" s="9" t="str">
        <f t="shared" si="102"/>
        <v>Approved</v>
      </c>
      <c r="Y1072" s="10">
        <v>45773</v>
      </c>
      <c r="Z1072" s="10">
        <f>IF($H1072="Cancelled","",IFERROR(IF(F1072="","",F1072-Variables!$B$13),""))</f>
        <v>45762</v>
      </c>
      <c r="AA1072" s="11">
        <f>IF($H1072="Cancelled","",IFERROR(IF(W1072="","",(AVERAGE(E1072:F1072)-W1072)-Variables!$B$14),""))</f>
        <v>0.5</v>
      </c>
      <c r="AB1072" s="10">
        <v>45772</v>
      </c>
      <c r="AC1072" s="11">
        <f>IF($H1072="Cancelled","",IFERROR(IF(AB1072="","",IF(AND(W1072="",Y1072=""),"",IF(Y1072&gt;W1072,Y1072+Variables!$B$15+Variables!$B$16+Variables!$B$17-AB1072,W1072+Variables!$B$16+Variables!$B$17-AB1072))),""))</f>
        <v>16</v>
      </c>
      <c r="AD1072" s="9" t="s">
        <v>2257</v>
      </c>
      <c r="AE1072" s="9" t="s">
        <v>703</v>
      </c>
      <c r="AF1072" s="10"/>
      <c r="AG1072" s="10"/>
      <c r="AH1072" s="9"/>
      <c r="AI1072" s="9" t="s">
        <v>2258</v>
      </c>
      <c r="AJ1072" s="9" t="s">
        <v>2259</v>
      </c>
      <c r="AK1072" s="10">
        <v>45784</v>
      </c>
      <c r="AL1072" s="10">
        <v>45793</v>
      </c>
      <c r="AM1072" s="10">
        <v>45797</v>
      </c>
      <c r="AN1072" s="9" t="s">
        <v>1492</v>
      </c>
      <c r="AO1072" s="9"/>
      <c r="AP1072" s="11">
        <f>IF($H1072="Cancelled","",IFERROR(IF(OR(AK1072="",AB1072=""),"",(AB1072+Variables!$B$18-AK1072)),""))</f>
        <v>-5</v>
      </c>
      <c r="AQ1072" s="11">
        <f>IF($H1072="Cancelled","",IFERROR(IF(OR(AM1072="",AK1072=""),"",(AK1072+Variables!$B$19)-AM1072),""))</f>
        <v>-8</v>
      </c>
      <c r="AR1072" s="12">
        <f>IF($H1072="Cancelled","",IFERROR(T1072*INDEX(Variables!$B$7:$D$7,IFERROR(MATCH(IF($B1072="Robusta","Robusta",(IF($B1072="","Arabica",$B1072))&amp;" - "&amp;(IF($C1072="","Commercial",$C1072))),Variables!$B$1:$D$1,0),1))*(AQ1072/365),""))</f>
        <v>-3.7550441594908546</v>
      </c>
      <c r="AS1072" s="12">
        <f>IF($H1072="Cancelled","",IFERROR((T1072*INDEX(Variables!$B$7:$D$7,IFERROR(MATCH(IF($B1072="Robusta","Robusta",(IF($B1072="","Arabica",$B1072))&amp;" - "&amp;(IF($C1072="","Commercial",$C1072))),Variables!$B$1:$D$1,0),1))*IFERROR(IF(W1072="","",(AVERAGE(E1072:F1072)-W1072)-Variables!$B$14),"")/365)+(L1072/16.67*INDEX(Variables!$B$8:$D$8,IFERROR(MATCH(IF($B1072="Robusta","Robusta",(IF($B1072="","Arabica",$B1072))&amp;" - "&amp;(IF($C1072="","Commercial",$C1072))),Variables!$B$1:$D$1,0),1))*IFERROR(IF(W1072="","",(AVERAGE(E1072:F1072)-W1072)-Variables!$B$14),""))+(T1072*INDEX(Variables!$B$9:$D$9,IFERROR(MATCH(IF($B1072="Robusta","Robusta",(IF($B1072="","Arabica",$B1072))&amp;" - "&amp;(IF($C1072="","Commercial",$C1072))),Variables!$B$1:$D$1,0),1))*IFERROR(IF(W1072="","",(AVERAGE(E1072:F1072)-W1072)-Variables!$B$14),"")/365),""))</f>
        <v>0.36271587033990182</v>
      </c>
      <c r="AT1072" s="12">
        <f>IF($H1072="Cancelled","",IFERROR((T1072*INDEX(Variables!$B$7:$D$7,IFERROR(MATCH(IF($B1072="Robusta","Robusta",(IF($B1072="","Arabica",$B1072))&amp;" - "&amp;(IF($C1072="","Commercial",$C1072))),Variables!$B$1:$D$1,0),1))*AC1072/365)+(L1072/16.67*INDEX(Variables!$B$8:$D$8,IFERROR(MATCH(IF($B1072="Robusta","Robusta",(IF($B1072="","Arabica",$B1072))&amp;" - "&amp;(IF($C1072="","Commercial",$C1072))),Variables!$B$1:$D$1,0),1))*AC1072)+(T1072*INDEX(Variables!$B$9:$D$9,IFERROR(MATCH(IF($B1072="Robusta","Robusta",(IF($B1072="","Arabica",$B1072))&amp;" - "&amp;(IF($C1072="","Commercial",$C1072))),Variables!$B$1:$D$1,0),1))*AC1072/365),""))</f>
        <v>11.606907850876858</v>
      </c>
      <c r="AU1072" s="12">
        <f>IF($H1072="Cancelled","",IFERROR((T1072*INDEX(Variables!$B$7:$D$7,IFERROR(MATCH(IF($B1072="Robusta","Robusta",(IF($B1072="","Arabica",$B1072))&amp;" - "&amp;(IF($C1072="","Commercial",$C1072))),Variables!$B$1:$D$1,0),1))*AP1072/365)+(L1072/16.67*INDEX(Variables!$B$8:$D$8,IFERROR(MATCH(IF($B1072="Robusta","Robusta",(IF($B1072="","Arabica",$B1072))&amp;" - "&amp;(IF($C1072="","Commercial",$C1072))),Variables!$B$1:$D$1,0),1))*AP1072)+(T1072*INDEX(Variables!$B$9:$D$9,IFERROR(MATCH(IF($B1072="Robusta","Robusta",(IF($B1072="","Arabica",$B1072))&amp;" - "&amp;(IF($C1072="","Commercial",$C1072))),Variables!$B$1:$D$1,0),1))*AP1072/365),""))</f>
        <v>-3.6271587033990187</v>
      </c>
      <c r="AV1072" s="11">
        <f t="shared" si="100"/>
        <v>-7</v>
      </c>
      <c r="AW1072" s="12">
        <f>IF($H1072="Cancelled","",IFERROR(IF(AV1072="","",(T1072*INDEX(Variables!$B$7:$D$7,IFERROR(MATCH(IF($B1072="Robusta","Robusta",(IF($B1072="","Arabica",$B1072))&amp;" - "&amp;(IF($C1072="","Commercial",$C1072))),Variables!$B$1:$D$1,0),1))*(AV1072/365))+(T1072*INDEX(Variables!$B$9:$D$9,IFERROR(MATCH(IF($B1072="Robusta","Robusta",(IF($B1072="","Arabica",$B1072))&amp;" - "&amp;(IF($C1072="","Commercial",$C1072))),Variables!$B$1:$D$1,0),1))*(AV1072/365))+(INDEX(Variables!$B$8:$D$8,IFERROR(MATCH(IF($B1072="Robusta","Robusta",(IF($B1072="","Arabica",$B1072))&amp;" - "&amp;(IF($C1072="","Commercial",$C1072))),Variables!$B$1:$D$1,0),1))*L1072/16.67)),""))</f>
        <v>-3.0780221847586264</v>
      </c>
      <c r="AX1072" s="9"/>
      <c r="AY1072" s="12"/>
      <c r="AZ1072" s="10"/>
      <c r="BA1072" s="9"/>
      <c r="BB1072" s="10"/>
      <c r="BC1072" s="9"/>
      <c r="BD1072" s="9"/>
      <c r="BE1072" s="9"/>
      <c r="BF1072" s="9"/>
    </row>
    <row r="1073" spans="1:58" x14ac:dyDescent="0.25">
      <c r="A1073" s="9" t="s">
        <v>84</v>
      </c>
      <c r="B1073" s="9" t="s">
        <v>85</v>
      </c>
      <c r="C1073" s="9" t="s">
        <v>1486</v>
      </c>
      <c r="D1073" s="10">
        <v>45737</v>
      </c>
      <c r="E1073" s="10">
        <v>45748</v>
      </c>
      <c r="F1073" s="10">
        <v>45777</v>
      </c>
      <c r="G1073" s="9">
        <v>3786859</v>
      </c>
      <c r="H1073" s="9" t="str">
        <f t="shared" si="98"/>
        <v>Closed</v>
      </c>
      <c r="I1073" s="9" t="str">
        <f t="shared" si="99"/>
        <v>All dates received</v>
      </c>
      <c r="J1073" s="9" t="s">
        <v>1592</v>
      </c>
      <c r="K1073" s="9" t="s">
        <v>2296</v>
      </c>
      <c r="L1073" s="11">
        <v>5</v>
      </c>
      <c r="M1073" s="9" t="s">
        <v>2297</v>
      </c>
      <c r="N1073" s="9"/>
      <c r="O1073" s="9"/>
      <c r="P1073" s="9"/>
      <c r="Q1073" s="11">
        <v>120</v>
      </c>
      <c r="R1073" s="9" t="s">
        <v>195</v>
      </c>
      <c r="S1073" s="9" t="s">
        <v>578</v>
      </c>
      <c r="T1073" s="12">
        <f>IF($H1073="Cancelled","",IFERROR(((Q1073+INDEX(Variables!$B$6:$D$6,IFERROR(MATCH(IF($B1073="Robusta","Robusta",(IF($B1073="","Arabica",$B1073))&amp;" - "&amp;(IF($C1073="","Commercial",$C1073))),Variables!$B$1:$D$1,0),1)))*22.0462)*(L1073/16.67),""))</f>
        <v>2716.4304019196156</v>
      </c>
      <c r="U1073" s="10"/>
      <c r="V1073" s="9" t="str">
        <f t="shared" si="101"/>
        <v/>
      </c>
      <c r="W1073" s="10">
        <v>45732</v>
      </c>
      <c r="X1073" s="9" t="str">
        <f t="shared" si="102"/>
        <v>Approved</v>
      </c>
      <c r="Y1073" s="10">
        <v>45773</v>
      </c>
      <c r="Z1073" s="10">
        <f>IF($H1073="Cancelled","",IFERROR(IF(F1073="","",F1073-Variables!$B$13),""))</f>
        <v>45762</v>
      </c>
      <c r="AA1073" s="11">
        <f>IF($H1073="Cancelled","",IFERROR(IF(W1073="","",(AVERAGE(E1073:F1073)-W1073)-Variables!$B$14),""))</f>
        <v>0.5</v>
      </c>
      <c r="AB1073" s="10">
        <v>45772</v>
      </c>
      <c r="AC1073" s="11">
        <f>IF($H1073="Cancelled","",IFERROR(IF(AB1073="","",IF(AND(W1073="",Y1073=""),"",IF(Y1073&gt;W1073,Y1073+Variables!$B$15+Variables!$B$16+Variables!$B$17-AB1073,W1073+Variables!$B$16+Variables!$B$17-AB1073))),""))</f>
        <v>16</v>
      </c>
      <c r="AD1073" s="9" t="s">
        <v>2257</v>
      </c>
      <c r="AE1073" s="9" t="s">
        <v>703</v>
      </c>
      <c r="AF1073" s="10"/>
      <c r="AG1073" s="10"/>
      <c r="AH1073" s="9"/>
      <c r="AI1073" s="9" t="s">
        <v>2258</v>
      </c>
      <c r="AJ1073" s="9" t="s">
        <v>2259</v>
      </c>
      <c r="AK1073" s="10">
        <v>45784</v>
      </c>
      <c r="AL1073" s="10">
        <v>45793</v>
      </c>
      <c r="AM1073" s="10">
        <v>45797</v>
      </c>
      <c r="AN1073" s="9" t="s">
        <v>1492</v>
      </c>
      <c r="AO1073" s="9"/>
      <c r="AP1073" s="11">
        <f>IF($H1073="Cancelled","",IFERROR(IF(OR(AK1073="",AB1073=""),"",(AB1073+Variables!$B$18-AK1073)),""))</f>
        <v>-5</v>
      </c>
      <c r="AQ1073" s="11">
        <f>IF($H1073="Cancelled","",IFERROR(IF(OR(AM1073="",AK1073=""),"",(AK1073+Variables!$B$19)-AM1073),""))</f>
        <v>-8</v>
      </c>
      <c r="AR1073" s="12">
        <f>IF($H1073="Cancelled","",IFERROR(T1073*INDEX(Variables!$B$7:$D$7,IFERROR(MATCH(IF($B1073="Robusta","Robusta",(IF($B1073="","Arabica",$B1073))&amp;" - "&amp;(IF($C1073="","Commercial",$C1073))),Variables!$B$1:$D$1,0),1))*(AQ1073/365),""))</f>
        <v>-3.839154158085722</v>
      </c>
      <c r="AS1073" s="12">
        <f>IF($H1073="Cancelled","",IFERROR((T1073*INDEX(Variables!$B$7:$D$7,IFERROR(MATCH(IF($B1073="Robusta","Robusta",(IF($B1073="","Arabica",$B1073))&amp;" - "&amp;(IF($C1073="","Commercial",$C1073))),Variables!$B$1:$D$1,0),1))*IFERROR(IF(W1073="","",(AVERAGE(E1073:F1073)-W1073)-Variables!$B$14),"")/365)+(L1073/16.67*INDEX(Variables!$B$8:$D$8,IFERROR(MATCH(IF($B1073="Robusta","Robusta",(IF($B1073="","Arabica",$B1073))&amp;" - "&amp;(IF($C1073="","Commercial",$C1073))),Variables!$B$1:$D$1,0),1))*IFERROR(IF(W1073="","",(AVERAGE(E1073:F1073)-W1073)-Variables!$B$14),""))+(T1073*INDEX(Variables!$B$9:$D$9,IFERROR(MATCH(IF($B1073="Robusta","Robusta",(IF($B1073="","Arabica",$B1073))&amp;" - "&amp;(IF($C1073="","Commercial",$C1073))),Variables!$B$1:$D$1,0),1))*IFERROR(IF(W1073="","",(AVERAGE(E1073:F1073)-W1073)-Variables!$B$14),"")/365),""))</f>
        <v>0.36804051651476277</v>
      </c>
      <c r="AT1073" s="12">
        <f>IF($H1073="Cancelled","",IFERROR((T1073*INDEX(Variables!$B$7:$D$7,IFERROR(MATCH(IF($B1073="Robusta","Robusta",(IF($B1073="","Arabica",$B1073))&amp;" - "&amp;(IF($C1073="","Commercial",$C1073))),Variables!$B$1:$D$1,0),1))*AC1073/365)+(L1073/16.67*INDEX(Variables!$B$8:$D$8,IFERROR(MATCH(IF($B1073="Robusta","Robusta",(IF($B1073="","Arabica",$B1073))&amp;" - "&amp;(IF($C1073="","Commercial",$C1073))),Variables!$B$1:$D$1,0),1))*AC1073)+(T1073*INDEX(Variables!$B$9:$D$9,IFERROR(MATCH(IF($B1073="Robusta","Robusta",(IF($B1073="","Arabica",$B1073))&amp;" - "&amp;(IF($C1073="","Commercial",$C1073))),Variables!$B$1:$D$1,0),1))*AC1073/365),""))</f>
        <v>11.777296528472409</v>
      </c>
      <c r="AU1073" s="12">
        <f>IF($H1073="Cancelled","",IFERROR((T1073*INDEX(Variables!$B$7:$D$7,IFERROR(MATCH(IF($B1073="Robusta","Robusta",(IF($B1073="","Arabica",$B1073))&amp;" - "&amp;(IF($C1073="","Commercial",$C1073))),Variables!$B$1:$D$1,0),1))*AP1073/365)+(L1073/16.67*INDEX(Variables!$B$8:$D$8,IFERROR(MATCH(IF($B1073="Robusta","Robusta",(IF($B1073="","Arabica",$B1073))&amp;" - "&amp;(IF($C1073="","Commercial",$C1073))),Variables!$B$1:$D$1,0),1))*AP1073)+(T1073*INDEX(Variables!$B$9:$D$9,IFERROR(MATCH(IF($B1073="Robusta","Robusta",(IF($B1073="","Arabica",$B1073))&amp;" - "&amp;(IF($C1073="","Commercial",$C1073))),Variables!$B$1:$D$1,0),1))*AP1073/365),""))</f>
        <v>-3.6804051651476275</v>
      </c>
      <c r="AV1073" s="11">
        <f t="shared" si="100"/>
        <v>-7</v>
      </c>
      <c r="AW1073" s="12">
        <f>IF($H1073="Cancelled","",IFERROR(IF(AV1073="","",(T1073*INDEX(Variables!$B$7:$D$7,IFERROR(MATCH(IF($B1073="Robusta","Robusta",(IF($B1073="","Arabica",$B1073))&amp;" - "&amp;(IF($C1073="","Commercial",$C1073))),Variables!$B$1:$D$1,0),1))*(AV1073/365))+(T1073*INDEX(Variables!$B$9:$D$9,IFERROR(MATCH(IF($B1073="Robusta","Robusta",(IF($B1073="","Arabica",$B1073))&amp;" - "&amp;(IF($C1073="","Commercial",$C1073))),Variables!$B$1:$D$1,0),1))*(AV1073/365))+(INDEX(Variables!$B$8:$D$8,IFERROR(MATCH(IF($B1073="Robusta","Robusta",(IF($B1073="","Arabica",$B1073))&amp;" - "&amp;(IF($C1073="","Commercial",$C1073))),Variables!$B$1:$D$1,0),1))*L1073/16.67)),""))</f>
        <v>-3.152567231206679</v>
      </c>
      <c r="AX1073" s="9"/>
      <c r="AY1073" s="12"/>
      <c r="AZ1073" s="10"/>
      <c r="BA1073" s="9"/>
      <c r="BB1073" s="10"/>
      <c r="BC1073" s="9"/>
      <c r="BD1073" s="9"/>
      <c r="BE1073" s="9"/>
      <c r="BF1073" s="9"/>
    </row>
    <row r="1074" spans="1:58" x14ac:dyDescent="0.25">
      <c r="A1074" s="9" t="s">
        <v>84</v>
      </c>
      <c r="B1074" s="9" t="s">
        <v>85</v>
      </c>
      <c r="C1074" s="9" t="s">
        <v>1486</v>
      </c>
      <c r="D1074" s="10">
        <v>45737</v>
      </c>
      <c r="E1074" s="10">
        <v>45748</v>
      </c>
      <c r="F1074" s="10">
        <v>45777</v>
      </c>
      <c r="G1074" s="9">
        <v>3786861</v>
      </c>
      <c r="H1074" s="9" t="str">
        <f t="shared" si="98"/>
        <v>Closed</v>
      </c>
      <c r="I1074" s="9" t="str">
        <f t="shared" si="99"/>
        <v>All dates received</v>
      </c>
      <c r="J1074" s="9" t="s">
        <v>2177</v>
      </c>
      <c r="K1074" s="9" t="s">
        <v>2298</v>
      </c>
      <c r="L1074" s="11">
        <v>15</v>
      </c>
      <c r="M1074" s="9" t="s">
        <v>2299</v>
      </c>
      <c r="N1074" s="9"/>
      <c r="O1074" s="9"/>
      <c r="P1074" s="9"/>
      <c r="Q1074" s="11">
        <v>120</v>
      </c>
      <c r="R1074" s="9" t="s">
        <v>195</v>
      </c>
      <c r="S1074" s="9" t="s">
        <v>458</v>
      </c>
      <c r="T1074" s="12">
        <f>IF($H1074="Cancelled","",IFERROR(((Q1074+INDEX(Variables!$B$6:$D$6,IFERROR(MATCH(IF($B1074="Robusta","Robusta",(IF($B1074="","Arabica",$B1074))&amp;" - "&amp;(IF($C1074="","Commercial",$C1074))),Variables!$B$1:$D$1,0),1)))*22.0462)*(L1074/16.67),""))</f>
        <v>8149.2912057588464</v>
      </c>
      <c r="U1074" s="10"/>
      <c r="V1074" s="9" t="str">
        <f t="shared" si="101"/>
        <v/>
      </c>
      <c r="W1074" s="10">
        <v>45732</v>
      </c>
      <c r="X1074" s="9" t="str">
        <f t="shared" si="102"/>
        <v>Approved</v>
      </c>
      <c r="Y1074" s="10">
        <v>45773</v>
      </c>
      <c r="Z1074" s="10">
        <f>IF($H1074="Cancelled","",IFERROR(IF(F1074="","",F1074-Variables!$B$13),""))</f>
        <v>45762</v>
      </c>
      <c r="AA1074" s="11">
        <f>IF($H1074="Cancelled","",IFERROR(IF(W1074="","",(AVERAGE(E1074:F1074)-W1074)-Variables!$B$14),""))</f>
        <v>0.5</v>
      </c>
      <c r="AB1074" s="10">
        <v>45783</v>
      </c>
      <c r="AC1074" s="11">
        <f>IF($H1074="Cancelled","",IFERROR(IF(AB1074="","",IF(AND(W1074="",Y1074=""),"",IF(Y1074&gt;W1074,Y1074+Variables!$B$15+Variables!$B$16+Variables!$B$17-AB1074,W1074+Variables!$B$16+Variables!$B$17-AB1074))),""))</f>
        <v>5</v>
      </c>
      <c r="AD1074" s="9" t="s">
        <v>107</v>
      </c>
      <c r="AE1074" s="9" t="s">
        <v>693</v>
      </c>
      <c r="AF1074" s="10"/>
      <c r="AG1074" s="10"/>
      <c r="AH1074" s="9"/>
      <c r="AI1074" s="9" t="s">
        <v>2180</v>
      </c>
      <c r="AJ1074" s="9" t="s">
        <v>8</v>
      </c>
      <c r="AK1074" s="10">
        <v>45791</v>
      </c>
      <c r="AL1074" s="10">
        <v>45811</v>
      </c>
      <c r="AM1074" s="10">
        <v>45818</v>
      </c>
      <c r="AN1074" s="9" t="s">
        <v>1492</v>
      </c>
      <c r="AO1074" s="9"/>
      <c r="AP1074" s="11">
        <f>IF($H1074="Cancelled","",IFERROR(IF(OR(AK1074="",AB1074=""),"",(AB1074+Variables!$B$18-AK1074)),""))</f>
        <v>-1</v>
      </c>
      <c r="AQ1074" s="11">
        <f>IF($H1074="Cancelled","",IFERROR(IF(OR(AM1074="",AK1074=""),"",(AK1074+Variables!$B$19)-AM1074),""))</f>
        <v>-22</v>
      </c>
      <c r="AR1074" s="12">
        <f>IF($H1074="Cancelled","",IFERROR(T1074*INDEX(Variables!$B$7:$D$7,IFERROR(MATCH(IF($B1074="Robusta","Robusta",(IF($B1074="","Arabica",$B1074))&amp;" - "&amp;(IF($C1074="","Commercial",$C1074))),Variables!$B$1:$D$1,0),1))*(AQ1074/365),""))</f>
        <v>-31.673021804207202</v>
      </c>
      <c r="AS1074" s="12">
        <f>IF($H1074="Cancelled","",IFERROR((T1074*INDEX(Variables!$B$7:$D$7,IFERROR(MATCH(IF($B1074="Robusta","Robusta",(IF($B1074="","Arabica",$B1074))&amp;" - "&amp;(IF($C1074="","Commercial",$C1074))),Variables!$B$1:$D$1,0),1))*IFERROR(IF(W1074="","",(AVERAGE(E1074:F1074)-W1074)-Variables!$B$14),"")/365)+(L1074/16.67*INDEX(Variables!$B$8:$D$8,IFERROR(MATCH(IF($B1074="Robusta","Robusta",(IF($B1074="","Arabica",$B1074))&amp;" - "&amp;(IF($C1074="","Commercial",$C1074))),Variables!$B$1:$D$1,0),1))*IFERROR(IF(W1074="","",(AVERAGE(E1074:F1074)-W1074)-Variables!$B$14),""))+(T1074*INDEX(Variables!$B$9:$D$9,IFERROR(MATCH(IF($B1074="Robusta","Robusta",(IF($B1074="","Arabica",$B1074))&amp;" - "&amp;(IF($C1074="","Commercial",$C1074))),Variables!$B$1:$D$1,0),1))*IFERROR(IF(W1074="","",(AVERAGE(E1074:F1074)-W1074)-Variables!$B$14),"")/365),""))</f>
        <v>1.1041215495442884</v>
      </c>
      <c r="AT1074" s="12">
        <f>IF($H1074="Cancelled","",IFERROR((T1074*INDEX(Variables!$B$7:$D$7,IFERROR(MATCH(IF($B1074="Robusta","Robusta",(IF($B1074="","Arabica",$B1074))&amp;" - "&amp;(IF($C1074="","Commercial",$C1074))),Variables!$B$1:$D$1,0),1))*AC1074/365)+(L1074/16.67*INDEX(Variables!$B$8:$D$8,IFERROR(MATCH(IF($B1074="Robusta","Robusta",(IF($B1074="","Arabica",$B1074))&amp;" - "&amp;(IF($C1074="","Commercial",$C1074))),Variables!$B$1:$D$1,0),1))*AC1074)+(T1074*INDEX(Variables!$B$9:$D$9,IFERROR(MATCH(IF($B1074="Robusta","Robusta",(IF($B1074="","Arabica",$B1074))&amp;" - "&amp;(IF($C1074="","Commercial",$C1074))),Variables!$B$1:$D$1,0),1))*AC1074/365),""))</f>
        <v>11.041215495442884</v>
      </c>
      <c r="AU1074" s="12">
        <f>IF($H1074="Cancelled","",IFERROR((T1074*INDEX(Variables!$B$7:$D$7,IFERROR(MATCH(IF($B1074="Robusta","Robusta",(IF($B1074="","Arabica",$B1074))&amp;" - "&amp;(IF($C1074="","Commercial",$C1074))),Variables!$B$1:$D$1,0),1))*AP1074/365)+(L1074/16.67*INDEX(Variables!$B$8:$D$8,IFERROR(MATCH(IF($B1074="Robusta","Robusta",(IF($B1074="","Arabica",$B1074))&amp;" - "&amp;(IF($C1074="","Commercial",$C1074))),Variables!$B$1:$D$1,0),1))*AP1074)+(T1074*INDEX(Variables!$B$9:$D$9,IFERROR(MATCH(IF($B1074="Robusta","Robusta",(IF($B1074="","Arabica",$B1074))&amp;" - "&amp;(IF($C1074="","Commercial",$C1074))),Variables!$B$1:$D$1,0),1))*AP1074/365),""))</f>
        <v>-2.2082430990885769</v>
      </c>
      <c r="AV1074" s="11">
        <f t="shared" si="100"/>
        <v>-14</v>
      </c>
      <c r="AW1074" s="12">
        <f>IF($H1074="Cancelled","",IFERROR(IF(AV1074="","",(T1074*INDEX(Variables!$B$7:$D$7,IFERROR(MATCH(IF($B1074="Robusta","Robusta",(IF($B1074="","Arabica",$B1074))&amp;" - "&amp;(IF($C1074="","Commercial",$C1074))),Variables!$B$1:$D$1,0),1))*(AV1074/365))+(T1074*INDEX(Variables!$B$9:$D$9,IFERROR(MATCH(IF($B1074="Robusta","Robusta",(IF($B1074="","Arabica",$B1074))&amp;" - "&amp;(IF($C1074="","Commercial",$C1074))),Variables!$B$1:$D$1,0),1))*(AV1074/365))+(INDEX(Variables!$B$8:$D$8,IFERROR(MATCH(IF($B1074="Robusta","Robusta",(IF($B1074="","Arabica",$B1074))&amp;" - "&amp;(IF($C1074="","Commercial",$C1074))),Variables!$B$1:$D$1,0),1))*L1074/16.67)),""))</f>
        <v>-19.665403387240072</v>
      </c>
      <c r="AX1074" s="9"/>
      <c r="AY1074" s="12"/>
      <c r="AZ1074" s="10"/>
      <c r="BA1074" s="9"/>
      <c r="BB1074" s="10"/>
      <c r="BC1074" s="9"/>
      <c r="BD1074" s="9"/>
      <c r="BE1074" s="9"/>
      <c r="BF1074" s="9"/>
    </row>
    <row r="1075" spans="1:58" x14ac:dyDescent="0.25">
      <c r="A1075" s="9" t="s">
        <v>84</v>
      </c>
      <c r="B1075" s="9" t="s">
        <v>85</v>
      </c>
      <c r="C1075" s="9" t="s">
        <v>1486</v>
      </c>
      <c r="D1075" s="10">
        <v>45737</v>
      </c>
      <c r="E1075" s="10">
        <v>45748</v>
      </c>
      <c r="F1075" s="10">
        <v>45777</v>
      </c>
      <c r="G1075" s="9">
        <v>3786862</v>
      </c>
      <c r="H1075" s="9" t="str">
        <f t="shared" si="98"/>
        <v>Closed</v>
      </c>
      <c r="I1075" s="9" t="str">
        <f t="shared" si="99"/>
        <v>All dates received</v>
      </c>
      <c r="J1075" s="9" t="s">
        <v>1095</v>
      </c>
      <c r="K1075" s="9" t="s">
        <v>2300</v>
      </c>
      <c r="L1075" s="11">
        <v>60</v>
      </c>
      <c r="M1075" s="9" t="s">
        <v>2301</v>
      </c>
      <c r="N1075" s="9"/>
      <c r="O1075" s="9"/>
      <c r="P1075" s="9"/>
      <c r="Q1075" s="11">
        <v>44</v>
      </c>
      <c r="R1075" s="9" t="s">
        <v>90</v>
      </c>
      <c r="S1075" s="9"/>
      <c r="T1075" s="12">
        <f>IF($H1075="Cancelled","",IFERROR(((Q1075+INDEX(Variables!$B$6:$D$6,IFERROR(MATCH(IF($B1075="Robusta","Robusta",(IF($B1075="","Arabica",$B1075))&amp;" - "&amp;(IF($C1075="","Commercial",$C1075))),Variables!$B$1:$D$1,0),1)))*22.0462)*(L1075/16.67),""))</f>
        <v>26566.530629874022</v>
      </c>
      <c r="U1075" s="10">
        <v>45744</v>
      </c>
      <c r="V1075" s="9" t="str">
        <f t="shared" si="101"/>
        <v>Sent</v>
      </c>
      <c r="W1075" s="10"/>
      <c r="X1075" s="9" t="str">
        <f t="shared" si="102"/>
        <v/>
      </c>
      <c r="Y1075" s="10"/>
      <c r="Z1075" s="10">
        <f>IF($H1075="Cancelled","",IFERROR(IF(F1075="","",F1075-Variables!$B$13),""))</f>
        <v>45762</v>
      </c>
      <c r="AA1075" s="11" t="str">
        <f>IF($H1075="Cancelled","",IFERROR(IF(W1075="","",(AVERAGE(E1075:F1075)-W1075)-Variables!$B$14),""))</f>
        <v/>
      </c>
      <c r="AB1075" s="10">
        <v>45785</v>
      </c>
      <c r="AC1075" s="11" t="str">
        <f>IF($H1075="Cancelled","",IFERROR(IF(AB1075="","",IF(AND(W1075="",Y1075=""),"",IF(Y1075&gt;W1075,Y1075+Variables!$B$15+Variables!$B$16+Variables!$B$17-AB1075,W1075+Variables!$B$16+Variables!$B$17-AB1075))),""))</f>
        <v/>
      </c>
      <c r="AD1075" s="9" t="s">
        <v>92</v>
      </c>
      <c r="AE1075" s="9" t="s">
        <v>707</v>
      </c>
      <c r="AF1075" s="10"/>
      <c r="AG1075" s="10"/>
      <c r="AH1075" s="9"/>
      <c r="AI1075" s="9" t="s">
        <v>2302</v>
      </c>
      <c r="AJ1075" s="9" t="s">
        <v>709</v>
      </c>
      <c r="AK1075" s="10">
        <v>45807</v>
      </c>
      <c r="AL1075" s="10">
        <v>45813</v>
      </c>
      <c r="AM1075" s="10">
        <v>45821</v>
      </c>
      <c r="AN1075" s="9" t="s">
        <v>1492</v>
      </c>
      <c r="AO1075" s="9"/>
      <c r="AP1075" s="11">
        <f>IF($H1075="Cancelled","",IFERROR(IF(OR(AK1075="",AB1075=""),"",(AB1075+Variables!$B$18-AK1075)),""))</f>
        <v>-15</v>
      </c>
      <c r="AQ1075" s="11">
        <f>IF($H1075="Cancelled","",IFERROR(IF(OR(AM1075="",AK1075=""),"",(AK1075+Variables!$B$19)-AM1075),""))</f>
        <v>-9</v>
      </c>
      <c r="AR1075" s="12">
        <f>IF($H1075="Cancelled","",IFERROR(T1075*INDEX(Variables!$B$7:$D$7,IFERROR(MATCH(IF($B1075="Robusta","Robusta",(IF($B1075="","Arabica",$B1075))&amp;" - "&amp;(IF($C1075="","Commercial",$C1075))),Variables!$B$1:$D$1,0),1))*(AQ1075/365),""))</f>
        <v>-42.240041294342369</v>
      </c>
      <c r="AS1075" s="12" t="str">
        <f>IF($H1075="Cancelled","",IFERROR((T1075*INDEX(Variables!$B$7:$D$7,IFERROR(MATCH(IF($B1075="Robusta","Robusta",(IF($B1075="","Arabica",$B1075))&amp;" - "&amp;(IF($C1075="","Commercial",$C1075))),Variables!$B$1:$D$1,0),1))*IFERROR(IF(W1075="","",(AVERAGE(E1075:F1075)-W1075)-Variables!$B$14),"")/365)+(L1075/16.67*INDEX(Variables!$B$8:$D$8,IFERROR(MATCH(IF($B1075="Robusta","Robusta",(IF($B1075="","Arabica",$B1075))&amp;" - "&amp;(IF($C1075="","Commercial",$C1075))),Variables!$B$1:$D$1,0),1))*IFERROR(IF(W1075="","",(AVERAGE(E1075:F1075)-W1075)-Variables!$B$14),""))+(T1075*INDEX(Variables!$B$9:$D$9,IFERROR(MATCH(IF($B1075="Robusta","Robusta",(IF($B1075="","Arabica",$B1075))&amp;" - "&amp;(IF($C1075="","Commercial",$C1075))),Variables!$B$1:$D$1,0),1))*IFERROR(IF(W1075="","",(AVERAGE(E1075:F1075)-W1075)-Variables!$B$14),"")/365),""))</f>
        <v/>
      </c>
      <c r="AT1075" s="12" t="str">
        <f>IF($H1075="Cancelled","",IFERROR((T1075*INDEX(Variables!$B$7:$D$7,IFERROR(MATCH(IF($B1075="Robusta","Robusta",(IF($B1075="","Arabica",$B1075))&amp;" - "&amp;(IF($C1075="","Commercial",$C1075))),Variables!$B$1:$D$1,0),1))*AC1075/365)+(L1075/16.67*INDEX(Variables!$B$8:$D$8,IFERROR(MATCH(IF($B1075="Robusta","Robusta",(IF($B1075="","Arabica",$B1075))&amp;" - "&amp;(IF($C1075="","Commercial",$C1075))),Variables!$B$1:$D$1,0),1))*AC1075)+(T1075*INDEX(Variables!$B$9:$D$9,IFERROR(MATCH(IF($B1075="Robusta","Robusta",(IF($B1075="","Arabica",$B1075))&amp;" - "&amp;(IF($C1075="","Commercial",$C1075))),Variables!$B$1:$D$1,0),1))*AC1075/365),""))</f>
        <v/>
      </c>
      <c r="AU1075" s="12">
        <f>IF($H1075="Cancelled","",IFERROR((T1075*INDEX(Variables!$B$7:$D$7,IFERROR(MATCH(IF($B1075="Robusta","Robusta",(IF($B1075="","Arabica",$B1075))&amp;" - "&amp;(IF($C1075="","Commercial",$C1075))),Variables!$B$1:$D$1,0),1))*AP1075/365)+(L1075/16.67*INDEX(Variables!$B$8:$D$8,IFERROR(MATCH(IF($B1075="Robusta","Robusta",(IF($B1075="","Arabica",$B1075))&amp;" - "&amp;(IF($C1075="","Commercial",$C1075))),Variables!$B$1:$D$1,0),1))*AP1075)+(T1075*INDEX(Variables!$B$9:$D$9,IFERROR(MATCH(IF($B1075="Robusta","Robusta",(IF($B1075="","Arabica",$B1075))&amp;" - "&amp;(IF($C1075="","Commercial",$C1075))),Variables!$B$1:$D$1,0),1))*AP1075/365),""))</f>
        <v>-116.30766157373742</v>
      </c>
      <c r="AV1075" s="11">
        <f t="shared" si="100"/>
        <v>-30</v>
      </c>
      <c r="AW1075" s="12">
        <f>IF($H1075="Cancelled","",IFERROR(IF(AV1075="","",(T1075*INDEX(Variables!$B$7:$D$7,IFERROR(MATCH(IF($B1075="Robusta","Robusta",(IF($B1075="","Arabica",$B1075))&amp;" - "&amp;(IF($C1075="","Commercial",$C1075))),Variables!$B$1:$D$1,0),1))*(AV1075/365))+(T1075*INDEX(Variables!$B$9:$D$9,IFERROR(MATCH(IF($B1075="Robusta","Robusta",(IF($B1075="","Arabica",$B1075))&amp;" - "&amp;(IF($C1075="","Commercial",$C1075))),Variables!$B$1:$D$1,0),1))*(AV1075/365))+(INDEX(Variables!$B$8:$D$8,IFERROR(MATCH(IF($B1075="Robusta","Robusta",(IF($B1075="","Arabica",$B1075))&amp;" - "&amp;(IF($C1075="","Commercial",$C1075))),Variables!$B$1:$D$1,0),1))*L1075/16.67)),""))</f>
        <v>-139.61532314747484</v>
      </c>
      <c r="AX1075" s="9"/>
      <c r="AY1075" s="12"/>
      <c r="AZ1075" s="10"/>
      <c r="BA1075" s="9"/>
      <c r="BB1075" s="10"/>
      <c r="BC1075" s="9"/>
      <c r="BD1075" s="9"/>
      <c r="BE1075" s="9"/>
      <c r="BF1075" s="9"/>
    </row>
    <row r="1076" spans="1:58" x14ac:dyDescent="0.25">
      <c r="A1076" s="9" t="s">
        <v>84</v>
      </c>
      <c r="B1076" s="9" t="s">
        <v>85</v>
      </c>
      <c r="C1076" s="9" t="s">
        <v>1486</v>
      </c>
      <c r="D1076" s="10">
        <v>45737</v>
      </c>
      <c r="E1076" s="10">
        <v>45748</v>
      </c>
      <c r="F1076" s="10">
        <v>45777</v>
      </c>
      <c r="G1076" s="9">
        <v>3786863</v>
      </c>
      <c r="H1076" s="9" t="str">
        <f t="shared" si="98"/>
        <v>Open</v>
      </c>
      <c r="I1076" s="9" t="str">
        <f t="shared" si="99"/>
        <v>No sailing date and No shipping advice sent and No docs dispatch date</v>
      </c>
      <c r="J1076" s="9" t="s">
        <v>1095</v>
      </c>
      <c r="K1076" s="9" t="s">
        <v>2303</v>
      </c>
      <c r="L1076" s="11">
        <v>60</v>
      </c>
      <c r="M1076" s="9" t="s">
        <v>2304</v>
      </c>
      <c r="N1076" s="9"/>
      <c r="O1076" s="9"/>
      <c r="P1076" s="9"/>
      <c r="Q1076" s="11">
        <v>44</v>
      </c>
      <c r="R1076" s="9" t="s">
        <v>90</v>
      </c>
      <c r="S1076" s="9"/>
      <c r="T1076" s="12">
        <f>IF($H1076="Cancelled","",IFERROR(((Q1076+INDEX(Variables!$B$6:$D$6,IFERROR(MATCH(IF($B1076="Robusta","Robusta",(IF($B1076="","Arabica",$B1076))&amp;" - "&amp;(IF($C1076="","Commercial",$C1076))),Variables!$B$1:$D$1,0),1)))*22.0462)*(L1076/16.67),""))</f>
        <v>26566.530629874022</v>
      </c>
      <c r="U1076" s="10">
        <v>45744</v>
      </c>
      <c r="V1076" s="9" t="str">
        <f t="shared" si="101"/>
        <v>Sent</v>
      </c>
      <c r="W1076" s="10"/>
      <c r="X1076" s="9" t="str">
        <f t="shared" si="102"/>
        <v/>
      </c>
      <c r="Y1076" s="10"/>
      <c r="Z1076" s="10">
        <f>IF($H1076="Cancelled","",IFERROR(IF(F1076="","",F1076-Variables!$B$13),""))</f>
        <v>45762</v>
      </c>
      <c r="AA1076" s="11" t="str">
        <f>IF($H1076="Cancelled","",IFERROR(IF(W1076="","",(AVERAGE(E1076:F1076)-W1076)-Variables!$B$14),""))</f>
        <v/>
      </c>
      <c r="AB1076" s="10">
        <v>45785</v>
      </c>
      <c r="AC1076" s="11" t="str">
        <f>IF($H1076="Cancelled","",IFERROR(IF(AB1076="","",IF(AND(W1076="",Y1076=""),"",IF(Y1076&gt;W1076,Y1076+Variables!$B$15+Variables!$B$16+Variables!$B$17-AB1076,W1076+Variables!$B$16+Variables!$B$17-AB1076))),""))</f>
        <v/>
      </c>
      <c r="AD1076" s="9" t="s">
        <v>92</v>
      </c>
      <c r="AE1076" s="9"/>
      <c r="AF1076" s="10"/>
      <c r="AG1076" s="10"/>
      <c r="AH1076" s="9"/>
      <c r="AI1076" s="9"/>
      <c r="AJ1076" s="9"/>
      <c r="AK1076" s="10"/>
      <c r="AL1076" s="10"/>
      <c r="AM1076" s="10"/>
      <c r="AN1076" s="9" t="s">
        <v>1492</v>
      </c>
      <c r="AO1076" s="9"/>
      <c r="AP1076" s="11" t="str">
        <f>IF($H1076="Cancelled","",IFERROR(IF(OR(AK1076="",AB1076=""),"",(AB1076+Variables!$B$18-AK1076)),""))</f>
        <v/>
      </c>
      <c r="AQ1076" s="11" t="str">
        <f>IF($H1076="Cancelled","",IFERROR(IF(OR(AM1076="",AK1076=""),"",(AK1076+Variables!$B$19)-AM1076),""))</f>
        <v/>
      </c>
      <c r="AR1076" s="12" t="str">
        <f>IF($H1076="Cancelled","",IFERROR(T1076*INDEX(Variables!$B$7:$D$7,IFERROR(MATCH(IF($B1076="Robusta","Robusta",(IF($B1076="","Arabica",$B1076))&amp;" - "&amp;(IF($C1076="","Commercial",$C1076))),Variables!$B$1:$D$1,0),1))*(AQ1076/365),""))</f>
        <v/>
      </c>
      <c r="AS1076" s="12" t="str">
        <f>IF($H1076="Cancelled","",IFERROR((T1076*INDEX(Variables!$B$7:$D$7,IFERROR(MATCH(IF($B1076="Robusta","Robusta",(IF($B1076="","Arabica",$B1076))&amp;" - "&amp;(IF($C1076="","Commercial",$C1076))),Variables!$B$1:$D$1,0),1))*IFERROR(IF(W1076="","",(AVERAGE(E1076:F1076)-W1076)-Variables!$B$14),"")/365)+(L1076/16.67*INDEX(Variables!$B$8:$D$8,IFERROR(MATCH(IF($B1076="Robusta","Robusta",(IF($B1076="","Arabica",$B1076))&amp;" - "&amp;(IF($C1076="","Commercial",$C1076))),Variables!$B$1:$D$1,0),1))*IFERROR(IF(W1076="","",(AVERAGE(E1076:F1076)-W1076)-Variables!$B$14),""))+(T1076*INDEX(Variables!$B$9:$D$9,IFERROR(MATCH(IF($B1076="Robusta","Robusta",(IF($B1076="","Arabica",$B1076))&amp;" - "&amp;(IF($C1076="","Commercial",$C1076))),Variables!$B$1:$D$1,0),1))*IFERROR(IF(W1076="","",(AVERAGE(E1076:F1076)-W1076)-Variables!$B$14),"")/365),""))</f>
        <v/>
      </c>
      <c r="AT1076" s="12" t="str">
        <f>IF($H1076="Cancelled","",IFERROR((T1076*INDEX(Variables!$B$7:$D$7,IFERROR(MATCH(IF($B1076="Robusta","Robusta",(IF($B1076="","Arabica",$B1076))&amp;" - "&amp;(IF($C1076="","Commercial",$C1076))),Variables!$B$1:$D$1,0),1))*AC1076/365)+(L1076/16.67*INDEX(Variables!$B$8:$D$8,IFERROR(MATCH(IF($B1076="Robusta","Robusta",(IF($B1076="","Arabica",$B1076))&amp;" - "&amp;(IF($C1076="","Commercial",$C1076))),Variables!$B$1:$D$1,0),1))*AC1076)+(T1076*INDEX(Variables!$B$9:$D$9,IFERROR(MATCH(IF($B1076="Robusta","Robusta",(IF($B1076="","Arabica",$B1076))&amp;" - "&amp;(IF($C1076="","Commercial",$C1076))),Variables!$B$1:$D$1,0),1))*AC1076/365),""))</f>
        <v/>
      </c>
      <c r="AU1076" s="12" t="str">
        <f>IF($H1076="Cancelled","",IFERROR((T1076*INDEX(Variables!$B$7:$D$7,IFERROR(MATCH(IF($B1076="Robusta","Robusta",(IF($B1076="","Arabica",$B1076))&amp;" - "&amp;(IF($C1076="","Commercial",$C1076))),Variables!$B$1:$D$1,0),1))*AP1076/365)+(L1076/16.67*INDEX(Variables!$B$8:$D$8,IFERROR(MATCH(IF($B1076="Robusta","Robusta",(IF($B1076="","Arabica",$B1076))&amp;" - "&amp;(IF($C1076="","Commercial",$C1076))),Variables!$B$1:$D$1,0),1))*AP1076)+(T1076*INDEX(Variables!$B$9:$D$9,IFERROR(MATCH(IF($B1076="Robusta","Robusta",(IF($B1076="","Arabica",$B1076))&amp;" - "&amp;(IF($C1076="","Commercial",$C1076))),Variables!$B$1:$D$1,0),1))*AP1076/365),""))</f>
        <v/>
      </c>
      <c r="AV1076" s="11" t="str">
        <f t="shared" si="100"/>
        <v/>
      </c>
      <c r="AW1076" s="12" t="str">
        <f>IF($H1076="Cancelled","",IFERROR(IF(AV1076="","",(T1076*INDEX(Variables!$B$7:$D$7,IFERROR(MATCH(IF($B1076="Robusta","Robusta",(IF($B1076="","Arabica",$B1076))&amp;" - "&amp;(IF($C1076="","Commercial",$C1076))),Variables!$B$1:$D$1,0),1))*(AV1076/365))+(T1076*INDEX(Variables!$B$9:$D$9,IFERROR(MATCH(IF($B1076="Robusta","Robusta",(IF($B1076="","Arabica",$B1076))&amp;" - "&amp;(IF($C1076="","Commercial",$C1076))),Variables!$B$1:$D$1,0),1))*(AV1076/365))+(INDEX(Variables!$B$8:$D$8,IFERROR(MATCH(IF($B1076="Robusta","Robusta",(IF($B1076="","Arabica",$B1076))&amp;" - "&amp;(IF($C1076="","Commercial",$C1076))),Variables!$B$1:$D$1,0),1))*L1076/16.67)),""))</f>
        <v/>
      </c>
      <c r="AX1076" s="9"/>
      <c r="AY1076" s="12"/>
      <c r="AZ1076" s="10"/>
      <c r="BA1076" s="9"/>
      <c r="BB1076" s="10"/>
      <c r="BC1076" s="9"/>
      <c r="BD1076" s="9"/>
      <c r="BE1076" s="9"/>
      <c r="BF1076" s="9"/>
    </row>
    <row r="1077" spans="1:58" x14ac:dyDescent="0.25">
      <c r="A1077" s="9" t="s">
        <v>84</v>
      </c>
      <c r="B1077" s="9" t="s">
        <v>85</v>
      </c>
      <c r="C1077" s="9" t="s">
        <v>1486</v>
      </c>
      <c r="D1077" s="10">
        <v>45737</v>
      </c>
      <c r="E1077" s="10">
        <v>45748</v>
      </c>
      <c r="F1077" s="10">
        <v>45777</v>
      </c>
      <c r="G1077" s="9">
        <v>3786868</v>
      </c>
      <c r="H1077" s="9" t="str">
        <f t="shared" si="98"/>
        <v>Closed</v>
      </c>
      <c r="I1077" s="9" t="str">
        <f t="shared" si="99"/>
        <v>All dates received</v>
      </c>
      <c r="J1077" s="9" t="s">
        <v>235</v>
      </c>
      <c r="K1077" s="9" t="s">
        <v>2305</v>
      </c>
      <c r="L1077" s="11">
        <v>4</v>
      </c>
      <c r="M1077" s="9" t="s">
        <v>2306</v>
      </c>
      <c r="N1077" s="9"/>
      <c r="O1077" s="9"/>
      <c r="P1077" s="9"/>
      <c r="Q1077" s="11">
        <v>126</v>
      </c>
      <c r="R1077" s="9" t="s">
        <v>195</v>
      </c>
      <c r="S1077" s="9" t="s">
        <v>106</v>
      </c>
      <c r="T1077" s="12">
        <f>IF($H1077="Cancelled","",IFERROR(((Q1077+INDEX(Variables!$B$6:$D$6,IFERROR(MATCH(IF($B1077="Robusta","Robusta",(IF($B1077="","Arabica",$B1077))&amp;" - "&amp;(IF($C1077="","Commercial",$C1077))),Variables!$B$1:$D$1,0),1)))*22.0462)*(L1077/16.67),""))</f>
        <v>2204.8845014996996</v>
      </c>
      <c r="U1077" s="10"/>
      <c r="V1077" s="9" t="str">
        <f t="shared" si="101"/>
        <v/>
      </c>
      <c r="W1077" s="10">
        <v>45732</v>
      </c>
      <c r="X1077" s="9" t="str">
        <f t="shared" si="102"/>
        <v>Approved</v>
      </c>
      <c r="Y1077" s="10">
        <v>45773</v>
      </c>
      <c r="Z1077" s="10">
        <f>IF($H1077="Cancelled","",IFERROR(IF(F1077="","",F1077-Variables!$B$13),""))</f>
        <v>45762</v>
      </c>
      <c r="AA1077" s="11">
        <f>IF($H1077="Cancelled","",IFERROR(IF(W1077="","",(AVERAGE(E1077:F1077)-W1077)-Variables!$B$14),""))</f>
        <v>0.5</v>
      </c>
      <c r="AB1077" s="10">
        <v>45786</v>
      </c>
      <c r="AC1077" s="11">
        <f>IF($H1077="Cancelled","",IFERROR(IF(AB1077="","",IF(AND(W1077="",Y1077=""),"",IF(Y1077&gt;W1077,Y1077+Variables!$B$15+Variables!$B$16+Variables!$B$17-AB1077,W1077+Variables!$B$16+Variables!$B$17-AB1077))),""))</f>
        <v>2</v>
      </c>
      <c r="AD1077" s="9" t="s">
        <v>165</v>
      </c>
      <c r="AE1077" s="9" t="s">
        <v>969</v>
      </c>
      <c r="AF1077" s="10"/>
      <c r="AG1077" s="10"/>
      <c r="AH1077" s="9"/>
      <c r="AI1077" s="9" t="s">
        <v>1043</v>
      </c>
      <c r="AJ1077" s="9" t="s">
        <v>8</v>
      </c>
      <c r="AK1077" s="10">
        <v>45800</v>
      </c>
      <c r="AL1077" s="10">
        <v>45806</v>
      </c>
      <c r="AM1077" s="10">
        <v>45807</v>
      </c>
      <c r="AN1077" s="9" t="s">
        <v>1492</v>
      </c>
      <c r="AO1077" s="9"/>
      <c r="AP1077" s="11">
        <f>IF($H1077="Cancelled","",IFERROR(IF(OR(AK1077="",AB1077=""),"",(AB1077+Variables!$B$18-AK1077)),""))</f>
        <v>-7</v>
      </c>
      <c r="AQ1077" s="11">
        <f>IF($H1077="Cancelled","",IFERROR(IF(OR(AM1077="",AK1077=""),"",(AK1077+Variables!$B$19)-AM1077),""))</f>
        <v>-2</v>
      </c>
      <c r="AR1077" s="12">
        <f>IF($H1077="Cancelled","",IFERROR(T1077*INDEX(Variables!$B$7:$D$7,IFERROR(MATCH(IF($B1077="Robusta","Robusta",(IF($B1077="","Arabica",$B1077))&amp;" - "&amp;(IF($C1077="","Commercial",$C1077))),Variables!$B$1:$D$1,0),1))*(AQ1077/365),""))</f>
        <v>-0.77904549809645995</v>
      </c>
      <c r="AS1077" s="12">
        <f>IF($H1077="Cancelled","",IFERROR((T1077*INDEX(Variables!$B$7:$D$7,IFERROR(MATCH(IF($B1077="Robusta","Robusta",(IF($B1077="","Arabica",$B1077))&amp;" - "&amp;(IF($C1077="","Commercial",$C1077))),Variables!$B$1:$D$1,0),1))*IFERROR(IF(W1077="","",(AVERAGE(E1077:F1077)-W1077)-Variables!$B$14),"")/365)+(L1077/16.67*INDEX(Variables!$B$8:$D$8,IFERROR(MATCH(IF($B1077="Robusta","Robusta",(IF($B1077="","Arabica",$B1077))&amp;" - "&amp;(IF($C1077="","Commercial",$C1077))),Variables!$B$1:$D$1,0),1))*IFERROR(IF(W1077="","",(AVERAGE(E1077:F1077)-W1077)-Variables!$B$14),""))+(T1077*INDEX(Variables!$B$9:$D$9,IFERROR(MATCH(IF($B1077="Robusta","Robusta",(IF($B1077="","Arabica",$B1077))&amp;" - "&amp;(IF($C1077="","Commercial",$C1077))),Variables!$B$1:$D$1,0),1))*IFERROR(IF(W1077="","",(AVERAGE(E1077:F1077)-W1077)-Variables!$B$14),"")/365),""))</f>
        <v>0.2972722245050694</v>
      </c>
      <c r="AT1077" s="12">
        <f>IF($H1077="Cancelled","",IFERROR((T1077*INDEX(Variables!$B$7:$D$7,IFERROR(MATCH(IF($B1077="Robusta","Robusta",(IF($B1077="","Arabica",$B1077))&amp;" - "&amp;(IF($C1077="","Commercial",$C1077))),Variables!$B$1:$D$1,0),1))*AC1077/365)+(L1077/16.67*INDEX(Variables!$B$8:$D$8,IFERROR(MATCH(IF($B1077="Robusta","Robusta",(IF($B1077="","Arabica",$B1077))&amp;" - "&amp;(IF($C1077="","Commercial",$C1077))),Variables!$B$1:$D$1,0),1))*AC1077)+(T1077*INDEX(Variables!$B$9:$D$9,IFERROR(MATCH(IF($B1077="Robusta","Robusta",(IF($B1077="","Arabica",$B1077))&amp;" - "&amp;(IF($C1077="","Commercial",$C1077))),Variables!$B$1:$D$1,0),1))*AC1077/365),""))</f>
        <v>1.1890888980202776</v>
      </c>
      <c r="AU1077" s="12">
        <f>IF($H1077="Cancelled","",IFERROR((T1077*INDEX(Variables!$B$7:$D$7,IFERROR(MATCH(IF($B1077="Robusta","Robusta",(IF($B1077="","Arabica",$B1077))&amp;" - "&amp;(IF($C1077="","Commercial",$C1077))),Variables!$B$1:$D$1,0),1))*AP1077/365)+(L1077/16.67*INDEX(Variables!$B$8:$D$8,IFERROR(MATCH(IF($B1077="Robusta","Robusta",(IF($B1077="","Arabica",$B1077))&amp;" - "&amp;(IF($C1077="","Commercial",$C1077))),Variables!$B$1:$D$1,0),1))*AP1077)+(T1077*INDEX(Variables!$B$9:$D$9,IFERROR(MATCH(IF($B1077="Robusta","Robusta",(IF($B1077="","Arabica",$B1077))&amp;" - "&amp;(IF($C1077="","Commercial",$C1077))),Variables!$B$1:$D$1,0),1))*AP1077/365),""))</f>
        <v>-4.1618111430709712</v>
      </c>
      <c r="AV1077" s="11">
        <f t="shared" si="100"/>
        <v>-23</v>
      </c>
      <c r="AW1077" s="12">
        <f>IF($H1077="Cancelled","",IFERROR(IF(AV1077="","",(T1077*INDEX(Variables!$B$7:$D$7,IFERROR(MATCH(IF($B1077="Robusta","Robusta",(IF($B1077="","Arabica",$B1077))&amp;" - "&amp;(IF($C1077="","Commercial",$C1077))),Variables!$B$1:$D$1,0),1))*(AV1077/365))+(T1077*INDEX(Variables!$B$9:$D$9,IFERROR(MATCH(IF($B1077="Robusta","Robusta",(IF($B1077="","Arabica",$B1077))&amp;" - "&amp;(IF($C1077="","Commercial",$C1077))),Variables!$B$1:$D$1,0),1))*(AV1077/365))+(INDEX(Variables!$B$8:$D$8,IFERROR(MATCH(IF($B1077="Robusta","Robusta",(IF($B1077="","Arabica",$B1077))&amp;" - "&amp;(IF($C1077="","Commercial",$C1077))),Variables!$B$1:$D$1,0),1))*L1077/16.67)),""))</f>
        <v>-8.8745223272331923</v>
      </c>
      <c r="AX1077" s="9"/>
      <c r="AY1077" s="12"/>
      <c r="AZ1077" s="10"/>
      <c r="BA1077" s="9"/>
      <c r="BB1077" s="10"/>
      <c r="BC1077" s="9"/>
      <c r="BD1077" s="9"/>
      <c r="BE1077" s="9"/>
      <c r="BF1077" s="9"/>
    </row>
    <row r="1078" spans="1:58" x14ac:dyDescent="0.25">
      <c r="A1078" s="9" t="s">
        <v>84</v>
      </c>
      <c r="B1078" s="9" t="s">
        <v>85</v>
      </c>
      <c r="C1078" s="9" t="s">
        <v>1486</v>
      </c>
      <c r="D1078" s="10">
        <v>45747</v>
      </c>
      <c r="E1078" s="10">
        <v>45748</v>
      </c>
      <c r="F1078" s="10">
        <v>45777</v>
      </c>
      <c r="G1078" s="9">
        <v>3786881</v>
      </c>
      <c r="H1078" s="9" t="str">
        <f t="shared" si="98"/>
        <v>Closed</v>
      </c>
      <c r="I1078" s="9" t="str">
        <f t="shared" si="99"/>
        <v>All dates received</v>
      </c>
      <c r="J1078" s="9" t="s">
        <v>1592</v>
      </c>
      <c r="K1078" s="9" t="s">
        <v>2307</v>
      </c>
      <c r="L1078" s="11">
        <v>30</v>
      </c>
      <c r="M1078" s="9" t="s">
        <v>2308</v>
      </c>
      <c r="N1078" s="9"/>
      <c r="O1078" s="9"/>
      <c r="P1078" s="9"/>
      <c r="Q1078" s="11">
        <v>132</v>
      </c>
      <c r="R1078" s="9" t="s">
        <v>195</v>
      </c>
      <c r="S1078" s="9" t="s">
        <v>578</v>
      </c>
      <c r="T1078" s="12">
        <f>IF($H1078="Cancelled","",IFERROR(((Q1078+INDEX(Variables!$B$6:$D$6,IFERROR(MATCH(IF($B1078="Robusta","Robusta",(IF($B1078="","Arabica",$B1078))&amp;" - "&amp;(IF($C1078="","Commercial",$C1078))),Variables!$B$1:$D$1,0),1)))*22.0462)*(L1078/16.67),""))</f>
        <v>16774.685110977804</v>
      </c>
      <c r="U1078" s="10"/>
      <c r="V1078" s="9" t="str">
        <f t="shared" si="101"/>
        <v/>
      </c>
      <c r="W1078" s="10">
        <v>45732</v>
      </c>
      <c r="X1078" s="9" t="str">
        <f t="shared" si="102"/>
        <v>Approved</v>
      </c>
      <c r="Y1078" s="10">
        <v>45773</v>
      </c>
      <c r="Z1078" s="10">
        <f>IF($H1078="Cancelled","",IFERROR(IF(F1078="","",F1078-Variables!$B$13),""))</f>
        <v>45762</v>
      </c>
      <c r="AA1078" s="11">
        <f>IF($H1078="Cancelled","",IFERROR(IF(W1078="","",(AVERAGE(E1078:F1078)-W1078)-Variables!$B$14),""))</f>
        <v>0.5</v>
      </c>
      <c r="AB1078" s="10">
        <v>45772</v>
      </c>
      <c r="AC1078" s="11">
        <f>IF($H1078="Cancelled","",IFERROR(IF(AB1078="","",IF(AND(W1078="",Y1078=""),"",IF(Y1078&gt;W1078,Y1078+Variables!$B$15+Variables!$B$16+Variables!$B$17-AB1078,W1078+Variables!$B$16+Variables!$B$17-AB1078))),""))</f>
        <v>16</v>
      </c>
      <c r="AD1078" s="9" t="s">
        <v>2257</v>
      </c>
      <c r="AE1078" s="9" t="s">
        <v>703</v>
      </c>
      <c r="AF1078" s="10"/>
      <c r="AG1078" s="10"/>
      <c r="AH1078" s="9"/>
      <c r="AI1078" s="9" t="s">
        <v>2258</v>
      </c>
      <c r="AJ1078" s="9" t="s">
        <v>2259</v>
      </c>
      <c r="AK1078" s="10">
        <v>45784</v>
      </c>
      <c r="AL1078" s="10">
        <v>45793</v>
      </c>
      <c r="AM1078" s="10">
        <v>45797</v>
      </c>
      <c r="AN1078" s="9" t="s">
        <v>1492</v>
      </c>
      <c r="AO1078" s="9"/>
      <c r="AP1078" s="11">
        <f>IF($H1078="Cancelled","",IFERROR(IF(OR(AK1078="",AB1078=""),"",(AB1078+Variables!$B$18-AK1078)),""))</f>
        <v>-5</v>
      </c>
      <c r="AQ1078" s="11">
        <f>IF($H1078="Cancelled","",IFERROR(IF(OR(AM1078="",AK1078=""),"",(AK1078+Variables!$B$19)-AM1078),""))</f>
        <v>-8</v>
      </c>
      <c r="AR1078" s="12">
        <f>IF($H1078="Cancelled","",IFERROR(T1078*INDEX(Variables!$B$7:$D$7,IFERROR(MATCH(IF($B1078="Robusta","Robusta",(IF($B1078="","Arabica",$B1078))&amp;" - "&amp;(IF($C1078="","Commercial",$C1078))),Variables!$B$1:$D$1,0),1))*(AQ1078/365),""))</f>
        <v>-23.70780493727327</v>
      </c>
      <c r="AS1078" s="12">
        <f>IF($H1078="Cancelled","",IFERROR((T1078*INDEX(Variables!$B$7:$D$7,IFERROR(MATCH(IF($B1078="Robusta","Robusta",(IF($B1078="","Arabica",$B1078))&amp;" - "&amp;(IF($C1078="","Commercial",$C1078))),Variables!$B$1:$D$1,0),1))*IFERROR(IF(W1078="","",(AVERAGE(E1078:F1078)-W1078)-Variables!$B$14),"")/365)+(L1078/16.67*INDEX(Variables!$B$8:$D$8,IFERROR(MATCH(IF($B1078="Robusta","Robusta",(IF($B1078="","Arabica",$B1078))&amp;" - "&amp;(IF($C1078="","Commercial",$C1078))),Variables!$B$1:$D$1,0),1))*IFERROR(IF(W1078="","",(AVERAGE(E1078:F1078)-W1078)-Variables!$B$14),""))+(T1078*INDEX(Variables!$B$9:$D$9,IFERROR(MATCH(IF($B1078="Robusta","Robusta",(IF($B1078="","Arabica",$B1078))&amp;" - "&amp;(IF($C1078="","Commercial",$C1078))),Variables!$B$1:$D$1,0),1))*IFERROR(IF(W1078="","",(AVERAGE(E1078:F1078)-W1078)-Variables!$B$14),"")/365),""))</f>
        <v>2.250840268487464</v>
      </c>
      <c r="AT1078" s="12">
        <f>IF($H1078="Cancelled","",IFERROR((T1078*INDEX(Variables!$B$7:$D$7,IFERROR(MATCH(IF($B1078="Robusta","Robusta",(IF($B1078="","Arabica",$B1078))&amp;" - "&amp;(IF($C1078="","Commercial",$C1078))),Variables!$B$1:$D$1,0),1))*AC1078/365)+(L1078/16.67*INDEX(Variables!$B$8:$D$8,IFERROR(MATCH(IF($B1078="Robusta","Robusta",(IF($B1078="","Arabica",$B1078))&amp;" - "&amp;(IF($C1078="","Commercial",$C1078))),Variables!$B$1:$D$1,0),1))*AC1078)+(T1078*INDEX(Variables!$B$9:$D$9,IFERROR(MATCH(IF($B1078="Robusta","Robusta",(IF($B1078="","Arabica",$B1078))&amp;" - "&amp;(IF($C1078="","Commercial",$C1078))),Variables!$B$1:$D$1,0),1))*AC1078/365),""))</f>
        <v>72.026888591598848</v>
      </c>
      <c r="AU1078" s="12">
        <f>IF($H1078="Cancelled","",IFERROR((T1078*INDEX(Variables!$B$7:$D$7,IFERROR(MATCH(IF($B1078="Robusta","Robusta",(IF($B1078="","Arabica",$B1078))&amp;" - "&amp;(IF($C1078="","Commercial",$C1078))),Variables!$B$1:$D$1,0),1))*AP1078/365)+(L1078/16.67*INDEX(Variables!$B$8:$D$8,IFERROR(MATCH(IF($B1078="Robusta","Robusta",(IF($B1078="","Arabica",$B1078))&amp;" - "&amp;(IF($C1078="","Commercial",$C1078))),Variables!$B$1:$D$1,0),1))*AP1078)+(T1078*INDEX(Variables!$B$9:$D$9,IFERROR(MATCH(IF($B1078="Robusta","Robusta",(IF($B1078="","Arabica",$B1078))&amp;" - "&amp;(IF($C1078="","Commercial",$C1078))),Variables!$B$1:$D$1,0),1))*AP1078/365),""))</f>
        <v>-22.508402684874643</v>
      </c>
      <c r="AV1078" s="11">
        <f t="shared" si="100"/>
        <v>-7</v>
      </c>
      <c r="AW1078" s="12">
        <f>IF($H1078="Cancelled","",IFERROR(IF(AV1078="","",(T1078*INDEX(Variables!$B$7:$D$7,IFERROR(MATCH(IF($B1078="Robusta","Robusta",(IF($B1078="","Arabica",$B1078))&amp;" - "&amp;(IF($C1078="","Commercial",$C1078))),Variables!$B$1:$D$1,0),1))*(AV1078/365))+(T1078*INDEX(Variables!$B$9:$D$9,IFERROR(MATCH(IF($B1078="Robusta","Robusta",(IF($B1078="","Arabica",$B1078))&amp;" - "&amp;(IF($C1078="","Commercial",$C1078))),Variables!$B$1:$D$1,0),1))*(AV1078/365))+(INDEX(Variables!$B$8:$D$8,IFERROR(MATCH(IF($B1078="Robusta","Robusta",(IF($B1078="","Arabica",$B1078))&amp;" - "&amp;(IF($C1078="","Commercial",$C1078))),Variables!$B$1:$D$1,0),1))*L1078/16.67)),""))</f>
        <v>-19.511763758824497</v>
      </c>
      <c r="AX1078" s="9"/>
      <c r="AY1078" s="12"/>
      <c r="AZ1078" s="10"/>
      <c r="BA1078" s="9"/>
      <c r="BB1078" s="10"/>
      <c r="BC1078" s="9"/>
      <c r="BD1078" s="9"/>
      <c r="BE1078" s="9"/>
      <c r="BF1078" s="9"/>
    </row>
    <row r="1079" spans="1:58" x14ac:dyDescent="0.25">
      <c r="A1079" s="9" t="s">
        <v>84</v>
      </c>
      <c r="B1079" s="9" t="s">
        <v>85</v>
      </c>
      <c r="C1079" s="9" t="s">
        <v>1486</v>
      </c>
      <c r="D1079" s="10">
        <v>45757</v>
      </c>
      <c r="E1079" s="10">
        <v>45757</v>
      </c>
      <c r="F1079" s="10">
        <v>45777</v>
      </c>
      <c r="G1079" s="9">
        <v>3786896</v>
      </c>
      <c r="H1079" s="9" t="str">
        <f t="shared" si="98"/>
        <v>Closed</v>
      </c>
      <c r="I1079" s="9" t="str">
        <f t="shared" si="99"/>
        <v>All dates received</v>
      </c>
      <c r="J1079" s="9" t="s">
        <v>1487</v>
      </c>
      <c r="K1079" s="9" t="s">
        <v>2309</v>
      </c>
      <c r="L1079" s="11">
        <v>3</v>
      </c>
      <c r="M1079" s="9" t="s">
        <v>2310</v>
      </c>
      <c r="N1079" s="9"/>
      <c r="O1079" s="9"/>
      <c r="P1079" s="9"/>
      <c r="Q1079" s="11">
        <v>122</v>
      </c>
      <c r="R1079" s="9" t="s">
        <v>195</v>
      </c>
      <c r="S1079" s="9" t="s">
        <v>156</v>
      </c>
      <c r="T1079" s="12">
        <f>IF($H1079="Cancelled","",IFERROR(((Q1079+INDEX(Variables!$B$6:$D$6,IFERROR(MATCH(IF($B1079="Robusta","Robusta",(IF($B1079="","Arabica",$B1079))&amp;" - "&amp;(IF($C1079="","Commercial",$C1079))),Variables!$B$1:$D$1,0),1)))*22.0462)*(L1079/16.67),""))</f>
        <v>1637.7932861427712</v>
      </c>
      <c r="U1079" s="10"/>
      <c r="V1079" s="9" t="str">
        <f t="shared" si="101"/>
        <v/>
      </c>
      <c r="W1079" s="10">
        <v>45732</v>
      </c>
      <c r="X1079" s="9" t="str">
        <f t="shared" si="102"/>
        <v>Approved</v>
      </c>
      <c r="Y1079" s="10">
        <v>45773</v>
      </c>
      <c r="Z1079" s="10">
        <f>IF($H1079="Cancelled","",IFERROR(IF(F1079="","",F1079-Variables!$B$13),""))</f>
        <v>45762</v>
      </c>
      <c r="AA1079" s="11">
        <f>IF($H1079="Cancelled","",IFERROR(IF(W1079="","",(AVERAGE(E1079:F1079)-W1079)-Variables!$B$14),""))</f>
        <v>5</v>
      </c>
      <c r="AB1079" s="10">
        <v>45797</v>
      </c>
      <c r="AC1079" s="11">
        <f>IF($H1079="Cancelled","",IFERROR(IF(AB1079="","",IF(AND(W1079="",Y1079=""),"",IF(Y1079&gt;W1079,Y1079+Variables!$B$15+Variables!$B$16+Variables!$B$17-AB1079,W1079+Variables!$B$16+Variables!$B$17-AB1079))),""))</f>
        <v>-9</v>
      </c>
      <c r="AD1079" s="9" t="s">
        <v>834</v>
      </c>
      <c r="AE1079" s="9" t="s">
        <v>834</v>
      </c>
      <c r="AF1079" s="10"/>
      <c r="AG1079" s="10"/>
      <c r="AH1079" s="9"/>
      <c r="AI1079" s="9" t="s">
        <v>2311</v>
      </c>
      <c r="AJ1079" s="9" t="s">
        <v>8</v>
      </c>
      <c r="AK1079" s="10">
        <v>45805</v>
      </c>
      <c r="AL1079" s="10">
        <v>45806</v>
      </c>
      <c r="AM1079" s="10">
        <v>45806</v>
      </c>
      <c r="AN1079" s="9" t="s">
        <v>1492</v>
      </c>
      <c r="AO1079" s="9"/>
      <c r="AP1079" s="11">
        <f>IF($H1079="Cancelled","",IFERROR(IF(OR(AK1079="",AB1079=""),"",(AB1079+Variables!$B$18-AK1079)),""))</f>
        <v>-1</v>
      </c>
      <c r="AQ1079" s="11">
        <f>IF($H1079="Cancelled","",IFERROR(IF(OR(AM1079="",AK1079=""),"",(AK1079+Variables!$B$19)-AM1079),""))</f>
        <v>4</v>
      </c>
      <c r="AR1079" s="12">
        <f>IF($H1079="Cancelled","",IFERROR(T1079*INDEX(Variables!$B$7:$D$7,IFERROR(MATCH(IF($B1079="Robusta","Robusta",(IF($B1079="","Arabica",$B1079))&amp;" - "&amp;(IF($C1079="","Commercial",$C1079))),Variables!$B$1:$D$1,0),1))*(AQ1079/365),""))</f>
        <v>1.1573535806653743</v>
      </c>
      <c r="AS1079" s="12">
        <f>IF($H1079="Cancelled","",IFERROR((T1079*INDEX(Variables!$B$7:$D$7,IFERROR(MATCH(IF($B1079="Robusta","Robusta",(IF($B1079="","Arabica",$B1079))&amp;" - "&amp;(IF($C1079="","Commercial",$C1079))),Variables!$B$1:$D$1,0),1))*IFERROR(IF(W1079="","",(AVERAGE(E1079:F1079)-W1079)-Variables!$B$14),"")/365)+(L1079/16.67*INDEX(Variables!$B$8:$D$8,IFERROR(MATCH(IF($B1079="Robusta","Robusta",(IF($B1079="","Arabica",$B1079))&amp;" - "&amp;(IF($C1079="","Commercial",$C1079))),Variables!$B$1:$D$1,0),1))*IFERROR(IF(W1079="","",(AVERAGE(E1079:F1079)-W1079)-Variables!$B$14),""))+(T1079*INDEX(Variables!$B$9:$D$9,IFERROR(MATCH(IF($B1079="Robusta","Robusta",(IF($B1079="","Arabica",$B1079))&amp;" - "&amp;(IF($C1079="","Commercial",$C1079))),Variables!$B$1:$D$1,0),1))*IFERROR(IF(W1079="","",(AVERAGE(E1079:F1079)-W1079)-Variables!$B$14),"")/365),""))</f>
        <v>2.215342627321724</v>
      </c>
      <c r="AT1079" s="12">
        <f>IF($H1079="Cancelled","",IFERROR((T1079*INDEX(Variables!$B$7:$D$7,IFERROR(MATCH(IF($B1079="Robusta","Robusta",(IF($B1079="","Arabica",$B1079))&amp;" - "&amp;(IF($C1079="","Commercial",$C1079))),Variables!$B$1:$D$1,0),1))*AC1079/365)+(L1079/16.67*INDEX(Variables!$B$8:$D$8,IFERROR(MATCH(IF($B1079="Robusta","Robusta",(IF($B1079="","Arabica",$B1079))&amp;" - "&amp;(IF($C1079="","Commercial",$C1079))),Variables!$B$1:$D$1,0),1))*AC1079)+(T1079*INDEX(Variables!$B$9:$D$9,IFERROR(MATCH(IF($B1079="Robusta","Robusta",(IF($B1079="","Arabica",$B1079))&amp;" - "&amp;(IF($C1079="","Commercial",$C1079))),Variables!$B$1:$D$1,0),1))*AC1079/365),""))</f>
        <v>-3.9876167291791038</v>
      </c>
      <c r="AU1079" s="12">
        <f>IF($H1079="Cancelled","",IFERROR((T1079*INDEX(Variables!$B$7:$D$7,IFERROR(MATCH(IF($B1079="Robusta","Robusta",(IF($B1079="","Arabica",$B1079))&amp;" - "&amp;(IF($C1079="","Commercial",$C1079))),Variables!$B$1:$D$1,0),1))*AP1079/365)+(L1079/16.67*INDEX(Variables!$B$8:$D$8,IFERROR(MATCH(IF($B1079="Robusta","Robusta",(IF($B1079="","Arabica",$B1079))&amp;" - "&amp;(IF($C1079="","Commercial",$C1079))),Variables!$B$1:$D$1,0),1))*AP1079)+(T1079*INDEX(Variables!$B$9:$D$9,IFERROR(MATCH(IF($B1079="Robusta","Robusta",(IF($B1079="","Arabica",$B1079))&amp;" - "&amp;(IF($C1079="","Commercial",$C1079))),Variables!$B$1:$D$1,0),1))*AP1079/365),""))</f>
        <v>-0.44306852546434489</v>
      </c>
      <c r="AV1079" s="11">
        <f t="shared" si="100"/>
        <v>-28</v>
      </c>
      <c r="AW1079" s="12">
        <f>IF($H1079="Cancelled","",IFERROR(IF(AV1079="","",(T1079*INDEX(Variables!$B$7:$D$7,IFERROR(MATCH(IF($B1079="Robusta","Robusta",(IF($B1079="","Arabica",$B1079))&amp;" - "&amp;(IF($C1079="","Commercial",$C1079))),Variables!$B$1:$D$1,0),1))*(AV1079/365))+(T1079*INDEX(Variables!$B$9:$D$9,IFERROR(MATCH(IF($B1079="Robusta","Robusta",(IF($B1079="","Arabica",$B1079))&amp;" - "&amp;(IF($C1079="","Commercial",$C1079))),Variables!$B$1:$D$1,0),1))*(AV1079/365))+(INDEX(Variables!$B$8:$D$8,IFERROR(MATCH(IF($B1079="Robusta","Robusta",(IF($B1079="","Arabica",$B1079))&amp;" - "&amp;(IF($C1079="","Commercial",$C1079))),Variables!$B$1:$D$1,0),1))*L1079/16.67)),""))</f>
        <v>-8.0559187130016578</v>
      </c>
      <c r="AX1079" s="9"/>
      <c r="AY1079" s="12"/>
      <c r="AZ1079" s="10"/>
      <c r="BA1079" s="9"/>
      <c r="BB1079" s="10"/>
      <c r="BC1079" s="9"/>
      <c r="BD1079" s="9"/>
      <c r="BE1079" s="9"/>
      <c r="BF1079" s="9"/>
    </row>
    <row r="1080" spans="1:58" x14ac:dyDescent="0.25">
      <c r="A1080" s="9" t="s">
        <v>84</v>
      </c>
      <c r="B1080" s="9" t="s">
        <v>85</v>
      </c>
      <c r="C1080" s="9" t="s">
        <v>1486</v>
      </c>
      <c r="D1080" s="10">
        <v>45757</v>
      </c>
      <c r="E1080" s="10">
        <v>45757</v>
      </c>
      <c r="F1080" s="10">
        <v>45777</v>
      </c>
      <c r="G1080" s="9">
        <v>3786897</v>
      </c>
      <c r="H1080" s="9" t="str">
        <f t="shared" si="98"/>
        <v>Closed</v>
      </c>
      <c r="I1080" s="9" t="str">
        <f t="shared" si="99"/>
        <v>All dates received</v>
      </c>
      <c r="J1080" s="9" t="s">
        <v>1487</v>
      </c>
      <c r="K1080" s="9" t="s">
        <v>2312</v>
      </c>
      <c r="L1080" s="11">
        <v>38</v>
      </c>
      <c r="M1080" s="9" t="s">
        <v>2313</v>
      </c>
      <c r="N1080" s="9"/>
      <c r="O1080" s="9"/>
      <c r="P1080" s="9"/>
      <c r="Q1080" s="11">
        <v>154</v>
      </c>
      <c r="R1080" s="9" t="s">
        <v>195</v>
      </c>
      <c r="S1080" s="9" t="s">
        <v>156</v>
      </c>
      <c r="T1080" s="12">
        <f>IF($H1080="Cancelled","",IFERROR(((Q1080+INDEX(Variables!$B$6:$D$6,IFERROR(MATCH(IF($B1080="Robusta","Robusta",(IF($B1080="","Arabica",$B1080))&amp;" - "&amp;(IF($C1080="","Commercial",$C1080))),Variables!$B$1:$D$1,0),1)))*22.0462)*(L1080/16.67),""))</f>
        <v>22353.550742651471</v>
      </c>
      <c r="U1080" s="10"/>
      <c r="V1080" s="9" t="str">
        <f t="shared" si="101"/>
        <v/>
      </c>
      <c r="W1080" s="10">
        <v>45732</v>
      </c>
      <c r="X1080" s="9" t="str">
        <f t="shared" si="102"/>
        <v>Approved</v>
      </c>
      <c r="Y1080" s="10">
        <v>45773</v>
      </c>
      <c r="Z1080" s="10">
        <f>IF($H1080="Cancelled","",IFERROR(IF(F1080="","",F1080-Variables!$B$13),""))</f>
        <v>45762</v>
      </c>
      <c r="AA1080" s="11">
        <f>IF($H1080="Cancelled","",IFERROR(IF(W1080="","",(AVERAGE(E1080:F1080)-W1080)-Variables!$B$14),""))</f>
        <v>5</v>
      </c>
      <c r="AB1080" s="10">
        <v>45797</v>
      </c>
      <c r="AC1080" s="11">
        <f>IF($H1080="Cancelled","",IFERROR(IF(AB1080="","",IF(AND(W1080="",Y1080=""),"",IF(Y1080&gt;W1080,Y1080+Variables!$B$15+Variables!$B$16+Variables!$B$17-AB1080,W1080+Variables!$B$16+Variables!$B$17-AB1080))),""))</f>
        <v>-9</v>
      </c>
      <c r="AD1080" s="9" t="s">
        <v>834</v>
      </c>
      <c r="AE1080" s="9" t="s">
        <v>834</v>
      </c>
      <c r="AF1080" s="10"/>
      <c r="AG1080" s="10"/>
      <c r="AH1080" s="9"/>
      <c r="AI1080" s="9" t="s">
        <v>2311</v>
      </c>
      <c r="AJ1080" s="9" t="s">
        <v>8</v>
      </c>
      <c r="AK1080" s="10">
        <v>45805</v>
      </c>
      <c r="AL1080" s="10">
        <v>45806</v>
      </c>
      <c r="AM1080" s="10">
        <v>45806</v>
      </c>
      <c r="AN1080" s="9" t="s">
        <v>1492</v>
      </c>
      <c r="AO1080" s="9"/>
      <c r="AP1080" s="11">
        <f>IF($H1080="Cancelled","",IFERROR(IF(OR(AK1080="",AB1080=""),"",(AB1080+Variables!$B$18-AK1080)),""))</f>
        <v>-1</v>
      </c>
      <c r="AQ1080" s="11">
        <f>IF($H1080="Cancelled","",IFERROR(IF(OR(AM1080="",AK1080=""),"",(AK1080+Variables!$B$19)-AM1080),""))</f>
        <v>4</v>
      </c>
      <c r="AR1080" s="12">
        <f>IF($H1080="Cancelled","",IFERROR(T1080*INDEX(Variables!$B$7:$D$7,IFERROR(MATCH(IF($B1080="Robusta","Robusta",(IF($B1080="","Arabica",$B1080))&amp;" - "&amp;(IF($C1080="","Commercial",$C1080))),Variables!$B$1:$D$1,0),1))*(AQ1080/365),""))</f>
        <v>15.796231558332062</v>
      </c>
      <c r="AS1080" s="12">
        <f>IF($H1080="Cancelled","",IFERROR((T1080*INDEX(Variables!$B$7:$D$7,IFERROR(MATCH(IF($B1080="Robusta","Robusta",(IF($B1080="","Arabica",$B1080))&amp;" - "&amp;(IF($C1080="","Commercial",$C1080))),Variables!$B$1:$D$1,0),1))*IFERROR(IF(W1080="","",(AVERAGE(E1080:F1080)-W1080)-Variables!$B$14),"")/365)+(L1080/16.67*INDEX(Variables!$B$8:$D$8,IFERROR(MATCH(IF($B1080="Robusta","Robusta",(IF($B1080="","Arabica",$B1080))&amp;" - "&amp;(IF($C1080="","Commercial",$C1080))),Variables!$B$1:$D$1,0),1))*IFERROR(IF(W1080="","",(AVERAGE(E1080:F1080)-W1080)-Variables!$B$14),""))+(T1080*INDEX(Variables!$B$9:$D$9,IFERROR(MATCH(IF($B1080="Robusta","Robusta",(IF($B1080="","Arabica",$B1080))&amp;" - "&amp;(IF($C1080="","Commercial",$C1080))),Variables!$B$1:$D$1,0),1))*IFERROR(IF(W1080="","",(AVERAGE(E1080:F1080)-W1080)-Variables!$B$14),"")/365),""))</f>
        <v>29.499844334659819</v>
      </c>
      <c r="AT1080" s="12">
        <f>IF($H1080="Cancelled","",IFERROR((T1080*INDEX(Variables!$B$7:$D$7,IFERROR(MATCH(IF($B1080="Robusta","Robusta",(IF($B1080="","Arabica",$B1080))&amp;" - "&amp;(IF($C1080="","Commercial",$C1080))),Variables!$B$1:$D$1,0),1))*AC1080/365)+(L1080/16.67*INDEX(Variables!$B$8:$D$8,IFERROR(MATCH(IF($B1080="Robusta","Robusta",(IF($B1080="","Arabica",$B1080))&amp;" - "&amp;(IF($C1080="","Commercial",$C1080))),Variables!$B$1:$D$1,0),1))*AC1080)+(T1080*INDEX(Variables!$B$9:$D$9,IFERROR(MATCH(IF($B1080="Robusta","Robusta",(IF($B1080="","Arabica",$B1080))&amp;" - "&amp;(IF($C1080="","Commercial",$C1080))),Variables!$B$1:$D$1,0),1))*AC1080/365),""))</f>
        <v>-53.099719802387675</v>
      </c>
      <c r="AU1080" s="12">
        <f>IF($H1080="Cancelled","",IFERROR((T1080*INDEX(Variables!$B$7:$D$7,IFERROR(MATCH(IF($B1080="Robusta","Robusta",(IF($B1080="","Arabica",$B1080))&amp;" - "&amp;(IF($C1080="","Commercial",$C1080))),Variables!$B$1:$D$1,0),1))*AP1080/365)+(L1080/16.67*INDEX(Variables!$B$8:$D$8,IFERROR(MATCH(IF($B1080="Robusta","Robusta",(IF($B1080="","Arabica",$B1080))&amp;" - "&amp;(IF($C1080="","Commercial",$C1080))),Variables!$B$1:$D$1,0),1))*AP1080)+(T1080*INDEX(Variables!$B$9:$D$9,IFERROR(MATCH(IF($B1080="Robusta","Robusta",(IF($B1080="","Arabica",$B1080))&amp;" - "&amp;(IF($C1080="","Commercial",$C1080))),Variables!$B$1:$D$1,0),1))*AP1080/365),""))</f>
        <v>-5.8999688669319639</v>
      </c>
      <c r="AV1080" s="11">
        <f t="shared" si="100"/>
        <v>-28</v>
      </c>
      <c r="AW1080" s="12">
        <f>IF($H1080="Cancelled","",IFERROR(IF(AV1080="","",(T1080*INDEX(Variables!$B$7:$D$7,IFERROR(MATCH(IF($B1080="Robusta","Robusta",(IF($B1080="","Arabica",$B1080))&amp;" - "&amp;(IF($C1080="","Commercial",$C1080))),Variables!$B$1:$D$1,0),1))*(AV1080/365))+(T1080*INDEX(Variables!$B$9:$D$9,IFERROR(MATCH(IF($B1080="Robusta","Robusta",(IF($B1080="","Arabica",$B1080))&amp;" - "&amp;(IF($C1080="","Commercial",$C1080))),Variables!$B$1:$D$1,0),1))*(AV1080/365))+(INDEX(Variables!$B$8:$D$8,IFERROR(MATCH(IF($B1080="Robusta","Robusta",(IF($B1080="","Arabica",$B1080))&amp;" - "&amp;(IF($C1080="","Commercial",$C1080))),Variables!$B$1:$D$1,0),1))*L1080/16.67)),""))</f>
        <v>-110.09912827409499</v>
      </c>
      <c r="AX1080" s="9"/>
      <c r="AY1080" s="12"/>
      <c r="AZ1080" s="10"/>
      <c r="BA1080" s="9"/>
      <c r="BB1080" s="10"/>
      <c r="BC1080" s="9"/>
      <c r="BD1080" s="9"/>
      <c r="BE1080" s="9"/>
      <c r="BF1080" s="9"/>
    </row>
    <row r="1081" spans="1:58" x14ac:dyDescent="0.25">
      <c r="A1081" s="9" t="s">
        <v>84</v>
      </c>
      <c r="B1081" s="9" t="s">
        <v>85</v>
      </c>
      <c r="C1081" s="9" t="s">
        <v>1486</v>
      </c>
      <c r="D1081" s="10">
        <v>45757</v>
      </c>
      <c r="E1081" s="10">
        <v>45757</v>
      </c>
      <c r="F1081" s="10">
        <v>45777</v>
      </c>
      <c r="G1081" s="9">
        <v>3786898</v>
      </c>
      <c r="H1081" s="9" t="str">
        <f t="shared" si="98"/>
        <v>Closed</v>
      </c>
      <c r="I1081" s="9" t="str">
        <f t="shared" si="99"/>
        <v>All dates received</v>
      </c>
      <c r="J1081" s="9" t="s">
        <v>1487</v>
      </c>
      <c r="K1081" s="9" t="s">
        <v>2314</v>
      </c>
      <c r="L1081" s="11">
        <v>17</v>
      </c>
      <c r="M1081" s="9" t="s">
        <v>2315</v>
      </c>
      <c r="N1081" s="9"/>
      <c r="O1081" s="9"/>
      <c r="P1081" s="9"/>
      <c r="Q1081" s="11">
        <v>115</v>
      </c>
      <c r="R1081" s="9" t="s">
        <v>195</v>
      </c>
      <c r="S1081" s="9" t="s">
        <v>156</v>
      </c>
      <c r="T1081" s="12">
        <f>IF($H1081="Cancelled","",IFERROR(((Q1081+INDEX(Variables!$B$6:$D$6,IFERROR(MATCH(IF($B1081="Robusta","Robusta",(IF($B1081="","Arabica",$B1081))&amp;" - "&amp;(IF($C1081="","Commercial",$C1081))),Variables!$B$1:$D$1,0),1)))*22.0462)*(L1081/16.67),""))</f>
        <v>9123.4502291541685</v>
      </c>
      <c r="U1081" s="10"/>
      <c r="V1081" s="9" t="str">
        <f t="shared" si="101"/>
        <v/>
      </c>
      <c r="W1081" s="10">
        <v>45732</v>
      </c>
      <c r="X1081" s="9" t="str">
        <f t="shared" si="102"/>
        <v>Approved</v>
      </c>
      <c r="Y1081" s="10">
        <v>45773</v>
      </c>
      <c r="Z1081" s="10">
        <f>IF($H1081="Cancelled","",IFERROR(IF(F1081="","",F1081-Variables!$B$13),""))</f>
        <v>45762</v>
      </c>
      <c r="AA1081" s="11">
        <f>IF($H1081="Cancelled","",IFERROR(IF(W1081="","",(AVERAGE(E1081:F1081)-W1081)-Variables!$B$14),""))</f>
        <v>5</v>
      </c>
      <c r="AB1081" s="10">
        <v>45797</v>
      </c>
      <c r="AC1081" s="11">
        <f>IF($H1081="Cancelled","",IFERROR(IF(AB1081="","",IF(AND(W1081="",Y1081=""),"",IF(Y1081&gt;W1081,Y1081+Variables!$B$15+Variables!$B$16+Variables!$B$17-AB1081,W1081+Variables!$B$16+Variables!$B$17-AB1081))),""))</f>
        <v>-9</v>
      </c>
      <c r="AD1081" s="9" t="s">
        <v>834</v>
      </c>
      <c r="AE1081" s="9" t="s">
        <v>834</v>
      </c>
      <c r="AF1081" s="10"/>
      <c r="AG1081" s="10"/>
      <c r="AH1081" s="9"/>
      <c r="AI1081" s="9" t="s">
        <v>2311</v>
      </c>
      <c r="AJ1081" s="9" t="s">
        <v>8</v>
      </c>
      <c r="AK1081" s="10">
        <v>45805</v>
      </c>
      <c r="AL1081" s="10">
        <v>45806</v>
      </c>
      <c r="AM1081" s="10">
        <v>45806</v>
      </c>
      <c r="AN1081" s="9" t="s">
        <v>1492</v>
      </c>
      <c r="AO1081" s="9"/>
      <c r="AP1081" s="11">
        <f>IF($H1081="Cancelled","",IFERROR(IF(OR(AK1081="",AB1081=""),"",(AB1081+Variables!$B$18-AK1081)),""))</f>
        <v>-1</v>
      </c>
      <c r="AQ1081" s="11">
        <f>IF($H1081="Cancelled","",IFERROR(IF(OR(AM1081="",AK1081=""),"",(AK1081+Variables!$B$19)-AM1081),""))</f>
        <v>4</v>
      </c>
      <c r="AR1081" s="12">
        <f>IF($H1081="Cancelled","",IFERROR(T1081*INDEX(Variables!$B$7:$D$7,IFERROR(MATCH(IF($B1081="Robusta","Robusta",(IF($B1081="","Arabica",$B1081))&amp;" - "&amp;(IF($C1081="","Commercial",$C1081))),Variables!$B$1:$D$1,0),1))*(AQ1081/365),""))</f>
        <v>6.4471248478505752</v>
      </c>
      <c r="AS1081" s="12">
        <f>IF($H1081="Cancelled","",IFERROR((T1081*INDEX(Variables!$B$7:$D$7,IFERROR(MATCH(IF($B1081="Robusta","Robusta",(IF($B1081="","Arabica",$B1081))&amp;" - "&amp;(IF($C1081="","Commercial",$C1081))),Variables!$B$1:$D$1,0),1))*IFERROR(IF(W1081="","",(AVERAGE(E1081:F1081)-W1081)-Variables!$B$14),"")/365)+(L1081/16.67*INDEX(Variables!$B$8:$D$8,IFERROR(MATCH(IF($B1081="Robusta","Robusta",(IF($B1081="","Arabica",$B1081))&amp;" - "&amp;(IF($C1081="","Commercial",$C1081))),Variables!$B$1:$D$1,0),1))*IFERROR(IF(W1081="","",(AVERAGE(E1081:F1081)-W1081)-Variables!$B$14),""))+(T1081*INDEX(Variables!$B$9:$D$9,IFERROR(MATCH(IF($B1081="Robusta","Robusta",(IF($B1081="","Arabica",$B1081))&amp;" - "&amp;(IF($C1081="","Commercial",$C1081))),Variables!$B$1:$D$1,0),1))*IFERROR(IF(W1081="","",(AVERAGE(E1081:F1081)-W1081)-Variables!$B$14),"")/365),""))</f>
        <v>12.41280091153234</v>
      </c>
      <c r="AT1081" s="12">
        <f>IF($H1081="Cancelled","",IFERROR((T1081*INDEX(Variables!$B$7:$D$7,IFERROR(MATCH(IF($B1081="Robusta","Robusta",(IF($B1081="","Arabica",$B1081))&amp;" - "&amp;(IF($C1081="","Commercial",$C1081))),Variables!$B$1:$D$1,0),1))*AC1081/365)+(L1081/16.67*INDEX(Variables!$B$8:$D$8,IFERROR(MATCH(IF($B1081="Robusta","Robusta",(IF($B1081="","Arabica",$B1081))&amp;" - "&amp;(IF($C1081="","Commercial",$C1081))),Variables!$B$1:$D$1,0),1))*AC1081)+(T1081*INDEX(Variables!$B$9:$D$9,IFERROR(MATCH(IF($B1081="Robusta","Robusta",(IF($B1081="","Arabica",$B1081))&amp;" - "&amp;(IF($C1081="","Commercial",$C1081))),Variables!$B$1:$D$1,0),1))*AC1081/365),""))</f>
        <v>-22.343041640758209</v>
      </c>
      <c r="AU1081" s="12">
        <f>IF($H1081="Cancelled","",IFERROR((T1081*INDEX(Variables!$B$7:$D$7,IFERROR(MATCH(IF($B1081="Robusta","Robusta",(IF($B1081="","Arabica",$B1081))&amp;" - "&amp;(IF($C1081="","Commercial",$C1081))),Variables!$B$1:$D$1,0),1))*AP1081/365)+(L1081/16.67*INDEX(Variables!$B$8:$D$8,IFERROR(MATCH(IF($B1081="Robusta","Robusta",(IF($B1081="","Arabica",$B1081))&amp;" - "&amp;(IF($C1081="","Commercial",$C1081))),Variables!$B$1:$D$1,0),1))*AP1081)+(T1081*INDEX(Variables!$B$9:$D$9,IFERROR(MATCH(IF($B1081="Robusta","Robusta",(IF($B1081="","Arabica",$B1081))&amp;" - "&amp;(IF($C1081="","Commercial",$C1081))),Variables!$B$1:$D$1,0),1))*AP1081/365),""))</f>
        <v>-2.4825601823064685</v>
      </c>
      <c r="AV1081" s="11">
        <f t="shared" si="100"/>
        <v>-28</v>
      </c>
      <c r="AW1081" s="12">
        <f>IF($H1081="Cancelled","",IFERROR(IF(AV1081="","",(T1081*INDEX(Variables!$B$7:$D$7,IFERROR(MATCH(IF($B1081="Robusta","Robusta",(IF($B1081="","Arabica",$B1081))&amp;" - "&amp;(IF($C1081="","Commercial",$C1081))),Variables!$B$1:$D$1,0),1))*(AV1081/365))+(T1081*INDEX(Variables!$B$9:$D$9,IFERROR(MATCH(IF($B1081="Robusta","Robusta",(IF($B1081="","Arabica",$B1081))&amp;" - "&amp;(IF($C1081="","Commercial",$C1081))),Variables!$B$1:$D$1,0),1))*(AV1081/365))+(INDEX(Variables!$B$8:$D$8,IFERROR(MATCH(IF($B1081="Robusta","Robusta",(IF($B1081="","Arabica",$B1081))&amp;" - "&amp;(IF($C1081="","Commercial",$C1081))),Variables!$B$1:$D$1,0),1))*L1081/16.67)),""))</f>
        <v>-44.861685104581106</v>
      </c>
      <c r="AX1081" s="9"/>
      <c r="AY1081" s="12"/>
      <c r="AZ1081" s="10"/>
      <c r="BA1081" s="9"/>
      <c r="BB1081" s="10"/>
      <c r="BC1081" s="9"/>
      <c r="BD1081" s="9"/>
      <c r="BE1081" s="9"/>
      <c r="BF1081" s="9"/>
    </row>
    <row r="1082" spans="1:58" x14ac:dyDescent="0.25">
      <c r="A1082" s="9" t="s">
        <v>84</v>
      </c>
      <c r="B1082" s="9" t="s">
        <v>85</v>
      </c>
      <c r="C1082" s="9" t="s">
        <v>1486</v>
      </c>
      <c r="D1082" s="10">
        <v>45769</v>
      </c>
      <c r="E1082" s="10">
        <v>45748</v>
      </c>
      <c r="F1082" s="10">
        <v>45777</v>
      </c>
      <c r="G1082" s="9">
        <v>3786905</v>
      </c>
      <c r="H1082" s="9" t="str">
        <f t="shared" si="98"/>
        <v>Closed</v>
      </c>
      <c r="I1082" s="9" t="str">
        <f t="shared" si="99"/>
        <v>All dates received</v>
      </c>
      <c r="J1082" s="9" t="s">
        <v>1487</v>
      </c>
      <c r="K1082" s="9" t="s">
        <v>2316</v>
      </c>
      <c r="L1082" s="11">
        <v>41</v>
      </c>
      <c r="M1082" s="9" t="s">
        <v>2317</v>
      </c>
      <c r="N1082" s="9"/>
      <c r="O1082" s="9"/>
      <c r="P1082" s="9"/>
      <c r="Q1082" s="11">
        <v>149</v>
      </c>
      <c r="R1082" s="9" t="s">
        <v>195</v>
      </c>
      <c r="S1082" s="9" t="s">
        <v>183</v>
      </c>
      <c r="T1082" s="12">
        <f>IF($H1082="Cancelled","",IFERROR(((Q1082+INDEX(Variables!$B$6:$D$6,IFERROR(MATCH(IF($B1082="Robusta","Robusta",(IF($B1082="","Arabica",$B1082))&amp;" - "&amp;(IF($C1082="","Commercial",$C1082))),Variables!$B$1:$D$1,0),1)))*22.0462)*(L1082/16.67),""))</f>
        <v>23847.190711457704</v>
      </c>
      <c r="U1082" s="10"/>
      <c r="V1082" s="9" t="s">
        <v>195</v>
      </c>
      <c r="W1082" s="10">
        <v>45732</v>
      </c>
      <c r="X1082" s="9" t="str">
        <f t="shared" si="102"/>
        <v>Approved</v>
      </c>
      <c r="Y1082" s="10">
        <v>45773</v>
      </c>
      <c r="Z1082" s="10">
        <f>IF($H1082="Cancelled","",IFERROR(IF(F1082="","",F1082-Variables!$B$13),""))</f>
        <v>45762</v>
      </c>
      <c r="AA1082" s="11">
        <f>IF($H1082="Cancelled","",IFERROR(IF(W1082="","",(AVERAGE(E1082:F1082)-W1082)-Variables!$B$14),""))</f>
        <v>0.5</v>
      </c>
      <c r="AB1082" s="10">
        <v>45791</v>
      </c>
      <c r="AC1082" s="11">
        <f>IF($H1082="Cancelled","",IFERROR(IF(AB1082="","",IF(AND(W1082="",Y1082=""),"",IF(Y1082&gt;W1082,Y1082+Variables!$B$15+Variables!$B$16+Variables!$B$17-AB1082,W1082+Variables!$B$16+Variables!$B$17-AB1082))),""))</f>
        <v>-3</v>
      </c>
      <c r="AD1082" s="9" t="s">
        <v>107</v>
      </c>
      <c r="AE1082" s="9" t="s">
        <v>684</v>
      </c>
      <c r="AF1082" s="10"/>
      <c r="AG1082" s="10"/>
      <c r="AH1082" s="9"/>
      <c r="AI1082" s="9" t="s">
        <v>2169</v>
      </c>
      <c r="AJ1082" s="9" t="s">
        <v>2170</v>
      </c>
      <c r="AK1082" s="10">
        <v>45813</v>
      </c>
      <c r="AL1082" s="10">
        <v>45818</v>
      </c>
      <c r="AM1082" s="10">
        <v>45820</v>
      </c>
      <c r="AN1082" s="9" t="s">
        <v>1492</v>
      </c>
      <c r="AO1082" s="9"/>
      <c r="AP1082" s="11">
        <f>IF($H1082="Cancelled","",IFERROR(IF(OR(AK1082="",AB1082=""),"",(AB1082+Variables!$B$18-AK1082)),""))</f>
        <v>-15</v>
      </c>
      <c r="AQ1082" s="11">
        <f>IF($H1082="Cancelled","",IFERROR(IF(OR(AM1082="",AK1082=""),"",(AK1082+Variables!$B$19)-AM1082),""))</f>
        <v>-2</v>
      </c>
      <c r="AR1082" s="12">
        <f>IF($H1082="Cancelled","",IFERROR(T1082*INDEX(Variables!$B$7:$D$7,IFERROR(MATCH(IF($B1082="Robusta","Robusta",(IF($B1082="","Arabica",$B1082))&amp;" - "&amp;(IF($C1082="","Commercial",$C1082))),Variables!$B$1:$D$1,0),1))*(AQ1082/365),""))</f>
        <v>-8.4258592925718254</v>
      </c>
      <c r="AS1082" s="12">
        <f>IF($H1082="Cancelled","",IFERROR((T1082*INDEX(Variables!$B$7:$D$7,IFERROR(MATCH(IF($B1082="Robusta","Robusta",(IF($B1082="","Arabica",$B1082))&amp;" - "&amp;(IF($C1082="","Commercial",$C1082))),Variables!$B$1:$D$1,0),1))*IFERROR(IF(W1082="","",(AVERAGE(E1082:F1082)-W1082)-Variables!$B$14),"")/365)+(L1082/16.67*INDEX(Variables!$B$8:$D$8,IFERROR(MATCH(IF($B1082="Robusta","Robusta",(IF($B1082="","Arabica",$B1082))&amp;" - "&amp;(IF($C1082="","Commercial",$C1082))),Variables!$B$1:$D$1,0),1))*IFERROR(IF(W1082="","",(AVERAGE(E1082:F1082)-W1082)-Variables!$B$14),""))+(T1082*INDEX(Variables!$B$9:$D$9,IFERROR(MATCH(IF($B1082="Robusta","Robusta",(IF($B1082="","Arabica",$B1082))&amp;" - "&amp;(IF($C1082="","Commercial",$C1082))),Variables!$B$1:$D$1,0),1))*IFERROR(IF(W1082="","",(AVERAGE(E1082:F1082)-W1082)-Variables!$B$14),"")/365),""))</f>
        <v>3.1586212199079355</v>
      </c>
      <c r="AT1082" s="12">
        <f>IF($H1082="Cancelled","",IFERROR((T1082*INDEX(Variables!$B$7:$D$7,IFERROR(MATCH(IF($B1082="Robusta","Robusta",(IF($B1082="","Arabica",$B1082))&amp;" - "&amp;(IF($C1082="","Commercial",$C1082))),Variables!$B$1:$D$1,0),1))*AC1082/365)+(L1082/16.67*INDEX(Variables!$B$8:$D$8,IFERROR(MATCH(IF($B1082="Robusta","Robusta",(IF($B1082="","Arabica",$B1082))&amp;" - "&amp;(IF($C1082="","Commercial",$C1082))),Variables!$B$1:$D$1,0),1))*AC1082)+(T1082*INDEX(Variables!$B$9:$D$9,IFERROR(MATCH(IF($B1082="Robusta","Robusta",(IF($B1082="","Arabica",$B1082))&amp;" - "&amp;(IF($C1082="","Commercial",$C1082))),Variables!$B$1:$D$1,0),1))*AC1082/365),""))</f>
        <v>-18.951727319447613</v>
      </c>
      <c r="AU1082" s="12">
        <f>IF($H1082="Cancelled","",IFERROR((T1082*INDEX(Variables!$B$7:$D$7,IFERROR(MATCH(IF($B1082="Robusta","Robusta",(IF($B1082="","Arabica",$B1082))&amp;" - "&amp;(IF($C1082="","Commercial",$C1082))),Variables!$B$1:$D$1,0),1))*AP1082/365)+(L1082/16.67*INDEX(Variables!$B$8:$D$8,IFERROR(MATCH(IF($B1082="Robusta","Robusta",(IF($B1082="","Arabica",$B1082))&amp;" - "&amp;(IF($C1082="","Commercial",$C1082))),Variables!$B$1:$D$1,0),1))*AP1082)+(T1082*INDEX(Variables!$B$9:$D$9,IFERROR(MATCH(IF($B1082="Robusta","Robusta",(IF($B1082="","Arabica",$B1082))&amp;" - "&amp;(IF($C1082="","Commercial",$C1082))),Variables!$B$1:$D$1,0),1))*AP1082/365),""))</f>
        <v>-94.758636597238066</v>
      </c>
      <c r="AV1082" s="11">
        <f t="shared" si="100"/>
        <v>-36</v>
      </c>
      <c r="AW1082" s="12">
        <f>IF($H1082="Cancelled","",IFERROR(IF(AV1082="","",(T1082*INDEX(Variables!$B$7:$D$7,IFERROR(MATCH(IF($B1082="Robusta","Robusta",(IF($B1082="","Arabica",$B1082))&amp;" - "&amp;(IF($C1082="","Commercial",$C1082))),Variables!$B$1:$D$1,0),1))*(AV1082/365))+(T1082*INDEX(Variables!$B$9:$D$9,IFERROR(MATCH(IF($B1082="Robusta","Robusta",(IF($B1082="","Arabica",$B1082))&amp;" - "&amp;(IF($C1082="","Commercial",$C1082))),Variables!$B$1:$D$1,0),1))*(AV1082/365))+(INDEX(Variables!$B$8:$D$8,IFERROR(MATCH(IF($B1082="Robusta","Robusta",(IF($B1082="","Arabica",$B1082))&amp;" - "&amp;(IF($C1082="","Commercial",$C1082))),Variables!$B$1:$D$1,0),1))*L1082/16.67)),""))</f>
        <v>-151.57072783337136</v>
      </c>
      <c r="AX1082" s="9"/>
      <c r="AY1082" s="12"/>
      <c r="AZ1082" s="10"/>
      <c r="BA1082" s="9"/>
      <c r="BB1082" s="10"/>
      <c r="BC1082" s="9"/>
      <c r="BD1082" s="9"/>
      <c r="BE1082" s="9"/>
      <c r="BF1082" s="9"/>
    </row>
    <row r="1083" spans="1:58" x14ac:dyDescent="0.25">
      <c r="A1083" s="9" t="s">
        <v>84</v>
      </c>
      <c r="B1083" s="9" t="s">
        <v>85</v>
      </c>
      <c r="C1083" s="9" t="s">
        <v>1486</v>
      </c>
      <c r="D1083" s="10">
        <v>45761</v>
      </c>
      <c r="E1083" s="10">
        <v>45761</v>
      </c>
      <c r="F1083" s="10">
        <v>45791</v>
      </c>
      <c r="G1083" s="9">
        <v>3786899</v>
      </c>
      <c r="H1083" s="9" t="str">
        <f t="shared" si="98"/>
        <v>Closed</v>
      </c>
      <c r="I1083" s="9" t="str">
        <f t="shared" si="99"/>
        <v>All dates received</v>
      </c>
      <c r="J1083" s="9" t="s">
        <v>200</v>
      </c>
      <c r="K1083" s="9">
        <v>5257</v>
      </c>
      <c r="L1083" s="11">
        <v>100</v>
      </c>
      <c r="M1083" s="9" t="s">
        <v>2318</v>
      </c>
      <c r="N1083" s="9"/>
      <c r="O1083" s="9"/>
      <c r="P1083" s="9"/>
      <c r="Q1083" s="11">
        <v>85</v>
      </c>
      <c r="R1083" s="9" t="s">
        <v>195</v>
      </c>
      <c r="S1083" s="9" t="s">
        <v>156</v>
      </c>
      <c r="T1083" s="12">
        <f>IF($H1083="Cancelled","",IFERROR(((Q1083+INDEX(Variables!$B$6:$D$6,IFERROR(MATCH(IF($B1083="Robusta","Robusta",(IF($B1083="","Arabica",$B1083))&amp;" - "&amp;(IF($C1083="","Commercial",$C1083))),Variables!$B$1:$D$1,0),1)))*22.0462)*(L1083/16.67),""))</f>
        <v>49699.831793641264</v>
      </c>
      <c r="U1083" s="10"/>
      <c r="V1083" s="9" t="str">
        <f t="shared" ref="V1083:V1092" si="103">IF(ISNUMBER(U1083),"Sent","")</f>
        <v/>
      </c>
      <c r="W1083" s="10">
        <v>45732</v>
      </c>
      <c r="X1083" s="9" t="str">
        <f t="shared" si="102"/>
        <v>Approved</v>
      </c>
      <c r="Y1083" s="10">
        <v>45773</v>
      </c>
      <c r="Z1083" s="10">
        <f>IF($H1083="Cancelled","",IFERROR(IF(F1083="","",F1083-Variables!$B$13),""))</f>
        <v>45776</v>
      </c>
      <c r="AA1083" s="11">
        <f>IF($H1083="Cancelled","",IFERROR(IF(W1083="","",(AVERAGE(E1083:F1083)-W1083)-Variables!$B$14),""))</f>
        <v>14</v>
      </c>
      <c r="AB1083" s="10">
        <v>45776</v>
      </c>
      <c r="AC1083" s="11">
        <f>IF($H1083="Cancelled","",IFERROR(IF(AB1083="","",IF(AND(W1083="",Y1083=""),"",IF(Y1083&gt;W1083,Y1083+Variables!$B$15+Variables!$B$16+Variables!$B$17-AB1083,W1083+Variables!$B$16+Variables!$B$17-AB1083))),""))</f>
        <v>12</v>
      </c>
      <c r="AD1083" s="9" t="s">
        <v>92</v>
      </c>
      <c r="AE1083" s="9" t="s">
        <v>2319</v>
      </c>
      <c r="AF1083" s="10"/>
      <c r="AG1083" s="10"/>
      <c r="AH1083" s="9"/>
      <c r="AI1083" s="9" t="s">
        <v>2320</v>
      </c>
      <c r="AJ1083" s="9" t="s">
        <v>8</v>
      </c>
      <c r="AK1083" s="10">
        <v>45794</v>
      </c>
      <c r="AL1083" s="10">
        <v>45797</v>
      </c>
      <c r="AM1083" s="10">
        <v>45806</v>
      </c>
      <c r="AN1083" s="9" t="s">
        <v>1492</v>
      </c>
      <c r="AO1083" s="9"/>
      <c r="AP1083" s="11">
        <f>IF($H1083="Cancelled","",IFERROR(IF(OR(AK1083="",AB1083=""),"",(AB1083+Variables!$B$18-AK1083)),""))</f>
        <v>-11</v>
      </c>
      <c r="AQ1083" s="11">
        <f>IF($H1083="Cancelled","",IFERROR(IF(OR(AM1083="",AK1083=""),"",(AK1083+Variables!$B$19)-AM1083),""))</f>
        <v>-7</v>
      </c>
      <c r="AR1083" s="12">
        <f>IF($H1083="Cancelled","",IFERROR(T1083*INDEX(Variables!$B$7:$D$7,IFERROR(MATCH(IF($B1083="Robusta","Robusta",(IF($B1083="","Arabica",$B1083))&amp;" - "&amp;(IF($C1083="","Commercial",$C1083))),Variables!$B$1:$D$1,0),1))*(AQ1083/365),""))</f>
        <v>-61.461045084349443</v>
      </c>
      <c r="AS1083" s="12">
        <f>IF($H1083="Cancelled","",IFERROR((T1083*INDEX(Variables!$B$7:$D$7,IFERROR(MATCH(IF($B1083="Robusta","Robusta",(IF($B1083="","Arabica",$B1083))&amp;" - "&amp;(IF($C1083="","Commercial",$C1083))),Variables!$B$1:$D$1,0),1))*IFERROR(IF(W1083="","",(AVERAGE(E1083:F1083)-W1083)-Variables!$B$14),"")/365)+(L1083/16.67*INDEX(Variables!$B$8:$D$8,IFERROR(MATCH(IF($B1083="Robusta","Robusta",(IF($B1083="","Arabica",$B1083))&amp;" - "&amp;(IF($C1083="","Commercial",$C1083))),Variables!$B$1:$D$1,0),1))*IFERROR(IF(W1083="","",(AVERAGE(E1083:F1083)-W1083)-Variables!$B$14),""))+(T1083*INDEX(Variables!$B$9:$D$9,IFERROR(MATCH(IF($B1083="Robusta","Robusta",(IF($B1083="","Arabica",$B1083))&amp;" - "&amp;(IF($C1083="","Commercial",$C1083))),Variables!$B$1:$D$1,0),1))*IFERROR(IF(W1083="","",(AVERAGE(E1083:F1083)-W1083)-Variables!$B$14),"")/365),""))</f>
        <v>194.50679313412562</v>
      </c>
      <c r="AT1083" s="12">
        <f>IF($H1083="Cancelled","",IFERROR((T1083*INDEX(Variables!$B$7:$D$7,IFERROR(MATCH(IF($B1083="Robusta","Robusta",(IF($B1083="","Arabica",$B1083))&amp;" - "&amp;(IF($C1083="","Commercial",$C1083))),Variables!$B$1:$D$1,0),1))*AC1083/365)+(L1083/16.67*INDEX(Variables!$B$8:$D$8,IFERROR(MATCH(IF($B1083="Robusta","Robusta",(IF($B1083="","Arabica",$B1083))&amp;" - "&amp;(IF($C1083="","Commercial",$C1083))),Variables!$B$1:$D$1,0),1))*AC1083)+(T1083*INDEX(Variables!$B$9:$D$9,IFERROR(MATCH(IF($B1083="Robusta","Robusta",(IF($B1083="","Arabica",$B1083))&amp;" - "&amp;(IF($C1083="","Commercial",$C1083))),Variables!$B$1:$D$1,0),1))*AC1083/365),""))</f>
        <v>166.72010840067909</v>
      </c>
      <c r="AU1083" s="12">
        <f>IF($H1083="Cancelled","",IFERROR((T1083*INDEX(Variables!$B$7:$D$7,IFERROR(MATCH(IF($B1083="Robusta","Robusta",(IF($B1083="","Arabica",$B1083))&amp;" - "&amp;(IF($C1083="","Commercial",$C1083))),Variables!$B$1:$D$1,0),1))*AP1083/365)+(L1083/16.67*INDEX(Variables!$B$8:$D$8,IFERROR(MATCH(IF($B1083="Robusta","Robusta",(IF($B1083="","Arabica",$B1083))&amp;" - "&amp;(IF($C1083="","Commercial",$C1083))),Variables!$B$1:$D$1,0),1))*AP1083)+(T1083*INDEX(Variables!$B$9:$D$9,IFERROR(MATCH(IF($B1083="Robusta","Robusta",(IF($B1083="","Arabica",$B1083))&amp;" - "&amp;(IF($C1083="","Commercial",$C1083))),Variables!$B$1:$D$1,0),1))*AP1083/365),""))</f>
        <v>-152.82676603395583</v>
      </c>
      <c r="AV1083" s="11">
        <f t="shared" si="100"/>
        <v>-3</v>
      </c>
      <c r="AW1083" s="12">
        <f>IF($H1083="Cancelled","",IFERROR(IF(AV1083="","",(T1083*INDEX(Variables!$B$7:$D$7,IFERROR(MATCH(IF($B1083="Robusta","Robusta",(IF($B1083="","Arabica",$B1083))&amp;" - "&amp;(IF($C1083="","Commercial",$C1083))),Variables!$B$1:$D$1,0),1))*(AV1083/365))+(T1083*INDEX(Variables!$B$9:$D$9,IFERROR(MATCH(IF($B1083="Robusta","Robusta",(IF($B1083="","Arabica",$B1083))&amp;" - "&amp;(IF($C1083="","Commercial",$C1083))),Variables!$B$1:$D$1,0),1))*(AV1083/365))+(INDEX(Variables!$B$8:$D$8,IFERROR(MATCH(IF($B1083="Robusta","Robusta",(IF($B1083="","Arabica",$B1083))&amp;" - "&amp;(IF($C1083="","Commercial",$C1083))),Variables!$B$1:$D$1,0),1))*L1083/16.67)),""))</f>
        <v>-21.68002710016977</v>
      </c>
      <c r="AX1083" s="9"/>
      <c r="AY1083" s="12"/>
      <c r="AZ1083" s="10"/>
      <c r="BA1083" s="9"/>
      <c r="BB1083" s="10"/>
      <c r="BC1083" s="9"/>
      <c r="BD1083" s="9"/>
      <c r="BE1083" s="9"/>
      <c r="BF1083" s="9"/>
    </row>
    <row r="1084" spans="1:58" x14ac:dyDescent="0.25">
      <c r="A1084" s="9" t="s">
        <v>84</v>
      </c>
      <c r="B1084" s="9" t="s">
        <v>85</v>
      </c>
      <c r="C1084" s="9" t="s">
        <v>1486</v>
      </c>
      <c r="D1084" s="10">
        <v>45726</v>
      </c>
      <c r="E1084" s="10">
        <v>45778</v>
      </c>
      <c r="F1084" s="10">
        <v>45808</v>
      </c>
      <c r="G1084" s="9">
        <v>3786826</v>
      </c>
      <c r="H1084" s="9" t="str">
        <f t="shared" si="98"/>
        <v>Closed</v>
      </c>
      <c r="I1084" s="9" t="str">
        <f t="shared" si="99"/>
        <v>All dates received</v>
      </c>
      <c r="J1084" s="9" t="s">
        <v>303</v>
      </c>
      <c r="K1084" s="9" t="s">
        <v>2321</v>
      </c>
      <c r="L1084" s="11">
        <v>10</v>
      </c>
      <c r="M1084" s="9" t="s">
        <v>2322</v>
      </c>
      <c r="N1084" s="9"/>
      <c r="O1084" s="9"/>
      <c r="P1084" s="9"/>
      <c r="Q1084" s="11">
        <v>128</v>
      </c>
      <c r="R1084" s="9" t="s">
        <v>90</v>
      </c>
      <c r="S1084" s="9" t="s">
        <v>91</v>
      </c>
      <c r="T1084" s="12">
        <f>IF($H1084="Cancelled","",IFERROR(((Q1084+INDEX(Variables!$B$6:$D$6,IFERROR(MATCH(IF($B1084="Robusta","Robusta",(IF($B1084="","Arabica",$B1084))&amp;" - "&amp;(IF($C1084="","Commercial",$C1084))),Variables!$B$1:$D$1,0),1)))*22.0462)*(L1084/16.67),""))</f>
        <v>5538.6614037192548</v>
      </c>
      <c r="U1084" s="10">
        <v>45733</v>
      </c>
      <c r="V1084" s="9" t="str">
        <f t="shared" si="103"/>
        <v>Sent</v>
      </c>
      <c r="W1084" s="10"/>
      <c r="X1084" s="9" t="str">
        <f t="shared" si="102"/>
        <v/>
      </c>
      <c r="Y1084" s="10"/>
      <c r="Z1084" s="10">
        <f>IF($H1084="Cancelled","",IFERROR(IF(F1084="","",F1084-Variables!$B$13),""))</f>
        <v>45793</v>
      </c>
      <c r="AA1084" s="11" t="str">
        <f>IF($H1084="Cancelled","",IFERROR(IF(W1084="","",(AVERAGE(E1084:F1084)-W1084)-Variables!$B$14),""))</f>
        <v/>
      </c>
      <c r="AB1084" s="10">
        <v>45789</v>
      </c>
      <c r="AC1084" s="11" t="str">
        <f>IF($H1084="Cancelled","",IFERROR(IF(AB1084="","",IF(AND(W1084="",Y1084=""),"",IF(Y1084&gt;W1084,Y1084+Variables!$B$15+Variables!$B$16+Variables!$B$17-AB1084,W1084+Variables!$B$16+Variables!$B$17-AB1084))),""))</f>
        <v/>
      </c>
      <c r="AD1084" s="9" t="s">
        <v>163</v>
      </c>
      <c r="AE1084" s="9" t="s">
        <v>760</v>
      </c>
      <c r="AF1084" s="10"/>
      <c r="AG1084" s="10"/>
      <c r="AH1084" s="9"/>
      <c r="AI1084" s="9">
        <v>253467055</v>
      </c>
      <c r="AJ1084" s="9" t="s">
        <v>8</v>
      </c>
      <c r="AK1084" s="10">
        <v>45798</v>
      </c>
      <c r="AL1084" s="10">
        <v>45807</v>
      </c>
      <c r="AM1084" s="10">
        <v>45812</v>
      </c>
      <c r="AN1084" s="9" t="s">
        <v>1492</v>
      </c>
      <c r="AO1084" s="9"/>
      <c r="AP1084" s="11">
        <f>IF($H1084="Cancelled","",IFERROR(IF(OR(AK1084="",AB1084=""),"",(AB1084+Variables!$B$18-AK1084)),""))</f>
        <v>-2</v>
      </c>
      <c r="AQ1084" s="11">
        <f>IF($H1084="Cancelled","",IFERROR(IF(OR(AM1084="",AK1084=""),"",(AK1084+Variables!$B$19)-AM1084),""))</f>
        <v>-9</v>
      </c>
      <c r="AR1084" s="12">
        <f>IF($H1084="Cancelled","",IFERROR(T1084*INDEX(Variables!$B$7:$D$7,IFERROR(MATCH(IF($B1084="Robusta","Robusta",(IF($B1084="","Arabica",$B1084))&amp;" - "&amp;(IF($C1084="","Commercial",$C1084))),Variables!$B$1:$D$1,0),1))*(AQ1084/365),""))</f>
        <v>-8.8063168528826079</v>
      </c>
      <c r="AS1084" s="12" t="str">
        <f>IF($H1084="Cancelled","",IFERROR((T1084*INDEX(Variables!$B$7:$D$7,IFERROR(MATCH(IF($B1084="Robusta","Robusta",(IF($B1084="","Arabica",$B1084))&amp;" - "&amp;(IF($C1084="","Commercial",$C1084))),Variables!$B$1:$D$1,0),1))*IFERROR(IF(W1084="","",(AVERAGE(E1084:F1084)-W1084)-Variables!$B$14),"")/365)+(L1084/16.67*INDEX(Variables!$B$8:$D$8,IFERROR(MATCH(IF($B1084="Robusta","Robusta",(IF($B1084="","Arabica",$B1084))&amp;" - "&amp;(IF($C1084="","Commercial",$C1084))),Variables!$B$1:$D$1,0),1))*IFERROR(IF(W1084="","",(AVERAGE(E1084:F1084)-W1084)-Variables!$B$14),""))+(T1084*INDEX(Variables!$B$9:$D$9,IFERROR(MATCH(IF($B1084="Robusta","Robusta",(IF($B1084="","Arabica",$B1084))&amp;" - "&amp;(IF($C1084="","Commercial",$C1084))),Variables!$B$1:$D$1,0),1))*IFERROR(IF(W1084="","",(AVERAGE(E1084:F1084)-W1084)-Variables!$B$14),"")/365),""))</f>
        <v/>
      </c>
      <c r="AT1084" s="12" t="str">
        <f>IF($H1084="Cancelled","",IFERROR((T1084*INDEX(Variables!$B$7:$D$7,IFERROR(MATCH(IF($B1084="Robusta","Robusta",(IF($B1084="","Arabica",$B1084))&amp;" - "&amp;(IF($C1084="","Commercial",$C1084))),Variables!$B$1:$D$1,0),1))*AC1084/365)+(L1084/16.67*INDEX(Variables!$B$8:$D$8,IFERROR(MATCH(IF($B1084="Robusta","Robusta",(IF($B1084="","Arabica",$B1084))&amp;" - "&amp;(IF($C1084="","Commercial",$C1084))),Variables!$B$1:$D$1,0),1))*AC1084)+(T1084*INDEX(Variables!$B$9:$D$9,IFERROR(MATCH(IF($B1084="Robusta","Robusta",(IF($B1084="","Arabica",$B1084))&amp;" - "&amp;(IF($C1084="","Commercial",$C1084))),Variables!$B$1:$D$1,0),1))*AC1084/365),""))</f>
        <v/>
      </c>
      <c r="AU1084" s="12">
        <f>IF($H1084="Cancelled","",IFERROR((T1084*INDEX(Variables!$B$7:$D$7,IFERROR(MATCH(IF($B1084="Robusta","Robusta",(IF($B1084="","Arabica",$B1084))&amp;" - "&amp;(IF($C1084="","Commercial",$C1084))),Variables!$B$1:$D$1,0),1))*AP1084/365)+(L1084/16.67*INDEX(Variables!$B$8:$D$8,IFERROR(MATCH(IF($B1084="Robusta","Robusta",(IF($B1084="","Arabica",$B1084))&amp;" - "&amp;(IF($C1084="","Commercial",$C1084))),Variables!$B$1:$D$1,0),1))*AP1084)+(T1084*INDEX(Variables!$B$9:$D$9,IFERROR(MATCH(IF($B1084="Robusta","Robusta",(IF($B1084="","Arabica",$B1084))&amp;" - "&amp;(IF($C1084="","Commercial",$C1084))),Variables!$B$1:$D$1,0),1))*AP1084/365),""))</f>
        <v>-2.9821882826948909</v>
      </c>
      <c r="AV1084" s="11">
        <f t="shared" si="100"/>
        <v>10</v>
      </c>
      <c r="AW1084" s="12">
        <f>IF($H1084="Cancelled","",IFERROR(IF(AV1084="","",(T1084*INDEX(Variables!$B$7:$D$7,IFERROR(MATCH(IF($B1084="Robusta","Robusta",(IF($B1084="","Arabica",$B1084))&amp;" - "&amp;(IF($C1084="","Commercial",$C1084))),Variables!$B$1:$D$1,0),1))*(AV1084/365))+(T1084*INDEX(Variables!$B$9:$D$9,IFERROR(MATCH(IF($B1084="Robusta","Robusta",(IF($B1084="","Arabica",$B1084))&amp;" - "&amp;(IF($C1084="","Commercial",$C1084))),Variables!$B$1:$D$1,0),1))*(AV1084/365))+(INDEX(Variables!$B$8:$D$8,IFERROR(MATCH(IF($B1084="Robusta","Robusta",(IF($B1084="","Arabica",$B1084))&amp;" - "&amp;(IF($C1084="","Commercial",$C1084))),Variables!$B$1:$D$1,0),1))*L1084/16.67)),""))</f>
        <v>10.410941413474452</v>
      </c>
      <c r="AX1084" s="9"/>
      <c r="AY1084" s="12"/>
      <c r="AZ1084" s="10"/>
      <c r="BA1084" s="9"/>
      <c r="BB1084" s="10"/>
      <c r="BC1084" s="9"/>
      <c r="BD1084" s="9"/>
      <c r="BE1084" s="9"/>
      <c r="BF1084" s="9"/>
    </row>
    <row r="1085" spans="1:58" x14ac:dyDescent="0.25">
      <c r="A1085" s="9" t="s">
        <v>84</v>
      </c>
      <c r="B1085" s="9" t="s">
        <v>85</v>
      </c>
      <c r="C1085" s="9" t="s">
        <v>1486</v>
      </c>
      <c r="D1085" s="10">
        <v>45737</v>
      </c>
      <c r="E1085" s="10">
        <v>45778</v>
      </c>
      <c r="F1085" s="10">
        <v>45808</v>
      </c>
      <c r="G1085" s="9">
        <v>3786869</v>
      </c>
      <c r="H1085" s="9" t="str">
        <f t="shared" si="98"/>
        <v>Closed</v>
      </c>
      <c r="I1085" s="9" t="str">
        <f t="shared" si="99"/>
        <v>All dates received</v>
      </c>
      <c r="J1085" s="9" t="s">
        <v>1653</v>
      </c>
      <c r="K1085" s="9" t="s">
        <v>2323</v>
      </c>
      <c r="L1085" s="11">
        <v>32</v>
      </c>
      <c r="M1085" s="9" t="s">
        <v>2324</v>
      </c>
      <c r="N1085" s="9"/>
      <c r="O1085" s="9"/>
      <c r="P1085" s="9"/>
      <c r="Q1085" s="11">
        <v>143</v>
      </c>
      <c r="R1085" s="9" t="s">
        <v>195</v>
      </c>
      <c r="S1085" s="9" t="s">
        <v>312</v>
      </c>
      <c r="T1085" s="12">
        <f>IF($H1085="Cancelled","",IFERROR(((Q1085+INDEX(Variables!$B$6:$D$6,IFERROR(MATCH(IF($B1085="Robusta","Robusta",(IF($B1085="","Arabica",$B1085))&amp;" - "&amp;(IF($C1085="","Commercial",$C1085))),Variables!$B$1:$D$1,0),1)))*22.0462)*(L1085/16.67),""))</f>
        <v>18358.520091181763</v>
      </c>
      <c r="U1085" s="10"/>
      <c r="V1085" s="9" t="str">
        <f t="shared" si="103"/>
        <v/>
      </c>
      <c r="W1085" s="10">
        <v>45763</v>
      </c>
      <c r="X1085" s="9" t="str">
        <f t="shared" si="102"/>
        <v>Approved</v>
      </c>
      <c r="Y1085" s="10">
        <v>45803</v>
      </c>
      <c r="Z1085" s="10">
        <f>IF($H1085="Cancelled","",IFERROR(IF(F1085="","",F1085-Variables!$B$13),""))</f>
        <v>45793</v>
      </c>
      <c r="AA1085" s="11">
        <f>IF($H1085="Cancelled","",IFERROR(IF(W1085="","",(AVERAGE(E1085:F1085)-W1085)-Variables!$B$14),""))</f>
        <v>0</v>
      </c>
      <c r="AB1085" s="10">
        <v>45819</v>
      </c>
      <c r="AC1085" s="11">
        <f>IF($H1085="Cancelled","",IFERROR(IF(AB1085="","",IF(AND(W1085="",Y1085=""),"",IF(Y1085&gt;W1085,Y1085+Variables!$B$15+Variables!$B$16+Variables!$B$17-AB1085,W1085+Variables!$B$16+Variables!$B$17-AB1085))),""))</f>
        <v>-1</v>
      </c>
      <c r="AD1085" s="9" t="s">
        <v>163</v>
      </c>
      <c r="AE1085" s="9" t="s">
        <v>844</v>
      </c>
      <c r="AF1085" s="10"/>
      <c r="AG1085" s="10"/>
      <c r="AH1085" s="9"/>
      <c r="AI1085" s="9">
        <v>254966212</v>
      </c>
      <c r="AJ1085" s="9" t="s">
        <v>8</v>
      </c>
      <c r="AK1085" s="10">
        <v>45839</v>
      </c>
      <c r="AL1085" s="10">
        <v>45841</v>
      </c>
      <c r="AM1085" s="10">
        <v>45852</v>
      </c>
      <c r="AN1085" s="9" t="s">
        <v>1492</v>
      </c>
      <c r="AO1085" s="9"/>
      <c r="AP1085" s="11">
        <f>IF($H1085="Cancelled","",IFERROR(IF(OR(AK1085="",AB1085=""),"",(AB1085+Variables!$B$18-AK1085)),""))</f>
        <v>-13</v>
      </c>
      <c r="AQ1085" s="11">
        <f>IF($H1085="Cancelled","",IFERROR(IF(OR(AM1085="",AK1085=""),"",(AK1085+Variables!$B$19)-AM1085),""))</f>
        <v>-8</v>
      </c>
      <c r="AR1085" s="12">
        <f>IF($H1085="Cancelled","",IFERROR(T1085*INDEX(Variables!$B$7:$D$7,IFERROR(MATCH(IF($B1085="Robusta","Robusta",(IF($B1085="","Arabica",$B1085))&amp;" - "&amp;(IF($C1085="","Commercial",$C1085))),Variables!$B$1:$D$1,0),1))*(AQ1085/365),""))</f>
        <v>-25.946252366544673</v>
      </c>
      <c r="AS1085" s="12">
        <f>IF($H1085="Cancelled","",IFERROR((T1085*INDEX(Variables!$B$7:$D$7,IFERROR(MATCH(IF($B1085="Robusta","Robusta",(IF($B1085="","Arabica",$B1085))&amp;" - "&amp;(IF($C1085="","Commercial",$C1085))),Variables!$B$1:$D$1,0),1))*IFERROR(IF(W1085="","",(AVERAGE(E1085:F1085)-W1085)-Variables!$B$14),"")/365)+(L1085/16.67*INDEX(Variables!$B$8:$D$8,IFERROR(MATCH(IF($B1085="Robusta","Robusta",(IF($B1085="","Arabica",$B1085))&amp;" - "&amp;(IF($C1085="","Commercial",$C1085))),Variables!$B$1:$D$1,0),1))*IFERROR(IF(W1085="","",(AVERAGE(E1085:F1085)-W1085)-Variables!$B$14),""))+(T1085*INDEX(Variables!$B$9:$D$9,IFERROR(MATCH(IF($B1085="Robusta","Robusta",(IF($B1085="","Arabica",$B1085))&amp;" - "&amp;(IF($C1085="","Commercial",$C1085))),Variables!$B$1:$D$1,0),1))*IFERROR(IF(W1085="","",(AVERAGE(E1085:F1085)-W1085)-Variables!$B$14),"")/365),""))</f>
        <v>0</v>
      </c>
      <c r="AT1085" s="12">
        <f>IF($H1085="Cancelled","",IFERROR((T1085*INDEX(Variables!$B$7:$D$7,IFERROR(MATCH(IF($B1085="Robusta","Robusta",(IF($B1085="","Arabica",$B1085))&amp;" - "&amp;(IF($C1085="","Commercial",$C1085))),Variables!$B$1:$D$1,0),1))*AC1085/365)+(L1085/16.67*INDEX(Variables!$B$8:$D$8,IFERROR(MATCH(IF($B1085="Robusta","Robusta",(IF($B1085="","Arabica",$B1085))&amp;" - "&amp;(IF($C1085="","Commercial",$C1085))),Variables!$B$1:$D$1,0),1))*AC1085)+(T1085*INDEX(Variables!$B$9:$D$9,IFERROR(MATCH(IF($B1085="Robusta","Robusta",(IF($B1085="","Arabica",$B1085))&amp;" - "&amp;(IF($C1085="","Commercial",$C1085))),Variables!$B$1:$D$1,0),1))*AC1085/365),""))</f>
        <v>-4.885093704042192</v>
      </c>
      <c r="AU1085" s="12">
        <f>IF($H1085="Cancelled","",IFERROR((T1085*INDEX(Variables!$B$7:$D$7,IFERROR(MATCH(IF($B1085="Robusta","Robusta",(IF($B1085="","Arabica",$B1085))&amp;" - "&amp;(IF($C1085="","Commercial",$C1085))),Variables!$B$1:$D$1,0),1))*AP1085/365)+(L1085/16.67*INDEX(Variables!$B$8:$D$8,IFERROR(MATCH(IF($B1085="Robusta","Robusta",(IF($B1085="","Arabica",$B1085))&amp;" - "&amp;(IF($C1085="","Commercial",$C1085))),Variables!$B$1:$D$1,0),1))*AP1085)+(T1085*INDEX(Variables!$B$9:$D$9,IFERROR(MATCH(IF($B1085="Robusta","Robusta",(IF($B1085="","Arabica",$B1085))&amp;" - "&amp;(IF($C1085="","Commercial",$C1085))),Variables!$B$1:$D$1,0),1))*AP1085/365),""))</f>
        <v>-63.506218152548506</v>
      </c>
      <c r="AV1085" s="11">
        <f t="shared" si="100"/>
        <v>-31</v>
      </c>
      <c r="AW1085" s="12">
        <f>IF($H1085="Cancelled","",IFERROR(IF(AV1085="","",(T1085*INDEX(Variables!$B$7:$D$7,IFERROR(MATCH(IF($B1085="Robusta","Robusta",(IF($B1085="","Arabica",$B1085))&amp;" - "&amp;(IF($C1085="","Commercial",$C1085))),Variables!$B$1:$D$1,0),1))*(AV1085/365))+(T1085*INDEX(Variables!$B$9:$D$9,IFERROR(MATCH(IF($B1085="Robusta","Robusta",(IF($B1085="","Arabica",$B1085))&amp;" - "&amp;(IF($C1085="","Commercial",$C1085))),Variables!$B$1:$D$1,0),1))*(AV1085/365))+(INDEX(Variables!$B$8:$D$8,IFERROR(MATCH(IF($B1085="Robusta","Robusta",(IF($B1085="","Arabica",$B1085))&amp;" - "&amp;(IF($C1085="","Commercial",$C1085))),Variables!$B$1:$D$1,0),1))*L1085/16.67)),""))</f>
        <v>-100.23790482530796</v>
      </c>
      <c r="AX1085" s="9"/>
      <c r="AY1085" s="12"/>
      <c r="AZ1085" s="10"/>
      <c r="BA1085" s="9"/>
      <c r="BB1085" s="10"/>
      <c r="BC1085" s="9"/>
      <c r="BD1085" s="9"/>
      <c r="BE1085" s="9"/>
      <c r="BF1085" s="9"/>
    </row>
    <row r="1086" spans="1:58" x14ac:dyDescent="0.25">
      <c r="A1086" s="9" t="s">
        <v>84</v>
      </c>
      <c r="B1086" s="9" t="s">
        <v>85</v>
      </c>
      <c r="C1086" s="9" t="s">
        <v>1486</v>
      </c>
      <c r="D1086" s="10">
        <v>45737</v>
      </c>
      <c r="E1086" s="10">
        <v>45778</v>
      </c>
      <c r="F1086" s="10">
        <v>45808</v>
      </c>
      <c r="G1086" s="9">
        <v>3786870</v>
      </c>
      <c r="H1086" s="9" t="str">
        <f t="shared" si="98"/>
        <v>Closed</v>
      </c>
      <c r="I1086" s="9" t="str">
        <f t="shared" si="99"/>
        <v>All dates received</v>
      </c>
      <c r="J1086" s="9" t="s">
        <v>1653</v>
      </c>
      <c r="K1086" s="9" t="s">
        <v>2325</v>
      </c>
      <c r="L1086" s="11">
        <v>32.5</v>
      </c>
      <c r="M1086" s="9" t="s">
        <v>2326</v>
      </c>
      <c r="N1086" s="9"/>
      <c r="O1086" s="9"/>
      <c r="P1086" s="9"/>
      <c r="Q1086" s="11">
        <v>97</v>
      </c>
      <c r="R1086" s="9" t="s">
        <v>195</v>
      </c>
      <c r="S1086" s="9" t="s">
        <v>312</v>
      </c>
      <c r="T1086" s="12">
        <f>IF($H1086="Cancelled","",IFERROR(((Q1086+INDEX(Variables!$B$6:$D$6,IFERROR(MATCH(IF($B1086="Robusta","Robusta",(IF($B1086="","Arabica",$B1086))&amp;" - "&amp;(IF($C1086="","Commercial",$C1086))),Variables!$B$1:$D$1,0),1)))*22.0462)*(L1086/16.67),""))</f>
        <v>16668.223257348527</v>
      </c>
      <c r="U1086" s="10"/>
      <c r="V1086" s="9" t="str">
        <f t="shared" si="103"/>
        <v/>
      </c>
      <c r="W1086" s="10">
        <v>45763</v>
      </c>
      <c r="X1086" s="9" t="str">
        <f t="shared" si="102"/>
        <v>Approved</v>
      </c>
      <c r="Y1086" s="10">
        <v>45803</v>
      </c>
      <c r="Z1086" s="10">
        <f>IF($H1086="Cancelled","",IFERROR(IF(F1086="","",F1086-Variables!$B$13),""))</f>
        <v>45793</v>
      </c>
      <c r="AA1086" s="11">
        <f>IF($H1086="Cancelled","",IFERROR(IF(W1086="","",(AVERAGE(E1086:F1086)-W1086)-Variables!$B$14),""))</f>
        <v>0</v>
      </c>
      <c r="AB1086" s="10">
        <v>45819</v>
      </c>
      <c r="AC1086" s="11">
        <f>IF($H1086="Cancelled","",IFERROR(IF(AB1086="","",IF(AND(W1086="",Y1086=""),"",IF(Y1086&gt;W1086,Y1086+Variables!$B$15+Variables!$B$16+Variables!$B$17-AB1086,W1086+Variables!$B$16+Variables!$B$17-AB1086))),""))</f>
        <v>-1</v>
      </c>
      <c r="AD1086" s="9" t="s">
        <v>163</v>
      </c>
      <c r="AE1086" s="9" t="s">
        <v>844</v>
      </c>
      <c r="AF1086" s="10"/>
      <c r="AG1086" s="10"/>
      <c r="AH1086" s="9"/>
      <c r="AI1086" s="9">
        <v>254966212</v>
      </c>
      <c r="AJ1086" s="9" t="s">
        <v>8</v>
      </c>
      <c r="AK1086" s="10">
        <v>45839</v>
      </c>
      <c r="AL1086" s="10">
        <v>45841</v>
      </c>
      <c r="AM1086" s="10">
        <v>45852</v>
      </c>
      <c r="AN1086" s="9" t="s">
        <v>1492</v>
      </c>
      <c r="AO1086" s="9"/>
      <c r="AP1086" s="11">
        <f>IF($H1086="Cancelled","",IFERROR(IF(OR(AK1086="",AB1086=""),"",(AB1086+Variables!$B$18-AK1086)),""))</f>
        <v>-13</v>
      </c>
      <c r="AQ1086" s="11">
        <f>IF($H1086="Cancelled","",IFERROR(IF(OR(AM1086="",AK1086=""),"",(AK1086+Variables!$B$19)-AM1086),""))</f>
        <v>-8</v>
      </c>
      <c r="AR1086" s="12">
        <f>IF($H1086="Cancelled","",IFERROR(T1086*INDEX(Variables!$B$7:$D$7,IFERROR(MATCH(IF($B1086="Robusta","Robusta",(IF($B1086="","Arabica",$B1086))&amp;" - "&amp;(IF($C1086="","Commercial",$C1086))),Variables!$B$1:$D$1,0),1))*(AQ1086/365),""))</f>
        <v>-23.557341495342449</v>
      </c>
      <c r="AS1086" s="12">
        <f>IF($H1086="Cancelled","",IFERROR((T1086*INDEX(Variables!$B$7:$D$7,IFERROR(MATCH(IF($B1086="Robusta","Robusta",(IF($B1086="","Arabica",$B1086))&amp;" - "&amp;(IF($C1086="","Commercial",$C1086))),Variables!$B$1:$D$1,0),1))*IFERROR(IF(W1086="","",(AVERAGE(E1086:F1086)-W1086)-Variables!$B$14),"")/365)+(L1086/16.67*INDEX(Variables!$B$8:$D$8,IFERROR(MATCH(IF($B1086="Robusta","Robusta",(IF($B1086="","Arabica",$B1086))&amp;" - "&amp;(IF($C1086="","Commercial",$C1086))),Variables!$B$1:$D$1,0),1))*IFERROR(IF(W1086="","",(AVERAGE(E1086:F1086)-W1086)-Variables!$B$14),""))+(T1086*INDEX(Variables!$B$9:$D$9,IFERROR(MATCH(IF($B1086="Robusta","Robusta",(IF($B1086="","Arabica",$B1086))&amp;" - "&amp;(IF($C1086="","Commercial",$C1086))),Variables!$B$1:$D$1,0),1))*IFERROR(IF(W1086="","",(AVERAGE(E1086:F1086)-W1086)-Variables!$B$14),"")/365),""))</f>
        <v>0</v>
      </c>
      <c r="AT1086" s="12">
        <f>IF($H1086="Cancelled","",IFERROR((T1086*INDEX(Variables!$B$7:$D$7,IFERROR(MATCH(IF($B1086="Robusta","Robusta",(IF($B1086="","Arabica",$B1086))&amp;" - "&amp;(IF($C1086="","Commercial",$C1086))),Variables!$B$1:$D$1,0),1))*AC1086/365)+(L1086/16.67*INDEX(Variables!$B$8:$D$8,IFERROR(MATCH(IF($B1086="Robusta","Robusta",(IF($B1086="","Arabica",$B1086))&amp;" - "&amp;(IF($C1086="","Commercial",$C1086))),Variables!$B$1:$D$1,0),1))*AC1086)+(T1086*INDEX(Variables!$B$9:$D$9,IFERROR(MATCH(IF($B1086="Robusta","Robusta",(IF($B1086="","Arabica",$B1086))&amp;" - "&amp;(IF($C1086="","Commercial",$C1086))),Variables!$B$1:$D$1,0),1))*AC1086/365),""))</f>
        <v>-4.6076301362159811</v>
      </c>
      <c r="AU1086" s="12">
        <f>IF($H1086="Cancelled","",IFERROR((T1086*INDEX(Variables!$B$7:$D$7,IFERROR(MATCH(IF($B1086="Robusta","Robusta",(IF($B1086="","Arabica",$B1086))&amp;" - "&amp;(IF($C1086="","Commercial",$C1086))),Variables!$B$1:$D$1,0),1))*AP1086/365)+(L1086/16.67*INDEX(Variables!$B$8:$D$8,IFERROR(MATCH(IF($B1086="Robusta","Robusta",(IF($B1086="","Arabica",$B1086))&amp;" - "&amp;(IF($C1086="","Commercial",$C1086))),Variables!$B$1:$D$1,0),1))*AP1086)+(T1086*INDEX(Variables!$B$9:$D$9,IFERROR(MATCH(IF($B1086="Robusta","Robusta",(IF($B1086="","Arabica",$B1086))&amp;" - "&amp;(IF($C1086="","Commercial",$C1086))),Variables!$B$1:$D$1,0),1))*AP1086/365),""))</f>
        <v>-59.899191770807754</v>
      </c>
      <c r="AV1086" s="11">
        <f t="shared" si="100"/>
        <v>-31</v>
      </c>
      <c r="AW1086" s="12">
        <f>IF($H1086="Cancelled","",IFERROR(IF(AV1086="","",(T1086*INDEX(Variables!$B$7:$D$7,IFERROR(MATCH(IF($B1086="Robusta","Robusta",(IF($B1086="","Arabica",$B1086))&amp;" - "&amp;(IF($C1086="","Commercial",$C1086))),Variables!$B$1:$D$1,0),1))*(AV1086/365))+(T1086*INDEX(Variables!$B$9:$D$9,IFERROR(MATCH(IF($B1086="Robusta","Robusta",(IF($B1086="","Arabica",$B1086))&amp;" - "&amp;(IF($C1086="","Commercial",$C1086))),Variables!$B$1:$D$1,0),1))*(AV1086/365))+(INDEX(Variables!$B$8:$D$8,IFERROR(MATCH(IF($B1086="Robusta","Robusta",(IF($B1086="","Arabica",$B1086))&amp;" - "&amp;(IF($C1086="","Commercial",$C1086))),Variables!$B$1:$D$1,0),1))*L1086/16.67)),""))</f>
        <v>-90.836534222695406</v>
      </c>
      <c r="AX1086" s="9"/>
      <c r="AY1086" s="12"/>
      <c r="AZ1086" s="10"/>
      <c r="BA1086" s="9"/>
      <c r="BB1086" s="10"/>
      <c r="BC1086" s="9"/>
      <c r="BD1086" s="9"/>
      <c r="BE1086" s="9"/>
      <c r="BF1086" s="9"/>
    </row>
    <row r="1087" spans="1:58" x14ac:dyDescent="0.25">
      <c r="A1087" s="9" t="s">
        <v>84</v>
      </c>
      <c r="B1087" s="9" t="s">
        <v>85</v>
      </c>
      <c r="C1087" s="9" t="s">
        <v>1486</v>
      </c>
      <c r="D1087" s="10">
        <v>45737</v>
      </c>
      <c r="E1087" s="10">
        <v>45778</v>
      </c>
      <c r="F1087" s="10">
        <v>45808</v>
      </c>
      <c r="G1087" s="9">
        <v>3786871</v>
      </c>
      <c r="H1087" s="9" t="str">
        <f t="shared" si="98"/>
        <v>Closed</v>
      </c>
      <c r="I1087" s="9" t="str">
        <f t="shared" si="99"/>
        <v>All dates received</v>
      </c>
      <c r="J1087" s="9" t="s">
        <v>1653</v>
      </c>
      <c r="K1087" s="9" t="s">
        <v>2327</v>
      </c>
      <c r="L1087" s="11">
        <v>16</v>
      </c>
      <c r="M1087" s="9" t="s">
        <v>2328</v>
      </c>
      <c r="N1087" s="9"/>
      <c r="O1087" s="9"/>
      <c r="P1087" s="9"/>
      <c r="Q1087" s="11">
        <v>121</v>
      </c>
      <c r="R1087" s="9" t="s">
        <v>195</v>
      </c>
      <c r="S1087" s="9" t="s">
        <v>312</v>
      </c>
      <c r="T1087" s="12">
        <f>IF($H1087="Cancelled","",IFERROR(((Q1087+INDEX(Variables!$B$6:$D$6,IFERROR(MATCH(IF($B1087="Robusta","Robusta",(IF($B1087="","Arabica",$B1087))&amp;" - "&amp;(IF($C1087="","Commercial",$C1087))),Variables!$B$1:$D$1,0),1)))*22.0462)*(L1087/16.67),""))</f>
        <v>8713.7374061187747</v>
      </c>
      <c r="U1087" s="10"/>
      <c r="V1087" s="9" t="str">
        <f t="shared" si="103"/>
        <v/>
      </c>
      <c r="W1087" s="10">
        <v>45763</v>
      </c>
      <c r="X1087" s="9" t="str">
        <f t="shared" si="102"/>
        <v>Approved</v>
      </c>
      <c r="Y1087" s="10">
        <v>45803</v>
      </c>
      <c r="Z1087" s="10">
        <f>IF($H1087="Cancelled","",IFERROR(IF(F1087="","",F1087-Variables!$B$13),""))</f>
        <v>45793</v>
      </c>
      <c r="AA1087" s="11">
        <f>IF($H1087="Cancelled","",IFERROR(IF(W1087="","",(AVERAGE(E1087:F1087)-W1087)-Variables!$B$14),""))</f>
        <v>0</v>
      </c>
      <c r="AB1087" s="10">
        <v>45819</v>
      </c>
      <c r="AC1087" s="11">
        <f>IF($H1087="Cancelled","",IFERROR(IF(AB1087="","",IF(AND(W1087="",Y1087=""),"",IF(Y1087&gt;W1087,Y1087+Variables!$B$15+Variables!$B$16+Variables!$B$17-AB1087,W1087+Variables!$B$16+Variables!$B$17-AB1087))),""))</f>
        <v>-1</v>
      </c>
      <c r="AD1087" s="9" t="s">
        <v>163</v>
      </c>
      <c r="AE1087" s="9" t="s">
        <v>844</v>
      </c>
      <c r="AF1087" s="10"/>
      <c r="AG1087" s="10"/>
      <c r="AH1087" s="9"/>
      <c r="AI1087" s="9">
        <v>254966212</v>
      </c>
      <c r="AJ1087" s="9" t="s">
        <v>8</v>
      </c>
      <c r="AK1087" s="10">
        <v>45839</v>
      </c>
      <c r="AL1087" s="10">
        <v>45841</v>
      </c>
      <c r="AM1087" s="10">
        <v>45852</v>
      </c>
      <c r="AN1087" s="9" t="s">
        <v>1492</v>
      </c>
      <c r="AO1087" s="9"/>
      <c r="AP1087" s="11">
        <f>IF($H1087="Cancelled","",IFERROR(IF(OR(AK1087="",AB1087=""),"",(AB1087+Variables!$B$18-AK1087)),""))</f>
        <v>-13</v>
      </c>
      <c r="AQ1087" s="11">
        <f>IF($H1087="Cancelled","",IFERROR(IF(OR(AM1087="",AK1087=""),"",(AK1087+Variables!$B$19)-AM1087),""))</f>
        <v>-8</v>
      </c>
      <c r="AR1087" s="12">
        <f>IF($H1087="Cancelled","",IFERROR(T1087*INDEX(Variables!$B$7:$D$7,IFERROR(MATCH(IF($B1087="Robusta","Robusta",(IF($B1087="","Arabica",$B1087))&amp;" - "&amp;(IF($C1087="","Commercial",$C1087))),Variables!$B$1:$D$1,0),1))*(AQ1087/365),""))</f>
        <v>-12.315199083152484</v>
      </c>
      <c r="AS1087" s="12">
        <f>IF($H1087="Cancelled","",IFERROR((T1087*INDEX(Variables!$B$7:$D$7,IFERROR(MATCH(IF($B1087="Robusta","Robusta",(IF($B1087="","Arabica",$B1087))&amp;" - "&amp;(IF($C1087="","Commercial",$C1087))),Variables!$B$1:$D$1,0),1))*IFERROR(IF(W1087="","",(AVERAGE(E1087:F1087)-W1087)-Variables!$B$14),"")/365)+(L1087/16.67*INDEX(Variables!$B$8:$D$8,IFERROR(MATCH(IF($B1087="Robusta","Robusta",(IF($B1087="","Arabica",$B1087))&amp;" - "&amp;(IF($C1087="","Commercial",$C1087))),Variables!$B$1:$D$1,0),1))*IFERROR(IF(W1087="","",(AVERAGE(E1087:F1087)-W1087)-Variables!$B$14),""))+(T1087*INDEX(Variables!$B$9:$D$9,IFERROR(MATCH(IF($B1087="Robusta","Robusta",(IF($B1087="","Arabica",$B1087))&amp;" - "&amp;(IF($C1087="","Commercial",$C1087))),Variables!$B$1:$D$1,0),1))*IFERROR(IF(W1087="","",(AVERAGE(E1087:F1087)-W1087)-Variables!$B$14),"")/365),""))</f>
        <v>0</v>
      </c>
      <c r="AT1087" s="12">
        <f>IF($H1087="Cancelled","",IFERROR((T1087*INDEX(Variables!$B$7:$D$7,IFERROR(MATCH(IF($B1087="Robusta","Robusta",(IF($B1087="","Arabica",$B1087))&amp;" - "&amp;(IF($C1087="","Commercial",$C1087))),Variables!$B$1:$D$1,0),1))*AC1087/365)+(L1087/16.67*INDEX(Variables!$B$8:$D$8,IFERROR(MATCH(IF($B1087="Robusta","Robusta",(IF($B1087="","Arabica",$B1087))&amp;" - "&amp;(IF($C1087="","Commercial",$C1087))),Variables!$B$1:$D$1,0),1))*AC1087)+(T1087*INDEX(Variables!$B$9:$D$9,IFERROR(MATCH(IF($B1087="Robusta","Robusta",(IF($B1087="","Arabica",$B1087))&amp;" - "&amp;(IF($C1087="","Commercial",$C1087))),Variables!$B$1:$D$1,0),1))*AC1087/365),""))</f>
        <v>-2.3592457207521607</v>
      </c>
      <c r="AU1087" s="12">
        <f>IF($H1087="Cancelled","",IFERROR((T1087*INDEX(Variables!$B$7:$D$7,IFERROR(MATCH(IF($B1087="Robusta","Robusta",(IF($B1087="","Arabica",$B1087))&amp;" - "&amp;(IF($C1087="","Commercial",$C1087))),Variables!$B$1:$D$1,0),1))*AP1087/365)+(L1087/16.67*INDEX(Variables!$B$8:$D$8,IFERROR(MATCH(IF($B1087="Robusta","Robusta",(IF($B1087="","Arabica",$B1087))&amp;" - "&amp;(IF($C1087="","Commercial",$C1087))),Variables!$B$1:$D$1,0),1))*AP1087)+(T1087*INDEX(Variables!$B$9:$D$9,IFERROR(MATCH(IF($B1087="Robusta","Robusta",(IF($B1087="","Arabica",$B1087))&amp;" - "&amp;(IF($C1087="","Commercial",$C1087))),Variables!$B$1:$D$1,0),1))*AP1087/365),""))</f>
        <v>-30.670194369778088</v>
      </c>
      <c r="AV1087" s="11">
        <f t="shared" si="100"/>
        <v>-31</v>
      </c>
      <c r="AW1087" s="12">
        <f>IF($H1087="Cancelled","",IFERROR(IF(AV1087="","",(T1087*INDEX(Variables!$B$7:$D$7,IFERROR(MATCH(IF($B1087="Robusta","Robusta",(IF($B1087="","Arabica",$B1087))&amp;" - "&amp;(IF($C1087="","Commercial",$C1087))),Variables!$B$1:$D$1,0),1))*(AV1087/365))+(T1087*INDEX(Variables!$B$9:$D$9,IFERROR(MATCH(IF($B1087="Robusta","Robusta",(IF($B1087="","Arabica",$B1087))&amp;" - "&amp;(IF($C1087="","Commercial",$C1087))),Variables!$B$1:$D$1,0),1))*(AV1087/365))+(INDEX(Variables!$B$8:$D$8,IFERROR(MATCH(IF($B1087="Robusta","Robusta",(IF($B1087="","Arabica",$B1087))&amp;" - "&amp;(IF($C1087="","Commercial",$C1087))),Variables!$B$1:$D$1,0),1))*L1087/16.67)),""))</f>
        <v>-47.536617343316976</v>
      </c>
      <c r="AX1087" s="9"/>
      <c r="AY1087" s="12"/>
      <c r="AZ1087" s="10"/>
      <c r="BA1087" s="9"/>
      <c r="BB1087" s="10"/>
      <c r="BC1087" s="9"/>
      <c r="BD1087" s="9"/>
      <c r="BE1087" s="9"/>
      <c r="BF1087" s="9"/>
    </row>
    <row r="1088" spans="1:58" x14ac:dyDescent="0.25">
      <c r="A1088" s="9" t="s">
        <v>84</v>
      </c>
      <c r="B1088" s="9" t="s">
        <v>85</v>
      </c>
      <c r="C1088" s="9" t="s">
        <v>1486</v>
      </c>
      <c r="D1088" s="10">
        <v>45749</v>
      </c>
      <c r="E1088" s="10">
        <v>45778</v>
      </c>
      <c r="F1088" s="10">
        <v>45808</v>
      </c>
      <c r="G1088" s="9">
        <v>3786884</v>
      </c>
      <c r="H1088" s="9" t="str">
        <f t="shared" si="98"/>
        <v>Closed</v>
      </c>
      <c r="I1088" s="9" t="str">
        <f t="shared" si="99"/>
        <v>All dates received</v>
      </c>
      <c r="J1088" s="9" t="s">
        <v>303</v>
      </c>
      <c r="K1088" s="9" t="s">
        <v>2329</v>
      </c>
      <c r="L1088" s="11">
        <v>16</v>
      </c>
      <c r="M1088" s="9" t="s">
        <v>2330</v>
      </c>
      <c r="N1088" s="9"/>
      <c r="O1088" s="9"/>
      <c r="P1088" s="9"/>
      <c r="Q1088" s="11">
        <v>53</v>
      </c>
      <c r="R1088" s="9" t="s">
        <v>195</v>
      </c>
      <c r="S1088" s="9" t="s">
        <v>91</v>
      </c>
      <c r="T1088" s="12">
        <f>IF($H1088="Cancelled","",IFERROR(((Q1088+INDEX(Variables!$B$6:$D$6,IFERROR(MATCH(IF($B1088="Robusta","Robusta",(IF($B1088="","Arabica",$B1088))&amp;" - "&amp;(IF($C1088="","Commercial",$C1088))),Variables!$B$1:$D$1,0),1)))*22.0462)*(L1088/16.67),""))</f>
        <v>7274.8492477504487</v>
      </c>
      <c r="U1088" s="10"/>
      <c r="V1088" s="9" t="str">
        <f t="shared" si="103"/>
        <v/>
      </c>
      <c r="W1088" s="10">
        <v>45732</v>
      </c>
      <c r="X1088" s="9" t="str">
        <f t="shared" si="102"/>
        <v>Approved</v>
      </c>
      <c r="Y1088" s="10">
        <v>45793</v>
      </c>
      <c r="Z1088" s="10">
        <f>IF($H1088="Cancelled","",IFERROR(IF(F1088="","",F1088-Variables!$B$13),""))</f>
        <v>45793</v>
      </c>
      <c r="AA1088" s="11">
        <f>IF($H1088="Cancelled","",IFERROR(IF(W1088="","",(AVERAGE(E1088:F1088)-W1088)-Variables!$B$14),""))</f>
        <v>31</v>
      </c>
      <c r="AB1088" s="10">
        <v>45789</v>
      </c>
      <c r="AC1088" s="11">
        <f>IF($H1088="Cancelled","",IFERROR(IF(AB1088="","",IF(AND(W1088="",Y1088=""),"",IF(Y1088&gt;W1088,Y1088+Variables!$B$15+Variables!$B$16+Variables!$B$17-AB1088,W1088+Variables!$B$16+Variables!$B$17-AB1088))),""))</f>
        <v>19</v>
      </c>
      <c r="AD1088" s="9" t="s">
        <v>163</v>
      </c>
      <c r="AE1088" s="9" t="s">
        <v>760</v>
      </c>
      <c r="AF1088" s="10"/>
      <c r="AG1088" s="10"/>
      <c r="AH1088" s="9"/>
      <c r="AI1088" s="9">
        <v>253467055</v>
      </c>
      <c r="AJ1088" s="9" t="s">
        <v>8</v>
      </c>
      <c r="AK1088" s="10">
        <v>45798</v>
      </c>
      <c r="AL1088" s="10">
        <v>45807</v>
      </c>
      <c r="AM1088" s="10">
        <v>45812</v>
      </c>
      <c r="AN1088" s="9" t="s">
        <v>1492</v>
      </c>
      <c r="AO1088" s="9"/>
      <c r="AP1088" s="11">
        <f>IF($H1088="Cancelled","",IFERROR(IF(OR(AK1088="",AB1088=""),"",(AB1088+Variables!$B$18-AK1088)),""))</f>
        <v>-2</v>
      </c>
      <c r="AQ1088" s="11">
        <f>IF($H1088="Cancelled","",IFERROR(IF(OR(AM1088="",AK1088=""),"",(AK1088+Variables!$B$19)-AM1088),""))</f>
        <v>-9</v>
      </c>
      <c r="AR1088" s="12">
        <f>IF($H1088="Cancelled","",IFERROR(T1088*INDEX(Variables!$B$7:$D$7,IFERROR(MATCH(IF($B1088="Robusta","Robusta",(IF($B1088="","Arabica",$B1088))&amp;" - "&amp;(IF($C1088="","Commercial",$C1088))),Variables!$B$1:$D$1,0),1))*(AQ1088/365),""))</f>
        <v>-11.566807006766153</v>
      </c>
      <c r="AS1088" s="12">
        <f>IF($H1088="Cancelled","",IFERROR((T1088*INDEX(Variables!$B$7:$D$7,IFERROR(MATCH(IF($B1088="Robusta","Robusta",(IF($B1088="","Arabica",$B1088))&amp;" - "&amp;(IF($C1088="","Commercial",$C1088))),Variables!$B$1:$D$1,0),1))*IFERROR(IF(W1088="","",(AVERAGE(E1088:F1088)-W1088)-Variables!$B$14),"")/365)+(L1088/16.67*INDEX(Variables!$B$8:$D$8,IFERROR(MATCH(IF($B1088="Robusta","Robusta",(IF($B1088="","Arabica",$B1088))&amp;" - "&amp;(IF($C1088="","Commercial",$C1088))),Variables!$B$1:$D$1,0),1))*IFERROR(IF(W1088="","",(AVERAGE(E1088:F1088)-W1088)-Variables!$B$14),""))+(T1088*INDEX(Variables!$B$9:$D$9,IFERROR(MATCH(IF($B1088="Robusta","Robusta",(IF($B1088="","Arabica",$B1088))&amp;" - "&amp;(IF($C1088="","Commercial",$C1088))),Variables!$B$1:$D$1,0),1))*IFERROR(IF(W1088="","",(AVERAGE(E1088:F1088)-W1088)-Variables!$B$14),"")/365),""))</f>
        <v>65.154854401729906</v>
      </c>
      <c r="AT1088" s="12">
        <f>IF($H1088="Cancelled","",IFERROR((T1088*INDEX(Variables!$B$7:$D$7,IFERROR(MATCH(IF($B1088="Robusta","Robusta",(IF($B1088="","Arabica",$B1088))&amp;" - "&amp;(IF($C1088="","Commercial",$C1088))),Variables!$B$1:$D$1,0),1))*AC1088/365)+(L1088/16.67*INDEX(Variables!$B$8:$D$8,IFERROR(MATCH(IF($B1088="Robusta","Robusta",(IF($B1088="","Arabica",$B1088))&amp;" - "&amp;(IF($C1088="","Commercial",$C1088))),Variables!$B$1:$D$1,0),1))*AC1088)+(T1088*INDEX(Variables!$B$9:$D$9,IFERROR(MATCH(IF($B1088="Robusta","Robusta",(IF($B1088="","Arabica",$B1088))&amp;" - "&amp;(IF($C1088="","Commercial",$C1088))),Variables!$B$1:$D$1,0),1))*AC1088/365),""))</f>
        <v>39.933620439769946</v>
      </c>
      <c r="AU1088" s="12">
        <f>IF($H1088="Cancelled","",IFERROR((T1088*INDEX(Variables!$B$7:$D$7,IFERROR(MATCH(IF($B1088="Robusta","Robusta",(IF($B1088="","Arabica",$B1088))&amp;" - "&amp;(IF($C1088="","Commercial",$C1088))),Variables!$B$1:$D$1,0),1))*AP1088/365)+(L1088/16.67*INDEX(Variables!$B$8:$D$8,IFERROR(MATCH(IF($B1088="Robusta","Robusta",(IF($B1088="","Arabica",$B1088))&amp;" - "&amp;(IF($C1088="","Commercial",$C1088))),Variables!$B$1:$D$1,0),1))*AP1088)+(T1088*INDEX(Variables!$B$9:$D$9,IFERROR(MATCH(IF($B1088="Robusta","Robusta",(IF($B1088="","Arabica",$B1088))&amp;" - "&amp;(IF($C1088="","Commercial",$C1088))),Variables!$B$1:$D$1,0),1))*AP1088/365),""))</f>
        <v>-4.2035389936599943</v>
      </c>
      <c r="AV1088" s="11">
        <f t="shared" si="100"/>
        <v>10</v>
      </c>
      <c r="AW1088" s="12">
        <f>IF($H1088="Cancelled","",IFERROR(IF(AV1088="","",(T1088*INDEX(Variables!$B$7:$D$7,IFERROR(MATCH(IF($B1088="Robusta","Robusta",(IF($B1088="","Arabica",$B1088))&amp;" - "&amp;(IF($C1088="","Commercial",$C1088))),Variables!$B$1:$D$1,0),1))*(AV1088/365))+(T1088*INDEX(Variables!$B$9:$D$9,IFERROR(MATCH(IF($B1088="Robusta","Robusta",(IF($B1088="","Arabica",$B1088))&amp;" - "&amp;(IF($C1088="","Commercial",$C1088))),Variables!$B$1:$D$1,0),1))*(AV1088/365))+(INDEX(Variables!$B$8:$D$8,IFERROR(MATCH(IF($B1088="Robusta","Robusta",(IF($B1088="","Arabica",$B1088))&amp;" - "&amp;(IF($C1088="","Commercial",$C1088))),Variables!$B$1:$D$1,0),1))*L1088/16.67)),""))</f>
        <v>13.817694968299971</v>
      </c>
      <c r="AX1088" s="9"/>
      <c r="AY1088" s="12"/>
      <c r="AZ1088" s="10"/>
      <c r="BA1088" s="9"/>
      <c r="BB1088" s="10"/>
      <c r="BC1088" s="9"/>
      <c r="BD1088" s="9"/>
      <c r="BE1088" s="9"/>
      <c r="BF1088" s="9"/>
    </row>
    <row r="1089" spans="1:58" x14ac:dyDescent="0.25">
      <c r="A1089" s="9" t="s">
        <v>84</v>
      </c>
      <c r="B1089" s="9" t="s">
        <v>85</v>
      </c>
      <c r="C1089" s="9" t="s">
        <v>1486</v>
      </c>
      <c r="D1089" s="10">
        <v>45751</v>
      </c>
      <c r="E1089" s="10">
        <v>45778</v>
      </c>
      <c r="F1089" s="10">
        <v>45808</v>
      </c>
      <c r="G1089" s="9">
        <v>3786890</v>
      </c>
      <c r="H1089" s="9" t="str">
        <f t="shared" si="98"/>
        <v>Closed</v>
      </c>
      <c r="I1089" s="9" t="str">
        <f t="shared" si="99"/>
        <v>All dates received</v>
      </c>
      <c r="J1089" s="9" t="s">
        <v>204</v>
      </c>
      <c r="K1089" s="9" t="s">
        <v>2331</v>
      </c>
      <c r="L1089" s="11">
        <v>9</v>
      </c>
      <c r="M1089" s="9" t="s">
        <v>2332</v>
      </c>
      <c r="N1089" s="9"/>
      <c r="O1089" s="9"/>
      <c r="P1089" s="9"/>
      <c r="Q1089" s="11">
        <v>118</v>
      </c>
      <c r="R1089" s="9" t="s">
        <v>195</v>
      </c>
      <c r="S1089" s="9" t="s">
        <v>156</v>
      </c>
      <c r="T1089" s="12">
        <f>IF($H1089="Cancelled","",IFERROR(((Q1089+INDEX(Variables!$B$6:$D$6,IFERROR(MATCH(IF($B1089="Robusta","Robusta",(IF($B1089="","Arabica",$B1089))&amp;" - "&amp;(IF($C1089="","Commercial",$C1089))),Variables!$B$1:$D$1,0),1)))*22.0462)*(L1089/16.67),""))</f>
        <v>4865.7695884823033</v>
      </c>
      <c r="U1089" s="10"/>
      <c r="V1089" s="9" t="str">
        <f t="shared" si="103"/>
        <v/>
      </c>
      <c r="W1089" s="10">
        <v>45732</v>
      </c>
      <c r="X1089" s="9" t="str">
        <f t="shared" si="102"/>
        <v>Approved</v>
      </c>
      <c r="Y1089" s="10">
        <v>45793</v>
      </c>
      <c r="Z1089" s="10">
        <f>IF($H1089="Cancelled","",IFERROR(IF(F1089="","",F1089-Variables!$B$13),""))</f>
        <v>45793</v>
      </c>
      <c r="AA1089" s="11">
        <f>IF($H1089="Cancelled","",IFERROR(IF(W1089="","",(AVERAGE(E1089:F1089)-W1089)-Variables!$B$14),""))</f>
        <v>31</v>
      </c>
      <c r="AB1089" s="10">
        <v>45798</v>
      </c>
      <c r="AC1089" s="11">
        <f>IF($H1089="Cancelled","",IFERROR(IF(AB1089="","",IF(AND(W1089="",Y1089=""),"",IF(Y1089&gt;W1089,Y1089+Variables!$B$15+Variables!$B$16+Variables!$B$17-AB1089,W1089+Variables!$B$16+Variables!$B$17-AB1089))),""))</f>
        <v>10</v>
      </c>
      <c r="AD1089" s="9" t="s">
        <v>180</v>
      </c>
      <c r="AE1089" s="9" t="s">
        <v>2247</v>
      </c>
      <c r="AF1089" s="10"/>
      <c r="AG1089" s="10"/>
      <c r="AH1089" s="9"/>
      <c r="AI1089" s="9" t="s">
        <v>2248</v>
      </c>
      <c r="AJ1089" s="9" t="s">
        <v>2249</v>
      </c>
      <c r="AK1089" s="10">
        <v>45811</v>
      </c>
      <c r="AL1089" s="10">
        <v>45815</v>
      </c>
      <c r="AM1089" s="10">
        <v>45838</v>
      </c>
      <c r="AN1089" s="9" t="s">
        <v>1492</v>
      </c>
      <c r="AO1089" s="9"/>
      <c r="AP1089" s="11">
        <f>IF($H1089="Cancelled","",IFERROR(IF(OR(AK1089="",AB1089=""),"",(AB1089+Variables!$B$18-AK1089)),""))</f>
        <v>-6</v>
      </c>
      <c r="AQ1089" s="11">
        <f>IF($H1089="Cancelled","",IFERROR(IF(OR(AM1089="",AK1089=""),"",(AK1089+Variables!$B$19)-AM1089),""))</f>
        <v>-22</v>
      </c>
      <c r="AR1089" s="12">
        <f>IF($H1089="Cancelled","",IFERROR(T1089*INDEX(Variables!$B$7:$D$7,IFERROR(MATCH(IF($B1089="Robusta","Robusta",(IF($B1089="","Arabica",$B1089))&amp;" - "&amp;(IF($C1089="","Commercial",$C1089))),Variables!$B$1:$D$1,0),1))*(AQ1089/365),""))</f>
        <v>-18.91129208406997</v>
      </c>
      <c r="AS1089" s="12">
        <f>IF($H1089="Cancelled","",IFERROR((T1089*INDEX(Variables!$B$7:$D$7,IFERROR(MATCH(IF($B1089="Robusta","Robusta",(IF($B1089="","Arabica",$B1089))&amp;" - "&amp;(IF($C1089="","Commercial",$C1089))),Variables!$B$1:$D$1,0),1))*IFERROR(IF(W1089="","",(AVERAGE(E1089:F1089)-W1089)-Variables!$B$14),"")/365)+(L1089/16.67*INDEX(Variables!$B$8:$D$8,IFERROR(MATCH(IF($B1089="Robusta","Robusta",(IF($B1089="","Arabica",$B1089))&amp;" - "&amp;(IF($C1089="","Commercial",$C1089))),Variables!$B$1:$D$1,0),1))*IFERROR(IF(W1089="","",(AVERAGE(E1089:F1089)-W1089)-Variables!$B$14),""))+(T1089*INDEX(Variables!$B$9:$D$9,IFERROR(MATCH(IF($B1089="Robusta","Robusta",(IF($B1089="","Arabica",$B1089))&amp;" - "&amp;(IF($C1089="","Commercial",$C1089))),Variables!$B$1:$D$1,0),1))*IFERROR(IF(W1089="","",(AVERAGE(E1089:F1089)-W1089)-Variables!$B$14),"")/365),""))</f>
        <v>40.941270417910971</v>
      </c>
      <c r="AT1089" s="12">
        <f>IF($H1089="Cancelled","",IFERROR((T1089*INDEX(Variables!$B$7:$D$7,IFERROR(MATCH(IF($B1089="Robusta","Robusta",(IF($B1089="","Arabica",$B1089))&amp;" - "&amp;(IF($C1089="","Commercial",$C1089))),Variables!$B$1:$D$1,0),1))*AC1089/365)+(L1089/16.67*INDEX(Variables!$B$8:$D$8,IFERROR(MATCH(IF($B1089="Robusta","Robusta",(IF($B1089="","Arabica",$B1089))&amp;" - "&amp;(IF($C1089="","Commercial",$C1089))),Variables!$B$1:$D$1,0),1))*AC1089)+(T1089*INDEX(Variables!$B$9:$D$9,IFERROR(MATCH(IF($B1089="Robusta","Robusta",(IF($B1089="","Arabica",$B1089))&amp;" - "&amp;(IF($C1089="","Commercial",$C1089))),Variables!$B$1:$D$1,0),1))*AC1089/365),""))</f>
        <v>13.206861425132574</v>
      </c>
      <c r="AU1089" s="12">
        <f>IF($H1089="Cancelled","",IFERROR((T1089*INDEX(Variables!$B$7:$D$7,IFERROR(MATCH(IF($B1089="Robusta","Robusta",(IF($B1089="","Arabica",$B1089))&amp;" - "&amp;(IF($C1089="","Commercial",$C1089))),Variables!$B$1:$D$1,0),1))*AP1089/365)+(L1089/16.67*INDEX(Variables!$B$8:$D$8,IFERROR(MATCH(IF($B1089="Robusta","Robusta",(IF($B1089="","Arabica",$B1089))&amp;" - "&amp;(IF($C1089="","Commercial",$C1089))),Variables!$B$1:$D$1,0),1))*AP1089)+(T1089*INDEX(Variables!$B$9:$D$9,IFERROR(MATCH(IF($B1089="Robusta","Robusta",(IF($B1089="","Arabica",$B1089))&amp;" - "&amp;(IF($C1089="","Commercial",$C1089))),Variables!$B$1:$D$1,0),1))*AP1089/365),""))</f>
        <v>-7.9241168550795438</v>
      </c>
      <c r="AV1089" s="11">
        <f t="shared" si="100"/>
        <v>-3</v>
      </c>
      <c r="AW1089" s="12">
        <f>IF($H1089="Cancelled","",IFERROR(IF(AV1089="","",(T1089*INDEX(Variables!$B$7:$D$7,IFERROR(MATCH(IF($B1089="Robusta","Robusta",(IF($B1089="","Arabica",$B1089))&amp;" - "&amp;(IF($C1089="","Commercial",$C1089))),Variables!$B$1:$D$1,0),1))*(AV1089/365))+(T1089*INDEX(Variables!$B$9:$D$9,IFERROR(MATCH(IF($B1089="Robusta","Robusta",(IF($B1089="","Arabica",$B1089))&amp;" - "&amp;(IF($C1089="","Commercial",$C1089))),Variables!$B$1:$D$1,0),1))*(AV1089/365))+(INDEX(Variables!$B$8:$D$8,IFERROR(MATCH(IF($B1089="Robusta","Robusta",(IF($B1089="","Arabica",$B1089))&amp;" - "&amp;(IF($C1089="","Commercial",$C1089))),Variables!$B$1:$D$1,0),1))*L1089/16.67)),""))</f>
        <v>-2.1620584275397712</v>
      </c>
      <c r="AX1089" s="9"/>
      <c r="AY1089" s="12"/>
      <c r="AZ1089" s="10"/>
      <c r="BA1089" s="9"/>
      <c r="BB1089" s="10"/>
      <c r="BC1089" s="9"/>
      <c r="BD1089" s="9"/>
      <c r="BE1089" s="9"/>
      <c r="BF1089" s="9"/>
    </row>
    <row r="1090" spans="1:58" x14ac:dyDescent="0.25">
      <c r="A1090" s="9" t="s">
        <v>84</v>
      </c>
      <c r="B1090" s="9" t="s">
        <v>85</v>
      </c>
      <c r="C1090" s="9" t="s">
        <v>1486</v>
      </c>
      <c r="D1090" s="10">
        <v>45751</v>
      </c>
      <c r="E1090" s="10">
        <v>45778</v>
      </c>
      <c r="F1090" s="10">
        <v>45808</v>
      </c>
      <c r="G1090" s="9">
        <v>3786891</v>
      </c>
      <c r="H1090" s="9" t="str">
        <f t="shared" ref="H1090:H1153" si="104">IF(ISNUMBER(SEARCH("cancel",AN1090)),"Cancelled",IF(AND(AK1090&lt;&gt;"",AL1090&lt;&gt;"",AM1090&lt;&gt;""),"Closed","Open"))</f>
        <v>Closed</v>
      </c>
      <c r="I1090" s="9" t="str">
        <f t="shared" ref="I1090:I1153" si="105">IF(AND(AK1090&lt;&gt;"",AL1090&lt;&gt;"",AM1090&lt;&gt;""),"All dates received",_xlfn.TEXTJOIN(" and ",TRUE(),IF(AK1090="","No sailing date",""),IF(AL1090="","No shipping advice sent",""),IF(AM1090="","No docs dispatch date","")))</f>
        <v>All dates received</v>
      </c>
      <c r="J1090" s="9" t="s">
        <v>204</v>
      </c>
      <c r="K1090" s="9" t="s">
        <v>2333</v>
      </c>
      <c r="L1090" s="11">
        <v>195</v>
      </c>
      <c r="M1090" s="9" t="s">
        <v>2334</v>
      </c>
      <c r="N1090" s="9"/>
      <c r="O1090" s="9"/>
      <c r="P1090" s="9"/>
      <c r="Q1090" s="11">
        <v>87</v>
      </c>
      <c r="R1090" s="9" t="s">
        <v>195</v>
      </c>
      <c r="S1090" s="9" t="s">
        <v>156</v>
      </c>
      <c r="T1090" s="12">
        <f>IF($H1090="Cancelled","",IFERROR(((Q1090+INDEX(Variables!$B$6:$D$6,IFERROR(MATCH(IF($B1090="Robusta","Robusta",(IF($B1090="","Arabica",$B1090))&amp;" - "&amp;(IF($C1090="","Commercial",$C1090))),Variables!$B$1:$D$1,0),1)))*22.0462)*(L1090/16.67),""))</f>
        <v>97430.449922015585</v>
      </c>
      <c r="U1090" s="10"/>
      <c r="V1090" s="9" t="str">
        <f t="shared" si="103"/>
        <v/>
      </c>
      <c r="W1090" s="10">
        <v>45763</v>
      </c>
      <c r="X1090" s="9" t="str">
        <f t="shared" si="102"/>
        <v>Approved</v>
      </c>
      <c r="Y1090" s="10">
        <v>45763</v>
      </c>
      <c r="Z1090" s="10">
        <f>IF($H1090="Cancelled","",IFERROR(IF(F1090="","",F1090-Variables!$B$13),""))</f>
        <v>45793</v>
      </c>
      <c r="AA1090" s="11">
        <f>IF($H1090="Cancelled","",IFERROR(IF(W1090="","",(AVERAGE(E1090:F1090)-W1090)-Variables!$B$14),""))</f>
        <v>0</v>
      </c>
      <c r="AB1090" s="10">
        <v>45798</v>
      </c>
      <c r="AC1090" s="11">
        <f>IF($H1090="Cancelled","",IFERROR(IF(AB1090="","",IF(AND(W1090="",Y1090=""),"",IF(Y1090&gt;W1090,Y1090+Variables!$B$15+Variables!$B$16+Variables!$B$17-AB1090,W1090+Variables!$B$16+Variables!$B$17-AB1090))),""))</f>
        <v>-27</v>
      </c>
      <c r="AD1090" s="9" t="s">
        <v>180</v>
      </c>
      <c r="AE1090" s="9" t="s">
        <v>2247</v>
      </c>
      <c r="AF1090" s="10"/>
      <c r="AG1090" s="10"/>
      <c r="AH1090" s="9"/>
      <c r="AI1090" s="9" t="s">
        <v>2248</v>
      </c>
      <c r="AJ1090" s="9" t="s">
        <v>2249</v>
      </c>
      <c r="AK1090" s="10">
        <v>45811</v>
      </c>
      <c r="AL1090" s="10">
        <v>45815</v>
      </c>
      <c r="AM1090" s="10">
        <v>45838</v>
      </c>
      <c r="AN1090" s="9" t="s">
        <v>1492</v>
      </c>
      <c r="AO1090" s="9"/>
      <c r="AP1090" s="11">
        <f>IF($H1090="Cancelled","",IFERROR(IF(OR(AK1090="",AB1090=""),"",(AB1090+Variables!$B$18-AK1090)),""))</f>
        <v>-6</v>
      </c>
      <c r="AQ1090" s="11">
        <f>IF($H1090="Cancelled","",IFERROR(IF(OR(AM1090="",AK1090=""),"",(AK1090+Variables!$B$19)-AM1090),""))</f>
        <v>-22</v>
      </c>
      <c r="AR1090" s="12">
        <f>IF($H1090="Cancelled","",IFERROR(T1090*INDEX(Variables!$B$7:$D$7,IFERROR(MATCH(IF($B1090="Robusta","Robusta",(IF($B1090="","Arabica",$B1090))&amp;" - "&amp;(IF($C1090="","Commercial",$C1090))),Variables!$B$1:$D$1,0),1))*(AQ1090/365),""))</f>
        <v>-378.67302650726208</v>
      </c>
      <c r="AS1090" s="12">
        <f>IF($H1090="Cancelled","",IFERROR((T1090*INDEX(Variables!$B$7:$D$7,IFERROR(MATCH(IF($B1090="Robusta","Robusta",(IF($B1090="","Arabica",$B1090))&amp;" - "&amp;(IF($C1090="","Commercial",$C1090))),Variables!$B$1:$D$1,0),1))*IFERROR(IF(W1090="","",(AVERAGE(E1090:F1090)-W1090)-Variables!$B$14),"")/365)+(L1090/16.67*INDEX(Variables!$B$8:$D$8,IFERROR(MATCH(IF($B1090="Robusta","Robusta",(IF($B1090="","Arabica",$B1090))&amp;" - "&amp;(IF($C1090="","Commercial",$C1090))),Variables!$B$1:$D$1,0),1))*IFERROR(IF(W1090="","",(AVERAGE(E1090:F1090)-W1090)-Variables!$B$14),""))+(T1090*INDEX(Variables!$B$9:$D$9,IFERROR(MATCH(IF($B1090="Robusta","Robusta",(IF($B1090="","Arabica",$B1090))&amp;" - "&amp;(IF($C1090="","Commercial",$C1090))),Variables!$B$1:$D$1,0),1))*IFERROR(IF(W1090="","",(AVERAGE(E1090:F1090)-W1090)-Variables!$B$14),"")/365),""))</f>
        <v>0</v>
      </c>
      <c r="AT1090" s="12">
        <f>IF($H1090="Cancelled","",IFERROR((T1090*INDEX(Variables!$B$7:$D$7,IFERROR(MATCH(IF($B1090="Robusta","Robusta",(IF($B1090="","Arabica",$B1090))&amp;" - "&amp;(IF($C1090="","Commercial",$C1090))),Variables!$B$1:$D$1,0),1))*AC1090/365)+(L1090/16.67*INDEX(Variables!$B$8:$D$8,IFERROR(MATCH(IF($B1090="Robusta","Robusta",(IF($B1090="","Arabica",$B1090))&amp;" - "&amp;(IF($C1090="","Commercial",$C1090))),Variables!$B$1:$D$1,0),1))*AC1090)+(T1090*INDEX(Variables!$B$9:$D$9,IFERROR(MATCH(IF($B1090="Robusta","Robusta",(IF($B1090="","Arabica",$B1090))&amp;" - "&amp;(IF($C1090="","Commercial",$C1090))),Variables!$B$1:$D$1,0),1))*AC1090/365),""))</f>
        <v>-733.97641001781437</v>
      </c>
      <c r="AU1090" s="12">
        <f>IF($H1090="Cancelled","",IFERROR((T1090*INDEX(Variables!$B$7:$D$7,IFERROR(MATCH(IF($B1090="Robusta","Robusta",(IF($B1090="","Arabica",$B1090))&amp;" - "&amp;(IF($C1090="","Commercial",$C1090))),Variables!$B$1:$D$1,0),1))*AP1090/365)+(L1090/16.67*INDEX(Variables!$B$8:$D$8,IFERROR(MATCH(IF($B1090="Robusta","Robusta",(IF($B1090="","Arabica",$B1090))&amp;" - "&amp;(IF($C1090="","Commercial",$C1090))),Variables!$B$1:$D$1,0),1))*AP1090)+(T1090*INDEX(Variables!$B$9:$D$9,IFERROR(MATCH(IF($B1090="Robusta","Robusta",(IF($B1090="","Arabica",$B1090))&amp;" - "&amp;(IF($C1090="","Commercial",$C1090))),Variables!$B$1:$D$1,0),1))*AP1090/365),""))</f>
        <v>-163.10586889284764</v>
      </c>
      <c r="AV1090" s="11">
        <f t="shared" ref="AV1090:AV1153" si="106">IF($H1090="Cancelled","",IFERROR(IF(AK1090="","",F1090-AK1090),""))</f>
        <v>-3</v>
      </c>
      <c r="AW1090" s="12">
        <f>IF($H1090="Cancelled","",IFERROR(IF(AV1090="","",(T1090*INDEX(Variables!$B$7:$D$7,IFERROR(MATCH(IF($B1090="Robusta","Robusta",(IF($B1090="","Arabica",$B1090))&amp;" - "&amp;(IF($C1090="","Commercial",$C1090))),Variables!$B$1:$D$1,0),1))*(AV1090/365))+(T1090*INDEX(Variables!$B$9:$D$9,IFERROR(MATCH(IF($B1090="Robusta","Robusta",(IF($B1090="","Arabica",$B1090))&amp;" - "&amp;(IF($C1090="","Commercial",$C1090))),Variables!$B$1:$D$1,0),1))*(AV1090/365))+(INDEX(Variables!$B$8:$D$8,IFERROR(MATCH(IF($B1090="Robusta","Robusta",(IF($B1090="","Arabica",$B1090))&amp;" - "&amp;(IF($C1090="","Commercial",$C1090))),Variables!$B$1:$D$1,0),1))*L1090/16.67)),""))</f>
        <v>-42.552934446423819</v>
      </c>
      <c r="AX1090" s="9"/>
      <c r="AY1090" s="12"/>
      <c r="AZ1090" s="10"/>
      <c r="BA1090" s="9"/>
      <c r="BB1090" s="10"/>
      <c r="BC1090" s="9"/>
      <c r="BD1090" s="9"/>
      <c r="BE1090" s="9"/>
      <c r="BF1090" s="9"/>
    </row>
    <row r="1091" spans="1:58" x14ac:dyDescent="0.25">
      <c r="A1091" s="9" t="s">
        <v>84</v>
      </c>
      <c r="B1091" s="9" t="s">
        <v>85</v>
      </c>
      <c r="C1091" s="9" t="s">
        <v>1486</v>
      </c>
      <c r="D1091" s="10">
        <v>45764</v>
      </c>
      <c r="E1091" s="10">
        <v>45778</v>
      </c>
      <c r="F1091" s="10">
        <v>45808</v>
      </c>
      <c r="G1091" s="9">
        <v>3786903</v>
      </c>
      <c r="H1091" s="9" t="str">
        <f t="shared" si="104"/>
        <v>Closed</v>
      </c>
      <c r="I1091" s="9" t="str">
        <f t="shared" si="105"/>
        <v>All dates received</v>
      </c>
      <c r="J1091" s="9" t="s">
        <v>1439</v>
      </c>
      <c r="K1091" s="9" t="s">
        <v>2335</v>
      </c>
      <c r="L1091" s="11">
        <v>10</v>
      </c>
      <c r="M1091" s="9" t="s">
        <v>2336</v>
      </c>
      <c r="N1091" s="9"/>
      <c r="O1091" s="9"/>
      <c r="P1091" s="9"/>
      <c r="Q1091" s="11">
        <v>105</v>
      </c>
      <c r="R1091" s="9" t="s">
        <v>90</v>
      </c>
      <c r="S1091" s="9" t="s">
        <v>554</v>
      </c>
      <c r="T1091" s="12">
        <f>IF($H1091="Cancelled","",IFERROR(((Q1091+INDEX(Variables!$B$6:$D$6,IFERROR(MATCH(IF($B1091="Robusta","Robusta",(IF($B1091="","Arabica",$B1091))&amp;" - "&amp;(IF($C1091="","Commercial",$C1091))),Variables!$B$1:$D$1,0),1)))*22.0462)*(L1091/16.67),""))</f>
        <v>5234.4846790641868</v>
      </c>
      <c r="U1091" s="10">
        <v>45770</v>
      </c>
      <c r="V1091" s="9" t="str">
        <f t="shared" si="103"/>
        <v>Sent</v>
      </c>
      <c r="W1091" s="10">
        <v>45777</v>
      </c>
      <c r="X1091" s="9" t="str">
        <f t="shared" si="102"/>
        <v>Approved</v>
      </c>
      <c r="Y1091" s="10"/>
      <c r="Z1091" s="10">
        <f>IF($H1091="Cancelled","",IFERROR(IF(F1091="","",F1091-Variables!$B$13),""))</f>
        <v>45793</v>
      </c>
      <c r="AA1091" s="11">
        <f>IF($H1091="Cancelled","",IFERROR(IF(W1091="","",(AVERAGE(E1091:F1091)-W1091)-Variables!$B$14),""))</f>
        <v>-14</v>
      </c>
      <c r="AB1091" s="10">
        <v>45800</v>
      </c>
      <c r="AC1091" s="11">
        <f>IF($H1091="Cancelled","",IFERROR(IF(AB1091="","",IF(AND(W1091="",Y1091=""),"",IF(Y1091&gt;W1091,Y1091+Variables!$B$15+Variables!$B$16+Variables!$B$17-AB1091,W1091+Variables!$B$16+Variables!$B$17-AB1091))),""))</f>
        <v>-15</v>
      </c>
      <c r="AD1091" s="9" t="s">
        <v>107</v>
      </c>
      <c r="AE1091" s="9" t="s">
        <v>1054</v>
      </c>
      <c r="AF1091" s="10"/>
      <c r="AG1091" s="10"/>
      <c r="AH1091" s="9"/>
      <c r="AI1091" s="9" t="s">
        <v>1055</v>
      </c>
      <c r="AJ1091" s="9" t="s">
        <v>8</v>
      </c>
      <c r="AK1091" s="10">
        <v>45813</v>
      </c>
      <c r="AL1091" s="10">
        <v>45820</v>
      </c>
      <c r="AM1091" s="10">
        <v>45820</v>
      </c>
      <c r="AN1091" s="9" t="s">
        <v>1492</v>
      </c>
      <c r="AO1091" s="9"/>
      <c r="AP1091" s="11">
        <f>IF($H1091="Cancelled","",IFERROR(IF(OR(AK1091="",AB1091=""),"",(AB1091+Variables!$B$18-AK1091)),""))</f>
        <v>-6</v>
      </c>
      <c r="AQ1091" s="11">
        <f>IF($H1091="Cancelled","",IFERROR(IF(OR(AM1091="",AK1091=""),"",(AK1091+Variables!$B$19)-AM1091),""))</f>
        <v>-2</v>
      </c>
      <c r="AR1091" s="12">
        <f>IF($H1091="Cancelled","",IFERROR(T1091*INDEX(Variables!$B$7:$D$7,IFERROR(MATCH(IF($B1091="Robusta","Robusta",(IF($B1091="","Arabica",$B1091))&amp;" - "&amp;(IF($C1091="","Commercial",$C1091))),Variables!$B$1:$D$1,0),1))*(AQ1091/365),""))</f>
        <v>-1.8494854135471384</v>
      </c>
      <c r="AS1091" s="12">
        <f>IF($H1091="Cancelled","",IFERROR((T1091*INDEX(Variables!$B$7:$D$7,IFERROR(MATCH(IF($B1091="Robusta","Robusta",(IF($B1091="","Arabica",$B1091))&amp;" - "&amp;(IF($C1091="","Commercial",$C1091))),Variables!$B$1:$D$1,0),1))*IFERROR(IF(W1091="","",(AVERAGE(E1091:F1091)-W1091)-Variables!$B$14),"")/365)+(L1091/16.67*INDEX(Variables!$B$8:$D$8,IFERROR(MATCH(IF($B1091="Robusta","Robusta",(IF($B1091="","Arabica",$B1091))&amp;" - "&amp;(IF($C1091="","Commercial",$C1091))),Variables!$B$1:$D$1,0),1))*IFERROR(IF(W1091="","",(AVERAGE(E1091:F1091)-W1091)-Variables!$B$14),""))+(T1091*INDEX(Variables!$B$9:$D$9,IFERROR(MATCH(IF($B1091="Robusta","Robusta",(IF($B1091="","Arabica",$B1091))&amp;" - "&amp;(IF($C1091="","Commercial",$C1091))),Variables!$B$1:$D$1,0),1))*IFERROR(IF(W1091="","",(AVERAGE(E1091:F1091)-W1091)-Variables!$B$14),"")/365),""))</f>
        <v>-20.113301948506365</v>
      </c>
      <c r="AT1091" s="12">
        <f>IF($H1091="Cancelled","",IFERROR((T1091*INDEX(Variables!$B$7:$D$7,IFERROR(MATCH(IF($B1091="Robusta","Robusta",(IF($B1091="","Arabica",$B1091))&amp;" - "&amp;(IF($C1091="","Commercial",$C1091))),Variables!$B$1:$D$1,0),1))*AC1091/365)+(L1091/16.67*INDEX(Variables!$B$8:$D$8,IFERROR(MATCH(IF($B1091="Robusta","Robusta",(IF($B1091="","Arabica",$B1091))&amp;" - "&amp;(IF($C1091="","Commercial",$C1091))),Variables!$B$1:$D$1,0),1))*AC1091)+(T1091*INDEX(Variables!$B$9:$D$9,IFERROR(MATCH(IF($B1091="Robusta","Robusta",(IF($B1091="","Arabica",$B1091))&amp;" - "&amp;(IF($C1091="","Commercial",$C1091))),Variables!$B$1:$D$1,0),1))*AC1091/365),""))</f>
        <v>-21.549966373399673</v>
      </c>
      <c r="AU1091" s="12">
        <f>IF($H1091="Cancelled","",IFERROR((T1091*INDEX(Variables!$B$7:$D$7,IFERROR(MATCH(IF($B1091="Robusta","Robusta",(IF($B1091="","Arabica",$B1091))&amp;" - "&amp;(IF($C1091="","Commercial",$C1091))),Variables!$B$1:$D$1,0),1))*AP1091/365)+(L1091/16.67*INDEX(Variables!$B$8:$D$8,IFERROR(MATCH(IF($B1091="Robusta","Robusta",(IF($B1091="","Arabica",$B1091))&amp;" - "&amp;(IF($C1091="","Commercial",$C1091))),Variables!$B$1:$D$1,0),1))*AP1091)+(T1091*INDEX(Variables!$B$9:$D$9,IFERROR(MATCH(IF($B1091="Robusta","Robusta",(IF($B1091="","Arabica",$B1091))&amp;" - "&amp;(IF($C1091="","Commercial",$C1091))),Variables!$B$1:$D$1,0),1))*AP1091/365),""))</f>
        <v>-8.6199865493598704</v>
      </c>
      <c r="AV1091" s="11">
        <f t="shared" si="106"/>
        <v>-5</v>
      </c>
      <c r="AW1091" s="12">
        <f>IF($H1091="Cancelled","",IFERROR(IF(AV1091="","",(T1091*INDEX(Variables!$B$7:$D$7,IFERROR(MATCH(IF($B1091="Robusta","Robusta",(IF($B1091="","Arabica",$B1091))&amp;" - "&amp;(IF($C1091="","Commercial",$C1091))),Variables!$B$1:$D$1,0),1))*(AV1091/365))+(T1091*INDEX(Variables!$B$9:$D$9,IFERROR(MATCH(IF($B1091="Robusta","Robusta",(IF($B1091="","Arabica",$B1091))&amp;" - "&amp;(IF($C1091="","Commercial",$C1091))),Variables!$B$1:$D$1,0),1))*(AV1091/365))+(INDEX(Variables!$B$8:$D$8,IFERROR(MATCH(IF($B1091="Robusta","Robusta",(IF($B1091="","Arabica",$B1091))&amp;" - "&amp;(IF($C1091="","Commercial",$C1091))),Variables!$B$1:$D$1,0),1))*L1091/16.67)),""))</f>
        <v>-4.1833221244665584</v>
      </c>
      <c r="AX1091" s="9"/>
      <c r="AY1091" s="12"/>
      <c r="AZ1091" s="10"/>
      <c r="BA1091" s="9"/>
      <c r="BB1091" s="10"/>
      <c r="BC1091" s="9"/>
      <c r="BD1091" s="9"/>
      <c r="BE1091" s="9"/>
      <c r="BF1091" s="9"/>
    </row>
    <row r="1092" spans="1:58" x14ac:dyDescent="0.25">
      <c r="A1092" s="9" t="s">
        <v>84</v>
      </c>
      <c r="B1092" s="9" t="s">
        <v>85</v>
      </c>
      <c r="C1092" s="9" t="s">
        <v>1486</v>
      </c>
      <c r="D1092" s="10">
        <v>45764</v>
      </c>
      <c r="E1092" s="10">
        <v>45778</v>
      </c>
      <c r="F1092" s="10">
        <v>45808</v>
      </c>
      <c r="G1092" s="9">
        <v>3786904</v>
      </c>
      <c r="H1092" s="9" t="str">
        <f t="shared" si="104"/>
        <v>Closed</v>
      </c>
      <c r="I1092" s="9" t="str">
        <f t="shared" si="105"/>
        <v>All dates received</v>
      </c>
      <c r="J1092" s="9" t="s">
        <v>1439</v>
      </c>
      <c r="K1092" s="9" t="s">
        <v>2337</v>
      </c>
      <c r="L1092" s="11">
        <v>10</v>
      </c>
      <c r="M1092" s="9" t="s">
        <v>2336</v>
      </c>
      <c r="N1092" s="9"/>
      <c r="O1092" s="9"/>
      <c r="P1092" s="9"/>
      <c r="Q1092" s="11">
        <v>105</v>
      </c>
      <c r="R1092" s="9" t="s">
        <v>90</v>
      </c>
      <c r="S1092" s="9" t="s">
        <v>554</v>
      </c>
      <c r="T1092" s="12">
        <f>IF($H1092="Cancelled","",IFERROR(((Q1092+INDEX(Variables!$B$6:$D$6,IFERROR(MATCH(IF($B1092="Robusta","Robusta",(IF($B1092="","Arabica",$B1092))&amp;" - "&amp;(IF($C1092="","Commercial",$C1092))),Variables!$B$1:$D$1,0),1)))*22.0462)*(L1092/16.67),""))</f>
        <v>5234.4846790641868</v>
      </c>
      <c r="U1092" s="10"/>
      <c r="V1092" s="9" t="str">
        <f t="shared" si="103"/>
        <v/>
      </c>
      <c r="W1092" s="10">
        <v>45763</v>
      </c>
      <c r="X1092" s="9" t="str">
        <f t="shared" si="102"/>
        <v>Approved</v>
      </c>
      <c r="Y1092" s="10">
        <v>45763</v>
      </c>
      <c r="Z1092" s="10">
        <f>IF($H1092="Cancelled","",IFERROR(IF(F1092="","",F1092-Variables!$B$13),""))</f>
        <v>45793</v>
      </c>
      <c r="AA1092" s="11">
        <f>IF($H1092="Cancelled","",IFERROR(IF(W1092="","",(AVERAGE(E1092:F1092)-W1092)-Variables!$B$14),""))</f>
        <v>0</v>
      </c>
      <c r="AB1092" s="10">
        <v>45800</v>
      </c>
      <c r="AC1092" s="11">
        <f>IF($H1092="Cancelled","",IFERROR(IF(AB1092="","",IF(AND(W1092="",Y1092=""),"",IF(Y1092&gt;W1092,Y1092+Variables!$B$15+Variables!$B$16+Variables!$B$17-AB1092,W1092+Variables!$B$16+Variables!$B$17-AB1092))),""))</f>
        <v>-29</v>
      </c>
      <c r="AD1092" s="9" t="s">
        <v>107</v>
      </c>
      <c r="AE1092" s="9" t="s">
        <v>1054</v>
      </c>
      <c r="AF1092" s="10"/>
      <c r="AG1092" s="10"/>
      <c r="AH1092" s="9"/>
      <c r="AI1092" s="9" t="s">
        <v>1055</v>
      </c>
      <c r="AJ1092" s="9" t="s">
        <v>8</v>
      </c>
      <c r="AK1092" s="10">
        <v>45813</v>
      </c>
      <c r="AL1092" s="10">
        <v>45820</v>
      </c>
      <c r="AM1092" s="10">
        <v>45820</v>
      </c>
      <c r="AN1092" s="9" t="s">
        <v>1492</v>
      </c>
      <c r="AO1092" s="9"/>
      <c r="AP1092" s="11">
        <f>IF($H1092="Cancelled","",IFERROR(IF(OR(AK1092="",AB1092=""),"",(AB1092+Variables!$B$18-AK1092)),""))</f>
        <v>-6</v>
      </c>
      <c r="AQ1092" s="11">
        <f>IF($H1092="Cancelled","",IFERROR(IF(OR(AM1092="",AK1092=""),"",(AK1092+Variables!$B$19)-AM1092),""))</f>
        <v>-2</v>
      </c>
      <c r="AR1092" s="12">
        <f>IF($H1092="Cancelled","",IFERROR(T1092*INDEX(Variables!$B$7:$D$7,IFERROR(MATCH(IF($B1092="Robusta","Robusta",(IF($B1092="","Arabica",$B1092))&amp;" - "&amp;(IF($C1092="","Commercial",$C1092))),Variables!$B$1:$D$1,0),1))*(AQ1092/365),""))</f>
        <v>-1.8494854135471384</v>
      </c>
      <c r="AS1092" s="12">
        <f>IF($H1092="Cancelled","",IFERROR((T1092*INDEX(Variables!$B$7:$D$7,IFERROR(MATCH(IF($B1092="Robusta","Robusta",(IF($B1092="","Arabica",$B1092))&amp;" - "&amp;(IF($C1092="","Commercial",$C1092))),Variables!$B$1:$D$1,0),1))*IFERROR(IF(W1092="","",(AVERAGE(E1092:F1092)-W1092)-Variables!$B$14),"")/365)+(L1092/16.67*INDEX(Variables!$B$8:$D$8,IFERROR(MATCH(IF($B1092="Robusta","Robusta",(IF($B1092="","Arabica",$B1092))&amp;" - "&amp;(IF($C1092="","Commercial",$C1092))),Variables!$B$1:$D$1,0),1))*IFERROR(IF(W1092="","",(AVERAGE(E1092:F1092)-W1092)-Variables!$B$14),""))+(T1092*INDEX(Variables!$B$9:$D$9,IFERROR(MATCH(IF($B1092="Robusta","Robusta",(IF($B1092="","Arabica",$B1092))&amp;" - "&amp;(IF($C1092="","Commercial",$C1092))),Variables!$B$1:$D$1,0),1))*IFERROR(IF(W1092="","",(AVERAGE(E1092:F1092)-W1092)-Variables!$B$14),"")/365),""))</f>
        <v>0</v>
      </c>
      <c r="AT1092" s="12">
        <f>IF($H1092="Cancelled","",IFERROR((T1092*INDEX(Variables!$B$7:$D$7,IFERROR(MATCH(IF($B1092="Robusta","Robusta",(IF($B1092="","Arabica",$B1092))&amp;" - "&amp;(IF($C1092="","Commercial",$C1092))),Variables!$B$1:$D$1,0),1))*AC1092/365)+(L1092/16.67*INDEX(Variables!$B$8:$D$8,IFERROR(MATCH(IF($B1092="Robusta","Robusta",(IF($B1092="","Arabica",$B1092))&amp;" - "&amp;(IF($C1092="","Commercial",$C1092))),Variables!$B$1:$D$1,0),1))*AC1092)+(T1092*INDEX(Variables!$B$9:$D$9,IFERROR(MATCH(IF($B1092="Robusta","Robusta",(IF($B1092="","Arabica",$B1092))&amp;" - "&amp;(IF($C1092="","Commercial",$C1092))),Variables!$B$1:$D$1,0),1))*AC1092/365),""))</f>
        <v>-41.663268321906038</v>
      </c>
      <c r="AU1092" s="12">
        <f>IF($H1092="Cancelled","",IFERROR((T1092*INDEX(Variables!$B$7:$D$7,IFERROR(MATCH(IF($B1092="Robusta","Robusta",(IF($B1092="","Arabica",$B1092))&amp;" - "&amp;(IF($C1092="","Commercial",$C1092))),Variables!$B$1:$D$1,0),1))*AP1092/365)+(L1092/16.67*INDEX(Variables!$B$8:$D$8,IFERROR(MATCH(IF($B1092="Robusta","Robusta",(IF($B1092="","Arabica",$B1092))&amp;" - "&amp;(IF($C1092="","Commercial",$C1092))),Variables!$B$1:$D$1,0),1))*AP1092)+(T1092*INDEX(Variables!$B$9:$D$9,IFERROR(MATCH(IF($B1092="Robusta","Robusta",(IF($B1092="","Arabica",$B1092))&amp;" - "&amp;(IF($C1092="","Commercial",$C1092))),Variables!$B$1:$D$1,0),1))*AP1092/365),""))</f>
        <v>-8.6199865493598704</v>
      </c>
      <c r="AV1092" s="11">
        <f t="shared" si="106"/>
        <v>-5</v>
      </c>
      <c r="AW1092" s="12">
        <f>IF($H1092="Cancelled","",IFERROR(IF(AV1092="","",(T1092*INDEX(Variables!$B$7:$D$7,IFERROR(MATCH(IF($B1092="Robusta","Robusta",(IF($B1092="","Arabica",$B1092))&amp;" - "&amp;(IF($C1092="","Commercial",$C1092))),Variables!$B$1:$D$1,0),1))*(AV1092/365))+(T1092*INDEX(Variables!$B$9:$D$9,IFERROR(MATCH(IF($B1092="Robusta","Robusta",(IF($B1092="","Arabica",$B1092))&amp;" - "&amp;(IF($C1092="","Commercial",$C1092))),Variables!$B$1:$D$1,0),1))*(AV1092/365))+(INDEX(Variables!$B$8:$D$8,IFERROR(MATCH(IF($B1092="Robusta","Robusta",(IF($B1092="","Arabica",$B1092))&amp;" - "&amp;(IF($C1092="","Commercial",$C1092))),Variables!$B$1:$D$1,0),1))*L1092/16.67)),""))</f>
        <v>-4.1833221244665584</v>
      </c>
      <c r="AX1092" s="9"/>
      <c r="AY1092" s="12"/>
      <c r="AZ1092" s="10"/>
      <c r="BA1092" s="9"/>
      <c r="BB1092" s="10"/>
      <c r="BC1092" s="9"/>
      <c r="BD1092" s="9"/>
      <c r="BE1092" s="9"/>
      <c r="BF1092" s="9"/>
    </row>
    <row r="1093" spans="1:58" x14ac:dyDescent="0.25">
      <c r="A1093" s="9" t="s">
        <v>84</v>
      </c>
      <c r="B1093" s="9" t="s">
        <v>85</v>
      </c>
      <c r="C1093" s="9" t="s">
        <v>1486</v>
      </c>
      <c r="D1093" s="10">
        <v>45769</v>
      </c>
      <c r="E1093" s="10">
        <v>45778</v>
      </c>
      <c r="F1093" s="10">
        <v>45808</v>
      </c>
      <c r="G1093" s="9">
        <v>3786906</v>
      </c>
      <c r="H1093" s="9" t="str">
        <f t="shared" si="104"/>
        <v>Closed</v>
      </c>
      <c r="I1093" s="9" t="str">
        <f t="shared" si="105"/>
        <v>All dates received</v>
      </c>
      <c r="J1093" s="9" t="s">
        <v>494</v>
      </c>
      <c r="K1093" s="9" t="s">
        <v>2338</v>
      </c>
      <c r="L1093" s="11">
        <v>10</v>
      </c>
      <c r="M1093" s="9" t="s">
        <v>2339</v>
      </c>
      <c r="N1093" s="9"/>
      <c r="O1093" s="9"/>
      <c r="P1093" s="9"/>
      <c r="Q1093" s="11">
        <v>144</v>
      </c>
      <c r="R1093" s="9" t="s">
        <v>195</v>
      </c>
      <c r="S1093" s="9" t="s">
        <v>150</v>
      </c>
      <c r="T1093" s="12">
        <f>IF($H1093="Cancelled","",IFERROR(((Q1093+INDEX(Variables!$B$6:$D$6,IFERROR(MATCH(IF($B1093="Robusta","Robusta",(IF($B1093="","Arabica",$B1093))&amp;" - "&amp;(IF($C1093="","Commercial",$C1093))),Variables!$B$1:$D$1,0),1)))*22.0462)*(L1093/16.67),""))</f>
        <v>5750.2626034793029</v>
      </c>
      <c r="U1093" s="10"/>
      <c r="V1093" s="9" t="s">
        <v>195</v>
      </c>
      <c r="W1093" s="10">
        <v>45763</v>
      </c>
      <c r="X1093" s="9" t="str">
        <f t="shared" si="102"/>
        <v>Approved</v>
      </c>
      <c r="Y1093" s="10">
        <v>45793</v>
      </c>
      <c r="Z1093" s="10">
        <f>IF($H1093="Cancelled","",IFERROR(IF(F1093="","",F1093-Variables!$B$13),""))</f>
        <v>45793</v>
      </c>
      <c r="AA1093" s="11">
        <f>IF($H1093="Cancelled","",IFERROR(IF(W1093="","",(AVERAGE(E1093:F1093)-W1093)-Variables!$B$14),""))</f>
        <v>0</v>
      </c>
      <c r="AB1093" s="10">
        <v>45803</v>
      </c>
      <c r="AC1093" s="11">
        <f>IF($H1093="Cancelled","",IFERROR(IF(AB1093="","",IF(AND(W1093="",Y1093=""),"",IF(Y1093&gt;W1093,Y1093+Variables!$B$15+Variables!$B$16+Variables!$B$17-AB1093,W1093+Variables!$B$16+Variables!$B$17-AB1093))),""))</f>
        <v>5</v>
      </c>
      <c r="AD1093" s="9" t="s">
        <v>151</v>
      </c>
      <c r="AE1093" s="9" t="s">
        <v>918</v>
      </c>
      <c r="AF1093" s="10"/>
      <c r="AG1093" s="10"/>
      <c r="AH1093" s="9"/>
      <c r="AI1093" s="9" t="s">
        <v>1048</v>
      </c>
      <c r="AJ1093" s="9" t="s">
        <v>8</v>
      </c>
      <c r="AK1093" s="10">
        <v>45821</v>
      </c>
      <c r="AL1093" s="10">
        <v>45832</v>
      </c>
      <c r="AM1093" s="10">
        <v>45835</v>
      </c>
      <c r="AN1093" s="9" t="s">
        <v>1492</v>
      </c>
      <c r="AO1093" s="9"/>
      <c r="AP1093" s="11">
        <f>IF($H1093="Cancelled","",IFERROR(IF(OR(AK1093="",AB1093=""),"",(AB1093+Variables!$B$18-AK1093)),""))</f>
        <v>-11</v>
      </c>
      <c r="AQ1093" s="11">
        <f>IF($H1093="Cancelled","",IFERROR(IF(OR(AM1093="",AK1093=""),"",(AK1093+Variables!$B$19)-AM1093),""))</f>
        <v>-9</v>
      </c>
      <c r="AR1093" s="12">
        <f>IF($H1093="Cancelled","",IFERROR(T1093*INDEX(Variables!$B$7:$D$7,IFERROR(MATCH(IF($B1093="Robusta","Robusta",(IF($B1093="","Arabica",$B1093))&amp;" - "&amp;(IF($C1093="","Commercial",$C1093))),Variables!$B$1:$D$1,0),1))*(AQ1093/365),""))</f>
        <v>-9.1427568472620759</v>
      </c>
      <c r="AS1093" s="12">
        <f>IF($H1093="Cancelled","",IFERROR((T1093*INDEX(Variables!$B$7:$D$7,IFERROR(MATCH(IF($B1093="Robusta","Robusta",(IF($B1093="","Arabica",$B1093))&amp;" - "&amp;(IF($C1093="","Commercial",$C1093))),Variables!$B$1:$D$1,0),1))*IFERROR(IF(W1093="","",(AVERAGE(E1093:F1093)-W1093)-Variables!$B$14),"")/365)+(L1093/16.67*INDEX(Variables!$B$8:$D$8,IFERROR(MATCH(IF($B1093="Robusta","Robusta",(IF($B1093="","Arabica",$B1093))&amp;" - "&amp;(IF($C1093="","Commercial",$C1093))),Variables!$B$1:$D$1,0),1))*IFERROR(IF(W1093="","",(AVERAGE(E1093:F1093)-W1093)-Variables!$B$14),""))+(T1093*INDEX(Variables!$B$9:$D$9,IFERROR(MATCH(IF($B1093="Robusta","Robusta",(IF($B1093="","Arabica",$B1093))&amp;" - "&amp;(IF($C1093="","Commercial",$C1093))),Variables!$B$1:$D$1,0),1))*IFERROR(IF(W1093="","",(AVERAGE(E1093:F1093)-W1093)-Variables!$B$14),"")/365),""))</f>
        <v>0</v>
      </c>
      <c r="AT1093" s="12">
        <f>IF($H1093="Cancelled","",IFERROR((T1093*INDEX(Variables!$B$7:$D$7,IFERROR(MATCH(IF($B1093="Robusta","Robusta",(IF($B1093="","Arabica",$B1093))&amp;" - "&amp;(IF($C1093="","Commercial",$C1093))),Variables!$B$1:$D$1,0),1))*AC1093/365)+(L1093/16.67*INDEX(Variables!$B$8:$D$8,IFERROR(MATCH(IF($B1093="Robusta","Robusta",(IF($B1093="","Arabica",$B1093))&amp;" - "&amp;(IF($C1093="","Commercial",$C1093))),Variables!$B$1:$D$1,0),1))*AC1093)+(T1093*INDEX(Variables!$B$9:$D$9,IFERROR(MATCH(IF($B1093="Robusta","Robusta",(IF($B1093="","Arabica",$B1093))&amp;" - "&amp;(IF($C1093="","Commercial",$C1093))),Variables!$B$1:$D$1,0),1))*AC1093/365),""))</f>
        <v>7.6447914596211701</v>
      </c>
      <c r="AU1093" s="12">
        <f>IF($H1093="Cancelled","",IFERROR((T1093*INDEX(Variables!$B$7:$D$7,IFERROR(MATCH(IF($B1093="Robusta","Robusta",(IF($B1093="","Arabica",$B1093))&amp;" - "&amp;(IF($C1093="","Commercial",$C1093))),Variables!$B$1:$D$1,0),1))*AP1093/365)+(L1093/16.67*INDEX(Variables!$B$8:$D$8,IFERROR(MATCH(IF($B1093="Robusta","Robusta",(IF($B1093="","Arabica",$B1093))&amp;" - "&amp;(IF($C1093="","Commercial",$C1093))),Variables!$B$1:$D$1,0),1))*AP1093)+(T1093*INDEX(Variables!$B$9:$D$9,IFERROR(MATCH(IF($B1093="Robusta","Robusta",(IF($B1093="","Arabica",$B1093))&amp;" - "&amp;(IF($C1093="","Commercial",$C1093))),Variables!$B$1:$D$1,0),1))*AP1093/365),""))</f>
        <v>-16.818541211166579</v>
      </c>
      <c r="AV1093" s="11">
        <f t="shared" si="106"/>
        <v>-13</v>
      </c>
      <c r="AW1093" s="12">
        <f>IF($H1093="Cancelled","",IFERROR(IF(AV1093="","",(T1093*INDEX(Variables!$B$7:$D$7,IFERROR(MATCH(IF($B1093="Robusta","Robusta",(IF($B1093="","Arabica",$B1093))&amp;" - "&amp;(IF($C1093="","Commercial",$C1093))),Variables!$B$1:$D$1,0),1))*(AV1093/365))+(T1093*INDEX(Variables!$B$9:$D$9,IFERROR(MATCH(IF($B1093="Robusta","Robusta",(IF($B1093="","Arabica",$B1093))&amp;" - "&amp;(IF($C1093="","Commercial",$C1093))),Variables!$B$1:$D$1,0),1))*(AV1093/365))+(INDEX(Variables!$B$8:$D$8,IFERROR(MATCH(IF($B1093="Robusta","Robusta",(IF($B1093="","Arabica",$B1093))&amp;" - "&amp;(IF($C1093="","Commercial",$C1093))),Variables!$B$1:$D$1,0),1))*L1093/16.67)),""))</f>
        <v>-12.876457795015043</v>
      </c>
      <c r="AX1093" s="9"/>
      <c r="AY1093" s="12"/>
      <c r="AZ1093" s="10"/>
      <c r="BA1093" s="9"/>
      <c r="BB1093" s="10"/>
      <c r="BC1093" s="9"/>
      <c r="BD1093" s="9"/>
      <c r="BE1093" s="9"/>
      <c r="BF1093" s="9"/>
    </row>
    <row r="1094" spans="1:58" x14ac:dyDescent="0.25">
      <c r="A1094" s="9" t="s">
        <v>84</v>
      </c>
      <c r="B1094" s="9" t="s">
        <v>85</v>
      </c>
      <c r="C1094" s="9" t="s">
        <v>1486</v>
      </c>
      <c r="D1094" s="10">
        <v>45769</v>
      </c>
      <c r="E1094" s="10">
        <v>45778</v>
      </c>
      <c r="F1094" s="10">
        <v>45808</v>
      </c>
      <c r="G1094" s="9">
        <v>3786907</v>
      </c>
      <c r="H1094" s="9" t="str">
        <f t="shared" si="104"/>
        <v>Closed</v>
      </c>
      <c r="I1094" s="9" t="str">
        <f t="shared" si="105"/>
        <v>All dates received</v>
      </c>
      <c r="J1094" s="9" t="s">
        <v>494</v>
      </c>
      <c r="K1094" s="9" t="s">
        <v>2340</v>
      </c>
      <c r="L1094" s="11">
        <v>15</v>
      </c>
      <c r="M1094" s="9" t="s">
        <v>2341</v>
      </c>
      <c r="N1094" s="9"/>
      <c r="O1094" s="9"/>
      <c r="P1094" s="9"/>
      <c r="Q1094" s="11">
        <v>176</v>
      </c>
      <c r="R1094" s="9" t="s">
        <v>195</v>
      </c>
      <c r="S1094" s="9" t="s">
        <v>150</v>
      </c>
      <c r="T1094" s="12">
        <f>IF($H1094="Cancelled","",IFERROR(((Q1094+INDEX(Variables!$B$6:$D$6,IFERROR(MATCH(IF($B1094="Robusta","Robusta",(IF($B1094="","Arabica",$B1094))&amp;" - "&amp;(IF($C1094="","Commercial",$C1094))),Variables!$B$1:$D$1,0),1)))*22.0462)*(L1094/16.67),""))</f>
        <v>9260.1975044990977</v>
      </c>
      <c r="U1094" s="10"/>
      <c r="V1094" s="9" t="s">
        <v>195</v>
      </c>
      <c r="W1094" s="10">
        <v>45763</v>
      </c>
      <c r="X1094" s="9" t="str">
        <f t="shared" si="102"/>
        <v>Approved</v>
      </c>
      <c r="Y1094" s="10">
        <v>45793</v>
      </c>
      <c r="Z1094" s="10">
        <f>IF($H1094="Cancelled","",IFERROR(IF(F1094="","",F1094-Variables!$B$13),""))</f>
        <v>45793</v>
      </c>
      <c r="AA1094" s="11">
        <f>IF($H1094="Cancelled","",IFERROR(IF(W1094="","",(AVERAGE(E1094:F1094)-W1094)-Variables!$B$14),""))</f>
        <v>0</v>
      </c>
      <c r="AB1094" s="10">
        <v>45803</v>
      </c>
      <c r="AC1094" s="11">
        <f>IF($H1094="Cancelled","",IFERROR(IF(AB1094="","",IF(AND(W1094="",Y1094=""),"",IF(Y1094&gt;W1094,Y1094+Variables!$B$15+Variables!$B$16+Variables!$B$17-AB1094,W1094+Variables!$B$16+Variables!$B$17-AB1094))),""))</f>
        <v>5</v>
      </c>
      <c r="AD1094" s="9" t="s">
        <v>151</v>
      </c>
      <c r="AE1094" s="9" t="s">
        <v>918</v>
      </c>
      <c r="AF1094" s="10"/>
      <c r="AG1094" s="10"/>
      <c r="AH1094" s="9"/>
      <c r="AI1094" s="9" t="s">
        <v>1048</v>
      </c>
      <c r="AJ1094" s="9" t="s">
        <v>8</v>
      </c>
      <c r="AK1094" s="10">
        <v>45821</v>
      </c>
      <c r="AL1094" s="10">
        <v>45832</v>
      </c>
      <c r="AM1094" s="10">
        <v>45835</v>
      </c>
      <c r="AN1094" s="9" t="s">
        <v>1492</v>
      </c>
      <c r="AO1094" s="9"/>
      <c r="AP1094" s="11">
        <f>IF($H1094="Cancelled","",IFERROR(IF(OR(AK1094="",AB1094=""),"",(AB1094+Variables!$B$18-AK1094)),""))</f>
        <v>-11</v>
      </c>
      <c r="AQ1094" s="11">
        <f>IF($H1094="Cancelled","",IFERROR(IF(OR(AM1094="",AK1094=""),"",(AK1094+Variables!$B$19)-AM1094),""))</f>
        <v>-9</v>
      </c>
      <c r="AR1094" s="12">
        <f>IF($H1094="Cancelled","",IFERROR(T1094*INDEX(Variables!$B$7:$D$7,IFERROR(MATCH(IF($B1094="Robusta","Robusta",(IF($B1094="","Arabica",$B1094))&amp;" - "&amp;(IF($C1094="","Commercial",$C1094))),Variables!$B$1:$D$1,0),1))*(AQ1094/365),""))</f>
        <v>-14.723455254031521</v>
      </c>
      <c r="AS1094" s="12">
        <f>IF($H1094="Cancelled","",IFERROR((T1094*INDEX(Variables!$B$7:$D$7,IFERROR(MATCH(IF($B1094="Robusta","Robusta",(IF($B1094="","Arabica",$B1094))&amp;" - "&amp;(IF($C1094="","Commercial",$C1094))),Variables!$B$1:$D$1,0),1))*IFERROR(IF(W1094="","",(AVERAGE(E1094:F1094)-W1094)-Variables!$B$14),"")/365)+(L1094/16.67*INDEX(Variables!$B$8:$D$8,IFERROR(MATCH(IF($B1094="Robusta","Robusta",(IF($B1094="","Arabica",$B1094))&amp;" - "&amp;(IF($C1094="","Commercial",$C1094))),Variables!$B$1:$D$1,0),1))*IFERROR(IF(W1094="","",(AVERAGE(E1094:F1094)-W1094)-Variables!$B$14),""))+(T1094*INDEX(Variables!$B$9:$D$9,IFERROR(MATCH(IF($B1094="Robusta","Robusta",(IF($B1094="","Arabica",$B1094))&amp;" - "&amp;(IF($C1094="","Commercial",$C1094))),Variables!$B$1:$D$1,0),1))*IFERROR(IF(W1094="","",(AVERAGE(E1094:F1094)-W1094)-Variables!$B$14),"")/365),""))</f>
        <v>0</v>
      </c>
      <c r="AT1094" s="12">
        <f>IF($H1094="Cancelled","",IFERROR((T1094*INDEX(Variables!$B$7:$D$7,IFERROR(MATCH(IF($B1094="Robusta","Robusta",(IF($B1094="","Arabica",$B1094))&amp;" - "&amp;(IF($C1094="","Commercial",$C1094))),Variables!$B$1:$D$1,0),1))*AC1094/365)+(L1094/16.67*INDEX(Variables!$B$8:$D$8,IFERROR(MATCH(IF($B1094="Robusta","Robusta",(IF($B1094="","Arabica",$B1094))&amp;" - "&amp;(IF($C1094="","Commercial",$C1094))),Variables!$B$1:$D$1,0),1))*AC1094)+(T1094*INDEX(Variables!$B$9:$D$9,IFERROR(MATCH(IF($B1094="Robusta","Robusta",(IF($B1094="","Arabica",$B1094))&amp;" - "&amp;(IF($C1094="","Commercial",$C1094))),Variables!$B$1:$D$1,0),1))*AC1094/365),""))</f>
        <v>12.035149448083587</v>
      </c>
      <c r="AU1094" s="12">
        <f>IF($H1094="Cancelled","",IFERROR((T1094*INDEX(Variables!$B$7:$D$7,IFERROR(MATCH(IF($B1094="Robusta","Robusta",(IF($B1094="","Arabica",$B1094))&amp;" - "&amp;(IF($C1094="","Commercial",$C1094))),Variables!$B$1:$D$1,0),1))*AP1094/365)+(L1094/16.67*INDEX(Variables!$B$8:$D$8,IFERROR(MATCH(IF($B1094="Robusta","Robusta",(IF($B1094="","Arabica",$B1094))&amp;" - "&amp;(IF($C1094="","Commercial",$C1094))),Variables!$B$1:$D$1,0),1))*AP1094)+(T1094*INDEX(Variables!$B$9:$D$9,IFERROR(MATCH(IF($B1094="Robusta","Robusta",(IF($B1094="","Arabica",$B1094))&amp;" - "&amp;(IF($C1094="","Commercial",$C1094))),Variables!$B$1:$D$1,0),1))*AP1094/365),""))</f>
        <v>-26.477328785783893</v>
      </c>
      <c r="AV1094" s="11">
        <f t="shared" si="106"/>
        <v>-13</v>
      </c>
      <c r="AW1094" s="12">
        <f>IF($H1094="Cancelled","",IFERROR(IF(AV1094="","",(T1094*INDEX(Variables!$B$7:$D$7,IFERROR(MATCH(IF($B1094="Robusta","Robusta",(IF($B1094="","Arabica",$B1094))&amp;" - "&amp;(IF($C1094="","Commercial",$C1094))),Variables!$B$1:$D$1,0),1))*(AV1094/365))+(T1094*INDEX(Variables!$B$9:$D$9,IFERROR(MATCH(IF($B1094="Robusta","Robusta",(IF($B1094="","Arabica",$B1094))&amp;" - "&amp;(IF($C1094="","Commercial",$C1094))),Variables!$B$1:$D$1,0),1))*(AV1094/365))+(INDEX(Variables!$B$8:$D$8,IFERROR(MATCH(IF($B1094="Robusta","Robusta",(IF($B1094="","Arabica",$B1094))&amp;" - "&amp;(IF($C1094="","Commercial",$C1094))),Variables!$B$1:$D$1,0),1))*L1094/16.67)),""))</f>
        <v>-20.791388565017325</v>
      </c>
      <c r="AX1094" s="9"/>
      <c r="AY1094" s="12"/>
      <c r="AZ1094" s="10"/>
      <c r="BA1094" s="9"/>
      <c r="BB1094" s="10"/>
      <c r="BC1094" s="9"/>
      <c r="BD1094" s="9"/>
      <c r="BE1094" s="9"/>
      <c r="BF1094" s="9"/>
    </row>
    <row r="1095" spans="1:58" x14ac:dyDescent="0.25">
      <c r="A1095" s="9" t="s">
        <v>84</v>
      </c>
      <c r="B1095" s="9" t="s">
        <v>85</v>
      </c>
      <c r="C1095" s="9" t="s">
        <v>1486</v>
      </c>
      <c r="D1095" s="10">
        <v>45770</v>
      </c>
      <c r="E1095" s="10">
        <v>45778</v>
      </c>
      <c r="F1095" s="10">
        <v>45808</v>
      </c>
      <c r="G1095" s="9">
        <v>3786908</v>
      </c>
      <c r="H1095" s="9" t="str">
        <f t="shared" si="104"/>
        <v>Closed</v>
      </c>
      <c r="I1095" s="9" t="str">
        <f t="shared" si="105"/>
        <v>All dates received</v>
      </c>
      <c r="J1095" s="9" t="s">
        <v>494</v>
      </c>
      <c r="K1095" s="9" t="s">
        <v>2342</v>
      </c>
      <c r="L1095" s="11">
        <v>30</v>
      </c>
      <c r="M1095" s="9" t="s">
        <v>2343</v>
      </c>
      <c r="N1095" s="9"/>
      <c r="O1095" s="9"/>
      <c r="P1095" s="9"/>
      <c r="Q1095" s="11">
        <v>60</v>
      </c>
      <c r="R1095" s="9" t="s">
        <v>90</v>
      </c>
      <c r="S1095" s="9" t="s">
        <v>150</v>
      </c>
      <c r="T1095" s="12">
        <f>IF($H1095="Cancelled","",IFERROR(((Q1095+INDEX(Variables!$B$6:$D$6,IFERROR(MATCH(IF($B1095="Robusta","Robusta",(IF($B1095="","Arabica",$B1095))&amp;" - "&amp;(IF($C1095="","Commercial",$C1095))),Variables!$B$1:$D$1,0),1)))*22.0462)*(L1095/16.67),""))</f>
        <v>13918.068914217156</v>
      </c>
      <c r="U1095" s="10">
        <v>45772</v>
      </c>
      <c r="V1095" s="9" t="str">
        <f t="shared" ref="V1095:V1104" si="107">IF(ISNUMBER(U1095),"Sent","")</f>
        <v>Sent</v>
      </c>
      <c r="W1095" s="10">
        <v>45776</v>
      </c>
      <c r="X1095" s="9" t="str">
        <f t="shared" si="102"/>
        <v>Approved</v>
      </c>
      <c r="Y1095" s="10"/>
      <c r="Z1095" s="10">
        <f>IF($H1095="Cancelled","",IFERROR(IF(F1095="","",F1095-Variables!$B$13),""))</f>
        <v>45793</v>
      </c>
      <c r="AA1095" s="11">
        <f>IF($H1095="Cancelled","",IFERROR(IF(W1095="","",(AVERAGE(E1095:F1095)-W1095)-Variables!$B$14),""))</f>
        <v>-13</v>
      </c>
      <c r="AB1095" s="10">
        <v>45803</v>
      </c>
      <c r="AC1095" s="11">
        <f>IF($H1095="Cancelled","",IFERROR(IF(AB1095="","",IF(AND(W1095="",Y1095=""),"",IF(Y1095&gt;W1095,Y1095+Variables!$B$15+Variables!$B$16+Variables!$B$17-AB1095,W1095+Variables!$B$16+Variables!$B$17-AB1095))),""))</f>
        <v>-19</v>
      </c>
      <c r="AD1095" s="9" t="s">
        <v>151</v>
      </c>
      <c r="AE1095" s="9" t="s">
        <v>918</v>
      </c>
      <c r="AF1095" s="10"/>
      <c r="AG1095" s="10"/>
      <c r="AH1095" s="9"/>
      <c r="AI1095" s="9" t="s">
        <v>1048</v>
      </c>
      <c r="AJ1095" s="9" t="s">
        <v>8</v>
      </c>
      <c r="AK1095" s="10">
        <v>45821</v>
      </c>
      <c r="AL1095" s="10">
        <v>45832</v>
      </c>
      <c r="AM1095" s="10">
        <v>45835</v>
      </c>
      <c r="AN1095" s="9" t="s">
        <v>1492</v>
      </c>
      <c r="AO1095" s="9"/>
      <c r="AP1095" s="11">
        <f>IF($H1095="Cancelled","",IFERROR(IF(OR(AK1095="",AB1095=""),"",(AB1095+Variables!$B$18-AK1095)),""))</f>
        <v>-11</v>
      </c>
      <c r="AQ1095" s="11">
        <f>IF($H1095="Cancelled","",IFERROR(IF(OR(AM1095="",AK1095=""),"",(AK1095+Variables!$B$19)-AM1095),""))</f>
        <v>-9</v>
      </c>
      <c r="AR1095" s="12">
        <f>IF($H1095="Cancelled","",IFERROR(T1095*INDEX(Variables!$B$7:$D$7,IFERROR(MATCH(IF($B1095="Robusta","Robusta",(IF($B1095="","Arabica",$B1095))&amp;" - "&amp;(IF($C1095="","Commercial",$C1095))),Variables!$B$1:$D$1,0),1))*(AQ1095/365),""))</f>
        <v>-22.129340630309592</v>
      </c>
      <c r="AS1095" s="12">
        <f>IF($H1095="Cancelled","",IFERROR((T1095*INDEX(Variables!$B$7:$D$7,IFERROR(MATCH(IF($B1095="Robusta","Robusta",(IF($B1095="","Arabica",$B1095))&amp;" - "&amp;(IF($C1095="","Commercial",$C1095))),Variables!$B$1:$D$1,0),1))*IFERROR(IF(W1095="","",(AVERAGE(E1095:F1095)-W1095)-Variables!$B$14),"")/365)+(L1095/16.67*INDEX(Variables!$B$8:$D$8,IFERROR(MATCH(IF($B1095="Robusta","Robusta",(IF($B1095="","Arabica",$B1095))&amp;" - "&amp;(IF($C1095="","Commercial",$C1095))),Variables!$B$1:$D$1,0),1))*IFERROR(IF(W1095="","",(AVERAGE(E1095:F1095)-W1095)-Variables!$B$14),""))+(T1095*INDEX(Variables!$B$9:$D$9,IFERROR(MATCH(IF($B1095="Robusta","Robusta",(IF($B1095="","Arabica",$B1095))&amp;" - "&amp;(IF($C1095="","Commercial",$C1095))),Variables!$B$1:$D$1,0),1))*IFERROR(IF(W1095="","",(AVERAGE(E1095:F1095)-W1095)-Variables!$B$14),"")/365),""))</f>
        <v>-51.876688554447639</v>
      </c>
      <c r="AT1095" s="12">
        <f>IF($H1095="Cancelled","",IFERROR((T1095*INDEX(Variables!$B$7:$D$7,IFERROR(MATCH(IF($B1095="Robusta","Robusta",(IF($B1095="","Arabica",$B1095))&amp;" - "&amp;(IF($C1095="","Commercial",$C1095))),Variables!$B$1:$D$1,0),1))*AC1095/365)+(L1095/16.67*INDEX(Variables!$B$8:$D$8,IFERROR(MATCH(IF($B1095="Robusta","Robusta",(IF($B1095="","Arabica",$B1095))&amp;" - "&amp;(IF($C1095="","Commercial",$C1095))),Variables!$B$1:$D$1,0),1))*AC1095)+(T1095*INDEX(Variables!$B$9:$D$9,IFERROR(MATCH(IF($B1095="Robusta","Robusta",(IF($B1095="","Arabica",$B1095))&amp;" - "&amp;(IF($C1095="","Commercial",$C1095))),Variables!$B$1:$D$1,0),1))*AC1095/365),""))</f>
        <v>-75.819775579577325</v>
      </c>
      <c r="AU1095" s="12">
        <f>IF($H1095="Cancelled","",IFERROR((T1095*INDEX(Variables!$B$7:$D$7,IFERROR(MATCH(IF($B1095="Robusta","Robusta",(IF($B1095="","Arabica",$B1095))&amp;" - "&amp;(IF($C1095="","Commercial",$C1095))),Variables!$B$1:$D$1,0),1))*AP1095/365)+(L1095/16.67*INDEX(Variables!$B$8:$D$8,IFERROR(MATCH(IF($B1095="Robusta","Robusta",(IF($B1095="","Arabica",$B1095))&amp;" - "&amp;(IF($C1095="","Commercial",$C1095))),Variables!$B$1:$D$1,0),1))*AP1095)+(T1095*INDEX(Variables!$B$9:$D$9,IFERROR(MATCH(IF($B1095="Robusta","Robusta",(IF($B1095="","Arabica",$B1095))&amp;" - "&amp;(IF($C1095="","Commercial",$C1095))),Variables!$B$1:$D$1,0),1))*AP1095/365),""))</f>
        <v>-43.89565954607108</v>
      </c>
      <c r="AV1095" s="11">
        <f t="shared" si="106"/>
        <v>-13</v>
      </c>
      <c r="AW1095" s="12">
        <f>IF($H1095="Cancelled","",IFERROR(IF(AV1095="","",(T1095*INDEX(Variables!$B$7:$D$7,IFERROR(MATCH(IF($B1095="Robusta","Robusta",(IF($B1095="","Arabica",$B1095))&amp;" - "&amp;(IF($C1095="","Commercial",$C1095))),Variables!$B$1:$D$1,0),1))*(AV1095/365))+(T1095*INDEX(Variables!$B$9:$D$9,IFERROR(MATCH(IF($B1095="Robusta","Robusta",(IF($B1095="","Arabica",$B1095))&amp;" - "&amp;(IF($C1095="","Commercial",$C1095))),Variables!$B$1:$D$1,0),1))*(AV1095/365))+(INDEX(Variables!$B$8:$D$8,IFERROR(MATCH(IF($B1095="Robusta","Robusta",(IF($B1095="","Arabica",$B1095))&amp;" - "&amp;(IF($C1095="","Commercial",$C1095))),Variables!$B$1:$D$1,0),1))*L1095/16.67)),""))</f>
        <v>-30.876688554447639</v>
      </c>
      <c r="AX1095" s="9"/>
      <c r="AY1095" s="12"/>
      <c r="AZ1095" s="10"/>
      <c r="BA1095" s="9"/>
      <c r="BB1095" s="10"/>
      <c r="BC1095" s="9"/>
      <c r="BD1095" s="9"/>
      <c r="BE1095" s="9"/>
      <c r="BF1095" s="9"/>
    </row>
    <row r="1096" spans="1:58" x14ac:dyDescent="0.25">
      <c r="A1096" s="9" t="s">
        <v>84</v>
      </c>
      <c r="B1096" s="9" t="s">
        <v>85</v>
      </c>
      <c r="C1096" s="9" t="s">
        <v>1486</v>
      </c>
      <c r="D1096" s="10">
        <v>45772</v>
      </c>
      <c r="E1096" s="10">
        <v>45778</v>
      </c>
      <c r="F1096" s="10">
        <v>45808</v>
      </c>
      <c r="G1096" s="9">
        <v>3786910</v>
      </c>
      <c r="H1096" s="9" t="str">
        <f t="shared" si="104"/>
        <v>Closed</v>
      </c>
      <c r="I1096" s="9" t="str">
        <f t="shared" si="105"/>
        <v>All dates received</v>
      </c>
      <c r="J1096" s="9" t="s">
        <v>494</v>
      </c>
      <c r="K1096" s="9" t="s">
        <v>2344</v>
      </c>
      <c r="L1096" s="11">
        <v>20</v>
      </c>
      <c r="M1096" s="9" t="s">
        <v>2345</v>
      </c>
      <c r="N1096" s="9"/>
      <c r="O1096" s="9"/>
      <c r="P1096" s="9"/>
      <c r="Q1096" s="11">
        <v>40</v>
      </c>
      <c r="R1096" s="9" t="s">
        <v>90</v>
      </c>
      <c r="S1096" s="9" t="s">
        <v>207</v>
      </c>
      <c r="T1096" s="12">
        <f>IF($H1096="Cancelled","",IFERROR(((Q1096+INDEX(Variables!$B$6:$D$6,IFERROR(MATCH(IF($B1096="Robusta","Robusta",(IF($B1096="","Arabica",$B1096))&amp;" - "&amp;(IF($C1096="","Commercial",$C1096))),Variables!$B$1:$D$1,0),1)))*22.0462)*(L1096/16.67),""))</f>
        <v>8749.7096100779836</v>
      </c>
      <c r="U1096" s="10"/>
      <c r="V1096" s="9" t="str">
        <f t="shared" si="107"/>
        <v/>
      </c>
      <c r="W1096" s="10">
        <v>45763</v>
      </c>
      <c r="X1096" s="9" t="str">
        <f t="shared" si="102"/>
        <v>Approved</v>
      </c>
      <c r="Y1096" s="10">
        <v>45793</v>
      </c>
      <c r="Z1096" s="10">
        <f>IF($H1096="Cancelled","",IFERROR(IF(F1096="","",F1096-Variables!$B$13),""))</f>
        <v>45793</v>
      </c>
      <c r="AA1096" s="11">
        <f>IF($H1096="Cancelled","",IFERROR(IF(W1096="","",(AVERAGE(E1096:F1096)-W1096)-Variables!$B$14),""))</f>
        <v>0</v>
      </c>
      <c r="AB1096" s="10">
        <v>45800</v>
      </c>
      <c r="AC1096" s="11">
        <f>IF($H1096="Cancelled","",IFERROR(IF(AB1096="","",IF(AND(W1096="",Y1096=""),"",IF(Y1096&gt;W1096,Y1096+Variables!$B$15+Variables!$B$16+Variables!$B$17-AB1096,W1096+Variables!$B$16+Variables!$B$17-AB1096))),""))</f>
        <v>8</v>
      </c>
      <c r="AD1096" s="9" t="s">
        <v>107</v>
      </c>
      <c r="AE1096" s="9" t="s">
        <v>2346</v>
      </c>
      <c r="AF1096" s="10"/>
      <c r="AG1096" s="10"/>
      <c r="AH1096" s="9"/>
      <c r="AI1096" s="9" t="s">
        <v>2347</v>
      </c>
      <c r="AJ1096" s="9" t="s">
        <v>8</v>
      </c>
      <c r="AK1096" s="10">
        <v>45820</v>
      </c>
      <c r="AL1096" s="10">
        <v>45821</v>
      </c>
      <c r="AM1096" s="10">
        <v>45821</v>
      </c>
      <c r="AN1096" s="9" t="s">
        <v>1492</v>
      </c>
      <c r="AO1096" s="9"/>
      <c r="AP1096" s="11">
        <f>IF($H1096="Cancelled","",IFERROR(IF(OR(AK1096="",AB1096=""),"",(AB1096+Variables!$B$18-AK1096)),""))</f>
        <v>-13</v>
      </c>
      <c r="AQ1096" s="11">
        <f>IF($H1096="Cancelled","",IFERROR(IF(OR(AM1096="",AK1096=""),"",(AK1096+Variables!$B$19)-AM1096),""))</f>
        <v>4</v>
      </c>
      <c r="AR1096" s="12">
        <f>IF($H1096="Cancelled","",IFERROR(T1096*INDEX(Variables!$B$7:$D$7,IFERROR(MATCH(IF($B1096="Robusta","Robusta",(IF($B1096="","Arabica",$B1096))&amp;" - "&amp;(IF($C1096="","Commercial",$C1096))),Variables!$B$1:$D$1,0),1))*(AQ1096/365),""))</f>
        <v>6.1830194522626911</v>
      </c>
      <c r="AS1096" s="12">
        <f>IF($H1096="Cancelled","",IFERROR((T1096*INDEX(Variables!$B$7:$D$7,IFERROR(MATCH(IF($B1096="Robusta","Robusta",(IF($B1096="","Arabica",$B1096))&amp;" - "&amp;(IF($C1096="","Commercial",$C1096))),Variables!$B$1:$D$1,0),1))*IFERROR(IF(W1096="","",(AVERAGE(E1096:F1096)-W1096)-Variables!$B$14),"")/365)+(L1096/16.67*INDEX(Variables!$B$8:$D$8,IFERROR(MATCH(IF($B1096="Robusta","Robusta",(IF($B1096="","Arabica",$B1096))&amp;" - "&amp;(IF($C1096="","Commercial",$C1096))),Variables!$B$1:$D$1,0),1))*IFERROR(IF(W1096="","",(AVERAGE(E1096:F1096)-W1096)-Variables!$B$14),""))+(T1096*INDEX(Variables!$B$9:$D$9,IFERROR(MATCH(IF($B1096="Robusta","Robusta",(IF($B1096="","Arabica",$B1096))&amp;" - "&amp;(IF($C1096="","Commercial",$C1096))),Variables!$B$1:$D$1,0),1))*IFERROR(IF(W1096="","",(AVERAGE(E1096:F1096)-W1096)-Variables!$B$14),"")/365),""))</f>
        <v>0</v>
      </c>
      <c r="AT1096" s="12">
        <f>IF($H1096="Cancelled","",IFERROR((T1096*INDEX(Variables!$B$7:$D$7,IFERROR(MATCH(IF($B1096="Robusta","Robusta",(IF($B1096="","Arabica",$B1096))&amp;" - "&amp;(IF($C1096="","Commercial",$C1096))),Variables!$B$1:$D$1,0),1))*AC1096/365)+(L1096/16.67*INDEX(Variables!$B$8:$D$8,IFERROR(MATCH(IF($B1096="Robusta","Robusta",(IF($B1096="","Arabica",$B1096))&amp;" - "&amp;(IF($C1096="","Commercial",$C1096))),Variables!$B$1:$D$1,0),1))*AC1096)+(T1096*INDEX(Variables!$B$9:$D$9,IFERROR(MATCH(IF($B1096="Robusta","Robusta",(IF($B1096="","Arabica",$B1096))&amp;" - "&amp;(IF($C1096="","Commercial",$C1096))),Variables!$B$1:$D$1,0),1))*AC1096/365),""))</f>
        <v>20.525461010801717</v>
      </c>
      <c r="AU1096" s="12">
        <f>IF($H1096="Cancelled","",IFERROR((T1096*INDEX(Variables!$B$7:$D$7,IFERROR(MATCH(IF($B1096="Robusta","Robusta",(IF($B1096="","Arabica",$B1096))&amp;" - "&amp;(IF($C1096="","Commercial",$C1096))),Variables!$B$1:$D$1,0),1))*AP1096/365)+(L1096/16.67*INDEX(Variables!$B$8:$D$8,IFERROR(MATCH(IF($B1096="Robusta","Robusta",(IF($B1096="","Arabica",$B1096))&amp;" - "&amp;(IF($C1096="","Commercial",$C1096))),Variables!$B$1:$D$1,0),1))*AP1096)+(T1096*INDEX(Variables!$B$9:$D$9,IFERROR(MATCH(IF($B1096="Robusta","Robusta",(IF($B1096="","Arabica",$B1096))&amp;" - "&amp;(IF($C1096="","Commercial",$C1096))),Variables!$B$1:$D$1,0),1))*AP1096/365),""))</f>
        <v>-33.353874142552797</v>
      </c>
      <c r="AV1096" s="11">
        <f t="shared" si="106"/>
        <v>-12</v>
      </c>
      <c r="AW1096" s="12">
        <f>IF($H1096="Cancelled","",IFERROR(IF(AV1096="","",(T1096*INDEX(Variables!$B$7:$D$7,IFERROR(MATCH(IF($B1096="Robusta","Robusta",(IF($B1096="","Arabica",$B1096))&amp;" - "&amp;(IF($C1096="","Commercial",$C1096))),Variables!$B$1:$D$1,0),1))*(AV1096/365))+(T1096*INDEX(Variables!$B$9:$D$9,IFERROR(MATCH(IF($B1096="Robusta","Robusta",(IF($B1096="","Arabica",$B1096))&amp;" - "&amp;(IF($C1096="","Commercial",$C1096))),Variables!$B$1:$D$1,0),1))*(AV1096/365))+(INDEX(Variables!$B$8:$D$8,IFERROR(MATCH(IF($B1096="Robusta","Robusta",(IF($B1096="","Arabica",$B1096))&amp;" - "&amp;(IF($C1096="","Commercial",$C1096))),Variables!$B$1:$D$1,0),1))*L1096/16.67)),""))</f>
        <v>-17.788191516202573</v>
      </c>
      <c r="AX1096" s="9"/>
      <c r="AY1096" s="12"/>
      <c r="AZ1096" s="10"/>
      <c r="BA1096" s="9"/>
      <c r="BB1096" s="10"/>
      <c r="BC1096" s="9"/>
      <c r="BD1096" s="9"/>
      <c r="BE1096" s="9"/>
      <c r="BF1096" s="9"/>
    </row>
    <row r="1097" spans="1:58" x14ac:dyDescent="0.25">
      <c r="A1097" s="9" t="s">
        <v>84</v>
      </c>
      <c r="B1097" s="9" t="s">
        <v>85</v>
      </c>
      <c r="C1097" s="9" t="s">
        <v>1486</v>
      </c>
      <c r="D1097" s="10">
        <v>45772</v>
      </c>
      <c r="E1097" s="10">
        <v>45778</v>
      </c>
      <c r="F1097" s="10">
        <v>45808</v>
      </c>
      <c r="G1097" s="9">
        <v>3786911</v>
      </c>
      <c r="H1097" s="9" t="str">
        <f t="shared" si="104"/>
        <v>Closed</v>
      </c>
      <c r="I1097" s="9" t="str">
        <f t="shared" si="105"/>
        <v>All dates received</v>
      </c>
      <c r="J1097" s="9" t="s">
        <v>494</v>
      </c>
      <c r="K1097" s="9" t="s">
        <v>2348</v>
      </c>
      <c r="L1097" s="11">
        <v>245</v>
      </c>
      <c r="M1097" s="9" t="s">
        <v>2349</v>
      </c>
      <c r="N1097" s="9"/>
      <c r="O1097" s="9"/>
      <c r="P1097" s="9"/>
      <c r="Q1097" s="11">
        <v>59</v>
      </c>
      <c r="R1097" s="9" t="s">
        <v>90</v>
      </c>
      <c r="S1097" s="9" t="s">
        <v>207</v>
      </c>
      <c r="T1097" s="12">
        <f>IF($H1097="Cancelled","",IFERROR(((Q1097+INDEX(Variables!$B$6:$D$6,IFERROR(MATCH(IF($B1097="Robusta","Robusta",(IF($B1097="","Arabica",$B1097))&amp;" - "&amp;(IF($C1097="","Commercial",$C1097))),Variables!$B$1:$D$1,0),1)))*22.0462)*(L1097/16.67),""))</f>
        <v>113340.2151289742</v>
      </c>
      <c r="U1097" s="10">
        <v>45782</v>
      </c>
      <c r="V1097" s="9" t="str">
        <f t="shared" si="107"/>
        <v>Sent</v>
      </c>
      <c r="W1097" s="10">
        <v>45784</v>
      </c>
      <c r="X1097" s="9" t="str">
        <f t="shared" si="102"/>
        <v>Approved</v>
      </c>
      <c r="Y1097" s="10"/>
      <c r="Z1097" s="10">
        <f>IF($H1097="Cancelled","",IFERROR(IF(F1097="","",F1097-Variables!$B$13),""))</f>
        <v>45793</v>
      </c>
      <c r="AA1097" s="11">
        <f>IF($H1097="Cancelled","",IFERROR(IF(W1097="","",(AVERAGE(E1097:F1097)-W1097)-Variables!$B$14),""))</f>
        <v>-21</v>
      </c>
      <c r="AB1097" s="10">
        <v>45800</v>
      </c>
      <c r="AC1097" s="11">
        <f>IF($H1097="Cancelled","",IFERROR(IF(AB1097="","",IF(AND(W1097="",Y1097=""),"",IF(Y1097&gt;W1097,Y1097+Variables!$B$15+Variables!$B$16+Variables!$B$17-AB1097,W1097+Variables!$B$16+Variables!$B$17-AB1097))),""))</f>
        <v>-8</v>
      </c>
      <c r="AD1097" s="9" t="s">
        <v>107</v>
      </c>
      <c r="AE1097" s="9" t="s">
        <v>2346</v>
      </c>
      <c r="AF1097" s="10"/>
      <c r="AG1097" s="10"/>
      <c r="AH1097" s="9"/>
      <c r="AI1097" s="9" t="s">
        <v>2347</v>
      </c>
      <c r="AJ1097" s="9" t="s">
        <v>8</v>
      </c>
      <c r="AK1097" s="10">
        <v>45820</v>
      </c>
      <c r="AL1097" s="10">
        <v>45821</v>
      </c>
      <c r="AM1097" s="10">
        <v>45821</v>
      </c>
      <c r="AN1097" s="9" t="s">
        <v>1492</v>
      </c>
      <c r="AO1097" s="9"/>
      <c r="AP1097" s="11">
        <f>IF($H1097="Cancelled","",IFERROR(IF(OR(AK1097="",AB1097=""),"",(AB1097+Variables!$B$18-AK1097)),""))</f>
        <v>-13</v>
      </c>
      <c r="AQ1097" s="11">
        <f>IF($H1097="Cancelled","",IFERROR(IF(OR(AM1097="",AK1097=""),"",(AK1097+Variables!$B$19)-AM1097),""))</f>
        <v>4</v>
      </c>
      <c r="AR1097" s="12">
        <f>IF($H1097="Cancelled","",IFERROR(T1097*INDEX(Variables!$B$7:$D$7,IFERROR(MATCH(IF($B1097="Robusta","Robusta",(IF($B1097="","Arabica",$B1097))&amp;" - "&amp;(IF($C1097="","Commercial",$C1097))),Variables!$B$1:$D$1,0),1))*(AQ1097/365),""))</f>
        <v>80.092344328652501</v>
      </c>
      <c r="AS1097" s="12">
        <f>IF($H1097="Cancelled","",IFERROR((T1097*INDEX(Variables!$B$7:$D$7,IFERROR(MATCH(IF($B1097="Robusta","Robusta",(IF($B1097="","Arabica",$B1097))&amp;" - "&amp;(IF($C1097="","Commercial",$C1097))),Variables!$B$1:$D$1,0),1))*IFERROR(IF(W1097="","",(AVERAGE(E1097:F1097)-W1097)-Variables!$B$14),"")/365)+(L1097/16.67*INDEX(Variables!$B$8:$D$8,IFERROR(MATCH(IF($B1097="Robusta","Robusta",(IF($B1097="","Arabica",$B1097))&amp;" - "&amp;(IF($C1097="","Commercial",$C1097))),Variables!$B$1:$D$1,0),1))*IFERROR(IF(W1097="","",(AVERAGE(E1097:F1097)-W1097)-Variables!$B$14),""))+(T1097*INDEX(Variables!$B$9:$D$9,IFERROR(MATCH(IF($B1097="Robusta","Robusta",(IF($B1097="","Arabica",$B1097))&amp;" - "&amp;(IF($C1097="","Commercial",$C1097))),Variables!$B$1:$D$1,0),1))*IFERROR(IF(W1097="","",(AVERAGE(E1097:F1097)-W1097)-Variables!$B$14),"")/365),""))</f>
        <v>-683.15566837630536</v>
      </c>
      <c r="AT1097" s="12">
        <f>IF($H1097="Cancelled","",IFERROR((T1097*INDEX(Variables!$B$7:$D$7,IFERROR(MATCH(IF($B1097="Robusta","Robusta",(IF($B1097="","Arabica",$B1097))&amp;" - "&amp;(IF($C1097="","Commercial",$C1097))),Variables!$B$1:$D$1,0),1))*AC1097/365)+(L1097/16.67*INDEX(Variables!$B$8:$D$8,IFERROR(MATCH(IF($B1097="Robusta","Robusta",(IF($B1097="","Arabica",$B1097))&amp;" - "&amp;(IF($C1097="","Commercial",$C1097))),Variables!$B$1:$D$1,0),1))*AC1097)+(T1097*INDEX(Variables!$B$9:$D$9,IFERROR(MATCH(IF($B1097="Robusta","Robusta",(IF($B1097="","Arabica",$B1097))&amp;" - "&amp;(IF($C1097="","Commercial",$C1097))),Variables!$B$1:$D$1,0),1))*AC1097/365),""))</f>
        <v>-260.24977842906867</v>
      </c>
      <c r="AU1097" s="12">
        <f>IF($H1097="Cancelled","",IFERROR((T1097*INDEX(Variables!$B$7:$D$7,IFERROR(MATCH(IF($B1097="Robusta","Robusta",(IF($B1097="","Arabica",$B1097))&amp;" - "&amp;(IF($C1097="","Commercial",$C1097))),Variables!$B$1:$D$1,0),1))*AP1097/365)+(L1097/16.67*INDEX(Variables!$B$8:$D$8,IFERROR(MATCH(IF($B1097="Robusta","Robusta",(IF($B1097="","Arabica",$B1097))&amp;" - "&amp;(IF($C1097="","Commercial",$C1097))),Variables!$B$1:$D$1,0),1))*AP1097)+(T1097*INDEX(Variables!$B$9:$D$9,IFERROR(MATCH(IF($B1097="Robusta","Robusta",(IF($B1097="","Arabica",$B1097))&amp;" - "&amp;(IF($C1097="","Commercial",$C1097))),Variables!$B$1:$D$1,0),1))*AP1097/365),""))</f>
        <v>-422.90588994723663</v>
      </c>
      <c r="AV1097" s="11">
        <f t="shared" si="106"/>
        <v>-12</v>
      </c>
      <c r="AW1097" s="12">
        <f>IF($H1097="Cancelled","",IFERROR(IF(AV1097="","",(T1097*INDEX(Variables!$B$7:$D$7,IFERROR(MATCH(IF($B1097="Robusta","Robusta",(IF($B1097="","Arabica",$B1097))&amp;" - "&amp;(IF($C1097="","Commercial",$C1097))),Variables!$B$1:$D$1,0),1))*(AV1097/365))+(T1097*INDEX(Variables!$B$9:$D$9,IFERROR(MATCH(IF($B1097="Robusta","Robusta",(IF($B1097="","Arabica",$B1097))&amp;" - "&amp;(IF($C1097="","Commercial",$C1097))),Variables!$B$1:$D$1,0),1))*(AV1097/365))+(INDEX(Variables!$B$8:$D$8,IFERROR(MATCH(IF($B1097="Robusta","Robusta",(IF($B1097="","Arabica",$B1097))&amp;" - "&amp;(IF($C1097="","Commercial",$C1097))),Variables!$B$1:$D$1,0),1))*L1097/16.67)),""))</f>
        <v>-231.12466764360295</v>
      </c>
      <c r="AX1097" s="9"/>
      <c r="AY1097" s="12"/>
      <c r="AZ1097" s="10"/>
      <c r="BA1097" s="9"/>
      <c r="BB1097" s="10"/>
      <c r="BC1097" s="9"/>
      <c r="BD1097" s="9"/>
      <c r="BE1097" s="9"/>
      <c r="BF1097" s="9"/>
    </row>
    <row r="1098" spans="1:58" x14ac:dyDescent="0.25">
      <c r="A1098" s="9" t="s">
        <v>84</v>
      </c>
      <c r="B1098" s="9" t="s">
        <v>85</v>
      </c>
      <c r="C1098" s="9" t="s">
        <v>1486</v>
      </c>
      <c r="D1098" s="10">
        <v>45772</v>
      </c>
      <c r="E1098" s="10">
        <v>45778</v>
      </c>
      <c r="F1098" s="10">
        <v>45808</v>
      </c>
      <c r="G1098" s="9">
        <v>3786912</v>
      </c>
      <c r="H1098" s="9" t="str">
        <f t="shared" si="104"/>
        <v>Closed</v>
      </c>
      <c r="I1098" s="9" t="str">
        <f t="shared" si="105"/>
        <v>All dates received</v>
      </c>
      <c r="J1098" s="9" t="s">
        <v>494</v>
      </c>
      <c r="K1098" s="9" t="s">
        <v>2350</v>
      </c>
      <c r="L1098" s="11">
        <v>55</v>
      </c>
      <c r="M1098" s="9" t="s">
        <v>2351</v>
      </c>
      <c r="N1098" s="9"/>
      <c r="O1098" s="9"/>
      <c r="P1098" s="9"/>
      <c r="Q1098" s="11">
        <v>40</v>
      </c>
      <c r="R1098" s="9" t="s">
        <v>90</v>
      </c>
      <c r="S1098" s="9" t="s">
        <v>207</v>
      </c>
      <c r="T1098" s="12">
        <f>IF($H1098="Cancelled","",IFERROR(((Q1098+INDEX(Variables!$B$6:$D$6,IFERROR(MATCH(IF($B1098="Robusta","Robusta",(IF($B1098="","Arabica",$B1098))&amp;" - "&amp;(IF($C1098="","Commercial",$C1098))),Variables!$B$1:$D$1,0),1)))*22.0462)*(L1098/16.67),""))</f>
        <v>24061.701427714455</v>
      </c>
      <c r="U1098" s="10"/>
      <c r="V1098" s="9" t="str">
        <f t="shared" si="107"/>
        <v/>
      </c>
      <c r="W1098" s="10">
        <v>45763</v>
      </c>
      <c r="X1098" s="9" t="str">
        <f t="shared" si="102"/>
        <v>Approved</v>
      </c>
      <c r="Y1098" s="10">
        <v>45793</v>
      </c>
      <c r="Z1098" s="10">
        <f>IF($H1098="Cancelled","",IFERROR(IF(F1098="","",F1098-Variables!$B$13),""))</f>
        <v>45793</v>
      </c>
      <c r="AA1098" s="11">
        <f>IF($H1098="Cancelled","",IFERROR(IF(W1098="","",(AVERAGE(E1098:F1098)-W1098)-Variables!$B$14),""))</f>
        <v>0</v>
      </c>
      <c r="AB1098" s="10">
        <v>45800</v>
      </c>
      <c r="AC1098" s="11">
        <f>IF($H1098="Cancelled","",IFERROR(IF(AB1098="","",IF(AND(W1098="",Y1098=""),"",IF(Y1098&gt;W1098,Y1098+Variables!$B$15+Variables!$B$16+Variables!$B$17-AB1098,W1098+Variables!$B$16+Variables!$B$17-AB1098))),""))</f>
        <v>8</v>
      </c>
      <c r="AD1098" s="9" t="s">
        <v>107</v>
      </c>
      <c r="AE1098" s="9" t="s">
        <v>2346</v>
      </c>
      <c r="AF1098" s="10"/>
      <c r="AG1098" s="10"/>
      <c r="AH1098" s="9"/>
      <c r="AI1098" s="9" t="s">
        <v>2347</v>
      </c>
      <c r="AJ1098" s="9" t="s">
        <v>8</v>
      </c>
      <c r="AK1098" s="10">
        <v>45820</v>
      </c>
      <c r="AL1098" s="10">
        <v>45821</v>
      </c>
      <c r="AM1098" s="10">
        <v>45821</v>
      </c>
      <c r="AN1098" s="9" t="s">
        <v>1492</v>
      </c>
      <c r="AO1098" s="9"/>
      <c r="AP1098" s="11">
        <f>IF($H1098="Cancelled","",IFERROR(IF(OR(AK1098="",AB1098=""),"",(AB1098+Variables!$B$18-AK1098)),""))</f>
        <v>-13</v>
      </c>
      <c r="AQ1098" s="11">
        <f>IF($H1098="Cancelled","",IFERROR(IF(OR(AM1098="",AK1098=""),"",(AK1098+Variables!$B$19)-AM1098),""))</f>
        <v>4</v>
      </c>
      <c r="AR1098" s="12">
        <f>IF($H1098="Cancelled","",IFERROR(T1098*INDEX(Variables!$B$7:$D$7,IFERROR(MATCH(IF($B1098="Robusta","Robusta",(IF($B1098="","Arabica",$B1098))&amp;" - "&amp;(IF($C1098="","Commercial",$C1098))),Variables!$B$1:$D$1,0),1))*(AQ1098/365),""))</f>
        <v>17.003303493722402</v>
      </c>
      <c r="AS1098" s="12">
        <f>IF($H1098="Cancelled","",IFERROR((T1098*INDEX(Variables!$B$7:$D$7,IFERROR(MATCH(IF($B1098="Robusta","Robusta",(IF($B1098="","Arabica",$B1098))&amp;" - "&amp;(IF($C1098="","Commercial",$C1098))),Variables!$B$1:$D$1,0),1))*IFERROR(IF(W1098="","",(AVERAGE(E1098:F1098)-W1098)-Variables!$B$14),"")/365)+(L1098/16.67*INDEX(Variables!$B$8:$D$8,IFERROR(MATCH(IF($B1098="Robusta","Robusta",(IF($B1098="","Arabica",$B1098))&amp;" - "&amp;(IF($C1098="","Commercial",$C1098))),Variables!$B$1:$D$1,0),1))*IFERROR(IF(W1098="","",(AVERAGE(E1098:F1098)-W1098)-Variables!$B$14),""))+(T1098*INDEX(Variables!$B$9:$D$9,IFERROR(MATCH(IF($B1098="Robusta","Robusta",(IF($B1098="","Arabica",$B1098))&amp;" - "&amp;(IF($C1098="","Commercial",$C1098))),Variables!$B$1:$D$1,0),1))*IFERROR(IF(W1098="","",(AVERAGE(E1098:F1098)-W1098)-Variables!$B$14),"")/365),""))</f>
        <v>0</v>
      </c>
      <c r="AT1098" s="12">
        <f>IF($H1098="Cancelled","",IFERROR((T1098*INDEX(Variables!$B$7:$D$7,IFERROR(MATCH(IF($B1098="Robusta","Robusta",(IF($B1098="","Arabica",$B1098))&amp;" - "&amp;(IF($C1098="","Commercial",$C1098))),Variables!$B$1:$D$1,0),1))*AC1098/365)+(L1098/16.67*INDEX(Variables!$B$8:$D$8,IFERROR(MATCH(IF($B1098="Robusta","Robusta",(IF($B1098="","Arabica",$B1098))&amp;" - "&amp;(IF($C1098="","Commercial",$C1098))),Variables!$B$1:$D$1,0),1))*AC1098)+(T1098*INDEX(Variables!$B$9:$D$9,IFERROR(MATCH(IF($B1098="Robusta","Robusta",(IF($B1098="","Arabica",$B1098))&amp;" - "&amp;(IF($C1098="","Commercial",$C1098))),Variables!$B$1:$D$1,0),1))*AC1098/365),""))</f>
        <v>56.445017779704727</v>
      </c>
      <c r="AU1098" s="12">
        <f>IF($H1098="Cancelled","",IFERROR((T1098*INDEX(Variables!$B$7:$D$7,IFERROR(MATCH(IF($B1098="Robusta","Robusta",(IF($B1098="","Arabica",$B1098))&amp;" - "&amp;(IF($C1098="","Commercial",$C1098))),Variables!$B$1:$D$1,0),1))*AP1098/365)+(L1098/16.67*INDEX(Variables!$B$8:$D$8,IFERROR(MATCH(IF($B1098="Robusta","Robusta",(IF($B1098="","Arabica",$B1098))&amp;" - "&amp;(IF($C1098="","Commercial",$C1098))),Variables!$B$1:$D$1,0),1))*AP1098)+(T1098*INDEX(Variables!$B$9:$D$9,IFERROR(MATCH(IF($B1098="Robusta","Robusta",(IF($B1098="","Arabica",$B1098))&amp;" - "&amp;(IF($C1098="","Commercial",$C1098))),Variables!$B$1:$D$1,0),1))*AP1098/365),""))</f>
        <v>-91.723153892020193</v>
      </c>
      <c r="AV1098" s="11">
        <f t="shared" si="106"/>
        <v>-12</v>
      </c>
      <c r="AW1098" s="12">
        <f>IF($H1098="Cancelled","",IFERROR(IF(AV1098="","",(T1098*INDEX(Variables!$B$7:$D$7,IFERROR(MATCH(IF($B1098="Robusta","Robusta",(IF($B1098="","Arabica",$B1098))&amp;" - "&amp;(IF($C1098="","Commercial",$C1098))),Variables!$B$1:$D$1,0),1))*(AV1098/365))+(T1098*INDEX(Variables!$B$9:$D$9,IFERROR(MATCH(IF($B1098="Robusta","Robusta",(IF($B1098="","Arabica",$B1098))&amp;" - "&amp;(IF($C1098="","Commercial",$C1098))),Variables!$B$1:$D$1,0),1))*(AV1098/365))+(INDEX(Variables!$B$8:$D$8,IFERROR(MATCH(IF($B1098="Robusta","Robusta",(IF($B1098="","Arabica",$B1098))&amp;" - "&amp;(IF($C1098="","Commercial",$C1098))),Variables!$B$1:$D$1,0),1))*L1098/16.67)),""))</f>
        <v>-48.917526669557091</v>
      </c>
      <c r="AX1098" s="9"/>
      <c r="AY1098" s="12"/>
      <c r="AZ1098" s="10"/>
      <c r="BA1098" s="9"/>
      <c r="BB1098" s="10"/>
      <c r="BC1098" s="9"/>
      <c r="BD1098" s="9"/>
      <c r="BE1098" s="9"/>
      <c r="BF1098" s="9"/>
    </row>
    <row r="1099" spans="1:58" x14ac:dyDescent="0.25">
      <c r="A1099" s="9" t="s">
        <v>84</v>
      </c>
      <c r="B1099" s="9" t="s">
        <v>85</v>
      </c>
      <c r="C1099" s="9" t="s">
        <v>1486</v>
      </c>
      <c r="D1099" s="10">
        <v>45791</v>
      </c>
      <c r="E1099" s="10">
        <v>45809</v>
      </c>
      <c r="F1099" s="10">
        <v>45838</v>
      </c>
      <c r="G1099" s="9">
        <v>3786916</v>
      </c>
      <c r="H1099" s="9" t="str">
        <f t="shared" si="104"/>
        <v>Closed</v>
      </c>
      <c r="I1099" s="9" t="str">
        <f t="shared" si="105"/>
        <v>All dates received</v>
      </c>
      <c r="J1099" s="9" t="s">
        <v>1653</v>
      </c>
      <c r="K1099" s="9" t="s">
        <v>2352</v>
      </c>
      <c r="L1099" s="11">
        <v>50</v>
      </c>
      <c r="M1099" s="9" t="s">
        <v>2353</v>
      </c>
      <c r="N1099" s="9"/>
      <c r="O1099" s="9"/>
      <c r="P1099" s="9"/>
      <c r="Q1099" s="11">
        <v>35</v>
      </c>
      <c r="R1099" s="9" t="s">
        <v>90</v>
      </c>
      <c r="S1099" s="9" t="s">
        <v>312</v>
      </c>
      <c r="T1099" s="12">
        <f>IF($H1099="Cancelled","",IFERROR(((Q1099+INDEX(Variables!$B$6:$D$6,IFERROR(MATCH(IF($B1099="Robusta","Robusta",(IF($B1099="","Arabica",$B1099))&amp;" - "&amp;(IF($C1099="","Commercial",$C1099))),Variables!$B$1:$D$1,0),1)))*22.0462)*(L1099/16.67),""))</f>
        <v>21543.647150569883</v>
      </c>
      <c r="U1099" s="10">
        <v>45797</v>
      </c>
      <c r="V1099" s="9" t="str">
        <f t="shared" si="107"/>
        <v>Sent</v>
      </c>
      <c r="W1099" s="10">
        <v>45805</v>
      </c>
      <c r="X1099" s="9" t="str">
        <f t="shared" si="102"/>
        <v>Approved</v>
      </c>
      <c r="Y1099" s="10"/>
      <c r="Z1099" s="10">
        <f>IF($H1099="Cancelled","",IFERROR(IF(F1099="","",F1099-Variables!$B$13),""))</f>
        <v>45823</v>
      </c>
      <c r="AA1099" s="11">
        <f>IF($H1099="Cancelled","",IFERROR(IF(W1099="","",(AVERAGE(E1099:F1099)-W1099)-Variables!$B$14),""))</f>
        <v>-11.5</v>
      </c>
      <c r="AB1099" s="10">
        <v>45819</v>
      </c>
      <c r="AC1099" s="11">
        <f>IF($H1099="Cancelled","",IFERROR(IF(AB1099="","",IF(AND(W1099="",Y1099=""),"",IF(Y1099&gt;W1099,Y1099+Variables!$B$15+Variables!$B$16+Variables!$B$17-AB1099,W1099+Variables!$B$16+Variables!$B$17-AB1099))),""))</f>
        <v>-6</v>
      </c>
      <c r="AD1099" s="9" t="s">
        <v>163</v>
      </c>
      <c r="AE1099" s="9" t="s">
        <v>844</v>
      </c>
      <c r="AF1099" s="10"/>
      <c r="AG1099" s="10"/>
      <c r="AH1099" s="9"/>
      <c r="AI1099" s="9">
        <v>254966212</v>
      </c>
      <c r="AJ1099" s="9" t="s">
        <v>8</v>
      </c>
      <c r="AK1099" s="10">
        <v>45839</v>
      </c>
      <c r="AL1099" s="10">
        <v>45841</v>
      </c>
      <c r="AM1099" s="10">
        <v>45852</v>
      </c>
      <c r="AN1099" s="9" t="s">
        <v>1492</v>
      </c>
      <c r="AO1099" s="9"/>
      <c r="AP1099" s="11">
        <f>IF($H1099="Cancelled","",IFERROR(IF(OR(AK1099="",AB1099=""),"",(AB1099+Variables!$B$18-AK1099)),""))</f>
        <v>-13</v>
      </c>
      <c r="AQ1099" s="11">
        <f>IF($H1099="Cancelled","",IFERROR(IF(OR(AM1099="",AK1099=""),"",(AK1099+Variables!$B$19)-AM1099),""))</f>
        <v>-8</v>
      </c>
      <c r="AR1099" s="12">
        <f>IF($H1099="Cancelled","",IFERROR(T1099*INDEX(Variables!$B$7:$D$7,IFERROR(MATCH(IF($B1099="Robusta","Robusta",(IF($B1099="","Arabica",$B1099))&amp;" - "&amp;(IF($C1099="","Commercial",$C1099))),Variables!$B$1:$D$1,0),1))*(AQ1099/365),""))</f>
        <v>-30.447819491341967</v>
      </c>
      <c r="AS1099" s="12">
        <f>IF($H1099="Cancelled","",IFERROR((T1099*INDEX(Variables!$B$7:$D$7,IFERROR(MATCH(IF($B1099="Robusta","Robusta",(IF($B1099="","Arabica",$B1099))&amp;" - "&amp;(IF($C1099="","Commercial",$C1099))),Variables!$B$1:$D$1,0),1))*IFERROR(IF(W1099="","",(AVERAGE(E1099:F1099)-W1099)-Variables!$B$14),"")/365)+(L1099/16.67*INDEX(Variables!$B$8:$D$8,IFERROR(MATCH(IF($B1099="Robusta","Robusta",(IF($B1099="","Arabica",$B1099))&amp;" - "&amp;(IF($C1099="","Commercial",$C1099))),Variables!$B$1:$D$1,0),1))*IFERROR(IF(W1099="","",(AVERAGE(E1099:F1099)-W1099)-Variables!$B$14),""))+(T1099*INDEX(Variables!$B$9:$D$9,IFERROR(MATCH(IF($B1099="Robusta","Robusta",(IF($B1099="","Arabica",$B1099))&amp;" - "&amp;(IF($C1099="","Commercial",$C1099))),Variables!$B$1:$D$1,0),1))*IFERROR(IF(W1099="","",(AVERAGE(E1099:F1099)-W1099)-Variables!$B$14),"")/365),""))</f>
        <v>-73.083004051892004</v>
      </c>
      <c r="AT1099" s="12">
        <f>IF($H1099="Cancelled","",IFERROR((T1099*INDEX(Variables!$B$7:$D$7,IFERROR(MATCH(IF($B1099="Robusta","Robusta",(IF($B1099="","Arabica",$B1099))&amp;" - "&amp;(IF($C1099="","Commercial",$C1099))),Variables!$B$1:$D$1,0),1))*AC1099/365)+(L1099/16.67*INDEX(Variables!$B$8:$D$8,IFERROR(MATCH(IF($B1099="Robusta","Robusta",(IF($B1099="","Arabica",$B1099))&amp;" - "&amp;(IF($C1099="","Commercial",$C1099))),Variables!$B$1:$D$1,0),1))*AC1099)+(T1099*INDEX(Variables!$B$9:$D$9,IFERROR(MATCH(IF($B1099="Robusta","Robusta",(IF($B1099="","Arabica",$B1099))&amp;" - "&amp;(IF($C1099="","Commercial",$C1099))),Variables!$B$1:$D$1,0),1))*AC1099/365),""))</f>
        <v>-38.130262983595827</v>
      </c>
      <c r="AU1099" s="12">
        <f>IF($H1099="Cancelled","",IFERROR((T1099*INDEX(Variables!$B$7:$D$7,IFERROR(MATCH(IF($B1099="Robusta","Robusta",(IF($B1099="","Arabica",$B1099))&amp;" - "&amp;(IF($C1099="","Commercial",$C1099))),Variables!$B$1:$D$1,0),1))*AP1099/365)+(L1099/16.67*INDEX(Variables!$B$8:$D$8,IFERROR(MATCH(IF($B1099="Robusta","Robusta",(IF($B1099="","Arabica",$B1099))&amp;" - "&amp;(IF($C1099="","Commercial",$C1099))),Variables!$B$1:$D$1,0),1))*AP1099)+(T1099*INDEX(Variables!$B$9:$D$9,IFERROR(MATCH(IF($B1099="Robusta","Robusta",(IF($B1099="","Arabica",$B1099))&amp;" - "&amp;(IF($C1099="","Commercial",$C1099))),Variables!$B$1:$D$1,0),1))*AP1099/365),""))</f>
        <v>-82.615569797790954</v>
      </c>
      <c r="AV1099" s="11">
        <f t="shared" si="106"/>
        <v>-1</v>
      </c>
      <c r="AW1099" s="12">
        <f>IF($H1099="Cancelled","",IFERROR(IF(AV1099="","",(T1099*INDEX(Variables!$B$7:$D$7,IFERROR(MATCH(IF($B1099="Robusta","Robusta",(IF($B1099="","Arabica",$B1099))&amp;" - "&amp;(IF($C1099="","Commercial",$C1099))),Variables!$B$1:$D$1,0),1))*(AV1099/365))+(T1099*INDEX(Variables!$B$9:$D$9,IFERROR(MATCH(IF($B1099="Robusta","Robusta",(IF($B1099="","Arabica",$B1099))&amp;" - "&amp;(IF($C1099="","Commercial",$C1099))),Variables!$B$1:$D$1,0),1))*(AV1099/365))+(INDEX(Variables!$B$8:$D$8,IFERROR(MATCH(IF($B1099="Robusta","Robusta",(IF($B1099="","Arabica",$B1099))&amp;" - "&amp;(IF($C1099="","Commercial",$C1099))),Variables!$B$1:$D$1,0),1))*L1099/16.67)),""))</f>
        <v>-1.3550438305993042</v>
      </c>
      <c r="AX1099" s="9"/>
      <c r="AY1099" s="12"/>
      <c r="AZ1099" s="10"/>
      <c r="BA1099" s="9"/>
      <c r="BB1099" s="10"/>
      <c r="BC1099" s="9"/>
      <c r="BD1099" s="9"/>
      <c r="BE1099" s="9"/>
      <c r="BF1099" s="9"/>
    </row>
    <row r="1100" spans="1:58" x14ac:dyDescent="0.25">
      <c r="A1100" s="9" t="s">
        <v>84</v>
      </c>
      <c r="B1100" s="9" t="s">
        <v>85</v>
      </c>
      <c r="C1100" s="9" t="s">
        <v>1486</v>
      </c>
      <c r="D1100" s="10">
        <v>45791</v>
      </c>
      <c r="E1100" s="10">
        <v>45809</v>
      </c>
      <c r="F1100" s="10">
        <v>45838</v>
      </c>
      <c r="G1100" s="9">
        <v>3786917</v>
      </c>
      <c r="H1100" s="9" t="str">
        <f t="shared" si="104"/>
        <v>Closed</v>
      </c>
      <c r="I1100" s="9" t="str">
        <f t="shared" si="105"/>
        <v>All dates received</v>
      </c>
      <c r="J1100" s="9" t="s">
        <v>1653</v>
      </c>
      <c r="K1100" s="9" t="s">
        <v>2354</v>
      </c>
      <c r="L1100" s="11">
        <v>50</v>
      </c>
      <c r="M1100" s="9" t="s">
        <v>2355</v>
      </c>
      <c r="N1100" s="9"/>
      <c r="O1100" s="9"/>
      <c r="P1100" s="9"/>
      <c r="Q1100" s="11">
        <v>19</v>
      </c>
      <c r="R1100" s="9" t="s">
        <v>90</v>
      </c>
      <c r="S1100" s="9" t="s">
        <v>312</v>
      </c>
      <c r="T1100" s="12">
        <f>IF($H1100="Cancelled","",IFERROR(((Q1100+INDEX(Variables!$B$6:$D$6,IFERROR(MATCH(IF($B1100="Robusta","Robusta",(IF($B1100="","Arabica",$B1100))&amp;" - "&amp;(IF($C1100="","Commercial",$C1100))),Variables!$B$1:$D$1,0),1)))*22.0462)*(L1100/16.67),""))</f>
        <v>20485.641151769643</v>
      </c>
      <c r="U1100" s="10">
        <v>45797</v>
      </c>
      <c r="V1100" s="9" t="str">
        <f t="shared" si="107"/>
        <v>Sent</v>
      </c>
      <c r="W1100" s="10">
        <v>45805</v>
      </c>
      <c r="X1100" s="9" t="str">
        <f t="shared" si="102"/>
        <v>Approved</v>
      </c>
      <c r="Y1100" s="10"/>
      <c r="Z1100" s="10">
        <f>IF($H1100="Cancelled","",IFERROR(IF(F1100="","",F1100-Variables!$B$13),""))</f>
        <v>45823</v>
      </c>
      <c r="AA1100" s="11">
        <f>IF($H1100="Cancelled","",IFERROR(IF(W1100="","",(AVERAGE(E1100:F1100)-W1100)-Variables!$B$14),""))</f>
        <v>-11.5</v>
      </c>
      <c r="AB1100" s="10">
        <v>45819</v>
      </c>
      <c r="AC1100" s="11">
        <f>IF($H1100="Cancelled","",IFERROR(IF(AB1100="","",IF(AND(W1100="",Y1100=""),"",IF(Y1100&gt;W1100,Y1100+Variables!$B$15+Variables!$B$16+Variables!$B$17-AB1100,W1100+Variables!$B$16+Variables!$B$17-AB1100))),""))</f>
        <v>-6</v>
      </c>
      <c r="AD1100" s="9" t="s">
        <v>163</v>
      </c>
      <c r="AE1100" s="9" t="s">
        <v>844</v>
      </c>
      <c r="AF1100" s="10"/>
      <c r="AG1100" s="10"/>
      <c r="AH1100" s="9"/>
      <c r="AI1100" s="9">
        <v>254966212</v>
      </c>
      <c r="AJ1100" s="9" t="s">
        <v>8</v>
      </c>
      <c r="AK1100" s="10">
        <v>45839</v>
      </c>
      <c r="AL1100" s="10">
        <v>45841</v>
      </c>
      <c r="AM1100" s="10">
        <v>45852</v>
      </c>
      <c r="AN1100" s="9" t="s">
        <v>1492</v>
      </c>
      <c r="AO1100" s="9"/>
      <c r="AP1100" s="11">
        <f>IF($H1100="Cancelled","",IFERROR(IF(OR(AK1100="",AB1100=""),"",(AB1100+Variables!$B$18-AK1100)),""))</f>
        <v>-13</v>
      </c>
      <c r="AQ1100" s="11">
        <f>IF($H1100="Cancelled","",IFERROR(IF(OR(AM1100="",AK1100=""),"",(AK1100+Variables!$B$19)-AM1100),""))</f>
        <v>-8</v>
      </c>
      <c r="AR1100" s="12">
        <f>IF($H1100="Cancelled","",IFERROR(T1100*INDEX(Variables!$B$7:$D$7,IFERROR(MATCH(IF($B1100="Robusta","Robusta",(IF($B1100="","Arabica",$B1100))&amp;" - "&amp;(IF($C1100="","Commercial",$C1100))),Variables!$B$1:$D$1,0),1))*(AQ1100/365),""))</f>
        <v>-28.952530627433219</v>
      </c>
      <c r="AS1100" s="12">
        <f>IF($H1100="Cancelled","",IFERROR((T1100*INDEX(Variables!$B$7:$D$7,IFERROR(MATCH(IF($B1100="Robusta","Robusta",(IF($B1100="","Arabica",$B1100))&amp;" - "&amp;(IF($C1100="","Commercial",$C1100))),Variables!$B$1:$D$1,0),1))*IFERROR(IF(W1100="","",(AVERAGE(E1100:F1100)-W1100)-Variables!$B$14),"")/365)+(L1100/16.67*INDEX(Variables!$B$8:$D$8,IFERROR(MATCH(IF($B1100="Robusta","Robusta",(IF($B1100="","Arabica",$B1100))&amp;" - "&amp;(IF($C1100="","Commercial",$C1100))),Variables!$B$1:$D$1,0),1))*IFERROR(IF(W1100="","",(AVERAGE(E1100:F1100)-W1100)-Variables!$B$14),""))+(T1100*INDEX(Variables!$B$9:$D$9,IFERROR(MATCH(IF($B1100="Robusta","Robusta",(IF($B1100="","Arabica",$B1100))&amp;" - "&amp;(IF($C1100="","Commercial",$C1100))),Variables!$B$1:$D$1,0),1))*IFERROR(IF(W1100="","",(AVERAGE(E1100:F1100)-W1100)-Variables!$B$14),"")/365),""))</f>
        <v>-70.905815393726641</v>
      </c>
      <c r="AT1100" s="12">
        <f>IF($H1100="Cancelled","",IFERROR((T1100*INDEX(Variables!$B$7:$D$7,IFERROR(MATCH(IF($B1100="Robusta","Robusta",(IF($B1100="","Arabica",$B1100))&amp;" - "&amp;(IF($C1100="","Commercial",$C1100))),Variables!$B$1:$D$1,0),1))*AC1100/365)+(L1100/16.67*INDEX(Variables!$B$8:$D$8,IFERROR(MATCH(IF($B1100="Robusta","Robusta",(IF($B1100="","Arabica",$B1100))&amp;" - "&amp;(IF($C1100="","Commercial",$C1100))),Variables!$B$1:$D$1,0),1))*AC1100)+(T1100*INDEX(Variables!$B$9:$D$9,IFERROR(MATCH(IF($B1100="Robusta","Robusta",(IF($B1100="","Arabica",$B1100))&amp;" - "&amp;(IF($C1100="","Commercial",$C1100))),Variables!$B$1:$D$1,0),1))*AC1100/365),""))</f>
        <v>-36.994338466292163</v>
      </c>
      <c r="AU1100" s="12">
        <f>IF($H1100="Cancelled","",IFERROR((T1100*INDEX(Variables!$B$7:$D$7,IFERROR(MATCH(IF($B1100="Robusta","Robusta",(IF($B1100="","Arabica",$B1100))&amp;" - "&amp;(IF($C1100="","Commercial",$C1100))),Variables!$B$1:$D$1,0),1))*AP1100/365)+(L1100/16.67*INDEX(Variables!$B$8:$D$8,IFERROR(MATCH(IF($B1100="Robusta","Robusta",(IF($B1100="","Arabica",$B1100))&amp;" - "&amp;(IF($C1100="","Commercial",$C1100))),Variables!$B$1:$D$1,0),1))*AP1100)+(T1100*INDEX(Variables!$B$9:$D$9,IFERROR(MATCH(IF($B1100="Robusta","Robusta",(IF($B1100="","Arabica",$B1100))&amp;" - "&amp;(IF($C1100="","Commercial",$C1100))),Variables!$B$1:$D$1,0),1))*AP1100/365),""))</f>
        <v>-80.154400010299696</v>
      </c>
      <c r="AV1100" s="11">
        <f t="shared" si="106"/>
        <v>-1</v>
      </c>
      <c r="AW1100" s="12">
        <f>IF($H1100="Cancelled","",IFERROR(IF(AV1100="","",(T1100*INDEX(Variables!$B$7:$D$7,IFERROR(MATCH(IF($B1100="Robusta","Robusta",(IF($B1100="","Arabica",$B1100))&amp;" - "&amp;(IF($C1100="","Commercial",$C1100))),Variables!$B$1:$D$1,0),1))*(AV1100/365))+(T1100*INDEX(Variables!$B$9:$D$9,IFERROR(MATCH(IF($B1100="Robusta","Robusta",(IF($B1100="","Arabica",$B1100))&amp;" - "&amp;(IF($C1100="","Commercial",$C1100))),Variables!$B$1:$D$1,0),1))*(AV1100/365))+(INDEX(Variables!$B$8:$D$8,IFERROR(MATCH(IF($B1100="Robusta","Robusta",(IF($B1100="","Arabica",$B1100))&amp;" - "&amp;(IF($C1100="","Commercial",$C1100))),Variables!$B$1:$D$1,0),1))*L1100/16.67)),""))</f>
        <v>-1.1657230777153611</v>
      </c>
      <c r="AX1100" s="9"/>
      <c r="AY1100" s="12"/>
      <c r="AZ1100" s="10"/>
      <c r="BA1100" s="9"/>
      <c r="BB1100" s="10"/>
      <c r="BC1100" s="9"/>
      <c r="BD1100" s="9"/>
      <c r="BE1100" s="9"/>
      <c r="BF1100" s="9"/>
    </row>
    <row r="1101" spans="1:58" x14ac:dyDescent="0.25">
      <c r="A1101" s="9" t="s">
        <v>84</v>
      </c>
      <c r="B1101" s="9" t="s">
        <v>85</v>
      </c>
      <c r="C1101" s="9" t="s">
        <v>1486</v>
      </c>
      <c r="D1101" s="10">
        <v>45791</v>
      </c>
      <c r="E1101" s="10">
        <v>45809</v>
      </c>
      <c r="F1101" s="10">
        <v>45838</v>
      </c>
      <c r="G1101" s="9">
        <v>3786918</v>
      </c>
      <c r="H1101" s="9" t="str">
        <f t="shared" si="104"/>
        <v>Closed</v>
      </c>
      <c r="I1101" s="9" t="str">
        <f t="shared" si="105"/>
        <v>All dates received</v>
      </c>
      <c r="J1101" s="9" t="s">
        <v>1487</v>
      </c>
      <c r="K1101" s="9">
        <v>5276</v>
      </c>
      <c r="L1101" s="11">
        <v>85</v>
      </c>
      <c r="M1101" s="9" t="s">
        <v>2356</v>
      </c>
      <c r="N1101" s="9"/>
      <c r="O1101" s="9"/>
      <c r="P1101" s="9"/>
      <c r="Q1101" s="11">
        <v>98.65</v>
      </c>
      <c r="R1101" s="9" t="s">
        <v>90</v>
      </c>
      <c r="S1101" s="9" t="s">
        <v>1826</v>
      </c>
      <c r="T1101" s="12">
        <f>IF($H1101="Cancelled","",IFERROR(((Q1101+INDEX(Variables!$B$6:$D$6,IFERROR(MATCH(IF($B1101="Robusta","Robusta",(IF($B1101="","Arabica",$B1101))&amp;" - "&amp;(IF($C1101="","Commercial",$C1101))),Variables!$B$1:$D$1,0),1)))*22.0462)*(L1101/16.67),""))</f>
        <v>43779.296349730059</v>
      </c>
      <c r="U1101" s="10">
        <v>45793</v>
      </c>
      <c r="V1101" s="9" t="str">
        <f t="shared" si="107"/>
        <v>Sent</v>
      </c>
      <c r="W1101" s="10">
        <v>45803</v>
      </c>
      <c r="X1101" s="9" t="str">
        <f t="shared" si="102"/>
        <v>Approved</v>
      </c>
      <c r="Y1101" s="10"/>
      <c r="Z1101" s="10">
        <f>IF($H1101="Cancelled","",IFERROR(IF(F1101="","",F1101-Variables!$B$13),""))</f>
        <v>45823</v>
      </c>
      <c r="AA1101" s="11">
        <f>IF($H1101="Cancelled","",IFERROR(IF(W1101="","",(AVERAGE(E1101:F1101)-W1101)-Variables!$B$14),""))</f>
        <v>-9.5</v>
      </c>
      <c r="AB1101" s="10">
        <v>45824</v>
      </c>
      <c r="AC1101" s="11">
        <f>IF($H1101="Cancelled","",IFERROR(IF(AB1101="","",IF(AND(W1101="",Y1101=""),"",IF(Y1101&gt;W1101,Y1101+Variables!$B$15+Variables!$B$16+Variables!$B$17-AB1101,W1101+Variables!$B$16+Variables!$B$17-AB1101))),""))</f>
        <v>-13</v>
      </c>
      <c r="AD1101" s="9" t="s">
        <v>107</v>
      </c>
      <c r="AE1101" s="9" t="s">
        <v>818</v>
      </c>
      <c r="AF1101" s="10"/>
      <c r="AG1101" s="10"/>
      <c r="AH1101" s="9"/>
      <c r="AI1101" s="9" t="s">
        <v>2357</v>
      </c>
      <c r="AJ1101" s="9" t="s">
        <v>8</v>
      </c>
      <c r="AK1101" s="10">
        <v>45844</v>
      </c>
      <c r="AL1101" s="10">
        <v>45847</v>
      </c>
      <c r="AM1101" s="10">
        <v>45853</v>
      </c>
      <c r="AN1101" s="9" t="s">
        <v>1492</v>
      </c>
      <c r="AO1101" s="9"/>
      <c r="AP1101" s="11">
        <f>IF($H1101="Cancelled","",IFERROR(IF(OR(AK1101="",AB1101=""),"",(AB1101+Variables!$B$18-AK1101)),""))</f>
        <v>-13</v>
      </c>
      <c r="AQ1101" s="11">
        <f>IF($H1101="Cancelled","",IFERROR(IF(OR(AM1101="",AK1101=""),"",(AK1101+Variables!$B$19)-AM1101),""))</f>
        <v>-4</v>
      </c>
      <c r="AR1101" s="12">
        <f>IF($H1101="Cancelled","",IFERROR(T1101*INDEX(Variables!$B$7:$D$7,IFERROR(MATCH(IF($B1101="Robusta","Robusta",(IF($B1101="","Arabica",$B1101))&amp;" - "&amp;(IF($C1101="","Commercial",$C1101))),Variables!$B$1:$D$1,0),1))*(AQ1101/365),""))</f>
        <v>-30.936825677617136</v>
      </c>
      <c r="AS1101" s="12">
        <f>IF($H1101="Cancelled","",IFERROR((T1101*INDEX(Variables!$B$7:$D$7,IFERROR(MATCH(IF($B1101="Robusta","Robusta",(IF($B1101="","Arabica",$B1101))&amp;" - "&amp;(IF($C1101="","Commercial",$C1101))),Variables!$B$1:$D$1,0),1))*IFERROR(IF(W1101="","",(AVERAGE(E1101:F1101)-W1101)-Variables!$B$14),"")/365)+(L1101/16.67*INDEX(Variables!$B$8:$D$8,IFERROR(MATCH(IF($B1101="Robusta","Robusta",(IF($B1101="","Arabica",$B1101))&amp;" - "&amp;(IF($C1101="","Commercial",$C1101))),Variables!$B$1:$D$1,0),1))*IFERROR(IF(W1101="","",(AVERAGE(E1101:F1101)-W1101)-Variables!$B$14),""))+(T1101*INDEX(Variables!$B$9:$D$9,IFERROR(MATCH(IF($B1101="Robusta","Robusta",(IF($B1101="","Arabica",$B1101))&amp;" - "&amp;(IF($C1101="","Commercial",$C1101))),Variables!$B$1:$D$1,0),1))*IFERROR(IF(W1101="","",(AVERAGE(E1101:F1101)-W1101)-Variables!$B$14),"")/365),""))</f>
        <v>-114.79719502825176</v>
      </c>
      <c r="AT1101" s="12">
        <f>IF($H1101="Cancelled","",IFERROR((T1101*INDEX(Variables!$B$7:$D$7,IFERROR(MATCH(IF($B1101="Robusta","Robusta",(IF($B1101="","Arabica",$B1101))&amp;" - "&amp;(IF($C1101="","Commercial",$C1101))),Variables!$B$1:$D$1,0),1))*AC1101/365)+(L1101/16.67*INDEX(Variables!$B$8:$D$8,IFERROR(MATCH(IF($B1101="Robusta","Robusta",(IF($B1101="","Arabica",$B1101))&amp;" - "&amp;(IF($C1101="","Commercial",$C1101))),Variables!$B$1:$D$1,0),1))*AC1101)+(T1101*INDEX(Variables!$B$9:$D$9,IFERROR(MATCH(IF($B1101="Robusta","Robusta",(IF($B1101="","Arabica",$B1101))&amp;" - "&amp;(IF($C1101="","Commercial",$C1101))),Variables!$B$1:$D$1,0),1))*AC1101/365),""))</f>
        <v>-157.09089845971295</v>
      </c>
      <c r="AU1101" s="12">
        <f>IF($H1101="Cancelled","",IFERROR((T1101*INDEX(Variables!$B$7:$D$7,IFERROR(MATCH(IF($B1101="Robusta","Robusta",(IF($B1101="","Arabica",$B1101))&amp;" - "&amp;(IF($C1101="","Commercial",$C1101))),Variables!$B$1:$D$1,0),1))*AP1101/365)+(L1101/16.67*INDEX(Variables!$B$8:$D$8,IFERROR(MATCH(IF($B1101="Robusta","Robusta",(IF($B1101="","Arabica",$B1101))&amp;" - "&amp;(IF($C1101="","Commercial",$C1101))),Variables!$B$1:$D$1,0),1))*AP1101)+(T1101*INDEX(Variables!$B$9:$D$9,IFERROR(MATCH(IF($B1101="Robusta","Robusta",(IF($B1101="","Arabica",$B1101))&amp;" - "&amp;(IF($C1101="","Commercial",$C1101))),Variables!$B$1:$D$1,0),1))*AP1101/365),""))</f>
        <v>-157.09089845971295</v>
      </c>
      <c r="AV1101" s="11">
        <f t="shared" si="106"/>
        <v>-6</v>
      </c>
      <c r="AW1101" s="12">
        <f>IF($H1101="Cancelled","",IFERROR(IF(AV1101="","",(T1101*INDEX(Variables!$B$7:$D$7,IFERROR(MATCH(IF($B1101="Robusta","Robusta",(IF($B1101="","Arabica",$B1101))&amp;" - "&amp;(IF($C1101="","Commercial",$C1101))),Variables!$B$1:$D$1,0),1))*(AV1101/365))+(T1101*INDEX(Variables!$B$9:$D$9,IFERROR(MATCH(IF($B1101="Robusta","Robusta",(IF($B1101="","Arabica",$B1101))&amp;" - "&amp;(IF($C1101="","Commercial",$C1101))),Variables!$B$1:$D$1,0),1))*(AV1101/365))+(INDEX(Variables!$B$8:$D$8,IFERROR(MATCH(IF($B1101="Robusta","Robusta",(IF($B1101="","Arabica",$B1101))&amp;" - "&amp;(IF($C1101="","Commercial",$C1101))),Variables!$B$1:$D$1,0),1))*L1101/16.67)),""))</f>
        <v>-42.753491596790589</v>
      </c>
      <c r="AX1101" s="9"/>
      <c r="AY1101" s="12"/>
      <c r="AZ1101" s="10"/>
      <c r="BA1101" s="9"/>
      <c r="BB1101" s="10"/>
      <c r="BC1101" s="9"/>
      <c r="BD1101" s="9"/>
      <c r="BE1101" s="9"/>
      <c r="BF1101" s="9"/>
    </row>
    <row r="1102" spans="1:58" x14ac:dyDescent="0.25">
      <c r="A1102" s="9" t="s">
        <v>84</v>
      </c>
      <c r="B1102" s="9" t="s">
        <v>85</v>
      </c>
      <c r="C1102" s="9" t="s">
        <v>1486</v>
      </c>
      <c r="D1102" s="10">
        <v>45818</v>
      </c>
      <c r="E1102" s="10">
        <v>45809</v>
      </c>
      <c r="F1102" s="10">
        <v>45838</v>
      </c>
      <c r="G1102" s="9">
        <v>3786927</v>
      </c>
      <c r="H1102" s="9" t="str">
        <f t="shared" si="104"/>
        <v>Closed</v>
      </c>
      <c r="I1102" s="9" t="str">
        <f t="shared" si="105"/>
        <v>All dates received</v>
      </c>
      <c r="J1102" s="9" t="s">
        <v>235</v>
      </c>
      <c r="K1102" s="9" t="s">
        <v>2358</v>
      </c>
      <c r="L1102" s="11">
        <v>16</v>
      </c>
      <c r="M1102" s="9" t="s">
        <v>2359</v>
      </c>
      <c r="N1102" s="9"/>
      <c r="O1102" s="9"/>
      <c r="P1102" s="9"/>
      <c r="Q1102" s="11">
        <v>146</v>
      </c>
      <c r="R1102" s="9" t="s">
        <v>195</v>
      </c>
      <c r="S1102" s="9" t="s">
        <v>106</v>
      </c>
      <c r="T1102" s="12">
        <f>IF($H1102="Cancelled","",IFERROR(((Q1102+INDEX(Variables!$B$6:$D$6,IFERROR(MATCH(IF($B1102="Robusta","Robusta",(IF($B1102="","Arabica",$B1102))&amp;" - "&amp;(IF($C1102="","Commercial",$C1102))),Variables!$B$1:$D$1,0),1)))*22.0462)*(L1102/16.67),""))</f>
        <v>9242.7404055188963</v>
      </c>
      <c r="U1102" s="10"/>
      <c r="V1102" s="9" t="str">
        <f t="shared" si="107"/>
        <v/>
      </c>
      <c r="W1102" s="10">
        <v>45797</v>
      </c>
      <c r="X1102" s="9" t="str">
        <f t="shared" si="102"/>
        <v>Approved</v>
      </c>
      <c r="Y1102" s="10">
        <v>45824</v>
      </c>
      <c r="Z1102" s="10">
        <f>IF($H1102="Cancelled","",IFERROR(IF(F1102="","",F1102-Variables!$B$13),""))</f>
        <v>45823</v>
      </c>
      <c r="AA1102" s="11">
        <f>IF($H1102="Cancelled","",IFERROR(IF(W1102="","",(AVERAGE(E1102:F1102)-W1102)-Variables!$B$14),""))</f>
        <v>-3.5</v>
      </c>
      <c r="AB1102" s="10">
        <v>45841</v>
      </c>
      <c r="AC1102" s="11">
        <f>IF($H1102="Cancelled","",IFERROR(IF(AB1102="","",IF(AND(W1102="",Y1102=""),"",IF(Y1102&gt;W1102,Y1102+Variables!$B$15+Variables!$B$16+Variables!$B$17-AB1102,W1102+Variables!$B$16+Variables!$B$17-AB1102))),""))</f>
        <v>-2</v>
      </c>
      <c r="AD1102" s="9" t="s">
        <v>165</v>
      </c>
      <c r="AE1102" s="9" t="s">
        <v>174</v>
      </c>
      <c r="AF1102" s="10"/>
      <c r="AG1102" s="10"/>
      <c r="AH1102" s="9"/>
      <c r="AI1102" s="9" t="s">
        <v>1973</v>
      </c>
      <c r="AJ1102" s="9" t="s">
        <v>8</v>
      </c>
      <c r="AK1102" s="10">
        <v>45857</v>
      </c>
      <c r="AL1102" s="10">
        <v>45867</v>
      </c>
      <c r="AM1102" s="10">
        <v>45867</v>
      </c>
      <c r="AN1102" s="9" t="s">
        <v>1492</v>
      </c>
      <c r="AO1102" s="9"/>
      <c r="AP1102" s="11">
        <f>IF($H1102="Cancelled","",IFERROR(IF(OR(AK1102="",AB1102=""),"",(AB1102+Variables!$B$18-AK1102)),""))</f>
        <v>-9</v>
      </c>
      <c r="AQ1102" s="11">
        <f>IF($H1102="Cancelled","",IFERROR(IF(OR(AM1102="",AK1102=""),"",(AK1102+Variables!$B$19)-AM1102),""))</f>
        <v>-5</v>
      </c>
      <c r="AR1102" s="12">
        <f>IF($H1102="Cancelled","",IFERROR(T1102*INDEX(Variables!$B$7:$D$7,IFERROR(MATCH(IF($B1102="Robusta","Robusta",(IF($B1102="","Arabica",$B1102))&amp;" - "&amp;(IF($C1102="","Commercial",$C1102))),Variables!$B$1:$D$1,0),1))*(AQ1102/365),""))</f>
        <v>-8.1642771969417893</v>
      </c>
      <c r="AS1102" s="12">
        <f>IF($H1102="Cancelled","",IFERROR((T1102*INDEX(Variables!$B$7:$D$7,IFERROR(MATCH(IF($B1102="Robusta","Robusta",(IF($B1102="","Arabica",$B1102))&amp;" - "&amp;(IF($C1102="","Commercial",$C1102))),Variables!$B$1:$D$1,0),1))*IFERROR(IF(W1102="","",(AVERAGE(E1102:F1102)-W1102)-Variables!$B$14),"")/365)+(L1102/16.67*INDEX(Variables!$B$8:$D$8,IFERROR(MATCH(IF($B1102="Robusta","Robusta",(IF($B1102="","Arabica",$B1102))&amp;" - "&amp;(IF($C1102="","Commercial",$C1102))),Variables!$B$1:$D$1,0),1))*IFERROR(IF(W1102="","",(AVERAGE(E1102:F1102)-W1102)-Variables!$B$14),""))+(T1102*INDEX(Variables!$B$9:$D$9,IFERROR(MATCH(IF($B1102="Robusta","Robusta",(IF($B1102="","Arabica",$B1102))&amp;" - "&amp;(IF($C1102="","Commercial",$C1102))),Variables!$B$1:$D$1,0),1))*IFERROR(IF(W1102="","",(AVERAGE(E1102:F1102)-W1102)-Variables!$B$14),"")/365),""))</f>
        <v>-8.5886713401794648</v>
      </c>
      <c r="AT1102" s="12">
        <f>IF($H1102="Cancelled","",IFERROR((T1102*INDEX(Variables!$B$7:$D$7,IFERROR(MATCH(IF($B1102="Robusta","Robusta",(IF($B1102="","Arabica",$B1102))&amp;" - "&amp;(IF($C1102="","Commercial",$C1102))),Variables!$B$1:$D$1,0),1))*AC1102/365)+(L1102/16.67*INDEX(Variables!$B$8:$D$8,IFERROR(MATCH(IF($B1102="Robusta","Robusta",(IF($B1102="","Arabica",$B1102))&amp;" - "&amp;(IF($C1102="","Commercial",$C1102))),Variables!$B$1:$D$1,0),1))*AC1102)+(T1102*INDEX(Variables!$B$9:$D$9,IFERROR(MATCH(IF($B1102="Robusta","Robusta",(IF($B1102="","Arabica",$B1102))&amp;" - "&amp;(IF($C1102="","Commercial",$C1102))),Variables!$B$1:$D$1,0),1))*AC1102/365),""))</f>
        <v>-4.9078121943882653</v>
      </c>
      <c r="AU1102" s="12">
        <f>IF($H1102="Cancelled","",IFERROR((T1102*INDEX(Variables!$B$7:$D$7,IFERROR(MATCH(IF($B1102="Robusta","Robusta",(IF($B1102="","Arabica",$B1102))&amp;" - "&amp;(IF($C1102="","Commercial",$C1102))),Variables!$B$1:$D$1,0),1))*AP1102/365)+(L1102/16.67*INDEX(Variables!$B$8:$D$8,IFERROR(MATCH(IF($B1102="Robusta","Robusta",(IF($B1102="","Arabica",$B1102))&amp;" - "&amp;(IF($C1102="","Commercial",$C1102))),Variables!$B$1:$D$1,0),1))*AP1102)+(T1102*INDEX(Variables!$B$9:$D$9,IFERROR(MATCH(IF($B1102="Robusta","Robusta",(IF($B1102="","Arabica",$B1102))&amp;" - "&amp;(IF($C1102="","Commercial",$C1102))),Variables!$B$1:$D$1,0),1))*AP1102/365),""))</f>
        <v>-22.085154874747193</v>
      </c>
      <c r="AV1102" s="11">
        <f t="shared" si="106"/>
        <v>-19</v>
      </c>
      <c r="AW1102" s="12">
        <f>IF($H1102="Cancelled","",IFERROR(IF(AV1102="","",(T1102*INDEX(Variables!$B$7:$D$7,IFERROR(MATCH(IF($B1102="Robusta","Robusta",(IF($B1102="","Arabica",$B1102))&amp;" - "&amp;(IF($C1102="","Commercial",$C1102))),Variables!$B$1:$D$1,0),1))*(AV1102/365))+(T1102*INDEX(Variables!$B$9:$D$9,IFERROR(MATCH(IF($B1102="Robusta","Robusta",(IF($B1102="","Arabica",$B1102))&amp;" - "&amp;(IF($C1102="","Commercial",$C1102))),Variables!$B$1:$D$1,0),1))*(AV1102/365))+(INDEX(Variables!$B$8:$D$8,IFERROR(MATCH(IF($B1102="Robusta","Robusta",(IF($B1102="","Arabica",$B1102))&amp;" - "&amp;(IF($C1102="","Commercial",$C1102))),Variables!$B$1:$D$1,0),1))*L1102/16.67)),""))</f>
        <v>-30.624215846688521</v>
      </c>
      <c r="AX1102" s="9"/>
      <c r="AY1102" s="12"/>
      <c r="AZ1102" s="10"/>
      <c r="BA1102" s="9"/>
      <c r="BB1102" s="10"/>
      <c r="BC1102" s="9"/>
      <c r="BD1102" s="9"/>
      <c r="BE1102" s="9"/>
      <c r="BF1102" s="9"/>
    </row>
    <row r="1103" spans="1:58" x14ac:dyDescent="0.25">
      <c r="A1103" s="9" t="s">
        <v>84</v>
      </c>
      <c r="B1103" s="9" t="s">
        <v>85</v>
      </c>
      <c r="C1103" s="9" t="s">
        <v>1486</v>
      </c>
      <c r="D1103" s="10">
        <v>45818</v>
      </c>
      <c r="E1103" s="10">
        <v>45809</v>
      </c>
      <c r="F1103" s="10">
        <v>45838</v>
      </c>
      <c r="G1103" s="9">
        <v>3786928</v>
      </c>
      <c r="H1103" s="9" t="str">
        <f t="shared" si="104"/>
        <v>Closed</v>
      </c>
      <c r="I1103" s="9" t="str">
        <f t="shared" si="105"/>
        <v>All dates received</v>
      </c>
      <c r="J1103" s="9" t="s">
        <v>235</v>
      </c>
      <c r="K1103" s="9" t="s">
        <v>2360</v>
      </c>
      <c r="L1103" s="11">
        <v>50</v>
      </c>
      <c r="M1103" s="9" t="s">
        <v>2361</v>
      </c>
      <c r="N1103" s="9"/>
      <c r="O1103" s="9"/>
      <c r="P1103" s="9"/>
      <c r="Q1103" s="11">
        <v>108</v>
      </c>
      <c r="R1103" s="9" t="s">
        <v>195</v>
      </c>
      <c r="S1103" s="9" t="s">
        <v>106</v>
      </c>
      <c r="T1103" s="12">
        <f>IF($H1103="Cancelled","",IFERROR(((Q1103+INDEX(Variables!$B$6:$D$6,IFERROR(MATCH(IF($B1103="Robusta","Robusta",(IF($B1103="","Arabica",$B1103))&amp;" - "&amp;(IF($C1103="","Commercial",$C1103))),Variables!$B$1:$D$1,0),1)))*22.0462)*(L1103/16.67),""))</f>
        <v>26370.799520095978</v>
      </c>
      <c r="U1103" s="10"/>
      <c r="V1103" s="9" t="str">
        <f t="shared" si="107"/>
        <v/>
      </c>
      <c r="W1103" s="10">
        <v>45797</v>
      </c>
      <c r="X1103" s="9" t="str">
        <f t="shared" si="102"/>
        <v>Approved</v>
      </c>
      <c r="Y1103" s="10">
        <v>45824</v>
      </c>
      <c r="Z1103" s="10">
        <f>IF($H1103="Cancelled","",IFERROR(IF(F1103="","",F1103-Variables!$B$13),""))</f>
        <v>45823</v>
      </c>
      <c r="AA1103" s="11">
        <f>IF($H1103="Cancelled","",IFERROR(IF(W1103="","",(AVERAGE(E1103:F1103)-W1103)-Variables!$B$14),""))</f>
        <v>-3.5</v>
      </c>
      <c r="AB1103" s="10">
        <v>45841</v>
      </c>
      <c r="AC1103" s="11">
        <f>IF($H1103="Cancelled","",IFERROR(IF(AB1103="","",IF(AND(W1103="",Y1103=""),"",IF(Y1103&gt;W1103,Y1103+Variables!$B$15+Variables!$B$16+Variables!$B$17-AB1103,W1103+Variables!$B$16+Variables!$B$17-AB1103))),""))</f>
        <v>-2</v>
      </c>
      <c r="AD1103" s="9" t="s">
        <v>165</v>
      </c>
      <c r="AE1103" s="9" t="s">
        <v>174</v>
      </c>
      <c r="AF1103" s="10"/>
      <c r="AG1103" s="10"/>
      <c r="AH1103" s="9"/>
      <c r="AI1103" s="9" t="s">
        <v>1973</v>
      </c>
      <c r="AJ1103" s="9" t="s">
        <v>8</v>
      </c>
      <c r="AK1103" s="10">
        <v>45857</v>
      </c>
      <c r="AL1103" s="10">
        <v>45867</v>
      </c>
      <c r="AM1103" s="10">
        <v>45867</v>
      </c>
      <c r="AN1103" s="9" t="s">
        <v>1492</v>
      </c>
      <c r="AO1103" s="9"/>
      <c r="AP1103" s="11">
        <f>IF($H1103="Cancelled","",IFERROR(IF(OR(AK1103="",AB1103=""),"",(AB1103+Variables!$B$18-AK1103)),""))</f>
        <v>-9</v>
      </c>
      <c r="AQ1103" s="11">
        <f>IF($H1103="Cancelled","",IFERROR(IF(OR(AM1103="",AK1103=""),"",(AK1103+Variables!$B$19)-AM1103),""))</f>
        <v>-5</v>
      </c>
      <c r="AR1103" s="12">
        <f>IF($H1103="Cancelled","",IFERROR(T1103*INDEX(Variables!$B$7:$D$7,IFERROR(MATCH(IF($B1103="Robusta","Robusta",(IF($B1103="","Arabica",$B1103))&amp;" - "&amp;(IF($C1103="","Commercial",$C1103))),Variables!$B$1:$D$1,0),1))*(AQ1103/365),""))</f>
        <v>-23.293796833078535</v>
      </c>
      <c r="AS1103" s="12">
        <f>IF($H1103="Cancelled","",IFERROR((T1103*INDEX(Variables!$B$7:$D$7,IFERROR(MATCH(IF($B1103="Robusta","Robusta",(IF($B1103="","Arabica",$B1103))&amp;" - "&amp;(IF($C1103="","Commercial",$C1103))),Variables!$B$1:$D$1,0),1))*IFERROR(IF(W1103="","",(AVERAGE(E1103:F1103)-W1103)-Variables!$B$14),"")/365)+(L1103/16.67*INDEX(Variables!$B$8:$D$8,IFERROR(MATCH(IF($B1103="Robusta","Robusta",(IF($B1103="","Arabica",$B1103))&amp;" - "&amp;(IF($C1103="","Commercial",$C1103))),Variables!$B$1:$D$1,0),1))*IFERROR(IF(W1103="","",(AVERAGE(E1103:F1103)-W1103)-Variables!$B$14),""))+(T1103*INDEX(Variables!$B$9:$D$9,IFERROR(MATCH(IF($B1103="Robusta","Robusta",(IF($B1103="","Arabica",$B1103))&amp;" - "&amp;(IF($C1103="","Commercial",$C1103))),Variables!$B$1:$D$1,0),1))*IFERROR(IF(W1103="","",(AVERAGE(E1103:F1103)-W1103)-Variables!$B$14),"")/365),""))</f>
        <v>-25.265869179713043</v>
      </c>
      <c r="AT1103" s="12">
        <f>IF($H1103="Cancelled","",IFERROR((T1103*INDEX(Variables!$B$7:$D$7,IFERROR(MATCH(IF($B1103="Robusta","Robusta",(IF($B1103="","Arabica",$B1103))&amp;" - "&amp;(IF($C1103="","Commercial",$C1103))),Variables!$B$1:$D$1,0),1))*AC1103/365)+(L1103/16.67*INDEX(Variables!$B$8:$D$8,IFERROR(MATCH(IF($B1103="Robusta","Robusta",(IF($B1103="","Arabica",$B1103))&amp;" - "&amp;(IF($C1103="","Commercial",$C1103))),Variables!$B$1:$D$1,0),1))*AC1103)+(T1103*INDEX(Variables!$B$9:$D$9,IFERROR(MATCH(IF($B1103="Robusta","Robusta",(IF($B1103="","Arabica",$B1103))&amp;" - "&amp;(IF($C1103="","Commercial",$C1103))),Variables!$B$1:$D$1,0),1))*AC1103/365),""))</f>
        <v>-14.437639531264596</v>
      </c>
      <c r="AU1103" s="12">
        <f>IF($H1103="Cancelled","",IFERROR((T1103*INDEX(Variables!$B$7:$D$7,IFERROR(MATCH(IF($B1103="Robusta","Robusta",(IF($B1103="","Arabica",$B1103))&amp;" - "&amp;(IF($C1103="","Commercial",$C1103))),Variables!$B$1:$D$1,0),1))*AP1103/365)+(L1103/16.67*INDEX(Variables!$B$8:$D$8,IFERROR(MATCH(IF($B1103="Robusta","Robusta",(IF($B1103="","Arabica",$B1103))&amp;" - "&amp;(IF($C1103="","Commercial",$C1103))),Variables!$B$1:$D$1,0),1))*AP1103)+(T1103*INDEX(Variables!$B$9:$D$9,IFERROR(MATCH(IF($B1103="Robusta","Robusta",(IF($B1103="","Arabica",$B1103))&amp;" - "&amp;(IF($C1103="","Commercial",$C1103))),Variables!$B$1:$D$1,0),1))*AP1103/365),""))</f>
        <v>-64.96937789069068</v>
      </c>
      <c r="AV1103" s="11">
        <f t="shared" si="106"/>
        <v>-19</v>
      </c>
      <c r="AW1103" s="12">
        <f>IF($H1103="Cancelled","",IFERROR(IF(AV1103="","",(T1103*INDEX(Variables!$B$7:$D$7,IFERROR(MATCH(IF($B1103="Robusta","Robusta",(IF($B1103="","Arabica",$B1103))&amp;" - "&amp;(IF($C1103="","Commercial",$C1103))),Variables!$B$1:$D$1,0),1))*(AV1103/365))+(T1103*INDEX(Variables!$B$9:$D$9,IFERROR(MATCH(IF($B1103="Robusta","Robusta",(IF($B1103="","Arabica",$B1103))&amp;" - "&amp;(IF($C1103="","Commercial",$C1103))),Variables!$B$1:$D$1,0),1))*(AV1103/365))+(INDEX(Variables!$B$8:$D$8,IFERROR(MATCH(IF($B1103="Robusta","Robusta",(IF($B1103="","Arabica",$B1103))&amp;" - "&amp;(IF($C1103="","Commercial",$C1103))),Variables!$B$1:$D$1,0),1))*L1103/16.67)),""))</f>
        <v>-87.157575547013664</v>
      </c>
      <c r="AX1103" s="9"/>
      <c r="AY1103" s="12"/>
      <c r="AZ1103" s="10"/>
      <c r="BA1103" s="9"/>
      <c r="BB1103" s="10"/>
      <c r="BC1103" s="9"/>
      <c r="BD1103" s="9"/>
      <c r="BE1103" s="9"/>
      <c r="BF1103" s="9"/>
    </row>
    <row r="1104" spans="1:58" x14ac:dyDescent="0.25">
      <c r="A1104" s="9" t="s">
        <v>84</v>
      </c>
      <c r="B1104" s="9" t="s">
        <v>85</v>
      </c>
      <c r="C1104" s="9" t="s">
        <v>1486</v>
      </c>
      <c r="D1104" s="10">
        <v>45818</v>
      </c>
      <c r="E1104" s="10">
        <v>45809</v>
      </c>
      <c r="F1104" s="10">
        <v>45838</v>
      </c>
      <c r="G1104" s="9">
        <v>3786929</v>
      </c>
      <c r="H1104" s="9" t="str">
        <f t="shared" si="104"/>
        <v>Closed</v>
      </c>
      <c r="I1104" s="9" t="str">
        <f t="shared" si="105"/>
        <v>All dates received</v>
      </c>
      <c r="J1104" s="9" t="s">
        <v>235</v>
      </c>
      <c r="K1104" s="9" t="s">
        <v>2362</v>
      </c>
      <c r="L1104" s="11">
        <v>100</v>
      </c>
      <c r="M1104" s="9" t="s">
        <v>2363</v>
      </c>
      <c r="N1104" s="9"/>
      <c r="O1104" s="9"/>
      <c r="P1104" s="9"/>
      <c r="Q1104" s="11">
        <v>43</v>
      </c>
      <c r="R1104" s="9" t="s">
        <v>202</v>
      </c>
      <c r="S1104" s="9" t="s">
        <v>106</v>
      </c>
      <c r="T1104" s="12">
        <f>IF($H1104="Cancelled","",IFERROR(((Q1104+INDEX(Variables!$B$6:$D$6,IFERROR(MATCH(IF($B1104="Robusta","Robusta",(IF($B1104="","Arabica",$B1104))&amp;" - "&amp;(IF($C1104="","Commercial",$C1104))),Variables!$B$1:$D$1,0),1)))*22.0462)*(L1104/16.67),""))</f>
        <v>44145.300299940005</v>
      </c>
      <c r="U1104" s="10">
        <v>45821</v>
      </c>
      <c r="V1104" s="9" t="str">
        <f t="shared" si="107"/>
        <v>Sent</v>
      </c>
      <c r="W1104" s="10">
        <v>45826</v>
      </c>
      <c r="X1104" s="9" t="str">
        <f t="shared" si="102"/>
        <v>Approved</v>
      </c>
      <c r="Y1104" s="10"/>
      <c r="Z1104" s="10">
        <f>IF($H1104="Cancelled","",IFERROR(IF(F1104="","",F1104-Variables!$B$13),""))</f>
        <v>45823</v>
      </c>
      <c r="AA1104" s="11">
        <f>IF($H1104="Cancelled","",IFERROR(IF(W1104="","",(AVERAGE(E1104:F1104)-W1104)-Variables!$B$14),""))</f>
        <v>-32.5</v>
      </c>
      <c r="AB1104" s="10">
        <v>45841</v>
      </c>
      <c r="AC1104" s="11">
        <f>IF($H1104="Cancelled","",IFERROR(IF(AB1104="","",IF(AND(W1104="",Y1104=""),"",IF(Y1104&gt;W1104,Y1104+Variables!$B$15+Variables!$B$16+Variables!$B$17-AB1104,W1104+Variables!$B$16+Variables!$B$17-AB1104))),""))</f>
        <v>-7</v>
      </c>
      <c r="AD1104" s="9" t="s">
        <v>165</v>
      </c>
      <c r="AE1104" s="9" t="s">
        <v>174</v>
      </c>
      <c r="AF1104" s="10"/>
      <c r="AG1104" s="10"/>
      <c r="AH1104" s="9"/>
      <c r="AI1104" s="9" t="s">
        <v>1973</v>
      </c>
      <c r="AJ1104" s="9" t="s">
        <v>8</v>
      </c>
      <c r="AK1104" s="10">
        <v>45857</v>
      </c>
      <c r="AL1104" s="10">
        <v>45867</v>
      </c>
      <c r="AM1104" s="10">
        <v>45867</v>
      </c>
      <c r="AN1104" s="9" t="s">
        <v>1492</v>
      </c>
      <c r="AO1104" s="9"/>
      <c r="AP1104" s="11">
        <f>IF($H1104="Cancelled","",IFERROR(IF(OR(AK1104="",AB1104=""),"",(AB1104+Variables!$B$18-AK1104)),""))</f>
        <v>-9</v>
      </c>
      <c r="AQ1104" s="11">
        <f>IF($H1104="Cancelled","",IFERROR(IF(OR(AM1104="",AK1104=""),"",(AK1104+Variables!$B$19)-AM1104),""))</f>
        <v>-5</v>
      </c>
      <c r="AR1104" s="12">
        <f>IF($H1104="Cancelled","",IFERROR(T1104*INDEX(Variables!$B$7:$D$7,IFERROR(MATCH(IF($B1104="Robusta","Robusta",(IF($B1104="","Arabica",$B1104))&amp;" - "&amp;(IF($C1104="","Commercial",$C1104))),Variables!$B$1:$D$1,0),1))*(AQ1104/365),""))</f>
        <v>-38.994329904120427</v>
      </c>
      <c r="AS1104" s="12">
        <f>IF($H1104="Cancelled","",IFERROR((T1104*INDEX(Variables!$B$7:$D$7,IFERROR(MATCH(IF($B1104="Robusta","Robusta",(IF($B1104="","Arabica",$B1104))&amp;" - "&amp;(IF($C1104="","Commercial",$C1104))),Variables!$B$1:$D$1,0),1))*IFERROR(IF(W1104="","",(AVERAGE(E1104:F1104)-W1104)-Variables!$B$14),"")/365)+(L1104/16.67*INDEX(Variables!$B$8:$D$8,IFERROR(MATCH(IF($B1104="Robusta","Robusta",(IF($B1104="","Arabica",$B1104))&amp;" - "&amp;(IF($C1104="","Commercial",$C1104))),Variables!$B$1:$D$1,0),1))*IFERROR(IF(W1104="","",(AVERAGE(E1104:F1104)-W1104)-Variables!$B$14),""))+(T1104*INDEX(Variables!$B$9:$D$9,IFERROR(MATCH(IF($B1104="Robusta","Robusta",(IF($B1104="","Arabica",$B1104))&amp;" - "&amp;(IF($C1104="","Commercial",$C1104))),Variables!$B$1:$D$1,0),1))*IFERROR(IF(W1104="","",(AVERAGE(E1104:F1104)-W1104)-Variables!$B$14),"")/365),""))</f>
        <v>-419.23077345768291</v>
      </c>
      <c r="AT1104" s="12">
        <f>IF($H1104="Cancelled","",IFERROR((T1104*INDEX(Variables!$B$7:$D$7,IFERROR(MATCH(IF($B1104="Robusta","Robusta",(IF($B1104="","Arabica",$B1104))&amp;" - "&amp;(IF($C1104="","Commercial",$C1104))),Variables!$B$1:$D$1,0),1))*AC1104/365)+(L1104/16.67*INDEX(Variables!$B$8:$D$8,IFERROR(MATCH(IF($B1104="Robusta","Robusta",(IF($B1104="","Arabica",$B1104))&amp;" - "&amp;(IF($C1104="","Commercial",$C1104))),Variables!$B$1:$D$1,0),1))*AC1104)+(T1104*INDEX(Variables!$B$9:$D$9,IFERROR(MATCH(IF($B1104="Robusta","Robusta",(IF($B1104="","Arabica",$B1104))&amp;" - "&amp;(IF($C1104="","Commercial",$C1104))),Variables!$B$1:$D$1,0),1))*AC1104/365),""))</f>
        <v>-90.295858898577862</v>
      </c>
      <c r="AU1104" s="12">
        <f>IF($H1104="Cancelled","",IFERROR((T1104*INDEX(Variables!$B$7:$D$7,IFERROR(MATCH(IF($B1104="Robusta","Robusta",(IF($B1104="","Arabica",$B1104))&amp;" - "&amp;(IF($C1104="","Commercial",$C1104))),Variables!$B$1:$D$1,0),1))*AP1104/365)+(L1104/16.67*INDEX(Variables!$B$8:$D$8,IFERROR(MATCH(IF($B1104="Robusta","Robusta",(IF($B1104="","Arabica",$B1104))&amp;" - "&amp;(IF($C1104="","Commercial",$C1104))),Variables!$B$1:$D$1,0),1))*AP1104)+(T1104*INDEX(Variables!$B$9:$D$9,IFERROR(MATCH(IF($B1104="Robusta","Robusta",(IF($B1104="","Arabica",$B1104))&amp;" - "&amp;(IF($C1104="","Commercial",$C1104))),Variables!$B$1:$D$1,0),1))*AP1104/365),""))</f>
        <v>-116.09467572674298</v>
      </c>
      <c r="AV1104" s="11">
        <f t="shared" si="106"/>
        <v>-19</v>
      </c>
      <c r="AW1104" s="12">
        <f>IF($H1104="Cancelled","",IFERROR(IF(AV1104="","",(T1104*INDEX(Variables!$B$7:$D$7,IFERROR(MATCH(IF($B1104="Robusta","Robusta",(IF($B1104="","Arabica",$B1104))&amp;" - "&amp;(IF($C1104="","Commercial",$C1104))),Variables!$B$1:$D$1,0),1))*(AV1104/365))+(T1104*INDEX(Variables!$B$9:$D$9,IFERROR(MATCH(IF($B1104="Robusta","Robusta",(IF($B1104="","Arabica",$B1104))&amp;" - "&amp;(IF($C1104="","Commercial",$C1104))),Variables!$B$1:$D$1,0),1))*(AV1104/365))+(INDEX(Variables!$B$8:$D$8,IFERROR(MATCH(IF($B1104="Robusta","Robusta",(IF($B1104="","Arabica",$B1104))&amp;" - "&amp;(IF($C1104="","Commercial",$C1104))),Variables!$B$1:$D$1,0),1))*L1104/16.67)),""))</f>
        <v>-145.08875986756848</v>
      </c>
      <c r="AX1104" s="9"/>
      <c r="AY1104" s="12"/>
      <c r="AZ1104" s="10"/>
      <c r="BA1104" s="9"/>
      <c r="BB1104" s="10"/>
      <c r="BC1104" s="9"/>
      <c r="BD1104" s="9"/>
      <c r="BE1104" s="9"/>
      <c r="BF1104" s="9"/>
    </row>
    <row r="1105" spans="1:58" x14ac:dyDescent="0.25">
      <c r="A1105" s="9" t="s">
        <v>84</v>
      </c>
      <c r="B1105" s="9" t="s">
        <v>85</v>
      </c>
      <c r="C1105" s="9" t="s">
        <v>1486</v>
      </c>
      <c r="D1105" s="10">
        <v>45910</v>
      </c>
      <c r="E1105" s="10">
        <v>45910</v>
      </c>
      <c r="F1105" s="10">
        <v>45930</v>
      </c>
      <c r="G1105" s="9">
        <v>3786954</v>
      </c>
      <c r="H1105" s="9" t="str">
        <f t="shared" si="104"/>
        <v>Closed</v>
      </c>
      <c r="I1105" s="9" t="str">
        <f t="shared" si="105"/>
        <v>All dates received</v>
      </c>
      <c r="J1105" s="9" t="s">
        <v>1487</v>
      </c>
      <c r="K1105" s="9" t="s">
        <v>2364</v>
      </c>
      <c r="L1105" s="11">
        <v>30</v>
      </c>
      <c r="M1105" s="9" t="s">
        <v>2365</v>
      </c>
      <c r="N1105" s="9"/>
      <c r="O1105" s="9"/>
      <c r="P1105" s="9"/>
      <c r="Q1105" s="11">
        <v>152.19999999999999</v>
      </c>
      <c r="R1105" s="9" t="s">
        <v>195</v>
      </c>
      <c r="S1105" s="9" t="s">
        <v>183</v>
      </c>
      <c r="T1105" s="12">
        <f>IF($H1105="Cancelled","",IFERROR(((Q1105+INDEX(Variables!$B$6:$D$6,IFERROR(MATCH(IF($B1105="Robusta","Robusta",(IF($B1105="","Arabica",$B1105))&amp;" - "&amp;(IF($C1105="","Commercial",$C1105))),Variables!$B$1:$D$1,0),1)))*22.0462)*(L1105/16.67),""))</f>
        <v>17576.124655068983</v>
      </c>
      <c r="U1105" s="10"/>
      <c r="V1105" s="9" t="s">
        <v>195</v>
      </c>
      <c r="W1105" s="10">
        <v>45889</v>
      </c>
      <c r="X1105" s="9" t="str">
        <f t="shared" si="102"/>
        <v>Approved</v>
      </c>
      <c r="Y1105" s="10">
        <v>45916</v>
      </c>
      <c r="Z1105" s="10">
        <f>IF($H1105="Cancelled","",IFERROR(IF(F1105="","",F1105-Variables!$B$13),""))</f>
        <v>45915</v>
      </c>
      <c r="AA1105" s="11">
        <f>IF($H1105="Cancelled","",IFERROR(IF(W1105="","",(AVERAGE(E1105:F1105)-W1105)-Variables!$B$14),""))</f>
        <v>1</v>
      </c>
      <c r="AB1105" s="10">
        <v>45925</v>
      </c>
      <c r="AC1105" s="11">
        <f>IF($H1105="Cancelled","",IFERROR(IF(AB1105="","",IF(AND(W1105="",Y1105=""),"",IF(Y1105&gt;W1105,Y1105+Variables!$B$15+Variables!$B$16+Variables!$B$17-AB1105,W1105+Variables!$B$16+Variables!$B$17-AB1105))),""))</f>
        <v>6</v>
      </c>
      <c r="AD1105" s="9" t="s">
        <v>163</v>
      </c>
      <c r="AE1105" s="9" t="s">
        <v>598</v>
      </c>
      <c r="AF1105" s="10"/>
      <c r="AG1105" s="10"/>
      <c r="AH1105" s="9"/>
      <c r="AI1105" s="9">
        <v>259551192</v>
      </c>
      <c r="AJ1105" s="9" t="s">
        <v>2366</v>
      </c>
      <c r="AK1105" s="10">
        <v>45933</v>
      </c>
      <c r="AL1105" s="10">
        <v>45936</v>
      </c>
      <c r="AM1105" s="10">
        <v>45936</v>
      </c>
      <c r="AN1105" s="9" t="s">
        <v>1492</v>
      </c>
      <c r="AO1105" s="9"/>
      <c r="AP1105" s="11">
        <f>IF($H1105="Cancelled","",IFERROR(IF(OR(AK1105="",AB1105=""),"",(AB1105+Variables!$B$18-AK1105)),""))</f>
        <v>-1</v>
      </c>
      <c r="AQ1105" s="11">
        <f>IF($H1105="Cancelled","",IFERROR(IF(OR(AM1105="",AK1105=""),"",(AK1105+Variables!$B$19)-AM1105),""))</f>
        <v>2</v>
      </c>
      <c r="AR1105" s="12">
        <f>IF($H1105="Cancelled","",IFERROR(T1105*INDEX(Variables!$B$7:$D$7,IFERROR(MATCH(IF($B1105="Robusta","Robusta",(IF($B1105="","Arabica",$B1105))&amp;" - "&amp;(IF($C1105="","Commercial",$C1105))),Variables!$B$1:$D$1,0),1))*(AQ1105/365),""))</f>
        <v>6.2101215629210369</v>
      </c>
      <c r="AS1105" s="12">
        <f>IF($H1105="Cancelled","",IFERROR((T1105*INDEX(Variables!$B$7:$D$7,IFERROR(MATCH(IF($B1105="Robusta","Robusta",(IF($B1105="","Arabica",$B1105))&amp;" - "&amp;(IF($C1105="","Commercial",$C1105))),Variables!$B$1:$D$1,0),1))*IFERROR(IF(W1105="","",(AVERAGE(E1105:F1105)-W1105)-Variables!$B$14),"")/365)+(L1105/16.67*INDEX(Variables!$B$8:$D$8,IFERROR(MATCH(IF($B1105="Robusta","Robusta",(IF($B1105="","Arabica",$B1105))&amp;" - "&amp;(IF($C1105="","Commercial",$C1105))),Variables!$B$1:$D$1,0),1))*IFERROR(IF(W1105="","",(AVERAGE(E1105:F1105)-W1105)-Variables!$B$14),""))+(T1105*INDEX(Variables!$B$9:$D$9,IFERROR(MATCH(IF($B1105="Robusta","Robusta",(IF($B1105="","Arabica",$B1105))&amp;" - "&amp;(IF($C1105="","Commercial",$C1105))),Variables!$B$1:$D$1,0),1))*IFERROR(IF(W1105="","",(AVERAGE(E1105:F1105)-W1105)-Variables!$B$14),"")/365),""))</f>
        <v>4.6450910072845151</v>
      </c>
      <c r="AT1105" s="12">
        <f>IF($H1105="Cancelled","",IFERROR((T1105*INDEX(Variables!$B$7:$D$7,IFERROR(MATCH(IF($B1105="Robusta","Robusta",(IF($B1105="","Arabica",$B1105))&amp;" - "&amp;(IF($C1105="","Commercial",$C1105))),Variables!$B$1:$D$1,0),1))*AC1105/365)+(L1105/16.67*INDEX(Variables!$B$8:$D$8,IFERROR(MATCH(IF($B1105="Robusta","Robusta",(IF($B1105="","Arabica",$B1105))&amp;" - "&amp;(IF($C1105="","Commercial",$C1105))),Variables!$B$1:$D$1,0),1))*AC1105)+(T1105*INDEX(Variables!$B$9:$D$9,IFERROR(MATCH(IF($B1105="Robusta","Robusta",(IF($B1105="","Arabica",$B1105))&amp;" - "&amp;(IF($C1105="","Commercial",$C1105))),Variables!$B$1:$D$1,0),1))*AC1105/365),""))</f>
        <v>27.87054604370709</v>
      </c>
      <c r="AU1105" s="12">
        <f>IF($H1105="Cancelled","",IFERROR((T1105*INDEX(Variables!$B$7:$D$7,IFERROR(MATCH(IF($B1105="Robusta","Robusta",(IF($B1105="","Arabica",$B1105))&amp;" - "&amp;(IF($C1105="","Commercial",$C1105))),Variables!$B$1:$D$1,0),1))*AP1105/365)+(L1105/16.67*INDEX(Variables!$B$8:$D$8,IFERROR(MATCH(IF($B1105="Robusta","Robusta",(IF($B1105="","Arabica",$B1105))&amp;" - "&amp;(IF($C1105="","Commercial",$C1105))),Variables!$B$1:$D$1,0),1))*AP1105)+(T1105*INDEX(Variables!$B$9:$D$9,IFERROR(MATCH(IF($B1105="Robusta","Robusta",(IF($B1105="","Arabica",$B1105))&amp;" - "&amp;(IF($C1105="","Commercial",$C1105))),Variables!$B$1:$D$1,0),1))*AP1105/365),""))</f>
        <v>-4.6450910072845151</v>
      </c>
      <c r="AV1105" s="11">
        <f t="shared" si="106"/>
        <v>-3</v>
      </c>
      <c r="AW1105" s="12">
        <f>IF($H1105="Cancelled","",IFERROR(IF(AV1105="","",(T1105*INDEX(Variables!$B$7:$D$7,IFERROR(MATCH(IF($B1105="Robusta","Robusta",(IF($B1105="","Arabica",$B1105))&amp;" - "&amp;(IF($C1105="","Commercial",$C1105))),Variables!$B$1:$D$1,0),1))*(AV1105/365))+(T1105*INDEX(Variables!$B$9:$D$9,IFERROR(MATCH(IF($B1105="Robusta","Robusta",(IF($B1105="","Arabica",$B1105))&amp;" - "&amp;(IF($C1105="","Commercial",$C1105))),Variables!$B$1:$D$1,0),1))*(AV1105/365))+(INDEX(Variables!$B$8:$D$8,IFERROR(MATCH(IF($B1105="Robusta","Robusta",(IF($B1105="","Arabica",$B1105))&amp;" - "&amp;(IF($C1105="","Commercial",$C1105))),Variables!$B$1:$D$1,0),1))*L1105/16.67)),""))</f>
        <v>-7.9352730218535452</v>
      </c>
      <c r="AX1105" s="9"/>
      <c r="AY1105" s="12"/>
      <c r="AZ1105" s="10"/>
      <c r="BA1105" s="9"/>
      <c r="BB1105" s="10"/>
      <c r="BC1105" s="9"/>
      <c r="BD1105" s="9"/>
      <c r="BE1105" s="9"/>
      <c r="BF1105" s="9"/>
    </row>
    <row r="1106" spans="1:58" x14ac:dyDescent="0.25">
      <c r="A1106" s="9" t="s">
        <v>84</v>
      </c>
      <c r="B1106" s="9" t="s">
        <v>85</v>
      </c>
      <c r="C1106" s="9" t="s">
        <v>1486</v>
      </c>
      <c r="D1106" s="10">
        <v>45910</v>
      </c>
      <c r="E1106" s="10">
        <v>45910</v>
      </c>
      <c r="F1106" s="10">
        <v>45930</v>
      </c>
      <c r="G1106" s="9">
        <v>3786955</v>
      </c>
      <c r="H1106" s="9" t="str">
        <f t="shared" si="104"/>
        <v>Closed</v>
      </c>
      <c r="I1106" s="9" t="str">
        <f t="shared" si="105"/>
        <v>All dates received</v>
      </c>
      <c r="J1106" s="9" t="s">
        <v>1487</v>
      </c>
      <c r="K1106" s="9" t="s">
        <v>2367</v>
      </c>
      <c r="L1106" s="11">
        <v>9</v>
      </c>
      <c r="M1106" s="9" t="s">
        <v>2368</v>
      </c>
      <c r="N1106" s="9"/>
      <c r="O1106" s="9"/>
      <c r="P1106" s="9"/>
      <c r="Q1106" s="11">
        <v>136.19999999999999</v>
      </c>
      <c r="R1106" s="9" t="s">
        <v>195</v>
      </c>
      <c r="S1106" s="9" t="s">
        <v>183</v>
      </c>
      <c r="T1106" s="12">
        <f>IF($H1106="Cancelled","",IFERROR(((Q1106+INDEX(Variables!$B$6:$D$6,IFERROR(MATCH(IF($B1106="Robusta","Robusta",(IF($B1106="","Arabica",$B1106))&amp;" - "&amp;(IF($C1106="","Commercial",$C1106))),Variables!$B$1:$D$1,0),1)))*22.0462)*(L1106/16.67),""))</f>
        <v>5082.3963167366519</v>
      </c>
      <c r="U1106" s="10"/>
      <c r="V1106" s="9" t="s">
        <v>195</v>
      </c>
      <c r="W1106" s="10">
        <v>45889</v>
      </c>
      <c r="X1106" s="9" t="str">
        <f t="shared" si="102"/>
        <v>Approved</v>
      </c>
      <c r="Y1106" s="10">
        <v>45916</v>
      </c>
      <c r="Z1106" s="10">
        <f>IF($H1106="Cancelled","",IFERROR(IF(F1106="","",F1106-Variables!$B$13),""))</f>
        <v>45915</v>
      </c>
      <c r="AA1106" s="11">
        <f>IF($H1106="Cancelled","",IFERROR(IF(W1106="","",(AVERAGE(E1106:F1106)-W1106)-Variables!$B$14),""))</f>
        <v>1</v>
      </c>
      <c r="AB1106" s="10">
        <v>45925</v>
      </c>
      <c r="AC1106" s="11">
        <f>IF($H1106="Cancelled","",IFERROR(IF(AB1106="","",IF(AND(W1106="",Y1106=""),"",IF(Y1106&gt;W1106,Y1106+Variables!$B$15+Variables!$B$16+Variables!$B$17-AB1106,W1106+Variables!$B$16+Variables!$B$17-AB1106))),""))</f>
        <v>6</v>
      </c>
      <c r="AD1106" s="9" t="s">
        <v>163</v>
      </c>
      <c r="AE1106" s="9" t="s">
        <v>598</v>
      </c>
      <c r="AF1106" s="10"/>
      <c r="AG1106" s="10"/>
      <c r="AH1106" s="9"/>
      <c r="AI1106" s="9">
        <v>259551192</v>
      </c>
      <c r="AJ1106" s="9" t="s">
        <v>2366</v>
      </c>
      <c r="AK1106" s="10">
        <v>45933</v>
      </c>
      <c r="AL1106" s="10">
        <v>45936</v>
      </c>
      <c r="AM1106" s="10">
        <v>45936</v>
      </c>
      <c r="AN1106" s="9" t="s">
        <v>1492</v>
      </c>
      <c r="AO1106" s="9"/>
      <c r="AP1106" s="11">
        <f>IF($H1106="Cancelled","",IFERROR(IF(OR(AK1106="",AB1106=""),"",(AB1106+Variables!$B$18-AK1106)),""))</f>
        <v>-1</v>
      </c>
      <c r="AQ1106" s="11">
        <f>IF($H1106="Cancelled","",IFERROR(IF(OR(AM1106="",AK1106=""),"",(AK1106+Variables!$B$19)-AM1106),""))</f>
        <v>2</v>
      </c>
      <c r="AR1106" s="12">
        <f>IF($H1106="Cancelled","",IFERROR(T1106*INDEX(Variables!$B$7:$D$7,IFERROR(MATCH(IF($B1106="Robusta","Robusta",(IF($B1106="","Arabica",$B1106))&amp;" - "&amp;(IF($C1106="","Commercial",$C1106))),Variables!$B$1:$D$1,0),1))*(AQ1106/365),""))</f>
        <v>1.7957484700004172</v>
      </c>
      <c r="AS1106" s="12">
        <f>IF($H1106="Cancelled","",IFERROR((T1106*INDEX(Variables!$B$7:$D$7,IFERROR(MATCH(IF($B1106="Robusta","Robusta",(IF($B1106="","Arabica",$B1106))&amp;" - "&amp;(IF($C1106="","Commercial",$C1106))),Variables!$B$1:$D$1,0),1))*IFERROR(IF(W1106="","",(AVERAGE(E1106:F1106)-W1106)-Variables!$B$14),"")/365)+(L1106/16.67*INDEX(Variables!$B$8:$D$8,IFERROR(MATCH(IF($B1106="Robusta","Robusta",(IF($B1106="","Arabica",$B1106))&amp;" - "&amp;(IF($C1106="","Commercial",$C1106))),Variables!$B$1:$D$1,0),1))*IFERROR(IF(W1106="","",(AVERAGE(E1106:F1106)-W1106)-Variables!$B$14),""))+(T1106*INDEX(Variables!$B$9:$D$9,IFERROR(MATCH(IF($B1106="Robusta","Robusta",(IF($B1106="","Arabica",$B1106))&amp;" - "&amp;(IF($C1106="","Commercial",$C1106))),Variables!$B$1:$D$1,0),1))*IFERROR(IF(W1106="","",(AVERAGE(E1106:F1106)-W1106)-Variables!$B$14),"")/365),""))</f>
        <v>1.3594495666662447</v>
      </c>
      <c r="AT1106" s="12">
        <f>IF($H1106="Cancelled","",IFERROR((T1106*INDEX(Variables!$B$7:$D$7,IFERROR(MATCH(IF($B1106="Robusta","Robusta",(IF($B1106="","Arabica",$B1106))&amp;" - "&amp;(IF($C1106="","Commercial",$C1106))),Variables!$B$1:$D$1,0),1))*AC1106/365)+(L1106/16.67*INDEX(Variables!$B$8:$D$8,IFERROR(MATCH(IF($B1106="Robusta","Robusta",(IF($B1106="","Arabica",$B1106))&amp;" - "&amp;(IF($C1106="","Commercial",$C1106))),Variables!$B$1:$D$1,0),1))*AC1106)+(T1106*INDEX(Variables!$B$9:$D$9,IFERROR(MATCH(IF($B1106="Robusta","Robusta",(IF($B1106="","Arabica",$B1106))&amp;" - "&amp;(IF($C1106="","Commercial",$C1106))),Variables!$B$1:$D$1,0),1))*AC1106/365),""))</f>
        <v>8.1566973999974692</v>
      </c>
      <c r="AU1106" s="12">
        <f>IF($H1106="Cancelled","",IFERROR((T1106*INDEX(Variables!$B$7:$D$7,IFERROR(MATCH(IF($B1106="Robusta","Robusta",(IF($B1106="","Arabica",$B1106))&amp;" - "&amp;(IF($C1106="","Commercial",$C1106))),Variables!$B$1:$D$1,0),1))*AP1106/365)+(L1106/16.67*INDEX(Variables!$B$8:$D$8,IFERROR(MATCH(IF($B1106="Robusta","Robusta",(IF($B1106="","Arabica",$B1106))&amp;" - "&amp;(IF($C1106="","Commercial",$C1106))),Variables!$B$1:$D$1,0),1))*AP1106)+(T1106*INDEX(Variables!$B$9:$D$9,IFERROR(MATCH(IF($B1106="Robusta","Robusta",(IF($B1106="","Arabica",$B1106))&amp;" - "&amp;(IF($C1106="","Commercial",$C1106))),Variables!$B$1:$D$1,0),1))*AP1106/365),""))</f>
        <v>-1.3594495666662447</v>
      </c>
      <c r="AV1106" s="11">
        <f t="shared" si="106"/>
        <v>-3</v>
      </c>
      <c r="AW1106" s="12">
        <f>IF($H1106="Cancelled","",IFERROR(IF(AV1106="","",(T1106*INDEX(Variables!$B$7:$D$7,IFERROR(MATCH(IF($B1106="Robusta","Robusta",(IF($B1106="","Arabica",$B1106))&amp;" - "&amp;(IF($C1106="","Commercial",$C1106))),Variables!$B$1:$D$1,0),1))*(AV1106/365))+(T1106*INDEX(Variables!$B$9:$D$9,IFERROR(MATCH(IF($B1106="Robusta","Robusta",(IF($B1106="","Arabica",$B1106))&amp;" - "&amp;(IF($C1106="","Commercial",$C1106))),Variables!$B$1:$D$1,0),1))*(AV1106/365))+(INDEX(Variables!$B$8:$D$8,IFERROR(MATCH(IF($B1106="Robusta","Robusta",(IF($B1106="","Arabica",$B1106))&amp;" - "&amp;(IF($C1106="","Commercial",$C1106))),Variables!$B$1:$D$1,0),1))*L1106/16.67)),""))</f>
        <v>-2.2783486999987335</v>
      </c>
      <c r="AX1106" s="9"/>
      <c r="AY1106" s="12"/>
      <c r="AZ1106" s="10"/>
      <c r="BA1106" s="9"/>
      <c r="BB1106" s="10"/>
      <c r="BC1106" s="9"/>
      <c r="BD1106" s="9"/>
      <c r="BE1106" s="9"/>
      <c r="BF1106" s="9"/>
    </row>
    <row r="1107" spans="1:58" x14ac:dyDescent="0.25">
      <c r="A1107" s="9" t="s">
        <v>84</v>
      </c>
      <c r="B1107" s="9" t="s">
        <v>85</v>
      </c>
      <c r="C1107" s="9" t="s">
        <v>1486</v>
      </c>
      <c r="D1107" s="10">
        <v>45910</v>
      </c>
      <c r="E1107" s="10">
        <v>45910</v>
      </c>
      <c r="F1107" s="10">
        <v>45930</v>
      </c>
      <c r="G1107" s="9">
        <v>3786956</v>
      </c>
      <c r="H1107" s="9" t="str">
        <f t="shared" si="104"/>
        <v>Closed</v>
      </c>
      <c r="I1107" s="9" t="str">
        <f t="shared" si="105"/>
        <v>All dates received</v>
      </c>
      <c r="J1107" s="9" t="s">
        <v>1487</v>
      </c>
      <c r="K1107" s="9" t="s">
        <v>2369</v>
      </c>
      <c r="L1107" s="11">
        <v>30</v>
      </c>
      <c r="M1107" s="9" t="s">
        <v>2370</v>
      </c>
      <c r="N1107" s="9"/>
      <c r="O1107" s="9"/>
      <c r="P1107" s="9"/>
      <c r="Q1107" s="11">
        <v>115.2</v>
      </c>
      <c r="R1107" s="9" t="s">
        <v>195</v>
      </c>
      <c r="S1107" s="9" t="s">
        <v>183</v>
      </c>
      <c r="T1107" s="12">
        <f>IF($H1107="Cancelled","",IFERROR(((Q1107+INDEX(Variables!$B$6:$D$6,IFERROR(MATCH(IF($B1107="Robusta","Robusta",(IF($B1107="","Arabica",$B1107))&amp;" - "&amp;(IF($C1107="","Commercial",$C1107))),Variables!$B$1:$D$1,0),1)))*22.0462)*(L1107/16.67),""))</f>
        <v>16108.141331733652</v>
      </c>
      <c r="U1107" s="10"/>
      <c r="V1107" s="9" t="s">
        <v>195</v>
      </c>
      <c r="W1107" s="10">
        <v>45889</v>
      </c>
      <c r="X1107" s="9" t="str">
        <f t="shared" si="102"/>
        <v>Approved</v>
      </c>
      <c r="Y1107" s="10">
        <v>45916</v>
      </c>
      <c r="Z1107" s="10">
        <f>IF($H1107="Cancelled","",IFERROR(IF(F1107="","",F1107-Variables!$B$13),""))</f>
        <v>45915</v>
      </c>
      <c r="AA1107" s="11">
        <f>IF($H1107="Cancelled","",IFERROR(IF(W1107="","",(AVERAGE(E1107:F1107)-W1107)-Variables!$B$14),""))</f>
        <v>1</v>
      </c>
      <c r="AB1107" s="10">
        <v>45925</v>
      </c>
      <c r="AC1107" s="11">
        <f>IF($H1107="Cancelled","",IFERROR(IF(AB1107="","",IF(AND(W1107="",Y1107=""),"",IF(Y1107&gt;W1107,Y1107+Variables!$B$15+Variables!$B$16+Variables!$B$17-AB1107,W1107+Variables!$B$16+Variables!$B$17-AB1107))),""))</f>
        <v>6</v>
      </c>
      <c r="AD1107" s="9" t="s">
        <v>163</v>
      </c>
      <c r="AE1107" s="9" t="s">
        <v>598</v>
      </c>
      <c r="AF1107" s="10"/>
      <c r="AG1107" s="10"/>
      <c r="AH1107" s="9"/>
      <c r="AI1107" s="9">
        <v>259551192</v>
      </c>
      <c r="AJ1107" s="9" t="s">
        <v>2366</v>
      </c>
      <c r="AK1107" s="10">
        <v>45933</v>
      </c>
      <c r="AL1107" s="10">
        <v>45936</v>
      </c>
      <c r="AM1107" s="10">
        <v>45936</v>
      </c>
      <c r="AN1107" s="9" t="s">
        <v>1492</v>
      </c>
      <c r="AO1107" s="9"/>
      <c r="AP1107" s="11">
        <f>IF($H1107="Cancelled","",IFERROR(IF(OR(AK1107="",AB1107=""),"",(AB1107+Variables!$B$18-AK1107)),""))</f>
        <v>-1</v>
      </c>
      <c r="AQ1107" s="11">
        <f>IF($H1107="Cancelled","",IFERROR(IF(OR(AM1107="",AK1107=""),"",(AK1107+Variables!$B$19)-AM1107),""))</f>
        <v>2</v>
      </c>
      <c r="AR1107" s="12">
        <f>IF($H1107="Cancelled","",IFERROR(T1107*INDEX(Variables!$B$7:$D$7,IFERROR(MATCH(IF($B1107="Robusta","Robusta",(IF($B1107="","Arabica",$B1107))&amp;" - "&amp;(IF($C1107="","Commercial",$C1107))),Variables!$B$1:$D$1,0),1))*(AQ1107/365),""))</f>
        <v>5.6914432382526892</v>
      </c>
      <c r="AS1107" s="12">
        <f>IF($H1107="Cancelled","",IFERROR((T1107*INDEX(Variables!$B$7:$D$7,IFERROR(MATCH(IF($B1107="Robusta","Robusta",(IF($B1107="","Arabica",$B1107))&amp;" - "&amp;(IF($C1107="","Commercial",$C1107))),Variables!$B$1:$D$1,0),1))*IFERROR(IF(W1107="","",(AVERAGE(E1107:F1107)-W1107)-Variables!$B$14),"")/365)+(L1107/16.67*INDEX(Variables!$B$8:$D$8,IFERROR(MATCH(IF($B1107="Robusta","Robusta",(IF($B1107="","Arabica",$B1107))&amp;" - "&amp;(IF($C1107="","Commercial",$C1107))),Variables!$B$1:$D$1,0),1))*IFERROR(IF(W1107="","",(AVERAGE(E1107:F1107)-W1107)-Variables!$B$14),""))+(T1107*INDEX(Variables!$B$9:$D$9,IFERROR(MATCH(IF($B1107="Robusta","Robusta",(IF($B1107="","Arabica",$B1107))&amp;" - "&amp;(IF($C1107="","Commercial",$C1107))),Variables!$B$1:$D$1,0),1))*IFERROR(IF(W1107="","",(AVERAGE(E1107:F1107)-W1107)-Variables!$B$14),"")/365),""))</f>
        <v>4.3824084626580433</v>
      </c>
      <c r="AT1107" s="12">
        <f>IF($H1107="Cancelled","",IFERROR((T1107*INDEX(Variables!$B$7:$D$7,IFERROR(MATCH(IF($B1107="Robusta","Robusta",(IF($B1107="","Arabica",$B1107))&amp;" - "&amp;(IF($C1107="","Commercial",$C1107))),Variables!$B$1:$D$1,0),1))*AC1107/365)+(L1107/16.67*INDEX(Variables!$B$8:$D$8,IFERROR(MATCH(IF($B1107="Robusta","Robusta",(IF($B1107="","Arabica",$B1107))&amp;" - "&amp;(IF($C1107="","Commercial",$C1107))),Variables!$B$1:$D$1,0),1))*AC1107)+(T1107*INDEX(Variables!$B$9:$D$9,IFERROR(MATCH(IF($B1107="Robusta","Robusta",(IF($B1107="","Arabica",$B1107))&amp;" - "&amp;(IF($C1107="","Commercial",$C1107))),Variables!$B$1:$D$1,0),1))*AC1107/365),""))</f>
        <v>26.294450775948263</v>
      </c>
      <c r="AU1107" s="12">
        <f>IF($H1107="Cancelled","",IFERROR((T1107*INDEX(Variables!$B$7:$D$7,IFERROR(MATCH(IF($B1107="Robusta","Robusta",(IF($B1107="","Arabica",$B1107))&amp;" - "&amp;(IF($C1107="","Commercial",$C1107))),Variables!$B$1:$D$1,0),1))*AP1107/365)+(L1107/16.67*INDEX(Variables!$B$8:$D$8,IFERROR(MATCH(IF($B1107="Robusta","Robusta",(IF($B1107="","Arabica",$B1107))&amp;" - "&amp;(IF($C1107="","Commercial",$C1107))),Variables!$B$1:$D$1,0),1))*AP1107)+(T1107*INDEX(Variables!$B$9:$D$9,IFERROR(MATCH(IF($B1107="Robusta","Robusta",(IF($B1107="","Arabica",$B1107))&amp;" - "&amp;(IF($C1107="","Commercial",$C1107))),Variables!$B$1:$D$1,0),1))*AP1107/365),""))</f>
        <v>-4.3824084626580433</v>
      </c>
      <c r="AV1107" s="11">
        <f t="shared" si="106"/>
        <v>-3</v>
      </c>
      <c r="AW1107" s="12">
        <f>IF($H1107="Cancelled","",IFERROR(IF(AV1107="","",(T1107*INDEX(Variables!$B$7:$D$7,IFERROR(MATCH(IF($B1107="Robusta","Robusta",(IF($B1107="","Arabica",$B1107))&amp;" - "&amp;(IF($C1107="","Commercial",$C1107))),Variables!$B$1:$D$1,0),1))*(AV1107/365))+(T1107*INDEX(Variables!$B$9:$D$9,IFERROR(MATCH(IF($B1107="Robusta","Robusta",(IF($B1107="","Arabica",$B1107))&amp;" - "&amp;(IF($C1107="","Commercial",$C1107))),Variables!$B$1:$D$1,0),1))*(AV1107/365))+(INDEX(Variables!$B$8:$D$8,IFERROR(MATCH(IF($B1107="Robusta","Robusta",(IF($B1107="","Arabica",$B1107))&amp;" - "&amp;(IF($C1107="","Commercial",$C1107))),Variables!$B$1:$D$1,0),1))*L1107/16.67)),""))</f>
        <v>-7.1472253879741316</v>
      </c>
      <c r="AX1107" s="9"/>
      <c r="AY1107" s="12"/>
      <c r="AZ1107" s="10"/>
      <c r="BA1107" s="9"/>
      <c r="BB1107" s="10"/>
      <c r="BC1107" s="9"/>
      <c r="BD1107" s="9"/>
      <c r="BE1107" s="9"/>
      <c r="BF1107" s="9"/>
    </row>
    <row r="1108" spans="1:58" x14ac:dyDescent="0.25">
      <c r="A1108" s="9" t="s">
        <v>84</v>
      </c>
      <c r="B1108" s="9" t="s">
        <v>85</v>
      </c>
      <c r="C1108" s="9" t="s">
        <v>1486</v>
      </c>
      <c r="D1108" s="10">
        <v>45910</v>
      </c>
      <c r="E1108" s="10">
        <v>45910</v>
      </c>
      <c r="F1108" s="10">
        <v>45930</v>
      </c>
      <c r="G1108" s="9">
        <v>3786957</v>
      </c>
      <c r="H1108" s="9" t="str">
        <f t="shared" si="104"/>
        <v>Closed</v>
      </c>
      <c r="I1108" s="9" t="str">
        <f t="shared" si="105"/>
        <v>All dates received</v>
      </c>
      <c r="J1108" s="9" t="s">
        <v>1487</v>
      </c>
      <c r="K1108" s="9" t="s">
        <v>2371</v>
      </c>
      <c r="L1108" s="11">
        <v>17</v>
      </c>
      <c r="M1108" s="9" t="s">
        <v>2372</v>
      </c>
      <c r="N1108" s="9"/>
      <c r="O1108" s="9"/>
      <c r="P1108" s="9"/>
      <c r="Q1108" s="11">
        <v>132.19999999999999</v>
      </c>
      <c r="R1108" s="9" t="s">
        <v>195</v>
      </c>
      <c r="S1108" s="9" t="s">
        <v>183</v>
      </c>
      <c r="T1108" s="12">
        <f>IF($H1108="Cancelled","",IFERROR(((Q1108+INDEX(Variables!$B$6:$D$6,IFERROR(MATCH(IF($B1108="Robusta","Robusta",(IF($B1108="","Arabica",$B1108))&amp;" - "&amp;(IF($C1108="","Commercial",$C1108))),Variables!$B$1:$D$1,0),1)))*22.0462)*(L1108/16.67),""))</f>
        <v>9510.1514217156546</v>
      </c>
      <c r="U1108" s="10"/>
      <c r="V1108" s="9" t="s">
        <v>195</v>
      </c>
      <c r="W1108" s="10">
        <v>45889</v>
      </c>
      <c r="X1108" s="9" t="str">
        <f t="shared" si="102"/>
        <v>Approved</v>
      </c>
      <c r="Y1108" s="10">
        <v>45916</v>
      </c>
      <c r="Z1108" s="10">
        <f>IF($H1108="Cancelled","",IFERROR(IF(F1108="","",F1108-Variables!$B$13),""))</f>
        <v>45915</v>
      </c>
      <c r="AA1108" s="11">
        <f>IF($H1108="Cancelled","",IFERROR(IF(W1108="","",(AVERAGE(E1108:F1108)-W1108)-Variables!$B$14),""))</f>
        <v>1</v>
      </c>
      <c r="AB1108" s="10">
        <v>45925</v>
      </c>
      <c r="AC1108" s="11">
        <f>IF($H1108="Cancelled","",IFERROR(IF(AB1108="","",IF(AND(W1108="",Y1108=""),"",IF(Y1108&gt;W1108,Y1108+Variables!$B$15+Variables!$B$16+Variables!$B$17-AB1108,W1108+Variables!$B$16+Variables!$B$17-AB1108))),""))</f>
        <v>6</v>
      </c>
      <c r="AD1108" s="9" t="s">
        <v>163</v>
      </c>
      <c r="AE1108" s="9" t="s">
        <v>598</v>
      </c>
      <c r="AF1108" s="10"/>
      <c r="AG1108" s="10"/>
      <c r="AH1108" s="9"/>
      <c r="AI1108" s="9">
        <v>259551192</v>
      </c>
      <c r="AJ1108" s="9" t="s">
        <v>2366</v>
      </c>
      <c r="AK1108" s="10">
        <v>45933</v>
      </c>
      <c r="AL1108" s="10">
        <v>45936</v>
      </c>
      <c r="AM1108" s="10">
        <v>45936</v>
      </c>
      <c r="AN1108" s="9" t="s">
        <v>1492</v>
      </c>
      <c r="AO1108" s="9"/>
      <c r="AP1108" s="11">
        <f>IF($H1108="Cancelled","",IFERROR(IF(OR(AK1108="",AB1108=""),"",(AB1108+Variables!$B$18-AK1108)),""))</f>
        <v>-1</v>
      </c>
      <c r="AQ1108" s="11">
        <f>IF($H1108="Cancelled","",IFERROR(IF(OR(AM1108="",AK1108=""),"",(AK1108+Variables!$B$19)-AM1108),""))</f>
        <v>2</v>
      </c>
      <c r="AR1108" s="12">
        <f>IF($H1108="Cancelled","",IFERROR(T1108*INDEX(Variables!$B$7:$D$7,IFERROR(MATCH(IF($B1108="Robusta","Robusta",(IF($B1108="","Arabica",$B1108))&amp;" - "&amp;(IF($C1108="","Commercial",$C1108))),Variables!$B$1:$D$1,0),1))*(AQ1108/365),""))</f>
        <v>3.3601944438649491</v>
      </c>
      <c r="AS1108" s="12">
        <f>IF($H1108="Cancelled","",IFERROR((T1108*INDEX(Variables!$B$7:$D$7,IFERROR(MATCH(IF($B1108="Robusta","Robusta",(IF($B1108="","Arabica",$B1108))&amp;" - "&amp;(IF($C1108="","Commercial",$C1108))),Variables!$B$1:$D$1,0),1))*IFERROR(IF(W1108="","",(AVERAGE(E1108:F1108)-W1108)-Variables!$B$14),"")/365)+(L1108/16.67*INDEX(Variables!$B$8:$D$8,IFERROR(MATCH(IF($B1108="Robusta","Robusta",(IF($B1108="","Arabica",$B1108))&amp;" - "&amp;(IF($C1108="","Commercial",$C1108))),Variables!$B$1:$D$1,0),1))*IFERROR(IF(W1108="","",(AVERAGE(E1108:F1108)-W1108)-Variables!$B$14),""))+(T1108*INDEX(Variables!$B$9:$D$9,IFERROR(MATCH(IF($B1108="Robusta","Robusta",(IF($B1108="","Arabica",$B1108))&amp;" - "&amp;(IF($C1108="","Commercial",$C1108))),Variables!$B$1:$D$1,0),1))*IFERROR(IF(W1108="","",(AVERAGE(E1108:F1108)-W1108)-Variables!$B$14),"")/365),""))</f>
        <v>2.5517569174855494</v>
      </c>
      <c r="AT1108" s="12">
        <f>IF($H1108="Cancelled","",IFERROR((T1108*INDEX(Variables!$B$7:$D$7,IFERROR(MATCH(IF($B1108="Robusta","Robusta",(IF($B1108="","Arabica",$B1108))&amp;" - "&amp;(IF($C1108="","Commercial",$C1108))),Variables!$B$1:$D$1,0),1))*AC1108/365)+(L1108/16.67*INDEX(Variables!$B$8:$D$8,IFERROR(MATCH(IF($B1108="Robusta","Robusta",(IF($B1108="","Arabica",$B1108))&amp;" - "&amp;(IF($C1108="","Commercial",$C1108))),Variables!$B$1:$D$1,0),1))*AC1108)+(T1108*INDEX(Variables!$B$9:$D$9,IFERROR(MATCH(IF($B1108="Robusta","Robusta",(IF($B1108="","Arabica",$B1108))&amp;" - "&amp;(IF($C1108="","Commercial",$C1108))),Variables!$B$1:$D$1,0),1))*AC1108/365),""))</f>
        <v>15.310541504913294</v>
      </c>
      <c r="AU1108" s="12">
        <f>IF($H1108="Cancelled","",IFERROR((T1108*INDEX(Variables!$B$7:$D$7,IFERROR(MATCH(IF($B1108="Robusta","Robusta",(IF($B1108="","Arabica",$B1108))&amp;" - "&amp;(IF($C1108="","Commercial",$C1108))),Variables!$B$1:$D$1,0),1))*AP1108/365)+(L1108/16.67*INDEX(Variables!$B$8:$D$8,IFERROR(MATCH(IF($B1108="Robusta","Robusta",(IF($B1108="","Arabica",$B1108))&amp;" - "&amp;(IF($C1108="","Commercial",$C1108))),Variables!$B$1:$D$1,0),1))*AP1108)+(T1108*INDEX(Variables!$B$9:$D$9,IFERROR(MATCH(IF($B1108="Robusta","Robusta",(IF($B1108="","Arabica",$B1108))&amp;" - "&amp;(IF($C1108="","Commercial",$C1108))),Variables!$B$1:$D$1,0),1))*AP1108/365),""))</f>
        <v>-2.5517569174855494</v>
      </c>
      <c r="AV1108" s="11">
        <f t="shared" si="106"/>
        <v>-3</v>
      </c>
      <c r="AW1108" s="12">
        <f>IF($H1108="Cancelled","",IFERROR(IF(AV1108="","",(T1108*INDEX(Variables!$B$7:$D$7,IFERROR(MATCH(IF($B1108="Robusta","Robusta",(IF($B1108="","Arabica",$B1108))&amp;" - "&amp;(IF($C1108="","Commercial",$C1108))),Variables!$B$1:$D$1,0),1))*(AV1108/365))+(T1108*INDEX(Variables!$B$9:$D$9,IFERROR(MATCH(IF($B1108="Robusta","Robusta",(IF($B1108="","Arabica",$B1108))&amp;" - "&amp;(IF($C1108="","Commercial",$C1108))),Variables!$B$1:$D$1,0),1))*(AV1108/365))+(INDEX(Variables!$B$8:$D$8,IFERROR(MATCH(IF($B1108="Robusta","Robusta",(IF($B1108="","Arabica",$B1108))&amp;" - "&amp;(IF($C1108="","Commercial",$C1108))),Variables!$B$1:$D$1,0),1))*L1108/16.67)),""))</f>
        <v>-4.2552707524566475</v>
      </c>
      <c r="AX1108" s="9"/>
      <c r="AY1108" s="12"/>
      <c r="AZ1108" s="10"/>
      <c r="BA1108" s="9"/>
      <c r="BB1108" s="10"/>
      <c r="BC1108" s="9"/>
      <c r="BD1108" s="9"/>
      <c r="BE1108" s="9"/>
      <c r="BF1108" s="9"/>
    </row>
    <row r="1109" spans="1:58" x14ac:dyDescent="0.25">
      <c r="A1109" s="9" t="s">
        <v>84</v>
      </c>
      <c r="B1109" s="9" t="s">
        <v>85</v>
      </c>
      <c r="C1109" s="9" t="s">
        <v>1486</v>
      </c>
      <c r="D1109" s="10">
        <v>45910</v>
      </c>
      <c r="E1109" s="10">
        <v>45910</v>
      </c>
      <c r="F1109" s="10">
        <v>45930</v>
      </c>
      <c r="G1109" s="9">
        <v>3786958</v>
      </c>
      <c r="H1109" s="9" t="str">
        <f t="shared" si="104"/>
        <v>Closed</v>
      </c>
      <c r="I1109" s="9" t="str">
        <f t="shared" si="105"/>
        <v>All dates received</v>
      </c>
      <c r="J1109" s="9" t="s">
        <v>1487</v>
      </c>
      <c r="K1109" s="9" t="s">
        <v>2373</v>
      </c>
      <c r="L1109" s="11">
        <v>13</v>
      </c>
      <c r="M1109" s="9" t="s">
        <v>2374</v>
      </c>
      <c r="N1109" s="9"/>
      <c r="O1109" s="9"/>
      <c r="P1109" s="9"/>
      <c r="Q1109" s="11">
        <v>115.2</v>
      </c>
      <c r="R1109" s="9" t="s">
        <v>195</v>
      </c>
      <c r="S1109" s="9" t="s">
        <v>183</v>
      </c>
      <c r="T1109" s="12">
        <f>IF($H1109="Cancelled","",IFERROR(((Q1109+INDEX(Variables!$B$6:$D$6,IFERROR(MATCH(IF($B1109="Robusta","Robusta",(IF($B1109="","Arabica",$B1109))&amp;" - "&amp;(IF($C1109="","Commercial",$C1109))),Variables!$B$1:$D$1,0),1)))*22.0462)*(L1109/16.67),""))</f>
        <v>6980.1945770845832</v>
      </c>
      <c r="U1109" s="10"/>
      <c r="V1109" s="9" t="s">
        <v>195</v>
      </c>
      <c r="W1109" s="10">
        <v>45889</v>
      </c>
      <c r="X1109" s="9" t="str">
        <f t="shared" si="102"/>
        <v>Approved</v>
      </c>
      <c r="Y1109" s="10">
        <v>45916</v>
      </c>
      <c r="Z1109" s="10">
        <f>IF($H1109="Cancelled","",IFERROR(IF(F1109="","",F1109-Variables!$B$13),""))</f>
        <v>45915</v>
      </c>
      <c r="AA1109" s="11">
        <f>IF($H1109="Cancelled","",IFERROR(IF(W1109="","",(AVERAGE(E1109:F1109)-W1109)-Variables!$B$14),""))</f>
        <v>1</v>
      </c>
      <c r="AB1109" s="10">
        <v>45925</v>
      </c>
      <c r="AC1109" s="11">
        <f>IF($H1109="Cancelled","",IFERROR(IF(AB1109="","",IF(AND(W1109="",Y1109=""),"",IF(Y1109&gt;W1109,Y1109+Variables!$B$15+Variables!$B$16+Variables!$B$17-AB1109,W1109+Variables!$B$16+Variables!$B$17-AB1109))),""))</f>
        <v>6</v>
      </c>
      <c r="AD1109" s="9" t="s">
        <v>163</v>
      </c>
      <c r="AE1109" s="9" t="s">
        <v>598</v>
      </c>
      <c r="AF1109" s="10"/>
      <c r="AG1109" s="10"/>
      <c r="AH1109" s="9"/>
      <c r="AI1109" s="9">
        <v>259551192</v>
      </c>
      <c r="AJ1109" s="9" t="s">
        <v>2366</v>
      </c>
      <c r="AK1109" s="10">
        <v>45933</v>
      </c>
      <c r="AL1109" s="10">
        <v>45936</v>
      </c>
      <c r="AM1109" s="10">
        <v>45936</v>
      </c>
      <c r="AN1109" s="9" t="s">
        <v>1492</v>
      </c>
      <c r="AO1109" s="9"/>
      <c r="AP1109" s="11">
        <f>IF($H1109="Cancelled","",IFERROR(IF(OR(AK1109="",AB1109=""),"",(AB1109+Variables!$B$18-AK1109)),""))</f>
        <v>-1</v>
      </c>
      <c r="AQ1109" s="11">
        <f>IF($H1109="Cancelled","",IFERROR(IF(OR(AM1109="",AK1109=""),"",(AK1109+Variables!$B$19)-AM1109),""))</f>
        <v>2</v>
      </c>
      <c r="AR1109" s="12">
        <f>IF($H1109="Cancelled","",IFERROR(T1109*INDEX(Variables!$B$7:$D$7,IFERROR(MATCH(IF($B1109="Robusta","Robusta",(IF($B1109="","Arabica",$B1109))&amp;" - "&amp;(IF($C1109="","Commercial",$C1109))),Variables!$B$1:$D$1,0),1))*(AQ1109/365),""))</f>
        <v>2.4662920699094988</v>
      </c>
      <c r="AS1109" s="12">
        <f>IF($H1109="Cancelled","",IFERROR((T1109*INDEX(Variables!$B$7:$D$7,IFERROR(MATCH(IF($B1109="Robusta","Robusta",(IF($B1109="","Arabica",$B1109))&amp;" - "&amp;(IF($C1109="","Commercial",$C1109))),Variables!$B$1:$D$1,0),1))*IFERROR(IF(W1109="","",(AVERAGE(E1109:F1109)-W1109)-Variables!$B$14),"")/365)+(L1109/16.67*INDEX(Variables!$B$8:$D$8,IFERROR(MATCH(IF($B1109="Robusta","Robusta",(IF($B1109="","Arabica",$B1109))&amp;" - "&amp;(IF($C1109="","Commercial",$C1109))),Variables!$B$1:$D$1,0),1))*IFERROR(IF(W1109="","",(AVERAGE(E1109:F1109)-W1109)-Variables!$B$14),""))+(T1109*INDEX(Variables!$B$9:$D$9,IFERROR(MATCH(IF($B1109="Robusta","Robusta",(IF($B1109="","Arabica",$B1109))&amp;" - "&amp;(IF($C1109="","Commercial",$C1109))),Variables!$B$1:$D$1,0),1))*IFERROR(IF(W1109="","",(AVERAGE(E1109:F1109)-W1109)-Variables!$B$14),"")/365),""))</f>
        <v>1.8990436671518192</v>
      </c>
      <c r="AT1109" s="12">
        <f>IF($H1109="Cancelled","",IFERROR((T1109*INDEX(Variables!$B$7:$D$7,IFERROR(MATCH(IF($B1109="Robusta","Robusta",(IF($B1109="","Arabica",$B1109))&amp;" - "&amp;(IF($C1109="","Commercial",$C1109))),Variables!$B$1:$D$1,0),1))*AC1109/365)+(L1109/16.67*INDEX(Variables!$B$8:$D$8,IFERROR(MATCH(IF($B1109="Robusta","Robusta",(IF($B1109="","Arabica",$B1109))&amp;" - "&amp;(IF($C1109="","Commercial",$C1109))),Variables!$B$1:$D$1,0),1))*AC1109)+(T1109*INDEX(Variables!$B$9:$D$9,IFERROR(MATCH(IF($B1109="Robusta","Robusta",(IF($B1109="","Arabica",$B1109))&amp;" - "&amp;(IF($C1109="","Commercial",$C1109))),Variables!$B$1:$D$1,0),1))*AC1109/365),""))</f>
        <v>11.394262002910915</v>
      </c>
      <c r="AU1109" s="12">
        <f>IF($H1109="Cancelled","",IFERROR((T1109*INDEX(Variables!$B$7:$D$7,IFERROR(MATCH(IF($B1109="Robusta","Robusta",(IF($B1109="","Arabica",$B1109))&amp;" - "&amp;(IF($C1109="","Commercial",$C1109))),Variables!$B$1:$D$1,0),1))*AP1109/365)+(L1109/16.67*INDEX(Variables!$B$8:$D$8,IFERROR(MATCH(IF($B1109="Robusta","Robusta",(IF($B1109="","Arabica",$B1109))&amp;" - "&amp;(IF($C1109="","Commercial",$C1109))),Variables!$B$1:$D$1,0),1))*AP1109)+(T1109*INDEX(Variables!$B$9:$D$9,IFERROR(MATCH(IF($B1109="Robusta","Robusta",(IF($B1109="","Arabica",$B1109))&amp;" - "&amp;(IF($C1109="","Commercial",$C1109))),Variables!$B$1:$D$1,0),1))*AP1109/365),""))</f>
        <v>-1.8990436671518192</v>
      </c>
      <c r="AV1109" s="11">
        <f t="shared" si="106"/>
        <v>-3</v>
      </c>
      <c r="AW1109" s="12">
        <f>IF($H1109="Cancelled","",IFERROR(IF(AV1109="","",(T1109*INDEX(Variables!$B$7:$D$7,IFERROR(MATCH(IF($B1109="Robusta","Robusta",(IF($B1109="","Arabica",$B1109))&amp;" - "&amp;(IF($C1109="","Commercial",$C1109))),Variables!$B$1:$D$1,0),1))*(AV1109/365))+(T1109*INDEX(Variables!$B$9:$D$9,IFERROR(MATCH(IF($B1109="Robusta","Robusta",(IF($B1109="","Arabica",$B1109))&amp;" - "&amp;(IF($C1109="","Commercial",$C1109))),Variables!$B$1:$D$1,0),1))*(AV1109/365))+(INDEX(Variables!$B$8:$D$8,IFERROR(MATCH(IF($B1109="Robusta","Robusta",(IF($B1109="","Arabica",$B1109))&amp;" - "&amp;(IF($C1109="","Commercial",$C1109))),Variables!$B$1:$D$1,0),1))*L1109/16.67)),""))</f>
        <v>-3.0971310014554572</v>
      </c>
      <c r="AX1109" s="9"/>
      <c r="AY1109" s="12"/>
      <c r="AZ1109" s="10"/>
      <c r="BA1109" s="9"/>
      <c r="BB1109" s="10"/>
      <c r="BC1109" s="9"/>
      <c r="BD1109" s="9"/>
      <c r="BE1109" s="9"/>
      <c r="BF1109" s="9"/>
    </row>
    <row r="1110" spans="1:58" x14ac:dyDescent="0.25">
      <c r="A1110" s="9" t="s">
        <v>84</v>
      </c>
      <c r="B1110" s="9" t="s">
        <v>85</v>
      </c>
      <c r="C1110" s="9" t="s">
        <v>1486</v>
      </c>
      <c r="D1110" s="10">
        <v>45910</v>
      </c>
      <c r="E1110" s="10">
        <v>45910</v>
      </c>
      <c r="F1110" s="10">
        <v>45930</v>
      </c>
      <c r="G1110" s="9">
        <v>3786959</v>
      </c>
      <c r="H1110" s="9" t="str">
        <f t="shared" si="104"/>
        <v>Closed</v>
      </c>
      <c r="I1110" s="9" t="str">
        <f t="shared" si="105"/>
        <v>All dates received</v>
      </c>
      <c r="J1110" s="9" t="s">
        <v>1487</v>
      </c>
      <c r="K1110" s="9" t="s">
        <v>2375</v>
      </c>
      <c r="L1110" s="11">
        <v>12</v>
      </c>
      <c r="M1110" s="9" t="s">
        <v>2376</v>
      </c>
      <c r="N1110" s="9"/>
      <c r="O1110" s="9"/>
      <c r="P1110" s="9"/>
      <c r="Q1110" s="11">
        <v>183.2</v>
      </c>
      <c r="R1110" s="9" t="s">
        <v>195</v>
      </c>
      <c r="S1110" s="9" t="s">
        <v>183</v>
      </c>
      <c r="T1110" s="12">
        <f>IF($H1110="Cancelled","",IFERROR(((Q1110+INDEX(Variables!$B$6:$D$6,IFERROR(MATCH(IF($B1110="Robusta","Robusta",(IF($B1110="","Arabica",$B1110))&amp;" - "&amp;(IF($C1110="","Commercial",$C1110))),Variables!$B$1:$D$1,0),1)))*22.0462)*(L1110/16.67),""))</f>
        <v>7522.4226514697039</v>
      </c>
      <c r="U1110" s="10"/>
      <c r="V1110" s="9" t="s">
        <v>195</v>
      </c>
      <c r="W1110" s="10">
        <v>45889</v>
      </c>
      <c r="X1110" s="9" t="str">
        <f t="shared" si="102"/>
        <v>Approved</v>
      </c>
      <c r="Y1110" s="10">
        <v>45916</v>
      </c>
      <c r="Z1110" s="10">
        <f>IF($H1110="Cancelled","",IFERROR(IF(F1110="","",F1110-Variables!$B$13),""))</f>
        <v>45915</v>
      </c>
      <c r="AA1110" s="11">
        <f>IF($H1110="Cancelled","",IFERROR(IF(W1110="","",(AVERAGE(E1110:F1110)-W1110)-Variables!$B$14),""))</f>
        <v>1</v>
      </c>
      <c r="AB1110" s="10">
        <v>45925</v>
      </c>
      <c r="AC1110" s="11">
        <f>IF($H1110="Cancelled","",IFERROR(IF(AB1110="","",IF(AND(W1110="",Y1110=""),"",IF(Y1110&gt;W1110,Y1110+Variables!$B$15+Variables!$B$16+Variables!$B$17-AB1110,W1110+Variables!$B$16+Variables!$B$17-AB1110))),""))</f>
        <v>6</v>
      </c>
      <c r="AD1110" s="9" t="s">
        <v>163</v>
      </c>
      <c r="AE1110" s="9" t="s">
        <v>598</v>
      </c>
      <c r="AF1110" s="10"/>
      <c r="AG1110" s="10"/>
      <c r="AH1110" s="9"/>
      <c r="AI1110" s="9">
        <v>259551192</v>
      </c>
      <c r="AJ1110" s="9" t="s">
        <v>2366</v>
      </c>
      <c r="AK1110" s="10">
        <v>45933</v>
      </c>
      <c r="AL1110" s="10">
        <v>45936</v>
      </c>
      <c r="AM1110" s="10">
        <v>45936</v>
      </c>
      <c r="AN1110" s="9" t="s">
        <v>1492</v>
      </c>
      <c r="AO1110" s="9"/>
      <c r="AP1110" s="11">
        <f>IF($H1110="Cancelled","",IFERROR(IF(OR(AK1110="",AB1110=""),"",(AB1110+Variables!$B$18-AK1110)),""))</f>
        <v>-1</v>
      </c>
      <c r="AQ1110" s="11">
        <f>IF($H1110="Cancelled","",IFERROR(IF(OR(AM1110="",AK1110=""),"",(AK1110+Variables!$B$19)-AM1110),""))</f>
        <v>2</v>
      </c>
      <c r="AR1110" s="12">
        <f>IF($H1110="Cancelled","",IFERROR(T1110*INDEX(Variables!$B$7:$D$7,IFERROR(MATCH(IF($B1110="Robusta","Robusta",(IF($B1110="","Arabica",$B1110))&amp;" - "&amp;(IF($C1110="","Commercial",$C1110))),Variables!$B$1:$D$1,0),1))*(AQ1110/365),""))</f>
        <v>2.6578759555978069</v>
      </c>
      <c r="AS1110" s="12">
        <f>IF($H1110="Cancelled","",IFERROR((T1110*INDEX(Variables!$B$7:$D$7,IFERROR(MATCH(IF($B1110="Robusta","Robusta",(IF($B1110="","Arabica",$B1110))&amp;" - "&amp;(IF($C1110="","Commercial",$C1110))),Variables!$B$1:$D$1,0),1))*IFERROR(IF(W1110="","",(AVERAGE(E1110:F1110)-W1110)-Variables!$B$14),"")/365)+(L1110/16.67*INDEX(Variables!$B$8:$D$8,IFERROR(MATCH(IF($B1110="Robusta","Robusta",(IF($B1110="","Arabica",$B1110))&amp;" - "&amp;(IF($C1110="","Commercial",$C1110))),Variables!$B$1:$D$1,0),1))*IFERROR(IF(W1110="","",(AVERAGE(E1110:F1110)-W1110)-Variables!$B$14),""))+(T1110*INDEX(Variables!$B$9:$D$9,IFERROR(MATCH(IF($B1110="Robusta","Robusta",(IF($B1110="","Arabica",$B1110))&amp;" - "&amp;(IF($C1110="","Commercial",$C1110))),Variables!$B$1:$D$1,0),1))*IFERROR(IF(W1110="","",(AVERAGE(E1110:F1110)-W1110)-Variables!$B$14),"")/365),""))</f>
        <v>1.9460705530048399</v>
      </c>
      <c r="AT1110" s="12">
        <f>IF($H1110="Cancelled","",IFERROR((T1110*INDEX(Variables!$B$7:$D$7,IFERROR(MATCH(IF($B1110="Robusta","Robusta",(IF($B1110="","Arabica",$B1110))&amp;" - "&amp;(IF($C1110="","Commercial",$C1110))),Variables!$B$1:$D$1,0),1))*AC1110/365)+(L1110/16.67*INDEX(Variables!$B$8:$D$8,IFERROR(MATCH(IF($B1110="Robusta","Robusta",(IF($B1110="","Arabica",$B1110))&amp;" - "&amp;(IF($C1110="","Commercial",$C1110))),Variables!$B$1:$D$1,0),1))*AC1110)+(T1110*INDEX(Variables!$B$9:$D$9,IFERROR(MATCH(IF($B1110="Robusta","Robusta",(IF($B1110="","Arabica",$B1110))&amp;" - "&amp;(IF($C1110="","Commercial",$C1110))),Variables!$B$1:$D$1,0),1))*AC1110/365),""))</f>
        <v>11.676423318029039</v>
      </c>
      <c r="AU1110" s="12">
        <f>IF($H1110="Cancelled","",IFERROR((T1110*INDEX(Variables!$B$7:$D$7,IFERROR(MATCH(IF($B1110="Robusta","Robusta",(IF($B1110="","Arabica",$B1110))&amp;" - "&amp;(IF($C1110="","Commercial",$C1110))),Variables!$B$1:$D$1,0),1))*AP1110/365)+(L1110/16.67*INDEX(Variables!$B$8:$D$8,IFERROR(MATCH(IF($B1110="Robusta","Robusta",(IF($B1110="","Arabica",$B1110))&amp;" - "&amp;(IF($C1110="","Commercial",$C1110))),Variables!$B$1:$D$1,0),1))*AP1110)+(T1110*INDEX(Variables!$B$9:$D$9,IFERROR(MATCH(IF($B1110="Robusta","Robusta",(IF($B1110="","Arabica",$B1110))&amp;" - "&amp;(IF($C1110="","Commercial",$C1110))),Variables!$B$1:$D$1,0),1))*AP1110/365),""))</f>
        <v>-1.9460705530048399</v>
      </c>
      <c r="AV1110" s="11">
        <f t="shared" si="106"/>
        <v>-3</v>
      </c>
      <c r="AW1110" s="12">
        <f>IF($H1110="Cancelled","",IFERROR(IF(AV1110="","",(T1110*INDEX(Variables!$B$7:$D$7,IFERROR(MATCH(IF($B1110="Robusta","Robusta",(IF($B1110="","Arabica",$B1110))&amp;" - "&amp;(IF($C1110="","Commercial",$C1110))),Variables!$B$1:$D$1,0),1))*(AV1110/365))+(T1110*INDEX(Variables!$B$9:$D$9,IFERROR(MATCH(IF($B1110="Robusta","Robusta",(IF($B1110="","Arabica",$B1110))&amp;" - "&amp;(IF($C1110="","Commercial",$C1110))),Variables!$B$1:$D$1,0),1))*(AV1110/365))+(INDEX(Variables!$B$8:$D$8,IFERROR(MATCH(IF($B1110="Robusta","Robusta",(IF($B1110="","Arabica",$B1110))&amp;" - "&amp;(IF($C1110="","Commercial",$C1110))),Variables!$B$1:$D$1,0),1))*L1110/16.67)),""))</f>
        <v>-3.4382116590145189</v>
      </c>
      <c r="AX1110" s="9"/>
      <c r="AY1110" s="12"/>
      <c r="AZ1110" s="10"/>
      <c r="BA1110" s="9"/>
      <c r="BB1110" s="10"/>
      <c r="BC1110" s="9"/>
      <c r="BD1110" s="9"/>
      <c r="BE1110" s="9"/>
      <c r="BF1110" s="9"/>
    </row>
    <row r="1111" spans="1:58" x14ac:dyDescent="0.25">
      <c r="A1111" s="9" t="s">
        <v>84</v>
      </c>
      <c r="B1111" s="9" t="s">
        <v>85</v>
      </c>
      <c r="C1111" s="9" t="s">
        <v>1486</v>
      </c>
      <c r="D1111" s="10">
        <v>45910</v>
      </c>
      <c r="E1111" s="10">
        <v>45910</v>
      </c>
      <c r="F1111" s="10">
        <v>45930</v>
      </c>
      <c r="G1111" s="9">
        <v>3786960</v>
      </c>
      <c r="H1111" s="9" t="str">
        <f t="shared" si="104"/>
        <v>Closed</v>
      </c>
      <c r="I1111" s="9" t="str">
        <f t="shared" si="105"/>
        <v>All dates received</v>
      </c>
      <c r="J1111" s="9" t="s">
        <v>1487</v>
      </c>
      <c r="K1111" s="9" t="s">
        <v>2377</v>
      </c>
      <c r="L1111" s="11">
        <v>10</v>
      </c>
      <c r="M1111" s="9" t="s">
        <v>2378</v>
      </c>
      <c r="N1111" s="9"/>
      <c r="O1111" s="9"/>
      <c r="P1111" s="9"/>
      <c r="Q1111" s="11">
        <v>218.2</v>
      </c>
      <c r="R1111" s="9" t="s">
        <v>195</v>
      </c>
      <c r="S1111" s="9" t="s">
        <v>183</v>
      </c>
      <c r="T1111" s="12">
        <f>IF($H1111="Cancelled","",IFERROR(((Q1111+INDEX(Variables!$B$6:$D$6,IFERROR(MATCH(IF($B1111="Robusta","Robusta",(IF($B1111="","Arabica",$B1111))&amp;" - "&amp;(IF($C1111="","Commercial",$C1111))),Variables!$B$1:$D$1,0),1)))*22.0462)*(L1111/16.67),""))</f>
        <v>6731.5631673665257</v>
      </c>
      <c r="U1111" s="10"/>
      <c r="V1111" s="9" t="s">
        <v>195</v>
      </c>
      <c r="W1111" s="10">
        <v>45889</v>
      </c>
      <c r="X1111" s="9" t="str">
        <f t="shared" si="102"/>
        <v>Approved</v>
      </c>
      <c r="Y1111" s="10">
        <v>45916</v>
      </c>
      <c r="Z1111" s="10">
        <f>IF($H1111="Cancelled","",IFERROR(IF(F1111="","",F1111-Variables!$B$13),""))</f>
        <v>45915</v>
      </c>
      <c r="AA1111" s="11">
        <f>IF($H1111="Cancelled","",IFERROR(IF(W1111="","",(AVERAGE(E1111:F1111)-W1111)-Variables!$B$14),""))</f>
        <v>1</v>
      </c>
      <c r="AB1111" s="10">
        <v>45925</v>
      </c>
      <c r="AC1111" s="11">
        <f>IF($H1111="Cancelled","",IFERROR(IF(AB1111="","",IF(AND(W1111="",Y1111=""),"",IF(Y1111&gt;W1111,Y1111+Variables!$B$15+Variables!$B$16+Variables!$B$17-AB1111,W1111+Variables!$B$16+Variables!$B$17-AB1111))),""))</f>
        <v>6</v>
      </c>
      <c r="AD1111" s="9" t="s">
        <v>163</v>
      </c>
      <c r="AE1111" s="9" t="s">
        <v>598</v>
      </c>
      <c r="AF1111" s="10"/>
      <c r="AG1111" s="10"/>
      <c r="AH1111" s="9"/>
      <c r="AI1111" s="9">
        <v>259551192</v>
      </c>
      <c r="AJ1111" s="9" t="s">
        <v>2366</v>
      </c>
      <c r="AK1111" s="10">
        <v>45933</v>
      </c>
      <c r="AL1111" s="10">
        <v>45936</v>
      </c>
      <c r="AM1111" s="10">
        <v>45936</v>
      </c>
      <c r="AN1111" s="9" t="s">
        <v>1492</v>
      </c>
      <c r="AO1111" s="9"/>
      <c r="AP1111" s="11">
        <f>IF($H1111="Cancelled","",IFERROR(IF(OR(AK1111="",AB1111=""),"",(AB1111+Variables!$B$18-AK1111)),""))</f>
        <v>-1</v>
      </c>
      <c r="AQ1111" s="11">
        <f>IF($H1111="Cancelled","",IFERROR(IF(OR(AM1111="",AK1111=""),"",(AK1111+Variables!$B$19)-AM1111),""))</f>
        <v>2</v>
      </c>
      <c r="AR1111" s="12">
        <f>IF($H1111="Cancelled","",IFERROR(T1111*INDEX(Variables!$B$7:$D$7,IFERROR(MATCH(IF($B1111="Robusta","Robusta",(IF($B1111="","Arabica",$B1111))&amp;" - "&amp;(IF($C1111="","Commercial",$C1111))),Variables!$B$1:$D$1,0),1))*(AQ1111/365),""))</f>
        <v>2.3784438491548592</v>
      </c>
      <c r="AS1111" s="12">
        <f>IF($H1111="Cancelled","",IFERROR((T1111*INDEX(Variables!$B$7:$D$7,IFERROR(MATCH(IF($B1111="Robusta","Robusta",(IF($B1111="","Arabica",$B1111))&amp;" - "&amp;(IF($C1111="","Commercial",$C1111))),Variables!$B$1:$D$1,0),1))*IFERROR(IF(W1111="","",(AVERAGE(E1111:F1111)-W1111)-Variables!$B$14),"")/365)+(L1111/16.67*INDEX(Variables!$B$8:$D$8,IFERROR(MATCH(IF($B1111="Robusta","Robusta",(IF($B1111="","Arabica",$B1111))&amp;" - "&amp;(IF($C1111="","Commercial",$C1111))),Variables!$B$1:$D$1,0),1))*IFERROR(IF(W1111="","",(AVERAGE(E1111:F1111)-W1111)-Variables!$B$14),""))+(T1111*INDEX(Variables!$B$9:$D$9,IFERROR(MATCH(IF($B1111="Robusta","Robusta",(IF($B1111="","Arabica",$B1111))&amp;" - "&amp;(IF($C1111="","Commercial",$C1111))),Variables!$B$1:$D$1,0),1))*IFERROR(IF(W1111="","",(AVERAGE(E1111:F1111)-W1111)-Variables!$B$14),"")/365),""))</f>
        <v>1.7045532902240921</v>
      </c>
      <c r="AT1111" s="12">
        <f>IF($H1111="Cancelled","",IFERROR((T1111*INDEX(Variables!$B$7:$D$7,IFERROR(MATCH(IF($B1111="Robusta","Robusta",(IF($B1111="","Arabica",$B1111))&amp;" - "&amp;(IF($C1111="","Commercial",$C1111))),Variables!$B$1:$D$1,0),1))*AC1111/365)+(L1111/16.67*INDEX(Variables!$B$8:$D$8,IFERROR(MATCH(IF($B1111="Robusta","Robusta",(IF($B1111="","Arabica",$B1111))&amp;" - "&amp;(IF($C1111="","Commercial",$C1111))),Variables!$B$1:$D$1,0),1))*AC1111)+(T1111*INDEX(Variables!$B$9:$D$9,IFERROR(MATCH(IF($B1111="Robusta","Robusta",(IF($B1111="","Arabica",$B1111))&amp;" - "&amp;(IF($C1111="","Commercial",$C1111))),Variables!$B$1:$D$1,0),1))*AC1111/365),""))</f>
        <v>10.227319741344552</v>
      </c>
      <c r="AU1111" s="12">
        <f>IF($H1111="Cancelled","",IFERROR((T1111*INDEX(Variables!$B$7:$D$7,IFERROR(MATCH(IF($B1111="Robusta","Robusta",(IF($B1111="","Arabica",$B1111))&amp;" - "&amp;(IF($C1111="","Commercial",$C1111))),Variables!$B$1:$D$1,0),1))*AP1111/365)+(L1111/16.67*INDEX(Variables!$B$8:$D$8,IFERROR(MATCH(IF($B1111="Robusta","Robusta",(IF($B1111="","Arabica",$B1111))&amp;" - "&amp;(IF($C1111="","Commercial",$C1111))),Variables!$B$1:$D$1,0),1))*AP1111)+(T1111*INDEX(Variables!$B$9:$D$9,IFERROR(MATCH(IF($B1111="Robusta","Robusta",(IF($B1111="","Arabica",$B1111))&amp;" - "&amp;(IF($C1111="","Commercial",$C1111))),Variables!$B$1:$D$1,0),1))*AP1111/365),""))</f>
        <v>-1.7045532902240921</v>
      </c>
      <c r="AV1111" s="11">
        <f t="shared" si="106"/>
        <v>-3</v>
      </c>
      <c r="AW1111" s="12">
        <f>IF($H1111="Cancelled","",IFERROR(IF(AV1111="","",(T1111*INDEX(Variables!$B$7:$D$7,IFERROR(MATCH(IF($B1111="Robusta","Robusta",(IF($B1111="","Arabica",$B1111))&amp;" - "&amp;(IF($C1111="","Commercial",$C1111))),Variables!$B$1:$D$1,0),1))*(AV1111/365))+(T1111*INDEX(Variables!$B$9:$D$9,IFERROR(MATCH(IF($B1111="Robusta","Robusta",(IF($B1111="","Arabica",$B1111))&amp;" - "&amp;(IF($C1111="","Commercial",$C1111))),Variables!$B$1:$D$1,0),1))*(AV1111/365))+(INDEX(Variables!$B$8:$D$8,IFERROR(MATCH(IF($B1111="Robusta","Robusta",(IF($B1111="","Arabica",$B1111))&amp;" - "&amp;(IF($C1111="","Commercial",$C1111))),Variables!$B$1:$D$1,0),1))*L1111/16.67)),""))</f>
        <v>-3.1136598706722762</v>
      </c>
      <c r="AX1111" s="9"/>
      <c r="AY1111" s="12"/>
      <c r="AZ1111" s="10"/>
      <c r="BA1111" s="9"/>
      <c r="BB1111" s="10"/>
      <c r="BC1111" s="9"/>
      <c r="BD1111" s="9"/>
      <c r="BE1111" s="9"/>
      <c r="BF1111" s="9"/>
    </row>
    <row r="1112" spans="1:58" x14ac:dyDescent="0.25">
      <c r="A1112" s="9" t="s">
        <v>84</v>
      </c>
      <c r="B1112" s="9" t="s">
        <v>85</v>
      </c>
      <c r="C1112" s="9" t="s">
        <v>1486</v>
      </c>
      <c r="D1112" s="10">
        <v>45910</v>
      </c>
      <c r="E1112" s="10">
        <v>45910</v>
      </c>
      <c r="F1112" s="10">
        <v>45930</v>
      </c>
      <c r="G1112" s="9">
        <v>3786961</v>
      </c>
      <c r="H1112" s="9" t="str">
        <f t="shared" si="104"/>
        <v>Closed</v>
      </c>
      <c r="I1112" s="9" t="str">
        <f t="shared" si="105"/>
        <v>All dates received</v>
      </c>
      <c r="J1112" s="9" t="s">
        <v>1487</v>
      </c>
      <c r="K1112" s="9" t="s">
        <v>2379</v>
      </c>
      <c r="L1112" s="11">
        <v>6</v>
      </c>
      <c r="M1112" s="9" t="s">
        <v>2380</v>
      </c>
      <c r="N1112" s="9"/>
      <c r="O1112" s="9"/>
      <c r="P1112" s="9"/>
      <c r="Q1112" s="11">
        <v>162.19999999999999</v>
      </c>
      <c r="R1112" s="9" t="s">
        <v>195</v>
      </c>
      <c r="S1112" s="9" t="s">
        <v>183</v>
      </c>
      <c r="T1112" s="12">
        <f>IF($H1112="Cancelled","",IFERROR(((Q1112+INDEX(Variables!$B$6:$D$6,IFERROR(MATCH(IF($B1112="Robusta","Robusta",(IF($B1112="","Arabica",$B1112))&amp;" - "&amp;(IF($C1112="","Commercial",$C1112))),Variables!$B$1:$D$1,0),1)))*22.0462)*(L1112/16.67),""))</f>
        <v>3594.5753809238145</v>
      </c>
      <c r="U1112" s="10"/>
      <c r="V1112" s="9" t="s">
        <v>195</v>
      </c>
      <c r="W1112" s="10">
        <v>45889</v>
      </c>
      <c r="X1112" s="9" t="str">
        <f t="shared" si="102"/>
        <v>Approved</v>
      </c>
      <c r="Y1112" s="10">
        <v>45916</v>
      </c>
      <c r="Z1112" s="10">
        <f>IF($H1112="Cancelled","",IFERROR(IF(F1112="","",F1112-Variables!$B$13),""))</f>
        <v>45915</v>
      </c>
      <c r="AA1112" s="11">
        <f>IF($H1112="Cancelled","",IFERROR(IF(W1112="","",(AVERAGE(E1112:F1112)-W1112)-Variables!$B$14),""))</f>
        <v>1</v>
      </c>
      <c r="AB1112" s="10">
        <v>45925</v>
      </c>
      <c r="AC1112" s="11">
        <f>IF($H1112="Cancelled","",IFERROR(IF(AB1112="","",IF(AND(W1112="",Y1112=""),"",IF(Y1112&gt;W1112,Y1112+Variables!$B$15+Variables!$B$16+Variables!$B$17-AB1112,W1112+Variables!$B$16+Variables!$B$17-AB1112))),""))</f>
        <v>6</v>
      </c>
      <c r="AD1112" s="9" t="s">
        <v>163</v>
      </c>
      <c r="AE1112" s="9" t="s">
        <v>598</v>
      </c>
      <c r="AF1112" s="10"/>
      <c r="AG1112" s="10"/>
      <c r="AH1112" s="9"/>
      <c r="AI1112" s="9">
        <v>259551192</v>
      </c>
      <c r="AJ1112" s="9" t="s">
        <v>2366</v>
      </c>
      <c r="AK1112" s="10">
        <v>45933</v>
      </c>
      <c r="AL1112" s="10">
        <v>45936</v>
      </c>
      <c r="AM1112" s="10">
        <v>45936</v>
      </c>
      <c r="AN1112" s="9" t="s">
        <v>1492</v>
      </c>
      <c r="AO1112" s="9"/>
      <c r="AP1112" s="11">
        <f>IF($H1112="Cancelled","",IFERROR(IF(OR(AK1112="",AB1112=""),"",(AB1112+Variables!$B$18-AK1112)),""))</f>
        <v>-1</v>
      </c>
      <c r="AQ1112" s="11">
        <f>IF($H1112="Cancelled","",IFERROR(IF(OR(AM1112="",AK1112=""),"",(AK1112+Variables!$B$19)-AM1112),""))</f>
        <v>2</v>
      </c>
      <c r="AR1112" s="12">
        <f>IF($H1112="Cancelled","",IFERROR(T1112*INDEX(Variables!$B$7:$D$7,IFERROR(MATCH(IF($B1112="Robusta","Robusta",(IF($B1112="","Arabica",$B1112))&amp;" - "&amp;(IF($C1112="","Commercial",$C1112))),Variables!$B$1:$D$1,0),1))*(AQ1112/365),""))</f>
        <v>1.2700609787824964</v>
      </c>
      <c r="AS1112" s="12">
        <f>IF($H1112="Cancelled","",IFERROR((T1112*INDEX(Variables!$B$7:$D$7,IFERROR(MATCH(IF($B1112="Robusta","Robusta",(IF($B1112="","Arabica",$B1112))&amp;" - "&amp;(IF($C1112="","Commercial",$C1112))),Variables!$B$1:$D$1,0),1))*IFERROR(IF(W1112="","",(AVERAGE(E1112:F1112)-W1112)-Variables!$B$14),"")/365)+(L1112/16.67*INDEX(Variables!$B$8:$D$8,IFERROR(MATCH(IF($B1112="Robusta","Robusta",(IF($B1112="","Arabica",$B1112))&amp;" - "&amp;(IF($C1112="","Commercial",$C1112))),Variables!$B$1:$D$1,0),1))*IFERROR(IF(W1112="","",(AVERAGE(E1112:F1112)-W1112)-Variables!$B$14),""))+(T1112*INDEX(Variables!$B$9:$D$9,IFERROR(MATCH(IF($B1112="Robusta","Robusta",(IF($B1112="","Arabica",$B1112))&amp;" - "&amp;(IF($C1112="","Commercial",$C1112))),Variables!$B$1:$D$1,0),1))*IFERROR(IF(W1112="","",(AVERAGE(E1112:F1112)-W1112)-Variables!$B$14),"")/365),""))</f>
        <v>0.94321725792319877</v>
      </c>
      <c r="AT1112" s="12">
        <f>IF($H1112="Cancelled","",IFERROR((T1112*INDEX(Variables!$B$7:$D$7,IFERROR(MATCH(IF($B1112="Robusta","Robusta",(IF($B1112="","Arabica",$B1112))&amp;" - "&amp;(IF($C1112="","Commercial",$C1112))),Variables!$B$1:$D$1,0),1))*AC1112/365)+(L1112/16.67*INDEX(Variables!$B$8:$D$8,IFERROR(MATCH(IF($B1112="Robusta","Robusta",(IF($B1112="","Arabica",$B1112))&amp;" - "&amp;(IF($C1112="","Commercial",$C1112))),Variables!$B$1:$D$1,0),1))*AC1112)+(T1112*INDEX(Variables!$B$9:$D$9,IFERROR(MATCH(IF($B1112="Robusta","Robusta",(IF($B1112="","Arabica",$B1112))&amp;" - "&amp;(IF($C1112="","Commercial",$C1112))),Variables!$B$1:$D$1,0),1))*AC1112/365),""))</f>
        <v>5.6593035475391922</v>
      </c>
      <c r="AU1112" s="12">
        <f>IF($H1112="Cancelled","",IFERROR((T1112*INDEX(Variables!$B$7:$D$7,IFERROR(MATCH(IF($B1112="Robusta","Robusta",(IF($B1112="","Arabica",$B1112))&amp;" - "&amp;(IF($C1112="","Commercial",$C1112))),Variables!$B$1:$D$1,0),1))*AP1112/365)+(L1112/16.67*INDEX(Variables!$B$8:$D$8,IFERROR(MATCH(IF($B1112="Robusta","Robusta",(IF($B1112="","Arabica",$B1112))&amp;" - "&amp;(IF($C1112="","Commercial",$C1112))),Variables!$B$1:$D$1,0),1))*AP1112)+(T1112*INDEX(Variables!$B$9:$D$9,IFERROR(MATCH(IF($B1112="Robusta","Robusta",(IF($B1112="","Arabica",$B1112))&amp;" - "&amp;(IF($C1112="","Commercial",$C1112))),Variables!$B$1:$D$1,0),1))*AP1112/365),""))</f>
        <v>-0.94321725792319877</v>
      </c>
      <c r="AV1112" s="11">
        <f t="shared" si="106"/>
        <v>-3</v>
      </c>
      <c r="AW1112" s="12">
        <f>IF($H1112="Cancelled","",IFERROR(IF(AV1112="","",(T1112*INDEX(Variables!$B$7:$D$7,IFERROR(MATCH(IF($B1112="Robusta","Robusta",(IF($B1112="","Arabica",$B1112))&amp;" - "&amp;(IF($C1112="","Commercial",$C1112))),Variables!$B$1:$D$1,0),1))*(AV1112/365))+(T1112*INDEX(Variables!$B$9:$D$9,IFERROR(MATCH(IF($B1112="Robusta","Robusta",(IF($B1112="","Arabica",$B1112))&amp;" - "&amp;(IF($C1112="","Commercial",$C1112))),Variables!$B$1:$D$1,0),1))*(AV1112/365))+(INDEX(Variables!$B$8:$D$8,IFERROR(MATCH(IF($B1112="Robusta","Robusta",(IF($B1112="","Arabica",$B1112))&amp;" - "&amp;(IF($C1112="","Commercial",$C1112))),Variables!$B$1:$D$1,0),1))*L1112/16.67)),""))</f>
        <v>-1.6296517737695964</v>
      </c>
      <c r="AX1112" s="9"/>
      <c r="AY1112" s="12"/>
      <c r="AZ1112" s="10"/>
      <c r="BA1112" s="9"/>
      <c r="BB1112" s="10"/>
      <c r="BC1112" s="9"/>
      <c r="BD1112" s="9"/>
      <c r="BE1112" s="9"/>
      <c r="BF1112" s="9"/>
    </row>
    <row r="1113" spans="1:58" x14ac:dyDescent="0.25">
      <c r="A1113" s="9" t="s">
        <v>84</v>
      </c>
      <c r="B1113" s="9" t="s">
        <v>85</v>
      </c>
      <c r="C1113" s="9" t="s">
        <v>1486</v>
      </c>
      <c r="D1113" s="10">
        <v>45910</v>
      </c>
      <c r="E1113" s="10">
        <v>45910</v>
      </c>
      <c r="F1113" s="10">
        <v>45930</v>
      </c>
      <c r="G1113" s="9">
        <v>3786962</v>
      </c>
      <c r="H1113" s="9" t="str">
        <f t="shared" si="104"/>
        <v>Closed</v>
      </c>
      <c r="I1113" s="9" t="str">
        <f t="shared" si="105"/>
        <v>All dates received</v>
      </c>
      <c r="J1113" s="9" t="s">
        <v>1487</v>
      </c>
      <c r="K1113" s="9" t="s">
        <v>2381</v>
      </c>
      <c r="L1113" s="11">
        <v>30</v>
      </c>
      <c r="M1113" s="9" t="s">
        <v>2382</v>
      </c>
      <c r="N1113" s="9"/>
      <c r="O1113" s="9"/>
      <c r="P1113" s="9"/>
      <c r="Q1113" s="11">
        <v>162.19999999999999</v>
      </c>
      <c r="R1113" s="9" t="s">
        <v>195</v>
      </c>
      <c r="S1113" s="9" t="s">
        <v>183</v>
      </c>
      <c r="T1113" s="12">
        <f>IF($H1113="Cancelled","",IFERROR(((Q1113+INDEX(Variables!$B$6:$D$6,IFERROR(MATCH(IF($B1113="Robusta","Robusta",(IF($B1113="","Arabica",$B1113))&amp;" - "&amp;(IF($C1113="","Commercial",$C1113))),Variables!$B$1:$D$1,0),1)))*22.0462)*(L1113/16.67),""))</f>
        <v>17972.876904619072</v>
      </c>
      <c r="U1113" s="10"/>
      <c r="V1113" s="9" t="s">
        <v>195</v>
      </c>
      <c r="W1113" s="10">
        <v>45889</v>
      </c>
      <c r="X1113" s="9" t="str">
        <f t="shared" si="102"/>
        <v>Approved</v>
      </c>
      <c r="Y1113" s="10">
        <v>45916</v>
      </c>
      <c r="Z1113" s="10">
        <f>IF($H1113="Cancelled","",IFERROR(IF(F1113="","",F1113-Variables!$B$13),""))</f>
        <v>45915</v>
      </c>
      <c r="AA1113" s="11">
        <f>IF($H1113="Cancelled","",IFERROR(IF(W1113="","",(AVERAGE(E1113:F1113)-W1113)-Variables!$B$14),""))</f>
        <v>1</v>
      </c>
      <c r="AB1113" s="10">
        <v>45925</v>
      </c>
      <c r="AC1113" s="11">
        <f>IF($H1113="Cancelled","",IFERROR(IF(AB1113="","",IF(AND(W1113="",Y1113=""),"",IF(Y1113&gt;W1113,Y1113+Variables!$B$15+Variables!$B$16+Variables!$B$17-AB1113,W1113+Variables!$B$16+Variables!$B$17-AB1113))),""))</f>
        <v>6</v>
      </c>
      <c r="AD1113" s="9" t="s">
        <v>163</v>
      </c>
      <c r="AE1113" s="9" t="s">
        <v>598</v>
      </c>
      <c r="AF1113" s="10"/>
      <c r="AG1113" s="10"/>
      <c r="AH1113" s="9"/>
      <c r="AI1113" s="9">
        <v>259551192</v>
      </c>
      <c r="AJ1113" s="9" t="s">
        <v>2366</v>
      </c>
      <c r="AK1113" s="10">
        <v>45933</v>
      </c>
      <c r="AL1113" s="10">
        <v>45936</v>
      </c>
      <c r="AM1113" s="10">
        <v>45936</v>
      </c>
      <c r="AN1113" s="9" t="s">
        <v>1492</v>
      </c>
      <c r="AO1113" s="9"/>
      <c r="AP1113" s="11">
        <f>IF($H1113="Cancelled","",IFERROR(IF(OR(AK1113="",AB1113=""),"",(AB1113+Variables!$B$18-AK1113)),""))</f>
        <v>-1</v>
      </c>
      <c r="AQ1113" s="11">
        <f>IF($H1113="Cancelled","",IFERROR(IF(OR(AM1113="",AK1113=""),"",(AK1113+Variables!$B$19)-AM1113),""))</f>
        <v>2</v>
      </c>
      <c r="AR1113" s="12">
        <f>IF($H1113="Cancelled","",IFERROR(T1113*INDEX(Variables!$B$7:$D$7,IFERROR(MATCH(IF($B1113="Robusta","Robusta",(IF($B1113="","Arabica",$B1113))&amp;" - "&amp;(IF($C1113="","Commercial",$C1113))),Variables!$B$1:$D$1,0),1))*(AQ1113/365),""))</f>
        <v>6.3503048939124822</v>
      </c>
      <c r="AS1113" s="12">
        <f>IF($H1113="Cancelled","",IFERROR((T1113*INDEX(Variables!$B$7:$D$7,IFERROR(MATCH(IF($B1113="Robusta","Robusta",(IF($B1113="","Arabica",$B1113))&amp;" - "&amp;(IF($C1113="","Commercial",$C1113))),Variables!$B$1:$D$1,0),1))*IFERROR(IF(W1113="","",(AVERAGE(E1113:F1113)-W1113)-Variables!$B$14),"")/365)+(L1113/16.67*INDEX(Variables!$B$8:$D$8,IFERROR(MATCH(IF($B1113="Robusta","Robusta",(IF($B1113="","Arabica",$B1113))&amp;" - "&amp;(IF($C1113="","Commercial",$C1113))),Variables!$B$1:$D$1,0),1))*IFERROR(IF(W1113="","",(AVERAGE(E1113:F1113)-W1113)-Variables!$B$14),""))+(T1113*INDEX(Variables!$B$9:$D$9,IFERROR(MATCH(IF($B1113="Robusta","Robusta",(IF($B1113="","Arabica",$B1113))&amp;" - "&amp;(IF($C1113="","Commercial",$C1113))),Variables!$B$1:$D$1,0),1))*IFERROR(IF(W1113="","",(AVERAGE(E1113:F1113)-W1113)-Variables!$B$14),"")/365),""))</f>
        <v>4.7160862896159941</v>
      </c>
      <c r="AT1113" s="12">
        <f>IF($H1113="Cancelled","",IFERROR((T1113*INDEX(Variables!$B$7:$D$7,IFERROR(MATCH(IF($B1113="Robusta","Robusta",(IF($B1113="","Arabica",$B1113))&amp;" - "&amp;(IF($C1113="","Commercial",$C1113))),Variables!$B$1:$D$1,0),1))*AC1113/365)+(L1113/16.67*INDEX(Variables!$B$8:$D$8,IFERROR(MATCH(IF($B1113="Robusta","Robusta",(IF($B1113="","Arabica",$B1113))&amp;" - "&amp;(IF($C1113="","Commercial",$C1113))),Variables!$B$1:$D$1,0),1))*AC1113)+(T1113*INDEX(Variables!$B$9:$D$9,IFERROR(MATCH(IF($B1113="Robusta","Robusta",(IF($B1113="","Arabica",$B1113))&amp;" - "&amp;(IF($C1113="","Commercial",$C1113))),Variables!$B$1:$D$1,0),1))*AC1113/365),""))</f>
        <v>28.296517737695968</v>
      </c>
      <c r="AU1113" s="12">
        <f>IF($H1113="Cancelled","",IFERROR((T1113*INDEX(Variables!$B$7:$D$7,IFERROR(MATCH(IF($B1113="Robusta","Robusta",(IF($B1113="","Arabica",$B1113))&amp;" - "&amp;(IF($C1113="","Commercial",$C1113))),Variables!$B$1:$D$1,0),1))*AP1113/365)+(L1113/16.67*INDEX(Variables!$B$8:$D$8,IFERROR(MATCH(IF($B1113="Robusta","Robusta",(IF($B1113="","Arabica",$B1113))&amp;" - "&amp;(IF($C1113="","Commercial",$C1113))),Variables!$B$1:$D$1,0),1))*AP1113)+(T1113*INDEX(Variables!$B$9:$D$9,IFERROR(MATCH(IF($B1113="Robusta","Robusta",(IF($B1113="","Arabica",$B1113))&amp;" - "&amp;(IF($C1113="","Commercial",$C1113))),Variables!$B$1:$D$1,0),1))*AP1113/365),""))</f>
        <v>-4.7160862896159941</v>
      </c>
      <c r="AV1113" s="11">
        <f t="shared" si="106"/>
        <v>-3</v>
      </c>
      <c r="AW1113" s="12">
        <f>IF($H1113="Cancelled","",IFERROR(IF(AV1113="","",(T1113*INDEX(Variables!$B$7:$D$7,IFERROR(MATCH(IF($B1113="Robusta","Robusta",(IF($B1113="","Arabica",$B1113))&amp;" - "&amp;(IF($C1113="","Commercial",$C1113))),Variables!$B$1:$D$1,0),1))*(AV1113/365))+(T1113*INDEX(Variables!$B$9:$D$9,IFERROR(MATCH(IF($B1113="Robusta","Robusta",(IF($B1113="","Arabica",$B1113))&amp;" - "&amp;(IF($C1113="","Commercial",$C1113))),Variables!$B$1:$D$1,0),1))*(AV1113/365))+(INDEX(Variables!$B$8:$D$8,IFERROR(MATCH(IF($B1113="Robusta","Robusta",(IF($B1113="","Arabica",$B1113))&amp;" - "&amp;(IF($C1113="","Commercial",$C1113))),Variables!$B$1:$D$1,0),1))*L1113/16.67)),""))</f>
        <v>-8.1482588688479822</v>
      </c>
      <c r="AX1113" s="9"/>
      <c r="AY1113" s="12"/>
      <c r="AZ1113" s="10"/>
      <c r="BA1113" s="9"/>
      <c r="BB1113" s="10"/>
      <c r="BC1113" s="9"/>
      <c r="BD1113" s="9"/>
      <c r="BE1113" s="9"/>
      <c r="BF1113" s="9"/>
    </row>
    <row r="1114" spans="1:58" x14ac:dyDescent="0.25">
      <c r="A1114" s="9" t="s">
        <v>84</v>
      </c>
      <c r="B1114" s="9" t="s">
        <v>85</v>
      </c>
      <c r="C1114" s="9" t="s">
        <v>1486</v>
      </c>
      <c r="D1114" s="10">
        <v>45989</v>
      </c>
      <c r="E1114" s="10">
        <v>45992</v>
      </c>
      <c r="F1114" s="10">
        <v>46022</v>
      </c>
      <c r="G1114" s="9">
        <v>3787015</v>
      </c>
      <c r="H1114" s="9" t="str">
        <f t="shared" si="104"/>
        <v>Closed</v>
      </c>
      <c r="I1114" s="9" t="str">
        <f t="shared" si="105"/>
        <v>All dates received</v>
      </c>
      <c r="J1114" s="9" t="s">
        <v>1487</v>
      </c>
      <c r="K1114" s="9" t="s">
        <v>2383</v>
      </c>
      <c r="L1114" s="11">
        <v>40</v>
      </c>
      <c r="M1114" s="9" t="s">
        <v>2384</v>
      </c>
      <c r="N1114" s="9"/>
      <c r="O1114" s="9"/>
      <c r="P1114" s="9"/>
      <c r="Q1114" s="11">
        <v>149</v>
      </c>
      <c r="R1114" s="9" t="s">
        <v>195</v>
      </c>
      <c r="S1114" s="9" t="s">
        <v>183</v>
      </c>
      <c r="T1114" s="12">
        <f>IF($H1114="Cancelled","",IFERROR(((Q1114+INDEX(Variables!$B$6:$D$6,IFERROR(MATCH(IF($B1114="Robusta","Robusta",(IF($B1114="","Arabica",$B1114))&amp;" - "&amp;(IF($C1114="","Commercial",$C1114))),Variables!$B$1:$D$1,0),1)))*22.0462)*(L1114/16.67),""))</f>
        <v>23265.551913617277</v>
      </c>
      <c r="U1114" s="10"/>
      <c r="V1114" s="9" t="s">
        <v>195</v>
      </c>
      <c r="W1114" s="10">
        <v>45889</v>
      </c>
      <c r="X1114" s="9" t="str">
        <f t="shared" si="102"/>
        <v>Approved</v>
      </c>
      <c r="Y1114" s="10">
        <v>45991</v>
      </c>
      <c r="Z1114" s="10">
        <f>IF($H1114="Cancelled","",IFERROR(IF(F1114="","",F1114-Variables!$B$13),""))</f>
        <v>46007</v>
      </c>
      <c r="AA1114" s="11">
        <f>IF($H1114="Cancelled","",IFERROR(IF(W1114="","",(AVERAGE(E1114:F1114)-W1114)-Variables!$B$14),""))</f>
        <v>88</v>
      </c>
      <c r="AB1114" s="10">
        <v>46006</v>
      </c>
      <c r="AC1114" s="11">
        <f>IF($H1114="Cancelled","",IFERROR(IF(AB1114="","",IF(AND(W1114="",Y1114=""),"",IF(Y1114&gt;W1114,Y1114+Variables!$B$15+Variables!$B$16+Variables!$B$17-AB1114,W1114+Variables!$B$16+Variables!$B$17-AB1114))),""))</f>
        <v>0</v>
      </c>
      <c r="AD1114" s="9" t="s">
        <v>884</v>
      </c>
      <c r="AE1114" s="9" t="s">
        <v>1331</v>
      </c>
      <c r="AF1114" s="10"/>
      <c r="AG1114" s="10"/>
      <c r="AH1114" s="9"/>
      <c r="AI1114" s="9" t="s">
        <v>2385</v>
      </c>
      <c r="AJ1114" s="9" t="s">
        <v>2386</v>
      </c>
      <c r="AK1114" s="10">
        <v>46019</v>
      </c>
      <c r="AL1114" s="10">
        <v>46030</v>
      </c>
      <c r="AM1114" s="10">
        <v>46045</v>
      </c>
      <c r="AN1114" s="9" t="s">
        <v>1492</v>
      </c>
      <c r="AO1114" s="9"/>
      <c r="AP1114" s="11">
        <f>IF($H1114="Cancelled","",IFERROR(IF(OR(AK1114="",AB1114=""),"",(AB1114+Variables!$B$18-AK1114)),""))</f>
        <v>-6</v>
      </c>
      <c r="AQ1114" s="11">
        <f>IF($H1114="Cancelled","",IFERROR(IF(OR(AM1114="",AK1114=""),"",(AK1114+Variables!$B$19)-AM1114),""))</f>
        <v>-21</v>
      </c>
      <c r="AR1114" s="12">
        <f>IF($H1114="Cancelled","",IFERROR(T1114*INDEX(Variables!$B$7:$D$7,IFERROR(MATCH(IF($B1114="Robusta","Robusta",(IF($B1114="","Arabica",$B1114))&amp;" - "&amp;(IF($C1114="","Commercial",$C1114))),Variables!$B$1:$D$1,0),1))*(AQ1114/365),""))</f>
        <v>-86.313680558052852</v>
      </c>
      <c r="AS1114" s="12">
        <f>IF($H1114="Cancelled","",IFERROR((T1114*INDEX(Variables!$B$7:$D$7,IFERROR(MATCH(IF($B1114="Robusta","Robusta",(IF($B1114="","Arabica",$B1114))&amp;" - "&amp;(IF($C1114="","Commercial",$C1114))),Variables!$B$1:$D$1,0),1))*IFERROR(IF(W1114="","",(AVERAGE(E1114:F1114)-W1114)-Variables!$B$14),"")/365)+(L1114/16.67*INDEX(Variables!$B$8:$D$8,IFERROR(MATCH(IF($B1114="Robusta","Robusta",(IF($B1114="","Arabica",$B1114))&amp;" - "&amp;(IF($C1114="","Commercial",$C1114))),Variables!$B$1:$D$1,0),1))*IFERROR(IF(W1114="","",(AVERAGE(E1114:F1114)-W1114)-Variables!$B$14),""))+(T1114*INDEX(Variables!$B$9:$D$9,IFERROR(MATCH(IF($B1114="Robusta","Robusta",(IF($B1114="","Arabica",$B1114))&amp;" - "&amp;(IF($C1114="","Commercial",$C1114))),Variables!$B$1:$D$1,0),1))*IFERROR(IF(W1114="","",(AVERAGE(E1114:F1114)-W1114)-Variables!$B$14),"")/365),""))</f>
        <v>542.35837532077721</v>
      </c>
      <c r="AT1114" s="12">
        <f>IF($H1114="Cancelled","",IFERROR((T1114*INDEX(Variables!$B$7:$D$7,IFERROR(MATCH(IF($B1114="Robusta","Robusta",(IF($B1114="","Arabica",$B1114))&amp;" - "&amp;(IF($C1114="","Commercial",$C1114))),Variables!$B$1:$D$1,0),1))*AC1114/365)+(L1114/16.67*INDEX(Variables!$B$8:$D$8,IFERROR(MATCH(IF($B1114="Robusta","Robusta",(IF($B1114="","Arabica",$B1114))&amp;" - "&amp;(IF($C1114="","Commercial",$C1114))),Variables!$B$1:$D$1,0),1))*AC1114)+(T1114*INDEX(Variables!$B$9:$D$9,IFERROR(MATCH(IF($B1114="Robusta","Robusta",(IF($B1114="","Arabica",$B1114))&amp;" - "&amp;(IF($C1114="","Commercial",$C1114))),Variables!$B$1:$D$1,0),1))*AC1114/365),""))</f>
        <v>0</v>
      </c>
      <c r="AU1114" s="12">
        <f>IF($H1114="Cancelled","",IFERROR((T1114*INDEX(Variables!$B$7:$D$7,IFERROR(MATCH(IF($B1114="Robusta","Robusta",(IF($B1114="","Arabica",$B1114))&amp;" - "&amp;(IF($C1114="","Commercial",$C1114))),Variables!$B$1:$D$1,0),1))*AP1114/365)+(L1114/16.67*INDEX(Variables!$B$8:$D$8,IFERROR(MATCH(IF($B1114="Robusta","Robusta",(IF($B1114="","Arabica",$B1114))&amp;" - "&amp;(IF($C1114="","Commercial",$C1114))),Variables!$B$1:$D$1,0),1))*AP1114)+(T1114*INDEX(Variables!$B$9:$D$9,IFERROR(MATCH(IF($B1114="Robusta","Robusta",(IF($B1114="","Arabica",$B1114))&amp;" - "&amp;(IF($C1114="","Commercial",$C1114))),Variables!$B$1:$D$1,0),1))*AP1114/365),""))</f>
        <v>-36.978980135507534</v>
      </c>
      <c r="AV1114" s="11">
        <f t="shared" si="106"/>
        <v>3</v>
      </c>
      <c r="AW1114" s="12">
        <f>IF($H1114="Cancelled","",IFERROR(IF(AV1114="","",(T1114*INDEX(Variables!$B$7:$D$7,IFERROR(MATCH(IF($B1114="Robusta","Robusta",(IF($B1114="","Arabica",$B1114))&amp;" - "&amp;(IF($C1114="","Commercial",$C1114))),Variables!$B$1:$D$1,0),1))*(AV1114/365))+(T1114*INDEX(Variables!$B$9:$D$9,IFERROR(MATCH(IF($B1114="Robusta","Robusta",(IF($B1114="","Arabica",$B1114))&amp;" - "&amp;(IF($C1114="","Commercial",$C1114))),Variables!$B$1:$D$1,0),1))*(AV1114/365))+(INDEX(Variables!$B$8:$D$8,IFERROR(MATCH(IF($B1114="Robusta","Robusta",(IF($B1114="","Arabica",$B1114))&amp;" - "&amp;(IF($C1114="","Commercial",$C1114))),Variables!$B$1:$D$1,0),1))*L1114/16.67)),""))</f>
        <v>14.489490067753769</v>
      </c>
      <c r="AX1114" s="9"/>
      <c r="AY1114" s="12"/>
      <c r="AZ1114" s="10"/>
      <c r="BA1114" s="9"/>
      <c r="BB1114" s="10"/>
      <c r="BC1114" s="9"/>
      <c r="BD1114" s="9"/>
      <c r="BE1114" s="9"/>
      <c r="BF1114" s="9"/>
    </row>
    <row r="1115" spans="1:58" x14ac:dyDescent="0.25">
      <c r="A1115" s="9" t="s">
        <v>84</v>
      </c>
      <c r="B1115" s="9" t="s">
        <v>85</v>
      </c>
      <c r="C1115" s="9" t="s">
        <v>1486</v>
      </c>
      <c r="D1115" s="10">
        <v>45989</v>
      </c>
      <c r="E1115" s="10">
        <v>45992</v>
      </c>
      <c r="F1115" s="10">
        <v>46022</v>
      </c>
      <c r="G1115" s="9">
        <v>3787016</v>
      </c>
      <c r="H1115" s="9" t="str">
        <f t="shared" si="104"/>
        <v>Closed</v>
      </c>
      <c r="I1115" s="9" t="str">
        <f t="shared" si="105"/>
        <v>All dates received</v>
      </c>
      <c r="J1115" s="9" t="s">
        <v>1487</v>
      </c>
      <c r="K1115" s="9" t="s">
        <v>2387</v>
      </c>
      <c r="L1115" s="11">
        <v>57</v>
      </c>
      <c r="M1115" s="9" t="s">
        <v>2388</v>
      </c>
      <c r="N1115" s="9"/>
      <c r="O1115" s="9"/>
      <c r="P1115" s="9"/>
      <c r="Q1115" s="11">
        <v>144</v>
      </c>
      <c r="R1115" s="9" t="s">
        <v>195</v>
      </c>
      <c r="S1115" s="9" t="s">
        <v>183</v>
      </c>
      <c r="T1115" s="12">
        <f>IF($H1115="Cancelled","",IFERROR(((Q1115+INDEX(Variables!$B$6:$D$6,IFERROR(MATCH(IF($B1115="Robusta","Robusta",(IF($B1115="","Arabica",$B1115))&amp;" - "&amp;(IF($C1115="","Commercial",$C1115))),Variables!$B$1:$D$1,0),1)))*22.0462)*(L1115/16.67),""))</f>
        <v>32776.496839832027</v>
      </c>
      <c r="U1115" s="10"/>
      <c r="V1115" s="9" t="s">
        <v>195</v>
      </c>
      <c r="W1115" s="10">
        <v>45889</v>
      </c>
      <c r="X1115" s="9" t="str">
        <f t="shared" si="102"/>
        <v>Approved</v>
      </c>
      <c r="Y1115" s="10">
        <v>45991</v>
      </c>
      <c r="Z1115" s="10">
        <f>IF($H1115="Cancelled","",IFERROR(IF(F1115="","",F1115-Variables!$B$13),""))</f>
        <v>46007</v>
      </c>
      <c r="AA1115" s="11">
        <f>IF($H1115="Cancelled","",IFERROR(IF(W1115="","",(AVERAGE(E1115:F1115)-W1115)-Variables!$B$14),""))</f>
        <v>88</v>
      </c>
      <c r="AB1115" s="10">
        <v>46006</v>
      </c>
      <c r="AC1115" s="11">
        <f>IF($H1115="Cancelled","",IFERROR(IF(AB1115="","",IF(AND(W1115="",Y1115=""),"",IF(Y1115&gt;W1115,Y1115+Variables!$B$15+Variables!$B$16+Variables!$B$17-AB1115,W1115+Variables!$B$16+Variables!$B$17-AB1115))),""))</f>
        <v>0</v>
      </c>
      <c r="AD1115" s="9" t="s">
        <v>884</v>
      </c>
      <c r="AE1115" s="9" t="s">
        <v>1331</v>
      </c>
      <c r="AF1115" s="10"/>
      <c r="AG1115" s="10"/>
      <c r="AH1115" s="9"/>
      <c r="AI1115" s="9" t="s">
        <v>2385</v>
      </c>
      <c r="AJ1115" s="9" t="s">
        <v>2386</v>
      </c>
      <c r="AK1115" s="10">
        <v>46019</v>
      </c>
      <c r="AL1115" s="10">
        <v>46030</v>
      </c>
      <c r="AM1115" s="10">
        <v>46045</v>
      </c>
      <c r="AN1115" s="9" t="s">
        <v>1492</v>
      </c>
      <c r="AO1115" s="9"/>
      <c r="AP1115" s="11">
        <f>IF($H1115="Cancelled","",IFERROR(IF(OR(AK1115="",AB1115=""),"",(AB1115+Variables!$B$18-AK1115)),""))</f>
        <v>-6</v>
      </c>
      <c r="AQ1115" s="11">
        <f>IF($H1115="Cancelled","",IFERROR(IF(OR(AM1115="",AK1115=""),"",(AK1115+Variables!$B$19)-AM1115),""))</f>
        <v>-21</v>
      </c>
      <c r="AR1115" s="12">
        <f>IF($H1115="Cancelled","",IFERROR(T1115*INDEX(Variables!$B$7:$D$7,IFERROR(MATCH(IF($B1115="Robusta","Robusta",(IF($B1115="","Arabica",$B1115))&amp;" - "&amp;(IF($C1115="","Commercial",$C1115))),Variables!$B$1:$D$1,0),1))*(AQ1115/365),""))</f>
        <v>-121.59866606858562</v>
      </c>
      <c r="AS1115" s="12">
        <f>IF($H1115="Cancelled","",IFERROR((T1115*INDEX(Variables!$B$7:$D$7,IFERROR(MATCH(IF($B1115="Robusta","Robusta",(IF($B1115="","Arabica",$B1115))&amp;" - "&amp;(IF($C1115="","Commercial",$C1115))),Variables!$B$1:$D$1,0),1))*IFERROR(IF(W1115="","",(AVERAGE(E1115:F1115)-W1115)-Variables!$B$14),"")/365)+(L1115/16.67*INDEX(Variables!$B$8:$D$8,IFERROR(MATCH(IF($B1115="Robusta","Robusta",(IF($B1115="","Arabica",$B1115))&amp;" - "&amp;(IF($C1115="","Commercial",$C1115))),Variables!$B$1:$D$1,0),1))*IFERROR(IF(W1115="","",(AVERAGE(E1115:F1115)-W1115)-Variables!$B$14),""))+(T1115*INDEX(Variables!$B$9:$D$9,IFERROR(MATCH(IF($B1115="Robusta","Robusta",(IF($B1115="","Arabica",$B1115))&amp;" - "&amp;(IF($C1115="","Commercial",$C1115))),Variables!$B$1:$D$1,0),1))*IFERROR(IF(W1115="","",(AVERAGE(E1115:F1115)-W1115)-Variables!$B$14),"")/365),""))</f>
        <v>766.92547922919573</v>
      </c>
      <c r="AT1115" s="12">
        <f>IF($H1115="Cancelled","",IFERROR((T1115*INDEX(Variables!$B$7:$D$7,IFERROR(MATCH(IF($B1115="Robusta","Robusta",(IF($B1115="","Arabica",$B1115))&amp;" - "&amp;(IF($C1115="","Commercial",$C1115))),Variables!$B$1:$D$1,0),1))*AC1115/365)+(L1115/16.67*INDEX(Variables!$B$8:$D$8,IFERROR(MATCH(IF($B1115="Robusta","Robusta",(IF($B1115="","Arabica",$B1115))&amp;" - "&amp;(IF($C1115="","Commercial",$C1115))),Variables!$B$1:$D$1,0),1))*AC1115)+(T1115*INDEX(Variables!$B$9:$D$9,IFERROR(MATCH(IF($B1115="Robusta","Robusta",(IF($B1115="","Arabica",$B1115))&amp;" - "&amp;(IF($C1115="","Commercial",$C1115))),Variables!$B$1:$D$1,0),1))*AC1115/365),""))</f>
        <v>0</v>
      </c>
      <c r="AU1115" s="12">
        <f>IF($H1115="Cancelled","",IFERROR((T1115*INDEX(Variables!$B$7:$D$7,IFERROR(MATCH(IF($B1115="Robusta","Robusta",(IF($B1115="","Arabica",$B1115))&amp;" - "&amp;(IF($C1115="","Commercial",$C1115))),Variables!$B$1:$D$1,0),1))*AP1115/365)+(L1115/16.67*INDEX(Variables!$B$8:$D$8,IFERROR(MATCH(IF($B1115="Robusta","Robusta",(IF($B1115="","Arabica",$B1115))&amp;" - "&amp;(IF($C1115="","Commercial",$C1115))),Variables!$B$1:$D$1,0),1))*AP1115)+(T1115*INDEX(Variables!$B$9:$D$9,IFERROR(MATCH(IF($B1115="Robusta","Robusta",(IF($B1115="","Arabica",$B1115))&amp;" - "&amp;(IF($C1115="","Commercial",$C1115))),Variables!$B$1:$D$1,0),1))*AP1115/365),""))</f>
        <v>-52.290373583808808</v>
      </c>
      <c r="AV1115" s="11">
        <f t="shared" si="106"/>
        <v>3</v>
      </c>
      <c r="AW1115" s="12">
        <f>IF($H1115="Cancelled","",IFERROR(IF(AV1115="","",(T1115*INDEX(Variables!$B$7:$D$7,IFERROR(MATCH(IF($B1115="Robusta","Robusta",(IF($B1115="","Arabica",$B1115))&amp;" - "&amp;(IF($C1115="","Commercial",$C1115))),Variables!$B$1:$D$1,0),1))*(AV1115/365))+(T1115*INDEX(Variables!$B$9:$D$9,IFERROR(MATCH(IF($B1115="Robusta","Robusta",(IF($B1115="","Arabica",$B1115))&amp;" - "&amp;(IF($C1115="","Commercial",$C1115))),Variables!$B$1:$D$1,0),1))*(AV1115/365))+(INDEX(Variables!$B$8:$D$8,IFERROR(MATCH(IF($B1115="Robusta","Robusta",(IF($B1115="","Arabica",$B1115))&amp;" - "&amp;(IF($C1115="","Commercial",$C1115))),Variables!$B$1:$D$1,0),1))*L1115/16.67)),""))</f>
        <v>20.445186791904405</v>
      </c>
      <c r="AX1115" s="9"/>
      <c r="AY1115" s="12"/>
      <c r="AZ1115" s="10"/>
      <c r="BA1115" s="9"/>
      <c r="BB1115" s="10"/>
      <c r="BC1115" s="9"/>
      <c r="BD1115" s="9"/>
      <c r="BE1115" s="9"/>
      <c r="BF1115" s="9"/>
    </row>
    <row r="1116" spans="1:58" x14ac:dyDescent="0.25">
      <c r="A1116" s="9" t="s">
        <v>84</v>
      </c>
      <c r="B1116" s="9" t="s">
        <v>85</v>
      </c>
      <c r="C1116" s="9" t="s">
        <v>1486</v>
      </c>
      <c r="D1116" s="10">
        <v>45989</v>
      </c>
      <c r="E1116" s="10">
        <v>45992</v>
      </c>
      <c r="F1116" s="10">
        <v>46022</v>
      </c>
      <c r="G1116" s="9">
        <v>3787013</v>
      </c>
      <c r="H1116" s="9" t="str">
        <f t="shared" si="104"/>
        <v>Cancelled</v>
      </c>
      <c r="I1116" s="9" t="str">
        <f t="shared" si="105"/>
        <v>No sailing date and No shipping advice sent and No docs dispatch date</v>
      </c>
      <c r="J1116" s="9" t="s">
        <v>1487</v>
      </c>
      <c r="K1116" s="9"/>
      <c r="L1116" s="11">
        <v>21</v>
      </c>
      <c r="M1116" s="9" t="s">
        <v>2389</v>
      </c>
      <c r="N1116" s="9"/>
      <c r="O1116" s="9"/>
      <c r="P1116" s="9"/>
      <c r="Q1116" s="11">
        <v>145</v>
      </c>
      <c r="R1116" s="9" t="s">
        <v>195</v>
      </c>
      <c r="S1116" s="9" t="s">
        <v>183</v>
      </c>
      <c r="T1116" s="12" t="str">
        <f>IF($H1116="Cancelled","",IFERROR(((Q1116+INDEX(Variables!$B$6:$D$6,IFERROR(MATCH(IF($B1116="Robusta","Robusta",(IF($B1116="","Arabica",$B1116))&amp;" - "&amp;(IF($C1116="","Commercial",$C1116))),Variables!$B$1:$D$1,0),1)))*22.0462)*(L1116/16.67),""))</f>
        <v/>
      </c>
      <c r="U1116" s="10"/>
      <c r="V1116" s="9" t="s">
        <v>195</v>
      </c>
      <c r="W1116" s="10"/>
      <c r="X1116" s="9" t="s">
        <v>195</v>
      </c>
      <c r="Y1116" s="10"/>
      <c r="Z1116" s="10" t="str">
        <f>IF($H1116="Cancelled","",IFERROR(IF(F1116="","",F1116-Variables!$B$13),""))</f>
        <v/>
      </c>
      <c r="AA1116" s="11" t="str">
        <f>IF($H1116="Cancelled","",IFERROR(IF(W1116="","",(AVERAGE(E1116:F1116)-W1116)-Variables!$B$14),""))</f>
        <v/>
      </c>
      <c r="AB1116" s="10"/>
      <c r="AC1116" s="11" t="str">
        <f>IF($H1116="Cancelled","",IFERROR(IF(AB1116="","",IF(AND(W1116="",Y1116=""),"",IF(Y1116&gt;W1116,Y1116+Variables!$B$15+Variables!$B$16+Variables!$B$17-AB1116,W1116+Variables!$B$16+Variables!$B$17-AB1116))),""))</f>
        <v/>
      </c>
      <c r="AD1116" s="9" t="s">
        <v>884</v>
      </c>
      <c r="AE1116" s="9" t="s">
        <v>1331</v>
      </c>
      <c r="AF1116" s="10"/>
      <c r="AG1116" s="10"/>
      <c r="AH1116" s="9"/>
      <c r="AI1116" s="9" t="s">
        <v>2385</v>
      </c>
      <c r="AJ1116" s="9"/>
      <c r="AK1116" s="10"/>
      <c r="AL1116" s="10"/>
      <c r="AM1116" s="10"/>
      <c r="AN1116" s="9" t="s">
        <v>2032</v>
      </c>
      <c r="AO1116" s="9"/>
      <c r="AP1116" s="11" t="str">
        <f>IF($H1116="Cancelled","",IFERROR(IF(OR(AK1116="",AB1116=""),"",(AB1116+Variables!$B$18-AK1116)),""))</f>
        <v/>
      </c>
      <c r="AQ1116" s="11" t="str">
        <f>IF($H1116="Cancelled","",IFERROR(IF(OR(AM1116="",AK1116=""),"",(AK1116+Variables!$B$19)-AM1116),""))</f>
        <v/>
      </c>
      <c r="AR1116" s="12" t="str">
        <f>IF($H1116="Cancelled","",IFERROR(T1116*INDEX(Variables!$B$7:$D$7,IFERROR(MATCH(IF($B1116="Robusta","Robusta",(IF($B1116="","Arabica",$B1116))&amp;" - "&amp;(IF($C1116="","Commercial",$C1116))),Variables!$B$1:$D$1,0),1))*(AQ1116/365),""))</f>
        <v/>
      </c>
      <c r="AS1116" s="12" t="str">
        <f>IF($H1116="Cancelled","",IFERROR((T1116*INDEX(Variables!$B$7:$D$7,IFERROR(MATCH(IF($B1116="Robusta","Robusta",(IF($B1116="","Arabica",$B1116))&amp;" - "&amp;(IF($C1116="","Commercial",$C1116))),Variables!$B$1:$D$1,0),1))*IFERROR(IF(W1116="","",(AVERAGE(E1116:F1116)-W1116)-Variables!$B$14),"")/365)+(L1116/16.67*INDEX(Variables!$B$8:$D$8,IFERROR(MATCH(IF($B1116="Robusta","Robusta",(IF($B1116="","Arabica",$B1116))&amp;" - "&amp;(IF($C1116="","Commercial",$C1116))),Variables!$B$1:$D$1,0),1))*IFERROR(IF(W1116="","",(AVERAGE(E1116:F1116)-W1116)-Variables!$B$14),""))+(T1116*INDEX(Variables!$B$9:$D$9,IFERROR(MATCH(IF($B1116="Robusta","Robusta",(IF($B1116="","Arabica",$B1116))&amp;" - "&amp;(IF($C1116="","Commercial",$C1116))),Variables!$B$1:$D$1,0),1))*IFERROR(IF(W1116="","",(AVERAGE(E1116:F1116)-W1116)-Variables!$B$14),"")/365),""))</f>
        <v/>
      </c>
      <c r="AT1116" s="12" t="str">
        <f>IF($H1116="Cancelled","",IFERROR((T1116*INDEX(Variables!$B$7:$D$7,IFERROR(MATCH(IF($B1116="Robusta","Robusta",(IF($B1116="","Arabica",$B1116))&amp;" - "&amp;(IF($C1116="","Commercial",$C1116))),Variables!$B$1:$D$1,0),1))*AC1116/365)+(L1116/16.67*INDEX(Variables!$B$8:$D$8,IFERROR(MATCH(IF($B1116="Robusta","Robusta",(IF($B1116="","Arabica",$B1116))&amp;" - "&amp;(IF($C1116="","Commercial",$C1116))),Variables!$B$1:$D$1,0),1))*AC1116)+(T1116*INDEX(Variables!$B$9:$D$9,IFERROR(MATCH(IF($B1116="Robusta","Robusta",(IF($B1116="","Arabica",$B1116))&amp;" - "&amp;(IF($C1116="","Commercial",$C1116))),Variables!$B$1:$D$1,0),1))*AC1116/365),""))</f>
        <v/>
      </c>
      <c r="AU1116" s="12" t="str">
        <f>IF($H1116="Cancelled","",IFERROR((T1116*INDEX(Variables!$B$7:$D$7,IFERROR(MATCH(IF($B1116="Robusta","Robusta",(IF($B1116="","Arabica",$B1116))&amp;" - "&amp;(IF($C1116="","Commercial",$C1116))),Variables!$B$1:$D$1,0),1))*AP1116/365)+(L1116/16.67*INDEX(Variables!$B$8:$D$8,IFERROR(MATCH(IF($B1116="Robusta","Robusta",(IF($B1116="","Arabica",$B1116))&amp;" - "&amp;(IF($C1116="","Commercial",$C1116))),Variables!$B$1:$D$1,0),1))*AP1116)+(T1116*INDEX(Variables!$B$9:$D$9,IFERROR(MATCH(IF($B1116="Robusta","Robusta",(IF($B1116="","Arabica",$B1116))&amp;" - "&amp;(IF($C1116="","Commercial",$C1116))),Variables!$B$1:$D$1,0),1))*AP1116/365),""))</f>
        <v/>
      </c>
      <c r="AV1116" s="11" t="str">
        <f t="shared" si="106"/>
        <v/>
      </c>
      <c r="AW1116" s="12" t="str">
        <f>IF($H1116="Cancelled","",IFERROR(IF(AV1116="","",(T1116*INDEX(Variables!$B$7:$D$7,IFERROR(MATCH(IF($B1116="Robusta","Robusta",(IF($B1116="","Arabica",$B1116))&amp;" - "&amp;(IF($C1116="","Commercial",$C1116))),Variables!$B$1:$D$1,0),1))*(AV1116/365))+(T1116*INDEX(Variables!$B$9:$D$9,IFERROR(MATCH(IF($B1116="Robusta","Robusta",(IF($B1116="","Arabica",$B1116))&amp;" - "&amp;(IF($C1116="","Commercial",$C1116))),Variables!$B$1:$D$1,0),1))*(AV1116/365))+(INDEX(Variables!$B$8:$D$8,IFERROR(MATCH(IF($B1116="Robusta","Robusta",(IF($B1116="","Arabica",$B1116))&amp;" - "&amp;(IF($C1116="","Commercial",$C1116))),Variables!$B$1:$D$1,0),1))*L1116/16.67)),""))</f>
        <v/>
      </c>
      <c r="AX1116" s="9"/>
      <c r="AY1116" s="12"/>
      <c r="AZ1116" s="10"/>
      <c r="BA1116" s="9"/>
      <c r="BB1116" s="10"/>
      <c r="BC1116" s="9"/>
      <c r="BD1116" s="9"/>
      <c r="BE1116" s="9"/>
      <c r="BF1116" s="9"/>
    </row>
    <row r="1117" spans="1:58" x14ac:dyDescent="0.25">
      <c r="A1117" s="9" t="s">
        <v>84</v>
      </c>
      <c r="B1117" s="9" t="s">
        <v>85</v>
      </c>
      <c r="C1117" s="9" t="s">
        <v>1486</v>
      </c>
      <c r="D1117" s="10">
        <v>45989</v>
      </c>
      <c r="E1117" s="10">
        <v>45992</v>
      </c>
      <c r="F1117" s="10">
        <v>46022</v>
      </c>
      <c r="G1117" s="9">
        <v>3787014</v>
      </c>
      <c r="H1117" s="9" t="str">
        <f t="shared" si="104"/>
        <v>Closed</v>
      </c>
      <c r="I1117" s="9" t="str">
        <f t="shared" si="105"/>
        <v>All dates received</v>
      </c>
      <c r="J1117" s="9" t="s">
        <v>1487</v>
      </c>
      <c r="K1117" s="9" t="s">
        <v>2390</v>
      </c>
      <c r="L1117" s="11">
        <v>37</v>
      </c>
      <c r="M1117" s="9" t="s">
        <v>2391</v>
      </c>
      <c r="N1117" s="9"/>
      <c r="O1117" s="9"/>
      <c r="P1117" s="9"/>
      <c r="Q1117" s="11">
        <v>117</v>
      </c>
      <c r="R1117" s="9" t="s">
        <v>195</v>
      </c>
      <c r="S1117" s="9" t="s">
        <v>183</v>
      </c>
      <c r="T1117" s="12">
        <f>IF($H1117="Cancelled","",IFERROR(((Q1117+INDEX(Variables!$B$6:$D$6,IFERROR(MATCH(IF($B1117="Robusta","Robusta",(IF($B1117="","Arabica",$B1117))&amp;" - "&amp;(IF($C1117="","Commercial",$C1117))),Variables!$B$1:$D$1,0),1)))*22.0462)*(L1117/16.67),""))</f>
        <v>19954.786641871622</v>
      </c>
      <c r="U1117" s="10"/>
      <c r="V1117" s="9" t="s">
        <v>195</v>
      </c>
      <c r="W1117" s="10">
        <v>45889</v>
      </c>
      <c r="X1117" s="9" t="str">
        <f>IF(ISNUMBER(W1117),"Approved","")</f>
        <v>Approved</v>
      </c>
      <c r="Y1117" s="10">
        <v>45991</v>
      </c>
      <c r="Z1117" s="10">
        <f>IF($H1117="Cancelled","",IFERROR(IF(F1117="","",F1117-Variables!$B$13),""))</f>
        <v>46007</v>
      </c>
      <c r="AA1117" s="11">
        <f>IF($H1117="Cancelled","",IFERROR(IF(W1117="","",(AVERAGE(E1117:F1117)-W1117)-Variables!$B$14),""))</f>
        <v>88</v>
      </c>
      <c r="AB1117" s="10">
        <v>46006</v>
      </c>
      <c r="AC1117" s="11">
        <f>IF($H1117="Cancelled","",IFERROR(IF(AB1117="","",IF(AND(W1117="",Y1117=""),"",IF(Y1117&gt;W1117,Y1117+Variables!$B$15+Variables!$B$16+Variables!$B$17-AB1117,W1117+Variables!$B$16+Variables!$B$17-AB1117))),""))</f>
        <v>0</v>
      </c>
      <c r="AD1117" s="9" t="s">
        <v>884</v>
      </c>
      <c r="AE1117" s="9" t="s">
        <v>1331</v>
      </c>
      <c r="AF1117" s="10"/>
      <c r="AG1117" s="10"/>
      <c r="AH1117" s="9"/>
      <c r="AI1117" s="9" t="s">
        <v>2385</v>
      </c>
      <c r="AJ1117" s="9" t="s">
        <v>2386</v>
      </c>
      <c r="AK1117" s="10">
        <v>46019</v>
      </c>
      <c r="AL1117" s="10">
        <v>46030</v>
      </c>
      <c r="AM1117" s="10">
        <v>46045</v>
      </c>
      <c r="AN1117" s="9" t="s">
        <v>1492</v>
      </c>
      <c r="AO1117" s="9"/>
      <c r="AP1117" s="11">
        <f>IF($H1117="Cancelled","",IFERROR(IF(OR(AK1117="",AB1117=""),"",(AB1117+Variables!$B$18-AK1117)),""))</f>
        <v>-6</v>
      </c>
      <c r="AQ1117" s="11">
        <f>IF($H1117="Cancelled","",IFERROR(IF(OR(AM1117="",AK1117=""),"",(AK1117+Variables!$B$19)-AM1117),""))</f>
        <v>-21</v>
      </c>
      <c r="AR1117" s="12">
        <f>IF($H1117="Cancelled","",IFERROR(T1117*INDEX(Variables!$B$7:$D$7,IFERROR(MATCH(IF($B1117="Robusta","Robusta",(IF($B1117="","Arabica",$B1117))&amp;" - "&amp;(IF($C1117="","Commercial",$C1117))),Variables!$B$1:$D$1,0),1))*(AQ1117/365),""))</f>
        <v>-74.03095727991338</v>
      </c>
      <c r="AS1117" s="12">
        <f>IF($H1117="Cancelled","",IFERROR((T1117*INDEX(Variables!$B$7:$D$7,IFERROR(MATCH(IF($B1117="Robusta","Robusta",(IF($B1117="","Arabica",$B1117))&amp;" - "&amp;(IF($C1117="","Commercial",$C1117))),Variables!$B$1:$D$1,0),1))*IFERROR(IF(W1117="","",(AVERAGE(E1117:F1117)-W1117)-Variables!$B$14),"")/365)+(L1117/16.67*INDEX(Variables!$B$8:$D$8,IFERROR(MATCH(IF($B1117="Robusta","Robusta",(IF($B1117="","Arabica",$B1117))&amp;" - "&amp;(IF($C1117="","Commercial",$C1117))),Variables!$B$1:$D$1,0),1))*IFERROR(IF(W1117="","",(AVERAGE(E1117:F1117)-W1117)-Variables!$B$14),""))+(T1117*INDEX(Variables!$B$9:$D$9,IFERROR(MATCH(IF($B1117="Robusta","Robusta",(IF($B1117="","Arabica",$B1117))&amp;" - "&amp;(IF($C1117="","Commercial",$C1117))),Variables!$B$1:$D$1,0),1))*IFERROR(IF(W1117="","",(AVERAGE(E1117:F1117)-W1117)-Variables!$B$14),"")/365),""))</f>
        <v>477.02436231611415</v>
      </c>
      <c r="AT1117" s="12">
        <f>IF($H1117="Cancelled","",IFERROR((T1117*INDEX(Variables!$B$7:$D$7,IFERROR(MATCH(IF($B1117="Robusta","Robusta",(IF($B1117="","Arabica",$B1117))&amp;" - "&amp;(IF($C1117="","Commercial",$C1117))),Variables!$B$1:$D$1,0),1))*AC1117/365)+(L1117/16.67*INDEX(Variables!$B$8:$D$8,IFERROR(MATCH(IF($B1117="Robusta","Robusta",(IF($B1117="","Arabica",$B1117))&amp;" - "&amp;(IF($C1117="","Commercial",$C1117))),Variables!$B$1:$D$1,0),1))*AC1117)+(T1117*INDEX(Variables!$B$9:$D$9,IFERROR(MATCH(IF($B1117="Robusta","Robusta",(IF($B1117="","Arabica",$B1117))&amp;" - "&amp;(IF($C1117="","Commercial",$C1117))),Variables!$B$1:$D$1,0),1))*AC1117/365),""))</f>
        <v>0</v>
      </c>
      <c r="AU1117" s="12">
        <f>IF($H1117="Cancelled","",IFERROR((T1117*INDEX(Variables!$B$7:$D$7,IFERROR(MATCH(IF($B1117="Robusta","Robusta",(IF($B1117="","Arabica",$B1117))&amp;" - "&amp;(IF($C1117="","Commercial",$C1117))),Variables!$B$1:$D$1,0),1))*AP1117/365)+(L1117/16.67*INDEX(Variables!$B$8:$D$8,IFERROR(MATCH(IF($B1117="Robusta","Robusta",(IF($B1117="","Arabica",$B1117))&amp;" - "&amp;(IF($C1117="","Commercial",$C1117))),Variables!$B$1:$D$1,0),1))*AP1117)+(T1117*INDEX(Variables!$B$9:$D$9,IFERROR(MATCH(IF($B1117="Robusta","Robusta",(IF($B1117="","Arabica",$B1117))&amp;" - "&amp;(IF($C1117="","Commercial",$C1117))),Variables!$B$1:$D$1,0),1))*AP1117/365),""))</f>
        <v>-32.524388339735047</v>
      </c>
      <c r="AV1117" s="11">
        <f t="shared" si="106"/>
        <v>3</v>
      </c>
      <c r="AW1117" s="12">
        <f>IF($H1117="Cancelled","",IFERROR(IF(AV1117="","",(T1117*INDEX(Variables!$B$7:$D$7,IFERROR(MATCH(IF($B1117="Robusta","Robusta",(IF($B1117="","Arabica",$B1117))&amp;" - "&amp;(IF($C1117="","Commercial",$C1117))),Variables!$B$1:$D$1,0),1))*(AV1117/365))+(T1117*INDEX(Variables!$B$9:$D$9,IFERROR(MATCH(IF($B1117="Robusta","Robusta",(IF($B1117="","Arabica",$B1117))&amp;" - "&amp;(IF($C1117="","Commercial",$C1117))),Variables!$B$1:$D$1,0),1))*(AV1117/365))+(INDEX(Variables!$B$8:$D$8,IFERROR(MATCH(IF($B1117="Robusta","Robusta",(IF($B1117="","Arabica",$B1117))&amp;" - "&amp;(IF($C1117="","Commercial",$C1117))),Variables!$B$1:$D$1,0),1))*L1117/16.67)),""))</f>
        <v>12.562194169867524</v>
      </c>
      <c r="AX1117" s="9"/>
      <c r="AY1117" s="12"/>
      <c r="AZ1117" s="10"/>
      <c r="BA1117" s="9"/>
      <c r="BB1117" s="10"/>
      <c r="BC1117" s="9"/>
      <c r="BD1117" s="9"/>
      <c r="BE1117" s="9"/>
      <c r="BF1117" s="9"/>
    </row>
    <row r="1118" spans="1:58" x14ac:dyDescent="0.25">
      <c r="A1118" s="9" t="s">
        <v>84</v>
      </c>
      <c r="B1118" s="9" t="s">
        <v>85</v>
      </c>
      <c r="C1118" s="9" t="s">
        <v>1486</v>
      </c>
      <c r="D1118" s="10">
        <v>45989</v>
      </c>
      <c r="E1118" s="10">
        <v>45992</v>
      </c>
      <c r="F1118" s="10">
        <v>46022</v>
      </c>
      <c r="G1118" s="9">
        <v>3787009</v>
      </c>
      <c r="H1118" s="9" t="str">
        <f t="shared" si="104"/>
        <v>Closed</v>
      </c>
      <c r="I1118" s="9" t="str">
        <f t="shared" si="105"/>
        <v>All dates received</v>
      </c>
      <c r="J1118" s="9" t="s">
        <v>1487</v>
      </c>
      <c r="K1118" s="9" t="s">
        <v>2392</v>
      </c>
      <c r="L1118" s="11">
        <v>37</v>
      </c>
      <c r="M1118" s="9" t="s">
        <v>2393</v>
      </c>
      <c r="N1118" s="9"/>
      <c r="O1118" s="9"/>
      <c r="P1118" s="9"/>
      <c r="Q1118" s="11">
        <v>130</v>
      </c>
      <c r="R1118" s="9" t="s">
        <v>195</v>
      </c>
      <c r="S1118" s="9" t="s">
        <v>183</v>
      </c>
      <c r="T1118" s="12">
        <f>IF($H1118="Cancelled","",IFERROR(((Q1118+INDEX(Variables!$B$6:$D$6,IFERROR(MATCH(IF($B1118="Robusta","Robusta",(IF($B1118="","Arabica",$B1118))&amp;" - "&amp;(IF($C1118="","Commercial",$C1118))),Variables!$B$1:$D$1,0),1)))*22.0462)*(L1118/16.67),""))</f>
        <v>20590.912748650266</v>
      </c>
      <c r="U1118" s="10"/>
      <c r="V1118" s="9" t="s">
        <v>195</v>
      </c>
      <c r="W1118" s="10">
        <v>45976</v>
      </c>
      <c r="X1118" s="9" t="str">
        <f>IF(ISNUMBER(W1118),"Approved","")</f>
        <v>Approved</v>
      </c>
      <c r="Y1118" s="10">
        <v>45991</v>
      </c>
      <c r="Z1118" s="10">
        <f>IF($H1118="Cancelled","",IFERROR(IF(F1118="","",F1118-Variables!$B$13),""))</f>
        <v>46007</v>
      </c>
      <c r="AA1118" s="11">
        <f>IF($H1118="Cancelled","",IFERROR(IF(W1118="","",(AVERAGE(E1118:F1118)-W1118)-Variables!$B$14),""))</f>
        <v>1</v>
      </c>
      <c r="AB1118" s="10">
        <v>46006</v>
      </c>
      <c r="AC1118" s="11">
        <f>IF($H1118="Cancelled","",IFERROR(IF(AB1118="","",IF(AND(W1118="",Y1118=""),"",IF(Y1118&gt;W1118,Y1118+Variables!$B$15+Variables!$B$16+Variables!$B$17-AB1118,W1118+Variables!$B$16+Variables!$B$17-AB1118))),""))</f>
        <v>0</v>
      </c>
      <c r="AD1118" s="9" t="s">
        <v>884</v>
      </c>
      <c r="AE1118" s="9" t="s">
        <v>1331</v>
      </c>
      <c r="AF1118" s="10"/>
      <c r="AG1118" s="10"/>
      <c r="AH1118" s="9"/>
      <c r="AI1118" s="9" t="s">
        <v>2385</v>
      </c>
      <c r="AJ1118" s="9" t="s">
        <v>2386</v>
      </c>
      <c r="AK1118" s="10">
        <v>46019</v>
      </c>
      <c r="AL1118" s="10">
        <v>46030</v>
      </c>
      <c r="AM1118" s="10">
        <v>46045</v>
      </c>
      <c r="AN1118" s="9" t="s">
        <v>1492</v>
      </c>
      <c r="AO1118" s="9"/>
      <c r="AP1118" s="11">
        <f>IF($H1118="Cancelled","",IFERROR(IF(OR(AK1118="",AB1118=""),"",(AB1118+Variables!$B$18-AK1118)),""))</f>
        <v>-6</v>
      </c>
      <c r="AQ1118" s="11">
        <f>IF($H1118="Cancelled","",IFERROR(IF(OR(AM1118="",AK1118=""),"",(AK1118+Variables!$B$19)-AM1118),""))</f>
        <v>-21</v>
      </c>
      <c r="AR1118" s="12">
        <f>IF($H1118="Cancelled","",IFERROR(T1118*INDEX(Variables!$B$7:$D$7,IFERROR(MATCH(IF($B1118="Robusta","Robusta",(IF($B1118="","Arabica",$B1118))&amp;" - "&amp;(IF($C1118="","Commercial",$C1118))),Variables!$B$1:$D$1,0),1))*(AQ1118/365),""))</f>
        <v>-76.390943657154352</v>
      </c>
      <c r="AS1118" s="12">
        <f>IF($H1118="Cancelled","",IFERROR((T1118*INDEX(Variables!$B$7:$D$7,IFERROR(MATCH(IF($B1118="Robusta","Robusta",(IF($B1118="","Arabica",$B1118))&amp;" - "&amp;(IF($C1118="","Commercial",$C1118))),Variables!$B$1:$D$1,0),1))*IFERROR(IF(W1118="","",(AVERAGE(E1118:F1118)-W1118)-Variables!$B$14),"")/365)+(L1118/16.67*INDEX(Variables!$B$8:$D$8,IFERROR(MATCH(IF($B1118="Robusta","Robusta",(IF($B1118="","Arabica",$B1118))&amp;" - "&amp;(IF($C1118="","Commercial",$C1118))),Variables!$B$1:$D$1,0),1))*IFERROR(IF(W1118="","",(AVERAGE(E1118:F1118)-W1118)-Variables!$B$14),""))+(T1118*INDEX(Variables!$B$9:$D$9,IFERROR(MATCH(IF($B1118="Robusta","Robusta",(IF($B1118="","Arabica",$B1118))&amp;" - "&amp;(IF($C1118="","Commercial",$C1118))),Variables!$B$1:$D$1,0),1))*IFERROR(IF(W1118="","",(AVERAGE(E1118:F1118)-W1118)-Variables!$B$14),"")/365),""))</f>
        <v>5.5345604926273131</v>
      </c>
      <c r="AT1118" s="12">
        <f>IF($H1118="Cancelled","",IFERROR((T1118*INDEX(Variables!$B$7:$D$7,IFERROR(MATCH(IF($B1118="Robusta","Robusta",(IF($B1118="","Arabica",$B1118))&amp;" - "&amp;(IF($C1118="","Commercial",$C1118))),Variables!$B$1:$D$1,0),1))*AC1118/365)+(L1118/16.67*INDEX(Variables!$B$8:$D$8,IFERROR(MATCH(IF($B1118="Robusta","Robusta",(IF($B1118="","Arabica",$B1118))&amp;" - "&amp;(IF($C1118="","Commercial",$C1118))),Variables!$B$1:$D$1,0),1))*AC1118)+(T1118*INDEX(Variables!$B$9:$D$9,IFERROR(MATCH(IF($B1118="Robusta","Robusta",(IF($B1118="","Arabica",$B1118))&amp;" - "&amp;(IF($C1118="","Commercial",$C1118))),Variables!$B$1:$D$1,0),1))*AC1118/365),""))</f>
        <v>0</v>
      </c>
      <c r="AU1118" s="12">
        <f>IF($H1118="Cancelled","",IFERROR((T1118*INDEX(Variables!$B$7:$D$7,IFERROR(MATCH(IF($B1118="Robusta","Robusta",(IF($B1118="","Arabica",$B1118))&amp;" - "&amp;(IF($C1118="","Commercial",$C1118))),Variables!$B$1:$D$1,0),1))*AP1118/365)+(L1118/16.67*INDEX(Variables!$B$8:$D$8,IFERROR(MATCH(IF($B1118="Robusta","Robusta",(IF($B1118="","Arabica",$B1118))&amp;" - "&amp;(IF($C1118="","Commercial",$C1118))),Variables!$B$1:$D$1,0),1))*AP1118)+(T1118*INDEX(Variables!$B$9:$D$9,IFERROR(MATCH(IF($B1118="Robusta","Robusta",(IF($B1118="","Arabica",$B1118))&amp;" - "&amp;(IF($C1118="","Commercial",$C1118))),Variables!$B$1:$D$1,0),1))*AP1118/365),""))</f>
        <v>-33.207362955763877</v>
      </c>
      <c r="AV1118" s="11">
        <f t="shared" si="106"/>
        <v>3</v>
      </c>
      <c r="AW1118" s="12">
        <f>IF($H1118="Cancelled","",IFERROR(IF(AV1118="","",(T1118*INDEX(Variables!$B$7:$D$7,IFERROR(MATCH(IF($B1118="Robusta","Robusta",(IF($B1118="","Arabica",$B1118))&amp;" - "&amp;(IF($C1118="","Commercial",$C1118))),Variables!$B$1:$D$1,0),1))*(AV1118/365))+(T1118*INDEX(Variables!$B$9:$D$9,IFERROR(MATCH(IF($B1118="Robusta","Robusta",(IF($B1118="","Arabica",$B1118))&amp;" - "&amp;(IF($C1118="","Commercial",$C1118))),Variables!$B$1:$D$1,0),1))*(AV1118/365))+(INDEX(Variables!$B$8:$D$8,IFERROR(MATCH(IF($B1118="Robusta","Robusta",(IF($B1118="","Arabica",$B1118))&amp;" - "&amp;(IF($C1118="","Commercial",$C1118))),Variables!$B$1:$D$1,0),1))*L1118/16.67)),""))</f>
        <v>12.903681477881937</v>
      </c>
      <c r="AX1118" s="9"/>
      <c r="AY1118" s="12"/>
      <c r="AZ1118" s="10"/>
      <c r="BA1118" s="9"/>
      <c r="BB1118" s="10"/>
      <c r="BC1118" s="9"/>
      <c r="BD1118" s="9"/>
      <c r="BE1118" s="9"/>
      <c r="BF1118" s="9"/>
    </row>
    <row r="1119" spans="1:58" x14ac:dyDescent="0.25">
      <c r="A1119" s="9" t="s">
        <v>84</v>
      </c>
      <c r="B1119" s="9" t="s">
        <v>85</v>
      </c>
      <c r="C1119" s="9" t="s">
        <v>1486</v>
      </c>
      <c r="D1119" s="10">
        <v>45989</v>
      </c>
      <c r="E1119" s="10">
        <v>45992</v>
      </c>
      <c r="F1119" s="10">
        <v>46022</v>
      </c>
      <c r="G1119" s="9">
        <v>3787010</v>
      </c>
      <c r="H1119" s="9" t="str">
        <f t="shared" si="104"/>
        <v>Closed</v>
      </c>
      <c r="I1119" s="9" t="str">
        <f t="shared" si="105"/>
        <v>All dates received</v>
      </c>
      <c r="J1119" s="9" t="s">
        <v>1487</v>
      </c>
      <c r="K1119" s="9" t="s">
        <v>2394</v>
      </c>
      <c r="L1119" s="11">
        <v>18</v>
      </c>
      <c r="M1119" s="9" t="s">
        <v>2395</v>
      </c>
      <c r="N1119" s="9"/>
      <c r="O1119" s="9"/>
      <c r="P1119" s="9"/>
      <c r="Q1119" s="11">
        <v>146</v>
      </c>
      <c r="R1119" s="9" t="s">
        <v>195</v>
      </c>
      <c r="S1119" s="9" t="s">
        <v>183</v>
      </c>
      <c r="T1119" s="12">
        <f>IF($H1119="Cancelled","",IFERROR(((Q1119+INDEX(Variables!$B$6:$D$6,IFERROR(MATCH(IF($B1119="Robusta","Robusta",(IF($B1119="","Arabica",$B1119))&amp;" - "&amp;(IF($C1119="","Commercial",$C1119))),Variables!$B$1:$D$1,0),1)))*22.0462)*(L1119/16.67),""))</f>
        <v>10398.082956208758</v>
      </c>
      <c r="U1119" s="10"/>
      <c r="V1119" s="9" t="s">
        <v>195</v>
      </c>
      <c r="W1119" s="10">
        <v>45976</v>
      </c>
      <c r="X1119" s="9" t="str">
        <f>IF(ISNUMBER(W1119),"Approved","")</f>
        <v>Approved</v>
      </c>
      <c r="Y1119" s="10">
        <v>45991</v>
      </c>
      <c r="Z1119" s="10">
        <f>IF($H1119="Cancelled","",IFERROR(IF(F1119="","",F1119-Variables!$B$13),""))</f>
        <v>46007</v>
      </c>
      <c r="AA1119" s="11">
        <f>IF($H1119="Cancelled","",IFERROR(IF(W1119="","",(AVERAGE(E1119:F1119)-W1119)-Variables!$B$14),""))</f>
        <v>1</v>
      </c>
      <c r="AB1119" s="10">
        <v>46006</v>
      </c>
      <c r="AC1119" s="11">
        <f>IF($H1119="Cancelled","",IFERROR(IF(AB1119="","",IF(AND(W1119="",Y1119=""),"",IF(Y1119&gt;W1119,Y1119+Variables!$B$15+Variables!$B$16+Variables!$B$17-AB1119,W1119+Variables!$B$16+Variables!$B$17-AB1119))),""))</f>
        <v>0</v>
      </c>
      <c r="AD1119" s="9" t="s">
        <v>884</v>
      </c>
      <c r="AE1119" s="9" t="s">
        <v>1331</v>
      </c>
      <c r="AF1119" s="10"/>
      <c r="AG1119" s="10"/>
      <c r="AH1119" s="9"/>
      <c r="AI1119" s="9" t="s">
        <v>2385</v>
      </c>
      <c r="AJ1119" s="9" t="s">
        <v>2386</v>
      </c>
      <c r="AK1119" s="10">
        <v>46019</v>
      </c>
      <c r="AL1119" s="10">
        <v>46030</v>
      </c>
      <c r="AM1119" s="10">
        <v>46045</v>
      </c>
      <c r="AN1119" s="9" t="s">
        <v>1492</v>
      </c>
      <c r="AO1119" s="9"/>
      <c r="AP1119" s="11">
        <f>IF($H1119="Cancelled","",IFERROR(IF(OR(AK1119="",AB1119=""),"",(AB1119+Variables!$B$18-AK1119)),""))</f>
        <v>-6</v>
      </c>
      <c r="AQ1119" s="11">
        <f>IF($H1119="Cancelled","",IFERROR(IF(OR(AM1119="",AK1119=""),"",(AK1119+Variables!$B$19)-AM1119),""))</f>
        <v>-21</v>
      </c>
      <c r="AR1119" s="12">
        <f>IF($H1119="Cancelled","",IFERROR(T1119*INDEX(Variables!$B$7:$D$7,IFERROR(MATCH(IF($B1119="Robusta","Robusta",(IF($B1119="","Arabica",$B1119))&amp;" - "&amp;(IF($C1119="","Commercial",$C1119))),Variables!$B$1:$D$1,0),1))*(AQ1119/365),""))</f>
        <v>-38.576209755549954</v>
      </c>
      <c r="AS1119" s="12">
        <f>IF($H1119="Cancelled","",IFERROR((T1119*INDEX(Variables!$B$7:$D$7,IFERROR(MATCH(IF($B1119="Robusta","Robusta",(IF($B1119="","Arabica",$B1119))&amp;" - "&amp;(IF($C1119="","Commercial",$C1119))),Variables!$B$1:$D$1,0),1))*IFERROR(IF(W1119="","",(AVERAGE(E1119:F1119)-W1119)-Variables!$B$14),"")/365)+(L1119/16.67*INDEX(Variables!$B$8:$D$8,IFERROR(MATCH(IF($B1119="Robusta","Robusta",(IF($B1119="","Arabica",$B1119))&amp;" - "&amp;(IF($C1119="","Commercial",$C1119))),Variables!$B$1:$D$1,0),1))*IFERROR(IF(W1119="","",(AVERAGE(E1119:F1119)-W1119)-Variables!$B$14),""))+(T1119*INDEX(Variables!$B$9:$D$9,IFERROR(MATCH(IF($B1119="Robusta","Robusta",(IF($B1119="","Arabica",$B1119))&amp;" - "&amp;(IF($C1119="","Commercial",$C1119))),Variables!$B$1:$D$1,0),1))*IFERROR(IF(W1119="","",(AVERAGE(E1119:F1119)-W1119)-Variables!$B$14),"")/365),""))</f>
        <v>2.7606443593433996</v>
      </c>
      <c r="AT1119" s="12">
        <f>IF($H1119="Cancelled","",IFERROR((T1119*INDEX(Variables!$B$7:$D$7,IFERROR(MATCH(IF($B1119="Robusta","Robusta",(IF($B1119="","Arabica",$B1119))&amp;" - "&amp;(IF($C1119="","Commercial",$C1119))),Variables!$B$1:$D$1,0),1))*AC1119/365)+(L1119/16.67*INDEX(Variables!$B$8:$D$8,IFERROR(MATCH(IF($B1119="Robusta","Robusta",(IF($B1119="","Arabica",$B1119))&amp;" - "&amp;(IF($C1119="","Commercial",$C1119))),Variables!$B$1:$D$1,0),1))*AC1119)+(T1119*INDEX(Variables!$B$9:$D$9,IFERROR(MATCH(IF($B1119="Robusta","Robusta",(IF($B1119="","Arabica",$B1119))&amp;" - "&amp;(IF($C1119="","Commercial",$C1119))),Variables!$B$1:$D$1,0),1))*AC1119/365),""))</f>
        <v>0</v>
      </c>
      <c r="AU1119" s="12">
        <f>IF($H1119="Cancelled","",IFERROR((T1119*INDEX(Variables!$B$7:$D$7,IFERROR(MATCH(IF($B1119="Robusta","Robusta",(IF($B1119="","Arabica",$B1119))&amp;" - "&amp;(IF($C1119="","Commercial",$C1119))),Variables!$B$1:$D$1,0),1))*AP1119/365)+(L1119/16.67*INDEX(Variables!$B$8:$D$8,IFERROR(MATCH(IF($B1119="Robusta","Robusta",(IF($B1119="","Arabica",$B1119))&amp;" - "&amp;(IF($C1119="","Commercial",$C1119))),Variables!$B$1:$D$1,0),1))*AP1119)+(T1119*INDEX(Variables!$B$9:$D$9,IFERROR(MATCH(IF($B1119="Robusta","Robusta",(IF($B1119="","Arabica",$B1119))&amp;" - "&amp;(IF($C1119="","Commercial",$C1119))),Variables!$B$1:$D$1,0),1))*AP1119/365),""))</f>
        <v>-16.563866156060396</v>
      </c>
      <c r="AV1119" s="11">
        <f t="shared" si="106"/>
        <v>3</v>
      </c>
      <c r="AW1119" s="12">
        <f>IF($H1119="Cancelled","",IFERROR(IF(AV1119="","",(T1119*INDEX(Variables!$B$7:$D$7,IFERROR(MATCH(IF($B1119="Robusta","Robusta",(IF($B1119="","Arabica",$B1119))&amp;" - "&amp;(IF($C1119="","Commercial",$C1119))),Variables!$B$1:$D$1,0),1))*(AV1119/365))+(T1119*INDEX(Variables!$B$9:$D$9,IFERROR(MATCH(IF($B1119="Robusta","Robusta",(IF($B1119="","Arabica",$B1119))&amp;" - "&amp;(IF($C1119="","Commercial",$C1119))),Variables!$B$1:$D$1,0),1))*(AV1119/365))+(INDEX(Variables!$B$8:$D$8,IFERROR(MATCH(IF($B1119="Robusta","Robusta",(IF($B1119="","Arabica",$B1119))&amp;" - "&amp;(IF($C1119="","Commercial",$C1119))),Variables!$B$1:$D$1,0),1))*L1119/16.67)),""))</f>
        <v>6.481933078030198</v>
      </c>
      <c r="AX1119" s="9"/>
      <c r="AY1119" s="12"/>
      <c r="AZ1119" s="10"/>
      <c r="BA1119" s="9"/>
      <c r="BB1119" s="10"/>
      <c r="BC1119" s="9"/>
      <c r="BD1119" s="9"/>
      <c r="BE1119" s="9"/>
      <c r="BF1119" s="9"/>
    </row>
    <row r="1120" spans="1:58" x14ac:dyDescent="0.25">
      <c r="A1120" s="9" t="s">
        <v>84</v>
      </c>
      <c r="B1120" s="9" t="s">
        <v>85</v>
      </c>
      <c r="C1120" s="9" t="s">
        <v>1486</v>
      </c>
      <c r="D1120" s="10">
        <v>45989</v>
      </c>
      <c r="E1120" s="10">
        <v>45992</v>
      </c>
      <c r="F1120" s="10">
        <v>46022</v>
      </c>
      <c r="G1120" s="9">
        <v>3787011</v>
      </c>
      <c r="H1120" s="9" t="str">
        <f t="shared" si="104"/>
        <v>Cancelled</v>
      </c>
      <c r="I1120" s="9" t="str">
        <f t="shared" si="105"/>
        <v>No sailing date and No shipping advice sent and No docs dispatch date</v>
      </c>
      <c r="J1120" s="9" t="s">
        <v>1487</v>
      </c>
      <c r="K1120" s="9"/>
      <c r="L1120" s="11">
        <v>18</v>
      </c>
      <c r="M1120" s="9" t="s">
        <v>2396</v>
      </c>
      <c r="N1120" s="9"/>
      <c r="O1120" s="9"/>
      <c r="P1120" s="9"/>
      <c r="Q1120" s="11">
        <v>188</v>
      </c>
      <c r="R1120" s="9" t="s">
        <v>195</v>
      </c>
      <c r="S1120" s="9" t="s">
        <v>183</v>
      </c>
      <c r="T1120" s="12" t="str">
        <f>IF($H1120="Cancelled","",IFERROR(((Q1120+INDEX(Variables!$B$6:$D$6,IFERROR(MATCH(IF($B1120="Robusta","Robusta",(IF($B1120="","Arabica",$B1120))&amp;" - "&amp;(IF($C1120="","Commercial",$C1120))),Variables!$B$1:$D$1,0),1)))*22.0462)*(L1120/16.67),""))</f>
        <v/>
      </c>
      <c r="U1120" s="10"/>
      <c r="V1120" s="9" t="s">
        <v>195</v>
      </c>
      <c r="W1120" s="10"/>
      <c r="X1120" s="9" t="s">
        <v>195</v>
      </c>
      <c r="Y1120" s="10"/>
      <c r="Z1120" s="10" t="str">
        <f>IF($H1120="Cancelled","",IFERROR(IF(F1120="","",F1120-Variables!$B$13),""))</f>
        <v/>
      </c>
      <c r="AA1120" s="11" t="str">
        <f>IF($H1120="Cancelled","",IFERROR(IF(W1120="","",(AVERAGE(E1120:F1120)-W1120)-Variables!$B$14),""))</f>
        <v/>
      </c>
      <c r="AB1120" s="10"/>
      <c r="AC1120" s="11" t="str">
        <f>IF($H1120="Cancelled","",IFERROR(IF(AB1120="","",IF(AND(W1120="",Y1120=""),"",IF(Y1120&gt;W1120,Y1120+Variables!$B$15+Variables!$B$16+Variables!$B$17-AB1120,W1120+Variables!$B$16+Variables!$B$17-AB1120))),""))</f>
        <v/>
      </c>
      <c r="AD1120" s="9" t="s">
        <v>884</v>
      </c>
      <c r="AE1120" s="9" t="s">
        <v>1331</v>
      </c>
      <c r="AF1120" s="10"/>
      <c r="AG1120" s="10"/>
      <c r="AH1120" s="9"/>
      <c r="AI1120" s="9" t="s">
        <v>2385</v>
      </c>
      <c r="AJ1120" s="9"/>
      <c r="AK1120" s="10"/>
      <c r="AL1120" s="10"/>
      <c r="AM1120" s="10"/>
      <c r="AN1120" s="9" t="s">
        <v>2032</v>
      </c>
      <c r="AO1120" s="9"/>
      <c r="AP1120" s="11" t="str">
        <f>IF($H1120="Cancelled","",IFERROR(IF(OR(AK1120="",AB1120=""),"",(AB1120+Variables!$B$18-AK1120)),""))</f>
        <v/>
      </c>
      <c r="AQ1120" s="11" t="str">
        <f>IF($H1120="Cancelled","",IFERROR(IF(OR(AM1120="",AK1120=""),"",(AK1120+Variables!$B$19)-AM1120),""))</f>
        <v/>
      </c>
      <c r="AR1120" s="12" t="str">
        <f>IF($H1120="Cancelled","",IFERROR(T1120*INDEX(Variables!$B$7:$D$7,IFERROR(MATCH(IF($B1120="Robusta","Robusta",(IF($B1120="","Arabica",$B1120))&amp;" - "&amp;(IF($C1120="","Commercial",$C1120))),Variables!$B$1:$D$1,0),1))*(AQ1120/365),""))</f>
        <v/>
      </c>
      <c r="AS1120" s="12" t="str">
        <f>IF($H1120="Cancelled","",IFERROR((T1120*INDEX(Variables!$B$7:$D$7,IFERROR(MATCH(IF($B1120="Robusta","Robusta",(IF($B1120="","Arabica",$B1120))&amp;" - "&amp;(IF($C1120="","Commercial",$C1120))),Variables!$B$1:$D$1,0),1))*IFERROR(IF(W1120="","",(AVERAGE(E1120:F1120)-W1120)-Variables!$B$14),"")/365)+(L1120/16.67*INDEX(Variables!$B$8:$D$8,IFERROR(MATCH(IF($B1120="Robusta","Robusta",(IF($B1120="","Arabica",$B1120))&amp;" - "&amp;(IF($C1120="","Commercial",$C1120))),Variables!$B$1:$D$1,0),1))*IFERROR(IF(W1120="","",(AVERAGE(E1120:F1120)-W1120)-Variables!$B$14),""))+(T1120*INDEX(Variables!$B$9:$D$9,IFERROR(MATCH(IF($B1120="Robusta","Robusta",(IF($B1120="","Arabica",$B1120))&amp;" - "&amp;(IF($C1120="","Commercial",$C1120))),Variables!$B$1:$D$1,0),1))*IFERROR(IF(W1120="","",(AVERAGE(E1120:F1120)-W1120)-Variables!$B$14),"")/365),""))</f>
        <v/>
      </c>
      <c r="AT1120" s="12" t="str">
        <f>IF($H1120="Cancelled","",IFERROR((T1120*INDEX(Variables!$B$7:$D$7,IFERROR(MATCH(IF($B1120="Robusta","Robusta",(IF($B1120="","Arabica",$B1120))&amp;" - "&amp;(IF($C1120="","Commercial",$C1120))),Variables!$B$1:$D$1,0),1))*AC1120/365)+(L1120/16.67*INDEX(Variables!$B$8:$D$8,IFERROR(MATCH(IF($B1120="Robusta","Robusta",(IF($B1120="","Arabica",$B1120))&amp;" - "&amp;(IF($C1120="","Commercial",$C1120))),Variables!$B$1:$D$1,0),1))*AC1120)+(T1120*INDEX(Variables!$B$9:$D$9,IFERROR(MATCH(IF($B1120="Robusta","Robusta",(IF($B1120="","Arabica",$B1120))&amp;" - "&amp;(IF($C1120="","Commercial",$C1120))),Variables!$B$1:$D$1,0),1))*AC1120/365),""))</f>
        <v/>
      </c>
      <c r="AU1120" s="12" t="str">
        <f>IF($H1120="Cancelled","",IFERROR((T1120*INDEX(Variables!$B$7:$D$7,IFERROR(MATCH(IF($B1120="Robusta","Robusta",(IF($B1120="","Arabica",$B1120))&amp;" - "&amp;(IF($C1120="","Commercial",$C1120))),Variables!$B$1:$D$1,0),1))*AP1120/365)+(L1120/16.67*INDEX(Variables!$B$8:$D$8,IFERROR(MATCH(IF($B1120="Robusta","Robusta",(IF($B1120="","Arabica",$B1120))&amp;" - "&amp;(IF($C1120="","Commercial",$C1120))),Variables!$B$1:$D$1,0),1))*AP1120)+(T1120*INDEX(Variables!$B$9:$D$9,IFERROR(MATCH(IF($B1120="Robusta","Robusta",(IF($B1120="","Arabica",$B1120))&amp;" - "&amp;(IF($C1120="","Commercial",$C1120))),Variables!$B$1:$D$1,0),1))*AP1120/365),""))</f>
        <v/>
      </c>
      <c r="AV1120" s="11" t="str">
        <f t="shared" si="106"/>
        <v/>
      </c>
      <c r="AW1120" s="12" t="str">
        <f>IF($H1120="Cancelled","",IFERROR(IF(AV1120="","",(T1120*INDEX(Variables!$B$7:$D$7,IFERROR(MATCH(IF($B1120="Robusta","Robusta",(IF($B1120="","Arabica",$B1120))&amp;" - "&amp;(IF($C1120="","Commercial",$C1120))),Variables!$B$1:$D$1,0),1))*(AV1120/365))+(T1120*INDEX(Variables!$B$9:$D$9,IFERROR(MATCH(IF($B1120="Robusta","Robusta",(IF($B1120="","Arabica",$B1120))&amp;" - "&amp;(IF($C1120="","Commercial",$C1120))),Variables!$B$1:$D$1,0),1))*(AV1120/365))+(INDEX(Variables!$B$8:$D$8,IFERROR(MATCH(IF($B1120="Robusta","Robusta",(IF($B1120="","Arabica",$B1120))&amp;" - "&amp;(IF($C1120="","Commercial",$C1120))),Variables!$B$1:$D$1,0),1))*L1120/16.67)),""))</f>
        <v/>
      </c>
      <c r="AX1120" s="9"/>
      <c r="AY1120" s="12"/>
      <c r="AZ1120" s="10"/>
      <c r="BA1120" s="9"/>
      <c r="BB1120" s="10"/>
      <c r="BC1120" s="9"/>
      <c r="BD1120" s="9"/>
      <c r="BE1120" s="9"/>
      <c r="BF1120" s="9"/>
    </row>
    <row r="1121" spans="1:58" x14ac:dyDescent="0.25">
      <c r="A1121" s="9" t="s">
        <v>84</v>
      </c>
      <c r="B1121" s="9" t="s">
        <v>85</v>
      </c>
      <c r="C1121" s="9" t="s">
        <v>1486</v>
      </c>
      <c r="D1121" s="10">
        <v>45989</v>
      </c>
      <c r="E1121" s="10">
        <v>45992</v>
      </c>
      <c r="F1121" s="10">
        <v>46022</v>
      </c>
      <c r="G1121" s="9">
        <v>3787012</v>
      </c>
      <c r="H1121" s="9" t="str">
        <f t="shared" si="104"/>
        <v>Closed</v>
      </c>
      <c r="I1121" s="9" t="str">
        <f t="shared" si="105"/>
        <v>All dates received</v>
      </c>
      <c r="J1121" s="9" t="s">
        <v>1487</v>
      </c>
      <c r="K1121" s="9" t="s">
        <v>2397</v>
      </c>
      <c r="L1121" s="11">
        <v>39</v>
      </c>
      <c r="M1121" s="9" t="s">
        <v>2398</v>
      </c>
      <c r="N1121" s="9"/>
      <c r="O1121" s="9"/>
      <c r="P1121" s="9"/>
      <c r="Q1121" s="11">
        <v>146</v>
      </c>
      <c r="R1121" s="9" t="s">
        <v>195</v>
      </c>
      <c r="S1121" s="9" t="s">
        <v>183</v>
      </c>
      <c r="T1121" s="12">
        <f>IF($H1121="Cancelled","",IFERROR(((Q1121+INDEX(Variables!$B$6:$D$6,IFERROR(MATCH(IF($B1121="Robusta","Robusta",(IF($B1121="","Arabica",$B1121))&amp;" - "&amp;(IF($C1121="","Commercial",$C1121))),Variables!$B$1:$D$1,0),1)))*22.0462)*(L1121/16.67),""))</f>
        <v>22529.179738452305</v>
      </c>
      <c r="U1121" s="10"/>
      <c r="V1121" s="9" t="s">
        <v>195</v>
      </c>
      <c r="W1121" s="10">
        <v>45976</v>
      </c>
      <c r="X1121" s="9" t="str">
        <f t="shared" ref="X1121:X1152" si="108">IF(ISNUMBER(W1121),"Approved","")</f>
        <v>Approved</v>
      </c>
      <c r="Y1121" s="10">
        <v>45991</v>
      </c>
      <c r="Z1121" s="10">
        <f>IF($H1121="Cancelled","",IFERROR(IF(F1121="","",F1121-Variables!$B$13),""))</f>
        <v>46007</v>
      </c>
      <c r="AA1121" s="11">
        <f>IF($H1121="Cancelled","",IFERROR(IF(W1121="","",(AVERAGE(E1121:F1121)-W1121)-Variables!$B$14),""))</f>
        <v>1</v>
      </c>
      <c r="AB1121" s="10">
        <v>46006</v>
      </c>
      <c r="AC1121" s="11">
        <f>IF($H1121="Cancelled","",IFERROR(IF(AB1121="","",IF(AND(W1121="",Y1121=""),"",IF(Y1121&gt;W1121,Y1121+Variables!$B$15+Variables!$B$16+Variables!$B$17-AB1121,W1121+Variables!$B$16+Variables!$B$17-AB1121))),""))</f>
        <v>0</v>
      </c>
      <c r="AD1121" s="9" t="s">
        <v>884</v>
      </c>
      <c r="AE1121" s="9" t="s">
        <v>1331</v>
      </c>
      <c r="AF1121" s="10"/>
      <c r="AG1121" s="10"/>
      <c r="AH1121" s="9"/>
      <c r="AI1121" s="9" t="s">
        <v>2385</v>
      </c>
      <c r="AJ1121" s="9" t="s">
        <v>2386</v>
      </c>
      <c r="AK1121" s="10">
        <v>46019</v>
      </c>
      <c r="AL1121" s="10">
        <v>46030</v>
      </c>
      <c r="AM1121" s="10">
        <v>46045</v>
      </c>
      <c r="AN1121" s="9" t="s">
        <v>1492</v>
      </c>
      <c r="AO1121" s="9"/>
      <c r="AP1121" s="11">
        <f>IF($H1121="Cancelled","",IFERROR(IF(OR(AK1121="",AB1121=""),"",(AB1121+Variables!$B$18-AK1121)),""))</f>
        <v>-6</v>
      </c>
      <c r="AQ1121" s="11">
        <f>IF($H1121="Cancelled","",IFERROR(IF(OR(AM1121="",AK1121=""),"",(AK1121+Variables!$B$19)-AM1121),""))</f>
        <v>-21</v>
      </c>
      <c r="AR1121" s="12">
        <f>IF($H1121="Cancelled","",IFERROR(T1121*INDEX(Variables!$B$7:$D$7,IFERROR(MATCH(IF($B1121="Robusta","Robusta",(IF($B1121="","Arabica",$B1121))&amp;" - "&amp;(IF($C1121="","Commercial",$C1121))),Variables!$B$1:$D$1,0),1))*(AQ1121/365),""))</f>
        <v>-83.581787803691554</v>
      </c>
      <c r="AS1121" s="12">
        <f>IF($H1121="Cancelled","",IFERROR((T1121*INDEX(Variables!$B$7:$D$7,IFERROR(MATCH(IF($B1121="Robusta","Robusta",(IF($B1121="","Arabica",$B1121))&amp;" - "&amp;(IF($C1121="","Commercial",$C1121))),Variables!$B$1:$D$1,0),1))*IFERROR(IF(W1121="","",(AVERAGE(E1121:F1121)-W1121)-Variables!$B$14),"")/365)+(L1121/16.67*INDEX(Variables!$B$8:$D$8,IFERROR(MATCH(IF($B1121="Robusta","Robusta",(IF($B1121="","Arabica",$B1121))&amp;" - "&amp;(IF($C1121="","Commercial",$C1121))),Variables!$B$1:$D$1,0),1))*IFERROR(IF(W1121="","",(AVERAGE(E1121:F1121)-W1121)-Variables!$B$14),""))+(T1121*INDEX(Variables!$B$9:$D$9,IFERROR(MATCH(IF($B1121="Robusta","Robusta",(IF($B1121="","Arabica",$B1121))&amp;" - "&amp;(IF($C1121="","Commercial",$C1121))),Variables!$B$1:$D$1,0),1))*IFERROR(IF(W1121="","",(AVERAGE(E1121:F1121)-W1121)-Variables!$B$14),"")/365),""))</f>
        <v>5.9813961119106978</v>
      </c>
      <c r="AT1121" s="12">
        <f>IF($H1121="Cancelled","",IFERROR((T1121*INDEX(Variables!$B$7:$D$7,IFERROR(MATCH(IF($B1121="Robusta","Robusta",(IF($B1121="","Arabica",$B1121))&amp;" - "&amp;(IF($C1121="","Commercial",$C1121))),Variables!$B$1:$D$1,0),1))*AC1121/365)+(L1121/16.67*INDEX(Variables!$B$8:$D$8,IFERROR(MATCH(IF($B1121="Robusta","Robusta",(IF($B1121="","Arabica",$B1121))&amp;" - "&amp;(IF($C1121="","Commercial",$C1121))),Variables!$B$1:$D$1,0),1))*AC1121)+(T1121*INDEX(Variables!$B$9:$D$9,IFERROR(MATCH(IF($B1121="Robusta","Robusta",(IF($B1121="","Arabica",$B1121))&amp;" - "&amp;(IF($C1121="","Commercial",$C1121))),Variables!$B$1:$D$1,0),1))*AC1121/365),""))</f>
        <v>0</v>
      </c>
      <c r="AU1121" s="12">
        <f>IF($H1121="Cancelled","",IFERROR((T1121*INDEX(Variables!$B$7:$D$7,IFERROR(MATCH(IF($B1121="Robusta","Robusta",(IF($B1121="","Arabica",$B1121))&amp;" - "&amp;(IF($C1121="","Commercial",$C1121))),Variables!$B$1:$D$1,0),1))*AP1121/365)+(L1121/16.67*INDEX(Variables!$B$8:$D$8,IFERROR(MATCH(IF($B1121="Robusta","Robusta",(IF($B1121="","Arabica",$B1121))&amp;" - "&amp;(IF($C1121="","Commercial",$C1121))),Variables!$B$1:$D$1,0),1))*AP1121)+(T1121*INDEX(Variables!$B$9:$D$9,IFERROR(MATCH(IF($B1121="Robusta","Robusta",(IF($B1121="","Arabica",$B1121))&amp;" - "&amp;(IF($C1121="","Commercial",$C1121))),Variables!$B$1:$D$1,0),1))*AP1121/365),""))</f>
        <v>-35.888376671464187</v>
      </c>
      <c r="AV1121" s="11">
        <f t="shared" si="106"/>
        <v>3</v>
      </c>
      <c r="AW1121" s="12">
        <f>IF($H1121="Cancelled","",IFERROR(IF(AV1121="","",(T1121*INDEX(Variables!$B$7:$D$7,IFERROR(MATCH(IF($B1121="Robusta","Robusta",(IF($B1121="","Arabica",$B1121))&amp;" - "&amp;(IF($C1121="","Commercial",$C1121))),Variables!$B$1:$D$1,0),1))*(AV1121/365))+(T1121*INDEX(Variables!$B$9:$D$9,IFERROR(MATCH(IF($B1121="Robusta","Robusta",(IF($B1121="","Arabica",$B1121))&amp;" - "&amp;(IF($C1121="","Commercial",$C1121))),Variables!$B$1:$D$1,0),1))*(AV1121/365))+(INDEX(Variables!$B$8:$D$8,IFERROR(MATCH(IF($B1121="Robusta","Robusta",(IF($B1121="","Arabica",$B1121))&amp;" - "&amp;(IF($C1121="","Commercial",$C1121))),Variables!$B$1:$D$1,0),1))*L1121/16.67)),""))</f>
        <v>14.044188335732091</v>
      </c>
      <c r="AX1121" s="9"/>
      <c r="AY1121" s="12"/>
      <c r="AZ1121" s="10"/>
      <c r="BA1121" s="9"/>
      <c r="BB1121" s="10"/>
      <c r="BC1121" s="9"/>
      <c r="BD1121" s="9"/>
      <c r="BE1121" s="9"/>
      <c r="BF1121" s="9"/>
    </row>
    <row r="1122" spans="1:58" x14ac:dyDescent="0.25">
      <c r="A1122" s="9" t="s">
        <v>84</v>
      </c>
      <c r="B1122" s="9" t="s">
        <v>85</v>
      </c>
      <c r="C1122" s="9" t="s">
        <v>1486</v>
      </c>
      <c r="D1122" s="10">
        <v>46002</v>
      </c>
      <c r="E1122" s="10">
        <v>46023</v>
      </c>
      <c r="F1122" s="10">
        <v>46053</v>
      </c>
      <c r="G1122" s="9">
        <v>3787040</v>
      </c>
      <c r="H1122" s="9" t="str">
        <f t="shared" si="104"/>
        <v>Open</v>
      </c>
      <c r="I1122" s="9" t="str">
        <f t="shared" si="105"/>
        <v>No sailing date and No shipping advice sent and No docs dispatch date</v>
      </c>
      <c r="J1122" s="9" t="s">
        <v>2399</v>
      </c>
      <c r="K1122" s="9" t="s">
        <v>2400</v>
      </c>
      <c r="L1122" s="11">
        <v>29</v>
      </c>
      <c r="M1122" s="9" t="s">
        <v>2401</v>
      </c>
      <c r="N1122" s="9"/>
      <c r="O1122" s="9"/>
      <c r="P1122" s="9"/>
      <c r="Q1122" s="11">
        <v>150</v>
      </c>
      <c r="R1122" s="9" t="s">
        <v>195</v>
      </c>
      <c r="S1122" s="9" t="s">
        <v>228</v>
      </c>
      <c r="T1122" s="12">
        <f>IF($H1122="Cancelled","",IFERROR(((Q1122+INDEX(Variables!$B$6:$D$6,IFERROR(MATCH(IF($B1122="Robusta","Robusta",(IF($B1122="","Arabica",$B1122))&amp;" - "&amp;(IF($C1122="","Commercial",$C1122))),Variables!$B$1:$D$1,0),1)))*22.0462)*(L1122/16.67),""))</f>
        <v>16905.877854829032</v>
      </c>
      <c r="U1122" s="10"/>
      <c r="V1122" s="9" t="str">
        <f t="shared" ref="V1122:V1153" si="109">IF(ISNUMBER(U1122),"Sent","")</f>
        <v/>
      </c>
      <c r="W1122" s="10">
        <v>46006</v>
      </c>
      <c r="X1122" s="9" t="str">
        <f t="shared" si="108"/>
        <v>Approved</v>
      </c>
      <c r="Y1122" s="10">
        <v>46037</v>
      </c>
      <c r="Z1122" s="10">
        <f>IF($H1122="Cancelled","",IFERROR(IF(F1122="","",F1122-Variables!$B$13),""))</f>
        <v>46038</v>
      </c>
      <c r="AA1122" s="11">
        <f>IF($H1122="Cancelled","",IFERROR(IF(W1122="","",(AVERAGE(E1122:F1122)-W1122)-Variables!$B$14),""))</f>
        <v>2</v>
      </c>
      <c r="AB1122" s="10">
        <v>46044</v>
      </c>
      <c r="AC1122" s="11">
        <f>IF($H1122="Cancelled","",IFERROR(IF(AB1122="","",IF(AND(W1122="",Y1122=""),"",IF(Y1122&gt;W1122,Y1122+Variables!$B$15+Variables!$B$16+Variables!$B$17-AB1122,W1122+Variables!$B$16+Variables!$B$17-AB1122))),""))</f>
        <v>8</v>
      </c>
      <c r="AD1122" s="9" t="s">
        <v>165</v>
      </c>
      <c r="AE1122" s="9" t="s">
        <v>818</v>
      </c>
      <c r="AF1122" s="10"/>
      <c r="AG1122" s="10"/>
      <c r="AH1122" s="9"/>
      <c r="AI1122" s="9"/>
      <c r="AJ1122" s="9"/>
      <c r="AK1122" s="10"/>
      <c r="AL1122" s="10"/>
      <c r="AM1122" s="10"/>
      <c r="AN1122" s="9" t="s">
        <v>2402</v>
      </c>
      <c r="AO1122" s="9"/>
      <c r="AP1122" s="11" t="str">
        <f>IF($H1122="Cancelled","",IFERROR(IF(OR(AK1122="",AB1122=""),"",(AB1122+Variables!$B$18-AK1122)),""))</f>
        <v/>
      </c>
      <c r="AQ1122" s="11" t="str">
        <f>IF($H1122="Cancelled","",IFERROR(IF(OR(AM1122="",AK1122=""),"",(AK1122+Variables!$B$19)-AM1122),""))</f>
        <v/>
      </c>
      <c r="AR1122" s="12" t="str">
        <f>IF($H1122="Cancelled","",IFERROR(T1122*INDEX(Variables!$B$7:$D$7,IFERROR(MATCH(IF($B1122="Robusta","Robusta",(IF($B1122="","Arabica",$B1122))&amp;" - "&amp;(IF($C1122="","Commercial",$C1122))),Variables!$B$1:$D$1,0),1))*(AQ1122/365),""))</f>
        <v/>
      </c>
      <c r="AS1122" s="12">
        <f>IF($H1122="Cancelled","",IFERROR((T1122*INDEX(Variables!$B$7:$D$7,IFERROR(MATCH(IF($B1122="Robusta","Robusta",(IF($B1122="","Arabica",$B1122))&amp;" - "&amp;(IF($C1122="","Commercial",$C1122))),Variables!$B$1:$D$1,0),1))*IFERROR(IF(W1122="","",(AVERAGE(E1122:F1122)-W1122)-Variables!$B$14),"")/365)+(L1122/16.67*INDEX(Variables!$B$8:$D$8,IFERROR(MATCH(IF($B1122="Robusta","Robusta",(IF($B1122="","Arabica",$B1122))&amp;" - "&amp;(IF($C1122="","Commercial",$C1122))),Variables!$B$1:$D$1,0),1))*IFERROR(IF(W1122="","",(AVERAGE(E1122:F1122)-W1122)-Variables!$B$14),""))+(T1122*INDEX(Variables!$B$9:$D$9,IFERROR(MATCH(IF($B1122="Robusta","Robusta",(IF($B1122="","Arabica",$B1122))&amp;" - "&amp;(IF($C1122="","Commercial",$C1122))),Variables!$B$1:$D$1,0),1))*IFERROR(IF(W1122="","",(AVERAGE(E1122:F1122)-W1122)-Variables!$B$14),"")/365),""))</f>
        <v>8.9503126206650752</v>
      </c>
      <c r="AT1122" s="12">
        <f>IF($H1122="Cancelled","",IFERROR((T1122*INDEX(Variables!$B$7:$D$7,IFERROR(MATCH(IF($B1122="Robusta","Robusta",(IF($B1122="","Arabica",$B1122))&amp;" - "&amp;(IF($C1122="","Commercial",$C1122))),Variables!$B$1:$D$1,0),1))*AC1122/365)+(L1122/16.67*INDEX(Variables!$B$8:$D$8,IFERROR(MATCH(IF($B1122="Robusta","Robusta",(IF($B1122="","Arabica",$B1122))&amp;" - "&amp;(IF($C1122="","Commercial",$C1122))),Variables!$B$1:$D$1,0),1))*AC1122)+(T1122*INDEX(Variables!$B$9:$D$9,IFERROR(MATCH(IF($B1122="Robusta","Robusta",(IF($B1122="","Arabica",$B1122))&amp;" - "&amp;(IF($C1122="","Commercial",$C1122))),Variables!$B$1:$D$1,0),1))*AC1122/365),""))</f>
        <v>35.801250482660301</v>
      </c>
      <c r="AU1122" s="12" t="str">
        <f>IF($H1122="Cancelled","",IFERROR((T1122*INDEX(Variables!$B$7:$D$7,IFERROR(MATCH(IF($B1122="Robusta","Robusta",(IF($B1122="","Arabica",$B1122))&amp;" - "&amp;(IF($C1122="","Commercial",$C1122))),Variables!$B$1:$D$1,0),1))*AP1122/365)+(L1122/16.67*INDEX(Variables!$B$8:$D$8,IFERROR(MATCH(IF($B1122="Robusta","Robusta",(IF($B1122="","Arabica",$B1122))&amp;" - "&amp;(IF($C1122="","Commercial",$C1122))),Variables!$B$1:$D$1,0),1))*AP1122)+(T1122*INDEX(Variables!$B$9:$D$9,IFERROR(MATCH(IF($B1122="Robusta","Robusta",(IF($B1122="","Arabica",$B1122))&amp;" - "&amp;(IF($C1122="","Commercial",$C1122))),Variables!$B$1:$D$1,0),1))*AP1122/365),""))</f>
        <v/>
      </c>
      <c r="AV1122" s="11" t="str">
        <f t="shared" si="106"/>
        <v/>
      </c>
      <c r="AW1122" s="12" t="str">
        <f>IF($H1122="Cancelled","",IFERROR(IF(AV1122="","",(T1122*INDEX(Variables!$B$7:$D$7,IFERROR(MATCH(IF($B1122="Robusta","Robusta",(IF($B1122="","Arabica",$B1122))&amp;" - "&amp;(IF($C1122="","Commercial",$C1122))),Variables!$B$1:$D$1,0),1))*(AV1122/365))+(T1122*INDEX(Variables!$B$9:$D$9,IFERROR(MATCH(IF($B1122="Robusta","Robusta",(IF($B1122="","Arabica",$B1122))&amp;" - "&amp;(IF($C1122="","Commercial",$C1122))),Variables!$B$1:$D$1,0),1))*(AV1122/365))+(INDEX(Variables!$B$8:$D$8,IFERROR(MATCH(IF($B1122="Robusta","Robusta",(IF($B1122="","Arabica",$B1122))&amp;" - "&amp;(IF($C1122="","Commercial",$C1122))),Variables!$B$1:$D$1,0),1))*L1122/16.67)),""))</f>
        <v/>
      </c>
      <c r="AX1122" s="9"/>
      <c r="AY1122" s="12"/>
      <c r="AZ1122" s="10"/>
      <c r="BA1122" s="9"/>
      <c r="BB1122" s="10"/>
      <c r="BC1122" s="9"/>
      <c r="BD1122" s="9"/>
      <c r="BE1122" s="9"/>
      <c r="BF1122" s="9"/>
    </row>
    <row r="1123" spans="1:58" x14ac:dyDescent="0.25">
      <c r="A1123" s="9" t="s">
        <v>84</v>
      </c>
      <c r="B1123" s="9" t="s">
        <v>85</v>
      </c>
      <c r="C1123" s="9" t="s">
        <v>1486</v>
      </c>
      <c r="D1123" s="10">
        <v>46002</v>
      </c>
      <c r="E1123" s="10">
        <v>46023</v>
      </c>
      <c r="F1123" s="10">
        <v>46053</v>
      </c>
      <c r="G1123" s="9">
        <v>3787041</v>
      </c>
      <c r="H1123" s="9" t="str">
        <f t="shared" si="104"/>
        <v>Open</v>
      </c>
      <c r="I1123" s="9" t="str">
        <f t="shared" si="105"/>
        <v>No sailing date and No shipping advice sent and No docs dispatch date</v>
      </c>
      <c r="J1123" s="9" t="s">
        <v>2399</v>
      </c>
      <c r="K1123" s="9" t="s">
        <v>2403</v>
      </c>
      <c r="L1123" s="11">
        <v>31</v>
      </c>
      <c r="M1123" s="9" t="s">
        <v>2404</v>
      </c>
      <c r="N1123" s="9"/>
      <c r="O1123" s="9"/>
      <c r="P1123" s="9"/>
      <c r="Q1123" s="11">
        <v>137</v>
      </c>
      <c r="R1123" s="9" t="s">
        <v>195</v>
      </c>
      <c r="S1123" s="9" t="s">
        <v>228</v>
      </c>
      <c r="T1123" s="12">
        <f>IF($H1123="Cancelled","",IFERROR(((Q1123+INDEX(Variables!$B$6:$D$6,IFERROR(MATCH(IF($B1123="Robusta","Robusta",(IF($B1123="","Arabica",$B1123))&amp;" - "&amp;(IF($C1123="","Commercial",$C1123))),Variables!$B$1:$D$1,0),1)))*22.0462)*(L1123/16.67),""))</f>
        <v>17538.829943611276</v>
      </c>
      <c r="U1123" s="10"/>
      <c r="V1123" s="9" t="str">
        <f t="shared" si="109"/>
        <v/>
      </c>
      <c r="W1123" s="10">
        <v>46006</v>
      </c>
      <c r="X1123" s="9" t="str">
        <f t="shared" si="108"/>
        <v>Approved</v>
      </c>
      <c r="Y1123" s="10">
        <v>46037</v>
      </c>
      <c r="Z1123" s="10">
        <f>IF($H1123="Cancelled","",IFERROR(IF(F1123="","",F1123-Variables!$B$13),""))</f>
        <v>46038</v>
      </c>
      <c r="AA1123" s="11">
        <f>IF($H1123="Cancelled","",IFERROR(IF(W1123="","",(AVERAGE(E1123:F1123)-W1123)-Variables!$B$14),""))</f>
        <v>2</v>
      </c>
      <c r="AB1123" s="10">
        <v>46044</v>
      </c>
      <c r="AC1123" s="11">
        <f>IF($H1123="Cancelled","",IFERROR(IF(AB1123="","",IF(AND(W1123="",Y1123=""),"",IF(Y1123&gt;W1123,Y1123+Variables!$B$15+Variables!$B$16+Variables!$B$17-AB1123,W1123+Variables!$B$16+Variables!$B$17-AB1123))),""))</f>
        <v>8</v>
      </c>
      <c r="AD1123" s="9" t="s">
        <v>165</v>
      </c>
      <c r="AE1123" s="9" t="s">
        <v>818</v>
      </c>
      <c r="AF1123" s="10"/>
      <c r="AG1123" s="10"/>
      <c r="AH1123" s="9"/>
      <c r="AI1123" s="9"/>
      <c r="AJ1123" s="9"/>
      <c r="AK1123" s="10"/>
      <c r="AL1123" s="10"/>
      <c r="AM1123" s="10"/>
      <c r="AN1123" s="9" t="s">
        <v>2402</v>
      </c>
      <c r="AO1123" s="9"/>
      <c r="AP1123" s="11" t="str">
        <f>IF($H1123="Cancelled","",IFERROR(IF(OR(AK1123="",AB1123=""),"",(AB1123+Variables!$B$18-AK1123)),""))</f>
        <v/>
      </c>
      <c r="AQ1123" s="11" t="str">
        <f>IF($H1123="Cancelled","",IFERROR(IF(OR(AM1123="",AK1123=""),"",(AK1123+Variables!$B$19)-AM1123),""))</f>
        <v/>
      </c>
      <c r="AR1123" s="12" t="str">
        <f>IF($H1123="Cancelled","",IFERROR(T1123*INDEX(Variables!$B$7:$D$7,IFERROR(MATCH(IF($B1123="Robusta","Robusta",(IF($B1123="","Arabica",$B1123))&amp;" - "&amp;(IF($C1123="","Commercial",$C1123))),Variables!$B$1:$D$1,0),1))*(AQ1123/365),""))</f>
        <v/>
      </c>
      <c r="AS1123" s="12">
        <f>IF($H1123="Cancelled","",IFERROR((T1123*INDEX(Variables!$B$7:$D$7,IFERROR(MATCH(IF($B1123="Robusta","Robusta",(IF($B1123="","Arabica",$B1123))&amp;" - "&amp;(IF($C1123="","Commercial",$C1123))),Variables!$B$1:$D$1,0),1))*IFERROR(IF(W1123="","",(AVERAGE(E1123:F1123)-W1123)-Variables!$B$14),"")/365)+(L1123/16.67*INDEX(Variables!$B$8:$D$8,IFERROR(MATCH(IF($B1123="Robusta","Robusta",(IF($B1123="","Arabica",$B1123))&amp;" - "&amp;(IF($C1123="","Commercial",$C1123))),Variables!$B$1:$D$1,0),1))*IFERROR(IF(W1123="","",(AVERAGE(E1123:F1123)-W1123)-Variables!$B$14),""))+(T1123*INDEX(Variables!$B$9:$D$9,IFERROR(MATCH(IF($B1123="Robusta","Robusta",(IF($B1123="","Arabica",$B1123))&amp;" - "&amp;(IF($C1123="","Commercial",$C1123))),Variables!$B$1:$D$1,0),1))*IFERROR(IF(W1123="","",(AVERAGE(E1123:F1123)-W1123)-Variables!$B$14),"")/365),""))</f>
        <v>9.3768349014907137</v>
      </c>
      <c r="AT1123" s="12">
        <f>IF($H1123="Cancelled","",IFERROR((T1123*INDEX(Variables!$B$7:$D$7,IFERROR(MATCH(IF($B1123="Robusta","Robusta",(IF($B1123="","Arabica",$B1123))&amp;" - "&amp;(IF($C1123="","Commercial",$C1123))),Variables!$B$1:$D$1,0),1))*AC1123/365)+(L1123/16.67*INDEX(Variables!$B$8:$D$8,IFERROR(MATCH(IF($B1123="Robusta","Robusta",(IF($B1123="","Arabica",$B1123))&amp;" - "&amp;(IF($C1123="","Commercial",$C1123))),Variables!$B$1:$D$1,0),1))*AC1123)+(T1123*INDEX(Variables!$B$9:$D$9,IFERROR(MATCH(IF($B1123="Robusta","Robusta",(IF($B1123="","Arabica",$B1123))&amp;" - "&amp;(IF($C1123="","Commercial",$C1123))),Variables!$B$1:$D$1,0),1))*AC1123/365),""))</f>
        <v>37.507339605962855</v>
      </c>
      <c r="AU1123" s="12" t="str">
        <f>IF($H1123="Cancelled","",IFERROR((T1123*INDEX(Variables!$B$7:$D$7,IFERROR(MATCH(IF($B1123="Robusta","Robusta",(IF($B1123="","Arabica",$B1123))&amp;" - "&amp;(IF($C1123="","Commercial",$C1123))),Variables!$B$1:$D$1,0),1))*AP1123/365)+(L1123/16.67*INDEX(Variables!$B$8:$D$8,IFERROR(MATCH(IF($B1123="Robusta","Robusta",(IF($B1123="","Arabica",$B1123))&amp;" - "&amp;(IF($C1123="","Commercial",$C1123))),Variables!$B$1:$D$1,0),1))*AP1123)+(T1123*INDEX(Variables!$B$9:$D$9,IFERROR(MATCH(IF($B1123="Robusta","Robusta",(IF($B1123="","Arabica",$B1123))&amp;" - "&amp;(IF($C1123="","Commercial",$C1123))),Variables!$B$1:$D$1,0),1))*AP1123/365),""))</f>
        <v/>
      </c>
      <c r="AV1123" s="11" t="str">
        <f t="shared" si="106"/>
        <v/>
      </c>
      <c r="AW1123" s="12" t="str">
        <f>IF($H1123="Cancelled","",IFERROR(IF(AV1123="","",(T1123*INDEX(Variables!$B$7:$D$7,IFERROR(MATCH(IF($B1123="Robusta","Robusta",(IF($B1123="","Arabica",$B1123))&amp;" - "&amp;(IF($C1123="","Commercial",$C1123))),Variables!$B$1:$D$1,0),1))*(AV1123/365))+(T1123*INDEX(Variables!$B$9:$D$9,IFERROR(MATCH(IF($B1123="Robusta","Robusta",(IF($B1123="","Arabica",$B1123))&amp;" - "&amp;(IF($C1123="","Commercial",$C1123))),Variables!$B$1:$D$1,0),1))*(AV1123/365))+(INDEX(Variables!$B$8:$D$8,IFERROR(MATCH(IF($B1123="Robusta","Robusta",(IF($B1123="","Arabica",$B1123))&amp;" - "&amp;(IF($C1123="","Commercial",$C1123))),Variables!$B$1:$D$1,0),1))*L1123/16.67)),""))</f>
        <v/>
      </c>
      <c r="AX1123" s="9"/>
      <c r="AY1123" s="12"/>
      <c r="AZ1123" s="10"/>
      <c r="BA1123" s="9"/>
      <c r="BB1123" s="10"/>
      <c r="BC1123" s="9"/>
      <c r="BD1123" s="9"/>
      <c r="BE1123" s="9"/>
      <c r="BF1123" s="9"/>
    </row>
    <row r="1124" spans="1:58" x14ac:dyDescent="0.25">
      <c r="A1124" s="9" t="s">
        <v>84</v>
      </c>
      <c r="B1124" s="9" t="s">
        <v>85</v>
      </c>
      <c r="C1124" s="9" t="s">
        <v>1486</v>
      </c>
      <c r="D1124" s="10">
        <v>46002</v>
      </c>
      <c r="E1124" s="10">
        <v>46023</v>
      </c>
      <c r="F1124" s="10">
        <v>46053</v>
      </c>
      <c r="G1124" s="9">
        <v>3787042</v>
      </c>
      <c r="H1124" s="9" t="str">
        <f t="shared" si="104"/>
        <v>Open</v>
      </c>
      <c r="I1124" s="9" t="str">
        <f t="shared" si="105"/>
        <v>No sailing date and No shipping advice sent and No docs dispatch date</v>
      </c>
      <c r="J1124" s="9" t="s">
        <v>2399</v>
      </c>
      <c r="K1124" s="9" t="s">
        <v>2405</v>
      </c>
      <c r="L1124" s="11">
        <v>30</v>
      </c>
      <c r="M1124" s="9" t="s">
        <v>2406</v>
      </c>
      <c r="N1124" s="9"/>
      <c r="O1124" s="9"/>
      <c r="P1124" s="9"/>
      <c r="Q1124" s="11">
        <v>156</v>
      </c>
      <c r="R1124" s="9" t="s">
        <v>195</v>
      </c>
      <c r="S1124" s="9" t="s">
        <v>228</v>
      </c>
      <c r="T1124" s="12">
        <f>IF($H1124="Cancelled","",IFERROR(((Q1124+INDEX(Variables!$B$6:$D$6,IFERROR(MATCH(IF($B1124="Robusta","Robusta",(IF($B1124="","Arabica",$B1124))&amp;" - "&amp;(IF($C1124="","Commercial",$C1124))),Variables!$B$1:$D$1,0),1)))*22.0462)*(L1124/16.67),""))</f>
        <v>17726.890509898018</v>
      </c>
      <c r="U1124" s="10"/>
      <c r="V1124" s="9" t="str">
        <f t="shared" si="109"/>
        <v/>
      </c>
      <c r="W1124" s="10">
        <v>46006</v>
      </c>
      <c r="X1124" s="9" t="str">
        <f t="shared" si="108"/>
        <v>Approved</v>
      </c>
      <c r="Y1124" s="10">
        <v>46037</v>
      </c>
      <c r="Z1124" s="10">
        <f>IF($H1124="Cancelled","",IFERROR(IF(F1124="","",F1124-Variables!$B$13),""))</f>
        <v>46038</v>
      </c>
      <c r="AA1124" s="11">
        <f>IF($H1124="Cancelled","",IFERROR(IF(W1124="","",(AVERAGE(E1124:F1124)-W1124)-Variables!$B$14),""))</f>
        <v>2</v>
      </c>
      <c r="AB1124" s="10">
        <v>46044</v>
      </c>
      <c r="AC1124" s="11">
        <f>IF($H1124="Cancelled","",IFERROR(IF(AB1124="","",IF(AND(W1124="",Y1124=""),"",IF(Y1124&gt;W1124,Y1124+Variables!$B$15+Variables!$B$16+Variables!$B$17-AB1124,W1124+Variables!$B$16+Variables!$B$17-AB1124))),""))</f>
        <v>8</v>
      </c>
      <c r="AD1124" s="9" t="s">
        <v>165</v>
      </c>
      <c r="AE1124" s="9" t="s">
        <v>818</v>
      </c>
      <c r="AF1124" s="10"/>
      <c r="AG1124" s="10"/>
      <c r="AH1124" s="9"/>
      <c r="AI1124" s="9"/>
      <c r="AJ1124" s="9"/>
      <c r="AK1124" s="10"/>
      <c r="AL1124" s="10"/>
      <c r="AM1124" s="10"/>
      <c r="AN1124" s="9" t="s">
        <v>2402</v>
      </c>
      <c r="AO1124" s="9"/>
      <c r="AP1124" s="11" t="str">
        <f>IF($H1124="Cancelled","",IFERROR(IF(OR(AK1124="",AB1124=""),"",(AB1124+Variables!$B$18-AK1124)),""))</f>
        <v/>
      </c>
      <c r="AQ1124" s="11" t="str">
        <f>IF($H1124="Cancelled","",IFERROR(IF(OR(AM1124="",AK1124=""),"",(AK1124+Variables!$B$19)-AM1124),""))</f>
        <v/>
      </c>
      <c r="AR1124" s="12" t="str">
        <f>IF($H1124="Cancelled","",IFERROR(T1124*INDEX(Variables!$B$7:$D$7,IFERROR(MATCH(IF($B1124="Robusta","Robusta",(IF($B1124="","Arabica",$B1124))&amp;" - "&amp;(IF($C1124="","Commercial",$C1124))),Variables!$B$1:$D$1,0),1))*(AQ1124/365),""))</f>
        <v/>
      </c>
      <c r="AS1124" s="12">
        <f>IF($H1124="Cancelled","",IFERROR((T1124*INDEX(Variables!$B$7:$D$7,IFERROR(MATCH(IF($B1124="Robusta","Robusta",(IF($B1124="","Arabica",$B1124))&amp;" - "&amp;(IF($C1124="","Commercial",$C1124))),Variables!$B$1:$D$1,0),1))*IFERROR(IF(W1124="","",(AVERAGE(E1124:F1124)-W1124)-Variables!$B$14),"")/365)+(L1124/16.67*INDEX(Variables!$B$8:$D$8,IFERROR(MATCH(IF($B1124="Robusta","Robusta",(IF($B1124="","Arabica",$B1124))&amp;" - "&amp;(IF($C1124="","Commercial",$C1124))),Variables!$B$1:$D$1,0),1))*IFERROR(IF(W1124="","",(AVERAGE(E1124:F1124)-W1124)-Variables!$B$14),""))+(T1124*INDEX(Variables!$B$9:$D$9,IFERROR(MATCH(IF($B1124="Robusta","Robusta",(IF($B1124="","Arabica",$B1124))&amp;" - "&amp;(IF($C1124="","Commercial",$C1124))),Variables!$B$1:$D$1,0),1))*IFERROR(IF(W1124="","",(AVERAGE(E1124:F1124)-W1124)-Variables!$B$14),"")/365),""))</f>
        <v>9.3441384291409531</v>
      </c>
      <c r="AT1124" s="12">
        <f>IF($H1124="Cancelled","",IFERROR((T1124*INDEX(Variables!$B$7:$D$7,IFERROR(MATCH(IF($B1124="Robusta","Robusta",(IF($B1124="","Arabica",$B1124))&amp;" - "&amp;(IF($C1124="","Commercial",$C1124))),Variables!$B$1:$D$1,0),1))*AC1124/365)+(L1124/16.67*INDEX(Variables!$B$8:$D$8,IFERROR(MATCH(IF($B1124="Robusta","Robusta",(IF($B1124="","Arabica",$B1124))&amp;" - "&amp;(IF($C1124="","Commercial",$C1124))),Variables!$B$1:$D$1,0),1))*AC1124)+(T1124*INDEX(Variables!$B$9:$D$9,IFERROR(MATCH(IF($B1124="Robusta","Robusta",(IF($B1124="","Arabica",$B1124))&amp;" - "&amp;(IF($C1124="","Commercial",$C1124))),Variables!$B$1:$D$1,0),1))*AC1124/365),""))</f>
        <v>37.376553716563812</v>
      </c>
      <c r="AU1124" s="12" t="str">
        <f>IF($H1124="Cancelled","",IFERROR((T1124*INDEX(Variables!$B$7:$D$7,IFERROR(MATCH(IF($B1124="Robusta","Robusta",(IF($B1124="","Arabica",$B1124))&amp;" - "&amp;(IF($C1124="","Commercial",$C1124))),Variables!$B$1:$D$1,0),1))*AP1124/365)+(L1124/16.67*INDEX(Variables!$B$8:$D$8,IFERROR(MATCH(IF($B1124="Robusta","Robusta",(IF($B1124="","Arabica",$B1124))&amp;" - "&amp;(IF($C1124="","Commercial",$C1124))),Variables!$B$1:$D$1,0),1))*AP1124)+(T1124*INDEX(Variables!$B$9:$D$9,IFERROR(MATCH(IF($B1124="Robusta","Robusta",(IF($B1124="","Arabica",$B1124))&amp;" - "&amp;(IF($C1124="","Commercial",$C1124))),Variables!$B$1:$D$1,0),1))*AP1124/365),""))</f>
        <v/>
      </c>
      <c r="AV1124" s="11" t="str">
        <f t="shared" si="106"/>
        <v/>
      </c>
      <c r="AW1124" s="12" t="str">
        <f>IF($H1124="Cancelled","",IFERROR(IF(AV1124="","",(T1124*INDEX(Variables!$B$7:$D$7,IFERROR(MATCH(IF($B1124="Robusta","Robusta",(IF($B1124="","Arabica",$B1124))&amp;" - "&amp;(IF($C1124="","Commercial",$C1124))),Variables!$B$1:$D$1,0),1))*(AV1124/365))+(T1124*INDEX(Variables!$B$9:$D$9,IFERROR(MATCH(IF($B1124="Robusta","Robusta",(IF($B1124="","Arabica",$B1124))&amp;" - "&amp;(IF($C1124="","Commercial",$C1124))),Variables!$B$1:$D$1,0),1))*(AV1124/365))+(INDEX(Variables!$B$8:$D$8,IFERROR(MATCH(IF($B1124="Robusta","Robusta",(IF($B1124="","Arabica",$B1124))&amp;" - "&amp;(IF($C1124="","Commercial",$C1124))),Variables!$B$1:$D$1,0),1))*L1124/16.67)),""))</f>
        <v/>
      </c>
      <c r="AX1124" s="9"/>
      <c r="AY1124" s="12"/>
      <c r="AZ1124" s="10"/>
      <c r="BA1124" s="9"/>
      <c r="BB1124" s="10"/>
      <c r="BC1124" s="9"/>
      <c r="BD1124" s="9"/>
      <c r="BE1124" s="9"/>
      <c r="BF1124" s="9"/>
    </row>
    <row r="1125" spans="1:58" x14ac:dyDescent="0.25">
      <c r="A1125" s="9" t="s">
        <v>84</v>
      </c>
      <c r="B1125" s="9" t="s">
        <v>85</v>
      </c>
      <c r="C1125" s="9" t="s">
        <v>1486</v>
      </c>
      <c r="D1125" s="10">
        <v>46002</v>
      </c>
      <c r="E1125" s="10">
        <v>46023</v>
      </c>
      <c r="F1125" s="10">
        <v>46053</v>
      </c>
      <c r="G1125" s="9">
        <v>3787043</v>
      </c>
      <c r="H1125" s="9" t="str">
        <f t="shared" si="104"/>
        <v>Open</v>
      </c>
      <c r="I1125" s="9" t="str">
        <f t="shared" si="105"/>
        <v>No sailing date and No shipping advice sent and No docs dispatch date</v>
      </c>
      <c r="J1125" s="9" t="s">
        <v>2399</v>
      </c>
      <c r="K1125" s="9" t="s">
        <v>2407</v>
      </c>
      <c r="L1125" s="11">
        <v>25</v>
      </c>
      <c r="M1125" s="9" t="s">
        <v>2408</v>
      </c>
      <c r="N1125" s="9"/>
      <c r="O1125" s="9"/>
      <c r="P1125" s="9"/>
      <c r="Q1125" s="11">
        <v>155</v>
      </c>
      <c r="R1125" s="9" t="s">
        <v>195</v>
      </c>
      <c r="S1125" s="9" t="s">
        <v>228</v>
      </c>
      <c r="T1125" s="12">
        <f>IF($H1125="Cancelled","",IFERROR(((Q1125+INDEX(Variables!$B$6:$D$6,IFERROR(MATCH(IF($B1125="Robusta","Robusta",(IF($B1125="","Arabica",$B1125))&amp;" - "&amp;(IF($C1125="","Commercial",$C1125))),Variables!$B$1:$D$1,0),1)))*22.0462)*(L1125/16.67),""))</f>
        <v>14739.346070785839</v>
      </c>
      <c r="U1125" s="10"/>
      <c r="V1125" s="9" t="str">
        <f t="shared" si="109"/>
        <v/>
      </c>
      <c r="W1125" s="10">
        <v>46006</v>
      </c>
      <c r="X1125" s="9" t="str">
        <f t="shared" si="108"/>
        <v>Approved</v>
      </c>
      <c r="Y1125" s="10">
        <v>46037</v>
      </c>
      <c r="Z1125" s="10">
        <f>IF($H1125="Cancelled","",IFERROR(IF(F1125="","",F1125-Variables!$B$13),""))</f>
        <v>46038</v>
      </c>
      <c r="AA1125" s="11">
        <f>IF($H1125="Cancelled","",IFERROR(IF(W1125="","",(AVERAGE(E1125:F1125)-W1125)-Variables!$B$14),""))</f>
        <v>2</v>
      </c>
      <c r="AB1125" s="10">
        <v>46044</v>
      </c>
      <c r="AC1125" s="11">
        <f>IF($H1125="Cancelled","",IFERROR(IF(AB1125="","",IF(AND(W1125="",Y1125=""),"",IF(Y1125&gt;W1125,Y1125+Variables!$B$15+Variables!$B$16+Variables!$B$17-AB1125,W1125+Variables!$B$16+Variables!$B$17-AB1125))),""))</f>
        <v>8</v>
      </c>
      <c r="AD1125" s="9" t="s">
        <v>165</v>
      </c>
      <c r="AE1125" s="9" t="s">
        <v>818</v>
      </c>
      <c r="AF1125" s="10"/>
      <c r="AG1125" s="10"/>
      <c r="AH1125" s="9"/>
      <c r="AI1125" s="9"/>
      <c r="AJ1125" s="9"/>
      <c r="AK1125" s="10"/>
      <c r="AL1125" s="10"/>
      <c r="AM1125" s="10"/>
      <c r="AN1125" s="9" t="s">
        <v>2402</v>
      </c>
      <c r="AO1125" s="9"/>
      <c r="AP1125" s="11" t="str">
        <f>IF($H1125="Cancelled","",IFERROR(IF(OR(AK1125="",AB1125=""),"",(AB1125+Variables!$B$18-AK1125)),""))</f>
        <v/>
      </c>
      <c r="AQ1125" s="11" t="str">
        <f>IF($H1125="Cancelled","",IFERROR(IF(OR(AM1125="",AK1125=""),"",(AK1125+Variables!$B$19)-AM1125),""))</f>
        <v/>
      </c>
      <c r="AR1125" s="12" t="str">
        <f>IF($H1125="Cancelled","",IFERROR(T1125*INDEX(Variables!$B$7:$D$7,IFERROR(MATCH(IF($B1125="Robusta","Robusta",(IF($B1125="","Arabica",$B1125))&amp;" - "&amp;(IF($C1125="","Commercial",$C1125))),Variables!$B$1:$D$1,0),1))*(AQ1125/365),""))</f>
        <v/>
      </c>
      <c r="AS1125" s="12">
        <f>IF($H1125="Cancelled","",IFERROR((T1125*INDEX(Variables!$B$7:$D$7,IFERROR(MATCH(IF($B1125="Robusta","Robusta",(IF($B1125="","Arabica",$B1125))&amp;" - "&amp;(IF($C1125="","Commercial",$C1125))),Variables!$B$1:$D$1,0),1))*IFERROR(IF(W1125="","",(AVERAGE(E1125:F1125)-W1125)-Variables!$B$14),"")/365)+(L1125/16.67*INDEX(Variables!$B$8:$D$8,IFERROR(MATCH(IF($B1125="Robusta","Robusta",(IF($B1125="","Arabica",$B1125))&amp;" - "&amp;(IF($C1125="","Commercial",$C1125))),Variables!$B$1:$D$1,0),1))*IFERROR(IF(W1125="","",(AVERAGE(E1125:F1125)-W1125)-Variables!$B$14),""))+(T1125*INDEX(Variables!$B$9:$D$9,IFERROR(MATCH(IF($B1125="Robusta","Robusta",(IF($B1125="","Arabica",$B1125))&amp;" - "&amp;(IF($C1125="","Commercial",$C1125))),Variables!$B$1:$D$1,0),1))*IFERROR(IF(W1125="","",(AVERAGE(E1125:F1125)-W1125)-Variables!$B$14),"")/365),""))</f>
        <v>7.7749494772288816</v>
      </c>
      <c r="AT1125" s="12">
        <f>IF($H1125="Cancelled","",IFERROR((T1125*INDEX(Variables!$B$7:$D$7,IFERROR(MATCH(IF($B1125="Robusta","Robusta",(IF($B1125="","Arabica",$B1125))&amp;" - "&amp;(IF($C1125="","Commercial",$C1125))),Variables!$B$1:$D$1,0),1))*AC1125/365)+(L1125/16.67*INDEX(Variables!$B$8:$D$8,IFERROR(MATCH(IF($B1125="Robusta","Robusta",(IF($B1125="","Arabica",$B1125))&amp;" - "&amp;(IF($C1125="","Commercial",$C1125))),Variables!$B$1:$D$1,0),1))*AC1125)+(T1125*INDEX(Variables!$B$9:$D$9,IFERROR(MATCH(IF($B1125="Robusta","Robusta",(IF($B1125="","Arabica",$B1125))&amp;" - "&amp;(IF($C1125="","Commercial",$C1125))),Variables!$B$1:$D$1,0),1))*AC1125/365),""))</f>
        <v>31.099797908915527</v>
      </c>
      <c r="AU1125" s="12" t="str">
        <f>IF($H1125="Cancelled","",IFERROR((T1125*INDEX(Variables!$B$7:$D$7,IFERROR(MATCH(IF($B1125="Robusta","Robusta",(IF($B1125="","Arabica",$B1125))&amp;" - "&amp;(IF($C1125="","Commercial",$C1125))),Variables!$B$1:$D$1,0),1))*AP1125/365)+(L1125/16.67*INDEX(Variables!$B$8:$D$8,IFERROR(MATCH(IF($B1125="Robusta","Robusta",(IF($B1125="","Arabica",$B1125))&amp;" - "&amp;(IF($C1125="","Commercial",$C1125))),Variables!$B$1:$D$1,0),1))*AP1125)+(T1125*INDEX(Variables!$B$9:$D$9,IFERROR(MATCH(IF($B1125="Robusta","Robusta",(IF($B1125="","Arabica",$B1125))&amp;" - "&amp;(IF($C1125="","Commercial",$C1125))),Variables!$B$1:$D$1,0),1))*AP1125/365),""))</f>
        <v/>
      </c>
      <c r="AV1125" s="11" t="str">
        <f t="shared" si="106"/>
        <v/>
      </c>
      <c r="AW1125" s="12" t="str">
        <f>IF($H1125="Cancelled","",IFERROR(IF(AV1125="","",(T1125*INDEX(Variables!$B$7:$D$7,IFERROR(MATCH(IF($B1125="Robusta","Robusta",(IF($B1125="","Arabica",$B1125))&amp;" - "&amp;(IF($C1125="","Commercial",$C1125))),Variables!$B$1:$D$1,0),1))*(AV1125/365))+(T1125*INDEX(Variables!$B$9:$D$9,IFERROR(MATCH(IF($B1125="Robusta","Robusta",(IF($B1125="","Arabica",$B1125))&amp;" - "&amp;(IF($C1125="","Commercial",$C1125))),Variables!$B$1:$D$1,0),1))*(AV1125/365))+(INDEX(Variables!$B$8:$D$8,IFERROR(MATCH(IF($B1125="Robusta","Robusta",(IF($B1125="","Arabica",$B1125))&amp;" - "&amp;(IF($C1125="","Commercial",$C1125))),Variables!$B$1:$D$1,0),1))*L1125/16.67)),""))</f>
        <v/>
      </c>
      <c r="AX1125" s="9"/>
      <c r="AY1125" s="12"/>
      <c r="AZ1125" s="10"/>
      <c r="BA1125" s="9"/>
      <c r="BB1125" s="10"/>
      <c r="BC1125" s="9"/>
      <c r="BD1125" s="9"/>
      <c r="BE1125" s="9"/>
      <c r="BF1125" s="9"/>
    </row>
    <row r="1126" spans="1:58" x14ac:dyDescent="0.25">
      <c r="A1126" s="9" t="s">
        <v>84</v>
      </c>
      <c r="B1126" s="9" t="s">
        <v>85</v>
      </c>
      <c r="C1126" s="9" t="s">
        <v>1486</v>
      </c>
      <c r="D1126" s="10">
        <v>46002</v>
      </c>
      <c r="E1126" s="10">
        <v>46023</v>
      </c>
      <c r="F1126" s="10">
        <v>46053</v>
      </c>
      <c r="G1126" s="9">
        <v>3787045</v>
      </c>
      <c r="H1126" s="9" t="str">
        <f t="shared" si="104"/>
        <v>Open</v>
      </c>
      <c r="I1126" s="9" t="str">
        <f t="shared" si="105"/>
        <v>No sailing date and No shipping advice sent and No docs dispatch date</v>
      </c>
      <c r="J1126" s="9" t="s">
        <v>2399</v>
      </c>
      <c r="K1126" s="9" t="s">
        <v>2409</v>
      </c>
      <c r="L1126" s="11">
        <v>30</v>
      </c>
      <c r="M1126" s="9" t="s">
        <v>2410</v>
      </c>
      <c r="N1126" s="9"/>
      <c r="O1126" s="9"/>
      <c r="P1126" s="9"/>
      <c r="Q1126" s="11">
        <v>135</v>
      </c>
      <c r="R1126" s="9" t="s">
        <v>195</v>
      </c>
      <c r="S1126" s="9" t="s">
        <v>228</v>
      </c>
      <c r="T1126" s="12">
        <f>IF($H1126="Cancelled","",IFERROR(((Q1126+INDEX(Variables!$B$6:$D$6,IFERROR(MATCH(IF($B1126="Robusta","Robusta",(IF($B1126="","Arabica",$B1126))&amp;" - "&amp;(IF($C1126="","Commercial",$C1126))),Variables!$B$1:$D$1,0),1)))*22.0462)*(L1126/16.67),""))</f>
        <v>16893.710785842832</v>
      </c>
      <c r="U1126" s="10"/>
      <c r="V1126" s="9" t="str">
        <f t="shared" si="109"/>
        <v/>
      </c>
      <c r="W1126" s="10">
        <v>46006</v>
      </c>
      <c r="X1126" s="9" t="str">
        <f t="shared" si="108"/>
        <v>Approved</v>
      </c>
      <c r="Y1126" s="10">
        <v>46037</v>
      </c>
      <c r="Z1126" s="10">
        <f>IF($H1126="Cancelled","",IFERROR(IF(F1126="","",F1126-Variables!$B$13),""))</f>
        <v>46038</v>
      </c>
      <c r="AA1126" s="11">
        <f>IF($H1126="Cancelled","",IFERROR(IF(W1126="","",(AVERAGE(E1126:F1126)-W1126)-Variables!$B$14),""))</f>
        <v>2</v>
      </c>
      <c r="AB1126" s="10">
        <v>46044</v>
      </c>
      <c r="AC1126" s="11">
        <f>IF($H1126="Cancelled","",IFERROR(IF(AB1126="","",IF(AND(W1126="",Y1126=""),"",IF(Y1126&gt;W1126,Y1126+Variables!$B$15+Variables!$B$16+Variables!$B$17-AB1126,W1126+Variables!$B$16+Variables!$B$17-AB1126))),""))</f>
        <v>8</v>
      </c>
      <c r="AD1126" s="9" t="s">
        <v>165</v>
      </c>
      <c r="AE1126" s="9" t="s">
        <v>818</v>
      </c>
      <c r="AF1126" s="10"/>
      <c r="AG1126" s="10"/>
      <c r="AH1126" s="9"/>
      <c r="AI1126" s="9"/>
      <c r="AJ1126" s="9"/>
      <c r="AK1126" s="10"/>
      <c r="AL1126" s="10"/>
      <c r="AM1126" s="10"/>
      <c r="AN1126" s="9" t="s">
        <v>2402</v>
      </c>
      <c r="AO1126" s="9"/>
      <c r="AP1126" s="11" t="str">
        <f>IF($H1126="Cancelled","",IFERROR(IF(OR(AK1126="",AB1126=""),"",(AB1126+Variables!$B$18-AK1126)),""))</f>
        <v/>
      </c>
      <c r="AQ1126" s="11" t="str">
        <f>IF($H1126="Cancelled","",IFERROR(IF(OR(AM1126="",AK1126=""),"",(AK1126+Variables!$B$19)-AM1126),""))</f>
        <v/>
      </c>
      <c r="AR1126" s="12" t="str">
        <f>IF($H1126="Cancelled","",IFERROR(T1126*INDEX(Variables!$B$7:$D$7,IFERROR(MATCH(IF($B1126="Robusta","Robusta",(IF($B1126="","Arabica",$B1126))&amp;" - "&amp;(IF($C1126="","Commercial",$C1126))),Variables!$B$1:$D$1,0),1))*(AQ1126/365),""))</f>
        <v/>
      </c>
      <c r="AS1126" s="12">
        <f>IF($H1126="Cancelled","",IFERROR((T1126*INDEX(Variables!$B$7:$D$7,IFERROR(MATCH(IF($B1126="Robusta","Robusta",(IF($B1126="","Arabica",$B1126))&amp;" - "&amp;(IF($C1126="","Commercial",$C1126))),Variables!$B$1:$D$1,0),1))*IFERROR(IF(W1126="","",(AVERAGE(E1126:F1126)-W1126)-Variables!$B$14),"")/365)+(L1126/16.67*INDEX(Variables!$B$8:$D$8,IFERROR(MATCH(IF($B1126="Robusta","Robusta",(IF($B1126="","Arabica",$B1126))&amp;" - "&amp;(IF($C1126="","Commercial",$C1126))),Variables!$B$1:$D$1,0),1))*IFERROR(IF(W1126="","",(AVERAGE(E1126:F1126)-W1126)-Variables!$B$14),""))+(T1126*INDEX(Variables!$B$9:$D$9,IFERROR(MATCH(IF($B1126="Robusta","Robusta",(IF($B1126="","Arabica",$B1126))&amp;" - "&amp;(IF($C1126="","Commercial",$C1126))),Variables!$B$1:$D$1,0),1))*IFERROR(IF(W1126="","",(AVERAGE(E1126:F1126)-W1126)-Variables!$B$14),"")/365),""))</f>
        <v>9.0459582433487444</v>
      </c>
      <c r="AT1126" s="12">
        <f>IF($H1126="Cancelled","",IFERROR((T1126*INDEX(Variables!$B$7:$D$7,IFERROR(MATCH(IF($B1126="Robusta","Robusta",(IF($B1126="","Arabica",$B1126))&amp;" - "&amp;(IF($C1126="","Commercial",$C1126))),Variables!$B$1:$D$1,0),1))*AC1126/365)+(L1126/16.67*INDEX(Variables!$B$8:$D$8,IFERROR(MATCH(IF($B1126="Robusta","Robusta",(IF($B1126="","Arabica",$B1126))&amp;" - "&amp;(IF($C1126="","Commercial",$C1126))),Variables!$B$1:$D$1,0),1))*AC1126)+(T1126*INDEX(Variables!$B$9:$D$9,IFERROR(MATCH(IF($B1126="Robusta","Robusta",(IF($B1126="","Arabica",$B1126))&amp;" - "&amp;(IF($C1126="","Commercial",$C1126))),Variables!$B$1:$D$1,0),1))*AC1126/365),""))</f>
        <v>36.183832973394978</v>
      </c>
      <c r="AU1126" s="12" t="str">
        <f>IF($H1126="Cancelled","",IFERROR((T1126*INDEX(Variables!$B$7:$D$7,IFERROR(MATCH(IF($B1126="Robusta","Robusta",(IF($B1126="","Arabica",$B1126))&amp;" - "&amp;(IF($C1126="","Commercial",$C1126))),Variables!$B$1:$D$1,0),1))*AP1126/365)+(L1126/16.67*INDEX(Variables!$B$8:$D$8,IFERROR(MATCH(IF($B1126="Robusta","Robusta",(IF($B1126="","Arabica",$B1126))&amp;" - "&amp;(IF($C1126="","Commercial",$C1126))),Variables!$B$1:$D$1,0),1))*AP1126)+(T1126*INDEX(Variables!$B$9:$D$9,IFERROR(MATCH(IF($B1126="Robusta","Robusta",(IF($B1126="","Arabica",$B1126))&amp;" - "&amp;(IF($C1126="","Commercial",$C1126))),Variables!$B$1:$D$1,0),1))*AP1126/365),""))</f>
        <v/>
      </c>
      <c r="AV1126" s="11" t="str">
        <f t="shared" si="106"/>
        <v/>
      </c>
      <c r="AW1126" s="12" t="str">
        <f>IF($H1126="Cancelled","",IFERROR(IF(AV1126="","",(T1126*INDEX(Variables!$B$7:$D$7,IFERROR(MATCH(IF($B1126="Robusta","Robusta",(IF($B1126="","Arabica",$B1126))&amp;" - "&amp;(IF($C1126="","Commercial",$C1126))),Variables!$B$1:$D$1,0),1))*(AV1126/365))+(T1126*INDEX(Variables!$B$9:$D$9,IFERROR(MATCH(IF($B1126="Robusta","Robusta",(IF($B1126="","Arabica",$B1126))&amp;" - "&amp;(IF($C1126="","Commercial",$C1126))),Variables!$B$1:$D$1,0),1))*(AV1126/365))+(INDEX(Variables!$B$8:$D$8,IFERROR(MATCH(IF($B1126="Robusta","Robusta",(IF($B1126="","Arabica",$B1126))&amp;" - "&amp;(IF($C1126="","Commercial",$C1126))),Variables!$B$1:$D$1,0),1))*L1126/16.67)),""))</f>
        <v/>
      </c>
      <c r="AX1126" s="9"/>
      <c r="AY1126" s="12"/>
      <c r="AZ1126" s="10"/>
      <c r="BA1126" s="9"/>
      <c r="BB1126" s="10"/>
      <c r="BC1126" s="9"/>
      <c r="BD1126" s="9"/>
      <c r="BE1126" s="9"/>
      <c r="BF1126" s="9"/>
    </row>
    <row r="1127" spans="1:58" x14ac:dyDescent="0.25">
      <c r="A1127" s="9" t="s">
        <v>84</v>
      </c>
      <c r="B1127" s="9" t="s">
        <v>85</v>
      </c>
      <c r="C1127" s="9" t="s">
        <v>1486</v>
      </c>
      <c r="D1127" s="10">
        <v>46002</v>
      </c>
      <c r="E1127" s="10">
        <v>46023</v>
      </c>
      <c r="F1127" s="10">
        <v>46053</v>
      </c>
      <c r="G1127" s="9">
        <v>3787047</v>
      </c>
      <c r="H1127" s="9" t="str">
        <f t="shared" si="104"/>
        <v>Open</v>
      </c>
      <c r="I1127" s="9" t="str">
        <f t="shared" si="105"/>
        <v>No sailing date and No shipping advice sent and No docs dispatch date</v>
      </c>
      <c r="J1127" s="9" t="s">
        <v>2399</v>
      </c>
      <c r="K1127" s="9" t="s">
        <v>2411</v>
      </c>
      <c r="L1127" s="11">
        <v>30</v>
      </c>
      <c r="M1127" s="9" t="s">
        <v>2412</v>
      </c>
      <c r="N1127" s="9"/>
      <c r="O1127" s="9"/>
      <c r="P1127" s="9"/>
      <c r="Q1127" s="11">
        <v>118</v>
      </c>
      <c r="R1127" s="9" t="s">
        <v>195</v>
      </c>
      <c r="S1127" s="9" t="s">
        <v>228</v>
      </c>
      <c r="T1127" s="12">
        <f>IF($H1127="Cancelled","",IFERROR(((Q1127+INDEX(Variables!$B$6:$D$6,IFERROR(MATCH(IF($B1127="Robusta","Robusta",(IF($B1127="","Arabica",$B1127))&amp;" - "&amp;(IF($C1127="","Commercial",$C1127))),Variables!$B$1:$D$1,0),1)))*22.0462)*(L1127/16.67),""))</f>
        <v>16219.231961607677</v>
      </c>
      <c r="U1127" s="10"/>
      <c r="V1127" s="9" t="str">
        <f t="shared" si="109"/>
        <v/>
      </c>
      <c r="W1127" s="10">
        <v>46006</v>
      </c>
      <c r="X1127" s="9" t="str">
        <f t="shared" si="108"/>
        <v>Approved</v>
      </c>
      <c r="Y1127" s="10">
        <v>46037</v>
      </c>
      <c r="Z1127" s="10">
        <f>IF($H1127="Cancelled","",IFERROR(IF(F1127="","",F1127-Variables!$B$13),""))</f>
        <v>46038</v>
      </c>
      <c r="AA1127" s="11">
        <f>IF($H1127="Cancelled","",IFERROR(IF(W1127="","",(AVERAGE(E1127:F1127)-W1127)-Variables!$B$14),""))</f>
        <v>2</v>
      </c>
      <c r="AB1127" s="10">
        <v>46044</v>
      </c>
      <c r="AC1127" s="11">
        <f>IF($H1127="Cancelled","",IFERROR(IF(AB1127="","",IF(AND(W1127="",Y1127=""),"",IF(Y1127&gt;W1127,Y1127+Variables!$B$15+Variables!$B$16+Variables!$B$17-AB1127,W1127+Variables!$B$16+Variables!$B$17-AB1127))),""))</f>
        <v>8</v>
      </c>
      <c r="AD1127" s="9" t="s">
        <v>165</v>
      </c>
      <c r="AE1127" s="9" t="s">
        <v>818</v>
      </c>
      <c r="AF1127" s="10"/>
      <c r="AG1127" s="10"/>
      <c r="AH1127" s="9"/>
      <c r="AI1127" s="9"/>
      <c r="AJ1127" s="9"/>
      <c r="AK1127" s="10"/>
      <c r="AL1127" s="10"/>
      <c r="AM1127" s="10"/>
      <c r="AN1127" s="9" t="s">
        <v>2402</v>
      </c>
      <c r="AO1127" s="9"/>
      <c r="AP1127" s="11" t="str">
        <f>IF($H1127="Cancelled","",IFERROR(IF(OR(AK1127="",AB1127=""),"",(AB1127+Variables!$B$18-AK1127)),""))</f>
        <v/>
      </c>
      <c r="AQ1127" s="11" t="str">
        <f>IF($H1127="Cancelled","",IFERROR(IF(OR(AM1127="",AK1127=""),"",(AK1127+Variables!$B$19)-AM1127),""))</f>
        <v/>
      </c>
      <c r="AR1127" s="12" t="str">
        <f>IF($H1127="Cancelled","",IFERROR(T1127*INDEX(Variables!$B$7:$D$7,IFERROR(MATCH(IF($B1127="Robusta","Robusta",(IF($B1127="","Arabica",$B1127))&amp;" - "&amp;(IF($C1127="","Commercial",$C1127))),Variables!$B$1:$D$1,0),1))*(AQ1127/365),""))</f>
        <v/>
      </c>
      <c r="AS1127" s="12">
        <f>IF($H1127="Cancelled","",IFERROR((T1127*INDEX(Variables!$B$7:$D$7,IFERROR(MATCH(IF($B1127="Robusta","Robusta",(IF($B1127="","Arabica",$B1127))&amp;" - "&amp;(IF($C1127="","Commercial",$C1127))),Variables!$B$1:$D$1,0),1))*IFERROR(IF(W1127="","",(AVERAGE(E1127:F1127)-W1127)-Variables!$B$14),"")/365)+(L1127/16.67*INDEX(Variables!$B$8:$D$8,IFERROR(MATCH(IF($B1127="Robusta","Robusta",(IF($B1127="","Arabica",$B1127))&amp;" - "&amp;(IF($C1127="","Commercial",$C1127))),Variables!$B$1:$D$1,0),1))*IFERROR(IF(W1127="","",(AVERAGE(E1127:F1127)-W1127)-Variables!$B$14),""))+(T1127*INDEX(Variables!$B$9:$D$9,IFERROR(MATCH(IF($B1127="Robusta","Robusta",(IF($B1127="","Arabica",$B1127))&amp;" - "&amp;(IF($C1127="","Commercial",$C1127))),Variables!$B$1:$D$1,0),1))*IFERROR(IF(W1127="","",(AVERAGE(E1127:F1127)-W1127)-Variables!$B$14),"")/365),""))</f>
        <v>8.8045742834217151</v>
      </c>
      <c r="AT1127" s="12">
        <f>IF($H1127="Cancelled","",IFERROR((T1127*INDEX(Variables!$B$7:$D$7,IFERROR(MATCH(IF($B1127="Robusta","Robusta",(IF($B1127="","Arabica",$B1127))&amp;" - "&amp;(IF($C1127="","Commercial",$C1127))),Variables!$B$1:$D$1,0),1))*AC1127/365)+(L1127/16.67*INDEX(Variables!$B$8:$D$8,IFERROR(MATCH(IF($B1127="Robusta","Robusta",(IF($B1127="","Arabica",$B1127))&amp;" - "&amp;(IF($C1127="","Commercial",$C1127))),Variables!$B$1:$D$1,0),1))*AC1127)+(T1127*INDEX(Variables!$B$9:$D$9,IFERROR(MATCH(IF($B1127="Robusta","Robusta",(IF($B1127="","Arabica",$B1127))&amp;" - "&amp;(IF($C1127="","Commercial",$C1127))),Variables!$B$1:$D$1,0),1))*AC1127/365),""))</f>
        <v>35.21829713368686</v>
      </c>
      <c r="AU1127" s="12" t="str">
        <f>IF($H1127="Cancelled","",IFERROR((T1127*INDEX(Variables!$B$7:$D$7,IFERROR(MATCH(IF($B1127="Robusta","Robusta",(IF($B1127="","Arabica",$B1127))&amp;" - "&amp;(IF($C1127="","Commercial",$C1127))),Variables!$B$1:$D$1,0),1))*AP1127/365)+(L1127/16.67*INDEX(Variables!$B$8:$D$8,IFERROR(MATCH(IF($B1127="Robusta","Robusta",(IF($B1127="","Arabica",$B1127))&amp;" - "&amp;(IF($C1127="","Commercial",$C1127))),Variables!$B$1:$D$1,0),1))*AP1127)+(T1127*INDEX(Variables!$B$9:$D$9,IFERROR(MATCH(IF($B1127="Robusta","Robusta",(IF($B1127="","Arabica",$B1127))&amp;" - "&amp;(IF($C1127="","Commercial",$C1127))),Variables!$B$1:$D$1,0),1))*AP1127/365),""))</f>
        <v/>
      </c>
      <c r="AV1127" s="11" t="str">
        <f t="shared" si="106"/>
        <v/>
      </c>
      <c r="AW1127" s="12" t="str">
        <f>IF($H1127="Cancelled","",IFERROR(IF(AV1127="","",(T1127*INDEX(Variables!$B$7:$D$7,IFERROR(MATCH(IF($B1127="Robusta","Robusta",(IF($B1127="","Arabica",$B1127))&amp;" - "&amp;(IF($C1127="","Commercial",$C1127))),Variables!$B$1:$D$1,0),1))*(AV1127/365))+(T1127*INDEX(Variables!$B$9:$D$9,IFERROR(MATCH(IF($B1127="Robusta","Robusta",(IF($B1127="","Arabica",$B1127))&amp;" - "&amp;(IF($C1127="","Commercial",$C1127))),Variables!$B$1:$D$1,0),1))*(AV1127/365))+(INDEX(Variables!$B$8:$D$8,IFERROR(MATCH(IF($B1127="Robusta","Robusta",(IF($B1127="","Arabica",$B1127))&amp;" - "&amp;(IF($C1127="","Commercial",$C1127))),Variables!$B$1:$D$1,0),1))*L1127/16.67)),""))</f>
        <v/>
      </c>
      <c r="AX1127" s="9"/>
      <c r="AY1127" s="12"/>
      <c r="AZ1127" s="10"/>
      <c r="BA1127" s="9"/>
      <c r="BB1127" s="10"/>
      <c r="BC1127" s="9"/>
      <c r="BD1127" s="9"/>
      <c r="BE1127" s="9"/>
      <c r="BF1127" s="9"/>
    </row>
    <row r="1128" spans="1:58" x14ac:dyDescent="0.25">
      <c r="A1128" s="9" t="s">
        <v>84</v>
      </c>
      <c r="B1128" s="9" t="s">
        <v>85</v>
      </c>
      <c r="C1128" s="9" t="s">
        <v>1486</v>
      </c>
      <c r="D1128" s="10">
        <v>46002</v>
      </c>
      <c r="E1128" s="10">
        <v>46023</v>
      </c>
      <c r="F1128" s="10">
        <v>46053</v>
      </c>
      <c r="G1128" s="9">
        <v>3787048</v>
      </c>
      <c r="H1128" s="9" t="str">
        <f t="shared" si="104"/>
        <v>Open</v>
      </c>
      <c r="I1128" s="9" t="str">
        <f t="shared" si="105"/>
        <v>No sailing date and No shipping advice sent and No docs dispatch date</v>
      </c>
      <c r="J1128" s="9" t="s">
        <v>2399</v>
      </c>
      <c r="K1128" s="9" t="s">
        <v>2413</v>
      </c>
      <c r="L1128" s="11">
        <v>30</v>
      </c>
      <c r="M1128" s="9" t="s">
        <v>2414</v>
      </c>
      <c r="N1128" s="9"/>
      <c r="O1128" s="9"/>
      <c r="P1128" s="9"/>
      <c r="Q1128" s="11">
        <v>119</v>
      </c>
      <c r="R1128" s="9" t="s">
        <v>195</v>
      </c>
      <c r="S1128" s="9" t="s">
        <v>228</v>
      </c>
      <c r="T1128" s="12">
        <f>IF($H1128="Cancelled","",IFERROR(((Q1128+INDEX(Variables!$B$6:$D$6,IFERROR(MATCH(IF($B1128="Robusta","Robusta",(IF($B1128="","Arabica",$B1128))&amp;" - "&amp;(IF($C1128="","Commercial",$C1128))),Variables!$B$1:$D$1,0),1)))*22.0462)*(L1128/16.67),""))</f>
        <v>16258.907186562687</v>
      </c>
      <c r="U1128" s="10"/>
      <c r="V1128" s="9" t="str">
        <f t="shared" si="109"/>
        <v/>
      </c>
      <c r="W1128" s="10">
        <v>46006</v>
      </c>
      <c r="X1128" s="9" t="str">
        <f t="shared" si="108"/>
        <v>Approved</v>
      </c>
      <c r="Y1128" s="10">
        <v>46037</v>
      </c>
      <c r="Z1128" s="10">
        <f>IF($H1128="Cancelled","",IFERROR(IF(F1128="","",F1128-Variables!$B$13),""))</f>
        <v>46038</v>
      </c>
      <c r="AA1128" s="11">
        <f>IF($H1128="Cancelled","",IFERROR(IF(W1128="","",(AVERAGE(E1128:F1128)-W1128)-Variables!$B$14),""))</f>
        <v>2</v>
      </c>
      <c r="AB1128" s="10">
        <v>46044</v>
      </c>
      <c r="AC1128" s="11">
        <f>IF($H1128="Cancelled","",IFERROR(IF(AB1128="","",IF(AND(W1128="",Y1128=""),"",IF(Y1128&gt;W1128,Y1128+Variables!$B$15+Variables!$B$16+Variables!$B$17-AB1128,W1128+Variables!$B$16+Variables!$B$17-AB1128))),""))</f>
        <v>8</v>
      </c>
      <c r="AD1128" s="9" t="s">
        <v>165</v>
      </c>
      <c r="AE1128" s="9" t="s">
        <v>818</v>
      </c>
      <c r="AF1128" s="10"/>
      <c r="AG1128" s="10"/>
      <c r="AH1128" s="9"/>
      <c r="AI1128" s="9"/>
      <c r="AJ1128" s="9"/>
      <c r="AK1128" s="10"/>
      <c r="AL1128" s="10"/>
      <c r="AM1128" s="10"/>
      <c r="AN1128" s="9" t="s">
        <v>2402</v>
      </c>
      <c r="AO1128" s="9"/>
      <c r="AP1128" s="11" t="str">
        <f>IF($H1128="Cancelled","",IFERROR(IF(OR(AK1128="",AB1128=""),"",(AB1128+Variables!$B$18-AK1128)),""))</f>
        <v/>
      </c>
      <c r="AQ1128" s="11" t="str">
        <f>IF($H1128="Cancelled","",IFERROR(IF(OR(AM1128="",AK1128=""),"",(AK1128+Variables!$B$19)-AM1128),""))</f>
        <v/>
      </c>
      <c r="AR1128" s="12" t="str">
        <f>IF($H1128="Cancelled","",IFERROR(T1128*INDEX(Variables!$B$7:$D$7,IFERROR(MATCH(IF($B1128="Robusta","Robusta",(IF($B1128="","Arabica",$B1128))&amp;" - "&amp;(IF($C1128="","Commercial",$C1128))),Variables!$B$1:$D$1,0),1))*(AQ1128/365),""))</f>
        <v/>
      </c>
      <c r="AS1128" s="12">
        <f>IF($H1128="Cancelled","",IFERROR((T1128*INDEX(Variables!$B$7:$D$7,IFERROR(MATCH(IF($B1128="Robusta","Robusta",(IF($B1128="","Arabica",$B1128))&amp;" - "&amp;(IF($C1128="","Commercial",$C1128))),Variables!$B$1:$D$1,0),1))*IFERROR(IF(W1128="","",(AVERAGE(E1128:F1128)-W1128)-Variables!$B$14),"")/365)+(L1128/16.67*INDEX(Variables!$B$8:$D$8,IFERROR(MATCH(IF($B1128="Robusta","Robusta",(IF($B1128="","Arabica",$B1128))&amp;" - "&amp;(IF($C1128="","Commercial",$C1128))),Variables!$B$1:$D$1,0),1))*IFERROR(IF(W1128="","",(AVERAGE(E1128:F1128)-W1128)-Variables!$B$14),""))+(T1128*INDEX(Variables!$B$9:$D$9,IFERROR(MATCH(IF($B1128="Robusta","Robusta",(IF($B1128="","Arabica",$B1128))&amp;" - "&amp;(IF($C1128="","Commercial",$C1128))),Variables!$B$1:$D$1,0),1))*IFERROR(IF(W1128="","",(AVERAGE(E1128:F1128)-W1128)-Variables!$B$14),"")/365),""))</f>
        <v>8.8187733398880113</v>
      </c>
      <c r="AT1128" s="12">
        <f>IF($H1128="Cancelled","",IFERROR((T1128*INDEX(Variables!$B$7:$D$7,IFERROR(MATCH(IF($B1128="Robusta","Robusta",(IF($B1128="","Arabica",$B1128))&amp;" - "&amp;(IF($C1128="","Commercial",$C1128))),Variables!$B$1:$D$1,0),1))*AC1128/365)+(L1128/16.67*INDEX(Variables!$B$8:$D$8,IFERROR(MATCH(IF($B1128="Robusta","Robusta",(IF($B1128="","Arabica",$B1128))&amp;" - "&amp;(IF($C1128="","Commercial",$C1128))),Variables!$B$1:$D$1,0),1))*AC1128)+(T1128*INDEX(Variables!$B$9:$D$9,IFERROR(MATCH(IF($B1128="Robusta","Robusta",(IF($B1128="","Arabica",$B1128))&amp;" - "&amp;(IF($C1128="","Commercial",$C1128))),Variables!$B$1:$D$1,0),1))*AC1128/365),""))</f>
        <v>35.275093359552045</v>
      </c>
      <c r="AU1128" s="12" t="str">
        <f>IF($H1128="Cancelled","",IFERROR((T1128*INDEX(Variables!$B$7:$D$7,IFERROR(MATCH(IF($B1128="Robusta","Robusta",(IF($B1128="","Arabica",$B1128))&amp;" - "&amp;(IF($C1128="","Commercial",$C1128))),Variables!$B$1:$D$1,0),1))*AP1128/365)+(L1128/16.67*INDEX(Variables!$B$8:$D$8,IFERROR(MATCH(IF($B1128="Robusta","Robusta",(IF($B1128="","Arabica",$B1128))&amp;" - "&amp;(IF($C1128="","Commercial",$C1128))),Variables!$B$1:$D$1,0),1))*AP1128)+(T1128*INDEX(Variables!$B$9:$D$9,IFERROR(MATCH(IF($B1128="Robusta","Robusta",(IF($B1128="","Arabica",$B1128))&amp;" - "&amp;(IF($C1128="","Commercial",$C1128))),Variables!$B$1:$D$1,0),1))*AP1128/365),""))</f>
        <v/>
      </c>
      <c r="AV1128" s="11" t="str">
        <f t="shared" si="106"/>
        <v/>
      </c>
      <c r="AW1128" s="12" t="str">
        <f>IF($H1128="Cancelled","",IFERROR(IF(AV1128="","",(T1128*INDEX(Variables!$B$7:$D$7,IFERROR(MATCH(IF($B1128="Robusta","Robusta",(IF($B1128="","Arabica",$B1128))&amp;" - "&amp;(IF($C1128="","Commercial",$C1128))),Variables!$B$1:$D$1,0),1))*(AV1128/365))+(T1128*INDEX(Variables!$B$9:$D$9,IFERROR(MATCH(IF($B1128="Robusta","Robusta",(IF($B1128="","Arabica",$B1128))&amp;" - "&amp;(IF($C1128="","Commercial",$C1128))),Variables!$B$1:$D$1,0),1))*(AV1128/365))+(INDEX(Variables!$B$8:$D$8,IFERROR(MATCH(IF($B1128="Robusta","Robusta",(IF($B1128="","Arabica",$B1128))&amp;" - "&amp;(IF($C1128="","Commercial",$C1128))),Variables!$B$1:$D$1,0),1))*L1128/16.67)),""))</f>
        <v/>
      </c>
      <c r="AX1128" s="9"/>
      <c r="AY1128" s="12"/>
      <c r="AZ1128" s="10"/>
      <c r="BA1128" s="9"/>
      <c r="BB1128" s="10"/>
      <c r="BC1128" s="9"/>
      <c r="BD1128" s="9"/>
      <c r="BE1128" s="9"/>
      <c r="BF1128" s="9"/>
    </row>
    <row r="1129" spans="1:58" x14ac:dyDescent="0.25">
      <c r="A1129" s="9" t="s">
        <v>84</v>
      </c>
      <c r="B1129" s="9" t="s">
        <v>85</v>
      </c>
      <c r="C1129" s="9" t="s">
        <v>1486</v>
      </c>
      <c r="D1129" s="10">
        <v>46002</v>
      </c>
      <c r="E1129" s="10">
        <v>46023</v>
      </c>
      <c r="F1129" s="10">
        <v>46053</v>
      </c>
      <c r="G1129" s="9">
        <v>3787049</v>
      </c>
      <c r="H1129" s="9" t="str">
        <f t="shared" si="104"/>
        <v>Open</v>
      </c>
      <c r="I1129" s="9" t="str">
        <f t="shared" si="105"/>
        <v>No sailing date and No shipping advice sent and No docs dispatch date</v>
      </c>
      <c r="J1129" s="9" t="s">
        <v>2399</v>
      </c>
      <c r="K1129" s="9" t="s">
        <v>2415</v>
      </c>
      <c r="L1129" s="11">
        <v>38</v>
      </c>
      <c r="M1129" s="9" t="s">
        <v>2416</v>
      </c>
      <c r="N1129" s="9"/>
      <c r="O1129" s="9"/>
      <c r="P1129" s="9"/>
      <c r="Q1129" s="11">
        <v>121</v>
      </c>
      <c r="R1129" s="9" t="s">
        <v>195</v>
      </c>
      <c r="S1129" s="9" t="s">
        <v>228</v>
      </c>
      <c r="T1129" s="12">
        <f>IF($H1129="Cancelled","",IFERROR(((Q1129+INDEX(Variables!$B$6:$D$6,IFERROR(MATCH(IF($B1129="Robusta","Robusta",(IF($B1129="","Arabica",$B1129))&amp;" - "&amp;(IF($C1129="","Commercial",$C1129))),Variables!$B$1:$D$1,0),1)))*22.0462)*(L1129/16.67),""))</f>
        <v>20695.126339532093</v>
      </c>
      <c r="U1129" s="10"/>
      <c r="V1129" s="9" t="str">
        <f t="shared" si="109"/>
        <v/>
      </c>
      <c r="W1129" s="10">
        <v>46006</v>
      </c>
      <c r="X1129" s="9" t="str">
        <f t="shared" si="108"/>
        <v>Approved</v>
      </c>
      <c r="Y1129" s="10">
        <v>46037</v>
      </c>
      <c r="Z1129" s="10">
        <f>IF($H1129="Cancelled","",IFERROR(IF(F1129="","",F1129-Variables!$B$13),""))</f>
        <v>46038</v>
      </c>
      <c r="AA1129" s="11">
        <f>IF($H1129="Cancelled","",IFERROR(IF(W1129="","",(AVERAGE(E1129:F1129)-W1129)-Variables!$B$14),""))</f>
        <v>2</v>
      </c>
      <c r="AB1129" s="10">
        <v>46044</v>
      </c>
      <c r="AC1129" s="11">
        <f>IF($H1129="Cancelled","",IFERROR(IF(AB1129="","",IF(AND(W1129="",Y1129=""),"",IF(Y1129&gt;W1129,Y1129+Variables!$B$15+Variables!$B$16+Variables!$B$17-AB1129,W1129+Variables!$B$16+Variables!$B$17-AB1129))),""))</f>
        <v>8</v>
      </c>
      <c r="AD1129" s="9" t="s">
        <v>165</v>
      </c>
      <c r="AE1129" s="9" t="s">
        <v>818</v>
      </c>
      <c r="AF1129" s="10"/>
      <c r="AG1129" s="10"/>
      <c r="AH1129" s="9"/>
      <c r="AI1129" s="9"/>
      <c r="AJ1129" s="9"/>
      <c r="AK1129" s="10"/>
      <c r="AL1129" s="10"/>
      <c r="AM1129" s="10"/>
      <c r="AN1129" s="9" t="s">
        <v>2402</v>
      </c>
      <c r="AO1129" s="9"/>
      <c r="AP1129" s="11" t="str">
        <f>IF($H1129="Cancelled","",IFERROR(IF(OR(AK1129="",AB1129=""),"",(AB1129+Variables!$B$18-AK1129)),""))</f>
        <v/>
      </c>
      <c r="AQ1129" s="11" t="str">
        <f>IF($H1129="Cancelled","",IFERROR(IF(OR(AM1129="",AK1129=""),"",(AK1129+Variables!$B$19)-AM1129),""))</f>
        <v/>
      </c>
      <c r="AR1129" s="12" t="str">
        <f>IF($H1129="Cancelled","",IFERROR(T1129*INDEX(Variables!$B$7:$D$7,IFERROR(MATCH(IF($B1129="Robusta","Robusta",(IF($B1129="","Arabica",$B1129))&amp;" - "&amp;(IF($C1129="","Commercial",$C1129))),Variables!$B$1:$D$1,0),1))*(AQ1129/365),""))</f>
        <v/>
      </c>
      <c r="AS1129" s="12">
        <f>IF($H1129="Cancelled","",IFERROR((T1129*INDEX(Variables!$B$7:$D$7,IFERROR(MATCH(IF($B1129="Robusta","Robusta",(IF($B1129="","Arabica",$B1129))&amp;" - "&amp;(IF($C1129="","Commercial",$C1129))),Variables!$B$1:$D$1,0),1))*IFERROR(IF(W1129="","",(AVERAGE(E1129:F1129)-W1129)-Variables!$B$14),"")/365)+(L1129/16.67*INDEX(Variables!$B$8:$D$8,IFERROR(MATCH(IF($B1129="Robusta","Robusta",(IF($B1129="","Arabica",$B1129))&amp;" - "&amp;(IF($C1129="","Commercial",$C1129))),Variables!$B$1:$D$1,0),1))*IFERROR(IF(W1129="","",(AVERAGE(E1129:F1129)-W1129)-Variables!$B$14),""))+(T1129*INDEX(Variables!$B$9:$D$9,IFERROR(MATCH(IF($B1129="Robusta","Robusta",(IF($B1129="","Arabica",$B1129))&amp;" - "&amp;(IF($C1129="","Commercial",$C1129))),Variables!$B$1:$D$1,0),1))*IFERROR(IF(W1129="","",(AVERAGE(E1129:F1129)-W1129)-Variables!$B$14),"")/365),""))</f>
        <v>11.206417173572765</v>
      </c>
      <c r="AT1129" s="12">
        <f>IF($H1129="Cancelled","",IFERROR((T1129*INDEX(Variables!$B$7:$D$7,IFERROR(MATCH(IF($B1129="Robusta","Robusta",(IF($B1129="","Arabica",$B1129))&amp;" - "&amp;(IF($C1129="","Commercial",$C1129))),Variables!$B$1:$D$1,0),1))*AC1129/365)+(L1129/16.67*INDEX(Variables!$B$8:$D$8,IFERROR(MATCH(IF($B1129="Robusta","Robusta",(IF($B1129="","Arabica",$B1129))&amp;" - "&amp;(IF($C1129="","Commercial",$C1129))),Variables!$B$1:$D$1,0),1))*AC1129)+(T1129*INDEX(Variables!$B$9:$D$9,IFERROR(MATCH(IF($B1129="Robusta","Robusta",(IF($B1129="","Arabica",$B1129))&amp;" - "&amp;(IF($C1129="","Commercial",$C1129))),Variables!$B$1:$D$1,0),1))*AC1129/365),""))</f>
        <v>44.82566869429106</v>
      </c>
      <c r="AU1129" s="12" t="str">
        <f>IF($H1129="Cancelled","",IFERROR((T1129*INDEX(Variables!$B$7:$D$7,IFERROR(MATCH(IF($B1129="Robusta","Robusta",(IF($B1129="","Arabica",$B1129))&amp;" - "&amp;(IF($C1129="","Commercial",$C1129))),Variables!$B$1:$D$1,0),1))*AP1129/365)+(L1129/16.67*INDEX(Variables!$B$8:$D$8,IFERROR(MATCH(IF($B1129="Robusta","Robusta",(IF($B1129="","Arabica",$B1129))&amp;" - "&amp;(IF($C1129="","Commercial",$C1129))),Variables!$B$1:$D$1,0),1))*AP1129)+(T1129*INDEX(Variables!$B$9:$D$9,IFERROR(MATCH(IF($B1129="Robusta","Robusta",(IF($B1129="","Arabica",$B1129))&amp;" - "&amp;(IF($C1129="","Commercial",$C1129))),Variables!$B$1:$D$1,0),1))*AP1129/365),""))</f>
        <v/>
      </c>
      <c r="AV1129" s="11" t="str">
        <f t="shared" si="106"/>
        <v/>
      </c>
      <c r="AW1129" s="12" t="str">
        <f>IF($H1129="Cancelled","",IFERROR(IF(AV1129="","",(T1129*INDEX(Variables!$B$7:$D$7,IFERROR(MATCH(IF($B1129="Robusta","Robusta",(IF($B1129="","Arabica",$B1129))&amp;" - "&amp;(IF($C1129="","Commercial",$C1129))),Variables!$B$1:$D$1,0),1))*(AV1129/365))+(T1129*INDEX(Variables!$B$9:$D$9,IFERROR(MATCH(IF($B1129="Robusta","Robusta",(IF($B1129="","Arabica",$B1129))&amp;" - "&amp;(IF($C1129="","Commercial",$C1129))),Variables!$B$1:$D$1,0),1))*(AV1129/365))+(INDEX(Variables!$B$8:$D$8,IFERROR(MATCH(IF($B1129="Robusta","Robusta",(IF($B1129="","Arabica",$B1129))&amp;" - "&amp;(IF($C1129="","Commercial",$C1129))),Variables!$B$1:$D$1,0),1))*L1129/16.67)),""))</f>
        <v/>
      </c>
      <c r="AX1129" s="9"/>
      <c r="AY1129" s="12"/>
      <c r="AZ1129" s="10"/>
      <c r="BA1129" s="9"/>
      <c r="BB1129" s="10"/>
      <c r="BC1129" s="9"/>
      <c r="BD1129" s="9"/>
      <c r="BE1129" s="9"/>
      <c r="BF1129" s="9"/>
    </row>
    <row r="1130" spans="1:58" x14ac:dyDescent="0.25">
      <c r="A1130" s="9" t="s">
        <v>84</v>
      </c>
      <c r="B1130" s="9" t="s">
        <v>85</v>
      </c>
      <c r="C1130" s="9" t="s">
        <v>1486</v>
      </c>
      <c r="D1130" s="10">
        <v>46002</v>
      </c>
      <c r="E1130" s="10">
        <v>46023</v>
      </c>
      <c r="F1130" s="10">
        <v>46053</v>
      </c>
      <c r="G1130" s="9">
        <v>3787050</v>
      </c>
      <c r="H1130" s="9" t="str">
        <f t="shared" si="104"/>
        <v>Open</v>
      </c>
      <c r="I1130" s="9" t="str">
        <f t="shared" si="105"/>
        <v>No sailing date and No shipping advice sent and No docs dispatch date</v>
      </c>
      <c r="J1130" s="9" t="s">
        <v>2399</v>
      </c>
      <c r="K1130" s="9" t="s">
        <v>2417</v>
      </c>
      <c r="L1130" s="11">
        <v>22</v>
      </c>
      <c r="M1130" s="9" t="s">
        <v>2418</v>
      </c>
      <c r="N1130" s="9"/>
      <c r="O1130" s="9"/>
      <c r="P1130" s="9"/>
      <c r="Q1130" s="11">
        <v>118</v>
      </c>
      <c r="R1130" s="9" t="s">
        <v>195</v>
      </c>
      <c r="S1130" s="9" t="s">
        <v>228</v>
      </c>
      <c r="T1130" s="12">
        <f>IF($H1130="Cancelled","",IFERROR(((Q1130+INDEX(Variables!$B$6:$D$6,IFERROR(MATCH(IF($B1130="Robusta","Robusta",(IF($B1130="","Arabica",$B1130))&amp;" - "&amp;(IF($C1130="","Commercial",$C1130))),Variables!$B$1:$D$1,0),1)))*22.0462)*(L1130/16.67),""))</f>
        <v>11894.103438512295</v>
      </c>
      <c r="U1130" s="10"/>
      <c r="V1130" s="9" t="str">
        <f t="shared" si="109"/>
        <v/>
      </c>
      <c r="W1130" s="10">
        <v>46006</v>
      </c>
      <c r="X1130" s="9" t="str">
        <f t="shared" si="108"/>
        <v>Approved</v>
      </c>
      <c r="Y1130" s="10">
        <v>46037</v>
      </c>
      <c r="Z1130" s="10">
        <f>IF($H1130="Cancelled","",IFERROR(IF(F1130="","",F1130-Variables!$B$13),""))</f>
        <v>46038</v>
      </c>
      <c r="AA1130" s="11">
        <f>IF($H1130="Cancelled","",IFERROR(IF(W1130="","",(AVERAGE(E1130:F1130)-W1130)-Variables!$B$14),""))</f>
        <v>2</v>
      </c>
      <c r="AB1130" s="10">
        <v>46044</v>
      </c>
      <c r="AC1130" s="11">
        <f>IF($H1130="Cancelled","",IFERROR(IF(AB1130="","",IF(AND(W1130="",Y1130=""),"",IF(Y1130&gt;W1130,Y1130+Variables!$B$15+Variables!$B$16+Variables!$B$17-AB1130,W1130+Variables!$B$16+Variables!$B$17-AB1130))),""))</f>
        <v>8</v>
      </c>
      <c r="AD1130" s="9" t="s">
        <v>165</v>
      </c>
      <c r="AE1130" s="9" t="s">
        <v>818</v>
      </c>
      <c r="AF1130" s="10"/>
      <c r="AG1130" s="10"/>
      <c r="AH1130" s="9"/>
      <c r="AI1130" s="9"/>
      <c r="AJ1130" s="9"/>
      <c r="AK1130" s="10"/>
      <c r="AL1130" s="10"/>
      <c r="AM1130" s="10"/>
      <c r="AN1130" s="9" t="s">
        <v>2402</v>
      </c>
      <c r="AO1130" s="9"/>
      <c r="AP1130" s="11" t="str">
        <f>IF($H1130="Cancelled","",IFERROR(IF(OR(AK1130="",AB1130=""),"",(AB1130+Variables!$B$18-AK1130)),""))</f>
        <v/>
      </c>
      <c r="AQ1130" s="11" t="str">
        <f>IF($H1130="Cancelled","",IFERROR(IF(OR(AM1130="",AK1130=""),"",(AK1130+Variables!$B$19)-AM1130),""))</f>
        <v/>
      </c>
      <c r="AR1130" s="12" t="str">
        <f>IF($H1130="Cancelled","",IFERROR(T1130*INDEX(Variables!$B$7:$D$7,IFERROR(MATCH(IF($B1130="Robusta","Robusta",(IF($B1130="","Arabica",$B1130))&amp;" - "&amp;(IF($C1130="","Commercial",$C1130))),Variables!$B$1:$D$1,0),1))*(AQ1130/365),""))</f>
        <v/>
      </c>
      <c r="AS1130" s="12">
        <f>IF($H1130="Cancelled","",IFERROR((T1130*INDEX(Variables!$B$7:$D$7,IFERROR(MATCH(IF($B1130="Robusta","Robusta",(IF($B1130="","Arabica",$B1130))&amp;" - "&amp;(IF($C1130="","Commercial",$C1130))),Variables!$B$1:$D$1,0),1))*IFERROR(IF(W1130="","",(AVERAGE(E1130:F1130)-W1130)-Variables!$B$14),"")/365)+(L1130/16.67*INDEX(Variables!$B$8:$D$8,IFERROR(MATCH(IF($B1130="Robusta","Robusta",(IF($B1130="","Arabica",$B1130))&amp;" - "&amp;(IF($C1130="","Commercial",$C1130))),Variables!$B$1:$D$1,0),1))*IFERROR(IF(W1130="","",(AVERAGE(E1130:F1130)-W1130)-Variables!$B$14),""))+(T1130*INDEX(Variables!$B$9:$D$9,IFERROR(MATCH(IF($B1130="Robusta","Robusta",(IF($B1130="","Arabica",$B1130))&amp;" - "&amp;(IF($C1130="","Commercial",$C1130))),Variables!$B$1:$D$1,0),1))*IFERROR(IF(W1130="","",(AVERAGE(E1130:F1130)-W1130)-Variables!$B$14),"")/365),""))</f>
        <v>6.4566878078425907</v>
      </c>
      <c r="AT1130" s="12">
        <f>IF($H1130="Cancelled","",IFERROR((T1130*INDEX(Variables!$B$7:$D$7,IFERROR(MATCH(IF($B1130="Robusta","Robusta",(IF($B1130="","Arabica",$B1130))&amp;" - "&amp;(IF($C1130="","Commercial",$C1130))),Variables!$B$1:$D$1,0),1))*AC1130/365)+(L1130/16.67*INDEX(Variables!$B$8:$D$8,IFERROR(MATCH(IF($B1130="Robusta","Robusta",(IF($B1130="","Arabica",$B1130))&amp;" - "&amp;(IF($C1130="","Commercial",$C1130))),Variables!$B$1:$D$1,0),1))*AC1130)+(T1130*INDEX(Variables!$B$9:$D$9,IFERROR(MATCH(IF($B1130="Robusta","Robusta",(IF($B1130="","Arabica",$B1130))&amp;" - "&amp;(IF($C1130="","Commercial",$C1130))),Variables!$B$1:$D$1,0),1))*AC1130/365),""))</f>
        <v>25.826751231370363</v>
      </c>
      <c r="AU1130" s="12" t="str">
        <f>IF($H1130="Cancelled","",IFERROR((T1130*INDEX(Variables!$B$7:$D$7,IFERROR(MATCH(IF($B1130="Robusta","Robusta",(IF($B1130="","Arabica",$B1130))&amp;" - "&amp;(IF($C1130="","Commercial",$C1130))),Variables!$B$1:$D$1,0),1))*AP1130/365)+(L1130/16.67*INDEX(Variables!$B$8:$D$8,IFERROR(MATCH(IF($B1130="Robusta","Robusta",(IF($B1130="","Arabica",$B1130))&amp;" - "&amp;(IF($C1130="","Commercial",$C1130))),Variables!$B$1:$D$1,0),1))*AP1130)+(T1130*INDEX(Variables!$B$9:$D$9,IFERROR(MATCH(IF($B1130="Robusta","Robusta",(IF($B1130="","Arabica",$B1130))&amp;" - "&amp;(IF($C1130="","Commercial",$C1130))),Variables!$B$1:$D$1,0),1))*AP1130/365),""))</f>
        <v/>
      </c>
      <c r="AV1130" s="11" t="str">
        <f t="shared" si="106"/>
        <v/>
      </c>
      <c r="AW1130" s="12" t="str">
        <f>IF($H1130="Cancelled","",IFERROR(IF(AV1130="","",(T1130*INDEX(Variables!$B$7:$D$7,IFERROR(MATCH(IF($B1130="Robusta","Robusta",(IF($B1130="","Arabica",$B1130))&amp;" - "&amp;(IF($C1130="","Commercial",$C1130))),Variables!$B$1:$D$1,0),1))*(AV1130/365))+(T1130*INDEX(Variables!$B$9:$D$9,IFERROR(MATCH(IF($B1130="Robusta","Robusta",(IF($B1130="","Arabica",$B1130))&amp;" - "&amp;(IF($C1130="","Commercial",$C1130))),Variables!$B$1:$D$1,0),1))*(AV1130/365))+(INDEX(Variables!$B$8:$D$8,IFERROR(MATCH(IF($B1130="Robusta","Robusta",(IF($B1130="","Arabica",$B1130))&amp;" - "&amp;(IF($C1130="","Commercial",$C1130))),Variables!$B$1:$D$1,0),1))*L1130/16.67)),""))</f>
        <v/>
      </c>
      <c r="AX1130" s="9"/>
      <c r="AY1130" s="12"/>
      <c r="AZ1130" s="10"/>
      <c r="BA1130" s="9"/>
      <c r="BB1130" s="10"/>
      <c r="BC1130" s="9"/>
      <c r="BD1130" s="9"/>
      <c r="BE1130" s="9"/>
      <c r="BF1130" s="9"/>
    </row>
    <row r="1131" spans="1:58" x14ac:dyDescent="0.25">
      <c r="A1131" s="9" t="s">
        <v>84</v>
      </c>
      <c r="B1131" s="9" t="s">
        <v>85</v>
      </c>
      <c r="C1131" s="9" t="s">
        <v>1486</v>
      </c>
      <c r="D1131" s="10">
        <v>46002</v>
      </c>
      <c r="E1131" s="10">
        <v>46023</v>
      </c>
      <c r="F1131" s="10">
        <v>46053</v>
      </c>
      <c r="G1131" s="9">
        <v>3787044</v>
      </c>
      <c r="H1131" s="9" t="str">
        <f t="shared" si="104"/>
        <v>Open</v>
      </c>
      <c r="I1131" s="9" t="str">
        <f t="shared" si="105"/>
        <v>No sailing date and No shipping advice sent and No docs dispatch date</v>
      </c>
      <c r="J1131" s="9" t="s">
        <v>2399</v>
      </c>
      <c r="K1131" s="9" t="s">
        <v>2419</v>
      </c>
      <c r="L1131" s="11">
        <v>25</v>
      </c>
      <c r="M1131" s="9" t="s">
        <v>2420</v>
      </c>
      <c r="N1131" s="9"/>
      <c r="O1131" s="9"/>
      <c r="P1131" s="9"/>
      <c r="Q1131" s="11">
        <v>148</v>
      </c>
      <c r="R1131" s="9" t="s">
        <v>195</v>
      </c>
      <c r="S1131" s="9" t="s">
        <v>228</v>
      </c>
      <c r="T1131" s="12">
        <f>IF($H1131="Cancelled","",IFERROR(((Q1131+INDEX(Variables!$B$6:$D$6,IFERROR(MATCH(IF($B1131="Robusta","Robusta",(IF($B1131="","Arabica",$B1131))&amp;" - "&amp;(IF($C1131="","Commercial",$C1131))),Variables!$B$1:$D$1,0),1)))*22.0462)*(L1131/16.67),""))</f>
        <v>14507.907258548288</v>
      </c>
      <c r="U1131" s="10"/>
      <c r="V1131" s="9" t="str">
        <f t="shared" si="109"/>
        <v/>
      </c>
      <c r="W1131" s="10">
        <v>46006</v>
      </c>
      <c r="X1131" s="9" t="str">
        <f t="shared" si="108"/>
        <v>Approved</v>
      </c>
      <c r="Y1131" s="10">
        <v>46037</v>
      </c>
      <c r="Z1131" s="10">
        <f>IF($H1131="Cancelled","",IFERROR(IF(F1131="","",F1131-Variables!$B$13),""))</f>
        <v>46038</v>
      </c>
      <c r="AA1131" s="11">
        <f>IF($H1131="Cancelled","",IFERROR(IF(W1131="","",(AVERAGE(E1131:F1131)-W1131)-Variables!$B$14),""))</f>
        <v>2</v>
      </c>
      <c r="AB1131" s="10">
        <v>46044</v>
      </c>
      <c r="AC1131" s="11">
        <f>IF($H1131="Cancelled","",IFERROR(IF(AB1131="","",IF(AND(W1131="",Y1131=""),"",IF(Y1131&gt;W1131,Y1131+Variables!$B$15+Variables!$B$16+Variables!$B$17-AB1131,W1131+Variables!$B$16+Variables!$B$17-AB1131))),""))</f>
        <v>8</v>
      </c>
      <c r="AD1131" s="9" t="s">
        <v>165</v>
      </c>
      <c r="AE1131" s="9" t="s">
        <v>818</v>
      </c>
      <c r="AF1131" s="10"/>
      <c r="AG1131" s="10"/>
      <c r="AH1131" s="9"/>
      <c r="AI1131" s="9"/>
      <c r="AJ1131" s="9"/>
      <c r="AK1131" s="10"/>
      <c r="AL1131" s="10"/>
      <c r="AM1131" s="10"/>
      <c r="AN1131" s="9" t="s">
        <v>2402</v>
      </c>
      <c r="AO1131" s="9"/>
      <c r="AP1131" s="11" t="str">
        <f>IF($H1131="Cancelled","",IFERROR(IF(OR(AK1131="",AB1131=""),"",(AB1131+Variables!$B$18-AK1131)),""))</f>
        <v/>
      </c>
      <c r="AQ1131" s="11" t="str">
        <f>IF($H1131="Cancelled","",IFERROR(IF(OR(AM1131="",AK1131=""),"",(AK1131+Variables!$B$19)-AM1131),""))</f>
        <v/>
      </c>
      <c r="AR1131" s="12" t="str">
        <f>IF($H1131="Cancelled","",IFERROR(T1131*INDEX(Variables!$B$7:$D$7,IFERROR(MATCH(IF($B1131="Robusta","Robusta",(IF($B1131="","Arabica",$B1131))&amp;" - "&amp;(IF($C1131="","Commercial",$C1131))),Variables!$B$1:$D$1,0),1))*(AQ1131/365),""))</f>
        <v/>
      </c>
      <c r="AS1131" s="12">
        <f>IF($H1131="Cancelled","",IFERROR((T1131*INDEX(Variables!$B$7:$D$7,IFERROR(MATCH(IF($B1131="Robusta","Robusta",(IF($B1131="","Arabica",$B1131))&amp;" - "&amp;(IF($C1131="","Commercial",$C1131))),Variables!$B$1:$D$1,0),1))*IFERROR(IF(W1131="","",(AVERAGE(E1131:F1131)-W1131)-Variables!$B$14),"")/365)+(L1131/16.67*INDEX(Variables!$B$8:$D$8,IFERROR(MATCH(IF($B1131="Robusta","Robusta",(IF($B1131="","Arabica",$B1131))&amp;" - "&amp;(IF($C1131="","Commercial",$C1131))),Variables!$B$1:$D$1,0),1))*IFERROR(IF(W1131="","",(AVERAGE(E1131:F1131)-W1131)-Variables!$B$14),""))+(T1131*INDEX(Variables!$B$9:$D$9,IFERROR(MATCH(IF($B1131="Robusta","Robusta",(IF($B1131="","Arabica",$B1131))&amp;" - "&amp;(IF($C1131="","Commercial",$C1131))),Variables!$B$1:$D$1,0),1))*IFERROR(IF(W1131="","",(AVERAGE(E1131:F1131)-W1131)-Variables!$B$14),"")/365),""))</f>
        <v>7.692121647842157</v>
      </c>
      <c r="AT1131" s="12">
        <f>IF($H1131="Cancelled","",IFERROR((T1131*INDEX(Variables!$B$7:$D$7,IFERROR(MATCH(IF($B1131="Robusta","Robusta",(IF($B1131="","Arabica",$B1131))&amp;" - "&amp;(IF($C1131="","Commercial",$C1131))),Variables!$B$1:$D$1,0),1))*AC1131/365)+(L1131/16.67*INDEX(Variables!$B$8:$D$8,IFERROR(MATCH(IF($B1131="Robusta","Robusta",(IF($B1131="","Arabica",$B1131))&amp;" - "&amp;(IF($C1131="","Commercial",$C1131))),Variables!$B$1:$D$1,0),1))*AC1131)+(T1131*INDEX(Variables!$B$9:$D$9,IFERROR(MATCH(IF($B1131="Robusta","Robusta",(IF($B1131="","Arabica",$B1131))&amp;" - "&amp;(IF($C1131="","Commercial",$C1131))),Variables!$B$1:$D$1,0),1))*AC1131/365),""))</f>
        <v>30.768486591368628</v>
      </c>
      <c r="AU1131" s="12" t="str">
        <f>IF($H1131="Cancelled","",IFERROR((T1131*INDEX(Variables!$B$7:$D$7,IFERROR(MATCH(IF($B1131="Robusta","Robusta",(IF($B1131="","Arabica",$B1131))&amp;" - "&amp;(IF($C1131="","Commercial",$C1131))),Variables!$B$1:$D$1,0),1))*AP1131/365)+(L1131/16.67*INDEX(Variables!$B$8:$D$8,IFERROR(MATCH(IF($B1131="Robusta","Robusta",(IF($B1131="","Arabica",$B1131))&amp;" - "&amp;(IF($C1131="","Commercial",$C1131))),Variables!$B$1:$D$1,0),1))*AP1131)+(T1131*INDEX(Variables!$B$9:$D$9,IFERROR(MATCH(IF($B1131="Robusta","Robusta",(IF($B1131="","Arabica",$B1131))&amp;" - "&amp;(IF($C1131="","Commercial",$C1131))),Variables!$B$1:$D$1,0),1))*AP1131/365),""))</f>
        <v/>
      </c>
      <c r="AV1131" s="11" t="str">
        <f t="shared" si="106"/>
        <v/>
      </c>
      <c r="AW1131" s="12" t="str">
        <f>IF($H1131="Cancelled","",IFERROR(IF(AV1131="","",(T1131*INDEX(Variables!$B$7:$D$7,IFERROR(MATCH(IF($B1131="Robusta","Robusta",(IF($B1131="","Arabica",$B1131))&amp;" - "&amp;(IF($C1131="","Commercial",$C1131))),Variables!$B$1:$D$1,0),1))*(AV1131/365))+(T1131*INDEX(Variables!$B$9:$D$9,IFERROR(MATCH(IF($B1131="Robusta","Robusta",(IF($B1131="","Arabica",$B1131))&amp;" - "&amp;(IF($C1131="","Commercial",$C1131))),Variables!$B$1:$D$1,0),1))*(AV1131/365))+(INDEX(Variables!$B$8:$D$8,IFERROR(MATCH(IF($B1131="Robusta","Robusta",(IF($B1131="","Arabica",$B1131))&amp;" - "&amp;(IF($C1131="","Commercial",$C1131))),Variables!$B$1:$D$1,0),1))*L1131/16.67)),""))</f>
        <v/>
      </c>
      <c r="AX1131" s="9"/>
      <c r="AY1131" s="12"/>
      <c r="AZ1131" s="10"/>
      <c r="BA1131" s="9"/>
      <c r="BB1131" s="10"/>
      <c r="BC1131" s="9"/>
      <c r="BD1131" s="9"/>
      <c r="BE1131" s="9"/>
      <c r="BF1131" s="9"/>
    </row>
    <row r="1132" spans="1:58" x14ac:dyDescent="0.25">
      <c r="A1132" s="9" t="s">
        <v>84</v>
      </c>
      <c r="B1132" s="9" t="s">
        <v>85</v>
      </c>
      <c r="C1132" s="9" t="s">
        <v>1486</v>
      </c>
      <c r="D1132" s="10">
        <v>46013</v>
      </c>
      <c r="E1132" s="10">
        <v>46023</v>
      </c>
      <c r="F1132" s="10">
        <v>46053</v>
      </c>
      <c r="G1132" s="9">
        <v>3787068</v>
      </c>
      <c r="H1132" s="9" t="str">
        <f t="shared" si="104"/>
        <v>Open</v>
      </c>
      <c r="I1132" s="9" t="str">
        <f t="shared" si="105"/>
        <v>No sailing date and No shipping advice sent and No docs dispatch date</v>
      </c>
      <c r="J1132" s="9" t="s">
        <v>1487</v>
      </c>
      <c r="K1132" s="9" t="s">
        <v>2421</v>
      </c>
      <c r="L1132" s="11">
        <v>16</v>
      </c>
      <c r="M1132" s="9" t="s">
        <v>2422</v>
      </c>
      <c r="N1132" s="9"/>
      <c r="O1132" s="9"/>
      <c r="P1132" s="9"/>
      <c r="Q1132" s="11">
        <v>152</v>
      </c>
      <c r="R1132" s="9" t="s">
        <v>195</v>
      </c>
      <c r="S1132" s="9" t="s">
        <v>183</v>
      </c>
      <c r="T1132" s="12">
        <f>IF($H1132="Cancelled","",IFERROR(((Q1132+INDEX(Variables!$B$6:$D$6,IFERROR(MATCH(IF($B1132="Robusta","Robusta",(IF($B1132="","Arabica",$B1132))&amp;" - "&amp;(IF($C1132="","Commercial",$C1132))),Variables!$B$1:$D$1,0),1)))*22.0462)*(L1132/16.67),""))</f>
        <v>9369.7011253749224</v>
      </c>
      <c r="U1132" s="10"/>
      <c r="V1132" s="9" t="str">
        <f t="shared" si="109"/>
        <v/>
      </c>
      <c r="W1132" s="10">
        <v>46006</v>
      </c>
      <c r="X1132" s="9" t="str">
        <f t="shared" si="108"/>
        <v>Approved</v>
      </c>
      <c r="Y1132" s="10">
        <v>46037</v>
      </c>
      <c r="Z1132" s="10">
        <f>IF($H1132="Cancelled","",IFERROR(IF(F1132="","",F1132-Variables!$B$13),""))</f>
        <v>46038</v>
      </c>
      <c r="AA1132" s="11">
        <f>IF($H1132="Cancelled","",IFERROR(IF(W1132="","",(AVERAGE(E1132:F1132)-W1132)-Variables!$B$14),""))</f>
        <v>2</v>
      </c>
      <c r="AB1132" s="10">
        <v>46050</v>
      </c>
      <c r="AC1132" s="11">
        <f>IF($H1132="Cancelled","",IFERROR(IF(AB1132="","",IF(AND(W1132="",Y1132=""),"",IF(Y1132&gt;W1132,Y1132+Variables!$B$15+Variables!$B$16+Variables!$B$17-AB1132,W1132+Variables!$B$16+Variables!$B$17-AB1132))),""))</f>
        <v>2</v>
      </c>
      <c r="AD1132" s="9" t="s">
        <v>163</v>
      </c>
      <c r="AE1132" s="9"/>
      <c r="AF1132" s="10"/>
      <c r="AG1132" s="10"/>
      <c r="AH1132" s="9"/>
      <c r="AI1132" s="9"/>
      <c r="AJ1132" s="9"/>
      <c r="AK1132" s="10"/>
      <c r="AL1132" s="10"/>
      <c r="AM1132" s="10"/>
      <c r="AN1132" s="9" t="s">
        <v>2423</v>
      </c>
      <c r="AO1132" s="9"/>
      <c r="AP1132" s="11" t="str">
        <f>IF($H1132="Cancelled","",IFERROR(IF(OR(AK1132="",AB1132=""),"",(AB1132+Variables!$B$18-AK1132)),""))</f>
        <v/>
      </c>
      <c r="AQ1132" s="11" t="str">
        <f>IF($H1132="Cancelled","",IFERROR(IF(OR(AM1132="",AK1132=""),"",(AK1132+Variables!$B$19)-AM1132),""))</f>
        <v/>
      </c>
      <c r="AR1132" s="12" t="str">
        <f>IF($H1132="Cancelled","",IFERROR(T1132*INDEX(Variables!$B$7:$D$7,IFERROR(MATCH(IF($B1132="Robusta","Robusta",(IF($B1132="","Arabica",$B1132))&amp;" - "&amp;(IF($C1132="","Commercial",$C1132))),Variables!$B$1:$D$1,0),1))*(AQ1132/365),""))</f>
        <v/>
      </c>
      <c r="AS1132" s="12">
        <f>IF($H1132="Cancelled","",IFERROR((T1132*INDEX(Variables!$B$7:$D$7,IFERROR(MATCH(IF($B1132="Robusta","Robusta",(IF($B1132="","Arabica",$B1132))&amp;" - "&amp;(IF($C1132="","Commercial",$C1132))),Variables!$B$1:$D$1,0),1))*IFERROR(IF(W1132="","",(AVERAGE(E1132:F1132)-W1132)-Variables!$B$14),"")/365)+(L1132/16.67*INDEX(Variables!$B$8:$D$8,IFERROR(MATCH(IF($B1132="Robusta","Robusta",(IF($B1132="","Arabica",$B1132))&amp;" - "&amp;(IF($C1132="","Commercial",$C1132))),Variables!$B$1:$D$1,0),1))*IFERROR(IF(W1132="","",(AVERAGE(E1132:F1132)-W1132)-Variables!$B$14),""))+(T1132*INDEX(Variables!$B$9:$D$9,IFERROR(MATCH(IF($B1132="Robusta","Robusta",(IF($B1132="","Arabica",$B1132))&amp;" - "&amp;(IF($C1132="","Commercial",$C1132))),Variables!$B$1:$D$1,0),1))*IFERROR(IF(W1132="","",(AVERAGE(E1132:F1132)-W1132)-Variables!$B$14),"")/365),""))</f>
        <v>4.9532491750804111</v>
      </c>
      <c r="AT1132" s="12">
        <f>IF($H1132="Cancelled","",IFERROR((T1132*INDEX(Variables!$B$7:$D$7,IFERROR(MATCH(IF($B1132="Robusta","Robusta",(IF($B1132="","Arabica",$B1132))&amp;" - "&amp;(IF($C1132="","Commercial",$C1132))),Variables!$B$1:$D$1,0),1))*AC1132/365)+(L1132/16.67*INDEX(Variables!$B$8:$D$8,IFERROR(MATCH(IF($B1132="Robusta","Robusta",(IF($B1132="","Arabica",$B1132))&amp;" - "&amp;(IF($C1132="","Commercial",$C1132))),Variables!$B$1:$D$1,0),1))*AC1132)+(T1132*INDEX(Variables!$B$9:$D$9,IFERROR(MATCH(IF($B1132="Robusta","Robusta",(IF($B1132="","Arabica",$B1132))&amp;" - "&amp;(IF($C1132="","Commercial",$C1132))),Variables!$B$1:$D$1,0),1))*AC1132/365),""))</f>
        <v>4.9532491750804111</v>
      </c>
      <c r="AU1132" s="12" t="str">
        <f>IF($H1132="Cancelled","",IFERROR((T1132*INDEX(Variables!$B$7:$D$7,IFERROR(MATCH(IF($B1132="Robusta","Robusta",(IF($B1132="","Arabica",$B1132))&amp;" - "&amp;(IF($C1132="","Commercial",$C1132))),Variables!$B$1:$D$1,0),1))*AP1132/365)+(L1132/16.67*INDEX(Variables!$B$8:$D$8,IFERROR(MATCH(IF($B1132="Robusta","Robusta",(IF($B1132="","Arabica",$B1132))&amp;" - "&amp;(IF($C1132="","Commercial",$C1132))),Variables!$B$1:$D$1,0),1))*AP1132)+(T1132*INDEX(Variables!$B$9:$D$9,IFERROR(MATCH(IF($B1132="Robusta","Robusta",(IF($B1132="","Arabica",$B1132))&amp;" - "&amp;(IF($C1132="","Commercial",$C1132))),Variables!$B$1:$D$1,0),1))*AP1132/365),""))</f>
        <v/>
      </c>
      <c r="AV1132" s="11" t="str">
        <f t="shared" si="106"/>
        <v/>
      </c>
      <c r="AW1132" s="12" t="str">
        <f>IF($H1132="Cancelled","",IFERROR(IF(AV1132="","",(T1132*INDEX(Variables!$B$7:$D$7,IFERROR(MATCH(IF($B1132="Robusta","Robusta",(IF($B1132="","Arabica",$B1132))&amp;" - "&amp;(IF($C1132="","Commercial",$C1132))),Variables!$B$1:$D$1,0),1))*(AV1132/365))+(T1132*INDEX(Variables!$B$9:$D$9,IFERROR(MATCH(IF($B1132="Robusta","Robusta",(IF($B1132="","Arabica",$B1132))&amp;" - "&amp;(IF($C1132="","Commercial",$C1132))),Variables!$B$1:$D$1,0),1))*(AV1132/365))+(INDEX(Variables!$B$8:$D$8,IFERROR(MATCH(IF($B1132="Robusta","Robusta",(IF($B1132="","Arabica",$B1132))&amp;" - "&amp;(IF($C1132="","Commercial",$C1132))),Variables!$B$1:$D$1,0),1))*L1132/16.67)),""))</f>
        <v/>
      </c>
      <c r="AX1132" s="9"/>
      <c r="AY1132" s="12"/>
      <c r="AZ1132" s="10"/>
      <c r="BA1132" s="9"/>
      <c r="BB1132" s="10"/>
      <c r="BC1132" s="9"/>
      <c r="BD1132" s="9"/>
      <c r="BE1132" s="9"/>
      <c r="BF1132" s="9"/>
    </row>
    <row r="1133" spans="1:58" x14ac:dyDescent="0.25">
      <c r="A1133" s="9" t="s">
        <v>84</v>
      </c>
      <c r="B1133" s="9" t="s">
        <v>85</v>
      </c>
      <c r="C1133" s="9" t="s">
        <v>1486</v>
      </c>
      <c r="D1133" s="10">
        <v>46013</v>
      </c>
      <c r="E1133" s="10">
        <v>46023</v>
      </c>
      <c r="F1133" s="10">
        <v>46053</v>
      </c>
      <c r="G1133" s="9">
        <v>3787069</v>
      </c>
      <c r="H1133" s="9" t="str">
        <f t="shared" si="104"/>
        <v>Open</v>
      </c>
      <c r="I1133" s="9" t="str">
        <f t="shared" si="105"/>
        <v>No sailing date and No shipping advice sent and No docs dispatch date</v>
      </c>
      <c r="J1133" s="9" t="s">
        <v>1487</v>
      </c>
      <c r="K1133" s="9" t="s">
        <v>2424</v>
      </c>
      <c r="L1133" s="11">
        <v>44</v>
      </c>
      <c r="M1133" s="9" t="s">
        <v>2425</v>
      </c>
      <c r="N1133" s="9"/>
      <c r="O1133" s="9"/>
      <c r="P1133" s="9"/>
      <c r="Q1133" s="11">
        <v>162</v>
      </c>
      <c r="R1133" s="9" t="s">
        <v>195</v>
      </c>
      <c r="S1133" s="9" t="s">
        <v>183</v>
      </c>
      <c r="T1133" s="12">
        <f>IF($H1133="Cancelled","",IFERROR(((Q1133+INDEX(Variables!$B$6:$D$6,IFERROR(MATCH(IF($B1133="Robusta","Robusta",(IF($B1133="","Arabica",$B1133))&amp;" - "&amp;(IF($C1133="","Commercial",$C1133))),Variables!$B$1:$D$1,0),1)))*22.0462)*(L1133/16.67),""))</f>
        <v>26348.581394121175</v>
      </c>
      <c r="U1133" s="10"/>
      <c r="V1133" s="9" t="str">
        <f t="shared" si="109"/>
        <v/>
      </c>
      <c r="W1133" s="10">
        <v>46006</v>
      </c>
      <c r="X1133" s="9" t="str">
        <f t="shared" si="108"/>
        <v>Approved</v>
      </c>
      <c r="Y1133" s="10">
        <v>46037</v>
      </c>
      <c r="Z1133" s="10">
        <f>IF($H1133="Cancelled","",IFERROR(IF(F1133="","",F1133-Variables!$B$13),""))</f>
        <v>46038</v>
      </c>
      <c r="AA1133" s="11">
        <f>IF($H1133="Cancelled","",IFERROR(IF(W1133="","",(AVERAGE(E1133:F1133)-W1133)-Variables!$B$14),""))</f>
        <v>2</v>
      </c>
      <c r="AB1133" s="10">
        <v>46050</v>
      </c>
      <c r="AC1133" s="11">
        <f>IF($H1133="Cancelled","",IFERROR(IF(AB1133="","",IF(AND(W1133="",Y1133=""),"",IF(Y1133&gt;W1133,Y1133+Variables!$B$15+Variables!$B$16+Variables!$B$17-AB1133,W1133+Variables!$B$16+Variables!$B$17-AB1133))),""))</f>
        <v>2</v>
      </c>
      <c r="AD1133" s="9" t="s">
        <v>163</v>
      </c>
      <c r="AE1133" s="9"/>
      <c r="AF1133" s="10"/>
      <c r="AG1133" s="10"/>
      <c r="AH1133" s="9"/>
      <c r="AI1133" s="9"/>
      <c r="AJ1133" s="9"/>
      <c r="AK1133" s="10"/>
      <c r="AL1133" s="10"/>
      <c r="AM1133" s="10"/>
      <c r="AN1133" s="9" t="s">
        <v>2423</v>
      </c>
      <c r="AO1133" s="9"/>
      <c r="AP1133" s="11" t="str">
        <f>IF($H1133="Cancelled","",IFERROR(IF(OR(AK1133="",AB1133=""),"",(AB1133+Variables!$B$18-AK1133)),""))</f>
        <v/>
      </c>
      <c r="AQ1133" s="11" t="str">
        <f>IF($H1133="Cancelled","",IFERROR(IF(OR(AM1133="",AK1133=""),"",(AK1133+Variables!$B$19)-AM1133),""))</f>
        <v/>
      </c>
      <c r="AR1133" s="12" t="str">
        <f>IF($H1133="Cancelled","",IFERROR(T1133*INDEX(Variables!$B$7:$D$7,IFERROR(MATCH(IF($B1133="Robusta","Robusta",(IF($B1133="","Arabica",$B1133))&amp;" - "&amp;(IF($C1133="","Commercial",$C1133))),Variables!$B$1:$D$1,0),1))*(AQ1133/365),""))</f>
        <v/>
      </c>
      <c r="AS1133" s="12">
        <f>IF($H1133="Cancelled","",IFERROR((T1133*INDEX(Variables!$B$7:$D$7,IFERROR(MATCH(IF($B1133="Robusta","Robusta",(IF($B1133="","Arabica",$B1133))&amp;" - "&amp;(IF($C1133="","Commercial",$C1133))),Variables!$B$1:$D$1,0),1))*IFERROR(IF(W1133="","",(AVERAGE(E1133:F1133)-W1133)-Variables!$B$14),"")/365)+(L1133/16.67*INDEX(Variables!$B$8:$D$8,IFERROR(MATCH(IF($B1133="Robusta","Robusta",(IF($B1133="","Arabica",$B1133))&amp;" - "&amp;(IF($C1133="","Commercial",$C1133))),Variables!$B$1:$D$1,0),1))*IFERROR(IF(W1133="","",(AVERAGE(E1133:F1133)-W1133)-Variables!$B$14),""))+(T1133*INDEX(Variables!$B$9:$D$9,IFERROR(MATCH(IF($B1133="Robusta","Robusta",(IF($B1133="","Arabica",$B1133))&amp;" - "&amp;(IF($C1133="","Commercial",$C1133))),Variables!$B$1:$D$1,0),1))*IFERROR(IF(W1133="","",(AVERAGE(E1133:F1133)-W1133)-Variables!$B$14),"")/365),""))</f>
        <v>13.829688059643471</v>
      </c>
      <c r="AT1133" s="12">
        <f>IF($H1133="Cancelled","",IFERROR((T1133*INDEX(Variables!$B$7:$D$7,IFERROR(MATCH(IF($B1133="Robusta","Robusta",(IF($B1133="","Arabica",$B1133))&amp;" - "&amp;(IF($C1133="","Commercial",$C1133))),Variables!$B$1:$D$1,0),1))*AC1133/365)+(L1133/16.67*INDEX(Variables!$B$8:$D$8,IFERROR(MATCH(IF($B1133="Robusta","Robusta",(IF($B1133="","Arabica",$B1133))&amp;" - "&amp;(IF($C1133="","Commercial",$C1133))),Variables!$B$1:$D$1,0),1))*AC1133)+(T1133*INDEX(Variables!$B$9:$D$9,IFERROR(MATCH(IF($B1133="Robusta","Robusta",(IF($B1133="","Arabica",$B1133))&amp;" - "&amp;(IF($C1133="","Commercial",$C1133))),Variables!$B$1:$D$1,0),1))*AC1133/365),""))</f>
        <v>13.829688059643471</v>
      </c>
      <c r="AU1133" s="12" t="str">
        <f>IF($H1133="Cancelled","",IFERROR((T1133*INDEX(Variables!$B$7:$D$7,IFERROR(MATCH(IF($B1133="Robusta","Robusta",(IF($B1133="","Arabica",$B1133))&amp;" - "&amp;(IF($C1133="","Commercial",$C1133))),Variables!$B$1:$D$1,0),1))*AP1133/365)+(L1133/16.67*INDEX(Variables!$B$8:$D$8,IFERROR(MATCH(IF($B1133="Robusta","Robusta",(IF($B1133="","Arabica",$B1133))&amp;" - "&amp;(IF($C1133="","Commercial",$C1133))),Variables!$B$1:$D$1,0),1))*AP1133)+(T1133*INDEX(Variables!$B$9:$D$9,IFERROR(MATCH(IF($B1133="Robusta","Robusta",(IF($B1133="","Arabica",$B1133))&amp;" - "&amp;(IF($C1133="","Commercial",$C1133))),Variables!$B$1:$D$1,0),1))*AP1133/365),""))</f>
        <v/>
      </c>
      <c r="AV1133" s="11" t="str">
        <f t="shared" si="106"/>
        <v/>
      </c>
      <c r="AW1133" s="12" t="str">
        <f>IF($H1133="Cancelled","",IFERROR(IF(AV1133="","",(T1133*INDEX(Variables!$B$7:$D$7,IFERROR(MATCH(IF($B1133="Robusta","Robusta",(IF($B1133="","Arabica",$B1133))&amp;" - "&amp;(IF($C1133="","Commercial",$C1133))),Variables!$B$1:$D$1,0),1))*(AV1133/365))+(T1133*INDEX(Variables!$B$9:$D$9,IFERROR(MATCH(IF($B1133="Robusta","Robusta",(IF($B1133="","Arabica",$B1133))&amp;" - "&amp;(IF($C1133="","Commercial",$C1133))),Variables!$B$1:$D$1,0),1))*(AV1133/365))+(INDEX(Variables!$B$8:$D$8,IFERROR(MATCH(IF($B1133="Robusta","Robusta",(IF($B1133="","Arabica",$B1133))&amp;" - "&amp;(IF($C1133="","Commercial",$C1133))),Variables!$B$1:$D$1,0),1))*L1133/16.67)),""))</f>
        <v/>
      </c>
      <c r="AX1133" s="9"/>
      <c r="AY1133" s="12"/>
      <c r="AZ1133" s="10"/>
      <c r="BA1133" s="9"/>
      <c r="BB1133" s="10"/>
      <c r="BC1133" s="9"/>
      <c r="BD1133" s="9"/>
      <c r="BE1133" s="9"/>
      <c r="BF1133" s="9"/>
    </row>
    <row r="1134" spans="1:58" x14ac:dyDescent="0.25">
      <c r="A1134" s="9" t="s">
        <v>84</v>
      </c>
      <c r="B1134" s="9" t="s">
        <v>85</v>
      </c>
      <c r="C1134" s="9" t="s">
        <v>1486</v>
      </c>
      <c r="D1134" s="10">
        <v>46013</v>
      </c>
      <c r="E1134" s="10">
        <v>46023</v>
      </c>
      <c r="F1134" s="10">
        <v>46053</v>
      </c>
      <c r="G1134" s="9">
        <v>3787070</v>
      </c>
      <c r="H1134" s="9" t="str">
        <f t="shared" si="104"/>
        <v>Open</v>
      </c>
      <c r="I1134" s="9" t="str">
        <f t="shared" si="105"/>
        <v>No sailing date and No shipping advice sent and No docs dispatch date</v>
      </c>
      <c r="J1134" s="9" t="s">
        <v>1487</v>
      </c>
      <c r="K1134" s="9" t="s">
        <v>2426</v>
      </c>
      <c r="L1134" s="11">
        <v>25</v>
      </c>
      <c r="M1134" s="9" t="s">
        <v>2427</v>
      </c>
      <c r="N1134" s="9"/>
      <c r="O1134" s="9"/>
      <c r="P1134" s="9"/>
      <c r="Q1134" s="11">
        <v>187</v>
      </c>
      <c r="R1134" s="9" t="s">
        <v>195</v>
      </c>
      <c r="S1134" s="9" t="s">
        <v>183</v>
      </c>
      <c r="T1134" s="12">
        <f>IF($H1134="Cancelled","",IFERROR(((Q1134+INDEX(Variables!$B$6:$D$6,IFERROR(MATCH(IF($B1134="Robusta","Robusta",(IF($B1134="","Arabica",$B1134))&amp;" - "&amp;(IF($C1134="","Commercial",$C1134))),Variables!$B$1:$D$1,0),1)))*22.0462)*(L1134/16.67),""))</f>
        <v>15797.352069586079</v>
      </c>
      <c r="U1134" s="10"/>
      <c r="V1134" s="9" t="str">
        <f t="shared" si="109"/>
        <v/>
      </c>
      <c r="W1134" s="10">
        <v>46006</v>
      </c>
      <c r="X1134" s="9" t="str">
        <f t="shared" si="108"/>
        <v>Approved</v>
      </c>
      <c r="Y1134" s="10">
        <v>46037</v>
      </c>
      <c r="Z1134" s="10">
        <f>IF($H1134="Cancelled","",IFERROR(IF(F1134="","",F1134-Variables!$B$13),""))</f>
        <v>46038</v>
      </c>
      <c r="AA1134" s="11">
        <f>IF($H1134="Cancelled","",IFERROR(IF(W1134="","",(AVERAGE(E1134:F1134)-W1134)-Variables!$B$14),""))</f>
        <v>2</v>
      </c>
      <c r="AB1134" s="10">
        <v>46050</v>
      </c>
      <c r="AC1134" s="11">
        <f>IF($H1134="Cancelled","",IFERROR(IF(AB1134="","",IF(AND(W1134="",Y1134=""),"",IF(Y1134&gt;W1134,Y1134+Variables!$B$15+Variables!$B$16+Variables!$B$17-AB1134,W1134+Variables!$B$16+Variables!$B$17-AB1134))),""))</f>
        <v>2</v>
      </c>
      <c r="AD1134" s="9" t="s">
        <v>163</v>
      </c>
      <c r="AE1134" s="9"/>
      <c r="AF1134" s="10"/>
      <c r="AG1134" s="10"/>
      <c r="AH1134" s="9"/>
      <c r="AI1134" s="9"/>
      <c r="AJ1134" s="9"/>
      <c r="AK1134" s="10"/>
      <c r="AL1134" s="10"/>
      <c r="AM1134" s="10"/>
      <c r="AN1134" s="9" t="s">
        <v>2423</v>
      </c>
      <c r="AO1134" s="9"/>
      <c r="AP1134" s="11" t="str">
        <f>IF($H1134="Cancelled","",IFERROR(IF(OR(AK1134="",AB1134=""),"",(AB1134+Variables!$B$18-AK1134)),""))</f>
        <v/>
      </c>
      <c r="AQ1134" s="11" t="str">
        <f>IF($H1134="Cancelled","",IFERROR(IF(OR(AM1134="",AK1134=""),"",(AK1134+Variables!$B$19)-AM1134),""))</f>
        <v/>
      </c>
      <c r="AR1134" s="12" t="str">
        <f>IF($H1134="Cancelled","",IFERROR(T1134*INDEX(Variables!$B$7:$D$7,IFERROR(MATCH(IF($B1134="Robusta","Robusta",(IF($B1134="","Arabica",$B1134))&amp;" - "&amp;(IF($C1134="","Commercial",$C1134))),Variables!$B$1:$D$1,0),1))*(AQ1134/365),""))</f>
        <v/>
      </c>
      <c r="AS1134" s="12">
        <f>IF($H1134="Cancelled","",IFERROR((T1134*INDEX(Variables!$B$7:$D$7,IFERROR(MATCH(IF($B1134="Robusta","Robusta",(IF($B1134="","Arabica",$B1134))&amp;" - "&amp;(IF($C1134="","Commercial",$C1134))),Variables!$B$1:$D$1,0),1))*IFERROR(IF(W1134="","",(AVERAGE(E1134:F1134)-W1134)-Variables!$B$14),"")/365)+(L1134/16.67*INDEX(Variables!$B$8:$D$8,IFERROR(MATCH(IF($B1134="Robusta","Robusta",(IF($B1134="","Arabica",$B1134))&amp;" - "&amp;(IF($C1134="","Commercial",$C1134))),Variables!$B$1:$D$1,0),1))*IFERROR(IF(W1134="","",(AVERAGE(E1134:F1134)-W1134)-Variables!$B$14),""))+(T1134*INDEX(Variables!$B$9:$D$9,IFERROR(MATCH(IF($B1134="Robusta","Robusta",(IF($B1134="","Arabica",$B1134))&amp;" - "&amp;(IF($C1134="","Commercial",$C1134))),Variables!$B$1:$D$1,0),1))*IFERROR(IF(W1134="","",(AVERAGE(E1134:F1134)-W1134)-Variables!$B$14),"")/365),""))</f>
        <v>8.1535909829967697</v>
      </c>
      <c r="AT1134" s="12">
        <f>IF($H1134="Cancelled","",IFERROR((T1134*INDEX(Variables!$B$7:$D$7,IFERROR(MATCH(IF($B1134="Robusta","Robusta",(IF($B1134="","Arabica",$B1134))&amp;" - "&amp;(IF($C1134="","Commercial",$C1134))),Variables!$B$1:$D$1,0),1))*AC1134/365)+(L1134/16.67*INDEX(Variables!$B$8:$D$8,IFERROR(MATCH(IF($B1134="Robusta","Robusta",(IF($B1134="","Arabica",$B1134))&amp;" - "&amp;(IF($C1134="","Commercial",$C1134))),Variables!$B$1:$D$1,0),1))*AC1134)+(T1134*INDEX(Variables!$B$9:$D$9,IFERROR(MATCH(IF($B1134="Robusta","Robusta",(IF($B1134="","Arabica",$B1134))&amp;" - "&amp;(IF($C1134="","Commercial",$C1134))),Variables!$B$1:$D$1,0),1))*AC1134/365),""))</f>
        <v>8.1535909829967697</v>
      </c>
      <c r="AU1134" s="12" t="str">
        <f>IF($H1134="Cancelled","",IFERROR((T1134*INDEX(Variables!$B$7:$D$7,IFERROR(MATCH(IF($B1134="Robusta","Robusta",(IF($B1134="","Arabica",$B1134))&amp;" - "&amp;(IF($C1134="","Commercial",$C1134))),Variables!$B$1:$D$1,0),1))*AP1134/365)+(L1134/16.67*INDEX(Variables!$B$8:$D$8,IFERROR(MATCH(IF($B1134="Robusta","Robusta",(IF($B1134="","Arabica",$B1134))&amp;" - "&amp;(IF($C1134="","Commercial",$C1134))),Variables!$B$1:$D$1,0),1))*AP1134)+(T1134*INDEX(Variables!$B$9:$D$9,IFERROR(MATCH(IF($B1134="Robusta","Robusta",(IF($B1134="","Arabica",$B1134))&amp;" - "&amp;(IF($C1134="","Commercial",$C1134))),Variables!$B$1:$D$1,0),1))*AP1134/365),""))</f>
        <v/>
      </c>
      <c r="AV1134" s="11" t="str">
        <f t="shared" si="106"/>
        <v/>
      </c>
      <c r="AW1134" s="12" t="str">
        <f>IF($H1134="Cancelled","",IFERROR(IF(AV1134="","",(T1134*INDEX(Variables!$B$7:$D$7,IFERROR(MATCH(IF($B1134="Robusta","Robusta",(IF($B1134="","Arabica",$B1134))&amp;" - "&amp;(IF($C1134="","Commercial",$C1134))),Variables!$B$1:$D$1,0),1))*(AV1134/365))+(T1134*INDEX(Variables!$B$9:$D$9,IFERROR(MATCH(IF($B1134="Robusta","Robusta",(IF($B1134="","Arabica",$B1134))&amp;" - "&amp;(IF($C1134="","Commercial",$C1134))),Variables!$B$1:$D$1,0),1))*(AV1134/365))+(INDEX(Variables!$B$8:$D$8,IFERROR(MATCH(IF($B1134="Robusta","Robusta",(IF($B1134="","Arabica",$B1134))&amp;" - "&amp;(IF($C1134="","Commercial",$C1134))),Variables!$B$1:$D$1,0),1))*L1134/16.67)),""))</f>
        <v/>
      </c>
      <c r="AX1134" s="9"/>
      <c r="AY1134" s="12"/>
      <c r="AZ1134" s="10"/>
      <c r="BA1134" s="9"/>
      <c r="BB1134" s="10"/>
      <c r="BC1134" s="9"/>
      <c r="BD1134" s="9"/>
      <c r="BE1134" s="9"/>
      <c r="BF1134" s="9"/>
    </row>
    <row r="1135" spans="1:58" x14ac:dyDescent="0.25">
      <c r="A1135" s="9" t="s">
        <v>84</v>
      </c>
      <c r="B1135" s="9" t="s">
        <v>85</v>
      </c>
      <c r="C1135" s="9" t="s">
        <v>1486</v>
      </c>
      <c r="D1135" s="10">
        <v>46013</v>
      </c>
      <c r="E1135" s="10">
        <v>46023</v>
      </c>
      <c r="F1135" s="10">
        <v>46053</v>
      </c>
      <c r="G1135" s="9">
        <v>3787071</v>
      </c>
      <c r="H1135" s="9" t="str">
        <f t="shared" si="104"/>
        <v>Open</v>
      </c>
      <c r="I1135" s="9" t="str">
        <f t="shared" si="105"/>
        <v>No sailing date and No shipping advice sent and No docs dispatch date</v>
      </c>
      <c r="J1135" s="9" t="s">
        <v>1487</v>
      </c>
      <c r="K1135" s="9" t="s">
        <v>2428</v>
      </c>
      <c r="L1135" s="11">
        <v>20</v>
      </c>
      <c r="M1135" s="9" t="s">
        <v>2429</v>
      </c>
      <c r="N1135" s="9"/>
      <c r="O1135" s="9"/>
      <c r="P1135" s="9"/>
      <c r="Q1135" s="11">
        <v>166</v>
      </c>
      <c r="R1135" s="9" t="s">
        <v>195</v>
      </c>
      <c r="S1135" s="9" t="s">
        <v>183</v>
      </c>
      <c r="T1135" s="12">
        <f>IF($H1135="Cancelled","",IFERROR(((Q1135+INDEX(Variables!$B$6:$D$6,IFERROR(MATCH(IF($B1135="Robusta","Robusta",(IF($B1135="","Arabica",$B1135))&amp;" - "&amp;(IF($C1135="","Commercial",$C1135))),Variables!$B$1:$D$1,0),1)))*22.0462)*(L1135/16.67),""))</f>
        <v>12082.428506298738</v>
      </c>
      <c r="U1135" s="10"/>
      <c r="V1135" s="9" t="str">
        <f t="shared" si="109"/>
        <v/>
      </c>
      <c r="W1135" s="10">
        <v>46006</v>
      </c>
      <c r="X1135" s="9" t="str">
        <f t="shared" si="108"/>
        <v>Approved</v>
      </c>
      <c r="Y1135" s="10">
        <v>46037</v>
      </c>
      <c r="Z1135" s="10">
        <f>IF($H1135="Cancelled","",IFERROR(IF(F1135="","",F1135-Variables!$B$13),""))</f>
        <v>46038</v>
      </c>
      <c r="AA1135" s="11">
        <f>IF($H1135="Cancelled","",IFERROR(IF(W1135="","",(AVERAGE(E1135:F1135)-W1135)-Variables!$B$14),""))</f>
        <v>2</v>
      </c>
      <c r="AB1135" s="10">
        <v>46050</v>
      </c>
      <c r="AC1135" s="11">
        <f>IF($H1135="Cancelled","",IFERROR(IF(AB1135="","",IF(AND(W1135="",Y1135=""),"",IF(Y1135&gt;W1135,Y1135+Variables!$B$15+Variables!$B$16+Variables!$B$17-AB1135,W1135+Variables!$B$16+Variables!$B$17-AB1135))),""))</f>
        <v>2</v>
      </c>
      <c r="AD1135" s="9" t="s">
        <v>163</v>
      </c>
      <c r="AE1135" s="9"/>
      <c r="AF1135" s="10"/>
      <c r="AG1135" s="10"/>
      <c r="AH1135" s="9"/>
      <c r="AI1135" s="9"/>
      <c r="AJ1135" s="9"/>
      <c r="AK1135" s="10"/>
      <c r="AL1135" s="10"/>
      <c r="AM1135" s="10"/>
      <c r="AN1135" s="9" t="s">
        <v>2423</v>
      </c>
      <c r="AO1135" s="9"/>
      <c r="AP1135" s="11" t="str">
        <f>IF($H1135="Cancelled","",IFERROR(IF(OR(AK1135="",AB1135=""),"",(AB1135+Variables!$B$18-AK1135)),""))</f>
        <v/>
      </c>
      <c r="AQ1135" s="11" t="str">
        <f>IF($H1135="Cancelled","",IFERROR(IF(OR(AM1135="",AK1135=""),"",(AK1135+Variables!$B$19)-AM1135),""))</f>
        <v/>
      </c>
      <c r="AR1135" s="12" t="str">
        <f>IF($H1135="Cancelled","",IFERROR(T1135*INDEX(Variables!$B$7:$D$7,IFERROR(MATCH(IF($B1135="Robusta","Robusta",(IF($B1135="","Arabica",$B1135))&amp;" - "&amp;(IF($C1135="","Commercial",$C1135))),Variables!$B$1:$D$1,0),1))*(AQ1135/365),""))</f>
        <v/>
      </c>
      <c r="AS1135" s="12">
        <f>IF($H1135="Cancelled","",IFERROR((T1135*INDEX(Variables!$B$7:$D$7,IFERROR(MATCH(IF($B1135="Robusta","Robusta",(IF($B1135="","Arabica",$B1135))&amp;" - "&amp;(IF($C1135="","Commercial",$C1135))),Variables!$B$1:$D$1,0),1))*IFERROR(IF(W1135="","",(AVERAGE(E1135:F1135)-W1135)-Variables!$B$14),"")/365)+(L1135/16.67*INDEX(Variables!$B$8:$D$8,IFERROR(MATCH(IF($B1135="Robusta","Robusta",(IF($B1135="","Arabica",$B1135))&amp;" - "&amp;(IF($C1135="","Commercial",$C1135))),Variables!$B$1:$D$1,0),1))*IFERROR(IF(W1135="","",(AVERAGE(E1135:F1135)-W1135)-Variables!$B$14),""))+(T1135*INDEX(Variables!$B$9:$D$9,IFERROR(MATCH(IF($B1135="Robusta","Robusta",(IF($B1135="","Arabica",$B1135))&amp;" - "&amp;(IF($C1135="","Commercial",$C1135))),Variables!$B$1:$D$1,0),1))*IFERROR(IF(W1135="","",(AVERAGE(E1135:F1135)-W1135)-Variables!$B$14),"")/365),""))</f>
        <v>6.3240859958692752</v>
      </c>
      <c r="AT1135" s="12">
        <f>IF($H1135="Cancelled","",IFERROR((T1135*INDEX(Variables!$B$7:$D$7,IFERROR(MATCH(IF($B1135="Robusta","Robusta",(IF($B1135="","Arabica",$B1135))&amp;" - "&amp;(IF($C1135="","Commercial",$C1135))),Variables!$B$1:$D$1,0),1))*AC1135/365)+(L1135/16.67*INDEX(Variables!$B$8:$D$8,IFERROR(MATCH(IF($B1135="Robusta","Robusta",(IF($B1135="","Arabica",$B1135))&amp;" - "&amp;(IF($C1135="","Commercial",$C1135))),Variables!$B$1:$D$1,0),1))*AC1135)+(T1135*INDEX(Variables!$B$9:$D$9,IFERROR(MATCH(IF($B1135="Robusta","Robusta",(IF($B1135="","Arabica",$B1135))&amp;" - "&amp;(IF($C1135="","Commercial",$C1135))),Variables!$B$1:$D$1,0),1))*AC1135/365),""))</f>
        <v>6.3240859958692752</v>
      </c>
      <c r="AU1135" s="12" t="str">
        <f>IF($H1135="Cancelled","",IFERROR((T1135*INDEX(Variables!$B$7:$D$7,IFERROR(MATCH(IF($B1135="Robusta","Robusta",(IF($B1135="","Arabica",$B1135))&amp;" - "&amp;(IF($C1135="","Commercial",$C1135))),Variables!$B$1:$D$1,0),1))*AP1135/365)+(L1135/16.67*INDEX(Variables!$B$8:$D$8,IFERROR(MATCH(IF($B1135="Robusta","Robusta",(IF($B1135="","Arabica",$B1135))&amp;" - "&amp;(IF($C1135="","Commercial",$C1135))),Variables!$B$1:$D$1,0),1))*AP1135)+(T1135*INDEX(Variables!$B$9:$D$9,IFERROR(MATCH(IF($B1135="Robusta","Robusta",(IF($B1135="","Arabica",$B1135))&amp;" - "&amp;(IF($C1135="","Commercial",$C1135))),Variables!$B$1:$D$1,0),1))*AP1135/365),""))</f>
        <v/>
      </c>
      <c r="AV1135" s="11" t="str">
        <f t="shared" si="106"/>
        <v/>
      </c>
      <c r="AW1135" s="12" t="str">
        <f>IF($H1135="Cancelled","",IFERROR(IF(AV1135="","",(T1135*INDEX(Variables!$B$7:$D$7,IFERROR(MATCH(IF($B1135="Robusta","Robusta",(IF($B1135="","Arabica",$B1135))&amp;" - "&amp;(IF($C1135="","Commercial",$C1135))),Variables!$B$1:$D$1,0),1))*(AV1135/365))+(T1135*INDEX(Variables!$B$9:$D$9,IFERROR(MATCH(IF($B1135="Robusta","Robusta",(IF($B1135="","Arabica",$B1135))&amp;" - "&amp;(IF($C1135="","Commercial",$C1135))),Variables!$B$1:$D$1,0),1))*(AV1135/365))+(INDEX(Variables!$B$8:$D$8,IFERROR(MATCH(IF($B1135="Robusta","Robusta",(IF($B1135="","Arabica",$B1135))&amp;" - "&amp;(IF($C1135="","Commercial",$C1135))),Variables!$B$1:$D$1,0),1))*L1135/16.67)),""))</f>
        <v/>
      </c>
      <c r="AX1135" s="9"/>
      <c r="AY1135" s="12"/>
      <c r="AZ1135" s="10"/>
      <c r="BA1135" s="9"/>
      <c r="BB1135" s="10"/>
      <c r="BC1135" s="9"/>
      <c r="BD1135" s="9"/>
      <c r="BE1135" s="9"/>
      <c r="BF1135" s="9"/>
    </row>
    <row r="1136" spans="1:58" x14ac:dyDescent="0.25">
      <c r="A1136" s="9" t="s">
        <v>84</v>
      </c>
      <c r="B1136" s="9" t="s">
        <v>85</v>
      </c>
      <c r="C1136" s="9" t="s">
        <v>1486</v>
      </c>
      <c r="D1136" s="10">
        <v>46013</v>
      </c>
      <c r="E1136" s="10">
        <v>46023</v>
      </c>
      <c r="F1136" s="10">
        <v>46053</v>
      </c>
      <c r="G1136" s="9">
        <v>3787072</v>
      </c>
      <c r="H1136" s="9" t="str">
        <f t="shared" si="104"/>
        <v>Open</v>
      </c>
      <c r="I1136" s="9" t="str">
        <f t="shared" si="105"/>
        <v>No sailing date and No shipping advice sent and No docs dispatch date</v>
      </c>
      <c r="J1136" s="9" t="s">
        <v>1487</v>
      </c>
      <c r="K1136" s="9" t="s">
        <v>2430</v>
      </c>
      <c r="L1136" s="11">
        <v>10</v>
      </c>
      <c r="M1136" s="9" t="s">
        <v>2431</v>
      </c>
      <c r="N1136" s="9"/>
      <c r="O1136" s="9"/>
      <c r="P1136" s="9"/>
      <c r="Q1136" s="11">
        <v>154</v>
      </c>
      <c r="R1136" s="9" t="s">
        <v>195</v>
      </c>
      <c r="S1136" s="9" t="s">
        <v>183</v>
      </c>
      <c r="T1136" s="12">
        <f>IF($H1136="Cancelled","",IFERROR(((Q1136+INDEX(Variables!$B$6:$D$6,IFERROR(MATCH(IF($B1136="Robusta","Robusta",(IF($B1136="","Arabica",$B1136))&amp;" - "&amp;(IF($C1136="","Commercial",$C1136))),Variables!$B$1:$D$1,0),1)))*22.0462)*(L1136/16.67),""))</f>
        <v>5882.5133533293338</v>
      </c>
      <c r="U1136" s="10"/>
      <c r="V1136" s="9" t="str">
        <f t="shared" si="109"/>
        <v/>
      </c>
      <c r="W1136" s="10">
        <v>46006</v>
      </c>
      <c r="X1136" s="9" t="str">
        <f t="shared" si="108"/>
        <v>Approved</v>
      </c>
      <c r="Y1136" s="10">
        <v>46037</v>
      </c>
      <c r="Z1136" s="10">
        <f>IF($H1136="Cancelled","",IFERROR(IF(F1136="","",F1136-Variables!$B$13),""))</f>
        <v>46038</v>
      </c>
      <c r="AA1136" s="11">
        <f>IF($H1136="Cancelled","",IFERROR(IF(W1136="","",(AVERAGE(E1136:F1136)-W1136)-Variables!$B$14),""))</f>
        <v>2</v>
      </c>
      <c r="AB1136" s="10">
        <v>46050</v>
      </c>
      <c r="AC1136" s="11">
        <f>IF($H1136="Cancelled","",IFERROR(IF(AB1136="","",IF(AND(W1136="",Y1136=""),"",IF(Y1136&gt;W1136,Y1136+Variables!$B$15+Variables!$B$16+Variables!$B$17-AB1136,W1136+Variables!$B$16+Variables!$B$17-AB1136))),""))</f>
        <v>2</v>
      </c>
      <c r="AD1136" s="9" t="s">
        <v>163</v>
      </c>
      <c r="AE1136" s="9"/>
      <c r="AF1136" s="10"/>
      <c r="AG1136" s="10"/>
      <c r="AH1136" s="9"/>
      <c r="AI1136" s="9"/>
      <c r="AJ1136" s="9"/>
      <c r="AK1136" s="10"/>
      <c r="AL1136" s="10"/>
      <c r="AM1136" s="10"/>
      <c r="AN1136" s="9" t="s">
        <v>2423</v>
      </c>
      <c r="AO1136" s="9"/>
      <c r="AP1136" s="11" t="str">
        <f>IF($H1136="Cancelled","",IFERROR(IF(OR(AK1136="",AB1136=""),"",(AB1136+Variables!$B$18-AK1136)),""))</f>
        <v/>
      </c>
      <c r="AQ1136" s="11" t="str">
        <f>IF($H1136="Cancelled","",IFERROR(IF(OR(AM1136="",AK1136=""),"",(AK1136+Variables!$B$19)-AM1136),""))</f>
        <v/>
      </c>
      <c r="AR1136" s="12" t="str">
        <f>IF($H1136="Cancelled","",IFERROR(T1136*INDEX(Variables!$B$7:$D$7,IFERROR(MATCH(IF($B1136="Robusta","Robusta",(IF($B1136="","Arabica",$B1136))&amp;" - "&amp;(IF($C1136="","Commercial",$C1136))),Variables!$B$1:$D$1,0),1))*(AQ1136/365),""))</f>
        <v/>
      </c>
      <c r="AS1136" s="12">
        <f>IF($H1136="Cancelled","",IFERROR((T1136*INDEX(Variables!$B$7:$D$7,IFERROR(MATCH(IF($B1136="Robusta","Robusta",(IF($B1136="","Arabica",$B1136))&amp;" - "&amp;(IF($C1136="","Commercial",$C1136))),Variables!$B$1:$D$1,0),1))*IFERROR(IF(W1136="","",(AVERAGE(E1136:F1136)-W1136)-Variables!$B$14),"")/365)+(L1136/16.67*INDEX(Variables!$B$8:$D$8,IFERROR(MATCH(IF($B1136="Robusta","Robusta",(IF($B1136="","Arabica",$B1136))&amp;" - "&amp;(IF($C1136="","Commercial",$C1136))),Variables!$B$1:$D$1,0),1))*IFERROR(IF(W1136="","",(AVERAGE(E1136:F1136)-W1136)-Variables!$B$14),""))+(T1136*INDEX(Variables!$B$9:$D$9,IFERROR(MATCH(IF($B1136="Robusta","Robusta",(IF($B1136="","Arabica",$B1136))&amp;" - "&amp;(IF($C1136="","Commercial",$C1136))),Variables!$B$1:$D$1,0),1))*IFERROR(IF(W1136="","",(AVERAGE(E1136:F1136)-W1136)-Variables!$B$14),"")/365),""))</f>
        <v>3.1052467720694543</v>
      </c>
      <c r="AT1136" s="12">
        <f>IF($H1136="Cancelled","",IFERROR((T1136*INDEX(Variables!$B$7:$D$7,IFERROR(MATCH(IF($B1136="Robusta","Robusta",(IF($B1136="","Arabica",$B1136))&amp;" - "&amp;(IF($C1136="","Commercial",$C1136))),Variables!$B$1:$D$1,0),1))*AC1136/365)+(L1136/16.67*INDEX(Variables!$B$8:$D$8,IFERROR(MATCH(IF($B1136="Robusta","Robusta",(IF($B1136="","Arabica",$B1136))&amp;" - "&amp;(IF($C1136="","Commercial",$C1136))),Variables!$B$1:$D$1,0),1))*AC1136)+(T1136*INDEX(Variables!$B$9:$D$9,IFERROR(MATCH(IF($B1136="Robusta","Robusta",(IF($B1136="","Arabica",$B1136))&amp;" - "&amp;(IF($C1136="","Commercial",$C1136))),Variables!$B$1:$D$1,0),1))*AC1136/365),""))</f>
        <v>3.1052467720694543</v>
      </c>
      <c r="AU1136" s="12" t="str">
        <f>IF($H1136="Cancelled","",IFERROR((T1136*INDEX(Variables!$B$7:$D$7,IFERROR(MATCH(IF($B1136="Robusta","Robusta",(IF($B1136="","Arabica",$B1136))&amp;" - "&amp;(IF($C1136="","Commercial",$C1136))),Variables!$B$1:$D$1,0),1))*AP1136/365)+(L1136/16.67*INDEX(Variables!$B$8:$D$8,IFERROR(MATCH(IF($B1136="Robusta","Robusta",(IF($B1136="","Arabica",$B1136))&amp;" - "&amp;(IF($C1136="","Commercial",$C1136))),Variables!$B$1:$D$1,0),1))*AP1136)+(T1136*INDEX(Variables!$B$9:$D$9,IFERROR(MATCH(IF($B1136="Robusta","Robusta",(IF($B1136="","Arabica",$B1136))&amp;" - "&amp;(IF($C1136="","Commercial",$C1136))),Variables!$B$1:$D$1,0),1))*AP1136/365),""))</f>
        <v/>
      </c>
      <c r="AV1136" s="11" t="str">
        <f t="shared" si="106"/>
        <v/>
      </c>
      <c r="AW1136" s="12" t="str">
        <f>IF($H1136="Cancelled","",IFERROR(IF(AV1136="","",(T1136*INDEX(Variables!$B$7:$D$7,IFERROR(MATCH(IF($B1136="Robusta","Robusta",(IF($B1136="","Arabica",$B1136))&amp;" - "&amp;(IF($C1136="","Commercial",$C1136))),Variables!$B$1:$D$1,0),1))*(AV1136/365))+(T1136*INDEX(Variables!$B$9:$D$9,IFERROR(MATCH(IF($B1136="Robusta","Robusta",(IF($B1136="","Arabica",$B1136))&amp;" - "&amp;(IF($C1136="","Commercial",$C1136))),Variables!$B$1:$D$1,0),1))*(AV1136/365))+(INDEX(Variables!$B$8:$D$8,IFERROR(MATCH(IF($B1136="Robusta","Robusta",(IF($B1136="","Arabica",$B1136))&amp;" - "&amp;(IF($C1136="","Commercial",$C1136))),Variables!$B$1:$D$1,0),1))*L1136/16.67)),""))</f>
        <v/>
      </c>
      <c r="AX1136" s="9"/>
      <c r="AY1136" s="12"/>
      <c r="AZ1136" s="10"/>
      <c r="BA1136" s="9"/>
      <c r="BB1136" s="10"/>
      <c r="BC1136" s="9"/>
      <c r="BD1136" s="9"/>
      <c r="BE1136" s="9"/>
      <c r="BF1136" s="9"/>
    </row>
    <row r="1137" spans="1:58" x14ac:dyDescent="0.25">
      <c r="A1137" s="9" t="s">
        <v>84</v>
      </c>
      <c r="B1137" s="9" t="s">
        <v>85</v>
      </c>
      <c r="C1137" s="9" t="s">
        <v>1486</v>
      </c>
      <c r="D1137" s="10">
        <v>46013</v>
      </c>
      <c r="E1137" s="10">
        <v>46023</v>
      </c>
      <c r="F1137" s="10">
        <v>46053</v>
      </c>
      <c r="G1137" s="9">
        <v>3787073</v>
      </c>
      <c r="H1137" s="9" t="str">
        <f t="shared" si="104"/>
        <v>Open</v>
      </c>
      <c r="I1137" s="9" t="str">
        <f t="shared" si="105"/>
        <v>No sailing date and No shipping advice sent and No docs dispatch date</v>
      </c>
      <c r="J1137" s="9" t="s">
        <v>1487</v>
      </c>
      <c r="K1137" s="9" t="s">
        <v>2432</v>
      </c>
      <c r="L1137" s="11">
        <v>22</v>
      </c>
      <c r="M1137" s="9" t="s">
        <v>2433</v>
      </c>
      <c r="N1137" s="9"/>
      <c r="O1137" s="9"/>
      <c r="P1137" s="9"/>
      <c r="Q1137" s="11">
        <v>147</v>
      </c>
      <c r="R1137" s="9" t="s">
        <v>195</v>
      </c>
      <c r="S1137" s="9" t="s">
        <v>183</v>
      </c>
      <c r="T1137" s="12">
        <f>IF($H1137="Cancelled","",IFERROR(((Q1137+INDEX(Variables!$B$6:$D$6,IFERROR(MATCH(IF($B1137="Robusta","Robusta",(IF($B1137="","Arabica",$B1137))&amp;" - "&amp;(IF($C1137="","Commercial",$C1137))),Variables!$B$1:$D$1,0),1)))*22.0462)*(L1137/16.67),""))</f>
        <v>12737.863222555487</v>
      </c>
      <c r="U1137" s="10"/>
      <c r="V1137" s="9" t="str">
        <f t="shared" si="109"/>
        <v/>
      </c>
      <c r="W1137" s="10">
        <v>46006</v>
      </c>
      <c r="X1137" s="9" t="str">
        <f t="shared" si="108"/>
        <v>Approved</v>
      </c>
      <c r="Y1137" s="10">
        <v>46037</v>
      </c>
      <c r="Z1137" s="10">
        <f>IF($H1137="Cancelled","",IFERROR(IF(F1137="","",F1137-Variables!$B$13),""))</f>
        <v>46038</v>
      </c>
      <c r="AA1137" s="11">
        <f>IF($H1137="Cancelled","",IFERROR(IF(W1137="","",(AVERAGE(E1137:F1137)-W1137)-Variables!$B$14),""))</f>
        <v>2</v>
      </c>
      <c r="AB1137" s="10">
        <v>46050</v>
      </c>
      <c r="AC1137" s="11">
        <f>IF($H1137="Cancelled","",IFERROR(IF(AB1137="","",IF(AND(W1137="",Y1137=""),"",IF(Y1137&gt;W1137,Y1137+Variables!$B$15+Variables!$B$16+Variables!$B$17-AB1137,W1137+Variables!$B$16+Variables!$B$17-AB1137))),""))</f>
        <v>2</v>
      </c>
      <c r="AD1137" s="9" t="s">
        <v>163</v>
      </c>
      <c r="AE1137" s="9"/>
      <c r="AF1137" s="10"/>
      <c r="AG1137" s="10"/>
      <c r="AH1137" s="9"/>
      <c r="AI1137" s="9"/>
      <c r="AJ1137" s="9"/>
      <c r="AK1137" s="10"/>
      <c r="AL1137" s="10"/>
      <c r="AM1137" s="10"/>
      <c r="AN1137" s="9" t="s">
        <v>2423</v>
      </c>
      <c r="AO1137" s="9"/>
      <c r="AP1137" s="11" t="str">
        <f>IF($H1137="Cancelled","",IFERROR(IF(OR(AK1137="",AB1137=""),"",(AB1137+Variables!$B$18-AK1137)),""))</f>
        <v/>
      </c>
      <c r="AQ1137" s="11" t="str">
        <f>IF($H1137="Cancelled","",IFERROR(IF(OR(AM1137="",AK1137=""),"",(AK1137+Variables!$B$19)-AM1137),""))</f>
        <v/>
      </c>
      <c r="AR1137" s="12" t="str">
        <f>IF($H1137="Cancelled","",IFERROR(T1137*INDEX(Variables!$B$7:$D$7,IFERROR(MATCH(IF($B1137="Robusta","Robusta",(IF($B1137="","Arabica",$B1137))&amp;" - "&amp;(IF($C1137="","Commercial",$C1137))),Variables!$B$1:$D$1,0),1))*(AQ1137/365),""))</f>
        <v/>
      </c>
      <c r="AS1137" s="12">
        <f>IF($H1137="Cancelled","",IFERROR((T1137*INDEX(Variables!$B$7:$D$7,IFERROR(MATCH(IF($B1137="Robusta","Robusta",(IF($B1137="","Arabica",$B1137))&amp;" - "&amp;(IF($C1137="","Commercial",$C1137))),Variables!$B$1:$D$1,0),1))*IFERROR(IF(W1137="","",(AVERAGE(E1137:F1137)-W1137)-Variables!$B$14),"")/365)+(L1137/16.67*INDEX(Variables!$B$8:$D$8,IFERROR(MATCH(IF($B1137="Robusta","Robusta",(IF($B1137="","Arabica",$B1137))&amp;" - "&amp;(IF($C1137="","Commercial",$C1137))),Variables!$B$1:$D$1,0),1))*IFERROR(IF(W1137="","",(AVERAGE(E1137:F1137)-W1137)-Variables!$B$14),""))+(T1137*INDEX(Variables!$B$9:$D$9,IFERROR(MATCH(IF($B1137="Robusta","Robusta",(IF($B1137="","Arabica",$B1137))&amp;" - "&amp;(IF($C1137="","Commercial",$C1137))),Variables!$B$1:$D$1,0),1))*IFERROR(IF(W1137="","",(AVERAGE(E1137:F1137)-W1137)-Variables!$B$14),"")/365),""))</f>
        <v>6.7586544086924807</v>
      </c>
      <c r="AT1137" s="12">
        <f>IF($H1137="Cancelled","",IFERROR((T1137*INDEX(Variables!$B$7:$D$7,IFERROR(MATCH(IF($B1137="Robusta","Robusta",(IF($B1137="","Arabica",$B1137))&amp;" - "&amp;(IF($C1137="","Commercial",$C1137))),Variables!$B$1:$D$1,0),1))*AC1137/365)+(L1137/16.67*INDEX(Variables!$B$8:$D$8,IFERROR(MATCH(IF($B1137="Robusta","Robusta",(IF($B1137="","Arabica",$B1137))&amp;" - "&amp;(IF($C1137="","Commercial",$C1137))),Variables!$B$1:$D$1,0),1))*AC1137)+(T1137*INDEX(Variables!$B$9:$D$9,IFERROR(MATCH(IF($B1137="Robusta","Robusta",(IF($B1137="","Arabica",$B1137))&amp;" - "&amp;(IF($C1137="","Commercial",$C1137))),Variables!$B$1:$D$1,0),1))*AC1137/365),""))</f>
        <v>6.7586544086924807</v>
      </c>
      <c r="AU1137" s="12" t="str">
        <f>IF($H1137="Cancelled","",IFERROR((T1137*INDEX(Variables!$B$7:$D$7,IFERROR(MATCH(IF($B1137="Robusta","Robusta",(IF($B1137="","Arabica",$B1137))&amp;" - "&amp;(IF($C1137="","Commercial",$C1137))),Variables!$B$1:$D$1,0),1))*AP1137/365)+(L1137/16.67*INDEX(Variables!$B$8:$D$8,IFERROR(MATCH(IF($B1137="Robusta","Robusta",(IF($B1137="","Arabica",$B1137))&amp;" - "&amp;(IF($C1137="","Commercial",$C1137))),Variables!$B$1:$D$1,0),1))*AP1137)+(T1137*INDEX(Variables!$B$9:$D$9,IFERROR(MATCH(IF($B1137="Robusta","Robusta",(IF($B1137="","Arabica",$B1137))&amp;" - "&amp;(IF($C1137="","Commercial",$C1137))),Variables!$B$1:$D$1,0),1))*AP1137/365),""))</f>
        <v/>
      </c>
      <c r="AV1137" s="11" t="str">
        <f t="shared" si="106"/>
        <v/>
      </c>
      <c r="AW1137" s="12" t="str">
        <f>IF($H1137="Cancelled","",IFERROR(IF(AV1137="","",(T1137*INDEX(Variables!$B$7:$D$7,IFERROR(MATCH(IF($B1137="Robusta","Robusta",(IF($B1137="","Arabica",$B1137))&amp;" - "&amp;(IF($C1137="","Commercial",$C1137))),Variables!$B$1:$D$1,0),1))*(AV1137/365))+(T1137*INDEX(Variables!$B$9:$D$9,IFERROR(MATCH(IF($B1137="Robusta","Robusta",(IF($B1137="","Arabica",$B1137))&amp;" - "&amp;(IF($C1137="","Commercial",$C1137))),Variables!$B$1:$D$1,0),1))*(AV1137/365))+(INDEX(Variables!$B$8:$D$8,IFERROR(MATCH(IF($B1137="Robusta","Robusta",(IF($B1137="","Arabica",$B1137))&amp;" - "&amp;(IF($C1137="","Commercial",$C1137))),Variables!$B$1:$D$1,0),1))*L1137/16.67)),""))</f>
        <v/>
      </c>
      <c r="AX1137" s="9"/>
      <c r="AY1137" s="12"/>
      <c r="AZ1137" s="10"/>
      <c r="BA1137" s="9"/>
      <c r="BB1137" s="10"/>
      <c r="BC1137" s="9"/>
      <c r="BD1137" s="9"/>
      <c r="BE1137" s="9"/>
      <c r="BF1137" s="9"/>
    </row>
    <row r="1138" spans="1:58" x14ac:dyDescent="0.25">
      <c r="A1138" s="9" t="s">
        <v>84</v>
      </c>
      <c r="B1138" s="9" t="s">
        <v>85</v>
      </c>
      <c r="C1138" s="9" t="s">
        <v>1486</v>
      </c>
      <c r="D1138" s="10">
        <v>46013</v>
      </c>
      <c r="E1138" s="10">
        <v>46023</v>
      </c>
      <c r="F1138" s="10">
        <v>46053</v>
      </c>
      <c r="G1138" s="9">
        <v>3787074</v>
      </c>
      <c r="H1138" s="9" t="str">
        <f t="shared" si="104"/>
        <v>Open</v>
      </c>
      <c r="I1138" s="9" t="str">
        <f t="shared" si="105"/>
        <v>No sailing date and No shipping advice sent and No docs dispatch date</v>
      </c>
      <c r="J1138" s="9" t="s">
        <v>1487</v>
      </c>
      <c r="K1138" s="9" t="s">
        <v>2434</v>
      </c>
      <c r="L1138" s="11">
        <v>40</v>
      </c>
      <c r="M1138" s="9" t="s">
        <v>2435</v>
      </c>
      <c r="N1138" s="9"/>
      <c r="O1138" s="9"/>
      <c r="P1138" s="9"/>
      <c r="Q1138" s="11">
        <v>182</v>
      </c>
      <c r="R1138" s="9" t="s">
        <v>195</v>
      </c>
      <c r="S1138" s="9" t="s">
        <v>183</v>
      </c>
      <c r="T1138" s="12">
        <f>IF($H1138="Cancelled","",IFERROR(((Q1138+INDEX(Variables!$B$6:$D$6,IFERROR(MATCH(IF($B1138="Robusta","Robusta",(IF($B1138="","Arabica",$B1138))&amp;" - "&amp;(IF($C1138="","Commercial",$C1138))),Variables!$B$1:$D$1,0),1)))*22.0462)*(L1138/16.67),""))</f>
        <v>25011.261811637669</v>
      </c>
      <c r="U1138" s="10"/>
      <c r="V1138" s="9" t="str">
        <f t="shared" si="109"/>
        <v/>
      </c>
      <c r="W1138" s="10">
        <v>46006</v>
      </c>
      <c r="X1138" s="9" t="str">
        <f t="shared" si="108"/>
        <v>Approved</v>
      </c>
      <c r="Y1138" s="10">
        <v>46037</v>
      </c>
      <c r="Z1138" s="10">
        <f>IF($H1138="Cancelled","",IFERROR(IF(F1138="","",F1138-Variables!$B$13),""))</f>
        <v>46038</v>
      </c>
      <c r="AA1138" s="11">
        <f>IF($H1138="Cancelled","",IFERROR(IF(W1138="","",(AVERAGE(E1138:F1138)-W1138)-Variables!$B$14),""))</f>
        <v>2</v>
      </c>
      <c r="AB1138" s="10">
        <v>46050</v>
      </c>
      <c r="AC1138" s="11">
        <f>IF($H1138="Cancelled","",IFERROR(IF(AB1138="","",IF(AND(W1138="",Y1138=""),"",IF(Y1138&gt;W1138,Y1138+Variables!$B$15+Variables!$B$16+Variables!$B$17-AB1138,W1138+Variables!$B$16+Variables!$B$17-AB1138))),""))</f>
        <v>2</v>
      </c>
      <c r="AD1138" s="9" t="s">
        <v>163</v>
      </c>
      <c r="AE1138" s="9"/>
      <c r="AF1138" s="10"/>
      <c r="AG1138" s="10"/>
      <c r="AH1138" s="9"/>
      <c r="AI1138" s="9"/>
      <c r="AJ1138" s="9"/>
      <c r="AK1138" s="10"/>
      <c r="AL1138" s="10"/>
      <c r="AM1138" s="10"/>
      <c r="AN1138" s="9" t="s">
        <v>2423</v>
      </c>
      <c r="AO1138" s="9"/>
      <c r="AP1138" s="11" t="str">
        <f>IF($H1138="Cancelled","",IFERROR(IF(OR(AK1138="",AB1138=""),"",(AB1138+Variables!$B$18-AK1138)),""))</f>
        <v/>
      </c>
      <c r="AQ1138" s="11" t="str">
        <f>IF($H1138="Cancelled","",IFERROR(IF(OR(AM1138="",AK1138=""),"",(AK1138+Variables!$B$19)-AM1138),""))</f>
        <v/>
      </c>
      <c r="AR1138" s="12" t="str">
        <f>IF($H1138="Cancelled","",IFERROR(T1138*INDEX(Variables!$B$7:$D$7,IFERROR(MATCH(IF($B1138="Robusta","Robusta",(IF($B1138="","Arabica",$B1138))&amp;" - "&amp;(IF($C1138="","Commercial",$C1138))),Variables!$B$1:$D$1,0),1))*(AQ1138/365),""))</f>
        <v/>
      </c>
      <c r="AS1138" s="12">
        <f>IF($H1138="Cancelled","",IFERROR((T1138*INDEX(Variables!$B$7:$D$7,IFERROR(MATCH(IF($B1138="Robusta","Robusta",(IF($B1138="","Arabica",$B1138))&amp;" - "&amp;(IF($C1138="","Commercial",$C1138))),Variables!$B$1:$D$1,0),1))*IFERROR(IF(W1138="","",(AVERAGE(E1138:F1138)-W1138)-Variables!$B$14),"")/365)+(L1138/16.67*INDEX(Variables!$B$8:$D$8,IFERROR(MATCH(IF($B1138="Robusta","Robusta",(IF($B1138="","Arabica",$B1138))&amp;" - "&amp;(IF($C1138="","Commercial",$C1138))),Variables!$B$1:$D$1,0),1))*IFERROR(IF(W1138="","",(AVERAGE(E1138:F1138)-W1138)-Variables!$B$14),""))+(T1138*INDEX(Variables!$B$9:$D$9,IFERROR(MATCH(IF($B1138="Robusta","Robusta",(IF($B1138="","Arabica",$B1138))&amp;" - "&amp;(IF($C1138="","Commercial",$C1138))),Variables!$B$1:$D$1,0),1))*IFERROR(IF(W1138="","",(AVERAGE(E1138:F1138)-W1138)-Variables!$B$14),"")/365),""))</f>
        <v>12.95108519635286</v>
      </c>
      <c r="AT1138" s="12">
        <f>IF($H1138="Cancelled","",IFERROR((T1138*INDEX(Variables!$B$7:$D$7,IFERROR(MATCH(IF($B1138="Robusta","Robusta",(IF($B1138="","Arabica",$B1138))&amp;" - "&amp;(IF($C1138="","Commercial",$C1138))),Variables!$B$1:$D$1,0),1))*AC1138/365)+(L1138/16.67*INDEX(Variables!$B$8:$D$8,IFERROR(MATCH(IF($B1138="Robusta","Robusta",(IF($B1138="","Arabica",$B1138))&amp;" - "&amp;(IF($C1138="","Commercial",$C1138))),Variables!$B$1:$D$1,0),1))*AC1138)+(T1138*INDEX(Variables!$B$9:$D$9,IFERROR(MATCH(IF($B1138="Robusta","Robusta",(IF($B1138="","Arabica",$B1138))&amp;" - "&amp;(IF($C1138="","Commercial",$C1138))),Variables!$B$1:$D$1,0),1))*AC1138/365),""))</f>
        <v>12.95108519635286</v>
      </c>
      <c r="AU1138" s="12" t="str">
        <f>IF($H1138="Cancelled","",IFERROR((T1138*INDEX(Variables!$B$7:$D$7,IFERROR(MATCH(IF($B1138="Robusta","Robusta",(IF($B1138="","Arabica",$B1138))&amp;" - "&amp;(IF($C1138="","Commercial",$C1138))),Variables!$B$1:$D$1,0),1))*AP1138/365)+(L1138/16.67*INDEX(Variables!$B$8:$D$8,IFERROR(MATCH(IF($B1138="Robusta","Robusta",(IF($B1138="","Arabica",$B1138))&amp;" - "&amp;(IF($C1138="","Commercial",$C1138))),Variables!$B$1:$D$1,0),1))*AP1138)+(T1138*INDEX(Variables!$B$9:$D$9,IFERROR(MATCH(IF($B1138="Robusta","Robusta",(IF($B1138="","Arabica",$B1138))&amp;" - "&amp;(IF($C1138="","Commercial",$C1138))),Variables!$B$1:$D$1,0),1))*AP1138/365),""))</f>
        <v/>
      </c>
      <c r="AV1138" s="11" t="str">
        <f t="shared" si="106"/>
        <v/>
      </c>
      <c r="AW1138" s="12" t="str">
        <f>IF($H1138="Cancelled","",IFERROR(IF(AV1138="","",(T1138*INDEX(Variables!$B$7:$D$7,IFERROR(MATCH(IF($B1138="Robusta","Robusta",(IF($B1138="","Arabica",$B1138))&amp;" - "&amp;(IF($C1138="","Commercial",$C1138))),Variables!$B$1:$D$1,0),1))*(AV1138/365))+(T1138*INDEX(Variables!$B$9:$D$9,IFERROR(MATCH(IF($B1138="Robusta","Robusta",(IF($B1138="","Arabica",$B1138))&amp;" - "&amp;(IF($C1138="","Commercial",$C1138))),Variables!$B$1:$D$1,0),1))*(AV1138/365))+(INDEX(Variables!$B$8:$D$8,IFERROR(MATCH(IF($B1138="Robusta","Robusta",(IF($B1138="","Arabica",$B1138))&amp;" - "&amp;(IF($C1138="","Commercial",$C1138))),Variables!$B$1:$D$1,0),1))*L1138/16.67)),""))</f>
        <v/>
      </c>
      <c r="AX1138" s="9"/>
      <c r="AY1138" s="12"/>
      <c r="AZ1138" s="10"/>
      <c r="BA1138" s="9"/>
      <c r="BB1138" s="10"/>
      <c r="BC1138" s="9"/>
      <c r="BD1138" s="9"/>
      <c r="BE1138" s="9"/>
      <c r="BF1138" s="9"/>
    </row>
    <row r="1139" spans="1:58" x14ac:dyDescent="0.25">
      <c r="A1139" s="9" t="s">
        <v>84</v>
      </c>
      <c r="B1139" s="9" t="s">
        <v>85</v>
      </c>
      <c r="C1139" s="9" t="s">
        <v>1486</v>
      </c>
      <c r="D1139" s="10">
        <v>46013</v>
      </c>
      <c r="E1139" s="10">
        <v>46023</v>
      </c>
      <c r="F1139" s="10">
        <v>46053</v>
      </c>
      <c r="G1139" s="9">
        <v>3787075</v>
      </c>
      <c r="H1139" s="9" t="str">
        <f t="shared" si="104"/>
        <v>Open</v>
      </c>
      <c r="I1139" s="9" t="str">
        <f t="shared" si="105"/>
        <v>No sailing date and No shipping advice sent and No docs dispatch date</v>
      </c>
      <c r="J1139" s="9" t="s">
        <v>1487</v>
      </c>
      <c r="K1139" s="9" t="s">
        <v>2436</v>
      </c>
      <c r="L1139" s="11">
        <v>6</v>
      </c>
      <c r="M1139" s="9" t="s">
        <v>2437</v>
      </c>
      <c r="N1139" s="9"/>
      <c r="O1139" s="9"/>
      <c r="P1139" s="9"/>
      <c r="Q1139" s="11">
        <v>167</v>
      </c>
      <c r="R1139" s="9" t="s">
        <v>195</v>
      </c>
      <c r="S1139" s="9" t="s">
        <v>183</v>
      </c>
      <c r="T1139" s="12">
        <f>IF($H1139="Cancelled","",IFERROR(((Q1139+INDEX(Variables!$B$6:$D$6,IFERROR(MATCH(IF($B1139="Robusta","Robusta",(IF($B1139="","Arabica",$B1139))&amp;" - "&amp;(IF($C1139="","Commercial",$C1139))),Variables!$B$1:$D$1,0),1)))*22.0462)*(L1139/16.67),""))</f>
        <v>3632.6635968806231</v>
      </c>
      <c r="U1139" s="10"/>
      <c r="V1139" s="9" t="str">
        <f t="shared" si="109"/>
        <v/>
      </c>
      <c r="W1139" s="10">
        <v>46006</v>
      </c>
      <c r="X1139" s="9" t="str">
        <f t="shared" si="108"/>
        <v>Approved</v>
      </c>
      <c r="Y1139" s="10">
        <v>46037</v>
      </c>
      <c r="Z1139" s="10">
        <f>IF($H1139="Cancelled","",IFERROR(IF(F1139="","",F1139-Variables!$B$13),""))</f>
        <v>46038</v>
      </c>
      <c r="AA1139" s="11">
        <f>IF($H1139="Cancelled","",IFERROR(IF(W1139="","",(AVERAGE(E1139:F1139)-W1139)-Variables!$B$14),""))</f>
        <v>2</v>
      </c>
      <c r="AB1139" s="10">
        <v>46050</v>
      </c>
      <c r="AC1139" s="11">
        <f>IF($H1139="Cancelled","",IFERROR(IF(AB1139="","",IF(AND(W1139="",Y1139=""),"",IF(Y1139&gt;W1139,Y1139+Variables!$B$15+Variables!$B$16+Variables!$B$17-AB1139,W1139+Variables!$B$16+Variables!$B$17-AB1139))),""))</f>
        <v>2</v>
      </c>
      <c r="AD1139" s="9" t="s">
        <v>163</v>
      </c>
      <c r="AE1139" s="9"/>
      <c r="AF1139" s="10"/>
      <c r="AG1139" s="10"/>
      <c r="AH1139" s="9"/>
      <c r="AI1139" s="9"/>
      <c r="AJ1139" s="9"/>
      <c r="AK1139" s="10"/>
      <c r="AL1139" s="10"/>
      <c r="AM1139" s="10"/>
      <c r="AN1139" s="9" t="s">
        <v>2423</v>
      </c>
      <c r="AO1139" s="9"/>
      <c r="AP1139" s="11" t="str">
        <f>IF($H1139="Cancelled","",IFERROR(IF(OR(AK1139="",AB1139=""),"",(AB1139+Variables!$B$18-AK1139)),""))</f>
        <v/>
      </c>
      <c r="AQ1139" s="11" t="str">
        <f>IF($H1139="Cancelled","",IFERROR(IF(OR(AM1139="",AK1139=""),"",(AK1139+Variables!$B$19)-AM1139),""))</f>
        <v/>
      </c>
      <c r="AR1139" s="12" t="str">
        <f>IF($H1139="Cancelled","",IFERROR(T1139*INDEX(Variables!$B$7:$D$7,IFERROR(MATCH(IF($B1139="Robusta","Robusta",(IF($B1139="","Arabica",$B1139))&amp;" - "&amp;(IF($C1139="","Commercial",$C1139))),Variables!$B$1:$D$1,0),1))*(AQ1139/365),""))</f>
        <v/>
      </c>
      <c r="AS1139" s="12">
        <f>IF($H1139="Cancelled","",IFERROR((T1139*INDEX(Variables!$B$7:$D$7,IFERROR(MATCH(IF($B1139="Robusta","Robusta",(IF($B1139="","Arabica",$B1139))&amp;" - "&amp;(IF($C1139="","Commercial",$C1139))),Variables!$B$1:$D$1,0),1))*IFERROR(IF(W1139="","",(AVERAGE(E1139:F1139)-W1139)-Variables!$B$14),"")/365)+(L1139/16.67*INDEX(Variables!$B$8:$D$8,IFERROR(MATCH(IF($B1139="Robusta","Robusta",(IF($B1139="","Arabica",$B1139))&amp;" - "&amp;(IF($C1139="","Commercial",$C1139))),Variables!$B$1:$D$1,0),1))*IFERROR(IF(W1139="","",(AVERAGE(E1139:F1139)-W1139)-Variables!$B$14),""))+(T1139*INDEX(Variables!$B$9:$D$9,IFERROR(MATCH(IF($B1139="Robusta","Robusta",(IF($B1139="","Arabica",$B1139))&amp;" - "&amp;(IF($C1139="","Commercial",$C1139))),Variables!$B$1:$D$1,0),1))*IFERROR(IF(W1139="","",(AVERAGE(E1139:F1139)-W1139)-Variables!$B$14),"")/365),""))</f>
        <v>1.9000656100540414</v>
      </c>
      <c r="AT1139" s="12">
        <f>IF($H1139="Cancelled","",IFERROR((T1139*INDEX(Variables!$B$7:$D$7,IFERROR(MATCH(IF($B1139="Robusta","Robusta",(IF($B1139="","Arabica",$B1139))&amp;" - "&amp;(IF($C1139="","Commercial",$C1139))),Variables!$B$1:$D$1,0),1))*AC1139/365)+(L1139/16.67*INDEX(Variables!$B$8:$D$8,IFERROR(MATCH(IF($B1139="Robusta","Robusta",(IF($B1139="","Arabica",$B1139))&amp;" - "&amp;(IF($C1139="","Commercial",$C1139))),Variables!$B$1:$D$1,0),1))*AC1139)+(T1139*INDEX(Variables!$B$9:$D$9,IFERROR(MATCH(IF($B1139="Robusta","Robusta",(IF($B1139="","Arabica",$B1139))&amp;" - "&amp;(IF($C1139="","Commercial",$C1139))),Variables!$B$1:$D$1,0),1))*AC1139/365),""))</f>
        <v>1.9000656100540414</v>
      </c>
      <c r="AU1139" s="12" t="str">
        <f>IF($H1139="Cancelled","",IFERROR((T1139*INDEX(Variables!$B$7:$D$7,IFERROR(MATCH(IF($B1139="Robusta","Robusta",(IF($B1139="","Arabica",$B1139))&amp;" - "&amp;(IF($C1139="","Commercial",$C1139))),Variables!$B$1:$D$1,0),1))*AP1139/365)+(L1139/16.67*INDEX(Variables!$B$8:$D$8,IFERROR(MATCH(IF($B1139="Robusta","Robusta",(IF($B1139="","Arabica",$B1139))&amp;" - "&amp;(IF($C1139="","Commercial",$C1139))),Variables!$B$1:$D$1,0),1))*AP1139)+(T1139*INDEX(Variables!$B$9:$D$9,IFERROR(MATCH(IF($B1139="Robusta","Robusta",(IF($B1139="","Arabica",$B1139))&amp;" - "&amp;(IF($C1139="","Commercial",$C1139))),Variables!$B$1:$D$1,0),1))*AP1139/365),""))</f>
        <v/>
      </c>
      <c r="AV1139" s="11" t="str">
        <f t="shared" si="106"/>
        <v/>
      </c>
      <c r="AW1139" s="12" t="str">
        <f>IF($H1139="Cancelled","",IFERROR(IF(AV1139="","",(T1139*INDEX(Variables!$B$7:$D$7,IFERROR(MATCH(IF($B1139="Robusta","Robusta",(IF($B1139="","Arabica",$B1139))&amp;" - "&amp;(IF($C1139="","Commercial",$C1139))),Variables!$B$1:$D$1,0),1))*(AV1139/365))+(T1139*INDEX(Variables!$B$9:$D$9,IFERROR(MATCH(IF($B1139="Robusta","Robusta",(IF($B1139="","Arabica",$B1139))&amp;" - "&amp;(IF($C1139="","Commercial",$C1139))),Variables!$B$1:$D$1,0),1))*(AV1139/365))+(INDEX(Variables!$B$8:$D$8,IFERROR(MATCH(IF($B1139="Robusta","Robusta",(IF($B1139="","Arabica",$B1139))&amp;" - "&amp;(IF($C1139="","Commercial",$C1139))),Variables!$B$1:$D$1,0),1))*L1139/16.67)),""))</f>
        <v/>
      </c>
      <c r="AX1139" s="9"/>
      <c r="AY1139" s="12"/>
      <c r="AZ1139" s="10"/>
      <c r="BA1139" s="9"/>
      <c r="BB1139" s="10"/>
      <c r="BC1139" s="9"/>
      <c r="BD1139" s="9"/>
      <c r="BE1139" s="9"/>
      <c r="BF1139" s="9"/>
    </row>
    <row r="1140" spans="1:58" x14ac:dyDescent="0.25">
      <c r="A1140" s="9" t="s">
        <v>84</v>
      </c>
      <c r="B1140" s="9" t="s">
        <v>85</v>
      </c>
      <c r="C1140" s="9" t="s">
        <v>1486</v>
      </c>
      <c r="D1140" s="10">
        <v>46002</v>
      </c>
      <c r="E1140" s="10">
        <v>46023</v>
      </c>
      <c r="F1140" s="10">
        <v>46053</v>
      </c>
      <c r="G1140" s="9">
        <v>3787046</v>
      </c>
      <c r="H1140" s="9" t="str">
        <f t="shared" si="104"/>
        <v>Open</v>
      </c>
      <c r="I1140" s="9" t="str">
        <f t="shared" si="105"/>
        <v>No sailing date and No shipping advice sent and No docs dispatch date</v>
      </c>
      <c r="J1140" s="9" t="s">
        <v>2399</v>
      </c>
      <c r="K1140" s="9" t="s">
        <v>2438</v>
      </c>
      <c r="L1140" s="11">
        <v>30</v>
      </c>
      <c r="M1140" s="9" t="s">
        <v>2439</v>
      </c>
      <c r="N1140" s="9"/>
      <c r="O1140" s="9"/>
      <c r="P1140" s="9"/>
      <c r="Q1140" s="11">
        <v>133</v>
      </c>
      <c r="R1140" s="9" t="s">
        <v>195</v>
      </c>
      <c r="S1140" s="9" t="s">
        <v>228</v>
      </c>
      <c r="T1140" s="12">
        <f>IF($H1140="Cancelled","",IFERROR(((Q1140+INDEX(Variables!$B$6:$D$6,IFERROR(MATCH(IF($B1140="Robusta","Robusta",(IF($B1140="","Arabica",$B1140))&amp;" - "&amp;(IF($C1140="","Commercial",$C1140))),Variables!$B$1:$D$1,0),1)))*22.0462)*(L1140/16.67),""))</f>
        <v>16814.360335932812</v>
      </c>
      <c r="U1140" s="10"/>
      <c r="V1140" s="9" t="str">
        <f t="shared" si="109"/>
        <v/>
      </c>
      <c r="W1140" s="10"/>
      <c r="X1140" s="9" t="str">
        <f t="shared" si="108"/>
        <v/>
      </c>
      <c r="Y1140" s="10"/>
      <c r="Z1140" s="10">
        <f>IF($H1140="Cancelled","",IFERROR(IF(F1140="","",F1140-Variables!$B$13),""))</f>
        <v>46038</v>
      </c>
      <c r="AA1140" s="11" t="str">
        <f>IF($H1140="Cancelled","",IFERROR(IF(W1140="","",(AVERAGE(E1140:F1140)-W1140)-Variables!$B$14),""))</f>
        <v/>
      </c>
      <c r="AB1140" s="10"/>
      <c r="AC1140" s="11" t="str">
        <f>IF($H1140="Cancelled","",IFERROR(IF(AB1140="","",IF(AND(W1140="",Y1140=""),"",IF(Y1140&gt;W1140,Y1140+Variables!$B$15+Variables!$B$16+Variables!$B$17-AB1140,W1140+Variables!$B$16+Variables!$B$17-AB1140))),""))</f>
        <v/>
      </c>
      <c r="AD1140" s="9" t="s">
        <v>163</v>
      </c>
      <c r="AE1140" s="9"/>
      <c r="AF1140" s="10"/>
      <c r="AG1140" s="10"/>
      <c r="AH1140" s="9"/>
      <c r="AI1140" s="9"/>
      <c r="AJ1140" s="9"/>
      <c r="AK1140" s="10"/>
      <c r="AL1140" s="10"/>
      <c r="AM1140" s="10"/>
      <c r="AN1140" s="9" t="s">
        <v>2440</v>
      </c>
      <c r="AO1140" s="9"/>
      <c r="AP1140" s="11" t="str">
        <f>IF($H1140="Cancelled","",IFERROR(IF(OR(AK1140="",AB1140=""),"",(AB1140+Variables!$B$18-AK1140)),""))</f>
        <v/>
      </c>
      <c r="AQ1140" s="11" t="str">
        <f>IF($H1140="Cancelled","",IFERROR(IF(OR(AM1140="",AK1140=""),"",(AK1140+Variables!$B$19)-AM1140),""))</f>
        <v/>
      </c>
      <c r="AR1140" s="12" t="str">
        <f>IF($H1140="Cancelled","",IFERROR(T1140*INDEX(Variables!$B$7:$D$7,IFERROR(MATCH(IF($B1140="Robusta","Robusta",(IF($B1140="","Arabica",$B1140))&amp;" - "&amp;(IF($C1140="","Commercial",$C1140))),Variables!$B$1:$D$1,0),1))*(AQ1140/365),""))</f>
        <v/>
      </c>
      <c r="AS1140" s="12" t="str">
        <f>IF($H1140="Cancelled","",IFERROR((T1140*INDEX(Variables!$B$7:$D$7,IFERROR(MATCH(IF($B1140="Robusta","Robusta",(IF($B1140="","Arabica",$B1140))&amp;" - "&amp;(IF($C1140="","Commercial",$C1140))),Variables!$B$1:$D$1,0),1))*IFERROR(IF(W1140="","",(AVERAGE(E1140:F1140)-W1140)-Variables!$B$14),"")/365)+(L1140/16.67*INDEX(Variables!$B$8:$D$8,IFERROR(MATCH(IF($B1140="Robusta","Robusta",(IF($B1140="","Arabica",$B1140))&amp;" - "&amp;(IF($C1140="","Commercial",$C1140))),Variables!$B$1:$D$1,0),1))*IFERROR(IF(W1140="","",(AVERAGE(E1140:F1140)-W1140)-Variables!$B$14),""))+(T1140*INDEX(Variables!$B$9:$D$9,IFERROR(MATCH(IF($B1140="Robusta","Robusta",(IF($B1140="","Arabica",$B1140))&amp;" - "&amp;(IF($C1140="","Commercial",$C1140))),Variables!$B$1:$D$1,0),1))*IFERROR(IF(W1140="","",(AVERAGE(E1140:F1140)-W1140)-Variables!$B$14),"")/365),""))</f>
        <v/>
      </c>
      <c r="AT1140" s="12" t="str">
        <f>IF($H1140="Cancelled","",IFERROR((T1140*INDEX(Variables!$B$7:$D$7,IFERROR(MATCH(IF($B1140="Robusta","Robusta",(IF($B1140="","Arabica",$B1140))&amp;" - "&amp;(IF($C1140="","Commercial",$C1140))),Variables!$B$1:$D$1,0),1))*AC1140/365)+(L1140/16.67*INDEX(Variables!$B$8:$D$8,IFERROR(MATCH(IF($B1140="Robusta","Robusta",(IF($B1140="","Arabica",$B1140))&amp;" - "&amp;(IF($C1140="","Commercial",$C1140))),Variables!$B$1:$D$1,0),1))*AC1140)+(T1140*INDEX(Variables!$B$9:$D$9,IFERROR(MATCH(IF($B1140="Robusta","Robusta",(IF($B1140="","Arabica",$B1140))&amp;" - "&amp;(IF($C1140="","Commercial",$C1140))),Variables!$B$1:$D$1,0),1))*AC1140/365),""))</f>
        <v/>
      </c>
      <c r="AU1140" s="12" t="str">
        <f>IF($H1140="Cancelled","",IFERROR((T1140*INDEX(Variables!$B$7:$D$7,IFERROR(MATCH(IF($B1140="Robusta","Robusta",(IF($B1140="","Arabica",$B1140))&amp;" - "&amp;(IF($C1140="","Commercial",$C1140))),Variables!$B$1:$D$1,0),1))*AP1140/365)+(L1140/16.67*INDEX(Variables!$B$8:$D$8,IFERROR(MATCH(IF($B1140="Robusta","Robusta",(IF($B1140="","Arabica",$B1140))&amp;" - "&amp;(IF($C1140="","Commercial",$C1140))),Variables!$B$1:$D$1,0),1))*AP1140)+(T1140*INDEX(Variables!$B$9:$D$9,IFERROR(MATCH(IF($B1140="Robusta","Robusta",(IF($B1140="","Arabica",$B1140))&amp;" - "&amp;(IF($C1140="","Commercial",$C1140))),Variables!$B$1:$D$1,0),1))*AP1140/365),""))</f>
        <v/>
      </c>
      <c r="AV1140" s="11" t="str">
        <f t="shared" si="106"/>
        <v/>
      </c>
      <c r="AW1140" s="12" t="str">
        <f>IF($H1140="Cancelled","",IFERROR(IF(AV1140="","",(T1140*INDEX(Variables!$B$7:$D$7,IFERROR(MATCH(IF($B1140="Robusta","Robusta",(IF($B1140="","Arabica",$B1140))&amp;" - "&amp;(IF($C1140="","Commercial",$C1140))),Variables!$B$1:$D$1,0),1))*(AV1140/365))+(T1140*INDEX(Variables!$B$9:$D$9,IFERROR(MATCH(IF($B1140="Robusta","Robusta",(IF($B1140="","Arabica",$B1140))&amp;" - "&amp;(IF($C1140="","Commercial",$C1140))),Variables!$B$1:$D$1,0),1))*(AV1140/365))+(INDEX(Variables!$B$8:$D$8,IFERROR(MATCH(IF($B1140="Robusta","Robusta",(IF($B1140="","Arabica",$B1140))&amp;" - "&amp;(IF($C1140="","Commercial",$C1140))),Variables!$B$1:$D$1,0),1))*L1140/16.67)),""))</f>
        <v/>
      </c>
      <c r="AX1140" s="9"/>
      <c r="AY1140" s="12"/>
      <c r="AZ1140" s="10"/>
      <c r="BA1140" s="9"/>
      <c r="BB1140" s="10"/>
      <c r="BC1140" s="9"/>
      <c r="BD1140" s="9"/>
      <c r="BE1140" s="9"/>
      <c r="BF1140" s="9"/>
    </row>
    <row r="1141" spans="1:58" x14ac:dyDescent="0.25">
      <c r="A1141" s="9" t="s">
        <v>84</v>
      </c>
      <c r="B1141" s="9" t="s">
        <v>85</v>
      </c>
      <c r="C1141" s="9" t="s">
        <v>1486</v>
      </c>
      <c r="D1141" s="10">
        <v>46031</v>
      </c>
      <c r="E1141" s="10">
        <v>46023</v>
      </c>
      <c r="F1141" s="10">
        <v>46053</v>
      </c>
      <c r="G1141" s="9">
        <v>3787091</v>
      </c>
      <c r="H1141" s="9" t="str">
        <f t="shared" si="104"/>
        <v>Open</v>
      </c>
      <c r="I1141" s="9" t="str">
        <f t="shared" si="105"/>
        <v>No sailing date and No shipping advice sent and No docs dispatch date</v>
      </c>
      <c r="J1141" s="9" t="s">
        <v>225</v>
      </c>
      <c r="K1141" s="9"/>
      <c r="L1141" s="11">
        <v>79</v>
      </c>
      <c r="M1141" s="9" t="s">
        <v>2441</v>
      </c>
      <c r="N1141" s="9"/>
      <c r="O1141" s="9"/>
      <c r="P1141" s="9"/>
      <c r="Q1141" s="11">
        <v>61.75</v>
      </c>
      <c r="R1141" s="9" t="s">
        <v>90</v>
      </c>
      <c r="S1141" s="9"/>
      <c r="T1141" s="12">
        <f>IF($H1141="Cancelled","",IFERROR(((Q1141+INDEX(Variables!$B$6:$D$6,IFERROR(MATCH(IF($B1141="Robusta","Robusta",(IF($B1141="","Arabica",$B1141))&amp;" - "&amp;(IF($C1141="","Commercial",$C1141))),Variables!$B$1:$D$1,0),1)))*22.0462)*(L1141/16.67),""))</f>
        <v>36833.751469106173</v>
      </c>
      <c r="U1141" s="10"/>
      <c r="V1141" s="9" t="str">
        <f t="shared" si="109"/>
        <v/>
      </c>
      <c r="W1141" s="10"/>
      <c r="X1141" s="9" t="str">
        <f t="shared" si="108"/>
        <v/>
      </c>
      <c r="Y1141" s="10"/>
      <c r="Z1141" s="10">
        <f>IF($H1141="Cancelled","",IFERROR(IF(F1141="","",F1141-Variables!$B$13),""))</f>
        <v>46038</v>
      </c>
      <c r="AA1141" s="11" t="str">
        <f>IF($H1141="Cancelled","",IFERROR(IF(W1141="","",(AVERAGE(E1141:F1141)-W1141)-Variables!$B$14),""))</f>
        <v/>
      </c>
      <c r="AB1141" s="10"/>
      <c r="AC1141" s="11" t="str">
        <f>IF($H1141="Cancelled","",IFERROR(IF(AB1141="","",IF(AND(W1141="",Y1141=""),"",IF(Y1141&gt;W1141,Y1141+Variables!$B$15+Variables!$B$16+Variables!$B$17-AB1141,W1141+Variables!$B$16+Variables!$B$17-AB1141))),""))</f>
        <v/>
      </c>
      <c r="AD1141" s="9" t="s">
        <v>163</v>
      </c>
      <c r="AE1141" s="9"/>
      <c r="AF1141" s="10"/>
      <c r="AG1141" s="10"/>
      <c r="AH1141" s="9"/>
      <c r="AI1141" s="9"/>
      <c r="AJ1141" s="9"/>
      <c r="AK1141" s="10"/>
      <c r="AL1141" s="10"/>
      <c r="AM1141" s="10"/>
      <c r="AN1141" s="9" t="s">
        <v>1252</v>
      </c>
      <c r="AO1141" s="9"/>
      <c r="AP1141" s="11" t="str">
        <f>IF($H1141="Cancelled","",IFERROR(IF(OR(AK1141="",AB1141=""),"",(AB1141+Variables!$B$18-AK1141)),""))</f>
        <v/>
      </c>
      <c r="AQ1141" s="11" t="str">
        <f>IF($H1141="Cancelled","",IFERROR(IF(OR(AM1141="",AK1141=""),"",(AK1141+Variables!$B$19)-AM1141),""))</f>
        <v/>
      </c>
      <c r="AR1141" s="12" t="str">
        <f>IF($H1141="Cancelled","",IFERROR(T1141*INDEX(Variables!$B$7:$D$7,IFERROR(MATCH(IF($B1141="Robusta","Robusta",(IF($B1141="","Arabica",$B1141))&amp;" - "&amp;(IF($C1141="","Commercial",$C1141))),Variables!$B$1:$D$1,0),1))*(AQ1141/365),""))</f>
        <v/>
      </c>
      <c r="AS1141" s="12" t="str">
        <f>IF($H1141="Cancelled","",IFERROR((T1141*INDEX(Variables!$B$7:$D$7,IFERROR(MATCH(IF($B1141="Robusta","Robusta",(IF($B1141="","Arabica",$B1141))&amp;" - "&amp;(IF($C1141="","Commercial",$C1141))),Variables!$B$1:$D$1,0),1))*IFERROR(IF(W1141="","",(AVERAGE(E1141:F1141)-W1141)-Variables!$B$14),"")/365)+(L1141/16.67*INDEX(Variables!$B$8:$D$8,IFERROR(MATCH(IF($B1141="Robusta","Robusta",(IF($B1141="","Arabica",$B1141))&amp;" - "&amp;(IF($C1141="","Commercial",$C1141))),Variables!$B$1:$D$1,0),1))*IFERROR(IF(W1141="","",(AVERAGE(E1141:F1141)-W1141)-Variables!$B$14),""))+(T1141*INDEX(Variables!$B$9:$D$9,IFERROR(MATCH(IF($B1141="Robusta","Robusta",(IF($B1141="","Arabica",$B1141))&amp;" - "&amp;(IF($C1141="","Commercial",$C1141))),Variables!$B$1:$D$1,0),1))*IFERROR(IF(W1141="","",(AVERAGE(E1141:F1141)-W1141)-Variables!$B$14),"")/365),""))</f>
        <v/>
      </c>
      <c r="AT1141" s="12" t="str">
        <f>IF($H1141="Cancelled","",IFERROR((T1141*INDEX(Variables!$B$7:$D$7,IFERROR(MATCH(IF($B1141="Robusta","Robusta",(IF($B1141="","Arabica",$B1141))&amp;" - "&amp;(IF($C1141="","Commercial",$C1141))),Variables!$B$1:$D$1,0),1))*AC1141/365)+(L1141/16.67*INDEX(Variables!$B$8:$D$8,IFERROR(MATCH(IF($B1141="Robusta","Robusta",(IF($B1141="","Arabica",$B1141))&amp;" - "&amp;(IF($C1141="","Commercial",$C1141))),Variables!$B$1:$D$1,0),1))*AC1141)+(T1141*INDEX(Variables!$B$9:$D$9,IFERROR(MATCH(IF($B1141="Robusta","Robusta",(IF($B1141="","Arabica",$B1141))&amp;" - "&amp;(IF($C1141="","Commercial",$C1141))),Variables!$B$1:$D$1,0),1))*AC1141/365),""))</f>
        <v/>
      </c>
      <c r="AU1141" s="12" t="str">
        <f>IF($H1141="Cancelled","",IFERROR((T1141*INDEX(Variables!$B$7:$D$7,IFERROR(MATCH(IF($B1141="Robusta","Robusta",(IF($B1141="","Arabica",$B1141))&amp;" - "&amp;(IF($C1141="","Commercial",$C1141))),Variables!$B$1:$D$1,0),1))*AP1141/365)+(L1141/16.67*INDEX(Variables!$B$8:$D$8,IFERROR(MATCH(IF($B1141="Robusta","Robusta",(IF($B1141="","Arabica",$B1141))&amp;" - "&amp;(IF($C1141="","Commercial",$C1141))),Variables!$B$1:$D$1,0),1))*AP1141)+(T1141*INDEX(Variables!$B$9:$D$9,IFERROR(MATCH(IF($B1141="Robusta","Robusta",(IF($B1141="","Arabica",$B1141))&amp;" - "&amp;(IF($C1141="","Commercial",$C1141))),Variables!$B$1:$D$1,0),1))*AP1141/365),""))</f>
        <v/>
      </c>
      <c r="AV1141" s="11" t="str">
        <f t="shared" si="106"/>
        <v/>
      </c>
      <c r="AW1141" s="12" t="str">
        <f>IF($H1141="Cancelled","",IFERROR(IF(AV1141="","",(T1141*INDEX(Variables!$B$7:$D$7,IFERROR(MATCH(IF($B1141="Robusta","Robusta",(IF($B1141="","Arabica",$B1141))&amp;" - "&amp;(IF($C1141="","Commercial",$C1141))),Variables!$B$1:$D$1,0),1))*(AV1141/365))+(T1141*INDEX(Variables!$B$9:$D$9,IFERROR(MATCH(IF($B1141="Robusta","Robusta",(IF($B1141="","Arabica",$B1141))&amp;" - "&amp;(IF($C1141="","Commercial",$C1141))),Variables!$B$1:$D$1,0),1))*(AV1141/365))+(INDEX(Variables!$B$8:$D$8,IFERROR(MATCH(IF($B1141="Robusta","Robusta",(IF($B1141="","Arabica",$B1141))&amp;" - "&amp;(IF($C1141="","Commercial",$C1141))),Variables!$B$1:$D$1,0),1))*L1141/16.67)),""))</f>
        <v/>
      </c>
      <c r="AX1141" s="9"/>
      <c r="AY1141" s="12"/>
      <c r="AZ1141" s="10"/>
      <c r="BA1141" s="9"/>
      <c r="BB1141" s="10"/>
      <c r="BC1141" s="9"/>
      <c r="BD1141" s="9"/>
      <c r="BE1141" s="9"/>
      <c r="BF1141" s="9"/>
    </row>
    <row r="1142" spans="1:58" x14ac:dyDescent="0.25">
      <c r="A1142" s="9" t="s">
        <v>84</v>
      </c>
      <c r="B1142" s="9" t="s">
        <v>85</v>
      </c>
      <c r="C1142" s="9" t="s">
        <v>1486</v>
      </c>
      <c r="D1142" s="10">
        <v>46022</v>
      </c>
      <c r="E1142" s="10">
        <v>46023</v>
      </c>
      <c r="F1142" s="10">
        <v>46053</v>
      </c>
      <c r="G1142" s="9">
        <v>3787083</v>
      </c>
      <c r="H1142" s="9" t="str">
        <f t="shared" si="104"/>
        <v>Open</v>
      </c>
      <c r="I1142" s="9" t="str">
        <f t="shared" si="105"/>
        <v>No sailing date and No shipping advice sent and No docs dispatch date</v>
      </c>
      <c r="J1142" s="9" t="s">
        <v>1737</v>
      </c>
      <c r="K1142" s="9"/>
      <c r="L1142" s="11">
        <v>50</v>
      </c>
      <c r="M1142" s="9" t="s">
        <v>2442</v>
      </c>
      <c r="N1142" s="9"/>
      <c r="O1142" s="9"/>
      <c r="P1142" s="9"/>
      <c r="Q1142" s="11">
        <v>146.5</v>
      </c>
      <c r="R1142" s="9" t="s">
        <v>195</v>
      </c>
      <c r="S1142" s="9"/>
      <c r="T1142" s="12">
        <f>IF($H1142="Cancelled","",IFERROR(((Q1142+INDEX(Variables!$B$6:$D$6,IFERROR(MATCH(IF($B1142="Robusta","Robusta",(IF($B1142="","Arabica",$B1142))&amp;" - "&amp;(IF($C1142="","Commercial",$C1142))),Variables!$B$1:$D$1,0),1)))*22.0462)*(L1142/16.67),""))</f>
        <v>28916.626454709054</v>
      </c>
      <c r="U1142" s="10"/>
      <c r="V1142" s="9" t="str">
        <f t="shared" si="109"/>
        <v/>
      </c>
      <c r="W1142" s="10">
        <v>46006</v>
      </c>
      <c r="X1142" s="9" t="str">
        <f t="shared" si="108"/>
        <v>Approved</v>
      </c>
      <c r="Y1142" s="10">
        <v>46068</v>
      </c>
      <c r="Z1142" s="10">
        <f>IF($H1142="Cancelled","",IFERROR(IF(F1142="","",F1142-Variables!$B$13),""))</f>
        <v>46038</v>
      </c>
      <c r="AA1142" s="11">
        <f>IF($H1142="Cancelled","",IFERROR(IF(W1142="","",(AVERAGE(E1142:F1142)-W1142)-Variables!$B$14),""))</f>
        <v>2</v>
      </c>
      <c r="AB1142" s="10">
        <v>46094</v>
      </c>
      <c r="AC1142" s="11">
        <f>IF($H1142="Cancelled","",IFERROR(IF(AB1142="","",IF(AND(W1142="",Y1142=""),"",IF(Y1142&gt;W1142,Y1142+Variables!$B$15+Variables!$B$16+Variables!$B$17-AB1142,W1142+Variables!$B$16+Variables!$B$17-AB1142))),""))</f>
        <v>-11</v>
      </c>
      <c r="AD1142" s="9"/>
      <c r="AE1142" s="9"/>
      <c r="AF1142" s="10"/>
      <c r="AG1142" s="10"/>
      <c r="AH1142" s="9"/>
      <c r="AI1142" s="9"/>
      <c r="AJ1142" s="9"/>
      <c r="AK1142" s="10"/>
      <c r="AL1142" s="10"/>
      <c r="AM1142" s="10"/>
      <c r="AN1142" s="9" t="s">
        <v>1188</v>
      </c>
      <c r="AO1142" s="9"/>
      <c r="AP1142" s="11" t="str">
        <f>IF($H1142="Cancelled","",IFERROR(IF(OR(AK1142="",AB1142=""),"",(AB1142+Variables!$B$18-AK1142)),""))</f>
        <v/>
      </c>
      <c r="AQ1142" s="11" t="str">
        <f>IF($H1142="Cancelled","",IFERROR(IF(OR(AM1142="",AK1142=""),"",(AK1142+Variables!$B$19)-AM1142),""))</f>
        <v/>
      </c>
      <c r="AR1142" s="12" t="str">
        <f>IF($H1142="Cancelled","",IFERROR(T1142*INDEX(Variables!$B$7:$D$7,IFERROR(MATCH(IF($B1142="Robusta","Robusta",(IF($B1142="","Arabica",$B1142))&amp;" - "&amp;(IF($C1142="","Commercial",$C1142))),Variables!$B$1:$D$1,0),1))*(AQ1142/365),""))</f>
        <v/>
      </c>
      <c r="AS1142" s="12">
        <f>IF($H1142="Cancelled","",IFERROR((T1142*INDEX(Variables!$B$7:$D$7,IFERROR(MATCH(IF($B1142="Robusta","Robusta",(IF($B1142="","Arabica",$B1142))&amp;" - "&amp;(IF($C1142="","Commercial",$C1142))),Variables!$B$1:$D$1,0),1))*IFERROR(IF(W1142="","",(AVERAGE(E1142:F1142)-W1142)-Variables!$B$14),"")/365)+(L1142/16.67*INDEX(Variables!$B$8:$D$8,IFERROR(MATCH(IF($B1142="Robusta","Robusta",(IF($B1142="","Arabica",$B1142))&amp;" - "&amp;(IF($C1142="","Commercial",$C1142))),Variables!$B$1:$D$1,0),1))*IFERROR(IF(W1142="","",(AVERAGE(E1142:F1142)-W1142)-Variables!$B$14),""))+(T1142*INDEX(Variables!$B$9:$D$9,IFERROR(MATCH(IF($B1142="Robusta","Robusta",(IF($B1142="","Arabica",$B1142))&amp;" - "&amp;(IF($C1142="","Commercial",$C1142))),Variables!$B$1:$D$1,0),1))*IFERROR(IF(W1142="","",(AVERAGE(E1142:F1142)-W1142)-Variables!$B$14),"")/365),""))</f>
        <v>15.348745654518575</v>
      </c>
      <c r="AT1142" s="12">
        <f>IF($H1142="Cancelled","",IFERROR((T1142*INDEX(Variables!$B$7:$D$7,IFERROR(MATCH(IF($B1142="Robusta","Robusta",(IF($B1142="","Arabica",$B1142))&amp;" - "&amp;(IF($C1142="","Commercial",$C1142))),Variables!$B$1:$D$1,0),1))*AC1142/365)+(L1142/16.67*INDEX(Variables!$B$8:$D$8,IFERROR(MATCH(IF($B1142="Robusta","Robusta",(IF($B1142="","Arabica",$B1142))&amp;" - "&amp;(IF($C1142="","Commercial",$C1142))),Variables!$B$1:$D$1,0),1))*AC1142)+(T1142*INDEX(Variables!$B$9:$D$9,IFERROR(MATCH(IF($B1142="Robusta","Robusta",(IF($B1142="","Arabica",$B1142))&amp;" - "&amp;(IF($C1142="","Commercial",$C1142))),Variables!$B$1:$D$1,0),1))*AC1142/365),""))</f>
        <v>-84.418101099852151</v>
      </c>
      <c r="AU1142" s="12" t="str">
        <f>IF($H1142="Cancelled","",IFERROR((T1142*INDEX(Variables!$B$7:$D$7,IFERROR(MATCH(IF($B1142="Robusta","Robusta",(IF($B1142="","Arabica",$B1142))&amp;" - "&amp;(IF($C1142="","Commercial",$C1142))),Variables!$B$1:$D$1,0),1))*AP1142/365)+(L1142/16.67*INDEX(Variables!$B$8:$D$8,IFERROR(MATCH(IF($B1142="Robusta","Robusta",(IF($B1142="","Arabica",$B1142))&amp;" - "&amp;(IF($C1142="","Commercial",$C1142))),Variables!$B$1:$D$1,0),1))*AP1142)+(T1142*INDEX(Variables!$B$9:$D$9,IFERROR(MATCH(IF($B1142="Robusta","Robusta",(IF($B1142="","Arabica",$B1142))&amp;" - "&amp;(IF($C1142="","Commercial",$C1142))),Variables!$B$1:$D$1,0),1))*AP1142/365),""))</f>
        <v/>
      </c>
      <c r="AV1142" s="11" t="str">
        <f t="shared" si="106"/>
        <v/>
      </c>
      <c r="AW1142" s="12" t="str">
        <f>IF($H1142="Cancelled","",IFERROR(IF(AV1142="","",(T1142*INDEX(Variables!$B$7:$D$7,IFERROR(MATCH(IF($B1142="Robusta","Robusta",(IF($B1142="","Arabica",$B1142))&amp;" - "&amp;(IF($C1142="","Commercial",$C1142))),Variables!$B$1:$D$1,0),1))*(AV1142/365))+(T1142*INDEX(Variables!$B$9:$D$9,IFERROR(MATCH(IF($B1142="Robusta","Robusta",(IF($B1142="","Arabica",$B1142))&amp;" - "&amp;(IF($C1142="","Commercial",$C1142))),Variables!$B$1:$D$1,0),1))*(AV1142/365))+(INDEX(Variables!$B$8:$D$8,IFERROR(MATCH(IF($B1142="Robusta","Robusta",(IF($B1142="","Arabica",$B1142))&amp;" - "&amp;(IF($C1142="","Commercial",$C1142))),Variables!$B$1:$D$1,0),1))*L1142/16.67)),""))</f>
        <v/>
      </c>
      <c r="AX1142" s="9"/>
      <c r="AY1142" s="12"/>
      <c r="AZ1142" s="10"/>
      <c r="BA1142" s="9"/>
      <c r="BB1142" s="10"/>
      <c r="BC1142" s="9"/>
      <c r="BD1142" s="9"/>
      <c r="BE1142" s="9"/>
      <c r="BF1142" s="9"/>
    </row>
    <row r="1143" spans="1:58" x14ac:dyDescent="0.25">
      <c r="A1143" s="9" t="s">
        <v>84</v>
      </c>
      <c r="B1143" s="9" t="s">
        <v>85</v>
      </c>
      <c r="C1143" s="9" t="s">
        <v>1486</v>
      </c>
      <c r="D1143" s="10">
        <v>46022</v>
      </c>
      <c r="E1143" s="10">
        <v>46023</v>
      </c>
      <c r="F1143" s="10">
        <v>46053</v>
      </c>
      <c r="G1143" s="9">
        <v>3787081</v>
      </c>
      <c r="H1143" s="9" t="str">
        <f t="shared" si="104"/>
        <v>Open</v>
      </c>
      <c r="I1143" s="9" t="str">
        <f t="shared" si="105"/>
        <v>No sailing date and No shipping advice sent and No docs dispatch date</v>
      </c>
      <c r="J1143" s="9" t="s">
        <v>1737</v>
      </c>
      <c r="K1143" s="9"/>
      <c r="L1143" s="11">
        <v>17</v>
      </c>
      <c r="M1143" s="9" t="s">
        <v>2443</v>
      </c>
      <c r="N1143" s="9"/>
      <c r="O1143" s="9"/>
      <c r="P1143" s="9"/>
      <c r="Q1143" s="11">
        <v>155.5</v>
      </c>
      <c r="R1143" s="9" t="s">
        <v>195</v>
      </c>
      <c r="S1143" s="9"/>
      <c r="T1143" s="12">
        <f>IF($H1143="Cancelled","",IFERROR(((Q1143+INDEX(Variables!$B$6:$D$6,IFERROR(MATCH(IF($B1143="Robusta","Robusta",(IF($B1143="","Arabica",$B1143))&amp;" - "&amp;(IF($C1143="","Commercial",$C1143))),Variables!$B$1:$D$1,0),1)))*22.0462)*(L1143/16.67),""))</f>
        <v>10033.996641871625</v>
      </c>
      <c r="U1143" s="10"/>
      <c r="V1143" s="9" t="str">
        <f t="shared" si="109"/>
        <v/>
      </c>
      <c r="W1143" s="10">
        <v>46006</v>
      </c>
      <c r="X1143" s="9" t="str">
        <f t="shared" si="108"/>
        <v>Approved</v>
      </c>
      <c r="Y1143" s="10">
        <v>46068</v>
      </c>
      <c r="Z1143" s="10">
        <f>IF($H1143="Cancelled","",IFERROR(IF(F1143="","",F1143-Variables!$B$13),""))</f>
        <v>46038</v>
      </c>
      <c r="AA1143" s="11">
        <f>IF($H1143="Cancelled","",IFERROR(IF(W1143="","",(AVERAGE(E1143:F1143)-W1143)-Variables!$B$14),""))</f>
        <v>2</v>
      </c>
      <c r="AB1143" s="10">
        <v>46094</v>
      </c>
      <c r="AC1143" s="11">
        <f>IF($H1143="Cancelled","",IFERROR(IF(AB1143="","",IF(AND(W1143="",Y1143=""),"",IF(Y1143&gt;W1143,Y1143+Variables!$B$15+Variables!$B$16+Variables!$B$17-AB1143,W1143+Variables!$B$16+Variables!$B$17-AB1143))),""))</f>
        <v>-11</v>
      </c>
      <c r="AD1143" s="9"/>
      <c r="AE1143" s="9"/>
      <c r="AF1143" s="10"/>
      <c r="AG1143" s="10"/>
      <c r="AH1143" s="9"/>
      <c r="AI1143" s="9"/>
      <c r="AJ1143" s="9"/>
      <c r="AK1143" s="10"/>
      <c r="AL1143" s="10"/>
      <c r="AM1143" s="10"/>
      <c r="AN1143" s="9" t="s">
        <v>1188</v>
      </c>
      <c r="AO1143" s="9"/>
      <c r="AP1143" s="11" t="str">
        <f>IF($H1143="Cancelled","",IFERROR(IF(OR(AK1143="",AB1143=""),"",(AB1143+Variables!$B$18-AK1143)),""))</f>
        <v/>
      </c>
      <c r="AQ1143" s="11" t="str">
        <f>IF($H1143="Cancelled","",IFERROR(IF(OR(AM1143="",AK1143=""),"",(AK1143+Variables!$B$19)-AM1143),""))</f>
        <v/>
      </c>
      <c r="AR1143" s="12" t="str">
        <f>IF($H1143="Cancelled","",IFERROR(T1143*INDEX(Variables!$B$7:$D$7,IFERROR(MATCH(IF($B1143="Robusta","Robusta",(IF($B1143="","Arabica",$B1143))&amp;" - "&amp;(IF($C1143="","Commercial",$C1143))),Variables!$B$1:$D$1,0),1))*(AQ1143/365),""))</f>
        <v/>
      </c>
      <c r="AS1143" s="12">
        <f>IF($H1143="Cancelled","",IFERROR((T1143*INDEX(Variables!$B$7:$D$7,IFERROR(MATCH(IF($B1143="Robusta","Robusta",(IF($B1143="","Arabica",$B1143))&amp;" - "&amp;(IF($C1143="","Commercial",$C1143))),Variables!$B$1:$D$1,0),1))*IFERROR(IF(W1143="","",(AVERAGE(E1143:F1143)-W1143)-Variables!$B$14),"")/365)+(L1143/16.67*INDEX(Variables!$B$8:$D$8,IFERROR(MATCH(IF($B1143="Robusta","Robusta",(IF($B1143="","Arabica",$B1143))&amp;" - "&amp;(IF($C1143="","Commercial",$C1143))),Variables!$B$1:$D$1,0),1))*IFERROR(IF(W1143="","",(AVERAGE(E1143:F1143)-W1143)-Variables!$B$14),""))+(T1143*INDEX(Variables!$B$9:$D$9,IFERROR(MATCH(IF($B1143="Robusta","Robusta",(IF($B1143="","Arabica",$B1143))&amp;" - "&amp;(IF($C1143="","Commercial",$C1143))),Variables!$B$1:$D$1,0),1))*IFERROR(IF(W1143="","",(AVERAGE(E1143:F1143)-W1143)-Variables!$B$14),"")/365),""))</f>
        <v>5.2909887105144238</v>
      </c>
      <c r="AT1143" s="12">
        <f>IF($H1143="Cancelled","",IFERROR((T1143*INDEX(Variables!$B$7:$D$7,IFERROR(MATCH(IF($B1143="Robusta","Robusta",(IF($B1143="","Arabica",$B1143))&amp;" - "&amp;(IF($C1143="","Commercial",$C1143))),Variables!$B$1:$D$1,0),1))*AC1143/365)+(L1143/16.67*INDEX(Variables!$B$8:$D$8,IFERROR(MATCH(IF($B1143="Robusta","Robusta",(IF($B1143="","Arabica",$B1143))&amp;" - "&amp;(IF($C1143="","Commercial",$C1143))),Variables!$B$1:$D$1,0),1))*AC1143)+(T1143*INDEX(Variables!$B$9:$D$9,IFERROR(MATCH(IF($B1143="Robusta","Robusta",(IF($B1143="","Arabica",$B1143))&amp;" - "&amp;(IF($C1143="","Commercial",$C1143))),Variables!$B$1:$D$1,0),1))*AC1143/365),""))</f>
        <v>-29.100437907829335</v>
      </c>
      <c r="AU1143" s="12" t="str">
        <f>IF($H1143="Cancelled","",IFERROR((T1143*INDEX(Variables!$B$7:$D$7,IFERROR(MATCH(IF($B1143="Robusta","Robusta",(IF($B1143="","Arabica",$B1143))&amp;" - "&amp;(IF($C1143="","Commercial",$C1143))),Variables!$B$1:$D$1,0),1))*AP1143/365)+(L1143/16.67*INDEX(Variables!$B$8:$D$8,IFERROR(MATCH(IF($B1143="Robusta","Robusta",(IF($B1143="","Arabica",$B1143))&amp;" - "&amp;(IF($C1143="","Commercial",$C1143))),Variables!$B$1:$D$1,0),1))*AP1143)+(T1143*INDEX(Variables!$B$9:$D$9,IFERROR(MATCH(IF($B1143="Robusta","Robusta",(IF($B1143="","Arabica",$B1143))&amp;" - "&amp;(IF($C1143="","Commercial",$C1143))),Variables!$B$1:$D$1,0),1))*AP1143/365),""))</f>
        <v/>
      </c>
      <c r="AV1143" s="11" t="str">
        <f t="shared" si="106"/>
        <v/>
      </c>
      <c r="AW1143" s="12" t="str">
        <f>IF($H1143="Cancelled","",IFERROR(IF(AV1143="","",(T1143*INDEX(Variables!$B$7:$D$7,IFERROR(MATCH(IF($B1143="Robusta","Robusta",(IF($B1143="","Arabica",$B1143))&amp;" - "&amp;(IF($C1143="","Commercial",$C1143))),Variables!$B$1:$D$1,0),1))*(AV1143/365))+(T1143*INDEX(Variables!$B$9:$D$9,IFERROR(MATCH(IF($B1143="Robusta","Robusta",(IF($B1143="","Arabica",$B1143))&amp;" - "&amp;(IF($C1143="","Commercial",$C1143))),Variables!$B$1:$D$1,0),1))*(AV1143/365))+(INDEX(Variables!$B$8:$D$8,IFERROR(MATCH(IF($B1143="Robusta","Robusta",(IF($B1143="","Arabica",$B1143))&amp;" - "&amp;(IF($C1143="","Commercial",$C1143))),Variables!$B$1:$D$1,0),1))*L1143/16.67)),""))</f>
        <v/>
      </c>
      <c r="AX1143" s="9"/>
      <c r="AY1143" s="12"/>
      <c r="AZ1143" s="10"/>
      <c r="BA1143" s="9"/>
      <c r="BB1143" s="10"/>
      <c r="BC1143" s="9"/>
      <c r="BD1143" s="9"/>
      <c r="BE1143" s="9"/>
      <c r="BF1143" s="9"/>
    </row>
    <row r="1144" spans="1:58" x14ac:dyDescent="0.25">
      <c r="A1144" s="9" t="s">
        <v>84</v>
      </c>
      <c r="B1144" s="9" t="s">
        <v>85</v>
      </c>
      <c r="C1144" s="9" t="s">
        <v>1486</v>
      </c>
      <c r="D1144" s="10">
        <v>46022</v>
      </c>
      <c r="E1144" s="10">
        <v>46023</v>
      </c>
      <c r="F1144" s="10">
        <v>46053</v>
      </c>
      <c r="G1144" s="9">
        <v>3787084</v>
      </c>
      <c r="H1144" s="9" t="str">
        <f t="shared" si="104"/>
        <v>Open</v>
      </c>
      <c r="I1144" s="9" t="str">
        <f t="shared" si="105"/>
        <v>No sailing date and No shipping advice sent and No docs dispatch date</v>
      </c>
      <c r="J1144" s="9" t="s">
        <v>1737</v>
      </c>
      <c r="K1144" s="9"/>
      <c r="L1144" s="11">
        <v>44</v>
      </c>
      <c r="M1144" s="9" t="s">
        <v>2444</v>
      </c>
      <c r="N1144" s="9"/>
      <c r="O1144" s="9"/>
      <c r="P1144" s="9"/>
      <c r="Q1144" s="11">
        <v>155.5</v>
      </c>
      <c r="R1144" s="9" t="s">
        <v>195</v>
      </c>
      <c r="S1144" s="9"/>
      <c r="T1144" s="12">
        <f>IF($H1144="Cancelled","",IFERROR(((Q1144+INDEX(Variables!$B$6:$D$6,IFERROR(MATCH(IF($B1144="Robusta","Robusta",(IF($B1144="","Arabica",$B1144))&amp;" - "&amp;(IF($C1144="","Commercial",$C1144))),Variables!$B$1:$D$1,0),1)))*22.0462)*(L1144/16.67),""))</f>
        <v>25970.344249550086</v>
      </c>
      <c r="U1144" s="10"/>
      <c r="V1144" s="9" t="str">
        <f t="shared" si="109"/>
        <v/>
      </c>
      <c r="W1144" s="10">
        <v>46006</v>
      </c>
      <c r="X1144" s="9" t="str">
        <f t="shared" si="108"/>
        <v>Approved</v>
      </c>
      <c r="Y1144" s="10">
        <v>46068</v>
      </c>
      <c r="Z1144" s="10">
        <f>IF($H1144="Cancelled","",IFERROR(IF(F1144="","",F1144-Variables!$B$13),""))</f>
        <v>46038</v>
      </c>
      <c r="AA1144" s="11">
        <f>IF($H1144="Cancelled","",IFERROR(IF(W1144="","",(AVERAGE(E1144:F1144)-W1144)-Variables!$B$14),""))</f>
        <v>2</v>
      </c>
      <c r="AB1144" s="10">
        <v>46094</v>
      </c>
      <c r="AC1144" s="11">
        <f>IF($H1144="Cancelled","",IFERROR(IF(AB1144="","",IF(AND(W1144="",Y1144=""),"",IF(Y1144&gt;W1144,Y1144+Variables!$B$15+Variables!$B$16+Variables!$B$17-AB1144,W1144+Variables!$B$16+Variables!$B$17-AB1144))),""))</f>
        <v>-11</v>
      </c>
      <c r="AD1144" s="9"/>
      <c r="AE1144" s="9"/>
      <c r="AF1144" s="10"/>
      <c r="AG1144" s="10"/>
      <c r="AH1144" s="9"/>
      <c r="AI1144" s="9"/>
      <c r="AJ1144" s="9"/>
      <c r="AK1144" s="10"/>
      <c r="AL1144" s="10"/>
      <c r="AM1144" s="10"/>
      <c r="AN1144" s="9" t="s">
        <v>1188</v>
      </c>
      <c r="AO1144" s="9"/>
      <c r="AP1144" s="11" t="str">
        <f>IF($H1144="Cancelled","",IFERROR(IF(OR(AK1144="",AB1144=""),"",(AB1144+Variables!$B$18-AK1144)),""))</f>
        <v/>
      </c>
      <c r="AQ1144" s="11" t="str">
        <f>IF($H1144="Cancelled","",IFERROR(IF(OR(AM1144="",AK1144=""),"",(AK1144+Variables!$B$19)-AM1144),""))</f>
        <v/>
      </c>
      <c r="AR1144" s="12" t="str">
        <f>IF($H1144="Cancelled","",IFERROR(T1144*INDEX(Variables!$B$7:$D$7,IFERROR(MATCH(IF($B1144="Robusta","Robusta",(IF($B1144="","Arabica",$B1144))&amp;" - "&amp;(IF($C1144="","Commercial",$C1144))),Variables!$B$1:$D$1,0),1))*(AQ1144/365),""))</f>
        <v/>
      </c>
      <c r="AS1144" s="12">
        <f>IF($H1144="Cancelled","",IFERROR((T1144*INDEX(Variables!$B$7:$D$7,IFERROR(MATCH(IF($B1144="Robusta","Robusta",(IF($B1144="","Arabica",$B1144))&amp;" - "&amp;(IF($C1144="","Commercial",$C1144))),Variables!$B$1:$D$1,0),1))*IFERROR(IF(W1144="","",(AVERAGE(E1144:F1144)-W1144)-Variables!$B$14),"")/365)+(L1144/16.67*INDEX(Variables!$B$8:$D$8,IFERROR(MATCH(IF($B1144="Robusta","Robusta",(IF($B1144="","Arabica",$B1144))&amp;" - "&amp;(IF($C1144="","Commercial",$C1144))),Variables!$B$1:$D$1,0),1))*IFERROR(IF(W1144="","",(AVERAGE(E1144:F1144)-W1144)-Variables!$B$14),""))+(T1144*INDEX(Variables!$B$9:$D$9,IFERROR(MATCH(IF($B1144="Robusta","Robusta",(IF($B1144="","Arabica",$B1144))&amp;" - "&amp;(IF($C1144="","Commercial",$C1144))),Variables!$B$1:$D$1,0),1))*IFERROR(IF(W1144="","",(AVERAGE(E1144:F1144)-W1144)-Variables!$B$14),"")/365),""))</f>
        <v>13.69432372133145</v>
      </c>
      <c r="AT1144" s="12">
        <f>IF($H1144="Cancelled","",IFERROR((T1144*INDEX(Variables!$B$7:$D$7,IFERROR(MATCH(IF($B1144="Robusta","Robusta",(IF($B1144="","Arabica",$B1144))&amp;" - "&amp;(IF($C1144="","Commercial",$C1144))),Variables!$B$1:$D$1,0),1))*AC1144/365)+(L1144/16.67*INDEX(Variables!$B$8:$D$8,IFERROR(MATCH(IF($B1144="Robusta","Robusta",(IF($B1144="","Arabica",$B1144))&amp;" - "&amp;(IF($C1144="","Commercial",$C1144))),Variables!$B$1:$D$1,0),1))*AC1144)+(T1144*INDEX(Variables!$B$9:$D$9,IFERROR(MATCH(IF($B1144="Robusta","Robusta",(IF($B1144="","Arabica",$B1144))&amp;" - "&amp;(IF($C1144="","Commercial",$C1144))),Variables!$B$1:$D$1,0),1))*AC1144/365),""))</f>
        <v>-75.318780467322981</v>
      </c>
      <c r="AU1144" s="12" t="str">
        <f>IF($H1144="Cancelled","",IFERROR((T1144*INDEX(Variables!$B$7:$D$7,IFERROR(MATCH(IF($B1144="Robusta","Robusta",(IF($B1144="","Arabica",$B1144))&amp;" - "&amp;(IF($C1144="","Commercial",$C1144))),Variables!$B$1:$D$1,0),1))*AP1144/365)+(L1144/16.67*INDEX(Variables!$B$8:$D$8,IFERROR(MATCH(IF($B1144="Robusta","Robusta",(IF($B1144="","Arabica",$B1144))&amp;" - "&amp;(IF($C1144="","Commercial",$C1144))),Variables!$B$1:$D$1,0),1))*AP1144)+(T1144*INDEX(Variables!$B$9:$D$9,IFERROR(MATCH(IF($B1144="Robusta","Robusta",(IF($B1144="","Arabica",$B1144))&amp;" - "&amp;(IF($C1144="","Commercial",$C1144))),Variables!$B$1:$D$1,0),1))*AP1144/365),""))</f>
        <v/>
      </c>
      <c r="AV1144" s="11" t="str">
        <f t="shared" si="106"/>
        <v/>
      </c>
      <c r="AW1144" s="12" t="str">
        <f>IF($H1144="Cancelled","",IFERROR(IF(AV1144="","",(T1144*INDEX(Variables!$B$7:$D$7,IFERROR(MATCH(IF($B1144="Robusta","Robusta",(IF($B1144="","Arabica",$B1144))&amp;" - "&amp;(IF($C1144="","Commercial",$C1144))),Variables!$B$1:$D$1,0),1))*(AV1144/365))+(T1144*INDEX(Variables!$B$9:$D$9,IFERROR(MATCH(IF($B1144="Robusta","Robusta",(IF($B1144="","Arabica",$B1144))&amp;" - "&amp;(IF($C1144="","Commercial",$C1144))),Variables!$B$1:$D$1,0),1))*(AV1144/365))+(INDEX(Variables!$B$8:$D$8,IFERROR(MATCH(IF($B1144="Robusta","Robusta",(IF($B1144="","Arabica",$B1144))&amp;" - "&amp;(IF($C1144="","Commercial",$C1144))),Variables!$B$1:$D$1,0),1))*L1144/16.67)),""))</f>
        <v/>
      </c>
      <c r="AX1144" s="9"/>
      <c r="AY1144" s="12"/>
      <c r="AZ1144" s="10"/>
      <c r="BA1144" s="9"/>
      <c r="BB1144" s="10"/>
      <c r="BC1144" s="9"/>
      <c r="BD1144" s="9"/>
      <c r="BE1144" s="9"/>
      <c r="BF1144" s="9"/>
    </row>
    <row r="1145" spans="1:58" x14ac:dyDescent="0.25">
      <c r="A1145" s="9" t="s">
        <v>84</v>
      </c>
      <c r="B1145" s="9" t="s">
        <v>85</v>
      </c>
      <c r="C1145" s="9" t="s">
        <v>1486</v>
      </c>
      <c r="D1145" s="10">
        <v>46022</v>
      </c>
      <c r="E1145" s="10">
        <v>46023</v>
      </c>
      <c r="F1145" s="10">
        <v>46053</v>
      </c>
      <c r="G1145" s="9">
        <v>3787085</v>
      </c>
      <c r="H1145" s="9" t="str">
        <f t="shared" si="104"/>
        <v>Open</v>
      </c>
      <c r="I1145" s="9" t="str">
        <f t="shared" si="105"/>
        <v>No sailing date and No shipping advice sent and No docs dispatch date</v>
      </c>
      <c r="J1145" s="9" t="s">
        <v>1737</v>
      </c>
      <c r="K1145" s="9"/>
      <c r="L1145" s="11">
        <v>24</v>
      </c>
      <c r="M1145" s="9" t="s">
        <v>2445</v>
      </c>
      <c r="N1145" s="9"/>
      <c r="O1145" s="9"/>
      <c r="P1145" s="9"/>
      <c r="Q1145" s="11">
        <v>132.5</v>
      </c>
      <c r="R1145" s="9" t="s">
        <v>195</v>
      </c>
      <c r="S1145" s="9"/>
      <c r="T1145" s="12">
        <f>IF($H1145="Cancelled","",IFERROR(((Q1145+INDEX(Variables!$B$6:$D$6,IFERROR(MATCH(IF($B1145="Robusta","Robusta",(IF($B1145="","Arabica",$B1145))&amp;" - "&amp;(IF($C1145="","Commercial",$C1145))),Variables!$B$1:$D$1,0),1)))*22.0462)*(L1145/16.67),""))</f>
        <v>13435.618178764245</v>
      </c>
      <c r="U1145" s="10"/>
      <c r="V1145" s="9" t="str">
        <f t="shared" si="109"/>
        <v/>
      </c>
      <c r="W1145" s="10">
        <v>46006</v>
      </c>
      <c r="X1145" s="9" t="str">
        <f t="shared" si="108"/>
        <v>Approved</v>
      </c>
      <c r="Y1145" s="10">
        <v>46068</v>
      </c>
      <c r="Z1145" s="10">
        <f>IF($H1145="Cancelled","",IFERROR(IF(F1145="","",F1145-Variables!$B$13),""))</f>
        <v>46038</v>
      </c>
      <c r="AA1145" s="11">
        <f>IF($H1145="Cancelled","",IFERROR(IF(W1145="","",(AVERAGE(E1145:F1145)-W1145)-Variables!$B$14),""))</f>
        <v>2</v>
      </c>
      <c r="AB1145" s="10">
        <v>46094</v>
      </c>
      <c r="AC1145" s="11">
        <f>IF($H1145="Cancelled","",IFERROR(IF(AB1145="","",IF(AND(W1145="",Y1145=""),"",IF(Y1145&gt;W1145,Y1145+Variables!$B$15+Variables!$B$16+Variables!$B$17-AB1145,W1145+Variables!$B$16+Variables!$B$17-AB1145))),""))</f>
        <v>-11</v>
      </c>
      <c r="AD1145" s="9"/>
      <c r="AE1145" s="9"/>
      <c r="AF1145" s="10"/>
      <c r="AG1145" s="10"/>
      <c r="AH1145" s="9"/>
      <c r="AI1145" s="9"/>
      <c r="AJ1145" s="9"/>
      <c r="AK1145" s="10"/>
      <c r="AL1145" s="10"/>
      <c r="AM1145" s="10"/>
      <c r="AN1145" s="9" t="s">
        <v>1188</v>
      </c>
      <c r="AO1145" s="9"/>
      <c r="AP1145" s="11" t="str">
        <f>IF($H1145="Cancelled","",IFERROR(IF(OR(AK1145="",AB1145=""),"",(AB1145+Variables!$B$18-AK1145)),""))</f>
        <v/>
      </c>
      <c r="AQ1145" s="11" t="str">
        <f>IF($H1145="Cancelled","",IFERROR(IF(OR(AM1145="",AK1145=""),"",(AK1145+Variables!$B$19)-AM1145),""))</f>
        <v/>
      </c>
      <c r="AR1145" s="12" t="str">
        <f>IF($H1145="Cancelled","",IFERROR(T1145*INDEX(Variables!$B$7:$D$7,IFERROR(MATCH(IF($B1145="Robusta","Robusta",(IF($B1145="","Arabica",$B1145))&amp;" - "&amp;(IF($C1145="","Commercial",$C1145))),Variables!$B$1:$D$1,0),1))*(AQ1145/365),""))</f>
        <v/>
      </c>
      <c r="AS1145" s="12">
        <f>IF($H1145="Cancelled","",IFERROR((T1145*INDEX(Variables!$B$7:$D$7,IFERROR(MATCH(IF($B1145="Robusta","Robusta",(IF($B1145="","Arabica",$B1145))&amp;" - "&amp;(IF($C1145="","Commercial",$C1145))),Variables!$B$1:$D$1,0),1))*IFERROR(IF(W1145="","",(AVERAGE(E1145:F1145)-W1145)-Variables!$B$14),"")/365)+(L1145/16.67*INDEX(Variables!$B$8:$D$8,IFERROR(MATCH(IF($B1145="Robusta","Robusta",(IF($B1145="","Arabica",$B1145))&amp;" - "&amp;(IF($C1145="","Commercial",$C1145))),Variables!$B$1:$D$1,0),1))*IFERROR(IF(W1145="","",(AVERAGE(E1145:F1145)-W1145)-Variables!$B$14),""))+(T1145*INDEX(Variables!$B$9:$D$9,IFERROR(MATCH(IF($B1145="Robusta","Robusta",(IF($B1145="","Arabica",$B1145))&amp;" - "&amp;(IF($C1145="","Commercial",$C1145))),Variables!$B$1:$D$1,0),1))*IFERROR(IF(W1145="","",(AVERAGE(E1145:F1145)-W1145)-Variables!$B$14),"")/365),""))</f>
        <v>7.2083684817464029</v>
      </c>
      <c r="AT1145" s="12">
        <f>IF($H1145="Cancelled","",IFERROR((T1145*INDEX(Variables!$B$7:$D$7,IFERROR(MATCH(IF($B1145="Robusta","Robusta",(IF($B1145="","Arabica",$B1145))&amp;" - "&amp;(IF($C1145="","Commercial",$C1145))),Variables!$B$1:$D$1,0),1))*AC1145/365)+(L1145/16.67*INDEX(Variables!$B$8:$D$8,IFERROR(MATCH(IF($B1145="Robusta","Robusta",(IF($B1145="","Arabica",$B1145))&amp;" - "&amp;(IF($C1145="","Commercial",$C1145))),Variables!$B$1:$D$1,0),1))*AC1145)+(T1145*INDEX(Variables!$B$9:$D$9,IFERROR(MATCH(IF($B1145="Robusta","Robusta",(IF($B1145="","Arabica",$B1145))&amp;" - "&amp;(IF($C1145="","Commercial",$C1145))),Variables!$B$1:$D$1,0),1))*AC1145/365),""))</f>
        <v>-39.646026649605218</v>
      </c>
      <c r="AU1145" s="12" t="str">
        <f>IF($H1145="Cancelled","",IFERROR((T1145*INDEX(Variables!$B$7:$D$7,IFERROR(MATCH(IF($B1145="Robusta","Robusta",(IF($B1145="","Arabica",$B1145))&amp;" - "&amp;(IF($C1145="","Commercial",$C1145))),Variables!$B$1:$D$1,0),1))*AP1145/365)+(L1145/16.67*INDEX(Variables!$B$8:$D$8,IFERROR(MATCH(IF($B1145="Robusta","Robusta",(IF($B1145="","Arabica",$B1145))&amp;" - "&amp;(IF($C1145="","Commercial",$C1145))),Variables!$B$1:$D$1,0),1))*AP1145)+(T1145*INDEX(Variables!$B$9:$D$9,IFERROR(MATCH(IF($B1145="Robusta","Robusta",(IF($B1145="","Arabica",$B1145))&amp;" - "&amp;(IF($C1145="","Commercial",$C1145))),Variables!$B$1:$D$1,0),1))*AP1145/365),""))</f>
        <v/>
      </c>
      <c r="AV1145" s="11" t="str">
        <f t="shared" si="106"/>
        <v/>
      </c>
      <c r="AW1145" s="12" t="str">
        <f>IF($H1145="Cancelled","",IFERROR(IF(AV1145="","",(T1145*INDEX(Variables!$B$7:$D$7,IFERROR(MATCH(IF($B1145="Robusta","Robusta",(IF($B1145="","Arabica",$B1145))&amp;" - "&amp;(IF($C1145="","Commercial",$C1145))),Variables!$B$1:$D$1,0),1))*(AV1145/365))+(T1145*INDEX(Variables!$B$9:$D$9,IFERROR(MATCH(IF($B1145="Robusta","Robusta",(IF($B1145="","Arabica",$B1145))&amp;" - "&amp;(IF($C1145="","Commercial",$C1145))),Variables!$B$1:$D$1,0),1))*(AV1145/365))+(INDEX(Variables!$B$8:$D$8,IFERROR(MATCH(IF($B1145="Robusta","Robusta",(IF($B1145="","Arabica",$B1145))&amp;" - "&amp;(IF($C1145="","Commercial",$C1145))),Variables!$B$1:$D$1,0),1))*L1145/16.67)),""))</f>
        <v/>
      </c>
      <c r="AX1145" s="9"/>
      <c r="AY1145" s="12"/>
      <c r="AZ1145" s="10"/>
      <c r="BA1145" s="9"/>
      <c r="BB1145" s="10"/>
      <c r="BC1145" s="9"/>
      <c r="BD1145" s="9"/>
      <c r="BE1145" s="9"/>
      <c r="BF1145" s="9"/>
    </row>
    <row r="1146" spans="1:58" x14ac:dyDescent="0.25">
      <c r="A1146" s="9" t="s">
        <v>84</v>
      </c>
      <c r="B1146" s="9" t="s">
        <v>85</v>
      </c>
      <c r="C1146" s="9" t="s">
        <v>1486</v>
      </c>
      <c r="D1146" s="10">
        <v>46022</v>
      </c>
      <c r="E1146" s="10">
        <v>46023</v>
      </c>
      <c r="F1146" s="10">
        <v>46053</v>
      </c>
      <c r="G1146" s="9">
        <v>3787087</v>
      </c>
      <c r="H1146" s="9" t="str">
        <f t="shared" si="104"/>
        <v>Open</v>
      </c>
      <c r="I1146" s="9" t="str">
        <f t="shared" si="105"/>
        <v>No sailing date and No shipping advice sent and No docs dispatch date</v>
      </c>
      <c r="J1146" s="9" t="s">
        <v>1737</v>
      </c>
      <c r="K1146" s="9"/>
      <c r="L1146" s="11">
        <v>34</v>
      </c>
      <c r="M1146" s="9" t="s">
        <v>2446</v>
      </c>
      <c r="N1146" s="9"/>
      <c r="O1146" s="9"/>
      <c r="P1146" s="9"/>
      <c r="Q1146" s="11">
        <v>134.5</v>
      </c>
      <c r="R1146" s="9" t="s">
        <v>195</v>
      </c>
      <c r="S1146" s="9"/>
      <c r="T1146" s="12">
        <f>IF($H1146="Cancelled","",IFERROR(((Q1146+INDEX(Variables!$B$6:$D$6,IFERROR(MATCH(IF($B1146="Robusta","Robusta",(IF($B1146="","Arabica",$B1146))&amp;" - "&amp;(IF($C1146="","Commercial",$C1146))),Variables!$B$1:$D$1,0),1)))*22.0462)*(L1146/16.67),""))</f>
        <v>19123.722929814037</v>
      </c>
      <c r="U1146" s="10"/>
      <c r="V1146" s="9" t="str">
        <f t="shared" si="109"/>
        <v/>
      </c>
      <c r="W1146" s="10">
        <v>46006</v>
      </c>
      <c r="X1146" s="9" t="str">
        <f t="shared" si="108"/>
        <v>Approved</v>
      </c>
      <c r="Y1146" s="10">
        <v>46037</v>
      </c>
      <c r="Z1146" s="10">
        <f>IF($H1146="Cancelled","",IFERROR(IF(F1146="","",F1146-Variables!$B$13),""))</f>
        <v>46038</v>
      </c>
      <c r="AA1146" s="11">
        <f>IF($H1146="Cancelled","",IFERROR(IF(W1146="","",(AVERAGE(E1146:F1146)-W1146)-Variables!$B$14),""))</f>
        <v>2</v>
      </c>
      <c r="AB1146" s="10">
        <v>46094</v>
      </c>
      <c r="AC1146" s="11">
        <f>IF($H1146="Cancelled","",IFERROR(IF(AB1146="","",IF(AND(W1146="",Y1146=""),"",IF(Y1146&gt;W1146,Y1146+Variables!$B$15+Variables!$B$16+Variables!$B$17-AB1146,W1146+Variables!$B$16+Variables!$B$17-AB1146))),""))</f>
        <v>-42</v>
      </c>
      <c r="AD1146" s="9"/>
      <c r="AE1146" s="9"/>
      <c r="AF1146" s="10"/>
      <c r="AG1146" s="10"/>
      <c r="AH1146" s="9"/>
      <c r="AI1146" s="9"/>
      <c r="AJ1146" s="9"/>
      <c r="AK1146" s="10"/>
      <c r="AL1146" s="10"/>
      <c r="AM1146" s="10"/>
      <c r="AN1146" s="9" t="s">
        <v>1188</v>
      </c>
      <c r="AO1146" s="9"/>
      <c r="AP1146" s="11" t="str">
        <f>IF($H1146="Cancelled","",IFERROR(IF(OR(AK1146="",AB1146=""),"",(AB1146+Variables!$B$18-AK1146)),""))</f>
        <v/>
      </c>
      <c r="AQ1146" s="11" t="str">
        <f>IF($H1146="Cancelled","",IFERROR(IF(OR(AM1146="",AK1146=""),"",(AK1146+Variables!$B$19)-AM1146),""))</f>
        <v/>
      </c>
      <c r="AR1146" s="12" t="str">
        <f>IF($H1146="Cancelled","",IFERROR(T1146*INDEX(Variables!$B$7:$D$7,IFERROR(MATCH(IF($B1146="Robusta","Robusta",(IF($B1146="","Arabica",$B1146))&amp;" - "&amp;(IF($C1146="","Commercial",$C1146))),Variables!$B$1:$D$1,0),1))*(AQ1146/365),""))</f>
        <v/>
      </c>
      <c r="AS1146" s="12">
        <f>IF($H1146="Cancelled","",IFERROR((T1146*INDEX(Variables!$B$7:$D$7,IFERROR(MATCH(IF($B1146="Robusta","Robusta",(IF($B1146="","Arabica",$B1146))&amp;" - "&amp;(IF($C1146="","Commercial",$C1146))),Variables!$B$1:$D$1,0),1))*IFERROR(IF(W1146="","",(AVERAGE(E1146:F1146)-W1146)-Variables!$B$14),"")/365)+(L1146/16.67*INDEX(Variables!$B$8:$D$8,IFERROR(MATCH(IF($B1146="Robusta","Robusta",(IF($B1146="","Arabica",$B1146))&amp;" - "&amp;(IF($C1146="","Commercial",$C1146))),Variables!$B$1:$D$1,0),1))*IFERROR(IF(W1146="","",(AVERAGE(E1146:F1146)-W1146)-Variables!$B$14),""))+(T1146*INDEX(Variables!$B$9:$D$9,IFERROR(MATCH(IF($B1146="Robusta","Robusta",(IF($B1146="","Arabica",$B1146))&amp;" - "&amp;(IF($C1146="","Commercial",$C1146))),Variables!$B$1:$D$1,0),1))*IFERROR(IF(W1146="","",(AVERAGE(E1146:F1146)-W1146)-Variables!$B$14),"")/365),""))</f>
        <v>10.24403987713101</v>
      </c>
      <c r="AT1146" s="12">
        <f>IF($H1146="Cancelled","",IFERROR((T1146*INDEX(Variables!$B$7:$D$7,IFERROR(MATCH(IF($B1146="Robusta","Robusta",(IF($B1146="","Arabica",$B1146))&amp;" - "&amp;(IF($C1146="","Commercial",$C1146))),Variables!$B$1:$D$1,0),1))*AC1146/365)+(L1146/16.67*INDEX(Variables!$B$8:$D$8,IFERROR(MATCH(IF($B1146="Robusta","Robusta",(IF($B1146="","Arabica",$B1146))&amp;" - "&amp;(IF($C1146="","Commercial",$C1146))),Variables!$B$1:$D$1,0),1))*AC1146)+(T1146*INDEX(Variables!$B$9:$D$9,IFERROR(MATCH(IF($B1146="Robusta","Robusta",(IF($B1146="","Arabica",$B1146))&amp;" - "&amp;(IF($C1146="","Commercial",$C1146))),Variables!$B$1:$D$1,0),1))*AC1146/365),""))</f>
        <v>-215.1248374197512</v>
      </c>
      <c r="AU1146" s="12" t="str">
        <f>IF($H1146="Cancelled","",IFERROR((T1146*INDEX(Variables!$B$7:$D$7,IFERROR(MATCH(IF($B1146="Robusta","Robusta",(IF($B1146="","Arabica",$B1146))&amp;" - "&amp;(IF($C1146="","Commercial",$C1146))),Variables!$B$1:$D$1,0),1))*AP1146/365)+(L1146/16.67*INDEX(Variables!$B$8:$D$8,IFERROR(MATCH(IF($B1146="Robusta","Robusta",(IF($B1146="","Arabica",$B1146))&amp;" - "&amp;(IF($C1146="","Commercial",$C1146))),Variables!$B$1:$D$1,0),1))*AP1146)+(T1146*INDEX(Variables!$B$9:$D$9,IFERROR(MATCH(IF($B1146="Robusta","Robusta",(IF($B1146="","Arabica",$B1146))&amp;" - "&amp;(IF($C1146="","Commercial",$C1146))),Variables!$B$1:$D$1,0),1))*AP1146/365),""))</f>
        <v/>
      </c>
      <c r="AV1146" s="11" t="str">
        <f t="shared" si="106"/>
        <v/>
      </c>
      <c r="AW1146" s="12" t="str">
        <f>IF($H1146="Cancelled","",IFERROR(IF(AV1146="","",(T1146*INDEX(Variables!$B$7:$D$7,IFERROR(MATCH(IF($B1146="Robusta","Robusta",(IF($B1146="","Arabica",$B1146))&amp;" - "&amp;(IF($C1146="","Commercial",$C1146))),Variables!$B$1:$D$1,0),1))*(AV1146/365))+(T1146*INDEX(Variables!$B$9:$D$9,IFERROR(MATCH(IF($B1146="Robusta","Robusta",(IF($B1146="","Arabica",$B1146))&amp;" - "&amp;(IF($C1146="","Commercial",$C1146))),Variables!$B$1:$D$1,0),1))*(AV1146/365))+(INDEX(Variables!$B$8:$D$8,IFERROR(MATCH(IF($B1146="Robusta","Robusta",(IF($B1146="","Arabica",$B1146))&amp;" - "&amp;(IF($C1146="","Commercial",$C1146))),Variables!$B$1:$D$1,0),1))*L1146/16.67)),""))</f>
        <v/>
      </c>
      <c r="AX1146" s="9"/>
      <c r="AY1146" s="12"/>
      <c r="AZ1146" s="10"/>
      <c r="BA1146" s="9"/>
      <c r="BB1146" s="10"/>
      <c r="BC1146" s="9"/>
      <c r="BD1146" s="9"/>
      <c r="BE1146" s="9"/>
      <c r="BF1146" s="9"/>
    </row>
    <row r="1147" spans="1:58" x14ac:dyDescent="0.25">
      <c r="A1147" s="9" t="s">
        <v>84</v>
      </c>
      <c r="B1147" s="9" t="s">
        <v>85</v>
      </c>
      <c r="C1147" s="9" t="s">
        <v>1486</v>
      </c>
      <c r="D1147" s="10">
        <v>46022</v>
      </c>
      <c r="E1147" s="10">
        <v>46023</v>
      </c>
      <c r="F1147" s="10">
        <v>46053</v>
      </c>
      <c r="G1147" s="9">
        <v>3787082</v>
      </c>
      <c r="H1147" s="9" t="str">
        <f t="shared" si="104"/>
        <v>Open</v>
      </c>
      <c r="I1147" s="9" t="str">
        <f t="shared" si="105"/>
        <v>No sailing date and No shipping advice sent and No docs dispatch date</v>
      </c>
      <c r="J1147" s="9" t="s">
        <v>1737</v>
      </c>
      <c r="K1147" s="9"/>
      <c r="L1147" s="11">
        <v>99</v>
      </c>
      <c r="M1147" s="9" t="s">
        <v>2447</v>
      </c>
      <c r="N1147" s="9"/>
      <c r="O1147" s="9"/>
      <c r="P1147" s="9"/>
      <c r="Q1147" s="11">
        <v>146.5</v>
      </c>
      <c r="R1147" s="9" t="s">
        <v>195</v>
      </c>
      <c r="S1147" s="9"/>
      <c r="T1147" s="12">
        <f>IF($H1147="Cancelled","",IFERROR(((Q1147+INDEX(Variables!$B$6:$D$6,IFERROR(MATCH(IF($B1147="Robusta","Robusta",(IF($B1147="","Arabica",$B1147))&amp;" - "&amp;(IF($C1147="","Commercial",$C1147))),Variables!$B$1:$D$1,0),1)))*22.0462)*(L1147/16.67),""))</f>
        <v>57254.920380323936</v>
      </c>
      <c r="U1147" s="10"/>
      <c r="V1147" s="9" t="str">
        <f t="shared" si="109"/>
        <v/>
      </c>
      <c r="W1147" s="10">
        <v>46006</v>
      </c>
      <c r="X1147" s="9" t="str">
        <f t="shared" si="108"/>
        <v>Approved</v>
      </c>
      <c r="Y1147" s="10">
        <v>46037</v>
      </c>
      <c r="Z1147" s="10">
        <f>IF($H1147="Cancelled","",IFERROR(IF(F1147="","",F1147-Variables!$B$13),""))</f>
        <v>46038</v>
      </c>
      <c r="AA1147" s="11">
        <f>IF($H1147="Cancelled","",IFERROR(IF(W1147="","",(AVERAGE(E1147:F1147)-W1147)-Variables!$B$14),""))</f>
        <v>2</v>
      </c>
      <c r="AB1147" s="10">
        <v>46094</v>
      </c>
      <c r="AC1147" s="11">
        <f>IF($H1147="Cancelled","",IFERROR(IF(AB1147="","",IF(AND(W1147="",Y1147=""),"",IF(Y1147&gt;W1147,Y1147+Variables!$B$15+Variables!$B$16+Variables!$B$17-AB1147,W1147+Variables!$B$16+Variables!$B$17-AB1147))),""))</f>
        <v>-42</v>
      </c>
      <c r="AD1147" s="9"/>
      <c r="AE1147" s="9"/>
      <c r="AF1147" s="10"/>
      <c r="AG1147" s="10"/>
      <c r="AH1147" s="9"/>
      <c r="AI1147" s="9"/>
      <c r="AJ1147" s="9"/>
      <c r="AK1147" s="10"/>
      <c r="AL1147" s="10"/>
      <c r="AM1147" s="10"/>
      <c r="AN1147" s="9" t="s">
        <v>1188</v>
      </c>
      <c r="AO1147" s="9"/>
      <c r="AP1147" s="11" t="str">
        <f>IF($H1147="Cancelled","",IFERROR(IF(OR(AK1147="",AB1147=""),"",(AB1147+Variables!$B$18-AK1147)),""))</f>
        <v/>
      </c>
      <c r="AQ1147" s="11" t="str">
        <f>IF($H1147="Cancelled","",IFERROR(IF(OR(AM1147="",AK1147=""),"",(AK1147+Variables!$B$19)-AM1147),""))</f>
        <v/>
      </c>
      <c r="AR1147" s="12" t="str">
        <f>IF($H1147="Cancelled","",IFERROR(T1147*INDEX(Variables!$B$7:$D$7,IFERROR(MATCH(IF($B1147="Robusta","Robusta",(IF($B1147="","Arabica",$B1147))&amp;" - "&amp;(IF($C1147="","Commercial",$C1147))),Variables!$B$1:$D$1,0),1))*(AQ1147/365),""))</f>
        <v/>
      </c>
      <c r="AS1147" s="12">
        <f>IF($H1147="Cancelled","",IFERROR((T1147*INDEX(Variables!$B$7:$D$7,IFERROR(MATCH(IF($B1147="Robusta","Robusta",(IF($B1147="","Arabica",$B1147))&amp;" - "&amp;(IF($C1147="","Commercial",$C1147))),Variables!$B$1:$D$1,0),1))*IFERROR(IF(W1147="","",(AVERAGE(E1147:F1147)-W1147)-Variables!$B$14),"")/365)+(L1147/16.67*INDEX(Variables!$B$8:$D$8,IFERROR(MATCH(IF($B1147="Robusta","Robusta",(IF($B1147="","Arabica",$B1147))&amp;" - "&amp;(IF($C1147="","Commercial",$C1147))),Variables!$B$1:$D$1,0),1))*IFERROR(IF(W1147="","",(AVERAGE(E1147:F1147)-W1147)-Variables!$B$14),""))+(T1147*INDEX(Variables!$B$9:$D$9,IFERROR(MATCH(IF($B1147="Robusta","Robusta",(IF($B1147="","Arabica",$B1147))&amp;" - "&amp;(IF($C1147="","Commercial",$C1147))),Variables!$B$1:$D$1,0),1))*IFERROR(IF(W1147="","",(AVERAGE(E1147:F1147)-W1147)-Variables!$B$14),"")/365),""))</f>
        <v>30.390516395946779</v>
      </c>
      <c r="AT1147" s="12">
        <f>IF($H1147="Cancelled","",IFERROR((T1147*INDEX(Variables!$B$7:$D$7,IFERROR(MATCH(IF($B1147="Robusta","Robusta",(IF($B1147="","Arabica",$B1147))&amp;" - "&amp;(IF($C1147="","Commercial",$C1147))),Variables!$B$1:$D$1,0),1))*AC1147/365)+(L1147/16.67*INDEX(Variables!$B$8:$D$8,IFERROR(MATCH(IF($B1147="Robusta","Robusta",(IF($B1147="","Arabica",$B1147))&amp;" - "&amp;(IF($C1147="","Commercial",$C1147))),Variables!$B$1:$D$1,0),1))*AC1147)+(T1147*INDEX(Variables!$B$9:$D$9,IFERROR(MATCH(IF($B1147="Robusta","Robusta",(IF($B1147="","Arabica",$B1147))&amp;" - "&amp;(IF($C1147="","Commercial",$C1147))),Variables!$B$1:$D$1,0),1))*AC1147/365),""))</f>
        <v>-638.20084431488237</v>
      </c>
      <c r="AU1147" s="12" t="str">
        <f>IF($H1147="Cancelled","",IFERROR((T1147*INDEX(Variables!$B$7:$D$7,IFERROR(MATCH(IF($B1147="Robusta","Robusta",(IF($B1147="","Arabica",$B1147))&amp;" - "&amp;(IF($C1147="","Commercial",$C1147))),Variables!$B$1:$D$1,0),1))*AP1147/365)+(L1147/16.67*INDEX(Variables!$B$8:$D$8,IFERROR(MATCH(IF($B1147="Robusta","Robusta",(IF($B1147="","Arabica",$B1147))&amp;" - "&amp;(IF($C1147="","Commercial",$C1147))),Variables!$B$1:$D$1,0),1))*AP1147)+(T1147*INDEX(Variables!$B$9:$D$9,IFERROR(MATCH(IF($B1147="Robusta","Robusta",(IF($B1147="","Arabica",$B1147))&amp;" - "&amp;(IF($C1147="","Commercial",$C1147))),Variables!$B$1:$D$1,0),1))*AP1147/365),""))</f>
        <v/>
      </c>
      <c r="AV1147" s="11" t="str">
        <f t="shared" si="106"/>
        <v/>
      </c>
      <c r="AW1147" s="12" t="str">
        <f>IF($H1147="Cancelled","",IFERROR(IF(AV1147="","",(T1147*INDEX(Variables!$B$7:$D$7,IFERROR(MATCH(IF($B1147="Robusta","Robusta",(IF($B1147="","Arabica",$B1147))&amp;" - "&amp;(IF($C1147="","Commercial",$C1147))),Variables!$B$1:$D$1,0),1))*(AV1147/365))+(T1147*INDEX(Variables!$B$9:$D$9,IFERROR(MATCH(IF($B1147="Robusta","Robusta",(IF($B1147="","Arabica",$B1147))&amp;" - "&amp;(IF($C1147="","Commercial",$C1147))),Variables!$B$1:$D$1,0),1))*(AV1147/365))+(INDEX(Variables!$B$8:$D$8,IFERROR(MATCH(IF($B1147="Robusta","Robusta",(IF($B1147="","Arabica",$B1147))&amp;" - "&amp;(IF($C1147="","Commercial",$C1147))),Variables!$B$1:$D$1,0),1))*L1147/16.67)),""))</f>
        <v/>
      </c>
      <c r="AX1147" s="9"/>
      <c r="AY1147" s="12"/>
      <c r="AZ1147" s="10"/>
      <c r="BA1147" s="9"/>
      <c r="BB1147" s="10"/>
      <c r="BC1147" s="9"/>
      <c r="BD1147" s="9"/>
      <c r="BE1147" s="9"/>
      <c r="BF1147" s="9"/>
    </row>
    <row r="1148" spans="1:58" x14ac:dyDescent="0.25">
      <c r="A1148" s="9" t="s">
        <v>84</v>
      </c>
      <c r="B1148" s="9" t="s">
        <v>85</v>
      </c>
      <c r="C1148" s="9" t="s">
        <v>1486</v>
      </c>
      <c r="D1148" s="10">
        <v>46022</v>
      </c>
      <c r="E1148" s="10">
        <v>46023</v>
      </c>
      <c r="F1148" s="10">
        <v>46053</v>
      </c>
      <c r="G1148" s="9">
        <v>3787080</v>
      </c>
      <c r="H1148" s="9" t="str">
        <f t="shared" si="104"/>
        <v>Open</v>
      </c>
      <c r="I1148" s="9" t="str">
        <f t="shared" si="105"/>
        <v>No shipping advice sent and No docs dispatch date</v>
      </c>
      <c r="J1148" s="9" t="s">
        <v>1737</v>
      </c>
      <c r="K1148" s="9"/>
      <c r="L1148" s="11">
        <v>35</v>
      </c>
      <c r="M1148" s="9" t="s">
        <v>2448</v>
      </c>
      <c r="N1148" s="9"/>
      <c r="O1148" s="9"/>
      <c r="P1148" s="9"/>
      <c r="Q1148" s="11">
        <v>130.5</v>
      </c>
      <c r="R1148" s="9" t="s">
        <v>195</v>
      </c>
      <c r="S1148" s="9"/>
      <c r="T1148" s="12">
        <f>IF($H1148="Cancelled","",IFERROR(((Q1148+INDEX(Variables!$B$6:$D$6,IFERROR(MATCH(IF($B1148="Robusta","Robusta",(IF($B1148="","Arabica",$B1148))&amp;" - "&amp;(IF($C1148="","Commercial",$C1148))),Variables!$B$1:$D$1,0),1)))*22.0462)*(L1148/16.67),""))</f>
        <v>19501.034319136172</v>
      </c>
      <c r="U1148" s="10"/>
      <c r="V1148" s="9" t="str">
        <f t="shared" si="109"/>
        <v/>
      </c>
      <c r="W1148" s="10">
        <v>46006</v>
      </c>
      <c r="X1148" s="9" t="str">
        <f t="shared" si="108"/>
        <v>Approved</v>
      </c>
      <c r="Y1148" s="10">
        <v>46068</v>
      </c>
      <c r="Z1148" s="10">
        <f>IF($H1148="Cancelled","",IFERROR(IF(F1148="","",F1148-Variables!$B$13),""))</f>
        <v>46038</v>
      </c>
      <c r="AA1148" s="11">
        <f>IF($H1148="Cancelled","",IFERROR(IF(W1148="","",(AVERAGE(E1148:F1148)-W1148)-Variables!$B$14),""))</f>
        <v>2</v>
      </c>
      <c r="AB1148" s="10">
        <v>46094</v>
      </c>
      <c r="AC1148" s="11">
        <f>IF($H1148="Cancelled","",IFERROR(IF(AB1148="","",IF(AND(W1148="",Y1148=""),"",IF(Y1148&gt;W1148,Y1148+Variables!$B$15+Variables!$B$16+Variables!$B$17-AB1148,W1148+Variables!$B$16+Variables!$B$17-AB1148))),""))</f>
        <v>-11</v>
      </c>
      <c r="AD1148" s="9"/>
      <c r="AE1148" s="9" t="s">
        <v>2449</v>
      </c>
      <c r="AF1148" s="10"/>
      <c r="AG1148" s="10"/>
      <c r="AH1148" s="9"/>
      <c r="AI1148" s="9">
        <v>267265120</v>
      </c>
      <c r="AJ1148" s="9"/>
      <c r="AK1148" s="10">
        <v>46104</v>
      </c>
      <c r="AL1148" s="10"/>
      <c r="AM1148" s="10"/>
      <c r="AN1148" s="9" t="s">
        <v>1188</v>
      </c>
      <c r="AO1148" s="9"/>
      <c r="AP1148" s="11">
        <f>IF($H1148="Cancelled","",IFERROR(IF(OR(AK1148="",AB1148=""),"",(AB1148+Variables!$B$18-AK1148)),""))</f>
        <v>-3</v>
      </c>
      <c r="AQ1148" s="11" t="str">
        <f>IF($H1148="Cancelled","",IFERROR(IF(OR(AM1148="",AK1148=""),"",(AK1148+Variables!$B$19)-AM1148),""))</f>
        <v/>
      </c>
      <c r="AR1148" s="12" t="str">
        <f>IF($H1148="Cancelled","",IFERROR(T1148*INDEX(Variables!$B$7:$D$7,IFERROR(MATCH(IF($B1148="Robusta","Robusta",(IF($B1148="","Arabica",$B1148))&amp;" - "&amp;(IF($C1148="","Commercial",$C1148))),Variables!$B$1:$D$1,0),1))*(AQ1148/365),""))</f>
        <v/>
      </c>
      <c r="AS1148" s="12">
        <f>IF($H1148="Cancelled","",IFERROR((T1148*INDEX(Variables!$B$7:$D$7,IFERROR(MATCH(IF($B1148="Robusta","Robusta",(IF($B1148="","Arabica",$B1148))&amp;" - "&amp;(IF($C1148="","Commercial",$C1148))),Variables!$B$1:$D$1,0),1))*IFERROR(IF(W1148="","",(AVERAGE(E1148:F1148)-W1148)-Variables!$B$14),"")/365)+(L1148/16.67*INDEX(Variables!$B$8:$D$8,IFERROR(MATCH(IF($B1148="Robusta","Robusta",(IF($B1148="","Arabica",$B1148))&amp;" - "&amp;(IF($C1148="","Commercial",$C1148))),Variables!$B$1:$D$1,0),1))*IFERROR(IF(W1148="","",(AVERAGE(E1148:F1148)-W1148)-Variables!$B$14),""))+(T1148*INDEX(Variables!$B$9:$D$9,IFERROR(MATCH(IF($B1148="Robusta","Robusta",(IF($B1148="","Arabica",$B1148))&amp;" - "&amp;(IF($C1148="","Commercial",$C1148))),Variables!$B$1:$D$1,0),1))*IFERROR(IF(W1148="","",(AVERAGE(E1148:F1148)-W1148)-Variables!$B$14),"")/365),""))</f>
        <v>10.479072904125482</v>
      </c>
      <c r="AT1148" s="12">
        <f>IF($H1148="Cancelled","",IFERROR((T1148*INDEX(Variables!$B$7:$D$7,IFERROR(MATCH(IF($B1148="Robusta","Robusta",(IF($B1148="","Arabica",$B1148))&amp;" - "&amp;(IF($C1148="","Commercial",$C1148))),Variables!$B$1:$D$1,0),1))*AC1148/365)+(L1148/16.67*INDEX(Variables!$B$8:$D$8,IFERROR(MATCH(IF($B1148="Robusta","Robusta",(IF($B1148="","Arabica",$B1148))&amp;" - "&amp;(IF($C1148="","Commercial",$C1148))),Variables!$B$1:$D$1,0),1))*AC1148)+(T1148*INDEX(Variables!$B$9:$D$9,IFERROR(MATCH(IF($B1148="Robusta","Robusta",(IF($B1148="","Arabica",$B1148))&amp;" - "&amp;(IF($C1148="","Commercial",$C1148))),Variables!$B$1:$D$1,0),1))*AC1148/365),""))</f>
        <v>-57.634900972690147</v>
      </c>
      <c r="AU1148" s="12">
        <f>IF($H1148="Cancelled","",IFERROR((T1148*INDEX(Variables!$B$7:$D$7,IFERROR(MATCH(IF($B1148="Robusta","Robusta",(IF($B1148="","Arabica",$B1148))&amp;" - "&amp;(IF($C1148="","Commercial",$C1148))),Variables!$B$1:$D$1,0),1))*AP1148/365)+(L1148/16.67*INDEX(Variables!$B$8:$D$8,IFERROR(MATCH(IF($B1148="Robusta","Robusta",(IF($B1148="","Arabica",$B1148))&amp;" - "&amp;(IF($C1148="","Commercial",$C1148))),Variables!$B$1:$D$1,0),1))*AP1148)+(T1148*INDEX(Variables!$B$9:$D$9,IFERROR(MATCH(IF($B1148="Robusta","Robusta",(IF($B1148="","Arabica",$B1148))&amp;" - "&amp;(IF($C1148="","Commercial",$C1148))),Variables!$B$1:$D$1,0),1))*AP1148/365),""))</f>
        <v>-15.718609356188221</v>
      </c>
      <c r="AV1148" s="11">
        <f t="shared" si="106"/>
        <v>-51</v>
      </c>
      <c r="AW1148" s="12">
        <f>IF($H1148="Cancelled","",IFERROR(IF(AV1148="","",(T1148*INDEX(Variables!$B$7:$D$7,IFERROR(MATCH(IF($B1148="Robusta","Robusta",(IF($B1148="","Arabica",$B1148))&amp;" - "&amp;(IF($C1148="","Commercial",$C1148))),Variables!$B$1:$D$1,0),1))*(AV1148/365))+(T1148*INDEX(Variables!$B$9:$D$9,IFERROR(MATCH(IF($B1148="Robusta","Robusta",(IF($B1148="","Arabica",$B1148))&amp;" - "&amp;(IF($C1148="","Commercial",$C1148))),Variables!$B$1:$D$1,0),1))*(AV1148/365))+(INDEX(Variables!$B$8:$D$8,IFERROR(MATCH(IF($B1148="Robusta","Robusta",(IF($B1148="","Arabica",$B1148))&amp;" - "&amp;(IF($C1148="","Commercial",$C1148))),Variables!$B$1:$D$1,0),1))*L1148/16.67)),""))</f>
        <v>-176.2163590551998</v>
      </c>
      <c r="AX1148" s="9"/>
      <c r="AY1148" s="12"/>
      <c r="AZ1148" s="10"/>
      <c r="BA1148" s="9"/>
      <c r="BB1148" s="10"/>
      <c r="BC1148" s="9"/>
      <c r="BD1148" s="9"/>
      <c r="BE1148" s="9"/>
      <c r="BF1148" s="9"/>
    </row>
    <row r="1149" spans="1:58" x14ac:dyDescent="0.25">
      <c r="A1149" s="9" t="s">
        <v>84</v>
      </c>
      <c r="B1149" s="9" t="s">
        <v>85</v>
      </c>
      <c r="C1149" s="9" t="s">
        <v>1486</v>
      </c>
      <c r="D1149" s="10">
        <v>46022</v>
      </c>
      <c r="E1149" s="10">
        <v>46023</v>
      </c>
      <c r="F1149" s="10">
        <v>46053</v>
      </c>
      <c r="G1149" s="9">
        <v>3787086</v>
      </c>
      <c r="H1149" s="9" t="str">
        <f t="shared" si="104"/>
        <v>Open</v>
      </c>
      <c r="I1149" s="9" t="str">
        <f t="shared" si="105"/>
        <v>No sailing date and No shipping advice sent and No docs dispatch date</v>
      </c>
      <c r="J1149" s="9" t="s">
        <v>1737</v>
      </c>
      <c r="K1149" s="9"/>
      <c r="L1149" s="11">
        <v>34</v>
      </c>
      <c r="M1149" s="9" t="s">
        <v>2450</v>
      </c>
      <c r="N1149" s="9"/>
      <c r="O1149" s="9"/>
      <c r="P1149" s="9"/>
      <c r="Q1149" s="11">
        <v>168.5</v>
      </c>
      <c r="R1149" s="9" t="s">
        <v>195</v>
      </c>
      <c r="S1149" s="9"/>
      <c r="T1149" s="12">
        <f>IF($H1149="Cancelled","",IFERROR(((Q1149+INDEX(Variables!$B$6:$D$6,IFERROR(MATCH(IF($B1149="Robusta","Robusta",(IF($B1149="","Arabica",$B1149))&amp;" - "&amp;(IF($C1149="","Commercial",$C1149))),Variables!$B$1:$D$1,0),1)))*22.0462)*(L1149/16.67),""))</f>
        <v>20652.541598080381</v>
      </c>
      <c r="U1149" s="10"/>
      <c r="V1149" s="9" t="str">
        <f t="shared" si="109"/>
        <v/>
      </c>
      <c r="W1149" s="10"/>
      <c r="X1149" s="9" t="str">
        <f t="shared" si="108"/>
        <v/>
      </c>
      <c r="Y1149" s="10"/>
      <c r="Z1149" s="10">
        <f>IF($H1149="Cancelled","",IFERROR(IF(F1149="","",F1149-Variables!$B$13),""))</f>
        <v>46038</v>
      </c>
      <c r="AA1149" s="11" t="str">
        <f>IF($H1149="Cancelled","",IFERROR(IF(W1149="","",(AVERAGE(E1149:F1149)-W1149)-Variables!$B$14),""))</f>
        <v/>
      </c>
      <c r="AB1149" s="10"/>
      <c r="AC1149" s="11" t="str">
        <f>IF($H1149="Cancelled","",IFERROR(IF(AB1149="","",IF(AND(W1149="",Y1149=""),"",IF(Y1149&gt;W1149,Y1149+Variables!$B$15+Variables!$B$16+Variables!$B$17-AB1149,W1149+Variables!$B$16+Variables!$B$17-AB1149))),""))</f>
        <v/>
      </c>
      <c r="AD1149" s="9"/>
      <c r="AE1149" s="9"/>
      <c r="AF1149" s="10"/>
      <c r="AG1149" s="10"/>
      <c r="AH1149" s="9"/>
      <c r="AI1149" s="9"/>
      <c r="AJ1149" s="9"/>
      <c r="AK1149" s="10"/>
      <c r="AL1149" s="10"/>
      <c r="AM1149" s="10"/>
      <c r="AN1149" s="9" t="s">
        <v>1188</v>
      </c>
      <c r="AO1149" s="9"/>
      <c r="AP1149" s="11" t="str">
        <f>IF($H1149="Cancelled","",IFERROR(IF(OR(AK1149="",AB1149=""),"",(AB1149+Variables!$B$18-AK1149)),""))</f>
        <v/>
      </c>
      <c r="AQ1149" s="11" t="str">
        <f>IF($H1149="Cancelled","",IFERROR(IF(OR(AM1149="",AK1149=""),"",(AK1149+Variables!$B$19)-AM1149),""))</f>
        <v/>
      </c>
      <c r="AR1149" s="12" t="str">
        <f>IF($H1149="Cancelled","",IFERROR(T1149*INDEX(Variables!$B$7:$D$7,IFERROR(MATCH(IF($B1149="Robusta","Robusta",(IF($B1149="","Arabica",$B1149))&amp;" - "&amp;(IF($C1149="","Commercial",$C1149))),Variables!$B$1:$D$1,0),1))*(AQ1149/365),""))</f>
        <v/>
      </c>
      <c r="AS1149" s="12" t="str">
        <f>IF($H1149="Cancelled","",IFERROR((T1149*INDEX(Variables!$B$7:$D$7,IFERROR(MATCH(IF($B1149="Robusta","Robusta",(IF($B1149="","Arabica",$B1149))&amp;" - "&amp;(IF($C1149="","Commercial",$C1149))),Variables!$B$1:$D$1,0),1))*IFERROR(IF(W1149="","",(AVERAGE(E1149:F1149)-W1149)-Variables!$B$14),"")/365)+(L1149/16.67*INDEX(Variables!$B$8:$D$8,IFERROR(MATCH(IF($B1149="Robusta","Robusta",(IF($B1149="","Arabica",$B1149))&amp;" - "&amp;(IF($C1149="","Commercial",$C1149))),Variables!$B$1:$D$1,0),1))*IFERROR(IF(W1149="","",(AVERAGE(E1149:F1149)-W1149)-Variables!$B$14),""))+(T1149*INDEX(Variables!$B$9:$D$9,IFERROR(MATCH(IF($B1149="Robusta","Robusta",(IF($B1149="","Arabica",$B1149))&amp;" - "&amp;(IF($C1149="","Commercial",$C1149))),Variables!$B$1:$D$1,0),1))*IFERROR(IF(W1149="","",(AVERAGE(E1149:F1149)-W1149)-Variables!$B$14),"")/365),""))</f>
        <v/>
      </c>
      <c r="AT1149" s="12" t="str">
        <f>IF($H1149="Cancelled","",IFERROR((T1149*INDEX(Variables!$B$7:$D$7,IFERROR(MATCH(IF($B1149="Robusta","Robusta",(IF($B1149="","Arabica",$B1149))&amp;" - "&amp;(IF($C1149="","Commercial",$C1149))),Variables!$B$1:$D$1,0),1))*AC1149/365)+(L1149/16.67*INDEX(Variables!$B$8:$D$8,IFERROR(MATCH(IF($B1149="Robusta","Robusta",(IF($B1149="","Arabica",$B1149))&amp;" - "&amp;(IF($C1149="","Commercial",$C1149))),Variables!$B$1:$D$1,0),1))*AC1149)+(T1149*INDEX(Variables!$B$9:$D$9,IFERROR(MATCH(IF($B1149="Robusta","Robusta",(IF($B1149="","Arabica",$B1149))&amp;" - "&amp;(IF($C1149="","Commercial",$C1149))),Variables!$B$1:$D$1,0),1))*AC1149/365),""))</f>
        <v/>
      </c>
      <c r="AU1149" s="12" t="str">
        <f>IF($H1149="Cancelled","",IFERROR((T1149*INDEX(Variables!$B$7:$D$7,IFERROR(MATCH(IF($B1149="Robusta","Robusta",(IF($B1149="","Arabica",$B1149))&amp;" - "&amp;(IF($C1149="","Commercial",$C1149))),Variables!$B$1:$D$1,0),1))*AP1149/365)+(L1149/16.67*INDEX(Variables!$B$8:$D$8,IFERROR(MATCH(IF($B1149="Robusta","Robusta",(IF($B1149="","Arabica",$B1149))&amp;" - "&amp;(IF($C1149="","Commercial",$C1149))),Variables!$B$1:$D$1,0),1))*AP1149)+(T1149*INDEX(Variables!$B$9:$D$9,IFERROR(MATCH(IF($B1149="Robusta","Robusta",(IF($B1149="","Arabica",$B1149))&amp;" - "&amp;(IF($C1149="","Commercial",$C1149))),Variables!$B$1:$D$1,0),1))*AP1149/365),""))</f>
        <v/>
      </c>
      <c r="AV1149" s="11" t="str">
        <f t="shared" si="106"/>
        <v/>
      </c>
      <c r="AW1149" s="12" t="str">
        <f>IF($H1149="Cancelled","",IFERROR(IF(AV1149="","",(T1149*INDEX(Variables!$B$7:$D$7,IFERROR(MATCH(IF($B1149="Robusta","Robusta",(IF($B1149="","Arabica",$B1149))&amp;" - "&amp;(IF($C1149="","Commercial",$C1149))),Variables!$B$1:$D$1,0),1))*(AV1149/365))+(T1149*INDEX(Variables!$B$9:$D$9,IFERROR(MATCH(IF($B1149="Robusta","Robusta",(IF($B1149="","Arabica",$B1149))&amp;" - "&amp;(IF($C1149="","Commercial",$C1149))),Variables!$B$1:$D$1,0),1))*(AV1149/365))+(INDEX(Variables!$B$8:$D$8,IFERROR(MATCH(IF($B1149="Robusta","Robusta",(IF($B1149="","Arabica",$B1149))&amp;" - "&amp;(IF($C1149="","Commercial",$C1149))),Variables!$B$1:$D$1,0),1))*L1149/16.67)),""))</f>
        <v/>
      </c>
      <c r="AX1149" s="9"/>
      <c r="AY1149" s="12"/>
      <c r="AZ1149" s="10"/>
      <c r="BA1149" s="9"/>
      <c r="BB1149" s="10"/>
      <c r="BC1149" s="9"/>
      <c r="BD1149" s="9"/>
      <c r="BE1149" s="9"/>
      <c r="BF1149" s="9"/>
    </row>
    <row r="1150" spans="1:58" x14ac:dyDescent="0.25">
      <c r="A1150" s="9" t="s">
        <v>84</v>
      </c>
      <c r="B1150" s="9" t="s">
        <v>85</v>
      </c>
      <c r="C1150" s="9" t="s">
        <v>1486</v>
      </c>
      <c r="D1150" s="10">
        <v>46014</v>
      </c>
      <c r="E1150" s="10">
        <v>46023</v>
      </c>
      <c r="F1150" s="10">
        <v>46053</v>
      </c>
      <c r="G1150" s="9">
        <v>3787077</v>
      </c>
      <c r="H1150" s="9" t="str">
        <f t="shared" si="104"/>
        <v>Open</v>
      </c>
      <c r="I1150" s="9" t="str">
        <f t="shared" si="105"/>
        <v>No shipping advice sent and No docs dispatch date</v>
      </c>
      <c r="J1150" s="9" t="s">
        <v>2451</v>
      </c>
      <c r="K1150" s="9"/>
      <c r="L1150" s="11">
        <v>138</v>
      </c>
      <c r="M1150" s="9" t="s">
        <v>2452</v>
      </c>
      <c r="N1150" s="9"/>
      <c r="O1150" s="9"/>
      <c r="P1150" s="9"/>
      <c r="Q1150" s="11">
        <v>49</v>
      </c>
      <c r="R1150" s="9" t="s">
        <v>195</v>
      </c>
      <c r="S1150" s="9"/>
      <c r="T1150" s="12">
        <f>IF($H1150="Cancelled","",IFERROR(((Q1150+INDEX(Variables!$B$6:$D$6,IFERROR(MATCH(IF($B1150="Robusta","Robusta",(IF($B1150="","Arabica",$B1150))&amp;" - "&amp;(IF($C1150="","Commercial",$C1150))),Variables!$B$1:$D$1,0),1)))*22.0462)*(L1150/16.67),""))</f>
        <v>62015.550622675451</v>
      </c>
      <c r="U1150" s="10"/>
      <c r="V1150" s="9" t="str">
        <f t="shared" si="109"/>
        <v/>
      </c>
      <c r="W1150" s="10">
        <v>46006</v>
      </c>
      <c r="X1150" s="9" t="str">
        <f t="shared" si="108"/>
        <v>Approved</v>
      </c>
      <c r="Y1150" s="10">
        <v>46068</v>
      </c>
      <c r="Z1150" s="10">
        <f>IF($H1150="Cancelled","",IFERROR(IF(F1150="","",F1150-Variables!$B$13),""))</f>
        <v>46038</v>
      </c>
      <c r="AA1150" s="11">
        <f>IF($H1150="Cancelled","",IFERROR(IF(W1150="","",(AVERAGE(E1150:F1150)-W1150)-Variables!$B$14),""))</f>
        <v>2</v>
      </c>
      <c r="AB1150" s="10">
        <v>46092</v>
      </c>
      <c r="AC1150" s="11">
        <f>IF($H1150="Cancelled","",IFERROR(IF(AB1150="","",IF(AND(W1150="",Y1150=""),"",IF(Y1150&gt;W1150,Y1150+Variables!$B$15+Variables!$B$16+Variables!$B$17-AB1150,W1150+Variables!$B$16+Variables!$B$17-AB1150))),""))</f>
        <v>-9</v>
      </c>
      <c r="AD1150" s="9"/>
      <c r="AE1150" s="9" t="s">
        <v>2453</v>
      </c>
      <c r="AF1150" s="10"/>
      <c r="AG1150" s="10"/>
      <c r="AH1150" s="9"/>
      <c r="AI1150" s="9">
        <v>321600000900</v>
      </c>
      <c r="AJ1150" s="9"/>
      <c r="AK1150" s="10">
        <v>46101</v>
      </c>
      <c r="AL1150" s="10"/>
      <c r="AM1150" s="10"/>
      <c r="AN1150" s="9" t="s">
        <v>2454</v>
      </c>
      <c r="AO1150" s="9"/>
      <c r="AP1150" s="11">
        <f>IF($H1150="Cancelled","",IFERROR(IF(OR(AK1150="",AB1150=""),"",(AB1150+Variables!$B$18-AK1150)),""))</f>
        <v>-2</v>
      </c>
      <c r="AQ1150" s="11" t="str">
        <f>IF($H1150="Cancelled","",IFERROR(IF(OR(AM1150="",AK1150=""),"",(AK1150+Variables!$B$19)-AM1150),""))</f>
        <v/>
      </c>
      <c r="AR1150" s="12" t="str">
        <f>IF($H1150="Cancelled","",IFERROR(T1150*INDEX(Variables!$B$7:$D$7,IFERROR(MATCH(IF($B1150="Robusta","Robusta",(IF($B1150="","Arabica",$B1150))&amp;" - "&amp;(IF($C1150="","Commercial",$C1150))),Variables!$B$1:$D$1,0),1))*(AQ1150/365),""))</f>
        <v/>
      </c>
      <c r="AS1150" s="12">
        <f>IF($H1150="Cancelled","",IFERROR((T1150*INDEX(Variables!$B$7:$D$7,IFERROR(MATCH(IF($B1150="Robusta","Robusta",(IF($B1150="","Arabica",$B1150))&amp;" - "&amp;(IF($C1150="","Commercial",$C1150))),Variables!$B$1:$D$1,0),1))*IFERROR(IF(W1150="","",(AVERAGE(E1150:F1150)-W1150)-Variables!$B$14),"")/365)+(L1150/16.67*INDEX(Variables!$B$8:$D$8,IFERROR(MATCH(IF($B1150="Robusta","Robusta",(IF($B1150="","Arabica",$B1150))&amp;" - "&amp;(IF($C1150="","Commercial",$C1150))),Variables!$B$1:$D$1,0),1))*IFERROR(IF(W1150="","",(AVERAGE(E1150:F1150)-W1150)-Variables!$B$14),""))+(T1150*INDEX(Variables!$B$9:$D$9,IFERROR(MATCH(IF($B1150="Robusta","Robusta",(IF($B1150="","Arabica",$B1150))&amp;" - "&amp;(IF($C1150="","Commercial",$C1150))),Variables!$B$1:$D$1,0),1))*IFERROR(IF(W1150="","",(AVERAGE(E1150:F1150)-W1150)-Variables!$B$14),"")/365),""))</f>
        <v>35.994261181337606</v>
      </c>
      <c r="AT1150" s="12">
        <f>IF($H1150="Cancelled","",IFERROR((T1150*INDEX(Variables!$B$7:$D$7,IFERROR(MATCH(IF($B1150="Robusta","Robusta",(IF($B1150="","Arabica",$B1150))&amp;" - "&amp;(IF($C1150="","Commercial",$C1150))),Variables!$B$1:$D$1,0),1))*AC1150/365)+(L1150/16.67*INDEX(Variables!$B$8:$D$8,IFERROR(MATCH(IF($B1150="Robusta","Robusta",(IF($B1150="","Arabica",$B1150))&amp;" - "&amp;(IF($C1150="","Commercial",$C1150))),Variables!$B$1:$D$1,0),1))*AC1150)+(T1150*INDEX(Variables!$B$9:$D$9,IFERROR(MATCH(IF($B1150="Robusta","Robusta",(IF($B1150="","Arabica",$B1150))&amp;" - "&amp;(IF($C1150="","Commercial",$C1150))),Variables!$B$1:$D$1,0),1))*AC1150/365),""))</f>
        <v>-161.97417531601923</v>
      </c>
      <c r="AU1150" s="12">
        <f>IF($H1150="Cancelled","",IFERROR((T1150*INDEX(Variables!$B$7:$D$7,IFERROR(MATCH(IF($B1150="Robusta","Robusta",(IF($B1150="","Arabica",$B1150))&amp;" - "&amp;(IF($C1150="","Commercial",$C1150))),Variables!$B$1:$D$1,0),1))*AP1150/365)+(L1150/16.67*INDEX(Variables!$B$8:$D$8,IFERROR(MATCH(IF($B1150="Robusta","Robusta",(IF($B1150="","Arabica",$B1150))&amp;" - "&amp;(IF($C1150="","Commercial",$C1150))),Variables!$B$1:$D$1,0),1))*AP1150)+(T1150*INDEX(Variables!$B$9:$D$9,IFERROR(MATCH(IF($B1150="Robusta","Robusta",(IF($B1150="","Arabica",$B1150))&amp;" - "&amp;(IF($C1150="","Commercial",$C1150))),Variables!$B$1:$D$1,0),1))*AP1150/365),""))</f>
        <v>-35.994261181337606</v>
      </c>
      <c r="AV1150" s="11">
        <f t="shared" si="106"/>
        <v>-48</v>
      </c>
      <c r="AW1150" s="12">
        <f>IF($H1150="Cancelled","",IFERROR(IF(AV1150="","",(T1150*INDEX(Variables!$B$7:$D$7,IFERROR(MATCH(IF($B1150="Robusta","Robusta",(IF($B1150="","Arabica",$B1150))&amp;" - "&amp;(IF($C1150="","Commercial",$C1150))),Variables!$B$1:$D$1,0),1))*(AV1150/365))+(T1150*INDEX(Variables!$B$9:$D$9,IFERROR(MATCH(IF($B1150="Robusta","Robusta",(IF($B1150="","Arabica",$B1150))&amp;" - "&amp;(IF($C1150="","Commercial",$C1150))),Variables!$B$1:$D$1,0),1))*(AV1150/365))+(INDEX(Variables!$B$8:$D$8,IFERROR(MATCH(IF($B1150="Robusta","Robusta",(IF($B1150="","Arabica",$B1150))&amp;" - "&amp;(IF($C1150="","Commercial",$C1150))),Variables!$B$1:$D$1,0),1))*L1150/16.67)),""))</f>
        <v>-525.76226835210252</v>
      </c>
      <c r="AX1150" s="9"/>
      <c r="AY1150" s="12"/>
      <c r="AZ1150" s="10"/>
      <c r="BA1150" s="9"/>
      <c r="BB1150" s="10"/>
      <c r="BC1150" s="9"/>
      <c r="BD1150" s="9"/>
      <c r="BE1150" s="9"/>
      <c r="BF1150" s="9"/>
    </row>
    <row r="1151" spans="1:58" x14ac:dyDescent="0.25">
      <c r="A1151" s="9" t="s">
        <v>84</v>
      </c>
      <c r="B1151" s="9" t="s">
        <v>85</v>
      </c>
      <c r="C1151" s="9" t="s">
        <v>1486</v>
      </c>
      <c r="D1151" s="10">
        <v>46014</v>
      </c>
      <c r="E1151" s="10">
        <v>46023</v>
      </c>
      <c r="F1151" s="10">
        <v>46053</v>
      </c>
      <c r="G1151" s="9">
        <v>3787078</v>
      </c>
      <c r="H1151" s="9" t="str">
        <f t="shared" si="104"/>
        <v>Open</v>
      </c>
      <c r="I1151" s="9" t="str">
        <f t="shared" si="105"/>
        <v>No shipping advice sent and No docs dispatch date</v>
      </c>
      <c r="J1151" s="9" t="s">
        <v>2451</v>
      </c>
      <c r="K1151" s="9"/>
      <c r="L1151" s="11">
        <v>88</v>
      </c>
      <c r="M1151" s="9" t="s">
        <v>2455</v>
      </c>
      <c r="N1151" s="9"/>
      <c r="O1151" s="9"/>
      <c r="P1151" s="9"/>
      <c r="Q1151" s="11">
        <v>49</v>
      </c>
      <c r="R1151" s="9" t="s">
        <v>195</v>
      </c>
      <c r="S1151" s="9"/>
      <c r="T1151" s="12">
        <f>IF($H1151="Cancelled","",IFERROR(((Q1151+INDEX(Variables!$B$6:$D$6,IFERROR(MATCH(IF($B1151="Robusta","Robusta",(IF($B1151="","Arabica",$B1151))&amp;" - "&amp;(IF($C1151="","Commercial",$C1151))),Variables!$B$1:$D$1,0),1)))*22.0462)*(L1151/16.67),""))</f>
        <v>39546.14822315536</v>
      </c>
      <c r="U1151" s="10"/>
      <c r="V1151" s="9" t="str">
        <f t="shared" si="109"/>
        <v/>
      </c>
      <c r="W1151" s="10">
        <v>46006</v>
      </c>
      <c r="X1151" s="9" t="str">
        <f t="shared" si="108"/>
        <v>Approved</v>
      </c>
      <c r="Y1151" s="10">
        <v>46068</v>
      </c>
      <c r="Z1151" s="10">
        <f>IF($H1151="Cancelled","",IFERROR(IF(F1151="","",F1151-Variables!$B$13),""))</f>
        <v>46038</v>
      </c>
      <c r="AA1151" s="11">
        <f>IF($H1151="Cancelled","",IFERROR(IF(W1151="","",(AVERAGE(E1151:F1151)-W1151)-Variables!$B$14),""))</f>
        <v>2</v>
      </c>
      <c r="AB1151" s="10">
        <v>46092</v>
      </c>
      <c r="AC1151" s="11">
        <f>IF($H1151="Cancelled","",IFERROR(IF(AB1151="","",IF(AND(W1151="",Y1151=""),"",IF(Y1151&gt;W1151,Y1151+Variables!$B$15+Variables!$B$16+Variables!$B$17-AB1151,W1151+Variables!$B$16+Variables!$B$17-AB1151))),""))</f>
        <v>-9</v>
      </c>
      <c r="AD1151" s="9"/>
      <c r="AE1151" s="9" t="s">
        <v>2453</v>
      </c>
      <c r="AF1151" s="10"/>
      <c r="AG1151" s="10"/>
      <c r="AH1151" s="9"/>
      <c r="AI1151" s="9">
        <v>321600000900</v>
      </c>
      <c r="AJ1151" s="9"/>
      <c r="AK1151" s="10">
        <v>46101</v>
      </c>
      <c r="AL1151" s="10"/>
      <c r="AM1151" s="10"/>
      <c r="AN1151" s="9" t="s">
        <v>2454</v>
      </c>
      <c r="AO1151" s="9"/>
      <c r="AP1151" s="11">
        <f>IF($H1151="Cancelled","",IFERROR(IF(OR(AK1151="",AB1151=""),"",(AB1151+Variables!$B$18-AK1151)),""))</f>
        <v>-2</v>
      </c>
      <c r="AQ1151" s="11" t="str">
        <f>IF($H1151="Cancelled","",IFERROR(IF(OR(AM1151="",AK1151=""),"",(AK1151+Variables!$B$19)-AM1151),""))</f>
        <v/>
      </c>
      <c r="AR1151" s="12" t="str">
        <f>IF($H1151="Cancelled","",IFERROR(T1151*INDEX(Variables!$B$7:$D$7,IFERROR(MATCH(IF($B1151="Robusta","Robusta",(IF($B1151="","Arabica",$B1151))&amp;" - "&amp;(IF($C1151="","Commercial",$C1151))),Variables!$B$1:$D$1,0),1))*(AQ1151/365),""))</f>
        <v/>
      </c>
      <c r="AS1151" s="12">
        <f>IF($H1151="Cancelled","",IFERROR((T1151*INDEX(Variables!$B$7:$D$7,IFERROR(MATCH(IF($B1151="Robusta","Robusta",(IF($B1151="","Arabica",$B1151))&amp;" - "&amp;(IF($C1151="","Commercial",$C1151))),Variables!$B$1:$D$1,0),1))*IFERROR(IF(W1151="","",(AVERAGE(E1151:F1151)-W1151)-Variables!$B$14),"")/365)+(L1151/16.67*INDEX(Variables!$B$8:$D$8,IFERROR(MATCH(IF($B1151="Robusta","Robusta",(IF($B1151="","Arabica",$B1151))&amp;" - "&amp;(IF($C1151="","Commercial",$C1151))),Variables!$B$1:$D$1,0),1))*IFERROR(IF(W1151="","",(AVERAGE(E1151:F1151)-W1151)-Variables!$B$14),""))+(T1151*INDEX(Variables!$B$9:$D$9,IFERROR(MATCH(IF($B1151="Robusta","Robusta",(IF($B1151="","Arabica",$B1151))&amp;" - "&amp;(IF($C1151="","Commercial",$C1151))),Variables!$B$1:$D$1,0),1))*IFERROR(IF(W1151="","",(AVERAGE(E1151:F1151)-W1151)-Variables!$B$14),"")/365),""))</f>
        <v>22.952862202592097</v>
      </c>
      <c r="AT1151" s="12">
        <f>IF($H1151="Cancelled","",IFERROR((T1151*INDEX(Variables!$B$7:$D$7,IFERROR(MATCH(IF($B1151="Robusta","Robusta",(IF($B1151="","Arabica",$B1151))&amp;" - "&amp;(IF($C1151="","Commercial",$C1151))),Variables!$B$1:$D$1,0),1))*AC1151/365)+(L1151/16.67*INDEX(Variables!$B$8:$D$8,IFERROR(MATCH(IF($B1151="Robusta","Robusta",(IF($B1151="","Arabica",$B1151))&amp;" - "&amp;(IF($C1151="","Commercial",$C1151))),Variables!$B$1:$D$1,0),1))*AC1151)+(T1151*INDEX(Variables!$B$9:$D$9,IFERROR(MATCH(IF($B1151="Robusta","Robusta",(IF($B1151="","Arabica",$B1151))&amp;" - "&amp;(IF($C1151="","Commercial",$C1151))),Variables!$B$1:$D$1,0),1))*AC1151/365),""))</f>
        <v>-103.28787991166443</v>
      </c>
      <c r="AU1151" s="12">
        <f>IF($H1151="Cancelled","",IFERROR((T1151*INDEX(Variables!$B$7:$D$7,IFERROR(MATCH(IF($B1151="Robusta","Robusta",(IF($B1151="","Arabica",$B1151))&amp;" - "&amp;(IF($C1151="","Commercial",$C1151))),Variables!$B$1:$D$1,0),1))*AP1151/365)+(L1151/16.67*INDEX(Variables!$B$8:$D$8,IFERROR(MATCH(IF($B1151="Robusta","Robusta",(IF($B1151="","Arabica",$B1151))&amp;" - "&amp;(IF($C1151="","Commercial",$C1151))),Variables!$B$1:$D$1,0),1))*AP1151)+(T1151*INDEX(Variables!$B$9:$D$9,IFERROR(MATCH(IF($B1151="Robusta","Robusta",(IF($B1151="","Arabica",$B1151))&amp;" - "&amp;(IF($C1151="","Commercial",$C1151))),Variables!$B$1:$D$1,0),1))*AP1151/365),""))</f>
        <v>-22.952862202592097</v>
      </c>
      <c r="AV1151" s="11">
        <f t="shared" si="106"/>
        <v>-48</v>
      </c>
      <c r="AW1151" s="12">
        <f>IF($H1151="Cancelled","",IFERROR(IF(AV1151="","",(T1151*INDEX(Variables!$B$7:$D$7,IFERROR(MATCH(IF($B1151="Robusta","Robusta",(IF($B1151="","Arabica",$B1151))&amp;" - "&amp;(IF($C1151="","Commercial",$C1151))),Variables!$B$1:$D$1,0),1))*(AV1151/365))+(T1151*INDEX(Variables!$B$9:$D$9,IFERROR(MATCH(IF($B1151="Robusta","Robusta",(IF($B1151="","Arabica",$B1151))&amp;" - "&amp;(IF($C1151="","Commercial",$C1151))),Variables!$B$1:$D$1,0),1))*(AV1151/365))+(INDEX(Variables!$B$8:$D$8,IFERROR(MATCH(IF($B1151="Robusta","Robusta",(IF($B1151="","Arabica",$B1151))&amp;" - "&amp;(IF($C1151="","Commercial",$C1151))),Variables!$B$1:$D$1,0),1))*L1151/16.67)),""))</f>
        <v>-335.26869286221029</v>
      </c>
      <c r="AX1151" s="9"/>
      <c r="AY1151" s="12"/>
      <c r="AZ1151" s="10"/>
      <c r="BA1151" s="9"/>
      <c r="BB1151" s="10"/>
      <c r="BC1151" s="9"/>
      <c r="BD1151" s="9"/>
      <c r="BE1151" s="9"/>
      <c r="BF1151" s="9"/>
    </row>
    <row r="1152" spans="1:58" x14ac:dyDescent="0.25">
      <c r="A1152" s="9" t="s">
        <v>84</v>
      </c>
      <c r="B1152" s="9" t="s">
        <v>85</v>
      </c>
      <c r="C1152" s="9" t="s">
        <v>1486</v>
      </c>
      <c r="D1152" s="10">
        <v>46036</v>
      </c>
      <c r="E1152" s="10">
        <v>46054</v>
      </c>
      <c r="F1152" s="10">
        <v>46081</v>
      </c>
      <c r="G1152" s="9">
        <v>3787108</v>
      </c>
      <c r="H1152" s="9" t="str">
        <f t="shared" si="104"/>
        <v>Open</v>
      </c>
      <c r="I1152" s="9" t="str">
        <f t="shared" si="105"/>
        <v>No sailing date and No shipping advice sent and No docs dispatch date</v>
      </c>
      <c r="J1152" s="9" t="s">
        <v>1395</v>
      </c>
      <c r="K1152" s="9" t="s">
        <v>2456</v>
      </c>
      <c r="L1152" s="11">
        <v>20</v>
      </c>
      <c r="M1152" s="9" t="s">
        <v>2457</v>
      </c>
      <c r="N1152" s="9"/>
      <c r="O1152" s="9"/>
      <c r="P1152" s="9"/>
      <c r="Q1152" s="11">
        <v>195</v>
      </c>
      <c r="R1152" s="9" t="s">
        <v>195</v>
      </c>
      <c r="S1152" s="9" t="s">
        <v>458</v>
      </c>
      <c r="T1152" s="12">
        <f>IF($H1152="Cancelled","",IFERROR(((Q1152+INDEX(Variables!$B$6:$D$6,IFERROR(MATCH(IF($B1152="Robusta","Robusta",(IF($B1152="","Arabica",$B1152))&amp;" - "&amp;(IF($C1152="","Commercial",$C1152))),Variables!$B$1:$D$1,0),1)))*22.0462)*(L1152/16.67),""))</f>
        <v>12849.482855428912</v>
      </c>
      <c r="U1152" s="10"/>
      <c r="V1152" s="9" t="str">
        <f t="shared" si="109"/>
        <v/>
      </c>
      <c r="W1152" s="10">
        <v>46037</v>
      </c>
      <c r="X1152" s="9" t="str">
        <f t="shared" si="108"/>
        <v>Approved</v>
      </c>
      <c r="Y1152" s="10">
        <v>46094</v>
      </c>
      <c r="Z1152" s="10">
        <f>IF($H1152="Cancelled","",IFERROR(IF(F1152="","",F1152-Variables!$B$13),""))</f>
        <v>46066</v>
      </c>
      <c r="AA1152" s="11">
        <f>IF($H1152="Cancelled","",IFERROR(IF(W1152="","",(AVERAGE(E1152:F1152)-W1152)-Variables!$B$14),""))</f>
        <v>0.5</v>
      </c>
      <c r="AB1152" s="10">
        <v>46115</v>
      </c>
      <c r="AC1152" s="11">
        <f>IF($H1152="Cancelled","",IFERROR(IF(AB1152="","",IF(AND(W1152="",Y1152=""),"",IF(Y1152&gt;W1152,Y1152+Variables!$B$15+Variables!$B$16+Variables!$B$17-AB1152,W1152+Variables!$B$16+Variables!$B$17-AB1152))),""))</f>
        <v>-6</v>
      </c>
      <c r="AD1152" s="9" t="s">
        <v>151</v>
      </c>
      <c r="AE1152" s="9"/>
      <c r="AF1152" s="10"/>
      <c r="AG1152" s="10"/>
      <c r="AH1152" s="9"/>
      <c r="AI1152" s="9"/>
      <c r="AJ1152" s="9"/>
      <c r="AK1152" s="10"/>
      <c r="AL1152" s="10"/>
      <c r="AM1152" s="10"/>
      <c r="AN1152" s="9" t="s">
        <v>1188</v>
      </c>
      <c r="AO1152" s="9"/>
      <c r="AP1152" s="11" t="str">
        <f>IF($H1152="Cancelled","",IFERROR(IF(OR(AK1152="",AB1152=""),"",(AB1152+Variables!$B$18-AK1152)),""))</f>
        <v/>
      </c>
      <c r="AQ1152" s="11" t="str">
        <f>IF($H1152="Cancelled","",IFERROR(IF(OR(AM1152="",AK1152=""),"",(AK1152+Variables!$B$19)-AM1152),""))</f>
        <v/>
      </c>
      <c r="AR1152" s="12" t="str">
        <f>IF($H1152="Cancelled","",IFERROR(T1152*INDEX(Variables!$B$7:$D$7,IFERROR(MATCH(IF($B1152="Robusta","Robusta",(IF($B1152="","Arabica",$B1152))&amp;" - "&amp;(IF($C1152="","Commercial",$C1152))),Variables!$B$1:$D$1,0),1))*(AQ1152/365),""))</f>
        <v/>
      </c>
      <c r="AS1152" s="12">
        <f>IF($H1152="Cancelled","",IFERROR((T1152*INDEX(Variables!$B$7:$D$7,IFERROR(MATCH(IF($B1152="Robusta","Robusta",(IF($B1152="","Arabica",$B1152))&amp;" - "&amp;(IF($C1152="","Commercial",$C1152))),Variables!$B$1:$D$1,0),1))*IFERROR(IF(W1152="","",(AVERAGE(E1152:F1152)-W1152)-Variables!$B$14),"")/365)+(L1152/16.67*INDEX(Variables!$B$8:$D$8,IFERROR(MATCH(IF($B1152="Robusta","Robusta",(IF($B1152="","Arabica",$B1152))&amp;" - "&amp;(IF($C1152="","Commercial",$C1152))),Variables!$B$1:$D$1,0),1))*IFERROR(IF(W1152="","",(AVERAGE(E1152:F1152)-W1152)-Variables!$B$14),""))+(T1152*INDEX(Variables!$B$9:$D$9,IFERROR(MATCH(IF($B1152="Robusta","Robusta",(IF($B1152="","Arabica",$B1152))&amp;" - "&amp;(IF($C1152="","Commercial",$C1152))),Variables!$B$1:$D$1,0),1))*IFERROR(IF(W1152="","",(AVERAGE(E1152:F1152)-W1152)-Variables!$B$14),"")/365),""))</f>
        <v>1.6496502718877484</v>
      </c>
      <c r="AT1152" s="12">
        <f>IF($H1152="Cancelled","",IFERROR((T1152*INDEX(Variables!$B$7:$D$7,IFERROR(MATCH(IF($B1152="Robusta","Robusta",(IF($B1152="","Arabica",$B1152))&amp;" - "&amp;(IF($C1152="","Commercial",$C1152))),Variables!$B$1:$D$1,0),1))*AC1152/365)+(L1152/16.67*INDEX(Variables!$B$8:$D$8,IFERROR(MATCH(IF($B1152="Robusta","Robusta",(IF($B1152="","Arabica",$B1152))&amp;" - "&amp;(IF($C1152="","Commercial",$C1152))),Variables!$B$1:$D$1,0),1))*AC1152)+(T1152*INDEX(Variables!$B$9:$D$9,IFERROR(MATCH(IF($B1152="Robusta","Robusta",(IF($B1152="","Arabica",$B1152))&amp;" - "&amp;(IF($C1152="","Commercial",$C1152))),Variables!$B$1:$D$1,0),1))*AC1152/365),""))</f>
        <v>-19.795803262652981</v>
      </c>
      <c r="AU1152" s="12" t="str">
        <f>IF($H1152="Cancelled","",IFERROR((T1152*INDEX(Variables!$B$7:$D$7,IFERROR(MATCH(IF($B1152="Robusta","Robusta",(IF($B1152="","Arabica",$B1152))&amp;" - "&amp;(IF($C1152="","Commercial",$C1152))),Variables!$B$1:$D$1,0),1))*AP1152/365)+(L1152/16.67*INDEX(Variables!$B$8:$D$8,IFERROR(MATCH(IF($B1152="Robusta","Robusta",(IF($B1152="","Arabica",$B1152))&amp;" - "&amp;(IF($C1152="","Commercial",$C1152))),Variables!$B$1:$D$1,0),1))*AP1152)+(T1152*INDEX(Variables!$B$9:$D$9,IFERROR(MATCH(IF($B1152="Robusta","Robusta",(IF($B1152="","Arabica",$B1152))&amp;" - "&amp;(IF($C1152="","Commercial",$C1152))),Variables!$B$1:$D$1,0),1))*AP1152/365),""))</f>
        <v/>
      </c>
      <c r="AV1152" s="11" t="str">
        <f t="shared" si="106"/>
        <v/>
      </c>
      <c r="AW1152" s="12" t="str">
        <f>IF($H1152="Cancelled","",IFERROR(IF(AV1152="","",(T1152*INDEX(Variables!$B$7:$D$7,IFERROR(MATCH(IF($B1152="Robusta","Robusta",(IF($B1152="","Arabica",$B1152))&amp;" - "&amp;(IF($C1152="","Commercial",$C1152))),Variables!$B$1:$D$1,0),1))*(AV1152/365))+(T1152*INDEX(Variables!$B$9:$D$9,IFERROR(MATCH(IF($B1152="Robusta","Robusta",(IF($B1152="","Arabica",$B1152))&amp;" - "&amp;(IF($C1152="","Commercial",$C1152))),Variables!$B$1:$D$1,0),1))*(AV1152/365))+(INDEX(Variables!$B$8:$D$8,IFERROR(MATCH(IF($B1152="Robusta","Robusta",(IF($B1152="","Arabica",$B1152))&amp;" - "&amp;(IF($C1152="","Commercial",$C1152))),Variables!$B$1:$D$1,0),1))*L1152/16.67)),""))</f>
        <v/>
      </c>
      <c r="AX1152" s="9"/>
      <c r="AY1152" s="12"/>
      <c r="AZ1152" s="10"/>
      <c r="BA1152" s="9"/>
      <c r="BB1152" s="10"/>
      <c r="BC1152" s="9"/>
      <c r="BD1152" s="9"/>
      <c r="BE1152" s="9"/>
      <c r="BF1152" s="9"/>
    </row>
    <row r="1153" spans="1:58" x14ac:dyDescent="0.25">
      <c r="A1153" s="9" t="s">
        <v>84</v>
      </c>
      <c r="B1153" s="9" t="s">
        <v>85</v>
      </c>
      <c r="C1153" s="9" t="s">
        <v>1486</v>
      </c>
      <c r="D1153" s="10">
        <v>46036</v>
      </c>
      <c r="E1153" s="10">
        <v>46054</v>
      </c>
      <c r="F1153" s="10">
        <v>46081</v>
      </c>
      <c r="G1153" s="9">
        <v>3787111</v>
      </c>
      <c r="H1153" s="9" t="str">
        <f t="shared" si="104"/>
        <v>Open</v>
      </c>
      <c r="I1153" s="9" t="str">
        <f t="shared" si="105"/>
        <v>No sailing date and No shipping advice sent and No docs dispatch date</v>
      </c>
      <c r="J1153" s="9" t="s">
        <v>1395</v>
      </c>
      <c r="K1153" s="9" t="s">
        <v>2458</v>
      </c>
      <c r="L1153" s="11">
        <v>5</v>
      </c>
      <c r="M1153" s="9" t="s">
        <v>2459</v>
      </c>
      <c r="N1153" s="9"/>
      <c r="O1153" s="9"/>
      <c r="P1153" s="9"/>
      <c r="Q1153" s="11">
        <v>166</v>
      </c>
      <c r="R1153" s="9" t="s">
        <v>195</v>
      </c>
      <c r="S1153" s="9" t="s">
        <v>458</v>
      </c>
      <c r="T1153" s="12">
        <f>IF($H1153="Cancelled","",IFERROR(((Q1153+INDEX(Variables!$B$6:$D$6,IFERROR(MATCH(IF($B1153="Robusta","Robusta",(IF($B1153="","Arabica",$B1153))&amp;" - "&amp;(IF($C1153="","Commercial",$C1153))),Variables!$B$1:$D$1,0),1)))*22.0462)*(L1153/16.67),""))</f>
        <v>3020.6071265746846</v>
      </c>
      <c r="U1153" s="10"/>
      <c r="V1153" s="9" t="str">
        <f t="shared" si="109"/>
        <v/>
      </c>
      <c r="W1153" s="10">
        <v>46037</v>
      </c>
      <c r="X1153" s="9" t="str">
        <f t="shared" ref="X1153:X1184" si="110">IF(ISNUMBER(W1153),"Approved","")</f>
        <v>Approved</v>
      </c>
      <c r="Y1153" s="10">
        <v>46094</v>
      </c>
      <c r="Z1153" s="10">
        <f>IF($H1153="Cancelled","",IFERROR(IF(F1153="","",F1153-Variables!$B$13),""))</f>
        <v>46066</v>
      </c>
      <c r="AA1153" s="11">
        <f>IF($H1153="Cancelled","",IFERROR(IF(W1153="","",(AVERAGE(E1153:F1153)-W1153)-Variables!$B$14),""))</f>
        <v>0.5</v>
      </c>
      <c r="AB1153" s="10">
        <v>46115</v>
      </c>
      <c r="AC1153" s="11">
        <f>IF($H1153="Cancelled","",IFERROR(IF(AB1153="","",IF(AND(W1153="",Y1153=""),"",IF(Y1153&gt;W1153,Y1153+Variables!$B$15+Variables!$B$16+Variables!$B$17-AB1153,W1153+Variables!$B$16+Variables!$B$17-AB1153))),""))</f>
        <v>-6</v>
      </c>
      <c r="AD1153" s="9" t="s">
        <v>151</v>
      </c>
      <c r="AE1153" s="9"/>
      <c r="AF1153" s="10"/>
      <c r="AG1153" s="10"/>
      <c r="AH1153" s="9"/>
      <c r="AI1153" s="9"/>
      <c r="AJ1153" s="9"/>
      <c r="AK1153" s="10"/>
      <c r="AL1153" s="10"/>
      <c r="AM1153" s="10"/>
      <c r="AN1153" s="9" t="s">
        <v>1188</v>
      </c>
      <c r="AO1153" s="9"/>
      <c r="AP1153" s="11" t="str">
        <f>IF($H1153="Cancelled","",IFERROR(IF(OR(AK1153="",AB1153=""),"",(AB1153+Variables!$B$18-AK1153)),""))</f>
        <v/>
      </c>
      <c r="AQ1153" s="11" t="str">
        <f>IF($H1153="Cancelled","",IFERROR(IF(OR(AM1153="",AK1153=""),"",(AK1153+Variables!$B$19)-AM1153),""))</f>
        <v/>
      </c>
      <c r="AR1153" s="12" t="str">
        <f>IF($H1153="Cancelled","",IFERROR(T1153*INDEX(Variables!$B$7:$D$7,IFERROR(MATCH(IF($B1153="Robusta","Robusta",(IF($B1153="","Arabica",$B1153))&amp;" - "&amp;(IF($C1153="","Commercial",$C1153))),Variables!$B$1:$D$1,0),1))*(AQ1153/365),""))</f>
        <v/>
      </c>
      <c r="AS1153" s="12">
        <f>IF($H1153="Cancelled","",IFERROR((T1153*INDEX(Variables!$B$7:$D$7,IFERROR(MATCH(IF($B1153="Robusta","Robusta",(IF($B1153="","Arabica",$B1153))&amp;" - "&amp;(IF($C1153="","Commercial",$C1153))),Variables!$B$1:$D$1,0),1))*IFERROR(IF(W1153="","",(AVERAGE(E1153:F1153)-W1153)-Variables!$B$14),"")/365)+(L1153/16.67*INDEX(Variables!$B$8:$D$8,IFERROR(MATCH(IF($B1153="Robusta","Robusta",(IF($B1153="","Arabica",$B1153))&amp;" - "&amp;(IF($C1153="","Commercial",$C1153))),Variables!$B$1:$D$1,0),1))*IFERROR(IF(W1153="","",(AVERAGE(E1153:F1153)-W1153)-Variables!$B$14),""))+(T1153*INDEX(Variables!$B$9:$D$9,IFERROR(MATCH(IF($B1153="Robusta","Robusta",(IF($B1153="","Arabica",$B1153))&amp;" - "&amp;(IF($C1153="","Commercial",$C1153))),Variables!$B$1:$D$1,0),1))*IFERROR(IF(W1153="","",(AVERAGE(E1153:F1153)-W1153)-Variables!$B$14),"")/365),""))</f>
        <v>0.3952553747418297</v>
      </c>
      <c r="AT1153" s="12">
        <f>IF($H1153="Cancelled","",IFERROR((T1153*INDEX(Variables!$B$7:$D$7,IFERROR(MATCH(IF($B1153="Robusta","Robusta",(IF($B1153="","Arabica",$B1153))&amp;" - "&amp;(IF($C1153="","Commercial",$C1153))),Variables!$B$1:$D$1,0),1))*AC1153/365)+(L1153/16.67*INDEX(Variables!$B$8:$D$8,IFERROR(MATCH(IF($B1153="Robusta","Robusta",(IF($B1153="","Arabica",$B1153))&amp;" - "&amp;(IF($C1153="","Commercial",$C1153))),Variables!$B$1:$D$1,0),1))*AC1153)+(T1153*INDEX(Variables!$B$9:$D$9,IFERROR(MATCH(IF($B1153="Robusta","Robusta",(IF($B1153="","Arabica",$B1153))&amp;" - "&amp;(IF($C1153="","Commercial",$C1153))),Variables!$B$1:$D$1,0),1))*AC1153/365),""))</f>
        <v>-4.7430644969019564</v>
      </c>
      <c r="AU1153" s="12" t="str">
        <f>IF($H1153="Cancelled","",IFERROR((T1153*INDEX(Variables!$B$7:$D$7,IFERROR(MATCH(IF($B1153="Robusta","Robusta",(IF($B1153="","Arabica",$B1153))&amp;" - "&amp;(IF($C1153="","Commercial",$C1153))),Variables!$B$1:$D$1,0),1))*AP1153/365)+(L1153/16.67*INDEX(Variables!$B$8:$D$8,IFERROR(MATCH(IF($B1153="Robusta","Robusta",(IF($B1153="","Arabica",$B1153))&amp;" - "&amp;(IF($C1153="","Commercial",$C1153))),Variables!$B$1:$D$1,0),1))*AP1153)+(T1153*INDEX(Variables!$B$9:$D$9,IFERROR(MATCH(IF($B1153="Robusta","Robusta",(IF($B1153="","Arabica",$B1153))&amp;" - "&amp;(IF($C1153="","Commercial",$C1153))),Variables!$B$1:$D$1,0),1))*AP1153/365),""))</f>
        <v/>
      </c>
      <c r="AV1153" s="11" t="str">
        <f t="shared" si="106"/>
        <v/>
      </c>
      <c r="AW1153" s="12" t="str">
        <f>IF($H1153="Cancelled","",IFERROR(IF(AV1153="","",(T1153*INDEX(Variables!$B$7:$D$7,IFERROR(MATCH(IF($B1153="Robusta","Robusta",(IF($B1153="","Arabica",$B1153))&amp;" - "&amp;(IF($C1153="","Commercial",$C1153))),Variables!$B$1:$D$1,0),1))*(AV1153/365))+(T1153*INDEX(Variables!$B$9:$D$9,IFERROR(MATCH(IF($B1153="Robusta","Robusta",(IF($B1153="","Arabica",$B1153))&amp;" - "&amp;(IF($C1153="","Commercial",$C1153))),Variables!$B$1:$D$1,0),1))*(AV1153/365))+(INDEX(Variables!$B$8:$D$8,IFERROR(MATCH(IF($B1153="Robusta","Robusta",(IF($B1153="","Arabica",$B1153))&amp;" - "&amp;(IF($C1153="","Commercial",$C1153))),Variables!$B$1:$D$1,0),1))*L1153/16.67)),""))</f>
        <v/>
      </c>
      <c r="AX1153" s="9"/>
      <c r="AY1153" s="12"/>
      <c r="AZ1153" s="10"/>
      <c r="BA1153" s="9"/>
      <c r="BB1153" s="10"/>
      <c r="BC1153" s="9"/>
      <c r="BD1153" s="9"/>
      <c r="BE1153" s="9"/>
      <c r="BF1153" s="9"/>
    </row>
    <row r="1154" spans="1:58" x14ac:dyDescent="0.25">
      <c r="A1154" s="9" t="s">
        <v>84</v>
      </c>
      <c r="B1154" s="9" t="s">
        <v>85</v>
      </c>
      <c r="C1154" s="9" t="s">
        <v>1486</v>
      </c>
      <c r="D1154" s="10">
        <v>46036</v>
      </c>
      <c r="E1154" s="10">
        <v>46054</v>
      </c>
      <c r="F1154" s="10">
        <v>46081</v>
      </c>
      <c r="G1154" s="9">
        <v>3787109</v>
      </c>
      <c r="H1154" s="9" t="str">
        <f t="shared" ref="H1154:H1217" si="111">IF(ISNUMBER(SEARCH("cancel",AN1154)),"Cancelled",IF(AND(AK1154&lt;&gt;"",AL1154&lt;&gt;"",AM1154&lt;&gt;""),"Closed","Open"))</f>
        <v>Open</v>
      </c>
      <c r="I1154" s="9" t="str">
        <f t="shared" ref="I1154:I1217" si="112">IF(AND(AK1154&lt;&gt;"",AL1154&lt;&gt;"",AM1154&lt;&gt;""),"All dates received",_xlfn.TEXTJOIN(" and ",TRUE(),IF(AK1154="","No sailing date",""),IF(AL1154="","No shipping advice sent",""),IF(AM1154="","No docs dispatch date","")))</f>
        <v>No sailing date and No shipping advice sent and No docs dispatch date</v>
      </c>
      <c r="J1154" s="9" t="s">
        <v>1395</v>
      </c>
      <c r="K1154" s="9" t="s">
        <v>2460</v>
      </c>
      <c r="L1154" s="11">
        <v>10</v>
      </c>
      <c r="M1154" s="9" t="s">
        <v>2457</v>
      </c>
      <c r="N1154" s="9"/>
      <c r="O1154" s="9"/>
      <c r="P1154" s="9"/>
      <c r="Q1154" s="11">
        <v>195</v>
      </c>
      <c r="R1154" s="9" t="s">
        <v>195</v>
      </c>
      <c r="S1154" s="9" t="s">
        <v>458</v>
      </c>
      <c r="T1154" s="12">
        <f>IF($H1154="Cancelled","",IFERROR(((Q1154+INDEX(Variables!$B$6:$D$6,IFERROR(MATCH(IF($B1154="Robusta","Robusta",(IF($B1154="","Arabica",$B1154))&amp;" - "&amp;(IF($C1154="","Commercial",$C1154))),Variables!$B$1:$D$1,0),1)))*22.0462)*(L1154/16.67),""))</f>
        <v>6424.7414277144562</v>
      </c>
      <c r="U1154" s="10"/>
      <c r="V1154" s="9" t="str">
        <f t="shared" ref="V1154:V1185" si="113">IF(ISNUMBER(U1154),"Sent","")</f>
        <v/>
      </c>
      <c r="W1154" s="10">
        <v>46037</v>
      </c>
      <c r="X1154" s="9" t="str">
        <f t="shared" si="110"/>
        <v>Approved</v>
      </c>
      <c r="Y1154" s="10">
        <v>46094</v>
      </c>
      <c r="Z1154" s="10">
        <f>IF($H1154="Cancelled","",IFERROR(IF(F1154="","",F1154-Variables!$B$13),""))</f>
        <v>46066</v>
      </c>
      <c r="AA1154" s="11">
        <f>IF($H1154="Cancelled","",IFERROR(IF(W1154="","",(AVERAGE(E1154:F1154)-W1154)-Variables!$B$14),""))</f>
        <v>0.5</v>
      </c>
      <c r="AB1154" s="10">
        <v>46115</v>
      </c>
      <c r="AC1154" s="11">
        <f>IF($H1154="Cancelled","",IFERROR(IF(AB1154="","",IF(AND(W1154="",Y1154=""),"",IF(Y1154&gt;W1154,Y1154+Variables!$B$15+Variables!$B$16+Variables!$B$17-AB1154,W1154+Variables!$B$16+Variables!$B$17-AB1154))),""))</f>
        <v>-6</v>
      </c>
      <c r="AD1154" s="9" t="s">
        <v>151</v>
      </c>
      <c r="AE1154" s="9"/>
      <c r="AF1154" s="10"/>
      <c r="AG1154" s="10"/>
      <c r="AH1154" s="9"/>
      <c r="AI1154" s="9"/>
      <c r="AJ1154" s="9"/>
      <c r="AK1154" s="10"/>
      <c r="AL1154" s="10"/>
      <c r="AM1154" s="10"/>
      <c r="AN1154" s="9" t="s">
        <v>1188</v>
      </c>
      <c r="AO1154" s="9"/>
      <c r="AP1154" s="11" t="str">
        <f>IF($H1154="Cancelled","",IFERROR(IF(OR(AK1154="",AB1154=""),"",(AB1154+Variables!$B$18-AK1154)),""))</f>
        <v/>
      </c>
      <c r="AQ1154" s="11" t="str">
        <f>IF($H1154="Cancelled","",IFERROR(IF(OR(AM1154="",AK1154=""),"",(AK1154+Variables!$B$19)-AM1154),""))</f>
        <v/>
      </c>
      <c r="AR1154" s="12" t="str">
        <f>IF($H1154="Cancelled","",IFERROR(T1154*INDEX(Variables!$B$7:$D$7,IFERROR(MATCH(IF($B1154="Robusta","Robusta",(IF($B1154="","Arabica",$B1154))&amp;" - "&amp;(IF($C1154="","Commercial",$C1154))),Variables!$B$1:$D$1,0),1))*(AQ1154/365),""))</f>
        <v/>
      </c>
      <c r="AS1154" s="12">
        <f>IF($H1154="Cancelled","",IFERROR((T1154*INDEX(Variables!$B$7:$D$7,IFERROR(MATCH(IF($B1154="Robusta","Robusta",(IF($B1154="","Arabica",$B1154))&amp;" - "&amp;(IF($C1154="","Commercial",$C1154))),Variables!$B$1:$D$1,0),1))*IFERROR(IF(W1154="","",(AVERAGE(E1154:F1154)-W1154)-Variables!$B$14),"")/365)+(L1154/16.67*INDEX(Variables!$B$8:$D$8,IFERROR(MATCH(IF($B1154="Robusta","Robusta",(IF($B1154="","Arabica",$B1154))&amp;" - "&amp;(IF($C1154="","Commercial",$C1154))),Variables!$B$1:$D$1,0),1))*IFERROR(IF(W1154="","",(AVERAGE(E1154:F1154)-W1154)-Variables!$B$14),""))+(T1154*INDEX(Variables!$B$9:$D$9,IFERROR(MATCH(IF($B1154="Robusta","Robusta",(IF($B1154="","Arabica",$B1154))&amp;" - "&amp;(IF($C1154="","Commercial",$C1154))),Variables!$B$1:$D$1,0),1))*IFERROR(IF(W1154="","",(AVERAGE(E1154:F1154)-W1154)-Variables!$B$14),"")/365),""))</f>
        <v>0.82482513594387419</v>
      </c>
      <c r="AT1154" s="12">
        <f>IF($H1154="Cancelled","",IFERROR((T1154*INDEX(Variables!$B$7:$D$7,IFERROR(MATCH(IF($B1154="Robusta","Robusta",(IF($B1154="","Arabica",$B1154))&amp;" - "&amp;(IF($C1154="","Commercial",$C1154))),Variables!$B$1:$D$1,0),1))*AC1154/365)+(L1154/16.67*INDEX(Variables!$B$8:$D$8,IFERROR(MATCH(IF($B1154="Robusta","Robusta",(IF($B1154="","Arabica",$B1154))&amp;" - "&amp;(IF($C1154="","Commercial",$C1154))),Variables!$B$1:$D$1,0),1))*AC1154)+(T1154*INDEX(Variables!$B$9:$D$9,IFERROR(MATCH(IF($B1154="Robusta","Robusta",(IF($B1154="","Arabica",$B1154))&amp;" - "&amp;(IF($C1154="","Commercial",$C1154))),Variables!$B$1:$D$1,0),1))*AC1154/365),""))</f>
        <v>-9.8979016313264907</v>
      </c>
      <c r="AU1154" s="12" t="str">
        <f>IF($H1154="Cancelled","",IFERROR((T1154*INDEX(Variables!$B$7:$D$7,IFERROR(MATCH(IF($B1154="Robusta","Robusta",(IF($B1154="","Arabica",$B1154))&amp;" - "&amp;(IF($C1154="","Commercial",$C1154))),Variables!$B$1:$D$1,0),1))*AP1154/365)+(L1154/16.67*INDEX(Variables!$B$8:$D$8,IFERROR(MATCH(IF($B1154="Robusta","Robusta",(IF($B1154="","Arabica",$B1154))&amp;" - "&amp;(IF($C1154="","Commercial",$C1154))),Variables!$B$1:$D$1,0),1))*AP1154)+(T1154*INDEX(Variables!$B$9:$D$9,IFERROR(MATCH(IF($B1154="Robusta","Robusta",(IF($B1154="","Arabica",$B1154))&amp;" - "&amp;(IF($C1154="","Commercial",$C1154))),Variables!$B$1:$D$1,0),1))*AP1154/365),""))</f>
        <v/>
      </c>
      <c r="AV1154" s="11" t="str">
        <f t="shared" ref="AV1154:AV1217" si="114">IF($H1154="Cancelled","",IFERROR(IF(AK1154="","",F1154-AK1154),""))</f>
        <v/>
      </c>
      <c r="AW1154" s="12" t="str">
        <f>IF($H1154="Cancelled","",IFERROR(IF(AV1154="","",(T1154*INDEX(Variables!$B$7:$D$7,IFERROR(MATCH(IF($B1154="Robusta","Robusta",(IF($B1154="","Arabica",$B1154))&amp;" - "&amp;(IF($C1154="","Commercial",$C1154))),Variables!$B$1:$D$1,0),1))*(AV1154/365))+(T1154*INDEX(Variables!$B$9:$D$9,IFERROR(MATCH(IF($B1154="Robusta","Robusta",(IF($B1154="","Arabica",$B1154))&amp;" - "&amp;(IF($C1154="","Commercial",$C1154))),Variables!$B$1:$D$1,0),1))*(AV1154/365))+(INDEX(Variables!$B$8:$D$8,IFERROR(MATCH(IF($B1154="Robusta","Robusta",(IF($B1154="","Arabica",$B1154))&amp;" - "&amp;(IF($C1154="","Commercial",$C1154))),Variables!$B$1:$D$1,0),1))*L1154/16.67)),""))</f>
        <v/>
      </c>
      <c r="AX1154" s="9"/>
      <c r="AY1154" s="12"/>
      <c r="AZ1154" s="10"/>
      <c r="BA1154" s="9"/>
      <c r="BB1154" s="10"/>
      <c r="BC1154" s="9"/>
      <c r="BD1154" s="9"/>
      <c r="BE1154" s="9"/>
      <c r="BF1154" s="9"/>
    </row>
    <row r="1155" spans="1:58" x14ac:dyDescent="0.25">
      <c r="A1155" s="9" t="s">
        <v>84</v>
      </c>
      <c r="B1155" s="9" t="s">
        <v>85</v>
      </c>
      <c r="C1155" s="9" t="s">
        <v>1486</v>
      </c>
      <c r="D1155" s="10">
        <v>46036</v>
      </c>
      <c r="E1155" s="10">
        <v>46054</v>
      </c>
      <c r="F1155" s="10">
        <v>46081</v>
      </c>
      <c r="G1155" s="9">
        <v>3787110</v>
      </c>
      <c r="H1155" s="9" t="str">
        <f t="shared" si="111"/>
        <v>Open</v>
      </c>
      <c r="I1155" s="9" t="str">
        <f t="shared" si="112"/>
        <v>No sailing date and No shipping advice sent and No docs dispatch date</v>
      </c>
      <c r="J1155" s="9" t="s">
        <v>1395</v>
      </c>
      <c r="K1155" s="9" t="s">
        <v>2461</v>
      </c>
      <c r="L1155" s="11">
        <v>9</v>
      </c>
      <c r="M1155" s="9" t="s">
        <v>2462</v>
      </c>
      <c r="N1155" s="9"/>
      <c r="O1155" s="9"/>
      <c r="P1155" s="9"/>
      <c r="Q1155" s="11">
        <v>167</v>
      </c>
      <c r="R1155" s="9" t="s">
        <v>195</v>
      </c>
      <c r="S1155" s="9" t="s">
        <v>458</v>
      </c>
      <c r="T1155" s="12">
        <f>IF($H1155="Cancelled","",IFERROR(((Q1155+INDEX(Variables!$B$6:$D$6,IFERROR(MATCH(IF($B1155="Robusta","Robusta",(IF($B1155="","Arabica",$B1155))&amp;" - "&amp;(IF($C1155="","Commercial",$C1155))),Variables!$B$1:$D$1,0),1)))*22.0462)*(L1155/16.67),""))</f>
        <v>5448.9953953209351</v>
      </c>
      <c r="U1155" s="10"/>
      <c r="V1155" s="9" t="str">
        <f t="shared" si="113"/>
        <v/>
      </c>
      <c r="W1155" s="10">
        <v>46037</v>
      </c>
      <c r="X1155" s="9" t="str">
        <f t="shared" si="110"/>
        <v>Approved</v>
      </c>
      <c r="Y1155" s="10">
        <v>46094</v>
      </c>
      <c r="Z1155" s="10">
        <f>IF($H1155="Cancelled","",IFERROR(IF(F1155="","",F1155-Variables!$B$13),""))</f>
        <v>46066</v>
      </c>
      <c r="AA1155" s="11">
        <f>IF($H1155="Cancelled","",IFERROR(IF(W1155="","",(AVERAGE(E1155:F1155)-W1155)-Variables!$B$14),""))</f>
        <v>0.5</v>
      </c>
      <c r="AB1155" s="10">
        <v>46115</v>
      </c>
      <c r="AC1155" s="11">
        <f>IF($H1155="Cancelled","",IFERROR(IF(AB1155="","",IF(AND(W1155="",Y1155=""),"",IF(Y1155&gt;W1155,Y1155+Variables!$B$15+Variables!$B$16+Variables!$B$17-AB1155,W1155+Variables!$B$16+Variables!$B$17-AB1155))),""))</f>
        <v>-6</v>
      </c>
      <c r="AD1155" s="9" t="s">
        <v>151</v>
      </c>
      <c r="AE1155" s="9"/>
      <c r="AF1155" s="10"/>
      <c r="AG1155" s="10"/>
      <c r="AH1155" s="9"/>
      <c r="AI1155" s="9"/>
      <c r="AJ1155" s="9"/>
      <c r="AK1155" s="10"/>
      <c r="AL1155" s="10"/>
      <c r="AM1155" s="10"/>
      <c r="AN1155" s="9" t="s">
        <v>1188</v>
      </c>
      <c r="AO1155" s="9"/>
      <c r="AP1155" s="11" t="str">
        <f>IF($H1155="Cancelled","",IFERROR(IF(OR(AK1155="",AB1155=""),"",(AB1155+Variables!$B$18-AK1155)),""))</f>
        <v/>
      </c>
      <c r="AQ1155" s="11" t="str">
        <f>IF($H1155="Cancelled","",IFERROR(IF(OR(AM1155="",AK1155=""),"",(AK1155+Variables!$B$19)-AM1155),""))</f>
        <v/>
      </c>
      <c r="AR1155" s="12" t="str">
        <f>IF($H1155="Cancelled","",IFERROR(T1155*INDEX(Variables!$B$7:$D$7,IFERROR(MATCH(IF($B1155="Robusta","Robusta",(IF($B1155="","Arabica",$B1155))&amp;" - "&amp;(IF($C1155="","Commercial",$C1155))),Variables!$B$1:$D$1,0),1))*(AQ1155/365),""))</f>
        <v/>
      </c>
      <c r="AS1155" s="12">
        <f>IF($H1155="Cancelled","",IFERROR((T1155*INDEX(Variables!$B$7:$D$7,IFERROR(MATCH(IF($B1155="Robusta","Robusta",(IF($B1155="","Arabica",$B1155))&amp;" - "&amp;(IF($C1155="","Commercial",$C1155))),Variables!$B$1:$D$1,0),1))*IFERROR(IF(W1155="","",(AVERAGE(E1155:F1155)-W1155)-Variables!$B$14),"")/365)+(L1155/16.67*INDEX(Variables!$B$8:$D$8,IFERROR(MATCH(IF($B1155="Robusta","Robusta",(IF($B1155="","Arabica",$B1155))&amp;" - "&amp;(IF($C1155="","Commercial",$C1155))),Variables!$B$1:$D$1,0),1))*IFERROR(IF(W1155="","",(AVERAGE(E1155:F1155)-W1155)-Variables!$B$14),""))+(T1155*INDEX(Variables!$B$9:$D$9,IFERROR(MATCH(IF($B1155="Robusta","Robusta",(IF($B1155="","Arabica",$B1155))&amp;" - "&amp;(IF($C1155="","Commercial",$C1155))),Variables!$B$1:$D$1,0),1))*IFERROR(IF(W1155="","",(AVERAGE(E1155:F1155)-W1155)-Variables!$B$14),"")/365),""))</f>
        <v>0.71252460377026583</v>
      </c>
      <c r="AT1155" s="12">
        <f>IF($H1155="Cancelled","",IFERROR((T1155*INDEX(Variables!$B$7:$D$7,IFERROR(MATCH(IF($B1155="Robusta","Robusta",(IF($B1155="","Arabica",$B1155))&amp;" - "&amp;(IF($C1155="","Commercial",$C1155))),Variables!$B$1:$D$1,0),1))*AC1155/365)+(L1155/16.67*INDEX(Variables!$B$8:$D$8,IFERROR(MATCH(IF($B1155="Robusta","Robusta",(IF($B1155="","Arabica",$B1155))&amp;" - "&amp;(IF($C1155="","Commercial",$C1155))),Variables!$B$1:$D$1,0),1))*AC1155)+(T1155*INDEX(Variables!$B$9:$D$9,IFERROR(MATCH(IF($B1155="Robusta","Robusta",(IF($B1155="","Arabica",$B1155))&amp;" - "&amp;(IF($C1155="","Commercial",$C1155))),Variables!$B$1:$D$1,0),1))*AC1155/365),""))</f>
        <v>-8.5502952452431877</v>
      </c>
      <c r="AU1155" s="12" t="str">
        <f>IF($H1155="Cancelled","",IFERROR((T1155*INDEX(Variables!$B$7:$D$7,IFERROR(MATCH(IF($B1155="Robusta","Robusta",(IF($B1155="","Arabica",$B1155))&amp;" - "&amp;(IF($C1155="","Commercial",$C1155))),Variables!$B$1:$D$1,0),1))*AP1155/365)+(L1155/16.67*INDEX(Variables!$B$8:$D$8,IFERROR(MATCH(IF($B1155="Robusta","Robusta",(IF($B1155="","Arabica",$B1155))&amp;" - "&amp;(IF($C1155="","Commercial",$C1155))),Variables!$B$1:$D$1,0),1))*AP1155)+(T1155*INDEX(Variables!$B$9:$D$9,IFERROR(MATCH(IF($B1155="Robusta","Robusta",(IF($B1155="","Arabica",$B1155))&amp;" - "&amp;(IF($C1155="","Commercial",$C1155))),Variables!$B$1:$D$1,0),1))*AP1155/365),""))</f>
        <v/>
      </c>
      <c r="AV1155" s="11" t="str">
        <f t="shared" si="114"/>
        <v/>
      </c>
      <c r="AW1155" s="12" t="str">
        <f>IF($H1155="Cancelled","",IFERROR(IF(AV1155="","",(T1155*INDEX(Variables!$B$7:$D$7,IFERROR(MATCH(IF($B1155="Robusta","Robusta",(IF($B1155="","Arabica",$B1155))&amp;" - "&amp;(IF($C1155="","Commercial",$C1155))),Variables!$B$1:$D$1,0),1))*(AV1155/365))+(T1155*INDEX(Variables!$B$9:$D$9,IFERROR(MATCH(IF($B1155="Robusta","Robusta",(IF($B1155="","Arabica",$B1155))&amp;" - "&amp;(IF($C1155="","Commercial",$C1155))),Variables!$B$1:$D$1,0),1))*(AV1155/365))+(INDEX(Variables!$B$8:$D$8,IFERROR(MATCH(IF($B1155="Robusta","Robusta",(IF($B1155="","Arabica",$B1155))&amp;" - "&amp;(IF($C1155="","Commercial",$C1155))),Variables!$B$1:$D$1,0),1))*L1155/16.67)),""))</f>
        <v/>
      </c>
      <c r="AX1155" s="9"/>
      <c r="AY1155" s="12"/>
      <c r="AZ1155" s="10"/>
      <c r="BA1155" s="9"/>
      <c r="BB1155" s="10"/>
      <c r="BC1155" s="9"/>
      <c r="BD1155" s="9"/>
      <c r="BE1155" s="9"/>
      <c r="BF1155" s="9"/>
    </row>
    <row r="1156" spans="1:58" x14ac:dyDescent="0.25">
      <c r="A1156" s="9" t="s">
        <v>84</v>
      </c>
      <c r="B1156" s="9" t="s">
        <v>85</v>
      </c>
      <c r="C1156" s="9" t="s">
        <v>1486</v>
      </c>
      <c r="D1156" s="10">
        <v>46045</v>
      </c>
      <c r="E1156" s="10">
        <v>46054</v>
      </c>
      <c r="F1156" s="10">
        <v>46081</v>
      </c>
      <c r="G1156" s="9">
        <v>3787143</v>
      </c>
      <c r="H1156" s="9" t="str">
        <f t="shared" si="111"/>
        <v>Open</v>
      </c>
      <c r="I1156" s="9" t="str">
        <f t="shared" si="112"/>
        <v>No sailing date and No shipping advice sent and No docs dispatch date</v>
      </c>
      <c r="J1156" s="9" t="s">
        <v>2399</v>
      </c>
      <c r="K1156" s="9" t="s">
        <v>2463</v>
      </c>
      <c r="L1156" s="11">
        <v>20</v>
      </c>
      <c r="M1156" s="9" t="s">
        <v>2464</v>
      </c>
      <c r="N1156" s="9"/>
      <c r="O1156" s="9"/>
      <c r="P1156" s="9"/>
      <c r="Q1156" s="11">
        <v>126.3</v>
      </c>
      <c r="R1156" s="9" t="s">
        <v>195</v>
      </c>
      <c r="S1156" s="9" t="s">
        <v>228</v>
      </c>
      <c r="T1156" s="12">
        <f>IF($H1156="Cancelled","",IFERROR(((Q1156+INDEX(Variables!$B$6:$D$6,IFERROR(MATCH(IF($B1156="Robusta","Robusta",(IF($B1156="","Arabica",$B1156))&amp;" - "&amp;(IF($C1156="","Commercial",$C1156))),Variables!$B$1:$D$1,0),1)))*22.0462)*(L1156/16.67),""))</f>
        <v>11032.357552489502</v>
      </c>
      <c r="U1156" s="10"/>
      <c r="V1156" s="9" t="str">
        <f t="shared" si="113"/>
        <v/>
      </c>
      <c r="W1156" s="10">
        <v>46037</v>
      </c>
      <c r="X1156" s="9" t="str">
        <f t="shared" si="110"/>
        <v>Approved</v>
      </c>
      <c r="Y1156" s="10">
        <v>46066</v>
      </c>
      <c r="Z1156" s="10">
        <f>IF($H1156="Cancelled","",IFERROR(IF(F1156="","",F1156-Variables!$B$13),""))</f>
        <v>46066</v>
      </c>
      <c r="AA1156" s="11">
        <f>IF($H1156="Cancelled","",IFERROR(IF(W1156="","",(AVERAGE(E1156:F1156)-W1156)-Variables!$B$14),""))</f>
        <v>0.5</v>
      </c>
      <c r="AB1156" s="10">
        <v>46081</v>
      </c>
      <c r="AC1156" s="11">
        <f>IF($H1156="Cancelled","",IFERROR(IF(AB1156="","",IF(AND(W1156="",Y1156=""),"",IF(Y1156&gt;W1156,Y1156+Variables!$B$15+Variables!$B$16+Variables!$B$17-AB1156,W1156+Variables!$B$16+Variables!$B$17-AB1156))),""))</f>
        <v>0</v>
      </c>
      <c r="AD1156" s="9" t="s">
        <v>165</v>
      </c>
      <c r="AE1156" s="9" t="s">
        <v>818</v>
      </c>
      <c r="AF1156" s="10"/>
      <c r="AG1156" s="10"/>
      <c r="AH1156" s="9"/>
      <c r="AI1156" s="9"/>
      <c r="AJ1156" s="9"/>
      <c r="AK1156" s="10"/>
      <c r="AL1156" s="10"/>
      <c r="AM1156" s="10"/>
      <c r="AN1156" s="9" t="s">
        <v>2465</v>
      </c>
      <c r="AO1156" s="9"/>
      <c r="AP1156" s="11" t="str">
        <f>IF($H1156="Cancelled","",IFERROR(IF(OR(AK1156="",AB1156=""),"",(AB1156+Variables!$B$18-AK1156)),""))</f>
        <v/>
      </c>
      <c r="AQ1156" s="11" t="str">
        <f>IF($H1156="Cancelled","",IFERROR(IF(OR(AM1156="",AK1156=""),"",(AK1156+Variables!$B$19)-AM1156),""))</f>
        <v/>
      </c>
      <c r="AR1156" s="12" t="str">
        <f>IF($H1156="Cancelled","",IFERROR(T1156*INDEX(Variables!$B$7:$D$7,IFERROR(MATCH(IF($B1156="Robusta","Robusta",(IF($B1156="","Arabica",$B1156))&amp;" - "&amp;(IF($C1156="","Commercial",$C1156))),Variables!$B$1:$D$1,0),1))*(AQ1156/365),""))</f>
        <v/>
      </c>
      <c r="AS1156" s="12">
        <f>IF($H1156="Cancelled","",IFERROR((T1156*INDEX(Variables!$B$7:$D$7,IFERROR(MATCH(IF($B1156="Robusta","Robusta",(IF($B1156="","Arabica",$B1156))&amp;" - "&amp;(IF($C1156="","Commercial",$C1156))),Variables!$B$1:$D$1,0),1))*IFERROR(IF(W1156="","",(AVERAGE(E1156:F1156)-W1156)-Variables!$B$14),"")/365)+(L1156/16.67*INDEX(Variables!$B$8:$D$8,IFERROR(MATCH(IF($B1156="Robusta","Robusta",(IF($B1156="","Arabica",$B1156))&amp;" - "&amp;(IF($C1156="","Commercial",$C1156))),Variables!$B$1:$D$1,0),1))*IFERROR(IF(W1156="","",(AVERAGE(E1156:F1156)-W1156)-Variables!$B$14),""))+(T1156*INDEX(Variables!$B$9:$D$9,IFERROR(MATCH(IF($B1156="Robusta","Robusta",(IF($B1156="","Arabica",$B1156))&amp;" - "&amp;(IF($C1156="","Commercial",$C1156))),Variables!$B$1:$D$1,0),1))*IFERROR(IF(W1156="","",(AVERAGE(E1156:F1156)-W1156)-Variables!$B$14),"")/365),""))</f>
        <v>1.487071075348662</v>
      </c>
      <c r="AT1156" s="12">
        <f>IF($H1156="Cancelled","",IFERROR((T1156*INDEX(Variables!$B$7:$D$7,IFERROR(MATCH(IF($B1156="Robusta","Robusta",(IF($B1156="","Arabica",$B1156))&amp;" - "&amp;(IF($C1156="","Commercial",$C1156))),Variables!$B$1:$D$1,0),1))*AC1156/365)+(L1156/16.67*INDEX(Variables!$B$8:$D$8,IFERROR(MATCH(IF($B1156="Robusta","Robusta",(IF($B1156="","Arabica",$B1156))&amp;" - "&amp;(IF($C1156="","Commercial",$C1156))),Variables!$B$1:$D$1,0),1))*AC1156)+(T1156*INDEX(Variables!$B$9:$D$9,IFERROR(MATCH(IF($B1156="Robusta","Robusta",(IF($B1156="","Arabica",$B1156))&amp;" - "&amp;(IF($C1156="","Commercial",$C1156))),Variables!$B$1:$D$1,0),1))*AC1156/365),""))</f>
        <v>0</v>
      </c>
      <c r="AU1156" s="12" t="str">
        <f>IF($H1156="Cancelled","",IFERROR((T1156*INDEX(Variables!$B$7:$D$7,IFERROR(MATCH(IF($B1156="Robusta","Robusta",(IF($B1156="","Arabica",$B1156))&amp;" - "&amp;(IF($C1156="","Commercial",$C1156))),Variables!$B$1:$D$1,0),1))*AP1156/365)+(L1156/16.67*INDEX(Variables!$B$8:$D$8,IFERROR(MATCH(IF($B1156="Robusta","Robusta",(IF($B1156="","Arabica",$B1156))&amp;" - "&amp;(IF($C1156="","Commercial",$C1156))),Variables!$B$1:$D$1,0),1))*AP1156)+(T1156*INDEX(Variables!$B$9:$D$9,IFERROR(MATCH(IF($B1156="Robusta","Robusta",(IF($B1156="","Arabica",$B1156))&amp;" - "&amp;(IF($C1156="","Commercial",$C1156))),Variables!$B$1:$D$1,0),1))*AP1156/365),""))</f>
        <v/>
      </c>
      <c r="AV1156" s="11" t="str">
        <f t="shared" si="114"/>
        <v/>
      </c>
      <c r="AW1156" s="12" t="str">
        <f>IF($H1156="Cancelled","",IFERROR(IF(AV1156="","",(T1156*INDEX(Variables!$B$7:$D$7,IFERROR(MATCH(IF($B1156="Robusta","Robusta",(IF($B1156="","Arabica",$B1156))&amp;" - "&amp;(IF($C1156="","Commercial",$C1156))),Variables!$B$1:$D$1,0),1))*(AV1156/365))+(T1156*INDEX(Variables!$B$9:$D$9,IFERROR(MATCH(IF($B1156="Robusta","Robusta",(IF($B1156="","Arabica",$B1156))&amp;" - "&amp;(IF($C1156="","Commercial",$C1156))),Variables!$B$1:$D$1,0),1))*(AV1156/365))+(INDEX(Variables!$B$8:$D$8,IFERROR(MATCH(IF($B1156="Robusta","Robusta",(IF($B1156="","Arabica",$B1156))&amp;" - "&amp;(IF($C1156="","Commercial",$C1156))),Variables!$B$1:$D$1,0),1))*L1156/16.67)),""))</f>
        <v/>
      </c>
      <c r="AX1156" s="9"/>
      <c r="AY1156" s="12"/>
      <c r="AZ1156" s="10"/>
      <c r="BA1156" s="9"/>
      <c r="BB1156" s="10"/>
      <c r="BC1156" s="9"/>
      <c r="BD1156" s="9"/>
      <c r="BE1156" s="9"/>
      <c r="BF1156" s="9"/>
    </row>
    <row r="1157" spans="1:58" x14ac:dyDescent="0.25">
      <c r="A1157" s="9" t="s">
        <v>84</v>
      </c>
      <c r="B1157" s="9" t="s">
        <v>85</v>
      </c>
      <c r="C1157" s="9" t="s">
        <v>1486</v>
      </c>
      <c r="D1157" s="10">
        <v>46045</v>
      </c>
      <c r="E1157" s="10">
        <v>46054</v>
      </c>
      <c r="F1157" s="10">
        <v>46081</v>
      </c>
      <c r="G1157" s="9">
        <v>3787144</v>
      </c>
      <c r="H1157" s="9" t="str">
        <f t="shared" si="111"/>
        <v>Open</v>
      </c>
      <c r="I1157" s="9" t="str">
        <f t="shared" si="112"/>
        <v>No sailing date and No shipping advice sent and No docs dispatch date</v>
      </c>
      <c r="J1157" s="9" t="s">
        <v>2399</v>
      </c>
      <c r="K1157" s="9" t="s">
        <v>2466</v>
      </c>
      <c r="L1157" s="11">
        <v>20</v>
      </c>
      <c r="M1157" s="9" t="s">
        <v>2467</v>
      </c>
      <c r="N1157" s="9"/>
      <c r="O1157" s="9"/>
      <c r="P1157" s="9"/>
      <c r="Q1157" s="11">
        <v>124.3</v>
      </c>
      <c r="R1157" s="9" t="s">
        <v>195</v>
      </c>
      <c r="S1157" s="9" t="s">
        <v>228</v>
      </c>
      <c r="T1157" s="12">
        <f>IF($H1157="Cancelled","",IFERROR(((Q1157+INDEX(Variables!$B$6:$D$6,IFERROR(MATCH(IF($B1157="Robusta","Robusta",(IF($B1157="","Arabica",$B1157))&amp;" - "&amp;(IF($C1157="","Commercial",$C1157))),Variables!$B$1:$D$1,0),1)))*22.0462)*(L1157/16.67),""))</f>
        <v>10979.457252549488</v>
      </c>
      <c r="U1157" s="10"/>
      <c r="V1157" s="9" t="str">
        <f t="shared" si="113"/>
        <v/>
      </c>
      <c r="W1157" s="10">
        <v>46037</v>
      </c>
      <c r="X1157" s="9" t="str">
        <f t="shared" si="110"/>
        <v>Approved</v>
      </c>
      <c r="Y1157" s="10">
        <v>46066</v>
      </c>
      <c r="Z1157" s="10">
        <f>IF($H1157="Cancelled","",IFERROR(IF(F1157="","",F1157-Variables!$B$13),""))</f>
        <v>46066</v>
      </c>
      <c r="AA1157" s="11">
        <f>IF($H1157="Cancelled","",IFERROR(IF(W1157="","",(AVERAGE(E1157:F1157)-W1157)-Variables!$B$14),""))</f>
        <v>0.5</v>
      </c>
      <c r="AB1157" s="10">
        <v>46081</v>
      </c>
      <c r="AC1157" s="11">
        <f>IF($H1157="Cancelled","",IFERROR(IF(AB1157="","",IF(AND(W1157="",Y1157=""),"",IF(Y1157&gt;W1157,Y1157+Variables!$B$15+Variables!$B$16+Variables!$B$17-AB1157,W1157+Variables!$B$16+Variables!$B$17-AB1157))),""))</f>
        <v>0</v>
      </c>
      <c r="AD1157" s="9" t="s">
        <v>165</v>
      </c>
      <c r="AE1157" s="9" t="s">
        <v>818</v>
      </c>
      <c r="AF1157" s="10"/>
      <c r="AG1157" s="10"/>
      <c r="AH1157" s="9"/>
      <c r="AI1157" s="9"/>
      <c r="AJ1157" s="9"/>
      <c r="AK1157" s="10"/>
      <c r="AL1157" s="10"/>
      <c r="AM1157" s="10"/>
      <c r="AN1157" s="9" t="s">
        <v>2465</v>
      </c>
      <c r="AO1157" s="9"/>
      <c r="AP1157" s="11" t="str">
        <f>IF($H1157="Cancelled","",IFERROR(IF(OR(AK1157="",AB1157=""),"",(AB1157+Variables!$B$18-AK1157)),""))</f>
        <v/>
      </c>
      <c r="AQ1157" s="11" t="str">
        <f>IF($H1157="Cancelled","",IFERROR(IF(OR(AM1157="",AK1157=""),"",(AK1157+Variables!$B$19)-AM1157),""))</f>
        <v/>
      </c>
      <c r="AR1157" s="12" t="str">
        <f>IF($H1157="Cancelled","",IFERROR(T1157*INDEX(Variables!$B$7:$D$7,IFERROR(MATCH(IF($B1157="Robusta","Robusta",(IF($B1157="","Arabica",$B1157))&amp;" - "&amp;(IF($C1157="","Commercial",$C1157))),Variables!$B$1:$D$1,0),1))*(AQ1157/365),""))</f>
        <v/>
      </c>
      <c r="AS1157" s="12">
        <f>IF($H1157="Cancelled","",IFERROR((T1157*INDEX(Variables!$B$7:$D$7,IFERROR(MATCH(IF($B1157="Robusta","Robusta",(IF($B1157="","Arabica",$B1157))&amp;" - "&amp;(IF($C1157="","Commercial",$C1157))),Variables!$B$1:$D$1,0),1))*IFERROR(IF(W1157="","",(AVERAGE(E1157:F1157)-W1157)-Variables!$B$14),"")/365)+(L1157/16.67*INDEX(Variables!$B$8:$D$8,IFERROR(MATCH(IF($B1157="Robusta","Robusta",(IF($B1157="","Arabica",$B1157))&amp;" - "&amp;(IF($C1157="","Commercial",$C1157))),Variables!$B$1:$D$1,0),1))*IFERROR(IF(W1157="","",(AVERAGE(E1157:F1157)-W1157)-Variables!$B$14),""))+(T1157*INDEX(Variables!$B$9:$D$9,IFERROR(MATCH(IF($B1157="Robusta","Robusta",(IF($B1157="","Arabica",$B1157))&amp;" - "&amp;(IF($C1157="","Commercial",$C1157))),Variables!$B$1:$D$1,0),1))*IFERROR(IF(W1157="","",(AVERAGE(E1157:F1157)-W1157)-Variables!$B$14),"")/365),""))</f>
        <v>1.4823380565265631</v>
      </c>
      <c r="AT1157" s="12">
        <f>IF($H1157="Cancelled","",IFERROR((T1157*INDEX(Variables!$B$7:$D$7,IFERROR(MATCH(IF($B1157="Robusta","Robusta",(IF($B1157="","Arabica",$B1157))&amp;" - "&amp;(IF($C1157="","Commercial",$C1157))),Variables!$B$1:$D$1,0),1))*AC1157/365)+(L1157/16.67*INDEX(Variables!$B$8:$D$8,IFERROR(MATCH(IF($B1157="Robusta","Robusta",(IF($B1157="","Arabica",$B1157))&amp;" - "&amp;(IF($C1157="","Commercial",$C1157))),Variables!$B$1:$D$1,0),1))*AC1157)+(T1157*INDEX(Variables!$B$9:$D$9,IFERROR(MATCH(IF($B1157="Robusta","Robusta",(IF($B1157="","Arabica",$B1157))&amp;" - "&amp;(IF($C1157="","Commercial",$C1157))),Variables!$B$1:$D$1,0),1))*AC1157/365),""))</f>
        <v>0</v>
      </c>
      <c r="AU1157" s="12" t="str">
        <f>IF($H1157="Cancelled","",IFERROR((T1157*INDEX(Variables!$B$7:$D$7,IFERROR(MATCH(IF($B1157="Robusta","Robusta",(IF($B1157="","Arabica",$B1157))&amp;" - "&amp;(IF($C1157="","Commercial",$C1157))),Variables!$B$1:$D$1,0),1))*AP1157/365)+(L1157/16.67*INDEX(Variables!$B$8:$D$8,IFERROR(MATCH(IF($B1157="Robusta","Robusta",(IF($B1157="","Arabica",$B1157))&amp;" - "&amp;(IF($C1157="","Commercial",$C1157))),Variables!$B$1:$D$1,0),1))*AP1157)+(T1157*INDEX(Variables!$B$9:$D$9,IFERROR(MATCH(IF($B1157="Robusta","Robusta",(IF($B1157="","Arabica",$B1157))&amp;" - "&amp;(IF($C1157="","Commercial",$C1157))),Variables!$B$1:$D$1,0),1))*AP1157/365),""))</f>
        <v/>
      </c>
      <c r="AV1157" s="11" t="str">
        <f t="shared" si="114"/>
        <v/>
      </c>
      <c r="AW1157" s="12" t="str">
        <f>IF($H1157="Cancelled","",IFERROR(IF(AV1157="","",(T1157*INDEX(Variables!$B$7:$D$7,IFERROR(MATCH(IF($B1157="Robusta","Robusta",(IF($B1157="","Arabica",$B1157))&amp;" - "&amp;(IF($C1157="","Commercial",$C1157))),Variables!$B$1:$D$1,0),1))*(AV1157/365))+(T1157*INDEX(Variables!$B$9:$D$9,IFERROR(MATCH(IF($B1157="Robusta","Robusta",(IF($B1157="","Arabica",$B1157))&amp;" - "&amp;(IF($C1157="","Commercial",$C1157))),Variables!$B$1:$D$1,0),1))*(AV1157/365))+(INDEX(Variables!$B$8:$D$8,IFERROR(MATCH(IF($B1157="Robusta","Robusta",(IF($B1157="","Arabica",$B1157))&amp;" - "&amp;(IF($C1157="","Commercial",$C1157))),Variables!$B$1:$D$1,0),1))*L1157/16.67)),""))</f>
        <v/>
      </c>
      <c r="AX1157" s="9"/>
      <c r="AY1157" s="12"/>
      <c r="AZ1157" s="10"/>
      <c r="BA1157" s="9"/>
      <c r="BB1157" s="10"/>
      <c r="BC1157" s="9"/>
      <c r="BD1157" s="9"/>
      <c r="BE1157" s="9"/>
      <c r="BF1157" s="9"/>
    </row>
    <row r="1158" spans="1:58" x14ac:dyDescent="0.25">
      <c r="A1158" s="9" t="s">
        <v>84</v>
      </c>
      <c r="B1158" s="9" t="s">
        <v>85</v>
      </c>
      <c r="C1158" s="9" t="s">
        <v>1486</v>
      </c>
      <c r="D1158" s="10">
        <v>46045</v>
      </c>
      <c r="E1158" s="10">
        <v>46054</v>
      </c>
      <c r="F1158" s="10">
        <v>46081</v>
      </c>
      <c r="G1158" s="9">
        <v>3787145</v>
      </c>
      <c r="H1158" s="9" t="str">
        <f t="shared" si="111"/>
        <v>Open</v>
      </c>
      <c r="I1158" s="9" t="str">
        <f t="shared" si="112"/>
        <v>No sailing date and No shipping advice sent and No docs dispatch date</v>
      </c>
      <c r="J1158" s="9" t="s">
        <v>2399</v>
      </c>
      <c r="K1158" s="9" t="s">
        <v>2468</v>
      </c>
      <c r="L1158" s="11">
        <v>20</v>
      </c>
      <c r="M1158" s="9" t="s">
        <v>2469</v>
      </c>
      <c r="N1158" s="9"/>
      <c r="O1158" s="9"/>
      <c r="P1158" s="9"/>
      <c r="Q1158" s="11">
        <v>157.30000000000001</v>
      </c>
      <c r="R1158" s="9" t="s">
        <v>195</v>
      </c>
      <c r="S1158" s="9" t="s">
        <v>228</v>
      </c>
      <c r="T1158" s="12">
        <f>IF($H1158="Cancelled","",IFERROR(((Q1158+INDEX(Variables!$B$6:$D$6,IFERROR(MATCH(IF($B1158="Robusta","Robusta",(IF($B1158="","Arabica",$B1158))&amp;" - "&amp;(IF($C1158="","Commercial",$C1158))),Variables!$B$1:$D$1,0),1)))*22.0462)*(L1158/16.67),""))</f>
        <v>11852.312201559687</v>
      </c>
      <c r="U1158" s="10"/>
      <c r="V1158" s="9" t="str">
        <f t="shared" si="113"/>
        <v/>
      </c>
      <c r="W1158" s="10">
        <v>46037</v>
      </c>
      <c r="X1158" s="9" t="str">
        <f t="shared" si="110"/>
        <v>Approved</v>
      </c>
      <c r="Y1158" s="10">
        <v>46066</v>
      </c>
      <c r="Z1158" s="10">
        <f>IF($H1158="Cancelled","",IFERROR(IF(F1158="","",F1158-Variables!$B$13),""))</f>
        <v>46066</v>
      </c>
      <c r="AA1158" s="11">
        <f>IF($H1158="Cancelled","",IFERROR(IF(W1158="","",(AVERAGE(E1158:F1158)-W1158)-Variables!$B$14),""))</f>
        <v>0.5</v>
      </c>
      <c r="AB1158" s="10">
        <v>46081</v>
      </c>
      <c r="AC1158" s="11">
        <f>IF($H1158="Cancelled","",IFERROR(IF(AB1158="","",IF(AND(W1158="",Y1158=""),"",IF(Y1158&gt;W1158,Y1158+Variables!$B$15+Variables!$B$16+Variables!$B$17-AB1158,W1158+Variables!$B$16+Variables!$B$17-AB1158))),""))</f>
        <v>0</v>
      </c>
      <c r="AD1158" s="9" t="s">
        <v>165</v>
      </c>
      <c r="AE1158" s="9" t="s">
        <v>818</v>
      </c>
      <c r="AF1158" s="10"/>
      <c r="AG1158" s="10"/>
      <c r="AH1158" s="9"/>
      <c r="AI1158" s="9"/>
      <c r="AJ1158" s="9"/>
      <c r="AK1158" s="10"/>
      <c r="AL1158" s="10"/>
      <c r="AM1158" s="10"/>
      <c r="AN1158" s="9" t="s">
        <v>2465</v>
      </c>
      <c r="AO1158" s="9"/>
      <c r="AP1158" s="11" t="str">
        <f>IF($H1158="Cancelled","",IFERROR(IF(OR(AK1158="",AB1158=""),"",(AB1158+Variables!$B$18-AK1158)),""))</f>
        <v/>
      </c>
      <c r="AQ1158" s="11" t="str">
        <f>IF($H1158="Cancelled","",IFERROR(IF(OR(AM1158="",AK1158=""),"",(AK1158+Variables!$B$19)-AM1158),""))</f>
        <v/>
      </c>
      <c r="AR1158" s="12" t="str">
        <f>IF($H1158="Cancelled","",IFERROR(T1158*INDEX(Variables!$B$7:$D$7,IFERROR(MATCH(IF($B1158="Robusta","Robusta",(IF($B1158="","Arabica",$B1158))&amp;" - "&amp;(IF($C1158="","Commercial",$C1158))),Variables!$B$1:$D$1,0),1))*(AQ1158/365),""))</f>
        <v/>
      </c>
      <c r="AS1158" s="12">
        <f>IF($H1158="Cancelled","",IFERROR((T1158*INDEX(Variables!$B$7:$D$7,IFERROR(MATCH(IF($B1158="Robusta","Robusta",(IF($B1158="","Arabica",$B1158))&amp;" - "&amp;(IF($C1158="","Commercial",$C1158))),Variables!$B$1:$D$1,0),1))*IFERROR(IF(W1158="","",(AVERAGE(E1158:F1158)-W1158)-Variables!$B$14),"")/365)+(L1158/16.67*INDEX(Variables!$B$8:$D$8,IFERROR(MATCH(IF($B1158="Robusta","Robusta",(IF($B1158="","Arabica",$B1158))&amp;" - "&amp;(IF($C1158="","Commercial",$C1158))),Variables!$B$1:$D$1,0),1))*IFERROR(IF(W1158="","",(AVERAGE(E1158:F1158)-W1158)-Variables!$B$14),""))+(T1158*INDEX(Variables!$B$9:$D$9,IFERROR(MATCH(IF($B1158="Robusta","Robusta",(IF($B1158="","Arabica",$B1158))&amp;" - "&amp;(IF($C1158="","Commercial",$C1158))),Variables!$B$1:$D$1,0),1))*IFERROR(IF(W1158="","",(AVERAGE(E1158:F1158)-W1158)-Variables!$B$14),"")/365),""))</f>
        <v>1.56043286709119</v>
      </c>
      <c r="AT1158" s="12">
        <f>IF($H1158="Cancelled","",IFERROR((T1158*INDEX(Variables!$B$7:$D$7,IFERROR(MATCH(IF($B1158="Robusta","Robusta",(IF($B1158="","Arabica",$B1158))&amp;" - "&amp;(IF($C1158="","Commercial",$C1158))),Variables!$B$1:$D$1,0),1))*AC1158/365)+(L1158/16.67*INDEX(Variables!$B$8:$D$8,IFERROR(MATCH(IF($B1158="Robusta","Robusta",(IF($B1158="","Arabica",$B1158))&amp;" - "&amp;(IF($C1158="","Commercial",$C1158))),Variables!$B$1:$D$1,0),1))*AC1158)+(T1158*INDEX(Variables!$B$9:$D$9,IFERROR(MATCH(IF($B1158="Robusta","Robusta",(IF($B1158="","Arabica",$B1158))&amp;" - "&amp;(IF($C1158="","Commercial",$C1158))),Variables!$B$1:$D$1,0),1))*AC1158/365),""))</f>
        <v>0</v>
      </c>
      <c r="AU1158" s="12" t="str">
        <f>IF($H1158="Cancelled","",IFERROR((T1158*INDEX(Variables!$B$7:$D$7,IFERROR(MATCH(IF($B1158="Robusta","Robusta",(IF($B1158="","Arabica",$B1158))&amp;" - "&amp;(IF($C1158="","Commercial",$C1158))),Variables!$B$1:$D$1,0),1))*AP1158/365)+(L1158/16.67*INDEX(Variables!$B$8:$D$8,IFERROR(MATCH(IF($B1158="Robusta","Robusta",(IF($B1158="","Arabica",$B1158))&amp;" - "&amp;(IF($C1158="","Commercial",$C1158))),Variables!$B$1:$D$1,0),1))*AP1158)+(T1158*INDEX(Variables!$B$9:$D$9,IFERROR(MATCH(IF($B1158="Robusta","Robusta",(IF($B1158="","Arabica",$B1158))&amp;" - "&amp;(IF($C1158="","Commercial",$C1158))),Variables!$B$1:$D$1,0),1))*AP1158/365),""))</f>
        <v/>
      </c>
      <c r="AV1158" s="11" t="str">
        <f t="shared" si="114"/>
        <v/>
      </c>
      <c r="AW1158" s="12" t="str">
        <f>IF($H1158="Cancelled","",IFERROR(IF(AV1158="","",(T1158*INDEX(Variables!$B$7:$D$7,IFERROR(MATCH(IF($B1158="Robusta","Robusta",(IF($B1158="","Arabica",$B1158))&amp;" - "&amp;(IF($C1158="","Commercial",$C1158))),Variables!$B$1:$D$1,0),1))*(AV1158/365))+(T1158*INDEX(Variables!$B$9:$D$9,IFERROR(MATCH(IF($B1158="Robusta","Robusta",(IF($B1158="","Arabica",$B1158))&amp;" - "&amp;(IF($C1158="","Commercial",$C1158))),Variables!$B$1:$D$1,0),1))*(AV1158/365))+(INDEX(Variables!$B$8:$D$8,IFERROR(MATCH(IF($B1158="Robusta","Robusta",(IF($B1158="","Arabica",$B1158))&amp;" - "&amp;(IF($C1158="","Commercial",$C1158))),Variables!$B$1:$D$1,0),1))*L1158/16.67)),""))</f>
        <v/>
      </c>
      <c r="AX1158" s="9"/>
      <c r="AY1158" s="12"/>
      <c r="AZ1158" s="10"/>
      <c r="BA1158" s="9"/>
      <c r="BB1158" s="10"/>
      <c r="BC1158" s="9"/>
      <c r="BD1158" s="9"/>
      <c r="BE1158" s="9"/>
      <c r="BF1158" s="9"/>
    </row>
    <row r="1159" spans="1:58" x14ac:dyDescent="0.25">
      <c r="A1159" s="9" t="s">
        <v>84</v>
      </c>
      <c r="B1159" s="9" t="s">
        <v>85</v>
      </c>
      <c r="C1159" s="9" t="s">
        <v>1486</v>
      </c>
      <c r="D1159" s="10">
        <v>46045</v>
      </c>
      <c r="E1159" s="10">
        <v>46054</v>
      </c>
      <c r="F1159" s="10">
        <v>46081</v>
      </c>
      <c r="G1159" s="9">
        <v>3787146</v>
      </c>
      <c r="H1159" s="9" t="str">
        <f t="shared" si="111"/>
        <v>Open</v>
      </c>
      <c r="I1159" s="9" t="str">
        <f t="shared" si="112"/>
        <v>No sailing date and No shipping advice sent and No docs dispatch date</v>
      </c>
      <c r="J1159" s="9" t="s">
        <v>2399</v>
      </c>
      <c r="K1159" s="9" t="s">
        <v>2470</v>
      </c>
      <c r="L1159" s="11">
        <v>17</v>
      </c>
      <c r="M1159" s="9" t="s">
        <v>2471</v>
      </c>
      <c r="N1159" s="9"/>
      <c r="O1159" s="9"/>
      <c r="P1159" s="9"/>
      <c r="Q1159" s="11">
        <v>157.30000000000001</v>
      </c>
      <c r="R1159" s="9" t="s">
        <v>195</v>
      </c>
      <c r="S1159" s="9" t="s">
        <v>228</v>
      </c>
      <c r="T1159" s="12">
        <f>IF($H1159="Cancelled","",IFERROR(((Q1159+INDEX(Variables!$B$6:$D$6,IFERROR(MATCH(IF($B1159="Robusta","Robusta",(IF($B1159="","Arabica",$B1159))&amp;" - "&amp;(IF($C1159="","Commercial",$C1159))),Variables!$B$1:$D$1,0),1)))*22.0462)*(L1159/16.67),""))</f>
        <v>10074.465371325734</v>
      </c>
      <c r="U1159" s="10"/>
      <c r="V1159" s="9" t="str">
        <f t="shared" si="113"/>
        <v/>
      </c>
      <c r="W1159" s="10">
        <v>46037</v>
      </c>
      <c r="X1159" s="9" t="str">
        <f t="shared" si="110"/>
        <v>Approved</v>
      </c>
      <c r="Y1159" s="10">
        <v>46066</v>
      </c>
      <c r="Z1159" s="10">
        <f>IF($H1159="Cancelled","",IFERROR(IF(F1159="","",F1159-Variables!$B$13),""))</f>
        <v>46066</v>
      </c>
      <c r="AA1159" s="11">
        <f>IF($H1159="Cancelled","",IFERROR(IF(W1159="","",(AVERAGE(E1159:F1159)-W1159)-Variables!$B$14),""))</f>
        <v>0.5</v>
      </c>
      <c r="AB1159" s="10">
        <v>46081</v>
      </c>
      <c r="AC1159" s="11">
        <f>IF($H1159="Cancelled","",IFERROR(IF(AB1159="","",IF(AND(W1159="",Y1159=""),"",IF(Y1159&gt;W1159,Y1159+Variables!$B$15+Variables!$B$16+Variables!$B$17-AB1159,W1159+Variables!$B$16+Variables!$B$17-AB1159))),""))</f>
        <v>0</v>
      </c>
      <c r="AD1159" s="9" t="s">
        <v>165</v>
      </c>
      <c r="AE1159" s="9" t="s">
        <v>818</v>
      </c>
      <c r="AF1159" s="10"/>
      <c r="AG1159" s="10"/>
      <c r="AH1159" s="9"/>
      <c r="AI1159" s="9"/>
      <c r="AJ1159" s="9"/>
      <c r="AK1159" s="10"/>
      <c r="AL1159" s="10"/>
      <c r="AM1159" s="10"/>
      <c r="AN1159" s="9" t="s">
        <v>2465</v>
      </c>
      <c r="AO1159" s="9"/>
      <c r="AP1159" s="11" t="str">
        <f>IF($H1159="Cancelled","",IFERROR(IF(OR(AK1159="",AB1159=""),"",(AB1159+Variables!$B$18-AK1159)),""))</f>
        <v/>
      </c>
      <c r="AQ1159" s="11" t="str">
        <f>IF($H1159="Cancelled","",IFERROR(IF(OR(AM1159="",AK1159=""),"",(AK1159+Variables!$B$19)-AM1159),""))</f>
        <v/>
      </c>
      <c r="AR1159" s="12" t="str">
        <f>IF($H1159="Cancelled","",IFERROR(T1159*INDEX(Variables!$B$7:$D$7,IFERROR(MATCH(IF($B1159="Robusta","Robusta",(IF($B1159="","Arabica",$B1159))&amp;" - "&amp;(IF($C1159="","Commercial",$C1159))),Variables!$B$1:$D$1,0),1))*(AQ1159/365),""))</f>
        <v/>
      </c>
      <c r="AS1159" s="12">
        <f>IF($H1159="Cancelled","",IFERROR((T1159*INDEX(Variables!$B$7:$D$7,IFERROR(MATCH(IF($B1159="Robusta","Robusta",(IF($B1159="","Arabica",$B1159))&amp;" - "&amp;(IF($C1159="","Commercial",$C1159))),Variables!$B$1:$D$1,0),1))*IFERROR(IF(W1159="","",(AVERAGE(E1159:F1159)-W1159)-Variables!$B$14),"")/365)+(L1159/16.67*INDEX(Variables!$B$8:$D$8,IFERROR(MATCH(IF($B1159="Robusta","Robusta",(IF($B1159="","Arabica",$B1159))&amp;" - "&amp;(IF($C1159="","Commercial",$C1159))),Variables!$B$1:$D$1,0),1))*IFERROR(IF(W1159="","",(AVERAGE(E1159:F1159)-W1159)-Variables!$B$14),""))+(T1159*INDEX(Variables!$B$9:$D$9,IFERROR(MATCH(IF($B1159="Robusta","Robusta",(IF($B1159="","Arabica",$B1159))&amp;" - "&amp;(IF($C1159="","Commercial",$C1159))),Variables!$B$1:$D$1,0),1))*IFERROR(IF(W1159="","",(AVERAGE(E1159:F1159)-W1159)-Variables!$B$14),"")/365),""))</f>
        <v>1.3263679370275114</v>
      </c>
      <c r="AT1159" s="12">
        <f>IF($H1159="Cancelled","",IFERROR((T1159*INDEX(Variables!$B$7:$D$7,IFERROR(MATCH(IF($B1159="Robusta","Robusta",(IF($B1159="","Arabica",$B1159))&amp;" - "&amp;(IF($C1159="","Commercial",$C1159))),Variables!$B$1:$D$1,0),1))*AC1159/365)+(L1159/16.67*INDEX(Variables!$B$8:$D$8,IFERROR(MATCH(IF($B1159="Robusta","Robusta",(IF($B1159="","Arabica",$B1159))&amp;" - "&amp;(IF($C1159="","Commercial",$C1159))),Variables!$B$1:$D$1,0),1))*AC1159)+(T1159*INDEX(Variables!$B$9:$D$9,IFERROR(MATCH(IF($B1159="Robusta","Robusta",(IF($B1159="","Arabica",$B1159))&amp;" - "&amp;(IF($C1159="","Commercial",$C1159))),Variables!$B$1:$D$1,0),1))*AC1159/365),""))</f>
        <v>0</v>
      </c>
      <c r="AU1159" s="12" t="str">
        <f>IF($H1159="Cancelled","",IFERROR((T1159*INDEX(Variables!$B$7:$D$7,IFERROR(MATCH(IF($B1159="Robusta","Robusta",(IF($B1159="","Arabica",$B1159))&amp;" - "&amp;(IF($C1159="","Commercial",$C1159))),Variables!$B$1:$D$1,0),1))*AP1159/365)+(L1159/16.67*INDEX(Variables!$B$8:$D$8,IFERROR(MATCH(IF($B1159="Robusta","Robusta",(IF($B1159="","Arabica",$B1159))&amp;" - "&amp;(IF($C1159="","Commercial",$C1159))),Variables!$B$1:$D$1,0),1))*AP1159)+(T1159*INDEX(Variables!$B$9:$D$9,IFERROR(MATCH(IF($B1159="Robusta","Robusta",(IF($B1159="","Arabica",$B1159))&amp;" - "&amp;(IF($C1159="","Commercial",$C1159))),Variables!$B$1:$D$1,0),1))*AP1159/365),""))</f>
        <v/>
      </c>
      <c r="AV1159" s="11" t="str">
        <f t="shared" si="114"/>
        <v/>
      </c>
      <c r="AW1159" s="12" t="str">
        <f>IF($H1159="Cancelled","",IFERROR(IF(AV1159="","",(T1159*INDEX(Variables!$B$7:$D$7,IFERROR(MATCH(IF($B1159="Robusta","Robusta",(IF($B1159="","Arabica",$B1159))&amp;" - "&amp;(IF($C1159="","Commercial",$C1159))),Variables!$B$1:$D$1,0),1))*(AV1159/365))+(T1159*INDEX(Variables!$B$9:$D$9,IFERROR(MATCH(IF($B1159="Robusta","Robusta",(IF($B1159="","Arabica",$B1159))&amp;" - "&amp;(IF($C1159="","Commercial",$C1159))),Variables!$B$1:$D$1,0),1))*(AV1159/365))+(INDEX(Variables!$B$8:$D$8,IFERROR(MATCH(IF($B1159="Robusta","Robusta",(IF($B1159="","Arabica",$B1159))&amp;" - "&amp;(IF($C1159="","Commercial",$C1159))),Variables!$B$1:$D$1,0),1))*L1159/16.67)),""))</f>
        <v/>
      </c>
      <c r="AX1159" s="9"/>
      <c r="AY1159" s="12"/>
      <c r="AZ1159" s="10"/>
      <c r="BA1159" s="9"/>
      <c r="BB1159" s="10"/>
      <c r="BC1159" s="9"/>
      <c r="BD1159" s="9"/>
      <c r="BE1159" s="9"/>
      <c r="BF1159" s="9"/>
    </row>
    <row r="1160" spans="1:58" x14ac:dyDescent="0.25">
      <c r="A1160" s="9" t="s">
        <v>84</v>
      </c>
      <c r="B1160" s="9" t="s">
        <v>85</v>
      </c>
      <c r="C1160" s="9" t="s">
        <v>1486</v>
      </c>
      <c r="D1160" s="10">
        <v>46045</v>
      </c>
      <c r="E1160" s="10">
        <v>46054</v>
      </c>
      <c r="F1160" s="10">
        <v>46081</v>
      </c>
      <c r="G1160" s="9">
        <v>3787141</v>
      </c>
      <c r="H1160" s="9" t="str">
        <f t="shared" si="111"/>
        <v>Open</v>
      </c>
      <c r="I1160" s="9" t="str">
        <f t="shared" si="112"/>
        <v>No sailing date and No shipping advice sent and No docs dispatch date</v>
      </c>
      <c r="J1160" s="9" t="s">
        <v>2399</v>
      </c>
      <c r="K1160" s="9" t="s">
        <v>2472</v>
      </c>
      <c r="L1160" s="11">
        <v>20</v>
      </c>
      <c r="M1160" s="9" t="s">
        <v>2473</v>
      </c>
      <c r="N1160" s="9"/>
      <c r="O1160" s="9"/>
      <c r="P1160" s="9"/>
      <c r="Q1160" s="11">
        <v>193.3</v>
      </c>
      <c r="R1160" s="9" t="s">
        <v>195</v>
      </c>
      <c r="S1160" s="9" t="s">
        <v>228</v>
      </c>
      <c r="T1160" s="12">
        <f>IF($H1160="Cancelled","",IFERROR(((Q1160+INDEX(Variables!$B$6:$D$6,IFERROR(MATCH(IF($B1160="Robusta","Robusta",(IF($B1160="","Arabica",$B1160))&amp;" - "&amp;(IF($C1160="","Commercial",$C1160))),Variables!$B$1:$D$1,0),1)))*22.0462)*(L1160/16.67),""))</f>
        <v>12804.517600479903</v>
      </c>
      <c r="U1160" s="10"/>
      <c r="V1160" s="9" t="str">
        <f t="shared" si="113"/>
        <v/>
      </c>
      <c r="W1160" s="10">
        <v>46037</v>
      </c>
      <c r="X1160" s="9" t="str">
        <f t="shared" si="110"/>
        <v>Approved</v>
      </c>
      <c r="Y1160" s="10">
        <v>46066</v>
      </c>
      <c r="Z1160" s="10">
        <f>IF($H1160="Cancelled","",IFERROR(IF(F1160="","",F1160-Variables!$B$13),""))</f>
        <v>46066</v>
      </c>
      <c r="AA1160" s="11">
        <f>IF($H1160="Cancelled","",IFERROR(IF(W1160="","",(AVERAGE(E1160:F1160)-W1160)-Variables!$B$14),""))</f>
        <v>0.5</v>
      </c>
      <c r="AB1160" s="10">
        <v>46081</v>
      </c>
      <c r="AC1160" s="11">
        <f>IF($H1160="Cancelled","",IFERROR(IF(AB1160="","",IF(AND(W1160="",Y1160=""),"",IF(Y1160&gt;W1160,Y1160+Variables!$B$15+Variables!$B$16+Variables!$B$17-AB1160,W1160+Variables!$B$16+Variables!$B$17-AB1160))),""))</f>
        <v>0</v>
      </c>
      <c r="AD1160" s="9" t="s">
        <v>165</v>
      </c>
      <c r="AE1160" s="9" t="s">
        <v>818</v>
      </c>
      <c r="AF1160" s="10"/>
      <c r="AG1160" s="10"/>
      <c r="AH1160" s="9"/>
      <c r="AI1160" s="9"/>
      <c r="AJ1160" s="9"/>
      <c r="AK1160" s="10"/>
      <c r="AL1160" s="10"/>
      <c r="AM1160" s="10"/>
      <c r="AN1160" s="9" t="s">
        <v>2465</v>
      </c>
      <c r="AO1160" s="9"/>
      <c r="AP1160" s="11" t="str">
        <f>IF($H1160="Cancelled","",IFERROR(IF(OR(AK1160="",AB1160=""),"",(AB1160+Variables!$B$18-AK1160)),""))</f>
        <v/>
      </c>
      <c r="AQ1160" s="11" t="str">
        <f>IF($H1160="Cancelled","",IFERROR(IF(OR(AM1160="",AK1160=""),"",(AK1160+Variables!$B$19)-AM1160),""))</f>
        <v/>
      </c>
      <c r="AR1160" s="12" t="str">
        <f>IF($H1160="Cancelled","",IFERROR(T1160*INDEX(Variables!$B$7:$D$7,IFERROR(MATCH(IF($B1160="Robusta","Robusta",(IF($B1160="","Arabica",$B1160))&amp;" - "&amp;(IF($C1160="","Commercial",$C1160))),Variables!$B$1:$D$1,0),1))*(AQ1160/365),""))</f>
        <v/>
      </c>
      <c r="AS1160" s="12">
        <f>IF($H1160="Cancelled","",IFERROR((T1160*INDEX(Variables!$B$7:$D$7,IFERROR(MATCH(IF($B1160="Robusta","Robusta",(IF($B1160="","Arabica",$B1160))&amp;" - "&amp;(IF($C1160="","Commercial",$C1160))),Variables!$B$1:$D$1,0),1))*IFERROR(IF(W1160="","",(AVERAGE(E1160:F1160)-W1160)-Variables!$B$14),"")/365)+(L1160/16.67*INDEX(Variables!$B$8:$D$8,IFERROR(MATCH(IF($B1160="Robusta","Robusta",(IF($B1160="","Arabica",$B1160))&amp;" - "&amp;(IF($C1160="","Commercial",$C1160))),Variables!$B$1:$D$1,0),1))*IFERROR(IF(W1160="","",(AVERAGE(E1160:F1160)-W1160)-Variables!$B$14),""))+(T1160*INDEX(Variables!$B$9:$D$9,IFERROR(MATCH(IF($B1160="Robusta","Robusta",(IF($B1160="","Arabica",$B1160))&amp;" - "&amp;(IF($C1160="","Commercial",$C1160))),Variables!$B$1:$D$1,0),1))*IFERROR(IF(W1160="","",(AVERAGE(E1160:F1160)-W1160)-Variables!$B$14),"")/365),""))</f>
        <v>1.6456272058889647</v>
      </c>
      <c r="AT1160" s="12">
        <f>IF($H1160="Cancelled","",IFERROR((T1160*INDEX(Variables!$B$7:$D$7,IFERROR(MATCH(IF($B1160="Robusta","Robusta",(IF($B1160="","Arabica",$B1160))&amp;" - "&amp;(IF($C1160="","Commercial",$C1160))),Variables!$B$1:$D$1,0),1))*AC1160/365)+(L1160/16.67*INDEX(Variables!$B$8:$D$8,IFERROR(MATCH(IF($B1160="Robusta","Robusta",(IF($B1160="","Arabica",$B1160))&amp;" - "&amp;(IF($C1160="","Commercial",$C1160))),Variables!$B$1:$D$1,0),1))*AC1160)+(T1160*INDEX(Variables!$B$9:$D$9,IFERROR(MATCH(IF($B1160="Robusta","Robusta",(IF($B1160="","Arabica",$B1160))&amp;" - "&amp;(IF($C1160="","Commercial",$C1160))),Variables!$B$1:$D$1,0),1))*AC1160/365),""))</f>
        <v>0</v>
      </c>
      <c r="AU1160" s="12" t="str">
        <f>IF($H1160="Cancelled","",IFERROR((T1160*INDEX(Variables!$B$7:$D$7,IFERROR(MATCH(IF($B1160="Robusta","Robusta",(IF($B1160="","Arabica",$B1160))&amp;" - "&amp;(IF($C1160="","Commercial",$C1160))),Variables!$B$1:$D$1,0),1))*AP1160/365)+(L1160/16.67*INDEX(Variables!$B$8:$D$8,IFERROR(MATCH(IF($B1160="Robusta","Robusta",(IF($B1160="","Arabica",$B1160))&amp;" - "&amp;(IF($C1160="","Commercial",$C1160))),Variables!$B$1:$D$1,0),1))*AP1160)+(T1160*INDEX(Variables!$B$9:$D$9,IFERROR(MATCH(IF($B1160="Robusta","Robusta",(IF($B1160="","Arabica",$B1160))&amp;" - "&amp;(IF($C1160="","Commercial",$C1160))),Variables!$B$1:$D$1,0),1))*AP1160/365),""))</f>
        <v/>
      </c>
      <c r="AV1160" s="11" t="str">
        <f t="shared" si="114"/>
        <v/>
      </c>
      <c r="AW1160" s="12" t="str">
        <f>IF($H1160="Cancelled","",IFERROR(IF(AV1160="","",(T1160*INDEX(Variables!$B$7:$D$7,IFERROR(MATCH(IF($B1160="Robusta","Robusta",(IF($B1160="","Arabica",$B1160))&amp;" - "&amp;(IF($C1160="","Commercial",$C1160))),Variables!$B$1:$D$1,0),1))*(AV1160/365))+(T1160*INDEX(Variables!$B$9:$D$9,IFERROR(MATCH(IF($B1160="Robusta","Robusta",(IF($B1160="","Arabica",$B1160))&amp;" - "&amp;(IF($C1160="","Commercial",$C1160))),Variables!$B$1:$D$1,0),1))*(AV1160/365))+(INDEX(Variables!$B$8:$D$8,IFERROR(MATCH(IF($B1160="Robusta","Robusta",(IF($B1160="","Arabica",$B1160))&amp;" - "&amp;(IF($C1160="","Commercial",$C1160))),Variables!$B$1:$D$1,0),1))*L1160/16.67)),""))</f>
        <v/>
      </c>
      <c r="AX1160" s="9"/>
      <c r="AY1160" s="12"/>
      <c r="AZ1160" s="10"/>
      <c r="BA1160" s="9"/>
      <c r="BB1160" s="10"/>
      <c r="BC1160" s="9"/>
      <c r="BD1160" s="9"/>
      <c r="BE1160" s="9"/>
      <c r="BF1160" s="9"/>
    </row>
    <row r="1161" spans="1:58" x14ac:dyDescent="0.25">
      <c r="A1161" s="9" t="s">
        <v>84</v>
      </c>
      <c r="B1161" s="9" t="s">
        <v>85</v>
      </c>
      <c r="C1161" s="9" t="s">
        <v>1486</v>
      </c>
      <c r="D1161" s="10">
        <v>46045</v>
      </c>
      <c r="E1161" s="10">
        <v>46054</v>
      </c>
      <c r="F1161" s="10">
        <v>46081</v>
      </c>
      <c r="G1161" s="9">
        <v>3787147</v>
      </c>
      <c r="H1161" s="9" t="str">
        <f t="shared" si="111"/>
        <v>Open</v>
      </c>
      <c r="I1161" s="9" t="str">
        <f t="shared" si="112"/>
        <v>No sailing date and No shipping advice sent and No docs dispatch date</v>
      </c>
      <c r="J1161" s="9" t="s">
        <v>2399</v>
      </c>
      <c r="K1161" s="9" t="s">
        <v>2474</v>
      </c>
      <c r="L1161" s="11">
        <v>17</v>
      </c>
      <c r="M1161" s="9" t="s">
        <v>2475</v>
      </c>
      <c r="N1161" s="9"/>
      <c r="O1161" s="9"/>
      <c r="P1161" s="9"/>
      <c r="Q1161" s="11">
        <v>134.30000000000001</v>
      </c>
      <c r="R1161" s="9" t="s">
        <v>195</v>
      </c>
      <c r="S1161" s="9" t="s">
        <v>228</v>
      </c>
      <c r="T1161" s="12">
        <f>IF($H1161="Cancelled","",IFERROR(((Q1161+INDEX(Variables!$B$6:$D$6,IFERROR(MATCH(IF($B1161="Robusta","Robusta",(IF($B1161="","Arabica",$B1161))&amp;" - "&amp;(IF($C1161="","Commercial",$C1161))),Variables!$B$1:$D$1,0),1)))*22.0462)*(L1161/16.67),""))</f>
        <v>9557.3649394121185</v>
      </c>
      <c r="U1161" s="10"/>
      <c r="V1161" s="9" t="str">
        <f t="shared" si="113"/>
        <v/>
      </c>
      <c r="W1161" s="10">
        <v>46037</v>
      </c>
      <c r="X1161" s="9" t="str">
        <f t="shared" si="110"/>
        <v>Approved</v>
      </c>
      <c r="Y1161" s="10">
        <v>46066</v>
      </c>
      <c r="Z1161" s="10">
        <f>IF($H1161="Cancelled","",IFERROR(IF(F1161="","",F1161-Variables!$B$13),""))</f>
        <v>46066</v>
      </c>
      <c r="AA1161" s="11">
        <f>IF($H1161="Cancelled","",IFERROR(IF(W1161="","",(AVERAGE(E1161:F1161)-W1161)-Variables!$B$14),""))</f>
        <v>0.5</v>
      </c>
      <c r="AB1161" s="10">
        <v>46081</v>
      </c>
      <c r="AC1161" s="11">
        <f>IF($H1161="Cancelled","",IFERROR(IF(AB1161="","",IF(AND(W1161="",Y1161=""),"",IF(Y1161&gt;W1161,Y1161+Variables!$B$15+Variables!$B$16+Variables!$B$17-AB1161,W1161+Variables!$B$16+Variables!$B$17-AB1161))),""))</f>
        <v>0</v>
      </c>
      <c r="AD1161" s="9" t="s">
        <v>165</v>
      </c>
      <c r="AE1161" s="9" t="s">
        <v>818</v>
      </c>
      <c r="AF1161" s="10"/>
      <c r="AG1161" s="10"/>
      <c r="AH1161" s="9"/>
      <c r="AI1161" s="9"/>
      <c r="AJ1161" s="9"/>
      <c r="AK1161" s="10"/>
      <c r="AL1161" s="10"/>
      <c r="AM1161" s="10"/>
      <c r="AN1161" s="9" t="s">
        <v>2465</v>
      </c>
      <c r="AO1161" s="9"/>
      <c r="AP1161" s="11" t="str">
        <f>IF($H1161="Cancelled","",IFERROR(IF(OR(AK1161="",AB1161=""),"",(AB1161+Variables!$B$18-AK1161)),""))</f>
        <v/>
      </c>
      <c r="AQ1161" s="11" t="str">
        <f>IF($H1161="Cancelled","",IFERROR(IF(OR(AM1161="",AK1161=""),"",(AK1161+Variables!$B$19)-AM1161),""))</f>
        <v/>
      </c>
      <c r="AR1161" s="12" t="str">
        <f>IF($H1161="Cancelled","",IFERROR(T1161*INDEX(Variables!$B$7:$D$7,IFERROR(MATCH(IF($B1161="Robusta","Robusta",(IF($B1161="","Arabica",$B1161))&amp;" - "&amp;(IF($C1161="","Commercial",$C1161))),Variables!$B$1:$D$1,0),1))*(AQ1161/365),""))</f>
        <v/>
      </c>
      <c r="AS1161" s="12">
        <f>IF($H1161="Cancelled","",IFERROR((T1161*INDEX(Variables!$B$7:$D$7,IFERROR(MATCH(IF($B1161="Robusta","Robusta",(IF($B1161="","Arabica",$B1161))&amp;" - "&amp;(IF($C1161="","Commercial",$C1161))),Variables!$B$1:$D$1,0),1))*IFERROR(IF(W1161="","",(AVERAGE(E1161:F1161)-W1161)-Variables!$B$14),"")/365)+(L1161/16.67*INDEX(Variables!$B$8:$D$8,IFERROR(MATCH(IF($B1161="Robusta","Robusta",(IF($B1161="","Arabica",$B1161))&amp;" - "&amp;(IF($C1161="","Commercial",$C1161))),Variables!$B$1:$D$1,0),1))*IFERROR(IF(W1161="","",(AVERAGE(E1161:F1161)-W1161)-Variables!$B$14),""))+(T1161*INDEX(Variables!$B$9:$D$9,IFERROR(MATCH(IF($B1161="Robusta","Robusta",(IF($B1161="","Arabica",$B1161))&amp;" - "&amp;(IF($C1161="","Commercial",$C1161))),Variables!$B$1:$D$1,0),1))*IFERROR(IF(W1161="","",(AVERAGE(E1161:F1161)-W1161)-Variables!$B$14),"")/365),""))</f>
        <v>1.2801026780414979</v>
      </c>
      <c r="AT1161" s="12">
        <f>IF($H1161="Cancelled","",IFERROR((T1161*INDEX(Variables!$B$7:$D$7,IFERROR(MATCH(IF($B1161="Robusta","Robusta",(IF($B1161="","Arabica",$B1161))&amp;" - "&amp;(IF($C1161="","Commercial",$C1161))),Variables!$B$1:$D$1,0),1))*AC1161/365)+(L1161/16.67*INDEX(Variables!$B$8:$D$8,IFERROR(MATCH(IF($B1161="Robusta","Robusta",(IF($B1161="","Arabica",$B1161))&amp;" - "&amp;(IF($C1161="","Commercial",$C1161))),Variables!$B$1:$D$1,0),1))*AC1161)+(T1161*INDEX(Variables!$B$9:$D$9,IFERROR(MATCH(IF($B1161="Robusta","Robusta",(IF($B1161="","Arabica",$B1161))&amp;" - "&amp;(IF($C1161="","Commercial",$C1161))),Variables!$B$1:$D$1,0),1))*AC1161/365),""))</f>
        <v>0</v>
      </c>
      <c r="AU1161" s="12" t="str">
        <f>IF($H1161="Cancelled","",IFERROR((T1161*INDEX(Variables!$B$7:$D$7,IFERROR(MATCH(IF($B1161="Robusta","Robusta",(IF($B1161="","Arabica",$B1161))&amp;" - "&amp;(IF($C1161="","Commercial",$C1161))),Variables!$B$1:$D$1,0),1))*AP1161/365)+(L1161/16.67*INDEX(Variables!$B$8:$D$8,IFERROR(MATCH(IF($B1161="Robusta","Robusta",(IF($B1161="","Arabica",$B1161))&amp;" - "&amp;(IF($C1161="","Commercial",$C1161))),Variables!$B$1:$D$1,0),1))*AP1161)+(T1161*INDEX(Variables!$B$9:$D$9,IFERROR(MATCH(IF($B1161="Robusta","Robusta",(IF($B1161="","Arabica",$B1161))&amp;" - "&amp;(IF($C1161="","Commercial",$C1161))),Variables!$B$1:$D$1,0),1))*AP1161/365),""))</f>
        <v/>
      </c>
      <c r="AV1161" s="11" t="str">
        <f t="shared" si="114"/>
        <v/>
      </c>
      <c r="AW1161" s="12" t="str">
        <f>IF($H1161="Cancelled","",IFERROR(IF(AV1161="","",(T1161*INDEX(Variables!$B$7:$D$7,IFERROR(MATCH(IF($B1161="Robusta","Robusta",(IF($B1161="","Arabica",$B1161))&amp;" - "&amp;(IF($C1161="","Commercial",$C1161))),Variables!$B$1:$D$1,0),1))*(AV1161/365))+(T1161*INDEX(Variables!$B$9:$D$9,IFERROR(MATCH(IF($B1161="Robusta","Robusta",(IF($B1161="","Arabica",$B1161))&amp;" - "&amp;(IF($C1161="","Commercial",$C1161))),Variables!$B$1:$D$1,0),1))*(AV1161/365))+(INDEX(Variables!$B$8:$D$8,IFERROR(MATCH(IF($B1161="Robusta","Robusta",(IF($B1161="","Arabica",$B1161))&amp;" - "&amp;(IF($C1161="","Commercial",$C1161))),Variables!$B$1:$D$1,0),1))*L1161/16.67)),""))</f>
        <v/>
      </c>
      <c r="AX1161" s="9"/>
      <c r="AY1161" s="12"/>
      <c r="AZ1161" s="10"/>
      <c r="BA1161" s="9"/>
      <c r="BB1161" s="10"/>
      <c r="BC1161" s="9"/>
      <c r="BD1161" s="9"/>
      <c r="BE1161" s="9"/>
      <c r="BF1161" s="9"/>
    </row>
    <row r="1162" spans="1:58" x14ac:dyDescent="0.25">
      <c r="A1162" s="9" t="s">
        <v>84</v>
      </c>
      <c r="B1162" s="9" t="s">
        <v>85</v>
      </c>
      <c r="C1162" s="9" t="s">
        <v>1486</v>
      </c>
      <c r="D1162" s="10">
        <v>46045</v>
      </c>
      <c r="E1162" s="10">
        <v>46054</v>
      </c>
      <c r="F1162" s="10">
        <v>46081</v>
      </c>
      <c r="G1162" s="9">
        <v>3787148</v>
      </c>
      <c r="H1162" s="9" t="str">
        <f t="shared" si="111"/>
        <v>Open</v>
      </c>
      <c r="I1162" s="9" t="str">
        <f t="shared" si="112"/>
        <v>No sailing date and No shipping advice sent and No docs dispatch date</v>
      </c>
      <c r="J1162" s="9" t="s">
        <v>2399</v>
      </c>
      <c r="K1162" s="9" t="s">
        <v>2476</v>
      </c>
      <c r="L1162" s="11">
        <v>20</v>
      </c>
      <c r="M1162" s="9" t="s">
        <v>2477</v>
      </c>
      <c r="N1162" s="9"/>
      <c r="O1162" s="9"/>
      <c r="P1162" s="9"/>
      <c r="Q1162" s="11">
        <v>161.30000000000001</v>
      </c>
      <c r="R1162" s="9" t="s">
        <v>195</v>
      </c>
      <c r="S1162" s="9" t="s">
        <v>228</v>
      </c>
      <c r="T1162" s="12">
        <f>IF($H1162="Cancelled","",IFERROR(((Q1162+INDEX(Variables!$B$6:$D$6,IFERROR(MATCH(IF($B1162="Robusta","Robusta",(IF($B1162="","Arabica",$B1162))&amp;" - "&amp;(IF($C1162="","Commercial",$C1162))),Variables!$B$1:$D$1,0),1)))*22.0462)*(L1162/16.67),""))</f>
        <v>11958.112801439713</v>
      </c>
      <c r="U1162" s="10"/>
      <c r="V1162" s="9" t="str">
        <f t="shared" si="113"/>
        <v/>
      </c>
      <c r="W1162" s="10">
        <v>46037</v>
      </c>
      <c r="X1162" s="9" t="str">
        <f t="shared" si="110"/>
        <v>Approved</v>
      </c>
      <c r="Y1162" s="10">
        <v>46066</v>
      </c>
      <c r="Z1162" s="10">
        <f>IF($H1162="Cancelled","",IFERROR(IF(F1162="","",F1162-Variables!$B$13),""))</f>
        <v>46066</v>
      </c>
      <c r="AA1162" s="11">
        <f>IF($H1162="Cancelled","",IFERROR(IF(W1162="","",(AVERAGE(E1162:F1162)-W1162)-Variables!$B$14),""))</f>
        <v>0.5</v>
      </c>
      <c r="AB1162" s="10">
        <v>46081</v>
      </c>
      <c r="AC1162" s="11">
        <f>IF($H1162="Cancelled","",IFERROR(IF(AB1162="","",IF(AND(W1162="",Y1162=""),"",IF(Y1162&gt;W1162,Y1162+Variables!$B$15+Variables!$B$16+Variables!$B$17-AB1162,W1162+Variables!$B$16+Variables!$B$17-AB1162))),""))</f>
        <v>0</v>
      </c>
      <c r="AD1162" s="9" t="s">
        <v>165</v>
      </c>
      <c r="AE1162" s="9" t="s">
        <v>818</v>
      </c>
      <c r="AF1162" s="10"/>
      <c r="AG1162" s="10"/>
      <c r="AH1162" s="9"/>
      <c r="AI1162" s="9"/>
      <c r="AJ1162" s="9"/>
      <c r="AK1162" s="10"/>
      <c r="AL1162" s="10"/>
      <c r="AM1162" s="10"/>
      <c r="AN1162" s="9" t="s">
        <v>2465</v>
      </c>
      <c r="AO1162" s="9"/>
      <c r="AP1162" s="11" t="str">
        <f>IF($H1162="Cancelled","",IFERROR(IF(OR(AK1162="",AB1162=""),"",(AB1162+Variables!$B$18-AK1162)),""))</f>
        <v/>
      </c>
      <c r="AQ1162" s="11" t="str">
        <f>IF($H1162="Cancelled","",IFERROR(IF(OR(AM1162="",AK1162=""),"",(AK1162+Variables!$B$19)-AM1162),""))</f>
        <v/>
      </c>
      <c r="AR1162" s="12" t="str">
        <f>IF($H1162="Cancelled","",IFERROR(T1162*INDEX(Variables!$B$7:$D$7,IFERROR(MATCH(IF($B1162="Robusta","Robusta",(IF($B1162="","Arabica",$B1162))&amp;" - "&amp;(IF($C1162="","Commercial",$C1162))),Variables!$B$1:$D$1,0),1))*(AQ1162/365),""))</f>
        <v/>
      </c>
      <c r="AS1162" s="12">
        <f>IF($H1162="Cancelled","",IFERROR((T1162*INDEX(Variables!$B$7:$D$7,IFERROR(MATCH(IF($B1162="Robusta","Robusta",(IF($B1162="","Arabica",$B1162))&amp;" - "&amp;(IF($C1162="","Commercial",$C1162))),Variables!$B$1:$D$1,0),1))*IFERROR(IF(W1162="","",(AVERAGE(E1162:F1162)-W1162)-Variables!$B$14),"")/365)+(L1162/16.67*INDEX(Variables!$B$8:$D$8,IFERROR(MATCH(IF($B1162="Robusta","Robusta",(IF($B1162="","Arabica",$B1162))&amp;" - "&amp;(IF($C1162="","Commercial",$C1162))),Variables!$B$1:$D$1,0),1))*IFERROR(IF(W1162="","",(AVERAGE(E1162:F1162)-W1162)-Variables!$B$14),""))+(T1162*INDEX(Variables!$B$9:$D$9,IFERROR(MATCH(IF($B1162="Robusta","Robusta",(IF($B1162="","Arabica",$B1162))&amp;" - "&amp;(IF($C1162="","Commercial",$C1162))),Variables!$B$1:$D$1,0),1))*IFERROR(IF(W1162="","",(AVERAGE(E1162:F1162)-W1162)-Variables!$B$14),"")/365),""))</f>
        <v>1.5698989047353871</v>
      </c>
      <c r="AT1162" s="12">
        <f>IF($H1162="Cancelled","",IFERROR((T1162*INDEX(Variables!$B$7:$D$7,IFERROR(MATCH(IF($B1162="Robusta","Robusta",(IF($B1162="","Arabica",$B1162))&amp;" - "&amp;(IF($C1162="","Commercial",$C1162))),Variables!$B$1:$D$1,0),1))*AC1162/365)+(L1162/16.67*INDEX(Variables!$B$8:$D$8,IFERROR(MATCH(IF($B1162="Robusta","Robusta",(IF($B1162="","Arabica",$B1162))&amp;" - "&amp;(IF($C1162="","Commercial",$C1162))),Variables!$B$1:$D$1,0),1))*AC1162)+(T1162*INDEX(Variables!$B$9:$D$9,IFERROR(MATCH(IF($B1162="Robusta","Robusta",(IF($B1162="","Arabica",$B1162))&amp;" - "&amp;(IF($C1162="","Commercial",$C1162))),Variables!$B$1:$D$1,0),1))*AC1162/365),""))</f>
        <v>0</v>
      </c>
      <c r="AU1162" s="12" t="str">
        <f>IF($H1162="Cancelled","",IFERROR((T1162*INDEX(Variables!$B$7:$D$7,IFERROR(MATCH(IF($B1162="Robusta","Robusta",(IF($B1162="","Arabica",$B1162))&amp;" - "&amp;(IF($C1162="","Commercial",$C1162))),Variables!$B$1:$D$1,0),1))*AP1162/365)+(L1162/16.67*INDEX(Variables!$B$8:$D$8,IFERROR(MATCH(IF($B1162="Robusta","Robusta",(IF($B1162="","Arabica",$B1162))&amp;" - "&amp;(IF($C1162="","Commercial",$C1162))),Variables!$B$1:$D$1,0),1))*AP1162)+(T1162*INDEX(Variables!$B$9:$D$9,IFERROR(MATCH(IF($B1162="Robusta","Robusta",(IF($B1162="","Arabica",$B1162))&amp;" - "&amp;(IF($C1162="","Commercial",$C1162))),Variables!$B$1:$D$1,0),1))*AP1162/365),""))</f>
        <v/>
      </c>
      <c r="AV1162" s="11" t="str">
        <f t="shared" si="114"/>
        <v/>
      </c>
      <c r="AW1162" s="12" t="str">
        <f>IF($H1162="Cancelled","",IFERROR(IF(AV1162="","",(T1162*INDEX(Variables!$B$7:$D$7,IFERROR(MATCH(IF($B1162="Robusta","Robusta",(IF($B1162="","Arabica",$B1162))&amp;" - "&amp;(IF($C1162="","Commercial",$C1162))),Variables!$B$1:$D$1,0),1))*(AV1162/365))+(T1162*INDEX(Variables!$B$9:$D$9,IFERROR(MATCH(IF($B1162="Robusta","Robusta",(IF($B1162="","Arabica",$B1162))&amp;" - "&amp;(IF($C1162="","Commercial",$C1162))),Variables!$B$1:$D$1,0),1))*(AV1162/365))+(INDEX(Variables!$B$8:$D$8,IFERROR(MATCH(IF($B1162="Robusta","Robusta",(IF($B1162="","Arabica",$B1162))&amp;" - "&amp;(IF($C1162="","Commercial",$C1162))),Variables!$B$1:$D$1,0),1))*L1162/16.67)),""))</f>
        <v/>
      </c>
      <c r="AX1162" s="9"/>
      <c r="AY1162" s="12"/>
      <c r="AZ1162" s="10"/>
      <c r="BA1162" s="9"/>
      <c r="BB1162" s="10"/>
      <c r="BC1162" s="9"/>
      <c r="BD1162" s="9"/>
      <c r="BE1162" s="9"/>
      <c r="BF1162" s="9"/>
    </row>
    <row r="1163" spans="1:58" x14ac:dyDescent="0.25">
      <c r="A1163" s="9" t="s">
        <v>84</v>
      </c>
      <c r="B1163" s="9" t="s">
        <v>85</v>
      </c>
      <c r="C1163" s="9" t="s">
        <v>1486</v>
      </c>
      <c r="D1163" s="10">
        <v>46045</v>
      </c>
      <c r="E1163" s="10">
        <v>46054</v>
      </c>
      <c r="F1163" s="10">
        <v>46081</v>
      </c>
      <c r="G1163" s="9">
        <v>3787149</v>
      </c>
      <c r="H1163" s="9" t="str">
        <f t="shared" si="111"/>
        <v>Open</v>
      </c>
      <c r="I1163" s="9" t="str">
        <f t="shared" si="112"/>
        <v>No sailing date and No shipping advice sent and No docs dispatch date</v>
      </c>
      <c r="J1163" s="9" t="s">
        <v>2399</v>
      </c>
      <c r="K1163" s="9" t="s">
        <v>2478</v>
      </c>
      <c r="L1163" s="11">
        <v>7</v>
      </c>
      <c r="M1163" s="9" t="s">
        <v>2479</v>
      </c>
      <c r="N1163" s="9"/>
      <c r="O1163" s="9"/>
      <c r="P1163" s="9"/>
      <c r="Q1163" s="11">
        <v>161.30000000000001</v>
      </c>
      <c r="R1163" s="9" t="s">
        <v>195</v>
      </c>
      <c r="S1163" s="9" t="s">
        <v>228</v>
      </c>
      <c r="T1163" s="12">
        <f>IF($H1163="Cancelled","",IFERROR(((Q1163+INDEX(Variables!$B$6:$D$6,IFERROR(MATCH(IF($B1163="Robusta","Robusta",(IF($B1163="","Arabica",$B1163))&amp;" - "&amp;(IF($C1163="","Commercial",$C1163))),Variables!$B$1:$D$1,0),1)))*22.0462)*(L1163/16.67),""))</f>
        <v>4185.3394805038997</v>
      </c>
      <c r="U1163" s="10"/>
      <c r="V1163" s="9" t="str">
        <f t="shared" si="113"/>
        <v/>
      </c>
      <c r="W1163" s="10">
        <v>46037</v>
      </c>
      <c r="X1163" s="9" t="str">
        <f t="shared" si="110"/>
        <v>Approved</v>
      </c>
      <c r="Y1163" s="10">
        <v>46066</v>
      </c>
      <c r="Z1163" s="10">
        <f>IF($H1163="Cancelled","",IFERROR(IF(F1163="","",F1163-Variables!$B$13),""))</f>
        <v>46066</v>
      </c>
      <c r="AA1163" s="11">
        <f>IF($H1163="Cancelled","",IFERROR(IF(W1163="","",(AVERAGE(E1163:F1163)-W1163)-Variables!$B$14),""))</f>
        <v>0.5</v>
      </c>
      <c r="AB1163" s="10">
        <v>46081</v>
      </c>
      <c r="AC1163" s="11">
        <f>IF($H1163="Cancelled","",IFERROR(IF(AB1163="","",IF(AND(W1163="",Y1163=""),"",IF(Y1163&gt;W1163,Y1163+Variables!$B$15+Variables!$B$16+Variables!$B$17-AB1163,W1163+Variables!$B$16+Variables!$B$17-AB1163))),""))</f>
        <v>0</v>
      </c>
      <c r="AD1163" s="9" t="s">
        <v>165</v>
      </c>
      <c r="AE1163" s="9" t="s">
        <v>818</v>
      </c>
      <c r="AF1163" s="10"/>
      <c r="AG1163" s="10"/>
      <c r="AH1163" s="9"/>
      <c r="AI1163" s="9"/>
      <c r="AJ1163" s="9"/>
      <c r="AK1163" s="10"/>
      <c r="AL1163" s="10"/>
      <c r="AM1163" s="10"/>
      <c r="AN1163" s="9" t="s">
        <v>2465</v>
      </c>
      <c r="AO1163" s="9"/>
      <c r="AP1163" s="11" t="str">
        <f>IF($H1163="Cancelled","",IFERROR(IF(OR(AK1163="",AB1163=""),"",(AB1163+Variables!$B$18-AK1163)),""))</f>
        <v/>
      </c>
      <c r="AQ1163" s="11" t="str">
        <f>IF($H1163="Cancelled","",IFERROR(IF(OR(AM1163="",AK1163=""),"",(AK1163+Variables!$B$19)-AM1163),""))</f>
        <v/>
      </c>
      <c r="AR1163" s="12" t="str">
        <f>IF($H1163="Cancelled","",IFERROR(T1163*INDEX(Variables!$B$7:$D$7,IFERROR(MATCH(IF($B1163="Robusta","Robusta",(IF($B1163="","Arabica",$B1163))&amp;" - "&amp;(IF($C1163="","Commercial",$C1163))),Variables!$B$1:$D$1,0),1))*(AQ1163/365),""))</f>
        <v/>
      </c>
      <c r="AS1163" s="12">
        <f>IF($H1163="Cancelled","",IFERROR((T1163*INDEX(Variables!$B$7:$D$7,IFERROR(MATCH(IF($B1163="Robusta","Robusta",(IF($B1163="","Arabica",$B1163))&amp;" - "&amp;(IF($C1163="","Commercial",$C1163))),Variables!$B$1:$D$1,0),1))*IFERROR(IF(W1163="","",(AVERAGE(E1163:F1163)-W1163)-Variables!$B$14),"")/365)+(L1163/16.67*INDEX(Variables!$B$8:$D$8,IFERROR(MATCH(IF($B1163="Robusta","Robusta",(IF($B1163="","Arabica",$B1163))&amp;" - "&amp;(IF($C1163="","Commercial",$C1163))),Variables!$B$1:$D$1,0),1))*IFERROR(IF(W1163="","",(AVERAGE(E1163:F1163)-W1163)-Variables!$B$14),""))+(T1163*INDEX(Variables!$B$9:$D$9,IFERROR(MATCH(IF($B1163="Robusta","Robusta",(IF($B1163="","Arabica",$B1163))&amp;" - "&amp;(IF($C1163="","Commercial",$C1163))),Variables!$B$1:$D$1,0),1))*IFERROR(IF(W1163="","",(AVERAGE(E1163:F1163)-W1163)-Variables!$B$14),"")/365),""))</f>
        <v>0.54946461665738555</v>
      </c>
      <c r="AT1163" s="12">
        <f>IF($H1163="Cancelled","",IFERROR((T1163*INDEX(Variables!$B$7:$D$7,IFERROR(MATCH(IF($B1163="Robusta","Robusta",(IF($B1163="","Arabica",$B1163))&amp;" - "&amp;(IF($C1163="","Commercial",$C1163))),Variables!$B$1:$D$1,0),1))*AC1163/365)+(L1163/16.67*INDEX(Variables!$B$8:$D$8,IFERROR(MATCH(IF($B1163="Robusta","Robusta",(IF($B1163="","Arabica",$B1163))&amp;" - "&amp;(IF($C1163="","Commercial",$C1163))),Variables!$B$1:$D$1,0),1))*AC1163)+(T1163*INDEX(Variables!$B$9:$D$9,IFERROR(MATCH(IF($B1163="Robusta","Robusta",(IF($B1163="","Arabica",$B1163))&amp;" - "&amp;(IF($C1163="","Commercial",$C1163))),Variables!$B$1:$D$1,0),1))*AC1163/365),""))</f>
        <v>0</v>
      </c>
      <c r="AU1163" s="12" t="str">
        <f>IF($H1163="Cancelled","",IFERROR((T1163*INDEX(Variables!$B$7:$D$7,IFERROR(MATCH(IF($B1163="Robusta","Robusta",(IF($B1163="","Arabica",$B1163))&amp;" - "&amp;(IF($C1163="","Commercial",$C1163))),Variables!$B$1:$D$1,0),1))*AP1163/365)+(L1163/16.67*INDEX(Variables!$B$8:$D$8,IFERROR(MATCH(IF($B1163="Robusta","Robusta",(IF($B1163="","Arabica",$B1163))&amp;" - "&amp;(IF($C1163="","Commercial",$C1163))),Variables!$B$1:$D$1,0),1))*AP1163)+(T1163*INDEX(Variables!$B$9:$D$9,IFERROR(MATCH(IF($B1163="Robusta","Robusta",(IF($B1163="","Arabica",$B1163))&amp;" - "&amp;(IF($C1163="","Commercial",$C1163))),Variables!$B$1:$D$1,0),1))*AP1163/365),""))</f>
        <v/>
      </c>
      <c r="AV1163" s="11" t="str">
        <f t="shared" si="114"/>
        <v/>
      </c>
      <c r="AW1163" s="12" t="str">
        <f>IF($H1163="Cancelled","",IFERROR(IF(AV1163="","",(T1163*INDEX(Variables!$B$7:$D$7,IFERROR(MATCH(IF($B1163="Robusta","Robusta",(IF($B1163="","Arabica",$B1163))&amp;" - "&amp;(IF($C1163="","Commercial",$C1163))),Variables!$B$1:$D$1,0),1))*(AV1163/365))+(T1163*INDEX(Variables!$B$9:$D$9,IFERROR(MATCH(IF($B1163="Robusta","Robusta",(IF($B1163="","Arabica",$B1163))&amp;" - "&amp;(IF($C1163="","Commercial",$C1163))),Variables!$B$1:$D$1,0),1))*(AV1163/365))+(INDEX(Variables!$B$8:$D$8,IFERROR(MATCH(IF($B1163="Robusta","Robusta",(IF($B1163="","Arabica",$B1163))&amp;" - "&amp;(IF($C1163="","Commercial",$C1163))),Variables!$B$1:$D$1,0),1))*L1163/16.67)),""))</f>
        <v/>
      </c>
      <c r="AX1163" s="9"/>
      <c r="AY1163" s="12"/>
      <c r="AZ1163" s="10"/>
      <c r="BA1163" s="9"/>
      <c r="BB1163" s="10"/>
      <c r="BC1163" s="9"/>
      <c r="BD1163" s="9"/>
      <c r="BE1163" s="9"/>
      <c r="BF1163" s="9"/>
    </row>
    <row r="1164" spans="1:58" x14ac:dyDescent="0.25">
      <c r="A1164" s="9" t="s">
        <v>84</v>
      </c>
      <c r="B1164" s="9" t="s">
        <v>85</v>
      </c>
      <c r="C1164" s="9" t="s">
        <v>1486</v>
      </c>
      <c r="D1164" s="10">
        <v>46045</v>
      </c>
      <c r="E1164" s="10">
        <v>46054</v>
      </c>
      <c r="F1164" s="10">
        <v>46081</v>
      </c>
      <c r="G1164" s="9">
        <v>3787150</v>
      </c>
      <c r="H1164" s="9" t="str">
        <f t="shared" si="111"/>
        <v>Open</v>
      </c>
      <c r="I1164" s="9" t="str">
        <f t="shared" si="112"/>
        <v>No sailing date and No shipping advice sent and No docs dispatch date</v>
      </c>
      <c r="J1164" s="9" t="s">
        <v>2399</v>
      </c>
      <c r="K1164" s="9" t="s">
        <v>2480</v>
      </c>
      <c r="L1164" s="11">
        <v>20</v>
      </c>
      <c r="M1164" s="9" t="s">
        <v>2481</v>
      </c>
      <c r="N1164" s="9"/>
      <c r="O1164" s="9"/>
      <c r="P1164" s="9"/>
      <c r="Q1164" s="11">
        <v>164.3</v>
      </c>
      <c r="R1164" s="9" t="s">
        <v>195</v>
      </c>
      <c r="S1164" s="9" t="s">
        <v>228</v>
      </c>
      <c r="T1164" s="12">
        <f>IF($H1164="Cancelled","",IFERROR(((Q1164+INDEX(Variables!$B$6:$D$6,IFERROR(MATCH(IF($B1164="Robusta","Robusta",(IF($B1164="","Arabica",$B1164))&amp;" - "&amp;(IF($C1164="","Commercial",$C1164))),Variables!$B$1:$D$1,0),1)))*22.0462)*(L1164/16.67),""))</f>
        <v>12037.463251349727</v>
      </c>
      <c r="U1164" s="10"/>
      <c r="V1164" s="9" t="str">
        <f t="shared" si="113"/>
        <v/>
      </c>
      <c r="W1164" s="10">
        <v>46037</v>
      </c>
      <c r="X1164" s="9" t="str">
        <f t="shared" si="110"/>
        <v>Approved</v>
      </c>
      <c r="Y1164" s="10">
        <v>46066</v>
      </c>
      <c r="Z1164" s="10">
        <f>IF($H1164="Cancelled","",IFERROR(IF(F1164="","",F1164-Variables!$B$13),""))</f>
        <v>46066</v>
      </c>
      <c r="AA1164" s="11">
        <f>IF($H1164="Cancelled","",IFERROR(IF(W1164="","",(AVERAGE(E1164:F1164)-W1164)-Variables!$B$14),""))</f>
        <v>0.5</v>
      </c>
      <c r="AB1164" s="10">
        <v>46081</v>
      </c>
      <c r="AC1164" s="11">
        <f>IF($H1164="Cancelled","",IFERROR(IF(AB1164="","",IF(AND(W1164="",Y1164=""),"",IF(Y1164&gt;W1164,Y1164+Variables!$B$15+Variables!$B$16+Variables!$B$17-AB1164,W1164+Variables!$B$16+Variables!$B$17-AB1164))),""))</f>
        <v>0</v>
      </c>
      <c r="AD1164" s="9" t="s">
        <v>165</v>
      </c>
      <c r="AE1164" s="9" t="s">
        <v>818</v>
      </c>
      <c r="AF1164" s="10"/>
      <c r="AG1164" s="10"/>
      <c r="AH1164" s="9"/>
      <c r="AI1164" s="9"/>
      <c r="AJ1164" s="9"/>
      <c r="AK1164" s="10"/>
      <c r="AL1164" s="10"/>
      <c r="AM1164" s="10"/>
      <c r="AN1164" s="9" t="s">
        <v>2465</v>
      </c>
      <c r="AO1164" s="9"/>
      <c r="AP1164" s="11" t="str">
        <f>IF($H1164="Cancelled","",IFERROR(IF(OR(AK1164="",AB1164=""),"",(AB1164+Variables!$B$18-AK1164)),""))</f>
        <v/>
      </c>
      <c r="AQ1164" s="11" t="str">
        <f>IF($H1164="Cancelled","",IFERROR(IF(OR(AM1164="",AK1164=""),"",(AK1164+Variables!$B$19)-AM1164),""))</f>
        <v/>
      </c>
      <c r="AR1164" s="12" t="str">
        <f>IF($H1164="Cancelled","",IFERROR(T1164*INDEX(Variables!$B$7:$D$7,IFERROR(MATCH(IF($B1164="Robusta","Robusta",(IF($B1164="","Arabica",$B1164))&amp;" - "&amp;(IF($C1164="","Commercial",$C1164))),Variables!$B$1:$D$1,0),1))*(AQ1164/365),""))</f>
        <v/>
      </c>
      <c r="AS1164" s="12">
        <f>IF($H1164="Cancelled","",IFERROR((T1164*INDEX(Variables!$B$7:$D$7,IFERROR(MATCH(IF($B1164="Robusta","Robusta",(IF($B1164="","Arabica",$B1164))&amp;" - "&amp;(IF($C1164="","Commercial",$C1164))),Variables!$B$1:$D$1,0),1))*IFERROR(IF(W1164="","",(AVERAGE(E1164:F1164)-W1164)-Variables!$B$14),"")/365)+(L1164/16.67*INDEX(Variables!$B$8:$D$8,IFERROR(MATCH(IF($B1164="Robusta","Robusta",(IF($B1164="","Arabica",$B1164))&amp;" - "&amp;(IF($C1164="","Commercial",$C1164))),Variables!$B$1:$D$1,0),1))*IFERROR(IF(W1164="","",(AVERAGE(E1164:F1164)-W1164)-Variables!$B$14),""))+(T1164*INDEX(Variables!$B$9:$D$9,IFERROR(MATCH(IF($B1164="Robusta","Robusta",(IF($B1164="","Arabica",$B1164))&amp;" - "&amp;(IF($C1164="","Commercial",$C1164))),Variables!$B$1:$D$1,0),1))*IFERROR(IF(W1164="","",(AVERAGE(E1164:F1164)-W1164)-Variables!$B$14),"")/365),""))</f>
        <v>1.5769984329685347</v>
      </c>
      <c r="AT1164" s="12">
        <f>IF($H1164="Cancelled","",IFERROR((T1164*INDEX(Variables!$B$7:$D$7,IFERROR(MATCH(IF($B1164="Robusta","Robusta",(IF($B1164="","Arabica",$B1164))&amp;" - "&amp;(IF($C1164="","Commercial",$C1164))),Variables!$B$1:$D$1,0),1))*AC1164/365)+(L1164/16.67*INDEX(Variables!$B$8:$D$8,IFERROR(MATCH(IF($B1164="Robusta","Robusta",(IF($B1164="","Arabica",$B1164))&amp;" - "&amp;(IF($C1164="","Commercial",$C1164))),Variables!$B$1:$D$1,0),1))*AC1164)+(T1164*INDEX(Variables!$B$9:$D$9,IFERROR(MATCH(IF($B1164="Robusta","Robusta",(IF($B1164="","Arabica",$B1164))&amp;" - "&amp;(IF($C1164="","Commercial",$C1164))),Variables!$B$1:$D$1,0),1))*AC1164/365),""))</f>
        <v>0</v>
      </c>
      <c r="AU1164" s="12" t="str">
        <f>IF($H1164="Cancelled","",IFERROR((T1164*INDEX(Variables!$B$7:$D$7,IFERROR(MATCH(IF($B1164="Robusta","Robusta",(IF($B1164="","Arabica",$B1164))&amp;" - "&amp;(IF($C1164="","Commercial",$C1164))),Variables!$B$1:$D$1,0),1))*AP1164/365)+(L1164/16.67*INDEX(Variables!$B$8:$D$8,IFERROR(MATCH(IF($B1164="Robusta","Robusta",(IF($B1164="","Arabica",$B1164))&amp;" - "&amp;(IF($C1164="","Commercial",$C1164))),Variables!$B$1:$D$1,0),1))*AP1164)+(T1164*INDEX(Variables!$B$9:$D$9,IFERROR(MATCH(IF($B1164="Robusta","Robusta",(IF($B1164="","Arabica",$B1164))&amp;" - "&amp;(IF($C1164="","Commercial",$C1164))),Variables!$B$1:$D$1,0),1))*AP1164/365),""))</f>
        <v/>
      </c>
      <c r="AV1164" s="11" t="str">
        <f t="shared" si="114"/>
        <v/>
      </c>
      <c r="AW1164" s="12" t="str">
        <f>IF($H1164="Cancelled","",IFERROR(IF(AV1164="","",(T1164*INDEX(Variables!$B$7:$D$7,IFERROR(MATCH(IF($B1164="Robusta","Robusta",(IF($B1164="","Arabica",$B1164))&amp;" - "&amp;(IF($C1164="","Commercial",$C1164))),Variables!$B$1:$D$1,0),1))*(AV1164/365))+(T1164*INDEX(Variables!$B$9:$D$9,IFERROR(MATCH(IF($B1164="Robusta","Robusta",(IF($B1164="","Arabica",$B1164))&amp;" - "&amp;(IF($C1164="","Commercial",$C1164))),Variables!$B$1:$D$1,0),1))*(AV1164/365))+(INDEX(Variables!$B$8:$D$8,IFERROR(MATCH(IF($B1164="Robusta","Robusta",(IF($B1164="","Arabica",$B1164))&amp;" - "&amp;(IF($C1164="","Commercial",$C1164))),Variables!$B$1:$D$1,0),1))*L1164/16.67)),""))</f>
        <v/>
      </c>
      <c r="AX1164" s="9"/>
      <c r="AY1164" s="12"/>
      <c r="AZ1164" s="10"/>
      <c r="BA1164" s="9"/>
      <c r="BB1164" s="10"/>
      <c r="BC1164" s="9"/>
      <c r="BD1164" s="9"/>
      <c r="BE1164" s="9"/>
      <c r="BF1164" s="9"/>
    </row>
    <row r="1165" spans="1:58" x14ac:dyDescent="0.25">
      <c r="A1165" s="9" t="s">
        <v>84</v>
      </c>
      <c r="B1165" s="9" t="s">
        <v>85</v>
      </c>
      <c r="C1165" s="9" t="s">
        <v>1486</v>
      </c>
      <c r="D1165" s="10">
        <v>46045</v>
      </c>
      <c r="E1165" s="10">
        <v>46054</v>
      </c>
      <c r="F1165" s="10">
        <v>46081</v>
      </c>
      <c r="G1165" s="9">
        <v>3787151</v>
      </c>
      <c r="H1165" s="9" t="str">
        <f t="shared" si="111"/>
        <v>Open</v>
      </c>
      <c r="I1165" s="9" t="str">
        <f t="shared" si="112"/>
        <v>No sailing date and No shipping advice sent and No docs dispatch date</v>
      </c>
      <c r="J1165" s="9" t="s">
        <v>2399</v>
      </c>
      <c r="K1165" s="9" t="s">
        <v>2482</v>
      </c>
      <c r="L1165" s="11">
        <v>15</v>
      </c>
      <c r="M1165" s="9" t="s">
        <v>2483</v>
      </c>
      <c r="N1165" s="9"/>
      <c r="O1165" s="9"/>
      <c r="P1165" s="9"/>
      <c r="Q1165" s="11">
        <v>126.3</v>
      </c>
      <c r="R1165" s="9" t="s">
        <v>195</v>
      </c>
      <c r="S1165" s="9" t="s">
        <v>228</v>
      </c>
      <c r="T1165" s="12">
        <f>IF($H1165="Cancelled","",IFERROR(((Q1165+INDEX(Variables!$B$6:$D$6,IFERROR(MATCH(IF($B1165="Robusta","Robusta",(IF($B1165="","Arabica",$B1165))&amp;" - "&amp;(IF($C1165="","Commercial",$C1165))),Variables!$B$1:$D$1,0),1)))*22.0462)*(L1165/16.67),""))</f>
        <v>8274.2681643671258</v>
      </c>
      <c r="U1165" s="10"/>
      <c r="V1165" s="9" t="str">
        <f t="shared" si="113"/>
        <v/>
      </c>
      <c r="W1165" s="10">
        <v>46037</v>
      </c>
      <c r="X1165" s="9" t="str">
        <f t="shared" si="110"/>
        <v>Approved</v>
      </c>
      <c r="Y1165" s="10">
        <v>46066</v>
      </c>
      <c r="Z1165" s="10">
        <f>IF($H1165="Cancelled","",IFERROR(IF(F1165="","",F1165-Variables!$B$13),""))</f>
        <v>46066</v>
      </c>
      <c r="AA1165" s="11">
        <f>IF($H1165="Cancelled","",IFERROR(IF(W1165="","",(AVERAGE(E1165:F1165)-W1165)-Variables!$B$14),""))</f>
        <v>0.5</v>
      </c>
      <c r="AB1165" s="10">
        <v>46081</v>
      </c>
      <c r="AC1165" s="11">
        <f>IF($H1165="Cancelled","",IFERROR(IF(AB1165="","",IF(AND(W1165="",Y1165=""),"",IF(Y1165&gt;W1165,Y1165+Variables!$B$15+Variables!$B$16+Variables!$B$17-AB1165,W1165+Variables!$B$16+Variables!$B$17-AB1165))),""))</f>
        <v>0</v>
      </c>
      <c r="AD1165" s="9" t="s">
        <v>165</v>
      </c>
      <c r="AE1165" s="9" t="s">
        <v>818</v>
      </c>
      <c r="AF1165" s="10"/>
      <c r="AG1165" s="10"/>
      <c r="AH1165" s="9"/>
      <c r="AI1165" s="9"/>
      <c r="AJ1165" s="9"/>
      <c r="AK1165" s="10"/>
      <c r="AL1165" s="10"/>
      <c r="AM1165" s="10"/>
      <c r="AN1165" s="9" t="s">
        <v>2465</v>
      </c>
      <c r="AO1165" s="9"/>
      <c r="AP1165" s="11" t="str">
        <f>IF($H1165="Cancelled","",IFERROR(IF(OR(AK1165="",AB1165=""),"",(AB1165+Variables!$B$18-AK1165)),""))</f>
        <v/>
      </c>
      <c r="AQ1165" s="11" t="str">
        <f>IF($H1165="Cancelled","",IFERROR(IF(OR(AM1165="",AK1165=""),"",(AK1165+Variables!$B$19)-AM1165),""))</f>
        <v/>
      </c>
      <c r="AR1165" s="12" t="str">
        <f>IF($H1165="Cancelled","",IFERROR(T1165*INDEX(Variables!$B$7:$D$7,IFERROR(MATCH(IF($B1165="Robusta","Robusta",(IF($B1165="","Arabica",$B1165))&amp;" - "&amp;(IF($C1165="","Commercial",$C1165))),Variables!$B$1:$D$1,0),1))*(AQ1165/365),""))</f>
        <v/>
      </c>
      <c r="AS1165" s="12">
        <f>IF($H1165="Cancelled","",IFERROR((T1165*INDEX(Variables!$B$7:$D$7,IFERROR(MATCH(IF($B1165="Robusta","Robusta",(IF($B1165="","Arabica",$B1165))&amp;" - "&amp;(IF($C1165="","Commercial",$C1165))),Variables!$B$1:$D$1,0),1))*IFERROR(IF(W1165="","",(AVERAGE(E1165:F1165)-W1165)-Variables!$B$14),"")/365)+(L1165/16.67*INDEX(Variables!$B$8:$D$8,IFERROR(MATCH(IF($B1165="Robusta","Robusta",(IF($B1165="","Arabica",$B1165))&amp;" - "&amp;(IF($C1165="","Commercial",$C1165))),Variables!$B$1:$D$1,0),1))*IFERROR(IF(W1165="","",(AVERAGE(E1165:F1165)-W1165)-Variables!$B$14),""))+(T1165*INDEX(Variables!$B$9:$D$9,IFERROR(MATCH(IF($B1165="Robusta","Robusta",(IF($B1165="","Arabica",$B1165))&amp;" - "&amp;(IF($C1165="","Commercial",$C1165))),Variables!$B$1:$D$1,0),1))*IFERROR(IF(W1165="","",(AVERAGE(E1165:F1165)-W1165)-Variables!$B$14),"")/365),""))</f>
        <v>1.1153033065114963</v>
      </c>
      <c r="AT1165" s="12">
        <f>IF($H1165="Cancelled","",IFERROR((T1165*INDEX(Variables!$B$7:$D$7,IFERROR(MATCH(IF($B1165="Robusta","Robusta",(IF($B1165="","Arabica",$B1165))&amp;" - "&amp;(IF($C1165="","Commercial",$C1165))),Variables!$B$1:$D$1,0),1))*AC1165/365)+(L1165/16.67*INDEX(Variables!$B$8:$D$8,IFERROR(MATCH(IF($B1165="Robusta","Robusta",(IF($B1165="","Arabica",$B1165))&amp;" - "&amp;(IF($C1165="","Commercial",$C1165))),Variables!$B$1:$D$1,0),1))*AC1165)+(T1165*INDEX(Variables!$B$9:$D$9,IFERROR(MATCH(IF($B1165="Robusta","Robusta",(IF($B1165="","Arabica",$B1165))&amp;" - "&amp;(IF($C1165="","Commercial",$C1165))),Variables!$B$1:$D$1,0),1))*AC1165/365),""))</f>
        <v>0</v>
      </c>
      <c r="AU1165" s="12" t="str">
        <f>IF($H1165="Cancelled","",IFERROR((T1165*INDEX(Variables!$B$7:$D$7,IFERROR(MATCH(IF($B1165="Robusta","Robusta",(IF($B1165="","Arabica",$B1165))&amp;" - "&amp;(IF($C1165="","Commercial",$C1165))),Variables!$B$1:$D$1,0),1))*AP1165/365)+(L1165/16.67*INDEX(Variables!$B$8:$D$8,IFERROR(MATCH(IF($B1165="Robusta","Robusta",(IF($B1165="","Arabica",$B1165))&amp;" - "&amp;(IF($C1165="","Commercial",$C1165))),Variables!$B$1:$D$1,0),1))*AP1165)+(T1165*INDEX(Variables!$B$9:$D$9,IFERROR(MATCH(IF($B1165="Robusta","Robusta",(IF($B1165="","Arabica",$B1165))&amp;" - "&amp;(IF($C1165="","Commercial",$C1165))),Variables!$B$1:$D$1,0),1))*AP1165/365),""))</f>
        <v/>
      </c>
      <c r="AV1165" s="11" t="str">
        <f t="shared" si="114"/>
        <v/>
      </c>
      <c r="AW1165" s="12" t="str">
        <f>IF($H1165="Cancelled","",IFERROR(IF(AV1165="","",(T1165*INDEX(Variables!$B$7:$D$7,IFERROR(MATCH(IF($B1165="Robusta","Robusta",(IF($B1165="","Arabica",$B1165))&amp;" - "&amp;(IF($C1165="","Commercial",$C1165))),Variables!$B$1:$D$1,0),1))*(AV1165/365))+(T1165*INDEX(Variables!$B$9:$D$9,IFERROR(MATCH(IF($B1165="Robusta","Robusta",(IF($B1165="","Arabica",$B1165))&amp;" - "&amp;(IF($C1165="","Commercial",$C1165))),Variables!$B$1:$D$1,0),1))*(AV1165/365))+(INDEX(Variables!$B$8:$D$8,IFERROR(MATCH(IF($B1165="Robusta","Robusta",(IF($B1165="","Arabica",$B1165))&amp;" - "&amp;(IF($C1165="","Commercial",$C1165))),Variables!$B$1:$D$1,0),1))*L1165/16.67)),""))</f>
        <v/>
      </c>
      <c r="AX1165" s="9"/>
      <c r="AY1165" s="12"/>
      <c r="AZ1165" s="10"/>
      <c r="BA1165" s="9"/>
      <c r="BB1165" s="10"/>
      <c r="BC1165" s="9"/>
      <c r="BD1165" s="9"/>
      <c r="BE1165" s="9"/>
      <c r="BF1165" s="9"/>
    </row>
    <row r="1166" spans="1:58" x14ac:dyDescent="0.25">
      <c r="A1166" s="9" t="s">
        <v>84</v>
      </c>
      <c r="B1166" s="9" t="s">
        <v>85</v>
      </c>
      <c r="C1166" s="9" t="s">
        <v>1486</v>
      </c>
      <c r="D1166" s="10">
        <v>46045</v>
      </c>
      <c r="E1166" s="10">
        <v>46054</v>
      </c>
      <c r="F1166" s="10">
        <v>46081</v>
      </c>
      <c r="G1166" s="9">
        <v>3787142</v>
      </c>
      <c r="H1166" s="9" t="str">
        <f t="shared" si="111"/>
        <v>Open</v>
      </c>
      <c r="I1166" s="9" t="str">
        <f t="shared" si="112"/>
        <v>No sailing date and No shipping advice sent and No docs dispatch date</v>
      </c>
      <c r="J1166" s="9" t="s">
        <v>2399</v>
      </c>
      <c r="K1166" s="9" t="s">
        <v>2484</v>
      </c>
      <c r="L1166" s="11">
        <v>11</v>
      </c>
      <c r="M1166" s="9" t="s">
        <v>2485</v>
      </c>
      <c r="N1166" s="9"/>
      <c r="O1166" s="9"/>
      <c r="P1166" s="9"/>
      <c r="Q1166" s="11">
        <v>149.30000000000001</v>
      </c>
      <c r="R1166" s="9" t="s">
        <v>195</v>
      </c>
      <c r="S1166" s="9" t="s">
        <v>228</v>
      </c>
      <c r="T1166" s="12">
        <f>IF($H1166="Cancelled","",IFERROR(((Q1166+INDEX(Variables!$B$6:$D$6,IFERROR(MATCH(IF($B1166="Robusta","Robusta",(IF($B1166="","Arabica",$B1166))&amp;" - "&amp;(IF($C1166="","Commercial",$C1166))),Variables!$B$1:$D$1,0),1)))*22.0462)*(L1166/16.67),""))</f>
        <v>6402.3910509898014</v>
      </c>
      <c r="U1166" s="10"/>
      <c r="V1166" s="9" t="str">
        <f t="shared" si="113"/>
        <v/>
      </c>
      <c r="W1166" s="10">
        <v>46037</v>
      </c>
      <c r="X1166" s="9" t="str">
        <f t="shared" si="110"/>
        <v>Approved</v>
      </c>
      <c r="Y1166" s="10">
        <v>46066</v>
      </c>
      <c r="Z1166" s="10">
        <f>IF($H1166="Cancelled","",IFERROR(IF(F1166="","",F1166-Variables!$B$13),""))</f>
        <v>46066</v>
      </c>
      <c r="AA1166" s="11">
        <f>IF($H1166="Cancelled","",IFERROR(IF(W1166="","",(AVERAGE(E1166:F1166)-W1166)-Variables!$B$14),""))</f>
        <v>0.5</v>
      </c>
      <c r="AB1166" s="10">
        <v>46081</v>
      </c>
      <c r="AC1166" s="11">
        <f>IF($H1166="Cancelled","",IFERROR(IF(AB1166="","",IF(AND(W1166="",Y1166=""),"",IF(Y1166&gt;W1166,Y1166+Variables!$B$15+Variables!$B$16+Variables!$B$17-AB1166,W1166+Variables!$B$16+Variables!$B$17-AB1166))),""))</f>
        <v>0</v>
      </c>
      <c r="AD1166" s="9" t="s">
        <v>165</v>
      </c>
      <c r="AE1166" s="9" t="s">
        <v>818</v>
      </c>
      <c r="AF1166" s="10"/>
      <c r="AG1166" s="10"/>
      <c r="AH1166" s="9"/>
      <c r="AI1166" s="9"/>
      <c r="AJ1166" s="9"/>
      <c r="AK1166" s="10"/>
      <c r="AL1166" s="10"/>
      <c r="AM1166" s="10"/>
      <c r="AN1166" s="9" t="s">
        <v>2465</v>
      </c>
      <c r="AO1166" s="9"/>
      <c r="AP1166" s="11" t="str">
        <f>IF($H1166="Cancelled","",IFERROR(IF(OR(AK1166="",AB1166=""),"",(AB1166+Variables!$B$18-AK1166)),""))</f>
        <v/>
      </c>
      <c r="AQ1166" s="11" t="str">
        <f>IF($H1166="Cancelled","",IFERROR(IF(OR(AM1166="",AK1166=""),"",(AK1166+Variables!$B$19)-AM1166),""))</f>
        <v/>
      </c>
      <c r="AR1166" s="12" t="str">
        <f>IF($H1166="Cancelled","",IFERROR(T1166*INDEX(Variables!$B$7:$D$7,IFERROR(MATCH(IF($B1166="Robusta","Robusta",(IF($B1166="","Arabica",$B1166))&amp;" - "&amp;(IF($C1166="","Commercial",$C1166))),Variables!$B$1:$D$1,0),1))*(AQ1166/365),""))</f>
        <v/>
      </c>
      <c r="AS1166" s="12">
        <f>IF($H1166="Cancelled","",IFERROR((T1166*INDEX(Variables!$B$7:$D$7,IFERROR(MATCH(IF($B1166="Robusta","Robusta",(IF($B1166="","Arabica",$B1166))&amp;" - "&amp;(IF($C1166="","Commercial",$C1166))),Variables!$B$1:$D$1,0),1))*IFERROR(IF(W1166="","",(AVERAGE(E1166:F1166)-W1166)-Variables!$B$14),"")/365)+(L1166/16.67*INDEX(Variables!$B$8:$D$8,IFERROR(MATCH(IF($B1166="Robusta","Robusta",(IF($B1166="","Arabica",$B1166))&amp;" - "&amp;(IF($C1166="","Commercial",$C1166))),Variables!$B$1:$D$1,0),1))*IFERROR(IF(W1166="","",(AVERAGE(E1166:F1166)-W1166)-Variables!$B$14),""))+(T1166*INDEX(Variables!$B$9:$D$9,IFERROR(MATCH(IF($B1166="Robusta","Robusta",(IF($B1166="","Arabica",$B1166))&amp;" - "&amp;(IF($C1166="","Commercial",$C1166))),Variables!$B$1:$D$1,0),1))*IFERROR(IF(W1166="","",(AVERAGE(E1166:F1166)-W1166)-Variables!$B$14),"")/365),""))</f>
        <v>0.84782543549153755</v>
      </c>
      <c r="AT1166" s="12">
        <f>IF($H1166="Cancelled","",IFERROR((T1166*INDEX(Variables!$B$7:$D$7,IFERROR(MATCH(IF($B1166="Robusta","Robusta",(IF($B1166="","Arabica",$B1166))&amp;" - "&amp;(IF($C1166="","Commercial",$C1166))),Variables!$B$1:$D$1,0),1))*AC1166/365)+(L1166/16.67*INDEX(Variables!$B$8:$D$8,IFERROR(MATCH(IF($B1166="Robusta","Robusta",(IF($B1166="","Arabica",$B1166))&amp;" - "&amp;(IF($C1166="","Commercial",$C1166))),Variables!$B$1:$D$1,0),1))*AC1166)+(T1166*INDEX(Variables!$B$9:$D$9,IFERROR(MATCH(IF($B1166="Robusta","Robusta",(IF($B1166="","Arabica",$B1166))&amp;" - "&amp;(IF($C1166="","Commercial",$C1166))),Variables!$B$1:$D$1,0),1))*AC1166/365),""))</f>
        <v>0</v>
      </c>
      <c r="AU1166" s="12" t="str">
        <f>IF($H1166="Cancelled","",IFERROR((T1166*INDEX(Variables!$B$7:$D$7,IFERROR(MATCH(IF($B1166="Robusta","Robusta",(IF($B1166="","Arabica",$B1166))&amp;" - "&amp;(IF($C1166="","Commercial",$C1166))),Variables!$B$1:$D$1,0),1))*AP1166/365)+(L1166/16.67*INDEX(Variables!$B$8:$D$8,IFERROR(MATCH(IF($B1166="Robusta","Robusta",(IF($B1166="","Arabica",$B1166))&amp;" - "&amp;(IF($C1166="","Commercial",$C1166))),Variables!$B$1:$D$1,0),1))*AP1166)+(T1166*INDEX(Variables!$B$9:$D$9,IFERROR(MATCH(IF($B1166="Robusta","Robusta",(IF($B1166="","Arabica",$B1166))&amp;" - "&amp;(IF($C1166="","Commercial",$C1166))),Variables!$B$1:$D$1,0),1))*AP1166/365),""))</f>
        <v/>
      </c>
      <c r="AV1166" s="11" t="str">
        <f t="shared" si="114"/>
        <v/>
      </c>
      <c r="AW1166" s="12" t="str">
        <f>IF($H1166="Cancelled","",IFERROR(IF(AV1166="","",(T1166*INDEX(Variables!$B$7:$D$7,IFERROR(MATCH(IF($B1166="Robusta","Robusta",(IF($B1166="","Arabica",$B1166))&amp;" - "&amp;(IF($C1166="","Commercial",$C1166))),Variables!$B$1:$D$1,0),1))*(AV1166/365))+(T1166*INDEX(Variables!$B$9:$D$9,IFERROR(MATCH(IF($B1166="Robusta","Robusta",(IF($B1166="","Arabica",$B1166))&amp;" - "&amp;(IF($C1166="","Commercial",$C1166))),Variables!$B$1:$D$1,0),1))*(AV1166/365))+(INDEX(Variables!$B$8:$D$8,IFERROR(MATCH(IF($B1166="Robusta","Robusta",(IF($B1166="","Arabica",$B1166))&amp;" - "&amp;(IF($C1166="","Commercial",$C1166))),Variables!$B$1:$D$1,0),1))*L1166/16.67)),""))</f>
        <v/>
      </c>
      <c r="AX1166" s="9"/>
      <c r="AY1166" s="12"/>
      <c r="AZ1166" s="10"/>
      <c r="BA1166" s="9"/>
      <c r="BB1166" s="10"/>
      <c r="BC1166" s="9"/>
      <c r="BD1166" s="9"/>
      <c r="BE1166" s="9"/>
      <c r="BF1166" s="9"/>
    </row>
    <row r="1167" spans="1:58" x14ac:dyDescent="0.25">
      <c r="A1167" s="9" t="s">
        <v>84</v>
      </c>
      <c r="B1167" s="9" t="s">
        <v>85</v>
      </c>
      <c r="C1167" s="9" t="s">
        <v>1486</v>
      </c>
      <c r="D1167" s="10">
        <v>46045</v>
      </c>
      <c r="E1167" s="10">
        <v>46054</v>
      </c>
      <c r="F1167" s="10">
        <v>46081</v>
      </c>
      <c r="G1167" s="9">
        <v>3787153</v>
      </c>
      <c r="H1167" s="9" t="str">
        <f t="shared" si="111"/>
        <v>Open</v>
      </c>
      <c r="I1167" s="9" t="str">
        <f t="shared" si="112"/>
        <v>No sailing date and No shipping advice sent and No docs dispatch date</v>
      </c>
      <c r="J1167" s="9" t="s">
        <v>2399</v>
      </c>
      <c r="K1167" s="9" t="s">
        <v>2486</v>
      </c>
      <c r="L1167" s="11">
        <v>20</v>
      </c>
      <c r="M1167" s="9" t="s">
        <v>2487</v>
      </c>
      <c r="N1167" s="9"/>
      <c r="O1167" s="9"/>
      <c r="P1167" s="9"/>
      <c r="Q1167" s="11">
        <v>113.3</v>
      </c>
      <c r="R1167" s="9" t="s">
        <v>195</v>
      </c>
      <c r="S1167" s="9" t="s">
        <v>228</v>
      </c>
      <c r="T1167" s="12">
        <f>IF($H1167="Cancelled","",IFERROR(((Q1167+INDEX(Variables!$B$6:$D$6,IFERROR(MATCH(IF($B1167="Robusta","Robusta",(IF($B1167="","Arabica",$B1167))&amp;" - "&amp;(IF($C1167="","Commercial",$C1167))),Variables!$B$1:$D$1,0),1)))*22.0462)*(L1167/16.67),""))</f>
        <v>10688.505602879424</v>
      </c>
      <c r="U1167" s="10"/>
      <c r="V1167" s="9" t="str">
        <f t="shared" si="113"/>
        <v/>
      </c>
      <c r="W1167" s="10">
        <v>46037</v>
      </c>
      <c r="X1167" s="9" t="str">
        <f t="shared" si="110"/>
        <v>Approved</v>
      </c>
      <c r="Y1167" s="10">
        <v>46066</v>
      </c>
      <c r="Z1167" s="10">
        <f>IF($H1167="Cancelled","",IFERROR(IF(F1167="","",F1167-Variables!$B$13),""))</f>
        <v>46066</v>
      </c>
      <c r="AA1167" s="11">
        <f>IF($H1167="Cancelled","",IFERROR(IF(W1167="","",(AVERAGE(E1167:F1167)-W1167)-Variables!$B$14),""))</f>
        <v>0.5</v>
      </c>
      <c r="AB1167" s="10">
        <v>46081</v>
      </c>
      <c r="AC1167" s="11">
        <f>IF($H1167="Cancelled","",IFERROR(IF(AB1167="","",IF(AND(W1167="",Y1167=""),"",IF(Y1167&gt;W1167,Y1167+Variables!$B$15+Variables!$B$16+Variables!$B$17-AB1167,W1167+Variables!$B$16+Variables!$B$17-AB1167))),""))</f>
        <v>0</v>
      </c>
      <c r="AD1167" s="9" t="s">
        <v>165</v>
      </c>
      <c r="AE1167" s="9" t="s">
        <v>818</v>
      </c>
      <c r="AF1167" s="10"/>
      <c r="AG1167" s="10"/>
      <c r="AH1167" s="9"/>
      <c r="AI1167" s="9"/>
      <c r="AJ1167" s="9"/>
      <c r="AK1167" s="10"/>
      <c r="AL1167" s="10"/>
      <c r="AM1167" s="10"/>
      <c r="AN1167" s="9" t="s">
        <v>2465</v>
      </c>
      <c r="AO1167" s="9"/>
      <c r="AP1167" s="11" t="str">
        <f>IF($H1167="Cancelled","",IFERROR(IF(OR(AK1167="",AB1167=""),"",(AB1167+Variables!$B$18-AK1167)),""))</f>
        <v/>
      </c>
      <c r="AQ1167" s="11" t="str">
        <f>IF($H1167="Cancelled","",IFERROR(IF(OR(AM1167="",AK1167=""),"",(AK1167+Variables!$B$19)-AM1167),""))</f>
        <v/>
      </c>
      <c r="AR1167" s="12" t="str">
        <f>IF($H1167="Cancelled","",IFERROR(T1167*INDEX(Variables!$B$7:$D$7,IFERROR(MATCH(IF($B1167="Robusta","Robusta",(IF($B1167="","Arabica",$B1167))&amp;" - "&amp;(IF($C1167="","Commercial",$C1167))),Variables!$B$1:$D$1,0),1))*(AQ1167/365),""))</f>
        <v/>
      </c>
      <c r="AS1167" s="12">
        <f>IF($H1167="Cancelled","",IFERROR((T1167*INDEX(Variables!$B$7:$D$7,IFERROR(MATCH(IF($B1167="Robusta","Robusta",(IF($B1167="","Arabica",$B1167))&amp;" - "&amp;(IF($C1167="","Commercial",$C1167))),Variables!$B$1:$D$1,0),1))*IFERROR(IF(W1167="","",(AVERAGE(E1167:F1167)-W1167)-Variables!$B$14),"")/365)+(L1167/16.67*INDEX(Variables!$B$8:$D$8,IFERROR(MATCH(IF($B1167="Robusta","Robusta",(IF($B1167="","Arabica",$B1167))&amp;" - "&amp;(IF($C1167="","Commercial",$C1167))),Variables!$B$1:$D$1,0),1))*IFERROR(IF(W1167="","",(AVERAGE(E1167:F1167)-W1167)-Variables!$B$14),""))+(T1167*INDEX(Variables!$B$9:$D$9,IFERROR(MATCH(IF($B1167="Robusta","Robusta",(IF($B1167="","Arabica",$B1167))&amp;" - "&amp;(IF($C1167="","Commercial",$C1167))),Variables!$B$1:$D$1,0),1))*IFERROR(IF(W1167="","",(AVERAGE(E1167:F1167)-W1167)-Variables!$B$14),"")/365),""))</f>
        <v>1.4563064530050207</v>
      </c>
      <c r="AT1167" s="12">
        <f>IF($H1167="Cancelled","",IFERROR((T1167*INDEX(Variables!$B$7:$D$7,IFERROR(MATCH(IF($B1167="Robusta","Robusta",(IF($B1167="","Arabica",$B1167))&amp;" - "&amp;(IF($C1167="","Commercial",$C1167))),Variables!$B$1:$D$1,0),1))*AC1167/365)+(L1167/16.67*INDEX(Variables!$B$8:$D$8,IFERROR(MATCH(IF($B1167="Robusta","Robusta",(IF($B1167="","Arabica",$B1167))&amp;" - "&amp;(IF($C1167="","Commercial",$C1167))),Variables!$B$1:$D$1,0),1))*AC1167)+(T1167*INDEX(Variables!$B$9:$D$9,IFERROR(MATCH(IF($B1167="Robusta","Robusta",(IF($B1167="","Arabica",$B1167))&amp;" - "&amp;(IF($C1167="","Commercial",$C1167))),Variables!$B$1:$D$1,0),1))*AC1167/365),""))</f>
        <v>0</v>
      </c>
      <c r="AU1167" s="12" t="str">
        <f>IF($H1167="Cancelled","",IFERROR((T1167*INDEX(Variables!$B$7:$D$7,IFERROR(MATCH(IF($B1167="Robusta","Robusta",(IF($B1167="","Arabica",$B1167))&amp;" - "&amp;(IF($C1167="","Commercial",$C1167))),Variables!$B$1:$D$1,0),1))*AP1167/365)+(L1167/16.67*INDEX(Variables!$B$8:$D$8,IFERROR(MATCH(IF($B1167="Robusta","Robusta",(IF($B1167="","Arabica",$B1167))&amp;" - "&amp;(IF($C1167="","Commercial",$C1167))),Variables!$B$1:$D$1,0),1))*AP1167)+(T1167*INDEX(Variables!$B$9:$D$9,IFERROR(MATCH(IF($B1167="Robusta","Robusta",(IF($B1167="","Arabica",$B1167))&amp;" - "&amp;(IF($C1167="","Commercial",$C1167))),Variables!$B$1:$D$1,0),1))*AP1167/365),""))</f>
        <v/>
      </c>
      <c r="AV1167" s="11" t="str">
        <f t="shared" si="114"/>
        <v/>
      </c>
      <c r="AW1167" s="12" t="str">
        <f>IF($H1167="Cancelled","",IFERROR(IF(AV1167="","",(T1167*INDEX(Variables!$B$7:$D$7,IFERROR(MATCH(IF($B1167="Robusta","Robusta",(IF($B1167="","Arabica",$B1167))&amp;" - "&amp;(IF($C1167="","Commercial",$C1167))),Variables!$B$1:$D$1,0),1))*(AV1167/365))+(T1167*INDEX(Variables!$B$9:$D$9,IFERROR(MATCH(IF($B1167="Robusta","Robusta",(IF($B1167="","Arabica",$B1167))&amp;" - "&amp;(IF($C1167="","Commercial",$C1167))),Variables!$B$1:$D$1,0),1))*(AV1167/365))+(INDEX(Variables!$B$8:$D$8,IFERROR(MATCH(IF($B1167="Robusta","Robusta",(IF($B1167="","Arabica",$B1167))&amp;" - "&amp;(IF($C1167="","Commercial",$C1167))),Variables!$B$1:$D$1,0),1))*L1167/16.67)),""))</f>
        <v/>
      </c>
      <c r="AX1167" s="9"/>
      <c r="AY1167" s="12"/>
      <c r="AZ1167" s="10"/>
      <c r="BA1167" s="9"/>
      <c r="BB1167" s="10"/>
      <c r="BC1167" s="9"/>
      <c r="BD1167" s="9"/>
      <c r="BE1167" s="9"/>
      <c r="BF1167" s="9"/>
    </row>
    <row r="1168" spans="1:58" x14ac:dyDescent="0.25">
      <c r="A1168" s="9" t="s">
        <v>84</v>
      </c>
      <c r="B1168" s="9" t="s">
        <v>85</v>
      </c>
      <c r="C1168" s="9" t="s">
        <v>1486</v>
      </c>
      <c r="D1168" s="10">
        <v>46045</v>
      </c>
      <c r="E1168" s="10">
        <v>46054</v>
      </c>
      <c r="F1168" s="10">
        <v>46081</v>
      </c>
      <c r="G1168" s="9">
        <v>3787154</v>
      </c>
      <c r="H1168" s="9" t="str">
        <f t="shared" si="111"/>
        <v>Open</v>
      </c>
      <c r="I1168" s="9" t="str">
        <f t="shared" si="112"/>
        <v>No sailing date and No shipping advice sent and No docs dispatch date</v>
      </c>
      <c r="J1168" s="9" t="s">
        <v>2399</v>
      </c>
      <c r="K1168" s="9" t="s">
        <v>2488</v>
      </c>
      <c r="L1168" s="11">
        <v>12</v>
      </c>
      <c r="M1168" s="9" t="s">
        <v>2489</v>
      </c>
      <c r="N1168" s="9"/>
      <c r="O1168" s="9"/>
      <c r="P1168" s="9"/>
      <c r="Q1168" s="11">
        <v>91.3</v>
      </c>
      <c r="R1168" s="9" t="s">
        <v>195</v>
      </c>
      <c r="S1168" s="9" t="s">
        <v>228</v>
      </c>
      <c r="T1168" s="12">
        <f>IF($H1168="Cancelled","",IFERROR(((Q1168+INDEX(Variables!$B$6:$D$6,IFERROR(MATCH(IF($B1168="Robusta","Robusta",(IF($B1168="","Arabica",$B1168))&amp;" - "&amp;(IF($C1168="","Commercial",$C1168))),Variables!$B$1:$D$1,0),1)))*22.0462)*(L1168/16.67),""))</f>
        <v>6063.9613821235744</v>
      </c>
      <c r="U1168" s="10"/>
      <c r="V1168" s="9" t="str">
        <f t="shared" si="113"/>
        <v/>
      </c>
      <c r="W1168" s="10">
        <v>46037</v>
      </c>
      <c r="X1168" s="9" t="str">
        <f t="shared" si="110"/>
        <v>Approved</v>
      </c>
      <c r="Y1168" s="10">
        <v>46066</v>
      </c>
      <c r="Z1168" s="10">
        <f>IF($H1168="Cancelled","",IFERROR(IF(F1168="","",F1168-Variables!$B$13),""))</f>
        <v>46066</v>
      </c>
      <c r="AA1168" s="11">
        <f>IF($H1168="Cancelled","",IFERROR(IF(W1168="","",(AVERAGE(E1168:F1168)-W1168)-Variables!$B$14),""))</f>
        <v>0.5</v>
      </c>
      <c r="AB1168" s="10">
        <v>46081</v>
      </c>
      <c r="AC1168" s="11">
        <f>IF($H1168="Cancelled","",IFERROR(IF(AB1168="","",IF(AND(W1168="",Y1168=""),"",IF(Y1168&gt;W1168,Y1168+Variables!$B$15+Variables!$B$16+Variables!$B$17-AB1168,W1168+Variables!$B$16+Variables!$B$17-AB1168))),""))</f>
        <v>0</v>
      </c>
      <c r="AD1168" s="9" t="s">
        <v>165</v>
      </c>
      <c r="AE1168" s="9" t="s">
        <v>818</v>
      </c>
      <c r="AF1168" s="10"/>
      <c r="AG1168" s="10"/>
      <c r="AH1168" s="9"/>
      <c r="AI1168" s="9"/>
      <c r="AJ1168" s="9"/>
      <c r="AK1168" s="10"/>
      <c r="AL1168" s="10"/>
      <c r="AM1168" s="10"/>
      <c r="AN1168" s="9" t="s">
        <v>2465</v>
      </c>
      <c r="AO1168" s="9"/>
      <c r="AP1168" s="11" t="str">
        <f>IF($H1168="Cancelled","",IFERROR(IF(OR(AK1168="",AB1168=""),"",(AB1168+Variables!$B$18-AK1168)),""))</f>
        <v/>
      </c>
      <c r="AQ1168" s="11" t="str">
        <f>IF($H1168="Cancelled","",IFERROR(IF(OR(AM1168="",AK1168=""),"",(AK1168+Variables!$B$19)-AM1168),""))</f>
        <v/>
      </c>
      <c r="AR1168" s="12" t="str">
        <f>IF($H1168="Cancelled","",IFERROR(T1168*INDEX(Variables!$B$7:$D$7,IFERROR(MATCH(IF($B1168="Robusta","Robusta",(IF($B1168="","Arabica",$B1168))&amp;" - "&amp;(IF($C1168="","Commercial",$C1168))),Variables!$B$1:$D$1,0),1))*(AQ1168/365),""))</f>
        <v/>
      </c>
      <c r="AS1168" s="12">
        <f>IF($H1168="Cancelled","",IFERROR((T1168*INDEX(Variables!$B$7:$D$7,IFERROR(MATCH(IF($B1168="Robusta","Robusta",(IF($B1168="","Arabica",$B1168))&amp;" - "&amp;(IF($C1168="","Commercial",$C1168))),Variables!$B$1:$D$1,0),1))*IFERROR(IF(W1168="","",(AVERAGE(E1168:F1168)-W1168)-Variables!$B$14),"")/365)+(L1168/16.67*INDEX(Variables!$B$8:$D$8,IFERROR(MATCH(IF($B1168="Robusta","Robusta",(IF($B1168="","Arabica",$B1168))&amp;" - "&amp;(IF($C1168="","Commercial",$C1168))),Variables!$B$1:$D$1,0),1))*IFERROR(IF(W1168="","",(AVERAGE(E1168:F1168)-W1168)-Variables!$B$14),""))+(T1168*INDEX(Variables!$B$9:$D$9,IFERROR(MATCH(IF($B1168="Robusta","Robusta",(IF($B1168="","Arabica",$B1168))&amp;" - "&amp;(IF($C1168="","Commercial",$C1168))),Variables!$B$1:$D$1,0),1))*IFERROR(IF(W1168="","",(AVERAGE(E1168:F1168)-W1168)-Variables!$B$14),"")/365),""))</f>
        <v>0.84254594757716172</v>
      </c>
      <c r="AT1168" s="12">
        <f>IF($H1168="Cancelled","",IFERROR((T1168*INDEX(Variables!$B$7:$D$7,IFERROR(MATCH(IF($B1168="Robusta","Robusta",(IF($B1168="","Arabica",$B1168))&amp;" - "&amp;(IF($C1168="","Commercial",$C1168))),Variables!$B$1:$D$1,0),1))*AC1168/365)+(L1168/16.67*INDEX(Variables!$B$8:$D$8,IFERROR(MATCH(IF($B1168="Robusta","Robusta",(IF($B1168="","Arabica",$B1168))&amp;" - "&amp;(IF($C1168="","Commercial",$C1168))),Variables!$B$1:$D$1,0),1))*AC1168)+(T1168*INDEX(Variables!$B$9:$D$9,IFERROR(MATCH(IF($B1168="Robusta","Robusta",(IF($B1168="","Arabica",$B1168))&amp;" - "&amp;(IF($C1168="","Commercial",$C1168))),Variables!$B$1:$D$1,0),1))*AC1168/365),""))</f>
        <v>0</v>
      </c>
      <c r="AU1168" s="12" t="str">
        <f>IF($H1168="Cancelled","",IFERROR((T1168*INDEX(Variables!$B$7:$D$7,IFERROR(MATCH(IF($B1168="Robusta","Robusta",(IF($B1168="","Arabica",$B1168))&amp;" - "&amp;(IF($C1168="","Commercial",$C1168))),Variables!$B$1:$D$1,0),1))*AP1168/365)+(L1168/16.67*INDEX(Variables!$B$8:$D$8,IFERROR(MATCH(IF($B1168="Robusta","Robusta",(IF($B1168="","Arabica",$B1168))&amp;" - "&amp;(IF($C1168="","Commercial",$C1168))),Variables!$B$1:$D$1,0),1))*AP1168)+(T1168*INDEX(Variables!$B$9:$D$9,IFERROR(MATCH(IF($B1168="Robusta","Robusta",(IF($B1168="","Arabica",$B1168))&amp;" - "&amp;(IF($C1168="","Commercial",$C1168))),Variables!$B$1:$D$1,0),1))*AP1168/365),""))</f>
        <v/>
      </c>
      <c r="AV1168" s="11" t="str">
        <f t="shared" si="114"/>
        <v/>
      </c>
      <c r="AW1168" s="12" t="str">
        <f>IF($H1168="Cancelled","",IFERROR(IF(AV1168="","",(T1168*INDEX(Variables!$B$7:$D$7,IFERROR(MATCH(IF($B1168="Robusta","Robusta",(IF($B1168="","Arabica",$B1168))&amp;" - "&amp;(IF($C1168="","Commercial",$C1168))),Variables!$B$1:$D$1,0),1))*(AV1168/365))+(T1168*INDEX(Variables!$B$9:$D$9,IFERROR(MATCH(IF($B1168="Robusta","Robusta",(IF($B1168="","Arabica",$B1168))&amp;" - "&amp;(IF($C1168="","Commercial",$C1168))),Variables!$B$1:$D$1,0),1))*(AV1168/365))+(INDEX(Variables!$B$8:$D$8,IFERROR(MATCH(IF($B1168="Robusta","Robusta",(IF($B1168="","Arabica",$B1168))&amp;" - "&amp;(IF($C1168="","Commercial",$C1168))),Variables!$B$1:$D$1,0),1))*L1168/16.67)),""))</f>
        <v/>
      </c>
      <c r="AX1168" s="9"/>
      <c r="AY1168" s="12"/>
      <c r="AZ1168" s="10"/>
      <c r="BA1168" s="9"/>
      <c r="BB1168" s="10"/>
      <c r="BC1168" s="9"/>
      <c r="BD1168" s="9"/>
      <c r="BE1168" s="9"/>
      <c r="BF1168" s="9"/>
    </row>
    <row r="1169" spans="1:58" x14ac:dyDescent="0.25">
      <c r="A1169" s="9" t="s">
        <v>84</v>
      </c>
      <c r="B1169" s="9" t="s">
        <v>85</v>
      </c>
      <c r="C1169" s="9" t="s">
        <v>1486</v>
      </c>
      <c r="D1169" s="10">
        <v>46045</v>
      </c>
      <c r="E1169" s="10">
        <v>46054</v>
      </c>
      <c r="F1169" s="10">
        <v>46081</v>
      </c>
      <c r="G1169" s="9">
        <v>3787136</v>
      </c>
      <c r="H1169" s="9" t="str">
        <f t="shared" si="111"/>
        <v>Open</v>
      </c>
      <c r="I1169" s="9" t="str">
        <f t="shared" si="112"/>
        <v>No sailing date and No shipping advice sent and No docs dispatch date</v>
      </c>
      <c r="J1169" s="9" t="s">
        <v>1487</v>
      </c>
      <c r="K1169" s="9" t="s">
        <v>2490</v>
      </c>
      <c r="L1169" s="11">
        <v>30</v>
      </c>
      <c r="M1169" s="9" t="s">
        <v>2491</v>
      </c>
      <c r="N1169" s="9"/>
      <c r="O1169" s="9"/>
      <c r="P1169" s="9"/>
      <c r="Q1169" s="11">
        <v>158</v>
      </c>
      <c r="R1169" s="9" t="s">
        <v>90</v>
      </c>
      <c r="S1169" s="9" t="s">
        <v>183</v>
      </c>
      <c r="T1169" s="12">
        <f>IF($H1169="Cancelled","",IFERROR(((Q1169+INDEX(Variables!$B$6:$D$6,IFERROR(MATCH(IF($B1169="Robusta","Robusta",(IF($B1169="","Arabica",$B1169))&amp;" - "&amp;(IF($C1169="","Commercial",$C1169))),Variables!$B$1:$D$1,0),1)))*22.0462)*(L1169/16.67),""))</f>
        <v>17806.240959808034</v>
      </c>
      <c r="U1169" s="10"/>
      <c r="V1169" s="9" t="str">
        <f t="shared" si="113"/>
        <v/>
      </c>
      <c r="W1169" s="10">
        <v>46037</v>
      </c>
      <c r="X1169" s="9" t="str">
        <f t="shared" si="110"/>
        <v>Approved</v>
      </c>
      <c r="Y1169" s="10">
        <v>46066</v>
      </c>
      <c r="Z1169" s="10">
        <f>IF($H1169="Cancelled","",IFERROR(IF(F1169="","",F1169-Variables!$B$13),""))</f>
        <v>46066</v>
      </c>
      <c r="AA1169" s="11">
        <f>IF($H1169="Cancelled","",IFERROR(IF(W1169="","",(AVERAGE(E1169:F1169)-W1169)-Variables!$B$14),""))</f>
        <v>0.5</v>
      </c>
      <c r="AB1169" s="10">
        <v>46050</v>
      </c>
      <c r="AC1169" s="11">
        <f>IF($H1169="Cancelled","",IFERROR(IF(AB1169="","",IF(AND(W1169="",Y1169=""),"",IF(Y1169&gt;W1169,Y1169+Variables!$B$15+Variables!$B$16+Variables!$B$17-AB1169,W1169+Variables!$B$16+Variables!$B$17-AB1169))),""))</f>
        <v>31</v>
      </c>
      <c r="AD1169" s="9" t="s">
        <v>163</v>
      </c>
      <c r="AE1169" s="9"/>
      <c r="AF1169" s="10"/>
      <c r="AG1169" s="10"/>
      <c r="AH1169" s="9"/>
      <c r="AI1169" s="9"/>
      <c r="AJ1169" s="9"/>
      <c r="AK1169" s="10"/>
      <c r="AL1169" s="10"/>
      <c r="AM1169" s="10"/>
      <c r="AN1169" s="9" t="s">
        <v>2423</v>
      </c>
      <c r="AO1169" s="9"/>
      <c r="AP1169" s="11" t="str">
        <f>IF($H1169="Cancelled","",IFERROR(IF(OR(AK1169="",AB1169=""),"",(AB1169+Variables!$B$18-AK1169)),""))</f>
        <v/>
      </c>
      <c r="AQ1169" s="11" t="str">
        <f>IF($H1169="Cancelled","",IFERROR(IF(OR(AM1169="",AK1169=""),"",(AK1169+Variables!$B$19)-AM1169),""))</f>
        <v/>
      </c>
      <c r="AR1169" s="12" t="str">
        <f>IF($H1169="Cancelled","",IFERROR(T1169*INDEX(Variables!$B$7:$D$7,IFERROR(MATCH(IF($B1169="Robusta","Robusta",(IF($B1169="","Arabica",$B1169))&amp;" - "&amp;(IF($C1169="","Commercial",$C1169))),Variables!$B$1:$D$1,0),1))*(AQ1169/365),""))</f>
        <v/>
      </c>
      <c r="AS1169" s="12">
        <f>IF($H1169="Cancelled","",IFERROR((T1169*INDEX(Variables!$B$7:$D$7,IFERROR(MATCH(IF($B1169="Robusta","Robusta",(IF($B1169="","Arabica",$B1169))&amp;" - "&amp;(IF($C1169="","Commercial",$C1169))),Variables!$B$1:$D$1,0),1))*IFERROR(IF(W1169="","",(AVERAGE(E1169:F1169)-W1169)-Variables!$B$14),"")/365)+(L1169/16.67*INDEX(Variables!$B$8:$D$8,IFERROR(MATCH(IF($B1169="Robusta","Robusta",(IF($B1169="","Arabica",$B1169))&amp;" - "&amp;(IF($C1169="","Commercial",$C1169))),Variables!$B$1:$D$1,0),1))*IFERROR(IF(W1169="","",(AVERAGE(E1169:F1169)-W1169)-Variables!$B$14),""))+(T1169*INDEX(Variables!$B$9:$D$9,IFERROR(MATCH(IF($B1169="Robusta","Robusta",(IF($B1169="","Arabica",$B1169))&amp;" - "&amp;(IF($C1169="","Commercial",$C1169))),Variables!$B$1:$D$1,0),1))*IFERROR(IF(W1169="","",(AVERAGE(E1169:F1169)-W1169)-Variables!$B$14),"")/365),""))</f>
        <v>2.3431341355183863</v>
      </c>
      <c r="AT1169" s="12">
        <f>IF($H1169="Cancelled","",IFERROR((T1169*INDEX(Variables!$B$7:$D$7,IFERROR(MATCH(IF($B1169="Robusta","Robusta",(IF($B1169="","Arabica",$B1169))&amp;" - "&amp;(IF($C1169="","Commercial",$C1169))),Variables!$B$1:$D$1,0),1))*AC1169/365)+(L1169/16.67*INDEX(Variables!$B$8:$D$8,IFERROR(MATCH(IF($B1169="Robusta","Robusta",(IF($B1169="","Arabica",$B1169))&amp;" - "&amp;(IF($C1169="","Commercial",$C1169))),Variables!$B$1:$D$1,0),1))*AC1169)+(T1169*INDEX(Variables!$B$9:$D$9,IFERROR(MATCH(IF($B1169="Robusta","Robusta",(IF($B1169="","Arabica",$B1169))&amp;" - "&amp;(IF($C1169="","Commercial",$C1169))),Variables!$B$1:$D$1,0),1))*AC1169/365),""))</f>
        <v>145.27431640213996</v>
      </c>
      <c r="AU1169" s="12" t="str">
        <f>IF($H1169="Cancelled","",IFERROR((T1169*INDEX(Variables!$B$7:$D$7,IFERROR(MATCH(IF($B1169="Robusta","Robusta",(IF($B1169="","Arabica",$B1169))&amp;" - "&amp;(IF($C1169="","Commercial",$C1169))),Variables!$B$1:$D$1,0),1))*AP1169/365)+(L1169/16.67*INDEX(Variables!$B$8:$D$8,IFERROR(MATCH(IF($B1169="Robusta","Robusta",(IF($B1169="","Arabica",$B1169))&amp;" - "&amp;(IF($C1169="","Commercial",$C1169))),Variables!$B$1:$D$1,0),1))*AP1169)+(T1169*INDEX(Variables!$B$9:$D$9,IFERROR(MATCH(IF($B1169="Robusta","Robusta",(IF($B1169="","Arabica",$B1169))&amp;" - "&amp;(IF($C1169="","Commercial",$C1169))),Variables!$B$1:$D$1,0),1))*AP1169/365),""))</f>
        <v/>
      </c>
      <c r="AV1169" s="11" t="str">
        <f t="shared" si="114"/>
        <v/>
      </c>
      <c r="AW1169" s="12" t="str">
        <f>IF($H1169="Cancelled","",IFERROR(IF(AV1169="","",(T1169*INDEX(Variables!$B$7:$D$7,IFERROR(MATCH(IF($B1169="Robusta","Robusta",(IF($B1169="","Arabica",$B1169))&amp;" - "&amp;(IF($C1169="","Commercial",$C1169))),Variables!$B$1:$D$1,0),1))*(AV1169/365))+(T1169*INDEX(Variables!$B$9:$D$9,IFERROR(MATCH(IF($B1169="Robusta","Robusta",(IF($B1169="","Arabica",$B1169))&amp;" - "&amp;(IF($C1169="","Commercial",$C1169))),Variables!$B$1:$D$1,0),1))*(AV1169/365))+(INDEX(Variables!$B$8:$D$8,IFERROR(MATCH(IF($B1169="Robusta","Robusta",(IF($B1169="","Arabica",$B1169))&amp;" - "&amp;(IF($C1169="","Commercial",$C1169))),Variables!$B$1:$D$1,0),1))*L1169/16.67)),""))</f>
        <v/>
      </c>
      <c r="AX1169" s="9"/>
      <c r="AY1169" s="12"/>
      <c r="AZ1169" s="10"/>
      <c r="BA1169" s="9"/>
      <c r="BB1169" s="10"/>
      <c r="BC1169" s="9"/>
      <c r="BD1169" s="9"/>
      <c r="BE1169" s="9"/>
      <c r="BF1169" s="9"/>
    </row>
    <row r="1170" spans="1:58" x14ac:dyDescent="0.25">
      <c r="A1170" s="9" t="s">
        <v>84</v>
      </c>
      <c r="B1170" s="9" t="s">
        <v>85</v>
      </c>
      <c r="C1170" s="9" t="s">
        <v>1486</v>
      </c>
      <c r="D1170" s="10">
        <v>46045</v>
      </c>
      <c r="E1170" s="10">
        <v>46054</v>
      </c>
      <c r="F1170" s="10">
        <v>46081</v>
      </c>
      <c r="G1170" s="9">
        <v>3787137</v>
      </c>
      <c r="H1170" s="9" t="str">
        <f t="shared" si="111"/>
        <v>Open</v>
      </c>
      <c r="I1170" s="9" t="str">
        <f t="shared" si="112"/>
        <v>No sailing date and No shipping advice sent and No docs dispatch date</v>
      </c>
      <c r="J1170" s="9" t="s">
        <v>1487</v>
      </c>
      <c r="K1170" s="9" t="s">
        <v>2492</v>
      </c>
      <c r="L1170" s="11">
        <v>29</v>
      </c>
      <c r="M1170" s="9" t="s">
        <v>2493</v>
      </c>
      <c r="N1170" s="9"/>
      <c r="O1170" s="9"/>
      <c r="P1170" s="9"/>
      <c r="Q1170" s="11">
        <v>167</v>
      </c>
      <c r="R1170" s="9" t="s">
        <v>90</v>
      </c>
      <c r="S1170" s="9" t="s">
        <v>183</v>
      </c>
      <c r="T1170" s="12">
        <f>IF($H1170="Cancelled","",IFERROR(((Q1170+INDEX(Variables!$B$6:$D$6,IFERROR(MATCH(IF($B1170="Robusta","Robusta",(IF($B1170="","Arabica",$B1170))&amp;" - "&amp;(IF($C1170="","Commercial",$C1170))),Variables!$B$1:$D$1,0),1)))*22.0462)*(L1170/16.67),""))</f>
        <v>17557.874051589682</v>
      </c>
      <c r="U1170" s="10"/>
      <c r="V1170" s="9" t="str">
        <f t="shared" si="113"/>
        <v/>
      </c>
      <c r="W1170" s="10">
        <v>46037</v>
      </c>
      <c r="X1170" s="9" t="str">
        <f t="shared" si="110"/>
        <v>Approved</v>
      </c>
      <c r="Y1170" s="10">
        <v>46066</v>
      </c>
      <c r="Z1170" s="10">
        <f>IF($H1170="Cancelled","",IFERROR(IF(F1170="","",F1170-Variables!$B$13),""))</f>
        <v>46066</v>
      </c>
      <c r="AA1170" s="11">
        <f>IF($H1170="Cancelled","",IFERROR(IF(W1170="","",(AVERAGE(E1170:F1170)-W1170)-Variables!$B$14),""))</f>
        <v>0.5</v>
      </c>
      <c r="AB1170" s="10">
        <v>46050</v>
      </c>
      <c r="AC1170" s="11">
        <f>IF($H1170="Cancelled","",IFERROR(IF(AB1170="","",IF(AND(W1170="",Y1170=""),"",IF(Y1170&gt;W1170,Y1170+Variables!$B$15+Variables!$B$16+Variables!$B$17-AB1170,W1170+Variables!$B$16+Variables!$B$17-AB1170))),""))</f>
        <v>31</v>
      </c>
      <c r="AD1170" s="9" t="s">
        <v>163</v>
      </c>
      <c r="AE1170" s="9"/>
      <c r="AF1170" s="10"/>
      <c r="AG1170" s="10"/>
      <c r="AH1170" s="9"/>
      <c r="AI1170" s="9"/>
      <c r="AJ1170" s="9"/>
      <c r="AK1170" s="10"/>
      <c r="AL1170" s="10"/>
      <c r="AM1170" s="10"/>
      <c r="AN1170" s="9" t="s">
        <v>2423</v>
      </c>
      <c r="AO1170" s="9"/>
      <c r="AP1170" s="11" t="str">
        <f>IF($H1170="Cancelled","",IFERROR(IF(OR(AK1170="",AB1170=""),"",(AB1170+Variables!$B$18-AK1170)),""))</f>
        <v/>
      </c>
      <c r="AQ1170" s="11" t="str">
        <f>IF($H1170="Cancelled","",IFERROR(IF(OR(AM1170="",AK1170=""),"",(AK1170+Variables!$B$19)-AM1170),""))</f>
        <v/>
      </c>
      <c r="AR1170" s="12" t="str">
        <f>IF($H1170="Cancelled","",IFERROR(T1170*INDEX(Variables!$B$7:$D$7,IFERROR(MATCH(IF($B1170="Robusta","Robusta",(IF($B1170="","Arabica",$B1170))&amp;" - "&amp;(IF($C1170="","Commercial",$C1170))),Variables!$B$1:$D$1,0),1))*(AQ1170/365),""))</f>
        <v/>
      </c>
      <c r="AS1170" s="12">
        <f>IF($H1170="Cancelled","",IFERROR((T1170*INDEX(Variables!$B$7:$D$7,IFERROR(MATCH(IF($B1170="Robusta","Robusta",(IF($B1170="","Arabica",$B1170))&amp;" - "&amp;(IF($C1170="","Commercial",$C1170))),Variables!$B$1:$D$1,0),1))*IFERROR(IF(W1170="","",(AVERAGE(E1170:F1170)-W1170)-Variables!$B$14),"")/365)+(L1170/16.67*INDEX(Variables!$B$8:$D$8,IFERROR(MATCH(IF($B1170="Robusta","Robusta",(IF($B1170="","Arabica",$B1170))&amp;" - "&amp;(IF($C1170="","Commercial",$C1170))),Variables!$B$1:$D$1,0),1))*IFERROR(IF(W1170="","",(AVERAGE(E1170:F1170)-W1170)-Variables!$B$14),""))+(T1170*INDEX(Variables!$B$9:$D$9,IFERROR(MATCH(IF($B1170="Robusta","Robusta",(IF($B1170="","Arabica",$B1170))&amp;" - "&amp;(IF($C1170="","Commercial",$C1170))),Variables!$B$1:$D$1,0),1))*IFERROR(IF(W1170="","",(AVERAGE(E1170:F1170)-W1170)-Variables!$B$14),"")/365),""))</f>
        <v>2.295912612148634</v>
      </c>
      <c r="AT1170" s="12">
        <f>IF($H1170="Cancelled","",IFERROR((T1170*INDEX(Variables!$B$7:$D$7,IFERROR(MATCH(IF($B1170="Robusta","Robusta",(IF($B1170="","Arabica",$B1170))&amp;" - "&amp;(IF($C1170="","Commercial",$C1170))),Variables!$B$1:$D$1,0),1))*AC1170/365)+(L1170/16.67*INDEX(Variables!$B$8:$D$8,IFERROR(MATCH(IF($B1170="Robusta","Robusta",(IF($B1170="","Arabica",$B1170))&amp;" - "&amp;(IF($C1170="","Commercial",$C1170))),Variables!$B$1:$D$1,0),1))*AC1170)+(T1170*INDEX(Variables!$B$9:$D$9,IFERROR(MATCH(IF($B1170="Robusta","Robusta",(IF($B1170="","Arabica",$B1170))&amp;" - "&amp;(IF($C1170="","Commercial",$C1170))),Variables!$B$1:$D$1,0),1))*AC1170/365),""))</f>
        <v>142.34658195321529</v>
      </c>
      <c r="AU1170" s="12" t="str">
        <f>IF($H1170="Cancelled","",IFERROR((T1170*INDEX(Variables!$B$7:$D$7,IFERROR(MATCH(IF($B1170="Robusta","Robusta",(IF($B1170="","Arabica",$B1170))&amp;" - "&amp;(IF($C1170="","Commercial",$C1170))),Variables!$B$1:$D$1,0),1))*AP1170/365)+(L1170/16.67*INDEX(Variables!$B$8:$D$8,IFERROR(MATCH(IF($B1170="Robusta","Robusta",(IF($B1170="","Arabica",$B1170))&amp;" - "&amp;(IF($C1170="","Commercial",$C1170))),Variables!$B$1:$D$1,0),1))*AP1170)+(T1170*INDEX(Variables!$B$9:$D$9,IFERROR(MATCH(IF($B1170="Robusta","Robusta",(IF($B1170="","Arabica",$B1170))&amp;" - "&amp;(IF($C1170="","Commercial",$C1170))),Variables!$B$1:$D$1,0),1))*AP1170/365),""))</f>
        <v/>
      </c>
      <c r="AV1170" s="11" t="str">
        <f t="shared" si="114"/>
        <v/>
      </c>
      <c r="AW1170" s="12" t="str">
        <f>IF($H1170="Cancelled","",IFERROR(IF(AV1170="","",(T1170*INDEX(Variables!$B$7:$D$7,IFERROR(MATCH(IF($B1170="Robusta","Robusta",(IF($B1170="","Arabica",$B1170))&amp;" - "&amp;(IF($C1170="","Commercial",$C1170))),Variables!$B$1:$D$1,0),1))*(AV1170/365))+(T1170*INDEX(Variables!$B$9:$D$9,IFERROR(MATCH(IF($B1170="Robusta","Robusta",(IF($B1170="","Arabica",$B1170))&amp;" - "&amp;(IF($C1170="","Commercial",$C1170))),Variables!$B$1:$D$1,0),1))*(AV1170/365))+(INDEX(Variables!$B$8:$D$8,IFERROR(MATCH(IF($B1170="Robusta","Robusta",(IF($B1170="","Arabica",$B1170))&amp;" - "&amp;(IF($C1170="","Commercial",$C1170))),Variables!$B$1:$D$1,0),1))*L1170/16.67)),""))</f>
        <v/>
      </c>
      <c r="AX1170" s="9"/>
      <c r="AY1170" s="12"/>
      <c r="AZ1170" s="10"/>
      <c r="BA1170" s="9"/>
      <c r="BB1170" s="10"/>
      <c r="BC1170" s="9"/>
      <c r="BD1170" s="9"/>
      <c r="BE1170" s="9"/>
      <c r="BF1170" s="9"/>
    </row>
    <row r="1171" spans="1:58" x14ac:dyDescent="0.25">
      <c r="A1171" s="9" t="s">
        <v>84</v>
      </c>
      <c r="B1171" s="9" t="s">
        <v>85</v>
      </c>
      <c r="C1171" s="9" t="s">
        <v>1486</v>
      </c>
      <c r="D1171" s="10">
        <v>46045</v>
      </c>
      <c r="E1171" s="10">
        <v>46054</v>
      </c>
      <c r="F1171" s="10">
        <v>46081</v>
      </c>
      <c r="G1171" s="9">
        <v>3787138</v>
      </c>
      <c r="H1171" s="9" t="str">
        <f t="shared" si="111"/>
        <v>Open</v>
      </c>
      <c r="I1171" s="9" t="str">
        <f t="shared" si="112"/>
        <v>No sailing date and No shipping advice sent and No docs dispatch date</v>
      </c>
      <c r="J1171" s="9" t="s">
        <v>1487</v>
      </c>
      <c r="K1171" s="9" t="s">
        <v>2494</v>
      </c>
      <c r="L1171" s="11">
        <v>8</v>
      </c>
      <c r="M1171" s="9" t="s">
        <v>2495</v>
      </c>
      <c r="N1171" s="9"/>
      <c r="O1171" s="9"/>
      <c r="P1171" s="9"/>
      <c r="Q1171" s="11">
        <v>149</v>
      </c>
      <c r="R1171" s="9" t="s">
        <v>90</v>
      </c>
      <c r="S1171" s="9" t="s">
        <v>183</v>
      </c>
      <c r="T1171" s="12">
        <f>IF($H1171="Cancelled","",IFERROR(((Q1171+INDEX(Variables!$B$6:$D$6,IFERROR(MATCH(IF($B1171="Robusta","Robusta",(IF($B1171="","Arabica",$B1171))&amp;" - "&amp;(IF($C1171="","Commercial",$C1171))),Variables!$B$1:$D$1,0),1)))*22.0462)*(L1171/16.67),""))</f>
        <v>4653.1103827234547</v>
      </c>
      <c r="U1171" s="10"/>
      <c r="V1171" s="9" t="str">
        <f t="shared" si="113"/>
        <v/>
      </c>
      <c r="W1171" s="10">
        <v>46037</v>
      </c>
      <c r="X1171" s="9" t="str">
        <f t="shared" si="110"/>
        <v>Approved</v>
      </c>
      <c r="Y1171" s="10">
        <v>46066</v>
      </c>
      <c r="Z1171" s="10">
        <f>IF($H1171="Cancelled","",IFERROR(IF(F1171="","",F1171-Variables!$B$13),""))</f>
        <v>46066</v>
      </c>
      <c r="AA1171" s="11">
        <f>IF($H1171="Cancelled","",IFERROR(IF(W1171="","",(AVERAGE(E1171:F1171)-W1171)-Variables!$B$14),""))</f>
        <v>0.5</v>
      </c>
      <c r="AB1171" s="10">
        <v>46050</v>
      </c>
      <c r="AC1171" s="11">
        <f>IF($H1171="Cancelled","",IFERROR(IF(AB1171="","",IF(AND(W1171="",Y1171=""),"",IF(Y1171&gt;W1171,Y1171+Variables!$B$15+Variables!$B$16+Variables!$B$17-AB1171,W1171+Variables!$B$16+Variables!$B$17-AB1171))),""))</f>
        <v>31</v>
      </c>
      <c r="AD1171" s="9" t="s">
        <v>163</v>
      </c>
      <c r="AE1171" s="9"/>
      <c r="AF1171" s="10"/>
      <c r="AG1171" s="10"/>
      <c r="AH1171" s="9"/>
      <c r="AI1171" s="9"/>
      <c r="AJ1171" s="9"/>
      <c r="AK1171" s="10"/>
      <c r="AL1171" s="10"/>
      <c r="AM1171" s="10"/>
      <c r="AN1171" s="9" t="s">
        <v>2423</v>
      </c>
      <c r="AO1171" s="9"/>
      <c r="AP1171" s="11" t="str">
        <f>IF($H1171="Cancelled","",IFERROR(IF(OR(AK1171="",AB1171=""),"",(AB1171+Variables!$B$18-AK1171)),""))</f>
        <v/>
      </c>
      <c r="AQ1171" s="11" t="str">
        <f>IF($H1171="Cancelled","",IFERROR(IF(OR(AM1171="",AK1171=""),"",(AK1171+Variables!$B$19)-AM1171),""))</f>
        <v/>
      </c>
      <c r="AR1171" s="12" t="str">
        <f>IF($H1171="Cancelled","",IFERROR(T1171*INDEX(Variables!$B$7:$D$7,IFERROR(MATCH(IF($B1171="Robusta","Robusta",(IF($B1171="","Arabica",$B1171))&amp;" - "&amp;(IF($C1171="","Commercial",$C1171))),Variables!$B$1:$D$1,0),1))*(AQ1171/365),""))</f>
        <v/>
      </c>
      <c r="AS1171" s="12">
        <f>IF($H1171="Cancelled","",IFERROR((T1171*INDEX(Variables!$B$7:$D$7,IFERROR(MATCH(IF($B1171="Robusta","Robusta",(IF($B1171="","Arabica",$B1171))&amp;" - "&amp;(IF($C1171="","Commercial",$C1171))),Variables!$B$1:$D$1,0),1))*IFERROR(IF(W1171="","",(AVERAGE(E1171:F1171)-W1171)-Variables!$B$14),"")/365)+(L1171/16.67*INDEX(Variables!$B$8:$D$8,IFERROR(MATCH(IF($B1171="Robusta","Robusta",(IF($B1171="","Arabica",$B1171))&amp;" - "&amp;(IF($C1171="","Commercial",$C1171))),Variables!$B$1:$D$1,0),1))*IFERROR(IF(W1171="","",(AVERAGE(E1171:F1171)-W1171)-Variables!$B$14),""))+(T1171*INDEX(Variables!$B$9:$D$9,IFERROR(MATCH(IF($B1171="Robusta","Robusta",(IF($B1171="","Arabica",$B1171))&amp;" - "&amp;(IF($C1171="","Commercial",$C1171))),Variables!$B$1:$D$1,0),1))*IFERROR(IF(W1171="","",(AVERAGE(E1171:F1171)-W1171)-Variables!$B$14),"")/365),""))</f>
        <v>0.61631633559179233</v>
      </c>
      <c r="AT1171" s="12">
        <f>IF($H1171="Cancelled","",IFERROR((T1171*INDEX(Variables!$B$7:$D$7,IFERROR(MATCH(IF($B1171="Robusta","Robusta",(IF($B1171="","Arabica",$B1171))&amp;" - "&amp;(IF($C1171="","Commercial",$C1171))),Variables!$B$1:$D$1,0),1))*AC1171/365)+(L1171/16.67*INDEX(Variables!$B$8:$D$8,IFERROR(MATCH(IF($B1171="Robusta","Robusta",(IF($B1171="","Arabica",$B1171))&amp;" - "&amp;(IF($C1171="","Commercial",$C1171))),Variables!$B$1:$D$1,0),1))*AC1171)+(T1171*INDEX(Variables!$B$9:$D$9,IFERROR(MATCH(IF($B1171="Robusta","Robusta",(IF($B1171="","Arabica",$B1171))&amp;" - "&amp;(IF($C1171="","Commercial",$C1171))),Variables!$B$1:$D$1,0),1))*AC1171/365),""))</f>
        <v>38.211612806691122</v>
      </c>
      <c r="AU1171" s="12" t="str">
        <f>IF($H1171="Cancelled","",IFERROR((T1171*INDEX(Variables!$B$7:$D$7,IFERROR(MATCH(IF($B1171="Robusta","Robusta",(IF($B1171="","Arabica",$B1171))&amp;" - "&amp;(IF($C1171="","Commercial",$C1171))),Variables!$B$1:$D$1,0),1))*AP1171/365)+(L1171/16.67*INDEX(Variables!$B$8:$D$8,IFERROR(MATCH(IF($B1171="Robusta","Robusta",(IF($B1171="","Arabica",$B1171))&amp;" - "&amp;(IF($C1171="","Commercial",$C1171))),Variables!$B$1:$D$1,0),1))*AP1171)+(T1171*INDEX(Variables!$B$9:$D$9,IFERROR(MATCH(IF($B1171="Robusta","Robusta",(IF($B1171="","Arabica",$B1171))&amp;" - "&amp;(IF($C1171="","Commercial",$C1171))),Variables!$B$1:$D$1,0),1))*AP1171/365),""))</f>
        <v/>
      </c>
      <c r="AV1171" s="11" t="str">
        <f t="shared" si="114"/>
        <v/>
      </c>
      <c r="AW1171" s="12" t="str">
        <f>IF($H1171="Cancelled","",IFERROR(IF(AV1171="","",(T1171*INDEX(Variables!$B$7:$D$7,IFERROR(MATCH(IF($B1171="Robusta","Robusta",(IF($B1171="","Arabica",$B1171))&amp;" - "&amp;(IF($C1171="","Commercial",$C1171))),Variables!$B$1:$D$1,0),1))*(AV1171/365))+(T1171*INDEX(Variables!$B$9:$D$9,IFERROR(MATCH(IF($B1171="Robusta","Robusta",(IF($B1171="","Arabica",$B1171))&amp;" - "&amp;(IF($C1171="","Commercial",$C1171))),Variables!$B$1:$D$1,0),1))*(AV1171/365))+(INDEX(Variables!$B$8:$D$8,IFERROR(MATCH(IF($B1171="Robusta","Robusta",(IF($B1171="","Arabica",$B1171))&amp;" - "&amp;(IF($C1171="","Commercial",$C1171))),Variables!$B$1:$D$1,0),1))*L1171/16.67)),""))</f>
        <v/>
      </c>
      <c r="AX1171" s="9"/>
      <c r="AY1171" s="12"/>
      <c r="AZ1171" s="10"/>
      <c r="BA1171" s="9"/>
      <c r="BB1171" s="10"/>
      <c r="BC1171" s="9"/>
      <c r="BD1171" s="9"/>
      <c r="BE1171" s="9"/>
      <c r="BF1171" s="9"/>
    </row>
    <row r="1172" spans="1:58" x14ac:dyDescent="0.25">
      <c r="A1172" s="9" t="s">
        <v>84</v>
      </c>
      <c r="B1172" s="9" t="s">
        <v>85</v>
      </c>
      <c r="C1172" s="9" t="s">
        <v>1486</v>
      </c>
      <c r="D1172" s="10">
        <v>46049</v>
      </c>
      <c r="E1172" s="10">
        <v>46054</v>
      </c>
      <c r="F1172" s="10">
        <v>46081</v>
      </c>
      <c r="G1172" s="9">
        <v>3787179</v>
      </c>
      <c r="H1172" s="9" t="str">
        <f t="shared" si="111"/>
        <v>Open</v>
      </c>
      <c r="I1172" s="9" t="str">
        <f t="shared" si="112"/>
        <v>No sailing date and No shipping advice sent and No docs dispatch date</v>
      </c>
      <c r="J1172" s="9" t="s">
        <v>2399</v>
      </c>
      <c r="K1172" s="9" t="s">
        <v>2496</v>
      </c>
      <c r="L1172" s="11">
        <v>25</v>
      </c>
      <c r="M1172" s="9" t="s">
        <v>2497</v>
      </c>
      <c r="N1172" s="9"/>
      <c r="O1172" s="9"/>
      <c r="P1172" s="9"/>
      <c r="Q1172" s="11">
        <v>122</v>
      </c>
      <c r="R1172" s="9" t="s">
        <v>195</v>
      </c>
      <c r="S1172" s="9" t="s">
        <v>228</v>
      </c>
      <c r="T1172" s="12">
        <f>IF($H1172="Cancelled","",IFERROR(((Q1172+INDEX(Variables!$B$6:$D$6,IFERROR(MATCH(IF($B1172="Robusta","Robusta",(IF($B1172="","Arabica",$B1172))&amp;" - "&amp;(IF($C1172="","Commercial",$C1172))),Variables!$B$1:$D$1,0),1)))*22.0462)*(L1172/16.67),""))</f>
        <v>13648.277384523093</v>
      </c>
      <c r="U1172" s="10"/>
      <c r="V1172" s="9" t="str">
        <f t="shared" si="113"/>
        <v/>
      </c>
      <c r="W1172" s="10">
        <v>46037</v>
      </c>
      <c r="X1172" s="9" t="str">
        <f t="shared" si="110"/>
        <v>Approved</v>
      </c>
      <c r="Y1172" s="10">
        <v>46066</v>
      </c>
      <c r="Z1172" s="10">
        <f>IF($H1172="Cancelled","",IFERROR(IF(F1172="","",F1172-Variables!$B$13),""))</f>
        <v>46066</v>
      </c>
      <c r="AA1172" s="11">
        <f>IF($H1172="Cancelled","",IFERROR(IF(W1172="","",(AVERAGE(E1172:F1172)-W1172)-Variables!$B$14),""))</f>
        <v>0.5</v>
      </c>
      <c r="AB1172" s="10">
        <v>46086</v>
      </c>
      <c r="AC1172" s="11">
        <f>IF($H1172="Cancelled","",IFERROR(IF(AB1172="","",IF(AND(W1172="",Y1172=""),"",IF(Y1172&gt;W1172,Y1172+Variables!$B$15+Variables!$B$16+Variables!$B$17-AB1172,W1172+Variables!$B$16+Variables!$B$17-AB1172))),""))</f>
        <v>-5</v>
      </c>
      <c r="AD1172" s="9" t="s">
        <v>165</v>
      </c>
      <c r="AE1172" s="9" t="s">
        <v>2498</v>
      </c>
      <c r="AF1172" s="10"/>
      <c r="AG1172" s="10"/>
      <c r="AH1172" s="9"/>
      <c r="AI1172" s="9"/>
      <c r="AJ1172" s="9"/>
      <c r="AK1172" s="10"/>
      <c r="AL1172" s="10"/>
      <c r="AM1172" s="10"/>
      <c r="AN1172" s="9" t="s">
        <v>2499</v>
      </c>
      <c r="AO1172" s="9"/>
      <c r="AP1172" s="11" t="str">
        <f>IF($H1172="Cancelled","",IFERROR(IF(OR(AK1172="",AB1172=""),"",(AB1172+Variables!$B$18-AK1172)),""))</f>
        <v/>
      </c>
      <c r="AQ1172" s="11" t="str">
        <f>IF($H1172="Cancelled","",IFERROR(IF(OR(AM1172="",AK1172=""),"",(AK1172+Variables!$B$19)-AM1172),""))</f>
        <v/>
      </c>
      <c r="AR1172" s="12" t="str">
        <f>IF($H1172="Cancelled","",IFERROR(T1172*INDEX(Variables!$B$7:$D$7,IFERROR(MATCH(IF($B1172="Robusta","Robusta",(IF($B1172="","Arabica",$B1172))&amp;" - "&amp;(IF($C1172="","Commercial",$C1172))),Variables!$B$1:$D$1,0),1))*(AQ1172/365),""))</f>
        <v/>
      </c>
      <c r="AS1172" s="12">
        <f>IF($H1172="Cancelled","",IFERROR((T1172*INDEX(Variables!$B$7:$D$7,IFERROR(MATCH(IF($B1172="Robusta","Robusta",(IF($B1172="","Arabica",$B1172))&amp;" - "&amp;(IF($C1172="","Commercial",$C1172))),Variables!$B$1:$D$1,0),1))*IFERROR(IF(W1172="","",(AVERAGE(E1172:F1172)-W1172)-Variables!$B$14),"")/365)+(L1172/16.67*INDEX(Variables!$B$8:$D$8,IFERROR(MATCH(IF($B1172="Robusta","Robusta",(IF($B1172="","Arabica",$B1172))&amp;" - "&amp;(IF($C1172="","Commercial",$C1172))),Variables!$B$1:$D$1,0),1))*IFERROR(IF(W1172="","",(AVERAGE(E1172:F1172)-W1172)-Variables!$B$14),""))+(T1172*INDEX(Variables!$B$9:$D$9,IFERROR(MATCH(IF($B1172="Robusta","Robusta",(IF($B1172="","Arabica",$B1172))&amp;" - "&amp;(IF($C1172="","Commercial",$C1172))),Variables!$B$1:$D$1,0),1))*IFERROR(IF(W1172="","",(AVERAGE(E1172:F1172)-W1172)-Variables!$B$14),"")/365),""))</f>
        <v>1.8461188561014372</v>
      </c>
      <c r="AT1172" s="12">
        <f>IF($H1172="Cancelled","",IFERROR((T1172*INDEX(Variables!$B$7:$D$7,IFERROR(MATCH(IF($B1172="Robusta","Robusta",(IF($B1172="","Arabica",$B1172))&amp;" - "&amp;(IF($C1172="","Commercial",$C1172))),Variables!$B$1:$D$1,0),1))*AC1172/365)+(L1172/16.67*INDEX(Variables!$B$8:$D$8,IFERROR(MATCH(IF($B1172="Robusta","Robusta",(IF($B1172="","Arabica",$B1172))&amp;" - "&amp;(IF($C1172="","Commercial",$C1172))),Variables!$B$1:$D$1,0),1))*AC1172)+(T1172*INDEX(Variables!$B$9:$D$9,IFERROR(MATCH(IF($B1172="Robusta","Robusta",(IF($B1172="","Arabica",$B1172))&amp;" - "&amp;(IF($C1172="","Commercial",$C1172))),Variables!$B$1:$D$1,0),1))*AC1172/365),""))</f>
        <v>-18.461188561014371</v>
      </c>
      <c r="AU1172" s="12" t="str">
        <f>IF($H1172="Cancelled","",IFERROR((T1172*INDEX(Variables!$B$7:$D$7,IFERROR(MATCH(IF($B1172="Robusta","Robusta",(IF($B1172="","Arabica",$B1172))&amp;" - "&amp;(IF($C1172="","Commercial",$C1172))),Variables!$B$1:$D$1,0),1))*AP1172/365)+(L1172/16.67*INDEX(Variables!$B$8:$D$8,IFERROR(MATCH(IF($B1172="Robusta","Robusta",(IF($B1172="","Arabica",$B1172))&amp;" - "&amp;(IF($C1172="","Commercial",$C1172))),Variables!$B$1:$D$1,0),1))*AP1172)+(T1172*INDEX(Variables!$B$9:$D$9,IFERROR(MATCH(IF($B1172="Robusta","Robusta",(IF($B1172="","Arabica",$B1172))&amp;" - "&amp;(IF($C1172="","Commercial",$C1172))),Variables!$B$1:$D$1,0),1))*AP1172/365),""))</f>
        <v/>
      </c>
      <c r="AV1172" s="11" t="str">
        <f t="shared" si="114"/>
        <v/>
      </c>
      <c r="AW1172" s="12" t="str">
        <f>IF($H1172="Cancelled","",IFERROR(IF(AV1172="","",(T1172*INDEX(Variables!$B$7:$D$7,IFERROR(MATCH(IF($B1172="Robusta","Robusta",(IF($B1172="","Arabica",$B1172))&amp;" - "&amp;(IF($C1172="","Commercial",$C1172))),Variables!$B$1:$D$1,0),1))*(AV1172/365))+(T1172*INDEX(Variables!$B$9:$D$9,IFERROR(MATCH(IF($B1172="Robusta","Robusta",(IF($B1172="","Arabica",$B1172))&amp;" - "&amp;(IF($C1172="","Commercial",$C1172))),Variables!$B$1:$D$1,0),1))*(AV1172/365))+(INDEX(Variables!$B$8:$D$8,IFERROR(MATCH(IF($B1172="Robusta","Robusta",(IF($B1172="","Arabica",$B1172))&amp;" - "&amp;(IF($C1172="","Commercial",$C1172))),Variables!$B$1:$D$1,0),1))*L1172/16.67)),""))</f>
        <v/>
      </c>
      <c r="AX1172" s="9"/>
      <c r="AY1172" s="12"/>
      <c r="AZ1172" s="10"/>
      <c r="BA1172" s="9"/>
      <c r="BB1172" s="10"/>
      <c r="BC1172" s="9"/>
      <c r="BD1172" s="9"/>
      <c r="BE1172" s="9"/>
      <c r="BF1172" s="9"/>
    </row>
    <row r="1173" spans="1:58" x14ac:dyDescent="0.25">
      <c r="A1173" s="9" t="s">
        <v>84</v>
      </c>
      <c r="B1173" s="9" t="s">
        <v>85</v>
      </c>
      <c r="C1173" s="9" t="s">
        <v>1486</v>
      </c>
      <c r="D1173" s="10">
        <v>46049</v>
      </c>
      <c r="E1173" s="10">
        <v>46054</v>
      </c>
      <c r="F1173" s="10">
        <v>46081</v>
      </c>
      <c r="G1173" s="9">
        <v>3787180</v>
      </c>
      <c r="H1173" s="9" t="str">
        <f t="shared" si="111"/>
        <v>Open</v>
      </c>
      <c r="I1173" s="9" t="str">
        <f t="shared" si="112"/>
        <v>No sailing date and No shipping advice sent and No docs dispatch date</v>
      </c>
      <c r="J1173" s="9" t="s">
        <v>2399</v>
      </c>
      <c r="K1173" s="9" t="s">
        <v>2500</v>
      </c>
      <c r="L1173" s="11">
        <v>25</v>
      </c>
      <c r="M1173" s="9" t="s">
        <v>2501</v>
      </c>
      <c r="N1173" s="9"/>
      <c r="O1173" s="9"/>
      <c r="P1173" s="9"/>
      <c r="Q1173" s="11">
        <v>148</v>
      </c>
      <c r="R1173" s="9" t="s">
        <v>195</v>
      </c>
      <c r="S1173" s="9" t="s">
        <v>228</v>
      </c>
      <c r="T1173" s="12">
        <f>IF($H1173="Cancelled","",IFERROR(((Q1173+INDEX(Variables!$B$6:$D$6,IFERROR(MATCH(IF($B1173="Robusta","Robusta",(IF($B1173="","Arabica",$B1173))&amp;" - "&amp;(IF($C1173="","Commercial",$C1173))),Variables!$B$1:$D$1,0),1)))*22.0462)*(L1173/16.67),""))</f>
        <v>14507.907258548288</v>
      </c>
      <c r="U1173" s="10"/>
      <c r="V1173" s="9" t="str">
        <f t="shared" si="113"/>
        <v/>
      </c>
      <c r="W1173" s="10">
        <v>46037</v>
      </c>
      <c r="X1173" s="9" t="str">
        <f t="shared" si="110"/>
        <v>Approved</v>
      </c>
      <c r="Y1173" s="10">
        <v>46066</v>
      </c>
      <c r="Z1173" s="10">
        <f>IF($H1173="Cancelled","",IFERROR(IF(F1173="","",F1173-Variables!$B$13),""))</f>
        <v>46066</v>
      </c>
      <c r="AA1173" s="11">
        <f>IF($H1173="Cancelled","",IFERROR(IF(W1173="","",(AVERAGE(E1173:F1173)-W1173)-Variables!$B$14),""))</f>
        <v>0.5</v>
      </c>
      <c r="AB1173" s="10">
        <v>46086</v>
      </c>
      <c r="AC1173" s="11">
        <f>IF($H1173="Cancelled","",IFERROR(IF(AB1173="","",IF(AND(W1173="",Y1173=""),"",IF(Y1173&gt;W1173,Y1173+Variables!$B$15+Variables!$B$16+Variables!$B$17-AB1173,W1173+Variables!$B$16+Variables!$B$17-AB1173))),""))</f>
        <v>-5</v>
      </c>
      <c r="AD1173" s="9" t="s">
        <v>165</v>
      </c>
      <c r="AE1173" s="9" t="s">
        <v>2498</v>
      </c>
      <c r="AF1173" s="10"/>
      <c r="AG1173" s="10"/>
      <c r="AH1173" s="9"/>
      <c r="AI1173" s="9"/>
      <c r="AJ1173" s="9"/>
      <c r="AK1173" s="10"/>
      <c r="AL1173" s="10"/>
      <c r="AM1173" s="10"/>
      <c r="AN1173" s="9" t="s">
        <v>2499</v>
      </c>
      <c r="AO1173" s="9"/>
      <c r="AP1173" s="11" t="str">
        <f>IF($H1173="Cancelled","",IFERROR(IF(OR(AK1173="",AB1173=""),"",(AB1173+Variables!$B$18-AK1173)),""))</f>
        <v/>
      </c>
      <c r="AQ1173" s="11" t="str">
        <f>IF($H1173="Cancelled","",IFERROR(IF(OR(AM1173="",AK1173=""),"",(AK1173+Variables!$B$19)-AM1173),""))</f>
        <v/>
      </c>
      <c r="AR1173" s="12" t="str">
        <f>IF($H1173="Cancelled","",IFERROR(T1173*INDEX(Variables!$B$7:$D$7,IFERROR(MATCH(IF($B1173="Robusta","Robusta",(IF($B1173="","Arabica",$B1173))&amp;" - "&amp;(IF($C1173="","Commercial",$C1173))),Variables!$B$1:$D$1,0),1))*(AQ1173/365),""))</f>
        <v/>
      </c>
      <c r="AS1173" s="12">
        <f>IF($H1173="Cancelled","",IFERROR((T1173*INDEX(Variables!$B$7:$D$7,IFERROR(MATCH(IF($B1173="Robusta","Robusta",(IF($B1173="","Arabica",$B1173))&amp;" - "&amp;(IF($C1173="","Commercial",$C1173))),Variables!$B$1:$D$1,0),1))*IFERROR(IF(W1173="","",(AVERAGE(E1173:F1173)-W1173)-Variables!$B$14),"")/365)+(L1173/16.67*INDEX(Variables!$B$8:$D$8,IFERROR(MATCH(IF($B1173="Robusta","Robusta",(IF($B1173="","Arabica",$B1173))&amp;" - "&amp;(IF($C1173="","Commercial",$C1173))),Variables!$B$1:$D$1,0),1))*IFERROR(IF(W1173="","",(AVERAGE(E1173:F1173)-W1173)-Variables!$B$14),""))+(T1173*INDEX(Variables!$B$9:$D$9,IFERROR(MATCH(IF($B1173="Robusta","Robusta",(IF($B1173="","Arabica",$B1173))&amp;" - "&amp;(IF($C1173="","Commercial",$C1173))),Variables!$B$1:$D$1,0),1))*IFERROR(IF(W1173="","",(AVERAGE(E1173:F1173)-W1173)-Variables!$B$14),"")/365),""))</f>
        <v>1.9230304119605393</v>
      </c>
      <c r="AT1173" s="12">
        <f>IF($H1173="Cancelled","",IFERROR((T1173*INDEX(Variables!$B$7:$D$7,IFERROR(MATCH(IF($B1173="Robusta","Robusta",(IF($B1173="","Arabica",$B1173))&amp;" - "&amp;(IF($C1173="","Commercial",$C1173))),Variables!$B$1:$D$1,0),1))*AC1173/365)+(L1173/16.67*INDEX(Variables!$B$8:$D$8,IFERROR(MATCH(IF($B1173="Robusta","Robusta",(IF($B1173="","Arabica",$B1173))&amp;" - "&amp;(IF($C1173="","Commercial",$C1173))),Variables!$B$1:$D$1,0),1))*AC1173)+(T1173*INDEX(Variables!$B$9:$D$9,IFERROR(MATCH(IF($B1173="Robusta","Robusta",(IF($B1173="","Arabica",$B1173))&amp;" - "&amp;(IF($C1173="","Commercial",$C1173))),Variables!$B$1:$D$1,0),1))*AC1173/365),""))</f>
        <v>-19.230304119605393</v>
      </c>
      <c r="AU1173" s="12" t="str">
        <f>IF($H1173="Cancelled","",IFERROR((T1173*INDEX(Variables!$B$7:$D$7,IFERROR(MATCH(IF($B1173="Robusta","Robusta",(IF($B1173="","Arabica",$B1173))&amp;" - "&amp;(IF($C1173="","Commercial",$C1173))),Variables!$B$1:$D$1,0),1))*AP1173/365)+(L1173/16.67*INDEX(Variables!$B$8:$D$8,IFERROR(MATCH(IF($B1173="Robusta","Robusta",(IF($B1173="","Arabica",$B1173))&amp;" - "&amp;(IF($C1173="","Commercial",$C1173))),Variables!$B$1:$D$1,0),1))*AP1173)+(T1173*INDEX(Variables!$B$9:$D$9,IFERROR(MATCH(IF($B1173="Robusta","Robusta",(IF($B1173="","Arabica",$B1173))&amp;" - "&amp;(IF($C1173="","Commercial",$C1173))),Variables!$B$1:$D$1,0),1))*AP1173/365),""))</f>
        <v/>
      </c>
      <c r="AV1173" s="11" t="str">
        <f t="shared" si="114"/>
        <v/>
      </c>
      <c r="AW1173" s="12" t="str">
        <f>IF($H1173="Cancelled","",IFERROR(IF(AV1173="","",(T1173*INDEX(Variables!$B$7:$D$7,IFERROR(MATCH(IF($B1173="Robusta","Robusta",(IF($B1173="","Arabica",$B1173))&amp;" - "&amp;(IF($C1173="","Commercial",$C1173))),Variables!$B$1:$D$1,0),1))*(AV1173/365))+(T1173*INDEX(Variables!$B$9:$D$9,IFERROR(MATCH(IF($B1173="Robusta","Robusta",(IF($B1173="","Arabica",$B1173))&amp;" - "&amp;(IF($C1173="","Commercial",$C1173))),Variables!$B$1:$D$1,0),1))*(AV1173/365))+(INDEX(Variables!$B$8:$D$8,IFERROR(MATCH(IF($B1173="Robusta","Robusta",(IF($B1173="","Arabica",$B1173))&amp;" - "&amp;(IF($C1173="","Commercial",$C1173))),Variables!$B$1:$D$1,0),1))*L1173/16.67)),""))</f>
        <v/>
      </c>
      <c r="AX1173" s="9"/>
      <c r="AY1173" s="12"/>
      <c r="AZ1173" s="10"/>
      <c r="BA1173" s="9"/>
      <c r="BB1173" s="10"/>
      <c r="BC1173" s="9"/>
      <c r="BD1173" s="9"/>
      <c r="BE1173" s="9"/>
      <c r="BF1173" s="9"/>
    </row>
    <row r="1174" spans="1:58" x14ac:dyDescent="0.25">
      <c r="A1174" s="9" t="s">
        <v>84</v>
      </c>
      <c r="B1174" s="9" t="s">
        <v>85</v>
      </c>
      <c r="C1174" s="9" t="s">
        <v>1486</v>
      </c>
      <c r="D1174" s="10">
        <v>46049</v>
      </c>
      <c r="E1174" s="10">
        <v>46054</v>
      </c>
      <c r="F1174" s="10">
        <v>46081</v>
      </c>
      <c r="G1174" s="9">
        <v>3787181</v>
      </c>
      <c r="H1174" s="9" t="str">
        <f t="shared" si="111"/>
        <v>Open</v>
      </c>
      <c r="I1174" s="9" t="str">
        <f t="shared" si="112"/>
        <v>No sailing date and No shipping advice sent and No docs dispatch date</v>
      </c>
      <c r="J1174" s="9" t="s">
        <v>2399</v>
      </c>
      <c r="K1174" s="9" t="s">
        <v>2502</v>
      </c>
      <c r="L1174" s="11">
        <v>25</v>
      </c>
      <c r="M1174" s="9" t="s">
        <v>2503</v>
      </c>
      <c r="N1174" s="9"/>
      <c r="O1174" s="9"/>
      <c r="P1174" s="9"/>
      <c r="Q1174" s="11">
        <v>148</v>
      </c>
      <c r="R1174" s="9" t="s">
        <v>195</v>
      </c>
      <c r="S1174" s="9" t="s">
        <v>228</v>
      </c>
      <c r="T1174" s="12">
        <f>IF($H1174="Cancelled","",IFERROR(((Q1174+INDEX(Variables!$B$6:$D$6,IFERROR(MATCH(IF($B1174="Robusta","Robusta",(IF($B1174="","Arabica",$B1174))&amp;" - "&amp;(IF($C1174="","Commercial",$C1174))),Variables!$B$1:$D$1,0),1)))*22.0462)*(L1174/16.67),""))</f>
        <v>14507.907258548288</v>
      </c>
      <c r="U1174" s="10"/>
      <c r="V1174" s="9" t="str">
        <f t="shared" si="113"/>
        <v/>
      </c>
      <c r="W1174" s="10">
        <v>46037</v>
      </c>
      <c r="X1174" s="9" t="str">
        <f t="shared" si="110"/>
        <v>Approved</v>
      </c>
      <c r="Y1174" s="10">
        <v>46066</v>
      </c>
      <c r="Z1174" s="10">
        <f>IF($H1174="Cancelled","",IFERROR(IF(F1174="","",F1174-Variables!$B$13),""))</f>
        <v>46066</v>
      </c>
      <c r="AA1174" s="11">
        <f>IF($H1174="Cancelled","",IFERROR(IF(W1174="","",(AVERAGE(E1174:F1174)-W1174)-Variables!$B$14),""))</f>
        <v>0.5</v>
      </c>
      <c r="AB1174" s="10">
        <v>46086</v>
      </c>
      <c r="AC1174" s="11">
        <f>IF($H1174="Cancelled","",IFERROR(IF(AB1174="","",IF(AND(W1174="",Y1174=""),"",IF(Y1174&gt;W1174,Y1174+Variables!$B$15+Variables!$B$16+Variables!$B$17-AB1174,W1174+Variables!$B$16+Variables!$B$17-AB1174))),""))</f>
        <v>-5</v>
      </c>
      <c r="AD1174" s="9" t="s">
        <v>165</v>
      </c>
      <c r="AE1174" s="9" t="s">
        <v>2498</v>
      </c>
      <c r="AF1174" s="10"/>
      <c r="AG1174" s="10"/>
      <c r="AH1174" s="9"/>
      <c r="AI1174" s="9"/>
      <c r="AJ1174" s="9"/>
      <c r="AK1174" s="10"/>
      <c r="AL1174" s="10"/>
      <c r="AM1174" s="10"/>
      <c r="AN1174" s="9" t="s">
        <v>2499</v>
      </c>
      <c r="AO1174" s="9"/>
      <c r="AP1174" s="11" t="str">
        <f>IF($H1174="Cancelled","",IFERROR(IF(OR(AK1174="",AB1174=""),"",(AB1174+Variables!$B$18-AK1174)),""))</f>
        <v/>
      </c>
      <c r="AQ1174" s="11" t="str">
        <f>IF($H1174="Cancelled","",IFERROR(IF(OR(AM1174="",AK1174=""),"",(AK1174+Variables!$B$19)-AM1174),""))</f>
        <v/>
      </c>
      <c r="AR1174" s="12" t="str">
        <f>IF($H1174="Cancelled","",IFERROR(T1174*INDEX(Variables!$B$7:$D$7,IFERROR(MATCH(IF($B1174="Robusta","Robusta",(IF($B1174="","Arabica",$B1174))&amp;" - "&amp;(IF($C1174="","Commercial",$C1174))),Variables!$B$1:$D$1,0),1))*(AQ1174/365),""))</f>
        <v/>
      </c>
      <c r="AS1174" s="12">
        <f>IF($H1174="Cancelled","",IFERROR((T1174*INDEX(Variables!$B$7:$D$7,IFERROR(MATCH(IF($B1174="Robusta","Robusta",(IF($B1174="","Arabica",$B1174))&amp;" - "&amp;(IF($C1174="","Commercial",$C1174))),Variables!$B$1:$D$1,0),1))*IFERROR(IF(W1174="","",(AVERAGE(E1174:F1174)-W1174)-Variables!$B$14),"")/365)+(L1174/16.67*INDEX(Variables!$B$8:$D$8,IFERROR(MATCH(IF($B1174="Robusta","Robusta",(IF($B1174="","Arabica",$B1174))&amp;" - "&amp;(IF($C1174="","Commercial",$C1174))),Variables!$B$1:$D$1,0),1))*IFERROR(IF(W1174="","",(AVERAGE(E1174:F1174)-W1174)-Variables!$B$14),""))+(T1174*INDEX(Variables!$B$9:$D$9,IFERROR(MATCH(IF($B1174="Robusta","Robusta",(IF($B1174="","Arabica",$B1174))&amp;" - "&amp;(IF($C1174="","Commercial",$C1174))),Variables!$B$1:$D$1,0),1))*IFERROR(IF(W1174="","",(AVERAGE(E1174:F1174)-W1174)-Variables!$B$14),"")/365),""))</f>
        <v>1.9230304119605393</v>
      </c>
      <c r="AT1174" s="12">
        <f>IF($H1174="Cancelled","",IFERROR((T1174*INDEX(Variables!$B$7:$D$7,IFERROR(MATCH(IF($B1174="Robusta","Robusta",(IF($B1174="","Arabica",$B1174))&amp;" - "&amp;(IF($C1174="","Commercial",$C1174))),Variables!$B$1:$D$1,0),1))*AC1174/365)+(L1174/16.67*INDEX(Variables!$B$8:$D$8,IFERROR(MATCH(IF($B1174="Robusta","Robusta",(IF($B1174="","Arabica",$B1174))&amp;" - "&amp;(IF($C1174="","Commercial",$C1174))),Variables!$B$1:$D$1,0),1))*AC1174)+(T1174*INDEX(Variables!$B$9:$D$9,IFERROR(MATCH(IF($B1174="Robusta","Robusta",(IF($B1174="","Arabica",$B1174))&amp;" - "&amp;(IF($C1174="","Commercial",$C1174))),Variables!$B$1:$D$1,0),1))*AC1174/365),""))</f>
        <v>-19.230304119605393</v>
      </c>
      <c r="AU1174" s="12" t="str">
        <f>IF($H1174="Cancelled","",IFERROR((T1174*INDEX(Variables!$B$7:$D$7,IFERROR(MATCH(IF($B1174="Robusta","Robusta",(IF($B1174="","Arabica",$B1174))&amp;" - "&amp;(IF($C1174="","Commercial",$C1174))),Variables!$B$1:$D$1,0),1))*AP1174/365)+(L1174/16.67*INDEX(Variables!$B$8:$D$8,IFERROR(MATCH(IF($B1174="Robusta","Robusta",(IF($B1174="","Arabica",$B1174))&amp;" - "&amp;(IF($C1174="","Commercial",$C1174))),Variables!$B$1:$D$1,0),1))*AP1174)+(T1174*INDEX(Variables!$B$9:$D$9,IFERROR(MATCH(IF($B1174="Robusta","Robusta",(IF($B1174="","Arabica",$B1174))&amp;" - "&amp;(IF($C1174="","Commercial",$C1174))),Variables!$B$1:$D$1,0),1))*AP1174/365),""))</f>
        <v/>
      </c>
      <c r="AV1174" s="11" t="str">
        <f t="shared" si="114"/>
        <v/>
      </c>
      <c r="AW1174" s="12" t="str">
        <f>IF($H1174="Cancelled","",IFERROR(IF(AV1174="","",(T1174*INDEX(Variables!$B$7:$D$7,IFERROR(MATCH(IF($B1174="Robusta","Robusta",(IF($B1174="","Arabica",$B1174))&amp;" - "&amp;(IF($C1174="","Commercial",$C1174))),Variables!$B$1:$D$1,0),1))*(AV1174/365))+(T1174*INDEX(Variables!$B$9:$D$9,IFERROR(MATCH(IF($B1174="Robusta","Robusta",(IF($B1174="","Arabica",$B1174))&amp;" - "&amp;(IF($C1174="","Commercial",$C1174))),Variables!$B$1:$D$1,0),1))*(AV1174/365))+(INDEX(Variables!$B$8:$D$8,IFERROR(MATCH(IF($B1174="Robusta","Robusta",(IF($B1174="","Arabica",$B1174))&amp;" - "&amp;(IF($C1174="","Commercial",$C1174))),Variables!$B$1:$D$1,0),1))*L1174/16.67)),""))</f>
        <v/>
      </c>
      <c r="AX1174" s="9"/>
      <c r="AY1174" s="12"/>
      <c r="AZ1174" s="10"/>
      <c r="BA1174" s="9"/>
      <c r="BB1174" s="10"/>
      <c r="BC1174" s="9"/>
      <c r="BD1174" s="9"/>
      <c r="BE1174" s="9"/>
      <c r="BF1174" s="9"/>
    </row>
    <row r="1175" spans="1:58" x14ac:dyDescent="0.25">
      <c r="A1175" s="9" t="s">
        <v>84</v>
      </c>
      <c r="B1175" s="9" t="s">
        <v>85</v>
      </c>
      <c r="C1175" s="9" t="s">
        <v>1486</v>
      </c>
      <c r="D1175" s="10">
        <v>46049</v>
      </c>
      <c r="E1175" s="10">
        <v>46054</v>
      </c>
      <c r="F1175" s="10">
        <v>46081</v>
      </c>
      <c r="G1175" s="9">
        <v>3787182</v>
      </c>
      <c r="H1175" s="9" t="str">
        <f t="shared" si="111"/>
        <v>Open</v>
      </c>
      <c r="I1175" s="9" t="str">
        <f t="shared" si="112"/>
        <v>No sailing date and No shipping advice sent and No docs dispatch date</v>
      </c>
      <c r="J1175" s="9" t="s">
        <v>2399</v>
      </c>
      <c r="K1175" s="9" t="s">
        <v>2504</v>
      </c>
      <c r="L1175" s="11">
        <v>25</v>
      </c>
      <c r="M1175" s="9" t="s">
        <v>2505</v>
      </c>
      <c r="N1175" s="9"/>
      <c r="O1175" s="9"/>
      <c r="P1175" s="9"/>
      <c r="Q1175" s="11">
        <v>148</v>
      </c>
      <c r="R1175" s="9" t="s">
        <v>195</v>
      </c>
      <c r="S1175" s="9" t="s">
        <v>228</v>
      </c>
      <c r="T1175" s="12">
        <f>IF($H1175="Cancelled","",IFERROR(((Q1175+INDEX(Variables!$B$6:$D$6,IFERROR(MATCH(IF($B1175="Robusta","Robusta",(IF($B1175="","Arabica",$B1175))&amp;" - "&amp;(IF($C1175="","Commercial",$C1175))),Variables!$B$1:$D$1,0),1)))*22.0462)*(L1175/16.67),""))</f>
        <v>14507.907258548288</v>
      </c>
      <c r="U1175" s="10"/>
      <c r="V1175" s="9" t="str">
        <f t="shared" si="113"/>
        <v/>
      </c>
      <c r="W1175" s="10">
        <v>46037</v>
      </c>
      <c r="X1175" s="9" t="str">
        <f t="shared" si="110"/>
        <v>Approved</v>
      </c>
      <c r="Y1175" s="10">
        <v>46066</v>
      </c>
      <c r="Z1175" s="10">
        <f>IF($H1175="Cancelled","",IFERROR(IF(F1175="","",F1175-Variables!$B$13),""))</f>
        <v>46066</v>
      </c>
      <c r="AA1175" s="11">
        <f>IF($H1175="Cancelled","",IFERROR(IF(W1175="","",(AVERAGE(E1175:F1175)-W1175)-Variables!$B$14),""))</f>
        <v>0.5</v>
      </c>
      <c r="AB1175" s="10">
        <v>46086</v>
      </c>
      <c r="AC1175" s="11">
        <f>IF($H1175="Cancelled","",IFERROR(IF(AB1175="","",IF(AND(W1175="",Y1175=""),"",IF(Y1175&gt;W1175,Y1175+Variables!$B$15+Variables!$B$16+Variables!$B$17-AB1175,W1175+Variables!$B$16+Variables!$B$17-AB1175))),""))</f>
        <v>-5</v>
      </c>
      <c r="AD1175" s="9" t="s">
        <v>165</v>
      </c>
      <c r="AE1175" s="9" t="s">
        <v>2498</v>
      </c>
      <c r="AF1175" s="10"/>
      <c r="AG1175" s="10"/>
      <c r="AH1175" s="9"/>
      <c r="AI1175" s="9"/>
      <c r="AJ1175" s="9"/>
      <c r="AK1175" s="10"/>
      <c r="AL1175" s="10"/>
      <c r="AM1175" s="10"/>
      <c r="AN1175" s="9" t="s">
        <v>2499</v>
      </c>
      <c r="AO1175" s="9"/>
      <c r="AP1175" s="11" t="str">
        <f>IF($H1175="Cancelled","",IFERROR(IF(OR(AK1175="",AB1175=""),"",(AB1175+Variables!$B$18-AK1175)),""))</f>
        <v/>
      </c>
      <c r="AQ1175" s="11" t="str">
        <f>IF($H1175="Cancelled","",IFERROR(IF(OR(AM1175="",AK1175=""),"",(AK1175+Variables!$B$19)-AM1175),""))</f>
        <v/>
      </c>
      <c r="AR1175" s="12" t="str">
        <f>IF($H1175="Cancelled","",IFERROR(T1175*INDEX(Variables!$B$7:$D$7,IFERROR(MATCH(IF($B1175="Robusta","Robusta",(IF($B1175="","Arabica",$B1175))&amp;" - "&amp;(IF($C1175="","Commercial",$C1175))),Variables!$B$1:$D$1,0),1))*(AQ1175/365),""))</f>
        <v/>
      </c>
      <c r="AS1175" s="12">
        <f>IF($H1175="Cancelled","",IFERROR((T1175*INDEX(Variables!$B$7:$D$7,IFERROR(MATCH(IF($B1175="Robusta","Robusta",(IF($B1175="","Arabica",$B1175))&amp;" - "&amp;(IF($C1175="","Commercial",$C1175))),Variables!$B$1:$D$1,0),1))*IFERROR(IF(W1175="","",(AVERAGE(E1175:F1175)-W1175)-Variables!$B$14),"")/365)+(L1175/16.67*INDEX(Variables!$B$8:$D$8,IFERROR(MATCH(IF($B1175="Robusta","Robusta",(IF($B1175="","Arabica",$B1175))&amp;" - "&amp;(IF($C1175="","Commercial",$C1175))),Variables!$B$1:$D$1,0),1))*IFERROR(IF(W1175="","",(AVERAGE(E1175:F1175)-W1175)-Variables!$B$14),""))+(T1175*INDEX(Variables!$B$9:$D$9,IFERROR(MATCH(IF($B1175="Robusta","Robusta",(IF($B1175="","Arabica",$B1175))&amp;" - "&amp;(IF($C1175="","Commercial",$C1175))),Variables!$B$1:$D$1,0),1))*IFERROR(IF(W1175="","",(AVERAGE(E1175:F1175)-W1175)-Variables!$B$14),"")/365),""))</f>
        <v>1.9230304119605393</v>
      </c>
      <c r="AT1175" s="12">
        <f>IF($H1175="Cancelled","",IFERROR((T1175*INDEX(Variables!$B$7:$D$7,IFERROR(MATCH(IF($B1175="Robusta","Robusta",(IF($B1175="","Arabica",$B1175))&amp;" - "&amp;(IF($C1175="","Commercial",$C1175))),Variables!$B$1:$D$1,0),1))*AC1175/365)+(L1175/16.67*INDEX(Variables!$B$8:$D$8,IFERROR(MATCH(IF($B1175="Robusta","Robusta",(IF($B1175="","Arabica",$B1175))&amp;" - "&amp;(IF($C1175="","Commercial",$C1175))),Variables!$B$1:$D$1,0),1))*AC1175)+(T1175*INDEX(Variables!$B$9:$D$9,IFERROR(MATCH(IF($B1175="Robusta","Robusta",(IF($B1175="","Arabica",$B1175))&amp;" - "&amp;(IF($C1175="","Commercial",$C1175))),Variables!$B$1:$D$1,0),1))*AC1175/365),""))</f>
        <v>-19.230304119605393</v>
      </c>
      <c r="AU1175" s="12" t="str">
        <f>IF($H1175="Cancelled","",IFERROR((T1175*INDEX(Variables!$B$7:$D$7,IFERROR(MATCH(IF($B1175="Robusta","Robusta",(IF($B1175="","Arabica",$B1175))&amp;" - "&amp;(IF($C1175="","Commercial",$C1175))),Variables!$B$1:$D$1,0),1))*AP1175/365)+(L1175/16.67*INDEX(Variables!$B$8:$D$8,IFERROR(MATCH(IF($B1175="Robusta","Robusta",(IF($B1175="","Arabica",$B1175))&amp;" - "&amp;(IF($C1175="","Commercial",$C1175))),Variables!$B$1:$D$1,0),1))*AP1175)+(T1175*INDEX(Variables!$B$9:$D$9,IFERROR(MATCH(IF($B1175="Robusta","Robusta",(IF($B1175="","Arabica",$B1175))&amp;" - "&amp;(IF($C1175="","Commercial",$C1175))),Variables!$B$1:$D$1,0),1))*AP1175/365),""))</f>
        <v/>
      </c>
      <c r="AV1175" s="11" t="str">
        <f t="shared" si="114"/>
        <v/>
      </c>
      <c r="AW1175" s="12" t="str">
        <f>IF($H1175="Cancelled","",IFERROR(IF(AV1175="","",(T1175*INDEX(Variables!$B$7:$D$7,IFERROR(MATCH(IF($B1175="Robusta","Robusta",(IF($B1175="","Arabica",$B1175))&amp;" - "&amp;(IF($C1175="","Commercial",$C1175))),Variables!$B$1:$D$1,0),1))*(AV1175/365))+(T1175*INDEX(Variables!$B$9:$D$9,IFERROR(MATCH(IF($B1175="Robusta","Robusta",(IF($B1175="","Arabica",$B1175))&amp;" - "&amp;(IF($C1175="","Commercial",$C1175))),Variables!$B$1:$D$1,0),1))*(AV1175/365))+(INDEX(Variables!$B$8:$D$8,IFERROR(MATCH(IF($B1175="Robusta","Robusta",(IF($B1175="","Arabica",$B1175))&amp;" - "&amp;(IF($C1175="","Commercial",$C1175))),Variables!$B$1:$D$1,0),1))*L1175/16.67)),""))</f>
        <v/>
      </c>
      <c r="AX1175" s="9"/>
      <c r="AY1175" s="12"/>
      <c r="AZ1175" s="10"/>
      <c r="BA1175" s="9"/>
      <c r="BB1175" s="10"/>
      <c r="BC1175" s="9"/>
      <c r="BD1175" s="9"/>
      <c r="BE1175" s="9"/>
      <c r="BF1175" s="9"/>
    </row>
    <row r="1176" spans="1:58" x14ac:dyDescent="0.25">
      <c r="A1176" s="9" t="s">
        <v>84</v>
      </c>
      <c r="B1176" s="9" t="s">
        <v>85</v>
      </c>
      <c r="C1176" s="9" t="s">
        <v>1486</v>
      </c>
      <c r="D1176" s="10">
        <v>46049</v>
      </c>
      <c r="E1176" s="10">
        <v>46054</v>
      </c>
      <c r="F1176" s="10">
        <v>46081</v>
      </c>
      <c r="G1176" s="9">
        <v>3787183</v>
      </c>
      <c r="H1176" s="9" t="str">
        <f t="shared" si="111"/>
        <v>Open</v>
      </c>
      <c r="I1176" s="9" t="str">
        <f t="shared" si="112"/>
        <v>No sailing date and No shipping advice sent and No docs dispatch date</v>
      </c>
      <c r="J1176" s="9" t="s">
        <v>2399</v>
      </c>
      <c r="K1176" s="9" t="s">
        <v>2506</v>
      </c>
      <c r="L1176" s="11">
        <v>25</v>
      </c>
      <c r="M1176" s="9" t="s">
        <v>2507</v>
      </c>
      <c r="N1176" s="9"/>
      <c r="O1176" s="9"/>
      <c r="P1176" s="9"/>
      <c r="Q1176" s="11">
        <v>139</v>
      </c>
      <c r="R1176" s="9" t="s">
        <v>195</v>
      </c>
      <c r="S1176" s="9" t="s">
        <v>228</v>
      </c>
      <c r="T1176" s="12">
        <f>IF($H1176="Cancelled","",IFERROR(((Q1176+INDEX(Variables!$B$6:$D$6,IFERROR(MATCH(IF($B1176="Robusta","Robusta",(IF($B1176="","Arabica",$B1176))&amp;" - "&amp;(IF($C1176="","Commercial",$C1176))),Variables!$B$1:$D$1,0),1)))*22.0462)*(L1176/16.67),""))</f>
        <v>14210.34307138572</v>
      </c>
      <c r="U1176" s="10"/>
      <c r="V1176" s="9" t="str">
        <f t="shared" si="113"/>
        <v/>
      </c>
      <c r="W1176" s="10">
        <v>46037</v>
      </c>
      <c r="X1176" s="9" t="str">
        <f t="shared" si="110"/>
        <v>Approved</v>
      </c>
      <c r="Y1176" s="10">
        <v>46066</v>
      </c>
      <c r="Z1176" s="10">
        <f>IF($H1176="Cancelled","",IFERROR(IF(F1176="","",F1176-Variables!$B$13),""))</f>
        <v>46066</v>
      </c>
      <c r="AA1176" s="11">
        <f>IF($H1176="Cancelled","",IFERROR(IF(W1176="","",(AVERAGE(E1176:F1176)-W1176)-Variables!$B$14),""))</f>
        <v>0.5</v>
      </c>
      <c r="AB1176" s="10">
        <v>46086</v>
      </c>
      <c r="AC1176" s="11">
        <f>IF($H1176="Cancelled","",IFERROR(IF(AB1176="","",IF(AND(W1176="",Y1176=""),"",IF(Y1176&gt;W1176,Y1176+Variables!$B$15+Variables!$B$16+Variables!$B$17-AB1176,W1176+Variables!$B$16+Variables!$B$17-AB1176))),""))</f>
        <v>-5</v>
      </c>
      <c r="AD1176" s="9" t="s">
        <v>165</v>
      </c>
      <c r="AE1176" s="9" t="s">
        <v>2498</v>
      </c>
      <c r="AF1176" s="10"/>
      <c r="AG1176" s="10"/>
      <c r="AH1176" s="9"/>
      <c r="AI1176" s="9"/>
      <c r="AJ1176" s="9"/>
      <c r="AK1176" s="10"/>
      <c r="AL1176" s="10"/>
      <c r="AM1176" s="10"/>
      <c r="AN1176" s="9" t="s">
        <v>2499</v>
      </c>
      <c r="AO1176" s="9"/>
      <c r="AP1176" s="11" t="str">
        <f>IF($H1176="Cancelled","",IFERROR(IF(OR(AK1176="",AB1176=""),"",(AB1176+Variables!$B$18-AK1176)),""))</f>
        <v/>
      </c>
      <c r="AQ1176" s="11" t="str">
        <f>IF($H1176="Cancelled","",IFERROR(IF(OR(AM1176="",AK1176=""),"",(AK1176+Variables!$B$19)-AM1176),""))</f>
        <v/>
      </c>
      <c r="AR1176" s="12" t="str">
        <f>IF($H1176="Cancelled","",IFERROR(T1176*INDEX(Variables!$B$7:$D$7,IFERROR(MATCH(IF($B1176="Robusta","Robusta",(IF($B1176="","Arabica",$B1176))&amp;" - "&amp;(IF($C1176="","Commercial",$C1176))),Variables!$B$1:$D$1,0),1))*(AQ1176/365),""))</f>
        <v/>
      </c>
      <c r="AS1176" s="12">
        <f>IF($H1176="Cancelled","",IFERROR((T1176*INDEX(Variables!$B$7:$D$7,IFERROR(MATCH(IF($B1176="Robusta","Robusta",(IF($B1176="","Arabica",$B1176))&amp;" - "&amp;(IF($C1176="","Commercial",$C1176))),Variables!$B$1:$D$1,0),1))*IFERROR(IF(W1176="","",(AVERAGE(E1176:F1176)-W1176)-Variables!$B$14),"")/365)+(L1176/16.67*INDEX(Variables!$B$8:$D$8,IFERROR(MATCH(IF($B1176="Robusta","Robusta",(IF($B1176="","Arabica",$B1176))&amp;" - "&amp;(IF($C1176="","Commercial",$C1176))),Variables!$B$1:$D$1,0),1))*IFERROR(IF(W1176="","",(AVERAGE(E1176:F1176)-W1176)-Variables!$B$14),""))+(T1176*INDEX(Variables!$B$9:$D$9,IFERROR(MATCH(IF($B1176="Robusta","Robusta",(IF($B1176="","Arabica",$B1176))&amp;" - "&amp;(IF($C1176="","Commercial",$C1176))),Variables!$B$1:$D$1,0),1))*IFERROR(IF(W1176="","",(AVERAGE(E1176:F1176)-W1176)-Variables!$B$14),"")/365),""))</f>
        <v>1.8964071810862346</v>
      </c>
      <c r="AT1176" s="12">
        <f>IF($H1176="Cancelled","",IFERROR((T1176*INDEX(Variables!$B$7:$D$7,IFERROR(MATCH(IF($B1176="Robusta","Robusta",(IF($B1176="","Arabica",$B1176))&amp;" - "&amp;(IF($C1176="","Commercial",$C1176))),Variables!$B$1:$D$1,0),1))*AC1176/365)+(L1176/16.67*INDEX(Variables!$B$8:$D$8,IFERROR(MATCH(IF($B1176="Robusta","Robusta",(IF($B1176="","Arabica",$B1176))&amp;" - "&amp;(IF($C1176="","Commercial",$C1176))),Variables!$B$1:$D$1,0),1))*AC1176)+(T1176*INDEX(Variables!$B$9:$D$9,IFERROR(MATCH(IF($B1176="Robusta","Robusta",(IF($B1176="","Arabica",$B1176))&amp;" - "&amp;(IF($C1176="","Commercial",$C1176))),Variables!$B$1:$D$1,0),1))*AC1176/365),""))</f>
        <v>-18.964071810862347</v>
      </c>
      <c r="AU1176" s="12" t="str">
        <f>IF($H1176="Cancelled","",IFERROR((T1176*INDEX(Variables!$B$7:$D$7,IFERROR(MATCH(IF($B1176="Robusta","Robusta",(IF($B1176="","Arabica",$B1176))&amp;" - "&amp;(IF($C1176="","Commercial",$C1176))),Variables!$B$1:$D$1,0),1))*AP1176/365)+(L1176/16.67*INDEX(Variables!$B$8:$D$8,IFERROR(MATCH(IF($B1176="Robusta","Robusta",(IF($B1176="","Arabica",$B1176))&amp;" - "&amp;(IF($C1176="","Commercial",$C1176))),Variables!$B$1:$D$1,0),1))*AP1176)+(T1176*INDEX(Variables!$B$9:$D$9,IFERROR(MATCH(IF($B1176="Robusta","Robusta",(IF($B1176="","Arabica",$B1176))&amp;" - "&amp;(IF($C1176="","Commercial",$C1176))),Variables!$B$1:$D$1,0),1))*AP1176/365),""))</f>
        <v/>
      </c>
      <c r="AV1176" s="11" t="str">
        <f t="shared" si="114"/>
        <v/>
      </c>
      <c r="AW1176" s="12" t="str">
        <f>IF($H1176="Cancelled","",IFERROR(IF(AV1176="","",(T1176*INDEX(Variables!$B$7:$D$7,IFERROR(MATCH(IF($B1176="Robusta","Robusta",(IF($B1176="","Arabica",$B1176))&amp;" - "&amp;(IF($C1176="","Commercial",$C1176))),Variables!$B$1:$D$1,0),1))*(AV1176/365))+(T1176*INDEX(Variables!$B$9:$D$9,IFERROR(MATCH(IF($B1176="Robusta","Robusta",(IF($B1176="","Arabica",$B1176))&amp;" - "&amp;(IF($C1176="","Commercial",$C1176))),Variables!$B$1:$D$1,0),1))*(AV1176/365))+(INDEX(Variables!$B$8:$D$8,IFERROR(MATCH(IF($B1176="Robusta","Robusta",(IF($B1176="","Arabica",$B1176))&amp;" - "&amp;(IF($C1176="","Commercial",$C1176))),Variables!$B$1:$D$1,0),1))*L1176/16.67)),""))</f>
        <v/>
      </c>
      <c r="AX1176" s="9"/>
      <c r="AY1176" s="12"/>
      <c r="AZ1176" s="10"/>
      <c r="BA1176" s="9"/>
      <c r="BB1176" s="10"/>
      <c r="BC1176" s="9"/>
      <c r="BD1176" s="9"/>
      <c r="BE1176" s="9"/>
      <c r="BF1176" s="9"/>
    </row>
    <row r="1177" spans="1:58" x14ac:dyDescent="0.25">
      <c r="A1177" s="9" t="s">
        <v>84</v>
      </c>
      <c r="B1177" s="9" t="s">
        <v>85</v>
      </c>
      <c r="C1177" s="9" t="s">
        <v>1486</v>
      </c>
      <c r="D1177" s="10">
        <v>46049</v>
      </c>
      <c r="E1177" s="10">
        <v>46054</v>
      </c>
      <c r="F1177" s="10">
        <v>46081</v>
      </c>
      <c r="G1177" s="9">
        <v>3787184</v>
      </c>
      <c r="H1177" s="9" t="str">
        <f t="shared" si="111"/>
        <v>Open</v>
      </c>
      <c r="I1177" s="9" t="str">
        <f t="shared" si="112"/>
        <v>No sailing date and No shipping advice sent and No docs dispatch date</v>
      </c>
      <c r="J1177" s="9" t="s">
        <v>2399</v>
      </c>
      <c r="K1177" s="9" t="s">
        <v>2508</v>
      </c>
      <c r="L1177" s="11">
        <v>25</v>
      </c>
      <c r="M1177" s="9" t="s">
        <v>2509</v>
      </c>
      <c r="N1177" s="9"/>
      <c r="O1177" s="9"/>
      <c r="P1177" s="9"/>
      <c r="Q1177" s="11">
        <v>150</v>
      </c>
      <c r="R1177" s="9" t="s">
        <v>195</v>
      </c>
      <c r="S1177" s="9" t="s">
        <v>228</v>
      </c>
      <c r="T1177" s="12">
        <f>IF($H1177="Cancelled","",IFERROR(((Q1177+INDEX(Variables!$B$6:$D$6,IFERROR(MATCH(IF($B1177="Robusta","Robusta",(IF($B1177="","Arabica",$B1177))&amp;" - "&amp;(IF($C1177="","Commercial",$C1177))),Variables!$B$1:$D$1,0),1)))*22.0462)*(L1177/16.67),""))</f>
        <v>14574.032633473302</v>
      </c>
      <c r="U1177" s="10"/>
      <c r="V1177" s="9" t="str">
        <f t="shared" si="113"/>
        <v/>
      </c>
      <c r="W1177" s="10">
        <v>46037</v>
      </c>
      <c r="X1177" s="9" t="str">
        <f t="shared" si="110"/>
        <v>Approved</v>
      </c>
      <c r="Y1177" s="10">
        <v>46066</v>
      </c>
      <c r="Z1177" s="10">
        <f>IF($H1177="Cancelled","",IFERROR(IF(F1177="","",F1177-Variables!$B$13),""))</f>
        <v>46066</v>
      </c>
      <c r="AA1177" s="11">
        <f>IF($H1177="Cancelled","",IFERROR(IF(W1177="","",(AVERAGE(E1177:F1177)-W1177)-Variables!$B$14),""))</f>
        <v>0.5</v>
      </c>
      <c r="AB1177" s="10">
        <v>46086</v>
      </c>
      <c r="AC1177" s="11">
        <f>IF($H1177="Cancelled","",IFERROR(IF(AB1177="","",IF(AND(W1177="",Y1177=""),"",IF(Y1177&gt;W1177,Y1177+Variables!$B$15+Variables!$B$16+Variables!$B$17-AB1177,W1177+Variables!$B$16+Variables!$B$17-AB1177))),""))</f>
        <v>-5</v>
      </c>
      <c r="AD1177" s="9" t="s">
        <v>165</v>
      </c>
      <c r="AE1177" s="9" t="s">
        <v>2498</v>
      </c>
      <c r="AF1177" s="10"/>
      <c r="AG1177" s="10"/>
      <c r="AH1177" s="9"/>
      <c r="AI1177" s="9"/>
      <c r="AJ1177" s="9"/>
      <c r="AK1177" s="10"/>
      <c r="AL1177" s="10"/>
      <c r="AM1177" s="10"/>
      <c r="AN1177" s="9" t="s">
        <v>2499</v>
      </c>
      <c r="AO1177" s="9"/>
      <c r="AP1177" s="11" t="str">
        <f>IF($H1177="Cancelled","",IFERROR(IF(OR(AK1177="",AB1177=""),"",(AB1177+Variables!$B$18-AK1177)),""))</f>
        <v/>
      </c>
      <c r="AQ1177" s="11" t="str">
        <f>IF($H1177="Cancelled","",IFERROR(IF(OR(AM1177="",AK1177=""),"",(AK1177+Variables!$B$19)-AM1177),""))</f>
        <v/>
      </c>
      <c r="AR1177" s="12" t="str">
        <f>IF($H1177="Cancelled","",IFERROR(T1177*INDEX(Variables!$B$7:$D$7,IFERROR(MATCH(IF($B1177="Robusta","Robusta",(IF($B1177="","Arabica",$B1177))&amp;" - "&amp;(IF($C1177="","Commercial",$C1177))),Variables!$B$1:$D$1,0),1))*(AQ1177/365),""))</f>
        <v/>
      </c>
      <c r="AS1177" s="12">
        <f>IF($H1177="Cancelled","",IFERROR((T1177*INDEX(Variables!$B$7:$D$7,IFERROR(MATCH(IF($B1177="Robusta","Robusta",(IF($B1177="","Arabica",$B1177))&amp;" - "&amp;(IF($C1177="","Commercial",$C1177))),Variables!$B$1:$D$1,0),1))*IFERROR(IF(W1177="","",(AVERAGE(E1177:F1177)-W1177)-Variables!$B$14),"")/365)+(L1177/16.67*INDEX(Variables!$B$8:$D$8,IFERROR(MATCH(IF($B1177="Robusta","Robusta",(IF($B1177="","Arabica",$B1177))&amp;" - "&amp;(IF($C1177="","Commercial",$C1177))),Variables!$B$1:$D$1,0),1))*IFERROR(IF(W1177="","",(AVERAGE(E1177:F1177)-W1177)-Variables!$B$14),""))+(T1177*INDEX(Variables!$B$9:$D$9,IFERROR(MATCH(IF($B1177="Robusta","Robusta",(IF($B1177="","Arabica",$B1177))&amp;" - "&amp;(IF($C1177="","Commercial",$C1177))),Variables!$B$1:$D$1,0),1))*IFERROR(IF(W1177="","",(AVERAGE(E1177:F1177)-W1177)-Variables!$B$14),"")/365),""))</f>
        <v>1.9289466854881625</v>
      </c>
      <c r="AT1177" s="12">
        <f>IF($H1177="Cancelled","",IFERROR((T1177*INDEX(Variables!$B$7:$D$7,IFERROR(MATCH(IF($B1177="Robusta","Robusta",(IF($B1177="","Arabica",$B1177))&amp;" - "&amp;(IF($C1177="","Commercial",$C1177))),Variables!$B$1:$D$1,0),1))*AC1177/365)+(L1177/16.67*INDEX(Variables!$B$8:$D$8,IFERROR(MATCH(IF($B1177="Robusta","Robusta",(IF($B1177="","Arabica",$B1177))&amp;" - "&amp;(IF($C1177="","Commercial",$C1177))),Variables!$B$1:$D$1,0),1))*AC1177)+(T1177*INDEX(Variables!$B$9:$D$9,IFERROR(MATCH(IF($B1177="Robusta","Robusta",(IF($B1177="","Arabica",$B1177))&amp;" - "&amp;(IF($C1177="","Commercial",$C1177))),Variables!$B$1:$D$1,0),1))*AC1177/365),""))</f>
        <v>-19.289466854881624</v>
      </c>
      <c r="AU1177" s="12" t="str">
        <f>IF($H1177="Cancelled","",IFERROR((T1177*INDEX(Variables!$B$7:$D$7,IFERROR(MATCH(IF($B1177="Robusta","Robusta",(IF($B1177="","Arabica",$B1177))&amp;" - "&amp;(IF($C1177="","Commercial",$C1177))),Variables!$B$1:$D$1,0),1))*AP1177/365)+(L1177/16.67*INDEX(Variables!$B$8:$D$8,IFERROR(MATCH(IF($B1177="Robusta","Robusta",(IF($B1177="","Arabica",$B1177))&amp;" - "&amp;(IF($C1177="","Commercial",$C1177))),Variables!$B$1:$D$1,0),1))*AP1177)+(T1177*INDEX(Variables!$B$9:$D$9,IFERROR(MATCH(IF($B1177="Robusta","Robusta",(IF($B1177="","Arabica",$B1177))&amp;" - "&amp;(IF($C1177="","Commercial",$C1177))),Variables!$B$1:$D$1,0),1))*AP1177/365),""))</f>
        <v/>
      </c>
      <c r="AV1177" s="11" t="str">
        <f t="shared" si="114"/>
        <v/>
      </c>
      <c r="AW1177" s="12" t="str">
        <f>IF($H1177="Cancelled","",IFERROR(IF(AV1177="","",(T1177*INDEX(Variables!$B$7:$D$7,IFERROR(MATCH(IF($B1177="Robusta","Robusta",(IF($B1177="","Arabica",$B1177))&amp;" - "&amp;(IF($C1177="","Commercial",$C1177))),Variables!$B$1:$D$1,0),1))*(AV1177/365))+(T1177*INDEX(Variables!$B$9:$D$9,IFERROR(MATCH(IF($B1177="Robusta","Robusta",(IF($B1177="","Arabica",$B1177))&amp;" - "&amp;(IF($C1177="","Commercial",$C1177))),Variables!$B$1:$D$1,0),1))*(AV1177/365))+(INDEX(Variables!$B$8:$D$8,IFERROR(MATCH(IF($B1177="Robusta","Robusta",(IF($B1177="","Arabica",$B1177))&amp;" - "&amp;(IF($C1177="","Commercial",$C1177))),Variables!$B$1:$D$1,0),1))*L1177/16.67)),""))</f>
        <v/>
      </c>
      <c r="AX1177" s="9"/>
      <c r="AY1177" s="12"/>
      <c r="AZ1177" s="10"/>
      <c r="BA1177" s="9"/>
      <c r="BB1177" s="10"/>
      <c r="BC1177" s="9"/>
      <c r="BD1177" s="9"/>
      <c r="BE1177" s="9"/>
      <c r="BF1177" s="9"/>
    </row>
    <row r="1178" spans="1:58" x14ac:dyDescent="0.25">
      <c r="A1178" s="9" t="s">
        <v>84</v>
      </c>
      <c r="B1178" s="9" t="s">
        <v>85</v>
      </c>
      <c r="C1178" s="9" t="s">
        <v>1486</v>
      </c>
      <c r="D1178" s="10">
        <v>46049</v>
      </c>
      <c r="E1178" s="10">
        <v>46054</v>
      </c>
      <c r="F1178" s="10">
        <v>46081</v>
      </c>
      <c r="G1178" s="9">
        <v>3787185</v>
      </c>
      <c r="H1178" s="9" t="str">
        <f t="shared" si="111"/>
        <v>Open</v>
      </c>
      <c r="I1178" s="9" t="str">
        <f t="shared" si="112"/>
        <v>No sailing date and No shipping advice sent and No docs dispatch date</v>
      </c>
      <c r="J1178" s="9" t="s">
        <v>2399</v>
      </c>
      <c r="K1178" s="9" t="s">
        <v>2510</v>
      </c>
      <c r="L1178" s="11">
        <v>25</v>
      </c>
      <c r="M1178" s="9" t="s">
        <v>2511</v>
      </c>
      <c r="N1178" s="9"/>
      <c r="O1178" s="9"/>
      <c r="P1178" s="9"/>
      <c r="Q1178" s="11">
        <v>150</v>
      </c>
      <c r="R1178" s="9" t="s">
        <v>195</v>
      </c>
      <c r="S1178" s="9" t="s">
        <v>228</v>
      </c>
      <c r="T1178" s="12">
        <f>IF($H1178="Cancelled","",IFERROR(((Q1178+INDEX(Variables!$B$6:$D$6,IFERROR(MATCH(IF($B1178="Robusta","Robusta",(IF($B1178="","Arabica",$B1178))&amp;" - "&amp;(IF($C1178="","Commercial",$C1178))),Variables!$B$1:$D$1,0),1)))*22.0462)*(L1178/16.67),""))</f>
        <v>14574.032633473302</v>
      </c>
      <c r="U1178" s="10"/>
      <c r="V1178" s="9" t="str">
        <f t="shared" si="113"/>
        <v/>
      </c>
      <c r="W1178" s="10">
        <v>46037</v>
      </c>
      <c r="X1178" s="9" t="str">
        <f t="shared" si="110"/>
        <v>Approved</v>
      </c>
      <c r="Y1178" s="10">
        <v>46066</v>
      </c>
      <c r="Z1178" s="10">
        <f>IF($H1178="Cancelled","",IFERROR(IF(F1178="","",F1178-Variables!$B$13),""))</f>
        <v>46066</v>
      </c>
      <c r="AA1178" s="11">
        <f>IF($H1178="Cancelled","",IFERROR(IF(W1178="","",(AVERAGE(E1178:F1178)-W1178)-Variables!$B$14),""))</f>
        <v>0.5</v>
      </c>
      <c r="AB1178" s="10">
        <v>46086</v>
      </c>
      <c r="AC1178" s="11">
        <f>IF($H1178="Cancelled","",IFERROR(IF(AB1178="","",IF(AND(W1178="",Y1178=""),"",IF(Y1178&gt;W1178,Y1178+Variables!$B$15+Variables!$B$16+Variables!$B$17-AB1178,W1178+Variables!$B$16+Variables!$B$17-AB1178))),""))</f>
        <v>-5</v>
      </c>
      <c r="AD1178" s="9" t="s">
        <v>165</v>
      </c>
      <c r="AE1178" s="9" t="s">
        <v>2498</v>
      </c>
      <c r="AF1178" s="10"/>
      <c r="AG1178" s="10"/>
      <c r="AH1178" s="9"/>
      <c r="AI1178" s="9"/>
      <c r="AJ1178" s="9"/>
      <c r="AK1178" s="10"/>
      <c r="AL1178" s="10"/>
      <c r="AM1178" s="10"/>
      <c r="AN1178" s="9" t="s">
        <v>2499</v>
      </c>
      <c r="AO1178" s="9"/>
      <c r="AP1178" s="11" t="str">
        <f>IF($H1178="Cancelled","",IFERROR(IF(OR(AK1178="",AB1178=""),"",(AB1178+Variables!$B$18-AK1178)),""))</f>
        <v/>
      </c>
      <c r="AQ1178" s="11" t="str">
        <f>IF($H1178="Cancelled","",IFERROR(IF(OR(AM1178="",AK1178=""),"",(AK1178+Variables!$B$19)-AM1178),""))</f>
        <v/>
      </c>
      <c r="AR1178" s="12" t="str">
        <f>IF($H1178="Cancelled","",IFERROR(T1178*INDEX(Variables!$B$7:$D$7,IFERROR(MATCH(IF($B1178="Robusta","Robusta",(IF($B1178="","Arabica",$B1178))&amp;" - "&amp;(IF($C1178="","Commercial",$C1178))),Variables!$B$1:$D$1,0),1))*(AQ1178/365),""))</f>
        <v/>
      </c>
      <c r="AS1178" s="12">
        <f>IF($H1178="Cancelled","",IFERROR((T1178*INDEX(Variables!$B$7:$D$7,IFERROR(MATCH(IF($B1178="Robusta","Robusta",(IF($B1178="","Arabica",$B1178))&amp;" - "&amp;(IF($C1178="","Commercial",$C1178))),Variables!$B$1:$D$1,0),1))*IFERROR(IF(W1178="","",(AVERAGE(E1178:F1178)-W1178)-Variables!$B$14),"")/365)+(L1178/16.67*INDEX(Variables!$B$8:$D$8,IFERROR(MATCH(IF($B1178="Robusta","Robusta",(IF($B1178="","Arabica",$B1178))&amp;" - "&amp;(IF($C1178="","Commercial",$C1178))),Variables!$B$1:$D$1,0),1))*IFERROR(IF(W1178="","",(AVERAGE(E1178:F1178)-W1178)-Variables!$B$14),""))+(T1178*INDEX(Variables!$B$9:$D$9,IFERROR(MATCH(IF($B1178="Robusta","Robusta",(IF($B1178="","Arabica",$B1178))&amp;" - "&amp;(IF($C1178="","Commercial",$C1178))),Variables!$B$1:$D$1,0),1))*IFERROR(IF(W1178="","",(AVERAGE(E1178:F1178)-W1178)-Variables!$B$14),"")/365),""))</f>
        <v>1.9289466854881625</v>
      </c>
      <c r="AT1178" s="12">
        <f>IF($H1178="Cancelled","",IFERROR((T1178*INDEX(Variables!$B$7:$D$7,IFERROR(MATCH(IF($B1178="Robusta","Robusta",(IF($B1178="","Arabica",$B1178))&amp;" - "&amp;(IF($C1178="","Commercial",$C1178))),Variables!$B$1:$D$1,0),1))*AC1178/365)+(L1178/16.67*INDEX(Variables!$B$8:$D$8,IFERROR(MATCH(IF($B1178="Robusta","Robusta",(IF($B1178="","Arabica",$B1178))&amp;" - "&amp;(IF($C1178="","Commercial",$C1178))),Variables!$B$1:$D$1,0),1))*AC1178)+(T1178*INDEX(Variables!$B$9:$D$9,IFERROR(MATCH(IF($B1178="Robusta","Robusta",(IF($B1178="","Arabica",$B1178))&amp;" - "&amp;(IF($C1178="","Commercial",$C1178))),Variables!$B$1:$D$1,0),1))*AC1178/365),""))</f>
        <v>-19.289466854881624</v>
      </c>
      <c r="AU1178" s="12" t="str">
        <f>IF($H1178="Cancelled","",IFERROR((T1178*INDEX(Variables!$B$7:$D$7,IFERROR(MATCH(IF($B1178="Robusta","Robusta",(IF($B1178="","Arabica",$B1178))&amp;" - "&amp;(IF($C1178="","Commercial",$C1178))),Variables!$B$1:$D$1,0),1))*AP1178/365)+(L1178/16.67*INDEX(Variables!$B$8:$D$8,IFERROR(MATCH(IF($B1178="Robusta","Robusta",(IF($B1178="","Arabica",$B1178))&amp;" - "&amp;(IF($C1178="","Commercial",$C1178))),Variables!$B$1:$D$1,0),1))*AP1178)+(T1178*INDEX(Variables!$B$9:$D$9,IFERROR(MATCH(IF($B1178="Robusta","Robusta",(IF($B1178="","Arabica",$B1178))&amp;" - "&amp;(IF($C1178="","Commercial",$C1178))),Variables!$B$1:$D$1,0),1))*AP1178/365),""))</f>
        <v/>
      </c>
      <c r="AV1178" s="11" t="str">
        <f t="shared" si="114"/>
        <v/>
      </c>
      <c r="AW1178" s="12" t="str">
        <f>IF($H1178="Cancelled","",IFERROR(IF(AV1178="","",(T1178*INDEX(Variables!$B$7:$D$7,IFERROR(MATCH(IF($B1178="Robusta","Robusta",(IF($B1178="","Arabica",$B1178))&amp;" - "&amp;(IF($C1178="","Commercial",$C1178))),Variables!$B$1:$D$1,0),1))*(AV1178/365))+(T1178*INDEX(Variables!$B$9:$D$9,IFERROR(MATCH(IF($B1178="Robusta","Robusta",(IF($B1178="","Arabica",$B1178))&amp;" - "&amp;(IF($C1178="","Commercial",$C1178))),Variables!$B$1:$D$1,0),1))*(AV1178/365))+(INDEX(Variables!$B$8:$D$8,IFERROR(MATCH(IF($B1178="Robusta","Robusta",(IF($B1178="","Arabica",$B1178))&amp;" - "&amp;(IF($C1178="","Commercial",$C1178))),Variables!$B$1:$D$1,0),1))*L1178/16.67)),""))</f>
        <v/>
      </c>
      <c r="AX1178" s="9"/>
      <c r="AY1178" s="12"/>
      <c r="AZ1178" s="10"/>
      <c r="BA1178" s="9"/>
      <c r="BB1178" s="10"/>
      <c r="BC1178" s="9"/>
      <c r="BD1178" s="9"/>
      <c r="BE1178" s="9"/>
      <c r="BF1178" s="9"/>
    </row>
    <row r="1179" spans="1:58" x14ac:dyDescent="0.25">
      <c r="A1179" s="9" t="s">
        <v>84</v>
      </c>
      <c r="B1179" s="9" t="s">
        <v>85</v>
      </c>
      <c r="C1179" s="9" t="s">
        <v>1486</v>
      </c>
      <c r="D1179" s="10">
        <v>46049</v>
      </c>
      <c r="E1179" s="10">
        <v>46054</v>
      </c>
      <c r="F1179" s="10">
        <v>46081</v>
      </c>
      <c r="G1179" s="9">
        <v>3787186</v>
      </c>
      <c r="H1179" s="9" t="str">
        <f t="shared" si="111"/>
        <v>Open</v>
      </c>
      <c r="I1179" s="9" t="str">
        <f t="shared" si="112"/>
        <v>No sailing date and No shipping advice sent and No docs dispatch date</v>
      </c>
      <c r="J1179" s="9" t="s">
        <v>2399</v>
      </c>
      <c r="K1179" s="9" t="s">
        <v>2512</v>
      </c>
      <c r="L1179" s="11">
        <v>25</v>
      </c>
      <c r="M1179" s="9" t="s">
        <v>2513</v>
      </c>
      <c r="N1179" s="9"/>
      <c r="O1179" s="9"/>
      <c r="P1179" s="9"/>
      <c r="Q1179" s="11">
        <v>177</v>
      </c>
      <c r="R1179" s="9" t="s">
        <v>195</v>
      </c>
      <c r="S1179" s="9" t="s">
        <v>228</v>
      </c>
      <c r="T1179" s="12">
        <f>IF($H1179="Cancelled","",IFERROR(((Q1179+INDEX(Variables!$B$6:$D$6,IFERROR(MATCH(IF($B1179="Robusta","Robusta",(IF($B1179="","Arabica",$B1179))&amp;" - "&amp;(IF($C1179="","Commercial",$C1179))),Variables!$B$1:$D$1,0),1)))*22.0462)*(L1179/16.67),""))</f>
        <v>15466.725194961005</v>
      </c>
      <c r="U1179" s="10"/>
      <c r="V1179" s="9" t="str">
        <f t="shared" si="113"/>
        <v/>
      </c>
      <c r="W1179" s="10">
        <v>46037</v>
      </c>
      <c r="X1179" s="9" t="str">
        <f t="shared" si="110"/>
        <v>Approved</v>
      </c>
      <c r="Y1179" s="10">
        <v>46066</v>
      </c>
      <c r="Z1179" s="10">
        <f>IF($H1179="Cancelled","",IFERROR(IF(F1179="","",F1179-Variables!$B$13),""))</f>
        <v>46066</v>
      </c>
      <c r="AA1179" s="11">
        <f>IF($H1179="Cancelled","",IFERROR(IF(W1179="","",(AVERAGE(E1179:F1179)-W1179)-Variables!$B$14),""))</f>
        <v>0.5</v>
      </c>
      <c r="AB1179" s="10">
        <v>46086</v>
      </c>
      <c r="AC1179" s="11">
        <f>IF($H1179="Cancelled","",IFERROR(IF(AB1179="","",IF(AND(W1179="",Y1179=""),"",IF(Y1179&gt;W1179,Y1179+Variables!$B$15+Variables!$B$16+Variables!$B$17-AB1179,W1179+Variables!$B$16+Variables!$B$17-AB1179))),""))</f>
        <v>-5</v>
      </c>
      <c r="AD1179" s="9" t="s">
        <v>165</v>
      </c>
      <c r="AE1179" s="9" t="s">
        <v>2498</v>
      </c>
      <c r="AF1179" s="10"/>
      <c r="AG1179" s="10"/>
      <c r="AH1179" s="9"/>
      <c r="AI1179" s="9"/>
      <c r="AJ1179" s="9"/>
      <c r="AK1179" s="10"/>
      <c r="AL1179" s="10"/>
      <c r="AM1179" s="10"/>
      <c r="AN1179" s="9" t="s">
        <v>2499</v>
      </c>
      <c r="AO1179" s="9"/>
      <c r="AP1179" s="11" t="str">
        <f>IF($H1179="Cancelled","",IFERROR(IF(OR(AK1179="",AB1179=""),"",(AB1179+Variables!$B$18-AK1179)),""))</f>
        <v/>
      </c>
      <c r="AQ1179" s="11" t="str">
        <f>IF($H1179="Cancelled","",IFERROR(IF(OR(AM1179="",AK1179=""),"",(AK1179+Variables!$B$19)-AM1179),""))</f>
        <v/>
      </c>
      <c r="AR1179" s="12" t="str">
        <f>IF($H1179="Cancelled","",IFERROR(T1179*INDEX(Variables!$B$7:$D$7,IFERROR(MATCH(IF($B1179="Robusta","Robusta",(IF($B1179="","Arabica",$B1179))&amp;" - "&amp;(IF($C1179="","Commercial",$C1179))),Variables!$B$1:$D$1,0),1))*(AQ1179/365),""))</f>
        <v/>
      </c>
      <c r="AS1179" s="12">
        <f>IF($H1179="Cancelled","",IFERROR((T1179*INDEX(Variables!$B$7:$D$7,IFERROR(MATCH(IF($B1179="Robusta","Robusta",(IF($B1179="","Arabica",$B1179))&amp;" - "&amp;(IF($C1179="","Commercial",$C1179))),Variables!$B$1:$D$1,0),1))*IFERROR(IF(W1179="","",(AVERAGE(E1179:F1179)-W1179)-Variables!$B$14),"")/365)+(L1179/16.67*INDEX(Variables!$B$8:$D$8,IFERROR(MATCH(IF($B1179="Robusta","Robusta",(IF($B1179="","Arabica",$B1179))&amp;" - "&amp;(IF($C1179="","Commercial",$C1179))),Variables!$B$1:$D$1,0),1))*IFERROR(IF(W1179="","",(AVERAGE(E1179:F1179)-W1179)-Variables!$B$14),""))+(T1179*INDEX(Variables!$B$9:$D$9,IFERROR(MATCH(IF($B1179="Robusta","Robusta",(IF($B1179="","Arabica",$B1179))&amp;" - "&amp;(IF($C1179="","Commercial",$C1179))),Variables!$B$1:$D$1,0),1))*IFERROR(IF(W1179="","",(AVERAGE(E1179:F1179)-W1179)-Variables!$B$14),"")/365),""))</f>
        <v>2.0088163781110762</v>
      </c>
      <c r="AT1179" s="12">
        <f>IF($H1179="Cancelled","",IFERROR((T1179*INDEX(Variables!$B$7:$D$7,IFERROR(MATCH(IF($B1179="Robusta","Robusta",(IF($B1179="","Arabica",$B1179))&amp;" - "&amp;(IF($C1179="","Commercial",$C1179))),Variables!$B$1:$D$1,0),1))*AC1179/365)+(L1179/16.67*INDEX(Variables!$B$8:$D$8,IFERROR(MATCH(IF($B1179="Robusta","Robusta",(IF($B1179="","Arabica",$B1179))&amp;" - "&amp;(IF($C1179="","Commercial",$C1179))),Variables!$B$1:$D$1,0),1))*AC1179)+(T1179*INDEX(Variables!$B$9:$D$9,IFERROR(MATCH(IF($B1179="Robusta","Robusta",(IF($B1179="","Arabica",$B1179))&amp;" - "&amp;(IF($C1179="","Commercial",$C1179))),Variables!$B$1:$D$1,0),1))*AC1179/365),""))</f>
        <v>-20.088163781110765</v>
      </c>
      <c r="AU1179" s="12" t="str">
        <f>IF($H1179="Cancelled","",IFERROR((T1179*INDEX(Variables!$B$7:$D$7,IFERROR(MATCH(IF($B1179="Robusta","Robusta",(IF($B1179="","Arabica",$B1179))&amp;" - "&amp;(IF($C1179="","Commercial",$C1179))),Variables!$B$1:$D$1,0),1))*AP1179/365)+(L1179/16.67*INDEX(Variables!$B$8:$D$8,IFERROR(MATCH(IF($B1179="Robusta","Robusta",(IF($B1179="","Arabica",$B1179))&amp;" - "&amp;(IF($C1179="","Commercial",$C1179))),Variables!$B$1:$D$1,0),1))*AP1179)+(T1179*INDEX(Variables!$B$9:$D$9,IFERROR(MATCH(IF($B1179="Robusta","Robusta",(IF($B1179="","Arabica",$B1179))&amp;" - "&amp;(IF($C1179="","Commercial",$C1179))),Variables!$B$1:$D$1,0),1))*AP1179/365),""))</f>
        <v/>
      </c>
      <c r="AV1179" s="11" t="str">
        <f t="shared" si="114"/>
        <v/>
      </c>
      <c r="AW1179" s="12" t="str">
        <f>IF($H1179="Cancelled","",IFERROR(IF(AV1179="","",(T1179*INDEX(Variables!$B$7:$D$7,IFERROR(MATCH(IF($B1179="Robusta","Robusta",(IF($B1179="","Arabica",$B1179))&amp;" - "&amp;(IF($C1179="","Commercial",$C1179))),Variables!$B$1:$D$1,0),1))*(AV1179/365))+(T1179*INDEX(Variables!$B$9:$D$9,IFERROR(MATCH(IF($B1179="Robusta","Robusta",(IF($B1179="","Arabica",$B1179))&amp;" - "&amp;(IF($C1179="","Commercial",$C1179))),Variables!$B$1:$D$1,0),1))*(AV1179/365))+(INDEX(Variables!$B$8:$D$8,IFERROR(MATCH(IF($B1179="Robusta","Robusta",(IF($B1179="","Arabica",$B1179))&amp;" - "&amp;(IF($C1179="","Commercial",$C1179))),Variables!$B$1:$D$1,0),1))*L1179/16.67)),""))</f>
        <v/>
      </c>
      <c r="AX1179" s="9"/>
      <c r="AY1179" s="12"/>
      <c r="AZ1179" s="10"/>
      <c r="BA1179" s="9"/>
      <c r="BB1179" s="10"/>
      <c r="BC1179" s="9"/>
      <c r="BD1179" s="9"/>
      <c r="BE1179" s="9"/>
      <c r="BF1179" s="9"/>
    </row>
    <row r="1180" spans="1:58" x14ac:dyDescent="0.25">
      <c r="A1180" s="9" t="s">
        <v>84</v>
      </c>
      <c r="B1180" s="9" t="s">
        <v>85</v>
      </c>
      <c r="C1180" s="9" t="s">
        <v>1486</v>
      </c>
      <c r="D1180" s="10">
        <v>46049</v>
      </c>
      <c r="E1180" s="10">
        <v>46054</v>
      </c>
      <c r="F1180" s="10">
        <v>46081</v>
      </c>
      <c r="G1180" s="9">
        <v>3787187</v>
      </c>
      <c r="H1180" s="9" t="str">
        <f t="shared" si="111"/>
        <v>Open</v>
      </c>
      <c r="I1180" s="9" t="str">
        <f t="shared" si="112"/>
        <v>No sailing date and No shipping advice sent and No docs dispatch date</v>
      </c>
      <c r="J1180" s="9" t="s">
        <v>2399</v>
      </c>
      <c r="K1180" s="9" t="s">
        <v>2514</v>
      </c>
      <c r="L1180" s="11">
        <v>30</v>
      </c>
      <c r="M1180" s="9" t="s">
        <v>2515</v>
      </c>
      <c r="N1180" s="9"/>
      <c r="O1180" s="9"/>
      <c r="P1180" s="9"/>
      <c r="Q1180" s="11">
        <v>159</v>
      </c>
      <c r="R1180" s="9" t="s">
        <v>195</v>
      </c>
      <c r="S1180" s="9" t="s">
        <v>228</v>
      </c>
      <c r="T1180" s="12">
        <f>IF($H1180="Cancelled","",IFERROR(((Q1180+INDEX(Variables!$B$6:$D$6,IFERROR(MATCH(IF($B1180="Robusta","Robusta",(IF($B1180="","Arabica",$B1180))&amp;" - "&amp;(IF($C1180="","Commercial",$C1180))),Variables!$B$1:$D$1,0),1)))*22.0462)*(L1180/16.67),""))</f>
        <v>17845.916184763046</v>
      </c>
      <c r="U1180" s="10"/>
      <c r="V1180" s="9" t="str">
        <f t="shared" si="113"/>
        <v/>
      </c>
      <c r="W1180" s="10">
        <v>46037</v>
      </c>
      <c r="X1180" s="9" t="str">
        <f t="shared" si="110"/>
        <v>Approved</v>
      </c>
      <c r="Y1180" s="10">
        <v>46066</v>
      </c>
      <c r="Z1180" s="10">
        <f>IF($H1180="Cancelled","",IFERROR(IF(F1180="","",F1180-Variables!$B$13),""))</f>
        <v>46066</v>
      </c>
      <c r="AA1180" s="11">
        <f>IF($H1180="Cancelled","",IFERROR(IF(W1180="","",(AVERAGE(E1180:F1180)-W1180)-Variables!$B$14),""))</f>
        <v>0.5</v>
      </c>
      <c r="AB1180" s="10">
        <v>46081</v>
      </c>
      <c r="AC1180" s="11">
        <f>IF($H1180="Cancelled","",IFERROR(IF(AB1180="","",IF(AND(W1180="",Y1180=""),"",IF(Y1180&gt;W1180,Y1180+Variables!$B$15+Variables!$B$16+Variables!$B$17-AB1180,W1180+Variables!$B$16+Variables!$B$17-AB1180))),""))</f>
        <v>0</v>
      </c>
      <c r="AD1180" s="9" t="s">
        <v>165</v>
      </c>
      <c r="AE1180" s="9" t="s">
        <v>818</v>
      </c>
      <c r="AF1180" s="10"/>
      <c r="AG1180" s="10"/>
      <c r="AH1180" s="9"/>
      <c r="AI1180" s="9"/>
      <c r="AJ1180" s="9"/>
      <c r="AK1180" s="10"/>
      <c r="AL1180" s="10"/>
      <c r="AM1180" s="10"/>
      <c r="AN1180" s="9" t="s">
        <v>2516</v>
      </c>
      <c r="AO1180" s="9"/>
      <c r="AP1180" s="11" t="str">
        <f>IF($H1180="Cancelled","",IFERROR(IF(OR(AK1180="",AB1180=""),"",(AB1180+Variables!$B$18-AK1180)),""))</f>
        <v/>
      </c>
      <c r="AQ1180" s="11" t="str">
        <f>IF($H1180="Cancelled","",IFERROR(IF(OR(AM1180="",AK1180=""),"",(AK1180+Variables!$B$19)-AM1180),""))</f>
        <v/>
      </c>
      <c r="AR1180" s="12" t="str">
        <f>IF($H1180="Cancelled","",IFERROR(T1180*INDEX(Variables!$B$7:$D$7,IFERROR(MATCH(IF($B1180="Robusta","Robusta",(IF($B1180="","Arabica",$B1180))&amp;" - "&amp;(IF($C1180="","Commercial",$C1180))),Variables!$B$1:$D$1,0),1))*(AQ1180/365),""))</f>
        <v/>
      </c>
      <c r="AS1180" s="12">
        <f>IF($H1180="Cancelled","",IFERROR((T1180*INDEX(Variables!$B$7:$D$7,IFERROR(MATCH(IF($B1180="Robusta","Robusta",(IF($B1180="","Arabica",$B1180))&amp;" - "&amp;(IF($C1180="","Commercial",$C1180))),Variables!$B$1:$D$1,0),1))*IFERROR(IF(W1180="","",(AVERAGE(E1180:F1180)-W1180)-Variables!$B$14),"")/365)+(L1180/16.67*INDEX(Variables!$B$8:$D$8,IFERROR(MATCH(IF($B1180="Robusta","Robusta",(IF($B1180="","Arabica",$B1180))&amp;" - "&amp;(IF($C1180="","Commercial",$C1180))),Variables!$B$1:$D$1,0),1))*IFERROR(IF(W1180="","",(AVERAGE(E1180:F1180)-W1180)-Variables!$B$14),""))+(T1180*INDEX(Variables!$B$9:$D$9,IFERROR(MATCH(IF($B1180="Robusta","Robusta",(IF($B1180="","Arabica",$B1180))&amp;" - "&amp;(IF($C1180="","Commercial",$C1180))),Variables!$B$1:$D$1,0),1))*IFERROR(IF(W1180="","",(AVERAGE(E1180:F1180)-W1180)-Variables!$B$14),"")/365),""))</f>
        <v>2.3466838996349608</v>
      </c>
      <c r="AT1180" s="12">
        <f>IF($H1180="Cancelled","",IFERROR((T1180*INDEX(Variables!$B$7:$D$7,IFERROR(MATCH(IF($B1180="Robusta","Robusta",(IF($B1180="","Arabica",$B1180))&amp;" - "&amp;(IF($C1180="","Commercial",$C1180))),Variables!$B$1:$D$1,0),1))*AC1180/365)+(L1180/16.67*INDEX(Variables!$B$8:$D$8,IFERROR(MATCH(IF($B1180="Robusta","Robusta",(IF($B1180="","Arabica",$B1180))&amp;" - "&amp;(IF($C1180="","Commercial",$C1180))),Variables!$B$1:$D$1,0),1))*AC1180)+(T1180*INDEX(Variables!$B$9:$D$9,IFERROR(MATCH(IF($B1180="Robusta","Robusta",(IF($B1180="","Arabica",$B1180))&amp;" - "&amp;(IF($C1180="","Commercial",$C1180))),Variables!$B$1:$D$1,0),1))*AC1180/365),""))</f>
        <v>0</v>
      </c>
      <c r="AU1180" s="12" t="str">
        <f>IF($H1180="Cancelled","",IFERROR((T1180*INDEX(Variables!$B$7:$D$7,IFERROR(MATCH(IF($B1180="Robusta","Robusta",(IF($B1180="","Arabica",$B1180))&amp;" - "&amp;(IF($C1180="","Commercial",$C1180))),Variables!$B$1:$D$1,0),1))*AP1180/365)+(L1180/16.67*INDEX(Variables!$B$8:$D$8,IFERROR(MATCH(IF($B1180="Robusta","Robusta",(IF($B1180="","Arabica",$B1180))&amp;" - "&amp;(IF($C1180="","Commercial",$C1180))),Variables!$B$1:$D$1,0),1))*AP1180)+(T1180*INDEX(Variables!$B$9:$D$9,IFERROR(MATCH(IF($B1180="Robusta","Robusta",(IF($B1180="","Arabica",$B1180))&amp;" - "&amp;(IF($C1180="","Commercial",$C1180))),Variables!$B$1:$D$1,0),1))*AP1180/365),""))</f>
        <v/>
      </c>
      <c r="AV1180" s="11" t="str">
        <f t="shared" si="114"/>
        <v/>
      </c>
      <c r="AW1180" s="12" t="str">
        <f>IF($H1180="Cancelled","",IFERROR(IF(AV1180="","",(T1180*INDEX(Variables!$B$7:$D$7,IFERROR(MATCH(IF($B1180="Robusta","Robusta",(IF($B1180="","Arabica",$B1180))&amp;" - "&amp;(IF($C1180="","Commercial",$C1180))),Variables!$B$1:$D$1,0),1))*(AV1180/365))+(T1180*INDEX(Variables!$B$9:$D$9,IFERROR(MATCH(IF($B1180="Robusta","Robusta",(IF($B1180="","Arabica",$B1180))&amp;" - "&amp;(IF($C1180="","Commercial",$C1180))),Variables!$B$1:$D$1,0),1))*(AV1180/365))+(INDEX(Variables!$B$8:$D$8,IFERROR(MATCH(IF($B1180="Robusta","Robusta",(IF($B1180="","Arabica",$B1180))&amp;" - "&amp;(IF($C1180="","Commercial",$C1180))),Variables!$B$1:$D$1,0),1))*L1180/16.67)),""))</f>
        <v/>
      </c>
      <c r="AX1180" s="9"/>
      <c r="AY1180" s="12"/>
      <c r="AZ1180" s="10"/>
      <c r="BA1180" s="9"/>
      <c r="BB1180" s="10"/>
      <c r="BC1180" s="9"/>
      <c r="BD1180" s="9"/>
      <c r="BE1180" s="9"/>
      <c r="BF1180" s="9"/>
    </row>
    <row r="1181" spans="1:58" x14ac:dyDescent="0.25">
      <c r="A1181" s="9" t="s">
        <v>84</v>
      </c>
      <c r="B1181" s="9" t="s">
        <v>85</v>
      </c>
      <c r="C1181" s="9" t="s">
        <v>1486</v>
      </c>
      <c r="D1181" s="10">
        <v>46049</v>
      </c>
      <c r="E1181" s="10">
        <v>46054</v>
      </c>
      <c r="F1181" s="10">
        <v>46081</v>
      </c>
      <c r="G1181" s="9">
        <v>3787188</v>
      </c>
      <c r="H1181" s="9" t="str">
        <f t="shared" si="111"/>
        <v>Open</v>
      </c>
      <c r="I1181" s="9" t="str">
        <f t="shared" si="112"/>
        <v>No sailing date and No shipping advice sent and No docs dispatch date</v>
      </c>
      <c r="J1181" s="9" t="s">
        <v>2399</v>
      </c>
      <c r="K1181" s="9" t="s">
        <v>2517</v>
      </c>
      <c r="L1181" s="11">
        <v>25</v>
      </c>
      <c r="M1181" s="9" t="s">
        <v>2518</v>
      </c>
      <c r="N1181" s="9"/>
      <c r="O1181" s="9"/>
      <c r="P1181" s="9"/>
      <c r="Q1181" s="11">
        <v>174</v>
      </c>
      <c r="R1181" s="9" t="s">
        <v>195</v>
      </c>
      <c r="S1181" s="9" t="s">
        <v>228</v>
      </c>
      <c r="T1181" s="12">
        <f>IF($H1181="Cancelled","",IFERROR(((Q1181+INDEX(Variables!$B$6:$D$6,IFERROR(MATCH(IF($B1181="Robusta","Robusta",(IF($B1181="","Arabica",$B1181))&amp;" - "&amp;(IF($C1181="","Commercial",$C1181))),Variables!$B$1:$D$1,0),1)))*22.0462)*(L1181/16.67),""))</f>
        <v>15367.537132573481</v>
      </c>
      <c r="U1181" s="10"/>
      <c r="V1181" s="9" t="str">
        <f t="shared" si="113"/>
        <v/>
      </c>
      <c r="W1181" s="10">
        <v>46037</v>
      </c>
      <c r="X1181" s="9" t="str">
        <f t="shared" si="110"/>
        <v>Approved</v>
      </c>
      <c r="Y1181" s="10">
        <v>46066</v>
      </c>
      <c r="Z1181" s="10">
        <f>IF($H1181="Cancelled","",IFERROR(IF(F1181="","",F1181-Variables!$B$13),""))</f>
        <v>46066</v>
      </c>
      <c r="AA1181" s="11">
        <f>IF($H1181="Cancelled","",IFERROR(IF(W1181="","",(AVERAGE(E1181:F1181)-W1181)-Variables!$B$14),""))</f>
        <v>0.5</v>
      </c>
      <c r="AB1181" s="10">
        <v>46086</v>
      </c>
      <c r="AC1181" s="11">
        <f>IF($H1181="Cancelled","",IFERROR(IF(AB1181="","",IF(AND(W1181="",Y1181=""),"",IF(Y1181&gt;W1181,Y1181+Variables!$B$15+Variables!$B$16+Variables!$B$17-AB1181,W1181+Variables!$B$16+Variables!$B$17-AB1181))),""))</f>
        <v>-5</v>
      </c>
      <c r="AD1181" s="9" t="s">
        <v>165</v>
      </c>
      <c r="AE1181" s="9" t="s">
        <v>2498</v>
      </c>
      <c r="AF1181" s="10"/>
      <c r="AG1181" s="10"/>
      <c r="AH1181" s="9"/>
      <c r="AI1181" s="9"/>
      <c r="AJ1181" s="9"/>
      <c r="AK1181" s="10"/>
      <c r="AL1181" s="10"/>
      <c r="AM1181" s="10"/>
      <c r="AN1181" s="9" t="s">
        <v>2499</v>
      </c>
      <c r="AO1181" s="9"/>
      <c r="AP1181" s="11" t="str">
        <f>IF($H1181="Cancelled","",IFERROR(IF(OR(AK1181="",AB1181=""),"",(AB1181+Variables!$B$18-AK1181)),""))</f>
        <v/>
      </c>
      <c r="AQ1181" s="11" t="str">
        <f>IF($H1181="Cancelled","",IFERROR(IF(OR(AM1181="",AK1181=""),"",(AK1181+Variables!$B$19)-AM1181),""))</f>
        <v/>
      </c>
      <c r="AR1181" s="12" t="str">
        <f>IF($H1181="Cancelled","",IFERROR(T1181*INDEX(Variables!$B$7:$D$7,IFERROR(MATCH(IF($B1181="Robusta","Robusta",(IF($B1181="","Arabica",$B1181))&amp;" - "&amp;(IF($C1181="","Commercial",$C1181))),Variables!$B$1:$D$1,0),1))*(AQ1181/365),""))</f>
        <v/>
      </c>
      <c r="AS1181" s="12">
        <f>IF($H1181="Cancelled","",IFERROR((T1181*INDEX(Variables!$B$7:$D$7,IFERROR(MATCH(IF($B1181="Robusta","Robusta",(IF($B1181="","Arabica",$B1181))&amp;" - "&amp;(IF($C1181="","Commercial",$C1181))),Variables!$B$1:$D$1,0),1))*IFERROR(IF(W1181="","",(AVERAGE(E1181:F1181)-W1181)-Variables!$B$14),"")/365)+(L1181/16.67*INDEX(Variables!$B$8:$D$8,IFERROR(MATCH(IF($B1181="Robusta","Robusta",(IF($B1181="","Arabica",$B1181))&amp;" - "&amp;(IF($C1181="","Commercial",$C1181))),Variables!$B$1:$D$1,0),1))*IFERROR(IF(W1181="","",(AVERAGE(E1181:F1181)-W1181)-Variables!$B$14),""))+(T1181*INDEX(Variables!$B$9:$D$9,IFERROR(MATCH(IF($B1181="Robusta","Robusta",(IF($B1181="","Arabica",$B1181))&amp;" - "&amp;(IF($C1181="","Commercial",$C1181))),Variables!$B$1:$D$1,0),1))*IFERROR(IF(W1181="","",(AVERAGE(E1181:F1181)-W1181)-Variables!$B$14),"")/365),""))</f>
        <v>1.9999419678196413</v>
      </c>
      <c r="AT1181" s="12">
        <f>IF($H1181="Cancelled","",IFERROR((T1181*INDEX(Variables!$B$7:$D$7,IFERROR(MATCH(IF($B1181="Robusta","Robusta",(IF($B1181="","Arabica",$B1181))&amp;" - "&amp;(IF($C1181="","Commercial",$C1181))),Variables!$B$1:$D$1,0),1))*AC1181/365)+(L1181/16.67*INDEX(Variables!$B$8:$D$8,IFERROR(MATCH(IF($B1181="Robusta","Robusta",(IF($B1181="","Arabica",$B1181))&amp;" - "&amp;(IF($C1181="","Commercial",$C1181))),Variables!$B$1:$D$1,0),1))*AC1181)+(T1181*INDEX(Variables!$B$9:$D$9,IFERROR(MATCH(IF($B1181="Robusta","Robusta",(IF($B1181="","Arabica",$B1181))&amp;" - "&amp;(IF($C1181="","Commercial",$C1181))),Variables!$B$1:$D$1,0),1))*AC1181/365),""))</f>
        <v>-19.999419678196411</v>
      </c>
      <c r="AU1181" s="12" t="str">
        <f>IF($H1181="Cancelled","",IFERROR((T1181*INDEX(Variables!$B$7:$D$7,IFERROR(MATCH(IF($B1181="Robusta","Robusta",(IF($B1181="","Arabica",$B1181))&amp;" - "&amp;(IF($C1181="","Commercial",$C1181))),Variables!$B$1:$D$1,0),1))*AP1181/365)+(L1181/16.67*INDEX(Variables!$B$8:$D$8,IFERROR(MATCH(IF($B1181="Robusta","Robusta",(IF($B1181="","Arabica",$B1181))&amp;" - "&amp;(IF($C1181="","Commercial",$C1181))),Variables!$B$1:$D$1,0),1))*AP1181)+(T1181*INDEX(Variables!$B$9:$D$9,IFERROR(MATCH(IF($B1181="Robusta","Robusta",(IF($B1181="","Arabica",$B1181))&amp;" - "&amp;(IF($C1181="","Commercial",$C1181))),Variables!$B$1:$D$1,0),1))*AP1181/365),""))</f>
        <v/>
      </c>
      <c r="AV1181" s="11" t="str">
        <f t="shared" si="114"/>
        <v/>
      </c>
      <c r="AW1181" s="12" t="str">
        <f>IF($H1181="Cancelled","",IFERROR(IF(AV1181="","",(T1181*INDEX(Variables!$B$7:$D$7,IFERROR(MATCH(IF($B1181="Robusta","Robusta",(IF($B1181="","Arabica",$B1181))&amp;" - "&amp;(IF($C1181="","Commercial",$C1181))),Variables!$B$1:$D$1,0),1))*(AV1181/365))+(T1181*INDEX(Variables!$B$9:$D$9,IFERROR(MATCH(IF($B1181="Robusta","Robusta",(IF($B1181="","Arabica",$B1181))&amp;" - "&amp;(IF($C1181="","Commercial",$C1181))),Variables!$B$1:$D$1,0),1))*(AV1181/365))+(INDEX(Variables!$B$8:$D$8,IFERROR(MATCH(IF($B1181="Robusta","Robusta",(IF($B1181="","Arabica",$B1181))&amp;" - "&amp;(IF($C1181="","Commercial",$C1181))),Variables!$B$1:$D$1,0),1))*L1181/16.67)),""))</f>
        <v/>
      </c>
      <c r="AX1181" s="9"/>
      <c r="AY1181" s="12"/>
      <c r="AZ1181" s="10"/>
      <c r="BA1181" s="9"/>
      <c r="BB1181" s="10"/>
      <c r="BC1181" s="9"/>
      <c r="BD1181" s="9"/>
      <c r="BE1181" s="9"/>
      <c r="BF1181" s="9"/>
    </row>
    <row r="1182" spans="1:58" x14ac:dyDescent="0.25">
      <c r="A1182" s="9" t="s">
        <v>84</v>
      </c>
      <c r="B1182" s="9" t="s">
        <v>85</v>
      </c>
      <c r="C1182" s="9" t="s">
        <v>1486</v>
      </c>
      <c r="D1182" s="10">
        <v>46049</v>
      </c>
      <c r="E1182" s="10">
        <v>46054</v>
      </c>
      <c r="F1182" s="10">
        <v>46081</v>
      </c>
      <c r="G1182" s="9">
        <v>3787189</v>
      </c>
      <c r="H1182" s="9" t="str">
        <f t="shared" si="111"/>
        <v>Open</v>
      </c>
      <c r="I1182" s="9" t="str">
        <f t="shared" si="112"/>
        <v>No sailing date and No shipping advice sent and No docs dispatch date</v>
      </c>
      <c r="J1182" s="9" t="s">
        <v>2399</v>
      </c>
      <c r="K1182" s="9" t="s">
        <v>2519</v>
      </c>
      <c r="L1182" s="11">
        <v>30</v>
      </c>
      <c r="M1182" s="9" t="s">
        <v>2520</v>
      </c>
      <c r="N1182" s="9"/>
      <c r="O1182" s="9"/>
      <c r="P1182" s="9"/>
      <c r="Q1182" s="11">
        <v>127</v>
      </c>
      <c r="R1182" s="9" t="s">
        <v>195</v>
      </c>
      <c r="S1182" s="9" t="s">
        <v>228</v>
      </c>
      <c r="T1182" s="12">
        <f>IF($H1182="Cancelled","",IFERROR(((Q1182+INDEX(Variables!$B$6:$D$6,IFERROR(MATCH(IF($B1182="Robusta","Robusta",(IF($B1182="","Arabica",$B1182))&amp;" - "&amp;(IF($C1182="","Commercial",$C1182))),Variables!$B$1:$D$1,0),1)))*22.0462)*(L1182/16.67),""))</f>
        <v>16576.308986202759</v>
      </c>
      <c r="U1182" s="10"/>
      <c r="V1182" s="9" t="str">
        <f t="shared" si="113"/>
        <v/>
      </c>
      <c r="W1182" s="10">
        <v>46037</v>
      </c>
      <c r="X1182" s="9" t="str">
        <f t="shared" si="110"/>
        <v>Approved</v>
      </c>
      <c r="Y1182" s="10">
        <v>46066</v>
      </c>
      <c r="Z1182" s="10">
        <f>IF($H1182="Cancelled","",IFERROR(IF(F1182="","",F1182-Variables!$B$13),""))</f>
        <v>46066</v>
      </c>
      <c r="AA1182" s="11">
        <f>IF($H1182="Cancelled","",IFERROR(IF(W1182="","",(AVERAGE(E1182:F1182)-W1182)-Variables!$B$14),""))</f>
        <v>0.5</v>
      </c>
      <c r="AB1182" s="10">
        <v>46081</v>
      </c>
      <c r="AC1182" s="11">
        <f>IF($H1182="Cancelled","",IFERROR(IF(AB1182="","",IF(AND(W1182="",Y1182=""),"",IF(Y1182&gt;W1182,Y1182+Variables!$B$15+Variables!$B$16+Variables!$B$17-AB1182,W1182+Variables!$B$16+Variables!$B$17-AB1182))),""))</f>
        <v>0</v>
      </c>
      <c r="AD1182" s="9" t="s">
        <v>165</v>
      </c>
      <c r="AE1182" s="9" t="s">
        <v>818</v>
      </c>
      <c r="AF1182" s="10"/>
      <c r="AG1182" s="10"/>
      <c r="AH1182" s="9"/>
      <c r="AI1182" s="9"/>
      <c r="AJ1182" s="9"/>
      <c r="AK1182" s="10"/>
      <c r="AL1182" s="10"/>
      <c r="AM1182" s="10"/>
      <c r="AN1182" s="9" t="s">
        <v>2516</v>
      </c>
      <c r="AO1182" s="9"/>
      <c r="AP1182" s="11" t="str">
        <f>IF($H1182="Cancelled","",IFERROR(IF(OR(AK1182="",AB1182=""),"",(AB1182+Variables!$B$18-AK1182)),""))</f>
        <v/>
      </c>
      <c r="AQ1182" s="11" t="str">
        <f>IF($H1182="Cancelled","",IFERROR(IF(OR(AM1182="",AK1182=""),"",(AK1182+Variables!$B$19)-AM1182),""))</f>
        <v/>
      </c>
      <c r="AR1182" s="12" t="str">
        <f>IF($H1182="Cancelled","",IFERROR(T1182*INDEX(Variables!$B$7:$D$7,IFERROR(MATCH(IF($B1182="Robusta","Robusta",(IF($B1182="","Arabica",$B1182))&amp;" - "&amp;(IF($C1182="","Commercial",$C1182))),Variables!$B$1:$D$1,0),1))*(AQ1182/365),""))</f>
        <v/>
      </c>
      <c r="AS1182" s="12">
        <f>IF($H1182="Cancelled","",IFERROR((T1182*INDEX(Variables!$B$7:$D$7,IFERROR(MATCH(IF($B1182="Robusta","Robusta",(IF($B1182="","Arabica",$B1182))&amp;" - "&amp;(IF($C1182="","Commercial",$C1182))),Variables!$B$1:$D$1,0),1))*IFERROR(IF(W1182="","",(AVERAGE(E1182:F1182)-W1182)-Variables!$B$14),"")/365)+(L1182/16.67*INDEX(Variables!$B$8:$D$8,IFERROR(MATCH(IF($B1182="Robusta","Robusta",(IF($B1182="","Arabica",$B1182))&amp;" - "&amp;(IF($C1182="","Commercial",$C1182))),Variables!$B$1:$D$1,0),1))*IFERROR(IF(W1182="","",(AVERAGE(E1182:F1182)-W1182)-Variables!$B$14),""))+(T1182*INDEX(Variables!$B$9:$D$9,IFERROR(MATCH(IF($B1182="Robusta","Robusta",(IF($B1182="","Arabica",$B1182))&amp;" - "&amp;(IF($C1182="","Commercial",$C1182))),Variables!$B$1:$D$1,0),1))*IFERROR(IF(W1182="","",(AVERAGE(E1182:F1182)-W1182)-Variables!$B$14),"")/365),""))</f>
        <v>2.2330914479045942</v>
      </c>
      <c r="AT1182" s="12">
        <f>IF($H1182="Cancelled","",IFERROR((T1182*INDEX(Variables!$B$7:$D$7,IFERROR(MATCH(IF($B1182="Robusta","Robusta",(IF($B1182="","Arabica",$B1182))&amp;" - "&amp;(IF($C1182="","Commercial",$C1182))),Variables!$B$1:$D$1,0),1))*AC1182/365)+(L1182/16.67*INDEX(Variables!$B$8:$D$8,IFERROR(MATCH(IF($B1182="Robusta","Robusta",(IF($B1182="","Arabica",$B1182))&amp;" - "&amp;(IF($C1182="","Commercial",$C1182))),Variables!$B$1:$D$1,0),1))*AC1182)+(T1182*INDEX(Variables!$B$9:$D$9,IFERROR(MATCH(IF($B1182="Robusta","Robusta",(IF($B1182="","Arabica",$B1182))&amp;" - "&amp;(IF($C1182="","Commercial",$C1182))),Variables!$B$1:$D$1,0),1))*AC1182/365),""))</f>
        <v>0</v>
      </c>
      <c r="AU1182" s="12" t="str">
        <f>IF($H1182="Cancelled","",IFERROR((T1182*INDEX(Variables!$B$7:$D$7,IFERROR(MATCH(IF($B1182="Robusta","Robusta",(IF($B1182="","Arabica",$B1182))&amp;" - "&amp;(IF($C1182="","Commercial",$C1182))),Variables!$B$1:$D$1,0),1))*AP1182/365)+(L1182/16.67*INDEX(Variables!$B$8:$D$8,IFERROR(MATCH(IF($B1182="Robusta","Robusta",(IF($B1182="","Arabica",$B1182))&amp;" - "&amp;(IF($C1182="","Commercial",$C1182))),Variables!$B$1:$D$1,0),1))*AP1182)+(T1182*INDEX(Variables!$B$9:$D$9,IFERROR(MATCH(IF($B1182="Robusta","Robusta",(IF($B1182="","Arabica",$B1182))&amp;" - "&amp;(IF($C1182="","Commercial",$C1182))),Variables!$B$1:$D$1,0),1))*AP1182/365),""))</f>
        <v/>
      </c>
      <c r="AV1182" s="11" t="str">
        <f t="shared" si="114"/>
        <v/>
      </c>
      <c r="AW1182" s="12" t="str">
        <f>IF($H1182="Cancelled","",IFERROR(IF(AV1182="","",(T1182*INDEX(Variables!$B$7:$D$7,IFERROR(MATCH(IF($B1182="Robusta","Robusta",(IF($B1182="","Arabica",$B1182))&amp;" - "&amp;(IF($C1182="","Commercial",$C1182))),Variables!$B$1:$D$1,0),1))*(AV1182/365))+(T1182*INDEX(Variables!$B$9:$D$9,IFERROR(MATCH(IF($B1182="Robusta","Robusta",(IF($B1182="","Arabica",$B1182))&amp;" - "&amp;(IF($C1182="","Commercial",$C1182))),Variables!$B$1:$D$1,0),1))*(AV1182/365))+(INDEX(Variables!$B$8:$D$8,IFERROR(MATCH(IF($B1182="Robusta","Robusta",(IF($B1182="","Arabica",$B1182))&amp;" - "&amp;(IF($C1182="","Commercial",$C1182))),Variables!$B$1:$D$1,0),1))*L1182/16.67)),""))</f>
        <v/>
      </c>
      <c r="AX1182" s="9"/>
      <c r="AY1182" s="12"/>
      <c r="AZ1182" s="10"/>
      <c r="BA1182" s="9"/>
      <c r="BB1182" s="10"/>
      <c r="BC1182" s="9"/>
      <c r="BD1182" s="9"/>
      <c r="BE1182" s="9"/>
      <c r="BF1182" s="9"/>
    </row>
    <row r="1183" spans="1:58" x14ac:dyDescent="0.25">
      <c r="A1183" s="9" t="s">
        <v>84</v>
      </c>
      <c r="B1183" s="9" t="s">
        <v>85</v>
      </c>
      <c r="C1183" s="9" t="s">
        <v>1486</v>
      </c>
      <c r="D1183" s="10">
        <v>46049</v>
      </c>
      <c r="E1183" s="10">
        <v>46054</v>
      </c>
      <c r="F1183" s="10">
        <v>46081</v>
      </c>
      <c r="G1183" s="9">
        <v>3787194</v>
      </c>
      <c r="H1183" s="9" t="str">
        <f t="shared" si="111"/>
        <v>Open</v>
      </c>
      <c r="I1183" s="9" t="str">
        <f t="shared" si="112"/>
        <v>No sailing date and No shipping advice sent and No docs dispatch date</v>
      </c>
      <c r="J1183" s="9" t="s">
        <v>2399</v>
      </c>
      <c r="K1183" s="9" t="s">
        <v>2521</v>
      </c>
      <c r="L1183" s="11">
        <v>7</v>
      </c>
      <c r="M1183" s="9" t="s">
        <v>2522</v>
      </c>
      <c r="N1183" s="9"/>
      <c r="O1183" s="9"/>
      <c r="P1183" s="9"/>
      <c r="Q1183" s="11">
        <v>136</v>
      </c>
      <c r="R1183" s="9" t="s">
        <v>195</v>
      </c>
      <c r="S1183" s="9" t="s">
        <v>228</v>
      </c>
      <c r="T1183" s="12">
        <f>IF($H1183="Cancelled","",IFERROR(((Q1183+INDEX(Variables!$B$6:$D$6,IFERROR(MATCH(IF($B1183="Robusta","Robusta",(IF($B1183="","Arabica",$B1183))&amp;" - "&amp;(IF($C1183="","Commercial",$C1183))),Variables!$B$1:$D$1,0),1)))*22.0462)*(L1183/16.67),""))</f>
        <v>3951.1234025194954</v>
      </c>
      <c r="U1183" s="10"/>
      <c r="V1183" s="9" t="str">
        <f t="shared" si="113"/>
        <v/>
      </c>
      <c r="W1183" s="10">
        <v>46037</v>
      </c>
      <c r="X1183" s="9" t="str">
        <f t="shared" si="110"/>
        <v>Approved</v>
      </c>
      <c r="Y1183" s="10">
        <v>46066</v>
      </c>
      <c r="Z1183" s="10">
        <f>IF($H1183="Cancelled","",IFERROR(IF(F1183="","",F1183-Variables!$B$13),""))</f>
        <v>46066</v>
      </c>
      <c r="AA1183" s="11">
        <f>IF($H1183="Cancelled","",IFERROR(IF(W1183="","",(AVERAGE(E1183:F1183)-W1183)-Variables!$B$14),""))</f>
        <v>0.5</v>
      </c>
      <c r="AB1183" s="10">
        <v>46081</v>
      </c>
      <c r="AC1183" s="11">
        <f>IF($H1183="Cancelled","",IFERROR(IF(AB1183="","",IF(AND(W1183="",Y1183=""),"",IF(Y1183&gt;W1183,Y1183+Variables!$B$15+Variables!$B$16+Variables!$B$17-AB1183,W1183+Variables!$B$16+Variables!$B$17-AB1183))),""))</f>
        <v>0</v>
      </c>
      <c r="AD1183" s="9" t="s">
        <v>165</v>
      </c>
      <c r="AE1183" s="9" t="s">
        <v>818</v>
      </c>
      <c r="AF1183" s="10"/>
      <c r="AG1183" s="10"/>
      <c r="AH1183" s="9"/>
      <c r="AI1183" s="9"/>
      <c r="AJ1183" s="9"/>
      <c r="AK1183" s="10"/>
      <c r="AL1183" s="10"/>
      <c r="AM1183" s="10"/>
      <c r="AN1183" s="9" t="s">
        <v>2516</v>
      </c>
      <c r="AO1183" s="9"/>
      <c r="AP1183" s="11" t="str">
        <f>IF($H1183="Cancelled","",IFERROR(IF(OR(AK1183="",AB1183=""),"",(AB1183+Variables!$B$18-AK1183)),""))</f>
        <v/>
      </c>
      <c r="AQ1183" s="11" t="str">
        <f>IF($H1183="Cancelled","",IFERROR(IF(OR(AM1183="",AK1183=""),"",(AK1183+Variables!$B$19)-AM1183),""))</f>
        <v/>
      </c>
      <c r="AR1183" s="12" t="str">
        <f>IF($H1183="Cancelled","",IFERROR(T1183*INDEX(Variables!$B$7:$D$7,IFERROR(MATCH(IF($B1183="Robusta","Robusta",(IF($B1183="","Arabica",$B1183))&amp;" - "&amp;(IF($C1183="","Commercial",$C1183))),Variables!$B$1:$D$1,0),1))*(AQ1183/365),""))</f>
        <v/>
      </c>
      <c r="AS1183" s="12">
        <f>IF($H1183="Cancelled","",IFERROR((T1183*INDEX(Variables!$B$7:$D$7,IFERROR(MATCH(IF($B1183="Robusta","Robusta",(IF($B1183="","Arabica",$B1183))&amp;" - "&amp;(IF($C1183="","Commercial",$C1183))),Variables!$B$1:$D$1,0),1))*IFERROR(IF(W1183="","",(AVERAGE(E1183:F1183)-W1183)-Variables!$B$14),"")/365)+(L1183/16.67*INDEX(Variables!$B$8:$D$8,IFERROR(MATCH(IF($B1183="Robusta","Robusta",(IF($B1183="","Arabica",$B1183))&amp;" - "&amp;(IF($C1183="","Commercial",$C1183))),Variables!$B$1:$D$1,0),1))*IFERROR(IF(W1183="","",(AVERAGE(E1183:F1183)-W1183)-Variables!$B$14),""))+(T1183*INDEX(Variables!$B$9:$D$9,IFERROR(MATCH(IF($B1183="Robusta","Robusta",(IF($B1183="","Arabica",$B1183))&amp;" - "&amp;(IF($C1183="","Commercial",$C1183))),Variables!$B$1:$D$1,0),1))*IFERROR(IF(W1183="","",(AVERAGE(E1183:F1183)-W1183)-Variables!$B$14),"")/365),""))</f>
        <v>0.52850917582254398</v>
      </c>
      <c r="AT1183" s="12">
        <f>IF($H1183="Cancelled","",IFERROR((T1183*INDEX(Variables!$B$7:$D$7,IFERROR(MATCH(IF($B1183="Robusta","Robusta",(IF($B1183="","Arabica",$B1183))&amp;" - "&amp;(IF($C1183="","Commercial",$C1183))),Variables!$B$1:$D$1,0),1))*AC1183/365)+(L1183/16.67*INDEX(Variables!$B$8:$D$8,IFERROR(MATCH(IF($B1183="Robusta","Robusta",(IF($B1183="","Arabica",$B1183))&amp;" - "&amp;(IF($C1183="","Commercial",$C1183))),Variables!$B$1:$D$1,0),1))*AC1183)+(T1183*INDEX(Variables!$B$9:$D$9,IFERROR(MATCH(IF($B1183="Robusta","Robusta",(IF($B1183="","Arabica",$B1183))&amp;" - "&amp;(IF($C1183="","Commercial",$C1183))),Variables!$B$1:$D$1,0),1))*AC1183/365),""))</f>
        <v>0</v>
      </c>
      <c r="AU1183" s="12" t="str">
        <f>IF($H1183="Cancelled","",IFERROR((T1183*INDEX(Variables!$B$7:$D$7,IFERROR(MATCH(IF($B1183="Robusta","Robusta",(IF($B1183="","Arabica",$B1183))&amp;" - "&amp;(IF($C1183="","Commercial",$C1183))),Variables!$B$1:$D$1,0),1))*AP1183/365)+(L1183/16.67*INDEX(Variables!$B$8:$D$8,IFERROR(MATCH(IF($B1183="Robusta","Robusta",(IF($B1183="","Arabica",$B1183))&amp;" - "&amp;(IF($C1183="","Commercial",$C1183))),Variables!$B$1:$D$1,0),1))*AP1183)+(T1183*INDEX(Variables!$B$9:$D$9,IFERROR(MATCH(IF($B1183="Robusta","Robusta",(IF($B1183="","Arabica",$B1183))&amp;" - "&amp;(IF($C1183="","Commercial",$C1183))),Variables!$B$1:$D$1,0),1))*AP1183/365),""))</f>
        <v/>
      </c>
      <c r="AV1183" s="11" t="str">
        <f t="shared" si="114"/>
        <v/>
      </c>
      <c r="AW1183" s="12" t="str">
        <f>IF($H1183="Cancelled","",IFERROR(IF(AV1183="","",(T1183*INDEX(Variables!$B$7:$D$7,IFERROR(MATCH(IF($B1183="Robusta","Robusta",(IF($B1183="","Arabica",$B1183))&amp;" - "&amp;(IF($C1183="","Commercial",$C1183))),Variables!$B$1:$D$1,0),1))*(AV1183/365))+(T1183*INDEX(Variables!$B$9:$D$9,IFERROR(MATCH(IF($B1183="Robusta","Robusta",(IF($B1183="","Arabica",$B1183))&amp;" - "&amp;(IF($C1183="","Commercial",$C1183))),Variables!$B$1:$D$1,0),1))*(AV1183/365))+(INDEX(Variables!$B$8:$D$8,IFERROR(MATCH(IF($B1183="Robusta","Robusta",(IF($B1183="","Arabica",$B1183))&amp;" - "&amp;(IF($C1183="","Commercial",$C1183))),Variables!$B$1:$D$1,0),1))*L1183/16.67)),""))</f>
        <v/>
      </c>
      <c r="AX1183" s="9"/>
      <c r="AY1183" s="12"/>
      <c r="AZ1183" s="10"/>
      <c r="BA1183" s="9"/>
      <c r="BB1183" s="10"/>
      <c r="BC1183" s="9"/>
      <c r="BD1183" s="9"/>
      <c r="BE1183" s="9"/>
      <c r="BF1183" s="9"/>
    </row>
    <row r="1184" spans="1:58" x14ac:dyDescent="0.25">
      <c r="A1184" s="9" t="s">
        <v>84</v>
      </c>
      <c r="B1184" s="9" t="s">
        <v>85</v>
      </c>
      <c r="C1184" s="9" t="s">
        <v>1486</v>
      </c>
      <c r="D1184" s="10">
        <v>46049</v>
      </c>
      <c r="E1184" s="10">
        <v>46054</v>
      </c>
      <c r="F1184" s="10">
        <v>46081</v>
      </c>
      <c r="G1184" s="9">
        <v>3787193</v>
      </c>
      <c r="H1184" s="9" t="str">
        <f t="shared" si="111"/>
        <v>Open</v>
      </c>
      <c r="I1184" s="9" t="str">
        <f t="shared" si="112"/>
        <v>No sailing date and No shipping advice sent and No docs dispatch date</v>
      </c>
      <c r="J1184" s="9" t="s">
        <v>2399</v>
      </c>
      <c r="K1184" s="9" t="s">
        <v>2523</v>
      </c>
      <c r="L1184" s="11">
        <v>30</v>
      </c>
      <c r="M1184" s="9" t="s">
        <v>2524</v>
      </c>
      <c r="N1184" s="9"/>
      <c r="O1184" s="9"/>
      <c r="P1184" s="9"/>
      <c r="Q1184" s="11">
        <v>148</v>
      </c>
      <c r="R1184" s="9" t="s">
        <v>195</v>
      </c>
      <c r="S1184" s="9" t="s">
        <v>228</v>
      </c>
      <c r="T1184" s="12">
        <f>IF($H1184="Cancelled","",IFERROR(((Q1184+INDEX(Variables!$B$6:$D$6,IFERROR(MATCH(IF($B1184="Robusta","Robusta",(IF($B1184="","Arabica",$B1184))&amp;" - "&amp;(IF($C1184="","Commercial",$C1184))),Variables!$B$1:$D$1,0),1)))*22.0462)*(L1184/16.67),""))</f>
        <v>17409.488710257945</v>
      </c>
      <c r="U1184" s="10"/>
      <c r="V1184" s="9" t="str">
        <f t="shared" si="113"/>
        <v/>
      </c>
      <c r="W1184" s="10">
        <v>46037</v>
      </c>
      <c r="X1184" s="9" t="str">
        <f t="shared" si="110"/>
        <v>Approved</v>
      </c>
      <c r="Y1184" s="10">
        <v>46066</v>
      </c>
      <c r="Z1184" s="10">
        <f>IF($H1184="Cancelled","",IFERROR(IF(F1184="","",F1184-Variables!$B$13),""))</f>
        <v>46066</v>
      </c>
      <c r="AA1184" s="11">
        <f>IF($H1184="Cancelled","",IFERROR(IF(W1184="","",(AVERAGE(E1184:F1184)-W1184)-Variables!$B$14),""))</f>
        <v>0.5</v>
      </c>
      <c r="AB1184" s="10">
        <v>46081</v>
      </c>
      <c r="AC1184" s="11">
        <f>IF($H1184="Cancelled","",IFERROR(IF(AB1184="","",IF(AND(W1184="",Y1184=""),"",IF(Y1184&gt;W1184,Y1184+Variables!$B$15+Variables!$B$16+Variables!$B$17-AB1184,W1184+Variables!$B$16+Variables!$B$17-AB1184))),""))</f>
        <v>0</v>
      </c>
      <c r="AD1184" s="9"/>
      <c r="AE1184" s="9" t="s">
        <v>818</v>
      </c>
      <c r="AF1184" s="10"/>
      <c r="AG1184" s="10"/>
      <c r="AH1184" s="9"/>
      <c r="AI1184" s="9"/>
      <c r="AJ1184" s="9"/>
      <c r="AK1184" s="10"/>
      <c r="AL1184" s="10"/>
      <c r="AM1184" s="10"/>
      <c r="AN1184" s="9" t="s">
        <v>2516</v>
      </c>
      <c r="AO1184" s="9"/>
      <c r="AP1184" s="11" t="str">
        <f>IF($H1184="Cancelled","",IFERROR(IF(OR(AK1184="",AB1184=""),"",(AB1184+Variables!$B$18-AK1184)),""))</f>
        <v/>
      </c>
      <c r="AQ1184" s="11" t="str">
        <f>IF($H1184="Cancelled","",IFERROR(IF(OR(AM1184="",AK1184=""),"",(AK1184+Variables!$B$19)-AM1184),""))</f>
        <v/>
      </c>
      <c r="AR1184" s="12" t="str">
        <f>IF($H1184="Cancelled","",IFERROR(T1184*INDEX(Variables!$B$7:$D$7,IFERROR(MATCH(IF($B1184="Robusta","Robusta",(IF($B1184="","Arabica",$B1184))&amp;" - "&amp;(IF($C1184="","Commercial",$C1184))),Variables!$B$1:$D$1,0),1))*(AQ1184/365),""))</f>
        <v/>
      </c>
      <c r="AS1184" s="12">
        <f>IF($H1184="Cancelled","",IFERROR((T1184*INDEX(Variables!$B$7:$D$7,IFERROR(MATCH(IF($B1184="Robusta","Robusta",(IF($B1184="","Arabica",$B1184))&amp;" - "&amp;(IF($C1184="","Commercial",$C1184))),Variables!$B$1:$D$1,0),1))*IFERROR(IF(W1184="","",(AVERAGE(E1184:F1184)-W1184)-Variables!$B$14),"")/365)+(L1184/16.67*INDEX(Variables!$B$8:$D$8,IFERROR(MATCH(IF($B1184="Robusta","Robusta",(IF($B1184="","Arabica",$B1184))&amp;" - "&amp;(IF($C1184="","Commercial",$C1184))),Variables!$B$1:$D$1,0),1))*IFERROR(IF(W1184="","",(AVERAGE(E1184:F1184)-W1184)-Variables!$B$14),""))+(T1184*INDEX(Variables!$B$9:$D$9,IFERROR(MATCH(IF($B1184="Robusta","Robusta",(IF($B1184="","Arabica",$B1184))&amp;" - "&amp;(IF($C1184="","Commercial",$C1184))),Variables!$B$1:$D$1,0),1))*IFERROR(IF(W1184="","",(AVERAGE(E1184:F1184)-W1184)-Variables!$B$14),"")/365),""))</f>
        <v>2.3076364943526473</v>
      </c>
      <c r="AT1184" s="12">
        <f>IF($H1184="Cancelled","",IFERROR((T1184*INDEX(Variables!$B$7:$D$7,IFERROR(MATCH(IF($B1184="Robusta","Robusta",(IF($B1184="","Arabica",$B1184))&amp;" - "&amp;(IF($C1184="","Commercial",$C1184))),Variables!$B$1:$D$1,0),1))*AC1184/365)+(L1184/16.67*INDEX(Variables!$B$8:$D$8,IFERROR(MATCH(IF($B1184="Robusta","Robusta",(IF($B1184="","Arabica",$B1184))&amp;" - "&amp;(IF($C1184="","Commercial",$C1184))),Variables!$B$1:$D$1,0),1))*AC1184)+(T1184*INDEX(Variables!$B$9:$D$9,IFERROR(MATCH(IF($B1184="Robusta","Robusta",(IF($B1184="","Arabica",$B1184))&amp;" - "&amp;(IF($C1184="","Commercial",$C1184))),Variables!$B$1:$D$1,0),1))*AC1184/365),""))</f>
        <v>0</v>
      </c>
      <c r="AU1184" s="12" t="str">
        <f>IF($H1184="Cancelled","",IFERROR((T1184*INDEX(Variables!$B$7:$D$7,IFERROR(MATCH(IF($B1184="Robusta","Robusta",(IF($B1184="","Arabica",$B1184))&amp;" - "&amp;(IF($C1184="","Commercial",$C1184))),Variables!$B$1:$D$1,0),1))*AP1184/365)+(L1184/16.67*INDEX(Variables!$B$8:$D$8,IFERROR(MATCH(IF($B1184="Robusta","Robusta",(IF($B1184="","Arabica",$B1184))&amp;" - "&amp;(IF($C1184="","Commercial",$C1184))),Variables!$B$1:$D$1,0),1))*AP1184)+(T1184*INDEX(Variables!$B$9:$D$9,IFERROR(MATCH(IF($B1184="Robusta","Robusta",(IF($B1184="","Arabica",$B1184))&amp;" - "&amp;(IF($C1184="","Commercial",$C1184))),Variables!$B$1:$D$1,0),1))*AP1184/365),""))</f>
        <v/>
      </c>
      <c r="AV1184" s="11" t="str">
        <f t="shared" si="114"/>
        <v/>
      </c>
      <c r="AW1184" s="12" t="str">
        <f>IF($H1184="Cancelled","",IFERROR(IF(AV1184="","",(T1184*INDEX(Variables!$B$7:$D$7,IFERROR(MATCH(IF($B1184="Robusta","Robusta",(IF($B1184="","Arabica",$B1184))&amp;" - "&amp;(IF($C1184="","Commercial",$C1184))),Variables!$B$1:$D$1,0),1))*(AV1184/365))+(T1184*INDEX(Variables!$B$9:$D$9,IFERROR(MATCH(IF($B1184="Robusta","Robusta",(IF($B1184="","Arabica",$B1184))&amp;" - "&amp;(IF($C1184="","Commercial",$C1184))),Variables!$B$1:$D$1,0),1))*(AV1184/365))+(INDEX(Variables!$B$8:$D$8,IFERROR(MATCH(IF($B1184="Robusta","Robusta",(IF($B1184="","Arabica",$B1184))&amp;" - "&amp;(IF($C1184="","Commercial",$C1184))),Variables!$B$1:$D$1,0),1))*L1184/16.67)),""))</f>
        <v/>
      </c>
      <c r="AX1184" s="9"/>
      <c r="AY1184" s="12"/>
      <c r="AZ1184" s="10"/>
      <c r="BA1184" s="9"/>
      <c r="BB1184" s="10"/>
      <c r="BC1184" s="9"/>
      <c r="BD1184" s="9"/>
      <c r="BE1184" s="9"/>
      <c r="BF1184" s="9"/>
    </row>
    <row r="1185" spans="1:58" x14ac:dyDescent="0.25">
      <c r="A1185" s="9" t="s">
        <v>84</v>
      </c>
      <c r="B1185" s="9" t="s">
        <v>85</v>
      </c>
      <c r="C1185" s="9" t="s">
        <v>1486</v>
      </c>
      <c r="D1185" s="10">
        <v>46049</v>
      </c>
      <c r="E1185" s="10">
        <v>46054</v>
      </c>
      <c r="F1185" s="10">
        <v>46081</v>
      </c>
      <c r="G1185" s="9">
        <v>3787195</v>
      </c>
      <c r="H1185" s="9" t="str">
        <f t="shared" si="111"/>
        <v>Open</v>
      </c>
      <c r="I1185" s="9" t="str">
        <f t="shared" si="112"/>
        <v>No sailing date and No shipping advice sent and No docs dispatch date</v>
      </c>
      <c r="J1185" s="9" t="s">
        <v>2399</v>
      </c>
      <c r="K1185" s="9" t="s">
        <v>2525</v>
      </c>
      <c r="L1185" s="11">
        <v>8</v>
      </c>
      <c r="M1185" s="9" t="s">
        <v>2526</v>
      </c>
      <c r="N1185" s="9"/>
      <c r="O1185" s="9"/>
      <c r="P1185" s="9"/>
      <c r="Q1185" s="11">
        <v>171</v>
      </c>
      <c r="R1185" s="9" t="s">
        <v>195</v>
      </c>
      <c r="S1185" s="9" t="s">
        <v>228</v>
      </c>
      <c r="T1185" s="12">
        <f>IF($H1185="Cancelled","",IFERROR(((Q1185+INDEX(Variables!$B$6:$D$6,IFERROR(MATCH(IF($B1185="Robusta","Robusta",(IF($B1185="","Arabica",$B1185))&amp;" - "&amp;(IF($C1185="","Commercial",$C1185))),Variables!$B$1:$D$1,0),1)))*22.0462)*(L1185/16.67),""))</f>
        <v>4885.8717024595071</v>
      </c>
      <c r="U1185" s="10"/>
      <c r="V1185" s="9" t="str">
        <f t="shared" si="113"/>
        <v/>
      </c>
      <c r="W1185" s="10">
        <v>46037</v>
      </c>
      <c r="X1185" s="9" t="str">
        <f t="shared" ref="X1185:X1209" si="115">IF(ISNUMBER(W1185),"Approved","")</f>
        <v>Approved</v>
      </c>
      <c r="Y1185" s="10">
        <v>46066</v>
      </c>
      <c r="Z1185" s="10">
        <f>IF($H1185="Cancelled","",IFERROR(IF(F1185="","",F1185-Variables!$B$13),""))</f>
        <v>46066</v>
      </c>
      <c r="AA1185" s="11">
        <f>IF($H1185="Cancelled","",IFERROR(IF(W1185="","",(AVERAGE(E1185:F1185)-W1185)-Variables!$B$14),""))</f>
        <v>0.5</v>
      </c>
      <c r="AB1185" s="10">
        <v>46081</v>
      </c>
      <c r="AC1185" s="11">
        <f>IF($H1185="Cancelled","",IFERROR(IF(AB1185="","",IF(AND(W1185="",Y1185=""),"",IF(Y1185&gt;W1185,Y1185+Variables!$B$15+Variables!$B$16+Variables!$B$17-AB1185,W1185+Variables!$B$16+Variables!$B$17-AB1185))),""))</f>
        <v>0</v>
      </c>
      <c r="AD1185" s="9" t="s">
        <v>165</v>
      </c>
      <c r="AE1185" s="9" t="s">
        <v>818</v>
      </c>
      <c r="AF1185" s="10"/>
      <c r="AG1185" s="10"/>
      <c r="AH1185" s="9"/>
      <c r="AI1185" s="9"/>
      <c r="AJ1185" s="9"/>
      <c r="AK1185" s="10"/>
      <c r="AL1185" s="10"/>
      <c r="AM1185" s="10"/>
      <c r="AN1185" s="9" t="s">
        <v>2516</v>
      </c>
      <c r="AO1185" s="9"/>
      <c r="AP1185" s="11" t="str">
        <f>IF($H1185="Cancelled","",IFERROR(IF(OR(AK1185="",AB1185=""),"",(AB1185+Variables!$B$18-AK1185)),""))</f>
        <v/>
      </c>
      <c r="AQ1185" s="11" t="str">
        <f>IF($H1185="Cancelled","",IFERROR(IF(OR(AM1185="",AK1185=""),"",(AK1185+Variables!$B$19)-AM1185),""))</f>
        <v/>
      </c>
      <c r="AR1185" s="12" t="str">
        <f>IF($H1185="Cancelled","",IFERROR(T1185*INDEX(Variables!$B$7:$D$7,IFERROR(MATCH(IF($B1185="Robusta","Robusta",(IF($B1185="","Arabica",$B1185))&amp;" - "&amp;(IF($C1185="","Commercial",$C1185))),Variables!$B$1:$D$1,0),1))*(AQ1185/365),""))</f>
        <v/>
      </c>
      <c r="AS1185" s="12">
        <f>IF($H1185="Cancelled","",IFERROR((T1185*INDEX(Variables!$B$7:$D$7,IFERROR(MATCH(IF($B1185="Robusta","Robusta",(IF($B1185="","Arabica",$B1185))&amp;" - "&amp;(IF($C1185="","Commercial",$C1185))),Variables!$B$1:$D$1,0),1))*IFERROR(IF(W1185="","",(AVERAGE(E1185:F1185)-W1185)-Variables!$B$14),"")/365)+(L1185/16.67*INDEX(Variables!$B$8:$D$8,IFERROR(MATCH(IF($B1185="Robusta","Robusta",(IF($B1185="","Arabica",$B1185))&amp;" - "&amp;(IF($C1185="","Commercial",$C1185))),Variables!$B$1:$D$1,0),1))*IFERROR(IF(W1185="","",(AVERAGE(E1185:F1185)-W1185)-Variables!$B$14),""))+(T1185*INDEX(Variables!$B$9:$D$9,IFERROR(MATCH(IF($B1185="Robusta","Robusta",(IF($B1185="","Arabica",$B1185))&amp;" - "&amp;(IF($C1185="","Commercial",$C1185))),Variables!$B$1:$D$1,0),1))*IFERROR(IF(W1185="","",(AVERAGE(E1185:F1185)-W1185)-Variables!$B$14),"")/365),""))</f>
        <v>0.63714161840902617</v>
      </c>
      <c r="AT1185" s="12">
        <f>IF($H1185="Cancelled","",IFERROR((T1185*INDEX(Variables!$B$7:$D$7,IFERROR(MATCH(IF($B1185="Robusta","Robusta",(IF($B1185="","Arabica",$B1185))&amp;" - "&amp;(IF($C1185="","Commercial",$C1185))),Variables!$B$1:$D$1,0),1))*AC1185/365)+(L1185/16.67*INDEX(Variables!$B$8:$D$8,IFERROR(MATCH(IF($B1185="Robusta","Robusta",(IF($B1185="","Arabica",$B1185))&amp;" - "&amp;(IF($C1185="","Commercial",$C1185))),Variables!$B$1:$D$1,0),1))*AC1185)+(T1185*INDEX(Variables!$B$9:$D$9,IFERROR(MATCH(IF($B1185="Robusta","Robusta",(IF($B1185="","Arabica",$B1185))&amp;" - "&amp;(IF($C1185="","Commercial",$C1185))),Variables!$B$1:$D$1,0),1))*AC1185/365),""))</f>
        <v>0</v>
      </c>
      <c r="AU1185" s="12" t="str">
        <f>IF($H1185="Cancelled","",IFERROR((T1185*INDEX(Variables!$B$7:$D$7,IFERROR(MATCH(IF($B1185="Robusta","Robusta",(IF($B1185="","Arabica",$B1185))&amp;" - "&amp;(IF($C1185="","Commercial",$C1185))),Variables!$B$1:$D$1,0),1))*AP1185/365)+(L1185/16.67*INDEX(Variables!$B$8:$D$8,IFERROR(MATCH(IF($B1185="Robusta","Robusta",(IF($B1185="","Arabica",$B1185))&amp;" - "&amp;(IF($C1185="","Commercial",$C1185))),Variables!$B$1:$D$1,0),1))*AP1185)+(T1185*INDEX(Variables!$B$9:$D$9,IFERROR(MATCH(IF($B1185="Robusta","Robusta",(IF($B1185="","Arabica",$B1185))&amp;" - "&amp;(IF($C1185="","Commercial",$C1185))),Variables!$B$1:$D$1,0),1))*AP1185/365),""))</f>
        <v/>
      </c>
      <c r="AV1185" s="11" t="str">
        <f t="shared" si="114"/>
        <v/>
      </c>
      <c r="AW1185" s="12" t="str">
        <f>IF($H1185="Cancelled","",IFERROR(IF(AV1185="","",(T1185*INDEX(Variables!$B$7:$D$7,IFERROR(MATCH(IF($B1185="Robusta","Robusta",(IF($B1185="","Arabica",$B1185))&amp;" - "&amp;(IF($C1185="","Commercial",$C1185))),Variables!$B$1:$D$1,0),1))*(AV1185/365))+(T1185*INDEX(Variables!$B$9:$D$9,IFERROR(MATCH(IF($B1185="Robusta","Robusta",(IF($B1185="","Arabica",$B1185))&amp;" - "&amp;(IF($C1185="","Commercial",$C1185))),Variables!$B$1:$D$1,0),1))*(AV1185/365))+(INDEX(Variables!$B$8:$D$8,IFERROR(MATCH(IF($B1185="Robusta","Robusta",(IF($B1185="","Arabica",$B1185))&amp;" - "&amp;(IF($C1185="","Commercial",$C1185))),Variables!$B$1:$D$1,0),1))*L1185/16.67)),""))</f>
        <v/>
      </c>
      <c r="AX1185" s="9"/>
      <c r="AY1185" s="12"/>
      <c r="AZ1185" s="10"/>
      <c r="BA1185" s="9"/>
      <c r="BB1185" s="10"/>
      <c r="BC1185" s="9"/>
      <c r="BD1185" s="9"/>
      <c r="BE1185" s="9"/>
      <c r="BF1185" s="9"/>
    </row>
    <row r="1186" spans="1:58" x14ac:dyDescent="0.25">
      <c r="A1186" s="9" t="s">
        <v>84</v>
      </c>
      <c r="B1186" s="9" t="s">
        <v>85</v>
      </c>
      <c r="C1186" s="9" t="s">
        <v>1486</v>
      </c>
      <c r="D1186" s="10">
        <v>46049</v>
      </c>
      <c r="E1186" s="10">
        <v>46054</v>
      </c>
      <c r="F1186" s="10">
        <v>46081</v>
      </c>
      <c r="G1186" s="9">
        <v>3787196</v>
      </c>
      <c r="H1186" s="9" t="str">
        <f t="shared" si="111"/>
        <v>Open</v>
      </c>
      <c r="I1186" s="9" t="str">
        <f t="shared" si="112"/>
        <v>No sailing date and No shipping advice sent and No docs dispatch date</v>
      </c>
      <c r="J1186" s="9" t="s">
        <v>2399</v>
      </c>
      <c r="K1186" s="9" t="s">
        <v>2527</v>
      </c>
      <c r="L1186" s="11">
        <v>8</v>
      </c>
      <c r="M1186" s="9" t="s">
        <v>2528</v>
      </c>
      <c r="N1186" s="9"/>
      <c r="O1186" s="9"/>
      <c r="P1186" s="9"/>
      <c r="Q1186" s="11">
        <v>139</v>
      </c>
      <c r="R1186" s="9" t="s">
        <v>195</v>
      </c>
      <c r="S1186" s="9" t="s">
        <v>228</v>
      </c>
      <c r="T1186" s="12">
        <f>IF($H1186="Cancelled","",IFERROR(((Q1186+INDEX(Variables!$B$6:$D$6,IFERROR(MATCH(IF($B1186="Robusta","Robusta",(IF($B1186="","Arabica",$B1186))&amp;" - "&amp;(IF($C1186="","Commercial",$C1186))),Variables!$B$1:$D$1,0),1)))*22.0462)*(L1186/16.67),""))</f>
        <v>4547.3097828434302</v>
      </c>
      <c r="U1186" s="10"/>
      <c r="V1186" s="9" t="str">
        <f t="shared" ref="V1186:V1209" si="116">IF(ISNUMBER(U1186),"Sent","")</f>
        <v/>
      </c>
      <c r="W1186" s="10">
        <v>46037</v>
      </c>
      <c r="X1186" s="9" t="str">
        <f t="shared" si="115"/>
        <v>Approved</v>
      </c>
      <c r="Y1186" s="10">
        <v>46066</v>
      </c>
      <c r="Z1186" s="10">
        <f>IF($H1186="Cancelled","",IFERROR(IF(F1186="","",F1186-Variables!$B$13),""))</f>
        <v>46066</v>
      </c>
      <c r="AA1186" s="11">
        <f>IF($H1186="Cancelled","",IFERROR(IF(W1186="","",(AVERAGE(E1186:F1186)-W1186)-Variables!$B$14),""))</f>
        <v>0.5</v>
      </c>
      <c r="AB1186" s="10">
        <v>46081</v>
      </c>
      <c r="AC1186" s="11">
        <f>IF($H1186="Cancelled","",IFERROR(IF(AB1186="","",IF(AND(W1186="",Y1186=""),"",IF(Y1186&gt;W1186,Y1186+Variables!$B$15+Variables!$B$16+Variables!$B$17-AB1186,W1186+Variables!$B$16+Variables!$B$17-AB1186))),""))</f>
        <v>0</v>
      </c>
      <c r="AD1186" s="9" t="s">
        <v>165</v>
      </c>
      <c r="AE1186" s="9" t="s">
        <v>818</v>
      </c>
      <c r="AF1186" s="10"/>
      <c r="AG1186" s="10"/>
      <c r="AH1186" s="9"/>
      <c r="AI1186" s="9"/>
      <c r="AJ1186" s="9"/>
      <c r="AK1186" s="10"/>
      <c r="AL1186" s="10"/>
      <c r="AM1186" s="10"/>
      <c r="AN1186" s="9" t="s">
        <v>2516</v>
      </c>
      <c r="AO1186" s="9"/>
      <c r="AP1186" s="11" t="str">
        <f>IF($H1186="Cancelled","",IFERROR(IF(OR(AK1186="",AB1186=""),"",(AB1186+Variables!$B$18-AK1186)),""))</f>
        <v/>
      </c>
      <c r="AQ1186" s="11" t="str">
        <f>IF($H1186="Cancelled","",IFERROR(IF(OR(AM1186="",AK1186=""),"",(AK1186+Variables!$B$19)-AM1186),""))</f>
        <v/>
      </c>
      <c r="AR1186" s="12" t="str">
        <f>IF($H1186="Cancelled","",IFERROR(T1186*INDEX(Variables!$B$7:$D$7,IFERROR(MATCH(IF($B1186="Robusta","Robusta",(IF($B1186="","Arabica",$B1186))&amp;" - "&amp;(IF($C1186="","Commercial",$C1186))),Variables!$B$1:$D$1,0),1))*(AQ1186/365),""))</f>
        <v/>
      </c>
      <c r="AS1186" s="12">
        <f>IF($H1186="Cancelled","",IFERROR((T1186*INDEX(Variables!$B$7:$D$7,IFERROR(MATCH(IF($B1186="Robusta","Robusta",(IF($B1186="","Arabica",$B1186))&amp;" - "&amp;(IF($C1186="","Commercial",$C1186))),Variables!$B$1:$D$1,0),1))*IFERROR(IF(W1186="","",(AVERAGE(E1186:F1186)-W1186)-Variables!$B$14),"")/365)+(L1186/16.67*INDEX(Variables!$B$8:$D$8,IFERROR(MATCH(IF($B1186="Robusta","Robusta",(IF($B1186="","Arabica",$B1186))&amp;" - "&amp;(IF($C1186="","Commercial",$C1186))),Variables!$B$1:$D$1,0),1))*IFERROR(IF(W1186="","",(AVERAGE(E1186:F1186)-W1186)-Variables!$B$14),""))+(T1186*INDEX(Variables!$B$9:$D$9,IFERROR(MATCH(IF($B1186="Robusta","Robusta",(IF($B1186="","Arabica",$B1186))&amp;" - "&amp;(IF($C1186="","Commercial",$C1186))),Variables!$B$1:$D$1,0),1))*IFERROR(IF(W1186="","",(AVERAGE(E1186:F1186)-W1186)-Variables!$B$14),"")/365),""))</f>
        <v>0.60685029794759504</v>
      </c>
      <c r="AT1186" s="12">
        <f>IF($H1186="Cancelled","",IFERROR((T1186*INDEX(Variables!$B$7:$D$7,IFERROR(MATCH(IF($B1186="Robusta","Robusta",(IF($B1186="","Arabica",$B1186))&amp;" - "&amp;(IF($C1186="","Commercial",$C1186))),Variables!$B$1:$D$1,0),1))*AC1186/365)+(L1186/16.67*INDEX(Variables!$B$8:$D$8,IFERROR(MATCH(IF($B1186="Robusta","Robusta",(IF($B1186="","Arabica",$B1186))&amp;" - "&amp;(IF($C1186="","Commercial",$C1186))),Variables!$B$1:$D$1,0),1))*AC1186)+(T1186*INDEX(Variables!$B$9:$D$9,IFERROR(MATCH(IF($B1186="Robusta","Robusta",(IF($B1186="","Arabica",$B1186))&amp;" - "&amp;(IF($C1186="","Commercial",$C1186))),Variables!$B$1:$D$1,0),1))*AC1186/365),""))</f>
        <v>0</v>
      </c>
      <c r="AU1186" s="12" t="str">
        <f>IF($H1186="Cancelled","",IFERROR((T1186*INDEX(Variables!$B$7:$D$7,IFERROR(MATCH(IF($B1186="Robusta","Robusta",(IF($B1186="","Arabica",$B1186))&amp;" - "&amp;(IF($C1186="","Commercial",$C1186))),Variables!$B$1:$D$1,0),1))*AP1186/365)+(L1186/16.67*INDEX(Variables!$B$8:$D$8,IFERROR(MATCH(IF($B1186="Robusta","Robusta",(IF($B1186="","Arabica",$B1186))&amp;" - "&amp;(IF($C1186="","Commercial",$C1186))),Variables!$B$1:$D$1,0),1))*AP1186)+(T1186*INDEX(Variables!$B$9:$D$9,IFERROR(MATCH(IF($B1186="Robusta","Robusta",(IF($B1186="","Arabica",$B1186))&amp;" - "&amp;(IF($C1186="","Commercial",$C1186))),Variables!$B$1:$D$1,0),1))*AP1186/365),""))</f>
        <v/>
      </c>
      <c r="AV1186" s="11" t="str">
        <f t="shared" si="114"/>
        <v/>
      </c>
      <c r="AW1186" s="12" t="str">
        <f>IF($H1186="Cancelled","",IFERROR(IF(AV1186="","",(T1186*INDEX(Variables!$B$7:$D$7,IFERROR(MATCH(IF($B1186="Robusta","Robusta",(IF($B1186="","Arabica",$B1186))&amp;" - "&amp;(IF($C1186="","Commercial",$C1186))),Variables!$B$1:$D$1,0),1))*(AV1186/365))+(T1186*INDEX(Variables!$B$9:$D$9,IFERROR(MATCH(IF($B1186="Robusta","Robusta",(IF($B1186="","Arabica",$B1186))&amp;" - "&amp;(IF($C1186="","Commercial",$C1186))),Variables!$B$1:$D$1,0),1))*(AV1186/365))+(INDEX(Variables!$B$8:$D$8,IFERROR(MATCH(IF($B1186="Robusta","Robusta",(IF($B1186="","Arabica",$B1186))&amp;" - "&amp;(IF($C1186="","Commercial",$C1186))),Variables!$B$1:$D$1,0),1))*L1186/16.67)),""))</f>
        <v/>
      </c>
      <c r="AX1186" s="9"/>
      <c r="AY1186" s="12"/>
      <c r="AZ1186" s="10"/>
      <c r="BA1186" s="9"/>
      <c r="BB1186" s="10"/>
      <c r="BC1186" s="9"/>
      <c r="BD1186" s="9"/>
      <c r="BE1186" s="9"/>
      <c r="BF1186" s="9"/>
    </row>
    <row r="1187" spans="1:58" x14ac:dyDescent="0.25">
      <c r="A1187" s="9" t="s">
        <v>84</v>
      </c>
      <c r="B1187" s="9" t="s">
        <v>85</v>
      </c>
      <c r="C1187" s="9" t="s">
        <v>1486</v>
      </c>
      <c r="D1187" s="10">
        <v>46049</v>
      </c>
      <c r="E1187" s="10">
        <v>46054</v>
      </c>
      <c r="F1187" s="10">
        <v>46081</v>
      </c>
      <c r="G1187" s="9">
        <v>3787190</v>
      </c>
      <c r="H1187" s="9" t="str">
        <f t="shared" si="111"/>
        <v>Open</v>
      </c>
      <c r="I1187" s="9" t="str">
        <f t="shared" si="112"/>
        <v>No sailing date and No shipping advice sent and No docs dispatch date</v>
      </c>
      <c r="J1187" s="9" t="s">
        <v>2399</v>
      </c>
      <c r="K1187" s="9" t="s">
        <v>2529</v>
      </c>
      <c r="L1187" s="11">
        <v>25</v>
      </c>
      <c r="M1187" s="9" t="s">
        <v>2530</v>
      </c>
      <c r="N1187" s="9"/>
      <c r="O1187" s="9"/>
      <c r="P1187" s="9"/>
      <c r="Q1187" s="11">
        <v>147</v>
      </c>
      <c r="R1187" s="9" t="s">
        <v>195</v>
      </c>
      <c r="S1187" s="9" t="s">
        <v>228</v>
      </c>
      <c r="T1187" s="12">
        <f>IF($H1187="Cancelled","",IFERROR(((Q1187+INDEX(Variables!$B$6:$D$6,IFERROR(MATCH(IF($B1187="Robusta","Robusta",(IF($B1187="","Arabica",$B1187))&amp;" - "&amp;(IF($C1187="","Commercial",$C1187))),Variables!$B$1:$D$1,0),1)))*22.0462)*(L1187/16.67),""))</f>
        <v>14474.84457108578</v>
      </c>
      <c r="U1187" s="10"/>
      <c r="V1187" s="9" t="str">
        <f t="shared" si="116"/>
        <v/>
      </c>
      <c r="W1187" s="10">
        <v>46037</v>
      </c>
      <c r="X1187" s="9" t="str">
        <f t="shared" si="115"/>
        <v>Approved</v>
      </c>
      <c r="Y1187" s="10">
        <v>46076</v>
      </c>
      <c r="Z1187" s="10">
        <f>IF($H1187="Cancelled","",IFERROR(IF(F1187="","",F1187-Variables!$B$13),""))</f>
        <v>46066</v>
      </c>
      <c r="AA1187" s="11">
        <f>IF($H1187="Cancelled","",IFERROR(IF(W1187="","",(AVERAGE(E1187:F1187)-W1187)-Variables!$B$14),""))</f>
        <v>0.5</v>
      </c>
      <c r="AB1187" s="10">
        <v>46086</v>
      </c>
      <c r="AC1187" s="11">
        <f>IF($H1187="Cancelled","",IFERROR(IF(AB1187="","",IF(AND(W1187="",Y1187=""),"",IF(Y1187&gt;W1187,Y1187+Variables!$B$15+Variables!$B$16+Variables!$B$17-AB1187,W1187+Variables!$B$16+Variables!$B$17-AB1187))),""))</f>
        <v>5</v>
      </c>
      <c r="AD1187" s="9" t="s">
        <v>165</v>
      </c>
      <c r="AE1187" s="9" t="s">
        <v>2498</v>
      </c>
      <c r="AF1187" s="10"/>
      <c r="AG1187" s="10"/>
      <c r="AH1187" s="9"/>
      <c r="AI1187" s="9"/>
      <c r="AJ1187" s="9"/>
      <c r="AK1187" s="10"/>
      <c r="AL1187" s="10"/>
      <c r="AM1187" s="10"/>
      <c r="AN1187" s="9" t="s">
        <v>2499</v>
      </c>
      <c r="AO1187" s="9"/>
      <c r="AP1187" s="11" t="str">
        <f>IF($H1187="Cancelled","",IFERROR(IF(OR(AK1187="",AB1187=""),"",(AB1187+Variables!$B$18-AK1187)),""))</f>
        <v/>
      </c>
      <c r="AQ1187" s="11" t="str">
        <f>IF($H1187="Cancelled","",IFERROR(IF(OR(AM1187="",AK1187=""),"",(AK1187+Variables!$B$19)-AM1187),""))</f>
        <v/>
      </c>
      <c r="AR1187" s="12" t="str">
        <f>IF($H1187="Cancelled","",IFERROR(T1187*INDEX(Variables!$B$7:$D$7,IFERROR(MATCH(IF($B1187="Robusta","Robusta",(IF($B1187="","Arabica",$B1187))&amp;" - "&amp;(IF($C1187="","Commercial",$C1187))),Variables!$B$1:$D$1,0),1))*(AQ1187/365),""))</f>
        <v/>
      </c>
      <c r="AS1187" s="12">
        <f>IF($H1187="Cancelled","",IFERROR((T1187*INDEX(Variables!$B$7:$D$7,IFERROR(MATCH(IF($B1187="Robusta","Robusta",(IF($B1187="","Arabica",$B1187))&amp;" - "&amp;(IF($C1187="","Commercial",$C1187))),Variables!$B$1:$D$1,0),1))*IFERROR(IF(W1187="","",(AVERAGE(E1187:F1187)-W1187)-Variables!$B$14),"")/365)+(L1187/16.67*INDEX(Variables!$B$8:$D$8,IFERROR(MATCH(IF($B1187="Robusta","Robusta",(IF($B1187="","Arabica",$B1187))&amp;" - "&amp;(IF($C1187="","Commercial",$C1187))),Variables!$B$1:$D$1,0),1))*IFERROR(IF(W1187="","",(AVERAGE(E1187:F1187)-W1187)-Variables!$B$14),""))+(T1187*INDEX(Variables!$B$9:$D$9,IFERROR(MATCH(IF($B1187="Robusta","Robusta",(IF($B1187="","Arabica",$B1187))&amp;" - "&amp;(IF($C1187="","Commercial",$C1187))),Variables!$B$1:$D$1,0),1))*IFERROR(IF(W1187="","",(AVERAGE(E1187:F1187)-W1187)-Variables!$B$14),"")/365),""))</f>
        <v>1.9200722751967274</v>
      </c>
      <c r="AT1187" s="12">
        <f>IF($H1187="Cancelled","",IFERROR((T1187*INDEX(Variables!$B$7:$D$7,IFERROR(MATCH(IF($B1187="Robusta","Robusta",(IF($B1187="","Arabica",$B1187))&amp;" - "&amp;(IF($C1187="","Commercial",$C1187))),Variables!$B$1:$D$1,0),1))*AC1187/365)+(L1187/16.67*INDEX(Variables!$B$8:$D$8,IFERROR(MATCH(IF($B1187="Robusta","Robusta",(IF($B1187="","Arabica",$B1187))&amp;" - "&amp;(IF($C1187="","Commercial",$C1187))),Variables!$B$1:$D$1,0),1))*AC1187)+(T1187*INDEX(Variables!$B$9:$D$9,IFERROR(MATCH(IF($B1187="Robusta","Robusta",(IF($B1187="","Arabica",$B1187))&amp;" - "&amp;(IF($C1187="","Commercial",$C1187))),Variables!$B$1:$D$1,0),1))*AC1187/365),""))</f>
        <v>19.200722751967277</v>
      </c>
      <c r="AU1187" s="12" t="str">
        <f>IF($H1187="Cancelled","",IFERROR((T1187*INDEX(Variables!$B$7:$D$7,IFERROR(MATCH(IF($B1187="Robusta","Robusta",(IF($B1187="","Arabica",$B1187))&amp;" - "&amp;(IF($C1187="","Commercial",$C1187))),Variables!$B$1:$D$1,0),1))*AP1187/365)+(L1187/16.67*INDEX(Variables!$B$8:$D$8,IFERROR(MATCH(IF($B1187="Robusta","Robusta",(IF($B1187="","Arabica",$B1187))&amp;" - "&amp;(IF($C1187="","Commercial",$C1187))),Variables!$B$1:$D$1,0),1))*AP1187)+(T1187*INDEX(Variables!$B$9:$D$9,IFERROR(MATCH(IF($B1187="Robusta","Robusta",(IF($B1187="","Arabica",$B1187))&amp;" - "&amp;(IF($C1187="","Commercial",$C1187))),Variables!$B$1:$D$1,0),1))*AP1187/365),""))</f>
        <v/>
      </c>
      <c r="AV1187" s="11" t="str">
        <f t="shared" si="114"/>
        <v/>
      </c>
      <c r="AW1187" s="12" t="str">
        <f>IF($H1187="Cancelled","",IFERROR(IF(AV1187="","",(T1187*INDEX(Variables!$B$7:$D$7,IFERROR(MATCH(IF($B1187="Robusta","Robusta",(IF($B1187="","Arabica",$B1187))&amp;" - "&amp;(IF($C1187="","Commercial",$C1187))),Variables!$B$1:$D$1,0),1))*(AV1187/365))+(T1187*INDEX(Variables!$B$9:$D$9,IFERROR(MATCH(IF($B1187="Robusta","Robusta",(IF($B1187="","Arabica",$B1187))&amp;" - "&amp;(IF($C1187="","Commercial",$C1187))),Variables!$B$1:$D$1,0),1))*(AV1187/365))+(INDEX(Variables!$B$8:$D$8,IFERROR(MATCH(IF($B1187="Robusta","Robusta",(IF($B1187="","Arabica",$B1187))&amp;" - "&amp;(IF($C1187="","Commercial",$C1187))),Variables!$B$1:$D$1,0),1))*L1187/16.67)),""))</f>
        <v/>
      </c>
      <c r="AX1187" s="9"/>
      <c r="AY1187" s="12"/>
      <c r="AZ1187" s="10"/>
      <c r="BA1187" s="9"/>
      <c r="BB1187" s="10"/>
      <c r="BC1187" s="9"/>
      <c r="BD1187" s="9"/>
      <c r="BE1187" s="9"/>
      <c r="BF1187" s="9"/>
    </row>
    <row r="1188" spans="1:58" x14ac:dyDescent="0.25">
      <c r="A1188" s="9" t="s">
        <v>84</v>
      </c>
      <c r="B1188" s="9" t="s">
        <v>85</v>
      </c>
      <c r="C1188" s="9" t="s">
        <v>1486</v>
      </c>
      <c r="D1188" s="10">
        <v>46049</v>
      </c>
      <c r="E1188" s="10">
        <v>46054</v>
      </c>
      <c r="F1188" s="10">
        <v>46081</v>
      </c>
      <c r="G1188" s="9">
        <v>3787191</v>
      </c>
      <c r="H1188" s="9" t="str">
        <f t="shared" si="111"/>
        <v>Open</v>
      </c>
      <c r="I1188" s="9" t="str">
        <f t="shared" si="112"/>
        <v>No sailing date and No shipping advice sent and No docs dispatch date</v>
      </c>
      <c r="J1188" s="9" t="s">
        <v>2399</v>
      </c>
      <c r="K1188" s="9" t="s">
        <v>2531</v>
      </c>
      <c r="L1188" s="11">
        <v>30</v>
      </c>
      <c r="M1188" s="9" t="s">
        <v>2532</v>
      </c>
      <c r="N1188" s="9"/>
      <c r="O1188" s="9"/>
      <c r="P1188" s="9"/>
      <c r="Q1188" s="11">
        <v>119</v>
      </c>
      <c r="R1188" s="9" t="s">
        <v>195</v>
      </c>
      <c r="S1188" s="9" t="s">
        <v>228</v>
      </c>
      <c r="T1188" s="12">
        <f>IF($H1188="Cancelled","",IFERROR(((Q1188+INDEX(Variables!$B$6:$D$6,IFERROR(MATCH(IF($B1188="Robusta","Robusta",(IF($B1188="","Arabica",$B1188))&amp;" - "&amp;(IF($C1188="","Commercial",$C1188))),Variables!$B$1:$D$1,0),1)))*22.0462)*(L1188/16.67),""))</f>
        <v>16258.907186562687</v>
      </c>
      <c r="U1188" s="10"/>
      <c r="V1188" s="9" t="str">
        <f t="shared" si="116"/>
        <v/>
      </c>
      <c r="W1188" s="10">
        <v>46037</v>
      </c>
      <c r="X1188" s="9" t="str">
        <f t="shared" si="115"/>
        <v>Approved</v>
      </c>
      <c r="Y1188" s="10">
        <v>46076</v>
      </c>
      <c r="Z1188" s="10">
        <f>IF($H1188="Cancelled","",IFERROR(IF(F1188="","",F1188-Variables!$B$13),""))</f>
        <v>46066</v>
      </c>
      <c r="AA1188" s="11">
        <f>IF($H1188="Cancelled","",IFERROR(IF(W1188="","",(AVERAGE(E1188:F1188)-W1188)-Variables!$B$14),""))</f>
        <v>0.5</v>
      </c>
      <c r="AB1188" s="10">
        <v>46081</v>
      </c>
      <c r="AC1188" s="11">
        <f>IF($H1188="Cancelled","",IFERROR(IF(AB1188="","",IF(AND(W1188="",Y1188=""),"",IF(Y1188&gt;W1188,Y1188+Variables!$B$15+Variables!$B$16+Variables!$B$17-AB1188,W1188+Variables!$B$16+Variables!$B$17-AB1188))),""))</f>
        <v>10</v>
      </c>
      <c r="AD1188" s="9" t="s">
        <v>165</v>
      </c>
      <c r="AE1188" s="9" t="s">
        <v>818</v>
      </c>
      <c r="AF1188" s="10"/>
      <c r="AG1188" s="10"/>
      <c r="AH1188" s="9"/>
      <c r="AI1188" s="9"/>
      <c r="AJ1188" s="9"/>
      <c r="AK1188" s="10"/>
      <c r="AL1188" s="10"/>
      <c r="AM1188" s="10"/>
      <c r="AN1188" s="9" t="s">
        <v>2516</v>
      </c>
      <c r="AO1188" s="9"/>
      <c r="AP1188" s="11" t="str">
        <f>IF($H1188="Cancelled","",IFERROR(IF(OR(AK1188="",AB1188=""),"",(AB1188+Variables!$B$18-AK1188)),""))</f>
        <v/>
      </c>
      <c r="AQ1188" s="11" t="str">
        <f>IF($H1188="Cancelled","",IFERROR(IF(OR(AM1188="",AK1188=""),"",(AK1188+Variables!$B$19)-AM1188),""))</f>
        <v/>
      </c>
      <c r="AR1188" s="12" t="str">
        <f>IF($H1188="Cancelled","",IFERROR(T1188*INDEX(Variables!$B$7:$D$7,IFERROR(MATCH(IF($B1188="Robusta","Robusta",(IF($B1188="","Arabica",$B1188))&amp;" - "&amp;(IF($C1188="","Commercial",$C1188))),Variables!$B$1:$D$1,0),1))*(AQ1188/365),""))</f>
        <v/>
      </c>
      <c r="AS1188" s="12">
        <f>IF($H1188="Cancelled","",IFERROR((T1188*INDEX(Variables!$B$7:$D$7,IFERROR(MATCH(IF($B1188="Robusta","Robusta",(IF($B1188="","Arabica",$B1188))&amp;" - "&amp;(IF($C1188="","Commercial",$C1188))),Variables!$B$1:$D$1,0),1))*IFERROR(IF(W1188="","",(AVERAGE(E1188:F1188)-W1188)-Variables!$B$14),"")/365)+(L1188/16.67*INDEX(Variables!$B$8:$D$8,IFERROR(MATCH(IF($B1188="Robusta","Robusta",(IF($B1188="","Arabica",$B1188))&amp;" - "&amp;(IF($C1188="","Commercial",$C1188))),Variables!$B$1:$D$1,0),1))*IFERROR(IF(W1188="","",(AVERAGE(E1188:F1188)-W1188)-Variables!$B$14),""))+(T1188*INDEX(Variables!$B$9:$D$9,IFERROR(MATCH(IF($B1188="Robusta","Robusta",(IF($B1188="","Arabica",$B1188))&amp;" - "&amp;(IF($C1188="","Commercial",$C1188))),Variables!$B$1:$D$1,0),1))*IFERROR(IF(W1188="","",(AVERAGE(E1188:F1188)-W1188)-Variables!$B$14),"")/365),""))</f>
        <v>2.2046933349720028</v>
      </c>
      <c r="AT1188" s="12">
        <f>IF($H1188="Cancelled","",IFERROR((T1188*INDEX(Variables!$B$7:$D$7,IFERROR(MATCH(IF($B1188="Robusta","Robusta",(IF($B1188="","Arabica",$B1188))&amp;" - "&amp;(IF($C1188="","Commercial",$C1188))),Variables!$B$1:$D$1,0),1))*AC1188/365)+(L1188/16.67*INDEX(Variables!$B$8:$D$8,IFERROR(MATCH(IF($B1188="Robusta","Robusta",(IF($B1188="","Arabica",$B1188))&amp;" - "&amp;(IF($C1188="","Commercial",$C1188))),Variables!$B$1:$D$1,0),1))*AC1188)+(T1188*INDEX(Variables!$B$9:$D$9,IFERROR(MATCH(IF($B1188="Robusta","Robusta",(IF($B1188="","Arabica",$B1188))&amp;" - "&amp;(IF($C1188="","Commercial",$C1188))),Variables!$B$1:$D$1,0),1))*AC1188/365),""))</f>
        <v>44.093866699440056</v>
      </c>
      <c r="AU1188" s="12" t="str">
        <f>IF($H1188="Cancelled","",IFERROR((T1188*INDEX(Variables!$B$7:$D$7,IFERROR(MATCH(IF($B1188="Robusta","Robusta",(IF($B1188="","Arabica",$B1188))&amp;" - "&amp;(IF($C1188="","Commercial",$C1188))),Variables!$B$1:$D$1,0),1))*AP1188/365)+(L1188/16.67*INDEX(Variables!$B$8:$D$8,IFERROR(MATCH(IF($B1188="Robusta","Robusta",(IF($B1188="","Arabica",$B1188))&amp;" - "&amp;(IF($C1188="","Commercial",$C1188))),Variables!$B$1:$D$1,0),1))*AP1188)+(T1188*INDEX(Variables!$B$9:$D$9,IFERROR(MATCH(IF($B1188="Robusta","Robusta",(IF($B1188="","Arabica",$B1188))&amp;" - "&amp;(IF($C1188="","Commercial",$C1188))),Variables!$B$1:$D$1,0),1))*AP1188/365),""))</f>
        <v/>
      </c>
      <c r="AV1188" s="11" t="str">
        <f t="shared" si="114"/>
        <v/>
      </c>
      <c r="AW1188" s="12" t="str">
        <f>IF($H1188="Cancelled","",IFERROR(IF(AV1188="","",(T1188*INDEX(Variables!$B$7:$D$7,IFERROR(MATCH(IF($B1188="Robusta","Robusta",(IF($B1188="","Arabica",$B1188))&amp;" - "&amp;(IF($C1188="","Commercial",$C1188))),Variables!$B$1:$D$1,0),1))*(AV1188/365))+(T1188*INDEX(Variables!$B$9:$D$9,IFERROR(MATCH(IF($B1188="Robusta","Robusta",(IF($B1188="","Arabica",$B1188))&amp;" - "&amp;(IF($C1188="","Commercial",$C1188))),Variables!$B$1:$D$1,0),1))*(AV1188/365))+(INDEX(Variables!$B$8:$D$8,IFERROR(MATCH(IF($B1188="Robusta","Robusta",(IF($B1188="","Arabica",$B1188))&amp;" - "&amp;(IF($C1188="","Commercial",$C1188))),Variables!$B$1:$D$1,0),1))*L1188/16.67)),""))</f>
        <v/>
      </c>
      <c r="AX1188" s="9"/>
      <c r="AY1188" s="12"/>
      <c r="AZ1188" s="10"/>
      <c r="BA1188" s="9"/>
      <c r="BB1188" s="10"/>
      <c r="BC1188" s="9"/>
      <c r="BD1188" s="9"/>
      <c r="BE1188" s="9"/>
      <c r="BF1188" s="9"/>
    </row>
    <row r="1189" spans="1:58" x14ac:dyDescent="0.25">
      <c r="A1189" s="9" t="s">
        <v>84</v>
      </c>
      <c r="B1189" s="9" t="s">
        <v>85</v>
      </c>
      <c r="C1189" s="9" t="s">
        <v>1486</v>
      </c>
      <c r="D1189" s="10">
        <v>46049</v>
      </c>
      <c r="E1189" s="10">
        <v>46054</v>
      </c>
      <c r="F1189" s="10">
        <v>46081</v>
      </c>
      <c r="G1189" s="9">
        <v>3787192</v>
      </c>
      <c r="H1189" s="9" t="str">
        <f t="shared" si="111"/>
        <v>Open</v>
      </c>
      <c r="I1189" s="9" t="str">
        <f t="shared" si="112"/>
        <v>No sailing date and No shipping advice sent and No docs dispatch date</v>
      </c>
      <c r="J1189" s="9" t="s">
        <v>2399</v>
      </c>
      <c r="K1189" s="9" t="s">
        <v>2533</v>
      </c>
      <c r="L1189" s="11">
        <v>200</v>
      </c>
      <c r="M1189" s="9" t="s">
        <v>2534</v>
      </c>
      <c r="N1189" s="9"/>
      <c r="O1189" s="9"/>
      <c r="P1189" s="9"/>
      <c r="Q1189" s="11">
        <v>39</v>
      </c>
      <c r="R1189" s="9" t="s">
        <v>195</v>
      </c>
      <c r="S1189" s="9" t="s">
        <v>228</v>
      </c>
      <c r="T1189" s="12">
        <f>IF($H1189="Cancelled","",IFERROR(((Q1189+INDEX(Variables!$B$6:$D$6,IFERROR(MATCH(IF($B1189="Robusta","Robusta",(IF($B1189="","Arabica",$B1189))&amp;" - "&amp;(IF($C1189="","Commercial",$C1189))),Variables!$B$1:$D$1,0),1)))*22.0462)*(L1189/16.67),""))</f>
        <v>87232.594601079778</v>
      </c>
      <c r="U1189" s="10"/>
      <c r="V1189" s="9" t="str">
        <f t="shared" si="116"/>
        <v/>
      </c>
      <c r="W1189" s="10">
        <v>46037</v>
      </c>
      <c r="X1189" s="9" t="str">
        <f t="shared" si="115"/>
        <v>Approved</v>
      </c>
      <c r="Y1189" s="10">
        <v>46076</v>
      </c>
      <c r="Z1189" s="10">
        <f>IF($H1189="Cancelled","",IFERROR(IF(F1189="","",F1189-Variables!$B$13),""))</f>
        <v>46066</v>
      </c>
      <c r="AA1189" s="11">
        <f>IF($H1189="Cancelled","",IFERROR(IF(W1189="","",(AVERAGE(E1189:F1189)-W1189)-Variables!$B$14),""))</f>
        <v>0.5</v>
      </c>
      <c r="AB1189" s="10">
        <v>46081</v>
      </c>
      <c r="AC1189" s="11">
        <f>IF($H1189="Cancelled","",IFERROR(IF(AB1189="","",IF(AND(W1189="",Y1189=""),"",IF(Y1189&gt;W1189,Y1189+Variables!$B$15+Variables!$B$16+Variables!$B$17-AB1189,W1189+Variables!$B$16+Variables!$B$17-AB1189))),""))</f>
        <v>10</v>
      </c>
      <c r="AD1189" s="9" t="s">
        <v>165</v>
      </c>
      <c r="AE1189" s="9" t="s">
        <v>818</v>
      </c>
      <c r="AF1189" s="10"/>
      <c r="AG1189" s="10"/>
      <c r="AH1189" s="9"/>
      <c r="AI1189" s="9"/>
      <c r="AJ1189" s="9"/>
      <c r="AK1189" s="10"/>
      <c r="AL1189" s="10"/>
      <c r="AM1189" s="10"/>
      <c r="AN1189" s="9" t="s">
        <v>2516</v>
      </c>
      <c r="AO1189" s="9"/>
      <c r="AP1189" s="11" t="str">
        <f>IF($H1189="Cancelled","",IFERROR(IF(OR(AK1189="",AB1189=""),"",(AB1189+Variables!$B$18-AK1189)),""))</f>
        <v/>
      </c>
      <c r="AQ1189" s="11" t="str">
        <f>IF($H1189="Cancelled","",IFERROR(IF(OR(AM1189="",AK1189=""),"",(AK1189+Variables!$B$19)-AM1189),""))</f>
        <v/>
      </c>
      <c r="AR1189" s="12" t="str">
        <f>IF($H1189="Cancelled","",IFERROR(T1189*INDEX(Variables!$B$7:$D$7,IFERROR(MATCH(IF($B1189="Robusta","Robusta",(IF($B1189="","Arabica",$B1189))&amp;" - "&amp;(IF($C1189="","Commercial",$C1189))),Variables!$B$1:$D$1,0),1))*(AQ1189/365),""))</f>
        <v/>
      </c>
      <c r="AS1189" s="12">
        <f>IF($H1189="Cancelled","",IFERROR((T1189*INDEX(Variables!$B$7:$D$7,IFERROR(MATCH(IF($B1189="Robusta","Robusta",(IF($B1189="","Arabica",$B1189))&amp;" - "&amp;(IF($C1189="","Commercial",$C1189))),Variables!$B$1:$D$1,0),1))*IFERROR(IF(W1189="","",(AVERAGE(E1189:F1189)-W1189)-Variables!$B$14),"")/365)+(L1189/16.67*INDEX(Variables!$B$8:$D$8,IFERROR(MATCH(IF($B1189="Robusta","Robusta",(IF($B1189="","Arabica",$B1189))&amp;" - "&amp;(IF($C1189="","Commercial",$C1189))),Variables!$B$1:$D$1,0),1))*IFERROR(IF(W1189="","",(AVERAGE(E1189:F1189)-W1189)-Variables!$B$14),""))+(T1189*INDEX(Variables!$B$9:$D$9,IFERROR(MATCH(IF($B1189="Robusta","Robusta",(IF($B1189="","Arabica",$B1189))&amp;" - "&amp;(IF($C1189="","Commercial",$C1189))),Variables!$B$1:$D$1,0),1))*IFERROR(IF(W1189="","",(AVERAGE(E1189:F1189)-W1189)-Variables!$B$14),"")/365),""))</f>
        <v>12.80474803764058</v>
      </c>
      <c r="AT1189" s="12">
        <f>IF($H1189="Cancelled","",IFERROR((T1189*INDEX(Variables!$B$7:$D$7,IFERROR(MATCH(IF($B1189="Robusta","Robusta",(IF($B1189="","Arabica",$B1189))&amp;" - "&amp;(IF($C1189="","Commercial",$C1189))),Variables!$B$1:$D$1,0),1))*AC1189/365)+(L1189/16.67*INDEX(Variables!$B$8:$D$8,IFERROR(MATCH(IF($B1189="Robusta","Robusta",(IF($B1189="","Arabica",$B1189))&amp;" - "&amp;(IF($C1189="","Commercial",$C1189))),Variables!$B$1:$D$1,0),1))*AC1189)+(T1189*INDEX(Variables!$B$9:$D$9,IFERROR(MATCH(IF($B1189="Robusta","Robusta",(IF($B1189="","Arabica",$B1189))&amp;" - "&amp;(IF($C1189="","Commercial",$C1189))),Variables!$B$1:$D$1,0),1))*AC1189/365),""))</f>
        <v>256.09496075281163</v>
      </c>
      <c r="AU1189" s="12" t="str">
        <f>IF($H1189="Cancelled","",IFERROR((T1189*INDEX(Variables!$B$7:$D$7,IFERROR(MATCH(IF($B1189="Robusta","Robusta",(IF($B1189="","Arabica",$B1189))&amp;" - "&amp;(IF($C1189="","Commercial",$C1189))),Variables!$B$1:$D$1,0),1))*AP1189/365)+(L1189/16.67*INDEX(Variables!$B$8:$D$8,IFERROR(MATCH(IF($B1189="Robusta","Robusta",(IF($B1189="","Arabica",$B1189))&amp;" - "&amp;(IF($C1189="","Commercial",$C1189))),Variables!$B$1:$D$1,0),1))*AP1189)+(T1189*INDEX(Variables!$B$9:$D$9,IFERROR(MATCH(IF($B1189="Robusta","Robusta",(IF($B1189="","Arabica",$B1189))&amp;" - "&amp;(IF($C1189="","Commercial",$C1189))),Variables!$B$1:$D$1,0),1))*AP1189/365),""))</f>
        <v/>
      </c>
      <c r="AV1189" s="11" t="str">
        <f t="shared" si="114"/>
        <v/>
      </c>
      <c r="AW1189" s="12" t="str">
        <f>IF($H1189="Cancelled","",IFERROR(IF(AV1189="","",(T1189*INDEX(Variables!$B$7:$D$7,IFERROR(MATCH(IF($B1189="Robusta","Robusta",(IF($B1189="","Arabica",$B1189))&amp;" - "&amp;(IF($C1189="","Commercial",$C1189))),Variables!$B$1:$D$1,0),1))*(AV1189/365))+(T1189*INDEX(Variables!$B$9:$D$9,IFERROR(MATCH(IF($B1189="Robusta","Robusta",(IF($B1189="","Arabica",$B1189))&amp;" - "&amp;(IF($C1189="","Commercial",$C1189))),Variables!$B$1:$D$1,0),1))*(AV1189/365))+(INDEX(Variables!$B$8:$D$8,IFERROR(MATCH(IF($B1189="Robusta","Robusta",(IF($B1189="","Arabica",$B1189))&amp;" - "&amp;(IF($C1189="","Commercial",$C1189))),Variables!$B$1:$D$1,0),1))*L1189/16.67)),""))</f>
        <v/>
      </c>
      <c r="AX1189" s="9"/>
      <c r="AY1189" s="12"/>
      <c r="AZ1189" s="10"/>
      <c r="BA1189" s="9"/>
      <c r="BB1189" s="10"/>
      <c r="BC1189" s="9"/>
      <c r="BD1189" s="9"/>
      <c r="BE1189" s="9"/>
      <c r="BF1189" s="9"/>
    </row>
    <row r="1190" spans="1:58" x14ac:dyDescent="0.25">
      <c r="A1190" s="9" t="s">
        <v>84</v>
      </c>
      <c r="B1190" s="9" t="s">
        <v>85</v>
      </c>
      <c r="C1190" s="9" t="s">
        <v>1486</v>
      </c>
      <c r="D1190" s="10">
        <v>46049</v>
      </c>
      <c r="E1190" s="10">
        <v>46054</v>
      </c>
      <c r="F1190" s="10">
        <v>46081</v>
      </c>
      <c r="G1190" s="9">
        <v>3787166</v>
      </c>
      <c r="H1190" s="9" t="str">
        <f t="shared" si="111"/>
        <v>Open</v>
      </c>
      <c r="I1190" s="9" t="str">
        <f t="shared" si="112"/>
        <v>No sailing date and No shipping advice sent and No docs dispatch date</v>
      </c>
      <c r="J1190" s="9" t="s">
        <v>1487</v>
      </c>
      <c r="K1190" s="9" t="s">
        <v>2535</v>
      </c>
      <c r="L1190" s="11">
        <v>70</v>
      </c>
      <c r="M1190" s="9" t="s">
        <v>2536</v>
      </c>
      <c r="N1190" s="9"/>
      <c r="O1190" s="9"/>
      <c r="P1190" s="9"/>
      <c r="Q1190" s="11">
        <v>107</v>
      </c>
      <c r="R1190" s="9" t="s">
        <v>90</v>
      </c>
      <c r="S1190" s="9" t="s">
        <v>183</v>
      </c>
      <c r="T1190" s="12">
        <f>IF($H1190="Cancelled","",IFERROR(((Q1190+INDEX(Variables!$B$6:$D$6,IFERROR(MATCH(IF($B1190="Robusta","Robusta",(IF($B1190="","Arabica",$B1190))&amp;" - "&amp;(IF($C1190="","Commercial",$C1190))),Variables!$B$1:$D$1,0),1)))*22.0462)*(L1190/16.67),""))</f>
        <v>36826.543803239343</v>
      </c>
      <c r="U1190" s="10"/>
      <c r="V1190" s="9" t="str">
        <f t="shared" si="116"/>
        <v/>
      </c>
      <c r="W1190" s="10">
        <v>46037</v>
      </c>
      <c r="X1190" s="9" t="str">
        <f t="shared" si="115"/>
        <v>Approved</v>
      </c>
      <c r="Y1190" s="10">
        <v>46076</v>
      </c>
      <c r="Z1190" s="10">
        <f>IF($H1190="Cancelled","",IFERROR(IF(F1190="","",F1190-Variables!$B$13),""))</f>
        <v>46066</v>
      </c>
      <c r="AA1190" s="11">
        <f>IF($H1190="Cancelled","",IFERROR(IF(W1190="","",(AVERAGE(E1190:F1190)-W1190)-Variables!$B$14),""))</f>
        <v>0.5</v>
      </c>
      <c r="AB1190" s="10">
        <v>46080</v>
      </c>
      <c r="AC1190" s="11">
        <f>IF($H1190="Cancelled","",IFERROR(IF(AB1190="","",IF(AND(W1190="",Y1190=""),"",IF(Y1190&gt;W1190,Y1190+Variables!$B$15+Variables!$B$16+Variables!$B$17-AB1190,W1190+Variables!$B$16+Variables!$B$17-AB1190))),""))</f>
        <v>11</v>
      </c>
      <c r="AD1190" s="9" t="s">
        <v>165</v>
      </c>
      <c r="AE1190" s="9" t="s">
        <v>818</v>
      </c>
      <c r="AF1190" s="10"/>
      <c r="AG1190" s="10"/>
      <c r="AH1190" s="9"/>
      <c r="AI1190" s="9"/>
      <c r="AJ1190" s="9"/>
      <c r="AK1190" s="10"/>
      <c r="AL1190" s="10"/>
      <c r="AM1190" s="10"/>
      <c r="AN1190" s="9" t="s">
        <v>2537</v>
      </c>
      <c r="AO1190" s="9"/>
      <c r="AP1190" s="11" t="str">
        <f>IF($H1190="Cancelled","",IFERROR(IF(OR(AK1190="",AB1190=""),"",(AB1190+Variables!$B$18-AK1190)),""))</f>
        <v/>
      </c>
      <c r="AQ1190" s="11" t="str">
        <f>IF($H1190="Cancelled","",IFERROR(IF(OR(AM1190="",AK1190=""),"",(AK1190+Variables!$B$19)-AM1190),""))</f>
        <v/>
      </c>
      <c r="AR1190" s="12" t="str">
        <f>IF($H1190="Cancelled","",IFERROR(T1190*INDEX(Variables!$B$7:$D$7,IFERROR(MATCH(IF($B1190="Robusta","Robusta",(IF($B1190="","Arabica",$B1190))&amp;" - "&amp;(IF($C1190="","Commercial",$C1190))),Variables!$B$1:$D$1,0),1))*(AQ1190/365),""))</f>
        <v/>
      </c>
      <c r="AS1190" s="12">
        <f>IF($H1190="Cancelled","",IFERROR((T1190*INDEX(Variables!$B$7:$D$7,IFERROR(MATCH(IF($B1190="Robusta","Robusta",(IF($B1190="","Arabica",$B1190))&amp;" - "&amp;(IF($C1190="","Commercial",$C1190))),Variables!$B$1:$D$1,0),1))*IFERROR(IF(W1190="","",(AVERAGE(E1190:F1190)-W1190)-Variables!$B$14),"")/365)+(L1190/16.67*INDEX(Variables!$B$8:$D$8,IFERROR(MATCH(IF($B1190="Robusta","Robusta",(IF($B1190="","Arabica",$B1190))&amp;" - "&amp;(IF($C1190="","Commercial",$C1190))),Variables!$B$1:$D$1,0),1))*IFERROR(IF(W1190="","",(AVERAGE(E1190:F1190)-W1190)-Variables!$B$14),""))+(T1190*INDEX(Variables!$B$9:$D$9,IFERROR(MATCH(IF($B1190="Robusta","Robusta",(IF($B1190="","Arabica",$B1190))&amp;" - "&amp;(IF($C1190="","Commercial",$C1190))),Variables!$B$1:$D$1,0),1))*IFERROR(IF(W1190="","",(AVERAGE(E1190:F1190)-W1190)-Variables!$B$14),"")/365),""))</f>
        <v>5.0448910530039353</v>
      </c>
      <c r="AT1190" s="12">
        <f>IF($H1190="Cancelled","",IFERROR((T1190*INDEX(Variables!$B$7:$D$7,IFERROR(MATCH(IF($B1190="Robusta","Robusta",(IF($B1190="","Arabica",$B1190))&amp;" - "&amp;(IF($C1190="","Commercial",$C1190))),Variables!$B$1:$D$1,0),1))*AC1190/365)+(L1190/16.67*INDEX(Variables!$B$8:$D$8,IFERROR(MATCH(IF($B1190="Robusta","Robusta",(IF($B1190="","Arabica",$B1190))&amp;" - "&amp;(IF($C1190="","Commercial",$C1190))),Variables!$B$1:$D$1,0),1))*AC1190)+(T1190*INDEX(Variables!$B$9:$D$9,IFERROR(MATCH(IF($B1190="Robusta","Robusta",(IF($B1190="","Arabica",$B1190))&amp;" - "&amp;(IF($C1190="","Commercial",$C1190))),Variables!$B$1:$D$1,0),1))*AC1190/365),""))</f>
        <v>110.98760316608659</v>
      </c>
      <c r="AU1190" s="12" t="str">
        <f>IF($H1190="Cancelled","",IFERROR((T1190*INDEX(Variables!$B$7:$D$7,IFERROR(MATCH(IF($B1190="Robusta","Robusta",(IF($B1190="","Arabica",$B1190))&amp;" - "&amp;(IF($C1190="","Commercial",$C1190))),Variables!$B$1:$D$1,0),1))*AP1190/365)+(L1190/16.67*INDEX(Variables!$B$8:$D$8,IFERROR(MATCH(IF($B1190="Robusta","Robusta",(IF($B1190="","Arabica",$B1190))&amp;" - "&amp;(IF($C1190="","Commercial",$C1190))),Variables!$B$1:$D$1,0),1))*AP1190)+(T1190*INDEX(Variables!$B$9:$D$9,IFERROR(MATCH(IF($B1190="Robusta","Robusta",(IF($B1190="","Arabica",$B1190))&amp;" - "&amp;(IF($C1190="","Commercial",$C1190))),Variables!$B$1:$D$1,0),1))*AP1190/365),""))</f>
        <v/>
      </c>
      <c r="AV1190" s="11" t="str">
        <f t="shared" si="114"/>
        <v/>
      </c>
      <c r="AW1190" s="12" t="str">
        <f>IF($H1190="Cancelled","",IFERROR(IF(AV1190="","",(T1190*INDEX(Variables!$B$7:$D$7,IFERROR(MATCH(IF($B1190="Robusta","Robusta",(IF($B1190="","Arabica",$B1190))&amp;" - "&amp;(IF($C1190="","Commercial",$C1190))),Variables!$B$1:$D$1,0),1))*(AV1190/365))+(T1190*INDEX(Variables!$B$9:$D$9,IFERROR(MATCH(IF($B1190="Robusta","Robusta",(IF($B1190="","Arabica",$B1190))&amp;" - "&amp;(IF($C1190="","Commercial",$C1190))),Variables!$B$1:$D$1,0),1))*(AV1190/365))+(INDEX(Variables!$B$8:$D$8,IFERROR(MATCH(IF($B1190="Robusta","Robusta",(IF($B1190="","Arabica",$B1190))&amp;" - "&amp;(IF($C1190="","Commercial",$C1190))),Variables!$B$1:$D$1,0),1))*L1190/16.67)),""))</f>
        <v/>
      </c>
      <c r="AX1190" s="9"/>
      <c r="AY1190" s="12"/>
      <c r="AZ1190" s="10"/>
      <c r="BA1190" s="9"/>
      <c r="BB1190" s="10"/>
      <c r="BC1190" s="9"/>
      <c r="BD1190" s="9"/>
      <c r="BE1190" s="9"/>
      <c r="BF1190" s="9"/>
    </row>
    <row r="1191" spans="1:58" x14ac:dyDescent="0.25">
      <c r="A1191" s="9" t="s">
        <v>84</v>
      </c>
      <c r="B1191" s="9" t="s">
        <v>85</v>
      </c>
      <c r="C1191" s="9" t="s">
        <v>1486</v>
      </c>
      <c r="D1191" s="10">
        <v>46049</v>
      </c>
      <c r="E1191" s="10">
        <v>46054</v>
      </c>
      <c r="F1191" s="10">
        <v>46081</v>
      </c>
      <c r="G1191" s="9">
        <v>3787175</v>
      </c>
      <c r="H1191" s="9" t="str">
        <f t="shared" si="111"/>
        <v>Open</v>
      </c>
      <c r="I1191" s="9" t="str">
        <f t="shared" si="112"/>
        <v>No sailing date and No shipping advice sent and No docs dispatch date</v>
      </c>
      <c r="J1191" s="9" t="s">
        <v>1487</v>
      </c>
      <c r="K1191" s="9" t="s">
        <v>2538</v>
      </c>
      <c r="L1191" s="11">
        <v>20</v>
      </c>
      <c r="M1191" s="9" t="s">
        <v>2539</v>
      </c>
      <c r="N1191" s="9"/>
      <c r="O1191" s="9"/>
      <c r="P1191" s="9"/>
      <c r="Q1191" s="11">
        <v>183.55</v>
      </c>
      <c r="R1191" s="9" t="s">
        <v>90</v>
      </c>
      <c r="S1191" s="9" t="s">
        <v>183</v>
      </c>
      <c r="T1191" s="12">
        <f>IF($H1191="Cancelled","",IFERROR(((Q1191+INDEX(Variables!$B$6:$D$6,IFERROR(MATCH(IF($B1191="Robusta","Robusta",(IF($B1191="","Arabica",$B1191))&amp;" - "&amp;(IF($C1191="","Commercial",$C1191))),Variables!$B$1:$D$1,0),1)))*22.0462)*(L1191/16.67),""))</f>
        <v>12546.628638272345</v>
      </c>
      <c r="U1191" s="10"/>
      <c r="V1191" s="9" t="str">
        <f t="shared" si="116"/>
        <v/>
      </c>
      <c r="W1191" s="10">
        <v>46037</v>
      </c>
      <c r="X1191" s="9" t="str">
        <f t="shared" si="115"/>
        <v>Approved</v>
      </c>
      <c r="Y1191" s="10">
        <v>46076</v>
      </c>
      <c r="Z1191" s="10">
        <f>IF($H1191="Cancelled","",IFERROR(IF(F1191="","",F1191-Variables!$B$13),""))</f>
        <v>46066</v>
      </c>
      <c r="AA1191" s="11">
        <f>IF($H1191="Cancelled","",IFERROR(IF(W1191="","",(AVERAGE(E1191:F1191)-W1191)-Variables!$B$14),""))</f>
        <v>0.5</v>
      </c>
      <c r="AB1191" s="10">
        <v>46080</v>
      </c>
      <c r="AC1191" s="11">
        <f>IF($H1191="Cancelled","",IFERROR(IF(AB1191="","",IF(AND(W1191="",Y1191=""),"",IF(Y1191&gt;W1191,Y1191+Variables!$B$15+Variables!$B$16+Variables!$B$17-AB1191,W1191+Variables!$B$16+Variables!$B$17-AB1191))),""))</f>
        <v>11</v>
      </c>
      <c r="AD1191" s="9" t="s">
        <v>165</v>
      </c>
      <c r="AE1191" s="9" t="s">
        <v>818</v>
      </c>
      <c r="AF1191" s="10"/>
      <c r="AG1191" s="10"/>
      <c r="AH1191" s="9"/>
      <c r="AI1191" s="9"/>
      <c r="AJ1191" s="9"/>
      <c r="AK1191" s="10"/>
      <c r="AL1191" s="10"/>
      <c r="AM1191" s="10"/>
      <c r="AN1191" s="9" t="s">
        <v>2537</v>
      </c>
      <c r="AO1191" s="9"/>
      <c r="AP1191" s="11" t="str">
        <f>IF($H1191="Cancelled","",IFERROR(IF(OR(AK1191="",AB1191=""),"",(AB1191+Variables!$B$18-AK1191)),""))</f>
        <v/>
      </c>
      <c r="AQ1191" s="11" t="str">
        <f>IF($H1191="Cancelled","",IFERROR(IF(OR(AM1191="",AK1191=""),"",(AK1191+Variables!$B$19)-AM1191),""))</f>
        <v/>
      </c>
      <c r="AR1191" s="12" t="str">
        <f>IF($H1191="Cancelled","",IFERROR(T1191*INDEX(Variables!$B$7:$D$7,IFERROR(MATCH(IF($B1191="Robusta","Robusta",(IF($B1191="","Arabica",$B1191))&amp;" - "&amp;(IF($C1191="","Commercial",$C1191))),Variables!$B$1:$D$1,0),1))*(AQ1191/365),""))</f>
        <v/>
      </c>
      <c r="AS1191" s="12">
        <f>IF($H1191="Cancelled","",IFERROR((T1191*INDEX(Variables!$B$7:$D$7,IFERROR(MATCH(IF($B1191="Robusta","Robusta",(IF($B1191="","Arabica",$B1191))&amp;" - "&amp;(IF($C1191="","Commercial",$C1191))),Variables!$B$1:$D$1,0),1))*IFERROR(IF(W1191="","",(AVERAGE(E1191:F1191)-W1191)-Variables!$B$14),"")/365)+(L1191/16.67*INDEX(Variables!$B$8:$D$8,IFERROR(MATCH(IF($B1191="Robusta","Robusta",(IF($B1191="","Arabica",$B1191))&amp;" - "&amp;(IF($C1191="","Commercial",$C1191))),Variables!$B$1:$D$1,0),1))*IFERROR(IF(W1191="","",(AVERAGE(E1191:F1191)-W1191)-Variables!$B$14),""))+(T1191*INDEX(Variables!$B$9:$D$9,IFERROR(MATCH(IF($B1191="Robusta","Robusta",(IF($B1191="","Arabica",$B1191))&amp;" - "&amp;(IF($C1191="","Commercial",$C1191))),Variables!$B$1:$D$1,0),1))*IFERROR(IF(W1191="","",(AVERAGE(E1191:F1191)-W1191)-Variables!$B$14),"")/365),""))</f>
        <v>1.6225537391312341</v>
      </c>
      <c r="AT1191" s="12">
        <f>IF($H1191="Cancelled","",IFERROR((T1191*INDEX(Variables!$B$7:$D$7,IFERROR(MATCH(IF($B1191="Robusta","Robusta",(IF($B1191="","Arabica",$B1191))&amp;" - "&amp;(IF($C1191="","Commercial",$C1191))),Variables!$B$1:$D$1,0),1))*AC1191/365)+(L1191/16.67*INDEX(Variables!$B$8:$D$8,IFERROR(MATCH(IF($B1191="Robusta","Robusta",(IF($B1191="","Arabica",$B1191))&amp;" - "&amp;(IF($C1191="","Commercial",$C1191))),Variables!$B$1:$D$1,0),1))*AC1191)+(T1191*INDEX(Variables!$B$9:$D$9,IFERROR(MATCH(IF($B1191="Robusta","Robusta",(IF($B1191="","Arabica",$B1191))&amp;" - "&amp;(IF($C1191="","Commercial",$C1191))),Variables!$B$1:$D$1,0),1))*AC1191/365),""))</f>
        <v>35.696182260887149</v>
      </c>
      <c r="AU1191" s="12" t="str">
        <f>IF($H1191="Cancelled","",IFERROR((T1191*INDEX(Variables!$B$7:$D$7,IFERROR(MATCH(IF($B1191="Robusta","Robusta",(IF($B1191="","Arabica",$B1191))&amp;" - "&amp;(IF($C1191="","Commercial",$C1191))),Variables!$B$1:$D$1,0),1))*AP1191/365)+(L1191/16.67*INDEX(Variables!$B$8:$D$8,IFERROR(MATCH(IF($B1191="Robusta","Robusta",(IF($B1191="","Arabica",$B1191))&amp;" - "&amp;(IF($C1191="","Commercial",$C1191))),Variables!$B$1:$D$1,0),1))*AP1191)+(T1191*INDEX(Variables!$B$9:$D$9,IFERROR(MATCH(IF($B1191="Robusta","Robusta",(IF($B1191="","Arabica",$B1191))&amp;" - "&amp;(IF($C1191="","Commercial",$C1191))),Variables!$B$1:$D$1,0),1))*AP1191/365),""))</f>
        <v/>
      </c>
      <c r="AV1191" s="11" t="str">
        <f t="shared" si="114"/>
        <v/>
      </c>
      <c r="AW1191" s="12" t="str">
        <f>IF($H1191="Cancelled","",IFERROR(IF(AV1191="","",(T1191*INDEX(Variables!$B$7:$D$7,IFERROR(MATCH(IF($B1191="Robusta","Robusta",(IF($B1191="","Arabica",$B1191))&amp;" - "&amp;(IF($C1191="","Commercial",$C1191))),Variables!$B$1:$D$1,0),1))*(AV1191/365))+(T1191*INDEX(Variables!$B$9:$D$9,IFERROR(MATCH(IF($B1191="Robusta","Robusta",(IF($B1191="","Arabica",$B1191))&amp;" - "&amp;(IF($C1191="","Commercial",$C1191))),Variables!$B$1:$D$1,0),1))*(AV1191/365))+(INDEX(Variables!$B$8:$D$8,IFERROR(MATCH(IF($B1191="Robusta","Robusta",(IF($B1191="","Arabica",$B1191))&amp;" - "&amp;(IF($C1191="","Commercial",$C1191))),Variables!$B$1:$D$1,0),1))*L1191/16.67)),""))</f>
        <v/>
      </c>
      <c r="AX1191" s="9"/>
      <c r="AY1191" s="12"/>
      <c r="AZ1191" s="10"/>
      <c r="BA1191" s="9"/>
      <c r="BB1191" s="10"/>
      <c r="BC1191" s="9"/>
      <c r="BD1191" s="9"/>
      <c r="BE1191" s="9"/>
      <c r="BF1191" s="9"/>
    </row>
    <row r="1192" spans="1:58" x14ac:dyDescent="0.25">
      <c r="A1192" s="9" t="s">
        <v>84</v>
      </c>
      <c r="B1192" s="9" t="s">
        <v>85</v>
      </c>
      <c r="C1192" s="9" t="s">
        <v>1486</v>
      </c>
      <c r="D1192" s="10">
        <v>46049</v>
      </c>
      <c r="E1192" s="10">
        <v>46054</v>
      </c>
      <c r="F1192" s="10">
        <v>46081</v>
      </c>
      <c r="G1192" s="9">
        <v>3787169</v>
      </c>
      <c r="H1192" s="9" t="str">
        <f t="shared" si="111"/>
        <v>Open</v>
      </c>
      <c r="I1192" s="9" t="str">
        <f t="shared" si="112"/>
        <v>No sailing date and No shipping advice sent and No docs dispatch date</v>
      </c>
      <c r="J1192" s="9" t="s">
        <v>1487</v>
      </c>
      <c r="K1192" s="9" t="s">
        <v>2540</v>
      </c>
      <c r="L1192" s="11">
        <v>50</v>
      </c>
      <c r="M1192" s="9" t="s">
        <v>2541</v>
      </c>
      <c r="N1192" s="9"/>
      <c r="O1192" s="9"/>
      <c r="P1192" s="9"/>
      <c r="Q1192" s="11">
        <v>164</v>
      </c>
      <c r="R1192" s="9" t="s">
        <v>90</v>
      </c>
      <c r="S1192" s="9" t="s">
        <v>183</v>
      </c>
      <c r="T1192" s="12">
        <f>IF($H1192="Cancelled","",IFERROR(((Q1192+INDEX(Variables!$B$6:$D$6,IFERROR(MATCH(IF($B1192="Robusta","Robusta",(IF($B1192="","Arabica",$B1192))&amp;" - "&amp;(IF($C1192="","Commercial",$C1192))),Variables!$B$1:$D$1,0),1)))*22.0462)*(L1192/16.67),""))</f>
        <v>30073.820515896816</v>
      </c>
      <c r="U1192" s="10"/>
      <c r="V1192" s="9" t="str">
        <f t="shared" si="116"/>
        <v/>
      </c>
      <c r="W1192" s="10">
        <v>46037</v>
      </c>
      <c r="X1192" s="9" t="str">
        <f t="shared" si="115"/>
        <v>Approved</v>
      </c>
      <c r="Y1192" s="10">
        <v>46076</v>
      </c>
      <c r="Z1192" s="10">
        <f>IF($H1192="Cancelled","",IFERROR(IF(F1192="","",F1192-Variables!$B$13),""))</f>
        <v>46066</v>
      </c>
      <c r="AA1192" s="11">
        <f>IF($H1192="Cancelled","",IFERROR(IF(W1192="","",(AVERAGE(E1192:F1192)-W1192)-Variables!$B$14),""))</f>
        <v>0.5</v>
      </c>
      <c r="AB1192" s="10">
        <v>46080</v>
      </c>
      <c r="AC1192" s="11">
        <f>IF($H1192="Cancelled","",IFERROR(IF(AB1192="","",IF(AND(W1192="",Y1192=""),"",IF(Y1192&gt;W1192,Y1192+Variables!$B$15+Variables!$B$16+Variables!$B$17-AB1192,W1192+Variables!$B$16+Variables!$B$17-AB1192))),""))</f>
        <v>11</v>
      </c>
      <c r="AD1192" s="9" t="s">
        <v>165</v>
      </c>
      <c r="AE1192" s="9" t="s">
        <v>818</v>
      </c>
      <c r="AF1192" s="10"/>
      <c r="AG1192" s="10"/>
      <c r="AH1192" s="9"/>
      <c r="AI1192" s="9"/>
      <c r="AJ1192" s="9"/>
      <c r="AK1192" s="10"/>
      <c r="AL1192" s="10"/>
      <c r="AM1192" s="10"/>
      <c r="AN1192" s="9" t="s">
        <v>2537</v>
      </c>
      <c r="AO1192" s="9"/>
      <c r="AP1192" s="11" t="str">
        <f>IF($H1192="Cancelled","",IFERROR(IF(OR(AK1192="",AB1192=""),"",(AB1192+Variables!$B$18-AK1192)),""))</f>
        <v/>
      </c>
      <c r="AQ1192" s="11" t="str">
        <f>IF($H1192="Cancelled","",IFERROR(IF(OR(AM1192="",AK1192=""),"",(AK1192+Variables!$B$19)-AM1192),""))</f>
        <v/>
      </c>
      <c r="AR1192" s="12" t="str">
        <f>IF($H1192="Cancelled","",IFERROR(T1192*INDEX(Variables!$B$7:$D$7,IFERROR(MATCH(IF($B1192="Robusta","Robusta",(IF($B1192="","Arabica",$B1192))&amp;" - "&amp;(IF($C1192="","Commercial",$C1192))),Variables!$B$1:$D$1,0),1))*(AQ1192/365),""))</f>
        <v/>
      </c>
      <c r="AS1192" s="12">
        <f>IF($H1192="Cancelled","",IFERROR((T1192*INDEX(Variables!$B$7:$D$7,IFERROR(MATCH(IF($B1192="Robusta","Robusta",(IF($B1192="","Arabica",$B1192))&amp;" - "&amp;(IF($C1192="","Commercial",$C1192))),Variables!$B$1:$D$1,0),1))*IFERROR(IF(W1192="","",(AVERAGE(E1192:F1192)-W1192)-Variables!$B$14),"")/365)+(L1192/16.67*INDEX(Variables!$B$8:$D$8,IFERROR(MATCH(IF($B1192="Robusta","Robusta",(IF($B1192="","Arabica",$B1192))&amp;" - "&amp;(IF($C1192="","Commercial",$C1192))),Variables!$B$1:$D$1,0),1))*IFERROR(IF(W1192="","",(AVERAGE(E1192:F1192)-W1192)-Variables!$B$14),""))+(T1192*INDEX(Variables!$B$9:$D$9,IFERROR(MATCH(IF($B1192="Robusta","Robusta",(IF($B1192="","Arabica",$B1192))&amp;" - "&amp;(IF($C1192="","Commercial",$C1192))),Variables!$B$1:$D$1,0),1))*IFERROR(IF(W1192="","",(AVERAGE(E1192:F1192)-W1192)-Variables!$B$14),"")/365),""))</f>
        <v>3.9407212003630505</v>
      </c>
      <c r="AT1192" s="12">
        <f>IF($H1192="Cancelled","",IFERROR((T1192*INDEX(Variables!$B$7:$D$7,IFERROR(MATCH(IF($B1192="Robusta","Robusta",(IF($B1192="","Arabica",$B1192))&amp;" - "&amp;(IF($C1192="","Commercial",$C1192))),Variables!$B$1:$D$1,0),1))*AC1192/365)+(L1192/16.67*INDEX(Variables!$B$8:$D$8,IFERROR(MATCH(IF($B1192="Robusta","Robusta",(IF($B1192="","Arabica",$B1192))&amp;" - "&amp;(IF($C1192="","Commercial",$C1192))),Variables!$B$1:$D$1,0),1))*AC1192)+(T1192*INDEX(Variables!$B$9:$D$9,IFERROR(MATCH(IF($B1192="Robusta","Robusta",(IF($B1192="","Arabica",$B1192))&amp;" - "&amp;(IF($C1192="","Commercial",$C1192))),Variables!$B$1:$D$1,0),1))*AC1192/365),""))</f>
        <v>86.695866407987111</v>
      </c>
      <c r="AU1192" s="12" t="str">
        <f>IF($H1192="Cancelled","",IFERROR((T1192*INDEX(Variables!$B$7:$D$7,IFERROR(MATCH(IF($B1192="Robusta","Robusta",(IF($B1192="","Arabica",$B1192))&amp;" - "&amp;(IF($C1192="","Commercial",$C1192))),Variables!$B$1:$D$1,0),1))*AP1192/365)+(L1192/16.67*INDEX(Variables!$B$8:$D$8,IFERROR(MATCH(IF($B1192="Robusta","Robusta",(IF($B1192="","Arabica",$B1192))&amp;" - "&amp;(IF($C1192="","Commercial",$C1192))),Variables!$B$1:$D$1,0),1))*AP1192)+(T1192*INDEX(Variables!$B$9:$D$9,IFERROR(MATCH(IF($B1192="Robusta","Robusta",(IF($B1192="","Arabica",$B1192))&amp;" - "&amp;(IF($C1192="","Commercial",$C1192))),Variables!$B$1:$D$1,0),1))*AP1192/365),""))</f>
        <v/>
      </c>
      <c r="AV1192" s="11" t="str">
        <f t="shared" si="114"/>
        <v/>
      </c>
      <c r="AW1192" s="12" t="str">
        <f>IF($H1192="Cancelled","",IFERROR(IF(AV1192="","",(T1192*INDEX(Variables!$B$7:$D$7,IFERROR(MATCH(IF($B1192="Robusta","Robusta",(IF($B1192="","Arabica",$B1192))&amp;" - "&amp;(IF($C1192="","Commercial",$C1192))),Variables!$B$1:$D$1,0),1))*(AV1192/365))+(T1192*INDEX(Variables!$B$9:$D$9,IFERROR(MATCH(IF($B1192="Robusta","Robusta",(IF($B1192="","Arabica",$B1192))&amp;" - "&amp;(IF($C1192="","Commercial",$C1192))),Variables!$B$1:$D$1,0),1))*(AV1192/365))+(INDEX(Variables!$B$8:$D$8,IFERROR(MATCH(IF($B1192="Robusta","Robusta",(IF($B1192="","Arabica",$B1192))&amp;" - "&amp;(IF($C1192="","Commercial",$C1192))),Variables!$B$1:$D$1,0),1))*L1192/16.67)),""))</f>
        <v/>
      </c>
      <c r="AX1192" s="9"/>
      <c r="AY1192" s="12"/>
      <c r="AZ1192" s="10"/>
      <c r="BA1192" s="9"/>
      <c r="BB1192" s="10"/>
      <c r="BC1192" s="9"/>
      <c r="BD1192" s="9"/>
      <c r="BE1192" s="9"/>
      <c r="BF1192" s="9"/>
    </row>
    <row r="1193" spans="1:58" x14ac:dyDescent="0.25">
      <c r="A1193" s="9" t="s">
        <v>84</v>
      </c>
      <c r="B1193" s="9" t="s">
        <v>85</v>
      </c>
      <c r="C1193" s="9" t="s">
        <v>1486</v>
      </c>
      <c r="D1193" s="10">
        <v>46049</v>
      </c>
      <c r="E1193" s="10">
        <v>46054</v>
      </c>
      <c r="F1193" s="10">
        <v>46081</v>
      </c>
      <c r="G1193" s="9">
        <v>3787171</v>
      </c>
      <c r="H1193" s="9" t="str">
        <f t="shared" si="111"/>
        <v>Open</v>
      </c>
      <c r="I1193" s="9" t="str">
        <f t="shared" si="112"/>
        <v>No sailing date and No shipping advice sent and No docs dispatch date</v>
      </c>
      <c r="J1193" s="9" t="s">
        <v>1487</v>
      </c>
      <c r="K1193" s="9" t="s">
        <v>2542</v>
      </c>
      <c r="L1193" s="11">
        <v>40</v>
      </c>
      <c r="M1193" s="9" t="s">
        <v>2543</v>
      </c>
      <c r="N1193" s="9"/>
      <c r="O1193" s="9"/>
      <c r="P1193" s="9"/>
      <c r="Q1193" s="11">
        <v>161.55000000000001</v>
      </c>
      <c r="R1193" s="9" t="s">
        <v>90</v>
      </c>
      <c r="S1193" s="9" t="s">
        <v>183</v>
      </c>
      <c r="T1193" s="12">
        <f>IF($H1193="Cancelled","",IFERROR(((Q1193+INDEX(Variables!$B$6:$D$6,IFERROR(MATCH(IF($B1193="Robusta","Robusta",(IF($B1193="","Arabica",$B1193))&amp;" - "&amp;(IF($C1193="","Commercial",$C1193))),Variables!$B$1:$D$1,0),1)))*22.0462)*(L1193/16.67),""))</f>
        <v>23929.450677864425</v>
      </c>
      <c r="U1193" s="10"/>
      <c r="V1193" s="9" t="str">
        <f t="shared" si="116"/>
        <v/>
      </c>
      <c r="W1193" s="10">
        <v>46037</v>
      </c>
      <c r="X1193" s="9" t="str">
        <f t="shared" si="115"/>
        <v>Approved</v>
      </c>
      <c r="Y1193" s="10">
        <v>46076</v>
      </c>
      <c r="Z1193" s="10">
        <f>IF($H1193="Cancelled","",IFERROR(IF(F1193="","",F1193-Variables!$B$13),""))</f>
        <v>46066</v>
      </c>
      <c r="AA1193" s="11">
        <f>IF($H1193="Cancelled","",IFERROR(IF(W1193="","",(AVERAGE(E1193:F1193)-W1193)-Variables!$B$14),""))</f>
        <v>0.5</v>
      </c>
      <c r="AB1193" s="10">
        <v>46080</v>
      </c>
      <c r="AC1193" s="11">
        <f>IF($H1193="Cancelled","",IFERROR(IF(AB1193="","",IF(AND(W1193="",Y1193=""),"",IF(Y1193&gt;W1193,Y1193+Variables!$B$15+Variables!$B$16+Variables!$B$17-AB1193,W1193+Variables!$B$16+Variables!$B$17-AB1193))),""))</f>
        <v>11</v>
      </c>
      <c r="AD1193" s="9" t="s">
        <v>165</v>
      </c>
      <c r="AE1193" s="9" t="s">
        <v>818</v>
      </c>
      <c r="AF1193" s="10"/>
      <c r="AG1193" s="10"/>
      <c r="AH1193" s="9"/>
      <c r="AI1193" s="9"/>
      <c r="AJ1193" s="9"/>
      <c r="AK1193" s="10"/>
      <c r="AL1193" s="10"/>
      <c r="AM1193" s="10"/>
      <c r="AN1193" s="9" t="s">
        <v>2537</v>
      </c>
      <c r="AO1193" s="9"/>
      <c r="AP1193" s="11" t="str">
        <f>IF($H1193="Cancelled","",IFERROR(IF(OR(AK1193="",AB1193=""),"",(AB1193+Variables!$B$18-AK1193)),""))</f>
        <v/>
      </c>
      <c r="AQ1193" s="11" t="str">
        <f>IF($H1193="Cancelled","",IFERROR(IF(OR(AM1193="",AK1193=""),"",(AK1193+Variables!$B$19)-AM1193),""))</f>
        <v/>
      </c>
      <c r="AR1193" s="12" t="str">
        <f>IF($H1193="Cancelled","",IFERROR(T1193*INDEX(Variables!$B$7:$D$7,IFERROR(MATCH(IF($B1193="Robusta","Robusta",(IF($B1193="","Arabica",$B1193))&amp;" - "&amp;(IF($C1193="","Commercial",$C1193))),Variables!$B$1:$D$1,0),1))*(AQ1193/365),""))</f>
        <v/>
      </c>
      <c r="AS1193" s="12">
        <f>IF($H1193="Cancelled","",IFERROR((T1193*INDEX(Variables!$B$7:$D$7,IFERROR(MATCH(IF($B1193="Robusta","Robusta",(IF($B1193="","Arabica",$B1193))&amp;" - "&amp;(IF($C1193="","Commercial",$C1193))),Variables!$B$1:$D$1,0),1))*IFERROR(IF(W1193="","",(AVERAGE(E1193:F1193)-W1193)-Variables!$B$14),"")/365)+(L1193/16.67*INDEX(Variables!$B$8:$D$8,IFERROR(MATCH(IF($B1193="Robusta","Robusta",(IF($B1193="","Arabica",$B1193))&amp;" - "&amp;(IF($C1193="","Commercial",$C1193))),Variables!$B$1:$D$1,0),1))*IFERROR(IF(W1193="","",(AVERAGE(E1193:F1193)-W1193)-Variables!$B$14),""))+(T1193*INDEX(Variables!$B$9:$D$9,IFERROR(MATCH(IF($B1193="Robusta","Robusta",(IF($B1193="","Arabica",$B1193))&amp;" - "&amp;(IF($C1193="","Commercial",$C1193))),Variables!$B$1:$D$1,0),1))*IFERROR(IF(W1193="","",(AVERAGE(E1193:F1193)-W1193)-Variables!$B$14),"")/365),""))</f>
        <v>3.1409810641762985</v>
      </c>
      <c r="AT1193" s="12">
        <f>IF($H1193="Cancelled","",IFERROR((T1193*INDEX(Variables!$B$7:$D$7,IFERROR(MATCH(IF($B1193="Robusta","Robusta",(IF($B1193="","Arabica",$B1193))&amp;" - "&amp;(IF($C1193="","Commercial",$C1193))),Variables!$B$1:$D$1,0),1))*AC1193/365)+(L1193/16.67*INDEX(Variables!$B$8:$D$8,IFERROR(MATCH(IF($B1193="Robusta","Robusta",(IF($B1193="","Arabica",$B1193))&amp;" - "&amp;(IF($C1193="","Commercial",$C1193))),Variables!$B$1:$D$1,0),1))*AC1193)+(T1193*INDEX(Variables!$B$9:$D$9,IFERROR(MATCH(IF($B1193="Robusta","Robusta",(IF($B1193="","Arabica",$B1193))&amp;" - "&amp;(IF($C1193="","Commercial",$C1193))),Variables!$B$1:$D$1,0),1))*AC1193/365),""))</f>
        <v>69.101583411878579</v>
      </c>
      <c r="AU1193" s="12" t="str">
        <f>IF($H1193="Cancelled","",IFERROR((T1193*INDEX(Variables!$B$7:$D$7,IFERROR(MATCH(IF($B1193="Robusta","Robusta",(IF($B1193="","Arabica",$B1193))&amp;" - "&amp;(IF($C1193="","Commercial",$C1193))),Variables!$B$1:$D$1,0),1))*AP1193/365)+(L1193/16.67*INDEX(Variables!$B$8:$D$8,IFERROR(MATCH(IF($B1193="Robusta","Robusta",(IF($B1193="","Arabica",$B1193))&amp;" - "&amp;(IF($C1193="","Commercial",$C1193))),Variables!$B$1:$D$1,0),1))*AP1193)+(T1193*INDEX(Variables!$B$9:$D$9,IFERROR(MATCH(IF($B1193="Robusta","Robusta",(IF($B1193="","Arabica",$B1193))&amp;" - "&amp;(IF($C1193="","Commercial",$C1193))),Variables!$B$1:$D$1,0),1))*AP1193/365),""))</f>
        <v/>
      </c>
      <c r="AV1193" s="11" t="str">
        <f t="shared" si="114"/>
        <v/>
      </c>
      <c r="AW1193" s="12" t="str">
        <f>IF($H1193="Cancelled","",IFERROR(IF(AV1193="","",(T1193*INDEX(Variables!$B$7:$D$7,IFERROR(MATCH(IF($B1193="Robusta","Robusta",(IF($B1193="","Arabica",$B1193))&amp;" - "&amp;(IF($C1193="","Commercial",$C1193))),Variables!$B$1:$D$1,0),1))*(AV1193/365))+(T1193*INDEX(Variables!$B$9:$D$9,IFERROR(MATCH(IF($B1193="Robusta","Robusta",(IF($B1193="","Arabica",$B1193))&amp;" - "&amp;(IF($C1193="","Commercial",$C1193))),Variables!$B$1:$D$1,0),1))*(AV1193/365))+(INDEX(Variables!$B$8:$D$8,IFERROR(MATCH(IF($B1193="Robusta","Robusta",(IF($B1193="","Arabica",$B1193))&amp;" - "&amp;(IF($C1193="","Commercial",$C1193))),Variables!$B$1:$D$1,0),1))*L1193/16.67)),""))</f>
        <v/>
      </c>
      <c r="AX1193" s="9"/>
      <c r="AY1193" s="12"/>
      <c r="AZ1193" s="10"/>
      <c r="BA1193" s="9"/>
      <c r="BB1193" s="10"/>
      <c r="BC1193" s="9"/>
      <c r="BD1193" s="9"/>
      <c r="BE1193" s="9"/>
      <c r="BF1193" s="9"/>
    </row>
    <row r="1194" spans="1:58" x14ac:dyDescent="0.25">
      <c r="A1194" s="9" t="s">
        <v>84</v>
      </c>
      <c r="B1194" s="9" t="s">
        <v>85</v>
      </c>
      <c r="C1194" s="9" t="s">
        <v>1486</v>
      </c>
      <c r="D1194" s="10">
        <v>46049</v>
      </c>
      <c r="E1194" s="10">
        <v>46054</v>
      </c>
      <c r="F1194" s="10">
        <v>46081</v>
      </c>
      <c r="G1194" s="9">
        <v>3787173</v>
      </c>
      <c r="H1194" s="9" t="str">
        <f t="shared" si="111"/>
        <v>Open</v>
      </c>
      <c r="I1194" s="9" t="str">
        <f t="shared" si="112"/>
        <v>No sailing date and No shipping advice sent and No docs dispatch date</v>
      </c>
      <c r="J1194" s="9" t="s">
        <v>1487</v>
      </c>
      <c r="K1194" s="9" t="s">
        <v>2544</v>
      </c>
      <c r="L1194" s="11">
        <v>40</v>
      </c>
      <c r="M1194" s="9" t="s">
        <v>2545</v>
      </c>
      <c r="N1194" s="9"/>
      <c r="O1194" s="9"/>
      <c r="P1194" s="9"/>
      <c r="Q1194" s="11">
        <v>165.55</v>
      </c>
      <c r="R1194" s="9" t="s">
        <v>90</v>
      </c>
      <c r="S1194" s="9" t="s">
        <v>183</v>
      </c>
      <c r="T1194" s="12">
        <f>IF($H1194="Cancelled","",IFERROR(((Q1194+INDEX(Variables!$B$6:$D$6,IFERROR(MATCH(IF($B1194="Robusta","Robusta",(IF($B1194="","Arabica",$B1194))&amp;" - "&amp;(IF($C1194="","Commercial",$C1194))),Variables!$B$1:$D$1,0),1)))*22.0462)*(L1194/16.67),""))</f>
        <v>24141.051877624472</v>
      </c>
      <c r="U1194" s="10"/>
      <c r="V1194" s="9" t="str">
        <f t="shared" si="116"/>
        <v/>
      </c>
      <c r="W1194" s="10">
        <v>46037</v>
      </c>
      <c r="X1194" s="9" t="str">
        <f t="shared" si="115"/>
        <v>Approved</v>
      </c>
      <c r="Y1194" s="10">
        <v>46076</v>
      </c>
      <c r="Z1194" s="10">
        <f>IF($H1194="Cancelled","",IFERROR(IF(F1194="","",F1194-Variables!$B$13),""))</f>
        <v>46066</v>
      </c>
      <c r="AA1194" s="11">
        <f>IF($H1194="Cancelled","",IFERROR(IF(W1194="","",(AVERAGE(E1194:F1194)-W1194)-Variables!$B$14),""))</f>
        <v>0.5</v>
      </c>
      <c r="AB1194" s="10">
        <v>46080</v>
      </c>
      <c r="AC1194" s="11">
        <f>IF($H1194="Cancelled","",IFERROR(IF(AB1194="","",IF(AND(W1194="",Y1194=""),"",IF(Y1194&gt;W1194,Y1194+Variables!$B$15+Variables!$B$16+Variables!$B$17-AB1194,W1194+Variables!$B$16+Variables!$B$17-AB1194))),""))</f>
        <v>11</v>
      </c>
      <c r="AD1194" s="9" t="s">
        <v>165</v>
      </c>
      <c r="AE1194" s="9" t="s">
        <v>818</v>
      </c>
      <c r="AF1194" s="10"/>
      <c r="AG1194" s="10"/>
      <c r="AH1194" s="9"/>
      <c r="AI1194" s="9"/>
      <c r="AJ1194" s="9"/>
      <c r="AK1194" s="10"/>
      <c r="AL1194" s="10"/>
      <c r="AM1194" s="10"/>
      <c r="AN1194" s="9" t="s">
        <v>2537</v>
      </c>
      <c r="AO1194" s="9"/>
      <c r="AP1194" s="11" t="str">
        <f>IF($H1194="Cancelled","",IFERROR(IF(OR(AK1194="",AB1194=""),"",(AB1194+Variables!$B$18-AK1194)),""))</f>
        <v/>
      </c>
      <c r="AQ1194" s="11" t="str">
        <f>IF($H1194="Cancelled","",IFERROR(IF(OR(AM1194="",AK1194=""),"",(AK1194+Variables!$B$19)-AM1194),""))</f>
        <v/>
      </c>
      <c r="AR1194" s="12" t="str">
        <f>IF($H1194="Cancelled","",IFERROR(T1194*INDEX(Variables!$B$7:$D$7,IFERROR(MATCH(IF($B1194="Robusta","Robusta",(IF($B1194="","Arabica",$B1194))&amp;" - "&amp;(IF($C1194="","Commercial",$C1194))),Variables!$B$1:$D$1,0),1))*(AQ1194/365),""))</f>
        <v/>
      </c>
      <c r="AS1194" s="12">
        <f>IF($H1194="Cancelled","",IFERROR((T1194*INDEX(Variables!$B$7:$D$7,IFERROR(MATCH(IF($B1194="Robusta","Robusta",(IF($B1194="","Arabica",$B1194))&amp;" - "&amp;(IF($C1194="","Commercial",$C1194))),Variables!$B$1:$D$1,0),1))*IFERROR(IF(W1194="","",(AVERAGE(E1194:F1194)-W1194)-Variables!$B$14),"")/365)+(L1194/16.67*INDEX(Variables!$B$8:$D$8,IFERROR(MATCH(IF($B1194="Robusta","Robusta",(IF($B1194="","Arabica",$B1194))&amp;" - "&amp;(IF($C1194="","Commercial",$C1194))),Variables!$B$1:$D$1,0),1))*IFERROR(IF(W1194="","",(AVERAGE(E1194:F1194)-W1194)-Variables!$B$14),""))+(T1194*INDEX(Variables!$B$9:$D$9,IFERROR(MATCH(IF($B1194="Robusta","Robusta",(IF($B1194="","Arabica",$B1194))&amp;" - "&amp;(IF($C1194="","Commercial",$C1194))),Variables!$B$1:$D$1,0),1))*IFERROR(IF(W1194="","",(AVERAGE(E1194:F1194)-W1194)-Variables!$B$14),"")/365),""))</f>
        <v>3.1599131394646931</v>
      </c>
      <c r="AT1194" s="12">
        <f>IF($H1194="Cancelled","",IFERROR((T1194*INDEX(Variables!$B$7:$D$7,IFERROR(MATCH(IF($B1194="Robusta","Robusta",(IF($B1194="","Arabica",$B1194))&amp;" - "&amp;(IF($C1194="","Commercial",$C1194))),Variables!$B$1:$D$1,0),1))*AC1194/365)+(L1194/16.67*INDEX(Variables!$B$8:$D$8,IFERROR(MATCH(IF($B1194="Robusta","Robusta",(IF($B1194="","Arabica",$B1194))&amp;" - "&amp;(IF($C1194="","Commercial",$C1194))),Variables!$B$1:$D$1,0),1))*AC1194)+(T1194*INDEX(Variables!$B$9:$D$9,IFERROR(MATCH(IF($B1194="Robusta","Robusta",(IF($B1194="","Arabica",$B1194))&amp;" - "&amp;(IF($C1194="","Commercial",$C1194))),Variables!$B$1:$D$1,0),1))*AC1194/365),""))</f>
        <v>69.518089068223247</v>
      </c>
      <c r="AU1194" s="12" t="str">
        <f>IF($H1194="Cancelled","",IFERROR((T1194*INDEX(Variables!$B$7:$D$7,IFERROR(MATCH(IF($B1194="Robusta","Robusta",(IF($B1194="","Arabica",$B1194))&amp;" - "&amp;(IF($C1194="","Commercial",$C1194))),Variables!$B$1:$D$1,0),1))*AP1194/365)+(L1194/16.67*INDEX(Variables!$B$8:$D$8,IFERROR(MATCH(IF($B1194="Robusta","Robusta",(IF($B1194="","Arabica",$B1194))&amp;" - "&amp;(IF($C1194="","Commercial",$C1194))),Variables!$B$1:$D$1,0),1))*AP1194)+(T1194*INDEX(Variables!$B$9:$D$9,IFERROR(MATCH(IF($B1194="Robusta","Robusta",(IF($B1194="","Arabica",$B1194))&amp;" - "&amp;(IF($C1194="","Commercial",$C1194))),Variables!$B$1:$D$1,0),1))*AP1194/365),""))</f>
        <v/>
      </c>
      <c r="AV1194" s="11" t="str">
        <f t="shared" si="114"/>
        <v/>
      </c>
      <c r="AW1194" s="12" t="str">
        <f>IF($H1194="Cancelled","",IFERROR(IF(AV1194="","",(T1194*INDEX(Variables!$B$7:$D$7,IFERROR(MATCH(IF($B1194="Robusta","Robusta",(IF($B1194="","Arabica",$B1194))&amp;" - "&amp;(IF($C1194="","Commercial",$C1194))),Variables!$B$1:$D$1,0),1))*(AV1194/365))+(T1194*INDEX(Variables!$B$9:$D$9,IFERROR(MATCH(IF($B1194="Robusta","Robusta",(IF($B1194="","Arabica",$B1194))&amp;" - "&amp;(IF($C1194="","Commercial",$C1194))),Variables!$B$1:$D$1,0),1))*(AV1194/365))+(INDEX(Variables!$B$8:$D$8,IFERROR(MATCH(IF($B1194="Robusta","Robusta",(IF($B1194="","Arabica",$B1194))&amp;" - "&amp;(IF($C1194="","Commercial",$C1194))),Variables!$B$1:$D$1,0),1))*L1194/16.67)),""))</f>
        <v/>
      </c>
      <c r="AX1194" s="9"/>
      <c r="AY1194" s="12"/>
      <c r="AZ1194" s="10"/>
      <c r="BA1194" s="9"/>
      <c r="BB1194" s="10"/>
      <c r="BC1194" s="9"/>
      <c r="BD1194" s="9"/>
      <c r="BE1194" s="9"/>
      <c r="BF1194" s="9"/>
    </row>
    <row r="1195" spans="1:58" x14ac:dyDescent="0.25">
      <c r="A1195" s="9" t="s">
        <v>84</v>
      </c>
      <c r="B1195" s="9" t="s">
        <v>85</v>
      </c>
      <c r="C1195" s="9" t="s">
        <v>1486</v>
      </c>
      <c r="D1195" s="10">
        <v>46049</v>
      </c>
      <c r="E1195" s="10">
        <v>46054</v>
      </c>
      <c r="F1195" s="10">
        <v>46081</v>
      </c>
      <c r="G1195" s="9">
        <v>3787174</v>
      </c>
      <c r="H1195" s="9" t="str">
        <f t="shared" si="111"/>
        <v>Open</v>
      </c>
      <c r="I1195" s="9" t="str">
        <f t="shared" si="112"/>
        <v>No sailing date and No shipping advice sent and No docs dispatch date</v>
      </c>
      <c r="J1195" s="9" t="s">
        <v>1487</v>
      </c>
      <c r="K1195" s="9" t="s">
        <v>2546</v>
      </c>
      <c r="L1195" s="11">
        <v>40</v>
      </c>
      <c r="M1195" s="9" t="s">
        <v>2547</v>
      </c>
      <c r="N1195" s="9"/>
      <c r="O1195" s="9"/>
      <c r="P1195" s="9"/>
      <c r="Q1195" s="11">
        <v>162.55000000000001</v>
      </c>
      <c r="R1195" s="9" t="s">
        <v>90</v>
      </c>
      <c r="S1195" s="9" t="s">
        <v>183</v>
      </c>
      <c r="T1195" s="12">
        <f>IF($H1195="Cancelled","",IFERROR(((Q1195+INDEX(Variables!$B$6:$D$6,IFERROR(MATCH(IF($B1195="Robusta","Robusta",(IF($B1195="","Arabica",$B1195))&amp;" - "&amp;(IF($C1195="","Commercial",$C1195))),Variables!$B$1:$D$1,0),1)))*22.0462)*(L1195/16.67),""))</f>
        <v>23982.350977804439</v>
      </c>
      <c r="U1195" s="10"/>
      <c r="V1195" s="9" t="str">
        <f t="shared" si="116"/>
        <v/>
      </c>
      <c r="W1195" s="10">
        <v>46037</v>
      </c>
      <c r="X1195" s="9" t="str">
        <f t="shared" si="115"/>
        <v>Approved</v>
      </c>
      <c r="Y1195" s="10">
        <v>46076</v>
      </c>
      <c r="Z1195" s="10">
        <f>IF($H1195="Cancelled","",IFERROR(IF(F1195="","",F1195-Variables!$B$13),""))</f>
        <v>46066</v>
      </c>
      <c r="AA1195" s="11">
        <f>IF($H1195="Cancelled","",IFERROR(IF(W1195="","",(AVERAGE(E1195:F1195)-W1195)-Variables!$B$14),""))</f>
        <v>0.5</v>
      </c>
      <c r="AB1195" s="10">
        <v>46080</v>
      </c>
      <c r="AC1195" s="11">
        <f>IF($H1195="Cancelled","",IFERROR(IF(AB1195="","",IF(AND(W1195="",Y1195=""),"",IF(Y1195&gt;W1195,Y1195+Variables!$B$15+Variables!$B$16+Variables!$B$17-AB1195,W1195+Variables!$B$16+Variables!$B$17-AB1195))),""))</f>
        <v>11</v>
      </c>
      <c r="AD1195" s="9" t="s">
        <v>165</v>
      </c>
      <c r="AE1195" s="9" t="s">
        <v>818</v>
      </c>
      <c r="AF1195" s="10"/>
      <c r="AG1195" s="10"/>
      <c r="AH1195" s="9"/>
      <c r="AI1195" s="9"/>
      <c r="AJ1195" s="9"/>
      <c r="AK1195" s="10"/>
      <c r="AL1195" s="10"/>
      <c r="AM1195" s="10"/>
      <c r="AN1195" s="9" t="s">
        <v>2537</v>
      </c>
      <c r="AO1195" s="9"/>
      <c r="AP1195" s="11" t="str">
        <f>IF($H1195="Cancelled","",IFERROR(IF(OR(AK1195="",AB1195=""),"",(AB1195+Variables!$B$18-AK1195)),""))</f>
        <v/>
      </c>
      <c r="AQ1195" s="11" t="str">
        <f>IF($H1195="Cancelled","",IFERROR(IF(OR(AM1195="",AK1195=""),"",(AK1195+Variables!$B$19)-AM1195),""))</f>
        <v/>
      </c>
      <c r="AR1195" s="12" t="str">
        <f>IF($H1195="Cancelled","",IFERROR(T1195*INDEX(Variables!$B$7:$D$7,IFERROR(MATCH(IF($B1195="Robusta","Robusta",(IF($B1195="","Arabica",$B1195))&amp;" - "&amp;(IF($C1195="","Commercial",$C1195))),Variables!$B$1:$D$1,0),1))*(AQ1195/365),""))</f>
        <v/>
      </c>
      <c r="AS1195" s="12">
        <f>IF($H1195="Cancelled","",IFERROR((T1195*INDEX(Variables!$B$7:$D$7,IFERROR(MATCH(IF($B1195="Robusta","Robusta",(IF($B1195="","Arabica",$B1195))&amp;" - "&amp;(IF($C1195="","Commercial",$C1195))),Variables!$B$1:$D$1,0),1))*IFERROR(IF(W1195="","",(AVERAGE(E1195:F1195)-W1195)-Variables!$B$14),"")/365)+(L1195/16.67*INDEX(Variables!$B$8:$D$8,IFERROR(MATCH(IF($B1195="Robusta","Robusta",(IF($B1195="","Arabica",$B1195))&amp;" - "&amp;(IF($C1195="","Commercial",$C1195))),Variables!$B$1:$D$1,0),1))*IFERROR(IF(W1195="","",(AVERAGE(E1195:F1195)-W1195)-Variables!$B$14),""))+(T1195*INDEX(Variables!$B$9:$D$9,IFERROR(MATCH(IF($B1195="Robusta","Robusta",(IF($B1195="","Arabica",$B1195))&amp;" - "&amp;(IF($C1195="","Commercial",$C1195))),Variables!$B$1:$D$1,0),1))*IFERROR(IF(W1195="","",(AVERAGE(E1195:F1195)-W1195)-Variables!$B$14),"")/365),""))</f>
        <v>3.1457140829983974</v>
      </c>
      <c r="AT1195" s="12">
        <f>IF($H1195="Cancelled","",IFERROR((T1195*INDEX(Variables!$B$7:$D$7,IFERROR(MATCH(IF($B1195="Robusta","Robusta",(IF($B1195="","Arabica",$B1195))&amp;" - "&amp;(IF($C1195="","Commercial",$C1195))),Variables!$B$1:$D$1,0),1))*AC1195/365)+(L1195/16.67*INDEX(Variables!$B$8:$D$8,IFERROR(MATCH(IF($B1195="Robusta","Robusta",(IF($B1195="","Arabica",$B1195))&amp;" - "&amp;(IF($C1195="","Commercial",$C1195))),Variables!$B$1:$D$1,0),1))*AC1195)+(T1195*INDEX(Variables!$B$9:$D$9,IFERROR(MATCH(IF($B1195="Robusta","Robusta",(IF($B1195="","Arabica",$B1195))&amp;" - "&amp;(IF($C1195="","Commercial",$C1195))),Variables!$B$1:$D$1,0),1))*AC1195/365),""))</f>
        <v>69.205709825964746</v>
      </c>
      <c r="AU1195" s="12" t="str">
        <f>IF($H1195="Cancelled","",IFERROR((T1195*INDEX(Variables!$B$7:$D$7,IFERROR(MATCH(IF($B1195="Robusta","Robusta",(IF($B1195="","Arabica",$B1195))&amp;" - "&amp;(IF($C1195="","Commercial",$C1195))),Variables!$B$1:$D$1,0),1))*AP1195/365)+(L1195/16.67*INDEX(Variables!$B$8:$D$8,IFERROR(MATCH(IF($B1195="Robusta","Robusta",(IF($B1195="","Arabica",$B1195))&amp;" - "&amp;(IF($C1195="","Commercial",$C1195))),Variables!$B$1:$D$1,0),1))*AP1195)+(T1195*INDEX(Variables!$B$9:$D$9,IFERROR(MATCH(IF($B1195="Robusta","Robusta",(IF($B1195="","Arabica",$B1195))&amp;" - "&amp;(IF($C1195="","Commercial",$C1195))),Variables!$B$1:$D$1,0),1))*AP1195/365),""))</f>
        <v/>
      </c>
      <c r="AV1195" s="11" t="str">
        <f t="shared" si="114"/>
        <v/>
      </c>
      <c r="AW1195" s="12" t="str">
        <f>IF($H1195="Cancelled","",IFERROR(IF(AV1195="","",(T1195*INDEX(Variables!$B$7:$D$7,IFERROR(MATCH(IF($B1195="Robusta","Robusta",(IF($B1195="","Arabica",$B1195))&amp;" - "&amp;(IF($C1195="","Commercial",$C1195))),Variables!$B$1:$D$1,0),1))*(AV1195/365))+(T1195*INDEX(Variables!$B$9:$D$9,IFERROR(MATCH(IF($B1195="Robusta","Robusta",(IF($B1195="","Arabica",$B1195))&amp;" - "&amp;(IF($C1195="","Commercial",$C1195))),Variables!$B$1:$D$1,0),1))*(AV1195/365))+(INDEX(Variables!$B$8:$D$8,IFERROR(MATCH(IF($B1195="Robusta","Robusta",(IF($B1195="","Arabica",$B1195))&amp;" - "&amp;(IF($C1195="","Commercial",$C1195))),Variables!$B$1:$D$1,0),1))*L1195/16.67)),""))</f>
        <v/>
      </c>
      <c r="AX1195" s="9"/>
      <c r="AY1195" s="12"/>
      <c r="AZ1195" s="10"/>
      <c r="BA1195" s="9"/>
      <c r="BB1195" s="10"/>
      <c r="BC1195" s="9"/>
      <c r="BD1195" s="9"/>
      <c r="BE1195" s="9"/>
      <c r="BF1195" s="9"/>
    </row>
    <row r="1196" spans="1:58" x14ac:dyDescent="0.25">
      <c r="A1196" s="9" t="s">
        <v>84</v>
      </c>
      <c r="B1196" s="9" t="s">
        <v>85</v>
      </c>
      <c r="C1196" s="9" t="s">
        <v>1486</v>
      </c>
      <c r="D1196" s="10">
        <v>46049</v>
      </c>
      <c r="E1196" s="10">
        <v>46054</v>
      </c>
      <c r="F1196" s="10">
        <v>46081</v>
      </c>
      <c r="G1196" s="9">
        <v>3787176</v>
      </c>
      <c r="H1196" s="9" t="str">
        <f t="shared" si="111"/>
        <v>Open</v>
      </c>
      <c r="I1196" s="9" t="str">
        <f t="shared" si="112"/>
        <v>No sailing date and No shipping advice sent and No docs dispatch date</v>
      </c>
      <c r="J1196" s="9" t="s">
        <v>1487</v>
      </c>
      <c r="K1196" s="9" t="s">
        <v>2548</v>
      </c>
      <c r="L1196" s="11">
        <v>25</v>
      </c>
      <c r="M1196" s="9" t="s">
        <v>2549</v>
      </c>
      <c r="N1196" s="9"/>
      <c r="O1196" s="9"/>
      <c r="P1196" s="9"/>
      <c r="Q1196" s="11">
        <v>165.55</v>
      </c>
      <c r="R1196" s="9" t="s">
        <v>90</v>
      </c>
      <c r="S1196" s="9" t="s">
        <v>183</v>
      </c>
      <c r="T1196" s="12">
        <f>IF($H1196="Cancelled","",IFERROR(((Q1196+INDEX(Variables!$B$6:$D$6,IFERROR(MATCH(IF($B1196="Robusta","Robusta",(IF($B1196="","Arabica",$B1196))&amp;" - "&amp;(IF($C1196="","Commercial",$C1196))),Variables!$B$1:$D$1,0),1)))*22.0462)*(L1196/16.67),""))</f>
        <v>15088.157423515293</v>
      </c>
      <c r="U1196" s="10"/>
      <c r="V1196" s="9" t="str">
        <f t="shared" si="116"/>
        <v/>
      </c>
      <c r="W1196" s="10">
        <v>46037</v>
      </c>
      <c r="X1196" s="9" t="str">
        <f t="shared" si="115"/>
        <v>Approved</v>
      </c>
      <c r="Y1196" s="10">
        <v>46076</v>
      </c>
      <c r="Z1196" s="10">
        <f>IF($H1196="Cancelled","",IFERROR(IF(F1196="","",F1196-Variables!$B$13),""))</f>
        <v>46066</v>
      </c>
      <c r="AA1196" s="11">
        <f>IF($H1196="Cancelled","",IFERROR(IF(W1196="","",(AVERAGE(E1196:F1196)-W1196)-Variables!$B$14),""))</f>
        <v>0.5</v>
      </c>
      <c r="AB1196" s="10">
        <v>46080</v>
      </c>
      <c r="AC1196" s="11">
        <f>IF($H1196="Cancelled","",IFERROR(IF(AB1196="","",IF(AND(W1196="",Y1196=""),"",IF(Y1196&gt;W1196,Y1196+Variables!$B$15+Variables!$B$16+Variables!$B$17-AB1196,W1196+Variables!$B$16+Variables!$B$17-AB1196))),""))</f>
        <v>11</v>
      </c>
      <c r="AD1196" s="9" t="s">
        <v>165</v>
      </c>
      <c r="AE1196" s="9" t="s">
        <v>818</v>
      </c>
      <c r="AF1196" s="10"/>
      <c r="AG1196" s="10"/>
      <c r="AH1196" s="9"/>
      <c r="AI1196" s="9"/>
      <c r="AJ1196" s="9"/>
      <c r="AK1196" s="10"/>
      <c r="AL1196" s="10"/>
      <c r="AM1196" s="10"/>
      <c r="AN1196" s="9" t="s">
        <v>2537</v>
      </c>
      <c r="AO1196" s="9"/>
      <c r="AP1196" s="11" t="str">
        <f>IF($H1196="Cancelled","",IFERROR(IF(OR(AK1196="",AB1196=""),"",(AB1196+Variables!$B$18-AK1196)),""))</f>
        <v/>
      </c>
      <c r="AQ1196" s="11" t="str">
        <f>IF($H1196="Cancelled","",IFERROR(IF(OR(AM1196="",AK1196=""),"",(AK1196+Variables!$B$19)-AM1196),""))</f>
        <v/>
      </c>
      <c r="AR1196" s="12" t="str">
        <f>IF($H1196="Cancelled","",IFERROR(T1196*INDEX(Variables!$B$7:$D$7,IFERROR(MATCH(IF($B1196="Robusta","Robusta",(IF($B1196="","Arabica",$B1196))&amp;" - "&amp;(IF($C1196="","Commercial",$C1196))),Variables!$B$1:$D$1,0),1))*(AQ1196/365),""))</f>
        <v/>
      </c>
      <c r="AS1196" s="12">
        <f>IF($H1196="Cancelled","",IFERROR((T1196*INDEX(Variables!$B$7:$D$7,IFERROR(MATCH(IF($B1196="Robusta","Robusta",(IF($B1196="","Arabica",$B1196))&amp;" - "&amp;(IF($C1196="","Commercial",$C1196))),Variables!$B$1:$D$1,0),1))*IFERROR(IF(W1196="","",(AVERAGE(E1196:F1196)-W1196)-Variables!$B$14),"")/365)+(L1196/16.67*INDEX(Variables!$B$8:$D$8,IFERROR(MATCH(IF($B1196="Robusta","Robusta",(IF($B1196="","Arabica",$B1196))&amp;" - "&amp;(IF($C1196="","Commercial",$C1196))),Variables!$B$1:$D$1,0),1))*IFERROR(IF(W1196="","",(AVERAGE(E1196:F1196)-W1196)-Variables!$B$14),""))+(T1196*INDEX(Variables!$B$9:$D$9,IFERROR(MATCH(IF($B1196="Robusta","Robusta",(IF($B1196="","Arabica",$B1196))&amp;" - "&amp;(IF($C1196="","Commercial",$C1196))),Variables!$B$1:$D$1,0),1))*IFERROR(IF(W1196="","",(AVERAGE(E1196:F1196)-W1196)-Variables!$B$14),"")/365),""))</f>
        <v>1.9749457121654332</v>
      </c>
      <c r="AT1196" s="12">
        <f>IF($H1196="Cancelled","",IFERROR((T1196*INDEX(Variables!$B$7:$D$7,IFERROR(MATCH(IF($B1196="Robusta","Robusta",(IF($B1196="","Arabica",$B1196))&amp;" - "&amp;(IF($C1196="","Commercial",$C1196))),Variables!$B$1:$D$1,0),1))*AC1196/365)+(L1196/16.67*INDEX(Variables!$B$8:$D$8,IFERROR(MATCH(IF($B1196="Robusta","Robusta",(IF($B1196="","Arabica",$B1196))&amp;" - "&amp;(IF($C1196="","Commercial",$C1196))),Variables!$B$1:$D$1,0),1))*AC1196)+(T1196*INDEX(Variables!$B$9:$D$9,IFERROR(MATCH(IF($B1196="Robusta","Robusta",(IF($B1196="","Arabica",$B1196))&amp;" - "&amp;(IF($C1196="","Commercial",$C1196))),Variables!$B$1:$D$1,0),1))*AC1196/365),""))</f>
        <v>43.448805667639526</v>
      </c>
      <c r="AU1196" s="12" t="str">
        <f>IF($H1196="Cancelled","",IFERROR((T1196*INDEX(Variables!$B$7:$D$7,IFERROR(MATCH(IF($B1196="Robusta","Robusta",(IF($B1196="","Arabica",$B1196))&amp;" - "&amp;(IF($C1196="","Commercial",$C1196))),Variables!$B$1:$D$1,0),1))*AP1196/365)+(L1196/16.67*INDEX(Variables!$B$8:$D$8,IFERROR(MATCH(IF($B1196="Robusta","Robusta",(IF($B1196="","Arabica",$B1196))&amp;" - "&amp;(IF($C1196="","Commercial",$C1196))),Variables!$B$1:$D$1,0),1))*AP1196)+(T1196*INDEX(Variables!$B$9:$D$9,IFERROR(MATCH(IF($B1196="Robusta","Robusta",(IF($B1196="","Arabica",$B1196))&amp;" - "&amp;(IF($C1196="","Commercial",$C1196))),Variables!$B$1:$D$1,0),1))*AP1196/365),""))</f>
        <v/>
      </c>
      <c r="AV1196" s="11" t="str">
        <f t="shared" si="114"/>
        <v/>
      </c>
      <c r="AW1196" s="12" t="str">
        <f>IF($H1196="Cancelled","",IFERROR(IF(AV1196="","",(T1196*INDEX(Variables!$B$7:$D$7,IFERROR(MATCH(IF($B1196="Robusta","Robusta",(IF($B1196="","Arabica",$B1196))&amp;" - "&amp;(IF($C1196="","Commercial",$C1196))),Variables!$B$1:$D$1,0),1))*(AV1196/365))+(T1196*INDEX(Variables!$B$9:$D$9,IFERROR(MATCH(IF($B1196="Robusta","Robusta",(IF($B1196="","Arabica",$B1196))&amp;" - "&amp;(IF($C1196="","Commercial",$C1196))),Variables!$B$1:$D$1,0),1))*(AV1196/365))+(INDEX(Variables!$B$8:$D$8,IFERROR(MATCH(IF($B1196="Robusta","Robusta",(IF($B1196="","Arabica",$B1196))&amp;" - "&amp;(IF($C1196="","Commercial",$C1196))),Variables!$B$1:$D$1,0),1))*L1196/16.67)),""))</f>
        <v/>
      </c>
      <c r="AX1196" s="9"/>
      <c r="AY1196" s="12"/>
      <c r="AZ1196" s="10"/>
      <c r="BA1196" s="9"/>
      <c r="BB1196" s="10"/>
      <c r="BC1196" s="9"/>
      <c r="BD1196" s="9"/>
      <c r="BE1196" s="9"/>
      <c r="BF1196" s="9"/>
    </row>
    <row r="1197" spans="1:58" x14ac:dyDescent="0.25">
      <c r="A1197" s="9" t="s">
        <v>84</v>
      </c>
      <c r="B1197" s="9" t="s">
        <v>85</v>
      </c>
      <c r="C1197" s="9" t="s">
        <v>1486</v>
      </c>
      <c r="D1197" s="10">
        <v>46049</v>
      </c>
      <c r="E1197" s="10">
        <v>46054</v>
      </c>
      <c r="F1197" s="10">
        <v>46081</v>
      </c>
      <c r="G1197" s="9">
        <v>3787170</v>
      </c>
      <c r="H1197" s="9" t="str">
        <f t="shared" si="111"/>
        <v>Open</v>
      </c>
      <c r="I1197" s="9" t="str">
        <f t="shared" si="112"/>
        <v>No sailing date and No shipping advice sent and No docs dispatch date</v>
      </c>
      <c r="J1197" s="9" t="s">
        <v>1487</v>
      </c>
      <c r="K1197" s="9" t="s">
        <v>2550</v>
      </c>
      <c r="L1197" s="11">
        <v>30</v>
      </c>
      <c r="M1197" s="9" t="s">
        <v>2551</v>
      </c>
      <c r="N1197" s="9"/>
      <c r="O1197" s="9"/>
      <c r="P1197" s="9"/>
      <c r="Q1197" s="11">
        <v>128</v>
      </c>
      <c r="R1197" s="9" t="s">
        <v>90</v>
      </c>
      <c r="S1197" s="9" t="s">
        <v>183</v>
      </c>
      <c r="T1197" s="12">
        <f>IF($H1197="Cancelled","",IFERROR(((Q1197+INDEX(Variables!$B$6:$D$6,IFERROR(MATCH(IF($B1197="Robusta","Robusta",(IF($B1197="","Arabica",$B1197))&amp;" - "&amp;(IF($C1197="","Commercial",$C1197))),Variables!$B$1:$D$1,0),1)))*22.0462)*(L1197/16.67),""))</f>
        <v>16615.984211157764</v>
      </c>
      <c r="U1197" s="10"/>
      <c r="V1197" s="9" t="str">
        <f t="shared" si="116"/>
        <v/>
      </c>
      <c r="W1197" s="10">
        <v>46037</v>
      </c>
      <c r="X1197" s="9" t="str">
        <f t="shared" si="115"/>
        <v>Approved</v>
      </c>
      <c r="Y1197" s="10">
        <v>46076</v>
      </c>
      <c r="Z1197" s="10">
        <f>IF($H1197="Cancelled","",IFERROR(IF(F1197="","",F1197-Variables!$B$13),""))</f>
        <v>46066</v>
      </c>
      <c r="AA1197" s="11">
        <f>IF($H1197="Cancelled","",IFERROR(IF(W1197="","",(AVERAGE(E1197:F1197)-W1197)-Variables!$B$14),""))</f>
        <v>0.5</v>
      </c>
      <c r="AB1197" s="10">
        <v>46080</v>
      </c>
      <c r="AC1197" s="11">
        <f>IF($H1197="Cancelled","",IFERROR(IF(AB1197="","",IF(AND(W1197="",Y1197=""),"",IF(Y1197&gt;W1197,Y1197+Variables!$B$15+Variables!$B$16+Variables!$B$17-AB1197,W1197+Variables!$B$16+Variables!$B$17-AB1197))),""))</f>
        <v>11</v>
      </c>
      <c r="AD1197" s="9" t="s">
        <v>165</v>
      </c>
      <c r="AE1197" s="9" t="s">
        <v>818</v>
      </c>
      <c r="AF1197" s="10"/>
      <c r="AG1197" s="10"/>
      <c r="AH1197" s="9"/>
      <c r="AI1197" s="9"/>
      <c r="AJ1197" s="9"/>
      <c r="AK1197" s="10"/>
      <c r="AL1197" s="10"/>
      <c r="AM1197" s="10"/>
      <c r="AN1197" s="9" t="s">
        <v>2537</v>
      </c>
      <c r="AO1197" s="9"/>
      <c r="AP1197" s="11" t="str">
        <f>IF($H1197="Cancelled","",IFERROR(IF(OR(AK1197="",AB1197=""),"",(AB1197+Variables!$B$18-AK1197)),""))</f>
        <v/>
      </c>
      <c r="AQ1197" s="11" t="str">
        <f>IF($H1197="Cancelled","",IFERROR(IF(OR(AM1197="",AK1197=""),"",(AK1197+Variables!$B$19)-AM1197),""))</f>
        <v/>
      </c>
      <c r="AR1197" s="12" t="str">
        <f>IF($H1197="Cancelled","",IFERROR(T1197*INDEX(Variables!$B$7:$D$7,IFERROR(MATCH(IF($B1197="Robusta","Robusta",(IF($B1197="","Arabica",$B1197))&amp;" - "&amp;(IF($C1197="","Commercial",$C1197))),Variables!$B$1:$D$1,0),1))*(AQ1197/365),""))</f>
        <v/>
      </c>
      <c r="AS1197" s="12">
        <f>IF($H1197="Cancelled","",IFERROR((T1197*INDEX(Variables!$B$7:$D$7,IFERROR(MATCH(IF($B1197="Robusta","Robusta",(IF($B1197="","Arabica",$B1197))&amp;" - "&amp;(IF($C1197="","Commercial",$C1197))),Variables!$B$1:$D$1,0),1))*IFERROR(IF(W1197="","",(AVERAGE(E1197:F1197)-W1197)-Variables!$B$14),"")/365)+(L1197/16.67*INDEX(Variables!$B$8:$D$8,IFERROR(MATCH(IF($B1197="Robusta","Robusta",(IF($B1197="","Arabica",$B1197))&amp;" - "&amp;(IF($C1197="","Commercial",$C1197))),Variables!$B$1:$D$1,0),1))*IFERROR(IF(W1197="","",(AVERAGE(E1197:F1197)-W1197)-Variables!$B$14),""))+(T1197*INDEX(Variables!$B$9:$D$9,IFERROR(MATCH(IF($B1197="Robusta","Robusta",(IF($B1197="","Arabica",$B1197))&amp;" - "&amp;(IF($C1197="","Commercial",$C1197))),Variables!$B$1:$D$1,0),1))*IFERROR(IF(W1197="","",(AVERAGE(E1197:F1197)-W1197)-Variables!$B$14),"")/365),""))</f>
        <v>2.2366412120211678</v>
      </c>
      <c r="AT1197" s="12">
        <f>IF($H1197="Cancelled","",IFERROR((T1197*INDEX(Variables!$B$7:$D$7,IFERROR(MATCH(IF($B1197="Robusta","Robusta",(IF($B1197="","Arabica",$B1197))&amp;" - "&amp;(IF($C1197="","Commercial",$C1197))),Variables!$B$1:$D$1,0),1))*AC1197/365)+(L1197/16.67*INDEX(Variables!$B$8:$D$8,IFERROR(MATCH(IF($B1197="Robusta","Robusta",(IF($B1197="","Arabica",$B1197))&amp;" - "&amp;(IF($C1197="","Commercial",$C1197))),Variables!$B$1:$D$1,0),1))*AC1197)+(T1197*INDEX(Variables!$B$9:$D$9,IFERROR(MATCH(IF($B1197="Robusta","Robusta",(IF($B1197="","Arabica",$B1197))&amp;" - "&amp;(IF($C1197="","Commercial",$C1197))),Variables!$B$1:$D$1,0),1))*AC1197/365),""))</f>
        <v>49.206106664465693</v>
      </c>
      <c r="AU1197" s="12" t="str">
        <f>IF($H1197="Cancelled","",IFERROR((T1197*INDEX(Variables!$B$7:$D$7,IFERROR(MATCH(IF($B1197="Robusta","Robusta",(IF($B1197="","Arabica",$B1197))&amp;" - "&amp;(IF($C1197="","Commercial",$C1197))),Variables!$B$1:$D$1,0),1))*AP1197/365)+(L1197/16.67*INDEX(Variables!$B$8:$D$8,IFERROR(MATCH(IF($B1197="Robusta","Robusta",(IF($B1197="","Arabica",$B1197))&amp;" - "&amp;(IF($C1197="","Commercial",$C1197))),Variables!$B$1:$D$1,0),1))*AP1197)+(T1197*INDEX(Variables!$B$9:$D$9,IFERROR(MATCH(IF($B1197="Robusta","Robusta",(IF($B1197="","Arabica",$B1197))&amp;" - "&amp;(IF($C1197="","Commercial",$C1197))),Variables!$B$1:$D$1,0),1))*AP1197/365),""))</f>
        <v/>
      </c>
      <c r="AV1197" s="11" t="str">
        <f t="shared" si="114"/>
        <v/>
      </c>
      <c r="AW1197" s="12" t="str">
        <f>IF($H1197="Cancelled","",IFERROR(IF(AV1197="","",(T1197*INDEX(Variables!$B$7:$D$7,IFERROR(MATCH(IF($B1197="Robusta","Robusta",(IF($B1197="","Arabica",$B1197))&amp;" - "&amp;(IF($C1197="","Commercial",$C1197))),Variables!$B$1:$D$1,0),1))*(AV1197/365))+(T1197*INDEX(Variables!$B$9:$D$9,IFERROR(MATCH(IF($B1197="Robusta","Robusta",(IF($B1197="","Arabica",$B1197))&amp;" - "&amp;(IF($C1197="","Commercial",$C1197))),Variables!$B$1:$D$1,0),1))*(AV1197/365))+(INDEX(Variables!$B$8:$D$8,IFERROR(MATCH(IF($B1197="Robusta","Robusta",(IF($B1197="","Arabica",$B1197))&amp;" - "&amp;(IF($C1197="","Commercial",$C1197))),Variables!$B$1:$D$1,0),1))*L1197/16.67)),""))</f>
        <v/>
      </c>
      <c r="AX1197" s="9"/>
      <c r="AY1197" s="12"/>
      <c r="AZ1197" s="10"/>
      <c r="BA1197" s="9"/>
      <c r="BB1197" s="10"/>
      <c r="BC1197" s="9"/>
      <c r="BD1197" s="9"/>
      <c r="BE1197" s="9"/>
      <c r="BF1197" s="9"/>
    </row>
    <row r="1198" spans="1:58" x14ac:dyDescent="0.25">
      <c r="A1198" s="9" t="s">
        <v>84</v>
      </c>
      <c r="B1198" s="9" t="s">
        <v>85</v>
      </c>
      <c r="C1198" s="9" t="s">
        <v>1486</v>
      </c>
      <c r="D1198" s="10">
        <v>46049</v>
      </c>
      <c r="E1198" s="10">
        <v>46054</v>
      </c>
      <c r="F1198" s="10">
        <v>46081</v>
      </c>
      <c r="G1198" s="9">
        <v>3787172</v>
      </c>
      <c r="H1198" s="9" t="str">
        <f t="shared" si="111"/>
        <v>Open</v>
      </c>
      <c r="I1198" s="9" t="str">
        <f t="shared" si="112"/>
        <v>No sailing date and No shipping advice sent and No docs dispatch date</v>
      </c>
      <c r="J1198" s="9" t="s">
        <v>1487</v>
      </c>
      <c r="K1198" s="9" t="s">
        <v>2552</v>
      </c>
      <c r="L1198" s="11">
        <v>40</v>
      </c>
      <c r="M1198" s="9" t="s">
        <v>2553</v>
      </c>
      <c r="N1198" s="9"/>
      <c r="O1198" s="9"/>
      <c r="P1198" s="9"/>
      <c r="Q1198" s="11">
        <v>129.55000000000001</v>
      </c>
      <c r="R1198" s="9" t="s">
        <v>90</v>
      </c>
      <c r="S1198" s="9" t="s">
        <v>183</v>
      </c>
      <c r="T1198" s="12">
        <f>IF($H1198="Cancelled","",IFERROR(((Q1198+INDEX(Variables!$B$6:$D$6,IFERROR(MATCH(IF($B1198="Robusta","Robusta",(IF($B1198="","Arabica",$B1198))&amp;" - "&amp;(IF($C1198="","Commercial",$C1198))),Variables!$B$1:$D$1,0),1)))*22.0462)*(L1198/16.67),""))</f>
        <v>22236.64107978404</v>
      </c>
      <c r="U1198" s="10"/>
      <c r="V1198" s="9" t="str">
        <f t="shared" si="116"/>
        <v/>
      </c>
      <c r="W1198" s="10">
        <v>46037</v>
      </c>
      <c r="X1198" s="9" t="str">
        <f t="shared" si="115"/>
        <v>Approved</v>
      </c>
      <c r="Y1198" s="10">
        <v>46076</v>
      </c>
      <c r="Z1198" s="10">
        <f>IF($H1198="Cancelled","",IFERROR(IF(F1198="","",F1198-Variables!$B$13),""))</f>
        <v>46066</v>
      </c>
      <c r="AA1198" s="11">
        <f>IF($H1198="Cancelled","",IFERROR(IF(W1198="","",(AVERAGE(E1198:F1198)-W1198)-Variables!$B$14),""))</f>
        <v>0.5</v>
      </c>
      <c r="AB1198" s="10">
        <v>46080</v>
      </c>
      <c r="AC1198" s="11">
        <f>IF($H1198="Cancelled","",IFERROR(IF(AB1198="","",IF(AND(W1198="",Y1198=""),"",IF(Y1198&gt;W1198,Y1198+Variables!$B$15+Variables!$B$16+Variables!$B$17-AB1198,W1198+Variables!$B$16+Variables!$B$17-AB1198))),""))</f>
        <v>11</v>
      </c>
      <c r="AD1198" s="9" t="s">
        <v>165</v>
      </c>
      <c r="AE1198" s="9" t="s">
        <v>818</v>
      </c>
      <c r="AF1198" s="10"/>
      <c r="AG1198" s="10"/>
      <c r="AH1198" s="9"/>
      <c r="AI1198" s="9"/>
      <c r="AJ1198" s="9"/>
      <c r="AK1198" s="10"/>
      <c r="AL1198" s="10"/>
      <c r="AM1198" s="10"/>
      <c r="AN1198" s="9" t="s">
        <v>2537</v>
      </c>
      <c r="AO1198" s="9"/>
      <c r="AP1198" s="11" t="str">
        <f>IF($H1198="Cancelled","",IFERROR(IF(OR(AK1198="",AB1198=""),"",(AB1198+Variables!$B$18-AK1198)),""))</f>
        <v/>
      </c>
      <c r="AQ1198" s="11" t="str">
        <f>IF($H1198="Cancelled","",IFERROR(IF(OR(AM1198="",AK1198=""),"",(AK1198+Variables!$B$19)-AM1198),""))</f>
        <v/>
      </c>
      <c r="AR1198" s="12" t="str">
        <f>IF($H1198="Cancelled","",IFERROR(T1198*INDEX(Variables!$B$7:$D$7,IFERROR(MATCH(IF($B1198="Robusta","Robusta",(IF($B1198="","Arabica",$B1198))&amp;" - "&amp;(IF($C1198="","Commercial",$C1198))),Variables!$B$1:$D$1,0),1))*(AQ1198/365),""))</f>
        <v/>
      </c>
      <c r="AS1198" s="12">
        <f>IF($H1198="Cancelled","",IFERROR((T1198*INDEX(Variables!$B$7:$D$7,IFERROR(MATCH(IF($B1198="Robusta","Robusta",(IF($B1198="","Arabica",$B1198))&amp;" - "&amp;(IF($C1198="","Commercial",$C1198))),Variables!$B$1:$D$1,0),1))*IFERROR(IF(W1198="","",(AVERAGE(E1198:F1198)-W1198)-Variables!$B$14),"")/365)+(L1198/16.67*INDEX(Variables!$B$8:$D$8,IFERROR(MATCH(IF($B1198="Robusta","Robusta",(IF($B1198="","Arabica",$B1198))&amp;" - "&amp;(IF($C1198="","Commercial",$C1198))),Variables!$B$1:$D$1,0),1))*IFERROR(IF(W1198="","",(AVERAGE(E1198:F1198)-W1198)-Variables!$B$14),""))+(T1198*INDEX(Variables!$B$9:$D$9,IFERROR(MATCH(IF($B1198="Robusta","Robusta",(IF($B1198="","Arabica",$B1198))&amp;" - "&amp;(IF($C1198="","Commercial",$C1198))),Variables!$B$1:$D$1,0),1))*IFERROR(IF(W1198="","",(AVERAGE(E1198:F1198)-W1198)-Variables!$B$14),"")/365),""))</f>
        <v>2.9895244618691437</v>
      </c>
      <c r="AT1198" s="12">
        <f>IF($H1198="Cancelled","",IFERROR((T1198*INDEX(Variables!$B$7:$D$7,IFERROR(MATCH(IF($B1198="Robusta","Robusta",(IF($B1198="","Arabica",$B1198))&amp;" - "&amp;(IF($C1198="","Commercial",$C1198))),Variables!$B$1:$D$1,0),1))*AC1198/365)+(L1198/16.67*INDEX(Variables!$B$8:$D$8,IFERROR(MATCH(IF($B1198="Robusta","Robusta",(IF($B1198="","Arabica",$B1198))&amp;" - "&amp;(IF($C1198="","Commercial",$C1198))),Variables!$B$1:$D$1,0),1))*AC1198)+(T1198*INDEX(Variables!$B$9:$D$9,IFERROR(MATCH(IF($B1198="Robusta","Robusta",(IF($B1198="","Arabica",$B1198))&amp;" - "&amp;(IF($C1198="","Commercial",$C1198))),Variables!$B$1:$D$1,0),1))*AC1198/365),""))</f>
        <v>65.769538161121162</v>
      </c>
      <c r="AU1198" s="12" t="str">
        <f>IF($H1198="Cancelled","",IFERROR((T1198*INDEX(Variables!$B$7:$D$7,IFERROR(MATCH(IF($B1198="Robusta","Robusta",(IF($B1198="","Arabica",$B1198))&amp;" - "&amp;(IF($C1198="","Commercial",$C1198))),Variables!$B$1:$D$1,0),1))*AP1198/365)+(L1198/16.67*INDEX(Variables!$B$8:$D$8,IFERROR(MATCH(IF($B1198="Robusta","Robusta",(IF($B1198="","Arabica",$B1198))&amp;" - "&amp;(IF($C1198="","Commercial",$C1198))),Variables!$B$1:$D$1,0),1))*AP1198)+(T1198*INDEX(Variables!$B$9:$D$9,IFERROR(MATCH(IF($B1198="Robusta","Robusta",(IF($B1198="","Arabica",$B1198))&amp;" - "&amp;(IF($C1198="","Commercial",$C1198))),Variables!$B$1:$D$1,0),1))*AP1198/365),""))</f>
        <v/>
      </c>
      <c r="AV1198" s="11" t="str">
        <f t="shared" si="114"/>
        <v/>
      </c>
      <c r="AW1198" s="12" t="str">
        <f>IF($H1198="Cancelled","",IFERROR(IF(AV1198="","",(T1198*INDEX(Variables!$B$7:$D$7,IFERROR(MATCH(IF($B1198="Robusta","Robusta",(IF($B1198="","Arabica",$B1198))&amp;" - "&amp;(IF($C1198="","Commercial",$C1198))),Variables!$B$1:$D$1,0),1))*(AV1198/365))+(T1198*INDEX(Variables!$B$9:$D$9,IFERROR(MATCH(IF($B1198="Robusta","Robusta",(IF($B1198="","Arabica",$B1198))&amp;" - "&amp;(IF($C1198="","Commercial",$C1198))),Variables!$B$1:$D$1,0),1))*(AV1198/365))+(INDEX(Variables!$B$8:$D$8,IFERROR(MATCH(IF($B1198="Robusta","Robusta",(IF($B1198="","Arabica",$B1198))&amp;" - "&amp;(IF($C1198="","Commercial",$C1198))),Variables!$B$1:$D$1,0),1))*L1198/16.67)),""))</f>
        <v/>
      </c>
      <c r="AX1198" s="9"/>
      <c r="AY1198" s="12"/>
      <c r="AZ1198" s="10"/>
      <c r="BA1198" s="9"/>
      <c r="BB1198" s="10"/>
      <c r="BC1198" s="9"/>
      <c r="BD1198" s="9"/>
      <c r="BE1198" s="9"/>
      <c r="BF1198" s="9"/>
    </row>
    <row r="1199" spans="1:58" x14ac:dyDescent="0.25">
      <c r="A1199" s="9" t="s">
        <v>84</v>
      </c>
      <c r="B1199" s="9" t="s">
        <v>85</v>
      </c>
      <c r="C1199" s="9" t="s">
        <v>1486</v>
      </c>
      <c r="D1199" s="10">
        <v>46049</v>
      </c>
      <c r="E1199" s="10">
        <v>46054</v>
      </c>
      <c r="F1199" s="10">
        <v>46081</v>
      </c>
      <c r="G1199" s="9">
        <v>3787177</v>
      </c>
      <c r="H1199" s="9" t="str">
        <f t="shared" si="111"/>
        <v>Open</v>
      </c>
      <c r="I1199" s="9" t="str">
        <f t="shared" si="112"/>
        <v>No sailing date and No shipping advice sent and No docs dispatch date</v>
      </c>
      <c r="J1199" s="9" t="s">
        <v>1487</v>
      </c>
      <c r="K1199" s="9" t="s">
        <v>2554</v>
      </c>
      <c r="L1199" s="11">
        <v>25</v>
      </c>
      <c r="M1199" s="9" t="s">
        <v>2555</v>
      </c>
      <c r="N1199" s="9"/>
      <c r="O1199" s="9"/>
      <c r="P1199" s="9"/>
      <c r="Q1199" s="11">
        <v>123.55</v>
      </c>
      <c r="R1199" s="9" t="s">
        <v>90</v>
      </c>
      <c r="S1199" s="9" t="s">
        <v>183</v>
      </c>
      <c r="T1199" s="12">
        <f>IF($H1199="Cancelled","",IFERROR(((Q1199+INDEX(Variables!$B$6:$D$6,IFERROR(MATCH(IF($B1199="Robusta","Robusta",(IF($B1199="","Arabica",$B1199))&amp;" - "&amp;(IF($C1199="","Commercial",$C1199))),Variables!$B$1:$D$1,0),1)))*22.0462)*(L1199/16.67),""))</f>
        <v>13699.52455008998</v>
      </c>
      <c r="U1199" s="10"/>
      <c r="V1199" s="9" t="str">
        <f t="shared" si="116"/>
        <v/>
      </c>
      <c r="W1199" s="10">
        <v>46037</v>
      </c>
      <c r="X1199" s="9" t="str">
        <f t="shared" si="115"/>
        <v>Approved</v>
      </c>
      <c r="Y1199" s="10">
        <v>46076</v>
      </c>
      <c r="Z1199" s="10">
        <f>IF($H1199="Cancelled","",IFERROR(IF(F1199="","",F1199-Variables!$B$13),""))</f>
        <v>46066</v>
      </c>
      <c r="AA1199" s="11">
        <f>IF($H1199="Cancelled","",IFERROR(IF(W1199="","",(AVERAGE(E1199:F1199)-W1199)-Variables!$B$14),""))</f>
        <v>0.5</v>
      </c>
      <c r="AB1199" s="10">
        <v>46080</v>
      </c>
      <c r="AC1199" s="11">
        <f>IF($H1199="Cancelled","",IFERROR(IF(AB1199="","",IF(AND(W1199="",Y1199=""),"",IF(Y1199&gt;W1199,Y1199+Variables!$B$15+Variables!$B$16+Variables!$B$17-AB1199,W1199+Variables!$B$16+Variables!$B$17-AB1199))),""))</f>
        <v>11</v>
      </c>
      <c r="AD1199" s="9" t="s">
        <v>165</v>
      </c>
      <c r="AE1199" s="9" t="s">
        <v>818</v>
      </c>
      <c r="AF1199" s="10"/>
      <c r="AG1199" s="10"/>
      <c r="AH1199" s="9"/>
      <c r="AI1199" s="9"/>
      <c r="AJ1199" s="9"/>
      <c r="AK1199" s="10"/>
      <c r="AL1199" s="10"/>
      <c r="AM1199" s="10"/>
      <c r="AN1199" s="9" t="s">
        <v>2537</v>
      </c>
      <c r="AO1199" s="9"/>
      <c r="AP1199" s="11" t="str">
        <f>IF($H1199="Cancelled","",IFERROR(IF(OR(AK1199="",AB1199=""),"",(AB1199+Variables!$B$18-AK1199)),""))</f>
        <v/>
      </c>
      <c r="AQ1199" s="11" t="str">
        <f>IF($H1199="Cancelled","",IFERROR(IF(OR(AM1199="",AK1199=""),"",(AK1199+Variables!$B$19)-AM1199),""))</f>
        <v/>
      </c>
      <c r="AR1199" s="12" t="str">
        <f>IF($H1199="Cancelled","",IFERROR(T1199*INDEX(Variables!$B$7:$D$7,IFERROR(MATCH(IF($B1199="Robusta","Robusta",(IF($B1199="","Arabica",$B1199))&amp;" - "&amp;(IF($C1199="","Commercial",$C1199))),Variables!$B$1:$D$1,0),1))*(AQ1199/365),""))</f>
        <v/>
      </c>
      <c r="AS1199" s="12">
        <f>IF($H1199="Cancelled","",IFERROR((T1199*INDEX(Variables!$B$7:$D$7,IFERROR(MATCH(IF($B1199="Robusta","Robusta",(IF($B1199="","Arabica",$B1199))&amp;" - "&amp;(IF($C1199="","Commercial",$C1199))),Variables!$B$1:$D$1,0),1))*IFERROR(IF(W1199="","",(AVERAGE(E1199:F1199)-W1199)-Variables!$B$14),"")/365)+(L1199/16.67*INDEX(Variables!$B$8:$D$8,IFERROR(MATCH(IF($B1199="Robusta","Robusta",(IF($B1199="","Arabica",$B1199))&amp;" - "&amp;(IF($C1199="","Commercial",$C1199))),Variables!$B$1:$D$1,0),1))*IFERROR(IF(W1199="","",(AVERAGE(E1199:F1199)-W1199)-Variables!$B$14),""))+(T1199*INDEX(Variables!$B$9:$D$9,IFERROR(MATCH(IF($B1199="Robusta","Robusta",(IF($B1199="","Arabica",$B1199))&amp;" - "&amp;(IF($C1199="","Commercial",$C1199))),Variables!$B$1:$D$1,0),1))*IFERROR(IF(W1199="","",(AVERAGE(E1199:F1199)-W1199)-Variables!$B$14),"")/365),""))</f>
        <v>1.8507039680853452</v>
      </c>
      <c r="AT1199" s="12">
        <f>IF($H1199="Cancelled","",IFERROR((T1199*INDEX(Variables!$B$7:$D$7,IFERROR(MATCH(IF($B1199="Robusta","Robusta",(IF($B1199="","Arabica",$B1199))&amp;" - "&amp;(IF($C1199="","Commercial",$C1199))),Variables!$B$1:$D$1,0),1))*AC1199/365)+(L1199/16.67*INDEX(Variables!$B$8:$D$8,IFERROR(MATCH(IF($B1199="Robusta","Robusta",(IF($B1199="","Arabica",$B1199))&amp;" - "&amp;(IF($C1199="","Commercial",$C1199))),Variables!$B$1:$D$1,0),1))*AC1199)+(T1199*INDEX(Variables!$B$9:$D$9,IFERROR(MATCH(IF($B1199="Robusta","Robusta",(IF($B1199="","Arabica",$B1199))&amp;" - "&amp;(IF($C1199="","Commercial",$C1199))),Variables!$B$1:$D$1,0),1))*AC1199/365),""))</f>
        <v>40.715487297877594</v>
      </c>
      <c r="AU1199" s="12" t="str">
        <f>IF($H1199="Cancelled","",IFERROR((T1199*INDEX(Variables!$B$7:$D$7,IFERROR(MATCH(IF($B1199="Robusta","Robusta",(IF($B1199="","Arabica",$B1199))&amp;" - "&amp;(IF($C1199="","Commercial",$C1199))),Variables!$B$1:$D$1,0),1))*AP1199/365)+(L1199/16.67*INDEX(Variables!$B$8:$D$8,IFERROR(MATCH(IF($B1199="Robusta","Robusta",(IF($B1199="","Arabica",$B1199))&amp;" - "&amp;(IF($C1199="","Commercial",$C1199))),Variables!$B$1:$D$1,0),1))*AP1199)+(T1199*INDEX(Variables!$B$9:$D$9,IFERROR(MATCH(IF($B1199="Robusta","Robusta",(IF($B1199="","Arabica",$B1199))&amp;" - "&amp;(IF($C1199="","Commercial",$C1199))),Variables!$B$1:$D$1,0),1))*AP1199/365),""))</f>
        <v/>
      </c>
      <c r="AV1199" s="11" t="str">
        <f t="shared" si="114"/>
        <v/>
      </c>
      <c r="AW1199" s="12" t="str">
        <f>IF($H1199="Cancelled","",IFERROR(IF(AV1199="","",(T1199*INDEX(Variables!$B$7:$D$7,IFERROR(MATCH(IF($B1199="Robusta","Robusta",(IF($B1199="","Arabica",$B1199))&amp;" - "&amp;(IF($C1199="","Commercial",$C1199))),Variables!$B$1:$D$1,0),1))*(AV1199/365))+(T1199*INDEX(Variables!$B$9:$D$9,IFERROR(MATCH(IF($B1199="Robusta","Robusta",(IF($B1199="","Arabica",$B1199))&amp;" - "&amp;(IF($C1199="","Commercial",$C1199))),Variables!$B$1:$D$1,0),1))*(AV1199/365))+(INDEX(Variables!$B$8:$D$8,IFERROR(MATCH(IF($B1199="Robusta","Robusta",(IF($B1199="","Arabica",$B1199))&amp;" - "&amp;(IF($C1199="","Commercial",$C1199))),Variables!$B$1:$D$1,0),1))*L1199/16.67)),""))</f>
        <v/>
      </c>
      <c r="AX1199" s="9"/>
      <c r="AY1199" s="12"/>
      <c r="AZ1199" s="10"/>
      <c r="BA1199" s="9"/>
      <c r="BB1199" s="10"/>
      <c r="BC1199" s="9"/>
      <c r="BD1199" s="9"/>
      <c r="BE1199" s="9"/>
      <c r="BF1199" s="9"/>
    </row>
    <row r="1200" spans="1:58" x14ac:dyDescent="0.25">
      <c r="A1200" s="9" t="s">
        <v>84</v>
      </c>
      <c r="B1200" s="9" t="s">
        <v>85</v>
      </c>
      <c r="C1200" s="9" t="s">
        <v>1486</v>
      </c>
      <c r="D1200" s="10">
        <v>46045</v>
      </c>
      <c r="E1200" s="10">
        <v>46054</v>
      </c>
      <c r="F1200" s="10">
        <v>46081</v>
      </c>
      <c r="G1200" s="9">
        <v>3787152</v>
      </c>
      <c r="H1200" s="9" t="str">
        <f t="shared" si="111"/>
        <v>Open</v>
      </c>
      <c r="I1200" s="9" t="str">
        <f t="shared" si="112"/>
        <v>No sailing date and No shipping advice sent and No docs dispatch date</v>
      </c>
      <c r="J1200" s="9" t="s">
        <v>2399</v>
      </c>
      <c r="K1200" s="9" t="s">
        <v>2556</v>
      </c>
      <c r="L1200" s="11">
        <v>133</v>
      </c>
      <c r="M1200" s="9" t="s">
        <v>2557</v>
      </c>
      <c r="N1200" s="9"/>
      <c r="O1200" s="9"/>
      <c r="P1200" s="9"/>
      <c r="Q1200" s="11">
        <v>42.3</v>
      </c>
      <c r="R1200" s="9" t="s">
        <v>195</v>
      </c>
      <c r="S1200" s="9" t="s">
        <v>228</v>
      </c>
      <c r="T1200" s="12">
        <f>IF($H1200="Cancelled","",IFERROR(((Q1200+INDEX(Variables!$B$6:$D$6,IFERROR(MATCH(IF($B1200="Robusta","Robusta",(IF($B1200="","Arabica",$B1200))&amp;" - "&amp;(IF($C1200="","Commercial",$C1200))),Variables!$B$1:$D$1,0),1)))*22.0462)*(L1200/16.67),""))</f>
        <v>58590.12395080983</v>
      </c>
      <c r="U1200" s="10"/>
      <c r="V1200" s="9" t="str">
        <f t="shared" si="116"/>
        <v/>
      </c>
      <c r="W1200" s="10">
        <v>46037</v>
      </c>
      <c r="X1200" s="9" t="str">
        <f t="shared" si="115"/>
        <v>Approved</v>
      </c>
      <c r="Y1200" s="10">
        <v>46076</v>
      </c>
      <c r="Z1200" s="10">
        <f>IF($H1200="Cancelled","",IFERROR(IF(F1200="","",F1200-Variables!$B$13),""))</f>
        <v>46066</v>
      </c>
      <c r="AA1200" s="11">
        <f>IF($H1200="Cancelled","",IFERROR(IF(W1200="","",(AVERAGE(E1200:F1200)-W1200)-Variables!$B$14),""))</f>
        <v>0.5</v>
      </c>
      <c r="AB1200" s="10">
        <v>46095</v>
      </c>
      <c r="AC1200" s="11">
        <f>IF($H1200="Cancelled","",IFERROR(IF(AB1200="","",IF(AND(W1200="",Y1200=""),"",IF(Y1200&gt;W1200,Y1200+Variables!$B$15+Variables!$B$16+Variables!$B$17-AB1200,W1200+Variables!$B$16+Variables!$B$17-AB1200))),""))</f>
        <v>-4</v>
      </c>
      <c r="AD1200" s="9" t="s">
        <v>165</v>
      </c>
      <c r="AE1200" s="9" t="s">
        <v>2558</v>
      </c>
      <c r="AF1200" s="10"/>
      <c r="AG1200" s="10"/>
      <c r="AH1200" s="9"/>
      <c r="AI1200" s="9"/>
      <c r="AJ1200" s="9"/>
      <c r="AK1200" s="10"/>
      <c r="AL1200" s="10"/>
      <c r="AM1200" s="10"/>
      <c r="AN1200" s="9" t="s">
        <v>2559</v>
      </c>
      <c r="AO1200" s="9"/>
      <c r="AP1200" s="11" t="str">
        <f>IF($H1200="Cancelled","",IFERROR(IF(OR(AK1200="",AB1200=""),"",(AB1200+Variables!$B$18-AK1200)),""))</f>
        <v/>
      </c>
      <c r="AQ1200" s="11" t="str">
        <f>IF($H1200="Cancelled","",IFERROR(IF(OR(AM1200="",AK1200=""),"",(AK1200+Variables!$B$19)-AM1200),""))</f>
        <v/>
      </c>
      <c r="AR1200" s="12" t="str">
        <f>IF($H1200="Cancelled","",IFERROR(T1200*INDEX(Variables!$B$7:$D$7,IFERROR(MATCH(IF($B1200="Robusta","Robusta",(IF($B1200="","Arabica",$B1200))&amp;" - "&amp;(IF($C1200="","Commercial",$C1200))),Variables!$B$1:$D$1,0),1))*(AQ1200/365),""))</f>
        <v/>
      </c>
      <c r="AS1200" s="12">
        <f>IF($H1200="Cancelled","",IFERROR((T1200*INDEX(Variables!$B$7:$D$7,IFERROR(MATCH(IF($B1200="Robusta","Robusta",(IF($B1200="","Arabica",$B1200))&amp;" - "&amp;(IF($C1200="","Commercial",$C1200))),Variables!$B$1:$D$1,0),1))*IFERROR(IF(W1200="","",(AVERAGE(E1200:F1200)-W1200)-Variables!$B$14),"")/365)+(L1200/16.67*INDEX(Variables!$B$8:$D$8,IFERROR(MATCH(IF($B1200="Robusta","Robusta",(IF($B1200="","Arabica",$B1200))&amp;" - "&amp;(IF($C1200="","Commercial",$C1200))),Variables!$B$1:$D$1,0),1))*IFERROR(IF(W1200="","",(AVERAGE(E1200:F1200)-W1200)-Variables!$B$14),""))+(T1200*INDEX(Variables!$B$9:$D$9,IFERROR(MATCH(IF($B1200="Robusta","Robusta",(IF($B1200="","Arabica",$B1200))&amp;" - "&amp;(IF($C1200="","Commercial",$C1200))),Variables!$B$1:$D$1,0),1))*IFERROR(IF(W1200="","",(AVERAGE(E1200:F1200)-W1200)-Variables!$B$14),"")/365),""))</f>
        <v>8.5670904940564618</v>
      </c>
      <c r="AT1200" s="12">
        <f>IF($H1200="Cancelled","",IFERROR((T1200*INDEX(Variables!$B$7:$D$7,IFERROR(MATCH(IF($B1200="Robusta","Robusta",(IF($B1200="","Arabica",$B1200))&amp;" - "&amp;(IF($C1200="","Commercial",$C1200))),Variables!$B$1:$D$1,0),1))*AC1200/365)+(L1200/16.67*INDEX(Variables!$B$8:$D$8,IFERROR(MATCH(IF($B1200="Robusta","Robusta",(IF($B1200="","Arabica",$B1200))&amp;" - "&amp;(IF($C1200="","Commercial",$C1200))),Variables!$B$1:$D$1,0),1))*AC1200)+(T1200*INDEX(Variables!$B$9:$D$9,IFERROR(MATCH(IF($B1200="Robusta","Robusta",(IF($B1200="","Arabica",$B1200))&amp;" - "&amp;(IF($C1200="","Commercial",$C1200))),Variables!$B$1:$D$1,0),1))*AC1200/365),""))</f>
        <v>-68.536723952451695</v>
      </c>
      <c r="AU1200" s="12" t="str">
        <f>IF($H1200="Cancelled","",IFERROR((T1200*INDEX(Variables!$B$7:$D$7,IFERROR(MATCH(IF($B1200="Robusta","Robusta",(IF($B1200="","Arabica",$B1200))&amp;" - "&amp;(IF($C1200="","Commercial",$C1200))),Variables!$B$1:$D$1,0),1))*AP1200/365)+(L1200/16.67*INDEX(Variables!$B$8:$D$8,IFERROR(MATCH(IF($B1200="Robusta","Robusta",(IF($B1200="","Arabica",$B1200))&amp;" - "&amp;(IF($C1200="","Commercial",$C1200))),Variables!$B$1:$D$1,0),1))*AP1200)+(T1200*INDEX(Variables!$B$9:$D$9,IFERROR(MATCH(IF($B1200="Robusta","Robusta",(IF($B1200="","Arabica",$B1200))&amp;" - "&amp;(IF($C1200="","Commercial",$C1200))),Variables!$B$1:$D$1,0),1))*AP1200/365),""))</f>
        <v/>
      </c>
      <c r="AV1200" s="11" t="str">
        <f t="shared" si="114"/>
        <v/>
      </c>
      <c r="AW1200" s="12" t="str">
        <f>IF($H1200="Cancelled","",IFERROR(IF(AV1200="","",(T1200*INDEX(Variables!$B$7:$D$7,IFERROR(MATCH(IF($B1200="Robusta","Robusta",(IF($B1200="","Arabica",$B1200))&amp;" - "&amp;(IF($C1200="","Commercial",$C1200))),Variables!$B$1:$D$1,0),1))*(AV1200/365))+(T1200*INDEX(Variables!$B$9:$D$9,IFERROR(MATCH(IF($B1200="Robusta","Robusta",(IF($B1200="","Arabica",$B1200))&amp;" - "&amp;(IF($C1200="","Commercial",$C1200))),Variables!$B$1:$D$1,0),1))*(AV1200/365))+(INDEX(Variables!$B$8:$D$8,IFERROR(MATCH(IF($B1200="Robusta","Robusta",(IF($B1200="","Arabica",$B1200))&amp;" - "&amp;(IF($C1200="","Commercial",$C1200))),Variables!$B$1:$D$1,0),1))*L1200/16.67)),""))</f>
        <v/>
      </c>
      <c r="AX1200" s="9"/>
      <c r="AY1200" s="12"/>
      <c r="AZ1200" s="10"/>
      <c r="BA1200" s="9"/>
      <c r="BB1200" s="10"/>
      <c r="BC1200" s="9"/>
      <c r="BD1200" s="9"/>
      <c r="BE1200" s="9"/>
      <c r="BF1200" s="9"/>
    </row>
    <row r="1201" spans="1:58" x14ac:dyDescent="0.25">
      <c r="A1201" s="9" t="s">
        <v>84</v>
      </c>
      <c r="B1201" s="9" t="s">
        <v>85</v>
      </c>
      <c r="C1201" s="9" t="s">
        <v>1486</v>
      </c>
      <c r="D1201" s="10">
        <v>46049</v>
      </c>
      <c r="E1201" s="10">
        <v>46054</v>
      </c>
      <c r="F1201" s="10">
        <v>46081</v>
      </c>
      <c r="G1201" s="9">
        <v>3787197</v>
      </c>
      <c r="H1201" s="9" t="str">
        <f t="shared" si="111"/>
        <v>Open</v>
      </c>
      <c r="I1201" s="9" t="str">
        <f t="shared" si="112"/>
        <v>No sailing date and No shipping advice sent and No docs dispatch date</v>
      </c>
      <c r="J1201" s="9" t="s">
        <v>2399</v>
      </c>
      <c r="K1201" s="9" t="s">
        <v>2560</v>
      </c>
      <c r="L1201" s="11">
        <v>3</v>
      </c>
      <c r="M1201" s="9" t="s">
        <v>2561</v>
      </c>
      <c r="N1201" s="9"/>
      <c r="O1201" s="9"/>
      <c r="P1201" s="9"/>
      <c r="Q1201" s="11">
        <v>110</v>
      </c>
      <c r="R1201" s="9" t="s">
        <v>195</v>
      </c>
      <c r="S1201" s="9" t="s">
        <v>228</v>
      </c>
      <c r="T1201" s="12">
        <f>IF($H1201="Cancelled","",IFERROR(((Q1201+INDEX(Variables!$B$6:$D$6,IFERROR(MATCH(IF($B1201="Robusta","Robusta",(IF($B1201="","Arabica",$B1201))&amp;" - "&amp;(IF($C1201="","Commercial",$C1201))),Variables!$B$1:$D$1,0),1)))*22.0462)*(L1201/16.67),""))</f>
        <v>1590.1830161967603</v>
      </c>
      <c r="U1201" s="10"/>
      <c r="V1201" s="9" t="str">
        <f t="shared" si="116"/>
        <v/>
      </c>
      <c r="W1201" s="10">
        <v>46037</v>
      </c>
      <c r="X1201" s="9" t="str">
        <f t="shared" si="115"/>
        <v>Approved</v>
      </c>
      <c r="Y1201" s="10">
        <v>46076</v>
      </c>
      <c r="Z1201" s="10">
        <f>IF($H1201="Cancelled","",IFERROR(IF(F1201="","",F1201-Variables!$B$13),""))</f>
        <v>46066</v>
      </c>
      <c r="AA1201" s="11">
        <f>IF($H1201="Cancelled","",IFERROR(IF(W1201="","",(AVERAGE(E1201:F1201)-W1201)-Variables!$B$14),""))</f>
        <v>0.5</v>
      </c>
      <c r="AB1201" s="10">
        <v>46095</v>
      </c>
      <c r="AC1201" s="11">
        <f>IF($H1201="Cancelled","",IFERROR(IF(AB1201="","",IF(AND(W1201="",Y1201=""),"",IF(Y1201&gt;W1201,Y1201+Variables!$B$15+Variables!$B$16+Variables!$B$17-AB1201,W1201+Variables!$B$16+Variables!$B$17-AB1201))),""))</f>
        <v>-4</v>
      </c>
      <c r="AD1201" s="9" t="s">
        <v>165</v>
      </c>
      <c r="AE1201" s="9" t="s">
        <v>2558</v>
      </c>
      <c r="AF1201" s="10"/>
      <c r="AG1201" s="10"/>
      <c r="AH1201" s="9"/>
      <c r="AI1201" s="9"/>
      <c r="AJ1201" s="9"/>
      <c r="AK1201" s="10"/>
      <c r="AL1201" s="10"/>
      <c r="AM1201" s="10"/>
      <c r="AN1201" s="9" t="s">
        <v>2559</v>
      </c>
      <c r="AO1201" s="9"/>
      <c r="AP1201" s="11" t="str">
        <f>IF($H1201="Cancelled","",IFERROR(IF(OR(AK1201="",AB1201=""),"",(AB1201+Variables!$B$18-AK1201)),""))</f>
        <v/>
      </c>
      <c r="AQ1201" s="11" t="str">
        <f>IF($H1201="Cancelled","",IFERROR(IF(OR(AM1201="",AK1201=""),"",(AK1201+Variables!$B$19)-AM1201),""))</f>
        <v/>
      </c>
      <c r="AR1201" s="12" t="str">
        <f>IF($H1201="Cancelled","",IFERROR(T1201*INDEX(Variables!$B$7:$D$7,IFERROR(MATCH(IF($B1201="Robusta","Robusta",(IF($B1201="","Arabica",$B1201))&amp;" - "&amp;(IF($C1201="","Commercial",$C1201))),Variables!$B$1:$D$1,0),1))*(AQ1201/365),""))</f>
        <v/>
      </c>
      <c r="AS1201" s="12">
        <f>IF($H1201="Cancelled","",IFERROR((T1201*INDEX(Variables!$B$7:$D$7,IFERROR(MATCH(IF($B1201="Robusta","Robusta",(IF($B1201="","Arabica",$B1201))&amp;" - "&amp;(IF($C1201="","Commercial",$C1201))),Variables!$B$1:$D$1,0),1))*IFERROR(IF(W1201="","",(AVERAGE(E1201:F1201)-W1201)-Variables!$B$14),"")/365)+(L1201/16.67*INDEX(Variables!$B$8:$D$8,IFERROR(MATCH(IF($B1201="Robusta","Robusta",(IF($B1201="","Arabica",$B1201))&amp;" - "&amp;(IF($C1201="","Commercial",$C1201))),Variables!$B$1:$D$1,0),1))*IFERROR(IF(W1201="","",(AVERAGE(E1201:F1201)-W1201)-Variables!$B$14),""))+(T1201*INDEX(Variables!$B$9:$D$9,IFERROR(MATCH(IF($B1201="Robusta","Robusta",(IF($B1201="","Arabica",$B1201))&amp;" - "&amp;(IF($C1201="","Commercial",$C1201))),Variables!$B$1:$D$1,0),1))*IFERROR(IF(W1201="","",(AVERAGE(E1201:F1201)-W1201)-Variables!$B$14),"")/365),""))</f>
        <v>0.21727454579228367</v>
      </c>
      <c r="AT1201" s="12">
        <f>IF($H1201="Cancelled","",IFERROR((T1201*INDEX(Variables!$B$7:$D$7,IFERROR(MATCH(IF($B1201="Robusta","Robusta",(IF($B1201="","Arabica",$B1201))&amp;" - "&amp;(IF($C1201="","Commercial",$C1201))),Variables!$B$1:$D$1,0),1))*AC1201/365)+(L1201/16.67*INDEX(Variables!$B$8:$D$8,IFERROR(MATCH(IF($B1201="Robusta","Robusta",(IF($B1201="","Arabica",$B1201))&amp;" - "&amp;(IF($C1201="","Commercial",$C1201))),Variables!$B$1:$D$1,0),1))*AC1201)+(T1201*INDEX(Variables!$B$9:$D$9,IFERROR(MATCH(IF($B1201="Robusta","Robusta",(IF($B1201="","Arabica",$B1201))&amp;" - "&amp;(IF($C1201="","Commercial",$C1201))),Variables!$B$1:$D$1,0),1))*AC1201/365),""))</f>
        <v>-1.7381963663382693</v>
      </c>
      <c r="AU1201" s="12" t="str">
        <f>IF($H1201="Cancelled","",IFERROR((T1201*INDEX(Variables!$B$7:$D$7,IFERROR(MATCH(IF($B1201="Robusta","Robusta",(IF($B1201="","Arabica",$B1201))&amp;" - "&amp;(IF($C1201="","Commercial",$C1201))),Variables!$B$1:$D$1,0),1))*AP1201/365)+(L1201/16.67*INDEX(Variables!$B$8:$D$8,IFERROR(MATCH(IF($B1201="Robusta","Robusta",(IF($B1201="","Arabica",$B1201))&amp;" - "&amp;(IF($C1201="","Commercial",$C1201))),Variables!$B$1:$D$1,0),1))*AP1201)+(T1201*INDEX(Variables!$B$9:$D$9,IFERROR(MATCH(IF($B1201="Robusta","Robusta",(IF($B1201="","Arabica",$B1201))&amp;" - "&amp;(IF($C1201="","Commercial",$C1201))),Variables!$B$1:$D$1,0),1))*AP1201/365),""))</f>
        <v/>
      </c>
      <c r="AV1201" s="11" t="str">
        <f t="shared" si="114"/>
        <v/>
      </c>
      <c r="AW1201" s="12" t="str">
        <f>IF($H1201="Cancelled","",IFERROR(IF(AV1201="","",(T1201*INDEX(Variables!$B$7:$D$7,IFERROR(MATCH(IF($B1201="Robusta","Robusta",(IF($B1201="","Arabica",$B1201))&amp;" - "&amp;(IF($C1201="","Commercial",$C1201))),Variables!$B$1:$D$1,0),1))*(AV1201/365))+(T1201*INDEX(Variables!$B$9:$D$9,IFERROR(MATCH(IF($B1201="Robusta","Robusta",(IF($B1201="","Arabica",$B1201))&amp;" - "&amp;(IF($C1201="","Commercial",$C1201))),Variables!$B$1:$D$1,0),1))*(AV1201/365))+(INDEX(Variables!$B$8:$D$8,IFERROR(MATCH(IF($B1201="Robusta","Robusta",(IF($B1201="","Arabica",$B1201))&amp;" - "&amp;(IF($C1201="","Commercial",$C1201))),Variables!$B$1:$D$1,0),1))*L1201/16.67)),""))</f>
        <v/>
      </c>
      <c r="AX1201" s="9"/>
      <c r="AY1201" s="12"/>
      <c r="AZ1201" s="10"/>
      <c r="BA1201" s="9"/>
      <c r="BB1201" s="10"/>
      <c r="BC1201" s="9"/>
      <c r="BD1201" s="9"/>
      <c r="BE1201" s="9"/>
      <c r="BF1201" s="9"/>
    </row>
    <row r="1202" spans="1:58" x14ac:dyDescent="0.25">
      <c r="A1202" s="9" t="s">
        <v>84</v>
      </c>
      <c r="B1202" s="9" t="s">
        <v>85</v>
      </c>
      <c r="C1202" s="9" t="s">
        <v>1486</v>
      </c>
      <c r="D1202" s="10">
        <v>46049</v>
      </c>
      <c r="E1202" s="10">
        <v>46054</v>
      </c>
      <c r="F1202" s="10">
        <v>46081</v>
      </c>
      <c r="G1202" s="9">
        <v>3787201</v>
      </c>
      <c r="H1202" s="9" t="str">
        <f t="shared" si="111"/>
        <v>Open</v>
      </c>
      <c r="I1202" s="9" t="str">
        <f t="shared" si="112"/>
        <v>No sailing date and No shipping advice sent and No docs dispatch date</v>
      </c>
      <c r="J1202" s="9" t="s">
        <v>2399</v>
      </c>
      <c r="K1202" s="9" t="s">
        <v>2562</v>
      </c>
      <c r="L1202" s="11">
        <v>3</v>
      </c>
      <c r="M1202" s="9" t="s">
        <v>2563</v>
      </c>
      <c r="N1202" s="9"/>
      <c r="O1202" s="9"/>
      <c r="P1202" s="9"/>
      <c r="Q1202" s="11">
        <v>106</v>
      </c>
      <c r="R1202" s="9" t="s">
        <v>195</v>
      </c>
      <c r="S1202" s="9" t="s">
        <v>228</v>
      </c>
      <c r="T1202" s="12">
        <f>IF($H1202="Cancelled","",IFERROR(((Q1202+INDEX(Variables!$B$6:$D$6,IFERROR(MATCH(IF($B1202="Robusta","Robusta",(IF($B1202="","Arabica",$B1202))&amp;" - "&amp;(IF($C1202="","Commercial",$C1202))),Variables!$B$1:$D$1,0),1)))*22.0462)*(L1202/16.67),""))</f>
        <v>1574.3129262147568</v>
      </c>
      <c r="U1202" s="10"/>
      <c r="V1202" s="9" t="str">
        <f t="shared" si="116"/>
        <v/>
      </c>
      <c r="W1202" s="10">
        <v>46037</v>
      </c>
      <c r="X1202" s="9" t="str">
        <f t="shared" si="115"/>
        <v>Approved</v>
      </c>
      <c r="Y1202" s="10">
        <v>46076</v>
      </c>
      <c r="Z1202" s="10">
        <f>IF($H1202="Cancelled","",IFERROR(IF(F1202="","",F1202-Variables!$B$13),""))</f>
        <v>46066</v>
      </c>
      <c r="AA1202" s="11">
        <f>IF($H1202="Cancelled","",IFERROR(IF(W1202="","",(AVERAGE(E1202:F1202)-W1202)-Variables!$B$14),""))</f>
        <v>0.5</v>
      </c>
      <c r="AB1202" s="10">
        <v>46095</v>
      </c>
      <c r="AC1202" s="11">
        <f>IF($H1202="Cancelled","",IFERROR(IF(AB1202="","",IF(AND(W1202="",Y1202=""),"",IF(Y1202&gt;W1202,Y1202+Variables!$B$15+Variables!$B$16+Variables!$B$17-AB1202,W1202+Variables!$B$16+Variables!$B$17-AB1202))),""))</f>
        <v>-4</v>
      </c>
      <c r="AD1202" s="9" t="s">
        <v>165</v>
      </c>
      <c r="AE1202" s="9" t="s">
        <v>2558</v>
      </c>
      <c r="AF1202" s="10"/>
      <c r="AG1202" s="10"/>
      <c r="AH1202" s="9"/>
      <c r="AI1202" s="9"/>
      <c r="AJ1202" s="9"/>
      <c r="AK1202" s="10"/>
      <c r="AL1202" s="10"/>
      <c r="AM1202" s="10"/>
      <c r="AN1202" s="9" t="s">
        <v>2559</v>
      </c>
      <c r="AO1202" s="9"/>
      <c r="AP1202" s="11" t="str">
        <f>IF($H1202="Cancelled","",IFERROR(IF(OR(AK1202="",AB1202=""),"",(AB1202+Variables!$B$18-AK1202)),""))</f>
        <v/>
      </c>
      <c r="AQ1202" s="11" t="str">
        <f>IF($H1202="Cancelled","",IFERROR(IF(OR(AM1202="",AK1202=""),"",(AK1202+Variables!$B$19)-AM1202),""))</f>
        <v/>
      </c>
      <c r="AR1202" s="12" t="str">
        <f>IF($H1202="Cancelled","",IFERROR(T1202*INDEX(Variables!$B$7:$D$7,IFERROR(MATCH(IF($B1202="Robusta","Robusta",(IF($B1202="","Arabica",$B1202))&amp;" - "&amp;(IF($C1202="","Commercial",$C1202))),Variables!$B$1:$D$1,0),1))*(AQ1202/365),""))</f>
        <v/>
      </c>
      <c r="AS1202" s="12">
        <f>IF($H1202="Cancelled","",IFERROR((T1202*INDEX(Variables!$B$7:$D$7,IFERROR(MATCH(IF($B1202="Robusta","Robusta",(IF($B1202="","Arabica",$B1202))&amp;" - "&amp;(IF($C1202="","Commercial",$C1202))),Variables!$B$1:$D$1,0),1))*IFERROR(IF(W1202="","",(AVERAGE(E1202:F1202)-W1202)-Variables!$B$14),"")/365)+(L1202/16.67*INDEX(Variables!$B$8:$D$8,IFERROR(MATCH(IF($B1202="Robusta","Robusta",(IF($B1202="","Arabica",$B1202))&amp;" - "&amp;(IF($C1202="","Commercial",$C1202))),Variables!$B$1:$D$1,0),1))*IFERROR(IF(W1202="","",(AVERAGE(E1202:F1202)-W1202)-Variables!$B$14),""))+(T1202*INDEX(Variables!$B$9:$D$9,IFERROR(MATCH(IF($B1202="Robusta","Robusta",(IF($B1202="","Arabica",$B1202))&amp;" - "&amp;(IF($C1202="","Commercial",$C1202))),Variables!$B$1:$D$1,0),1))*IFERROR(IF(W1202="","",(AVERAGE(E1202:F1202)-W1202)-Variables!$B$14),"")/365),""))</f>
        <v>0.21585464014565417</v>
      </c>
      <c r="AT1202" s="12">
        <f>IF($H1202="Cancelled","",IFERROR((T1202*INDEX(Variables!$B$7:$D$7,IFERROR(MATCH(IF($B1202="Robusta","Robusta",(IF($B1202="","Arabica",$B1202))&amp;" - "&amp;(IF($C1202="","Commercial",$C1202))),Variables!$B$1:$D$1,0),1))*AC1202/365)+(L1202/16.67*INDEX(Variables!$B$8:$D$8,IFERROR(MATCH(IF($B1202="Robusta","Robusta",(IF($B1202="","Arabica",$B1202))&amp;" - "&amp;(IF($C1202="","Commercial",$C1202))),Variables!$B$1:$D$1,0),1))*AC1202)+(T1202*INDEX(Variables!$B$9:$D$9,IFERROR(MATCH(IF($B1202="Robusta","Robusta",(IF($B1202="","Arabica",$B1202))&amp;" - "&amp;(IF($C1202="","Commercial",$C1202))),Variables!$B$1:$D$1,0),1))*AC1202/365),""))</f>
        <v>-1.7268371211652334</v>
      </c>
      <c r="AU1202" s="12" t="str">
        <f>IF($H1202="Cancelled","",IFERROR((T1202*INDEX(Variables!$B$7:$D$7,IFERROR(MATCH(IF($B1202="Robusta","Robusta",(IF($B1202="","Arabica",$B1202))&amp;" - "&amp;(IF($C1202="","Commercial",$C1202))),Variables!$B$1:$D$1,0),1))*AP1202/365)+(L1202/16.67*INDEX(Variables!$B$8:$D$8,IFERROR(MATCH(IF($B1202="Robusta","Robusta",(IF($B1202="","Arabica",$B1202))&amp;" - "&amp;(IF($C1202="","Commercial",$C1202))),Variables!$B$1:$D$1,0),1))*AP1202)+(T1202*INDEX(Variables!$B$9:$D$9,IFERROR(MATCH(IF($B1202="Robusta","Robusta",(IF($B1202="","Arabica",$B1202))&amp;" - "&amp;(IF($C1202="","Commercial",$C1202))),Variables!$B$1:$D$1,0),1))*AP1202/365),""))</f>
        <v/>
      </c>
      <c r="AV1202" s="11" t="str">
        <f t="shared" si="114"/>
        <v/>
      </c>
      <c r="AW1202" s="12" t="str">
        <f>IF($H1202="Cancelled","",IFERROR(IF(AV1202="","",(T1202*INDEX(Variables!$B$7:$D$7,IFERROR(MATCH(IF($B1202="Robusta","Robusta",(IF($B1202="","Arabica",$B1202))&amp;" - "&amp;(IF($C1202="","Commercial",$C1202))),Variables!$B$1:$D$1,0),1))*(AV1202/365))+(T1202*INDEX(Variables!$B$9:$D$9,IFERROR(MATCH(IF($B1202="Robusta","Robusta",(IF($B1202="","Arabica",$B1202))&amp;" - "&amp;(IF($C1202="","Commercial",$C1202))),Variables!$B$1:$D$1,0),1))*(AV1202/365))+(INDEX(Variables!$B$8:$D$8,IFERROR(MATCH(IF($B1202="Robusta","Robusta",(IF($B1202="","Arabica",$B1202))&amp;" - "&amp;(IF($C1202="","Commercial",$C1202))),Variables!$B$1:$D$1,0),1))*L1202/16.67)),""))</f>
        <v/>
      </c>
      <c r="AX1202" s="9"/>
      <c r="AY1202" s="12"/>
      <c r="AZ1202" s="10"/>
      <c r="BA1202" s="9"/>
      <c r="BB1202" s="10"/>
      <c r="BC1202" s="9"/>
      <c r="BD1202" s="9"/>
      <c r="BE1202" s="9"/>
      <c r="BF1202" s="9"/>
    </row>
    <row r="1203" spans="1:58" x14ac:dyDescent="0.25">
      <c r="A1203" s="9" t="s">
        <v>84</v>
      </c>
      <c r="B1203" s="9" t="s">
        <v>85</v>
      </c>
      <c r="C1203" s="9" t="s">
        <v>1486</v>
      </c>
      <c r="D1203" s="10">
        <v>46049</v>
      </c>
      <c r="E1203" s="10">
        <v>46054</v>
      </c>
      <c r="F1203" s="10">
        <v>46081</v>
      </c>
      <c r="G1203" s="9">
        <v>3787198</v>
      </c>
      <c r="H1203" s="9" t="str">
        <f t="shared" si="111"/>
        <v>Open</v>
      </c>
      <c r="I1203" s="9" t="str">
        <f t="shared" si="112"/>
        <v>No sailing date and No shipping advice sent and No docs dispatch date</v>
      </c>
      <c r="J1203" s="9" t="s">
        <v>2399</v>
      </c>
      <c r="K1203" s="9" t="s">
        <v>2564</v>
      </c>
      <c r="L1203" s="11">
        <v>3</v>
      </c>
      <c r="M1203" s="9" t="s">
        <v>2565</v>
      </c>
      <c r="N1203" s="9"/>
      <c r="O1203" s="9"/>
      <c r="P1203" s="9"/>
      <c r="Q1203" s="11">
        <v>96</v>
      </c>
      <c r="R1203" s="9" t="s">
        <v>195</v>
      </c>
      <c r="S1203" s="9" t="s">
        <v>228</v>
      </c>
      <c r="T1203" s="12">
        <f>IF($H1203="Cancelled","",IFERROR(((Q1203+INDEX(Variables!$B$6:$D$6,IFERROR(MATCH(IF($B1203="Robusta","Robusta",(IF($B1203="","Arabica",$B1203))&amp;" - "&amp;(IF($C1203="","Commercial",$C1203))),Variables!$B$1:$D$1,0),1)))*22.0462)*(L1203/16.67),""))</f>
        <v>1534.6377012597477</v>
      </c>
      <c r="U1203" s="10"/>
      <c r="V1203" s="9" t="str">
        <f t="shared" si="116"/>
        <v/>
      </c>
      <c r="W1203" s="10">
        <v>46037</v>
      </c>
      <c r="X1203" s="9" t="str">
        <f t="shared" si="115"/>
        <v>Approved</v>
      </c>
      <c r="Y1203" s="10">
        <v>46076</v>
      </c>
      <c r="Z1203" s="10">
        <f>IF($H1203="Cancelled","",IFERROR(IF(F1203="","",F1203-Variables!$B$13),""))</f>
        <v>46066</v>
      </c>
      <c r="AA1203" s="11">
        <f>IF($H1203="Cancelled","",IFERROR(IF(W1203="","",(AVERAGE(E1203:F1203)-W1203)-Variables!$B$14),""))</f>
        <v>0.5</v>
      </c>
      <c r="AB1203" s="10">
        <v>46095</v>
      </c>
      <c r="AC1203" s="11">
        <f>IF($H1203="Cancelled","",IFERROR(IF(AB1203="","",IF(AND(W1203="",Y1203=""),"",IF(Y1203&gt;W1203,Y1203+Variables!$B$15+Variables!$B$16+Variables!$B$17-AB1203,W1203+Variables!$B$16+Variables!$B$17-AB1203))),""))</f>
        <v>-4</v>
      </c>
      <c r="AD1203" s="9" t="s">
        <v>165</v>
      </c>
      <c r="AE1203" s="9" t="s">
        <v>2558</v>
      </c>
      <c r="AF1203" s="10"/>
      <c r="AG1203" s="10"/>
      <c r="AH1203" s="9"/>
      <c r="AI1203" s="9"/>
      <c r="AJ1203" s="9"/>
      <c r="AK1203" s="10"/>
      <c r="AL1203" s="10"/>
      <c r="AM1203" s="10"/>
      <c r="AN1203" s="9" t="s">
        <v>2559</v>
      </c>
      <c r="AO1203" s="9"/>
      <c r="AP1203" s="11" t="str">
        <f>IF($H1203="Cancelled","",IFERROR(IF(OR(AK1203="",AB1203=""),"",(AB1203+Variables!$B$18-AK1203)),""))</f>
        <v/>
      </c>
      <c r="AQ1203" s="11" t="str">
        <f>IF($H1203="Cancelled","",IFERROR(IF(OR(AM1203="",AK1203=""),"",(AK1203+Variables!$B$19)-AM1203),""))</f>
        <v/>
      </c>
      <c r="AR1203" s="12" t="str">
        <f>IF($H1203="Cancelled","",IFERROR(T1203*INDEX(Variables!$B$7:$D$7,IFERROR(MATCH(IF($B1203="Robusta","Robusta",(IF($B1203="","Arabica",$B1203))&amp;" - "&amp;(IF($C1203="","Commercial",$C1203))),Variables!$B$1:$D$1,0),1))*(AQ1203/365),""))</f>
        <v/>
      </c>
      <c r="AS1203" s="12">
        <f>IF($H1203="Cancelled","",IFERROR((T1203*INDEX(Variables!$B$7:$D$7,IFERROR(MATCH(IF($B1203="Robusta","Robusta",(IF($B1203="","Arabica",$B1203))&amp;" - "&amp;(IF($C1203="","Commercial",$C1203))),Variables!$B$1:$D$1,0),1))*IFERROR(IF(W1203="","",(AVERAGE(E1203:F1203)-W1203)-Variables!$B$14),"")/365)+(L1203/16.67*INDEX(Variables!$B$8:$D$8,IFERROR(MATCH(IF($B1203="Robusta","Robusta",(IF($B1203="","Arabica",$B1203))&amp;" - "&amp;(IF($C1203="","Commercial",$C1203))),Variables!$B$1:$D$1,0),1))*IFERROR(IF(W1203="","",(AVERAGE(E1203:F1203)-W1203)-Variables!$B$14),""))+(T1203*INDEX(Variables!$B$9:$D$9,IFERROR(MATCH(IF($B1203="Robusta","Robusta",(IF($B1203="","Arabica",$B1203))&amp;" - "&amp;(IF($C1203="","Commercial",$C1203))),Variables!$B$1:$D$1,0),1))*IFERROR(IF(W1203="","",(AVERAGE(E1203:F1203)-W1203)-Variables!$B$14),"")/365),""))</f>
        <v>0.21230487602908016</v>
      </c>
      <c r="AT1203" s="12">
        <f>IF($H1203="Cancelled","",IFERROR((T1203*INDEX(Variables!$B$7:$D$7,IFERROR(MATCH(IF($B1203="Robusta","Robusta",(IF($B1203="","Arabica",$B1203))&amp;" - "&amp;(IF($C1203="","Commercial",$C1203))),Variables!$B$1:$D$1,0),1))*AC1203/365)+(L1203/16.67*INDEX(Variables!$B$8:$D$8,IFERROR(MATCH(IF($B1203="Robusta","Robusta",(IF($B1203="","Arabica",$B1203))&amp;" - "&amp;(IF($C1203="","Commercial",$C1203))),Variables!$B$1:$D$1,0),1))*AC1203)+(T1203*INDEX(Variables!$B$9:$D$9,IFERROR(MATCH(IF($B1203="Robusta","Robusta",(IF($B1203="","Arabica",$B1203))&amp;" - "&amp;(IF($C1203="","Commercial",$C1203))),Variables!$B$1:$D$1,0),1))*AC1203/365),""))</f>
        <v>-1.6984390082326413</v>
      </c>
      <c r="AU1203" s="12" t="str">
        <f>IF($H1203="Cancelled","",IFERROR((T1203*INDEX(Variables!$B$7:$D$7,IFERROR(MATCH(IF($B1203="Robusta","Robusta",(IF($B1203="","Arabica",$B1203))&amp;" - "&amp;(IF($C1203="","Commercial",$C1203))),Variables!$B$1:$D$1,0),1))*AP1203/365)+(L1203/16.67*INDEX(Variables!$B$8:$D$8,IFERROR(MATCH(IF($B1203="Robusta","Robusta",(IF($B1203="","Arabica",$B1203))&amp;" - "&amp;(IF($C1203="","Commercial",$C1203))),Variables!$B$1:$D$1,0),1))*AP1203)+(T1203*INDEX(Variables!$B$9:$D$9,IFERROR(MATCH(IF($B1203="Robusta","Robusta",(IF($B1203="","Arabica",$B1203))&amp;" - "&amp;(IF($C1203="","Commercial",$C1203))),Variables!$B$1:$D$1,0),1))*AP1203/365),""))</f>
        <v/>
      </c>
      <c r="AV1203" s="11" t="str">
        <f t="shared" si="114"/>
        <v/>
      </c>
      <c r="AW1203" s="12" t="str">
        <f>IF($H1203="Cancelled","",IFERROR(IF(AV1203="","",(T1203*INDEX(Variables!$B$7:$D$7,IFERROR(MATCH(IF($B1203="Robusta","Robusta",(IF($B1203="","Arabica",$B1203))&amp;" - "&amp;(IF($C1203="","Commercial",$C1203))),Variables!$B$1:$D$1,0),1))*(AV1203/365))+(T1203*INDEX(Variables!$B$9:$D$9,IFERROR(MATCH(IF($B1203="Robusta","Robusta",(IF($B1203="","Arabica",$B1203))&amp;" - "&amp;(IF($C1203="","Commercial",$C1203))),Variables!$B$1:$D$1,0),1))*(AV1203/365))+(INDEX(Variables!$B$8:$D$8,IFERROR(MATCH(IF($B1203="Robusta","Robusta",(IF($B1203="","Arabica",$B1203))&amp;" - "&amp;(IF($C1203="","Commercial",$C1203))),Variables!$B$1:$D$1,0),1))*L1203/16.67)),""))</f>
        <v/>
      </c>
      <c r="AX1203" s="9"/>
      <c r="AY1203" s="12"/>
      <c r="AZ1203" s="10"/>
      <c r="BA1203" s="9"/>
      <c r="BB1203" s="10"/>
      <c r="BC1203" s="9"/>
      <c r="BD1203" s="9"/>
      <c r="BE1203" s="9"/>
      <c r="BF1203" s="9"/>
    </row>
    <row r="1204" spans="1:58" x14ac:dyDescent="0.25">
      <c r="A1204" s="9" t="s">
        <v>84</v>
      </c>
      <c r="B1204" s="9" t="s">
        <v>85</v>
      </c>
      <c r="C1204" s="9" t="s">
        <v>1486</v>
      </c>
      <c r="D1204" s="10">
        <v>46049</v>
      </c>
      <c r="E1204" s="10">
        <v>46054</v>
      </c>
      <c r="F1204" s="10">
        <v>46081</v>
      </c>
      <c r="G1204" s="9">
        <v>3787199</v>
      </c>
      <c r="H1204" s="9" t="str">
        <f t="shared" si="111"/>
        <v>Open</v>
      </c>
      <c r="I1204" s="9" t="str">
        <f t="shared" si="112"/>
        <v>No sailing date and No shipping advice sent and No docs dispatch date</v>
      </c>
      <c r="J1204" s="9" t="s">
        <v>2399</v>
      </c>
      <c r="K1204" s="9" t="s">
        <v>2566</v>
      </c>
      <c r="L1204" s="11">
        <v>3</v>
      </c>
      <c r="M1204" s="9" t="s">
        <v>2567</v>
      </c>
      <c r="N1204" s="9"/>
      <c r="O1204" s="9"/>
      <c r="P1204" s="9"/>
      <c r="Q1204" s="11">
        <v>139</v>
      </c>
      <c r="R1204" s="9" t="s">
        <v>195</v>
      </c>
      <c r="S1204" s="9" t="s">
        <v>228</v>
      </c>
      <c r="T1204" s="12">
        <f>IF($H1204="Cancelled","",IFERROR(((Q1204+INDEX(Variables!$B$6:$D$6,IFERROR(MATCH(IF($B1204="Robusta","Robusta",(IF($B1204="","Arabica",$B1204))&amp;" - "&amp;(IF($C1204="","Commercial",$C1204))),Variables!$B$1:$D$1,0),1)))*22.0462)*(L1204/16.67),""))</f>
        <v>1705.2411685662864</v>
      </c>
      <c r="U1204" s="10"/>
      <c r="V1204" s="9" t="str">
        <f t="shared" si="116"/>
        <v/>
      </c>
      <c r="W1204" s="10">
        <v>46037</v>
      </c>
      <c r="X1204" s="9" t="str">
        <f t="shared" si="115"/>
        <v>Approved</v>
      </c>
      <c r="Y1204" s="10">
        <v>46076</v>
      </c>
      <c r="Z1204" s="10">
        <f>IF($H1204="Cancelled","",IFERROR(IF(F1204="","",F1204-Variables!$B$13),""))</f>
        <v>46066</v>
      </c>
      <c r="AA1204" s="11">
        <f>IF($H1204="Cancelled","",IFERROR(IF(W1204="","",(AVERAGE(E1204:F1204)-W1204)-Variables!$B$14),""))</f>
        <v>0.5</v>
      </c>
      <c r="AB1204" s="10">
        <v>46095</v>
      </c>
      <c r="AC1204" s="11">
        <f>IF($H1204="Cancelled","",IFERROR(IF(AB1204="","",IF(AND(W1204="",Y1204=""),"",IF(Y1204&gt;W1204,Y1204+Variables!$B$15+Variables!$B$16+Variables!$B$17-AB1204,W1204+Variables!$B$16+Variables!$B$17-AB1204))),""))</f>
        <v>-4</v>
      </c>
      <c r="AD1204" s="9" t="s">
        <v>165</v>
      </c>
      <c r="AE1204" s="9" t="s">
        <v>2558</v>
      </c>
      <c r="AF1204" s="10"/>
      <c r="AG1204" s="10"/>
      <c r="AH1204" s="9"/>
      <c r="AI1204" s="9"/>
      <c r="AJ1204" s="9"/>
      <c r="AK1204" s="10"/>
      <c r="AL1204" s="10"/>
      <c r="AM1204" s="10"/>
      <c r="AN1204" s="9" t="s">
        <v>2559</v>
      </c>
      <c r="AO1204" s="9"/>
      <c r="AP1204" s="11" t="str">
        <f>IF($H1204="Cancelled","",IFERROR(IF(OR(AK1204="",AB1204=""),"",(AB1204+Variables!$B$18-AK1204)),""))</f>
        <v/>
      </c>
      <c r="AQ1204" s="11" t="str">
        <f>IF($H1204="Cancelled","",IFERROR(IF(OR(AM1204="",AK1204=""),"",(AK1204+Variables!$B$19)-AM1204),""))</f>
        <v/>
      </c>
      <c r="AR1204" s="12" t="str">
        <f>IF($H1204="Cancelled","",IFERROR(T1204*INDEX(Variables!$B$7:$D$7,IFERROR(MATCH(IF($B1204="Robusta","Robusta",(IF($B1204="","Arabica",$B1204))&amp;" - "&amp;(IF($C1204="","Commercial",$C1204))),Variables!$B$1:$D$1,0),1))*(AQ1204/365),""))</f>
        <v/>
      </c>
      <c r="AS1204" s="12">
        <f>IF($H1204="Cancelled","",IFERROR((T1204*INDEX(Variables!$B$7:$D$7,IFERROR(MATCH(IF($B1204="Robusta","Robusta",(IF($B1204="","Arabica",$B1204))&amp;" - "&amp;(IF($C1204="","Commercial",$C1204))),Variables!$B$1:$D$1,0),1))*IFERROR(IF(W1204="","",(AVERAGE(E1204:F1204)-W1204)-Variables!$B$14),"")/365)+(L1204/16.67*INDEX(Variables!$B$8:$D$8,IFERROR(MATCH(IF($B1204="Robusta","Robusta",(IF($B1204="","Arabica",$B1204))&amp;" - "&amp;(IF($C1204="","Commercial",$C1204))),Variables!$B$1:$D$1,0),1))*IFERROR(IF(W1204="","",(AVERAGE(E1204:F1204)-W1204)-Variables!$B$14),""))+(T1204*INDEX(Variables!$B$9:$D$9,IFERROR(MATCH(IF($B1204="Robusta","Robusta",(IF($B1204="","Arabica",$B1204))&amp;" - "&amp;(IF($C1204="","Commercial",$C1204))),Variables!$B$1:$D$1,0),1))*IFERROR(IF(W1204="","",(AVERAGE(E1204:F1204)-W1204)-Variables!$B$14),"")/365),""))</f>
        <v>0.22756886173034815</v>
      </c>
      <c r="AT1204" s="12">
        <f>IF($H1204="Cancelled","",IFERROR((T1204*INDEX(Variables!$B$7:$D$7,IFERROR(MATCH(IF($B1204="Robusta","Robusta",(IF($B1204="","Arabica",$B1204))&amp;" - "&amp;(IF($C1204="","Commercial",$C1204))),Variables!$B$1:$D$1,0),1))*AC1204/365)+(L1204/16.67*INDEX(Variables!$B$8:$D$8,IFERROR(MATCH(IF($B1204="Robusta","Robusta",(IF($B1204="","Arabica",$B1204))&amp;" - "&amp;(IF($C1204="","Commercial",$C1204))),Variables!$B$1:$D$1,0),1))*AC1204)+(T1204*INDEX(Variables!$B$9:$D$9,IFERROR(MATCH(IF($B1204="Robusta","Robusta",(IF($B1204="","Arabica",$B1204))&amp;" - "&amp;(IF($C1204="","Commercial",$C1204))),Variables!$B$1:$D$1,0),1))*AC1204/365),""))</f>
        <v>-1.8205508938427852</v>
      </c>
      <c r="AU1204" s="12" t="str">
        <f>IF($H1204="Cancelled","",IFERROR((T1204*INDEX(Variables!$B$7:$D$7,IFERROR(MATCH(IF($B1204="Robusta","Robusta",(IF($B1204="","Arabica",$B1204))&amp;" - "&amp;(IF($C1204="","Commercial",$C1204))),Variables!$B$1:$D$1,0),1))*AP1204/365)+(L1204/16.67*INDEX(Variables!$B$8:$D$8,IFERROR(MATCH(IF($B1204="Robusta","Robusta",(IF($B1204="","Arabica",$B1204))&amp;" - "&amp;(IF($C1204="","Commercial",$C1204))),Variables!$B$1:$D$1,0),1))*AP1204)+(T1204*INDEX(Variables!$B$9:$D$9,IFERROR(MATCH(IF($B1204="Robusta","Robusta",(IF($B1204="","Arabica",$B1204))&amp;" - "&amp;(IF($C1204="","Commercial",$C1204))),Variables!$B$1:$D$1,0),1))*AP1204/365),""))</f>
        <v/>
      </c>
      <c r="AV1204" s="11" t="str">
        <f t="shared" si="114"/>
        <v/>
      </c>
      <c r="AW1204" s="12" t="str">
        <f>IF($H1204="Cancelled","",IFERROR(IF(AV1204="","",(T1204*INDEX(Variables!$B$7:$D$7,IFERROR(MATCH(IF($B1204="Robusta","Robusta",(IF($B1204="","Arabica",$B1204))&amp;" - "&amp;(IF($C1204="","Commercial",$C1204))),Variables!$B$1:$D$1,0),1))*(AV1204/365))+(T1204*INDEX(Variables!$B$9:$D$9,IFERROR(MATCH(IF($B1204="Robusta","Robusta",(IF($B1204="","Arabica",$B1204))&amp;" - "&amp;(IF($C1204="","Commercial",$C1204))),Variables!$B$1:$D$1,0),1))*(AV1204/365))+(INDEX(Variables!$B$8:$D$8,IFERROR(MATCH(IF($B1204="Robusta","Robusta",(IF($B1204="","Arabica",$B1204))&amp;" - "&amp;(IF($C1204="","Commercial",$C1204))),Variables!$B$1:$D$1,0),1))*L1204/16.67)),""))</f>
        <v/>
      </c>
      <c r="AX1204" s="9"/>
      <c r="AY1204" s="12"/>
      <c r="AZ1204" s="10"/>
      <c r="BA1204" s="9"/>
      <c r="BB1204" s="10"/>
      <c r="BC1204" s="9"/>
      <c r="BD1204" s="9"/>
      <c r="BE1204" s="9"/>
      <c r="BF1204" s="9"/>
    </row>
    <row r="1205" spans="1:58" x14ac:dyDescent="0.25">
      <c r="A1205" s="9" t="s">
        <v>84</v>
      </c>
      <c r="B1205" s="9" t="s">
        <v>85</v>
      </c>
      <c r="C1205" s="9" t="s">
        <v>1486</v>
      </c>
      <c r="D1205" s="10">
        <v>46049</v>
      </c>
      <c r="E1205" s="10">
        <v>46054</v>
      </c>
      <c r="F1205" s="10">
        <v>46081</v>
      </c>
      <c r="G1205" s="9">
        <v>3787200</v>
      </c>
      <c r="H1205" s="9" t="str">
        <f t="shared" si="111"/>
        <v>Open</v>
      </c>
      <c r="I1205" s="9" t="str">
        <f t="shared" si="112"/>
        <v>No sailing date and No shipping advice sent and No docs dispatch date</v>
      </c>
      <c r="J1205" s="9" t="s">
        <v>2399</v>
      </c>
      <c r="K1205" s="9" t="s">
        <v>2568</v>
      </c>
      <c r="L1205" s="11">
        <v>3</v>
      </c>
      <c r="M1205" s="9" t="s">
        <v>2569</v>
      </c>
      <c r="N1205" s="9"/>
      <c r="O1205" s="9"/>
      <c r="P1205" s="9"/>
      <c r="Q1205" s="11">
        <v>139</v>
      </c>
      <c r="R1205" s="9" t="s">
        <v>195</v>
      </c>
      <c r="S1205" s="9" t="s">
        <v>228</v>
      </c>
      <c r="T1205" s="12">
        <f>IF($H1205="Cancelled","",IFERROR(((Q1205+INDEX(Variables!$B$6:$D$6,IFERROR(MATCH(IF($B1205="Robusta","Robusta",(IF($B1205="","Arabica",$B1205))&amp;" - "&amp;(IF($C1205="","Commercial",$C1205))),Variables!$B$1:$D$1,0),1)))*22.0462)*(L1205/16.67),""))</f>
        <v>1705.2411685662864</v>
      </c>
      <c r="U1205" s="10"/>
      <c r="V1205" s="9" t="str">
        <f t="shared" si="116"/>
        <v/>
      </c>
      <c r="W1205" s="10">
        <v>46037</v>
      </c>
      <c r="X1205" s="9" t="str">
        <f t="shared" si="115"/>
        <v>Approved</v>
      </c>
      <c r="Y1205" s="10">
        <v>46076</v>
      </c>
      <c r="Z1205" s="10">
        <f>IF($H1205="Cancelled","",IFERROR(IF(F1205="","",F1205-Variables!$B$13),""))</f>
        <v>46066</v>
      </c>
      <c r="AA1205" s="11">
        <f>IF($H1205="Cancelled","",IFERROR(IF(W1205="","",(AVERAGE(E1205:F1205)-W1205)-Variables!$B$14),""))</f>
        <v>0.5</v>
      </c>
      <c r="AB1205" s="10">
        <v>46095</v>
      </c>
      <c r="AC1205" s="11">
        <f>IF($H1205="Cancelled","",IFERROR(IF(AB1205="","",IF(AND(W1205="",Y1205=""),"",IF(Y1205&gt;W1205,Y1205+Variables!$B$15+Variables!$B$16+Variables!$B$17-AB1205,W1205+Variables!$B$16+Variables!$B$17-AB1205))),""))</f>
        <v>-4</v>
      </c>
      <c r="AD1205" s="9" t="s">
        <v>165</v>
      </c>
      <c r="AE1205" s="9" t="s">
        <v>2558</v>
      </c>
      <c r="AF1205" s="10"/>
      <c r="AG1205" s="10"/>
      <c r="AH1205" s="9"/>
      <c r="AI1205" s="9"/>
      <c r="AJ1205" s="9"/>
      <c r="AK1205" s="10"/>
      <c r="AL1205" s="10"/>
      <c r="AM1205" s="10"/>
      <c r="AN1205" s="9" t="s">
        <v>2559</v>
      </c>
      <c r="AO1205" s="9"/>
      <c r="AP1205" s="11" t="str">
        <f>IF($H1205="Cancelled","",IFERROR(IF(OR(AK1205="",AB1205=""),"",(AB1205+Variables!$B$18-AK1205)),""))</f>
        <v/>
      </c>
      <c r="AQ1205" s="11" t="str">
        <f>IF($H1205="Cancelled","",IFERROR(IF(OR(AM1205="",AK1205=""),"",(AK1205+Variables!$B$19)-AM1205),""))</f>
        <v/>
      </c>
      <c r="AR1205" s="12" t="str">
        <f>IF($H1205="Cancelled","",IFERROR(T1205*INDEX(Variables!$B$7:$D$7,IFERROR(MATCH(IF($B1205="Robusta","Robusta",(IF($B1205="","Arabica",$B1205))&amp;" - "&amp;(IF($C1205="","Commercial",$C1205))),Variables!$B$1:$D$1,0),1))*(AQ1205/365),""))</f>
        <v/>
      </c>
      <c r="AS1205" s="12">
        <f>IF($H1205="Cancelled","",IFERROR((T1205*INDEX(Variables!$B$7:$D$7,IFERROR(MATCH(IF($B1205="Robusta","Robusta",(IF($B1205="","Arabica",$B1205))&amp;" - "&amp;(IF($C1205="","Commercial",$C1205))),Variables!$B$1:$D$1,0),1))*IFERROR(IF(W1205="","",(AVERAGE(E1205:F1205)-W1205)-Variables!$B$14),"")/365)+(L1205/16.67*INDEX(Variables!$B$8:$D$8,IFERROR(MATCH(IF($B1205="Robusta","Robusta",(IF($B1205="","Arabica",$B1205))&amp;" - "&amp;(IF($C1205="","Commercial",$C1205))),Variables!$B$1:$D$1,0),1))*IFERROR(IF(W1205="","",(AVERAGE(E1205:F1205)-W1205)-Variables!$B$14),""))+(T1205*INDEX(Variables!$B$9:$D$9,IFERROR(MATCH(IF($B1205="Robusta","Robusta",(IF($B1205="","Arabica",$B1205))&amp;" - "&amp;(IF($C1205="","Commercial",$C1205))),Variables!$B$1:$D$1,0),1))*IFERROR(IF(W1205="","",(AVERAGE(E1205:F1205)-W1205)-Variables!$B$14),"")/365),""))</f>
        <v>0.22756886173034815</v>
      </c>
      <c r="AT1205" s="12">
        <f>IF($H1205="Cancelled","",IFERROR((T1205*INDEX(Variables!$B$7:$D$7,IFERROR(MATCH(IF($B1205="Robusta","Robusta",(IF($B1205="","Arabica",$B1205))&amp;" - "&amp;(IF($C1205="","Commercial",$C1205))),Variables!$B$1:$D$1,0),1))*AC1205/365)+(L1205/16.67*INDEX(Variables!$B$8:$D$8,IFERROR(MATCH(IF($B1205="Robusta","Robusta",(IF($B1205="","Arabica",$B1205))&amp;" - "&amp;(IF($C1205="","Commercial",$C1205))),Variables!$B$1:$D$1,0),1))*AC1205)+(T1205*INDEX(Variables!$B$9:$D$9,IFERROR(MATCH(IF($B1205="Robusta","Robusta",(IF($B1205="","Arabica",$B1205))&amp;" - "&amp;(IF($C1205="","Commercial",$C1205))),Variables!$B$1:$D$1,0),1))*AC1205/365),""))</f>
        <v>-1.8205508938427852</v>
      </c>
      <c r="AU1205" s="12" t="str">
        <f>IF($H1205="Cancelled","",IFERROR((T1205*INDEX(Variables!$B$7:$D$7,IFERROR(MATCH(IF($B1205="Robusta","Robusta",(IF($B1205="","Arabica",$B1205))&amp;" - "&amp;(IF($C1205="","Commercial",$C1205))),Variables!$B$1:$D$1,0),1))*AP1205/365)+(L1205/16.67*INDEX(Variables!$B$8:$D$8,IFERROR(MATCH(IF($B1205="Robusta","Robusta",(IF($B1205="","Arabica",$B1205))&amp;" - "&amp;(IF($C1205="","Commercial",$C1205))),Variables!$B$1:$D$1,0),1))*AP1205)+(T1205*INDEX(Variables!$B$9:$D$9,IFERROR(MATCH(IF($B1205="Robusta","Robusta",(IF($B1205="","Arabica",$B1205))&amp;" - "&amp;(IF($C1205="","Commercial",$C1205))),Variables!$B$1:$D$1,0),1))*AP1205/365),""))</f>
        <v/>
      </c>
      <c r="AV1205" s="11" t="str">
        <f t="shared" si="114"/>
        <v/>
      </c>
      <c r="AW1205" s="12" t="str">
        <f>IF($H1205="Cancelled","",IFERROR(IF(AV1205="","",(T1205*INDEX(Variables!$B$7:$D$7,IFERROR(MATCH(IF($B1205="Robusta","Robusta",(IF($B1205="","Arabica",$B1205))&amp;" - "&amp;(IF($C1205="","Commercial",$C1205))),Variables!$B$1:$D$1,0),1))*(AV1205/365))+(T1205*INDEX(Variables!$B$9:$D$9,IFERROR(MATCH(IF($B1205="Robusta","Robusta",(IF($B1205="","Arabica",$B1205))&amp;" - "&amp;(IF($C1205="","Commercial",$C1205))),Variables!$B$1:$D$1,0),1))*(AV1205/365))+(INDEX(Variables!$B$8:$D$8,IFERROR(MATCH(IF($B1205="Robusta","Robusta",(IF($B1205="","Arabica",$B1205))&amp;" - "&amp;(IF($C1205="","Commercial",$C1205))),Variables!$B$1:$D$1,0),1))*L1205/16.67)),""))</f>
        <v/>
      </c>
      <c r="AX1205" s="9"/>
      <c r="AY1205" s="12"/>
      <c r="AZ1205" s="10"/>
      <c r="BA1205" s="9"/>
      <c r="BB1205" s="10"/>
      <c r="BC1205" s="9"/>
      <c r="BD1205" s="9"/>
      <c r="BE1205" s="9"/>
      <c r="BF1205" s="9"/>
    </row>
    <row r="1206" spans="1:58" x14ac:dyDescent="0.25">
      <c r="A1206" s="9" t="s">
        <v>84</v>
      </c>
      <c r="B1206" s="9" t="s">
        <v>85</v>
      </c>
      <c r="C1206" s="9" t="s">
        <v>1486</v>
      </c>
      <c r="D1206" s="10">
        <v>46052</v>
      </c>
      <c r="E1206" s="10">
        <v>46054</v>
      </c>
      <c r="F1206" s="10">
        <v>46081</v>
      </c>
      <c r="G1206" s="9">
        <v>3787208</v>
      </c>
      <c r="H1206" s="9" t="str">
        <f t="shared" si="111"/>
        <v>Open</v>
      </c>
      <c r="I1206" s="9" t="str">
        <f t="shared" si="112"/>
        <v>No sailing date and No shipping advice sent and No docs dispatch date</v>
      </c>
      <c r="J1206" s="9" t="s">
        <v>2399</v>
      </c>
      <c r="K1206" s="9" t="s">
        <v>2570</v>
      </c>
      <c r="L1206" s="11">
        <v>58</v>
      </c>
      <c r="M1206" s="9" t="s">
        <v>2571</v>
      </c>
      <c r="N1206" s="9"/>
      <c r="O1206" s="9"/>
      <c r="P1206" s="9"/>
      <c r="Q1206" s="11">
        <v>165</v>
      </c>
      <c r="R1206" s="9" t="s">
        <v>195</v>
      </c>
      <c r="S1206" s="9" t="s">
        <v>228</v>
      </c>
      <c r="T1206" s="12">
        <f>IF($H1206="Cancelled","",IFERROR(((Q1206+INDEX(Variables!$B$6:$D$6,IFERROR(MATCH(IF($B1206="Robusta","Robusta",(IF($B1206="","Arabica",$B1206))&amp;" - "&amp;(IF($C1206="","Commercial",$C1206))),Variables!$B$1:$D$1,0),1)))*22.0462)*(L1206/16.67),""))</f>
        <v>34962.337233353326</v>
      </c>
      <c r="U1206" s="10"/>
      <c r="V1206" s="9" t="str">
        <f t="shared" si="116"/>
        <v/>
      </c>
      <c r="W1206" s="10">
        <v>46037</v>
      </c>
      <c r="X1206" s="9" t="str">
        <f t="shared" si="115"/>
        <v>Approved</v>
      </c>
      <c r="Y1206" s="10">
        <v>46076</v>
      </c>
      <c r="Z1206" s="10">
        <f>IF($H1206="Cancelled","",IFERROR(IF(F1206="","",F1206-Variables!$B$13),""))</f>
        <v>46066</v>
      </c>
      <c r="AA1206" s="11">
        <f>IF($H1206="Cancelled","",IFERROR(IF(W1206="","",(AVERAGE(E1206:F1206)-W1206)-Variables!$B$14),""))</f>
        <v>0.5</v>
      </c>
      <c r="AB1206" s="10">
        <v>46095</v>
      </c>
      <c r="AC1206" s="11">
        <f>IF($H1206="Cancelled","",IFERROR(IF(AB1206="","",IF(AND(W1206="",Y1206=""),"",IF(Y1206&gt;W1206,Y1206+Variables!$B$15+Variables!$B$16+Variables!$B$17-AB1206,W1206+Variables!$B$16+Variables!$B$17-AB1206))),""))</f>
        <v>-4</v>
      </c>
      <c r="AD1206" s="9" t="s">
        <v>165</v>
      </c>
      <c r="AE1206" s="9" t="s">
        <v>2558</v>
      </c>
      <c r="AF1206" s="10"/>
      <c r="AG1206" s="10"/>
      <c r="AH1206" s="9"/>
      <c r="AI1206" s="9"/>
      <c r="AJ1206" s="9"/>
      <c r="AK1206" s="10"/>
      <c r="AL1206" s="10"/>
      <c r="AM1206" s="10"/>
      <c r="AN1206" s="9" t="s">
        <v>2559</v>
      </c>
      <c r="AO1206" s="9"/>
      <c r="AP1206" s="11" t="str">
        <f>IF($H1206="Cancelled","",IFERROR(IF(OR(AK1206="",AB1206=""),"",(AB1206+Variables!$B$18-AK1206)),""))</f>
        <v/>
      </c>
      <c r="AQ1206" s="11" t="str">
        <f>IF($H1206="Cancelled","",IFERROR(IF(OR(AM1206="",AK1206=""),"",(AK1206+Variables!$B$19)-AM1206),""))</f>
        <v/>
      </c>
      <c r="AR1206" s="12" t="str">
        <f>IF($H1206="Cancelled","",IFERROR(T1206*INDEX(Variables!$B$7:$D$7,IFERROR(MATCH(IF($B1206="Robusta","Robusta",(IF($B1206="","Arabica",$B1206))&amp;" - "&amp;(IF($C1206="","Commercial",$C1206))),Variables!$B$1:$D$1,0),1))*(AQ1206/365),""))</f>
        <v/>
      </c>
      <c r="AS1206" s="12">
        <f>IF($H1206="Cancelled","",IFERROR((T1206*INDEX(Variables!$B$7:$D$7,IFERROR(MATCH(IF($B1206="Robusta","Robusta",(IF($B1206="","Arabica",$B1206))&amp;" - "&amp;(IF($C1206="","Commercial",$C1206))),Variables!$B$1:$D$1,0),1))*IFERROR(IF(W1206="","",(AVERAGE(E1206:F1206)-W1206)-Variables!$B$14),"")/365)+(L1206/16.67*INDEX(Variables!$B$8:$D$8,IFERROR(MATCH(IF($B1206="Robusta","Robusta",(IF($B1206="","Arabica",$B1206))&amp;" - "&amp;(IF($C1206="","Commercial",$C1206))),Variables!$B$1:$D$1,0),1))*IFERROR(IF(W1206="","",(AVERAGE(E1206:F1206)-W1206)-Variables!$B$14),""))+(T1206*INDEX(Variables!$B$9:$D$9,IFERROR(MATCH(IF($B1206="Robusta","Robusta",(IF($B1206="","Arabica",$B1206))&amp;" - "&amp;(IF($C1206="","Commercial",$C1206))),Variables!$B$1:$D$1,0),1))*IFERROR(IF(W1206="","",(AVERAGE(E1206:F1206)-W1206)-Variables!$B$14),"")/365),""))</f>
        <v>4.578099469713182</v>
      </c>
      <c r="AT1206" s="12">
        <f>IF($H1206="Cancelled","",IFERROR((T1206*INDEX(Variables!$B$7:$D$7,IFERROR(MATCH(IF($B1206="Robusta","Robusta",(IF($B1206="","Arabica",$B1206))&amp;" - "&amp;(IF($C1206="","Commercial",$C1206))),Variables!$B$1:$D$1,0),1))*AC1206/365)+(L1206/16.67*INDEX(Variables!$B$8:$D$8,IFERROR(MATCH(IF($B1206="Robusta","Robusta",(IF($B1206="","Arabica",$B1206))&amp;" - "&amp;(IF($C1206="","Commercial",$C1206))),Variables!$B$1:$D$1,0),1))*AC1206)+(T1206*INDEX(Variables!$B$9:$D$9,IFERROR(MATCH(IF($B1206="Robusta","Robusta",(IF($B1206="","Arabica",$B1206))&amp;" - "&amp;(IF($C1206="","Commercial",$C1206))),Variables!$B$1:$D$1,0),1))*AC1206/365),""))</f>
        <v>-36.624795757705456</v>
      </c>
      <c r="AU1206" s="12" t="str">
        <f>IF($H1206="Cancelled","",IFERROR((T1206*INDEX(Variables!$B$7:$D$7,IFERROR(MATCH(IF($B1206="Robusta","Robusta",(IF($B1206="","Arabica",$B1206))&amp;" - "&amp;(IF($C1206="","Commercial",$C1206))),Variables!$B$1:$D$1,0),1))*AP1206/365)+(L1206/16.67*INDEX(Variables!$B$8:$D$8,IFERROR(MATCH(IF($B1206="Robusta","Robusta",(IF($B1206="","Arabica",$B1206))&amp;" - "&amp;(IF($C1206="","Commercial",$C1206))),Variables!$B$1:$D$1,0),1))*AP1206)+(T1206*INDEX(Variables!$B$9:$D$9,IFERROR(MATCH(IF($B1206="Robusta","Robusta",(IF($B1206="","Arabica",$B1206))&amp;" - "&amp;(IF($C1206="","Commercial",$C1206))),Variables!$B$1:$D$1,0),1))*AP1206/365),""))</f>
        <v/>
      </c>
      <c r="AV1206" s="11" t="str">
        <f t="shared" si="114"/>
        <v/>
      </c>
      <c r="AW1206" s="12" t="str">
        <f>IF($H1206="Cancelled","",IFERROR(IF(AV1206="","",(T1206*INDEX(Variables!$B$7:$D$7,IFERROR(MATCH(IF($B1206="Robusta","Robusta",(IF($B1206="","Arabica",$B1206))&amp;" - "&amp;(IF($C1206="","Commercial",$C1206))),Variables!$B$1:$D$1,0),1))*(AV1206/365))+(T1206*INDEX(Variables!$B$9:$D$9,IFERROR(MATCH(IF($B1206="Robusta","Robusta",(IF($B1206="","Arabica",$B1206))&amp;" - "&amp;(IF($C1206="","Commercial",$C1206))),Variables!$B$1:$D$1,0),1))*(AV1206/365))+(INDEX(Variables!$B$8:$D$8,IFERROR(MATCH(IF($B1206="Robusta","Robusta",(IF($B1206="","Arabica",$B1206))&amp;" - "&amp;(IF($C1206="","Commercial",$C1206))),Variables!$B$1:$D$1,0),1))*L1206/16.67)),""))</f>
        <v/>
      </c>
      <c r="AX1206" s="9"/>
      <c r="AY1206" s="12"/>
      <c r="AZ1206" s="10"/>
      <c r="BA1206" s="9"/>
      <c r="BB1206" s="10"/>
      <c r="BC1206" s="9"/>
      <c r="BD1206" s="9"/>
      <c r="BE1206" s="9"/>
      <c r="BF1206" s="9"/>
    </row>
    <row r="1207" spans="1:58" x14ac:dyDescent="0.25">
      <c r="A1207" s="9" t="s">
        <v>84</v>
      </c>
      <c r="B1207" s="9" t="s">
        <v>85</v>
      </c>
      <c r="C1207" s="9" t="s">
        <v>1486</v>
      </c>
      <c r="D1207" s="10">
        <v>46070</v>
      </c>
      <c r="E1207" s="10">
        <v>46054</v>
      </c>
      <c r="F1207" s="10">
        <v>46081</v>
      </c>
      <c r="G1207" s="9">
        <v>3787299</v>
      </c>
      <c r="H1207" s="9" t="str">
        <f t="shared" si="111"/>
        <v>Open</v>
      </c>
      <c r="I1207" s="9" t="str">
        <f t="shared" si="112"/>
        <v>No sailing date and No shipping advice sent and No docs dispatch date</v>
      </c>
      <c r="J1207" s="9" t="s">
        <v>1487</v>
      </c>
      <c r="K1207" s="9" t="s">
        <v>2572</v>
      </c>
      <c r="L1207" s="11">
        <v>28</v>
      </c>
      <c r="M1207" s="9" t="s">
        <v>2573</v>
      </c>
      <c r="N1207" s="9"/>
      <c r="O1207" s="9"/>
      <c r="P1207" s="9"/>
      <c r="Q1207" s="11">
        <v>152</v>
      </c>
      <c r="R1207" s="9" t="s">
        <v>195</v>
      </c>
      <c r="S1207" s="9" t="s">
        <v>183</v>
      </c>
      <c r="T1207" s="12">
        <f>IF($H1207="Cancelled","",IFERROR(((Q1207+INDEX(Variables!$B$6:$D$6,IFERROR(MATCH(IF($B1207="Robusta","Robusta",(IF($B1207="","Arabica",$B1207))&amp;" - "&amp;(IF($C1207="","Commercial",$C1207))),Variables!$B$1:$D$1,0),1)))*22.0462)*(L1207/16.67),""))</f>
        <v>16396.976969406114</v>
      </c>
      <c r="U1207" s="10"/>
      <c r="V1207" s="9" t="str">
        <f t="shared" si="116"/>
        <v/>
      </c>
      <c r="W1207" s="10">
        <v>46037</v>
      </c>
      <c r="X1207" s="9" t="str">
        <f t="shared" si="115"/>
        <v>Approved</v>
      </c>
      <c r="Y1207" s="10">
        <v>46076</v>
      </c>
      <c r="Z1207" s="10">
        <f>IF($H1207="Cancelled","",IFERROR(IF(F1207="","",F1207-Variables!$B$13),""))</f>
        <v>46066</v>
      </c>
      <c r="AA1207" s="11">
        <f>IF($H1207="Cancelled","",IFERROR(IF(W1207="","",(AVERAGE(E1207:F1207)-W1207)-Variables!$B$14),""))</f>
        <v>0.5</v>
      </c>
      <c r="AB1207" s="10">
        <v>46080</v>
      </c>
      <c r="AC1207" s="11">
        <f>IF($H1207="Cancelled","",IFERROR(IF(AB1207="","",IF(AND(W1207="",Y1207=""),"",IF(Y1207&gt;W1207,Y1207+Variables!$B$15+Variables!$B$16+Variables!$B$17-AB1207,W1207+Variables!$B$16+Variables!$B$17-AB1207))),""))</f>
        <v>11</v>
      </c>
      <c r="AD1207" s="9" t="s">
        <v>165</v>
      </c>
      <c r="AE1207" s="9" t="s">
        <v>818</v>
      </c>
      <c r="AF1207" s="10"/>
      <c r="AG1207" s="10"/>
      <c r="AH1207" s="9"/>
      <c r="AI1207" s="9"/>
      <c r="AJ1207" s="9"/>
      <c r="AK1207" s="10"/>
      <c r="AL1207" s="10"/>
      <c r="AM1207" s="10"/>
      <c r="AN1207" s="9" t="s">
        <v>2574</v>
      </c>
      <c r="AO1207" s="9"/>
      <c r="AP1207" s="11" t="str">
        <f>IF($H1207="Cancelled","",IFERROR(IF(OR(AK1207="",AB1207=""),"",(AB1207+Variables!$B$18-AK1207)),""))</f>
        <v/>
      </c>
      <c r="AQ1207" s="11" t="str">
        <f>IF($H1207="Cancelled","",IFERROR(IF(OR(AM1207="",AK1207=""),"",(AK1207+Variables!$B$19)-AM1207),""))</f>
        <v/>
      </c>
      <c r="AR1207" s="12" t="str">
        <f>IF($H1207="Cancelled","",IFERROR(T1207*INDEX(Variables!$B$7:$D$7,IFERROR(MATCH(IF($B1207="Robusta","Robusta",(IF($B1207="","Arabica",$B1207))&amp;" - "&amp;(IF($C1207="","Commercial",$C1207))),Variables!$B$1:$D$1,0),1))*(AQ1207/365),""))</f>
        <v/>
      </c>
      <c r="AS1207" s="12">
        <f>IF($H1207="Cancelled","",IFERROR((T1207*INDEX(Variables!$B$7:$D$7,IFERROR(MATCH(IF($B1207="Robusta","Robusta",(IF($B1207="","Arabica",$B1207))&amp;" - "&amp;(IF($C1207="","Commercial",$C1207))),Variables!$B$1:$D$1,0),1))*IFERROR(IF(W1207="","",(AVERAGE(E1207:F1207)-W1207)-Variables!$B$14),"")/365)+(L1207/16.67*INDEX(Variables!$B$8:$D$8,IFERROR(MATCH(IF($B1207="Robusta","Robusta",(IF($B1207="","Arabica",$B1207))&amp;" - "&amp;(IF($C1207="","Commercial",$C1207))),Variables!$B$1:$D$1,0),1))*IFERROR(IF(W1207="","",(AVERAGE(E1207:F1207)-W1207)-Variables!$B$14),""))+(T1207*INDEX(Variables!$B$9:$D$9,IFERROR(MATCH(IF($B1207="Robusta","Robusta",(IF($B1207="","Arabica",$B1207))&amp;" - "&amp;(IF($C1207="","Commercial",$C1207))),Variables!$B$1:$D$1,0),1))*IFERROR(IF(W1207="","",(AVERAGE(E1207:F1207)-W1207)-Variables!$B$14),"")/365),""))</f>
        <v>2.16704651409768</v>
      </c>
      <c r="AT1207" s="12">
        <f>IF($H1207="Cancelled","",IFERROR((T1207*INDEX(Variables!$B$7:$D$7,IFERROR(MATCH(IF($B1207="Robusta","Robusta",(IF($B1207="","Arabica",$B1207))&amp;" - "&amp;(IF($C1207="","Commercial",$C1207))),Variables!$B$1:$D$1,0),1))*AC1207/365)+(L1207/16.67*INDEX(Variables!$B$8:$D$8,IFERROR(MATCH(IF($B1207="Robusta","Robusta",(IF($B1207="","Arabica",$B1207))&amp;" - "&amp;(IF($C1207="","Commercial",$C1207))),Variables!$B$1:$D$1,0),1))*AC1207)+(T1207*INDEX(Variables!$B$9:$D$9,IFERROR(MATCH(IF($B1207="Robusta","Robusta",(IF($B1207="","Arabica",$B1207))&amp;" - "&amp;(IF($C1207="","Commercial",$C1207))),Variables!$B$1:$D$1,0),1))*AC1207/365),""))</f>
        <v>47.675023310148958</v>
      </c>
      <c r="AU1207" s="12" t="str">
        <f>IF($H1207="Cancelled","",IFERROR((T1207*INDEX(Variables!$B$7:$D$7,IFERROR(MATCH(IF($B1207="Robusta","Robusta",(IF($B1207="","Arabica",$B1207))&amp;" - "&amp;(IF($C1207="","Commercial",$C1207))),Variables!$B$1:$D$1,0),1))*AP1207/365)+(L1207/16.67*INDEX(Variables!$B$8:$D$8,IFERROR(MATCH(IF($B1207="Robusta","Robusta",(IF($B1207="","Arabica",$B1207))&amp;" - "&amp;(IF($C1207="","Commercial",$C1207))),Variables!$B$1:$D$1,0),1))*AP1207)+(T1207*INDEX(Variables!$B$9:$D$9,IFERROR(MATCH(IF($B1207="Robusta","Robusta",(IF($B1207="","Arabica",$B1207))&amp;" - "&amp;(IF($C1207="","Commercial",$C1207))),Variables!$B$1:$D$1,0),1))*AP1207/365),""))</f>
        <v/>
      </c>
      <c r="AV1207" s="11" t="str">
        <f t="shared" si="114"/>
        <v/>
      </c>
      <c r="AW1207" s="12" t="str">
        <f>IF($H1207="Cancelled","",IFERROR(IF(AV1207="","",(T1207*INDEX(Variables!$B$7:$D$7,IFERROR(MATCH(IF($B1207="Robusta","Robusta",(IF($B1207="","Arabica",$B1207))&amp;" - "&amp;(IF($C1207="","Commercial",$C1207))),Variables!$B$1:$D$1,0),1))*(AV1207/365))+(T1207*INDEX(Variables!$B$9:$D$9,IFERROR(MATCH(IF($B1207="Robusta","Robusta",(IF($B1207="","Arabica",$B1207))&amp;" - "&amp;(IF($C1207="","Commercial",$C1207))),Variables!$B$1:$D$1,0),1))*(AV1207/365))+(INDEX(Variables!$B$8:$D$8,IFERROR(MATCH(IF($B1207="Robusta","Robusta",(IF($B1207="","Arabica",$B1207))&amp;" - "&amp;(IF($C1207="","Commercial",$C1207))),Variables!$B$1:$D$1,0),1))*L1207/16.67)),""))</f>
        <v/>
      </c>
      <c r="AX1207" s="9"/>
      <c r="AY1207" s="12"/>
      <c r="AZ1207" s="10"/>
      <c r="BA1207" s="9"/>
      <c r="BB1207" s="10"/>
      <c r="BC1207" s="9"/>
      <c r="BD1207" s="9"/>
      <c r="BE1207" s="9"/>
      <c r="BF1207" s="9"/>
    </row>
    <row r="1208" spans="1:58" x14ac:dyDescent="0.25">
      <c r="A1208" s="9" t="s">
        <v>84</v>
      </c>
      <c r="B1208" s="9" t="s">
        <v>85</v>
      </c>
      <c r="C1208" s="9" t="s">
        <v>1486</v>
      </c>
      <c r="D1208" s="10">
        <v>46070</v>
      </c>
      <c r="E1208" s="10">
        <v>46054</v>
      </c>
      <c r="F1208" s="10">
        <v>46081</v>
      </c>
      <c r="G1208" s="9">
        <v>3787300</v>
      </c>
      <c r="H1208" s="9" t="str">
        <f t="shared" si="111"/>
        <v>Open</v>
      </c>
      <c r="I1208" s="9" t="str">
        <f t="shared" si="112"/>
        <v>No sailing date and No shipping advice sent and No docs dispatch date</v>
      </c>
      <c r="J1208" s="9" t="s">
        <v>1487</v>
      </c>
      <c r="K1208" s="9" t="s">
        <v>2575</v>
      </c>
      <c r="L1208" s="11">
        <v>20</v>
      </c>
      <c r="M1208" s="9" t="s">
        <v>2576</v>
      </c>
      <c r="N1208" s="9"/>
      <c r="O1208" s="9"/>
      <c r="P1208" s="9"/>
      <c r="Q1208" s="11">
        <v>184</v>
      </c>
      <c r="R1208" s="9" t="s">
        <v>195</v>
      </c>
      <c r="S1208" s="9" t="s">
        <v>183</v>
      </c>
      <c r="T1208" s="12">
        <f>IF($H1208="Cancelled","",IFERROR(((Q1208+INDEX(Variables!$B$6:$D$6,IFERROR(MATCH(IF($B1208="Robusta","Robusta",(IF($B1208="","Arabica",$B1208))&amp;" - "&amp;(IF($C1208="","Commercial",$C1208))),Variables!$B$1:$D$1,0),1)))*22.0462)*(L1208/16.67),""))</f>
        <v>12558.531205758845</v>
      </c>
      <c r="U1208" s="10"/>
      <c r="V1208" s="9" t="str">
        <f t="shared" si="116"/>
        <v/>
      </c>
      <c r="W1208" s="10">
        <v>46037</v>
      </c>
      <c r="X1208" s="9" t="str">
        <f t="shared" si="115"/>
        <v>Approved</v>
      </c>
      <c r="Y1208" s="10">
        <v>46076</v>
      </c>
      <c r="Z1208" s="10">
        <f>IF($H1208="Cancelled","",IFERROR(IF(F1208="","",F1208-Variables!$B$13),""))</f>
        <v>46066</v>
      </c>
      <c r="AA1208" s="11">
        <f>IF($H1208="Cancelled","",IFERROR(IF(W1208="","",(AVERAGE(E1208:F1208)-W1208)-Variables!$B$14),""))</f>
        <v>0.5</v>
      </c>
      <c r="AB1208" s="10">
        <v>46080</v>
      </c>
      <c r="AC1208" s="11">
        <f>IF($H1208="Cancelled","",IFERROR(IF(AB1208="","",IF(AND(W1208="",Y1208=""),"",IF(Y1208&gt;W1208,Y1208+Variables!$B$15+Variables!$B$16+Variables!$B$17-AB1208,W1208+Variables!$B$16+Variables!$B$17-AB1208))),""))</f>
        <v>11</v>
      </c>
      <c r="AD1208" s="9" t="s">
        <v>165</v>
      </c>
      <c r="AE1208" s="9" t="s">
        <v>818</v>
      </c>
      <c r="AF1208" s="10"/>
      <c r="AG1208" s="10"/>
      <c r="AH1208" s="9"/>
      <c r="AI1208" s="9"/>
      <c r="AJ1208" s="9"/>
      <c r="AK1208" s="10"/>
      <c r="AL1208" s="10"/>
      <c r="AM1208" s="10"/>
      <c r="AN1208" s="9" t="s">
        <v>2574</v>
      </c>
      <c r="AO1208" s="9"/>
      <c r="AP1208" s="11" t="str">
        <f>IF($H1208="Cancelled","",IFERROR(IF(OR(AK1208="",AB1208=""),"",(AB1208+Variables!$B$18-AK1208)),""))</f>
        <v/>
      </c>
      <c r="AQ1208" s="11" t="str">
        <f>IF($H1208="Cancelled","",IFERROR(IF(OR(AM1208="",AK1208=""),"",(AK1208+Variables!$B$19)-AM1208),""))</f>
        <v/>
      </c>
      <c r="AR1208" s="12" t="str">
        <f>IF($H1208="Cancelled","",IFERROR(T1208*INDEX(Variables!$B$7:$D$7,IFERROR(MATCH(IF($B1208="Robusta","Robusta",(IF($B1208="","Arabica",$B1208))&amp;" - "&amp;(IF($C1208="","Commercial",$C1208))),Variables!$B$1:$D$1,0),1))*(AQ1208/365),""))</f>
        <v/>
      </c>
      <c r="AS1208" s="12">
        <f>IF($H1208="Cancelled","",IFERROR((T1208*INDEX(Variables!$B$7:$D$7,IFERROR(MATCH(IF($B1208="Robusta","Robusta",(IF($B1208="","Arabica",$B1208))&amp;" - "&amp;(IF($C1208="","Commercial",$C1208))),Variables!$B$1:$D$1,0),1))*IFERROR(IF(W1208="","",(AVERAGE(E1208:F1208)-W1208)-Variables!$B$14),"")/365)+(L1208/16.67*INDEX(Variables!$B$8:$D$8,IFERROR(MATCH(IF($B1208="Robusta","Robusta",(IF($B1208="","Arabica",$B1208))&amp;" - "&amp;(IF($C1208="","Commercial",$C1208))),Variables!$B$1:$D$1,0),1))*IFERROR(IF(W1208="","",(AVERAGE(E1208:F1208)-W1208)-Variables!$B$14),""))+(T1208*INDEX(Variables!$B$9:$D$9,IFERROR(MATCH(IF($B1208="Robusta","Robusta",(IF($B1208="","Arabica",$B1208))&amp;" - "&amp;(IF($C1208="","Commercial",$C1208))),Variables!$B$1:$D$1,0),1))*IFERROR(IF(W1208="","",(AVERAGE(E1208:F1208)-W1208)-Variables!$B$14),"")/365),""))</f>
        <v>1.6236186683662059</v>
      </c>
      <c r="AT1208" s="12">
        <f>IF($H1208="Cancelled","",IFERROR((T1208*INDEX(Variables!$B$7:$D$7,IFERROR(MATCH(IF($B1208="Robusta","Robusta",(IF($B1208="","Arabica",$B1208))&amp;" - "&amp;(IF($C1208="","Commercial",$C1208))),Variables!$B$1:$D$1,0),1))*AC1208/365)+(L1208/16.67*INDEX(Variables!$B$8:$D$8,IFERROR(MATCH(IF($B1208="Robusta","Robusta",(IF($B1208="","Arabica",$B1208))&amp;" - "&amp;(IF($C1208="","Commercial",$C1208))),Variables!$B$1:$D$1,0),1))*AC1208)+(T1208*INDEX(Variables!$B$9:$D$9,IFERROR(MATCH(IF($B1208="Robusta","Robusta",(IF($B1208="","Arabica",$B1208))&amp;" - "&amp;(IF($C1208="","Commercial",$C1208))),Variables!$B$1:$D$1,0),1))*AC1208/365),""))</f>
        <v>35.719610704056535</v>
      </c>
      <c r="AU1208" s="12" t="str">
        <f>IF($H1208="Cancelled","",IFERROR((T1208*INDEX(Variables!$B$7:$D$7,IFERROR(MATCH(IF($B1208="Robusta","Robusta",(IF($B1208="","Arabica",$B1208))&amp;" - "&amp;(IF($C1208="","Commercial",$C1208))),Variables!$B$1:$D$1,0),1))*AP1208/365)+(L1208/16.67*INDEX(Variables!$B$8:$D$8,IFERROR(MATCH(IF($B1208="Robusta","Robusta",(IF($B1208="","Arabica",$B1208))&amp;" - "&amp;(IF($C1208="","Commercial",$C1208))),Variables!$B$1:$D$1,0),1))*AP1208)+(T1208*INDEX(Variables!$B$9:$D$9,IFERROR(MATCH(IF($B1208="Robusta","Robusta",(IF($B1208="","Arabica",$B1208))&amp;" - "&amp;(IF($C1208="","Commercial",$C1208))),Variables!$B$1:$D$1,0),1))*AP1208/365),""))</f>
        <v/>
      </c>
      <c r="AV1208" s="11" t="str">
        <f t="shared" si="114"/>
        <v/>
      </c>
      <c r="AW1208" s="12" t="str">
        <f>IF($H1208="Cancelled","",IFERROR(IF(AV1208="","",(T1208*INDEX(Variables!$B$7:$D$7,IFERROR(MATCH(IF($B1208="Robusta","Robusta",(IF($B1208="","Arabica",$B1208))&amp;" - "&amp;(IF($C1208="","Commercial",$C1208))),Variables!$B$1:$D$1,0),1))*(AV1208/365))+(T1208*INDEX(Variables!$B$9:$D$9,IFERROR(MATCH(IF($B1208="Robusta","Robusta",(IF($B1208="","Arabica",$B1208))&amp;" - "&amp;(IF($C1208="","Commercial",$C1208))),Variables!$B$1:$D$1,0),1))*(AV1208/365))+(INDEX(Variables!$B$8:$D$8,IFERROR(MATCH(IF($B1208="Robusta","Robusta",(IF($B1208="","Arabica",$B1208))&amp;" - "&amp;(IF($C1208="","Commercial",$C1208))),Variables!$B$1:$D$1,0),1))*L1208/16.67)),""))</f>
        <v/>
      </c>
      <c r="AX1208" s="9"/>
      <c r="AY1208" s="12"/>
      <c r="AZ1208" s="10"/>
      <c r="BA1208" s="9"/>
      <c r="BB1208" s="10"/>
      <c r="BC1208" s="9"/>
      <c r="BD1208" s="9"/>
      <c r="BE1208" s="9"/>
      <c r="BF1208" s="9"/>
    </row>
    <row r="1209" spans="1:58" x14ac:dyDescent="0.25">
      <c r="A1209" s="9" t="s">
        <v>84</v>
      </c>
      <c r="B1209" s="9" t="s">
        <v>85</v>
      </c>
      <c r="C1209" s="9" t="s">
        <v>1486</v>
      </c>
      <c r="D1209" s="10">
        <v>46077</v>
      </c>
      <c r="E1209" s="10">
        <v>46054</v>
      </c>
      <c r="F1209" s="10">
        <v>46081</v>
      </c>
      <c r="G1209" s="9">
        <v>3787344</v>
      </c>
      <c r="H1209" s="9" t="str">
        <f t="shared" si="111"/>
        <v>Open</v>
      </c>
      <c r="I1209" s="9" t="str">
        <f t="shared" si="112"/>
        <v>No sailing date and No shipping advice sent and No docs dispatch date</v>
      </c>
      <c r="J1209" s="9" t="s">
        <v>1487</v>
      </c>
      <c r="K1209" s="9" t="s">
        <v>2577</v>
      </c>
      <c r="L1209" s="11">
        <v>20</v>
      </c>
      <c r="M1209" s="9" t="s">
        <v>2578</v>
      </c>
      <c r="N1209" s="9"/>
      <c r="O1209" s="9"/>
      <c r="P1209" s="9"/>
      <c r="Q1209" s="11">
        <v>226.75</v>
      </c>
      <c r="R1209" s="9" t="s">
        <v>195</v>
      </c>
      <c r="S1209" s="9" t="s">
        <v>183</v>
      </c>
      <c r="T1209" s="12">
        <f>IF($H1209="Cancelled","",IFERROR(((Q1209+INDEX(Variables!$B$6:$D$6,IFERROR(MATCH(IF($B1209="Robusta","Robusta",(IF($B1209="","Arabica",$B1209))&amp;" - "&amp;(IF($C1209="","Commercial",$C1209))),Variables!$B$1:$D$1,0),1)))*22.0462)*(L1209/16.67),""))</f>
        <v>13689.275116976602</v>
      </c>
      <c r="U1209" s="10"/>
      <c r="V1209" s="9" t="str">
        <f t="shared" si="116"/>
        <v/>
      </c>
      <c r="W1209" s="10">
        <v>46037</v>
      </c>
      <c r="X1209" s="9" t="str">
        <f t="shared" si="115"/>
        <v>Approved</v>
      </c>
      <c r="Y1209" s="10">
        <v>46076</v>
      </c>
      <c r="Z1209" s="10">
        <f>IF($H1209="Cancelled","",IFERROR(IF(F1209="","",F1209-Variables!$B$13),""))</f>
        <v>46066</v>
      </c>
      <c r="AA1209" s="11">
        <f>IF($H1209="Cancelled","",IFERROR(IF(W1209="","",(AVERAGE(E1209:F1209)-W1209)-Variables!$B$14),""))</f>
        <v>0.5</v>
      </c>
      <c r="AB1209" s="10">
        <v>46080</v>
      </c>
      <c r="AC1209" s="11">
        <f>IF($H1209="Cancelled","",IFERROR(IF(AB1209="","",IF(AND(W1209="",Y1209=""),"",IF(Y1209&gt;W1209,Y1209+Variables!$B$15+Variables!$B$16+Variables!$B$17-AB1209,W1209+Variables!$B$16+Variables!$B$17-AB1209))),""))</f>
        <v>11</v>
      </c>
      <c r="AD1209" s="9" t="s">
        <v>165</v>
      </c>
      <c r="AE1209" s="9" t="s">
        <v>818</v>
      </c>
      <c r="AF1209" s="10"/>
      <c r="AG1209" s="10"/>
      <c r="AH1209" s="9"/>
      <c r="AI1209" s="9"/>
      <c r="AJ1209" s="9"/>
      <c r="AK1209" s="10"/>
      <c r="AL1209" s="10"/>
      <c r="AM1209" s="10"/>
      <c r="AN1209" s="9" t="s">
        <v>2574</v>
      </c>
      <c r="AO1209" s="9"/>
      <c r="AP1209" s="11" t="str">
        <f>IF($H1209="Cancelled","",IFERROR(IF(OR(AK1209="",AB1209=""),"",(AB1209+Variables!$B$18-AK1209)),""))</f>
        <v/>
      </c>
      <c r="AQ1209" s="11" t="str">
        <f>IF($H1209="Cancelled","",IFERROR(IF(OR(AM1209="",AK1209=""),"",(AK1209+Variables!$B$19)-AM1209),""))</f>
        <v/>
      </c>
      <c r="AR1209" s="12" t="str">
        <f>IF($H1209="Cancelled","",IFERROR(T1209*INDEX(Variables!$B$7:$D$7,IFERROR(MATCH(IF($B1209="Robusta","Robusta",(IF($B1209="","Arabica",$B1209))&amp;" - "&amp;(IF($C1209="","Commercial",$C1209))),Variables!$B$1:$D$1,0),1))*(AQ1209/365),""))</f>
        <v/>
      </c>
      <c r="AS1209" s="12">
        <f>IF($H1209="Cancelled","",IFERROR((T1209*INDEX(Variables!$B$7:$D$7,IFERROR(MATCH(IF($B1209="Robusta","Robusta",(IF($B1209="","Arabica",$B1209))&amp;" - "&amp;(IF($C1209="","Commercial",$C1209))),Variables!$B$1:$D$1,0),1))*IFERROR(IF(W1209="","",(AVERAGE(E1209:F1209)-W1209)-Variables!$B$14),"")/365)+(L1209/16.67*INDEX(Variables!$B$8:$D$8,IFERROR(MATCH(IF($B1209="Robusta","Robusta",(IF($B1209="","Arabica",$B1209))&amp;" - "&amp;(IF($C1209="","Commercial",$C1209))),Variables!$B$1:$D$1,0),1))*IFERROR(IF(W1209="","",(AVERAGE(E1209:F1209)-W1209)-Variables!$B$14),""))+(T1209*INDEX(Variables!$B$9:$D$9,IFERROR(MATCH(IF($B1209="Robusta","Robusta",(IF($B1209="","Arabica",$B1209))&amp;" - "&amp;(IF($C1209="","Commercial",$C1209))),Variables!$B$1:$D$1,0),1))*IFERROR(IF(W1209="","",(AVERAGE(E1209:F1209)-W1209)-Variables!$B$14),"")/365),""))</f>
        <v>1.7247869456885634</v>
      </c>
      <c r="AT1209" s="12">
        <f>IF($H1209="Cancelled","",IFERROR((T1209*INDEX(Variables!$B$7:$D$7,IFERROR(MATCH(IF($B1209="Robusta","Robusta",(IF($B1209="","Arabica",$B1209))&amp;" - "&amp;(IF($C1209="","Commercial",$C1209))),Variables!$B$1:$D$1,0),1))*AC1209/365)+(L1209/16.67*INDEX(Variables!$B$8:$D$8,IFERROR(MATCH(IF($B1209="Robusta","Robusta",(IF($B1209="","Arabica",$B1209))&amp;" - "&amp;(IF($C1209="","Commercial",$C1209))),Variables!$B$1:$D$1,0),1))*AC1209)+(T1209*INDEX(Variables!$B$9:$D$9,IFERROR(MATCH(IF($B1209="Robusta","Robusta",(IF($B1209="","Arabica",$B1209))&amp;" - "&amp;(IF($C1209="","Commercial",$C1209))),Variables!$B$1:$D$1,0),1))*AC1209/365),""))</f>
        <v>37.94531280514839</v>
      </c>
      <c r="AU1209" s="12" t="str">
        <f>IF($H1209="Cancelled","",IFERROR((T1209*INDEX(Variables!$B$7:$D$7,IFERROR(MATCH(IF($B1209="Robusta","Robusta",(IF($B1209="","Arabica",$B1209))&amp;" - "&amp;(IF($C1209="","Commercial",$C1209))),Variables!$B$1:$D$1,0),1))*AP1209/365)+(L1209/16.67*INDEX(Variables!$B$8:$D$8,IFERROR(MATCH(IF($B1209="Robusta","Robusta",(IF($B1209="","Arabica",$B1209))&amp;" - "&amp;(IF($C1209="","Commercial",$C1209))),Variables!$B$1:$D$1,0),1))*AP1209)+(T1209*INDEX(Variables!$B$9:$D$9,IFERROR(MATCH(IF($B1209="Robusta","Robusta",(IF($B1209="","Arabica",$B1209))&amp;" - "&amp;(IF($C1209="","Commercial",$C1209))),Variables!$B$1:$D$1,0),1))*AP1209/365),""))</f>
        <v/>
      </c>
      <c r="AV1209" s="11" t="str">
        <f t="shared" si="114"/>
        <v/>
      </c>
      <c r="AW1209" s="12" t="str">
        <f>IF($H1209="Cancelled","",IFERROR(IF(AV1209="","",(T1209*INDEX(Variables!$B$7:$D$7,IFERROR(MATCH(IF($B1209="Robusta","Robusta",(IF($B1209="","Arabica",$B1209))&amp;" - "&amp;(IF($C1209="","Commercial",$C1209))),Variables!$B$1:$D$1,0),1))*(AV1209/365))+(T1209*INDEX(Variables!$B$9:$D$9,IFERROR(MATCH(IF($B1209="Robusta","Robusta",(IF($B1209="","Arabica",$B1209))&amp;" - "&amp;(IF($C1209="","Commercial",$C1209))),Variables!$B$1:$D$1,0),1))*(AV1209/365))+(INDEX(Variables!$B$8:$D$8,IFERROR(MATCH(IF($B1209="Robusta","Robusta",(IF($B1209="","Arabica",$B1209))&amp;" - "&amp;(IF($C1209="","Commercial",$C1209))),Variables!$B$1:$D$1,0),1))*L1209/16.67)),""))</f>
        <v/>
      </c>
      <c r="AX1209" s="9"/>
      <c r="AY1209" s="12"/>
      <c r="AZ1209" s="10"/>
      <c r="BA1209" s="9"/>
      <c r="BB1209" s="10"/>
      <c r="BC1209" s="9"/>
      <c r="BD1209" s="9"/>
      <c r="BE1209" s="9"/>
      <c r="BF1209" s="9"/>
    </row>
    <row r="1210" spans="1:58" x14ac:dyDescent="0.25">
      <c r="A1210" s="9" t="s">
        <v>84</v>
      </c>
      <c r="B1210" s="9" t="s">
        <v>85</v>
      </c>
      <c r="C1210" s="9" t="s">
        <v>1486</v>
      </c>
      <c r="D1210" s="10">
        <v>46045</v>
      </c>
      <c r="E1210" s="10">
        <v>46054</v>
      </c>
      <c r="F1210" s="10">
        <v>46081</v>
      </c>
      <c r="G1210" s="9">
        <v>3787125</v>
      </c>
      <c r="H1210" s="9" t="str">
        <f t="shared" si="111"/>
        <v>Open</v>
      </c>
      <c r="I1210" s="9" t="str">
        <f t="shared" si="112"/>
        <v>No sailing date and No shipping advice sent and No docs dispatch date</v>
      </c>
      <c r="J1210" s="9" t="s">
        <v>303</v>
      </c>
      <c r="K1210" s="9" t="s">
        <v>2579</v>
      </c>
      <c r="L1210" s="11">
        <v>6</v>
      </c>
      <c r="M1210" s="9" t="s">
        <v>2580</v>
      </c>
      <c r="N1210" s="9"/>
      <c r="O1210" s="9"/>
      <c r="P1210" s="9"/>
      <c r="Q1210" s="11">
        <v>157</v>
      </c>
      <c r="R1210" s="9" t="s">
        <v>195</v>
      </c>
      <c r="S1210" s="9" t="s">
        <v>91</v>
      </c>
      <c r="T1210" s="12">
        <f>IF($H1210="Cancelled","",IFERROR(((Q1210+INDEX(Variables!$B$6:$D$6,IFERROR(MATCH(IF($B1210="Robusta","Robusta",(IF($B1210="","Arabica",$B1210))&amp;" - "&amp;(IF($C1210="","Commercial",$C1210))),Variables!$B$1:$D$1,0),1)))*22.0462)*(L1210/16.67),""))</f>
        <v>3553.3131469706054</v>
      </c>
      <c r="U1210" s="10"/>
      <c r="V1210" s="9" t="s">
        <v>195</v>
      </c>
      <c r="W1210" s="10"/>
      <c r="X1210" s="9" t="s">
        <v>195</v>
      </c>
      <c r="Y1210" s="10"/>
      <c r="Z1210" s="10">
        <f>IF($H1210="Cancelled","",IFERROR(IF(F1210="","",F1210-Variables!$B$13),""))</f>
        <v>46066</v>
      </c>
      <c r="AA1210" s="11" t="str">
        <f>IF($H1210="Cancelled","",IFERROR(IF(W1210="","",(AVERAGE(E1210:F1210)-W1210)-Variables!$B$14),""))</f>
        <v/>
      </c>
      <c r="AB1210" s="10"/>
      <c r="AC1210" s="11" t="str">
        <f>IF($H1210="Cancelled","",IFERROR(IF(AB1210="","",IF(AND(W1210="",Y1210=""),"",IF(Y1210&gt;W1210,Y1210+Variables!$B$15+Variables!$B$16+Variables!$B$17-AB1210,W1210+Variables!$B$16+Variables!$B$17-AB1210))),""))</f>
        <v/>
      </c>
      <c r="AD1210" s="9" t="s">
        <v>163</v>
      </c>
      <c r="AE1210" s="9"/>
      <c r="AF1210" s="10"/>
      <c r="AG1210" s="10"/>
      <c r="AH1210" s="9"/>
      <c r="AI1210" s="9"/>
      <c r="AJ1210" s="9"/>
      <c r="AK1210" s="10"/>
      <c r="AL1210" s="10"/>
      <c r="AM1210" s="10"/>
      <c r="AN1210" s="9" t="s">
        <v>1445</v>
      </c>
      <c r="AO1210" s="9"/>
      <c r="AP1210" s="11" t="str">
        <f>IF($H1210="Cancelled","",IFERROR(IF(OR(AK1210="",AB1210=""),"",(AB1210+Variables!$B$18-AK1210)),""))</f>
        <v/>
      </c>
      <c r="AQ1210" s="11" t="str">
        <f>IF($H1210="Cancelled","",IFERROR(IF(OR(AM1210="",AK1210=""),"",(AK1210+Variables!$B$19)-AM1210),""))</f>
        <v/>
      </c>
      <c r="AR1210" s="12" t="str">
        <f>IF($H1210="Cancelled","",IFERROR(T1210*INDEX(Variables!$B$7:$D$7,IFERROR(MATCH(IF($B1210="Robusta","Robusta",(IF($B1210="","Arabica",$B1210))&amp;" - "&amp;(IF($C1210="","Commercial",$C1210))),Variables!$B$1:$D$1,0),1))*(AQ1210/365),""))</f>
        <v/>
      </c>
      <c r="AS1210" s="12" t="str">
        <f>IF($H1210="Cancelled","",IFERROR((T1210*INDEX(Variables!$B$7:$D$7,IFERROR(MATCH(IF($B1210="Robusta","Robusta",(IF($B1210="","Arabica",$B1210))&amp;" - "&amp;(IF($C1210="","Commercial",$C1210))),Variables!$B$1:$D$1,0),1))*IFERROR(IF(W1210="","",(AVERAGE(E1210:F1210)-W1210)-Variables!$B$14),"")/365)+(L1210/16.67*INDEX(Variables!$B$8:$D$8,IFERROR(MATCH(IF($B1210="Robusta","Robusta",(IF($B1210="","Arabica",$B1210))&amp;" - "&amp;(IF($C1210="","Commercial",$C1210))),Variables!$B$1:$D$1,0),1))*IFERROR(IF(W1210="","",(AVERAGE(E1210:F1210)-W1210)-Variables!$B$14),""))+(T1210*INDEX(Variables!$B$9:$D$9,IFERROR(MATCH(IF($B1210="Robusta","Robusta",(IF($B1210="","Arabica",$B1210))&amp;" - "&amp;(IF($C1210="","Commercial",$C1210))),Variables!$B$1:$D$1,0),1))*IFERROR(IF(W1210="","",(AVERAGE(E1210:F1210)-W1210)-Variables!$B$14),"")/365),""))</f>
        <v/>
      </c>
      <c r="AT1210" s="12" t="str">
        <f>IF($H1210="Cancelled","",IFERROR((T1210*INDEX(Variables!$B$7:$D$7,IFERROR(MATCH(IF($B1210="Robusta","Robusta",(IF($B1210="","Arabica",$B1210))&amp;" - "&amp;(IF($C1210="","Commercial",$C1210))),Variables!$B$1:$D$1,0),1))*AC1210/365)+(L1210/16.67*INDEX(Variables!$B$8:$D$8,IFERROR(MATCH(IF($B1210="Robusta","Robusta",(IF($B1210="","Arabica",$B1210))&amp;" - "&amp;(IF($C1210="","Commercial",$C1210))),Variables!$B$1:$D$1,0),1))*AC1210)+(T1210*INDEX(Variables!$B$9:$D$9,IFERROR(MATCH(IF($B1210="Robusta","Robusta",(IF($B1210="","Arabica",$B1210))&amp;" - "&amp;(IF($C1210="","Commercial",$C1210))),Variables!$B$1:$D$1,0),1))*AC1210/365),""))</f>
        <v/>
      </c>
      <c r="AU1210" s="12" t="str">
        <f>IF($H1210="Cancelled","",IFERROR((T1210*INDEX(Variables!$B$7:$D$7,IFERROR(MATCH(IF($B1210="Robusta","Robusta",(IF($B1210="","Arabica",$B1210))&amp;" - "&amp;(IF($C1210="","Commercial",$C1210))),Variables!$B$1:$D$1,0),1))*AP1210/365)+(L1210/16.67*INDEX(Variables!$B$8:$D$8,IFERROR(MATCH(IF($B1210="Robusta","Robusta",(IF($B1210="","Arabica",$B1210))&amp;" - "&amp;(IF($C1210="","Commercial",$C1210))),Variables!$B$1:$D$1,0),1))*AP1210)+(T1210*INDEX(Variables!$B$9:$D$9,IFERROR(MATCH(IF($B1210="Robusta","Robusta",(IF($B1210="","Arabica",$B1210))&amp;" - "&amp;(IF($C1210="","Commercial",$C1210))),Variables!$B$1:$D$1,0),1))*AP1210/365),""))</f>
        <v/>
      </c>
      <c r="AV1210" s="11" t="str">
        <f t="shared" si="114"/>
        <v/>
      </c>
      <c r="AW1210" s="12" t="str">
        <f>IF($H1210="Cancelled","",IFERROR(IF(AV1210="","",(T1210*INDEX(Variables!$B$7:$D$7,IFERROR(MATCH(IF($B1210="Robusta","Robusta",(IF($B1210="","Arabica",$B1210))&amp;" - "&amp;(IF($C1210="","Commercial",$C1210))),Variables!$B$1:$D$1,0),1))*(AV1210/365))+(T1210*INDEX(Variables!$B$9:$D$9,IFERROR(MATCH(IF($B1210="Robusta","Robusta",(IF($B1210="","Arabica",$B1210))&amp;" - "&amp;(IF($C1210="","Commercial",$C1210))),Variables!$B$1:$D$1,0),1))*(AV1210/365))+(INDEX(Variables!$B$8:$D$8,IFERROR(MATCH(IF($B1210="Robusta","Robusta",(IF($B1210="","Arabica",$B1210))&amp;" - "&amp;(IF($C1210="","Commercial",$C1210))),Variables!$B$1:$D$1,0),1))*L1210/16.67)),""))</f>
        <v/>
      </c>
      <c r="AX1210" s="9"/>
      <c r="AY1210" s="12"/>
      <c r="AZ1210" s="10"/>
      <c r="BA1210" s="9"/>
      <c r="BB1210" s="10"/>
      <c r="BC1210" s="9"/>
      <c r="BD1210" s="9"/>
      <c r="BE1210" s="9"/>
      <c r="BF1210" s="9"/>
    </row>
    <row r="1211" spans="1:58" x14ac:dyDescent="0.25">
      <c r="A1211" s="9" t="s">
        <v>84</v>
      </c>
      <c r="B1211" s="9" t="s">
        <v>85</v>
      </c>
      <c r="C1211" s="9" t="s">
        <v>1486</v>
      </c>
      <c r="D1211" s="10">
        <v>46045</v>
      </c>
      <c r="E1211" s="10">
        <v>46054</v>
      </c>
      <c r="F1211" s="10">
        <v>46081</v>
      </c>
      <c r="G1211" s="9">
        <v>3787127</v>
      </c>
      <c r="H1211" s="9" t="str">
        <f t="shared" si="111"/>
        <v>Open</v>
      </c>
      <c r="I1211" s="9" t="str">
        <f t="shared" si="112"/>
        <v>No sailing date and No shipping advice sent and No docs dispatch date</v>
      </c>
      <c r="J1211" s="9" t="s">
        <v>303</v>
      </c>
      <c r="K1211" s="9" t="s">
        <v>2581</v>
      </c>
      <c r="L1211" s="11">
        <v>12</v>
      </c>
      <c r="M1211" s="9" t="s">
        <v>2582</v>
      </c>
      <c r="N1211" s="9"/>
      <c r="O1211" s="9"/>
      <c r="P1211" s="9"/>
      <c r="Q1211" s="11">
        <v>181</v>
      </c>
      <c r="R1211" s="9" t="s">
        <v>195</v>
      </c>
      <c r="S1211" s="9" t="s">
        <v>91</v>
      </c>
      <c r="T1211" s="12">
        <f>IF($H1211="Cancelled","",IFERROR(((Q1211+INDEX(Variables!$B$6:$D$6,IFERROR(MATCH(IF($B1211="Robusta","Robusta",(IF($B1211="","Arabica",$B1211))&amp;" - "&amp;(IF($C1211="","Commercial",$C1211))),Variables!$B$1:$D$1,0),1)))*22.0462)*(L1211/16.67),""))</f>
        <v>7487.5084535092974</v>
      </c>
      <c r="U1211" s="10"/>
      <c r="V1211" s="9" t="s">
        <v>195</v>
      </c>
      <c r="W1211" s="10"/>
      <c r="X1211" s="9" t="s">
        <v>195</v>
      </c>
      <c r="Y1211" s="10"/>
      <c r="Z1211" s="10">
        <f>IF($H1211="Cancelled","",IFERROR(IF(F1211="","",F1211-Variables!$B$13),""))</f>
        <v>46066</v>
      </c>
      <c r="AA1211" s="11" t="str">
        <f>IF($H1211="Cancelled","",IFERROR(IF(W1211="","",(AVERAGE(E1211:F1211)-W1211)-Variables!$B$14),""))</f>
        <v/>
      </c>
      <c r="AB1211" s="10"/>
      <c r="AC1211" s="11" t="str">
        <f>IF($H1211="Cancelled","",IFERROR(IF(AB1211="","",IF(AND(W1211="",Y1211=""),"",IF(Y1211&gt;W1211,Y1211+Variables!$B$15+Variables!$B$16+Variables!$B$17-AB1211,W1211+Variables!$B$16+Variables!$B$17-AB1211))),""))</f>
        <v/>
      </c>
      <c r="AD1211" s="9" t="s">
        <v>163</v>
      </c>
      <c r="AE1211" s="9"/>
      <c r="AF1211" s="10"/>
      <c r="AG1211" s="10"/>
      <c r="AH1211" s="9"/>
      <c r="AI1211" s="9"/>
      <c r="AJ1211" s="9"/>
      <c r="AK1211" s="10"/>
      <c r="AL1211" s="10"/>
      <c r="AM1211" s="10"/>
      <c r="AN1211" s="9" t="s">
        <v>1445</v>
      </c>
      <c r="AO1211" s="9"/>
      <c r="AP1211" s="11" t="str">
        <f>IF($H1211="Cancelled","",IFERROR(IF(OR(AK1211="",AB1211=""),"",(AB1211+Variables!$B$18-AK1211)),""))</f>
        <v/>
      </c>
      <c r="AQ1211" s="11" t="str">
        <f>IF($H1211="Cancelled","",IFERROR(IF(OR(AM1211="",AK1211=""),"",(AK1211+Variables!$B$19)-AM1211),""))</f>
        <v/>
      </c>
      <c r="AR1211" s="12" t="str">
        <f>IF($H1211="Cancelled","",IFERROR(T1211*INDEX(Variables!$B$7:$D$7,IFERROR(MATCH(IF($B1211="Robusta","Robusta",(IF($B1211="","Arabica",$B1211))&amp;" - "&amp;(IF($C1211="","Commercial",$C1211))),Variables!$B$1:$D$1,0),1))*(AQ1211/365),""))</f>
        <v/>
      </c>
      <c r="AS1211" s="12" t="str">
        <f>IF($H1211="Cancelled","",IFERROR((T1211*INDEX(Variables!$B$7:$D$7,IFERROR(MATCH(IF($B1211="Robusta","Robusta",(IF($B1211="","Arabica",$B1211))&amp;" - "&amp;(IF($C1211="","Commercial",$C1211))),Variables!$B$1:$D$1,0),1))*IFERROR(IF(W1211="","",(AVERAGE(E1211:F1211)-W1211)-Variables!$B$14),"")/365)+(L1211/16.67*INDEX(Variables!$B$8:$D$8,IFERROR(MATCH(IF($B1211="Robusta","Robusta",(IF($B1211="","Arabica",$B1211))&amp;" - "&amp;(IF($C1211="","Commercial",$C1211))),Variables!$B$1:$D$1,0),1))*IFERROR(IF(W1211="","",(AVERAGE(E1211:F1211)-W1211)-Variables!$B$14),""))+(T1211*INDEX(Variables!$B$9:$D$9,IFERROR(MATCH(IF($B1211="Robusta","Robusta",(IF($B1211="","Arabica",$B1211))&amp;" - "&amp;(IF($C1211="","Commercial",$C1211))),Variables!$B$1:$D$1,0),1))*IFERROR(IF(W1211="","",(AVERAGE(E1211:F1211)-W1211)-Variables!$B$14),"")/365),""))</f>
        <v/>
      </c>
      <c r="AT1211" s="12" t="str">
        <f>IF($H1211="Cancelled","",IFERROR((T1211*INDEX(Variables!$B$7:$D$7,IFERROR(MATCH(IF($B1211="Robusta","Robusta",(IF($B1211="","Arabica",$B1211))&amp;" - "&amp;(IF($C1211="","Commercial",$C1211))),Variables!$B$1:$D$1,0),1))*AC1211/365)+(L1211/16.67*INDEX(Variables!$B$8:$D$8,IFERROR(MATCH(IF($B1211="Robusta","Robusta",(IF($B1211="","Arabica",$B1211))&amp;" - "&amp;(IF($C1211="","Commercial",$C1211))),Variables!$B$1:$D$1,0),1))*AC1211)+(T1211*INDEX(Variables!$B$9:$D$9,IFERROR(MATCH(IF($B1211="Robusta","Robusta",(IF($B1211="","Arabica",$B1211))&amp;" - "&amp;(IF($C1211="","Commercial",$C1211))),Variables!$B$1:$D$1,0),1))*AC1211/365),""))</f>
        <v/>
      </c>
      <c r="AU1211" s="12" t="str">
        <f>IF($H1211="Cancelled","",IFERROR((T1211*INDEX(Variables!$B$7:$D$7,IFERROR(MATCH(IF($B1211="Robusta","Robusta",(IF($B1211="","Arabica",$B1211))&amp;" - "&amp;(IF($C1211="","Commercial",$C1211))),Variables!$B$1:$D$1,0),1))*AP1211/365)+(L1211/16.67*INDEX(Variables!$B$8:$D$8,IFERROR(MATCH(IF($B1211="Robusta","Robusta",(IF($B1211="","Arabica",$B1211))&amp;" - "&amp;(IF($C1211="","Commercial",$C1211))),Variables!$B$1:$D$1,0),1))*AP1211)+(T1211*INDEX(Variables!$B$9:$D$9,IFERROR(MATCH(IF($B1211="Robusta","Robusta",(IF($B1211="","Arabica",$B1211))&amp;" - "&amp;(IF($C1211="","Commercial",$C1211))),Variables!$B$1:$D$1,0),1))*AP1211/365),""))</f>
        <v/>
      </c>
      <c r="AV1211" s="11" t="str">
        <f t="shared" si="114"/>
        <v/>
      </c>
      <c r="AW1211" s="12" t="str">
        <f>IF($H1211="Cancelled","",IFERROR(IF(AV1211="","",(T1211*INDEX(Variables!$B$7:$D$7,IFERROR(MATCH(IF($B1211="Robusta","Robusta",(IF($B1211="","Arabica",$B1211))&amp;" - "&amp;(IF($C1211="","Commercial",$C1211))),Variables!$B$1:$D$1,0),1))*(AV1211/365))+(T1211*INDEX(Variables!$B$9:$D$9,IFERROR(MATCH(IF($B1211="Robusta","Robusta",(IF($B1211="","Arabica",$B1211))&amp;" - "&amp;(IF($C1211="","Commercial",$C1211))),Variables!$B$1:$D$1,0),1))*(AV1211/365))+(INDEX(Variables!$B$8:$D$8,IFERROR(MATCH(IF($B1211="Robusta","Robusta",(IF($B1211="","Arabica",$B1211))&amp;" - "&amp;(IF($C1211="","Commercial",$C1211))),Variables!$B$1:$D$1,0),1))*L1211/16.67)),""))</f>
        <v/>
      </c>
      <c r="AX1211" s="9"/>
      <c r="AY1211" s="12"/>
      <c r="AZ1211" s="10"/>
      <c r="BA1211" s="9"/>
      <c r="BB1211" s="10"/>
      <c r="BC1211" s="9"/>
      <c r="BD1211" s="9"/>
      <c r="BE1211" s="9"/>
      <c r="BF1211" s="9"/>
    </row>
    <row r="1212" spans="1:58" x14ac:dyDescent="0.25">
      <c r="A1212" s="9" t="s">
        <v>84</v>
      </c>
      <c r="B1212" s="9" t="s">
        <v>85</v>
      </c>
      <c r="C1212" s="9" t="s">
        <v>1486</v>
      </c>
      <c r="D1212" s="10">
        <v>46045</v>
      </c>
      <c r="E1212" s="10">
        <v>46054</v>
      </c>
      <c r="F1212" s="10">
        <v>46081</v>
      </c>
      <c r="G1212" s="9">
        <v>3787128</v>
      </c>
      <c r="H1212" s="9" t="str">
        <f t="shared" si="111"/>
        <v>Open</v>
      </c>
      <c r="I1212" s="9" t="str">
        <f t="shared" si="112"/>
        <v>No sailing date and No shipping advice sent and No docs dispatch date</v>
      </c>
      <c r="J1212" s="9" t="s">
        <v>303</v>
      </c>
      <c r="K1212" s="9" t="s">
        <v>2583</v>
      </c>
      <c r="L1212" s="11">
        <v>6</v>
      </c>
      <c r="M1212" s="9" t="s">
        <v>2584</v>
      </c>
      <c r="N1212" s="9"/>
      <c r="O1212" s="9"/>
      <c r="P1212" s="9"/>
      <c r="Q1212" s="11">
        <v>162</v>
      </c>
      <c r="R1212" s="9" t="s">
        <v>195</v>
      </c>
      <c r="S1212" s="9" t="s">
        <v>91</v>
      </c>
      <c r="T1212" s="12">
        <f>IF($H1212="Cancelled","",IFERROR(((Q1212+INDEX(Variables!$B$6:$D$6,IFERROR(MATCH(IF($B1212="Robusta","Robusta",(IF($B1212="","Arabica",$B1212))&amp;" - "&amp;(IF($C1212="","Commercial",$C1212))),Variables!$B$1:$D$1,0),1)))*22.0462)*(L1212/16.67),""))</f>
        <v>3592.9883719256145</v>
      </c>
      <c r="U1212" s="10"/>
      <c r="V1212" s="9" t="s">
        <v>195</v>
      </c>
      <c r="W1212" s="10"/>
      <c r="X1212" s="9" t="s">
        <v>195</v>
      </c>
      <c r="Y1212" s="10"/>
      <c r="Z1212" s="10">
        <f>IF($H1212="Cancelled","",IFERROR(IF(F1212="","",F1212-Variables!$B$13),""))</f>
        <v>46066</v>
      </c>
      <c r="AA1212" s="11" t="str">
        <f>IF($H1212="Cancelled","",IFERROR(IF(W1212="","",(AVERAGE(E1212:F1212)-W1212)-Variables!$B$14),""))</f>
        <v/>
      </c>
      <c r="AB1212" s="10"/>
      <c r="AC1212" s="11" t="str">
        <f>IF($H1212="Cancelled","",IFERROR(IF(AB1212="","",IF(AND(W1212="",Y1212=""),"",IF(Y1212&gt;W1212,Y1212+Variables!$B$15+Variables!$B$16+Variables!$B$17-AB1212,W1212+Variables!$B$16+Variables!$B$17-AB1212))),""))</f>
        <v/>
      </c>
      <c r="AD1212" s="9" t="s">
        <v>163</v>
      </c>
      <c r="AE1212" s="9"/>
      <c r="AF1212" s="10"/>
      <c r="AG1212" s="10"/>
      <c r="AH1212" s="9"/>
      <c r="AI1212" s="9"/>
      <c r="AJ1212" s="9"/>
      <c r="AK1212" s="10"/>
      <c r="AL1212" s="10"/>
      <c r="AM1212" s="10"/>
      <c r="AN1212" s="9" t="s">
        <v>1445</v>
      </c>
      <c r="AO1212" s="9"/>
      <c r="AP1212" s="11" t="str">
        <f>IF($H1212="Cancelled","",IFERROR(IF(OR(AK1212="",AB1212=""),"",(AB1212+Variables!$B$18-AK1212)),""))</f>
        <v/>
      </c>
      <c r="AQ1212" s="11" t="str">
        <f>IF($H1212="Cancelled","",IFERROR(IF(OR(AM1212="",AK1212=""),"",(AK1212+Variables!$B$19)-AM1212),""))</f>
        <v/>
      </c>
      <c r="AR1212" s="12" t="str">
        <f>IF($H1212="Cancelled","",IFERROR(T1212*INDEX(Variables!$B$7:$D$7,IFERROR(MATCH(IF($B1212="Robusta","Robusta",(IF($B1212="","Arabica",$B1212))&amp;" - "&amp;(IF($C1212="","Commercial",$C1212))),Variables!$B$1:$D$1,0),1))*(AQ1212/365),""))</f>
        <v/>
      </c>
      <c r="AS1212" s="12" t="str">
        <f>IF($H1212="Cancelled","",IFERROR((T1212*INDEX(Variables!$B$7:$D$7,IFERROR(MATCH(IF($B1212="Robusta","Robusta",(IF($B1212="","Arabica",$B1212))&amp;" - "&amp;(IF($C1212="","Commercial",$C1212))),Variables!$B$1:$D$1,0),1))*IFERROR(IF(W1212="","",(AVERAGE(E1212:F1212)-W1212)-Variables!$B$14),"")/365)+(L1212/16.67*INDEX(Variables!$B$8:$D$8,IFERROR(MATCH(IF($B1212="Robusta","Robusta",(IF($B1212="","Arabica",$B1212))&amp;" - "&amp;(IF($C1212="","Commercial",$C1212))),Variables!$B$1:$D$1,0),1))*IFERROR(IF(W1212="","",(AVERAGE(E1212:F1212)-W1212)-Variables!$B$14),""))+(T1212*INDEX(Variables!$B$9:$D$9,IFERROR(MATCH(IF($B1212="Robusta","Robusta",(IF($B1212="","Arabica",$B1212))&amp;" - "&amp;(IF($C1212="","Commercial",$C1212))),Variables!$B$1:$D$1,0),1))*IFERROR(IF(W1212="","",(AVERAGE(E1212:F1212)-W1212)-Variables!$B$14),"")/365),""))</f>
        <v/>
      </c>
      <c r="AT1212" s="12" t="str">
        <f>IF($H1212="Cancelled","",IFERROR((T1212*INDEX(Variables!$B$7:$D$7,IFERROR(MATCH(IF($B1212="Robusta","Robusta",(IF($B1212="","Arabica",$B1212))&amp;" - "&amp;(IF($C1212="","Commercial",$C1212))),Variables!$B$1:$D$1,0),1))*AC1212/365)+(L1212/16.67*INDEX(Variables!$B$8:$D$8,IFERROR(MATCH(IF($B1212="Robusta","Robusta",(IF($B1212="","Arabica",$B1212))&amp;" - "&amp;(IF($C1212="","Commercial",$C1212))),Variables!$B$1:$D$1,0),1))*AC1212)+(T1212*INDEX(Variables!$B$9:$D$9,IFERROR(MATCH(IF($B1212="Robusta","Robusta",(IF($B1212="","Arabica",$B1212))&amp;" - "&amp;(IF($C1212="","Commercial",$C1212))),Variables!$B$1:$D$1,0),1))*AC1212/365),""))</f>
        <v/>
      </c>
      <c r="AU1212" s="12" t="str">
        <f>IF($H1212="Cancelled","",IFERROR((T1212*INDEX(Variables!$B$7:$D$7,IFERROR(MATCH(IF($B1212="Robusta","Robusta",(IF($B1212="","Arabica",$B1212))&amp;" - "&amp;(IF($C1212="","Commercial",$C1212))),Variables!$B$1:$D$1,0),1))*AP1212/365)+(L1212/16.67*INDEX(Variables!$B$8:$D$8,IFERROR(MATCH(IF($B1212="Robusta","Robusta",(IF($B1212="","Arabica",$B1212))&amp;" - "&amp;(IF($C1212="","Commercial",$C1212))),Variables!$B$1:$D$1,0),1))*AP1212)+(T1212*INDEX(Variables!$B$9:$D$9,IFERROR(MATCH(IF($B1212="Robusta","Robusta",(IF($B1212="","Arabica",$B1212))&amp;" - "&amp;(IF($C1212="","Commercial",$C1212))),Variables!$B$1:$D$1,0),1))*AP1212/365),""))</f>
        <v/>
      </c>
      <c r="AV1212" s="11" t="str">
        <f t="shared" si="114"/>
        <v/>
      </c>
      <c r="AW1212" s="12" t="str">
        <f>IF($H1212="Cancelled","",IFERROR(IF(AV1212="","",(T1212*INDEX(Variables!$B$7:$D$7,IFERROR(MATCH(IF($B1212="Robusta","Robusta",(IF($B1212="","Arabica",$B1212))&amp;" - "&amp;(IF($C1212="","Commercial",$C1212))),Variables!$B$1:$D$1,0),1))*(AV1212/365))+(T1212*INDEX(Variables!$B$9:$D$9,IFERROR(MATCH(IF($B1212="Robusta","Robusta",(IF($B1212="","Arabica",$B1212))&amp;" - "&amp;(IF($C1212="","Commercial",$C1212))),Variables!$B$1:$D$1,0),1))*(AV1212/365))+(INDEX(Variables!$B$8:$D$8,IFERROR(MATCH(IF($B1212="Robusta","Robusta",(IF($B1212="","Arabica",$B1212))&amp;" - "&amp;(IF($C1212="","Commercial",$C1212))),Variables!$B$1:$D$1,0),1))*L1212/16.67)),""))</f>
        <v/>
      </c>
      <c r="AX1212" s="9"/>
      <c r="AY1212" s="12"/>
      <c r="AZ1212" s="10"/>
      <c r="BA1212" s="9"/>
      <c r="BB1212" s="10"/>
      <c r="BC1212" s="9"/>
      <c r="BD1212" s="9"/>
      <c r="BE1212" s="9"/>
      <c r="BF1212" s="9"/>
    </row>
    <row r="1213" spans="1:58" x14ac:dyDescent="0.25">
      <c r="A1213" s="9" t="s">
        <v>84</v>
      </c>
      <c r="B1213" s="9" t="s">
        <v>85</v>
      </c>
      <c r="C1213" s="9" t="s">
        <v>1486</v>
      </c>
      <c r="D1213" s="10">
        <v>46045</v>
      </c>
      <c r="E1213" s="10">
        <v>46054</v>
      </c>
      <c r="F1213" s="10">
        <v>46081</v>
      </c>
      <c r="G1213" s="9">
        <v>3787126</v>
      </c>
      <c r="H1213" s="9" t="str">
        <f t="shared" si="111"/>
        <v>Open</v>
      </c>
      <c r="I1213" s="9" t="str">
        <f t="shared" si="112"/>
        <v>No sailing date and No shipping advice sent and No docs dispatch date</v>
      </c>
      <c r="J1213" s="9" t="s">
        <v>303</v>
      </c>
      <c r="K1213" s="9" t="s">
        <v>2585</v>
      </c>
      <c r="L1213" s="11">
        <v>10</v>
      </c>
      <c r="M1213" s="9" t="s">
        <v>2586</v>
      </c>
      <c r="N1213" s="9"/>
      <c r="O1213" s="9"/>
      <c r="P1213" s="9"/>
      <c r="Q1213" s="11">
        <v>131</v>
      </c>
      <c r="R1213" s="9" t="s">
        <v>195</v>
      </c>
      <c r="S1213" s="9" t="s">
        <v>91</v>
      </c>
      <c r="T1213" s="12">
        <f>IF($H1213="Cancelled","",IFERROR(((Q1213+INDEX(Variables!$B$6:$D$6,IFERROR(MATCH(IF($B1213="Robusta","Robusta",(IF($B1213="","Arabica",$B1213))&amp;" - "&amp;(IF($C1213="","Commercial",$C1213))),Variables!$B$1:$D$1,0),1)))*22.0462)*(L1213/16.67),""))</f>
        <v>5578.3366286742639</v>
      </c>
      <c r="U1213" s="10"/>
      <c r="V1213" s="9" t="s">
        <v>195</v>
      </c>
      <c r="W1213" s="10"/>
      <c r="X1213" s="9" t="s">
        <v>195</v>
      </c>
      <c r="Y1213" s="10"/>
      <c r="Z1213" s="10">
        <f>IF($H1213="Cancelled","",IFERROR(IF(F1213="","",F1213-Variables!$B$13),""))</f>
        <v>46066</v>
      </c>
      <c r="AA1213" s="11" t="str">
        <f>IF($H1213="Cancelled","",IFERROR(IF(W1213="","",(AVERAGE(E1213:F1213)-W1213)-Variables!$B$14),""))</f>
        <v/>
      </c>
      <c r="AB1213" s="10"/>
      <c r="AC1213" s="11" t="str">
        <f>IF($H1213="Cancelled","",IFERROR(IF(AB1213="","",IF(AND(W1213="",Y1213=""),"",IF(Y1213&gt;W1213,Y1213+Variables!$B$15+Variables!$B$16+Variables!$B$17-AB1213,W1213+Variables!$B$16+Variables!$B$17-AB1213))),""))</f>
        <v/>
      </c>
      <c r="AD1213" s="9" t="s">
        <v>163</v>
      </c>
      <c r="AE1213" s="9"/>
      <c r="AF1213" s="10"/>
      <c r="AG1213" s="10"/>
      <c r="AH1213" s="9"/>
      <c r="AI1213" s="9"/>
      <c r="AJ1213" s="9"/>
      <c r="AK1213" s="10"/>
      <c r="AL1213" s="10"/>
      <c r="AM1213" s="10"/>
      <c r="AN1213" s="9" t="s">
        <v>1445</v>
      </c>
      <c r="AO1213" s="9"/>
      <c r="AP1213" s="11" t="str">
        <f>IF($H1213="Cancelled","",IFERROR(IF(OR(AK1213="",AB1213=""),"",(AB1213+Variables!$B$18-AK1213)),""))</f>
        <v/>
      </c>
      <c r="AQ1213" s="11" t="str">
        <f>IF($H1213="Cancelled","",IFERROR(IF(OR(AM1213="",AK1213=""),"",(AK1213+Variables!$B$19)-AM1213),""))</f>
        <v/>
      </c>
      <c r="AR1213" s="12" t="str">
        <f>IF($H1213="Cancelled","",IFERROR(T1213*INDEX(Variables!$B$7:$D$7,IFERROR(MATCH(IF($B1213="Robusta","Robusta",(IF($B1213="","Arabica",$B1213))&amp;" - "&amp;(IF($C1213="","Commercial",$C1213))),Variables!$B$1:$D$1,0),1))*(AQ1213/365),""))</f>
        <v/>
      </c>
      <c r="AS1213" s="12" t="str">
        <f>IF($H1213="Cancelled","",IFERROR((T1213*INDEX(Variables!$B$7:$D$7,IFERROR(MATCH(IF($B1213="Robusta","Robusta",(IF($B1213="","Arabica",$B1213))&amp;" - "&amp;(IF($C1213="","Commercial",$C1213))),Variables!$B$1:$D$1,0),1))*IFERROR(IF(W1213="","",(AVERAGE(E1213:F1213)-W1213)-Variables!$B$14),"")/365)+(L1213/16.67*INDEX(Variables!$B$8:$D$8,IFERROR(MATCH(IF($B1213="Robusta","Robusta",(IF($B1213="","Arabica",$B1213))&amp;" - "&amp;(IF($C1213="","Commercial",$C1213))),Variables!$B$1:$D$1,0),1))*IFERROR(IF(W1213="","",(AVERAGE(E1213:F1213)-W1213)-Variables!$B$14),""))+(T1213*INDEX(Variables!$B$9:$D$9,IFERROR(MATCH(IF($B1213="Robusta","Robusta",(IF($B1213="","Arabica",$B1213))&amp;" - "&amp;(IF($C1213="","Commercial",$C1213))),Variables!$B$1:$D$1,0),1))*IFERROR(IF(W1213="","",(AVERAGE(E1213:F1213)-W1213)-Variables!$B$14),"")/365),""))</f>
        <v/>
      </c>
      <c r="AT1213" s="12" t="str">
        <f>IF($H1213="Cancelled","",IFERROR((T1213*INDEX(Variables!$B$7:$D$7,IFERROR(MATCH(IF($B1213="Robusta","Robusta",(IF($B1213="","Arabica",$B1213))&amp;" - "&amp;(IF($C1213="","Commercial",$C1213))),Variables!$B$1:$D$1,0),1))*AC1213/365)+(L1213/16.67*INDEX(Variables!$B$8:$D$8,IFERROR(MATCH(IF($B1213="Robusta","Robusta",(IF($B1213="","Arabica",$B1213))&amp;" - "&amp;(IF($C1213="","Commercial",$C1213))),Variables!$B$1:$D$1,0),1))*AC1213)+(T1213*INDEX(Variables!$B$9:$D$9,IFERROR(MATCH(IF($B1213="Robusta","Robusta",(IF($B1213="","Arabica",$B1213))&amp;" - "&amp;(IF($C1213="","Commercial",$C1213))),Variables!$B$1:$D$1,0),1))*AC1213/365),""))</f>
        <v/>
      </c>
      <c r="AU1213" s="12" t="str">
        <f>IF($H1213="Cancelled","",IFERROR((T1213*INDEX(Variables!$B$7:$D$7,IFERROR(MATCH(IF($B1213="Robusta","Robusta",(IF($B1213="","Arabica",$B1213))&amp;" - "&amp;(IF($C1213="","Commercial",$C1213))),Variables!$B$1:$D$1,0),1))*AP1213/365)+(L1213/16.67*INDEX(Variables!$B$8:$D$8,IFERROR(MATCH(IF($B1213="Robusta","Robusta",(IF($B1213="","Arabica",$B1213))&amp;" - "&amp;(IF($C1213="","Commercial",$C1213))),Variables!$B$1:$D$1,0),1))*AP1213)+(T1213*INDEX(Variables!$B$9:$D$9,IFERROR(MATCH(IF($B1213="Robusta","Robusta",(IF($B1213="","Arabica",$B1213))&amp;" - "&amp;(IF($C1213="","Commercial",$C1213))),Variables!$B$1:$D$1,0),1))*AP1213/365),""))</f>
        <v/>
      </c>
      <c r="AV1213" s="11" t="str">
        <f t="shared" si="114"/>
        <v/>
      </c>
      <c r="AW1213" s="12" t="str">
        <f>IF($H1213="Cancelled","",IFERROR(IF(AV1213="","",(T1213*INDEX(Variables!$B$7:$D$7,IFERROR(MATCH(IF($B1213="Robusta","Robusta",(IF($B1213="","Arabica",$B1213))&amp;" - "&amp;(IF($C1213="","Commercial",$C1213))),Variables!$B$1:$D$1,0),1))*(AV1213/365))+(T1213*INDEX(Variables!$B$9:$D$9,IFERROR(MATCH(IF($B1213="Robusta","Robusta",(IF($B1213="","Arabica",$B1213))&amp;" - "&amp;(IF($C1213="","Commercial",$C1213))),Variables!$B$1:$D$1,0),1))*(AV1213/365))+(INDEX(Variables!$B$8:$D$8,IFERROR(MATCH(IF($B1213="Robusta","Robusta",(IF($B1213="","Arabica",$B1213))&amp;" - "&amp;(IF($C1213="","Commercial",$C1213))),Variables!$B$1:$D$1,0),1))*L1213/16.67)),""))</f>
        <v/>
      </c>
      <c r="AX1213" s="9"/>
      <c r="AY1213" s="12"/>
      <c r="AZ1213" s="10"/>
      <c r="BA1213" s="9"/>
      <c r="BB1213" s="10"/>
      <c r="BC1213" s="9"/>
      <c r="BD1213" s="9"/>
      <c r="BE1213" s="9"/>
      <c r="BF1213" s="9"/>
    </row>
    <row r="1214" spans="1:58" x14ac:dyDescent="0.25">
      <c r="A1214" s="9" t="s">
        <v>84</v>
      </c>
      <c r="B1214" s="9" t="s">
        <v>85</v>
      </c>
      <c r="C1214" s="9" t="s">
        <v>1486</v>
      </c>
      <c r="D1214" s="10">
        <v>46045</v>
      </c>
      <c r="E1214" s="10">
        <v>46054</v>
      </c>
      <c r="F1214" s="10">
        <v>46081</v>
      </c>
      <c r="G1214" s="9">
        <v>3787134</v>
      </c>
      <c r="H1214" s="9" t="str">
        <f t="shared" si="111"/>
        <v>Open</v>
      </c>
      <c r="I1214" s="9" t="str">
        <f t="shared" si="112"/>
        <v>No sailing date and No shipping advice sent and No docs dispatch date</v>
      </c>
      <c r="J1214" s="9" t="s">
        <v>303</v>
      </c>
      <c r="K1214" s="9" t="s">
        <v>2587</v>
      </c>
      <c r="L1214" s="11">
        <v>16</v>
      </c>
      <c r="M1214" s="9" t="s">
        <v>2588</v>
      </c>
      <c r="N1214" s="9"/>
      <c r="O1214" s="9"/>
      <c r="P1214" s="9"/>
      <c r="Q1214" s="11">
        <v>182</v>
      </c>
      <c r="R1214" s="9" t="s">
        <v>90</v>
      </c>
      <c r="S1214" s="9" t="s">
        <v>91</v>
      </c>
      <c r="T1214" s="12">
        <f>IF($H1214="Cancelled","",IFERROR(((Q1214+INDEX(Variables!$B$6:$D$6,IFERROR(MATCH(IF($B1214="Robusta","Robusta",(IF($B1214="","Arabica",$B1214))&amp;" - "&amp;(IF($C1214="","Commercial",$C1214))),Variables!$B$1:$D$1,0),1)))*22.0462)*(L1214/16.67),""))</f>
        <v>10004.504724655068</v>
      </c>
      <c r="U1214" s="10"/>
      <c r="V1214" s="9" t="str">
        <f>IF(ISNUMBER(U1214),"Sent","")</f>
        <v/>
      </c>
      <c r="W1214" s="10"/>
      <c r="X1214" s="9" t="str">
        <f>IF(ISNUMBER(W1214),"Approved","")</f>
        <v/>
      </c>
      <c r="Y1214" s="10"/>
      <c r="Z1214" s="10">
        <f>IF($H1214="Cancelled","",IFERROR(IF(F1214="","",F1214-Variables!$B$13),""))</f>
        <v>46066</v>
      </c>
      <c r="AA1214" s="11" t="str">
        <f>IF($H1214="Cancelled","",IFERROR(IF(W1214="","",(AVERAGE(E1214:F1214)-W1214)-Variables!$B$14),""))</f>
        <v/>
      </c>
      <c r="AB1214" s="10"/>
      <c r="AC1214" s="11" t="str">
        <f>IF($H1214="Cancelled","",IFERROR(IF(AB1214="","",IF(AND(W1214="",Y1214=""),"",IF(Y1214&gt;W1214,Y1214+Variables!$B$15+Variables!$B$16+Variables!$B$17-AB1214,W1214+Variables!$B$16+Variables!$B$17-AB1214))),""))</f>
        <v/>
      </c>
      <c r="AD1214" s="9" t="s">
        <v>163</v>
      </c>
      <c r="AE1214" s="9"/>
      <c r="AF1214" s="10"/>
      <c r="AG1214" s="10"/>
      <c r="AH1214" s="9"/>
      <c r="AI1214" s="9"/>
      <c r="AJ1214" s="9"/>
      <c r="AK1214" s="10"/>
      <c r="AL1214" s="10"/>
      <c r="AM1214" s="10"/>
      <c r="AN1214" s="9" t="s">
        <v>1445</v>
      </c>
      <c r="AO1214" s="9"/>
      <c r="AP1214" s="11" t="str">
        <f>IF($H1214="Cancelled","",IFERROR(IF(OR(AK1214="",AB1214=""),"",(AB1214+Variables!$B$18-AK1214)),""))</f>
        <v/>
      </c>
      <c r="AQ1214" s="11" t="str">
        <f>IF($H1214="Cancelled","",IFERROR(IF(OR(AM1214="",AK1214=""),"",(AK1214+Variables!$B$19)-AM1214),""))</f>
        <v/>
      </c>
      <c r="AR1214" s="12" t="str">
        <f>IF($H1214="Cancelled","",IFERROR(T1214*INDEX(Variables!$B$7:$D$7,IFERROR(MATCH(IF($B1214="Robusta","Robusta",(IF($B1214="","Arabica",$B1214))&amp;" - "&amp;(IF($C1214="","Commercial",$C1214))),Variables!$B$1:$D$1,0),1))*(AQ1214/365),""))</f>
        <v/>
      </c>
      <c r="AS1214" s="12" t="str">
        <f>IF($H1214="Cancelled","",IFERROR((T1214*INDEX(Variables!$B$7:$D$7,IFERROR(MATCH(IF($B1214="Robusta","Robusta",(IF($B1214="","Arabica",$B1214))&amp;" - "&amp;(IF($C1214="","Commercial",$C1214))),Variables!$B$1:$D$1,0),1))*IFERROR(IF(W1214="","",(AVERAGE(E1214:F1214)-W1214)-Variables!$B$14),"")/365)+(L1214/16.67*INDEX(Variables!$B$8:$D$8,IFERROR(MATCH(IF($B1214="Robusta","Robusta",(IF($B1214="","Arabica",$B1214))&amp;" - "&amp;(IF($C1214="","Commercial",$C1214))),Variables!$B$1:$D$1,0),1))*IFERROR(IF(W1214="","",(AVERAGE(E1214:F1214)-W1214)-Variables!$B$14),""))+(T1214*INDEX(Variables!$B$9:$D$9,IFERROR(MATCH(IF($B1214="Robusta","Robusta",(IF($B1214="","Arabica",$B1214))&amp;" - "&amp;(IF($C1214="","Commercial",$C1214))),Variables!$B$1:$D$1,0),1))*IFERROR(IF(W1214="","",(AVERAGE(E1214:F1214)-W1214)-Variables!$B$14),"")/365),""))</f>
        <v/>
      </c>
      <c r="AT1214" s="12" t="str">
        <f>IF($H1214="Cancelled","",IFERROR((T1214*INDEX(Variables!$B$7:$D$7,IFERROR(MATCH(IF($B1214="Robusta","Robusta",(IF($B1214="","Arabica",$B1214))&amp;" - "&amp;(IF($C1214="","Commercial",$C1214))),Variables!$B$1:$D$1,0),1))*AC1214/365)+(L1214/16.67*INDEX(Variables!$B$8:$D$8,IFERROR(MATCH(IF($B1214="Robusta","Robusta",(IF($B1214="","Arabica",$B1214))&amp;" - "&amp;(IF($C1214="","Commercial",$C1214))),Variables!$B$1:$D$1,0),1))*AC1214)+(T1214*INDEX(Variables!$B$9:$D$9,IFERROR(MATCH(IF($B1214="Robusta","Robusta",(IF($B1214="","Arabica",$B1214))&amp;" - "&amp;(IF($C1214="","Commercial",$C1214))),Variables!$B$1:$D$1,0),1))*AC1214/365),""))</f>
        <v/>
      </c>
      <c r="AU1214" s="12" t="str">
        <f>IF($H1214="Cancelled","",IFERROR((T1214*INDEX(Variables!$B$7:$D$7,IFERROR(MATCH(IF($B1214="Robusta","Robusta",(IF($B1214="","Arabica",$B1214))&amp;" - "&amp;(IF($C1214="","Commercial",$C1214))),Variables!$B$1:$D$1,0),1))*AP1214/365)+(L1214/16.67*INDEX(Variables!$B$8:$D$8,IFERROR(MATCH(IF($B1214="Robusta","Robusta",(IF($B1214="","Arabica",$B1214))&amp;" - "&amp;(IF($C1214="","Commercial",$C1214))),Variables!$B$1:$D$1,0),1))*AP1214)+(T1214*INDEX(Variables!$B$9:$D$9,IFERROR(MATCH(IF($B1214="Robusta","Robusta",(IF($B1214="","Arabica",$B1214))&amp;" - "&amp;(IF($C1214="","Commercial",$C1214))),Variables!$B$1:$D$1,0),1))*AP1214/365),""))</f>
        <v/>
      </c>
      <c r="AV1214" s="11" t="str">
        <f t="shared" si="114"/>
        <v/>
      </c>
      <c r="AW1214" s="12" t="str">
        <f>IF($H1214="Cancelled","",IFERROR(IF(AV1214="","",(T1214*INDEX(Variables!$B$7:$D$7,IFERROR(MATCH(IF($B1214="Robusta","Robusta",(IF($B1214="","Arabica",$B1214))&amp;" - "&amp;(IF($C1214="","Commercial",$C1214))),Variables!$B$1:$D$1,0),1))*(AV1214/365))+(T1214*INDEX(Variables!$B$9:$D$9,IFERROR(MATCH(IF($B1214="Robusta","Robusta",(IF($B1214="","Arabica",$B1214))&amp;" - "&amp;(IF($C1214="","Commercial",$C1214))),Variables!$B$1:$D$1,0),1))*(AV1214/365))+(INDEX(Variables!$B$8:$D$8,IFERROR(MATCH(IF($B1214="Robusta","Robusta",(IF($B1214="","Arabica",$B1214))&amp;" - "&amp;(IF($C1214="","Commercial",$C1214))),Variables!$B$1:$D$1,0),1))*L1214/16.67)),""))</f>
        <v/>
      </c>
      <c r="AX1214" s="9"/>
      <c r="AY1214" s="12"/>
      <c r="AZ1214" s="10"/>
      <c r="BA1214" s="9"/>
      <c r="BB1214" s="10"/>
      <c r="BC1214" s="9"/>
      <c r="BD1214" s="9"/>
      <c r="BE1214" s="9"/>
      <c r="BF1214" s="9"/>
    </row>
    <row r="1215" spans="1:58" x14ac:dyDescent="0.25">
      <c r="A1215" s="9" t="s">
        <v>84</v>
      </c>
      <c r="B1215" s="9" t="s">
        <v>85</v>
      </c>
      <c r="C1215" s="9" t="s">
        <v>1486</v>
      </c>
      <c r="D1215" s="10">
        <v>46045</v>
      </c>
      <c r="E1215" s="10">
        <v>46054</v>
      </c>
      <c r="F1215" s="10">
        <v>46081</v>
      </c>
      <c r="G1215" s="9">
        <v>3787135</v>
      </c>
      <c r="H1215" s="9" t="str">
        <f t="shared" si="111"/>
        <v>Open</v>
      </c>
      <c r="I1215" s="9" t="str">
        <f t="shared" si="112"/>
        <v>No sailing date and No shipping advice sent and No docs dispatch date</v>
      </c>
      <c r="J1215" s="9" t="s">
        <v>303</v>
      </c>
      <c r="K1215" s="9" t="s">
        <v>2589</v>
      </c>
      <c r="L1215" s="11">
        <v>2</v>
      </c>
      <c r="M1215" s="9" t="s">
        <v>2590</v>
      </c>
      <c r="N1215" s="9"/>
      <c r="O1215" s="9"/>
      <c r="P1215" s="9"/>
      <c r="Q1215" s="11">
        <v>201</v>
      </c>
      <c r="R1215" s="9" t="s">
        <v>90</v>
      </c>
      <c r="S1215" s="9" t="s">
        <v>91</v>
      </c>
      <c r="T1215" s="12">
        <f>IF($H1215="Cancelled","",IFERROR(((Q1215+INDEX(Variables!$B$6:$D$6,IFERROR(MATCH(IF($B1215="Robusta","Robusta",(IF($B1215="","Arabica",$B1215))&amp;" - "&amp;(IF($C1215="","Commercial",$C1215))),Variables!$B$1:$D$1,0),1)))*22.0462)*(L1215/16.67),""))</f>
        <v>1300.8183755248949</v>
      </c>
      <c r="U1215" s="10"/>
      <c r="V1215" s="9" t="str">
        <f>IF(ISNUMBER(U1215),"Sent","")</f>
        <v/>
      </c>
      <c r="W1215" s="10"/>
      <c r="X1215" s="9" t="str">
        <f>IF(ISNUMBER(W1215),"Approved","")</f>
        <v/>
      </c>
      <c r="Y1215" s="10"/>
      <c r="Z1215" s="10">
        <f>IF($H1215="Cancelled","",IFERROR(IF(F1215="","",F1215-Variables!$B$13),""))</f>
        <v>46066</v>
      </c>
      <c r="AA1215" s="11" t="str">
        <f>IF($H1215="Cancelled","",IFERROR(IF(W1215="","",(AVERAGE(E1215:F1215)-W1215)-Variables!$B$14),""))</f>
        <v/>
      </c>
      <c r="AB1215" s="10"/>
      <c r="AC1215" s="11" t="str">
        <f>IF($H1215="Cancelled","",IFERROR(IF(AB1215="","",IF(AND(W1215="",Y1215=""),"",IF(Y1215&gt;W1215,Y1215+Variables!$B$15+Variables!$B$16+Variables!$B$17-AB1215,W1215+Variables!$B$16+Variables!$B$17-AB1215))),""))</f>
        <v/>
      </c>
      <c r="AD1215" s="9" t="s">
        <v>163</v>
      </c>
      <c r="AE1215" s="9"/>
      <c r="AF1215" s="10"/>
      <c r="AG1215" s="10"/>
      <c r="AH1215" s="9"/>
      <c r="AI1215" s="9"/>
      <c r="AJ1215" s="9"/>
      <c r="AK1215" s="10"/>
      <c r="AL1215" s="10"/>
      <c r="AM1215" s="10"/>
      <c r="AN1215" s="9" t="s">
        <v>1445</v>
      </c>
      <c r="AO1215" s="9"/>
      <c r="AP1215" s="11" t="str">
        <f>IF($H1215="Cancelled","",IFERROR(IF(OR(AK1215="",AB1215=""),"",(AB1215+Variables!$B$18-AK1215)),""))</f>
        <v/>
      </c>
      <c r="AQ1215" s="11" t="str">
        <f>IF($H1215="Cancelled","",IFERROR(IF(OR(AM1215="",AK1215=""),"",(AK1215+Variables!$B$19)-AM1215),""))</f>
        <v/>
      </c>
      <c r="AR1215" s="12" t="str">
        <f>IF($H1215="Cancelled","",IFERROR(T1215*INDEX(Variables!$B$7:$D$7,IFERROR(MATCH(IF($B1215="Robusta","Robusta",(IF($B1215="","Arabica",$B1215))&amp;" - "&amp;(IF($C1215="","Commercial",$C1215))),Variables!$B$1:$D$1,0),1))*(AQ1215/365),""))</f>
        <v/>
      </c>
      <c r="AS1215" s="12" t="str">
        <f>IF($H1215="Cancelled","",IFERROR((T1215*INDEX(Variables!$B$7:$D$7,IFERROR(MATCH(IF($B1215="Robusta","Robusta",(IF($B1215="","Arabica",$B1215))&amp;" - "&amp;(IF($C1215="","Commercial",$C1215))),Variables!$B$1:$D$1,0),1))*IFERROR(IF(W1215="","",(AVERAGE(E1215:F1215)-W1215)-Variables!$B$14),"")/365)+(L1215/16.67*INDEX(Variables!$B$8:$D$8,IFERROR(MATCH(IF($B1215="Robusta","Robusta",(IF($B1215="","Arabica",$B1215))&amp;" - "&amp;(IF($C1215="","Commercial",$C1215))),Variables!$B$1:$D$1,0),1))*IFERROR(IF(W1215="","",(AVERAGE(E1215:F1215)-W1215)-Variables!$B$14),""))+(T1215*INDEX(Variables!$B$9:$D$9,IFERROR(MATCH(IF($B1215="Robusta","Robusta",(IF($B1215="","Arabica",$B1215))&amp;" - "&amp;(IF($C1215="","Commercial",$C1215))),Variables!$B$1:$D$1,0),1))*IFERROR(IF(W1215="","",(AVERAGE(E1215:F1215)-W1215)-Variables!$B$14),"")/365),""))</f>
        <v/>
      </c>
      <c r="AT1215" s="12" t="str">
        <f>IF($H1215="Cancelled","",IFERROR((T1215*INDEX(Variables!$B$7:$D$7,IFERROR(MATCH(IF($B1215="Robusta","Robusta",(IF($B1215="","Arabica",$B1215))&amp;" - "&amp;(IF($C1215="","Commercial",$C1215))),Variables!$B$1:$D$1,0),1))*AC1215/365)+(L1215/16.67*INDEX(Variables!$B$8:$D$8,IFERROR(MATCH(IF($B1215="Robusta","Robusta",(IF($B1215="","Arabica",$B1215))&amp;" - "&amp;(IF($C1215="","Commercial",$C1215))),Variables!$B$1:$D$1,0),1))*AC1215)+(T1215*INDEX(Variables!$B$9:$D$9,IFERROR(MATCH(IF($B1215="Robusta","Robusta",(IF($B1215="","Arabica",$B1215))&amp;" - "&amp;(IF($C1215="","Commercial",$C1215))),Variables!$B$1:$D$1,0),1))*AC1215/365),""))</f>
        <v/>
      </c>
      <c r="AU1215" s="12" t="str">
        <f>IF($H1215="Cancelled","",IFERROR((T1215*INDEX(Variables!$B$7:$D$7,IFERROR(MATCH(IF($B1215="Robusta","Robusta",(IF($B1215="","Arabica",$B1215))&amp;" - "&amp;(IF($C1215="","Commercial",$C1215))),Variables!$B$1:$D$1,0),1))*AP1215/365)+(L1215/16.67*INDEX(Variables!$B$8:$D$8,IFERROR(MATCH(IF($B1215="Robusta","Robusta",(IF($B1215="","Arabica",$B1215))&amp;" - "&amp;(IF($C1215="","Commercial",$C1215))),Variables!$B$1:$D$1,0),1))*AP1215)+(T1215*INDEX(Variables!$B$9:$D$9,IFERROR(MATCH(IF($B1215="Robusta","Robusta",(IF($B1215="","Arabica",$B1215))&amp;" - "&amp;(IF($C1215="","Commercial",$C1215))),Variables!$B$1:$D$1,0),1))*AP1215/365),""))</f>
        <v/>
      </c>
      <c r="AV1215" s="11" t="str">
        <f t="shared" si="114"/>
        <v/>
      </c>
      <c r="AW1215" s="12" t="str">
        <f>IF($H1215="Cancelled","",IFERROR(IF(AV1215="","",(T1215*INDEX(Variables!$B$7:$D$7,IFERROR(MATCH(IF($B1215="Robusta","Robusta",(IF($B1215="","Arabica",$B1215))&amp;" - "&amp;(IF($C1215="","Commercial",$C1215))),Variables!$B$1:$D$1,0),1))*(AV1215/365))+(T1215*INDEX(Variables!$B$9:$D$9,IFERROR(MATCH(IF($B1215="Robusta","Robusta",(IF($B1215="","Arabica",$B1215))&amp;" - "&amp;(IF($C1215="","Commercial",$C1215))),Variables!$B$1:$D$1,0),1))*(AV1215/365))+(INDEX(Variables!$B$8:$D$8,IFERROR(MATCH(IF($B1215="Robusta","Robusta",(IF($B1215="","Arabica",$B1215))&amp;" - "&amp;(IF($C1215="","Commercial",$C1215))),Variables!$B$1:$D$1,0),1))*L1215/16.67)),""))</f>
        <v/>
      </c>
      <c r="AX1215" s="9"/>
      <c r="AY1215" s="12"/>
      <c r="AZ1215" s="10"/>
      <c r="BA1215" s="9"/>
      <c r="BB1215" s="10"/>
      <c r="BC1215" s="9"/>
      <c r="BD1215" s="9"/>
      <c r="BE1215" s="9"/>
      <c r="BF1215" s="9"/>
    </row>
    <row r="1216" spans="1:58" x14ac:dyDescent="0.25">
      <c r="A1216" s="9" t="s">
        <v>84</v>
      </c>
      <c r="B1216" s="9" t="s">
        <v>85</v>
      </c>
      <c r="C1216" s="9" t="s">
        <v>1486</v>
      </c>
      <c r="D1216" s="10">
        <v>46045</v>
      </c>
      <c r="E1216" s="10">
        <v>46054</v>
      </c>
      <c r="F1216" s="10">
        <v>46081</v>
      </c>
      <c r="G1216" s="9">
        <v>3787129</v>
      </c>
      <c r="H1216" s="9" t="str">
        <f t="shared" si="111"/>
        <v>Open</v>
      </c>
      <c r="I1216" s="9" t="str">
        <f t="shared" si="112"/>
        <v>No sailing date and No shipping advice sent and No docs dispatch date</v>
      </c>
      <c r="J1216" s="9" t="s">
        <v>303</v>
      </c>
      <c r="K1216" s="9" t="s">
        <v>2591</v>
      </c>
      <c r="L1216" s="11">
        <v>6</v>
      </c>
      <c r="M1216" s="9" t="s">
        <v>2592</v>
      </c>
      <c r="N1216" s="9"/>
      <c r="O1216" s="9"/>
      <c r="P1216" s="9"/>
      <c r="Q1216" s="11">
        <v>118</v>
      </c>
      <c r="R1216" s="9" t="s">
        <v>195</v>
      </c>
      <c r="S1216" s="9" t="s">
        <v>91</v>
      </c>
      <c r="T1216" s="12">
        <f>IF($H1216="Cancelled","",IFERROR(((Q1216+INDEX(Variables!$B$6:$D$6,IFERROR(MATCH(IF($B1216="Robusta","Robusta",(IF($B1216="","Arabica",$B1216))&amp;" - "&amp;(IF($C1216="","Commercial",$C1216))),Variables!$B$1:$D$1,0),1)))*22.0462)*(L1216/16.67),""))</f>
        <v>3243.8463923215349</v>
      </c>
      <c r="U1216" s="10"/>
      <c r="V1216" s="9" t="s">
        <v>195</v>
      </c>
      <c r="W1216" s="10"/>
      <c r="X1216" s="9" t="s">
        <v>195</v>
      </c>
      <c r="Y1216" s="10"/>
      <c r="Z1216" s="10">
        <f>IF($H1216="Cancelled","",IFERROR(IF(F1216="","",F1216-Variables!$B$13),""))</f>
        <v>46066</v>
      </c>
      <c r="AA1216" s="11" t="str">
        <f>IF($H1216="Cancelled","",IFERROR(IF(W1216="","",(AVERAGE(E1216:F1216)-W1216)-Variables!$B$14),""))</f>
        <v/>
      </c>
      <c r="AB1216" s="10"/>
      <c r="AC1216" s="11" t="str">
        <f>IF($H1216="Cancelled","",IFERROR(IF(AB1216="","",IF(AND(W1216="",Y1216=""),"",IF(Y1216&gt;W1216,Y1216+Variables!$B$15+Variables!$B$16+Variables!$B$17-AB1216,W1216+Variables!$B$16+Variables!$B$17-AB1216))),""))</f>
        <v/>
      </c>
      <c r="AD1216" s="9" t="s">
        <v>163</v>
      </c>
      <c r="AE1216" s="9"/>
      <c r="AF1216" s="10"/>
      <c r="AG1216" s="10"/>
      <c r="AH1216" s="9"/>
      <c r="AI1216" s="9"/>
      <c r="AJ1216" s="9"/>
      <c r="AK1216" s="10"/>
      <c r="AL1216" s="10"/>
      <c r="AM1216" s="10"/>
      <c r="AN1216" s="9" t="s">
        <v>1445</v>
      </c>
      <c r="AO1216" s="9"/>
      <c r="AP1216" s="11" t="str">
        <f>IF($H1216="Cancelled","",IFERROR(IF(OR(AK1216="",AB1216=""),"",(AB1216+Variables!$B$18-AK1216)),""))</f>
        <v/>
      </c>
      <c r="AQ1216" s="11" t="str">
        <f>IF($H1216="Cancelled","",IFERROR(IF(OR(AM1216="",AK1216=""),"",(AK1216+Variables!$B$19)-AM1216),""))</f>
        <v/>
      </c>
      <c r="AR1216" s="12" t="str">
        <f>IF($H1216="Cancelled","",IFERROR(T1216*INDEX(Variables!$B$7:$D$7,IFERROR(MATCH(IF($B1216="Robusta","Robusta",(IF($B1216="","Arabica",$B1216))&amp;" - "&amp;(IF($C1216="","Commercial",$C1216))),Variables!$B$1:$D$1,0),1))*(AQ1216/365),""))</f>
        <v/>
      </c>
      <c r="AS1216" s="12" t="str">
        <f>IF($H1216="Cancelled","",IFERROR((T1216*INDEX(Variables!$B$7:$D$7,IFERROR(MATCH(IF($B1216="Robusta","Robusta",(IF($B1216="","Arabica",$B1216))&amp;" - "&amp;(IF($C1216="","Commercial",$C1216))),Variables!$B$1:$D$1,0),1))*IFERROR(IF(W1216="","",(AVERAGE(E1216:F1216)-W1216)-Variables!$B$14),"")/365)+(L1216/16.67*INDEX(Variables!$B$8:$D$8,IFERROR(MATCH(IF($B1216="Robusta","Robusta",(IF($B1216="","Arabica",$B1216))&amp;" - "&amp;(IF($C1216="","Commercial",$C1216))),Variables!$B$1:$D$1,0),1))*IFERROR(IF(W1216="","",(AVERAGE(E1216:F1216)-W1216)-Variables!$B$14),""))+(T1216*INDEX(Variables!$B$9:$D$9,IFERROR(MATCH(IF($B1216="Robusta","Robusta",(IF($B1216="","Arabica",$B1216))&amp;" - "&amp;(IF($C1216="","Commercial",$C1216))),Variables!$B$1:$D$1,0),1))*IFERROR(IF(W1216="","",(AVERAGE(E1216:F1216)-W1216)-Variables!$B$14),"")/365),""))</f>
        <v/>
      </c>
      <c r="AT1216" s="12" t="str">
        <f>IF($H1216="Cancelled","",IFERROR((T1216*INDEX(Variables!$B$7:$D$7,IFERROR(MATCH(IF($B1216="Robusta","Robusta",(IF($B1216="","Arabica",$B1216))&amp;" - "&amp;(IF($C1216="","Commercial",$C1216))),Variables!$B$1:$D$1,0),1))*AC1216/365)+(L1216/16.67*INDEX(Variables!$B$8:$D$8,IFERROR(MATCH(IF($B1216="Robusta","Robusta",(IF($B1216="","Arabica",$B1216))&amp;" - "&amp;(IF($C1216="","Commercial",$C1216))),Variables!$B$1:$D$1,0),1))*AC1216)+(T1216*INDEX(Variables!$B$9:$D$9,IFERROR(MATCH(IF($B1216="Robusta","Robusta",(IF($B1216="","Arabica",$B1216))&amp;" - "&amp;(IF($C1216="","Commercial",$C1216))),Variables!$B$1:$D$1,0),1))*AC1216/365),""))</f>
        <v/>
      </c>
      <c r="AU1216" s="12" t="str">
        <f>IF($H1216="Cancelled","",IFERROR((T1216*INDEX(Variables!$B$7:$D$7,IFERROR(MATCH(IF($B1216="Robusta","Robusta",(IF($B1216="","Arabica",$B1216))&amp;" - "&amp;(IF($C1216="","Commercial",$C1216))),Variables!$B$1:$D$1,0),1))*AP1216/365)+(L1216/16.67*INDEX(Variables!$B$8:$D$8,IFERROR(MATCH(IF($B1216="Robusta","Robusta",(IF($B1216="","Arabica",$B1216))&amp;" - "&amp;(IF($C1216="","Commercial",$C1216))),Variables!$B$1:$D$1,0),1))*AP1216)+(T1216*INDEX(Variables!$B$9:$D$9,IFERROR(MATCH(IF($B1216="Robusta","Robusta",(IF($B1216="","Arabica",$B1216))&amp;" - "&amp;(IF($C1216="","Commercial",$C1216))),Variables!$B$1:$D$1,0),1))*AP1216/365),""))</f>
        <v/>
      </c>
      <c r="AV1216" s="11" t="str">
        <f t="shared" si="114"/>
        <v/>
      </c>
      <c r="AW1216" s="12" t="str">
        <f>IF($H1216="Cancelled","",IFERROR(IF(AV1216="","",(T1216*INDEX(Variables!$B$7:$D$7,IFERROR(MATCH(IF($B1216="Robusta","Robusta",(IF($B1216="","Arabica",$B1216))&amp;" - "&amp;(IF($C1216="","Commercial",$C1216))),Variables!$B$1:$D$1,0),1))*(AV1216/365))+(T1216*INDEX(Variables!$B$9:$D$9,IFERROR(MATCH(IF($B1216="Robusta","Robusta",(IF($B1216="","Arabica",$B1216))&amp;" - "&amp;(IF($C1216="","Commercial",$C1216))),Variables!$B$1:$D$1,0),1))*(AV1216/365))+(INDEX(Variables!$B$8:$D$8,IFERROR(MATCH(IF($B1216="Robusta","Robusta",(IF($B1216="","Arabica",$B1216))&amp;" - "&amp;(IF($C1216="","Commercial",$C1216))),Variables!$B$1:$D$1,0),1))*L1216/16.67)),""))</f>
        <v/>
      </c>
      <c r="AX1216" s="9"/>
      <c r="AY1216" s="12"/>
      <c r="AZ1216" s="10"/>
      <c r="BA1216" s="9"/>
      <c r="BB1216" s="10"/>
      <c r="BC1216" s="9"/>
      <c r="BD1216" s="9"/>
      <c r="BE1216" s="9"/>
      <c r="BF1216" s="9"/>
    </row>
    <row r="1217" spans="1:58" x14ac:dyDescent="0.25">
      <c r="A1217" s="9" t="s">
        <v>84</v>
      </c>
      <c r="B1217" s="9" t="s">
        <v>85</v>
      </c>
      <c r="C1217" s="9" t="s">
        <v>1486</v>
      </c>
      <c r="D1217" s="10">
        <v>46045</v>
      </c>
      <c r="E1217" s="10">
        <v>46054</v>
      </c>
      <c r="F1217" s="10">
        <v>46081</v>
      </c>
      <c r="G1217" s="9">
        <v>3787130</v>
      </c>
      <c r="H1217" s="9" t="str">
        <f t="shared" si="111"/>
        <v>Open</v>
      </c>
      <c r="I1217" s="9" t="str">
        <f t="shared" si="112"/>
        <v>No sailing date and No shipping advice sent and No docs dispatch date</v>
      </c>
      <c r="J1217" s="9" t="s">
        <v>303</v>
      </c>
      <c r="K1217" s="9" t="s">
        <v>2593</v>
      </c>
      <c r="L1217" s="11">
        <v>6</v>
      </c>
      <c r="M1217" s="9" t="s">
        <v>2594</v>
      </c>
      <c r="N1217" s="9"/>
      <c r="O1217" s="9"/>
      <c r="P1217" s="9"/>
      <c r="Q1217" s="11">
        <v>116</v>
      </c>
      <c r="R1217" s="9" t="s">
        <v>195</v>
      </c>
      <c r="S1217" s="9" t="s">
        <v>91</v>
      </c>
      <c r="T1217" s="12">
        <f>IF($H1217="Cancelled","",IFERROR(((Q1217+INDEX(Variables!$B$6:$D$6,IFERROR(MATCH(IF($B1217="Robusta","Robusta",(IF($B1217="","Arabica",$B1217))&amp;" - "&amp;(IF($C1217="","Commercial",$C1217))),Variables!$B$1:$D$1,0),1)))*22.0462)*(L1217/16.67),""))</f>
        <v>3227.9763023395317</v>
      </c>
      <c r="U1217" s="10"/>
      <c r="V1217" s="9" t="s">
        <v>195</v>
      </c>
      <c r="W1217" s="10"/>
      <c r="X1217" s="9" t="s">
        <v>195</v>
      </c>
      <c r="Y1217" s="10"/>
      <c r="Z1217" s="10">
        <f>IF($H1217="Cancelled","",IFERROR(IF(F1217="","",F1217-Variables!$B$13),""))</f>
        <v>46066</v>
      </c>
      <c r="AA1217" s="11" t="str">
        <f>IF($H1217="Cancelled","",IFERROR(IF(W1217="","",(AVERAGE(E1217:F1217)-W1217)-Variables!$B$14),""))</f>
        <v/>
      </c>
      <c r="AB1217" s="10"/>
      <c r="AC1217" s="11" t="str">
        <f>IF($H1217="Cancelled","",IFERROR(IF(AB1217="","",IF(AND(W1217="",Y1217=""),"",IF(Y1217&gt;W1217,Y1217+Variables!$B$15+Variables!$B$16+Variables!$B$17-AB1217,W1217+Variables!$B$16+Variables!$B$17-AB1217))),""))</f>
        <v/>
      </c>
      <c r="AD1217" s="9" t="s">
        <v>163</v>
      </c>
      <c r="AE1217" s="9"/>
      <c r="AF1217" s="10"/>
      <c r="AG1217" s="10"/>
      <c r="AH1217" s="9"/>
      <c r="AI1217" s="9"/>
      <c r="AJ1217" s="9"/>
      <c r="AK1217" s="10"/>
      <c r="AL1217" s="10"/>
      <c r="AM1217" s="10"/>
      <c r="AN1217" s="9" t="s">
        <v>1445</v>
      </c>
      <c r="AO1217" s="9"/>
      <c r="AP1217" s="11" t="str">
        <f>IF($H1217="Cancelled","",IFERROR(IF(OR(AK1217="",AB1217=""),"",(AB1217+Variables!$B$18-AK1217)),""))</f>
        <v/>
      </c>
      <c r="AQ1217" s="11" t="str">
        <f>IF($H1217="Cancelled","",IFERROR(IF(OR(AM1217="",AK1217=""),"",(AK1217+Variables!$B$19)-AM1217),""))</f>
        <v/>
      </c>
      <c r="AR1217" s="12" t="str">
        <f>IF($H1217="Cancelled","",IFERROR(T1217*INDEX(Variables!$B$7:$D$7,IFERROR(MATCH(IF($B1217="Robusta","Robusta",(IF($B1217="","Arabica",$B1217))&amp;" - "&amp;(IF($C1217="","Commercial",$C1217))),Variables!$B$1:$D$1,0),1))*(AQ1217/365),""))</f>
        <v/>
      </c>
      <c r="AS1217" s="12" t="str">
        <f>IF($H1217="Cancelled","",IFERROR((T1217*INDEX(Variables!$B$7:$D$7,IFERROR(MATCH(IF($B1217="Robusta","Robusta",(IF($B1217="","Arabica",$B1217))&amp;" - "&amp;(IF($C1217="","Commercial",$C1217))),Variables!$B$1:$D$1,0),1))*IFERROR(IF(W1217="","",(AVERAGE(E1217:F1217)-W1217)-Variables!$B$14),"")/365)+(L1217/16.67*INDEX(Variables!$B$8:$D$8,IFERROR(MATCH(IF($B1217="Robusta","Robusta",(IF($B1217="","Arabica",$B1217))&amp;" - "&amp;(IF($C1217="","Commercial",$C1217))),Variables!$B$1:$D$1,0),1))*IFERROR(IF(W1217="","",(AVERAGE(E1217:F1217)-W1217)-Variables!$B$14),""))+(T1217*INDEX(Variables!$B$9:$D$9,IFERROR(MATCH(IF($B1217="Robusta","Robusta",(IF($B1217="","Arabica",$B1217))&amp;" - "&amp;(IF($C1217="","Commercial",$C1217))),Variables!$B$1:$D$1,0),1))*IFERROR(IF(W1217="","",(AVERAGE(E1217:F1217)-W1217)-Variables!$B$14),"")/365),""))</f>
        <v/>
      </c>
      <c r="AT1217" s="12" t="str">
        <f>IF($H1217="Cancelled","",IFERROR((T1217*INDEX(Variables!$B$7:$D$7,IFERROR(MATCH(IF($B1217="Robusta","Robusta",(IF($B1217="","Arabica",$B1217))&amp;" - "&amp;(IF($C1217="","Commercial",$C1217))),Variables!$B$1:$D$1,0),1))*AC1217/365)+(L1217/16.67*INDEX(Variables!$B$8:$D$8,IFERROR(MATCH(IF($B1217="Robusta","Robusta",(IF($B1217="","Arabica",$B1217))&amp;" - "&amp;(IF($C1217="","Commercial",$C1217))),Variables!$B$1:$D$1,0),1))*AC1217)+(T1217*INDEX(Variables!$B$9:$D$9,IFERROR(MATCH(IF($B1217="Robusta","Robusta",(IF($B1217="","Arabica",$B1217))&amp;" - "&amp;(IF($C1217="","Commercial",$C1217))),Variables!$B$1:$D$1,0),1))*AC1217/365),""))</f>
        <v/>
      </c>
      <c r="AU1217" s="12" t="str">
        <f>IF($H1217="Cancelled","",IFERROR((T1217*INDEX(Variables!$B$7:$D$7,IFERROR(MATCH(IF($B1217="Robusta","Robusta",(IF($B1217="","Arabica",$B1217))&amp;" - "&amp;(IF($C1217="","Commercial",$C1217))),Variables!$B$1:$D$1,0),1))*AP1217/365)+(L1217/16.67*INDEX(Variables!$B$8:$D$8,IFERROR(MATCH(IF($B1217="Robusta","Robusta",(IF($B1217="","Arabica",$B1217))&amp;" - "&amp;(IF($C1217="","Commercial",$C1217))),Variables!$B$1:$D$1,0),1))*AP1217)+(T1217*INDEX(Variables!$B$9:$D$9,IFERROR(MATCH(IF($B1217="Robusta","Robusta",(IF($B1217="","Arabica",$B1217))&amp;" - "&amp;(IF($C1217="","Commercial",$C1217))),Variables!$B$1:$D$1,0),1))*AP1217/365),""))</f>
        <v/>
      </c>
      <c r="AV1217" s="11" t="str">
        <f t="shared" si="114"/>
        <v/>
      </c>
      <c r="AW1217" s="12" t="str">
        <f>IF($H1217="Cancelled","",IFERROR(IF(AV1217="","",(T1217*INDEX(Variables!$B$7:$D$7,IFERROR(MATCH(IF($B1217="Robusta","Robusta",(IF($B1217="","Arabica",$B1217))&amp;" - "&amp;(IF($C1217="","Commercial",$C1217))),Variables!$B$1:$D$1,0),1))*(AV1217/365))+(T1217*INDEX(Variables!$B$9:$D$9,IFERROR(MATCH(IF($B1217="Robusta","Robusta",(IF($B1217="","Arabica",$B1217))&amp;" - "&amp;(IF($C1217="","Commercial",$C1217))),Variables!$B$1:$D$1,0),1))*(AV1217/365))+(INDEX(Variables!$B$8:$D$8,IFERROR(MATCH(IF($B1217="Robusta","Robusta",(IF($B1217="","Arabica",$B1217))&amp;" - "&amp;(IF($C1217="","Commercial",$C1217))),Variables!$B$1:$D$1,0),1))*L1217/16.67)),""))</f>
        <v/>
      </c>
      <c r="AX1217" s="9"/>
      <c r="AY1217" s="12"/>
      <c r="AZ1217" s="10"/>
      <c r="BA1217" s="9"/>
      <c r="BB1217" s="10"/>
      <c r="BC1217" s="9"/>
      <c r="BD1217" s="9"/>
      <c r="BE1217" s="9"/>
      <c r="BF1217" s="9"/>
    </row>
    <row r="1218" spans="1:58" x14ac:dyDescent="0.25">
      <c r="A1218" s="9" t="s">
        <v>84</v>
      </c>
      <c r="B1218" s="9" t="s">
        <v>85</v>
      </c>
      <c r="C1218" s="9" t="s">
        <v>1486</v>
      </c>
      <c r="D1218" s="10">
        <v>46045</v>
      </c>
      <c r="E1218" s="10">
        <v>46054</v>
      </c>
      <c r="F1218" s="10">
        <v>46081</v>
      </c>
      <c r="G1218" s="9">
        <v>3787131</v>
      </c>
      <c r="H1218" s="9" t="str">
        <f t="shared" ref="H1218:H1281" si="117">IF(ISNUMBER(SEARCH("cancel",AN1218)),"Cancelled",IF(AND(AK1218&lt;&gt;"",AL1218&lt;&gt;"",AM1218&lt;&gt;""),"Closed","Open"))</f>
        <v>Open</v>
      </c>
      <c r="I1218" s="9" t="str">
        <f t="shared" ref="I1218:I1281" si="118">IF(AND(AK1218&lt;&gt;"",AL1218&lt;&gt;"",AM1218&lt;&gt;""),"All dates received",_xlfn.TEXTJOIN(" and ",TRUE(),IF(AK1218="","No sailing date",""),IF(AL1218="","No shipping advice sent",""),IF(AM1218="","No docs dispatch date","")))</f>
        <v>No sailing date and No shipping advice sent and No docs dispatch date</v>
      </c>
      <c r="J1218" s="9" t="s">
        <v>303</v>
      </c>
      <c r="K1218" s="9" t="s">
        <v>2595</v>
      </c>
      <c r="L1218" s="11">
        <v>6</v>
      </c>
      <c r="M1218" s="9" t="s">
        <v>2596</v>
      </c>
      <c r="N1218" s="9"/>
      <c r="O1218" s="9"/>
      <c r="P1218" s="9"/>
      <c r="Q1218" s="11">
        <v>131</v>
      </c>
      <c r="R1218" s="9" t="s">
        <v>195</v>
      </c>
      <c r="S1218" s="9" t="s">
        <v>91</v>
      </c>
      <c r="T1218" s="12">
        <f>IF($H1218="Cancelled","",IFERROR(((Q1218+INDEX(Variables!$B$6:$D$6,IFERROR(MATCH(IF($B1218="Robusta","Robusta",(IF($B1218="","Arabica",$B1218))&amp;" - "&amp;(IF($C1218="","Commercial",$C1218))),Variables!$B$1:$D$1,0),1)))*22.0462)*(L1218/16.67),""))</f>
        <v>3347.0019772045584</v>
      </c>
      <c r="U1218" s="10"/>
      <c r="V1218" s="9" t="s">
        <v>195</v>
      </c>
      <c r="W1218" s="10"/>
      <c r="X1218" s="9" t="s">
        <v>195</v>
      </c>
      <c r="Y1218" s="10"/>
      <c r="Z1218" s="10">
        <f>IF($H1218="Cancelled","",IFERROR(IF(F1218="","",F1218-Variables!$B$13),""))</f>
        <v>46066</v>
      </c>
      <c r="AA1218" s="11" t="str">
        <f>IF($H1218="Cancelled","",IFERROR(IF(W1218="","",(AVERAGE(E1218:F1218)-W1218)-Variables!$B$14),""))</f>
        <v/>
      </c>
      <c r="AB1218" s="10"/>
      <c r="AC1218" s="11" t="str">
        <f>IF($H1218="Cancelled","",IFERROR(IF(AB1218="","",IF(AND(W1218="",Y1218=""),"",IF(Y1218&gt;W1218,Y1218+Variables!$B$15+Variables!$B$16+Variables!$B$17-AB1218,W1218+Variables!$B$16+Variables!$B$17-AB1218))),""))</f>
        <v/>
      </c>
      <c r="AD1218" s="9" t="s">
        <v>163</v>
      </c>
      <c r="AE1218" s="9"/>
      <c r="AF1218" s="10"/>
      <c r="AG1218" s="10"/>
      <c r="AH1218" s="9"/>
      <c r="AI1218" s="9"/>
      <c r="AJ1218" s="9"/>
      <c r="AK1218" s="10"/>
      <c r="AL1218" s="10"/>
      <c r="AM1218" s="10"/>
      <c r="AN1218" s="9" t="s">
        <v>1445</v>
      </c>
      <c r="AO1218" s="9"/>
      <c r="AP1218" s="11" t="str">
        <f>IF($H1218="Cancelled","",IFERROR(IF(OR(AK1218="",AB1218=""),"",(AB1218+Variables!$B$18-AK1218)),""))</f>
        <v/>
      </c>
      <c r="AQ1218" s="11" t="str">
        <f>IF($H1218="Cancelled","",IFERROR(IF(OR(AM1218="",AK1218=""),"",(AK1218+Variables!$B$19)-AM1218),""))</f>
        <v/>
      </c>
      <c r="AR1218" s="12" t="str">
        <f>IF($H1218="Cancelled","",IFERROR(T1218*INDEX(Variables!$B$7:$D$7,IFERROR(MATCH(IF($B1218="Robusta","Robusta",(IF($B1218="","Arabica",$B1218))&amp;" - "&amp;(IF($C1218="","Commercial",$C1218))),Variables!$B$1:$D$1,0),1))*(AQ1218/365),""))</f>
        <v/>
      </c>
      <c r="AS1218" s="12" t="str">
        <f>IF($H1218="Cancelled","",IFERROR((T1218*INDEX(Variables!$B$7:$D$7,IFERROR(MATCH(IF($B1218="Robusta","Robusta",(IF($B1218="","Arabica",$B1218))&amp;" - "&amp;(IF($C1218="","Commercial",$C1218))),Variables!$B$1:$D$1,0),1))*IFERROR(IF(W1218="","",(AVERAGE(E1218:F1218)-W1218)-Variables!$B$14),"")/365)+(L1218/16.67*INDEX(Variables!$B$8:$D$8,IFERROR(MATCH(IF($B1218="Robusta","Robusta",(IF($B1218="","Arabica",$B1218))&amp;" - "&amp;(IF($C1218="","Commercial",$C1218))),Variables!$B$1:$D$1,0),1))*IFERROR(IF(W1218="","",(AVERAGE(E1218:F1218)-W1218)-Variables!$B$14),""))+(T1218*INDEX(Variables!$B$9:$D$9,IFERROR(MATCH(IF($B1218="Robusta","Robusta",(IF($B1218="","Arabica",$B1218))&amp;" - "&amp;(IF($C1218="","Commercial",$C1218))),Variables!$B$1:$D$1,0),1))*IFERROR(IF(W1218="","",(AVERAGE(E1218:F1218)-W1218)-Variables!$B$14),"")/365),""))</f>
        <v/>
      </c>
      <c r="AT1218" s="12" t="str">
        <f>IF($H1218="Cancelled","",IFERROR((T1218*INDEX(Variables!$B$7:$D$7,IFERROR(MATCH(IF($B1218="Robusta","Robusta",(IF($B1218="","Arabica",$B1218))&amp;" - "&amp;(IF($C1218="","Commercial",$C1218))),Variables!$B$1:$D$1,0),1))*AC1218/365)+(L1218/16.67*INDEX(Variables!$B$8:$D$8,IFERROR(MATCH(IF($B1218="Robusta","Robusta",(IF($B1218="","Arabica",$B1218))&amp;" - "&amp;(IF($C1218="","Commercial",$C1218))),Variables!$B$1:$D$1,0),1))*AC1218)+(T1218*INDEX(Variables!$B$9:$D$9,IFERROR(MATCH(IF($B1218="Robusta","Robusta",(IF($B1218="","Arabica",$B1218))&amp;" - "&amp;(IF($C1218="","Commercial",$C1218))),Variables!$B$1:$D$1,0),1))*AC1218/365),""))</f>
        <v/>
      </c>
      <c r="AU1218" s="12" t="str">
        <f>IF($H1218="Cancelled","",IFERROR((T1218*INDEX(Variables!$B$7:$D$7,IFERROR(MATCH(IF($B1218="Robusta","Robusta",(IF($B1218="","Arabica",$B1218))&amp;" - "&amp;(IF($C1218="","Commercial",$C1218))),Variables!$B$1:$D$1,0),1))*AP1218/365)+(L1218/16.67*INDEX(Variables!$B$8:$D$8,IFERROR(MATCH(IF($B1218="Robusta","Robusta",(IF($B1218="","Arabica",$B1218))&amp;" - "&amp;(IF($C1218="","Commercial",$C1218))),Variables!$B$1:$D$1,0),1))*AP1218)+(T1218*INDEX(Variables!$B$9:$D$9,IFERROR(MATCH(IF($B1218="Robusta","Robusta",(IF($B1218="","Arabica",$B1218))&amp;" - "&amp;(IF($C1218="","Commercial",$C1218))),Variables!$B$1:$D$1,0),1))*AP1218/365),""))</f>
        <v/>
      </c>
      <c r="AV1218" s="11" t="str">
        <f t="shared" ref="AV1218:AV1281" si="119">IF($H1218="Cancelled","",IFERROR(IF(AK1218="","",F1218-AK1218),""))</f>
        <v/>
      </c>
      <c r="AW1218" s="12" t="str">
        <f>IF($H1218="Cancelled","",IFERROR(IF(AV1218="","",(T1218*INDEX(Variables!$B$7:$D$7,IFERROR(MATCH(IF($B1218="Robusta","Robusta",(IF($B1218="","Arabica",$B1218))&amp;" - "&amp;(IF($C1218="","Commercial",$C1218))),Variables!$B$1:$D$1,0),1))*(AV1218/365))+(T1218*INDEX(Variables!$B$9:$D$9,IFERROR(MATCH(IF($B1218="Robusta","Robusta",(IF($B1218="","Arabica",$B1218))&amp;" - "&amp;(IF($C1218="","Commercial",$C1218))),Variables!$B$1:$D$1,0),1))*(AV1218/365))+(INDEX(Variables!$B$8:$D$8,IFERROR(MATCH(IF($B1218="Robusta","Robusta",(IF($B1218="","Arabica",$B1218))&amp;" - "&amp;(IF($C1218="","Commercial",$C1218))),Variables!$B$1:$D$1,0),1))*L1218/16.67)),""))</f>
        <v/>
      </c>
      <c r="AX1218" s="9"/>
      <c r="AY1218" s="12"/>
      <c r="AZ1218" s="10"/>
      <c r="BA1218" s="9"/>
      <c r="BB1218" s="10"/>
      <c r="BC1218" s="9"/>
      <c r="BD1218" s="9"/>
      <c r="BE1218" s="9"/>
      <c r="BF1218" s="9"/>
    </row>
    <row r="1219" spans="1:58" x14ac:dyDescent="0.25">
      <c r="A1219" s="9" t="s">
        <v>84</v>
      </c>
      <c r="B1219" s="9" t="s">
        <v>85</v>
      </c>
      <c r="C1219" s="9" t="s">
        <v>1486</v>
      </c>
      <c r="D1219" s="10">
        <v>46045</v>
      </c>
      <c r="E1219" s="10">
        <v>46054</v>
      </c>
      <c r="F1219" s="10">
        <v>46081</v>
      </c>
      <c r="G1219" s="9">
        <v>3787132</v>
      </c>
      <c r="H1219" s="9" t="str">
        <f t="shared" si="117"/>
        <v>Open</v>
      </c>
      <c r="I1219" s="9" t="str">
        <f t="shared" si="118"/>
        <v>No sailing date and No shipping advice sent and No docs dispatch date</v>
      </c>
      <c r="J1219" s="9" t="s">
        <v>303</v>
      </c>
      <c r="K1219" s="9" t="s">
        <v>2597</v>
      </c>
      <c r="L1219" s="11">
        <v>6</v>
      </c>
      <c r="M1219" s="9" t="s">
        <v>2598</v>
      </c>
      <c r="N1219" s="9"/>
      <c r="O1219" s="9"/>
      <c r="P1219" s="9"/>
      <c r="Q1219" s="11">
        <v>151</v>
      </c>
      <c r="R1219" s="9" t="s">
        <v>195</v>
      </c>
      <c r="S1219" s="9" t="s">
        <v>91</v>
      </c>
      <c r="T1219" s="12">
        <f>IF($H1219="Cancelled","",IFERROR(((Q1219+INDEX(Variables!$B$6:$D$6,IFERROR(MATCH(IF($B1219="Robusta","Robusta",(IF($B1219="","Arabica",$B1219))&amp;" - "&amp;(IF($C1219="","Commercial",$C1219))),Variables!$B$1:$D$1,0),1)))*22.0462)*(L1219/16.67),""))</f>
        <v>3505.7028770245947</v>
      </c>
      <c r="U1219" s="10"/>
      <c r="V1219" s="9" t="s">
        <v>195</v>
      </c>
      <c r="W1219" s="10"/>
      <c r="X1219" s="9" t="s">
        <v>195</v>
      </c>
      <c r="Y1219" s="10"/>
      <c r="Z1219" s="10">
        <f>IF($H1219="Cancelled","",IFERROR(IF(F1219="","",F1219-Variables!$B$13),""))</f>
        <v>46066</v>
      </c>
      <c r="AA1219" s="11" t="str">
        <f>IF($H1219="Cancelled","",IFERROR(IF(W1219="","",(AVERAGE(E1219:F1219)-W1219)-Variables!$B$14),""))</f>
        <v/>
      </c>
      <c r="AB1219" s="10"/>
      <c r="AC1219" s="11" t="str">
        <f>IF($H1219="Cancelled","",IFERROR(IF(AB1219="","",IF(AND(W1219="",Y1219=""),"",IF(Y1219&gt;W1219,Y1219+Variables!$B$15+Variables!$B$16+Variables!$B$17-AB1219,W1219+Variables!$B$16+Variables!$B$17-AB1219))),""))</f>
        <v/>
      </c>
      <c r="AD1219" s="9" t="s">
        <v>163</v>
      </c>
      <c r="AE1219" s="9"/>
      <c r="AF1219" s="10"/>
      <c r="AG1219" s="10"/>
      <c r="AH1219" s="9"/>
      <c r="AI1219" s="9"/>
      <c r="AJ1219" s="9"/>
      <c r="AK1219" s="10"/>
      <c r="AL1219" s="10"/>
      <c r="AM1219" s="10"/>
      <c r="AN1219" s="9" t="s">
        <v>1445</v>
      </c>
      <c r="AO1219" s="9"/>
      <c r="AP1219" s="11" t="str">
        <f>IF($H1219="Cancelled","",IFERROR(IF(OR(AK1219="",AB1219=""),"",(AB1219+Variables!$B$18-AK1219)),""))</f>
        <v/>
      </c>
      <c r="AQ1219" s="11" t="str">
        <f>IF($H1219="Cancelled","",IFERROR(IF(OR(AM1219="",AK1219=""),"",(AK1219+Variables!$B$19)-AM1219),""))</f>
        <v/>
      </c>
      <c r="AR1219" s="12" t="str">
        <f>IF($H1219="Cancelled","",IFERROR(T1219*INDEX(Variables!$B$7:$D$7,IFERROR(MATCH(IF($B1219="Robusta","Robusta",(IF($B1219="","Arabica",$B1219))&amp;" - "&amp;(IF($C1219="","Commercial",$C1219))),Variables!$B$1:$D$1,0),1))*(AQ1219/365),""))</f>
        <v/>
      </c>
      <c r="AS1219" s="12" t="str">
        <f>IF($H1219="Cancelled","",IFERROR((T1219*INDEX(Variables!$B$7:$D$7,IFERROR(MATCH(IF($B1219="Robusta","Robusta",(IF($B1219="","Arabica",$B1219))&amp;" - "&amp;(IF($C1219="","Commercial",$C1219))),Variables!$B$1:$D$1,0),1))*IFERROR(IF(W1219="","",(AVERAGE(E1219:F1219)-W1219)-Variables!$B$14),"")/365)+(L1219/16.67*INDEX(Variables!$B$8:$D$8,IFERROR(MATCH(IF($B1219="Robusta","Robusta",(IF($B1219="","Arabica",$B1219))&amp;" - "&amp;(IF($C1219="","Commercial",$C1219))),Variables!$B$1:$D$1,0),1))*IFERROR(IF(W1219="","",(AVERAGE(E1219:F1219)-W1219)-Variables!$B$14),""))+(T1219*INDEX(Variables!$B$9:$D$9,IFERROR(MATCH(IF($B1219="Robusta","Robusta",(IF($B1219="","Arabica",$B1219))&amp;" - "&amp;(IF($C1219="","Commercial",$C1219))),Variables!$B$1:$D$1,0),1))*IFERROR(IF(W1219="","",(AVERAGE(E1219:F1219)-W1219)-Variables!$B$14),"")/365),""))</f>
        <v/>
      </c>
      <c r="AT1219" s="12" t="str">
        <f>IF($H1219="Cancelled","",IFERROR((T1219*INDEX(Variables!$B$7:$D$7,IFERROR(MATCH(IF($B1219="Robusta","Robusta",(IF($B1219="","Arabica",$B1219))&amp;" - "&amp;(IF($C1219="","Commercial",$C1219))),Variables!$B$1:$D$1,0),1))*AC1219/365)+(L1219/16.67*INDEX(Variables!$B$8:$D$8,IFERROR(MATCH(IF($B1219="Robusta","Robusta",(IF($B1219="","Arabica",$B1219))&amp;" - "&amp;(IF($C1219="","Commercial",$C1219))),Variables!$B$1:$D$1,0),1))*AC1219)+(T1219*INDEX(Variables!$B$9:$D$9,IFERROR(MATCH(IF($B1219="Robusta","Robusta",(IF($B1219="","Arabica",$B1219))&amp;" - "&amp;(IF($C1219="","Commercial",$C1219))),Variables!$B$1:$D$1,0),1))*AC1219/365),""))</f>
        <v/>
      </c>
      <c r="AU1219" s="12" t="str">
        <f>IF($H1219="Cancelled","",IFERROR((T1219*INDEX(Variables!$B$7:$D$7,IFERROR(MATCH(IF($B1219="Robusta","Robusta",(IF($B1219="","Arabica",$B1219))&amp;" - "&amp;(IF($C1219="","Commercial",$C1219))),Variables!$B$1:$D$1,0),1))*AP1219/365)+(L1219/16.67*INDEX(Variables!$B$8:$D$8,IFERROR(MATCH(IF($B1219="Robusta","Robusta",(IF($B1219="","Arabica",$B1219))&amp;" - "&amp;(IF($C1219="","Commercial",$C1219))),Variables!$B$1:$D$1,0),1))*AP1219)+(T1219*INDEX(Variables!$B$9:$D$9,IFERROR(MATCH(IF($B1219="Robusta","Robusta",(IF($B1219="","Arabica",$B1219))&amp;" - "&amp;(IF($C1219="","Commercial",$C1219))),Variables!$B$1:$D$1,0),1))*AP1219/365),""))</f>
        <v/>
      </c>
      <c r="AV1219" s="11" t="str">
        <f t="shared" si="119"/>
        <v/>
      </c>
      <c r="AW1219" s="12" t="str">
        <f>IF($H1219="Cancelled","",IFERROR(IF(AV1219="","",(T1219*INDEX(Variables!$B$7:$D$7,IFERROR(MATCH(IF($B1219="Robusta","Robusta",(IF($B1219="","Arabica",$B1219))&amp;" - "&amp;(IF($C1219="","Commercial",$C1219))),Variables!$B$1:$D$1,0),1))*(AV1219/365))+(T1219*INDEX(Variables!$B$9:$D$9,IFERROR(MATCH(IF($B1219="Robusta","Robusta",(IF($B1219="","Arabica",$B1219))&amp;" - "&amp;(IF($C1219="","Commercial",$C1219))),Variables!$B$1:$D$1,0),1))*(AV1219/365))+(INDEX(Variables!$B$8:$D$8,IFERROR(MATCH(IF($B1219="Robusta","Robusta",(IF($B1219="","Arabica",$B1219))&amp;" - "&amp;(IF($C1219="","Commercial",$C1219))),Variables!$B$1:$D$1,0),1))*L1219/16.67)),""))</f>
        <v/>
      </c>
      <c r="AX1219" s="9"/>
      <c r="AY1219" s="12"/>
      <c r="AZ1219" s="10"/>
      <c r="BA1219" s="9"/>
      <c r="BB1219" s="10"/>
      <c r="BC1219" s="9"/>
      <c r="BD1219" s="9"/>
      <c r="BE1219" s="9"/>
      <c r="BF1219" s="9"/>
    </row>
    <row r="1220" spans="1:58" x14ac:dyDescent="0.25">
      <c r="A1220" s="9" t="s">
        <v>84</v>
      </c>
      <c r="B1220" s="9" t="s">
        <v>85</v>
      </c>
      <c r="C1220" s="9" t="s">
        <v>1486</v>
      </c>
      <c r="D1220" s="10">
        <v>46045</v>
      </c>
      <c r="E1220" s="10">
        <v>46054</v>
      </c>
      <c r="F1220" s="10">
        <v>46081</v>
      </c>
      <c r="G1220" s="9">
        <v>3787133</v>
      </c>
      <c r="H1220" s="9" t="str">
        <f t="shared" si="117"/>
        <v>Open</v>
      </c>
      <c r="I1220" s="9" t="str">
        <f t="shared" si="118"/>
        <v>No sailing date and No shipping advice sent and No docs dispatch date</v>
      </c>
      <c r="J1220" s="9" t="s">
        <v>303</v>
      </c>
      <c r="K1220" s="9" t="s">
        <v>2599</v>
      </c>
      <c r="L1220" s="11">
        <v>6</v>
      </c>
      <c r="M1220" s="9" t="s">
        <v>2600</v>
      </c>
      <c r="N1220" s="9"/>
      <c r="O1220" s="9"/>
      <c r="P1220" s="9"/>
      <c r="Q1220" s="11">
        <v>151</v>
      </c>
      <c r="R1220" s="9" t="s">
        <v>195</v>
      </c>
      <c r="S1220" s="9" t="s">
        <v>91</v>
      </c>
      <c r="T1220" s="12">
        <f>IF($H1220="Cancelled","",IFERROR(((Q1220+INDEX(Variables!$B$6:$D$6,IFERROR(MATCH(IF($B1220="Robusta","Robusta",(IF($B1220="","Arabica",$B1220))&amp;" - "&amp;(IF($C1220="","Commercial",$C1220))),Variables!$B$1:$D$1,0),1)))*22.0462)*(L1220/16.67),""))</f>
        <v>3505.7028770245947</v>
      </c>
      <c r="U1220" s="10"/>
      <c r="V1220" s="9" t="s">
        <v>195</v>
      </c>
      <c r="W1220" s="10"/>
      <c r="X1220" s="9" t="s">
        <v>195</v>
      </c>
      <c r="Y1220" s="10"/>
      <c r="Z1220" s="10">
        <f>IF($H1220="Cancelled","",IFERROR(IF(F1220="","",F1220-Variables!$B$13),""))</f>
        <v>46066</v>
      </c>
      <c r="AA1220" s="11" t="str">
        <f>IF($H1220="Cancelled","",IFERROR(IF(W1220="","",(AVERAGE(E1220:F1220)-W1220)-Variables!$B$14),""))</f>
        <v/>
      </c>
      <c r="AB1220" s="10"/>
      <c r="AC1220" s="11" t="str">
        <f>IF($H1220="Cancelled","",IFERROR(IF(AB1220="","",IF(AND(W1220="",Y1220=""),"",IF(Y1220&gt;W1220,Y1220+Variables!$B$15+Variables!$B$16+Variables!$B$17-AB1220,W1220+Variables!$B$16+Variables!$B$17-AB1220))),""))</f>
        <v/>
      </c>
      <c r="AD1220" s="9" t="s">
        <v>163</v>
      </c>
      <c r="AE1220" s="9"/>
      <c r="AF1220" s="10"/>
      <c r="AG1220" s="10"/>
      <c r="AH1220" s="9"/>
      <c r="AI1220" s="9"/>
      <c r="AJ1220" s="9"/>
      <c r="AK1220" s="10"/>
      <c r="AL1220" s="10"/>
      <c r="AM1220" s="10"/>
      <c r="AN1220" s="9" t="s">
        <v>1445</v>
      </c>
      <c r="AO1220" s="9"/>
      <c r="AP1220" s="11" t="str">
        <f>IF($H1220="Cancelled","",IFERROR(IF(OR(AK1220="",AB1220=""),"",(AB1220+Variables!$B$18-AK1220)),""))</f>
        <v/>
      </c>
      <c r="AQ1220" s="11" t="str">
        <f>IF($H1220="Cancelled","",IFERROR(IF(OR(AM1220="",AK1220=""),"",(AK1220+Variables!$B$19)-AM1220),""))</f>
        <v/>
      </c>
      <c r="AR1220" s="12" t="str">
        <f>IF($H1220="Cancelled","",IFERROR(T1220*INDEX(Variables!$B$7:$D$7,IFERROR(MATCH(IF($B1220="Robusta","Robusta",(IF($B1220="","Arabica",$B1220))&amp;" - "&amp;(IF($C1220="","Commercial",$C1220))),Variables!$B$1:$D$1,0),1))*(AQ1220/365),""))</f>
        <v/>
      </c>
      <c r="AS1220" s="12" t="str">
        <f>IF($H1220="Cancelled","",IFERROR((T1220*INDEX(Variables!$B$7:$D$7,IFERROR(MATCH(IF($B1220="Robusta","Robusta",(IF($B1220="","Arabica",$B1220))&amp;" - "&amp;(IF($C1220="","Commercial",$C1220))),Variables!$B$1:$D$1,0),1))*IFERROR(IF(W1220="","",(AVERAGE(E1220:F1220)-W1220)-Variables!$B$14),"")/365)+(L1220/16.67*INDEX(Variables!$B$8:$D$8,IFERROR(MATCH(IF($B1220="Robusta","Robusta",(IF($B1220="","Arabica",$B1220))&amp;" - "&amp;(IF($C1220="","Commercial",$C1220))),Variables!$B$1:$D$1,0),1))*IFERROR(IF(W1220="","",(AVERAGE(E1220:F1220)-W1220)-Variables!$B$14),""))+(T1220*INDEX(Variables!$B$9:$D$9,IFERROR(MATCH(IF($B1220="Robusta","Robusta",(IF($B1220="","Arabica",$B1220))&amp;" - "&amp;(IF($C1220="","Commercial",$C1220))),Variables!$B$1:$D$1,0),1))*IFERROR(IF(W1220="","",(AVERAGE(E1220:F1220)-W1220)-Variables!$B$14),"")/365),""))</f>
        <v/>
      </c>
      <c r="AT1220" s="12" t="str">
        <f>IF($H1220="Cancelled","",IFERROR((T1220*INDEX(Variables!$B$7:$D$7,IFERROR(MATCH(IF($B1220="Robusta","Robusta",(IF($B1220="","Arabica",$B1220))&amp;" - "&amp;(IF($C1220="","Commercial",$C1220))),Variables!$B$1:$D$1,0),1))*AC1220/365)+(L1220/16.67*INDEX(Variables!$B$8:$D$8,IFERROR(MATCH(IF($B1220="Robusta","Robusta",(IF($B1220="","Arabica",$B1220))&amp;" - "&amp;(IF($C1220="","Commercial",$C1220))),Variables!$B$1:$D$1,0),1))*AC1220)+(T1220*INDEX(Variables!$B$9:$D$9,IFERROR(MATCH(IF($B1220="Robusta","Robusta",(IF($B1220="","Arabica",$B1220))&amp;" - "&amp;(IF($C1220="","Commercial",$C1220))),Variables!$B$1:$D$1,0),1))*AC1220/365),""))</f>
        <v/>
      </c>
      <c r="AU1220" s="12" t="str">
        <f>IF($H1220="Cancelled","",IFERROR((T1220*INDEX(Variables!$B$7:$D$7,IFERROR(MATCH(IF($B1220="Robusta","Robusta",(IF($B1220="","Arabica",$B1220))&amp;" - "&amp;(IF($C1220="","Commercial",$C1220))),Variables!$B$1:$D$1,0),1))*AP1220/365)+(L1220/16.67*INDEX(Variables!$B$8:$D$8,IFERROR(MATCH(IF($B1220="Robusta","Robusta",(IF($B1220="","Arabica",$B1220))&amp;" - "&amp;(IF($C1220="","Commercial",$C1220))),Variables!$B$1:$D$1,0),1))*AP1220)+(T1220*INDEX(Variables!$B$9:$D$9,IFERROR(MATCH(IF($B1220="Robusta","Robusta",(IF($B1220="","Arabica",$B1220))&amp;" - "&amp;(IF($C1220="","Commercial",$C1220))),Variables!$B$1:$D$1,0),1))*AP1220/365),""))</f>
        <v/>
      </c>
      <c r="AV1220" s="11" t="str">
        <f t="shared" si="119"/>
        <v/>
      </c>
      <c r="AW1220" s="12" t="str">
        <f>IF($H1220="Cancelled","",IFERROR(IF(AV1220="","",(T1220*INDEX(Variables!$B$7:$D$7,IFERROR(MATCH(IF($B1220="Robusta","Robusta",(IF($B1220="","Arabica",$B1220))&amp;" - "&amp;(IF($C1220="","Commercial",$C1220))),Variables!$B$1:$D$1,0),1))*(AV1220/365))+(T1220*INDEX(Variables!$B$9:$D$9,IFERROR(MATCH(IF($B1220="Robusta","Robusta",(IF($B1220="","Arabica",$B1220))&amp;" - "&amp;(IF($C1220="","Commercial",$C1220))),Variables!$B$1:$D$1,0),1))*(AV1220/365))+(INDEX(Variables!$B$8:$D$8,IFERROR(MATCH(IF($B1220="Robusta","Robusta",(IF($B1220="","Arabica",$B1220))&amp;" - "&amp;(IF($C1220="","Commercial",$C1220))),Variables!$B$1:$D$1,0),1))*L1220/16.67)),""))</f>
        <v/>
      </c>
      <c r="AX1220" s="9"/>
      <c r="AY1220" s="12"/>
      <c r="AZ1220" s="10"/>
      <c r="BA1220" s="9"/>
      <c r="BB1220" s="10"/>
      <c r="BC1220" s="9"/>
      <c r="BD1220" s="9"/>
      <c r="BE1220" s="9"/>
      <c r="BF1220" s="9"/>
    </row>
    <row r="1221" spans="1:58" x14ac:dyDescent="0.25">
      <c r="A1221" s="9" t="s">
        <v>84</v>
      </c>
      <c r="B1221" s="9" t="s">
        <v>85</v>
      </c>
      <c r="C1221" s="9" t="s">
        <v>1486</v>
      </c>
      <c r="D1221" s="10">
        <v>46006</v>
      </c>
      <c r="E1221" s="10">
        <v>46023</v>
      </c>
      <c r="F1221" s="10">
        <v>46081</v>
      </c>
      <c r="G1221" s="9">
        <v>3787053</v>
      </c>
      <c r="H1221" s="9" t="str">
        <f t="shared" si="117"/>
        <v>Open</v>
      </c>
      <c r="I1221" s="9" t="str">
        <f t="shared" si="118"/>
        <v>No shipping advice sent and No docs dispatch date</v>
      </c>
      <c r="J1221" s="9" t="s">
        <v>235</v>
      </c>
      <c r="K1221" s="9" t="s">
        <v>2601</v>
      </c>
      <c r="L1221" s="11">
        <v>50</v>
      </c>
      <c r="M1221" s="9" t="s">
        <v>2602</v>
      </c>
      <c r="N1221" s="9"/>
      <c r="O1221" s="9"/>
      <c r="P1221" s="9"/>
      <c r="Q1221" s="11">
        <v>164</v>
      </c>
      <c r="R1221" s="9" t="s">
        <v>195</v>
      </c>
      <c r="S1221" s="9"/>
      <c r="T1221" s="12">
        <f>IF($H1221="Cancelled","",IFERROR(((Q1221+INDEX(Variables!$B$6:$D$6,IFERROR(MATCH(IF($B1221="Robusta","Robusta",(IF($B1221="","Arabica",$B1221))&amp;" - "&amp;(IF($C1221="","Commercial",$C1221))),Variables!$B$1:$D$1,0),1)))*22.0462)*(L1221/16.67),""))</f>
        <v>30073.820515896816</v>
      </c>
      <c r="U1221" s="10"/>
      <c r="V1221" s="9" t="str">
        <f t="shared" ref="V1221:V1252" si="120">IF(ISNUMBER(U1221),"Sent","")</f>
        <v/>
      </c>
      <c r="W1221" s="10">
        <v>46023</v>
      </c>
      <c r="X1221" s="9" t="str">
        <f t="shared" ref="X1221:X1252" si="121">IF(ISNUMBER(W1221),"Approved","")</f>
        <v>Approved</v>
      </c>
      <c r="Y1221" s="10">
        <v>46076</v>
      </c>
      <c r="Z1221" s="10">
        <f>IF($H1221="Cancelled","",IFERROR(IF(F1221="","",F1221-Variables!$B$13),""))</f>
        <v>46066</v>
      </c>
      <c r="AA1221" s="11">
        <f>IF($H1221="Cancelled","",IFERROR(IF(W1221="","",(AVERAGE(E1221:F1221)-W1221)-Variables!$B$14),""))</f>
        <v>-1</v>
      </c>
      <c r="AB1221" s="10">
        <v>46093</v>
      </c>
      <c r="AC1221" s="11">
        <f>IF($H1221="Cancelled","",IFERROR(IF(AB1221="","",IF(AND(W1221="",Y1221=""),"",IF(Y1221&gt;W1221,Y1221+Variables!$B$15+Variables!$B$16+Variables!$B$17-AB1221,W1221+Variables!$B$16+Variables!$B$17-AB1221))),""))</f>
        <v>-2</v>
      </c>
      <c r="AD1221" s="9" t="s">
        <v>107</v>
      </c>
      <c r="AE1221" s="9" t="s">
        <v>2603</v>
      </c>
      <c r="AF1221" s="10"/>
      <c r="AG1221" s="10"/>
      <c r="AH1221" s="9"/>
      <c r="AI1221" s="9" t="s">
        <v>2604</v>
      </c>
      <c r="AJ1221" s="9"/>
      <c r="AK1221" s="10">
        <v>46100</v>
      </c>
      <c r="AL1221" s="10"/>
      <c r="AM1221" s="10"/>
      <c r="AN1221" s="9" t="s">
        <v>2605</v>
      </c>
      <c r="AO1221" s="9"/>
      <c r="AP1221" s="11">
        <f>IF($H1221="Cancelled","",IFERROR(IF(OR(AK1221="",AB1221=""),"",(AB1221+Variables!$B$18-AK1221)),""))</f>
        <v>0</v>
      </c>
      <c r="AQ1221" s="11" t="str">
        <f>IF($H1221="Cancelled","",IFERROR(IF(OR(AM1221="",AK1221=""),"",(AK1221+Variables!$B$19)-AM1221),""))</f>
        <v/>
      </c>
      <c r="AR1221" s="12" t="str">
        <f>IF($H1221="Cancelled","",IFERROR(T1221*INDEX(Variables!$B$7:$D$7,IFERROR(MATCH(IF($B1221="Robusta","Robusta",(IF($B1221="","Arabica",$B1221))&amp;" - "&amp;(IF($C1221="","Commercial",$C1221))),Variables!$B$1:$D$1,0),1))*(AQ1221/365),""))</f>
        <v/>
      </c>
      <c r="AS1221" s="12">
        <f>IF($H1221="Cancelled","",IFERROR((T1221*INDEX(Variables!$B$7:$D$7,IFERROR(MATCH(IF($B1221="Robusta","Robusta",(IF($B1221="","Arabica",$B1221))&amp;" - "&amp;(IF($C1221="","Commercial",$C1221))),Variables!$B$1:$D$1,0),1))*IFERROR(IF(W1221="","",(AVERAGE(E1221:F1221)-W1221)-Variables!$B$14),"")/365)+(L1221/16.67*INDEX(Variables!$B$8:$D$8,IFERROR(MATCH(IF($B1221="Robusta","Robusta",(IF($B1221="","Arabica",$B1221))&amp;" - "&amp;(IF($C1221="","Commercial",$C1221))),Variables!$B$1:$D$1,0),1))*IFERROR(IF(W1221="","",(AVERAGE(E1221:F1221)-W1221)-Variables!$B$14),""))+(T1221*INDEX(Variables!$B$9:$D$9,IFERROR(MATCH(IF($B1221="Robusta","Robusta",(IF($B1221="","Arabica",$B1221))&amp;" - "&amp;(IF($C1221="","Commercial",$C1221))),Variables!$B$1:$D$1,0),1))*IFERROR(IF(W1221="","",(AVERAGE(E1221:F1221)-W1221)-Variables!$B$14),"")/365),""))</f>
        <v>-7.881442400726101</v>
      </c>
      <c r="AT1221" s="12">
        <f>IF($H1221="Cancelled","",IFERROR((T1221*INDEX(Variables!$B$7:$D$7,IFERROR(MATCH(IF($B1221="Robusta","Robusta",(IF($B1221="","Arabica",$B1221))&amp;" - "&amp;(IF($C1221="","Commercial",$C1221))),Variables!$B$1:$D$1,0),1))*AC1221/365)+(L1221/16.67*INDEX(Variables!$B$8:$D$8,IFERROR(MATCH(IF($B1221="Robusta","Robusta",(IF($B1221="","Arabica",$B1221))&amp;" - "&amp;(IF($C1221="","Commercial",$C1221))),Variables!$B$1:$D$1,0),1))*AC1221)+(T1221*INDEX(Variables!$B$9:$D$9,IFERROR(MATCH(IF($B1221="Robusta","Robusta",(IF($B1221="","Arabica",$B1221))&amp;" - "&amp;(IF($C1221="","Commercial",$C1221))),Variables!$B$1:$D$1,0),1))*AC1221/365),""))</f>
        <v>-15.762884801452202</v>
      </c>
      <c r="AU1221" s="12">
        <f>IF($H1221="Cancelled","",IFERROR((T1221*INDEX(Variables!$B$7:$D$7,IFERROR(MATCH(IF($B1221="Robusta","Robusta",(IF($B1221="","Arabica",$B1221))&amp;" - "&amp;(IF($C1221="","Commercial",$C1221))),Variables!$B$1:$D$1,0),1))*AP1221/365)+(L1221/16.67*INDEX(Variables!$B$8:$D$8,IFERROR(MATCH(IF($B1221="Robusta","Robusta",(IF($B1221="","Arabica",$B1221))&amp;" - "&amp;(IF($C1221="","Commercial",$C1221))),Variables!$B$1:$D$1,0),1))*AP1221)+(T1221*INDEX(Variables!$B$9:$D$9,IFERROR(MATCH(IF($B1221="Robusta","Robusta",(IF($B1221="","Arabica",$B1221))&amp;" - "&amp;(IF($C1221="","Commercial",$C1221))),Variables!$B$1:$D$1,0),1))*AP1221/365),""))</f>
        <v>0</v>
      </c>
      <c r="AV1221" s="11">
        <f t="shared" si="119"/>
        <v>-19</v>
      </c>
      <c r="AW1221" s="12">
        <f>IF($H1221="Cancelled","",IFERROR(IF(AV1221="","",(T1221*INDEX(Variables!$B$7:$D$7,IFERROR(MATCH(IF($B1221="Robusta","Robusta",(IF($B1221="","Arabica",$B1221))&amp;" - "&amp;(IF($C1221="","Commercial",$C1221))),Variables!$B$1:$D$1,0),1))*(AV1221/365))+(T1221*INDEX(Variables!$B$9:$D$9,IFERROR(MATCH(IF($B1221="Robusta","Robusta",(IF($B1221="","Arabica",$B1221))&amp;" - "&amp;(IF($C1221="","Commercial",$C1221))),Variables!$B$1:$D$1,0),1))*(AV1221/365))+(INDEX(Variables!$B$8:$D$8,IFERROR(MATCH(IF($B1221="Robusta","Robusta",(IF($B1221="","Arabica",$B1221))&amp;" - "&amp;(IF($C1221="","Commercial",$C1221))),Variables!$B$1:$D$1,0),1))*L1221/16.67)),""))</f>
        <v>-99.747405613795905</v>
      </c>
      <c r="AX1221" s="9"/>
      <c r="AY1221" s="12"/>
      <c r="AZ1221" s="10"/>
      <c r="BA1221" s="9"/>
      <c r="BB1221" s="10"/>
      <c r="BC1221" s="9"/>
      <c r="BD1221" s="9"/>
      <c r="BE1221" s="9"/>
      <c r="BF1221" s="9"/>
    </row>
    <row r="1222" spans="1:58" x14ac:dyDescent="0.25">
      <c r="A1222" s="9" t="s">
        <v>84</v>
      </c>
      <c r="B1222" s="9" t="s">
        <v>85</v>
      </c>
      <c r="C1222" s="9" t="s">
        <v>1486</v>
      </c>
      <c r="D1222" s="10">
        <v>46006</v>
      </c>
      <c r="E1222" s="10">
        <v>46023</v>
      </c>
      <c r="F1222" s="10">
        <v>46081</v>
      </c>
      <c r="G1222" s="9">
        <v>3787059</v>
      </c>
      <c r="H1222" s="9" t="str">
        <f t="shared" si="117"/>
        <v>Open</v>
      </c>
      <c r="I1222" s="9" t="str">
        <f t="shared" si="118"/>
        <v>No shipping advice sent and No docs dispatch date</v>
      </c>
      <c r="J1222" s="9" t="s">
        <v>235</v>
      </c>
      <c r="K1222" s="9" t="s">
        <v>2606</v>
      </c>
      <c r="L1222" s="11">
        <v>30</v>
      </c>
      <c r="M1222" s="9" t="s">
        <v>2607</v>
      </c>
      <c r="N1222" s="9"/>
      <c r="O1222" s="9"/>
      <c r="P1222" s="9"/>
      <c r="Q1222" s="11">
        <v>163</v>
      </c>
      <c r="R1222" s="9" t="s">
        <v>195</v>
      </c>
      <c r="S1222" s="9"/>
      <c r="T1222" s="12">
        <f>IF($H1222="Cancelled","",IFERROR(((Q1222+INDEX(Variables!$B$6:$D$6,IFERROR(MATCH(IF($B1222="Robusta","Robusta",(IF($B1222="","Arabica",$B1222))&amp;" - "&amp;(IF($C1222="","Commercial",$C1222))),Variables!$B$1:$D$1,0),1)))*22.0462)*(L1222/16.67),""))</f>
        <v>18004.617084583078</v>
      </c>
      <c r="U1222" s="10"/>
      <c r="V1222" s="9" t="str">
        <f t="shared" si="120"/>
        <v/>
      </c>
      <c r="W1222" s="10">
        <v>46023</v>
      </c>
      <c r="X1222" s="9" t="str">
        <f t="shared" si="121"/>
        <v>Approved</v>
      </c>
      <c r="Y1222" s="10">
        <v>46076</v>
      </c>
      <c r="Z1222" s="10">
        <f>IF($H1222="Cancelled","",IFERROR(IF(F1222="","",F1222-Variables!$B$13),""))</f>
        <v>46066</v>
      </c>
      <c r="AA1222" s="11">
        <f>IF($H1222="Cancelled","",IFERROR(IF(W1222="","",(AVERAGE(E1222:F1222)-W1222)-Variables!$B$14),""))</f>
        <v>-1</v>
      </c>
      <c r="AB1222" s="10">
        <v>46093</v>
      </c>
      <c r="AC1222" s="11">
        <f>IF($H1222="Cancelled","",IFERROR(IF(AB1222="","",IF(AND(W1222="",Y1222=""),"",IF(Y1222&gt;W1222,Y1222+Variables!$B$15+Variables!$B$16+Variables!$B$17-AB1222,W1222+Variables!$B$16+Variables!$B$17-AB1222))),""))</f>
        <v>-2</v>
      </c>
      <c r="AD1222" s="9" t="s">
        <v>107</v>
      </c>
      <c r="AE1222" s="9" t="s">
        <v>2603</v>
      </c>
      <c r="AF1222" s="10"/>
      <c r="AG1222" s="10"/>
      <c r="AH1222" s="9"/>
      <c r="AI1222" s="9" t="s">
        <v>2604</v>
      </c>
      <c r="AJ1222" s="9"/>
      <c r="AK1222" s="10">
        <v>46100</v>
      </c>
      <c r="AL1222" s="10"/>
      <c r="AM1222" s="10"/>
      <c r="AN1222" s="9" t="s">
        <v>2605</v>
      </c>
      <c r="AO1222" s="9"/>
      <c r="AP1222" s="11">
        <f>IF($H1222="Cancelled","",IFERROR(IF(OR(AK1222="",AB1222=""),"",(AB1222+Variables!$B$18-AK1222)),""))</f>
        <v>0</v>
      </c>
      <c r="AQ1222" s="11" t="str">
        <f>IF($H1222="Cancelled","",IFERROR(IF(OR(AM1222="",AK1222=""),"",(AK1222+Variables!$B$19)-AM1222),""))</f>
        <v/>
      </c>
      <c r="AR1222" s="12" t="str">
        <f>IF($H1222="Cancelled","",IFERROR(T1222*INDEX(Variables!$B$7:$D$7,IFERROR(MATCH(IF($B1222="Robusta","Robusta",(IF($B1222="","Arabica",$B1222))&amp;" - "&amp;(IF($C1222="","Commercial",$C1222))),Variables!$B$1:$D$1,0),1))*(AQ1222/365),""))</f>
        <v/>
      </c>
      <c r="AS1222" s="12">
        <f>IF($H1222="Cancelled","",IFERROR((T1222*INDEX(Variables!$B$7:$D$7,IFERROR(MATCH(IF($B1222="Robusta","Robusta",(IF($B1222="","Arabica",$B1222))&amp;" - "&amp;(IF($C1222="","Commercial",$C1222))),Variables!$B$1:$D$1,0),1))*IFERROR(IF(W1222="","",(AVERAGE(E1222:F1222)-W1222)-Variables!$B$14),"")/365)+(L1222/16.67*INDEX(Variables!$B$8:$D$8,IFERROR(MATCH(IF($B1222="Robusta","Robusta",(IF($B1222="","Arabica",$B1222))&amp;" - "&amp;(IF($C1222="","Commercial",$C1222))),Variables!$B$1:$D$1,0),1))*IFERROR(IF(W1222="","",(AVERAGE(E1222:F1222)-W1222)-Variables!$B$14),""))+(T1222*INDEX(Variables!$B$9:$D$9,IFERROR(MATCH(IF($B1222="Robusta","Robusta",(IF($B1222="","Arabica",$B1222))&amp;" - "&amp;(IF($C1222="","Commercial",$C1222))),Variables!$B$1:$D$1,0),1))*IFERROR(IF(W1222="","",(AVERAGE(E1222:F1222)-W1222)-Variables!$B$14),"")/365),""))</f>
        <v>-4.7217659122025122</v>
      </c>
      <c r="AT1222" s="12">
        <f>IF($H1222="Cancelled","",IFERROR((T1222*INDEX(Variables!$B$7:$D$7,IFERROR(MATCH(IF($B1222="Robusta","Robusta",(IF($B1222="","Arabica",$B1222))&amp;" - "&amp;(IF($C1222="","Commercial",$C1222))),Variables!$B$1:$D$1,0),1))*AC1222/365)+(L1222/16.67*INDEX(Variables!$B$8:$D$8,IFERROR(MATCH(IF($B1222="Robusta","Robusta",(IF($B1222="","Arabica",$B1222))&amp;" - "&amp;(IF($C1222="","Commercial",$C1222))),Variables!$B$1:$D$1,0),1))*AC1222)+(T1222*INDEX(Variables!$B$9:$D$9,IFERROR(MATCH(IF($B1222="Robusta","Robusta",(IF($B1222="","Arabica",$B1222))&amp;" - "&amp;(IF($C1222="","Commercial",$C1222))),Variables!$B$1:$D$1,0),1))*AC1222/365),""))</f>
        <v>-9.4435318244050244</v>
      </c>
      <c r="AU1222" s="12">
        <f>IF($H1222="Cancelled","",IFERROR((T1222*INDEX(Variables!$B$7:$D$7,IFERROR(MATCH(IF($B1222="Robusta","Robusta",(IF($B1222="","Arabica",$B1222))&amp;" - "&amp;(IF($C1222="","Commercial",$C1222))),Variables!$B$1:$D$1,0),1))*AP1222/365)+(L1222/16.67*INDEX(Variables!$B$8:$D$8,IFERROR(MATCH(IF($B1222="Robusta","Robusta",(IF($B1222="","Arabica",$B1222))&amp;" - "&amp;(IF($C1222="","Commercial",$C1222))),Variables!$B$1:$D$1,0),1))*AP1222)+(T1222*INDEX(Variables!$B$9:$D$9,IFERROR(MATCH(IF($B1222="Robusta","Robusta",(IF($B1222="","Arabica",$B1222))&amp;" - "&amp;(IF($C1222="","Commercial",$C1222))),Variables!$B$1:$D$1,0),1))*AP1222/365),""))</f>
        <v>0</v>
      </c>
      <c r="AV1222" s="11">
        <f t="shared" si="119"/>
        <v>-19</v>
      </c>
      <c r="AW1222" s="12">
        <f>IF($H1222="Cancelled","",IFERROR(IF(AV1222="","",(T1222*INDEX(Variables!$B$7:$D$7,IFERROR(MATCH(IF($B1222="Robusta","Robusta",(IF($B1222="","Arabica",$B1222))&amp;" - "&amp;(IF($C1222="","Commercial",$C1222))),Variables!$B$1:$D$1,0),1))*(AV1222/365))+(T1222*INDEX(Variables!$B$9:$D$9,IFERROR(MATCH(IF($B1222="Robusta","Robusta",(IF($B1222="","Arabica",$B1222))&amp;" - "&amp;(IF($C1222="","Commercial",$C1222))),Variables!$B$1:$D$1,0),1))*(AV1222/365))+(INDEX(Variables!$B$8:$D$8,IFERROR(MATCH(IF($B1222="Robusta","Robusta",(IF($B1222="","Arabica",$B1222))&amp;" - "&amp;(IF($C1222="","Commercial",$C1222))),Variables!$B$1:$D$1,0),1))*L1222/16.67)),""))</f>
        <v>-59.71355233184773</v>
      </c>
      <c r="AX1222" s="9"/>
      <c r="AY1222" s="12"/>
      <c r="AZ1222" s="10"/>
      <c r="BA1222" s="9"/>
      <c r="BB1222" s="10"/>
      <c r="BC1222" s="9"/>
      <c r="BD1222" s="9"/>
      <c r="BE1222" s="9"/>
      <c r="BF1222" s="9"/>
    </row>
    <row r="1223" spans="1:58" x14ac:dyDescent="0.25">
      <c r="A1223" s="9" t="s">
        <v>84</v>
      </c>
      <c r="B1223" s="9" t="s">
        <v>85</v>
      </c>
      <c r="C1223" s="9" t="s">
        <v>1486</v>
      </c>
      <c r="D1223" s="10">
        <v>46006</v>
      </c>
      <c r="E1223" s="10">
        <v>46023</v>
      </c>
      <c r="F1223" s="10">
        <v>46081</v>
      </c>
      <c r="G1223" s="9">
        <v>3787052</v>
      </c>
      <c r="H1223" s="9" t="str">
        <f t="shared" si="117"/>
        <v>Open</v>
      </c>
      <c r="I1223" s="9" t="str">
        <f t="shared" si="118"/>
        <v>No shipping advice sent and No docs dispatch date</v>
      </c>
      <c r="J1223" s="9" t="s">
        <v>235</v>
      </c>
      <c r="K1223" s="9" t="s">
        <v>2608</v>
      </c>
      <c r="L1223" s="11">
        <v>25</v>
      </c>
      <c r="M1223" s="9" t="s">
        <v>2609</v>
      </c>
      <c r="N1223" s="9"/>
      <c r="O1223" s="9"/>
      <c r="P1223" s="9"/>
      <c r="Q1223" s="11">
        <v>147</v>
      </c>
      <c r="R1223" s="9" t="s">
        <v>195</v>
      </c>
      <c r="S1223" s="9"/>
      <c r="T1223" s="12">
        <f>IF($H1223="Cancelled","",IFERROR(((Q1223+INDEX(Variables!$B$6:$D$6,IFERROR(MATCH(IF($B1223="Robusta","Robusta",(IF($B1223="","Arabica",$B1223))&amp;" - "&amp;(IF($C1223="","Commercial",$C1223))),Variables!$B$1:$D$1,0),1)))*22.0462)*(L1223/16.67),""))</f>
        <v>14474.84457108578</v>
      </c>
      <c r="U1223" s="10"/>
      <c r="V1223" s="9" t="str">
        <f t="shared" si="120"/>
        <v/>
      </c>
      <c r="W1223" s="10">
        <v>46023</v>
      </c>
      <c r="X1223" s="9" t="str">
        <f t="shared" si="121"/>
        <v>Approved</v>
      </c>
      <c r="Y1223" s="10">
        <v>46076</v>
      </c>
      <c r="Z1223" s="10">
        <f>IF($H1223="Cancelled","",IFERROR(IF(F1223="","",F1223-Variables!$B$13),""))</f>
        <v>46066</v>
      </c>
      <c r="AA1223" s="11">
        <f>IF($H1223="Cancelled","",IFERROR(IF(W1223="","",(AVERAGE(E1223:F1223)-W1223)-Variables!$B$14),""))</f>
        <v>-1</v>
      </c>
      <c r="AB1223" s="10">
        <v>46093</v>
      </c>
      <c r="AC1223" s="11">
        <f>IF($H1223="Cancelled","",IFERROR(IF(AB1223="","",IF(AND(W1223="",Y1223=""),"",IF(Y1223&gt;W1223,Y1223+Variables!$B$15+Variables!$B$16+Variables!$B$17-AB1223,W1223+Variables!$B$16+Variables!$B$17-AB1223))),""))</f>
        <v>-2</v>
      </c>
      <c r="AD1223" s="9" t="s">
        <v>107</v>
      </c>
      <c r="AE1223" s="9" t="s">
        <v>2603</v>
      </c>
      <c r="AF1223" s="10"/>
      <c r="AG1223" s="10"/>
      <c r="AH1223" s="9"/>
      <c r="AI1223" s="9" t="s">
        <v>2604</v>
      </c>
      <c r="AJ1223" s="9"/>
      <c r="AK1223" s="10">
        <v>46100</v>
      </c>
      <c r="AL1223" s="10"/>
      <c r="AM1223" s="10"/>
      <c r="AN1223" s="9" t="s">
        <v>2605</v>
      </c>
      <c r="AO1223" s="9"/>
      <c r="AP1223" s="11">
        <f>IF($H1223="Cancelled","",IFERROR(IF(OR(AK1223="",AB1223=""),"",(AB1223+Variables!$B$18-AK1223)),""))</f>
        <v>0</v>
      </c>
      <c r="AQ1223" s="11" t="str">
        <f>IF($H1223="Cancelled","",IFERROR(IF(OR(AM1223="",AK1223=""),"",(AK1223+Variables!$B$19)-AM1223),""))</f>
        <v/>
      </c>
      <c r="AR1223" s="12" t="str">
        <f>IF($H1223="Cancelled","",IFERROR(T1223*INDEX(Variables!$B$7:$D$7,IFERROR(MATCH(IF($B1223="Robusta","Robusta",(IF($B1223="","Arabica",$B1223))&amp;" - "&amp;(IF($C1223="","Commercial",$C1223))),Variables!$B$1:$D$1,0),1))*(AQ1223/365),""))</f>
        <v/>
      </c>
      <c r="AS1223" s="12">
        <f>IF($H1223="Cancelled","",IFERROR((T1223*INDEX(Variables!$B$7:$D$7,IFERROR(MATCH(IF($B1223="Robusta","Robusta",(IF($B1223="","Arabica",$B1223))&amp;" - "&amp;(IF($C1223="","Commercial",$C1223))),Variables!$B$1:$D$1,0),1))*IFERROR(IF(W1223="","",(AVERAGE(E1223:F1223)-W1223)-Variables!$B$14),"")/365)+(L1223/16.67*INDEX(Variables!$B$8:$D$8,IFERROR(MATCH(IF($B1223="Robusta","Robusta",(IF($B1223="","Arabica",$B1223))&amp;" - "&amp;(IF($C1223="","Commercial",$C1223))),Variables!$B$1:$D$1,0),1))*IFERROR(IF(W1223="","",(AVERAGE(E1223:F1223)-W1223)-Variables!$B$14),""))+(T1223*INDEX(Variables!$B$9:$D$9,IFERROR(MATCH(IF($B1223="Robusta","Robusta",(IF($B1223="","Arabica",$B1223))&amp;" - "&amp;(IF($C1223="","Commercial",$C1223))),Variables!$B$1:$D$1,0),1))*IFERROR(IF(W1223="","",(AVERAGE(E1223:F1223)-W1223)-Variables!$B$14),"")/365),""))</f>
        <v>-3.8401445503934548</v>
      </c>
      <c r="AT1223" s="12">
        <f>IF($H1223="Cancelled","",IFERROR((T1223*INDEX(Variables!$B$7:$D$7,IFERROR(MATCH(IF($B1223="Robusta","Robusta",(IF($B1223="","Arabica",$B1223))&amp;" - "&amp;(IF($C1223="","Commercial",$C1223))),Variables!$B$1:$D$1,0),1))*AC1223/365)+(L1223/16.67*INDEX(Variables!$B$8:$D$8,IFERROR(MATCH(IF($B1223="Robusta","Robusta",(IF($B1223="","Arabica",$B1223))&amp;" - "&amp;(IF($C1223="","Commercial",$C1223))),Variables!$B$1:$D$1,0),1))*AC1223)+(T1223*INDEX(Variables!$B$9:$D$9,IFERROR(MATCH(IF($B1223="Robusta","Robusta",(IF($B1223="","Arabica",$B1223))&amp;" - "&amp;(IF($C1223="","Commercial",$C1223))),Variables!$B$1:$D$1,0),1))*AC1223/365),""))</f>
        <v>-7.6802891007869096</v>
      </c>
      <c r="AU1223" s="12">
        <f>IF($H1223="Cancelled","",IFERROR((T1223*INDEX(Variables!$B$7:$D$7,IFERROR(MATCH(IF($B1223="Robusta","Robusta",(IF($B1223="","Arabica",$B1223))&amp;" - "&amp;(IF($C1223="","Commercial",$C1223))),Variables!$B$1:$D$1,0),1))*AP1223/365)+(L1223/16.67*INDEX(Variables!$B$8:$D$8,IFERROR(MATCH(IF($B1223="Robusta","Robusta",(IF($B1223="","Arabica",$B1223))&amp;" - "&amp;(IF($C1223="","Commercial",$C1223))),Variables!$B$1:$D$1,0),1))*AP1223)+(T1223*INDEX(Variables!$B$9:$D$9,IFERROR(MATCH(IF($B1223="Robusta","Robusta",(IF($B1223="","Arabica",$B1223))&amp;" - "&amp;(IF($C1223="","Commercial",$C1223))),Variables!$B$1:$D$1,0),1))*AP1223/365),""))</f>
        <v>0</v>
      </c>
      <c r="AV1223" s="11">
        <f t="shared" si="119"/>
        <v>-19</v>
      </c>
      <c r="AW1223" s="12">
        <f>IF($H1223="Cancelled","",IFERROR(IF(AV1223="","",(T1223*INDEX(Variables!$B$7:$D$7,IFERROR(MATCH(IF($B1223="Robusta","Robusta",(IF($B1223="","Arabica",$B1223))&amp;" - "&amp;(IF($C1223="","Commercial",$C1223))),Variables!$B$1:$D$1,0),1))*(AV1223/365))+(T1223*INDEX(Variables!$B$9:$D$9,IFERROR(MATCH(IF($B1223="Robusta","Robusta",(IF($B1223="","Arabica",$B1223))&amp;" - "&amp;(IF($C1223="","Commercial",$C1223))),Variables!$B$1:$D$1,0),1))*(AV1223/365))+(INDEX(Variables!$B$8:$D$8,IFERROR(MATCH(IF($B1223="Robusta","Robusta",(IF($B1223="","Arabica",$B1223))&amp;" - "&amp;(IF($C1223="","Commercial",$C1223))),Variables!$B$1:$D$1,0),1))*L1223/16.67)),""))</f>
        <v>-47.962746457475646</v>
      </c>
      <c r="AX1223" s="9"/>
      <c r="AY1223" s="12"/>
      <c r="AZ1223" s="10"/>
      <c r="BA1223" s="9"/>
      <c r="BB1223" s="10"/>
      <c r="BC1223" s="9"/>
      <c r="BD1223" s="9"/>
      <c r="BE1223" s="9"/>
      <c r="BF1223" s="9"/>
    </row>
    <row r="1224" spans="1:58" x14ac:dyDescent="0.25">
      <c r="A1224" s="9" t="s">
        <v>84</v>
      </c>
      <c r="B1224" s="9" t="s">
        <v>85</v>
      </c>
      <c r="C1224" s="9" t="s">
        <v>1486</v>
      </c>
      <c r="D1224" s="10">
        <v>46006</v>
      </c>
      <c r="E1224" s="10">
        <v>46023</v>
      </c>
      <c r="F1224" s="10">
        <v>46081</v>
      </c>
      <c r="G1224" s="9">
        <v>3787057</v>
      </c>
      <c r="H1224" s="9" t="str">
        <f t="shared" si="117"/>
        <v>Open</v>
      </c>
      <c r="I1224" s="9" t="str">
        <f t="shared" si="118"/>
        <v>No shipping advice sent and No docs dispatch date</v>
      </c>
      <c r="J1224" s="9" t="s">
        <v>235</v>
      </c>
      <c r="K1224" s="9" t="s">
        <v>2610</v>
      </c>
      <c r="L1224" s="11">
        <v>20</v>
      </c>
      <c r="M1224" s="9" t="s">
        <v>2611</v>
      </c>
      <c r="N1224" s="9"/>
      <c r="O1224" s="9"/>
      <c r="P1224" s="9"/>
      <c r="Q1224" s="11">
        <v>118</v>
      </c>
      <c r="R1224" s="9" t="s">
        <v>195</v>
      </c>
      <c r="S1224" s="9"/>
      <c r="T1224" s="12">
        <f>IF($H1224="Cancelled","",IFERROR(((Q1224+INDEX(Variables!$B$6:$D$6,IFERROR(MATCH(IF($B1224="Robusta","Robusta",(IF($B1224="","Arabica",$B1224))&amp;" - "&amp;(IF($C1224="","Commercial",$C1224))),Variables!$B$1:$D$1,0),1)))*22.0462)*(L1224/16.67),""))</f>
        <v>10812.82130773845</v>
      </c>
      <c r="U1224" s="10"/>
      <c r="V1224" s="9" t="str">
        <f t="shared" si="120"/>
        <v/>
      </c>
      <c r="W1224" s="10">
        <v>46023</v>
      </c>
      <c r="X1224" s="9" t="str">
        <f t="shared" si="121"/>
        <v>Approved</v>
      </c>
      <c r="Y1224" s="10">
        <v>46076</v>
      </c>
      <c r="Z1224" s="10">
        <f>IF($H1224="Cancelled","",IFERROR(IF(F1224="","",F1224-Variables!$B$13),""))</f>
        <v>46066</v>
      </c>
      <c r="AA1224" s="11">
        <f>IF($H1224="Cancelled","",IFERROR(IF(W1224="","",(AVERAGE(E1224:F1224)-W1224)-Variables!$B$14),""))</f>
        <v>-1</v>
      </c>
      <c r="AB1224" s="10">
        <v>46093</v>
      </c>
      <c r="AC1224" s="11">
        <f>IF($H1224="Cancelled","",IFERROR(IF(AB1224="","",IF(AND(W1224="",Y1224=""),"",IF(Y1224&gt;W1224,Y1224+Variables!$B$15+Variables!$B$16+Variables!$B$17-AB1224,W1224+Variables!$B$16+Variables!$B$17-AB1224))),""))</f>
        <v>-2</v>
      </c>
      <c r="AD1224" s="9" t="s">
        <v>107</v>
      </c>
      <c r="AE1224" s="9" t="s">
        <v>2603</v>
      </c>
      <c r="AF1224" s="10"/>
      <c r="AG1224" s="10"/>
      <c r="AH1224" s="9"/>
      <c r="AI1224" s="9" t="s">
        <v>2604</v>
      </c>
      <c r="AJ1224" s="9"/>
      <c r="AK1224" s="10">
        <v>46100</v>
      </c>
      <c r="AL1224" s="10"/>
      <c r="AM1224" s="10"/>
      <c r="AN1224" s="9" t="s">
        <v>2605</v>
      </c>
      <c r="AO1224" s="9"/>
      <c r="AP1224" s="11">
        <f>IF($H1224="Cancelled","",IFERROR(IF(OR(AK1224="",AB1224=""),"",(AB1224+Variables!$B$18-AK1224)),""))</f>
        <v>0</v>
      </c>
      <c r="AQ1224" s="11" t="str">
        <f>IF($H1224="Cancelled","",IFERROR(IF(OR(AM1224="",AK1224=""),"",(AK1224+Variables!$B$19)-AM1224),""))</f>
        <v/>
      </c>
      <c r="AR1224" s="12" t="str">
        <f>IF($H1224="Cancelled","",IFERROR(T1224*INDEX(Variables!$B$7:$D$7,IFERROR(MATCH(IF($B1224="Robusta","Robusta",(IF($B1224="","Arabica",$B1224))&amp;" - "&amp;(IF($C1224="","Commercial",$C1224))),Variables!$B$1:$D$1,0),1))*(AQ1224/365),""))</f>
        <v/>
      </c>
      <c r="AS1224" s="12">
        <f>IF($H1224="Cancelled","",IFERROR((T1224*INDEX(Variables!$B$7:$D$7,IFERROR(MATCH(IF($B1224="Robusta","Robusta",(IF($B1224="","Arabica",$B1224))&amp;" - "&amp;(IF($C1224="","Commercial",$C1224))),Variables!$B$1:$D$1,0),1))*IFERROR(IF(W1224="","",(AVERAGE(E1224:F1224)-W1224)-Variables!$B$14),"")/365)+(L1224/16.67*INDEX(Variables!$B$8:$D$8,IFERROR(MATCH(IF($B1224="Robusta","Robusta",(IF($B1224="","Arabica",$B1224))&amp;" - "&amp;(IF($C1224="","Commercial",$C1224))),Variables!$B$1:$D$1,0),1))*IFERROR(IF(W1224="","",(AVERAGE(E1224:F1224)-W1224)-Variables!$B$14),""))+(T1224*INDEX(Variables!$B$9:$D$9,IFERROR(MATCH(IF($B1224="Robusta","Robusta",(IF($B1224="","Arabica",$B1224))&amp;" - "&amp;(IF($C1224="","Commercial",$C1224))),Variables!$B$1:$D$1,0),1))*IFERROR(IF(W1224="","",(AVERAGE(E1224:F1224)-W1224)-Variables!$B$14),"")/365),""))</f>
        <v>-2.9348580944739053</v>
      </c>
      <c r="AT1224" s="12">
        <f>IF($H1224="Cancelled","",IFERROR((T1224*INDEX(Variables!$B$7:$D$7,IFERROR(MATCH(IF($B1224="Robusta","Robusta",(IF($B1224="","Arabica",$B1224))&amp;" - "&amp;(IF($C1224="","Commercial",$C1224))),Variables!$B$1:$D$1,0),1))*AC1224/365)+(L1224/16.67*INDEX(Variables!$B$8:$D$8,IFERROR(MATCH(IF($B1224="Robusta","Robusta",(IF($B1224="","Arabica",$B1224))&amp;" - "&amp;(IF($C1224="","Commercial",$C1224))),Variables!$B$1:$D$1,0),1))*AC1224)+(T1224*INDEX(Variables!$B$9:$D$9,IFERROR(MATCH(IF($B1224="Robusta","Robusta",(IF($B1224="","Arabica",$B1224))&amp;" - "&amp;(IF($C1224="","Commercial",$C1224))),Variables!$B$1:$D$1,0),1))*AC1224/365),""))</f>
        <v>-5.8697161889478107</v>
      </c>
      <c r="AU1224" s="12">
        <f>IF($H1224="Cancelled","",IFERROR((T1224*INDEX(Variables!$B$7:$D$7,IFERROR(MATCH(IF($B1224="Robusta","Robusta",(IF($B1224="","Arabica",$B1224))&amp;" - "&amp;(IF($C1224="","Commercial",$C1224))),Variables!$B$1:$D$1,0),1))*AP1224/365)+(L1224/16.67*INDEX(Variables!$B$8:$D$8,IFERROR(MATCH(IF($B1224="Robusta","Robusta",(IF($B1224="","Arabica",$B1224))&amp;" - "&amp;(IF($C1224="","Commercial",$C1224))),Variables!$B$1:$D$1,0),1))*AP1224)+(T1224*INDEX(Variables!$B$9:$D$9,IFERROR(MATCH(IF($B1224="Robusta","Robusta",(IF($B1224="","Arabica",$B1224))&amp;" - "&amp;(IF($C1224="","Commercial",$C1224))),Variables!$B$1:$D$1,0),1))*AP1224/365),""))</f>
        <v>0</v>
      </c>
      <c r="AV1224" s="11">
        <f t="shared" si="119"/>
        <v>-19</v>
      </c>
      <c r="AW1224" s="12">
        <f>IF($H1224="Cancelled","",IFERROR(IF(AV1224="","",(T1224*INDEX(Variables!$B$7:$D$7,IFERROR(MATCH(IF($B1224="Robusta","Robusta",(IF($B1224="","Arabica",$B1224))&amp;" - "&amp;(IF($C1224="","Commercial",$C1224))),Variables!$B$1:$D$1,0),1))*(AV1224/365))+(T1224*INDEX(Variables!$B$9:$D$9,IFERROR(MATCH(IF($B1224="Robusta","Robusta",(IF($B1224="","Arabica",$B1224))&amp;" - "&amp;(IF($C1224="","Commercial",$C1224))),Variables!$B$1:$D$1,0),1))*(AV1224/365))+(INDEX(Variables!$B$8:$D$8,IFERROR(MATCH(IF($B1224="Robusta","Robusta",(IF($B1224="","Arabica",$B1224))&amp;" - "&amp;(IF($C1224="","Commercial",$C1224))),Variables!$B$1:$D$1,0),1))*L1224/16.67)),""))</f>
        <v>-35.762303795004193</v>
      </c>
      <c r="AX1224" s="9"/>
      <c r="AY1224" s="12"/>
      <c r="AZ1224" s="10"/>
      <c r="BA1224" s="9"/>
      <c r="BB1224" s="10"/>
      <c r="BC1224" s="9"/>
      <c r="BD1224" s="9"/>
      <c r="BE1224" s="9"/>
      <c r="BF1224" s="9"/>
    </row>
    <row r="1225" spans="1:58" x14ac:dyDescent="0.25">
      <c r="A1225" s="9" t="s">
        <v>84</v>
      </c>
      <c r="B1225" s="9" t="s">
        <v>85</v>
      </c>
      <c r="C1225" s="9" t="s">
        <v>1486</v>
      </c>
      <c r="D1225" s="10">
        <v>46036</v>
      </c>
      <c r="E1225" s="10">
        <v>46054</v>
      </c>
      <c r="F1225" s="10">
        <v>46081</v>
      </c>
      <c r="G1225" s="9">
        <v>3787102</v>
      </c>
      <c r="H1225" s="9" t="str">
        <f t="shared" si="117"/>
        <v>Open</v>
      </c>
      <c r="I1225" s="9" t="str">
        <f t="shared" si="118"/>
        <v>No shipping advice sent and No docs dispatch date</v>
      </c>
      <c r="J1225" s="9" t="s">
        <v>235</v>
      </c>
      <c r="K1225" s="9" t="s">
        <v>2612</v>
      </c>
      <c r="L1225" s="11">
        <v>16</v>
      </c>
      <c r="M1225" s="9" t="s">
        <v>2613</v>
      </c>
      <c r="N1225" s="9"/>
      <c r="O1225" s="9"/>
      <c r="P1225" s="9"/>
      <c r="Q1225" s="11">
        <v>123</v>
      </c>
      <c r="R1225" s="9" t="s">
        <v>195</v>
      </c>
      <c r="S1225" s="9"/>
      <c r="T1225" s="12">
        <f>IF($H1225="Cancelled","",IFERROR(((Q1225+INDEX(Variables!$B$6:$D$6,IFERROR(MATCH(IF($B1225="Robusta","Robusta",(IF($B1225="","Arabica",$B1225))&amp;" - "&amp;(IF($C1225="","Commercial",$C1225))),Variables!$B$1:$D$1,0),1)))*22.0462)*(L1225/16.67),""))</f>
        <v>8756.0576460707834</v>
      </c>
      <c r="U1225" s="10"/>
      <c r="V1225" s="9" t="str">
        <f t="shared" si="120"/>
        <v/>
      </c>
      <c r="W1225" s="10">
        <v>46023</v>
      </c>
      <c r="X1225" s="9" t="str">
        <f t="shared" si="121"/>
        <v>Approved</v>
      </c>
      <c r="Y1225" s="10">
        <v>46076</v>
      </c>
      <c r="Z1225" s="10">
        <f>IF($H1225="Cancelled","",IFERROR(IF(F1225="","",F1225-Variables!$B$13),""))</f>
        <v>46066</v>
      </c>
      <c r="AA1225" s="11">
        <f>IF($H1225="Cancelled","",IFERROR(IF(W1225="","",(AVERAGE(E1225:F1225)-W1225)-Variables!$B$14),""))</f>
        <v>14.5</v>
      </c>
      <c r="AB1225" s="10">
        <v>46093</v>
      </c>
      <c r="AC1225" s="11">
        <f>IF($H1225="Cancelled","",IFERROR(IF(AB1225="","",IF(AND(W1225="",Y1225=""),"",IF(Y1225&gt;W1225,Y1225+Variables!$B$15+Variables!$B$16+Variables!$B$17-AB1225,W1225+Variables!$B$16+Variables!$B$17-AB1225))),""))</f>
        <v>-2</v>
      </c>
      <c r="AD1225" s="9" t="s">
        <v>107</v>
      </c>
      <c r="AE1225" s="9" t="s">
        <v>2603</v>
      </c>
      <c r="AF1225" s="10"/>
      <c r="AG1225" s="10"/>
      <c r="AH1225" s="9"/>
      <c r="AI1225" s="9" t="s">
        <v>2604</v>
      </c>
      <c r="AJ1225" s="9"/>
      <c r="AK1225" s="10">
        <v>46100</v>
      </c>
      <c r="AL1225" s="10"/>
      <c r="AM1225" s="10"/>
      <c r="AN1225" s="9" t="s">
        <v>2605</v>
      </c>
      <c r="AO1225" s="9"/>
      <c r="AP1225" s="11">
        <f>IF($H1225="Cancelled","",IFERROR(IF(OR(AK1225="",AB1225=""),"",(AB1225+Variables!$B$18-AK1225)),""))</f>
        <v>0</v>
      </c>
      <c r="AQ1225" s="11" t="str">
        <f>IF($H1225="Cancelled","",IFERROR(IF(OR(AM1225="",AK1225=""),"",(AK1225+Variables!$B$19)-AM1225),""))</f>
        <v/>
      </c>
      <c r="AR1225" s="12" t="str">
        <f>IF($H1225="Cancelled","",IFERROR(T1225*INDEX(Variables!$B$7:$D$7,IFERROR(MATCH(IF($B1225="Robusta","Robusta",(IF($B1225="","Arabica",$B1225))&amp;" - "&amp;(IF($C1225="","Commercial",$C1225))),Variables!$B$1:$D$1,0),1))*(AQ1225/365),""))</f>
        <v/>
      </c>
      <c r="AS1225" s="12">
        <f>IF($H1225="Cancelled","",IFERROR((T1225*INDEX(Variables!$B$7:$D$7,IFERROR(MATCH(IF($B1225="Robusta","Robusta",(IF($B1225="","Arabica",$B1225))&amp;" - "&amp;(IF($C1225="","Commercial",$C1225))),Variables!$B$1:$D$1,0),1))*IFERROR(IF(W1225="","",(AVERAGE(E1225:F1225)-W1225)-Variables!$B$14),"")/365)+(L1225/16.67*INDEX(Variables!$B$8:$D$8,IFERROR(MATCH(IF($B1225="Robusta","Robusta",(IF($B1225="","Arabica",$B1225))&amp;" - "&amp;(IF($C1225="","Commercial",$C1225))),Variables!$B$1:$D$1,0),1))*IFERROR(IF(W1225="","",(AVERAGE(E1225:F1225)-W1225)-Variables!$B$14),""))+(T1225*INDEX(Variables!$B$9:$D$9,IFERROR(MATCH(IF($B1225="Robusta","Robusta",(IF($B1225="","Arabica",$B1225))&amp;" - "&amp;(IF($C1225="","Commercial",$C1225))),Variables!$B$1:$D$1,0),1))*IFERROR(IF(W1225="","",(AVERAGE(E1225:F1225)-W1225)-Variables!$B$14),"")/365),""))</f>
        <v>34.318868987579016</v>
      </c>
      <c r="AT1225" s="12">
        <f>IF($H1225="Cancelled","",IFERROR((T1225*INDEX(Variables!$B$7:$D$7,IFERROR(MATCH(IF($B1225="Robusta","Robusta",(IF($B1225="","Arabica",$B1225))&amp;" - "&amp;(IF($C1225="","Commercial",$C1225))),Variables!$B$1:$D$1,0),1))*AC1225/365)+(L1225/16.67*INDEX(Variables!$B$8:$D$8,IFERROR(MATCH(IF($B1225="Robusta","Robusta",(IF($B1225="","Arabica",$B1225))&amp;" - "&amp;(IF($C1225="","Commercial",$C1225))),Variables!$B$1:$D$1,0),1))*AC1225)+(T1225*INDEX(Variables!$B$9:$D$9,IFERROR(MATCH(IF($B1225="Robusta","Robusta",(IF($B1225="","Arabica",$B1225))&amp;" - "&amp;(IF($C1225="","Commercial",$C1225))),Variables!$B$1:$D$1,0),1))*AC1225/365),""))</f>
        <v>-4.7336371017350363</v>
      </c>
      <c r="AU1225" s="12">
        <f>IF($H1225="Cancelled","",IFERROR((T1225*INDEX(Variables!$B$7:$D$7,IFERROR(MATCH(IF($B1225="Robusta","Robusta",(IF($B1225="","Arabica",$B1225))&amp;" - "&amp;(IF($C1225="","Commercial",$C1225))),Variables!$B$1:$D$1,0),1))*AP1225/365)+(L1225/16.67*INDEX(Variables!$B$8:$D$8,IFERROR(MATCH(IF($B1225="Robusta","Robusta",(IF($B1225="","Arabica",$B1225))&amp;" - "&amp;(IF($C1225="","Commercial",$C1225))),Variables!$B$1:$D$1,0),1))*AP1225)+(T1225*INDEX(Variables!$B$9:$D$9,IFERROR(MATCH(IF($B1225="Robusta","Robusta",(IF($B1225="","Arabica",$B1225))&amp;" - "&amp;(IF($C1225="","Commercial",$C1225))),Variables!$B$1:$D$1,0),1))*AP1225/365),""))</f>
        <v>0</v>
      </c>
      <c r="AV1225" s="11">
        <f t="shared" si="119"/>
        <v>-19</v>
      </c>
      <c r="AW1225" s="12">
        <f>IF($H1225="Cancelled","",IFERROR(IF(AV1225="","",(T1225*INDEX(Variables!$B$7:$D$7,IFERROR(MATCH(IF($B1225="Robusta","Robusta",(IF($B1225="","Arabica",$B1225))&amp;" - "&amp;(IF($C1225="","Commercial",$C1225))),Variables!$B$1:$D$1,0),1))*(AV1225/365))+(T1225*INDEX(Variables!$B$9:$D$9,IFERROR(MATCH(IF($B1225="Robusta","Robusta",(IF($B1225="","Arabica",$B1225))&amp;" - "&amp;(IF($C1225="","Commercial",$C1225))),Variables!$B$1:$D$1,0),1))*(AV1225/365))+(INDEX(Variables!$B$8:$D$8,IFERROR(MATCH(IF($B1225="Robusta","Robusta",(IF($B1225="","Arabica",$B1225))&amp;" - "&amp;(IF($C1225="","Commercial",$C1225))),Variables!$B$1:$D$1,0),1))*L1225/16.67)),""))</f>
        <v>-28.969552466482845</v>
      </c>
      <c r="AX1225" s="9"/>
      <c r="AY1225" s="12"/>
      <c r="AZ1225" s="10"/>
      <c r="BA1225" s="9"/>
      <c r="BB1225" s="10"/>
      <c r="BC1225" s="9"/>
      <c r="BD1225" s="9"/>
      <c r="BE1225" s="9"/>
      <c r="BF1225" s="9"/>
    </row>
    <row r="1226" spans="1:58" x14ac:dyDescent="0.25">
      <c r="A1226" s="9" t="s">
        <v>84</v>
      </c>
      <c r="B1226" s="9" t="s">
        <v>85</v>
      </c>
      <c r="C1226" s="9" t="s">
        <v>1486</v>
      </c>
      <c r="D1226" s="10">
        <v>46036</v>
      </c>
      <c r="E1226" s="10">
        <v>46054</v>
      </c>
      <c r="F1226" s="10">
        <v>46081</v>
      </c>
      <c r="G1226" s="9">
        <v>3787103</v>
      </c>
      <c r="H1226" s="9" t="str">
        <f t="shared" si="117"/>
        <v>Open</v>
      </c>
      <c r="I1226" s="9" t="str">
        <f t="shared" si="118"/>
        <v>No shipping advice sent and No docs dispatch date</v>
      </c>
      <c r="J1226" s="9" t="s">
        <v>235</v>
      </c>
      <c r="K1226" s="9" t="s">
        <v>2614</v>
      </c>
      <c r="L1226" s="11">
        <v>27</v>
      </c>
      <c r="M1226" s="9" t="s">
        <v>2615</v>
      </c>
      <c r="N1226" s="9"/>
      <c r="O1226" s="9"/>
      <c r="P1226" s="9"/>
      <c r="Q1226" s="11">
        <v>157</v>
      </c>
      <c r="R1226" s="9" t="s">
        <v>195</v>
      </c>
      <c r="S1226" s="9"/>
      <c r="T1226" s="12">
        <f>IF($H1226="Cancelled","",IFERROR(((Q1226+INDEX(Variables!$B$6:$D$6,IFERROR(MATCH(IF($B1226="Robusta","Robusta",(IF($B1226="","Arabica",$B1226))&amp;" - "&amp;(IF($C1226="","Commercial",$C1226))),Variables!$B$1:$D$1,0),1)))*22.0462)*(L1226/16.67),""))</f>
        <v>15989.909161367726</v>
      </c>
      <c r="U1226" s="10"/>
      <c r="V1226" s="9" t="str">
        <f t="shared" si="120"/>
        <v/>
      </c>
      <c r="W1226" s="10">
        <v>46023</v>
      </c>
      <c r="X1226" s="9" t="str">
        <f t="shared" si="121"/>
        <v>Approved</v>
      </c>
      <c r="Y1226" s="10">
        <v>46076</v>
      </c>
      <c r="Z1226" s="10">
        <f>IF($H1226="Cancelled","",IFERROR(IF(F1226="","",F1226-Variables!$B$13),""))</f>
        <v>46066</v>
      </c>
      <c r="AA1226" s="11">
        <f>IF($H1226="Cancelled","",IFERROR(IF(W1226="","",(AVERAGE(E1226:F1226)-W1226)-Variables!$B$14),""))</f>
        <v>14.5</v>
      </c>
      <c r="AB1226" s="10">
        <v>46093</v>
      </c>
      <c r="AC1226" s="11">
        <f>IF($H1226="Cancelled","",IFERROR(IF(AB1226="","",IF(AND(W1226="",Y1226=""),"",IF(Y1226&gt;W1226,Y1226+Variables!$B$15+Variables!$B$16+Variables!$B$17-AB1226,W1226+Variables!$B$16+Variables!$B$17-AB1226))),""))</f>
        <v>-2</v>
      </c>
      <c r="AD1226" s="9" t="s">
        <v>107</v>
      </c>
      <c r="AE1226" s="9" t="s">
        <v>2603</v>
      </c>
      <c r="AF1226" s="10"/>
      <c r="AG1226" s="10"/>
      <c r="AH1226" s="9"/>
      <c r="AI1226" s="9" t="s">
        <v>2604</v>
      </c>
      <c r="AJ1226" s="9"/>
      <c r="AK1226" s="10">
        <v>46100</v>
      </c>
      <c r="AL1226" s="10"/>
      <c r="AM1226" s="10"/>
      <c r="AN1226" s="9" t="s">
        <v>2605</v>
      </c>
      <c r="AO1226" s="9"/>
      <c r="AP1226" s="11">
        <f>IF($H1226="Cancelled","",IFERROR(IF(OR(AK1226="",AB1226=""),"",(AB1226+Variables!$B$18-AK1226)),""))</f>
        <v>0</v>
      </c>
      <c r="AQ1226" s="11" t="str">
        <f>IF($H1226="Cancelled","",IFERROR(IF(OR(AM1226="",AK1226=""),"",(AK1226+Variables!$B$19)-AM1226),""))</f>
        <v/>
      </c>
      <c r="AR1226" s="12" t="str">
        <f>IF($H1226="Cancelled","",IFERROR(T1226*INDEX(Variables!$B$7:$D$7,IFERROR(MATCH(IF($B1226="Robusta","Robusta",(IF($B1226="","Arabica",$B1226))&amp;" - "&amp;(IF($C1226="","Commercial",$C1226))),Variables!$B$1:$D$1,0),1))*(AQ1226/365),""))</f>
        <v/>
      </c>
      <c r="AS1226" s="12">
        <f>IF($H1226="Cancelled","",IFERROR((T1226*INDEX(Variables!$B$7:$D$7,IFERROR(MATCH(IF($B1226="Robusta","Robusta",(IF($B1226="","Arabica",$B1226))&amp;" - "&amp;(IF($C1226="","Commercial",$C1226))),Variables!$B$1:$D$1,0),1))*IFERROR(IF(W1226="","",(AVERAGE(E1226:F1226)-W1226)-Variables!$B$14),"")/365)+(L1226/16.67*INDEX(Variables!$B$8:$D$8,IFERROR(MATCH(IF($B1226="Robusta","Robusta",(IF($B1226="","Arabica",$B1226))&amp;" - "&amp;(IF($C1226="","Commercial",$C1226))),Variables!$B$1:$D$1,0),1))*IFERROR(IF(W1226="","",(AVERAGE(E1226:F1226)-W1226)-Variables!$B$14),""))+(T1226*INDEX(Variables!$B$9:$D$9,IFERROR(MATCH(IF($B1226="Robusta","Robusta",(IF($B1226="","Arabica",$B1226))&amp;" - "&amp;(IF($C1226="","Commercial",$C1226))),Variables!$B$1:$D$1,0),1))*IFERROR(IF(W1226="","",(AVERAGE(E1226:F1226)-W1226)-Variables!$B$14),"")/365),""))</f>
        <v>61.06315209358732</v>
      </c>
      <c r="AT1226" s="12">
        <f>IF($H1226="Cancelled","",IFERROR((T1226*INDEX(Variables!$B$7:$D$7,IFERROR(MATCH(IF($B1226="Robusta","Robusta",(IF($B1226="","Arabica",$B1226))&amp;" - "&amp;(IF($C1226="","Commercial",$C1226))),Variables!$B$1:$D$1,0),1))*AC1226/365)+(L1226/16.67*INDEX(Variables!$B$8:$D$8,IFERROR(MATCH(IF($B1226="Robusta","Robusta",(IF($B1226="","Arabica",$B1226))&amp;" - "&amp;(IF($C1226="","Commercial",$C1226))),Variables!$B$1:$D$1,0),1))*AC1226)+(T1226*INDEX(Variables!$B$9:$D$9,IFERROR(MATCH(IF($B1226="Robusta","Robusta",(IF($B1226="","Arabica",$B1226))&amp;" - "&amp;(IF($C1226="","Commercial",$C1226))),Variables!$B$1:$D$1,0),1))*AC1226/365),""))</f>
        <v>-8.4225037370465277</v>
      </c>
      <c r="AU1226" s="12">
        <f>IF($H1226="Cancelled","",IFERROR((T1226*INDEX(Variables!$B$7:$D$7,IFERROR(MATCH(IF($B1226="Robusta","Robusta",(IF($B1226="","Arabica",$B1226))&amp;" - "&amp;(IF($C1226="","Commercial",$C1226))),Variables!$B$1:$D$1,0),1))*AP1226/365)+(L1226/16.67*INDEX(Variables!$B$8:$D$8,IFERROR(MATCH(IF($B1226="Robusta","Robusta",(IF($B1226="","Arabica",$B1226))&amp;" - "&amp;(IF($C1226="","Commercial",$C1226))),Variables!$B$1:$D$1,0),1))*AP1226)+(T1226*INDEX(Variables!$B$9:$D$9,IFERROR(MATCH(IF($B1226="Robusta","Robusta",(IF($B1226="","Arabica",$B1226))&amp;" - "&amp;(IF($C1226="","Commercial",$C1226))),Variables!$B$1:$D$1,0),1))*AP1226/365),""))</f>
        <v>0</v>
      </c>
      <c r="AV1226" s="11">
        <f t="shared" si="119"/>
        <v>-19</v>
      </c>
      <c r="AW1226" s="12">
        <f>IF($H1226="Cancelled","",IFERROR(IF(AV1226="","",(T1226*INDEX(Variables!$B$7:$D$7,IFERROR(MATCH(IF($B1226="Robusta","Robusta",(IF($B1226="","Arabica",$B1226))&amp;" - "&amp;(IF($C1226="","Commercial",$C1226))),Variables!$B$1:$D$1,0),1))*(AV1226/365))+(T1226*INDEX(Variables!$B$9:$D$9,IFERROR(MATCH(IF($B1226="Robusta","Robusta",(IF($B1226="","Arabica",$B1226))&amp;" - "&amp;(IF($C1226="","Commercial",$C1226))),Variables!$B$1:$D$1,0),1))*(AV1226/365))+(INDEX(Variables!$B$8:$D$8,IFERROR(MATCH(IF($B1226="Robusta","Robusta",(IF($B1226="","Arabica",$B1226))&amp;" - "&amp;(IF($C1226="","Commercial",$C1226))),Variables!$B$1:$D$1,0),1))*L1226/16.67)),""))</f>
        <v>-53.013785501941996</v>
      </c>
      <c r="AX1226" s="9"/>
      <c r="AY1226" s="12"/>
      <c r="AZ1226" s="10"/>
      <c r="BA1226" s="9"/>
      <c r="BB1226" s="10"/>
      <c r="BC1226" s="9"/>
      <c r="BD1226" s="9"/>
      <c r="BE1226" s="9"/>
      <c r="BF1226" s="9"/>
    </row>
    <row r="1227" spans="1:58" x14ac:dyDescent="0.25">
      <c r="A1227" s="9" t="s">
        <v>84</v>
      </c>
      <c r="B1227" s="9" t="s">
        <v>85</v>
      </c>
      <c r="C1227" s="9" t="s">
        <v>1486</v>
      </c>
      <c r="D1227" s="10">
        <v>46036</v>
      </c>
      <c r="E1227" s="10">
        <v>46054</v>
      </c>
      <c r="F1227" s="10">
        <v>46081</v>
      </c>
      <c r="G1227" s="9">
        <v>3787104</v>
      </c>
      <c r="H1227" s="9" t="str">
        <f t="shared" si="117"/>
        <v>Open</v>
      </c>
      <c r="I1227" s="9" t="str">
        <f t="shared" si="118"/>
        <v>No shipping advice sent and No docs dispatch date</v>
      </c>
      <c r="J1227" s="9" t="s">
        <v>235</v>
      </c>
      <c r="K1227" s="9" t="s">
        <v>2616</v>
      </c>
      <c r="L1227" s="11">
        <v>8</v>
      </c>
      <c r="M1227" s="9" t="s">
        <v>2617</v>
      </c>
      <c r="N1227" s="9"/>
      <c r="O1227" s="9"/>
      <c r="P1227" s="9"/>
      <c r="Q1227" s="11">
        <v>105</v>
      </c>
      <c r="R1227" s="9" t="s">
        <v>195</v>
      </c>
      <c r="S1227" s="9"/>
      <c r="T1227" s="12">
        <f>IF($H1227="Cancelled","",IFERROR(((Q1227+INDEX(Variables!$B$6:$D$6,IFERROR(MATCH(IF($B1227="Robusta","Robusta",(IF($B1227="","Arabica",$B1227))&amp;" - "&amp;(IF($C1227="","Commercial",$C1227))),Variables!$B$1:$D$1,0),1)))*22.0462)*(L1227/16.67),""))</f>
        <v>4187.5877432513489</v>
      </c>
      <c r="U1227" s="10"/>
      <c r="V1227" s="9" t="str">
        <f t="shared" si="120"/>
        <v/>
      </c>
      <c r="W1227" s="10">
        <v>46023</v>
      </c>
      <c r="X1227" s="9" t="str">
        <f t="shared" si="121"/>
        <v>Approved</v>
      </c>
      <c r="Y1227" s="10">
        <v>46076</v>
      </c>
      <c r="Z1227" s="10">
        <f>IF($H1227="Cancelled","",IFERROR(IF(F1227="","",F1227-Variables!$B$13),""))</f>
        <v>46066</v>
      </c>
      <c r="AA1227" s="11">
        <f>IF($H1227="Cancelled","",IFERROR(IF(W1227="","",(AVERAGE(E1227:F1227)-W1227)-Variables!$B$14),""))</f>
        <v>14.5</v>
      </c>
      <c r="AB1227" s="10">
        <v>46093</v>
      </c>
      <c r="AC1227" s="11">
        <f>IF($H1227="Cancelled","",IFERROR(IF(AB1227="","",IF(AND(W1227="",Y1227=""),"",IF(Y1227&gt;W1227,Y1227+Variables!$B$15+Variables!$B$16+Variables!$B$17-AB1227,W1227+Variables!$B$16+Variables!$B$17-AB1227))),""))</f>
        <v>-2</v>
      </c>
      <c r="AD1227" s="9" t="s">
        <v>107</v>
      </c>
      <c r="AE1227" s="9" t="s">
        <v>2603</v>
      </c>
      <c r="AF1227" s="10"/>
      <c r="AG1227" s="10"/>
      <c r="AH1227" s="9"/>
      <c r="AI1227" s="9" t="s">
        <v>2604</v>
      </c>
      <c r="AJ1227" s="9"/>
      <c r="AK1227" s="10">
        <v>46100</v>
      </c>
      <c r="AL1227" s="10"/>
      <c r="AM1227" s="10"/>
      <c r="AN1227" s="9" t="s">
        <v>2605</v>
      </c>
      <c r="AO1227" s="9"/>
      <c r="AP1227" s="11">
        <f>IF($H1227="Cancelled","",IFERROR(IF(OR(AK1227="",AB1227=""),"",(AB1227+Variables!$B$18-AK1227)),""))</f>
        <v>0</v>
      </c>
      <c r="AQ1227" s="11" t="str">
        <f>IF($H1227="Cancelled","",IFERROR(IF(OR(AM1227="",AK1227=""),"",(AK1227+Variables!$B$19)-AM1227),""))</f>
        <v/>
      </c>
      <c r="AR1227" s="12" t="str">
        <f>IF($H1227="Cancelled","",IFERROR(T1227*INDEX(Variables!$B$7:$D$7,IFERROR(MATCH(IF($B1227="Robusta","Robusta",(IF($B1227="","Arabica",$B1227))&amp;" - "&amp;(IF($C1227="","Commercial",$C1227))),Variables!$B$1:$D$1,0),1))*(AQ1227/365),""))</f>
        <v/>
      </c>
      <c r="AS1227" s="12">
        <f>IF($H1227="Cancelled","",IFERROR((T1227*INDEX(Variables!$B$7:$D$7,IFERROR(MATCH(IF($B1227="Robusta","Robusta",(IF($B1227="","Arabica",$B1227))&amp;" - "&amp;(IF($C1227="","Commercial",$C1227))),Variables!$B$1:$D$1,0),1))*IFERROR(IF(W1227="","",(AVERAGE(E1227:F1227)-W1227)-Variables!$B$14),"")/365)+(L1227/16.67*INDEX(Variables!$B$8:$D$8,IFERROR(MATCH(IF($B1227="Robusta","Robusta",(IF($B1227="","Arabica",$B1227))&amp;" - "&amp;(IF($C1227="","Commercial",$C1227))),Variables!$B$1:$D$1,0),1))*IFERROR(IF(W1227="","",(AVERAGE(E1227:F1227)-W1227)-Variables!$B$14),""))+(T1227*INDEX(Variables!$B$9:$D$9,IFERROR(MATCH(IF($B1227="Robusta","Robusta",(IF($B1227="","Arabica",$B1227))&amp;" - "&amp;(IF($C1227="","Commercial",$C1227))),Variables!$B$1:$D$1,0),1))*IFERROR(IF(W1227="","",(AVERAGE(E1227:F1227)-W1227)-Variables!$B$14),"")/365),""))</f>
        <v>16.66530732876242</v>
      </c>
      <c r="AT1227" s="12">
        <f>IF($H1227="Cancelled","",IFERROR((T1227*INDEX(Variables!$B$7:$D$7,IFERROR(MATCH(IF($B1227="Robusta","Robusta",(IF($B1227="","Arabica",$B1227))&amp;" - "&amp;(IF($C1227="","Commercial",$C1227))),Variables!$B$1:$D$1,0),1))*AC1227/365)+(L1227/16.67*INDEX(Variables!$B$8:$D$8,IFERROR(MATCH(IF($B1227="Robusta","Robusta",(IF($B1227="","Arabica",$B1227))&amp;" - "&amp;(IF($C1227="","Commercial",$C1227))),Variables!$B$1:$D$1,0),1))*AC1227)+(T1227*INDEX(Variables!$B$9:$D$9,IFERROR(MATCH(IF($B1227="Robusta","Robusta",(IF($B1227="","Arabica",$B1227))&amp;" - "&amp;(IF($C1227="","Commercial",$C1227))),Variables!$B$1:$D$1,0),1))*AC1227/365),""))</f>
        <v>-2.2986630798292986</v>
      </c>
      <c r="AU1227" s="12">
        <f>IF($H1227="Cancelled","",IFERROR((T1227*INDEX(Variables!$B$7:$D$7,IFERROR(MATCH(IF($B1227="Robusta","Robusta",(IF($B1227="","Arabica",$B1227))&amp;" - "&amp;(IF($C1227="","Commercial",$C1227))),Variables!$B$1:$D$1,0),1))*AP1227/365)+(L1227/16.67*INDEX(Variables!$B$8:$D$8,IFERROR(MATCH(IF($B1227="Robusta","Robusta",(IF($B1227="","Arabica",$B1227))&amp;" - "&amp;(IF($C1227="","Commercial",$C1227))),Variables!$B$1:$D$1,0),1))*AP1227)+(T1227*INDEX(Variables!$B$9:$D$9,IFERROR(MATCH(IF($B1227="Robusta","Robusta",(IF($B1227="","Arabica",$B1227))&amp;" - "&amp;(IF($C1227="","Commercial",$C1227))),Variables!$B$1:$D$1,0),1))*AP1227/365),""))</f>
        <v>0</v>
      </c>
      <c r="AV1227" s="11">
        <f t="shared" si="119"/>
        <v>-19</v>
      </c>
      <c r="AW1227" s="12">
        <f>IF($H1227="Cancelled","",IFERROR(IF(AV1227="","",(T1227*INDEX(Variables!$B$7:$D$7,IFERROR(MATCH(IF($B1227="Robusta","Robusta",(IF($B1227="","Arabica",$B1227))&amp;" - "&amp;(IF($C1227="","Commercial",$C1227))),Variables!$B$1:$D$1,0),1))*(AV1227/365))+(T1227*INDEX(Variables!$B$9:$D$9,IFERROR(MATCH(IF($B1227="Robusta","Robusta",(IF($B1227="","Arabica",$B1227))&amp;" - "&amp;(IF($C1227="","Commercial",$C1227))),Variables!$B$1:$D$1,0),1))*(AV1227/365))+(INDEX(Variables!$B$8:$D$8,IFERROR(MATCH(IF($B1227="Robusta","Robusta",(IF($B1227="","Arabica",$B1227))&amp;" - "&amp;(IF($C1227="","Commercial",$C1227))),Variables!$B$1:$D$1,0),1))*L1227/16.67)),""))</f>
        <v>-13.837299258378337</v>
      </c>
      <c r="AX1227" s="9"/>
      <c r="AY1227" s="12"/>
      <c r="AZ1227" s="10"/>
      <c r="BA1227" s="9"/>
      <c r="BB1227" s="10"/>
      <c r="BC1227" s="9"/>
      <c r="BD1227" s="9"/>
      <c r="BE1227" s="9"/>
      <c r="BF1227" s="9"/>
    </row>
    <row r="1228" spans="1:58" x14ac:dyDescent="0.25">
      <c r="A1228" s="9" t="s">
        <v>84</v>
      </c>
      <c r="B1228" s="9" t="s">
        <v>85</v>
      </c>
      <c r="C1228" s="9" t="s">
        <v>1486</v>
      </c>
      <c r="D1228" s="10">
        <v>46036</v>
      </c>
      <c r="E1228" s="10">
        <v>46054</v>
      </c>
      <c r="F1228" s="10">
        <v>46081</v>
      </c>
      <c r="G1228" s="9">
        <v>3787105</v>
      </c>
      <c r="H1228" s="9" t="str">
        <f t="shared" si="117"/>
        <v>Open</v>
      </c>
      <c r="I1228" s="9" t="str">
        <f t="shared" si="118"/>
        <v>No shipping advice sent and No docs dispatch date</v>
      </c>
      <c r="J1228" s="9" t="s">
        <v>235</v>
      </c>
      <c r="K1228" s="9" t="s">
        <v>2618</v>
      </c>
      <c r="L1228" s="11">
        <v>25</v>
      </c>
      <c r="M1228" s="9" t="s">
        <v>2619</v>
      </c>
      <c r="N1228" s="9"/>
      <c r="O1228" s="9"/>
      <c r="P1228" s="9"/>
      <c r="Q1228" s="11">
        <v>126</v>
      </c>
      <c r="R1228" s="9" t="s">
        <v>195</v>
      </c>
      <c r="S1228" s="9"/>
      <c r="T1228" s="12">
        <f>IF($H1228="Cancelled","",IFERROR(((Q1228+INDEX(Variables!$B$6:$D$6,IFERROR(MATCH(IF($B1228="Robusta","Robusta",(IF($B1228="","Arabica",$B1228))&amp;" - "&amp;(IF($C1228="","Commercial",$C1228))),Variables!$B$1:$D$1,0),1)))*22.0462)*(L1228/16.67),""))</f>
        <v>13780.528134373122</v>
      </c>
      <c r="U1228" s="10"/>
      <c r="V1228" s="9" t="str">
        <f t="shared" si="120"/>
        <v/>
      </c>
      <c r="W1228" s="10">
        <v>46023</v>
      </c>
      <c r="X1228" s="9" t="str">
        <f t="shared" si="121"/>
        <v>Approved</v>
      </c>
      <c r="Y1228" s="10">
        <v>46076</v>
      </c>
      <c r="Z1228" s="10">
        <f>IF($H1228="Cancelled","",IFERROR(IF(F1228="","",F1228-Variables!$B$13),""))</f>
        <v>46066</v>
      </c>
      <c r="AA1228" s="11">
        <f>IF($H1228="Cancelled","",IFERROR(IF(W1228="","",(AVERAGE(E1228:F1228)-W1228)-Variables!$B$14),""))</f>
        <v>14.5</v>
      </c>
      <c r="AB1228" s="10">
        <v>46093</v>
      </c>
      <c r="AC1228" s="11">
        <f>IF($H1228="Cancelled","",IFERROR(IF(AB1228="","",IF(AND(W1228="",Y1228=""),"",IF(Y1228&gt;W1228,Y1228+Variables!$B$15+Variables!$B$16+Variables!$B$17-AB1228,W1228+Variables!$B$16+Variables!$B$17-AB1228))),""))</f>
        <v>-2</v>
      </c>
      <c r="AD1228" s="9" t="s">
        <v>107</v>
      </c>
      <c r="AE1228" s="9" t="s">
        <v>2603</v>
      </c>
      <c r="AF1228" s="10"/>
      <c r="AG1228" s="10"/>
      <c r="AH1228" s="9"/>
      <c r="AI1228" s="9" t="s">
        <v>2604</v>
      </c>
      <c r="AJ1228" s="9"/>
      <c r="AK1228" s="10">
        <v>46100</v>
      </c>
      <c r="AL1228" s="10"/>
      <c r="AM1228" s="10"/>
      <c r="AN1228" s="9" t="s">
        <v>2605</v>
      </c>
      <c r="AO1228" s="9"/>
      <c r="AP1228" s="11">
        <f>IF($H1228="Cancelled","",IFERROR(IF(OR(AK1228="",AB1228=""),"",(AB1228+Variables!$B$18-AK1228)),""))</f>
        <v>0</v>
      </c>
      <c r="AQ1228" s="11" t="str">
        <f>IF($H1228="Cancelled","",IFERROR(IF(OR(AM1228="",AK1228=""),"",(AK1228+Variables!$B$19)-AM1228),""))</f>
        <v/>
      </c>
      <c r="AR1228" s="12" t="str">
        <f>IF($H1228="Cancelled","",IFERROR(T1228*INDEX(Variables!$B$7:$D$7,IFERROR(MATCH(IF($B1228="Robusta","Robusta",(IF($B1228="","Arabica",$B1228))&amp;" - "&amp;(IF($C1228="","Commercial",$C1228))),Variables!$B$1:$D$1,0),1))*(AQ1228/365),""))</f>
        <v/>
      </c>
      <c r="AS1228" s="12">
        <f>IF($H1228="Cancelled","",IFERROR((T1228*INDEX(Variables!$B$7:$D$7,IFERROR(MATCH(IF($B1228="Robusta","Robusta",(IF($B1228="","Arabica",$B1228))&amp;" - "&amp;(IF($C1228="","Commercial",$C1228))),Variables!$B$1:$D$1,0),1))*IFERROR(IF(W1228="","",(AVERAGE(E1228:F1228)-W1228)-Variables!$B$14),"")/365)+(L1228/16.67*INDEX(Variables!$B$8:$D$8,IFERROR(MATCH(IF($B1228="Robusta","Robusta",(IF($B1228="","Arabica",$B1228))&amp;" - "&amp;(IF($C1228="","Commercial",$C1228))),Variables!$B$1:$D$1,0),1))*IFERROR(IF(W1228="","",(AVERAGE(E1228:F1228)-W1228)-Variables!$B$14),""))+(T1228*INDEX(Variables!$B$9:$D$9,IFERROR(MATCH(IF($B1228="Robusta","Robusta",(IF($B1228="","Arabica",$B1228))&amp;" - "&amp;(IF($C1228="","Commercial",$C1228))),Variables!$B$1:$D$1,0),1))*IFERROR(IF(W1228="","",(AVERAGE(E1228:F1228)-W1228)-Variables!$B$14),"")/365),""))</f>
        <v>53.880590691543823</v>
      </c>
      <c r="AT1228" s="12">
        <f>IF($H1228="Cancelled","",IFERROR((T1228*INDEX(Variables!$B$7:$D$7,IFERROR(MATCH(IF($B1228="Robusta","Robusta",(IF($B1228="","Arabica",$B1228))&amp;" - "&amp;(IF($C1228="","Commercial",$C1228))),Variables!$B$1:$D$1,0),1))*AC1228/365)+(L1228/16.67*INDEX(Variables!$B$8:$D$8,IFERROR(MATCH(IF($B1228="Robusta","Robusta",(IF($B1228="","Arabica",$B1228))&amp;" - "&amp;(IF($C1228="","Commercial",$C1228))),Variables!$B$1:$D$1,0),1))*AC1228)+(T1228*INDEX(Variables!$B$9:$D$9,IFERROR(MATCH(IF($B1228="Robusta","Robusta",(IF($B1228="","Arabica",$B1228))&amp;" - "&amp;(IF($C1228="","Commercial",$C1228))),Variables!$B$1:$D$1,0),1))*AC1228/365),""))</f>
        <v>-7.4318056126267349</v>
      </c>
      <c r="AU1228" s="12">
        <f>IF($H1228="Cancelled","",IFERROR((T1228*INDEX(Variables!$B$7:$D$7,IFERROR(MATCH(IF($B1228="Robusta","Robusta",(IF($B1228="","Arabica",$B1228))&amp;" - "&amp;(IF($C1228="","Commercial",$C1228))),Variables!$B$1:$D$1,0),1))*AP1228/365)+(L1228/16.67*INDEX(Variables!$B$8:$D$8,IFERROR(MATCH(IF($B1228="Robusta","Robusta",(IF($B1228="","Arabica",$B1228))&amp;" - "&amp;(IF($C1228="","Commercial",$C1228))),Variables!$B$1:$D$1,0),1))*AP1228)+(T1228*INDEX(Variables!$B$9:$D$9,IFERROR(MATCH(IF($B1228="Robusta","Robusta",(IF($B1228="","Arabica",$B1228))&amp;" - "&amp;(IF($C1228="","Commercial",$C1228))),Variables!$B$1:$D$1,0),1))*AP1228/365),""))</f>
        <v>0</v>
      </c>
      <c r="AV1228" s="11">
        <f t="shared" si="119"/>
        <v>-19</v>
      </c>
      <c r="AW1228" s="12">
        <f>IF($H1228="Cancelled","",IFERROR(IF(AV1228="","",(T1228*INDEX(Variables!$B$7:$D$7,IFERROR(MATCH(IF($B1228="Robusta","Robusta",(IF($B1228="","Arabica",$B1228))&amp;" - "&amp;(IF($C1228="","Commercial",$C1228))),Variables!$B$1:$D$1,0),1))*(AV1228/365))+(T1228*INDEX(Variables!$B$9:$D$9,IFERROR(MATCH(IF($B1228="Robusta","Robusta",(IF($B1228="","Arabica",$B1228))&amp;" - "&amp;(IF($C1228="","Commercial",$C1228))),Variables!$B$1:$D$1,0),1))*(AV1228/365))+(INDEX(Variables!$B$8:$D$8,IFERROR(MATCH(IF($B1228="Robusta","Robusta",(IF($B1228="","Arabica",$B1228))&amp;" - "&amp;(IF($C1228="","Commercial",$C1228))),Variables!$B$1:$D$1,0),1))*L1228/16.67)),""))</f>
        <v>-45.602153319953977</v>
      </c>
      <c r="AX1228" s="9"/>
      <c r="AY1228" s="12"/>
      <c r="AZ1228" s="10"/>
      <c r="BA1228" s="9"/>
      <c r="BB1228" s="10"/>
      <c r="BC1228" s="9"/>
      <c r="BD1228" s="9"/>
      <c r="BE1228" s="9"/>
      <c r="BF1228" s="9"/>
    </row>
    <row r="1229" spans="1:58" x14ac:dyDescent="0.25">
      <c r="A1229" s="9" t="s">
        <v>84</v>
      </c>
      <c r="B1229" s="9" t="s">
        <v>85</v>
      </c>
      <c r="C1229" s="9" t="s">
        <v>1486</v>
      </c>
      <c r="D1229" s="10">
        <v>46036</v>
      </c>
      <c r="E1229" s="10">
        <v>46054</v>
      </c>
      <c r="F1229" s="10">
        <v>46081</v>
      </c>
      <c r="G1229" s="9">
        <v>3787106</v>
      </c>
      <c r="H1229" s="9" t="str">
        <f t="shared" si="117"/>
        <v>Open</v>
      </c>
      <c r="I1229" s="9" t="str">
        <f t="shared" si="118"/>
        <v>No shipping advice sent and No docs dispatch date</v>
      </c>
      <c r="J1229" s="9" t="s">
        <v>235</v>
      </c>
      <c r="K1229" s="9" t="s">
        <v>2620</v>
      </c>
      <c r="L1229" s="11">
        <v>16</v>
      </c>
      <c r="M1229" s="9" t="s">
        <v>2621</v>
      </c>
      <c r="N1229" s="9"/>
      <c r="O1229" s="9"/>
      <c r="P1229" s="9"/>
      <c r="Q1229" s="11">
        <v>123</v>
      </c>
      <c r="R1229" s="9" t="s">
        <v>195</v>
      </c>
      <c r="S1229" s="9"/>
      <c r="T1229" s="12">
        <f>IF($H1229="Cancelled","",IFERROR(((Q1229+INDEX(Variables!$B$6:$D$6,IFERROR(MATCH(IF($B1229="Robusta","Robusta",(IF($B1229="","Arabica",$B1229))&amp;" - "&amp;(IF($C1229="","Commercial",$C1229))),Variables!$B$1:$D$1,0),1)))*22.0462)*(L1229/16.67),""))</f>
        <v>8756.0576460707834</v>
      </c>
      <c r="U1229" s="10"/>
      <c r="V1229" s="9" t="str">
        <f t="shared" si="120"/>
        <v/>
      </c>
      <c r="W1229" s="10">
        <v>46023</v>
      </c>
      <c r="X1229" s="9" t="str">
        <f t="shared" si="121"/>
        <v>Approved</v>
      </c>
      <c r="Y1229" s="10">
        <v>46076</v>
      </c>
      <c r="Z1229" s="10">
        <f>IF($H1229="Cancelled","",IFERROR(IF(F1229="","",F1229-Variables!$B$13),""))</f>
        <v>46066</v>
      </c>
      <c r="AA1229" s="11">
        <f>IF($H1229="Cancelled","",IFERROR(IF(W1229="","",(AVERAGE(E1229:F1229)-W1229)-Variables!$B$14),""))</f>
        <v>14.5</v>
      </c>
      <c r="AB1229" s="10">
        <v>46093</v>
      </c>
      <c r="AC1229" s="11">
        <f>IF($H1229="Cancelled","",IFERROR(IF(AB1229="","",IF(AND(W1229="",Y1229=""),"",IF(Y1229&gt;W1229,Y1229+Variables!$B$15+Variables!$B$16+Variables!$B$17-AB1229,W1229+Variables!$B$16+Variables!$B$17-AB1229))),""))</f>
        <v>-2</v>
      </c>
      <c r="AD1229" s="9" t="s">
        <v>107</v>
      </c>
      <c r="AE1229" s="9" t="s">
        <v>2603</v>
      </c>
      <c r="AF1229" s="10"/>
      <c r="AG1229" s="10"/>
      <c r="AH1229" s="9"/>
      <c r="AI1229" s="9" t="s">
        <v>2604</v>
      </c>
      <c r="AJ1229" s="9"/>
      <c r="AK1229" s="10">
        <v>46100</v>
      </c>
      <c r="AL1229" s="10"/>
      <c r="AM1229" s="10"/>
      <c r="AN1229" s="9" t="s">
        <v>2605</v>
      </c>
      <c r="AO1229" s="9"/>
      <c r="AP1229" s="11">
        <f>IF($H1229="Cancelled","",IFERROR(IF(OR(AK1229="",AB1229=""),"",(AB1229+Variables!$B$18-AK1229)),""))</f>
        <v>0</v>
      </c>
      <c r="AQ1229" s="11" t="str">
        <f>IF($H1229="Cancelled","",IFERROR(IF(OR(AM1229="",AK1229=""),"",(AK1229+Variables!$B$19)-AM1229),""))</f>
        <v/>
      </c>
      <c r="AR1229" s="12" t="str">
        <f>IF($H1229="Cancelled","",IFERROR(T1229*INDEX(Variables!$B$7:$D$7,IFERROR(MATCH(IF($B1229="Robusta","Robusta",(IF($B1229="","Arabica",$B1229))&amp;" - "&amp;(IF($C1229="","Commercial",$C1229))),Variables!$B$1:$D$1,0),1))*(AQ1229/365),""))</f>
        <v/>
      </c>
      <c r="AS1229" s="12">
        <f>IF($H1229="Cancelled","",IFERROR((T1229*INDEX(Variables!$B$7:$D$7,IFERROR(MATCH(IF($B1229="Robusta","Robusta",(IF($B1229="","Arabica",$B1229))&amp;" - "&amp;(IF($C1229="","Commercial",$C1229))),Variables!$B$1:$D$1,0),1))*IFERROR(IF(W1229="","",(AVERAGE(E1229:F1229)-W1229)-Variables!$B$14),"")/365)+(L1229/16.67*INDEX(Variables!$B$8:$D$8,IFERROR(MATCH(IF($B1229="Robusta","Robusta",(IF($B1229="","Arabica",$B1229))&amp;" - "&amp;(IF($C1229="","Commercial",$C1229))),Variables!$B$1:$D$1,0),1))*IFERROR(IF(W1229="","",(AVERAGE(E1229:F1229)-W1229)-Variables!$B$14),""))+(T1229*INDEX(Variables!$B$9:$D$9,IFERROR(MATCH(IF($B1229="Robusta","Robusta",(IF($B1229="","Arabica",$B1229))&amp;" - "&amp;(IF($C1229="","Commercial",$C1229))),Variables!$B$1:$D$1,0),1))*IFERROR(IF(W1229="","",(AVERAGE(E1229:F1229)-W1229)-Variables!$B$14),"")/365),""))</f>
        <v>34.318868987579016</v>
      </c>
      <c r="AT1229" s="12">
        <f>IF($H1229="Cancelled","",IFERROR((T1229*INDEX(Variables!$B$7:$D$7,IFERROR(MATCH(IF($B1229="Robusta","Robusta",(IF($B1229="","Arabica",$B1229))&amp;" - "&amp;(IF($C1229="","Commercial",$C1229))),Variables!$B$1:$D$1,0),1))*AC1229/365)+(L1229/16.67*INDEX(Variables!$B$8:$D$8,IFERROR(MATCH(IF($B1229="Robusta","Robusta",(IF($B1229="","Arabica",$B1229))&amp;" - "&amp;(IF($C1229="","Commercial",$C1229))),Variables!$B$1:$D$1,0),1))*AC1229)+(T1229*INDEX(Variables!$B$9:$D$9,IFERROR(MATCH(IF($B1229="Robusta","Robusta",(IF($B1229="","Arabica",$B1229))&amp;" - "&amp;(IF($C1229="","Commercial",$C1229))),Variables!$B$1:$D$1,0),1))*AC1229/365),""))</f>
        <v>-4.7336371017350363</v>
      </c>
      <c r="AU1229" s="12">
        <f>IF($H1229="Cancelled","",IFERROR((T1229*INDEX(Variables!$B$7:$D$7,IFERROR(MATCH(IF($B1229="Robusta","Robusta",(IF($B1229="","Arabica",$B1229))&amp;" - "&amp;(IF($C1229="","Commercial",$C1229))),Variables!$B$1:$D$1,0),1))*AP1229/365)+(L1229/16.67*INDEX(Variables!$B$8:$D$8,IFERROR(MATCH(IF($B1229="Robusta","Robusta",(IF($B1229="","Arabica",$B1229))&amp;" - "&amp;(IF($C1229="","Commercial",$C1229))),Variables!$B$1:$D$1,0),1))*AP1229)+(T1229*INDEX(Variables!$B$9:$D$9,IFERROR(MATCH(IF($B1229="Robusta","Robusta",(IF($B1229="","Arabica",$B1229))&amp;" - "&amp;(IF($C1229="","Commercial",$C1229))),Variables!$B$1:$D$1,0),1))*AP1229/365),""))</f>
        <v>0</v>
      </c>
      <c r="AV1229" s="11">
        <f t="shared" si="119"/>
        <v>-19</v>
      </c>
      <c r="AW1229" s="12">
        <f>IF($H1229="Cancelled","",IFERROR(IF(AV1229="","",(T1229*INDEX(Variables!$B$7:$D$7,IFERROR(MATCH(IF($B1229="Robusta","Robusta",(IF($B1229="","Arabica",$B1229))&amp;" - "&amp;(IF($C1229="","Commercial",$C1229))),Variables!$B$1:$D$1,0),1))*(AV1229/365))+(T1229*INDEX(Variables!$B$9:$D$9,IFERROR(MATCH(IF($B1229="Robusta","Robusta",(IF($B1229="","Arabica",$B1229))&amp;" - "&amp;(IF($C1229="","Commercial",$C1229))),Variables!$B$1:$D$1,0),1))*(AV1229/365))+(INDEX(Variables!$B$8:$D$8,IFERROR(MATCH(IF($B1229="Robusta","Robusta",(IF($B1229="","Arabica",$B1229))&amp;" - "&amp;(IF($C1229="","Commercial",$C1229))),Variables!$B$1:$D$1,0),1))*L1229/16.67)),""))</f>
        <v>-28.969552466482845</v>
      </c>
      <c r="AX1229" s="9"/>
      <c r="AY1229" s="12"/>
      <c r="AZ1229" s="10"/>
      <c r="BA1229" s="9"/>
      <c r="BB1229" s="10"/>
      <c r="BC1229" s="9"/>
      <c r="BD1229" s="9"/>
      <c r="BE1229" s="9"/>
      <c r="BF1229" s="9"/>
    </row>
    <row r="1230" spans="1:58" x14ac:dyDescent="0.25">
      <c r="A1230" s="9" t="s">
        <v>84</v>
      </c>
      <c r="B1230" s="9" t="s">
        <v>85</v>
      </c>
      <c r="C1230" s="9" t="s">
        <v>1486</v>
      </c>
      <c r="D1230" s="10">
        <v>46050</v>
      </c>
      <c r="E1230" s="10">
        <v>46054</v>
      </c>
      <c r="F1230" s="10">
        <v>46081</v>
      </c>
      <c r="G1230" s="9">
        <v>3787204</v>
      </c>
      <c r="H1230" s="9" t="str">
        <f t="shared" si="117"/>
        <v>Open</v>
      </c>
      <c r="I1230" s="9" t="str">
        <f t="shared" si="118"/>
        <v>No shipping advice sent and No docs dispatch date</v>
      </c>
      <c r="J1230" s="9" t="s">
        <v>235</v>
      </c>
      <c r="K1230" s="9" t="s">
        <v>2622</v>
      </c>
      <c r="L1230" s="11">
        <v>10</v>
      </c>
      <c r="M1230" s="9" t="s">
        <v>2623</v>
      </c>
      <c r="N1230" s="9"/>
      <c r="O1230" s="9"/>
      <c r="P1230" s="9"/>
      <c r="Q1230" s="11">
        <v>163</v>
      </c>
      <c r="R1230" s="9" t="s">
        <v>195</v>
      </c>
      <c r="S1230" s="9"/>
      <c r="T1230" s="12">
        <f>IF($H1230="Cancelled","",IFERROR(((Q1230+INDEX(Variables!$B$6:$D$6,IFERROR(MATCH(IF($B1230="Robusta","Robusta",(IF($B1230="","Arabica",$B1230))&amp;" - "&amp;(IF($C1230="","Commercial",$C1230))),Variables!$B$1:$D$1,0),1)))*22.0462)*(L1230/16.67),""))</f>
        <v>6001.5390281943601</v>
      </c>
      <c r="U1230" s="10"/>
      <c r="V1230" s="9" t="str">
        <f t="shared" si="120"/>
        <v/>
      </c>
      <c r="W1230" s="10">
        <v>46023</v>
      </c>
      <c r="X1230" s="9" t="str">
        <f t="shared" si="121"/>
        <v>Approved</v>
      </c>
      <c r="Y1230" s="10">
        <v>46076</v>
      </c>
      <c r="Z1230" s="10">
        <f>IF($H1230="Cancelled","",IFERROR(IF(F1230="","",F1230-Variables!$B$13),""))</f>
        <v>46066</v>
      </c>
      <c r="AA1230" s="11">
        <f>IF($H1230="Cancelled","",IFERROR(IF(W1230="","",(AVERAGE(E1230:F1230)-W1230)-Variables!$B$14),""))</f>
        <v>14.5</v>
      </c>
      <c r="AB1230" s="10">
        <v>46093</v>
      </c>
      <c r="AC1230" s="11">
        <f>IF($H1230="Cancelled","",IFERROR(IF(AB1230="","",IF(AND(W1230="",Y1230=""),"",IF(Y1230&gt;W1230,Y1230+Variables!$B$15+Variables!$B$16+Variables!$B$17-AB1230,W1230+Variables!$B$16+Variables!$B$17-AB1230))),""))</f>
        <v>-2</v>
      </c>
      <c r="AD1230" s="9" t="s">
        <v>107</v>
      </c>
      <c r="AE1230" s="9" t="s">
        <v>2603</v>
      </c>
      <c r="AF1230" s="10"/>
      <c r="AG1230" s="10"/>
      <c r="AH1230" s="9"/>
      <c r="AI1230" s="9" t="s">
        <v>2604</v>
      </c>
      <c r="AJ1230" s="9"/>
      <c r="AK1230" s="10">
        <v>46100</v>
      </c>
      <c r="AL1230" s="10"/>
      <c r="AM1230" s="10"/>
      <c r="AN1230" s="9" t="s">
        <v>2605</v>
      </c>
      <c r="AO1230" s="9"/>
      <c r="AP1230" s="11">
        <f>IF($H1230="Cancelled","",IFERROR(IF(OR(AK1230="",AB1230=""),"",(AB1230+Variables!$B$18-AK1230)),""))</f>
        <v>0</v>
      </c>
      <c r="AQ1230" s="11" t="str">
        <f>IF($H1230="Cancelled","",IFERROR(IF(OR(AM1230="",AK1230=""),"",(AK1230+Variables!$B$19)-AM1230),""))</f>
        <v/>
      </c>
      <c r="AR1230" s="12" t="str">
        <f>IF($H1230="Cancelled","",IFERROR(T1230*INDEX(Variables!$B$7:$D$7,IFERROR(MATCH(IF($B1230="Robusta","Robusta",(IF($B1230="","Arabica",$B1230))&amp;" - "&amp;(IF($C1230="","Commercial",$C1230))),Variables!$B$1:$D$1,0),1))*(AQ1230/365),""))</f>
        <v/>
      </c>
      <c r="AS1230" s="12">
        <f>IF($H1230="Cancelled","",IFERROR((T1230*INDEX(Variables!$B$7:$D$7,IFERROR(MATCH(IF($B1230="Robusta","Robusta",(IF($B1230="","Arabica",$B1230))&amp;" - "&amp;(IF($C1230="","Commercial",$C1230))),Variables!$B$1:$D$1,0),1))*IFERROR(IF(W1230="","",(AVERAGE(E1230:F1230)-W1230)-Variables!$B$14),"")/365)+(L1230/16.67*INDEX(Variables!$B$8:$D$8,IFERROR(MATCH(IF($B1230="Robusta","Robusta",(IF($B1230="","Arabica",$B1230))&amp;" - "&amp;(IF($C1230="","Commercial",$C1230))),Variables!$B$1:$D$1,0),1))*IFERROR(IF(W1230="","",(AVERAGE(E1230:F1230)-W1230)-Variables!$B$14),""))+(T1230*INDEX(Variables!$B$9:$D$9,IFERROR(MATCH(IF($B1230="Robusta","Robusta",(IF($B1230="","Arabica",$B1230))&amp;" - "&amp;(IF($C1230="","Commercial",$C1230))),Variables!$B$1:$D$1,0),1))*IFERROR(IF(W1230="","",(AVERAGE(E1230:F1230)-W1230)-Variables!$B$14),"")/365),""))</f>
        <v>22.821868575645478</v>
      </c>
      <c r="AT1230" s="12">
        <f>IF($H1230="Cancelled","",IFERROR((T1230*INDEX(Variables!$B$7:$D$7,IFERROR(MATCH(IF($B1230="Robusta","Robusta",(IF($B1230="","Arabica",$B1230))&amp;" - "&amp;(IF($C1230="","Commercial",$C1230))),Variables!$B$1:$D$1,0),1))*AC1230/365)+(L1230/16.67*INDEX(Variables!$B$8:$D$8,IFERROR(MATCH(IF($B1230="Robusta","Robusta",(IF($B1230="","Arabica",$B1230))&amp;" - "&amp;(IF($C1230="","Commercial",$C1230))),Variables!$B$1:$D$1,0),1))*AC1230)+(T1230*INDEX(Variables!$B$9:$D$9,IFERROR(MATCH(IF($B1230="Robusta","Robusta",(IF($B1230="","Arabica",$B1230))&amp;" - "&amp;(IF($C1230="","Commercial",$C1230))),Variables!$B$1:$D$1,0),1))*AC1230/365),""))</f>
        <v>-3.1478439414683419</v>
      </c>
      <c r="AU1230" s="12">
        <f>IF($H1230="Cancelled","",IFERROR((T1230*INDEX(Variables!$B$7:$D$7,IFERROR(MATCH(IF($B1230="Robusta","Robusta",(IF($B1230="","Arabica",$B1230))&amp;" - "&amp;(IF($C1230="","Commercial",$C1230))),Variables!$B$1:$D$1,0),1))*AP1230/365)+(L1230/16.67*INDEX(Variables!$B$8:$D$8,IFERROR(MATCH(IF($B1230="Robusta","Robusta",(IF($B1230="","Arabica",$B1230))&amp;" - "&amp;(IF($C1230="","Commercial",$C1230))),Variables!$B$1:$D$1,0),1))*AP1230)+(T1230*INDEX(Variables!$B$9:$D$9,IFERROR(MATCH(IF($B1230="Robusta","Robusta",(IF($B1230="","Arabica",$B1230))&amp;" - "&amp;(IF($C1230="","Commercial",$C1230))),Variables!$B$1:$D$1,0),1))*AP1230/365),""))</f>
        <v>0</v>
      </c>
      <c r="AV1230" s="11">
        <f t="shared" si="119"/>
        <v>-19</v>
      </c>
      <c r="AW1230" s="12">
        <f>IF($H1230="Cancelled","",IFERROR(IF(AV1230="","",(T1230*INDEX(Variables!$B$7:$D$7,IFERROR(MATCH(IF($B1230="Robusta","Robusta",(IF($B1230="","Arabica",$B1230))&amp;" - "&amp;(IF($C1230="","Commercial",$C1230))),Variables!$B$1:$D$1,0),1))*(AV1230/365))+(T1230*INDEX(Variables!$B$9:$D$9,IFERROR(MATCH(IF($B1230="Robusta","Robusta",(IF($B1230="","Arabica",$B1230))&amp;" - "&amp;(IF($C1230="","Commercial",$C1230))),Variables!$B$1:$D$1,0),1))*(AV1230/365))+(INDEX(Variables!$B$8:$D$8,IFERROR(MATCH(IF($B1230="Robusta","Robusta",(IF($B1230="","Arabica",$B1230))&amp;" - "&amp;(IF($C1230="","Commercial",$C1230))),Variables!$B$1:$D$1,0),1))*L1230/16.67)),""))</f>
        <v>-19.904517443949249</v>
      </c>
      <c r="AX1230" s="9"/>
      <c r="AY1230" s="12"/>
      <c r="AZ1230" s="10"/>
      <c r="BA1230" s="9"/>
      <c r="BB1230" s="10"/>
      <c r="BC1230" s="9"/>
      <c r="BD1230" s="9"/>
      <c r="BE1230" s="9"/>
      <c r="BF1230" s="9"/>
    </row>
    <row r="1231" spans="1:58" x14ac:dyDescent="0.25">
      <c r="A1231" s="9" t="s">
        <v>84</v>
      </c>
      <c r="B1231" s="9" t="s">
        <v>85</v>
      </c>
      <c r="C1231" s="9" t="s">
        <v>1486</v>
      </c>
      <c r="D1231" s="10">
        <v>46050</v>
      </c>
      <c r="E1231" s="10">
        <v>46054</v>
      </c>
      <c r="F1231" s="10">
        <v>46081</v>
      </c>
      <c r="G1231" s="9">
        <v>3787205</v>
      </c>
      <c r="H1231" s="9" t="str">
        <f t="shared" si="117"/>
        <v>Open</v>
      </c>
      <c r="I1231" s="9" t="str">
        <f t="shared" si="118"/>
        <v>No shipping advice sent and No docs dispatch date</v>
      </c>
      <c r="J1231" s="9" t="s">
        <v>235</v>
      </c>
      <c r="K1231" s="9" t="s">
        <v>2624</v>
      </c>
      <c r="L1231" s="11">
        <v>5</v>
      </c>
      <c r="M1231" s="9" t="s">
        <v>2625</v>
      </c>
      <c r="N1231" s="9"/>
      <c r="O1231" s="9"/>
      <c r="P1231" s="9"/>
      <c r="Q1231" s="11">
        <v>132</v>
      </c>
      <c r="R1231" s="9" t="s">
        <v>195</v>
      </c>
      <c r="S1231" s="9"/>
      <c r="T1231" s="12">
        <f>IF($H1231="Cancelled","",IFERROR(((Q1231+INDEX(Variables!$B$6:$D$6,IFERROR(MATCH(IF($B1231="Robusta","Robusta",(IF($B1231="","Arabica",$B1231))&amp;" - "&amp;(IF($C1231="","Commercial",$C1231))),Variables!$B$1:$D$1,0),1)))*22.0462)*(L1231/16.67),""))</f>
        <v>2795.7808518296338</v>
      </c>
      <c r="U1231" s="10"/>
      <c r="V1231" s="9" t="str">
        <f t="shared" si="120"/>
        <v/>
      </c>
      <c r="W1231" s="10">
        <v>46023</v>
      </c>
      <c r="X1231" s="9" t="str">
        <f t="shared" si="121"/>
        <v>Approved</v>
      </c>
      <c r="Y1231" s="10">
        <v>46076</v>
      </c>
      <c r="Z1231" s="10">
        <f>IF($H1231="Cancelled","",IFERROR(IF(F1231="","",F1231-Variables!$B$13),""))</f>
        <v>46066</v>
      </c>
      <c r="AA1231" s="11">
        <f>IF($H1231="Cancelled","",IFERROR(IF(W1231="","",(AVERAGE(E1231:F1231)-W1231)-Variables!$B$14),""))</f>
        <v>14.5</v>
      </c>
      <c r="AB1231" s="10">
        <v>46093</v>
      </c>
      <c r="AC1231" s="11">
        <f>IF($H1231="Cancelled","",IFERROR(IF(AB1231="","",IF(AND(W1231="",Y1231=""),"",IF(Y1231&gt;W1231,Y1231+Variables!$B$15+Variables!$B$16+Variables!$B$17-AB1231,W1231+Variables!$B$16+Variables!$B$17-AB1231))),""))</f>
        <v>-2</v>
      </c>
      <c r="AD1231" s="9" t="s">
        <v>107</v>
      </c>
      <c r="AE1231" s="9" t="s">
        <v>2603</v>
      </c>
      <c r="AF1231" s="10"/>
      <c r="AG1231" s="10"/>
      <c r="AH1231" s="9"/>
      <c r="AI1231" s="9" t="s">
        <v>2604</v>
      </c>
      <c r="AJ1231" s="9"/>
      <c r="AK1231" s="10">
        <v>46100</v>
      </c>
      <c r="AL1231" s="10"/>
      <c r="AM1231" s="10"/>
      <c r="AN1231" s="9" t="s">
        <v>2605</v>
      </c>
      <c r="AO1231" s="9"/>
      <c r="AP1231" s="11">
        <f>IF($H1231="Cancelled","",IFERROR(IF(OR(AK1231="",AB1231=""),"",(AB1231+Variables!$B$18-AK1231)),""))</f>
        <v>0</v>
      </c>
      <c r="AQ1231" s="11" t="str">
        <f>IF($H1231="Cancelled","",IFERROR(IF(OR(AM1231="",AK1231=""),"",(AK1231+Variables!$B$19)-AM1231),""))</f>
        <v/>
      </c>
      <c r="AR1231" s="12" t="str">
        <f>IF($H1231="Cancelled","",IFERROR(T1231*INDEX(Variables!$B$7:$D$7,IFERROR(MATCH(IF($B1231="Robusta","Robusta",(IF($B1231="","Arabica",$B1231))&amp;" - "&amp;(IF($C1231="","Commercial",$C1231))),Variables!$B$1:$D$1,0),1))*(AQ1231/365),""))</f>
        <v/>
      </c>
      <c r="AS1231" s="12">
        <f>IF($H1231="Cancelled","",IFERROR((T1231*INDEX(Variables!$B$7:$D$7,IFERROR(MATCH(IF($B1231="Robusta","Robusta",(IF($B1231="","Arabica",$B1231))&amp;" - "&amp;(IF($C1231="","Commercial",$C1231))),Variables!$B$1:$D$1,0),1))*IFERROR(IF(W1231="","",(AVERAGE(E1231:F1231)-W1231)-Variables!$B$14),"")/365)+(L1231/16.67*INDEX(Variables!$B$8:$D$8,IFERROR(MATCH(IF($B1231="Robusta","Robusta",(IF($B1231="","Arabica",$B1231))&amp;" - "&amp;(IF($C1231="","Commercial",$C1231))),Variables!$B$1:$D$1,0),1))*IFERROR(IF(W1231="","",(AVERAGE(E1231:F1231)-W1231)-Variables!$B$14),""))+(T1231*INDEX(Variables!$B$9:$D$9,IFERROR(MATCH(IF($B1231="Robusta","Robusta",(IF($B1231="","Arabica",$B1231))&amp;" - "&amp;(IF($C1231="","Commercial",$C1231))),Variables!$B$1:$D$1,0),1))*IFERROR(IF(W1231="","",(AVERAGE(E1231:F1231)-W1231)-Variables!$B$14),"")/365),""))</f>
        <v>10.879061297689409</v>
      </c>
      <c r="AT1231" s="12">
        <f>IF($H1231="Cancelled","",IFERROR((T1231*INDEX(Variables!$B$7:$D$7,IFERROR(MATCH(IF($B1231="Robusta","Robusta",(IF($B1231="","Arabica",$B1231))&amp;" - "&amp;(IF($C1231="","Commercial",$C1231))),Variables!$B$1:$D$1,0),1))*AC1231/365)+(L1231/16.67*INDEX(Variables!$B$8:$D$8,IFERROR(MATCH(IF($B1231="Robusta","Robusta",(IF($B1231="","Arabica",$B1231))&amp;" - "&amp;(IF($C1231="","Commercial",$C1231))),Variables!$B$1:$D$1,0),1))*AC1231)+(T1231*INDEX(Variables!$B$9:$D$9,IFERROR(MATCH(IF($B1231="Robusta","Robusta",(IF($B1231="","Arabica",$B1231))&amp;" - "&amp;(IF($C1231="","Commercial",$C1231))),Variables!$B$1:$D$1,0),1))*AC1231/365),""))</f>
        <v>-1.5005601789916425</v>
      </c>
      <c r="AU1231" s="12">
        <f>IF($H1231="Cancelled","",IFERROR((T1231*INDEX(Variables!$B$7:$D$7,IFERROR(MATCH(IF($B1231="Robusta","Robusta",(IF($B1231="","Arabica",$B1231))&amp;" - "&amp;(IF($C1231="","Commercial",$C1231))),Variables!$B$1:$D$1,0),1))*AP1231/365)+(L1231/16.67*INDEX(Variables!$B$8:$D$8,IFERROR(MATCH(IF($B1231="Robusta","Robusta",(IF($B1231="","Arabica",$B1231))&amp;" - "&amp;(IF($C1231="","Commercial",$C1231))),Variables!$B$1:$D$1,0),1))*AP1231)+(T1231*INDEX(Variables!$B$9:$D$9,IFERROR(MATCH(IF($B1231="Robusta","Robusta",(IF($B1231="","Arabica",$B1231))&amp;" - "&amp;(IF($C1231="","Commercial",$C1231))),Variables!$B$1:$D$1,0),1))*AP1231/365),""))</f>
        <v>0</v>
      </c>
      <c r="AV1231" s="11">
        <f t="shared" si="119"/>
        <v>-19</v>
      </c>
      <c r="AW1231" s="12">
        <f>IF($H1231="Cancelled","",IFERROR(IF(AV1231="","",(T1231*INDEX(Variables!$B$7:$D$7,IFERROR(MATCH(IF($B1231="Robusta","Robusta",(IF($B1231="","Arabica",$B1231))&amp;" - "&amp;(IF($C1231="","Commercial",$C1231))),Variables!$B$1:$D$1,0),1))*(AV1231/365))+(T1231*INDEX(Variables!$B$9:$D$9,IFERROR(MATCH(IF($B1231="Robusta","Robusta",(IF($B1231="","Arabica",$B1231))&amp;" - "&amp;(IF($C1231="","Commercial",$C1231))),Variables!$B$1:$D$1,0),1))*(AV1231/365))+(INDEX(Variables!$B$8:$D$8,IFERROR(MATCH(IF($B1231="Robusta","Robusta",(IF($B1231="","Arabica",$B1231))&amp;" - "&amp;(IF($C1231="","Commercial",$C1231))),Variables!$B$1:$D$1,0),1))*L1231/16.67)),""))</f>
        <v>-9.2553217004206054</v>
      </c>
      <c r="AX1231" s="9"/>
      <c r="AY1231" s="12"/>
      <c r="AZ1231" s="10"/>
      <c r="BA1231" s="9"/>
      <c r="BB1231" s="10"/>
      <c r="BC1231" s="9"/>
      <c r="BD1231" s="9"/>
      <c r="BE1231" s="9"/>
      <c r="BF1231" s="9"/>
    </row>
    <row r="1232" spans="1:58" x14ac:dyDescent="0.25">
      <c r="A1232" s="9" t="s">
        <v>84</v>
      </c>
      <c r="B1232" s="9" t="s">
        <v>85</v>
      </c>
      <c r="C1232" s="9" t="s">
        <v>1486</v>
      </c>
      <c r="D1232" s="10">
        <v>46050</v>
      </c>
      <c r="E1232" s="10">
        <v>46054</v>
      </c>
      <c r="F1232" s="10">
        <v>46081</v>
      </c>
      <c r="G1232" s="9">
        <v>3787206</v>
      </c>
      <c r="H1232" s="9" t="str">
        <f t="shared" si="117"/>
        <v>Open</v>
      </c>
      <c r="I1232" s="9" t="str">
        <f t="shared" si="118"/>
        <v>No shipping advice sent and No docs dispatch date</v>
      </c>
      <c r="J1232" s="9" t="s">
        <v>235</v>
      </c>
      <c r="K1232" s="9" t="s">
        <v>2626</v>
      </c>
      <c r="L1232" s="11">
        <v>10</v>
      </c>
      <c r="M1232" s="9" t="s">
        <v>2627</v>
      </c>
      <c r="N1232" s="9"/>
      <c r="O1232" s="9"/>
      <c r="P1232" s="9"/>
      <c r="Q1232" s="11">
        <v>132</v>
      </c>
      <c r="R1232" s="9" t="s">
        <v>195</v>
      </c>
      <c r="S1232" s="9"/>
      <c r="T1232" s="12">
        <f>IF($H1232="Cancelled","",IFERROR(((Q1232+INDEX(Variables!$B$6:$D$6,IFERROR(MATCH(IF($B1232="Robusta","Robusta",(IF($B1232="","Arabica",$B1232))&amp;" - "&amp;(IF($C1232="","Commercial",$C1232))),Variables!$B$1:$D$1,0),1)))*22.0462)*(L1232/16.67),""))</f>
        <v>5591.5617036592676</v>
      </c>
      <c r="U1232" s="10"/>
      <c r="V1232" s="9" t="str">
        <f t="shared" si="120"/>
        <v/>
      </c>
      <c r="W1232" s="10">
        <v>46023</v>
      </c>
      <c r="X1232" s="9" t="str">
        <f t="shared" si="121"/>
        <v>Approved</v>
      </c>
      <c r="Y1232" s="10">
        <v>46076</v>
      </c>
      <c r="Z1232" s="10">
        <f>IF($H1232="Cancelled","",IFERROR(IF(F1232="","",F1232-Variables!$B$13),""))</f>
        <v>46066</v>
      </c>
      <c r="AA1232" s="11">
        <f>IF($H1232="Cancelled","",IFERROR(IF(W1232="","",(AVERAGE(E1232:F1232)-W1232)-Variables!$B$14),""))</f>
        <v>14.5</v>
      </c>
      <c r="AB1232" s="10">
        <v>46093</v>
      </c>
      <c r="AC1232" s="11">
        <f>IF($H1232="Cancelled","",IFERROR(IF(AB1232="","",IF(AND(W1232="",Y1232=""),"",IF(Y1232&gt;W1232,Y1232+Variables!$B$15+Variables!$B$16+Variables!$B$17-AB1232,W1232+Variables!$B$16+Variables!$B$17-AB1232))),""))</f>
        <v>-2</v>
      </c>
      <c r="AD1232" s="9" t="s">
        <v>107</v>
      </c>
      <c r="AE1232" s="9" t="s">
        <v>2603</v>
      </c>
      <c r="AF1232" s="10"/>
      <c r="AG1232" s="10"/>
      <c r="AH1232" s="9"/>
      <c r="AI1232" s="9" t="s">
        <v>2604</v>
      </c>
      <c r="AJ1232" s="9"/>
      <c r="AK1232" s="10">
        <v>46100</v>
      </c>
      <c r="AL1232" s="10"/>
      <c r="AM1232" s="10"/>
      <c r="AN1232" s="9" t="s">
        <v>2605</v>
      </c>
      <c r="AO1232" s="9"/>
      <c r="AP1232" s="11">
        <f>IF($H1232="Cancelled","",IFERROR(IF(OR(AK1232="",AB1232=""),"",(AB1232+Variables!$B$18-AK1232)),""))</f>
        <v>0</v>
      </c>
      <c r="AQ1232" s="11" t="str">
        <f>IF($H1232="Cancelled","",IFERROR(IF(OR(AM1232="",AK1232=""),"",(AK1232+Variables!$B$19)-AM1232),""))</f>
        <v/>
      </c>
      <c r="AR1232" s="12" t="str">
        <f>IF($H1232="Cancelled","",IFERROR(T1232*INDEX(Variables!$B$7:$D$7,IFERROR(MATCH(IF($B1232="Robusta","Robusta",(IF($B1232="","Arabica",$B1232))&amp;" - "&amp;(IF($C1232="","Commercial",$C1232))),Variables!$B$1:$D$1,0),1))*(AQ1232/365),""))</f>
        <v/>
      </c>
      <c r="AS1232" s="12">
        <f>IF($H1232="Cancelled","",IFERROR((T1232*INDEX(Variables!$B$7:$D$7,IFERROR(MATCH(IF($B1232="Robusta","Robusta",(IF($B1232="","Arabica",$B1232))&amp;" - "&amp;(IF($C1232="","Commercial",$C1232))),Variables!$B$1:$D$1,0),1))*IFERROR(IF(W1232="","",(AVERAGE(E1232:F1232)-W1232)-Variables!$B$14),"")/365)+(L1232/16.67*INDEX(Variables!$B$8:$D$8,IFERROR(MATCH(IF($B1232="Robusta","Robusta",(IF($B1232="","Arabica",$B1232))&amp;" - "&amp;(IF($C1232="","Commercial",$C1232))),Variables!$B$1:$D$1,0),1))*IFERROR(IF(W1232="","",(AVERAGE(E1232:F1232)-W1232)-Variables!$B$14),""))+(T1232*INDEX(Variables!$B$9:$D$9,IFERROR(MATCH(IF($B1232="Robusta","Robusta",(IF($B1232="","Arabica",$B1232))&amp;" - "&amp;(IF($C1232="","Commercial",$C1232))),Variables!$B$1:$D$1,0),1))*IFERROR(IF(W1232="","",(AVERAGE(E1232:F1232)-W1232)-Variables!$B$14),"")/365),""))</f>
        <v>21.758122595378818</v>
      </c>
      <c r="AT1232" s="12">
        <f>IF($H1232="Cancelled","",IFERROR((T1232*INDEX(Variables!$B$7:$D$7,IFERROR(MATCH(IF($B1232="Robusta","Robusta",(IF($B1232="","Arabica",$B1232))&amp;" - "&amp;(IF($C1232="","Commercial",$C1232))),Variables!$B$1:$D$1,0),1))*AC1232/365)+(L1232/16.67*INDEX(Variables!$B$8:$D$8,IFERROR(MATCH(IF($B1232="Robusta","Robusta",(IF($B1232="","Arabica",$B1232))&amp;" - "&amp;(IF($C1232="","Commercial",$C1232))),Variables!$B$1:$D$1,0),1))*AC1232)+(T1232*INDEX(Variables!$B$9:$D$9,IFERROR(MATCH(IF($B1232="Robusta","Robusta",(IF($B1232="","Arabica",$B1232))&amp;" - "&amp;(IF($C1232="","Commercial",$C1232))),Variables!$B$1:$D$1,0),1))*AC1232/365),""))</f>
        <v>-3.001120357983285</v>
      </c>
      <c r="AU1232" s="12">
        <f>IF($H1232="Cancelled","",IFERROR((T1232*INDEX(Variables!$B$7:$D$7,IFERROR(MATCH(IF($B1232="Robusta","Robusta",(IF($B1232="","Arabica",$B1232))&amp;" - "&amp;(IF($C1232="","Commercial",$C1232))),Variables!$B$1:$D$1,0),1))*AP1232/365)+(L1232/16.67*INDEX(Variables!$B$8:$D$8,IFERROR(MATCH(IF($B1232="Robusta","Robusta",(IF($B1232="","Arabica",$B1232))&amp;" - "&amp;(IF($C1232="","Commercial",$C1232))),Variables!$B$1:$D$1,0),1))*AP1232)+(T1232*INDEX(Variables!$B$9:$D$9,IFERROR(MATCH(IF($B1232="Robusta","Robusta",(IF($B1232="","Arabica",$B1232))&amp;" - "&amp;(IF($C1232="","Commercial",$C1232))),Variables!$B$1:$D$1,0),1))*AP1232/365),""))</f>
        <v>0</v>
      </c>
      <c r="AV1232" s="11">
        <f t="shared" si="119"/>
        <v>-19</v>
      </c>
      <c r="AW1232" s="12">
        <f>IF($H1232="Cancelled","",IFERROR(IF(AV1232="","",(T1232*INDEX(Variables!$B$7:$D$7,IFERROR(MATCH(IF($B1232="Robusta","Robusta",(IF($B1232="","Arabica",$B1232))&amp;" - "&amp;(IF($C1232="","Commercial",$C1232))),Variables!$B$1:$D$1,0),1))*(AV1232/365))+(T1232*INDEX(Variables!$B$9:$D$9,IFERROR(MATCH(IF($B1232="Robusta","Robusta",(IF($B1232="","Arabica",$B1232))&amp;" - "&amp;(IF($C1232="","Commercial",$C1232))),Variables!$B$1:$D$1,0),1))*(AV1232/365))+(INDEX(Variables!$B$8:$D$8,IFERROR(MATCH(IF($B1232="Robusta","Robusta",(IF($B1232="","Arabica",$B1232))&amp;" - "&amp;(IF($C1232="","Commercial",$C1232))),Variables!$B$1:$D$1,0),1))*L1232/16.67)),""))</f>
        <v>-18.510643400841211</v>
      </c>
      <c r="AX1232" s="9"/>
      <c r="AY1232" s="12"/>
      <c r="AZ1232" s="10"/>
      <c r="BA1232" s="9"/>
      <c r="BB1232" s="10"/>
      <c r="BC1232" s="9"/>
      <c r="BD1232" s="9"/>
      <c r="BE1232" s="9"/>
      <c r="BF1232" s="9"/>
    </row>
    <row r="1233" spans="1:58" x14ac:dyDescent="0.25">
      <c r="A1233" s="9" t="s">
        <v>84</v>
      </c>
      <c r="B1233" s="9" t="s">
        <v>85</v>
      </c>
      <c r="C1233" s="9" t="s">
        <v>1486</v>
      </c>
      <c r="D1233" s="10">
        <v>46058</v>
      </c>
      <c r="E1233" s="10">
        <v>46054</v>
      </c>
      <c r="F1233" s="10">
        <v>46081</v>
      </c>
      <c r="G1233" s="9">
        <v>3787224</v>
      </c>
      <c r="H1233" s="9" t="str">
        <f t="shared" si="117"/>
        <v>Open</v>
      </c>
      <c r="I1233" s="9" t="str">
        <f t="shared" si="118"/>
        <v>No sailing date and No shipping advice sent and No docs dispatch date</v>
      </c>
      <c r="J1233" s="9" t="s">
        <v>235</v>
      </c>
      <c r="K1233" s="9" t="s">
        <v>2628</v>
      </c>
      <c r="L1233" s="11">
        <v>40</v>
      </c>
      <c r="M1233" s="9" t="s">
        <v>2629</v>
      </c>
      <c r="N1233" s="9"/>
      <c r="O1233" s="9"/>
      <c r="P1233" s="9"/>
      <c r="Q1233" s="11">
        <v>225</v>
      </c>
      <c r="R1233" s="9" t="s">
        <v>195</v>
      </c>
      <c r="S1233" s="9" t="s">
        <v>106</v>
      </c>
      <c r="T1233" s="12">
        <f>IF($H1233="Cancelled","",IFERROR(((Q1233+INDEX(Variables!$B$6:$D$6,IFERROR(MATCH(IF($B1233="Robusta","Robusta",(IF($B1233="","Arabica",$B1233))&amp;" - "&amp;(IF($C1233="","Commercial",$C1233))),Variables!$B$1:$D$1,0),1)))*22.0462)*(L1233/16.67),""))</f>
        <v>27285.97470905818</v>
      </c>
      <c r="U1233" s="10"/>
      <c r="V1233" s="9" t="str">
        <f t="shared" si="120"/>
        <v/>
      </c>
      <c r="W1233" s="10">
        <v>46023</v>
      </c>
      <c r="X1233" s="9" t="str">
        <f t="shared" si="121"/>
        <v>Approved</v>
      </c>
      <c r="Y1233" s="10">
        <v>46104</v>
      </c>
      <c r="Z1233" s="10">
        <f>IF($H1233="Cancelled","",IFERROR(IF(F1233="","",F1233-Variables!$B$13),""))</f>
        <v>46066</v>
      </c>
      <c r="AA1233" s="11">
        <f>IF($H1233="Cancelled","",IFERROR(IF(W1233="","",(AVERAGE(E1233:F1233)-W1233)-Variables!$B$14),""))</f>
        <v>14.5</v>
      </c>
      <c r="AB1233" s="10">
        <v>46112</v>
      </c>
      <c r="AC1233" s="11">
        <f>IF($H1233="Cancelled","",IFERROR(IF(AB1233="","",IF(AND(W1233="",Y1233=""),"",IF(Y1233&gt;W1233,Y1233+Variables!$B$15+Variables!$B$16+Variables!$B$17-AB1233,W1233+Variables!$B$16+Variables!$B$17-AB1233))),""))</f>
        <v>7</v>
      </c>
      <c r="AD1233" s="9" t="s">
        <v>107</v>
      </c>
      <c r="AE1233" s="9"/>
      <c r="AF1233" s="10"/>
      <c r="AG1233" s="10"/>
      <c r="AH1233" s="9"/>
      <c r="AI1233" s="9" t="s">
        <v>2630</v>
      </c>
      <c r="AJ1233" s="9"/>
      <c r="AK1233" s="10"/>
      <c r="AL1233" s="10"/>
      <c r="AM1233" s="10"/>
      <c r="AN1233" s="9" t="s">
        <v>2631</v>
      </c>
      <c r="AO1233" s="9"/>
      <c r="AP1233" s="11" t="str">
        <f>IF($H1233="Cancelled","",IFERROR(IF(OR(AK1233="",AB1233=""),"",(AB1233+Variables!$B$18-AK1233)),""))</f>
        <v/>
      </c>
      <c r="AQ1233" s="11" t="str">
        <f>IF($H1233="Cancelled","",IFERROR(IF(OR(AM1233="",AK1233=""),"",(AK1233+Variables!$B$19)-AM1233),""))</f>
        <v/>
      </c>
      <c r="AR1233" s="12" t="str">
        <f>IF($H1233="Cancelled","",IFERROR(T1233*INDEX(Variables!$B$7:$D$7,IFERROR(MATCH(IF($B1233="Robusta","Robusta",(IF($B1233="","Arabica",$B1233))&amp;" - "&amp;(IF($C1233="","Commercial",$C1233))),Variables!$B$1:$D$1,0),1))*(AQ1233/365),""))</f>
        <v/>
      </c>
      <c r="AS1233" s="12">
        <f>IF($H1233="Cancelled","",IFERROR((T1233*INDEX(Variables!$B$7:$D$7,IFERROR(MATCH(IF($B1233="Robusta","Robusta",(IF($B1233="","Arabica",$B1233))&amp;" - "&amp;(IF($C1233="","Commercial",$C1233))),Variables!$B$1:$D$1,0),1))*IFERROR(IF(W1233="","",(AVERAGE(E1233:F1233)-W1233)-Variables!$B$14),"")/365)+(L1233/16.67*INDEX(Variables!$B$8:$D$8,IFERROR(MATCH(IF($B1233="Robusta","Robusta",(IF($B1233="","Arabica",$B1233))&amp;" - "&amp;(IF($C1233="","Commercial",$C1233))),Variables!$B$1:$D$1,0),1))*IFERROR(IF(W1233="","",(AVERAGE(E1233:F1233)-W1233)-Variables!$B$14),""))+(T1233*INDEX(Variables!$B$9:$D$9,IFERROR(MATCH(IF($B1233="Robusta","Robusta",(IF($B1233="","Arabica",$B1233))&amp;" - "&amp;(IF($C1233="","Commercial",$C1233))),Variables!$B$1:$D$1,0),1))*IFERROR(IF(W1233="","",(AVERAGE(E1233:F1233)-W1233)-Variables!$B$14),"")/365),""))</f>
        <v>99.797442144715177</v>
      </c>
      <c r="AT1233" s="12">
        <f>IF($H1233="Cancelled","",IFERROR((T1233*INDEX(Variables!$B$7:$D$7,IFERROR(MATCH(IF($B1233="Robusta","Robusta",(IF($B1233="","Arabica",$B1233))&amp;" - "&amp;(IF($C1233="","Commercial",$C1233))),Variables!$B$1:$D$1,0),1))*AC1233/365)+(L1233/16.67*INDEX(Variables!$B$8:$D$8,IFERROR(MATCH(IF($B1233="Robusta","Robusta",(IF($B1233="","Arabica",$B1233))&amp;" - "&amp;(IF($C1233="","Commercial",$C1233))),Variables!$B$1:$D$1,0),1))*AC1233)+(T1233*INDEX(Variables!$B$9:$D$9,IFERROR(MATCH(IF($B1233="Robusta","Robusta",(IF($B1233="","Arabica",$B1233))&amp;" - "&amp;(IF($C1233="","Commercial",$C1233))),Variables!$B$1:$D$1,0),1))*AC1233/365),""))</f>
        <v>48.178075518138357</v>
      </c>
      <c r="AU1233" s="12" t="str">
        <f>IF($H1233="Cancelled","",IFERROR((T1233*INDEX(Variables!$B$7:$D$7,IFERROR(MATCH(IF($B1233="Robusta","Robusta",(IF($B1233="","Arabica",$B1233))&amp;" - "&amp;(IF($C1233="","Commercial",$C1233))),Variables!$B$1:$D$1,0),1))*AP1233/365)+(L1233/16.67*INDEX(Variables!$B$8:$D$8,IFERROR(MATCH(IF($B1233="Robusta","Robusta",(IF($B1233="","Arabica",$B1233))&amp;" - "&amp;(IF($C1233="","Commercial",$C1233))),Variables!$B$1:$D$1,0),1))*AP1233)+(T1233*INDEX(Variables!$B$9:$D$9,IFERROR(MATCH(IF($B1233="Robusta","Robusta",(IF($B1233="","Arabica",$B1233))&amp;" - "&amp;(IF($C1233="","Commercial",$C1233))),Variables!$B$1:$D$1,0),1))*AP1233/365),""))</f>
        <v/>
      </c>
      <c r="AV1233" s="11" t="str">
        <f t="shared" si="119"/>
        <v/>
      </c>
      <c r="AW1233" s="12" t="str">
        <f>IF($H1233="Cancelled","",IFERROR(IF(AV1233="","",(T1233*INDEX(Variables!$B$7:$D$7,IFERROR(MATCH(IF($B1233="Robusta","Robusta",(IF($B1233="","Arabica",$B1233))&amp;" - "&amp;(IF($C1233="","Commercial",$C1233))),Variables!$B$1:$D$1,0),1))*(AV1233/365))+(T1233*INDEX(Variables!$B$9:$D$9,IFERROR(MATCH(IF($B1233="Robusta","Robusta",(IF($B1233="","Arabica",$B1233))&amp;" - "&amp;(IF($C1233="","Commercial",$C1233))),Variables!$B$1:$D$1,0),1))*(AV1233/365))+(INDEX(Variables!$B$8:$D$8,IFERROR(MATCH(IF($B1233="Robusta","Robusta",(IF($B1233="","Arabica",$B1233))&amp;" - "&amp;(IF($C1233="","Commercial",$C1233))),Variables!$B$1:$D$1,0),1))*L1233/16.67)),""))</f>
        <v/>
      </c>
      <c r="AX1233" s="9"/>
      <c r="AY1233" s="12"/>
      <c r="AZ1233" s="10"/>
      <c r="BA1233" s="9"/>
      <c r="BB1233" s="10"/>
      <c r="BC1233" s="9"/>
      <c r="BD1233" s="9"/>
      <c r="BE1233" s="9"/>
      <c r="BF1233" s="9"/>
    </row>
    <row r="1234" spans="1:58" x14ac:dyDescent="0.25">
      <c r="A1234" s="9" t="s">
        <v>84</v>
      </c>
      <c r="B1234" s="9" t="s">
        <v>85</v>
      </c>
      <c r="C1234" s="9" t="s">
        <v>1486</v>
      </c>
      <c r="D1234" s="10">
        <v>46058</v>
      </c>
      <c r="E1234" s="10">
        <v>46054</v>
      </c>
      <c r="F1234" s="10">
        <v>46081</v>
      </c>
      <c r="G1234" s="9">
        <v>3787225</v>
      </c>
      <c r="H1234" s="9" t="str">
        <f t="shared" si="117"/>
        <v>Open</v>
      </c>
      <c r="I1234" s="9" t="str">
        <f t="shared" si="118"/>
        <v>No sailing date and No shipping advice sent and No docs dispatch date</v>
      </c>
      <c r="J1234" s="9" t="s">
        <v>235</v>
      </c>
      <c r="K1234" s="9" t="s">
        <v>2632</v>
      </c>
      <c r="L1234" s="11">
        <v>40</v>
      </c>
      <c r="M1234" s="9" t="s">
        <v>2633</v>
      </c>
      <c r="N1234" s="9"/>
      <c r="O1234" s="9"/>
      <c r="P1234" s="9"/>
      <c r="Q1234" s="11">
        <v>245</v>
      </c>
      <c r="R1234" s="9" t="s">
        <v>195</v>
      </c>
      <c r="S1234" s="9" t="s">
        <v>106</v>
      </c>
      <c r="T1234" s="12">
        <f>IF($H1234="Cancelled","",IFERROR(((Q1234+INDEX(Variables!$B$6:$D$6,IFERROR(MATCH(IF($B1234="Robusta","Robusta",(IF($B1234="","Arabica",$B1234))&amp;" - "&amp;(IF($C1234="","Commercial",$C1234))),Variables!$B$1:$D$1,0),1)))*22.0462)*(L1234/16.67),""))</f>
        <v>28343.980707858424</v>
      </c>
      <c r="U1234" s="10"/>
      <c r="V1234" s="9" t="str">
        <f t="shared" si="120"/>
        <v/>
      </c>
      <c r="W1234" s="10"/>
      <c r="X1234" s="9" t="str">
        <f t="shared" si="121"/>
        <v/>
      </c>
      <c r="Y1234" s="10"/>
      <c r="Z1234" s="10">
        <f>IF($H1234="Cancelled","",IFERROR(IF(F1234="","",F1234-Variables!$B$13),""))</f>
        <v>46066</v>
      </c>
      <c r="AA1234" s="11" t="str">
        <f>IF($H1234="Cancelled","",IFERROR(IF(W1234="","",(AVERAGE(E1234:F1234)-W1234)-Variables!$B$14),""))</f>
        <v/>
      </c>
      <c r="AB1234" s="10"/>
      <c r="AC1234" s="11" t="str">
        <f>IF($H1234="Cancelled","",IFERROR(IF(AB1234="","",IF(AND(W1234="",Y1234=""),"",IF(Y1234&gt;W1234,Y1234+Variables!$B$15+Variables!$B$16+Variables!$B$17-AB1234,W1234+Variables!$B$16+Variables!$B$17-AB1234))),""))</f>
        <v/>
      </c>
      <c r="AD1234" s="9" t="s">
        <v>107</v>
      </c>
      <c r="AE1234" s="9"/>
      <c r="AF1234" s="10"/>
      <c r="AG1234" s="10"/>
      <c r="AH1234" s="9"/>
      <c r="AI1234" s="9"/>
      <c r="AJ1234" s="9"/>
      <c r="AK1234" s="10"/>
      <c r="AL1234" s="10"/>
      <c r="AM1234" s="10"/>
      <c r="AN1234" s="9" t="s">
        <v>1188</v>
      </c>
      <c r="AO1234" s="9"/>
      <c r="AP1234" s="11" t="str">
        <f>IF($H1234="Cancelled","",IFERROR(IF(OR(AK1234="",AB1234=""),"",(AB1234+Variables!$B$18-AK1234)),""))</f>
        <v/>
      </c>
      <c r="AQ1234" s="11" t="str">
        <f>IF($H1234="Cancelled","",IFERROR(IF(OR(AM1234="",AK1234=""),"",(AK1234+Variables!$B$19)-AM1234),""))</f>
        <v/>
      </c>
      <c r="AR1234" s="12" t="str">
        <f>IF($H1234="Cancelled","",IFERROR(T1234*INDEX(Variables!$B$7:$D$7,IFERROR(MATCH(IF($B1234="Robusta","Robusta",(IF($B1234="","Arabica",$B1234))&amp;" - "&amp;(IF($C1234="","Commercial",$C1234))),Variables!$B$1:$D$1,0),1))*(AQ1234/365),""))</f>
        <v/>
      </c>
      <c r="AS1234" s="12" t="str">
        <f>IF($H1234="Cancelled","",IFERROR((T1234*INDEX(Variables!$B$7:$D$7,IFERROR(MATCH(IF($B1234="Robusta","Robusta",(IF($B1234="","Arabica",$B1234))&amp;" - "&amp;(IF($C1234="","Commercial",$C1234))),Variables!$B$1:$D$1,0),1))*IFERROR(IF(W1234="","",(AVERAGE(E1234:F1234)-W1234)-Variables!$B$14),"")/365)+(L1234/16.67*INDEX(Variables!$B$8:$D$8,IFERROR(MATCH(IF($B1234="Robusta","Robusta",(IF($B1234="","Arabica",$B1234))&amp;" - "&amp;(IF($C1234="","Commercial",$C1234))),Variables!$B$1:$D$1,0),1))*IFERROR(IF(W1234="","",(AVERAGE(E1234:F1234)-W1234)-Variables!$B$14),""))+(T1234*INDEX(Variables!$B$9:$D$9,IFERROR(MATCH(IF($B1234="Robusta","Robusta",(IF($B1234="","Arabica",$B1234))&amp;" - "&amp;(IF($C1234="","Commercial",$C1234))),Variables!$B$1:$D$1,0),1))*IFERROR(IF(W1234="","",(AVERAGE(E1234:F1234)-W1234)-Variables!$B$14),"")/365),""))</f>
        <v/>
      </c>
      <c r="AT1234" s="12" t="str">
        <f>IF($H1234="Cancelled","",IFERROR((T1234*INDEX(Variables!$B$7:$D$7,IFERROR(MATCH(IF($B1234="Robusta","Robusta",(IF($B1234="","Arabica",$B1234))&amp;" - "&amp;(IF($C1234="","Commercial",$C1234))),Variables!$B$1:$D$1,0),1))*AC1234/365)+(L1234/16.67*INDEX(Variables!$B$8:$D$8,IFERROR(MATCH(IF($B1234="Robusta","Robusta",(IF($B1234="","Arabica",$B1234))&amp;" - "&amp;(IF($C1234="","Commercial",$C1234))),Variables!$B$1:$D$1,0),1))*AC1234)+(T1234*INDEX(Variables!$B$9:$D$9,IFERROR(MATCH(IF($B1234="Robusta","Robusta",(IF($B1234="","Arabica",$B1234))&amp;" - "&amp;(IF($C1234="","Commercial",$C1234))),Variables!$B$1:$D$1,0),1))*AC1234/365),""))</f>
        <v/>
      </c>
      <c r="AU1234" s="12" t="str">
        <f>IF($H1234="Cancelled","",IFERROR((T1234*INDEX(Variables!$B$7:$D$7,IFERROR(MATCH(IF($B1234="Robusta","Robusta",(IF($B1234="","Arabica",$B1234))&amp;" - "&amp;(IF($C1234="","Commercial",$C1234))),Variables!$B$1:$D$1,0),1))*AP1234/365)+(L1234/16.67*INDEX(Variables!$B$8:$D$8,IFERROR(MATCH(IF($B1234="Robusta","Robusta",(IF($B1234="","Arabica",$B1234))&amp;" - "&amp;(IF($C1234="","Commercial",$C1234))),Variables!$B$1:$D$1,0),1))*AP1234)+(T1234*INDEX(Variables!$B$9:$D$9,IFERROR(MATCH(IF($B1234="Robusta","Robusta",(IF($B1234="","Arabica",$B1234))&amp;" - "&amp;(IF($C1234="","Commercial",$C1234))),Variables!$B$1:$D$1,0),1))*AP1234/365),""))</f>
        <v/>
      </c>
      <c r="AV1234" s="11" t="str">
        <f t="shared" si="119"/>
        <v/>
      </c>
      <c r="AW1234" s="12" t="str">
        <f>IF($H1234="Cancelled","",IFERROR(IF(AV1234="","",(T1234*INDEX(Variables!$B$7:$D$7,IFERROR(MATCH(IF($B1234="Robusta","Robusta",(IF($B1234="","Arabica",$B1234))&amp;" - "&amp;(IF($C1234="","Commercial",$C1234))),Variables!$B$1:$D$1,0),1))*(AV1234/365))+(T1234*INDEX(Variables!$B$9:$D$9,IFERROR(MATCH(IF($B1234="Robusta","Robusta",(IF($B1234="","Arabica",$B1234))&amp;" - "&amp;(IF($C1234="","Commercial",$C1234))),Variables!$B$1:$D$1,0),1))*(AV1234/365))+(INDEX(Variables!$B$8:$D$8,IFERROR(MATCH(IF($B1234="Robusta","Robusta",(IF($B1234="","Arabica",$B1234))&amp;" - "&amp;(IF($C1234="","Commercial",$C1234))),Variables!$B$1:$D$1,0),1))*L1234/16.67)),""))</f>
        <v/>
      </c>
      <c r="AX1234" s="9"/>
      <c r="AY1234" s="12"/>
      <c r="AZ1234" s="10"/>
      <c r="BA1234" s="9"/>
      <c r="BB1234" s="10"/>
      <c r="BC1234" s="9"/>
      <c r="BD1234" s="9"/>
      <c r="BE1234" s="9"/>
      <c r="BF1234" s="9"/>
    </row>
    <row r="1235" spans="1:58" x14ac:dyDescent="0.25">
      <c r="A1235" s="9" t="s">
        <v>84</v>
      </c>
      <c r="B1235" s="9" t="s">
        <v>85</v>
      </c>
      <c r="C1235" s="9" t="s">
        <v>1486</v>
      </c>
      <c r="D1235" s="10">
        <v>46058</v>
      </c>
      <c r="E1235" s="10">
        <v>46054</v>
      </c>
      <c r="F1235" s="10">
        <v>46081</v>
      </c>
      <c r="G1235" s="9">
        <v>3787226</v>
      </c>
      <c r="H1235" s="9" t="str">
        <f t="shared" si="117"/>
        <v>Open</v>
      </c>
      <c r="I1235" s="9" t="str">
        <f t="shared" si="118"/>
        <v>No sailing date and No shipping advice sent and No docs dispatch date</v>
      </c>
      <c r="J1235" s="9" t="s">
        <v>235</v>
      </c>
      <c r="K1235" s="9" t="s">
        <v>2634</v>
      </c>
      <c r="L1235" s="11">
        <v>40</v>
      </c>
      <c r="M1235" s="9" t="s">
        <v>2635</v>
      </c>
      <c r="N1235" s="9"/>
      <c r="O1235" s="9"/>
      <c r="P1235" s="9"/>
      <c r="Q1235" s="11">
        <v>225</v>
      </c>
      <c r="R1235" s="9" t="s">
        <v>195</v>
      </c>
      <c r="S1235" s="9" t="s">
        <v>106</v>
      </c>
      <c r="T1235" s="12">
        <f>IF($H1235="Cancelled","",IFERROR(((Q1235+INDEX(Variables!$B$6:$D$6,IFERROR(MATCH(IF($B1235="Robusta","Robusta",(IF($B1235="","Arabica",$B1235))&amp;" - "&amp;(IF($C1235="","Commercial",$C1235))),Variables!$B$1:$D$1,0),1)))*22.0462)*(L1235/16.67),""))</f>
        <v>27285.97470905818</v>
      </c>
      <c r="U1235" s="10"/>
      <c r="V1235" s="9" t="str">
        <f t="shared" si="120"/>
        <v/>
      </c>
      <c r="W1235" s="10"/>
      <c r="X1235" s="9" t="str">
        <f t="shared" si="121"/>
        <v/>
      </c>
      <c r="Y1235" s="10"/>
      <c r="Z1235" s="10">
        <f>IF($H1235="Cancelled","",IFERROR(IF(F1235="","",F1235-Variables!$B$13),""))</f>
        <v>46066</v>
      </c>
      <c r="AA1235" s="11" t="str">
        <f>IF($H1235="Cancelled","",IFERROR(IF(W1235="","",(AVERAGE(E1235:F1235)-W1235)-Variables!$B$14),""))</f>
        <v/>
      </c>
      <c r="AB1235" s="10"/>
      <c r="AC1235" s="11" t="str">
        <f>IF($H1235="Cancelled","",IFERROR(IF(AB1235="","",IF(AND(W1235="",Y1235=""),"",IF(Y1235&gt;W1235,Y1235+Variables!$B$15+Variables!$B$16+Variables!$B$17-AB1235,W1235+Variables!$B$16+Variables!$B$17-AB1235))),""))</f>
        <v/>
      </c>
      <c r="AD1235" s="9" t="s">
        <v>107</v>
      </c>
      <c r="AE1235" s="9"/>
      <c r="AF1235" s="10"/>
      <c r="AG1235" s="10"/>
      <c r="AH1235" s="9"/>
      <c r="AI1235" s="9"/>
      <c r="AJ1235" s="9"/>
      <c r="AK1235" s="10"/>
      <c r="AL1235" s="10"/>
      <c r="AM1235" s="10"/>
      <c r="AN1235" s="9" t="s">
        <v>1188</v>
      </c>
      <c r="AO1235" s="9"/>
      <c r="AP1235" s="11" t="str">
        <f>IF($H1235="Cancelled","",IFERROR(IF(OR(AK1235="",AB1235=""),"",(AB1235+Variables!$B$18-AK1235)),""))</f>
        <v/>
      </c>
      <c r="AQ1235" s="11" t="str">
        <f>IF($H1235="Cancelled","",IFERROR(IF(OR(AM1235="",AK1235=""),"",(AK1235+Variables!$B$19)-AM1235),""))</f>
        <v/>
      </c>
      <c r="AR1235" s="12" t="str">
        <f>IF($H1235="Cancelled","",IFERROR(T1235*INDEX(Variables!$B$7:$D$7,IFERROR(MATCH(IF($B1235="Robusta","Robusta",(IF($B1235="","Arabica",$B1235))&amp;" - "&amp;(IF($C1235="","Commercial",$C1235))),Variables!$B$1:$D$1,0),1))*(AQ1235/365),""))</f>
        <v/>
      </c>
      <c r="AS1235" s="12" t="str">
        <f>IF($H1235="Cancelled","",IFERROR((T1235*INDEX(Variables!$B$7:$D$7,IFERROR(MATCH(IF($B1235="Robusta","Robusta",(IF($B1235="","Arabica",$B1235))&amp;" - "&amp;(IF($C1235="","Commercial",$C1235))),Variables!$B$1:$D$1,0),1))*IFERROR(IF(W1235="","",(AVERAGE(E1235:F1235)-W1235)-Variables!$B$14),"")/365)+(L1235/16.67*INDEX(Variables!$B$8:$D$8,IFERROR(MATCH(IF($B1235="Robusta","Robusta",(IF($B1235="","Arabica",$B1235))&amp;" - "&amp;(IF($C1235="","Commercial",$C1235))),Variables!$B$1:$D$1,0),1))*IFERROR(IF(W1235="","",(AVERAGE(E1235:F1235)-W1235)-Variables!$B$14),""))+(T1235*INDEX(Variables!$B$9:$D$9,IFERROR(MATCH(IF($B1235="Robusta","Robusta",(IF($B1235="","Arabica",$B1235))&amp;" - "&amp;(IF($C1235="","Commercial",$C1235))),Variables!$B$1:$D$1,0),1))*IFERROR(IF(W1235="","",(AVERAGE(E1235:F1235)-W1235)-Variables!$B$14),"")/365),""))</f>
        <v/>
      </c>
      <c r="AT1235" s="12" t="str">
        <f>IF($H1235="Cancelled","",IFERROR((T1235*INDEX(Variables!$B$7:$D$7,IFERROR(MATCH(IF($B1235="Robusta","Robusta",(IF($B1235="","Arabica",$B1235))&amp;" - "&amp;(IF($C1235="","Commercial",$C1235))),Variables!$B$1:$D$1,0),1))*AC1235/365)+(L1235/16.67*INDEX(Variables!$B$8:$D$8,IFERROR(MATCH(IF($B1235="Robusta","Robusta",(IF($B1235="","Arabica",$B1235))&amp;" - "&amp;(IF($C1235="","Commercial",$C1235))),Variables!$B$1:$D$1,0),1))*AC1235)+(T1235*INDEX(Variables!$B$9:$D$9,IFERROR(MATCH(IF($B1235="Robusta","Robusta",(IF($B1235="","Arabica",$B1235))&amp;" - "&amp;(IF($C1235="","Commercial",$C1235))),Variables!$B$1:$D$1,0),1))*AC1235/365),""))</f>
        <v/>
      </c>
      <c r="AU1235" s="12" t="str">
        <f>IF($H1235="Cancelled","",IFERROR((T1235*INDEX(Variables!$B$7:$D$7,IFERROR(MATCH(IF($B1235="Robusta","Robusta",(IF($B1235="","Arabica",$B1235))&amp;" - "&amp;(IF($C1235="","Commercial",$C1235))),Variables!$B$1:$D$1,0),1))*AP1235/365)+(L1235/16.67*INDEX(Variables!$B$8:$D$8,IFERROR(MATCH(IF($B1235="Robusta","Robusta",(IF($B1235="","Arabica",$B1235))&amp;" - "&amp;(IF($C1235="","Commercial",$C1235))),Variables!$B$1:$D$1,0),1))*AP1235)+(T1235*INDEX(Variables!$B$9:$D$9,IFERROR(MATCH(IF($B1235="Robusta","Robusta",(IF($B1235="","Arabica",$B1235))&amp;" - "&amp;(IF($C1235="","Commercial",$C1235))),Variables!$B$1:$D$1,0),1))*AP1235/365),""))</f>
        <v/>
      </c>
      <c r="AV1235" s="11" t="str">
        <f t="shared" si="119"/>
        <v/>
      </c>
      <c r="AW1235" s="12" t="str">
        <f>IF($H1235="Cancelled","",IFERROR(IF(AV1235="","",(T1235*INDEX(Variables!$B$7:$D$7,IFERROR(MATCH(IF($B1235="Robusta","Robusta",(IF($B1235="","Arabica",$B1235))&amp;" - "&amp;(IF($C1235="","Commercial",$C1235))),Variables!$B$1:$D$1,0),1))*(AV1235/365))+(T1235*INDEX(Variables!$B$9:$D$9,IFERROR(MATCH(IF($B1235="Robusta","Robusta",(IF($B1235="","Arabica",$B1235))&amp;" - "&amp;(IF($C1235="","Commercial",$C1235))),Variables!$B$1:$D$1,0),1))*(AV1235/365))+(INDEX(Variables!$B$8:$D$8,IFERROR(MATCH(IF($B1235="Robusta","Robusta",(IF($B1235="","Arabica",$B1235))&amp;" - "&amp;(IF($C1235="","Commercial",$C1235))),Variables!$B$1:$D$1,0),1))*L1235/16.67)),""))</f>
        <v/>
      </c>
      <c r="AX1235" s="9"/>
      <c r="AY1235" s="12"/>
      <c r="AZ1235" s="10"/>
      <c r="BA1235" s="9"/>
      <c r="BB1235" s="10"/>
      <c r="BC1235" s="9"/>
      <c r="BD1235" s="9"/>
      <c r="BE1235" s="9"/>
      <c r="BF1235" s="9"/>
    </row>
    <row r="1236" spans="1:58" x14ac:dyDescent="0.25">
      <c r="A1236" s="9" t="s">
        <v>84</v>
      </c>
      <c r="B1236" s="9" t="s">
        <v>85</v>
      </c>
      <c r="C1236" s="9" t="s">
        <v>1486</v>
      </c>
      <c r="D1236" s="10">
        <v>46058</v>
      </c>
      <c r="E1236" s="10">
        <v>46054</v>
      </c>
      <c r="F1236" s="10">
        <v>46081</v>
      </c>
      <c r="G1236" s="9">
        <v>3787227</v>
      </c>
      <c r="H1236" s="9" t="str">
        <f t="shared" si="117"/>
        <v>Open</v>
      </c>
      <c r="I1236" s="9" t="str">
        <f t="shared" si="118"/>
        <v>No sailing date and No shipping advice sent and No docs dispatch date</v>
      </c>
      <c r="J1236" s="9" t="s">
        <v>235</v>
      </c>
      <c r="K1236" s="9" t="s">
        <v>2636</v>
      </c>
      <c r="L1236" s="11">
        <v>30</v>
      </c>
      <c r="M1236" s="9" t="s">
        <v>2637</v>
      </c>
      <c r="N1236" s="9"/>
      <c r="O1236" s="9"/>
      <c r="P1236" s="9"/>
      <c r="Q1236" s="11">
        <v>225</v>
      </c>
      <c r="R1236" s="9" t="s">
        <v>195</v>
      </c>
      <c r="S1236" s="9" t="s">
        <v>106</v>
      </c>
      <c r="T1236" s="12">
        <f>IF($H1236="Cancelled","",IFERROR(((Q1236+INDEX(Variables!$B$6:$D$6,IFERROR(MATCH(IF($B1236="Robusta","Robusta",(IF($B1236="","Arabica",$B1236))&amp;" - "&amp;(IF($C1236="","Commercial",$C1236))),Variables!$B$1:$D$1,0),1)))*22.0462)*(L1236/16.67),""))</f>
        <v>20464.481031793635</v>
      </c>
      <c r="U1236" s="10"/>
      <c r="V1236" s="9" t="str">
        <f t="shared" si="120"/>
        <v/>
      </c>
      <c r="W1236" s="10"/>
      <c r="X1236" s="9" t="str">
        <f t="shared" si="121"/>
        <v/>
      </c>
      <c r="Y1236" s="10"/>
      <c r="Z1236" s="10">
        <f>IF($H1236="Cancelled","",IFERROR(IF(F1236="","",F1236-Variables!$B$13),""))</f>
        <v>46066</v>
      </c>
      <c r="AA1236" s="11" t="str">
        <f>IF($H1236="Cancelled","",IFERROR(IF(W1236="","",(AVERAGE(E1236:F1236)-W1236)-Variables!$B$14),""))</f>
        <v/>
      </c>
      <c r="AB1236" s="10"/>
      <c r="AC1236" s="11" t="str">
        <f>IF($H1236="Cancelled","",IFERROR(IF(AB1236="","",IF(AND(W1236="",Y1236=""),"",IF(Y1236&gt;W1236,Y1236+Variables!$B$15+Variables!$B$16+Variables!$B$17-AB1236,W1236+Variables!$B$16+Variables!$B$17-AB1236))),""))</f>
        <v/>
      </c>
      <c r="AD1236" s="9" t="s">
        <v>107</v>
      </c>
      <c r="AE1236" s="9"/>
      <c r="AF1236" s="10"/>
      <c r="AG1236" s="10"/>
      <c r="AH1236" s="9"/>
      <c r="AI1236" s="9"/>
      <c r="AJ1236" s="9"/>
      <c r="AK1236" s="10"/>
      <c r="AL1236" s="10"/>
      <c r="AM1236" s="10"/>
      <c r="AN1236" s="9" t="s">
        <v>1188</v>
      </c>
      <c r="AO1236" s="9"/>
      <c r="AP1236" s="11" t="str">
        <f>IF($H1236="Cancelled","",IFERROR(IF(OR(AK1236="",AB1236=""),"",(AB1236+Variables!$B$18-AK1236)),""))</f>
        <v/>
      </c>
      <c r="AQ1236" s="11" t="str">
        <f>IF($H1236="Cancelled","",IFERROR(IF(OR(AM1236="",AK1236=""),"",(AK1236+Variables!$B$19)-AM1236),""))</f>
        <v/>
      </c>
      <c r="AR1236" s="12" t="str">
        <f>IF($H1236="Cancelled","",IFERROR(T1236*INDEX(Variables!$B$7:$D$7,IFERROR(MATCH(IF($B1236="Robusta","Robusta",(IF($B1236="","Arabica",$B1236))&amp;" - "&amp;(IF($C1236="","Commercial",$C1236))),Variables!$B$1:$D$1,0),1))*(AQ1236/365),""))</f>
        <v/>
      </c>
      <c r="AS1236" s="12" t="str">
        <f>IF($H1236="Cancelled","",IFERROR((T1236*INDEX(Variables!$B$7:$D$7,IFERROR(MATCH(IF($B1236="Robusta","Robusta",(IF($B1236="","Arabica",$B1236))&amp;" - "&amp;(IF($C1236="","Commercial",$C1236))),Variables!$B$1:$D$1,0),1))*IFERROR(IF(W1236="","",(AVERAGE(E1236:F1236)-W1236)-Variables!$B$14),"")/365)+(L1236/16.67*INDEX(Variables!$B$8:$D$8,IFERROR(MATCH(IF($B1236="Robusta","Robusta",(IF($B1236="","Arabica",$B1236))&amp;" - "&amp;(IF($C1236="","Commercial",$C1236))),Variables!$B$1:$D$1,0),1))*IFERROR(IF(W1236="","",(AVERAGE(E1236:F1236)-W1236)-Variables!$B$14),""))+(T1236*INDEX(Variables!$B$9:$D$9,IFERROR(MATCH(IF($B1236="Robusta","Robusta",(IF($B1236="","Arabica",$B1236))&amp;" - "&amp;(IF($C1236="","Commercial",$C1236))),Variables!$B$1:$D$1,0),1))*IFERROR(IF(W1236="","",(AVERAGE(E1236:F1236)-W1236)-Variables!$B$14),"")/365),""))</f>
        <v/>
      </c>
      <c r="AT1236" s="12" t="str">
        <f>IF($H1236="Cancelled","",IFERROR((T1236*INDEX(Variables!$B$7:$D$7,IFERROR(MATCH(IF($B1236="Robusta","Robusta",(IF($B1236="","Arabica",$B1236))&amp;" - "&amp;(IF($C1236="","Commercial",$C1236))),Variables!$B$1:$D$1,0),1))*AC1236/365)+(L1236/16.67*INDEX(Variables!$B$8:$D$8,IFERROR(MATCH(IF($B1236="Robusta","Robusta",(IF($B1236="","Arabica",$B1236))&amp;" - "&amp;(IF($C1236="","Commercial",$C1236))),Variables!$B$1:$D$1,0),1))*AC1236)+(T1236*INDEX(Variables!$B$9:$D$9,IFERROR(MATCH(IF($B1236="Robusta","Robusta",(IF($B1236="","Arabica",$B1236))&amp;" - "&amp;(IF($C1236="","Commercial",$C1236))),Variables!$B$1:$D$1,0),1))*AC1236/365),""))</f>
        <v/>
      </c>
      <c r="AU1236" s="12" t="str">
        <f>IF($H1236="Cancelled","",IFERROR((T1236*INDEX(Variables!$B$7:$D$7,IFERROR(MATCH(IF($B1236="Robusta","Robusta",(IF($B1236="","Arabica",$B1236))&amp;" - "&amp;(IF($C1236="","Commercial",$C1236))),Variables!$B$1:$D$1,0),1))*AP1236/365)+(L1236/16.67*INDEX(Variables!$B$8:$D$8,IFERROR(MATCH(IF($B1236="Robusta","Robusta",(IF($B1236="","Arabica",$B1236))&amp;" - "&amp;(IF($C1236="","Commercial",$C1236))),Variables!$B$1:$D$1,0),1))*AP1236)+(T1236*INDEX(Variables!$B$9:$D$9,IFERROR(MATCH(IF($B1236="Robusta","Robusta",(IF($B1236="","Arabica",$B1236))&amp;" - "&amp;(IF($C1236="","Commercial",$C1236))),Variables!$B$1:$D$1,0),1))*AP1236/365),""))</f>
        <v/>
      </c>
      <c r="AV1236" s="11" t="str">
        <f t="shared" si="119"/>
        <v/>
      </c>
      <c r="AW1236" s="12" t="str">
        <f>IF($H1236="Cancelled","",IFERROR(IF(AV1236="","",(T1236*INDEX(Variables!$B$7:$D$7,IFERROR(MATCH(IF($B1236="Robusta","Robusta",(IF($B1236="","Arabica",$B1236))&amp;" - "&amp;(IF($C1236="","Commercial",$C1236))),Variables!$B$1:$D$1,0),1))*(AV1236/365))+(T1236*INDEX(Variables!$B$9:$D$9,IFERROR(MATCH(IF($B1236="Robusta","Robusta",(IF($B1236="","Arabica",$B1236))&amp;" - "&amp;(IF($C1236="","Commercial",$C1236))),Variables!$B$1:$D$1,0),1))*(AV1236/365))+(INDEX(Variables!$B$8:$D$8,IFERROR(MATCH(IF($B1236="Robusta","Robusta",(IF($B1236="","Arabica",$B1236))&amp;" - "&amp;(IF($C1236="","Commercial",$C1236))),Variables!$B$1:$D$1,0),1))*L1236/16.67)),""))</f>
        <v/>
      </c>
      <c r="AX1236" s="9"/>
      <c r="AY1236" s="12"/>
      <c r="AZ1236" s="10"/>
      <c r="BA1236" s="9"/>
      <c r="BB1236" s="10"/>
      <c r="BC1236" s="9"/>
      <c r="BD1236" s="9"/>
      <c r="BE1236" s="9"/>
      <c r="BF1236" s="9"/>
    </row>
    <row r="1237" spans="1:58" x14ac:dyDescent="0.25">
      <c r="A1237" s="9" t="s">
        <v>84</v>
      </c>
      <c r="B1237" s="9" t="s">
        <v>85</v>
      </c>
      <c r="C1237" s="9" t="s">
        <v>1486</v>
      </c>
      <c r="D1237" s="10">
        <v>46062</v>
      </c>
      <c r="E1237" s="10">
        <v>46054</v>
      </c>
      <c r="F1237" s="10">
        <v>46081</v>
      </c>
      <c r="G1237" s="9">
        <v>3787235</v>
      </c>
      <c r="H1237" s="9" t="str">
        <f t="shared" si="117"/>
        <v>Open</v>
      </c>
      <c r="I1237" s="9" t="str">
        <f t="shared" si="118"/>
        <v>No sailing date and No shipping advice sent and No docs dispatch date</v>
      </c>
      <c r="J1237" s="9" t="s">
        <v>235</v>
      </c>
      <c r="K1237" s="9" t="s">
        <v>2638</v>
      </c>
      <c r="L1237" s="11">
        <v>59</v>
      </c>
      <c r="M1237" s="9" t="s">
        <v>2639</v>
      </c>
      <c r="N1237" s="9"/>
      <c r="O1237" s="9"/>
      <c r="P1237" s="9"/>
      <c r="Q1237" s="11">
        <v>211.45</v>
      </c>
      <c r="R1237" s="9" t="s">
        <v>195</v>
      </c>
      <c r="S1237" s="9" t="s">
        <v>106</v>
      </c>
      <c r="T1237" s="12">
        <f>IF($H1237="Cancelled","",IFERROR(((Q1237+INDEX(Variables!$B$6:$D$6,IFERROR(MATCH(IF($B1237="Robusta","Robusta",(IF($B1237="","Arabica",$B1237))&amp;" - "&amp;(IF($C1237="","Commercial",$C1237))),Variables!$B$1:$D$1,0),1)))*22.0462)*(L1237/16.67),""))</f>
        <v>39189.534076184755</v>
      </c>
      <c r="U1237" s="10"/>
      <c r="V1237" s="9" t="str">
        <f t="shared" si="120"/>
        <v/>
      </c>
      <c r="W1237" s="10"/>
      <c r="X1237" s="9" t="str">
        <f t="shared" si="121"/>
        <v/>
      </c>
      <c r="Y1237" s="10"/>
      <c r="Z1237" s="10">
        <f>IF($H1237="Cancelled","",IFERROR(IF(F1237="","",F1237-Variables!$B$13),""))</f>
        <v>46066</v>
      </c>
      <c r="AA1237" s="11" t="str">
        <f>IF($H1237="Cancelled","",IFERROR(IF(W1237="","",(AVERAGE(E1237:F1237)-W1237)-Variables!$B$14),""))</f>
        <v/>
      </c>
      <c r="AB1237" s="10"/>
      <c r="AC1237" s="11" t="str">
        <f>IF($H1237="Cancelled","",IFERROR(IF(AB1237="","",IF(AND(W1237="",Y1237=""),"",IF(Y1237&gt;W1237,Y1237+Variables!$B$15+Variables!$B$16+Variables!$B$17-AB1237,W1237+Variables!$B$16+Variables!$B$17-AB1237))),""))</f>
        <v/>
      </c>
      <c r="AD1237" s="9" t="s">
        <v>107</v>
      </c>
      <c r="AE1237" s="9"/>
      <c r="AF1237" s="10"/>
      <c r="AG1237" s="10"/>
      <c r="AH1237" s="9"/>
      <c r="AI1237" s="9"/>
      <c r="AJ1237" s="9"/>
      <c r="AK1237" s="10"/>
      <c r="AL1237" s="10"/>
      <c r="AM1237" s="10"/>
      <c r="AN1237" s="9" t="s">
        <v>1188</v>
      </c>
      <c r="AO1237" s="9"/>
      <c r="AP1237" s="11" t="str">
        <f>IF($H1237="Cancelled","",IFERROR(IF(OR(AK1237="",AB1237=""),"",(AB1237+Variables!$B$18-AK1237)),""))</f>
        <v/>
      </c>
      <c r="AQ1237" s="11" t="str">
        <f>IF($H1237="Cancelled","",IFERROR(IF(OR(AM1237="",AK1237=""),"",(AK1237+Variables!$B$19)-AM1237),""))</f>
        <v/>
      </c>
      <c r="AR1237" s="12" t="str">
        <f>IF($H1237="Cancelled","",IFERROR(T1237*INDEX(Variables!$B$7:$D$7,IFERROR(MATCH(IF($B1237="Robusta","Robusta",(IF($B1237="","Arabica",$B1237))&amp;" - "&amp;(IF($C1237="","Commercial",$C1237))),Variables!$B$1:$D$1,0),1))*(AQ1237/365),""))</f>
        <v/>
      </c>
      <c r="AS1237" s="12" t="str">
        <f>IF($H1237="Cancelled","",IFERROR((T1237*INDEX(Variables!$B$7:$D$7,IFERROR(MATCH(IF($B1237="Robusta","Robusta",(IF($B1237="","Arabica",$B1237))&amp;" - "&amp;(IF($C1237="","Commercial",$C1237))),Variables!$B$1:$D$1,0),1))*IFERROR(IF(W1237="","",(AVERAGE(E1237:F1237)-W1237)-Variables!$B$14),"")/365)+(L1237/16.67*INDEX(Variables!$B$8:$D$8,IFERROR(MATCH(IF($B1237="Robusta","Robusta",(IF($B1237="","Arabica",$B1237))&amp;" - "&amp;(IF($C1237="","Commercial",$C1237))),Variables!$B$1:$D$1,0),1))*IFERROR(IF(W1237="","",(AVERAGE(E1237:F1237)-W1237)-Variables!$B$14),""))+(T1237*INDEX(Variables!$B$9:$D$9,IFERROR(MATCH(IF($B1237="Robusta","Robusta",(IF($B1237="","Arabica",$B1237))&amp;" - "&amp;(IF($C1237="","Commercial",$C1237))),Variables!$B$1:$D$1,0),1))*IFERROR(IF(W1237="","",(AVERAGE(E1237:F1237)-W1237)-Variables!$B$14),"")/365),""))</f>
        <v/>
      </c>
      <c r="AT1237" s="12" t="str">
        <f>IF($H1237="Cancelled","",IFERROR((T1237*INDEX(Variables!$B$7:$D$7,IFERROR(MATCH(IF($B1237="Robusta","Robusta",(IF($B1237="","Arabica",$B1237))&amp;" - "&amp;(IF($C1237="","Commercial",$C1237))),Variables!$B$1:$D$1,0),1))*AC1237/365)+(L1237/16.67*INDEX(Variables!$B$8:$D$8,IFERROR(MATCH(IF($B1237="Robusta","Robusta",(IF($B1237="","Arabica",$B1237))&amp;" - "&amp;(IF($C1237="","Commercial",$C1237))),Variables!$B$1:$D$1,0),1))*AC1237)+(T1237*INDEX(Variables!$B$9:$D$9,IFERROR(MATCH(IF($B1237="Robusta","Robusta",(IF($B1237="","Arabica",$B1237))&amp;" - "&amp;(IF($C1237="","Commercial",$C1237))),Variables!$B$1:$D$1,0),1))*AC1237/365),""))</f>
        <v/>
      </c>
      <c r="AU1237" s="12" t="str">
        <f>IF($H1237="Cancelled","",IFERROR((T1237*INDEX(Variables!$B$7:$D$7,IFERROR(MATCH(IF($B1237="Robusta","Robusta",(IF($B1237="","Arabica",$B1237))&amp;" - "&amp;(IF($C1237="","Commercial",$C1237))),Variables!$B$1:$D$1,0),1))*AP1237/365)+(L1237/16.67*INDEX(Variables!$B$8:$D$8,IFERROR(MATCH(IF($B1237="Robusta","Robusta",(IF($B1237="","Arabica",$B1237))&amp;" - "&amp;(IF($C1237="","Commercial",$C1237))),Variables!$B$1:$D$1,0),1))*AP1237)+(T1237*INDEX(Variables!$B$9:$D$9,IFERROR(MATCH(IF($B1237="Robusta","Robusta",(IF($B1237="","Arabica",$B1237))&amp;" - "&amp;(IF($C1237="","Commercial",$C1237))),Variables!$B$1:$D$1,0),1))*AP1237/365),""))</f>
        <v/>
      </c>
      <c r="AV1237" s="11" t="str">
        <f t="shared" si="119"/>
        <v/>
      </c>
      <c r="AW1237" s="12" t="str">
        <f>IF($H1237="Cancelled","",IFERROR(IF(AV1237="","",(T1237*INDEX(Variables!$B$7:$D$7,IFERROR(MATCH(IF($B1237="Robusta","Robusta",(IF($B1237="","Arabica",$B1237))&amp;" - "&amp;(IF($C1237="","Commercial",$C1237))),Variables!$B$1:$D$1,0),1))*(AV1237/365))+(T1237*INDEX(Variables!$B$9:$D$9,IFERROR(MATCH(IF($B1237="Robusta","Robusta",(IF($B1237="","Arabica",$B1237))&amp;" - "&amp;(IF($C1237="","Commercial",$C1237))),Variables!$B$1:$D$1,0),1))*(AV1237/365))+(INDEX(Variables!$B$8:$D$8,IFERROR(MATCH(IF($B1237="Robusta","Robusta",(IF($B1237="","Arabica",$B1237))&amp;" - "&amp;(IF($C1237="","Commercial",$C1237))),Variables!$B$1:$D$1,0),1))*L1237/16.67)),""))</f>
        <v/>
      </c>
      <c r="AX1237" s="9"/>
      <c r="AY1237" s="12"/>
      <c r="AZ1237" s="10"/>
      <c r="BA1237" s="9"/>
      <c r="BB1237" s="10"/>
      <c r="BC1237" s="9"/>
      <c r="BD1237" s="9"/>
      <c r="BE1237" s="9"/>
      <c r="BF1237" s="9"/>
    </row>
    <row r="1238" spans="1:58" x14ac:dyDescent="0.25">
      <c r="A1238" s="9" t="s">
        <v>84</v>
      </c>
      <c r="B1238" s="9" t="s">
        <v>85</v>
      </c>
      <c r="C1238" s="9" t="s">
        <v>1486</v>
      </c>
      <c r="D1238" s="10">
        <v>46006</v>
      </c>
      <c r="E1238" s="10">
        <v>46023</v>
      </c>
      <c r="F1238" s="10">
        <v>46081</v>
      </c>
      <c r="G1238" s="9">
        <v>3787058</v>
      </c>
      <c r="H1238" s="9" t="str">
        <f t="shared" si="117"/>
        <v>Open</v>
      </c>
      <c r="I1238" s="9" t="str">
        <f t="shared" si="118"/>
        <v>No shipping advice sent and No docs dispatch date</v>
      </c>
      <c r="J1238" s="9" t="s">
        <v>235</v>
      </c>
      <c r="K1238" s="9" t="s">
        <v>2640</v>
      </c>
      <c r="L1238" s="11">
        <v>37</v>
      </c>
      <c r="M1238" s="9" t="s">
        <v>2641</v>
      </c>
      <c r="N1238" s="9"/>
      <c r="O1238" s="9"/>
      <c r="P1238" s="9"/>
      <c r="Q1238" s="11">
        <v>141</v>
      </c>
      <c r="R1238" s="9" t="s">
        <v>195</v>
      </c>
      <c r="S1238" s="9"/>
      <c r="T1238" s="12">
        <f>IF($H1238="Cancelled","",IFERROR(((Q1238+INDEX(Variables!$B$6:$D$6,IFERROR(MATCH(IF($B1238="Robusta","Robusta",(IF($B1238="","Arabica",$B1238))&amp;" - "&amp;(IF($C1238="","Commercial",$C1238))),Variables!$B$1:$D$1,0),1)))*22.0462)*(L1238/16.67),""))</f>
        <v>21129.173300539889</v>
      </c>
      <c r="U1238" s="10"/>
      <c r="V1238" s="9" t="str">
        <f t="shared" si="120"/>
        <v/>
      </c>
      <c r="W1238" s="10">
        <v>46023</v>
      </c>
      <c r="X1238" s="9" t="str">
        <f t="shared" si="121"/>
        <v>Approved</v>
      </c>
      <c r="Y1238" s="10">
        <v>46076</v>
      </c>
      <c r="Z1238" s="10">
        <f>IF($H1238="Cancelled","",IFERROR(IF(F1238="","",F1238-Variables!$B$13),""))</f>
        <v>46066</v>
      </c>
      <c r="AA1238" s="11">
        <f>IF($H1238="Cancelled","",IFERROR(IF(W1238="","",(AVERAGE(E1238:F1238)-W1238)-Variables!$B$14),""))</f>
        <v>-1</v>
      </c>
      <c r="AB1238" s="10">
        <v>46093</v>
      </c>
      <c r="AC1238" s="11">
        <f>IF($H1238="Cancelled","",IFERROR(IF(AB1238="","",IF(AND(W1238="",Y1238=""),"",IF(Y1238&gt;W1238,Y1238+Variables!$B$15+Variables!$B$16+Variables!$B$17-AB1238,W1238+Variables!$B$16+Variables!$B$17-AB1238))),""))</f>
        <v>-2</v>
      </c>
      <c r="AD1238" s="9" t="s">
        <v>107</v>
      </c>
      <c r="AE1238" s="9" t="s">
        <v>2603</v>
      </c>
      <c r="AF1238" s="10"/>
      <c r="AG1238" s="10"/>
      <c r="AH1238" s="9"/>
      <c r="AI1238" s="9" t="s">
        <v>2604</v>
      </c>
      <c r="AJ1238" s="9"/>
      <c r="AK1238" s="10">
        <v>46100</v>
      </c>
      <c r="AL1238" s="10"/>
      <c r="AM1238" s="10"/>
      <c r="AN1238" s="9" t="s">
        <v>2605</v>
      </c>
      <c r="AO1238" s="9"/>
      <c r="AP1238" s="11">
        <f>IF($H1238="Cancelled","",IFERROR(IF(OR(AK1238="",AB1238=""),"",(AB1238+Variables!$B$18-AK1238)),""))</f>
        <v>0</v>
      </c>
      <c r="AQ1238" s="11" t="str">
        <f>IF($H1238="Cancelled","",IFERROR(IF(OR(AM1238="",AK1238=""),"",(AK1238+Variables!$B$19)-AM1238),""))</f>
        <v/>
      </c>
      <c r="AR1238" s="12" t="str">
        <f>IF($H1238="Cancelled","",IFERROR(T1238*INDEX(Variables!$B$7:$D$7,IFERROR(MATCH(IF($B1238="Robusta","Robusta",(IF($B1238="","Arabica",$B1238))&amp;" - "&amp;(IF($C1238="","Commercial",$C1238))),Variables!$B$1:$D$1,0),1))*(AQ1238/365),""))</f>
        <v/>
      </c>
      <c r="AS1238" s="12">
        <f>IF($H1238="Cancelled","",IFERROR((T1238*INDEX(Variables!$B$7:$D$7,IFERROR(MATCH(IF($B1238="Robusta","Robusta",(IF($B1238="","Arabica",$B1238))&amp;" - "&amp;(IF($C1238="","Commercial",$C1238))),Variables!$B$1:$D$1,0),1))*IFERROR(IF(W1238="","",(AVERAGE(E1238:F1238)-W1238)-Variables!$B$14),"")/365)+(L1238/16.67*INDEX(Variables!$B$8:$D$8,IFERROR(MATCH(IF($B1238="Robusta","Robusta",(IF($B1238="","Arabica",$B1238))&amp;" - "&amp;(IF($C1238="","Commercial",$C1238))),Variables!$B$1:$D$1,0),1))*IFERROR(IF(W1238="","",(AVERAGE(E1238:F1238)-W1238)-Variables!$B$14),""))+(T1238*INDEX(Variables!$B$9:$D$9,IFERROR(MATCH(IF($B1238="Robusta","Robusta",(IF($B1238="","Arabica",$B1238))&amp;" - "&amp;(IF($C1238="","Commercial",$C1238))),Variables!$B$1:$D$1,0),1))*IFERROR(IF(W1238="","",(AVERAGE(E1238:F1238)-W1238)-Variables!$B$14),"")/365),""))</f>
        <v>-5.6308774256570198</v>
      </c>
      <c r="AT1238" s="12">
        <f>IF($H1238="Cancelled","",IFERROR((T1238*INDEX(Variables!$B$7:$D$7,IFERROR(MATCH(IF($B1238="Robusta","Robusta",(IF($B1238="","Arabica",$B1238))&amp;" - "&amp;(IF($C1238="","Commercial",$C1238))),Variables!$B$1:$D$1,0),1))*AC1238/365)+(L1238/16.67*INDEX(Variables!$B$8:$D$8,IFERROR(MATCH(IF($B1238="Robusta","Robusta",(IF($B1238="","Arabica",$B1238))&amp;" - "&amp;(IF($C1238="","Commercial",$C1238))),Variables!$B$1:$D$1,0),1))*AC1238)+(T1238*INDEX(Variables!$B$9:$D$9,IFERROR(MATCH(IF($B1238="Robusta","Robusta",(IF($B1238="","Arabica",$B1238))&amp;" - "&amp;(IF($C1238="","Commercial",$C1238))),Variables!$B$1:$D$1,0),1))*AC1238/365),""))</f>
        <v>-11.26175485131404</v>
      </c>
      <c r="AU1238" s="12">
        <f>IF($H1238="Cancelled","",IFERROR((T1238*INDEX(Variables!$B$7:$D$7,IFERROR(MATCH(IF($B1238="Robusta","Robusta",(IF($B1238="","Arabica",$B1238))&amp;" - "&amp;(IF($C1238="","Commercial",$C1238))),Variables!$B$1:$D$1,0),1))*AP1238/365)+(L1238/16.67*INDEX(Variables!$B$8:$D$8,IFERROR(MATCH(IF($B1238="Robusta","Robusta",(IF($B1238="","Arabica",$B1238))&amp;" - "&amp;(IF($C1238="","Commercial",$C1238))),Variables!$B$1:$D$1,0),1))*AP1238)+(T1238*INDEX(Variables!$B$9:$D$9,IFERROR(MATCH(IF($B1238="Robusta","Robusta",(IF($B1238="","Arabica",$B1238))&amp;" - "&amp;(IF($C1238="","Commercial",$C1238))),Variables!$B$1:$D$1,0),1))*AP1238/365),""))</f>
        <v>0</v>
      </c>
      <c r="AV1238" s="11">
        <f t="shared" si="119"/>
        <v>-19</v>
      </c>
      <c r="AW1238" s="12">
        <f>IF($H1238="Cancelled","",IFERROR(IF(AV1238="","",(T1238*INDEX(Variables!$B$7:$D$7,IFERROR(MATCH(IF($B1238="Robusta","Robusta",(IF($B1238="","Arabica",$B1238))&amp;" - "&amp;(IF($C1238="","Commercial",$C1238))),Variables!$B$1:$D$1,0),1))*(AV1238/365))+(T1238*INDEX(Variables!$B$9:$D$9,IFERROR(MATCH(IF($B1238="Robusta","Robusta",(IF($B1238="","Arabica",$B1238))&amp;" - "&amp;(IF($C1238="","Commercial",$C1238))),Variables!$B$1:$D$1,0),1))*(AV1238/365))+(INDEX(Variables!$B$8:$D$8,IFERROR(MATCH(IF($B1238="Robusta","Robusta",(IF($B1238="","Arabica",$B1238))&amp;" - "&amp;(IF($C1238="","Commercial",$C1238))),Variables!$B$1:$D$1,0),1))*L1238/16.67)),""))</f>
        <v>-69.986671087483373</v>
      </c>
      <c r="AX1238" s="9"/>
      <c r="AY1238" s="12"/>
      <c r="AZ1238" s="10"/>
      <c r="BA1238" s="9"/>
      <c r="BB1238" s="10"/>
      <c r="BC1238" s="9"/>
      <c r="BD1238" s="9"/>
      <c r="BE1238" s="9"/>
      <c r="BF1238" s="9"/>
    </row>
    <row r="1239" spans="1:58" x14ac:dyDescent="0.25">
      <c r="A1239" s="9" t="s">
        <v>84</v>
      </c>
      <c r="B1239" s="9" t="s">
        <v>85</v>
      </c>
      <c r="C1239" s="9" t="s">
        <v>1486</v>
      </c>
      <c r="D1239" s="10">
        <v>46036</v>
      </c>
      <c r="E1239" s="10">
        <v>46054</v>
      </c>
      <c r="F1239" s="10">
        <v>46081</v>
      </c>
      <c r="G1239" s="9">
        <v>3787101</v>
      </c>
      <c r="H1239" s="9" t="str">
        <f t="shared" si="117"/>
        <v>Open</v>
      </c>
      <c r="I1239" s="9" t="str">
        <f t="shared" si="118"/>
        <v>No shipping advice sent and No docs dispatch date</v>
      </c>
      <c r="J1239" s="9" t="s">
        <v>235</v>
      </c>
      <c r="K1239" s="9" t="s">
        <v>2642</v>
      </c>
      <c r="L1239" s="11">
        <v>30</v>
      </c>
      <c r="M1239" s="9" t="s">
        <v>2643</v>
      </c>
      <c r="N1239" s="9"/>
      <c r="O1239" s="9"/>
      <c r="P1239" s="9"/>
      <c r="Q1239" s="11">
        <v>104</v>
      </c>
      <c r="R1239" s="9" t="s">
        <v>195</v>
      </c>
      <c r="S1239" s="9"/>
      <c r="T1239" s="12">
        <f>IF($H1239="Cancelled","",IFERROR(((Q1239+INDEX(Variables!$B$6:$D$6,IFERROR(MATCH(IF($B1239="Robusta","Robusta",(IF($B1239="","Arabica",$B1239))&amp;" - "&amp;(IF($C1239="","Commercial",$C1239))),Variables!$B$1:$D$1,0),1)))*22.0462)*(L1239/16.67),""))</f>
        <v>15663.77881223755</v>
      </c>
      <c r="U1239" s="10"/>
      <c r="V1239" s="9" t="str">
        <f t="shared" si="120"/>
        <v/>
      </c>
      <c r="W1239" s="10">
        <v>46023</v>
      </c>
      <c r="X1239" s="9" t="str">
        <f t="shared" si="121"/>
        <v>Approved</v>
      </c>
      <c r="Y1239" s="10">
        <v>46076</v>
      </c>
      <c r="Z1239" s="10">
        <f>IF($H1239="Cancelled","",IFERROR(IF(F1239="","",F1239-Variables!$B$13),""))</f>
        <v>46066</v>
      </c>
      <c r="AA1239" s="11">
        <f>IF($H1239="Cancelled","",IFERROR(IF(W1239="","",(AVERAGE(E1239:F1239)-W1239)-Variables!$B$14),""))</f>
        <v>14.5</v>
      </c>
      <c r="AB1239" s="10">
        <v>46093</v>
      </c>
      <c r="AC1239" s="11">
        <f>IF($H1239="Cancelled","",IFERROR(IF(AB1239="","",IF(AND(W1239="",Y1239=""),"",IF(Y1239&gt;W1239,Y1239+Variables!$B$15+Variables!$B$16+Variables!$B$17-AB1239,W1239+Variables!$B$16+Variables!$B$17-AB1239))),""))</f>
        <v>-2</v>
      </c>
      <c r="AD1239" s="9" t="s">
        <v>107</v>
      </c>
      <c r="AE1239" s="9" t="s">
        <v>2603</v>
      </c>
      <c r="AF1239" s="10"/>
      <c r="AG1239" s="10"/>
      <c r="AH1239" s="9"/>
      <c r="AI1239" s="9" t="s">
        <v>2604</v>
      </c>
      <c r="AJ1239" s="9"/>
      <c r="AK1239" s="10">
        <v>46100</v>
      </c>
      <c r="AL1239" s="10"/>
      <c r="AM1239" s="10"/>
      <c r="AN1239" s="9" t="s">
        <v>2605</v>
      </c>
      <c r="AO1239" s="9"/>
      <c r="AP1239" s="11">
        <f>IF($H1239="Cancelled","",IFERROR(IF(OR(AK1239="",AB1239=""),"",(AB1239+Variables!$B$18-AK1239)),""))</f>
        <v>0</v>
      </c>
      <c r="AQ1239" s="11" t="str">
        <f>IF($H1239="Cancelled","",IFERROR(IF(OR(AM1239="",AK1239=""),"",(AK1239+Variables!$B$19)-AM1239),""))</f>
        <v/>
      </c>
      <c r="AR1239" s="12" t="str">
        <f>IF($H1239="Cancelled","",IFERROR(T1239*INDEX(Variables!$B$7:$D$7,IFERROR(MATCH(IF($B1239="Robusta","Robusta",(IF($B1239="","Arabica",$B1239))&amp;" - "&amp;(IF($C1239="","Commercial",$C1239))),Variables!$B$1:$D$1,0),1))*(AQ1239/365),""))</f>
        <v/>
      </c>
      <c r="AS1239" s="12">
        <f>IF($H1239="Cancelled","",IFERROR((T1239*INDEX(Variables!$B$7:$D$7,IFERROR(MATCH(IF($B1239="Robusta","Robusta",(IF($B1239="","Arabica",$B1239))&amp;" - "&amp;(IF($C1239="","Commercial",$C1239))),Variables!$B$1:$D$1,0),1))*IFERROR(IF(W1239="","",(AVERAGE(E1239:F1239)-W1239)-Variables!$B$14),"")/365)+(L1239/16.67*INDEX(Variables!$B$8:$D$8,IFERROR(MATCH(IF($B1239="Robusta","Robusta",(IF($B1239="","Arabica",$B1239))&amp;" - "&amp;(IF($C1239="","Commercial",$C1239))),Variables!$B$1:$D$1,0),1))*IFERROR(IF(W1239="","",(AVERAGE(E1239:F1239)-W1239)-Variables!$B$14),""))+(T1239*INDEX(Variables!$B$9:$D$9,IFERROR(MATCH(IF($B1239="Robusta","Robusta",(IF($B1239="","Arabica",$B1239))&amp;" - "&amp;(IF($C1239="","Commercial",$C1239))),Variables!$B$1:$D$1,0),1))*IFERROR(IF(W1239="","",(AVERAGE(E1239:F1239)-W1239)-Variables!$B$14),"")/365),""))</f>
        <v>62.39195932347841</v>
      </c>
      <c r="AT1239" s="12">
        <f>IF($H1239="Cancelled","",IFERROR((T1239*INDEX(Variables!$B$7:$D$7,IFERROR(MATCH(IF($B1239="Robusta","Robusta",(IF($B1239="","Arabica",$B1239))&amp;" - "&amp;(IF($C1239="","Commercial",$C1239))),Variables!$B$1:$D$1,0),1))*AC1239/365)+(L1239/16.67*INDEX(Variables!$B$8:$D$8,IFERROR(MATCH(IF($B1239="Robusta","Robusta",(IF($B1239="","Arabica",$B1239))&amp;" - "&amp;(IF($C1239="","Commercial",$C1239))),Variables!$B$1:$D$1,0),1))*AC1239)+(T1239*INDEX(Variables!$B$9:$D$9,IFERROR(MATCH(IF($B1239="Robusta","Robusta",(IF($B1239="","Arabica",$B1239))&amp;" - "&amp;(IF($C1239="","Commercial",$C1239))),Variables!$B$1:$D$1,0),1))*AC1239/365),""))</f>
        <v>-8.6057874928935743</v>
      </c>
      <c r="AU1239" s="12">
        <f>IF($H1239="Cancelled","",IFERROR((T1239*INDEX(Variables!$B$7:$D$7,IFERROR(MATCH(IF($B1239="Robusta","Robusta",(IF($B1239="","Arabica",$B1239))&amp;" - "&amp;(IF($C1239="","Commercial",$C1239))),Variables!$B$1:$D$1,0),1))*AP1239/365)+(L1239/16.67*INDEX(Variables!$B$8:$D$8,IFERROR(MATCH(IF($B1239="Robusta","Robusta",(IF($B1239="","Arabica",$B1239))&amp;" - "&amp;(IF($C1239="","Commercial",$C1239))),Variables!$B$1:$D$1,0),1))*AP1239)+(T1239*INDEX(Variables!$B$9:$D$9,IFERROR(MATCH(IF($B1239="Robusta","Robusta",(IF($B1239="","Arabica",$B1239))&amp;" - "&amp;(IF($C1239="","Commercial",$C1239))),Variables!$B$1:$D$1,0),1))*AP1239/365),""))</f>
        <v>0</v>
      </c>
      <c r="AV1239" s="11">
        <f t="shared" si="119"/>
        <v>-19</v>
      </c>
      <c r="AW1239" s="12">
        <f>IF($H1239="Cancelled","",IFERROR(IF(AV1239="","",(T1239*INDEX(Variables!$B$7:$D$7,IFERROR(MATCH(IF($B1239="Robusta","Robusta",(IF($B1239="","Arabica",$B1239))&amp;" - "&amp;(IF($C1239="","Commercial",$C1239))),Variables!$B$1:$D$1,0),1))*(AV1239/365))+(T1239*INDEX(Variables!$B$9:$D$9,IFERROR(MATCH(IF($B1239="Robusta","Robusta",(IF($B1239="","Arabica",$B1239))&amp;" - "&amp;(IF($C1239="","Commercial",$C1239))),Variables!$B$1:$D$1,0),1))*(AV1239/365))+(INDEX(Variables!$B$8:$D$8,IFERROR(MATCH(IF($B1239="Robusta","Robusta",(IF($B1239="","Arabica",$B1239))&amp;" - "&amp;(IF($C1239="","Commercial",$C1239))),Variables!$B$1:$D$1,0),1))*L1239/16.67)),""))</f>
        <v>-51.754981182488955</v>
      </c>
      <c r="AX1239" s="9"/>
      <c r="AY1239" s="12"/>
      <c r="AZ1239" s="10"/>
      <c r="BA1239" s="9"/>
      <c r="BB1239" s="10"/>
      <c r="BC1239" s="9"/>
      <c r="BD1239" s="9"/>
      <c r="BE1239" s="9"/>
      <c r="BF1239" s="9"/>
    </row>
    <row r="1240" spans="1:58" x14ac:dyDescent="0.25">
      <c r="A1240" s="9" t="s">
        <v>84</v>
      </c>
      <c r="B1240" s="9" t="s">
        <v>85</v>
      </c>
      <c r="C1240" s="9" t="s">
        <v>1486</v>
      </c>
      <c r="D1240" s="10">
        <v>46050</v>
      </c>
      <c r="E1240" s="10">
        <v>46054</v>
      </c>
      <c r="F1240" s="10">
        <v>46081</v>
      </c>
      <c r="G1240" s="9">
        <v>3787207</v>
      </c>
      <c r="H1240" s="9" t="str">
        <f t="shared" si="117"/>
        <v>Open</v>
      </c>
      <c r="I1240" s="9" t="str">
        <f t="shared" si="118"/>
        <v>No shipping advice sent and No docs dispatch date</v>
      </c>
      <c r="J1240" s="9" t="s">
        <v>235</v>
      </c>
      <c r="K1240" s="9" t="s">
        <v>2644</v>
      </c>
      <c r="L1240" s="11">
        <v>5</v>
      </c>
      <c r="M1240" s="9" t="s">
        <v>2645</v>
      </c>
      <c r="N1240" s="9"/>
      <c r="O1240" s="9"/>
      <c r="P1240" s="9"/>
      <c r="Q1240" s="11">
        <v>130</v>
      </c>
      <c r="R1240" s="9" t="s">
        <v>195</v>
      </c>
      <c r="S1240" s="9"/>
      <c r="T1240" s="12">
        <f>IF($H1240="Cancelled","",IFERROR(((Q1240+INDEX(Variables!$B$6:$D$6,IFERROR(MATCH(IF($B1240="Robusta","Robusta",(IF($B1240="","Arabica",$B1240))&amp;" - "&amp;(IF($C1240="","Commercial",$C1240))),Variables!$B$1:$D$1,0),1)))*22.0462)*(L1240/16.67),""))</f>
        <v>2782.5557768446311</v>
      </c>
      <c r="U1240" s="10"/>
      <c r="V1240" s="9" t="str">
        <f t="shared" si="120"/>
        <v/>
      </c>
      <c r="W1240" s="10">
        <v>46023</v>
      </c>
      <c r="X1240" s="9" t="str">
        <f t="shared" si="121"/>
        <v>Approved</v>
      </c>
      <c r="Y1240" s="10">
        <v>46076</v>
      </c>
      <c r="Z1240" s="10">
        <f>IF($H1240="Cancelled","",IFERROR(IF(F1240="","",F1240-Variables!$B$13),""))</f>
        <v>46066</v>
      </c>
      <c r="AA1240" s="11">
        <f>IF($H1240="Cancelled","",IFERROR(IF(W1240="","",(AVERAGE(E1240:F1240)-W1240)-Variables!$B$14),""))</f>
        <v>14.5</v>
      </c>
      <c r="AB1240" s="10">
        <v>46093</v>
      </c>
      <c r="AC1240" s="11">
        <f>IF($H1240="Cancelled","",IFERROR(IF(AB1240="","",IF(AND(W1240="",Y1240=""),"",IF(Y1240&gt;W1240,Y1240+Variables!$B$15+Variables!$B$16+Variables!$B$17-AB1240,W1240+Variables!$B$16+Variables!$B$17-AB1240))),""))</f>
        <v>-2</v>
      </c>
      <c r="AD1240" s="9" t="s">
        <v>107</v>
      </c>
      <c r="AE1240" s="9" t="s">
        <v>2603</v>
      </c>
      <c r="AF1240" s="10"/>
      <c r="AG1240" s="10"/>
      <c r="AH1240" s="9"/>
      <c r="AI1240" s="9" t="s">
        <v>2604</v>
      </c>
      <c r="AJ1240" s="9"/>
      <c r="AK1240" s="10">
        <v>46100</v>
      </c>
      <c r="AL1240" s="10"/>
      <c r="AM1240" s="10"/>
      <c r="AN1240" s="9" t="s">
        <v>2605</v>
      </c>
      <c r="AO1240" s="9"/>
      <c r="AP1240" s="11">
        <f>IF($H1240="Cancelled","",IFERROR(IF(OR(AK1240="",AB1240=""),"",(AB1240+Variables!$B$18-AK1240)),""))</f>
        <v>0</v>
      </c>
      <c r="AQ1240" s="11" t="str">
        <f>IF($H1240="Cancelled","",IFERROR(IF(OR(AM1240="",AK1240=""),"",(AK1240+Variables!$B$19)-AM1240),""))</f>
        <v/>
      </c>
      <c r="AR1240" s="12" t="str">
        <f>IF($H1240="Cancelled","",IFERROR(T1240*INDEX(Variables!$B$7:$D$7,IFERROR(MATCH(IF($B1240="Robusta","Robusta",(IF($B1240="","Arabica",$B1240))&amp;" - "&amp;(IF($C1240="","Commercial",$C1240))),Variables!$B$1:$D$1,0),1))*(AQ1240/365),""))</f>
        <v/>
      </c>
      <c r="AS1240" s="12">
        <f>IF($H1240="Cancelled","",IFERROR((T1240*INDEX(Variables!$B$7:$D$7,IFERROR(MATCH(IF($B1240="Robusta","Robusta",(IF($B1240="","Arabica",$B1240))&amp;" - "&amp;(IF($C1240="","Commercial",$C1240))),Variables!$B$1:$D$1,0),1))*IFERROR(IF(W1240="","",(AVERAGE(E1240:F1240)-W1240)-Variables!$B$14),"")/365)+(L1240/16.67*INDEX(Variables!$B$8:$D$8,IFERROR(MATCH(IF($B1240="Robusta","Robusta",(IF($B1240="","Arabica",$B1240))&amp;" - "&amp;(IF($C1240="","Commercial",$C1240))),Variables!$B$1:$D$1,0),1))*IFERROR(IF(W1240="","",(AVERAGE(E1240:F1240)-W1240)-Variables!$B$14),""))+(T1240*INDEX(Variables!$B$9:$D$9,IFERROR(MATCH(IF($B1240="Robusta","Robusta",(IF($B1240="","Arabica",$B1240))&amp;" - "&amp;(IF($C1240="","Commercial",$C1240))),Variables!$B$1:$D$1,0),1))*IFERROR(IF(W1240="","",(AVERAGE(E1240:F1240)-W1240)-Variables!$B$14),"")/365),""))</f>
        <v>10.844746911229194</v>
      </c>
      <c r="AT1240" s="12">
        <f>IF($H1240="Cancelled","",IFERROR((T1240*INDEX(Variables!$B$7:$D$7,IFERROR(MATCH(IF($B1240="Robusta","Robusta",(IF($B1240="","Arabica",$B1240))&amp;" - "&amp;(IF($C1240="","Commercial",$C1240))),Variables!$B$1:$D$1,0),1))*AC1240/365)+(L1240/16.67*INDEX(Variables!$B$8:$D$8,IFERROR(MATCH(IF($B1240="Robusta","Robusta",(IF($B1240="","Arabica",$B1240))&amp;" - "&amp;(IF($C1240="","Commercial",$C1240))),Variables!$B$1:$D$1,0),1))*AC1240)+(T1240*INDEX(Variables!$B$9:$D$9,IFERROR(MATCH(IF($B1240="Robusta","Robusta",(IF($B1240="","Arabica",$B1240))&amp;" - "&amp;(IF($C1240="","Commercial",$C1240))),Variables!$B$1:$D$1,0),1))*AC1240/365),""))</f>
        <v>-1.4958271601695443</v>
      </c>
      <c r="AU1240" s="12">
        <f>IF($H1240="Cancelled","",IFERROR((T1240*INDEX(Variables!$B$7:$D$7,IFERROR(MATCH(IF($B1240="Robusta","Robusta",(IF($B1240="","Arabica",$B1240))&amp;" - "&amp;(IF($C1240="","Commercial",$C1240))),Variables!$B$1:$D$1,0),1))*AP1240/365)+(L1240/16.67*INDEX(Variables!$B$8:$D$8,IFERROR(MATCH(IF($B1240="Robusta","Robusta",(IF($B1240="","Arabica",$B1240))&amp;" - "&amp;(IF($C1240="","Commercial",$C1240))),Variables!$B$1:$D$1,0),1))*AP1240)+(T1240*INDEX(Variables!$B$9:$D$9,IFERROR(MATCH(IF($B1240="Robusta","Robusta",(IF($B1240="","Arabica",$B1240))&amp;" - "&amp;(IF($C1240="","Commercial",$C1240))),Variables!$B$1:$D$1,0),1))*AP1240/365),""))</f>
        <v>0</v>
      </c>
      <c r="AV1240" s="11">
        <f t="shared" si="119"/>
        <v>-19</v>
      </c>
      <c r="AW1240" s="12">
        <f>IF($H1240="Cancelled","",IFERROR(IF(AV1240="","",(T1240*INDEX(Variables!$B$7:$D$7,IFERROR(MATCH(IF($B1240="Robusta","Robusta",(IF($B1240="","Arabica",$B1240))&amp;" - "&amp;(IF($C1240="","Commercial",$C1240))),Variables!$B$1:$D$1,0),1))*(AV1240/365))+(T1240*INDEX(Variables!$B$9:$D$9,IFERROR(MATCH(IF($B1240="Robusta","Robusta",(IF($B1240="","Arabica",$B1240))&amp;" - "&amp;(IF($C1240="","Commercial",$C1240))),Variables!$B$1:$D$1,0),1))*(AV1240/365))+(INDEX(Variables!$B$8:$D$8,IFERROR(MATCH(IF($B1240="Robusta","Robusta",(IF($B1240="","Arabica",$B1240))&amp;" - "&amp;(IF($C1240="","Commercial",$C1240))),Variables!$B$1:$D$1,0),1))*L1240/16.67)),""))</f>
        <v>-9.2103580216106717</v>
      </c>
      <c r="AX1240" s="9"/>
      <c r="AY1240" s="12"/>
      <c r="AZ1240" s="10"/>
      <c r="BA1240" s="9"/>
      <c r="BB1240" s="10"/>
      <c r="BC1240" s="9"/>
      <c r="BD1240" s="9"/>
      <c r="BE1240" s="9"/>
      <c r="BF1240" s="9"/>
    </row>
    <row r="1241" spans="1:58" x14ac:dyDescent="0.25">
      <c r="A1241" s="9" t="s">
        <v>84</v>
      </c>
      <c r="B1241" s="9" t="s">
        <v>85</v>
      </c>
      <c r="C1241" s="9" t="s">
        <v>1486</v>
      </c>
      <c r="D1241" s="10">
        <v>46044</v>
      </c>
      <c r="E1241" s="10">
        <v>46054</v>
      </c>
      <c r="F1241" s="10">
        <v>46081</v>
      </c>
      <c r="G1241" s="9">
        <v>3787124</v>
      </c>
      <c r="H1241" s="9" t="str">
        <f t="shared" si="117"/>
        <v>Open</v>
      </c>
      <c r="I1241" s="9" t="str">
        <f t="shared" si="118"/>
        <v>No shipping advice sent and No docs dispatch date</v>
      </c>
      <c r="J1241" s="9" t="s">
        <v>257</v>
      </c>
      <c r="K1241" s="9" t="s">
        <v>2646</v>
      </c>
      <c r="L1241" s="11">
        <v>7</v>
      </c>
      <c r="M1241" s="9" t="s">
        <v>2647</v>
      </c>
      <c r="N1241" s="9"/>
      <c r="O1241" s="9"/>
      <c r="P1241" s="9"/>
      <c r="Q1241" s="11">
        <v>182</v>
      </c>
      <c r="R1241" s="9" t="s">
        <v>90</v>
      </c>
      <c r="S1241" s="9"/>
      <c r="T1241" s="12">
        <f>IF($H1241="Cancelled","",IFERROR(((Q1241+INDEX(Variables!$B$6:$D$6,IFERROR(MATCH(IF($B1241="Robusta","Robusta",(IF($B1241="","Arabica",$B1241))&amp;" - "&amp;(IF($C1241="","Commercial",$C1241))),Variables!$B$1:$D$1,0),1)))*22.0462)*(L1241/16.67),""))</f>
        <v>4376.9708170365921</v>
      </c>
      <c r="U1241" s="10"/>
      <c r="V1241" s="9" t="str">
        <f t="shared" si="120"/>
        <v/>
      </c>
      <c r="W1241" s="10">
        <v>46023</v>
      </c>
      <c r="X1241" s="9" t="str">
        <f t="shared" si="121"/>
        <v>Approved</v>
      </c>
      <c r="Y1241" s="10">
        <v>46084</v>
      </c>
      <c r="Z1241" s="10">
        <f>IF($H1241="Cancelled","",IFERROR(IF(F1241="","",F1241-Variables!$B$13),""))</f>
        <v>46066</v>
      </c>
      <c r="AA1241" s="11">
        <f>IF($H1241="Cancelled","",IFERROR(IF(W1241="","",(AVERAGE(E1241:F1241)-W1241)-Variables!$B$14),""))</f>
        <v>14.5</v>
      </c>
      <c r="AB1241" s="10">
        <v>46105</v>
      </c>
      <c r="AC1241" s="11">
        <f>IF($H1241="Cancelled","",IFERROR(IF(AB1241="","",IF(AND(W1241="",Y1241=""),"",IF(Y1241&gt;W1241,Y1241+Variables!$B$15+Variables!$B$16+Variables!$B$17-AB1241,W1241+Variables!$B$16+Variables!$B$17-AB1241))),""))</f>
        <v>-6</v>
      </c>
      <c r="AD1241" s="9" t="s">
        <v>165</v>
      </c>
      <c r="AE1241" s="9" t="s">
        <v>2648</v>
      </c>
      <c r="AF1241" s="10"/>
      <c r="AG1241" s="10"/>
      <c r="AH1241" s="9"/>
      <c r="AI1241" s="9">
        <v>921062</v>
      </c>
      <c r="AJ1241" s="9"/>
      <c r="AK1241" s="10">
        <v>46112</v>
      </c>
      <c r="AL1241" s="10"/>
      <c r="AM1241" s="10"/>
      <c r="AN1241" s="9" t="s">
        <v>2605</v>
      </c>
      <c r="AO1241" s="9"/>
      <c r="AP1241" s="11">
        <f>IF($H1241="Cancelled","",IFERROR(IF(OR(AK1241="",AB1241=""),"",(AB1241+Variables!$B$18-AK1241)),""))</f>
        <v>0</v>
      </c>
      <c r="AQ1241" s="11" t="str">
        <f>IF($H1241="Cancelled","",IFERROR(IF(OR(AM1241="",AK1241=""),"",(AK1241+Variables!$B$19)-AM1241),""))</f>
        <v/>
      </c>
      <c r="AR1241" s="12" t="str">
        <f>IF($H1241="Cancelled","",IFERROR(T1241*INDEX(Variables!$B$7:$D$7,IFERROR(MATCH(IF($B1241="Robusta","Robusta",(IF($B1241="","Arabica",$B1241))&amp;" - "&amp;(IF($C1241="","Commercial",$C1241))),Variables!$B$1:$D$1,0),1))*(AQ1241/365),""))</f>
        <v/>
      </c>
      <c r="AS1241" s="12">
        <f>IF($H1241="Cancelled","",IFERROR((T1241*INDEX(Variables!$B$7:$D$7,IFERROR(MATCH(IF($B1241="Robusta","Robusta",(IF($B1241="","Arabica",$B1241))&amp;" - "&amp;(IF($C1241="","Commercial",$C1241))),Variables!$B$1:$D$1,0),1))*IFERROR(IF(W1241="","",(AVERAGE(E1241:F1241)-W1241)-Variables!$B$14),"")/365)+(L1241/16.67*INDEX(Variables!$B$8:$D$8,IFERROR(MATCH(IF($B1241="Robusta","Robusta",(IF($B1241="","Arabica",$B1241))&amp;" - "&amp;(IF($C1241="","Commercial",$C1241))),Variables!$B$1:$D$1,0),1))*IFERROR(IF(W1241="","",(AVERAGE(E1241:F1241)-W1241)-Variables!$B$14),""))+(T1241*INDEX(Variables!$B$9:$D$9,IFERROR(MATCH(IF($B1241="Robusta","Robusta",(IF($B1241="","Arabica",$B1241))&amp;" - "&amp;(IF($C1241="","Commercial",$C1241))),Variables!$B$1:$D$1,0),1))*IFERROR(IF(W1241="","",(AVERAGE(E1241:F1241)-W1241)-Variables!$B$14),"")/365),""))</f>
        <v>16.431689342872691</v>
      </c>
      <c r="AT1241" s="12">
        <f>IF($H1241="Cancelled","",IFERROR((T1241*INDEX(Variables!$B$7:$D$7,IFERROR(MATCH(IF($B1241="Robusta","Robusta",(IF($B1241="","Arabica",$B1241))&amp;" - "&amp;(IF($C1241="","Commercial",$C1241))),Variables!$B$1:$D$1,0),1))*AC1241/365)+(L1241/16.67*INDEX(Variables!$B$8:$D$8,IFERROR(MATCH(IF($B1241="Robusta","Robusta",(IF($B1241="","Arabica",$B1241))&amp;" - "&amp;(IF($C1241="","Commercial",$C1241))),Variables!$B$1:$D$1,0),1))*AC1241)+(T1241*INDEX(Variables!$B$9:$D$9,IFERROR(MATCH(IF($B1241="Robusta","Robusta",(IF($B1241="","Arabica",$B1241))&amp;" - "&amp;(IF($C1241="","Commercial",$C1241))),Variables!$B$1:$D$1,0),1))*AC1241/365),""))</f>
        <v>-6.7993197280852504</v>
      </c>
      <c r="AU1241" s="12">
        <f>IF($H1241="Cancelled","",IFERROR((T1241*INDEX(Variables!$B$7:$D$7,IFERROR(MATCH(IF($B1241="Robusta","Robusta",(IF($B1241="","Arabica",$B1241))&amp;" - "&amp;(IF($C1241="","Commercial",$C1241))),Variables!$B$1:$D$1,0),1))*AP1241/365)+(L1241/16.67*INDEX(Variables!$B$8:$D$8,IFERROR(MATCH(IF($B1241="Robusta","Robusta",(IF($B1241="","Arabica",$B1241))&amp;" - "&amp;(IF($C1241="","Commercial",$C1241))),Variables!$B$1:$D$1,0),1))*AP1241)+(T1241*INDEX(Variables!$B$9:$D$9,IFERROR(MATCH(IF($B1241="Robusta","Robusta",(IF($B1241="","Arabica",$B1241))&amp;" - "&amp;(IF($C1241="","Commercial",$C1241))),Variables!$B$1:$D$1,0),1))*AP1241/365),""))</f>
        <v>0</v>
      </c>
      <c r="AV1241" s="11">
        <f t="shared" si="119"/>
        <v>-31</v>
      </c>
      <c r="AW1241" s="12">
        <f>IF($H1241="Cancelled","",IFERROR(IF(AV1241="","",(T1241*INDEX(Variables!$B$7:$D$7,IFERROR(MATCH(IF($B1241="Robusta","Robusta",(IF($B1241="","Arabica",$B1241))&amp;" - "&amp;(IF($C1241="","Commercial",$C1241))),Variables!$B$1:$D$1,0),1))*(AV1241/365))+(T1241*INDEX(Variables!$B$9:$D$9,IFERROR(MATCH(IF($B1241="Robusta","Robusta",(IF($B1241="","Arabica",$B1241))&amp;" - "&amp;(IF($C1241="","Commercial",$C1241))),Variables!$B$1:$D$1,0),1))*(AV1241/365))+(INDEX(Variables!$B$8:$D$8,IFERROR(MATCH(IF($B1241="Robusta","Robusta",(IF($B1241="","Arabica",$B1241))&amp;" - "&amp;(IF($C1241="","Commercial",$C1241))),Variables!$B$1:$D$1,0),1))*L1241/16.67)),""))</f>
        <v>-23.929818595107129</v>
      </c>
      <c r="AX1241" s="9"/>
      <c r="AY1241" s="12"/>
      <c r="AZ1241" s="10"/>
      <c r="BA1241" s="9"/>
      <c r="BB1241" s="10"/>
      <c r="BC1241" s="9"/>
      <c r="BD1241" s="9"/>
      <c r="BE1241" s="9"/>
      <c r="BF1241" s="9"/>
    </row>
    <row r="1242" spans="1:58" x14ac:dyDescent="0.25">
      <c r="A1242" s="9" t="s">
        <v>84</v>
      </c>
      <c r="B1242" s="9" t="s">
        <v>85</v>
      </c>
      <c r="C1242" s="9" t="s">
        <v>1486</v>
      </c>
      <c r="D1242" s="10">
        <v>46048</v>
      </c>
      <c r="E1242" s="10">
        <v>46054</v>
      </c>
      <c r="F1242" s="10">
        <v>46081</v>
      </c>
      <c r="G1242" s="9">
        <v>3787162</v>
      </c>
      <c r="H1242" s="9" t="str">
        <f t="shared" si="117"/>
        <v>Open</v>
      </c>
      <c r="I1242" s="9" t="str">
        <f t="shared" si="118"/>
        <v>No shipping advice sent and No docs dispatch date</v>
      </c>
      <c r="J1242" s="9" t="s">
        <v>257</v>
      </c>
      <c r="K1242" s="9" t="s">
        <v>2649</v>
      </c>
      <c r="L1242" s="11">
        <v>10</v>
      </c>
      <c r="M1242" s="9" t="s">
        <v>2650</v>
      </c>
      <c r="N1242" s="9"/>
      <c r="O1242" s="9"/>
      <c r="P1242" s="9"/>
      <c r="Q1242" s="11">
        <v>120</v>
      </c>
      <c r="R1242" s="9" t="s">
        <v>90</v>
      </c>
      <c r="S1242" s="9"/>
      <c r="T1242" s="12">
        <f>IF($H1242="Cancelled","",IFERROR(((Q1242+INDEX(Variables!$B$6:$D$6,IFERROR(MATCH(IF($B1242="Robusta","Robusta",(IF($B1242="","Arabica",$B1242))&amp;" - "&amp;(IF($C1242="","Commercial",$C1242))),Variables!$B$1:$D$1,0),1)))*22.0462)*(L1242/16.67),""))</f>
        <v>5432.8608038392313</v>
      </c>
      <c r="U1242" s="10"/>
      <c r="V1242" s="9" t="str">
        <f t="shared" si="120"/>
        <v/>
      </c>
      <c r="W1242" s="10">
        <v>46023</v>
      </c>
      <c r="X1242" s="9" t="str">
        <f t="shared" si="121"/>
        <v>Approved</v>
      </c>
      <c r="Y1242" s="10">
        <v>46084</v>
      </c>
      <c r="Z1242" s="10">
        <f>IF($H1242="Cancelled","",IFERROR(IF(F1242="","",F1242-Variables!$B$13),""))</f>
        <v>46066</v>
      </c>
      <c r="AA1242" s="11">
        <f>IF($H1242="Cancelled","",IFERROR(IF(W1242="","",(AVERAGE(E1242:F1242)-W1242)-Variables!$B$14),""))</f>
        <v>14.5</v>
      </c>
      <c r="AB1242" s="10">
        <v>46105</v>
      </c>
      <c r="AC1242" s="11">
        <f>IF($H1242="Cancelled","",IFERROR(IF(AB1242="","",IF(AND(W1242="",Y1242=""),"",IF(Y1242&gt;W1242,Y1242+Variables!$B$15+Variables!$B$16+Variables!$B$17-AB1242,W1242+Variables!$B$16+Variables!$B$17-AB1242))),""))</f>
        <v>-6</v>
      </c>
      <c r="AD1242" s="9" t="s">
        <v>165</v>
      </c>
      <c r="AE1242" s="9" t="s">
        <v>2648</v>
      </c>
      <c r="AF1242" s="10"/>
      <c r="AG1242" s="10"/>
      <c r="AH1242" s="9"/>
      <c r="AI1242" s="9">
        <v>921062</v>
      </c>
      <c r="AJ1242" s="9"/>
      <c r="AK1242" s="10">
        <v>46112</v>
      </c>
      <c r="AL1242" s="10"/>
      <c r="AM1242" s="10"/>
      <c r="AN1242" s="9" t="s">
        <v>2605</v>
      </c>
      <c r="AO1242" s="9"/>
      <c r="AP1242" s="11">
        <f>IF($H1242="Cancelled","",IFERROR(IF(OR(AK1242="",AB1242=""),"",(AB1242+Variables!$B$18-AK1242)),""))</f>
        <v>0</v>
      </c>
      <c r="AQ1242" s="11" t="str">
        <f>IF($H1242="Cancelled","",IFERROR(IF(OR(AM1242="",AK1242=""),"",(AK1242+Variables!$B$19)-AM1242),""))</f>
        <v/>
      </c>
      <c r="AR1242" s="12" t="str">
        <f>IF($H1242="Cancelled","",IFERROR(T1242*INDEX(Variables!$B$7:$D$7,IFERROR(MATCH(IF($B1242="Robusta","Robusta",(IF($B1242="","Arabica",$B1242))&amp;" - "&amp;(IF($C1242="","Commercial",$C1242))),Variables!$B$1:$D$1,0),1))*(AQ1242/365),""))</f>
        <v/>
      </c>
      <c r="AS1242" s="12">
        <f>IF($H1242="Cancelled","",IFERROR((T1242*INDEX(Variables!$B$7:$D$7,IFERROR(MATCH(IF($B1242="Robusta","Robusta",(IF($B1242="","Arabica",$B1242))&amp;" - "&amp;(IF($C1242="","Commercial",$C1242))),Variables!$B$1:$D$1,0),1))*IFERROR(IF(W1242="","",(AVERAGE(E1242:F1242)-W1242)-Variables!$B$14),"")/365)+(L1242/16.67*INDEX(Variables!$B$8:$D$8,IFERROR(MATCH(IF($B1242="Robusta","Robusta",(IF($B1242="","Arabica",$B1242))&amp;" - "&amp;(IF($C1242="","Commercial",$C1242))),Variables!$B$1:$D$1,0),1))*IFERROR(IF(W1242="","",(AVERAGE(E1242:F1242)-W1242)-Variables!$B$14),""))+(T1242*INDEX(Variables!$B$9:$D$9,IFERROR(MATCH(IF($B1242="Robusta","Robusta",(IF($B1242="","Arabica",$B1242))&amp;" - "&amp;(IF($C1242="","Commercial",$C1242))),Variables!$B$1:$D$1,0),1))*IFERROR(IF(W1242="","",(AVERAGE(E1242:F1242)-W1242)-Variables!$B$14),"")/365),""))</f>
        <v>21.346349957856241</v>
      </c>
      <c r="AT1242" s="12">
        <f>IF($H1242="Cancelled","",IFERROR((T1242*INDEX(Variables!$B$7:$D$7,IFERROR(MATCH(IF($B1242="Robusta","Robusta",(IF($B1242="","Arabica",$B1242))&amp;" - "&amp;(IF($C1242="","Commercial",$C1242))),Variables!$B$1:$D$1,0),1))*AC1242/365)+(L1242/16.67*INDEX(Variables!$B$8:$D$8,IFERROR(MATCH(IF($B1242="Robusta","Robusta",(IF($B1242="","Arabica",$B1242))&amp;" - "&amp;(IF($C1242="","Commercial",$C1242))),Variables!$B$1:$D$1,0),1))*AC1242)+(T1242*INDEX(Variables!$B$9:$D$9,IFERROR(MATCH(IF($B1242="Robusta","Robusta",(IF($B1242="","Arabica",$B1242))&amp;" - "&amp;(IF($C1242="","Commercial",$C1242))),Variables!$B$1:$D$1,0),1))*AC1242/365),""))</f>
        <v>-8.8329723963543074</v>
      </c>
      <c r="AU1242" s="12">
        <f>IF($H1242="Cancelled","",IFERROR((T1242*INDEX(Variables!$B$7:$D$7,IFERROR(MATCH(IF($B1242="Robusta","Robusta",(IF($B1242="","Arabica",$B1242))&amp;" - "&amp;(IF($C1242="","Commercial",$C1242))),Variables!$B$1:$D$1,0),1))*AP1242/365)+(L1242/16.67*INDEX(Variables!$B$8:$D$8,IFERROR(MATCH(IF($B1242="Robusta","Robusta",(IF($B1242="","Arabica",$B1242))&amp;" - "&amp;(IF($C1242="","Commercial",$C1242))),Variables!$B$1:$D$1,0),1))*AP1242)+(T1242*INDEX(Variables!$B$9:$D$9,IFERROR(MATCH(IF($B1242="Robusta","Robusta",(IF($B1242="","Arabica",$B1242))&amp;" - "&amp;(IF($C1242="","Commercial",$C1242))),Variables!$B$1:$D$1,0),1))*AP1242/365),""))</f>
        <v>0</v>
      </c>
      <c r="AV1242" s="11">
        <f t="shared" si="119"/>
        <v>-31</v>
      </c>
      <c r="AW1242" s="12">
        <f>IF($H1242="Cancelled","",IFERROR(IF(AV1242="","",(T1242*INDEX(Variables!$B$7:$D$7,IFERROR(MATCH(IF($B1242="Robusta","Robusta",(IF($B1242="","Arabica",$B1242))&amp;" - "&amp;(IF($C1242="","Commercial",$C1242))),Variables!$B$1:$D$1,0),1))*(AV1242/365))+(T1242*INDEX(Variables!$B$9:$D$9,IFERROR(MATCH(IF($B1242="Robusta","Robusta",(IF($B1242="","Arabica",$B1242))&amp;" - "&amp;(IF($C1242="","Commercial",$C1242))),Variables!$B$1:$D$1,0),1))*(AV1242/365))+(INDEX(Variables!$B$8:$D$8,IFERROR(MATCH(IF($B1242="Robusta","Robusta",(IF($B1242="","Arabica",$B1242))&amp;" - "&amp;(IF($C1242="","Commercial",$C1242))),Variables!$B$1:$D$1,0),1))*L1242/16.67)),""))</f>
        <v>-29.637024047830586</v>
      </c>
      <c r="AX1242" s="9"/>
      <c r="AY1242" s="12"/>
      <c r="AZ1242" s="10"/>
      <c r="BA1242" s="9"/>
      <c r="BB1242" s="10"/>
      <c r="BC1242" s="9"/>
      <c r="BD1242" s="9"/>
      <c r="BE1242" s="9"/>
      <c r="BF1242" s="9"/>
    </row>
    <row r="1243" spans="1:58" x14ac:dyDescent="0.25">
      <c r="A1243" s="9" t="s">
        <v>84</v>
      </c>
      <c r="B1243" s="9" t="s">
        <v>85</v>
      </c>
      <c r="C1243" s="9" t="s">
        <v>1486</v>
      </c>
      <c r="D1243" s="10">
        <v>46048</v>
      </c>
      <c r="E1243" s="10">
        <v>46054</v>
      </c>
      <c r="F1243" s="10">
        <v>46081</v>
      </c>
      <c r="G1243" s="9">
        <v>3787160</v>
      </c>
      <c r="H1243" s="9" t="str">
        <f t="shared" si="117"/>
        <v>Open</v>
      </c>
      <c r="I1243" s="9" t="str">
        <f t="shared" si="118"/>
        <v>No shipping advice sent and No docs dispatch date</v>
      </c>
      <c r="J1243" s="9" t="s">
        <v>257</v>
      </c>
      <c r="K1243" s="9" t="s">
        <v>2651</v>
      </c>
      <c r="L1243" s="11">
        <v>10</v>
      </c>
      <c r="M1243" s="9" t="s">
        <v>2652</v>
      </c>
      <c r="N1243" s="9"/>
      <c r="O1243" s="9"/>
      <c r="P1243" s="9"/>
      <c r="Q1243" s="11">
        <v>127</v>
      </c>
      <c r="R1243" s="9" t="s">
        <v>90</v>
      </c>
      <c r="S1243" s="9"/>
      <c r="T1243" s="12">
        <f>IF($H1243="Cancelled","",IFERROR(((Q1243+INDEX(Variables!$B$6:$D$6,IFERROR(MATCH(IF($B1243="Robusta","Robusta",(IF($B1243="","Arabica",$B1243))&amp;" - "&amp;(IF($C1243="","Commercial",$C1243))),Variables!$B$1:$D$1,0),1)))*22.0462)*(L1243/16.67),""))</f>
        <v>5525.436328734253</v>
      </c>
      <c r="U1243" s="10"/>
      <c r="V1243" s="9" t="str">
        <f t="shared" si="120"/>
        <v/>
      </c>
      <c r="W1243" s="10">
        <v>46023</v>
      </c>
      <c r="X1243" s="9" t="str">
        <f t="shared" si="121"/>
        <v>Approved</v>
      </c>
      <c r="Y1243" s="10">
        <v>46084</v>
      </c>
      <c r="Z1243" s="10">
        <f>IF($H1243="Cancelled","",IFERROR(IF(F1243="","",F1243-Variables!$B$13),""))</f>
        <v>46066</v>
      </c>
      <c r="AA1243" s="11">
        <f>IF($H1243="Cancelled","",IFERROR(IF(W1243="","",(AVERAGE(E1243:F1243)-W1243)-Variables!$B$14),""))</f>
        <v>14.5</v>
      </c>
      <c r="AB1243" s="10">
        <v>46105</v>
      </c>
      <c r="AC1243" s="11">
        <f>IF($H1243="Cancelled","",IFERROR(IF(AB1243="","",IF(AND(W1243="",Y1243=""),"",IF(Y1243&gt;W1243,Y1243+Variables!$B$15+Variables!$B$16+Variables!$B$17-AB1243,W1243+Variables!$B$16+Variables!$B$17-AB1243))),""))</f>
        <v>-6</v>
      </c>
      <c r="AD1243" s="9" t="s">
        <v>165</v>
      </c>
      <c r="AE1243" s="9" t="s">
        <v>2648</v>
      </c>
      <c r="AF1243" s="10"/>
      <c r="AG1243" s="10"/>
      <c r="AH1243" s="9"/>
      <c r="AI1243" s="9">
        <v>921062</v>
      </c>
      <c r="AJ1243" s="9"/>
      <c r="AK1243" s="10">
        <v>46112</v>
      </c>
      <c r="AL1243" s="10"/>
      <c r="AM1243" s="10"/>
      <c r="AN1243" s="9" t="s">
        <v>2605</v>
      </c>
      <c r="AO1243" s="9"/>
      <c r="AP1243" s="11">
        <f>IF($H1243="Cancelled","",IFERROR(IF(OR(AK1243="",AB1243=""),"",(AB1243+Variables!$B$18-AK1243)),""))</f>
        <v>0</v>
      </c>
      <c r="AQ1243" s="11" t="str">
        <f>IF($H1243="Cancelled","",IFERROR(IF(OR(AM1243="",AK1243=""),"",(AK1243+Variables!$B$19)-AM1243),""))</f>
        <v/>
      </c>
      <c r="AR1243" s="12" t="str">
        <f>IF($H1243="Cancelled","",IFERROR(T1243*INDEX(Variables!$B$7:$D$7,IFERROR(MATCH(IF($B1243="Robusta","Robusta",(IF($B1243="","Arabica",$B1243))&amp;" - "&amp;(IF($C1243="","Commercial",$C1243))),Variables!$B$1:$D$1,0),1))*(AQ1243/365),""))</f>
        <v/>
      </c>
      <c r="AS1243" s="12">
        <f>IF($H1243="Cancelled","",IFERROR((T1243*INDEX(Variables!$B$7:$D$7,IFERROR(MATCH(IF($B1243="Robusta","Robusta",(IF($B1243="","Arabica",$B1243))&amp;" - "&amp;(IF($C1243="","Commercial",$C1243))),Variables!$B$1:$D$1,0),1))*IFERROR(IF(W1243="","",(AVERAGE(E1243:F1243)-W1243)-Variables!$B$14),"")/365)+(L1243/16.67*INDEX(Variables!$B$8:$D$8,IFERROR(MATCH(IF($B1243="Robusta","Robusta",(IF($B1243="","Arabica",$B1243))&amp;" - "&amp;(IF($C1243="","Commercial",$C1243))),Variables!$B$1:$D$1,0),1))*IFERROR(IF(W1243="","",(AVERAGE(E1243:F1243)-W1243)-Variables!$B$14),""))+(T1243*INDEX(Variables!$B$9:$D$9,IFERROR(MATCH(IF($B1243="Robusta","Robusta",(IF($B1243="","Arabica",$B1243))&amp;" - "&amp;(IF($C1243="","Commercial",$C1243))),Variables!$B$1:$D$1,0),1))*IFERROR(IF(W1243="","",(AVERAGE(E1243:F1243)-W1243)-Variables!$B$14),"")/365),""))</f>
        <v>21.586550663077748</v>
      </c>
      <c r="AT1243" s="12">
        <f>IF($H1243="Cancelled","",IFERROR((T1243*INDEX(Variables!$B$7:$D$7,IFERROR(MATCH(IF($B1243="Robusta","Robusta",(IF($B1243="","Arabica",$B1243))&amp;" - "&amp;(IF($C1243="","Commercial",$C1243))),Variables!$B$1:$D$1,0),1))*AC1243/365)+(L1243/16.67*INDEX(Variables!$B$8:$D$8,IFERROR(MATCH(IF($B1243="Robusta","Robusta",(IF($B1243="","Arabica",$B1243))&amp;" - "&amp;(IF($C1243="","Commercial",$C1243))),Variables!$B$1:$D$1,0),1))*AC1243)+(T1243*INDEX(Variables!$B$9:$D$9,IFERROR(MATCH(IF($B1243="Robusta","Robusta",(IF($B1243="","Arabica",$B1243))&amp;" - "&amp;(IF($C1243="","Commercial",$C1243))),Variables!$B$1:$D$1,0),1))*AC1243/365),""))</f>
        <v>-8.932365791618377</v>
      </c>
      <c r="AU1243" s="12">
        <f>IF($H1243="Cancelled","",IFERROR((T1243*INDEX(Variables!$B$7:$D$7,IFERROR(MATCH(IF($B1243="Robusta","Robusta",(IF($B1243="","Arabica",$B1243))&amp;" - "&amp;(IF($C1243="","Commercial",$C1243))),Variables!$B$1:$D$1,0),1))*AP1243/365)+(L1243/16.67*INDEX(Variables!$B$8:$D$8,IFERROR(MATCH(IF($B1243="Robusta","Robusta",(IF($B1243="","Arabica",$B1243))&amp;" - "&amp;(IF($C1243="","Commercial",$C1243))),Variables!$B$1:$D$1,0),1))*AP1243)+(T1243*INDEX(Variables!$B$9:$D$9,IFERROR(MATCH(IF($B1243="Robusta","Robusta",(IF($B1243="","Arabica",$B1243))&amp;" - "&amp;(IF($C1243="","Commercial",$C1243))),Variables!$B$1:$D$1,0),1))*AP1243/365),""))</f>
        <v>0</v>
      </c>
      <c r="AV1243" s="11">
        <f t="shared" si="119"/>
        <v>-31</v>
      </c>
      <c r="AW1243" s="12">
        <f>IF($H1243="Cancelled","",IFERROR(IF(AV1243="","",(T1243*INDEX(Variables!$B$7:$D$7,IFERROR(MATCH(IF($B1243="Robusta","Robusta",(IF($B1243="","Arabica",$B1243))&amp;" - "&amp;(IF($C1243="","Commercial",$C1243))),Variables!$B$1:$D$1,0),1))*(AV1243/365))+(T1243*INDEX(Variables!$B$9:$D$9,IFERROR(MATCH(IF($B1243="Robusta","Robusta",(IF($B1243="","Arabica",$B1243))&amp;" - "&amp;(IF($C1243="","Commercial",$C1243))),Variables!$B$1:$D$1,0),1))*(AV1243/365))+(INDEX(Variables!$B$8:$D$8,IFERROR(MATCH(IF($B1243="Robusta","Robusta",(IF($B1243="","Arabica",$B1243))&amp;" - "&amp;(IF($C1243="","Commercial",$C1243))),Variables!$B$1:$D$1,0),1))*L1243/16.67)),""))</f>
        <v>-30.150556590028284</v>
      </c>
      <c r="AX1243" s="9"/>
      <c r="AY1243" s="12"/>
      <c r="AZ1243" s="10"/>
      <c r="BA1243" s="9"/>
      <c r="BB1243" s="10"/>
      <c r="BC1243" s="9"/>
      <c r="BD1243" s="9"/>
      <c r="BE1243" s="9"/>
      <c r="BF1243" s="9"/>
    </row>
    <row r="1244" spans="1:58" x14ac:dyDescent="0.25">
      <c r="A1244" s="9" t="s">
        <v>84</v>
      </c>
      <c r="B1244" s="9" t="s">
        <v>85</v>
      </c>
      <c r="C1244" s="9" t="s">
        <v>1486</v>
      </c>
      <c r="D1244" s="10">
        <v>46048</v>
      </c>
      <c r="E1244" s="10">
        <v>46054</v>
      </c>
      <c r="F1244" s="10">
        <v>46081</v>
      </c>
      <c r="G1244" s="9">
        <v>3787161</v>
      </c>
      <c r="H1244" s="9" t="str">
        <f t="shared" si="117"/>
        <v>Open</v>
      </c>
      <c r="I1244" s="9" t="str">
        <f t="shared" si="118"/>
        <v>No shipping advice sent and No docs dispatch date</v>
      </c>
      <c r="J1244" s="9" t="s">
        <v>257</v>
      </c>
      <c r="K1244" s="9" t="s">
        <v>2653</v>
      </c>
      <c r="L1244" s="11">
        <v>10</v>
      </c>
      <c r="M1244" s="9" t="s">
        <v>2654</v>
      </c>
      <c r="N1244" s="9"/>
      <c r="O1244" s="9"/>
      <c r="P1244" s="9"/>
      <c r="Q1244" s="11">
        <v>173</v>
      </c>
      <c r="R1244" s="9" t="s">
        <v>90</v>
      </c>
      <c r="S1244" s="9"/>
      <c r="T1244" s="12">
        <f>IF($H1244="Cancelled","",IFERROR(((Q1244+INDEX(Variables!$B$6:$D$6,IFERROR(MATCH(IF($B1244="Robusta","Robusta",(IF($B1244="","Arabica",$B1244))&amp;" - "&amp;(IF($C1244="","Commercial",$C1244))),Variables!$B$1:$D$1,0),1)))*22.0462)*(L1244/16.67),""))</f>
        <v>6133.7897780443909</v>
      </c>
      <c r="U1244" s="10"/>
      <c r="V1244" s="9" t="str">
        <f t="shared" si="120"/>
        <v/>
      </c>
      <c r="W1244" s="10">
        <v>46023</v>
      </c>
      <c r="X1244" s="9" t="str">
        <f t="shared" si="121"/>
        <v>Approved</v>
      </c>
      <c r="Y1244" s="10">
        <v>46084</v>
      </c>
      <c r="Z1244" s="10">
        <f>IF($H1244="Cancelled","",IFERROR(IF(F1244="","",F1244-Variables!$B$13),""))</f>
        <v>46066</v>
      </c>
      <c r="AA1244" s="11">
        <f>IF($H1244="Cancelled","",IFERROR(IF(W1244="","",(AVERAGE(E1244:F1244)-W1244)-Variables!$B$14),""))</f>
        <v>14.5</v>
      </c>
      <c r="AB1244" s="10">
        <v>46105</v>
      </c>
      <c r="AC1244" s="11">
        <f>IF($H1244="Cancelled","",IFERROR(IF(AB1244="","",IF(AND(W1244="",Y1244=""),"",IF(Y1244&gt;W1244,Y1244+Variables!$B$15+Variables!$B$16+Variables!$B$17-AB1244,W1244+Variables!$B$16+Variables!$B$17-AB1244))),""))</f>
        <v>-6</v>
      </c>
      <c r="AD1244" s="9" t="s">
        <v>165</v>
      </c>
      <c r="AE1244" s="9" t="s">
        <v>2648</v>
      </c>
      <c r="AF1244" s="10"/>
      <c r="AG1244" s="10"/>
      <c r="AH1244" s="9"/>
      <c r="AI1244" s="9">
        <v>921062</v>
      </c>
      <c r="AJ1244" s="9"/>
      <c r="AK1244" s="10">
        <v>46112</v>
      </c>
      <c r="AL1244" s="10"/>
      <c r="AM1244" s="10"/>
      <c r="AN1244" s="9" t="s">
        <v>2605</v>
      </c>
      <c r="AO1244" s="9"/>
      <c r="AP1244" s="11">
        <f>IF($H1244="Cancelled","",IFERROR(IF(OR(AK1244="",AB1244=""),"",(AB1244+Variables!$B$18-AK1244)),""))</f>
        <v>0</v>
      </c>
      <c r="AQ1244" s="11" t="str">
        <f>IF($H1244="Cancelled","",IFERROR(IF(OR(AM1244="",AK1244=""),"",(AK1244+Variables!$B$19)-AM1244),""))</f>
        <v/>
      </c>
      <c r="AR1244" s="12" t="str">
        <f>IF($H1244="Cancelled","",IFERROR(T1244*INDEX(Variables!$B$7:$D$7,IFERROR(MATCH(IF($B1244="Robusta","Robusta",(IF($B1244="","Arabica",$B1244))&amp;" - "&amp;(IF($C1244="","Commercial",$C1244))),Variables!$B$1:$D$1,0),1))*(AQ1244/365),""))</f>
        <v/>
      </c>
      <c r="AS1244" s="12">
        <f>IF($H1244="Cancelled","",IFERROR((T1244*INDEX(Variables!$B$7:$D$7,IFERROR(MATCH(IF($B1244="Robusta","Robusta",(IF($B1244="","Arabica",$B1244))&amp;" - "&amp;(IF($C1244="","Commercial",$C1244))),Variables!$B$1:$D$1,0),1))*IFERROR(IF(W1244="","",(AVERAGE(E1244:F1244)-W1244)-Variables!$B$14),"")/365)+(L1244/16.67*INDEX(Variables!$B$8:$D$8,IFERROR(MATCH(IF($B1244="Robusta","Robusta",(IF($B1244="","Arabica",$B1244))&amp;" - "&amp;(IF($C1244="","Commercial",$C1244))),Variables!$B$1:$D$1,0),1))*IFERROR(IF(W1244="","",(AVERAGE(E1244:F1244)-W1244)-Variables!$B$14),""))+(T1244*INDEX(Variables!$B$9:$D$9,IFERROR(MATCH(IF($B1244="Robusta","Robusta",(IF($B1244="","Arabica",$B1244))&amp;" - "&amp;(IF($C1244="","Commercial",$C1244))),Variables!$B$1:$D$1,0),1))*IFERROR(IF(W1244="","",(AVERAGE(E1244:F1244)-W1244)-Variables!$B$14),"")/365),""))</f>
        <v>23.165012440247633</v>
      </c>
      <c r="AT1244" s="12">
        <f>IF($H1244="Cancelled","",IFERROR((T1244*INDEX(Variables!$B$7:$D$7,IFERROR(MATCH(IF($B1244="Robusta","Robusta",(IF($B1244="","Arabica",$B1244))&amp;" - "&amp;(IF($C1244="","Commercial",$C1244))),Variables!$B$1:$D$1,0),1))*AC1244/365)+(L1244/16.67*INDEX(Variables!$B$8:$D$8,IFERROR(MATCH(IF($B1244="Robusta","Robusta",(IF($B1244="","Arabica",$B1244))&amp;" - "&amp;(IF($C1244="","Commercial",$C1244))),Variables!$B$1:$D$1,0),1))*AC1244)+(T1244*INDEX(Variables!$B$9:$D$9,IFERROR(MATCH(IF($B1244="Robusta","Robusta",(IF($B1244="","Arabica",$B1244))&amp;" - "&amp;(IF($C1244="","Commercial",$C1244))),Variables!$B$1:$D$1,0),1))*AC1244/365),""))</f>
        <v>-9.5855223890679859</v>
      </c>
      <c r="AU1244" s="12">
        <f>IF($H1244="Cancelled","",IFERROR((T1244*INDEX(Variables!$B$7:$D$7,IFERROR(MATCH(IF($B1244="Robusta","Robusta",(IF($B1244="","Arabica",$B1244))&amp;" - "&amp;(IF($C1244="","Commercial",$C1244))),Variables!$B$1:$D$1,0),1))*AP1244/365)+(L1244/16.67*INDEX(Variables!$B$8:$D$8,IFERROR(MATCH(IF($B1244="Robusta","Robusta",(IF($B1244="","Arabica",$B1244))&amp;" - "&amp;(IF($C1244="","Commercial",$C1244))),Variables!$B$1:$D$1,0),1))*AP1244)+(T1244*INDEX(Variables!$B$9:$D$9,IFERROR(MATCH(IF($B1244="Robusta","Robusta",(IF($B1244="","Arabica",$B1244))&amp;" - "&amp;(IF($C1244="","Commercial",$C1244))),Variables!$B$1:$D$1,0),1))*AP1244/365),""))</f>
        <v>0</v>
      </c>
      <c r="AV1244" s="11">
        <f t="shared" si="119"/>
        <v>-31</v>
      </c>
      <c r="AW1244" s="12">
        <f>IF($H1244="Cancelled","",IFERROR(IF(AV1244="","",(T1244*INDEX(Variables!$B$7:$D$7,IFERROR(MATCH(IF($B1244="Robusta","Robusta",(IF($B1244="","Arabica",$B1244))&amp;" - "&amp;(IF($C1244="","Commercial",$C1244))),Variables!$B$1:$D$1,0),1))*(AV1244/365))+(T1244*INDEX(Variables!$B$9:$D$9,IFERROR(MATCH(IF($B1244="Robusta","Robusta",(IF($B1244="","Arabica",$B1244))&amp;" - "&amp;(IF($C1244="","Commercial",$C1244))),Variables!$B$1:$D$1,0),1))*(AV1244/365))+(INDEX(Variables!$B$8:$D$8,IFERROR(MATCH(IF($B1244="Robusta","Robusta",(IF($B1244="","Arabica",$B1244))&amp;" - "&amp;(IF($C1244="","Commercial",$C1244))),Variables!$B$1:$D$1,0),1))*L1244/16.67)),""))</f>
        <v>-33.525199010184586</v>
      </c>
      <c r="AX1244" s="9"/>
      <c r="AY1244" s="12"/>
      <c r="AZ1244" s="10"/>
      <c r="BA1244" s="9"/>
      <c r="BB1244" s="10"/>
      <c r="BC1244" s="9"/>
      <c r="BD1244" s="9"/>
      <c r="BE1244" s="9"/>
      <c r="BF1244" s="9"/>
    </row>
    <row r="1245" spans="1:58" x14ac:dyDescent="0.25">
      <c r="A1245" s="9" t="s">
        <v>84</v>
      </c>
      <c r="B1245" s="9" t="s">
        <v>85</v>
      </c>
      <c r="C1245" s="9" t="s">
        <v>1486</v>
      </c>
      <c r="D1245" s="10">
        <v>46052</v>
      </c>
      <c r="E1245" s="10">
        <v>46054</v>
      </c>
      <c r="F1245" s="10">
        <v>46081</v>
      </c>
      <c r="G1245" s="9">
        <v>3787209</v>
      </c>
      <c r="H1245" s="9" t="str">
        <f t="shared" si="117"/>
        <v>Open</v>
      </c>
      <c r="I1245" s="9" t="str">
        <f t="shared" si="118"/>
        <v>No shipping advice sent and No docs dispatch date</v>
      </c>
      <c r="J1245" s="9" t="s">
        <v>257</v>
      </c>
      <c r="K1245" s="9" t="s">
        <v>2655</v>
      </c>
      <c r="L1245" s="11">
        <v>11</v>
      </c>
      <c r="M1245" s="9" t="s">
        <v>2656</v>
      </c>
      <c r="N1245" s="9"/>
      <c r="O1245" s="9"/>
      <c r="P1245" s="9"/>
      <c r="Q1245" s="11">
        <v>137</v>
      </c>
      <c r="R1245" s="9" t="s">
        <v>90</v>
      </c>
      <c r="S1245" s="9"/>
      <c r="T1245" s="12">
        <f>IF($H1245="Cancelled","",IFERROR(((Q1245+INDEX(Variables!$B$6:$D$6,IFERROR(MATCH(IF($B1245="Robusta","Robusta",(IF($B1245="","Arabica",$B1245))&amp;" - "&amp;(IF($C1245="","Commercial",$C1245))),Variables!$B$1:$D$1,0),1)))*22.0462)*(L1245/16.67),""))</f>
        <v>6223.4557864427106</v>
      </c>
      <c r="U1245" s="10"/>
      <c r="V1245" s="9" t="str">
        <f t="shared" si="120"/>
        <v/>
      </c>
      <c r="W1245" s="10">
        <v>46023</v>
      </c>
      <c r="X1245" s="9" t="str">
        <f t="shared" si="121"/>
        <v>Approved</v>
      </c>
      <c r="Y1245" s="10">
        <v>46084</v>
      </c>
      <c r="Z1245" s="10">
        <f>IF($H1245="Cancelled","",IFERROR(IF(F1245="","",F1245-Variables!$B$13),""))</f>
        <v>46066</v>
      </c>
      <c r="AA1245" s="11">
        <f>IF($H1245="Cancelled","",IFERROR(IF(W1245="","",(AVERAGE(E1245:F1245)-W1245)-Variables!$B$14),""))</f>
        <v>14.5</v>
      </c>
      <c r="AB1245" s="10">
        <v>46105</v>
      </c>
      <c r="AC1245" s="11">
        <f>IF($H1245="Cancelled","",IFERROR(IF(AB1245="","",IF(AND(W1245="",Y1245=""),"",IF(Y1245&gt;W1245,Y1245+Variables!$B$15+Variables!$B$16+Variables!$B$17-AB1245,W1245+Variables!$B$16+Variables!$B$17-AB1245))),""))</f>
        <v>-6</v>
      </c>
      <c r="AD1245" s="9" t="s">
        <v>165</v>
      </c>
      <c r="AE1245" s="9" t="s">
        <v>2648</v>
      </c>
      <c r="AF1245" s="10"/>
      <c r="AG1245" s="10"/>
      <c r="AH1245" s="9"/>
      <c r="AI1245" s="9">
        <v>921062</v>
      </c>
      <c r="AJ1245" s="9"/>
      <c r="AK1245" s="10">
        <v>46112</v>
      </c>
      <c r="AL1245" s="10"/>
      <c r="AM1245" s="10"/>
      <c r="AN1245" s="9" t="s">
        <v>2605</v>
      </c>
      <c r="AO1245" s="9"/>
      <c r="AP1245" s="11">
        <f>IF($H1245="Cancelled","",IFERROR(IF(OR(AK1245="",AB1245=""),"",(AB1245+Variables!$B$18-AK1245)),""))</f>
        <v>0</v>
      </c>
      <c r="AQ1245" s="11" t="str">
        <f>IF($H1245="Cancelled","",IFERROR(IF(OR(AM1245="",AK1245=""),"",(AK1245+Variables!$B$19)-AM1245),""))</f>
        <v/>
      </c>
      <c r="AR1245" s="12" t="str">
        <f>IF($H1245="Cancelled","",IFERROR(T1245*INDEX(Variables!$B$7:$D$7,IFERROR(MATCH(IF($B1245="Robusta","Robusta",(IF($B1245="","Arabica",$B1245))&amp;" - "&amp;(IF($C1245="","Commercial",$C1245))),Variables!$B$1:$D$1,0),1))*(AQ1245/365),""))</f>
        <v/>
      </c>
      <c r="AS1245" s="12">
        <f>IF($H1245="Cancelled","",IFERROR((T1245*INDEX(Variables!$B$7:$D$7,IFERROR(MATCH(IF($B1245="Robusta","Robusta",(IF($B1245="","Arabica",$B1245))&amp;" - "&amp;(IF($C1245="","Commercial",$C1245))),Variables!$B$1:$D$1,0),1))*IFERROR(IF(W1245="","",(AVERAGE(E1245:F1245)-W1245)-Variables!$B$14),"")/365)+(L1245/16.67*INDEX(Variables!$B$8:$D$8,IFERROR(MATCH(IF($B1245="Robusta","Robusta",(IF($B1245="","Arabica",$B1245))&amp;" - "&amp;(IF($C1245="","Commercial",$C1245))),Variables!$B$1:$D$1,0),1))*IFERROR(IF(W1245="","",(AVERAGE(E1245:F1245)-W1245)-Variables!$B$14),""))+(T1245*INDEX(Variables!$B$9:$D$9,IFERROR(MATCH(IF($B1245="Robusta","Robusta",(IF($B1245="","Arabica",$B1245))&amp;" - "&amp;(IF($C1245="","Commercial",$C1245))),Variables!$B$1:$D$1,0),1))*IFERROR(IF(W1245="","",(AVERAGE(E1245:F1245)-W1245)-Variables!$B$14),"")/365),""))</f>
        <v>24.122663980447886</v>
      </c>
      <c r="AT1245" s="12">
        <f>IF($H1245="Cancelled","",IFERROR((T1245*INDEX(Variables!$B$7:$D$7,IFERROR(MATCH(IF($B1245="Robusta","Robusta",(IF($B1245="","Arabica",$B1245))&amp;" - "&amp;(IF($C1245="","Commercial",$C1245))),Variables!$B$1:$D$1,0),1))*AC1245/365)+(L1245/16.67*INDEX(Variables!$B$8:$D$8,IFERROR(MATCH(IF($B1245="Robusta","Robusta",(IF($B1245="","Arabica",$B1245))&amp;" - "&amp;(IF($C1245="","Commercial",$C1245))),Variables!$B$1:$D$1,0),1))*AC1245)+(T1245*INDEX(Variables!$B$9:$D$9,IFERROR(MATCH(IF($B1245="Robusta","Robusta",(IF($B1245="","Arabica",$B1245))&amp;" - "&amp;(IF($C1245="","Commercial",$C1245))),Variables!$B$1:$D$1,0),1))*AC1245/365),""))</f>
        <v>-9.9817919919094695</v>
      </c>
      <c r="AU1245" s="12">
        <f>IF($H1245="Cancelled","",IFERROR((T1245*INDEX(Variables!$B$7:$D$7,IFERROR(MATCH(IF($B1245="Robusta","Robusta",(IF($B1245="","Arabica",$B1245))&amp;" - "&amp;(IF($C1245="","Commercial",$C1245))),Variables!$B$1:$D$1,0),1))*AP1245/365)+(L1245/16.67*INDEX(Variables!$B$8:$D$8,IFERROR(MATCH(IF($B1245="Robusta","Robusta",(IF($B1245="","Arabica",$B1245))&amp;" - "&amp;(IF($C1245="","Commercial",$C1245))),Variables!$B$1:$D$1,0),1))*AP1245)+(T1245*INDEX(Variables!$B$9:$D$9,IFERROR(MATCH(IF($B1245="Robusta","Robusta",(IF($B1245="","Arabica",$B1245))&amp;" - "&amp;(IF($C1245="","Commercial",$C1245))),Variables!$B$1:$D$1,0),1))*AP1245/365),""))</f>
        <v>0</v>
      </c>
      <c r="AV1245" s="11">
        <f t="shared" si="119"/>
        <v>-31</v>
      </c>
      <c r="AW1245" s="12">
        <f>IF($H1245="Cancelled","",IFERROR(IF(AV1245="","",(T1245*INDEX(Variables!$B$7:$D$7,IFERROR(MATCH(IF($B1245="Robusta","Robusta",(IF($B1245="","Arabica",$B1245))&amp;" - "&amp;(IF($C1245="","Commercial",$C1245))),Variables!$B$1:$D$1,0),1))*(AV1245/365))+(T1245*INDEX(Variables!$B$9:$D$9,IFERROR(MATCH(IF($B1245="Robusta","Robusta",(IF($B1245="","Arabica",$B1245))&amp;" - "&amp;(IF($C1245="","Commercial",$C1245))),Variables!$B$1:$D$1,0),1))*(AV1245/365))+(INDEX(Variables!$B$8:$D$8,IFERROR(MATCH(IF($B1245="Robusta","Robusta",(IF($B1245="","Arabica",$B1245))&amp;" - "&amp;(IF($C1245="","Commercial",$C1245))),Variables!$B$1:$D$1,0),1))*L1245/16.67)),""))</f>
        <v>-33.972591958198919</v>
      </c>
      <c r="AX1245" s="9"/>
      <c r="AY1245" s="12"/>
      <c r="AZ1245" s="10"/>
      <c r="BA1245" s="9"/>
      <c r="BB1245" s="10"/>
      <c r="BC1245" s="9"/>
      <c r="BD1245" s="9"/>
      <c r="BE1245" s="9"/>
      <c r="BF1245" s="9"/>
    </row>
    <row r="1246" spans="1:58" x14ac:dyDescent="0.25">
      <c r="A1246" s="9" t="s">
        <v>84</v>
      </c>
      <c r="B1246" s="9" t="s">
        <v>85</v>
      </c>
      <c r="C1246" s="9" t="s">
        <v>1486</v>
      </c>
      <c r="D1246" s="10">
        <v>46057</v>
      </c>
      <c r="E1246" s="10">
        <v>46054</v>
      </c>
      <c r="F1246" s="10">
        <v>46081</v>
      </c>
      <c r="G1246" s="9">
        <v>3787220</v>
      </c>
      <c r="H1246" s="9" t="str">
        <f t="shared" si="117"/>
        <v>Open</v>
      </c>
      <c r="I1246" s="9" t="str">
        <f t="shared" si="118"/>
        <v>No shipping advice sent and No docs dispatch date</v>
      </c>
      <c r="J1246" s="9" t="s">
        <v>257</v>
      </c>
      <c r="K1246" s="9" t="s">
        <v>2657</v>
      </c>
      <c r="L1246" s="11">
        <v>10</v>
      </c>
      <c r="M1246" s="9" t="s">
        <v>2658</v>
      </c>
      <c r="N1246" s="9"/>
      <c r="O1246" s="9"/>
      <c r="P1246" s="9"/>
      <c r="Q1246" s="11">
        <v>170</v>
      </c>
      <c r="R1246" s="9" t="s">
        <v>195</v>
      </c>
      <c r="S1246" s="9"/>
      <c r="T1246" s="12">
        <f>IF($H1246="Cancelled","",IFERROR(((Q1246+INDEX(Variables!$B$6:$D$6,IFERROR(MATCH(IF($B1246="Robusta","Robusta",(IF($B1246="","Arabica",$B1246))&amp;" - "&amp;(IF($C1246="","Commercial",$C1246))),Variables!$B$1:$D$1,0),1)))*22.0462)*(L1246/16.67),""))</f>
        <v>6094.1145530893818</v>
      </c>
      <c r="U1246" s="10"/>
      <c r="V1246" s="9" t="str">
        <f t="shared" si="120"/>
        <v/>
      </c>
      <c r="W1246" s="10">
        <v>46023</v>
      </c>
      <c r="X1246" s="9" t="str">
        <f t="shared" si="121"/>
        <v>Approved</v>
      </c>
      <c r="Y1246" s="10">
        <v>46084</v>
      </c>
      <c r="Z1246" s="10">
        <f>IF($H1246="Cancelled","",IFERROR(IF(F1246="","",F1246-Variables!$B$13),""))</f>
        <v>46066</v>
      </c>
      <c r="AA1246" s="11">
        <f>IF($H1246="Cancelled","",IFERROR(IF(W1246="","",(AVERAGE(E1246:F1246)-W1246)-Variables!$B$14),""))</f>
        <v>14.5</v>
      </c>
      <c r="AB1246" s="10">
        <v>46105</v>
      </c>
      <c r="AC1246" s="11">
        <f>IF($H1246="Cancelled","",IFERROR(IF(AB1246="","",IF(AND(W1246="",Y1246=""),"",IF(Y1246&gt;W1246,Y1246+Variables!$B$15+Variables!$B$16+Variables!$B$17-AB1246,W1246+Variables!$B$16+Variables!$B$17-AB1246))),""))</f>
        <v>-6</v>
      </c>
      <c r="AD1246" s="9" t="s">
        <v>165</v>
      </c>
      <c r="AE1246" s="9" t="s">
        <v>1404</v>
      </c>
      <c r="AF1246" s="10"/>
      <c r="AG1246" s="10"/>
      <c r="AH1246" s="9"/>
      <c r="AI1246" s="9">
        <v>921062</v>
      </c>
      <c r="AJ1246" s="9"/>
      <c r="AK1246" s="10">
        <v>46112</v>
      </c>
      <c r="AL1246" s="10"/>
      <c r="AM1246" s="10"/>
      <c r="AN1246" s="9" t="s">
        <v>2605</v>
      </c>
      <c r="AO1246" s="9"/>
      <c r="AP1246" s="11">
        <f>IF($H1246="Cancelled","",IFERROR(IF(OR(AK1246="",AB1246=""),"",(AB1246+Variables!$B$18-AK1246)),""))</f>
        <v>0</v>
      </c>
      <c r="AQ1246" s="11" t="str">
        <f>IF($H1246="Cancelled","",IFERROR(IF(OR(AM1246="",AK1246=""),"",(AK1246+Variables!$B$19)-AM1246),""))</f>
        <v/>
      </c>
      <c r="AR1246" s="12" t="str">
        <f>IF($H1246="Cancelled","",IFERROR(T1246*INDEX(Variables!$B$7:$D$7,IFERROR(MATCH(IF($B1246="Robusta","Robusta",(IF($B1246="","Arabica",$B1246))&amp;" - "&amp;(IF($C1246="","Commercial",$C1246))),Variables!$B$1:$D$1,0),1))*(AQ1246/365),""))</f>
        <v/>
      </c>
      <c r="AS1246" s="12">
        <f>IF($H1246="Cancelled","",IFERROR((T1246*INDEX(Variables!$B$7:$D$7,IFERROR(MATCH(IF($B1246="Robusta","Robusta",(IF($B1246="","Arabica",$B1246))&amp;" - "&amp;(IF($C1246="","Commercial",$C1246))),Variables!$B$1:$D$1,0),1))*IFERROR(IF(W1246="","",(AVERAGE(E1246:F1246)-W1246)-Variables!$B$14),"")/365)+(L1246/16.67*INDEX(Variables!$B$8:$D$8,IFERROR(MATCH(IF($B1246="Robusta","Robusta",(IF($B1246="","Arabica",$B1246))&amp;" - "&amp;(IF($C1246="","Commercial",$C1246))),Variables!$B$1:$D$1,0),1))*IFERROR(IF(W1246="","",(AVERAGE(E1246:F1246)-W1246)-Variables!$B$14),""))+(T1246*INDEX(Variables!$B$9:$D$9,IFERROR(MATCH(IF($B1246="Robusta","Robusta",(IF($B1246="","Arabica",$B1246))&amp;" - "&amp;(IF($C1246="","Commercial",$C1246))),Variables!$B$1:$D$1,0),1))*IFERROR(IF(W1246="","",(AVERAGE(E1246:F1246)-W1246)-Variables!$B$14),"")/365),""))</f>
        <v>23.062069280866982</v>
      </c>
      <c r="AT1246" s="12">
        <f>IF($H1246="Cancelled","",IFERROR((T1246*INDEX(Variables!$B$7:$D$7,IFERROR(MATCH(IF($B1246="Robusta","Robusta",(IF($B1246="","Arabica",$B1246))&amp;" - "&amp;(IF($C1246="","Commercial",$C1246))),Variables!$B$1:$D$1,0),1))*AC1246/365)+(L1246/16.67*INDEX(Variables!$B$8:$D$8,IFERROR(MATCH(IF($B1246="Robusta","Robusta",(IF($B1246="","Arabica",$B1246))&amp;" - "&amp;(IF($C1246="","Commercial",$C1246))),Variables!$B$1:$D$1,0),1))*AC1246)+(T1246*INDEX(Variables!$B$9:$D$9,IFERROR(MATCH(IF($B1246="Robusta","Robusta",(IF($B1246="","Arabica",$B1246))&amp;" - "&amp;(IF($C1246="","Commercial",$C1246))),Variables!$B$1:$D$1,0),1))*AC1246/365),""))</f>
        <v>-9.5429252196690975</v>
      </c>
      <c r="AU1246" s="12">
        <f>IF($H1246="Cancelled","",IFERROR((T1246*INDEX(Variables!$B$7:$D$7,IFERROR(MATCH(IF($B1246="Robusta","Robusta",(IF($B1246="","Arabica",$B1246))&amp;" - "&amp;(IF($C1246="","Commercial",$C1246))),Variables!$B$1:$D$1,0),1))*AP1246/365)+(L1246/16.67*INDEX(Variables!$B$8:$D$8,IFERROR(MATCH(IF($B1246="Robusta","Robusta",(IF($B1246="","Arabica",$B1246))&amp;" - "&amp;(IF($C1246="","Commercial",$C1246))),Variables!$B$1:$D$1,0),1))*AP1246)+(T1246*INDEX(Variables!$B$9:$D$9,IFERROR(MATCH(IF($B1246="Robusta","Robusta",(IF($B1246="","Arabica",$B1246))&amp;" - "&amp;(IF($C1246="","Commercial",$C1246))),Variables!$B$1:$D$1,0),1))*AP1246/365),""))</f>
        <v>0</v>
      </c>
      <c r="AV1246" s="11">
        <f t="shared" si="119"/>
        <v>-31</v>
      </c>
      <c r="AW1246" s="12">
        <f>IF($H1246="Cancelled","",IFERROR(IF(AV1246="","",(T1246*INDEX(Variables!$B$7:$D$7,IFERROR(MATCH(IF($B1246="Robusta","Robusta",(IF($B1246="","Arabica",$B1246))&amp;" - "&amp;(IF($C1246="","Commercial",$C1246))),Variables!$B$1:$D$1,0),1))*(AV1246/365))+(T1246*INDEX(Variables!$B$9:$D$9,IFERROR(MATCH(IF($B1246="Robusta","Robusta",(IF($B1246="","Arabica",$B1246))&amp;" - "&amp;(IF($C1246="","Commercial",$C1246))),Variables!$B$1:$D$1,0),1))*(AV1246/365))+(INDEX(Variables!$B$8:$D$8,IFERROR(MATCH(IF($B1246="Robusta","Robusta",(IF($B1246="","Arabica",$B1246))&amp;" - "&amp;(IF($C1246="","Commercial",$C1246))),Variables!$B$1:$D$1,0),1))*L1246/16.67)),""))</f>
        <v>-33.305113634956996</v>
      </c>
      <c r="AX1246" s="9"/>
      <c r="AY1246" s="12"/>
      <c r="AZ1246" s="10"/>
      <c r="BA1246" s="9"/>
      <c r="BB1246" s="10"/>
      <c r="BC1246" s="9"/>
      <c r="BD1246" s="9"/>
      <c r="BE1246" s="9"/>
      <c r="BF1246" s="9"/>
    </row>
    <row r="1247" spans="1:58" x14ac:dyDescent="0.25">
      <c r="A1247" s="9" t="s">
        <v>84</v>
      </c>
      <c r="B1247" s="9" t="s">
        <v>85</v>
      </c>
      <c r="C1247" s="9" t="s">
        <v>1486</v>
      </c>
      <c r="D1247" s="10">
        <v>46070</v>
      </c>
      <c r="E1247" s="10">
        <v>46054</v>
      </c>
      <c r="F1247" s="10">
        <v>46081</v>
      </c>
      <c r="G1247" s="9">
        <v>3787301</v>
      </c>
      <c r="H1247" s="9" t="str">
        <f t="shared" si="117"/>
        <v>Open</v>
      </c>
      <c r="I1247" s="9" t="str">
        <f t="shared" si="118"/>
        <v>No shipping advice sent and No docs dispatch date</v>
      </c>
      <c r="J1247" s="9" t="s">
        <v>257</v>
      </c>
      <c r="K1247" s="9" t="s">
        <v>2659</v>
      </c>
      <c r="L1247" s="11">
        <v>20</v>
      </c>
      <c r="M1247" s="9" t="s">
        <v>2660</v>
      </c>
      <c r="N1247" s="9"/>
      <c r="O1247" s="9"/>
      <c r="P1247" s="9"/>
      <c r="Q1247" s="11">
        <v>188</v>
      </c>
      <c r="R1247" s="9" t="s">
        <v>195</v>
      </c>
      <c r="S1247" s="9"/>
      <c r="T1247" s="12">
        <f>IF($H1247="Cancelled","",IFERROR(((Q1247+INDEX(Variables!$B$6:$D$6,IFERROR(MATCH(IF($B1247="Robusta","Robusta",(IF($B1247="","Arabica",$B1247))&amp;" - "&amp;(IF($C1247="","Commercial",$C1247))),Variables!$B$1:$D$1,0),1)))*22.0462)*(L1247/16.67),""))</f>
        <v>12664.331805638871</v>
      </c>
      <c r="U1247" s="10"/>
      <c r="V1247" s="9" t="str">
        <f t="shared" si="120"/>
        <v/>
      </c>
      <c r="W1247" s="10">
        <v>46023</v>
      </c>
      <c r="X1247" s="9" t="str">
        <f t="shared" si="121"/>
        <v>Approved</v>
      </c>
      <c r="Y1247" s="10">
        <v>46084</v>
      </c>
      <c r="Z1247" s="10">
        <f>IF($H1247="Cancelled","",IFERROR(IF(F1247="","",F1247-Variables!$B$13),""))</f>
        <v>46066</v>
      </c>
      <c r="AA1247" s="11">
        <f>IF($H1247="Cancelled","",IFERROR(IF(W1247="","",(AVERAGE(E1247:F1247)-W1247)-Variables!$B$14),""))</f>
        <v>14.5</v>
      </c>
      <c r="AB1247" s="10">
        <v>46105</v>
      </c>
      <c r="AC1247" s="11">
        <f>IF($H1247="Cancelled","",IFERROR(IF(AB1247="","",IF(AND(W1247="",Y1247=""),"",IF(Y1247&gt;W1247,Y1247+Variables!$B$15+Variables!$B$16+Variables!$B$17-AB1247,W1247+Variables!$B$16+Variables!$B$17-AB1247))),""))</f>
        <v>-6</v>
      </c>
      <c r="AD1247" s="9" t="s">
        <v>165</v>
      </c>
      <c r="AE1247" s="9" t="s">
        <v>1404</v>
      </c>
      <c r="AF1247" s="10"/>
      <c r="AG1247" s="10"/>
      <c r="AH1247" s="9"/>
      <c r="AI1247" s="9">
        <v>921062</v>
      </c>
      <c r="AJ1247" s="9"/>
      <c r="AK1247" s="10">
        <v>46112</v>
      </c>
      <c r="AL1247" s="10"/>
      <c r="AM1247" s="10"/>
      <c r="AN1247" s="9" t="s">
        <v>2605</v>
      </c>
      <c r="AO1247" s="9"/>
      <c r="AP1247" s="11">
        <f>IF($H1247="Cancelled","",IFERROR(IF(OR(AK1247="",AB1247=""),"",(AB1247+Variables!$B$18-AK1247)),""))</f>
        <v>0</v>
      </c>
      <c r="AQ1247" s="11" t="str">
        <f>IF($H1247="Cancelled","",IFERROR(IF(OR(AM1247="",AK1247=""),"",(AK1247+Variables!$B$19)-AM1247),""))</f>
        <v/>
      </c>
      <c r="AR1247" s="12" t="str">
        <f>IF($H1247="Cancelled","",IFERROR(T1247*INDEX(Variables!$B$7:$D$7,IFERROR(MATCH(IF($B1247="Robusta","Robusta",(IF($B1247="","Arabica",$B1247))&amp;" - "&amp;(IF($C1247="","Commercial",$C1247))),Variables!$B$1:$D$1,0),1))*(AQ1247/365),""))</f>
        <v/>
      </c>
      <c r="AS1247" s="12">
        <f>IF($H1247="Cancelled","",IFERROR((T1247*INDEX(Variables!$B$7:$D$7,IFERROR(MATCH(IF($B1247="Robusta","Robusta",(IF($B1247="","Arabica",$B1247))&amp;" - "&amp;(IF($C1247="","Commercial",$C1247))),Variables!$B$1:$D$1,0),1))*IFERROR(IF(W1247="","",(AVERAGE(E1247:F1247)-W1247)-Variables!$B$14),"")/365)+(L1247/16.67*INDEX(Variables!$B$8:$D$8,IFERROR(MATCH(IF($B1247="Robusta","Robusta",(IF($B1247="","Arabica",$B1247))&amp;" - "&amp;(IF($C1247="","Commercial",$C1247))),Variables!$B$1:$D$1,0),1))*IFERROR(IF(W1247="","",(AVERAGE(E1247:F1247)-W1247)-Variables!$B$14),""))+(T1247*INDEX(Variables!$B$9:$D$9,IFERROR(MATCH(IF($B1247="Robusta","Robusta",(IF($B1247="","Arabica",$B1247))&amp;" - "&amp;(IF($C1247="","Commercial",$C1247))),Variables!$B$1:$D$1,0),1))*IFERROR(IF(W1247="","",(AVERAGE(E1247:F1247)-W1247)-Variables!$B$14),"")/365),""))</f>
        <v>47.359456474301687</v>
      </c>
      <c r="AT1247" s="12">
        <f>IF($H1247="Cancelled","",IFERROR((T1247*INDEX(Variables!$B$7:$D$7,IFERROR(MATCH(IF($B1247="Robusta","Robusta",(IF($B1247="","Arabica",$B1247))&amp;" - "&amp;(IF($C1247="","Commercial",$C1247))),Variables!$B$1:$D$1,0),1))*AC1247/365)+(L1247/16.67*INDEX(Variables!$B$8:$D$8,IFERROR(MATCH(IF($B1247="Robusta","Robusta",(IF($B1247="","Arabica",$B1247))&amp;" - "&amp;(IF($C1247="","Commercial",$C1247))),Variables!$B$1:$D$1,0),1))*AC1247)+(T1247*INDEX(Variables!$B$9:$D$9,IFERROR(MATCH(IF($B1247="Robusta","Robusta",(IF($B1247="","Arabica",$B1247))&amp;" - "&amp;(IF($C1247="","Commercial",$C1247))),Variables!$B$1:$D$1,0),1))*AC1247/365),""))</f>
        <v>-19.597016472124839</v>
      </c>
      <c r="AU1247" s="12">
        <f>IF($H1247="Cancelled","",IFERROR((T1247*INDEX(Variables!$B$7:$D$7,IFERROR(MATCH(IF($B1247="Robusta","Robusta",(IF($B1247="","Arabica",$B1247))&amp;" - "&amp;(IF($C1247="","Commercial",$C1247))),Variables!$B$1:$D$1,0),1))*AP1247/365)+(L1247/16.67*INDEX(Variables!$B$8:$D$8,IFERROR(MATCH(IF($B1247="Robusta","Robusta",(IF($B1247="","Arabica",$B1247))&amp;" - "&amp;(IF($C1247="","Commercial",$C1247))),Variables!$B$1:$D$1,0),1))*AP1247)+(T1247*INDEX(Variables!$B$9:$D$9,IFERROR(MATCH(IF($B1247="Robusta","Robusta",(IF($B1247="","Arabica",$B1247))&amp;" - "&amp;(IF($C1247="","Commercial",$C1247))),Variables!$B$1:$D$1,0),1))*AP1247/365),""))</f>
        <v>0</v>
      </c>
      <c r="AV1247" s="11">
        <f t="shared" si="119"/>
        <v>-31</v>
      </c>
      <c r="AW1247" s="12">
        <f>IF($H1247="Cancelled","",IFERROR(IF(AV1247="","",(T1247*INDEX(Variables!$B$7:$D$7,IFERROR(MATCH(IF($B1247="Robusta","Robusta",(IF($B1247="","Arabica",$B1247))&amp;" - "&amp;(IF($C1247="","Commercial",$C1247))),Variables!$B$1:$D$1,0),1))*(AV1247/365))+(T1247*INDEX(Variables!$B$9:$D$9,IFERROR(MATCH(IF($B1247="Robusta","Robusta",(IF($B1247="","Arabica",$B1247))&amp;" - "&amp;(IF($C1247="","Commercial",$C1247))),Variables!$B$1:$D$1,0),1))*(AV1247/365))+(INDEX(Variables!$B$8:$D$8,IFERROR(MATCH(IF($B1247="Robusta","Robusta",(IF($B1247="","Arabica",$B1247))&amp;" - "&amp;(IF($C1247="","Commercial",$C1247))),Variables!$B$1:$D$1,0),1))*L1247/16.67)),""))</f>
        <v>-69.251251772644991</v>
      </c>
      <c r="AX1247" s="9"/>
      <c r="AY1247" s="12"/>
      <c r="AZ1247" s="10"/>
      <c r="BA1247" s="9"/>
      <c r="BB1247" s="10"/>
      <c r="BC1247" s="9"/>
      <c r="BD1247" s="9"/>
      <c r="BE1247" s="9"/>
      <c r="BF1247" s="9"/>
    </row>
    <row r="1248" spans="1:58" x14ac:dyDescent="0.25">
      <c r="A1248" s="9" t="s">
        <v>84</v>
      </c>
      <c r="B1248" s="9" t="s">
        <v>85</v>
      </c>
      <c r="C1248" s="9" t="s">
        <v>1486</v>
      </c>
      <c r="D1248" s="10">
        <v>46070</v>
      </c>
      <c r="E1248" s="10">
        <v>46054</v>
      </c>
      <c r="F1248" s="10">
        <v>46081</v>
      </c>
      <c r="G1248" s="9">
        <v>3787302</v>
      </c>
      <c r="H1248" s="9" t="str">
        <f t="shared" si="117"/>
        <v>Cancelled</v>
      </c>
      <c r="I1248" s="9" t="str">
        <f t="shared" si="118"/>
        <v>No sailing date and No shipping advice sent and No docs dispatch date</v>
      </c>
      <c r="J1248" s="9" t="s">
        <v>257</v>
      </c>
      <c r="K1248" s="9"/>
      <c r="L1248" s="11">
        <v>20</v>
      </c>
      <c r="M1248" s="9" t="s">
        <v>2661</v>
      </c>
      <c r="N1248" s="9"/>
      <c r="O1248" s="9"/>
      <c r="P1248" s="9"/>
      <c r="Q1248" s="11">
        <v>84</v>
      </c>
      <c r="R1248" s="9" t="s">
        <v>195</v>
      </c>
      <c r="S1248" s="9"/>
      <c r="T1248" s="12" t="str">
        <f>IF($H1248="Cancelled","",IFERROR(((Q1248+INDEX(Variables!$B$6:$D$6,IFERROR(MATCH(IF($B1248="Robusta","Robusta",(IF($B1248="","Arabica",$B1248))&amp;" - "&amp;(IF($C1248="","Commercial",$C1248))),Variables!$B$1:$D$1,0),1)))*22.0462)*(L1248/16.67),""))</f>
        <v/>
      </c>
      <c r="U1248" s="10"/>
      <c r="V1248" s="9" t="str">
        <f t="shared" si="120"/>
        <v/>
      </c>
      <c r="W1248" s="10"/>
      <c r="X1248" s="9" t="str">
        <f t="shared" si="121"/>
        <v/>
      </c>
      <c r="Y1248" s="10"/>
      <c r="Z1248" s="10" t="str">
        <f>IF($H1248="Cancelled","",IFERROR(IF(F1248="","",F1248-Variables!$B$13),""))</f>
        <v/>
      </c>
      <c r="AA1248" s="11" t="str">
        <f>IF($H1248="Cancelled","",IFERROR(IF(W1248="","",(AVERAGE(E1248:F1248)-W1248)-Variables!$B$14),""))</f>
        <v/>
      </c>
      <c r="AB1248" s="10"/>
      <c r="AC1248" s="11" t="str">
        <f>IF($H1248="Cancelled","",IFERROR(IF(AB1248="","",IF(AND(W1248="",Y1248=""),"",IF(Y1248&gt;W1248,Y1248+Variables!$B$15+Variables!$B$16+Variables!$B$17-AB1248,W1248+Variables!$B$16+Variables!$B$17-AB1248))),""))</f>
        <v/>
      </c>
      <c r="AD1248" s="9"/>
      <c r="AE1248" s="9"/>
      <c r="AF1248" s="10"/>
      <c r="AG1248" s="10"/>
      <c r="AH1248" s="9"/>
      <c r="AI1248" s="9"/>
      <c r="AJ1248" s="9"/>
      <c r="AK1248" s="10"/>
      <c r="AL1248" s="10"/>
      <c r="AM1248" s="10"/>
      <c r="AN1248" s="9" t="s">
        <v>2032</v>
      </c>
      <c r="AO1248" s="9"/>
      <c r="AP1248" s="11" t="str">
        <f>IF($H1248="Cancelled","",IFERROR(IF(OR(AK1248="",AB1248=""),"",(AB1248+Variables!$B$18-AK1248)),""))</f>
        <v/>
      </c>
      <c r="AQ1248" s="11" t="str">
        <f>IF($H1248="Cancelled","",IFERROR(IF(OR(AM1248="",AK1248=""),"",(AK1248+Variables!$B$19)-AM1248),""))</f>
        <v/>
      </c>
      <c r="AR1248" s="12" t="str">
        <f>IF($H1248="Cancelled","",IFERROR(T1248*INDEX(Variables!$B$7:$D$7,IFERROR(MATCH(IF($B1248="Robusta","Robusta",(IF($B1248="","Arabica",$B1248))&amp;" - "&amp;(IF($C1248="","Commercial",$C1248))),Variables!$B$1:$D$1,0),1))*(AQ1248/365),""))</f>
        <v/>
      </c>
      <c r="AS1248" s="12" t="str">
        <f>IF($H1248="Cancelled","",IFERROR((T1248*INDEX(Variables!$B$7:$D$7,IFERROR(MATCH(IF($B1248="Robusta","Robusta",(IF($B1248="","Arabica",$B1248))&amp;" - "&amp;(IF($C1248="","Commercial",$C1248))),Variables!$B$1:$D$1,0),1))*IFERROR(IF(W1248="","",(AVERAGE(E1248:F1248)-W1248)-Variables!$B$14),"")/365)+(L1248/16.67*INDEX(Variables!$B$8:$D$8,IFERROR(MATCH(IF($B1248="Robusta","Robusta",(IF($B1248="","Arabica",$B1248))&amp;" - "&amp;(IF($C1248="","Commercial",$C1248))),Variables!$B$1:$D$1,0),1))*IFERROR(IF(W1248="","",(AVERAGE(E1248:F1248)-W1248)-Variables!$B$14),""))+(T1248*INDEX(Variables!$B$9:$D$9,IFERROR(MATCH(IF($B1248="Robusta","Robusta",(IF($B1248="","Arabica",$B1248))&amp;" - "&amp;(IF($C1248="","Commercial",$C1248))),Variables!$B$1:$D$1,0),1))*IFERROR(IF(W1248="","",(AVERAGE(E1248:F1248)-W1248)-Variables!$B$14),"")/365),""))</f>
        <v/>
      </c>
      <c r="AT1248" s="12" t="str">
        <f>IF($H1248="Cancelled","",IFERROR((T1248*INDEX(Variables!$B$7:$D$7,IFERROR(MATCH(IF($B1248="Robusta","Robusta",(IF($B1248="","Arabica",$B1248))&amp;" - "&amp;(IF($C1248="","Commercial",$C1248))),Variables!$B$1:$D$1,0),1))*AC1248/365)+(L1248/16.67*INDEX(Variables!$B$8:$D$8,IFERROR(MATCH(IF($B1248="Robusta","Robusta",(IF($B1248="","Arabica",$B1248))&amp;" - "&amp;(IF($C1248="","Commercial",$C1248))),Variables!$B$1:$D$1,0),1))*AC1248)+(T1248*INDEX(Variables!$B$9:$D$9,IFERROR(MATCH(IF($B1248="Robusta","Robusta",(IF($B1248="","Arabica",$B1248))&amp;" - "&amp;(IF($C1248="","Commercial",$C1248))),Variables!$B$1:$D$1,0),1))*AC1248/365),""))</f>
        <v/>
      </c>
      <c r="AU1248" s="12" t="str">
        <f>IF($H1248="Cancelled","",IFERROR((T1248*INDEX(Variables!$B$7:$D$7,IFERROR(MATCH(IF($B1248="Robusta","Robusta",(IF($B1248="","Arabica",$B1248))&amp;" - "&amp;(IF($C1248="","Commercial",$C1248))),Variables!$B$1:$D$1,0),1))*AP1248/365)+(L1248/16.67*INDEX(Variables!$B$8:$D$8,IFERROR(MATCH(IF($B1248="Robusta","Robusta",(IF($B1248="","Arabica",$B1248))&amp;" - "&amp;(IF($C1248="","Commercial",$C1248))),Variables!$B$1:$D$1,0),1))*AP1248)+(T1248*INDEX(Variables!$B$9:$D$9,IFERROR(MATCH(IF($B1248="Robusta","Robusta",(IF($B1248="","Arabica",$B1248))&amp;" - "&amp;(IF($C1248="","Commercial",$C1248))),Variables!$B$1:$D$1,0),1))*AP1248/365),""))</f>
        <v/>
      </c>
      <c r="AV1248" s="11" t="str">
        <f t="shared" si="119"/>
        <v/>
      </c>
      <c r="AW1248" s="12" t="str">
        <f>IF($H1248="Cancelled","",IFERROR(IF(AV1248="","",(T1248*INDEX(Variables!$B$7:$D$7,IFERROR(MATCH(IF($B1248="Robusta","Robusta",(IF($B1248="","Arabica",$B1248))&amp;" - "&amp;(IF($C1248="","Commercial",$C1248))),Variables!$B$1:$D$1,0),1))*(AV1248/365))+(T1248*INDEX(Variables!$B$9:$D$9,IFERROR(MATCH(IF($B1248="Robusta","Robusta",(IF($B1248="","Arabica",$B1248))&amp;" - "&amp;(IF($C1248="","Commercial",$C1248))),Variables!$B$1:$D$1,0),1))*(AV1248/365))+(INDEX(Variables!$B$8:$D$8,IFERROR(MATCH(IF($B1248="Robusta","Robusta",(IF($B1248="","Arabica",$B1248))&amp;" - "&amp;(IF($C1248="","Commercial",$C1248))),Variables!$B$1:$D$1,0),1))*L1248/16.67)),""))</f>
        <v/>
      </c>
      <c r="AX1248" s="9"/>
      <c r="AY1248" s="12"/>
      <c r="AZ1248" s="10"/>
      <c r="BA1248" s="9"/>
      <c r="BB1248" s="10"/>
      <c r="BC1248" s="9"/>
      <c r="BD1248" s="9"/>
      <c r="BE1248" s="9"/>
      <c r="BF1248" s="9"/>
    </row>
    <row r="1249" spans="1:58" x14ac:dyDescent="0.25">
      <c r="A1249" s="9" t="s">
        <v>84</v>
      </c>
      <c r="B1249" s="9" t="s">
        <v>85</v>
      </c>
      <c r="C1249" s="9" t="s">
        <v>1486</v>
      </c>
      <c r="D1249" s="10">
        <v>46048</v>
      </c>
      <c r="E1249" s="10">
        <v>46054</v>
      </c>
      <c r="F1249" s="10">
        <v>46081</v>
      </c>
      <c r="G1249" s="9">
        <v>3787163</v>
      </c>
      <c r="H1249" s="9" t="str">
        <f t="shared" si="117"/>
        <v>Open</v>
      </c>
      <c r="I1249" s="9" t="str">
        <f t="shared" si="118"/>
        <v>No shipping advice sent and No docs dispatch date</v>
      </c>
      <c r="J1249" s="9" t="s">
        <v>257</v>
      </c>
      <c r="K1249" s="9" t="s">
        <v>2662</v>
      </c>
      <c r="L1249" s="11">
        <v>10</v>
      </c>
      <c r="M1249" s="9" t="s">
        <v>2663</v>
      </c>
      <c r="N1249" s="9"/>
      <c r="O1249" s="9"/>
      <c r="P1249" s="9"/>
      <c r="Q1249" s="11">
        <v>155</v>
      </c>
      <c r="R1249" s="9" t="s">
        <v>90</v>
      </c>
      <c r="S1249" s="9"/>
      <c r="T1249" s="12">
        <f>IF($H1249="Cancelled","",IFERROR(((Q1249+INDEX(Variables!$B$6:$D$6,IFERROR(MATCH(IF($B1249="Robusta","Robusta",(IF($B1249="","Arabica",$B1249))&amp;" - "&amp;(IF($C1249="","Commercial",$C1249))),Variables!$B$1:$D$1,0),1)))*22.0462)*(L1249/16.67),""))</f>
        <v>5895.7384283143365</v>
      </c>
      <c r="U1249" s="10"/>
      <c r="V1249" s="9" t="str">
        <f t="shared" si="120"/>
        <v/>
      </c>
      <c r="W1249" s="10">
        <v>46023</v>
      </c>
      <c r="X1249" s="9" t="str">
        <f t="shared" si="121"/>
        <v>Approved</v>
      </c>
      <c r="Y1249" s="10">
        <v>46084</v>
      </c>
      <c r="Z1249" s="10">
        <f>IF($H1249="Cancelled","",IFERROR(IF(F1249="","",F1249-Variables!$B$13),""))</f>
        <v>46066</v>
      </c>
      <c r="AA1249" s="11">
        <f>IF($H1249="Cancelled","",IFERROR(IF(W1249="","",(AVERAGE(E1249:F1249)-W1249)-Variables!$B$14),""))</f>
        <v>14.5</v>
      </c>
      <c r="AB1249" s="10">
        <v>46105</v>
      </c>
      <c r="AC1249" s="11">
        <f>IF($H1249="Cancelled","",IFERROR(IF(AB1249="","",IF(AND(W1249="",Y1249=""),"",IF(Y1249&gt;W1249,Y1249+Variables!$B$15+Variables!$B$16+Variables!$B$17-AB1249,W1249+Variables!$B$16+Variables!$B$17-AB1249))),""))</f>
        <v>-6</v>
      </c>
      <c r="AD1249" s="9" t="s">
        <v>165</v>
      </c>
      <c r="AE1249" s="9" t="s">
        <v>2648</v>
      </c>
      <c r="AF1249" s="10"/>
      <c r="AG1249" s="10"/>
      <c r="AH1249" s="9"/>
      <c r="AI1249" s="9">
        <v>921062</v>
      </c>
      <c r="AJ1249" s="9"/>
      <c r="AK1249" s="10">
        <v>46112</v>
      </c>
      <c r="AL1249" s="10"/>
      <c r="AM1249" s="10"/>
      <c r="AN1249" s="9" t="s">
        <v>2605</v>
      </c>
      <c r="AO1249" s="9"/>
      <c r="AP1249" s="11">
        <f>IF($H1249="Cancelled","",IFERROR(IF(OR(AK1249="",AB1249=""),"",(AB1249+Variables!$B$18-AK1249)),""))</f>
        <v>0</v>
      </c>
      <c r="AQ1249" s="11" t="str">
        <f>IF($H1249="Cancelled","",IFERROR(IF(OR(AM1249="",AK1249=""),"",(AK1249+Variables!$B$19)-AM1249),""))</f>
        <v/>
      </c>
      <c r="AR1249" s="12" t="str">
        <f>IF($H1249="Cancelled","",IFERROR(T1249*INDEX(Variables!$B$7:$D$7,IFERROR(MATCH(IF($B1249="Robusta","Robusta",(IF($B1249="","Arabica",$B1249))&amp;" - "&amp;(IF($C1249="","Commercial",$C1249))),Variables!$B$1:$D$1,0),1))*(AQ1249/365),""))</f>
        <v/>
      </c>
      <c r="AS1249" s="12">
        <f>IF($H1249="Cancelled","",IFERROR((T1249*INDEX(Variables!$B$7:$D$7,IFERROR(MATCH(IF($B1249="Robusta","Robusta",(IF($B1249="","Arabica",$B1249))&amp;" - "&amp;(IF($C1249="","Commercial",$C1249))),Variables!$B$1:$D$1,0),1))*IFERROR(IF(W1249="","",(AVERAGE(E1249:F1249)-W1249)-Variables!$B$14),"")/365)+(L1249/16.67*INDEX(Variables!$B$8:$D$8,IFERROR(MATCH(IF($B1249="Robusta","Robusta",(IF($B1249="","Arabica",$B1249))&amp;" - "&amp;(IF($C1249="","Commercial",$C1249))),Variables!$B$1:$D$1,0),1))*IFERROR(IF(W1249="","",(AVERAGE(E1249:F1249)-W1249)-Variables!$B$14),""))+(T1249*INDEX(Variables!$B$9:$D$9,IFERROR(MATCH(IF($B1249="Robusta","Robusta",(IF($B1249="","Arabica",$B1249))&amp;" - "&amp;(IF($C1249="","Commercial",$C1249))),Variables!$B$1:$D$1,0),1))*IFERROR(IF(W1249="","",(AVERAGE(E1249:F1249)-W1249)-Variables!$B$14),"")/365),""))</f>
        <v>22.547353483963757</v>
      </c>
      <c r="AT1249" s="12">
        <f>IF($H1249="Cancelled","",IFERROR((T1249*INDEX(Variables!$B$7:$D$7,IFERROR(MATCH(IF($B1249="Robusta","Robusta",(IF($B1249="","Arabica",$B1249))&amp;" - "&amp;(IF($C1249="","Commercial",$C1249))),Variables!$B$1:$D$1,0),1))*AC1249/365)+(L1249/16.67*INDEX(Variables!$B$8:$D$8,IFERROR(MATCH(IF($B1249="Robusta","Robusta",(IF($B1249="","Arabica",$B1249))&amp;" - "&amp;(IF($C1249="","Commercial",$C1249))),Variables!$B$1:$D$1,0),1))*AC1249)+(T1249*INDEX(Variables!$B$9:$D$9,IFERROR(MATCH(IF($B1249="Robusta","Robusta",(IF($B1249="","Arabica",$B1249))&amp;" - "&amp;(IF($C1249="","Commercial",$C1249))),Variables!$B$1:$D$1,0),1))*AC1249/365),""))</f>
        <v>-9.3299393726746587</v>
      </c>
      <c r="AU1249" s="12">
        <f>IF($H1249="Cancelled","",IFERROR((T1249*INDEX(Variables!$B$7:$D$7,IFERROR(MATCH(IF($B1249="Robusta","Robusta",(IF($B1249="","Arabica",$B1249))&amp;" - "&amp;(IF($C1249="","Commercial",$C1249))),Variables!$B$1:$D$1,0),1))*AP1249/365)+(L1249/16.67*INDEX(Variables!$B$8:$D$8,IFERROR(MATCH(IF($B1249="Robusta","Robusta",(IF($B1249="","Arabica",$B1249))&amp;" - "&amp;(IF($C1249="","Commercial",$C1249))),Variables!$B$1:$D$1,0),1))*AP1249)+(T1249*INDEX(Variables!$B$9:$D$9,IFERROR(MATCH(IF($B1249="Robusta","Robusta",(IF($B1249="","Arabica",$B1249))&amp;" - "&amp;(IF($C1249="","Commercial",$C1249))),Variables!$B$1:$D$1,0),1))*AP1249/365),""))</f>
        <v>0</v>
      </c>
      <c r="AV1249" s="11">
        <f t="shared" si="119"/>
        <v>-31</v>
      </c>
      <c r="AW1249" s="12">
        <f>IF($H1249="Cancelled","",IFERROR(IF(AV1249="","",(T1249*INDEX(Variables!$B$7:$D$7,IFERROR(MATCH(IF($B1249="Robusta","Robusta",(IF($B1249="","Arabica",$B1249))&amp;" - "&amp;(IF($C1249="","Commercial",$C1249))),Variables!$B$1:$D$1,0),1))*(AV1249/365))+(T1249*INDEX(Variables!$B$9:$D$9,IFERROR(MATCH(IF($B1249="Robusta","Robusta",(IF($B1249="","Arabica",$B1249))&amp;" - "&amp;(IF($C1249="","Commercial",$C1249))),Variables!$B$1:$D$1,0),1))*(AV1249/365))+(INDEX(Variables!$B$8:$D$8,IFERROR(MATCH(IF($B1249="Robusta","Robusta",(IF($B1249="","Arabica",$B1249))&amp;" - "&amp;(IF($C1249="","Commercial",$C1249))),Variables!$B$1:$D$1,0),1))*L1249/16.67)),""))</f>
        <v>-32.204686758819065</v>
      </c>
      <c r="AX1249" s="9"/>
      <c r="AY1249" s="12"/>
      <c r="AZ1249" s="10"/>
      <c r="BA1249" s="9"/>
      <c r="BB1249" s="10"/>
      <c r="BC1249" s="9"/>
      <c r="BD1249" s="9"/>
      <c r="BE1249" s="9"/>
      <c r="BF1249" s="9"/>
    </row>
    <row r="1250" spans="1:58" x14ac:dyDescent="0.25">
      <c r="A1250" s="9" t="s">
        <v>84</v>
      </c>
      <c r="B1250" s="9" t="s">
        <v>85</v>
      </c>
      <c r="C1250" s="9" t="s">
        <v>1486</v>
      </c>
      <c r="D1250" s="10">
        <v>46049</v>
      </c>
      <c r="E1250" s="10">
        <v>46054</v>
      </c>
      <c r="F1250" s="10">
        <v>46081</v>
      </c>
      <c r="G1250" s="9">
        <v>3787178</v>
      </c>
      <c r="H1250" s="9" t="str">
        <f t="shared" si="117"/>
        <v>Open</v>
      </c>
      <c r="I1250" s="9" t="str">
        <f t="shared" si="118"/>
        <v>No sailing date and No shipping advice sent and No docs dispatch date</v>
      </c>
      <c r="J1250" s="9" t="s">
        <v>1487</v>
      </c>
      <c r="K1250" s="9"/>
      <c r="L1250" s="11">
        <v>20</v>
      </c>
      <c r="M1250" s="9" t="s">
        <v>2664</v>
      </c>
      <c r="N1250" s="9"/>
      <c r="O1250" s="9"/>
      <c r="P1250" s="9"/>
      <c r="Q1250" s="11">
        <v>128.55000000000001</v>
      </c>
      <c r="R1250" s="9" t="s">
        <v>90</v>
      </c>
      <c r="S1250" s="9"/>
      <c r="T1250" s="12">
        <f>IF($H1250="Cancelled","",IFERROR(((Q1250+INDEX(Variables!$B$6:$D$6,IFERROR(MATCH(IF($B1250="Robusta","Robusta",(IF($B1250="","Arabica",$B1250))&amp;" - "&amp;(IF($C1250="","Commercial",$C1250))),Variables!$B$1:$D$1,0),1)))*22.0462)*(L1250/16.67),""))</f>
        <v>11091.870389922015</v>
      </c>
      <c r="U1250" s="10"/>
      <c r="V1250" s="9" t="str">
        <f t="shared" si="120"/>
        <v/>
      </c>
      <c r="W1250" s="10"/>
      <c r="X1250" s="9" t="str">
        <f t="shared" si="121"/>
        <v/>
      </c>
      <c r="Y1250" s="10"/>
      <c r="Z1250" s="10">
        <f>IF($H1250="Cancelled","",IFERROR(IF(F1250="","",F1250-Variables!$B$13),""))</f>
        <v>46066</v>
      </c>
      <c r="AA1250" s="11" t="str">
        <f>IF($H1250="Cancelled","",IFERROR(IF(W1250="","",(AVERAGE(E1250:F1250)-W1250)-Variables!$B$14),""))</f>
        <v/>
      </c>
      <c r="AB1250" s="10"/>
      <c r="AC1250" s="11" t="str">
        <f>IF($H1250="Cancelled","",IFERROR(IF(AB1250="","",IF(AND(W1250="",Y1250=""),"",IF(Y1250&gt;W1250,Y1250+Variables!$B$15+Variables!$B$16+Variables!$B$17-AB1250,W1250+Variables!$B$16+Variables!$B$17-AB1250))),""))</f>
        <v/>
      </c>
      <c r="AD1250" s="9"/>
      <c r="AE1250" s="9"/>
      <c r="AF1250" s="10"/>
      <c r="AG1250" s="10"/>
      <c r="AH1250" s="9"/>
      <c r="AI1250" s="9"/>
      <c r="AJ1250" s="9"/>
      <c r="AK1250" s="10"/>
      <c r="AL1250" s="10"/>
      <c r="AM1250" s="10"/>
      <c r="AN1250" s="9" t="s">
        <v>1188</v>
      </c>
      <c r="AO1250" s="9"/>
      <c r="AP1250" s="11" t="str">
        <f>IF($H1250="Cancelled","",IFERROR(IF(OR(AK1250="",AB1250=""),"",(AB1250+Variables!$B$18-AK1250)),""))</f>
        <v/>
      </c>
      <c r="AQ1250" s="11" t="str">
        <f>IF($H1250="Cancelled","",IFERROR(IF(OR(AM1250="",AK1250=""),"",(AK1250+Variables!$B$19)-AM1250),""))</f>
        <v/>
      </c>
      <c r="AR1250" s="12" t="str">
        <f>IF($H1250="Cancelled","",IFERROR(T1250*INDEX(Variables!$B$7:$D$7,IFERROR(MATCH(IF($B1250="Robusta","Robusta",(IF($B1250="","Arabica",$B1250))&amp;" - "&amp;(IF($C1250="","Commercial",$C1250))),Variables!$B$1:$D$1,0),1))*(AQ1250/365),""))</f>
        <v/>
      </c>
      <c r="AS1250" s="12" t="str">
        <f>IF($H1250="Cancelled","",IFERROR((T1250*INDEX(Variables!$B$7:$D$7,IFERROR(MATCH(IF($B1250="Robusta","Robusta",(IF($B1250="","Arabica",$B1250))&amp;" - "&amp;(IF($C1250="","Commercial",$C1250))),Variables!$B$1:$D$1,0),1))*IFERROR(IF(W1250="","",(AVERAGE(E1250:F1250)-W1250)-Variables!$B$14),"")/365)+(L1250/16.67*INDEX(Variables!$B$8:$D$8,IFERROR(MATCH(IF($B1250="Robusta","Robusta",(IF($B1250="","Arabica",$B1250))&amp;" - "&amp;(IF($C1250="","Commercial",$C1250))),Variables!$B$1:$D$1,0),1))*IFERROR(IF(W1250="","",(AVERAGE(E1250:F1250)-W1250)-Variables!$B$14),""))+(T1250*INDEX(Variables!$B$9:$D$9,IFERROR(MATCH(IF($B1250="Robusta","Robusta",(IF($B1250="","Arabica",$B1250))&amp;" - "&amp;(IF($C1250="","Commercial",$C1250))),Variables!$B$1:$D$1,0),1))*IFERROR(IF(W1250="","",(AVERAGE(E1250:F1250)-W1250)-Variables!$B$14),"")/365),""))</f>
        <v/>
      </c>
      <c r="AT1250" s="12" t="str">
        <f>IF($H1250="Cancelled","",IFERROR((T1250*INDEX(Variables!$B$7:$D$7,IFERROR(MATCH(IF($B1250="Robusta","Robusta",(IF($B1250="","Arabica",$B1250))&amp;" - "&amp;(IF($C1250="","Commercial",$C1250))),Variables!$B$1:$D$1,0),1))*AC1250/365)+(L1250/16.67*INDEX(Variables!$B$8:$D$8,IFERROR(MATCH(IF($B1250="Robusta","Robusta",(IF($B1250="","Arabica",$B1250))&amp;" - "&amp;(IF($C1250="","Commercial",$C1250))),Variables!$B$1:$D$1,0),1))*AC1250)+(T1250*INDEX(Variables!$B$9:$D$9,IFERROR(MATCH(IF($B1250="Robusta","Robusta",(IF($B1250="","Arabica",$B1250))&amp;" - "&amp;(IF($C1250="","Commercial",$C1250))),Variables!$B$1:$D$1,0),1))*AC1250/365),""))</f>
        <v/>
      </c>
      <c r="AU1250" s="12" t="str">
        <f>IF($H1250="Cancelled","",IFERROR((T1250*INDEX(Variables!$B$7:$D$7,IFERROR(MATCH(IF($B1250="Robusta","Robusta",(IF($B1250="","Arabica",$B1250))&amp;" - "&amp;(IF($C1250="","Commercial",$C1250))),Variables!$B$1:$D$1,0),1))*AP1250/365)+(L1250/16.67*INDEX(Variables!$B$8:$D$8,IFERROR(MATCH(IF($B1250="Robusta","Robusta",(IF($B1250="","Arabica",$B1250))&amp;" - "&amp;(IF($C1250="","Commercial",$C1250))),Variables!$B$1:$D$1,0),1))*AP1250)+(T1250*INDEX(Variables!$B$9:$D$9,IFERROR(MATCH(IF($B1250="Robusta","Robusta",(IF($B1250="","Arabica",$B1250))&amp;" - "&amp;(IF($C1250="","Commercial",$C1250))),Variables!$B$1:$D$1,0),1))*AP1250/365),""))</f>
        <v/>
      </c>
      <c r="AV1250" s="11" t="str">
        <f t="shared" si="119"/>
        <v/>
      </c>
      <c r="AW1250" s="12" t="str">
        <f>IF($H1250="Cancelled","",IFERROR(IF(AV1250="","",(T1250*INDEX(Variables!$B$7:$D$7,IFERROR(MATCH(IF($B1250="Robusta","Robusta",(IF($B1250="","Arabica",$B1250))&amp;" - "&amp;(IF($C1250="","Commercial",$C1250))),Variables!$B$1:$D$1,0),1))*(AV1250/365))+(T1250*INDEX(Variables!$B$9:$D$9,IFERROR(MATCH(IF($B1250="Robusta","Robusta",(IF($B1250="","Arabica",$B1250))&amp;" - "&amp;(IF($C1250="","Commercial",$C1250))),Variables!$B$1:$D$1,0),1))*(AV1250/365))+(INDEX(Variables!$B$8:$D$8,IFERROR(MATCH(IF($B1250="Robusta","Robusta",(IF($B1250="","Arabica",$B1250))&amp;" - "&amp;(IF($C1250="","Commercial",$C1250))),Variables!$B$1:$D$1,0),1))*L1250/16.67)),""))</f>
        <v/>
      </c>
      <c r="AX1250" s="9"/>
      <c r="AY1250" s="12"/>
      <c r="AZ1250" s="10"/>
      <c r="BA1250" s="9"/>
      <c r="BB1250" s="10"/>
      <c r="BC1250" s="9"/>
      <c r="BD1250" s="9"/>
      <c r="BE1250" s="9"/>
      <c r="BF1250" s="9"/>
    </row>
    <row r="1251" spans="1:58" x14ac:dyDescent="0.25">
      <c r="A1251" s="9" t="s">
        <v>84</v>
      </c>
      <c r="B1251" s="9" t="s">
        <v>85</v>
      </c>
      <c r="C1251" s="9" t="s">
        <v>1486</v>
      </c>
      <c r="D1251" s="10">
        <v>46049</v>
      </c>
      <c r="E1251" s="10">
        <v>46054</v>
      </c>
      <c r="F1251" s="10">
        <v>46081</v>
      </c>
      <c r="G1251" s="9">
        <v>3787168</v>
      </c>
      <c r="H1251" s="9" t="str">
        <f t="shared" si="117"/>
        <v>Cancelled</v>
      </c>
      <c r="I1251" s="9" t="str">
        <f t="shared" si="118"/>
        <v>No sailing date and No shipping advice sent and No docs dispatch date</v>
      </c>
      <c r="J1251" s="9" t="s">
        <v>1487</v>
      </c>
      <c r="K1251" s="9"/>
      <c r="L1251" s="11">
        <v>50</v>
      </c>
      <c r="M1251" s="9" t="s">
        <v>2665</v>
      </c>
      <c r="N1251" s="9"/>
      <c r="O1251" s="9"/>
      <c r="P1251" s="9"/>
      <c r="Q1251" s="11">
        <v>113</v>
      </c>
      <c r="R1251" s="9" t="s">
        <v>90</v>
      </c>
      <c r="S1251" s="9"/>
      <c r="T1251" s="12" t="str">
        <f>IF($H1251="Cancelled","",IFERROR(((Q1251+INDEX(Variables!$B$6:$D$6,IFERROR(MATCH(IF($B1251="Robusta","Robusta",(IF($B1251="","Arabica",$B1251))&amp;" - "&amp;(IF($C1251="","Commercial",$C1251))),Variables!$B$1:$D$1,0),1)))*22.0462)*(L1251/16.67),""))</f>
        <v/>
      </c>
      <c r="U1251" s="10"/>
      <c r="V1251" s="9" t="str">
        <f t="shared" si="120"/>
        <v/>
      </c>
      <c r="W1251" s="10"/>
      <c r="X1251" s="9" t="str">
        <f t="shared" si="121"/>
        <v/>
      </c>
      <c r="Y1251" s="10"/>
      <c r="Z1251" s="10" t="str">
        <f>IF($H1251="Cancelled","",IFERROR(IF(F1251="","",F1251-Variables!$B$13),""))</f>
        <v/>
      </c>
      <c r="AA1251" s="11" t="str">
        <f>IF($H1251="Cancelled","",IFERROR(IF(W1251="","",(AVERAGE(E1251:F1251)-W1251)-Variables!$B$14),""))</f>
        <v/>
      </c>
      <c r="AB1251" s="10"/>
      <c r="AC1251" s="11" t="str">
        <f>IF($H1251="Cancelled","",IFERROR(IF(AB1251="","",IF(AND(W1251="",Y1251=""),"",IF(Y1251&gt;W1251,Y1251+Variables!$B$15+Variables!$B$16+Variables!$B$17-AB1251,W1251+Variables!$B$16+Variables!$B$17-AB1251))),""))</f>
        <v/>
      </c>
      <c r="AD1251" s="9"/>
      <c r="AE1251" s="9"/>
      <c r="AF1251" s="10"/>
      <c r="AG1251" s="10"/>
      <c r="AH1251" s="9"/>
      <c r="AI1251" s="9"/>
      <c r="AJ1251" s="9"/>
      <c r="AK1251" s="10"/>
      <c r="AL1251" s="10"/>
      <c r="AM1251" s="10"/>
      <c r="AN1251" s="9" t="s">
        <v>2032</v>
      </c>
      <c r="AO1251" s="9"/>
      <c r="AP1251" s="11" t="str">
        <f>IF($H1251="Cancelled","",IFERROR(IF(OR(AK1251="",AB1251=""),"",(AB1251+Variables!$B$18-AK1251)),""))</f>
        <v/>
      </c>
      <c r="AQ1251" s="11" t="str">
        <f>IF($H1251="Cancelled","",IFERROR(IF(OR(AM1251="",AK1251=""),"",(AK1251+Variables!$B$19)-AM1251),""))</f>
        <v/>
      </c>
      <c r="AR1251" s="12" t="str">
        <f>IF($H1251="Cancelled","",IFERROR(T1251*INDEX(Variables!$B$7:$D$7,IFERROR(MATCH(IF($B1251="Robusta","Robusta",(IF($B1251="","Arabica",$B1251))&amp;" - "&amp;(IF($C1251="","Commercial",$C1251))),Variables!$B$1:$D$1,0),1))*(AQ1251/365),""))</f>
        <v/>
      </c>
      <c r="AS1251" s="12" t="str">
        <f>IF($H1251="Cancelled","",IFERROR((T1251*INDEX(Variables!$B$7:$D$7,IFERROR(MATCH(IF($B1251="Robusta","Robusta",(IF($B1251="","Arabica",$B1251))&amp;" - "&amp;(IF($C1251="","Commercial",$C1251))),Variables!$B$1:$D$1,0),1))*IFERROR(IF(W1251="","",(AVERAGE(E1251:F1251)-W1251)-Variables!$B$14),"")/365)+(L1251/16.67*INDEX(Variables!$B$8:$D$8,IFERROR(MATCH(IF($B1251="Robusta","Robusta",(IF($B1251="","Arabica",$B1251))&amp;" - "&amp;(IF($C1251="","Commercial",$C1251))),Variables!$B$1:$D$1,0),1))*IFERROR(IF(W1251="","",(AVERAGE(E1251:F1251)-W1251)-Variables!$B$14),""))+(T1251*INDEX(Variables!$B$9:$D$9,IFERROR(MATCH(IF($B1251="Robusta","Robusta",(IF($B1251="","Arabica",$B1251))&amp;" - "&amp;(IF($C1251="","Commercial",$C1251))),Variables!$B$1:$D$1,0),1))*IFERROR(IF(W1251="","",(AVERAGE(E1251:F1251)-W1251)-Variables!$B$14),"")/365),""))</f>
        <v/>
      </c>
      <c r="AT1251" s="12" t="str">
        <f>IF($H1251="Cancelled","",IFERROR((T1251*INDEX(Variables!$B$7:$D$7,IFERROR(MATCH(IF($B1251="Robusta","Robusta",(IF($B1251="","Arabica",$B1251))&amp;" - "&amp;(IF($C1251="","Commercial",$C1251))),Variables!$B$1:$D$1,0),1))*AC1251/365)+(L1251/16.67*INDEX(Variables!$B$8:$D$8,IFERROR(MATCH(IF($B1251="Robusta","Robusta",(IF($B1251="","Arabica",$B1251))&amp;" - "&amp;(IF($C1251="","Commercial",$C1251))),Variables!$B$1:$D$1,0),1))*AC1251)+(T1251*INDEX(Variables!$B$9:$D$9,IFERROR(MATCH(IF($B1251="Robusta","Robusta",(IF($B1251="","Arabica",$B1251))&amp;" - "&amp;(IF($C1251="","Commercial",$C1251))),Variables!$B$1:$D$1,0),1))*AC1251/365),""))</f>
        <v/>
      </c>
      <c r="AU1251" s="12" t="str">
        <f>IF($H1251="Cancelled","",IFERROR((T1251*INDEX(Variables!$B$7:$D$7,IFERROR(MATCH(IF($B1251="Robusta","Robusta",(IF($B1251="","Arabica",$B1251))&amp;" - "&amp;(IF($C1251="","Commercial",$C1251))),Variables!$B$1:$D$1,0),1))*AP1251/365)+(L1251/16.67*INDEX(Variables!$B$8:$D$8,IFERROR(MATCH(IF($B1251="Robusta","Robusta",(IF($B1251="","Arabica",$B1251))&amp;" - "&amp;(IF($C1251="","Commercial",$C1251))),Variables!$B$1:$D$1,0),1))*AP1251)+(T1251*INDEX(Variables!$B$9:$D$9,IFERROR(MATCH(IF($B1251="Robusta","Robusta",(IF($B1251="","Arabica",$B1251))&amp;" - "&amp;(IF($C1251="","Commercial",$C1251))),Variables!$B$1:$D$1,0),1))*AP1251/365),""))</f>
        <v/>
      </c>
      <c r="AV1251" s="11" t="str">
        <f t="shared" si="119"/>
        <v/>
      </c>
      <c r="AW1251" s="12" t="str">
        <f>IF($H1251="Cancelled","",IFERROR(IF(AV1251="","",(T1251*INDEX(Variables!$B$7:$D$7,IFERROR(MATCH(IF($B1251="Robusta","Robusta",(IF($B1251="","Arabica",$B1251))&amp;" - "&amp;(IF($C1251="","Commercial",$C1251))),Variables!$B$1:$D$1,0),1))*(AV1251/365))+(T1251*INDEX(Variables!$B$9:$D$9,IFERROR(MATCH(IF($B1251="Robusta","Robusta",(IF($B1251="","Arabica",$B1251))&amp;" - "&amp;(IF($C1251="","Commercial",$C1251))),Variables!$B$1:$D$1,0),1))*(AV1251/365))+(INDEX(Variables!$B$8:$D$8,IFERROR(MATCH(IF($B1251="Robusta","Robusta",(IF($B1251="","Arabica",$B1251))&amp;" - "&amp;(IF($C1251="","Commercial",$C1251))),Variables!$B$1:$D$1,0),1))*L1251/16.67)),""))</f>
        <v/>
      </c>
      <c r="AX1251" s="9"/>
      <c r="AY1251" s="12"/>
      <c r="AZ1251" s="10"/>
      <c r="BA1251" s="9"/>
      <c r="BB1251" s="10"/>
      <c r="BC1251" s="9"/>
      <c r="BD1251" s="9"/>
      <c r="BE1251" s="9"/>
      <c r="BF1251" s="9"/>
    </row>
    <row r="1252" spans="1:58" x14ac:dyDescent="0.25">
      <c r="A1252" s="9" t="s">
        <v>84</v>
      </c>
      <c r="B1252" s="9" t="s">
        <v>85</v>
      </c>
      <c r="C1252" s="9" t="s">
        <v>1486</v>
      </c>
      <c r="D1252" s="10">
        <v>46049</v>
      </c>
      <c r="E1252" s="10">
        <v>46054</v>
      </c>
      <c r="F1252" s="10">
        <v>46081</v>
      </c>
      <c r="G1252" s="9">
        <v>3787167</v>
      </c>
      <c r="H1252" s="9" t="str">
        <f t="shared" si="117"/>
        <v>Cancelled</v>
      </c>
      <c r="I1252" s="9" t="str">
        <f t="shared" si="118"/>
        <v>No sailing date and No shipping advice sent and No docs dispatch date</v>
      </c>
      <c r="J1252" s="9" t="s">
        <v>1487</v>
      </c>
      <c r="K1252" s="9"/>
      <c r="L1252" s="11">
        <v>50</v>
      </c>
      <c r="M1252" s="9" t="s">
        <v>2666</v>
      </c>
      <c r="N1252" s="9"/>
      <c r="O1252" s="9"/>
      <c r="P1252" s="9"/>
      <c r="Q1252" s="11">
        <v>105</v>
      </c>
      <c r="R1252" s="9" t="s">
        <v>90</v>
      </c>
      <c r="S1252" s="9"/>
      <c r="T1252" s="12" t="str">
        <f>IF($H1252="Cancelled","",IFERROR(((Q1252+INDEX(Variables!$B$6:$D$6,IFERROR(MATCH(IF($B1252="Robusta","Robusta",(IF($B1252="","Arabica",$B1252))&amp;" - "&amp;(IF($C1252="","Commercial",$C1252))),Variables!$B$1:$D$1,0),1)))*22.0462)*(L1252/16.67),""))</f>
        <v/>
      </c>
      <c r="U1252" s="10"/>
      <c r="V1252" s="9" t="str">
        <f t="shared" si="120"/>
        <v/>
      </c>
      <c r="W1252" s="10"/>
      <c r="X1252" s="9" t="str">
        <f t="shared" si="121"/>
        <v/>
      </c>
      <c r="Y1252" s="10"/>
      <c r="Z1252" s="10" t="str">
        <f>IF($H1252="Cancelled","",IFERROR(IF(F1252="","",F1252-Variables!$B$13),""))</f>
        <v/>
      </c>
      <c r="AA1252" s="11" t="str">
        <f>IF($H1252="Cancelled","",IFERROR(IF(W1252="","",(AVERAGE(E1252:F1252)-W1252)-Variables!$B$14),""))</f>
        <v/>
      </c>
      <c r="AB1252" s="10"/>
      <c r="AC1252" s="11" t="str">
        <f>IF($H1252="Cancelled","",IFERROR(IF(AB1252="","",IF(AND(W1252="",Y1252=""),"",IF(Y1252&gt;W1252,Y1252+Variables!$B$15+Variables!$B$16+Variables!$B$17-AB1252,W1252+Variables!$B$16+Variables!$B$17-AB1252))),""))</f>
        <v/>
      </c>
      <c r="AD1252" s="9"/>
      <c r="AE1252" s="9"/>
      <c r="AF1252" s="10"/>
      <c r="AG1252" s="10"/>
      <c r="AH1252" s="9"/>
      <c r="AI1252" s="9"/>
      <c r="AJ1252" s="9"/>
      <c r="AK1252" s="10"/>
      <c r="AL1252" s="10"/>
      <c r="AM1252" s="10"/>
      <c r="AN1252" s="9" t="s">
        <v>2032</v>
      </c>
      <c r="AO1252" s="9"/>
      <c r="AP1252" s="11" t="str">
        <f>IF($H1252="Cancelled","",IFERROR(IF(OR(AK1252="",AB1252=""),"",(AB1252+Variables!$B$18-AK1252)),""))</f>
        <v/>
      </c>
      <c r="AQ1252" s="11" t="str">
        <f>IF($H1252="Cancelled","",IFERROR(IF(OR(AM1252="",AK1252=""),"",(AK1252+Variables!$B$19)-AM1252),""))</f>
        <v/>
      </c>
      <c r="AR1252" s="12" t="str">
        <f>IF($H1252="Cancelled","",IFERROR(T1252*INDEX(Variables!$B$7:$D$7,IFERROR(MATCH(IF($B1252="Robusta","Robusta",(IF($B1252="","Arabica",$B1252))&amp;" - "&amp;(IF($C1252="","Commercial",$C1252))),Variables!$B$1:$D$1,0),1))*(AQ1252/365),""))</f>
        <v/>
      </c>
      <c r="AS1252" s="12" t="str">
        <f>IF($H1252="Cancelled","",IFERROR((T1252*INDEX(Variables!$B$7:$D$7,IFERROR(MATCH(IF($B1252="Robusta","Robusta",(IF($B1252="","Arabica",$B1252))&amp;" - "&amp;(IF($C1252="","Commercial",$C1252))),Variables!$B$1:$D$1,0),1))*IFERROR(IF(W1252="","",(AVERAGE(E1252:F1252)-W1252)-Variables!$B$14),"")/365)+(L1252/16.67*INDEX(Variables!$B$8:$D$8,IFERROR(MATCH(IF($B1252="Robusta","Robusta",(IF($B1252="","Arabica",$B1252))&amp;" - "&amp;(IF($C1252="","Commercial",$C1252))),Variables!$B$1:$D$1,0),1))*IFERROR(IF(W1252="","",(AVERAGE(E1252:F1252)-W1252)-Variables!$B$14),""))+(T1252*INDEX(Variables!$B$9:$D$9,IFERROR(MATCH(IF($B1252="Robusta","Robusta",(IF($B1252="","Arabica",$B1252))&amp;" - "&amp;(IF($C1252="","Commercial",$C1252))),Variables!$B$1:$D$1,0),1))*IFERROR(IF(W1252="","",(AVERAGE(E1252:F1252)-W1252)-Variables!$B$14),"")/365),""))</f>
        <v/>
      </c>
      <c r="AT1252" s="12" t="str">
        <f>IF($H1252="Cancelled","",IFERROR((T1252*INDEX(Variables!$B$7:$D$7,IFERROR(MATCH(IF($B1252="Robusta","Robusta",(IF($B1252="","Arabica",$B1252))&amp;" - "&amp;(IF($C1252="","Commercial",$C1252))),Variables!$B$1:$D$1,0),1))*AC1252/365)+(L1252/16.67*INDEX(Variables!$B$8:$D$8,IFERROR(MATCH(IF($B1252="Robusta","Robusta",(IF($B1252="","Arabica",$B1252))&amp;" - "&amp;(IF($C1252="","Commercial",$C1252))),Variables!$B$1:$D$1,0),1))*AC1252)+(T1252*INDEX(Variables!$B$9:$D$9,IFERROR(MATCH(IF($B1252="Robusta","Robusta",(IF($B1252="","Arabica",$B1252))&amp;" - "&amp;(IF($C1252="","Commercial",$C1252))),Variables!$B$1:$D$1,0),1))*AC1252/365),""))</f>
        <v/>
      </c>
      <c r="AU1252" s="12" t="str">
        <f>IF($H1252="Cancelled","",IFERROR((T1252*INDEX(Variables!$B$7:$D$7,IFERROR(MATCH(IF($B1252="Robusta","Robusta",(IF($B1252="","Arabica",$B1252))&amp;" - "&amp;(IF($C1252="","Commercial",$C1252))),Variables!$B$1:$D$1,0),1))*AP1252/365)+(L1252/16.67*INDEX(Variables!$B$8:$D$8,IFERROR(MATCH(IF($B1252="Robusta","Robusta",(IF($B1252="","Arabica",$B1252))&amp;" - "&amp;(IF($C1252="","Commercial",$C1252))),Variables!$B$1:$D$1,0),1))*AP1252)+(T1252*INDEX(Variables!$B$9:$D$9,IFERROR(MATCH(IF($B1252="Robusta","Robusta",(IF($B1252="","Arabica",$B1252))&amp;" - "&amp;(IF($C1252="","Commercial",$C1252))),Variables!$B$1:$D$1,0),1))*AP1252/365),""))</f>
        <v/>
      </c>
      <c r="AV1252" s="11" t="str">
        <f t="shared" si="119"/>
        <v/>
      </c>
      <c r="AW1252" s="12" t="str">
        <f>IF($H1252="Cancelled","",IFERROR(IF(AV1252="","",(T1252*INDEX(Variables!$B$7:$D$7,IFERROR(MATCH(IF($B1252="Robusta","Robusta",(IF($B1252="","Arabica",$B1252))&amp;" - "&amp;(IF($C1252="","Commercial",$C1252))),Variables!$B$1:$D$1,0),1))*(AV1252/365))+(T1252*INDEX(Variables!$B$9:$D$9,IFERROR(MATCH(IF($B1252="Robusta","Robusta",(IF($B1252="","Arabica",$B1252))&amp;" - "&amp;(IF($C1252="","Commercial",$C1252))),Variables!$B$1:$D$1,0),1))*(AV1252/365))+(INDEX(Variables!$B$8:$D$8,IFERROR(MATCH(IF($B1252="Robusta","Robusta",(IF($B1252="","Arabica",$B1252))&amp;" - "&amp;(IF($C1252="","Commercial",$C1252))),Variables!$B$1:$D$1,0),1))*L1252/16.67)),""))</f>
        <v/>
      </c>
      <c r="AX1252" s="9"/>
      <c r="AY1252" s="12"/>
      <c r="AZ1252" s="10"/>
      <c r="BA1252" s="9"/>
      <c r="BB1252" s="10"/>
      <c r="BC1252" s="9"/>
      <c r="BD1252" s="9"/>
      <c r="BE1252" s="9"/>
      <c r="BF1252" s="9"/>
    </row>
    <row r="1253" spans="1:58" x14ac:dyDescent="0.25">
      <c r="A1253" s="9" t="s">
        <v>84</v>
      </c>
      <c r="B1253" s="9" t="s">
        <v>85</v>
      </c>
      <c r="C1253" s="9" t="s">
        <v>1486</v>
      </c>
      <c r="D1253" s="10">
        <v>46076</v>
      </c>
      <c r="E1253" s="10">
        <v>46076</v>
      </c>
      <c r="F1253" s="10">
        <v>46081</v>
      </c>
      <c r="G1253" s="9">
        <v>3787339</v>
      </c>
      <c r="H1253" s="9" t="str">
        <f t="shared" si="117"/>
        <v>Open</v>
      </c>
      <c r="I1253" s="9" t="str">
        <f t="shared" si="118"/>
        <v>No sailing date and No shipping advice sent and No docs dispatch date</v>
      </c>
      <c r="J1253" s="9" t="s">
        <v>1737</v>
      </c>
      <c r="K1253" s="9"/>
      <c r="L1253" s="11">
        <v>37</v>
      </c>
      <c r="M1253" s="9" t="s">
        <v>2667</v>
      </c>
      <c r="N1253" s="9"/>
      <c r="O1253" s="9"/>
      <c r="P1253" s="9"/>
      <c r="Q1253" s="11">
        <v>234.85</v>
      </c>
      <c r="R1253" s="9" t="s">
        <v>195</v>
      </c>
      <c r="S1253" s="9"/>
      <c r="T1253" s="12">
        <f>IF($H1253="Cancelled","",IFERROR(((Q1253+INDEX(Variables!$B$6:$D$6,IFERROR(MATCH(IF($B1253="Robusta","Robusta",(IF($B1253="","Arabica",$B1253))&amp;" - "&amp;(IF($C1253="","Commercial",$C1253))),Variables!$B$1:$D$1,0),1)))*22.0462)*(L1253/16.67),""))</f>
        <v>25721.514463707252</v>
      </c>
      <c r="U1253" s="10"/>
      <c r="V1253" s="9" t="str">
        <f t="shared" ref="V1253:V1284" si="122">IF(ISNUMBER(U1253),"Sent","")</f>
        <v/>
      </c>
      <c r="W1253" s="10"/>
      <c r="X1253" s="9" t="str">
        <f t="shared" ref="X1253:X1284" si="123">IF(ISNUMBER(W1253),"Approved","")</f>
        <v/>
      </c>
      <c r="Y1253" s="10"/>
      <c r="Z1253" s="10">
        <f>IF($H1253="Cancelled","",IFERROR(IF(F1253="","",F1253-Variables!$B$13),""))</f>
        <v>46066</v>
      </c>
      <c r="AA1253" s="11" t="str">
        <f>IF($H1253="Cancelled","",IFERROR(IF(W1253="","",(AVERAGE(E1253:F1253)-W1253)-Variables!$B$14),""))</f>
        <v/>
      </c>
      <c r="AB1253" s="10"/>
      <c r="AC1253" s="11" t="str">
        <f>IF($H1253="Cancelled","",IFERROR(IF(AB1253="","",IF(AND(W1253="",Y1253=""),"",IF(Y1253&gt;W1253,Y1253+Variables!$B$15+Variables!$B$16+Variables!$B$17-AB1253,W1253+Variables!$B$16+Variables!$B$17-AB1253))),""))</f>
        <v/>
      </c>
      <c r="AD1253" s="9"/>
      <c r="AE1253" s="9"/>
      <c r="AF1253" s="10"/>
      <c r="AG1253" s="10"/>
      <c r="AH1253" s="9"/>
      <c r="AI1253" s="9"/>
      <c r="AJ1253" s="9"/>
      <c r="AK1253" s="10"/>
      <c r="AL1253" s="10"/>
      <c r="AM1253" s="10"/>
      <c r="AN1253" s="9" t="s">
        <v>1188</v>
      </c>
      <c r="AO1253" s="9"/>
      <c r="AP1253" s="11" t="str">
        <f>IF($H1253="Cancelled","",IFERROR(IF(OR(AK1253="",AB1253=""),"",(AB1253+Variables!$B$18-AK1253)),""))</f>
        <v/>
      </c>
      <c r="AQ1253" s="11" t="str">
        <f>IF($H1253="Cancelled","",IFERROR(IF(OR(AM1253="",AK1253=""),"",(AK1253+Variables!$B$19)-AM1253),""))</f>
        <v/>
      </c>
      <c r="AR1253" s="12" t="str">
        <f>IF($H1253="Cancelled","",IFERROR(T1253*INDEX(Variables!$B$7:$D$7,IFERROR(MATCH(IF($B1253="Robusta","Robusta",(IF($B1253="","Arabica",$B1253))&amp;" - "&amp;(IF($C1253="","Commercial",$C1253))),Variables!$B$1:$D$1,0),1))*(AQ1253/365),""))</f>
        <v/>
      </c>
      <c r="AS1253" s="12" t="str">
        <f>IF($H1253="Cancelled","",IFERROR((T1253*INDEX(Variables!$B$7:$D$7,IFERROR(MATCH(IF($B1253="Robusta","Robusta",(IF($B1253="","Arabica",$B1253))&amp;" - "&amp;(IF($C1253="","Commercial",$C1253))),Variables!$B$1:$D$1,0),1))*IFERROR(IF(W1253="","",(AVERAGE(E1253:F1253)-W1253)-Variables!$B$14),"")/365)+(L1253/16.67*INDEX(Variables!$B$8:$D$8,IFERROR(MATCH(IF($B1253="Robusta","Robusta",(IF($B1253="","Arabica",$B1253))&amp;" - "&amp;(IF($C1253="","Commercial",$C1253))),Variables!$B$1:$D$1,0),1))*IFERROR(IF(W1253="","",(AVERAGE(E1253:F1253)-W1253)-Variables!$B$14),""))+(T1253*INDEX(Variables!$B$9:$D$9,IFERROR(MATCH(IF($B1253="Robusta","Robusta",(IF($B1253="","Arabica",$B1253))&amp;" - "&amp;(IF($C1253="","Commercial",$C1253))),Variables!$B$1:$D$1,0),1))*IFERROR(IF(W1253="","",(AVERAGE(E1253:F1253)-W1253)-Variables!$B$14),"")/365),""))</f>
        <v/>
      </c>
      <c r="AT1253" s="12" t="str">
        <f>IF($H1253="Cancelled","",IFERROR((T1253*INDEX(Variables!$B$7:$D$7,IFERROR(MATCH(IF($B1253="Robusta","Robusta",(IF($B1253="","Arabica",$B1253))&amp;" - "&amp;(IF($C1253="","Commercial",$C1253))),Variables!$B$1:$D$1,0),1))*AC1253/365)+(L1253/16.67*INDEX(Variables!$B$8:$D$8,IFERROR(MATCH(IF($B1253="Robusta","Robusta",(IF($B1253="","Arabica",$B1253))&amp;" - "&amp;(IF($C1253="","Commercial",$C1253))),Variables!$B$1:$D$1,0),1))*AC1253)+(T1253*INDEX(Variables!$B$9:$D$9,IFERROR(MATCH(IF($B1253="Robusta","Robusta",(IF($B1253="","Arabica",$B1253))&amp;" - "&amp;(IF($C1253="","Commercial",$C1253))),Variables!$B$1:$D$1,0),1))*AC1253/365),""))</f>
        <v/>
      </c>
      <c r="AU1253" s="12" t="str">
        <f>IF($H1253="Cancelled","",IFERROR((T1253*INDEX(Variables!$B$7:$D$7,IFERROR(MATCH(IF($B1253="Robusta","Robusta",(IF($B1253="","Arabica",$B1253))&amp;" - "&amp;(IF($C1253="","Commercial",$C1253))),Variables!$B$1:$D$1,0),1))*AP1253/365)+(L1253/16.67*INDEX(Variables!$B$8:$D$8,IFERROR(MATCH(IF($B1253="Robusta","Robusta",(IF($B1253="","Arabica",$B1253))&amp;" - "&amp;(IF($C1253="","Commercial",$C1253))),Variables!$B$1:$D$1,0),1))*AP1253)+(T1253*INDEX(Variables!$B$9:$D$9,IFERROR(MATCH(IF($B1253="Robusta","Robusta",(IF($B1253="","Arabica",$B1253))&amp;" - "&amp;(IF($C1253="","Commercial",$C1253))),Variables!$B$1:$D$1,0),1))*AP1253/365),""))</f>
        <v/>
      </c>
      <c r="AV1253" s="11" t="str">
        <f t="shared" si="119"/>
        <v/>
      </c>
      <c r="AW1253" s="12" t="str">
        <f>IF($H1253="Cancelled","",IFERROR(IF(AV1253="","",(T1253*INDEX(Variables!$B$7:$D$7,IFERROR(MATCH(IF($B1253="Robusta","Robusta",(IF($B1253="","Arabica",$B1253))&amp;" - "&amp;(IF($C1253="","Commercial",$C1253))),Variables!$B$1:$D$1,0),1))*(AV1253/365))+(T1253*INDEX(Variables!$B$9:$D$9,IFERROR(MATCH(IF($B1253="Robusta","Robusta",(IF($B1253="","Arabica",$B1253))&amp;" - "&amp;(IF($C1253="","Commercial",$C1253))),Variables!$B$1:$D$1,0),1))*(AV1253/365))+(INDEX(Variables!$B$8:$D$8,IFERROR(MATCH(IF($B1253="Robusta","Robusta",(IF($B1253="","Arabica",$B1253))&amp;" - "&amp;(IF($C1253="","Commercial",$C1253))),Variables!$B$1:$D$1,0),1))*L1253/16.67)),""))</f>
        <v/>
      </c>
      <c r="AX1253" s="9"/>
      <c r="AY1253" s="12"/>
      <c r="AZ1253" s="10"/>
      <c r="BA1253" s="9"/>
      <c r="BB1253" s="10"/>
      <c r="BC1253" s="9"/>
      <c r="BD1253" s="9"/>
      <c r="BE1253" s="9"/>
      <c r="BF1253" s="9"/>
    </row>
    <row r="1254" spans="1:58" x14ac:dyDescent="0.25">
      <c r="A1254" s="9" t="s">
        <v>84</v>
      </c>
      <c r="B1254" s="9" t="s">
        <v>85</v>
      </c>
      <c r="C1254" s="9" t="s">
        <v>1486</v>
      </c>
      <c r="D1254" s="10">
        <v>46076</v>
      </c>
      <c r="E1254" s="10">
        <v>46076</v>
      </c>
      <c r="F1254" s="10">
        <v>46081</v>
      </c>
      <c r="G1254" s="9">
        <v>3787338</v>
      </c>
      <c r="H1254" s="9" t="str">
        <f t="shared" si="117"/>
        <v>Open</v>
      </c>
      <c r="I1254" s="9" t="str">
        <f t="shared" si="118"/>
        <v>No sailing date and No shipping advice sent and No docs dispatch date</v>
      </c>
      <c r="J1254" s="9" t="s">
        <v>1737</v>
      </c>
      <c r="K1254" s="9"/>
      <c r="L1254" s="11">
        <v>30</v>
      </c>
      <c r="M1254" s="9" t="s">
        <v>2668</v>
      </c>
      <c r="N1254" s="9"/>
      <c r="O1254" s="9"/>
      <c r="P1254" s="9"/>
      <c r="Q1254" s="11">
        <v>194.85</v>
      </c>
      <c r="R1254" s="9" t="s">
        <v>195</v>
      </c>
      <c r="S1254" s="9"/>
      <c r="T1254" s="12">
        <f>IF($H1254="Cancelled","",IFERROR(((Q1254+INDEX(Variables!$B$6:$D$6,IFERROR(MATCH(IF($B1254="Robusta","Robusta",(IF($B1254="","Arabica",$B1254))&amp;" - "&amp;(IF($C1254="","Commercial",$C1254))),Variables!$B$1:$D$1,0),1)))*22.0462)*(L1254/16.67),""))</f>
        <v>19268.272999400117</v>
      </c>
      <c r="U1254" s="10"/>
      <c r="V1254" s="9" t="str">
        <f t="shared" si="122"/>
        <v/>
      </c>
      <c r="W1254" s="10"/>
      <c r="X1254" s="9" t="str">
        <f t="shared" si="123"/>
        <v/>
      </c>
      <c r="Y1254" s="10"/>
      <c r="Z1254" s="10">
        <f>IF($H1254="Cancelled","",IFERROR(IF(F1254="","",F1254-Variables!$B$13),""))</f>
        <v>46066</v>
      </c>
      <c r="AA1254" s="11" t="str">
        <f>IF($H1254="Cancelled","",IFERROR(IF(W1254="","",(AVERAGE(E1254:F1254)-W1254)-Variables!$B$14),""))</f>
        <v/>
      </c>
      <c r="AB1254" s="10"/>
      <c r="AC1254" s="11" t="str">
        <f>IF($H1254="Cancelled","",IFERROR(IF(AB1254="","",IF(AND(W1254="",Y1254=""),"",IF(Y1254&gt;W1254,Y1254+Variables!$B$15+Variables!$B$16+Variables!$B$17-AB1254,W1254+Variables!$B$16+Variables!$B$17-AB1254))),""))</f>
        <v/>
      </c>
      <c r="AD1254" s="9"/>
      <c r="AE1254" s="9"/>
      <c r="AF1254" s="10"/>
      <c r="AG1254" s="10"/>
      <c r="AH1254" s="9"/>
      <c r="AI1254" s="9"/>
      <c r="AJ1254" s="9"/>
      <c r="AK1254" s="10"/>
      <c r="AL1254" s="10"/>
      <c r="AM1254" s="10"/>
      <c r="AN1254" s="9" t="s">
        <v>1188</v>
      </c>
      <c r="AO1254" s="9"/>
      <c r="AP1254" s="11" t="str">
        <f>IF($H1254="Cancelled","",IFERROR(IF(OR(AK1254="",AB1254=""),"",(AB1254+Variables!$B$18-AK1254)),""))</f>
        <v/>
      </c>
      <c r="AQ1254" s="11" t="str">
        <f>IF($H1254="Cancelled","",IFERROR(IF(OR(AM1254="",AK1254=""),"",(AK1254+Variables!$B$19)-AM1254),""))</f>
        <v/>
      </c>
      <c r="AR1254" s="12" t="str">
        <f>IF($H1254="Cancelled","",IFERROR(T1254*INDEX(Variables!$B$7:$D$7,IFERROR(MATCH(IF($B1254="Robusta","Robusta",(IF($B1254="","Arabica",$B1254))&amp;" - "&amp;(IF($C1254="","Commercial",$C1254))),Variables!$B$1:$D$1,0),1))*(AQ1254/365),""))</f>
        <v/>
      </c>
      <c r="AS1254" s="12" t="str">
        <f>IF($H1254="Cancelled","",IFERROR((T1254*INDEX(Variables!$B$7:$D$7,IFERROR(MATCH(IF($B1254="Robusta","Robusta",(IF($B1254="","Arabica",$B1254))&amp;" - "&amp;(IF($C1254="","Commercial",$C1254))),Variables!$B$1:$D$1,0),1))*IFERROR(IF(W1254="","",(AVERAGE(E1254:F1254)-W1254)-Variables!$B$14),"")/365)+(L1254/16.67*INDEX(Variables!$B$8:$D$8,IFERROR(MATCH(IF($B1254="Robusta","Robusta",(IF($B1254="","Arabica",$B1254))&amp;" - "&amp;(IF($C1254="","Commercial",$C1254))),Variables!$B$1:$D$1,0),1))*IFERROR(IF(W1254="","",(AVERAGE(E1254:F1254)-W1254)-Variables!$B$14),""))+(T1254*INDEX(Variables!$B$9:$D$9,IFERROR(MATCH(IF($B1254="Robusta","Robusta",(IF($B1254="","Arabica",$B1254))&amp;" - "&amp;(IF($C1254="","Commercial",$C1254))),Variables!$B$1:$D$1,0),1))*IFERROR(IF(W1254="","",(AVERAGE(E1254:F1254)-W1254)-Variables!$B$14),"")/365),""))</f>
        <v/>
      </c>
      <c r="AT1254" s="12" t="str">
        <f>IF($H1254="Cancelled","",IFERROR((T1254*INDEX(Variables!$B$7:$D$7,IFERROR(MATCH(IF($B1254="Robusta","Robusta",(IF($B1254="","Arabica",$B1254))&amp;" - "&amp;(IF($C1254="","Commercial",$C1254))),Variables!$B$1:$D$1,0),1))*AC1254/365)+(L1254/16.67*INDEX(Variables!$B$8:$D$8,IFERROR(MATCH(IF($B1254="Robusta","Robusta",(IF($B1254="","Arabica",$B1254))&amp;" - "&amp;(IF($C1254="","Commercial",$C1254))),Variables!$B$1:$D$1,0),1))*AC1254)+(T1254*INDEX(Variables!$B$9:$D$9,IFERROR(MATCH(IF($B1254="Robusta","Robusta",(IF($B1254="","Arabica",$B1254))&amp;" - "&amp;(IF($C1254="","Commercial",$C1254))),Variables!$B$1:$D$1,0),1))*AC1254/365),""))</f>
        <v/>
      </c>
      <c r="AU1254" s="12" t="str">
        <f>IF($H1254="Cancelled","",IFERROR((T1254*INDEX(Variables!$B$7:$D$7,IFERROR(MATCH(IF($B1254="Robusta","Robusta",(IF($B1254="","Arabica",$B1254))&amp;" - "&amp;(IF($C1254="","Commercial",$C1254))),Variables!$B$1:$D$1,0),1))*AP1254/365)+(L1254/16.67*INDEX(Variables!$B$8:$D$8,IFERROR(MATCH(IF($B1254="Robusta","Robusta",(IF($B1254="","Arabica",$B1254))&amp;" - "&amp;(IF($C1254="","Commercial",$C1254))),Variables!$B$1:$D$1,0),1))*AP1254)+(T1254*INDEX(Variables!$B$9:$D$9,IFERROR(MATCH(IF($B1254="Robusta","Robusta",(IF($B1254="","Arabica",$B1254))&amp;" - "&amp;(IF($C1254="","Commercial",$C1254))),Variables!$B$1:$D$1,0),1))*AP1254/365),""))</f>
        <v/>
      </c>
      <c r="AV1254" s="11" t="str">
        <f t="shared" si="119"/>
        <v/>
      </c>
      <c r="AW1254" s="12" t="str">
        <f>IF($H1254="Cancelled","",IFERROR(IF(AV1254="","",(T1254*INDEX(Variables!$B$7:$D$7,IFERROR(MATCH(IF($B1254="Robusta","Robusta",(IF($B1254="","Arabica",$B1254))&amp;" - "&amp;(IF($C1254="","Commercial",$C1254))),Variables!$B$1:$D$1,0),1))*(AV1254/365))+(T1254*INDEX(Variables!$B$9:$D$9,IFERROR(MATCH(IF($B1254="Robusta","Robusta",(IF($B1254="","Arabica",$B1254))&amp;" - "&amp;(IF($C1254="","Commercial",$C1254))),Variables!$B$1:$D$1,0),1))*(AV1254/365))+(INDEX(Variables!$B$8:$D$8,IFERROR(MATCH(IF($B1254="Robusta","Robusta",(IF($B1254="","Arabica",$B1254))&amp;" - "&amp;(IF($C1254="","Commercial",$C1254))),Variables!$B$1:$D$1,0),1))*L1254/16.67)),""))</f>
        <v/>
      </c>
      <c r="AX1254" s="9"/>
      <c r="AY1254" s="12"/>
      <c r="AZ1254" s="10"/>
      <c r="BA1254" s="9"/>
      <c r="BB1254" s="10"/>
      <c r="BC1254" s="9"/>
      <c r="BD1254" s="9"/>
      <c r="BE1254" s="9"/>
      <c r="BF1254" s="9"/>
    </row>
    <row r="1255" spans="1:58" x14ac:dyDescent="0.25">
      <c r="A1255" s="9" t="s">
        <v>84</v>
      </c>
      <c r="B1255" s="9" t="s">
        <v>85</v>
      </c>
      <c r="C1255" s="9" t="s">
        <v>1486</v>
      </c>
      <c r="D1255" s="10">
        <v>46066</v>
      </c>
      <c r="E1255" s="10">
        <v>46054</v>
      </c>
      <c r="F1255" s="10">
        <v>46081</v>
      </c>
      <c r="G1255" s="9">
        <v>3787267</v>
      </c>
      <c r="H1255" s="9" t="str">
        <f t="shared" si="117"/>
        <v>Open</v>
      </c>
      <c r="I1255" s="9" t="str">
        <f t="shared" si="118"/>
        <v>No shipping advice sent and No docs dispatch date</v>
      </c>
      <c r="J1255" s="9" t="s">
        <v>2451</v>
      </c>
      <c r="K1255" s="9"/>
      <c r="L1255" s="11">
        <v>25</v>
      </c>
      <c r="M1255" s="9" t="s">
        <v>2669</v>
      </c>
      <c r="N1255" s="9"/>
      <c r="O1255" s="9"/>
      <c r="P1255" s="9"/>
      <c r="Q1255" s="11">
        <v>136.55000000000001</v>
      </c>
      <c r="R1255" s="9" t="s">
        <v>195</v>
      </c>
      <c r="S1255" s="9"/>
      <c r="T1255" s="12">
        <f>IF($H1255="Cancelled","",IFERROR(((Q1255+INDEX(Variables!$B$6:$D$6,IFERROR(MATCH(IF($B1255="Robusta","Robusta",(IF($B1255="","Arabica",$B1255))&amp;" - "&amp;(IF($C1255="","Commercial",$C1255))),Variables!$B$1:$D$1,0),1)))*22.0462)*(L1255/16.67),""))</f>
        <v>14129.339487102576</v>
      </c>
      <c r="U1255" s="10"/>
      <c r="V1255" s="9" t="str">
        <f t="shared" si="122"/>
        <v/>
      </c>
      <c r="W1255" s="10">
        <v>46023</v>
      </c>
      <c r="X1255" s="9" t="str">
        <f t="shared" si="123"/>
        <v>Approved</v>
      </c>
      <c r="Y1255" s="10">
        <v>46084</v>
      </c>
      <c r="Z1255" s="10">
        <f>IF($H1255="Cancelled","",IFERROR(IF(F1255="","",F1255-Variables!$B$13),""))</f>
        <v>46066</v>
      </c>
      <c r="AA1255" s="11">
        <f>IF($H1255="Cancelled","",IFERROR(IF(W1255="","",(AVERAGE(E1255:F1255)-W1255)-Variables!$B$14),""))</f>
        <v>14.5</v>
      </c>
      <c r="AB1255" s="10">
        <v>46092</v>
      </c>
      <c r="AC1255" s="11">
        <f>IF($H1255="Cancelled","",IFERROR(IF(AB1255="","",IF(AND(W1255="",Y1255=""),"",IF(Y1255&gt;W1255,Y1255+Variables!$B$15+Variables!$B$16+Variables!$B$17-AB1255,W1255+Variables!$B$16+Variables!$B$17-AB1255))),""))</f>
        <v>7</v>
      </c>
      <c r="AD1255" s="9"/>
      <c r="AE1255" s="9" t="s">
        <v>2453</v>
      </c>
      <c r="AF1255" s="10"/>
      <c r="AG1255" s="10"/>
      <c r="AH1255" s="9"/>
      <c r="AI1255" s="9">
        <v>321600000900</v>
      </c>
      <c r="AJ1255" s="9"/>
      <c r="AK1255" s="10">
        <v>46101</v>
      </c>
      <c r="AL1255" s="10"/>
      <c r="AM1255" s="10"/>
      <c r="AN1255" s="9" t="s">
        <v>2454</v>
      </c>
      <c r="AO1255" s="9"/>
      <c r="AP1255" s="11">
        <f>IF($H1255="Cancelled","",IFERROR(IF(OR(AK1255="",AB1255=""),"",(AB1255+Variables!$B$18-AK1255)),""))</f>
        <v>-2</v>
      </c>
      <c r="AQ1255" s="11" t="str">
        <f>IF($H1255="Cancelled","",IFERROR(IF(OR(AM1255="",AK1255=""),"",(AK1255+Variables!$B$19)-AM1255),""))</f>
        <v/>
      </c>
      <c r="AR1255" s="12" t="str">
        <f>IF($H1255="Cancelled","",IFERROR(T1255*INDEX(Variables!$B$7:$D$7,IFERROR(MATCH(IF($B1255="Robusta","Robusta",(IF($B1255="","Arabica",$B1255))&amp;" - "&amp;(IF($C1255="","Commercial",$C1255))),Variables!$B$1:$D$1,0),1))*(AQ1255/365),""))</f>
        <v/>
      </c>
      <c r="AS1255" s="12">
        <f>IF($H1255="Cancelled","",IFERROR((T1255*INDEX(Variables!$B$7:$D$7,IFERROR(MATCH(IF($B1255="Robusta","Robusta",(IF($B1255="","Arabica",$B1255))&amp;" - "&amp;(IF($C1255="","Commercial",$C1255))),Variables!$B$1:$D$1,0),1))*IFERROR(IF(W1255="","",(AVERAGE(E1255:F1255)-W1255)-Variables!$B$14),"")/365)+(L1255/16.67*INDEX(Variables!$B$8:$D$8,IFERROR(MATCH(IF($B1255="Robusta","Robusta",(IF($B1255="","Arabica",$B1255))&amp;" - "&amp;(IF($C1255="","Commercial",$C1255))),Variables!$B$1:$D$1,0),1))*IFERROR(IF(W1255="","",(AVERAGE(E1255:F1255)-W1255)-Variables!$B$14),""))+(T1255*INDEX(Variables!$B$9:$D$9,IFERROR(MATCH(IF($B1255="Robusta","Robusta",(IF($B1255="","Arabica",$B1255))&amp;" - "&amp;(IF($C1255="","Commercial",$C1255))),Variables!$B$1:$D$1,0),1))*IFERROR(IF(W1255="","",(AVERAGE(E1255:F1255)-W1255)-Variables!$B$14),"")/365),""))</f>
        <v>54.785632634431984</v>
      </c>
      <c r="AT1255" s="12">
        <f>IF($H1255="Cancelled","",IFERROR((T1255*INDEX(Variables!$B$7:$D$7,IFERROR(MATCH(IF($B1255="Robusta","Robusta",(IF($B1255="","Arabica",$B1255))&amp;" - "&amp;(IF($C1255="","Commercial",$C1255))),Variables!$B$1:$D$1,0),1))*AC1255/365)+(L1255/16.67*INDEX(Variables!$B$8:$D$8,IFERROR(MATCH(IF($B1255="Robusta","Robusta",(IF($B1255="","Arabica",$B1255))&amp;" - "&amp;(IF($C1255="","Commercial",$C1255))),Variables!$B$1:$D$1,0),1))*AC1255)+(T1255*INDEX(Variables!$B$9:$D$9,IFERROR(MATCH(IF($B1255="Robusta","Robusta",(IF($B1255="","Arabica",$B1255))&amp;" - "&amp;(IF($C1255="","Commercial",$C1255))),Variables!$B$1:$D$1,0),1))*AC1255/365),""))</f>
        <v>26.448236444208543</v>
      </c>
      <c r="AU1255" s="12">
        <f>IF($H1255="Cancelled","",IFERROR((T1255*INDEX(Variables!$B$7:$D$7,IFERROR(MATCH(IF($B1255="Robusta","Robusta",(IF($B1255="","Arabica",$B1255))&amp;" - "&amp;(IF($C1255="","Commercial",$C1255))),Variables!$B$1:$D$1,0),1))*AP1255/365)+(L1255/16.67*INDEX(Variables!$B$8:$D$8,IFERROR(MATCH(IF($B1255="Robusta","Robusta",(IF($B1255="","Arabica",$B1255))&amp;" - "&amp;(IF($C1255="","Commercial",$C1255))),Variables!$B$1:$D$1,0),1))*AP1255)+(T1255*INDEX(Variables!$B$9:$D$9,IFERROR(MATCH(IF($B1255="Robusta","Robusta",(IF($B1255="","Arabica",$B1255))&amp;" - "&amp;(IF($C1255="","Commercial",$C1255))),Variables!$B$1:$D$1,0),1))*AP1255/365),""))</f>
        <v>-7.5566389840595836</v>
      </c>
      <c r="AV1255" s="11">
        <f t="shared" si="119"/>
        <v>-20</v>
      </c>
      <c r="AW1255" s="12">
        <f>IF($H1255="Cancelled","",IFERROR(IF(AV1255="","",(T1255*INDEX(Variables!$B$7:$D$7,IFERROR(MATCH(IF($B1255="Robusta","Robusta",(IF($B1255="","Arabica",$B1255))&amp;" - "&amp;(IF($C1255="","Commercial",$C1255))),Variables!$B$1:$D$1,0),1))*(AV1255/365))+(T1255*INDEX(Variables!$B$9:$D$9,IFERROR(MATCH(IF($B1255="Robusta","Robusta",(IF($B1255="","Arabica",$B1255))&amp;" - "&amp;(IF($C1255="","Commercial",$C1255))),Variables!$B$1:$D$1,0),1))*(AV1255/365))+(INDEX(Variables!$B$8:$D$8,IFERROR(MATCH(IF($B1255="Robusta","Robusta",(IF($B1255="","Arabica",$B1255))&amp;" - "&amp;(IF($C1255="","Commercial",$C1255))),Variables!$B$1:$D$1,0),1))*L1255/16.67)),""))</f>
        <v>-49.316389840595839</v>
      </c>
      <c r="AX1255" s="9"/>
      <c r="AY1255" s="12"/>
      <c r="AZ1255" s="10"/>
      <c r="BA1255" s="9"/>
      <c r="BB1255" s="10"/>
      <c r="BC1255" s="9"/>
      <c r="BD1255" s="9"/>
      <c r="BE1255" s="9"/>
      <c r="BF1255" s="9"/>
    </row>
    <row r="1256" spans="1:58" x14ac:dyDescent="0.25">
      <c r="A1256" s="9" t="s">
        <v>84</v>
      </c>
      <c r="B1256" s="9" t="s">
        <v>85</v>
      </c>
      <c r="C1256" s="9" t="s">
        <v>1486</v>
      </c>
      <c r="D1256" s="10">
        <v>46066</v>
      </c>
      <c r="E1256" s="10">
        <v>46054</v>
      </c>
      <c r="F1256" s="10">
        <v>46081</v>
      </c>
      <c r="G1256" s="9">
        <v>3787268</v>
      </c>
      <c r="H1256" s="9" t="str">
        <f t="shared" si="117"/>
        <v>Open</v>
      </c>
      <c r="I1256" s="9" t="str">
        <f t="shared" si="118"/>
        <v>No shipping advice sent and No docs dispatch date</v>
      </c>
      <c r="J1256" s="9" t="s">
        <v>2451</v>
      </c>
      <c r="K1256" s="9"/>
      <c r="L1256" s="11">
        <v>25</v>
      </c>
      <c r="M1256" s="9" t="s">
        <v>2670</v>
      </c>
      <c r="N1256" s="9"/>
      <c r="O1256" s="9"/>
      <c r="P1256" s="9"/>
      <c r="Q1256" s="11">
        <v>136.55000000000001</v>
      </c>
      <c r="R1256" s="9" t="s">
        <v>195</v>
      </c>
      <c r="S1256" s="9"/>
      <c r="T1256" s="12">
        <f>IF($H1256="Cancelled","",IFERROR(((Q1256+INDEX(Variables!$B$6:$D$6,IFERROR(MATCH(IF($B1256="Robusta","Robusta",(IF($B1256="","Arabica",$B1256))&amp;" - "&amp;(IF($C1256="","Commercial",$C1256))),Variables!$B$1:$D$1,0),1)))*22.0462)*(L1256/16.67),""))</f>
        <v>14129.339487102576</v>
      </c>
      <c r="U1256" s="10"/>
      <c r="V1256" s="9" t="str">
        <f t="shared" si="122"/>
        <v/>
      </c>
      <c r="W1256" s="10">
        <v>46023</v>
      </c>
      <c r="X1256" s="9" t="str">
        <f t="shared" si="123"/>
        <v>Approved</v>
      </c>
      <c r="Y1256" s="10">
        <v>46084</v>
      </c>
      <c r="Z1256" s="10">
        <f>IF($H1256="Cancelled","",IFERROR(IF(F1256="","",F1256-Variables!$B$13),""))</f>
        <v>46066</v>
      </c>
      <c r="AA1256" s="11">
        <f>IF($H1256="Cancelled","",IFERROR(IF(W1256="","",(AVERAGE(E1256:F1256)-W1256)-Variables!$B$14),""))</f>
        <v>14.5</v>
      </c>
      <c r="AB1256" s="10">
        <v>46092</v>
      </c>
      <c r="AC1256" s="11">
        <f>IF($H1256="Cancelled","",IFERROR(IF(AB1256="","",IF(AND(W1256="",Y1256=""),"",IF(Y1256&gt;W1256,Y1256+Variables!$B$15+Variables!$B$16+Variables!$B$17-AB1256,W1256+Variables!$B$16+Variables!$B$17-AB1256))),""))</f>
        <v>7</v>
      </c>
      <c r="AD1256" s="9"/>
      <c r="AE1256" s="9" t="s">
        <v>2453</v>
      </c>
      <c r="AF1256" s="10"/>
      <c r="AG1256" s="10"/>
      <c r="AH1256" s="9"/>
      <c r="AI1256" s="9">
        <v>321600000900</v>
      </c>
      <c r="AJ1256" s="9"/>
      <c r="AK1256" s="10">
        <v>46101</v>
      </c>
      <c r="AL1256" s="10"/>
      <c r="AM1256" s="10"/>
      <c r="AN1256" s="9" t="s">
        <v>2454</v>
      </c>
      <c r="AO1256" s="9"/>
      <c r="AP1256" s="11">
        <f>IF($H1256="Cancelled","",IFERROR(IF(OR(AK1256="",AB1256=""),"",(AB1256+Variables!$B$18-AK1256)),""))</f>
        <v>-2</v>
      </c>
      <c r="AQ1256" s="11" t="str">
        <f>IF($H1256="Cancelled","",IFERROR(IF(OR(AM1256="",AK1256=""),"",(AK1256+Variables!$B$19)-AM1256),""))</f>
        <v/>
      </c>
      <c r="AR1256" s="12" t="str">
        <f>IF($H1256="Cancelled","",IFERROR(T1256*INDEX(Variables!$B$7:$D$7,IFERROR(MATCH(IF($B1256="Robusta","Robusta",(IF($B1256="","Arabica",$B1256))&amp;" - "&amp;(IF($C1256="","Commercial",$C1256))),Variables!$B$1:$D$1,0),1))*(AQ1256/365),""))</f>
        <v/>
      </c>
      <c r="AS1256" s="12">
        <f>IF($H1256="Cancelled","",IFERROR((T1256*INDEX(Variables!$B$7:$D$7,IFERROR(MATCH(IF($B1256="Robusta","Robusta",(IF($B1256="","Arabica",$B1256))&amp;" - "&amp;(IF($C1256="","Commercial",$C1256))),Variables!$B$1:$D$1,0),1))*IFERROR(IF(W1256="","",(AVERAGE(E1256:F1256)-W1256)-Variables!$B$14),"")/365)+(L1256/16.67*INDEX(Variables!$B$8:$D$8,IFERROR(MATCH(IF($B1256="Robusta","Robusta",(IF($B1256="","Arabica",$B1256))&amp;" - "&amp;(IF($C1256="","Commercial",$C1256))),Variables!$B$1:$D$1,0),1))*IFERROR(IF(W1256="","",(AVERAGE(E1256:F1256)-W1256)-Variables!$B$14),""))+(T1256*INDEX(Variables!$B$9:$D$9,IFERROR(MATCH(IF($B1256="Robusta","Robusta",(IF($B1256="","Arabica",$B1256))&amp;" - "&amp;(IF($C1256="","Commercial",$C1256))),Variables!$B$1:$D$1,0),1))*IFERROR(IF(W1256="","",(AVERAGE(E1256:F1256)-W1256)-Variables!$B$14),"")/365),""))</f>
        <v>54.785632634431984</v>
      </c>
      <c r="AT1256" s="12">
        <f>IF($H1256="Cancelled","",IFERROR((T1256*INDEX(Variables!$B$7:$D$7,IFERROR(MATCH(IF($B1256="Robusta","Robusta",(IF($B1256="","Arabica",$B1256))&amp;" - "&amp;(IF($C1256="","Commercial",$C1256))),Variables!$B$1:$D$1,0),1))*AC1256/365)+(L1256/16.67*INDEX(Variables!$B$8:$D$8,IFERROR(MATCH(IF($B1256="Robusta","Robusta",(IF($B1256="","Arabica",$B1256))&amp;" - "&amp;(IF($C1256="","Commercial",$C1256))),Variables!$B$1:$D$1,0),1))*AC1256)+(T1256*INDEX(Variables!$B$9:$D$9,IFERROR(MATCH(IF($B1256="Robusta","Robusta",(IF($B1256="","Arabica",$B1256))&amp;" - "&amp;(IF($C1256="","Commercial",$C1256))),Variables!$B$1:$D$1,0),1))*AC1256/365),""))</f>
        <v>26.448236444208543</v>
      </c>
      <c r="AU1256" s="12">
        <f>IF($H1256="Cancelled","",IFERROR((T1256*INDEX(Variables!$B$7:$D$7,IFERROR(MATCH(IF($B1256="Robusta","Robusta",(IF($B1256="","Arabica",$B1256))&amp;" - "&amp;(IF($C1256="","Commercial",$C1256))),Variables!$B$1:$D$1,0),1))*AP1256/365)+(L1256/16.67*INDEX(Variables!$B$8:$D$8,IFERROR(MATCH(IF($B1256="Robusta","Robusta",(IF($B1256="","Arabica",$B1256))&amp;" - "&amp;(IF($C1256="","Commercial",$C1256))),Variables!$B$1:$D$1,0),1))*AP1256)+(T1256*INDEX(Variables!$B$9:$D$9,IFERROR(MATCH(IF($B1256="Robusta","Robusta",(IF($B1256="","Arabica",$B1256))&amp;" - "&amp;(IF($C1256="","Commercial",$C1256))),Variables!$B$1:$D$1,0),1))*AP1256/365),""))</f>
        <v>-7.5566389840595836</v>
      </c>
      <c r="AV1256" s="11">
        <f t="shared" si="119"/>
        <v>-20</v>
      </c>
      <c r="AW1256" s="12">
        <f>IF($H1256="Cancelled","",IFERROR(IF(AV1256="","",(T1256*INDEX(Variables!$B$7:$D$7,IFERROR(MATCH(IF($B1256="Robusta","Robusta",(IF($B1256="","Arabica",$B1256))&amp;" - "&amp;(IF($C1256="","Commercial",$C1256))),Variables!$B$1:$D$1,0),1))*(AV1256/365))+(T1256*INDEX(Variables!$B$9:$D$9,IFERROR(MATCH(IF($B1256="Robusta","Robusta",(IF($B1256="","Arabica",$B1256))&amp;" - "&amp;(IF($C1256="","Commercial",$C1256))),Variables!$B$1:$D$1,0),1))*(AV1256/365))+(INDEX(Variables!$B$8:$D$8,IFERROR(MATCH(IF($B1256="Robusta","Robusta",(IF($B1256="","Arabica",$B1256))&amp;" - "&amp;(IF($C1256="","Commercial",$C1256))),Variables!$B$1:$D$1,0),1))*L1256/16.67)),""))</f>
        <v>-49.316389840595839</v>
      </c>
      <c r="AX1256" s="9"/>
      <c r="AY1256" s="12"/>
      <c r="AZ1256" s="10"/>
      <c r="BA1256" s="9"/>
      <c r="BB1256" s="10"/>
      <c r="BC1256" s="9"/>
      <c r="BD1256" s="9"/>
      <c r="BE1256" s="9"/>
      <c r="BF1256" s="9"/>
    </row>
    <row r="1257" spans="1:58" x14ac:dyDescent="0.25">
      <c r="A1257" s="9" t="s">
        <v>84</v>
      </c>
      <c r="B1257" s="9" t="s">
        <v>85</v>
      </c>
      <c r="C1257" s="9" t="s">
        <v>1486</v>
      </c>
      <c r="D1257" s="10">
        <v>46064</v>
      </c>
      <c r="E1257" s="10">
        <v>46082</v>
      </c>
      <c r="F1257" s="10">
        <v>46112</v>
      </c>
      <c r="G1257" s="9">
        <v>3787256</v>
      </c>
      <c r="H1257" s="9" t="str">
        <f t="shared" si="117"/>
        <v>Open</v>
      </c>
      <c r="I1257" s="9" t="str">
        <f t="shared" si="118"/>
        <v>No sailing date and No shipping advice sent and No docs dispatch date</v>
      </c>
      <c r="J1257" s="9" t="s">
        <v>1592</v>
      </c>
      <c r="K1257" s="9"/>
      <c r="L1257" s="11">
        <v>82</v>
      </c>
      <c r="M1257" s="9" t="s">
        <v>2671</v>
      </c>
      <c r="N1257" s="9"/>
      <c r="O1257" s="9"/>
      <c r="P1257" s="9"/>
      <c r="Q1257" s="11">
        <v>192.7</v>
      </c>
      <c r="R1257" s="9" t="s">
        <v>195</v>
      </c>
      <c r="S1257" s="9"/>
      <c r="T1257" s="12">
        <f>IF($H1257="Cancelled","",IFERROR(((Q1257+INDEX(Variables!$B$6:$D$6,IFERROR(MATCH(IF($B1257="Robusta","Robusta",(IF($B1257="","Arabica",$B1257))&amp;" - "&amp;(IF($C1257="","Commercial",$C1257))),Variables!$B$1:$D$1,0),1)))*22.0462)*(L1257/16.67),""))</f>
        <v>52433.454793041383</v>
      </c>
      <c r="U1257" s="10"/>
      <c r="V1257" s="9" t="str">
        <f t="shared" si="122"/>
        <v/>
      </c>
      <c r="W1257" s="10"/>
      <c r="X1257" s="9" t="str">
        <f t="shared" si="123"/>
        <v/>
      </c>
      <c r="Y1257" s="10"/>
      <c r="Z1257" s="10">
        <f>IF($H1257="Cancelled","",IFERROR(IF(F1257="","",F1257-Variables!$B$13),""))</f>
        <v>46097</v>
      </c>
      <c r="AA1257" s="11" t="str">
        <f>IF($H1257="Cancelled","",IFERROR(IF(W1257="","",(AVERAGE(E1257:F1257)-W1257)-Variables!$B$14),""))</f>
        <v/>
      </c>
      <c r="AB1257" s="10"/>
      <c r="AC1257" s="11" t="str">
        <f>IF($H1257="Cancelled","",IFERROR(IF(AB1257="","",IF(AND(W1257="",Y1257=""),"",IF(Y1257&gt;W1257,Y1257+Variables!$B$15+Variables!$B$16+Variables!$B$17-AB1257,W1257+Variables!$B$16+Variables!$B$17-AB1257))),""))</f>
        <v/>
      </c>
      <c r="AD1257" s="9"/>
      <c r="AE1257" s="9"/>
      <c r="AF1257" s="10"/>
      <c r="AG1257" s="10"/>
      <c r="AH1257" s="9"/>
      <c r="AI1257" s="9"/>
      <c r="AJ1257" s="9"/>
      <c r="AK1257" s="10"/>
      <c r="AL1257" s="10"/>
      <c r="AM1257" s="10"/>
      <c r="AN1257" s="9" t="s">
        <v>1188</v>
      </c>
      <c r="AO1257" s="9"/>
      <c r="AP1257" s="11" t="str">
        <f>IF($H1257="Cancelled","",IFERROR(IF(OR(AK1257="",AB1257=""),"",(AB1257+Variables!$B$18-AK1257)),""))</f>
        <v/>
      </c>
      <c r="AQ1257" s="11" t="str">
        <f>IF($H1257="Cancelled","",IFERROR(IF(OR(AM1257="",AK1257=""),"",(AK1257+Variables!$B$19)-AM1257),""))</f>
        <v/>
      </c>
      <c r="AR1257" s="12" t="str">
        <f>IF($H1257="Cancelled","",IFERROR(T1257*INDEX(Variables!$B$7:$D$7,IFERROR(MATCH(IF($B1257="Robusta","Robusta",(IF($B1257="","Arabica",$B1257))&amp;" - "&amp;(IF($C1257="","Commercial",$C1257))),Variables!$B$1:$D$1,0),1))*(AQ1257/365),""))</f>
        <v/>
      </c>
      <c r="AS1257" s="12" t="str">
        <f>IF($H1257="Cancelled","",IFERROR((T1257*INDEX(Variables!$B$7:$D$7,IFERROR(MATCH(IF($B1257="Robusta","Robusta",(IF($B1257="","Arabica",$B1257))&amp;" - "&amp;(IF($C1257="","Commercial",$C1257))),Variables!$B$1:$D$1,0),1))*IFERROR(IF(W1257="","",(AVERAGE(E1257:F1257)-W1257)-Variables!$B$14),"")/365)+(L1257/16.67*INDEX(Variables!$B$8:$D$8,IFERROR(MATCH(IF($B1257="Robusta","Robusta",(IF($B1257="","Arabica",$B1257))&amp;" - "&amp;(IF($C1257="","Commercial",$C1257))),Variables!$B$1:$D$1,0),1))*IFERROR(IF(W1257="","",(AVERAGE(E1257:F1257)-W1257)-Variables!$B$14),""))+(T1257*INDEX(Variables!$B$9:$D$9,IFERROR(MATCH(IF($B1257="Robusta","Robusta",(IF($B1257="","Arabica",$B1257))&amp;" - "&amp;(IF($C1257="","Commercial",$C1257))),Variables!$B$1:$D$1,0),1))*IFERROR(IF(W1257="","",(AVERAGE(E1257:F1257)-W1257)-Variables!$B$14),"")/365),""))</f>
        <v/>
      </c>
      <c r="AT1257" s="12" t="str">
        <f>IF($H1257="Cancelled","",IFERROR((T1257*INDEX(Variables!$B$7:$D$7,IFERROR(MATCH(IF($B1257="Robusta","Robusta",(IF($B1257="","Arabica",$B1257))&amp;" - "&amp;(IF($C1257="","Commercial",$C1257))),Variables!$B$1:$D$1,0),1))*AC1257/365)+(L1257/16.67*INDEX(Variables!$B$8:$D$8,IFERROR(MATCH(IF($B1257="Robusta","Robusta",(IF($B1257="","Arabica",$B1257))&amp;" - "&amp;(IF($C1257="","Commercial",$C1257))),Variables!$B$1:$D$1,0),1))*AC1257)+(T1257*INDEX(Variables!$B$9:$D$9,IFERROR(MATCH(IF($B1257="Robusta","Robusta",(IF($B1257="","Arabica",$B1257))&amp;" - "&amp;(IF($C1257="","Commercial",$C1257))),Variables!$B$1:$D$1,0),1))*AC1257/365),""))</f>
        <v/>
      </c>
      <c r="AU1257" s="12" t="str">
        <f>IF($H1257="Cancelled","",IFERROR((T1257*INDEX(Variables!$B$7:$D$7,IFERROR(MATCH(IF($B1257="Robusta","Robusta",(IF($B1257="","Arabica",$B1257))&amp;" - "&amp;(IF($C1257="","Commercial",$C1257))),Variables!$B$1:$D$1,0),1))*AP1257/365)+(L1257/16.67*INDEX(Variables!$B$8:$D$8,IFERROR(MATCH(IF($B1257="Robusta","Robusta",(IF($B1257="","Arabica",$B1257))&amp;" - "&amp;(IF($C1257="","Commercial",$C1257))),Variables!$B$1:$D$1,0),1))*AP1257)+(T1257*INDEX(Variables!$B$9:$D$9,IFERROR(MATCH(IF($B1257="Robusta","Robusta",(IF($B1257="","Arabica",$B1257))&amp;" - "&amp;(IF($C1257="","Commercial",$C1257))),Variables!$B$1:$D$1,0),1))*AP1257/365),""))</f>
        <v/>
      </c>
      <c r="AV1257" s="11" t="str">
        <f t="shared" si="119"/>
        <v/>
      </c>
      <c r="AW1257" s="12" t="str">
        <f>IF($H1257="Cancelled","",IFERROR(IF(AV1257="","",(T1257*INDEX(Variables!$B$7:$D$7,IFERROR(MATCH(IF($B1257="Robusta","Robusta",(IF($B1257="","Arabica",$B1257))&amp;" - "&amp;(IF($C1257="","Commercial",$C1257))),Variables!$B$1:$D$1,0),1))*(AV1257/365))+(T1257*INDEX(Variables!$B$9:$D$9,IFERROR(MATCH(IF($B1257="Robusta","Robusta",(IF($B1257="","Arabica",$B1257))&amp;" - "&amp;(IF($C1257="","Commercial",$C1257))),Variables!$B$1:$D$1,0),1))*(AV1257/365))+(INDEX(Variables!$B$8:$D$8,IFERROR(MATCH(IF($B1257="Robusta","Robusta",(IF($B1257="","Arabica",$B1257))&amp;" - "&amp;(IF($C1257="","Commercial",$C1257))),Variables!$B$1:$D$1,0),1))*L1257/16.67)),""))</f>
        <v/>
      </c>
      <c r="AX1257" s="9"/>
      <c r="AY1257" s="12"/>
      <c r="AZ1257" s="10"/>
      <c r="BA1257" s="9"/>
      <c r="BB1257" s="10"/>
      <c r="BC1257" s="9"/>
      <c r="BD1257" s="9"/>
      <c r="BE1257" s="9"/>
      <c r="BF1257" s="9"/>
    </row>
    <row r="1258" spans="1:58" x14ac:dyDescent="0.25">
      <c r="A1258" s="9" t="s">
        <v>84</v>
      </c>
      <c r="B1258" s="9" t="s">
        <v>85</v>
      </c>
      <c r="C1258" s="9" t="s">
        <v>1486</v>
      </c>
      <c r="D1258" s="10">
        <v>46060</v>
      </c>
      <c r="E1258" s="10">
        <v>46082</v>
      </c>
      <c r="F1258" s="10">
        <v>46112</v>
      </c>
      <c r="G1258" s="9">
        <v>3787239</v>
      </c>
      <c r="H1258" s="9" t="str">
        <f t="shared" si="117"/>
        <v>Open</v>
      </c>
      <c r="I1258" s="9" t="str">
        <f t="shared" si="118"/>
        <v>No sailing date and No shipping advice sent and No docs dispatch date</v>
      </c>
      <c r="J1258" s="9" t="s">
        <v>2672</v>
      </c>
      <c r="K1258" s="9" t="s">
        <v>2673</v>
      </c>
      <c r="L1258" s="11">
        <v>30</v>
      </c>
      <c r="M1258" s="9" t="s">
        <v>2674</v>
      </c>
      <c r="N1258" s="9"/>
      <c r="O1258" s="9"/>
      <c r="P1258" s="9"/>
      <c r="Q1258" s="11">
        <v>228.1</v>
      </c>
      <c r="R1258" s="9" t="s">
        <v>195</v>
      </c>
      <c r="S1258" s="9" t="s">
        <v>554</v>
      </c>
      <c r="T1258" s="12">
        <f>IF($H1258="Cancelled","",IFERROR(((Q1258+INDEX(Variables!$B$6:$D$6,IFERROR(MATCH(IF($B1258="Robusta","Robusta",(IF($B1258="","Arabica",$B1258))&amp;" - "&amp;(IF($C1258="","Commercial",$C1258))),Variables!$B$1:$D$1,0),1)))*22.0462)*(L1258/16.67),""))</f>
        <v>20587.474229154166</v>
      </c>
      <c r="U1258" s="10"/>
      <c r="V1258" s="9" t="str">
        <f t="shared" si="122"/>
        <v/>
      </c>
      <c r="W1258" s="10"/>
      <c r="X1258" s="9" t="str">
        <f t="shared" si="123"/>
        <v/>
      </c>
      <c r="Y1258" s="10"/>
      <c r="Z1258" s="10">
        <f>IF($H1258="Cancelled","",IFERROR(IF(F1258="","",F1258-Variables!$B$13),""))</f>
        <v>46097</v>
      </c>
      <c r="AA1258" s="11" t="str">
        <f>IF($H1258="Cancelled","",IFERROR(IF(W1258="","",(AVERAGE(E1258:F1258)-W1258)-Variables!$B$14),""))</f>
        <v/>
      </c>
      <c r="AB1258" s="10"/>
      <c r="AC1258" s="11" t="str">
        <f>IF($H1258="Cancelled","",IFERROR(IF(AB1258="","",IF(AND(W1258="",Y1258=""),"",IF(Y1258&gt;W1258,Y1258+Variables!$B$15+Variables!$B$16+Variables!$B$17-AB1258,W1258+Variables!$B$16+Variables!$B$17-AB1258))),""))</f>
        <v/>
      </c>
      <c r="AD1258" s="9" t="s">
        <v>165</v>
      </c>
      <c r="AE1258" s="9"/>
      <c r="AF1258" s="10"/>
      <c r="AG1258" s="10"/>
      <c r="AH1258" s="9"/>
      <c r="AI1258" s="9"/>
      <c r="AJ1258" s="9"/>
      <c r="AK1258" s="10"/>
      <c r="AL1258" s="10"/>
      <c r="AM1258" s="10"/>
      <c r="AN1258" s="9" t="s">
        <v>1188</v>
      </c>
      <c r="AO1258" s="9"/>
      <c r="AP1258" s="11" t="str">
        <f>IF($H1258="Cancelled","",IFERROR(IF(OR(AK1258="",AB1258=""),"",(AB1258+Variables!$B$18-AK1258)),""))</f>
        <v/>
      </c>
      <c r="AQ1258" s="11" t="str">
        <f>IF($H1258="Cancelled","",IFERROR(IF(OR(AM1258="",AK1258=""),"",(AK1258+Variables!$B$19)-AM1258),""))</f>
        <v/>
      </c>
      <c r="AR1258" s="12" t="str">
        <f>IF($H1258="Cancelled","",IFERROR(T1258*INDEX(Variables!$B$7:$D$7,IFERROR(MATCH(IF($B1258="Robusta","Robusta",(IF($B1258="","Arabica",$B1258))&amp;" - "&amp;(IF($C1258="","Commercial",$C1258))),Variables!$B$1:$D$1,0),1))*(AQ1258/365),""))</f>
        <v/>
      </c>
      <c r="AS1258" s="12" t="str">
        <f>IF($H1258="Cancelled","",IFERROR((T1258*INDEX(Variables!$B$7:$D$7,IFERROR(MATCH(IF($B1258="Robusta","Robusta",(IF($B1258="","Arabica",$B1258))&amp;" - "&amp;(IF($C1258="","Commercial",$C1258))),Variables!$B$1:$D$1,0),1))*IFERROR(IF(W1258="","",(AVERAGE(E1258:F1258)-W1258)-Variables!$B$14),"")/365)+(L1258/16.67*INDEX(Variables!$B$8:$D$8,IFERROR(MATCH(IF($B1258="Robusta","Robusta",(IF($B1258="","Arabica",$B1258))&amp;" - "&amp;(IF($C1258="","Commercial",$C1258))),Variables!$B$1:$D$1,0),1))*IFERROR(IF(W1258="","",(AVERAGE(E1258:F1258)-W1258)-Variables!$B$14),""))+(T1258*INDEX(Variables!$B$9:$D$9,IFERROR(MATCH(IF($B1258="Robusta","Robusta",(IF($B1258="","Arabica",$B1258))&amp;" - "&amp;(IF($C1258="","Commercial",$C1258))),Variables!$B$1:$D$1,0),1))*IFERROR(IF(W1258="","",(AVERAGE(E1258:F1258)-W1258)-Variables!$B$14),"")/365),""))</f>
        <v/>
      </c>
      <c r="AT1258" s="12" t="str">
        <f>IF($H1258="Cancelled","",IFERROR((T1258*INDEX(Variables!$B$7:$D$7,IFERROR(MATCH(IF($B1258="Robusta","Robusta",(IF($B1258="","Arabica",$B1258))&amp;" - "&amp;(IF($C1258="","Commercial",$C1258))),Variables!$B$1:$D$1,0),1))*AC1258/365)+(L1258/16.67*INDEX(Variables!$B$8:$D$8,IFERROR(MATCH(IF($B1258="Robusta","Robusta",(IF($B1258="","Arabica",$B1258))&amp;" - "&amp;(IF($C1258="","Commercial",$C1258))),Variables!$B$1:$D$1,0),1))*AC1258)+(T1258*INDEX(Variables!$B$9:$D$9,IFERROR(MATCH(IF($B1258="Robusta","Robusta",(IF($B1258="","Arabica",$B1258))&amp;" - "&amp;(IF($C1258="","Commercial",$C1258))),Variables!$B$1:$D$1,0),1))*AC1258/365),""))</f>
        <v/>
      </c>
      <c r="AU1258" s="12" t="str">
        <f>IF($H1258="Cancelled","",IFERROR((T1258*INDEX(Variables!$B$7:$D$7,IFERROR(MATCH(IF($B1258="Robusta","Robusta",(IF($B1258="","Arabica",$B1258))&amp;" - "&amp;(IF($C1258="","Commercial",$C1258))),Variables!$B$1:$D$1,0),1))*AP1258/365)+(L1258/16.67*INDEX(Variables!$B$8:$D$8,IFERROR(MATCH(IF($B1258="Robusta","Robusta",(IF($B1258="","Arabica",$B1258))&amp;" - "&amp;(IF($C1258="","Commercial",$C1258))),Variables!$B$1:$D$1,0),1))*AP1258)+(T1258*INDEX(Variables!$B$9:$D$9,IFERROR(MATCH(IF($B1258="Robusta","Robusta",(IF($B1258="","Arabica",$B1258))&amp;" - "&amp;(IF($C1258="","Commercial",$C1258))),Variables!$B$1:$D$1,0),1))*AP1258/365),""))</f>
        <v/>
      </c>
      <c r="AV1258" s="11" t="str">
        <f t="shared" si="119"/>
        <v/>
      </c>
      <c r="AW1258" s="12" t="str">
        <f>IF($H1258="Cancelled","",IFERROR(IF(AV1258="","",(T1258*INDEX(Variables!$B$7:$D$7,IFERROR(MATCH(IF($B1258="Robusta","Robusta",(IF($B1258="","Arabica",$B1258))&amp;" - "&amp;(IF($C1258="","Commercial",$C1258))),Variables!$B$1:$D$1,0),1))*(AV1258/365))+(T1258*INDEX(Variables!$B$9:$D$9,IFERROR(MATCH(IF($B1258="Robusta","Robusta",(IF($B1258="","Arabica",$B1258))&amp;" - "&amp;(IF($C1258="","Commercial",$C1258))),Variables!$B$1:$D$1,0),1))*(AV1258/365))+(INDEX(Variables!$B$8:$D$8,IFERROR(MATCH(IF($B1258="Robusta","Robusta",(IF($B1258="","Arabica",$B1258))&amp;" - "&amp;(IF($C1258="","Commercial",$C1258))),Variables!$B$1:$D$1,0),1))*L1258/16.67)),""))</f>
        <v/>
      </c>
      <c r="AX1258" s="9"/>
      <c r="AY1258" s="12"/>
      <c r="AZ1258" s="10"/>
      <c r="BA1258" s="9"/>
      <c r="BB1258" s="10"/>
      <c r="BC1258" s="9"/>
      <c r="BD1258" s="9"/>
      <c r="BE1258" s="9"/>
      <c r="BF1258" s="9"/>
    </row>
    <row r="1259" spans="1:58" x14ac:dyDescent="0.25">
      <c r="A1259" s="9" t="s">
        <v>84</v>
      </c>
      <c r="B1259" s="9" t="s">
        <v>85</v>
      </c>
      <c r="C1259" s="9" t="s">
        <v>1486</v>
      </c>
      <c r="D1259" s="10">
        <v>46060</v>
      </c>
      <c r="E1259" s="10">
        <v>46082</v>
      </c>
      <c r="F1259" s="10">
        <v>46112</v>
      </c>
      <c r="G1259" s="9">
        <v>3787240</v>
      </c>
      <c r="H1259" s="9" t="str">
        <f t="shared" si="117"/>
        <v>Open</v>
      </c>
      <c r="I1259" s="9" t="str">
        <f t="shared" si="118"/>
        <v>No sailing date and No shipping advice sent and No docs dispatch date</v>
      </c>
      <c r="J1259" s="9" t="s">
        <v>2672</v>
      </c>
      <c r="K1259" s="9" t="s">
        <v>2675</v>
      </c>
      <c r="L1259" s="11">
        <v>40</v>
      </c>
      <c r="M1259" s="9" t="s">
        <v>2676</v>
      </c>
      <c r="N1259" s="9"/>
      <c r="O1259" s="9"/>
      <c r="P1259" s="9"/>
      <c r="Q1259" s="11">
        <v>160.1</v>
      </c>
      <c r="R1259" s="9" t="s">
        <v>195</v>
      </c>
      <c r="S1259" s="9" t="s">
        <v>554</v>
      </c>
      <c r="T1259" s="12">
        <f>IF($H1259="Cancelled","",IFERROR(((Q1259+INDEX(Variables!$B$6:$D$6,IFERROR(MATCH(IF($B1259="Robusta","Robusta",(IF($B1259="","Arabica",$B1259))&amp;" - "&amp;(IF($C1259="","Commercial",$C1259))),Variables!$B$1:$D$1,0),1)))*22.0462)*(L1259/16.67),""))</f>
        <v>23852.745242951405</v>
      </c>
      <c r="U1259" s="10"/>
      <c r="V1259" s="9" t="str">
        <f t="shared" si="122"/>
        <v/>
      </c>
      <c r="W1259" s="10"/>
      <c r="X1259" s="9" t="str">
        <f t="shared" si="123"/>
        <v/>
      </c>
      <c r="Y1259" s="10"/>
      <c r="Z1259" s="10">
        <f>IF($H1259="Cancelled","",IFERROR(IF(F1259="","",F1259-Variables!$B$13),""))</f>
        <v>46097</v>
      </c>
      <c r="AA1259" s="11" t="str">
        <f>IF($H1259="Cancelled","",IFERROR(IF(W1259="","",(AVERAGE(E1259:F1259)-W1259)-Variables!$B$14),""))</f>
        <v/>
      </c>
      <c r="AB1259" s="10"/>
      <c r="AC1259" s="11" t="str">
        <f>IF($H1259="Cancelled","",IFERROR(IF(AB1259="","",IF(AND(W1259="",Y1259=""),"",IF(Y1259&gt;W1259,Y1259+Variables!$B$15+Variables!$B$16+Variables!$B$17-AB1259,W1259+Variables!$B$16+Variables!$B$17-AB1259))),""))</f>
        <v/>
      </c>
      <c r="AD1259" s="9" t="s">
        <v>165</v>
      </c>
      <c r="AE1259" s="9"/>
      <c r="AF1259" s="10"/>
      <c r="AG1259" s="10"/>
      <c r="AH1259" s="9"/>
      <c r="AI1259" s="9"/>
      <c r="AJ1259" s="9"/>
      <c r="AK1259" s="10"/>
      <c r="AL1259" s="10"/>
      <c r="AM1259" s="10"/>
      <c r="AN1259" s="9" t="s">
        <v>1188</v>
      </c>
      <c r="AO1259" s="9"/>
      <c r="AP1259" s="11" t="str">
        <f>IF($H1259="Cancelled","",IFERROR(IF(OR(AK1259="",AB1259=""),"",(AB1259+Variables!$B$18-AK1259)),""))</f>
        <v/>
      </c>
      <c r="AQ1259" s="11" t="str">
        <f>IF($H1259="Cancelled","",IFERROR(IF(OR(AM1259="",AK1259=""),"",(AK1259+Variables!$B$19)-AM1259),""))</f>
        <v/>
      </c>
      <c r="AR1259" s="12" t="str">
        <f>IF($H1259="Cancelled","",IFERROR(T1259*INDEX(Variables!$B$7:$D$7,IFERROR(MATCH(IF($B1259="Robusta","Robusta",(IF($B1259="","Arabica",$B1259))&amp;" - "&amp;(IF($C1259="","Commercial",$C1259))),Variables!$B$1:$D$1,0),1))*(AQ1259/365),""))</f>
        <v/>
      </c>
      <c r="AS1259" s="12" t="str">
        <f>IF($H1259="Cancelled","",IFERROR((T1259*INDEX(Variables!$B$7:$D$7,IFERROR(MATCH(IF($B1259="Robusta","Robusta",(IF($B1259="","Arabica",$B1259))&amp;" - "&amp;(IF($C1259="","Commercial",$C1259))),Variables!$B$1:$D$1,0),1))*IFERROR(IF(W1259="","",(AVERAGE(E1259:F1259)-W1259)-Variables!$B$14),"")/365)+(L1259/16.67*INDEX(Variables!$B$8:$D$8,IFERROR(MATCH(IF($B1259="Robusta","Robusta",(IF($B1259="","Arabica",$B1259))&amp;" - "&amp;(IF($C1259="","Commercial",$C1259))),Variables!$B$1:$D$1,0),1))*IFERROR(IF(W1259="","",(AVERAGE(E1259:F1259)-W1259)-Variables!$B$14),""))+(T1259*INDEX(Variables!$B$9:$D$9,IFERROR(MATCH(IF($B1259="Robusta","Robusta",(IF($B1259="","Arabica",$B1259))&amp;" - "&amp;(IF($C1259="","Commercial",$C1259))),Variables!$B$1:$D$1,0),1))*IFERROR(IF(W1259="","",(AVERAGE(E1259:F1259)-W1259)-Variables!$B$14),"")/365),""))</f>
        <v/>
      </c>
      <c r="AT1259" s="12" t="str">
        <f>IF($H1259="Cancelled","",IFERROR((T1259*INDEX(Variables!$B$7:$D$7,IFERROR(MATCH(IF($B1259="Robusta","Robusta",(IF($B1259="","Arabica",$B1259))&amp;" - "&amp;(IF($C1259="","Commercial",$C1259))),Variables!$B$1:$D$1,0),1))*AC1259/365)+(L1259/16.67*INDEX(Variables!$B$8:$D$8,IFERROR(MATCH(IF($B1259="Robusta","Robusta",(IF($B1259="","Arabica",$B1259))&amp;" - "&amp;(IF($C1259="","Commercial",$C1259))),Variables!$B$1:$D$1,0),1))*AC1259)+(T1259*INDEX(Variables!$B$9:$D$9,IFERROR(MATCH(IF($B1259="Robusta","Robusta",(IF($B1259="","Arabica",$B1259))&amp;" - "&amp;(IF($C1259="","Commercial",$C1259))),Variables!$B$1:$D$1,0),1))*AC1259/365),""))</f>
        <v/>
      </c>
      <c r="AU1259" s="12" t="str">
        <f>IF($H1259="Cancelled","",IFERROR((T1259*INDEX(Variables!$B$7:$D$7,IFERROR(MATCH(IF($B1259="Robusta","Robusta",(IF($B1259="","Arabica",$B1259))&amp;" - "&amp;(IF($C1259="","Commercial",$C1259))),Variables!$B$1:$D$1,0),1))*AP1259/365)+(L1259/16.67*INDEX(Variables!$B$8:$D$8,IFERROR(MATCH(IF($B1259="Robusta","Robusta",(IF($B1259="","Arabica",$B1259))&amp;" - "&amp;(IF($C1259="","Commercial",$C1259))),Variables!$B$1:$D$1,0),1))*AP1259)+(T1259*INDEX(Variables!$B$9:$D$9,IFERROR(MATCH(IF($B1259="Robusta","Robusta",(IF($B1259="","Arabica",$B1259))&amp;" - "&amp;(IF($C1259="","Commercial",$C1259))),Variables!$B$1:$D$1,0),1))*AP1259/365),""))</f>
        <v/>
      </c>
      <c r="AV1259" s="11" t="str">
        <f t="shared" si="119"/>
        <v/>
      </c>
      <c r="AW1259" s="12" t="str">
        <f>IF($H1259="Cancelled","",IFERROR(IF(AV1259="","",(T1259*INDEX(Variables!$B$7:$D$7,IFERROR(MATCH(IF($B1259="Robusta","Robusta",(IF($B1259="","Arabica",$B1259))&amp;" - "&amp;(IF($C1259="","Commercial",$C1259))),Variables!$B$1:$D$1,0),1))*(AV1259/365))+(T1259*INDEX(Variables!$B$9:$D$9,IFERROR(MATCH(IF($B1259="Robusta","Robusta",(IF($B1259="","Arabica",$B1259))&amp;" - "&amp;(IF($C1259="","Commercial",$C1259))),Variables!$B$1:$D$1,0),1))*(AV1259/365))+(INDEX(Variables!$B$8:$D$8,IFERROR(MATCH(IF($B1259="Robusta","Robusta",(IF($B1259="","Arabica",$B1259))&amp;" - "&amp;(IF($C1259="","Commercial",$C1259))),Variables!$B$1:$D$1,0),1))*L1259/16.67)),""))</f>
        <v/>
      </c>
      <c r="AX1259" s="9"/>
      <c r="AY1259" s="12"/>
      <c r="AZ1259" s="10"/>
      <c r="BA1259" s="9"/>
      <c r="BB1259" s="10"/>
      <c r="BC1259" s="9"/>
      <c r="BD1259" s="9"/>
      <c r="BE1259" s="9"/>
      <c r="BF1259" s="9"/>
    </row>
    <row r="1260" spans="1:58" x14ac:dyDescent="0.25">
      <c r="A1260" s="9" t="s">
        <v>84</v>
      </c>
      <c r="B1260" s="9" t="s">
        <v>85</v>
      </c>
      <c r="C1260" s="9" t="s">
        <v>1486</v>
      </c>
      <c r="D1260" s="10">
        <v>46060</v>
      </c>
      <c r="E1260" s="10">
        <v>46082</v>
      </c>
      <c r="F1260" s="10">
        <v>46112</v>
      </c>
      <c r="G1260" s="9">
        <v>3787246</v>
      </c>
      <c r="H1260" s="9" t="str">
        <f t="shared" si="117"/>
        <v>Open</v>
      </c>
      <c r="I1260" s="9" t="str">
        <f t="shared" si="118"/>
        <v>No sailing date and No shipping advice sent and No docs dispatch date</v>
      </c>
      <c r="J1260" s="9" t="s">
        <v>2672</v>
      </c>
      <c r="K1260" s="9" t="s">
        <v>2677</v>
      </c>
      <c r="L1260" s="11">
        <v>25</v>
      </c>
      <c r="M1260" s="9" t="s">
        <v>2678</v>
      </c>
      <c r="N1260" s="9"/>
      <c r="O1260" s="9"/>
      <c r="P1260" s="9"/>
      <c r="Q1260" s="11">
        <v>255.1</v>
      </c>
      <c r="R1260" s="9" t="s">
        <v>195</v>
      </c>
      <c r="S1260" s="9" t="s">
        <v>554</v>
      </c>
      <c r="T1260" s="12">
        <f>IF($H1260="Cancelled","",IFERROR(((Q1260+INDEX(Variables!$B$6:$D$6,IFERROR(MATCH(IF($B1260="Robusta","Robusta",(IF($B1260="","Arabica",$B1260))&amp;" - "&amp;(IF($C1260="","Commercial",$C1260))),Variables!$B$1:$D$1,0),1)))*22.0462)*(L1260/16.67),""))</f>
        <v>18048.921085782837</v>
      </c>
      <c r="U1260" s="10"/>
      <c r="V1260" s="9" t="str">
        <f t="shared" si="122"/>
        <v/>
      </c>
      <c r="W1260" s="10"/>
      <c r="X1260" s="9" t="str">
        <f t="shared" si="123"/>
        <v/>
      </c>
      <c r="Y1260" s="10"/>
      <c r="Z1260" s="10">
        <f>IF($H1260="Cancelled","",IFERROR(IF(F1260="","",F1260-Variables!$B$13),""))</f>
        <v>46097</v>
      </c>
      <c r="AA1260" s="11" t="str">
        <f>IF($H1260="Cancelled","",IFERROR(IF(W1260="","",(AVERAGE(E1260:F1260)-W1260)-Variables!$B$14),""))</f>
        <v/>
      </c>
      <c r="AB1260" s="10"/>
      <c r="AC1260" s="11" t="str">
        <f>IF($H1260="Cancelled","",IFERROR(IF(AB1260="","",IF(AND(W1260="",Y1260=""),"",IF(Y1260&gt;W1260,Y1260+Variables!$B$15+Variables!$B$16+Variables!$B$17-AB1260,W1260+Variables!$B$16+Variables!$B$17-AB1260))),""))</f>
        <v/>
      </c>
      <c r="AD1260" s="9" t="s">
        <v>165</v>
      </c>
      <c r="AE1260" s="9"/>
      <c r="AF1260" s="10"/>
      <c r="AG1260" s="10"/>
      <c r="AH1260" s="9"/>
      <c r="AI1260" s="9"/>
      <c r="AJ1260" s="9"/>
      <c r="AK1260" s="10"/>
      <c r="AL1260" s="10"/>
      <c r="AM1260" s="10"/>
      <c r="AN1260" s="9" t="s">
        <v>1188</v>
      </c>
      <c r="AO1260" s="9"/>
      <c r="AP1260" s="11" t="str">
        <f>IF($H1260="Cancelled","",IFERROR(IF(OR(AK1260="",AB1260=""),"",(AB1260+Variables!$B$18-AK1260)),""))</f>
        <v/>
      </c>
      <c r="AQ1260" s="11" t="str">
        <f>IF($H1260="Cancelled","",IFERROR(IF(OR(AM1260="",AK1260=""),"",(AK1260+Variables!$B$19)-AM1260),""))</f>
        <v/>
      </c>
      <c r="AR1260" s="12" t="str">
        <f>IF($H1260="Cancelled","",IFERROR(T1260*INDEX(Variables!$B$7:$D$7,IFERROR(MATCH(IF($B1260="Robusta","Robusta",(IF($B1260="","Arabica",$B1260))&amp;" - "&amp;(IF($C1260="","Commercial",$C1260))),Variables!$B$1:$D$1,0),1))*(AQ1260/365),""))</f>
        <v/>
      </c>
      <c r="AS1260" s="12" t="str">
        <f>IF($H1260="Cancelled","",IFERROR((T1260*INDEX(Variables!$B$7:$D$7,IFERROR(MATCH(IF($B1260="Robusta","Robusta",(IF($B1260="","Arabica",$B1260))&amp;" - "&amp;(IF($C1260="","Commercial",$C1260))),Variables!$B$1:$D$1,0),1))*IFERROR(IF(W1260="","",(AVERAGE(E1260:F1260)-W1260)-Variables!$B$14),"")/365)+(L1260/16.67*INDEX(Variables!$B$8:$D$8,IFERROR(MATCH(IF($B1260="Robusta","Robusta",(IF($B1260="","Arabica",$B1260))&amp;" - "&amp;(IF($C1260="","Commercial",$C1260))),Variables!$B$1:$D$1,0),1))*IFERROR(IF(W1260="","",(AVERAGE(E1260:F1260)-W1260)-Variables!$B$14),""))+(T1260*INDEX(Variables!$B$9:$D$9,IFERROR(MATCH(IF($B1260="Robusta","Robusta",(IF($B1260="","Arabica",$B1260))&amp;" - "&amp;(IF($C1260="","Commercial",$C1260))),Variables!$B$1:$D$1,0),1))*IFERROR(IF(W1260="","",(AVERAGE(E1260:F1260)-W1260)-Variables!$B$14),"")/365),""))</f>
        <v/>
      </c>
      <c r="AT1260" s="12" t="str">
        <f>IF($H1260="Cancelled","",IFERROR((T1260*INDEX(Variables!$B$7:$D$7,IFERROR(MATCH(IF($B1260="Robusta","Robusta",(IF($B1260="","Arabica",$B1260))&amp;" - "&amp;(IF($C1260="","Commercial",$C1260))),Variables!$B$1:$D$1,0),1))*AC1260/365)+(L1260/16.67*INDEX(Variables!$B$8:$D$8,IFERROR(MATCH(IF($B1260="Robusta","Robusta",(IF($B1260="","Arabica",$B1260))&amp;" - "&amp;(IF($C1260="","Commercial",$C1260))),Variables!$B$1:$D$1,0),1))*AC1260)+(T1260*INDEX(Variables!$B$9:$D$9,IFERROR(MATCH(IF($B1260="Robusta","Robusta",(IF($B1260="","Arabica",$B1260))&amp;" - "&amp;(IF($C1260="","Commercial",$C1260))),Variables!$B$1:$D$1,0),1))*AC1260/365),""))</f>
        <v/>
      </c>
      <c r="AU1260" s="12" t="str">
        <f>IF($H1260="Cancelled","",IFERROR((T1260*INDEX(Variables!$B$7:$D$7,IFERROR(MATCH(IF($B1260="Robusta","Robusta",(IF($B1260="","Arabica",$B1260))&amp;" - "&amp;(IF($C1260="","Commercial",$C1260))),Variables!$B$1:$D$1,0),1))*AP1260/365)+(L1260/16.67*INDEX(Variables!$B$8:$D$8,IFERROR(MATCH(IF($B1260="Robusta","Robusta",(IF($B1260="","Arabica",$B1260))&amp;" - "&amp;(IF($C1260="","Commercial",$C1260))),Variables!$B$1:$D$1,0),1))*AP1260)+(T1260*INDEX(Variables!$B$9:$D$9,IFERROR(MATCH(IF($B1260="Robusta","Robusta",(IF($B1260="","Arabica",$B1260))&amp;" - "&amp;(IF($C1260="","Commercial",$C1260))),Variables!$B$1:$D$1,0),1))*AP1260/365),""))</f>
        <v/>
      </c>
      <c r="AV1260" s="11" t="str">
        <f t="shared" si="119"/>
        <v/>
      </c>
      <c r="AW1260" s="12" t="str">
        <f>IF($H1260="Cancelled","",IFERROR(IF(AV1260="","",(T1260*INDEX(Variables!$B$7:$D$7,IFERROR(MATCH(IF($B1260="Robusta","Robusta",(IF($B1260="","Arabica",$B1260))&amp;" - "&amp;(IF($C1260="","Commercial",$C1260))),Variables!$B$1:$D$1,0),1))*(AV1260/365))+(T1260*INDEX(Variables!$B$9:$D$9,IFERROR(MATCH(IF($B1260="Robusta","Robusta",(IF($B1260="","Arabica",$B1260))&amp;" - "&amp;(IF($C1260="","Commercial",$C1260))),Variables!$B$1:$D$1,0),1))*(AV1260/365))+(INDEX(Variables!$B$8:$D$8,IFERROR(MATCH(IF($B1260="Robusta","Robusta",(IF($B1260="","Arabica",$B1260))&amp;" - "&amp;(IF($C1260="","Commercial",$C1260))),Variables!$B$1:$D$1,0),1))*L1260/16.67)),""))</f>
        <v/>
      </c>
      <c r="AX1260" s="9"/>
      <c r="AY1260" s="12"/>
      <c r="AZ1260" s="10"/>
      <c r="BA1260" s="9"/>
      <c r="BB1260" s="10"/>
      <c r="BC1260" s="9"/>
      <c r="BD1260" s="9"/>
      <c r="BE1260" s="9"/>
      <c r="BF1260" s="9"/>
    </row>
    <row r="1261" spans="1:58" x14ac:dyDescent="0.25">
      <c r="A1261" s="9" t="s">
        <v>84</v>
      </c>
      <c r="B1261" s="9" t="s">
        <v>85</v>
      </c>
      <c r="C1261" s="9" t="s">
        <v>1486</v>
      </c>
      <c r="D1261" s="10">
        <v>46060</v>
      </c>
      <c r="E1261" s="10">
        <v>46082</v>
      </c>
      <c r="F1261" s="10">
        <v>46112</v>
      </c>
      <c r="G1261" s="9">
        <v>3787238</v>
      </c>
      <c r="H1261" s="9" t="str">
        <f t="shared" si="117"/>
        <v>Open</v>
      </c>
      <c r="I1261" s="9" t="str">
        <f t="shared" si="118"/>
        <v>No sailing date and No shipping advice sent and No docs dispatch date</v>
      </c>
      <c r="J1261" s="9" t="s">
        <v>2672</v>
      </c>
      <c r="K1261" s="9" t="s">
        <v>2679</v>
      </c>
      <c r="L1261" s="11">
        <v>30</v>
      </c>
      <c r="M1261" s="9" t="s">
        <v>2680</v>
      </c>
      <c r="N1261" s="9"/>
      <c r="O1261" s="9"/>
      <c r="P1261" s="9"/>
      <c r="Q1261" s="11">
        <v>175.1</v>
      </c>
      <c r="R1261" s="9" t="s">
        <v>195</v>
      </c>
      <c r="S1261" s="9" t="s">
        <v>554</v>
      </c>
      <c r="T1261" s="12">
        <f>IF($H1261="Cancelled","",IFERROR(((Q1261+INDEX(Variables!$B$6:$D$6,IFERROR(MATCH(IF($B1261="Robusta","Robusta",(IF($B1261="","Arabica",$B1261))&amp;" - "&amp;(IF($C1261="","Commercial",$C1261))),Variables!$B$1:$D$1,0),1)))*22.0462)*(L1261/16.67),""))</f>
        <v>18484.68730653869</v>
      </c>
      <c r="U1261" s="10"/>
      <c r="V1261" s="9" t="str">
        <f t="shared" si="122"/>
        <v/>
      </c>
      <c r="W1261" s="10"/>
      <c r="X1261" s="9" t="str">
        <f t="shared" si="123"/>
        <v/>
      </c>
      <c r="Y1261" s="10"/>
      <c r="Z1261" s="10">
        <f>IF($H1261="Cancelled","",IFERROR(IF(F1261="","",F1261-Variables!$B$13),""))</f>
        <v>46097</v>
      </c>
      <c r="AA1261" s="11" t="str">
        <f>IF($H1261="Cancelled","",IFERROR(IF(W1261="","",(AVERAGE(E1261:F1261)-W1261)-Variables!$B$14),""))</f>
        <v/>
      </c>
      <c r="AB1261" s="10"/>
      <c r="AC1261" s="11" t="str">
        <f>IF($H1261="Cancelled","",IFERROR(IF(AB1261="","",IF(AND(W1261="",Y1261=""),"",IF(Y1261&gt;W1261,Y1261+Variables!$B$15+Variables!$B$16+Variables!$B$17-AB1261,W1261+Variables!$B$16+Variables!$B$17-AB1261))),""))</f>
        <v/>
      </c>
      <c r="AD1261" s="9" t="s">
        <v>165</v>
      </c>
      <c r="AE1261" s="9"/>
      <c r="AF1261" s="10"/>
      <c r="AG1261" s="10"/>
      <c r="AH1261" s="9"/>
      <c r="AI1261" s="9"/>
      <c r="AJ1261" s="9"/>
      <c r="AK1261" s="10"/>
      <c r="AL1261" s="10"/>
      <c r="AM1261" s="10"/>
      <c r="AN1261" s="9" t="s">
        <v>1188</v>
      </c>
      <c r="AO1261" s="9"/>
      <c r="AP1261" s="11" t="str">
        <f>IF($H1261="Cancelled","",IFERROR(IF(OR(AK1261="",AB1261=""),"",(AB1261+Variables!$B$18-AK1261)),""))</f>
        <v/>
      </c>
      <c r="AQ1261" s="11" t="str">
        <f>IF($H1261="Cancelled","",IFERROR(IF(OR(AM1261="",AK1261=""),"",(AK1261+Variables!$B$19)-AM1261),""))</f>
        <v/>
      </c>
      <c r="AR1261" s="12" t="str">
        <f>IF($H1261="Cancelled","",IFERROR(T1261*INDEX(Variables!$B$7:$D$7,IFERROR(MATCH(IF($B1261="Robusta","Robusta",(IF($B1261="","Arabica",$B1261))&amp;" - "&amp;(IF($C1261="","Commercial",$C1261))),Variables!$B$1:$D$1,0),1))*(AQ1261/365),""))</f>
        <v/>
      </c>
      <c r="AS1261" s="12" t="str">
        <f>IF($H1261="Cancelled","",IFERROR((T1261*INDEX(Variables!$B$7:$D$7,IFERROR(MATCH(IF($B1261="Robusta","Robusta",(IF($B1261="","Arabica",$B1261))&amp;" - "&amp;(IF($C1261="","Commercial",$C1261))),Variables!$B$1:$D$1,0),1))*IFERROR(IF(W1261="","",(AVERAGE(E1261:F1261)-W1261)-Variables!$B$14),"")/365)+(L1261/16.67*INDEX(Variables!$B$8:$D$8,IFERROR(MATCH(IF($B1261="Robusta","Robusta",(IF($B1261="","Arabica",$B1261))&amp;" - "&amp;(IF($C1261="","Commercial",$C1261))),Variables!$B$1:$D$1,0),1))*IFERROR(IF(W1261="","",(AVERAGE(E1261:F1261)-W1261)-Variables!$B$14),""))+(T1261*INDEX(Variables!$B$9:$D$9,IFERROR(MATCH(IF($B1261="Robusta","Robusta",(IF($B1261="","Arabica",$B1261))&amp;" - "&amp;(IF($C1261="","Commercial",$C1261))),Variables!$B$1:$D$1,0),1))*IFERROR(IF(W1261="","",(AVERAGE(E1261:F1261)-W1261)-Variables!$B$14),"")/365),""))</f>
        <v/>
      </c>
      <c r="AT1261" s="12" t="str">
        <f>IF($H1261="Cancelled","",IFERROR((T1261*INDEX(Variables!$B$7:$D$7,IFERROR(MATCH(IF($B1261="Robusta","Robusta",(IF($B1261="","Arabica",$B1261))&amp;" - "&amp;(IF($C1261="","Commercial",$C1261))),Variables!$B$1:$D$1,0),1))*AC1261/365)+(L1261/16.67*INDEX(Variables!$B$8:$D$8,IFERROR(MATCH(IF($B1261="Robusta","Robusta",(IF($B1261="","Arabica",$B1261))&amp;" - "&amp;(IF($C1261="","Commercial",$C1261))),Variables!$B$1:$D$1,0),1))*AC1261)+(T1261*INDEX(Variables!$B$9:$D$9,IFERROR(MATCH(IF($B1261="Robusta","Robusta",(IF($B1261="","Arabica",$B1261))&amp;" - "&amp;(IF($C1261="","Commercial",$C1261))),Variables!$B$1:$D$1,0),1))*AC1261/365),""))</f>
        <v/>
      </c>
      <c r="AU1261" s="12" t="str">
        <f>IF($H1261="Cancelled","",IFERROR((T1261*INDEX(Variables!$B$7:$D$7,IFERROR(MATCH(IF($B1261="Robusta","Robusta",(IF($B1261="","Arabica",$B1261))&amp;" - "&amp;(IF($C1261="","Commercial",$C1261))),Variables!$B$1:$D$1,0),1))*AP1261/365)+(L1261/16.67*INDEX(Variables!$B$8:$D$8,IFERROR(MATCH(IF($B1261="Robusta","Robusta",(IF($B1261="","Arabica",$B1261))&amp;" - "&amp;(IF($C1261="","Commercial",$C1261))),Variables!$B$1:$D$1,0),1))*AP1261)+(T1261*INDEX(Variables!$B$9:$D$9,IFERROR(MATCH(IF($B1261="Robusta","Robusta",(IF($B1261="","Arabica",$B1261))&amp;" - "&amp;(IF($C1261="","Commercial",$C1261))),Variables!$B$1:$D$1,0),1))*AP1261/365),""))</f>
        <v/>
      </c>
      <c r="AV1261" s="11" t="str">
        <f t="shared" si="119"/>
        <v/>
      </c>
      <c r="AW1261" s="12" t="str">
        <f>IF($H1261="Cancelled","",IFERROR(IF(AV1261="","",(T1261*INDEX(Variables!$B$7:$D$7,IFERROR(MATCH(IF($B1261="Robusta","Robusta",(IF($B1261="","Arabica",$B1261))&amp;" - "&amp;(IF($C1261="","Commercial",$C1261))),Variables!$B$1:$D$1,0),1))*(AV1261/365))+(T1261*INDEX(Variables!$B$9:$D$9,IFERROR(MATCH(IF($B1261="Robusta","Robusta",(IF($B1261="","Arabica",$B1261))&amp;" - "&amp;(IF($C1261="","Commercial",$C1261))),Variables!$B$1:$D$1,0),1))*(AV1261/365))+(INDEX(Variables!$B$8:$D$8,IFERROR(MATCH(IF($B1261="Robusta","Robusta",(IF($B1261="","Arabica",$B1261))&amp;" - "&amp;(IF($C1261="","Commercial",$C1261))),Variables!$B$1:$D$1,0),1))*L1261/16.67)),""))</f>
        <v/>
      </c>
      <c r="AX1261" s="9"/>
      <c r="AY1261" s="12"/>
      <c r="AZ1261" s="10"/>
      <c r="BA1261" s="9"/>
      <c r="BB1261" s="10"/>
      <c r="BC1261" s="9"/>
      <c r="BD1261" s="9"/>
      <c r="BE1261" s="9"/>
      <c r="BF1261" s="9"/>
    </row>
    <row r="1262" spans="1:58" x14ac:dyDescent="0.25">
      <c r="A1262" s="9" t="s">
        <v>84</v>
      </c>
      <c r="B1262" s="9" t="s">
        <v>85</v>
      </c>
      <c r="C1262" s="9" t="s">
        <v>1486</v>
      </c>
      <c r="D1262" s="10">
        <v>46060</v>
      </c>
      <c r="E1262" s="10">
        <v>46082</v>
      </c>
      <c r="F1262" s="10">
        <v>46112</v>
      </c>
      <c r="G1262" s="9">
        <v>3787241</v>
      </c>
      <c r="H1262" s="9" t="str">
        <f t="shared" si="117"/>
        <v>Open</v>
      </c>
      <c r="I1262" s="9" t="str">
        <f t="shared" si="118"/>
        <v>No sailing date and No shipping advice sent and No docs dispatch date</v>
      </c>
      <c r="J1262" s="9" t="s">
        <v>2672</v>
      </c>
      <c r="K1262" s="9" t="s">
        <v>2681</v>
      </c>
      <c r="L1262" s="11">
        <v>30</v>
      </c>
      <c r="M1262" s="9" t="s">
        <v>2682</v>
      </c>
      <c r="N1262" s="9"/>
      <c r="O1262" s="9"/>
      <c r="P1262" s="9"/>
      <c r="Q1262" s="11">
        <v>170.1</v>
      </c>
      <c r="R1262" s="9" t="s">
        <v>195</v>
      </c>
      <c r="S1262" s="9" t="s">
        <v>554</v>
      </c>
      <c r="T1262" s="12">
        <f>IF($H1262="Cancelled","",IFERROR(((Q1262+INDEX(Variables!$B$6:$D$6,IFERROR(MATCH(IF($B1262="Robusta","Robusta",(IF($B1262="","Arabica",$B1262))&amp;" - "&amp;(IF($C1262="","Commercial",$C1262))),Variables!$B$1:$D$1,0),1)))*22.0462)*(L1262/16.67),""))</f>
        <v>18286.311181763642</v>
      </c>
      <c r="U1262" s="10"/>
      <c r="V1262" s="9" t="str">
        <f t="shared" si="122"/>
        <v/>
      </c>
      <c r="W1262" s="10"/>
      <c r="X1262" s="9" t="str">
        <f t="shared" si="123"/>
        <v/>
      </c>
      <c r="Y1262" s="10"/>
      <c r="Z1262" s="10">
        <f>IF($H1262="Cancelled","",IFERROR(IF(F1262="","",F1262-Variables!$B$13),""))</f>
        <v>46097</v>
      </c>
      <c r="AA1262" s="11" t="str">
        <f>IF($H1262="Cancelled","",IFERROR(IF(W1262="","",(AVERAGE(E1262:F1262)-W1262)-Variables!$B$14),""))</f>
        <v/>
      </c>
      <c r="AB1262" s="10"/>
      <c r="AC1262" s="11" t="str">
        <f>IF($H1262="Cancelled","",IFERROR(IF(AB1262="","",IF(AND(W1262="",Y1262=""),"",IF(Y1262&gt;W1262,Y1262+Variables!$B$15+Variables!$B$16+Variables!$B$17-AB1262,W1262+Variables!$B$16+Variables!$B$17-AB1262))),""))</f>
        <v/>
      </c>
      <c r="AD1262" s="9" t="s">
        <v>165</v>
      </c>
      <c r="AE1262" s="9"/>
      <c r="AF1262" s="10"/>
      <c r="AG1262" s="10"/>
      <c r="AH1262" s="9"/>
      <c r="AI1262" s="9"/>
      <c r="AJ1262" s="9"/>
      <c r="AK1262" s="10"/>
      <c r="AL1262" s="10"/>
      <c r="AM1262" s="10"/>
      <c r="AN1262" s="9" t="s">
        <v>1188</v>
      </c>
      <c r="AO1262" s="9"/>
      <c r="AP1262" s="11" t="str">
        <f>IF($H1262="Cancelled","",IFERROR(IF(OR(AK1262="",AB1262=""),"",(AB1262+Variables!$B$18-AK1262)),""))</f>
        <v/>
      </c>
      <c r="AQ1262" s="11" t="str">
        <f>IF($H1262="Cancelled","",IFERROR(IF(OR(AM1262="",AK1262=""),"",(AK1262+Variables!$B$19)-AM1262),""))</f>
        <v/>
      </c>
      <c r="AR1262" s="12" t="str">
        <f>IF($H1262="Cancelled","",IFERROR(T1262*INDEX(Variables!$B$7:$D$7,IFERROR(MATCH(IF($B1262="Robusta","Robusta",(IF($B1262="","Arabica",$B1262))&amp;" - "&amp;(IF($C1262="","Commercial",$C1262))),Variables!$B$1:$D$1,0),1))*(AQ1262/365),""))</f>
        <v/>
      </c>
      <c r="AS1262" s="12" t="str">
        <f>IF($H1262="Cancelled","",IFERROR((T1262*INDEX(Variables!$B$7:$D$7,IFERROR(MATCH(IF($B1262="Robusta","Robusta",(IF($B1262="","Arabica",$B1262))&amp;" - "&amp;(IF($C1262="","Commercial",$C1262))),Variables!$B$1:$D$1,0),1))*IFERROR(IF(W1262="","",(AVERAGE(E1262:F1262)-W1262)-Variables!$B$14),"")/365)+(L1262/16.67*INDEX(Variables!$B$8:$D$8,IFERROR(MATCH(IF($B1262="Robusta","Robusta",(IF($B1262="","Arabica",$B1262))&amp;" - "&amp;(IF($C1262="","Commercial",$C1262))),Variables!$B$1:$D$1,0),1))*IFERROR(IF(W1262="","",(AVERAGE(E1262:F1262)-W1262)-Variables!$B$14),""))+(T1262*INDEX(Variables!$B$9:$D$9,IFERROR(MATCH(IF($B1262="Robusta","Robusta",(IF($B1262="","Arabica",$B1262))&amp;" - "&amp;(IF($C1262="","Commercial",$C1262))),Variables!$B$1:$D$1,0),1))*IFERROR(IF(W1262="","",(AVERAGE(E1262:F1262)-W1262)-Variables!$B$14),"")/365),""))</f>
        <v/>
      </c>
      <c r="AT1262" s="12" t="str">
        <f>IF($H1262="Cancelled","",IFERROR((T1262*INDEX(Variables!$B$7:$D$7,IFERROR(MATCH(IF($B1262="Robusta","Robusta",(IF($B1262="","Arabica",$B1262))&amp;" - "&amp;(IF($C1262="","Commercial",$C1262))),Variables!$B$1:$D$1,0),1))*AC1262/365)+(L1262/16.67*INDEX(Variables!$B$8:$D$8,IFERROR(MATCH(IF($B1262="Robusta","Robusta",(IF($B1262="","Arabica",$B1262))&amp;" - "&amp;(IF($C1262="","Commercial",$C1262))),Variables!$B$1:$D$1,0),1))*AC1262)+(T1262*INDEX(Variables!$B$9:$D$9,IFERROR(MATCH(IF($B1262="Robusta","Robusta",(IF($B1262="","Arabica",$B1262))&amp;" - "&amp;(IF($C1262="","Commercial",$C1262))),Variables!$B$1:$D$1,0),1))*AC1262/365),""))</f>
        <v/>
      </c>
      <c r="AU1262" s="12" t="str">
        <f>IF($H1262="Cancelled","",IFERROR((T1262*INDEX(Variables!$B$7:$D$7,IFERROR(MATCH(IF($B1262="Robusta","Robusta",(IF($B1262="","Arabica",$B1262))&amp;" - "&amp;(IF($C1262="","Commercial",$C1262))),Variables!$B$1:$D$1,0),1))*AP1262/365)+(L1262/16.67*INDEX(Variables!$B$8:$D$8,IFERROR(MATCH(IF($B1262="Robusta","Robusta",(IF($B1262="","Arabica",$B1262))&amp;" - "&amp;(IF($C1262="","Commercial",$C1262))),Variables!$B$1:$D$1,0),1))*AP1262)+(T1262*INDEX(Variables!$B$9:$D$9,IFERROR(MATCH(IF($B1262="Robusta","Robusta",(IF($B1262="","Arabica",$B1262))&amp;" - "&amp;(IF($C1262="","Commercial",$C1262))),Variables!$B$1:$D$1,0),1))*AP1262/365),""))</f>
        <v/>
      </c>
      <c r="AV1262" s="11" t="str">
        <f t="shared" si="119"/>
        <v/>
      </c>
      <c r="AW1262" s="12" t="str">
        <f>IF($H1262="Cancelled","",IFERROR(IF(AV1262="","",(T1262*INDEX(Variables!$B$7:$D$7,IFERROR(MATCH(IF($B1262="Robusta","Robusta",(IF($B1262="","Arabica",$B1262))&amp;" - "&amp;(IF($C1262="","Commercial",$C1262))),Variables!$B$1:$D$1,0),1))*(AV1262/365))+(T1262*INDEX(Variables!$B$9:$D$9,IFERROR(MATCH(IF($B1262="Robusta","Robusta",(IF($B1262="","Arabica",$B1262))&amp;" - "&amp;(IF($C1262="","Commercial",$C1262))),Variables!$B$1:$D$1,0),1))*(AV1262/365))+(INDEX(Variables!$B$8:$D$8,IFERROR(MATCH(IF($B1262="Robusta","Robusta",(IF($B1262="","Arabica",$B1262))&amp;" - "&amp;(IF($C1262="","Commercial",$C1262))),Variables!$B$1:$D$1,0),1))*L1262/16.67)),""))</f>
        <v/>
      </c>
      <c r="AX1262" s="9"/>
      <c r="AY1262" s="12"/>
      <c r="AZ1262" s="10"/>
      <c r="BA1262" s="9"/>
      <c r="BB1262" s="10"/>
      <c r="BC1262" s="9"/>
      <c r="BD1262" s="9"/>
      <c r="BE1262" s="9"/>
      <c r="BF1262" s="9"/>
    </row>
    <row r="1263" spans="1:58" x14ac:dyDescent="0.25">
      <c r="A1263" s="9" t="s">
        <v>84</v>
      </c>
      <c r="B1263" s="9" t="s">
        <v>85</v>
      </c>
      <c r="C1263" s="9" t="s">
        <v>1486</v>
      </c>
      <c r="D1263" s="10">
        <v>46060</v>
      </c>
      <c r="E1263" s="10">
        <v>46082</v>
      </c>
      <c r="F1263" s="10">
        <v>46112</v>
      </c>
      <c r="G1263" s="9">
        <v>3787242</v>
      </c>
      <c r="H1263" s="9" t="str">
        <f t="shared" si="117"/>
        <v>Open</v>
      </c>
      <c r="I1263" s="9" t="str">
        <f t="shared" si="118"/>
        <v>No sailing date and No shipping advice sent and No docs dispatch date</v>
      </c>
      <c r="J1263" s="9" t="s">
        <v>2672</v>
      </c>
      <c r="K1263" s="9" t="s">
        <v>2683</v>
      </c>
      <c r="L1263" s="11">
        <v>35</v>
      </c>
      <c r="M1263" s="9" t="s">
        <v>2684</v>
      </c>
      <c r="N1263" s="9"/>
      <c r="O1263" s="9"/>
      <c r="P1263" s="9"/>
      <c r="Q1263" s="11">
        <v>197.1</v>
      </c>
      <c r="R1263" s="9" t="s">
        <v>195</v>
      </c>
      <c r="S1263" s="9" t="s">
        <v>554</v>
      </c>
      <c r="T1263" s="12">
        <f>IF($H1263="Cancelled","",IFERROR(((Q1263+INDEX(Variables!$B$6:$D$6,IFERROR(MATCH(IF($B1263="Robusta","Robusta",(IF($B1263="","Arabica",$B1263))&amp;" - "&amp;(IF($C1263="","Commercial",$C1263))),Variables!$B$1:$D$1,0),1)))*22.0462)*(L1263/16.67),""))</f>
        <v>22583.799298140366</v>
      </c>
      <c r="U1263" s="10"/>
      <c r="V1263" s="9" t="str">
        <f t="shared" si="122"/>
        <v/>
      </c>
      <c r="W1263" s="10"/>
      <c r="X1263" s="9" t="str">
        <f t="shared" si="123"/>
        <v/>
      </c>
      <c r="Y1263" s="10"/>
      <c r="Z1263" s="10">
        <f>IF($H1263="Cancelled","",IFERROR(IF(F1263="","",F1263-Variables!$B$13),""))</f>
        <v>46097</v>
      </c>
      <c r="AA1263" s="11" t="str">
        <f>IF($H1263="Cancelled","",IFERROR(IF(W1263="","",(AVERAGE(E1263:F1263)-W1263)-Variables!$B$14),""))</f>
        <v/>
      </c>
      <c r="AB1263" s="10"/>
      <c r="AC1263" s="11" t="str">
        <f>IF($H1263="Cancelled","",IFERROR(IF(AB1263="","",IF(AND(W1263="",Y1263=""),"",IF(Y1263&gt;W1263,Y1263+Variables!$B$15+Variables!$B$16+Variables!$B$17-AB1263,W1263+Variables!$B$16+Variables!$B$17-AB1263))),""))</f>
        <v/>
      </c>
      <c r="AD1263" s="9" t="s">
        <v>165</v>
      </c>
      <c r="AE1263" s="9"/>
      <c r="AF1263" s="10"/>
      <c r="AG1263" s="10"/>
      <c r="AH1263" s="9"/>
      <c r="AI1263" s="9"/>
      <c r="AJ1263" s="9"/>
      <c r="AK1263" s="10"/>
      <c r="AL1263" s="10"/>
      <c r="AM1263" s="10"/>
      <c r="AN1263" s="9" t="s">
        <v>1188</v>
      </c>
      <c r="AO1263" s="9"/>
      <c r="AP1263" s="11" t="str">
        <f>IF($H1263="Cancelled","",IFERROR(IF(OR(AK1263="",AB1263=""),"",(AB1263+Variables!$B$18-AK1263)),""))</f>
        <v/>
      </c>
      <c r="AQ1263" s="11" t="str">
        <f>IF($H1263="Cancelled","",IFERROR(IF(OR(AM1263="",AK1263=""),"",(AK1263+Variables!$B$19)-AM1263),""))</f>
        <v/>
      </c>
      <c r="AR1263" s="12" t="str">
        <f>IF($H1263="Cancelled","",IFERROR(T1263*INDEX(Variables!$B$7:$D$7,IFERROR(MATCH(IF($B1263="Robusta","Robusta",(IF($B1263="","Arabica",$B1263))&amp;" - "&amp;(IF($C1263="","Commercial",$C1263))),Variables!$B$1:$D$1,0),1))*(AQ1263/365),""))</f>
        <v/>
      </c>
      <c r="AS1263" s="12" t="str">
        <f>IF($H1263="Cancelled","",IFERROR((T1263*INDEX(Variables!$B$7:$D$7,IFERROR(MATCH(IF($B1263="Robusta","Robusta",(IF($B1263="","Arabica",$B1263))&amp;" - "&amp;(IF($C1263="","Commercial",$C1263))),Variables!$B$1:$D$1,0),1))*IFERROR(IF(W1263="","",(AVERAGE(E1263:F1263)-W1263)-Variables!$B$14),"")/365)+(L1263/16.67*INDEX(Variables!$B$8:$D$8,IFERROR(MATCH(IF($B1263="Robusta","Robusta",(IF($B1263="","Arabica",$B1263))&amp;" - "&amp;(IF($C1263="","Commercial",$C1263))),Variables!$B$1:$D$1,0),1))*IFERROR(IF(W1263="","",(AVERAGE(E1263:F1263)-W1263)-Variables!$B$14),""))+(T1263*INDEX(Variables!$B$9:$D$9,IFERROR(MATCH(IF($B1263="Robusta","Robusta",(IF($B1263="","Arabica",$B1263))&amp;" - "&amp;(IF($C1263="","Commercial",$C1263))),Variables!$B$1:$D$1,0),1))*IFERROR(IF(W1263="","",(AVERAGE(E1263:F1263)-W1263)-Variables!$B$14),"")/365),""))</f>
        <v/>
      </c>
      <c r="AT1263" s="12" t="str">
        <f>IF($H1263="Cancelled","",IFERROR((T1263*INDEX(Variables!$B$7:$D$7,IFERROR(MATCH(IF($B1263="Robusta","Robusta",(IF($B1263="","Arabica",$B1263))&amp;" - "&amp;(IF($C1263="","Commercial",$C1263))),Variables!$B$1:$D$1,0),1))*AC1263/365)+(L1263/16.67*INDEX(Variables!$B$8:$D$8,IFERROR(MATCH(IF($B1263="Robusta","Robusta",(IF($B1263="","Arabica",$B1263))&amp;" - "&amp;(IF($C1263="","Commercial",$C1263))),Variables!$B$1:$D$1,0),1))*AC1263)+(T1263*INDEX(Variables!$B$9:$D$9,IFERROR(MATCH(IF($B1263="Robusta","Robusta",(IF($B1263="","Arabica",$B1263))&amp;" - "&amp;(IF($C1263="","Commercial",$C1263))),Variables!$B$1:$D$1,0),1))*AC1263/365),""))</f>
        <v/>
      </c>
      <c r="AU1263" s="12" t="str">
        <f>IF($H1263="Cancelled","",IFERROR((T1263*INDEX(Variables!$B$7:$D$7,IFERROR(MATCH(IF($B1263="Robusta","Robusta",(IF($B1263="","Arabica",$B1263))&amp;" - "&amp;(IF($C1263="","Commercial",$C1263))),Variables!$B$1:$D$1,0),1))*AP1263/365)+(L1263/16.67*INDEX(Variables!$B$8:$D$8,IFERROR(MATCH(IF($B1263="Robusta","Robusta",(IF($B1263="","Arabica",$B1263))&amp;" - "&amp;(IF($C1263="","Commercial",$C1263))),Variables!$B$1:$D$1,0),1))*AP1263)+(T1263*INDEX(Variables!$B$9:$D$9,IFERROR(MATCH(IF($B1263="Robusta","Robusta",(IF($B1263="","Arabica",$B1263))&amp;" - "&amp;(IF($C1263="","Commercial",$C1263))),Variables!$B$1:$D$1,0),1))*AP1263/365),""))</f>
        <v/>
      </c>
      <c r="AV1263" s="11" t="str">
        <f t="shared" si="119"/>
        <v/>
      </c>
      <c r="AW1263" s="12" t="str">
        <f>IF($H1263="Cancelled","",IFERROR(IF(AV1263="","",(T1263*INDEX(Variables!$B$7:$D$7,IFERROR(MATCH(IF($B1263="Robusta","Robusta",(IF($B1263="","Arabica",$B1263))&amp;" - "&amp;(IF($C1263="","Commercial",$C1263))),Variables!$B$1:$D$1,0),1))*(AV1263/365))+(T1263*INDEX(Variables!$B$9:$D$9,IFERROR(MATCH(IF($B1263="Robusta","Robusta",(IF($B1263="","Arabica",$B1263))&amp;" - "&amp;(IF($C1263="","Commercial",$C1263))),Variables!$B$1:$D$1,0),1))*(AV1263/365))+(INDEX(Variables!$B$8:$D$8,IFERROR(MATCH(IF($B1263="Robusta","Robusta",(IF($B1263="","Arabica",$B1263))&amp;" - "&amp;(IF($C1263="","Commercial",$C1263))),Variables!$B$1:$D$1,0),1))*L1263/16.67)),""))</f>
        <v/>
      </c>
      <c r="AX1263" s="9"/>
      <c r="AY1263" s="12"/>
      <c r="AZ1263" s="10"/>
      <c r="BA1263" s="9"/>
      <c r="BB1263" s="10"/>
      <c r="BC1263" s="9"/>
      <c r="BD1263" s="9"/>
      <c r="BE1263" s="9"/>
      <c r="BF1263" s="9"/>
    </row>
    <row r="1264" spans="1:58" x14ac:dyDescent="0.25">
      <c r="A1264" s="9" t="s">
        <v>84</v>
      </c>
      <c r="B1264" s="9" t="s">
        <v>85</v>
      </c>
      <c r="C1264" s="9" t="s">
        <v>1486</v>
      </c>
      <c r="D1264" s="10">
        <v>46060</v>
      </c>
      <c r="E1264" s="10">
        <v>46082</v>
      </c>
      <c r="F1264" s="10">
        <v>46112</v>
      </c>
      <c r="G1264" s="9">
        <v>3787243</v>
      </c>
      <c r="H1264" s="9" t="str">
        <f t="shared" si="117"/>
        <v>Open</v>
      </c>
      <c r="I1264" s="9" t="str">
        <f t="shared" si="118"/>
        <v>No sailing date and No shipping advice sent and No docs dispatch date</v>
      </c>
      <c r="J1264" s="9" t="s">
        <v>2672</v>
      </c>
      <c r="K1264" s="9" t="s">
        <v>2685</v>
      </c>
      <c r="L1264" s="11">
        <v>30</v>
      </c>
      <c r="M1264" s="9" t="s">
        <v>2686</v>
      </c>
      <c r="N1264" s="9"/>
      <c r="O1264" s="9"/>
      <c r="P1264" s="9"/>
      <c r="Q1264" s="11">
        <v>201.1</v>
      </c>
      <c r="R1264" s="9" t="s">
        <v>195</v>
      </c>
      <c r="S1264" s="9" t="s">
        <v>554</v>
      </c>
      <c r="T1264" s="12">
        <f>IF($H1264="Cancelled","",IFERROR(((Q1264+INDEX(Variables!$B$6:$D$6,IFERROR(MATCH(IF($B1264="Robusta","Robusta",(IF($B1264="","Arabica",$B1264))&amp;" - "&amp;(IF($C1264="","Commercial",$C1264))),Variables!$B$1:$D$1,0),1)))*22.0462)*(L1264/16.67),""))</f>
        <v>19516.24315536892</v>
      </c>
      <c r="U1264" s="10"/>
      <c r="V1264" s="9" t="str">
        <f t="shared" si="122"/>
        <v/>
      </c>
      <c r="W1264" s="10"/>
      <c r="X1264" s="9" t="str">
        <f t="shared" si="123"/>
        <v/>
      </c>
      <c r="Y1264" s="10"/>
      <c r="Z1264" s="10">
        <f>IF($H1264="Cancelled","",IFERROR(IF(F1264="","",F1264-Variables!$B$13),""))</f>
        <v>46097</v>
      </c>
      <c r="AA1264" s="11" t="str">
        <f>IF($H1264="Cancelled","",IFERROR(IF(W1264="","",(AVERAGE(E1264:F1264)-W1264)-Variables!$B$14),""))</f>
        <v/>
      </c>
      <c r="AB1264" s="10"/>
      <c r="AC1264" s="11" t="str">
        <f>IF($H1264="Cancelled","",IFERROR(IF(AB1264="","",IF(AND(W1264="",Y1264=""),"",IF(Y1264&gt;W1264,Y1264+Variables!$B$15+Variables!$B$16+Variables!$B$17-AB1264,W1264+Variables!$B$16+Variables!$B$17-AB1264))),""))</f>
        <v/>
      </c>
      <c r="AD1264" s="9" t="s">
        <v>165</v>
      </c>
      <c r="AE1264" s="9"/>
      <c r="AF1264" s="10"/>
      <c r="AG1264" s="10"/>
      <c r="AH1264" s="9"/>
      <c r="AI1264" s="9"/>
      <c r="AJ1264" s="9"/>
      <c r="AK1264" s="10"/>
      <c r="AL1264" s="10"/>
      <c r="AM1264" s="10"/>
      <c r="AN1264" s="9" t="s">
        <v>1188</v>
      </c>
      <c r="AO1264" s="9"/>
      <c r="AP1264" s="11" t="str">
        <f>IF($H1264="Cancelled","",IFERROR(IF(OR(AK1264="",AB1264=""),"",(AB1264+Variables!$B$18-AK1264)),""))</f>
        <v/>
      </c>
      <c r="AQ1264" s="11" t="str">
        <f>IF($H1264="Cancelled","",IFERROR(IF(OR(AM1264="",AK1264=""),"",(AK1264+Variables!$B$19)-AM1264),""))</f>
        <v/>
      </c>
      <c r="AR1264" s="12" t="str">
        <f>IF($H1264="Cancelled","",IFERROR(T1264*INDEX(Variables!$B$7:$D$7,IFERROR(MATCH(IF($B1264="Robusta","Robusta",(IF($B1264="","Arabica",$B1264))&amp;" - "&amp;(IF($C1264="","Commercial",$C1264))),Variables!$B$1:$D$1,0),1))*(AQ1264/365),""))</f>
        <v/>
      </c>
      <c r="AS1264" s="12" t="str">
        <f>IF($H1264="Cancelled","",IFERROR((T1264*INDEX(Variables!$B$7:$D$7,IFERROR(MATCH(IF($B1264="Robusta","Robusta",(IF($B1264="","Arabica",$B1264))&amp;" - "&amp;(IF($C1264="","Commercial",$C1264))),Variables!$B$1:$D$1,0),1))*IFERROR(IF(W1264="","",(AVERAGE(E1264:F1264)-W1264)-Variables!$B$14),"")/365)+(L1264/16.67*INDEX(Variables!$B$8:$D$8,IFERROR(MATCH(IF($B1264="Robusta","Robusta",(IF($B1264="","Arabica",$B1264))&amp;" - "&amp;(IF($C1264="","Commercial",$C1264))),Variables!$B$1:$D$1,0),1))*IFERROR(IF(W1264="","",(AVERAGE(E1264:F1264)-W1264)-Variables!$B$14),""))+(T1264*INDEX(Variables!$B$9:$D$9,IFERROR(MATCH(IF($B1264="Robusta","Robusta",(IF($B1264="","Arabica",$B1264))&amp;" - "&amp;(IF($C1264="","Commercial",$C1264))),Variables!$B$1:$D$1,0),1))*IFERROR(IF(W1264="","",(AVERAGE(E1264:F1264)-W1264)-Variables!$B$14),"")/365),""))</f>
        <v/>
      </c>
      <c r="AT1264" s="12" t="str">
        <f>IF($H1264="Cancelled","",IFERROR((T1264*INDEX(Variables!$B$7:$D$7,IFERROR(MATCH(IF($B1264="Robusta","Robusta",(IF($B1264="","Arabica",$B1264))&amp;" - "&amp;(IF($C1264="","Commercial",$C1264))),Variables!$B$1:$D$1,0),1))*AC1264/365)+(L1264/16.67*INDEX(Variables!$B$8:$D$8,IFERROR(MATCH(IF($B1264="Robusta","Robusta",(IF($B1264="","Arabica",$B1264))&amp;" - "&amp;(IF($C1264="","Commercial",$C1264))),Variables!$B$1:$D$1,0),1))*AC1264)+(T1264*INDEX(Variables!$B$9:$D$9,IFERROR(MATCH(IF($B1264="Robusta","Robusta",(IF($B1264="","Arabica",$B1264))&amp;" - "&amp;(IF($C1264="","Commercial",$C1264))),Variables!$B$1:$D$1,0),1))*AC1264/365),""))</f>
        <v/>
      </c>
      <c r="AU1264" s="12" t="str">
        <f>IF($H1264="Cancelled","",IFERROR((T1264*INDEX(Variables!$B$7:$D$7,IFERROR(MATCH(IF($B1264="Robusta","Robusta",(IF($B1264="","Arabica",$B1264))&amp;" - "&amp;(IF($C1264="","Commercial",$C1264))),Variables!$B$1:$D$1,0),1))*AP1264/365)+(L1264/16.67*INDEX(Variables!$B$8:$D$8,IFERROR(MATCH(IF($B1264="Robusta","Robusta",(IF($B1264="","Arabica",$B1264))&amp;" - "&amp;(IF($C1264="","Commercial",$C1264))),Variables!$B$1:$D$1,0),1))*AP1264)+(T1264*INDEX(Variables!$B$9:$D$9,IFERROR(MATCH(IF($B1264="Robusta","Robusta",(IF($B1264="","Arabica",$B1264))&amp;" - "&amp;(IF($C1264="","Commercial",$C1264))),Variables!$B$1:$D$1,0),1))*AP1264/365),""))</f>
        <v/>
      </c>
      <c r="AV1264" s="11" t="str">
        <f t="shared" si="119"/>
        <v/>
      </c>
      <c r="AW1264" s="12" t="str">
        <f>IF($H1264="Cancelled","",IFERROR(IF(AV1264="","",(T1264*INDEX(Variables!$B$7:$D$7,IFERROR(MATCH(IF($B1264="Robusta","Robusta",(IF($B1264="","Arabica",$B1264))&amp;" - "&amp;(IF($C1264="","Commercial",$C1264))),Variables!$B$1:$D$1,0),1))*(AV1264/365))+(T1264*INDEX(Variables!$B$9:$D$9,IFERROR(MATCH(IF($B1264="Robusta","Robusta",(IF($B1264="","Arabica",$B1264))&amp;" - "&amp;(IF($C1264="","Commercial",$C1264))),Variables!$B$1:$D$1,0),1))*(AV1264/365))+(INDEX(Variables!$B$8:$D$8,IFERROR(MATCH(IF($B1264="Robusta","Robusta",(IF($B1264="","Arabica",$B1264))&amp;" - "&amp;(IF($C1264="","Commercial",$C1264))),Variables!$B$1:$D$1,0),1))*L1264/16.67)),""))</f>
        <v/>
      </c>
      <c r="AX1264" s="9"/>
      <c r="AY1264" s="12"/>
      <c r="AZ1264" s="10"/>
      <c r="BA1264" s="9"/>
      <c r="BB1264" s="10"/>
      <c r="BC1264" s="9"/>
      <c r="BD1264" s="9"/>
      <c r="BE1264" s="9"/>
      <c r="BF1264" s="9"/>
    </row>
    <row r="1265" spans="1:58" x14ac:dyDescent="0.25">
      <c r="A1265" s="9" t="s">
        <v>84</v>
      </c>
      <c r="B1265" s="9" t="s">
        <v>85</v>
      </c>
      <c r="C1265" s="9" t="s">
        <v>1486</v>
      </c>
      <c r="D1265" s="10">
        <v>46060</v>
      </c>
      <c r="E1265" s="10">
        <v>46082</v>
      </c>
      <c r="F1265" s="10">
        <v>46112</v>
      </c>
      <c r="G1265" s="9">
        <v>3787244</v>
      </c>
      <c r="H1265" s="9" t="str">
        <f t="shared" si="117"/>
        <v>Open</v>
      </c>
      <c r="I1265" s="9" t="str">
        <f t="shared" si="118"/>
        <v>No sailing date and No shipping advice sent and No docs dispatch date</v>
      </c>
      <c r="J1265" s="9" t="s">
        <v>2672</v>
      </c>
      <c r="K1265" s="9" t="s">
        <v>2687</v>
      </c>
      <c r="L1265" s="11">
        <v>59</v>
      </c>
      <c r="M1265" s="9" t="s">
        <v>2688</v>
      </c>
      <c r="N1265" s="9"/>
      <c r="O1265" s="9"/>
      <c r="P1265" s="9"/>
      <c r="Q1265" s="11">
        <v>212.1</v>
      </c>
      <c r="R1265" s="9" t="s">
        <v>195</v>
      </c>
      <c r="S1265" s="9" t="s">
        <v>554</v>
      </c>
      <c r="T1265" s="12">
        <f>IF($H1265="Cancelled","",IFERROR(((Q1265+INDEX(Variables!$B$6:$D$6,IFERROR(MATCH(IF($B1265="Robusta","Robusta",(IF($B1265="","Arabica",$B1265))&amp;" - "&amp;(IF($C1265="","Commercial",$C1265))),Variables!$B$1:$D$1,0),1)))*22.0462)*(L1265/16.67),""))</f>
        <v>39240.25223875224</v>
      </c>
      <c r="U1265" s="10"/>
      <c r="V1265" s="9" t="str">
        <f t="shared" si="122"/>
        <v/>
      </c>
      <c r="W1265" s="10"/>
      <c r="X1265" s="9" t="str">
        <f t="shared" si="123"/>
        <v/>
      </c>
      <c r="Y1265" s="10"/>
      <c r="Z1265" s="10">
        <f>IF($H1265="Cancelled","",IFERROR(IF(F1265="","",F1265-Variables!$B$13),""))</f>
        <v>46097</v>
      </c>
      <c r="AA1265" s="11" t="str">
        <f>IF($H1265="Cancelled","",IFERROR(IF(W1265="","",(AVERAGE(E1265:F1265)-W1265)-Variables!$B$14),""))</f>
        <v/>
      </c>
      <c r="AB1265" s="10"/>
      <c r="AC1265" s="11" t="str">
        <f>IF($H1265="Cancelled","",IFERROR(IF(AB1265="","",IF(AND(W1265="",Y1265=""),"",IF(Y1265&gt;W1265,Y1265+Variables!$B$15+Variables!$B$16+Variables!$B$17-AB1265,W1265+Variables!$B$16+Variables!$B$17-AB1265))),""))</f>
        <v/>
      </c>
      <c r="AD1265" s="9" t="s">
        <v>165</v>
      </c>
      <c r="AE1265" s="9"/>
      <c r="AF1265" s="10"/>
      <c r="AG1265" s="10"/>
      <c r="AH1265" s="9"/>
      <c r="AI1265" s="9"/>
      <c r="AJ1265" s="9"/>
      <c r="AK1265" s="10"/>
      <c r="AL1265" s="10"/>
      <c r="AM1265" s="10"/>
      <c r="AN1265" s="9" t="s">
        <v>1188</v>
      </c>
      <c r="AO1265" s="9"/>
      <c r="AP1265" s="11" t="str">
        <f>IF($H1265="Cancelled","",IFERROR(IF(OR(AK1265="",AB1265=""),"",(AB1265+Variables!$B$18-AK1265)),""))</f>
        <v/>
      </c>
      <c r="AQ1265" s="11" t="str">
        <f>IF($H1265="Cancelled","",IFERROR(IF(OR(AM1265="",AK1265=""),"",(AK1265+Variables!$B$19)-AM1265),""))</f>
        <v/>
      </c>
      <c r="AR1265" s="12" t="str">
        <f>IF($H1265="Cancelled","",IFERROR(T1265*INDEX(Variables!$B$7:$D$7,IFERROR(MATCH(IF($B1265="Robusta","Robusta",(IF($B1265="","Arabica",$B1265))&amp;" - "&amp;(IF($C1265="","Commercial",$C1265))),Variables!$B$1:$D$1,0),1))*(AQ1265/365),""))</f>
        <v/>
      </c>
      <c r="AS1265" s="12" t="str">
        <f>IF($H1265="Cancelled","",IFERROR((T1265*INDEX(Variables!$B$7:$D$7,IFERROR(MATCH(IF($B1265="Robusta","Robusta",(IF($B1265="","Arabica",$B1265))&amp;" - "&amp;(IF($C1265="","Commercial",$C1265))),Variables!$B$1:$D$1,0),1))*IFERROR(IF(W1265="","",(AVERAGE(E1265:F1265)-W1265)-Variables!$B$14),"")/365)+(L1265/16.67*INDEX(Variables!$B$8:$D$8,IFERROR(MATCH(IF($B1265="Robusta","Robusta",(IF($B1265="","Arabica",$B1265))&amp;" - "&amp;(IF($C1265="","Commercial",$C1265))),Variables!$B$1:$D$1,0),1))*IFERROR(IF(W1265="","",(AVERAGE(E1265:F1265)-W1265)-Variables!$B$14),""))+(T1265*INDEX(Variables!$B$9:$D$9,IFERROR(MATCH(IF($B1265="Robusta","Robusta",(IF($B1265="","Arabica",$B1265))&amp;" - "&amp;(IF($C1265="","Commercial",$C1265))),Variables!$B$1:$D$1,0),1))*IFERROR(IF(W1265="","",(AVERAGE(E1265:F1265)-W1265)-Variables!$B$14),"")/365),""))</f>
        <v/>
      </c>
      <c r="AT1265" s="12" t="str">
        <f>IF($H1265="Cancelled","",IFERROR((T1265*INDEX(Variables!$B$7:$D$7,IFERROR(MATCH(IF($B1265="Robusta","Robusta",(IF($B1265="","Arabica",$B1265))&amp;" - "&amp;(IF($C1265="","Commercial",$C1265))),Variables!$B$1:$D$1,0),1))*AC1265/365)+(L1265/16.67*INDEX(Variables!$B$8:$D$8,IFERROR(MATCH(IF($B1265="Robusta","Robusta",(IF($B1265="","Arabica",$B1265))&amp;" - "&amp;(IF($C1265="","Commercial",$C1265))),Variables!$B$1:$D$1,0),1))*AC1265)+(T1265*INDEX(Variables!$B$9:$D$9,IFERROR(MATCH(IF($B1265="Robusta","Robusta",(IF($B1265="","Arabica",$B1265))&amp;" - "&amp;(IF($C1265="","Commercial",$C1265))),Variables!$B$1:$D$1,0),1))*AC1265/365),""))</f>
        <v/>
      </c>
      <c r="AU1265" s="12" t="str">
        <f>IF($H1265="Cancelled","",IFERROR((T1265*INDEX(Variables!$B$7:$D$7,IFERROR(MATCH(IF($B1265="Robusta","Robusta",(IF($B1265="","Arabica",$B1265))&amp;" - "&amp;(IF($C1265="","Commercial",$C1265))),Variables!$B$1:$D$1,0),1))*AP1265/365)+(L1265/16.67*INDEX(Variables!$B$8:$D$8,IFERROR(MATCH(IF($B1265="Robusta","Robusta",(IF($B1265="","Arabica",$B1265))&amp;" - "&amp;(IF($C1265="","Commercial",$C1265))),Variables!$B$1:$D$1,0),1))*AP1265)+(T1265*INDEX(Variables!$B$9:$D$9,IFERROR(MATCH(IF($B1265="Robusta","Robusta",(IF($B1265="","Arabica",$B1265))&amp;" - "&amp;(IF($C1265="","Commercial",$C1265))),Variables!$B$1:$D$1,0),1))*AP1265/365),""))</f>
        <v/>
      </c>
      <c r="AV1265" s="11" t="str">
        <f t="shared" si="119"/>
        <v/>
      </c>
      <c r="AW1265" s="12" t="str">
        <f>IF($H1265="Cancelled","",IFERROR(IF(AV1265="","",(T1265*INDEX(Variables!$B$7:$D$7,IFERROR(MATCH(IF($B1265="Robusta","Robusta",(IF($B1265="","Arabica",$B1265))&amp;" - "&amp;(IF($C1265="","Commercial",$C1265))),Variables!$B$1:$D$1,0),1))*(AV1265/365))+(T1265*INDEX(Variables!$B$9:$D$9,IFERROR(MATCH(IF($B1265="Robusta","Robusta",(IF($B1265="","Arabica",$B1265))&amp;" - "&amp;(IF($C1265="","Commercial",$C1265))),Variables!$B$1:$D$1,0),1))*(AV1265/365))+(INDEX(Variables!$B$8:$D$8,IFERROR(MATCH(IF($B1265="Robusta","Robusta",(IF($B1265="","Arabica",$B1265))&amp;" - "&amp;(IF($C1265="","Commercial",$C1265))),Variables!$B$1:$D$1,0),1))*L1265/16.67)),""))</f>
        <v/>
      </c>
      <c r="AX1265" s="9"/>
      <c r="AY1265" s="12"/>
      <c r="AZ1265" s="10"/>
      <c r="BA1265" s="9"/>
      <c r="BB1265" s="10"/>
      <c r="BC1265" s="9"/>
      <c r="BD1265" s="9"/>
      <c r="BE1265" s="9"/>
      <c r="BF1265" s="9"/>
    </row>
    <row r="1266" spans="1:58" x14ac:dyDescent="0.25">
      <c r="A1266" s="9" t="s">
        <v>84</v>
      </c>
      <c r="B1266" s="9" t="s">
        <v>85</v>
      </c>
      <c r="C1266" s="9" t="s">
        <v>1486</v>
      </c>
      <c r="D1266" s="10">
        <v>46060</v>
      </c>
      <c r="E1266" s="10">
        <v>46082</v>
      </c>
      <c r="F1266" s="10">
        <v>46112</v>
      </c>
      <c r="G1266" s="9">
        <v>3787245</v>
      </c>
      <c r="H1266" s="9" t="str">
        <f t="shared" si="117"/>
        <v>Open</v>
      </c>
      <c r="I1266" s="9" t="str">
        <f t="shared" si="118"/>
        <v>No sailing date and No shipping advice sent and No docs dispatch date</v>
      </c>
      <c r="J1266" s="9" t="s">
        <v>2672</v>
      </c>
      <c r="K1266" s="9" t="s">
        <v>2689</v>
      </c>
      <c r="L1266" s="11">
        <v>39</v>
      </c>
      <c r="M1266" s="9" t="s">
        <v>2690</v>
      </c>
      <c r="N1266" s="9"/>
      <c r="O1266" s="9"/>
      <c r="P1266" s="9"/>
      <c r="Q1266" s="11">
        <v>243.1</v>
      </c>
      <c r="R1266" s="9" t="s">
        <v>195</v>
      </c>
      <c r="S1266" s="9" t="s">
        <v>554</v>
      </c>
      <c r="T1266" s="12">
        <f>IF($H1266="Cancelled","",IFERROR(((Q1266+INDEX(Variables!$B$6:$D$6,IFERROR(MATCH(IF($B1266="Robusta","Robusta",(IF($B1266="","Arabica",$B1266))&amp;" - "&amp;(IF($C1266="","Commercial",$C1266))),Variables!$B$1:$D$1,0),1)))*22.0462)*(L1266/16.67),""))</f>
        <v>27537.383384523087</v>
      </c>
      <c r="U1266" s="10"/>
      <c r="V1266" s="9" t="str">
        <f t="shared" si="122"/>
        <v/>
      </c>
      <c r="W1266" s="10"/>
      <c r="X1266" s="9" t="str">
        <f t="shared" si="123"/>
        <v/>
      </c>
      <c r="Y1266" s="10"/>
      <c r="Z1266" s="10">
        <f>IF($H1266="Cancelled","",IFERROR(IF(F1266="","",F1266-Variables!$B$13),""))</f>
        <v>46097</v>
      </c>
      <c r="AA1266" s="11" t="str">
        <f>IF($H1266="Cancelled","",IFERROR(IF(W1266="","",(AVERAGE(E1266:F1266)-W1266)-Variables!$B$14),""))</f>
        <v/>
      </c>
      <c r="AB1266" s="10"/>
      <c r="AC1266" s="11" t="str">
        <f>IF($H1266="Cancelled","",IFERROR(IF(AB1266="","",IF(AND(W1266="",Y1266=""),"",IF(Y1266&gt;W1266,Y1266+Variables!$B$15+Variables!$B$16+Variables!$B$17-AB1266,W1266+Variables!$B$16+Variables!$B$17-AB1266))),""))</f>
        <v/>
      </c>
      <c r="AD1266" s="9" t="s">
        <v>165</v>
      </c>
      <c r="AE1266" s="9"/>
      <c r="AF1266" s="10"/>
      <c r="AG1266" s="10"/>
      <c r="AH1266" s="9"/>
      <c r="AI1266" s="9"/>
      <c r="AJ1266" s="9"/>
      <c r="AK1266" s="10"/>
      <c r="AL1266" s="10"/>
      <c r="AM1266" s="10"/>
      <c r="AN1266" s="9" t="s">
        <v>1188</v>
      </c>
      <c r="AO1266" s="9"/>
      <c r="AP1266" s="11" t="str">
        <f>IF($H1266="Cancelled","",IFERROR(IF(OR(AK1266="",AB1266=""),"",(AB1266+Variables!$B$18-AK1266)),""))</f>
        <v/>
      </c>
      <c r="AQ1266" s="11" t="str">
        <f>IF($H1266="Cancelled","",IFERROR(IF(OR(AM1266="",AK1266=""),"",(AK1266+Variables!$B$19)-AM1266),""))</f>
        <v/>
      </c>
      <c r="AR1266" s="12" t="str">
        <f>IF($H1266="Cancelled","",IFERROR(T1266*INDEX(Variables!$B$7:$D$7,IFERROR(MATCH(IF($B1266="Robusta","Robusta",(IF($B1266="","Arabica",$B1266))&amp;" - "&amp;(IF($C1266="","Commercial",$C1266))),Variables!$B$1:$D$1,0),1))*(AQ1266/365),""))</f>
        <v/>
      </c>
      <c r="AS1266" s="12" t="str">
        <f>IF($H1266="Cancelled","",IFERROR((T1266*INDEX(Variables!$B$7:$D$7,IFERROR(MATCH(IF($B1266="Robusta","Robusta",(IF($B1266="","Arabica",$B1266))&amp;" - "&amp;(IF($C1266="","Commercial",$C1266))),Variables!$B$1:$D$1,0),1))*IFERROR(IF(W1266="","",(AVERAGE(E1266:F1266)-W1266)-Variables!$B$14),"")/365)+(L1266/16.67*INDEX(Variables!$B$8:$D$8,IFERROR(MATCH(IF($B1266="Robusta","Robusta",(IF($B1266="","Arabica",$B1266))&amp;" - "&amp;(IF($C1266="","Commercial",$C1266))),Variables!$B$1:$D$1,0),1))*IFERROR(IF(W1266="","",(AVERAGE(E1266:F1266)-W1266)-Variables!$B$14),""))+(T1266*INDEX(Variables!$B$9:$D$9,IFERROR(MATCH(IF($B1266="Robusta","Robusta",(IF($B1266="","Arabica",$B1266))&amp;" - "&amp;(IF($C1266="","Commercial",$C1266))),Variables!$B$1:$D$1,0),1))*IFERROR(IF(W1266="","",(AVERAGE(E1266:F1266)-W1266)-Variables!$B$14),"")/365),""))</f>
        <v/>
      </c>
      <c r="AT1266" s="12" t="str">
        <f>IF($H1266="Cancelled","",IFERROR((T1266*INDEX(Variables!$B$7:$D$7,IFERROR(MATCH(IF($B1266="Robusta","Robusta",(IF($B1266="","Arabica",$B1266))&amp;" - "&amp;(IF($C1266="","Commercial",$C1266))),Variables!$B$1:$D$1,0),1))*AC1266/365)+(L1266/16.67*INDEX(Variables!$B$8:$D$8,IFERROR(MATCH(IF($B1266="Robusta","Robusta",(IF($B1266="","Arabica",$B1266))&amp;" - "&amp;(IF($C1266="","Commercial",$C1266))),Variables!$B$1:$D$1,0),1))*AC1266)+(T1266*INDEX(Variables!$B$9:$D$9,IFERROR(MATCH(IF($B1266="Robusta","Robusta",(IF($B1266="","Arabica",$B1266))&amp;" - "&amp;(IF($C1266="","Commercial",$C1266))),Variables!$B$1:$D$1,0),1))*AC1266/365),""))</f>
        <v/>
      </c>
      <c r="AU1266" s="12" t="str">
        <f>IF($H1266="Cancelled","",IFERROR((T1266*INDEX(Variables!$B$7:$D$7,IFERROR(MATCH(IF($B1266="Robusta","Robusta",(IF($B1266="","Arabica",$B1266))&amp;" - "&amp;(IF($C1266="","Commercial",$C1266))),Variables!$B$1:$D$1,0),1))*AP1266/365)+(L1266/16.67*INDEX(Variables!$B$8:$D$8,IFERROR(MATCH(IF($B1266="Robusta","Robusta",(IF($B1266="","Arabica",$B1266))&amp;" - "&amp;(IF($C1266="","Commercial",$C1266))),Variables!$B$1:$D$1,0),1))*AP1266)+(T1266*INDEX(Variables!$B$9:$D$9,IFERROR(MATCH(IF($B1266="Robusta","Robusta",(IF($B1266="","Arabica",$B1266))&amp;" - "&amp;(IF($C1266="","Commercial",$C1266))),Variables!$B$1:$D$1,0),1))*AP1266/365),""))</f>
        <v/>
      </c>
      <c r="AV1266" s="11" t="str">
        <f t="shared" si="119"/>
        <v/>
      </c>
      <c r="AW1266" s="12" t="str">
        <f>IF($H1266="Cancelled","",IFERROR(IF(AV1266="","",(T1266*INDEX(Variables!$B$7:$D$7,IFERROR(MATCH(IF($B1266="Robusta","Robusta",(IF($B1266="","Arabica",$B1266))&amp;" - "&amp;(IF($C1266="","Commercial",$C1266))),Variables!$B$1:$D$1,0),1))*(AV1266/365))+(T1266*INDEX(Variables!$B$9:$D$9,IFERROR(MATCH(IF($B1266="Robusta","Robusta",(IF($B1266="","Arabica",$B1266))&amp;" - "&amp;(IF($C1266="","Commercial",$C1266))),Variables!$B$1:$D$1,0),1))*(AV1266/365))+(INDEX(Variables!$B$8:$D$8,IFERROR(MATCH(IF($B1266="Robusta","Robusta",(IF($B1266="","Arabica",$B1266))&amp;" - "&amp;(IF($C1266="","Commercial",$C1266))),Variables!$B$1:$D$1,0),1))*L1266/16.67)),""))</f>
        <v/>
      </c>
      <c r="AX1266" s="9"/>
      <c r="AY1266" s="12"/>
      <c r="AZ1266" s="10"/>
      <c r="BA1266" s="9"/>
      <c r="BB1266" s="10"/>
      <c r="BC1266" s="9"/>
      <c r="BD1266" s="9"/>
      <c r="BE1266" s="9"/>
      <c r="BF1266" s="9"/>
    </row>
    <row r="1267" spans="1:58" x14ac:dyDescent="0.25">
      <c r="A1267" s="9" t="s">
        <v>84</v>
      </c>
      <c r="B1267" s="9" t="s">
        <v>85</v>
      </c>
      <c r="C1267" s="9" t="s">
        <v>1486</v>
      </c>
      <c r="D1267" s="10">
        <v>46045</v>
      </c>
      <c r="E1267" s="10">
        <v>46082</v>
      </c>
      <c r="F1267" s="10">
        <v>46112</v>
      </c>
      <c r="G1267" s="9">
        <v>3787155</v>
      </c>
      <c r="H1267" s="9" t="str">
        <f t="shared" si="117"/>
        <v>Open</v>
      </c>
      <c r="I1267" s="9" t="str">
        <f t="shared" si="118"/>
        <v>No shipping advice sent and No docs dispatch date</v>
      </c>
      <c r="J1267" s="9" t="s">
        <v>322</v>
      </c>
      <c r="K1267" s="9"/>
      <c r="L1267" s="11">
        <v>220</v>
      </c>
      <c r="M1267" s="9" t="s">
        <v>2691</v>
      </c>
      <c r="N1267" s="9"/>
      <c r="O1267" s="9"/>
      <c r="P1267" s="9"/>
      <c r="Q1267" s="11">
        <v>38</v>
      </c>
      <c r="R1267" s="9" t="s">
        <v>90</v>
      </c>
      <c r="S1267" s="9"/>
      <c r="T1267" s="12">
        <f>IF($H1267="Cancelled","",IFERROR(((Q1267+INDEX(Variables!$B$6:$D$6,IFERROR(MATCH(IF($B1267="Robusta","Robusta",(IF($B1267="","Arabica",$B1267))&amp;" - "&amp;(IF($C1267="","Commercial",$C1267))),Variables!$B$1:$D$1,0),1)))*22.0462)*(L1267/16.67),""))</f>
        <v>95664.902411517673</v>
      </c>
      <c r="U1267" s="10"/>
      <c r="V1267" s="9" t="str">
        <f t="shared" si="122"/>
        <v/>
      </c>
      <c r="W1267" s="10">
        <v>46054</v>
      </c>
      <c r="X1267" s="9" t="str">
        <f t="shared" si="123"/>
        <v>Approved</v>
      </c>
      <c r="Y1267" s="10">
        <v>46084</v>
      </c>
      <c r="Z1267" s="10">
        <f>IF($H1267="Cancelled","",IFERROR(IF(F1267="","",F1267-Variables!$B$13),""))</f>
        <v>46097</v>
      </c>
      <c r="AA1267" s="11">
        <f>IF($H1267="Cancelled","",IFERROR(IF(W1267="","",(AVERAGE(E1267:F1267)-W1267)-Variables!$B$14),""))</f>
        <v>13</v>
      </c>
      <c r="AB1267" s="10">
        <v>46093</v>
      </c>
      <c r="AC1267" s="11">
        <f>IF($H1267="Cancelled","",IFERROR(IF(AB1267="","",IF(AND(W1267="",Y1267=""),"",IF(Y1267&gt;W1267,Y1267+Variables!$B$15+Variables!$B$16+Variables!$B$17-AB1267,W1267+Variables!$B$16+Variables!$B$17-AB1267))),""))</f>
        <v>6</v>
      </c>
      <c r="AD1267" s="9"/>
      <c r="AE1267" s="9" t="s">
        <v>1248</v>
      </c>
      <c r="AF1267" s="10"/>
      <c r="AG1267" s="10"/>
      <c r="AH1267" s="9"/>
      <c r="AI1267" s="9">
        <v>321600001078</v>
      </c>
      <c r="AJ1267" s="9"/>
      <c r="AK1267" s="10">
        <v>46103</v>
      </c>
      <c r="AL1267" s="10"/>
      <c r="AM1267" s="10"/>
      <c r="AN1267" s="9" t="s">
        <v>2605</v>
      </c>
      <c r="AO1267" s="9"/>
      <c r="AP1267" s="11">
        <f>IF($H1267="Cancelled","",IFERROR(IF(OR(AK1267="",AB1267=""),"",(AB1267+Variables!$B$18-AK1267)),""))</f>
        <v>-3</v>
      </c>
      <c r="AQ1267" s="11" t="str">
        <f>IF($H1267="Cancelled","",IFERROR(IF(OR(AM1267="",AK1267=""),"",(AK1267+Variables!$B$19)-AM1267),""))</f>
        <v/>
      </c>
      <c r="AR1267" s="12" t="str">
        <f>IF($H1267="Cancelled","",IFERROR(T1267*INDEX(Variables!$B$7:$D$7,IFERROR(MATCH(IF($B1267="Robusta","Robusta",(IF($B1267="","Arabica",$B1267))&amp;" - "&amp;(IF($C1267="","Commercial",$C1267))),Variables!$B$1:$D$1,0),1))*(AQ1267/365),""))</f>
        <v/>
      </c>
      <c r="AS1267" s="12">
        <f>IF($H1267="Cancelled","",IFERROR((T1267*INDEX(Variables!$B$7:$D$7,IFERROR(MATCH(IF($B1267="Robusta","Robusta",(IF($B1267="","Arabica",$B1267))&amp;" - "&amp;(IF($C1267="","Commercial",$C1267))),Variables!$B$1:$D$1,0),1))*IFERROR(IF(W1267="","",(AVERAGE(E1267:F1267)-W1267)-Variables!$B$14),"")/365)+(L1267/16.67*INDEX(Variables!$B$8:$D$8,IFERROR(MATCH(IF($B1267="Robusta","Robusta",(IF($B1267="","Arabica",$B1267))&amp;" - "&amp;(IF($C1267="","Commercial",$C1267))),Variables!$B$1:$D$1,0),1))*IFERROR(IF(W1267="","",(AVERAGE(E1267:F1267)-W1267)-Variables!$B$14),""))+(T1267*INDEX(Variables!$B$9:$D$9,IFERROR(MATCH(IF($B1267="Robusta","Robusta",(IF($B1267="","Arabica",$B1267))&amp;" - "&amp;(IF($C1267="","Commercial",$C1267))),Variables!$B$1:$D$1,0),1))*IFERROR(IF(W1267="","",(AVERAGE(E1267:F1267)-W1267)-Variables!$B$14),"")/365),""))</f>
        <v>365.53897218496047</v>
      </c>
      <c r="AT1267" s="12">
        <f>IF($H1267="Cancelled","",IFERROR((T1267*INDEX(Variables!$B$7:$D$7,IFERROR(MATCH(IF($B1267="Robusta","Robusta",(IF($B1267="","Arabica",$B1267))&amp;" - "&amp;(IF($C1267="","Commercial",$C1267))),Variables!$B$1:$D$1,0),1))*AC1267/365)+(L1267/16.67*INDEX(Variables!$B$8:$D$8,IFERROR(MATCH(IF($B1267="Robusta","Robusta",(IF($B1267="","Arabica",$B1267))&amp;" - "&amp;(IF($C1267="","Commercial",$C1267))),Variables!$B$1:$D$1,0),1))*AC1267)+(T1267*INDEX(Variables!$B$9:$D$9,IFERROR(MATCH(IF($B1267="Robusta","Robusta",(IF($B1267="","Arabica",$B1267))&amp;" - "&amp;(IF($C1267="","Commercial",$C1267))),Variables!$B$1:$D$1,0),1))*AC1267/365),""))</f>
        <v>168.71029485459715</v>
      </c>
      <c r="AU1267" s="12">
        <f>IF($H1267="Cancelled","",IFERROR((T1267*INDEX(Variables!$B$7:$D$7,IFERROR(MATCH(IF($B1267="Robusta","Robusta",(IF($B1267="","Arabica",$B1267))&amp;" - "&amp;(IF($C1267="","Commercial",$C1267))),Variables!$B$1:$D$1,0),1))*AP1267/365)+(L1267/16.67*INDEX(Variables!$B$8:$D$8,IFERROR(MATCH(IF($B1267="Robusta","Robusta",(IF($B1267="","Arabica",$B1267))&amp;" - "&amp;(IF($C1267="","Commercial",$C1267))),Variables!$B$1:$D$1,0),1))*AP1267)+(T1267*INDEX(Variables!$B$9:$D$9,IFERROR(MATCH(IF($B1267="Robusta","Robusta",(IF($B1267="","Arabica",$B1267))&amp;" - "&amp;(IF($C1267="","Commercial",$C1267))),Variables!$B$1:$D$1,0),1))*AP1267/365),""))</f>
        <v>-84.355147427298576</v>
      </c>
      <c r="AV1267" s="11">
        <f t="shared" si="119"/>
        <v>9</v>
      </c>
      <c r="AW1267" s="12">
        <f>IF($H1267="Cancelled","",IFERROR(IF(AV1267="","",(T1267*INDEX(Variables!$B$7:$D$7,IFERROR(MATCH(IF($B1267="Robusta","Robusta",(IF($B1267="","Arabica",$B1267))&amp;" - "&amp;(IF($C1267="","Commercial",$C1267))),Variables!$B$1:$D$1,0),1))*(AV1267/365))+(T1267*INDEX(Variables!$B$9:$D$9,IFERROR(MATCH(IF($B1267="Robusta","Robusta",(IF($B1267="","Arabica",$B1267))&amp;" - "&amp;(IF($C1267="","Commercial",$C1267))),Variables!$B$1:$D$1,0),1))*(AV1267/365))+(INDEX(Variables!$B$8:$D$8,IFERROR(MATCH(IF($B1267="Robusta","Robusta",(IF($B1267="","Arabica",$B1267))&amp;" - "&amp;(IF($C1267="","Commercial",$C1267))),Variables!$B$1:$D$1,0),1))*L1267/16.67)),""))</f>
        <v>165.06544228189571</v>
      </c>
      <c r="AX1267" s="9"/>
      <c r="AY1267" s="12"/>
      <c r="AZ1267" s="10"/>
      <c r="BA1267" s="9"/>
      <c r="BB1267" s="10"/>
      <c r="BC1267" s="9"/>
      <c r="BD1267" s="9"/>
      <c r="BE1267" s="9"/>
      <c r="BF1267" s="9"/>
    </row>
    <row r="1268" spans="1:58" x14ac:dyDescent="0.25">
      <c r="A1268" s="9" t="s">
        <v>84</v>
      </c>
      <c r="B1268" s="9" t="s">
        <v>85</v>
      </c>
      <c r="C1268" s="9" t="s">
        <v>1486</v>
      </c>
      <c r="D1268" s="10">
        <v>46045</v>
      </c>
      <c r="E1268" s="10">
        <v>46082</v>
      </c>
      <c r="F1268" s="10">
        <v>46112</v>
      </c>
      <c r="G1268" s="9">
        <v>3787156</v>
      </c>
      <c r="H1268" s="9" t="str">
        <f t="shared" si="117"/>
        <v>Open</v>
      </c>
      <c r="I1268" s="9" t="str">
        <f t="shared" si="118"/>
        <v>No shipping advice sent and No docs dispatch date</v>
      </c>
      <c r="J1268" s="9" t="s">
        <v>322</v>
      </c>
      <c r="K1268" s="9"/>
      <c r="L1268" s="11">
        <v>60</v>
      </c>
      <c r="M1268" s="9" t="s">
        <v>2692</v>
      </c>
      <c r="N1268" s="9"/>
      <c r="O1268" s="9"/>
      <c r="P1268" s="9"/>
      <c r="Q1268" s="11">
        <v>93</v>
      </c>
      <c r="R1268" s="9" t="s">
        <v>90</v>
      </c>
      <c r="S1268" s="9"/>
      <c r="T1268" s="12">
        <f>IF($H1268="Cancelled","",IFERROR(((Q1268+INDEX(Variables!$B$6:$D$6,IFERROR(MATCH(IF($B1268="Robusta","Robusta",(IF($B1268="","Arabica",$B1268))&amp;" - "&amp;(IF($C1268="","Commercial",$C1268))),Variables!$B$1:$D$1,0),1)))*22.0462)*(L1268/16.67),""))</f>
        <v>30454.702675464905</v>
      </c>
      <c r="U1268" s="10"/>
      <c r="V1268" s="9" t="str">
        <f t="shared" si="122"/>
        <v/>
      </c>
      <c r="W1268" s="10">
        <v>46054</v>
      </c>
      <c r="X1268" s="9" t="str">
        <f t="shared" si="123"/>
        <v>Approved</v>
      </c>
      <c r="Y1268" s="10">
        <v>46084</v>
      </c>
      <c r="Z1268" s="10">
        <f>IF($H1268="Cancelled","",IFERROR(IF(F1268="","",F1268-Variables!$B$13),""))</f>
        <v>46097</v>
      </c>
      <c r="AA1268" s="11">
        <f>IF($H1268="Cancelled","",IFERROR(IF(W1268="","",(AVERAGE(E1268:F1268)-W1268)-Variables!$B$14),""))</f>
        <v>13</v>
      </c>
      <c r="AB1268" s="10">
        <v>46093</v>
      </c>
      <c r="AC1268" s="11">
        <f>IF($H1268="Cancelled","",IFERROR(IF(AB1268="","",IF(AND(W1268="",Y1268=""),"",IF(Y1268&gt;W1268,Y1268+Variables!$B$15+Variables!$B$16+Variables!$B$17-AB1268,W1268+Variables!$B$16+Variables!$B$17-AB1268))),""))</f>
        <v>6</v>
      </c>
      <c r="AD1268" s="9"/>
      <c r="AE1268" s="9" t="s">
        <v>1248</v>
      </c>
      <c r="AF1268" s="10"/>
      <c r="AG1268" s="10"/>
      <c r="AH1268" s="9"/>
      <c r="AI1268" s="9">
        <v>321600001078</v>
      </c>
      <c r="AJ1268" s="9"/>
      <c r="AK1268" s="10">
        <v>46103</v>
      </c>
      <c r="AL1268" s="10"/>
      <c r="AM1268" s="10"/>
      <c r="AN1268" s="9" t="s">
        <v>2605</v>
      </c>
      <c r="AO1268" s="9"/>
      <c r="AP1268" s="11">
        <f>IF($H1268="Cancelled","",IFERROR(IF(OR(AK1268="",AB1268=""),"",(AB1268+Variables!$B$18-AK1268)),""))</f>
        <v>-3</v>
      </c>
      <c r="AQ1268" s="11" t="str">
        <f>IF($H1268="Cancelled","",IFERROR(IF(OR(AM1268="",AK1268=""),"",(AK1268+Variables!$B$19)-AM1268),""))</f>
        <v/>
      </c>
      <c r="AR1268" s="12" t="str">
        <f>IF($H1268="Cancelled","",IFERROR(T1268*INDEX(Variables!$B$7:$D$7,IFERROR(MATCH(IF($B1268="Robusta","Robusta",(IF($B1268="","Arabica",$B1268))&amp;" - "&amp;(IF($C1268="","Commercial",$C1268))),Variables!$B$1:$D$1,0),1))*(AQ1268/365),""))</f>
        <v/>
      </c>
      <c r="AS1268" s="12">
        <f>IF($H1268="Cancelled","",IFERROR((T1268*INDEX(Variables!$B$7:$D$7,IFERROR(MATCH(IF($B1268="Robusta","Robusta",(IF($B1268="","Arabica",$B1268))&amp;" - "&amp;(IF($C1268="","Commercial",$C1268))),Variables!$B$1:$D$1,0),1))*IFERROR(IF(W1268="","",(AVERAGE(E1268:F1268)-W1268)-Variables!$B$14),"")/365)+(L1268/16.67*INDEX(Variables!$B$8:$D$8,IFERROR(MATCH(IF($B1268="Robusta","Robusta",(IF($B1268="","Arabica",$B1268))&amp;" - "&amp;(IF($C1268="","Commercial",$C1268))),Variables!$B$1:$D$1,0),1))*IFERROR(IF(W1268="","",(AVERAGE(E1268:F1268)-W1268)-Variables!$B$14),""))+(T1268*INDEX(Variables!$B$9:$D$9,IFERROR(MATCH(IF($B1268="Robusta","Robusta",(IF($B1268="","Arabica",$B1268))&amp;" - "&amp;(IF($C1268="","Commercial",$C1268))),Variables!$B$1:$D$1,0),1))*IFERROR(IF(W1268="","",(AVERAGE(E1268:F1268)-W1268)-Variables!$B$14),"")/365),""))</f>
        <v>109.84477233293617</v>
      </c>
      <c r="AT1268" s="12">
        <f>IF($H1268="Cancelled","",IFERROR((T1268*INDEX(Variables!$B$7:$D$7,IFERROR(MATCH(IF($B1268="Robusta","Robusta",(IF($B1268="","Arabica",$B1268))&amp;" - "&amp;(IF($C1268="","Commercial",$C1268))),Variables!$B$1:$D$1,0),1))*AC1268/365)+(L1268/16.67*INDEX(Variables!$B$8:$D$8,IFERROR(MATCH(IF($B1268="Robusta","Robusta",(IF($B1268="","Arabica",$B1268))&amp;" - "&amp;(IF($C1268="","Commercial",$C1268))),Variables!$B$1:$D$1,0),1))*AC1268)+(T1268*INDEX(Variables!$B$9:$D$9,IFERROR(MATCH(IF($B1268="Robusta","Robusta",(IF($B1268="","Arabica",$B1268))&amp;" - "&amp;(IF($C1268="","Commercial",$C1268))),Variables!$B$1:$D$1,0),1))*AC1268/365),""))</f>
        <v>50.697587230585924</v>
      </c>
      <c r="AU1268" s="12">
        <f>IF($H1268="Cancelled","",IFERROR((T1268*INDEX(Variables!$B$7:$D$7,IFERROR(MATCH(IF($B1268="Robusta","Robusta",(IF($B1268="","Arabica",$B1268))&amp;" - "&amp;(IF($C1268="","Commercial",$C1268))),Variables!$B$1:$D$1,0),1))*AP1268/365)+(L1268/16.67*INDEX(Variables!$B$8:$D$8,IFERROR(MATCH(IF($B1268="Robusta","Robusta",(IF($B1268="","Arabica",$B1268))&amp;" - "&amp;(IF($C1268="","Commercial",$C1268))),Variables!$B$1:$D$1,0),1))*AP1268)+(T1268*INDEX(Variables!$B$9:$D$9,IFERROR(MATCH(IF($B1268="Robusta","Robusta",(IF($B1268="","Arabica",$B1268))&amp;" - "&amp;(IF($C1268="","Commercial",$C1268))),Variables!$B$1:$D$1,0),1))*AP1268/365),""))</f>
        <v>-25.348793615292962</v>
      </c>
      <c r="AV1268" s="11">
        <f t="shared" si="119"/>
        <v>9</v>
      </c>
      <c r="AW1268" s="12">
        <f>IF($H1268="Cancelled","",IFERROR(IF(AV1268="","",(T1268*INDEX(Variables!$B$7:$D$7,IFERROR(MATCH(IF($B1268="Robusta","Robusta",(IF($B1268="","Arabica",$B1268))&amp;" - "&amp;(IF($C1268="","Commercial",$C1268))),Variables!$B$1:$D$1,0),1))*(AV1268/365))+(T1268*INDEX(Variables!$B$9:$D$9,IFERROR(MATCH(IF($B1268="Robusta","Robusta",(IF($B1268="","Arabica",$B1268))&amp;" - "&amp;(IF($C1268="","Commercial",$C1268))),Variables!$B$1:$D$1,0),1))*(AV1268/365))+(INDEX(Variables!$B$8:$D$8,IFERROR(MATCH(IF($B1268="Robusta","Robusta",(IF($B1268="","Arabica",$B1268))&amp;" - "&amp;(IF($C1268="","Commercial",$C1268))),Variables!$B$1:$D$1,0),1))*L1268/16.67)),""))</f>
        <v>52.046380845878886</v>
      </c>
      <c r="AX1268" s="9"/>
      <c r="AY1268" s="12"/>
      <c r="AZ1268" s="10"/>
      <c r="BA1268" s="9"/>
      <c r="BB1268" s="10"/>
      <c r="BC1268" s="9"/>
      <c r="BD1268" s="9"/>
      <c r="BE1268" s="9"/>
      <c r="BF1268" s="9"/>
    </row>
    <row r="1269" spans="1:58" x14ac:dyDescent="0.25">
      <c r="A1269" s="9" t="s">
        <v>84</v>
      </c>
      <c r="B1269" s="9" t="s">
        <v>85</v>
      </c>
      <c r="C1269" s="9" t="s">
        <v>1486</v>
      </c>
      <c r="D1269" s="10">
        <v>46045</v>
      </c>
      <c r="E1269" s="10">
        <v>46082</v>
      </c>
      <c r="F1269" s="10">
        <v>46112</v>
      </c>
      <c r="G1269" s="9">
        <v>3787157</v>
      </c>
      <c r="H1269" s="9" t="str">
        <f t="shared" si="117"/>
        <v>Open</v>
      </c>
      <c r="I1269" s="9" t="str">
        <f t="shared" si="118"/>
        <v>No shipping advice sent and No docs dispatch date</v>
      </c>
      <c r="J1269" s="9" t="s">
        <v>322</v>
      </c>
      <c r="K1269" s="9"/>
      <c r="L1269" s="11">
        <v>20</v>
      </c>
      <c r="M1269" s="9" t="s">
        <v>2693</v>
      </c>
      <c r="N1269" s="9"/>
      <c r="O1269" s="9"/>
      <c r="P1269" s="9"/>
      <c r="Q1269" s="11">
        <v>103</v>
      </c>
      <c r="R1269" s="9" t="s">
        <v>90</v>
      </c>
      <c r="S1269" s="9"/>
      <c r="T1269" s="12">
        <f>IF($H1269="Cancelled","",IFERROR(((Q1269+INDEX(Variables!$B$6:$D$6,IFERROR(MATCH(IF($B1269="Robusta","Robusta",(IF($B1269="","Arabica",$B1269))&amp;" - "&amp;(IF($C1269="","Commercial",$C1269))),Variables!$B$1:$D$1,0),1)))*22.0462)*(L1269/16.67),""))</f>
        <v>10416.069058188361</v>
      </c>
      <c r="U1269" s="10"/>
      <c r="V1269" s="9" t="str">
        <f t="shared" si="122"/>
        <v/>
      </c>
      <c r="W1269" s="10">
        <v>46068</v>
      </c>
      <c r="X1269" s="9" t="str">
        <f t="shared" si="123"/>
        <v>Approved</v>
      </c>
      <c r="Y1269" s="10">
        <v>46084</v>
      </c>
      <c r="Z1269" s="10">
        <f>IF($H1269="Cancelled","",IFERROR(IF(F1269="","",F1269-Variables!$B$13),""))</f>
        <v>46097</v>
      </c>
      <c r="AA1269" s="11">
        <f>IF($H1269="Cancelled","",IFERROR(IF(W1269="","",(AVERAGE(E1269:F1269)-W1269)-Variables!$B$14),""))</f>
        <v>-1</v>
      </c>
      <c r="AB1269" s="10">
        <v>46093</v>
      </c>
      <c r="AC1269" s="11">
        <f>IF($H1269="Cancelled","",IFERROR(IF(AB1269="","",IF(AND(W1269="",Y1269=""),"",IF(Y1269&gt;W1269,Y1269+Variables!$B$15+Variables!$B$16+Variables!$B$17-AB1269,W1269+Variables!$B$16+Variables!$B$17-AB1269))),""))</f>
        <v>6</v>
      </c>
      <c r="AD1269" s="9"/>
      <c r="AE1269" s="9" t="s">
        <v>1248</v>
      </c>
      <c r="AF1269" s="10"/>
      <c r="AG1269" s="10"/>
      <c r="AH1269" s="9"/>
      <c r="AI1269" s="9">
        <v>321600001078</v>
      </c>
      <c r="AJ1269" s="9"/>
      <c r="AK1269" s="10">
        <v>46103</v>
      </c>
      <c r="AL1269" s="10"/>
      <c r="AM1269" s="10"/>
      <c r="AN1269" s="9" t="s">
        <v>2605</v>
      </c>
      <c r="AO1269" s="9"/>
      <c r="AP1269" s="11">
        <f>IF($H1269="Cancelled","",IFERROR(IF(OR(AK1269="",AB1269=""),"",(AB1269+Variables!$B$18-AK1269)),""))</f>
        <v>-3</v>
      </c>
      <c r="AQ1269" s="11" t="str">
        <f>IF($H1269="Cancelled","",IFERROR(IF(OR(AM1269="",AK1269=""),"",(AK1269+Variables!$B$19)-AM1269),""))</f>
        <v/>
      </c>
      <c r="AR1269" s="12" t="str">
        <f>IF($H1269="Cancelled","",IFERROR(T1269*INDEX(Variables!$B$7:$D$7,IFERROR(MATCH(IF($B1269="Robusta","Robusta",(IF($B1269="","Arabica",$B1269))&amp;" - "&amp;(IF($C1269="","Commercial",$C1269))),Variables!$B$1:$D$1,0),1))*(AQ1269/365),""))</f>
        <v/>
      </c>
      <c r="AS1269" s="12">
        <f>IF($H1269="Cancelled","",IFERROR((T1269*INDEX(Variables!$B$7:$D$7,IFERROR(MATCH(IF($B1269="Robusta","Robusta",(IF($B1269="","Arabica",$B1269))&amp;" - "&amp;(IF($C1269="","Commercial",$C1269))),Variables!$B$1:$D$1,0),1))*IFERROR(IF(W1269="","",(AVERAGE(E1269:F1269)-W1269)-Variables!$B$14),"")/365)+(L1269/16.67*INDEX(Variables!$B$8:$D$8,IFERROR(MATCH(IF($B1269="Robusta","Robusta",(IF($B1269="","Arabica",$B1269))&amp;" - "&amp;(IF($C1269="","Commercial",$C1269))),Variables!$B$1:$D$1,0),1))*IFERROR(IF(W1269="","",(AVERAGE(E1269:F1269)-W1269)-Variables!$B$14),""))+(T1269*INDEX(Variables!$B$9:$D$9,IFERROR(MATCH(IF($B1269="Robusta","Robusta",(IF($B1269="","Arabica",$B1269))&amp;" - "&amp;(IF($C1269="","Commercial",$C1269))),Variables!$B$1:$D$1,0),1))*IFERROR(IF(W1269="","",(AVERAGE(E1269:F1269)-W1269)-Variables!$B$14),"")/365),""))</f>
        <v>-2.8638628121424259</v>
      </c>
      <c r="AT1269" s="12">
        <f>IF($H1269="Cancelled","",IFERROR((T1269*INDEX(Variables!$B$7:$D$7,IFERROR(MATCH(IF($B1269="Robusta","Robusta",(IF($B1269="","Arabica",$B1269))&amp;" - "&amp;(IF($C1269="","Commercial",$C1269))),Variables!$B$1:$D$1,0),1))*AC1269/365)+(L1269/16.67*INDEX(Variables!$B$8:$D$8,IFERROR(MATCH(IF($B1269="Robusta","Robusta",(IF($B1269="","Arabica",$B1269))&amp;" - "&amp;(IF($C1269="","Commercial",$C1269))),Variables!$B$1:$D$1,0),1))*AC1269)+(T1269*INDEX(Variables!$B$9:$D$9,IFERROR(MATCH(IF($B1269="Robusta","Robusta",(IF($B1269="","Arabica",$B1269))&amp;" - "&amp;(IF($C1269="","Commercial",$C1269))),Variables!$B$1:$D$1,0),1))*AC1269/365),""))</f>
        <v>17.183176872854556</v>
      </c>
      <c r="AU1269" s="12">
        <f>IF($H1269="Cancelled","",IFERROR((T1269*INDEX(Variables!$B$7:$D$7,IFERROR(MATCH(IF($B1269="Robusta","Robusta",(IF($B1269="","Arabica",$B1269))&amp;" - "&amp;(IF($C1269="","Commercial",$C1269))),Variables!$B$1:$D$1,0),1))*AP1269/365)+(L1269/16.67*INDEX(Variables!$B$8:$D$8,IFERROR(MATCH(IF($B1269="Robusta","Robusta",(IF($B1269="","Arabica",$B1269))&amp;" - "&amp;(IF($C1269="","Commercial",$C1269))),Variables!$B$1:$D$1,0),1))*AP1269)+(T1269*INDEX(Variables!$B$9:$D$9,IFERROR(MATCH(IF($B1269="Robusta","Robusta",(IF($B1269="","Arabica",$B1269))&amp;" - "&amp;(IF($C1269="","Commercial",$C1269))),Variables!$B$1:$D$1,0),1))*AP1269/365),""))</f>
        <v>-8.5915884364272781</v>
      </c>
      <c r="AV1269" s="11">
        <f t="shared" si="119"/>
        <v>9</v>
      </c>
      <c r="AW1269" s="12">
        <f>IF($H1269="Cancelled","",IFERROR(IF(AV1269="","",(T1269*INDEX(Variables!$B$7:$D$7,IFERROR(MATCH(IF($B1269="Robusta","Robusta",(IF($B1269="","Arabica",$B1269))&amp;" - "&amp;(IF($C1269="","Commercial",$C1269))),Variables!$B$1:$D$1,0),1))*(AV1269/365))+(T1269*INDEX(Variables!$B$9:$D$9,IFERROR(MATCH(IF($B1269="Robusta","Robusta",(IF($B1269="","Arabica",$B1269))&amp;" - "&amp;(IF($C1269="","Commercial",$C1269))),Variables!$B$1:$D$1,0),1))*(AV1269/365))+(INDEX(Variables!$B$8:$D$8,IFERROR(MATCH(IF($B1269="Robusta","Robusta",(IF($B1269="","Arabica",$B1269))&amp;" - "&amp;(IF($C1269="","Commercial",$C1269))),Variables!$B$1:$D$1,0),1))*L1269/16.67)),""))</f>
        <v>17.774765309281833</v>
      </c>
      <c r="AX1269" s="9"/>
      <c r="AY1269" s="12"/>
      <c r="AZ1269" s="10"/>
      <c r="BA1269" s="9"/>
      <c r="BB1269" s="10"/>
      <c r="BC1269" s="9"/>
      <c r="BD1269" s="9"/>
      <c r="BE1269" s="9"/>
      <c r="BF1269" s="9"/>
    </row>
    <row r="1270" spans="1:58" x14ac:dyDescent="0.25">
      <c r="A1270" s="9" t="s">
        <v>84</v>
      </c>
      <c r="B1270" s="9" t="s">
        <v>85</v>
      </c>
      <c r="C1270" s="9" t="s">
        <v>1486</v>
      </c>
      <c r="D1270" s="10">
        <v>46045</v>
      </c>
      <c r="E1270" s="10">
        <v>46082</v>
      </c>
      <c r="F1270" s="10">
        <v>46112</v>
      </c>
      <c r="G1270" s="9">
        <v>3787158</v>
      </c>
      <c r="H1270" s="9" t="str">
        <f t="shared" si="117"/>
        <v>Open</v>
      </c>
      <c r="I1270" s="9" t="str">
        <f t="shared" si="118"/>
        <v>No shipping advice sent and No docs dispatch date</v>
      </c>
      <c r="J1270" s="9" t="s">
        <v>322</v>
      </c>
      <c r="K1270" s="9"/>
      <c r="L1270" s="11">
        <v>20</v>
      </c>
      <c r="M1270" s="9" t="s">
        <v>2694</v>
      </c>
      <c r="N1270" s="9"/>
      <c r="O1270" s="9"/>
      <c r="P1270" s="9"/>
      <c r="Q1270" s="11">
        <v>73</v>
      </c>
      <c r="R1270" s="9" t="s">
        <v>90</v>
      </c>
      <c r="S1270" s="9"/>
      <c r="T1270" s="12">
        <f>IF($H1270="Cancelled","",IFERROR(((Q1270+INDEX(Variables!$B$6:$D$6,IFERROR(MATCH(IF($B1270="Robusta","Robusta",(IF($B1270="","Arabica",$B1270))&amp;" - "&amp;(IF($C1270="","Commercial",$C1270))),Variables!$B$1:$D$1,0),1)))*22.0462)*(L1270/16.67),""))</f>
        <v>9622.5645590881813</v>
      </c>
      <c r="U1270" s="10"/>
      <c r="V1270" s="9" t="str">
        <f t="shared" si="122"/>
        <v/>
      </c>
      <c r="W1270" s="10">
        <v>46068</v>
      </c>
      <c r="X1270" s="9" t="str">
        <f t="shared" si="123"/>
        <v>Approved</v>
      </c>
      <c r="Y1270" s="10">
        <v>46084</v>
      </c>
      <c r="Z1270" s="10">
        <f>IF($H1270="Cancelled","",IFERROR(IF(F1270="","",F1270-Variables!$B$13),""))</f>
        <v>46097</v>
      </c>
      <c r="AA1270" s="11">
        <f>IF($H1270="Cancelled","",IFERROR(IF(W1270="","",(AVERAGE(E1270:F1270)-W1270)-Variables!$B$14),""))</f>
        <v>-1</v>
      </c>
      <c r="AB1270" s="10">
        <v>46093</v>
      </c>
      <c r="AC1270" s="11">
        <f>IF($H1270="Cancelled","",IFERROR(IF(AB1270="","",IF(AND(W1270="",Y1270=""),"",IF(Y1270&gt;W1270,Y1270+Variables!$B$15+Variables!$B$16+Variables!$B$17-AB1270,W1270+Variables!$B$16+Variables!$B$17-AB1270))),""))</f>
        <v>6</v>
      </c>
      <c r="AD1270" s="9"/>
      <c r="AE1270" s="9" t="s">
        <v>1248</v>
      </c>
      <c r="AF1270" s="10"/>
      <c r="AG1270" s="10"/>
      <c r="AH1270" s="9"/>
      <c r="AI1270" s="9">
        <v>321600001078</v>
      </c>
      <c r="AJ1270" s="9"/>
      <c r="AK1270" s="10">
        <v>46103</v>
      </c>
      <c r="AL1270" s="10"/>
      <c r="AM1270" s="10"/>
      <c r="AN1270" s="9" t="s">
        <v>2605</v>
      </c>
      <c r="AO1270" s="9"/>
      <c r="AP1270" s="11">
        <f>IF($H1270="Cancelled","",IFERROR(IF(OR(AK1270="",AB1270=""),"",(AB1270+Variables!$B$18-AK1270)),""))</f>
        <v>-3</v>
      </c>
      <c r="AQ1270" s="11" t="str">
        <f>IF($H1270="Cancelled","",IFERROR(IF(OR(AM1270="",AK1270=""),"",(AK1270+Variables!$B$19)-AM1270),""))</f>
        <v/>
      </c>
      <c r="AR1270" s="12" t="str">
        <f>IF($H1270="Cancelled","",IFERROR(T1270*INDEX(Variables!$B$7:$D$7,IFERROR(MATCH(IF($B1270="Robusta","Robusta",(IF($B1270="","Arabica",$B1270))&amp;" - "&amp;(IF($C1270="","Commercial",$C1270))),Variables!$B$1:$D$1,0),1))*(AQ1270/365),""))</f>
        <v/>
      </c>
      <c r="AS1270" s="12">
        <f>IF($H1270="Cancelled","",IFERROR((T1270*INDEX(Variables!$B$7:$D$7,IFERROR(MATCH(IF($B1270="Robusta","Robusta",(IF($B1270="","Arabica",$B1270))&amp;" - "&amp;(IF($C1270="","Commercial",$C1270))),Variables!$B$1:$D$1,0),1))*IFERROR(IF(W1270="","",(AVERAGE(E1270:F1270)-W1270)-Variables!$B$14),"")/365)+(L1270/16.67*INDEX(Variables!$B$8:$D$8,IFERROR(MATCH(IF($B1270="Robusta","Robusta",(IF($B1270="","Arabica",$B1270))&amp;" - "&amp;(IF($C1270="","Commercial",$C1270))),Variables!$B$1:$D$1,0),1))*IFERROR(IF(W1270="","",(AVERAGE(E1270:F1270)-W1270)-Variables!$B$14),""))+(T1270*INDEX(Variables!$B$9:$D$9,IFERROR(MATCH(IF($B1270="Robusta","Robusta",(IF($B1270="","Arabica",$B1270))&amp;" - "&amp;(IF($C1270="","Commercial",$C1270))),Variables!$B$1:$D$1,0),1))*IFERROR(IF(W1270="","",(AVERAGE(E1270:F1270)-W1270)-Variables!$B$14),"")/365),""))</f>
        <v>-2.7218722474794683</v>
      </c>
      <c r="AT1270" s="12">
        <f>IF($H1270="Cancelled","",IFERROR((T1270*INDEX(Variables!$B$7:$D$7,IFERROR(MATCH(IF($B1270="Robusta","Robusta",(IF($B1270="","Arabica",$B1270))&amp;" - "&amp;(IF($C1270="","Commercial",$C1270))),Variables!$B$1:$D$1,0),1))*AC1270/365)+(L1270/16.67*INDEX(Variables!$B$8:$D$8,IFERROR(MATCH(IF($B1270="Robusta","Robusta",(IF($B1270="","Arabica",$B1270))&amp;" - "&amp;(IF($C1270="","Commercial",$C1270))),Variables!$B$1:$D$1,0),1))*AC1270)+(T1270*INDEX(Variables!$B$9:$D$9,IFERROR(MATCH(IF($B1270="Robusta","Robusta",(IF($B1270="","Arabica",$B1270))&amp;" - "&amp;(IF($C1270="","Commercial",$C1270))),Variables!$B$1:$D$1,0),1))*AC1270/365),""))</f>
        <v>16.331233484876808</v>
      </c>
      <c r="AU1270" s="12">
        <f>IF($H1270="Cancelled","",IFERROR((T1270*INDEX(Variables!$B$7:$D$7,IFERROR(MATCH(IF($B1270="Robusta","Robusta",(IF($B1270="","Arabica",$B1270))&amp;" - "&amp;(IF($C1270="","Commercial",$C1270))),Variables!$B$1:$D$1,0),1))*AP1270/365)+(L1270/16.67*INDEX(Variables!$B$8:$D$8,IFERROR(MATCH(IF($B1270="Robusta","Robusta",(IF($B1270="","Arabica",$B1270))&amp;" - "&amp;(IF($C1270="","Commercial",$C1270))),Variables!$B$1:$D$1,0),1))*AP1270)+(T1270*INDEX(Variables!$B$9:$D$9,IFERROR(MATCH(IF($B1270="Robusta","Robusta",(IF($B1270="","Arabica",$B1270))&amp;" - "&amp;(IF($C1270="","Commercial",$C1270))),Variables!$B$1:$D$1,0),1))*AP1270/365),""))</f>
        <v>-8.1656167424384041</v>
      </c>
      <c r="AV1270" s="11">
        <f t="shared" si="119"/>
        <v>9</v>
      </c>
      <c r="AW1270" s="12">
        <f>IF($H1270="Cancelled","",IFERROR(IF(AV1270="","",(T1270*INDEX(Variables!$B$7:$D$7,IFERROR(MATCH(IF($B1270="Robusta","Robusta",(IF($B1270="","Arabica",$B1270))&amp;" - "&amp;(IF($C1270="","Commercial",$C1270))),Variables!$B$1:$D$1,0),1))*(AV1270/365))+(T1270*INDEX(Variables!$B$9:$D$9,IFERROR(MATCH(IF($B1270="Robusta","Robusta",(IF($B1270="","Arabica",$B1270))&amp;" - "&amp;(IF($C1270="","Commercial",$C1270))),Variables!$B$1:$D$1,0),1))*(AV1270/365))+(INDEX(Variables!$B$8:$D$8,IFERROR(MATCH(IF($B1270="Robusta","Robusta",(IF($B1270="","Arabica",$B1270))&amp;" - "&amp;(IF($C1270="","Commercial",$C1270))),Variables!$B$1:$D$1,0),1))*L1270/16.67)),""))</f>
        <v>16.496850227315214</v>
      </c>
      <c r="AX1270" s="9"/>
      <c r="AY1270" s="12"/>
      <c r="AZ1270" s="10"/>
      <c r="BA1270" s="9"/>
      <c r="BB1270" s="10"/>
      <c r="BC1270" s="9"/>
      <c r="BD1270" s="9"/>
      <c r="BE1270" s="9"/>
      <c r="BF1270" s="9"/>
    </row>
    <row r="1271" spans="1:58" x14ac:dyDescent="0.25">
      <c r="A1271" s="9" t="s">
        <v>84</v>
      </c>
      <c r="B1271" s="9" t="s">
        <v>85</v>
      </c>
      <c r="C1271" s="9" t="s">
        <v>1486</v>
      </c>
      <c r="D1271" s="10">
        <v>46058</v>
      </c>
      <c r="E1271" s="10">
        <v>46082</v>
      </c>
      <c r="F1271" s="10">
        <v>46112</v>
      </c>
      <c r="G1271" s="9">
        <v>3787228</v>
      </c>
      <c r="H1271" s="9" t="str">
        <f t="shared" si="117"/>
        <v>Open</v>
      </c>
      <c r="I1271" s="9" t="str">
        <f t="shared" si="118"/>
        <v>No shipping advice sent and No docs dispatch date</v>
      </c>
      <c r="J1271" s="9" t="s">
        <v>322</v>
      </c>
      <c r="K1271" s="9" t="s">
        <v>2695</v>
      </c>
      <c r="L1271" s="11">
        <v>20</v>
      </c>
      <c r="M1271" s="9" t="s">
        <v>2696</v>
      </c>
      <c r="N1271" s="9"/>
      <c r="O1271" s="9"/>
      <c r="P1271" s="9"/>
      <c r="Q1271" s="11">
        <v>110</v>
      </c>
      <c r="R1271" s="9" t="s">
        <v>195</v>
      </c>
      <c r="S1271" s="9" t="s">
        <v>123</v>
      </c>
      <c r="T1271" s="12">
        <f>IF($H1271="Cancelled","",IFERROR(((Q1271+INDEX(Variables!$B$6:$D$6,IFERROR(MATCH(IF($B1271="Robusta","Robusta",(IF($B1271="","Arabica",$B1271))&amp;" - "&amp;(IF($C1271="","Commercial",$C1271))),Variables!$B$1:$D$1,0),1)))*22.0462)*(L1271/16.67),""))</f>
        <v>10601.220107978403</v>
      </c>
      <c r="U1271" s="10"/>
      <c r="V1271" s="9" t="str">
        <f t="shared" si="122"/>
        <v/>
      </c>
      <c r="W1271" s="10">
        <v>46068</v>
      </c>
      <c r="X1271" s="9" t="str">
        <f t="shared" si="123"/>
        <v>Approved</v>
      </c>
      <c r="Y1271" s="10">
        <v>46084</v>
      </c>
      <c r="Z1271" s="10">
        <f>IF($H1271="Cancelled","",IFERROR(IF(F1271="","",F1271-Variables!$B$13),""))</f>
        <v>46097</v>
      </c>
      <c r="AA1271" s="11">
        <f>IF($H1271="Cancelled","",IFERROR(IF(W1271="","",(AVERAGE(E1271:F1271)-W1271)-Variables!$B$14),""))</f>
        <v>-1</v>
      </c>
      <c r="AB1271" s="10">
        <v>46094</v>
      </c>
      <c r="AC1271" s="11">
        <f>IF($H1271="Cancelled","",IFERROR(IF(AB1271="","",IF(AND(W1271="",Y1271=""),"",IF(Y1271&gt;W1271,Y1271+Variables!$B$15+Variables!$B$16+Variables!$B$17-AB1271,W1271+Variables!$B$16+Variables!$B$17-AB1271))),""))</f>
        <v>5</v>
      </c>
      <c r="AD1271" s="9" t="s">
        <v>130</v>
      </c>
      <c r="AE1271" s="9" t="s">
        <v>1248</v>
      </c>
      <c r="AF1271" s="10"/>
      <c r="AG1271" s="10"/>
      <c r="AH1271" s="9"/>
      <c r="AI1271" s="9">
        <v>3216000001060</v>
      </c>
      <c r="AJ1271" s="9"/>
      <c r="AK1271" s="10">
        <v>46103</v>
      </c>
      <c r="AL1271" s="10"/>
      <c r="AM1271" s="10"/>
      <c r="AN1271" s="9" t="s">
        <v>2605</v>
      </c>
      <c r="AO1271" s="9"/>
      <c r="AP1271" s="11">
        <f>IF($H1271="Cancelled","",IFERROR(IF(OR(AK1271="",AB1271=""),"",(AB1271+Variables!$B$18-AK1271)),""))</f>
        <v>-2</v>
      </c>
      <c r="AQ1271" s="11" t="str">
        <f>IF($H1271="Cancelled","",IFERROR(IF(OR(AM1271="",AK1271=""),"",(AK1271+Variables!$B$19)-AM1271),""))</f>
        <v/>
      </c>
      <c r="AR1271" s="12" t="str">
        <f>IF($H1271="Cancelled","",IFERROR(T1271*INDEX(Variables!$B$7:$D$7,IFERROR(MATCH(IF($B1271="Robusta","Robusta",(IF($B1271="","Arabica",$B1271))&amp;" - "&amp;(IF($C1271="","Commercial",$C1271))),Variables!$B$1:$D$1,0),1))*(AQ1271/365),""))</f>
        <v/>
      </c>
      <c r="AS1271" s="12">
        <f>IF($H1271="Cancelled","",IFERROR((T1271*INDEX(Variables!$B$7:$D$7,IFERROR(MATCH(IF($B1271="Robusta","Robusta",(IF($B1271="","Arabica",$B1271))&amp;" - "&amp;(IF($C1271="","Commercial",$C1271))),Variables!$B$1:$D$1,0),1))*IFERROR(IF(W1271="","",(AVERAGE(E1271:F1271)-W1271)-Variables!$B$14),"")/365)+(L1271/16.67*INDEX(Variables!$B$8:$D$8,IFERROR(MATCH(IF($B1271="Robusta","Robusta",(IF($B1271="","Arabica",$B1271))&amp;" - "&amp;(IF($C1271="","Commercial",$C1271))),Variables!$B$1:$D$1,0),1))*IFERROR(IF(W1271="","",(AVERAGE(E1271:F1271)-W1271)-Variables!$B$14),""))+(T1271*INDEX(Variables!$B$9:$D$9,IFERROR(MATCH(IF($B1271="Robusta","Robusta",(IF($B1271="","Arabica",$B1271))&amp;" - "&amp;(IF($C1271="","Commercial",$C1271))),Variables!$B$1:$D$1,0),1))*IFERROR(IF(W1271="","",(AVERAGE(E1271:F1271)-W1271)-Variables!$B$14),"")/365),""))</f>
        <v>-2.8969939438971162</v>
      </c>
      <c r="AT1271" s="12">
        <f>IF($H1271="Cancelled","",IFERROR((T1271*INDEX(Variables!$B$7:$D$7,IFERROR(MATCH(IF($B1271="Robusta","Robusta",(IF($B1271="","Arabica",$B1271))&amp;" - "&amp;(IF($C1271="","Commercial",$C1271))),Variables!$B$1:$D$1,0),1))*AC1271/365)+(L1271/16.67*INDEX(Variables!$B$8:$D$8,IFERROR(MATCH(IF($B1271="Robusta","Robusta",(IF($B1271="","Arabica",$B1271))&amp;" - "&amp;(IF($C1271="","Commercial",$C1271))),Variables!$B$1:$D$1,0),1))*AC1271)+(T1271*INDEX(Variables!$B$9:$D$9,IFERROR(MATCH(IF($B1271="Robusta","Robusta",(IF($B1271="","Arabica",$B1271))&amp;" - "&amp;(IF($C1271="","Commercial",$C1271))),Variables!$B$1:$D$1,0),1))*AC1271/365),""))</f>
        <v>14.484969719485584</v>
      </c>
      <c r="AU1271" s="12">
        <f>IF($H1271="Cancelled","",IFERROR((T1271*INDEX(Variables!$B$7:$D$7,IFERROR(MATCH(IF($B1271="Robusta","Robusta",(IF($B1271="","Arabica",$B1271))&amp;" - "&amp;(IF($C1271="","Commercial",$C1271))),Variables!$B$1:$D$1,0),1))*AP1271/365)+(L1271/16.67*INDEX(Variables!$B$8:$D$8,IFERROR(MATCH(IF($B1271="Robusta","Robusta",(IF($B1271="","Arabica",$B1271))&amp;" - "&amp;(IF($C1271="","Commercial",$C1271))),Variables!$B$1:$D$1,0),1))*AP1271)+(T1271*INDEX(Variables!$B$9:$D$9,IFERROR(MATCH(IF($B1271="Robusta","Robusta",(IF($B1271="","Arabica",$B1271))&amp;" - "&amp;(IF($C1271="","Commercial",$C1271))),Variables!$B$1:$D$1,0),1))*AP1271/365),""))</f>
        <v>-5.7939878877942323</v>
      </c>
      <c r="AV1271" s="11">
        <f t="shared" si="119"/>
        <v>9</v>
      </c>
      <c r="AW1271" s="12">
        <f>IF($H1271="Cancelled","",IFERROR(IF(AV1271="","",(T1271*INDEX(Variables!$B$7:$D$7,IFERROR(MATCH(IF($B1271="Robusta","Robusta",(IF($B1271="","Arabica",$B1271))&amp;" - "&amp;(IF($C1271="","Commercial",$C1271))),Variables!$B$1:$D$1,0),1))*(AV1271/365))+(T1271*INDEX(Variables!$B$9:$D$9,IFERROR(MATCH(IF($B1271="Robusta","Robusta",(IF($B1271="","Arabica",$B1271))&amp;" - "&amp;(IF($C1271="","Commercial",$C1271))),Variables!$B$1:$D$1,0),1))*(AV1271/365))+(INDEX(Variables!$B$8:$D$8,IFERROR(MATCH(IF($B1271="Robusta","Robusta",(IF($B1271="","Arabica",$B1271))&amp;" - "&amp;(IF($C1271="","Commercial",$C1271))),Variables!$B$1:$D$1,0),1))*L1271/16.67)),""))</f>
        <v>18.072945495074048</v>
      </c>
      <c r="AX1271" s="9"/>
      <c r="AY1271" s="12"/>
      <c r="AZ1271" s="10"/>
      <c r="BA1271" s="9"/>
      <c r="BB1271" s="10"/>
      <c r="BC1271" s="9"/>
      <c r="BD1271" s="9"/>
      <c r="BE1271" s="9"/>
      <c r="BF1271" s="9"/>
    </row>
    <row r="1272" spans="1:58" x14ac:dyDescent="0.25">
      <c r="A1272" s="9" t="s">
        <v>84</v>
      </c>
      <c r="B1272" s="9" t="s">
        <v>85</v>
      </c>
      <c r="C1272" s="9" t="s">
        <v>1486</v>
      </c>
      <c r="D1272" s="10">
        <v>46058</v>
      </c>
      <c r="E1272" s="10">
        <v>46082</v>
      </c>
      <c r="F1272" s="10">
        <v>46112</v>
      </c>
      <c r="G1272" s="9">
        <v>3787229</v>
      </c>
      <c r="H1272" s="9" t="str">
        <f t="shared" si="117"/>
        <v>Open</v>
      </c>
      <c r="I1272" s="9" t="str">
        <f t="shared" si="118"/>
        <v>No shipping advice sent and No docs dispatch date</v>
      </c>
      <c r="J1272" s="9" t="s">
        <v>322</v>
      </c>
      <c r="K1272" s="9" t="s">
        <v>2697</v>
      </c>
      <c r="L1272" s="11">
        <v>20</v>
      </c>
      <c r="M1272" s="9" t="s">
        <v>2698</v>
      </c>
      <c r="N1272" s="9"/>
      <c r="O1272" s="9"/>
      <c r="P1272" s="9"/>
      <c r="Q1272" s="11">
        <v>110</v>
      </c>
      <c r="R1272" s="9" t="s">
        <v>195</v>
      </c>
      <c r="S1272" s="9" t="s">
        <v>123</v>
      </c>
      <c r="T1272" s="12">
        <f>IF($H1272="Cancelled","",IFERROR(((Q1272+INDEX(Variables!$B$6:$D$6,IFERROR(MATCH(IF($B1272="Robusta","Robusta",(IF($B1272="","Arabica",$B1272))&amp;" - "&amp;(IF($C1272="","Commercial",$C1272))),Variables!$B$1:$D$1,0),1)))*22.0462)*(L1272/16.67),""))</f>
        <v>10601.220107978403</v>
      </c>
      <c r="U1272" s="10"/>
      <c r="V1272" s="9" t="str">
        <f t="shared" si="122"/>
        <v/>
      </c>
      <c r="W1272" s="10">
        <v>46068</v>
      </c>
      <c r="X1272" s="9" t="str">
        <f t="shared" si="123"/>
        <v>Approved</v>
      </c>
      <c r="Y1272" s="10">
        <v>46084</v>
      </c>
      <c r="Z1272" s="10">
        <f>IF($H1272="Cancelled","",IFERROR(IF(F1272="","",F1272-Variables!$B$13),""))</f>
        <v>46097</v>
      </c>
      <c r="AA1272" s="11">
        <f>IF($H1272="Cancelled","",IFERROR(IF(W1272="","",(AVERAGE(E1272:F1272)-W1272)-Variables!$B$14),""))</f>
        <v>-1</v>
      </c>
      <c r="AB1272" s="10">
        <v>46094</v>
      </c>
      <c r="AC1272" s="11">
        <f>IF($H1272="Cancelled","",IFERROR(IF(AB1272="","",IF(AND(W1272="",Y1272=""),"",IF(Y1272&gt;W1272,Y1272+Variables!$B$15+Variables!$B$16+Variables!$B$17-AB1272,W1272+Variables!$B$16+Variables!$B$17-AB1272))),""))</f>
        <v>5</v>
      </c>
      <c r="AD1272" s="9" t="s">
        <v>130</v>
      </c>
      <c r="AE1272" s="9" t="s">
        <v>1248</v>
      </c>
      <c r="AF1272" s="10"/>
      <c r="AG1272" s="10"/>
      <c r="AH1272" s="9"/>
      <c r="AI1272" s="9">
        <v>3216000001060</v>
      </c>
      <c r="AJ1272" s="9"/>
      <c r="AK1272" s="10">
        <v>46103</v>
      </c>
      <c r="AL1272" s="10"/>
      <c r="AM1272" s="10"/>
      <c r="AN1272" s="9" t="s">
        <v>2605</v>
      </c>
      <c r="AO1272" s="9"/>
      <c r="AP1272" s="11">
        <f>IF($H1272="Cancelled","",IFERROR(IF(OR(AK1272="",AB1272=""),"",(AB1272+Variables!$B$18-AK1272)),""))</f>
        <v>-2</v>
      </c>
      <c r="AQ1272" s="11" t="str">
        <f>IF($H1272="Cancelled","",IFERROR(IF(OR(AM1272="",AK1272=""),"",(AK1272+Variables!$B$19)-AM1272),""))</f>
        <v/>
      </c>
      <c r="AR1272" s="12" t="str">
        <f>IF($H1272="Cancelled","",IFERROR(T1272*INDEX(Variables!$B$7:$D$7,IFERROR(MATCH(IF($B1272="Robusta","Robusta",(IF($B1272="","Arabica",$B1272))&amp;" - "&amp;(IF($C1272="","Commercial",$C1272))),Variables!$B$1:$D$1,0),1))*(AQ1272/365),""))</f>
        <v/>
      </c>
      <c r="AS1272" s="12">
        <f>IF($H1272="Cancelled","",IFERROR((T1272*INDEX(Variables!$B$7:$D$7,IFERROR(MATCH(IF($B1272="Robusta","Robusta",(IF($B1272="","Arabica",$B1272))&amp;" - "&amp;(IF($C1272="","Commercial",$C1272))),Variables!$B$1:$D$1,0),1))*IFERROR(IF(W1272="","",(AVERAGE(E1272:F1272)-W1272)-Variables!$B$14),"")/365)+(L1272/16.67*INDEX(Variables!$B$8:$D$8,IFERROR(MATCH(IF($B1272="Robusta","Robusta",(IF($B1272="","Arabica",$B1272))&amp;" - "&amp;(IF($C1272="","Commercial",$C1272))),Variables!$B$1:$D$1,0),1))*IFERROR(IF(W1272="","",(AVERAGE(E1272:F1272)-W1272)-Variables!$B$14),""))+(T1272*INDEX(Variables!$B$9:$D$9,IFERROR(MATCH(IF($B1272="Robusta","Robusta",(IF($B1272="","Arabica",$B1272))&amp;" - "&amp;(IF($C1272="","Commercial",$C1272))),Variables!$B$1:$D$1,0),1))*IFERROR(IF(W1272="","",(AVERAGE(E1272:F1272)-W1272)-Variables!$B$14),"")/365),""))</f>
        <v>-2.8969939438971162</v>
      </c>
      <c r="AT1272" s="12">
        <f>IF($H1272="Cancelled","",IFERROR((T1272*INDEX(Variables!$B$7:$D$7,IFERROR(MATCH(IF($B1272="Robusta","Robusta",(IF($B1272="","Arabica",$B1272))&amp;" - "&amp;(IF($C1272="","Commercial",$C1272))),Variables!$B$1:$D$1,0),1))*AC1272/365)+(L1272/16.67*INDEX(Variables!$B$8:$D$8,IFERROR(MATCH(IF($B1272="Robusta","Robusta",(IF($B1272="","Arabica",$B1272))&amp;" - "&amp;(IF($C1272="","Commercial",$C1272))),Variables!$B$1:$D$1,0),1))*AC1272)+(T1272*INDEX(Variables!$B$9:$D$9,IFERROR(MATCH(IF($B1272="Robusta","Robusta",(IF($B1272="","Arabica",$B1272))&amp;" - "&amp;(IF($C1272="","Commercial",$C1272))),Variables!$B$1:$D$1,0),1))*AC1272/365),""))</f>
        <v>14.484969719485584</v>
      </c>
      <c r="AU1272" s="12">
        <f>IF($H1272="Cancelled","",IFERROR((T1272*INDEX(Variables!$B$7:$D$7,IFERROR(MATCH(IF($B1272="Robusta","Robusta",(IF($B1272="","Arabica",$B1272))&amp;" - "&amp;(IF($C1272="","Commercial",$C1272))),Variables!$B$1:$D$1,0),1))*AP1272/365)+(L1272/16.67*INDEX(Variables!$B$8:$D$8,IFERROR(MATCH(IF($B1272="Robusta","Robusta",(IF($B1272="","Arabica",$B1272))&amp;" - "&amp;(IF($C1272="","Commercial",$C1272))),Variables!$B$1:$D$1,0),1))*AP1272)+(T1272*INDEX(Variables!$B$9:$D$9,IFERROR(MATCH(IF($B1272="Robusta","Robusta",(IF($B1272="","Arabica",$B1272))&amp;" - "&amp;(IF($C1272="","Commercial",$C1272))),Variables!$B$1:$D$1,0),1))*AP1272/365),""))</f>
        <v>-5.7939878877942323</v>
      </c>
      <c r="AV1272" s="11">
        <f t="shared" si="119"/>
        <v>9</v>
      </c>
      <c r="AW1272" s="12">
        <f>IF($H1272="Cancelled","",IFERROR(IF(AV1272="","",(T1272*INDEX(Variables!$B$7:$D$7,IFERROR(MATCH(IF($B1272="Robusta","Robusta",(IF($B1272="","Arabica",$B1272))&amp;" - "&amp;(IF($C1272="","Commercial",$C1272))),Variables!$B$1:$D$1,0),1))*(AV1272/365))+(T1272*INDEX(Variables!$B$9:$D$9,IFERROR(MATCH(IF($B1272="Robusta","Robusta",(IF($B1272="","Arabica",$B1272))&amp;" - "&amp;(IF($C1272="","Commercial",$C1272))),Variables!$B$1:$D$1,0),1))*(AV1272/365))+(INDEX(Variables!$B$8:$D$8,IFERROR(MATCH(IF($B1272="Robusta","Robusta",(IF($B1272="","Arabica",$B1272))&amp;" - "&amp;(IF($C1272="","Commercial",$C1272))),Variables!$B$1:$D$1,0),1))*L1272/16.67)),""))</f>
        <v>18.072945495074048</v>
      </c>
      <c r="AX1272" s="9"/>
      <c r="AY1272" s="12"/>
      <c r="AZ1272" s="10"/>
      <c r="BA1272" s="9"/>
      <c r="BB1272" s="10"/>
      <c r="BC1272" s="9"/>
      <c r="BD1272" s="9"/>
      <c r="BE1272" s="9"/>
      <c r="BF1272" s="9"/>
    </row>
    <row r="1273" spans="1:58" x14ac:dyDescent="0.25">
      <c r="A1273" s="9" t="s">
        <v>84</v>
      </c>
      <c r="B1273" s="9" t="s">
        <v>85</v>
      </c>
      <c r="C1273" s="9" t="s">
        <v>1486</v>
      </c>
      <c r="D1273" s="10">
        <v>46058</v>
      </c>
      <c r="E1273" s="10">
        <v>46082</v>
      </c>
      <c r="F1273" s="10">
        <v>46112</v>
      </c>
      <c r="G1273" s="9">
        <v>3787230</v>
      </c>
      <c r="H1273" s="9" t="str">
        <f t="shared" si="117"/>
        <v>Open</v>
      </c>
      <c r="I1273" s="9" t="str">
        <f t="shared" si="118"/>
        <v>No shipping advice sent and No docs dispatch date</v>
      </c>
      <c r="J1273" s="9" t="s">
        <v>322</v>
      </c>
      <c r="K1273" s="9" t="s">
        <v>2699</v>
      </c>
      <c r="L1273" s="11">
        <v>20</v>
      </c>
      <c r="M1273" s="9" t="s">
        <v>2700</v>
      </c>
      <c r="N1273" s="9"/>
      <c r="O1273" s="9"/>
      <c r="P1273" s="9"/>
      <c r="Q1273" s="11">
        <v>90</v>
      </c>
      <c r="R1273" s="9" t="s">
        <v>195</v>
      </c>
      <c r="S1273" s="9" t="s">
        <v>123</v>
      </c>
      <c r="T1273" s="12">
        <f>IF($H1273="Cancelled","",IFERROR(((Q1273+INDEX(Variables!$B$6:$D$6,IFERROR(MATCH(IF($B1273="Robusta","Robusta",(IF($B1273="","Arabica",$B1273))&amp;" - "&amp;(IF($C1273="","Commercial",$C1273))),Variables!$B$1:$D$1,0),1)))*22.0462)*(L1273/16.67),""))</f>
        <v>10072.217108578283</v>
      </c>
      <c r="U1273" s="10"/>
      <c r="V1273" s="9" t="str">
        <f t="shared" si="122"/>
        <v/>
      </c>
      <c r="W1273" s="10">
        <v>46068</v>
      </c>
      <c r="X1273" s="9" t="str">
        <f t="shared" si="123"/>
        <v>Approved</v>
      </c>
      <c r="Y1273" s="10">
        <v>46084</v>
      </c>
      <c r="Z1273" s="10">
        <f>IF($H1273="Cancelled","",IFERROR(IF(F1273="","",F1273-Variables!$B$13),""))</f>
        <v>46097</v>
      </c>
      <c r="AA1273" s="11">
        <f>IF($H1273="Cancelled","",IFERROR(IF(W1273="","",(AVERAGE(E1273:F1273)-W1273)-Variables!$B$14),""))</f>
        <v>-1</v>
      </c>
      <c r="AB1273" s="10">
        <v>46094</v>
      </c>
      <c r="AC1273" s="11">
        <f>IF($H1273="Cancelled","",IFERROR(IF(AB1273="","",IF(AND(W1273="",Y1273=""),"",IF(Y1273&gt;W1273,Y1273+Variables!$B$15+Variables!$B$16+Variables!$B$17-AB1273,W1273+Variables!$B$16+Variables!$B$17-AB1273))),""))</f>
        <v>5</v>
      </c>
      <c r="AD1273" s="9" t="s">
        <v>130</v>
      </c>
      <c r="AE1273" s="9" t="s">
        <v>1248</v>
      </c>
      <c r="AF1273" s="10"/>
      <c r="AG1273" s="10"/>
      <c r="AH1273" s="9"/>
      <c r="AI1273" s="9">
        <v>3216000001060</v>
      </c>
      <c r="AJ1273" s="9"/>
      <c r="AK1273" s="10">
        <v>46103</v>
      </c>
      <c r="AL1273" s="10"/>
      <c r="AM1273" s="10"/>
      <c r="AN1273" s="9" t="s">
        <v>2605</v>
      </c>
      <c r="AO1273" s="9"/>
      <c r="AP1273" s="11">
        <f>IF($H1273="Cancelled","",IFERROR(IF(OR(AK1273="",AB1273=""),"",(AB1273+Variables!$B$18-AK1273)),""))</f>
        <v>-2</v>
      </c>
      <c r="AQ1273" s="11" t="str">
        <f>IF($H1273="Cancelled","",IFERROR(IF(OR(AM1273="",AK1273=""),"",(AK1273+Variables!$B$19)-AM1273),""))</f>
        <v/>
      </c>
      <c r="AR1273" s="12" t="str">
        <f>IF($H1273="Cancelled","",IFERROR(T1273*INDEX(Variables!$B$7:$D$7,IFERROR(MATCH(IF($B1273="Robusta","Robusta",(IF($B1273="","Arabica",$B1273))&amp;" - "&amp;(IF($C1273="","Commercial",$C1273))),Variables!$B$1:$D$1,0),1))*(AQ1273/365),""))</f>
        <v/>
      </c>
      <c r="AS1273" s="12">
        <f>IF($H1273="Cancelled","",IFERROR((T1273*INDEX(Variables!$B$7:$D$7,IFERROR(MATCH(IF($B1273="Robusta","Robusta",(IF($B1273="","Arabica",$B1273))&amp;" - "&amp;(IF($C1273="","Commercial",$C1273))),Variables!$B$1:$D$1,0),1))*IFERROR(IF(W1273="","",(AVERAGE(E1273:F1273)-W1273)-Variables!$B$14),"")/365)+(L1273/16.67*INDEX(Variables!$B$8:$D$8,IFERROR(MATCH(IF($B1273="Robusta","Robusta",(IF($B1273="","Arabica",$B1273))&amp;" - "&amp;(IF($C1273="","Commercial",$C1273))),Variables!$B$1:$D$1,0),1))*IFERROR(IF(W1273="","",(AVERAGE(E1273:F1273)-W1273)-Variables!$B$14),""))+(T1273*INDEX(Variables!$B$9:$D$9,IFERROR(MATCH(IF($B1273="Robusta","Robusta",(IF($B1273="","Arabica",$B1273))&amp;" - "&amp;(IF($C1273="","Commercial",$C1273))),Variables!$B$1:$D$1,0),1))*IFERROR(IF(W1273="","",(AVERAGE(E1273:F1273)-W1273)-Variables!$B$14),"")/365),""))</f>
        <v>-2.8023335674551442</v>
      </c>
      <c r="AT1273" s="12">
        <f>IF($H1273="Cancelled","",IFERROR((T1273*INDEX(Variables!$B$7:$D$7,IFERROR(MATCH(IF($B1273="Robusta","Robusta",(IF($B1273="","Arabica",$B1273))&amp;" - "&amp;(IF($C1273="","Commercial",$C1273))),Variables!$B$1:$D$1,0),1))*AC1273/365)+(L1273/16.67*INDEX(Variables!$B$8:$D$8,IFERROR(MATCH(IF($B1273="Robusta","Robusta",(IF($B1273="","Arabica",$B1273))&amp;" - "&amp;(IF($C1273="","Commercial",$C1273))),Variables!$B$1:$D$1,0),1))*AC1273)+(T1273*INDEX(Variables!$B$9:$D$9,IFERROR(MATCH(IF($B1273="Robusta","Robusta",(IF($B1273="","Arabica",$B1273))&amp;" - "&amp;(IF($C1273="","Commercial",$C1273))),Variables!$B$1:$D$1,0),1))*AC1273/365),""))</f>
        <v>14.011667837275722</v>
      </c>
      <c r="AU1273" s="12">
        <f>IF($H1273="Cancelled","",IFERROR((T1273*INDEX(Variables!$B$7:$D$7,IFERROR(MATCH(IF($B1273="Robusta","Robusta",(IF($B1273="","Arabica",$B1273))&amp;" - "&amp;(IF($C1273="","Commercial",$C1273))),Variables!$B$1:$D$1,0),1))*AP1273/365)+(L1273/16.67*INDEX(Variables!$B$8:$D$8,IFERROR(MATCH(IF($B1273="Robusta","Robusta",(IF($B1273="","Arabica",$B1273))&amp;" - "&amp;(IF($C1273="","Commercial",$C1273))),Variables!$B$1:$D$1,0),1))*AP1273)+(T1273*INDEX(Variables!$B$9:$D$9,IFERROR(MATCH(IF($B1273="Robusta","Robusta",(IF($B1273="","Arabica",$B1273))&amp;" - "&amp;(IF($C1273="","Commercial",$C1273))),Variables!$B$1:$D$1,0),1))*AP1273/365),""))</f>
        <v>-5.6046671349102883</v>
      </c>
      <c r="AV1273" s="11">
        <f t="shared" si="119"/>
        <v>9</v>
      </c>
      <c r="AW1273" s="12">
        <f>IF($H1273="Cancelled","",IFERROR(IF(AV1273="","",(T1273*INDEX(Variables!$B$7:$D$7,IFERROR(MATCH(IF($B1273="Robusta","Robusta",(IF($B1273="","Arabica",$B1273))&amp;" - "&amp;(IF($C1273="","Commercial",$C1273))),Variables!$B$1:$D$1,0),1))*(AV1273/365))+(T1273*INDEX(Variables!$B$9:$D$9,IFERROR(MATCH(IF($B1273="Robusta","Robusta",(IF($B1273="","Arabica",$B1273))&amp;" - "&amp;(IF($C1273="","Commercial",$C1273))),Variables!$B$1:$D$1,0),1))*(AV1273/365))+(INDEX(Variables!$B$8:$D$8,IFERROR(MATCH(IF($B1273="Robusta","Robusta",(IF($B1273="","Arabica",$B1273))&amp;" - "&amp;(IF($C1273="","Commercial",$C1273))),Variables!$B$1:$D$1,0),1))*L1273/16.67)),""))</f>
        <v>17.2210021070963</v>
      </c>
      <c r="AX1273" s="9"/>
      <c r="AY1273" s="12"/>
      <c r="AZ1273" s="10"/>
      <c r="BA1273" s="9"/>
      <c r="BB1273" s="10"/>
      <c r="BC1273" s="9"/>
      <c r="BD1273" s="9"/>
      <c r="BE1273" s="9"/>
      <c r="BF1273" s="9"/>
    </row>
    <row r="1274" spans="1:58" x14ac:dyDescent="0.25">
      <c r="A1274" s="9" t="s">
        <v>84</v>
      </c>
      <c r="B1274" s="9" t="s">
        <v>85</v>
      </c>
      <c r="C1274" s="9" t="s">
        <v>1486</v>
      </c>
      <c r="D1274" s="10">
        <v>46073</v>
      </c>
      <c r="E1274" s="10">
        <v>46082</v>
      </c>
      <c r="F1274" s="10">
        <v>46112</v>
      </c>
      <c r="G1274" s="9">
        <v>3787327</v>
      </c>
      <c r="H1274" s="9" t="str">
        <f t="shared" si="117"/>
        <v>Open</v>
      </c>
      <c r="I1274" s="9" t="str">
        <f t="shared" si="118"/>
        <v>No sailing date and No shipping advice sent and No docs dispatch date</v>
      </c>
      <c r="J1274" s="9" t="s">
        <v>2399</v>
      </c>
      <c r="K1274" s="9" t="s">
        <v>2701</v>
      </c>
      <c r="L1274" s="11">
        <v>10</v>
      </c>
      <c r="M1274" s="9" t="s">
        <v>2702</v>
      </c>
      <c r="N1274" s="9"/>
      <c r="O1274" s="9"/>
      <c r="P1274" s="9"/>
      <c r="Q1274" s="11">
        <v>191.85</v>
      </c>
      <c r="R1274" s="9" t="s">
        <v>195</v>
      </c>
      <c r="S1274" s="9" t="s">
        <v>228</v>
      </c>
      <c r="T1274" s="12">
        <f>IF($H1274="Cancelled","",IFERROR(((Q1274+INDEX(Variables!$B$6:$D$6,IFERROR(MATCH(IF($B1274="Robusta","Robusta",(IF($B1274="","Arabica",$B1274))&amp;" - "&amp;(IF($C1274="","Commercial",$C1274))),Variables!$B$1:$D$1,0),1)))*22.0462)*(L1274/16.67),""))</f>
        <v>6383.0824415116958</v>
      </c>
      <c r="U1274" s="10"/>
      <c r="V1274" s="9" t="str">
        <f t="shared" si="122"/>
        <v/>
      </c>
      <c r="W1274" s="10">
        <v>46068</v>
      </c>
      <c r="X1274" s="9" t="str">
        <f t="shared" si="123"/>
        <v>Approved</v>
      </c>
      <c r="Y1274" s="10">
        <v>46084</v>
      </c>
      <c r="Z1274" s="10">
        <f>IF($H1274="Cancelled","",IFERROR(IF(F1274="","",F1274-Variables!$B$13),""))</f>
        <v>46097</v>
      </c>
      <c r="AA1274" s="11">
        <f>IF($H1274="Cancelled","",IFERROR(IF(W1274="","",(AVERAGE(E1274:F1274)-W1274)-Variables!$B$14),""))</f>
        <v>-1</v>
      </c>
      <c r="AB1274" s="10">
        <v>46095</v>
      </c>
      <c r="AC1274" s="11">
        <f>IF($H1274="Cancelled","",IFERROR(IF(AB1274="","",IF(AND(W1274="",Y1274=""),"",IF(Y1274&gt;W1274,Y1274+Variables!$B$15+Variables!$B$16+Variables!$B$17-AB1274,W1274+Variables!$B$16+Variables!$B$17-AB1274))),""))</f>
        <v>4</v>
      </c>
      <c r="AD1274" s="9" t="s">
        <v>165</v>
      </c>
      <c r="AE1274" s="9" t="s">
        <v>2558</v>
      </c>
      <c r="AF1274" s="10"/>
      <c r="AG1274" s="10"/>
      <c r="AH1274" s="9"/>
      <c r="AI1274" s="9"/>
      <c r="AJ1274" s="9"/>
      <c r="AK1274" s="10"/>
      <c r="AL1274" s="10"/>
      <c r="AM1274" s="10"/>
      <c r="AN1274" s="9" t="s">
        <v>2559</v>
      </c>
      <c r="AO1274" s="9"/>
      <c r="AP1274" s="11" t="str">
        <f>IF($H1274="Cancelled","",IFERROR(IF(OR(AK1274="",AB1274=""),"",(AB1274+Variables!$B$18-AK1274)),""))</f>
        <v/>
      </c>
      <c r="AQ1274" s="11" t="str">
        <f>IF($H1274="Cancelled","",IFERROR(IF(OR(AM1274="",AK1274=""),"",(AK1274+Variables!$B$19)-AM1274),""))</f>
        <v/>
      </c>
      <c r="AR1274" s="12" t="str">
        <f>IF($H1274="Cancelled","",IFERROR(T1274*INDEX(Variables!$B$7:$D$7,IFERROR(MATCH(IF($B1274="Robusta","Robusta",(IF($B1274="","Arabica",$B1274))&amp;" - "&amp;(IF($C1274="","Commercial",$C1274))),Variables!$B$1:$D$1,0),1))*(AQ1274/365),""))</f>
        <v/>
      </c>
      <c r="AS1274" s="12">
        <f>IF($H1274="Cancelled","",IFERROR((T1274*INDEX(Variables!$B$7:$D$7,IFERROR(MATCH(IF($B1274="Robusta","Robusta",(IF($B1274="","Arabica",$B1274))&amp;" - "&amp;(IF($C1274="","Commercial",$C1274))),Variables!$B$1:$D$1,0),1))*IFERROR(IF(W1274="","",(AVERAGE(E1274:F1274)-W1274)-Variables!$B$14),"")/365)+(L1274/16.67*INDEX(Variables!$B$8:$D$8,IFERROR(MATCH(IF($B1274="Robusta","Robusta",(IF($B1274="","Arabica",$B1274))&amp;" - "&amp;(IF($C1274="","Commercial",$C1274))),Variables!$B$1:$D$1,0),1))*IFERROR(IF(W1274="","",(AVERAGE(E1274:F1274)-W1274)-Variables!$B$14),""))+(T1274*INDEX(Variables!$B$9:$D$9,IFERROR(MATCH(IF($B1274="Robusta","Robusta",(IF($B1274="","Arabica",$B1274))&amp;" - "&amp;(IF($C1274="","Commercial",$C1274))),Variables!$B$1:$D$1,0),1))*IFERROR(IF(W1274="","",(AVERAGE(E1274:F1274)-W1274)-Variables!$B$14),"")/365),""))</f>
        <v>-1.6421957672429428</v>
      </c>
      <c r="AT1274" s="12">
        <f>IF($H1274="Cancelled","",IFERROR((T1274*INDEX(Variables!$B$7:$D$7,IFERROR(MATCH(IF($B1274="Robusta","Robusta",(IF($B1274="","Arabica",$B1274))&amp;" - "&amp;(IF($C1274="","Commercial",$C1274))),Variables!$B$1:$D$1,0),1))*AC1274/365)+(L1274/16.67*INDEX(Variables!$B$8:$D$8,IFERROR(MATCH(IF($B1274="Robusta","Robusta",(IF($B1274="","Arabica",$B1274))&amp;" - "&amp;(IF($C1274="","Commercial",$C1274))),Variables!$B$1:$D$1,0),1))*AC1274)+(T1274*INDEX(Variables!$B$9:$D$9,IFERROR(MATCH(IF($B1274="Robusta","Robusta",(IF($B1274="","Arabica",$B1274))&amp;" - "&amp;(IF($C1274="","Commercial",$C1274))),Variables!$B$1:$D$1,0),1))*AC1274/365),""))</f>
        <v>6.5687830689717712</v>
      </c>
      <c r="AU1274" s="12" t="str">
        <f>IF($H1274="Cancelled","",IFERROR((T1274*INDEX(Variables!$B$7:$D$7,IFERROR(MATCH(IF($B1274="Robusta","Robusta",(IF($B1274="","Arabica",$B1274))&amp;" - "&amp;(IF($C1274="","Commercial",$C1274))),Variables!$B$1:$D$1,0),1))*AP1274/365)+(L1274/16.67*INDEX(Variables!$B$8:$D$8,IFERROR(MATCH(IF($B1274="Robusta","Robusta",(IF($B1274="","Arabica",$B1274))&amp;" - "&amp;(IF($C1274="","Commercial",$C1274))),Variables!$B$1:$D$1,0),1))*AP1274)+(T1274*INDEX(Variables!$B$9:$D$9,IFERROR(MATCH(IF($B1274="Robusta","Robusta",(IF($B1274="","Arabica",$B1274))&amp;" - "&amp;(IF($C1274="","Commercial",$C1274))),Variables!$B$1:$D$1,0),1))*AP1274/365),""))</f>
        <v/>
      </c>
      <c r="AV1274" s="11" t="str">
        <f t="shared" si="119"/>
        <v/>
      </c>
      <c r="AW1274" s="12" t="str">
        <f>IF($H1274="Cancelled","",IFERROR(IF(AV1274="","",(T1274*INDEX(Variables!$B$7:$D$7,IFERROR(MATCH(IF($B1274="Robusta","Robusta",(IF($B1274="","Arabica",$B1274))&amp;" - "&amp;(IF($C1274="","Commercial",$C1274))),Variables!$B$1:$D$1,0),1))*(AV1274/365))+(T1274*INDEX(Variables!$B$9:$D$9,IFERROR(MATCH(IF($B1274="Robusta","Robusta",(IF($B1274="","Arabica",$B1274))&amp;" - "&amp;(IF($C1274="","Commercial",$C1274))),Variables!$B$1:$D$1,0),1))*(AV1274/365))+(INDEX(Variables!$B$8:$D$8,IFERROR(MATCH(IF($B1274="Robusta","Robusta",(IF($B1274="","Arabica",$B1274))&amp;" - "&amp;(IF($C1274="","Commercial",$C1274))),Variables!$B$1:$D$1,0),1))*L1274/16.67)),""))</f>
        <v/>
      </c>
      <c r="AX1274" s="9"/>
      <c r="AY1274" s="12"/>
      <c r="AZ1274" s="10"/>
      <c r="BA1274" s="9"/>
      <c r="BB1274" s="10"/>
      <c r="BC1274" s="9"/>
      <c r="BD1274" s="9"/>
      <c r="BE1274" s="9"/>
      <c r="BF1274" s="9"/>
    </row>
    <row r="1275" spans="1:58" x14ac:dyDescent="0.25">
      <c r="A1275" s="9" t="s">
        <v>84</v>
      </c>
      <c r="B1275" s="9" t="s">
        <v>85</v>
      </c>
      <c r="C1275" s="9" t="s">
        <v>1486</v>
      </c>
      <c r="D1275" s="10">
        <v>46073</v>
      </c>
      <c r="E1275" s="10">
        <v>46082</v>
      </c>
      <c r="F1275" s="10">
        <v>46112</v>
      </c>
      <c r="G1275" s="9">
        <v>3787323</v>
      </c>
      <c r="H1275" s="9" t="str">
        <f t="shared" si="117"/>
        <v>Open</v>
      </c>
      <c r="I1275" s="9" t="str">
        <f t="shared" si="118"/>
        <v>No sailing date and No shipping advice sent and No docs dispatch date</v>
      </c>
      <c r="J1275" s="9" t="s">
        <v>2399</v>
      </c>
      <c r="K1275" s="9" t="s">
        <v>2703</v>
      </c>
      <c r="L1275" s="11">
        <v>13</v>
      </c>
      <c r="M1275" s="9" t="s">
        <v>2704</v>
      </c>
      <c r="N1275" s="9"/>
      <c r="O1275" s="9"/>
      <c r="P1275" s="9"/>
      <c r="Q1275" s="11">
        <v>164.65</v>
      </c>
      <c r="R1275" s="9" t="s">
        <v>195</v>
      </c>
      <c r="S1275" s="9" t="s">
        <v>228</v>
      </c>
      <c r="T1275" s="12">
        <f>IF($H1275="Cancelled","",IFERROR(((Q1275+INDEX(Variables!$B$6:$D$6,IFERROR(MATCH(IF($B1275="Robusta","Robusta",(IF($B1275="","Arabica",$B1275))&amp;" - "&amp;(IF($C1275="","Commercial",$C1275))),Variables!$B$1:$D$1,0),1)))*22.0462)*(L1275/16.67),""))</f>
        <v>7830.3685224955016</v>
      </c>
      <c r="U1275" s="10"/>
      <c r="V1275" s="9" t="str">
        <f t="shared" si="122"/>
        <v/>
      </c>
      <c r="W1275" s="10">
        <v>46068</v>
      </c>
      <c r="X1275" s="9" t="str">
        <f t="shared" si="123"/>
        <v>Approved</v>
      </c>
      <c r="Y1275" s="10">
        <v>46084</v>
      </c>
      <c r="Z1275" s="10">
        <f>IF($H1275="Cancelled","",IFERROR(IF(F1275="","",F1275-Variables!$B$13),""))</f>
        <v>46097</v>
      </c>
      <c r="AA1275" s="11">
        <f>IF($H1275="Cancelled","",IFERROR(IF(W1275="","",(AVERAGE(E1275:F1275)-W1275)-Variables!$B$14),""))</f>
        <v>-1</v>
      </c>
      <c r="AB1275" s="10">
        <v>46095</v>
      </c>
      <c r="AC1275" s="11">
        <f>IF($H1275="Cancelled","",IFERROR(IF(AB1275="","",IF(AND(W1275="",Y1275=""),"",IF(Y1275&gt;W1275,Y1275+Variables!$B$15+Variables!$B$16+Variables!$B$17-AB1275,W1275+Variables!$B$16+Variables!$B$17-AB1275))),""))</f>
        <v>4</v>
      </c>
      <c r="AD1275" s="9" t="s">
        <v>165</v>
      </c>
      <c r="AE1275" s="9" t="s">
        <v>2558</v>
      </c>
      <c r="AF1275" s="10"/>
      <c r="AG1275" s="10"/>
      <c r="AH1275" s="9"/>
      <c r="AI1275" s="9"/>
      <c r="AJ1275" s="9"/>
      <c r="AK1275" s="10"/>
      <c r="AL1275" s="10"/>
      <c r="AM1275" s="10"/>
      <c r="AN1275" s="9" t="s">
        <v>2559</v>
      </c>
      <c r="AO1275" s="9"/>
      <c r="AP1275" s="11" t="str">
        <f>IF($H1275="Cancelled","",IFERROR(IF(OR(AK1275="",AB1275=""),"",(AB1275+Variables!$B$18-AK1275)),""))</f>
        <v/>
      </c>
      <c r="AQ1275" s="11" t="str">
        <f>IF($H1275="Cancelled","",IFERROR(IF(OR(AM1275="",AK1275=""),"",(AK1275+Variables!$B$19)-AM1275),""))</f>
        <v/>
      </c>
      <c r="AR1275" s="12" t="str">
        <f>IF($H1275="Cancelled","",IFERROR(T1275*INDEX(Variables!$B$7:$D$7,IFERROR(MATCH(IF($B1275="Robusta","Robusta",(IF($B1275="","Arabica",$B1275))&amp;" - "&amp;(IF($C1275="","Commercial",$C1275))),Variables!$B$1:$D$1,0),1))*(AQ1275/365),""))</f>
        <v/>
      </c>
      <c r="AS1275" s="12">
        <f>IF($H1275="Cancelled","",IFERROR((T1275*INDEX(Variables!$B$7:$D$7,IFERROR(MATCH(IF($B1275="Robusta","Robusta",(IF($B1275="","Arabica",$B1275))&amp;" - "&amp;(IF($C1275="","Commercial",$C1275))),Variables!$B$1:$D$1,0),1))*IFERROR(IF(W1275="","",(AVERAGE(E1275:F1275)-W1275)-Variables!$B$14),"")/365)+(L1275/16.67*INDEX(Variables!$B$8:$D$8,IFERROR(MATCH(IF($B1275="Robusta","Robusta",(IF($B1275="","Arabica",$B1275))&amp;" - "&amp;(IF($C1275="","Commercial",$C1275))),Variables!$B$1:$D$1,0),1))*IFERROR(IF(W1275="","",(AVERAGE(E1275:F1275)-W1275)-Variables!$B$14),""))+(T1275*INDEX(Variables!$B$9:$D$9,IFERROR(MATCH(IF($B1275="Robusta","Robusta",(IF($B1275="","Arabica",$B1275))&amp;" - "&amp;(IF($C1275="","Commercial",$C1275))),Variables!$B$1:$D$1,0),1))*IFERROR(IF(W1275="","",(AVERAGE(E1275:F1275)-W1275)-Variables!$B$14),"")/365),""))</f>
        <v>-2.0511747246411236</v>
      </c>
      <c r="AT1275" s="12">
        <f>IF($H1275="Cancelled","",IFERROR((T1275*INDEX(Variables!$B$7:$D$7,IFERROR(MATCH(IF($B1275="Robusta","Robusta",(IF($B1275="","Arabica",$B1275))&amp;" - "&amp;(IF($C1275="","Commercial",$C1275))),Variables!$B$1:$D$1,0),1))*AC1275/365)+(L1275/16.67*INDEX(Variables!$B$8:$D$8,IFERROR(MATCH(IF($B1275="Robusta","Robusta",(IF($B1275="","Arabica",$B1275))&amp;" - "&amp;(IF($C1275="","Commercial",$C1275))),Variables!$B$1:$D$1,0),1))*AC1275)+(T1275*INDEX(Variables!$B$9:$D$9,IFERROR(MATCH(IF($B1275="Robusta","Robusta",(IF($B1275="","Arabica",$B1275))&amp;" - "&amp;(IF($C1275="","Commercial",$C1275))),Variables!$B$1:$D$1,0),1))*AC1275/365),""))</f>
        <v>8.2046988985644944</v>
      </c>
      <c r="AU1275" s="12" t="str">
        <f>IF($H1275="Cancelled","",IFERROR((T1275*INDEX(Variables!$B$7:$D$7,IFERROR(MATCH(IF($B1275="Robusta","Robusta",(IF($B1275="","Arabica",$B1275))&amp;" - "&amp;(IF($C1275="","Commercial",$C1275))),Variables!$B$1:$D$1,0),1))*AP1275/365)+(L1275/16.67*INDEX(Variables!$B$8:$D$8,IFERROR(MATCH(IF($B1275="Robusta","Robusta",(IF($B1275="","Arabica",$B1275))&amp;" - "&amp;(IF($C1275="","Commercial",$C1275))),Variables!$B$1:$D$1,0),1))*AP1275)+(T1275*INDEX(Variables!$B$9:$D$9,IFERROR(MATCH(IF($B1275="Robusta","Robusta",(IF($B1275="","Arabica",$B1275))&amp;" - "&amp;(IF($C1275="","Commercial",$C1275))),Variables!$B$1:$D$1,0),1))*AP1275/365),""))</f>
        <v/>
      </c>
      <c r="AV1275" s="11" t="str">
        <f t="shared" si="119"/>
        <v/>
      </c>
      <c r="AW1275" s="12" t="str">
        <f>IF($H1275="Cancelled","",IFERROR(IF(AV1275="","",(T1275*INDEX(Variables!$B$7:$D$7,IFERROR(MATCH(IF($B1275="Robusta","Robusta",(IF($B1275="","Arabica",$B1275))&amp;" - "&amp;(IF($C1275="","Commercial",$C1275))),Variables!$B$1:$D$1,0),1))*(AV1275/365))+(T1275*INDEX(Variables!$B$9:$D$9,IFERROR(MATCH(IF($B1275="Robusta","Robusta",(IF($B1275="","Arabica",$B1275))&amp;" - "&amp;(IF($C1275="","Commercial",$C1275))),Variables!$B$1:$D$1,0),1))*(AV1275/365))+(INDEX(Variables!$B$8:$D$8,IFERROR(MATCH(IF($B1275="Robusta","Robusta",(IF($B1275="","Arabica",$B1275))&amp;" - "&amp;(IF($C1275="","Commercial",$C1275))),Variables!$B$1:$D$1,0),1))*L1275/16.67)),""))</f>
        <v/>
      </c>
      <c r="AX1275" s="9"/>
      <c r="AY1275" s="12"/>
      <c r="AZ1275" s="10"/>
      <c r="BA1275" s="9"/>
      <c r="BB1275" s="10"/>
      <c r="BC1275" s="9"/>
      <c r="BD1275" s="9"/>
      <c r="BE1275" s="9"/>
      <c r="BF1275" s="9"/>
    </row>
    <row r="1276" spans="1:58" x14ac:dyDescent="0.25">
      <c r="A1276" s="9" t="s">
        <v>84</v>
      </c>
      <c r="B1276" s="9" t="s">
        <v>85</v>
      </c>
      <c r="C1276" s="9" t="s">
        <v>1486</v>
      </c>
      <c r="D1276" s="10">
        <v>46073</v>
      </c>
      <c r="E1276" s="10">
        <v>46082</v>
      </c>
      <c r="F1276" s="10">
        <v>46112</v>
      </c>
      <c r="G1276" s="9">
        <v>3787324</v>
      </c>
      <c r="H1276" s="9" t="str">
        <f t="shared" si="117"/>
        <v>Open</v>
      </c>
      <c r="I1276" s="9" t="str">
        <f t="shared" si="118"/>
        <v>No sailing date and No shipping advice sent and No docs dispatch date</v>
      </c>
      <c r="J1276" s="9" t="s">
        <v>2399</v>
      </c>
      <c r="K1276" s="9" t="s">
        <v>2705</v>
      </c>
      <c r="L1276" s="11">
        <v>11</v>
      </c>
      <c r="M1276" s="9" t="s">
        <v>2706</v>
      </c>
      <c r="N1276" s="9"/>
      <c r="O1276" s="9"/>
      <c r="P1276" s="9"/>
      <c r="Q1276" s="11">
        <v>154.65</v>
      </c>
      <c r="R1276" s="9" t="s">
        <v>195</v>
      </c>
      <c r="S1276" s="9" t="s">
        <v>228</v>
      </c>
      <c r="T1276" s="12">
        <f>IF($H1276="Cancelled","",IFERROR(((Q1276+INDEX(Variables!$B$6:$D$6,IFERROR(MATCH(IF($B1276="Robusta","Robusta",(IF($B1276="","Arabica",$B1276))&amp;" - "&amp;(IF($C1276="","Commercial",$C1276))),Variables!$B$1:$D$1,0),1)))*22.0462)*(L1276/16.67),""))</f>
        <v>6480.2206172765445</v>
      </c>
      <c r="U1276" s="10"/>
      <c r="V1276" s="9" t="str">
        <f t="shared" si="122"/>
        <v/>
      </c>
      <c r="W1276" s="10">
        <v>46068</v>
      </c>
      <c r="X1276" s="9" t="str">
        <f t="shared" si="123"/>
        <v>Approved</v>
      </c>
      <c r="Y1276" s="10">
        <v>46084</v>
      </c>
      <c r="Z1276" s="10">
        <f>IF($H1276="Cancelled","",IFERROR(IF(F1276="","",F1276-Variables!$B$13),""))</f>
        <v>46097</v>
      </c>
      <c r="AA1276" s="11">
        <f>IF($H1276="Cancelled","",IFERROR(IF(W1276="","",(AVERAGE(E1276:F1276)-W1276)-Variables!$B$14),""))</f>
        <v>-1</v>
      </c>
      <c r="AB1276" s="10">
        <v>46095</v>
      </c>
      <c r="AC1276" s="11">
        <f>IF($H1276="Cancelled","",IFERROR(IF(AB1276="","",IF(AND(W1276="",Y1276=""),"",IF(Y1276&gt;W1276,Y1276+Variables!$B$15+Variables!$B$16+Variables!$B$17-AB1276,W1276+Variables!$B$16+Variables!$B$17-AB1276))),""))</f>
        <v>4</v>
      </c>
      <c r="AD1276" s="9" t="s">
        <v>165</v>
      </c>
      <c r="AE1276" s="9" t="s">
        <v>2558</v>
      </c>
      <c r="AF1276" s="10"/>
      <c r="AG1276" s="10"/>
      <c r="AH1276" s="9"/>
      <c r="AI1276" s="9"/>
      <c r="AJ1276" s="9"/>
      <c r="AK1276" s="10"/>
      <c r="AL1276" s="10"/>
      <c r="AM1276" s="10"/>
      <c r="AN1276" s="9" t="s">
        <v>2559</v>
      </c>
      <c r="AO1276" s="9"/>
      <c r="AP1276" s="11" t="str">
        <f>IF($H1276="Cancelled","",IFERROR(IF(OR(AK1276="",AB1276=""),"",(AB1276+Variables!$B$18-AK1276)),""))</f>
        <v/>
      </c>
      <c r="AQ1276" s="11" t="str">
        <f>IF($H1276="Cancelled","",IFERROR(IF(OR(AM1276="",AK1276=""),"",(AK1276+Variables!$B$19)-AM1276),""))</f>
        <v/>
      </c>
      <c r="AR1276" s="12" t="str">
        <f>IF($H1276="Cancelled","",IFERROR(T1276*INDEX(Variables!$B$7:$D$7,IFERROR(MATCH(IF($B1276="Robusta","Robusta",(IF($B1276="","Arabica",$B1276))&amp;" - "&amp;(IF($C1276="","Commercial",$C1276))),Variables!$B$1:$D$1,0),1))*(AQ1276/365),""))</f>
        <v/>
      </c>
      <c r="AS1276" s="12">
        <f>IF($H1276="Cancelled","",IFERROR((T1276*INDEX(Variables!$B$7:$D$7,IFERROR(MATCH(IF($B1276="Robusta","Robusta",(IF($B1276="","Arabica",$B1276))&amp;" - "&amp;(IF($C1276="","Commercial",$C1276))),Variables!$B$1:$D$1,0),1))*IFERROR(IF(W1276="","",(AVERAGE(E1276:F1276)-W1276)-Variables!$B$14),"")/365)+(L1276/16.67*INDEX(Variables!$B$8:$D$8,IFERROR(MATCH(IF($B1276="Robusta","Robusta",(IF($B1276="","Arabica",$B1276))&amp;" - "&amp;(IF($C1276="","Commercial",$C1276))),Variables!$B$1:$D$1,0),1))*IFERROR(IF(W1276="","",(AVERAGE(E1276:F1276)-W1276)-Variables!$B$14),""))+(T1276*INDEX(Variables!$B$9:$D$9,IFERROR(MATCH(IF($B1276="Robusta","Robusta",(IF($B1276="","Arabica",$B1276))&amp;" - "&amp;(IF($C1276="","Commercial",$C1276))),Variables!$B$1:$D$1,0),1))*IFERROR(IF(W1276="","",(AVERAGE(E1276:F1276)-W1276)-Variables!$B$14),"")/365),""))</f>
        <v>-1.7095777788671005</v>
      </c>
      <c r="AT1276" s="12">
        <f>IF($H1276="Cancelled","",IFERROR((T1276*INDEX(Variables!$B$7:$D$7,IFERROR(MATCH(IF($B1276="Robusta","Robusta",(IF($B1276="","Arabica",$B1276))&amp;" - "&amp;(IF($C1276="","Commercial",$C1276))),Variables!$B$1:$D$1,0),1))*AC1276/365)+(L1276/16.67*INDEX(Variables!$B$8:$D$8,IFERROR(MATCH(IF($B1276="Robusta","Robusta",(IF($B1276="","Arabica",$B1276))&amp;" - "&amp;(IF($C1276="","Commercial",$C1276))),Variables!$B$1:$D$1,0),1))*AC1276)+(T1276*INDEX(Variables!$B$9:$D$9,IFERROR(MATCH(IF($B1276="Robusta","Robusta",(IF($B1276="","Arabica",$B1276))&amp;" - "&amp;(IF($C1276="","Commercial",$C1276))),Variables!$B$1:$D$1,0),1))*AC1276/365),""))</f>
        <v>6.838311115468402</v>
      </c>
      <c r="AU1276" s="12" t="str">
        <f>IF($H1276="Cancelled","",IFERROR((T1276*INDEX(Variables!$B$7:$D$7,IFERROR(MATCH(IF($B1276="Robusta","Robusta",(IF($B1276="","Arabica",$B1276))&amp;" - "&amp;(IF($C1276="","Commercial",$C1276))),Variables!$B$1:$D$1,0),1))*AP1276/365)+(L1276/16.67*INDEX(Variables!$B$8:$D$8,IFERROR(MATCH(IF($B1276="Robusta","Robusta",(IF($B1276="","Arabica",$B1276))&amp;" - "&amp;(IF($C1276="","Commercial",$C1276))),Variables!$B$1:$D$1,0),1))*AP1276)+(T1276*INDEX(Variables!$B$9:$D$9,IFERROR(MATCH(IF($B1276="Robusta","Robusta",(IF($B1276="","Arabica",$B1276))&amp;" - "&amp;(IF($C1276="","Commercial",$C1276))),Variables!$B$1:$D$1,0),1))*AP1276/365),""))</f>
        <v/>
      </c>
      <c r="AV1276" s="11" t="str">
        <f t="shared" si="119"/>
        <v/>
      </c>
      <c r="AW1276" s="12" t="str">
        <f>IF($H1276="Cancelled","",IFERROR(IF(AV1276="","",(T1276*INDEX(Variables!$B$7:$D$7,IFERROR(MATCH(IF($B1276="Robusta","Robusta",(IF($B1276="","Arabica",$B1276))&amp;" - "&amp;(IF($C1276="","Commercial",$C1276))),Variables!$B$1:$D$1,0),1))*(AV1276/365))+(T1276*INDEX(Variables!$B$9:$D$9,IFERROR(MATCH(IF($B1276="Robusta","Robusta",(IF($B1276="","Arabica",$B1276))&amp;" - "&amp;(IF($C1276="","Commercial",$C1276))),Variables!$B$1:$D$1,0),1))*(AV1276/365))+(INDEX(Variables!$B$8:$D$8,IFERROR(MATCH(IF($B1276="Robusta","Robusta",(IF($B1276="","Arabica",$B1276))&amp;" - "&amp;(IF($C1276="","Commercial",$C1276))),Variables!$B$1:$D$1,0),1))*L1276/16.67)),""))</f>
        <v/>
      </c>
      <c r="AX1276" s="9"/>
      <c r="AY1276" s="12"/>
      <c r="AZ1276" s="10"/>
      <c r="BA1276" s="9"/>
      <c r="BB1276" s="10"/>
      <c r="BC1276" s="9"/>
      <c r="BD1276" s="9"/>
      <c r="BE1276" s="9"/>
      <c r="BF1276" s="9"/>
    </row>
    <row r="1277" spans="1:58" x14ac:dyDescent="0.25">
      <c r="A1277" s="9" t="s">
        <v>84</v>
      </c>
      <c r="B1277" s="9" t="s">
        <v>85</v>
      </c>
      <c r="C1277" s="9" t="s">
        <v>1486</v>
      </c>
      <c r="D1277" s="10">
        <v>46073</v>
      </c>
      <c r="E1277" s="10">
        <v>46082</v>
      </c>
      <c r="F1277" s="10">
        <v>46112</v>
      </c>
      <c r="G1277" s="9">
        <v>3787325</v>
      </c>
      <c r="H1277" s="9" t="str">
        <f t="shared" si="117"/>
        <v>Open</v>
      </c>
      <c r="I1277" s="9" t="str">
        <f t="shared" si="118"/>
        <v>No sailing date and No shipping advice sent and No docs dispatch date</v>
      </c>
      <c r="J1277" s="9" t="s">
        <v>2399</v>
      </c>
      <c r="K1277" s="9" t="s">
        <v>2707</v>
      </c>
      <c r="L1277" s="11">
        <v>13</v>
      </c>
      <c r="M1277" s="9" t="s">
        <v>2708</v>
      </c>
      <c r="N1277" s="9"/>
      <c r="O1277" s="9"/>
      <c r="P1277" s="9"/>
      <c r="Q1277" s="11">
        <v>160.65</v>
      </c>
      <c r="R1277" s="9" t="s">
        <v>195</v>
      </c>
      <c r="S1277" s="9" t="s">
        <v>228</v>
      </c>
      <c r="T1277" s="12">
        <f>IF($H1277="Cancelled","",IFERROR(((Q1277+INDEX(Variables!$B$6:$D$6,IFERROR(MATCH(IF($B1277="Robusta","Robusta",(IF($B1277="","Arabica",$B1277))&amp;" - "&amp;(IF($C1277="","Commercial",$C1277))),Variables!$B$1:$D$1,0),1)))*22.0462)*(L1277/16.67),""))</f>
        <v>7761.5981325734847</v>
      </c>
      <c r="U1277" s="10"/>
      <c r="V1277" s="9" t="str">
        <f t="shared" si="122"/>
        <v/>
      </c>
      <c r="W1277" s="10">
        <v>46068</v>
      </c>
      <c r="X1277" s="9" t="str">
        <f t="shared" si="123"/>
        <v>Approved</v>
      </c>
      <c r="Y1277" s="10">
        <v>46084</v>
      </c>
      <c r="Z1277" s="10">
        <f>IF($H1277="Cancelled","",IFERROR(IF(F1277="","",F1277-Variables!$B$13),""))</f>
        <v>46097</v>
      </c>
      <c r="AA1277" s="11">
        <f>IF($H1277="Cancelled","",IFERROR(IF(W1277="","",(AVERAGE(E1277:F1277)-W1277)-Variables!$B$14),""))</f>
        <v>-1</v>
      </c>
      <c r="AB1277" s="10">
        <v>46095</v>
      </c>
      <c r="AC1277" s="11">
        <f>IF($H1277="Cancelled","",IFERROR(IF(AB1277="","",IF(AND(W1277="",Y1277=""),"",IF(Y1277&gt;W1277,Y1277+Variables!$B$15+Variables!$B$16+Variables!$B$17-AB1277,W1277+Variables!$B$16+Variables!$B$17-AB1277))),""))</f>
        <v>4</v>
      </c>
      <c r="AD1277" s="9" t="s">
        <v>165</v>
      </c>
      <c r="AE1277" s="9" t="s">
        <v>2558</v>
      </c>
      <c r="AF1277" s="10"/>
      <c r="AG1277" s="10"/>
      <c r="AH1277" s="9"/>
      <c r="AI1277" s="9"/>
      <c r="AJ1277" s="9"/>
      <c r="AK1277" s="10"/>
      <c r="AL1277" s="10"/>
      <c r="AM1277" s="10"/>
      <c r="AN1277" s="9" t="s">
        <v>2559</v>
      </c>
      <c r="AO1277" s="9"/>
      <c r="AP1277" s="11" t="str">
        <f>IF($H1277="Cancelled","",IFERROR(IF(OR(AK1277="",AB1277=""),"",(AB1277+Variables!$B$18-AK1277)),""))</f>
        <v/>
      </c>
      <c r="AQ1277" s="11" t="str">
        <f>IF($H1277="Cancelled","",IFERROR(IF(OR(AM1277="",AK1277=""),"",(AK1277+Variables!$B$19)-AM1277),""))</f>
        <v/>
      </c>
      <c r="AR1277" s="12" t="str">
        <f>IF($H1277="Cancelled","",IFERROR(T1277*INDEX(Variables!$B$7:$D$7,IFERROR(MATCH(IF($B1277="Robusta","Robusta",(IF($B1277="","Arabica",$B1277))&amp;" - "&amp;(IF($C1277="","Commercial",$C1277))),Variables!$B$1:$D$1,0),1))*(AQ1277/365),""))</f>
        <v/>
      </c>
      <c r="AS1277" s="12">
        <f>IF($H1277="Cancelled","",IFERROR((T1277*INDEX(Variables!$B$7:$D$7,IFERROR(MATCH(IF($B1277="Robusta","Robusta",(IF($B1277="","Arabica",$B1277))&amp;" - "&amp;(IF($C1277="","Commercial",$C1277))),Variables!$B$1:$D$1,0),1))*IFERROR(IF(W1277="","",(AVERAGE(E1277:F1277)-W1277)-Variables!$B$14),"")/365)+(L1277/16.67*INDEX(Variables!$B$8:$D$8,IFERROR(MATCH(IF($B1277="Robusta","Robusta",(IF($B1277="","Arabica",$B1277))&amp;" - "&amp;(IF($C1277="","Commercial",$C1277))),Variables!$B$1:$D$1,0),1))*IFERROR(IF(W1277="","",(AVERAGE(E1277:F1277)-W1277)-Variables!$B$14),""))+(T1277*INDEX(Variables!$B$9:$D$9,IFERROR(MATCH(IF($B1277="Robusta","Robusta",(IF($B1277="","Arabica",$B1277))&amp;" - "&amp;(IF($C1277="","Commercial",$C1277))),Variables!$B$1:$D$1,0),1))*IFERROR(IF(W1277="","",(AVERAGE(E1277:F1277)-W1277)-Variables!$B$14),"")/365),""))</f>
        <v>-2.0388688757036668</v>
      </c>
      <c r="AT1277" s="12">
        <f>IF($H1277="Cancelled","",IFERROR((T1277*INDEX(Variables!$B$7:$D$7,IFERROR(MATCH(IF($B1277="Robusta","Robusta",(IF($B1277="","Arabica",$B1277))&amp;" - "&amp;(IF($C1277="","Commercial",$C1277))),Variables!$B$1:$D$1,0),1))*AC1277/365)+(L1277/16.67*INDEX(Variables!$B$8:$D$8,IFERROR(MATCH(IF($B1277="Robusta","Robusta",(IF($B1277="","Arabica",$B1277))&amp;" - "&amp;(IF($C1277="","Commercial",$C1277))),Variables!$B$1:$D$1,0),1))*AC1277)+(T1277*INDEX(Variables!$B$9:$D$9,IFERROR(MATCH(IF($B1277="Robusta","Robusta",(IF($B1277="","Arabica",$B1277))&amp;" - "&amp;(IF($C1277="","Commercial",$C1277))),Variables!$B$1:$D$1,0),1))*AC1277/365),""))</f>
        <v>8.1554755028146673</v>
      </c>
      <c r="AU1277" s="12" t="str">
        <f>IF($H1277="Cancelled","",IFERROR((T1277*INDEX(Variables!$B$7:$D$7,IFERROR(MATCH(IF($B1277="Robusta","Robusta",(IF($B1277="","Arabica",$B1277))&amp;" - "&amp;(IF($C1277="","Commercial",$C1277))),Variables!$B$1:$D$1,0),1))*AP1277/365)+(L1277/16.67*INDEX(Variables!$B$8:$D$8,IFERROR(MATCH(IF($B1277="Robusta","Robusta",(IF($B1277="","Arabica",$B1277))&amp;" - "&amp;(IF($C1277="","Commercial",$C1277))),Variables!$B$1:$D$1,0),1))*AP1277)+(T1277*INDEX(Variables!$B$9:$D$9,IFERROR(MATCH(IF($B1277="Robusta","Robusta",(IF($B1277="","Arabica",$B1277))&amp;" - "&amp;(IF($C1277="","Commercial",$C1277))),Variables!$B$1:$D$1,0),1))*AP1277/365),""))</f>
        <v/>
      </c>
      <c r="AV1277" s="11" t="str">
        <f t="shared" si="119"/>
        <v/>
      </c>
      <c r="AW1277" s="12" t="str">
        <f>IF($H1277="Cancelled","",IFERROR(IF(AV1277="","",(T1277*INDEX(Variables!$B$7:$D$7,IFERROR(MATCH(IF($B1277="Robusta","Robusta",(IF($B1277="","Arabica",$B1277))&amp;" - "&amp;(IF($C1277="","Commercial",$C1277))),Variables!$B$1:$D$1,0),1))*(AV1277/365))+(T1277*INDEX(Variables!$B$9:$D$9,IFERROR(MATCH(IF($B1277="Robusta","Robusta",(IF($B1277="","Arabica",$B1277))&amp;" - "&amp;(IF($C1277="","Commercial",$C1277))),Variables!$B$1:$D$1,0),1))*(AV1277/365))+(INDEX(Variables!$B$8:$D$8,IFERROR(MATCH(IF($B1277="Robusta","Robusta",(IF($B1277="","Arabica",$B1277))&amp;" - "&amp;(IF($C1277="","Commercial",$C1277))),Variables!$B$1:$D$1,0),1))*L1277/16.67)),""))</f>
        <v/>
      </c>
      <c r="AX1277" s="9"/>
      <c r="AY1277" s="12"/>
      <c r="AZ1277" s="10"/>
      <c r="BA1277" s="9"/>
      <c r="BB1277" s="10"/>
      <c r="BC1277" s="9"/>
      <c r="BD1277" s="9"/>
      <c r="BE1277" s="9"/>
      <c r="BF1277" s="9"/>
    </row>
    <row r="1278" spans="1:58" x14ac:dyDescent="0.25">
      <c r="A1278" s="9" t="s">
        <v>84</v>
      </c>
      <c r="B1278" s="9" t="s">
        <v>85</v>
      </c>
      <c r="C1278" s="9" t="s">
        <v>1486</v>
      </c>
      <c r="D1278" s="10">
        <v>46073</v>
      </c>
      <c r="E1278" s="10">
        <v>46082</v>
      </c>
      <c r="F1278" s="10">
        <v>46112</v>
      </c>
      <c r="G1278" s="9">
        <v>3787326</v>
      </c>
      <c r="H1278" s="9" t="str">
        <f t="shared" si="117"/>
        <v>Open</v>
      </c>
      <c r="I1278" s="9" t="str">
        <f t="shared" si="118"/>
        <v>No sailing date and No shipping advice sent and No docs dispatch date</v>
      </c>
      <c r="J1278" s="9" t="s">
        <v>2399</v>
      </c>
      <c r="K1278" s="9" t="s">
        <v>2709</v>
      </c>
      <c r="L1278" s="11">
        <v>22</v>
      </c>
      <c r="M1278" s="9" t="s">
        <v>2710</v>
      </c>
      <c r="N1278" s="9"/>
      <c r="O1278" s="9"/>
      <c r="P1278" s="9"/>
      <c r="Q1278" s="11">
        <v>191.65</v>
      </c>
      <c r="R1278" s="9" t="s">
        <v>195</v>
      </c>
      <c r="S1278" s="9" t="s">
        <v>228</v>
      </c>
      <c r="T1278" s="12">
        <f>IF($H1278="Cancelled","",IFERROR(((Q1278+INDEX(Variables!$B$6:$D$6,IFERROR(MATCH(IF($B1278="Robusta","Robusta",(IF($B1278="","Arabica",$B1278))&amp;" - "&amp;(IF($C1278="","Commercial",$C1278))),Variables!$B$1:$D$1,0),1)))*22.0462)*(L1278/16.67),""))</f>
        <v>14036.962338332332</v>
      </c>
      <c r="U1278" s="10"/>
      <c r="V1278" s="9" t="str">
        <f t="shared" si="122"/>
        <v/>
      </c>
      <c r="W1278" s="10">
        <v>46068</v>
      </c>
      <c r="X1278" s="9" t="str">
        <f t="shared" si="123"/>
        <v>Approved</v>
      </c>
      <c r="Y1278" s="10">
        <v>46084</v>
      </c>
      <c r="Z1278" s="10">
        <f>IF($H1278="Cancelled","",IFERROR(IF(F1278="","",F1278-Variables!$B$13),""))</f>
        <v>46097</v>
      </c>
      <c r="AA1278" s="11">
        <f>IF($H1278="Cancelled","",IFERROR(IF(W1278="","",(AVERAGE(E1278:F1278)-W1278)-Variables!$B$14),""))</f>
        <v>-1</v>
      </c>
      <c r="AB1278" s="10">
        <v>46095</v>
      </c>
      <c r="AC1278" s="11">
        <f>IF($H1278="Cancelled","",IFERROR(IF(AB1278="","",IF(AND(W1278="",Y1278=""),"",IF(Y1278&gt;W1278,Y1278+Variables!$B$15+Variables!$B$16+Variables!$B$17-AB1278,W1278+Variables!$B$16+Variables!$B$17-AB1278))),""))</f>
        <v>4</v>
      </c>
      <c r="AD1278" s="9" t="s">
        <v>165</v>
      </c>
      <c r="AE1278" s="9" t="s">
        <v>2558</v>
      </c>
      <c r="AF1278" s="10"/>
      <c r="AG1278" s="10"/>
      <c r="AH1278" s="9"/>
      <c r="AI1278" s="9"/>
      <c r="AJ1278" s="9"/>
      <c r="AK1278" s="10"/>
      <c r="AL1278" s="10"/>
      <c r="AM1278" s="10"/>
      <c r="AN1278" s="9" t="s">
        <v>2559</v>
      </c>
      <c r="AO1278" s="9"/>
      <c r="AP1278" s="11" t="str">
        <f>IF($H1278="Cancelled","",IFERROR(IF(OR(AK1278="",AB1278=""),"",(AB1278+Variables!$B$18-AK1278)),""))</f>
        <v/>
      </c>
      <c r="AQ1278" s="11" t="str">
        <f>IF($H1278="Cancelled","",IFERROR(IF(OR(AM1278="",AK1278=""),"",(AK1278+Variables!$B$19)-AM1278),""))</f>
        <v/>
      </c>
      <c r="AR1278" s="12" t="str">
        <f>IF($H1278="Cancelled","",IFERROR(T1278*INDEX(Variables!$B$7:$D$7,IFERROR(MATCH(IF($B1278="Robusta","Robusta",(IF($B1278="","Arabica",$B1278))&amp;" - "&amp;(IF($C1278="","Commercial",$C1278))),Variables!$B$1:$D$1,0),1))*(AQ1278/365),""))</f>
        <v/>
      </c>
      <c r="AS1278" s="12">
        <f>IF($H1278="Cancelled","",IFERROR((T1278*INDEX(Variables!$B$7:$D$7,IFERROR(MATCH(IF($B1278="Robusta","Robusta",(IF($B1278="","Arabica",$B1278))&amp;" - "&amp;(IF($C1278="","Commercial",$C1278))),Variables!$B$1:$D$1,0),1))*IFERROR(IF(W1278="","",(AVERAGE(E1278:F1278)-W1278)-Variables!$B$14),"")/365)+(L1278/16.67*INDEX(Variables!$B$8:$D$8,IFERROR(MATCH(IF($B1278="Robusta","Robusta",(IF($B1278="","Arabica",$B1278))&amp;" - "&amp;(IF($C1278="","Commercial",$C1278))),Variables!$B$1:$D$1,0),1))*IFERROR(IF(W1278="","",(AVERAGE(E1278:F1278)-W1278)-Variables!$B$14),""))+(T1278*INDEX(Variables!$B$9:$D$9,IFERROR(MATCH(IF($B1278="Robusta","Robusta",(IF($B1278="","Arabica",$B1278))&amp;" - "&amp;(IF($C1278="","Commercial",$C1278))),Variables!$B$1:$D$1,0),1))*IFERROR(IF(W1278="","",(AVERAGE(E1278:F1278)-W1278)-Variables!$B$14),"")/365),""))</f>
        <v>-3.6117894237936135</v>
      </c>
      <c r="AT1278" s="12">
        <f>IF($H1278="Cancelled","",IFERROR((T1278*INDEX(Variables!$B$7:$D$7,IFERROR(MATCH(IF($B1278="Robusta","Robusta",(IF($B1278="","Arabica",$B1278))&amp;" - "&amp;(IF($C1278="","Commercial",$C1278))),Variables!$B$1:$D$1,0),1))*AC1278/365)+(L1278/16.67*INDEX(Variables!$B$8:$D$8,IFERROR(MATCH(IF($B1278="Robusta","Robusta",(IF($B1278="","Arabica",$B1278))&amp;" - "&amp;(IF($C1278="","Commercial",$C1278))),Variables!$B$1:$D$1,0),1))*AC1278)+(T1278*INDEX(Variables!$B$9:$D$9,IFERROR(MATCH(IF($B1278="Robusta","Robusta",(IF($B1278="","Arabica",$B1278))&amp;" - "&amp;(IF($C1278="","Commercial",$C1278))),Variables!$B$1:$D$1,0),1))*AC1278/365),""))</f>
        <v>14.447157695174454</v>
      </c>
      <c r="AU1278" s="12" t="str">
        <f>IF($H1278="Cancelled","",IFERROR((T1278*INDEX(Variables!$B$7:$D$7,IFERROR(MATCH(IF($B1278="Robusta","Robusta",(IF($B1278="","Arabica",$B1278))&amp;" - "&amp;(IF($C1278="","Commercial",$C1278))),Variables!$B$1:$D$1,0),1))*AP1278/365)+(L1278/16.67*INDEX(Variables!$B$8:$D$8,IFERROR(MATCH(IF($B1278="Robusta","Robusta",(IF($B1278="","Arabica",$B1278))&amp;" - "&amp;(IF($C1278="","Commercial",$C1278))),Variables!$B$1:$D$1,0),1))*AP1278)+(T1278*INDEX(Variables!$B$9:$D$9,IFERROR(MATCH(IF($B1278="Robusta","Robusta",(IF($B1278="","Arabica",$B1278))&amp;" - "&amp;(IF($C1278="","Commercial",$C1278))),Variables!$B$1:$D$1,0),1))*AP1278/365),""))</f>
        <v/>
      </c>
      <c r="AV1278" s="11" t="str">
        <f t="shared" si="119"/>
        <v/>
      </c>
      <c r="AW1278" s="12" t="str">
        <f>IF($H1278="Cancelled","",IFERROR(IF(AV1278="","",(T1278*INDEX(Variables!$B$7:$D$7,IFERROR(MATCH(IF($B1278="Robusta","Robusta",(IF($B1278="","Arabica",$B1278))&amp;" - "&amp;(IF($C1278="","Commercial",$C1278))),Variables!$B$1:$D$1,0),1))*(AV1278/365))+(T1278*INDEX(Variables!$B$9:$D$9,IFERROR(MATCH(IF($B1278="Robusta","Robusta",(IF($B1278="","Arabica",$B1278))&amp;" - "&amp;(IF($C1278="","Commercial",$C1278))),Variables!$B$1:$D$1,0),1))*(AV1278/365))+(INDEX(Variables!$B$8:$D$8,IFERROR(MATCH(IF($B1278="Robusta","Robusta",(IF($B1278="","Arabica",$B1278))&amp;" - "&amp;(IF($C1278="","Commercial",$C1278))),Variables!$B$1:$D$1,0),1))*L1278/16.67)),""))</f>
        <v/>
      </c>
      <c r="AX1278" s="9"/>
      <c r="AY1278" s="12"/>
      <c r="AZ1278" s="10"/>
      <c r="BA1278" s="9"/>
      <c r="BB1278" s="10"/>
      <c r="BC1278" s="9"/>
      <c r="BD1278" s="9"/>
      <c r="BE1278" s="9"/>
      <c r="BF1278" s="9"/>
    </row>
    <row r="1279" spans="1:58" x14ac:dyDescent="0.25">
      <c r="A1279" s="9" t="s">
        <v>84</v>
      </c>
      <c r="B1279" s="9" t="s">
        <v>85</v>
      </c>
      <c r="C1279" s="9" t="s">
        <v>1486</v>
      </c>
      <c r="D1279" s="10">
        <v>46073</v>
      </c>
      <c r="E1279" s="10">
        <v>46082</v>
      </c>
      <c r="F1279" s="10">
        <v>46112</v>
      </c>
      <c r="G1279" s="9">
        <v>3787328</v>
      </c>
      <c r="H1279" s="9" t="str">
        <f t="shared" si="117"/>
        <v>Open</v>
      </c>
      <c r="I1279" s="9" t="str">
        <f t="shared" si="118"/>
        <v>No sailing date and No shipping advice sent and No docs dispatch date</v>
      </c>
      <c r="J1279" s="9" t="s">
        <v>2399</v>
      </c>
      <c r="K1279" s="9" t="s">
        <v>2711</v>
      </c>
      <c r="L1279" s="11">
        <v>45</v>
      </c>
      <c r="M1279" s="9" t="s">
        <v>2712</v>
      </c>
      <c r="N1279" s="9"/>
      <c r="O1279" s="9"/>
      <c r="P1279" s="9"/>
      <c r="Q1279" s="11">
        <v>216.85</v>
      </c>
      <c r="R1279" s="9" t="s">
        <v>195</v>
      </c>
      <c r="S1279" s="9" t="s">
        <v>228</v>
      </c>
      <c r="T1279" s="12">
        <f>IF($H1279="Cancelled","",IFERROR(((Q1279+INDEX(Variables!$B$6:$D$6,IFERROR(MATCH(IF($B1279="Robusta","Robusta",(IF($B1279="","Arabica",$B1279))&amp;" - "&amp;(IF($C1279="","Commercial",$C1279))),Variables!$B$1:$D$1,0),1)))*22.0462)*(L1279/16.67),""))</f>
        <v>30211.691922615471</v>
      </c>
      <c r="U1279" s="10"/>
      <c r="V1279" s="9" t="str">
        <f t="shared" si="122"/>
        <v/>
      </c>
      <c r="W1279" s="10">
        <v>46068</v>
      </c>
      <c r="X1279" s="9" t="str">
        <f t="shared" si="123"/>
        <v>Approved</v>
      </c>
      <c r="Y1279" s="10">
        <v>46084</v>
      </c>
      <c r="Z1279" s="10">
        <f>IF($H1279="Cancelled","",IFERROR(IF(F1279="","",F1279-Variables!$B$13),""))</f>
        <v>46097</v>
      </c>
      <c r="AA1279" s="11">
        <f>IF($H1279="Cancelled","",IFERROR(IF(W1279="","",(AVERAGE(E1279:F1279)-W1279)-Variables!$B$14),""))</f>
        <v>-1</v>
      </c>
      <c r="AB1279" s="10">
        <v>46095</v>
      </c>
      <c r="AC1279" s="11">
        <f>IF($H1279="Cancelled","",IFERROR(IF(AB1279="","",IF(AND(W1279="",Y1279=""),"",IF(Y1279&gt;W1279,Y1279+Variables!$B$15+Variables!$B$16+Variables!$B$17-AB1279,W1279+Variables!$B$16+Variables!$B$17-AB1279))),""))</f>
        <v>4</v>
      </c>
      <c r="AD1279" s="9" t="s">
        <v>165</v>
      </c>
      <c r="AE1279" s="9" t="s">
        <v>2558</v>
      </c>
      <c r="AF1279" s="10"/>
      <c r="AG1279" s="10"/>
      <c r="AH1279" s="9"/>
      <c r="AI1279" s="9"/>
      <c r="AJ1279" s="9"/>
      <c r="AK1279" s="10"/>
      <c r="AL1279" s="10"/>
      <c r="AM1279" s="10"/>
      <c r="AN1279" s="9" t="s">
        <v>2559</v>
      </c>
      <c r="AO1279" s="9"/>
      <c r="AP1279" s="11" t="str">
        <f>IF($H1279="Cancelled","",IFERROR(IF(OR(AK1279="",AB1279=""),"",(AB1279+Variables!$B$18-AK1279)),""))</f>
        <v/>
      </c>
      <c r="AQ1279" s="11" t="str">
        <f>IF($H1279="Cancelled","",IFERROR(IF(OR(AM1279="",AK1279=""),"",(AK1279+Variables!$B$19)-AM1279),""))</f>
        <v/>
      </c>
      <c r="AR1279" s="12" t="str">
        <f>IF($H1279="Cancelled","",IFERROR(T1279*INDEX(Variables!$B$7:$D$7,IFERROR(MATCH(IF($B1279="Robusta","Robusta",(IF($B1279="","Arabica",$B1279))&amp;" - "&amp;(IF($C1279="","Commercial",$C1279))),Variables!$B$1:$D$1,0),1))*(AQ1279/365),""))</f>
        <v/>
      </c>
      <c r="AS1279" s="12">
        <f>IF($H1279="Cancelled","",IFERROR((T1279*INDEX(Variables!$B$7:$D$7,IFERROR(MATCH(IF($B1279="Robusta","Robusta",(IF($B1279="","Arabica",$B1279))&amp;" - "&amp;(IF($C1279="","Commercial",$C1279))),Variables!$B$1:$D$1,0),1))*IFERROR(IF(W1279="","",(AVERAGE(E1279:F1279)-W1279)-Variables!$B$14),"")/365)+(L1279/16.67*INDEX(Variables!$B$8:$D$8,IFERROR(MATCH(IF($B1279="Robusta","Robusta",(IF($B1279="","Arabica",$B1279))&amp;" - "&amp;(IF($C1279="","Commercial",$C1279))),Variables!$B$1:$D$1,0),1))*IFERROR(IF(W1279="","",(AVERAGE(E1279:F1279)-W1279)-Variables!$B$14),""))+(T1279*INDEX(Variables!$B$9:$D$9,IFERROR(MATCH(IF($B1279="Robusta","Robusta",(IF($B1279="","Arabica",$B1279))&amp;" - "&amp;(IF($C1279="","Commercial",$C1279))),Variables!$B$1:$D$1,0),1))*IFERROR(IF(W1279="","",(AVERAGE(E1279:F1279)-W1279)-Variables!$B$14),"")/365),""))</f>
        <v>-7.6561132613362908</v>
      </c>
      <c r="AT1279" s="12">
        <f>IF($H1279="Cancelled","",IFERROR((T1279*INDEX(Variables!$B$7:$D$7,IFERROR(MATCH(IF($B1279="Robusta","Robusta",(IF($B1279="","Arabica",$B1279))&amp;" - "&amp;(IF($C1279="","Commercial",$C1279))),Variables!$B$1:$D$1,0),1))*AC1279/365)+(L1279/16.67*INDEX(Variables!$B$8:$D$8,IFERROR(MATCH(IF($B1279="Robusta","Robusta",(IF($B1279="","Arabica",$B1279))&amp;" - "&amp;(IF($C1279="","Commercial",$C1279))),Variables!$B$1:$D$1,0),1))*AC1279)+(T1279*INDEX(Variables!$B$9:$D$9,IFERROR(MATCH(IF($B1279="Robusta","Robusta",(IF($B1279="","Arabica",$B1279))&amp;" - "&amp;(IF($C1279="","Commercial",$C1279))),Variables!$B$1:$D$1,0),1))*AC1279/365),""))</f>
        <v>30.624453045345163</v>
      </c>
      <c r="AU1279" s="12" t="str">
        <f>IF($H1279="Cancelled","",IFERROR((T1279*INDEX(Variables!$B$7:$D$7,IFERROR(MATCH(IF($B1279="Robusta","Robusta",(IF($B1279="","Arabica",$B1279))&amp;" - "&amp;(IF($C1279="","Commercial",$C1279))),Variables!$B$1:$D$1,0),1))*AP1279/365)+(L1279/16.67*INDEX(Variables!$B$8:$D$8,IFERROR(MATCH(IF($B1279="Robusta","Robusta",(IF($B1279="","Arabica",$B1279))&amp;" - "&amp;(IF($C1279="","Commercial",$C1279))),Variables!$B$1:$D$1,0),1))*AP1279)+(T1279*INDEX(Variables!$B$9:$D$9,IFERROR(MATCH(IF($B1279="Robusta","Robusta",(IF($B1279="","Arabica",$B1279))&amp;" - "&amp;(IF($C1279="","Commercial",$C1279))),Variables!$B$1:$D$1,0),1))*AP1279/365),""))</f>
        <v/>
      </c>
      <c r="AV1279" s="11" t="str">
        <f t="shared" si="119"/>
        <v/>
      </c>
      <c r="AW1279" s="12" t="str">
        <f>IF($H1279="Cancelled","",IFERROR(IF(AV1279="","",(T1279*INDEX(Variables!$B$7:$D$7,IFERROR(MATCH(IF($B1279="Robusta","Robusta",(IF($B1279="","Arabica",$B1279))&amp;" - "&amp;(IF($C1279="","Commercial",$C1279))),Variables!$B$1:$D$1,0),1))*(AV1279/365))+(T1279*INDEX(Variables!$B$9:$D$9,IFERROR(MATCH(IF($B1279="Robusta","Robusta",(IF($B1279="","Arabica",$B1279))&amp;" - "&amp;(IF($C1279="","Commercial",$C1279))),Variables!$B$1:$D$1,0),1))*(AV1279/365))+(INDEX(Variables!$B$8:$D$8,IFERROR(MATCH(IF($B1279="Robusta","Robusta",(IF($B1279="","Arabica",$B1279))&amp;" - "&amp;(IF($C1279="","Commercial",$C1279))),Variables!$B$1:$D$1,0),1))*L1279/16.67)),""))</f>
        <v/>
      </c>
      <c r="AX1279" s="9"/>
      <c r="AY1279" s="12"/>
      <c r="AZ1279" s="10"/>
      <c r="BA1279" s="9"/>
      <c r="BB1279" s="10"/>
      <c r="BC1279" s="9"/>
      <c r="BD1279" s="9"/>
      <c r="BE1279" s="9"/>
      <c r="BF1279" s="9"/>
    </row>
    <row r="1280" spans="1:58" x14ac:dyDescent="0.25">
      <c r="A1280" s="9" t="s">
        <v>84</v>
      </c>
      <c r="B1280" s="9" t="s">
        <v>85</v>
      </c>
      <c r="C1280" s="9" t="s">
        <v>1486</v>
      </c>
      <c r="D1280" s="10">
        <v>46066</v>
      </c>
      <c r="E1280" s="10">
        <v>46095</v>
      </c>
      <c r="F1280" s="10">
        <v>46112</v>
      </c>
      <c r="G1280" s="9">
        <v>3787273</v>
      </c>
      <c r="H1280" s="9" t="str">
        <f t="shared" si="117"/>
        <v>Open</v>
      </c>
      <c r="I1280" s="9" t="str">
        <f t="shared" si="118"/>
        <v>No sailing date and No shipping advice sent and No docs dispatch date</v>
      </c>
      <c r="J1280" s="9" t="s">
        <v>1552</v>
      </c>
      <c r="K1280" s="9" t="s">
        <v>2713</v>
      </c>
      <c r="L1280" s="11">
        <v>30</v>
      </c>
      <c r="M1280" s="9" t="s">
        <v>2714</v>
      </c>
      <c r="N1280" s="9"/>
      <c r="O1280" s="9"/>
      <c r="P1280" s="9"/>
      <c r="Q1280" s="11">
        <v>156.65</v>
      </c>
      <c r="R1280" s="9" t="s">
        <v>195</v>
      </c>
      <c r="S1280" s="9" t="s">
        <v>150</v>
      </c>
      <c r="T1280" s="12">
        <f>IF($H1280="Cancelled","",IFERROR(((Q1280+INDEX(Variables!$B$6:$D$6,IFERROR(MATCH(IF($B1280="Robusta","Robusta",(IF($B1280="","Arabica",$B1280))&amp;" - "&amp;(IF($C1280="","Commercial",$C1280))),Variables!$B$1:$D$1,0),1)))*22.0462)*(L1280/16.67),""))</f>
        <v>17752.679406118776</v>
      </c>
      <c r="U1280" s="10"/>
      <c r="V1280" s="9" t="str">
        <f t="shared" si="122"/>
        <v/>
      </c>
      <c r="W1280" s="10"/>
      <c r="X1280" s="9" t="str">
        <f t="shared" si="123"/>
        <v/>
      </c>
      <c r="Y1280" s="10"/>
      <c r="Z1280" s="10">
        <f>IF($H1280="Cancelled","",IFERROR(IF(F1280="","",F1280-Variables!$B$13),""))</f>
        <v>46097</v>
      </c>
      <c r="AA1280" s="11" t="str">
        <f>IF($H1280="Cancelled","",IFERROR(IF(W1280="","",(AVERAGE(E1280:F1280)-W1280)-Variables!$B$14),""))</f>
        <v/>
      </c>
      <c r="AB1280" s="10"/>
      <c r="AC1280" s="11" t="str">
        <f>IF($H1280="Cancelled","",IFERROR(IF(AB1280="","",IF(AND(W1280="",Y1280=""),"",IF(Y1280&gt;W1280,Y1280+Variables!$B$15+Variables!$B$16+Variables!$B$17-AB1280,W1280+Variables!$B$16+Variables!$B$17-AB1280))),""))</f>
        <v/>
      </c>
      <c r="AD1280" s="9" t="s">
        <v>151</v>
      </c>
      <c r="AE1280" s="9"/>
      <c r="AF1280" s="10"/>
      <c r="AG1280" s="10"/>
      <c r="AH1280" s="9"/>
      <c r="AI1280" s="9"/>
      <c r="AJ1280" s="9"/>
      <c r="AK1280" s="10"/>
      <c r="AL1280" s="10"/>
      <c r="AM1280" s="10"/>
      <c r="AN1280" s="9" t="s">
        <v>1188</v>
      </c>
      <c r="AO1280" s="9"/>
      <c r="AP1280" s="11" t="str">
        <f>IF($H1280="Cancelled","",IFERROR(IF(OR(AK1280="",AB1280=""),"",(AB1280+Variables!$B$18-AK1280)),""))</f>
        <v/>
      </c>
      <c r="AQ1280" s="11" t="str">
        <f>IF($H1280="Cancelled","",IFERROR(IF(OR(AM1280="",AK1280=""),"",(AK1280+Variables!$B$19)-AM1280),""))</f>
        <v/>
      </c>
      <c r="AR1280" s="12" t="str">
        <f>IF($H1280="Cancelled","",IFERROR(T1280*INDEX(Variables!$B$7:$D$7,IFERROR(MATCH(IF($B1280="Robusta","Robusta",(IF($B1280="","Arabica",$B1280))&amp;" - "&amp;(IF($C1280="","Commercial",$C1280))),Variables!$B$1:$D$1,0),1))*(AQ1280/365),""))</f>
        <v/>
      </c>
      <c r="AS1280" s="12" t="str">
        <f>IF($H1280="Cancelled","",IFERROR((T1280*INDEX(Variables!$B$7:$D$7,IFERROR(MATCH(IF($B1280="Robusta","Robusta",(IF($B1280="","Arabica",$B1280))&amp;" - "&amp;(IF($C1280="","Commercial",$C1280))),Variables!$B$1:$D$1,0),1))*IFERROR(IF(W1280="","",(AVERAGE(E1280:F1280)-W1280)-Variables!$B$14),"")/365)+(L1280/16.67*INDEX(Variables!$B$8:$D$8,IFERROR(MATCH(IF($B1280="Robusta","Robusta",(IF($B1280="","Arabica",$B1280))&amp;" - "&amp;(IF($C1280="","Commercial",$C1280))),Variables!$B$1:$D$1,0),1))*IFERROR(IF(W1280="","",(AVERAGE(E1280:F1280)-W1280)-Variables!$B$14),""))+(T1280*INDEX(Variables!$B$9:$D$9,IFERROR(MATCH(IF($B1280="Robusta","Robusta",(IF($B1280="","Arabica",$B1280))&amp;" - "&amp;(IF($C1280="","Commercial",$C1280))),Variables!$B$1:$D$1,0),1))*IFERROR(IF(W1280="","",(AVERAGE(E1280:F1280)-W1280)-Variables!$B$14),"")/365),""))</f>
        <v/>
      </c>
      <c r="AT1280" s="12" t="str">
        <f>IF($H1280="Cancelled","",IFERROR((T1280*INDEX(Variables!$B$7:$D$7,IFERROR(MATCH(IF($B1280="Robusta","Robusta",(IF($B1280="","Arabica",$B1280))&amp;" - "&amp;(IF($C1280="","Commercial",$C1280))),Variables!$B$1:$D$1,0),1))*AC1280/365)+(L1280/16.67*INDEX(Variables!$B$8:$D$8,IFERROR(MATCH(IF($B1280="Robusta","Robusta",(IF($B1280="","Arabica",$B1280))&amp;" - "&amp;(IF($C1280="","Commercial",$C1280))),Variables!$B$1:$D$1,0),1))*AC1280)+(T1280*INDEX(Variables!$B$9:$D$9,IFERROR(MATCH(IF($B1280="Robusta","Robusta",(IF($B1280="","Arabica",$B1280))&amp;" - "&amp;(IF($C1280="","Commercial",$C1280))),Variables!$B$1:$D$1,0),1))*AC1280/365),""))</f>
        <v/>
      </c>
      <c r="AU1280" s="12" t="str">
        <f>IF($H1280="Cancelled","",IFERROR((T1280*INDEX(Variables!$B$7:$D$7,IFERROR(MATCH(IF($B1280="Robusta","Robusta",(IF($B1280="","Arabica",$B1280))&amp;" - "&amp;(IF($C1280="","Commercial",$C1280))),Variables!$B$1:$D$1,0),1))*AP1280/365)+(L1280/16.67*INDEX(Variables!$B$8:$D$8,IFERROR(MATCH(IF($B1280="Robusta","Robusta",(IF($B1280="","Arabica",$B1280))&amp;" - "&amp;(IF($C1280="","Commercial",$C1280))),Variables!$B$1:$D$1,0),1))*AP1280)+(T1280*INDEX(Variables!$B$9:$D$9,IFERROR(MATCH(IF($B1280="Robusta","Robusta",(IF($B1280="","Arabica",$B1280))&amp;" - "&amp;(IF($C1280="","Commercial",$C1280))),Variables!$B$1:$D$1,0),1))*AP1280/365),""))</f>
        <v/>
      </c>
      <c r="AV1280" s="11" t="str">
        <f t="shared" si="119"/>
        <v/>
      </c>
      <c r="AW1280" s="12" t="str">
        <f>IF($H1280="Cancelled","",IFERROR(IF(AV1280="","",(T1280*INDEX(Variables!$B$7:$D$7,IFERROR(MATCH(IF($B1280="Robusta","Robusta",(IF($B1280="","Arabica",$B1280))&amp;" - "&amp;(IF($C1280="","Commercial",$C1280))),Variables!$B$1:$D$1,0),1))*(AV1280/365))+(T1280*INDEX(Variables!$B$9:$D$9,IFERROR(MATCH(IF($B1280="Robusta","Robusta",(IF($B1280="","Arabica",$B1280))&amp;" - "&amp;(IF($C1280="","Commercial",$C1280))),Variables!$B$1:$D$1,0),1))*(AV1280/365))+(INDEX(Variables!$B$8:$D$8,IFERROR(MATCH(IF($B1280="Robusta","Robusta",(IF($B1280="","Arabica",$B1280))&amp;" - "&amp;(IF($C1280="","Commercial",$C1280))),Variables!$B$1:$D$1,0),1))*L1280/16.67)),""))</f>
        <v/>
      </c>
      <c r="AX1280" s="9"/>
      <c r="AY1280" s="12"/>
      <c r="AZ1280" s="10"/>
      <c r="BA1280" s="9"/>
      <c r="BB1280" s="10"/>
      <c r="BC1280" s="9"/>
      <c r="BD1280" s="9"/>
      <c r="BE1280" s="9"/>
      <c r="BF1280" s="9"/>
    </row>
    <row r="1281" spans="1:58" x14ac:dyDescent="0.25">
      <c r="A1281" s="9" t="s">
        <v>84</v>
      </c>
      <c r="B1281" s="9" t="s">
        <v>85</v>
      </c>
      <c r="C1281" s="9" t="s">
        <v>1486</v>
      </c>
      <c r="D1281" s="10">
        <v>46066</v>
      </c>
      <c r="E1281" s="10">
        <v>46095</v>
      </c>
      <c r="F1281" s="10">
        <v>46112</v>
      </c>
      <c r="G1281" s="9">
        <v>3787270</v>
      </c>
      <c r="H1281" s="9" t="str">
        <f t="shared" si="117"/>
        <v>Open</v>
      </c>
      <c r="I1281" s="9" t="str">
        <f t="shared" si="118"/>
        <v>No sailing date and No shipping advice sent and No docs dispatch date</v>
      </c>
      <c r="J1281" s="9" t="s">
        <v>1552</v>
      </c>
      <c r="K1281" s="9" t="s">
        <v>2715</v>
      </c>
      <c r="L1281" s="11">
        <v>30</v>
      </c>
      <c r="M1281" s="9" t="s">
        <v>2716</v>
      </c>
      <c r="N1281" s="9"/>
      <c r="O1281" s="9"/>
      <c r="P1281" s="9"/>
      <c r="Q1281" s="11">
        <v>183.65</v>
      </c>
      <c r="R1281" s="9" t="s">
        <v>195</v>
      </c>
      <c r="S1281" s="9" t="s">
        <v>150</v>
      </c>
      <c r="T1281" s="12">
        <f>IF($H1281="Cancelled","",IFERROR(((Q1281+INDEX(Variables!$B$6:$D$6,IFERROR(MATCH(IF($B1281="Robusta","Robusta",(IF($B1281="","Arabica",$B1281))&amp;" - "&amp;(IF($C1281="","Commercial",$C1281))),Variables!$B$1:$D$1,0),1)))*22.0462)*(L1281/16.67),""))</f>
        <v>18823.910479904018</v>
      </c>
      <c r="U1281" s="10"/>
      <c r="V1281" s="9" t="str">
        <f t="shared" si="122"/>
        <v/>
      </c>
      <c r="W1281" s="10"/>
      <c r="X1281" s="9" t="str">
        <f t="shared" si="123"/>
        <v/>
      </c>
      <c r="Y1281" s="10"/>
      <c r="Z1281" s="10">
        <f>IF($H1281="Cancelled","",IFERROR(IF(F1281="","",F1281-Variables!$B$13),""))</f>
        <v>46097</v>
      </c>
      <c r="AA1281" s="11" t="str">
        <f>IF($H1281="Cancelled","",IFERROR(IF(W1281="","",(AVERAGE(E1281:F1281)-W1281)-Variables!$B$14),""))</f>
        <v/>
      </c>
      <c r="AB1281" s="10"/>
      <c r="AC1281" s="11" t="str">
        <f>IF($H1281="Cancelled","",IFERROR(IF(AB1281="","",IF(AND(W1281="",Y1281=""),"",IF(Y1281&gt;W1281,Y1281+Variables!$B$15+Variables!$B$16+Variables!$B$17-AB1281,W1281+Variables!$B$16+Variables!$B$17-AB1281))),""))</f>
        <v/>
      </c>
      <c r="AD1281" s="9" t="s">
        <v>151</v>
      </c>
      <c r="AE1281" s="9"/>
      <c r="AF1281" s="10"/>
      <c r="AG1281" s="10"/>
      <c r="AH1281" s="9"/>
      <c r="AI1281" s="9"/>
      <c r="AJ1281" s="9"/>
      <c r="AK1281" s="10"/>
      <c r="AL1281" s="10"/>
      <c r="AM1281" s="10"/>
      <c r="AN1281" s="9" t="s">
        <v>1188</v>
      </c>
      <c r="AO1281" s="9"/>
      <c r="AP1281" s="11" t="str">
        <f>IF($H1281="Cancelled","",IFERROR(IF(OR(AK1281="",AB1281=""),"",(AB1281+Variables!$B$18-AK1281)),""))</f>
        <v/>
      </c>
      <c r="AQ1281" s="11" t="str">
        <f>IF($H1281="Cancelled","",IFERROR(IF(OR(AM1281="",AK1281=""),"",(AK1281+Variables!$B$19)-AM1281),""))</f>
        <v/>
      </c>
      <c r="AR1281" s="12" t="str">
        <f>IF($H1281="Cancelled","",IFERROR(T1281*INDEX(Variables!$B$7:$D$7,IFERROR(MATCH(IF($B1281="Robusta","Robusta",(IF($B1281="","Arabica",$B1281))&amp;" - "&amp;(IF($C1281="","Commercial",$C1281))),Variables!$B$1:$D$1,0),1))*(AQ1281/365),""))</f>
        <v/>
      </c>
      <c r="AS1281" s="12" t="str">
        <f>IF($H1281="Cancelled","",IFERROR((T1281*INDEX(Variables!$B$7:$D$7,IFERROR(MATCH(IF($B1281="Robusta","Robusta",(IF($B1281="","Arabica",$B1281))&amp;" - "&amp;(IF($C1281="","Commercial",$C1281))),Variables!$B$1:$D$1,0),1))*IFERROR(IF(W1281="","",(AVERAGE(E1281:F1281)-W1281)-Variables!$B$14),"")/365)+(L1281/16.67*INDEX(Variables!$B$8:$D$8,IFERROR(MATCH(IF($B1281="Robusta","Robusta",(IF($B1281="","Arabica",$B1281))&amp;" - "&amp;(IF($C1281="","Commercial",$C1281))),Variables!$B$1:$D$1,0),1))*IFERROR(IF(W1281="","",(AVERAGE(E1281:F1281)-W1281)-Variables!$B$14),""))+(T1281*INDEX(Variables!$B$9:$D$9,IFERROR(MATCH(IF($B1281="Robusta","Robusta",(IF($B1281="","Arabica",$B1281))&amp;" - "&amp;(IF($C1281="","Commercial",$C1281))),Variables!$B$1:$D$1,0),1))*IFERROR(IF(W1281="","",(AVERAGE(E1281:F1281)-W1281)-Variables!$B$14),"")/365),""))</f>
        <v/>
      </c>
      <c r="AT1281" s="12" t="str">
        <f>IF($H1281="Cancelled","",IFERROR((T1281*INDEX(Variables!$B$7:$D$7,IFERROR(MATCH(IF($B1281="Robusta","Robusta",(IF($B1281="","Arabica",$B1281))&amp;" - "&amp;(IF($C1281="","Commercial",$C1281))),Variables!$B$1:$D$1,0),1))*AC1281/365)+(L1281/16.67*INDEX(Variables!$B$8:$D$8,IFERROR(MATCH(IF($B1281="Robusta","Robusta",(IF($B1281="","Arabica",$B1281))&amp;" - "&amp;(IF($C1281="","Commercial",$C1281))),Variables!$B$1:$D$1,0),1))*AC1281)+(T1281*INDEX(Variables!$B$9:$D$9,IFERROR(MATCH(IF($B1281="Robusta","Robusta",(IF($B1281="","Arabica",$B1281))&amp;" - "&amp;(IF($C1281="","Commercial",$C1281))),Variables!$B$1:$D$1,0),1))*AC1281/365),""))</f>
        <v/>
      </c>
      <c r="AU1281" s="12" t="str">
        <f>IF($H1281="Cancelled","",IFERROR((T1281*INDEX(Variables!$B$7:$D$7,IFERROR(MATCH(IF($B1281="Robusta","Robusta",(IF($B1281="","Arabica",$B1281))&amp;" - "&amp;(IF($C1281="","Commercial",$C1281))),Variables!$B$1:$D$1,0),1))*AP1281/365)+(L1281/16.67*INDEX(Variables!$B$8:$D$8,IFERROR(MATCH(IF($B1281="Robusta","Robusta",(IF($B1281="","Arabica",$B1281))&amp;" - "&amp;(IF($C1281="","Commercial",$C1281))),Variables!$B$1:$D$1,0),1))*AP1281)+(T1281*INDEX(Variables!$B$9:$D$9,IFERROR(MATCH(IF($B1281="Robusta","Robusta",(IF($B1281="","Arabica",$B1281))&amp;" - "&amp;(IF($C1281="","Commercial",$C1281))),Variables!$B$1:$D$1,0),1))*AP1281/365),""))</f>
        <v/>
      </c>
      <c r="AV1281" s="11" t="str">
        <f t="shared" si="119"/>
        <v/>
      </c>
      <c r="AW1281" s="12" t="str">
        <f>IF($H1281="Cancelled","",IFERROR(IF(AV1281="","",(T1281*INDEX(Variables!$B$7:$D$7,IFERROR(MATCH(IF($B1281="Robusta","Robusta",(IF($B1281="","Arabica",$B1281))&amp;" - "&amp;(IF($C1281="","Commercial",$C1281))),Variables!$B$1:$D$1,0),1))*(AV1281/365))+(T1281*INDEX(Variables!$B$9:$D$9,IFERROR(MATCH(IF($B1281="Robusta","Robusta",(IF($B1281="","Arabica",$B1281))&amp;" - "&amp;(IF($C1281="","Commercial",$C1281))),Variables!$B$1:$D$1,0),1))*(AV1281/365))+(INDEX(Variables!$B$8:$D$8,IFERROR(MATCH(IF($B1281="Robusta","Robusta",(IF($B1281="","Arabica",$B1281))&amp;" - "&amp;(IF($C1281="","Commercial",$C1281))),Variables!$B$1:$D$1,0),1))*L1281/16.67)),""))</f>
        <v/>
      </c>
      <c r="AX1281" s="9"/>
      <c r="AY1281" s="12"/>
      <c r="AZ1281" s="10"/>
      <c r="BA1281" s="9"/>
      <c r="BB1281" s="10"/>
      <c r="BC1281" s="9"/>
      <c r="BD1281" s="9"/>
      <c r="BE1281" s="9"/>
      <c r="BF1281" s="9"/>
    </row>
    <row r="1282" spans="1:58" x14ac:dyDescent="0.25">
      <c r="A1282" s="9" t="s">
        <v>84</v>
      </c>
      <c r="B1282" s="9" t="s">
        <v>85</v>
      </c>
      <c r="C1282" s="9" t="s">
        <v>1486</v>
      </c>
      <c r="D1282" s="10">
        <v>46066</v>
      </c>
      <c r="E1282" s="10">
        <v>46095</v>
      </c>
      <c r="F1282" s="10">
        <v>46112</v>
      </c>
      <c r="G1282" s="9">
        <v>3787271</v>
      </c>
      <c r="H1282" s="9" t="str">
        <f t="shared" ref="H1282:H1325" si="124">IF(ISNUMBER(SEARCH("cancel",AN1282)),"Cancelled",IF(AND(AK1282&lt;&gt;"",AL1282&lt;&gt;"",AM1282&lt;&gt;""),"Closed","Open"))</f>
        <v>Open</v>
      </c>
      <c r="I1282" s="9" t="str">
        <f t="shared" ref="I1282:I1325" si="125">IF(AND(AK1282&lt;&gt;"",AL1282&lt;&gt;"",AM1282&lt;&gt;""),"All dates received",_xlfn.TEXTJOIN(" and ",TRUE(),IF(AK1282="","No sailing date",""),IF(AL1282="","No shipping advice sent",""),IF(AM1282="","No docs dispatch date","")))</f>
        <v>No sailing date and No shipping advice sent and No docs dispatch date</v>
      </c>
      <c r="J1282" s="9" t="s">
        <v>1552</v>
      </c>
      <c r="K1282" s="9" t="s">
        <v>2717</v>
      </c>
      <c r="L1282" s="11">
        <v>6</v>
      </c>
      <c r="M1282" s="9" t="s">
        <v>2718</v>
      </c>
      <c r="N1282" s="9"/>
      <c r="O1282" s="9"/>
      <c r="P1282" s="9"/>
      <c r="Q1282" s="11">
        <v>164.65</v>
      </c>
      <c r="R1282" s="9" t="s">
        <v>195</v>
      </c>
      <c r="S1282" s="9" t="s">
        <v>150</v>
      </c>
      <c r="T1282" s="12">
        <f>IF($H1282="Cancelled","",IFERROR(((Q1282+INDEX(Variables!$B$6:$D$6,IFERROR(MATCH(IF($B1282="Robusta","Robusta",(IF($B1282="","Arabica",$B1282))&amp;" - "&amp;(IF($C1282="","Commercial",$C1282))),Variables!$B$1:$D$1,0),1)))*22.0462)*(L1282/16.67),""))</f>
        <v>3614.0162411517695</v>
      </c>
      <c r="U1282" s="10"/>
      <c r="V1282" s="9" t="str">
        <f t="shared" si="122"/>
        <v/>
      </c>
      <c r="W1282" s="10"/>
      <c r="X1282" s="9" t="str">
        <f t="shared" si="123"/>
        <v/>
      </c>
      <c r="Y1282" s="10"/>
      <c r="Z1282" s="10">
        <f>IF($H1282="Cancelled","",IFERROR(IF(F1282="","",F1282-Variables!$B$13),""))</f>
        <v>46097</v>
      </c>
      <c r="AA1282" s="11" t="str">
        <f>IF($H1282="Cancelled","",IFERROR(IF(W1282="","",(AVERAGE(E1282:F1282)-W1282)-Variables!$B$14),""))</f>
        <v/>
      </c>
      <c r="AB1282" s="10"/>
      <c r="AC1282" s="11" t="str">
        <f>IF($H1282="Cancelled","",IFERROR(IF(AB1282="","",IF(AND(W1282="",Y1282=""),"",IF(Y1282&gt;W1282,Y1282+Variables!$B$15+Variables!$B$16+Variables!$B$17-AB1282,W1282+Variables!$B$16+Variables!$B$17-AB1282))),""))</f>
        <v/>
      </c>
      <c r="AD1282" s="9" t="s">
        <v>151</v>
      </c>
      <c r="AE1282" s="9"/>
      <c r="AF1282" s="10"/>
      <c r="AG1282" s="10"/>
      <c r="AH1282" s="9"/>
      <c r="AI1282" s="9"/>
      <c r="AJ1282" s="9"/>
      <c r="AK1282" s="10"/>
      <c r="AL1282" s="10"/>
      <c r="AM1282" s="10"/>
      <c r="AN1282" s="9" t="s">
        <v>1188</v>
      </c>
      <c r="AO1282" s="9"/>
      <c r="AP1282" s="11" t="str">
        <f>IF($H1282="Cancelled","",IFERROR(IF(OR(AK1282="",AB1282=""),"",(AB1282+Variables!$B$18-AK1282)),""))</f>
        <v/>
      </c>
      <c r="AQ1282" s="11" t="str">
        <f>IF($H1282="Cancelled","",IFERROR(IF(OR(AM1282="",AK1282=""),"",(AK1282+Variables!$B$19)-AM1282),""))</f>
        <v/>
      </c>
      <c r="AR1282" s="12" t="str">
        <f>IF($H1282="Cancelled","",IFERROR(T1282*INDEX(Variables!$B$7:$D$7,IFERROR(MATCH(IF($B1282="Robusta","Robusta",(IF($B1282="","Arabica",$B1282))&amp;" - "&amp;(IF($C1282="","Commercial",$C1282))),Variables!$B$1:$D$1,0),1))*(AQ1282/365),""))</f>
        <v/>
      </c>
      <c r="AS1282" s="12" t="str">
        <f>IF($H1282="Cancelled","",IFERROR((T1282*INDEX(Variables!$B$7:$D$7,IFERROR(MATCH(IF($B1282="Robusta","Robusta",(IF($B1282="","Arabica",$B1282))&amp;" - "&amp;(IF($C1282="","Commercial",$C1282))),Variables!$B$1:$D$1,0),1))*IFERROR(IF(W1282="","",(AVERAGE(E1282:F1282)-W1282)-Variables!$B$14),"")/365)+(L1282/16.67*INDEX(Variables!$B$8:$D$8,IFERROR(MATCH(IF($B1282="Robusta","Robusta",(IF($B1282="","Arabica",$B1282))&amp;" - "&amp;(IF($C1282="","Commercial",$C1282))),Variables!$B$1:$D$1,0),1))*IFERROR(IF(W1282="","",(AVERAGE(E1282:F1282)-W1282)-Variables!$B$14),""))+(T1282*INDEX(Variables!$B$9:$D$9,IFERROR(MATCH(IF($B1282="Robusta","Robusta",(IF($B1282="","Arabica",$B1282))&amp;" - "&amp;(IF($C1282="","Commercial",$C1282))),Variables!$B$1:$D$1,0),1))*IFERROR(IF(W1282="","",(AVERAGE(E1282:F1282)-W1282)-Variables!$B$14),"")/365),""))</f>
        <v/>
      </c>
      <c r="AT1282" s="12" t="str">
        <f>IF($H1282="Cancelled","",IFERROR((T1282*INDEX(Variables!$B$7:$D$7,IFERROR(MATCH(IF($B1282="Robusta","Robusta",(IF($B1282="","Arabica",$B1282))&amp;" - "&amp;(IF($C1282="","Commercial",$C1282))),Variables!$B$1:$D$1,0),1))*AC1282/365)+(L1282/16.67*INDEX(Variables!$B$8:$D$8,IFERROR(MATCH(IF($B1282="Robusta","Robusta",(IF($B1282="","Arabica",$B1282))&amp;" - "&amp;(IF($C1282="","Commercial",$C1282))),Variables!$B$1:$D$1,0),1))*AC1282)+(T1282*INDEX(Variables!$B$9:$D$9,IFERROR(MATCH(IF($B1282="Robusta","Robusta",(IF($B1282="","Arabica",$B1282))&amp;" - "&amp;(IF($C1282="","Commercial",$C1282))),Variables!$B$1:$D$1,0),1))*AC1282/365),""))</f>
        <v/>
      </c>
      <c r="AU1282" s="12" t="str">
        <f>IF($H1282="Cancelled","",IFERROR((T1282*INDEX(Variables!$B$7:$D$7,IFERROR(MATCH(IF($B1282="Robusta","Robusta",(IF($B1282="","Arabica",$B1282))&amp;" - "&amp;(IF($C1282="","Commercial",$C1282))),Variables!$B$1:$D$1,0),1))*AP1282/365)+(L1282/16.67*INDEX(Variables!$B$8:$D$8,IFERROR(MATCH(IF($B1282="Robusta","Robusta",(IF($B1282="","Arabica",$B1282))&amp;" - "&amp;(IF($C1282="","Commercial",$C1282))),Variables!$B$1:$D$1,0),1))*AP1282)+(T1282*INDEX(Variables!$B$9:$D$9,IFERROR(MATCH(IF($B1282="Robusta","Robusta",(IF($B1282="","Arabica",$B1282))&amp;" - "&amp;(IF($C1282="","Commercial",$C1282))),Variables!$B$1:$D$1,0),1))*AP1282/365),""))</f>
        <v/>
      </c>
      <c r="AV1282" s="11" t="str">
        <f t="shared" ref="AV1282:AV1325" si="126">IF($H1282="Cancelled","",IFERROR(IF(AK1282="","",F1282-AK1282),""))</f>
        <v/>
      </c>
      <c r="AW1282" s="12" t="str">
        <f>IF($H1282="Cancelled","",IFERROR(IF(AV1282="","",(T1282*INDEX(Variables!$B$7:$D$7,IFERROR(MATCH(IF($B1282="Robusta","Robusta",(IF($B1282="","Arabica",$B1282))&amp;" - "&amp;(IF($C1282="","Commercial",$C1282))),Variables!$B$1:$D$1,0),1))*(AV1282/365))+(T1282*INDEX(Variables!$B$9:$D$9,IFERROR(MATCH(IF($B1282="Robusta","Robusta",(IF($B1282="","Arabica",$B1282))&amp;" - "&amp;(IF($C1282="","Commercial",$C1282))),Variables!$B$1:$D$1,0),1))*(AV1282/365))+(INDEX(Variables!$B$8:$D$8,IFERROR(MATCH(IF($B1282="Robusta","Robusta",(IF($B1282="","Arabica",$B1282))&amp;" - "&amp;(IF($C1282="","Commercial",$C1282))),Variables!$B$1:$D$1,0),1))*L1282/16.67)),""))</f>
        <v/>
      </c>
      <c r="AX1282" s="9"/>
      <c r="AY1282" s="12"/>
      <c r="AZ1282" s="10"/>
      <c r="BA1282" s="9"/>
      <c r="BB1282" s="10"/>
      <c r="BC1282" s="9"/>
      <c r="BD1282" s="9"/>
      <c r="BE1282" s="9"/>
      <c r="BF1282" s="9"/>
    </row>
    <row r="1283" spans="1:58" x14ac:dyDescent="0.25">
      <c r="A1283" s="9" t="s">
        <v>84</v>
      </c>
      <c r="B1283" s="9" t="s">
        <v>85</v>
      </c>
      <c r="C1283" s="9" t="s">
        <v>1486</v>
      </c>
      <c r="D1283" s="10">
        <v>46066</v>
      </c>
      <c r="E1283" s="10">
        <v>46095</v>
      </c>
      <c r="F1283" s="10">
        <v>46112</v>
      </c>
      <c r="G1283" s="9">
        <v>3787272</v>
      </c>
      <c r="H1283" s="9" t="str">
        <f t="shared" si="124"/>
        <v>Open</v>
      </c>
      <c r="I1283" s="9" t="str">
        <f t="shared" si="125"/>
        <v>No sailing date and No shipping advice sent and No docs dispatch date</v>
      </c>
      <c r="J1283" s="9" t="s">
        <v>1552</v>
      </c>
      <c r="K1283" s="9" t="s">
        <v>2719</v>
      </c>
      <c r="L1283" s="11">
        <v>19</v>
      </c>
      <c r="M1283" s="9" t="s">
        <v>2720</v>
      </c>
      <c r="N1283" s="9"/>
      <c r="O1283" s="9"/>
      <c r="P1283" s="9"/>
      <c r="Q1283" s="11">
        <v>171.65</v>
      </c>
      <c r="R1283" s="9" t="s">
        <v>195</v>
      </c>
      <c r="S1283" s="9" t="s">
        <v>150</v>
      </c>
      <c r="T1283" s="12">
        <f>IF($H1283="Cancelled","",IFERROR(((Q1283+INDEX(Variables!$B$6:$D$6,IFERROR(MATCH(IF($B1283="Robusta","Robusta",(IF($B1283="","Arabica",$B1283))&amp;" - "&amp;(IF($C1283="","Commercial",$C1283))),Variables!$B$1:$D$1,0),1)))*22.0462)*(L1283/16.67),""))</f>
        <v>11620.278260947809</v>
      </c>
      <c r="U1283" s="10"/>
      <c r="V1283" s="9" t="str">
        <f t="shared" si="122"/>
        <v/>
      </c>
      <c r="W1283" s="10"/>
      <c r="X1283" s="9" t="str">
        <f t="shared" si="123"/>
        <v/>
      </c>
      <c r="Y1283" s="10"/>
      <c r="Z1283" s="10">
        <f>IF($H1283="Cancelled","",IFERROR(IF(F1283="","",F1283-Variables!$B$13),""))</f>
        <v>46097</v>
      </c>
      <c r="AA1283" s="11" t="str">
        <f>IF($H1283="Cancelled","",IFERROR(IF(W1283="","",(AVERAGE(E1283:F1283)-W1283)-Variables!$B$14),""))</f>
        <v/>
      </c>
      <c r="AB1283" s="10"/>
      <c r="AC1283" s="11" t="str">
        <f>IF($H1283="Cancelled","",IFERROR(IF(AB1283="","",IF(AND(W1283="",Y1283=""),"",IF(Y1283&gt;W1283,Y1283+Variables!$B$15+Variables!$B$16+Variables!$B$17-AB1283,W1283+Variables!$B$16+Variables!$B$17-AB1283))),""))</f>
        <v/>
      </c>
      <c r="AD1283" s="9" t="s">
        <v>151</v>
      </c>
      <c r="AE1283" s="9"/>
      <c r="AF1283" s="10"/>
      <c r="AG1283" s="10"/>
      <c r="AH1283" s="9"/>
      <c r="AI1283" s="9"/>
      <c r="AJ1283" s="9"/>
      <c r="AK1283" s="10"/>
      <c r="AL1283" s="10"/>
      <c r="AM1283" s="10"/>
      <c r="AN1283" s="9" t="s">
        <v>1188</v>
      </c>
      <c r="AO1283" s="9"/>
      <c r="AP1283" s="11" t="str">
        <f>IF($H1283="Cancelled","",IFERROR(IF(OR(AK1283="",AB1283=""),"",(AB1283+Variables!$B$18-AK1283)),""))</f>
        <v/>
      </c>
      <c r="AQ1283" s="11" t="str">
        <f>IF($H1283="Cancelled","",IFERROR(IF(OR(AM1283="",AK1283=""),"",(AK1283+Variables!$B$19)-AM1283),""))</f>
        <v/>
      </c>
      <c r="AR1283" s="12" t="str">
        <f>IF($H1283="Cancelled","",IFERROR(T1283*INDEX(Variables!$B$7:$D$7,IFERROR(MATCH(IF($B1283="Robusta","Robusta",(IF($B1283="","Arabica",$B1283))&amp;" - "&amp;(IF($C1283="","Commercial",$C1283))),Variables!$B$1:$D$1,0),1))*(AQ1283/365),""))</f>
        <v/>
      </c>
      <c r="AS1283" s="12" t="str">
        <f>IF($H1283="Cancelled","",IFERROR((T1283*INDEX(Variables!$B$7:$D$7,IFERROR(MATCH(IF($B1283="Robusta","Robusta",(IF($B1283="","Arabica",$B1283))&amp;" - "&amp;(IF($C1283="","Commercial",$C1283))),Variables!$B$1:$D$1,0),1))*IFERROR(IF(W1283="","",(AVERAGE(E1283:F1283)-W1283)-Variables!$B$14),"")/365)+(L1283/16.67*INDEX(Variables!$B$8:$D$8,IFERROR(MATCH(IF($B1283="Robusta","Robusta",(IF($B1283="","Arabica",$B1283))&amp;" - "&amp;(IF($C1283="","Commercial",$C1283))),Variables!$B$1:$D$1,0),1))*IFERROR(IF(W1283="","",(AVERAGE(E1283:F1283)-W1283)-Variables!$B$14),""))+(T1283*INDEX(Variables!$B$9:$D$9,IFERROR(MATCH(IF($B1283="Robusta","Robusta",(IF($B1283="","Arabica",$B1283))&amp;" - "&amp;(IF($C1283="","Commercial",$C1283))),Variables!$B$1:$D$1,0),1))*IFERROR(IF(W1283="","",(AVERAGE(E1283:F1283)-W1283)-Variables!$B$14),"")/365),""))</f>
        <v/>
      </c>
      <c r="AT1283" s="12" t="str">
        <f>IF($H1283="Cancelled","",IFERROR((T1283*INDEX(Variables!$B$7:$D$7,IFERROR(MATCH(IF($B1283="Robusta","Robusta",(IF($B1283="","Arabica",$B1283))&amp;" - "&amp;(IF($C1283="","Commercial",$C1283))),Variables!$B$1:$D$1,0),1))*AC1283/365)+(L1283/16.67*INDEX(Variables!$B$8:$D$8,IFERROR(MATCH(IF($B1283="Robusta","Robusta",(IF($B1283="","Arabica",$B1283))&amp;" - "&amp;(IF($C1283="","Commercial",$C1283))),Variables!$B$1:$D$1,0),1))*AC1283)+(T1283*INDEX(Variables!$B$9:$D$9,IFERROR(MATCH(IF($B1283="Robusta","Robusta",(IF($B1283="","Arabica",$B1283))&amp;" - "&amp;(IF($C1283="","Commercial",$C1283))),Variables!$B$1:$D$1,0),1))*AC1283/365),""))</f>
        <v/>
      </c>
      <c r="AU1283" s="12" t="str">
        <f>IF($H1283="Cancelled","",IFERROR((T1283*INDEX(Variables!$B$7:$D$7,IFERROR(MATCH(IF($B1283="Robusta","Robusta",(IF($B1283="","Arabica",$B1283))&amp;" - "&amp;(IF($C1283="","Commercial",$C1283))),Variables!$B$1:$D$1,0),1))*AP1283/365)+(L1283/16.67*INDEX(Variables!$B$8:$D$8,IFERROR(MATCH(IF($B1283="Robusta","Robusta",(IF($B1283="","Arabica",$B1283))&amp;" - "&amp;(IF($C1283="","Commercial",$C1283))),Variables!$B$1:$D$1,0),1))*AP1283)+(T1283*INDEX(Variables!$B$9:$D$9,IFERROR(MATCH(IF($B1283="Robusta","Robusta",(IF($B1283="","Arabica",$B1283))&amp;" - "&amp;(IF($C1283="","Commercial",$C1283))),Variables!$B$1:$D$1,0),1))*AP1283/365),""))</f>
        <v/>
      </c>
      <c r="AV1283" s="11" t="str">
        <f t="shared" si="126"/>
        <v/>
      </c>
      <c r="AW1283" s="12" t="str">
        <f>IF($H1283="Cancelled","",IFERROR(IF(AV1283="","",(T1283*INDEX(Variables!$B$7:$D$7,IFERROR(MATCH(IF($B1283="Robusta","Robusta",(IF($B1283="","Arabica",$B1283))&amp;" - "&amp;(IF($C1283="","Commercial",$C1283))),Variables!$B$1:$D$1,0),1))*(AV1283/365))+(T1283*INDEX(Variables!$B$9:$D$9,IFERROR(MATCH(IF($B1283="Robusta","Robusta",(IF($B1283="","Arabica",$B1283))&amp;" - "&amp;(IF($C1283="","Commercial",$C1283))),Variables!$B$1:$D$1,0),1))*(AV1283/365))+(INDEX(Variables!$B$8:$D$8,IFERROR(MATCH(IF($B1283="Robusta","Robusta",(IF($B1283="","Arabica",$B1283))&amp;" - "&amp;(IF($C1283="","Commercial",$C1283))),Variables!$B$1:$D$1,0),1))*L1283/16.67)),""))</f>
        <v/>
      </c>
      <c r="AX1283" s="9"/>
      <c r="AY1283" s="12"/>
      <c r="AZ1283" s="10"/>
      <c r="BA1283" s="9"/>
      <c r="BB1283" s="10"/>
      <c r="BC1283" s="9"/>
      <c r="BD1283" s="9"/>
      <c r="BE1283" s="9"/>
      <c r="BF1283" s="9"/>
    </row>
    <row r="1284" spans="1:58" x14ac:dyDescent="0.25">
      <c r="A1284" s="9" t="s">
        <v>84</v>
      </c>
      <c r="B1284" s="9" t="s">
        <v>85</v>
      </c>
      <c r="C1284" s="9" t="s">
        <v>1486</v>
      </c>
      <c r="D1284" s="10">
        <v>46066</v>
      </c>
      <c r="E1284" s="10">
        <v>46095</v>
      </c>
      <c r="F1284" s="10">
        <v>46112</v>
      </c>
      <c r="G1284" s="9">
        <v>3787274</v>
      </c>
      <c r="H1284" s="9" t="str">
        <f t="shared" si="124"/>
        <v>Open</v>
      </c>
      <c r="I1284" s="9" t="str">
        <f t="shared" si="125"/>
        <v>No sailing date and No shipping advice sent and No docs dispatch date</v>
      </c>
      <c r="J1284" s="9" t="s">
        <v>1552</v>
      </c>
      <c r="K1284" s="9" t="s">
        <v>2721</v>
      </c>
      <c r="L1284" s="11">
        <v>46</v>
      </c>
      <c r="M1284" s="9" t="s">
        <v>2722</v>
      </c>
      <c r="N1284" s="9"/>
      <c r="O1284" s="9"/>
      <c r="P1284" s="9"/>
      <c r="Q1284" s="11">
        <v>200.65</v>
      </c>
      <c r="R1284" s="9" t="s">
        <v>195</v>
      </c>
      <c r="S1284" s="9" t="s">
        <v>150</v>
      </c>
      <c r="T1284" s="12">
        <f>IF($H1284="Cancelled","",IFERROR(((Q1284+INDEX(Variables!$B$6:$D$6,IFERROR(MATCH(IF($B1284="Robusta","Robusta",(IF($B1284="","Arabica",$B1284))&amp;" - "&amp;(IF($C1284="","Commercial",$C1284))),Variables!$B$1:$D$1,0),1)))*22.0462)*(L1284/16.67),""))</f>
        <v>29897.530266346726</v>
      </c>
      <c r="U1284" s="10"/>
      <c r="V1284" s="9" t="str">
        <f t="shared" si="122"/>
        <v/>
      </c>
      <c r="W1284" s="10"/>
      <c r="X1284" s="9" t="str">
        <f t="shared" si="123"/>
        <v/>
      </c>
      <c r="Y1284" s="10"/>
      <c r="Z1284" s="10">
        <f>IF($H1284="Cancelled","",IFERROR(IF(F1284="","",F1284-Variables!$B$13),""))</f>
        <v>46097</v>
      </c>
      <c r="AA1284" s="11" t="str">
        <f>IF($H1284="Cancelled","",IFERROR(IF(W1284="","",(AVERAGE(E1284:F1284)-W1284)-Variables!$B$14),""))</f>
        <v/>
      </c>
      <c r="AB1284" s="10"/>
      <c r="AC1284" s="11" t="str">
        <f>IF($H1284="Cancelled","",IFERROR(IF(AB1284="","",IF(AND(W1284="",Y1284=""),"",IF(Y1284&gt;W1284,Y1284+Variables!$B$15+Variables!$B$16+Variables!$B$17-AB1284,W1284+Variables!$B$16+Variables!$B$17-AB1284))),""))</f>
        <v/>
      </c>
      <c r="AD1284" s="9" t="s">
        <v>151</v>
      </c>
      <c r="AE1284" s="9"/>
      <c r="AF1284" s="10"/>
      <c r="AG1284" s="10"/>
      <c r="AH1284" s="9"/>
      <c r="AI1284" s="9"/>
      <c r="AJ1284" s="9"/>
      <c r="AK1284" s="10"/>
      <c r="AL1284" s="10"/>
      <c r="AM1284" s="10"/>
      <c r="AN1284" s="9" t="s">
        <v>1188</v>
      </c>
      <c r="AO1284" s="9"/>
      <c r="AP1284" s="11" t="str">
        <f>IF($H1284="Cancelled","",IFERROR(IF(OR(AK1284="",AB1284=""),"",(AB1284+Variables!$B$18-AK1284)),""))</f>
        <v/>
      </c>
      <c r="AQ1284" s="11" t="str">
        <f>IF($H1284="Cancelled","",IFERROR(IF(OR(AM1284="",AK1284=""),"",(AK1284+Variables!$B$19)-AM1284),""))</f>
        <v/>
      </c>
      <c r="AR1284" s="12" t="str">
        <f>IF($H1284="Cancelled","",IFERROR(T1284*INDEX(Variables!$B$7:$D$7,IFERROR(MATCH(IF($B1284="Robusta","Robusta",(IF($B1284="","Arabica",$B1284))&amp;" - "&amp;(IF($C1284="","Commercial",$C1284))),Variables!$B$1:$D$1,0),1))*(AQ1284/365),""))</f>
        <v/>
      </c>
      <c r="AS1284" s="12" t="str">
        <f>IF($H1284="Cancelled","",IFERROR((T1284*INDEX(Variables!$B$7:$D$7,IFERROR(MATCH(IF($B1284="Robusta","Robusta",(IF($B1284="","Arabica",$B1284))&amp;" - "&amp;(IF($C1284="","Commercial",$C1284))),Variables!$B$1:$D$1,0),1))*IFERROR(IF(W1284="","",(AVERAGE(E1284:F1284)-W1284)-Variables!$B$14),"")/365)+(L1284/16.67*INDEX(Variables!$B$8:$D$8,IFERROR(MATCH(IF($B1284="Robusta","Robusta",(IF($B1284="","Arabica",$B1284))&amp;" - "&amp;(IF($C1284="","Commercial",$C1284))),Variables!$B$1:$D$1,0),1))*IFERROR(IF(W1284="","",(AVERAGE(E1284:F1284)-W1284)-Variables!$B$14),""))+(T1284*INDEX(Variables!$B$9:$D$9,IFERROR(MATCH(IF($B1284="Robusta","Robusta",(IF($B1284="","Arabica",$B1284))&amp;" - "&amp;(IF($C1284="","Commercial",$C1284))),Variables!$B$1:$D$1,0),1))*IFERROR(IF(W1284="","",(AVERAGE(E1284:F1284)-W1284)-Variables!$B$14),"")/365),""))</f>
        <v/>
      </c>
      <c r="AT1284" s="12" t="str">
        <f>IF($H1284="Cancelled","",IFERROR((T1284*INDEX(Variables!$B$7:$D$7,IFERROR(MATCH(IF($B1284="Robusta","Robusta",(IF($B1284="","Arabica",$B1284))&amp;" - "&amp;(IF($C1284="","Commercial",$C1284))),Variables!$B$1:$D$1,0),1))*AC1284/365)+(L1284/16.67*INDEX(Variables!$B$8:$D$8,IFERROR(MATCH(IF($B1284="Robusta","Robusta",(IF($B1284="","Arabica",$B1284))&amp;" - "&amp;(IF($C1284="","Commercial",$C1284))),Variables!$B$1:$D$1,0),1))*AC1284)+(T1284*INDEX(Variables!$B$9:$D$9,IFERROR(MATCH(IF($B1284="Robusta","Robusta",(IF($B1284="","Arabica",$B1284))&amp;" - "&amp;(IF($C1284="","Commercial",$C1284))),Variables!$B$1:$D$1,0),1))*AC1284/365),""))</f>
        <v/>
      </c>
      <c r="AU1284" s="12" t="str">
        <f>IF($H1284="Cancelled","",IFERROR((T1284*INDEX(Variables!$B$7:$D$7,IFERROR(MATCH(IF($B1284="Robusta","Robusta",(IF($B1284="","Arabica",$B1284))&amp;" - "&amp;(IF($C1284="","Commercial",$C1284))),Variables!$B$1:$D$1,0),1))*AP1284/365)+(L1284/16.67*INDEX(Variables!$B$8:$D$8,IFERROR(MATCH(IF($B1284="Robusta","Robusta",(IF($B1284="","Arabica",$B1284))&amp;" - "&amp;(IF($C1284="","Commercial",$C1284))),Variables!$B$1:$D$1,0),1))*AP1284)+(T1284*INDEX(Variables!$B$9:$D$9,IFERROR(MATCH(IF($B1284="Robusta","Robusta",(IF($B1284="","Arabica",$B1284))&amp;" - "&amp;(IF($C1284="","Commercial",$C1284))),Variables!$B$1:$D$1,0),1))*AP1284/365),""))</f>
        <v/>
      </c>
      <c r="AV1284" s="11" t="str">
        <f t="shared" si="126"/>
        <v/>
      </c>
      <c r="AW1284" s="12" t="str">
        <f>IF($H1284="Cancelled","",IFERROR(IF(AV1284="","",(T1284*INDEX(Variables!$B$7:$D$7,IFERROR(MATCH(IF($B1284="Robusta","Robusta",(IF($B1284="","Arabica",$B1284))&amp;" - "&amp;(IF($C1284="","Commercial",$C1284))),Variables!$B$1:$D$1,0),1))*(AV1284/365))+(T1284*INDEX(Variables!$B$9:$D$9,IFERROR(MATCH(IF($B1284="Robusta","Robusta",(IF($B1284="","Arabica",$B1284))&amp;" - "&amp;(IF($C1284="","Commercial",$C1284))),Variables!$B$1:$D$1,0),1))*(AV1284/365))+(INDEX(Variables!$B$8:$D$8,IFERROR(MATCH(IF($B1284="Robusta","Robusta",(IF($B1284="","Arabica",$B1284))&amp;" - "&amp;(IF($C1284="","Commercial",$C1284))),Variables!$B$1:$D$1,0),1))*L1284/16.67)),""))</f>
        <v/>
      </c>
      <c r="AX1284" s="9"/>
      <c r="AY1284" s="12"/>
      <c r="AZ1284" s="10"/>
      <c r="BA1284" s="9"/>
      <c r="BB1284" s="10"/>
      <c r="BC1284" s="9"/>
      <c r="BD1284" s="9"/>
      <c r="BE1284" s="9"/>
      <c r="BF1284" s="9"/>
    </row>
    <row r="1285" spans="1:58" x14ac:dyDescent="0.25">
      <c r="A1285" s="9" t="s">
        <v>84</v>
      </c>
      <c r="B1285" s="9" t="s">
        <v>85</v>
      </c>
      <c r="C1285" s="9" t="s">
        <v>1486</v>
      </c>
      <c r="D1285" s="10">
        <v>46066</v>
      </c>
      <c r="E1285" s="10">
        <v>46095</v>
      </c>
      <c r="F1285" s="10">
        <v>46112</v>
      </c>
      <c r="G1285" s="9">
        <v>3787275</v>
      </c>
      <c r="H1285" s="9" t="str">
        <f t="shared" si="124"/>
        <v>Open</v>
      </c>
      <c r="I1285" s="9" t="str">
        <f t="shared" si="125"/>
        <v>No sailing date and No shipping advice sent and No docs dispatch date</v>
      </c>
      <c r="J1285" s="9" t="s">
        <v>1552</v>
      </c>
      <c r="K1285" s="9" t="s">
        <v>2723</v>
      </c>
      <c r="L1285" s="11">
        <v>28</v>
      </c>
      <c r="M1285" s="9" t="s">
        <v>2724</v>
      </c>
      <c r="N1285" s="9"/>
      <c r="O1285" s="9"/>
      <c r="P1285" s="9"/>
      <c r="Q1285" s="11">
        <v>188.65</v>
      </c>
      <c r="R1285" s="9" t="s">
        <v>195</v>
      </c>
      <c r="S1285" s="9" t="s">
        <v>150</v>
      </c>
      <c r="T1285" s="12">
        <f>IF($H1285="Cancelled","",IFERROR(((Q1285+INDEX(Variables!$B$6:$D$6,IFERROR(MATCH(IF($B1285="Robusta","Robusta",(IF($B1285="","Arabica",$B1285))&amp;" - "&amp;(IF($C1285="","Commercial",$C1285))),Variables!$B$1:$D$1,0),1)))*22.0462)*(L1285/16.67),""))</f>
        <v>17754.134164367126</v>
      </c>
      <c r="U1285" s="10"/>
      <c r="V1285" s="9" t="str">
        <f t="shared" ref="V1285:V1287" si="127">IF(ISNUMBER(U1285),"Sent","")</f>
        <v/>
      </c>
      <c r="W1285" s="10"/>
      <c r="X1285" s="9" t="str">
        <f t="shared" ref="X1285:X1287" si="128">IF(ISNUMBER(W1285),"Approved","")</f>
        <v/>
      </c>
      <c r="Y1285" s="10"/>
      <c r="Z1285" s="10">
        <f>IF($H1285="Cancelled","",IFERROR(IF(F1285="","",F1285-Variables!$B$13),""))</f>
        <v>46097</v>
      </c>
      <c r="AA1285" s="11" t="str">
        <f>IF($H1285="Cancelled","",IFERROR(IF(W1285="","",(AVERAGE(E1285:F1285)-W1285)-Variables!$B$14),""))</f>
        <v/>
      </c>
      <c r="AB1285" s="10"/>
      <c r="AC1285" s="11" t="str">
        <f>IF($H1285="Cancelled","",IFERROR(IF(AB1285="","",IF(AND(W1285="",Y1285=""),"",IF(Y1285&gt;W1285,Y1285+Variables!$B$15+Variables!$B$16+Variables!$B$17-AB1285,W1285+Variables!$B$16+Variables!$B$17-AB1285))),""))</f>
        <v/>
      </c>
      <c r="AD1285" s="9" t="s">
        <v>151</v>
      </c>
      <c r="AE1285" s="9"/>
      <c r="AF1285" s="10"/>
      <c r="AG1285" s="10"/>
      <c r="AH1285" s="9"/>
      <c r="AI1285" s="9"/>
      <c r="AJ1285" s="9"/>
      <c r="AK1285" s="10"/>
      <c r="AL1285" s="10"/>
      <c r="AM1285" s="10"/>
      <c r="AN1285" s="9" t="s">
        <v>1188</v>
      </c>
      <c r="AO1285" s="9"/>
      <c r="AP1285" s="11" t="str">
        <f>IF($H1285="Cancelled","",IFERROR(IF(OR(AK1285="",AB1285=""),"",(AB1285+Variables!$B$18-AK1285)),""))</f>
        <v/>
      </c>
      <c r="AQ1285" s="11" t="str">
        <f>IF($H1285="Cancelled","",IFERROR(IF(OR(AM1285="",AK1285=""),"",(AK1285+Variables!$B$19)-AM1285),""))</f>
        <v/>
      </c>
      <c r="AR1285" s="12" t="str">
        <f>IF($H1285="Cancelled","",IFERROR(T1285*INDEX(Variables!$B$7:$D$7,IFERROR(MATCH(IF($B1285="Robusta","Robusta",(IF($B1285="","Arabica",$B1285))&amp;" - "&amp;(IF($C1285="","Commercial",$C1285))),Variables!$B$1:$D$1,0),1))*(AQ1285/365),""))</f>
        <v/>
      </c>
      <c r="AS1285" s="12" t="str">
        <f>IF($H1285="Cancelled","",IFERROR((T1285*INDEX(Variables!$B$7:$D$7,IFERROR(MATCH(IF($B1285="Robusta","Robusta",(IF($B1285="","Arabica",$B1285))&amp;" - "&amp;(IF($C1285="","Commercial",$C1285))),Variables!$B$1:$D$1,0),1))*IFERROR(IF(W1285="","",(AVERAGE(E1285:F1285)-W1285)-Variables!$B$14),"")/365)+(L1285/16.67*INDEX(Variables!$B$8:$D$8,IFERROR(MATCH(IF($B1285="Robusta","Robusta",(IF($B1285="","Arabica",$B1285))&amp;" - "&amp;(IF($C1285="","Commercial",$C1285))),Variables!$B$1:$D$1,0),1))*IFERROR(IF(W1285="","",(AVERAGE(E1285:F1285)-W1285)-Variables!$B$14),""))+(T1285*INDEX(Variables!$B$9:$D$9,IFERROR(MATCH(IF($B1285="Robusta","Robusta",(IF($B1285="","Arabica",$B1285))&amp;" - "&amp;(IF($C1285="","Commercial",$C1285))),Variables!$B$1:$D$1,0),1))*IFERROR(IF(W1285="","",(AVERAGE(E1285:F1285)-W1285)-Variables!$B$14),"")/365),""))</f>
        <v/>
      </c>
      <c r="AT1285" s="12" t="str">
        <f>IF($H1285="Cancelled","",IFERROR((T1285*INDEX(Variables!$B$7:$D$7,IFERROR(MATCH(IF($B1285="Robusta","Robusta",(IF($B1285="","Arabica",$B1285))&amp;" - "&amp;(IF($C1285="","Commercial",$C1285))),Variables!$B$1:$D$1,0),1))*AC1285/365)+(L1285/16.67*INDEX(Variables!$B$8:$D$8,IFERROR(MATCH(IF($B1285="Robusta","Robusta",(IF($B1285="","Arabica",$B1285))&amp;" - "&amp;(IF($C1285="","Commercial",$C1285))),Variables!$B$1:$D$1,0),1))*AC1285)+(T1285*INDEX(Variables!$B$9:$D$9,IFERROR(MATCH(IF($B1285="Robusta","Robusta",(IF($B1285="","Arabica",$B1285))&amp;" - "&amp;(IF($C1285="","Commercial",$C1285))),Variables!$B$1:$D$1,0),1))*AC1285/365),""))</f>
        <v/>
      </c>
      <c r="AU1285" s="12" t="str">
        <f>IF($H1285="Cancelled","",IFERROR((T1285*INDEX(Variables!$B$7:$D$7,IFERROR(MATCH(IF($B1285="Robusta","Robusta",(IF($B1285="","Arabica",$B1285))&amp;" - "&amp;(IF($C1285="","Commercial",$C1285))),Variables!$B$1:$D$1,0),1))*AP1285/365)+(L1285/16.67*INDEX(Variables!$B$8:$D$8,IFERROR(MATCH(IF($B1285="Robusta","Robusta",(IF($B1285="","Arabica",$B1285))&amp;" - "&amp;(IF($C1285="","Commercial",$C1285))),Variables!$B$1:$D$1,0),1))*AP1285)+(T1285*INDEX(Variables!$B$9:$D$9,IFERROR(MATCH(IF($B1285="Robusta","Robusta",(IF($B1285="","Arabica",$B1285))&amp;" - "&amp;(IF($C1285="","Commercial",$C1285))),Variables!$B$1:$D$1,0),1))*AP1285/365),""))</f>
        <v/>
      </c>
      <c r="AV1285" s="11" t="str">
        <f t="shared" si="126"/>
        <v/>
      </c>
      <c r="AW1285" s="12" t="str">
        <f>IF($H1285="Cancelled","",IFERROR(IF(AV1285="","",(T1285*INDEX(Variables!$B$7:$D$7,IFERROR(MATCH(IF($B1285="Robusta","Robusta",(IF($B1285="","Arabica",$B1285))&amp;" - "&amp;(IF($C1285="","Commercial",$C1285))),Variables!$B$1:$D$1,0),1))*(AV1285/365))+(T1285*INDEX(Variables!$B$9:$D$9,IFERROR(MATCH(IF($B1285="Robusta","Robusta",(IF($B1285="","Arabica",$B1285))&amp;" - "&amp;(IF($C1285="","Commercial",$C1285))),Variables!$B$1:$D$1,0),1))*(AV1285/365))+(INDEX(Variables!$B$8:$D$8,IFERROR(MATCH(IF($B1285="Robusta","Robusta",(IF($B1285="","Arabica",$B1285))&amp;" - "&amp;(IF($C1285="","Commercial",$C1285))),Variables!$B$1:$D$1,0),1))*L1285/16.67)),""))</f>
        <v/>
      </c>
      <c r="AX1285" s="9"/>
      <c r="AY1285" s="12"/>
      <c r="AZ1285" s="10"/>
      <c r="BA1285" s="9"/>
      <c r="BB1285" s="10"/>
      <c r="BC1285" s="9"/>
      <c r="BD1285" s="9"/>
      <c r="BE1285" s="9"/>
      <c r="BF1285" s="9"/>
    </row>
    <row r="1286" spans="1:58" x14ac:dyDescent="0.25">
      <c r="A1286" s="9" t="s">
        <v>84</v>
      </c>
      <c r="B1286" s="9" t="s">
        <v>85</v>
      </c>
      <c r="C1286" s="9" t="s">
        <v>1486</v>
      </c>
      <c r="D1286" s="10">
        <v>46066</v>
      </c>
      <c r="E1286" s="10">
        <v>46095</v>
      </c>
      <c r="F1286" s="10">
        <v>46112</v>
      </c>
      <c r="G1286" s="9">
        <v>3787276</v>
      </c>
      <c r="H1286" s="9" t="str">
        <f t="shared" si="124"/>
        <v>Open</v>
      </c>
      <c r="I1286" s="9" t="str">
        <f t="shared" si="125"/>
        <v>No sailing date and No shipping advice sent and No docs dispatch date</v>
      </c>
      <c r="J1286" s="9" t="s">
        <v>1552</v>
      </c>
      <c r="K1286" s="9" t="s">
        <v>2725</v>
      </c>
      <c r="L1286" s="11">
        <v>50</v>
      </c>
      <c r="M1286" s="9" t="s">
        <v>2726</v>
      </c>
      <c r="N1286" s="9"/>
      <c r="O1286" s="9"/>
      <c r="P1286" s="9"/>
      <c r="Q1286" s="11">
        <v>201.65</v>
      </c>
      <c r="R1286" s="9" t="s">
        <v>195</v>
      </c>
      <c r="S1286" s="9" t="s">
        <v>150</v>
      </c>
      <c r="T1286" s="12">
        <f>IF($H1286="Cancelled","",IFERROR(((Q1286+INDEX(Variables!$B$6:$D$6,IFERROR(MATCH(IF($B1286="Robusta","Robusta",(IF($B1286="","Arabica",$B1286))&amp;" - "&amp;(IF($C1286="","Commercial",$C1286))),Variables!$B$1:$D$1,0),1)))*22.0462)*(L1286/16.67),""))</f>
        <v>32563.44088182363</v>
      </c>
      <c r="U1286" s="10"/>
      <c r="V1286" s="9" t="str">
        <f t="shared" si="127"/>
        <v/>
      </c>
      <c r="W1286" s="10"/>
      <c r="X1286" s="9" t="str">
        <f t="shared" si="128"/>
        <v/>
      </c>
      <c r="Y1286" s="10"/>
      <c r="Z1286" s="10">
        <f>IF($H1286="Cancelled","",IFERROR(IF(F1286="","",F1286-Variables!$B$13),""))</f>
        <v>46097</v>
      </c>
      <c r="AA1286" s="11" t="str">
        <f>IF($H1286="Cancelled","",IFERROR(IF(W1286="","",(AVERAGE(E1286:F1286)-W1286)-Variables!$B$14),""))</f>
        <v/>
      </c>
      <c r="AB1286" s="10"/>
      <c r="AC1286" s="11" t="str">
        <f>IF($H1286="Cancelled","",IFERROR(IF(AB1286="","",IF(AND(W1286="",Y1286=""),"",IF(Y1286&gt;W1286,Y1286+Variables!$B$15+Variables!$B$16+Variables!$B$17-AB1286,W1286+Variables!$B$16+Variables!$B$17-AB1286))),""))</f>
        <v/>
      </c>
      <c r="AD1286" s="9" t="s">
        <v>151</v>
      </c>
      <c r="AE1286" s="9"/>
      <c r="AF1286" s="10"/>
      <c r="AG1286" s="10"/>
      <c r="AH1286" s="9"/>
      <c r="AI1286" s="9"/>
      <c r="AJ1286" s="9"/>
      <c r="AK1286" s="10"/>
      <c r="AL1286" s="10"/>
      <c r="AM1286" s="10"/>
      <c r="AN1286" s="9" t="s">
        <v>1188</v>
      </c>
      <c r="AO1286" s="9"/>
      <c r="AP1286" s="11" t="str">
        <f>IF($H1286="Cancelled","",IFERROR(IF(OR(AK1286="",AB1286=""),"",(AB1286+Variables!$B$18-AK1286)),""))</f>
        <v/>
      </c>
      <c r="AQ1286" s="11" t="str">
        <f>IF($H1286="Cancelled","",IFERROR(IF(OR(AM1286="",AK1286=""),"",(AK1286+Variables!$B$19)-AM1286),""))</f>
        <v/>
      </c>
      <c r="AR1286" s="12" t="str">
        <f>IF($H1286="Cancelled","",IFERROR(T1286*INDEX(Variables!$B$7:$D$7,IFERROR(MATCH(IF($B1286="Robusta","Robusta",(IF($B1286="","Arabica",$B1286))&amp;" - "&amp;(IF($C1286="","Commercial",$C1286))),Variables!$B$1:$D$1,0),1))*(AQ1286/365),""))</f>
        <v/>
      </c>
      <c r="AS1286" s="12" t="str">
        <f>IF($H1286="Cancelled","",IFERROR((T1286*INDEX(Variables!$B$7:$D$7,IFERROR(MATCH(IF($B1286="Robusta","Robusta",(IF($B1286="","Arabica",$B1286))&amp;" - "&amp;(IF($C1286="","Commercial",$C1286))),Variables!$B$1:$D$1,0),1))*IFERROR(IF(W1286="","",(AVERAGE(E1286:F1286)-W1286)-Variables!$B$14),"")/365)+(L1286/16.67*INDEX(Variables!$B$8:$D$8,IFERROR(MATCH(IF($B1286="Robusta","Robusta",(IF($B1286="","Arabica",$B1286))&amp;" - "&amp;(IF($C1286="","Commercial",$C1286))),Variables!$B$1:$D$1,0),1))*IFERROR(IF(W1286="","",(AVERAGE(E1286:F1286)-W1286)-Variables!$B$14),""))+(T1286*INDEX(Variables!$B$9:$D$9,IFERROR(MATCH(IF($B1286="Robusta","Robusta",(IF($B1286="","Arabica",$B1286))&amp;" - "&amp;(IF($C1286="","Commercial",$C1286))),Variables!$B$1:$D$1,0),1))*IFERROR(IF(W1286="","",(AVERAGE(E1286:F1286)-W1286)-Variables!$B$14),"")/365),""))</f>
        <v/>
      </c>
      <c r="AT1286" s="12" t="str">
        <f>IF($H1286="Cancelled","",IFERROR((T1286*INDEX(Variables!$B$7:$D$7,IFERROR(MATCH(IF($B1286="Robusta","Robusta",(IF($B1286="","Arabica",$B1286))&amp;" - "&amp;(IF($C1286="","Commercial",$C1286))),Variables!$B$1:$D$1,0),1))*AC1286/365)+(L1286/16.67*INDEX(Variables!$B$8:$D$8,IFERROR(MATCH(IF($B1286="Robusta","Robusta",(IF($B1286="","Arabica",$B1286))&amp;" - "&amp;(IF($C1286="","Commercial",$C1286))),Variables!$B$1:$D$1,0),1))*AC1286)+(T1286*INDEX(Variables!$B$9:$D$9,IFERROR(MATCH(IF($B1286="Robusta","Robusta",(IF($B1286="","Arabica",$B1286))&amp;" - "&amp;(IF($C1286="","Commercial",$C1286))),Variables!$B$1:$D$1,0),1))*AC1286/365),""))</f>
        <v/>
      </c>
      <c r="AU1286" s="12" t="str">
        <f>IF($H1286="Cancelled","",IFERROR((T1286*INDEX(Variables!$B$7:$D$7,IFERROR(MATCH(IF($B1286="Robusta","Robusta",(IF($B1286="","Arabica",$B1286))&amp;" - "&amp;(IF($C1286="","Commercial",$C1286))),Variables!$B$1:$D$1,0),1))*AP1286/365)+(L1286/16.67*INDEX(Variables!$B$8:$D$8,IFERROR(MATCH(IF($B1286="Robusta","Robusta",(IF($B1286="","Arabica",$B1286))&amp;" - "&amp;(IF($C1286="","Commercial",$C1286))),Variables!$B$1:$D$1,0),1))*AP1286)+(T1286*INDEX(Variables!$B$9:$D$9,IFERROR(MATCH(IF($B1286="Robusta","Robusta",(IF($B1286="","Arabica",$B1286))&amp;" - "&amp;(IF($C1286="","Commercial",$C1286))),Variables!$B$1:$D$1,0),1))*AP1286/365),""))</f>
        <v/>
      </c>
      <c r="AV1286" s="11" t="str">
        <f t="shared" si="126"/>
        <v/>
      </c>
      <c r="AW1286" s="12" t="str">
        <f>IF($H1286="Cancelled","",IFERROR(IF(AV1286="","",(T1286*INDEX(Variables!$B$7:$D$7,IFERROR(MATCH(IF($B1286="Robusta","Robusta",(IF($B1286="","Arabica",$B1286))&amp;" - "&amp;(IF($C1286="","Commercial",$C1286))),Variables!$B$1:$D$1,0),1))*(AV1286/365))+(T1286*INDEX(Variables!$B$9:$D$9,IFERROR(MATCH(IF($B1286="Robusta","Robusta",(IF($B1286="","Arabica",$B1286))&amp;" - "&amp;(IF($C1286="","Commercial",$C1286))),Variables!$B$1:$D$1,0),1))*(AV1286/365))+(INDEX(Variables!$B$8:$D$8,IFERROR(MATCH(IF($B1286="Robusta","Robusta",(IF($B1286="","Arabica",$B1286))&amp;" - "&amp;(IF($C1286="","Commercial",$C1286))),Variables!$B$1:$D$1,0),1))*L1286/16.67)),""))</f>
        <v/>
      </c>
      <c r="AX1286" s="9"/>
      <c r="AY1286" s="12"/>
      <c r="AZ1286" s="10"/>
      <c r="BA1286" s="9"/>
      <c r="BB1286" s="10"/>
      <c r="BC1286" s="9"/>
      <c r="BD1286" s="9"/>
      <c r="BE1286" s="9"/>
      <c r="BF1286" s="9"/>
    </row>
    <row r="1287" spans="1:58" x14ac:dyDescent="0.25">
      <c r="A1287" s="9" t="s">
        <v>84</v>
      </c>
      <c r="B1287" s="9" t="s">
        <v>85</v>
      </c>
      <c r="C1287" s="9" t="s">
        <v>1486</v>
      </c>
      <c r="D1287" s="10">
        <v>46066</v>
      </c>
      <c r="E1287" s="10">
        <v>46095</v>
      </c>
      <c r="F1287" s="10">
        <v>46112</v>
      </c>
      <c r="G1287" s="9">
        <v>3787277</v>
      </c>
      <c r="H1287" s="9" t="str">
        <f t="shared" si="124"/>
        <v>Open</v>
      </c>
      <c r="I1287" s="9" t="str">
        <f t="shared" si="125"/>
        <v>No sailing date and No shipping advice sent and No docs dispatch date</v>
      </c>
      <c r="J1287" s="9" t="s">
        <v>1552</v>
      </c>
      <c r="K1287" s="9" t="s">
        <v>2727</v>
      </c>
      <c r="L1287" s="11">
        <v>30</v>
      </c>
      <c r="M1287" s="9" t="s">
        <v>2728</v>
      </c>
      <c r="N1287" s="9"/>
      <c r="O1287" s="9"/>
      <c r="P1287" s="9"/>
      <c r="Q1287" s="11">
        <v>163.65</v>
      </c>
      <c r="R1287" s="9" t="s">
        <v>195</v>
      </c>
      <c r="S1287" s="9" t="s">
        <v>150</v>
      </c>
      <c r="T1287" s="12">
        <f>IF($H1287="Cancelled","",IFERROR(((Q1287+INDEX(Variables!$B$6:$D$6,IFERROR(MATCH(IF($B1287="Robusta","Robusta",(IF($B1287="","Arabica",$B1287))&amp;" - "&amp;(IF($C1287="","Commercial",$C1287))),Variables!$B$1:$D$1,0),1)))*22.0462)*(L1287/16.67),""))</f>
        <v>18030.405980803836</v>
      </c>
      <c r="U1287" s="10"/>
      <c r="V1287" s="9" t="str">
        <f t="shared" si="127"/>
        <v/>
      </c>
      <c r="W1287" s="10"/>
      <c r="X1287" s="9" t="str">
        <f t="shared" si="128"/>
        <v/>
      </c>
      <c r="Y1287" s="10"/>
      <c r="Z1287" s="10">
        <f>IF($H1287="Cancelled","",IFERROR(IF(F1287="","",F1287-Variables!$B$13),""))</f>
        <v>46097</v>
      </c>
      <c r="AA1287" s="11" t="str">
        <f>IF($H1287="Cancelled","",IFERROR(IF(W1287="","",(AVERAGE(E1287:F1287)-W1287)-Variables!$B$14),""))</f>
        <v/>
      </c>
      <c r="AB1287" s="10"/>
      <c r="AC1287" s="11" t="str">
        <f>IF($H1287="Cancelled","",IFERROR(IF(AB1287="","",IF(AND(W1287="",Y1287=""),"",IF(Y1287&gt;W1287,Y1287+Variables!$B$15+Variables!$B$16+Variables!$B$17-AB1287,W1287+Variables!$B$16+Variables!$B$17-AB1287))),""))</f>
        <v/>
      </c>
      <c r="AD1287" s="9" t="s">
        <v>151</v>
      </c>
      <c r="AE1287" s="9"/>
      <c r="AF1287" s="10"/>
      <c r="AG1287" s="10"/>
      <c r="AH1287" s="9"/>
      <c r="AI1287" s="9"/>
      <c r="AJ1287" s="9"/>
      <c r="AK1287" s="10"/>
      <c r="AL1287" s="10"/>
      <c r="AM1287" s="10"/>
      <c r="AN1287" s="9" t="s">
        <v>1188</v>
      </c>
      <c r="AO1287" s="9"/>
      <c r="AP1287" s="11" t="str">
        <f>IF($H1287="Cancelled","",IFERROR(IF(OR(AK1287="",AB1287=""),"",(AB1287+Variables!$B$18-AK1287)),""))</f>
        <v/>
      </c>
      <c r="AQ1287" s="11" t="str">
        <f>IF($H1287="Cancelled","",IFERROR(IF(OR(AM1287="",AK1287=""),"",(AK1287+Variables!$B$19)-AM1287),""))</f>
        <v/>
      </c>
      <c r="AR1287" s="12" t="str">
        <f>IF($H1287="Cancelled","",IFERROR(T1287*INDEX(Variables!$B$7:$D$7,IFERROR(MATCH(IF($B1287="Robusta","Robusta",(IF($B1287="","Arabica",$B1287))&amp;" - "&amp;(IF($C1287="","Commercial",$C1287))),Variables!$B$1:$D$1,0),1))*(AQ1287/365),""))</f>
        <v/>
      </c>
      <c r="AS1287" s="12" t="str">
        <f>IF($H1287="Cancelled","",IFERROR((T1287*INDEX(Variables!$B$7:$D$7,IFERROR(MATCH(IF($B1287="Robusta","Robusta",(IF($B1287="","Arabica",$B1287))&amp;" - "&amp;(IF($C1287="","Commercial",$C1287))),Variables!$B$1:$D$1,0),1))*IFERROR(IF(W1287="","",(AVERAGE(E1287:F1287)-W1287)-Variables!$B$14),"")/365)+(L1287/16.67*INDEX(Variables!$B$8:$D$8,IFERROR(MATCH(IF($B1287="Robusta","Robusta",(IF($B1287="","Arabica",$B1287))&amp;" - "&amp;(IF($C1287="","Commercial",$C1287))),Variables!$B$1:$D$1,0),1))*IFERROR(IF(W1287="","",(AVERAGE(E1287:F1287)-W1287)-Variables!$B$14),""))+(T1287*INDEX(Variables!$B$9:$D$9,IFERROR(MATCH(IF($B1287="Robusta","Robusta",(IF($B1287="","Arabica",$B1287))&amp;" - "&amp;(IF($C1287="","Commercial",$C1287))),Variables!$B$1:$D$1,0),1))*IFERROR(IF(W1287="","",(AVERAGE(E1287:F1287)-W1287)-Variables!$B$14),"")/365),""))</f>
        <v/>
      </c>
      <c r="AT1287" s="12" t="str">
        <f>IF($H1287="Cancelled","",IFERROR((T1287*INDEX(Variables!$B$7:$D$7,IFERROR(MATCH(IF($B1287="Robusta","Robusta",(IF($B1287="","Arabica",$B1287))&amp;" - "&amp;(IF($C1287="","Commercial",$C1287))),Variables!$B$1:$D$1,0),1))*AC1287/365)+(L1287/16.67*INDEX(Variables!$B$8:$D$8,IFERROR(MATCH(IF($B1287="Robusta","Robusta",(IF($B1287="","Arabica",$B1287))&amp;" - "&amp;(IF($C1287="","Commercial",$C1287))),Variables!$B$1:$D$1,0),1))*AC1287)+(T1287*INDEX(Variables!$B$9:$D$9,IFERROR(MATCH(IF($B1287="Robusta","Robusta",(IF($B1287="","Arabica",$B1287))&amp;" - "&amp;(IF($C1287="","Commercial",$C1287))),Variables!$B$1:$D$1,0),1))*AC1287/365),""))</f>
        <v/>
      </c>
      <c r="AU1287" s="12" t="str">
        <f>IF($H1287="Cancelled","",IFERROR((T1287*INDEX(Variables!$B$7:$D$7,IFERROR(MATCH(IF($B1287="Robusta","Robusta",(IF($B1287="","Arabica",$B1287))&amp;" - "&amp;(IF($C1287="","Commercial",$C1287))),Variables!$B$1:$D$1,0),1))*AP1287/365)+(L1287/16.67*INDEX(Variables!$B$8:$D$8,IFERROR(MATCH(IF($B1287="Robusta","Robusta",(IF($B1287="","Arabica",$B1287))&amp;" - "&amp;(IF($C1287="","Commercial",$C1287))),Variables!$B$1:$D$1,0),1))*AP1287)+(T1287*INDEX(Variables!$B$9:$D$9,IFERROR(MATCH(IF($B1287="Robusta","Robusta",(IF($B1287="","Arabica",$B1287))&amp;" - "&amp;(IF($C1287="","Commercial",$C1287))),Variables!$B$1:$D$1,0),1))*AP1287/365),""))</f>
        <v/>
      </c>
      <c r="AV1287" s="11" t="str">
        <f t="shared" si="126"/>
        <v/>
      </c>
      <c r="AW1287" s="12" t="str">
        <f>IF($H1287="Cancelled","",IFERROR(IF(AV1287="","",(T1287*INDEX(Variables!$B$7:$D$7,IFERROR(MATCH(IF($B1287="Robusta","Robusta",(IF($B1287="","Arabica",$B1287))&amp;" - "&amp;(IF($C1287="","Commercial",$C1287))),Variables!$B$1:$D$1,0),1))*(AV1287/365))+(T1287*INDEX(Variables!$B$9:$D$9,IFERROR(MATCH(IF($B1287="Robusta","Robusta",(IF($B1287="","Arabica",$B1287))&amp;" - "&amp;(IF($C1287="","Commercial",$C1287))),Variables!$B$1:$D$1,0),1))*(AV1287/365))+(INDEX(Variables!$B$8:$D$8,IFERROR(MATCH(IF($B1287="Robusta","Robusta",(IF($B1287="","Arabica",$B1287))&amp;" - "&amp;(IF($C1287="","Commercial",$C1287))),Variables!$B$1:$D$1,0),1))*L1287/16.67)),""))</f>
        <v/>
      </c>
      <c r="AX1287" s="9"/>
      <c r="AY1287" s="12"/>
      <c r="AZ1287" s="10"/>
      <c r="BA1287" s="9"/>
      <c r="BB1287" s="10"/>
      <c r="BC1287" s="9"/>
      <c r="BD1287" s="9"/>
      <c r="BE1287" s="9"/>
      <c r="BF1287" s="9"/>
    </row>
    <row r="1288" spans="1:58" x14ac:dyDescent="0.25">
      <c r="A1288" s="9" t="s">
        <v>84</v>
      </c>
      <c r="B1288" s="9" t="s">
        <v>85</v>
      </c>
      <c r="C1288" s="9" t="s">
        <v>1486</v>
      </c>
      <c r="D1288" s="10">
        <v>45987</v>
      </c>
      <c r="E1288" s="10">
        <v>46082</v>
      </c>
      <c r="F1288" s="10">
        <v>46112</v>
      </c>
      <c r="G1288" s="9">
        <v>3787004</v>
      </c>
      <c r="H1288" s="9" t="str">
        <f t="shared" si="124"/>
        <v>Open</v>
      </c>
      <c r="I1288" s="9" t="str">
        <f t="shared" si="125"/>
        <v>No sailing date and No shipping advice sent and No docs dispatch date</v>
      </c>
      <c r="J1288" s="9" t="s">
        <v>303</v>
      </c>
      <c r="K1288" s="9" t="s">
        <v>2729</v>
      </c>
      <c r="L1288" s="11">
        <v>16</v>
      </c>
      <c r="M1288" s="9" t="s">
        <v>2730</v>
      </c>
      <c r="N1288" s="9"/>
      <c r="O1288" s="9"/>
      <c r="P1288" s="9"/>
      <c r="Q1288" s="11">
        <v>193</v>
      </c>
      <c r="R1288" s="9" t="s">
        <v>195</v>
      </c>
      <c r="S1288" s="9" t="s">
        <v>91</v>
      </c>
      <c r="T1288" s="12">
        <f>IF($H1288="Cancelled","",IFERROR(((Q1288+INDEX(Variables!$B$6:$D$6,IFERROR(MATCH(IF($B1288="Robusta","Robusta",(IF($B1288="","Arabica",$B1288))&amp;" - "&amp;(IF($C1288="","Commercial",$C1288))),Variables!$B$1:$D$1,0),1)))*22.0462)*(L1288/16.67),""))</f>
        <v>10237.266044391121</v>
      </c>
      <c r="U1288" s="10"/>
      <c r="V1288" s="9" t="s">
        <v>195</v>
      </c>
      <c r="W1288" s="10"/>
      <c r="X1288" s="9" t="s">
        <v>195</v>
      </c>
      <c r="Y1288" s="10"/>
      <c r="Z1288" s="10">
        <f>IF($H1288="Cancelled","",IFERROR(IF(F1288="","",F1288-Variables!$B$13),""))</f>
        <v>46097</v>
      </c>
      <c r="AA1288" s="11" t="str">
        <f>IF($H1288="Cancelled","",IFERROR(IF(W1288="","",(AVERAGE(E1288:F1288)-W1288)-Variables!$B$14),""))</f>
        <v/>
      </c>
      <c r="AB1288" s="10"/>
      <c r="AC1288" s="11" t="str">
        <f>IF($H1288="Cancelled","",IFERROR(IF(AB1288="","",IF(AND(W1288="",Y1288=""),"",IF(Y1288&gt;W1288,Y1288+Variables!$B$15+Variables!$B$16+Variables!$B$17-AB1288,W1288+Variables!$B$16+Variables!$B$17-AB1288))),""))</f>
        <v/>
      </c>
      <c r="AD1288" s="9" t="s">
        <v>163</v>
      </c>
      <c r="AE1288" s="9"/>
      <c r="AF1288" s="10"/>
      <c r="AG1288" s="10"/>
      <c r="AH1288" s="9"/>
      <c r="AI1288" s="9"/>
      <c r="AJ1288" s="9"/>
      <c r="AK1288" s="10"/>
      <c r="AL1288" s="10"/>
      <c r="AM1288" s="10"/>
      <c r="AN1288" s="9" t="s">
        <v>1445</v>
      </c>
      <c r="AO1288" s="9"/>
      <c r="AP1288" s="11" t="str">
        <f>IF($H1288="Cancelled","",IFERROR(IF(OR(AK1288="",AB1288=""),"",(AB1288+Variables!$B$18-AK1288)),""))</f>
        <v/>
      </c>
      <c r="AQ1288" s="11" t="str">
        <f>IF($H1288="Cancelled","",IFERROR(IF(OR(AM1288="",AK1288=""),"",(AK1288+Variables!$B$19)-AM1288),""))</f>
        <v/>
      </c>
      <c r="AR1288" s="12" t="str">
        <f>IF($H1288="Cancelled","",IFERROR(T1288*INDEX(Variables!$B$7:$D$7,IFERROR(MATCH(IF($B1288="Robusta","Robusta",(IF($B1288="","Arabica",$B1288))&amp;" - "&amp;(IF($C1288="","Commercial",$C1288))),Variables!$B$1:$D$1,0),1))*(AQ1288/365),""))</f>
        <v/>
      </c>
      <c r="AS1288" s="12" t="str">
        <f>IF($H1288="Cancelled","",IFERROR((T1288*INDEX(Variables!$B$7:$D$7,IFERROR(MATCH(IF($B1288="Robusta","Robusta",(IF($B1288="","Arabica",$B1288))&amp;" - "&amp;(IF($C1288="","Commercial",$C1288))),Variables!$B$1:$D$1,0),1))*IFERROR(IF(W1288="","",(AVERAGE(E1288:F1288)-W1288)-Variables!$B$14),"")/365)+(L1288/16.67*INDEX(Variables!$B$8:$D$8,IFERROR(MATCH(IF($B1288="Robusta","Robusta",(IF($B1288="","Arabica",$B1288))&amp;" - "&amp;(IF($C1288="","Commercial",$C1288))),Variables!$B$1:$D$1,0),1))*IFERROR(IF(W1288="","",(AVERAGE(E1288:F1288)-W1288)-Variables!$B$14),""))+(T1288*INDEX(Variables!$B$9:$D$9,IFERROR(MATCH(IF($B1288="Robusta","Robusta",(IF($B1288="","Arabica",$B1288))&amp;" - "&amp;(IF($C1288="","Commercial",$C1288))),Variables!$B$1:$D$1,0),1))*IFERROR(IF(W1288="","",(AVERAGE(E1288:F1288)-W1288)-Variables!$B$14),"")/365),""))</f>
        <v/>
      </c>
      <c r="AT1288" s="12" t="str">
        <f>IF($H1288="Cancelled","",IFERROR((T1288*INDEX(Variables!$B$7:$D$7,IFERROR(MATCH(IF($B1288="Robusta","Robusta",(IF($B1288="","Arabica",$B1288))&amp;" - "&amp;(IF($C1288="","Commercial",$C1288))),Variables!$B$1:$D$1,0),1))*AC1288/365)+(L1288/16.67*INDEX(Variables!$B$8:$D$8,IFERROR(MATCH(IF($B1288="Robusta","Robusta",(IF($B1288="","Arabica",$B1288))&amp;" - "&amp;(IF($C1288="","Commercial",$C1288))),Variables!$B$1:$D$1,0),1))*AC1288)+(T1288*INDEX(Variables!$B$9:$D$9,IFERROR(MATCH(IF($B1288="Robusta","Robusta",(IF($B1288="","Arabica",$B1288))&amp;" - "&amp;(IF($C1288="","Commercial",$C1288))),Variables!$B$1:$D$1,0),1))*AC1288/365),""))</f>
        <v/>
      </c>
      <c r="AU1288" s="12" t="str">
        <f>IF($H1288="Cancelled","",IFERROR((T1288*INDEX(Variables!$B$7:$D$7,IFERROR(MATCH(IF($B1288="Robusta","Robusta",(IF($B1288="","Arabica",$B1288))&amp;" - "&amp;(IF($C1288="","Commercial",$C1288))),Variables!$B$1:$D$1,0),1))*AP1288/365)+(L1288/16.67*INDEX(Variables!$B$8:$D$8,IFERROR(MATCH(IF($B1288="Robusta","Robusta",(IF($B1288="","Arabica",$B1288))&amp;" - "&amp;(IF($C1288="","Commercial",$C1288))),Variables!$B$1:$D$1,0),1))*AP1288)+(T1288*INDEX(Variables!$B$9:$D$9,IFERROR(MATCH(IF($B1288="Robusta","Robusta",(IF($B1288="","Arabica",$B1288))&amp;" - "&amp;(IF($C1288="","Commercial",$C1288))),Variables!$B$1:$D$1,0),1))*AP1288/365),""))</f>
        <v/>
      </c>
      <c r="AV1288" s="11" t="str">
        <f t="shared" si="126"/>
        <v/>
      </c>
      <c r="AW1288" s="12" t="str">
        <f>IF($H1288="Cancelled","",IFERROR(IF(AV1288="","",(T1288*INDEX(Variables!$B$7:$D$7,IFERROR(MATCH(IF($B1288="Robusta","Robusta",(IF($B1288="","Arabica",$B1288))&amp;" - "&amp;(IF($C1288="","Commercial",$C1288))),Variables!$B$1:$D$1,0),1))*(AV1288/365))+(T1288*INDEX(Variables!$B$9:$D$9,IFERROR(MATCH(IF($B1288="Robusta","Robusta",(IF($B1288="","Arabica",$B1288))&amp;" - "&amp;(IF($C1288="","Commercial",$C1288))),Variables!$B$1:$D$1,0),1))*(AV1288/365))+(INDEX(Variables!$B$8:$D$8,IFERROR(MATCH(IF($B1288="Robusta","Robusta",(IF($B1288="","Arabica",$B1288))&amp;" - "&amp;(IF($C1288="","Commercial",$C1288))),Variables!$B$1:$D$1,0),1))*L1288/16.67)),""))</f>
        <v/>
      </c>
      <c r="AX1288" s="9"/>
      <c r="AY1288" s="12"/>
      <c r="AZ1288" s="10"/>
      <c r="BA1288" s="9"/>
      <c r="BB1288" s="10"/>
      <c r="BC1288" s="9"/>
      <c r="BD1288" s="9"/>
      <c r="BE1288" s="9"/>
      <c r="BF1288" s="9"/>
    </row>
    <row r="1289" spans="1:58" x14ac:dyDescent="0.25">
      <c r="A1289" s="9" t="s">
        <v>84</v>
      </c>
      <c r="B1289" s="9" t="s">
        <v>85</v>
      </c>
      <c r="C1289" s="9" t="s">
        <v>1486</v>
      </c>
      <c r="D1289" s="10">
        <v>45987</v>
      </c>
      <c r="E1289" s="10">
        <v>46082</v>
      </c>
      <c r="F1289" s="10">
        <v>46112</v>
      </c>
      <c r="G1289" s="9">
        <v>3787005</v>
      </c>
      <c r="H1289" s="9" t="str">
        <f t="shared" si="124"/>
        <v>Open</v>
      </c>
      <c r="I1289" s="9" t="str">
        <f t="shared" si="125"/>
        <v>No sailing date and No shipping advice sent and No docs dispatch date</v>
      </c>
      <c r="J1289" s="9" t="s">
        <v>303</v>
      </c>
      <c r="K1289" s="9" t="s">
        <v>2731</v>
      </c>
      <c r="L1289" s="11">
        <v>16</v>
      </c>
      <c r="M1289" s="9" t="s">
        <v>2732</v>
      </c>
      <c r="N1289" s="9"/>
      <c r="O1289" s="9"/>
      <c r="P1289" s="9"/>
      <c r="Q1289" s="11">
        <v>138</v>
      </c>
      <c r="R1289" s="9" t="s">
        <v>195</v>
      </c>
      <c r="S1289" s="9" t="s">
        <v>91</v>
      </c>
      <c r="T1289" s="12">
        <f>IF($H1289="Cancelled","",IFERROR(((Q1289+INDEX(Variables!$B$6:$D$6,IFERROR(MATCH(IF($B1289="Robusta","Robusta",(IF($B1289="","Arabica",$B1289))&amp;" - "&amp;(IF($C1289="","Commercial",$C1289))),Variables!$B$1:$D$1,0),1)))*22.0462)*(L1289/16.67),""))</f>
        <v>9073.4594457108578</v>
      </c>
      <c r="U1289" s="10"/>
      <c r="V1289" s="9" t="s">
        <v>195</v>
      </c>
      <c r="W1289" s="10"/>
      <c r="X1289" s="9" t="s">
        <v>195</v>
      </c>
      <c r="Y1289" s="10"/>
      <c r="Z1289" s="10">
        <f>IF($H1289="Cancelled","",IFERROR(IF(F1289="","",F1289-Variables!$B$13),""))</f>
        <v>46097</v>
      </c>
      <c r="AA1289" s="11" t="str">
        <f>IF($H1289="Cancelled","",IFERROR(IF(W1289="","",(AVERAGE(E1289:F1289)-W1289)-Variables!$B$14),""))</f>
        <v/>
      </c>
      <c r="AB1289" s="10"/>
      <c r="AC1289" s="11" t="str">
        <f>IF($H1289="Cancelled","",IFERROR(IF(AB1289="","",IF(AND(W1289="",Y1289=""),"",IF(Y1289&gt;W1289,Y1289+Variables!$B$15+Variables!$B$16+Variables!$B$17-AB1289,W1289+Variables!$B$16+Variables!$B$17-AB1289))),""))</f>
        <v/>
      </c>
      <c r="AD1289" s="9" t="s">
        <v>163</v>
      </c>
      <c r="AE1289" s="9"/>
      <c r="AF1289" s="10"/>
      <c r="AG1289" s="10"/>
      <c r="AH1289" s="9"/>
      <c r="AI1289" s="9"/>
      <c r="AJ1289" s="9"/>
      <c r="AK1289" s="10"/>
      <c r="AL1289" s="10"/>
      <c r="AM1289" s="10"/>
      <c r="AN1289" s="9" t="s">
        <v>1445</v>
      </c>
      <c r="AO1289" s="9"/>
      <c r="AP1289" s="11" t="str">
        <f>IF($H1289="Cancelled","",IFERROR(IF(OR(AK1289="",AB1289=""),"",(AB1289+Variables!$B$18-AK1289)),""))</f>
        <v/>
      </c>
      <c r="AQ1289" s="11" t="str">
        <f>IF($H1289="Cancelled","",IFERROR(IF(OR(AM1289="",AK1289=""),"",(AK1289+Variables!$B$19)-AM1289),""))</f>
        <v/>
      </c>
      <c r="AR1289" s="12" t="str">
        <f>IF($H1289="Cancelled","",IFERROR(T1289*INDEX(Variables!$B$7:$D$7,IFERROR(MATCH(IF($B1289="Robusta","Robusta",(IF($B1289="","Arabica",$B1289))&amp;" - "&amp;(IF($C1289="","Commercial",$C1289))),Variables!$B$1:$D$1,0),1))*(AQ1289/365),""))</f>
        <v/>
      </c>
      <c r="AS1289" s="12" t="str">
        <f>IF($H1289="Cancelled","",IFERROR((T1289*INDEX(Variables!$B$7:$D$7,IFERROR(MATCH(IF($B1289="Robusta","Robusta",(IF($B1289="","Arabica",$B1289))&amp;" - "&amp;(IF($C1289="","Commercial",$C1289))),Variables!$B$1:$D$1,0),1))*IFERROR(IF(W1289="","",(AVERAGE(E1289:F1289)-W1289)-Variables!$B$14),"")/365)+(L1289/16.67*INDEX(Variables!$B$8:$D$8,IFERROR(MATCH(IF($B1289="Robusta","Robusta",(IF($B1289="","Arabica",$B1289))&amp;" - "&amp;(IF($C1289="","Commercial",$C1289))),Variables!$B$1:$D$1,0),1))*IFERROR(IF(W1289="","",(AVERAGE(E1289:F1289)-W1289)-Variables!$B$14),""))+(T1289*INDEX(Variables!$B$9:$D$9,IFERROR(MATCH(IF($B1289="Robusta","Robusta",(IF($B1289="","Arabica",$B1289))&amp;" - "&amp;(IF($C1289="","Commercial",$C1289))),Variables!$B$1:$D$1,0),1))*IFERROR(IF(W1289="","",(AVERAGE(E1289:F1289)-W1289)-Variables!$B$14),"")/365),""))</f>
        <v/>
      </c>
      <c r="AT1289" s="12" t="str">
        <f>IF($H1289="Cancelled","",IFERROR((T1289*INDEX(Variables!$B$7:$D$7,IFERROR(MATCH(IF($B1289="Robusta","Robusta",(IF($B1289="","Arabica",$B1289))&amp;" - "&amp;(IF($C1289="","Commercial",$C1289))),Variables!$B$1:$D$1,0),1))*AC1289/365)+(L1289/16.67*INDEX(Variables!$B$8:$D$8,IFERROR(MATCH(IF($B1289="Robusta","Robusta",(IF($B1289="","Arabica",$B1289))&amp;" - "&amp;(IF($C1289="","Commercial",$C1289))),Variables!$B$1:$D$1,0),1))*AC1289)+(T1289*INDEX(Variables!$B$9:$D$9,IFERROR(MATCH(IF($B1289="Robusta","Robusta",(IF($B1289="","Arabica",$B1289))&amp;" - "&amp;(IF($C1289="","Commercial",$C1289))),Variables!$B$1:$D$1,0),1))*AC1289/365),""))</f>
        <v/>
      </c>
      <c r="AU1289" s="12" t="str">
        <f>IF($H1289="Cancelled","",IFERROR((T1289*INDEX(Variables!$B$7:$D$7,IFERROR(MATCH(IF($B1289="Robusta","Robusta",(IF($B1289="","Arabica",$B1289))&amp;" - "&amp;(IF($C1289="","Commercial",$C1289))),Variables!$B$1:$D$1,0),1))*AP1289/365)+(L1289/16.67*INDEX(Variables!$B$8:$D$8,IFERROR(MATCH(IF($B1289="Robusta","Robusta",(IF($B1289="","Arabica",$B1289))&amp;" - "&amp;(IF($C1289="","Commercial",$C1289))),Variables!$B$1:$D$1,0),1))*AP1289)+(T1289*INDEX(Variables!$B$9:$D$9,IFERROR(MATCH(IF($B1289="Robusta","Robusta",(IF($B1289="","Arabica",$B1289))&amp;" - "&amp;(IF($C1289="","Commercial",$C1289))),Variables!$B$1:$D$1,0),1))*AP1289/365),""))</f>
        <v/>
      </c>
      <c r="AV1289" s="11" t="str">
        <f t="shared" si="126"/>
        <v/>
      </c>
      <c r="AW1289" s="12" t="str">
        <f>IF($H1289="Cancelled","",IFERROR(IF(AV1289="","",(T1289*INDEX(Variables!$B$7:$D$7,IFERROR(MATCH(IF($B1289="Robusta","Robusta",(IF($B1289="","Arabica",$B1289))&amp;" - "&amp;(IF($C1289="","Commercial",$C1289))),Variables!$B$1:$D$1,0),1))*(AV1289/365))+(T1289*INDEX(Variables!$B$9:$D$9,IFERROR(MATCH(IF($B1289="Robusta","Robusta",(IF($B1289="","Arabica",$B1289))&amp;" - "&amp;(IF($C1289="","Commercial",$C1289))),Variables!$B$1:$D$1,0),1))*(AV1289/365))+(INDEX(Variables!$B$8:$D$8,IFERROR(MATCH(IF($B1289="Robusta","Robusta",(IF($B1289="","Arabica",$B1289))&amp;" - "&amp;(IF($C1289="","Commercial",$C1289))),Variables!$B$1:$D$1,0),1))*L1289/16.67)),""))</f>
        <v/>
      </c>
      <c r="AX1289" s="9"/>
      <c r="AY1289" s="12"/>
      <c r="AZ1289" s="10"/>
      <c r="BA1289" s="9"/>
      <c r="BB1289" s="10"/>
      <c r="BC1289" s="9"/>
      <c r="BD1289" s="9"/>
      <c r="BE1289" s="9"/>
      <c r="BF1289" s="9"/>
    </row>
    <row r="1290" spans="1:58" x14ac:dyDescent="0.25">
      <c r="A1290" s="9" t="s">
        <v>84</v>
      </c>
      <c r="B1290" s="9" t="s">
        <v>85</v>
      </c>
      <c r="C1290" s="9" t="s">
        <v>1486</v>
      </c>
      <c r="D1290" s="10">
        <v>46000</v>
      </c>
      <c r="E1290" s="10">
        <v>46082</v>
      </c>
      <c r="F1290" s="10">
        <v>46112</v>
      </c>
      <c r="G1290" s="9">
        <v>3787028</v>
      </c>
      <c r="H1290" s="9" t="str">
        <f t="shared" si="124"/>
        <v>Open</v>
      </c>
      <c r="I1290" s="9" t="str">
        <f t="shared" si="125"/>
        <v>No sailing date and No shipping advice sent and No docs dispatch date</v>
      </c>
      <c r="J1290" s="9" t="s">
        <v>303</v>
      </c>
      <c r="K1290" s="9" t="s">
        <v>2733</v>
      </c>
      <c r="L1290" s="11">
        <v>32</v>
      </c>
      <c r="M1290" s="9" t="s">
        <v>1442</v>
      </c>
      <c r="N1290" s="9"/>
      <c r="O1290" s="9"/>
      <c r="P1290" s="9"/>
      <c r="Q1290" s="11">
        <v>70</v>
      </c>
      <c r="R1290" s="9" t="s">
        <v>195</v>
      </c>
      <c r="S1290" s="9" t="s">
        <v>91</v>
      </c>
      <c r="T1290" s="12">
        <f>IF($H1290="Cancelled","",IFERROR(((Q1290+INDEX(Variables!$B$6:$D$6,IFERROR(MATCH(IF($B1290="Robusta","Robusta",(IF($B1290="","Arabica",$B1290))&amp;" - "&amp;(IF($C1290="","Commercial",$C1290))),Variables!$B$1:$D$1,0),1)))*22.0462)*(L1290/16.67),""))</f>
        <v>15269.14257468506</v>
      </c>
      <c r="U1290" s="10"/>
      <c r="V1290" s="9" t="s">
        <v>195</v>
      </c>
      <c r="W1290" s="10"/>
      <c r="X1290" s="9" t="s">
        <v>195</v>
      </c>
      <c r="Y1290" s="10"/>
      <c r="Z1290" s="10">
        <f>IF($H1290="Cancelled","",IFERROR(IF(F1290="","",F1290-Variables!$B$13),""))</f>
        <v>46097</v>
      </c>
      <c r="AA1290" s="11" t="str">
        <f>IF($H1290="Cancelled","",IFERROR(IF(W1290="","",(AVERAGE(E1290:F1290)-W1290)-Variables!$B$14),""))</f>
        <v/>
      </c>
      <c r="AB1290" s="10"/>
      <c r="AC1290" s="11" t="str">
        <f>IF($H1290="Cancelled","",IFERROR(IF(AB1290="","",IF(AND(W1290="",Y1290=""),"",IF(Y1290&gt;W1290,Y1290+Variables!$B$15+Variables!$B$16+Variables!$B$17-AB1290,W1290+Variables!$B$16+Variables!$B$17-AB1290))),""))</f>
        <v/>
      </c>
      <c r="AD1290" s="9" t="s">
        <v>163</v>
      </c>
      <c r="AE1290" s="9"/>
      <c r="AF1290" s="10"/>
      <c r="AG1290" s="10"/>
      <c r="AH1290" s="9"/>
      <c r="AI1290" s="9"/>
      <c r="AJ1290" s="9"/>
      <c r="AK1290" s="10"/>
      <c r="AL1290" s="10"/>
      <c r="AM1290" s="10"/>
      <c r="AN1290" s="9" t="s">
        <v>1445</v>
      </c>
      <c r="AO1290" s="9"/>
      <c r="AP1290" s="11" t="str">
        <f>IF($H1290="Cancelled","",IFERROR(IF(OR(AK1290="",AB1290=""),"",(AB1290+Variables!$B$18-AK1290)),""))</f>
        <v/>
      </c>
      <c r="AQ1290" s="11" t="str">
        <f>IF($H1290="Cancelled","",IFERROR(IF(OR(AM1290="",AK1290=""),"",(AK1290+Variables!$B$19)-AM1290),""))</f>
        <v/>
      </c>
      <c r="AR1290" s="12" t="str">
        <f>IF($H1290="Cancelled","",IFERROR(T1290*INDEX(Variables!$B$7:$D$7,IFERROR(MATCH(IF($B1290="Robusta","Robusta",(IF($B1290="","Arabica",$B1290))&amp;" - "&amp;(IF($C1290="","Commercial",$C1290))),Variables!$B$1:$D$1,0),1))*(AQ1290/365),""))</f>
        <v/>
      </c>
      <c r="AS1290" s="12" t="str">
        <f>IF($H1290="Cancelled","",IFERROR((T1290*INDEX(Variables!$B$7:$D$7,IFERROR(MATCH(IF($B1290="Robusta","Robusta",(IF($B1290="","Arabica",$B1290))&amp;" - "&amp;(IF($C1290="","Commercial",$C1290))),Variables!$B$1:$D$1,0),1))*IFERROR(IF(W1290="","",(AVERAGE(E1290:F1290)-W1290)-Variables!$B$14),"")/365)+(L1290/16.67*INDEX(Variables!$B$8:$D$8,IFERROR(MATCH(IF($B1290="Robusta","Robusta",(IF($B1290="","Arabica",$B1290))&amp;" - "&amp;(IF($C1290="","Commercial",$C1290))),Variables!$B$1:$D$1,0),1))*IFERROR(IF(W1290="","",(AVERAGE(E1290:F1290)-W1290)-Variables!$B$14),""))+(T1290*INDEX(Variables!$B$9:$D$9,IFERROR(MATCH(IF($B1290="Robusta","Robusta",(IF($B1290="","Arabica",$B1290))&amp;" - "&amp;(IF($C1290="","Commercial",$C1290))),Variables!$B$1:$D$1,0),1))*IFERROR(IF(W1290="","",(AVERAGE(E1290:F1290)-W1290)-Variables!$B$14),"")/365),""))</f>
        <v/>
      </c>
      <c r="AT1290" s="12" t="str">
        <f>IF($H1290="Cancelled","",IFERROR((T1290*INDEX(Variables!$B$7:$D$7,IFERROR(MATCH(IF($B1290="Robusta","Robusta",(IF($B1290="","Arabica",$B1290))&amp;" - "&amp;(IF($C1290="","Commercial",$C1290))),Variables!$B$1:$D$1,0),1))*AC1290/365)+(L1290/16.67*INDEX(Variables!$B$8:$D$8,IFERROR(MATCH(IF($B1290="Robusta","Robusta",(IF($B1290="","Arabica",$B1290))&amp;" - "&amp;(IF($C1290="","Commercial",$C1290))),Variables!$B$1:$D$1,0),1))*AC1290)+(T1290*INDEX(Variables!$B$9:$D$9,IFERROR(MATCH(IF($B1290="Robusta","Robusta",(IF($B1290="","Arabica",$B1290))&amp;" - "&amp;(IF($C1290="","Commercial",$C1290))),Variables!$B$1:$D$1,0),1))*AC1290/365),""))</f>
        <v/>
      </c>
      <c r="AU1290" s="12" t="str">
        <f>IF($H1290="Cancelled","",IFERROR((T1290*INDEX(Variables!$B$7:$D$7,IFERROR(MATCH(IF($B1290="Robusta","Robusta",(IF($B1290="","Arabica",$B1290))&amp;" - "&amp;(IF($C1290="","Commercial",$C1290))),Variables!$B$1:$D$1,0),1))*AP1290/365)+(L1290/16.67*INDEX(Variables!$B$8:$D$8,IFERROR(MATCH(IF($B1290="Robusta","Robusta",(IF($B1290="","Arabica",$B1290))&amp;" - "&amp;(IF($C1290="","Commercial",$C1290))),Variables!$B$1:$D$1,0),1))*AP1290)+(T1290*INDEX(Variables!$B$9:$D$9,IFERROR(MATCH(IF($B1290="Robusta","Robusta",(IF($B1290="","Arabica",$B1290))&amp;" - "&amp;(IF($C1290="","Commercial",$C1290))),Variables!$B$1:$D$1,0),1))*AP1290/365),""))</f>
        <v/>
      </c>
      <c r="AV1290" s="11" t="str">
        <f t="shared" si="126"/>
        <v/>
      </c>
      <c r="AW1290" s="12" t="str">
        <f>IF($H1290="Cancelled","",IFERROR(IF(AV1290="","",(T1290*INDEX(Variables!$B$7:$D$7,IFERROR(MATCH(IF($B1290="Robusta","Robusta",(IF($B1290="","Arabica",$B1290))&amp;" - "&amp;(IF($C1290="","Commercial",$C1290))),Variables!$B$1:$D$1,0),1))*(AV1290/365))+(T1290*INDEX(Variables!$B$9:$D$9,IFERROR(MATCH(IF($B1290="Robusta","Robusta",(IF($B1290="","Arabica",$B1290))&amp;" - "&amp;(IF($C1290="","Commercial",$C1290))),Variables!$B$1:$D$1,0),1))*(AV1290/365))+(INDEX(Variables!$B$8:$D$8,IFERROR(MATCH(IF($B1290="Robusta","Robusta",(IF($B1290="","Arabica",$B1290))&amp;" - "&amp;(IF($C1290="","Commercial",$C1290))),Variables!$B$1:$D$1,0),1))*L1290/16.67)),""))</f>
        <v/>
      </c>
      <c r="AX1290" s="9"/>
      <c r="AY1290" s="12"/>
      <c r="AZ1290" s="10"/>
      <c r="BA1290" s="9"/>
      <c r="BB1290" s="10"/>
      <c r="BC1290" s="9"/>
      <c r="BD1290" s="9"/>
      <c r="BE1290" s="9"/>
      <c r="BF1290" s="9"/>
    </row>
    <row r="1291" spans="1:58" x14ac:dyDescent="0.25">
      <c r="A1291" s="9" t="s">
        <v>84</v>
      </c>
      <c r="B1291" s="9" t="s">
        <v>85</v>
      </c>
      <c r="C1291" s="9" t="s">
        <v>1486</v>
      </c>
      <c r="D1291" s="10">
        <v>46036</v>
      </c>
      <c r="E1291" s="10">
        <v>46054</v>
      </c>
      <c r="F1291" s="10">
        <v>46112</v>
      </c>
      <c r="G1291" s="9">
        <v>3787099</v>
      </c>
      <c r="H1291" s="9" t="str">
        <f t="shared" si="124"/>
        <v>Open</v>
      </c>
      <c r="I1291" s="9" t="str">
        <f t="shared" si="125"/>
        <v>No sailing date and No shipping advice sent and No docs dispatch date</v>
      </c>
      <c r="J1291" s="9" t="s">
        <v>235</v>
      </c>
      <c r="K1291" s="9" t="s">
        <v>2734</v>
      </c>
      <c r="L1291" s="11">
        <v>50</v>
      </c>
      <c r="M1291" s="9" t="s">
        <v>2735</v>
      </c>
      <c r="N1291" s="9"/>
      <c r="O1291" s="9"/>
      <c r="P1291" s="9"/>
      <c r="Q1291" s="11">
        <v>60</v>
      </c>
      <c r="R1291" s="9" t="s">
        <v>90</v>
      </c>
      <c r="S1291" s="9" t="s">
        <v>106</v>
      </c>
      <c r="T1291" s="12">
        <f>IF($H1291="Cancelled","",IFERROR(((Q1291+INDEX(Variables!$B$6:$D$6,IFERROR(MATCH(IF($B1291="Robusta","Robusta",(IF($B1291="","Arabica",$B1291))&amp;" - "&amp;(IF($C1291="","Commercial",$C1291))),Variables!$B$1:$D$1,0),1)))*22.0462)*(L1291/16.67),""))</f>
        <v>23196.781523695256</v>
      </c>
      <c r="U1291" s="10"/>
      <c r="V1291" s="9" t="str">
        <f t="shared" ref="V1291:V1325" si="129">IF(ISNUMBER(U1291),"Sent","")</f>
        <v/>
      </c>
      <c r="W1291" s="10"/>
      <c r="X1291" s="9" t="str">
        <f t="shared" ref="X1291:X1325" si="130">IF(ISNUMBER(W1291),"Approved","")</f>
        <v/>
      </c>
      <c r="Y1291" s="10"/>
      <c r="Z1291" s="10">
        <f>IF($H1291="Cancelled","",IFERROR(IF(F1291="","",F1291-Variables!$B$13),""))</f>
        <v>46097</v>
      </c>
      <c r="AA1291" s="11" t="str">
        <f>IF($H1291="Cancelled","",IFERROR(IF(W1291="","",(AVERAGE(E1291:F1291)-W1291)-Variables!$B$14),""))</f>
        <v/>
      </c>
      <c r="AB1291" s="10"/>
      <c r="AC1291" s="11" t="str">
        <f>IF($H1291="Cancelled","",IFERROR(IF(AB1291="","",IF(AND(W1291="",Y1291=""),"",IF(Y1291&gt;W1291,Y1291+Variables!$B$15+Variables!$B$16+Variables!$B$17-AB1291,W1291+Variables!$B$16+Variables!$B$17-AB1291))),""))</f>
        <v/>
      </c>
      <c r="AD1291" s="9" t="s">
        <v>107</v>
      </c>
      <c r="AE1291" s="9"/>
      <c r="AF1291" s="10"/>
      <c r="AG1291" s="10"/>
      <c r="AH1291" s="9"/>
      <c r="AI1291" s="9"/>
      <c r="AJ1291" s="9"/>
      <c r="AK1291" s="10"/>
      <c r="AL1291" s="10"/>
      <c r="AM1291" s="10"/>
      <c r="AN1291" s="9" t="s">
        <v>2736</v>
      </c>
      <c r="AO1291" s="9"/>
      <c r="AP1291" s="11" t="str">
        <f>IF($H1291="Cancelled","",IFERROR(IF(OR(AK1291="",AB1291=""),"",(AB1291+Variables!$B$18-AK1291)),""))</f>
        <v/>
      </c>
      <c r="AQ1291" s="11" t="str">
        <f>IF($H1291="Cancelled","",IFERROR(IF(OR(AM1291="",AK1291=""),"",(AK1291+Variables!$B$19)-AM1291),""))</f>
        <v/>
      </c>
      <c r="AR1291" s="12" t="str">
        <f>IF($H1291="Cancelled","",IFERROR(T1291*INDEX(Variables!$B$7:$D$7,IFERROR(MATCH(IF($B1291="Robusta","Robusta",(IF($B1291="","Arabica",$B1291))&amp;" - "&amp;(IF($C1291="","Commercial",$C1291))),Variables!$B$1:$D$1,0),1))*(AQ1291/365),""))</f>
        <v/>
      </c>
      <c r="AS1291" s="12" t="str">
        <f>IF($H1291="Cancelled","",IFERROR((T1291*INDEX(Variables!$B$7:$D$7,IFERROR(MATCH(IF($B1291="Robusta","Robusta",(IF($B1291="","Arabica",$B1291))&amp;" - "&amp;(IF($C1291="","Commercial",$C1291))),Variables!$B$1:$D$1,0),1))*IFERROR(IF(W1291="","",(AVERAGE(E1291:F1291)-W1291)-Variables!$B$14),"")/365)+(L1291/16.67*INDEX(Variables!$B$8:$D$8,IFERROR(MATCH(IF($B1291="Robusta","Robusta",(IF($B1291="","Arabica",$B1291))&amp;" - "&amp;(IF($C1291="","Commercial",$C1291))),Variables!$B$1:$D$1,0),1))*IFERROR(IF(W1291="","",(AVERAGE(E1291:F1291)-W1291)-Variables!$B$14),""))+(T1291*INDEX(Variables!$B$9:$D$9,IFERROR(MATCH(IF($B1291="Robusta","Robusta",(IF($B1291="","Arabica",$B1291))&amp;" - "&amp;(IF($C1291="","Commercial",$C1291))),Variables!$B$1:$D$1,0),1))*IFERROR(IF(W1291="","",(AVERAGE(E1291:F1291)-W1291)-Variables!$B$14),"")/365),""))</f>
        <v/>
      </c>
      <c r="AT1291" s="12" t="str">
        <f>IF($H1291="Cancelled","",IFERROR((T1291*INDEX(Variables!$B$7:$D$7,IFERROR(MATCH(IF($B1291="Robusta","Robusta",(IF($B1291="","Arabica",$B1291))&amp;" - "&amp;(IF($C1291="","Commercial",$C1291))),Variables!$B$1:$D$1,0),1))*AC1291/365)+(L1291/16.67*INDEX(Variables!$B$8:$D$8,IFERROR(MATCH(IF($B1291="Robusta","Robusta",(IF($B1291="","Arabica",$B1291))&amp;" - "&amp;(IF($C1291="","Commercial",$C1291))),Variables!$B$1:$D$1,0),1))*AC1291)+(T1291*INDEX(Variables!$B$9:$D$9,IFERROR(MATCH(IF($B1291="Robusta","Robusta",(IF($B1291="","Arabica",$B1291))&amp;" - "&amp;(IF($C1291="","Commercial",$C1291))),Variables!$B$1:$D$1,0),1))*AC1291/365),""))</f>
        <v/>
      </c>
      <c r="AU1291" s="12" t="str">
        <f>IF($H1291="Cancelled","",IFERROR((T1291*INDEX(Variables!$B$7:$D$7,IFERROR(MATCH(IF($B1291="Robusta","Robusta",(IF($B1291="","Arabica",$B1291))&amp;" - "&amp;(IF($C1291="","Commercial",$C1291))),Variables!$B$1:$D$1,0),1))*AP1291/365)+(L1291/16.67*INDEX(Variables!$B$8:$D$8,IFERROR(MATCH(IF($B1291="Robusta","Robusta",(IF($B1291="","Arabica",$B1291))&amp;" - "&amp;(IF($C1291="","Commercial",$C1291))),Variables!$B$1:$D$1,0),1))*AP1291)+(T1291*INDEX(Variables!$B$9:$D$9,IFERROR(MATCH(IF($B1291="Robusta","Robusta",(IF($B1291="","Arabica",$B1291))&amp;" - "&amp;(IF($C1291="","Commercial",$C1291))),Variables!$B$1:$D$1,0),1))*AP1291/365),""))</f>
        <v/>
      </c>
      <c r="AV1291" s="11" t="str">
        <f t="shared" si="126"/>
        <v/>
      </c>
      <c r="AW1291" s="12" t="str">
        <f>IF($H1291="Cancelled","",IFERROR(IF(AV1291="","",(T1291*INDEX(Variables!$B$7:$D$7,IFERROR(MATCH(IF($B1291="Robusta","Robusta",(IF($B1291="","Arabica",$B1291))&amp;" - "&amp;(IF($C1291="","Commercial",$C1291))),Variables!$B$1:$D$1,0),1))*(AV1291/365))+(T1291*INDEX(Variables!$B$9:$D$9,IFERROR(MATCH(IF($B1291="Robusta","Robusta",(IF($B1291="","Arabica",$B1291))&amp;" - "&amp;(IF($C1291="","Commercial",$C1291))),Variables!$B$1:$D$1,0),1))*(AV1291/365))+(INDEX(Variables!$B$8:$D$8,IFERROR(MATCH(IF($B1291="Robusta","Robusta",(IF($B1291="","Arabica",$B1291))&amp;" - "&amp;(IF($C1291="","Commercial",$C1291))),Variables!$B$1:$D$1,0),1))*L1291/16.67)),""))</f>
        <v/>
      </c>
      <c r="AX1291" s="9"/>
      <c r="AY1291" s="12"/>
      <c r="AZ1291" s="10"/>
      <c r="BA1291" s="9"/>
      <c r="BB1291" s="10"/>
      <c r="BC1291" s="9"/>
      <c r="BD1291" s="9"/>
      <c r="BE1291" s="9"/>
      <c r="BF1291" s="9"/>
    </row>
    <row r="1292" spans="1:58" x14ac:dyDescent="0.25">
      <c r="A1292" s="9" t="s">
        <v>84</v>
      </c>
      <c r="B1292" s="9" t="s">
        <v>85</v>
      </c>
      <c r="C1292" s="9" t="s">
        <v>1486</v>
      </c>
      <c r="D1292" s="10">
        <v>46073</v>
      </c>
      <c r="E1292" s="10">
        <v>46082</v>
      </c>
      <c r="F1292" s="10">
        <v>46112</v>
      </c>
      <c r="G1292" s="9">
        <v>3787331</v>
      </c>
      <c r="H1292" s="9" t="str">
        <f t="shared" si="124"/>
        <v>Open</v>
      </c>
      <c r="I1292" s="9" t="str">
        <f t="shared" si="125"/>
        <v>No sailing date and No shipping advice sent and No docs dispatch date</v>
      </c>
      <c r="J1292" s="9" t="s">
        <v>235</v>
      </c>
      <c r="K1292" s="9" t="s">
        <v>2737</v>
      </c>
      <c r="L1292" s="11">
        <v>13</v>
      </c>
      <c r="M1292" s="9" t="s">
        <v>2738</v>
      </c>
      <c r="N1292" s="9"/>
      <c r="O1292" s="9"/>
      <c r="P1292" s="9"/>
      <c r="Q1292" s="11">
        <v>159.53</v>
      </c>
      <c r="R1292" s="9" t="s">
        <v>195</v>
      </c>
      <c r="S1292" s="9" t="s">
        <v>106</v>
      </c>
      <c r="T1292" s="12">
        <f>IF($H1292="Cancelled","",IFERROR(((Q1292+INDEX(Variables!$B$6:$D$6,IFERROR(MATCH(IF($B1292="Robusta","Robusta",(IF($B1292="","Arabica",$B1292))&amp;" - "&amp;(IF($C1292="","Commercial",$C1292))),Variables!$B$1:$D$1,0),1)))*22.0462)*(L1292/16.67),""))</f>
        <v>7742.342423395321</v>
      </c>
      <c r="U1292" s="10"/>
      <c r="V1292" s="9" t="str">
        <f t="shared" si="129"/>
        <v/>
      </c>
      <c r="W1292" s="10">
        <v>46068</v>
      </c>
      <c r="X1292" s="9" t="str">
        <f t="shared" si="130"/>
        <v>Approved</v>
      </c>
      <c r="Y1292" s="10">
        <v>46104</v>
      </c>
      <c r="Z1292" s="10">
        <f>IF($H1292="Cancelled","",IFERROR(IF(F1292="","",F1292-Variables!$B$13),""))</f>
        <v>46097</v>
      </c>
      <c r="AA1292" s="11">
        <f>IF($H1292="Cancelled","",IFERROR(IF(W1292="","",(AVERAGE(E1292:F1292)-W1292)-Variables!$B$14),""))</f>
        <v>-1</v>
      </c>
      <c r="AB1292" s="10">
        <v>46112</v>
      </c>
      <c r="AC1292" s="11">
        <f>IF($H1292="Cancelled","",IFERROR(IF(AB1292="","",IF(AND(W1292="",Y1292=""),"",IF(Y1292&gt;W1292,Y1292+Variables!$B$15+Variables!$B$16+Variables!$B$17-AB1292,W1292+Variables!$B$16+Variables!$B$17-AB1292))),""))</f>
        <v>7</v>
      </c>
      <c r="AD1292" s="9" t="s">
        <v>107</v>
      </c>
      <c r="AE1292" s="9"/>
      <c r="AF1292" s="10"/>
      <c r="AG1292" s="10"/>
      <c r="AH1292" s="9"/>
      <c r="AI1292" s="9" t="s">
        <v>2630</v>
      </c>
      <c r="AJ1292" s="9"/>
      <c r="AK1292" s="10"/>
      <c r="AL1292" s="10"/>
      <c r="AM1292" s="10"/>
      <c r="AN1292" s="9" t="s">
        <v>2739</v>
      </c>
      <c r="AO1292" s="9"/>
      <c r="AP1292" s="11" t="str">
        <f>IF($H1292="Cancelled","",IFERROR(IF(OR(AK1292="",AB1292=""),"",(AB1292+Variables!$B$18-AK1292)),""))</f>
        <v/>
      </c>
      <c r="AQ1292" s="11" t="str">
        <f>IF($H1292="Cancelled","",IFERROR(IF(OR(AM1292="",AK1292=""),"",(AK1292+Variables!$B$19)-AM1292),""))</f>
        <v/>
      </c>
      <c r="AR1292" s="12" t="str">
        <f>IF($H1292="Cancelled","",IFERROR(T1292*INDEX(Variables!$B$7:$D$7,IFERROR(MATCH(IF($B1292="Robusta","Robusta",(IF($B1292="","Arabica",$B1292))&amp;" - "&amp;(IF($C1292="","Commercial",$C1292))),Variables!$B$1:$D$1,0),1))*(AQ1292/365),""))</f>
        <v/>
      </c>
      <c r="AS1292" s="12">
        <f>IF($H1292="Cancelled","",IFERROR((T1292*INDEX(Variables!$B$7:$D$7,IFERROR(MATCH(IF($B1292="Robusta","Robusta",(IF($B1292="","Arabica",$B1292))&amp;" - "&amp;(IF($C1292="","Commercial",$C1292))),Variables!$B$1:$D$1,0),1))*IFERROR(IF(W1292="","",(AVERAGE(E1292:F1292)-W1292)-Variables!$B$14),"")/365)+(L1292/16.67*INDEX(Variables!$B$8:$D$8,IFERROR(MATCH(IF($B1292="Robusta","Robusta",(IF($B1292="","Arabica",$B1292))&amp;" - "&amp;(IF($C1292="","Commercial",$C1292))),Variables!$B$1:$D$1,0),1))*IFERROR(IF(W1292="","",(AVERAGE(E1292:F1292)-W1292)-Variables!$B$14),""))+(T1292*INDEX(Variables!$B$9:$D$9,IFERROR(MATCH(IF($B1292="Robusta","Robusta",(IF($B1292="","Arabica",$B1292))&amp;" - "&amp;(IF($C1292="","Commercial",$C1292))),Variables!$B$1:$D$1,0),1))*IFERROR(IF(W1292="","",(AVERAGE(E1292:F1292)-W1292)-Variables!$B$14),"")/365),""))</f>
        <v>-2.035423238001179</v>
      </c>
      <c r="AT1292" s="12">
        <f>IF($H1292="Cancelled","",IFERROR((T1292*INDEX(Variables!$B$7:$D$7,IFERROR(MATCH(IF($B1292="Robusta","Robusta",(IF($B1292="","Arabica",$B1292))&amp;" - "&amp;(IF($C1292="","Commercial",$C1292))),Variables!$B$1:$D$1,0),1))*AC1292/365)+(L1292/16.67*INDEX(Variables!$B$8:$D$8,IFERROR(MATCH(IF($B1292="Robusta","Robusta",(IF($B1292="","Arabica",$B1292))&amp;" - "&amp;(IF($C1292="","Commercial",$C1292))),Variables!$B$1:$D$1,0),1))*AC1292)+(T1292*INDEX(Variables!$B$9:$D$9,IFERROR(MATCH(IF($B1292="Robusta","Robusta",(IF($B1292="","Arabica",$B1292))&amp;" - "&amp;(IF($C1292="","Commercial",$C1292))),Variables!$B$1:$D$1,0),1))*AC1292/365),""))</f>
        <v>14.247962666008254</v>
      </c>
      <c r="AU1292" s="12" t="str">
        <f>IF($H1292="Cancelled","",IFERROR((T1292*INDEX(Variables!$B$7:$D$7,IFERROR(MATCH(IF($B1292="Robusta","Robusta",(IF($B1292="","Arabica",$B1292))&amp;" - "&amp;(IF($C1292="","Commercial",$C1292))),Variables!$B$1:$D$1,0),1))*AP1292/365)+(L1292/16.67*INDEX(Variables!$B$8:$D$8,IFERROR(MATCH(IF($B1292="Robusta","Robusta",(IF($B1292="","Arabica",$B1292))&amp;" - "&amp;(IF($C1292="","Commercial",$C1292))),Variables!$B$1:$D$1,0),1))*AP1292)+(T1292*INDEX(Variables!$B$9:$D$9,IFERROR(MATCH(IF($B1292="Robusta","Robusta",(IF($B1292="","Arabica",$B1292))&amp;" - "&amp;(IF($C1292="","Commercial",$C1292))),Variables!$B$1:$D$1,0),1))*AP1292/365),""))</f>
        <v/>
      </c>
      <c r="AV1292" s="11" t="str">
        <f t="shared" si="126"/>
        <v/>
      </c>
      <c r="AW1292" s="12" t="str">
        <f>IF($H1292="Cancelled","",IFERROR(IF(AV1292="","",(T1292*INDEX(Variables!$B$7:$D$7,IFERROR(MATCH(IF($B1292="Robusta","Robusta",(IF($B1292="","Arabica",$B1292))&amp;" - "&amp;(IF($C1292="","Commercial",$C1292))),Variables!$B$1:$D$1,0),1))*(AV1292/365))+(T1292*INDEX(Variables!$B$9:$D$9,IFERROR(MATCH(IF($B1292="Robusta","Robusta",(IF($B1292="","Arabica",$B1292))&amp;" - "&amp;(IF($C1292="","Commercial",$C1292))),Variables!$B$1:$D$1,0),1))*(AV1292/365))+(INDEX(Variables!$B$8:$D$8,IFERROR(MATCH(IF($B1292="Robusta","Robusta",(IF($B1292="","Arabica",$B1292))&amp;" - "&amp;(IF($C1292="","Commercial",$C1292))),Variables!$B$1:$D$1,0),1))*L1292/16.67)),""))</f>
        <v/>
      </c>
      <c r="AX1292" s="9"/>
      <c r="AY1292" s="12"/>
      <c r="AZ1292" s="10"/>
      <c r="BA1292" s="9"/>
      <c r="BB1292" s="10"/>
      <c r="BC1292" s="9"/>
      <c r="BD1292" s="9"/>
      <c r="BE1292" s="9"/>
      <c r="BF1292" s="9"/>
    </row>
    <row r="1293" spans="1:58" x14ac:dyDescent="0.25">
      <c r="A1293" s="9" t="s">
        <v>84</v>
      </c>
      <c r="B1293" s="9" t="s">
        <v>85</v>
      </c>
      <c r="C1293" s="9" t="s">
        <v>1486</v>
      </c>
      <c r="D1293" s="10">
        <v>46073</v>
      </c>
      <c r="E1293" s="10">
        <v>46082</v>
      </c>
      <c r="F1293" s="10">
        <v>46112</v>
      </c>
      <c r="G1293" s="9">
        <v>3787332</v>
      </c>
      <c r="H1293" s="9" t="str">
        <f t="shared" si="124"/>
        <v>Open</v>
      </c>
      <c r="I1293" s="9" t="str">
        <f t="shared" si="125"/>
        <v>No sailing date and No shipping advice sent and No docs dispatch date</v>
      </c>
      <c r="J1293" s="9" t="s">
        <v>235</v>
      </c>
      <c r="K1293" s="9" t="s">
        <v>2740</v>
      </c>
      <c r="L1293" s="11">
        <v>14</v>
      </c>
      <c r="M1293" s="9" t="s">
        <v>2741</v>
      </c>
      <c r="N1293" s="9"/>
      <c r="O1293" s="9"/>
      <c r="P1293" s="9"/>
      <c r="Q1293" s="11">
        <v>132.31</v>
      </c>
      <c r="R1293" s="9" t="s">
        <v>195</v>
      </c>
      <c r="S1293" s="9" t="s">
        <v>106</v>
      </c>
      <c r="T1293" s="12">
        <f>IF($H1293="Cancelled","",IFERROR(((Q1293+INDEX(Variables!$B$6:$D$6,IFERROR(MATCH(IF($B1293="Robusta","Robusta",(IF($B1293="","Arabica",$B1293))&amp;" - "&amp;(IF($C1293="","Commercial",$C1293))),Variables!$B$1:$D$1,0),1)))*22.0462)*(L1293/16.67),""))</f>
        <v>7833.9260676664662</v>
      </c>
      <c r="U1293" s="10"/>
      <c r="V1293" s="9" t="str">
        <f t="shared" si="129"/>
        <v/>
      </c>
      <c r="W1293" s="10"/>
      <c r="X1293" s="9" t="str">
        <f t="shared" si="130"/>
        <v/>
      </c>
      <c r="Y1293" s="10"/>
      <c r="Z1293" s="10">
        <f>IF($H1293="Cancelled","",IFERROR(IF(F1293="","",F1293-Variables!$B$13),""))</f>
        <v>46097</v>
      </c>
      <c r="AA1293" s="11" t="str">
        <f>IF($H1293="Cancelled","",IFERROR(IF(W1293="","",(AVERAGE(E1293:F1293)-W1293)-Variables!$B$14),""))</f>
        <v/>
      </c>
      <c r="AB1293" s="10"/>
      <c r="AC1293" s="11" t="str">
        <f>IF($H1293="Cancelled","",IFERROR(IF(AB1293="","",IF(AND(W1293="",Y1293=""),"",IF(Y1293&gt;W1293,Y1293+Variables!$B$15+Variables!$B$16+Variables!$B$17-AB1293,W1293+Variables!$B$16+Variables!$B$17-AB1293))),""))</f>
        <v/>
      </c>
      <c r="AD1293" s="9" t="s">
        <v>107</v>
      </c>
      <c r="AE1293" s="9"/>
      <c r="AF1293" s="10"/>
      <c r="AG1293" s="10"/>
      <c r="AH1293" s="9"/>
      <c r="AI1293" s="9"/>
      <c r="AJ1293" s="9"/>
      <c r="AK1293" s="10"/>
      <c r="AL1293" s="10"/>
      <c r="AM1293" s="10"/>
      <c r="AN1293" s="9" t="s">
        <v>1188</v>
      </c>
      <c r="AO1293" s="9"/>
      <c r="AP1293" s="11" t="str">
        <f>IF($H1293="Cancelled","",IFERROR(IF(OR(AK1293="",AB1293=""),"",(AB1293+Variables!$B$18-AK1293)),""))</f>
        <v/>
      </c>
      <c r="AQ1293" s="11" t="str">
        <f>IF($H1293="Cancelled","",IFERROR(IF(OR(AM1293="",AK1293=""),"",(AK1293+Variables!$B$19)-AM1293),""))</f>
        <v/>
      </c>
      <c r="AR1293" s="12" t="str">
        <f>IF($H1293="Cancelled","",IFERROR(T1293*INDEX(Variables!$B$7:$D$7,IFERROR(MATCH(IF($B1293="Robusta","Robusta",(IF($B1293="","Arabica",$B1293))&amp;" - "&amp;(IF($C1293="","Commercial",$C1293))),Variables!$B$1:$D$1,0),1))*(AQ1293/365),""))</f>
        <v/>
      </c>
      <c r="AS1293" s="12" t="str">
        <f>IF($H1293="Cancelled","",IFERROR((T1293*INDEX(Variables!$B$7:$D$7,IFERROR(MATCH(IF($B1293="Robusta","Robusta",(IF($B1293="","Arabica",$B1293))&amp;" - "&amp;(IF($C1293="","Commercial",$C1293))),Variables!$B$1:$D$1,0),1))*IFERROR(IF(W1293="","",(AVERAGE(E1293:F1293)-W1293)-Variables!$B$14),"")/365)+(L1293/16.67*INDEX(Variables!$B$8:$D$8,IFERROR(MATCH(IF($B1293="Robusta","Robusta",(IF($B1293="","Arabica",$B1293))&amp;" - "&amp;(IF($C1293="","Commercial",$C1293))),Variables!$B$1:$D$1,0),1))*IFERROR(IF(W1293="","",(AVERAGE(E1293:F1293)-W1293)-Variables!$B$14),""))+(T1293*INDEX(Variables!$B$9:$D$9,IFERROR(MATCH(IF($B1293="Robusta","Robusta",(IF($B1293="","Arabica",$B1293))&amp;" - "&amp;(IF($C1293="","Commercial",$C1293))),Variables!$B$1:$D$1,0),1))*IFERROR(IF(W1293="","",(AVERAGE(E1293:F1293)-W1293)-Variables!$B$14),"")/365),""))</f>
        <v/>
      </c>
      <c r="AT1293" s="12" t="str">
        <f>IF($H1293="Cancelled","",IFERROR((T1293*INDEX(Variables!$B$7:$D$7,IFERROR(MATCH(IF($B1293="Robusta","Robusta",(IF($B1293="","Arabica",$B1293))&amp;" - "&amp;(IF($C1293="","Commercial",$C1293))),Variables!$B$1:$D$1,0),1))*AC1293/365)+(L1293/16.67*INDEX(Variables!$B$8:$D$8,IFERROR(MATCH(IF($B1293="Robusta","Robusta",(IF($B1293="","Arabica",$B1293))&amp;" - "&amp;(IF($C1293="","Commercial",$C1293))),Variables!$B$1:$D$1,0),1))*AC1293)+(T1293*INDEX(Variables!$B$9:$D$9,IFERROR(MATCH(IF($B1293="Robusta","Robusta",(IF($B1293="","Arabica",$B1293))&amp;" - "&amp;(IF($C1293="","Commercial",$C1293))),Variables!$B$1:$D$1,0),1))*AC1293/365),""))</f>
        <v/>
      </c>
      <c r="AU1293" s="12" t="str">
        <f>IF($H1293="Cancelled","",IFERROR((T1293*INDEX(Variables!$B$7:$D$7,IFERROR(MATCH(IF($B1293="Robusta","Robusta",(IF($B1293="","Arabica",$B1293))&amp;" - "&amp;(IF($C1293="","Commercial",$C1293))),Variables!$B$1:$D$1,0),1))*AP1293/365)+(L1293/16.67*INDEX(Variables!$B$8:$D$8,IFERROR(MATCH(IF($B1293="Robusta","Robusta",(IF($B1293="","Arabica",$B1293))&amp;" - "&amp;(IF($C1293="","Commercial",$C1293))),Variables!$B$1:$D$1,0),1))*AP1293)+(T1293*INDEX(Variables!$B$9:$D$9,IFERROR(MATCH(IF($B1293="Robusta","Robusta",(IF($B1293="","Arabica",$B1293))&amp;" - "&amp;(IF($C1293="","Commercial",$C1293))),Variables!$B$1:$D$1,0),1))*AP1293/365),""))</f>
        <v/>
      </c>
      <c r="AV1293" s="11" t="str">
        <f t="shared" si="126"/>
        <v/>
      </c>
      <c r="AW1293" s="12" t="str">
        <f>IF($H1293="Cancelled","",IFERROR(IF(AV1293="","",(T1293*INDEX(Variables!$B$7:$D$7,IFERROR(MATCH(IF($B1293="Robusta","Robusta",(IF($B1293="","Arabica",$B1293))&amp;" - "&amp;(IF($C1293="","Commercial",$C1293))),Variables!$B$1:$D$1,0),1))*(AV1293/365))+(T1293*INDEX(Variables!$B$9:$D$9,IFERROR(MATCH(IF($B1293="Robusta","Robusta",(IF($B1293="","Arabica",$B1293))&amp;" - "&amp;(IF($C1293="","Commercial",$C1293))),Variables!$B$1:$D$1,0),1))*(AV1293/365))+(INDEX(Variables!$B$8:$D$8,IFERROR(MATCH(IF($B1293="Robusta","Robusta",(IF($B1293="","Arabica",$B1293))&amp;" - "&amp;(IF($C1293="","Commercial",$C1293))),Variables!$B$1:$D$1,0),1))*L1293/16.67)),""))</f>
        <v/>
      </c>
      <c r="AX1293" s="9"/>
      <c r="AY1293" s="12"/>
      <c r="AZ1293" s="10"/>
      <c r="BA1293" s="9"/>
      <c r="BB1293" s="10"/>
      <c r="BC1293" s="9"/>
      <c r="BD1293" s="9"/>
      <c r="BE1293" s="9"/>
      <c r="BF1293" s="9"/>
    </row>
    <row r="1294" spans="1:58" x14ac:dyDescent="0.25">
      <c r="A1294" s="9" t="s">
        <v>84</v>
      </c>
      <c r="B1294" s="9" t="s">
        <v>85</v>
      </c>
      <c r="C1294" s="9" t="s">
        <v>1486</v>
      </c>
      <c r="D1294" s="10">
        <v>46073</v>
      </c>
      <c r="E1294" s="10">
        <v>46082</v>
      </c>
      <c r="F1294" s="10">
        <v>46112</v>
      </c>
      <c r="G1294" s="9">
        <v>3787333</v>
      </c>
      <c r="H1294" s="9" t="str">
        <f t="shared" si="124"/>
        <v>Open</v>
      </c>
      <c r="I1294" s="9" t="str">
        <f t="shared" si="125"/>
        <v>No sailing date and No shipping advice sent and No docs dispatch date</v>
      </c>
      <c r="J1294" s="9" t="s">
        <v>235</v>
      </c>
      <c r="K1294" s="9" t="s">
        <v>2742</v>
      </c>
      <c r="L1294" s="11">
        <v>10</v>
      </c>
      <c r="M1294" s="9" t="s">
        <v>2743</v>
      </c>
      <c r="N1294" s="9"/>
      <c r="O1294" s="9"/>
      <c r="P1294" s="9"/>
      <c r="Q1294" s="11">
        <v>185</v>
      </c>
      <c r="R1294" s="9" t="s">
        <v>195</v>
      </c>
      <c r="S1294" s="9" t="s">
        <v>106</v>
      </c>
      <c r="T1294" s="12">
        <f>IF($H1294="Cancelled","",IFERROR(((Q1294+INDEX(Variables!$B$6:$D$6,IFERROR(MATCH(IF($B1294="Robusta","Robusta",(IF($B1294="","Arabica",$B1294))&amp;" - "&amp;(IF($C1294="","Commercial",$C1294))),Variables!$B$1:$D$1,0),1)))*22.0462)*(L1294/16.67),""))</f>
        <v>6292.4906778644263</v>
      </c>
      <c r="U1294" s="10"/>
      <c r="V1294" s="9" t="str">
        <f t="shared" si="129"/>
        <v/>
      </c>
      <c r="W1294" s="10"/>
      <c r="X1294" s="9" t="str">
        <f t="shared" si="130"/>
        <v/>
      </c>
      <c r="Y1294" s="10"/>
      <c r="Z1294" s="10">
        <f>IF($H1294="Cancelled","",IFERROR(IF(F1294="","",F1294-Variables!$B$13),""))</f>
        <v>46097</v>
      </c>
      <c r="AA1294" s="11" t="str">
        <f>IF($H1294="Cancelled","",IFERROR(IF(W1294="","",(AVERAGE(E1294:F1294)-W1294)-Variables!$B$14),""))</f>
        <v/>
      </c>
      <c r="AB1294" s="10"/>
      <c r="AC1294" s="11" t="str">
        <f>IF($H1294="Cancelled","",IFERROR(IF(AB1294="","",IF(AND(W1294="",Y1294=""),"",IF(Y1294&gt;W1294,Y1294+Variables!$B$15+Variables!$B$16+Variables!$B$17-AB1294,W1294+Variables!$B$16+Variables!$B$17-AB1294))),""))</f>
        <v/>
      </c>
      <c r="AD1294" s="9" t="s">
        <v>107</v>
      </c>
      <c r="AE1294" s="9"/>
      <c r="AF1294" s="10"/>
      <c r="AG1294" s="10"/>
      <c r="AH1294" s="9"/>
      <c r="AI1294" s="9"/>
      <c r="AJ1294" s="9"/>
      <c r="AK1294" s="10"/>
      <c r="AL1294" s="10"/>
      <c r="AM1294" s="10"/>
      <c r="AN1294" s="9" t="s">
        <v>1188</v>
      </c>
      <c r="AO1294" s="9"/>
      <c r="AP1294" s="11" t="str">
        <f>IF($H1294="Cancelled","",IFERROR(IF(OR(AK1294="",AB1294=""),"",(AB1294+Variables!$B$18-AK1294)),""))</f>
        <v/>
      </c>
      <c r="AQ1294" s="11" t="str">
        <f>IF($H1294="Cancelled","",IFERROR(IF(OR(AM1294="",AK1294=""),"",(AK1294+Variables!$B$19)-AM1294),""))</f>
        <v/>
      </c>
      <c r="AR1294" s="12" t="str">
        <f>IF($H1294="Cancelled","",IFERROR(T1294*INDEX(Variables!$B$7:$D$7,IFERROR(MATCH(IF($B1294="Robusta","Robusta",(IF($B1294="","Arabica",$B1294))&amp;" - "&amp;(IF($C1294="","Commercial",$C1294))),Variables!$B$1:$D$1,0),1))*(AQ1294/365),""))</f>
        <v/>
      </c>
      <c r="AS1294" s="12" t="str">
        <f>IF($H1294="Cancelled","",IFERROR((T1294*INDEX(Variables!$B$7:$D$7,IFERROR(MATCH(IF($B1294="Robusta","Robusta",(IF($B1294="","Arabica",$B1294))&amp;" - "&amp;(IF($C1294="","Commercial",$C1294))),Variables!$B$1:$D$1,0),1))*IFERROR(IF(W1294="","",(AVERAGE(E1294:F1294)-W1294)-Variables!$B$14),"")/365)+(L1294/16.67*INDEX(Variables!$B$8:$D$8,IFERROR(MATCH(IF($B1294="Robusta","Robusta",(IF($B1294="","Arabica",$B1294))&amp;" - "&amp;(IF($C1294="","Commercial",$C1294))),Variables!$B$1:$D$1,0),1))*IFERROR(IF(W1294="","",(AVERAGE(E1294:F1294)-W1294)-Variables!$B$14),""))+(T1294*INDEX(Variables!$B$9:$D$9,IFERROR(MATCH(IF($B1294="Robusta","Robusta",(IF($B1294="","Arabica",$B1294))&amp;" - "&amp;(IF($C1294="","Commercial",$C1294))),Variables!$B$1:$D$1,0),1))*IFERROR(IF(W1294="","",(AVERAGE(E1294:F1294)-W1294)-Variables!$B$14),"")/365),""))</f>
        <v/>
      </c>
      <c r="AT1294" s="12" t="str">
        <f>IF($H1294="Cancelled","",IFERROR((T1294*INDEX(Variables!$B$7:$D$7,IFERROR(MATCH(IF($B1294="Robusta","Robusta",(IF($B1294="","Arabica",$B1294))&amp;" - "&amp;(IF($C1294="","Commercial",$C1294))),Variables!$B$1:$D$1,0),1))*AC1294/365)+(L1294/16.67*INDEX(Variables!$B$8:$D$8,IFERROR(MATCH(IF($B1294="Robusta","Robusta",(IF($B1294="","Arabica",$B1294))&amp;" - "&amp;(IF($C1294="","Commercial",$C1294))),Variables!$B$1:$D$1,0),1))*AC1294)+(T1294*INDEX(Variables!$B$9:$D$9,IFERROR(MATCH(IF($B1294="Robusta","Robusta",(IF($B1294="","Arabica",$B1294))&amp;" - "&amp;(IF($C1294="","Commercial",$C1294))),Variables!$B$1:$D$1,0),1))*AC1294/365),""))</f>
        <v/>
      </c>
      <c r="AU1294" s="12" t="str">
        <f>IF($H1294="Cancelled","",IFERROR((T1294*INDEX(Variables!$B$7:$D$7,IFERROR(MATCH(IF($B1294="Robusta","Robusta",(IF($B1294="","Arabica",$B1294))&amp;" - "&amp;(IF($C1294="","Commercial",$C1294))),Variables!$B$1:$D$1,0),1))*AP1294/365)+(L1294/16.67*INDEX(Variables!$B$8:$D$8,IFERROR(MATCH(IF($B1294="Robusta","Robusta",(IF($B1294="","Arabica",$B1294))&amp;" - "&amp;(IF($C1294="","Commercial",$C1294))),Variables!$B$1:$D$1,0),1))*AP1294)+(T1294*INDEX(Variables!$B$9:$D$9,IFERROR(MATCH(IF($B1294="Robusta","Robusta",(IF($B1294="","Arabica",$B1294))&amp;" - "&amp;(IF($C1294="","Commercial",$C1294))),Variables!$B$1:$D$1,0),1))*AP1294/365),""))</f>
        <v/>
      </c>
      <c r="AV1294" s="11" t="str">
        <f t="shared" si="126"/>
        <v/>
      </c>
      <c r="AW1294" s="12" t="str">
        <f>IF($H1294="Cancelled","",IFERROR(IF(AV1294="","",(T1294*INDEX(Variables!$B$7:$D$7,IFERROR(MATCH(IF($B1294="Robusta","Robusta",(IF($B1294="","Arabica",$B1294))&amp;" - "&amp;(IF($C1294="","Commercial",$C1294))),Variables!$B$1:$D$1,0),1))*(AV1294/365))+(T1294*INDEX(Variables!$B$9:$D$9,IFERROR(MATCH(IF($B1294="Robusta","Robusta",(IF($B1294="","Arabica",$B1294))&amp;" - "&amp;(IF($C1294="","Commercial",$C1294))),Variables!$B$1:$D$1,0),1))*(AV1294/365))+(INDEX(Variables!$B$8:$D$8,IFERROR(MATCH(IF($B1294="Robusta","Robusta",(IF($B1294="","Arabica",$B1294))&amp;" - "&amp;(IF($C1294="","Commercial",$C1294))),Variables!$B$1:$D$1,0),1))*L1294/16.67)),""))</f>
        <v/>
      </c>
      <c r="AX1294" s="9"/>
      <c r="AY1294" s="12"/>
      <c r="AZ1294" s="10"/>
      <c r="BA1294" s="9"/>
      <c r="BB1294" s="10"/>
      <c r="BC1294" s="9"/>
      <c r="BD1294" s="9"/>
      <c r="BE1294" s="9"/>
      <c r="BF1294" s="9"/>
    </row>
    <row r="1295" spans="1:58" x14ac:dyDescent="0.25">
      <c r="A1295" s="9" t="s">
        <v>84</v>
      </c>
      <c r="B1295" s="9" t="s">
        <v>85</v>
      </c>
      <c r="C1295" s="9" t="s">
        <v>1486</v>
      </c>
      <c r="D1295" s="10">
        <v>46077</v>
      </c>
      <c r="E1295" s="10">
        <v>46082</v>
      </c>
      <c r="F1295" s="10">
        <v>46112</v>
      </c>
      <c r="G1295" s="9">
        <v>3787342</v>
      </c>
      <c r="H1295" s="9" t="str">
        <f t="shared" si="124"/>
        <v>Open</v>
      </c>
      <c r="I1295" s="9" t="str">
        <f t="shared" si="125"/>
        <v>No sailing date and No shipping advice sent and No docs dispatch date</v>
      </c>
      <c r="J1295" s="9" t="s">
        <v>235</v>
      </c>
      <c r="K1295" s="9" t="s">
        <v>2744</v>
      </c>
      <c r="L1295" s="11">
        <v>10</v>
      </c>
      <c r="M1295" s="9" t="s">
        <v>2745</v>
      </c>
      <c r="N1295" s="9"/>
      <c r="O1295" s="9"/>
      <c r="P1295" s="9"/>
      <c r="Q1295" s="11">
        <v>179</v>
      </c>
      <c r="R1295" s="9" t="s">
        <v>195</v>
      </c>
      <c r="S1295" s="9" t="s">
        <v>106</v>
      </c>
      <c r="T1295" s="12">
        <f>IF($H1295="Cancelled","",IFERROR(((Q1295+INDEX(Variables!$B$6:$D$6,IFERROR(MATCH(IF($B1295="Robusta","Robusta",(IF($B1295="","Arabica",$B1295))&amp;" - "&amp;(IF($C1295="","Commercial",$C1295))),Variables!$B$1:$D$1,0),1)))*22.0462)*(L1295/16.67),""))</f>
        <v>6213.1402279544081</v>
      </c>
      <c r="U1295" s="10"/>
      <c r="V1295" s="9" t="str">
        <f t="shared" si="129"/>
        <v/>
      </c>
      <c r="W1295" s="10">
        <v>46068</v>
      </c>
      <c r="X1295" s="9" t="str">
        <f t="shared" si="130"/>
        <v>Approved</v>
      </c>
      <c r="Y1295" s="10">
        <v>46104</v>
      </c>
      <c r="Z1295" s="10">
        <f>IF($H1295="Cancelled","",IFERROR(IF(F1295="","",F1295-Variables!$B$13),""))</f>
        <v>46097</v>
      </c>
      <c r="AA1295" s="11">
        <f>IF($H1295="Cancelled","",IFERROR(IF(W1295="","",(AVERAGE(E1295:F1295)-W1295)-Variables!$B$14),""))</f>
        <v>-1</v>
      </c>
      <c r="AB1295" s="10">
        <v>46112</v>
      </c>
      <c r="AC1295" s="11">
        <f>IF($H1295="Cancelled","",IFERROR(IF(AB1295="","",IF(AND(W1295="",Y1295=""),"",IF(Y1295&gt;W1295,Y1295+Variables!$B$15+Variables!$B$16+Variables!$B$17-AB1295,W1295+Variables!$B$16+Variables!$B$17-AB1295))),""))</f>
        <v>7</v>
      </c>
      <c r="AD1295" s="9" t="s">
        <v>107</v>
      </c>
      <c r="AE1295" s="9"/>
      <c r="AF1295" s="10"/>
      <c r="AG1295" s="10"/>
      <c r="AH1295" s="9"/>
      <c r="AI1295" s="9" t="s">
        <v>2630</v>
      </c>
      <c r="AJ1295" s="9"/>
      <c r="AK1295" s="10"/>
      <c r="AL1295" s="10"/>
      <c r="AM1295" s="10"/>
      <c r="AN1295" s="9" t="s">
        <v>2739</v>
      </c>
      <c r="AO1295" s="9"/>
      <c r="AP1295" s="11" t="str">
        <f>IF($H1295="Cancelled","",IFERROR(IF(OR(AK1295="",AB1295=""),"",(AB1295+Variables!$B$18-AK1295)),""))</f>
        <v/>
      </c>
      <c r="AQ1295" s="11" t="str">
        <f>IF($H1295="Cancelled","",IFERROR(IF(OR(AM1295="",AK1295=""),"",(AK1295+Variables!$B$19)-AM1295),""))</f>
        <v/>
      </c>
      <c r="AR1295" s="12" t="str">
        <f>IF($H1295="Cancelled","",IFERROR(T1295*INDEX(Variables!$B$7:$D$7,IFERROR(MATCH(IF($B1295="Robusta","Robusta",(IF($B1295="","Arabica",$B1295))&amp;" - "&amp;(IF($C1295="","Commercial",$C1295))),Variables!$B$1:$D$1,0),1))*(AQ1295/365),""))</f>
        <v/>
      </c>
      <c r="AS1295" s="12">
        <f>IF($H1295="Cancelled","",IFERROR((T1295*INDEX(Variables!$B$7:$D$7,IFERROR(MATCH(IF($B1295="Robusta","Robusta",(IF($B1295="","Arabica",$B1295))&amp;" - "&amp;(IF($C1295="","Commercial",$C1295))),Variables!$B$1:$D$1,0),1))*IFERROR(IF(W1295="","",(AVERAGE(E1295:F1295)-W1295)-Variables!$B$14),"")/365)+(L1295/16.67*INDEX(Variables!$B$8:$D$8,IFERROR(MATCH(IF($B1295="Robusta","Robusta",(IF($B1295="","Arabica",$B1295))&amp;" - "&amp;(IF($C1295="","Commercial",$C1295))),Variables!$B$1:$D$1,0),1))*IFERROR(IF(W1295="","",(AVERAGE(E1295:F1295)-W1295)-Variables!$B$14),""))+(T1295*INDEX(Variables!$B$9:$D$9,IFERROR(MATCH(IF($B1295="Robusta","Robusta",(IF($B1295="","Arabica",$B1295))&amp;" - "&amp;(IF($C1295="","Commercial",$C1295))),Variables!$B$1:$D$1,0),1))*IFERROR(IF(W1295="","",(AVERAGE(E1295:F1295)-W1295)-Variables!$B$14),"")/365),""))</f>
        <v>-1.6117861213109597</v>
      </c>
      <c r="AT1295" s="12">
        <f>IF($H1295="Cancelled","",IFERROR((T1295*INDEX(Variables!$B$7:$D$7,IFERROR(MATCH(IF($B1295="Robusta","Robusta",(IF($B1295="","Arabica",$B1295))&amp;" - "&amp;(IF($C1295="","Commercial",$C1295))),Variables!$B$1:$D$1,0),1))*AC1295/365)+(L1295/16.67*INDEX(Variables!$B$8:$D$8,IFERROR(MATCH(IF($B1295="Robusta","Robusta",(IF($B1295="","Arabica",$B1295))&amp;" - "&amp;(IF($C1295="","Commercial",$C1295))),Variables!$B$1:$D$1,0),1))*AC1295)+(T1295*INDEX(Variables!$B$9:$D$9,IFERROR(MATCH(IF($B1295="Robusta","Robusta",(IF($B1295="","Arabica",$B1295))&amp;" - "&amp;(IF($C1295="","Commercial",$C1295))),Variables!$B$1:$D$1,0),1))*AC1295/365),""))</f>
        <v>11.282502849176716</v>
      </c>
      <c r="AU1295" s="12" t="str">
        <f>IF($H1295="Cancelled","",IFERROR((T1295*INDEX(Variables!$B$7:$D$7,IFERROR(MATCH(IF($B1295="Robusta","Robusta",(IF($B1295="","Arabica",$B1295))&amp;" - "&amp;(IF($C1295="","Commercial",$C1295))),Variables!$B$1:$D$1,0),1))*AP1295/365)+(L1295/16.67*INDEX(Variables!$B$8:$D$8,IFERROR(MATCH(IF($B1295="Robusta","Robusta",(IF($B1295="","Arabica",$B1295))&amp;" - "&amp;(IF($C1295="","Commercial",$C1295))),Variables!$B$1:$D$1,0),1))*AP1295)+(T1295*INDEX(Variables!$B$9:$D$9,IFERROR(MATCH(IF($B1295="Robusta","Robusta",(IF($B1295="","Arabica",$B1295))&amp;" - "&amp;(IF($C1295="","Commercial",$C1295))),Variables!$B$1:$D$1,0),1))*AP1295/365),""))</f>
        <v/>
      </c>
      <c r="AV1295" s="11" t="str">
        <f t="shared" si="126"/>
        <v/>
      </c>
      <c r="AW1295" s="12" t="str">
        <f>IF($H1295="Cancelled","",IFERROR(IF(AV1295="","",(T1295*INDEX(Variables!$B$7:$D$7,IFERROR(MATCH(IF($B1295="Robusta","Robusta",(IF($B1295="","Arabica",$B1295))&amp;" - "&amp;(IF($C1295="","Commercial",$C1295))),Variables!$B$1:$D$1,0),1))*(AV1295/365))+(T1295*INDEX(Variables!$B$9:$D$9,IFERROR(MATCH(IF($B1295="Robusta","Robusta",(IF($B1295="","Arabica",$B1295))&amp;" - "&amp;(IF($C1295="","Commercial",$C1295))),Variables!$B$1:$D$1,0),1))*(AV1295/365))+(INDEX(Variables!$B$8:$D$8,IFERROR(MATCH(IF($B1295="Robusta","Robusta",(IF($B1295="","Arabica",$B1295))&amp;" - "&amp;(IF($C1295="","Commercial",$C1295))),Variables!$B$1:$D$1,0),1))*L1295/16.67)),""))</f>
        <v/>
      </c>
      <c r="AX1295" s="9"/>
      <c r="AY1295" s="12"/>
      <c r="AZ1295" s="10"/>
      <c r="BA1295" s="9"/>
      <c r="BB1295" s="10"/>
      <c r="BC1295" s="9"/>
      <c r="BD1295" s="9"/>
      <c r="BE1295" s="9"/>
      <c r="BF1295" s="9"/>
    </row>
    <row r="1296" spans="1:58" x14ac:dyDescent="0.25">
      <c r="A1296" s="9" t="s">
        <v>84</v>
      </c>
      <c r="B1296" s="9" t="s">
        <v>85</v>
      </c>
      <c r="C1296" s="9" t="s">
        <v>1486</v>
      </c>
      <c r="D1296" s="10">
        <v>46077</v>
      </c>
      <c r="E1296" s="10">
        <v>46082</v>
      </c>
      <c r="F1296" s="10">
        <v>46112</v>
      </c>
      <c r="G1296" s="9">
        <v>3787343</v>
      </c>
      <c r="H1296" s="9" t="str">
        <f t="shared" si="124"/>
        <v>Open</v>
      </c>
      <c r="I1296" s="9" t="str">
        <f t="shared" si="125"/>
        <v>No sailing date and No shipping advice sent and No docs dispatch date</v>
      </c>
      <c r="J1296" s="9" t="s">
        <v>235</v>
      </c>
      <c r="K1296" s="9" t="s">
        <v>2746</v>
      </c>
      <c r="L1296" s="11">
        <v>10</v>
      </c>
      <c r="M1296" s="9" t="s">
        <v>2747</v>
      </c>
      <c r="N1296" s="9"/>
      <c r="O1296" s="9"/>
      <c r="P1296" s="9"/>
      <c r="Q1296" s="11">
        <v>183</v>
      </c>
      <c r="R1296" s="9" t="s">
        <v>195</v>
      </c>
      <c r="S1296" s="9" t="s">
        <v>106</v>
      </c>
      <c r="T1296" s="12">
        <f>IF($H1296="Cancelled","",IFERROR(((Q1296+INDEX(Variables!$B$6:$D$6,IFERROR(MATCH(IF($B1296="Robusta","Robusta",(IF($B1296="","Arabica",$B1296))&amp;" - "&amp;(IF($C1296="","Commercial",$C1296))),Variables!$B$1:$D$1,0),1)))*22.0462)*(L1296/16.67),""))</f>
        <v>6266.0405278944208</v>
      </c>
      <c r="U1296" s="10"/>
      <c r="V1296" s="9" t="str">
        <f t="shared" si="129"/>
        <v/>
      </c>
      <c r="W1296" s="10">
        <v>46068</v>
      </c>
      <c r="X1296" s="9" t="str">
        <f t="shared" si="130"/>
        <v>Approved</v>
      </c>
      <c r="Y1296" s="10">
        <v>46104</v>
      </c>
      <c r="Z1296" s="10">
        <f>IF($H1296="Cancelled","",IFERROR(IF(F1296="","",F1296-Variables!$B$13),""))</f>
        <v>46097</v>
      </c>
      <c r="AA1296" s="11">
        <f>IF($H1296="Cancelled","",IFERROR(IF(W1296="","",(AVERAGE(E1296:F1296)-W1296)-Variables!$B$14),""))</f>
        <v>-1</v>
      </c>
      <c r="AB1296" s="10">
        <v>46112</v>
      </c>
      <c r="AC1296" s="11">
        <f>IF($H1296="Cancelled","",IFERROR(IF(AB1296="","",IF(AND(W1296="",Y1296=""),"",IF(Y1296&gt;W1296,Y1296+Variables!$B$15+Variables!$B$16+Variables!$B$17-AB1296,W1296+Variables!$B$16+Variables!$B$17-AB1296))),""))</f>
        <v>7</v>
      </c>
      <c r="AD1296" s="9" t="s">
        <v>107</v>
      </c>
      <c r="AE1296" s="9"/>
      <c r="AF1296" s="10"/>
      <c r="AG1296" s="10"/>
      <c r="AH1296" s="9"/>
      <c r="AI1296" s="9" t="s">
        <v>2630</v>
      </c>
      <c r="AJ1296" s="9"/>
      <c r="AK1296" s="10"/>
      <c r="AL1296" s="10"/>
      <c r="AM1296" s="10"/>
      <c r="AN1296" s="9" t="s">
        <v>2739</v>
      </c>
      <c r="AO1296" s="9"/>
      <c r="AP1296" s="11" t="str">
        <f>IF($H1296="Cancelled","",IFERROR(IF(OR(AK1296="",AB1296=""),"",(AB1296+Variables!$B$18-AK1296)),""))</f>
        <v/>
      </c>
      <c r="AQ1296" s="11" t="str">
        <f>IF($H1296="Cancelled","",IFERROR(IF(OR(AM1296="",AK1296=""),"",(AK1296+Variables!$B$19)-AM1296),""))</f>
        <v/>
      </c>
      <c r="AR1296" s="12" t="str">
        <f>IF($H1296="Cancelled","",IFERROR(T1296*INDEX(Variables!$B$7:$D$7,IFERROR(MATCH(IF($B1296="Robusta","Robusta",(IF($B1296="","Arabica",$B1296))&amp;" - "&amp;(IF($C1296="","Commercial",$C1296))),Variables!$B$1:$D$1,0),1))*(AQ1296/365),""))</f>
        <v/>
      </c>
      <c r="AS1296" s="12">
        <f>IF($H1296="Cancelled","",IFERROR((T1296*INDEX(Variables!$B$7:$D$7,IFERROR(MATCH(IF($B1296="Robusta","Robusta",(IF($B1296="","Arabica",$B1296))&amp;" - "&amp;(IF($C1296="","Commercial",$C1296))),Variables!$B$1:$D$1,0),1))*IFERROR(IF(W1296="","",(AVERAGE(E1296:F1296)-W1296)-Variables!$B$14),"")/365)+(L1296/16.67*INDEX(Variables!$B$8:$D$8,IFERROR(MATCH(IF($B1296="Robusta","Robusta",(IF($B1296="","Arabica",$B1296))&amp;" - "&amp;(IF($C1296="","Commercial",$C1296))),Variables!$B$1:$D$1,0),1))*IFERROR(IF(W1296="","",(AVERAGE(E1296:F1296)-W1296)-Variables!$B$14),""))+(T1296*INDEX(Variables!$B$9:$D$9,IFERROR(MATCH(IF($B1296="Robusta","Robusta",(IF($B1296="","Arabica",$B1296))&amp;" - "&amp;(IF($C1296="","Commercial",$C1296))),Variables!$B$1:$D$1,0),1))*IFERROR(IF(W1296="","",(AVERAGE(E1296:F1296)-W1296)-Variables!$B$14),"")/365),""))</f>
        <v>-1.6212521589551567</v>
      </c>
      <c r="AT1296" s="12">
        <f>IF($H1296="Cancelled","",IFERROR((T1296*INDEX(Variables!$B$7:$D$7,IFERROR(MATCH(IF($B1296="Robusta","Robusta",(IF($B1296="","Arabica",$B1296))&amp;" - "&amp;(IF($C1296="","Commercial",$C1296))),Variables!$B$1:$D$1,0),1))*AC1296/365)+(L1296/16.67*INDEX(Variables!$B$8:$D$8,IFERROR(MATCH(IF($B1296="Robusta","Robusta",(IF($B1296="","Arabica",$B1296))&amp;" - "&amp;(IF($C1296="","Commercial",$C1296))),Variables!$B$1:$D$1,0),1))*AC1296)+(T1296*INDEX(Variables!$B$9:$D$9,IFERROR(MATCH(IF($B1296="Robusta","Robusta",(IF($B1296="","Arabica",$B1296))&amp;" - "&amp;(IF($C1296="","Commercial",$C1296))),Variables!$B$1:$D$1,0),1))*AC1296/365),""))</f>
        <v>11.348765112686097</v>
      </c>
      <c r="AU1296" s="12" t="str">
        <f>IF($H1296="Cancelled","",IFERROR((T1296*INDEX(Variables!$B$7:$D$7,IFERROR(MATCH(IF($B1296="Robusta","Robusta",(IF($B1296="","Arabica",$B1296))&amp;" - "&amp;(IF($C1296="","Commercial",$C1296))),Variables!$B$1:$D$1,0),1))*AP1296/365)+(L1296/16.67*INDEX(Variables!$B$8:$D$8,IFERROR(MATCH(IF($B1296="Robusta","Robusta",(IF($B1296="","Arabica",$B1296))&amp;" - "&amp;(IF($C1296="","Commercial",$C1296))),Variables!$B$1:$D$1,0),1))*AP1296)+(T1296*INDEX(Variables!$B$9:$D$9,IFERROR(MATCH(IF($B1296="Robusta","Robusta",(IF($B1296="","Arabica",$B1296))&amp;" - "&amp;(IF($C1296="","Commercial",$C1296))),Variables!$B$1:$D$1,0),1))*AP1296/365),""))</f>
        <v/>
      </c>
      <c r="AV1296" s="11" t="str">
        <f t="shared" si="126"/>
        <v/>
      </c>
      <c r="AW1296" s="12" t="str">
        <f>IF($H1296="Cancelled","",IFERROR(IF(AV1296="","",(T1296*INDEX(Variables!$B$7:$D$7,IFERROR(MATCH(IF($B1296="Robusta","Robusta",(IF($B1296="","Arabica",$B1296))&amp;" - "&amp;(IF($C1296="","Commercial",$C1296))),Variables!$B$1:$D$1,0),1))*(AV1296/365))+(T1296*INDEX(Variables!$B$9:$D$9,IFERROR(MATCH(IF($B1296="Robusta","Robusta",(IF($B1296="","Arabica",$B1296))&amp;" - "&amp;(IF($C1296="","Commercial",$C1296))),Variables!$B$1:$D$1,0),1))*(AV1296/365))+(INDEX(Variables!$B$8:$D$8,IFERROR(MATCH(IF($B1296="Robusta","Robusta",(IF($B1296="","Arabica",$B1296))&amp;" - "&amp;(IF($C1296="","Commercial",$C1296))),Variables!$B$1:$D$1,0),1))*L1296/16.67)),""))</f>
        <v/>
      </c>
      <c r="AX1296" s="9"/>
      <c r="AY1296" s="12"/>
      <c r="AZ1296" s="10"/>
      <c r="BA1296" s="9"/>
      <c r="BB1296" s="10"/>
      <c r="BC1296" s="9"/>
      <c r="BD1296" s="9"/>
      <c r="BE1296" s="9"/>
      <c r="BF1296" s="9"/>
    </row>
    <row r="1297" spans="1:58" x14ac:dyDescent="0.25">
      <c r="A1297" s="9" t="s">
        <v>84</v>
      </c>
      <c r="B1297" s="9" t="s">
        <v>85</v>
      </c>
      <c r="C1297" s="9" t="s">
        <v>1486</v>
      </c>
      <c r="D1297" s="10">
        <v>46079</v>
      </c>
      <c r="E1297" s="10">
        <v>46082</v>
      </c>
      <c r="F1297" s="10">
        <v>46112</v>
      </c>
      <c r="G1297" s="9">
        <v>3787363</v>
      </c>
      <c r="H1297" s="9" t="str">
        <f t="shared" si="124"/>
        <v>Open</v>
      </c>
      <c r="I1297" s="9" t="str">
        <f t="shared" si="125"/>
        <v>No sailing date and No shipping advice sent and No docs dispatch date</v>
      </c>
      <c r="J1297" s="9" t="s">
        <v>235</v>
      </c>
      <c r="K1297" s="9" t="s">
        <v>2748</v>
      </c>
      <c r="L1297" s="11">
        <v>4</v>
      </c>
      <c r="M1297" s="9" t="s">
        <v>2749</v>
      </c>
      <c r="N1297" s="9"/>
      <c r="O1297" s="9"/>
      <c r="P1297" s="9"/>
      <c r="Q1297" s="11">
        <v>184</v>
      </c>
      <c r="R1297" s="9" t="s">
        <v>90</v>
      </c>
      <c r="S1297" s="9" t="s">
        <v>106</v>
      </c>
      <c r="T1297" s="12">
        <f>IF($H1297="Cancelled","",IFERROR(((Q1297+INDEX(Variables!$B$6:$D$6,IFERROR(MATCH(IF($B1297="Robusta","Robusta",(IF($B1297="","Arabica",$B1297))&amp;" - "&amp;(IF($C1297="","Commercial",$C1297))),Variables!$B$1:$D$1,0),1)))*22.0462)*(L1297/16.67),""))</f>
        <v>2511.7062411517691</v>
      </c>
      <c r="U1297" s="10"/>
      <c r="V1297" s="9" t="str">
        <f t="shared" si="129"/>
        <v/>
      </c>
      <c r="W1297" s="10"/>
      <c r="X1297" s="9" t="str">
        <f t="shared" si="130"/>
        <v/>
      </c>
      <c r="Y1297" s="10"/>
      <c r="Z1297" s="10">
        <f>IF($H1297="Cancelled","",IFERROR(IF(F1297="","",F1297-Variables!$B$13),""))</f>
        <v>46097</v>
      </c>
      <c r="AA1297" s="11" t="str">
        <f>IF($H1297="Cancelled","",IFERROR(IF(W1297="","",(AVERAGE(E1297:F1297)-W1297)-Variables!$B$14),""))</f>
        <v/>
      </c>
      <c r="AB1297" s="10"/>
      <c r="AC1297" s="11" t="str">
        <f>IF($H1297="Cancelled","",IFERROR(IF(AB1297="","",IF(AND(W1297="",Y1297=""),"",IF(Y1297&gt;W1297,Y1297+Variables!$B$15+Variables!$B$16+Variables!$B$17-AB1297,W1297+Variables!$B$16+Variables!$B$17-AB1297))),""))</f>
        <v/>
      </c>
      <c r="AD1297" s="9" t="s">
        <v>107</v>
      </c>
      <c r="AE1297" s="9"/>
      <c r="AF1297" s="10"/>
      <c r="AG1297" s="10"/>
      <c r="AH1297" s="9"/>
      <c r="AI1297" s="9"/>
      <c r="AJ1297" s="9"/>
      <c r="AK1297" s="10"/>
      <c r="AL1297" s="10"/>
      <c r="AM1297" s="10"/>
      <c r="AN1297" s="9" t="s">
        <v>2750</v>
      </c>
      <c r="AO1297" s="9"/>
      <c r="AP1297" s="11" t="str">
        <f>IF($H1297="Cancelled","",IFERROR(IF(OR(AK1297="",AB1297=""),"",(AB1297+Variables!$B$18-AK1297)),""))</f>
        <v/>
      </c>
      <c r="AQ1297" s="11" t="str">
        <f>IF($H1297="Cancelled","",IFERROR(IF(OR(AM1297="",AK1297=""),"",(AK1297+Variables!$B$19)-AM1297),""))</f>
        <v/>
      </c>
      <c r="AR1297" s="12" t="str">
        <f>IF($H1297="Cancelled","",IFERROR(T1297*INDEX(Variables!$B$7:$D$7,IFERROR(MATCH(IF($B1297="Robusta","Robusta",(IF($B1297="","Arabica",$B1297))&amp;" - "&amp;(IF($C1297="","Commercial",$C1297))),Variables!$B$1:$D$1,0),1))*(AQ1297/365),""))</f>
        <v/>
      </c>
      <c r="AS1297" s="12" t="str">
        <f>IF($H1297="Cancelled","",IFERROR((T1297*INDEX(Variables!$B$7:$D$7,IFERROR(MATCH(IF($B1297="Robusta","Robusta",(IF($B1297="","Arabica",$B1297))&amp;" - "&amp;(IF($C1297="","Commercial",$C1297))),Variables!$B$1:$D$1,0),1))*IFERROR(IF(W1297="","",(AVERAGE(E1297:F1297)-W1297)-Variables!$B$14),"")/365)+(L1297/16.67*INDEX(Variables!$B$8:$D$8,IFERROR(MATCH(IF($B1297="Robusta","Robusta",(IF($B1297="","Arabica",$B1297))&amp;" - "&amp;(IF($C1297="","Commercial",$C1297))),Variables!$B$1:$D$1,0),1))*IFERROR(IF(W1297="","",(AVERAGE(E1297:F1297)-W1297)-Variables!$B$14),""))+(T1297*INDEX(Variables!$B$9:$D$9,IFERROR(MATCH(IF($B1297="Robusta","Robusta",(IF($B1297="","Arabica",$B1297))&amp;" - "&amp;(IF($C1297="","Commercial",$C1297))),Variables!$B$1:$D$1,0),1))*IFERROR(IF(W1297="","",(AVERAGE(E1297:F1297)-W1297)-Variables!$B$14),"")/365),""))</f>
        <v/>
      </c>
      <c r="AT1297" s="12" t="str">
        <f>IF($H1297="Cancelled","",IFERROR((T1297*INDEX(Variables!$B$7:$D$7,IFERROR(MATCH(IF($B1297="Robusta","Robusta",(IF($B1297="","Arabica",$B1297))&amp;" - "&amp;(IF($C1297="","Commercial",$C1297))),Variables!$B$1:$D$1,0),1))*AC1297/365)+(L1297/16.67*INDEX(Variables!$B$8:$D$8,IFERROR(MATCH(IF($B1297="Robusta","Robusta",(IF($B1297="","Arabica",$B1297))&amp;" - "&amp;(IF($C1297="","Commercial",$C1297))),Variables!$B$1:$D$1,0),1))*AC1297)+(T1297*INDEX(Variables!$B$9:$D$9,IFERROR(MATCH(IF($B1297="Robusta","Robusta",(IF($B1297="","Arabica",$B1297))&amp;" - "&amp;(IF($C1297="","Commercial",$C1297))),Variables!$B$1:$D$1,0),1))*AC1297/365),""))</f>
        <v/>
      </c>
      <c r="AU1297" s="12" t="str">
        <f>IF($H1297="Cancelled","",IFERROR((T1297*INDEX(Variables!$B$7:$D$7,IFERROR(MATCH(IF($B1297="Robusta","Robusta",(IF($B1297="","Arabica",$B1297))&amp;" - "&amp;(IF($C1297="","Commercial",$C1297))),Variables!$B$1:$D$1,0),1))*AP1297/365)+(L1297/16.67*INDEX(Variables!$B$8:$D$8,IFERROR(MATCH(IF($B1297="Robusta","Robusta",(IF($B1297="","Arabica",$B1297))&amp;" - "&amp;(IF($C1297="","Commercial",$C1297))),Variables!$B$1:$D$1,0),1))*AP1297)+(T1297*INDEX(Variables!$B$9:$D$9,IFERROR(MATCH(IF($B1297="Robusta","Robusta",(IF($B1297="","Arabica",$B1297))&amp;" - "&amp;(IF($C1297="","Commercial",$C1297))),Variables!$B$1:$D$1,0),1))*AP1297/365),""))</f>
        <v/>
      </c>
      <c r="AV1297" s="11" t="str">
        <f t="shared" si="126"/>
        <v/>
      </c>
      <c r="AW1297" s="12" t="str">
        <f>IF($H1297="Cancelled","",IFERROR(IF(AV1297="","",(T1297*INDEX(Variables!$B$7:$D$7,IFERROR(MATCH(IF($B1297="Robusta","Robusta",(IF($B1297="","Arabica",$B1297))&amp;" - "&amp;(IF($C1297="","Commercial",$C1297))),Variables!$B$1:$D$1,0),1))*(AV1297/365))+(T1297*INDEX(Variables!$B$9:$D$9,IFERROR(MATCH(IF($B1297="Robusta","Robusta",(IF($B1297="","Arabica",$B1297))&amp;" - "&amp;(IF($C1297="","Commercial",$C1297))),Variables!$B$1:$D$1,0),1))*(AV1297/365))+(INDEX(Variables!$B$8:$D$8,IFERROR(MATCH(IF($B1297="Robusta","Robusta",(IF($B1297="","Arabica",$B1297))&amp;" - "&amp;(IF($C1297="","Commercial",$C1297))),Variables!$B$1:$D$1,0),1))*L1297/16.67)),""))</f>
        <v/>
      </c>
      <c r="AX1297" s="9"/>
      <c r="AY1297" s="12"/>
      <c r="AZ1297" s="10"/>
      <c r="BA1297" s="9"/>
      <c r="BB1297" s="10"/>
      <c r="BC1297" s="9"/>
      <c r="BD1297" s="9"/>
      <c r="BE1297" s="9"/>
      <c r="BF1297" s="9"/>
    </row>
    <row r="1298" spans="1:58" x14ac:dyDescent="0.25">
      <c r="A1298" s="9" t="s">
        <v>84</v>
      </c>
      <c r="B1298" s="9" t="s">
        <v>85</v>
      </c>
      <c r="C1298" s="9" t="s">
        <v>1486</v>
      </c>
      <c r="D1298" s="10">
        <v>46066</v>
      </c>
      <c r="E1298" s="10">
        <v>46082</v>
      </c>
      <c r="F1298" s="10">
        <v>46112</v>
      </c>
      <c r="G1298" s="9">
        <v>3787285</v>
      </c>
      <c r="H1298" s="9" t="str">
        <f t="shared" si="124"/>
        <v>Open</v>
      </c>
      <c r="I1298" s="9" t="str">
        <f t="shared" si="125"/>
        <v>No sailing date and No shipping advice sent and No docs dispatch date</v>
      </c>
      <c r="J1298" s="9" t="s">
        <v>494</v>
      </c>
      <c r="K1298" s="9" t="s">
        <v>2751</v>
      </c>
      <c r="L1298" s="11">
        <v>30</v>
      </c>
      <c r="M1298" s="9" t="s">
        <v>2752</v>
      </c>
      <c r="N1298" s="9"/>
      <c r="O1298" s="9"/>
      <c r="P1298" s="9"/>
      <c r="Q1298" s="11">
        <v>157</v>
      </c>
      <c r="R1298" s="9" t="s">
        <v>195</v>
      </c>
      <c r="S1298" s="9" t="s">
        <v>207</v>
      </c>
      <c r="T1298" s="12">
        <f>IF($H1298="Cancelled","",IFERROR(((Q1298+INDEX(Variables!$B$6:$D$6,IFERROR(MATCH(IF($B1298="Robusta","Robusta",(IF($B1298="","Arabica",$B1298))&amp;" - "&amp;(IF($C1298="","Commercial",$C1298))),Variables!$B$1:$D$1,0),1)))*22.0462)*(L1298/16.67),""))</f>
        <v>17766.565734853029</v>
      </c>
      <c r="U1298" s="10"/>
      <c r="V1298" s="9" t="str">
        <f t="shared" si="129"/>
        <v/>
      </c>
      <c r="W1298" s="10">
        <v>46068</v>
      </c>
      <c r="X1298" s="9" t="str">
        <f t="shared" si="130"/>
        <v>Approved</v>
      </c>
      <c r="Y1298" s="10">
        <v>46104</v>
      </c>
      <c r="Z1298" s="10">
        <f>IF($H1298="Cancelled","",IFERROR(IF(F1298="","",F1298-Variables!$B$13),""))</f>
        <v>46097</v>
      </c>
      <c r="AA1298" s="11">
        <f>IF($H1298="Cancelled","",IFERROR(IF(W1298="","",(AVERAGE(E1298:F1298)-W1298)-Variables!$B$14),""))</f>
        <v>-1</v>
      </c>
      <c r="AB1298" s="10">
        <v>46119</v>
      </c>
      <c r="AC1298" s="11">
        <f>IF($H1298="Cancelled","",IFERROR(IF(AB1298="","",IF(AND(W1298="",Y1298=""),"",IF(Y1298&gt;W1298,Y1298+Variables!$B$15+Variables!$B$16+Variables!$B$17-AB1298,W1298+Variables!$B$16+Variables!$B$17-AB1298))),""))</f>
        <v>0</v>
      </c>
      <c r="AD1298" s="9" t="s">
        <v>107</v>
      </c>
      <c r="AE1298" s="9"/>
      <c r="AF1298" s="10"/>
      <c r="AG1298" s="10"/>
      <c r="AH1298" s="9"/>
      <c r="AI1298" s="9"/>
      <c r="AJ1298" s="9"/>
      <c r="AK1298" s="10"/>
      <c r="AL1298" s="10"/>
      <c r="AM1298" s="10"/>
      <c r="AN1298" s="9" t="s">
        <v>2739</v>
      </c>
      <c r="AO1298" s="9"/>
      <c r="AP1298" s="11" t="str">
        <f>IF($H1298="Cancelled","",IFERROR(IF(OR(AK1298="",AB1298=""),"",(AB1298+Variables!$B$18-AK1298)),""))</f>
        <v/>
      </c>
      <c r="AQ1298" s="11" t="str">
        <f>IF($H1298="Cancelled","",IFERROR(IF(OR(AM1298="",AK1298=""),"",(AK1298+Variables!$B$19)-AM1298),""))</f>
        <v/>
      </c>
      <c r="AR1298" s="12" t="str">
        <f>IF($H1298="Cancelled","",IFERROR(T1298*INDEX(Variables!$B$7:$D$7,IFERROR(MATCH(IF($B1298="Robusta","Robusta",(IF($B1298="","Arabica",$B1298))&amp;" - "&amp;(IF($C1298="","Commercial",$C1298))),Variables!$B$1:$D$1,0),1))*(AQ1298/365),""))</f>
        <v/>
      </c>
      <c r="AS1298" s="12">
        <f>IF($H1298="Cancelled","",IFERROR((T1298*INDEX(Variables!$B$7:$D$7,IFERROR(MATCH(IF($B1298="Robusta","Robusta",(IF($B1298="","Arabica",$B1298))&amp;" - "&amp;(IF($C1298="","Commercial",$C1298))),Variables!$B$1:$D$1,0),1))*IFERROR(IF(W1298="","",(AVERAGE(E1298:F1298)-W1298)-Variables!$B$14),"")/365)+(L1298/16.67*INDEX(Variables!$B$8:$D$8,IFERROR(MATCH(IF($B1298="Robusta","Robusta",(IF($B1298="","Arabica",$B1298))&amp;" - "&amp;(IF($C1298="","Commercial",$C1298))),Variables!$B$1:$D$1,0),1))*IFERROR(IF(W1298="","",(AVERAGE(E1298:F1298)-W1298)-Variables!$B$14),""))+(T1298*INDEX(Variables!$B$9:$D$9,IFERROR(MATCH(IF($B1298="Robusta","Robusta",(IF($B1298="","Arabica",$B1298))&amp;" - "&amp;(IF($C1298="","Commercial",$C1298))),Variables!$B$1:$D$1,0),1))*IFERROR(IF(W1298="","",(AVERAGE(E1298:F1298)-W1298)-Variables!$B$14),"")/365),""))</f>
        <v>-4.6791687428036264</v>
      </c>
      <c r="AT1298" s="12">
        <f>IF($H1298="Cancelled","",IFERROR((T1298*INDEX(Variables!$B$7:$D$7,IFERROR(MATCH(IF($B1298="Robusta","Robusta",(IF($B1298="","Arabica",$B1298))&amp;" - "&amp;(IF($C1298="","Commercial",$C1298))),Variables!$B$1:$D$1,0),1))*AC1298/365)+(L1298/16.67*INDEX(Variables!$B$8:$D$8,IFERROR(MATCH(IF($B1298="Robusta","Robusta",(IF($B1298="","Arabica",$B1298))&amp;" - "&amp;(IF($C1298="","Commercial",$C1298))),Variables!$B$1:$D$1,0),1))*AC1298)+(T1298*INDEX(Variables!$B$9:$D$9,IFERROR(MATCH(IF($B1298="Robusta","Robusta",(IF($B1298="","Arabica",$B1298))&amp;" - "&amp;(IF($C1298="","Commercial",$C1298))),Variables!$B$1:$D$1,0),1))*AC1298/365),""))</f>
        <v>0</v>
      </c>
      <c r="AU1298" s="12" t="str">
        <f>IF($H1298="Cancelled","",IFERROR((T1298*INDEX(Variables!$B$7:$D$7,IFERROR(MATCH(IF($B1298="Robusta","Robusta",(IF($B1298="","Arabica",$B1298))&amp;" - "&amp;(IF($C1298="","Commercial",$C1298))),Variables!$B$1:$D$1,0),1))*AP1298/365)+(L1298/16.67*INDEX(Variables!$B$8:$D$8,IFERROR(MATCH(IF($B1298="Robusta","Robusta",(IF($B1298="","Arabica",$B1298))&amp;" - "&amp;(IF($C1298="","Commercial",$C1298))),Variables!$B$1:$D$1,0),1))*AP1298)+(T1298*INDEX(Variables!$B$9:$D$9,IFERROR(MATCH(IF($B1298="Robusta","Robusta",(IF($B1298="","Arabica",$B1298))&amp;" - "&amp;(IF($C1298="","Commercial",$C1298))),Variables!$B$1:$D$1,0),1))*AP1298/365),""))</f>
        <v/>
      </c>
      <c r="AV1298" s="11" t="str">
        <f t="shared" si="126"/>
        <v/>
      </c>
      <c r="AW1298" s="12" t="str">
        <f>IF($H1298="Cancelled","",IFERROR(IF(AV1298="","",(T1298*INDEX(Variables!$B$7:$D$7,IFERROR(MATCH(IF($B1298="Robusta","Robusta",(IF($B1298="","Arabica",$B1298))&amp;" - "&amp;(IF($C1298="","Commercial",$C1298))),Variables!$B$1:$D$1,0),1))*(AV1298/365))+(T1298*INDEX(Variables!$B$9:$D$9,IFERROR(MATCH(IF($B1298="Robusta","Robusta",(IF($B1298="","Arabica",$B1298))&amp;" - "&amp;(IF($C1298="","Commercial",$C1298))),Variables!$B$1:$D$1,0),1))*(AV1298/365))+(INDEX(Variables!$B$8:$D$8,IFERROR(MATCH(IF($B1298="Robusta","Robusta",(IF($B1298="","Arabica",$B1298))&amp;" - "&amp;(IF($C1298="","Commercial",$C1298))),Variables!$B$1:$D$1,0),1))*L1298/16.67)),""))</f>
        <v/>
      </c>
      <c r="AX1298" s="9"/>
      <c r="AY1298" s="12"/>
      <c r="AZ1298" s="10"/>
      <c r="BA1298" s="9"/>
      <c r="BB1298" s="10"/>
      <c r="BC1298" s="9"/>
      <c r="BD1298" s="9"/>
      <c r="BE1298" s="9"/>
      <c r="BF1298" s="9"/>
    </row>
    <row r="1299" spans="1:58" x14ac:dyDescent="0.25">
      <c r="A1299" s="9" t="s">
        <v>84</v>
      </c>
      <c r="B1299" s="9" t="s">
        <v>85</v>
      </c>
      <c r="C1299" s="9" t="s">
        <v>1486</v>
      </c>
      <c r="D1299" s="10">
        <v>46066</v>
      </c>
      <c r="E1299" s="10">
        <v>46082</v>
      </c>
      <c r="F1299" s="10">
        <v>46112</v>
      </c>
      <c r="G1299" s="9">
        <v>3787283</v>
      </c>
      <c r="H1299" s="9" t="str">
        <f t="shared" si="124"/>
        <v>Open</v>
      </c>
      <c r="I1299" s="9" t="str">
        <f t="shared" si="125"/>
        <v>No sailing date and No shipping advice sent and No docs dispatch date</v>
      </c>
      <c r="J1299" s="9" t="s">
        <v>494</v>
      </c>
      <c r="K1299" s="9" t="s">
        <v>2753</v>
      </c>
      <c r="L1299" s="11">
        <v>220</v>
      </c>
      <c r="M1299" s="9" t="s">
        <v>2754</v>
      </c>
      <c r="N1299" s="9"/>
      <c r="O1299" s="9"/>
      <c r="P1299" s="9"/>
      <c r="Q1299" s="11">
        <v>83</v>
      </c>
      <c r="R1299" s="9" t="s">
        <v>90</v>
      </c>
      <c r="S1299" s="9"/>
      <c r="T1299" s="12">
        <f>IF($H1299="Cancelled","",IFERROR(((Q1299+INDEX(Variables!$B$6:$D$6,IFERROR(MATCH(IF($B1299="Robusta","Robusta",(IF($B1299="","Arabica",$B1299))&amp;" - "&amp;(IF($C1299="","Commercial",$C1299))),Variables!$B$1:$D$1,0),1)))*22.0462)*(L1299/16.67),""))</f>
        <v>108757.72664667064</v>
      </c>
      <c r="U1299" s="10"/>
      <c r="V1299" s="9" t="str">
        <f t="shared" si="129"/>
        <v/>
      </c>
      <c r="W1299" s="10"/>
      <c r="X1299" s="9" t="str">
        <f t="shared" si="130"/>
        <v/>
      </c>
      <c r="Y1299" s="10"/>
      <c r="Z1299" s="10">
        <f>IF($H1299="Cancelled","",IFERROR(IF(F1299="","",F1299-Variables!$B$13),""))</f>
        <v>46097</v>
      </c>
      <c r="AA1299" s="11" t="str">
        <f>IF($H1299="Cancelled","",IFERROR(IF(W1299="","",(AVERAGE(E1299:F1299)-W1299)-Variables!$B$14),""))</f>
        <v/>
      </c>
      <c r="AB1299" s="10"/>
      <c r="AC1299" s="11" t="str">
        <f>IF($H1299="Cancelled","",IFERROR(IF(AB1299="","",IF(AND(W1299="",Y1299=""),"",IF(Y1299&gt;W1299,Y1299+Variables!$B$15+Variables!$B$16+Variables!$B$17-AB1299,W1299+Variables!$B$16+Variables!$B$17-AB1299))),""))</f>
        <v/>
      </c>
      <c r="AD1299" s="9"/>
      <c r="AE1299" s="9"/>
      <c r="AF1299" s="10"/>
      <c r="AG1299" s="10"/>
      <c r="AH1299" s="9"/>
      <c r="AI1299" s="9"/>
      <c r="AJ1299" s="9"/>
      <c r="AK1299" s="10"/>
      <c r="AL1299" s="10"/>
      <c r="AM1299" s="10"/>
      <c r="AN1299" s="9" t="s">
        <v>2750</v>
      </c>
      <c r="AO1299" s="9"/>
      <c r="AP1299" s="11" t="str">
        <f>IF($H1299="Cancelled","",IFERROR(IF(OR(AK1299="",AB1299=""),"",(AB1299+Variables!$B$18-AK1299)),""))</f>
        <v/>
      </c>
      <c r="AQ1299" s="11" t="str">
        <f>IF($H1299="Cancelled","",IFERROR(IF(OR(AM1299="",AK1299=""),"",(AK1299+Variables!$B$19)-AM1299),""))</f>
        <v/>
      </c>
      <c r="AR1299" s="12" t="str">
        <f>IF($H1299="Cancelled","",IFERROR(T1299*INDEX(Variables!$B$7:$D$7,IFERROR(MATCH(IF($B1299="Robusta","Robusta",(IF($B1299="","Arabica",$B1299))&amp;" - "&amp;(IF($C1299="","Commercial",$C1299))),Variables!$B$1:$D$1,0),1))*(AQ1299/365),""))</f>
        <v/>
      </c>
      <c r="AS1299" s="12" t="str">
        <f>IF($H1299="Cancelled","",IFERROR((T1299*INDEX(Variables!$B$7:$D$7,IFERROR(MATCH(IF($B1299="Robusta","Robusta",(IF($B1299="","Arabica",$B1299))&amp;" - "&amp;(IF($C1299="","Commercial",$C1299))),Variables!$B$1:$D$1,0),1))*IFERROR(IF(W1299="","",(AVERAGE(E1299:F1299)-W1299)-Variables!$B$14),"")/365)+(L1299/16.67*INDEX(Variables!$B$8:$D$8,IFERROR(MATCH(IF($B1299="Robusta","Robusta",(IF($B1299="","Arabica",$B1299))&amp;" - "&amp;(IF($C1299="","Commercial",$C1299))),Variables!$B$1:$D$1,0),1))*IFERROR(IF(W1299="","",(AVERAGE(E1299:F1299)-W1299)-Variables!$B$14),""))+(T1299*INDEX(Variables!$B$9:$D$9,IFERROR(MATCH(IF($B1299="Robusta","Robusta",(IF($B1299="","Arabica",$B1299))&amp;" - "&amp;(IF($C1299="","Commercial",$C1299))),Variables!$B$1:$D$1,0),1))*IFERROR(IF(W1299="","",(AVERAGE(E1299:F1299)-W1299)-Variables!$B$14),"")/365),""))</f>
        <v/>
      </c>
      <c r="AT1299" s="12" t="str">
        <f>IF($H1299="Cancelled","",IFERROR((T1299*INDEX(Variables!$B$7:$D$7,IFERROR(MATCH(IF($B1299="Robusta","Robusta",(IF($B1299="","Arabica",$B1299))&amp;" - "&amp;(IF($C1299="","Commercial",$C1299))),Variables!$B$1:$D$1,0),1))*AC1299/365)+(L1299/16.67*INDEX(Variables!$B$8:$D$8,IFERROR(MATCH(IF($B1299="Robusta","Robusta",(IF($B1299="","Arabica",$B1299))&amp;" - "&amp;(IF($C1299="","Commercial",$C1299))),Variables!$B$1:$D$1,0),1))*AC1299)+(T1299*INDEX(Variables!$B$9:$D$9,IFERROR(MATCH(IF($B1299="Robusta","Robusta",(IF($B1299="","Arabica",$B1299))&amp;" - "&amp;(IF($C1299="","Commercial",$C1299))),Variables!$B$1:$D$1,0),1))*AC1299/365),""))</f>
        <v/>
      </c>
      <c r="AU1299" s="12" t="str">
        <f>IF($H1299="Cancelled","",IFERROR((T1299*INDEX(Variables!$B$7:$D$7,IFERROR(MATCH(IF($B1299="Robusta","Robusta",(IF($B1299="","Arabica",$B1299))&amp;" - "&amp;(IF($C1299="","Commercial",$C1299))),Variables!$B$1:$D$1,0),1))*AP1299/365)+(L1299/16.67*INDEX(Variables!$B$8:$D$8,IFERROR(MATCH(IF($B1299="Robusta","Robusta",(IF($B1299="","Arabica",$B1299))&amp;" - "&amp;(IF($C1299="","Commercial",$C1299))),Variables!$B$1:$D$1,0),1))*AP1299)+(T1299*INDEX(Variables!$B$9:$D$9,IFERROR(MATCH(IF($B1299="Robusta","Robusta",(IF($B1299="","Arabica",$B1299))&amp;" - "&amp;(IF($C1299="","Commercial",$C1299))),Variables!$B$1:$D$1,0),1))*AP1299/365),""))</f>
        <v/>
      </c>
      <c r="AV1299" s="11" t="str">
        <f t="shared" si="126"/>
        <v/>
      </c>
      <c r="AW1299" s="12" t="str">
        <f>IF($H1299="Cancelled","",IFERROR(IF(AV1299="","",(T1299*INDEX(Variables!$B$7:$D$7,IFERROR(MATCH(IF($B1299="Robusta","Robusta",(IF($B1299="","Arabica",$B1299))&amp;" - "&amp;(IF($C1299="","Commercial",$C1299))),Variables!$B$1:$D$1,0),1))*(AV1299/365))+(T1299*INDEX(Variables!$B$9:$D$9,IFERROR(MATCH(IF($B1299="Robusta","Robusta",(IF($B1299="","Arabica",$B1299))&amp;" - "&amp;(IF($C1299="","Commercial",$C1299))),Variables!$B$1:$D$1,0),1))*(AV1299/365))+(INDEX(Variables!$B$8:$D$8,IFERROR(MATCH(IF($B1299="Robusta","Robusta",(IF($B1299="","Arabica",$B1299))&amp;" - "&amp;(IF($C1299="","Commercial",$C1299))),Variables!$B$1:$D$1,0),1))*L1299/16.67)),""))</f>
        <v/>
      </c>
      <c r="AX1299" s="9"/>
      <c r="AY1299" s="12"/>
      <c r="AZ1299" s="10"/>
      <c r="BA1299" s="9"/>
      <c r="BB1299" s="10"/>
      <c r="BC1299" s="9"/>
      <c r="BD1299" s="9"/>
      <c r="BE1299" s="9"/>
      <c r="BF1299" s="9"/>
    </row>
    <row r="1300" spans="1:58" x14ac:dyDescent="0.25">
      <c r="A1300" s="9" t="s">
        <v>84</v>
      </c>
      <c r="B1300" s="9" t="s">
        <v>85</v>
      </c>
      <c r="C1300" s="9" t="s">
        <v>1486</v>
      </c>
      <c r="D1300" s="10">
        <v>46066</v>
      </c>
      <c r="E1300" s="10">
        <v>46082</v>
      </c>
      <c r="F1300" s="10">
        <v>46112</v>
      </c>
      <c r="G1300" s="9">
        <v>3787289</v>
      </c>
      <c r="H1300" s="9" t="str">
        <f t="shared" si="124"/>
        <v>Open</v>
      </c>
      <c r="I1300" s="9" t="str">
        <f t="shared" si="125"/>
        <v>No sailing date and No shipping advice sent and No docs dispatch date</v>
      </c>
      <c r="J1300" s="9" t="s">
        <v>494</v>
      </c>
      <c r="K1300" s="9" t="s">
        <v>2755</v>
      </c>
      <c r="L1300" s="11">
        <v>220</v>
      </c>
      <c r="M1300" s="9" t="s">
        <v>2756</v>
      </c>
      <c r="N1300" s="9"/>
      <c r="O1300" s="9"/>
      <c r="P1300" s="9"/>
      <c r="Q1300" s="11">
        <v>83</v>
      </c>
      <c r="R1300" s="9" t="s">
        <v>90</v>
      </c>
      <c r="S1300" s="9" t="s">
        <v>207</v>
      </c>
      <c r="T1300" s="12">
        <f>IF($H1300="Cancelled","",IFERROR(((Q1300+INDEX(Variables!$B$6:$D$6,IFERROR(MATCH(IF($B1300="Robusta","Robusta",(IF($B1300="","Arabica",$B1300))&amp;" - "&amp;(IF($C1300="","Commercial",$C1300))),Variables!$B$1:$D$1,0),1)))*22.0462)*(L1300/16.67),""))</f>
        <v>108757.72664667064</v>
      </c>
      <c r="U1300" s="10"/>
      <c r="V1300" s="9" t="str">
        <f t="shared" si="129"/>
        <v/>
      </c>
      <c r="W1300" s="10">
        <v>46068</v>
      </c>
      <c r="X1300" s="9" t="str">
        <f t="shared" si="130"/>
        <v>Approved</v>
      </c>
      <c r="Y1300" s="10">
        <v>46104</v>
      </c>
      <c r="Z1300" s="10">
        <f>IF($H1300="Cancelled","",IFERROR(IF(F1300="","",F1300-Variables!$B$13),""))</f>
        <v>46097</v>
      </c>
      <c r="AA1300" s="11">
        <f>IF($H1300="Cancelled","",IFERROR(IF(W1300="","",(AVERAGE(E1300:F1300)-W1300)-Variables!$B$14),""))</f>
        <v>-1</v>
      </c>
      <c r="AB1300" s="10">
        <v>46119</v>
      </c>
      <c r="AC1300" s="11">
        <f>IF($H1300="Cancelled","",IFERROR(IF(AB1300="","",IF(AND(W1300="",Y1300=""),"",IF(Y1300&gt;W1300,Y1300+Variables!$B$15+Variables!$B$16+Variables!$B$17-AB1300,W1300+Variables!$B$16+Variables!$B$17-AB1300))),""))</f>
        <v>0</v>
      </c>
      <c r="AD1300" s="9" t="s">
        <v>107</v>
      </c>
      <c r="AE1300" s="9"/>
      <c r="AF1300" s="10"/>
      <c r="AG1300" s="10"/>
      <c r="AH1300" s="9"/>
      <c r="AI1300" s="9"/>
      <c r="AJ1300" s="9"/>
      <c r="AK1300" s="10"/>
      <c r="AL1300" s="10"/>
      <c r="AM1300" s="10"/>
      <c r="AN1300" s="9" t="s">
        <v>2739</v>
      </c>
      <c r="AO1300" s="9"/>
      <c r="AP1300" s="11" t="str">
        <f>IF($H1300="Cancelled","",IFERROR(IF(OR(AK1300="",AB1300=""),"",(AB1300+Variables!$B$18-AK1300)),""))</f>
        <v/>
      </c>
      <c r="AQ1300" s="11" t="str">
        <f>IF($H1300="Cancelled","",IFERROR(IF(OR(AM1300="",AK1300=""),"",(AK1300+Variables!$B$19)-AM1300),""))</f>
        <v/>
      </c>
      <c r="AR1300" s="12" t="str">
        <f>IF($H1300="Cancelled","",IFERROR(T1300*INDEX(Variables!$B$7:$D$7,IFERROR(MATCH(IF($B1300="Robusta","Robusta",(IF($B1300="","Arabica",$B1300))&amp;" - "&amp;(IF($C1300="","Commercial",$C1300))),Variables!$B$1:$D$1,0),1))*(AQ1300/365),""))</f>
        <v/>
      </c>
      <c r="AS1300" s="12">
        <f>IF($H1300="Cancelled","",IFERROR((T1300*INDEX(Variables!$B$7:$D$7,IFERROR(MATCH(IF($B1300="Robusta","Robusta",(IF($B1300="","Arabica",$B1300))&amp;" - "&amp;(IF($C1300="","Commercial",$C1300))),Variables!$B$1:$D$1,0),1))*IFERROR(IF(W1300="","",(AVERAGE(E1300:F1300)-W1300)-Variables!$B$14),"")/365)+(L1300/16.67*INDEX(Variables!$B$8:$D$8,IFERROR(MATCH(IF($B1300="Robusta","Robusta",(IF($B1300="","Arabica",$B1300))&amp;" - "&amp;(IF($C1300="","Commercial",$C1300))),Variables!$B$1:$D$1,0),1))*IFERROR(IF(W1300="","",(AVERAGE(E1300:F1300)-W1300)-Variables!$B$14),""))+(T1300*INDEX(Variables!$B$9:$D$9,IFERROR(MATCH(IF($B1300="Robusta","Robusta",(IF($B1300="","Arabica",$B1300))&amp;" - "&amp;(IF($C1300="","Commercial",$C1300))),Variables!$B$1:$D$1,0),1))*IFERROR(IF(W1300="","",(AVERAGE(E1300:F1300)-W1300)-Variables!$B$14),"")/365),""))</f>
        <v>-30.461226792704991</v>
      </c>
      <c r="AT1300" s="12">
        <f>IF($H1300="Cancelled","",IFERROR((T1300*INDEX(Variables!$B$7:$D$7,IFERROR(MATCH(IF($B1300="Robusta","Robusta",(IF($B1300="","Arabica",$B1300))&amp;" - "&amp;(IF($C1300="","Commercial",$C1300))),Variables!$B$1:$D$1,0),1))*AC1300/365)+(L1300/16.67*INDEX(Variables!$B$8:$D$8,IFERROR(MATCH(IF($B1300="Robusta","Robusta",(IF($B1300="","Arabica",$B1300))&amp;" - "&amp;(IF($C1300="","Commercial",$C1300))),Variables!$B$1:$D$1,0),1))*AC1300)+(T1300*INDEX(Variables!$B$9:$D$9,IFERROR(MATCH(IF($B1300="Robusta","Robusta",(IF($B1300="","Arabica",$B1300))&amp;" - "&amp;(IF($C1300="","Commercial",$C1300))),Variables!$B$1:$D$1,0),1))*AC1300/365),""))</f>
        <v>0</v>
      </c>
      <c r="AU1300" s="12" t="str">
        <f>IF($H1300="Cancelled","",IFERROR((T1300*INDEX(Variables!$B$7:$D$7,IFERROR(MATCH(IF($B1300="Robusta","Robusta",(IF($B1300="","Arabica",$B1300))&amp;" - "&amp;(IF($C1300="","Commercial",$C1300))),Variables!$B$1:$D$1,0),1))*AP1300/365)+(L1300/16.67*INDEX(Variables!$B$8:$D$8,IFERROR(MATCH(IF($B1300="Robusta","Robusta",(IF($B1300="","Arabica",$B1300))&amp;" - "&amp;(IF($C1300="","Commercial",$C1300))),Variables!$B$1:$D$1,0),1))*AP1300)+(T1300*INDEX(Variables!$B$9:$D$9,IFERROR(MATCH(IF($B1300="Robusta","Robusta",(IF($B1300="","Arabica",$B1300))&amp;" - "&amp;(IF($C1300="","Commercial",$C1300))),Variables!$B$1:$D$1,0),1))*AP1300/365),""))</f>
        <v/>
      </c>
      <c r="AV1300" s="11" t="str">
        <f t="shared" si="126"/>
        <v/>
      </c>
      <c r="AW1300" s="12" t="str">
        <f>IF($H1300="Cancelled","",IFERROR(IF(AV1300="","",(T1300*INDEX(Variables!$B$7:$D$7,IFERROR(MATCH(IF($B1300="Robusta","Robusta",(IF($B1300="","Arabica",$B1300))&amp;" - "&amp;(IF($C1300="","Commercial",$C1300))),Variables!$B$1:$D$1,0),1))*(AV1300/365))+(T1300*INDEX(Variables!$B$9:$D$9,IFERROR(MATCH(IF($B1300="Robusta","Robusta",(IF($B1300="","Arabica",$B1300))&amp;" - "&amp;(IF($C1300="","Commercial",$C1300))),Variables!$B$1:$D$1,0),1))*(AV1300/365))+(INDEX(Variables!$B$8:$D$8,IFERROR(MATCH(IF($B1300="Robusta","Robusta",(IF($B1300="","Arabica",$B1300))&amp;" - "&amp;(IF($C1300="","Commercial",$C1300))),Variables!$B$1:$D$1,0),1))*L1300/16.67)),""))</f>
        <v/>
      </c>
      <c r="AX1300" s="9"/>
      <c r="AY1300" s="12"/>
      <c r="AZ1300" s="10"/>
      <c r="BA1300" s="9"/>
      <c r="BB1300" s="10"/>
      <c r="BC1300" s="9"/>
      <c r="BD1300" s="9"/>
      <c r="BE1300" s="9"/>
      <c r="BF1300" s="9"/>
    </row>
    <row r="1301" spans="1:58" x14ac:dyDescent="0.25">
      <c r="A1301" s="9" t="s">
        <v>84</v>
      </c>
      <c r="B1301" s="9" t="s">
        <v>85</v>
      </c>
      <c r="C1301" s="9" t="s">
        <v>1486</v>
      </c>
      <c r="D1301" s="10">
        <v>46066</v>
      </c>
      <c r="E1301" s="10">
        <v>46082</v>
      </c>
      <c r="F1301" s="10">
        <v>46112</v>
      </c>
      <c r="G1301" s="9">
        <v>3787278</v>
      </c>
      <c r="H1301" s="9" t="str">
        <f t="shared" si="124"/>
        <v>Open</v>
      </c>
      <c r="I1301" s="9" t="str">
        <f t="shared" si="125"/>
        <v>No sailing date and No shipping advice sent and No docs dispatch date</v>
      </c>
      <c r="J1301" s="9" t="s">
        <v>494</v>
      </c>
      <c r="K1301" s="9" t="s">
        <v>2757</v>
      </c>
      <c r="L1301" s="11">
        <v>10</v>
      </c>
      <c r="M1301" s="9" t="s">
        <v>2758</v>
      </c>
      <c r="N1301" s="9"/>
      <c r="O1301" s="9"/>
      <c r="P1301" s="9"/>
      <c r="Q1301" s="11">
        <v>189</v>
      </c>
      <c r="R1301" s="9" t="s">
        <v>195</v>
      </c>
      <c r="S1301" s="9" t="s">
        <v>207</v>
      </c>
      <c r="T1301" s="12">
        <f>IF($H1301="Cancelled","",IFERROR(((Q1301+INDEX(Variables!$B$6:$D$6,IFERROR(MATCH(IF($B1301="Robusta","Robusta",(IF($B1301="","Arabica",$B1301))&amp;" - "&amp;(IF($C1301="","Commercial",$C1301))),Variables!$B$1:$D$1,0),1)))*22.0462)*(L1301/16.67),""))</f>
        <v>6345.390977804439</v>
      </c>
      <c r="U1301" s="10"/>
      <c r="V1301" s="9" t="str">
        <f t="shared" si="129"/>
        <v/>
      </c>
      <c r="W1301" s="10">
        <v>46068</v>
      </c>
      <c r="X1301" s="9" t="str">
        <f t="shared" si="130"/>
        <v>Approved</v>
      </c>
      <c r="Y1301" s="10">
        <v>46104</v>
      </c>
      <c r="Z1301" s="10">
        <f>IF($H1301="Cancelled","",IFERROR(IF(F1301="","",F1301-Variables!$B$13),""))</f>
        <v>46097</v>
      </c>
      <c r="AA1301" s="11">
        <f>IF($H1301="Cancelled","",IFERROR(IF(W1301="","",(AVERAGE(E1301:F1301)-W1301)-Variables!$B$14),""))</f>
        <v>-1</v>
      </c>
      <c r="AB1301" s="10">
        <v>46119</v>
      </c>
      <c r="AC1301" s="11">
        <f>IF($H1301="Cancelled","",IFERROR(IF(AB1301="","",IF(AND(W1301="",Y1301=""),"",IF(Y1301&gt;W1301,Y1301+Variables!$B$15+Variables!$B$16+Variables!$B$17-AB1301,W1301+Variables!$B$16+Variables!$B$17-AB1301))),""))</f>
        <v>0</v>
      </c>
      <c r="AD1301" s="9" t="s">
        <v>107</v>
      </c>
      <c r="AE1301" s="9"/>
      <c r="AF1301" s="10"/>
      <c r="AG1301" s="10"/>
      <c r="AH1301" s="9"/>
      <c r="AI1301" s="9"/>
      <c r="AJ1301" s="9"/>
      <c r="AK1301" s="10"/>
      <c r="AL1301" s="10"/>
      <c r="AM1301" s="10"/>
      <c r="AN1301" s="9" t="s">
        <v>2739</v>
      </c>
      <c r="AO1301" s="9"/>
      <c r="AP1301" s="11" t="str">
        <f>IF($H1301="Cancelled","",IFERROR(IF(OR(AK1301="",AB1301=""),"",(AB1301+Variables!$B$18-AK1301)),""))</f>
        <v/>
      </c>
      <c r="AQ1301" s="11" t="str">
        <f>IF($H1301="Cancelled","",IFERROR(IF(OR(AM1301="",AK1301=""),"",(AK1301+Variables!$B$19)-AM1301),""))</f>
        <v/>
      </c>
      <c r="AR1301" s="12" t="str">
        <f>IF($H1301="Cancelled","",IFERROR(T1301*INDEX(Variables!$B$7:$D$7,IFERROR(MATCH(IF($B1301="Robusta","Robusta",(IF($B1301="","Arabica",$B1301))&amp;" - "&amp;(IF($C1301="","Commercial",$C1301))),Variables!$B$1:$D$1,0),1))*(AQ1301/365),""))</f>
        <v/>
      </c>
      <c r="AS1301" s="12">
        <f>IF($H1301="Cancelled","",IFERROR((T1301*INDEX(Variables!$B$7:$D$7,IFERROR(MATCH(IF($B1301="Robusta","Robusta",(IF($B1301="","Arabica",$B1301))&amp;" - "&amp;(IF($C1301="","Commercial",$C1301))),Variables!$B$1:$D$1,0),1))*IFERROR(IF(W1301="","",(AVERAGE(E1301:F1301)-W1301)-Variables!$B$14),"")/365)+(L1301/16.67*INDEX(Variables!$B$8:$D$8,IFERROR(MATCH(IF($B1301="Robusta","Robusta",(IF($B1301="","Arabica",$B1301))&amp;" - "&amp;(IF($C1301="","Commercial",$C1301))),Variables!$B$1:$D$1,0),1))*IFERROR(IF(W1301="","",(AVERAGE(E1301:F1301)-W1301)-Variables!$B$14),""))+(T1301*INDEX(Variables!$B$9:$D$9,IFERROR(MATCH(IF($B1301="Robusta","Robusta",(IF($B1301="","Arabica",$B1301))&amp;" - "&amp;(IF($C1301="","Commercial",$C1301))),Variables!$B$1:$D$1,0),1))*IFERROR(IF(W1301="","",(AVERAGE(E1301:F1301)-W1301)-Variables!$B$14),"")/365),""))</f>
        <v>-1.6354512154214529</v>
      </c>
      <c r="AT1301" s="12">
        <f>IF($H1301="Cancelled","",IFERROR((T1301*INDEX(Variables!$B$7:$D$7,IFERROR(MATCH(IF($B1301="Robusta","Robusta",(IF($B1301="","Arabica",$B1301))&amp;" - "&amp;(IF($C1301="","Commercial",$C1301))),Variables!$B$1:$D$1,0),1))*AC1301/365)+(L1301/16.67*INDEX(Variables!$B$8:$D$8,IFERROR(MATCH(IF($B1301="Robusta","Robusta",(IF($B1301="","Arabica",$B1301))&amp;" - "&amp;(IF($C1301="","Commercial",$C1301))),Variables!$B$1:$D$1,0),1))*AC1301)+(T1301*INDEX(Variables!$B$9:$D$9,IFERROR(MATCH(IF($B1301="Robusta","Robusta",(IF($B1301="","Arabica",$B1301))&amp;" - "&amp;(IF($C1301="","Commercial",$C1301))),Variables!$B$1:$D$1,0),1))*AC1301/365),""))</f>
        <v>0</v>
      </c>
      <c r="AU1301" s="12" t="str">
        <f>IF($H1301="Cancelled","",IFERROR((T1301*INDEX(Variables!$B$7:$D$7,IFERROR(MATCH(IF($B1301="Robusta","Robusta",(IF($B1301="","Arabica",$B1301))&amp;" - "&amp;(IF($C1301="","Commercial",$C1301))),Variables!$B$1:$D$1,0),1))*AP1301/365)+(L1301/16.67*INDEX(Variables!$B$8:$D$8,IFERROR(MATCH(IF($B1301="Robusta","Robusta",(IF($B1301="","Arabica",$B1301))&amp;" - "&amp;(IF($C1301="","Commercial",$C1301))),Variables!$B$1:$D$1,0),1))*AP1301)+(T1301*INDEX(Variables!$B$9:$D$9,IFERROR(MATCH(IF($B1301="Robusta","Robusta",(IF($B1301="","Arabica",$B1301))&amp;" - "&amp;(IF($C1301="","Commercial",$C1301))),Variables!$B$1:$D$1,0),1))*AP1301/365),""))</f>
        <v/>
      </c>
      <c r="AV1301" s="11" t="str">
        <f t="shared" si="126"/>
        <v/>
      </c>
      <c r="AW1301" s="12" t="str">
        <f>IF($H1301="Cancelled","",IFERROR(IF(AV1301="","",(T1301*INDEX(Variables!$B$7:$D$7,IFERROR(MATCH(IF($B1301="Robusta","Robusta",(IF($B1301="","Arabica",$B1301))&amp;" - "&amp;(IF($C1301="","Commercial",$C1301))),Variables!$B$1:$D$1,0),1))*(AV1301/365))+(T1301*INDEX(Variables!$B$9:$D$9,IFERROR(MATCH(IF($B1301="Robusta","Robusta",(IF($B1301="","Arabica",$B1301))&amp;" - "&amp;(IF($C1301="","Commercial",$C1301))),Variables!$B$1:$D$1,0),1))*(AV1301/365))+(INDEX(Variables!$B$8:$D$8,IFERROR(MATCH(IF($B1301="Robusta","Robusta",(IF($B1301="","Arabica",$B1301))&amp;" - "&amp;(IF($C1301="","Commercial",$C1301))),Variables!$B$1:$D$1,0),1))*L1301/16.67)),""))</f>
        <v/>
      </c>
      <c r="AX1301" s="9"/>
      <c r="AY1301" s="12"/>
      <c r="AZ1301" s="10"/>
      <c r="BA1301" s="9"/>
      <c r="BB1301" s="10"/>
      <c r="BC1301" s="9"/>
      <c r="BD1301" s="9"/>
      <c r="BE1301" s="9"/>
      <c r="BF1301" s="9"/>
    </row>
    <row r="1302" spans="1:58" x14ac:dyDescent="0.25">
      <c r="A1302" s="9" t="s">
        <v>84</v>
      </c>
      <c r="B1302" s="9" t="s">
        <v>85</v>
      </c>
      <c r="C1302" s="9" t="s">
        <v>1486</v>
      </c>
      <c r="D1302" s="10">
        <v>46066</v>
      </c>
      <c r="E1302" s="10">
        <v>46082</v>
      </c>
      <c r="F1302" s="10">
        <v>46112</v>
      </c>
      <c r="G1302" s="9">
        <v>3787284</v>
      </c>
      <c r="H1302" s="9" t="str">
        <f t="shared" si="124"/>
        <v>Open</v>
      </c>
      <c r="I1302" s="9" t="str">
        <f t="shared" si="125"/>
        <v>No sailing date and No shipping advice sent and No docs dispatch date</v>
      </c>
      <c r="J1302" s="9" t="s">
        <v>494</v>
      </c>
      <c r="K1302" s="9" t="s">
        <v>2759</v>
      </c>
      <c r="L1302" s="11">
        <v>10</v>
      </c>
      <c r="M1302" s="9" t="s">
        <v>2760</v>
      </c>
      <c r="N1302" s="9"/>
      <c r="O1302" s="9"/>
      <c r="P1302" s="9"/>
      <c r="Q1302" s="11">
        <v>189</v>
      </c>
      <c r="R1302" s="9" t="s">
        <v>195</v>
      </c>
      <c r="S1302" s="9"/>
      <c r="T1302" s="12">
        <f>IF($H1302="Cancelled","",IFERROR(((Q1302+INDEX(Variables!$B$6:$D$6,IFERROR(MATCH(IF($B1302="Robusta","Robusta",(IF($B1302="","Arabica",$B1302))&amp;" - "&amp;(IF($C1302="","Commercial",$C1302))),Variables!$B$1:$D$1,0),1)))*22.0462)*(L1302/16.67),""))</f>
        <v>6345.390977804439</v>
      </c>
      <c r="U1302" s="10"/>
      <c r="V1302" s="9" t="str">
        <f t="shared" si="129"/>
        <v/>
      </c>
      <c r="W1302" s="10"/>
      <c r="X1302" s="9" t="str">
        <f t="shared" si="130"/>
        <v/>
      </c>
      <c r="Y1302" s="10"/>
      <c r="Z1302" s="10">
        <f>IF($H1302="Cancelled","",IFERROR(IF(F1302="","",F1302-Variables!$B$13),""))</f>
        <v>46097</v>
      </c>
      <c r="AA1302" s="11" t="str">
        <f>IF($H1302="Cancelled","",IFERROR(IF(W1302="","",(AVERAGE(E1302:F1302)-W1302)-Variables!$B$14),""))</f>
        <v/>
      </c>
      <c r="AB1302" s="10"/>
      <c r="AC1302" s="11" t="str">
        <f>IF($H1302="Cancelled","",IFERROR(IF(AB1302="","",IF(AND(W1302="",Y1302=""),"",IF(Y1302&gt;W1302,Y1302+Variables!$B$15+Variables!$B$16+Variables!$B$17-AB1302,W1302+Variables!$B$16+Variables!$B$17-AB1302))),""))</f>
        <v/>
      </c>
      <c r="AD1302" s="9"/>
      <c r="AE1302" s="9"/>
      <c r="AF1302" s="10"/>
      <c r="AG1302" s="10"/>
      <c r="AH1302" s="9"/>
      <c r="AI1302" s="9"/>
      <c r="AJ1302" s="9"/>
      <c r="AK1302" s="10"/>
      <c r="AL1302" s="10"/>
      <c r="AM1302" s="10"/>
      <c r="AN1302" s="9" t="s">
        <v>1188</v>
      </c>
      <c r="AO1302" s="9"/>
      <c r="AP1302" s="11" t="str">
        <f>IF($H1302="Cancelled","",IFERROR(IF(OR(AK1302="",AB1302=""),"",(AB1302+Variables!$B$18-AK1302)),""))</f>
        <v/>
      </c>
      <c r="AQ1302" s="11" t="str">
        <f>IF($H1302="Cancelled","",IFERROR(IF(OR(AM1302="",AK1302=""),"",(AK1302+Variables!$B$19)-AM1302),""))</f>
        <v/>
      </c>
      <c r="AR1302" s="12" t="str">
        <f>IF($H1302="Cancelled","",IFERROR(T1302*INDEX(Variables!$B$7:$D$7,IFERROR(MATCH(IF($B1302="Robusta","Robusta",(IF($B1302="","Arabica",$B1302))&amp;" - "&amp;(IF($C1302="","Commercial",$C1302))),Variables!$B$1:$D$1,0),1))*(AQ1302/365),""))</f>
        <v/>
      </c>
      <c r="AS1302" s="12" t="str">
        <f>IF($H1302="Cancelled","",IFERROR((T1302*INDEX(Variables!$B$7:$D$7,IFERROR(MATCH(IF($B1302="Robusta","Robusta",(IF($B1302="","Arabica",$B1302))&amp;" - "&amp;(IF($C1302="","Commercial",$C1302))),Variables!$B$1:$D$1,0),1))*IFERROR(IF(W1302="","",(AVERAGE(E1302:F1302)-W1302)-Variables!$B$14),"")/365)+(L1302/16.67*INDEX(Variables!$B$8:$D$8,IFERROR(MATCH(IF($B1302="Robusta","Robusta",(IF($B1302="","Arabica",$B1302))&amp;" - "&amp;(IF($C1302="","Commercial",$C1302))),Variables!$B$1:$D$1,0),1))*IFERROR(IF(W1302="","",(AVERAGE(E1302:F1302)-W1302)-Variables!$B$14),""))+(T1302*INDEX(Variables!$B$9:$D$9,IFERROR(MATCH(IF($B1302="Robusta","Robusta",(IF($B1302="","Arabica",$B1302))&amp;" - "&amp;(IF($C1302="","Commercial",$C1302))),Variables!$B$1:$D$1,0),1))*IFERROR(IF(W1302="","",(AVERAGE(E1302:F1302)-W1302)-Variables!$B$14),"")/365),""))</f>
        <v/>
      </c>
      <c r="AT1302" s="12" t="str">
        <f>IF($H1302="Cancelled","",IFERROR((T1302*INDEX(Variables!$B$7:$D$7,IFERROR(MATCH(IF($B1302="Robusta","Robusta",(IF($B1302="","Arabica",$B1302))&amp;" - "&amp;(IF($C1302="","Commercial",$C1302))),Variables!$B$1:$D$1,0),1))*AC1302/365)+(L1302/16.67*INDEX(Variables!$B$8:$D$8,IFERROR(MATCH(IF($B1302="Robusta","Robusta",(IF($B1302="","Arabica",$B1302))&amp;" - "&amp;(IF($C1302="","Commercial",$C1302))),Variables!$B$1:$D$1,0),1))*AC1302)+(T1302*INDEX(Variables!$B$9:$D$9,IFERROR(MATCH(IF($B1302="Robusta","Robusta",(IF($B1302="","Arabica",$B1302))&amp;" - "&amp;(IF($C1302="","Commercial",$C1302))),Variables!$B$1:$D$1,0),1))*AC1302/365),""))</f>
        <v/>
      </c>
      <c r="AU1302" s="12" t="str">
        <f>IF($H1302="Cancelled","",IFERROR((T1302*INDEX(Variables!$B$7:$D$7,IFERROR(MATCH(IF($B1302="Robusta","Robusta",(IF($B1302="","Arabica",$B1302))&amp;" - "&amp;(IF($C1302="","Commercial",$C1302))),Variables!$B$1:$D$1,0),1))*AP1302/365)+(L1302/16.67*INDEX(Variables!$B$8:$D$8,IFERROR(MATCH(IF($B1302="Robusta","Robusta",(IF($B1302="","Arabica",$B1302))&amp;" - "&amp;(IF($C1302="","Commercial",$C1302))),Variables!$B$1:$D$1,0),1))*AP1302)+(T1302*INDEX(Variables!$B$9:$D$9,IFERROR(MATCH(IF($B1302="Robusta","Robusta",(IF($B1302="","Arabica",$B1302))&amp;" - "&amp;(IF($C1302="","Commercial",$C1302))),Variables!$B$1:$D$1,0),1))*AP1302/365),""))</f>
        <v/>
      </c>
      <c r="AV1302" s="11" t="str">
        <f t="shared" si="126"/>
        <v/>
      </c>
      <c r="AW1302" s="12" t="str">
        <f>IF($H1302="Cancelled","",IFERROR(IF(AV1302="","",(T1302*INDEX(Variables!$B$7:$D$7,IFERROR(MATCH(IF($B1302="Robusta","Robusta",(IF($B1302="","Arabica",$B1302))&amp;" - "&amp;(IF($C1302="","Commercial",$C1302))),Variables!$B$1:$D$1,0),1))*(AV1302/365))+(T1302*INDEX(Variables!$B$9:$D$9,IFERROR(MATCH(IF($B1302="Robusta","Robusta",(IF($B1302="","Arabica",$B1302))&amp;" - "&amp;(IF($C1302="","Commercial",$C1302))),Variables!$B$1:$D$1,0),1))*(AV1302/365))+(INDEX(Variables!$B$8:$D$8,IFERROR(MATCH(IF($B1302="Robusta","Robusta",(IF($B1302="","Arabica",$B1302))&amp;" - "&amp;(IF($C1302="","Commercial",$C1302))),Variables!$B$1:$D$1,0),1))*L1302/16.67)),""))</f>
        <v/>
      </c>
      <c r="AX1302" s="9"/>
      <c r="AY1302" s="12"/>
      <c r="AZ1302" s="10"/>
      <c r="BA1302" s="9"/>
      <c r="BB1302" s="10"/>
      <c r="BC1302" s="9"/>
      <c r="BD1302" s="9"/>
      <c r="BE1302" s="9"/>
      <c r="BF1302" s="9"/>
    </row>
    <row r="1303" spans="1:58" x14ac:dyDescent="0.25">
      <c r="A1303" s="9" t="s">
        <v>84</v>
      </c>
      <c r="B1303" s="9" t="s">
        <v>85</v>
      </c>
      <c r="C1303" s="9" t="s">
        <v>1486</v>
      </c>
      <c r="D1303" s="10">
        <v>46066</v>
      </c>
      <c r="E1303" s="10">
        <v>46082</v>
      </c>
      <c r="F1303" s="10">
        <v>46112</v>
      </c>
      <c r="G1303" s="9">
        <v>3787280</v>
      </c>
      <c r="H1303" s="9" t="str">
        <f t="shared" si="124"/>
        <v>Open</v>
      </c>
      <c r="I1303" s="9" t="str">
        <f t="shared" si="125"/>
        <v>No sailing date and No shipping advice sent and No docs dispatch date</v>
      </c>
      <c r="J1303" s="9" t="s">
        <v>494</v>
      </c>
      <c r="K1303" s="9" t="s">
        <v>2761</v>
      </c>
      <c r="L1303" s="11">
        <v>20</v>
      </c>
      <c r="M1303" s="9" t="s">
        <v>2762</v>
      </c>
      <c r="N1303" s="9"/>
      <c r="O1303" s="9"/>
      <c r="P1303" s="9"/>
      <c r="Q1303" s="11">
        <v>163</v>
      </c>
      <c r="R1303" s="9" t="s">
        <v>195</v>
      </c>
      <c r="S1303" s="9" t="s">
        <v>150</v>
      </c>
      <c r="T1303" s="12">
        <f>IF($H1303="Cancelled","",IFERROR(((Q1303+INDEX(Variables!$B$6:$D$6,IFERROR(MATCH(IF($B1303="Robusta","Robusta",(IF($B1303="","Arabica",$B1303))&amp;" - "&amp;(IF($C1303="","Commercial",$C1303))),Variables!$B$1:$D$1,0),1)))*22.0462)*(L1303/16.67),""))</f>
        <v>12003.07805638872</v>
      </c>
      <c r="U1303" s="10"/>
      <c r="V1303" s="9" t="str">
        <f t="shared" si="129"/>
        <v/>
      </c>
      <c r="W1303" s="10">
        <v>46068</v>
      </c>
      <c r="X1303" s="9" t="str">
        <f t="shared" si="130"/>
        <v>Approved</v>
      </c>
      <c r="Y1303" s="10">
        <v>46104</v>
      </c>
      <c r="Z1303" s="10">
        <f>IF($H1303="Cancelled","",IFERROR(IF(F1303="","",F1303-Variables!$B$13),""))</f>
        <v>46097</v>
      </c>
      <c r="AA1303" s="11">
        <f>IF($H1303="Cancelled","",IFERROR(IF(W1303="","",(AVERAGE(E1303:F1303)-W1303)-Variables!$B$14),""))</f>
        <v>-1</v>
      </c>
      <c r="AB1303" s="10">
        <v>46112</v>
      </c>
      <c r="AC1303" s="11">
        <f>IF($H1303="Cancelled","",IFERROR(IF(AB1303="","",IF(AND(W1303="",Y1303=""),"",IF(Y1303&gt;W1303,Y1303+Variables!$B$15+Variables!$B$16+Variables!$B$17-AB1303,W1303+Variables!$B$16+Variables!$B$17-AB1303))),""))</f>
        <v>7</v>
      </c>
      <c r="AD1303" s="9" t="s">
        <v>151</v>
      </c>
      <c r="AE1303" s="9"/>
      <c r="AF1303" s="10"/>
      <c r="AG1303" s="10"/>
      <c r="AH1303" s="9"/>
      <c r="AI1303" s="9" t="s">
        <v>2763</v>
      </c>
      <c r="AJ1303" s="9"/>
      <c r="AK1303" s="10"/>
      <c r="AL1303" s="10"/>
      <c r="AM1303" s="10"/>
      <c r="AN1303" s="9" t="s">
        <v>1422</v>
      </c>
      <c r="AO1303" s="9"/>
      <c r="AP1303" s="11" t="str">
        <f>IF($H1303="Cancelled","",IFERROR(IF(OR(AK1303="",AB1303=""),"",(AB1303+Variables!$B$18-AK1303)),""))</f>
        <v/>
      </c>
      <c r="AQ1303" s="11" t="str">
        <f>IF($H1303="Cancelled","",IFERROR(IF(OR(AM1303="",AK1303=""),"",(AK1303+Variables!$B$19)-AM1303),""))</f>
        <v/>
      </c>
      <c r="AR1303" s="12" t="str">
        <f>IF($H1303="Cancelled","",IFERROR(T1303*INDEX(Variables!$B$7:$D$7,IFERROR(MATCH(IF($B1303="Robusta","Robusta",(IF($B1303="","Arabica",$B1303))&amp;" - "&amp;(IF($C1303="","Commercial",$C1303))),Variables!$B$1:$D$1,0),1))*(AQ1303/365),""))</f>
        <v/>
      </c>
      <c r="AS1303" s="12">
        <f>IF($H1303="Cancelled","",IFERROR((T1303*INDEX(Variables!$B$7:$D$7,IFERROR(MATCH(IF($B1303="Robusta","Robusta",(IF($B1303="","Arabica",$B1303))&amp;" - "&amp;(IF($C1303="","Commercial",$C1303))),Variables!$B$1:$D$1,0),1))*IFERROR(IF(W1303="","",(AVERAGE(E1303:F1303)-W1303)-Variables!$B$14),"")/365)+(L1303/16.67*INDEX(Variables!$B$8:$D$8,IFERROR(MATCH(IF($B1303="Robusta","Robusta",(IF($B1303="","Arabica",$B1303))&amp;" - "&amp;(IF($C1303="","Commercial",$C1303))),Variables!$B$1:$D$1,0),1))*IFERROR(IF(W1303="","",(AVERAGE(E1303:F1303)-W1303)-Variables!$B$14),""))+(T1303*INDEX(Variables!$B$9:$D$9,IFERROR(MATCH(IF($B1303="Robusta","Robusta",(IF($B1303="","Arabica",$B1303))&amp;" - "&amp;(IF($C1303="","Commercial",$C1303))),Variables!$B$1:$D$1,0),1))*IFERROR(IF(W1303="","",(AVERAGE(E1303:F1303)-W1303)-Variables!$B$14),"")/365),""))</f>
        <v>-3.1478439414683419</v>
      </c>
      <c r="AT1303" s="12">
        <f>IF($H1303="Cancelled","",IFERROR((T1303*INDEX(Variables!$B$7:$D$7,IFERROR(MATCH(IF($B1303="Robusta","Robusta",(IF($B1303="","Arabica",$B1303))&amp;" - "&amp;(IF($C1303="","Commercial",$C1303))),Variables!$B$1:$D$1,0),1))*AC1303/365)+(L1303/16.67*INDEX(Variables!$B$8:$D$8,IFERROR(MATCH(IF($B1303="Robusta","Robusta",(IF($B1303="","Arabica",$B1303))&amp;" - "&amp;(IF($C1303="","Commercial",$C1303))),Variables!$B$1:$D$1,0),1))*AC1303)+(T1303*INDEX(Variables!$B$9:$D$9,IFERROR(MATCH(IF($B1303="Robusta","Robusta",(IF($B1303="","Arabica",$B1303))&amp;" - "&amp;(IF($C1303="","Commercial",$C1303))),Variables!$B$1:$D$1,0),1))*AC1303/365),""))</f>
        <v>22.034907590278394</v>
      </c>
      <c r="AU1303" s="12" t="str">
        <f>IF($H1303="Cancelled","",IFERROR((T1303*INDEX(Variables!$B$7:$D$7,IFERROR(MATCH(IF($B1303="Robusta","Robusta",(IF($B1303="","Arabica",$B1303))&amp;" - "&amp;(IF($C1303="","Commercial",$C1303))),Variables!$B$1:$D$1,0),1))*AP1303/365)+(L1303/16.67*INDEX(Variables!$B$8:$D$8,IFERROR(MATCH(IF($B1303="Robusta","Robusta",(IF($B1303="","Arabica",$B1303))&amp;" - "&amp;(IF($C1303="","Commercial",$C1303))),Variables!$B$1:$D$1,0),1))*AP1303)+(T1303*INDEX(Variables!$B$9:$D$9,IFERROR(MATCH(IF($B1303="Robusta","Robusta",(IF($B1303="","Arabica",$B1303))&amp;" - "&amp;(IF($C1303="","Commercial",$C1303))),Variables!$B$1:$D$1,0),1))*AP1303/365),""))</f>
        <v/>
      </c>
      <c r="AV1303" s="11" t="str">
        <f t="shared" si="126"/>
        <v/>
      </c>
      <c r="AW1303" s="12" t="str">
        <f>IF($H1303="Cancelled","",IFERROR(IF(AV1303="","",(T1303*INDEX(Variables!$B$7:$D$7,IFERROR(MATCH(IF($B1303="Robusta","Robusta",(IF($B1303="","Arabica",$B1303))&amp;" - "&amp;(IF($C1303="","Commercial",$C1303))),Variables!$B$1:$D$1,0),1))*(AV1303/365))+(T1303*INDEX(Variables!$B$9:$D$9,IFERROR(MATCH(IF($B1303="Robusta","Robusta",(IF($B1303="","Arabica",$B1303))&amp;" - "&amp;(IF($C1303="","Commercial",$C1303))),Variables!$B$1:$D$1,0),1))*(AV1303/365))+(INDEX(Variables!$B$8:$D$8,IFERROR(MATCH(IF($B1303="Robusta","Robusta",(IF($B1303="","Arabica",$B1303))&amp;" - "&amp;(IF($C1303="","Commercial",$C1303))),Variables!$B$1:$D$1,0),1))*L1303/16.67)),""))</f>
        <v/>
      </c>
      <c r="AX1303" s="9"/>
      <c r="AY1303" s="12"/>
      <c r="AZ1303" s="10"/>
      <c r="BA1303" s="9"/>
      <c r="BB1303" s="10"/>
      <c r="BC1303" s="9"/>
      <c r="BD1303" s="9"/>
      <c r="BE1303" s="9"/>
      <c r="BF1303" s="9"/>
    </row>
    <row r="1304" spans="1:58" x14ac:dyDescent="0.25">
      <c r="A1304" s="9" t="s">
        <v>84</v>
      </c>
      <c r="B1304" s="9" t="s">
        <v>85</v>
      </c>
      <c r="C1304" s="9" t="s">
        <v>1486</v>
      </c>
      <c r="D1304" s="10">
        <v>46066</v>
      </c>
      <c r="E1304" s="10">
        <v>46082</v>
      </c>
      <c r="F1304" s="10">
        <v>46112</v>
      </c>
      <c r="G1304" s="9">
        <v>3787287</v>
      </c>
      <c r="H1304" s="9" t="str">
        <f t="shared" si="124"/>
        <v>Open</v>
      </c>
      <c r="I1304" s="9" t="str">
        <f t="shared" si="125"/>
        <v>No sailing date and No shipping advice sent and No docs dispatch date</v>
      </c>
      <c r="J1304" s="9" t="s">
        <v>494</v>
      </c>
      <c r="K1304" s="9" t="s">
        <v>2764</v>
      </c>
      <c r="L1304" s="11">
        <v>10</v>
      </c>
      <c r="M1304" s="9" t="s">
        <v>2765</v>
      </c>
      <c r="N1304" s="9"/>
      <c r="O1304" s="9"/>
      <c r="P1304" s="9"/>
      <c r="Q1304" s="11">
        <v>163</v>
      </c>
      <c r="R1304" s="9" t="s">
        <v>195</v>
      </c>
      <c r="S1304" s="9" t="s">
        <v>207</v>
      </c>
      <c r="T1304" s="12">
        <f>IF($H1304="Cancelled","",IFERROR(((Q1304+INDEX(Variables!$B$6:$D$6,IFERROR(MATCH(IF($B1304="Robusta","Robusta",(IF($B1304="","Arabica",$B1304))&amp;" - "&amp;(IF($C1304="","Commercial",$C1304))),Variables!$B$1:$D$1,0),1)))*22.0462)*(L1304/16.67),""))</f>
        <v>6001.5390281943601</v>
      </c>
      <c r="U1304" s="10"/>
      <c r="V1304" s="9" t="str">
        <f t="shared" si="129"/>
        <v/>
      </c>
      <c r="W1304" s="10">
        <v>46068</v>
      </c>
      <c r="X1304" s="9" t="str">
        <f t="shared" si="130"/>
        <v>Approved</v>
      </c>
      <c r="Y1304" s="10">
        <v>46104</v>
      </c>
      <c r="Z1304" s="10">
        <f>IF($H1304="Cancelled","",IFERROR(IF(F1304="","",F1304-Variables!$B$13),""))</f>
        <v>46097</v>
      </c>
      <c r="AA1304" s="11">
        <f>IF($H1304="Cancelled","",IFERROR(IF(W1304="","",(AVERAGE(E1304:F1304)-W1304)-Variables!$B$14),""))</f>
        <v>-1</v>
      </c>
      <c r="AB1304" s="10">
        <v>46119</v>
      </c>
      <c r="AC1304" s="11">
        <f>IF($H1304="Cancelled","",IFERROR(IF(AB1304="","",IF(AND(W1304="",Y1304=""),"",IF(Y1304&gt;W1304,Y1304+Variables!$B$15+Variables!$B$16+Variables!$B$17-AB1304,W1304+Variables!$B$16+Variables!$B$17-AB1304))),""))</f>
        <v>0</v>
      </c>
      <c r="AD1304" s="9" t="s">
        <v>107</v>
      </c>
      <c r="AE1304" s="9"/>
      <c r="AF1304" s="10"/>
      <c r="AG1304" s="10"/>
      <c r="AH1304" s="9"/>
      <c r="AI1304" s="9"/>
      <c r="AJ1304" s="9"/>
      <c r="AK1304" s="10"/>
      <c r="AL1304" s="10"/>
      <c r="AM1304" s="10"/>
      <c r="AN1304" s="9" t="s">
        <v>2739</v>
      </c>
      <c r="AO1304" s="9"/>
      <c r="AP1304" s="11" t="str">
        <f>IF($H1304="Cancelled","",IFERROR(IF(OR(AK1304="",AB1304=""),"",(AB1304+Variables!$B$18-AK1304)),""))</f>
        <v/>
      </c>
      <c r="AQ1304" s="11" t="str">
        <f>IF($H1304="Cancelled","",IFERROR(IF(OR(AM1304="",AK1304=""),"",(AK1304+Variables!$B$19)-AM1304),""))</f>
        <v/>
      </c>
      <c r="AR1304" s="12" t="str">
        <f>IF($H1304="Cancelled","",IFERROR(T1304*INDEX(Variables!$B$7:$D$7,IFERROR(MATCH(IF($B1304="Robusta","Robusta",(IF($B1304="","Arabica",$B1304))&amp;" - "&amp;(IF($C1304="","Commercial",$C1304))),Variables!$B$1:$D$1,0),1))*(AQ1304/365),""))</f>
        <v/>
      </c>
      <c r="AS1304" s="12">
        <f>IF($H1304="Cancelled","",IFERROR((T1304*INDEX(Variables!$B$7:$D$7,IFERROR(MATCH(IF($B1304="Robusta","Robusta",(IF($B1304="","Arabica",$B1304))&amp;" - "&amp;(IF($C1304="","Commercial",$C1304))),Variables!$B$1:$D$1,0),1))*IFERROR(IF(W1304="","",(AVERAGE(E1304:F1304)-W1304)-Variables!$B$14),"")/365)+(L1304/16.67*INDEX(Variables!$B$8:$D$8,IFERROR(MATCH(IF($B1304="Robusta","Robusta",(IF($B1304="","Arabica",$B1304))&amp;" - "&amp;(IF($C1304="","Commercial",$C1304))),Variables!$B$1:$D$1,0),1))*IFERROR(IF(W1304="","",(AVERAGE(E1304:F1304)-W1304)-Variables!$B$14),""))+(T1304*INDEX(Variables!$B$9:$D$9,IFERROR(MATCH(IF($B1304="Robusta","Robusta",(IF($B1304="","Arabica",$B1304))&amp;" - "&amp;(IF($C1304="","Commercial",$C1304))),Variables!$B$1:$D$1,0),1))*IFERROR(IF(W1304="","",(AVERAGE(E1304:F1304)-W1304)-Variables!$B$14),"")/365),""))</f>
        <v>-1.5739219707341709</v>
      </c>
      <c r="AT1304" s="12">
        <f>IF($H1304="Cancelled","",IFERROR((T1304*INDEX(Variables!$B$7:$D$7,IFERROR(MATCH(IF($B1304="Robusta","Robusta",(IF($B1304="","Arabica",$B1304))&amp;" - "&amp;(IF($C1304="","Commercial",$C1304))),Variables!$B$1:$D$1,0),1))*AC1304/365)+(L1304/16.67*INDEX(Variables!$B$8:$D$8,IFERROR(MATCH(IF($B1304="Robusta","Robusta",(IF($B1304="","Arabica",$B1304))&amp;" - "&amp;(IF($C1304="","Commercial",$C1304))),Variables!$B$1:$D$1,0),1))*AC1304)+(T1304*INDEX(Variables!$B$9:$D$9,IFERROR(MATCH(IF($B1304="Robusta","Robusta",(IF($B1304="","Arabica",$B1304))&amp;" - "&amp;(IF($C1304="","Commercial",$C1304))),Variables!$B$1:$D$1,0),1))*AC1304/365),""))</f>
        <v>0</v>
      </c>
      <c r="AU1304" s="12" t="str">
        <f>IF($H1304="Cancelled","",IFERROR((T1304*INDEX(Variables!$B$7:$D$7,IFERROR(MATCH(IF($B1304="Robusta","Robusta",(IF($B1304="","Arabica",$B1304))&amp;" - "&amp;(IF($C1304="","Commercial",$C1304))),Variables!$B$1:$D$1,0),1))*AP1304/365)+(L1304/16.67*INDEX(Variables!$B$8:$D$8,IFERROR(MATCH(IF($B1304="Robusta","Robusta",(IF($B1304="","Arabica",$B1304))&amp;" - "&amp;(IF($C1304="","Commercial",$C1304))),Variables!$B$1:$D$1,0),1))*AP1304)+(T1304*INDEX(Variables!$B$9:$D$9,IFERROR(MATCH(IF($B1304="Robusta","Robusta",(IF($B1304="","Arabica",$B1304))&amp;" - "&amp;(IF($C1304="","Commercial",$C1304))),Variables!$B$1:$D$1,0),1))*AP1304/365),""))</f>
        <v/>
      </c>
      <c r="AV1304" s="11" t="str">
        <f t="shared" si="126"/>
        <v/>
      </c>
      <c r="AW1304" s="12" t="str">
        <f>IF($H1304="Cancelled","",IFERROR(IF(AV1304="","",(T1304*INDEX(Variables!$B$7:$D$7,IFERROR(MATCH(IF($B1304="Robusta","Robusta",(IF($B1304="","Arabica",$B1304))&amp;" - "&amp;(IF($C1304="","Commercial",$C1304))),Variables!$B$1:$D$1,0),1))*(AV1304/365))+(T1304*INDEX(Variables!$B$9:$D$9,IFERROR(MATCH(IF($B1304="Robusta","Robusta",(IF($B1304="","Arabica",$B1304))&amp;" - "&amp;(IF($C1304="","Commercial",$C1304))),Variables!$B$1:$D$1,0),1))*(AV1304/365))+(INDEX(Variables!$B$8:$D$8,IFERROR(MATCH(IF($B1304="Robusta","Robusta",(IF($B1304="","Arabica",$B1304))&amp;" - "&amp;(IF($C1304="","Commercial",$C1304))),Variables!$B$1:$D$1,0),1))*L1304/16.67)),""))</f>
        <v/>
      </c>
      <c r="AX1304" s="9"/>
      <c r="AY1304" s="12"/>
      <c r="AZ1304" s="10"/>
      <c r="BA1304" s="9"/>
      <c r="BB1304" s="10"/>
      <c r="BC1304" s="9"/>
      <c r="BD1304" s="9"/>
      <c r="BE1304" s="9"/>
      <c r="BF1304" s="9"/>
    </row>
    <row r="1305" spans="1:58" x14ac:dyDescent="0.25">
      <c r="A1305" s="9" t="s">
        <v>84</v>
      </c>
      <c r="B1305" s="9" t="s">
        <v>85</v>
      </c>
      <c r="C1305" s="9" t="s">
        <v>1486</v>
      </c>
      <c r="D1305" s="10">
        <v>46066</v>
      </c>
      <c r="E1305" s="10">
        <v>46082</v>
      </c>
      <c r="F1305" s="10">
        <v>46112</v>
      </c>
      <c r="G1305" s="9">
        <v>3787279</v>
      </c>
      <c r="H1305" s="9" t="str">
        <f t="shared" si="124"/>
        <v>Open</v>
      </c>
      <c r="I1305" s="9" t="str">
        <f t="shared" si="125"/>
        <v>No sailing date and No shipping advice sent and No docs dispatch date</v>
      </c>
      <c r="J1305" s="9" t="s">
        <v>494</v>
      </c>
      <c r="K1305" s="9" t="s">
        <v>2766</v>
      </c>
      <c r="L1305" s="11">
        <v>10</v>
      </c>
      <c r="M1305" s="9" t="s">
        <v>2767</v>
      </c>
      <c r="N1305" s="9"/>
      <c r="O1305" s="9"/>
      <c r="P1305" s="9"/>
      <c r="Q1305" s="11">
        <v>147</v>
      </c>
      <c r="R1305" s="9" t="s">
        <v>195</v>
      </c>
      <c r="S1305" s="9" t="s">
        <v>150</v>
      </c>
      <c r="T1305" s="12">
        <f>IF($H1305="Cancelled","",IFERROR(((Q1305+INDEX(Variables!$B$6:$D$6,IFERROR(MATCH(IF($B1305="Robusta","Robusta",(IF($B1305="","Arabica",$B1305))&amp;" - "&amp;(IF($C1305="","Commercial",$C1305))),Variables!$B$1:$D$1,0),1)))*22.0462)*(L1305/16.67),""))</f>
        <v>5789.937828434312</v>
      </c>
      <c r="U1305" s="10"/>
      <c r="V1305" s="9" t="str">
        <f t="shared" si="129"/>
        <v/>
      </c>
      <c r="W1305" s="10">
        <v>46068</v>
      </c>
      <c r="X1305" s="9" t="str">
        <f t="shared" si="130"/>
        <v>Approved</v>
      </c>
      <c r="Y1305" s="10">
        <v>46104</v>
      </c>
      <c r="Z1305" s="10">
        <f>IF($H1305="Cancelled","",IFERROR(IF(F1305="","",F1305-Variables!$B$13),""))</f>
        <v>46097</v>
      </c>
      <c r="AA1305" s="11">
        <f>IF($H1305="Cancelled","",IFERROR(IF(W1305="","",(AVERAGE(E1305:F1305)-W1305)-Variables!$B$14),""))</f>
        <v>-1</v>
      </c>
      <c r="AB1305" s="10">
        <v>46112</v>
      </c>
      <c r="AC1305" s="11">
        <f>IF($H1305="Cancelled","",IFERROR(IF(AB1305="","",IF(AND(W1305="",Y1305=""),"",IF(Y1305&gt;W1305,Y1305+Variables!$B$15+Variables!$B$16+Variables!$B$17-AB1305,W1305+Variables!$B$16+Variables!$B$17-AB1305))),""))</f>
        <v>7</v>
      </c>
      <c r="AD1305" s="9" t="s">
        <v>151</v>
      </c>
      <c r="AE1305" s="9"/>
      <c r="AF1305" s="10"/>
      <c r="AG1305" s="10"/>
      <c r="AH1305" s="9"/>
      <c r="AI1305" s="9" t="s">
        <v>2763</v>
      </c>
      <c r="AJ1305" s="9"/>
      <c r="AK1305" s="10"/>
      <c r="AL1305" s="10"/>
      <c r="AM1305" s="10"/>
      <c r="AN1305" s="9" t="s">
        <v>1422</v>
      </c>
      <c r="AO1305" s="9"/>
      <c r="AP1305" s="11" t="str">
        <f>IF($H1305="Cancelled","",IFERROR(IF(OR(AK1305="",AB1305=""),"",(AB1305+Variables!$B$18-AK1305)),""))</f>
        <v/>
      </c>
      <c r="AQ1305" s="11" t="str">
        <f>IF($H1305="Cancelled","",IFERROR(IF(OR(AM1305="",AK1305=""),"",(AK1305+Variables!$B$19)-AM1305),""))</f>
        <v/>
      </c>
      <c r="AR1305" s="12" t="str">
        <f>IF($H1305="Cancelled","",IFERROR(T1305*INDEX(Variables!$B$7:$D$7,IFERROR(MATCH(IF($B1305="Robusta","Robusta",(IF($B1305="","Arabica",$B1305))&amp;" - "&amp;(IF($C1305="","Commercial",$C1305))),Variables!$B$1:$D$1,0),1))*(AQ1305/365),""))</f>
        <v/>
      </c>
      <c r="AS1305" s="12">
        <f>IF($H1305="Cancelled","",IFERROR((T1305*INDEX(Variables!$B$7:$D$7,IFERROR(MATCH(IF($B1305="Robusta","Robusta",(IF($B1305="","Arabica",$B1305))&amp;" - "&amp;(IF($C1305="","Commercial",$C1305))),Variables!$B$1:$D$1,0),1))*IFERROR(IF(W1305="","",(AVERAGE(E1305:F1305)-W1305)-Variables!$B$14),"")/365)+(L1305/16.67*INDEX(Variables!$B$8:$D$8,IFERROR(MATCH(IF($B1305="Robusta","Robusta",(IF($B1305="","Arabica",$B1305))&amp;" - "&amp;(IF($C1305="","Commercial",$C1305))),Variables!$B$1:$D$1,0),1))*IFERROR(IF(W1305="","",(AVERAGE(E1305:F1305)-W1305)-Variables!$B$14),""))+(T1305*INDEX(Variables!$B$9:$D$9,IFERROR(MATCH(IF($B1305="Robusta","Robusta",(IF($B1305="","Arabica",$B1305))&amp;" - "&amp;(IF($C1305="","Commercial",$C1305))),Variables!$B$1:$D$1,0),1))*IFERROR(IF(W1305="","",(AVERAGE(E1305:F1305)-W1305)-Variables!$B$14),"")/365),""))</f>
        <v>-1.536057820157382</v>
      </c>
      <c r="AT1305" s="12">
        <f>IF($H1305="Cancelled","",IFERROR((T1305*INDEX(Variables!$B$7:$D$7,IFERROR(MATCH(IF($B1305="Robusta","Robusta",(IF($B1305="","Arabica",$B1305))&amp;" - "&amp;(IF($C1305="","Commercial",$C1305))),Variables!$B$1:$D$1,0),1))*AC1305/365)+(L1305/16.67*INDEX(Variables!$B$8:$D$8,IFERROR(MATCH(IF($B1305="Robusta","Robusta",(IF($B1305="","Arabica",$B1305))&amp;" - "&amp;(IF($C1305="","Commercial",$C1305))),Variables!$B$1:$D$1,0),1))*AC1305)+(T1305*INDEX(Variables!$B$9:$D$9,IFERROR(MATCH(IF($B1305="Robusta","Robusta",(IF($B1305="","Arabica",$B1305))&amp;" - "&amp;(IF($C1305="","Commercial",$C1305))),Variables!$B$1:$D$1,0),1))*AC1305/365),""))</f>
        <v>10.752404741101675</v>
      </c>
      <c r="AU1305" s="12" t="str">
        <f>IF($H1305="Cancelled","",IFERROR((T1305*INDEX(Variables!$B$7:$D$7,IFERROR(MATCH(IF($B1305="Robusta","Robusta",(IF($B1305="","Arabica",$B1305))&amp;" - "&amp;(IF($C1305="","Commercial",$C1305))),Variables!$B$1:$D$1,0),1))*AP1305/365)+(L1305/16.67*INDEX(Variables!$B$8:$D$8,IFERROR(MATCH(IF($B1305="Robusta","Robusta",(IF($B1305="","Arabica",$B1305))&amp;" - "&amp;(IF($C1305="","Commercial",$C1305))),Variables!$B$1:$D$1,0),1))*AP1305)+(T1305*INDEX(Variables!$B$9:$D$9,IFERROR(MATCH(IF($B1305="Robusta","Robusta",(IF($B1305="","Arabica",$B1305))&amp;" - "&amp;(IF($C1305="","Commercial",$C1305))),Variables!$B$1:$D$1,0),1))*AP1305/365),""))</f>
        <v/>
      </c>
      <c r="AV1305" s="11" t="str">
        <f t="shared" si="126"/>
        <v/>
      </c>
      <c r="AW1305" s="12" t="str">
        <f>IF($H1305="Cancelled","",IFERROR(IF(AV1305="","",(T1305*INDEX(Variables!$B$7:$D$7,IFERROR(MATCH(IF($B1305="Robusta","Robusta",(IF($B1305="","Arabica",$B1305))&amp;" - "&amp;(IF($C1305="","Commercial",$C1305))),Variables!$B$1:$D$1,0),1))*(AV1305/365))+(T1305*INDEX(Variables!$B$9:$D$9,IFERROR(MATCH(IF($B1305="Robusta","Robusta",(IF($B1305="","Arabica",$B1305))&amp;" - "&amp;(IF($C1305="","Commercial",$C1305))),Variables!$B$1:$D$1,0),1))*(AV1305/365))+(INDEX(Variables!$B$8:$D$8,IFERROR(MATCH(IF($B1305="Robusta","Robusta",(IF($B1305="","Arabica",$B1305))&amp;" - "&amp;(IF($C1305="","Commercial",$C1305))),Variables!$B$1:$D$1,0),1))*L1305/16.67)),""))</f>
        <v/>
      </c>
      <c r="AX1305" s="9"/>
      <c r="AY1305" s="12"/>
      <c r="AZ1305" s="10"/>
      <c r="BA1305" s="9"/>
      <c r="BB1305" s="10"/>
      <c r="BC1305" s="9"/>
      <c r="BD1305" s="9"/>
      <c r="BE1305" s="9"/>
      <c r="BF1305" s="9"/>
    </row>
    <row r="1306" spans="1:58" x14ac:dyDescent="0.25">
      <c r="A1306" s="9" t="s">
        <v>84</v>
      </c>
      <c r="B1306" s="9" t="s">
        <v>85</v>
      </c>
      <c r="C1306" s="9" t="s">
        <v>1486</v>
      </c>
      <c r="D1306" s="10">
        <v>46066</v>
      </c>
      <c r="E1306" s="10">
        <v>46082</v>
      </c>
      <c r="F1306" s="10">
        <v>46112</v>
      </c>
      <c r="G1306" s="9">
        <v>3787286</v>
      </c>
      <c r="H1306" s="9" t="str">
        <f t="shared" si="124"/>
        <v>Open</v>
      </c>
      <c r="I1306" s="9" t="str">
        <f t="shared" si="125"/>
        <v>No sailing date and No shipping advice sent and No docs dispatch date</v>
      </c>
      <c r="J1306" s="9" t="s">
        <v>494</v>
      </c>
      <c r="K1306" s="9" t="s">
        <v>2768</v>
      </c>
      <c r="L1306" s="11">
        <v>10</v>
      </c>
      <c r="M1306" s="9" t="s">
        <v>2769</v>
      </c>
      <c r="N1306" s="9"/>
      <c r="O1306" s="9"/>
      <c r="P1306" s="9"/>
      <c r="Q1306" s="11">
        <v>176</v>
      </c>
      <c r="R1306" s="9" t="s">
        <v>195</v>
      </c>
      <c r="S1306" s="9" t="s">
        <v>207</v>
      </c>
      <c r="T1306" s="12">
        <f>IF($H1306="Cancelled","",IFERROR(((Q1306+INDEX(Variables!$B$6:$D$6,IFERROR(MATCH(IF($B1306="Robusta","Robusta",(IF($B1306="","Arabica",$B1306))&amp;" - "&amp;(IF($C1306="","Commercial",$C1306))),Variables!$B$1:$D$1,0),1)))*22.0462)*(L1306/16.67),""))</f>
        <v>6173.4650029993991</v>
      </c>
      <c r="U1306" s="10"/>
      <c r="V1306" s="9" t="str">
        <f t="shared" si="129"/>
        <v/>
      </c>
      <c r="W1306" s="10">
        <v>46068</v>
      </c>
      <c r="X1306" s="9" t="str">
        <f t="shared" si="130"/>
        <v>Approved</v>
      </c>
      <c r="Y1306" s="10">
        <v>46104</v>
      </c>
      <c r="Z1306" s="10">
        <f>IF($H1306="Cancelled","",IFERROR(IF(F1306="","",F1306-Variables!$B$13),""))</f>
        <v>46097</v>
      </c>
      <c r="AA1306" s="11">
        <f>IF($H1306="Cancelled","",IFERROR(IF(W1306="","",(AVERAGE(E1306:F1306)-W1306)-Variables!$B$14),""))</f>
        <v>-1</v>
      </c>
      <c r="AB1306" s="10">
        <v>46119</v>
      </c>
      <c r="AC1306" s="11">
        <f>IF($H1306="Cancelled","",IFERROR(IF(AB1306="","",IF(AND(W1306="",Y1306=""),"",IF(Y1306&gt;W1306,Y1306+Variables!$B$15+Variables!$B$16+Variables!$B$17-AB1306,W1306+Variables!$B$16+Variables!$B$17-AB1306))),""))</f>
        <v>0</v>
      </c>
      <c r="AD1306" s="9" t="s">
        <v>107</v>
      </c>
      <c r="AE1306" s="9"/>
      <c r="AF1306" s="10"/>
      <c r="AG1306" s="10"/>
      <c r="AH1306" s="9"/>
      <c r="AI1306" s="9"/>
      <c r="AJ1306" s="9"/>
      <c r="AK1306" s="10"/>
      <c r="AL1306" s="10"/>
      <c r="AM1306" s="10"/>
      <c r="AN1306" s="9" t="s">
        <v>2739</v>
      </c>
      <c r="AO1306" s="9"/>
      <c r="AP1306" s="11" t="str">
        <f>IF($H1306="Cancelled","",IFERROR(IF(OR(AK1306="",AB1306=""),"",(AB1306+Variables!$B$18-AK1306)),""))</f>
        <v/>
      </c>
      <c r="AQ1306" s="11" t="str">
        <f>IF($H1306="Cancelled","",IFERROR(IF(OR(AM1306="",AK1306=""),"",(AK1306+Variables!$B$19)-AM1306),""))</f>
        <v/>
      </c>
      <c r="AR1306" s="12" t="str">
        <f>IF($H1306="Cancelled","",IFERROR(T1306*INDEX(Variables!$B$7:$D$7,IFERROR(MATCH(IF($B1306="Robusta","Robusta",(IF($B1306="","Arabica",$B1306))&amp;" - "&amp;(IF($C1306="","Commercial",$C1306))),Variables!$B$1:$D$1,0),1))*(AQ1306/365),""))</f>
        <v/>
      </c>
      <c r="AS1306" s="12">
        <f>IF($H1306="Cancelled","",IFERROR((T1306*INDEX(Variables!$B$7:$D$7,IFERROR(MATCH(IF($B1306="Robusta","Robusta",(IF($B1306="","Arabica",$B1306))&amp;" - "&amp;(IF($C1306="","Commercial",$C1306))),Variables!$B$1:$D$1,0),1))*IFERROR(IF(W1306="","",(AVERAGE(E1306:F1306)-W1306)-Variables!$B$14),"")/365)+(L1306/16.67*INDEX(Variables!$B$8:$D$8,IFERROR(MATCH(IF($B1306="Robusta","Robusta",(IF($B1306="","Arabica",$B1306))&amp;" - "&amp;(IF($C1306="","Commercial",$C1306))),Variables!$B$1:$D$1,0),1))*IFERROR(IF(W1306="","",(AVERAGE(E1306:F1306)-W1306)-Variables!$B$14),""))+(T1306*INDEX(Variables!$B$9:$D$9,IFERROR(MATCH(IF($B1306="Robusta","Robusta",(IF($B1306="","Arabica",$B1306))&amp;" - "&amp;(IF($C1306="","Commercial",$C1306))),Variables!$B$1:$D$1,0),1))*IFERROR(IF(W1306="","",(AVERAGE(E1306:F1306)-W1306)-Variables!$B$14),"")/365),""))</f>
        <v>-1.6046865930778118</v>
      </c>
      <c r="AT1306" s="12">
        <f>IF($H1306="Cancelled","",IFERROR((T1306*INDEX(Variables!$B$7:$D$7,IFERROR(MATCH(IF($B1306="Robusta","Robusta",(IF($B1306="","Arabica",$B1306))&amp;" - "&amp;(IF($C1306="","Commercial",$C1306))),Variables!$B$1:$D$1,0),1))*AC1306/365)+(L1306/16.67*INDEX(Variables!$B$8:$D$8,IFERROR(MATCH(IF($B1306="Robusta","Robusta",(IF($B1306="","Arabica",$B1306))&amp;" - "&amp;(IF($C1306="","Commercial",$C1306))),Variables!$B$1:$D$1,0),1))*AC1306)+(T1306*INDEX(Variables!$B$9:$D$9,IFERROR(MATCH(IF($B1306="Robusta","Robusta",(IF($B1306="","Arabica",$B1306))&amp;" - "&amp;(IF($C1306="","Commercial",$C1306))),Variables!$B$1:$D$1,0),1))*AC1306/365),""))</f>
        <v>0</v>
      </c>
      <c r="AU1306" s="12" t="str">
        <f>IF($H1306="Cancelled","",IFERROR((T1306*INDEX(Variables!$B$7:$D$7,IFERROR(MATCH(IF($B1306="Robusta","Robusta",(IF($B1306="","Arabica",$B1306))&amp;" - "&amp;(IF($C1306="","Commercial",$C1306))),Variables!$B$1:$D$1,0),1))*AP1306/365)+(L1306/16.67*INDEX(Variables!$B$8:$D$8,IFERROR(MATCH(IF($B1306="Robusta","Robusta",(IF($B1306="","Arabica",$B1306))&amp;" - "&amp;(IF($C1306="","Commercial",$C1306))),Variables!$B$1:$D$1,0),1))*AP1306)+(T1306*INDEX(Variables!$B$9:$D$9,IFERROR(MATCH(IF($B1306="Robusta","Robusta",(IF($B1306="","Arabica",$B1306))&amp;" - "&amp;(IF($C1306="","Commercial",$C1306))),Variables!$B$1:$D$1,0),1))*AP1306/365),""))</f>
        <v/>
      </c>
      <c r="AV1306" s="11" t="str">
        <f t="shared" si="126"/>
        <v/>
      </c>
      <c r="AW1306" s="12" t="str">
        <f>IF($H1306="Cancelled","",IFERROR(IF(AV1306="","",(T1306*INDEX(Variables!$B$7:$D$7,IFERROR(MATCH(IF($B1306="Robusta","Robusta",(IF($B1306="","Arabica",$B1306))&amp;" - "&amp;(IF($C1306="","Commercial",$C1306))),Variables!$B$1:$D$1,0),1))*(AV1306/365))+(T1306*INDEX(Variables!$B$9:$D$9,IFERROR(MATCH(IF($B1306="Robusta","Robusta",(IF($B1306="","Arabica",$B1306))&amp;" - "&amp;(IF($C1306="","Commercial",$C1306))),Variables!$B$1:$D$1,0),1))*(AV1306/365))+(INDEX(Variables!$B$8:$D$8,IFERROR(MATCH(IF($B1306="Robusta","Robusta",(IF($B1306="","Arabica",$B1306))&amp;" - "&amp;(IF($C1306="","Commercial",$C1306))),Variables!$B$1:$D$1,0),1))*L1306/16.67)),""))</f>
        <v/>
      </c>
      <c r="AX1306" s="9"/>
      <c r="AY1306" s="12"/>
      <c r="AZ1306" s="10"/>
      <c r="BA1306" s="9"/>
      <c r="BB1306" s="10"/>
      <c r="BC1306" s="9"/>
      <c r="BD1306" s="9"/>
      <c r="BE1306" s="9"/>
      <c r="BF1306" s="9"/>
    </row>
    <row r="1307" spans="1:58" x14ac:dyDescent="0.25">
      <c r="A1307" s="9" t="s">
        <v>84</v>
      </c>
      <c r="B1307" s="9" t="s">
        <v>85</v>
      </c>
      <c r="C1307" s="9" t="s">
        <v>1486</v>
      </c>
      <c r="D1307" s="10">
        <v>46066</v>
      </c>
      <c r="E1307" s="10">
        <v>46082</v>
      </c>
      <c r="F1307" s="10">
        <v>46112</v>
      </c>
      <c r="G1307" s="9">
        <v>3787281</v>
      </c>
      <c r="H1307" s="9" t="str">
        <f t="shared" si="124"/>
        <v>Open</v>
      </c>
      <c r="I1307" s="9" t="str">
        <f t="shared" si="125"/>
        <v>No sailing date and No shipping advice sent and No docs dispatch date</v>
      </c>
      <c r="J1307" s="9" t="s">
        <v>494</v>
      </c>
      <c r="K1307" s="9" t="s">
        <v>2770</v>
      </c>
      <c r="L1307" s="11">
        <v>20</v>
      </c>
      <c r="M1307" s="9" t="s">
        <v>2771</v>
      </c>
      <c r="N1307" s="9"/>
      <c r="O1307" s="9"/>
      <c r="P1307" s="9"/>
      <c r="Q1307" s="11">
        <v>176</v>
      </c>
      <c r="R1307" s="9" t="s">
        <v>195</v>
      </c>
      <c r="S1307" s="9" t="s">
        <v>150</v>
      </c>
      <c r="T1307" s="12">
        <f>IF($H1307="Cancelled","",IFERROR(((Q1307+INDEX(Variables!$B$6:$D$6,IFERROR(MATCH(IF($B1307="Robusta","Robusta",(IF($B1307="","Arabica",$B1307))&amp;" - "&amp;(IF($C1307="","Commercial",$C1307))),Variables!$B$1:$D$1,0),1)))*22.0462)*(L1307/16.67),""))</f>
        <v>12346.930005998798</v>
      </c>
      <c r="U1307" s="10"/>
      <c r="V1307" s="9" t="str">
        <f t="shared" si="129"/>
        <v/>
      </c>
      <c r="W1307" s="10">
        <v>46068</v>
      </c>
      <c r="X1307" s="9" t="str">
        <f t="shared" si="130"/>
        <v>Approved</v>
      </c>
      <c r="Y1307" s="10">
        <v>46104</v>
      </c>
      <c r="Z1307" s="10">
        <f>IF($H1307="Cancelled","",IFERROR(IF(F1307="","",F1307-Variables!$B$13),""))</f>
        <v>46097</v>
      </c>
      <c r="AA1307" s="11">
        <f>IF($H1307="Cancelled","",IFERROR(IF(W1307="","",(AVERAGE(E1307:F1307)-W1307)-Variables!$B$14),""))</f>
        <v>-1</v>
      </c>
      <c r="AB1307" s="10">
        <v>46112</v>
      </c>
      <c r="AC1307" s="11">
        <f>IF($H1307="Cancelled","",IFERROR(IF(AB1307="","",IF(AND(W1307="",Y1307=""),"",IF(Y1307&gt;W1307,Y1307+Variables!$B$15+Variables!$B$16+Variables!$B$17-AB1307,W1307+Variables!$B$16+Variables!$B$17-AB1307))),""))</f>
        <v>7</v>
      </c>
      <c r="AD1307" s="9" t="s">
        <v>151</v>
      </c>
      <c r="AE1307" s="9"/>
      <c r="AF1307" s="10"/>
      <c r="AG1307" s="10"/>
      <c r="AH1307" s="9"/>
      <c r="AI1307" s="9" t="s">
        <v>2763</v>
      </c>
      <c r="AJ1307" s="9"/>
      <c r="AK1307" s="10"/>
      <c r="AL1307" s="10"/>
      <c r="AM1307" s="10"/>
      <c r="AN1307" s="9" t="s">
        <v>1422</v>
      </c>
      <c r="AO1307" s="9"/>
      <c r="AP1307" s="11" t="str">
        <f>IF($H1307="Cancelled","",IFERROR(IF(OR(AK1307="",AB1307=""),"",(AB1307+Variables!$B$18-AK1307)),""))</f>
        <v/>
      </c>
      <c r="AQ1307" s="11" t="str">
        <f>IF($H1307="Cancelled","",IFERROR(IF(OR(AM1307="",AK1307=""),"",(AK1307+Variables!$B$19)-AM1307),""))</f>
        <v/>
      </c>
      <c r="AR1307" s="12" t="str">
        <f>IF($H1307="Cancelled","",IFERROR(T1307*INDEX(Variables!$B$7:$D$7,IFERROR(MATCH(IF($B1307="Robusta","Robusta",(IF($B1307="","Arabica",$B1307))&amp;" - "&amp;(IF($C1307="","Commercial",$C1307))),Variables!$B$1:$D$1,0),1))*(AQ1307/365),""))</f>
        <v/>
      </c>
      <c r="AS1307" s="12">
        <f>IF($H1307="Cancelled","",IFERROR((T1307*INDEX(Variables!$B$7:$D$7,IFERROR(MATCH(IF($B1307="Robusta","Robusta",(IF($B1307="","Arabica",$B1307))&amp;" - "&amp;(IF($C1307="","Commercial",$C1307))),Variables!$B$1:$D$1,0),1))*IFERROR(IF(W1307="","",(AVERAGE(E1307:F1307)-W1307)-Variables!$B$14),"")/365)+(L1307/16.67*INDEX(Variables!$B$8:$D$8,IFERROR(MATCH(IF($B1307="Robusta","Robusta",(IF($B1307="","Arabica",$B1307))&amp;" - "&amp;(IF($C1307="","Commercial",$C1307))),Variables!$B$1:$D$1,0),1))*IFERROR(IF(W1307="","",(AVERAGE(E1307:F1307)-W1307)-Variables!$B$14),""))+(T1307*INDEX(Variables!$B$9:$D$9,IFERROR(MATCH(IF($B1307="Robusta","Robusta",(IF($B1307="","Arabica",$B1307))&amp;" - "&amp;(IF($C1307="","Commercial",$C1307))),Variables!$B$1:$D$1,0),1))*IFERROR(IF(W1307="","",(AVERAGE(E1307:F1307)-W1307)-Variables!$B$14),"")/365),""))</f>
        <v>-3.2093731861556236</v>
      </c>
      <c r="AT1307" s="12">
        <f>IF($H1307="Cancelled","",IFERROR((T1307*INDEX(Variables!$B$7:$D$7,IFERROR(MATCH(IF($B1307="Robusta","Robusta",(IF($B1307="","Arabica",$B1307))&amp;" - "&amp;(IF($C1307="","Commercial",$C1307))),Variables!$B$1:$D$1,0),1))*AC1307/365)+(L1307/16.67*INDEX(Variables!$B$8:$D$8,IFERROR(MATCH(IF($B1307="Robusta","Robusta",(IF($B1307="","Arabica",$B1307))&amp;" - "&amp;(IF($C1307="","Commercial",$C1307))),Variables!$B$1:$D$1,0),1))*AC1307)+(T1307*INDEX(Variables!$B$9:$D$9,IFERROR(MATCH(IF($B1307="Robusta","Robusta",(IF($B1307="","Arabica",$B1307))&amp;" - "&amp;(IF($C1307="","Commercial",$C1307))),Variables!$B$1:$D$1,0),1))*AC1307/365),""))</f>
        <v>22.465612303089365</v>
      </c>
      <c r="AU1307" s="12" t="str">
        <f>IF($H1307="Cancelled","",IFERROR((T1307*INDEX(Variables!$B$7:$D$7,IFERROR(MATCH(IF($B1307="Robusta","Robusta",(IF($B1307="","Arabica",$B1307))&amp;" - "&amp;(IF($C1307="","Commercial",$C1307))),Variables!$B$1:$D$1,0),1))*AP1307/365)+(L1307/16.67*INDEX(Variables!$B$8:$D$8,IFERROR(MATCH(IF($B1307="Robusta","Robusta",(IF($B1307="","Arabica",$B1307))&amp;" - "&amp;(IF($C1307="","Commercial",$C1307))),Variables!$B$1:$D$1,0),1))*AP1307)+(T1307*INDEX(Variables!$B$9:$D$9,IFERROR(MATCH(IF($B1307="Robusta","Robusta",(IF($B1307="","Arabica",$B1307))&amp;" - "&amp;(IF($C1307="","Commercial",$C1307))),Variables!$B$1:$D$1,0),1))*AP1307/365),""))</f>
        <v/>
      </c>
      <c r="AV1307" s="11" t="str">
        <f t="shared" si="126"/>
        <v/>
      </c>
      <c r="AW1307" s="12" t="str">
        <f>IF($H1307="Cancelled","",IFERROR(IF(AV1307="","",(T1307*INDEX(Variables!$B$7:$D$7,IFERROR(MATCH(IF($B1307="Robusta","Robusta",(IF($B1307="","Arabica",$B1307))&amp;" - "&amp;(IF($C1307="","Commercial",$C1307))),Variables!$B$1:$D$1,0),1))*(AV1307/365))+(T1307*INDEX(Variables!$B$9:$D$9,IFERROR(MATCH(IF($B1307="Robusta","Robusta",(IF($B1307="","Arabica",$B1307))&amp;" - "&amp;(IF($C1307="","Commercial",$C1307))),Variables!$B$1:$D$1,0),1))*(AV1307/365))+(INDEX(Variables!$B$8:$D$8,IFERROR(MATCH(IF($B1307="Robusta","Robusta",(IF($B1307="","Arabica",$B1307))&amp;" - "&amp;(IF($C1307="","Commercial",$C1307))),Variables!$B$1:$D$1,0),1))*L1307/16.67)),""))</f>
        <v/>
      </c>
      <c r="AX1307" s="9"/>
      <c r="AY1307" s="12"/>
      <c r="AZ1307" s="10"/>
      <c r="BA1307" s="9"/>
      <c r="BB1307" s="10"/>
      <c r="BC1307" s="9"/>
      <c r="BD1307" s="9"/>
      <c r="BE1307" s="9"/>
      <c r="BF1307" s="9"/>
    </row>
    <row r="1308" spans="1:58" x14ac:dyDescent="0.25">
      <c r="A1308" s="9" t="s">
        <v>84</v>
      </c>
      <c r="B1308" s="9" t="s">
        <v>85</v>
      </c>
      <c r="C1308" s="9" t="s">
        <v>1486</v>
      </c>
      <c r="D1308" s="10">
        <v>46066</v>
      </c>
      <c r="E1308" s="10">
        <v>46082</v>
      </c>
      <c r="F1308" s="10">
        <v>46112</v>
      </c>
      <c r="G1308" s="9">
        <v>3787282</v>
      </c>
      <c r="H1308" s="9" t="str">
        <f t="shared" si="124"/>
        <v>Open</v>
      </c>
      <c r="I1308" s="9" t="str">
        <f t="shared" si="125"/>
        <v>No sailing date and No shipping advice sent and No docs dispatch date</v>
      </c>
      <c r="J1308" s="9" t="s">
        <v>494</v>
      </c>
      <c r="K1308" s="9" t="s">
        <v>2772</v>
      </c>
      <c r="L1308" s="11">
        <v>40</v>
      </c>
      <c r="M1308" s="9" t="s">
        <v>2773</v>
      </c>
      <c r="N1308" s="9"/>
      <c r="O1308" s="9"/>
      <c r="P1308" s="9"/>
      <c r="Q1308" s="11">
        <v>36</v>
      </c>
      <c r="R1308" s="9" t="s">
        <v>90</v>
      </c>
      <c r="S1308" s="9" t="s">
        <v>150</v>
      </c>
      <c r="T1308" s="12">
        <f>IF($H1308="Cancelled","",IFERROR(((Q1308+INDEX(Variables!$B$6:$D$6,IFERROR(MATCH(IF($B1308="Robusta","Robusta",(IF($B1308="","Arabica",$B1308))&amp;" - "&amp;(IF($C1308="","Commercial",$C1308))),Variables!$B$1:$D$1,0),1)))*22.0462)*(L1308/16.67),""))</f>
        <v>17287.81802039592</v>
      </c>
      <c r="U1308" s="10"/>
      <c r="V1308" s="9" t="str">
        <f t="shared" si="129"/>
        <v/>
      </c>
      <c r="W1308" s="10">
        <v>46068</v>
      </c>
      <c r="X1308" s="9" t="str">
        <f t="shared" si="130"/>
        <v>Approved</v>
      </c>
      <c r="Y1308" s="10">
        <v>46104</v>
      </c>
      <c r="Z1308" s="10">
        <f>IF($H1308="Cancelled","",IFERROR(IF(F1308="","",F1308-Variables!$B$13),""))</f>
        <v>46097</v>
      </c>
      <c r="AA1308" s="11">
        <f>IF($H1308="Cancelled","",IFERROR(IF(W1308="","",(AVERAGE(E1308:F1308)-W1308)-Variables!$B$14),""))</f>
        <v>-1</v>
      </c>
      <c r="AB1308" s="10">
        <v>46112</v>
      </c>
      <c r="AC1308" s="11">
        <f>IF($H1308="Cancelled","",IFERROR(IF(AB1308="","",IF(AND(W1308="",Y1308=""),"",IF(Y1308&gt;W1308,Y1308+Variables!$B$15+Variables!$B$16+Variables!$B$17-AB1308,W1308+Variables!$B$16+Variables!$B$17-AB1308))),""))</f>
        <v>7</v>
      </c>
      <c r="AD1308" s="9" t="s">
        <v>151</v>
      </c>
      <c r="AE1308" s="9"/>
      <c r="AF1308" s="10"/>
      <c r="AG1308" s="10"/>
      <c r="AH1308" s="9"/>
      <c r="AI1308" s="9" t="s">
        <v>2763</v>
      </c>
      <c r="AJ1308" s="9"/>
      <c r="AK1308" s="10"/>
      <c r="AL1308" s="10"/>
      <c r="AM1308" s="10"/>
      <c r="AN1308" s="9" t="s">
        <v>1422</v>
      </c>
      <c r="AO1308" s="9"/>
      <c r="AP1308" s="11" t="str">
        <f>IF($H1308="Cancelled","",IFERROR(IF(OR(AK1308="",AB1308=""),"",(AB1308+Variables!$B$18-AK1308)),""))</f>
        <v/>
      </c>
      <c r="AQ1308" s="11" t="str">
        <f>IF($H1308="Cancelled","",IFERROR(IF(OR(AM1308="",AK1308=""),"",(AK1308+Variables!$B$19)-AM1308),""))</f>
        <v/>
      </c>
      <c r="AR1308" s="12" t="str">
        <f>IF($H1308="Cancelled","",IFERROR(T1308*INDEX(Variables!$B$7:$D$7,IFERROR(MATCH(IF($B1308="Robusta","Robusta",(IF($B1308="","Arabica",$B1308))&amp;" - "&amp;(IF($C1308="","Commercial",$C1308))),Variables!$B$1:$D$1,0),1))*(AQ1308/365),""))</f>
        <v/>
      </c>
      <c r="AS1308" s="12">
        <f>IF($H1308="Cancelled","",IFERROR((T1308*INDEX(Variables!$B$7:$D$7,IFERROR(MATCH(IF($B1308="Robusta","Robusta",(IF($B1308="","Arabica",$B1308))&amp;" - "&amp;(IF($C1308="","Commercial",$C1308))),Variables!$B$1:$D$1,0),1))*IFERROR(IF(W1308="","",(AVERAGE(E1308:F1308)-W1308)-Variables!$B$14),"")/365)+(L1308/16.67*INDEX(Variables!$B$8:$D$8,IFERROR(MATCH(IF($B1308="Robusta","Robusta",(IF($B1308="","Arabica",$B1308))&amp;" - "&amp;(IF($C1308="","Commercial",$C1308))),Variables!$B$1:$D$1,0),1))*IFERROR(IF(W1308="","",(AVERAGE(E1308:F1308)-W1308)-Variables!$B$14),""))+(T1308*INDEX(Variables!$B$9:$D$9,IFERROR(MATCH(IF($B1308="Robusta","Robusta",(IF($B1308="","Arabica",$B1308))&amp;" - "&amp;(IF($C1308="","Commercial",$C1308))),Variables!$B$1:$D$1,0),1))*IFERROR(IF(W1308="","",(AVERAGE(E1308:F1308)-W1308)-Variables!$B$14),"")/365),""))</f>
        <v>-5.0935011021236409</v>
      </c>
      <c r="AT1308" s="12">
        <f>IF($H1308="Cancelled","",IFERROR((T1308*INDEX(Variables!$B$7:$D$7,IFERROR(MATCH(IF($B1308="Robusta","Robusta",(IF($B1308="","Arabica",$B1308))&amp;" - "&amp;(IF($C1308="","Commercial",$C1308))),Variables!$B$1:$D$1,0),1))*AC1308/365)+(L1308/16.67*INDEX(Variables!$B$8:$D$8,IFERROR(MATCH(IF($B1308="Robusta","Robusta",(IF($B1308="","Arabica",$B1308))&amp;" - "&amp;(IF($C1308="","Commercial",$C1308))),Variables!$B$1:$D$1,0),1))*AC1308)+(T1308*INDEX(Variables!$B$9:$D$9,IFERROR(MATCH(IF($B1308="Robusta","Robusta",(IF($B1308="","Arabica",$B1308))&amp;" - "&amp;(IF($C1308="","Commercial",$C1308))),Variables!$B$1:$D$1,0),1))*AC1308/365),""))</f>
        <v>35.654507714865488</v>
      </c>
      <c r="AU1308" s="12" t="str">
        <f>IF($H1308="Cancelled","",IFERROR((T1308*INDEX(Variables!$B$7:$D$7,IFERROR(MATCH(IF($B1308="Robusta","Robusta",(IF($B1308="","Arabica",$B1308))&amp;" - "&amp;(IF($C1308="","Commercial",$C1308))),Variables!$B$1:$D$1,0),1))*AP1308/365)+(L1308/16.67*INDEX(Variables!$B$8:$D$8,IFERROR(MATCH(IF($B1308="Robusta","Robusta",(IF($B1308="","Arabica",$B1308))&amp;" - "&amp;(IF($C1308="","Commercial",$C1308))),Variables!$B$1:$D$1,0),1))*AP1308)+(T1308*INDEX(Variables!$B$9:$D$9,IFERROR(MATCH(IF($B1308="Robusta","Robusta",(IF($B1308="","Arabica",$B1308))&amp;" - "&amp;(IF($C1308="","Commercial",$C1308))),Variables!$B$1:$D$1,0),1))*AP1308/365),""))</f>
        <v/>
      </c>
      <c r="AV1308" s="11" t="str">
        <f t="shared" si="126"/>
        <v/>
      </c>
      <c r="AW1308" s="12" t="str">
        <f>IF($H1308="Cancelled","",IFERROR(IF(AV1308="","",(T1308*INDEX(Variables!$B$7:$D$7,IFERROR(MATCH(IF($B1308="Robusta","Robusta",(IF($B1308="","Arabica",$B1308))&amp;" - "&amp;(IF($C1308="","Commercial",$C1308))),Variables!$B$1:$D$1,0),1))*(AV1308/365))+(T1308*INDEX(Variables!$B$9:$D$9,IFERROR(MATCH(IF($B1308="Robusta","Robusta",(IF($B1308="","Arabica",$B1308))&amp;" - "&amp;(IF($C1308="","Commercial",$C1308))),Variables!$B$1:$D$1,0),1))*(AV1308/365))+(INDEX(Variables!$B$8:$D$8,IFERROR(MATCH(IF($B1308="Robusta","Robusta",(IF($B1308="","Arabica",$B1308))&amp;" - "&amp;(IF($C1308="","Commercial",$C1308))),Variables!$B$1:$D$1,0),1))*L1308/16.67)),""))</f>
        <v/>
      </c>
      <c r="AX1308" s="9"/>
      <c r="AY1308" s="12"/>
      <c r="AZ1308" s="10"/>
      <c r="BA1308" s="9"/>
      <c r="BB1308" s="10"/>
      <c r="BC1308" s="9"/>
      <c r="BD1308" s="9"/>
      <c r="BE1308" s="9"/>
      <c r="BF1308" s="9"/>
    </row>
    <row r="1309" spans="1:58" x14ac:dyDescent="0.25">
      <c r="A1309" s="9" t="s">
        <v>84</v>
      </c>
      <c r="B1309" s="9" t="s">
        <v>85</v>
      </c>
      <c r="C1309" s="9" t="s">
        <v>1486</v>
      </c>
      <c r="D1309" s="10">
        <v>46066</v>
      </c>
      <c r="E1309" s="10">
        <v>46082</v>
      </c>
      <c r="F1309" s="10">
        <v>46112</v>
      </c>
      <c r="G1309" s="9">
        <v>3787288</v>
      </c>
      <c r="H1309" s="9" t="str">
        <f t="shared" si="124"/>
        <v>Open</v>
      </c>
      <c r="I1309" s="9" t="str">
        <f t="shared" si="125"/>
        <v>No sailing date and No shipping advice sent and No docs dispatch date</v>
      </c>
      <c r="J1309" s="9" t="s">
        <v>494</v>
      </c>
      <c r="K1309" s="9" t="s">
        <v>2774</v>
      </c>
      <c r="L1309" s="11">
        <v>40</v>
      </c>
      <c r="M1309" s="9" t="s">
        <v>2775</v>
      </c>
      <c r="N1309" s="9"/>
      <c r="O1309" s="9"/>
      <c r="P1309" s="9"/>
      <c r="Q1309" s="11">
        <v>36</v>
      </c>
      <c r="R1309" s="9" t="s">
        <v>90</v>
      </c>
      <c r="S1309" s="9" t="s">
        <v>207</v>
      </c>
      <c r="T1309" s="12">
        <f>IF($H1309="Cancelled","",IFERROR(((Q1309+INDEX(Variables!$B$6:$D$6,IFERROR(MATCH(IF($B1309="Robusta","Robusta",(IF($B1309="","Arabica",$B1309))&amp;" - "&amp;(IF($C1309="","Commercial",$C1309))),Variables!$B$1:$D$1,0),1)))*22.0462)*(L1309/16.67),""))</f>
        <v>17287.81802039592</v>
      </c>
      <c r="U1309" s="10"/>
      <c r="V1309" s="9" t="str">
        <f t="shared" si="129"/>
        <v/>
      </c>
      <c r="W1309" s="10">
        <v>46068</v>
      </c>
      <c r="X1309" s="9" t="str">
        <f t="shared" si="130"/>
        <v>Approved</v>
      </c>
      <c r="Y1309" s="10">
        <v>46104</v>
      </c>
      <c r="Z1309" s="10">
        <f>IF($H1309="Cancelled","",IFERROR(IF(F1309="","",F1309-Variables!$B$13),""))</f>
        <v>46097</v>
      </c>
      <c r="AA1309" s="11">
        <f>IF($H1309="Cancelled","",IFERROR(IF(W1309="","",(AVERAGE(E1309:F1309)-W1309)-Variables!$B$14),""))</f>
        <v>-1</v>
      </c>
      <c r="AB1309" s="10">
        <v>46119</v>
      </c>
      <c r="AC1309" s="11">
        <f>IF($H1309="Cancelled","",IFERROR(IF(AB1309="","",IF(AND(W1309="",Y1309=""),"",IF(Y1309&gt;W1309,Y1309+Variables!$B$15+Variables!$B$16+Variables!$B$17-AB1309,W1309+Variables!$B$16+Variables!$B$17-AB1309))),""))</f>
        <v>0</v>
      </c>
      <c r="AD1309" s="9" t="s">
        <v>107</v>
      </c>
      <c r="AE1309" s="9"/>
      <c r="AF1309" s="10"/>
      <c r="AG1309" s="10"/>
      <c r="AH1309" s="9"/>
      <c r="AI1309" s="9"/>
      <c r="AJ1309" s="9"/>
      <c r="AK1309" s="10"/>
      <c r="AL1309" s="10"/>
      <c r="AM1309" s="10"/>
      <c r="AN1309" s="9" t="s">
        <v>2739</v>
      </c>
      <c r="AO1309" s="9"/>
      <c r="AP1309" s="11" t="str">
        <f>IF($H1309="Cancelled","",IFERROR(IF(OR(AK1309="",AB1309=""),"",(AB1309+Variables!$B$18-AK1309)),""))</f>
        <v/>
      </c>
      <c r="AQ1309" s="11" t="str">
        <f>IF($H1309="Cancelled","",IFERROR(IF(OR(AM1309="",AK1309=""),"",(AK1309+Variables!$B$19)-AM1309),""))</f>
        <v/>
      </c>
      <c r="AR1309" s="12" t="str">
        <f>IF($H1309="Cancelled","",IFERROR(T1309*INDEX(Variables!$B$7:$D$7,IFERROR(MATCH(IF($B1309="Robusta","Robusta",(IF($B1309="","Arabica",$B1309))&amp;" - "&amp;(IF($C1309="","Commercial",$C1309))),Variables!$B$1:$D$1,0),1))*(AQ1309/365),""))</f>
        <v/>
      </c>
      <c r="AS1309" s="12">
        <f>IF($H1309="Cancelled","",IFERROR((T1309*INDEX(Variables!$B$7:$D$7,IFERROR(MATCH(IF($B1309="Robusta","Robusta",(IF($B1309="","Arabica",$B1309))&amp;" - "&amp;(IF($C1309="","Commercial",$C1309))),Variables!$B$1:$D$1,0),1))*IFERROR(IF(W1309="","",(AVERAGE(E1309:F1309)-W1309)-Variables!$B$14),"")/365)+(L1309/16.67*INDEX(Variables!$B$8:$D$8,IFERROR(MATCH(IF($B1309="Robusta","Robusta",(IF($B1309="","Arabica",$B1309))&amp;" - "&amp;(IF($C1309="","Commercial",$C1309))),Variables!$B$1:$D$1,0),1))*IFERROR(IF(W1309="","",(AVERAGE(E1309:F1309)-W1309)-Variables!$B$14),""))+(T1309*INDEX(Variables!$B$9:$D$9,IFERROR(MATCH(IF($B1309="Robusta","Robusta",(IF($B1309="","Arabica",$B1309))&amp;" - "&amp;(IF($C1309="","Commercial",$C1309))),Variables!$B$1:$D$1,0),1))*IFERROR(IF(W1309="","",(AVERAGE(E1309:F1309)-W1309)-Variables!$B$14),"")/365),""))</f>
        <v>-5.0935011021236409</v>
      </c>
      <c r="AT1309" s="12">
        <f>IF($H1309="Cancelled","",IFERROR((T1309*INDEX(Variables!$B$7:$D$7,IFERROR(MATCH(IF($B1309="Robusta","Robusta",(IF($B1309="","Arabica",$B1309))&amp;" - "&amp;(IF($C1309="","Commercial",$C1309))),Variables!$B$1:$D$1,0),1))*AC1309/365)+(L1309/16.67*INDEX(Variables!$B$8:$D$8,IFERROR(MATCH(IF($B1309="Robusta","Robusta",(IF($B1309="","Arabica",$B1309))&amp;" - "&amp;(IF($C1309="","Commercial",$C1309))),Variables!$B$1:$D$1,0),1))*AC1309)+(T1309*INDEX(Variables!$B$9:$D$9,IFERROR(MATCH(IF($B1309="Robusta","Robusta",(IF($B1309="","Arabica",$B1309))&amp;" - "&amp;(IF($C1309="","Commercial",$C1309))),Variables!$B$1:$D$1,0),1))*AC1309/365),""))</f>
        <v>0</v>
      </c>
      <c r="AU1309" s="12" t="str">
        <f>IF($H1309="Cancelled","",IFERROR((T1309*INDEX(Variables!$B$7:$D$7,IFERROR(MATCH(IF($B1309="Robusta","Robusta",(IF($B1309="","Arabica",$B1309))&amp;" - "&amp;(IF($C1309="","Commercial",$C1309))),Variables!$B$1:$D$1,0),1))*AP1309/365)+(L1309/16.67*INDEX(Variables!$B$8:$D$8,IFERROR(MATCH(IF($B1309="Robusta","Robusta",(IF($B1309="","Arabica",$B1309))&amp;" - "&amp;(IF($C1309="","Commercial",$C1309))),Variables!$B$1:$D$1,0),1))*AP1309)+(T1309*INDEX(Variables!$B$9:$D$9,IFERROR(MATCH(IF($B1309="Robusta","Robusta",(IF($B1309="","Arabica",$B1309))&amp;" - "&amp;(IF($C1309="","Commercial",$C1309))),Variables!$B$1:$D$1,0),1))*AP1309/365),""))</f>
        <v/>
      </c>
      <c r="AV1309" s="11" t="str">
        <f t="shared" si="126"/>
        <v/>
      </c>
      <c r="AW1309" s="12" t="str">
        <f>IF($H1309="Cancelled","",IFERROR(IF(AV1309="","",(T1309*INDEX(Variables!$B$7:$D$7,IFERROR(MATCH(IF($B1309="Robusta","Robusta",(IF($B1309="","Arabica",$B1309))&amp;" - "&amp;(IF($C1309="","Commercial",$C1309))),Variables!$B$1:$D$1,0),1))*(AV1309/365))+(T1309*INDEX(Variables!$B$9:$D$9,IFERROR(MATCH(IF($B1309="Robusta","Robusta",(IF($B1309="","Arabica",$B1309))&amp;" - "&amp;(IF($C1309="","Commercial",$C1309))),Variables!$B$1:$D$1,0),1))*(AV1309/365))+(INDEX(Variables!$B$8:$D$8,IFERROR(MATCH(IF($B1309="Robusta","Robusta",(IF($B1309="","Arabica",$B1309))&amp;" - "&amp;(IF($C1309="","Commercial",$C1309))),Variables!$B$1:$D$1,0),1))*L1309/16.67)),""))</f>
        <v/>
      </c>
      <c r="AX1309" s="9"/>
      <c r="AY1309" s="12"/>
      <c r="AZ1309" s="10"/>
      <c r="BA1309" s="9"/>
      <c r="BB1309" s="10"/>
      <c r="BC1309" s="9"/>
      <c r="BD1309" s="9"/>
      <c r="BE1309" s="9"/>
      <c r="BF1309" s="9"/>
    </row>
    <row r="1310" spans="1:58" x14ac:dyDescent="0.25">
      <c r="A1310" s="9" t="s">
        <v>84</v>
      </c>
      <c r="B1310" s="9" t="s">
        <v>85</v>
      </c>
      <c r="C1310" s="9" t="s">
        <v>1486</v>
      </c>
      <c r="D1310" s="10">
        <v>46066</v>
      </c>
      <c r="E1310" s="10">
        <v>46082</v>
      </c>
      <c r="F1310" s="10">
        <v>46112</v>
      </c>
      <c r="G1310" s="9">
        <v>3787269</v>
      </c>
      <c r="H1310" s="9" t="str">
        <f t="shared" si="124"/>
        <v>Open</v>
      </c>
      <c r="I1310" s="9" t="str">
        <f t="shared" si="125"/>
        <v>No sailing date and No shipping advice sent and No docs dispatch date</v>
      </c>
      <c r="J1310" s="9" t="s">
        <v>1487</v>
      </c>
      <c r="K1310" s="9" t="s">
        <v>2776</v>
      </c>
      <c r="L1310" s="11">
        <v>120</v>
      </c>
      <c r="M1310" s="9" t="s">
        <v>2777</v>
      </c>
      <c r="N1310" s="9"/>
      <c r="O1310" s="9"/>
      <c r="P1310" s="9"/>
      <c r="Q1310" s="11">
        <v>95</v>
      </c>
      <c r="R1310" s="9" t="s">
        <v>90</v>
      </c>
      <c r="S1310" s="9" t="s">
        <v>1121</v>
      </c>
      <c r="T1310" s="12">
        <f>IF($H1310="Cancelled","",IFERROR(((Q1310+INDEX(Variables!$B$6:$D$6,IFERROR(MATCH(IF($B1310="Robusta","Robusta",(IF($B1310="","Arabica",$B1310))&amp;" - "&amp;(IF($C1310="","Commercial",$C1310))),Variables!$B$1:$D$1,0),1)))*22.0462)*(L1310/16.67),""))</f>
        <v>61226.807150569883</v>
      </c>
      <c r="U1310" s="10"/>
      <c r="V1310" s="9" t="str">
        <f t="shared" si="129"/>
        <v/>
      </c>
      <c r="W1310" s="10"/>
      <c r="X1310" s="9" t="str">
        <f t="shared" si="130"/>
        <v/>
      </c>
      <c r="Y1310" s="10"/>
      <c r="Z1310" s="10">
        <f>IF($H1310="Cancelled","",IFERROR(IF(F1310="","",F1310-Variables!$B$13),""))</f>
        <v>46097</v>
      </c>
      <c r="AA1310" s="11" t="str">
        <f>IF($H1310="Cancelled","",IFERROR(IF(W1310="","",(AVERAGE(E1310:F1310)-W1310)-Variables!$B$14),""))</f>
        <v/>
      </c>
      <c r="AB1310" s="10"/>
      <c r="AC1310" s="11" t="str">
        <f>IF($H1310="Cancelled","",IFERROR(IF(AB1310="","",IF(AND(W1310="",Y1310=""),"",IF(Y1310&gt;W1310,Y1310+Variables!$B$15+Variables!$B$16+Variables!$B$17-AB1310,W1310+Variables!$B$16+Variables!$B$17-AB1310))),""))</f>
        <v/>
      </c>
      <c r="AD1310" s="9" t="s">
        <v>165</v>
      </c>
      <c r="AE1310" s="9"/>
      <c r="AF1310" s="10"/>
      <c r="AG1310" s="10"/>
      <c r="AH1310" s="9"/>
      <c r="AI1310" s="9"/>
      <c r="AJ1310" s="9"/>
      <c r="AK1310" s="10"/>
      <c r="AL1310" s="10"/>
      <c r="AM1310" s="10"/>
      <c r="AN1310" s="9" t="s">
        <v>1188</v>
      </c>
      <c r="AO1310" s="9"/>
      <c r="AP1310" s="11" t="str">
        <f>IF($H1310="Cancelled","",IFERROR(IF(OR(AK1310="",AB1310=""),"",(AB1310+Variables!$B$18-AK1310)),""))</f>
        <v/>
      </c>
      <c r="AQ1310" s="11" t="str">
        <f>IF($H1310="Cancelled","",IFERROR(IF(OR(AM1310="",AK1310=""),"",(AK1310+Variables!$B$19)-AM1310),""))</f>
        <v/>
      </c>
      <c r="AR1310" s="12" t="str">
        <f>IF($H1310="Cancelled","",IFERROR(T1310*INDEX(Variables!$B$7:$D$7,IFERROR(MATCH(IF($B1310="Robusta","Robusta",(IF($B1310="","Arabica",$B1310))&amp;" - "&amp;(IF($C1310="","Commercial",$C1310))),Variables!$B$1:$D$1,0),1))*(AQ1310/365),""))</f>
        <v/>
      </c>
      <c r="AS1310" s="12" t="str">
        <f>IF($H1310="Cancelled","",IFERROR((T1310*INDEX(Variables!$B$7:$D$7,IFERROR(MATCH(IF($B1310="Robusta","Robusta",(IF($B1310="","Arabica",$B1310))&amp;" - "&amp;(IF($C1310="","Commercial",$C1310))),Variables!$B$1:$D$1,0),1))*IFERROR(IF(W1310="","",(AVERAGE(E1310:F1310)-W1310)-Variables!$B$14),"")/365)+(L1310/16.67*INDEX(Variables!$B$8:$D$8,IFERROR(MATCH(IF($B1310="Robusta","Robusta",(IF($B1310="","Arabica",$B1310))&amp;" - "&amp;(IF($C1310="","Commercial",$C1310))),Variables!$B$1:$D$1,0),1))*IFERROR(IF(W1310="","",(AVERAGE(E1310:F1310)-W1310)-Variables!$B$14),""))+(T1310*INDEX(Variables!$B$9:$D$9,IFERROR(MATCH(IF($B1310="Robusta","Robusta",(IF($B1310="","Arabica",$B1310))&amp;" - "&amp;(IF($C1310="","Commercial",$C1310))),Variables!$B$1:$D$1,0),1))*IFERROR(IF(W1310="","",(AVERAGE(E1310:F1310)-W1310)-Variables!$B$14),"")/365),""))</f>
        <v/>
      </c>
      <c r="AT1310" s="12" t="str">
        <f>IF($H1310="Cancelled","",IFERROR((T1310*INDEX(Variables!$B$7:$D$7,IFERROR(MATCH(IF($B1310="Robusta","Robusta",(IF($B1310="","Arabica",$B1310))&amp;" - "&amp;(IF($C1310="","Commercial",$C1310))),Variables!$B$1:$D$1,0),1))*AC1310/365)+(L1310/16.67*INDEX(Variables!$B$8:$D$8,IFERROR(MATCH(IF($B1310="Robusta","Robusta",(IF($B1310="","Arabica",$B1310))&amp;" - "&amp;(IF($C1310="","Commercial",$C1310))),Variables!$B$1:$D$1,0),1))*AC1310)+(T1310*INDEX(Variables!$B$9:$D$9,IFERROR(MATCH(IF($B1310="Robusta","Robusta",(IF($B1310="","Arabica",$B1310))&amp;" - "&amp;(IF($C1310="","Commercial",$C1310))),Variables!$B$1:$D$1,0),1))*AC1310/365),""))</f>
        <v/>
      </c>
      <c r="AU1310" s="12" t="str">
        <f>IF($H1310="Cancelled","",IFERROR((T1310*INDEX(Variables!$B$7:$D$7,IFERROR(MATCH(IF($B1310="Robusta","Robusta",(IF($B1310="","Arabica",$B1310))&amp;" - "&amp;(IF($C1310="","Commercial",$C1310))),Variables!$B$1:$D$1,0),1))*AP1310/365)+(L1310/16.67*INDEX(Variables!$B$8:$D$8,IFERROR(MATCH(IF($B1310="Robusta","Robusta",(IF($B1310="","Arabica",$B1310))&amp;" - "&amp;(IF($C1310="","Commercial",$C1310))),Variables!$B$1:$D$1,0),1))*AP1310)+(T1310*INDEX(Variables!$B$9:$D$9,IFERROR(MATCH(IF($B1310="Robusta","Robusta",(IF($B1310="","Arabica",$B1310))&amp;" - "&amp;(IF($C1310="","Commercial",$C1310))),Variables!$B$1:$D$1,0),1))*AP1310/365),""))</f>
        <v/>
      </c>
      <c r="AV1310" s="11" t="str">
        <f t="shared" si="126"/>
        <v/>
      </c>
      <c r="AW1310" s="12" t="str">
        <f>IF($H1310="Cancelled","",IFERROR(IF(AV1310="","",(T1310*INDEX(Variables!$B$7:$D$7,IFERROR(MATCH(IF($B1310="Robusta","Robusta",(IF($B1310="","Arabica",$B1310))&amp;" - "&amp;(IF($C1310="","Commercial",$C1310))),Variables!$B$1:$D$1,0),1))*(AV1310/365))+(T1310*INDEX(Variables!$B$9:$D$9,IFERROR(MATCH(IF($B1310="Robusta","Robusta",(IF($B1310="","Arabica",$B1310))&amp;" - "&amp;(IF($C1310="","Commercial",$C1310))),Variables!$B$1:$D$1,0),1))*(AV1310/365))+(INDEX(Variables!$B$8:$D$8,IFERROR(MATCH(IF($B1310="Robusta","Robusta",(IF($B1310="","Arabica",$B1310))&amp;" - "&amp;(IF($C1310="","Commercial",$C1310))),Variables!$B$1:$D$1,0),1))*L1310/16.67)),""))</f>
        <v/>
      </c>
      <c r="AX1310" s="9"/>
      <c r="AY1310" s="12"/>
      <c r="AZ1310" s="10"/>
      <c r="BA1310" s="9"/>
      <c r="BB1310" s="10"/>
      <c r="BC1310" s="9"/>
      <c r="BD1310" s="9"/>
      <c r="BE1310" s="9"/>
      <c r="BF1310" s="9"/>
    </row>
    <row r="1311" spans="1:58" x14ac:dyDescent="0.25">
      <c r="A1311" s="9" t="s">
        <v>84</v>
      </c>
      <c r="B1311" s="9" t="s">
        <v>85</v>
      </c>
      <c r="C1311" s="9" t="s">
        <v>1486</v>
      </c>
      <c r="D1311" s="10">
        <v>46080</v>
      </c>
      <c r="E1311" s="10">
        <v>46082</v>
      </c>
      <c r="F1311" s="10">
        <v>46112</v>
      </c>
      <c r="G1311" s="9">
        <v>3787365</v>
      </c>
      <c r="H1311" s="9" t="str">
        <f t="shared" si="124"/>
        <v>Open</v>
      </c>
      <c r="I1311" s="9" t="str">
        <f t="shared" si="125"/>
        <v>No sailing date and No shipping advice sent and No docs dispatch date</v>
      </c>
      <c r="J1311" s="9" t="s">
        <v>1487</v>
      </c>
      <c r="K1311" s="9" t="s">
        <v>2778</v>
      </c>
      <c r="L1311" s="11">
        <v>30</v>
      </c>
      <c r="M1311" s="9" t="s">
        <v>2779</v>
      </c>
      <c r="N1311" s="9"/>
      <c r="O1311" s="9"/>
      <c r="P1311" s="9"/>
      <c r="Q1311" s="11">
        <v>138</v>
      </c>
      <c r="R1311" s="9" t="s">
        <v>90</v>
      </c>
      <c r="S1311" s="9" t="s">
        <v>183</v>
      </c>
      <c r="T1311" s="12">
        <f>IF($H1311="Cancelled","",IFERROR(((Q1311+INDEX(Variables!$B$6:$D$6,IFERROR(MATCH(IF($B1311="Robusta","Robusta",(IF($B1311="","Arabica",$B1311))&amp;" - "&amp;(IF($C1311="","Commercial",$C1311))),Variables!$B$1:$D$1,0),1)))*22.0462)*(L1311/16.67),""))</f>
        <v>17012.736460707856</v>
      </c>
      <c r="U1311" s="10"/>
      <c r="V1311" s="9" t="str">
        <f t="shared" si="129"/>
        <v/>
      </c>
      <c r="W1311" s="10"/>
      <c r="X1311" s="9" t="str">
        <f t="shared" si="130"/>
        <v/>
      </c>
      <c r="Y1311" s="10"/>
      <c r="Z1311" s="10">
        <f>IF($H1311="Cancelled","",IFERROR(IF(F1311="","",F1311-Variables!$B$13),""))</f>
        <v>46097</v>
      </c>
      <c r="AA1311" s="11" t="str">
        <f>IF($H1311="Cancelled","",IFERROR(IF(W1311="","",(AVERAGE(E1311:F1311)-W1311)-Variables!$B$14),""))</f>
        <v/>
      </c>
      <c r="AB1311" s="10"/>
      <c r="AC1311" s="11" t="str">
        <f>IF($H1311="Cancelled","",IFERROR(IF(AB1311="","",IF(AND(W1311="",Y1311=""),"",IF(Y1311&gt;W1311,Y1311+Variables!$B$15+Variables!$B$16+Variables!$B$17-AB1311,W1311+Variables!$B$16+Variables!$B$17-AB1311))),""))</f>
        <v/>
      </c>
      <c r="AD1311" s="9" t="s">
        <v>165</v>
      </c>
      <c r="AE1311" s="9"/>
      <c r="AF1311" s="10"/>
      <c r="AG1311" s="10"/>
      <c r="AH1311" s="9"/>
      <c r="AI1311" s="9"/>
      <c r="AJ1311" s="9"/>
      <c r="AK1311" s="10"/>
      <c r="AL1311" s="10"/>
      <c r="AM1311" s="10"/>
      <c r="AN1311" s="9" t="s">
        <v>2750</v>
      </c>
      <c r="AO1311" s="9"/>
      <c r="AP1311" s="11" t="str">
        <f>IF($H1311="Cancelled","",IFERROR(IF(OR(AK1311="",AB1311=""),"",(AB1311+Variables!$B$18-AK1311)),""))</f>
        <v/>
      </c>
      <c r="AQ1311" s="11" t="str">
        <f>IF($H1311="Cancelled","",IFERROR(IF(OR(AM1311="",AK1311=""),"",(AK1311+Variables!$B$19)-AM1311),""))</f>
        <v/>
      </c>
      <c r="AR1311" s="12" t="str">
        <f>IF($H1311="Cancelled","",IFERROR(T1311*INDEX(Variables!$B$7:$D$7,IFERROR(MATCH(IF($B1311="Robusta","Robusta",(IF($B1311="","Arabica",$B1311))&amp;" - "&amp;(IF($C1311="","Commercial",$C1311))),Variables!$B$1:$D$1,0),1))*(AQ1311/365),""))</f>
        <v/>
      </c>
      <c r="AS1311" s="12" t="str">
        <f>IF($H1311="Cancelled","",IFERROR((T1311*INDEX(Variables!$B$7:$D$7,IFERROR(MATCH(IF($B1311="Robusta","Robusta",(IF($B1311="","Arabica",$B1311))&amp;" - "&amp;(IF($C1311="","Commercial",$C1311))),Variables!$B$1:$D$1,0),1))*IFERROR(IF(W1311="","",(AVERAGE(E1311:F1311)-W1311)-Variables!$B$14),"")/365)+(L1311/16.67*INDEX(Variables!$B$8:$D$8,IFERROR(MATCH(IF($B1311="Robusta","Robusta",(IF($B1311="","Arabica",$B1311))&amp;" - "&amp;(IF($C1311="","Commercial",$C1311))),Variables!$B$1:$D$1,0),1))*IFERROR(IF(W1311="","",(AVERAGE(E1311:F1311)-W1311)-Variables!$B$14),""))+(T1311*INDEX(Variables!$B$9:$D$9,IFERROR(MATCH(IF($B1311="Robusta","Robusta",(IF($B1311="","Arabica",$B1311))&amp;" - "&amp;(IF($C1311="","Commercial",$C1311))),Variables!$B$1:$D$1,0),1))*IFERROR(IF(W1311="","",(AVERAGE(E1311:F1311)-W1311)-Variables!$B$14),"")/365),""))</f>
        <v/>
      </c>
      <c r="AT1311" s="12" t="str">
        <f>IF($H1311="Cancelled","",IFERROR((T1311*INDEX(Variables!$B$7:$D$7,IFERROR(MATCH(IF($B1311="Robusta","Robusta",(IF($B1311="","Arabica",$B1311))&amp;" - "&amp;(IF($C1311="","Commercial",$C1311))),Variables!$B$1:$D$1,0),1))*AC1311/365)+(L1311/16.67*INDEX(Variables!$B$8:$D$8,IFERROR(MATCH(IF($B1311="Robusta","Robusta",(IF($B1311="","Arabica",$B1311))&amp;" - "&amp;(IF($C1311="","Commercial",$C1311))),Variables!$B$1:$D$1,0),1))*AC1311)+(T1311*INDEX(Variables!$B$9:$D$9,IFERROR(MATCH(IF($B1311="Robusta","Robusta",(IF($B1311="","Arabica",$B1311))&amp;" - "&amp;(IF($C1311="","Commercial",$C1311))),Variables!$B$1:$D$1,0),1))*AC1311/365),""))</f>
        <v/>
      </c>
      <c r="AU1311" s="12" t="str">
        <f>IF($H1311="Cancelled","",IFERROR((T1311*INDEX(Variables!$B$7:$D$7,IFERROR(MATCH(IF($B1311="Robusta","Robusta",(IF($B1311="","Arabica",$B1311))&amp;" - "&amp;(IF($C1311="","Commercial",$C1311))),Variables!$B$1:$D$1,0),1))*AP1311/365)+(L1311/16.67*INDEX(Variables!$B$8:$D$8,IFERROR(MATCH(IF($B1311="Robusta","Robusta",(IF($B1311="","Arabica",$B1311))&amp;" - "&amp;(IF($C1311="","Commercial",$C1311))),Variables!$B$1:$D$1,0),1))*AP1311)+(T1311*INDEX(Variables!$B$9:$D$9,IFERROR(MATCH(IF($B1311="Robusta","Robusta",(IF($B1311="","Arabica",$B1311))&amp;" - "&amp;(IF($C1311="","Commercial",$C1311))),Variables!$B$1:$D$1,0),1))*AP1311/365),""))</f>
        <v/>
      </c>
      <c r="AV1311" s="11" t="str">
        <f t="shared" si="126"/>
        <v/>
      </c>
      <c r="AW1311" s="12" t="str">
        <f>IF($H1311="Cancelled","",IFERROR(IF(AV1311="","",(T1311*INDEX(Variables!$B$7:$D$7,IFERROR(MATCH(IF($B1311="Robusta","Robusta",(IF($B1311="","Arabica",$B1311))&amp;" - "&amp;(IF($C1311="","Commercial",$C1311))),Variables!$B$1:$D$1,0),1))*(AV1311/365))+(T1311*INDEX(Variables!$B$9:$D$9,IFERROR(MATCH(IF($B1311="Robusta","Robusta",(IF($B1311="","Arabica",$B1311))&amp;" - "&amp;(IF($C1311="","Commercial",$C1311))),Variables!$B$1:$D$1,0),1))*(AV1311/365))+(INDEX(Variables!$B$8:$D$8,IFERROR(MATCH(IF($B1311="Robusta","Robusta",(IF($B1311="","Arabica",$B1311))&amp;" - "&amp;(IF($C1311="","Commercial",$C1311))),Variables!$B$1:$D$1,0),1))*L1311/16.67)),""))</f>
        <v/>
      </c>
      <c r="AX1311" s="9"/>
      <c r="AY1311" s="12"/>
      <c r="AZ1311" s="10"/>
      <c r="BA1311" s="9"/>
      <c r="BB1311" s="10"/>
      <c r="BC1311" s="9"/>
      <c r="BD1311" s="9"/>
      <c r="BE1311" s="9"/>
      <c r="BF1311" s="9"/>
    </row>
    <row r="1312" spans="1:58" x14ac:dyDescent="0.25">
      <c r="A1312" s="9" t="s">
        <v>84</v>
      </c>
      <c r="B1312" s="9" t="s">
        <v>85</v>
      </c>
      <c r="C1312" s="9" t="s">
        <v>1486</v>
      </c>
      <c r="D1312" s="10">
        <v>46084</v>
      </c>
      <c r="E1312" s="10">
        <v>46082</v>
      </c>
      <c r="F1312" s="10">
        <v>46112</v>
      </c>
      <c r="G1312" s="9">
        <v>3787379</v>
      </c>
      <c r="H1312" s="9" t="str">
        <f t="shared" si="124"/>
        <v>Open</v>
      </c>
      <c r="I1312" s="9" t="str">
        <f t="shared" si="125"/>
        <v>No sailing date and No shipping advice sent and No docs dispatch date</v>
      </c>
      <c r="J1312" s="9" t="s">
        <v>1487</v>
      </c>
      <c r="K1312" s="9" t="s">
        <v>2780</v>
      </c>
      <c r="L1312" s="11">
        <v>27</v>
      </c>
      <c r="M1312" s="9" t="s">
        <v>2781</v>
      </c>
      <c r="N1312" s="9"/>
      <c r="O1312" s="9"/>
      <c r="P1312" s="9"/>
      <c r="Q1312" s="11">
        <v>189</v>
      </c>
      <c r="R1312" s="9" t="s">
        <v>195</v>
      </c>
      <c r="S1312" s="9" t="s">
        <v>183</v>
      </c>
      <c r="T1312" s="12">
        <f>IF($H1312="Cancelled","",IFERROR(((Q1312+INDEX(Variables!$B$6:$D$6,IFERROR(MATCH(IF($B1312="Robusta","Robusta",(IF($B1312="","Arabica",$B1312))&amp;" - "&amp;(IF($C1312="","Commercial",$C1312))),Variables!$B$1:$D$1,0),1)))*22.0462)*(L1312/16.67),""))</f>
        <v>17132.555640071987</v>
      </c>
      <c r="U1312" s="10"/>
      <c r="V1312" s="9" t="str">
        <f t="shared" si="129"/>
        <v/>
      </c>
      <c r="W1312" s="10"/>
      <c r="X1312" s="9" t="str">
        <f t="shared" si="130"/>
        <v/>
      </c>
      <c r="Y1312" s="10"/>
      <c r="Z1312" s="10">
        <f>IF($H1312="Cancelled","",IFERROR(IF(F1312="","",F1312-Variables!$B$13),""))</f>
        <v>46097</v>
      </c>
      <c r="AA1312" s="11" t="str">
        <f>IF($H1312="Cancelled","",IFERROR(IF(W1312="","",(AVERAGE(E1312:F1312)-W1312)-Variables!$B$14),""))</f>
        <v/>
      </c>
      <c r="AB1312" s="10"/>
      <c r="AC1312" s="11" t="str">
        <f>IF($H1312="Cancelled","",IFERROR(IF(AB1312="","",IF(AND(W1312="",Y1312=""),"",IF(Y1312&gt;W1312,Y1312+Variables!$B$15+Variables!$B$16+Variables!$B$17-AB1312,W1312+Variables!$B$16+Variables!$B$17-AB1312))),""))</f>
        <v/>
      </c>
      <c r="AD1312" s="9" t="s">
        <v>165</v>
      </c>
      <c r="AE1312" s="9"/>
      <c r="AF1312" s="10"/>
      <c r="AG1312" s="10"/>
      <c r="AH1312" s="9"/>
      <c r="AI1312" s="9"/>
      <c r="AJ1312" s="9"/>
      <c r="AK1312" s="10"/>
      <c r="AL1312" s="10"/>
      <c r="AM1312" s="10"/>
      <c r="AN1312" s="9" t="s">
        <v>1188</v>
      </c>
      <c r="AO1312" s="9"/>
      <c r="AP1312" s="11" t="str">
        <f>IF($H1312="Cancelled","",IFERROR(IF(OR(AK1312="",AB1312=""),"",(AB1312+Variables!$B$18-AK1312)),""))</f>
        <v/>
      </c>
      <c r="AQ1312" s="11" t="str">
        <f>IF($H1312="Cancelled","",IFERROR(IF(OR(AM1312="",AK1312=""),"",(AK1312+Variables!$B$19)-AM1312),""))</f>
        <v/>
      </c>
      <c r="AR1312" s="12" t="str">
        <f>IF($H1312="Cancelled","",IFERROR(T1312*INDEX(Variables!$B$7:$D$7,IFERROR(MATCH(IF($B1312="Robusta","Robusta",(IF($B1312="","Arabica",$B1312))&amp;" - "&amp;(IF($C1312="","Commercial",$C1312))),Variables!$B$1:$D$1,0),1))*(AQ1312/365),""))</f>
        <v/>
      </c>
      <c r="AS1312" s="12" t="str">
        <f>IF($H1312="Cancelled","",IFERROR((T1312*INDEX(Variables!$B$7:$D$7,IFERROR(MATCH(IF($B1312="Robusta","Robusta",(IF($B1312="","Arabica",$B1312))&amp;" - "&amp;(IF($C1312="","Commercial",$C1312))),Variables!$B$1:$D$1,0),1))*IFERROR(IF(W1312="","",(AVERAGE(E1312:F1312)-W1312)-Variables!$B$14),"")/365)+(L1312/16.67*INDEX(Variables!$B$8:$D$8,IFERROR(MATCH(IF($B1312="Robusta","Robusta",(IF($B1312="","Arabica",$B1312))&amp;" - "&amp;(IF($C1312="","Commercial",$C1312))),Variables!$B$1:$D$1,0),1))*IFERROR(IF(W1312="","",(AVERAGE(E1312:F1312)-W1312)-Variables!$B$14),""))+(T1312*INDEX(Variables!$B$9:$D$9,IFERROR(MATCH(IF($B1312="Robusta","Robusta",(IF($B1312="","Arabica",$B1312))&amp;" - "&amp;(IF($C1312="","Commercial",$C1312))),Variables!$B$1:$D$1,0),1))*IFERROR(IF(W1312="","",(AVERAGE(E1312:F1312)-W1312)-Variables!$B$14),"")/365),""))</f>
        <v/>
      </c>
      <c r="AT1312" s="12" t="str">
        <f>IF($H1312="Cancelled","",IFERROR((T1312*INDEX(Variables!$B$7:$D$7,IFERROR(MATCH(IF($B1312="Robusta","Robusta",(IF($B1312="","Arabica",$B1312))&amp;" - "&amp;(IF($C1312="","Commercial",$C1312))),Variables!$B$1:$D$1,0),1))*AC1312/365)+(L1312/16.67*INDEX(Variables!$B$8:$D$8,IFERROR(MATCH(IF($B1312="Robusta","Robusta",(IF($B1312="","Arabica",$B1312))&amp;" - "&amp;(IF($C1312="","Commercial",$C1312))),Variables!$B$1:$D$1,0),1))*AC1312)+(T1312*INDEX(Variables!$B$9:$D$9,IFERROR(MATCH(IF($B1312="Robusta","Robusta",(IF($B1312="","Arabica",$B1312))&amp;" - "&amp;(IF($C1312="","Commercial",$C1312))),Variables!$B$1:$D$1,0),1))*AC1312/365),""))</f>
        <v/>
      </c>
      <c r="AU1312" s="12" t="str">
        <f>IF($H1312="Cancelled","",IFERROR((T1312*INDEX(Variables!$B$7:$D$7,IFERROR(MATCH(IF($B1312="Robusta","Robusta",(IF($B1312="","Arabica",$B1312))&amp;" - "&amp;(IF($C1312="","Commercial",$C1312))),Variables!$B$1:$D$1,0),1))*AP1312/365)+(L1312/16.67*INDEX(Variables!$B$8:$D$8,IFERROR(MATCH(IF($B1312="Robusta","Robusta",(IF($B1312="","Arabica",$B1312))&amp;" - "&amp;(IF($C1312="","Commercial",$C1312))),Variables!$B$1:$D$1,0),1))*AP1312)+(T1312*INDEX(Variables!$B$9:$D$9,IFERROR(MATCH(IF($B1312="Robusta","Robusta",(IF($B1312="","Arabica",$B1312))&amp;" - "&amp;(IF($C1312="","Commercial",$C1312))),Variables!$B$1:$D$1,0),1))*AP1312/365),""))</f>
        <v/>
      </c>
      <c r="AV1312" s="11" t="str">
        <f t="shared" si="126"/>
        <v/>
      </c>
      <c r="AW1312" s="12" t="str">
        <f>IF($H1312="Cancelled","",IFERROR(IF(AV1312="","",(T1312*INDEX(Variables!$B$7:$D$7,IFERROR(MATCH(IF($B1312="Robusta","Robusta",(IF($B1312="","Arabica",$B1312))&amp;" - "&amp;(IF($C1312="","Commercial",$C1312))),Variables!$B$1:$D$1,0),1))*(AV1312/365))+(T1312*INDEX(Variables!$B$9:$D$9,IFERROR(MATCH(IF($B1312="Robusta","Robusta",(IF($B1312="","Arabica",$B1312))&amp;" - "&amp;(IF($C1312="","Commercial",$C1312))),Variables!$B$1:$D$1,0),1))*(AV1312/365))+(INDEX(Variables!$B$8:$D$8,IFERROR(MATCH(IF($B1312="Robusta","Robusta",(IF($B1312="","Arabica",$B1312))&amp;" - "&amp;(IF($C1312="","Commercial",$C1312))),Variables!$B$1:$D$1,0),1))*L1312/16.67)),""))</f>
        <v/>
      </c>
      <c r="AX1312" s="9"/>
      <c r="AY1312" s="12"/>
      <c r="AZ1312" s="10"/>
      <c r="BA1312" s="9"/>
      <c r="BB1312" s="10"/>
      <c r="BC1312" s="9"/>
      <c r="BD1312" s="9"/>
      <c r="BE1312" s="9"/>
      <c r="BF1312" s="9"/>
    </row>
    <row r="1313" spans="1:58" x14ac:dyDescent="0.25">
      <c r="A1313" s="9" t="s">
        <v>84</v>
      </c>
      <c r="B1313" s="9" t="s">
        <v>85</v>
      </c>
      <c r="C1313" s="9" t="s">
        <v>1486</v>
      </c>
      <c r="D1313" s="10">
        <v>46084</v>
      </c>
      <c r="E1313" s="10">
        <v>46082</v>
      </c>
      <c r="F1313" s="10">
        <v>46112</v>
      </c>
      <c r="G1313" s="9">
        <v>3787380</v>
      </c>
      <c r="H1313" s="9" t="str">
        <f t="shared" si="124"/>
        <v>Open</v>
      </c>
      <c r="I1313" s="9" t="str">
        <f t="shared" si="125"/>
        <v>No sailing date and No shipping advice sent and No docs dispatch date</v>
      </c>
      <c r="J1313" s="9" t="s">
        <v>1487</v>
      </c>
      <c r="K1313" s="9" t="s">
        <v>2782</v>
      </c>
      <c r="L1313" s="11">
        <v>26</v>
      </c>
      <c r="M1313" s="9" t="s">
        <v>2783</v>
      </c>
      <c r="N1313" s="9"/>
      <c r="O1313" s="9"/>
      <c r="P1313" s="9"/>
      <c r="Q1313" s="11">
        <v>193</v>
      </c>
      <c r="R1313" s="9" t="s">
        <v>195</v>
      </c>
      <c r="S1313" s="9" t="s">
        <v>183</v>
      </c>
      <c r="T1313" s="12">
        <f>IF($H1313="Cancelled","",IFERROR(((Q1313+INDEX(Variables!$B$6:$D$6,IFERROR(MATCH(IF($B1313="Robusta","Robusta",(IF($B1313="","Arabica",$B1313))&amp;" - "&amp;(IF($C1313="","Commercial",$C1313))),Variables!$B$1:$D$1,0),1)))*22.0462)*(L1313/16.67),""))</f>
        <v>16635.55732213557</v>
      </c>
      <c r="U1313" s="10"/>
      <c r="V1313" s="9" t="str">
        <f t="shared" si="129"/>
        <v/>
      </c>
      <c r="W1313" s="10"/>
      <c r="X1313" s="9" t="str">
        <f t="shared" si="130"/>
        <v/>
      </c>
      <c r="Y1313" s="10"/>
      <c r="Z1313" s="10">
        <f>IF($H1313="Cancelled","",IFERROR(IF(F1313="","",F1313-Variables!$B$13),""))</f>
        <v>46097</v>
      </c>
      <c r="AA1313" s="11" t="str">
        <f>IF($H1313="Cancelled","",IFERROR(IF(W1313="","",(AVERAGE(E1313:F1313)-W1313)-Variables!$B$14),""))</f>
        <v/>
      </c>
      <c r="AB1313" s="10"/>
      <c r="AC1313" s="11" t="str">
        <f>IF($H1313="Cancelled","",IFERROR(IF(AB1313="","",IF(AND(W1313="",Y1313=""),"",IF(Y1313&gt;W1313,Y1313+Variables!$B$15+Variables!$B$16+Variables!$B$17-AB1313,W1313+Variables!$B$16+Variables!$B$17-AB1313))),""))</f>
        <v/>
      </c>
      <c r="AD1313" s="9" t="s">
        <v>165</v>
      </c>
      <c r="AE1313" s="9"/>
      <c r="AF1313" s="10"/>
      <c r="AG1313" s="10"/>
      <c r="AH1313" s="9"/>
      <c r="AI1313" s="9"/>
      <c r="AJ1313" s="9"/>
      <c r="AK1313" s="10"/>
      <c r="AL1313" s="10"/>
      <c r="AM1313" s="10"/>
      <c r="AN1313" s="9" t="s">
        <v>1188</v>
      </c>
      <c r="AO1313" s="9"/>
      <c r="AP1313" s="11" t="str">
        <f>IF($H1313="Cancelled","",IFERROR(IF(OR(AK1313="",AB1313=""),"",(AB1313+Variables!$B$18-AK1313)),""))</f>
        <v/>
      </c>
      <c r="AQ1313" s="11" t="str">
        <f>IF($H1313="Cancelled","",IFERROR(IF(OR(AM1313="",AK1313=""),"",(AK1313+Variables!$B$19)-AM1313),""))</f>
        <v/>
      </c>
      <c r="AR1313" s="12" t="str">
        <f>IF($H1313="Cancelled","",IFERROR(T1313*INDEX(Variables!$B$7:$D$7,IFERROR(MATCH(IF($B1313="Robusta","Robusta",(IF($B1313="","Arabica",$B1313))&amp;" - "&amp;(IF($C1313="","Commercial",$C1313))),Variables!$B$1:$D$1,0),1))*(AQ1313/365),""))</f>
        <v/>
      </c>
      <c r="AS1313" s="12" t="str">
        <f>IF($H1313="Cancelled","",IFERROR((T1313*INDEX(Variables!$B$7:$D$7,IFERROR(MATCH(IF($B1313="Robusta","Robusta",(IF($B1313="","Arabica",$B1313))&amp;" - "&amp;(IF($C1313="","Commercial",$C1313))),Variables!$B$1:$D$1,0),1))*IFERROR(IF(W1313="","",(AVERAGE(E1313:F1313)-W1313)-Variables!$B$14),"")/365)+(L1313/16.67*INDEX(Variables!$B$8:$D$8,IFERROR(MATCH(IF($B1313="Robusta","Robusta",(IF($B1313="","Arabica",$B1313))&amp;" - "&amp;(IF($C1313="","Commercial",$C1313))),Variables!$B$1:$D$1,0),1))*IFERROR(IF(W1313="","",(AVERAGE(E1313:F1313)-W1313)-Variables!$B$14),""))+(T1313*INDEX(Variables!$B$9:$D$9,IFERROR(MATCH(IF($B1313="Robusta","Robusta",(IF($B1313="","Arabica",$B1313))&amp;" - "&amp;(IF($C1313="","Commercial",$C1313))),Variables!$B$1:$D$1,0),1))*IFERROR(IF(W1313="","",(AVERAGE(E1313:F1313)-W1313)-Variables!$B$14),"")/365),""))</f>
        <v/>
      </c>
      <c r="AT1313" s="12" t="str">
        <f>IF($H1313="Cancelled","",IFERROR((T1313*INDEX(Variables!$B$7:$D$7,IFERROR(MATCH(IF($B1313="Robusta","Robusta",(IF($B1313="","Arabica",$B1313))&amp;" - "&amp;(IF($C1313="","Commercial",$C1313))),Variables!$B$1:$D$1,0),1))*AC1313/365)+(L1313/16.67*INDEX(Variables!$B$8:$D$8,IFERROR(MATCH(IF($B1313="Robusta","Robusta",(IF($B1313="","Arabica",$B1313))&amp;" - "&amp;(IF($C1313="","Commercial",$C1313))),Variables!$B$1:$D$1,0),1))*AC1313)+(T1313*INDEX(Variables!$B$9:$D$9,IFERROR(MATCH(IF($B1313="Robusta","Robusta",(IF($B1313="","Arabica",$B1313))&amp;" - "&amp;(IF($C1313="","Commercial",$C1313))),Variables!$B$1:$D$1,0),1))*AC1313/365),""))</f>
        <v/>
      </c>
      <c r="AU1313" s="12" t="str">
        <f>IF($H1313="Cancelled","",IFERROR((T1313*INDEX(Variables!$B$7:$D$7,IFERROR(MATCH(IF($B1313="Robusta","Robusta",(IF($B1313="","Arabica",$B1313))&amp;" - "&amp;(IF($C1313="","Commercial",$C1313))),Variables!$B$1:$D$1,0),1))*AP1313/365)+(L1313/16.67*INDEX(Variables!$B$8:$D$8,IFERROR(MATCH(IF($B1313="Robusta","Robusta",(IF($B1313="","Arabica",$B1313))&amp;" - "&amp;(IF($C1313="","Commercial",$C1313))),Variables!$B$1:$D$1,0),1))*AP1313)+(T1313*INDEX(Variables!$B$9:$D$9,IFERROR(MATCH(IF($B1313="Robusta","Robusta",(IF($B1313="","Arabica",$B1313))&amp;" - "&amp;(IF($C1313="","Commercial",$C1313))),Variables!$B$1:$D$1,0),1))*AP1313/365),""))</f>
        <v/>
      </c>
      <c r="AV1313" s="11" t="str">
        <f t="shared" si="126"/>
        <v/>
      </c>
      <c r="AW1313" s="12" t="str">
        <f>IF($H1313="Cancelled","",IFERROR(IF(AV1313="","",(T1313*INDEX(Variables!$B$7:$D$7,IFERROR(MATCH(IF($B1313="Robusta","Robusta",(IF($B1313="","Arabica",$B1313))&amp;" - "&amp;(IF($C1313="","Commercial",$C1313))),Variables!$B$1:$D$1,0),1))*(AV1313/365))+(T1313*INDEX(Variables!$B$9:$D$9,IFERROR(MATCH(IF($B1313="Robusta","Robusta",(IF($B1313="","Arabica",$B1313))&amp;" - "&amp;(IF($C1313="","Commercial",$C1313))),Variables!$B$1:$D$1,0),1))*(AV1313/365))+(INDEX(Variables!$B$8:$D$8,IFERROR(MATCH(IF($B1313="Robusta","Robusta",(IF($B1313="","Arabica",$B1313))&amp;" - "&amp;(IF($C1313="","Commercial",$C1313))),Variables!$B$1:$D$1,0),1))*L1313/16.67)),""))</f>
        <v/>
      </c>
      <c r="AX1313" s="9"/>
      <c r="AY1313" s="12"/>
      <c r="AZ1313" s="10"/>
      <c r="BA1313" s="9"/>
      <c r="BB1313" s="10"/>
      <c r="BC1313" s="9"/>
      <c r="BD1313" s="9"/>
      <c r="BE1313" s="9"/>
      <c r="BF1313" s="9"/>
    </row>
    <row r="1314" spans="1:58" x14ac:dyDescent="0.25">
      <c r="A1314" s="9" t="s">
        <v>84</v>
      </c>
      <c r="B1314" s="9" t="s">
        <v>85</v>
      </c>
      <c r="C1314" s="9" t="s">
        <v>1486</v>
      </c>
      <c r="D1314" s="10">
        <v>46084</v>
      </c>
      <c r="E1314" s="10">
        <v>46082</v>
      </c>
      <c r="F1314" s="10">
        <v>46112</v>
      </c>
      <c r="G1314" s="9">
        <v>3787381</v>
      </c>
      <c r="H1314" s="9" t="str">
        <f t="shared" si="124"/>
        <v>Open</v>
      </c>
      <c r="I1314" s="9" t="str">
        <f t="shared" si="125"/>
        <v>No sailing date and No shipping advice sent and No docs dispatch date</v>
      </c>
      <c r="J1314" s="9" t="s">
        <v>1487</v>
      </c>
      <c r="K1314" s="9" t="s">
        <v>2784</v>
      </c>
      <c r="L1314" s="11">
        <v>30</v>
      </c>
      <c r="M1314" s="9" t="s">
        <v>2785</v>
      </c>
      <c r="N1314" s="9"/>
      <c r="O1314" s="9"/>
      <c r="P1314" s="9"/>
      <c r="Q1314" s="11">
        <v>190</v>
      </c>
      <c r="R1314" s="9" t="s">
        <v>195</v>
      </c>
      <c r="S1314" s="9" t="s">
        <v>183</v>
      </c>
      <c r="T1314" s="12">
        <f>IF($H1314="Cancelled","",IFERROR(((Q1314+INDEX(Variables!$B$6:$D$6,IFERROR(MATCH(IF($B1314="Robusta","Robusta",(IF($B1314="","Arabica",$B1314))&amp;" - "&amp;(IF($C1314="","Commercial",$C1314))),Variables!$B$1:$D$1,0),1)))*22.0462)*(L1314/16.67),""))</f>
        <v>19075.848158368324</v>
      </c>
      <c r="U1314" s="10"/>
      <c r="V1314" s="9" t="str">
        <f t="shared" si="129"/>
        <v/>
      </c>
      <c r="W1314" s="10"/>
      <c r="X1314" s="9" t="str">
        <f t="shared" si="130"/>
        <v/>
      </c>
      <c r="Y1314" s="10"/>
      <c r="Z1314" s="10">
        <f>IF($H1314="Cancelled","",IFERROR(IF(F1314="","",F1314-Variables!$B$13),""))</f>
        <v>46097</v>
      </c>
      <c r="AA1314" s="11" t="str">
        <f>IF($H1314="Cancelled","",IFERROR(IF(W1314="","",(AVERAGE(E1314:F1314)-W1314)-Variables!$B$14),""))</f>
        <v/>
      </c>
      <c r="AB1314" s="10"/>
      <c r="AC1314" s="11" t="str">
        <f>IF($H1314="Cancelled","",IFERROR(IF(AB1314="","",IF(AND(W1314="",Y1314=""),"",IF(Y1314&gt;W1314,Y1314+Variables!$B$15+Variables!$B$16+Variables!$B$17-AB1314,W1314+Variables!$B$16+Variables!$B$17-AB1314))),""))</f>
        <v/>
      </c>
      <c r="AD1314" s="9" t="s">
        <v>165</v>
      </c>
      <c r="AE1314" s="9"/>
      <c r="AF1314" s="10"/>
      <c r="AG1314" s="10"/>
      <c r="AH1314" s="9"/>
      <c r="AI1314" s="9"/>
      <c r="AJ1314" s="9"/>
      <c r="AK1314" s="10"/>
      <c r="AL1314" s="10"/>
      <c r="AM1314" s="10"/>
      <c r="AN1314" s="9" t="s">
        <v>1188</v>
      </c>
      <c r="AO1314" s="9"/>
      <c r="AP1314" s="11" t="str">
        <f>IF($H1314="Cancelled","",IFERROR(IF(OR(AK1314="",AB1314=""),"",(AB1314+Variables!$B$18-AK1314)),""))</f>
        <v/>
      </c>
      <c r="AQ1314" s="11" t="str">
        <f>IF($H1314="Cancelled","",IFERROR(IF(OR(AM1314="",AK1314=""),"",(AK1314+Variables!$B$19)-AM1314),""))</f>
        <v/>
      </c>
      <c r="AR1314" s="12" t="str">
        <f>IF($H1314="Cancelled","",IFERROR(T1314*INDEX(Variables!$B$7:$D$7,IFERROR(MATCH(IF($B1314="Robusta","Robusta",(IF($B1314="","Arabica",$B1314))&amp;" - "&amp;(IF($C1314="","Commercial",$C1314))),Variables!$B$1:$D$1,0),1))*(AQ1314/365),""))</f>
        <v/>
      </c>
      <c r="AS1314" s="12" t="str">
        <f>IF($H1314="Cancelled","",IFERROR((T1314*INDEX(Variables!$B$7:$D$7,IFERROR(MATCH(IF($B1314="Robusta","Robusta",(IF($B1314="","Arabica",$B1314))&amp;" - "&amp;(IF($C1314="","Commercial",$C1314))),Variables!$B$1:$D$1,0),1))*IFERROR(IF(W1314="","",(AVERAGE(E1314:F1314)-W1314)-Variables!$B$14),"")/365)+(L1314/16.67*INDEX(Variables!$B$8:$D$8,IFERROR(MATCH(IF($B1314="Robusta","Robusta",(IF($B1314="","Arabica",$B1314))&amp;" - "&amp;(IF($C1314="","Commercial",$C1314))),Variables!$B$1:$D$1,0),1))*IFERROR(IF(W1314="","",(AVERAGE(E1314:F1314)-W1314)-Variables!$B$14),""))+(T1314*INDEX(Variables!$B$9:$D$9,IFERROR(MATCH(IF($B1314="Robusta","Robusta",(IF($B1314="","Arabica",$B1314))&amp;" - "&amp;(IF($C1314="","Commercial",$C1314))),Variables!$B$1:$D$1,0),1))*IFERROR(IF(W1314="","",(AVERAGE(E1314:F1314)-W1314)-Variables!$B$14),"")/365),""))</f>
        <v/>
      </c>
      <c r="AT1314" s="12" t="str">
        <f>IF($H1314="Cancelled","",IFERROR((T1314*INDEX(Variables!$B$7:$D$7,IFERROR(MATCH(IF($B1314="Robusta","Robusta",(IF($B1314="","Arabica",$B1314))&amp;" - "&amp;(IF($C1314="","Commercial",$C1314))),Variables!$B$1:$D$1,0),1))*AC1314/365)+(L1314/16.67*INDEX(Variables!$B$8:$D$8,IFERROR(MATCH(IF($B1314="Robusta","Robusta",(IF($B1314="","Arabica",$B1314))&amp;" - "&amp;(IF($C1314="","Commercial",$C1314))),Variables!$B$1:$D$1,0),1))*AC1314)+(T1314*INDEX(Variables!$B$9:$D$9,IFERROR(MATCH(IF($B1314="Robusta","Robusta",(IF($B1314="","Arabica",$B1314))&amp;" - "&amp;(IF($C1314="","Commercial",$C1314))),Variables!$B$1:$D$1,0),1))*AC1314/365),""))</f>
        <v/>
      </c>
      <c r="AU1314" s="12" t="str">
        <f>IF($H1314="Cancelled","",IFERROR((T1314*INDEX(Variables!$B$7:$D$7,IFERROR(MATCH(IF($B1314="Robusta","Robusta",(IF($B1314="","Arabica",$B1314))&amp;" - "&amp;(IF($C1314="","Commercial",$C1314))),Variables!$B$1:$D$1,0),1))*AP1314/365)+(L1314/16.67*INDEX(Variables!$B$8:$D$8,IFERROR(MATCH(IF($B1314="Robusta","Robusta",(IF($B1314="","Arabica",$B1314))&amp;" - "&amp;(IF($C1314="","Commercial",$C1314))),Variables!$B$1:$D$1,0),1))*AP1314)+(T1314*INDEX(Variables!$B$9:$D$9,IFERROR(MATCH(IF($B1314="Robusta","Robusta",(IF($B1314="","Arabica",$B1314))&amp;" - "&amp;(IF($C1314="","Commercial",$C1314))),Variables!$B$1:$D$1,0),1))*AP1314/365),""))</f>
        <v/>
      </c>
      <c r="AV1314" s="11" t="str">
        <f t="shared" si="126"/>
        <v/>
      </c>
      <c r="AW1314" s="12" t="str">
        <f>IF($H1314="Cancelled","",IFERROR(IF(AV1314="","",(T1314*INDEX(Variables!$B$7:$D$7,IFERROR(MATCH(IF($B1314="Robusta","Robusta",(IF($B1314="","Arabica",$B1314))&amp;" - "&amp;(IF($C1314="","Commercial",$C1314))),Variables!$B$1:$D$1,0),1))*(AV1314/365))+(T1314*INDEX(Variables!$B$9:$D$9,IFERROR(MATCH(IF($B1314="Robusta","Robusta",(IF($B1314="","Arabica",$B1314))&amp;" - "&amp;(IF($C1314="","Commercial",$C1314))),Variables!$B$1:$D$1,0),1))*(AV1314/365))+(INDEX(Variables!$B$8:$D$8,IFERROR(MATCH(IF($B1314="Robusta","Robusta",(IF($B1314="","Arabica",$B1314))&amp;" - "&amp;(IF($C1314="","Commercial",$C1314))),Variables!$B$1:$D$1,0),1))*L1314/16.67)),""))</f>
        <v/>
      </c>
      <c r="AX1314" s="9"/>
      <c r="AY1314" s="12"/>
      <c r="AZ1314" s="10"/>
      <c r="BA1314" s="9"/>
      <c r="BB1314" s="10"/>
      <c r="BC1314" s="9"/>
      <c r="BD1314" s="9"/>
      <c r="BE1314" s="9"/>
      <c r="BF1314" s="9"/>
    </row>
    <row r="1315" spans="1:58" x14ac:dyDescent="0.25">
      <c r="A1315" s="9" t="s">
        <v>84</v>
      </c>
      <c r="B1315" s="9" t="s">
        <v>85</v>
      </c>
      <c r="C1315" s="9" t="s">
        <v>1486</v>
      </c>
      <c r="D1315" s="10">
        <v>46084</v>
      </c>
      <c r="E1315" s="10">
        <v>46082</v>
      </c>
      <c r="F1315" s="10">
        <v>46112</v>
      </c>
      <c r="G1315" s="9">
        <v>3787378</v>
      </c>
      <c r="H1315" s="9" t="str">
        <f t="shared" si="124"/>
        <v>Open</v>
      </c>
      <c r="I1315" s="9" t="str">
        <f t="shared" si="125"/>
        <v>No sailing date and No shipping advice sent and No docs dispatch date</v>
      </c>
      <c r="J1315" s="9" t="s">
        <v>1487</v>
      </c>
      <c r="K1315" s="9" t="s">
        <v>2786</v>
      </c>
      <c r="L1315" s="11">
        <v>40</v>
      </c>
      <c r="M1315" s="9" t="s">
        <v>2787</v>
      </c>
      <c r="N1315" s="9"/>
      <c r="O1315" s="9"/>
      <c r="P1315" s="9"/>
      <c r="Q1315" s="11">
        <v>181</v>
      </c>
      <c r="R1315" s="9" t="s">
        <v>195</v>
      </c>
      <c r="S1315" s="9" t="s">
        <v>183</v>
      </c>
      <c r="T1315" s="12">
        <f>IF($H1315="Cancelled","",IFERROR(((Q1315+INDEX(Variables!$B$6:$D$6,IFERROR(MATCH(IF($B1315="Robusta","Robusta",(IF($B1315="","Arabica",$B1315))&amp;" - "&amp;(IF($C1315="","Commercial",$C1315))),Variables!$B$1:$D$1,0),1)))*22.0462)*(L1315/16.67),""))</f>
        <v>24958.361511697658</v>
      </c>
      <c r="U1315" s="10"/>
      <c r="V1315" s="9" t="str">
        <f t="shared" si="129"/>
        <v/>
      </c>
      <c r="W1315" s="10"/>
      <c r="X1315" s="9" t="str">
        <f t="shared" si="130"/>
        <v/>
      </c>
      <c r="Y1315" s="10"/>
      <c r="Z1315" s="10">
        <f>IF($H1315="Cancelled","",IFERROR(IF(F1315="","",F1315-Variables!$B$13),""))</f>
        <v>46097</v>
      </c>
      <c r="AA1315" s="11" t="str">
        <f>IF($H1315="Cancelled","",IFERROR(IF(W1315="","",(AVERAGE(E1315:F1315)-W1315)-Variables!$B$14),""))</f>
        <v/>
      </c>
      <c r="AB1315" s="10"/>
      <c r="AC1315" s="11" t="str">
        <f>IF($H1315="Cancelled","",IFERROR(IF(AB1315="","",IF(AND(W1315="",Y1315=""),"",IF(Y1315&gt;W1315,Y1315+Variables!$B$15+Variables!$B$16+Variables!$B$17-AB1315,W1315+Variables!$B$16+Variables!$B$17-AB1315))),""))</f>
        <v/>
      </c>
      <c r="AD1315" s="9" t="s">
        <v>165</v>
      </c>
      <c r="AE1315" s="9"/>
      <c r="AF1315" s="10"/>
      <c r="AG1315" s="10"/>
      <c r="AH1315" s="9"/>
      <c r="AI1315" s="9"/>
      <c r="AJ1315" s="9"/>
      <c r="AK1315" s="10"/>
      <c r="AL1315" s="10"/>
      <c r="AM1315" s="10"/>
      <c r="AN1315" s="9" t="s">
        <v>1188</v>
      </c>
      <c r="AO1315" s="9"/>
      <c r="AP1315" s="11" t="str">
        <f>IF($H1315="Cancelled","",IFERROR(IF(OR(AK1315="",AB1315=""),"",(AB1315+Variables!$B$18-AK1315)),""))</f>
        <v/>
      </c>
      <c r="AQ1315" s="11" t="str">
        <f>IF($H1315="Cancelled","",IFERROR(IF(OR(AM1315="",AK1315=""),"",(AK1315+Variables!$B$19)-AM1315),""))</f>
        <v/>
      </c>
      <c r="AR1315" s="12" t="str">
        <f>IF($H1315="Cancelled","",IFERROR(T1315*INDEX(Variables!$B$7:$D$7,IFERROR(MATCH(IF($B1315="Robusta","Robusta",(IF($B1315="","Arabica",$B1315))&amp;" - "&amp;(IF($C1315="","Commercial",$C1315))),Variables!$B$1:$D$1,0),1))*(AQ1315/365),""))</f>
        <v/>
      </c>
      <c r="AS1315" s="12" t="str">
        <f>IF($H1315="Cancelled","",IFERROR((T1315*INDEX(Variables!$B$7:$D$7,IFERROR(MATCH(IF($B1315="Robusta","Robusta",(IF($B1315="","Arabica",$B1315))&amp;" - "&amp;(IF($C1315="","Commercial",$C1315))),Variables!$B$1:$D$1,0),1))*IFERROR(IF(W1315="","",(AVERAGE(E1315:F1315)-W1315)-Variables!$B$14),"")/365)+(L1315/16.67*INDEX(Variables!$B$8:$D$8,IFERROR(MATCH(IF($B1315="Robusta","Robusta",(IF($B1315="","Arabica",$B1315))&amp;" - "&amp;(IF($C1315="","Commercial",$C1315))),Variables!$B$1:$D$1,0),1))*IFERROR(IF(W1315="","",(AVERAGE(E1315:F1315)-W1315)-Variables!$B$14),""))+(T1315*INDEX(Variables!$B$9:$D$9,IFERROR(MATCH(IF($B1315="Robusta","Robusta",(IF($B1315="","Arabica",$B1315))&amp;" - "&amp;(IF($C1315="","Commercial",$C1315))),Variables!$B$1:$D$1,0),1))*IFERROR(IF(W1315="","",(AVERAGE(E1315:F1315)-W1315)-Variables!$B$14),"")/365),""))</f>
        <v/>
      </c>
      <c r="AT1315" s="12" t="str">
        <f>IF($H1315="Cancelled","",IFERROR((T1315*INDEX(Variables!$B$7:$D$7,IFERROR(MATCH(IF($B1315="Robusta","Robusta",(IF($B1315="","Arabica",$B1315))&amp;" - "&amp;(IF($C1315="","Commercial",$C1315))),Variables!$B$1:$D$1,0),1))*AC1315/365)+(L1315/16.67*INDEX(Variables!$B$8:$D$8,IFERROR(MATCH(IF($B1315="Robusta","Robusta",(IF($B1315="","Arabica",$B1315))&amp;" - "&amp;(IF($C1315="","Commercial",$C1315))),Variables!$B$1:$D$1,0),1))*AC1315)+(T1315*INDEX(Variables!$B$9:$D$9,IFERROR(MATCH(IF($B1315="Robusta","Robusta",(IF($B1315="","Arabica",$B1315))&amp;" - "&amp;(IF($C1315="","Commercial",$C1315))),Variables!$B$1:$D$1,0),1))*AC1315/365),""))</f>
        <v/>
      </c>
      <c r="AU1315" s="12" t="str">
        <f>IF($H1315="Cancelled","",IFERROR((T1315*INDEX(Variables!$B$7:$D$7,IFERROR(MATCH(IF($B1315="Robusta","Robusta",(IF($B1315="","Arabica",$B1315))&amp;" - "&amp;(IF($C1315="","Commercial",$C1315))),Variables!$B$1:$D$1,0),1))*AP1315/365)+(L1315/16.67*INDEX(Variables!$B$8:$D$8,IFERROR(MATCH(IF($B1315="Robusta","Robusta",(IF($B1315="","Arabica",$B1315))&amp;" - "&amp;(IF($C1315="","Commercial",$C1315))),Variables!$B$1:$D$1,0),1))*AP1315)+(T1315*INDEX(Variables!$B$9:$D$9,IFERROR(MATCH(IF($B1315="Robusta","Robusta",(IF($B1315="","Arabica",$B1315))&amp;" - "&amp;(IF($C1315="","Commercial",$C1315))),Variables!$B$1:$D$1,0),1))*AP1315/365),""))</f>
        <v/>
      </c>
      <c r="AV1315" s="11" t="str">
        <f t="shared" si="126"/>
        <v/>
      </c>
      <c r="AW1315" s="12" t="str">
        <f>IF($H1315="Cancelled","",IFERROR(IF(AV1315="","",(T1315*INDEX(Variables!$B$7:$D$7,IFERROR(MATCH(IF($B1315="Robusta","Robusta",(IF($B1315="","Arabica",$B1315))&amp;" - "&amp;(IF($C1315="","Commercial",$C1315))),Variables!$B$1:$D$1,0),1))*(AV1315/365))+(T1315*INDEX(Variables!$B$9:$D$9,IFERROR(MATCH(IF($B1315="Robusta","Robusta",(IF($B1315="","Arabica",$B1315))&amp;" - "&amp;(IF($C1315="","Commercial",$C1315))),Variables!$B$1:$D$1,0),1))*(AV1315/365))+(INDEX(Variables!$B$8:$D$8,IFERROR(MATCH(IF($B1315="Robusta","Robusta",(IF($B1315="","Arabica",$B1315))&amp;" - "&amp;(IF($C1315="","Commercial",$C1315))),Variables!$B$1:$D$1,0),1))*L1315/16.67)),""))</f>
        <v/>
      </c>
      <c r="AX1315" s="9"/>
      <c r="AY1315" s="12"/>
      <c r="AZ1315" s="10"/>
      <c r="BA1315" s="9"/>
      <c r="BB1315" s="10"/>
      <c r="BC1315" s="9"/>
      <c r="BD1315" s="9"/>
      <c r="BE1315" s="9"/>
      <c r="BF1315" s="9"/>
    </row>
    <row r="1316" spans="1:58" x14ac:dyDescent="0.25">
      <c r="A1316" s="9" t="s">
        <v>84</v>
      </c>
      <c r="B1316" s="9" t="s">
        <v>85</v>
      </c>
      <c r="C1316" s="9" t="s">
        <v>1486</v>
      </c>
      <c r="D1316" s="10">
        <v>46092</v>
      </c>
      <c r="E1316" s="10">
        <v>46082</v>
      </c>
      <c r="F1316" s="10">
        <v>46112</v>
      </c>
      <c r="G1316" s="9">
        <v>3787416</v>
      </c>
      <c r="H1316" s="9" t="str">
        <f t="shared" si="124"/>
        <v>Open</v>
      </c>
      <c r="I1316" s="9" t="str">
        <f t="shared" si="125"/>
        <v>No sailing date and No shipping advice sent and No docs dispatch date</v>
      </c>
      <c r="J1316" s="9" t="s">
        <v>1487</v>
      </c>
      <c r="K1316" s="9" t="s">
        <v>2788</v>
      </c>
      <c r="L1316" s="11">
        <v>11</v>
      </c>
      <c r="M1316" s="9" t="s">
        <v>2789</v>
      </c>
      <c r="N1316" s="9"/>
      <c r="O1316" s="9"/>
      <c r="P1316" s="9"/>
      <c r="Q1316" s="11">
        <v>226</v>
      </c>
      <c r="R1316" s="9" t="s">
        <v>195</v>
      </c>
      <c r="S1316" s="9" t="s">
        <v>183</v>
      </c>
      <c r="T1316" s="12">
        <f>IF($H1316="Cancelled","",IFERROR(((Q1316+INDEX(Variables!$B$6:$D$6,IFERROR(MATCH(IF($B1316="Robusta","Robusta",(IF($B1316="","Arabica",$B1316))&amp;" - "&amp;(IF($C1316="","Commercial",$C1316))),Variables!$B$1:$D$1,0),1)))*22.0462)*(L1316/16.67),""))</f>
        <v>7518.1906274745033</v>
      </c>
      <c r="U1316" s="10"/>
      <c r="V1316" s="9" t="str">
        <f t="shared" si="129"/>
        <v/>
      </c>
      <c r="W1316" s="10"/>
      <c r="X1316" s="9" t="str">
        <f t="shared" si="130"/>
        <v/>
      </c>
      <c r="Y1316" s="10"/>
      <c r="Z1316" s="10">
        <f>IF($H1316="Cancelled","",IFERROR(IF(F1316="","",F1316-Variables!$B$13),""))</f>
        <v>46097</v>
      </c>
      <c r="AA1316" s="11" t="str">
        <f>IF($H1316="Cancelled","",IFERROR(IF(W1316="","",(AVERAGE(E1316:F1316)-W1316)-Variables!$B$14),""))</f>
        <v/>
      </c>
      <c r="AB1316" s="10"/>
      <c r="AC1316" s="11" t="str">
        <f>IF($H1316="Cancelled","",IFERROR(IF(AB1316="","",IF(AND(W1316="",Y1316=""),"",IF(Y1316&gt;W1316,Y1316+Variables!$B$15+Variables!$B$16+Variables!$B$17-AB1316,W1316+Variables!$B$16+Variables!$B$17-AB1316))),""))</f>
        <v/>
      </c>
      <c r="AD1316" s="9" t="s">
        <v>165</v>
      </c>
      <c r="AE1316" s="9"/>
      <c r="AF1316" s="10"/>
      <c r="AG1316" s="10"/>
      <c r="AH1316" s="9"/>
      <c r="AI1316" s="9"/>
      <c r="AJ1316" s="9"/>
      <c r="AK1316" s="10"/>
      <c r="AL1316" s="10"/>
      <c r="AM1316" s="10"/>
      <c r="AN1316" s="9" t="s">
        <v>1188</v>
      </c>
      <c r="AO1316" s="9"/>
      <c r="AP1316" s="11" t="str">
        <f>IF($H1316="Cancelled","",IFERROR(IF(OR(AK1316="",AB1316=""),"",(AB1316+Variables!$B$18-AK1316)),""))</f>
        <v/>
      </c>
      <c r="AQ1316" s="11" t="str">
        <f>IF($H1316="Cancelled","",IFERROR(IF(OR(AM1316="",AK1316=""),"",(AK1316+Variables!$B$19)-AM1316),""))</f>
        <v/>
      </c>
      <c r="AR1316" s="12" t="str">
        <f>IF($H1316="Cancelled","",IFERROR(T1316*INDEX(Variables!$B$7:$D$7,IFERROR(MATCH(IF($B1316="Robusta","Robusta",(IF($B1316="","Arabica",$B1316))&amp;" - "&amp;(IF($C1316="","Commercial",$C1316))),Variables!$B$1:$D$1,0),1))*(AQ1316/365),""))</f>
        <v/>
      </c>
      <c r="AS1316" s="12" t="str">
        <f>IF($H1316="Cancelled","",IFERROR((T1316*INDEX(Variables!$B$7:$D$7,IFERROR(MATCH(IF($B1316="Robusta","Robusta",(IF($B1316="","Arabica",$B1316))&amp;" - "&amp;(IF($C1316="","Commercial",$C1316))),Variables!$B$1:$D$1,0),1))*IFERROR(IF(W1316="","",(AVERAGE(E1316:F1316)-W1316)-Variables!$B$14),"")/365)+(L1316/16.67*INDEX(Variables!$B$8:$D$8,IFERROR(MATCH(IF($B1316="Robusta","Robusta",(IF($B1316="","Arabica",$B1316))&amp;" - "&amp;(IF($C1316="","Commercial",$C1316))),Variables!$B$1:$D$1,0),1))*IFERROR(IF(W1316="","",(AVERAGE(E1316:F1316)-W1316)-Variables!$B$14),""))+(T1316*INDEX(Variables!$B$9:$D$9,IFERROR(MATCH(IF($B1316="Robusta","Robusta",(IF($B1316="","Arabica",$B1316))&amp;" - "&amp;(IF($C1316="","Commercial",$C1316))),Variables!$B$1:$D$1,0),1))*IFERROR(IF(W1316="","",(AVERAGE(E1316:F1316)-W1316)-Variables!$B$14),"")/365),""))</f>
        <v/>
      </c>
      <c r="AT1316" s="12" t="str">
        <f>IF($H1316="Cancelled","",IFERROR((T1316*INDEX(Variables!$B$7:$D$7,IFERROR(MATCH(IF($B1316="Robusta","Robusta",(IF($B1316="","Arabica",$B1316))&amp;" - "&amp;(IF($C1316="","Commercial",$C1316))),Variables!$B$1:$D$1,0),1))*AC1316/365)+(L1316/16.67*INDEX(Variables!$B$8:$D$8,IFERROR(MATCH(IF($B1316="Robusta","Robusta",(IF($B1316="","Arabica",$B1316))&amp;" - "&amp;(IF($C1316="","Commercial",$C1316))),Variables!$B$1:$D$1,0),1))*AC1316)+(T1316*INDEX(Variables!$B$9:$D$9,IFERROR(MATCH(IF($B1316="Robusta","Robusta",(IF($B1316="","Arabica",$B1316))&amp;" - "&amp;(IF($C1316="","Commercial",$C1316))),Variables!$B$1:$D$1,0),1))*AC1316/365),""))</f>
        <v/>
      </c>
      <c r="AU1316" s="12" t="str">
        <f>IF($H1316="Cancelled","",IFERROR((T1316*INDEX(Variables!$B$7:$D$7,IFERROR(MATCH(IF($B1316="Robusta","Robusta",(IF($B1316="","Arabica",$B1316))&amp;" - "&amp;(IF($C1316="","Commercial",$C1316))),Variables!$B$1:$D$1,0),1))*AP1316/365)+(L1316/16.67*INDEX(Variables!$B$8:$D$8,IFERROR(MATCH(IF($B1316="Robusta","Robusta",(IF($B1316="","Arabica",$B1316))&amp;" - "&amp;(IF($C1316="","Commercial",$C1316))),Variables!$B$1:$D$1,0),1))*AP1316)+(T1316*INDEX(Variables!$B$9:$D$9,IFERROR(MATCH(IF($B1316="Robusta","Robusta",(IF($B1316="","Arabica",$B1316))&amp;" - "&amp;(IF($C1316="","Commercial",$C1316))),Variables!$B$1:$D$1,0),1))*AP1316/365),""))</f>
        <v/>
      </c>
      <c r="AV1316" s="11" t="str">
        <f t="shared" si="126"/>
        <v/>
      </c>
      <c r="AW1316" s="12" t="str">
        <f>IF($H1316="Cancelled","",IFERROR(IF(AV1316="","",(T1316*INDEX(Variables!$B$7:$D$7,IFERROR(MATCH(IF($B1316="Robusta","Robusta",(IF($B1316="","Arabica",$B1316))&amp;" - "&amp;(IF($C1316="","Commercial",$C1316))),Variables!$B$1:$D$1,0),1))*(AV1316/365))+(T1316*INDEX(Variables!$B$9:$D$9,IFERROR(MATCH(IF($B1316="Robusta","Robusta",(IF($B1316="","Arabica",$B1316))&amp;" - "&amp;(IF($C1316="","Commercial",$C1316))),Variables!$B$1:$D$1,0),1))*(AV1316/365))+(INDEX(Variables!$B$8:$D$8,IFERROR(MATCH(IF($B1316="Robusta","Robusta",(IF($B1316="","Arabica",$B1316))&amp;" - "&amp;(IF($C1316="","Commercial",$C1316))),Variables!$B$1:$D$1,0),1))*L1316/16.67)),""))</f>
        <v/>
      </c>
      <c r="AX1316" s="9"/>
      <c r="AY1316" s="12"/>
      <c r="AZ1316" s="10"/>
      <c r="BA1316" s="9"/>
      <c r="BB1316" s="10"/>
      <c r="BC1316" s="9"/>
      <c r="BD1316" s="9"/>
      <c r="BE1316" s="9"/>
      <c r="BF1316" s="9"/>
    </row>
    <row r="1317" spans="1:58" x14ac:dyDescent="0.25">
      <c r="A1317" s="9" t="s">
        <v>84</v>
      </c>
      <c r="B1317" s="9" t="s">
        <v>85</v>
      </c>
      <c r="C1317" s="9" t="s">
        <v>1486</v>
      </c>
      <c r="D1317" s="10">
        <v>46092</v>
      </c>
      <c r="E1317" s="10">
        <v>46082</v>
      </c>
      <c r="F1317" s="10">
        <v>46112</v>
      </c>
      <c r="G1317" s="9">
        <v>3787417</v>
      </c>
      <c r="H1317" s="9" t="str">
        <f t="shared" si="124"/>
        <v>Open</v>
      </c>
      <c r="I1317" s="9" t="str">
        <f t="shared" si="125"/>
        <v>No sailing date and No shipping advice sent and No docs dispatch date</v>
      </c>
      <c r="J1317" s="9" t="s">
        <v>1487</v>
      </c>
      <c r="K1317" s="9" t="s">
        <v>2790</v>
      </c>
      <c r="L1317" s="11">
        <v>25</v>
      </c>
      <c r="M1317" s="9" t="s">
        <v>2791</v>
      </c>
      <c r="N1317" s="9"/>
      <c r="O1317" s="9"/>
      <c r="P1317" s="9"/>
      <c r="Q1317" s="11">
        <v>206</v>
      </c>
      <c r="R1317" s="9" t="s">
        <v>195</v>
      </c>
      <c r="S1317" s="9" t="s">
        <v>183</v>
      </c>
      <c r="T1317" s="12">
        <f>IF($H1317="Cancelled","",IFERROR(((Q1317+INDEX(Variables!$B$6:$D$6,IFERROR(MATCH(IF($B1317="Robusta","Robusta",(IF($B1317="","Arabica",$B1317))&amp;" - "&amp;(IF($C1317="","Commercial",$C1317))),Variables!$B$1:$D$1,0),1)))*22.0462)*(L1317/16.67),""))</f>
        <v>16425.543131373721</v>
      </c>
      <c r="U1317" s="10"/>
      <c r="V1317" s="9" t="str">
        <f t="shared" si="129"/>
        <v/>
      </c>
      <c r="W1317" s="10"/>
      <c r="X1317" s="9" t="str">
        <f t="shared" si="130"/>
        <v/>
      </c>
      <c r="Y1317" s="10"/>
      <c r="Z1317" s="10">
        <f>IF($H1317="Cancelled","",IFERROR(IF(F1317="","",F1317-Variables!$B$13),""))</f>
        <v>46097</v>
      </c>
      <c r="AA1317" s="11" t="str">
        <f>IF($H1317="Cancelled","",IFERROR(IF(W1317="","",(AVERAGE(E1317:F1317)-W1317)-Variables!$B$14),""))</f>
        <v/>
      </c>
      <c r="AB1317" s="10"/>
      <c r="AC1317" s="11" t="str">
        <f>IF($H1317="Cancelled","",IFERROR(IF(AB1317="","",IF(AND(W1317="",Y1317=""),"",IF(Y1317&gt;W1317,Y1317+Variables!$B$15+Variables!$B$16+Variables!$B$17-AB1317,W1317+Variables!$B$16+Variables!$B$17-AB1317))),""))</f>
        <v/>
      </c>
      <c r="AD1317" s="9" t="s">
        <v>165</v>
      </c>
      <c r="AE1317" s="9"/>
      <c r="AF1317" s="10"/>
      <c r="AG1317" s="10"/>
      <c r="AH1317" s="9"/>
      <c r="AI1317" s="9"/>
      <c r="AJ1317" s="9"/>
      <c r="AK1317" s="10"/>
      <c r="AL1317" s="10"/>
      <c r="AM1317" s="10"/>
      <c r="AN1317" s="9" t="s">
        <v>1188</v>
      </c>
      <c r="AO1317" s="9"/>
      <c r="AP1317" s="11" t="str">
        <f>IF($H1317="Cancelled","",IFERROR(IF(OR(AK1317="",AB1317=""),"",(AB1317+Variables!$B$18-AK1317)),""))</f>
        <v/>
      </c>
      <c r="AQ1317" s="11" t="str">
        <f>IF($H1317="Cancelled","",IFERROR(IF(OR(AM1317="",AK1317=""),"",(AK1317+Variables!$B$19)-AM1317),""))</f>
        <v/>
      </c>
      <c r="AR1317" s="12" t="str">
        <f>IF($H1317="Cancelled","",IFERROR(T1317*INDEX(Variables!$B$7:$D$7,IFERROR(MATCH(IF($B1317="Robusta","Robusta",(IF($B1317="","Arabica",$B1317))&amp;" - "&amp;(IF($C1317="","Commercial",$C1317))),Variables!$B$1:$D$1,0),1))*(AQ1317/365),""))</f>
        <v/>
      </c>
      <c r="AS1317" s="12" t="str">
        <f>IF($H1317="Cancelled","",IFERROR((T1317*INDEX(Variables!$B$7:$D$7,IFERROR(MATCH(IF($B1317="Robusta","Robusta",(IF($B1317="","Arabica",$B1317))&amp;" - "&amp;(IF($C1317="","Commercial",$C1317))),Variables!$B$1:$D$1,0),1))*IFERROR(IF(W1317="","",(AVERAGE(E1317:F1317)-W1317)-Variables!$B$14),"")/365)+(L1317/16.67*INDEX(Variables!$B$8:$D$8,IFERROR(MATCH(IF($B1317="Robusta","Robusta",(IF($B1317="","Arabica",$B1317))&amp;" - "&amp;(IF($C1317="","Commercial",$C1317))),Variables!$B$1:$D$1,0),1))*IFERROR(IF(W1317="","",(AVERAGE(E1317:F1317)-W1317)-Variables!$B$14),""))+(T1317*INDEX(Variables!$B$9:$D$9,IFERROR(MATCH(IF($B1317="Robusta","Robusta",(IF($B1317="","Arabica",$B1317))&amp;" - "&amp;(IF($C1317="","Commercial",$C1317))),Variables!$B$1:$D$1,0),1))*IFERROR(IF(W1317="","",(AVERAGE(E1317:F1317)-W1317)-Variables!$B$14),"")/365),""))</f>
        <v/>
      </c>
      <c r="AT1317" s="12" t="str">
        <f>IF($H1317="Cancelled","",IFERROR((T1317*INDEX(Variables!$B$7:$D$7,IFERROR(MATCH(IF($B1317="Robusta","Robusta",(IF($B1317="","Arabica",$B1317))&amp;" - "&amp;(IF($C1317="","Commercial",$C1317))),Variables!$B$1:$D$1,0),1))*AC1317/365)+(L1317/16.67*INDEX(Variables!$B$8:$D$8,IFERROR(MATCH(IF($B1317="Robusta","Robusta",(IF($B1317="","Arabica",$B1317))&amp;" - "&amp;(IF($C1317="","Commercial",$C1317))),Variables!$B$1:$D$1,0),1))*AC1317)+(T1317*INDEX(Variables!$B$9:$D$9,IFERROR(MATCH(IF($B1317="Robusta","Robusta",(IF($B1317="","Arabica",$B1317))&amp;" - "&amp;(IF($C1317="","Commercial",$C1317))),Variables!$B$1:$D$1,0),1))*AC1317/365),""))</f>
        <v/>
      </c>
      <c r="AU1317" s="12" t="str">
        <f>IF($H1317="Cancelled","",IFERROR((T1317*INDEX(Variables!$B$7:$D$7,IFERROR(MATCH(IF($B1317="Robusta","Robusta",(IF($B1317="","Arabica",$B1317))&amp;" - "&amp;(IF($C1317="","Commercial",$C1317))),Variables!$B$1:$D$1,0),1))*AP1317/365)+(L1317/16.67*INDEX(Variables!$B$8:$D$8,IFERROR(MATCH(IF($B1317="Robusta","Robusta",(IF($B1317="","Arabica",$B1317))&amp;" - "&amp;(IF($C1317="","Commercial",$C1317))),Variables!$B$1:$D$1,0),1))*AP1317)+(T1317*INDEX(Variables!$B$9:$D$9,IFERROR(MATCH(IF($B1317="Robusta","Robusta",(IF($B1317="","Arabica",$B1317))&amp;" - "&amp;(IF($C1317="","Commercial",$C1317))),Variables!$B$1:$D$1,0),1))*AP1317/365),""))</f>
        <v/>
      </c>
      <c r="AV1317" s="11" t="str">
        <f t="shared" si="126"/>
        <v/>
      </c>
      <c r="AW1317" s="12" t="str">
        <f>IF($H1317="Cancelled","",IFERROR(IF(AV1317="","",(T1317*INDEX(Variables!$B$7:$D$7,IFERROR(MATCH(IF($B1317="Robusta","Robusta",(IF($B1317="","Arabica",$B1317))&amp;" - "&amp;(IF($C1317="","Commercial",$C1317))),Variables!$B$1:$D$1,0),1))*(AV1317/365))+(T1317*INDEX(Variables!$B$9:$D$9,IFERROR(MATCH(IF($B1317="Robusta","Robusta",(IF($B1317="","Arabica",$B1317))&amp;" - "&amp;(IF($C1317="","Commercial",$C1317))),Variables!$B$1:$D$1,0),1))*(AV1317/365))+(INDEX(Variables!$B$8:$D$8,IFERROR(MATCH(IF($B1317="Robusta","Robusta",(IF($B1317="","Arabica",$B1317))&amp;" - "&amp;(IF($C1317="","Commercial",$C1317))),Variables!$B$1:$D$1,0),1))*L1317/16.67)),""))</f>
        <v/>
      </c>
      <c r="AX1317" s="9"/>
      <c r="AY1317" s="12"/>
      <c r="AZ1317" s="10"/>
      <c r="BA1317" s="9"/>
      <c r="BB1317" s="10"/>
      <c r="BC1317" s="9"/>
      <c r="BD1317" s="9"/>
      <c r="BE1317" s="9"/>
      <c r="BF1317" s="9"/>
    </row>
    <row r="1318" spans="1:58" x14ac:dyDescent="0.25">
      <c r="A1318" s="9" t="s">
        <v>84</v>
      </c>
      <c r="B1318" s="9" t="s">
        <v>85</v>
      </c>
      <c r="C1318" s="9" t="s">
        <v>1486</v>
      </c>
      <c r="D1318" s="10">
        <v>46072</v>
      </c>
      <c r="E1318" s="10">
        <v>46082</v>
      </c>
      <c r="F1318" s="10">
        <v>46112</v>
      </c>
      <c r="G1318" s="9">
        <v>3787318</v>
      </c>
      <c r="H1318" s="9" t="str">
        <f t="shared" si="124"/>
        <v>Open</v>
      </c>
      <c r="I1318" s="9" t="str">
        <f t="shared" si="125"/>
        <v>No sailing date and No shipping advice sent and No docs dispatch date</v>
      </c>
      <c r="J1318" s="9" t="s">
        <v>1455</v>
      </c>
      <c r="K1318" s="9" t="s">
        <v>1456</v>
      </c>
      <c r="L1318" s="11">
        <v>6</v>
      </c>
      <c r="M1318" s="9" t="s">
        <v>2792</v>
      </c>
      <c r="N1318" s="9"/>
      <c r="O1318" s="9"/>
      <c r="P1318" s="9"/>
      <c r="Q1318" s="11">
        <v>205.45</v>
      </c>
      <c r="R1318" s="9" t="s">
        <v>195</v>
      </c>
      <c r="S1318" s="9"/>
      <c r="T1318" s="12">
        <f>IF($H1318="Cancelled","",IFERROR(((Q1318+INDEX(Variables!$B$6:$D$6,IFERROR(MATCH(IF($B1318="Robusta","Robusta",(IF($B1318="","Arabica",$B1318))&amp;" - "&amp;(IF($C1318="","Commercial",$C1318))),Variables!$B$1:$D$1,0),1)))*22.0462)*(L1318/16.67),""))</f>
        <v>3937.7660767846419</v>
      </c>
      <c r="U1318" s="10"/>
      <c r="V1318" s="9" t="str">
        <f t="shared" si="129"/>
        <v/>
      </c>
      <c r="W1318" s="10">
        <v>46068</v>
      </c>
      <c r="X1318" s="9" t="str">
        <f t="shared" si="130"/>
        <v>Approved</v>
      </c>
      <c r="Y1318" s="10">
        <v>46101</v>
      </c>
      <c r="Z1318" s="10">
        <f>IF($H1318="Cancelled","",IFERROR(IF(F1318="","",F1318-Variables!$B$13),""))</f>
        <v>46097</v>
      </c>
      <c r="AA1318" s="11">
        <f>IF($H1318="Cancelled","",IFERROR(IF(W1318="","",(AVERAGE(E1318:F1318)-W1318)-Variables!$B$14),""))</f>
        <v>-1</v>
      </c>
      <c r="AB1318" s="10">
        <v>46106</v>
      </c>
      <c r="AC1318" s="11">
        <f>IF($H1318="Cancelled","",IFERROR(IF(AB1318="","",IF(AND(W1318="",Y1318=""),"",IF(Y1318&gt;W1318,Y1318+Variables!$B$15+Variables!$B$16+Variables!$B$17-AB1318,W1318+Variables!$B$16+Variables!$B$17-AB1318))),""))</f>
        <v>10</v>
      </c>
      <c r="AD1318" s="9"/>
      <c r="AE1318" s="9"/>
      <c r="AF1318" s="10"/>
      <c r="AG1318" s="10"/>
      <c r="AH1318" s="9"/>
      <c r="AI1318" s="9"/>
      <c r="AJ1318" s="9"/>
      <c r="AK1318" s="10"/>
      <c r="AL1318" s="10"/>
      <c r="AM1318" s="10"/>
      <c r="AN1318" s="9" t="s">
        <v>2605</v>
      </c>
      <c r="AO1318" s="9"/>
      <c r="AP1318" s="11" t="str">
        <f>IF($H1318="Cancelled","",IFERROR(IF(OR(AK1318="",AB1318=""),"",(AB1318+Variables!$B$18-AK1318)),""))</f>
        <v/>
      </c>
      <c r="AQ1318" s="11" t="str">
        <f>IF($H1318="Cancelled","",IFERROR(IF(OR(AM1318="",AK1318=""),"",(AK1318+Variables!$B$19)-AM1318),""))</f>
        <v/>
      </c>
      <c r="AR1318" s="12" t="str">
        <f>IF($H1318="Cancelled","",IFERROR(T1318*INDEX(Variables!$B$7:$D$7,IFERROR(MATCH(IF($B1318="Robusta","Robusta",(IF($B1318="","Arabica",$B1318))&amp;" - "&amp;(IF($C1318="","Commercial",$C1318))),Variables!$B$1:$D$1,0),1))*(AQ1318/365),""))</f>
        <v/>
      </c>
      <c r="AS1318" s="12">
        <f>IF($H1318="Cancelled","",IFERROR((T1318*INDEX(Variables!$B$7:$D$7,IFERROR(MATCH(IF($B1318="Robusta","Robusta",(IF($B1318="","Arabica",$B1318))&amp;" - "&amp;(IF($C1318="","Commercial",$C1318))),Variables!$B$1:$D$1,0),1))*IFERROR(IF(W1318="","",(AVERAGE(E1318:F1318)-W1318)-Variables!$B$14),"")/365)+(L1318/16.67*INDEX(Variables!$B$8:$D$8,IFERROR(MATCH(IF($B1318="Robusta","Robusta",(IF($B1318="","Arabica",$B1318))&amp;" - "&amp;(IF($C1318="","Commercial",$C1318))),Variables!$B$1:$D$1,0),1))*IFERROR(IF(W1318="","",(AVERAGE(E1318:F1318)-W1318)-Variables!$B$14),""))+(T1318*INDEX(Variables!$B$9:$D$9,IFERROR(MATCH(IF($B1318="Robusta","Robusta",(IF($B1318="","Arabica",$B1318))&amp;" - "&amp;(IF($C1318="","Commercial",$C1318))),Variables!$B$1:$D$1,0),1))*IFERROR(IF(W1318="","",(AVERAGE(E1318:F1318)-W1318)-Variables!$B$14),"")/365),""))</f>
        <v>-1.0046281771399281</v>
      </c>
      <c r="AT1318" s="12">
        <f>IF($H1318="Cancelled","",IFERROR((T1318*INDEX(Variables!$B$7:$D$7,IFERROR(MATCH(IF($B1318="Robusta","Robusta",(IF($B1318="","Arabica",$B1318))&amp;" - "&amp;(IF($C1318="","Commercial",$C1318))),Variables!$B$1:$D$1,0),1))*AC1318/365)+(L1318/16.67*INDEX(Variables!$B$8:$D$8,IFERROR(MATCH(IF($B1318="Robusta","Robusta",(IF($B1318="","Arabica",$B1318))&amp;" - "&amp;(IF($C1318="","Commercial",$C1318))),Variables!$B$1:$D$1,0),1))*AC1318)+(T1318*INDEX(Variables!$B$9:$D$9,IFERROR(MATCH(IF($B1318="Robusta","Robusta",(IF($B1318="","Arabica",$B1318))&amp;" - "&amp;(IF($C1318="","Commercial",$C1318))),Variables!$B$1:$D$1,0),1))*AC1318/365),""))</f>
        <v>10.046281771399279</v>
      </c>
      <c r="AU1318" s="12" t="str">
        <f>IF($H1318="Cancelled","",IFERROR((T1318*INDEX(Variables!$B$7:$D$7,IFERROR(MATCH(IF($B1318="Robusta","Robusta",(IF($B1318="","Arabica",$B1318))&amp;" - "&amp;(IF($C1318="","Commercial",$C1318))),Variables!$B$1:$D$1,0),1))*AP1318/365)+(L1318/16.67*INDEX(Variables!$B$8:$D$8,IFERROR(MATCH(IF($B1318="Robusta","Robusta",(IF($B1318="","Arabica",$B1318))&amp;" - "&amp;(IF($C1318="","Commercial",$C1318))),Variables!$B$1:$D$1,0),1))*AP1318)+(T1318*INDEX(Variables!$B$9:$D$9,IFERROR(MATCH(IF($B1318="Robusta","Robusta",(IF($B1318="","Arabica",$B1318))&amp;" - "&amp;(IF($C1318="","Commercial",$C1318))),Variables!$B$1:$D$1,0),1))*AP1318/365),""))</f>
        <v/>
      </c>
      <c r="AV1318" s="11" t="str">
        <f t="shared" si="126"/>
        <v/>
      </c>
      <c r="AW1318" s="12" t="str">
        <f>IF($H1318="Cancelled","",IFERROR(IF(AV1318="","",(T1318*INDEX(Variables!$B$7:$D$7,IFERROR(MATCH(IF($B1318="Robusta","Robusta",(IF($B1318="","Arabica",$B1318))&amp;" - "&amp;(IF($C1318="","Commercial",$C1318))),Variables!$B$1:$D$1,0),1))*(AV1318/365))+(T1318*INDEX(Variables!$B$9:$D$9,IFERROR(MATCH(IF($B1318="Robusta","Robusta",(IF($B1318="","Arabica",$B1318))&amp;" - "&amp;(IF($C1318="","Commercial",$C1318))),Variables!$B$1:$D$1,0),1))*(AV1318/365))+(INDEX(Variables!$B$8:$D$8,IFERROR(MATCH(IF($B1318="Robusta","Robusta",(IF($B1318="","Arabica",$B1318))&amp;" - "&amp;(IF($C1318="","Commercial",$C1318))),Variables!$B$1:$D$1,0),1))*L1318/16.67)),""))</f>
        <v/>
      </c>
      <c r="AX1318" s="9"/>
      <c r="AY1318" s="12"/>
      <c r="AZ1318" s="10"/>
      <c r="BA1318" s="9"/>
      <c r="BB1318" s="10"/>
      <c r="BC1318" s="9"/>
      <c r="BD1318" s="9"/>
      <c r="BE1318" s="9"/>
      <c r="BF1318" s="9"/>
    </row>
    <row r="1319" spans="1:58" x14ac:dyDescent="0.25">
      <c r="A1319" s="9" t="s">
        <v>84</v>
      </c>
      <c r="B1319" s="9" t="s">
        <v>85</v>
      </c>
      <c r="C1319" s="9" t="s">
        <v>1486</v>
      </c>
      <c r="D1319" s="10">
        <v>46072</v>
      </c>
      <c r="E1319" s="10">
        <v>46082</v>
      </c>
      <c r="F1319" s="10">
        <v>46112</v>
      </c>
      <c r="G1319" s="9">
        <v>3787319</v>
      </c>
      <c r="H1319" s="9" t="str">
        <f t="shared" si="124"/>
        <v>Open</v>
      </c>
      <c r="I1319" s="9" t="str">
        <f t="shared" si="125"/>
        <v>No shipping advice sent and No docs dispatch date</v>
      </c>
      <c r="J1319" s="9" t="s">
        <v>1455</v>
      </c>
      <c r="K1319" s="9" t="s">
        <v>2793</v>
      </c>
      <c r="L1319" s="11">
        <v>6</v>
      </c>
      <c r="M1319" s="9" t="s">
        <v>2792</v>
      </c>
      <c r="N1319" s="9"/>
      <c r="O1319" s="9"/>
      <c r="P1319" s="9"/>
      <c r="Q1319" s="11">
        <v>205.45</v>
      </c>
      <c r="R1319" s="9" t="s">
        <v>195</v>
      </c>
      <c r="S1319" s="9"/>
      <c r="T1319" s="12">
        <f>IF($H1319="Cancelled","",IFERROR(((Q1319+INDEX(Variables!$B$6:$D$6,IFERROR(MATCH(IF($B1319="Robusta","Robusta",(IF($B1319="","Arabica",$B1319))&amp;" - "&amp;(IF($C1319="","Commercial",$C1319))),Variables!$B$1:$D$1,0),1)))*22.0462)*(L1319/16.67),""))</f>
        <v>3937.7660767846419</v>
      </c>
      <c r="U1319" s="10"/>
      <c r="V1319" s="9" t="str">
        <f t="shared" si="129"/>
        <v/>
      </c>
      <c r="W1319" s="10">
        <v>46068</v>
      </c>
      <c r="X1319" s="9" t="str">
        <f t="shared" si="130"/>
        <v>Approved</v>
      </c>
      <c r="Y1319" s="10">
        <v>46101</v>
      </c>
      <c r="Z1319" s="10">
        <f>IF($H1319="Cancelled","",IFERROR(IF(F1319="","",F1319-Variables!$B$13),""))</f>
        <v>46097</v>
      </c>
      <c r="AA1319" s="11">
        <f>IF($H1319="Cancelled","",IFERROR(IF(W1319="","",(AVERAGE(E1319:F1319)-W1319)-Variables!$B$14),""))</f>
        <v>-1</v>
      </c>
      <c r="AB1319" s="10">
        <v>46106</v>
      </c>
      <c r="AC1319" s="11">
        <f>IF($H1319="Cancelled","",IFERROR(IF(AB1319="","",IF(AND(W1319="",Y1319=""),"",IF(Y1319&gt;W1319,Y1319+Variables!$B$15+Variables!$B$16+Variables!$B$17-AB1319,W1319+Variables!$B$16+Variables!$B$17-AB1319))),""))</f>
        <v>10</v>
      </c>
      <c r="AD1319" s="9" t="s">
        <v>1458</v>
      </c>
      <c r="AE1319" s="9" t="s">
        <v>1459</v>
      </c>
      <c r="AF1319" s="10">
        <v>46168</v>
      </c>
      <c r="AG1319" s="10"/>
      <c r="AH1319" s="9"/>
      <c r="AI1319" s="9" t="s">
        <v>1462</v>
      </c>
      <c r="AJ1319" s="9"/>
      <c r="AK1319" s="10">
        <v>46112</v>
      </c>
      <c r="AL1319" s="10"/>
      <c r="AM1319" s="10"/>
      <c r="AN1319" s="9" t="s">
        <v>2605</v>
      </c>
      <c r="AO1319" s="9"/>
      <c r="AP1319" s="11">
        <f>IF($H1319="Cancelled","",IFERROR(IF(OR(AK1319="",AB1319=""),"",(AB1319+Variables!$B$18-AK1319)),""))</f>
        <v>1</v>
      </c>
      <c r="AQ1319" s="11" t="str">
        <f>IF($H1319="Cancelled","",IFERROR(IF(OR(AM1319="",AK1319=""),"",(AK1319+Variables!$B$19)-AM1319),""))</f>
        <v/>
      </c>
      <c r="AR1319" s="12" t="str">
        <f>IF($H1319="Cancelled","",IFERROR(T1319*INDEX(Variables!$B$7:$D$7,IFERROR(MATCH(IF($B1319="Robusta","Robusta",(IF($B1319="","Arabica",$B1319))&amp;" - "&amp;(IF($C1319="","Commercial",$C1319))),Variables!$B$1:$D$1,0),1))*(AQ1319/365),""))</f>
        <v/>
      </c>
      <c r="AS1319" s="12">
        <f>IF($H1319="Cancelled","",IFERROR((T1319*INDEX(Variables!$B$7:$D$7,IFERROR(MATCH(IF($B1319="Robusta","Robusta",(IF($B1319="","Arabica",$B1319))&amp;" - "&amp;(IF($C1319="","Commercial",$C1319))),Variables!$B$1:$D$1,0),1))*IFERROR(IF(W1319="","",(AVERAGE(E1319:F1319)-W1319)-Variables!$B$14),"")/365)+(L1319/16.67*INDEX(Variables!$B$8:$D$8,IFERROR(MATCH(IF($B1319="Robusta","Robusta",(IF($B1319="","Arabica",$B1319))&amp;" - "&amp;(IF($C1319="","Commercial",$C1319))),Variables!$B$1:$D$1,0),1))*IFERROR(IF(W1319="","",(AVERAGE(E1319:F1319)-W1319)-Variables!$B$14),""))+(T1319*INDEX(Variables!$B$9:$D$9,IFERROR(MATCH(IF($B1319="Robusta","Robusta",(IF($B1319="","Arabica",$B1319))&amp;" - "&amp;(IF($C1319="","Commercial",$C1319))),Variables!$B$1:$D$1,0),1))*IFERROR(IF(W1319="","",(AVERAGE(E1319:F1319)-W1319)-Variables!$B$14),"")/365),""))</f>
        <v>-1.0046281771399281</v>
      </c>
      <c r="AT1319" s="12">
        <f>IF($H1319="Cancelled","",IFERROR((T1319*INDEX(Variables!$B$7:$D$7,IFERROR(MATCH(IF($B1319="Robusta","Robusta",(IF($B1319="","Arabica",$B1319))&amp;" - "&amp;(IF($C1319="","Commercial",$C1319))),Variables!$B$1:$D$1,0),1))*AC1319/365)+(L1319/16.67*INDEX(Variables!$B$8:$D$8,IFERROR(MATCH(IF($B1319="Robusta","Robusta",(IF($B1319="","Arabica",$B1319))&amp;" - "&amp;(IF($C1319="","Commercial",$C1319))),Variables!$B$1:$D$1,0),1))*AC1319)+(T1319*INDEX(Variables!$B$9:$D$9,IFERROR(MATCH(IF($B1319="Robusta","Robusta",(IF($B1319="","Arabica",$B1319))&amp;" - "&amp;(IF($C1319="","Commercial",$C1319))),Variables!$B$1:$D$1,0),1))*AC1319/365),""))</f>
        <v>10.046281771399279</v>
      </c>
      <c r="AU1319" s="12">
        <f>IF($H1319="Cancelled","",IFERROR((T1319*INDEX(Variables!$B$7:$D$7,IFERROR(MATCH(IF($B1319="Robusta","Robusta",(IF($B1319="","Arabica",$B1319))&amp;" - "&amp;(IF($C1319="","Commercial",$C1319))),Variables!$B$1:$D$1,0),1))*AP1319/365)+(L1319/16.67*INDEX(Variables!$B$8:$D$8,IFERROR(MATCH(IF($B1319="Robusta","Robusta",(IF($B1319="","Arabica",$B1319))&amp;" - "&amp;(IF($C1319="","Commercial",$C1319))),Variables!$B$1:$D$1,0),1))*AP1319)+(T1319*INDEX(Variables!$B$9:$D$9,IFERROR(MATCH(IF($B1319="Robusta","Robusta",(IF($B1319="","Arabica",$B1319))&amp;" - "&amp;(IF($C1319="","Commercial",$C1319))),Variables!$B$1:$D$1,0),1))*AP1319/365),""))</f>
        <v>1.0046281771399281</v>
      </c>
      <c r="AV1319" s="11">
        <f t="shared" si="126"/>
        <v>0</v>
      </c>
      <c r="AW1319" s="12">
        <f>IF($H1319="Cancelled","",IFERROR(IF(AV1319="","",(T1319*INDEX(Variables!$B$7:$D$7,IFERROR(MATCH(IF($B1319="Robusta","Robusta",(IF($B1319="","Arabica",$B1319))&amp;" - "&amp;(IF($C1319="","Commercial",$C1319))),Variables!$B$1:$D$1,0),1))*(AV1319/365))+(T1319*INDEX(Variables!$B$9:$D$9,IFERROR(MATCH(IF($B1319="Robusta","Robusta",(IF($B1319="","Arabica",$B1319))&amp;" - "&amp;(IF($C1319="","Commercial",$C1319))),Variables!$B$1:$D$1,0),1))*(AV1319/365))+(INDEX(Variables!$B$8:$D$8,IFERROR(MATCH(IF($B1319="Robusta","Robusta",(IF($B1319="","Arabica",$B1319))&amp;" - "&amp;(IF($C1319="","Commercial",$C1319))),Variables!$B$1:$D$1,0),1))*L1319/16.67)),""))</f>
        <v>0.30000000000000004</v>
      </c>
      <c r="AX1319" s="9"/>
      <c r="AY1319" s="12"/>
      <c r="AZ1319" s="10"/>
      <c r="BA1319" s="9"/>
      <c r="BB1319" s="10"/>
      <c r="BC1319" s="9"/>
      <c r="BD1319" s="9"/>
      <c r="BE1319" s="9"/>
      <c r="BF1319" s="9"/>
    </row>
    <row r="1320" spans="1:58" x14ac:dyDescent="0.25">
      <c r="A1320" s="9" t="s">
        <v>84</v>
      </c>
      <c r="B1320" s="9" t="s">
        <v>85</v>
      </c>
      <c r="C1320" s="9" t="s">
        <v>1486</v>
      </c>
      <c r="D1320" s="10">
        <v>46093</v>
      </c>
      <c r="E1320" s="10">
        <v>46082</v>
      </c>
      <c r="F1320" s="10">
        <v>46112</v>
      </c>
      <c r="G1320" s="9">
        <v>3787425</v>
      </c>
      <c r="H1320" s="9" t="str">
        <f t="shared" si="124"/>
        <v>Open</v>
      </c>
      <c r="I1320" s="9" t="str">
        <f t="shared" si="125"/>
        <v>No sailing date and No shipping advice sent and No docs dispatch date</v>
      </c>
      <c r="J1320" s="9" t="s">
        <v>1487</v>
      </c>
      <c r="K1320" s="9" t="s">
        <v>2794</v>
      </c>
      <c r="L1320" s="11">
        <v>30</v>
      </c>
      <c r="M1320" s="9" t="s">
        <v>2795</v>
      </c>
      <c r="N1320" s="9"/>
      <c r="O1320" s="9"/>
      <c r="P1320" s="9"/>
      <c r="Q1320" s="11">
        <v>180</v>
      </c>
      <c r="R1320" s="9" t="s">
        <v>195</v>
      </c>
      <c r="S1320" s="9" t="s">
        <v>183</v>
      </c>
      <c r="T1320" s="12">
        <f>IF($H1320="Cancelled","",IFERROR(((Q1320+INDEX(Variables!$B$6:$D$6,IFERROR(MATCH(IF($B1320="Robusta","Robusta",(IF($B1320="","Arabica",$B1320))&amp;" - "&amp;(IF($C1320="","Commercial",$C1320))),Variables!$B$1:$D$1,0),1)))*22.0462)*(L1320/16.67),""))</f>
        <v>18679.095908818235</v>
      </c>
      <c r="U1320" s="10"/>
      <c r="V1320" s="9" t="str">
        <f t="shared" si="129"/>
        <v/>
      </c>
      <c r="W1320" s="10"/>
      <c r="X1320" s="9" t="str">
        <f t="shared" si="130"/>
        <v/>
      </c>
      <c r="Y1320" s="10"/>
      <c r="Z1320" s="10">
        <f>IF($H1320="Cancelled","",IFERROR(IF(F1320="","",F1320-Variables!$B$13),""))</f>
        <v>46097</v>
      </c>
      <c r="AA1320" s="11" t="str">
        <f>IF($H1320="Cancelled","",IFERROR(IF(W1320="","",(AVERAGE(E1320:F1320)-W1320)-Variables!$B$14),""))</f>
        <v/>
      </c>
      <c r="AB1320" s="10"/>
      <c r="AC1320" s="11" t="str">
        <f>IF($H1320="Cancelled","",IFERROR(IF(AB1320="","",IF(AND(W1320="",Y1320=""),"",IF(Y1320&gt;W1320,Y1320+Variables!$B$15+Variables!$B$16+Variables!$B$17-AB1320,W1320+Variables!$B$16+Variables!$B$17-AB1320))),""))</f>
        <v/>
      </c>
      <c r="AD1320" s="9" t="s">
        <v>165</v>
      </c>
      <c r="AE1320" s="9"/>
      <c r="AF1320" s="10"/>
      <c r="AG1320" s="10"/>
      <c r="AH1320" s="9"/>
      <c r="AI1320" s="9"/>
      <c r="AJ1320" s="9"/>
      <c r="AK1320" s="10"/>
      <c r="AL1320" s="10"/>
      <c r="AM1320" s="10"/>
      <c r="AN1320" s="9" t="s">
        <v>1188</v>
      </c>
      <c r="AO1320" s="9"/>
      <c r="AP1320" s="11" t="str">
        <f>IF($H1320="Cancelled","",IFERROR(IF(OR(AK1320="",AB1320=""),"",(AB1320+Variables!$B$18-AK1320)),""))</f>
        <v/>
      </c>
      <c r="AQ1320" s="11" t="str">
        <f>IF($H1320="Cancelled","",IFERROR(IF(OR(AM1320="",AK1320=""),"",(AK1320+Variables!$B$19)-AM1320),""))</f>
        <v/>
      </c>
      <c r="AR1320" s="12" t="str">
        <f>IF($H1320="Cancelled","",IFERROR(T1320*INDEX(Variables!$B$7:$D$7,IFERROR(MATCH(IF($B1320="Robusta","Robusta",(IF($B1320="","Arabica",$B1320))&amp;" - "&amp;(IF($C1320="","Commercial",$C1320))),Variables!$B$1:$D$1,0),1))*(AQ1320/365),""))</f>
        <v/>
      </c>
      <c r="AS1320" s="12" t="str">
        <f>IF($H1320="Cancelled","",IFERROR((T1320*INDEX(Variables!$B$7:$D$7,IFERROR(MATCH(IF($B1320="Robusta","Robusta",(IF($B1320="","Arabica",$B1320))&amp;" - "&amp;(IF($C1320="","Commercial",$C1320))),Variables!$B$1:$D$1,0),1))*IFERROR(IF(W1320="","",(AVERAGE(E1320:F1320)-W1320)-Variables!$B$14),"")/365)+(L1320/16.67*INDEX(Variables!$B$8:$D$8,IFERROR(MATCH(IF($B1320="Robusta","Robusta",(IF($B1320="","Arabica",$B1320))&amp;" - "&amp;(IF($C1320="","Commercial",$C1320))),Variables!$B$1:$D$1,0),1))*IFERROR(IF(W1320="","",(AVERAGE(E1320:F1320)-W1320)-Variables!$B$14),""))+(T1320*INDEX(Variables!$B$9:$D$9,IFERROR(MATCH(IF($B1320="Robusta","Robusta",(IF($B1320="","Arabica",$B1320))&amp;" - "&amp;(IF($C1320="","Commercial",$C1320))),Variables!$B$1:$D$1,0),1))*IFERROR(IF(W1320="","",(AVERAGE(E1320:F1320)-W1320)-Variables!$B$14),"")/365),""))</f>
        <v/>
      </c>
      <c r="AT1320" s="12" t="str">
        <f>IF($H1320="Cancelled","",IFERROR((T1320*INDEX(Variables!$B$7:$D$7,IFERROR(MATCH(IF($B1320="Robusta","Robusta",(IF($B1320="","Arabica",$B1320))&amp;" - "&amp;(IF($C1320="","Commercial",$C1320))),Variables!$B$1:$D$1,0),1))*AC1320/365)+(L1320/16.67*INDEX(Variables!$B$8:$D$8,IFERROR(MATCH(IF($B1320="Robusta","Robusta",(IF($B1320="","Arabica",$B1320))&amp;" - "&amp;(IF($C1320="","Commercial",$C1320))),Variables!$B$1:$D$1,0),1))*AC1320)+(T1320*INDEX(Variables!$B$9:$D$9,IFERROR(MATCH(IF($B1320="Robusta","Robusta",(IF($B1320="","Arabica",$B1320))&amp;" - "&amp;(IF($C1320="","Commercial",$C1320))),Variables!$B$1:$D$1,0),1))*AC1320/365),""))</f>
        <v/>
      </c>
      <c r="AU1320" s="12" t="str">
        <f>IF($H1320="Cancelled","",IFERROR((T1320*INDEX(Variables!$B$7:$D$7,IFERROR(MATCH(IF($B1320="Robusta","Robusta",(IF($B1320="","Arabica",$B1320))&amp;" - "&amp;(IF($C1320="","Commercial",$C1320))),Variables!$B$1:$D$1,0),1))*AP1320/365)+(L1320/16.67*INDEX(Variables!$B$8:$D$8,IFERROR(MATCH(IF($B1320="Robusta","Robusta",(IF($B1320="","Arabica",$B1320))&amp;" - "&amp;(IF($C1320="","Commercial",$C1320))),Variables!$B$1:$D$1,0),1))*AP1320)+(T1320*INDEX(Variables!$B$9:$D$9,IFERROR(MATCH(IF($B1320="Robusta","Robusta",(IF($B1320="","Arabica",$B1320))&amp;" - "&amp;(IF($C1320="","Commercial",$C1320))),Variables!$B$1:$D$1,0),1))*AP1320/365),""))</f>
        <v/>
      </c>
      <c r="AV1320" s="11" t="str">
        <f t="shared" si="126"/>
        <v/>
      </c>
      <c r="AW1320" s="12" t="str">
        <f>IF($H1320="Cancelled","",IFERROR(IF(AV1320="","",(T1320*INDEX(Variables!$B$7:$D$7,IFERROR(MATCH(IF($B1320="Robusta","Robusta",(IF($B1320="","Arabica",$B1320))&amp;" - "&amp;(IF($C1320="","Commercial",$C1320))),Variables!$B$1:$D$1,0),1))*(AV1320/365))+(T1320*INDEX(Variables!$B$9:$D$9,IFERROR(MATCH(IF($B1320="Robusta","Robusta",(IF($B1320="","Arabica",$B1320))&amp;" - "&amp;(IF($C1320="","Commercial",$C1320))),Variables!$B$1:$D$1,0),1))*(AV1320/365))+(INDEX(Variables!$B$8:$D$8,IFERROR(MATCH(IF($B1320="Robusta","Robusta",(IF($B1320="","Arabica",$B1320))&amp;" - "&amp;(IF($C1320="","Commercial",$C1320))),Variables!$B$1:$D$1,0),1))*L1320/16.67)),""))</f>
        <v/>
      </c>
      <c r="AX1320" s="9"/>
      <c r="AY1320" s="12"/>
      <c r="AZ1320" s="10"/>
      <c r="BA1320" s="9"/>
      <c r="BB1320" s="10"/>
      <c r="BC1320" s="9"/>
      <c r="BD1320" s="9"/>
      <c r="BE1320" s="9"/>
      <c r="BF1320" s="9"/>
    </row>
    <row r="1321" spans="1:58" x14ac:dyDescent="0.25">
      <c r="A1321" s="9" t="s">
        <v>84</v>
      </c>
      <c r="B1321" s="9" t="s">
        <v>85</v>
      </c>
      <c r="C1321" s="9" t="s">
        <v>1486</v>
      </c>
      <c r="D1321" s="10">
        <v>46064</v>
      </c>
      <c r="E1321" s="10">
        <v>46082</v>
      </c>
      <c r="F1321" s="10">
        <v>46112</v>
      </c>
      <c r="G1321" s="9">
        <v>3787255</v>
      </c>
      <c r="H1321" s="9" t="str">
        <f t="shared" si="124"/>
        <v>Open</v>
      </c>
      <c r="I1321" s="9" t="str">
        <f t="shared" si="125"/>
        <v>No sailing date and No shipping advice sent and No docs dispatch date</v>
      </c>
      <c r="J1321" s="9" t="s">
        <v>1592</v>
      </c>
      <c r="K1321" s="9"/>
      <c r="L1321" s="11">
        <v>49</v>
      </c>
      <c r="M1321" s="9" t="s">
        <v>2796</v>
      </c>
      <c r="N1321" s="9"/>
      <c r="O1321" s="9"/>
      <c r="P1321" s="9"/>
      <c r="Q1321" s="11">
        <v>174.7</v>
      </c>
      <c r="R1321" s="9" t="s">
        <v>195</v>
      </c>
      <c r="S1321" s="9"/>
      <c r="T1321" s="12">
        <f>IF($H1321="Cancelled","",IFERROR(((Q1321+INDEX(Variables!$B$6:$D$6,IFERROR(MATCH(IF($B1321="Robusta","Robusta",(IF($B1321="","Arabica",$B1321))&amp;" - "&amp;(IF($C1321="","Commercial",$C1321))),Variables!$B$1:$D$1,0),1)))*22.0462)*(L1321/16.67),""))</f>
        <v>30165.734787042584</v>
      </c>
      <c r="U1321" s="10"/>
      <c r="V1321" s="9" t="str">
        <f t="shared" si="129"/>
        <v/>
      </c>
      <c r="W1321" s="10"/>
      <c r="X1321" s="9" t="str">
        <f t="shared" si="130"/>
        <v/>
      </c>
      <c r="Y1321" s="10"/>
      <c r="Z1321" s="10">
        <f>IF($H1321="Cancelled","",IFERROR(IF(F1321="","",F1321-Variables!$B$13),""))</f>
        <v>46097</v>
      </c>
      <c r="AA1321" s="11" t="str">
        <f>IF($H1321="Cancelled","",IFERROR(IF(W1321="","",(AVERAGE(E1321:F1321)-W1321)-Variables!$B$14),""))</f>
        <v/>
      </c>
      <c r="AB1321" s="10"/>
      <c r="AC1321" s="11" t="str">
        <f>IF($H1321="Cancelled","",IFERROR(IF(AB1321="","",IF(AND(W1321="",Y1321=""),"",IF(Y1321&gt;W1321,Y1321+Variables!$B$15+Variables!$B$16+Variables!$B$17-AB1321,W1321+Variables!$B$16+Variables!$B$17-AB1321))),""))</f>
        <v/>
      </c>
      <c r="AD1321" s="9"/>
      <c r="AE1321" s="9"/>
      <c r="AF1321" s="10"/>
      <c r="AG1321" s="10"/>
      <c r="AH1321" s="9"/>
      <c r="AI1321" s="9"/>
      <c r="AJ1321" s="9"/>
      <c r="AK1321" s="10"/>
      <c r="AL1321" s="10"/>
      <c r="AM1321" s="10"/>
      <c r="AN1321" s="9" t="s">
        <v>1188</v>
      </c>
      <c r="AO1321" s="9"/>
      <c r="AP1321" s="11" t="str">
        <f>IF($H1321="Cancelled","",IFERROR(IF(OR(AK1321="",AB1321=""),"",(AB1321+Variables!$B$18-AK1321)),""))</f>
        <v/>
      </c>
      <c r="AQ1321" s="11" t="str">
        <f>IF($H1321="Cancelled","",IFERROR(IF(OR(AM1321="",AK1321=""),"",(AK1321+Variables!$B$19)-AM1321),""))</f>
        <v/>
      </c>
      <c r="AR1321" s="12" t="str">
        <f>IF($H1321="Cancelled","",IFERROR(T1321*INDEX(Variables!$B$7:$D$7,IFERROR(MATCH(IF($B1321="Robusta","Robusta",(IF($B1321="","Arabica",$B1321))&amp;" - "&amp;(IF($C1321="","Commercial",$C1321))),Variables!$B$1:$D$1,0),1))*(AQ1321/365),""))</f>
        <v/>
      </c>
      <c r="AS1321" s="12" t="str">
        <f>IF($H1321="Cancelled","",IFERROR((T1321*INDEX(Variables!$B$7:$D$7,IFERROR(MATCH(IF($B1321="Robusta","Robusta",(IF($B1321="","Arabica",$B1321))&amp;" - "&amp;(IF($C1321="","Commercial",$C1321))),Variables!$B$1:$D$1,0),1))*IFERROR(IF(W1321="","",(AVERAGE(E1321:F1321)-W1321)-Variables!$B$14),"")/365)+(L1321/16.67*INDEX(Variables!$B$8:$D$8,IFERROR(MATCH(IF($B1321="Robusta","Robusta",(IF($B1321="","Arabica",$B1321))&amp;" - "&amp;(IF($C1321="","Commercial",$C1321))),Variables!$B$1:$D$1,0),1))*IFERROR(IF(W1321="","",(AVERAGE(E1321:F1321)-W1321)-Variables!$B$14),""))+(T1321*INDEX(Variables!$B$9:$D$9,IFERROR(MATCH(IF($B1321="Robusta","Robusta",(IF($B1321="","Arabica",$B1321))&amp;" - "&amp;(IF($C1321="","Commercial",$C1321))),Variables!$B$1:$D$1,0),1))*IFERROR(IF(W1321="","",(AVERAGE(E1321:F1321)-W1321)-Variables!$B$14),"")/365),""))</f>
        <v/>
      </c>
      <c r="AT1321" s="12" t="str">
        <f>IF($H1321="Cancelled","",IFERROR((T1321*INDEX(Variables!$B$7:$D$7,IFERROR(MATCH(IF($B1321="Robusta","Robusta",(IF($B1321="","Arabica",$B1321))&amp;" - "&amp;(IF($C1321="","Commercial",$C1321))),Variables!$B$1:$D$1,0),1))*AC1321/365)+(L1321/16.67*INDEX(Variables!$B$8:$D$8,IFERROR(MATCH(IF($B1321="Robusta","Robusta",(IF($B1321="","Arabica",$B1321))&amp;" - "&amp;(IF($C1321="","Commercial",$C1321))),Variables!$B$1:$D$1,0),1))*AC1321)+(T1321*INDEX(Variables!$B$9:$D$9,IFERROR(MATCH(IF($B1321="Robusta","Robusta",(IF($B1321="","Arabica",$B1321))&amp;" - "&amp;(IF($C1321="","Commercial",$C1321))),Variables!$B$1:$D$1,0),1))*AC1321/365),""))</f>
        <v/>
      </c>
      <c r="AU1321" s="12" t="str">
        <f>IF($H1321="Cancelled","",IFERROR((T1321*INDEX(Variables!$B$7:$D$7,IFERROR(MATCH(IF($B1321="Robusta","Robusta",(IF($B1321="","Arabica",$B1321))&amp;" - "&amp;(IF($C1321="","Commercial",$C1321))),Variables!$B$1:$D$1,0),1))*AP1321/365)+(L1321/16.67*INDEX(Variables!$B$8:$D$8,IFERROR(MATCH(IF($B1321="Robusta","Robusta",(IF($B1321="","Arabica",$B1321))&amp;" - "&amp;(IF($C1321="","Commercial",$C1321))),Variables!$B$1:$D$1,0),1))*AP1321)+(T1321*INDEX(Variables!$B$9:$D$9,IFERROR(MATCH(IF($B1321="Robusta","Robusta",(IF($B1321="","Arabica",$B1321))&amp;" - "&amp;(IF($C1321="","Commercial",$C1321))),Variables!$B$1:$D$1,0),1))*AP1321/365),""))</f>
        <v/>
      </c>
      <c r="AV1321" s="11" t="str">
        <f t="shared" si="126"/>
        <v/>
      </c>
      <c r="AW1321" s="12" t="str">
        <f>IF($H1321="Cancelled","",IFERROR(IF(AV1321="","",(T1321*INDEX(Variables!$B$7:$D$7,IFERROR(MATCH(IF($B1321="Robusta","Robusta",(IF($B1321="","Arabica",$B1321))&amp;" - "&amp;(IF($C1321="","Commercial",$C1321))),Variables!$B$1:$D$1,0),1))*(AV1321/365))+(T1321*INDEX(Variables!$B$9:$D$9,IFERROR(MATCH(IF($B1321="Robusta","Robusta",(IF($B1321="","Arabica",$B1321))&amp;" - "&amp;(IF($C1321="","Commercial",$C1321))),Variables!$B$1:$D$1,0),1))*(AV1321/365))+(INDEX(Variables!$B$8:$D$8,IFERROR(MATCH(IF($B1321="Robusta","Robusta",(IF($B1321="","Arabica",$B1321))&amp;" - "&amp;(IF($C1321="","Commercial",$C1321))),Variables!$B$1:$D$1,0),1))*L1321/16.67)),""))</f>
        <v/>
      </c>
      <c r="AX1321" s="9"/>
      <c r="AY1321" s="12"/>
      <c r="AZ1321" s="10"/>
      <c r="BA1321" s="9"/>
      <c r="BB1321" s="10"/>
      <c r="BC1321" s="9"/>
      <c r="BD1321" s="9"/>
      <c r="BE1321" s="9"/>
      <c r="BF1321" s="9"/>
    </row>
    <row r="1322" spans="1:58" x14ac:dyDescent="0.25">
      <c r="A1322" s="9" t="s">
        <v>84</v>
      </c>
      <c r="B1322" s="9" t="s">
        <v>85</v>
      </c>
      <c r="C1322" s="9" t="s">
        <v>1486</v>
      </c>
      <c r="D1322" s="10">
        <v>46064</v>
      </c>
      <c r="E1322" s="10">
        <v>46082</v>
      </c>
      <c r="F1322" s="10">
        <v>46112</v>
      </c>
      <c r="G1322" s="9">
        <v>3787254</v>
      </c>
      <c r="H1322" s="9" t="str">
        <f t="shared" si="124"/>
        <v>Open</v>
      </c>
      <c r="I1322" s="9" t="str">
        <f t="shared" si="125"/>
        <v>No sailing date and No shipping advice sent and No docs dispatch date</v>
      </c>
      <c r="J1322" s="9" t="s">
        <v>1592</v>
      </c>
      <c r="K1322" s="9"/>
      <c r="L1322" s="11">
        <v>51</v>
      </c>
      <c r="M1322" s="9" t="s">
        <v>2797</v>
      </c>
      <c r="N1322" s="9"/>
      <c r="O1322" s="9"/>
      <c r="P1322" s="9"/>
      <c r="Q1322" s="11">
        <v>199.7</v>
      </c>
      <c r="R1322" s="9" t="s">
        <v>195</v>
      </c>
      <c r="S1322" s="9"/>
      <c r="T1322" s="12">
        <f>IF($H1322="Cancelled","",IFERROR(((Q1322+INDEX(Variables!$B$6:$D$6,IFERROR(MATCH(IF($B1322="Robusta","Robusta",(IF($B1322="","Arabica",$B1322))&amp;" - "&amp;(IF($C1322="","Commercial",$C1322))),Variables!$B$1:$D$1,0),1)))*22.0462)*(L1322/16.67),""))</f>
        <v>33083.186328734249</v>
      </c>
      <c r="U1322" s="10"/>
      <c r="V1322" s="9" t="str">
        <f t="shared" si="129"/>
        <v/>
      </c>
      <c r="W1322" s="10"/>
      <c r="X1322" s="9" t="str">
        <f t="shared" si="130"/>
        <v/>
      </c>
      <c r="Y1322" s="10"/>
      <c r="Z1322" s="10">
        <f>IF($H1322="Cancelled","",IFERROR(IF(F1322="","",F1322-Variables!$B$13),""))</f>
        <v>46097</v>
      </c>
      <c r="AA1322" s="11" t="str">
        <f>IF($H1322="Cancelled","",IFERROR(IF(W1322="","",(AVERAGE(E1322:F1322)-W1322)-Variables!$B$14),""))</f>
        <v/>
      </c>
      <c r="AB1322" s="10"/>
      <c r="AC1322" s="11" t="str">
        <f>IF($H1322="Cancelled","",IFERROR(IF(AB1322="","",IF(AND(W1322="",Y1322=""),"",IF(Y1322&gt;W1322,Y1322+Variables!$B$15+Variables!$B$16+Variables!$B$17-AB1322,W1322+Variables!$B$16+Variables!$B$17-AB1322))),""))</f>
        <v/>
      </c>
      <c r="AD1322" s="9"/>
      <c r="AE1322" s="9"/>
      <c r="AF1322" s="10"/>
      <c r="AG1322" s="10"/>
      <c r="AH1322" s="9"/>
      <c r="AI1322" s="9"/>
      <c r="AJ1322" s="9"/>
      <c r="AK1322" s="10"/>
      <c r="AL1322" s="10"/>
      <c r="AM1322" s="10"/>
      <c r="AN1322" s="9" t="s">
        <v>1188</v>
      </c>
      <c r="AO1322" s="9"/>
      <c r="AP1322" s="11" t="str">
        <f>IF($H1322="Cancelled","",IFERROR(IF(OR(AK1322="",AB1322=""),"",(AB1322+Variables!$B$18-AK1322)),""))</f>
        <v/>
      </c>
      <c r="AQ1322" s="11" t="str">
        <f>IF($H1322="Cancelled","",IFERROR(IF(OR(AM1322="",AK1322=""),"",(AK1322+Variables!$B$19)-AM1322),""))</f>
        <v/>
      </c>
      <c r="AR1322" s="12" t="str">
        <f>IF($H1322="Cancelled","",IFERROR(T1322*INDEX(Variables!$B$7:$D$7,IFERROR(MATCH(IF($B1322="Robusta","Robusta",(IF($B1322="","Arabica",$B1322))&amp;" - "&amp;(IF($C1322="","Commercial",$C1322))),Variables!$B$1:$D$1,0),1))*(AQ1322/365),""))</f>
        <v/>
      </c>
      <c r="AS1322" s="12" t="str">
        <f>IF($H1322="Cancelled","",IFERROR((T1322*INDEX(Variables!$B$7:$D$7,IFERROR(MATCH(IF($B1322="Robusta","Robusta",(IF($B1322="","Arabica",$B1322))&amp;" - "&amp;(IF($C1322="","Commercial",$C1322))),Variables!$B$1:$D$1,0),1))*IFERROR(IF(W1322="","",(AVERAGE(E1322:F1322)-W1322)-Variables!$B$14),"")/365)+(L1322/16.67*INDEX(Variables!$B$8:$D$8,IFERROR(MATCH(IF($B1322="Robusta","Robusta",(IF($B1322="","Arabica",$B1322))&amp;" - "&amp;(IF($C1322="","Commercial",$C1322))),Variables!$B$1:$D$1,0),1))*IFERROR(IF(W1322="","",(AVERAGE(E1322:F1322)-W1322)-Variables!$B$14),""))+(T1322*INDEX(Variables!$B$9:$D$9,IFERROR(MATCH(IF($B1322="Robusta","Robusta",(IF($B1322="","Arabica",$B1322))&amp;" - "&amp;(IF($C1322="","Commercial",$C1322))),Variables!$B$1:$D$1,0),1))*IFERROR(IF(W1322="","",(AVERAGE(E1322:F1322)-W1322)-Variables!$B$14),"")/365),""))</f>
        <v/>
      </c>
      <c r="AT1322" s="12" t="str">
        <f>IF($H1322="Cancelled","",IFERROR((T1322*INDEX(Variables!$B$7:$D$7,IFERROR(MATCH(IF($B1322="Robusta","Robusta",(IF($B1322="","Arabica",$B1322))&amp;" - "&amp;(IF($C1322="","Commercial",$C1322))),Variables!$B$1:$D$1,0),1))*AC1322/365)+(L1322/16.67*INDEX(Variables!$B$8:$D$8,IFERROR(MATCH(IF($B1322="Robusta","Robusta",(IF($B1322="","Arabica",$B1322))&amp;" - "&amp;(IF($C1322="","Commercial",$C1322))),Variables!$B$1:$D$1,0),1))*AC1322)+(T1322*INDEX(Variables!$B$9:$D$9,IFERROR(MATCH(IF($B1322="Robusta","Robusta",(IF($B1322="","Arabica",$B1322))&amp;" - "&amp;(IF($C1322="","Commercial",$C1322))),Variables!$B$1:$D$1,0),1))*AC1322/365),""))</f>
        <v/>
      </c>
      <c r="AU1322" s="12" t="str">
        <f>IF($H1322="Cancelled","",IFERROR((T1322*INDEX(Variables!$B$7:$D$7,IFERROR(MATCH(IF($B1322="Robusta","Robusta",(IF($B1322="","Arabica",$B1322))&amp;" - "&amp;(IF($C1322="","Commercial",$C1322))),Variables!$B$1:$D$1,0),1))*AP1322/365)+(L1322/16.67*INDEX(Variables!$B$8:$D$8,IFERROR(MATCH(IF($B1322="Robusta","Robusta",(IF($B1322="","Arabica",$B1322))&amp;" - "&amp;(IF($C1322="","Commercial",$C1322))),Variables!$B$1:$D$1,0),1))*AP1322)+(T1322*INDEX(Variables!$B$9:$D$9,IFERROR(MATCH(IF($B1322="Robusta","Robusta",(IF($B1322="","Arabica",$B1322))&amp;" - "&amp;(IF($C1322="","Commercial",$C1322))),Variables!$B$1:$D$1,0),1))*AP1322/365),""))</f>
        <v/>
      </c>
      <c r="AV1322" s="11" t="str">
        <f t="shared" si="126"/>
        <v/>
      </c>
      <c r="AW1322" s="12" t="str">
        <f>IF($H1322="Cancelled","",IFERROR(IF(AV1322="","",(T1322*INDEX(Variables!$B$7:$D$7,IFERROR(MATCH(IF($B1322="Robusta","Robusta",(IF($B1322="","Arabica",$B1322))&amp;" - "&amp;(IF($C1322="","Commercial",$C1322))),Variables!$B$1:$D$1,0),1))*(AV1322/365))+(T1322*INDEX(Variables!$B$9:$D$9,IFERROR(MATCH(IF($B1322="Robusta","Robusta",(IF($B1322="","Arabica",$B1322))&amp;" - "&amp;(IF($C1322="","Commercial",$C1322))),Variables!$B$1:$D$1,0),1))*(AV1322/365))+(INDEX(Variables!$B$8:$D$8,IFERROR(MATCH(IF($B1322="Robusta","Robusta",(IF($B1322="","Arabica",$B1322))&amp;" - "&amp;(IF($C1322="","Commercial",$C1322))),Variables!$B$1:$D$1,0),1))*L1322/16.67)),""))</f>
        <v/>
      </c>
      <c r="AX1322" s="9"/>
      <c r="AY1322" s="12"/>
      <c r="AZ1322" s="10"/>
      <c r="BA1322" s="9"/>
      <c r="BB1322" s="10"/>
      <c r="BC1322" s="9"/>
      <c r="BD1322" s="9"/>
      <c r="BE1322" s="9"/>
      <c r="BF1322" s="9"/>
    </row>
    <row r="1323" spans="1:58" x14ac:dyDescent="0.25">
      <c r="A1323" s="9" t="s">
        <v>84</v>
      </c>
      <c r="B1323" s="9" t="s">
        <v>85</v>
      </c>
      <c r="C1323" s="9" t="s">
        <v>1486</v>
      </c>
      <c r="D1323" s="10">
        <v>46066</v>
      </c>
      <c r="E1323" s="10">
        <v>46082</v>
      </c>
      <c r="F1323" s="10">
        <v>46112</v>
      </c>
      <c r="G1323" s="9">
        <v>3787265</v>
      </c>
      <c r="H1323" s="9" t="str">
        <f t="shared" si="124"/>
        <v>Open</v>
      </c>
      <c r="I1323" s="9" t="str">
        <f t="shared" si="125"/>
        <v>No sailing date and No shipping advice sent and No docs dispatch date</v>
      </c>
      <c r="J1323" s="9" t="s">
        <v>1592</v>
      </c>
      <c r="K1323" s="9"/>
      <c r="L1323" s="11">
        <v>47</v>
      </c>
      <c r="M1323" s="9" t="s">
        <v>2798</v>
      </c>
      <c r="N1323" s="9"/>
      <c r="O1323" s="9"/>
      <c r="P1323" s="9"/>
      <c r="Q1323" s="11">
        <v>177.55</v>
      </c>
      <c r="R1323" s="9" t="s">
        <v>195</v>
      </c>
      <c r="S1323" s="9"/>
      <c r="T1323" s="12">
        <f>IF($H1323="Cancelled","",IFERROR(((Q1323+INDEX(Variables!$B$6:$D$6,IFERROR(MATCH(IF($B1323="Robusta","Robusta",(IF($B1323="","Arabica",$B1323))&amp;" - "&amp;(IF($C1323="","Commercial",$C1323))),Variables!$B$1:$D$1,0),1)))*22.0462)*(L1323/16.67),""))</f>
        <v>29111.630185362927</v>
      </c>
      <c r="U1323" s="10"/>
      <c r="V1323" s="9" t="str">
        <f t="shared" si="129"/>
        <v/>
      </c>
      <c r="W1323" s="10"/>
      <c r="X1323" s="9" t="str">
        <f t="shared" si="130"/>
        <v/>
      </c>
      <c r="Y1323" s="10"/>
      <c r="Z1323" s="10">
        <f>IF($H1323="Cancelled","",IFERROR(IF(F1323="","",F1323-Variables!$B$13),""))</f>
        <v>46097</v>
      </c>
      <c r="AA1323" s="11" t="str">
        <f>IF($H1323="Cancelled","",IFERROR(IF(W1323="","",(AVERAGE(E1323:F1323)-W1323)-Variables!$B$14),""))</f>
        <v/>
      </c>
      <c r="AB1323" s="10"/>
      <c r="AC1323" s="11" t="str">
        <f>IF($H1323="Cancelled","",IFERROR(IF(AB1323="","",IF(AND(W1323="",Y1323=""),"",IF(Y1323&gt;W1323,Y1323+Variables!$B$15+Variables!$B$16+Variables!$B$17-AB1323,W1323+Variables!$B$16+Variables!$B$17-AB1323))),""))</f>
        <v/>
      </c>
      <c r="AD1323" s="9"/>
      <c r="AE1323" s="9"/>
      <c r="AF1323" s="10"/>
      <c r="AG1323" s="10"/>
      <c r="AH1323" s="9"/>
      <c r="AI1323" s="9"/>
      <c r="AJ1323" s="9"/>
      <c r="AK1323" s="10"/>
      <c r="AL1323" s="10"/>
      <c r="AM1323" s="10"/>
      <c r="AN1323" s="9" t="s">
        <v>1188</v>
      </c>
      <c r="AO1323" s="9"/>
      <c r="AP1323" s="11" t="str">
        <f>IF($H1323="Cancelled","",IFERROR(IF(OR(AK1323="",AB1323=""),"",(AB1323+Variables!$B$18-AK1323)),""))</f>
        <v/>
      </c>
      <c r="AQ1323" s="11" t="str">
        <f>IF($H1323="Cancelled","",IFERROR(IF(OR(AM1323="",AK1323=""),"",(AK1323+Variables!$B$19)-AM1323),""))</f>
        <v/>
      </c>
      <c r="AR1323" s="12" t="str">
        <f>IF($H1323="Cancelled","",IFERROR(T1323*INDEX(Variables!$B$7:$D$7,IFERROR(MATCH(IF($B1323="Robusta","Robusta",(IF($B1323="","Arabica",$B1323))&amp;" - "&amp;(IF($C1323="","Commercial",$C1323))),Variables!$B$1:$D$1,0),1))*(AQ1323/365),""))</f>
        <v/>
      </c>
      <c r="AS1323" s="12" t="str">
        <f>IF($H1323="Cancelled","",IFERROR((T1323*INDEX(Variables!$B$7:$D$7,IFERROR(MATCH(IF($B1323="Robusta","Robusta",(IF($B1323="","Arabica",$B1323))&amp;" - "&amp;(IF($C1323="","Commercial",$C1323))),Variables!$B$1:$D$1,0),1))*IFERROR(IF(W1323="","",(AVERAGE(E1323:F1323)-W1323)-Variables!$B$14),"")/365)+(L1323/16.67*INDEX(Variables!$B$8:$D$8,IFERROR(MATCH(IF($B1323="Robusta","Robusta",(IF($B1323="","Arabica",$B1323))&amp;" - "&amp;(IF($C1323="","Commercial",$C1323))),Variables!$B$1:$D$1,0),1))*IFERROR(IF(W1323="","",(AVERAGE(E1323:F1323)-W1323)-Variables!$B$14),""))+(T1323*INDEX(Variables!$B$9:$D$9,IFERROR(MATCH(IF($B1323="Robusta","Robusta",(IF($B1323="","Arabica",$B1323))&amp;" - "&amp;(IF($C1323="","Commercial",$C1323))),Variables!$B$1:$D$1,0),1))*IFERROR(IF(W1323="","",(AVERAGE(E1323:F1323)-W1323)-Variables!$B$14),"")/365),""))</f>
        <v/>
      </c>
      <c r="AT1323" s="12" t="str">
        <f>IF($H1323="Cancelled","",IFERROR((T1323*INDEX(Variables!$B$7:$D$7,IFERROR(MATCH(IF($B1323="Robusta","Robusta",(IF($B1323="","Arabica",$B1323))&amp;" - "&amp;(IF($C1323="","Commercial",$C1323))),Variables!$B$1:$D$1,0),1))*AC1323/365)+(L1323/16.67*INDEX(Variables!$B$8:$D$8,IFERROR(MATCH(IF($B1323="Robusta","Robusta",(IF($B1323="","Arabica",$B1323))&amp;" - "&amp;(IF($C1323="","Commercial",$C1323))),Variables!$B$1:$D$1,0),1))*AC1323)+(T1323*INDEX(Variables!$B$9:$D$9,IFERROR(MATCH(IF($B1323="Robusta","Robusta",(IF($B1323="","Arabica",$B1323))&amp;" - "&amp;(IF($C1323="","Commercial",$C1323))),Variables!$B$1:$D$1,0),1))*AC1323/365),""))</f>
        <v/>
      </c>
      <c r="AU1323" s="12" t="str">
        <f>IF($H1323="Cancelled","",IFERROR((T1323*INDEX(Variables!$B$7:$D$7,IFERROR(MATCH(IF($B1323="Robusta","Robusta",(IF($B1323="","Arabica",$B1323))&amp;" - "&amp;(IF($C1323="","Commercial",$C1323))),Variables!$B$1:$D$1,0),1))*AP1323/365)+(L1323/16.67*INDEX(Variables!$B$8:$D$8,IFERROR(MATCH(IF($B1323="Robusta","Robusta",(IF($B1323="","Arabica",$B1323))&amp;" - "&amp;(IF($C1323="","Commercial",$C1323))),Variables!$B$1:$D$1,0),1))*AP1323)+(T1323*INDEX(Variables!$B$9:$D$9,IFERROR(MATCH(IF($B1323="Robusta","Robusta",(IF($B1323="","Arabica",$B1323))&amp;" - "&amp;(IF($C1323="","Commercial",$C1323))),Variables!$B$1:$D$1,0),1))*AP1323/365),""))</f>
        <v/>
      </c>
      <c r="AV1323" s="11" t="str">
        <f t="shared" si="126"/>
        <v/>
      </c>
      <c r="AW1323" s="12" t="str">
        <f>IF($H1323="Cancelled","",IFERROR(IF(AV1323="","",(T1323*INDEX(Variables!$B$7:$D$7,IFERROR(MATCH(IF($B1323="Robusta","Robusta",(IF($B1323="","Arabica",$B1323))&amp;" - "&amp;(IF($C1323="","Commercial",$C1323))),Variables!$B$1:$D$1,0),1))*(AV1323/365))+(T1323*INDEX(Variables!$B$9:$D$9,IFERROR(MATCH(IF($B1323="Robusta","Robusta",(IF($B1323="","Arabica",$B1323))&amp;" - "&amp;(IF($C1323="","Commercial",$C1323))),Variables!$B$1:$D$1,0),1))*(AV1323/365))+(INDEX(Variables!$B$8:$D$8,IFERROR(MATCH(IF($B1323="Robusta","Robusta",(IF($B1323="","Arabica",$B1323))&amp;" - "&amp;(IF($C1323="","Commercial",$C1323))),Variables!$B$1:$D$1,0),1))*L1323/16.67)),""))</f>
        <v/>
      </c>
      <c r="AX1323" s="9"/>
      <c r="AY1323" s="12"/>
      <c r="AZ1323" s="10"/>
      <c r="BA1323" s="9"/>
      <c r="BB1323" s="10"/>
      <c r="BC1323" s="9"/>
      <c r="BD1323" s="9"/>
      <c r="BE1323" s="9"/>
      <c r="BF1323" s="9"/>
    </row>
    <row r="1324" spans="1:58" x14ac:dyDescent="0.25">
      <c r="A1324" s="9" t="s">
        <v>84</v>
      </c>
      <c r="B1324" s="9" t="s">
        <v>85</v>
      </c>
      <c r="C1324" s="9" t="s">
        <v>1486</v>
      </c>
      <c r="D1324" s="10">
        <v>46066</v>
      </c>
      <c r="E1324" s="10">
        <v>46082</v>
      </c>
      <c r="F1324" s="10">
        <v>46112</v>
      </c>
      <c r="G1324" s="9">
        <v>3787264</v>
      </c>
      <c r="H1324" s="9" t="str">
        <f t="shared" si="124"/>
        <v>Open</v>
      </c>
      <c r="I1324" s="9" t="str">
        <f t="shared" si="125"/>
        <v>No sailing date and No shipping advice sent and No docs dispatch date</v>
      </c>
      <c r="J1324" s="9" t="s">
        <v>1592</v>
      </c>
      <c r="K1324" s="9"/>
      <c r="L1324" s="11">
        <v>47</v>
      </c>
      <c r="M1324" s="9" t="s">
        <v>2799</v>
      </c>
      <c r="N1324" s="9"/>
      <c r="O1324" s="9"/>
      <c r="P1324" s="9"/>
      <c r="Q1324" s="11">
        <v>189.55</v>
      </c>
      <c r="R1324" s="9" t="s">
        <v>195</v>
      </c>
      <c r="S1324" s="9"/>
      <c r="T1324" s="12">
        <f>IF($H1324="Cancelled","",IFERROR(((Q1324+INDEX(Variables!$B$6:$D$6,IFERROR(MATCH(IF($B1324="Robusta","Robusta",(IF($B1324="","Arabica",$B1324))&amp;" - "&amp;(IF($C1324="","Commercial",$C1324))),Variables!$B$1:$D$1,0),1)))*22.0462)*(L1324/16.67),""))</f>
        <v>29857.524414517091</v>
      </c>
      <c r="U1324" s="10"/>
      <c r="V1324" s="9" t="str">
        <f t="shared" si="129"/>
        <v/>
      </c>
      <c r="W1324" s="10"/>
      <c r="X1324" s="9" t="str">
        <f t="shared" si="130"/>
        <v/>
      </c>
      <c r="Y1324" s="10"/>
      <c r="Z1324" s="10">
        <f>IF($H1324="Cancelled","",IFERROR(IF(F1324="","",F1324-Variables!$B$13),""))</f>
        <v>46097</v>
      </c>
      <c r="AA1324" s="11" t="str">
        <f>IF($H1324="Cancelled","",IFERROR(IF(W1324="","",(AVERAGE(E1324:F1324)-W1324)-Variables!$B$14),""))</f>
        <v/>
      </c>
      <c r="AB1324" s="10"/>
      <c r="AC1324" s="11" t="str">
        <f>IF($H1324="Cancelled","",IFERROR(IF(AB1324="","",IF(AND(W1324="",Y1324=""),"",IF(Y1324&gt;W1324,Y1324+Variables!$B$15+Variables!$B$16+Variables!$B$17-AB1324,W1324+Variables!$B$16+Variables!$B$17-AB1324))),""))</f>
        <v/>
      </c>
      <c r="AD1324" s="9"/>
      <c r="AE1324" s="9"/>
      <c r="AF1324" s="10"/>
      <c r="AG1324" s="10"/>
      <c r="AH1324" s="9"/>
      <c r="AI1324" s="9"/>
      <c r="AJ1324" s="9"/>
      <c r="AK1324" s="10"/>
      <c r="AL1324" s="10"/>
      <c r="AM1324" s="10"/>
      <c r="AN1324" s="9" t="s">
        <v>1188</v>
      </c>
      <c r="AO1324" s="9"/>
      <c r="AP1324" s="11" t="str">
        <f>IF($H1324="Cancelled","",IFERROR(IF(OR(AK1324="",AB1324=""),"",(AB1324+Variables!$B$18-AK1324)),""))</f>
        <v/>
      </c>
      <c r="AQ1324" s="11" t="str">
        <f>IF($H1324="Cancelled","",IFERROR(IF(OR(AM1324="",AK1324=""),"",(AK1324+Variables!$B$19)-AM1324),""))</f>
        <v/>
      </c>
      <c r="AR1324" s="12" t="str">
        <f>IF($H1324="Cancelled","",IFERROR(T1324*INDEX(Variables!$B$7:$D$7,IFERROR(MATCH(IF($B1324="Robusta","Robusta",(IF($B1324="","Arabica",$B1324))&amp;" - "&amp;(IF($C1324="","Commercial",$C1324))),Variables!$B$1:$D$1,0),1))*(AQ1324/365),""))</f>
        <v/>
      </c>
      <c r="AS1324" s="12" t="str">
        <f>IF($H1324="Cancelled","",IFERROR((T1324*INDEX(Variables!$B$7:$D$7,IFERROR(MATCH(IF($B1324="Robusta","Robusta",(IF($B1324="","Arabica",$B1324))&amp;" - "&amp;(IF($C1324="","Commercial",$C1324))),Variables!$B$1:$D$1,0),1))*IFERROR(IF(W1324="","",(AVERAGE(E1324:F1324)-W1324)-Variables!$B$14),"")/365)+(L1324/16.67*INDEX(Variables!$B$8:$D$8,IFERROR(MATCH(IF($B1324="Robusta","Robusta",(IF($B1324="","Arabica",$B1324))&amp;" - "&amp;(IF($C1324="","Commercial",$C1324))),Variables!$B$1:$D$1,0),1))*IFERROR(IF(W1324="","",(AVERAGE(E1324:F1324)-W1324)-Variables!$B$14),""))+(T1324*INDEX(Variables!$B$9:$D$9,IFERROR(MATCH(IF($B1324="Robusta","Robusta",(IF($B1324="","Arabica",$B1324))&amp;" - "&amp;(IF($C1324="","Commercial",$C1324))),Variables!$B$1:$D$1,0),1))*IFERROR(IF(W1324="","",(AVERAGE(E1324:F1324)-W1324)-Variables!$B$14),"")/365),""))</f>
        <v/>
      </c>
      <c r="AT1324" s="12" t="str">
        <f>IF($H1324="Cancelled","",IFERROR((T1324*INDEX(Variables!$B$7:$D$7,IFERROR(MATCH(IF($B1324="Robusta","Robusta",(IF($B1324="","Arabica",$B1324))&amp;" - "&amp;(IF($C1324="","Commercial",$C1324))),Variables!$B$1:$D$1,0),1))*AC1324/365)+(L1324/16.67*INDEX(Variables!$B$8:$D$8,IFERROR(MATCH(IF($B1324="Robusta","Robusta",(IF($B1324="","Arabica",$B1324))&amp;" - "&amp;(IF($C1324="","Commercial",$C1324))),Variables!$B$1:$D$1,0),1))*AC1324)+(T1324*INDEX(Variables!$B$9:$D$9,IFERROR(MATCH(IF($B1324="Robusta","Robusta",(IF($B1324="","Arabica",$B1324))&amp;" - "&amp;(IF($C1324="","Commercial",$C1324))),Variables!$B$1:$D$1,0),1))*AC1324/365),""))</f>
        <v/>
      </c>
      <c r="AU1324" s="12" t="str">
        <f>IF($H1324="Cancelled","",IFERROR((T1324*INDEX(Variables!$B$7:$D$7,IFERROR(MATCH(IF($B1324="Robusta","Robusta",(IF($B1324="","Arabica",$B1324))&amp;" - "&amp;(IF($C1324="","Commercial",$C1324))),Variables!$B$1:$D$1,0),1))*AP1324/365)+(L1324/16.67*INDEX(Variables!$B$8:$D$8,IFERROR(MATCH(IF($B1324="Robusta","Robusta",(IF($B1324="","Arabica",$B1324))&amp;" - "&amp;(IF($C1324="","Commercial",$C1324))),Variables!$B$1:$D$1,0),1))*AP1324)+(T1324*INDEX(Variables!$B$9:$D$9,IFERROR(MATCH(IF($B1324="Robusta","Robusta",(IF($B1324="","Arabica",$B1324))&amp;" - "&amp;(IF($C1324="","Commercial",$C1324))),Variables!$B$1:$D$1,0),1))*AP1324/365),""))</f>
        <v/>
      </c>
      <c r="AV1324" s="11" t="str">
        <f t="shared" si="126"/>
        <v/>
      </c>
      <c r="AW1324" s="12" t="str">
        <f>IF($H1324="Cancelled","",IFERROR(IF(AV1324="","",(T1324*INDEX(Variables!$B$7:$D$7,IFERROR(MATCH(IF($B1324="Robusta","Robusta",(IF($B1324="","Arabica",$B1324))&amp;" - "&amp;(IF($C1324="","Commercial",$C1324))),Variables!$B$1:$D$1,0),1))*(AV1324/365))+(T1324*INDEX(Variables!$B$9:$D$9,IFERROR(MATCH(IF($B1324="Robusta","Robusta",(IF($B1324="","Arabica",$B1324))&amp;" - "&amp;(IF($C1324="","Commercial",$C1324))),Variables!$B$1:$D$1,0),1))*(AV1324/365))+(INDEX(Variables!$B$8:$D$8,IFERROR(MATCH(IF($B1324="Robusta","Robusta",(IF($B1324="","Arabica",$B1324))&amp;" - "&amp;(IF($C1324="","Commercial",$C1324))),Variables!$B$1:$D$1,0),1))*L1324/16.67)),""))</f>
        <v/>
      </c>
      <c r="AX1324" s="9"/>
      <c r="AY1324" s="12"/>
      <c r="AZ1324" s="10"/>
      <c r="BA1324" s="9"/>
      <c r="BB1324" s="10"/>
      <c r="BC1324" s="9"/>
      <c r="BD1324" s="9"/>
      <c r="BE1324" s="9"/>
      <c r="BF1324" s="9"/>
    </row>
    <row r="1325" spans="1:58" x14ac:dyDescent="0.25">
      <c r="A1325" s="9" t="s">
        <v>84</v>
      </c>
      <c r="B1325" s="9" t="s">
        <v>85</v>
      </c>
      <c r="C1325" s="9" t="s">
        <v>1486</v>
      </c>
      <c r="D1325" s="10">
        <v>46066</v>
      </c>
      <c r="E1325" s="10">
        <v>46082</v>
      </c>
      <c r="F1325" s="10">
        <v>46112</v>
      </c>
      <c r="G1325" s="9">
        <v>3787266</v>
      </c>
      <c r="H1325" s="9" t="str">
        <f t="shared" si="124"/>
        <v>Open</v>
      </c>
      <c r="I1325" s="9" t="str">
        <f t="shared" si="125"/>
        <v>No sailing date and No shipping advice sent and No docs dispatch date</v>
      </c>
      <c r="J1325" s="9" t="s">
        <v>1592</v>
      </c>
      <c r="K1325" s="9"/>
      <c r="L1325" s="11">
        <v>84</v>
      </c>
      <c r="M1325" s="9" t="s">
        <v>2800</v>
      </c>
      <c r="N1325" s="9"/>
      <c r="O1325" s="9"/>
      <c r="P1325" s="9"/>
      <c r="Q1325" s="11">
        <v>208.55</v>
      </c>
      <c r="R1325" s="9" t="s">
        <v>195</v>
      </c>
      <c r="S1325" s="9"/>
      <c r="T1325" s="12">
        <f>IF($H1325="Cancelled","",IFERROR(((Q1325+INDEX(Variables!$B$6:$D$6,IFERROR(MATCH(IF($B1325="Robusta","Robusta",(IF($B1325="","Arabica",$B1325))&amp;" - "&amp;(IF($C1325="","Commercial",$C1325))),Variables!$B$1:$D$1,0),1)))*22.0462)*(L1325/16.67),""))</f>
        <v>55473.106027594469</v>
      </c>
      <c r="U1325" s="10"/>
      <c r="V1325" s="9" t="str">
        <f t="shared" si="129"/>
        <v/>
      </c>
      <c r="W1325" s="10"/>
      <c r="X1325" s="9" t="str">
        <f t="shared" si="130"/>
        <v/>
      </c>
      <c r="Y1325" s="10"/>
      <c r="Z1325" s="10">
        <f>IF($H1325="Cancelled","",IFERROR(IF(F1325="","",F1325-Variables!$B$13),""))</f>
        <v>46097</v>
      </c>
      <c r="AA1325" s="11" t="str">
        <f>IF($H1325="Cancelled","",IFERROR(IF(W1325="","",(AVERAGE(E1325:F1325)-W1325)-Variables!$B$14),""))</f>
        <v/>
      </c>
      <c r="AB1325" s="10"/>
      <c r="AC1325" s="11" t="str">
        <f>IF($H1325="Cancelled","",IFERROR(IF(AB1325="","",IF(AND(W1325="",Y1325=""),"",IF(Y1325&gt;W1325,Y1325+Variables!$B$15+Variables!$B$16+Variables!$B$17-AB1325,W1325+Variables!$B$16+Variables!$B$17-AB1325))),""))</f>
        <v/>
      </c>
      <c r="AD1325" s="9"/>
      <c r="AE1325" s="9"/>
      <c r="AF1325" s="10"/>
      <c r="AG1325" s="10"/>
      <c r="AH1325" s="9"/>
      <c r="AI1325" s="9"/>
      <c r="AJ1325" s="9"/>
      <c r="AK1325" s="10"/>
      <c r="AL1325" s="10"/>
      <c r="AM1325" s="10"/>
      <c r="AN1325" s="9" t="s">
        <v>1188</v>
      </c>
      <c r="AO1325" s="9"/>
      <c r="AP1325" s="11" t="str">
        <f>IF($H1325="Cancelled","",IFERROR(IF(OR(AK1325="",AB1325=""),"",(AB1325+Variables!$B$18-AK1325)),""))</f>
        <v/>
      </c>
      <c r="AQ1325" s="11" t="str">
        <f>IF($H1325="Cancelled","",IFERROR(IF(OR(AM1325="",AK1325=""),"",(AK1325+Variables!$B$19)-AM1325),""))</f>
        <v/>
      </c>
      <c r="AR1325" s="12" t="str">
        <f>IF($H1325="Cancelled","",IFERROR(T1325*INDEX(Variables!$B$7:$D$7,IFERROR(MATCH(IF($B1325="Robusta","Robusta",(IF($B1325="","Arabica",$B1325))&amp;" - "&amp;(IF($C1325="","Commercial",$C1325))),Variables!$B$1:$D$1,0),1))*(AQ1325/365),""))</f>
        <v/>
      </c>
      <c r="AS1325" s="12" t="str">
        <f>IF($H1325="Cancelled","",IFERROR((T1325*INDEX(Variables!$B$7:$D$7,IFERROR(MATCH(IF($B1325="Robusta","Robusta",(IF($B1325="","Arabica",$B1325))&amp;" - "&amp;(IF($C1325="","Commercial",$C1325))),Variables!$B$1:$D$1,0),1))*IFERROR(IF(W1325="","",(AVERAGE(E1325:F1325)-W1325)-Variables!$B$14),"")/365)+(L1325/16.67*INDEX(Variables!$B$8:$D$8,IFERROR(MATCH(IF($B1325="Robusta","Robusta",(IF($B1325="","Arabica",$B1325))&amp;" - "&amp;(IF($C1325="","Commercial",$C1325))),Variables!$B$1:$D$1,0),1))*IFERROR(IF(W1325="","",(AVERAGE(E1325:F1325)-W1325)-Variables!$B$14),""))+(T1325*INDEX(Variables!$B$9:$D$9,IFERROR(MATCH(IF($B1325="Robusta","Robusta",(IF($B1325="","Arabica",$B1325))&amp;" - "&amp;(IF($C1325="","Commercial",$C1325))),Variables!$B$1:$D$1,0),1))*IFERROR(IF(W1325="","",(AVERAGE(E1325:F1325)-W1325)-Variables!$B$14),"")/365),""))</f>
        <v/>
      </c>
      <c r="AT1325" s="12" t="str">
        <f>IF($H1325="Cancelled","",IFERROR((T1325*INDEX(Variables!$B$7:$D$7,IFERROR(MATCH(IF($B1325="Robusta","Robusta",(IF($B1325="","Arabica",$B1325))&amp;" - "&amp;(IF($C1325="","Commercial",$C1325))),Variables!$B$1:$D$1,0),1))*AC1325/365)+(L1325/16.67*INDEX(Variables!$B$8:$D$8,IFERROR(MATCH(IF($B1325="Robusta","Robusta",(IF($B1325="","Arabica",$B1325))&amp;" - "&amp;(IF($C1325="","Commercial",$C1325))),Variables!$B$1:$D$1,0),1))*AC1325)+(T1325*INDEX(Variables!$B$9:$D$9,IFERROR(MATCH(IF($B1325="Robusta","Robusta",(IF($B1325="","Arabica",$B1325))&amp;" - "&amp;(IF($C1325="","Commercial",$C1325))),Variables!$B$1:$D$1,0),1))*AC1325/365),""))</f>
        <v/>
      </c>
      <c r="AU1325" s="12" t="str">
        <f>IF($H1325="Cancelled","",IFERROR((T1325*INDEX(Variables!$B$7:$D$7,IFERROR(MATCH(IF($B1325="Robusta","Robusta",(IF($B1325="","Arabica",$B1325))&amp;" - "&amp;(IF($C1325="","Commercial",$C1325))),Variables!$B$1:$D$1,0),1))*AP1325/365)+(L1325/16.67*INDEX(Variables!$B$8:$D$8,IFERROR(MATCH(IF($B1325="Robusta","Robusta",(IF($B1325="","Arabica",$B1325))&amp;" - "&amp;(IF($C1325="","Commercial",$C1325))),Variables!$B$1:$D$1,0),1))*AP1325)+(T1325*INDEX(Variables!$B$9:$D$9,IFERROR(MATCH(IF($B1325="Robusta","Robusta",(IF($B1325="","Arabica",$B1325))&amp;" - "&amp;(IF($C1325="","Commercial",$C1325))),Variables!$B$1:$D$1,0),1))*AP1325/365),""))</f>
        <v/>
      </c>
      <c r="AV1325" s="11" t="str">
        <f t="shared" si="126"/>
        <v/>
      </c>
      <c r="AW1325" s="12" t="str">
        <f>IF($H1325="Cancelled","",IFERROR(IF(AV1325="","",(T1325*INDEX(Variables!$B$7:$D$7,IFERROR(MATCH(IF($B1325="Robusta","Robusta",(IF($B1325="","Arabica",$B1325))&amp;" - "&amp;(IF($C1325="","Commercial",$C1325))),Variables!$B$1:$D$1,0),1))*(AV1325/365))+(T1325*INDEX(Variables!$B$9:$D$9,IFERROR(MATCH(IF($B1325="Robusta","Robusta",(IF($B1325="","Arabica",$B1325))&amp;" - "&amp;(IF($C1325="","Commercial",$C1325))),Variables!$B$1:$D$1,0),1))*(AV1325/365))+(INDEX(Variables!$B$8:$D$8,IFERROR(MATCH(IF($B1325="Robusta","Robusta",(IF($B1325="","Arabica",$B1325))&amp;" - "&amp;(IF($C1325="","Commercial",$C1325))),Variables!$B$1:$D$1,0),1))*L1325/16.67)),""))</f>
        <v/>
      </c>
      <c r="AX1325" s="9"/>
      <c r="AY1325" s="12"/>
      <c r="AZ1325" s="10"/>
      <c r="BA1325" s="9"/>
      <c r="BB1325" s="10"/>
      <c r="BC1325" s="9"/>
      <c r="BD1325" s="9"/>
      <c r="BE1325" s="9"/>
      <c r="BF1325" s="9"/>
    </row>
    <row r="1327" spans="1:58" x14ac:dyDescent="0.25">
      <c r="T1327" s="16">
        <f>SUM(T2:T1325)</f>
        <v>179148175.79632884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CFD194730E24C82BAC34E1EF54406" ma:contentTypeVersion="3" ma:contentTypeDescription="Create a new document." ma:contentTypeScope="" ma:versionID="803aa4792ce437c06893f1bfd76a9a01">
  <xsd:schema xmlns:xsd="http://www.w3.org/2001/XMLSchema" xmlns:xs="http://www.w3.org/2001/XMLSchema" xmlns:p="http://schemas.microsoft.com/office/2006/metadata/properties" xmlns:ns2="2ab6ccee-9638-4575-ac58-357e707e20fc" targetNamespace="http://schemas.microsoft.com/office/2006/metadata/properties" ma:root="true" ma:fieldsID="33d08ee7cdcc15b237ec53d8d32b2963" ns2:_="">
    <xsd:import namespace="2ab6ccee-9638-4575-ac58-357e707e2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6ccee-9638-4575-ac58-357e707e2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06061E-2DA3-4017-ACB0-ED3030189567}"/>
</file>

<file path=customXml/itemProps2.xml><?xml version="1.0" encoding="utf-8"?>
<ds:datastoreItem xmlns:ds="http://schemas.openxmlformats.org/officeDocument/2006/customXml" ds:itemID="{B5E5426C-6D8D-4164-A8A3-93CED9EEE22D}"/>
</file>

<file path=customXml/itemProps3.xml><?xml version="1.0" encoding="utf-8"?>
<ds:datastoreItem xmlns:ds="http://schemas.openxmlformats.org/officeDocument/2006/customXml" ds:itemID="{026A08F6-AF4B-496F-80FF-0E4B1F57D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KENYA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 Njoroge</cp:lastModifiedBy>
  <cp:revision>0</cp:revision>
  <dcterms:created xsi:type="dcterms:W3CDTF">2026-09-22T08:20:38Z</dcterms:created>
  <dcterms:modified xsi:type="dcterms:W3CDTF">2026-09-28T06:20:45Z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0x010100765CFD194730E24C82BAC34E1EF54406</vt:lpwstr>
  </property>
</Properties>
</file>